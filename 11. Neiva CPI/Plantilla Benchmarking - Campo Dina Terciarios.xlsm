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bra-my.sharepoint.com/personal/juan_perez_quorumsoftware_com/Documents/Documents/PS/Ecopetrol/Reservas/Automatization/11. Neiva CPI/"/>
    </mc:Choice>
  </mc:AlternateContent>
  <xr:revisionPtr revIDLastSave="266886" documentId="8_{08A2D012-4355-468F-9604-FBE77426E2A3}" xr6:coauthVersionLast="47" xr6:coauthVersionMax="47" xr10:uidLastSave="{FC5B5496-770A-4C96-9BC9-1A50761944F5}"/>
  <bookViews>
    <workbookView xWindow="-96" yWindow="0" windowWidth="11712" windowHeight="12336"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Q31" i="2" l="1"/>
  <c r="ME31" i="2"/>
  <c r="KS31" i="2"/>
  <c r="HU31" i="2"/>
  <c r="GI31" i="2"/>
  <c r="EW31" i="2"/>
  <c r="NQ30" i="2"/>
  <c r="ME30" i="2"/>
  <c r="KS30" i="2"/>
  <c r="HU30" i="2"/>
  <c r="GI30" i="2"/>
  <c r="EW30" i="2"/>
  <c r="NQ28" i="2"/>
  <c r="ME28" i="2"/>
  <c r="KS28" i="2"/>
  <c r="HU28" i="2"/>
  <c r="GI28" i="2"/>
  <c r="EW28" i="2"/>
  <c r="NQ27" i="2"/>
  <c r="ME27" i="2"/>
  <c r="KS27" i="2"/>
  <c r="HU27" i="2"/>
  <c r="GI27" i="2"/>
  <c r="EW27" i="2"/>
  <c r="NQ25" i="2"/>
  <c r="ME25" i="2"/>
  <c r="KS25" i="2"/>
  <c r="HU25" i="2"/>
  <c r="GI25" i="2"/>
  <c r="EW25" i="2"/>
  <c r="NQ24" i="2"/>
  <c r="ME24" i="2"/>
  <c r="KS24" i="2"/>
  <c r="HU24" i="2"/>
  <c r="GI24" i="2"/>
  <c r="EW24" i="2"/>
  <c r="NQ22" i="2"/>
  <c r="ME22" i="2"/>
  <c r="KS22" i="2"/>
  <c r="HU22" i="2"/>
  <c r="GI22" i="2"/>
  <c r="EW22" i="2"/>
  <c r="NQ21" i="2"/>
  <c r="ME21" i="2"/>
  <c r="KS21" i="2"/>
  <c r="HU21" i="2"/>
  <c r="GI21" i="2"/>
  <c r="EW21" i="2"/>
  <c r="NQ19" i="2"/>
  <c r="ME19" i="2"/>
  <c r="KS19" i="2"/>
  <c r="HU19" i="2"/>
  <c r="GI19" i="2"/>
  <c r="EW19" i="2"/>
  <c r="NQ18" i="2"/>
  <c r="ME18" i="2"/>
  <c r="KS18" i="2"/>
  <c r="HU18" i="2"/>
  <c r="GI18" i="2"/>
  <c r="EW18" i="2"/>
  <c r="NQ16" i="2"/>
  <c r="ME16" i="2"/>
  <c r="KS16" i="2"/>
  <c r="HU16" i="2"/>
  <c r="GI16" i="2"/>
  <c r="EW16" i="2"/>
  <c r="NQ15" i="2"/>
  <c r="ME15" i="2"/>
  <c r="KS15" i="2"/>
  <c r="HU15" i="2"/>
  <c r="GI15" i="2"/>
  <c r="EW15" i="2"/>
  <c r="NQ13" i="2"/>
  <c r="ME13" i="2"/>
  <c r="KS13" i="2"/>
  <c r="HU13" i="2"/>
  <c r="GI13" i="2"/>
  <c r="EW13" i="2"/>
  <c r="NQ12" i="2"/>
  <c r="ME12" i="2"/>
  <c r="KS12" i="2"/>
  <c r="HU12" i="2"/>
  <c r="GI12" i="2"/>
  <c r="EW12" i="2"/>
  <c r="NQ10" i="2"/>
  <c r="ME10" i="2"/>
  <c r="KS10" i="2"/>
  <c r="HU10" i="2"/>
  <c r="GI10" i="2"/>
  <c r="EW10" i="2"/>
  <c r="NQ9" i="2"/>
  <c r="ME9" i="2"/>
  <c r="KS9" i="2"/>
  <c r="HU9" i="2"/>
  <c r="GI9" i="2"/>
  <c r="EW9" i="2"/>
  <c r="NQ7" i="2"/>
  <c r="ME7" i="2"/>
  <c r="KS7" i="2"/>
  <c r="HU7" i="2"/>
  <c r="GI7" i="2"/>
  <c r="EW7" i="2"/>
  <c r="NQ6" i="2"/>
  <c r="ME6" i="2"/>
  <c r="KS6" i="2"/>
  <c r="HU6" i="2"/>
  <c r="GI6" i="2"/>
  <c r="EW6" i="2"/>
  <c r="NQ4" i="2"/>
  <c r="ME4" i="2"/>
  <c r="KS4" i="2"/>
  <c r="HU4" i="2"/>
  <c r="GI4" i="2"/>
  <c r="EW4" i="2"/>
  <c r="NQ3" i="2"/>
  <c r="ME3" i="2"/>
  <c r="KS3" i="2"/>
  <c r="HU3" i="2"/>
  <c r="GI3" i="2"/>
  <c r="EW3" i="2"/>
  <c r="NR36" i="2"/>
  <c r="MF36" i="2"/>
  <c r="KT36" i="2"/>
  <c r="JH36" i="2"/>
  <c r="HV36" i="2"/>
  <c r="GJ36" i="2"/>
  <c r="EX36" i="2"/>
  <c r="DL36" i="2"/>
  <c r="BZ36" i="2"/>
  <c r="AN36" i="2"/>
  <c r="B36" i="2"/>
  <c r="NR33" i="2"/>
  <c r="MF33" i="2"/>
  <c r="KT33" i="2"/>
  <c r="JH33" i="2"/>
  <c r="HV33" i="2"/>
  <c r="GJ33" i="2"/>
  <c r="EX33" i="2"/>
  <c r="DL33" i="2"/>
  <c r="BZ33" i="2"/>
  <c r="AN33" i="2"/>
  <c r="B33"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C18" i="2" s="1"/>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HV18" i="2"/>
  <c r="JG18" i="2" s="1"/>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DK18" i="2" s="1"/>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BY18" i="2" s="1"/>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AM18" i="2" s="1"/>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PC3" i="2" s="1"/>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JG3" i="2" s="1"/>
  <c r="HV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DK3" i="2" s="1"/>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BY3" i="2" s="1"/>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AM3" i="2" s="1"/>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NU30" i="2"/>
  <c r="NT30" i="2"/>
  <c r="NS30" i="2"/>
  <c r="NR30" i="2"/>
  <c r="PC30" i="2" s="1"/>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G30" i="2" s="1"/>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DK30" i="2" s="1"/>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BY30" i="2" s="1"/>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AM30" i="2" s="1"/>
  <c r="H30" i="2"/>
  <c r="G30" i="2"/>
  <c r="F30" i="2"/>
  <c r="E30" i="2"/>
  <c r="D30" i="2"/>
  <c r="C30" i="2"/>
  <c r="B30" i="2"/>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PC27" i="2" s="1"/>
  <c r="NY27" i="2"/>
  <c r="NX27" i="2"/>
  <c r="NW27" i="2"/>
  <c r="NV27" i="2"/>
  <c r="NU27" i="2"/>
  <c r="NT27" i="2"/>
  <c r="NS27" i="2"/>
  <c r="NR27" i="2"/>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G27" i="2" s="1"/>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DK27" i="2" s="1"/>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BY27" i="2" s="1"/>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M27" i="2" s="1"/>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C24" i="2" s="1"/>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IB24" i="2"/>
  <c r="IA24" i="2"/>
  <c r="HZ24" i="2"/>
  <c r="HY24" i="2"/>
  <c r="HX24" i="2"/>
  <c r="HW24" i="2"/>
  <c r="HV24" i="2"/>
  <c r="JG24" i="2" s="1"/>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DK24" i="2" s="1"/>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BY24" i="2" s="1"/>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AM24" i="2" s="1"/>
  <c r="D24" i="2"/>
  <c r="C24" i="2"/>
  <c r="B24" i="2"/>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PC21" i="2" s="1"/>
  <c r="NU21" i="2"/>
  <c r="NT21" i="2"/>
  <c r="NS21" i="2"/>
  <c r="NR21" i="2"/>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JG21" i="2" s="1"/>
  <c r="IB21" i="2"/>
  <c r="IA21" i="2"/>
  <c r="HZ21" i="2"/>
  <c r="HY21" i="2"/>
  <c r="HX21" i="2"/>
  <c r="HW21" i="2"/>
  <c r="HV21" i="2"/>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DK21" i="2" s="1"/>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BY21" i="2" s="1"/>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21" i="2"/>
  <c r="B21" i="2"/>
  <c r="AM21" i="2" s="1"/>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NU15" i="2"/>
  <c r="NT15" i="2"/>
  <c r="NS15" i="2"/>
  <c r="NR15" i="2"/>
  <c r="PC15" i="2" s="1"/>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G15" i="2" s="1"/>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DK15" i="2" s="1"/>
  <c r="BZ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BY15" i="2" s="1"/>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AM15" i="2" s="1"/>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NV12" i="2"/>
  <c r="NU12" i="2"/>
  <c r="NT12" i="2"/>
  <c r="NS12" i="2"/>
  <c r="NR12" i="2"/>
  <c r="PC12" i="2" s="1"/>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G12" i="2" s="1"/>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CJ12" i="2"/>
  <c r="CI12" i="2"/>
  <c r="CH12" i="2"/>
  <c r="CG12" i="2"/>
  <c r="CF12" i="2"/>
  <c r="CE12" i="2"/>
  <c r="CD12" i="2"/>
  <c r="CC12" i="2"/>
  <c r="CB12" i="2"/>
  <c r="CA12" i="2"/>
  <c r="BZ12" i="2"/>
  <c r="DK12" i="2" s="1"/>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BY12" i="2" s="1"/>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AM12" i="2" s="1"/>
  <c r="G12" i="2"/>
  <c r="F12" i="2"/>
  <c r="E12" i="2"/>
  <c r="D12" i="2"/>
  <c r="C12" i="2"/>
  <c r="B12" i="2"/>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C9" i="2" s="1"/>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G9" i="2" s="1"/>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DK9" i="2" s="1"/>
  <c r="BZ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BY9" i="2" s="1"/>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AM9" i="2" s="1"/>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C6" i="2" s="1"/>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G6" i="2" s="1"/>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CD6" i="2"/>
  <c r="CC6" i="2"/>
  <c r="CB6" i="2"/>
  <c r="CA6" i="2"/>
  <c r="BZ6" i="2"/>
  <c r="DK6" i="2" s="1"/>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E56" i="2" s="1"/>
  <c r="AP6" i="2"/>
  <c r="AO6" i="2"/>
  <c r="C56" i="2" s="1"/>
  <c r="AN6" i="2"/>
  <c r="BY6" i="2" s="1"/>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B6" i="2"/>
  <c r="B56" i="2"/>
  <c r="F56" i="2" l="1"/>
  <c r="AM6" i="2"/>
  <c r="D56" i="2"/>
  <c r="G56" i="2"/>
  <c r="NY40" i="2"/>
  <c r="NZ40" i="2"/>
  <c r="OA40" i="2"/>
  <c r="OB40" i="2"/>
  <c r="OC40" i="2"/>
  <c r="OD40" i="2"/>
  <c r="OE40" i="2"/>
  <c r="OF40" i="2"/>
  <c r="OG40" i="2"/>
  <c r="OH40" i="2"/>
  <c r="OI40" i="2"/>
  <c r="OJ40" i="2"/>
  <c r="OK40" i="2"/>
  <c r="OL40" i="2"/>
  <c r="OM40" i="2"/>
  <c r="ON40" i="2"/>
  <c r="OO40" i="2"/>
  <c r="NU40" i="2"/>
  <c r="NV40" i="2"/>
  <c r="NW40" i="2"/>
  <c r="NX40" i="2"/>
  <c r="NT40" i="2"/>
  <c r="PH24" i="2"/>
  <c r="PH21" i="2"/>
  <c r="PH18" i="2"/>
  <c r="PH12" i="2"/>
  <c r="U47" i="2" l="1"/>
  <c r="U48" i="2" s="1"/>
  <c r="S47" i="2"/>
  <c r="S48" i="2" s="1"/>
  <c r="B47" i="2"/>
  <c r="B48" i="2" s="1"/>
  <c r="C47" i="2"/>
  <c r="C48" i="2" s="1"/>
  <c r="D47" i="2"/>
  <c r="D48" i="2" s="1"/>
  <c r="E47" i="2"/>
  <c r="E48" i="2" s="1"/>
  <c r="F47" i="2"/>
  <c r="F48" i="2" s="1"/>
  <c r="G47" i="2"/>
  <c r="G48" i="2" s="1"/>
  <c r="H47" i="2"/>
  <c r="H48" i="2" s="1"/>
  <c r="I47" i="2"/>
  <c r="I48" i="2" s="1"/>
  <c r="J47" i="2"/>
  <c r="J48" i="2" s="1"/>
  <c r="K47" i="2"/>
  <c r="K48" i="2" s="1"/>
  <c r="L47" i="2"/>
  <c r="L48" i="2" s="1"/>
  <c r="M47" i="2"/>
  <c r="M48" i="2" s="1"/>
  <c r="N47" i="2"/>
  <c r="N48" i="2" s="1"/>
  <c r="O47" i="2"/>
  <c r="O48" i="2" s="1"/>
  <c r="P47" i="2"/>
  <c r="P48" i="2" s="1"/>
  <c r="Q47" i="2"/>
  <c r="Q48" i="2" s="1"/>
  <c r="R47" i="2"/>
  <c r="R48" i="2" s="1"/>
  <c r="T47" i="2"/>
  <c r="T48" i="2" s="1"/>
  <c r="PF3" i="2" l="1"/>
  <c r="AA41" i="2" l="1"/>
  <c r="Z41" i="2"/>
  <c r="Y41" i="2"/>
  <c r="X41" i="2"/>
  <c r="W41" i="2"/>
  <c r="V41" i="2"/>
  <c r="U41" i="2"/>
  <c r="NR37" i="2" l="1"/>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DK25" i="2" s="1"/>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B22" i="2"/>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AA42" i="2" s="1"/>
  <c r="Z13" i="2"/>
  <c r="Y13" i="2"/>
  <c r="X13" i="2"/>
  <c r="W13" i="2"/>
  <c r="V13" i="2"/>
  <c r="U13" i="2"/>
  <c r="U42" i="2" s="1"/>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M42" i="2" s="1"/>
  <c r="OL10" i="2"/>
  <c r="OL42" i="2" s="1"/>
  <c r="OK10" i="2"/>
  <c r="OK42" i="2" s="1"/>
  <c r="OJ10" i="2"/>
  <c r="OI10" i="2"/>
  <c r="OH10" i="2"/>
  <c r="OG10" i="2"/>
  <c r="OF10" i="2"/>
  <c r="OE10" i="2"/>
  <c r="OD10" i="2"/>
  <c r="OC10" i="2"/>
  <c r="OB10" i="2"/>
  <c r="OA10" i="2"/>
  <c r="NZ10" i="2"/>
  <c r="NY10" i="2"/>
  <c r="NX10" i="2"/>
  <c r="NW10" i="2"/>
  <c r="NW44" i="2" s="1"/>
  <c r="NV10" i="2"/>
  <c r="NV44" i="2" s="1"/>
  <c r="NU10" i="2"/>
  <c r="NU44" i="2" s="1"/>
  <c r="NT10" i="2"/>
  <c r="NT44" i="2" s="1"/>
  <c r="NS10" i="2"/>
  <c r="NS44" i="2" s="1"/>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JG7" i="2" s="1"/>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PC7" i="2" l="1"/>
  <c r="JG10" i="2"/>
  <c r="AM22" i="2"/>
  <c r="DK28" i="2"/>
  <c r="PC4" i="2"/>
  <c r="NR44" i="2"/>
  <c r="PC10" i="2"/>
  <c r="BY22" i="2"/>
  <c r="JG28" i="2"/>
  <c r="AM19" i="2"/>
  <c r="AM16" i="2"/>
  <c r="AM13" i="2"/>
  <c r="DK22" i="2"/>
  <c r="PC28" i="2"/>
  <c r="BY19" i="2"/>
  <c r="BY13" i="2"/>
  <c r="JG22" i="2"/>
  <c r="AM31" i="2"/>
  <c r="DK19" i="2"/>
  <c r="DK10" i="2"/>
  <c r="AM7" i="2"/>
  <c r="DK13" i="2"/>
  <c r="PC22" i="2"/>
  <c r="BY31" i="2"/>
  <c r="JG19" i="2"/>
  <c r="AM10" i="2"/>
  <c r="BY7" i="2"/>
  <c r="JG13" i="2"/>
  <c r="AM25" i="2"/>
  <c r="DK31" i="2"/>
  <c r="PC19" i="2"/>
  <c r="DK7" i="2"/>
  <c r="PC13" i="2"/>
  <c r="BY25" i="2"/>
  <c r="JG31" i="2"/>
  <c r="PC31" i="2"/>
  <c r="BY16" i="2"/>
  <c r="JG25" i="2"/>
  <c r="AM4" i="2"/>
  <c r="DK16" i="2"/>
  <c r="PC25" i="2"/>
  <c r="BY4" i="2"/>
  <c r="BY10" i="2"/>
  <c r="JG16" i="2"/>
  <c r="AM28" i="2"/>
  <c r="DK4" i="2"/>
  <c r="PF4" i="2" s="1"/>
  <c r="PF5" i="2" s="1"/>
  <c r="PC16" i="2"/>
  <c r="BY28" i="2"/>
  <c r="JG4" i="2"/>
  <c r="V42" i="2"/>
  <c r="Y42" i="2"/>
  <c r="Z42" i="2"/>
  <c r="W42" i="2"/>
  <c r="X42" i="2"/>
  <c r="C53" i="2"/>
  <c r="D53" i="2"/>
  <c r="E53" i="2"/>
  <c r="F53" i="2"/>
  <c r="G53" i="2"/>
  <c r="B53" i="2"/>
  <c r="PH22" i="2" l="1"/>
  <c r="PH23" i="2" s="1"/>
  <c r="PH13" i="2"/>
  <c r="PH14" i="2" s="1"/>
  <c r="PH25" i="2"/>
  <c r="PH26" i="2" s="1"/>
  <c r="PH19" i="2"/>
  <c r="PH20" i="2" s="1"/>
  <c r="S41" i="2"/>
  <c r="R41" i="2"/>
  <c r="O41" i="2"/>
  <c r="T41" i="2" l="1"/>
  <c r="P41" i="2"/>
  <c r="Q41" i="2"/>
  <c r="N49" i="2"/>
  <c r="M49" i="2"/>
  <c r="L49" i="2"/>
  <c r="K49" i="2"/>
  <c r="J49" i="2"/>
  <c r="I49" i="2"/>
  <c r="H49" i="2"/>
  <c r="G49" i="2"/>
  <c r="F49" i="2"/>
  <c r="E49" i="2"/>
  <c r="D49" i="2"/>
  <c r="C49" i="2"/>
  <c r="T42" i="2"/>
  <c r="Q42" i="2"/>
  <c r="P42" i="2"/>
  <c r="O42" i="2"/>
  <c r="R42" i="2" l="1"/>
  <c r="S42" i="2"/>
  <c r="B49" i="2"/>
  <c r="PF30" i="2"/>
  <c r="PF27" i="2"/>
  <c r="PH27" i="2" s="1"/>
  <c r="PF9" i="2"/>
  <c r="PH9" i="2" s="1"/>
  <c r="E45" i="2"/>
  <c r="M45" i="2"/>
  <c r="M41" i="2"/>
  <c r="B41" i="2"/>
  <c r="D41" i="2"/>
  <c r="G41" i="2"/>
  <c r="C41" i="2"/>
  <c r="N41" i="2"/>
  <c r="PF31" i="2" l="1"/>
  <c r="PH31" i="2" s="1"/>
  <c r="PF10" i="2"/>
  <c r="PH10" i="2" s="1"/>
  <c r="PH30" i="2"/>
  <c r="E41" i="2"/>
  <c r="I41" i="2"/>
  <c r="J45" i="2"/>
  <c r="K41" i="2"/>
  <c r="L45" i="2"/>
  <c r="D45" i="2"/>
  <c r="I45" i="2"/>
  <c r="H41" i="2"/>
  <c r="G45" i="2"/>
  <c r="F45" i="2"/>
  <c r="C45" i="2"/>
  <c r="B45" i="2"/>
  <c r="J41" i="2"/>
  <c r="H45" i="2"/>
  <c r="K45" i="2"/>
  <c r="L41" i="2"/>
  <c r="N45" i="2"/>
  <c r="F41" i="2"/>
  <c r="PH32" i="2" l="1"/>
  <c r="PF28" i="2"/>
  <c r="PH11" i="2"/>
  <c r="PF32" i="2"/>
  <c r="PF11" i="2"/>
  <c r="PH3" i="2"/>
  <c r="NR35" i="2"/>
  <c r="F46" i="2"/>
  <c r="E46" i="2"/>
  <c r="L42" i="2"/>
  <c r="I42" i="2"/>
  <c r="F42" i="2"/>
  <c r="E42" i="2"/>
  <c r="D42" i="2"/>
  <c r="PH28" i="2" l="1"/>
  <c r="PH29" i="2" s="1"/>
  <c r="PF29" i="2"/>
  <c r="N42" i="2"/>
  <c r="I46" i="2"/>
  <c r="D46" i="2"/>
  <c r="G46" i="2"/>
  <c r="M42" i="2"/>
  <c r="B42" i="2"/>
  <c r="C42" i="2"/>
  <c r="J46" i="2"/>
  <c r="K46" i="2"/>
  <c r="L46" i="2"/>
  <c r="M46" i="2"/>
  <c r="H46" i="2"/>
  <c r="G42" i="2"/>
  <c r="B46" i="2"/>
  <c r="N46" i="2"/>
  <c r="H42" i="2"/>
  <c r="C46" i="2"/>
  <c r="J42" i="2"/>
  <c r="K42" i="2"/>
  <c r="HV35" i="2"/>
  <c r="NR5" i="2"/>
  <c r="NS5" i="2"/>
  <c r="NT5" i="2"/>
  <c r="PH4" i="2" l="1"/>
  <c r="PH5" i="2" s="1"/>
  <c r="PC5" i="2"/>
  <c r="PC8" i="2"/>
  <c r="BZ38" i="2"/>
  <c r="HV38" i="2"/>
  <c r="NI20" i="2" l="1"/>
  <c r="HM26" i="2"/>
  <c r="MA8" i="2"/>
  <c r="GA8" i="2"/>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EL8" i="2" l="1"/>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Z8" i="2" l="1"/>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E3482" i="10"/>
  <c r="F3482" i="10" s="1"/>
  <c r="E3483" i="10"/>
  <c r="F3483" i="10" s="1"/>
  <c r="E3484" i="10"/>
  <c r="F3484" i="10" s="1"/>
  <c r="E3485" i="10"/>
  <c r="F3485" i="10" s="1"/>
  <c r="E3486" i="10"/>
  <c r="F3486" i="10" s="1"/>
  <c r="E3487" i="10"/>
  <c r="F3487" i="10" s="1"/>
  <c r="E3488" i="10"/>
  <c r="F3488" i="10" s="1"/>
  <c r="E3489" i="10"/>
  <c r="F3489" i="10" s="1"/>
  <c r="E3490" i="10"/>
  <c r="F3490" i="10" s="1"/>
  <c r="E3491" i="10"/>
  <c r="F3491" i="10" s="1"/>
  <c r="E3492" i="10"/>
  <c r="F3492" i="10" s="1"/>
  <c r="E3493" i="10"/>
  <c r="F3493" i="10" s="1"/>
  <c r="E3494" i="10"/>
  <c r="F3494" i="10" s="1"/>
  <c r="E3495" i="10"/>
  <c r="F3495" i="10" s="1"/>
  <c r="E3496" i="10"/>
  <c r="F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E2494" i="10"/>
  <c r="F2494" i="10" s="1"/>
  <c r="E2495" i="10"/>
  <c r="F2495" i="10" s="1"/>
  <c r="E2496" i="10"/>
  <c r="F2496" i="10" s="1"/>
  <c r="E2497" i="10"/>
  <c r="F2497" i="10" s="1"/>
  <c r="E2498" i="10"/>
  <c r="F2498" i="10" s="1"/>
  <c r="E2499" i="10"/>
  <c r="F2499" i="10" s="1"/>
  <c r="E2500" i="10"/>
  <c r="F2500" i="10" s="1"/>
  <c r="E2501" i="10"/>
  <c r="F2501" i="10" s="1"/>
  <c r="E2502" i="10"/>
  <c r="F2502" i="10" s="1"/>
  <c r="E2503" i="10"/>
  <c r="F2503" i="10" s="1"/>
  <c r="E2504" i="10"/>
  <c r="F2504" i="10" s="1"/>
  <c r="E2505" i="10"/>
  <c r="F2505" i="10" s="1"/>
  <c r="E2506" i="10"/>
  <c r="F2506" i="10" s="1"/>
  <c r="E2507" i="10"/>
  <c r="F2507" i="10" s="1"/>
  <c r="E2508" i="10"/>
  <c r="F2508" i="10" s="1"/>
  <c r="F2455" i="10"/>
  <c r="F2456" i="10"/>
  <c r="F2457" i="10"/>
  <c r="F2458" i="10"/>
  <c r="F2459" i="10"/>
  <c r="F2460" i="10"/>
  <c r="F2461" i="10"/>
  <c r="F2462" i="10"/>
  <c r="F2463" i="10"/>
  <c r="F2464" i="10"/>
  <c r="F2465" i="10"/>
  <c r="F2466" i="10"/>
  <c r="F2467" i="10"/>
  <c r="F2468" i="10"/>
  <c r="F2469" i="10"/>
  <c r="F2470" i="10"/>
  <c r="F2417" i="10"/>
  <c r="F2418" i="10"/>
  <c r="F2419" i="10"/>
  <c r="F2420" i="10"/>
  <c r="F2421" i="10"/>
  <c r="F2422" i="10"/>
  <c r="F2423" i="10"/>
  <c r="F2424" i="10"/>
  <c r="F2425" i="10"/>
  <c r="F2426" i="10"/>
  <c r="F2427" i="10"/>
  <c r="F2428" i="10"/>
  <c r="F2429" i="10"/>
  <c r="F2430" i="10"/>
  <c r="F2431" i="10"/>
  <c r="F2432" i="10"/>
  <c r="F2379" i="10"/>
  <c r="F2380" i="10"/>
  <c r="F2381" i="10"/>
  <c r="F2382" i="10"/>
  <c r="F2383" i="10"/>
  <c r="F2384" i="10"/>
  <c r="F2385" i="10"/>
  <c r="F2386" i="10"/>
  <c r="F2387" i="10"/>
  <c r="F2388" i="10"/>
  <c r="F2389" i="10"/>
  <c r="F2390" i="10"/>
  <c r="F2391" i="10"/>
  <c r="F2392" i="10"/>
  <c r="F2393" i="10"/>
  <c r="F2394" i="10"/>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s="1"/>
  <c r="E67" i="1"/>
  <c r="F67" i="1" s="1"/>
  <c r="E68" i="1"/>
  <c r="F68" i="1" s="1"/>
  <c r="E69" i="1"/>
  <c r="F69" i="1" s="1"/>
  <c r="E70" i="1"/>
  <c r="F70" i="1" s="1"/>
  <c r="E71" i="1"/>
  <c r="F71" i="1" s="1"/>
  <c r="E72" i="1"/>
  <c r="F72" i="1" s="1"/>
  <c r="E73" i="1"/>
  <c r="F73" i="1" s="1"/>
  <c r="E74" i="1"/>
  <c r="F74" i="1" s="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IS26" i="2" l="1"/>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F4190" i="1" s="1"/>
  <c r="E4189" i="1"/>
  <c r="F4189" i="1" s="1"/>
  <c r="E4188" i="1"/>
  <c r="F4188" i="1" s="1"/>
  <c r="E4187" i="1"/>
  <c r="E4186" i="1"/>
  <c r="F4186" i="1" s="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ES26" i="2" l="1"/>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JC8" i="2" l="1"/>
  <c r="JC14" i="2"/>
  <c r="JG20" i="2"/>
  <c r="JC23" i="2"/>
  <c r="IU26" i="2"/>
  <c r="JC17" i="2"/>
  <c r="IX20" i="2"/>
  <c r="IY23" i="2"/>
  <c r="IV29" i="2"/>
  <c r="JC29" i="2"/>
  <c r="I4189" i="1"/>
  <c r="BZ20" i="2"/>
  <c r="B20" i="2"/>
  <c r="KT20" i="2"/>
  <c r="AN20" i="2"/>
  <c r="MF20" i="2"/>
  <c r="GJ20" i="2"/>
  <c r="EX20" i="2"/>
  <c r="DL20" i="2"/>
  <c r="I4190" i="1" l="1"/>
  <c r="NR20" i="2"/>
  <c r="JH20" i="2"/>
  <c r="HV20" i="2"/>
  <c r="CB20" i="2"/>
  <c r="KV20" i="2"/>
  <c r="EY20" i="2"/>
  <c r="MG20" i="2"/>
  <c r="DM20" i="2"/>
  <c r="JJ20" i="2"/>
  <c r="EZ20" i="2"/>
  <c r="JI20" i="2"/>
  <c r="GL20" i="2"/>
  <c r="AP20" i="2"/>
  <c r="CA20" i="2"/>
  <c r="DN20" i="2"/>
  <c r="AO20" i="2"/>
  <c r="MH20" i="2"/>
  <c r="KU20" i="2"/>
  <c r="C20" i="2"/>
  <c r="GK20" i="2"/>
  <c r="D20" i="2"/>
  <c r="I4192" i="1" l="1"/>
  <c r="NT20" i="2"/>
  <c r="HW20" i="2"/>
  <c r="HX20" i="2"/>
  <c r="NS20" i="2"/>
  <c r="AQ20" i="2"/>
  <c r="MI20" i="2"/>
  <c r="FA20" i="2"/>
  <c r="E20" i="2"/>
  <c r="JK20" i="2"/>
  <c r="CC20" i="2"/>
  <c r="GM20" i="2"/>
  <c r="DO20" i="2"/>
  <c r="KW20" i="2"/>
  <c r="I4194" i="1" l="1"/>
  <c r="I4193" i="1"/>
  <c r="NU20" i="2"/>
  <c r="HY20" i="2"/>
  <c r="CD20" i="2"/>
  <c r="AR20" i="2"/>
  <c r="KX20" i="2"/>
  <c r="JL20" i="2"/>
  <c r="GN20" i="2"/>
  <c r="FB20" i="2"/>
  <c r="MJ20" i="2"/>
  <c r="F20" i="2"/>
  <c r="DP20" i="2"/>
  <c r="HZ20" i="2" l="1"/>
  <c r="NV20" i="2"/>
  <c r="G20" i="2"/>
  <c r="AS20" i="2"/>
  <c r="MK20" i="2"/>
  <c r="FC20" i="2"/>
  <c r="GO20" i="2"/>
  <c r="JM20" i="2"/>
  <c r="CE20" i="2"/>
  <c r="KY20" i="2"/>
  <c r="DQ20" i="2"/>
  <c r="IA20" i="2" l="1"/>
  <c r="NW20" i="2"/>
  <c r="KZ20" i="2"/>
  <c r="JN20" i="2"/>
  <c r="CF20" i="2"/>
  <c r="DR20" i="2"/>
  <c r="ML20" i="2"/>
  <c r="AT20" i="2"/>
  <c r="FD20" i="2"/>
  <c r="H20" i="2"/>
  <c r="GP20" i="2"/>
  <c r="NX20" i="2" l="1"/>
  <c r="IB20" i="2"/>
  <c r="LA20" i="2"/>
  <c r="AU20" i="2"/>
  <c r="DS20" i="2"/>
  <c r="JO20" i="2"/>
  <c r="I20" i="2"/>
  <c r="MM20" i="2"/>
  <c r="CG20" i="2"/>
  <c r="GQ20" i="2"/>
  <c r="FE20" i="2"/>
  <c r="IC20" i="2" l="1"/>
  <c r="NY20" i="2"/>
  <c r="MN20" i="2"/>
  <c r="J20" i="2"/>
  <c r="FF20" i="2"/>
  <c r="AV20" i="2"/>
  <c r="GR20" i="2"/>
  <c r="JP20" i="2"/>
  <c r="DT20" i="2"/>
  <c r="CH20" i="2"/>
  <c r="LB20" i="2"/>
  <c r="ID20" i="2" l="1"/>
  <c r="NZ20" i="2"/>
  <c r="FG20" i="2"/>
  <c r="AW20" i="2"/>
  <c r="MO20" i="2"/>
  <c r="CI20" i="2"/>
  <c r="K20" i="2"/>
  <c r="DU20" i="2"/>
  <c r="LC20" i="2"/>
  <c r="GS20" i="2"/>
  <c r="OA20" i="2" l="1"/>
  <c r="JQ20" i="2"/>
  <c r="IE20" i="2"/>
  <c r="AX20" i="2"/>
  <c r="MP20" i="2"/>
  <c r="L20" i="2"/>
  <c r="CJ20" i="2"/>
  <c r="FH20" i="2"/>
  <c r="LD20" i="2"/>
  <c r="GT20" i="2"/>
  <c r="JR20" i="2"/>
  <c r="DV20" i="2"/>
  <c r="IF20" i="2" l="1"/>
  <c r="OB20" i="2"/>
  <c r="FI20" i="2"/>
  <c r="M20" i="2"/>
  <c r="JS20" i="2"/>
  <c r="AY20" i="2"/>
  <c r="LE20" i="2"/>
  <c r="MQ20" i="2"/>
  <c r="GU20" i="2"/>
  <c r="CK20" i="2"/>
  <c r="IG20" i="2" l="1"/>
  <c r="DW20" i="2"/>
  <c r="OC20" i="2"/>
  <c r="LF20" i="2"/>
  <c r="CL20" i="2"/>
  <c r="N20" i="2"/>
  <c r="DX20" i="2"/>
  <c r="GV20" i="2"/>
  <c r="JT20" i="2"/>
  <c r="MR20" i="2"/>
  <c r="AZ20" i="2"/>
  <c r="FJ20" i="2"/>
  <c r="IH20" i="2" l="1"/>
  <c r="OD20" i="2"/>
  <c r="O20" i="2"/>
  <c r="LG20" i="2"/>
  <c r="DY20" i="2"/>
  <c r="BA20" i="2"/>
  <c r="GW20" i="2"/>
  <c r="JU20" i="2"/>
  <c r="MS20" i="2"/>
  <c r="CM20" i="2"/>
  <c r="FK20" i="2"/>
  <c r="OE20" i="2" l="1"/>
  <c r="II20" i="2"/>
  <c r="BB20" i="2"/>
  <c r="GX20" i="2"/>
  <c r="FL20" i="2"/>
  <c r="JV20" i="2"/>
  <c r="MT20" i="2"/>
  <c r="LH20" i="2"/>
  <c r="CN20" i="2"/>
  <c r="P20" i="2"/>
  <c r="DZ20" i="2"/>
  <c r="OF20" i="2" l="1"/>
  <c r="IJ20" i="2"/>
  <c r="Q20" i="2"/>
  <c r="CO20" i="2"/>
  <c r="BC20" i="2"/>
  <c r="LI20" i="2"/>
  <c r="FM20" i="2"/>
  <c r="GY20" i="2"/>
  <c r="EA20" i="2"/>
  <c r="MU20" i="2"/>
  <c r="OG20" i="2" l="1"/>
  <c r="JW20" i="2"/>
  <c r="IK20" i="2"/>
  <c r="R20" i="2"/>
  <c r="BD20" i="2"/>
  <c r="GZ20" i="2"/>
  <c r="EB20" i="2"/>
  <c r="CP20" i="2"/>
  <c r="LJ20" i="2"/>
  <c r="FN20" i="2"/>
  <c r="MV20" i="2"/>
  <c r="OH20" i="2" l="1"/>
  <c r="JX20" i="2"/>
  <c r="IL20" i="2"/>
  <c r="FO20" i="2"/>
  <c r="CQ20" i="2"/>
  <c r="JY20" i="2"/>
  <c r="EC20" i="2"/>
  <c r="LK20" i="2"/>
  <c r="MW20" i="2"/>
  <c r="S20" i="2"/>
  <c r="HA20" i="2"/>
  <c r="BE20" i="2"/>
  <c r="OI20" i="2" l="1"/>
  <c r="IM20" i="2"/>
  <c r="LL20" i="2"/>
  <c r="JZ20" i="2"/>
  <c r="CR20" i="2"/>
  <c r="FP20" i="2"/>
  <c r="MX20" i="2"/>
  <c r="HB20" i="2"/>
  <c r="BF20" i="2"/>
  <c r="T20" i="2"/>
  <c r="IN20" i="2" l="1"/>
  <c r="ED20" i="2"/>
  <c r="OJ20" i="2"/>
  <c r="MY20" i="2"/>
  <c r="U20" i="2"/>
  <c r="CS20" i="2"/>
  <c r="LM20" i="2"/>
  <c r="BG20" i="2"/>
  <c r="HC20" i="2"/>
  <c r="FQ20" i="2"/>
  <c r="EE20" i="2"/>
  <c r="KA20" i="2"/>
  <c r="OK20" i="2" l="1"/>
  <c r="IO20" i="2"/>
  <c r="BH20" i="2"/>
  <c r="HD20" i="2"/>
  <c r="MZ20" i="2"/>
  <c r="LN20" i="2"/>
  <c r="CT20" i="2"/>
  <c r="EF20" i="2"/>
  <c r="V20" i="2"/>
  <c r="KB20" i="2"/>
  <c r="FR20" i="2"/>
  <c r="OL20" i="2" l="1"/>
  <c r="IP20" i="2"/>
  <c r="EG20" i="2"/>
  <c r="NA20" i="2"/>
  <c r="LO20" i="2"/>
  <c r="BI20" i="2"/>
  <c r="KC20" i="2"/>
  <c r="CU20" i="2"/>
  <c r="HE20" i="2"/>
  <c r="FS20" i="2"/>
  <c r="W20" i="2"/>
  <c r="OM20" i="2" l="1"/>
  <c r="IQ20" i="2"/>
  <c r="EH20" i="2"/>
  <c r="X20" i="2"/>
  <c r="CV20" i="2"/>
  <c r="KD20" i="2"/>
  <c r="FT20" i="2"/>
  <c r="HF20" i="2"/>
  <c r="NB20" i="2"/>
  <c r="LP20" i="2"/>
  <c r="ON20" i="2" l="1"/>
  <c r="IR20" i="2"/>
  <c r="H4193" i="10" l="1"/>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157" i="10"/>
  <c r="H3005" i="10"/>
  <c r="H3006" i="10" s="1"/>
  <c r="H2967" i="10"/>
  <c r="H2968" i="10" s="1"/>
  <c r="H2969" i="10" s="1"/>
  <c r="H2929" i="10"/>
  <c r="H2930" i="10" s="1"/>
  <c r="H2891" i="10"/>
  <c r="H2892" i="10" s="1"/>
  <c r="H2739" i="10"/>
  <c r="H2740" i="10" s="1"/>
  <c r="H2587" i="10"/>
  <c r="H2588" i="10" s="1"/>
  <c r="H2549" i="10"/>
  <c r="H2550" i="10" s="1"/>
  <c r="H2511" i="10"/>
  <c r="H2512" i="10" s="1"/>
  <c r="H2513" i="10" s="1"/>
  <c r="F2454" i="10"/>
  <c r="F2453" i="10"/>
  <c r="F2452" i="10"/>
  <c r="F2451" i="10"/>
  <c r="F2450" i="10"/>
  <c r="F2449" i="10"/>
  <c r="F2448" i="10"/>
  <c r="F2447" i="10"/>
  <c r="F2446" i="10"/>
  <c r="F2445" i="10"/>
  <c r="F2444" i="10"/>
  <c r="F2443" i="10"/>
  <c r="F2442" i="10"/>
  <c r="F2441" i="10"/>
  <c r="F2440" i="10"/>
  <c r="F2439" i="10"/>
  <c r="F2438" i="10"/>
  <c r="F2437" i="10"/>
  <c r="F2436" i="10"/>
  <c r="F2435" i="10"/>
  <c r="F2434" i="10"/>
  <c r="F2416" i="10"/>
  <c r="F2415" i="10"/>
  <c r="F2414" i="10"/>
  <c r="F2413" i="10"/>
  <c r="F2412" i="10"/>
  <c r="F2411" i="10"/>
  <c r="F2410" i="10"/>
  <c r="F2409" i="10"/>
  <c r="F2408" i="10"/>
  <c r="F2407" i="10"/>
  <c r="F2406" i="10"/>
  <c r="F2405" i="10"/>
  <c r="F2404" i="10"/>
  <c r="F2403" i="10"/>
  <c r="F2402" i="10"/>
  <c r="F2401" i="10"/>
  <c r="F2400" i="10"/>
  <c r="F2399" i="10"/>
  <c r="F2398" i="10"/>
  <c r="F2397" i="10"/>
  <c r="F2396" i="10"/>
  <c r="F2378" i="10"/>
  <c r="F2377" i="10"/>
  <c r="F2376" i="10"/>
  <c r="F2375" i="10"/>
  <c r="F2374" i="10"/>
  <c r="F2373" i="10"/>
  <c r="F2372" i="10"/>
  <c r="F2371" i="10"/>
  <c r="F2370" i="10"/>
  <c r="F2369" i="10"/>
  <c r="F2368" i="10"/>
  <c r="F2367" i="10"/>
  <c r="F2366" i="10"/>
  <c r="F2365" i="10"/>
  <c r="F2364" i="10"/>
  <c r="F2363" i="10"/>
  <c r="F2362" i="10"/>
  <c r="F2361" i="10"/>
  <c r="F2360" i="10"/>
  <c r="F2359" i="10"/>
  <c r="F2358" i="10"/>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1903" i="10"/>
  <c r="H1904" i="10" s="1"/>
  <c r="H1751" i="10"/>
  <c r="H1752" i="10" s="1"/>
  <c r="H1753" i="10" s="1"/>
  <c r="H1713" i="10"/>
  <c r="H1714" i="10" s="1"/>
  <c r="H1675" i="10"/>
  <c r="H4145" i="10"/>
  <c r="H4146" i="10" s="1"/>
  <c r="H4147" i="10" s="1"/>
  <c r="H4148" i="10" s="1"/>
  <c r="H3993" i="10"/>
  <c r="H3994"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2494" i="10" l="1"/>
  <c r="I2493" i="10"/>
  <c r="H2342" i="10"/>
  <c r="I2341" i="10"/>
  <c r="H2190" i="10"/>
  <c r="I2189" i="10"/>
  <c r="H2152" i="10"/>
  <c r="I2151" i="10"/>
  <c r="H2114" i="10"/>
  <c r="I2113" i="10"/>
  <c r="H1658" i="10"/>
  <c r="I1657" i="10"/>
  <c r="H1506" i="10"/>
  <c r="I1505" i="10"/>
  <c r="H1354" i="10"/>
  <c r="I1353" i="10"/>
  <c r="H1316" i="10"/>
  <c r="I1315" i="10"/>
  <c r="H1278" i="10"/>
  <c r="I1277" i="10"/>
  <c r="H1240" i="10"/>
  <c r="I1239" i="10"/>
  <c r="H1088" i="10"/>
  <c r="I1087" i="10"/>
  <c r="H936" i="10"/>
  <c r="I935" i="10"/>
  <c r="H898" i="10"/>
  <c r="I897" i="10"/>
  <c r="H860" i="10"/>
  <c r="I859" i="10"/>
  <c r="H822" i="10"/>
  <c r="I821" i="10"/>
  <c r="H670" i="10"/>
  <c r="I669" i="10"/>
  <c r="I4194" i="10"/>
  <c r="I4193" i="10"/>
  <c r="I4182" i="10"/>
  <c r="I4183" i="10"/>
  <c r="H3158" i="10"/>
  <c r="H2970" i="10"/>
  <c r="H3007" i="10"/>
  <c r="H3311" i="10"/>
  <c r="H2931" i="10"/>
  <c r="H2741" i="10"/>
  <c r="H2514" i="10"/>
  <c r="H2589" i="10"/>
  <c r="H2551" i="10"/>
  <c r="H2893" i="10"/>
  <c r="H1676" i="10"/>
  <c r="H1677" i="10" s="1"/>
  <c r="H1678" i="10" s="1"/>
  <c r="H1679" i="10" s="1"/>
  <c r="H1715" i="10"/>
  <c r="H1905" i="10"/>
  <c r="H1754" i="10"/>
  <c r="H2059" i="10"/>
  <c r="H3995" i="10"/>
  <c r="H3768" i="10"/>
  <c r="H3845" i="10"/>
  <c r="H3805" i="10"/>
  <c r="H4149" i="10"/>
  <c r="H2495" i="10" l="1"/>
  <c r="I2494" i="10"/>
  <c r="H2343" i="10"/>
  <c r="I2342" i="10"/>
  <c r="H2191" i="10"/>
  <c r="I2190" i="10"/>
  <c r="H2153" i="10"/>
  <c r="I2152" i="10"/>
  <c r="H2115" i="10"/>
  <c r="I2114" i="10"/>
  <c r="H1659" i="10"/>
  <c r="I1658" i="10"/>
  <c r="H1507" i="10"/>
  <c r="I1506" i="10"/>
  <c r="I1354" i="10"/>
  <c r="H1355" i="10"/>
  <c r="H1317" i="10"/>
  <c r="I1316" i="10"/>
  <c r="H1279" i="10"/>
  <c r="I1278" i="10"/>
  <c r="H1241" i="10"/>
  <c r="I1240" i="10"/>
  <c r="H1089" i="10"/>
  <c r="I1088" i="10"/>
  <c r="H937" i="10"/>
  <c r="I936" i="10"/>
  <c r="H899" i="10"/>
  <c r="I898" i="10"/>
  <c r="H861" i="10"/>
  <c r="I860" i="10"/>
  <c r="H823" i="10"/>
  <c r="I822" i="10"/>
  <c r="H671" i="10"/>
  <c r="I670" i="10"/>
  <c r="H2971" i="10"/>
  <c r="H3008" i="10"/>
  <c r="H3159" i="10"/>
  <c r="H2932" i="10"/>
  <c r="H3312" i="10"/>
  <c r="H2590" i="10"/>
  <c r="H2894" i="10"/>
  <c r="H2515" i="10"/>
  <c r="H2552" i="10"/>
  <c r="H2742" i="10"/>
  <c r="H1906" i="10"/>
  <c r="H2060" i="10"/>
  <c r="H1755" i="10"/>
  <c r="H1680" i="10"/>
  <c r="H1716" i="10"/>
  <c r="H3846" i="10"/>
  <c r="H4150" i="10"/>
  <c r="H3769" i="10"/>
  <c r="H3806" i="10"/>
  <c r="H3996" i="10"/>
  <c r="H2496" i="10" l="1"/>
  <c r="I2495" i="10"/>
  <c r="H2344" i="10"/>
  <c r="I2343" i="10"/>
  <c r="H2192" i="10"/>
  <c r="I2191" i="10"/>
  <c r="H2154" i="10"/>
  <c r="I2153" i="10"/>
  <c r="H2116" i="10"/>
  <c r="I2115" i="10"/>
  <c r="H1660" i="10"/>
  <c r="I1659" i="10"/>
  <c r="H1508" i="10"/>
  <c r="I1507" i="10"/>
  <c r="H1356" i="10"/>
  <c r="I1355" i="10"/>
  <c r="H1318" i="10"/>
  <c r="I1317" i="10"/>
  <c r="H1280" i="10"/>
  <c r="I1279" i="10"/>
  <c r="H1242" i="10"/>
  <c r="I1241" i="10"/>
  <c r="H1090" i="10"/>
  <c r="I1089" i="10"/>
  <c r="H938" i="10"/>
  <c r="I937" i="10"/>
  <c r="H900" i="10"/>
  <c r="I899" i="10"/>
  <c r="H862" i="10"/>
  <c r="I861" i="10"/>
  <c r="H824" i="10"/>
  <c r="I823" i="10"/>
  <c r="H672" i="10"/>
  <c r="I671" i="10"/>
  <c r="H3009" i="10"/>
  <c r="H2933" i="10"/>
  <c r="H2972" i="10"/>
  <c r="H3160" i="10"/>
  <c r="H3313" i="10"/>
  <c r="H2895" i="10"/>
  <c r="H2743" i="10"/>
  <c r="H2591" i="10"/>
  <c r="H2516" i="10"/>
  <c r="H2553" i="10"/>
  <c r="H1907" i="10"/>
  <c r="H1717" i="10"/>
  <c r="H1681" i="10"/>
  <c r="H1756" i="10"/>
  <c r="H2061" i="10"/>
  <c r="H3997" i="10"/>
  <c r="H3807" i="10"/>
  <c r="H4151" i="10"/>
  <c r="H3770" i="10"/>
  <c r="H3847" i="10"/>
  <c r="H2497" i="10" l="1"/>
  <c r="I2496" i="10"/>
  <c r="H2345" i="10"/>
  <c r="I2344" i="10"/>
  <c r="H2193" i="10"/>
  <c r="I2192" i="10"/>
  <c r="I2154" i="10"/>
  <c r="H2155" i="10"/>
  <c r="H2117" i="10"/>
  <c r="I2116" i="10"/>
  <c r="H1661" i="10"/>
  <c r="I1660" i="10"/>
  <c r="H1509" i="10"/>
  <c r="I1508" i="10"/>
  <c r="H1357" i="10"/>
  <c r="I1356" i="10"/>
  <c r="H1319" i="10"/>
  <c r="I1318" i="10"/>
  <c r="H1281" i="10"/>
  <c r="I1280" i="10"/>
  <c r="H1243" i="10"/>
  <c r="I1242" i="10"/>
  <c r="I1090" i="10"/>
  <c r="H1091" i="10"/>
  <c r="I938" i="10"/>
  <c r="H939" i="10"/>
  <c r="H901" i="10"/>
  <c r="I900" i="10"/>
  <c r="H863" i="10"/>
  <c r="I862" i="10"/>
  <c r="H825" i="10"/>
  <c r="I824" i="10"/>
  <c r="H673" i="10"/>
  <c r="I672" i="10"/>
  <c r="H2973" i="10"/>
  <c r="H2934" i="10"/>
  <c r="H3161" i="10"/>
  <c r="H3314" i="10"/>
  <c r="H3010" i="10"/>
  <c r="H2592" i="10"/>
  <c r="H2554" i="10"/>
  <c r="H2896" i="10"/>
  <c r="H2744" i="10"/>
  <c r="H2517" i="10"/>
  <c r="H1757" i="10"/>
  <c r="H2062" i="10"/>
  <c r="H1718" i="10"/>
  <c r="H1908" i="10"/>
  <c r="H1682" i="10"/>
  <c r="H3998" i="10"/>
  <c r="H3848" i="10"/>
  <c r="H3808" i="10"/>
  <c r="H3771" i="10"/>
  <c r="H4152" i="10"/>
  <c r="H2498" i="10" l="1"/>
  <c r="I2497" i="10"/>
  <c r="H2346" i="10"/>
  <c r="I2345" i="10"/>
  <c r="H2194" i="10"/>
  <c r="I2193" i="10"/>
  <c r="H2156" i="10"/>
  <c r="I2155" i="10"/>
  <c r="H2118" i="10"/>
  <c r="I2117" i="10"/>
  <c r="H1662" i="10"/>
  <c r="I1661" i="10"/>
  <c r="H1510" i="10"/>
  <c r="I1509" i="10"/>
  <c r="H1358" i="10"/>
  <c r="I1357" i="10"/>
  <c r="H1320" i="10"/>
  <c r="I1319" i="10"/>
  <c r="H1282" i="10"/>
  <c r="I1281" i="10"/>
  <c r="H1244" i="10"/>
  <c r="I1243" i="10"/>
  <c r="H1092" i="10"/>
  <c r="I1091" i="10"/>
  <c r="H940" i="10"/>
  <c r="I939" i="10"/>
  <c r="H902" i="10"/>
  <c r="I901" i="10"/>
  <c r="H864" i="10"/>
  <c r="I863" i="10"/>
  <c r="H826" i="10"/>
  <c r="I825" i="10"/>
  <c r="H674" i="10"/>
  <c r="I673" i="10"/>
  <c r="H2935" i="10"/>
  <c r="H2974" i="10"/>
  <c r="H3011" i="10"/>
  <c r="H3315" i="10"/>
  <c r="H3162" i="10"/>
  <c r="H2745" i="10"/>
  <c r="H2897" i="10"/>
  <c r="H2518" i="10"/>
  <c r="H2593" i="10"/>
  <c r="H2555" i="10"/>
  <c r="H1758" i="10"/>
  <c r="H1683" i="10"/>
  <c r="H1719" i="10"/>
  <c r="H1909" i="10"/>
  <c r="H2063" i="10"/>
  <c r="H3999" i="10"/>
  <c r="H3772" i="10"/>
  <c r="H4153" i="10"/>
  <c r="H3849" i="10"/>
  <c r="H3809" i="10"/>
  <c r="H2499" i="10" l="1"/>
  <c r="I2498" i="10"/>
  <c r="I2346" i="10"/>
  <c r="H2347" i="10"/>
  <c r="H2195" i="10"/>
  <c r="I2194" i="10"/>
  <c r="H2157" i="10"/>
  <c r="I2156" i="10"/>
  <c r="H2119" i="10"/>
  <c r="I2118" i="10"/>
  <c r="H1663" i="10"/>
  <c r="I1662" i="10"/>
  <c r="H1511" i="10"/>
  <c r="I1510" i="10"/>
  <c r="H1359" i="10"/>
  <c r="I1358" i="10"/>
  <c r="H1321" i="10"/>
  <c r="I1320" i="10"/>
  <c r="H1283" i="10"/>
  <c r="I1282" i="10"/>
  <c r="H1245" i="10"/>
  <c r="I1244" i="10"/>
  <c r="I1092" i="10"/>
  <c r="H1093" i="10"/>
  <c r="H941" i="10"/>
  <c r="I940" i="10"/>
  <c r="H903" i="10"/>
  <c r="I902" i="10"/>
  <c r="H865" i="10"/>
  <c r="I864" i="10"/>
  <c r="H827" i="10"/>
  <c r="I826" i="10"/>
  <c r="H675" i="10"/>
  <c r="I674" i="10"/>
  <c r="H3163" i="10"/>
  <c r="H2975" i="10"/>
  <c r="H3316" i="10"/>
  <c r="H3012" i="10"/>
  <c r="H2936" i="10"/>
  <c r="H2519" i="10"/>
  <c r="H2898" i="10"/>
  <c r="H2594" i="10"/>
  <c r="H2556" i="10"/>
  <c r="H2746" i="10"/>
  <c r="H2064" i="10"/>
  <c r="H1910" i="10"/>
  <c r="H1720" i="10"/>
  <c r="H1759" i="10"/>
  <c r="H1684" i="10"/>
  <c r="H3850" i="10"/>
  <c r="H4000" i="10"/>
  <c r="H3810" i="10"/>
  <c r="H4154" i="10"/>
  <c r="H3773" i="10"/>
  <c r="H2500" i="10" l="1"/>
  <c r="I2499" i="10"/>
  <c r="H2348" i="10"/>
  <c r="I2347" i="10"/>
  <c r="H2196" i="10"/>
  <c r="I2195" i="10"/>
  <c r="I2157" i="10"/>
  <c r="H2158" i="10"/>
  <c r="H2120" i="10"/>
  <c r="I2119" i="10"/>
  <c r="H1664" i="10"/>
  <c r="I1663" i="10"/>
  <c r="H1512" i="10"/>
  <c r="I1511" i="10"/>
  <c r="H1360" i="10"/>
  <c r="I1359" i="10"/>
  <c r="H1322" i="10"/>
  <c r="I1321" i="10"/>
  <c r="I1283" i="10"/>
  <c r="H1284" i="10"/>
  <c r="H1246" i="10"/>
  <c r="I1245" i="10"/>
  <c r="I1093" i="10"/>
  <c r="H1094" i="10"/>
  <c r="H942" i="10"/>
  <c r="I941" i="10"/>
  <c r="H904" i="10"/>
  <c r="I903" i="10"/>
  <c r="H866" i="10"/>
  <c r="I865" i="10"/>
  <c r="H828" i="10"/>
  <c r="I827" i="10"/>
  <c r="H676" i="10"/>
  <c r="I675" i="10"/>
  <c r="H2937" i="10"/>
  <c r="H3013" i="10"/>
  <c r="H2976" i="10"/>
  <c r="H3164" i="10"/>
  <c r="H3317" i="10"/>
  <c r="H2557" i="10"/>
  <c r="H2747" i="10"/>
  <c r="H2595" i="10"/>
  <c r="H2899" i="10"/>
  <c r="H2520" i="10"/>
  <c r="H1721" i="10"/>
  <c r="H1760" i="10"/>
  <c r="H1685" i="10"/>
  <c r="H2065" i="10"/>
  <c r="H1911" i="10"/>
  <c r="H4155" i="10"/>
  <c r="H3851" i="10"/>
  <c r="H4001" i="10"/>
  <c r="H3774" i="10"/>
  <c r="H3811" i="10"/>
  <c r="H2501" i="10" l="1"/>
  <c r="I2500" i="10"/>
  <c r="H2349" i="10"/>
  <c r="I2348" i="10"/>
  <c r="H2197" i="10"/>
  <c r="I2196" i="10"/>
  <c r="H2159" i="10"/>
  <c r="I2158" i="10"/>
  <c r="H2121" i="10"/>
  <c r="I2120" i="10"/>
  <c r="H1665" i="10"/>
  <c r="I1664" i="10"/>
  <c r="H1513" i="10"/>
  <c r="I1512" i="10"/>
  <c r="H1361" i="10"/>
  <c r="I1360" i="10"/>
  <c r="H1323" i="10"/>
  <c r="I1322" i="10"/>
  <c r="H1285" i="10"/>
  <c r="I1284" i="10"/>
  <c r="H1247" i="10"/>
  <c r="I1246" i="10"/>
  <c r="H1095" i="10"/>
  <c r="I1094" i="10"/>
  <c r="H943" i="10"/>
  <c r="I942" i="10"/>
  <c r="H905" i="10"/>
  <c r="I904" i="10"/>
  <c r="H867" i="10"/>
  <c r="I866" i="10"/>
  <c r="H829" i="10"/>
  <c r="I828" i="10"/>
  <c r="H677" i="10"/>
  <c r="I676" i="10"/>
  <c r="H2938" i="10"/>
  <c r="H3165" i="10"/>
  <c r="H3318" i="10"/>
  <c r="H3014" i="10"/>
  <c r="H2977" i="10"/>
  <c r="H2748" i="10"/>
  <c r="H2521" i="10"/>
  <c r="H2596" i="10"/>
  <c r="H2900" i="10"/>
  <c r="H2558" i="10"/>
  <c r="H1686" i="10"/>
  <c r="H1761" i="10"/>
  <c r="H2066" i="10"/>
  <c r="H1722" i="10"/>
  <c r="H1912" i="10"/>
  <c r="H4156" i="10"/>
  <c r="H3852" i="10"/>
  <c r="H3812" i="10"/>
  <c r="H4002" i="10"/>
  <c r="H3775" i="10"/>
  <c r="H2502" i="10" l="1"/>
  <c r="I2501" i="10"/>
  <c r="H2350" i="10"/>
  <c r="I2349" i="10"/>
  <c r="I2197" i="10"/>
  <c r="H2198" i="10"/>
  <c r="H2160" i="10"/>
  <c r="I2159" i="10"/>
  <c r="H2122" i="10"/>
  <c r="I2121" i="10"/>
  <c r="H1666" i="10"/>
  <c r="I1665" i="10"/>
  <c r="H1514" i="10"/>
  <c r="I1513" i="10"/>
  <c r="H1362" i="10"/>
  <c r="I1361" i="10"/>
  <c r="H1324" i="10"/>
  <c r="I1323" i="10"/>
  <c r="I1285" i="10"/>
  <c r="H1286" i="10"/>
  <c r="H1248" i="10"/>
  <c r="I1247" i="10"/>
  <c r="H1096" i="10"/>
  <c r="I1095" i="10"/>
  <c r="I943" i="10"/>
  <c r="H944" i="10"/>
  <c r="H906" i="10"/>
  <c r="I905" i="10"/>
  <c r="H868" i="10"/>
  <c r="I867" i="10"/>
  <c r="H830" i="10"/>
  <c r="I829" i="10"/>
  <c r="H678" i="10"/>
  <c r="I677" i="10"/>
  <c r="H3015" i="10"/>
  <c r="H3166" i="10"/>
  <c r="H2978" i="10"/>
  <c r="H3319" i="10"/>
  <c r="H2939" i="10"/>
  <c r="H2597" i="10"/>
  <c r="H2522" i="10"/>
  <c r="H2559" i="10"/>
  <c r="H2901" i="10"/>
  <c r="H2749" i="10"/>
  <c r="H1723" i="10"/>
  <c r="H1913" i="10"/>
  <c r="H2067" i="10"/>
  <c r="H1762" i="10"/>
  <c r="H1687" i="10"/>
  <c r="H3853" i="10"/>
  <c r="H4003" i="10"/>
  <c r="H3776" i="10"/>
  <c r="H4157" i="10"/>
  <c r="H3813" i="10"/>
  <c r="H2503" i="10" l="1"/>
  <c r="I2502" i="10"/>
  <c r="H2351" i="10"/>
  <c r="I2350" i="10"/>
  <c r="I2198" i="10"/>
  <c r="H2199" i="10"/>
  <c r="H2161" i="10"/>
  <c r="I2160" i="10"/>
  <c r="H2123" i="10"/>
  <c r="I2122" i="10"/>
  <c r="H1667" i="10"/>
  <c r="I1666" i="10"/>
  <c r="H1515" i="10"/>
  <c r="I1514" i="10"/>
  <c r="H1363" i="10"/>
  <c r="I1362" i="10"/>
  <c r="H1325" i="10"/>
  <c r="I1324" i="10"/>
  <c r="I1286" i="10"/>
  <c r="H1287" i="10"/>
  <c r="H1249" i="10"/>
  <c r="I1248" i="10"/>
  <c r="H1097" i="10"/>
  <c r="I1096" i="10"/>
  <c r="H945" i="10"/>
  <c r="I944" i="10"/>
  <c r="H907" i="10"/>
  <c r="I906" i="10"/>
  <c r="H869" i="10"/>
  <c r="I868" i="10"/>
  <c r="H831" i="10"/>
  <c r="I830" i="10"/>
  <c r="H679" i="10"/>
  <c r="I678" i="10"/>
  <c r="H3320" i="10"/>
  <c r="H3167" i="10"/>
  <c r="H2979" i="10"/>
  <c r="H2940" i="10"/>
  <c r="H3016" i="10"/>
  <c r="H2523" i="10"/>
  <c r="H2750" i="10"/>
  <c r="H2598" i="10"/>
  <c r="H2560" i="10"/>
  <c r="H2902" i="10"/>
  <c r="H1688" i="10"/>
  <c r="H1763" i="10"/>
  <c r="H1914" i="10"/>
  <c r="H2068" i="10"/>
  <c r="H1724" i="10"/>
  <c r="H3777" i="10"/>
  <c r="H4158" i="10"/>
  <c r="H3814" i="10"/>
  <c r="H4004" i="10"/>
  <c r="H3854" i="10"/>
  <c r="H2504" i="10" l="1"/>
  <c r="I2503" i="10"/>
  <c r="H2352" i="10"/>
  <c r="I2351" i="10"/>
  <c r="I2199" i="10"/>
  <c r="H2200" i="10"/>
  <c r="H2162" i="10"/>
  <c r="I2161" i="10"/>
  <c r="H2124" i="10"/>
  <c r="I2123" i="10"/>
  <c r="H1668" i="10"/>
  <c r="I1667" i="10"/>
  <c r="H1516" i="10"/>
  <c r="I1515" i="10"/>
  <c r="I1363" i="10"/>
  <c r="H1364" i="10"/>
  <c r="H1326" i="10"/>
  <c r="I1325" i="10"/>
  <c r="H1288" i="10"/>
  <c r="I1287" i="10"/>
  <c r="H1250" i="10"/>
  <c r="I1249" i="10"/>
  <c r="H1098" i="10"/>
  <c r="I1097" i="10"/>
  <c r="H946" i="10"/>
  <c r="I945" i="10"/>
  <c r="H908" i="10"/>
  <c r="I907" i="10"/>
  <c r="H870" i="10"/>
  <c r="I869" i="10"/>
  <c r="H832" i="10"/>
  <c r="I831" i="10"/>
  <c r="H680" i="10"/>
  <c r="I679" i="10"/>
  <c r="H2980" i="10"/>
  <c r="H3017" i="10"/>
  <c r="H2941" i="10"/>
  <c r="H3168" i="10"/>
  <c r="H3321" i="10"/>
  <c r="H2903" i="10"/>
  <c r="H2751" i="10"/>
  <c r="H2599" i="10"/>
  <c r="H2561" i="10"/>
  <c r="H2524" i="10"/>
  <c r="H2069" i="10"/>
  <c r="H1725" i="10"/>
  <c r="H1915" i="10"/>
  <c r="H1764" i="10"/>
  <c r="H1689" i="10"/>
  <c r="H3855" i="10"/>
  <c r="H4159" i="10"/>
  <c r="H3778" i="10"/>
  <c r="H3815" i="10"/>
  <c r="H4005" i="10"/>
  <c r="H2505" i="10" l="1"/>
  <c r="I2504" i="10"/>
  <c r="H2353" i="10"/>
  <c r="I2352" i="10"/>
  <c r="I2200" i="10"/>
  <c r="H2201" i="10"/>
  <c r="H2163" i="10"/>
  <c r="I2162" i="10"/>
  <c r="H2125" i="10"/>
  <c r="I2124" i="10"/>
  <c r="H1669" i="10"/>
  <c r="I1668" i="10"/>
  <c r="H1517" i="10"/>
  <c r="I1516" i="10"/>
  <c r="H1365" i="10"/>
  <c r="I1364" i="10"/>
  <c r="H1327" i="10"/>
  <c r="I1326" i="10"/>
  <c r="I1288" i="10"/>
  <c r="H1289" i="10"/>
  <c r="H1251" i="10"/>
  <c r="I1250" i="10"/>
  <c r="H1099" i="10"/>
  <c r="I1098" i="10"/>
  <c r="H947" i="10"/>
  <c r="I946" i="10"/>
  <c r="H909" i="10"/>
  <c r="I908" i="10"/>
  <c r="H871" i="10"/>
  <c r="I870" i="10"/>
  <c r="H833" i="10"/>
  <c r="I832" i="10"/>
  <c r="H681" i="10"/>
  <c r="I680" i="10"/>
  <c r="H3322" i="10"/>
  <c r="H3018" i="10"/>
  <c r="H3169" i="10"/>
  <c r="H2942" i="10"/>
  <c r="H2981" i="10"/>
  <c r="H2600" i="10"/>
  <c r="H2752" i="10"/>
  <c r="H2525" i="10"/>
  <c r="H2562" i="10"/>
  <c r="H2904" i="10"/>
  <c r="H1765" i="10"/>
  <c r="H1726" i="10"/>
  <c r="H2070" i="10"/>
  <c r="H1916" i="10"/>
  <c r="H1690" i="10"/>
  <c r="H4006" i="10"/>
  <c r="H4160" i="10"/>
  <c r="H3779" i="10"/>
  <c r="H3856" i="10"/>
  <c r="H3816" i="10"/>
  <c r="H2506" i="10" l="1"/>
  <c r="I2505" i="10"/>
  <c r="H2354" i="10"/>
  <c r="I2353" i="10"/>
  <c r="H2202" i="10"/>
  <c r="I2201" i="10"/>
  <c r="H2164" i="10"/>
  <c r="I2163" i="10"/>
  <c r="H2126" i="10"/>
  <c r="I2125" i="10"/>
  <c r="H1670" i="10"/>
  <c r="I1669" i="10"/>
  <c r="H1518" i="10"/>
  <c r="I1517" i="10"/>
  <c r="H1366" i="10"/>
  <c r="I1365" i="10"/>
  <c r="H1328" i="10"/>
  <c r="I1327" i="10"/>
  <c r="I1289" i="10"/>
  <c r="H1290" i="10"/>
  <c r="H1252" i="10"/>
  <c r="I1251" i="10"/>
  <c r="H1100" i="10"/>
  <c r="I1099" i="10"/>
  <c r="I947" i="10"/>
  <c r="H948" i="10"/>
  <c r="H910" i="10"/>
  <c r="I909" i="10"/>
  <c r="H872" i="10"/>
  <c r="I871" i="10"/>
  <c r="H834" i="10"/>
  <c r="I833" i="10"/>
  <c r="H682" i="10"/>
  <c r="I681" i="10"/>
  <c r="H2943" i="10"/>
  <c r="H2982" i="10"/>
  <c r="H3323" i="10"/>
  <c r="H3170" i="10"/>
  <c r="H3019" i="10"/>
  <c r="H2526" i="10"/>
  <c r="H2905" i="10"/>
  <c r="H2601" i="10"/>
  <c r="H2563" i="10"/>
  <c r="H2753" i="10"/>
  <c r="H1691" i="10"/>
  <c r="H1766" i="10"/>
  <c r="H1727" i="10"/>
  <c r="H2071" i="10"/>
  <c r="H1917" i="10"/>
  <c r="H3857" i="10"/>
  <c r="H3780" i="10"/>
  <c r="H4161" i="10"/>
  <c r="H3817" i="10"/>
  <c r="H4007" i="10"/>
  <c r="H2507" i="10" l="1"/>
  <c r="I2506" i="10"/>
  <c r="H2355" i="10"/>
  <c r="I2354" i="10"/>
  <c r="H2203" i="10"/>
  <c r="I2202" i="10"/>
  <c r="H2165" i="10"/>
  <c r="I2164" i="10"/>
  <c r="H2127" i="10"/>
  <c r="I2126" i="10"/>
  <c r="H1671" i="10"/>
  <c r="I1670" i="10"/>
  <c r="H1519" i="10"/>
  <c r="I1518" i="10"/>
  <c r="H1367" i="10"/>
  <c r="I1366" i="10"/>
  <c r="H1329" i="10"/>
  <c r="I1328" i="10"/>
  <c r="H1291" i="10"/>
  <c r="I1290" i="10"/>
  <c r="H1253" i="10"/>
  <c r="I1252" i="10"/>
  <c r="I1100" i="10"/>
  <c r="H1101" i="10"/>
  <c r="I948" i="10"/>
  <c r="H949" i="10"/>
  <c r="H911" i="10"/>
  <c r="I910" i="10"/>
  <c r="H873" i="10"/>
  <c r="I872" i="10"/>
  <c r="H835" i="10"/>
  <c r="I834" i="10"/>
  <c r="H683" i="10"/>
  <c r="I682" i="10"/>
  <c r="H2983" i="10"/>
  <c r="H3020" i="10"/>
  <c r="H2944" i="10"/>
  <c r="H3171" i="10"/>
  <c r="H3324" i="10"/>
  <c r="H2754" i="10"/>
  <c r="H2906" i="10"/>
  <c r="H2602" i="10"/>
  <c r="H2527" i="10"/>
  <c r="H2564" i="10"/>
  <c r="H1728" i="10"/>
  <c r="H1692" i="10"/>
  <c r="H1918" i="10"/>
  <c r="H2072" i="10"/>
  <c r="H1767" i="10"/>
  <c r="H3818" i="10"/>
  <c r="H4008" i="10"/>
  <c r="H3781" i="10"/>
  <c r="H4162" i="10"/>
  <c r="H3858" i="10"/>
  <c r="H2508" i="10" l="1"/>
  <c r="I2508" i="10" s="1"/>
  <c r="I2507" i="10"/>
  <c r="H2356" i="10"/>
  <c r="I2356" i="10" s="1"/>
  <c r="I2355" i="10"/>
  <c r="H2204" i="10"/>
  <c r="I2204" i="10" s="1"/>
  <c r="I2203" i="10"/>
  <c r="I2165" i="10"/>
  <c r="H2166" i="10"/>
  <c r="I2166" i="10" s="1"/>
  <c r="H2128" i="10"/>
  <c r="I2128" i="10" s="1"/>
  <c r="I2127" i="10"/>
  <c r="H1672" i="10"/>
  <c r="I1672" i="10" s="1"/>
  <c r="I1671" i="10"/>
  <c r="H1520" i="10"/>
  <c r="I1520" i="10" s="1"/>
  <c r="I1519" i="10"/>
  <c r="H1368" i="10"/>
  <c r="I1368" i="10" s="1"/>
  <c r="I1367" i="10"/>
  <c r="H1330" i="10"/>
  <c r="I1330" i="10" s="1"/>
  <c r="I1329" i="10"/>
  <c r="I1291" i="10"/>
  <c r="H1292" i="10"/>
  <c r="I1292" i="10" s="1"/>
  <c r="H1254" i="10"/>
  <c r="I1254" i="10" s="1"/>
  <c r="I1253" i="10"/>
  <c r="H1102" i="10"/>
  <c r="I1102" i="10" s="1"/>
  <c r="I1101" i="10"/>
  <c r="H950" i="10"/>
  <c r="I950" i="10" s="1"/>
  <c r="I949" i="10"/>
  <c r="H912" i="10"/>
  <c r="I912" i="10" s="1"/>
  <c r="I911" i="10"/>
  <c r="H874" i="10"/>
  <c r="I874" i="10" s="1"/>
  <c r="I873" i="10"/>
  <c r="H836" i="10"/>
  <c r="I836" i="10" s="1"/>
  <c r="I835" i="10"/>
  <c r="H684" i="10"/>
  <c r="I684" i="10" s="1"/>
  <c r="I683" i="10"/>
  <c r="H2984" i="10"/>
  <c r="H3172" i="10"/>
  <c r="H2945" i="10"/>
  <c r="H3325" i="10"/>
  <c r="H3021" i="10"/>
  <c r="H2565" i="10"/>
  <c r="H2907" i="10"/>
  <c r="H2528" i="10"/>
  <c r="H2603" i="10"/>
  <c r="H2755" i="10"/>
  <c r="H1768" i="10"/>
  <c r="H1919" i="10"/>
  <c r="H1729" i="10"/>
  <c r="H2073" i="10"/>
  <c r="H1693" i="10"/>
  <c r="H3859" i="10"/>
  <c r="H4009" i="10"/>
  <c r="H3782" i="10"/>
  <c r="H3819" i="10"/>
  <c r="H4163" i="10"/>
  <c r="H3326" i="10" l="1"/>
  <c r="H2985" i="10"/>
  <c r="H3173" i="10"/>
  <c r="H2946" i="10"/>
  <c r="H3022" i="10"/>
  <c r="H2908" i="10"/>
  <c r="H2529" i="10"/>
  <c r="H2566" i="10"/>
  <c r="H2756" i="10"/>
  <c r="H2604" i="10"/>
  <c r="H1920" i="10"/>
  <c r="H1769" i="10"/>
  <c r="H1694" i="10"/>
  <c r="H1695" i="10" s="1"/>
  <c r="H2074" i="10"/>
  <c r="H2075" i="10" s="1"/>
  <c r="H1730" i="10"/>
  <c r="H3783" i="10"/>
  <c r="H4164" i="10"/>
  <c r="H4165" i="10" s="1"/>
  <c r="H4010" i="10"/>
  <c r="H3860" i="10"/>
  <c r="H3861" i="10" s="1"/>
  <c r="H3820" i="10"/>
  <c r="H4166" i="10" l="1"/>
  <c r="I4165" i="10"/>
  <c r="H3862" i="10"/>
  <c r="I3861" i="10"/>
  <c r="H2076" i="10"/>
  <c r="I2075" i="10"/>
  <c r="H1696" i="10"/>
  <c r="I1695" i="10"/>
  <c r="H3174" i="10"/>
  <c r="H2947" i="10"/>
  <c r="H2986" i="10"/>
  <c r="H2987" i="10" s="1"/>
  <c r="H3023" i="10"/>
  <c r="H3327" i="10"/>
  <c r="H2909" i="10"/>
  <c r="H2757" i="10"/>
  <c r="H2530" i="10"/>
  <c r="H2531" i="10" s="1"/>
  <c r="H2567" i="10"/>
  <c r="H2605" i="10"/>
  <c r="H1731" i="10"/>
  <c r="H1770" i="10"/>
  <c r="H1771" i="10" s="1"/>
  <c r="H1921" i="10"/>
  <c r="H4011" i="10"/>
  <c r="H3821" i="10"/>
  <c r="H3784" i="10"/>
  <c r="H3785" i="10" s="1"/>
  <c r="H4167" i="10" l="1"/>
  <c r="I4166" i="10"/>
  <c r="H3863" i="10"/>
  <c r="I3862" i="10"/>
  <c r="H3786" i="10"/>
  <c r="I3785" i="10"/>
  <c r="H2988" i="10"/>
  <c r="I2987" i="10"/>
  <c r="H2532" i="10"/>
  <c r="I2531" i="10"/>
  <c r="I2076" i="10"/>
  <c r="H2077" i="10"/>
  <c r="H1772" i="10"/>
  <c r="I1771" i="10"/>
  <c r="H1697" i="10"/>
  <c r="I1696" i="10"/>
  <c r="H3175" i="10"/>
  <c r="H3328" i="10"/>
  <c r="H3329" i="10" s="1"/>
  <c r="H3024" i="10"/>
  <c r="H3025" i="10" s="1"/>
  <c r="H2948" i="10"/>
  <c r="H2949" i="10" s="1"/>
  <c r="H2568" i="10"/>
  <c r="H2569" i="10" s="1"/>
  <c r="H2910" i="10"/>
  <c r="H2911" i="10" s="1"/>
  <c r="H2606" i="10"/>
  <c r="H2607" i="10" s="1"/>
  <c r="H2758" i="10"/>
  <c r="H2759" i="10" s="1"/>
  <c r="H1732" i="10"/>
  <c r="H1733" i="10" s="1"/>
  <c r="H1922" i="10"/>
  <c r="H1923" i="10" s="1"/>
  <c r="H4012" i="10"/>
  <c r="H4013" i="10" s="1"/>
  <c r="H3822" i="10"/>
  <c r="H3823" i="10" s="1"/>
  <c r="H4168" i="10" l="1"/>
  <c r="I4167" i="10"/>
  <c r="H4014" i="10"/>
  <c r="I4013" i="10"/>
  <c r="H3864" i="10"/>
  <c r="I3863" i="10"/>
  <c r="H3824" i="10"/>
  <c r="I3823" i="10"/>
  <c r="H3787" i="10"/>
  <c r="I3786" i="10"/>
  <c r="H3330" i="10"/>
  <c r="I3329" i="10"/>
  <c r="H3026" i="10"/>
  <c r="I3025" i="10"/>
  <c r="H2989" i="10"/>
  <c r="I2988" i="10"/>
  <c r="H2950" i="10"/>
  <c r="I2949" i="10"/>
  <c r="H2912" i="10"/>
  <c r="I2911" i="10"/>
  <c r="H2760" i="10"/>
  <c r="I2759" i="10"/>
  <c r="H2608" i="10"/>
  <c r="I2607" i="10"/>
  <c r="H2570" i="10"/>
  <c r="I2569" i="10"/>
  <c r="H2533" i="10"/>
  <c r="I2532" i="10"/>
  <c r="H2078" i="10"/>
  <c r="I2077" i="10"/>
  <c r="H1924" i="10"/>
  <c r="I1923" i="10"/>
  <c r="H1773" i="10"/>
  <c r="I1772" i="10"/>
  <c r="H1734" i="10"/>
  <c r="I1733" i="10"/>
  <c r="H1698" i="10"/>
  <c r="I1697" i="10"/>
  <c r="H3176" i="10"/>
  <c r="H3177" i="10" s="1"/>
  <c r="H4169" i="10" l="1"/>
  <c r="I4168" i="10"/>
  <c r="H4015" i="10"/>
  <c r="I4014" i="10"/>
  <c r="H3865" i="10"/>
  <c r="I3864" i="10"/>
  <c r="H3825" i="10"/>
  <c r="I3824" i="10"/>
  <c r="H3788" i="10"/>
  <c r="I3787" i="10"/>
  <c r="H3331" i="10"/>
  <c r="I3330" i="10"/>
  <c r="H3178" i="10"/>
  <c r="I3177" i="10"/>
  <c r="H3027" i="10"/>
  <c r="I3026" i="10"/>
  <c r="H2990" i="10"/>
  <c r="I2989" i="10"/>
  <c r="H2951" i="10"/>
  <c r="I2950" i="10"/>
  <c r="H2913" i="10"/>
  <c r="I2912" i="10"/>
  <c r="H2761" i="10"/>
  <c r="I2760" i="10"/>
  <c r="H2609" i="10"/>
  <c r="I2608" i="10"/>
  <c r="H2571" i="10"/>
  <c r="I2570" i="10"/>
  <c r="H2534" i="10"/>
  <c r="I2533" i="10"/>
  <c r="H2079" i="10"/>
  <c r="I2078" i="10"/>
  <c r="H1925" i="10"/>
  <c r="I1924" i="10"/>
  <c r="H1774" i="10"/>
  <c r="I1773" i="10"/>
  <c r="H1735" i="10"/>
  <c r="I1734" i="10"/>
  <c r="H1699" i="10"/>
  <c r="I1698" i="10"/>
  <c r="H4170" i="10" l="1"/>
  <c r="I4169" i="10"/>
  <c r="H4016" i="10"/>
  <c r="I4015" i="10"/>
  <c r="H3866" i="10"/>
  <c r="I3865" i="10"/>
  <c r="H3826" i="10"/>
  <c r="I3825" i="10"/>
  <c r="H3789" i="10"/>
  <c r="I3788" i="10"/>
  <c r="H3332" i="10"/>
  <c r="I3331" i="10"/>
  <c r="H3179" i="10"/>
  <c r="I3178" i="10"/>
  <c r="H3028" i="10"/>
  <c r="I3027" i="10"/>
  <c r="I2990" i="10"/>
  <c r="H2991" i="10"/>
  <c r="H2952" i="10"/>
  <c r="I2951" i="10"/>
  <c r="H2914" i="10"/>
  <c r="I2913" i="10"/>
  <c r="H2762" i="10"/>
  <c r="I2761" i="10"/>
  <c r="H2610" i="10"/>
  <c r="I2609" i="10"/>
  <c r="H2572" i="10"/>
  <c r="I2571" i="10"/>
  <c r="H2535" i="10"/>
  <c r="I2534" i="10"/>
  <c r="H2080" i="10"/>
  <c r="I2079" i="10"/>
  <c r="H1926" i="10"/>
  <c r="I1925" i="10"/>
  <c r="H1775" i="10"/>
  <c r="I1774" i="10"/>
  <c r="H1736" i="10"/>
  <c r="I1735" i="10"/>
  <c r="H1700" i="10"/>
  <c r="I1699" i="10"/>
  <c r="H4171" i="10" l="1"/>
  <c r="I4170" i="10"/>
  <c r="H4017" i="10"/>
  <c r="I4016" i="10"/>
  <c r="H3867" i="10"/>
  <c r="I3866" i="10"/>
  <c r="H3827" i="10"/>
  <c r="I3826" i="10"/>
  <c r="H3790" i="10"/>
  <c r="I3789" i="10"/>
  <c r="H3333" i="10"/>
  <c r="I3332" i="10"/>
  <c r="H3180" i="10"/>
  <c r="I3179" i="10"/>
  <c r="H3029" i="10"/>
  <c r="I3028" i="10"/>
  <c r="H2992" i="10"/>
  <c r="I2991" i="10"/>
  <c r="H2953" i="10"/>
  <c r="I2952" i="10"/>
  <c r="H2915" i="10"/>
  <c r="I2914" i="10"/>
  <c r="H2763" i="10"/>
  <c r="I2762" i="10"/>
  <c r="H2611" i="10"/>
  <c r="I2610" i="10"/>
  <c r="H2573" i="10"/>
  <c r="I2572" i="10"/>
  <c r="H2536" i="10"/>
  <c r="I2535" i="10"/>
  <c r="H2081" i="10"/>
  <c r="I2080" i="10"/>
  <c r="H1927" i="10"/>
  <c r="I1926"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018" i="10"/>
  <c r="I4017" i="10"/>
  <c r="I3867" i="10"/>
  <c r="H3868" i="10"/>
  <c r="H3828" i="10"/>
  <c r="I3827" i="10"/>
  <c r="H3791" i="10"/>
  <c r="I3790" i="10"/>
  <c r="H3334" i="10"/>
  <c r="I3333" i="10"/>
  <c r="H3181" i="10"/>
  <c r="I3180" i="10"/>
  <c r="H3030" i="10"/>
  <c r="I3029" i="10"/>
  <c r="H2993" i="10"/>
  <c r="I2992" i="10"/>
  <c r="H2954" i="10"/>
  <c r="I2953" i="10"/>
  <c r="H2916" i="10"/>
  <c r="I2915" i="10"/>
  <c r="H2764" i="10"/>
  <c r="I2763" i="10"/>
  <c r="H2612" i="10"/>
  <c r="I2611" i="10"/>
  <c r="H2574" i="10"/>
  <c r="I2573" i="10"/>
  <c r="H2537" i="10"/>
  <c r="I2536" i="10"/>
  <c r="H2082" i="10"/>
  <c r="I2081" i="10"/>
  <c r="H1928" i="10"/>
  <c r="I1927" i="10"/>
  <c r="H1777" i="10"/>
  <c r="I1776" i="10"/>
  <c r="H1738" i="10"/>
  <c r="I1737" i="10"/>
  <c r="H1702" i="10"/>
  <c r="I1701" i="10"/>
  <c r="H518" i="10"/>
  <c r="I517" i="10"/>
  <c r="H480" i="10"/>
  <c r="I479" i="10"/>
  <c r="H442" i="10"/>
  <c r="I441" i="10"/>
  <c r="H404" i="10"/>
  <c r="I403" i="10"/>
  <c r="H252" i="10"/>
  <c r="I251"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E4125" i="10"/>
  <c r="F4125" i="10" s="1"/>
  <c r="E4124" i="10"/>
  <c r="F4124" i="10" s="1"/>
  <c r="E4123" i="10"/>
  <c r="F4123" i="10" s="1"/>
  <c r="E4122" i="10"/>
  <c r="F4122" i="10" s="1"/>
  <c r="E4121" i="10"/>
  <c r="F4121" i="10" s="1"/>
  <c r="E4120" i="10"/>
  <c r="F4120" i="10" s="1"/>
  <c r="E4119" i="10"/>
  <c r="F4119" i="10" s="1"/>
  <c r="E4118" i="10"/>
  <c r="F4118" i="10" s="1"/>
  <c r="E4117" i="10"/>
  <c r="F4117" i="10" s="1"/>
  <c r="E4116" i="10"/>
  <c r="F4116" i="10" s="1"/>
  <c r="E4115" i="10"/>
  <c r="F4115" i="10" s="1"/>
  <c r="E4114" i="10"/>
  <c r="F4114" i="10" s="1"/>
  <c r="E4113" i="10"/>
  <c r="F4113" i="10" s="1"/>
  <c r="E4112" i="10"/>
  <c r="F4112" i="10" s="1"/>
  <c r="E4111" i="10"/>
  <c r="F4111" i="10" s="1"/>
  <c r="E4110" i="10"/>
  <c r="F4110" i="10" s="1"/>
  <c r="E4109" i="10"/>
  <c r="F4109" i="10" s="1"/>
  <c r="E4108" i="10"/>
  <c r="F4108" i="10" s="1"/>
  <c r="E4107" i="10"/>
  <c r="F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E4088" i="10"/>
  <c r="F4088" i="10" s="1"/>
  <c r="E4087" i="10"/>
  <c r="F4087" i="10" s="1"/>
  <c r="E4086" i="10"/>
  <c r="F4086" i="10" s="1"/>
  <c r="E4085" i="10"/>
  <c r="F4085" i="10" s="1"/>
  <c r="E4084" i="10"/>
  <c r="F4084" i="10" s="1"/>
  <c r="E4083" i="10"/>
  <c r="F4083" i="10" s="1"/>
  <c r="E4082" i="10"/>
  <c r="F4082" i="10" s="1"/>
  <c r="E4081" i="10"/>
  <c r="F4081" i="10" s="1"/>
  <c r="E4080" i="10"/>
  <c r="F4080" i="10" s="1"/>
  <c r="E4079" i="10"/>
  <c r="F4079" i="10" s="1"/>
  <c r="E4078" i="10"/>
  <c r="F4078" i="10" s="1"/>
  <c r="E4077" i="10"/>
  <c r="F4077" i="10" s="1"/>
  <c r="E4076" i="10"/>
  <c r="F4076" i="10" s="1"/>
  <c r="E4075" i="10"/>
  <c r="F4075" i="10" s="1"/>
  <c r="E4074" i="10"/>
  <c r="F4074" i="10" s="1"/>
  <c r="E4073" i="10"/>
  <c r="F4073" i="10" s="1"/>
  <c r="E4072" i="10"/>
  <c r="F4072" i="10" s="1"/>
  <c r="E4071" i="10"/>
  <c r="F4071" i="10" s="1"/>
  <c r="E4070" i="10"/>
  <c r="F4070" i="10" s="1"/>
  <c r="E4069" i="10"/>
  <c r="F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E4050" i="10"/>
  <c r="F4050" i="10" s="1"/>
  <c r="E4049" i="10"/>
  <c r="F4049" i="10" s="1"/>
  <c r="E4048" i="10"/>
  <c r="F4048" i="10" s="1"/>
  <c r="E4047" i="10"/>
  <c r="F4047" i="10" s="1"/>
  <c r="E4046" i="10"/>
  <c r="F4046" i="10" s="1"/>
  <c r="E4045" i="10"/>
  <c r="F4045" i="10" s="1"/>
  <c r="E4044" i="10"/>
  <c r="F4044" i="10" s="1"/>
  <c r="E4043" i="10"/>
  <c r="F4043" i="10" s="1"/>
  <c r="E4042" i="10"/>
  <c r="F4042" i="10" s="1"/>
  <c r="E4041" i="10"/>
  <c r="F4041" i="10" s="1"/>
  <c r="E4040" i="10"/>
  <c r="F4040" i="10" s="1"/>
  <c r="E4039" i="10"/>
  <c r="F4039" i="10" s="1"/>
  <c r="E4038" i="10"/>
  <c r="F4038" i="10" s="1"/>
  <c r="E4037" i="10"/>
  <c r="F4037" i="10" s="1"/>
  <c r="E4036" i="10"/>
  <c r="F4036" i="10" s="1"/>
  <c r="E4035" i="10"/>
  <c r="F4035" i="10" s="1"/>
  <c r="E4034" i="10"/>
  <c r="F4034" i="10" s="1"/>
  <c r="E4033" i="10"/>
  <c r="F4033" i="10" s="1"/>
  <c r="E4032" i="10"/>
  <c r="F4032" i="10" s="1"/>
  <c r="E4031" i="10"/>
  <c r="F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E3973" i="10"/>
  <c r="F3973" i="10" s="1"/>
  <c r="E3972" i="10"/>
  <c r="F3972" i="10" s="1"/>
  <c r="E3971" i="10"/>
  <c r="F3971" i="10" s="1"/>
  <c r="E3970" i="10"/>
  <c r="F3970" i="10" s="1"/>
  <c r="E3969" i="10"/>
  <c r="F3969" i="10" s="1"/>
  <c r="E3968" i="10"/>
  <c r="F3968" i="10" s="1"/>
  <c r="E3967" i="10"/>
  <c r="F3967" i="10" s="1"/>
  <c r="E3966" i="10"/>
  <c r="F3966" i="10" s="1"/>
  <c r="E3965" i="10"/>
  <c r="F3965" i="10" s="1"/>
  <c r="E3964" i="10"/>
  <c r="F3964" i="10" s="1"/>
  <c r="E3963" i="10"/>
  <c r="F3963" i="10" s="1"/>
  <c r="E3962" i="10"/>
  <c r="F3962" i="10" s="1"/>
  <c r="E3961" i="10"/>
  <c r="F3961" i="10" s="1"/>
  <c r="E3960" i="10"/>
  <c r="F3960" i="10" s="1"/>
  <c r="E3959" i="10"/>
  <c r="F3959" i="10" s="1"/>
  <c r="E3958" i="10"/>
  <c r="F3958" i="10" s="1"/>
  <c r="E3957" i="10"/>
  <c r="F3957" i="10" s="1"/>
  <c r="E3956" i="10"/>
  <c r="F3956" i="10" s="1"/>
  <c r="E3955" i="10"/>
  <c r="F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E3936" i="10"/>
  <c r="F3936" i="10" s="1"/>
  <c r="E3935" i="10"/>
  <c r="F3935" i="10" s="1"/>
  <c r="E3934" i="10"/>
  <c r="F3934" i="10" s="1"/>
  <c r="E3933" i="10"/>
  <c r="F3933" i="10" s="1"/>
  <c r="E3932" i="10"/>
  <c r="F3932" i="10" s="1"/>
  <c r="E3931" i="10"/>
  <c r="F3931" i="10" s="1"/>
  <c r="E3930" i="10"/>
  <c r="F3930" i="10" s="1"/>
  <c r="E3929" i="10"/>
  <c r="F3929" i="10" s="1"/>
  <c r="E3928" i="10"/>
  <c r="F3928" i="10" s="1"/>
  <c r="E3927" i="10"/>
  <c r="F3927" i="10" s="1"/>
  <c r="E3926" i="10"/>
  <c r="F3926" i="10" s="1"/>
  <c r="E3925" i="10"/>
  <c r="F3925" i="10" s="1"/>
  <c r="E3924" i="10"/>
  <c r="F3924" i="10" s="1"/>
  <c r="E3923" i="10"/>
  <c r="F3923" i="10" s="1"/>
  <c r="E3922" i="10"/>
  <c r="F3922" i="10" s="1"/>
  <c r="E3921" i="10"/>
  <c r="F3921" i="10" s="1"/>
  <c r="E3920" i="10"/>
  <c r="F3920" i="10" s="1"/>
  <c r="E3919" i="10"/>
  <c r="F3919" i="10" s="1"/>
  <c r="E3918" i="10"/>
  <c r="F3918" i="10" s="1"/>
  <c r="E3917" i="10"/>
  <c r="F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E3898" i="10"/>
  <c r="F3898" i="10" s="1"/>
  <c r="E3897" i="10"/>
  <c r="F3897" i="10" s="1"/>
  <c r="E3896" i="10"/>
  <c r="F3896" i="10" s="1"/>
  <c r="E3895" i="10"/>
  <c r="F3895" i="10" s="1"/>
  <c r="E3894" i="10"/>
  <c r="F3894" i="10" s="1"/>
  <c r="E3893" i="10"/>
  <c r="F3893" i="10" s="1"/>
  <c r="E3892" i="10"/>
  <c r="F3892" i="10" s="1"/>
  <c r="E3891" i="10"/>
  <c r="F3891" i="10" s="1"/>
  <c r="E3890" i="10"/>
  <c r="F3890" i="10" s="1"/>
  <c r="E3889" i="10"/>
  <c r="F3889" i="10" s="1"/>
  <c r="E3888" i="10"/>
  <c r="F3888" i="10" s="1"/>
  <c r="E3887" i="10"/>
  <c r="F3887" i="10" s="1"/>
  <c r="E3886" i="10"/>
  <c r="F3886" i="10" s="1"/>
  <c r="E3885" i="10"/>
  <c r="F3885" i="10" s="1"/>
  <c r="E3884" i="10"/>
  <c r="F3884" i="10" s="1"/>
  <c r="E3883" i="10"/>
  <c r="F3883" i="10" s="1"/>
  <c r="E3882" i="10"/>
  <c r="F3882" i="10" s="1"/>
  <c r="E3881" i="10"/>
  <c r="F3881" i="10" s="1"/>
  <c r="E3880" i="10"/>
  <c r="F3880" i="10" s="1"/>
  <c r="E3879" i="10"/>
  <c r="F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E3707" i="10"/>
  <c r="F3707" i="10" s="1"/>
  <c r="E3706" i="10"/>
  <c r="F3706" i="10" s="1"/>
  <c r="E3705" i="10"/>
  <c r="F3705" i="10" s="1"/>
  <c r="E3704" i="10"/>
  <c r="F3704" i="10" s="1"/>
  <c r="E3703" i="10"/>
  <c r="F3703" i="10" s="1"/>
  <c r="E3702" i="10"/>
  <c r="F3702" i="10" s="1"/>
  <c r="E3701" i="10"/>
  <c r="F3701" i="10" s="1"/>
  <c r="E3700" i="10"/>
  <c r="F3700" i="10" s="1"/>
  <c r="E3699" i="10"/>
  <c r="F3699" i="10" s="1"/>
  <c r="E3698" i="10"/>
  <c r="F3698" i="10" s="1"/>
  <c r="E3697" i="10"/>
  <c r="F3697" i="10" s="1"/>
  <c r="E3696" i="10"/>
  <c r="F3696" i="10" s="1"/>
  <c r="E3695" i="10"/>
  <c r="F3695" i="10" s="1"/>
  <c r="E3694" i="10"/>
  <c r="F3694" i="10" s="1"/>
  <c r="E3693" i="10"/>
  <c r="F3693" i="10" s="1"/>
  <c r="E3692" i="10"/>
  <c r="F3692" i="10" s="1"/>
  <c r="E3691" i="10"/>
  <c r="F3691" i="10" s="1"/>
  <c r="E3690" i="10"/>
  <c r="F3690" i="10" s="1"/>
  <c r="E3689" i="10"/>
  <c r="F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E3670" i="10"/>
  <c r="F3670" i="10" s="1"/>
  <c r="E3669" i="10"/>
  <c r="F3669" i="10" s="1"/>
  <c r="E3668" i="10"/>
  <c r="F3668" i="10" s="1"/>
  <c r="E3667" i="10"/>
  <c r="F3667" i="10" s="1"/>
  <c r="E3666" i="10"/>
  <c r="F3666" i="10" s="1"/>
  <c r="E3665" i="10"/>
  <c r="F3665" i="10" s="1"/>
  <c r="E3664" i="10"/>
  <c r="F3664" i="10" s="1"/>
  <c r="E3663" i="10"/>
  <c r="F3663" i="10" s="1"/>
  <c r="E3662" i="10"/>
  <c r="F3662" i="10" s="1"/>
  <c r="E3661" i="10"/>
  <c r="F3661" i="10" s="1"/>
  <c r="E3660" i="10"/>
  <c r="F3660" i="10" s="1"/>
  <c r="E3659" i="10"/>
  <c r="F3659" i="10" s="1"/>
  <c r="E3658" i="10"/>
  <c r="F3658" i="10" s="1"/>
  <c r="E3657" i="10"/>
  <c r="F3657" i="10" s="1"/>
  <c r="E3656" i="10"/>
  <c r="F3656" i="10" s="1"/>
  <c r="E3655" i="10"/>
  <c r="F3655" i="10" s="1"/>
  <c r="E3654" i="10"/>
  <c r="F3654" i="10" s="1"/>
  <c r="E3653" i="10"/>
  <c r="F3653" i="10" s="1"/>
  <c r="E3652" i="10"/>
  <c r="F3652" i="10" s="1"/>
  <c r="E3651" i="10"/>
  <c r="F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E3632" i="10"/>
  <c r="F3632" i="10" s="1"/>
  <c r="E3631" i="10"/>
  <c r="F3631" i="10" s="1"/>
  <c r="E3630" i="10"/>
  <c r="F3630" i="10" s="1"/>
  <c r="E3629" i="10"/>
  <c r="F3629" i="10" s="1"/>
  <c r="E3628" i="10"/>
  <c r="F3628" i="10" s="1"/>
  <c r="E3627" i="10"/>
  <c r="F3627" i="10" s="1"/>
  <c r="E3626" i="10"/>
  <c r="F3626" i="10" s="1"/>
  <c r="E3625" i="10"/>
  <c r="F3625" i="10" s="1"/>
  <c r="E3624" i="10"/>
  <c r="F3624" i="10" s="1"/>
  <c r="E3623" i="10"/>
  <c r="F3623" i="10" s="1"/>
  <c r="E3622" i="10"/>
  <c r="F3622" i="10" s="1"/>
  <c r="E3621" i="10"/>
  <c r="F3621" i="10" s="1"/>
  <c r="E3620" i="10"/>
  <c r="F3620" i="10" s="1"/>
  <c r="E3619" i="10"/>
  <c r="F3619" i="10" s="1"/>
  <c r="E3618" i="10"/>
  <c r="F3618" i="10" s="1"/>
  <c r="E3617" i="10"/>
  <c r="F3617" i="10" s="1"/>
  <c r="E3616" i="10"/>
  <c r="F3616" i="10" s="1"/>
  <c r="E3615" i="10"/>
  <c r="F3615" i="10" s="1"/>
  <c r="E3614" i="10"/>
  <c r="F3614" i="10" s="1"/>
  <c r="E3613" i="10"/>
  <c r="F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E3594" i="10"/>
  <c r="F3594" i="10" s="1"/>
  <c r="E3593" i="10"/>
  <c r="F3593" i="10" s="1"/>
  <c r="E3592" i="10"/>
  <c r="F3592" i="10" s="1"/>
  <c r="E3591" i="10"/>
  <c r="F3591" i="10" s="1"/>
  <c r="E3590" i="10"/>
  <c r="F3590" i="10" s="1"/>
  <c r="E3589" i="10"/>
  <c r="F3589" i="10" s="1"/>
  <c r="E3588" i="10"/>
  <c r="F3588" i="10" s="1"/>
  <c r="I3588" i="10" s="1"/>
  <c r="E3587" i="10"/>
  <c r="F3587" i="10" s="1"/>
  <c r="E3586" i="10"/>
  <c r="F3586" i="10" s="1"/>
  <c r="E3585" i="10"/>
  <c r="F3585" i="10" s="1"/>
  <c r="E3584" i="10"/>
  <c r="F3584" i="10" s="1"/>
  <c r="E3583" i="10"/>
  <c r="F3583" i="10" s="1"/>
  <c r="E3582" i="10"/>
  <c r="F3582" i="10" s="1"/>
  <c r="E3581" i="10"/>
  <c r="F3581" i="10" s="1"/>
  <c r="E3580" i="10"/>
  <c r="F3580" i="10" s="1"/>
  <c r="I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E3555" i="10"/>
  <c r="F3555" i="10" s="1"/>
  <c r="E3554" i="10"/>
  <c r="F3554" i="10" s="1"/>
  <c r="E3553" i="10"/>
  <c r="F3553" i="10" s="1"/>
  <c r="E3552" i="10"/>
  <c r="F3552" i="10" s="1"/>
  <c r="E3551" i="10"/>
  <c r="F3551" i="10" s="1"/>
  <c r="E3550" i="10"/>
  <c r="F3550" i="10" s="1"/>
  <c r="E3549" i="10"/>
  <c r="F3549" i="10" s="1"/>
  <c r="E3548" i="10"/>
  <c r="F3548" i="10" s="1"/>
  <c r="E3547" i="10"/>
  <c r="F3547" i="10" s="1"/>
  <c r="E3546" i="10"/>
  <c r="F3546" i="10" s="1"/>
  <c r="E3545" i="10"/>
  <c r="F3545" i="10" s="1"/>
  <c r="E3544" i="10"/>
  <c r="F3544" i="10" s="1"/>
  <c r="E3543" i="10"/>
  <c r="F3543" i="10" s="1"/>
  <c r="E3542" i="10"/>
  <c r="F3542" i="10" s="1"/>
  <c r="E3541" i="10"/>
  <c r="F3541" i="10" s="1"/>
  <c r="E3540" i="10"/>
  <c r="F3540" i="10" s="1"/>
  <c r="E3539" i="10"/>
  <c r="F3539" i="10" s="1"/>
  <c r="E3538" i="10"/>
  <c r="F3538" i="10" s="1"/>
  <c r="E3537" i="10"/>
  <c r="F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E3518" i="10"/>
  <c r="F3518" i="10" s="1"/>
  <c r="E3517" i="10"/>
  <c r="F3517" i="10" s="1"/>
  <c r="E3516" i="10"/>
  <c r="F3516" i="10" s="1"/>
  <c r="E3515" i="10"/>
  <c r="F3515" i="10" s="1"/>
  <c r="E3514" i="10"/>
  <c r="F3514" i="10" s="1"/>
  <c r="E3513" i="10"/>
  <c r="F3513" i="10" s="1"/>
  <c r="E3512" i="10"/>
  <c r="F3512" i="10" s="1"/>
  <c r="E3511" i="10"/>
  <c r="F3511" i="10" s="1"/>
  <c r="E3510" i="10"/>
  <c r="F3510" i="10" s="1"/>
  <c r="E3509" i="10"/>
  <c r="F3509" i="10" s="1"/>
  <c r="E3508" i="10"/>
  <c r="F3508" i="10" s="1"/>
  <c r="E3507" i="10"/>
  <c r="F3507" i="10" s="1"/>
  <c r="E3506" i="10"/>
  <c r="F3506" i="10" s="1"/>
  <c r="E3505" i="10"/>
  <c r="F3505" i="10" s="1"/>
  <c r="E3504" i="10"/>
  <c r="F3504" i="10" s="1"/>
  <c r="E3503" i="10"/>
  <c r="F3503" i="10" s="1"/>
  <c r="E3502" i="10"/>
  <c r="F3502" i="10" s="1"/>
  <c r="E3501" i="10"/>
  <c r="F3501" i="10" s="1"/>
  <c r="E3500" i="10"/>
  <c r="F3500" i="10" s="1"/>
  <c r="E3499" i="10"/>
  <c r="F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E3480" i="10"/>
  <c r="F3480" i="10" s="1"/>
  <c r="E3479" i="10"/>
  <c r="F3479" i="10" s="1"/>
  <c r="E3478" i="10"/>
  <c r="F3478" i="10" s="1"/>
  <c r="E3477" i="10"/>
  <c r="F3477" i="10" s="1"/>
  <c r="E3476" i="10"/>
  <c r="F3476" i="10" s="1"/>
  <c r="E3475" i="10"/>
  <c r="F3475" i="10" s="1"/>
  <c r="E3474" i="10"/>
  <c r="F3474" i="10" s="1"/>
  <c r="E3473" i="10"/>
  <c r="F3473" i="10" s="1"/>
  <c r="E3472" i="10"/>
  <c r="F3472" i="10" s="1"/>
  <c r="E3471" i="10"/>
  <c r="F3471" i="10" s="1"/>
  <c r="E3470" i="10"/>
  <c r="F3470" i="10" s="1"/>
  <c r="E3469" i="10"/>
  <c r="F3469" i="10" s="1"/>
  <c r="E3468" i="10"/>
  <c r="F3468" i="10" s="1"/>
  <c r="E3467" i="10"/>
  <c r="F3467" i="10" s="1"/>
  <c r="E3466" i="10"/>
  <c r="F3466" i="10" s="1"/>
  <c r="E3465" i="10"/>
  <c r="F3465" i="10" s="1"/>
  <c r="E3464" i="10"/>
  <c r="F3464" i="10" s="1"/>
  <c r="E3463" i="10"/>
  <c r="F3463" i="10" s="1"/>
  <c r="E3462" i="10"/>
  <c r="F3462" i="10" s="1"/>
  <c r="E3461" i="10"/>
  <c r="F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E3289" i="10"/>
  <c r="F3289" i="10" s="1"/>
  <c r="E3288" i="10"/>
  <c r="F3288" i="10" s="1"/>
  <c r="E3287" i="10"/>
  <c r="F3287" i="10" s="1"/>
  <c r="E3286" i="10"/>
  <c r="F3286" i="10" s="1"/>
  <c r="E3285" i="10"/>
  <c r="F3285" i="10" s="1"/>
  <c r="E3284" i="10"/>
  <c r="F3284" i="10" s="1"/>
  <c r="E3283" i="10"/>
  <c r="F3283" i="10" s="1"/>
  <c r="E3282" i="10"/>
  <c r="F3282" i="10" s="1"/>
  <c r="E3281" i="10"/>
  <c r="F3281" i="10" s="1"/>
  <c r="E3280" i="10"/>
  <c r="F3280" i="10" s="1"/>
  <c r="E3279" i="10"/>
  <c r="F3279" i="10" s="1"/>
  <c r="E3278" i="10"/>
  <c r="F3278" i="10" s="1"/>
  <c r="E3277" i="10"/>
  <c r="F3277" i="10" s="1"/>
  <c r="E3276" i="10"/>
  <c r="F3276" i="10" s="1"/>
  <c r="E3275" i="10"/>
  <c r="F3275" i="10" s="1"/>
  <c r="E3274" i="10"/>
  <c r="F3274" i="10" s="1"/>
  <c r="E3273" i="10"/>
  <c r="F3273" i="10" s="1"/>
  <c r="E3272" i="10"/>
  <c r="F3272" i="10" s="1"/>
  <c r="E3271" i="10"/>
  <c r="F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E3269" i="10"/>
  <c r="E3252" i="10"/>
  <c r="F3252" i="10" s="1"/>
  <c r="E3251" i="10"/>
  <c r="F3251" i="10" s="1"/>
  <c r="E3250" i="10"/>
  <c r="F3250" i="10" s="1"/>
  <c r="E3249" i="10"/>
  <c r="F3249" i="10" s="1"/>
  <c r="E3248" i="10"/>
  <c r="F3248" i="10" s="1"/>
  <c r="E3247" i="10"/>
  <c r="F3247" i="10" s="1"/>
  <c r="E3246" i="10"/>
  <c r="F3246" i="10" s="1"/>
  <c r="E3245" i="10"/>
  <c r="F3245" i="10" s="1"/>
  <c r="E3244" i="10"/>
  <c r="F3244" i="10" s="1"/>
  <c r="E3243" i="10"/>
  <c r="F3243" i="10" s="1"/>
  <c r="E3242" i="10"/>
  <c r="F3242" i="10" s="1"/>
  <c r="E3241" i="10"/>
  <c r="F3241" i="10" s="1"/>
  <c r="E3240" i="10"/>
  <c r="F3240" i="10" s="1"/>
  <c r="E3239" i="10"/>
  <c r="F3239" i="10" s="1"/>
  <c r="E3238" i="10"/>
  <c r="F3238" i="10" s="1"/>
  <c r="E3237" i="10"/>
  <c r="F3237" i="10" s="1"/>
  <c r="E3236" i="10"/>
  <c r="F3236" i="10" s="1"/>
  <c r="E3235" i="10"/>
  <c r="F3235" i="10" s="1"/>
  <c r="E3234" i="10"/>
  <c r="F3234" i="10" s="1"/>
  <c r="E3233" i="10"/>
  <c r="F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E3231" i="10"/>
  <c r="E3214" i="10"/>
  <c r="F3214" i="10" s="1"/>
  <c r="E3213" i="10"/>
  <c r="F3213" i="10" s="1"/>
  <c r="E3212" i="10"/>
  <c r="F3212" i="10" s="1"/>
  <c r="E3211" i="10"/>
  <c r="F3211" i="10" s="1"/>
  <c r="E3210" i="10"/>
  <c r="F3210" i="10" s="1"/>
  <c r="E3209" i="10"/>
  <c r="F3209" i="10" s="1"/>
  <c r="E3208" i="10"/>
  <c r="F3208" i="10" s="1"/>
  <c r="E3207" i="10"/>
  <c r="F3207" i="10" s="1"/>
  <c r="E3206" i="10"/>
  <c r="F3206" i="10" s="1"/>
  <c r="E3205" i="10"/>
  <c r="F3205" i="10" s="1"/>
  <c r="E3204" i="10"/>
  <c r="F3204" i="10" s="1"/>
  <c r="E3203" i="10"/>
  <c r="F3203" i="10" s="1"/>
  <c r="E3202" i="10"/>
  <c r="F3202" i="10" s="1"/>
  <c r="E3201" i="10"/>
  <c r="F3201" i="10" s="1"/>
  <c r="E3200" i="10"/>
  <c r="F3200" i="10" s="1"/>
  <c r="E3199" i="10"/>
  <c r="F3199" i="10" s="1"/>
  <c r="E3198" i="10"/>
  <c r="F3198" i="10" s="1"/>
  <c r="E3197" i="10"/>
  <c r="F3197" i="10" s="1"/>
  <c r="E3196" i="10"/>
  <c r="F3196" i="10" s="1"/>
  <c r="E3195" i="10"/>
  <c r="F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E3137" i="10"/>
  <c r="F3137" i="10" s="1"/>
  <c r="E3136" i="10"/>
  <c r="F3136" i="10" s="1"/>
  <c r="E3135" i="10"/>
  <c r="F3135" i="10" s="1"/>
  <c r="E3134" i="10"/>
  <c r="F3134" i="10" s="1"/>
  <c r="E3133" i="10"/>
  <c r="F3133" i="10" s="1"/>
  <c r="E3132" i="10"/>
  <c r="F3132" i="10" s="1"/>
  <c r="E3131" i="10"/>
  <c r="F3131" i="10" s="1"/>
  <c r="E3130" i="10"/>
  <c r="F3130" i="10" s="1"/>
  <c r="E3129" i="10"/>
  <c r="F3129" i="10" s="1"/>
  <c r="E3128" i="10"/>
  <c r="F3128" i="10" s="1"/>
  <c r="E3127" i="10"/>
  <c r="F3127" i="10" s="1"/>
  <c r="E3126" i="10"/>
  <c r="F3126" i="10" s="1"/>
  <c r="E3125" i="10"/>
  <c r="F3125" i="10" s="1"/>
  <c r="E3124" i="10"/>
  <c r="F3124" i="10" s="1"/>
  <c r="E3123" i="10"/>
  <c r="F3123" i="10" s="1"/>
  <c r="E3122" i="10"/>
  <c r="F3122" i="10" s="1"/>
  <c r="E3121" i="10"/>
  <c r="F3121" i="10" s="1"/>
  <c r="E3120" i="10"/>
  <c r="F3120" i="10" s="1"/>
  <c r="E3119" i="10"/>
  <c r="F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E3100" i="10"/>
  <c r="F3100" i="10" s="1"/>
  <c r="E3099" i="10"/>
  <c r="F3099" i="10" s="1"/>
  <c r="E3098" i="10"/>
  <c r="F3098" i="10" s="1"/>
  <c r="E3097" i="10"/>
  <c r="F3097" i="10" s="1"/>
  <c r="E3096" i="10"/>
  <c r="F3096" i="10" s="1"/>
  <c r="E3095" i="10"/>
  <c r="F3095" i="10" s="1"/>
  <c r="E3094" i="10"/>
  <c r="F3094" i="10" s="1"/>
  <c r="E3093" i="10"/>
  <c r="F3093" i="10" s="1"/>
  <c r="E3092" i="10"/>
  <c r="F3092" i="10" s="1"/>
  <c r="E3091" i="10"/>
  <c r="F3091" i="10" s="1"/>
  <c r="E3090" i="10"/>
  <c r="F3090" i="10" s="1"/>
  <c r="E3089" i="10"/>
  <c r="F3089" i="10" s="1"/>
  <c r="E3088" i="10"/>
  <c r="F3088" i="10" s="1"/>
  <c r="E3087" i="10"/>
  <c r="F3087" i="10" s="1"/>
  <c r="E3086" i="10"/>
  <c r="F3086" i="10" s="1"/>
  <c r="E3085" i="10"/>
  <c r="F3085" i="10" s="1"/>
  <c r="E3084" i="10"/>
  <c r="F3084" i="10" s="1"/>
  <c r="E3083" i="10"/>
  <c r="F3083" i="10" s="1"/>
  <c r="E3082" i="10"/>
  <c r="F3082" i="10" s="1"/>
  <c r="E3081" i="10"/>
  <c r="F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E3062" i="10"/>
  <c r="F3062" i="10" s="1"/>
  <c r="E3061" i="10"/>
  <c r="F3061" i="10" s="1"/>
  <c r="E3060" i="10"/>
  <c r="F3060" i="10" s="1"/>
  <c r="E3059" i="10"/>
  <c r="F3059" i="10" s="1"/>
  <c r="E3058" i="10"/>
  <c r="F3058" i="10" s="1"/>
  <c r="E3057" i="10"/>
  <c r="F3057" i="10" s="1"/>
  <c r="E3056" i="10"/>
  <c r="F3056" i="10" s="1"/>
  <c r="E3055" i="10"/>
  <c r="F3055" i="10" s="1"/>
  <c r="E3054" i="10"/>
  <c r="F3054" i="10" s="1"/>
  <c r="E3053" i="10"/>
  <c r="F3053" i="10" s="1"/>
  <c r="E3052" i="10"/>
  <c r="F3052" i="10" s="1"/>
  <c r="E3051" i="10"/>
  <c r="F3051" i="10" s="1"/>
  <c r="E3050" i="10"/>
  <c r="F3050" i="10" s="1"/>
  <c r="E3049" i="10"/>
  <c r="F3049" i="10" s="1"/>
  <c r="E3048" i="10"/>
  <c r="F3048" i="10" s="1"/>
  <c r="E3047" i="10"/>
  <c r="F3047" i="10" s="1"/>
  <c r="E3046" i="10"/>
  <c r="F3046" i="10" s="1"/>
  <c r="E3045" i="10"/>
  <c r="F3045" i="10" s="1"/>
  <c r="E3044" i="10"/>
  <c r="F3044" i="10" s="1"/>
  <c r="E3043" i="10"/>
  <c r="F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E2871" i="10"/>
  <c r="F2871" i="10" s="1"/>
  <c r="E2870" i="10"/>
  <c r="F2870" i="10" s="1"/>
  <c r="E2869" i="10"/>
  <c r="F2869" i="10" s="1"/>
  <c r="E2868" i="10"/>
  <c r="F2868" i="10" s="1"/>
  <c r="E2867" i="10"/>
  <c r="F2867" i="10" s="1"/>
  <c r="E2866" i="10"/>
  <c r="F2866" i="10" s="1"/>
  <c r="E2865" i="10"/>
  <c r="F2865" i="10" s="1"/>
  <c r="E2864" i="10"/>
  <c r="F2864" i="10" s="1"/>
  <c r="E2863" i="10"/>
  <c r="F2863" i="10" s="1"/>
  <c r="E2862" i="10"/>
  <c r="F2862" i="10" s="1"/>
  <c r="E2861" i="10"/>
  <c r="F2861" i="10" s="1"/>
  <c r="E2860" i="10"/>
  <c r="F2860" i="10" s="1"/>
  <c r="E2859" i="10"/>
  <c r="F2859" i="10" s="1"/>
  <c r="E2858" i="10"/>
  <c r="F2858" i="10" s="1"/>
  <c r="E2857" i="10"/>
  <c r="F2857" i="10" s="1"/>
  <c r="E2856" i="10"/>
  <c r="F2856" i="10" s="1"/>
  <c r="E2855" i="10"/>
  <c r="F2855" i="10" s="1"/>
  <c r="E2854" i="10"/>
  <c r="F2854" i="10" s="1"/>
  <c r="E2853" i="10"/>
  <c r="F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E2834" i="10"/>
  <c r="F2834" i="10" s="1"/>
  <c r="E2833" i="10"/>
  <c r="F2833" i="10" s="1"/>
  <c r="E2832" i="10"/>
  <c r="F2832" i="10" s="1"/>
  <c r="E2831" i="10"/>
  <c r="F2831" i="10" s="1"/>
  <c r="E2830" i="10"/>
  <c r="F2830" i="10" s="1"/>
  <c r="E2829" i="10"/>
  <c r="F2829" i="10" s="1"/>
  <c r="E2828" i="10"/>
  <c r="F2828" i="10" s="1"/>
  <c r="E2827" i="10"/>
  <c r="F2827" i="10" s="1"/>
  <c r="E2826" i="10"/>
  <c r="F2826" i="10" s="1"/>
  <c r="E2825" i="10"/>
  <c r="F2825" i="10" s="1"/>
  <c r="E2824" i="10"/>
  <c r="F2824" i="10" s="1"/>
  <c r="E2823" i="10"/>
  <c r="F2823" i="10" s="1"/>
  <c r="E2822" i="10"/>
  <c r="F2822" i="10" s="1"/>
  <c r="E2821" i="10"/>
  <c r="F2821" i="10" s="1"/>
  <c r="E2820" i="10"/>
  <c r="F2820" i="10" s="1"/>
  <c r="E2819" i="10"/>
  <c r="F2819" i="10" s="1"/>
  <c r="E2818" i="10"/>
  <c r="F2818" i="10" s="1"/>
  <c r="E2817" i="10"/>
  <c r="F2817" i="10" s="1"/>
  <c r="E2816" i="10"/>
  <c r="F2816" i="10" s="1"/>
  <c r="E2815" i="10"/>
  <c r="F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E2796" i="10"/>
  <c r="F2796" i="10" s="1"/>
  <c r="E2795" i="10"/>
  <c r="F2795" i="10" s="1"/>
  <c r="E2794" i="10"/>
  <c r="F2794" i="10" s="1"/>
  <c r="E2793" i="10"/>
  <c r="F2793" i="10" s="1"/>
  <c r="E2792" i="10"/>
  <c r="F2792" i="10" s="1"/>
  <c r="E2791" i="10"/>
  <c r="F2791" i="10" s="1"/>
  <c r="E2790" i="10"/>
  <c r="F2790" i="10" s="1"/>
  <c r="E2789" i="10"/>
  <c r="F2789" i="10" s="1"/>
  <c r="E2788" i="10"/>
  <c r="F2788" i="10" s="1"/>
  <c r="E2787" i="10"/>
  <c r="F2787" i="10" s="1"/>
  <c r="E2786" i="10"/>
  <c r="F2786" i="10" s="1"/>
  <c r="E2785" i="10"/>
  <c r="F2785" i="10" s="1"/>
  <c r="E2784" i="10"/>
  <c r="F2784" i="10" s="1"/>
  <c r="E2783" i="10"/>
  <c r="F2783" i="10" s="1"/>
  <c r="E2782" i="10"/>
  <c r="F2782" i="10" s="1"/>
  <c r="E2781" i="10"/>
  <c r="F2781" i="10" s="1"/>
  <c r="E2780" i="10"/>
  <c r="F2780" i="10" s="1"/>
  <c r="E2779" i="10"/>
  <c r="F2779" i="10" s="1"/>
  <c r="E2778" i="10"/>
  <c r="F2778" i="10" s="1"/>
  <c r="E2777" i="10"/>
  <c r="F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E2719" i="10"/>
  <c r="F2719" i="10" s="1"/>
  <c r="E2718" i="10"/>
  <c r="F2718" i="10" s="1"/>
  <c r="E2717" i="10"/>
  <c r="F2717" i="10" s="1"/>
  <c r="E2716" i="10"/>
  <c r="F2716" i="10" s="1"/>
  <c r="E2715" i="10"/>
  <c r="F2715" i="10" s="1"/>
  <c r="E2714" i="10"/>
  <c r="F2714" i="10" s="1"/>
  <c r="E2713" i="10"/>
  <c r="F2713" i="10" s="1"/>
  <c r="E2712" i="10"/>
  <c r="F2712" i="10" s="1"/>
  <c r="E2711" i="10"/>
  <c r="F2711" i="10" s="1"/>
  <c r="E2710" i="10"/>
  <c r="F2710" i="10" s="1"/>
  <c r="E2709" i="10"/>
  <c r="F2709" i="10" s="1"/>
  <c r="E2708" i="10"/>
  <c r="F2708" i="10" s="1"/>
  <c r="E2707" i="10"/>
  <c r="F2707" i="10" s="1"/>
  <c r="E2706" i="10"/>
  <c r="F2706" i="10" s="1"/>
  <c r="E2705" i="10"/>
  <c r="F2705" i="10" s="1"/>
  <c r="E2704" i="10"/>
  <c r="F2704" i="10" s="1"/>
  <c r="E2703" i="10"/>
  <c r="F2703" i="10" s="1"/>
  <c r="E2702" i="10"/>
  <c r="F2702" i="10" s="1"/>
  <c r="E2701" i="10"/>
  <c r="F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E2682" i="10"/>
  <c r="F2682" i="10" s="1"/>
  <c r="E2681" i="10"/>
  <c r="F2681" i="10" s="1"/>
  <c r="E2680" i="10"/>
  <c r="F2680" i="10" s="1"/>
  <c r="E2679" i="10"/>
  <c r="F2679" i="10" s="1"/>
  <c r="E2678" i="10"/>
  <c r="F2678" i="10" s="1"/>
  <c r="E2677" i="10"/>
  <c r="F2677" i="10" s="1"/>
  <c r="E2676" i="10"/>
  <c r="F2676" i="10" s="1"/>
  <c r="E2675" i="10"/>
  <c r="F2675" i="10" s="1"/>
  <c r="E2674" i="10"/>
  <c r="F2674" i="10" s="1"/>
  <c r="E2673" i="10"/>
  <c r="F2673" i="10" s="1"/>
  <c r="E2672" i="10"/>
  <c r="F2672" i="10" s="1"/>
  <c r="E2671" i="10"/>
  <c r="F2671" i="10" s="1"/>
  <c r="E2670" i="10"/>
  <c r="F2670" i="10" s="1"/>
  <c r="E2669" i="10"/>
  <c r="F2669" i="10" s="1"/>
  <c r="E2668" i="10"/>
  <c r="F2668" i="10" s="1"/>
  <c r="E2667" i="10"/>
  <c r="F2667" i="10" s="1"/>
  <c r="E2666" i="10"/>
  <c r="F2666" i="10" s="1"/>
  <c r="E2665" i="10"/>
  <c r="F2665" i="10" s="1"/>
  <c r="E2664" i="10"/>
  <c r="F2664" i="10" s="1"/>
  <c r="E2663" i="10"/>
  <c r="F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E2644" i="10"/>
  <c r="F2644" i="10" s="1"/>
  <c r="E2643" i="10"/>
  <c r="F2643" i="10" s="1"/>
  <c r="E2642" i="10"/>
  <c r="F2642" i="10" s="1"/>
  <c r="E2641" i="10"/>
  <c r="F2641" i="10" s="1"/>
  <c r="E2640" i="10"/>
  <c r="F2640" i="10" s="1"/>
  <c r="E2639" i="10"/>
  <c r="F2639" i="10" s="1"/>
  <c r="E2638" i="10"/>
  <c r="F2638" i="10" s="1"/>
  <c r="E2637" i="10"/>
  <c r="F2637" i="10" s="1"/>
  <c r="E2636" i="10"/>
  <c r="F2636" i="10" s="1"/>
  <c r="E2635" i="10"/>
  <c r="F2635" i="10" s="1"/>
  <c r="E2634" i="10"/>
  <c r="F2634" i="10" s="1"/>
  <c r="E2633" i="10"/>
  <c r="F2633" i="10" s="1"/>
  <c r="E2632" i="10"/>
  <c r="F2632" i="10" s="1"/>
  <c r="E2631" i="10"/>
  <c r="F2631" i="10" s="1"/>
  <c r="E2630" i="10"/>
  <c r="F2630" i="10" s="1"/>
  <c r="E2629" i="10"/>
  <c r="F2629" i="10" s="1"/>
  <c r="E2628" i="10"/>
  <c r="F2628" i="10" s="1"/>
  <c r="E2627" i="10"/>
  <c r="F2627" i="10" s="1"/>
  <c r="E2626" i="10"/>
  <c r="F2626" i="10" s="1"/>
  <c r="E2625" i="10"/>
  <c r="F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E2301" i="10"/>
  <c r="F2301" i="10" s="1"/>
  <c r="E2300" i="10"/>
  <c r="F2300" i="10" s="1"/>
  <c r="E2299" i="10"/>
  <c r="F2299" i="10" s="1"/>
  <c r="E2298" i="10"/>
  <c r="F2298" i="10" s="1"/>
  <c r="E2297" i="10"/>
  <c r="F2297" i="10" s="1"/>
  <c r="E2296" i="10"/>
  <c r="F2296" i="10" s="1"/>
  <c r="E2295" i="10"/>
  <c r="F2295" i="10" s="1"/>
  <c r="E2294" i="10"/>
  <c r="F2294" i="10" s="1"/>
  <c r="E2293" i="10"/>
  <c r="F2293" i="10" s="1"/>
  <c r="E2292" i="10"/>
  <c r="F2292" i="10" s="1"/>
  <c r="E2291" i="10"/>
  <c r="F2291" i="10" s="1"/>
  <c r="E2290" i="10"/>
  <c r="F2290" i="10" s="1"/>
  <c r="E2289" i="10"/>
  <c r="F2289" i="10" s="1"/>
  <c r="E2288" i="10"/>
  <c r="F2288" i="10" s="1"/>
  <c r="E2287" i="10"/>
  <c r="F2287" i="10" s="1"/>
  <c r="E2286" i="10"/>
  <c r="F2286" i="10" s="1"/>
  <c r="E2285" i="10"/>
  <c r="F2285" i="10" s="1"/>
  <c r="E2284" i="10"/>
  <c r="F2284" i="10" s="1"/>
  <c r="E2283" i="10"/>
  <c r="F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E2264" i="10"/>
  <c r="F2264" i="10" s="1"/>
  <c r="E2263" i="10"/>
  <c r="F2263" i="10" s="1"/>
  <c r="E2262" i="10"/>
  <c r="F2262" i="10" s="1"/>
  <c r="E2261" i="10"/>
  <c r="F2261" i="10" s="1"/>
  <c r="E2260" i="10"/>
  <c r="F2260" i="10" s="1"/>
  <c r="E2259" i="10"/>
  <c r="F2259" i="10" s="1"/>
  <c r="E2258" i="10"/>
  <c r="F2258" i="10" s="1"/>
  <c r="E2257" i="10"/>
  <c r="F2257" i="10" s="1"/>
  <c r="E2256" i="10"/>
  <c r="F2256" i="10" s="1"/>
  <c r="E2255" i="10"/>
  <c r="F2255" i="10" s="1"/>
  <c r="E2254" i="10"/>
  <c r="F2254" i="10" s="1"/>
  <c r="E2253" i="10"/>
  <c r="F2253" i="10" s="1"/>
  <c r="E2252" i="10"/>
  <c r="F2252" i="10" s="1"/>
  <c r="E2251" i="10"/>
  <c r="F2251" i="10" s="1"/>
  <c r="E2250" i="10"/>
  <c r="F2250" i="10" s="1"/>
  <c r="E2249" i="10"/>
  <c r="F2249" i="10" s="1"/>
  <c r="E2248" i="10"/>
  <c r="F2248" i="10" s="1"/>
  <c r="E2247" i="10"/>
  <c r="F2247" i="10" s="1"/>
  <c r="E2246" i="10"/>
  <c r="F2246" i="10" s="1"/>
  <c r="E2245" i="10"/>
  <c r="F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E2226" i="10"/>
  <c r="F2226" i="10" s="1"/>
  <c r="E2225" i="10"/>
  <c r="F2225" i="10" s="1"/>
  <c r="E2224" i="10"/>
  <c r="F2224" i="10" s="1"/>
  <c r="E2223" i="10"/>
  <c r="F2223" i="10" s="1"/>
  <c r="E2222" i="10"/>
  <c r="F2222" i="10" s="1"/>
  <c r="E2221" i="10"/>
  <c r="F2221" i="10" s="1"/>
  <c r="E2220" i="10"/>
  <c r="F2220" i="10" s="1"/>
  <c r="E2219" i="10"/>
  <c r="F2219" i="10" s="1"/>
  <c r="E2218" i="10"/>
  <c r="F2218" i="10" s="1"/>
  <c r="E2217" i="10"/>
  <c r="F2217" i="10" s="1"/>
  <c r="E2216" i="10"/>
  <c r="F2216" i="10" s="1"/>
  <c r="E2215" i="10"/>
  <c r="F2215" i="10" s="1"/>
  <c r="E2214" i="10"/>
  <c r="F2214" i="10" s="1"/>
  <c r="E2213" i="10"/>
  <c r="F2213" i="10" s="1"/>
  <c r="E2212" i="10"/>
  <c r="F2212" i="10" s="1"/>
  <c r="E2211" i="10"/>
  <c r="F2211" i="10" s="1"/>
  <c r="E2210" i="10"/>
  <c r="F2210" i="10" s="1"/>
  <c r="E2209" i="10"/>
  <c r="F2209" i="10" s="1"/>
  <c r="E2208" i="10"/>
  <c r="F2208" i="10" s="1"/>
  <c r="E2207" i="10"/>
  <c r="F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E2035" i="10"/>
  <c r="F2035" i="10" s="1"/>
  <c r="E2034" i="10"/>
  <c r="F2034" i="10" s="1"/>
  <c r="E2033" i="10"/>
  <c r="F2033" i="10" s="1"/>
  <c r="E2032" i="10"/>
  <c r="F2032" i="10" s="1"/>
  <c r="E2031" i="10"/>
  <c r="F2031" i="10" s="1"/>
  <c r="E2030" i="10"/>
  <c r="F2030" i="10" s="1"/>
  <c r="E2029" i="10"/>
  <c r="F2029" i="10" s="1"/>
  <c r="E2028" i="10"/>
  <c r="F2028" i="10" s="1"/>
  <c r="E2027" i="10"/>
  <c r="F2027" i="10" s="1"/>
  <c r="E2026" i="10"/>
  <c r="F2026" i="10" s="1"/>
  <c r="E2025" i="10"/>
  <c r="F2025" i="10" s="1"/>
  <c r="E2024" i="10"/>
  <c r="F2024" i="10" s="1"/>
  <c r="E2023" i="10"/>
  <c r="F2023" i="10" s="1"/>
  <c r="E2022" i="10"/>
  <c r="F2022" i="10" s="1"/>
  <c r="E2021" i="10"/>
  <c r="F2021" i="10" s="1"/>
  <c r="E2020" i="10"/>
  <c r="F2020" i="10" s="1"/>
  <c r="E2019" i="10"/>
  <c r="F2019" i="10" s="1"/>
  <c r="E2018" i="10"/>
  <c r="F2018" i="10" s="1"/>
  <c r="E2017" i="10"/>
  <c r="F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E1998" i="10"/>
  <c r="F1998" i="10" s="1"/>
  <c r="E1997" i="10"/>
  <c r="F1997" i="10" s="1"/>
  <c r="E1996" i="10"/>
  <c r="F1996" i="10" s="1"/>
  <c r="E1995" i="10"/>
  <c r="F1995" i="10" s="1"/>
  <c r="E1994" i="10"/>
  <c r="F1994" i="10" s="1"/>
  <c r="E1993" i="10"/>
  <c r="F1993" i="10" s="1"/>
  <c r="E1992" i="10"/>
  <c r="F1992" i="10" s="1"/>
  <c r="E1991" i="10"/>
  <c r="F1991" i="10" s="1"/>
  <c r="E1990" i="10"/>
  <c r="F1990" i="10" s="1"/>
  <c r="E1989" i="10"/>
  <c r="F1989" i="10" s="1"/>
  <c r="E1988" i="10"/>
  <c r="F1988" i="10" s="1"/>
  <c r="E1987" i="10"/>
  <c r="F1987" i="10" s="1"/>
  <c r="E1986" i="10"/>
  <c r="F1986" i="10" s="1"/>
  <c r="E1985" i="10"/>
  <c r="F1985" i="10" s="1"/>
  <c r="E1984" i="10"/>
  <c r="F1984" i="10" s="1"/>
  <c r="E1983" i="10"/>
  <c r="F1983" i="10" s="1"/>
  <c r="E1982" i="10"/>
  <c r="F1982" i="10" s="1"/>
  <c r="E1981" i="10"/>
  <c r="F1981" i="10" s="1"/>
  <c r="E1980" i="10"/>
  <c r="F1980" i="10" s="1"/>
  <c r="E1979" i="10"/>
  <c r="F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E1960" i="10"/>
  <c r="F1960" i="10" s="1"/>
  <c r="E1959" i="10"/>
  <c r="F1959" i="10" s="1"/>
  <c r="E1958" i="10"/>
  <c r="F1958" i="10" s="1"/>
  <c r="E1957" i="10"/>
  <c r="F1957" i="10" s="1"/>
  <c r="E1956" i="10"/>
  <c r="F1956" i="10" s="1"/>
  <c r="E1955" i="10"/>
  <c r="F1955" i="10" s="1"/>
  <c r="E1954" i="10"/>
  <c r="F1954" i="10" s="1"/>
  <c r="E1953" i="10"/>
  <c r="F1953" i="10" s="1"/>
  <c r="E1952" i="10"/>
  <c r="F1952" i="10" s="1"/>
  <c r="E1951" i="10"/>
  <c r="F1951" i="10" s="1"/>
  <c r="E1950" i="10"/>
  <c r="F1950" i="10" s="1"/>
  <c r="E1949" i="10"/>
  <c r="F1949" i="10" s="1"/>
  <c r="E1948" i="10"/>
  <c r="F1948" i="10" s="1"/>
  <c r="E1947" i="10"/>
  <c r="F1947" i="10" s="1"/>
  <c r="E1946" i="10"/>
  <c r="F1946" i="10" s="1"/>
  <c r="E1945" i="10"/>
  <c r="F1945" i="10" s="1"/>
  <c r="E1944" i="10"/>
  <c r="F1944" i="10" s="1"/>
  <c r="E1943" i="10"/>
  <c r="F1943" i="10" s="1"/>
  <c r="E1942" i="10"/>
  <c r="F1942" i="10" s="1"/>
  <c r="E1941" i="10"/>
  <c r="F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E1883" i="10"/>
  <c r="F1883" i="10" s="1"/>
  <c r="E1882" i="10"/>
  <c r="F1882" i="10" s="1"/>
  <c r="E1881" i="10"/>
  <c r="F1881" i="10" s="1"/>
  <c r="E1880" i="10"/>
  <c r="F1880" i="10" s="1"/>
  <c r="E1879" i="10"/>
  <c r="F1879" i="10" s="1"/>
  <c r="E1878" i="10"/>
  <c r="F1878" i="10" s="1"/>
  <c r="E1877" i="10"/>
  <c r="F1877" i="10" s="1"/>
  <c r="E1876" i="10"/>
  <c r="F1876" i="10" s="1"/>
  <c r="E1875" i="10"/>
  <c r="F1875" i="10" s="1"/>
  <c r="E1874" i="10"/>
  <c r="F1874" i="10" s="1"/>
  <c r="E1873" i="10"/>
  <c r="F1873" i="10" s="1"/>
  <c r="E1872" i="10"/>
  <c r="F1872" i="10" s="1"/>
  <c r="E1871" i="10"/>
  <c r="F1871" i="10" s="1"/>
  <c r="E1870" i="10"/>
  <c r="F1870" i="10" s="1"/>
  <c r="E1869" i="10"/>
  <c r="F1869" i="10" s="1"/>
  <c r="E1868" i="10"/>
  <c r="F1868" i="10" s="1"/>
  <c r="E1867" i="10"/>
  <c r="F1867" i="10" s="1"/>
  <c r="E1866" i="10"/>
  <c r="F1866" i="10" s="1"/>
  <c r="E1865" i="10"/>
  <c r="F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E1846" i="10"/>
  <c r="F1846" i="10" s="1"/>
  <c r="E1845" i="10"/>
  <c r="F1845" i="10" s="1"/>
  <c r="E1844" i="10"/>
  <c r="F1844" i="10" s="1"/>
  <c r="E1843" i="10"/>
  <c r="F1843" i="10" s="1"/>
  <c r="E1842" i="10"/>
  <c r="F1842" i="10" s="1"/>
  <c r="E1841" i="10"/>
  <c r="F1841" i="10" s="1"/>
  <c r="E1840" i="10"/>
  <c r="F1840" i="10" s="1"/>
  <c r="E1839" i="10"/>
  <c r="F1839" i="10" s="1"/>
  <c r="E1838" i="10"/>
  <c r="F1838" i="10" s="1"/>
  <c r="E1837" i="10"/>
  <c r="F1837" i="10" s="1"/>
  <c r="E1836" i="10"/>
  <c r="F1836" i="10" s="1"/>
  <c r="E1835" i="10"/>
  <c r="F1835" i="10" s="1"/>
  <c r="E1834" i="10"/>
  <c r="F1834" i="10" s="1"/>
  <c r="E1833" i="10"/>
  <c r="F1833" i="10" s="1"/>
  <c r="E1832" i="10"/>
  <c r="F1832" i="10" s="1"/>
  <c r="E1831" i="10"/>
  <c r="F1831" i="10" s="1"/>
  <c r="E1830" i="10"/>
  <c r="F1830" i="10" s="1"/>
  <c r="E1829" i="10"/>
  <c r="F1829" i="10" s="1"/>
  <c r="E1828" i="10"/>
  <c r="F1828" i="10" s="1"/>
  <c r="E1827" i="10"/>
  <c r="F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E1808" i="10"/>
  <c r="F1808" i="10" s="1"/>
  <c r="E1807" i="10"/>
  <c r="F1807" i="10" s="1"/>
  <c r="E1806" i="10"/>
  <c r="F1806" i="10" s="1"/>
  <c r="E1805" i="10"/>
  <c r="F1805" i="10" s="1"/>
  <c r="E1804" i="10"/>
  <c r="F1804" i="10" s="1"/>
  <c r="E1803" i="10"/>
  <c r="F1803" i="10" s="1"/>
  <c r="E1802" i="10"/>
  <c r="F1802" i="10" s="1"/>
  <c r="E1801" i="10"/>
  <c r="F1801" i="10" s="1"/>
  <c r="E1800" i="10"/>
  <c r="F1800" i="10" s="1"/>
  <c r="E1799" i="10"/>
  <c r="F1799" i="10" s="1"/>
  <c r="E1798" i="10"/>
  <c r="F1798" i="10" s="1"/>
  <c r="E1797" i="10"/>
  <c r="F1797" i="10" s="1"/>
  <c r="E1796" i="10"/>
  <c r="F1796" i="10" s="1"/>
  <c r="E1795" i="10"/>
  <c r="F1795" i="10" s="1"/>
  <c r="E1794" i="10"/>
  <c r="F1794" i="10" s="1"/>
  <c r="E1793" i="10"/>
  <c r="F1793" i="10" s="1"/>
  <c r="E1792" i="10"/>
  <c r="F1792" i="10" s="1"/>
  <c r="E1791" i="10"/>
  <c r="F1791" i="10" s="1"/>
  <c r="E1790" i="10"/>
  <c r="F1790" i="10" s="1"/>
  <c r="E1789" i="10"/>
  <c r="F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E1617" i="10"/>
  <c r="F1617" i="10" s="1"/>
  <c r="E1616" i="10"/>
  <c r="F1616" i="10" s="1"/>
  <c r="E1615" i="10"/>
  <c r="F1615" i="10" s="1"/>
  <c r="E1614" i="10"/>
  <c r="F1614" i="10" s="1"/>
  <c r="E1613" i="10"/>
  <c r="F1613" i="10" s="1"/>
  <c r="E1612" i="10"/>
  <c r="F1612" i="10" s="1"/>
  <c r="E1611" i="10"/>
  <c r="F1611" i="10" s="1"/>
  <c r="E1610" i="10"/>
  <c r="F1610" i="10" s="1"/>
  <c r="E1609" i="10"/>
  <c r="F1609" i="10" s="1"/>
  <c r="E1608" i="10"/>
  <c r="F1608" i="10" s="1"/>
  <c r="E1607" i="10"/>
  <c r="F1607" i="10" s="1"/>
  <c r="E1606" i="10"/>
  <c r="F1606" i="10" s="1"/>
  <c r="E1605" i="10"/>
  <c r="F1605" i="10" s="1"/>
  <c r="E1604" i="10"/>
  <c r="F1604" i="10" s="1"/>
  <c r="E1603" i="10"/>
  <c r="F1603" i="10" s="1"/>
  <c r="E1602" i="10"/>
  <c r="F1602" i="10" s="1"/>
  <c r="E1601" i="10"/>
  <c r="F1601" i="10" s="1"/>
  <c r="E1600" i="10"/>
  <c r="F1600" i="10" s="1"/>
  <c r="E1599" i="10"/>
  <c r="F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E1580" i="10"/>
  <c r="F1580" i="10" s="1"/>
  <c r="E1579" i="10"/>
  <c r="F1579" i="10" s="1"/>
  <c r="E1578" i="10"/>
  <c r="F1578" i="10" s="1"/>
  <c r="E1577" i="10"/>
  <c r="F1577" i="10" s="1"/>
  <c r="E1576" i="10"/>
  <c r="F1576" i="10" s="1"/>
  <c r="E1575" i="10"/>
  <c r="F1575" i="10" s="1"/>
  <c r="E1574" i="10"/>
  <c r="F1574" i="10" s="1"/>
  <c r="E1573" i="10"/>
  <c r="F1573" i="10" s="1"/>
  <c r="E1572" i="10"/>
  <c r="F1572" i="10" s="1"/>
  <c r="E1571" i="10"/>
  <c r="F1571" i="10" s="1"/>
  <c r="E1570" i="10"/>
  <c r="F1570" i="10" s="1"/>
  <c r="E1569" i="10"/>
  <c r="F1569" i="10" s="1"/>
  <c r="E1568" i="10"/>
  <c r="F1568" i="10" s="1"/>
  <c r="E1567" i="10"/>
  <c r="F1567" i="10" s="1"/>
  <c r="E1566" i="10"/>
  <c r="F1566" i="10" s="1"/>
  <c r="E1565" i="10"/>
  <c r="F1565" i="10" s="1"/>
  <c r="E1564" i="10"/>
  <c r="F1564" i="10" s="1"/>
  <c r="E1563" i="10"/>
  <c r="F1563" i="10" s="1"/>
  <c r="E1562" i="10"/>
  <c r="F1562" i="10" s="1"/>
  <c r="E1561" i="10"/>
  <c r="F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E1542" i="10"/>
  <c r="F1542" i="10" s="1"/>
  <c r="E1541" i="10"/>
  <c r="F1541" i="10" s="1"/>
  <c r="E1540" i="10"/>
  <c r="F1540" i="10" s="1"/>
  <c r="E1539" i="10"/>
  <c r="F1539" i="10" s="1"/>
  <c r="E1538" i="10"/>
  <c r="F1538" i="10" s="1"/>
  <c r="E1537" i="10"/>
  <c r="F1537" i="10" s="1"/>
  <c r="E1536" i="10"/>
  <c r="F1536" i="10" s="1"/>
  <c r="E1535" i="10"/>
  <c r="F1535" i="10" s="1"/>
  <c r="E1534" i="10"/>
  <c r="F1534" i="10" s="1"/>
  <c r="E1533" i="10"/>
  <c r="F1533" i="10" s="1"/>
  <c r="E1532" i="10"/>
  <c r="F1532" i="10" s="1"/>
  <c r="E1531" i="10"/>
  <c r="F1531" i="10" s="1"/>
  <c r="E1530" i="10"/>
  <c r="F1530" i="10" s="1"/>
  <c r="E1529" i="10"/>
  <c r="F1529" i="10" s="1"/>
  <c r="E1528" i="10"/>
  <c r="F1528" i="10" s="1"/>
  <c r="E1527" i="10"/>
  <c r="F1527" i="10" s="1"/>
  <c r="E1526" i="10"/>
  <c r="F1526" i="10" s="1"/>
  <c r="E1525" i="10"/>
  <c r="F1525" i="10" s="1"/>
  <c r="E1524" i="10"/>
  <c r="F1524" i="10" s="1"/>
  <c r="E1523" i="10"/>
  <c r="F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E1465" i="10"/>
  <c r="F1465" i="10" s="1"/>
  <c r="E1464" i="10"/>
  <c r="F1464" i="10" s="1"/>
  <c r="E1463" i="10"/>
  <c r="F1463" i="10" s="1"/>
  <c r="E1462" i="10"/>
  <c r="F1462" i="10" s="1"/>
  <c r="E1461" i="10"/>
  <c r="F1461" i="10" s="1"/>
  <c r="E1460" i="10"/>
  <c r="F1460" i="10" s="1"/>
  <c r="E1459" i="10"/>
  <c r="F1459" i="10" s="1"/>
  <c r="E1458" i="10"/>
  <c r="F1458" i="10" s="1"/>
  <c r="E1457" i="10"/>
  <c r="F1457" i="10" s="1"/>
  <c r="E1456" i="10"/>
  <c r="F1456" i="10" s="1"/>
  <c r="E1455" i="10"/>
  <c r="F1455" i="10" s="1"/>
  <c r="E1454" i="10"/>
  <c r="F1454" i="10" s="1"/>
  <c r="E1453" i="10"/>
  <c r="F1453" i="10" s="1"/>
  <c r="E1452" i="10"/>
  <c r="F1452" i="10" s="1"/>
  <c r="E1451" i="10"/>
  <c r="F1451" i="10" s="1"/>
  <c r="E1450" i="10"/>
  <c r="F1450" i="10" s="1"/>
  <c r="E1449" i="10"/>
  <c r="F1449" i="10" s="1"/>
  <c r="E1448" i="10"/>
  <c r="F1448" i="10" s="1"/>
  <c r="E1447" i="10"/>
  <c r="F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E1428" i="10"/>
  <c r="F1428" i="10" s="1"/>
  <c r="E1427" i="10"/>
  <c r="F1427" i="10" s="1"/>
  <c r="E1426" i="10"/>
  <c r="F1426" i="10" s="1"/>
  <c r="E1425" i="10"/>
  <c r="F1425" i="10" s="1"/>
  <c r="E1424" i="10"/>
  <c r="F1424" i="10" s="1"/>
  <c r="E1423" i="10"/>
  <c r="F1423" i="10" s="1"/>
  <c r="E1422" i="10"/>
  <c r="F1422" i="10" s="1"/>
  <c r="E1421" i="10"/>
  <c r="F1421" i="10" s="1"/>
  <c r="E1420" i="10"/>
  <c r="F1420" i="10" s="1"/>
  <c r="E1419" i="10"/>
  <c r="F1419" i="10" s="1"/>
  <c r="E1418" i="10"/>
  <c r="F1418" i="10" s="1"/>
  <c r="E1417" i="10"/>
  <c r="F1417" i="10" s="1"/>
  <c r="E1416" i="10"/>
  <c r="F1416" i="10" s="1"/>
  <c r="E1415" i="10"/>
  <c r="F1415" i="10" s="1"/>
  <c r="E1414" i="10"/>
  <c r="F1414" i="10" s="1"/>
  <c r="E1413" i="10"/>
  <c r="F1413" i="10" s="1"/>
  <c r="E1412" i="10"/>
  <c r="F1412" i="10" s="1"/>
  <c r="E1411" i="10"/>
  <c r="F1411" i="10" s="1"/>
  <c r="E1410" i="10"/>
  <c r="F1410" i="10" s="1"/>
  <c r="E1409" i="10"/>
  <c r="F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E1390" i="10"/>
  <c r="F1390" i="10" s="1"/>
  <c r="E1389" i="10"/>
  <c r="F1389" i="10" s="1"/>
  <c r="E1388" i="10"/>
  <c r="F1388" i="10" s="1"/>
  <c r="E1387" i="10"/>
  <c r="F1387" i="10" s="1"/>
  <c r="E1386" i="10"/>
  <c r="F1386" i="10" s="1"/>
  <c r="E1385" i="10"/>
  <c r="F1385" i="10" s="1"/>
  <c r="E1384" i="10"/>
  <c r="F1384" i="10" s="1"/>
  <c r="E1383" i="10"/>
  <c r="F1383" i="10" s="1"/>
  <c r="E1382" i="10"/>
  <c r="F1382" i="10" s="1"/>
  <c r="E1381" i="10"/>
  <c r="F1381" i="10" s="1"/>
  <c r="E1380" i="10"/>
  <c r="F1380" i="10" s="1"/>
  <c r="E1379" i="10"/>
  <c r="F1379" i="10" s="1"/>
  <c r="E1378" i="10"/>
  <c r="F1378" i="10" s="1"/>
  <c r="E1377" i="10"/>
  <c r="F1377" i="10" s="1"/>
  <c r="E1376" i="10"/>
  <c r="F1376" i="10" s="1"/>
  <c r="E1375" i="10"/>
  <c r="F1375" i="10" s="1"/>
  <c r="E1374" i="10"/>
  <c r="F1374" i="10" s="1"/>
  <c r="E1373" i="10"/>
  <c r="F1373" i="10" s="1"/>
  <c r="E1372" i="10"/>
  <c r="F1372" i="10" s="1"/>
  <c r="E1371" i="10"/>
  <c r="F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E1199" i="10"/>
  <c r="F1199" i="10" s="1"/>
  <c r="E1198" i="10"/>
  <c r="F1198" i="10" s="1"/>
  <c r="E1197" i="10"/>
  <c r="F1197" i="10" s="1"/>
  <c r="E1196" i="10"/>
  <c r="F1196" i="10" s="1"/>
  <c r="E1195" i="10"/>
  <c r="F1195" i="10" s="1"/>
  <c r="E1194" i="10"/>
  <c r="F1194" i="10" s="1"/>
  <c r="E1193" i="10"/>
  <c r="F1193" i="10" s="1"/>
  <c r="E1192" i="10"/>
  <c r="F1192" i="10" s="1"/>
  <c r="E1191" i="10"/>
  <c r="F1191" i="10" s="1"/>
  <c r="E1190" i="10"/>
  <c r="F1190" i="10" s="1"/>
  <c r="E1189" i="10"/>
  <c r="F1189" i="10" s="1"/>
  <c r="E1188" i="10"/>
  <c r="F1188" i="10" s="1"/>
  <c r="E1187" i="10"/>
  <c r="F1187" i="10" s="1"/>
  <c r="E1186" i="10"/>
  <c r="F1186" i="10" s="1"/>
  <c r="E1185" i="10"/>
  <c r="F1185" i="10" s="1"/>
  <c r="E1184" i="10"/>
  <c r="F1184" i="10" s="1"/>
  <c r="E1183" i="10"/>
  <c r="F1183" i="10" s="1"/>
  <c r="E1182" i="10"/>
  <c r="F1182" i="10" s="1"/>
  <c r="E1181" i="10"/>
  <c r="F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E1162" i="10"/>
  <c r="F1162" i="10" s="1"/>
  <c r="E1161" i="10"/>
  <c r="F1161" i="10" s="1"/>
  <c r="E1160" i="10"/>
  <c r="F1160" i="10" s="1"/>
  <c r="E1159" i="10"/>
  <c r="F1159" i="10" s="1"/>
  <c r="E1158" i="10"/>
  <c r="F1158" i="10" s="1"/>
  <c r="E1157" i="10"/>
  <c r="F1157" i="10" s="1"/>
  <c r="E1156" i="10"/>
  <c r="F1156" i="10" s="1"/>
  <c r="E1155" i="10"/>
  <c r="F1155" i="10" s="1"/>
  <c r="E1154" i="10"/>
  <c r="F1154" i="10" s="1"/>
  <c r="E1153" i="10"/>
  <c r="F1153" i="10" s="1"/>
  <c r="E1152" i="10"/>
  <c r="F1152" i="10" s="1"/>
  <c r="E1151" i="10"/>
  <c r="F1151" i="10" s="1"/>
  <c r="E1150" i="10"/>
  <c r="F1150" i="10" s="1"/>
  <c r="E1149" i="10"/>
  <c r="F1149" i="10" s="1"/>
  <c r="E1148" i="10"/>
  <c r="F1148" i="10" s="1"/>
  <c r="E1147" i="10"/>
  <c r="F1147" i="10" s="1"/>
  <c r="E1146" i="10"/>
  <c r="F1146" i="10" s="1"/>
  <c r="E1145" i="10"/>
  <c r="F1145" i="10" s="1"/>
  <c r="E1144" i="10"/>
  <c r="F1144" i="10" s="1"/>
  <c r="E1143" i="10"/>
  <c r="F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E1124" i="10"/>
  <c r="F1124" i="10" s="1"/>
  <c r="E1123" i="10"/>
  <c r="F1123" i="10" s="1"/>
  <c r="E1122" i="10"/>
  <c r="F1122" i="10" s="1"/>
  <c r="E1121" i="10"/>
  <c r="F1121" i="10" s="1"/>
  <c r="E1120" i="10"/>
  <c r="F1120" i="10" s="1"/>
  <c r="E1119" i="10"/>
  <c r="F1119" i="10" s="1"/>
  <c r="E1118" i="10"/>
  <c r="F1118" i="10" s="1"/>
  <c r="E1117" i="10"/>
  <c r="F1117" i="10" s="1"/>
  <c r="E1116" i="10"/>
  <c r="F1116" i="10" s="1"/>
  <c r="E1115" i="10"/>
  <c r="F1115" i="10" s="1"/>
  <c r="E1114" i="10"/>
  <c r="F1114" i="10" s="1"/>
  <c r="E1113" i="10"/>
  <c r="F1113" i="10" s="1"/>
  <c r="E1112" i="10"/>
  <c r="F1112" i="10" s="1"/>
  <c r="E1111" i="10"/>
  <c r="F1111" i="10" s="1"/>
  <c r="E1110" i="10"/>
  <c r="F1110" i="10" s="1"/>
  <c r="E1109" i="10"/>
  <c r="F1109" i="10" s="1"/>
  <c r="E1108" i="10"/>
  <c r="F1108" i="10" s="1"/>
  <c r="E1107" i="10"/>
  <c r="F1107" i="10" s="1"/>
  <c r="E1106" i="10"/>
  <c r="F1106" i="10" s="1"/>
  <c r="E1105" i="10"/>
  <c r="F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E1047" i="10"/>
  <c r="F1047" i="10" s="1"/>
  <c r="E1046" i="10"/>
  <c r="F1046" i="10" s="1"/>
  <c r="E1045" i="10"/>
  <c r="F1045" i="10" s="1"/>
  <c r="E1044" i="10"/>
  <c r="F1044" i="10" s="1"/>
  <c r="E1043" i="10"/>
  <c r="F1043" i="10" s="1"/>
  <c r="E1042" i="10"/>
  <c r="F1042" i="10" s="1"/>
  <c r="E1041" i="10"/>
  <c r="F1041" i="10" s="1"/>
  <c r="E1040" i="10"/>
  <c r="F1040" i="10" s="1"/>
  <c r="E1039" i="10"/>
  <c r="F1039" i="10" s="1"/>
  <c r="E1038" i="10"/>
  <c r="F1038" i="10" s="1"/>
  <c r="E1037" i="10"/>
  <c r="F1037" i="10" s="1"/>
  <c r="E1036" i="10"/>
  <c r="F1036" i="10" s="1"/>
  <c r="E1035" i="10"/>
  <c r="F1035" i="10" s="1"/>
  <c r="E1034" i="10"/>
  <c r="F1034" i="10" s="1"/>
  <c r="E1033" i="10"/>
  <c r="F1033" i="10" s="1"/>
  <c r="E1032" i="10"/>
  <c r="F1032" i="10" s="1"/>
  <c r="E1031" i="10"/>
  <c r="F1031" i="10" s="1"/>
  <c r="E1030" i="10"/>
  <c r="F1030" i="10" s="1"/>
  <c r="E1029" i="10"/>
  <c r="F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E1010" i="10"/>
  <c r="F1010" i="10" s="1"/>
  <c r="E1009" i="10"/>
  <c r="F1009" i="10" s="1"/>
  <c r="E1008" i="10"/>
  <c r="F1008" i="10" s="1"/>
  <c r="E1007" i="10"/>
  <c r="F1007" i="10" s="1"/>
  <c r="E1006" i="10"/>
  <c r="F1006" i="10" s="1"/>
  <c r="E1005" i="10"/>
  <c r="F1005" i="10" s="1"/>
  <c r="E1004" i="10"/>
  <c r="F1004" i="10" s="1"/>
  <c r="E1003" i="10"/>
  <c r="F1003" i="10" s="1"/>
  <c r="E1002" i="10"/>
  <c r="F1002" i="10" s="1"/>
  <c r="E1001" i="10"/>
  <c r="F1001" i="10" s="1"/>
  <c r="E1000" i="10"/>
  <c r="F1000" i="10" s="1"/>
  <c r="E999" i="10"/>
  <c r="F999" i="10" s="1"/>
  <c r="E998" i="10"/>
  <c r="F998" i="10" s="1"/>
  <c r="E997" i="10"/>
  <c r="F997" i="10" s="1"/>
  <c r="E996" i="10"/>
  <c r="F996" i="10" s="1"/>
  <c r="E995" i="10"/>
  <c r="F995" i="10" s="1"/>
  <c r="E994" i="10"/>
  <c r="F994" i="10" s="1"/>
  <c r="E993" i="10"/>
  <c r="F993" i="10" s="1"/>
  <c r="E992" i="10"/>
  <c r="F992" i="10" s="1"/>
  <c r="E991" i="10"/>
  <c r="F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E972" i="10"/>
  <c r="F972" i="10" s="1"/>
  <c r="E971" i="10"/>
  <c r="F971" i="10" s="1"/>
  <c r="E970" i="10"/>
  <c r="F970" i="10" s="1"/>
  <c r="E969" i="10"/>
  <c r="F969" i="10" s="1"/>
  <c r="E968" i="10"/>
  <c r="F968" i="10" s="1"/>
  <c r="E967" i="10"/>
  <c r="F967" i="10" s="1"/>
  <c r="E966" i="10"/>
  <c r="F966" i="10" s="1"/>
  <c r="E965" i="10"/>
  <c r="F965" i="10" s="1"/>
  <c r="E964" i="10"/>
  <c r="F964" i="10" s="1"/>
  <c r="E963" i="10"/>
  <c r="F963" i="10" s="1"/>
  <c r="E962" i="10"/>
  <c r="F962" i="10" s="1"/>
  <c r="E961" i="10"/>
  <c r="F961" i="10" s="1"/>
  <c r="E960" i="10"/>
  <c r="F960" i="10" s="1"/>
  <c r="E959" i="10"/>
  <c r="F959" i="10" s="1"/>
  <c r="E958" i="10"/>
  <c r="F958" i="10" s="1"/>
  <c r="E957" i="10"/>
  <c r="F957" i="10" s="1"/>
  <c r="E956" i="10"/>
  <c r="F956" i="10" s="1"/>
  <c r="E955" i="10"/>
  <c r="F955" i="10" s="1"/>
  <c r="E954" i="10"/>
  <c r="F954" i="10" s="1"/>
  <c r="E953" i="10"/>
  <c r="F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E781" i="10"/>
  <c r="F781" i="10" s="1"/>
  <c r="E780" i="10"/>
  <c r="F780" i="10" s="1"/>
  <c r="E779" i="10"/>
  <c r="F779" i="10" s="1"/>
  <c r="E778" i="10"/>
  <c r="F778" i="10" s="1"/>
  <c r="E777" i="10"/>
  <c r="F777" i="10" s="1"/>
  <c r="E776" i="10"/>
  <c r="F776" i="10" s="1"/>
  <c r="E775" i="10"/>
  <c r="F775" i="10" s="1"/>
  <c r="E774" i="10"/>
  <c r="F774" i="10" s="1"/>
  <c r="E773" i="10"/>
  <c r="F773" i="10" s="1"/>
  <c r="E772" i="10"/>
  <c r="F772" i="10" s="1"/>
  <c r="E771" i="10"/>
  <c r="F771" i="10" s="1"/>
  <c r="E770" i="10"/>
  <c r="F770" i="10" s="1"/>
  <c r="E769" i="10"/>
  <c r="F769" i="10" s="1"/>
  <c r="E768" i="10"/>
  <c r="F768" i="10" s="1"/>
  <c r="E767" i="10"/>
  <c r="F767" i="10" s="1"/>
  <c r="E766" i="10"/>
  <c r="F766" i="10" s="1"/>
  <c r="E765" i="10"/>
  <c r="F765" i="10" s="1"/>
  <c r="E764" i="10"/>
  <c r="F764" i="10" s="1"/>
  <c r="E763" i="10"/>
  <c r="F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E744" i="10"/>
  <c r="F744" i="10" s="1"/>
  <c r="E743" i="10"/>
  <c r="F743" i="10" s="1"/>
  <c r="E742" i="10"/>
  <c r="F742" i="10" s="1"/>
  <c r="E741" i="10"/>
  <c r="F741" i="10" s="1"/>
  <c r="E740" i="10"/>
  <c r="F740" i="10" s="1"/>
  <c r="E739" i="10"/>
  <c r="F739" i="10" s="1"/>
  <c r="E738" i="10"/>
  <c r="F738" i="10" s="1"/>
  <c r="E737" i="10"/>
  <c r="F737" i="10" s="1"/>
  <c r="E736" i="10"/>
  <c r="F736" i="10" s="1"/>
  <c r="E735" i="10"/>
  <c r="F735" i="10" s="1"/>
  <c r="E734" i="10"/>
  <c r="F734" i="10" s="1"/>
  <c r="E733" i="10"/>
  <c r="F733" i="10" s="1"/>
  <c r="E732" i="10"/>
  <c r="F732" i="10" s="1"/>
  <c r="E731" i="10"/>
  <c r="F731" i="10" s="1"/>
  <c r="E730" i="10"/>
  <c r="F730" i="10" s="1"/>
  <c r="E729" i="10"/>
  <c r="F729" i="10" s="1"/>
  <c r="E728" i="10"/>
  <c r="F728" i="10" s="1"/>
  <c r="E727" i="10"/>
  <c r="F727" i="10" s="1"/>
  <c r="E726" i="10"/>
  <c r="F726" i="10" s="1"/>
  <c r="E725" i="10"/>
  <c r="F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E706" i="10"/>
  <c r="F706" i="10" s="1"/>
  <c r="E705" i="10"/>
  <c r="F705" i="10" s="1"/>
  <c r="E704" i="10"/>
  <c r="F704" i="10" s="1"/>
  <c r="E703" i="10"/>
  <c r="F703" i="10" s="1"/>
  <c r="E702" i="10"/>
  <c r="F702" i="10" s="1"/>
  <c r="E701" i="10"/>
  <c r="F701" i="10" s="1"/>
  <c r="E700" i="10"/>
  <c r="F700" i="10" s="1"/>
  <c r="E699" i="10"/>
  <c r="F699" i="10" s="1"/>
  <c r="E698" i="10"/>
  <c r="F698" i="10" s="1"/>
  <c r="E697" i="10"/>
  <c r="F697" i="10" s="1"/>
  <c r="E696" i="10"/>
  <c r="F696" i="10" s="1"/>
  <c r="E695" i="10"/>
  <c r="F695" i="10" s="1"/>
  <c r="E694" i="10"/>
  <c r="F694" i="10" s="1"/>
  <c r="E693" i="10"/>
  <c r="F693" i="10" s="1"/>
  <c r="E692" i="10"/>
  <c r="F692" i="10" s="1"/>
  <c r="E691" i="10"/>
  <c r="F691" i="10" s="1"/>
  <c r="E690" i="10"/>
  <c r="F690" i="10" s="1"/>
  <c r="E689" i="10"/>
  <c r="F689" i="10" s="1"/>
  <c r="E688" i="10"/>
  <c r="F688" i="10" s="1"/>
  <c r="E687" i="10"/>
  <c r="F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E629" i="10"/>
  <c r="F629" i="10" s="1"/>
  <c r="E628" i="10"/>
  <c r="F628" i="10" s="1"/>
  <c r="E627" i="10"/>
  <c r="F627" i="10" s="1"/>
  <c r="E626" i="10"/>
  <c r="F626" i="10" s="1"/>
  <c r="E625" i="10"/>
  <c r="F625" i="10" s="1"/>
  <c r="E624" i="10"/>
  <c r="F624" i="10" s="1"/>
  <c r="E623" i="10"/>
  <c r="F623" i="10" s="1"/>
  <c r="E622" i="10"/>
  <c r="F622" i="10" s="1"/>
  <c r="E621" i="10"/>
  <c r="F621" i="10" s="1"/>
  <c r="E620" i="10"/>
  <c r="F620" i="10" s="1"/>
  <c r="E619" i="10"/>
  <c r="F619" i="10" s="1"/>
  <c r="E618" i="10"/>
  <c r="F618" i="10" s="1"/>
  <c r="E617" i="10"/>
  <c r="F617" i="10" s="1"/>
  <c r="E616" i="10"/>
  <c r="F616" i="10" s="1"/>
  <c r="E615" i="10"/>
  <c r="F615" i="10" s="1"/>
  <c r="E614" i="10"/>
  <c r="F614" i="10" s="1"/>
  <c r="E613" i="10"/>
  <c r="F613" i="10" s="1"/>
  <c r="E612" i="10"/>
  <c r="F612" i="10" s="1"/>
  <c r="E611" i="10"/>
  <c r="F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E592" i="10"/>
  <c r="F592" i="10" s="1"/>
  <c r="E591" i="10"/>
  <c r="F591" i="10" s="1"/>
  <c r="E590" i="10"/>
  <c r="F590" i="10" s="1"/>
  <c r="E589" i="10"/>
  <c r="F589" i="10" s="1"/>
  <c r="E588" i="10"/>
  <c r="F588" i="10" s="1"/>
  <c r="E587" i="10"/>
  <c r="F587" i="10" s="1"/>
  <c r="E586" i="10"/>
  <c r="F586" i="10" s="1"/>
  <c r="E585" i="10"/>
  <c r="F585" i="10" s="1"/>
  <c r="E584" i="10"/>
  <c r="F584" i="10" s="1"/>
  <c r="E583" i="10"/>
  <c r="F583" i="10" s="1"/>
  <c r="E582" i="10"/>
  <c r="F582" i="10" s="1"/>
  <c r="E581" i="10"/>
  <c r="F581" i="10" s="1"/>
  <c r="E580" i="10"/>
  <c r="F580" i="10" s="1"/>
  <c r="E579" i="10"/>
  <c r="F579" i="10" s="1"/>
  <c r="E578" i="10"/>
  <c r="F578" i="10" s="1"/>
  <c r="E577" i="10"/>
  <c r="F577" i="10" s="1"/>
  <c r="E576" i="10"/>
  <c r="F576" i="10" s="1"/>
  <c r="E575" i="10"/>
  <c r="F575" i="10" s="1"/>
  <c r="E574" i="10"/>
  <c r="F574" i="10" s="1"/>
  <c r="E573" i="10"/>
  <c r="F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E554" i="10"/>
  <c r="F554" i="10" s="1"/>
  <c r="E553" i="10"/>
  <c r="F553" i="10" s="1"/>
  <c r="E552" i="10"/>
  <c r="F552" i="10" s="1"/>
  <c r="E551" i="10"/>
  <c r="F551" i="10" s="1"/>
  <c r="E550" i="10"/>
  <c r="F550" i="10" s="1"/>
  <c r="E549" i="10"/>
  <c r="F549" i="10" s="1"/>
  <c r="E548" i="10"/>
  <c r="F548" i="10" s="1"/>
  <c r="E547" i="10"/>
  <c r="F547" i="10" s="1"/>
  <c r="E546" i="10"/>
  <c r="F546" i="10" s="1"/>
  <c r="E545" i="10"/>
  <c r="F545" i="10" s="1"/>
  <c r="E544" i="10"/>
  <c r="F544" i="10" s="1"/>
  <c r="E543" i="10"/>
  <c r="F543" i="10" s="1"/>
  <c r="E542" i="10"/>
  <c r="F542" i="10" s="1"/>
  <c r="E541" i="10"/>
  <c r="F541" i="10" s="1"/>
  <c r="E540" i="10"/>
  <c r="F540" i="10" s="1"/>
  <c r="E539" i="10"/>
  <c r="F539" i="10" s="1"/>
  <c r="E538" i="10"/>
  <c r="F538" i="10" s="1"/>
  <c r="E537" i="10"/>
  <c r="F537" i="10" s="1"/>
  <c r="E536" i="10"/>
  <c r="F536" i="10" s="1"/>
  <c r="E535" i="10"/>
  <c r="F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E363" i="10"/>
  <c r="F363" i="10" s="1"/>
  <c r="E362" i="10"/>
  <c r="F362" i="10" s="1"/>
  <c r="E361" i="10"/>
  <c r="F361" i="10" s="1"/>
  <c r="E360" i="10"/>
  <c r="F360" i="10" s="1"/>
  <c r="E359" i="10"/>
  <c r="F359" i="10" s="1"/>
  <c r="E358" i="10"/>
  <c r="F358" i="10" s="1"/>
  <c r="E357" i="10"/>
  <c r="F357" i="10" s="1"/>
  <c r="E356" i="10"/>
  <c r="F356" i="10" s="1"/>
  <c r="E355" i="10"/>
  <c r="F355" i="10" s="1"/>
  <c r="E354" i="10"/>
  <c r="F354" i="10" s="1"/>
  <c r="E353" i="10"/>
  <c r="F353" i="10" s="1"/>
  <c r="E352" i="10"/>
  <c r="F352" i="10" s="1"/>
  <c r="E351" i="10"/>
  <c r="F351" i="10" s="1"/>
  <c r="E350" i="10"/>
  <c r="F350" i="10" s="1"/>
  <c r="E349" i="10"/>
  <c r="F349" i="10" s="1"/>
  <c r="E348" i="10"/>
  <c r="F348" i="10" s="1"/>
  <c r="E347" i="10"/>
  <c r="F347" i="10" s="1"/>
  <c r="E346" i="10"/>
  <c r="F346" i="10" s="1"/>
  <c r="E345" i="10"/>
  <c r="F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E326" i="10"/>
  <c r="F326" i="10" s="1"/>
  <c r="E325" i="10"/>
  <c r="F325" i="10" s="1"/>
  <c r="E324" i="10"/>
  <c r="F324" i="10" s="1"/>
  <c r="E323" i="10"/>
  <c r="F323" i="10" s="1"/>
  <c r="E322" i="10"/>
  <c r="F322" i="10" s="1"/>
  <c r="E321" i="10"/>
  <c r="F321" i="10" s="1"/>
  <c r="E320" i="10"/>
  <c r="F320" i="10" s="1"/>
  <c r="E319" i="10"/>
  <c r="F319" i="10" s="1"/>
  <c r="E318" i="10"/>
  <c r="F318" i="10" s="1"/>
  <c r="E317" i="10"/>
  <c r="F317" i="10" s="1"/>
  <c r="E316" i="10"/>
  <c r="F316" i="10" s="1"/>
  <c r="E315" i="10"/>
  <c r="F315" i="10" s="1"/>
  <c r="E314" i="10"/>
  <c r="F314" i="10" s="1"/>
  <c r="E313" i="10"/>
  <c r="F313" i="10" s="1"/>
  <c r="E312" i="10"/>
  <c r="F312" i="10" s="1"/>
  <c r="E311" i="10"/>
  <c r="F311" i="10" s="1"/>
  <c r="E310" i="10"/>
  <c r="F310" i="10" s="1"/>
  <c r="E309" i="10"/>
  <c r="F309" i="10" s="1"/>
  <c r="E308" i="10"/>
  <c r="F308" i="10" s="1"/>
  <c r="E307" i="10"/>
  <c r="F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E288" i="10"/>
  <c r="F288" i="10" s="1"/>
  <c r="E287" i="10"/>
  <c r="F287" i="10" s="1"/>
  <c r="E286" i="10"/>
  <c r="F286" i="10" s="1"/>
  <c r="E285" i="10"/>
  <c r="F285" i="10" s="1"/>
  <c r="E284" i="10"/>
  <c r="F284" i="10" s="1"/>
  <c r="E283" i="10"/>
  <c r="F283" i="10" s="1"/>
  <c r="E282" i="10"/>
  <c r="F282" i="10" s="1"/>
  <c r="E281" i="10"/>
  <c r="F281" i="10" s="1"/>
  <c r="E280" i="10"/>
  <c r="F280" i="10" s="1"/>
  <c r="E279" i="10"/>
  <c r="F279" i="10" s="1"/>
  <c r="E278" i="10"/>
  <c r="F278" i="10" s="1"/>
  <c r="E277" i="10"/>
  <c r="F277" i="10" s="1"/>
  <c r="E276" i="10"/>
  <c r="F276" i="10" s="1"/>
  <c r="E275" i="10"/>
  <c r="F275" i="10" s="1"/>
  <c r="E274" i="10"/>
  <c r="F274" i="10" s="1"/>
  <c r="E273" i="10"/>
  <c r="F273" i="10" s="1"/>
  <c r="E272" i="10"/>
  <c r="F272" i="10" s="1"/>
  <c r="E271" i="10"/>
  <c r="F271" i="10" s="1"/>
  <c r="E270" i="10"/>
  <c r="F270" i="10" s="1"/>
  <c r="E269" i="10"/>
  <c r="F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E211" i="10"/>
  <c r="F211" i="10" s="1"/>
  <c r="E210" i="10"/>
  <c r="F210" i="10" s="1"/>
  <c r="E209" i="10"/>
  <c r="F209" i="10" s="1"/>
  <c r="E208" i="10"/>
  <c r="F208" i="10" s="1"/>
  <c r="E207" i="10"/>
  <c r="F207" i="10" s="1"/>
  <c r="E206" i="10"/>
  <c r="F206" i="10" s="1"/>
  <c r="E205" i="10"/>
  <c r="F205" i="10" s="1"/>
  <c r="E204" i="10"/>
  <c r="F204" i="10" s="1"/>
  <c r="E203" i="10"/>
  <c r="F203" i="10" s="1"/>
  <c r="E202" i="10"/>
  <c r="F202" i="10" s="1"/>
  <c r="E201" i="10"/>
  <c r="F201" i="10" s="1"/>
  <c r="E200" i="10"/>
  <c r="F200" i="10" s="1"/>
  <c r="E199" i="10"/>
  <c r="F199" i="10" s="1"/>
  <c r="E198" i="10"/>
  <c r="F198" i="10" s="1"/>
  <c r="E197" i="10"/>
  <c r="F197" i="10" s="1"/>
  <c r="E196" i="10"/>
  <c r="F196" i="10" s="1"/>
  <c r="E195" i="10"/>
  <c r="F195" i="10" s="1"/>
  <c r="E194" i="10"/>
  <c r="F194" i="10" s="1"/>
  <c r="E193" i="10"/>
  <c r="F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E174" i="10"/>
  <c r="F174" i="10" s="1"/>
  <c r="E173" i="10"/>
  <c r="F173" i="10" s="1"/>
  <c r="E172" i="10"/>
  <c r="F172" i="10" s="1"/>
  <c r="E171" i="10"/>
  <c r="F171" i="10" s="1"/>
  <c r="E170" i="10"/>
  <c r="F170" i="10" s="1"/>
  <c r="E169" i="10"/>
  <c r="F169" i="10" s="1"/>
  <c r="E168" i="10"/>
  <c r="F168" i="10" s="1"/>
  <c r="E167" i="10"/>
  <c r="F167" i="10" s="1"/>
  <c r="E166" i="10"/>
  <c r="F166" i="10" s="1"/>
  <c r="E165" i="10"/>
  <c r="F165" i="10" s="1"/>
  <c r="E164" i="10"/>
  <c r="F164" i="10" s="1"/>
  <c r="E163" i="10"/>
  <c r="F163" i="10" s="1"/>
  <c r="E162" i="10"/>
  <c r="F162" i="10" s="1"/>
  <c r="E161" i="10"/>
  <c r="F161" i="10" s="1"/>
  <c r="E160" i="10"/>
  <c r="F160" i="10" s="1"/>
  <c r="E159" i="10"/>
  <c r="F159" i="10" s="1"/>
  <c r="E158" i="10"/>
  <c r="F158" i="10" s="1"/>
  <c r="E157" i="10"/>
  <c r="F157" i="10" s="1"/>
  <c r="E156" i="10"/>
  <c r="F156" i="10" s="1"/>
  <c r="E155" i="10"/>
  <c r="F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E136" i="10"/>
  <c r="F136" i="10" s="1"/>
  <c r="E135" i="10"/>
  <c r="F135" i="10" s="1"/>
  <c r="E134" i="10"/>
  <c r="F134" i="10" s="1"/>
  <c r="E133" i="10"/>
  <c r="F133" i="10" s="1"/>
  <c r="E132" i="10"/>
  <c r="F132" i="10" s="1"/>
  <c r="E131" i="10"/>
  <c r="F131" i="10" s="1"/>
  <c r="E130" i="10"/>
  <c r="F130" i="10" s="1"/>
  <c r="E129" i="10"/>
  <c r="F129" i="10" s="1"/>
  <c r="E128" i="10"/>
  <c r="F128" i="10" s="1"/>
  <c r="E127" i="10"/>
  <c r="F127" i="10" s="1"/>
  <c r="E126" i="10"/>
  <c r="F126" i="10" s="1"/>
  <c r="E125" i="10"/>
  <c r="F125" i="10" s="1"/>
  <c r="E124" i="10"/>
  <c r="F124" i="10" s="1"/>
  <c r="E123" i="10"/>
  <c r="F123" i="10" s="1"/>
  <c r="E122" i="10"/>
  <c r="F122" i="10" s="1"/>
  <c r="E121" i="10"/>
  <c r="F121" i="10" s="1"/>
  <c r="E120" i="10"/>
  <c r="F120" i="10" s="1"/>
  <c r="E119" i="10"/>
  <c r="F119" i="10" s="1"/>
  <c r="E118" i="10"/>
  <c r="F118" i="10" s="1"/>
  <c r="E117" i="10"/>
  <c r="F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H4173" i="10" l="1"/>
  <c r="I4172" i="10"/>
  <c r="H4019" i="10"/>
  <c r="I4018" i="10"/>
  <c r="I3868" i="10"/>
  <c r="H3869" i="10"/>
  <c r="H3829" i="10"/>
  <c r="I3828" i="10"/>
  <c r="H3792" i="10"/>
  <c r="I3791" i="10"/>
  <c r="H3748" i="10"/>
  <c r="I3747" i="10"/>
  <c r="I3728" i="10"/>
  <c r="I3736" i="10"/>
  <c r="I3744" i="10"/>
  <c r="H3596" i="10"/>
  <c r="I3595" i="10"/>
  <c r="H3335" i="10"/>
  <c r="I3334" i="10"/>
  <c r="H3182" i="10"/>
  <c r="I3181" i="10"/>
  <c r="H3031" i="10"/>
  <c r="I3030" i="10"/>
  <c r="I2993" i="10"/>
  <c r="H2994" i="10"/>
  <c r="H2955" i="10"/>
  <c r="I2954" i="10"/>
  <c r="H2917" i="10"/>
  <c r="I2916" i="10"/>
  <c r="H2765" i="10"/>
  <c r="I2764" i="10"/>
  <c r="H2613" i="10"/>
  <c r="I2612" i="10"/>
  <c r="H2575" i="10"/>
  <c r="I2574" i="10"/>
  <c r="H2538" i="10"/>
  <c r="I2537" i="10"/>
  <c r="I2082" i="10"/>
  <c r="H2083" i="10"/>
  <c r="I3730" i="10"/>
  <c r="I3738" i="10"/>
  <c r="H1929" i="10"/>
  <c r="I1928" i="10"/>
  <c r="H1778" i="10"/>
  <c r="I1777" i="10"/>
  <c r="H1739" i="10"/>
  <c r="I1738" i="10"/>
  <c r="H1703" i="10"/>
  <c r="I1702" i="10"/>
  <c r="H519" i="10"/>
  <c r="I518" i="10"/>
  <c r="H481" i="10"/>
  <c r="I480" i="10"/>
  <c r="H443" i="10"/>
  <c r="I442" i="10"/>
  <c r="H405" i="10"/>
  <c r="I404" i="10"/>
  <c r="I3727" i="10"/>
  <c r="I3735" i="10"/>
  <c r="H253" i="10"/>
  <c r="I252"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729" i="10"/>
  <c r="I3737" i="10"/>
  <c r="I3731" i="10"/>
  <c r="I3739" i="10"/>
  <c r="I3732" i="10"/>
  <c r="I3740" i="10"/>
  <c r="I3726" i="10"/>
  <c r="I3733" i="10"/>
  <c r="I3741" i="10"/>
  <c r="I3734" i="10"/>
  <c r="I3742" i="10"/>
  <c r="I3346" i="10"/>
  <c r="I3347" i="10"/>
  <c r="I3428" i="10"/>
  <c r="I648" i="10"/>
  <c r="I3348" i="10"/>
  <c r="I1066" i="10"/>
  <c r="I800" i="10"/>
  <c r="I3743" i="10"/>
  <c r="I1224" i="10"/>
  <c r="I3745" i="10"/>
  <c r="I876" i="10"/>
  <c r="I3746" i="10"/>
  <c r="I804"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020" i="10"/>
  <c r="I4019" i="10"/>
  <c r="I3869" i="10"/>
  <c r="H3870" i="10"/>
  <c r="H3830" i="10"/>
  <c r="I3829" i="10"/>
  <c r="H3793" i="10"/>
  <c r="I3792" i="10"/>
  <c r="H3749" i="10"/>
  <c r="I3748" i="10"/>
  <c r="H3597" i="10"/>
  <c r="I3596" i="10"/>
  <c r="H3336" i="10"/>
  <c r="I3335" i="10"/>
  <c r="H3183" i="10"/>
  <c r="I3182" i="10"/>
  <c r="H3032" i="10"/>
  <c r="I3031" i="10"/>
  <c r="I2994" i="10"/>
  <c r="H2995" i="10"/>
  <c r="H2956" i="10"/>
  <c r="I2955" i="10"/>
  <c r="H2918" i="10"/>
  <c r="I2917" i="10"/>
  <c r="H2766" i="10"/>
  <c r="I2765" i="10"/>
  <c r="H2614" i="10"/>
  <c r="I2613" i="10"/>
  <c r="H2576" i="10"/>
  <c r="I2575" i="10"/>
  <c r="H2539" i="10"/>
  <c r="I2538" i="10"/>
  <c r="H2084" i="10"/>
  <c r="I2083" i="10"/>
  <c r="I1929" i="10"/>
  <c r="H1930" i="10"/>
  <c r="H1779" i="10"/>
  <c r="I1778" i="10"/>
  <c r="I1739" i="10"/>
  <c r="H1740" i="10"/>
  <c r="H1704" i="10"/>
  <c r="I1703" i="10"/>
  <c r="H520" i="10"/>
  <c r="I519" i="10"/>
  <c r="H482" i="10"/>
  <c r="I481" i="10"/>
  <c r="H444" i="10"/>
  <c r="I443" i="10"/>
  <c r="H406" i="10"/>
  <c r="I405" i="10"/>
  <c r="H254" i="10"/>
  <c r="I253"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021" i="10"/>
  <c r="I4020" i="10"/>
  <c r="H3871" i="10"/>
  <c r="I3870" i="10"/>
  <c r="H3831" i="10"/>
  <c r="I3830" i="10"/>
  <c r="H3794" i="10"/>
  <c r="I3793" i="10"/>
  <c r="H3750" i="10"/>
  <c r="I3749" i="10"/>
  <c r="H3598" i="10"/>
  <c r="I3597" i="10"/>
  <c r="H3337" i="10"/>
  <c r="I3336" i="10"/>
  <c r="H3184" i="10"/>
  <c r="I3183" i="10"/>
  <c r="H3033" i="10"/>
  <c r="I3032" i="10"/>
  <c r="H2996" i="10"/>
  <c r="I2995" i="10"/>
  <c r="H2957" i="10"/>
  <c r="I2956" i="10"/>
  <c r="H2919" i="10"/>
  <c r="I2918" i="10"/>
  <c r="H2767" i="10"/>
  <c r="I2766" i="10"/>
  <c r="H2615" i="10"/>
  <c r="I2614" i="10"/>
  <c r="H2577" i="10"/>
  <c r="I2576" i="10"/>
  <c r="H2540" i="10"/>
  <c r="I2539" i="10"/>
  <c r="H2085" i="10"/>
  <c r="I2084" i="10"/>
  <c r="H1931" i="10"/>
  <c r="I1930" i="10"/>
  <c r="H1780" i="10"/>
  <c r="I1779" i="10"/>
  <c r="H1741" i="10"/>
  <c r="I1740" i="10"/>
  <c r="H1705" i="10"/>
  <c r="I1704" i="10"/>
  <c r="H521" i="10"/>
  <c r="I520" i="10"/>
  <c r="H483" i="10"/>
  <c r="I482" i="10"/>
  <c r="H445" i="10"/>
  <c r="I444" i="10"/>
  <c r="H407" i="10"/>
  <c r="I406" i="10"/>
  <c r="H255" i="10"/>
  <c r="I254"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022" i="10"/>
  <c r="I4021" i="10"/>
  <c r="H3872" i="10"/>
  <c r="I3871" i="10"/>
  <c r="H3832" i="10"/>
  <c r="I3831" i="10"/>
  <c r="H3795" i="10"/>
  <c r="I3794" i="10"/>
  <c r="H3751" i="10"/>
  <c r="I3750" i="10"/>
  <c r="H3599" i="10"/>
  <c r="I3598" i="10"/>
  <c r="H3338" i="10"/>
  <c r="I3337" i="10"/>
  <c r="H3185" i="10"/>
  <c r="I3184" i="10"/>
  <c r="H3034" i="10"/>
  <c r="I3033" i="10"/>
  <c r="I2996" i="10"/>
  <c r="H2997" i="10"/>
  <c r="H2958" i="10"/>
  <c r="I2957" i="10"/>
  <c r="H2920" i="10"/>
  <c r="I2919" i="10"/>
  <c r="H2768" i="10"/>
  <c r="I2767" i="10"/>
  <c r="H2616" i="10"/>
  <c r="I2615" i="10"/>
  <c r="H2578" i="10"/>
  <c r="I2577" i="10"/>
  <c r="H2541" i="10"/>
  <c r="I2540" i="10"/>
  <c r="H2086" i="10"/>
  <c r="I2085" i="10"/>
  <c r="H1932" i="10"/>
  <c r="I1931" i="10"/>
  <c r="H1781" i="10"/>
  <c r="I1780" i="10"/>
  <c r="I1741" i="10"/>
  <c r="H1742" i="10"/>
  <c r="H1706" i="10"/>
  <c r="I1705" i="10"/>
  <c r="H522" i="10"/>
  <c r="I521" i="10"/>
  <c r="H484" i="10"/>
  <c r="I483" i="10"/>
  <c r="H446" i="10"/>
  <c r="I445" i="10"/>
  <c r="H408" i="10"/>
  <c r="I407" i="10"/>
  <c r="H256" i="10"/>
  <c r="I255"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023" i="10"/>
  <c r="I4022" i="10"/>
  <c r="H3873" i="10"/>
  <c r="I3872" i="10"/>
  <c r="H3833" i="10"/>
  <c r="I3832" i="10"/>
  <c r="H3796" i="10"/>
  <c r="I3795" i="10"/>
  <c r="H3752" i="10"/>
  <c r="I3751" i="10"/>
  <c r="H3600" i="10"/>
  <c r="I3599" i="10"/>
  <c r="H3339" i="10"/>
  <c r="I3338" i="10"/>
  <c r="H3186" i="10"/>
  <c r="I3185" i="10"/>
  <c r="H3035" i="10"/>
  <c r="I3034" i="10"/>
  <c r="H2998" i="10"/>
  <c r="I2997" i="10"/>
  <c r="H2959" i="10"/>
  <c r="I2958" i="10"/>
  <c r="H2921" i="10"/>
  <c r="I2920" i="10"/>
  <c r="H2769" i="10"/>
  <c r="I2768" i="10"/>
  <c r="H2617" i="10"/>
  <c r="I2616" i="10"/>
  <c r="H2579" i="10"/>
  <c r="I2578" i="10"/>
  <c r="H2542" i="10"/>
  <c r="I2541" i="10"/>
  <c r="H2087" i="10"/>
  <c r="I2086" i="10"/>
  <c r="H1933" i="10"/>
  <c r="I1932" i="10"/>
  <c r="H1782" i="10"/>
  <c r="I1781" i="10"/>
  <c r="I1742" i="10"/>
  <c r="H1743" i="10"/>
  <c r="H1707" i="10"/>
  <c r="I1706" i="10"/>
  <c r="H523" i="10"/>
  <c r="I522" i="10"/>
  <c r="H485" i="10"/>
  <c r="I484" i="10"/>
  <c r="H447" i="10"/>
  <c r="I446" i="10"/>
  <c r="H409" i="10"/>
  <c r="I408" i="10"/>
  <c r="H257" i="10"/>
  <c r="I256"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024" i="10"/>
  <c r="I4023" i="10"/>
  <c r="I3873" i="10"/>
  <c r="H3874" i="10"/>
  <c r="H3834" i="10"/>
  <c r="I3833" i="10"/>
  <c r="H3797" i="10"/>
  <c r="I3796" i="10"/>
  <c r="H3753" i="10"/>
  <c r="I3752" i="10"/>
  <c r="H3601" i="10"/>
  <c r="I3600" i="10"/>
  <c r="H3340" i="10"/>
  <c r="I3339" i="10"/>
  <c r="H3187" i="10"/>
  <c r="I3186" i="10"/>
  <c r="H3036" i="10"/>
  <c r="I3035" i="10"/>
  <c r="H2999" i="10"/>
  <c r="I2998" i="10"/>
  <c r="H2960" i="10"/>
  <c r="I2959" i="10"/>
  <c r="H2922" i="10"/>
  <c r="I2921" i="10"/>
  <c r="H2770" i="10"/>
  <c r="I2769" i="10"/>
  <c r="H2618" i="10"/>
  <c r="I2617" i="10"/>
  <c r="H2580" i="10"/>
  <c r="I2579" i="10"/>
  <c r="H2543" i="10"/>
  <c r="I2542" i="10"/>
  <c r="H2088" i="10"/>
  <c r="I2087" i="10"/>
  <c r="H1934" i="10"/>
  <c r="I1933" i="10"/>
  <c r="H1783" i="10"/>
  <c r="I1782" i="10"/>
  <c r="H1744" i="10"/>
  <c r="I1743" i="10"/>
  <c r="H1708" i="10"/>
  <c r="I1707" i="10"/>
  <c r="H524" i="10"/>
  <c r="I523" i="10"/>
  <c r="H486" i="10"/>
  <c r="I485" i="10"/>
  <c r="I447" i="10"/>
  <c r="H448" i="10"/>
  <c r="H410" i="10"/>
  <c r="I409" i="10"/>
  <c r="H258" i="10"/>
  <c r="I257"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025" i="10"/>
  <c r="I4024" i="10"/>
  <c r="I3874" i="10"/>
  <c r="H3875" i="10"/>
  <c r="H3835" i="10"/>
  <c r="I3834" i="10"/>
  <c r="H3798" i="10"/>
  <c r="I3797" i="10"/>
  <c r="H3754" i="10"/>
  <c r="I3753" i="10"/>
  <c r="H3602" i="10"/>
  <c r="I3601" i="10"/>
  <c r="H3341" i="10"/>
  <c r="I3340" i="10"/>
  <c r="H3188" i="10"/>
  <c r="I3187" i="10"/>
  <c r="H3037" i="10"/>
  <c r="I3036" i="10"/>
  <c r="H3000" i="10"/>
  <c r="I2999" i="10"/>
  <c r="H2961" i="10"/>
  <c r="I2960" i="10"/>
  <c r="H2923" i="10"/>
  <c r="I2922" i="10"/>
  <c r="H2771" i="10"/>
  <c r="I2770" i="10"/>
  <c r="H2619" i="10"/>
  <c r="I2618" i="10"/>
  <c r="H2581" i="10"/>
  <c r="I2580" i="10"/>
  <c r="H2544" i="10"/>
  <c r="I2543" i="10"/>
  <c r="H2089" i="10"/>
  <c r="I2088" i="10"/>
  <c r="H1935" i="10"/>
  <c r="I1934" i="10"/>
  <c r="H1784" i="10"/>
  <c r="I1783" i="10"/>
  <c r="I1744" i="10"/>
  <c r="H1745" i="10"/>
  <c r="H1709" i="10"/>
  <c r="I1708" i="10"/>
  <c r="H525" i="10"/>
  <c r="I524" i="10"/>
  <c r="H487" i="10"/>
  <c r="I486" i="10"/>
  <c r="I448" i="10"/>
  <c r="H449" i="10"/>
  <c r="H411" i="10"/>
  <c r="I410" i="10"/>
  <c r="H259" i="10"/>
  <c r="I258"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H4026" i="10"/>
  <c r="I4025" i="10"/>
  <c r="H3876" i="10"/>
  <c r="I3876" i="10" s="1"/>
  <c r="I3875" i="10"/>
  <c r="H3836" i="10"/>
  <c r="I3835" i="10"/>
  <c r="H3799" i="10"/>
  <c r="I3798" i="10"/>
  <c r="H3755" i="10"/>
  <c r="I3754" i="10"/>
  <c r="H3603" i="10"/>
  <c r="I3602" i="10"/>
  <c r="H3342" i="10"/>
  <c r="I3341" i="10"/>
  <c r="H3189" i="10"/>
  <c r="I3188" i="10"/>
  <c r="H3038" i="10"/>
  <c r="I3037" i="10"/>
  <c r="H3001" i="10"/>
  <c r="I3000" i="10"/>
  <c r="H2962" i="10"/>
  <c r="I2961" i="10"/>
  <c r="H2924" i="10"/>
  <c r="I2923" i="10"/>
  <c r="H2772" i="10"/>
  <c r="I2771" i="10"/>
  <c r="H2620" i="10"/>
  <c r="I2619" i="10"/>
  <c r="H2582" i="10"/>
  <c r="I2581" i="10"/>
  <c r="H2545" i="10"/>
  <c r="I2544" i="10"/>
  <c r="H2090" i="10"/>
  <c r="I2090" i="10" s="1"/>
  <c r="I2089" i="10"/>
  <c r="H1936" i="10"/>
  <c r="I1935" i="10"/>
  <c r="H1785" i="10"/>
  <c r="I1784" i="10"/>
  <c r="H1746" i="10"/>
  <c r="I1745" i="10"/>
  <c r="H1710" i="10"/>
  <c r="I1710" i="10" s="1"/>
  <c r="I1709" i="10"/>
  <c r="H526" i="10"/>
  <c r="I525" i="10"/>
  <c r="H488" i="10"/>
  <c r="I487" i="10"/>
  <c r="H450" i="10"/>
  <c r="I449" i="10"/>
  <c r="H412" i="10"/>
  <c r="I411" i="10"/>
  <c r="H260" i="10"/>
  <c r="I259" i="10"/>
  <c r="H108" i="10"/>
  <c r="I107" i="10"/>
  <c r="H68" i="10"/>
  <c r="I67" i="10"/>
  <c r="H32" i="10"/>
  <c r="I31" i="10"/>
  <c r="I396" i="10"/>
  <c r="H3396" i="10"/>
  <c r="I3395" i="10"/>
  <c r="H3436" i="10"/>
  <c r="I3435" i="10"/>
  <c r="I928" i="10"/>
  <c r="I847" i="10"/>
  <c r="I57" i="10"/>
  <c r="I96" i="10"/>
  <c r="I889" i="10"/>
  <c r="I242" i="10"/>
  <c r="H3359" i="10"/>
  <c r="I3359" i="10" s="1"/>
  <c r="I1082" i="10"/>
  <c r="I1235" i="10"/>
  <c r="H4027" i="10" l="1"/>
  <c r="I4026" i="10"/>
  <c r="H3837" i="10"/>
  <c r="I3836" i="10"/>
  <c r="H3800" i="10"/>
  <c r="I3800" i="10" s="1"/>
  <c r="I3799" i="10"/>
  <c r="H3756" i="10"/>
  <c r="I3755" i="10"/>
  <c r="H3604" i="10"/>
  <c r="I3603" i="10"/>
  <c r="H3343" i="10"/>
  <c r="I3342" i="10"/>
  <c r="H3190" i="10"/>
  <c r="I3189" i="10"/>
  <c r="H3039" i="10"/>
  <c r="I3038" i="10"/>
  <c r="H3002" i="10"/>
  <c r="I3002" i="10" s="1"/>
  <c r="I3001" i="10"/>
  <c r="H2963" i="10"/>
  <c r="I2962" i="10"/>
  <c r="H2925" i="10"/>
  <c r="I2924" i="10"/>
  <c r="H2773" i="10"/>
  <c r="I2772" i="10"/>
  <c r="H2621" i="10"/>
  <c r="I2620" i="10"/>
  <c r="H2583" i="10"/>
  <c r="I2582" i="10"/>
  <c r="H2546" i="10"/>
  <c r="I2546" i="10" s="1"/>
  <c r="I2545" i="10"/>
  <c r="H1937" i="10"/>
  <c r="I1936" i="10"/>
  <c r="H1786" i="10"/>
  <c r="I1786" i="10" s="1"/>
  <c r="I1785" i="10"/>
  <c r="H1747" i="10"/>
  <c r="I1746" i="10"/>
  <c r="H527" i="10"/>
  <c r="I526" i="10"/>
  <c r="H489" i="10"/>
  <c r="I488" i="10"/>
  <c r="H451" i="10"/>
  <c r="I450" i="10"/>
  <c r="H413" i="10"/>
  <c r="I412" i="10"/>
  <c r="H261" i="10"/>
  <c r="I260" i="10"/>
  <c r="H109" i="10"/>
  <c r="I108" i="10"/>
  <c r="H69" i="10"/>
  <c r="I68" i="10"/>
  <c r="H33" i="10"/>
  <c r="I32" i="10"/>
  <c r="H3397" i="10"/>
  <c r="I3396" i="10"/>
  <c r="I397" i="10"/>
  <c r="H3360" i="10"/>
  <c r="I3360" i="10" s="1"/>
  <c r="I890" i="10"/>
  <c r="I97" i="10"/>
  <c r="I1236" i="10"/>
  <c r="I848" i="10"/>
  <c r="I929" i="10"/>
  <c r="I1083" i="10"/>
  <c r="I243" i="10"/>
  <c r="I58" i="10"/>
  <c r="H3437" i="10"/>
  <c r="I3436" i="10"/>
  <c r="H4028" i="10" l="1"/>
  <c r="I4028" i="10" s="1"/>
  <c r="I4027" i="10"/>
  <c r="H3838" i="10"/>
  <c r="I3838" i="10" s="1"/>
  <c r="I3837" i="10"/>
  <c r="H3757" i="10"/>
  <c r="I3756" i="10"/>
  <c r="H3605" i="10"/>
  <c r="I3604" i="10"/>
  <c r="H3344" i="10"/>
  <c r="I3344" i="10" s="1"/>
  <c r="I3343" i="10"/>
  <c r="H3191" i="10"/>
  <c r="I3190" i="10"/>
  <c r="H3040" i="10"/>
  <c r="I3040" i="10" s="1"/>
  <c r="I3039" i="10"/>
  <c r="H2964" i="10"/>
  <c r="I2964" i="10" s="1"/>
  <c r="I2963" i="10"/>
  <c r="H2926" i="10"/>
  <c r="I2926" i="10" s="1"/>
  <c r="I2925" i="10"/>
  <c r="H2774" i="10"/>
  <c r="I2774" i="10" s="1"/>
  <c r="I2773" i="10"/>
  <c r="H2622" i="10"/>
  <c r="I2622" i="10" s="1"/>
  <c r="I2621" i="10"/>
  <c r="H2584" i="10"/>
  <c r="I2584" i="10" s="1"/>
  <c r="I2583" i="10"/>
  <c r="H1938" i="10"/>
  <c r="I1938" i="10" s="1"/>
  <c r="I1937" i="10"/>
  <c r="H1748" i="10"/>
  <c r="I1748" i="10" s="1"/>
  <c r="I1747" i="10"/>
  <c r="H528" i="10"/>
  <c r="I527" i="10"/>
  <c r="H490" i="10"/>
  <c r="I489" i="10"/>
  <c r="I451" i="10"/>
  <c r="H452" i="10"/>
  <c r="H414" i="10"/>
  <c r="I413" i="10"/>
  <c r="H262" i="10"/>
  <c r="I261"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606" i="10"/>
  <c r="I3605" i="10"/>
  <c r="H3192" i="10"/>
  <c r="I3192" i="10" s="1"/>
  <c r="I3191" i="10"/>
  <c r="H529" i="10"/>
  <c r="I528" i="10"/>
  <c r="H491" i="10"/>
  <c r="I490" i="10"/>
  <c r="I452" i="10"/>
  <c r="H453" i="10"/>
  <c r="H415" i="10"/>
  <c r="I414" i="10"/>
  <c r="H263" i="10"/>
  <c r="I262"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607" i="10"/>
  <c r="I3606" i="10"/>
  <c r="H530" i="10"/>
  <c r="I529" i="10"/>
  <c r="H492" i="10"/>
  <c r="I491" i="10"/>
  <c r="I453" i="10"/>
  <c r="H454" i="10"/>
  <c r="H416" i="10"/>
  <c r="I415" i="10"/>
  <c r="H264" i="10"/>
  <c r="I263" i="10"/>
  <c r="H112" i="10"/>
  <c r="I111" i="10"/>
  <c r="H72" i="10"/>
  <c r="I71" i="10"/>
  <c r="H36" i="10"/>
  <c r="I35" i="10"/>
  <c r="I400" i="10"/>
  <c r="H3400" i="10"/>
  <c r="I3399" i="10"/>
  <c r="I246" i="10"/>
  <c r="I893" i="10"/>
  <c r="I932" i="10"/>
  <c r="I851" i="10"/>
  <c r="H3440" i="10"/>
  <c r="I3439" i="10"/>
  <c r="H3363" i="10"/>
  <c r="I3363" i="10" s="1"/>
  <c r="I1086" i="10"/>
  <c r="H3760" i="10" l="1"/>
  <c r="I3759" i="10"/>
  <c r="H3608" i="10"/>
  <c r="I3607" i="10"/>
  <c r="H531" i="10"/>
  <c r="I530" i="10"/>
  <c r="H493" i="10"/>
  <c r="I492" i="10"/>
  <c r="I454" i="10"/>
  <c r="H455" i="10"/>
  <c r="H417" i="10"/>
  <c r="I416" i="10"/>
  <c r="H265" i="10"/>
  <c r="I264" i="10"/>
  <c r="H113" i="10"/>
  <c r="I112" i="10"/>
  <c r="H73" i="10"/>
  <c r="I72" i="10"/>
  <c r="H37" i="10"/>
  <c r="I36" i="10"/>
  <c r="H3401" i="10"/>
  <c r="I3400" i="10"/>
  <c r="I401" i="10"/>
  <c r="I852" i="10"/>
  <c r="I247" i="10"/>
  <c r="I894" i="10"/>
  <c r="H3364" i="10"/>
  <c r="I3364" i="10" s="1"/>
  <c r="I933" i="10"/>
  <c r="H3441" i="10"/>
  <c r="I3440" i="10"/>
  <c r="H3761" i="10" l="1"/>
  <c r="I3760" i="10"/>
  <c r="H3609" i="10"/>
  <c r="I3608" i="10"/>
  <c r="H532" i="10"/>
  <c r="I532" i="10" s="1"/>
  <c r="I531" i="10"/>
  <c r="H494" i="10"/>
  <c r="I494" i="10" s="1"/>
  <c r="I493" i="10"/>
  <c r="I455" i="10"/>
  <c r="H456" i="10"/>
  <c r="I456" i="10" s="1"/>
  <c r="H418" i="10"/>
  <c r="I418" i="10" s="1"/>
  <c r="I417" i="10"/>
  <c r="H266" i="10"/>
  <c r="I266" i="10" s="1"/>
  <c r="I265"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610" i="10"/>
  <c r="I3610" i="10" s="1"/>
  <c r="I3609"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AN35" i="2"/>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B35" i="2" l="1"/>
  <c r="JO8" i="2"/>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tc={DC33A787-9741-4EFC-B709-ED216C298A39}</author>
    <author>tc={6764C367-6713-48CC-9F22-232A2D6D966A}</author>
    <author>tc={6844B6C6-D0E5-4ADA-885E-60EFCAE0750C}</author>
    <author>tc={7CFE5482-040F-47A0-BE1A-D3327C645BD3}</author>
    <author>tc={F9BA4F7B-2A70-49C7-B4EF-71D6AB712557}</author>
    <author>tc={F7AFD168-EB98-489E-968C-110BD0C065BB}</author>
    <author>tc={FC135E86-6327-43E1-96BF-4E61F747277D}</author>
    <author>tc={5D4723EC-A768-4E64-AA10-7DFEF58CC506}</author>
    <author>tc={4F7CDA59-B5CF-453C-AC3A-EB24D3C41D09}</author>
    <author>tc={AA5AA4F8-1D8B-4AFC-98AE-418614EF23FC}</author>
    <author>tc={5F469CD5-8242-4358-9911-042CCC864D5F}</author>
    <author>tc={2A7A6BB4-BB33-40DE-8C7F-02339A789C0F}</author>
    <author>tc={2AEDABA5-87B7-4298-B48B-E56D080CD32D}</author>
    <author>tc={45E10306-58F6-414B-9FD7-7A343BB0E2D0}</author>
    <author>tc={42C91F43-4E7E-4539-BEAE-41EB250E813B}</author>
    <author>tc={F10CCFE7-C99E-4797-A2AB-CB98E473D338}</author>
    <author>tc={6F369DBB-780C-4CD9-9C0B-6320A58F95E7}</author>
    <author>tc={12507650-1711-4447-9225-B7445A032357}</author>
    <author>tc={61AAA4CE-B24E-4CD4-B543-CE89368BCC56}</author>
    <author>tc={4AA95362-BB97-4DCD-B70F-B3970C686F52}</author>
    <author>tc={69284822-976D-4F1A-BB9A-AA29FCE24E43}</author>
    <author>tc={D8E84B67-36E8-4132-A6D1-F392C0D2260C}</author>
    <author>tc={BD6E99CF-8B85-4F77-9AD5-EDE89F244848}</author>
    <author>tc={18F3800D-F6D4-480C-85D1-E8F98A861FF0}</author>
    <author>tc={3D66BBA6-4B38-4A70-8E3F-0CFE03FEA4CB}</author>
  </authors>
  <commentList>
    <comment ref="W4" authorId="0" shapeId="0" xr:uid="{DC33A787-9741-4EFC-B709-ED216C298A39}">
      <text>
        <t>[Threaded comment]
Your version of Excel allows you to read this threaded comment; however, any edits to it will get removed if the file is opened in a newer version of Excel. Learn more: https://go.microsoft.com/fwlink/?linkid=870924
Comment:
    El auditor, al hacer los cálculo anualizados, corta al límite económico en diciembre de 2043. PlanningSpace, al hacer los cálculos mensualizados, corta en abril de 2044. También impacta que PS distribuye el OPEX fijo por FNI y el auditor asigna el 100% a la PDP</t>
      </text>
    </comment>
    <comment ref="AT4" authorId="1" shapeId="0" xr:uid="{6764C367-6713-48CC-9F22-232A2D6D966A}">
      <text>
        <t>[Threaded comment]
Your version of Excel allows you to read this threaded comment; however, any edits to it will get removed if the file is opened in a newer version of Excel. Learn more: https://go.microsoft.com/fwlink/?linkid=870924
Comment:
    El auditor de este campo, al cortar la curva de PDP mucho antes por la metodología que utiliza, trae la cola de PDP a la categoría PNP. PlanningSpace l utilizar metodología RSC, no realiza este movimiento</t>
      </text>
    </comment>
    <comment ref="AV4" authorId="2" shapeId="0" xr:uid="{6844B6C6-D0E5-4ADA-885E-60EFCAE0750C}">
      <text>
        <t xml:space="preserve">[Threaded comment]
Your version of Excel allows you to read this threaded comment; however, any edits to it will get removed if the file is opened in a newer version of Excel. Learn more: https://go.microsoft.com/fwlink/?linkid=870924
Comment:
    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
Esto trae como consecuencia que en el cálculo del auditor, la categoría PNP al tener un mayor OPEX fijo,  alcance su límite económico mucho antes que en el cálculo de PlanningSpace
</t>
      </text>
    </comment>
    <comment ref="BI4" authorId="3" shapeId="0" xr:uid="{7CFE5482-040F-47A0-BE1A-D3327C645BD3}">
      <text>
        <t>[Threaded comment]
Your version of Excel allows you to read this threaded comment; however, any edits to it will get removed if the file is opened in a newer version of Excel. Learn more: https://go.microsoft.com/fwlink/?linkid=870924
Comment:
    El auditor, al hacer los cálculo anualizados, corta al límite económico en diciembre de 2043. PlanningSpace, al hacer los cálculos mensualizados, corta en abril de 2044.</t>
      </text>
    </comment>
    <comment ref="CQ4" authorId="4" shapeId="0" xr:uid="{F9BA4F7B-2A70-49C7-B4EF-71D6AB712557}">
      <text>
        <t>[Threaded comment]
Your version of Excel allows you to read this threaded comment; however, any edits to it will get removed if the file is opened in a newer version of Excel. Learn more: https://go.microsoft.com/fwlink/?linkid=870924
Comment:
    El auditor, al hacer los cálculo anualizados, corta al límite económico en diciembre de 2040. PlanningSpace, al hacer los cálculos mensualizados, corta en septiembre de 2040. También impacta que PS distribuye el OPEX fijo por FNI y el auditor asigna el 100% a la PDP</t>
      </text>
    </comment>
    <comment ref="IM4" authorId="5" shapeId="0" xr:uid="{F7AFD168-EB98-489E-968C-110BD0C065BB}">
      <text>
        <t>[Threaded comment]
Your version of Excel allows you to read this threaded comment; however, any edits to it will get removed if the file is opened in a newer version of Excel. Learn more: https://go.microsoft.com/fwlink/?linkid=870924
Comment:
    El auditor, al calcular el límite económico de PND en una fecha distinta al de PlanningSpace, trae la cola a Probables unos meses antes que PS</t>
      </text>
    </comment>
    <comment ref="IO4" authorId="6" shapeId="0" xr:uid="{FC135E86-6327-43E1-96BF-4E61F747277D}">
      <text>
        <t>[Threaded comment]
Your version of Excel allows you to read this threaded comment; however, any edits to it will get removed if the file is opened in a newer version of Excel. Learn more: https://go.microsoft.com/fwlink/?linkid=870924
Comment:
    El auditor, al hacer los cálculo anualizados, corta al límite económico en diciembre de 2042. PlanningSpace, al hacer los cálculos mensualizados, corta en noviembre de 2042.</t>
      </text>
    </comment>
    <comment ref="OK4" authorId="7" shapeId="0" xr:uid="{5D4723EC-A768-4E64-AA10-7DFEF58CC506}">
      <text>
        <t>[Threaded comment]
Your version of Excel allows you to read this threaded comment; however, any edits to it will get removed if the file is opened in a newer version of Excel. Learn more: https://go.microsoft.com/fwlink/?linkid=870924
Comment:
    El auditor, al calcular el límite económico de Probables en una fecha distinta al de PlanningSpace, trae la cola a Posibles unos meses antes que PS</t>
      </text>
    </comment>
    <comment ref="OM4" authorId="8" shapeId="0" xr:uid="{4F7CDA59-B5CF-453C-AC3A-EB24D3C41D09}">
      <text>
        <t>[Threaded comment]
Your version of Excel allows you to read this threaded comment; however, any edits to it will get removed if the file is opened in a newer version of Excel. Learn more: https://go.microsoft.com/fwlink/?linkid=870924
Comment:
    El auditor, al calcular el límite económico de PDP y PNP en una fecha distinta al de PlanningSpace, trae la cola a Posibles unos meses antes que PS</t>
      </text>
    </comment>
    <comment ref="OP4" authorId="9" shapeId="0" xr:uid="{AA5AA4F8-1D8B-4AFC-98AE-418614EF23FC}">
      <text>
        <t>[Threaded comment]
Your version of Excel allows you to read this threaded comment; however, any edits to it will get removed if the file is opened in a newer version of Excel. Learn more: https://go.microsoft.com/fwlink/?linkid=870924
Comment:
    PlanningSpace hace el cálculo del límite económico mensualizado, por lo cual corta en abril de 2047. El auditor en cambio, al hacerlo anualizado, corta en diciembre de 2046</t>
      </text>
    </comment>
    <comment ref="B7" authorId="10" shapeId="0" xr:uid="{5F469CD5-8242-4358-9911-042CCC864D5F}">
      <text>
        <t>[Threaded comment]
Your version of Excel allows you to read this threaded comment; however, any edits to it will get removed if the file is opened in a newer version of Excel. Learn more: https://go.microsoft.com/fwlink/?linkid=870924
Comment:
    En el año 2023 se tiene curva base pactada con la ANH. El auditor, al hacer el cálculo anualizado, con las ponderaciones que realiza se dan diferencias versus el cálculo de PlanningSpace que si es mensualizado</t>
      </text>
    </comment>
    <comment ref="AN7" authorId="11" shapeId="0" xr:uid="{2A7A6BB4-BB33-40DE-8C7F-02339A789C0F}">
      <text>
        <t>[Threaded comment]
Your version of Excel allows you to read this threaded comment; however, any edits to it will get removed if the file is opened in a newer version of Excel. Learn more: https://go.microsoft.com/fwlink/?linkid=870924
Comment:
    En el año 2023 se tiene curva base pactada con la ANH. El auditor, al hacer el cálculo anualizado, con las ponderaciones que realiza se dan diferencias versus el cálculo de PlanningSpace que si es mensualizado</t>
      </text>
    </comment>
    <comment ref="AN10" authorId="12" shapeId="0" xr:uid="{2AEDABA5-87B7-4298-B48B-E56D080CD32D}">
      <text>
        <t>[Threaded comment]
Your version of Excel allows you to read this threaded comment; however, any edits to it will get removed if the file is opened in a newer version of Excel. Learn more: https://go.microsoft.com/fwlink/?linkid=870924
Comment:
    Diferencias por lo antes explicado</t>
      </text>
    </comment>
    <comment ref="B13" authorId="13" shapeId="0" xr:uid="{45E10306-58F6-414B-9FD7-7A343BB0E2D0}">
      <text>
        <t>[Threaded comment]
Your version of Excel allows you to read this threaded comment; however, any edits to it will get removed if the file is opened in a newer version of Excel. Learn more: https://go.microsoft.com/fwlink/?linkid=870924
Comment:
    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t>
      </text>
    </comment>
    <comment ref="AN13" authorId="14" shapeId="0" xr:uid="{42C91F43-4E7E-4539-BEAE-41EB250E813B}">
      <text>
        <t>[Threaded comment]
Your version of Excel allows you to read this threaded comment; however, any edits to it will get removed if the file is opened in a newer version of Excel. Learn more: https://go.microsoft.com/fwlink/?linkid=870924
Comment:
    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t>
      </text>
    </comment>
    <comment ref="CB13" authorId="15" shapeId="0" xr:uid="{F10CCFE7-C99E-4797-A2AB-CB98E473D338}">
      <text>
        <t xml:space="preserve">[Threaded comment]
Your version of Excel allows you to read this threaded comment; however, any edits to it will get removed if the file is opened in a newer version of Excel. Learn more: https://go.microsoft.com/fwlink/?linkid=870924
Comment:
    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
</t>
      </text>
    </comment>
    <comment ref="B22" authorId="16" shapeId="0" xr:uid="{6F369DBB-780C-4CD9-9C0B-6320A58F95E7}">
      <text>
        <t>[Threaded comment]
Your version of Excel allows you to read this threaded comment; however, any edits to it will get removed if the file is opened in a newer version of Excel. Learn more: https://go.microsoft.com/fwlink/?linkid=870924
Comment:
    Diferencias arrastradas de lo antes explicado</t>
      </text>
    </comment>
    <comment ref="AN22" authorId="17" shapeId="0" xr:uid="{12507650-1711-4447-9225-B7445A032357}">
      <text>
        <t>[Threaded comment]
Your version of Excel allows you to read this threaded comment; however, any edits to it will get removed if the file is opened in a newer version of Excel. Learn more: https://go.microsoft.com/fwlink/?linkid=870924
Comment:
    Diferencias por lo antes mencionado</t>
      </text>
    </comment>
    <comment ref="CB22" authorId="18" shapeId="0" xr:uid="{61AAA4CE-B24E-4CD4-B543-CE89368BCC56}">
      <text>
        <t>[Threaded comment]
Your version of Excel allows you to read this threaded comment; however, any edits to it will get removed if the file is opened in a newer version of Excel. Learn more: https://go.microsoft.com/fwlink/?linkid=870924
Comment:
    Diferencias arrastradas por lo antes mencionado</t>
      </text>
    </comment>
    <comment ref="B28" authorId="19" shapeId="0" xr:uid="{4AA95362-BB97-4DCD-B70F-B3970C686F52}">
      <text>
        <t>[Threaded comment]
Your version of Excel allows you to read this threaded comment; however, any edits to it will get removed if the file is opened in a newer version of Excel. Learn more: https://go.microsoft.com/fwlink/?linkid=870924
Comment:
    Diferencias arrastradas de lo antes explicado</t>
      </text>
    </comment>
    <comment ref="AN28" authorId="20" shapeId="0" xr:uid="{69284822-976D-4F1A-BB9A-AA29FCE24E43}">
      <text>
        <t>[Threaded comment]
Your version of Excel allows you to read this threaded comment; however, any edits to it will get removed if the file is opened in a newer version of Excel. Learn more: https://go.microsoft.com/fwlink/?linkid=870924
Comment:
    Diferencias por lo antes mencionado</t>
      </text>
    </comment>
    <comment ref="CB28" authorId="21" shapeId="0" xr:uid="{D8E84B67-36E8-4132-A6D1-F392C0D2260C}">
      <text>
        <t>[Threaded comment]
Your version of Excel allows you to read this threaded comment; however, any edits to it will get removed if the file is opened in a newer version of Excel. Learn more: https://go.microsoft.com/fwlink/?linkid=870924
Comment:
    Diferencias arrastradas por lo antes mencionado</t>
      </text>
    </comment>
    <comment ref="W31" authorId="22" shapeId="0" xr:uid="{BD6E99CF-8B85-4F77-9AD5-EDE89F244848}">
      <text>
        <t>[Threaded comment]
Your version of Excel allows you to read this threaded comment; however, any edits to it will get removed if the file is opened in a newer version of Excel. Learn more: https://go.microsoft.com/fwlink/?linkid=870924
Comment:
    El auditor asigna el costo de abandono 12 meses después de alcanzar el límite económico. Al cortar por límite económico mucho antes que PlanningSpace, se evidencia la diferencia en el período en el que se asigna el abandono</t>
      </text>
    </comment>
    <comment ref="CR31" authorId="23" shapeId="0" xr:uid="{18F3800D-F6D4-480C-85D1-E8F98A861FF0}">
      <text>
        <t>[Threaded comment]
Your version of Excel allows you to read this threaded comment; however, any edits to it will get removed if the file is opened in a newer version of Excel. Learn more: https://go.microsoft.com/fwlink/?linkid=870924
Comment:
    PlanningSpace asigna el costo de abandono de toda la 1P 12 meses después del límite económico de la categoría 1P, en cambio el auditor lo hace 12 meses después del EL del wedge, por eso la diferencia.</t>
      </text>
    </comment>
    <comment ref="OP31" authorId="24" shapeId="0" xr:uid="{3D66BBA6-4B38-4A70-8E3F-0CFE03FEA4CB}">
      <text>
        <t>[Threaded comment]
Your version of Excel allows you to read this threaded comment; however, any edits to it will get removed if the file is opened in a newer version of Excel. Learn more: https://go.microsoft.com/fwlink/?linkid=870924
Comment:
    Al tener fechas de límite económico distintas entre el auditor y PS, se asigna el monto de abandono en fechas diferentes</t>
      </text>
    </comment>
  </commentList>
</comments>
</file>

<file path=xl/sharedStrings.xml><?xml version="1.0" encoding="utf-8"?>
<sst xmlns="http://schemas.openxmlformats.org/spreadsheetml/2006/main" count="37341" uniqueCount="3875">
  <si>
    <t>Plantilla BM General</t>
  </si>
  <si>
    <t>Copie y Pegue la hoja "BM" en su archivo de FC.</t>
  </si>
  <si>
    <t>Active la funcion "Show Formulas".</t>
  </si>
  <si>
    <t>Reemplace el nombre del archivo por el nombre de su archivo (Use la opción Replace).</t>
  </si>
  <si>
    <t>Inactive la opciones "Show Formulas".</t>
  </si>
  <si>
    <t>Costos Semifijos Activo Annual</t>
  </si>
  <si>
    <t>Escriba los nombres de los campos del activo.</t>
  </si>
  <si>
    <t>Seleccione las categorias que requiere para cada campo.</t>
  </si>
  <si>
    <t>Ejecute la Macro "GenerarEncabezados"</t>
  </si>
  <si>
    <t>Copie y Pegue los valores de PS y de FC.</t>
  </si>
  <si>
    <t>Ejecute la Macro "Porcentaje de Variacion".</t>
  </si>
  <si>
    <t>Escribir la ruta de FC en la celda B16, haga click en el botón y aguarde.</t>
  </si>
  <si>
    <t>Escribir la ruta del reporte de PS en la celda B20, haga click en el botón y aguarde.</t>
  </si>
  <si>
    <t>Variable</t>
  </si>
  <si>
    <t>PDP</t>
  </si>
  <si>
    <t>PNP</t>
  </si>
  <si>
    <t>PND</t>
  </si>
  <si>
    <t>PRBDP</t>
  </si>
  <si>
    <t>PRBNP</t>
  </si>
  <si>
    <t>PRBND</t>
  </si>
  <si>
    <t>PRB</t>
  </si>
  <si>
    <t>PSDP</t>
  </si>
  <si>
    <t>PSNP</t>
  </si>
  <si>
    <t>PSND</t>
  </si>
  <si>
    <t>PS</t>
  </si>
  <si>
    <t>Periodo</t>
  </si>
  <si>
    <t>Total</t>
  </si>
  <si>
    <t>Reservas Netas ECP (Oil) bbl PS</t>
  </si>
  <si>
    <t>Reservas Netas ECP (Oil) bbl FC</t>
  </si>
  <si>
    <t>Variacion Reservas Netas</t>
  </si>
  <si>
    <t>Regalias ECP(Oil) bbl PS</t>
  </si>
  <si>
    <t>Regalias ECP(Oil) bbl FC</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</si>
  <si>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</si>
  <si>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</si>
  <si>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</si>
  <si>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</si>
  <si>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</si>
  <si>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</si>
  <si>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</si>
  <si>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</si>
  <si>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</si>
  <si>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</si>
  <si>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Variable PS</t>
  </si>
  <si>
    <t>Opex Variable FC</t>
  </si>
  <si>
    <t>Variación OpEX Variable</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</si>
  <si>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</si>
  <si>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</si>
  <si>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</si>
  <si>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</si>
  <si>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</si>
  <si>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</si>
  <si>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</si>
  <si>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</si>
  <si>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</si>
  <si>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</si>
  <si>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</si>
  <si>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</si>
  <si>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Reservas Netas ECP  (Liquido) PS</t>
  </si>
  <si>
    <t>Reservas Netas ECP  (Liquido) FC</t>
  </si>
  <si>
    <t xml:space="preserve">Variacion Reservas Netas ECP (Liquido) </t>
  </si>
  <si>
    <t>NA</t>
  </si>
  <si>
    <t>Reservas Netas ECP  (Gas) PS</t>
  </si>
  <si>
    <t>Reservas Netas ECP  (Gas) FC</t>
  </si>
  <si>
    <t xml:space="preserve">Variacion Reservas Netas ECP (Gas) </t>
  </si>
  <si>
    <t>Campos del Activo</t>
  </si>
  <si>
    <t>Reserves Category</t>
  </si>
  <si>
    <t>Period</t>
  </si>
  <si>
    <t>Campo 1_PDP_PS</t>
  </si>
  <si>
    <t>Campo 1_PDP_ECP</t>
  </si>
  <si>
    <t>Campo 1_PDP_Dif</t>
  </si>
  <si>
    <t>Campo 1_PNP_PS</t>
  </si>
  <si>
    <t>Campo 1_PNP_ECP</t>
  </si>
  <si>
    <t>Campo 1_PNP_Dif</t>
  </si>
  <si>
    <t>Campo 1_PND_PS</t>
  </si>
  <si>
    <t>Campo 1_PND_ECP</t>
  </si>
  <si>
    <t>Campo 1_PND_Dif</t>
  </si>
  <si>
    <t>Campo 1_PRB_PS</t>
  </si>
  <si>
    <t>Campo 1_PRB_ECP</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</si>
  <si>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</si>
  <si>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</si>
  <si>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</si>
  <si>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</si>
  <si>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</si>
  <si>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</si>
  <si>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</si>
  <si>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</si>
  <si>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</si>
  <si>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</si>
  <si>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</si>
  <si>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</si>
  <si>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</si>
  <si>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Campo 1</t>
  </si>
  <si>
    <t>Campo 2</t>
  </si>
  <si>
    <t>POS</t>
  </si>
  <si>
    <t>Categoria</t>
  </si>
  <si>
    <t>Nombre Archivo</t>
  </si>
  <si>
    <t>Nombre Hoja</t>
  </si>
  <si>
    <t>Columna</t>
  </si>
  <si>
    <t>Fila</t>
  </si>
  <si>
    <t>Concatenación</t>
  </si>
  <si>
    <t>$AY$</t>
  </si>
  <si>
    <t>$BT$</t>
  </si>
  <si>
    <t>$BW$</t>
  </si>
  <si>
    <t>$BX$</t>
  </si>
  <si>
    <t>$BU$</t>
  </si>
  <si>
    <t>$CT$</t>
  </si>
  <si>
    <t>PSDP'!</t>
  </si>
  <si>
    <t>PSNP'!</t>
  </si>
  <si>
    <t>PSND'!</t>
  </si>
  <si>
    <t>$DN$</t>
  </si>
  <si>
    <t>Abandono Gross</t>
  </si>
  <si>
    <t>$DI$</t>
  </si>
  <si>
    <t>$BB$</t>
  </si>
  <si>
    <t>$BY$</t>
  </si>
  <si>
    <t>Consolidado</t>
  </si>
  <si>
    <t>Reservas Netas Liq Consolidado</t>
  </si>
  <si>
    <t>$J$</t>
  </si>
  <si>
    <t>Reservas Netas Gas Consolidado</t>
  </si>
  <si>
    <t>$L$</t>
  </si>
  <si>
    <t>$BZ$</t>
  </si>
  <si>
    <t>$CA$</t>
  </si>
  <si>
    <t>$DC$</t>
  </si>
  <si>
    <t>$EA$</t>
  </si>
  <si>
    <t>$DT$</t>
  </si>
  <si>
    <t>$BE$</t>
  </si>
  <si>
    <t>$CB$</t>
  </si>
  <si>
    <t>Pozos PS</t>
  </si>
  <si>
    <t>Pozos auditor</t>
  </si>
  <si>
    <t>Diferencia OPEX</t>
  </si>
  <si>
    <t>C:\Users\jaime.benazar\Quorum Business Solutions\Ecopetrol Prometeo - Documents\Planning Space Implementation\3. Analysis &amp; Design\Design\FC22\DRR Jaime\Neiva CPI\VAO_DINA TERCIARIOS_CF_SEC_20230117.xlsx</t>
  </si>
  <si>
    <t>C:\Users\jaime.benazar\Quorum Business Solutions\Ecopetrol Prometeo - Documents\Planning Space Implementation\3. Analysis &amp; Design\Design\FC22\DRR Jaime\Neiva CPI\[VAO_DINA TERCIARIOS_CF_SEC_20230117.xlsx]</t>
  </si>
  <si>
    <t>C:\Users\jaime.benazar\Quorum Business Solutions\Ecopetrol Prometeo - Documents\Planning Space Implementation\3. Analysis &amp; Design\Design\FC22\DRR Jaime\Neiva CPI\[VAO_DINA TERCIARIOS_CF_SEC_20230117.xlsx]CF</t>
  </si>
  <si>
    <t>='C:\Users\jaime.benazar\Quorum Business Solutions\Ecopetrol Prometeo - Documents\Planning Space Implementation\3. Analysis &amp; Design\Design\FC22\DRR Jaime\Neiva CPI\[VAO_DINA TERCIARIOS_CF_SEC_20230117.xlsx]CF PDP'!$AY$36</t>
  </si>
  <si>
    <t>='C:\Users\jaime.benazar\Quorum Business Solutions\Ecopetrol Prometeo - Documents\Planning Space Implementation\3. Analysis &amp; Design\Design\FC22\DRR Jaime\Neiva CPI\[VAO_DINA TERCIARIOS_CF_SEC_20230117.xlsx]CF PDP'!$AY$37</t>
  </si>
  <si>
    <t>='C:\Users\jaime.benazar\Quorum Business Solutions\Ecopetrol Prometeo - Documents\Planning Space Implementation\3. Analysis &amp; Design\Design\FC22\DRR Jaime\Neiva CPI\[VAO_DINA TERCIARIOS_CF_SEC_20230117.xlsx]CF PDP'!$AY$38</t>
  </si>
  <si>
    <t>='C:\Users\jaime.benazar\Quorum Business Solutions\Ecopetrol Prometeo - Documents\Planning Space Implementation\3. Analysis &amp; Design\Design\FC22\DRR Jaime\Neiva CPI\[VAO_DINA TERCIARIOS_CF_SEC_20230117.xlsx]CF PDP'!$AY$39</t>
  </si>
  <si>
    <t>='C:\Users\jaime.benazar\Quorum Business Solutions\Ecopetrol Prometeo - Documents\Planning Space Implementation\3. Analysis &amp; Design\Design\FC22\DRR Jaime\Neiva CPI\[VAO_DINA TERCIARIOS_CF_SEC_20230117.xlsx]CF PDP'!$AY$40</t>
  </si>
  <si>
    <t>='C:\Users\jaime.benazar\Quorum Business Solutions\Ecopetrol Prometeo - Documents\Planning Space Implementation\3. Analysis &amp; Design\Design\FC22\DRR Jaime\Neiva CPI\[VAO_DINA TERCIARIOS_CF_SEC_20230117.xlsx]CF PDP'!$AY$41</t>
  </si>
  <si>
    <t>='C:\Users\jaime.benazar\Quorum Business Solutions\Ecopetrol Prometeo - Documents\Planning Space Implementation\3. Analysis &amp; Design\Design\FC22\DRR Jaime\Neiva CPI\[VAO_DINA TERCIARIOS_CF_SEC_20230117.xlsx]CF PDP'!$AY$42</t>
  </si>
  <si>
    <t>='C:\Users\jaime.benazar\Quorum Business Solutions\Ecopetrol Prometeo - Documents\Planning Space Implementation\3. Analysis &amp; Design\Design\FC22\DRR Jaime\Neiva CPI\[VAO_DINA TERCIARIOS_CF_SEC_20230117.xlsx]CF PDP'!$AY$43</t>
  </si>
  <si>
    <t>='C:\Users\jaime.benazar\Quorum Business Solutions\Ecopetrol Prometeo - Documents\Planning Space Implementation\3. Analysis &amp; Design\Design\FC22\DRR Jaime\Neiva CPI\[VAO_DINA TERCIARIOS_CF_SEC_20230117.xlsx]CF PDP'!$AY$44</t>
  </si>
  <si>
    <t>='C:\Users\jaime.benazar\Quorum Business Solutions\Ecopetrol Prometeo - Documents\Planning Space Implementation\3. Analysis &amp; Design\Design\FC22\DRR Jaime\Neiva CPI\[VAO_DINA TERCIARIOS_CF_SEC_20230117.xlsx]CF PDP'!$AY$45</t>
  </si>
  <si>
    <t>='C:\Users\jaime.benazar\Quorum Business Solutions\Ecopetrol Prometeo - Documents\Planning Space Implementation\3. Analysis &amp; Design\Design\FC22\DRR Jaime\Neiva CPI\[VAO_DINA TERCIARIOS_CF_SEC_20230117.xlsx]CF PDP'!$AY$46</t>
  </si>
  <si>
    <t>='C:\Users\jaime.benazar\Quorum Business Solutions\Ecopetrol Prometeo - Documents\Planning Space Implementation\3. Analysis &amp; Design\Design\FC22\DRR Jaime\Neiva CPI\[VAO_DINA TERCIARIOS_CF_SEC_20230117.xlsx]CF PDP'!$AY$47</t>
  </si>
  <si>
    <t>='C:\Users\jaime.benazar\Quorum Business Solutions\Ecopetrol Prometeo - Documents\Planning Space Implementation\3. Analysis &amp; Design\Design\FC22\DRR Jaime\Neiva CPI\[VAO_DINA TERCIARIOS_CF_SEC_20230117.xlsx]CF PDP'!$AY$48</t>
  </si>
  <si>
    <t>='C:\Users\jaime.benazar\Quorum Business Solutions\Ecopetrol Prometeo - Documents\Planning Space Implementation\3. Analysis &amp; Design\Design\FC22\DRR Jaime\Neiva CPI\[VAO_DINA TERCIARIOS_CF_SEC_20230117.xlsx]CF PDP'!$AY$49</t>
  </si>
  <si>
    <t>='C:\Users\jaime.benazar\Quorum Business Solutions\Ecopetrol Prometeo - Documents\Planning Space Implementation\3. Analysis &amp; Design\Design\FC22\DRR Jaime\Neiva CPI\[VAO_DINA TERCIARIOS_CF_SEC_20230117.xlsx]CF PDP'!$AY$50</t>
  </si>
  <si>
    <t>='C:\Users\jaime.benazar\Quorum Business Solutions\Ecopetrol Prometeo - Documents\Planning Space Implementation\3. Analysis &amp; Design\Design\FC22\DRR Jaime\Neiva CPI\[VAO_DINA TERCIARIOS_CF_SEC_20230117.xlsx]CF PDP'!$AY$51</t>
  </si>
  <si>
    <t>='C:\Users\jaime.benazar\Quorum Business Solutions\Ecopetrol Prometeo - Documents\Planning Space Implementation\3. Analysis &amp; Design\Design\FC22\DRR Jaime\Neiva CPI\[VAO_DINA TERCIARIOS_CF_SEC_20230117.xlsx]CF PDP'!$AY$52</t>
  </si>
  <si>
    <t>='C:\Users\jaime.benazar\Quorum Business Solutions\Ecopetrol Prometeo - Documents\Planning Space Implementation\3. Analysis &amp; Design\Design\FC22\DRR Jaime\Neiva CPI\[VAO_DINA TERCIARIOS_CF_SEC_20230117.xlsx]CF PDP'!$AY$53</t>
  </si>
  <si>
    <t>='C:\Users\jaime.benazar\Quorum Business Solutions\Ecopetrol Prometeo - Documents\Planning Space Implementation\3. Analysis &amp; Design\Design\FC22\DRR Jaime\Neiva CPI\[VAO_DINA TERCIARIOS_CF_SEC_20230117.xlsx]CF PDP'!$AY$54</t>
  </si>
  <si>
    <t>='C:\Users\jaime.benazar\Quorum Business Solutions\Ecopetrol Prometeo - Documents\Planning Space Implementation\3. Analysis &amp; Design\Design\FC22\DRR Jaime\Neiva CPI\[VAO_DINA TERCIARIOS_CF_SEC_20230117.xlsx]CF PDP'!$AY$55</t>
  </si>
  <si>
    <t>='C:\Users\jaime.benazar\Quorum Business Solutions\Ecopetrol Prometeo - Documents\Planning Space Implementation\3. Analysis &amp; Design\Design\FC22\DRR Jaime\Neiva CPI\[VAO_DINA TERCIARIOS_CF_SEC_20230117.xlsx]CF PDP'!$AY$56</t>
  </si>
  <si>
    <t>='C:\Users\jaime.benazar\Quorum Business Solutions\Ecopetrol Prometeo - Documents\Planning Space Implementation\3. Analysis &amp; Design\Design\FC22\DRR Jaime\Neiva CPI\[VAO_DINA TERCIARIOS_CF_SEC_20230117.xlsx]CF PDP'!$AY$57</t>
  </si>
  <si>
    <t>='C:\Users\jaime.benazar\Quorum Business Solutions\Ecopetrol Prometeo - Documents\Planning Space Implementation\3. Analysis &amp; Design\Design\FC22\DRR Jaime\Neiva CPI\[VAO_DINA TERCIARIOS_CF_SEC_20230117.xlsx]CF PDP'!$AY$58</t>
  </si>
  <si>
    <t>='C:\Users\jaime.benazar\Quorum Business Solutions\Ecopetrol Prometeo - Documents\Planning Space Implementation\3. Analysis &amp; Design\Design\FC22\DRR Jaime\Neiva CPI\[VAO_DINA TERCIARIOS_CF_SEC_20230117.xlsx]CF PDP'!$AY$59</t>
  </si>
  <si>
    <t>='C:\Users\jaime.benazar\Quorum Business Solutions\Ecopetrol Prometeo - Documents\Planning Space Implementation\3. Analysis &amp; Design\Design\FC22\DRR Jaime\Neiva CPI\[VAO_DINA TERCIARIOS_CF_SEC_20230117.xlsx]CF PDP'!$AY$60</t>
  </si>
  <si>
    <t>='C:\Users\jaime.benazar\Quorum Business Solutions\Ecopetrol Prometeo - Documents\Planning Space Implementation\3. Analysis &amp; Design\Design\FC22\DRR Jaime\Neiva CPI\[VAO_DINA TERCIARIOS_CF_SEC_20230117.xlsx]CF PDP'!$AY$61</t>
  </si>
  <si>
    <t>='C:\Users\jaime.benazar\Quorum Business Solutions\Ecopetrol Prometeo - Documents\Planning Space Implementation\3. Analysis &amp; Design\Design\FC22\DRR Jaime\Neiva CPI\[VAO_DINA TERCIARIOS_CF_SEC_20230117.xlsx]CF PDP'!$AY$62</t>
  </si>
  <si>
    <t>='C:\Users\jaime.benazar\Quorum Business Solutions\Ecopetrol Prometeo - Documents\Planning Space Implementation\3. Analysis &amp; Design\Design\FC22\DRR Jaime\Neiva CPI\[VAO_DINA TERCIARIOS_CF_SEC_20230117.xlsx]CF PDP'!$AY$63</t>
  </si>
  <si>
    <t>='C:\Users\jaime.benazar\Quorum Business Solutions\Ecopetrol Prometeo - Documents\Planning Space Implementation\3. Analysis &amp; Design\Design\FC22\DRR Jaime\Neiva CPI\[VAO_DINA TERCIARIOS_CF_SEC_20230117.xlsx]CF PDP'!$AY$64</t>
  </si>
  <si>
    <t>='C:\Users\jaime.benazar\Quorum Business Solutions\Ecopetrol Prometeo - Documents\Planning Space Implementation\3. Analysis &amp; Design\Design\FC22\DRR Jaime\Neiva CPI\[VAO_DINA TERCIARIOS_CF_SEC_20230117.xlsx]CF PDP'!$AY$65</t>
  </si>
  <si>
    <t>='C:\Users\jaime.benazar\Quorum Business Solutions\Ecopetrol Prometeo - Documents\Planning Space Implementation\3. Analysis &amp; Design\Design\FC22\DRR Jaime\Neiva CPI\[VAO_DINA TERCIARIOS_CF_SEC_20230117.xlsx]CF PDP'!$AY$66</t>
  </si>
  <si>
    <t>='C:\Users\jaime.benazar\Quorum Business Solutions\Ecopetrol Prometeo - Documents\Planning Space Implementation\3. Analysis &amp; Design\Design\FC22\DRR Jaime\Neiva CPI\[VAO_DINA TERCIARIOS_CF_SEC_20230117.xlsx]CF PDP'!$AY$67</t>
  </si>
  <si>
    <t>='C:\Users\jaime.benazar\Quorum Business Solutions\Ecopetrol Prometeo - Documents\Planning Space Implementation\3. Analysis &amp; Design\Design\FC22\DRR Jaime\Neiva CPI\[VAO_DINA TERCIARIOS_CF_SEC_20230117.xlsx]CF PDP'!$AY$68</t>
  </si>
  <si>
    <t>='C:\Users\jaime.benazar\Quorum Business Solutions\Ecopetrol Prometeo - Documents\Planning Space Implementation\3. Analysis &amp; Design\Design\FC22\DRR Jaime\Neiva CPI\[VAO_DINA TERCIARIOS_CF_SEC_20230117.xlsx]CF PDP'!$AY$69</t>
  </si>
  <si>
    <t>='C:\Users\jaime.benazar\Quorum Business Solutions\Ecopetrol Prometeo - Documents\Planning Space Implementation\3. Analysis &amp; Design\Design\FC22\DRR Jaime\Neiva CPI\[VAO_DINA TERCIARIOS_CF_SEC_20230117.xlsx]CF PDP'!$AY$70</t>
  </si>
  <si>
    <t>='C:\Users\jaime.benazar\Quorum Business Solutions\Ecopetrol Prometeo - Documents\Planning Space Implementation\3. Analysis &amp; Design\Design\FC22\DRR Jaime\Neiva CPI\[VAO_DINA TERCIARIOS_CF_SEC_20230117.xlsx]CF PDP'!$AY$71</t>
  </si>
  <si>
    <t>='C:\Users\jaime.benazar\Quorum Business Solutions\Ecopetrol Prometeo - Documents\Planning Space Implementation\3. Analysis &amp; Design\Design\FC22\DRR Jaime\Neiva CPI\[VAO_DINA TERCIARIOS_CF_SEC_20230117.xlsx]CF PDP'!$AY$72</t>
  </si>
  <si>
    <t>='C:\Users\jaime.benazar\Quorum Business Solutions\Ecopetrol Prometeo - Documents\Planning Space Implementation\3. Analysis &amp; Design\Design\FC22\DRR Jaime\Neiva CPI\[VAO_DINA TERCIARIOS_CF_SEC_20230117.xlsx]CF PNP'!$AY$36</t>
  </si>
  <si>
    <t>='C:\Users\jaime.benazar\Quorum Business Solutions\Ecopetrol Prometeo - Documents\Planning Space Implementation\3. Analysis &amp; Design\Design\FC22\DRR Jaime\Neiva CPI\[VAO_DINA TERCIARIOS_CF_SEC_20230117.xlsx]CF PNP'!$AY$37</t>
  </si>
  <si>
    <t>='C:\Users\jaime.benazar\Quorum Business Solutions\Ecopetrol Prometeo - Documents\Planning Space Implementation\3. Analysis &amp; Design\Design\FC22\DRR Jaime\Neiva CPI\[VAO_DINA TERCIARIOS_CF_SEC_20230117.xlsx]CF PNP'!$AY$38</t>
  </si>
  <si>
    <t>='C:\Users\jaime.benazar\Quorum Business Solutions\Ecopetrol Prometeo - Documents\Planning Space Implementation\3. Analysis &amp; Design\Design\FC22\DRR Jaime\Neiva CPI\[VAO_DINA TERCIARIOS_CF_SEC_20230117.xlsx]CF PNP'!$AY$39</t>
  </si>
  <si>
    <t>='C:\Users\jaime.benazar\Quorum Business Solutions\Ecopetrol Prometeo - Documents\Planning Space Implementation\3. Analysis &amp; Design\Design\FC22\DRR Jaime\Neiva CPI\[VAO_DINA TERCIARIOS_CF_SEC_20230117.xlsx]CF PNP'!$AY$40</t>
  </si>
  <si>
    <t>='C:\Users\jaime.benazar\Quorum Business Solutions\Ecopetrol Prometeo - Documents\Planning Space Implementation\3. Analysis &amp; Design\Design\FC22\DRR Jaime\Neiva CPI\[VAO_DINA TERCIARIOS_CF_SEC_20230117.xlsx]CF PNP'!$AY$41</t>
  </si>
  <si>
    <t>='C:\Users\jaime.benazar\Quorum Business Solutions\Ecopetrol Prometeo - Documents\Planning Space Implementation\3. Analysis &amp; Design\Design\FC22\DRR Jaime\Neiva CPI\[VAO_DINA TERCIARIOS_CF_SEC_20230117.xlsx]CF PNP'!$AY$42</t>
  </si>
  <si>
    <t>='C:\Users\jaime.benazar\Quorum Business Solutions\Ecopetrol Prometeo - Documents\Planning Space Implementation\3. Analysis &amp; Design\Design\FC22\DRR Jaime\Neiva CPI\[VAO_DINA TERCIARIOS_CF_SEC_20230117.xlsx]CF PNP'!$AY$43</t>
  </si>
  <si>
    <t>='C:\Users\jaime.benazar\Quorum Business Solutions\Ecopetrol Prometeo - Documents\Planning Space Implementation\3. Analysis &amp; Design\Design\FC22\DRR Jaime\Neiva CPI\[VAO_DINA TERCIARIOS_CF_SEC_20230117.xlsx]CF PNP'!$AY$44</t>
  </si>
  <si>
    <t>='C:\Users\jaime.benazar\Quorum Business Solutions\Ecopetrol Prometeo - Documents\Planning Space Implementation\3. Analysis &amp; Design\Design\FC22\DRR Jaime\Neiva CPI\[VAO_DINA TERCIARIOS_CF_SEC_20230117.xlsx]CF PNP'!$AY$45</t>
  </si>
  <si>
    <t>='C:\Users\jaime.benazar\Quorum Business Solutions\Ecopetrol Prometeo - Documents\Planning Space Implementation\3. Analysis &amp; Design\Design\FC22\DRR Jaime\Neiva CPI\[VAO_DINA TERCIARIOS_CF_SEC_20230117.xlsx]CF PNP'!$AY$46</t>
  </si>
  <si>
    <t>='C:\Users\jaime.benazar\Quorum Business Solutions\Ecopetrol Prometeo - Documents\Planning Space Implementation\3. Analysis &amp; Design\Design\FC22\DRR Jaime\Neiva CPI\[VAO_DINA TERCIARIOS_CF_SEC_20230117.xlsx]CF PNP'!$AY$47</t>
  </si>
  <si>
    <t>='C:\Users\jaime.benazar\Quorum Business Solutions\Ecopetrol Prometeo - Documents\Planning Space Implementation\3. Analysis &amp; Design\Design\FC22\DRR Jaime\Neiva CPI\[VAO_DINA TERCIARIOS_CF_SEC_20230117.xlsx]CF PNP'!$AY$48</t>
  </si>
  <si>
    <t>='C:\Users\jaime.benazar\Quorum Business Solutions\Ecopetrol Prometeo - Documents\Planning Space Implementation\3. Analysis &amp; Design\Design\FC22\DRR Jaime\Neiva CPI\[VAO_DINA TERCIARIOS_CF_SEC_20230117.xlsx]CF PNP'!$AY$49</t>
  </si>
  <si>
    <t>='C:\Users\jaime.benazar\Quorum Business Solutions\Ecopetrol Prometeo - Documents\Planning Space Implementation\3. Analysis &amp; Design\Design\FC22\DRR Jaime\Neiva CPI\[VAO_DINA TERCIARIOS_CF_SEC_20230117.xlsx]CF PNP'!$AY$50</t>
  </si>
  <si>
    <t>='C:\Users\jaime.benazar\Quorum Business Solutions\Ecopetrol Prometeo - Documents\Planning Space Implementation\3. Analysis &amp; Design\Design\FC22\DRR Jaime\Neiva CPI\[VAO_DINA TERCIARIOS_CF_SEC_20230117.xlsx]CF PNP'!$AY$51</t>
  </si>
  <si>
    <t>='C:\Users\jaime.benazar\Quorum Business Solutions\Ecopetrol Prometeo - Documents\Planning Space Implementation\3. Analysis &amp; Design\Design\FC22\DRR Jaime\Neiva CPI\[VAO_DINA TERCIARIOS_CF_SEC_20230117.xlsx]CF PNP'!$AY$52</t>
  </si>
  <si>
    <t>='C:\Users\jaime.benazar\Quorum Business Solutions\Ecopetrol Prometeo - Documents\Planning Space Implementation\3. Analysis &amp; Design\Design\FC22\DRR Jaime\Neiva CPI\[VAO_DINA TERCIARIOS_CF_SEC_20230117.xlsx]CF PNP'!$AY$53</t>
  </si>
  <si>
    <t>='C:\Users\jaime.benazar\Quorum Business Solutions\Ecopetrol Prometeo - Documents\Planning Space Implementation\3. Analysis &amp; Design\Design\FC22\DRR Jaime\Neiva CPI\[VAO_DINA TERCIARIOS_CF_SEC_20230117.xlsx]CF PNP'!$AY$54</t>
  </si>
  <si>
    <t>='C:\Users\jaime.benazar\Quorum Business Solutions\Ecopetrol Prometeo - Documents\Planning Space Implementation\3. Analysis &amp; Design\Design\FC22\DRR Jaime\Neiva CPI\[VAO_DINA TERCIARIOS_CF_SEC_20230117.xlsx]CF PNP'!$AY$55</t>
  </si>
  <si>
    <t>='C:\Users\jaime.benazar\Quorum Business Solutions\Ecopetrol Prometeo - Documents\Planning Space Implementation\3. Analysis &amp; Design\Design\FC22\DRR Jaime\Neiva CPI\[VAO_DINA TERCIARIOS_CF_SEC_20230117.xlsx]CF PNP'!$AY$56</t>
  </si>
  <si>
    <t>='C:\Users\jaime.benazar\Quorum Business Solutions\Ecopetrol Prometeo - Documents\Planning Space Implementation\3. Analysis &amp; Design\Design\FC22\DRR Jaime\Neiva CPI\[VAO_DINA TERCIARIOS_CF_SEC_20230117.xlsx]CF PNP'!$AY$57</t>
  </si>
  <si>
    <t>='C:\Users\jaime.benazar\Quorum Business Solutions\Ecopetrol Prometeo - Documents\Planning Space Implementation\3. Analysis &amp; Design\Design\FC22\DRR Jaime\Neiva CPI\[VAO_DINA TERCIARIOS_CF_SEC_20230117.xlsx]CF PNP'!$AY$58</t>
  </si>
  <si>
    <t>='C:\Users\jaime.benazar\Quorum Business Solutions\Ecopetrol Prometeo - Documents\Planning Space Implementation\3. Analysis &amp; Design\Design\FC22\DRR Jaime\Neiva CPI\[VAO_DINA TERCIARIOS_CF_SEC_20230117.xlsx]CF PNP'!$AY$59</t>
  </si>
  <si>
    <t>='C:\Users\jaime.benazar\Quorum Business Solutions\Ecopetrol Prometeo - Documents\Planning Space Implementation\3. Analysis &amp; Design\Design\FC22\DRR Jaime\Neiva CPI\[VAO_DINA TERCIARIOS_CF_SEC_20230117.xlsx]CF PNP'!$AY$60</t>
  </si>
  <si>
    <t>='C:\Users\jaime.benazar\Quorum Business Solutions\Ecopetrol Prometeo - Documents\Planning Space Implementation\3. Analysis &amp; Design\Design\FC22\DRR Jaime\Neiva CPI\[VAO_DINA TERCIARIOS_CF_SEC_20230117.xlsx]CF PNP'!$AY$61</t>
  </si>
  <si>
    <t>='C:\Users\jaime.benazar\Quorum Business Solutions\Ecopetrol Prometeo - Documents\Planning Space Implementation\3. Analysis &amp; Design\Design\FC22\DRR Jaime\Neiva CPI\[VAO_DINA TERCIARIOS_CF_SEC_20230117.xlsx]CF PNP'!$AY$62</t>
  </si>
  <si>
    <t>='C:\Users\jaime.benazar\Quorum Business Solutions\Ecopetrol Prometeo - Documents\Planning Space Implementation\3. Analysis &amp; Design\Design\FC22\DRR Jaime\Neiva CPI\[VAO_DINA TERCIARIOS_CF_SEC_20230117.xlsx]CF PNP'!$AY$63</t>
  </si>
  <si>
    <t>='C:\Users\jaime.benazar\Quorum Business Solutions\Ecopetrol Prometeo - Documents\Planning Space Implementation\3. Analysis &amp; Design\Design\FC22\DRR Jaime\Neiva CPI\[VAO_DINA TERCIARIOS_CF_SEC_20230117.xlsx]CF PNP'!$AY$64</t>
  </si>
  <si>
    <t>='C:\Users\jaime.benazar\Quorum Business Solutions\Ecopetrol Prometeo - Documents\Planning Space Implementation\3. Analysis &amp; Design\Design\FC22\DRR Jaime\Neiva CPI\[VAO_DINA TERCIARIOS_CF_SEC_20230117.xlsx]CF PNP'!$AY$65</t>
  </si>
  <si>
    <t>='C:\Users\jaime.benazar\Quorum Business Solutions\Ecopetrol Prometeo - Documents\Planning Space Implementation\3. Analysis &amp; Design\Design\FC22\DRR Jaime\Neiva CPI\[VAO_DINA TERCIARIOS_CF_SEC_20230117.xlsx]CF PNP'!$AY$66</t>
  </si>
  <si>
    <t>='C:\Users\jaime.benazar\Quorum Business Solutions\Ecopetrol Prometeo - Documents\Planning Space Implementation\3. Analysis &amp; Design\Design\FC22\DRR Jaime\Neiva CPI\[VAO_DINA TERCIARIOS_CF_SEC_20230117.xlsx]CF PNP'!$AY$67</t>
  </si>
  <si>
    <t>='C:\Users\jaime.benazar\Quorum Business Solutions\Ecopetrol Prometeo - Documents\Planning Space Implementation\3. Analysis &amp; Design\Design\FC22\DRR Jaime\Neiva CPI\[VAO_DINA TERCIARIOS_CF_SEC_20230117.xlsx]CF PNP'!$AY$68</t>
  </si>
  <si>
    <t>='C:\Users\jaime.benazar\Quorum Business Solutions\Ecopetrol Prometeo - Documents\Planning Space Implementation\3. Analysis &amp; Design\Design\FC22\DRR Jaime\Neiva CPI\[VAO_DINA TERCIARIOS_CF_SEC_20230117.xlsx]CF PNP'!$AY$69</t>
  </si>
  <si>
    <t>='C:\Users\jaime.benazar\Quorum Business Solutions\Ecopetrol Prometeo - Documents\Planning Space Implementation\3. Analysis &amp; Design\Design\FC22\DRR Jaime\Neiva CPI\[VAO_DINA TERCIARIOS_CF_SEC_20230117.xlsx]CF PNP'!$AY$70</t>
  </si>
  <si>
    <t>='C:\Users\jaime.benazar\Quorum Business Solutions\Ecopetrol Prometeo - Documents\Planning Space Implementation\3. Analysis &amp; Design\Design\FC22\DRR Jaime\Neiva CPI\[VAO_DINA TERCIARIOS_CF_SEC_20230117.xlsx]CF PNP'!$AY$71</t>
  </si>
  <si>
    <t>='C:\Users\jaime.benazar\Quorum Business Solutions\Ecopetrol Prometeo - Documents\Planning Space Implementation\3. Analysis &amp; Design\Design\FC22\DRR Jaime\Neiva CPI\[VAO_DINA TERCIARIOS_CF_SEC_20230117.xlsx]CF PNP'!$AY$72</t>
  </si>
  <si>
    <t>='C:\Users\jaime.benazar\Quorum Business Solutions\Ecopetrol Prometeo - Documents\Planning Space Implementation\3. Analysis &amp; Design\Design\FC22\DRR Jaime\Neiva CPI\[VAO_DINA TERCIARIOS_CF_SEC_20230117.xlsx]CF PND'!$AY$36</t>
  </si>
  <si>
    <t>='C:\Users\jaime.benazar\Quorum Business Solutions\Ecopetrol Prometeo - Documents\Planning Space Implementation\3. Analysis &amp; Design\Design\FC22\DRR Jaime\Neiva CPI\[VAO_DINA TERCIARIOS_CF_SEC_20230117.xlsx]CF PND'!$AY$37</t>
  </si>
  <si>
    <t>='C:\Users\jaime.benazar\Quorum Business Solutions\Ecopetrol Prometeo - Documents\Planning Space Implementation\3. Analysis &amp; Design\Design\FC22\DRR Jaime\Neiva CPI\[VAO_DINA TERCIARIOS_CF_SEC_20230117.xlsx]CF PND'!$AY$38</t>
  </si>
  <si>
    <t>='C:\Users\jaime.benazar\Quorum Business Solutions\Ecopetrol Prometeo - Documents\Planning Space Implementation\3. Analysis &amp; Design\Design\FC22\DRR Jaime\Neiva CPI\[VAO_DINA TERCIARIOS_CF_SEC_20230117.xlsx]CF PND'!$AY$39</t>
  </si>
  <si>
    <t>='C:\Users\jaime.benazar\Quorum Business Solutions\Ecopetrol Prometeo - Documents\Planning Space Implementation\3. Analysis &amp; Design\Design\FC22\DRR Jaime\Neiva CPI\[VAO_DINA TERCIARIOS_CF_SEC_20230117.xlsx]CF PND'!$AY$40</t>
  </si>
  <si>
    <t>='C:\Users\jaime.benazar\Quorum Business Solutions\Ecopetrol Prometeo - Documents\Planning Space Implementation\3. Analysis &amp; Design\Design\FC22\DRR Jaime\Neiva CPI\[VAO_DINA TERCIARIOS_CF_SEC_20230117.xlsx]CF PND'!$AY$41</t>
  </si>
  <si>
    <t>='C:\Users\jaime.benazar\Quorum Business Solutions\Ecopetrol Prometeo - Documents\Planning Space Implementation\3. Analysis &amp; Design\Design\FC22\DRR Jaime\Neiva CPI\[VAO_DINA TERCIARIOS_CF_SEC_20230117.xlsx]CF PND'!$AY$42</t>
  </si>
  <si>
    <t>='C:\Users\jaime.benazar\Quorum Business Solutions\Ecopetrol Prometeo - Documents\Planning Space Implementation\3. Analysis &amp; Design\Design\FC22\DRR Jaime\Neiva CPI\[VAO_DINA TERCIARIOS_CF_SEC_20230117.xlsx]CF PND'!$AY$43</t>
  </si>
  <si>
    <t>='C:\Users\jaime.benazar\Quorum Business Solutions\Ecopetrol Prometeo - Documents\Planning Space Implementation\3. Analysis &amp; Design\Design\FC22\DRR Jaime\Neiva CPI\[VAO_DINA TERCIARIOS_CF_SEC_20230117.xlsx]CF PND'!$AY$44</t>
  </si>
  <si>
    <t>='C:\Users\jaime.benazar\Quorum Business Solutions\Ecopetrol Prometeo - Documents\Planning Space Implementation\3. Analysis &amp; Design\Design\FC22\DRR Jaime\Neiva CPI\[VAO_DINA TERCIARIOS_CF_SEC_20230117.xlsx]CF PND'!$AY$45</t>
  </si>
  <si>
    <t>='C:\Users\jaime.benazar\Quorum Business Solutions\Ecopetrol Prometeo - Documents\Planning Space Implementation\3. Analysis &amp; Design\Design\FC22\DRR Jaime\Neiva CPI\[VAO_DINA TERCIARIOS_CF_SEC_20230117.xlsx]CF PND'!$AY$46</t>
  </si>
  <si>
    <t>='C:\Users\jaime.benazar\Quorum Business Solutions\Ecopetrol Prometeo - Documents\Planning Space Implementation\3. Analysis &amp; Design\Design\FC22\DRR Jaime\Neiva CPI\[VAO_DINA TERCIARIOS_CF_SEC_20230117.xlsx]CF PND'!$AY$47</t>
  </si>
  <si>
    <t>='C:\Users\jaime.benazar\Quorum Business Solutions\Ecopetrol Prometeo - Documents\Planning Space Implementation\3. Analysis &amp; Design\Design\FC22\DRR Jaime\Neiva CPI\[VAO_DINA TERCIARIOS_CF_SEC_20230117.xlsx]CF PND'!$AY$48</t>
  </si>
  <si>
    <t>='C:\Users\jaime.benazar\Quorum Business Solutions\Ecopetrol Prometeo - Documents\Planning Space Implementation\3. Analysis &amp; Design\Design\FC22\DRR Jaime\Neiva CPI\[VAO_DINA TERCIARIOS_CF_SEC_20230117.xlsx]CF PND'!$AY$49</t>
  </si>
  <si>
    <t>='C:\Users\jaime.benazar\Quorum Business Solutions\Ecopetrol Prometeo - Documents\Planning Space Implementation\3. Analysis &amp; Design\Design\FC22\DRR Jaime\Neiva CPI\[VAO_DINA TERCIARIOS_CF_SEC_20230117.xlsx]CF PND'!$AY$50</t>
  </si>
  <si>
    <t>='C:\Users\jaime.benazar\Quorum Business Solutions\Ecopetrol Prometeo - Documents\Planning Space Implementation\3. Analysis &amp; Design\Design\FC22\DRR Jaime\Neiva CPI\[VAO_DINA TERCIARIOS_CF_SEC_20230117.xlsx]CF PND'!$AY$51</t>
  </si>
  <si>
    <t>='C:\Users\jaime.benazar\Quorum Business Solutions\Ecopetrol Prometeo - Documents\Planning Space Implementation\3. Analysis &amp; Design\Design\FC22\DRR Jaime\Neiva CPI\[VAO_DINA TERCIARIOS_CF_SEC_20230117.xlsx]CF PND'!$AY$52</t>
  </si>
  <si>
    <t>='C:\Users\jaime.benazar\Quorum Business Solutions\Ecopetrol Prometeo - Documents\Planning Space Implementation\3. Analysis &amp; Design\Design\FC22\DRR Jaime\Neiva CPI\[VAO_DINA TERCIARIOS_CF_SEC_20230117.xlsx]CF PND'!$AY$53</t>
  </si>
  <si>
    <t>='C:\Users\jaime.benazar\Quorum Business Solutions\Ecopetrol Prometeo - Documents\Planning Space Implementation\3. Analysis &amp; Design\Design\FC22\DRR Jaime\Neiva CPI\[VAO_DINA TERCIARIOS_CF_SEC_20230117.xlsx]CF PND'!$AY$54</t>
  </si>
  <si>
    <t>='C:\Users\jaime.benazar\Quorum Business Solutions\Ecopetrol Prometeo - Documents\Planning Space Implementation\3. Analysis &amp; Design\Design\FC22\DRR Jaime\Neiva CPI\[VAO_DINA TERCIARIOS_CF_SEC_20230117.xlsx]CF PND'!$AY$55</t>
  </si>
  <si>
    <t>='C:\Users\jaime.benazar\Quorum Business Solutions\Ecopetrol Prometeo - Documents\Planning Space Implementation\3. Analysis &amp; Design\Design\FC22\DRR Jaime\Neiva CPI\[VAO_DINA TERCIARIOS_CF_SEC_20230117.xlsx]CF PND'!$AY$56</t>
  </si>
  <si>
    <t>='C:\Users\jaime.benazar\Quorum Business Solutions\Ecopetrol Prometeo - Documents\Planning Space Implementation\3. Analysis &amp; Design\Design\FC22\DRR Jaime\Neiva CPI\[VAO_DINA TERCIARIOS_CF_SEC_20230117.xlsx]CF PND'!$AY$57</t>
  </si>
  <si>
    <t>='C:\Users\jaime.benazar\Quorum Business Solutions\Ecopetrol Prometeo - Documents\Planning Space Implementation\3. Analysis &amp; Design\Design\FC22\DRR Jaime\Neiva CPI\[VAO_DINA TERCIARIOS_CF_SEC_20230117.xlsx]CF PND'!$AY$58</t>
  </si>
  <si>
    <t>='C:\Users\jaime.benazar\Quorum Business Solutions\Ecopetrol Prometeo - Documents\Planning Space Implementation\3. Analysis &amp; Design\Design\FC22\DRR Jaime\Neiva CPI\[VAO_DINA TERCIARIOS_CF_SEC_20230117.xlsx]CF PND'!$AY$59</t>
  </si>
  <si>
    <t>='C:\Users\jaime.benazar\Quorum Business Solutions\Ecopetrol Prometeo - Documents\Planning Space Implementation\3. Analysis &amp; Design\Design\FC22\DRR Jaime\Neiva CPI\[VAO_DINA TERCIARIOS_CF_SEC_20230117.xlsx]CF PND'!$AY$60</t>
  </si>
  <si>
    <t>='C:\Users\jaime.benazar\Quorum Business Solutions\Ecopetrol Prometeo - Documents\Planning Space Implementation\3. Analysis &amp; Design\Design\FC22\DRR Jaime\Neiva CPI\[VAO_DINA TERCIARIOS_CF_SEC_20230117.xlsx]CF PND'!$AY$61</t>
  </si>
  <si>
    <t>='C:\Users\jaime.benazar\Quorum Business Solutions\Ecopetrol Prometeo - Documents\Planning Space Implementation\3. Analysis &amp; Design\Design\FC22\DRR Jaime\Neiva CPI\[VAO_DINA TERCIARIOS_CF_SEC_20230117.xlsx]CF PND'!$AY$62</t>
  </si>
  <si>
    <t>='C:\Users\jaime.benazar\Quorum Business Solutions\Ecopetrol Prometeo - Documents\Planning Space Implementation\3. Analysis &amp; Design\Design\FC22\DRR Jaime\Neiva CPI\[VAO_DINA TERCIARIOS_CF_SEC_20230117.xlsx]CF PND'!$AY$63</t>
  </si>
  <si>
    <t>='C:\Users\jaime.benazar\Quorum Business Solutions\Ecopetrol Prometeo - Documents\Planning Space Implementation\3. Analysis &amp; Design\Design\FC22\DRR Jaime\Neiva CPI\[VAO_DINA TERCIARIOS_CF_SEC_20230117.xlsx]CF PND'!$AY$64</t>
  </si>
  <si>
    <t>='C:\Users\jaime.benazar\Quorum Business Solutions\Ecopetrol Prometeo - Documents\Planning Space Implementation\3. Analysis &amp; Design\Design\FC22\DRR Jaime\Neiva CPI\[VAO_DINA TERCIARIOS_CF_SEC_20230117.xlsx]CF PND'!$AY$65</t>
  </si>
  <si>
    <t>='C:\Users\jaime.benazar\Quorum Business Solutions\Ecopetrol Prometeo - Documents\Planning Space Implementation\3. Analysis &amp; Design\Design\FC22\DRR Jaime\Neiva CPI\[VAO_DINA TERCIARIOS_CF_SEC_20230117.xlsx]CF PND'!$AY$66</t>
  </si>
  <si>
    <t>='C:\Users\jaime.benazar\Quorum Business Solutions\Ecopetrol Prometeo - Documents\Planning Space Implementation\3. Analysis &amp; Design\Design\FC22\DRR Jaime\Neiva CPI\[VAO_DINA TERCIARIOS_CF_SEC_20230117.xlsx]CF PND'!$AY$67</t>
  </si>
  <si>
    <t>='C:\Users\jaime.benazar\Quorum Business Solutions\Ecopetrol Prometeo - Documents\Planning Space Implementation\3. Analysis &amp; Design\Design\FC22\DRR Jaime\Neiva CPI\[VAO_DINA TERCIARIOS_CF_SEC_20230117.xlsx]CF PND'!$AY$68</t>
  </si>
  <si>
    <t>='C:\Users\jaime.benazar\Quorum Business Solutions\Ecopetrol Prometeo - Documents\Planning Space Implementation\3. Analysis &amp; Design\Design\FC22\DRR Jaime\Neiva CPI\[VAO_DINA TERCIARIOS_CF_SEC_20230117.xlsx]CF PND'!$AY$69</t>
  </si>
  <si>
    <t>='C:\Users\jaime.benazar\Quorum Business Solutions\Ecopetrol Prometeo - Documents\Planning Space Implementation\3. Analysis &amp; Design\Design\FC22\DRR Jaime\Neiva CPI\[VAO_DINA TERCIARIOS_CF_SEC_20230117.xlsx]CF PND'!$AY$70</t>
  </si>
  <si>
    <t>='C:\Users\jaime.benazar\Quorum Business Solutions\Ecopetrol Prometeo - Documents\Planning Space Implementation\3. Analysis &amp; Design\Design\FC22\DRR Jaime\Neiva CPI\[VAO_DINA TERCIARIOS_CF_SEC_20230117.xlsx]CF PND'!$AY$71</t>
  </si>
  <si>
    <t>='C:\Users\jaime.benazar\Quorum Business Solutions\Ecopetrol Prometeo - Documents\Planning Space Implementation\3. Analysis &amp; Design\Design\FC22\DRR Jaime\Neiva CPI\[VAO_DINA TERCIARIOS_CF_SEC_20230117.xlsx]CF PND'!$AY$72</t>
  </si>
  <si>
    <t>='C:\Users\jaime.benazar\Quorum Business Solutions\Ecopetrol Prometeo - Documents\Planning Space Implementation\3. Analysis &amp; Design\Design\FC22\DRR Jaime\Neiva CPI\[VAO_DINA TERCIARIOS_CF_SEC_20230117.xlsx]CF PRB'!$AY$36</t>
  </si>
  <si>
    <t>='C:\Users\jaime.benazar\Quorum Business Solutions\Ecopetrol Prometeo - Documents\Planning Space Implementation\3. Analysis &amp; Design\Design\FC22\DRR Jaime\Neiva CPI\[VAO_DINA TERCIARIOS_CF_SEC_20230117.xlsx]CF PRB'!$AY$37</t>
  </si>
  <si>
    <t>='C:\Users\jaime.benazar\Quorum Business Solutions\Ecopetrol Prometeo - Documents\Planning Space Implementation\3. Analysis &amp; Design\Design\FC22\DRR Jaime\Neiva CPI\[VAO_DINA TERCIARIOS_CF_SEC_20230117.xlsx]CF PRB'!$AY$38</t>
  </si>
  <si>
    <t>='C:\Users\jaime.benazar\Quorum Business Solutions\Ecopetrol Prometeo - Documents\Planning Space Implementation\3. Analysis &amp; Design\Design\FC22\DRR Jaime\Neiva CPI\[VAO_DINA TERCIARIOS_CF_SEC_20230117.xlsx]CF PRB'!$AY$39</t>
  </si>
  <si>
    <t>='C:\Users\jaime.benazar\Quorum Business Solutions\Ecopetrol Prometeo - Documents\Planning Space Implementation\3. Analysis &amp; Design\Design\FC22\DRR Jaime\Neiva CPI\[VAO_DINA TERCIARIOS_CF_SEC_20230117.xlsx]CF PRB'!$AY$40</t>
  </si>
  <si>
    <t>='C:\Users\jaime.benazar\Quorum Business Solutions\Ecopetrol Prometeo - Documents\Planning Space Implementation\3. Analysis &amp; Design\Design\FC22\DRR Jaime\Neiva CPI\[VAO_DINA TERCIARIOS_CF_SEC_20230117.xlsx]CF PRB'!$AY$41</t>
  </si>
  <si>
    <t>='C:\Users\jaime.benazar\Quorum Business Solutions\Ecopetrol Prometeo - Documents\Planning Space Implementation\3. Analysis &amp; Design\Design\FC22\DRR Jaime\Neiva CPI\[VAO_DINA TERCIARIOS_CF_SEC_20230117.xlsx]CF PRB'!$AY$42</t>
  </si>
  <si>
    <t>='C:\Users\jaime.benazar\Quorum Business Solutions\Ecopetrol Prometeo - Documents\Planning Space Implementation\3. Analysis &amp; Design\Design\FC22\DRR Jaime\Neiva CPI\[VAO_DINA TERCIARIOS_CF_SEC_20230117.xlsx]CF PRB'!$AY$43</t>
  </si>
  <si>
    <t>='C:\Users\jaime.benazar\Quorum Business Solutions\Ecopetrol Prometeo - Documents\Planning Space Implementation\3. Analysis &amp; Design\Design\FC22\DRR Jaime\Neiva CPI\[VAO_DINA TERCIARIOS_CF_SEC_20230117.xlsx]CF PRB'!$AY$44</t>
  </si>
  <si>
    <t>='C:\Users\jaime.benazar\Quorum Business Solutions\Ecopetrol Prometeo - Documents\Planning Space Implementation\3. Analysis &amp; Design\Design\FC22\DRR Jaime\Neiva CPI\[VAO_DINA TERCIARIOS_CF_SEC_20230117.xlsx]CF PRB'!$AY$45</t>
  </si>
  <si>
    <t>='C:\Users\jaime.benazar\Quorum Business Solutions\Ecopetrol Prometeo - Documents\Planning Space Implementation\3. Analysis &amp; Design\Design\FC22\DRR Jaime\Neiva CPI\[VAO_DINA TERCIARIOS_CF_SEC_20230117.xlsx]CF PRB'!$AY$46</t>
  </si>
  <si>
    <t>='C:\Users\jaime.benazar\Quorum Business Solutions\Ecopetrol Prometeo - Documents\Planning Space Implementation\3. Analysis &amp; Design\Design\FC22\DRR Jaime\Neiva CPI\[VAO_DINA TERCIARIOS_CF_SEC_20230117.xlsx]CF PRB'!$AY$47</t>
  </si>
  <si>
    <t>='C:\Users\jaime.benazar\Quorum Business Solutions\Ecopetrol Prometeo - Documents\Planning Space Implementation\3. Analysis &amp; Design\Design\FC22\DRR Jaime\Neiva CPI\[VAO_DINA TERCIARIOS_CF_SEC_20230117.xlsx]CF PRB'!$AY$48</t>
  </si>
  <si>
    <t>='C:\Users\jaime.benazar\Quorum Business Solutions\Ecopetrol Prometeo - Documents\Planning Space Implementation\3. Analysis &amp; Design\Design\FC22\DRR Jaime\Neiva CPI\[VAO_DINA TERCIARIOS_CF_SEC_20230117.xlsx]CF PRB'!$AY$49</t>
  </si>
  <si>
    <t>='C:\Users\jaime.benazar\Quorum Business Solutions\Ecopetrol Prometeo - Documents\Planning Space Implementation\3. Analysis &amp; Design\Design\FC22\DRR Jaime\Neiva CPI\[VAO_DINA TERCIARIOS_CF_SEC_20230117.xlsx]CF PRB'!$AY$50</t>
  </si>
  <si>
    <t>='C:\Users\jaime.benazar\Quorum Business Solutions\Ecopetrol Prometeo - Documents\Planning Space Implementation\3. Analysis &amp; Design\Design\FC22\DRR Jaime\Neiva CPI\[VAO_DINA TERCIARIOS_CF_SEC_20230117.xlsx]CF PRB'!$AY$51</t>
  </si>
  <si>
    <t>='C:\Users\jaime.benazar\Quorum Business Solutions\Ecopetrol Prometeo - Documents\Planning Space Implementation\3. Analysis &amp; Design\Design\FC22\DRR Jaime\Neiva CPI\[VAO_DINA TERCIARIOS_CF_SEC_20230117.xlsx]CF PRB'!$AY$52</t>
  </si>
  <si>
    <t>='C:\Users\jaime.benazar\Quorum Business Solutions\Ecopetrol Prometeo - Documents\Planning Space Implementation\3. Analysis &amp; Design\Design\FC22\DRR Jaime\Neiva CPI\[VAO_DINA TERCIARIOS_CF_SEC_20230117.xlsx]CF PRB'!$AY$53</t>
  </si>
  <si>
    <t>='C:\Users\jaime.benazar\Quorum Business Solutions\Ecopetrol Prometeo - Documents\Planning Space Implementation\3. Analysis &amp; Design\Design\FC22\DRR Jaime\Neiva CPI\[VAO_DINA TERCIARIOS_CF_SEC_20230117.xlsx]CF PRB'!$AY$54</t>
  </si>
  <si>
    <t>='C:\Users\jaime.benazar\Quorum Business Solutions\Ecopetrol Prometeo - Documents\Planning Space Implementation\3. Analysis &amp; Design\Design\FC22\DRR Jaime\Neiva CPI\[VAO_DINA TERCIARIOS_CF_SEC_20230117.xlsx]CF PRB'!$AY$55</t>
  </si>
  <si>
    <t>='C:\Users\jaime.benazar\Quorum Business Solutions\Ecopetrol Prometeo - Documents\Planning Space Implementation\3. Analysis &amp; Design\Design\FC22\DRR Jaime\Neiva CPI\[VAO_DINA TERCIARIOS_CF_SEC_20230117.xlsx]CF PRB'!$AY$56</t>
  </si>
  <si>
    <t>='C:\Users\jaime.benazar\Quorum Business Solutions\Ecopetrol Prometeo - Documents\Planning Space Implementation\3. Analysis &amp; Design\Design\FC22\DRR Jaime\Neiva CPI\[VAO_DINA TERCIARIOS_CF_SEC_20230117.xlsx]CF PRB'!$AY$57</t>
  </si>
  <si>
    <t>='C:\Users\jaime.benazar\Quorum Business Solutions\Ecopetrol Prometeo - Documents\Planning Space Implementation\3. Analysis &amp; Design\Design\FC22\DRR Jaime\Neiva CPI\[VAO_DINA TERCIARIOS_CF_SEC_20230117.xlsx]CF PRB'!$AY$58</t>
  </si>
  <si>
    <t>='C:\Users\jaime.benazar\Quorum Business Solutions\Ecopetrol Prometeo - Documents\Planning Space Implementation\3. Analysis &amp; Design\Design\FC22\DRR Jaime\Neiva CPI\[VAO_DINA TERCIARIOS_CF_SEC_20230117.xlsx]CF PRB'!$AY$59</t>
  </si>
  <si>
    <t>='C:\Users\jaime.benazar\Quorum Business Solutions\Ecopetrol Prometeo - Documents\Planning Space Implementation\3. Analysis &amp; Design\Design\FC22\DRR Jaime\Neiva CPI\[VAO_DINA TERCIARIOS_CF_SEC_20230117.xlsx]CF PRB'!$AY$60</t>
  </si>
  <si>
    <t>='C:\Users\jaime.benazar\Quorum Business Solutions\Ecopetrol Prometeo - Documents\Planning Space Implementation\3. Analysis &amp; Design\Design\FC22\DRR Jaime\Neiva CPI\[VAO_DINA TERCIARIOS_CF_SEC_20230117.xlsx]CF PRB'!$AY$61</t>
  </si>
  <si>
    <t>='C:\Users\jaime.benazar\Quorum Business Solutions\Ecopetrol Prometeo - Documents\Planning Space Implementation\3. Analysis &amp; Design\Design\FC22\DRR Jaime\Neiva CPI\[VAO_DINA TERCIARIOS_CF_SEC_20230117.xlsx]CF PRB'!$AY$62</t>
  </si>
  <si>
    <t>='C:\Users\jaime.benazar\Quorum Business Solutions\Ecopetrol Prometeo - Documents\Planning Space Implementation\3. Analysis &amp; Design\Design\FC22\DRR Jaime\Neiva CPI\[VAO_DINA TERCIARIOS_CF_SEC_20230117.xlsx]CF PRB'!$AY$63</t>
  </si>
  <si>
    <t>='C:\Users\jaime.benazar\Quorum Business Solutions\Ecopetrol Prometeo - Documents\Planning Space Implementation\3. Analysis &amp; Design\Design\FC22\DRR Jaime\Neiva CPI\[VAO_DINA TERCIARIOS_CF_SEC_20230117.xlsx]CF PRB'!$AY$64</t>
  </si>
  <si>
    <t>='C:\Users\jaime.benazar\Quorum Business Solutions\Ecopetrol Prometeo - Documents\Planning Space Implementation\3. Analysis &amp; Design\Design\FC22\DRR Jaime\Neiva CPI\[VAO_DINA TERCIARIOS_CF_SEC_20230117.xlsx]CF PRB'!$AY$65</t>
  </si>
  <si>
    <t>='C:\Users\jaime.benazar\Quorum Business Solutions\Ecopetrol Prometeo - Documents\Planning Space Implementation\3. Analysis &amp; Design\Design\FC22\DRR Jaime\Neiva CPI\[VAO_DINA TERCIARIOS_CF_SEC_20230117.xlsx]CF PRB'!$AY$66</t>
  </si>
  <si>
    <t>='C:\Users\jaime.benazar\Quorum Business Solutions\Ecopetrol Prometeo - Documents\Planning Space Implementation\3. Analysis &amp; Design\Design\FC22\DRR Jaime\Neiva CPI\[VAO_DINA TERCIARIOS_CF_SEC_20230117.xlsx]CF PRB'!$AY$67</t>
  </si>
  <si>
    <t>='C:\Users\jaime.benazar\Quorum Business Solutions\Ecopetrol Prometeo - Documents\Planning Space Implementation\3. Analysis &amp; Design\Design\FC22\DRR Jaime\Neiva CPI\[VAO_DINA TERCIARIOS_CF_SEC_20230117.xlsx]CF PRB'!$AY$68</t>
  </si>
  <si>
    <t>='C:\Users\jaime.benazar\Quorum Business Solutions\Ecopetrol Prometeo - Documents\Planning Space Implementation\3. Analysis &amp; Design\Design\FC22\DRR Jaime\Neiva CPI\[VAO_DINA TERCIARIOS_CF_SEC_20230117.xlsx]CF PRB'!$AY$69</t>
  </si>
  <si>
    <t>='C:\Users\jaime.benazar\Quorum Business Solutions\Ecopetrol Prometeo - Documents\Planning Space Implementation\3. Analysis &amp; Design\Design\FC22\DRR Jaime\Neiva CPI\[VAO_DINA TERCIARIOS_CF_SEC_20230117.xlsx]CF PRB'!$AY$70</t>
  </si>
  <si>
    <t>='C:\Users\jaime.benazar\Quorum Business Solutions\Ecopetrol Prometeo - Documents\Planning Space Implementation\3. Analysis &amp; Design\Design\FC22\DRR Jaime\Neiva CPI\[VAO_DINA TERCIARIOS_CF_SEC_20230117.xlsx]CF PRB'!$AY$71</t>
  </si>
  <si>
    <t>='C:\Users\jaime.benazar\Quorum Business Solutions\Ecopetrol Prometeo - Documents\Planning Space Implementation\3. Analysis &amp; Design\Design\FC22\DRR Jaime\Neiva CPI\[VAO_DINA TERCIARIOS_CF_SEC_20230117.xlsx]CF PRB'!$AY$72</t>
  </si>
  <si>
    <t>='C:\Users\jaime.benazar\Quorum Business Solutions\Ecopetrol Prometeo - Documents\Planning Space Implementation\3. Analysis &amp; Design\Design\FC22\DRR Jaime\Neiva CPI\[VAO_DINA TERCIARIOS_CF_SEC_20230117.xlsx]CF PS'!$AY$36</t>
  </si>
  <si>
    <t>='C:\Users\jaime.benazar\Quorum Business Solutions\Ecopetrol Prometeo - Documents\Planning Space Implementation\3. Analysis &amp; Design\Design\FC22\DRR Jaime\Neiva CPI\[VAO_DINA TERCIARIOS_CF_SEC_20230117.xlsx]CF PS'!$AY$37</t>
  </si>
  <si>
    <t>='C:\Users\jaime.benazar\Quorum Business Solutions\Ecopetrol Prometeo - Documents\Planning Space Implementation\3. Analysis &amp; Design\Design\FC22\DRR Jaime\Neiva CPI\[VAO_DINA TERCIARIOS_CF_SEC_20230117.xlsx]CF PS'!$AY$38</t>
  </si>
  <si>
    <t>='C:\Users\jaime.benazar\Quorum Business Solutions\Ecopetrol Prometeo - Documents\Planning Space Implementation\3. Analysis &amp; Design\Design\FC22\DRR Jaime\Neiva CPI\[VAO_DINA TERCIARIOS_CF_SEC_20230117.xlsx]CF PS'!$AY$39</t>
  </si>
  <si>
    <t>='C:\Users\jaime.benazar\Quorum Business Solutions\Ecopetrol Prometeo - Documents\Planning Space Implementation\3. Analysis &amp; Design\Design\FC22\DRR Jaime\Neiva CPI\[VAO_DINA TERCIARIOS_CF_SEC_20230117.xlsx]CF PS'!$AY$40</t>
  </si>
  <si>
    <t>='C:\Users\jaime.benazar\Quorum Business Solutions\Ecopetrol Prometeo - Documents\Planning Space Implementation\3. Analysis &amp; Design\Design\FC22\DRR Jaime\Neiva CPI\[VAO_DINA TERCIARIOS_CF_SEC_20230117.xlsx]CF PS'!$AY$41</t>
  </si>
  <si>
    <t>='C:\Users\jaime.benazar\Quorum Business Solutions\Ecopetrol Prometeo - Documents\Planning Space Implementation\3. Analysis &amp; Design\Design\FC22\DRR Jaime\Neiva CPI\[VAO_DINA TERCIARIOS_CF_SEC_20230117.xlsx]CF PS'!$AY$42</t>
  </si>
  <si>
    <t>='C:\Users\jaime.benazar\Quorum Business Solutions\Ecopetrol Prometeo - Documents\Planning Space Implementation\3. Analysis &amp; Design\Design\FC22\DRR Jaime\Neiva CPI\[VAO_DINA TERCIARIOS_CF_SEC_20230117.xlsx]CF PS'!$AY$43</t>
  </si>
  <si>
    <t>='C:\Users\jaime.benazar\Quorum Business Solutions\Ecopetrol Prometeo - Documents\Planning Space Implementation\3. Analysis &amp; Design\Design\FC22\DRR Jaime\Neiva CPI\[VAO_DINA TERCIARIOS_CF_SEC_20230117.xlsx]CF PS'!$AY$44</t>
  </si>
  <si>
    <t>='C:\Users\jaime.benazar\Quorum Business Solutions\Ecopetrol Prometeo - Documents\Planning Space Implementation\3. Analysis &amp; Design\Design\FC22\DRR Jaime\Neiva CPI\[VAO_DINA TERCIARIOS_CF_SEC_20230117.xlsx]CF PS'!$AY$45</t>
  </si>
  <si>
    <t>='C:\Users\jaime.benazar\Quorum Business Solutions\Ecopetrol Prometeo - Documents\Planning Space Implementation\3. Analysis &amp; Design\Design\FC22\DRR Jaime\Neiva CPI\[VAO_DINA TERCIARIOS_CF_SEC_20230117.xlsx]CF PS'!$AY$46</t>
  </si>
  <si>
    <t>='C:\Users\jaime.benazar\Quorum Business Solutions\Ecopetrol Prometeo - Documents\Planning Space Implementation\3. Analysis &amp; Design\Design\FC22\DRR Jaime\Neiva CPI\[VAO_DINA TERCIARIOS_CF_SEC_20230117.xlsx]CF PS'!$AY$47</t>
  </si>
  <si>
    <t>='C:\Users\jaime.benazar\Quorum Business Solutions\Ecopetrol Prometeo - Documents\Planning Space Implementation\3. Analysis &amp; Design\Design\FC22\DRR Jaime\Neiva CPI\[VAO_DINA TERCIARIOS_CF_SEC_20230117.xlsx]CF PS'!$AY$48</t>
  </si>
  <si>
    <t>='C:\Users\jaime.benazar\Quorum Business Solutions\Ecopetrol Prometeo - Documents\Planning Space Implementation\3. Analysis &amp; Design\Design\FC22\DRR Jaime\Neiva CPI\[VAO_DINA TERCIARIOS_CF_SEC_20230117.xlsx]CF PS'!$AY$49</t>
  </si>
  <si>
    <t>='C:\Users\jaime.benazar\Quorum Business Solutions\Ecopetrol Prometeo - Documents\Planning Space Implementation\3. Analysis &amp; Design\Design\FC22\DRR Jaime\Neiva CPI\[VAO_DINA TERCIARIOS_CF_SEC_20230117.xlsx]CF PS'!$AY$50</t>
  </si>
  <si>
    <t>='C:\Users\jaime.benazar\Quorum Business Solutions\Ecopetrol Prometeo - Documents\Planning Space Implementation\3. Analysis &amp; Design\Design\FC22\DRR Jaime\Neiva CPI\[VAO_DINA TERCIARIOS_CF_SEC_20230117.xlsx]CF PS'!$AY$51</t>
  </si>
  <si>
    <t>='C:\Users\jaime.benazar\Quorum Business Solutions\Ecopetrol Prometeo - Documents\Planning Space Implementation\3. Analysis &amp; Design\Design\FC22\DRR Jaime\Neiva CPI\[VAO_DINA TERCIARIOS_CF_SEC_20230117.xlsx]CF PS'!$AY$52</t>
  </si>
  <si>
    <t>='C:\Users\jaime.benazar\Quorum Business Solutions\Ecopetrol Prometeo - Documents\Planning Space Implementation\3. Analysis &amp; Design\Design\FC22\DRR Jaime\Neiva CPI\[VAO_DINA TERCIARIOS_CF_SEC_20230117.xlsx]CF PS'!$AY$53</t>
  </si>
  <si>
    <t>='C:\Users\jaime.benazar\Quorum Business Solutions\Ecopetrol Prometeo - Documents\Planning Space Implementation\3. Analysis &amp; Design\Design\FC22\DRR Jaime\Neiva CPI\[VAO_DINA TERCIARIOS_CF_SEC_20230117.xlsx]CF PS'!$AY$54</t>
  </si>
  <si>
    <t>='C:\Users\jaime.benazar\Quorum Business Solutions\Ecopetrol Prometeo - Documents\Planning Space Implementation\3. Analysis &amp; Design\Design\FC22\DRR Jaime\Neiva CPI\[VAO_DINA TERCIARIOS_CF_SEC_20230117.xlsx]CF PS'!$AY$55</t>
  </si>
  <si>
    <t>='C:\Users\jaime.benazar\Quorum Business Solutions\Ecopetrol Prometeo - Documents\Planning Space Implementation\3. Analysis &amp; Design\Design\FC22\DRR Jaime\Neiva CPI\[VAO_DINA TERCIARIOS_CF_SEC_20230117.xlsx]CF PS'!$AY$56</t>
  </si>
  <si>
    <t>='C:\Users\jaime.benazar\Quorum Business Solutions\Ecopetrol Prometeo - Documents\Planning Space Implementation\3. Analysis &amp; Design\Design\FC22\DRR Jaime\Neiva CPI\[VAO_DINA TERCIARIOS_CF_SEC_20230117.xlsx]CF PS'!$AY$57</t>
  </si>
  <si>
    <t>='C:\Users\jaime.benazar\Quorum Business Solutions\Ecopetrol Prometeo - Documents\Planning Space Implementation\3. Analysis &amp; Design\Design\FC22\DRR Jaime\Neiva CPI\[VAO_DINA TERCIARIOS_CF_SEC_20230117.xlsx]CF PS'!$AY$58</t>
  </si>
  <si>
    <t>='C:\Users\jaime.benazar\Quorum Business Solutions\Ecopetrol Prometeo - Documents\Planning Space Implementation\3. Analysis &amp; Design\Design\FC22\DRR Jaime\Neiva CPI\[VAO_DINA TERCIARIOS_CF_SEC_20230117.xlsx]CF PS'!$AY$59</t>
  </si>
  <si>
    <t>='C:\Users\jaime.benazar\Quorum Business Solutions\Ecopetrol Prometeo - Documents\Planning Space Implementation\3. Analysis &amp; Design\Design\FC22\DRR Jaime\Neiva CPI\[VAO_DINA TERCIARIOS_CF_SEC_20230117.xlsx]CF PS'!$AY$60</t>
  </si>
  <si>
    <t>='C:\Users\jaime.benazar\Quorum Business Solutions\Ecopetrol Prometeo - Documents\Planning Space Implementation\3. Analysis &amp; Design\Design\FC22\DRR Jaime\Neiva CPI\[VAO_DINA TERCIARIOS_CF_SEC_20230117.xlsx]CF PS'!$AY$61</t>
  </si>
  <si>
    <t>='C:\Users\jaime.benazar\Quorum Business Solutions\Ecopetrol Prometeo - Documents\Planning Space Implementation\3. Analysis &amp; Design\Design\FC22\DRR Jaime\Neiva CPI\[VAO_DINA TERCIARIOS_CF_SEC_20230117.xlsx]CF PS'!$AY$62</t>
  </si>
  <si>
    <t>='C:\Users\jaime.benazar\Quorum Business Solutions\Ecopetrol Prometeo - Documents\Planning Space Implementation\3. Analysis &amp; Design\Design\FC22\DRR Jaime\Neiva CPI\[VAO_DINA TERCIARIOS_CF_SEC_20230117.xlsx]CF PS'!$AY$63</t>
  </si>
  <si>
    <t>='C:\Users\jaime.benazar\Quorum Business Solutions\Ecopetrol Prometeo - Documents\Planning Space Implementation\3. Analysis &amp; Design\Design\FC22\DRR Jaime\Neiva CPI\[VAO_DINA TERCIARIOS_CF_SEC_20230117.xlsx]CF PS'!$AY$64</t>
  </si>
  <si>
    <t>='C:\Users\jaime.benazar\Quorum Business Solutions\Ecopetrol Prometeo - Documents\Planning Space Implementation\3. Analysis &amp; Design\Design\FC22\DRR Jaime\Neiva CPI\[VAO_DINA TERCIARIOS_CF_SEC_20230117.xlsx]CF PS'!$AY$65</t>
  </si>
  <si>
    <t>='C:\Users\jaime.benazar\Quorum Business Solutions\Ecopetrol Prometeo - Documents\Planning Space Implementation\3. Analysis &amp; Design\Design\FC22\DRR Jaime\Neiva CPI\[VAO_DINA TERCIARIOS_CF_SEC_20230117.xlsx]CF PS'!$AY$66</t>
  </si>
  <si>
    <t>='C:\Users\jaime.benazar\Quorum Business Solutions\Ecopetrol Prometeo - Documents\Planning Space Implementation\3. Analysis &amp; Design\Design\FC22\DRR Jaime\Neiva CPI\[VAO_DINA TERCIARIOS_CF_SEC_20230117.xlsx]CF PS'!$AY$67</t>
  </si>
  <si>
    <t>='C:\Users\jaime.benazar\Quorum Business Solutions\Ecopetrol Prometeo - Documents\Planning Space Implementation\3. Analysis &amp; Design\Design\FC22\DRR Jaime\Neiva CPI\[VAO_DINA TERCIARIOS_CF_SEC_20230117.xlsx]CF PS'!$AY$68</t>
  </si>
  <si>
    <t>='C:\Users\jaime.benazar\Quorum Business Solutions\Ecopetrol Prometeo - Documents\Planning Space Implementation\3. Analysis &amp; Design\Design\FC22\DRR Jaime\Neiva CPI\[VAO_DINA TERCIARIOS_CF_SEC_20230117.xlsx]CF PS'!$AY$69</t>
  </si>
  <si>
    <t>='C:\Users\jaime.benazar\Quorum Business Solutions\Ecopetrol Prometeo - Documents\Planning Space Implementation\3. Analysis &amp; Design\Design\FC22\DRR Jaime\Neiva CPI\[VAO_DINA TERCIARIOS_CF_SEC_20230117.xlsx]CF PS'!$AY$70</t>
  </si>
  <si>
    <t>='C:\Users\jaime.benazar\Quorum Business Solutions\Ecopetrol Prometeo - Documents\Planning Space Implementation\3. Analysis &amp; Design\Design\FC22\DRR Jaime\Neiva CPI\[VAO_DINA TERCIARIOS_CF_SEC_20230117.xlsx]CF PS'!$AY$71</t>
  </si>
  <si>
    <t>='C:\Users\jaime.benazar\Quorum Business Solutions\Ecopetrol Prometeo - Documents\Planning Space Implementation\3. Analysis &amp; Design\Design\FC22\DRR Jaime\Neiva CPI\[VAO_DINA TERCIARIOS_CF_SEC_20230117.xlsx]CF PS'!$AY$72</t>
  </si>
  <si>
    <t>='C:\Users\jaime.benazar\Quorum Business Solutions\Ecopetrol Prometeo - Documents\Planning Space Implementation\3. Analysis &amp; Design\Design\FC22\DRR Jaime\Neiva CPI\[VAO_DINA TERCIARIOS_CF_SEC_20230117.xlsx]CF PDP'!$BT$36</t>
  </si>
  <si>
    <t>='C:\Users\jaime.benazar\Quorum Business Solutions\Ecopetrol Prometeo - Documents\Planning Space Implementation\3. Analysis &amp; Design\Design\FC22\DRR Jaime\Neiva CPI\[VAO_DINA TERCIARIOS_CF_SEC_20230117.xlsx]CF PDP'!$BT$37</t>
  </si>
  <si>
    <t>='C:\Users\jaime.benazar\Quorum Business Solutions\Ecopetrol Prometeo - Documents\Planning Space Implementation\3. Analysis &amp; Design\Design\FC22\DRR Jaime\Neiva CPI\[VAO_DINA TERCIARIOS_CF_SEC_20230117.xlsx]CF PDP'!$BT$38</t>
  </si>
  <si>
    <t>='C:\Users\jaime.benazar\Quorum Business Solutions\Ecopetrol Prometeo - Documents\Planning Space Implementation\3. Analysis &amp; Design\Design\FC22\DRR Jaime\Neiva CPI\[VAO_DINA TERCIARIOS_CF_SEC_20230117.xlsx]CF PDP'!$BT$39</t>
  </si>
  <si>
    <t>='C:\Users\jaime.benazar\Quorum Business Solutions\Ecopetrol Prometeo - Documents\Planning Space Implementation\3. Analysis &amp; Design\Design\FC22\DRR Jaime\Neiva CPI\[VAO_DINA TERCIARIOS_CF_SEC_20230117.xlsx]CF PDP'!$BT$40</t>
  </si>
  <si>
    <t>='C:\Users\jaime.benazar\Quorum Business Solutions\Ecopetrol Prometeo - Documents\Planning Space Implementation\3. Analysis &amp; Design\Design\FC22\DRR Jaime\Neiva CPI\[VAO_DINA TERCIARIOS_CF_SEC_20230117.xlsx]CF PDP'!$BT$41</t>
  </si>
  <si>
    <t>='C:\Users\jaime.benazar\Quorum Business Solutions\Ecopetrol Prometeo - Documents\Planning Space Implementation\3. Analysis &amp; Design\Design\FC22\DRR Jaime\Neiva CPI\[VAO_DINA TERCIARIOS_CF_SEC_20230117.xlsx]CF PDP'!$BT$42</t>
  </si>
  <si>
    <t>='C:\Users\jaime.benazar\Quorum Business Solutions\Ecopetrol Prometeo - Documents\Planning Space Implementation\3. Analysis &amp; Design\Design\FC22\DRR Jaime\Neiva CPI\[VAO_DINA TERCIARIOS_CF_SEC_20230117.xlsx]CF PDP'!$BT$43</t>
  </si>
  <si>
    <t>='C:\Users\jaime.benazar\Quorum Business Solutions\Ecopetrol Prometeo - Documents\Planning Space Implementation\3. Analysis &amp; Design\Design\FC22\DRR Jaime\Neiva CPI\[VAO_DINA TERCIARIOS_CF_SEC_20230117.xlsx]CF PDP'!$BT$44</t>
  </si>
  <si>
    <t>='C:\Users\jaime.benazar\Quorum Business Solutions\Ecopetrol Prometeo - Documents\Planning Space Implementation\3. Analysis &amp; Design\Design\FC22\DRR Jaime\Neiva CPI\[VAO_DINA TERCIARIOS_CF_SEC_20230117.xlsx]CF PDP'!$BT$45</t>
  </si>
  <si>
    <t>='C:\Users\jaime.benazar\Quorum Business Solutions\Ecopetrol Prometeo - Documents\Planning Space Implementation\3. Analysis &amp; Design\Design\FC22\DRR Jaime\Neiva CPI\[VAO_DINA TERCIARIOS_CF_SEC_20230117.xlsx]CF PDP'!$BT$46</t>
  </si>
  <si>
    <t>='C:\Users\jaime.benazar\Quorum Business Solutions\Ecopetrol Prometeo - Documents\Planning Space Implementation\3. Analysis &amp; Design\Design\FC22\DRR Jaime\Neiva CPI\[VAO_DINA TERCIARIOS_CF_SEC_20230117.xlsx]CF PDP'!$BT$47</t>
  </si>
  <si>
    <t>='C:\Users\jaime.benazar\Quorum Business Solutions\Ecopetrol Prometeo - Documents\Planning Space Implementation\3. Analysis &amp; Design\Design\FC22\DRR Jaime\Neiva CPI\[VAO_DINA TERCIARIOS_CF_SEC_20230117.xlsx]CF PDP'!$BT$48</t>
  </si>
  <si>
    <t>='C:\Users\jaime.benazar\Quorum Business Solutions\Ecopetrol Prometeo - Documents\Planning Space Implementation\3. Analysis &amp; Design\Design\FC22\DRR Jaime\Neiva CPI\[VAO_DINA TERCIARIOS_CF_SEC_20230117.xlsx]CF PDP'!$BT$49</t>
  </si>
  <si>
    <t>='C:\Users\jaime.benazar\Quorum Business Solutions\Ecopetrol Prometeo - Documents\Planning Space Implementation\3. Analysis &amp; Design\Design\FC22\DRR Jaime\Neiva CPI\[VAO_DINA TERCIARIOS_CF_SEC_20230117.xlsx]CF PDP'!$BT$50</t>
  </si>
  <si>
    <t>='C:\Users\jaime.benazar\Quorum Business Solutions\Ecopetrol Prometeo - Documents\Planning Space Implementation\3. Analysis &amp; Design\Design\FC22\DRR Jaime\Neiva CPI\[VAO_DINA TERCIARIOS_CF_SEC_20230117.xlsx]CF PDP'!$BT$51</t>
  </si>
  <si>
    <t>='C:\Users\jaime.benazar\Quorum Business Solutions\Ecopetrol Prometeo - Documents\Planning Space Implementation\3. Analysis &amp; Design\Design\FC22\DRR Jaime\Neiva CPI\[VAO_DINA TERCIARIOS_CF_SEC_20230117.xlsx]CF PDP'!$BT$52</t>
  </si>
  <si>
    <t>='C:\Users\jaime.benazar\Quorum Business Solutions\Ecopetrol Prometeo - Documents\Planning Space Implementation\3. Analysis &amp; Design\Design\FC22\DRR Jaime\Neiva CPI\[VAO_DINA TERCIARIOS_CF_SEC_20230117.xlsx]CF PDP'!$BT$53</t>
  </si>
  <si>
    <t>='C:\Users\jaime.benazar\Quorum Business Solutions\Ecopetrol Prometeo - Documents\Planning Space Implementation\3. Analysis &amp; Design\Design\FC22\DRR Jaime\Neiva CPI\[VAO_DINA TERCIARIOS_CF_SEC_20230117.xlsx]CF PDP'!$BT$54</t>
  </si>
  <si>
    <t>='C:\Users\jaime.benazar\Quorum Business Solutions\Ecopetrol Prometeo - Documents\Planning Space Implementation\3. Analysis &amp; Design\Design\FC22\DRR Jaime\Neiva CPI\[VAO_DINA TERCIARIOS_CF_SEC_20230117.xlsx]CF PDP'!$BT$55</t>
  </si>
  <si>
    <t>='C:\Users\jaime.benazar\Quorum Business Solutions\Ecopetrol Prometeo - Documents\Planning Space Implementation\3. Analysis &amp; Design\Design\FC22\DRR Jaime\Neiva CPI\[VAO_DINA TERCIARIOS_CF_SEC_20230117.xlsx]CF PDP'!$BT$56</t>
  </si>
  <si>
    <t>='C:\Users\jaime.benazar\Quorum Business Solutions\Ecopetrol Prometeo - Documents\Planning Space Implementation\3. Analysis &amp; Design\Design\FC22\DRR Jaime\Neiva CPI\[VAO_DINA TERCIARIOS_CF_SEC_20230117.xlsx]CF PDP'!$BT$57</t>
  </si>
  <si>
    <t>='C:\Users\jaime.benazar\Quorum Business Solutions\Ecopetrol Prometeo - Documents\Planning Space Implementation\3. Analysis &amp; Design\Design\FC22\DRR Jaime\Neiva CPI\[VAO_DINA TERCIARIOS_CF_SEC_20230117.xlsx]CF PDP'!$BT$58</t>
  </si>
  <si>
    <t>='C:\Users\jaime.benazar\Quorum Business Solutions\Ecopetrol Prometeo - Documents\Planning Space Implementation\3. Analysis &amp; Design\Design\FC22\DRR Jaime\Neiva CPI\[VAO_DINA TERCIARIOS_CF_SEC_20230117.xlsx]CF PDP'!$BT$59</t>
  </si>
  <si>
    <t>='C:\Users\jaime.benazar\Quorum Business Solutions\Ecopetrol Prometeo - Documents\Planning Space Implementation\3. Analysis &amp; Design\Design\FC22\DRR Jaime\Neiva CPI\[VAO_DINA TERCIARIOS_CF_SEC_20230117.xlsx]CF PDP'!$BT$60</t>
  </si>
  <si>
    <t>='C:\Users\jaime.benazar\Quorum Business Solutions\Ecopetrol Prometeo - Documents\Planning Space Implementation\3. Analysis &amp; Design\Design\FC22\DRR Jaime\Neiva CPI\[VAO_DINA TERCIARIOS_CF_SEC_20230117.xlsx]CF PDP'!$BT$61</t>
  </si>
  <si>
    <t>='C:\Users\jaime.benazar\Quorum Business Solutions\Ecopetrol Prometeo - Documents\Planning Space Implementation\3. Analysis &amp; Design\Design\FC22\DRR Jaime\Neiva CPI\[VAO_DINA TERCIARIOS_CF_SEC_20230117.xlsx]CF PDP'!$BT$62</t>
  </si>
  <si>
    <t>='C:\Users\jaime.benazar\Quorum Business Solutions\Ecopetrol Prometeo - Documents\Planning Space Implementation\3. Analysis &amp; Design\Design\FC22\DRR Jaime\Neiva CPI\[VAO_DINA TERCIARIOS_CF_SEC_20230117.xlsx]CF PDP'!$BT$63</t>
  </si>
  <si>
    <t>='C:\Users\jaime.benazar\Quorum Business Solutions\Ecopetrol Prometeo - Documents\Planning Space Implementation\3. Analysis &amp; Design\Design\FC22\DRR Jaime\Neiva CPI\[VAO_DINA TERCIARIOS_CF_SEC_20230117.xlsx]CF PDP'!$BT$64</t>
  </si>
  <si>
    <t>='C:\Users\jaime.benazar\Quorum Business Solutions\Ecopetrol Prometeo - Documents\Planning Space Implementation\3. Analysis &amp; Design\Design\FC22\DRR Jaime\Neiva CPI\[VAO_DINA TERCIARIOS_CF_SEC_20230117.xlsx]CF PDP'!$BT$65</t>
  </si>
  <si>
    <t>='C:\Users\jaime.benazar\Quorum Business Solutions\Ecopetrol Prometeo - Documents\Planning Space Implementation\3. Analysis &amp; Design\Design\FC22\DRR Jaime\Neiva CPI\[VAO_DINA TERCIARIOS_CF_SEC_20230117.xlsx]CF PDP'!$BT$66</t>
  </si>
  <si>
    <t>='C:\Users\jaime.benazar\Quorum Business Solutions\Ecopetrol Prometeo - Documents\Planning Space Implementation\3. Analysis &amp; Design\Design\FC22\DRR Jaime\Neiva CPI\[VAO_DINA TERCIARIOS_CF_SEC_20230117.xlsx]CF PDP'!$BT$67</t>
  </si>
  <si>
    <t>='C:\Users\jaime.benazar\Quorum Business Solutions\Ecopetrol Prometeo - Documents\Planning Space Implementation\3. Analysis &amp; Design\Design\FC22\DRR Jaime\Neiva CPI\[VAO_DINA TERCIARIOS_CF_SEC_20230117.xlsx]CF PDP'!$BT$68</t>
  </si>
  <si>
    <t>='C:\Users\jaime.benazar\Quorum Business Solutions\Ecopetrol Prometeo - Documents\Planning Space Implementation\3. Analysis &amp; Design\Design\FC22\DRR Jaime\Neiva CPI\[VAO_DINA TERCIARIOS_CF_SEC_20230117.xlsx]CF PDP'!$BT$69</t>
  </si>
  <si>
    <t>='C:\Users\jaime.benazar\Quorum Business Solutions\Ecopetrol Prometeo - Documents\Planning Space Implementation\3. Analysis &amp; Design\Design\FC22\DRR Jaime\Neiva CPI\[VAO_DINA TERCIARIOS_CF_SEC_20230117.xlsx]CF PDP'!$BT$70</t>
  </si>
  <si>
    <t>='C:\Users\jaime.benazar\Quorum Business Solutions\Ecopetrol Prometeo - Documents\Planning Space Implementation\3. Analysis &amp; Design\Design\FC22\DRR Jaime\Neiva CPI\[VAO_DINA TERCIARIOS_CF_SEC_20230117.xlsx]CF PDP'!$BT$71</t>
  </si>
  <si>
    <t>='C:\Users\jaime.benazar\Quorum Business Solutions\Ecopetrol Prometeo - Documents\Planning Space Implementation\3. Analysis &amp; Design\Design\FC22\DRR Jaime\Neiva CPI\[VAO_DINA TERCIARIOS_CF_SEC_20230117.xlsx]CF PDP'!$BT$72</t>
  </si>
  <si>
    <t>='C:\Users\jaime.benazar\Quorum Business Solutions\Ecopetrol Prometeo - Documents\Planning Space Implementation\3. Analysis &amp; Design\Design\FC22\DRR Jaime\Neiva CPI\[VAO_DINA TERCIARIOS_CF_SEC_20230117.xlsx]CF PNP'!$BT$36</t>
  </si>
  <si>
    <t>='C:\Users\jaime.benazar\Quorum Business Solutions\Ecopetrol Prometeo - Documents\Planning Space Implementation\3. Analysis &amp; Design\Design\FC22\DRR Jaime\Neiva CPI\[VAO_DINA TERCIARIOS_CF_SEC_20230117.xlsx]CF PNP'!$BT$37</t>
  </si>
  <si>
    <t>='C:\Users\jaime.benazar\Quorum Business Solutions\Ecopetrol Prometeo - Documents\Planning Space Implementation\3. Analysis &amp; Design\Design\FC22\DRR Jaime\Neiva CPI\[VAO_DINA TERCIARIOS_CF_SEC_20230117.xlsx]CF PNP'!$BT$38</t>
  </si>
  <si>
    <t>='C:\Users\jaime.benazar\Quorum Business Solutions\Ecopetrol Prometeo - Documents\Planning Space Implementation\3. Analysis &amp; Design\Design\FC22\DRR Jaime\Neiva CPI\[VAO_DINA TERCIARIOS_CF_SEC_20230117.xlsx]CF PNP'!$BT$39</t>
  </si>
  <si>
    <t>='C:\Users\jaime.benazar\Quorum Business Solutions\Ecopetrol Prometeo - Documents\Planning Space Implementation\3. Analysis &amp; Design\Design\FC22\DRR Jaime\Neiva CPI\[VAO_DINA TERCIARIOS_CF_SEC_20230117.xlsx]CF PNP'!$BT$40</t>
  </si>
  <si>
    <t>='C:\Users\jaime.benazar\Quorum Business Solutions\Ecopetrol Prometeo - Documents\Planning Space Implementation\3. Analysis &amp; Design\Design\FC22\DRR Jaime\Neiva CPI\[VAO_DINA TERCIARIOS_CF_SEC_20230117.xlsx]CF PNP'!$BT$41</t>
  </si>
  <si>
    <t>='C:\Users\jaime.benazar\Quorum Business Solutions\Ecopetrol Prometeo - Documents\Planning Space Implementation\3. Analysis &amp; Design\Design\FC22\DRR Jaime\Neiva CPI\[VAO_DINA TERCIARIOS_CF_SEC_20230117.xlsx]CF PNP'!$BT$42</t>
  </si>
  <si>
    <t>='C:\Users\jaime.benazar\Quorum Business Solutions\Ecopetrol Prometeo - Documents\Planning Space Implementation\3. Analysis &amp; Design\Design\FC22\DRR Jaime\Neiva CPI\[VAO_DINA TERCIARIOS_CF_SEC_20230117.xlsx]CF PNP'!$BT$43</t>
  </si>
  <si>
    <t>='C:\Users\jaime.benazar\Quorum Business Solutions\Ecopetrol Prometeo - Documents\Planning Space Implementation\3. Analysis &amp; Design\Design\FC22\DRR Jaime\Neiva CPI\[VAO_DINA TERCIARIOS_CF_SEC_20230117.xlsx]CF PNP'!$BT$44</t>
  </si>
  <si>
    <t>='C:\Users\jaime.benazar\Quorum Business Solutions\Ecopetrol Prometeo - Documents\Planning Space Implementation\3. Analysis &amp; Design\Design\FC22\DRR Jaime\Neiva CPI\[VAO_DINA TERCIARIOS_CF_SEC_20230117.xlsx]CF PNP'!$BT$45</t>
  </si>
  <si>
    <t>='C:\Users\jaime.benazar\Quorum Business Solutions\Ecopetrol Prometeo - Documents\Planning Space Implementation\3. Analysis &amp; Design\Design\FC22\DRR Jaime\Neiva CPI\[VAO_DINA TERCIARIOS_CF_SEC_20230117.xlsx]CF PNP'!$BT$46</t>
  </si>
  <si>
    <t>='C:\Users\jaime.benazar\Quorum Business Solutions\Ecopetrol Prometeo - Documents\Planning Space Implementation\3. Analysis &amp; Design\Design\FC22\DRR Jaime\Neiva CPI\[VAO_DINA TERCIARIOS_CF_SEC_20230117.xlsx]CF PNP'!$BT$47</t>
  </si>
  <si>
    <t>='C:\Users\jaime.benazar\Quorum Business Solutions\Ecopetrol Prometeo - Documents\Planning Space Implementation\3. Analysis &amp; Design\Design\FC22\DRR Jaime\Neiva CPI\[VAO_DINA TERCIARIOS_CF_SEC_20230117.xlsx]CF PNP'!$BT$48</t>
  </si>
  <si>
    <t>='C:\Users\jaime.benazar\Quorum Business Solutions\Ecopetrol Prometeo - Documents\Planning Space Implementation\3. Analysis &amp; Design\Design\FC22\DRR Jaime\Neiva CPI\[VAO_DINA TERCIARIOS_CF_SEC_20230117.xlsx]CF PNP'!$BT$49</t>
  </si>
  <si>
    <t>='C:\Users\jaime.benazar\Quorum Business Solutions\Ecopetrol Prometeo - Documents\Planning Space Implementation\3. Analysis &amp; Design\Design\FC22\DRR Jaime\Neiva CPI\[VAO_DINA TERCIARIOS_CF_SEC_20230117.xlsx]CF PNP'!$BT$50</t>
  </si>
  <si>
    <t>='C:\Users\jaime.benazar\Quorum Business Solutions\Ecopetrol Prometeo - Documents\Planning Space Implementation\3. Analysis &amp; Design\Design\FC22\DRR Jaime\Neiva CPI\[VAO_DINA TERCIARIOS_CF_SEC_20230117.xlsx]CF PNP'!$BT$51</t>
  </si>
  <si>
    <t>='C:\Users\jaime.benazar\Quorum Business Solutions\Ecopetrol Prometeo - Documents\Planning Space Implementation\3. Analysis &amp; Design\Design\FC22\DRR Jaime\Neiva CPI\[VAO_DINA TERCIARIOS_CF_SEC_20230117.xlsx]CF PNP'!$BT$52</t>
  </si>
  <si>
    <t>='C:\Users\jaime.benazar\Quorum Business Solutions\Ecopetrol Prometeo - Documents\Planning Space Implementation\3. Analysis &amp; Design\Design\FC22\DRR Jaime\Neiva CPI\[VAO_DINA TERCIARIOS_CF_SEC_20230117.xlsx]CF PNP'!$BT$53</t>
  </si>
  <si>
    <t>='C:\Users\jaime.benazar\Quorum Business Solutions\Ecopetrol Prometeo - Documents\Planning Space Implementation\3. Analysis &amp; Design\Design\FC22\DRR Jaime\Neiva CPI\[VAO_DINA TERCIARIOS_CF_SEC_20230117.xlsx]CF PNP'!$BT$54</t>
  </si>
  <si>
    <t>='C:\Users\jaime.benazar\Quorum Business Solutions\Ecopetrol Prometeo - Documents\Planning Space Implementation\3. Analysis &amp; Design\Design\FC22\DRR Jaime\Neiva CPI\[VAO_DINA TERCIARIOS_CF_SEC_20230117.xlsx]CF PNP'!$BT$55</t>
  </si>
  <si>
    <t>='C:\Users\jaime.benazar\Quorum Business Solutions\Ecopetrol Prometeo - Documents\Planning Space Implementation\3. Analysis &amp; Design\Design\FC22\DRR Jaime\Neiva CPI\[VAO_DINA TERCIARIOS_CF_SEC_20230117.xlsx]CF PNP'!$BT$56</t>
  </si>
  <si>
    <t>='C:\Users\jaime.benazar\Quorum Business Solutions\Ecopetrol Prometeo - Documents\Planning Space Implementation\3. Analysis &amp; Design\Design\FC22\DRR Jaime\Neiva CPI\[VAO_DINA TERCIARIOS_CF_SEC_20230117.xlsx]CF PNP'!$BT$57</t>
  </si>
  <si>
    <t>='C:\Users\jaime.benazar\Quorum Business Solutions\Ecopetrol Prometeo - Documents\Planning Space Implementation\3. Analysis &amp; Design\Design\FC22\DRR Jaime\Neiva CPI\[VAO_DINA TERCIARIOS_CF_SEC_20230117.xlsx]CF PNP'!$BT$58</t>
  </si>
  <si>
    <t>='C:\Users\jaime.benazar\Quorum Business Solutions\Ecopetrol Prometeo - Documents\Planning Space Implementation\3. Analysis &amp; Design\Design\FC22\DRR Jaime\Neiva CPI\[VAO_DINA TERCIARIOS_CF_SEC_20230117.xlsx]CF PNP'!$BT$59</t>
  </si>
  <si>
    <t>='C:\Users\jaime.benazar\Quorum Business Solutions\Ecopetrol Prometeo - Documents\Planning Space Implementation\3. Analysis &amp; Design\Design\FC22\DRR Jaime\Neiva CPI\[VAO_DINA TERCIARIOS_CF_SEC_20230117.xlsx]CF PNP'!$BT$60</t>
  </si>
  <si>
    <t>='C:\Users\jaime.benazar\Quorum Business Solutions\Ecopetrol Prometeo - Documents\Planning Space Implementation\3. Analysis &amp; Design\Design\FC22\DRR Jaime\Neiva CPI\[VAO_DINA TERCIARIOS_CF_SEC_20230117.xlsx]CF PNP'!$BT$61</t>
  </si>
  <si>
    <t>='C:\Users\jaime.benazar\Quorum Business Solutions\Ecopetrol Prometeo - Documents\Planning Space Implementation\3. Analysis &amp; Design\Design\FC22\DRR Jaime\Neiva CPI\[VAO_DINA TERCIARIOS_CF_SEC_20230117.xlsx]CF PNP'!$BT$62</t>
  </si>
  <si>
    <t>='C:\Users\jaime.benazar\Quorum Business Solutions\Ecopetrol Prometeo - Documents\Planning Space Implementation\3. Analysis &amp; Design\Design\FC22\DRR Jaime\Neiva CPI\[VAO_DINA TERCIARIOS_CF_SEC_20230117.xlsx]CF PNP'!$BT$63</t>
  </si>
  <si>
    <t>='C:\Users\jaime.benazar\Quorum Business Solutions\Ecopetrol Prometeo - Documents\Planning Space Implementation\3. Analysis &amp; Design\Design\FC22\DRR Jaime\Neiva CPI\[VAO_DINA TERCIARIOS_CF_SEC_20230117.xlsx]CF PNP'!$BT$64</t>
  </si>
  <si>
    <t>='C:\Users\jaime.benazar\Quorum Business Solutions\Ecopetrol Prometeo - Documents\Planning Space Implementation\3. Analysis &amp; Design\Design\FC22\DRR Jaime\Neiva CPI\[VAO_DINA TERCIARIOS_CF_SEC_20230117.xlsx]CF PNP'!$BT$65</t>
  </si>
  <si>
    <t>='C:\Users\jaime.benazar\Quorum Business Solutions\Ecopetrol Prometeo - Documents\Planning Space Implementation\3. Analysis &amp; Design\Design\FC22\DRR Jaime\Neiva CPI\[VAO_DINA TERCIARIOS_CF_SEC_20230117.xlsx]CF PNP'!$BT$66</t>
  </si>
  <si>
    <t>='C:\Users\jaime.benazar\Quorum Business Solutions\Ecopetrol Prometeo - Documents\Planning Space Implementation\3. Analysis &amp; Design\Design\FC22\DRR Jaime\Neiva CPI\[VAO_DINA TERCIARIOS_CF_SEC_20230117.xlsx]CF PNP'!$BT$67</t>
  </si>
  <si>
    <t>='C:\Users\jaime.benazar\Quorum Business Solutions\Ecopetrol Prometeo - Documents\Planning Space Implementation\3. Analysis &amp; Design\Design\FC22\DRR Jaime\Neiva CPI\[VAO_DINA TERCIARIOS_CF_SEC_20230117.xlsx]CF PNP'!$BT$68</t>
  </si>
  <si>
    <t>='C:\Users\jaime.benazar\Quorum Business Solutions\Ecopetrol Prometeo - Documents\Planning Space Implementation\3. Analysis &amp; Design\Design\FC22\DRR Jaime\Neiva CPI\[VAO_DINA TERCIARIOS_CF_SEC_20230117.xlsx]CF PNP'!$BT$69</t>
  </si>
  <si>
    <t>='C:\Users\jaime.benazar\Quorum Business Solutions\Ecopetrol Prometeo - Documents\Planning Space Implementation\3. Analysis &amp; Design\Design\FC22\DRR Jaime\Neiva CPI\[VAO_DINA TERCIARIOS_CF_SEC_20230117.xlsx]CF PNP'!$BT$70</t>
  </si>
  <si>
    <t>='C:\Users\jaime.benazar\Quorum Business Solutions\Ecopetrol Prometeo - Documents\Planning Space Implementation\3. Analysis &amp; Design\Design\FC22\DRR Jaime\Neiva CPI\[VAO_DINA TERCIARIOS_CF_SEC_20230117.xlsx]CF PNP'!$BT$71</t>
  </si>
  <si>
    <t>='C:\Users\jaime.benazar\Quorum Business Solutions\Ecopetrol Prometeo - Documents\Planning Space Implementation\3. Analysis &amp; Design\Design\FC22\DRR Jaime\Neiva CPI\[VAO_DINA TERCIARIOS_CF_SEC_20230117.xlsx]CF PNP'!$BT$72</t>
  </si>
  <si>
    <t>='C:\Users\jaime.benazar\Quorum Business Solutions\Ecopetrol Prometeo - Documents\Planning Space Implementation\3. Analysis &amp; Design\Design\FC22\DRR Jaime\Neiva CPI\[VAO_DINA TERCIARIOS_CF_SEC_20230117.xlsx]CF PND'!$BT$36</t>
  </si>
  <si>
    <t>='C:\Users\jaime.benazar\Quorum Business Solutions\Ecopetrol Prometeo - Documents\Planning Space Implementation\3. Analysis &amp; Design\Design\FC22\DRR Jaime\Neiva CPI\[VAO_DINA TERCIARIOS_CF_SEC_20230117.xlsx]CF PND'!$BT$37</t>
  </si>
  <si>
    <t>='C:\Users\jaime.benazar\Quorum Business Solutions\Ecopetrol Prometeo - Documents\Planning Space Implementation\3. Analysis &amp; Design\Design\FC22\DRR Jaime\Neiva CPI\[VAO_DINA TERCIARIOS_CF_SEC_20230117.xlsx]CF PND'!$BT$38</t>
  </si>
  <si>
    <t>='C:\Users\jaime.benazar\Quorum Business Solutions\Ecopetrol Prometeo - Documents\Planning Space Implementation\3. Analysis &amp; Design\Design\FC22\DRR Jaime\Neiva CPI\[VAO_DINA TERCIARIOS_CF_SEC_20230117.xlsx]CF PND'!$BT$39</t>
  </si>
  <si>
    <t>='C:\Users\jaime.benazar\Quorum Business Solutions\Ecopetrol Prometeo - Documents\Planning Space Implementation\3. Analysis &amp; Design\Design\FC22\DRR Jaime\Neiva CPI\[VAO_DINA TERCIARIOS_CF_SEC_20230117.xlsx]CF PND'!$BT$40</t>
  </si>
  <si>
    <t>='C:\Users\jaime.benazar\Quorum Business Solutions\Ecopetrol Prometeo - Documents\Planning Space Implementation\3. Analysis &amp; Design\Design\FC22\DRR Jaime\Neiva CPI\[VAO_DINA TERCIARIOS_CF_SEC_20230117.xlsx]CF PND'!$BT$41</t>
  </si>
  <si>
    <t>='C:\Users\jaime.benazar\Quorum Business Solutions\Ecopetrol Prometeo - Documents\Planning Space Implementation\3. Analysis &amp; Design\Design\FC22\DRR Jaime\Neiva CPI\[VAO_DINA TERCIARIOS_CF_SEC_20230117.xlsx]CF PND'!$BT$42</t>
  </si>
  <si>
    <t>='C:\Users\jaime.benazar\Quorum Business Solutions\Ecopetrol Prometeo - Documents\Planning Space Implementation\3. Analysis &amp; Design\Design\FC22\DRR Jaime\Neiva CPI\[VAO_DINA TERCIARIOS_CF_SEC_20230117.xlsx]CF PND'!$BT$43</t>
  </si>
  <si>
    <t>='C:\Users\jaime.benazar\Quorum Business Solutions\Ecopetrol Prometeo - Documents\Planning Space Implementation\3. Analysis &amp; Design\Design\FC22\DRR Jaime\Neiva CPI\[VAO_DINA TERCIARIOS_CF_SEC_20230117.xlsx]CF PND'!$BT$44</t>
  </si>
  <si>
    <t>='C:\Users\jaime.benazar\Quorum Business Solutions\Ecopetrol Prometeo - Documents\Planning Space Implementation\3. Analysis &amp; Design\Design\FC22\DRR Jaime\Neiva CPI\[VAO_DINA TERCIARIOS_CF_SEC_20230117.xlsx]CF PND'!$BT$45</t>
  </si>
  <si>
    <t>='C:\Users\jaime.benazar\Quorum Business Solutions\Ecopetrol Prometeo - Documents\Planning Space Implementation\3. Analysis &amp; Design\Design\FC22\DRR Jaime\Neiva CPI\[VAO_DINA TERCIARIOS_CF_SEC_20230117.xlsx]CF PND'!$BT$46</t>
  </si>
  <si>
    <t>='C:\Users\jaime.benazar\Quorum Business Solutions\Ecopetrol Prometeo - Documents\Planning Space Implementation\3. Analysis &amp; Design\Design\FC22\DRR Jaime\Neiva CPI\[VAO_DINA TERCIARIOS_CF_SEC_20230117.xlsx]CF PND'!$BT$47</t>
  </si>
  <si>
    <t>='C:\Users\jaime.benazar\Quorum Business Solutions\Ecopetrol Prometeo - Documents\Planning Space Implementation\3. Analysis &amp; Design\Design\FC22\DRR Jaime\Neiva CPI\[VAO_DINA TERCIARIOS_CF_SEC_20230117.xlsx]CF PND'!$BT$48</t>
  </si>
  <si>
    <t>='C:\Users\jaime.benazar\Quorum Business Solutions\Ecopetrol Prometeo - Documents\Planning Space Implementation\3. Analysis &amp; Design\Design\FC22\DRR Jaime\Neiva CPI\[VAO_DINA TERCIARIOS_CF_SEC_20230117.xlsx]CF PND'!$BT$49</t>
  </si>
  <si>
    <t>='C:\Users\jaime.benazar\Quorum Business Solutions\Ecopetrol Prometeo - Documents\Planning Space Implementation\3. Analysis &amp; Design\Design\FC22\DRR Jaime\Neiva CPI\[VAO_DINA TERCIARIOS_CF_SEC_20230117.xlsx]CF PND'!$BT$50</t>
  </si>
  <si>
    <t>='C:\Users\jaime.benazar\Quorum Business Solutions\Ecopetrol Prometeo - Documents\Planning Space Implementation\3. Analysis &amp; Design\Design\FC22\DRR Jaime\Neiva CPI\[VAO_DINA TERCIARIOS_CF_SEC_20230117.xlsx]CF PND'!$BT$51</t>
  </si>
  <si>
    <t>='C:\Users\jaime.benazar\Quorum Business Solutions\Ecopetrol Prometeo - Documents\Planning Space Implementation\3. Analysis &amp; Design\Design\FC22\DRR Jaime\Neiva CPI\[VAO_DINA TERCIARIOS_CF_SEC_20230117.xlsx]CF PND'!$BT$52</t>
  </si>
  <si>
    <t>='C:\Users\jaime.benazar\Quorum Business Solutions\Ecopetrol Prometeo - Documents\Planning Space Implementation\3. Analysis &amp; Design\Design\FC22\DRR Jaime\Neiva CPI\[VAO_DINA TERCIARIOS_CF_SEC_20230117.xlsx]CF PND'!$BT$53</t>
  </si>
  <si>
    <t>='C:\Users\jaime.benazar\Quorum Business Solutions\Ecopetrol Prometeo - Documents\Planning Space Implementation\3. Analysis &amp; Design\Design\FC22\DRR Jaime\Neiva CPI\[VAO_DINA TERCIARIOS_CF_SEC_20230117.xlsx]CF PND'!$BT$54</t>
  </si>
  <si>
    <t>='C:\Users\jaime.benazar\Quorum Business Solutions\Ecopetrol Prometeo - Documents\Planning Space Implementation\3. Analysis &amp; Design\Design\FC22\DRR Jaime\Neiva CPI\[VAO_DINA TERCIARIOS_CF_SEC_20230117.xlsx]CF PND'!$BT$55</t>
  </si>
  <si>
    <t>='C:\Users\jaime.benazar\Quorum Business Solutions\Ecopetrol Prometeo - Documents\Planning Space Implementation\3. Analysis &amp; Design\Design\FC22\DRR Jaime\Neiva CPI\[VAO_DINA TERCIARIOS_CF_SEC_20230117.xlsx]CF PND'!$BT$56</t>
  </si>
  <si>
    <t>='C:\Users\jaime.benazar\Quorum Business Solutions\Ecopetrol Prometeo - Documents\Planning Space Implementation\3. Analysis &amp; Design\Design\FC22\DRR Jaime\Neiva CPI\[VAO_DINA TERCIARIOS_CF_SEC_20230117.xlsx]CF PND'!$BT$57</t>
  </si>
  <si>
    <t>='C:\Users\jaime.benazar\Quorum Business Solutions\Ecopetrol Prometeo - Documents\Planning Space Implementation\3. Analysis &amp; Design\Design\FC22\DRR Jaime\Neiva CPI\[VAO_DINA TERCIARIOS_CF_SEC_20230117.xlsx]CF PND'!$BT$58</t>
  </si>
  <si>
    <t>='C:\Users\jaime.benazar\Quorum Business Solutions\Ecopetrol Prometeo - Documents\Planning Space Implementation\3. Analysis &amp; Design\Design\FC22\DRR Jaime\Neiva CPI\[VAO_DINA TERCIARIOS_CF_SEC_20230117.xlsx]CF PND'!$BT$59</t>
  </si>
  <si>
    <t>='C:\Users\jaime.benazar\Quorum Business Solutions\Ecopetrol Prometeo - Documents\Planning Space Implementation\3. Analysis &amp; Design\Design\FC22\DRR Jaime\Neiva CPI\[VAO_DINA TERCIARIOS_CF_SEC_20230117.xlsx]CF PND'!$BT$60</t>
  </si>
  <si>
    <t>='C:\Users\jaime.benazar\Quorum Business Solutions\Ecopetrol Prometeo - Documents\Planning Space Implementation\3. Analysis &amp; Design\Design\FC22\DRR Jaime\Neiva CPI\[VAO_DINA TERCIARIOS_CF_SEC_20230117.xlsx]CF PND'!$BT$61</t>
  </si>
  <si>
    <t>='C:\Users\jaime.benazar\Quorum Business Solutions\Ecopetrol Prometeo - Documents\Planning Space Implementation\3. Analysis &amp; Design\Design\FC22\DRR Jaime\Neiva CPI\[VAO_DINA TERCIARIOS_CF_SEC_20230117.xlsx]CF PND'!$BT$62</t>
  </si>
  <si>
    <t>='C:\Users\jaime.benazar\Quorum Business Solutions\Ecopetrol Prometeo - Documents\Planning Space Implementation\3. Analysis &amp; Design\Design\FC22\DRR Jaime\Neiva CPI\[VAO_DINA TERCIARIOS_CF_SEC_20230117.xlsx]CF PND'!$BT$63</t>
  </si>
  <si>
    <t>='C:\Users\jaime.benazar\Quorum Business Solutions\Ecopetrol Prometeo - Documents\Planning Space Implementation\3. Analysis &amp; Design\Design\FC22\DRR Jaime\Neiva CPI\[VAO_DINA TERCIARIOS_CF_SEC_20230117.xlsx]CF PND'!$BT$64</t>
  </si>
  <si>
    <t>='C:\Users\jaime.benazar\Quorum Business Solutions\Ecopetrol Prometeo - Documents\Planning Space Implementation\3. Analysis &amp; Design\Design\FC22\DRR Jaime\Neiva CPI\[VAO_DINA TERCIARIOS_CF_SEC_20230117.xlsx]CF PND'!$BT$65</t>
  </si>
  <si>
    <t>='C:\Users\jaime.benazar\Quorum Business Solutions\Ecopetrol Prometeo - Documents\Planning Space Implementation\3. Analysis &amp; Design\Design\FC22\DRR Jaime\Neiva CPI\[VAO_DINA TERCIARIOS_CF_SEC_20230117.xlsx]CF PND'!$BT$66</t>
  </si>
  <si>
    <t>='C:\Users\jaime.benazar\Quorum Business Solutions\Ecopetrol Prometeo - Documents\Planning Space Implementation\3. Analysis &amp; Design\Design\FC22\DRR Jaime\Neiva CPI\[VAO_DINA TERCIARIOS_CF_SEC_20230117.xlsx]CF PND'!$BT$67</t>
  </si>
  <si>
    <t>='C:\Users\jaime.benazar\Quorum Business Solutions\Ecopetrol Prometeo - Documents\Planning Space Implementation\3. Analysis &amp; Design\Design\FC22\DRR Jaime\Neiva CPI\[VAO_DINA TERCIARIOS_CF_SEC_20230117.xlsx]CF PND'!$BT$68</t>
  </si>
  <si>
    <t>='C:\Users\jaime.benazar\Quorum Business Solutions\Ecopetrol Prometeo - Documents\Planning Space Implementation\3. Analysis &amp; Design\Design\FC22\DRR Jaime\Neiva CPI\[VAO_DINA TERCIARIOS_CF_SEC_20230117.xlsx]CF PND'!$BT$69</t>
  </si>
  <si>
    <t>='C:\Users\jaime.benazar\Quorum Business Solutions\Ecopetrol Prometeo - Documents\Planning Space Implementation\3. Analysis &amp; Design\Design\FC22\DRR Jaime\Neiva CPI\[VAO_DINA TERCIARIOS_CF_SEC_20230117.xlsx]CF PND'!$BT$70</t>
  </si>
  <si>
    <t>='C:\Users\jaime.benazar\Quorum Business Solutions\Ecopetrol Prometeo - Documents\Planning Space Implementation\3. Analysis &amp; Design\Design\FC22\DRR Jaime\Neiva CPI\[VAO_DINA TERCIARIOS_CF_SEC_20230117.xlsx]CF PND'!$BT$71</t>
  </si>
  <si>
    <t>='C:\Users\jaime.benazar\Quorum Business Solutions\Ecopetrol Prometeo - Documents\Planning Space Implementation\3. Analysis &amp; Design\Design\FC22\DRR Jaime\Neiva CPI\[VAO_DINA TERCIARIOS_CF_SEC_20230117.xlsx]CF PND'!$BT$72</t>
  </si>
  <si>
    <t>='C:\Users\jaime.benazar\Quorum Business Solutions\Ecopetrol Prometeo - Documents\Planning Space Implementation\3. Analysis &amp; Design\Design\FC22\DRR Jaime\Neiva CPI\[VAO_DINA TERCIARIOS_CF_SEC_20230117.xlsx]CF PRB'!$BT$36</t>
  </si>
  <si>
    <t>='C:\Users\jaime.benazar\Quorum Business Solutions\Ecopetrol Prometeo - Documents\Planning Space Implementation\3. Analysis &amp; Design\Design\FC22\DRR Jaime\Neiva CPI\[VAO_DINA TERCIARIOS_CF_SEC_20230117.xlsx]CF PRB'!$BT$37</t>
  </si>
  <si>
    <t>='C:\Users\jaime.benazar\Quorum Business Solutions\Ecopetrol Prometeo - Documents\Planning Space Implementation\3. Analysis &amp; Design\Design\FC22\DRR Jaime\Neiva CPI\[VAO_DINA TERCIARIOS_CF_SEC_20230117.xlsx]CF PRB'!$BT$38</t>
  </si>
  <si>
    <t>='C:\Users\jaime.benazar\Quorum Business Solutions\Ecopetrol Prometeo - Documents\Planning Space Implementation\3. Analysis &amp; Design\Design\FC22\DRR Jaime\Neiva CPI\[VAO_DINA TERCIARIOS_CF_SEC_20230117.xlsx]CF PRB'!$BT$39</t>
  </si>
  <si>
    <t>='C:\Users\jaime.benazar\Quorum Business Solutions\Ecopetrol Prometeo - Documents\Planning Space Implementation\3. Analysis &amp; Design\Design\FC22\DRR Jaime\Neiva CPI\[VAO_DINA TERCIARIOS_CF_SEC_20230117.xlsx]CF PRB'!$BT$40</t>
  </si>
  <si>
    <t>='C:\Users\jaime.benazar\Quorum Business Solutions\Ecopetrol Prometeo - Documents\Planning Space Implementation\3. Analysis &amp; Design\Design\FC22\DRR Jaime\Neiva CPI\[VAO_DINA TERCIARIOS_CF_SEC_20230117.xlsx]CF PRB'!$BT$41</t>
  </si>
  <si>
    <t>='C:\Users\jaime.benazar\Quorum Business Solutions\Ecopetrol Prometeo - Documents\Planning Space Implementation\3. Analysis &amp; Design\Design\FC22\DRR Jaime\Neiva CPI\[VAO_DINA TERCIARIOS_CF_SEC_20230117.xlsx]CF PRB'!$BT$42</t>
  </si>
  <si>
    <t>='C:\Users\jaime.benazar\Quorum Business Solutions\Ecopetrol Prometeo - Documents\Planning Space Implementation\3. Analysis &amp; Design\Design\FC22\DRR Jaime\Neiva CPI\[VAO_DINA TERCIARIOS_CF_SEC_20230117.xlsx]CF PRB'!$BT$43</t>
  </si>
  <si>
    <t>='C:\Users\jaime.benazar\Quorum Business Solutions\Ecopetrol Prometeo - Documents\Planning Space Implementation\3. Analysis &amp; Design\Design\FC22\DRR Jaime\Neiva CPI\[VAO_DINA TERCIARIOS_CF_SEC_20230117.xlsx]CF PRB'!$BT$44</t>
  </si>
  <si>
    <t>='C:\Users\jaime.benazar\Quorum Business Solutions\Ecopetrol Prometeo - Documents\Planning Space Implementation\3. Analysis &amp; Design\Design\FC22\DRR Jaime\Neiva CPI\[VAO_DINA TERCIARIOS_CF_SEC_20230117.xlsx]CF PRB'!$BT$45</t>
  </si>
  <si>
    <t>='C:\Users\jaime.benazar\Quorum Business Solutions\Ecopetrol Prometeo - Documents\Planning Space Implementation\3. Analysis &amp; Design\Design\FC22\DRR Jaime\Neiva CPI\[VAO_DINA TERCIARIOS_CF_SEC_20230117.xlsx]CF PRB'!$BT$46</t>
  </si>
  <si>
    <t>='C:\Users\jaime.benazar\Quorum Business Solutions\Ecopetrol Prometeo - Documents\Planning Space Implementation\3. Analysis &amp; Design\Design\FC22\DRR Jaime\Neiva CPI\[VAO_DINA TERCIARIOS_CF_SEC_20230117.xlsx]CF PRB'!$BT$47</t>
  </si>
  <si>
    <t>='C:\Users\jaime.benazar\Quorum Business Solutions\Ecopetrol Prometeo - Documents\Planning Space Implementation\3. Analysis &amp; Design\Design\FC22\DRR Jaime\Neiva CPI\[VAO_DINA TERCIARIOS_CF_SEC_20230117.xlsx]CF PRB'!$BT$48</t>
  </si>
  <si>
    <t>='C:\Users\jaime.benazar\Quorum Business Solutions\Ecopetrol Prometeo - Documents\Planning Space Implementation\3. Analysis &amp; Design\Design\FC22\DRR Jaime\Neiva CPI\[VAO_DINA TERCIARIOS_CF_SEC_20230117.xlsx]CF PRB'!$BT$49</t>
  </si>
  <si>
    <t>='C:\Users\jaime.benazar\Quorum Business Solutions\Ecopetrol Prometeo - Documents\Planning Space Implementation\3. Analysis &amp; Design\Design\FC22\DRR Jaime\Neiva CPI\[VAO_DINA TERCIARIOS_CF_SEC_20230117.xlsx]CF PRB'!$BT$50</t>
  </si>
  <si>
    <t>='C:\Users\jaime.benazar\Quorum Business Solutions\Ecopetrol Prometeo - Documents\Planning Space Implementation\3. Analysis &amp; Design\Design\FC22\DRR Jaime\Neiva CPI\[VAO_DINA TERCIARIOS_CF_SEC_20230117.xlsx]CF PRB'!$BT$51</t>
  </si>
  <si>
    <t>='C:\Users\jaime.benazar\Quorum Business Solutions\Ecopetrol Prometeo - Documents\Planning Space Implementation\3. Analysis &amp; Design\Design\FC22\DRR Jaime\Neiva CPI\[VAO_DINA TERCIARIOS_CF_SEC_20230117.xlsx]CF PRB'!$BT$52</t>
  </si>
  <si>
    <t>='C:\Users\jaime.benazar\Quorum Business Solutions\Ecopetrol Prometeo - Documents\Planning Space Implementation\3. Analysis &amp; Design\Design\FC22\DRR Jaime\Neiva CPI\[VAO_DINA TERCIARIOS_CF_SEC_20230117.xlsx]CF PRB'!$BT$53</t>
  </si>
  <si>
    <t>='C:\Users\jaime.benazar\Quorum Business Solutions\Ecopetrol Prometeo - Documents\Planning Space Implementation\3. Analysis &amp; Design\Design\FC22\DRR Jaime\Neiva CPI\[VAO_DINA TERCIARIOS_CF_SEC_20230117.xlsx]CF PRB'!$BT$54</t>
  </si>
  <si>
    <t>='C:\Users\jaime.benazar\Quorum Business Solutions\Ecopetrol Prometeo - Documents\Planning Space Implementation\3. Analysis &amp; Design\Design\FC22\DRR Jaime\Neiva CPI\[VAO_DINA TERCIARIOS_CF_SEC_20230117.xlsx]CF PRB'!$BT$55</t>
  </si>
  <si>
    <t>='C:\Users\jaime.benazar\Quorum Business Solutions\Ecopetrol Prometeo - Documents\Planning Space Implementation\3. Analysis &amp; Design\Design\FC22\DRR Jaime\Neiva CPI\[VAO_DINA TERCIARIOS_CF_SEC_20230117.xlsx]CF PRB'!$BT$56</t>
  </si>
  <si>
    <t>='C:\Users\jaime.benazar\Quorum Business Solutions\Ecopetrol Prometeo - Documents\Planning Space Implementation\3. Analysis &amp; Design\Design\FC22\DRR Jaime\Neiva CPI\[VAO_DINA TERCIARIOS_CF_SEC_20230117.xlsx]CF PRB'!$BT$57</t>
  </si>
  <si>
    <t>='C:\Users\jaime.benazar\Quorum Business Solutions\Ecopetrol Prometeo - Documents\Planning Space Implementation\3. Analysis &amp; Design\Design\FC22\DRR Jaime\Neiva CPI\[VAO_DINA TERCIARIOS_CF_SEC_20230117.xlsx]CF PRB'!$BT$58</t>
  </si>
  <si>
    <t>='C:\Users\jaime.benazar\Quorum Business Solutions\Ecopetrol Prometeo - Documents\Planning Space Implementation\3. Analysis &amp; Design\Design\FC22\DRR Jaime\Neiva CPI\[VAO_DINA TERCIARIOS_CF_SEC_20230117.xlsx]CF PRB'!$BT$59</t>
  </si>
  <si>
    <t>='C:\Users\jaime.benazar\Quorum Business Solutions\Ecopetrol Prometeo - Documents\Planning Space Implementation\3. Analysis &amp; Design\Design\FC22\DRR Jaime\Neiva CPI\[VAO_DINA TERCIARIOS_CF_SEC_20230117.xlsx]CF PRB'!$BT$60</t>
  </si>
  <si>
    <t>='C:\Users\jaime.benazar\Quorum Business Solutions\Ecopetrol Prometeo - Documents\Planning Space Implementation\3. Analysis &amp; Design\Design\FC22\DRR Jaime\Neiva CPI\[VAO_DINA TERCIARIOS_CF_SEC_20230117.xlsx]CF PRB'!$BT$61</t>
  </si>
  <si>
    <t>='C:\Users\jaime.benazar\Quorum Business Solutions\Ecopetrol Prometeo - Documents\Planning Space Implementation\3. Analysis &amp; Design\Design\FC22\DRR Jaime\Neiva CPI\[VAO_DINA TERCIARIOS_CF_SEC_20230117.xlsx]CF PRB'!$BT$62</t>
  </si>
  <si>
    <t>='C:\Users\jaime.benazar\Quorum Business Solutions\Ecopetrol Prometeo - Documents\Planning Space Implementation\3. Analysis &amp; Design\Design\FC22\DRR Jaime\Neiva CPI\[VAO_DINA TERCIARIOS_CF_SEC_20230117.xlsx]CF PRB'!$BT$63</t>
  </si>
  <si>
    <t>='C:\Users\jaime.benazar\Quorum Business Solutions\Ecopetrol Prometeo - Documents\Planning Space Implementation\3. Analysis &amp; Design\Design\FC22\DRR Jaime\Neiva CPI\[VAO_DINA TERCIARIOS_CF_SEC_20230117.xlsx]CF PRB'!$BT$64</t>
  </si>
  <si>
    <t>='C:\Users\jaime.benazar\Quorum Business Solutions\Ecopetrol Prometeo - Documents\Planning Space Implementation\3. Analysis &amp; Design\Design\FC22\DRR Jaime\Neiva CPI\[VAO_DINA TERCIARIOS_CF_SEC_20230117.xlsx]CF PRB'!$BT$65</t>
  </si>
  <si>
    <t>='C:\Users\jaime.benazar\Quorum Business Solutions\Ecopetrol Prometeo - Documents\Planning Space Implementation\3. Analysis &amp; Design\Design\FC22\DRR Jaime\Neiva CPI\[VAO_DINA TERCIARIOS_CF_SEC_20230117.xlsx]CF PRB'!$BT$66</t>
  </si>
  <si>
    <t>='C:\Users\jaime.benazar\Quorum Business Solutions\Ecopetrol Prometeo - Documents\Planning Space Implementation\3. Analysis &amp; Design\Design\FC22\DRR Jaime\Neiva CPI\[VAO_DINA TERCIARIOS_CF_SEC_20230117.xlsx]CF PRB'!$BT$67</t>
  </si>
  <si>
    <t>='C:\Users\jaime.benazar\Quorum Business Solutions\Ecopetrol Prometeo - Documents\Planning Space Implementation\3. Analysis &amp; Design\Design\FC22\DRR Jaime\Neiva CPI\[VAO_DINA TERCIARIOS_CF_SEC_20230117.xlsx]CF PRB'!$BT$68</t>
  </si>
  <si>
    <t>='C:\Users\jaime.benazar\Quorum Business Solutions\Ecopetrol Prometeo - Documents\Planning Space Implementation\3. Analysis &amp; Design\Design\FC22\DRR Jaime\Neiva CPI\[VAO_DINA TERCIARIOS_CF_SEC_20230117.xlsx]CF PRB'!$BT$69</t>
  </si>
  <si>
    <t>='C:\Users\jaime.benazar\Quorum Business Solutions\Ecopetrol Prometeo - Documents\Planning Space Implementation\3. Analysis &amp; Design\Design\FC22\DRR Jaime\Neiva CPI\[VAO_DINA TERCIARIOS_CF_SEC_20230117.xlsx]CF PRB'!$BT$70</t>
  </si>
  <si>
    <t>='C:\Users\jaime.benazar\Quorum Business Solutions\Ecopetrol Prometeo - Documents\Planning Space Implementation\3. Analysis &amp; Design\Design\FC22\DRR Jaime\Neiva CPI\[VAO_DINA TERCIARIOS_CF_SEC_20230117.xlsx]CF PRB'!$BT$71</t>
  </si>
  <si>
    <t>='C:\Users\jaime.benazar\Quorum Business Solutions\Ecopetrol Prometeo - Documents\Planning Space Implementation\3. Analysis &amp; Design\Design\FC22\DRR Jaime\Neiva CPI\[VAO_DINA TERCIARIOS_CF_SEC_20230117.xlsx]CF PRB'!$BT$72</t>
  </si>
  <si>
    <t>='C:\Users\jaime.benazar\Quorum Business Solutions\Ecopetrol Prometeo - Documents\Planning Space Implementation\3. Analysis &amp; Design\Design\FC22\DRR Jaime\Neiva CPI\[VAO_DINA TERCIARIOS_CF_SEC_20230117.xlsx]CF PS'!$BT$36</t>
  </si>
  <si>
    <t>='C:\Users\jaime.benazar\Quorum Business Solutions\Ecopetrol Prometeo - Documents\Planning Space Implementation\3. Analysis &amp; Design\Design\FC22\DRR Jaime\Neiva CPI\[VAO_DINA TERCIARIOS_CF_SEC_20230117.xlsx]CF PS'!$BT$37</t>
  </si>
  <si>
    <t>='C:\Users\jaime.benazar\Quorum Business Solutions\Ecopetrol Prometeo - Documents\Planning Space Implementation\3. Analysis &amp; Design\Design\FC22\DRR Jaime\Neiva CPI\[VAO_DINA TERCIARIOS_CF_SEC_20230117.xlsx]CF PS'!$BT$38</t>
  </si>
  <si>
    <t>='C:\Users\jaime.benazar\Quorum Business Solutions\Ecopetrol Prometeo - Documents\Planning Space Implementation\3. Analysis &amp; Design\Design\FC22\DRR Jaime\Neiva CPI\[VAO_DINA TERCIARIOS_CF_SEC_20230117.xlsx]CF PS'!$BT$39</t>
  </si>
  <si>
    <t>='C:\Users\jaime.benazar\Quorum Business Solutions\Ecopetrol Prometeo - Documents\Planning Space Implementation\3. Analysis &amp; Design\Design\FC22\DRR Jaime\Neiva CPI\[VAO_DINA TERCIARIOS_CF_SEC_20230117.xlsx]CF PS'!$BT$40</t>
  </si>
  <si>
    <t>='C:\Users\jaime.benazar\Quorum Business Solutions\Ecopetrol Prometeo - Documents\Planning Space Implementation\3. Analysis &amp; Design\Design\FC22\DRR Jaime\Neiva CPI\[VAO_DINA TERCIARIOS_CF_SEC_20230117.xlsx]CF PS'!$BT$41</t>
  </si>
  <si>
    <t>='C:\Users\jaime.benazar\Quorum Business Solutions\Ecopetrol Prometeo - Documents\Planning Space Implementation\3. Analysis &amp; Design\Design\FC22\DRR Jaime\Neiva CPI\[VAO_DINA TERCIARIOS_CF_SEC_20230117.xlsx]CF PS'!$BT$42</t>
  </si>
  <si>
    <t>='C:\Users\jaime.benazar\Quorum Business Solutions\Ecopetrol Prometeo - Documents\Planning Space Implementation\3. Analysis &amp; Design\Design\FC22\DRR Jaime\Neiva CPI\[VAO_DINA TERCIARIOS_CF_SEC_20230117.xlsx]CF PS'!$BT$43</t>
  </si>
  <si>
    <t>='C:\Users\jaime.benazar\Quorum Business Solutions\Ecopetrol Prometeo - Documents\Planning Space Implementation\3. Analysis &amp; Design\Design\FC22\DRR Jaime\Neiva CPI\[VAO_DINA TERCIARIOS_CF_SEC_20230117.xlsx]CF PS'!$BT$44</t>
  </si>
  <si>
    <t>='C:\Users\jaime.benazar\Quorum Business Solutions\Ecopetrol Prometeo - Documents\Planning Space Implementation\3. Analysis &amp; Design\Design\FC22\DRR Jaime\Neiva CPI\[VAO_DINA TERCIARIOS_CF_SEC_20230117.xlsx]CF PS'!$BT$45</t>
  </si>
  <si>
    <t>='C:\Users\jaime.benazar\Quorum Business Solutions\Ecopetrol Prometeo - Documents\Planning Space Implementation\3. Analysis &amp; Design\Design\FC22\DRR Jaime\Neiva CPI\[VAO_DINA TERCIARIOS_CF_SEC_20230117.xlsx]CF PS'!$BT$46</t>
  </si>
  <si>
    <t>='C:\Users\jaime.benazar\Quorum Business Solutions\Ecopetrol Prometeo - Documents\Planning Space Implementation\3. Analysis &amp; Design\Design\FC22\DRR Jaime\Neiva CPI\[VAO_DINA TERCIARIOS_CF_SEC_20230117.xlsx]CF PS'!$BT$47</t>
  </si>
  <si>
    <t>='C:\Users\jaime.benazar\Quorum Business Solutions\Ecopetrol Prometeo - Documents\Planning Space Implementation\3. Analysis &amp; Design\Design\FC22\DRR Jaime\Neiva CPI\[VAO_DINA TERCIARIOS_CF_SEC_20230117.xlsx]CF PS'!$BT$48</t>
  </si>
  <si>
    <t>='C:\Users\jaime.benazar\Quorum Business Solutions\Ecopetrol Prometeo - Documents\Planning Space Implementation\3. Analysis &amp; Design\Design\FC22\DRR Jaime\Neiva CPI\[VAO_DINA TERCIARIOS_CF_SEC_20230117.xlsx]CF PS'!$BT$49</t>
  </si>
  <si>
    <t>='C:\Users\jaime.benazar\Quorum Business Solutions\Ecopetrol Prometeo - Documents\Planning Space Implementation\3. Analysis &amp; Design\Design\FC22\DRR Jaime\Neiva CPI\[VAO_DINA TERCIARIOS_CF_SEC_20230117.xlsx]CF PS'!$BT$50</t>
  </si>
  <si>
    <t>='C:\Users\jaime.benazar\Quorum Business Solutions\Ecopetrol Prometeo - Documents\Planning Space Implementation\3. Analysis &amp; Design\Design\FC22\DRR Jaime\Neiva CPI\[VAO_DINA TERCIARIOS_CF_SEC_20230117.xlsx]CF PS'!$BT$51</t>
  </si>
  <si>
    <t>='C:\Users\jaime.benazar\Quorum Business Solutions\Ecopetrol Prometeo - Documents\Planning Space Implementation\3. Analysis &amp; Design\Design\FC22\DRR Jaime\Neiva CPI\[VAO_DINA TERCIARIOS_CF_SEC_20230117.xlsx]CF PS'!$BT$52</t>
  </si>
  <si>
    <t>='C:\Users\jaime.benazar\Quorum Business Solutions\Ecopetrol Prometeo - Documents\Planning Space Implementation\3. Analysis &amp; Design\Design\FC22\DRR Jaime\Neiva CPI\[VAO_DINA TERCIARIOS_CF_SEC_20230117.xlsx]CF PS'!$BT$53</t>
  </si>
  <si>
    <t>='C:\Users\jaime.benazar\Quorum Business Solutions\Ecopetrol Prometeo - Documents\Planning Space Implementation\3. Analysis &amp; Design\Design\FC22\DRR Jaime\Neiva CPI\[VAO_DINA TERCIARIOS_CF_SEC_20230117.xlsx]CF PS'!$BT$54</t>
  </si>
  <si>
    <t>='C:\Users\jaime.benazar\Quorum Business Solutions\Ecopetrol Prometeo - Documents\Planning Space Implementation\3. Analysis &amp; Design\Design\FC22\DRR Jaime\Neiva CPI\[VAO_DINA TERCIARIOS_CF_SEC_20230117.xlsx]CF PS'!$BT$55</t>
  </si>
  <si>
    <t>='C:\Users\jaime.benazar\Quorum Business Solutions\Ecopetrol Prometeo - Documents\Planning Space Implementation\3. Analysis &amp; Design\Design\FC22\DRR Jaime\Neiva CPI\[VAO_DINA TERCIARIOS_CF_SEC_20230117.xlsx]CF PS'!$BT$56</t>
  </si>
  <si>
    <t>='C:\Users\jaime.benazar\Quorum Business Solutions\Ecopetrol Prometeo - Documents\Planning Space Implementation\3. Analysis &amp; Design\Design\FC22\DRR Jaime\Neiva CPI\[VAO_DINA TERCIARIOS_CF_SEC_20230117.xlsx]CF PS'!$BT$57</t>
  </si>
  <si>
    <t>='C:\Users\jaime.benazar\Quorum Business Solutions\Ecopetrol Prometeo - Documents\Planning Space Implementation\3. Analysis &amp; Design\Design\FC22\DRR Jaime\Neiva CPI\[VAO_DINA TERCIARIOS_CF_SEC_20230117.xlsx]CF PS'!$BT$58</t>
  </si>
  <si>
    <t>='C:\Users\jaime.benazar\Quorum Business Solutions\Ecopetrol Prometeo - Documents\Planning Space Implementation\3. Analysis &amp; Design\Design\FC22\DRR Jaime\Neiva CPI\[VAO_DINA TERCIARIOS_CF_SEC_20230117.xlsx]CF PS'!$BT$59</t>
  </si>
  <si>
    <t>='C:\Users\jaime.benazar\Quorum Business Solutions\Ecopetrol Prometeo - Documents\Planning Space Implementation\3. Analysis &amp; Design\Design\FC22\DRR Jaime\Neiva CPI\[VAO_DINA TERCIARIOS_CF_SEC_20230117.xlsx]CF PS'!$BT$60</t>
  </si>
  <si>
    <t>='C:\Users\jaime.benazar\Quorum Business Solutions\Ecopetrol Prometeo - Documents\Planning Space Implementation\3. Analysis &amp; Design\Design\FC22\DRR Jaime\Neiva CPI\[VAO_DINA TERCIARIOS_CF_SEC_20230117.xlsx]CF PS'!$BT$61</t>
  </si>
  <si>
    <t>='C:\Users\jaime.benazar\Quorum Business Solutions\Ecopetrol Prometeo - Documents\Planning Space Implementation\3. Analysis &amp; Design\Design\FC22\DRR Jaime\Neiva CPI\[VAO_DINA TERCIARIOS_CF_SEC_20230117.xlsx]CF PS'!$BT$62</t>
  </si>
  <si>
    <t>='C:\Users\jaime.benazar\Quorum Business Solutions\Ecopetrol Prometeo - Documents\Planning Space Implementation\3. Analysis &amp; Design\Design\FC22\DRR Jaime\Neiva CPI\[VAO_DINA TERCIARIOS_CF_SEC_20230117.xlsx]CF PS'!$BT$63</t>
  </si>
  <si>
    <t>='C:\Users\jaime.benazar\Quorum Business Solutions\Ecopetrol Prometeo - Documents\Planning Space Implementation\3. Analysis &amp; Design\Design\FC22\DRR Jaime\Neiva CPI\[VAO_DINA TERCIARIOS_CF_SEC_20230117.xlsx]CF PS'!$BT$64</t>
  </si>
  <si>
    <t>='C:\Users\jaime.benazar\Quorum Business Solutions\Ecopetrol Prometeo - Documents\Planning Space Implementation\3. Analysis &amp; Design\Design\FC22\DRR Jaime\Neiva CPI\[VAO_DINA TERCIARIOS_CF_SEC_20230117.xlsx]CF PS'!$BT$65</t>
  </si>
  <si>
    <t>='C:\Users\jaime.benazar\Quorum Business Solutions\Ecopetrol Prometeo - Documents\Planning Space Implementation\3. Analysis &amp; Design\Design\FC22\DRR Jaime\Neiva CPI\[VAO_DINA TERCIARIOS_CF_SEC_20230117.xlsx]CF PS'!$BT$66</t>
  </si>
  <si>
    <t>='C:\Users\jaime.benazar\Quorum Business Solutions\Ecopetrol Prometeo - Documents\Planning Space Implementation\3. Analysis &amp; Design\Design\FC22\DRR Jaime\Neiva CPI\[VAO_DINA TERCIARIOS_CF_SEC_20230117.xlsx]CF PS'!$BT$67</t>
  </si>
  <si>
    <t>='C:\Users\jaime.benazar\Quorum Business Solutions\Ecopetrol Prometeo - Documents\Planning Space Implementation\3. Analysis &amp; Design\Design\FC22\DRR Jaime\Neiva CPI\[VAO_DINA TERCIARIOS_CF_SEC_20230117.xlsx]CF PS'!$BT$68</t>
  </si>
  <si>
    <t>='C:\Users\jaime.benazar\Quorum Business Solutions\Ecopetrol Prometeo - Documents\Planning Space Implementation\3. Analysis &amp; Design\Design\FC22\DRR Jaime\Neiva CPI\[VAO_DINA TERCIARIOS_CF_SEC_20230117.xlsx]CF PS'!$BT$69</t>
  </si>
  <si>
    <t>='C:\Users\jaime.benazar\Quorum Business Solutions\Ecopetrol Prometeo - Documents\Planning Space Implementation\3. Analysis &amp; Design\Design\FC22\DRR Jaime\Neiva CPI\[VAO_DINA TERCIARIOS_CF_SEC_20230117.xlsx]CF PS'!$BT$70</t>
  </si>
  <si>
    <t>='C:\Users\jaime.benazar\Quorum Business Solutions\Ecopetrol Prometeo - Documents\Planning Space Implementation\3. Analysis &amp; Design\Design\FC22\DRR Jaime\Neiva CPI\[VAO_DINA TERCIARIOS_CF_SEC_20230117.xlsx]CF PS'!$BT$71</t>
  </si>
  <si>
    <t>='C:\Users\jaime.benazar\Quorum Business Solutions\Ecopetrol Prometeo - Documents\Planning Space Implementation\3. Analysis &amp; Design\Design\FC22\DRR Jaime\Neiva CPI\[VAO_DINA TERCIARIOS_CF_SEC_20230117.xlsx]CF PS'!$BT$72</t>
  </si>
  <si>
    <t>='C:\Users\jaime.benazar\Quorum Business Solutions\Ecopetrol Prometeo - Documents\Planning Space Implementation\3. Analysis &amp; Design\Design\FC22\DRR Jaime\Neiva CPI\[VAO_DINA TERCIARIOS_CF_SEC_20230117.xlsx]CF PDP'!$BW$36</t>
  </si>
  <si>
    <t>='C:\Users\jaime.benazar\Quorum Business Solutions\Ecopetrol Prometeo - Documents\Planning Space Implementation\3. Analysis &amp; Design\Design\FC22\DRR Jaime\Neiva CPI\[VAO_DINA TERCIARIOS_CF_SEC_20230117.xlsx]CF PDP'!$BW$37</t>
  </si>
  <si>
    <t>='C:\Users\jaime.benazar\Quorum Business Solutions\Ecopetrol Prometeo - Documents\Planning Space Implementation\3. Analysis &amp; Design\Design\FC22\DRR Jaime\Neiva CPI\[VAO_DINA TERCIARIOS_CF_SEC_20230117.xlsx]CF PDP'!$BW$38</t>
  </si>
  <si>
    <t>='C:\Users\jaime.benazar\Quorum Business Solutions\Ecopetrol Prometeo - Documents\Planning Space Implementation\3. Analysis &amp; Design\Design\FC22\DRR Jaime\Neiva CPI\[VAO_DINA TERCIARIOS_CF_SEC_20230117.xlsx]CF PDP'!$BW$39</t>
  </si>
  <si>
    <t>='C:\Users\jaime.benazar\Quorum Business Solutions\Ecopetrol Prometeo - Documents\Planning Space Implementation\3. Analysis &amp; Design\Design\FC22\DRR Jaime\Neiva CPI\[VAO_DINA TERCIARIOS_CF_SEC_20230117.xlsx]CF PDP'!$BW$40</t>
  </si>
  <si>
    <t>='C:\Users\jaime.benazar\Quorum Business Solutions\Ecopetrol Prometeo - Documents\Planning Space Implementation\3. Analysis &amp; Design\Design\FC22\DRR Jaime\Neiva CPI\[VAO_DINA TERCIARIOS_CF_SEC_20230117.xlsx]CF PDP'!$BW$41</t>
  </si>
  <si>
    <t>='C:\Users\jaime.benazar\Quorum Business Solutions\Ecopetrol Prometeo - Documents\Planning Space Implementation\3. Analysis &amp; Design\Design\FC22\DRR Jaime\Neiva CPI\[VAO_DINA TERCIARIOS_CF_SEC_20230117.xlsx]CF PDP'!$BW$42</t>
  </si>
  <si>
    <t>='C:\Users\jaime.benazar\Quorum Business Solutions\Ecopetrol Prometeo - Documents\Planning Space Implementation\3. Analysis &amp; Design\Design\FC22\DRR Jaime\Neiva CPI\[VAO_DINA TERCIARIOS_CF_SEC_20230117.xlsx]CF PDP'!$BW$43</t>
  </si>
  <si>
    <t>='C:\Users\jaime.benazar\Quorum Business Solutions\Ecopetrol Prometeo - Documents\Planning Space Implementation\3. Analysis &amp; Design\Design\FC22\DRR Jaime\Neiva CPI\[VAO_DINA TERCIARIOS_CF_SEC_20230117.xlsx]CF PDP'!$BW$44</t>
  </si>
  <si>
    <t>='C:\Users\jaime.benazar\Quorum Business Solutions\Ecopetrol Prometeo - Documents\Planning Space Implementation\3. Analysis &amp; Design\Design\FC22\DRR Jaime\Neiva CPI\[VAO_DINA TERCIARIOS_CF_SEC_20230117.xlsx]CF PDP'!$BW$45</t>
  </si>
  <si>
    <t>='C:\Users\jaime.benazar\Quorum Business Solutions\Ecopetrol Prometeo - Documents\Planning Space Implementation\3. Analysis &amp; Design\Design\FC22\DRR Jaime\Neiva CPI\[VAO_DINA TERCIARIOS_CF_SEC_20230117.xlsx]CF PDP'!$BW$46</t>
  </si>
  <si>
    <t>='C:\Users\jaime.benazar\Quorum Business Solutions\Ecopetrol Prometeo - Documents\Planning Space Implementation\3. Analysis &amp; Design\Design\FC22\DRR Jaime\Neiva CPI\[VAO_DINA TERCIARIOS_CF_SEC_20230117.xlsx]CF PDP'!$BW$47</t>
  </si>
  <si>
    <t>='C:\Users\jaime.benazar\Quorum Business Solutions\Ecopetrol Prometeo - Documents\Planning Space Implementation\3. Analysis &amp; Design\Design\FC22\DRR Jaime\Neiva CPI\[VAO_DINA TERCIARIOS_CF_SEC_20230117.xlsx]CF PDP'!$BW$48</t>
  </si>
  <si>
    <t>='C:\Users\jaime.benazar\Quorum Business Solutions\Ecopetrol Prometeo - Documents\Planning Space Implementation\3. Analysis &amp; Design\Design\FC22\DRR Jaime\Neiva CPI\[VAO_DINA TERCIARIOS_CF_SEC_20230117.xlsx]CF PDP'!$BW$49</t>
  </si>
  <si>
    <t>='C:\Users\jaime.benazar\Quorum Business Solutions\Ecopetrol Prometeo - Documents\Planning Space Implementation\3. Analysis &amp; Design\Design\FC22\DRR Jaime\Neiva CPI\[VAO_DINA TERCIARIOS_CF_SEC_20230117.xlsx]CF PDP'!$BW$50</t>
  </si>
  <si>
    <t>='C:\Users\jaime.benazar\Quorum Business Solutions\Ecopetrol Prometeo - Documents\Planning Space Implementation\3. Analysis &amp; Design\Design\FC22\DRR Jaime\Neiva CPI\[VAO_DINA TERCIARIOS_CF_SEC_20230117.xlsx]CF PDP'!$BW$51</t>
  </si>
  <si>
    <t>='C:\Users\jaime.benazar\Quorum Business Solutions\Ecopetrol Prometeo - Documents\Planning Space Implementation\3. Analysis &amp; Design\Design\FC22\DRR Jaime\Neiva CPI\[VAO_DINA TERCIARIOS_CF_SEC_20230117.xlsx]CF PDP'!$BW$52</t>
  </si>
  <si>
    <t>='C:\Users\jaime.benazar\Quorum Business Solutions\Ecopetrol Prometeo - Documents\Planning Space Implementation\3. Analysis &amp; Design\Design\FC22\DRR Jaime\Neiva CPI\[VAO_DINA TERCIARIOS_CF_SEC_20230117.xlsx]CF PDP'!$BW$53</t>
  </si>
  <si>
    <t>='C:\Users\jaime.benazar\Quorum Business Solutions\Ecopetrol Prometeo - Documents\Planning Space Implementation\3. Analysis &amp; Design\Design\FC22\DRR Jaime\Neiva CPI\[VAO_DINA TERCIARIOS_CF_SEC_20230117.xlsx]CF PDP'!$BW$54</t>
  </si>
  <si>
    <t>='C:\Users\jaime.benazar\Quorum Business Solutions\Ecopetrol Prometeo - Documents\Planning Space Implementation\3. Analysis &amp; Design\Design\FC22\DRR Jaime\Neiva CPI\[VAO_DINA TERCIARIOS_CF_SEC_20230117.xlsx]CF PDP'!$BW$55</t>
  </si>
  <si>
    <t>='C:\Users\jaime.benazar\Quorum Business Solutions\Ecopetrol Prometeo - Documents\Planning Space Implementation\3. Analysis &amp; Design\Design\FC22\DRR Jaime\Neiva CPI\[VAO_DINA TERCIARIOS_CF_SEC_20230117.xlsx]CF PDP'!$BW$56</t>
  </si>
  <si>
    <t>='C:\Users\jaime.benazar\Quorum Business Solutions\Ecopetrol Prometeo - Documents\Planning Space Implementation\3. Analysis &amp; Design\Design\FC22\DRR Jaime\Neiva CPI\[VAO_DINA TERCIARIOS_CF_SEC_20230117.xlsx]CF PDP'!$BW$57</t>
  </si>
  <si>
    <t>='C:\Users\jaime.benazar\Quorum Business Solutions\Ecopetrol Prometeo - Documents\Planning Space Implementation\3. Analysis &amp; Design\Design\FC22\DRR Jaime\Neiva CPI\[VAO_DINA TERCIARIOS_CF_SEC_20230117.xlsx]CF PDP'!$BW$58</t>
  </si>
  <si>
    <t>='C:\Users\jaime.benazar\Quorum Business Solutions\Ecopetrol Prometeo - Documents\Planning Space Implementation\3. Analysis &amp; Design\Design\FC22\DRR Jaime\Neiva CPI\[VAO_DINA TERCIARIOS_CF_SEC_20230117.xlsx]CF PDP'!$BW$59</t>
  </si>
  <si>
    <t>='C:\Users\jaime.benazar\Quorum Business Solutions\Ecopetrol Prometeo - Documents\Planning Space Implementation\3. Analysis &amp; Design\Design\FC22\DRR Jaime\Neiva CPI\[VAO_DINA TERCIARIOS_CF_SEC_20230117.xlsx]CF PDP'!$BW$60</t>
  </si>
  <si>
    <t>='C:\Users\jaime.benazar\Quorum Business Solutions\Ecopetrol Prometeo - Documents\Planning Space Implementation\3. Analysis &amp; Design\Design\FC22\DRR Jaime\Neiva CPI\[VAO_DINA TERCIARIOS_CF_SEC_20230117.xlsx]CF PDP'!$BW$61</t>
  </si>
  <si>
    <t>='C:\Users\jaime.benazar\Quorum Business Solutions\Ecopetrol Prometeo - Documents\Planning Space Implementation\3. Analysis &amp; Design\Design\FC22\DRR Jaime\Neiva CPI\[VAO_DINA TERCIARIOS_CF_SEC_20230117.xlsx]CF PDP'!$BW$62</t>
  </si>
  <si>
    <t>='C:\Users\jaime.benazar\Quorum Business Solutions\Ecopetrol Prometeo - Documents\Planning Space Implementation\3. Analysis &amp; Design\Design\FC22\DRR Jaime\Neiva CPI\[VAO_DINA TERCIARIOS_CF_SEC_20230117.xlsx]CF PDP'!$BW$63</t>
  </si>
  <si>
    <t>='C:\Users\jaime.benazar\Quorum Business Solutions\Ecopetrol Prometeo - Documents\Planning Space Implementation\3. Analysis &amp; Design\Design\FC22\DRR Jaime\Neiva CPI\[VAO_DINA TERCIARIOS_CF_SEC_20230117.xlsx]CF PDP'!$BW$64</t>
  </si>
  <si>
    <t>='C:\Users\jaime.benazar\Quorum Business Solutions\Ecopetrol Prometeo - Documents\Planning Space Implementation\3. Analysis &amp; Design\Design\FC22\DRR Jaime\Neiva CPI\[VAO_DINA TERCIARIOS_CF_SEC_20230117.xlsx]CF PDP'!$BW$65</t>
  </si>
  <si>
    <t>='C:\Users\jaime.benazar\Quorum Business Solutions\Ecopetrol Prometeo - Documents\Planning Space Implementation\3. Analysis &amp; Design\Design\FC22\DRR Jaime\Neiva CPI\[VAO_DINA TERCIARIOS_CF_SEC_20230117.xlsx]CF PDP'!$BW$66</t>
  </si>
  <si>
    <t>='C:\Users\jaime.benazar\Quorum Business Solutions\Ecopetrol Prometeo - Documents\Planning Space Implementation\3. Analysis &amp; Design\Design\FC22\DRR Jaime\Neiva CPI\[VAO_DINA TERCIARIOS_CF_SEC_20230117.xlsx]CF PDP'!$BW$67</t>
  </si>
  <si>
    <t>='C:\Users\jaime.benazar\Quorum Business Solutions\Ecopetrol Prometeo - Documents\Planning Space Implementation\3. Analysis &amp; Design\Design\FC22\DRR Jaime\Neiva CPI\[VAO_DINA TERCIARIOS_CF_SEC_20230117.xlsx]CF PDP'!$BW$68</t>
  </si>
  <si>
    <t>='C:\Users\jaime.benazar\Quorum Business Solutions\Ecopetrol Prometeo - Documents\Planning Space Implementation\3. Analysis &amp; Design\Design\FC22\DRR Jaime\Neiva CPI\[VAO_DINA TERCIARIOS_CF_SEC_20230117.xlsx]CF PDP'!$BW$69</t>
  </si>
  <si>
    <t>='C:\Users\jaime.benazar\Quorum Business Solutions\Ecopetrol Prometeo - Documents\Planning Space Implementation\3. Analysis &amp; Design\Design\FC22\DRR Jaime\Neiva CPI\[VAO_DINA TERCIARIOS_CF_SEC_20230117.xlsx]CF PDP'!$BW$70</t>
  </si>
  <si>
    <t>='C:\Users\jaime.benazar\Quorum Business Solutions\Ecopetrol Prometeo - Documents\Planning Space Implementation\3. Analysis &amp; Design\Design\FC22\DRR Jaime\Neiva CPI\[VAO_DINA TERCIARIOS_CF_SEC_20230117.xlsx]CF PDP'!$BW$71</t>
  </si>
  <si>
    <t>='C:\Users\jaime.benazar\Quorum Business Solutions\Ecopetrol Prometeo - Documents\Planning Space Implementation\3. Analysis &amp; Design\Design\FC22\DRR Jaime\Neiva CPI\[VAO_DINA TERCIARIOS_CF_SEC_20230117.xlsx]CF PDP'!$BW$72</t>
  </si>
  <si>
    <t>='C:\Users\jaime.benazar\Quorum Business Solutions\Ecopetrol Prometeo - Documents\Planning Space Implementation\3. Analysis &amp; Design\Design\FC22\DRR Jaime\Neiva CPI\[VAO_DINA TERCIARIOS_CF_SEC_20230117.xlsx]CF PNP'!$BW$36</t>
  </si>
  <si>
    <t>='C:\Users\jaime.benazar\Quorum Business Solutions\Ecopetrol Prometeo - Documents\Planning Space Implementation\3. Analysis &amp; Design\Design\FC22\DRR Jaime\Neiva CPI\[VAO_DINA TERCIARIOS_CF_SEC_20230117.xlsx]CF PNP'!$BW$37</t>
  </si>
  <si>
    <t>='C:\Users\jaime.benazar\Quorum Business Solutions\Ecopetrol Prometeo - Documents\Planning Space Implementation\3. Analysis &amp; Design\Design\FC22\DRR Jaime\Neiva CPI\[VAO_DINA TERCIARIOS_CF_SEC_20230117.xlsx]CF PNP'!$BW$38</t>
  </si>
  <si>
    <t>='C:\Users\jaime.benazar\Quorum Business Solutions\Ecopetrol Prometeo - Documents\Planning Space Implementation\3. Analysis &amp; Design\Design\FC22\DRR Jaime\Neiva CPI\[VAO_DINA TERCIARIOS_CF_SEC_20230117.xlsx]CF PNP'!$BW$39</t>
  </si>
  <si>
    <t>='C:\Users\jaime.benazar\Quorum Business Solutions\Ecopetrol Prometeo - Documents\Planning Space Implementation\3. Analysis &amp; Design\Design\FC22\DRR Jaime\Neiva CPI\[VAO_DINA TERCIARIOS_CF_SEC_20230117.xlsx]CF PNP'!$BW$40</t>
  </si>
  <si>
    <t>='C:\Users\jaime.benazar\Quorum Business Solutions\Ecopetrol Prometeo - Documents\Planning Space Implementation\3. Analysis &amp; Design\Design\FC22\DRR Jaime\Neiva CPI\[VAO_DINA TERCIARIOS_CF_SEC_20230117.xlsx]CF PNP'!$BW$41</t>
  </si>
  <si>
    <t>='C:\Users\jaime.benazar\Quorum Business Solutions\Ecopetrol Prometeo - Documents\Planning Space Implementation\3. Analysis &amp; Design\Design\FC22\DRR Jaime\Neiva CPI\[VAO_DINA TERCIARIOS_CF_SEC_20230117.xlsx]CF PNP'!$BW$42</t>
  </si>
  <si>
    <t>='C:\Users\jaime.benazar\Quorum Business Solutions\Ecopetrol Prometeo - Documents\Planning Space Implementation\3. Analysis &amp; Design\Design\FC22\DRR Jaime\Neiva CPI\[VAO_DINA TERCIARIOS_CF_SEC_20230117.xlsx]CF PNP'!$BW$43</t>
  </si>
  <si>
    <t>='C:\Users\jaime.benazar\Quorum Business Solutions\Ecopetrol Prometeo - Documents\Planning Space Implementation\3. Analysis &amp; Design\Design\FC22\DRR Jaime\Neiva CPI\[VAO_DINA TERCIARIOS_CF_SEC_20230117.xlsx]CF PNP'!$BW$44</t>
  </si>
  <si>
    <t>='C:\Users\jaime.benazar\Quorum Business Solutions\Ecopetrol Prometeo - Documents\Planning Space Implementation\3. Analysis &amp; Design\Design\FC22\DRR Jaime\Neiva CPI\[VAO_DINA TERCIARIOS_CF_SEC_20230117.xlsx]CF PNP'!$BW$45</t>
  </si>
  <si>
    <t>='C:\Users\jaime.benazar\Quorum Business Solutions\Ecopetrol Prometeo - Documents\Planning Space Implementation\3. Analysis &amp; Design\Design\FC22\DRR Jaime\Neiva CPI\[VAO_DINA TERCIARIOS_CF_SEC_20230117.xlsx]CF PNP'!$BW$46</t>
  </si>
  <si>
    <t>='C:\Users\jaime.benazar\Quorum Business Solutions\Ecopetrol Prometeo - Documents\Planning Space Implementation\3. Analysis &amp; Design\Design\FC22\DRR Jaime\Neiva CPI\[VAO_DINA TERCIARIOS_CF_SEC_20230117.xlsx]CF PNP'!$BW$47</t>
  </si>
  <si>
    <t>='C:\Users\jaime.benazar\Quorum Business Solutions\Ecopetrol Prometeo - Documents\Planning Space Implementation\3. Analysis &amp; Design\Design\FC22\DRR Jaime\Neiva CPI\[VAO_DINA TERCIARIOS_CF_SEC_20230117.xlsx]CF PNP'!$BW$48</t>
  </si>
  <si>
    <t>='C:\Users\jaime.benazar\Quorum Business Solutions\Ecopetrol Prometeo - Documents\Planning Space Implementation\3. Analysis &amp; Design\Design\FC22\DRR Jaime\Neiva CPI\[VAO_DINA TERCIARIOS_CF_SEC_20230117.xlsx]CF PNP'!$BW$49</t>
  </si>
  <si>
    <t>='C:\Users\jaime.benazar\Quorum Business Solutions\Ecopetrol Prometeo - Documents\Planning Space Implementation\3. Analysis &amp; Design\Design\FC22\DRR Jaime\Neiva CPI\[VAO_DINA TERCIARIOS_CF_SEC_20230117.xlsx]CF PNP'!$BW$50</t>
  </si>
  <si>
    <t>='C:\Users\jaime.benazar\Quorum Business Solutions\Ecopetrol Prometeo - Documents\Planning Space Implementation\3. Analysis &amp; Design\Design\FC22\DRR Jaime\Neiva CPI\[VAO_DINA TERCIARIOS_CF_SEC_20230117.xlsx]CF PNP'!$BW$51</t>
  </si>
  <si>
    <t>='C:\Users\jaime.benazar\Quorum Business Solutions\Ecopetrol Prometeo - Documents\Planning Space Implementation\3. Analysis &amp; Design\Design\FC22\DRR Jaime\Neiva CPI\[VAO_DINA TERCIARIOS_CF_SEC_20230117.xlsx]CF PNP'!$BW$52</t>
  </si>
  <si>
    <t>='C:\Users\jaime.benazar\Quorum Business Solutions\Ecopetrol Prometeo - Documents\Planning Space Implementation\3. Analysis &amp; Design\Design\FC22\DRR Jaime\Neiva CPI\[VAO_DINA TERCIARIOS_CF_SEC_20230117.xlsx]CF PNP'!$BW$53</t>
  </si>
  <si>
    <t>='C:\Users\jaime.benazar\Quorum Business Solutions\Ecopetrol Prometeo - Documents\Planning Space Implementation\3. Analysis &amp; Design\Design\FC22\DRR Jaime\Neiva CPI\[VAO_DINA TERCIARIOS_CF_SEC_20230117.xlsx]CF PNP'!$BW$54</t>
  </si>
  <si>
    <t>='C:\Users\jaime.benazar\Quorum Business Solutions\Ecopetrol Prometeo - Documents\Planning Space Implementation\3. Analysis &amp; Design\Design\FC22\DRR Jaime\Neiva CPI\[VAO_DINA TERCIARIOS_CF_SEC_20230117.xlsx]CF PNP'!$BW$55</t>
  </si>
  <si>
    <t>='C:\Users\jaime.benazar\Quorum Business Solutions\Ecopetrol Prometeo - Documents\Planning Space Implementation\3. Analysis &amp; Design\Design\FC22\DRR Jaime\Neiva CPI\[VAO_DINA TERCIARIOS_CF_SEC_20230117.xlsx]CF PNP'!$BW$56</t>
  </si>
  <si>
    <t>='C:\Users\jaime.benazar\Quorum Business Solutions\Ecopetrol Prometeo - Documents\Planning Space Implementation\3. Analysis &amp; Design\Design\FC22\DRR Jaime\Neiva CPI\[VAO_DINA TERCIARIOS_CF_SEC_20230117.xlsx]CF PNP'!$BW$57</t>
  </si>
  <si>
    <t>='C:\Users\jaime.benazar\Quorum Business Solutions\Ecopetrol Prometeo - Documents\Planning Space Implementation\3. Analysis &amp; Design\Design\FC22\DRR Jaime\Neiva CPI\[VAO_DINA TERCIARIOS_CF_SEC_20230117.xlsx]CF PNP'!$BW$58</t>
  </si>
  <si>
    <t>='C:\Users\jaime.benazar\Quorum Business Solutions\Ecopetrol Prometeo - Documents\Planning Space Implementation\3. Analysis &amp; Design\Design\FC22\DRR Jaime\Neiva CPI\[VAO_DINA TERCIARIOS_CF_SEC_20230117.xlsx]CF PNP'!$BW$59</t>
  </si>
  <si>
    <t>='C:\Users\jaime.benazar\Quorum Business Solutions\Ecopetrol Prometeo - Documents\Planning Space Implementation\3. Analysis &amp; Design\Design\FC22\DRR Jaime\Neiva CPI\[VAO_DINA TERCIARIOS_CF_SEC_20230117.xlsx]CF PNP'!$BW$60</t>
  </si>
  <si>
    <t>='C:\Users\jaime.benazar\Quorum Business Solutions\Ecopetrol Prometeo - Documents\Planning Space Implementation\3. Analysis &amp; Design\Design\FC22\DRR Jaime\Neiva CPI\[VAO_DINA TERCIARIOS_CF_SEC_20230117.xlsx]CF PNP'!$BW$61</t>
  </si>
  <si>
    <t>='C:\Users\jaime.benazar\Quorum Business Solutions\Ecopetrol Prometeo - Documents\Planning Space Implementation\3. Analysis &amp; Design\Design\FC22\DRR Jaime\Neiva CPI\[VAO_DINA TERCIARIOS_CF_SEC_20230117.xlsx]CF PNP'!$BW$62</t>
  </si>
  <si>
    <t>='C:\Users\jaime.benazar\Quorum Business Solutions\Ecopetrol Prometeo - Documents\Planning Space Implementation\3. Analysis &amp; Design\Design\FC22\DRR Jaime\Neiva CPI\[VAO_DINA TERCIARIOS_CF_SEC_20230117.xlsx]CF PNP'!$BW$63</t>
  </si>
  <si>
    <t>='C:\Users\jaime.benazar\Quorum Business Solutions\Ecopetrol Prometeo - Documents\Planning Space Implementation\3. Analysis &amp; Design\Design\FC22\DRR Jaime\Neiva CPI\[VAO_DINA TERCIARIOS_CF_SEC_20230117.xlsx]CF PNP'!$BW$64</t>
  </si>
  <si>
    <t>='C:\Users\jaime.benazar\Quorum Business Solutions\Ecopetrol Prometeo - Documents\Planning Space Implementation\3. Analysis &amp; Design\Design\FC22\DRR Jaime\Neiva CPI\[VAO_DINA TERCIARIOS_CF_SEC_20230117.xlsx]CF PNP'!$BW$65</t>
  </si>
  <si>
    <t>='C:\Users\jaime.benazar\Quorum Business Solutions\Ecopetrol Prometeo - Documents\Planning Space Implementation\3. Analysis &amp; Design\Design\FC22\DRR Jaime\Neiva CPI\[VAO_DINA TERCIARIOS_CF_SEC_20230117.xlsx]CF PNP'!$BW$66</t>
  </si>
  <si>
    <t>='C:\Users\jaime.benazar\Quorum Business Solutions\Ecopetrol Prometeo - Documents\Planning Space Implementation\3. Analysis &amp; Design\Design\FC22\DRR Jaime\Neiva CPI\[VAO_DINA TERCIARIOS_CF_SEC_20230117.xlsx]CF PNP'!$BW$67</t>
  </si>
  <si>
    <t>='C:\Users\jaime.benazar\Quorum Business Solutions\Ecopetrol Prometeo - Documents\Planning Space Implementation\3. Analysis &amp; Design\Design\FC22\DRR Jaime\Neiva CPI\[VAO_DINA TERCIARIOS_CF_SEC_20230117.xlsx]CF PNP'!$BW$68</t>
  </si>
  <si>
    <t>='C:\Users\jaime.benazar\Quorum Business Solutions\Ecopetrol Prometeo - Documents\Planning Space Implementation\3. Analysis &amp; Design\Design\FC22\DRR Jaime\Neiva CPI\[VAO_DINA TERCIARIOS_CF_SEC_20230117.xlsx]CF PNP'!$BW$69</t>
  </si>
  <si>
    <t>='C:\Users\jaime.benazar\Quorum Business Solutions\Ecopetrol Prometeo - Documents\Planning Space Implementation\3. Analysis &amp; Design\Design\FC22\DRR Jaime\Neiva CPI\[VAO_DINA TERCIARIOS_CF_SEC_20230117.xlsx]CF PNP'!$BW$70</t>
  </si>
  <si>
    <t>='C:\Users\jaime.benazar\Quorum Business Solutions\Ecopetrol Prometeo - Documents\Planning Space Implementation\3. Analysis &amp; Design\Design\FC22\DRR Jaime\Neiva CPI\[VAO_DINA TERCIARIOS_CF_SEC_20230117.xlsx]CF PNP'!$BW$71</t>
  </si>
  <si>
    <t>='C:\Users\jaime.benazar\Quorum Business Solutions\Ecopetrol Prometeo - Documents\Planning Space Implementation\3. Analysis &amp; Design\Design\FC22\DRR Jaime\Neiva CPI\[VAO_DINA TERCIARIOS_CF_SEC_20230117.xlsx]CF PNP'!$BW$72</t>
  </si>
  <si>
    <t>='C:\Users\jaime.benazar\Quorum Business Solutions\Ecopetrol Prometeo - Documents\Planning Space Implementation\3. Analysis &amp; Design\Design\FC22\DRR Jaime\Neiva CPI\[VAO_DINA TERCIARIOS_CF_SEC_20230117.xlsx]CF PND'!$BW$36</t>
  </si>
  <si>
    <t>='C:\Users\jaime.benazar\Quorum Business Solutions\Ecopetrol Prometeo - Documents\Planning Space Implementation\3. Analysis &amp; Design\Design\FC22\DRR Jaime\Neiva CPI\[VAO_DINA TERCIARIOS_CF_SEC_20230117.xlsx]CF PND'!$BW$37</t>
  </si>
  <si>
    <t>='C:\Users\jaime.benazar\Quorum Business Solutions\Ecopetrol Prometeo - Documents\Planning Space Implementation\3. Analysis &amp; Design\Design\FC22\DRR Jaime\Neiva CPI\[VAO_DINA TERCIARIOS_CF_SEC_20230117.xlsx]CF PND'!$BW$38</t>
  </si>
  <si>
    <t>='C:\Users\jaime.benazar\Quorum Business Solutions\Ecopetrol Prometeo - Documents\Planning Space Implementation\3. Analysis &amp; Design\Design\FC22\DRR Jaime\Neiva CPI\[VAO_DINA TERCIARIOS_CF_SEC_20230117.xlsx]CF PND'!$BW$39</t>
  </si>
  <si>
    <t>='C:\Users\jaime.benazar\Quorum Business Solutions\Ecopetrol Prometeo - Documents\Planning Space Implementation\3. Analysis &amp; Design\Design\FC22\DRR Jaime\Neiva CPI\[VAO_DINA TERCIARIOS_CF_SEC_20230117.xlsx]CF PND'!$BW$40</t>
  </si>
  <si>
    <t>='C:\Users\jaime.benazar\Quorum Business Solutions\Ecopetrol Prometeo - Documents\Planning Space Implementation\3. Analysis &amp; Design\Design\FC22\DRR Jaime\Neiva CPI\[VAO_DINA TERCIARIOS_CF_SEC_20230117.xlsx]CF PND'!$BW$41</t>
  </si>
  <si>
    <t>='C:\Users\jaime.benazar\Quorum Business Solutions\Ecopetrol Prometeo - Documents\Planning Space Implementation\3. Analysis &amp; Design\Design\FC22\DRR Jaime\Neiva CPI\[VAO_DINA TERCIARIOS_CF_SEC_20230117.xlsx]CF PND'!$BW$42</t>
  </si>
  <si>
    <t>='C:\Users\jaime.benazar\Quorum Business Solutions\Ecopetrol Prometeo - Documents\Planning Space Implementation\3. Analysis &amp; Design\Design\FC22\DRR Jaime\Neiva CPI\[VAO_DINA TERCIARIOS_CF_SEC_20230117.xlsx]CF PND'!$BW$43</t>
  </si>
  <si>
    <t>='C:\Users\jaime.benazar\Quorum Business Solutions\Ecopetrol Prometeo - Documents\Planning Space Implementation\3. Analysis &amp; Design\Design\FC22\DRR Jaime\Neiva CPI\[VAO_DINA TERCIARIOS_CF_SEC_20230117.xlsx]CF PND'!$BW$44</t>
  </si>
  <si>
    <t>='C:\Users\jaime.benazar\Quorum Business Solutions\Ecopetrol Prometeo - Documents\Planning Space Implementation\3. Analysis &amp; Design\Design\FC22\DRR Jaime\Neiva CPI\[VAO_DINA TERCIARIOS_CF_SEC_20230117.xlsx]CF PND'!$BW$45</t>
  </si>
  <si>
    <t>='C:\Users\jaime.benazar\Quorum Business Solutions\Ecopetrol Prometeo - Documents\Planning Space Implementation\3. Analysis &amp; Design\Design\FC22\DRR Jaime\Neiva CPI\[VAO_DINA TERCIARIOS_CF_SEC_20230117.xlsx]CF PND'!$BW$46</t>
  </si>
  <si>
    <t>='C:\Users\jaime.benazar\Quorum Business Solutions\Ecopetrol Prometeo - Documents\Planning Space Implementation\3. Analysis &amp; Design\Design\FC22\DRR Jaime\Neiva CPI\[VAO_DINA TERCIARIOS_CF_SEC_20230117.xlsx]CF PND'!$BW$47</t>
  </si>
  <si>
    <t>='C:\Users\jaime.benazar\Quorum Business Solutions\Ecopetrol Prometeo - Documents\Planning Space Implementation\3. Analysis &amp; Design\Design\FC22\DRR Jaime\Neiva CPI\[VAO_DINA TERCIARIOS_CF_SEC_20230117.xlsx]CF PND'!$BW$48</t>
  </si>
  <si>
    <t>='C:\Users\jaime.benazar\Quorum Business Solutions\Ecopetrol Prometeo - Documents\Planning Space Implementation\3. Analysis &amp; Design\Design\FC22\DRR Jaime\Neiva CPI\[VAO_DINA TERCIARIOS_CF_SEC_20230117.xlsx]CF PND'!$BW$49</t>
  </si>
  <si>
    <t>='C:\Users\jaime.benazar\Quorum Business Solutions\Ecopetrol Prometeo - Documents\Planning Space Implementation\3. Analysis &amp; Design\Design\FC22\DRR Jaime\Neiva CPI\[VAO_DINA TERCIARIOS_CF_SEC_20230117.xlsx]CF PND'!$BW$50</t>
  </si>
  <si>
    <t>='C:\Users\jaime.benazar\Quorum Business Solutions\Ecopetrol Prometeo - Documents\Planning Space Implementation\3. Analysis &amp; Design\Design\FC22\DRR Jaime\Neiva CPI\[VAO_DINA TERCIARIOS_CF_SEC_20230117.xlsx]CF PND'!$BW$51</t>
  </si>
  <si>
    <t>='C:\Users\jaime.benazar\Quorum Business Solutions\Ecopetrol Prometeo - Documents\Planning Space Implementation\3. Analysis &amp; Design\Design\FC22\DRR Jaime\Neiva CPI\[VAO_DINA TERCIARIOS_CF_SEC_20230117.xlsx]CF PND'!$BW$52</t>
  </si>
  <si>
    <t>='C:\Users\jaime.benazar\Quorum Business Solutions\Ecopetrol Prometeo - Documents\Planning Space Implementation\3. Analysis &amp; Design\Design\FC22\DRR Jaime\Neiva CPI\[VAO_DINA TERCIARIOS_CF_SEC_20230117.xlsx]CF PND'!$BW$53</t>
  </si>
  <si>
    <t>='C:\Users\jaime.benazar\Quorum Business Solutions\Ecopetrol Prometeo - Documents\Planning Space Implementation\3. Analysis &amp; Design\Design\FC22\DRR Jaime\Neiva CPI\[VAO_DINA TERCIARIOS_CF_SEC_20230117.xlsx]CF PND'!$BW$54</t>
  </si>
  <si>
    <t>='C:\Users\jaime.benazar\Quorum Business Solutions\Ecopetrol Prometeo - Documents\Planning Space Implementation\3. Analysis &amp; Design\Design\FC22\DRR Jaime\Neiva CPI\[VAO_DINA TERCIARIOS_CF_SEC_20230117.xlsx]CF PND'!$BW$55</t>
  </si>
  <si>
    <t>='C:\Users\jaime.benazar\Quorum Business Solutions\Ecopetrol Prometeo - Documents\Planning Space Implementation\3. Analysis &amp; Design\Design\FC22\DRR Jaime\Neiva CPI\[VAO_DINA TERCIARIOS_CF_SEC_20230117.xlsx]CF PND'!$BW$56</t>
  </si>
  <si>
    <t>='C:\Users\jaime.benazar\Quorum Business Solutions\Ecopetrol Prometeo - Documents\Planning Space Implementation\3. Analysis &amp; Design\Design\FC22\DRR Jaime\Neiva CPI\[VAO_DINA TERCIARIOS_CF_SEC_20230117.xlsx]CF PND'!$BW$57</t>
  </si>
  <si>
    <t>='C:\Users\jaime.benazar\Quorum Business Solutions\Ecopetrol Prometeo - Documents\Planning Space Implementation\3. Analysis &amp; Design\Design\FC22\DRR Jaime\Neiva CPI\[VAO_DINA TERCIARIOS_CF_SEC_20230117.xlsx]CF PND'!$BW$58</t>
  </si>
  <si>
    <t>='C:\Users\jaime.benazar\Quorum Business Solutions\Ecopetrol Prometeo - Documents\Planning Space Implementation\3. Analysis &amp; Design\Design\FC22\DRR Jaime\Neiva CPI\[VAO_DINA TERCIARIOS_CF_SEC_20230117.xlsx]CF PND'!$BW$59</t>
  </si>
  <si>
    <t>='C:\Users\jaime.benazar\Quorum Business Solutions\Ecopetrol Prometeo - Documents\Planning Space Implementation\3. Analysis &amp; Design\Design\FC22\DRR Jaime\Neiva CPI\[VAO_DINA TERCIARIOS_CF_SEC_20230117.xlsx]CF PND'!$BW$60</t>
  </si>
  <si>
    <t>='C:\Users\jaime.benazar\Quorum Business Solutions\Ecopetrol Prometeo - Documents\Planning Space Implementation\3. Analysis &amp; Design\Design\FC22\DRR Jaime\Neiva CPI\[VAO_DINA TERCIARIOS_CF_SEC_20230117.xlsx]CF PND'!$BW$61</t>
  </si>
  <si>
    <t>='C:\Users\jaime.benazar\Quorum Business Solutions\Ecopetrol Prometeo - Documents\Planning Space Implementation\3. Analysis &amp; Design\Design\FC22\DRR Jaime\Neiva CPI\[VAO_DINA TERCIARIOS_CF_SEC_20230117.xlsx]CF PND'!$BW$62</t>
  </si>
  <si>
    <t>='C:\Users\jaime.benazar\Quorum Business Solutions\Ecopetrol Prometeo - Documents\Planning Space Implementation\3. Analysis &amp; Design\Design\FC22\DRR Jaime\Neiva CPI\[VAO_DINA TERCIARIOS_CF_SEC_20230117.xlsx]CF PND'!$BW$63</t>
  </si>
  <si>
    <t>='C:\Users\jaime.benazar\Quorum Business Solutions\Ecopetrol Prometeo - Documents\Planning Space Implementation\3. Analysis &amp; Design\Design\FC22\DRR Jaime\Neiva CPI\[VAO_DINA TERCIARIOS_CF_SEC_20230117.xlsx]CF PND'!$BW$64</t>
  </si>
  <si>
    <t>='C:\Users\jaime.benazar\Quorum Business Solutions\Ecopetrol Prometeo - Documents\Planning Space Implementation\3. Analysis &amp; Design\Design\FC22\DRR Jaime\Neiva CPI\[VAO_DINA TERCIARIOS_CF_SEC_20230117.xlsx]CF PND'!$BW$65</t>
  </si>
  <si>
    <t>='C:\Users\jaime.benazar\Quorum Business Solutions\Ecopetrol Prometeo - Documents\Planning Space Implementation\3. Analysis &amp; Design\Design\FC22\DRR Jaime\Neiva CPI\[VAO_DINA TERCIARIOS_CF_SEC_20230117.xlsx]CF PND'!$BW$66</t>
  </si>
  <si>
    <t>='C:\Users\jaime.benazar\Quorum Business Solutions\Ecopetrol Prometeo - Documents\Planning Space Implementation\3. Analysis &amp; Design\Design\FC22\DRR Jaime\Neiva CPI\[VAO_DINA TERCIARIOS_CF_SEC_20230117.xlsx]CF PND'!$BW$67</t>
  </si>
  <si>
    <t>='C:\Users\jaime.benazar\Quorum Business Solutions\Ecopetrol Prometeo - Documents\Planning Space Implementation\3. Analysis &amp; Design\Design\FC22\DRR Jaime\Neiva CPI\[VAO_DINA TERCIARIOS_CF_SEC_20230117.xlsx]CF PND'!$BW$68</t>
  </si>
  <si>
    <t>='C:\Users\jaime.benazar\Quorum Business Solutions\Ecopetrol Prometeo - Documents\Planning Space Implementation\3. Analysis &amp; Design\Design\FC22\DRR Jaime\Neiva CPI\[VAO_DINA TERCIARIOS_CF_SEC_20230117.xlsx]CF PND'!$BW$69</t>
  </si>
  <si>
    <t>='C:\Users\jaime.benazar\Quorum Business Solutions\Ecopetrol Prometeo - Documents\Planning Space Implementation\3. Analysis &amp; Design\Design\FC22\DRR Jaime\Neiva CPI\[VAO_DINA TERCIARIOS_CF_SEC_20230117.xlsx]CF PND'!$BW$70</t>
  </si>
  <si>
    <t>='C:\Users\jaime.benazar\Quorum Business Solutions\Ecopetrol Prometeo - Documents\Planning Space Implementation\3. Analysis &amp; Design\Design\FC22\DRR Jaime\Neiva CPI\[VAO_DINA TERCIARIOS_CF_SEC_20230117.xlsx]CF PND'!$BW$71</t>
  </si>
  <si>
    <t>='C:\Users\jaime.benazar\Quorum Business Solutions\Ecopetrol Prometeo - Documents\Planning Space Implementation\3. Analysis &amp; Design\Design\FC22\DRR Jaime\Neiva CPI\[VAO_DINA TERCIARIOS_CF_SEC_20230117.xlsx]CF PND'!$BW$72</t>
  </si>
  <si>
    <t>='C:\Users\jaime.benazar\Quorum Business Solutions\Ecopetrol Prometeo - Documents\Planning Space Implementation\3. Analysis &amp; Design\Design\FC22\DRR Jaime\Neiva CPI\[VAO_DINA TERCIARIOS_CF_SEC_20230117.xlsx]CF PRB'!$BW$36</t>
  </si>
  <si>
    <t>='C:\Users\jaime.benazar\Quorum Business Solutions\Ecopetrol Prometeo - Documents\Planning Space Implementation\3. Analysis &amp; Design\Design\FC22\DRR Jaime\Neiva CPI\[VAO_DINA TERCIARIOS_CF_SEC_20230117.xlsx]CF PRB'!$BW$37</t>
  </si>
  <si>
    <t>='C:\Users\jaime.benazar\Quorum Business Solutions\Ecopetrol Prometeo - Documents\Planning Space Implementation\3. Analysis &amp; Design\Design\FC22\DRR Jaime\Neiva CPI\[VAO_DINA TERCIARIOS_CF_SEC_20230117.xlsx]CF PRB'!$BW$38</t>
  </si>
  <si>
    <t>='C:\Users\jaime.benazar\Quorum Business Solutions\Ecopetrol Prometeo - Documents\Planning Space Implementation\3. Analysis &amp; Design\Design\FC22\DRR Jaime\Neiva CPI\[VAO_DINA TERCIARIOS_CF_SEC_20230117.xlsx]CF PRB'!$BW$39</t>
  </si>
  <si>
    <t>='C:\Users\jaime.benazar\Quorum Business Solutions\Ecopetrol Prometeo - Documents\Planning Space Implementation\3. Analysis &amp; Design\Design\FC22\DRR Jaime\Neiva CPI\[VAO_DINA TERCIARIOS_CF_SEC_20230117.xlsx]CF PRB'!$BW$40</t>
  </si>
  <si>
    <t>='C:\Users\jaime.benazar\Quorum Business Solutions\Ecopetrol Prometeo - Documents\Planning Space Implementation\3. Analysis &amp; Design\Design\FC22\DRR Jaime\Neiva CPI\[VAO_DINA TERCIARIOS_CF_SEC_20230117.xlsx]CF PRB'!$BW$41</t>
  </si>
  <si>
    <t>='C:\Users\jaime.benazar\Quorum Business Solutions\Ecopetrol Prometeo - Documents\Planning Space Implementation\3. Analysis &amp; Design\Design\FC22\DRR Jaime\Neiva CPI\[VAO_DINA TERCIARIOS_CF_SEC_20230117.xlsx]CF PRB'!$BW$42</t>
  </si>
  <si>
    <t>='C:\Users\jaime.benazar\Quorum Business Solutions\Ecopetrol Prometeo - Documents\Planning Space Implementation\3. Analysis &amp; Design\Design\FC22\DRR Jaime\Neiva CPI\[VAO_DINA TERCIARIOS_CF_SEC_20230117.xlsx]CF PRB'!$BW$43</t>
  </si>
  <si>
    <t>='C:\Users\jaime.benazar\Quorum Business Solutions\Ecopetrol Prometeo - Documents\Planning Space Implementation\3. Analysis &amp; Design\Design\FC22\DRR Jaime\Neiva CPI\[VAO_DINA TERCIARIOS_CF_SEC_20230117.xlsx]CF PRB'!$BW$44</t>
  </si>
  <si>
    <t>='C:\Users\jaime.benazar\Quorum Business Solutions\Ecopetrol Prometeo - Documents\Planning Space Implementation\3. Analysis &amp; Design\Design\FC22\DRR Jaime\Neiva CPI\[VAO_DINA TERCIARIOS_CF_SEC_20230117.xlsx]CF PRB'!$BW$45</t>
  </si>
  <si>
    <t>='C:\Users\jaime.benazar\Quorum Business Solutions\Ecopetrol Prometeo - Documents\Planning Space Implementation\3. Analysis &amp; Design\Design\FC22\DRR Jaime\Neiva CPI\[VAO_DINA TERCIARIOS_CF_SEC_20230117.xlsx]CF PRB'!$BW$46</t>
  </si>
  <si>
    <t>='C:\Users\jaime.benazar\Quorum Business Solutions\Ecopetrol Prometeo - Documents\Planning Space Implementation\3. Analysis &amp; Design\Design\FC22\DRR Jaime\Neiva CPI\[VAO_DINA TERCIARIOS_CF_SEC_20230117.xlsx]CF PRB'!$BW$47</t>
  </si>
  <si>
    <t>='C:\Users\jaime.benazar\Quorum Business Solutions\Ecopetrol Prometeo - Documents\Planning Space Implementation\3. Analysis &amp; Design\Design\FC22\DRR Jaime\Neiva CPI\[VAO_DINA TERCIARIOS_CF_SEC_20230117.xlsx]CF PRB'!$BW$48</t>
  </si>
  <si>
    <t>='C:\Users\jaime.benazar\Quorum Business Solutions\Ecopetrol Prometeo - Documents\Planning Space Implementation\3. Analysis &amp; Design\Design\FC22\DRR Jaime\Neiva CPI\[VAO_DINA TERCIARIOS_CF_SEC_20230117.xlsx]CF PRB'!$BW$49</t>
  </si>
  <si>
    <t>='C:\Users\jaime.benazar\Quorum Business Solutions\Ecopetrol Prometeo - Documents\Planning Space Implementation\3. Analysis &amp; Design\Design\FC22\DRR Jaime\Neiva CPI\[VAO_DINA TERCIARIOS_CF_SEC_20230117.xlsx]CF PRB'!$BW$50</t>
  </si>
  <si>
    <t>='C:\Users\jaime.benazar\Quorum Business Solutions\Ecopetrol Prometeo - Documents\Planning Space Implementation\3. Analysis &amp; Design\Design\FC22\DRR Jaime\Neiva CPI\[VAO_DINA TERCIARIOS_CF_SEC_20230117.xlsx]CF PRB'!$BW$51</t>
  </si>
  <si>
    <t>='C:\Users\jaime.benazar\Quorum Business Solutions\Ecopetrol Prometeo - Documents\Planning Space Implementation\3. Analysis &amp; Design\Design\FC22\DRR Jaime\Neiva CPI\[VAO_DINA TERCIARIOS_CF_SEC_20230117.xlsx]CF PRB'!$BW$52</t>
  </si>
  <si>
    <t>='C:\Users\jaime.benazar\Quorum Business Solutions\Ecopetrol Prometeo - Documents\Planning Space Implementation\3. Analysis &amp; Design\Design\FC22\DRR Jaime\Neiva CPI\[VAO_DINA TERCIARIOS_CF_SEC_20230117.xlsx]CF PRB'!$BW$53</t>
  </si>
  <si>
    <t>='C:\Users\jaime.benazar\Quorum Business Solutions\Ecopetrol Prometeo - Documents\Planning Space Implementation\3. Analysis &amp; Design\Design\FC22\DRR Jaime\Neiva CPI\[VAO_DINA TERCIARIOS_CF_SEC_20230117.xlsx]CF PRB'!$BW$54</t>
  </si>
  <si>
    <t>='C:\Users\jaime.benazar\Quorum Business Solutions\Ecopetrol Prometeo - Documents\Planning Space Implementation\3. Analysis &amp; Design\Design\FC22\DRR Jaime\Neiva CPI\[VAO_DINA TERCIARIOS_CF_SEC_20230117.xlsx]CF PRB'!$BW$55</t>
  </si>
  <si>
    <t>='C:\Users\jaime.benazar\Quorum Business Solutions\Ecopetrol Prometeo - Documents\Planning Space Implementation\3. Analysis &amp; Design\Design\FC22\DRR Jaime\Neiva CPI\[VAO_DINA TERCIARIOS_CF_SEC_20230117.xlsx]CF PRB'!$BW$56</t>
  </si>
  <si>
    <t>='C:\Users\jaime.benazar\Quorum Business Solutions\Ecopetrol Prometeo - Documents\Planning Space Implementation\3. Analysis &amp; Design\Design\FC22\DRR Jaime\Neiva CPI\[VAO_DINA TERCIARIOS_CF_SEC_20230117.xlsx]CF PRB'!$BW$57</t>
  </si>
  <si>
    <t>='C:\Users\jaime.benazar\Quorum Business Solutions\Ecopetrol Prometeo - Documents\Planning Space Implementation\3. Analysis &amp; Design\Design\FC22\DRR Jaime\Neiva CPI\[VAO_DINA TERCIARIOS_CF_SEC_20230117.xlsx]CF PRB'!$BW$58</t>
  </si>
  <si>
    <t>='C:\Users\jaime.benazar\Quorum Business Solutions\Ecopetrol Prometeo - Documents\Planning Space Implementation\3. Analysis &amp; Design\Design\FC22\DRR Jaime\Neiva CPI\[VAO_DINA TERCIARIOS_CF_SEC_20230117.xlsx]CF PRB'!$BW$59</t>
  </si>
  <si>
    <t>='C:\Users\jaime.benazar\Quorum Business Solutions\Ecopetrol Prometeo - Documents\Planning Space Implementation\3. Analysis &amp; Design\Design\FC22\DRR Jaime\Neiva CPI\[VAO_DINA TERCIARIOS_CF_SEC_20230117.xlsx]CF PRB'!$BW$60</t>
  </si>
  <si>
    <t>='C:\Users\jaime.benazar\Quorum Business Solutions\Ecopetrol Prometeo - Documents\Planning Space Implementation\3. Analysis &amp; Design\Design\FC22\DRR Jaime\Neiva CPI\[VAO_DINA TERCIARIOS_CF_SEC_20230117.xlsx]CF PRB'!$BW$61</t>
  </si>
  <si>
    <t>='C:\Users\jaime.benazar\Quorum Business Solutions\Ecopetrol Prometeo - Documents\Planning Space Implementation\3. Analysis &amp; Design\Design\FC22\DRR Jaime\Neiva CPI\[VAO_DINA TERCIARIOS_CF_SEC_20230117.xlsx]CF PRB'!$BW$62</t>
  </si>
  <si>
    <t>='C:\Users\jaime.benazar\Quorum Business Solutions\Ecopetrol Prometeo - Documents\Planning Space Implementation\3. Analysis &amp; Design\Design\FC22\DRR Jaime\Neiva CPI\[VAO_DINA TERCIARIOS_CF_SEC_20230117.xlsx]CF PRB'!$BW$63</t>
  </si>
  <si>
    <t>='C:\Users\jaime.benazar\Quorum Business Solutions\Ecopetrol Prometeo - Documents\Planning Space Implementation\3. Analysis &amp; Design\Design\FC22\DRR Jaime\Neiva CPI\[VAO_DINA TERCIARIOS_CF_SEC_20230117.xlsx]CF PRB'!$BW$64</t>
  </si>
  <si>
    <t>='C:\Users\jaime.benazar\Quorum Business Solutions\Ecopetrol Prometeo - Documents\Planning Space Implementation\3. Analysis &amp; Design\Design\FC22\DRR Jaime\Neiva CPI\[VAO_DINA TERCIARIOS_CF_SEC_20230117.xlsx]CF PRB'!$BW$65</t>
  </si>
  <si>
    <t>='C:\Users\jaime.benazar\Quorum Business Solutions\Ecopetrol Prometeo - Documents\Planning Space Implementation\3. Analysis &amp; Design\Design\FC22\DRR Jaime\Neiva CPI\[VAO_DINA TERCIARIOS_CF_SEC_20230117.xlsx]CF PRB'!$BW$66</t>
  </si>
  <si>
    <t>='C:\Users\jaime.benazar\Quorum Business Solutions\Ecopetrol Prometeo - Documents\Planning Space Implementation\3. Analysis &amp; Design\Design\FC22\DRR Jaime\Neiva CPI\[VAO_DINA TERCIARIOS_CF_SEC_20230117.xlsx]CF PRB'!$BW$67</t>
  </si>
  <si>
    <t>='C:\Users\jaime.benazar\Quorum Business Solutions\Ecopetrol Prometeo - Documents\Planning Space Implementation\3. Analysis &amp; Design\Design\FC22\DRR Jaime\Neiva CPI\[VAO_DINA TERCIARIOS_CF_SEC_20230117.xlsx]CF PRB'!$BW$68</t>
  </si>
  <si>
    <t>='C:\Users\jaime.benazar\Quorum Business Solutions\Ecopetrol Prometeo - Documents\Planning Space Implementation\3. Analysis &amp; Design\Design\FC22\DRR Jaime\Neiva CPI\[VAO_DINA TERCIARIOS_CF_SEC_20230117.xlsx]CF PRB'!$BW$69</t>
  </si>
  <si>
    <t>='C:\Users\jaime.benazar\Quorum Business Solutions\Ecopetrol Prometeo - Documents\Planning Space Implementation\3. Analysis &amp; Design\Design\FC22\DRR Jaime\Neiva CPI\[VAO_DINA TERCIARIOS_CF_SEC_20230117.xlsx]CF PRB'!$BW$70</t>
  </si>
  <si>
    <t>='C:\Users\jaime.benazar\Quorum Business Solutions\Ecopetrol Prometeo - Documents\Planning Space Implementation\3. Analysis &amp; Design\Design\FC22\DRR Jaime\Neiva CPI\[VAO_DINA TERCIARIOS_CF_SEC_20230117.xlsx]CF PRB'!$BW$71</t>
  </si>
  <si>
    <t>='C:\Users\jaime.benazar\Quorum Business Solutions\Ecopetrol Prometeo - Documents\Planning Space Implementation\3. Analysis &amp; Design\Design\FC22\DRR Jaime\Neiva CPI\[VAO_DINA TERCIARIOS_CF_SEC_20230117.xlsx]CF PRB'!$BW$72</t>
  </si>
  <si>
    <t>='C:\Users\jaime.benazar\Quorum Business Solutions\Ecopetrol Prometeo - Documents\Planning Space Implementation\3. Analysis &amp; Design\Design\FC22\DRR Jaime\Neiva CPI\[VAO_DINA TERCIARIOS_CF_SEC_20230117.xlsx]CF PS'!$BW$36</t>
  </si>
  <si>
    <t>='C:\Users\jaime.benazar\Quorum Business Solutions\Ecopetrol Prometeo - Documents\Planning Space Implementation\3. Analysis &amp; Design\Design\FC22\DRR Jaime\Neiva CPI\[VAO_DINA TERCIARIOS_CF_SEC_20230117.xlsx]CF PS'!$BW$37</t>
  </si>
  <si>
    <t>='C:\Users\jaime.benazar\Quorum Business Solutions\Ecopetrol Prometeo - Documents\Planning Space Implementation\3. Analysis &amp; Design\Design\FC22\DRR Jaime\Neiva CPI\[VAO_DINA TERCIARIOS_CF_SEC_20230117.xlsx]CF PS'!$BW$38</t>
  </si>
  <si>
    <t>='C:\Users\jaime.benazar\Quorum Business Solutions\Ecopetrol Prometeo - Documents\Planning Space Implementation\3. Analysis &amp; Design\Design\FC22\DRR Jaime\Neiva CPI\[VAO_DINA TERCIARIOS_CF_SEC_20230117.xlsx]CF PS'!$BW$39</t>
  </si>
  <si>
    <t>='C:\Users\jaime.benazar\Quorum Business Solutions\Ecopetrol Prometeo - Documents\Planning Space Implementation\3. Analysis &amp; Design\Design\FC22\DRR Jaime\Neiva CPI\[VAO_DINA TERCIARIOS_CF_SEC_20230117.xlsx]CF PS'!$BW$40</t>
  </si>
  <si>
    <t>='C:\Users\jaime.benazar\Quorum Business Solutions\Ecopetrol Prometeo - Documents\Planning Space Implementation\3. Analysis &amp; Design\Design\FC22\DRR Jaime\Neiva CPI\[VAO_DINA TERCIARIOS_CF_SEC_20230117.xlsx]CF PS'!$BW$41</t>
  </si>
  <si>
    <t>='C:\Users\jaime.benazar\Quorum Business Solutions\Ecopetrol Prometeo - Documents\Planning Space Implementation\3. Analysis &amp; Design\Design\FC22\DRR Jaime\Neiva CPI\[VAO_DINA TERCIARIOS_CF_SEC_20230117.xlsx]CF PS'!$BW$42</t>
  </si>
  <si>
    <t>='C:\Users\jaime.benazar\Quorum Business Solutions\Ecopetrol Prometeo - Documents\Planning Space Implementation\3. Analysis &amp; Design\Design\FC22\DRR Jaime\Neiva CPI\[VAO_DINA TERCIARIOS_CF_SEC_20230117.xlsx]CF PS'!$BW$43</t>
  </si>
  <si>
    <t>='C:\Users\jaime.benazar\Quorum Business Solutions\Ecopetrol Prometeo - Documents\Planning Space Implementation\3. Analysis &amp; Design\Design\FC22\DRR Jaime\Neiva CPI\[VAO_DINA TERCIARIOS_CF_SEC_20230117.xlsx]CF PS'!$BW$44</t>
  </si>
  <si>
    <t>='C:\Users\jaime.benazar\Quorum Business Solutions\Ecopetrol Prometeo - Documents\Planning Space Implementation\3. Analysis &amp; Design\Design\FC22\DRR Jaime\Neiva CPI\[VAO_DINA TERCIARIOS_CF_SEC_20230117.xlsx]CF PS'!$BW$45</t>
  </si>
  <si>
    <t>='C:\Users\jaime.benazar\Quorum Business Solutions\Ecopetrol Prometeo - Documents\Planning Space Implementation\3. Analysis &amp; Design\Design\FC22\DRR Jaime\Neiva CPI\[VAO_DINA TERCIARIOS_CF_SEC_20230117.xlsx]CF PS'!$BW$46</t>
  </si>
  <si>
    <t>='C:\Users\jaime.benazar\Quorum Business Solutions\Ecopetrol Prometeo - Documents\Planning Space Implementation\3. Analysis &amp; Design\Design\FC22\DRR Jaime\Neiva CPI\[VAO_DINA TERCIARIOS_CF_SEC_20230117.xlsx]CF PS'!$BW$47</t>
  </si>
  <si>
    <t>='C:\Users\jaime.benazar\Quorum Business Solutions\Ecopetrol Prometeo - Documents\Planning Space Implementation\3. Analysis &amp; Design\Design\FC22\DRR Jaime\Neiva CPI\[VAO_DINA TERCIARIOS_CF_SEC_20230117.xlsx]CF PS'!$BW$48</t>
  </si>
  <si>
    <t>='C:\Users\jaime.benazar\Quorum Business Solutions\Ecopetrol Prometeo - Documents\Planning Space Implementation\3. Analysis &amp; Design\Design\FC22\DRR Jaime\Neiva CPI\[VAO_DINA TERCIARIOS_CF_SEC_20230117.xlsx]CF PS'!$BW$49</t>
  </si>
  <si>
    <t>='C:\Users\jaime.benazar\Quorum Business Solutions\Ecopetrol Prometeo - Documents\Planning Space Implementation\3. Analysis &amp; Design\Design\FC22\DRR Jaime\Neiva CPI\[VAO_DINA TERCIARIOS_CF_SEC_20230117.xlsx]CF PS'!$BW$50</t>
  </si>
  <si>
    <t>='C:\Users\jaime.benazar\Quorum Business Solutions\Ecopetrol Prometeo - Documents\Planning Space Implementation\3. Analysis &amp; Design\Design\FC22\DRR Jaime\Neiva CPI\[VAO_DINA TERCIARIOS_CF_SEC_20230117.xlsx]CF PS'!$BW$51</t>
  </si>
  <si>
    <t>='C:\Users\jaime.benazar\Quorum Business Solutions\Ecopetrol Prometeo - Documents\Planning Space Implementation\3. Analysis &amp; Design\Design\FC22\DRR Jaime\Neiva CPI\[VAO_DINA TERCIARIOS_CF_SEC_20230117.xlsx]CF PS'!$BW$52</t>
  </si>
  <si>
    <t>='C:\Users\jaime.benazar\Quorum Business Solutions\Ecopetrol Prometeo - Documents\Planning Space Implementation\3. Analysis &amp; Design\Design\FC22\DRR Jaime\Neiva CPI\[VAO_DINA TERCIARIOS_CF_SEC_20230117.xlsx]CF PS'!$BW$53</t>
  </si>
  <si>
    <t>='C:\Users\jaime.benazar\Quorum Business Solutions\Ecopetrol Prometeo - Documents\Planning Space Implementation\3. Analysis &amp; Design\Design\FC22\DRR Jaime\Neiva CPI\[VAO_DINA TERCIARIOS_CF_SEC_20230117.xlsx]CF PS'!$BW$54</t>
  </si>
  <si>
    <t>='C:\Users\jaime.benazar\Quorum Business Solutions\Ecopetrol Prometeo - Documents\Planning Space Implementation\3. Analysis &amp; Design\Design\FC22\DRR Jaime\Neiva CPI\[VAO_DINA TERCIARIOS_CF_SEC_20230117.xlsx]CF PS'!$BW$55</t>
  </si>
  <si>
    <t>='C:\Users\jaime.benazar\Quorum Business Solutions\Ecopetrol Prometeo - Documents\Planning Space Implementation\3. Analysis &amp; Design\Design\FC22\DRR Jaime\Neiva CPI\[VAO_DINA TERCIARIOS_CF_SEC_20230117.xlsx]CF PS'!$BW$56</t>
  </si>
  <si>
    <t>='C:\Users\jaime.benazar\Quorum Business Solutions\Ecopetrol Prometeo - Documents\Planning Space Implementation\3. Analysis &amp; Design\Design\FC22\DRR Jaime\Neiva CPI\[VAO_DINA TERCIARIOS_CF_SEC_20230117.xlsx]CF PS'!$BW$57</t>
  </si>
  <si>
    <t>='C:\Users\jaime.benazar\Quorum Business Solutions\Ecopetrol Prometeo - Documents\Planning Space Implementation\3. Analysis &amp; Design\Design\FC22\DRR Jaime\Neiva CPI\[VAO_DINA TERCIARIOS_CF_SEC_20230117.xlsx]CF PS'!$BW$58</t>
  </si>
  <si>
    <t>='C:\Users\jaime.benazar\Quorum Business Solutions\Ecopetrol Prometeo - Documents\Planning Space Implementation\3. Analysis &amp; Design\Design\FC22\DRR Jaime\Neiva CPI\[VAO_DINA TERCIARIOS_CF_SEC_20230117.xlsx]CF PS'!$BW$59</t>
  </si>
  <si>
    <t>='C:\Users\jaime.benazar\Quorum Business Solutions\Ecopetrol Prometeo - Documents\Planning Space Implementation\3. Analysis &amp; Design\Design\FC22\DRR Jaime\Neiva CPI\[VAO_DINA TERCIARIOS_CF_SEC_20230117.xlsx]CF PS'!$BW$60</t>
  </si>
  <si>
    <t>='C:\Users\jaime.benazar\Quorum Business Solutions\Ecopetrol Prometeo - Documents\Planning Space Implementation\3. Analysis &amp; Design\Design\FC22\DRR Jaime\Neiva CPI\[VAO_DINA TERCIARIOS_CF_SEC_20230117.xlsx]CF PS'!$BW$61</t>
  </si>
  <si>
    <t>='C:\Users\jaime.benazar\Quorum Business Solutions\Ecopetrol Prometeo - Documents\Planning Space Implementation\3. Analysis &amp; Design\Design\FC22\DRR Jaime\Neiva CPI\[VAO_DINA TERCIARIOS_CF_SEC_20230117.xlsx]CF PS'!$BW$62</t>
  </si>
  <si>
    <t>='C:\Users\jaime.benazar\Quorum Business Solutions\Ecopetrol Prometeo - Documents\Planning Space Implementation\3. Analysis &amp; Design\Design\FC22\DRR Jaime\Neiva CPI\[VAO_DINA TERCIARIOS_CF_SEC_20230117.xlsx]CF PS'!$BW$63</t>
  </si>
  <si>
    <t>='C:\Users\jaime.benazar\Quorum Business Solutions\Ecopetrol Prometeo - Documents\Planning Space Implementation\3. Analysis &amp; Design\Design\FC22\DRR Jaime\Neiva CPI\[VAO_DINA TERCIARIOS_CF_SEC_20230117.xlsx]CF PS'!$BW$64</t>
  </si>
  <si>
    <t>='C:\Users\jaime.benazar\Quorum Business Solutions\Ecopetrol Prometeo - Documents\Planning Space Implementation\3. Analysis &amp; Design\Design\FC22\DRR Jaime\Neiva CPI\[VAO_DINA TERCIARIOS_CF_SEC_20230117.xlsx]CF PS'!$BW$65</t>
  </si>
  <si>
    <t>='C:\Users\jaime.benazar\Quorum Business Solutions\Ecopetrol Prometeo - Documents\Planning Space Implementation\3. Analysis &amp; Design\Design\FC22\DRR Jaime\Neiva CPI\[VAO_DINA TERCIARIOS_CF_SEC_20230117.xlsx]CF PS'!$BW$66</t>
  </si>
  <si>
    <t>='C:\Users\jaime.benazar\Quorum Business Solutions\Ecopetrol Prometeo - Documents\Planning Space Implementation\3. Analysis &amp; Design\Design\FC22\DRR Jaime\Neiva CPI\[VAO_DINA TERCIARIOS_CF_SEC_20230117.xlsx]CF PS'!$BW$67</t>
  </si>
  <si>
    <t>='C:\Users\jaime.benazar\Quorum Business Solutions\Ecopetrol Prometeo - Documents\Planning Space Implementation\3. Analysis &amp; Design\Design\FC22\DRR Jaime\Neiva CPI\[VAO_DINA TERCIARIOS_CF_SEC_20230117.xlsx]CF PS'!$BW$68</t>
  </si>
  <si>
    <t>='C:\Users\jaime.benazar\Quorum Business Solutions\Ecopetrol Prometeo - Documents\Planning Space Implementation\3. Analysis &amp; Design\Design\FC22\DRR Jaime\Neiva CPI\[VAO_DINA TERCIARIOS_CF_SEC_20230117.xlsx]CF PS'!$BW$69</t>
  </si>
  <si>
    <t>='C:\Users\jaime.benazar\Quorum Business Solutions\Ecopetrol Prometeo - Documents\Planning Space Implementation\3. Analysis &amp; Design\Design\FC22\DRR Jaime\Neiva CPI\[VAO_DINA TERCIARIOS_CF_SEC_20230117.xlsx]CF PS'!$BW$70</t>
  </si>
  <si>
    <t>='C:\Users\jaime.benazar\Quorum Business Solutions\Ecopetrol Prometeo - Documents\Planning Space Implementation\3. Analysis &amp; Design\Design\FC22\DRR Jaime\Neiva CPI\[VAO_DINA TERCIARIOS_CF_SEC_20230117.xlsx]CF PS'!$BW$71</t>
  </si>
  <si>
    <t>='C:\Users\jaime.benazar\Quorum Business Solutions\Ecopetrol Prometeo - Documents\Planning Space Implementation\3. Analysis &amp; Design\Design\FC22\DRR Jaime\Neiva CPI\[VAO_DINA TERCIARIOS_CF_SEC_20230117.xlsx]CF PS'!$BW$72</t>
  </si>
  <si>
    <t>='C:\Users\jaime.benazar\Quorum Business Solutions\Ecopetrol Prometeo - Documents\Planning Space Implementation\3. Analysis &amp; Design\Design\FC22\DRR Jaime\Neiva CPI\[VAO_DINA TERCIARIOS_CF_SEC_20230117.xlsx]CF PDP'!$BX$36</t>
  </si>
  <si>
    <t>='C:\Users\jaime.benazar\Quorum Business Solutions\Ecopetrol Prometeo - Documents\Planning Space Implementation\3. Analysis &amp; Design\Design\FC22\DRR Jaime\Neiva CPI\[VAO_DINA TERCIARIOS_CF_SEC_20230117.xlsx]CF PDP'!$BX$37</t>
  </si>
  <si>
    <t>='C:\Users\jaime.benazar\Quorum Business Solutions\Ecopetrol Prometeo - Documents\Planning Space Implementation\3. Analysis &amp; Design\Design\FC22\DRR Jaime\Neiva CPI\[VAO_DINA TERCIARIOS_CF_SEC_20230117.xlsx]CF PDP'!$BX$38</t>
  </si>
  <si>
    <t>='C:\Users\jaime.benazar\Quorum Business Solutions\Ecopetrol Prometeo - Documents\Planning Space Implementation\3. Analysis &amp; Design\Design\FC22\DRR Jaime\Neiva CPI\[VAO_DINA TERCIARIOS_CF_SEC_20230117.xlsx]CF PDP'!$BX$39</t>
  </si>
  <si>
    <t>='C:\Users\jaime.benazar\Quorum Business Solutions\Ecopetrol Prometeo - Documents\Planning Space Implementation\3. Analysis &amp; Design\Design\FC22\DRR Jaime\Neiva CPI\[VAO_DINA TERCIARIOS_CF_SEC_20230117.xlsx]CF PDP'!$BX$40</t>
  </si>
  <si>
    <t>='C:\Users\jaime.benazar\Quorum Business Solutions\Ecopetrol Prometeo - Documents\Planning Space Implementation\3. Analysis &amp; Design\Design\FC22\DRR Jaime\Neiva CPI\[VAO_DINA TERCIARIOS_CF_SEC_20230117.xlsx]CF PDP'!$BX$41</t>
  </si>
  <si>
    <t>='C:\Users\jaime.benazar\Quorum Business Solutions\Ecopetrol Prometeo - Documents\Planning Space Implementation\3. Analysis &amp; Design\Design\FC22\DRR Jaime\Neiva CPI\[VAO_DINA TERCIARIOS_CF_SEC_20230117.xlsx]CF PDP'!$BX$42</t>
  </si>
  <si>
    <t>='C:\Users\jaime.benazar\Quorum Business Solutions\Ecopetrol Prometeo - Documents\Planning Space Implementation\3. Analysis &amp; Design\Design\FC22\DRR Jaime\Neiva CPI\[VAO_DINA TERCIARIOS_CF_SEC_20230117.xlsx]CF PDP'!$BX$43</t>
  </si>
  <si>
    <t>='C:\Users\jaime.benazar\Quorum Business Solutions\Ecopetrol Prometeo - Documents\Planning Space Implementation\3. Analysis &amp; Design\Design\FC22\DRR Jaime\Neiva CPI\[VAO_DINA TERCIARIOS_CF_SEC_20230117.xlsx]CF PDP'!$BX$44</t>
  </si>
  <si>
    <t>='C:\Users\jaime.benazar\Quorum Business Solutions\Ecopetrol Prometeo - Documents\Planning Space Implementation\3. Analysis &amp; Design\Design\FC22\DRR Jaime\Neiva CPI\[VAO_DINA TERCIARIOS_CF_SEC_20230117.xlsx]CF PDP'!$BX$45</t>
  </si>
  <si>
    <t>='C:\Users\jaime.benazar\Quorum Business Solutions\Ecopetrol Prometeo - Documents\Planning Space Implementation\3. Analysis &amp; Design\Design\FC22\DRR Jaime\Neiva CPI\[VAO_DINA TERCIARIOS_CF_SEC_20230117.xlsx]CF PDP'!$BX$46</t>
  </si>
  <si>
    <t>='C:\Users\jaime.benazar\Quorum Business Solutions\Ecopetrol Prometeo - Documents\Planning Space Implementation\3. Analysis &amp; Design\Design\FC22\DRR Jaime\Neiva CPI\[VAO_DINA TERCIARIOS_CF_SEC_20230117.xlsx]CF PDP'!$BX$47</t>
  </si>
  <si>
    <t>='C:\Users\jaime.benazar\Quorum Business Solutions\Ecopetrol Prometeo - Documents\Planning Space Implementation\3. Analysis &amp; Design\Design\FC22\DRR Jaime\Neiva CPI\[VAO_DINA TERCIARIOS_CF_SEC_20230117.xlsx]CF PDP'!$BX$48</t>
  </si>
  <si>
    <t>='C:\Users\jaime.benazar\Quorum Business Solutions\Ecopetrol Prometeo - Documents\Planning Space Implementation\3. Analysis &amp; Design\Design\FC22\DRR Jaime\Neiva CPI\[VAO_DINA TERCIARIOS_CF_SEC_20230117.xlsx]CF PDP'!$BX$49</t>
  </si>
  <si>
    <t>='C:\Users\jaime.benazar\Quorum Business Solutions\Ecopetrol Prometeo - Documents\Planning Space Implementation\3. Analysis &amp; Design\Design\FC22\DRR Jaime\Neiva CPI\[VAO_DINA TERCIARIOS_CF_SEC_20230117.xlsx]CF PDP'!$BX$50</t>
  </si>
  <si>
    <t>='C:\Users\jaime.benazar\Quorum Business Solutions\Ecopetrol Prometeo - Documents\Planning Space Implementation\3. Analysis &amp; Design\Design\FC22\DRR Jaime\Neiva CPI\[VAO_DINA TERCIARIOS_CF_SEC_20230117.xlsx]CF PDP'!$BX$51</t>
  </si>
  <si>
    <t>='C:\Users\jaime.benazar\Quorum Business Solutions\Ecopetrol Prometeo - Documents\Planning Space Implementation\3. Analysis &amp; Design\Design\FC22\DRR Jaime\Neiva CPI\[VAO_DINA TERCIARIOS_CF_SEC_20230117.xlsx]CF PDP'!$BX$52</t>
  </si>
  <si>
    <t>='C:\Users\jaime.benazar\Quorum Business Solutions\Ecopetrol Prometeo - Documents\Planning Space Implementation\3. Analysis &amp; Design\Design\FC22\DRR Jaime\Neiva CPI\[VAO_DINA TERCIARIOS_CF_SEC_20230117.xlsx]CF PDP'!$BX$53</t>
  </si>
  <si>
    <t>='C:\Users\jaime.benazar\Quorum Business Solutions\Ecopetrol Prometeo - Documents\Planning Space Implementation\3. Analysis &amp; Design\Design\FC22\DRR Jaime\Neiva CPI\[VAO_DINA TERCIARIOS_CF_SEC_20230117.xlsx]CF PDP'!$BX$54</t>
  </si>
  <si>
    <t>='C:\Users\jaime.benazar\Quorum Business Solutions\Ecopetrol Prometeo - Documents\Planning Space Implementation\3. Analysis &amp; Design\Design\FC22\DRR Jaime\Neiva CPI\[VAO_DINA TERCIARIOS_CF_SEC_20230117.xlsx]CF PDP'!$BX$55</t>
  </si>
  <si>
    <t>='C:\Users\jaime.benazar\Quorum Business Solutions\Ecopetrol Prometeo - Documents\Planning Space Implementation\3. Analysis &amp; Design\Design\FC22\DRR Jaime\Neiva CPI\[VAO_DINA TERCIARIOS_CF_SEC_20230117.xlsx]CF PDP'!$BX$56</t>
  </si>
  <si>
    <t>='C:\Users\jaime.benazar\Quorum Business Solutions\Ecopetrol Prometeo - Documents\Planning Space Implementation\3. Analysis &amp; Design\Design\FC22\DRR Jaime\Neiva CPI\[VAO_DINA TERCIARIOS_CF_SEC_20230117.xlsx]CF PDP'!$BX$57</t>
  </si>
  <si>
    <t>='C:\Users\jaime.benazar\Quorum Business Solutions\Ecopetrol Prometeo - Documents\Planning Space Implementation\3. Analysis &amp; Design\Design\FC22\DRR Jaime\Neiva CPI\[VAO_DINA TERCIARIOS_CF_SEC_20230117.xlsx]CF PDP'!$BX$58</t>
  </si>
  <si>
    <t>='C:\Users\jaime.benazar\Quorum Business Solutions\Ecopetrol Prometeo - Documents\Planning Space Implementation\3. Analysis &amp; Design\Design\FC22\DRR Jaime\Neiva CPI\[VAO_DINA TERCIARIOS_CF_SEC_20230117.xlsx]CF PDP'!$BX$59</t>
  </si>
  <si>
    <t>='C:\Users\jaime.benazar\Quorum Business Solutions\Ecopetrol Prometeo - Documents\Planning Space Implementation\3. Analysis &amp; Design\Design\FC22\DRR Jaime\Neiva CPI\[VAO_DINA TERCIARIOS_CF_SEC_20230117.xlsx]CF PDP'!$BX$60</t>
  </si>
  <si>
    <t>='C:\Users\jaime.benazar\Quorum Business Solutions\Ecopetrol Prometeo - Documents\Planning Space Implementation\3. Analysis &amp; Design\Design\FC22\DRR Jaime\Neiva CPI\[VAO_DINA TERCIARIOS_CF_SEC_20230117.xlsx]CF PDP'!$BX$61</t>
  </si>
  <si>
    <t>='C:\Users\jaime.benazar\Quorum Business Solutions\Ecopetrol Prometeo - Documents\Planning Space Implementation\3. Analysis &amp; Design\Design\FC22\DRR Jaime\Neiva CPI\[VAO_DINA TERCIARIOS_CF_SEC_20230117.xlsx]CF PDP'!$BX$62</t>
  </si>
  <si>
    <t>='C:\Users\jaime.benazar\Quorum Business Solutions\Ecopetrol Prometeo - Documents\Planning Space Implementation\3. Analysis &amp; Design\Design\FC22\DRR Jaime\Neiva CPI\[VAO_DINA TERCIARIOS_CF_SEC_20230117.xlsx]CF PDP'!$BX$63</t>
  </si>
  <si>
    <t>='C:\Users\jaime.benazar\Quorum Business Solutions\Ecopetrol Prometeo - Documents\Planning Space Implementation\3. Analysis &amp; Design\Design\FC22\DRR Jaime\Neiva CPI\[VAO_DINA TERCIARIOS_CF_SEC_20230117.xlsx]CF PDP'!$BX$64</t>
  </si>
  <si>
    <t>='C:\Users\jaime.benazar\Quorum Business Solutions\Ecopetrol Prometeo - Documents\Planning Space Implementation\3. Analysis &amp; Design\Design\FC22\DRR Jaime\Neiva CPI\[VAO_DINA TERCIARIOS_CF_SEC_20230117.xlsx]CF PDP'!$BX$65</t>
  </si>
  <si>
    <t>='C:\Users\jaime.benazar\Quorum Business Solutions\Ecopetrol Prometeo - Documents\Planning Space Implementation\3. Analysis &amp; Design\Design\FC22\DRR Jaime\Neiva CPI\[VAO_DINA TERCIARIOS_CF_SEC_20230117.xlsx]CF PDP'!$BX$66</t>
  </si>
  <si>
    <t>='C:\Users\jaime.benazar\Quorum Business Solutions\Ecopetrol Prometeo - Documents\Planning Space Implementation\3. Analysis &amp; Design\Design\FC22\DRR Jaime\Neiva CPI\[VAO_DINA TERCIARIOS_CF_SEC_20230117.xlsx]CF PDP'!$BX$67</t>
  </si>
  <si>
    <t>='C:\Users\jaime.benazar\Quorum Business Solutions\Ecopetrol Prometeo - Documents\Planning Space Implementation\3. Analysis &amp; Design\Design\FC22\DRR Jaime\Neiva CPI\[VAO_DINA TERCIARIOS_CF_SEC_20230117.xlsx]CF PDP'!$BX$68</t>
  </si>
  <si>
    <t>='C:\Users\jaime.benazar\Quorum Business Solutions\Ecopetrol Prometeo - Documents\Planning Space Implementation\3. Analysis &amp; Design\Design\FC22\DRR Jaime\Neiva CPI\[VAO_DINA TERCIARIOS_CF_SEC_20230117.xlsx]CF PDP'!$BX$69</t>
  </si>
  <si>
    <t>='C:\Users\jaime.benazar\Quorum Business Solutions\Ecopetrol Prometeo - Documents\Planning Space Implementation\3. Analysis &amp; Design\Design\FC22\DRR Jaime\Neiva CPI\[VAO_DINA TERCIARIOS_CF_SEC_20230117.xlsx]CF PDP'!$BX$70</t>
  </si>
  <si>
    <t>='C:\Users\jaime.benazar\Quorum Business Solutions\Ecopetrol Prometeo - Documents\Planning Space Implementation\3. Analysis &amp; Design\Design\FC22\DRR Jaime\Neiva CPI\[VAO_DINA TERCIARIOS_CF_SEC_20230117.xlsx]CF PDP'!$BX$71</t>
  </si>
  <si>
    <t>='C:\Users\jaime.benazar\Quorum Business Solutions\Ecopetrol Prometeo - Documents\Planning Space Implementation\3. Analysis &amp; Design\Design\FC22\DRR Jaime\Neiva CPI\[VAO_DINA TERCIARIOS_CF_SEC_20230117.xlsx]CF PDP'!$BX$72</t>
  </si>
  <si>
    <t>='C:\Users\jaime.benazar\Quorum Business Solutions\Ecopetrol Prometeo - Documents\Planning Space Implementation\3. Analysis &amp; Design\Design\FC22\DRR Jaime\Neiva CPI\[VAO_DINA TERCIARIOS_CF_SEC_20230117.xlsx]CF PNP'!$BX$36</t>
  </si>
  <si>
    <t>='C:\Users\jaime.benazar\Quorum Business Solutions\Ecopetrol Prometeo - Documents\Planning Space Implementation\3. Analysis &amp; Design\Design\FC22\DRR Jaime\Neiva CPI\[VAO_DINA TERCIARIOS_CF_SEC_20230117.xlsx]CF PNP'!$BX$37</t>
  </si>
  <si>
    <t>='C:\Users\jaime.benazar\Quorum Business Solutions\Ecopetrol Prometeo - Documents\Planning Space Implementation\3. Analysis &amp; Design\Design\FC22\DRR Jaime\Neiva CPI\[VAO_DINA TERCIARIOS_CF_SEC_20230117.xlsx]CF PNP'!$BX$38</t>
  </si>
  <si>
    <t>='C:\Users\jaime.benazar\Quorum Business Solutions\Ecopetrol Prometeo - Documents\Planning Space Implementation\3. Analysis &amp; Design\Design\FC22\DRR Jaime\Neiva CPI\[VAO_DINA TERCIARIOS_CF_SEC_20230117.xlsx]CF PNP'!$BX$39</t>
  </si>
  <si>
    <t>='C:\Users\jaime.benazar\Quorum Business Solutions\Ecopetrol Prometeo - Documents\Planning Space Implementation\3. Analysis &amp; Design\Design\FC22\DRR Jaime\Neiva CPI\[VAO_DINA TERCIARIOS_CF_SEC_20230117.xlsx]CF PNP'!$BX$40</t>
  </si>
  <si>
    <t>='C:\Users\jaime.benazar\Quorum Business Solutions\Ecopetrol Prometeo - Documents\Planning Space Implementation\3. Analysis &amp; Design\Design\FC22\DRR Jaime\Neiva CPI\[VAO_DINA TERCIARIOS_CF_SEC_20230117.xlsx]CF PNP'!$BX$41</t>
  </si>
  <si>
    <t>='C:\Users\jaime.benazar\Quorum Business Solutions\Ecopetrol Prometeo - Documents\Planning Space Implementation\3. Analysis &amp; Design\Design\FC22\DRR Jaime\Neiva CPI\[VAO_DINA TERCIARIOS_CF_SEC_20230117.xlsx]CF PNP'!$BX$42</t>
  </si>
  <si>
    <t>='C:\Users\jaime.benazar\Quorum Business Solutions\Ecopetrol Prometeo - Documents\Planning Space Implementation\3. Analysis &amp; Design\Design\FC22\DRR Jaime\Neiva CPI\[VAO_DINA TERCIARIOS_CF_SEC_20230117.xlsx]CF PNP'!$BX$43</t>
  </si>
  <si>
    <t>='C:\Users\jaime.benazar\Quorum Business Solutions\Ecopetrol Prometeo - Documents\Planning Space Implementation\3. Analysis &amp; Design\Design\FC22\DRR Jaime\Neiva CPI\[VAO_DINA TERCIARIOS_CF_SEC_20230117.xlsx]CF PNP'!$BX$44</t>
  </si>
  <si>
    <t>='C:\Users\jaime.benazar\Quorum Business Solutions\Ecopetrol Prometeo - Documents\Planning Space Implementation\3. Analysis &amp; Design\Design\FC22\DRR Jaime\Neiva CPI\[VAO_DINA TERCIARIOS_CF_SEC_20230117.xlsx]CF PNP'!$BX$45</t>
  </si>
  <si>
    <t>='C:\Users\jaime.benazar\Quorum Business Solutions\Ecopetrol Prometeo - Documents\Planning Space Implementation\3. Analysis &amp; Design\Design\FC22\DRR Jaime\Neiva CPI\[VAO_DINA TERCIARIOS_CF_SEC_20230117.xlsx]CF PNP'!$BX$46</t>
  </si>
  <si>
    <t>='C:\Users\jaime.benazar\Quorum Business Solutions\Ecopetrol Prometeo - Documents\Planning Space Implementation\3. Analysis &amp; Design\Design\FC22\DRR Jaime\Neiva CPI\[VAO_DINA TERCIARIOS_CF_SEC_20230117.xlsx]CF PNP'!$BX$47</t>
  </si>
  <si>
    <t>='C:\Users\jaime.benazar\Quorum Business Solutions\Ecopetrol Prometeo - Documents\Planning Space Implementation\3. Analysis &amp; Design\Design\FC22\DRR Jaime\Neiva CPI\[VAO_DINA TERCIARIOS_CF_SEC_20230117.xlsx]CF PNP'!$BX$48</t>
  </si>
  <si>
    <t>='C:\Users\jaime.benazar\Quorum Business Solutions\Ecopetrol Prometeo - Documents\Planning Space Implementation\3. Analysis &amp; Design\Design\FC22\DRR Jaime\Neiva CPI\[VAO_DINA TERCIARIOS_CF_SEC_20230117.xlsx]CF PNP'!$BX$49</t>
  </si>
  <si>
    <t>='C:\Users\jaime.benazar\Quorum Business Solutions\Ecopetrol Prometeo - Documents\Planning Space Implementation\3. Analysis &amp; Design\Design\FC22\DRR Jaime\Neiva CPI\[VAO_DINA TERCIARIOS_CF_SEC_20230117.xlsx]CF PNP'!$BX$50</t>
  </si>
  <si>
    <t>='C:\Users\jaime.benazar\Quorum Business Solutions\Ecopetrol Prometeo - Documents\Planning Space Implementation\3. Analysis &amp; Design\Design\FC22\DRR Jaime\Neiva CPI\[VAO_DINA TERCIARIOS_CF_SEC_20230117.xlsx]CF PNP'!$BX$51</t>
  </si>
  <si>
    <t>='C:\Users\jaime.benazar\Quorum Business Solutions\Ecopetrol Prometeo - Documents\Planning Space Implementation\3. Analysis &amp; Design\Design\FC22\DRR Jaime\Neiva CPI\[VAO_DINA TERCIARIOS_CF_SEC_20230117.xlsx]CF PNP'!$BX$52</t>
  </si>
  <si>
    <t>='C:\Users\jaime.benazar\Quorum Business Solutions\Ecopetrol Prometeo - Documents\Planning Space Implementation\3. Analysis &amp; Design\Design\FC22\DRR Jaime\Neiva CPI\[VAO_DINA TERCIARIOS_CF_SEC_20230117.xlsx]CF PNP'!$BX$53</t>
  </si>
  <si>
    <t>='C:\Users\jaime.benazar\Quorum Business Solutions\Ecopetrol Prometeo - Documents\Planning Space Implementation\3. Analysis &amp; Design\Design\FC22\DRR Jaime\Neiva CPI\[VAO_DINA TERCIARIOS_CF_SEC_20230117.xlsx]CF PNP'!$BX$54</t>
  </si>
  <si>
    <t>='C:\Users\jaime.benazar\Quorum Business Solutions\Ecopetrol Prometeo - Documents\Planning Space Implementation\3. Analysis &amp; Design\Design\FC22\DRR Jaime\Neiva CPI\[VAO_DINA TERCIARIOS_CF_SEC_20230117.xlsx]CF PNP'!$BX$55</t>
  </si>
  <si>
    <t>='C:\Users\jaime.benazar\Quorum Business Solutions\Ecopetrol Prometeo - Documents\Planning Space Implementation\3. Analysis &amp; Design\Design\FC22\DRR Jaime\Neiva CPI\[VAO_DINA TERCIARIOS_CF_SEC_20230117.xlsx]CF PNP'!$BX$56</t>
  </si>
  <si>
    <t>='C:\Users\jaime.benazar\Quorum Business Solutions\Ecopetrol Prometeo - Documents\Planning Space Implementation\3. Analysis &amp; Design\Design\FC22\DRR Jaime\Neiva CPI\[VAO_DINA TERCIARIOS_CF_SEC_20230117.xlsx]CF PNP'!$BX$57</t>
  </si>
  <si>
    <t>='C:\Users\jaime.benazar\Quorum Business Solutions\Ecopetrol Prometeo - Documents\Planning Space Implementation\3. Analysis &amp; Design\Design\FC22\DRR Jaime\Neiva CPI\[VAO_DINA TERCIARIOS_CF_SEC_20230117.xlsx]CF PNP'!$BX$58</t>
  </si>
  <si>
    <t>='C:\Users\jaime.benazar\Quorum Business Solutions\Ecopetrol Prometeo - Documents\Planning Space Implementation\3. Analysis &amp; Design\Design\FC22\DRR Jaime\Neiva CPI\[VAO_DINA TERCIARIOS_CF_SEC_20230117.xlsx]CF PNP'!$BX$59</t>
  </si>
  <si>
    <t>='C:\Users\jaime.benazar\Quorum Business Solutions\Ecopetrol Prometeo - Documents\Planning Space Implementation\3. Analysis &amp; Design\Design\FC22\DRR Jaime\Neiva CPI\[VAO_DINA TERCIARIOS_CF_SEC_20230117.xlsx]CF PNP'!$BX$60</t>
  </si>
  <si>
    <t>='C:\Users\jaime.benazar\Quorum Business Solutions\Ecopetrol Prometeo - Documents\Planning Space Implementation\3. Analysis &amp; Design\Design\FC22\DRR Jaime\Neiva CPI\[VAO_DINA TERCIARIOS_CF_SEC_20230117.xlsx]CF PNP'!$BX$61</t>
  </si>
  <si>
    <t>='C:\Users\jaime.benazar\Quorum Business Solutions\Ecopetrol Prometeo - Documents\Planning Space Implementation\3. Analysis &amp; Design\Design\FC22\DRR Jaime\Neiva CPI\[VAO_DINA TERCIARIOS_CF_SEC_20230117.xlsx]CF PNP'!$BX$62</t>
  </si>
  <si>
    <t>='C:\Users\jaime.benazar\Quorum Business Solutions\Ecopetrol Prometeo - Documents\Planning Space Implementation\3. Analysis &amp; Design\Design\FC22\DRR Jaime\Neiva CPI\[VAO_DINA TERCIARIOS_CF_SEC_20230117.xlsx]CF PNP'!$BX$63</t>
  </si>
  <si>
    <t>='C:\Users\jaime.benazar\Quorum Business Solutions\Ecopetrol Prometeo - Documents\Planning Space Implementation\3. Analysis &amp; Design\Design\FC22\DRR Jaime\Neiva CPI\[VAO_DINA TERCIARIOS_CF_SEC_20230117.xlsx]CF PNP'!$BX$64</t>
  </si>
  <si>
    <t>='C:\Users\jaime.benazar\Quorum Business Solutions\Ecopetrol Prometeo - Documents\Planning Space Implementation\3. Analysis &amp; Design\Design\FC22\DRR Jaime\Neiva CPI\[VAO_DINA TERCIARIOS_CF_SEC_20230117.xlsx]CF PNP'!$BX$65</t>
  </si>
  <si>
    <t>='C:\Users\jaime.benazar\Quorum Business Solutions\Ecopetrol Prometeo - Documents\Planning Space Implementation\3. Analysis &amp; Design\Design\FC22\DRR Jaime\Neiva CPI\[VAO_DINA TERCIARIOS_CF_SEC_20230117.xlsx]CF PNP'!$BX$66</t>
  </si>
  <si>
    <t>='C:\Users\jaime.benazar\Quorum Business Solutions\Ecopetrol Prometeo - Documents\Planning Space Implementation\3. Analysis &amp; Design\Design\FC22\DRR Jaime\Neiva CPI\[VAO_DINA TERCIARIOS_CF_SEC_20230117.xlsx]CF PNP'!$BX$67</t>
  </si>
  <si>
    <t>='C:\Users\jaime.benazar\Quorum Business Solutions\Ecopetrol Prometeo - Documents\Planning Space Implementation\3. Analysis &amp; Design\Design\FC22\DRR Jaime\Neiva CPI\[VAO_DINA TERCIARIOS_CF_SEC_20230117.xlsx]CF PNP'!$BX$68</t>
  </si>
  <si>
    <t>='C:\Users\jaime.benazar\Quorum Business Solutions\Ecopetrol Prometeo - Documents\Planning Space Implementation\3. Analysis &amp; Design\Design\FC22\DRR Jaime\Neiva CPI\[VAO_DINA TERCIARIOS_CF_SEC_20230117.xlsx]CF PNP'!$BX$69</t>
  </si>
  <si>
    <t>='C:\Users\jaime.benazar\Quorum Business Solutions\Ecopetrol Prometeo - Documents\Planning Space Implementation\3. Analysis &amp; Design\Design\FC22\DRR Jaime\Neiva CPI\[VAO_DINA TERCIARIOS_CF_SEC_20230117.xlsx]CF PNP'!$BX$70</t>
  </si>
  <si>
    <t>='C:\Users\jaime.benazar\Quorum Business Solutions\Ecopetrol Prometeo - Documents\Planning Space Implementation\3. Analysis &amp; Design\Design\FC22\DRR Jaime\Neiva CPI\[VAO_DINA TERCIARIOS_CF_SEC_20230117.xlsx]CF PNP'!$BX$71</t>
  </si>
  <si>
    <t>='C:\Users\jaime.benazar\Quorum Business Solutions\Ecopetrol Prometeo - Documents\Planning Space Implementation\3. Analysis &amp; Design\Design\FC22\DRR Jaime\Neiva CPI\[VAO_DINA TERCIARIOS_CF_SEC_20230117.xlsx]CF PNP'!$BX$72</t>
  </si>
  <si>
    <t>='C:\Users\jaime.benazar\Quorum Business Solutions\Ecopetrol Prometeo - Documents\Planning Space Implementation\3. Analysis &amp; Design\Design\FC22\DRR Jaime\Neiva CPI\[VAO_DINA TERCIARIOS_CF_SEC_20230117.xlsx]CF PND'!$BX$36</t>
  </si>
  <si>
    <t>='C:\Users\jaime.benazar\Quorum Business Solutions\Ecopetrol Prometeo - Documents\Planning Space Implementation\3. Analysis &amp; Design\Design\FC22\DRR Jaime\Neiva CPI\[VAO_DINA TERCIARIOS_CF_SEC_20230117.xlsx]CF PND'!$BX$37</t>
  </si>
  <si>
    <t>='C:\Users\jaime.benazar\Quorum Business Solutions\Ecopetrol Prometeo - Documents\Planning Space Implementation\3. Analysis &amp; Design\Design\FC22\DRR Jaime\Neiva CPI\[VAO_DINA TERCIARIOS_CF_SEC_20230117.xlsx]CF PND'!$BX$38</t>
  </si>
  <si>
    <t>='C:\Users\jaime.benazar\Quorum Business Solutions\Ecopetrol Prometeo - Documents\Planning Space Implementation\3. Analysis &amp; Design\Design\FC22\DRR Jaime\Neiva CPI\[VAO_DINA TERCIARIOS_CF_SEC_20230117.xlsx]CF PND'!$BX$39</t>
  </si>
  <si>
    <t>='C:\Users\jaime.benazar\Quorum Business Solutions\Ecopetrol Prometeo - Documents\Planning Space Implementation\3. Analysis &amp; Design\Design\FC22\DRR Jaime\Neiva CPI\[VAO_DINA TERCIARIOS_CF_SEC_20230117.xlsx]CF PND'!$BX$40</t>
  </si>
  <si>
    <t>='C:\Users\jaime.benazar\Quorum Business Solutions\Ecopetrol Prometeo - Documents\Planning Space Implementation\3. Analysis &amp; Design\Design\FC22\DRR Jaime\Neiva CPI\[VAO_DINA TERCIARIOS_CF_SEC_20230117.xlsx]CF PND'!$BX$41</t>
  </si>
  <si>
    <t>='C:\Users\jaime.benazar\Quorum Business Solutions\Ecopetrol Prometeo - Documents\Planning Space Implementation\3. Analysis &amp; Design\Design\FC22\DRR Jaime\Neiva CPI\[VAO_DINA TERCIARIOS_CF_SEC_20230117.xlsx]CF PND'!$BX$42</t>
  </si>
  <si>
    <t>='C:\Users\jaime.benazar\Quorum Business Solutions\Ecopetrol Prometeo - Documents\Planning Space Implementation\3. Analysis &amp; Design\Design\FC22\DRR Jaime\Neiva CPI\[VAO_DINA TERCIARIOS_CF_SEC_20230117.xlsx]CF PND'!$BX$43</t>
  </si>
  <si>
    <t>='C:\Users\jaime.benazar\Quorum Business Solutions\Ecopetrol Prometeo - Documents\Planning Space Implementation\3. Analysis &amp; Design\Design\FC22\DRR Jaime\Neiva CPI\[VAO_DINA TERCIARIOS_CF_SEC_20230117.xlsx]CF PND'!$BX$44</t>
  </si>
  <si>
    <t>='C:\Users\jaime.benazar\Quorum Business Solutions\Ecopetrol Prometeo - Documents\Planning Space Implementation\3. Analysis &amp; Design\Design\FC22\DRR Jaime\Neiva CPI\[VAO_DINA TERCIARIOS_CF_SEC_20230117.xlsx]CF PND'!$BX$45</t>
  </si>
  <si>
    <t>='C:\Users\jaime.benazar\Quorum Business Solutions\Ecopetrol Prometeo - Documents\Planning Space Implementation\3. Analysis &amp; Design\Design\FC22\DRR Jaime\Neiva CPI\[VAO_DINA TERCIARIOS_CF_SEC_20230117.xlsx]CF PND'!$BX$46</t>
  </si>
  <si>
    <t>='C:\Users\jaime.benazar\Quorum Business Solutions\Ecopetrol Prometeo - Documents\Planning Space Implementation\3. Analysis &amp; Design\Design\FC22\DRR Jaime\Neiva CPI\[VAO_DINA TERCIARIOS_CF_SEC_20230117.xlsx]CF PND'!$BX$47</t>
  </si>
  <si>
    <t>='C:\Users\jaime.benazar\Quorum Business Solutions\Ecopetrol Prometeo - Documents\Planning Space Implementation\3. Analysis &amp; Design\Design\FC22\DRR Jaime\Neiva CPI\[VAO_DINA TERCIARIOS_CF_SEC_20230117.xlsx]CF PND'!$BX$48</t>
  </si>
  <si>
    <t>='C:\Users\jaime.benazar\Quorum Business Solutions\Ecopetrol Prometeo - Documents\Planning Space Implementation\3. Analysis &amp; Design\Design\FC22\DRR Jaime\Neiva CPI\[VAO_DINA TERCIARIOS_CF_SEC_20230117.xlsx]CF PND'!$BX$49</t>
  </si>
  <si>
    <t>='C:\Users\jaime.benazar\Quorum Business Solutions\Ecopetrol Prometeo - Documents\Planning Space Implementation\3. Analysis &amp; Design\Design\FC22\DRR Jaime\Neiva CPI\[VAO_DINA TERCIARIOS_CF_SEC_20230117.xlsx]CF PND'!$BX$50</t>
  </si>
  <si>
    <t>='C:\Users\jaime.benazar\Quorum Business Solutions\Ecopetrol Prometeo - Documents\Planning Space Implementation\3. Analysis &amp; Design\Design\FC22\DRR Jaime\Neiva CPI\[VAO_DINA TERCIARIOS_CF_SEC_20230117.xlsx]CF PND'!$BX$51</t>
  </si>
  <si>
    <t>='C:\Users\jaime.benazar\Quorum Business Solutions\Ecopetrol Prometeo - Documents\Planning Space Implementation\3. Analysis &amp; Design\Design\FC22\DRR Jaime\Neiva CPI\[VAO_DINA TERCIARIOS_CF_SEC_20230117.xlsx]CF PND'!$BX$52</t>
  </si>
  <si>
    <t>='C:\Users\jaime.benazar\Quorum Business Solutions\Ecopetrol Prometeo - Documents\Planning Space Implementation\3. Analysis &amp; Design\Design\FC22\DRR Jaime\Neiva CPI\[VAO_DINA TERCIARIOS_CF_SEC_20230117.xlsx]CF PND'!$BX$53</t>
  </si>
  <si>
    <t>='C:\Users\jaime.benazar\Quorum Business Solutions\Ecopetrol Prometeo - Documents\Planning Space Implementation\3. Analysis &amp; Design\Design\FC22\DRR Jaime\Neiva CPI\[VAO_DINA TERCIARIOS_CF_SEC_20230117.xlsx]CF PND'!$BX$54</t>
  </si>
  <si>
    <t>='C:\Users\jaime.benazar\Quorum Business Solutions\Ecopetrol Prometeo - Documents\Planning Space Implementation\3. Analysis &amp; Design\Design\FC22\DRR Jaime\Neiva CPI\[VAO_DINA TERCIARIOS_CF_SEC_20230117.xlsx]CF PND'!$BX$55</t>
  </si>
  <si>
    <t>='C:\Users\jaime.benazar\Quorum Business Solutions\Ecopetrol Prometeo - Documents\Planning Space Implementation\3. Analysis &amp; Design\Design\FC22\DRR Jaime\Neiva CPI\[VAO_DINA TERCIARIOS_CF_SEC_20230117.xlsx]CF PND'!$BX$56</t>
  </si>
  <si>
    <t>='C:\Users\jaime.benazar\Quorum Business Solutions\Ecopetrol Prometeo - Documents\Planning Space Implementation\3. Analysis &amp; Design\Design\FC22\DRR Jaime\Neiva CPI\[VAO_DINA TERCIARIOS_CF_SEC_20230117.xlsx]CF PND'!$BX$57</t>
  </si>
  <si>
    <t>='C:\Users\jaime.benazar\Quorum Business Solutions\Ecopetrol Prometeo - Documents\Planning Space Implementation\3. Analysis &amp; Design\Design\FC22\DRR Jaime\Neiva CPI\[VAO_DINA TERCIARIOS_CF_SEC_20230117.xlsx]CF PND'!$BX$58</t>
  </si>
  <si>
    <t>='C:\Users\jaime.benazar\Quorum Business Solutions\Ecopetrol Prometeo - Documents\Planning Space Implementation\3. Analysis &amp; Design\Design\FC22\DRR Jaime\Neiva CPI\[VAO_DINA TERCIARIOS_CF_SEC_20230117.xlsx]CF PND'!$BX$59</t>
  </si>
  <si>
    <t>='C:\Users\jaime.benazar\Quorum Business Solutions\Ecopetrol Prometeo - Documents\Planning Space Implementation\3. Analysis &amp; Design\Design\FC22\DRR Jaime\Neiva CPI\[VAO_DINA TERCIARIOS_CF_SEC_20230117.xlsx]CF PND'!$BX$60</t>
  </si>
  <si>
    <t>='C:\Users\jaime.benazar\Quorum Business Solutions\Ecopetrol Prometeo - Documents\Planning Space Implementation\3. Analysis &amp; Design\Design\FC22\DRR Jaime\Neiva CPI\[VAO_DINA TERCIARIOS_CF_SEC_20230117.xlsx]CF PND'!$BX$61</t>
  </si>
  <si>
    <t>='C:\Users\jaime.benazar\Quorum Business Solutions\Ecopetrol Prometeo - Documents\Planning Space Implementation\3. Analysis &amp; Design\Design\FC22\DRR Jaime\Neiva CPI\[VAO_DINA TERCIARIOS_CF_SEC_20230117.xlsx]CF PND'!$BX$62</t>
  </si>
  <si>
    <t>='C:\Users\jaime.benazar\Quorum Business Solutions\Ecopetrol Prometeo - Documents\Planning Space Implementation\3. Analysis &amp; Design\Design\FC22\DRR Jaime\Neiva CPI\[VAO_DINA TERCIARIOS_CF_SEC_20230117.xlsx]CF PND'!$BX$63</t>
  </si>
  <si>
    <t>='C:\Users\jaime.benazar\Quorum Business Solutions\Ecopetrol Prometeo - Documents\Planning Space Implementation\3. Analysis &amp; Design\Design\FC22\DRR Jaime\Neiva CPI\[VAO_DINA TERCIARIOS_CF_SEC_20230117.xlsx]CF PND'!$BX$64</t>
  </si>
  <si>
    <t>='C:\Users\jaime.benazar\Quorum Business Solutions\Ecopetrol Prometeo - Documents\Planning Space Implementation\3. Analysis &amp; Design\Design\FC22\DRR Jaime\Neiva CPI\[VAO_DINA TERCIARIOS_CF_SEC_20230117.xlsx]CF PND'!$BX$65</t>
  </si>
  <si>
    <t>='C:\Users\jaime.benazar\Quorum Business Solutions\Ecopetrol Prometeo - Documents\Planning Space Implementation\3. Analysis &amp; Design\Design\FC22\DRR Jaime\Neiva CPI\[VAO_DINA TERCIARIOS_CF_SEC_20230117.xlsx]CF PND'!$BX$66</t>
  </si>
  <si>
    <t>='C:\Users\jaime.benazar\Quorum Business Solutions\Ecopetrol Prometeo - Documents\Planning Space Implementation\3. Analysis &amp; Design\Design\FC22\DRR Jaime\Neiva CPI\[VAO_DINA TERCIARIOS_CF_SEC_20230117.xlsx]CF PND'!$BX$67</t>
  </si>
  <si>
    <t>='C:\Users\jaime.benazar\Quorum Business Solutions\Ecopetrol Prometeo - Documents\Planning Space Implementation\3. Analysis &amp; Design\Design\FC22\DRR Jaime\Neiva CPI\[VAO_DINA TERCIARIOS_CF_SEC_20230117.xlsx]CF PND'!$BX$68</t>
  </si>
  <si>
    <t>='C:\Users\jaime.benazar\Quorum Business Solutions\Ecopetrol Prometeo - Documents\Planning Space Implementation\3. Analysis &amp; Design\Design\FC22\DRR Jaime\Neiva CPI\[VAO_DINA TERCIARIOS_CF_SEC_20230117.xlsx]CF PND'!$BX$69</t>
  </si>
  <si>
    <t>='C:\Users\jaime.benazar\Quorum Business Solutions\Ecopetrol Prometeo - Documents\Planning Space Implementation\3. Analysis &amp; Design\Design\FC22\DRR Jaime\Neiva CPI\[VAO_DINA TERCIARIOS_CF_SEC_20230117.xlsx]CF PND'!$BX$70</t>
  </si>
  <si>
    <t>='C:\Users\jaime.benazar\Quorum Business Solutions\Ecopetrol Prometeo - Documents\Planning Space Implementation\3. Analysis &amp; Design\Design\FC22\DRR Jaime\Neiva CPI\[VAO_DINA TERCIARIOS_CF_SEC_20230117.xlsx]CF PND'!$BX$71</t>
  </si>
  <si>
    <t>='C:\Users\jaime.benazar\Quorum Business Solutions\Ecopetrol Prometeo - Documents\Planning Space Implementation\3. Analysis &amp; Design\Design\FC22\DRR Jaime\Neiva CPI\[VAO_DINA TERCIARIOS_CF_SEC_20230117.xlsx]CF PND'!$BX$72</t>
  </si>
  <si>
    <t>='C:\Users\jaime.benazar\Quorum Business Solutions\Ecopetrol Prometeo - Documents\Planning Space Implementation\3. Analysis &amp; Design\Design\FC22\DRR Jaime\Neiva CPI\[VAO_DINA TERCIARIOS_CF_SEC_20230117.xlsx]CF PRB'!$BX$36</t>
  </si>
  <si>
    <t>='C:\Users\jaime.benazar\Quorum Business Solutions\Ecopetrol Prometeo - Documents\Planning Space Implementation\3. Analysis &amp; Design\Design\FC22\DRR Jaime\Neiva CPI\[VAO_DINA TERCIARIOS_CF_SEC_20230117.xlsx]CF PRB'!$BX$37</t>
  </si>
  <si>
    <t>='C:\Users\jaime.benazar\Quorum Business Solutions\Ecopetrol Prometeo - Documents\Planning Space Implementation\3. Analysis &amp; Design\Design\FC22\DRR Jaime\Neiva CPI\[VAO_DINA TERCIARIOS_CF_SEC_20230117.xlsx]CF PRB'!$BX$38</t>
  </si>
  <si>
    <t>='C:\Users\jaime.benazar\Quorum Business Solutions\Ecopetrol Prometeo - Documents\Planning Space Implementation\3. Analysis &amp; Design\Design\FC22\DRR Jaime\Neiva CPI\[VAO_DINA TERCIARIOS_CF_SEC_20230117.xlsx]CF PRB'!$BX$39</t>
  </si>
  <si>
    <t>='C:\Users\jaime.benazar\Quorum Business Solutions\Ecopetrol Prometeo - Documents\Planning Space Implementation\3. Analysis &amp; Design\Design\FC22\DRR Jaime\Neiva CPI\[VAO_DINA TERCIARIOS_CF_SEC_20230117.xlsx]CF PRB'!$BX$40</t>
  </si>
  <si>
    <t>='C:\Users\jaime.benazar\Quorum Business Solutions\Ecopetrol Prometeo - Documents\Planning Space Implementation\3. Analysis &amp; Design\Design\FC22\DRR Jaime\Neiva CPI\[VAO_DINA TERCIARIOS_CF_SEC_20230117.xlsx]CF PRB'!$BX$41</t>
  </si>
  <si>
    <t>='C:\Users\jaime.benazar\Quorum Business Solutions\Ecopetrol Prometeo - Documents\Planning Space Implementation\3. Analysis &amp; Design\Design\FC22\DRR Jaime\Neiva CPI\[VAO_DINA TERCIARIOS_CF_SEC_20230117.xlsx]CF PRB'!$BX$42</t>
  </si>
  <si>
    <t>='C:\Users\jaime.benazar\Quorum Business Solutions\Ecopetrol Prometeo - Documents\Planning Space Implementation\3. Analysis &amp; Design\Design\FC22\DRR Jaime\Neiva CPI\[VAO_DINA TERCIARIOS_CF_SEC_20230117.xlsx]CF PRB'!$BX$43</t>
  </si>
  <si>
    <t>='C:\Users\jaime.benazar\Quorum Business Solutions\Ecopetrol Prometeo - Documents\Planning Space Implementation\3. Analysis &amp; Design\Design\FC22\DRR Jaime\Neiva CPI\[VAO_DINA TERCIARIOS_CF_SEC_20230117.xlsx]CF PRB'!$BX$44</t>
  </si>
  <si>
    <t>='C:\Users\jaime.benazar\Quorum Business Solutions\Ecopetrol Prometeo - Documents\Planning Space Implementation\3. Analysis &amp; Design\Design\FC22\DRR Jaime\Neiva CPI\[VAO_DINA TERCIARIOS_CF_SEC_20230117.xlsx]CF PRB'!$BX$45</t>
  </si>
  <si>
    <t>='C:\Users\jaime.benazar\Quorum Business Solutions\Ecopetrol Prometeo - Documents\Planning Space Implementation\3. Analysis &amp; Design\Design\FC22\DRR Jaime\Neiva CPI\[VAO_DINA TERCIARIOS_CF_SEC_20230117.xlsx]CF PRB'!$BX$46</t>
  </si>
  <si>
    <t>='C:\Users\jaime.benazar\Quorum Business Solutions\Ecopetrol Prometeo - Documents\Planning Space Implementation\3. Analysis &amp; Design\Design\FC22\DRR Jaime\Neiva CPI\[VAO_DINA TERCIARIOS_CF_SEC_20230117.xlsx]CF PRB'!$BX$47</t>
  </si>
  <si>
    <t>='C:\Users\jaime.benazar\Quorum Business Solutions\Ecopetrol Prometeo - Documents\Planning Space Implementation\3. Analysis &amp; Design\Design\FC22\DRR Jaime\Neiva CPI\[VAO_DINA TERCIARIOS_CF_SEC_20230117.xlsx]CF PRB'!$BX$48</t>
  </si>
  <si>
    <t>='C:\Users\jaime.benazar\Quorum Business Solutions\Ecopetrol Prometeo - Documents\Planning Space Implementation\3. Analysis &amp; Design\Design\FC22\DRR Jaime\Neiva CPI\[VAO_DINA TERCIARIOS_CF_SEC_20230117.xlsx]CF PRB'!$BX$49</t>
  </si>
  <si>
    <t>='C:\Users\jaime.benazar\Quorum Business Solutions\Ecopetrol Prometeo - Documents\Planning Space Implementation\3. Analysis &amp; Design\Design\FC22\DRR Jaime\Neiva CPI\[VAO_DINA TERCIARIOS_CF_SEC_20230117.xlsx]CF PRB'!$BX$50</t>
  </si>
  <si>
    <t>='C:\Users\jaime.benazar\Quorum Business Solutions\Ecopetrol Prometeo - Documents\Planning Space Implementation\3. Analysis &amp; Design\Design\FC22\DRR Jaime\Neiva CPI\[VAO_DINA TERCIARIOS_CF_SEC_20230117.xlsx]CF PRB'!$BX$51</t>
  </si>
  <si>
    <t>='C:\Users\jaime.benazar\Quorum Business Solutions\Ecopetrol Prometeo - Documents\Planning Space Implementation\3. Analysis &amp; Design\Design\FC22\DRR Jaime\Neiva CPI\[VAO_DINA TERCIARIOS_CF_SEC_20230117.xlsx]CF PRB'!$BX$52</t>
  </si>
  <si>
    <t>='C:\Users\jaime.benazar\Quorum Business Solutions\Ecopetrol Prometeo - Documents\Planning Space Implementation\3. Analysis &amp; Design\Design\FC22\DRR Jaime\Neiva CPI\[VAO_DINA TERCIARIOS_CF_SEC_20230117.xlsx]CF PRB'!$BX$53</t>
  </si>
  <si>
    <t>='C:\Users\jaime.benazar\Quorum Business Solutions\Ecopetrol Prometeo - Documents\Planning Space Implementation\3. Analysis &amp; Design\Design\FC22\DRR Jaime\Neiva CPI\[VAO_DINA TERCIARIOS_CF_SEC_20230117.xlsx]CF PRB'!$BX$54</t>
  </si>
  <si>
    <t>='C:\Users\jaime.benazar\Quorum Business Solutions\Ecopetrol Prometeo - Documents\Planning Space Implementation\3. Analysis &amp; Design\Design\FC22\DRR Jaime\Neiva CPI\[VAO_DINA TERCIARIOS_CF_SEC_20230117.xlsx]CF PRB'!$BX$55</t>
  </si>
  <si>
    <t>='C:\Users\jaime.benazar\Quorum Business Solutions\Ecopetrol Prometeo - Documents\Planning Space Implementation\3. Analysis &amp; Design\Design\FC22\DRR Jaime\Neiva CPI\[VAO_DINA TERCIARIOS_CF_SEC_20230117.xlsx]CF PRB'!$BX$56</t>
  </si>
  <si>
    <t>='C:\Users\jaime.benazar\Quorum Business Solutions\Ecopetrol Prometeo - Documents\Planning Space Implementation\3. Analysis &amp; Design\Design\FC22\DRR Jaime\Neiva CPI\[VAO_DINA TERCIARIOS_CF_SEC_20230117.xlsx]CF PRB'!$BX$57</t>
  </si>
  <si>
    <t>='C:\Users\jaime.benazar\Quorum Business Solutions\Ecopetrol Prometeo - Documents\Planning Space Implementation\3. Analysis &amp; Design\Design\FC22\DRR Jaime\Neiva CPI\[VAO_DINA TERCIARIOS_CF_SEC_20230117.xlsx]CF PRB'!$BX$58</t>
  </si>
  <si>
    <t>='C:\Users\jaime.benazar\Quorum Business Solutions\Ecopetrol Prometeo - Documents\Planning Space Implementation\3. Analysis &amp; Design\Design\FC22\DRR Jaime\Neiva CPI\[VAO_DINA TERCIARIOS_CF_SEC_20230117.xlsx]CF PRB'!$BX$59</t>
  </si>
  <si>
    <t>='C:\Users\jaime.benazar\Quorum Business Solutions\Ecopetrol Prometeo - Documents\Planning Space Implementation\3. Analysis &amp; Design\Design\FC22\DRR Jaime\Neiva CPI\[VAO_DINA TERCIARIOS_CF_SEC_20230117.xlsx]CF PRB'!$BX$60</t>
  </si>
  <si>
    <t>='C:\Users\jaime.benazar\Quorum Business Solutions\Ecopetrol Prometeo - Documents\Planning Space Implementation\3. Analysis &amp; Design\Design\FC22\DRR Jaime\Neiva CPI\[VAO_DINA TERCIARIOS_CF_SEC_20230117.xlsx]CF PRB'!$BX$61</t>
  </si>
  <si>
    <t>='C:\Users\jaime.benazar\Quorum Business Solutions\Ecopetrol Prometeo - Documents\Planning Space Implementation\3. Analysis &amp; Design\Design\FC22\DRR Jaime\Neiva CPI\[VAO_DINA TERCIARIOS_CF_SEC_20230117.xlsx]CF PRB'!$BX$62</t>
  </si>
  <si>
    <t>='C:\Users\jaime.benazar\Quorum Business Solutions\Ecopetrol Prometeo - Documents\Planning Space Implementation\3. Analysis &amp; Design\Design\FC22\DRR Jaime\Neiva CPI\[VAO_DINA TERCIARIOS_CF_SEC_20230117.xlsx]CF PRB'!$BX$63</t>
  </si>
  <si>
    <t>='C:\Users\jaime.benazar\Quorum Business Solutions\Ecopetrol Prometeo - Documents\Planning Space Implementation\3. Analysis &amp; Design\Design\FC22\DRR Jaime\Neiva CPI\[VAO_DINA TERCIARIOS_CF_SEC_20230117.xlsx]CF PRB'!$BX$64</t>
  </si>
  <si>
    <t>='C:\Users\jaime.benazar\Quorum Business Solutions\Ecopetrol Prometeo - Documents\Planning Space Implementation\3. Analysis &amp; Design\Design\FC22\DRR Jaime\Neiva CPI\[VAO_DINA TERCIARIOS_CF_SEC_20230117.xlsx]CF PRB'!$BX$65</t>
  </si>
  <si>
    <t>='C:\Users\jaime.benazar\Quorum Business Solutions\Ecopetrol Prometeo - Documents\Planning Space Implementation\3. Analysis &amp; Design\Design\FC22\DRR Jaime\Neiva CPI\[VAO_DINA TERCIARIOS_CF_SEC_20230117.xlsx]CF PRB'!$BX$66</t>
  </si>
  <si>
    <t>='C:\Users\jaime.benazar\Quorum Business Solutions\Ecopetrol Prometeo - Documents\Planning Space Implementation\3. Analysis &amp; Design\Design\FC22\DRR Jaime\Neiva CPI\[VAO_DINA TERCIARIOS_CF_SEC_20230117.xlsx]CF PRB'!$BX$67</t>
  </si>
  <si>
    <t>='C:\Users\jaime.benazar\Quorum Business Solutions\Ecopetrol Prometeo - Documents\Planning Space Implementation\3. Analysis &amp; Design\Design\FC22\DRR Jaime\Neiva CPI\[VAO_DINA TERCIARIOS_CF_SEC_20230117.xlsx]CF PRB'!$BX$68</t>
  </si>
  <si>
    <t>='C:\Users\jaime.benazar\Quorum Business Solutions\Ecopetrol Prometeo - Documents\Planning Space Implementation\3. Analysis &amp; Design\Design\FC22\DRR Jaime\Neiva CPI\[VAO_DINA TERCIARIOS_CF_SEC_20230117.xlsx]CF PRB'!$BX$69</t>
  </si>
  <si>
    <t>='C:\Users\jaime.benazar\Quorum Business Solutions\Ecopetrol Prometeo - Documents\Planning Space Implementation\3. Analysis &amp; Design\Design\FC22\DRR Jaime\Neiva CPI\[VAO_DINA TERCIARIOS_CF_SEC_20230117.xlsx]CF PRB'!$BX$70</t>
  </si>
  <si>
    <t>='C:\Users\jaime.benazar\Quorum Business Solutions\Ecopetrol Prometeo - Documents\Planning Space Implementation\3. Analysis &amp; Design\Design\FC22\DRR Jaime\Neiva CPI\[VAO_DINA TERCIARIOS_CF_SEC_20230117.xlsx]CF PRB'!$BX$71</t>
  </si>
  <si>
    <t>='C:\Users\jaime.benazar\Quorum Business Solutions\Ecopetrol Prometeo - Documents\Planning Space Implementation\3. Analysis &amp; Design\Design\FC22\DRR Jaime\Neiva CPI\[VAO_DINA TERCIARIOS_CF_SEC_20230117.xlsx]CF PRB'!$BX$72</t>
  </si>
  <si>
    <t>='C:\Users\jaime.benazar\Quorum Business Solutions\Ecopetrol Prometeo - Documents\Planning Space Implementation\3. Analysis &amp; Design\Design\FC22\DRR Jaime\Neiva CPI\[VAO_DINA TERCIARIOS_CF_SEC_20230117.xlsx]CF PS'!$BX$36</t>
  </si>
  <si>
    <t>='C:\Users\jaime.benazar\Quorum Business Solutions\Ecopetrol Prometeo - Documents\Planning Space Implementation\3. Analysis &amp; Design\Design\FC22\DRR Jaime\Neiva CPI\[VAO_DINA TERCIARIOS_CF_SEC_20230117.xlsx]CF PS'!$BX$37</t>
  </si>
  <si>
    <t>='C:\Users\jaime.benazar\Quorum Business Solutions\Ecopetrol Prometeo - Documents\Planning Space Implementation\3. Analysis &amp; Design\Design\FC22\DRR Jaime\Neiva CPI\[VAO_DINA TERCIARIOS_CF_SEC_20230117.xlsx]CF PS'!$BX$38</t>
  </si>
  <si>
    <t>='C:\Users\jaime.benazar\Quorum Business Solutions\Ecopetrol Prometeo - Documents\Planning Space Implementation\3. Analysis &amp; Design\Design\FC22\DRR Jaime\Neiva CPI\[VAO_DINA TERCIARIOS_CF_SEC_20230117.xlsx]CF PS'!$BX$39</t>
  </si>
  <si>
    <t>='C:\Users\jaime.benazar\Quorum Business Solutions\Ecopetrol Prometeo - Documents\Planning Space Implementation\3. Analysis &amp; Design\Design\FC22\DRR Jaime\Neiva CPI\[VAO_DINA TERCIARIOS_CF_SEC_20230117.xlsx]CF PS'!$BX$40</t>
  </si>
  <si>
    <t>='C:\Users\jaime.benazar\Quorum Business Solutions\Ecopetrol Prometeo - Documents\Planning Space Implementation\3. Analysis &amp; Design\Design\FC22\DRR Jaime\Neiva CPI\[VAO_DINA TERCIARIOS_CF_SEC_20230117.xlsx]CF PS'!$BX$41</t>
  </si>
  <si>
    <t>='C:\Users\jaime.benazar\Quorum Business Solutions\Ecopetrol Prometeo - Documents\Planning Space Implementation\3. Analysis &amp; Design\Design\FC22\DRR Jaime\Neiva CPI\[VAO_DINA TERCIARIOS_CF_SEC_20230117.xlsx]CF PS'!$BX$42</t>
  </si>
  <si>
    <t>='C:\Users\jaime.benazar\Quorum Business Solutions\Ecopetrol Prometeo - Documents\Planning Space Implementation\3. Analysis &amp; Design\Design\FC22\DRR Jaime\Neiva CPI\[VAO_DINA TERCIARIOS_CF_SEC_20230117.xlsx]CF PS'!$BX$43</t>
  </si>
  <si>
    <t>='C:\Users\jaime.benazar\Quorum Business Solutions\Ecopetrol Prometeo - Documents\Planning Space Implementation\3. Analysis &amp; Design\Design\FC22\DRR Jaime\Neiva CPI\[VAO_DINA TERCIARIOS_CF_SEC_20230117.xlsx]CF PS'!$BX$44</t>
  </si>
  <si>
    <t>='C:\Users\jaime.benazar\Quorum Business Solutions\Ecopetrol Prometeo - Documents\Planning Space Implementation\3. Analysis &amp; Design\Design\FC22\DRR Jaime\Neiva CPI\[VAO_DINA TERCIARIOS_CF_SEC_20230117.xlsx]CF PS'!$BX$45</t>
  </si>
  <si>
    <t>='C:\Users\jaime.benazar\Quorum Business Solutions\Ecopetrol Prometeo - Documents\Planning Space Implementation\3. Analysis &amp; Design\Design\FC22\DRR Jaime\Neiva CPI\[VAO_DINA TERCIARIOS_CF_SEC_20230117.xlsx]CF PS'!$BX$46</t>
  </si>
  <si>
    <t>='C:\Users\jaime.benazar\Quorum Business Solutions\Ecopetrol Prometeo - Documents\Planning Space Implementation\3. Analysis &amp; Design\Design\FC22\DRR Jaime\Neiva CPI\[VAO_DINA TERCIARIOS_CF_SEC_20230117.xlsx]CF PS'!$BX$47</t>
  </si>
  <si>
    <t>='C:\Users\jaime.benazar\Quorum Business Solutions\Ecopetrol Prometeo - Documents\Planning Space Implementation\3. Analysis &amp; Design\Design\FC22\DRR Jaime\Neiva CPI\[VAO_DINA TERCIARIOS_CF_SEC_20230117.xlsx]CF PS'!$BX$48</t>
  </si>
  <si>
    <t>='C:\Users\jaime.benazar\Quorum Business Solutions\Ecopetrol Prometeo - Documents\Planning Space Implementation\3. Analysis &amp; Design\Design\FC22\DRR Jaime\Neiva CPI\[VAO_DINA TERCIARIOS_CF_SEC_20230117.xlsx]CF PS'!$BX$49</t>
  </si>
  <si>
    <t>='C:\Users\jaime.benazar\Quorum Business Solutions\Ecopetrol Prometeo - Documents\Planning Space Implementation\3. Analysis &amp; Design\Design\FC22\DRR Jaime\Neiva CPI\[VAO_DINA TERCIARIOS_CF_SEC_20230117.xlsx]CF PS'!$BX$50</t>
  </si>
  <si>
    <t>='C:\Users\jaime.benazar\Quorum Business Solutions\Ecopetrol Prometeo - Documents\Planning Space Implementation\3. Analysis &amp; Design\Design\FC22\DRR Jaime\Neiva CPI\[VAO_DINA TERCIARIOS_CF_SEC_20230117.xlsx]CF PS'!$BX$51</t>
  </si>
  <si>
    <t>='C:\Users\jaime.benazar\Quorum Business Solutions\Ecopetrol Prometeo - Documents\Planning Space Implementation\3. Analysis &amp; Design\Design\FC22\DRR Jaime\Neiva CPI\[VAO_DINA TERCIARIOS_CF_SEC_20230117.xlsx]CF PS'!$BX$52</t>
  </si>
  <si>
    <t>='C:\Users\jaime.benazar\Quorum Business Solutions\Ecopetrol Prometeo - Documents\Planning Space Implementation\3. Analysis &amp; Design\Design\FC22\DRR Jaime\Neiva CPI\[VAO_DINA TERCIARIOS_CF_SEC_20230117.xlsx]CF PS'!$BX$53</t>
  </si>
  <si>
    <t>='C:\Users\jaime.benazar\Quorum Business Solutions\Ecopetrol Prometeo - Documents\Planning Space Implementation\3. Analysis &amp; Design\Design\FC22\DRR Jaime\Neiva CPI\[VAO_DINA TERCIARIOS_CF_SEC_20230117.xlsx]CF PS'!$BX$54</t>
  </si>
  <si>
    <t>='C:\Users\jaime.benazar\Quorum Business Solutions\Ecopetrol Prometeo - Documents\Planning Space Implementation\3. Analysis &amp; Design\Design\FC22\DRR Jaime\Neiva CPI\[VAO_DINA TERCIARIOS_CF_SEC_20230117.xlsx]CF PS'!$BX$55</t>
  </si>
  <si>
    <t>='C:\Users\jaime.benazar\Quorum Business Solutions\Ecopetrol Prometeo - Documents\Planning Space Implementation\3. Analysis &amp; Design\Design\FC22\DRR Jaime\Neiva CPI\[VAO_DINA TERCIARIOS_CF_SEC_20230117.xlsx]CF PS'!$BX$56</t>
  </si>
  <si>
    <t>='C:\Users\jaime.benazar\Quorum Business Solutions\Ecopetrol Prometeo - Documents\Planning Space Implementation\3. Analysis &amp; Design\Design\FC22\DRR Jaime\Neiva CPI\[VAO_DINA TERCIARIOS_CF_SEC_20230117.xlsx]CF PS'!$BX$57</t>
  </si>
  <si>
    <t>='C:\Users\jaime.benazar\Quorum Business Solutions\Ecopetrol Prometeo - Documents\Planning Space Implementation\3. Analysis &amp; Design\Design\FC22\DRR Jaime\Neiva CPI\[VAO_DINA TERCIARIOS_CF_SEC_20230117.xlsx]CF PS'!$BX$58</t>
  </si>
  <si>
    <t>='C:\Users\jaime.benazar\Quorum Business Solutions\Ecopetrol Prometeo - Documents\Planning Space Implementation\3. Analysis &amp; Design\Design\FC22\DRR Jaime\Neiva CPI\[VAO_DINA TERCIARIOS_CF_SEC_20230117.xlsx]CF PS'!$BX$59</t>
  </si>
  <si>
    <t>='C:\Users\jaime.benazar\Quorum Business Solutions\Ecopetrol Prometeo - Documents\Planning Space Implementation\3. Analysis &amp; Design\Design\FC22\DRR Jaime\Neiva CPI\[VAO_DINA TERCIARIOS_CF_SEC_20230117.xlsx]CF PS'!$BX$60</t>
  </si>
  <si>
    <t>='C:\Users\jaime.benazar\Quorum Business Solutions\Ecopetrol Prometeo - Documents\Planning Space Implementation\3. Analysis &amp; Design\Design\FC22\DRR Jaime\Neiva CPI\[VAO_DINA TERCIARIOS_CF_SEC_20230117.xlsx]CF PS'!$BX$61</t>
  </si>
  <si>
    <t>='C:\Users\jaime.benazar\Quorum Business Solutions\Ecopetrol Prometeo - Documents\Planning Space Implementation\3. Analysis &amp; Design\Design\FC22\DRR Jaime\Neiva CPI\[VAO_DINA TERCIARIOS_CF_SEC_20230117.xlsx]CF PS'!$BX$62</t>
  </si>
  <si>
    <t>='C:\Users\jaime.benazar\Quorum Business Solutions\Ecopetrol Prometeo - Documents\Planning Space Implementation\3. Analysis &amp; Design\Design\FC22\DRR Jaime\Neiva CPI\[VAO_DINA TERCIARIOS_CF_SEC_20230117.xlsx]CF PS'!$BX$63</t>
  </si>
  <si>
    <t>='C:\Users\jaime.benazar\Quorum Business Solutions\Ecopetrol Prometeo - Documents\Planning Space Implementation\3. Analysis &amp; Design\Design\FC22\DRR Jaime\Neiva CPI\[VAO_DINA TERCIARIOS_CF_SEC_20230117.xlsx]CF PS'!$BX$64</t>
  </si>
  <si>
    <t>='C:\Users\jaime.benazar\Quorum Business Solutions\Ecopetrol Prometeo - Documents\Planning Space Implementation\3. Analysis &amp; Design\Design\FC22\DRR Jaime\Neiva CPI\[VAO_DINA TERCIARIOS_CF_SEC_20230117.xlsx]CF PS'!$BX$65</t>
  </si>
  <si>
    <t>='C:\Users\jaime.benazar\Quorum Business Solutions\Ecopetrol Prometeo - Documents\Planning Space Implementation\3. Analysis &amp; Design\Design\FC22\DRR Jaime\Neiva CPI\[VAO_DINA TERCIARIOS_CF_SEC_20230117.xlsx]CF PS'!$BX$66</t>
  </si>
  <si>
    <t>='C:\Users\jaime.benazar\Quorum Business Solutions\Ecopetrol Prometeo - Documents\Planning Space Implementation\3. Analysis &amp; Design\Design\FC22\DRR Jaime\Neiva CPI\[VAO_DINA TERCIARIOS_CF_SEC_20230117.xlsx]CF PS'!$BX$67</t>
  </si>
  <si>
    <t>='C:\Users\jaime.benazar\Quorum Business Solutions\Ecopetrol Prometeo - Documents\Planning Space Implementation\3. Analysis &amp; Design\Design\FC22\DRR Jaime\Neiva CPI\[VAO_DINA TERCIARIOS_CF_SEC_20230117.xlsx]CF PS'!$BX$68</t>
  </si>
  <si>
    <t>='C:\Users\jaime.benazar\Quorum Business Solutions\Ecopetrol Prometeo - Documents\Planning Space Implementation\3. Analysis &amp; Design\Design\FC22\DRR Jaime\Neiva CPI\[VAO_DINA TERCIARIOS_CF_SEC_20230117.xlsx]CF PS'!$BX$69</t>
  </si>
  <si>
    <t>='C:\Users\jaime.benazar\Quorum Business Solutions\Ecopetrol Prometeo - Documents\Planning Space Implementation\3. Analysis &amp; Design\Design\FC22\DRR Jaime\Neiva CPI\[VAO_DINA TERCIARIOS_CF_SEC_20230117.xlsx]CF PS'!$BX$70</t>
  </si>
  <si>
    <t>='C:\Users\jaime.benazar\Quorum Business Solutions\Ecopetrol Prometeo - Documents\Planning Space Implementation\3. Analysis &amp; Design\Design\FC22\DRR Jaime\Neiva CPI\[VAO_DINA TERCIARIOS_CF_SEC_20230117.xlsx]CF PS'!$BX$71</t>
  </si>
  <si>
    <t>='C:\Users\jaime.benazar\Quorum Business Solutions\Ecopetrol Prometeo - Documents\Planning Space Implementation\3. Analysis &amp; Design\Design\FC22\DRR Jaime\Neiva CPI\[VAO_DINA TERCIARIOS_CF_SEC_20230117.xlsx]CF PS'!$BX$72</t>
  </si>
  <si>
    <t>='C:\Users\jaime.benazar\Quorum Business Solutions\Ecopetrol Prometeo - Documents\Planning Space Implementation\3. Analysis &amp; Design\Design\FC22\DRR Jaime\Neiva CPI\[VAO_DINA TERCIARIOS_CF_SEC_20230117.xlsx]CF PDP'!$BU$36</t>
  </si>
  <si>
    <t>='C:\Users\jaime.benazar\Quorum Business Solutions\Ecopetrol Prometeo - Documents\Planning Space Implementation\3. Analysis &amp; Design\Design\FC22\DRR Jaime\Neiva CPI\[VAO_DINA TERCIARIOS_CF_SEC_20230117.xlsx]CF PDP'!$BU$37</t>
  </si>
  <si>
    <t>='C:\Users\jaime.benazar\Quorum Business Solutions\Ecopetrol Prometeo - Documents\Planning Space Implementation\3. Analysis &amp; Design\Design\FC22\DRR Jaime\Neiva CPI\[VAO_DINA TERCIARIOS_CF_SEC_20230117.xlsx]CF PDP'!$BU$38</t>
  </si>
  <si>
    <t>='C:\Users\jaime.benazar\Quorum Business Solutions\Ecopetrol Prometeo - Documents\Planning Space Implementation\3. Analysis &amp; Design\Design\FC22\DRR Jaime\Neiva CPI\[VAO_DINA TERCIARIOS_CF_SEC_20230117.xlsx]CF PDP'!$BU$39</t>
  </si>
  <si>
    <t>='C:\Users\jaime.benazar\Quorum Business Solutions\Ecopetrol Prometeo - Documents\Planning Space Implementation\3. Analysis &amp; Design\Design\FC22\DRR Jaime\Neiva CPI\[VAO_DINA TERCIARIOS_CF_SEC_20230117.xlsx]CF PDP'!$BU$40</t>
  </si>
  <si>
    <t>='C:\Users\jaime.benazar\Quorum Business Solutions\Ecopetrol Prometeo - Documents\Planning Space Implementation\3. Analysis &amp; Design\Design\FC22\DRR Jaime\Neiva CPI\[VAO_DINA TERCIARIOS_CF_SEC_20230117.xlsx]CF PDP'!$BU$41</t>
  </si>
  <si>
    <t>='C:\Users\jaime.benazar\Quorum Business Solutions\Ecopetrol Prometeo - Documents\Planning Space Implementation\3. Analysis &amp; Design\Design\FC22\DRR Jaime\Neiva CPI\[VAO_DINA TERCIARIOS_CF_SEC_20230117.xlsx]CF PDP'!$BU$42</t>
  </si>
  <si>
    <t>='C:\Users\jaime.benazar\Quorum Business Solutions\Ecopetrol Prometeo - Documents\Planning Space Implementation\3. Analysis &amp; Design\Design\FC22\DRR Jaime\Neiva CPI\[VAO_DINA TERCIARIOS_CF_SEC_20230117.xlsx]CF PDP'!$BU$43</t>
  </si>
  <si>
    <t>='C:\Users\jaime.benazar\Quorum Business Solutions\Ecopetrol Prometeo - Documents\Planning Space Implementation\3. Analysis &amp; Design\Design\FC22\DRR Jaime\Neiva CPI\[VAO_DINA TERCIARIOS_CF_SEC_20230117.xlsx]CF PDP'!$BU$44</t>
  </si>
  <si>
    <t>='C:\Users\jaime.benazar\Quorum Business Solutions\Ecopetrol Prometeo - Documents\Planning Space Implementation\3. Analysis &amp; Design\Design\FC22\DRR Jaime\Neiva CPI\[VAO_DINA TERCIARIOS_CF_SEC_20230117.xlsx]CF PDP'!$BU$45</t>
  </si>
  <si>
    <t>='C:\Users\jaime.benazar\Quorum Business Solutions\Ecopetrol Prometeo - Documents\Planning Space Implementation\3. Analysis &amp; Design\Design\FC22\DRR Jaime\Neiva CPI\[VAO_DINA TERCIARIOS_CF_SEC_20230117.xlsx]CF PDP'!$BU$46</t>
  </si>
  <si>
    <t>='C:\Users\jaime.benazar\Quorum Business Solutions\Ecopetrol Prometeo - Documents\Planning Space Implementation\3. Analysis &amp; Design\Design\FC22\DRR Jaime\Neiva CPI\[VAO_DINA TERCIARIOS_CF_SEC_20230117.xlsx]CF PDP'!$BU$47</t>
  </si>
  <si>
    <t>='C:\Users\jaime.benazar\Quorum Business Solutions\Ecopetrol Prometeo - Documents\Planning Space Implementation\3. Analysis &amp; Design\Design\FC22\DRR Jaime\Neiva CPI\[VAO_DINA TERCIARIOS_CF_SEC_20230117.xlsx]CF PDP'!$BU$48</t>
  </si>
  <si>
    <t>='C:\Users\jaime.benazar\Quorum Business Solutions\Ecopetrol Prometeo - Documents\Planning Space Implementation\3. Analysis &amp; Design\Design\FC22\DRR Jaime\Neiva CPI\[VAO_DINA TERCIARIOS_CF_SEC_20230117.xlsx]CF PDP'!$BU$49</t>
  </si>
  <si>
    <t>='C:\Users\jaime.benazar\Quorum Business Solutions\Ecopetrol Prometeo - Documents\Planning Space Implementation\3. Analysis &amp; Design\Design\FC22\DRR Jaime\Neiva CPI\[VAO_DINA TERCIARIOS_CF_SEC_20230117.xlsx]CF PDP'!$BU$50</t>
  </si>
  <si>
    <t>='C:\Users\jaime.benazar\Quorum Business Solutions\Ecopetrol Prometeo - Documents\Planning Space Implementation\3. Analysis &amp; Design\Design\FC22\DRR Jaime\Neiva CPI\[VAO_DINA TERCIARIOS_CF_SEC_20230117.xlsx]CF PDP'!$BU$51</t>
  </si>
  <si>
    <t>='C:\Users\jaime.benazar\Quorum Business Solutions\Ecopetrol Prometeo - Documents\Planning Space Implementation\3. Analysis &amp; Design\Design\FC22\DRR Jaime\Neiva CPI\[VAO_DINA TERCIARIOS_CF_SEC_20230117.xlsx]CF PDP'!$BU$52</t>
  </si>
  <si>
    <t>='C:\Users\jaime.benazar\Quorum Business Solutions\Ecopetrol Prometeo - Documents\Planning Space Implementation\3. Analysis &amp; Design\Design\FC22\DRR Jaime\Neiva CPI\[VAO_DINA TERCIARIOS_CF_SEC_20230117.xlsx]CF PDP'!$BU$53</t>
  </si>
  <si>
    <t>='C:\Users\jaime.benazar\Quorum Business Solutions\Ecopetrol Prometeo - Documents\Planning Space Implementation\3. Analysis &amp; Design\Design\FC22\DRR Jaime\Neiva CPI\[VAO_DINA TERCIARIOS_CF_SEC_20230117.xlsx]CF PDP'!$BU$54</t>
  </si>
  <si>
    <t>='C:\Users\jaime.benazar\Quorum Business Solutions\Ecopetrol Prometeo - Documents\Planning Space Implementation\3. Analysis &amp; Design\Design\FC22\DRR Jaime\Neiva CPI\[VAO_DINA TERCIARIOS_CF_SEC_20230117.xlsx]CF PDP'!$BU$55</t>
  </si>
  <si>
    <t>='C:\Users\jaime.benazar\Quorum Business Solutions\Ecopetrol Prometeo - Documents\Planning Space Implementation\3. Analysis &amp; Design\Design\FC22\DRR Jaime\Neiva CPI\[VAO_DINA TERCIARIOS_CF_SEC_20230117.xlsx]CF PDP'!$BU$56</t>
  </si>
  <si>
    <t>='C:\Users\jaime.benazar\Quorum Business Solutions\Ecopetrol Prometeo - Documents\Planning Space Implementation\3. Analysis &amp; Design\Design\FC22\DRR Jaime\Neiva CPI\[VAO_DINA TERCIARIOS_CF_SEC_20230117.xlsx]CF PDP'!$BU$57</t>
  </si>
  <si>
    <t>='C:\Users\jaime.benazar\Quorum Business Solutions\Ecopetrol Prometeo - Documents\Planning Space Implementation\3. Analysis &amp; Design\Design\FC22\DRR Jaime\Neiva CPI\[VAO_DINA TERCIARIOS_CF_SEC_20230117.xlsx]CF PDP'!$BU$58</t>
  </si>
  <si>
    <t>='C:\Users\jaime.benazar\Quorum Business Solutions\Ecopetrol Prometeo - Documents\Planning Space Implementation\3. Analysis &amp; Design\Design\FC22\DRR Jaime\Neiva CPI\[VAO_DINA TERCIARIOS_CF_SEC_20230117.xlsx]CF PDP'!$BU$59</t>
  </si>
  <si>
    <t>='C:\Users\jaime.benazar\Quorum Business Solutions\Ecopetrol Prometeo - Documents\Planning Space Implementation\3. Analysis &amp; Design\Design\FC22\DRR Jaime\Neiva CPI\[VAO_DINA TERCIARIOS_CF_SEC_20230117.xlsx]CF PDP'!$BU$60</t>
  </si>
  <si>
    <t>='C:\Users\jaime.benazar\Quorum Business Solutions\Ecopetrol Prometeo - Documents\Planning Space Implementation\3. Analysis &amp; Design\Design\FC22\DRR Jaime\Neiva CPI\[VAO_DINA TERCIARIOS_CF_SEC_20230117.xlsx]CF PDP'!$BU$61</t>
  </si>
  <si>
    <t>='C:\Users\jaime.benazar\Quorum Business Solutions\Ecopetrol Prometeo - Documents\Planning Space Implementation\3. Analysis &amp; Design\Design\FC22\DRR Jaime\Neiva CPI\[VAO_DINA TERCIARIOS_CF_SEC_20230117.xlsx]CF PDP'!$BU$62</t>
  </si>
  <si>
    <t>='C:\Users\jaime.benazar\Quorum Business Solutions\Ecopetrol Prometeo - Documents\Planning Space Implementation\3. Analysis &amp; Design\Design\FC22\DRR Jaime\Neiva CPI\[VAO_DINA TERCIARIOS_CF_SEC_20230117.xlsx]CF PDP'!$BU$63</t>
  </si>
  <si>
    <t>='C:\Users\jaime.benazar\Quorum Business Solutions\Ecopetrol Prometeo - Documents\Planning Space Implementation\3. Analysis &amp; Design\Design\FC22\DRR Jaime\Neiva CPI\[VAO_DINA TERCIARIOS_CF_SEC_20230117.xlsx]CF PDP'!$BU$64</t>
  </si>
  <si>
    <t>='C:\Users\jaime.benazar\Quorum Business Solutions\Ecopetrol Prometeo - Documents\Planning Space Implementation\3. Analysis &amp; Design\Design\FC22\DRR Jaime\Neiva CPI\[VAO_DINA TERCIARIOS_CF_SEC_20230117.xlsx]CF PDP'!$BU$65</t>
  </si>
  <si>
    <t>='C:\Users\jaime.benazar\Quorum Business Solutions\Ecopetrol Prometeo - Documents\Planning Space Implementation\3. Analysis &amp; Design\Design\FC22\DRR Jaime\Neiva CPI\[VAO_DINA TERCIARIOS_CF_SEC_20230117.xlsx]CF PDP'!$BU$66</t>
  </si>
  <si>
    <t>='C:\Users\jaime.benazar\Quorum Business Solutions\Ecopetrol Prometeo - Documents\Planning Space Implementation\3. Analysis &amp; Design\Design\FC22\DRR Jaime\Neiva CPI\[VAO_DINA TERCIARIOS_CF_SEC_20230117.xlsx]CF PDP'!$BU$67</t>
  </si>
  <si>
    <t>='C:\Users\jaime.benazar\Quorum Business Solutions\Ecopetrol Prometeo - Documents\Planning Space Implementation\3. Analysis &amp; Design\Design\FC22\DRR Jaime\Neiva CPI\[VAO_DINA TERCIARIOS_CF_SEC_20230117.xlsx]CF PDP'!$BU$68</t>
  </si>
  <si>
    <t>='C:\Users\jaime.benazar\Quorum Business Solutions\Ecopetrol Prometeo - Documents\Planning Space Implementation\3. Analysis &amp; Design\Design\FC22\DRR Jaime\Neiva CPI\[VAO_DINA TERCIARIOS_CF_SEC_20230117.xlsx]CF PDP'!$BU$69</t>
  </si>
  <si>
    <t>='C:\Users\jaime.benazar\Quorum Business Solutions\Ecopetrol Prometeo - Documents\Planning Space Implementation\3. Analysis &amp; Design\Design\FC22\DRR Jaime\Neiva CPI\[VAO_DINA TERCIARIOS_CF_SEC_20230117.xlsx]CF PDP'!$BU$70</t>
  </si>
  <si>
    <t>='C:\Users\jaime.benazar\Quorum Business Solutions\Ecopetrol Prometeo - Documents\Planning Space Implementation\3. Analysis &amp; Design\Design\FC22\DRR Jaime\Neiva CPI\[VAO_DINA TERCIARIOS_CF_SEC_20230117.xlsx]CF PDP'!$BU$71</t>
  </si>
  <si>
    <t>='C:\Users\jaime.benazar\Quorum Business Solutions\Ecopetrol Prometeo - Documents\Planning Space Implementation\3. Analysis &amp; Design\Design\FC22\DRR Jaime\Neiva CPI\[VAO_DINA TERCIARIOS_CF_SEC_20230117.xlsx]CF PDP'!$BU$72</t>
  </si>
  <si>
    <t>='C:\Users\jaime.benazar\Quorum Business Solutions\Ecopetrol Prometeo - Documents\Planning Space Implementation\3. Analysis &amp; Design\Design\FC22\DRR Jaime\Neiva CPI\[VAO_DINA TERCIARIOS_CF_SEC_20230117.xlsx]CF PNP'!$BU$36</t>
  </si>
  <si>
    <t>='C:\Users\jaime.benazar\Quorum Business Solutions\Ecopetrol Prometeo - Documents\Planning Space Implementation\3. Analysis &amp; Design\Design\FC22\DRR Jaime\Neiva CPI\[VAO_DINA TERCIARIOS_CF_SEC_20230117.xlsx]CF PNP'!$BU$37</t>
  </si>
  <si>
    <t>='C:\Users\jaime.benazar\Quorum Business Solutions\Ecopetrol Prometeo - Documents\Planning Space Implementation\3. Analysis &amp; Design\Design\FC22\DRR Jaime\Neiva CPI\[VAO_DINA TERCIARIOS_CF_SEC_20230117.xlsx]CF PNP'!$BU$38</t>
  </si>
  <si>
    <t>='C:\Users\jaime.benazar\Quorum Business Solutions\Ecopetrol Prometeo - Documents\Planning Space Implementation\3. Analysis &amp; Design\Design\FC22\DRR Jaime\Neiva CPI\[VAO_DINA TERCIARIOS_CF_SEC_20230117.xlsx]CF PNP'!$BU$39</t>
  </si>
  <si>
    <t>='C:\Users\jaime.benazar\Quorum Business Solutions\Ecopetrol Prometeo - Documents\Planning Space Implementation\3. Analysis &amp; Design\Design\FC22\DRR Jaime\Neiva CPI\[VAO_DINA TERCIARIOS_CF_SEC_20230117.xlsx]CF PNP'!$BU$40</t>
  </si>
  <si>
    <t>='C:\Users\jaime.benazar\Quorum Business Solutions\Ecopetrol Prometeo - Documents\Planning Space Implementation\3. Analysis &amp; Design\Design\FC22\DRR Jaime\Neiva CPI\[VAO_DINA TERCIARIOS_CF_SEC_20230117.xlsx]CF PNP'!$BU$41</t>
  </si>
  <si>
    <t>='C:\Users\jaime.benazar\Quorum Business Solutions\Ecopetrol Prometeo - Documents\Planning Space Implementation\3. Analysis &amp; Design\Design\FC22\DRR Jaime\Neiva CPI\[VAO_DINA TERCIARIOS_CF_SEC_20230117.xlsx]CF PNP'!$BU$42</t>
  </si>
  <si>
    <t>='C:\Users\jaime.benazar\Quorum Business Solutions\Ecopetrol Prometeo - Documents\Planning Space Implementation\3. Analysis &amp; Design\Design\FC22\DRR Jaime\Neiva CPI\[VAO_DINA TERCIARIOS_CF_SEC_20230117.xlsx]CF PNP'!$BU$43</t>
  </si>
  <si>
    <t>='C:\Users\jaime.benazar\Quorum Business Solutions\Ecopetrol Prometeo - Documents\Planning Space Implementation\3. Analysis &amp; Design\Design\FC22\DRR Jaime\Neiva CPI\[VAO_DINA TERCIARIOS_CF_SEC_20230117.xlsx]CF PNP'!$BU$44</t>
  </si>
  <si>
    <t>='C:\Users\jaime.benazar\Quorum Business Solutions\Ecopetrol Prometeo - Documents\Planning Space Implementation\3. Analysis &amp; Design\Design\FC22\DRR Jaime\Neiva CPI\[VAO_DINA TERCIARIOS_CF_SEC_20230117.xlsx]CF PNP'!$BU$45</t>
  </si>
  <si>
    <t>='C:\Users\jaime.benazar\Quorum Business Solutions\Ecopetrol Prometeo - Documents\Planning Space Implementation\3. Analysis &amp; Design\Design\FC22\DRR Jaime\Neiva CPI\[VAO_DINA TERCIARIOS_CF_SEC_20230117.xlsx]CF PNP'!$BU$46</t>
  </si>
  <si>
    <t>='C:\Users\jaime.benazar\Quorum Business Solutions\Ecopetrol Prometeo - Documents\Planning Space Implementation\3. Analysis &amp; Design\Design\FC22\DRR Jaime\Neiva CPI\[VAO_DINA TERCIARIOS_CF_SEC_20230117.xlsx]CF PNP'!$BU$47</t>
  </si>
  <si>
    <t>='C:\Users\jaime.benazar\Quorum Business Solutions\Ecopetrol Prometeo - Documents\Planning Space Implementation\3. Analysis &amp; Design\Design\FC22\DRR Jaime\Neiva CPI\[VAO_DINA TERCIARIOS_CF_SEC_20230117.xlsx]CF PNP'!$BU$48</t>
  </si>
  <si>
    <t>='C:\Users\jaime.benazar\Quorum Business Solutions\Ecopetrol Prometeo - Documents\Planning Space Implementation\3. Analysis &amp; Design\Design\FC22\DRR Jaime\Neiva CPI\[VAO_DINA TERCIARIOS_CF_SEC_20230117.xlsx]CF PNP'!$BU$49</t>
  </si>
  <si>
    <t>='C:\Users\jaime.benazar\Quorum Business Solutions\Ecopetrol Prometeo - Documents\Planning Space Implementation\3. Analysis &amp; Design\Design\FC22\DRR Jaime\Neiva CPI\[VAO_DINA TERCIARIOS_CF_SEC_20230117.xlsx]CF PNP'!$BU$50</t>
  </si>
  <si>
    <t>='C:\Users\jaime.benazar\Quorum Business Solutions\Ecopetrol Prometeo - Documents\Planning Space Implementation\3. Analysis &amp; Design\Design\FC22\DRR Jaime\Neiva CPI\[VAO_DINA TERCIARIOS_CF_SEC_20230117.xlsx]CF PNP'!$BU$51</t>
  </si>
  <si>
    <t>='C:\Users\jaime.benazar\Quorum Business Solutions\Ecopetrol Prometeo - Documents\Planning Space Implementation\3. Analysis &amp; Design\Design\FC22\DRR Jaime\Neiva CPI\[VAO_DINA TERCIARIOS_CF_SEC_20230117.xlsx]CF PNP'!$BU$52</t>
  </si>
  <si>
    <t>='C:\Users\jaime.benazar\Quorum Business Solutions\Ecopetrol Prometeo - Documents\Planning Space Implementation\3. Analysis &amp; Design\Design\FC22\DRR Jaime\Neiva CPI\[VAO_DINA TERCIARIOS_CF_SEC_20230117.xlsx]CF PNP'!$BU$53</t>
  </si>
  <si>
    <t>='C:\Users\jaime.benazar\Quorum Business Solutions\Ecopetrol Prometeo - Documents\Planning Space Implementation\3. Analysis &amp; Design\Design\FC22\DRR Jaime\Neiva CPI\[VAO_DINA TERCIARIOS_CF_SEC_20230117.xlsx]CF PNP'!$BU$54</t>
  </si>
  <si>
    <t>='C:\Users\jaime.benazar\Quorum Business Solutions\Ecopetrol Prometeo - Documents\Planning Space Implementation\3. Analysis &amp; Design\Design\FC22\DRR Jaime\Neiva CPI\[VAO_DINA TERCIARIOS_CF_SEC_20230117.xlsx]CF PNP'!$BU$55</t>
  </si>
  <si>
    <t>='C:\Users\jaime.benazar\Quorum Business Solutions\Ecopetrol Prometeo - Documents\Planning Space Implementation\3. Analysis &amp; Design\Design\FC22\DRR Jaime\Neiva CPI\[VAO_DINA TERCIARIOS_CF_SEC_20230117.xlsx]CF PNP'!$BU$56</t>
  </si>
  <si>
    <t>='C:\Users\jaime.benazar\Quorum Business Solutions\Ecopetrol Prometeo - Documents\Planning Space Implementation\3. Analysis &amp; Design\Design\FC22\DRR Jaime\Neiva CPI\[VAO_DINA TERCIARIOS_CF_SEC_20230117.xlsx]CF PNP'!$BU$57</t>
  </si>
  <si>
    <t>='C:\Users\jaime.benazar\Quorum Business Solutions\Ecopetrol Prometeo - Documents\Planning Space Implementation\3. Analysis &amp; Design\Design\FC22\DRR Jaime\Neiva CPI\[VAO_DINA TERCIARIOS_CF_SEC_20230117.xlsx]CF PNP'!$BU$58</t>
  </si>
  <si>
    <t>='C:\Users\jaime.benazar\Quorum Business Solutions\Ecopetrol Prometeo - Documents\Planning Space Implementation\3. Analysis &amp; Design\Design\FC22\DRR Jaime\Neiva CPI\[VAO_DINA TERCIARIOS_CF_SEC_20230117.xlsx]CF PNP'!$BU$59</t>
  </si>
  <si>
    <t>='C:\Users\jaime.benazar\Quorum Business Solutions\Ecopetrol Prometeo - Documents\Planning Space Implementation\3. Analysis &amp; Design\Design\FC22\DRR Jaime\Neiva CPI\[VAO_DINA TERCIARIOS_CF_SEC_20230117.xlsx]CF PNP'!$BU$60</t>
  </si>
  <si>
    <t>='C:\Users\jaime.benazar\Quorum Business Solutions\Ecopetrol Prometeo - Documents\Planning Space Implementation\3. Analysis &amp; Design\Design\FC22\DRR Jaime\Neiva CPI\[VAO_DINA TERCIARIOS_CF_SEC_20230117.xlsx]CF PNP'!$BU$61</t>
  </si>
  <si>
    <t>='C:\Users\jaime.benazar\Quorum Business Solutions\Ecopetrol Prometeo - Documents\Planning Space Implementation\3. Analysis &amp; Design\Design\FC22\DRR Jaime\Neiva CPI\[VAO_DINA TERCIARIOS_CF_SEC_20230117.xlsx]CF PNP'!$BU$62</t>
  </si>
  <si>
    <t>='C:\Users\jaime.benazar\Quorum Business Solutions\Ecopetrol Prometeo - Documents\Planning Space Implementation\3. Analysis &amp; Design\Design\FC22\DRR Jaime\Neiva CPI\[VAO_DINA TERCIARIOS_CF_SEC_20230117.xlsx]CF PNP'!$BU$63</t>
  </si>
  <si>
    <t>='C:\Users\jaime.benazar\Quorum Business Solutions\Ecopetrol Prometeo - Documents\Planning Space Implementation\3. Analysis &amp; Design\Design\FC22\DRR Jaime\Neiva CPI\[VAO_DINA TERCIARIOS_CF_SEC_20230117.xlsx]CF PNP'!$BU$64</t>
  </si>
  <si>
    <t>='C:\Users\jaime.benazar\Quorum Business Solutions\Ecopetrol Prometeo - Documents\Planning Space Implementation\3. Analysis &amp; Design\Design\FC22\DRR Jaime\Neiva CPI\[VAO_DINA TERCIARIOS_CF_SEC_20230117.xlsx]CF PNP'!$BU$65</t>
  </si>
  <si>
    <t>='C:\Users\jaime.benazar\Quorum Business Solutions\Ecopetrol Prometeo - Documents\Planning Space Implementation\3. Analysis &amp; Design\Design\FC22\DRR Jaime\Neiva CPI\[VAO_DINA TERCIARIOS_CF_SEC_20230117.xlsx]CF PNP'!$BU$66</t>
  </si>
  <si>
    <t>='C:\Users\jaime.benazar\Quorum Business Solutions\Ecopetrol Prometeo - Documents\Planning Space Implementation\3. Analysis &amp; Design\Design\FC22\DRR Jaime\Neiva CPI\[VAO_DINA TERCIARIOS_CF_SEC_20230117.xlsx]CF PNP'!$BU$67</t>
  </si>
  <si>
    <t>='C:\Users\jaime.benazar\Quorum Business Solutions\Ecopetrol Prometeo - Documents\Planning Space Implementation\3. Analysis &amp; Design\Design\FC22\DRR Jaime\Neiva CPI\[VAO_DINA TERCIARIOS_CF_SEC_20230117.xlsx]CF PNP'!$BU$68</t>
  </si>
  <si>
    <t>='C:\Users\jaime.benazar\Quorum Business Solutions\Ecopetrol Prometeo - Documents\Planning Space Implementation\3. Analysis &amp; Design\Design\FC22\DRR Jaime\Neiva CPI\[VAO_DINA TERCIARIOS_CF_SEC_20230117.xlsx]CF PNP'!$BU$69</t>
  </si>
  <si>
    <t>='C:\Users\jaime.benazar\Quorum Business Solutions\Ecopetrol Prometeo - Documents\Planning Space Implementation\3. Analysis &amp; Design\Design\FC22\DRR Jaime\Neiva CPI\[VAO_DINA TERCIARIOS_CF_SEC_20230117.xlsx]CF PNP'!$BU$70</t>
  </si>
  <si>
    <t>='C:\Users\jaime.benazar\Quorum Business Solutions\Ecopetrol Prometeo - Documents\Planning Space Implementation\3. Analysis &amp; Design\Design\FC22\DRR Jaime\Neiva CPI\[VAO_DINA TERCIARIOS_CF_SEC_20230117.xlsx]CF PNP'!$BU$71</t>
  </si>
  <si>
    <t>='C:\Users\jaime.benazar\Quorum Business Solutions\Ecopetrol Prometeo - Documents\Planning Space Implementation\3. Analysis &amp; Design\Design\FC22\DRR Jaime\Neiva CPI\[VAO_DINA TERCIARIOS_CF_SEC_20230117.xlsx]CF PNP'!$BU$72</t>
  </si>
  <si>
    <t>='C:\Users\jaime.benazar\Quorum Business Solutions\Ecopetrol Prometeo - Documents\Planning Space Implementation\3. Analysis &amp; Design\Design\FC22\DRR Jaime\Neiva CPI\[VAO_DINA TERCIARIOS_CF_SEC_20230117.xlsx]CF PND'!$BU$36</t>
  </si>
  <si>
    <t>='C:\Users\jaime.benazar\Quorum Business Solutions\Ecopetrol Prometeo - Documents\Planning Space Implementation\3. Analysis &amp; Design\Design\FC22\DRR Jaime\Neiva CPI\[VAO_DINA TERCIARIOS_CF_SEC_20230117.xlsx]CF PND'!$BU$37</t>
  </si>
  <si>
    <t>='C:\Users\jaime.benazar\Quorum Business Solutions\Ecopetrol Prometeo - Documents\Planning Space Implementation\3. Analysis &amp; Design\Design\FC22\DRR Jaime\Neiva CPI\[VAO_DINA TERCIARIOS_CF_SEC_20230117.xlsx]CF PND'!$BU$38</t>
  </si>
  <si>
    <t>='C:\Users\jaime.benazar\Quorum Business Solutions\Ecopetrol Prometeo - Documents\Planning Space Implementation\3. Analysis &amp; Design\Design\FC22\DRR Jaime\Neiva CPI\[VAO_DINA TERCIARIOS_CF_SEC_20230117.xlsx]CF PND'!$BU$39</t>
  </si>
  <si>
    <t>='C:\Users\jaime.benazar\Quorum Business Solutions\Ecopetrol Prometeo - Documents\Planning Space Implementation\3. Analysis &amp; Design\Design\FC22\DRR Jaime\Neiva CPI\[VAO_DINA TERCIARIOS_CF_SEC_20230117.xlsx]CF PND'!$BU$40</t>
  </si>
  <si>
    <t>='C:\Users\jaime.benazar\Quorum Business Solutions\Ecopetrol Prometeo - Documents\Planning Space Implementation\3. Analysis &amp; Design\Design\FC22\DRR Jaime\Neiva CPI\[VAO_DINA TERCIARIOS_CF_SEC_20230117.xlsx]CF PND'!$BU$41</t>
  </si>
  <si>
    <t>='C:\Users\jaime.benazar\Quorum Business Solutions\Ecopetrol Prometeo - Documents\Planning Space Implementation\3. Analysis &amp; Design\Design\FC22\DRR Jaime\Neiva CPI\[VAO_DINA TERCIARIOS_CF_SEC_20230117.xlsx]CF PND'!$BU$42</t>
  </si>
  <si>
    <t>='C:\Users\jaime.benazar\Quorum Business Solutions\Ecopetrol Prometeo - Documents\Planning Space Implementation\3. Analysis &amp; Design\Design\FC22\DRR Jaime\Neiva CPI\[VAO_DINA TERCIARIOS_CF_SEC_20230117.xlsx]CF PND'!$BU$43</t>
  </si>
  <si>
    <t>='C:\Users\jaime.benazar\Quorum Business Solutions\Ecopetrol Prometeo - Documents\Planning Space Implementation\3. Analysis &amp; Design\Design\FC22\DRR Jaime\Neiva CPI\[VAO_DINA TERCIARIOS_CF_SEC_20230117.xlsx]CF PND'!$BU$44</t>
  </si>
  <si>
    <t>='C:\Users\jaime.benazar\Quorum Business Solutions\Ecopetrol Prometeo - Documents\Planning Space Implementation\3. Analysis &amp; Design\Design\FC22\DRR Jaime\Neiva CPI\[VAO_DINA TERCIARIOS_CF_SEC_20230117.xlsx]CF PND'!$BU$45</t>
  </si>
  <si>
    <t>='C:\Users\jaime.benazar\Quorum Business Solutions\Ecopetrol Prometeo - Documents\Planning Space Implementation\3. Analysis &amp; Design\Design\FC22\DRR Jaime\Neiva CPI\[VAO_DINA TERCIARIOS_CF_SEC_20230117.xlsx]CF PND'!$BU$46</t>
  </si>
  <si>
    <t>='C:\Users\jaime.benazar\Quorum Business Solutions\Ecopetrol Prometeo - Documents\Planning Space Implementation\3. Analysis &amp; Design\Design\FC22\DRR Jaime\Neiva CPI\[VAO_DINA TERCIARIOS_CF_SEC_20230117.xlsx]CF PND'!$BU$47</t>
  </si>
  <si>
    <t>='C:\Users\jaime.benazar\Quorum Business Solutions\Ecopetrol Prometeo - Documents\Planning Space Implementation\3. Analysis &amp; Design\Design\FC22\DRR Jaime\Neiva CPI\[VAO_DINA TERCIARIOS_CF_SEC_20230117.xlsx]CF PND'!$BU$48</t>
  </si>
  <si>
    <t>='C:\Users\jaime.benazar\Quorum Business Solutions\Ecopetrol Prometeo - Documents\Planning Space Implementation\3. Analysis &amp; Design\Design\FC22\DRR Jaime\Neiva CPI\[VAO_DINA TERCIARIOS_CF_SEC_20230117.xlsx]CF PND'!$BU$49</t>
  </si>
  <si>
    <t>='C:\Users\jaime.benazar\Quorum Business Solutions\Ecopetrol Prometeo - Documents\Planning Space Implementation\3. Analysis &amp; Design\Design\FC22\DRR Jaime\Neiva CPI\[VAO_DINA TERCIARIOS_CF_SEC_20230117.xlsx]CF PND'!$BU$50</t>
  </si>
  <si>
    <t>='C:\Users\jaime.benazar\Quorum Business Solutions\Ecopetrol Prometeo - Documents\Planning Space Implementation\3. Analysis &amp; Design\Design\FC22\DRR Jaime\Neiva CPI\[VAO_DINA TERCIARIOS_CF_SEC_20230117.xlsx]CF PND'!$BU$51</t>
  </si>
  <si>
    <t>='C:\Users\jaime.benazar\Quorum Business Solutions\Ecopetrol Prometeo - Documents\Planning Space Implementation\3. Analysis &amp; Design\Design\FC22\DRR Jaime\Neiva CPI\[VAO_DINA TERCIARIOS_CF_SEC_20230117.xlsx]CF PND'!$BU$52</t>
  </si>
  <si>
    <t>='C:\Users\jaime.benazar\Quorum Business Solutions\Ecopetrol Prometeo - Documents\Planning Space Implementation\3. Analysis &amp; Design\Design\FC22\DRR Jaime\Neiva CPI\[VAO_DINA TERCIARIOS_CF_SEC_20230117.xlsx]CF PND'!$BU$53</t>
  </si>
  <si>
    <t>='C:\Users\jaime.benazar\Quorum Business Solutions\Ecopetrol Prometeo - Documents\Planning Space Implementation\3. Analysis &amp; Design\Design\FC22\DRR Jaime\Neiva CPI\[VAO_DINA TERCIARIOS_CF_SEC_20230117.xlsx]CF PND'!$BU$54</t>
  </si>
  <si>
    <t>='C:\Users\jaime.benazar\Quorum Business Solutions\Ecopetrol Prometeo - Documents\Planning Space Implementation\3. Analysis &amp; Design\Design\FC22\DRR Jaime\Neiva CPI\[VAO_DINA TERCIARIOS_CF_SEC_20230117.xlsx]CF PND'!$BU$55</t>
  </si>
  <si>
    <t>='C:\Users\jaime.benazar\Quorum Business Solutions\Ecopetrol Prometeo - Documents\Planning Space Implementation\3. Analysis &amp; Design\Design\FC22\DRR Jaime\Neiva CPI\[VAO_DINA TERCIARIOS_CF_SEC_20230117.xlsx]CF PND'!$BU$56</t>
  </si>
  <si>
    <t>='C:\Users\jaime.benazar\Quorum Business Solutions\Ecopetrol Prometeo - Documents\Planning Space Implementation\3. Analysis &amp; Design\Design\FC22\DRR Jaime\Neiva CPI\[VAO_DINA TERCIARIOS_CF_SEC_20230117.xlsx]CF PND'!$BU$57</t>
  </si>
  <si>
    <t>='C:\Users\jaime.benazar\Quorum Business Solutions\Ecopetrol Prometeo - Documents\Planning Space Implementation\3. Analysis &amp; Design\Design\FC22\DRR Jaime\Neiva CPI\[VAO_DINA TERCIARIOS_CF_SEC_20230117.xlsx]CF PND'!$BU$58</t>
  </si>
  <si>
    <t>='C:\Users\jaime.benazar\Quorum Business Solutions\Ecopetrol Prometeo - Documents\Planning Space Implementation\3. Analysis &amp; Design\Design\FC22\DRR Jaime\Neiva CPI\[VAO_DINA TERCIARIOS_CF_SEC_20230117.xlsx]CF PND'!$BU$59</t>
  </si>
  <si>
    <t>='C:\Users\jaime.benazar\Quorum Business Solutions\Ecopetrol Prometeo - Documents\Planning Space Implementation\3. Analysis &amp; Design\Design\FC22\DRR Jaime\Neiva CPI\[VAO_DINA TERCIARIOS_CF_SEC_20230117.xlsx]CF PND'!$BU$60</t>
  </si>
  <si>
    <t>='C:\Users\jaime.benazar\Quorum Business Solutions\Ecopetrol Prometeo - Documents\Planning Space Implementation\3. Analysis &amp; Design\Design\FC22\DRR Jaime\Neiva CPI\[VAO_DINA TERCIARIOS_CF_SEC_20230117.xlsx]CF PND'!$BU$61</t>
  </si>
  <si>
    <t>='C:\Users\jaime.benazar\Quorum Business Solutions\Ecopetrol Prometeo - Documents\Planning Space Implementation\3. Analysis &amp; Design\Design\FC22\DRR Jaime\Neiva CPI\[VAO_DINA TERCIARIOS_CF_SEC_20230117.xlsx]CF PND'!$BU$62</t>
  </si>
  <si>
    <t>='C:\Users\jaime.benazar\Quorum Business Solutions\Ecopetrol Prometeo - Documents\Planning Space Implementation\3. Analysis &amp; Design\Design\FC22\DRR Jaime\Neiva CPI\[VAO_DINA TERCIARIOS_CF_SEC_20230117.xlsx]CF PND'!$BU$63</t>
  </si>
  <si>
    <t>='C:\Users\jaime.benazar\Quorum Business Solutions\Ecopetrol Prometeo - Documents\Planning Space Implementation\3. Analysis &amp; Design\Design\FC22\DRR Jaime\Neiva CPI\[VAO_DINA TERCIARIOS_CF_SEC_20230117.xlsx]CF PND'!$BU$64</t>
  </si>
  <si>
    <t>='C:\Users\jaime.benazar\Quorum Business Solutions\Ecopetrol Prometeo - Documents\Planning Space Implementation\3. Analysis &amp; Design\Design\FC22\DRR Jaime\Neiva CPI\[VAO_DINA TERCIARIOS_CF_SEC_20230117.xlsx]CF PND'!$BU$65</t>
  </si>
  <si>
    <t>='C:\Users\jaime.benazar\Quorum Business Solutions\Ecopetrol Prometeo - Documents\Planning Space Implementation\3. Analysis &amp; Design\Design\FC22\DRR Jaime\Neiva CPI\[VAO_DINA TERCIARIOS_CF_SEC_20230117.xlsx]CF PND'!$BU$66</t>
  </si>
  <si>
    <t>='C:\Users\jaime.benazar\Quorum Business Solutions\Ecopetrol Prometeo - Documents\Planning Space Implementation\3. Analysis &amp; Design\Design\FC22\DRR Jaime\Neiva CPI\[VAO_DINA TERCIARIOS_CF_SEC_20230117.xlsx]CF PND'!$BU$67</t>
  </si>
  <si>
    <t>='C:\Users\jaime.benazar\Quorum Business Solutions\Ecopetrol Prometeo - Documents\Planning Space Implementation\3. Analysis &amp; Design\Design\FC22\DRR Jaime\Neiva CPI\[VAO_DINA TERCIARIOS_CF_SEC_20230117.xlsx]CF PND'!$BU$68</t>
  </si>
  <si>
    <t>='C:\Users\jaime.benazar\Quorum Business Solutions\Ecopetrol Prometeo - Documents\Planning Space Implementation\3. Analysis &amp; Design\Design\FC22\DRR Jaime\Neiva CPI\[VAO_DINA TERCIARIOS_CF_SEC_20230117.xlsx]CF PND'!$BU$69</t>
  </si>
  <si>
    <t>='C:\Users\jaime.benazar\Quorum Business Solutions\Ecopetrol Prometeo - Documents\Planning Space Implementation\3. Analysis &amp; Design\Design\FC22\DRR Jaime\Neiva CPI\[VAO_DINA TERCIARIOS_CF_SEC_20230117.xlsx]CF PND'!$BU$70</t>
  </si>
  <si>
    <t>='C:\Users\jaime.benazar\Quorum Business Solutions\Ecopetrol Prometeo - Documents\Planning Space Implementation\3. Analysis &amp; Design\Design\FC22\DRR Jaime\Neiva CPI\[VAO_DINA TERCIARIOS_CF_SEC_20230117.xlsx]CF PND'!$BU$71</t>
  </si>
  <si>
    <t>='C:\Users\jaime.benazar\Quorum Business Solutions\Ecopetrol Prometeo - Documents\Planning Space Implementation\3. Analysis &amp; Design\Design\FC22\DRR Jaime\Neiva CPI\[VAO_DINA TERCIARIOS_CF_SEC_20230117.xlsx]CF PND'!$BU$72</t>
  </si>
  <si>
    <t>='C:\Users\jaime.benazar\Quorum Business Solutions\Ecopetrol Prometeo - Documents\Planning Space Implementation\3. Analysis &amp; Design\Design\FC22\DRR Jaime\Neiva CPI\[VAO_DINA TERCIARIOS_CF_SEC_20230117.xlsx]CF PRB'!$BU$36</t>
  </si>
  <si>
    <t>='C:\Users\jaime.benazar\Quorum Business Solutions\Ecopetrol Prometeo - Documents\Planning Space Implementation\3. Analysis &amp; Design\Design\FC22\DRR Jaime\Neiva CPI\[VAO_DINA TERCIARIOS_CF_SEC_20230117.xlsx]CF PRB'!$BU$37</t>
  </si>
  <si>
    <t>='C:\Users\jaime.benazar\Quorum Business Solutions\Ecopetrol Prometeo - Documents\Planning Space Implementation\3. Analysis &amp; Design\Design\FC22\DRR Jaime\Neiva CPI\[VAO_DINA TERCIARIOS_CF_SEC_20230117.xlsx]CF PRB'!$BU$38</t>
  </si>
  <si>
    <t>='C:\Users\jaime.benazar\Quorum Business Solutions\Ecopetrol Prometeo - Documents\Planning Space Implementation\3. Analysis &amp; Design\Design\FC22\DRR Jaime\Neiva CPI\[VAO_DINA TERCIARIOS_CF_SEC_20230117.xlsx]CF PRB'!$BU$39</t>
  </si>
  <si>
    <t>='C:\Users\jaime.benazar\Quorum Business Solutions\Ecopetrol Prometeo - Documents\Planning Space Implementation\3. Analysis &amp; Design\Design\FC22\DRR Jaime\Neiva CPI\[VAO_DINA TERCIARIOS_CF_SEC_20230117.xlsx]CF PRB'!$BU$40</t>
  </si>
  <si>
    <t>='C:\Users\jaime.benazar\Quorum Business Solutions\Ecopetrol Prometeo - Documents\Planning Space Implementation\3. Analysis &amp; Design\Design\FC22\DRR Jaime\Neiva CPI\[VAO_DINA TERCIARIOS_CF_SEC_20230117.xlsx]CF PRB'!$BU$41</t>
  </si>
  <si>
    <t>='C:\Users\jaime.benazar\Quorum Business Solutions\Ecopetrol Prometeo - Documents\Planning Space Implementation\3. Analysis &amp; Design\Design\FC22\DRR Jaime\Neiva CPI\[VAO_DINA TERCIARIOS_CF_SEC_20230117.xlsx]CF PRB'!$BU$42</t>
  </si>
  <si>
    <t>='C:\Users\jaime.benazar\Quorum Business Solutions\Ecopetrol Prometeo - Documents\Planning Space Implementation\3. Analysis &amp; Design\Design\FC22\DRR Jaime\Neiva CPI\[VAO_DINA TERCIARIOS_CF_SEC_20230117.xlsx]CF PRB'!$BU$43</t>
  </si>
  <si>
    <t>='C:\Users\jaime.benazar\Quorum Business Solutions\Ecopetrol Prometeo - Documents\Planning Space Implementation\3. Analysis &amp; Design\Design\FC22\DRR Jaime\Neiva CPI\[VAO_DINA TERCIARIOS_CF_SEC_20230117.xlsx]CF PRB'!$BU$44</t>
  </si>
  <si>
    <t>='C:\Users\jaime.benazar\Quorum Business Solutions\Ecopetrol Prometeo - Documents\Planning Space Implementation\3. Analysis &amp; Design\Design\FC22\DRR Jaime\Neiva CPI\[VAO_DINA TERCIARIOS_CF_SEC_20230117.xlsx]CF PRB'!$BU$45</t>
  </si>
  <si>
    <t>='C:\Users\jaime.benazar\Quorum Business Solutions\Ecopetrol Prometeo - Documents\Planning Space Implementation\3. Analysis &amp; Design\Design\FC22\DRR Jaime\Neiva CPI\[VAO_DINA TERCIARIOS_CF_SEC_20230117.xlsx]CF PRB'!$BU$46</t>
  </si>
  <si>
    <t>='C:\Users\jaime.benazar\Quorum Business Solutions\Ecopetrol Prometeo - Documents\Planning Space Implementation\3. Analysis &amp; Design\Design\FC22\DRR Jaime\Neiva CPI\[VAO_DINA TERCIARIOS_CF_SEC_20230117.xlsx]CF PRB'!$BU$47</t>
  </si>
  <si>
    <t>='C:\Users\jaime.benazar\Quorum Business Solutions\Ecopetrol Prometeo - Documents\Planning Space Implementation\3. Analysis &amp; Design\Design\FC22\DRR Jaime\Neiva CPI\[VAO_DINA TERCIARIOS_CF_SEC_20230117.xlsx]CF PRB'!$BU$48</t>
  </si>
  <si>
    <t>='C:\Users\jaime.benazar\Quorum Business Solutions\Ecopetrol Prometeo - Documents\Planning Space Implementation\3. Analysis &amp; Design\Design\FC22\DRR Jaime\Neiva CPI\[VAO_DINA TERCIARIOS_CF_SEC_20230117.xlsx]CF PRB'!$BU$49</t>
  </si>
  <si>
    <t>='C:\Users\jaime.benazar\Quorum Business Solutions\Ecopetrol Prometeo - Documents\Planning Space Implementation\3. Analysis &amp; Design\Design\FC22\DRR Jaime\Neiva CPI\[VAO_DINA TERCIARIOS_CF_SEC_20230117.xlsx]CF PRB'!$BU$50</t>
  </si>
  <si>
    <t>='C:\Users\jaime.benazar\Quorum Business Solutions\Ecopetrol Prometeo - Documents\Planning Space Implementation\3. Analysis &amp; Design\Design\FC22\DRR Jaime\Neiva CPI\[VAO_DINA TERCIARIOS_CF_SEC_20230117.xlsx]CF PRB'!$BU$51</t>
  </si>
  <si>
    <t>='C:\Users\jaime.benazar\Quorum Business Solutions\Ecopetrol Prometeo - Documents\Planning Space Implementation\3. Analysis &amp; Design\Design\FC22\DRR Jaime\Neiva CPI\[VAO_DINA TERCIARIOS_CF_SEC_20230117.xlsx]CF PRB'!$BU$52</t>
  </si>
  <si>
    <t>='C:\Users\jaime.benazar\Quorum Business Solutions\Ecopetrol Prometeo - Documents\Planning Space Implementation\3. Analysis &amp; Design\Design\FC22\DRR Jaime\Neiva CPI\[VAO_DINA TERCIARIOS_CF_SEC_20230117.xlsx]CF PRB'!$BU$53</t>
  </si>
  <si>
    <t>='C:\Users\jaime.benazar\Quorum Business Solutions\Ecopetrol Prometeo - Documents\Planning Space Implementation\3. Analysis &amp; Design\Design\FC22\DRR Jaime\Neiva CPI\[VAO_DINA TERCIARIOS_CF_SEC_20230117.xlsx]CF PRB'!$BU$54</t>
  </si>
  <si>
    <t>='C:\Users\jaime.benazar\Quorum Business Solutions\Ecopetrol Prometeo - Documents\Planning Space Implementation\3. Analysis &amp; Design\Design\FC22\DRR Jaime\Neiva CPI\[VAO_DINA TERCIARIOS_CF_SEC_20230117.xlsx]CF PRB'!$BU$55</t>
  </si>
  <si>
    <t>='C:\Users\jaime.benazar\Quorum Business Solutions\Ecopetrol Prometeo - Documents\Planning Space Implementation\3. Analysis &amp; Design\Design\FC22\DRR Jaime\Neiva CPI\[VAO_DINA TERCIARIOS_CF_SEC_20230117.xlsx]CF PRB'!$BU$56</t>
  </si>
  <si>
    <t>='C:\Users\jaime.benazar\Quorum Business Solutions\Ecopetrol Prometeo - Documents\Planning Space Implementation\3. Analysis &amp; Design\Design\FC22\DRR Jaime\Neiva CPI\[VAO_DINA TERCIARIOS_CF_SEC_20230117.xlsx]CF PRB'!$BU$57</t>
  </si>
  <si>
    <t>='C:\Users\jaime.benazar\Quorum Business Solutions\Ecopetrol Prometeo - Documents\Planning Space Implementation\3. Analysis &amp; Design\Design\FC22\DRR Jaime\Neiva CPI\[VAO_DINA TERCIARIOS_CF_SEC_20230117.xlsx]CF PRB'!$BU$58</t>
  </si>
  <si>
    <t>='C:\Users\jaime.benazar\Quorum Business Solutions\Ecopetrol Prometeo - Documents\Planning Space Implementation\3. Analysis &amp; Design\Design\FC22\DRR Jaime\Neiva CPI\[VAO_DINA TERCIARIOS_CF_SEC_20230117.xlsx]CF PRB'!$BU$59</t>
  </si>
  <si>
    <t>='C:\Users\jaime.benazar\Quorum Business Solutions\Ecopetrol Prometeo - Documents\Planning Space Implementation\3. Analysis &amp; Design\Design\FC22\DRR Jaime\Neiva CPI\[VAO_DINA TERCIARIOS_CF_SEC_20230117.xlsx]CF PRB'!$BU$60</t>
  </si>
  <si>
    <t>='C:\Users\jaime.benazar\Quorum Business Solutions\Ecopetrol Prometeo - Documents\Planning Space Implementation\3. Analysis &amp; Design\Design\FC22\DRR Jaime\Neiva CPI\[VAO_DINA TERCIARIOS_CF_SEC_20230117.xlsx]CF PRB'!$BU$61</t>
  </si>
  <si>
    <t>='C:\Users\jaime.benazar\Quorum Business Solutions\Ecopetrol Prometeo - Documents\Planning Space Implementation\3. Analysis &amp; Design\Design\FC22\DRR Jaime\Neiva CPI\[VAO_DINA TERCIARIOS_CF_SEC_20230117.xlsx]CF PRB'!$BU$62</t>
  </si>
  <si>
    <t>='C:\Users\jaime.benazar\Quorum Business Solutions\Ecopetrol Prometeo - Documents\Planning Space Implementation\3. Analysis &amp; Design\Design\FC22\DRR Jaime\Neiva CPI\[VAO_DINA TERCIARIOS_CF_SEC_20230117.xlsx]CF PRB'!$BU$63</t>
  </si>
  <si>
    <t>='C:\Users\jaime.benazar\Quorum Business Solutions\Ecopetrol Prometeo - Documents\Planning Space Implementation\3. Analysis &amp; Design\Design\FC22\DRR Jaime\Neiva CPI\[VAO_DINA TERCIARIOS_CF_SEC_20230117.xlsx]CF PRB'!$BU$64</t>
  </si>
  <si>
    <t>='C:\Users\jaime.benazar\Quorum Business Solutions\Ecopetrol Prometeo - Documents\Planning Space Implementation\3. Analysis &amp; Design\Design\FC22\DRR Jaime\Neiva CPI\[VAO_DINA TERCIARIOS_CF_SEC_20230117.xlsx]CF PRB'!$BU$65</t>
  </si>
  <si>
    <t>='C:\Users\jaime.benazar\Quorum Business Solutions\Ecopetrol Prometeo - Documents\Planning Space Implementation\3. Analysis &amp; Design\Design\FC22\DRR Jaime\Neiva CPI\[VAO_DINA TERCIARIOS_CF_SEC_20230117.xlsx]CF PRB'!$BU$66</t>
  </si>
  <si>
    <t>='C:\Users\jaime.benazar\Quorum Business Solutions\Ecopetrol Prometeo - Documents\Planning Space Implementation\3. Analysis &amp; Design\Design\FC22\DRR Jaime\Neiva CPI\[VAO_DINA TERCIARIOS_CF_SEC_20230117.xlsx]CF PRB'!$BU$67</t>
  </si>
  <si>
    <t>='C:\Users\jaime.benazar\Quorum Business Solutions\Ecopetrol Prometeo - Documents\Planning Space Implementation\3. Analysis &amp; Design\Design\FC22\DRR Jaime\Neiva CPI\[VAO_DINA TERCIARIOS_CF_SEC_20230117.xlsx]CF PRB'!$BU$68</t>
  </si>
  <si>
    <t>='C:\Users\jaime.benazar\Quorum Business Solutions\Ecopetrol Prometeo - Documents\Planning Space Implementation\3. Analysis &amp; Design\Design\FC22\DRR Jaime\Neiva CPI\[VAO_DINA TERCIARIOS_CF_SEC_20230117.xlsx]CF PRB'!$BU$69</t>
  </si>
  <si>
    <t>='C:\Users\jaime.benazar\Quorum Business Solutions\Ecopetrol Prometeo - Documents\Planning Space Implementation\3. Analysis &amp; Design\Design\FC22\DRR Jaime\Neiva CPI\[VAO_DINA TERCIARIOS_CF_SEC_20230117.xlsx]CF PRB'!$BU$70</t>
  </si>
  <si>
    <t>='C:\Users\jaime.benazar\Quorum Business Solutions\Ecopetrol Prometeo - Documents\Planning Space Implementation\3. Analysis &amp; Design\Design\FC22\DRR Jaime\Neiva CPI\[VAO_DINA TERCIARIOS_CF_SEC_20230117.xlsx]CF PRB'!$BU$71</t>
  </si>
  <si>
    <t>='C:\Users\jaime.benazar\Quorum Business Solutions\Ecopetrol Prometeo - Documents\Planning Space Implementation\3. Analysis &amp; Design\Design\FC22\DRR Jaime\Neiva CPI\[VAO_DINA TERCIARIOS_CF_SEC_20230117.xlsx]CF PRB'!$BU$72</t>
  </si>
  <si>
    <t>='C:\Users\jaime.benazar\Quorum Business Solutions\Ecopetrol Prometeo - Documents\Planning Space Implementation\3. Analysis &amp; Design\Design\FC22\DRR Jaime\Neiva CPI\[VAO_DINA TERCIARIOS_CF_SEC_20230117.xlsx]CF PS'!$BU$36</t>
  </si>
  <si>
    <t>='C:\Users\jaime.benazar\Quorum Business Solutions\Ecopetrol Prometeo - Documents\Planning Space Implementation\3. Analysis &amp; Design\Design\FC22\DRR Jaime\Neiva CPI\[VAO_DINA TERCIARIOS_CF_SEC_20230117.xlsx]CF PS'!$BU$37</t>
  </si>
  <si>
    <t>='C:\Users\jaime.benazar\Quorum Business Solutions\Ecopetrol Prometeo - Documents\Planning Space Implementation\3. Analysis &amp; Design\Design\FC22\DRR Jaime\Neiva CPI\[VAO_DINA TERCIARIOS_CF_SEC_20230117.xlsx]CF PS'!$BU$38</t>
  </si>
  <si>
    <t>='C:\Users\jaime.benazar\Quorum Business Solutions\Ecopetrol Prometeo - Documents\Planning Space Implementation\3. Analysis &amp; Design\Design\FC22\DRR Jaime\Neiva CPI\[VAO_DINA TERCIARIOS_CF_SEC_20230117.xlsx]CF PS'!$BU$39</t>
  </si>
  <si>
    <t>='C:\Users\jaime.benazar\Quorum Business Solutions\Ecopetrol Prometeo - Documents\Planning Space Implementation\3. Analysis &amp; Design\Design\FC22\DRR Jaime\Neiva CPI\[VAO_DINA TERCIARIOS_CF_SEC_20230117.xlsx]CF PS'!$BU$40</t>
  </si>
  <si>
    <t>='C:\Users\jaime.benazar\Quorum Business Solutions\Ecopetrol Prometeo - Documents\Planning Space Implementation\3. Analysis &amp; Design\Design\FC22\DRR Jaime\Neiva CPI\[VAO_DINA TERCIARIOS_CF_SEC_20230117.xlsx]CF PS'!$BU$41</t>
  </si>
  <si>
    <t>='C:\Users\jaime.benazar\Quorum Business Solutions\Ecopetrol Prometeo - Documents\Planning Space Implementation\3. Analysis &amp; Design\Design\FC22\DRR Jaime\Neiva CPI\[VAO_DINA TERCIARIOS_CF_SEC_20230117.xlsx]CF PS'!$BU$42</t>
  </si>
  <si>
    <t>='C:\Users\jaime.benazar\Quorum Business Solutions\Ecopetrol Prometeo - Documents\Planning Space Implementation\3. Analysis &amp; Design\Design\FC22\DRR Jaime\Neiva CPI\[VAO_DINA TERCIARIOS_CF_SEC_20230117.xlsx]CF PS'!$BU$43</t>
  </si>
  <si>
    <t>='C:\Users\jaime.benazar\Quorum Business Solutions\Ecopetrol Prometeo - Documents\Planning Space Implementation\3. Analysis &amp; Design\Design\FC22\DRR Jaime\Neiva CPI\[VAO_DINA TERCIARIOS_CF_SEC_20230117.xlsx]CF PS'!$BU$44</t>
  </si>
  <si>
    <t>='C:\Users\jaime.benazar\Quorum Business Solutions\Ecopetrol Prometeo - Documents\Planning Space Implementation\3. Analysis &amp; Design\Design\FC22\DRR Jaime\Neiva CPI\[VAO_DINA TERCIARIOS_CF_SEC_20230117.xlsx]CF PS'!$BU$45</t>
  </si>
  <si>
    <t>='C:\Users\jaime.benazar\Quorum Business Solutions\Ecopetrol Prometeo - Documents\Planning Space Implementation\3. Analysis &amp; Design\Design\FC22\DRR Jaime\Neiva CPI\[VAO_DINA TERCIARIOS_CF_SEC_20230117.xlsx]CF PS'!$BU$46</t>
  </si>
  <si>
    <t>='C:\Users\jaime.benazar\Quorum Business Solutions\Ecopetrol Prometeo - Documents\Planning Space Implementation\3. Analysis &amp; Design\Design\FC22\DRR Jaime\Neiva CPI\[VAO_DINA TERCIARIOS_CF_SEC_20230117.xlsx]CF PS'!$BU$47</t>
  </si>
  <si>
    <t>='C:\Users\jaime.benazar\Quorum Business Solutions\Ecopetrol Prometeo - Documents\Planning Space Implementation\3. Analysis &amp; Design\Design\FC22\DRR Jaime\Neiva CPI\[VAO_DINA TERCIARIOS_CF_SEC_20230117.xlsx]CF PS'!$BU$48</t>
  </si>
  <si>
    <t>='C:\Users\jaime.benazar\Quorum Business Solutions\Ecopetrol Prometeo - Documents\Planning Space Implementation\3. Analysis &amp; Design\Design\FC22\DRR Jaime\Neiva CPI\[VAO_DINA TERCIARIOS_CF_SEC_20230117.xlsx]CF PS'!$BU$49</t>
  </si>
  <si>
    <t>='C:\Users\jaime.benazar\Quorum Business Solutions\Ecopetrol Prometeo - Documents\Planning Space Implementation\3. Analysis &amp; Design\Design\FC22\DRR Jaime\Neiva CPI\[VAO_DINA TERCIARIOS_CF_SEC_20230117.xlsx]CF PS'!$BU$50</t>
  </si>
  <si>
    <t>='C:\Users\jaime.benazar\Quorum Business Solutions\Ecopetrol Prometeo - Documents\Planning Space Implementation\3. Analysis &amp; Design\Design\FC22\DRR Jaime\Neiva CPI\[VAO_DINA TERCIARIOS_CF_SEC_20230117.xlsx]CF PS'!$BU$51</t>
  </si>
  <si>
    <t>='C:\Users\jaime.benazar\Quorum Business Solutions\Ecopetrol Prometeo - Documents\Planning Space Implementation\3. Analysis &amp; Design\Design\FC22\DRR Jaime\Neiva CPI\[VAO_DINA TERCIARIOS_CF_SEC_20230117.xlsx]CF PS'!$BU$52</t>
  </si>
  <si>
    <t>='C:\Users\jaime.benazar\Quorum Business Solutions\Ecopetrol Prometeo - Documents\Planning Space Implementation\3. Analysis &amp; Design\Design\FC22\DRR Jaime\Neiva CPI\[VAO_DINA TERCIARIOS_CF_SEC_20230117.xlsx]CF PS'!$BU$53</t>
  </si>
  <si>
    <t>='C:\Users\jaime.benazar\Quorum Business Solutions\Ecopetrol Prometeo - Documents\Planning Space Implementation\3. Analysis &amp; Design\Design\FC22\DRR Jaime\Neiva CPI\[VAO_DINA TERCIARIOS_CF_SEC_20230117.xlsx]CF PS'!$BU$54</t>
  </si>
  <si>
    <t>='C:\Users\jaime.benazar\Quorum Business Solutions\Ecopetrol Prometeo - Documents\Planning Space Implementation\3. Analysis &amp; Design\Design\FC22\DRR Jaime\Neiva CPI\[VAO_DINA TERCIARIOS_CF_SEC_20230117.xlsx]CF PS'!$BU$55</t>
  </si>
  <si>
    <t>='C:\Users\jaime.benazar\Quorum Business Solutions\Ecopetrol Prometeo - Documents\Planning Space Implementation\3. Analysis &amp; Design\Design\FC22\DRR Jaime\Neiva CPI\[VAO_DINA TERCIARIOS_CF_SEC_20230117.xlsx]CF PS'!$BU$56</t>
  </si>
  <si>
    <t>='C:\Users\jaime.benazar\Quorum Business Solutions\Ecopetrol Prometeo - Documents\Planning Space Implementation\3. Analysis &amp; Design\Design\FC22\DRR Jaime\Neiva CPI\[VAO_DINA TERCIARIOS_CF_SEC_20230117.xlsx]CF PS'!$BU$57</t>
  </si>
  <si>
    <t>='C:\Users\jaime.benazar\Quorum Business Solutions\Ecopetrol Prometeo - Documents\Planning Space Implementation\3. Analysis &amp; Design\Design\FC22\DRR Jaime\Neiva CPI\[VAO_DINA TERCIARIOS_CF_SEC_20230117.xlsx]CF PS'!$BU$58</t>
  </si>
  <si>
    <t>='C:\Users\jaime.benazar\Quorum Business Solutions\Ecopetrol Prometeo - Documents\Planning Space Implementation\3. Analysis &amp; Design\Design\FC22\DRR Jaime\Neiva CPI\[VAO_DINA TERCIARIOS_CF_SEC_20230117.xlsx]CF PS'!$BU$59</t>
  </si>
  <si>
    <t>='C:\Users\jaime.benazar\Quorum Business Solutions\Ecopetrol Prometeo - Documents\Planning Space Implementation\3. Analysis &amp; Design\Design\FC22\DRR Jaime\Neiva CPI\[VAO_DINA TERCIARIOS_CF_SEC_20230117.xlsx]CF PS'!$BU$60</t>
  </si>
  <si>
    <t>='C:\Users\jaime.benazar\Quorum Business Solutions\Ecopetrol Prometeo - Documents\Planning Space Implementation\3. Analysis &amp; Design\Design\FC22\DRR Jaime\Neiva CPI\[VAO_DINA TERCIARIOS_CF_SEC_20230117.xlsx]CF PS'!$BU$61</t>
  </si>
  <si>
    <t>='C:\Users\jaime.benazar\Quorum Business Solutions\Ecopetrol Prometeo - Documents\Planning Space Implementation\3. Analysis &amp; Design\Design\FC22\DRR Jaime\Neiva CPI\[VAO_DINA TERCIARIOS_CF_SEC_20230117.xlsx]CF PS'!$BU$62</t>
  </si>
  <si>
    <t>='C:\Users\jaime.benazar\Quorum Business Solutions\Ecopetrol Prometeo - Documents\Planning Space Implementation\3. Analysis &amp; Design\Design\FC22\DRR Jaime\Neiva CPI\[VAO_DINA TERCIARIOS_CF_SEC_20230117.xlsx]CF PS'!$BU$63</t>
  </si>
  <si>
    <t>='C:\Users\jaime.benazar\Quorum Business Solutions\Ecopetrol Prometeo - Documents\Planning Space Implementation\3. Analysis &amp; Design\Design\FC22\DRR Jaime\Neiva CPI\[VAO_DINA TERCIARIOS_CF_SEC_20230117.xlsx]CF PS'!$BU$64</t>
  </si>
  <si>
    <t>='C:\Users\jaime.benazar\Quorum Business Solutions\Ecopetrol Prometeo - Documents\Planning Space Implementation\3. Analysis &amp; Design\Design\FC22\DRR Jaime\Neiva CPI\[VAO_DINA TERCIARIOS_CF_SEC_20230117.xlsx]CF PS'!$BU$65</t>
  </si>
  <si>
    <t>='C:\Users\jaime.benazar\Quorum Business Solutions\Ecopetrol Prometeo - Documents\Planning Space Implementation\3. Analysis &amp; Design\Design\FC22\DRR Jaime\Neiva CPI\[VAO_DINA TERCIARIOS_CF_SEC_20230117.xlsx]CF PS'!$BU$66</t>
  </si>
  <si>
    <t>='C:\Users\jaime.benazar\Quorum Business Solutions\Ecopetrol Prometeo - Documents\Planning Space Implementation\3. Analysis &amp; Design\Design\FC22\DRR Jaime\Neiva CPI\[VAO_DINA TERCIARIOS_CF_SEC_20230117.xlsx]CF PS'!$BU$67</t>
  </si>
  <si>
    <t>='C:\Users\jaime.benazar\Quorum Business Solutions\Ecopetrol Prometeo - Documents\Planning Space Implementation\3. Analysis &amp; Design\Design\FC22\DRR Jaime\Neiva CPI\[VAO_DINA TERCIARIOS_CF_SEC_20230117.xlsx]CF PS'!$BU$68</t>
  </si>
  <si>
    <t>='C:\Users\jaime.benazar\Quorum Business Solutions\Ecopetrol Prometeo - Documents\Planning Space Implementation\3. Analysis &amp; Design\Design\FC22\DRR Jaime\Neiva CPI\[VAO_DINA TERCIARIOS_CF_SEC_20230117.xlsx]CF PS'!$BU$69</t>
  </si>
  <si>
    <t>='C:\Users\jaime.benazar\Quorum Business Solutions\Ecopetrol Prometeo - Documents\Planning Space Implementation\3. Analysis &amp; Design\Design\FC22\DRR Jaime\Neiva CPI\[VAO_DINA TERCIARIOS_CF_SEC_20230117.xlsx]CF PS'!$BU$70</t>
  </si>
  <si>
    <t>='C:\Users\jaime.benazar\Quorum Business Solutions\Ecopetrol Prometeo - Documents\Planning Space Implementation\3. Analysis &amp; Design\Design\FC22\DRR Jaime\Neiva CPI\[VAO_DINA TERCIARIOS_CF_SEC_20230117.xlsx]CF PS'!$BU$71</t>
  </si>
  <si>
    <t>='C:\Users\jaime.benazar\Quorum Business Solutions\Ecopetrol Prometeo - Documents\Planning Space Implementation\3. Analysis &amp; Design\Design\FC22\DRR Jaime\Neiva CPI\[VAO_DINA TERCIARIOS_CF_SEC_20230117.xlsx]CF PS'!$BU$72</t>
  </si>
  <si>
    <t>='C:\Users\jaime.benazar\Quorum Business Solutions\Ecopetrol Prometeo - Documents\Planning Space Implementation\3. Analysis &amp; Design\Design\FC22\DRR Jaime\Neiva CPI\[VAO_DINA TERCIARIOS_CF_SEC_20230117.xlsx]CF PDP'!$CT$36</t>
  </si>
  <si>
    <t>='C:\Users\jaime.benazar\Quorum Business Solutions\Ecopetrol Prometeo - Documents\Planning Space Implementation\3. Analysis &amp; Design\Design\FC22\DRR Jaime\Neiva CPI\[VAO_DINA TERCIARIOS_CF_SEC_20230117.xlsx]CF PDP'!$CT$37</t>
  </si>
  <si>
    <t>='C:\Users\jaime.benazar\Quorum Business Solutions\Ecopetrol Prometeo - Documents\Planning Space Implementation\3. Analysis &amp; Design\Design\FC22\DRR Jaime\Neiva CPI\[VAO_DINA TERCIARIOS_CF_SEC_20230117.xlsx]CF PDP'!$CT$38</t>
  </si>
  <si>
    <t>='C:\Users\jaime.benazar\Quorum Business Solutions\Ecopetrol Prometeo - Documents\Planning Space Implementation\3. Analysis &amp; Design\Design\FC22\DRR Jaime\Neiva CPI\[VAO_DINA TERCIARIOS_CF_SEC_20230117.xlsx]CF PDP'!$CT$39</t>
  </si>
  <si>
    <t>='C:\Users\jaime.benazar\Quorum Business Solutions\Ecopetrol Prometeo - Documents\Planning Space Implementation\3. Analysis &amp; Design\Design\FC22\DRR Jaime\Neiva CPI\[VAO_DINA TERCIARIOS_CF_SEC_20230117.xlsx]CF PDP'!$CT$40</t>
  </si>
  <si>
    <t>='C:\Users\jaime.benazar\Quorum Business Solutions\Ecopetrol Prometeo - Documents\Planning Space Implementation\3. Analysis &amp; Design\Design\FC22\DRR Jaime\Neiva CPI\[VAO_DINA TERCIARIOS_CF_SEC_20230117.xlsx]CF PDP'!$CT$41</t>
  </si>
  <si>
    <t>='C:\Users\jaime.benazar\Quorum Business Solutions\Ecopetrol Prometeo - Documents\Planning Space Implementation\3. Analysis &amp; Design\Design\FC22\DRR Jaime\Neiva CPI\[VAO_DINA TERCIARIOS_CF_SEC_20230117.xlsx]CF PDP'!$CT$42</t>
  </si>
  <si>
    <t>='C:\Users\jaime.benazar\Quorum Business Solutions\Ecopetrol Prometeo - Documents\Planning Space Implementation\3. Analysis &amp; Design\Design\FC22\DRR Jaime\Neiva CPI\[VAO_DINA TERCIARIOS_CF_SEC_20230117.xlsx]CF PDP'!$CT$43</t>
  </si>
  <si>
    <t>='C:\Users\jaime.benazar\Quorum Business Solutions\Ecopetrol Prometeo - Documents\Planning Space Implementation\3. Analysis &amp; Design\Design\FC22\DRR Jaime\Neiva CPI\[VAO_DINA TERCIARIOS_CF_SEC_20230117.xlsx]CF PDP'!$CT$44</t>
  </si>
  <si>
    <t>='C:\Users\jaime.benazar\Quorum Business Solutions\Ecopetrol Prometeo - Documents\Planning Space Implementation\3. Analysis &amp; Design\Design\FC22\DRR Jaime\Neiva CPI\[VAO_DINA TERCIARIOS_CF_SEC_20230117.xlsx]CF PDP'!$CT$45</t>
  </si>
  <si>
    <t>='C:\Users\jaime.benazar\Quorum Business Solutions\Ecopetrol Prometeo - Documents\Planning Space Implementation\3. Analysis &amp; Design\Design\FC22\DRR Jaime\Neiva CPI\[VAO_DINA TERCIARIOS_CF_SEC_20230117.xlsx]CF PDP'!$CT$46</t>
  </si>
  <si>
    <t>='C:\Users\jaime.benazar\Quorum Business Solutions\Ecopetrol Prometeo - Documents\Planning Space Implementation\3. Analysis &amp; Design\Design\FC22\DRR Jaime\Neiva CPI\[VAO_DINA TERCIARIOS_CF_SEC_20230117.xlsx]CF PDP'!$CT$47</t>
  </si>
  <si>
    <t>='C:\Users\jaime.benazar\Quorum Business Solutions\Ecopetrol Prometeo - Documents\Planning Space Implementation\3. Analysis &amp; Design\Design\FC22\DRR Jaime\Neiva CPI\[VAO_DINA TERCIARIOS_CF_SEC_20230117.xlsx]CF PDP'!$CT$48</t>
  </si>
  <si>
    <t>='C:\Users\jaime.benazar\Quorum Business Solutions\Ecopetrol Prometeo - Documents\Planning Space Implementation\3. Analysis &amp; Design\Design\FC22\DRR Jaime\Neiva CPI\[VAO_DINA TERCIARIOS_CF_SEC_20230117.xlsx]CF PDP'!$CT$49</t>
  </si>
  <si>
    <t>='C:\Users\jaime.benazar\Quorum Business Solutions\Ecopetrol Prometeo - Documents\Planning Space Implementation\3. Analysis &amp; Design\Design\FC22\DRR Jaime\Neiva CPI\[VAO_DINA TERCIARIOS_CF_SEC_20230117.xlsx]CF PDP'!$CT$50</t>
  </si>
  <si>
    <t>='C:\Users\jaime.benazar\Quorum Business Solutions\Ecopetrol Prometeo - Documents\Planning Space Implementation\3. Analysis &amp; Design\Design\FC22\DRR Jaime\Neiva CPI\[VAO_DINA TERCIARIOS_CF_SEC_20230117.xlsx]CF PDP'!$CT$51</t>
  </si>
  <si>
    <t>='C:\Users\jaime.benazar\Quorum Business Solutions\Ecopetrol Prometeo - Documents\Planning Space Implementation\3. Analysis &amp; Design\Design\FC22\DRR Jaime\Neiva CPI\[VAO_DINA TERCIARIOS_CF_SEC_20230117.xlsx]CF PDP'!$CT$52</t>
  </si>
  <si>
    <t>='C:\Users\jaime.benazar\Quorum Business Solutions\Ecopetrol Prometeo - Documents\Planning Space Implementation\3. Analysis &amp; Design\Design\FC22\DRR Jaime\Neiva CPI\[VAO_DINA TERCIARIOS_CF_SEC_20230117.xlsx]CF PDP'!$CT$53</t>
  </si>
  <si>
    <t>='C:\Users\jaime.benazar\Quorum Business Solutions\Ecopetrol Prometeo - Documents\Planning Space Implementation\3. Analysis &amp; Design\Design\FC22\DRR Jaime\Neiva CPI\[VAO_DINA TERCIARIOS_CF_SEC_20230117.xlsx]CF PDP'!$CT$54</t>
  </si>
  <si>
    <t>='C:\Users\jaime.benazar\Quorum Business Solutions\Ecopetrol Prometeo - Documents\Planning Space Implementation\3. Analysis &amp; Design\Design\FC22\DRR Jaime\Neiva CPI\[VAO_DINA TERCIARIOS_CF_SEC_20230117.xlsx]CF PDP'!$CT$55</t>
  </si>
  <si>
    <t>='C:\Users\jaime.benazar\Quorum Business Solutions\Ecopetrol Prometeo - Documents\Planning Space Implementation\3. Analysis &amp; Design\Design\FC22\DRR Jaime\Neiva CPI\[VAO_DINA TERCIARIOS_CF_SEC_20230117.xlsx]CF PDP'!$CT$56</t>
  </si>
  <si>
    <t>='C:\Users\jaime.benazar\Quorum Business Solutions\Ecopetrol Prometeo - Documents\Planning Space Implementation\3. Analysis &amp; Design\Design\FC22\DRR Jaime\Neiva CPI\[VAO_DINA TERCIARIOS_CF_SEC_20230117.xlsx]CF PDP'!$CT$57</t>
  </si>
  <si>
    <t>='C:\Users\jaime.benazar\Quorum Business Solutions\Ecopetrol Prometeo - Documents\Planning Space Implementation\3. Analysis &amp; Design\Design\FC22\DRR Jaime\Neiva CPI\[VAO_DINA TERCIARIOS_CF_SEC_20230117.xlsx]CF PDP'!$CT$58</t>
  </si>
  <si>
    <t>='C:\Users\jaime.benazar\Quorum Business Solutions\Ecopetrol Prometeo - Documents\Planning Space Implementation\3. Analysis &amp; Design\Design\FC22\DRR Jaime\Neiva CPI\[VAO_DINA TERCIARIOS_CF_SEC_20230117.xlsx]CF PDP'!$CT$59</t>
  </si>
  <si>
    <t>='C:\Users\jaime.benazar\Quorum Business Solutions\Ecopetrol Prometeo - Documents\Planning Space Implementation\3. Analysis &amp; Design\Design\FC22\DRR Jaime\Neiva CPI\[VAO_DINA TERCIARIOS_CF_SEC_20230117.xlsx]CF PDP'!$CT$60</t>
  </si>
  <si>
    <t>='C:\Users\jaime.benazar\Quorum Business Solutions\Ecopetrol Prometeo - Documents\Planning Space Implementation\3. Analysis &amp; Design\Design\FC22\DRR Jaime\Neiva CPI\[VAO_DINA TERCIARIOS_CF_SEC_20230117.xlsx]CF PDP'!$CT$61</t>
  </si>
  <si>
    <t>='C:\Users\jaime.benazar\Quorum Business Solutions\Ecopetrol Prometeo - Documents\Planning Space Implementation\3. Analysis &amp; Design\Design\FC22\DRR Jaime\Neiva CPI\[VAO_DINA TERCIARIOS_CF_SEC_20230117.xlsx]CF PDP'!$CT$62</t>
  </si>
  <si>
    <t>='C:\Users\jaime.benazar\Quorum Business Solutions\Ecopetrol Prometeo - Documents\Planning Space Implementation\3. Analysis &amp; Design\Design\FC22\DRR Jaime\Neiva CPI\[VAO_DINA TERCIARIOS_CF_SEC_20230117.xlsx]CF PDP'!$CT$63</t>
  </si>
  <si>
    <t>='C:\Users\jaime.benazar\Quorum Business Solutions\Ecopetrol Prometeo - Documents\Planning Space Implementation\3. Analysis &amp; Design\Design\FC22\DRR Jaime\Neiva CPI\[VAO_DINA TERCIARIOS_CF_SEC_20230117.xlsx]CF PDP'!$CT$64</t>
  </si>
  <si>
    <t>='C:\Users\jaime.benazar\Quorum Business Solutions\Ecopetrol Prometeo - Documents\Planning Space Implementation\3. Analysis &amp; Design\Design\FC22\DRR Jaime\Neiva CPI\[VAO_DINA TERCIARIOS_CF_SEC_20230117.xlsx]CF PDP'!$CT$65</t>
  </si>
  <si>
    <t>='C:\Users\jaime.benazar\Quorum Business Solutions\Ecopetrol Prometeo - Documents\Planning Space Implementation\3. Analysis &amp; Design\Design\FC22\DRR Jaime\Neiva CPI\[VAO_DINA TERCIARIOS_CF_SEC_20230117.xlsx]CF PDP'!$CT$66</t>
  </si>
  <si>
    <t>='C:\Users\jaime.benazar\Quorum Business Solutions\Ecopetrol Prometeo - Documents\Planning Space Implementation\3. Analysis &amp; Design\Design\FC22\DRR Jaime\Neiva CPI\[VAO_DINA TERCIARIOS_CF_SEC_20230117.xlsx]CF PDP'!$CT$67</t>
  </si>
  <si>
    <t>='C:\Users\jaime.benazar\Quorum Business Solutions\Ecopetrol Prometeo - Documents\Planning Space Implementation\3. Analysis &amp; Design\Design\FC22\DRR Jaime\Neiva CPI\[VAO_DINA TERCIARIOS_CF_SEC_20230117.xlsx]CF PDP'!$CT$68</t>
  </si>
  <si>
    <t>='C:\Users\jaime.benazar\Quorum Business Solutions\Ecopetrol Prometeo - Documents\Planning Space Implementation\3. Analysis &amp; Design\Design\FC22\DRR Jaime\Neiva CPI\[VAO_DINA TERCIARIOS_CF_SEC_20230117.xlsx]CF PDP'!$CT$69</t>
  </si>
  <si>
    <t>='C:\Users\jaime.benazar\Quorum Business Solutions\Ecopetrol Prometeo - Documents\Planning Space Implementation\3. Analysis &amp; Design\Design\FC22\DRR Jaime\Neiva CPI\[VAO_DINA TERCIARIOS_CF_SEC_20230117.xlsx]CF PDP'!$CT$70</t>
  </si>
  <si>
    <t>='C:\Users\jaime.benazar\Quorum Business Solutions\Ecopetrol Prometeo - Documents\Planning Space Implementation\3. Analysis &amp; Design\Design\FC22\DRR Jaime\Neiva CPI\[VAO_DINA TERCIARIOS_CF_SEC_20230117.xlsx]CF PDP'!$CT$71</t>
  </si>
  <si>
    <t>='C:\Users\jaime.benazar\Quorum Business Solutions\Ecopetrol Prometeo - Documents\Planning Space Implementation\3. Analysis &amp; Design\Design\FC22\DRR Jaime\Neiva CPI\[VAO_DINA TERCIARIOS_CF_SEC_20230117.xlsx]CF PDP'!$CT$72</t>
  </si>
  <si>
    <t>='C:\Users\jaime.benazar\Quorum Business Solutions\Ecopetrol Prometeo - Documents\Planning Space Implementation\3. Analysis &amp; Design\Design\FC22\DRR Jaime\Neiva CPI\[VAO_DINA TERCIARIOS_CF_SEC_20230117.xlsx]CF PNP'!$CT$36</t>
  </si>
  <si>
    <t>='C:\Users\jaime.benazar\Quorum Business Solutions\Ecopetrol Prometeo - Documents\Planning Space Implementation\3. Analysis &amp; Design\Design\FC22\DRR Jaime\Neiva CPI\[VAO_DINA TERCIARIOS_CF_SEC_20230117.xlsx]CF PNP'!$CT$37</t>
  </si>
  <si>
    <t>='C:\Users\jaime.benazar\Quorum Business Solutions\Ecopetrol Prometeo - Documents\Planning Space Implementation\3. Analysis &amp; Design\Design\FC22\DRR Jaime\Neiva CPI\[VAO_DINA TERCIARIOS_CF_SEC_20230117.xlsx]CF PNP'!$CT$38</t>
  </si>
  <si>
    <t>='C:\Users\jaime.benazar\Quorum Business Solutions\Ecopetrol Prometeo - Documents\Planning Space Implementation\3. Analysis &amp; Design\Design\FC22\DRR Jaime\Neiva CPI\[VAO_DINA TERCIARIOS_CF_SEC_20230117.xlsx]CF PNP'!$CT$39</t>
  </si>
  <si>
    <t>='C:\Users\jaime.benazar\Quorum Business Solutions\Ecopetrol Prometeo - Documents\Planning Space Implementation\3. Analysis &amp; Design\Design\FC22\DRR Jaime\Neiva CPI\[VAO_DINA TERCIARIOS_CF_SEC_20230117.xlsx]CF PNP'!$CT$40</t>
  </si>
  <si>
    <t>='C:\Users\jaime.benazar\Quorum Business Solutions\Ecopetrol Prometeo - Documents\Planning Space Implementation\3. Analysis &amp; Design\Design\FC22\DRR Jaime\Neiva CPI\[VAO_DINA TERCIARIOS_CF_SEC_20230117.xlsx]CF PNP'!$CT$41</t>
  </si>
  <si>
    <t>='C:\Users\jaime.benazar\Quorum Business Solutions\Ecopetrol Prometeo - Documents\Planning Space Implementation\3. Analysis &amp; Design\Design\FC22\DRR Jaime\Neiva CPI\[VAO_DINA TERCIARIOS_CF_SEC_20230117.xlsx]CF PNP'!$CT$42</t>
  </si>
  <si>
    <t>='C:\Users\jaime.benazar\Quorum Business Solutions\Ecopetrol Prometeo - Documents\Planning Space Implementation\3. Analysis &amp; Design\Design\FC22\DRR Jaime\Neiva CPI\[VAO_DINA TERCIARIOS_CF_SEC_20230117.xlsx]CF PNP'!$CT$43</t>
  </si>
  <si>
    <t>='C:\Users\jaime.benazar\Quorum Business Solutions\Ecopetrol Prometeo - Documents\Planning Space Implementation\3. Analysis &amp; Design\Design\FC22\DRR Jaime\Neiva CPI\[VAO_DINA TERCIARIOS_CF_SEC_20230117.xlsx]CF PNP'!$CT$44</t>
  </si>
  <si>
    <t>='C:\Users\jaime.benazar\Quorum Business Solutions\Ecopetrol Prometeo - Documents\Planning Space Implementation\3. Analysis &amp; Design\Design\FC22\DRR Jaime\Neiva CPI\[VAO_DINA TERCIARIOS_CF_SEC_20230117.xlsx]CF PNP'!$CT$45</t>
  </si>
  <si>
    <t>='C:\Users\jaime.benazar\Quorum Business Solutions\Ecopetrol Prometeo - Documents\Planning Space Implementation\3. Analysis &amp; Design\Design\FC22\DRR Jaime\Neiva CPI\[VAO_DINA TERCIARIOS_CF_SEC_20230117.xlsx]CF PNP'!$CT$46</t>
  </si>
  <si>
    <t>='C:\Users\jaime.benazar\Quorum Business Solutions\Ecopetrol Prometeo - Documents\Planning Space Implementation\3. Analysis &amp; Design\Design\FC22\DRR Jaime\Neiva CPI\[VAO_DINA TERCIARIOS_CF_SEC_20230117.xlsx]CF PNP'!$CT$47</t>
  </si>
  <si>
    <t>='C:\Users\jaime.benazar\Quorum Business Solutions\Ecopetrol Prometeo - Documents\Planning Space Implementation\3. Analysis &amp; Design\Design\FC22\DRR Jaime\Neiva CPI\[VAO_DINA TERCIARIOS_CF_SEC_20230117.xlsx]CF PNP'!$CT$48</t>
  </si>
  <si>
    <t>='C:\Users\jaime.benazar\Quorum Business Solutions\Ecopetrol Prometeo - Documents\Planning Space Implementation\3. Analysis &amp; Design\Design\FC22\DRR Jaime\Neiva CPI\[VAO_DINA TERCIARIOS_CF_SEC_20230117.xlsx]CF PNP'!$CT$49</t>
  </si>
  <si>
    <t>='C:\Users\jaime.benazar\Quorum Business Solutions\Ecopetrol Prometeo - Documents\Planning Space Implementation\3. Analysis &amp; Design\Design\FC22\DRR Jaime\Neiva CPI\[VAO_DINA TERCIARIOS_CF_SEC_20230117.xlsx]CF PNP'!$CT$50</t>
  </si>
  <si>
    <t>='C:\Users\jaime.benazar\Quorum Business Solutions\Ecopetrol Prometeo - Documents\Planning Space Implementation\3. Analysis &amp; Design\Design\FC22\DRR Jaime\Neiva CPI\[VAO_DINA TERCIARIOS_CF_SEC_20230117.xlsx]CF PNP'!$CT$51</t>
  </si>
  <si>
    <t>='C:\Users\jaime.benazar\Quorum Business Solutions\Ecopetrol Prometeo - Documents\Planning Space Implementation\3. Analysis &amp; Design\Design\FC22\DRR Jaime\Neiva CPI\[VAO_DINA TERCIARIOS_CF_SEC_20230117.xlsx]CF PNP'!$CT$52</t>
  </si>
  <si>
    <t>='C:\Users\jaime.benazar\Quorum Business Solutions\Ecopetrol Prometeo - Documents\Planning Space Implementation\3. Analysis &amp; Design\Design\FC22\DRR Jaime\Neiva CPI\[VAO_DINA TERCIARIOS_CF_SEC_20230117.xlsx]CF PNP'!$CT$53</t>
  </si>
  <si>
    <t>='C:\Users\jaime.benazar\Quorum Business Solutions\Ecopetrol Prometeo - Documents\Planning Space Implementation\3. Analysis &amp; Design\Design\FC22\DRR Jaime\Neiva CPI\[VAO_DINA TERCIARIOS_CF_SEC_20230117.xlsx]CF PNP'!$CT$54</t>
  </si>
  <si>
    <t>='C:\Users\jaime.benazar\Quorum Business Solutions\Ecopetrol Prometeo - Documents\Planning Space Implementation\3. Analysis &amp; Design\Design\FC22\DRR Jaime\Neiva CPI\[VAO_DINA TERCIARIOS_CF_SEC_20230117.xlsx]CF PNP'!$CT$55</t>
  </si>
  <si>
    <t>='C:\Users\jaime.benazar\Quorum Business Solutions\Ecopetrol Prometeo - Documents\Planning Space Implementation\3. Analysis &amp; Design\Design\FC22\DRR Jaime\Neiva CPI\[VAO_DINA TERCIARIOS_CF_SEC_20230117.xlsx]CF PNP'!$CT$56</t>
  </si>
  <si>
    <t>='C:\Users\jaime.benazar\Quorum Business Solutions\Ecopetrol Prometeo - Documents\Planning Space Implementation\3. Analysis &amp; Design\Design\FC22\DRR Jaime\Neiva CPI\[VAO_DINA TERCIARIOS_CF_SEC_20230117.xlsx]CF PNP'!$CT$57</t>
  </si>
  <si>
    <t>='C:\Users\jaime.benazar\Quorum Business Solutions\Ecopetrol Prometeo - Documents\Planning Space Implementation\3. Analysis &amp; Design\Design\FC22\DRR Jaime\Neiva CPI\[VAO_DINA TERCIARIOS_CF_SEC_20230117.xlsx]CF PNP'!$CT$58</t>
  </si>
  <si>
    <t>='C:\Users\jaime.benazar\Quorum Business Solutions\Ecopetrol Prometeo - Documents\Planning Space Implementation\3. Analysis &amp; Design\Design\FC22\DRR Jaime\Neiva CPI\[VAO_DINA TERCIARIOS_CF_SEC_20230117.xlsx]CF PNP'!$CT$59</t>
  </si>
  <si>
    <t>='C:\Users\jaime.benazar\Quorum Business Solutions\Ecopetrol Prometeo - Documents\Planning Space Implementation\3. Analysis &amp; Design\Design\FC22\DRR Jaime\Neiva CPI\[VAO_DINA TERCIARIOS_CF_SEC_20230117.xlsx]CF PNP'!$CT$60</t>
  </si>
  <si>
    <t>='C:\Users\jaime.benazar\Quorum Business Solutions\Ecopetrol Prometeo - Documents\Planning Space Implementation\3. Analysis &amp; Design\Design\FC22\DRR Jaime\Neiva CPI\[VAO_DINA TERCIARIOS_CF_SEC_20230117.xlsx]CF PNP'!$CT$61</t>
  </si>
  <si>
    <t>='C:\Users\jaime.benazar\Quorum Business Solutions\Ecopetrol Prometeo - Documents\Planning Space Implementation\3. Analysis &amp; Design\Design\FC22\DRR Jaime\Neiva CPI\[VAO_DINA TERCIARIOS_CF_SEC_20230117.xlsx]CF PNP'!$CT$62</t>
  </si>
  <si>
    <t>='C:\Users\jaime.benazar\Quorum Business Solutions\Ecopetrol Prometeo - Documents\Planning Space Implementation\3. Analysis &amp; Design\Design\FC22\DRR Jaime\Neiva CPI\[VAO_DINA TERCIARIOS_CF_SEC_20230117.xlsx]CF PNP'!$CT$63</t>
  </si>
  <si>
    <t>='C:\Users\jaime.benazar\Quorum Business Solutions\Ecopetrol Prometeo - Documents\Planning Space Implementation\3. Analysis &amp; Design\Design\FC22\DRR Jaime\Neiva CPI\[VAO_DINA TERCIARIOS_CF_SEC_20230117.xlsx]CF PNP'!$CT$64</t>
  </si>
  <si>
    <t>='C:\Users\jaime.benazar\Quorum Business Solutions\Ecopetrol Prometeo - Documents\Planning Space Implementation\3. Analysis &amp; Design\Design\FC22\DRR Jaime\Neiva CPI\[VAO_DINA TERCIARIOS_CF_SEC_20230117.xlsx]CF PNP'!$CT$65</t>
  </si>
  <si>
    <t>='C:\Users\jaime.benazar\Quorum Business Solutions\Ecopetrol Prometeo - Documents\Planning Space Implementation\3. Analysis &amp; Design\Design\FC22\DRR Jaime\Neiva CPI\[VAO_DINA TERCIARIOS_CF_SEC_20230117.xlsx]CF PNP'!$CT$66</t>
  </si>
  <si>
    <t>='C:\Users\jaime.benazar\Quorum Business Solutions\Ecopetrol Prometeo - Documents\Planning Space Implementation\3. Analysis &amp; Design\Design\FC22\DRR Jaime\Neiva CPI\[VAO_DINA TERCIARIOS_CF_SEC_20230117.xlsx]CF PNP'!$CT$67</t>
  </si>
  <si>
    <t>='C:\Users\jaime.benazar\Quorum Business Solutions\Ecopetrol Prometeo - Documents\Planning Space Implementation\3. Analysis &amp; Design\Design\FC22\DRR Jaime\Neiva CPI\[VAO_DINA TERCIARIOS_CF_SEC_20230117.xlsx]CF PNP'!$CT$68</t>
  </si>
  <si>
    <t>='C:\Users\jaime.benazar\Quorum Business Solutions\Ecopetrol Prometeo - Documents\Planning Space Implementation\3. Analysis &amp; Design\Design\FC22\DRR Jaime\Neiva CPI\[VAO_DINA TERCIARIOS_CF_SEC_20230117.xlsx]CF PNP'!$CT$69</t>
  </si>
  <si>
    <t>='C:\Users\jaime.benazar\Quorum Business Solutions\Ecopetrol Prometeo - Documents\Planning Space Implementation\3. Analysis &amp; Design\Design\FC22\DRR Jaime\Neiva CPI\[VAO_DINA TERCIARIOS_CF_SEC_20230117.xlsx]CF PNP'!$CT$70</t>
  </si>
  <si>
    <t>='C:\Users\jaime.benazar\Quorum Business Solutions\Ecopetrol Prometeo - Documents\Planning Space Implementation\3. Analysis &amp; Design\Design\FC22\DRR Jaime\Neiva CPI\[VAO_DINA TERCIARIOS_CF_SEC_20230117.xlsx]CF PNP'!$CT$71</t>
  </si>
  <si>
    <t>='C:\Users\jaime.benazar\Quorum Business Solutions\Ecopetrol Prometeo - Documents\Planning Space Implementation\3. Analysis &amp; Design\Design\FC22\DRR Jaime\Neiva CPI\[VAO_DINA TERCIARIOS_CF_SEC_20230117.xlsx]CF PNP'!$CT$72</t>
  </si>
  <si>
    <t>='C:\Users\jaime.benazar\Quorum Business Solutions\Ecopetrol Prometeo - Documents\Planning Space Implementation\3. Analysis &amp; Design\Design\FC22\DRR Jaime\Neiva CPI\[VAO_DINA TERCIARIOS_CF_SEC_20230117.xlsx]CF PND'!$CT$36</t>
  </si>
  <si>
    <t>='C:\Users\jaime.benazar\Quorum Business Solutions\Ecopetrol Prometeo - Documents\Planning Space Implementation\3. Analysis &amp; Design\Design\FC22\DRR Jaime\Neiva CPI\[VAO_DINA TERCIARIOS_CF_SEC_20230117.xlsx]CF PND'!$CT$37</t>
  </si>
  <si>
    <t>='C:\Users\jaime.benazar\Quorum Business Solutions\Ecopetrol Prometeo - Documents\Planning Space Implementation\3. Analysis &amp; Design\Design\FC22\DRR Jaime\Neiva CPI\[VAO_DINA TERCIARIOS_CF_SEC_20230117.xlsx]CF PND'!$CT$38</t>
  </si>
  <si>
    <t>='C:\Users\jaime.benazar\Quorum Business Solutions\Ecopetrol Prometeo - Documents\Planning Space Implementation\3. Analysis &amp; Design\Design\FC22\DRR Jaime\Neiva CPI\[VAO_DINA TERCIARIOS_CF_SEC_20230117.xlsx]CF PND'!$CT$39</t>
  </si>
  <si>
    <t>='C:\Users\jaime.benazar\Quorum Business Solutions\Ecopetrol Prometeo - Documents\Planning Space Implementation\3. Analysis &amp; Design\Design\FC22\DRR Jaime\Neiva CPI\[VAO_DINA TERCIARIOS_CF_SEC_20230117.xlsx]CF PND'!$CT$40</t>
  </si>
  <si>
    <t>='C:\Users\jaime.benazar\Quorum Business Solutions\Ecopetrol Prometeo - Documents\Planning Space Implementation\3. Analysis &amp; Design\Design\FC22\DRR Jaime\Neiva CPI\[VAO_DINA TERCIARIOS_CF_SEC_20230117.xlsx]CF PND'!$CT$41</t>
  </si>
  <si>
    <t>='C:\Users\jaime.benazar\Quorum Business Solutions\Ecopetrol Prometeo - Documents\Planning Space Implementation\3. Analysis &amp; Design\Design\FC22\DRR Jaime\Neiva CPI\[VAO_DINA TERCIARIOS_CF_SEC_20230117.xlsx]CF PND'!$CT$42</t>
  </si>
  <si>
    <t>='C:\Users\jaime.benazar\Quorum Business Solutions\Ecopetrol Prometeo - Documents\Planning Space Implementation\3. Analysis &amp; Design\Design\FC22\DRR Jaime\Neiva CPI\[VAO_DINA TERCIARIOS_CF_SEC_20230117.xlsx]CF PND'!$CT$43</t>
  </si>
  <si>
    <t>='C:\Users\jaime.benazar\Quorum Business Solutions\Ecopetrol Prometeo - Documents\Planning Space Implementation\3. Analysis &amp; Design\Design\FC22\DRR Jaime\Neiva CPI\[VAO_DINA TERCIARIOS_CF_SEC_20230117.xlsx]CF PND'!$CT$44</t>
  </si>
  <si>
    <t>='C:\Users\jaime.benazar\Quorum Business Solutions\Ecopetrol Prometeo - Documents\Planning Space Implementation\3. Analysis &amp; Design\Design\FC22\DRR Jaime\Neiva CPI\[VAO_DINA TERCIARIOS_CF_SEC_20230117.xlsx]CF PND'!$CT$45</t>
  </si>
  <si>
    <t>='C:\Users\jaime.benazar\Quorum Business Solutions\Ecopetrol Prometeo - Documents\Planning Space Implementation\3. Analysis &amp; Design\Design\FC22\DRR Jaime\Neiva CPI\[VAO_DINA TERCIARIOS_CF_SEC_20230117.xlsx]CF PND'!$CT$46</t>
  </si>
  <si>
    <t>='C:\Users\jaime.benazar\Quorum Business Solutions\Ecopetrol Prometeo - Documents\Planning Space Implementation\3. Analysis &amp; Design\Design\FC22\DRR Jaime\Neiva CPI\[VAO_DINA TERCIARIOS_CF_SEC_20230117.xlsx]CF PND'!$CT$47</t>
  </si>
  <si>
    <t>='C:\Users\jaime.benazar\Quorum Business Solutions\Ecopetrol Prometeo - Documents\Planning Space Implementation\3. Analysis &amp; Design\Design\FC22\DRR Jaime\Neiva CPI\[VAO_DINA TERCIARIOS_CF_SEC_20230117.xlsx]CF PND'!$CT$48</t>
  </si>
  <si>
    <t>='C:\Users\jaime.benazar\Quorum Business Solutions\Ecopetrol Prometeo - Documents\Planning Space Implementation\3. Analysis &amp; Design\Design\FC22\DRR Jaime\Neiva CPI\[VAO_DINA TERCIARIOS_CF_SEC_20230117.xlsx]CF PND'!$CT$49</t>
  </si>
  <si>
    <t>='C:\Users\jaime.benazar\Quorum Business Solutions\Ecopetrol Prometeo - Documents\Planning Space Implementation\3. Analysis &amp; Design\Design\FC22\DRR Jaime\Neiva CPI\[VAO_DINA TERCIARIOS_CF_SEC_20230117.xlsx]CF PND'!$CT$50</t>
  </si>
  <si>
    <t>='C:\Users\jaime.benazar\Quorum Business Solutions\Ecopetrol Prometeo - Documents\Planning Space Implementation\3. Analysis &amp; Design\Design\FC22\DRR Jaime\Neiva CPI\[VAO_DINA TERCIARIOS_CF_SEC_20230117.xlsx]CF PND'!$CT$51</t>
  </si>
  <si>
    <t>='C:\Users\jaime.benazar\Quorum Business Solutions\Ecopetrol Prometeo - Documents\Planning Space Implementation\3. Analysis &amp; Design\Design\FC22\DRR Jaime\Neiva CPI\[VAO_DINA TERCIARIOS_CF_SEC_20230117.xlsx]CF PND'!$CT$52</t>
  </si>
  <si>
    <t>='C:\Users\jaime.benazar\Quorum Business Solutions\Ecopetrol Prometeo - Documents\Planning Space Implementation\3. Analysis &amp; Design\Design\FC22\DRR Jaime\Neiva CPI\[VAO_DINA TERCIARIOS_CF_SEC_20230117.xlsx]CF PND'!$CT$53</t>
  </si>
  <si>
    <t>='C:\Users\jaime.benazar\Quorum Business Solutions\Ecopetrol Prometeo - Documents\Planning Space Implementation\3. Analysis &amp; Design\Design\FC22\DRR Jaime\Neiva CPI\[VAO_DINA TERCIARIOS_CF_SEC_20230117.xlsx]CF PND'!$CT$54</t>
  </si>
  <si>
    <t>='C:\Users\jaime.benazar\Quorum Business Solutions\Ecopetrol Prometeo - Documents\Planning Space Implementation\3. Analysis &amp; Design\Design\FC22\DRR Jaime\Neiva CPI\[VAO_DINA TERCIARIOS_CF_SEC_20230117.xlsx]CF PND'!$CT$55</t>
  </si>
  <si>
    <t>='C:\Users\jaime.benazar\Quorum Business Solutions\Ecopetrol Prometeo - Documents\Planning Space Implementation\3. Analysis &amp; Design\Design\FC22\DRR Jaime\Neiva CPI\[VAO_DINA TERCIARIOS_CF_SEC_20230117.xlsx]CF PND'!$CT$56</t>
  </si>
  <si>
    <t>='C:\Users\jaime.benazar\Quorum Business Solutions\Ecopetrol Prometeo - Documents\Planning Space Implementation\3. Analysis &amp; Design\Design\FC22\DRR Jaime\Neiva CPI\[VAO_DINA TERCIARIOS_CF_SEC_20230117.xlsx]CF PND'!$CT$57</t>
  </si>
  <si>
    <t>='C:\Users\jaime.benazar\Quorum Business Solutions\Ecopetrol Prometeo - Documents\Planning Space Implementation\3. Analysis &amp; Design\Design\FC22\DRR Jaime\Neiva CPI\[VAO_DINA TERCIARIOS_CF_SEC_20230117.xlsx]CF PND'!$CT$58</t>
  </si>
  <si>
    <t>='C:\Users\jaime.benazar\Quorum Business Solutions\Ecopetrol Prometeo - Documents\Planning Space Implementation\3. Analysis &amp; Design\Design\FC22\DRR Jaime\Neiva CPI\[VAO_DINA TERCIARIOS_CF_SEC_20230117.xlsx]CF PND'!$CT$59</t>
  </si>
  <si>
    <t>='C:\Users\jaime.benazar\Quorum Business Solutions\Ecopetrol Prometeo - Documents\Planning Space Implementation\3. Analysis &amp; Design\Design\FC22\DRR Jaime\Neiva CPI\[VAO_DINA TERCIARIOS_CF_SEC_20230117.xlsx]CF PND'!$CT$60</t>
  </si>
  <si>
    <t>='C:\Users\jaime.benazar\Quorum Business Solutions\Ecopetrol Prometeo - Documents\Planning Space Implementation\3. Analysis &amp; Design\Design\FC22\DRR Jaime\Neiva CPI\[VAO_DINA TERCIARIOS_CF_SEC_20230117.xlsx]CF PND'!$CT$61</t>
  </si>
  <si>
    <t>='C:\Users\jaime.benazar\Quorum Business Solutions\Ecopetrol Prometeo - Documents\Planning Space Implementation\3. Analysis &amp; Design\Design\FC22\DRR Jaime\Neiva CPI\[VAO_DINA TERCIARIOS_CF_SEC_20230117.xlsx]CF PND'!$CT$62</t>
  </si>
  <si>
    <t>='C:\Users\jaime.benazar\Quorum Business Solutions\Ecopetrol Prometeo - Documents\Planning Space Implementation\3. Analysis &amp; Design\Design\FC22\DRR Jaime\Neiva CPI\[VAO_DINA TERCIARIOS_CF_SEC_20230117.xlsx]CF PND'!$CT$63</t>
  </si>
  <si>
    <t>='C:\Users\jaime.benazar\Quorum Business Solutions\Ecopetrol Prometeo - Documents\Planning Space Implementation\3. Analysis &amp; Design\Design\FC22\DRR Jaime\Neiva CPI\[VAO_DINA TERCIARIOS_CF_SEC_20230117.xlsx]CF PND'!$CT$64</t>
  </si>
  <si>
    <t>='C:\Users\jaime.benazar\Quorum Business Solutions\Ecopetrol Prometeo - Documents\Planning Space Implementation\3. Analysis &amp; Design\Design\FC22\DRR Jaime\Neiva CPI\[VAO_DINA TERCIARIOS_CF_SEC_20230117.xlsx]CF PND'!$CT$65</t>
  </si>
  <si>
    <t>='C:\Users\jaime.benazar\Quorum Business Solutions\Ecopetrol Prometeo - Documents\Planning Space Implementation\3. Analysis &amp; Design\Design\FC22\DRR Jaime\Neiva CPI\[VAO_DINA TERCIARIOS_CF_SEC_20230117.xlsx]CF PND'!$CT$66</t>
  </si>
  <si>
    <t>='C:\Users\jaime.benazar\Quorum Business Solutions\Ecopetrol Prometeo - Documents\Planning Space Implementation\3. Analysis &amp; Design\Design\FC22\DRR Jaime\Neiva CPI\[VAO_DINA TERCIARIOS_CF_SEC_20230117.xlsx]CF PND'!$CT$67</t>
  </si>
  <si>
    <t>='C:\Users\jaime.benazar\Quorum Business Solutions\Ecopetrol Prometeo - Documents\Planning Space Implementation\3. Analysis &amp; Design\Design\FC22\DRR Jaime\Neiva CPI\[VAO_DINA TERCIARIOS_CF_SEC_20230117.xlsx]CF PND'!$CT$68</t>
  </si>
  <si>
    <t>='C:\Users\jaime.benazar\Quorum Business Solutions\Ecopetrol Prometeo - Documents\Planning Space Implementation\3. Analysis &amp; Design\Design\FC22\DRR Jaime\Neiva CPI\[VAO_DINA TERCIARIOS_CF_SEC_20230117.xlsx]CF PND'!$CT$69</t>
  </si>
  <si>
    <t>='C:\Users\jaime.benazar\Quorum Business Solutions\Ecopetrol Prometeo - Documents\Planning Space Implementation\3. Analysis &amp; Design\Design\FC22\DRR Jaime\Neiva CPI\[VAO_DINA TERCIARIOS_CF_SEC_20230117.xlsx]CF PND'!$CT$70</t>
  </si>
  <si>
    <t>='C:\Users\jaime.benazar\Quorum Business Solutions\Ecopetrol Prometeo - Documents\Planning Space Implementation\3. Analysis &amp; Design\Design\FC22\DRR Jaime\Neiva CPI\[VAO_DINA TERCIARIOS_CF_SEC_20230117.xlsx]CF PND'!$CT$71</t>
  </si>
  <si>
    <t>='C:\Users\jaime.benazar\Quorum Business Solutions\Ecopetrol Prometeo - Documents\Planning Space Implementation\3. Analysis &amp; Design\Design\FC22\DRR Jaime\Neiva CPI\[VAO_DINA TERCIARIOS_CF_SEC_20230117.xlsx]CF PND'!$CT$72</t>
  </si>
  <si>
    <t>='C:\Users\jaime.benazar\Quorum Business Solutions\Ecopetrol Prometeo - Documents\Planning Space Implementation\3. Analysis &amp; Design\Design\FC22\DRR Jaime\Neiva CPI\[VAO_DINA TERCIARIOS_CF_SEC_20230117.xlsx]CF PRB'!$CT$36</t>
  </si>
  <si>
    <t>='C:\Users\jaime.benazar\Quorum Business Solutions\Ecopetrol Prometeo - Documents\Planning Space Implementation\3. Analysis &amp; Design\Design\FC22\DRR Jaime\Neiva CPI\[VAO_DINA TERCIARIOS_CF_SEC_20230117.xlsx]CF PRB'!$CT$37</t>
  </si>
  <si>
    <t>='C:\Users\jaime.benazar\Quorum Business Solutions\Ecopetrol Prometeo - Documents\Planning Space Implementation\3. Analysis &amp; Design\Design\FC22\DRR Jaime\Neiva CPI\[VAO_DINA TERCIARIOS_CF_SEC_20230117.xlsx]CF PRB'!$CT$38</t>
  </si>
  <si>
    <t>='C:\Users\jaime.benazar\Quorum Business Solutions\Ecopetrol Prometeo - Documents\Planning Space Implementation\3. Analysis &amp; Design\Design\FC22\DRR Jaime\Neiva CPI\[VAO_DINA TERCIARIOS_CF_SEC_20230117.xlsx]CF PRB'!$CT$39</t>
  </si>
  <si>
    <t>='C:\Users\jaime.benazar\Quorum Business Solutions\Ecopetrol Prometeo - Documents\Planning Space Implementation\3. Analysis &amp; Design\Design\FC22\DRR Jaime\Neiva CPI\[VAO_DINA TERCIARIOS_CF_SEC_20230117.xlsx]CF PRB'!$CT$40</t>
  </si>
  <si>
    <t>='C:\Users\jaime.benazar\Quorum Business Solutions\Ecopetrol Prometeo - Documents\Planning Space Implementation\3. Analysis &amp; Design\Design\FC22\DRR Jaime\Neiva CPI\[VAO_DINA TERCIARIOS_CF_SEC_20230117.xlsx]CF PRB'!$CT$41</t>
  </si>
  <si>
    <t>='C:\Users\jaime.benazar\Quorum Business Solutions\Ecopetrol Prometeo - Documents\Planning Space Implementation\3. Analysis &amp; Design\Design\FC22\DRR Jaime\Neiva CPI\[VAO_DINA TERCIARIOS_CF_SEC_20230117.xlsx]CF PRB'!$CT$42</t>
  </si>
  <si>
    <t>='C:\Users\jaime.benazar\Quorum Business Solutions\Ecopetrol Prometeo - Documents\Planning Space Implementation\3. Analysis &amp; Design\Design\FC22\DRR Jaime\Neiva CPI\[VAO_DINA TERCIARIOS_CF_SEC_20230117.xlsx]CF PRB'!$CT$43</t>
  </si>
  <si>
    <t>='C:\Users\jaime.benazar\Quorum Business Solutions\Ecopetrol Prometeo - Documents\Planning Space Implementation\3. Analysis &amp; Design\Design\FC22\DRR Jaime\Neiva CPI\[VAO_DINA TERCIARIOS_CF_SEC_20230117.xlsx]CF PRB'!$CT$44</t>
  </si>
  <si>
    <t>='C:\Users\jaime.benazar\Quorum Business Solutions\Ecopetrol Prometeo - Documents\Planning Space Implementation\3. Analysis &amp; Design\Design\FC22\DRR Jaime\Neiva CPI\[VAO_DINA TERCIARIOS_CF_SEC_20230117.xlsx]CF PRB'!$CT$45</t>
  </si>
  <si>
    <t>='C:\Users\jaime.benazar\Quorum Business Solutions\Ecopetrol Prometeo - Documents\Planning Space Implementation\3. Analysis &amp; Design\Design\FC22\DRR Jaime\Neiva CPI\[VAO_DINA TERCIARIOS_CF_SEC_20230117.xlsx]CF PRB'!$CT$46</t>
  </si>
  <si>
    <t>='C:\Users\jaime.benazar\Quorum Business Solutions\Ecopetrol Prometeo - Documents\Planning Space Implementation\3. Analysis &amp; Design\Design\FC22\DRR Jaime\Neiva CPI\[VAO_DINA TERCIARIOS_CF_SEC_20230117.xlsx]CF PRB'!$CT$47</t>
  </si>
  <si>
    <t>='C:\Users\jaime.benazar\Quorum Business Solutions\Ecopetrol Prometeo - Documents\Planning Space Implementation\3. Analysis &amp; Design\Design\FC22\DRR Jaime\Neiva CPI\[VAO_DINA TERCIARIOS_CF_SEC_20230117.xlsx]CF PRB'!$CT$48</t>
  </si>
  <si>
    <t>='C:\Users\jaime.benazar\Quorum Business Solutions\Ecopetrol Prometeo - Documents\Planning Space Implementation\3. Analysis &amp; Design\Design\FC22\DRR Jaime\Neiva CPI\[VAO_DINA TERCIARIOS_CF_SEC_20230117.xlsx]CF PRB'!$CT$49</t>
  </si>
  <si>
    <t>='C:\Users\jaime.benazar\Quorum Business Solutions\Ecopetrol Prometeo - Documents\Planning Space Implementation\3. Analysis &amp; Design\Design\FC22\DRR Jaime\Neiva CPI\[VAO_DINA TERCIARIOS_CF_SEC_20230117.xlsx]CF PRB'!$CT$50</t>
  </si>
  <si>
    <t>='C:\Users\jaime.benazar\Quorum Business Solutions\Ecopetrol Prometeo - Documents\Planning Space Implementation\3. Analysis &amp; Design\Design\FC22\DRR Jaime\Neiva CPI\[VAO_DINA TERCIARIOS_CF_SEC_20230117.xlsx]CF PRB'!$CT$51</t>
  </si>
  <si>
    <t>='C:\Users\jaime.benazar\Quorum Business Solutions\Ecopetrol Prometeo - Documents\Planning Space Implementation\3. Analysis &amp; Design\Design\FC22\DRR Jaime\Neiva CPI\[VAO_DINA TERCIARIOS_CF_SEC_20230117.xlsx]CF PRB'!$CT$52</t>
  </si>
  <si>
    <t>='C:\Users\jaime.benazar\Quorum Business Solutions\Ecopetrol Prometeo - Documents\Planning Space Implementation\3. Analysis &amp; Design\Design\FC22\DRR Jaime\Neiva CPI\[VAO_DINA TERCIARIOS_CF_SEC_20230117.xlsx]CF PRB'!$CT$53</t>
  </si>
  <si>
    <t>='C:\Users\jaime.benazar\Quorum Business Solutions\Ecopetrol Prometeo - Documents\Planning Space Implementation\3. Analysis &amp; Design\Design\FC22\DRR Jaime\Neiva CPI\[VAO_DINA TERCIARIOS_CF_SEC_20230117.xlsx]CF PRB'!$CT$54</t>
  </si>
  <si>
    <t>='C:\Users\jaime.benazar\Quorum Business Solutions\Ecopetrol Prometeo - Documents\Planning Space Implementation\3. Analysis &amp; Design\Design\FC22\DRR Jaime\Neiva CPI\[VAO_DINA TERCIARIOS_CF_SEC_20230117.xlsx]CF PRB'!$CT$55</t>
  </si>
  <si>
    <t>='C:\Users\jaime.benazar\Quorum Business Solutions\Ecopetrol Prometeo - Documents\Planning Space Implementation\3. Analysis &amp; Design\Design\FC22\DRR Jaime\Neiva CPI\[VAO_DINA TERCIARIOS_CF_SEC_20230117.xlsx]CF PRB'!$CT$56</t>
  </si>
  <si>
    <t>='C:\Users\jaime.benazar\Quorum Business Solutions\Ecopetrol Prometeo - Documents\Planning Space Implementation\3. Analysis &amp; Design\Design\FC22\DRR Jaime\Neiva CPI\[VAO_DINA TERCIARIOS_CF_SEC_20230117.xlsx]CF PRB'!$CT$57</t>
  </si>
  <si>
    <t>='C:\Users\jaime.benazar\Quorum Business Solutions\Ecopetrol Prometeo - Documents\Planning Space Implementation\3. Analysis &amp; Design\Design\FC22\DRR Jaime\Neiva CPI\[VAO_DINA TERCIARIOS_CF_SEC_20230117.xlsx]CF PRB'!$CT$58</t>
  </si>
  <si>
    <t>='C:\Users\jaime.benazar\Quorum Business Solutions\Ecopetrol Prometeo - Documents\Planning Space Implementation\3. Analysis &amp; Design\Design\FC22\DRR Jaime\Neiva CPI\[VAO_DINA TERCIARIOS_CF_SEC_20230117.xlsx]CF PRB'!$CT$59</t>
  </si>
  <si>
    <t>='C:\Users\jaime.benazar\Quorum Business Solutions\Ecopetrol Prometeo - Documents\Planning Space Implementation\3. Analysis &amp; Design\Design\FC22\DRR Jaime\Neiva CPI\[VAO_DINA TERCIARIOS_CF_SEC_20230117.xlsx]CF PRB'!$CT$60</t>
  </si>
  <si>
    <t>='C:\Users\jaime.benazar\Quorum Business Solutions\Ecopetrol Prometeo - Documents\Planning Space Implementation\3. Analysis &amp; Design\Design\FC22\DRR Jaime\Neiva CPI\[VAO_DINA TERCIARIOS_CF_SEC_20230117.xlsx]CF PRB'!$CT$61</t>
  </si>
  <si>
    <t>='C:\Users\jaime.benazar\Quorum Business Solutions\Ecopetrol Prometeo - Documents\Planning Space Implementation\3. Analysis &amp; Design\Design\FC22\DRR Jaime\Neiva CPI\[VAO_DINA TERCIARIOS_CF_SEC_20230117.xlsx]CF PRB'!$CT$62</t>
  </si>
  <si>
    <t>='C:\Users\jaime.benazar\Quorum Business Solutions\Ecopetrol Prometeo - Documents\Planning Space Implementation\3. Analysis &amp; Design\Design\FC22\DRR Jaime\Neiva CPI\[VAO_DINA TERCIARIOS_CF_SEC_20230117.xlsx]CF PRB'!$CT$63</t>
  </si>
  <si>
    <t>='C:\Users\jaime.benazar\Quorum Business Solutions\Ecopetrol Prometeo - Documents\Planning Space Implementation\3. Analysis &amp; Design\Design\FC22\DRR Jaime\Neiva CPI\[VAO_DINA TERCIARIOS_CF_SEC_20230117.xlsx]CF PRB'!$CT$64</t>
  </si>
  <si>
    <t>='C:\Users\jaime.benazar\Quorum Business Solutions\Ecopetrol Prometeo - Documents\Planning Space Implementation\3. Analysis &amp; Design\Design\FC22\DRR Jaime\Neiva CPI\[VAO_DINA TERCIARIOS_CF_SEC_20230117.xlsx]CF PRB'!$CT$65</t>
  </si>
  <si>
    <t>='C:\Users\jaime.benazar\Quorum Business Solutions\Ecopetrol Prometeo - Documents\Planning Space Implementation\3. Analysis &amp; Design\Design\FC22\DRR Jaime\Neiva CPI\[VAO_DINA TERCIARIOS_CF_SEC_20230117.xlsx]CF PRB'!$CT$66</t>
  </si>
  <si>
    <t>='C:\Users\jaime.benazar\Quorum Business Solutions\Ecopetrol Prometeo - Documents\Planning Space Implementation\3. Analysis &amp; Design\Design\FC22\DRR Jaime\Neiva CPI\[VAO_DINA TERCIARIOS_CF_SEC_20230117.xlsx]CF PRB'!$CT$67</t>
  </si>
  <si>
    <t>='C:\Users\jaime.benazar\Quorum Business Solutions\Ecopetrol Prometeo - Documents\Planning Space Implementation\3. Analysis &amp; Design\Design\FC22\DRR Jaime\Neiva CPI\[VAO_DINA TERCIARIOS_CF_SEC_20230117.xlsx]CF PRB'!$CT$68</t>
  </si>
  <si>
    <t>='C:\Users\jaime.benazar\Quorum Business Solutions\Ecopetrol Prometeo - Documents\Planning Space Implementation\3. Analysis &amp; Design\Design\FC22\DRR Jaime\Neiva CPI\[VAO_DINA TERCIARIOS_CF_SEC_20230117.xlsx]CF PRB'!$CT$69</t>
  </si>
  <si>
    <t>='C:\Users\jaime.benazar\Quorum Business Solutions\Ecopetrol Prometeo - Documents\Planning Space Implementation\3. Analysis &amp; Design\Design\FC22\DRR Jaime\Neiva CPI\[VAO_DINA TERCIARIOS_CF_SEC_20230117.xlsx]CF PRB'!$CT$70</t>
  </si>
  <si>
    <t>='C:\Users\jaime.benazar\Quorum Business Solutions\Ecopetrol Prometeo - Documents\Planning Space Implementation\3. Analysis &amp; Design\Design\FC22\DRR Jaime\Neiva CPI\[VAO_DINA TERCIARIOS_CF_SEC_20230117.xlsx]CF PRB'!$CT$71</t>
  </si>
  <si>
    <t>='C:\Users\jaime.benazar\Quorum Business Solutions\Ecopetrol Prometeo - Documents\Planning Space Implementation\3. Analysis &amp; Design\Design\FC22\DRR Jaime\Neiva CPI\[VAO_DINA TERCIARIOS_CF_SEC_20230117.xlsx]CF PRB'!$CT$72</t>
  </si>
  <si>
    <t>='C:\Users\jaime.benazar\Quorum Business Solutions\Ecopetrol Prometeo - Documents\Planning Space Implementation\3. Analysis &amp; Design\Design\FC22\DRR Jaime\Neiva CPI\[VAO_DINA TERCIARIOS_CF_SEC_20230117.xlsx]CF PS'!$CT$36</t>
  </si>
  <si>
    <t>='C:\Users\jaime.benazar\Quorum Business Solutions\Ecopetrol Prometeo - Documents\Planning Space Implementation\3. Analysis &amp; Design\Design\FC22\DRR Jaime\Neiva CPI\[VAO_DINA TERCIARIOS_CF_SEC_20230117.xlsx]CF PS'!$CT$37</t>
  </si>
  <si>
    <t>='C:\Users\jaime.benazar\Quorum Business Solutions\Ecopetrol Prometeo - Documents\Planning Space Implementation\3. Analysis &amp; Design\Design\FC22\DRR Jaime\Neiva CPI\[VAO_DINA TERCIARIOS_CF_SEC_20230117.xlsx]CF PS'!$CT$38</t>
  </si>
  <si>
    <t>='C:\Users\jaime.benazar\Quorum Business Solutions\Ecopetrol Prometeo - Documents\Planning Space Implementation\3. Analysis &amp; Design\Design\FC22\DRR Jaime\Neiva CPI\[VAO_DINA TERCIARIOS_CF_SEC_20230117.xlsx]CF PS'!$CT$39</t>
  </si>
  <si>
    <t>='C:\Users\jaime.benazar\Quorum Business Solutions\Ecopetrol Prometeo - Documents\Planning Space Implementation\3. Analysis &amp; Design\Design\FC22\DRR Jaime\Neiva CPI\[VAO_DINA TERCIARIOS_CF_SEC_20230117.xlsx]CF PS'!$CT$40</t>
  </si>
  <si>
    <t>='C:\Users\jaime.benazar\Quorum Business Solutions\Ecopetrol Prometeo - Documents\Planning Space Implementation\3. Analysis &amp; Design\Design\FC22\DRR Jaime\Neiva CPI\[VAO_DINA TERCIARIOS_CF_SEC_20230117.xlsx]CF PS'!$CT$41</t>
  </si>
  <si>
    <t>='C:\Users\jaime.benazar\Quorum Business Solutions\Ecopetrol Prometeo - Documents\Planning Space Implementation\3. Analysis &amp; Design\Design\FC22\DRR Jaime\Neiva CPI\[VAO_DINA TERCIARIOS_CF_SEC_20230117.xlsx]CF PS'!$CT$42</t>
  </si>
  <si>
    <t>='C:\Users\jaime.benazar\Quorum Business Solutions\Ecopetrol Prometeo - Documents\Planning Space Implementation\3. Analysis &amp; Design\Design\FC22\DRR Jaime\Neiva CPI\[VAO_DINA TERCIARIOS_CF_SEC_20230117.xlsx]CF PS'!$CT$43</t>
  </si>
  <si>
    <t>='C:\Users\jaime.benazar\Quorum Business Solutions\Ecopetrol Prometeo - Documents\Planning Space Implementation\3. Analysis &amp; Design\Design\FC22\DRR Jaime\Neiva CPI\[VAO_DINA TERCIARIOS_CF_SEC_20230117.xlsx]CF PS'!$CT$44</t>
  </si>
  <si>
    <t>='C:\Users\jaime.benazar\Quorum Business Solutions\Ecopetrol Prometeo - Documents\Planning Space Implementation\3. Analysis &amp; Design\Design\FC22\DRR Jaime\Neiva CPI\[VAO_DINA TERCIARIOS_CF_SEC_20230117.xlsx]CF PS'!$CT$45</t>
  </si>
  <si>
    <t>='C:\Users\jaime.benazar\Quorum Business Solutions\Ecopetrol Prometeo - Documents\Planning Space Implementation\3. Analysis &amp; Design\Design\FC22\DRR Jaime\Neiva CPI\[VAO_DINA TERCIARIOS_CF_SEC_20230117.xlsx]CF PS'!$CT$46</t>
  </si>
  <si>
    <t>='C:\Users\jaime.benazar\Quorum Business Solutions\Ecopetrol Prometeo - Documents\Planning Space Implementation\3. Analysis &amp; Design\Design\FC22\DRR Jaime\Neiva CPI\[VAO_DINA TERCIARIOS_CF_SEC_20230117.xlsx]CF PS'!$CT$47</t>
  </si>
  <si>
    <t>='C:\Users\jaime.benazar\Quorum Business Solutions\Ecopetrol Prometeo - Documents\Planning Space Implementation\3. Analysis &amp; Design\Design\FC22\DRR Jaime\Neiva CPI\[VAO_DINA TERCIARIOS_CF_SEC_20230117.xlsx]CF PS'!$CT$48</t>
  </si>
  <si>
    <t>='C:\Users\jaime.benazar\Quorum Business Solutions\Ecopetrol Prometeo - Documents\Planning Space Implementation\3. Analysis &amp; Design\Design\FC22\DRR Jaime\Neiva CPI\[VAO_DINA TERCIARIOS_CF_SEC_20230117.xlsx]CF PS'!$CT$49</t>
  </si>
  <si>
    <t>='C:\Users\jaime.benazar\Quorum Business Solutions\Ecopetrol Prometeo - Documents\Planning Space Implementation\3. Analysis &amp; Design\Design\FC22\DRR Jaime\Neiva CPI\[VAO_DINA TERCIARIOS_CF_SEC_20230117.xlsx]CF PS'!$CT$50</t>
  </si>
  <si>
    <t>='C:\Users\jaime.benazar\Quorum Business Solutions\Ecopetrol Prometeo - Documents\Planning Space Implementation\3. Analysis &amp; Design\Design\FC22\DRR Jaime\Neiva CPI\[VAO_DINA TERCIARIOS_CF_SEC_20230117.xlsx]CF PS'!$CT$51</t>
  </si>
  <si>
    <t>='C:\Users\jaime.benazar\Quorum Business Solutions\Ecopetrol Prometeo - Documents\Planning Space Implementation\3. Analysis &amp; Design\Design\FC22\DRR Jaime\Neiva CPI\[VAO_DINA TERCIARIOS_CF_SEC_20230117.xlsx]CF PS'!$CT$52</t>
  </si>
  <si>
    <t>='C:\Users\jaime.benazar\Quorum Business Solutions\Ecopetrol Prometeo - Documents\Planning Space Implementation\3. Analysis &amp; Design\Design\FC22\DRR Jaime\Neiva CPI\[VAO_DINA TERCIARIOS_CF_SEC_20230117.xlsx]CF PS'!$CT$53</t>
  </si>
  <si>
    <t>='C:\Users\jaime.benazar\Quorum Business Solutions\Ecopetrol Prometeo - Documents\Planning Space Implementation\3. Analysis &amp; Design\Design\FC22\DRR Jaime\Neiva CPI\[VAO_DINA TERCIARIOS_CF_SEC_20230117.xlsx]CF PS'!$CT$54</t>
  </si>
  <si>
    <t>='C:\Users\jaime.benazar\Quorum Business Solutions\Ecopetrol Prometeo - Documents\Planning Space Implementation\3. Analysis &amp; Design\Design\FC22\DRR Jaime\Neiva CPI\[VAO_DINA TERCIARIOS_CF_SEC_20230117.xlsx]CF PS'!$CT$55</t>
  </si>
  <si>
    <t>='C:\Users\jaime.benazar\Quorum Business Solutions\Ecopetrol Prometeo - Documents\Planning Space Implementation\3. Analysis &amp; Design\Design\FC22\DRR Jaime\Neiva CPI\[VAO_DINA TERCIARIOS_CF_SEC_20230117.xlsx]CF PS'!$CT$56</t>
  </si>
  <si>
    <t>='C:\Users\jaime.benazar\Quorum Business Solutions\Ecopetrol Prometeo - Documents\Planning Space Implementation\3. Analysis &amp; Design\Design\FC22\DRR Jaime\Neiva CPI\[VAO_DINA TERCIARIOS_CF_SEC_20230117.xlsx]CF PS'!$CT$57</t>
  </si>
  <si>
    <t>='C:\Users\jaime.benazar\Quorum Business Solutions\Ecopetrol Prometeo - Documents\Planning Space Implementation\3. Analysis &amp; Design\Design\FC22\DRR Jaime\Neiva CPI\[VAO_DINA TERCIARIOS_CF_SEC_20230117.xlsx]CF PS'!$CT$58</t>
  </si>
  <si>
    <t>='C:\Users\jaime.benazar\Quorum Business Solutions\Ecopetrol Prometeo - Documents\Planning Space Implementation\3. Analysis &amp; Design\Design\FC22\DRR Jaime\Neiva CPI\[VAO_DINA TERCIARIOS_CF_SEC_20230117.xlsx]CF PS'!$CT$59</t>
  </si>
  <si>
    <t>='C:\Users\jaime.benazar\Quorum Business Solutions\Ecopetrol Prometeo - Documents\Planning Space Implementation\3. Analysis &amp; Design\Design\FC22\DRR Jaime\Neiva CPI\[VAO_DINA TERCIARIOS_CF_SEC_20230117.xlsx]CF PS'!$CT$60</t>
  </si>
  <si>
    <t>='C:\Users\jaime.benazar\Quorum Business Solutions\Ecopetrol Prometeo - Documents\Planning Space Implementation\3. Analysis &amp; Design\Design\FC22\DRR Jaime\Neiva CPI\[VAO_DINA TERCIARIOS_CF_SEC_20230117.xlsx]CF PS'!$CT$61</t>
  </si>
  <si>
    <t>='C:\Users\jaime.benazar\Quorum Business Solutions\Ecopetrol Prometeo - Documents\Planning Space Implementation\3. Analysis &amp; Design\Design\FC22\DRR Jaime\Neiva CPI\[VAO_DINA TERCIARIOS_CF_SEC_20230117.xlsx]CF PS'!$CT$62</t>
  </si>
  <si>
    <t>='C:\Users\jaime.benazar\Quorum Business Solutions\Ecopetrol Prometeo - Documents\Planning Space Implementation\3. Analysis &amp; Design\Design\FC22\DRR Jaime\Neiva CPI\[VAO_DINA TERCIARIOS_CF_SEC_20230117.xlsx]CF PS'!$CT$63</t>
  </si>
  <si>
    <t>='C:\Users\jaime.benazar\Quorum Business Solutions\Ecopetrol Prometeo - Documents\Planning Space Implementation\3. Analysis &amp; Design\Design\FC22\DRR Jaime\Neiva CPI\[VAO_DINA TERCIARIOS_CF_SEC_20230117.xlsx]CF PS'!$CT$64</t>
  </si>
  <si>
    <t>='C:\Users\jaime.benazar\Quorum Business Solutions\Ecopetrol Prometeo - Documents\Planning Space Implementation\3. Analysis &amp; Design\Design\FC22\DRR Jaime\Neiva CPI\[VAO_DINA TERCIARIOS_CF_SEC_20230117.xlsx]CF PS'!$CT$65</t>
  </si>
  <si>
    <t>='C:\Users\jaime.benazar\Quorum Business Solutions\Ecopetrol Prometeo - Documents\Planning Space Implementation\3. Analysis &amp; Design\Design\FC22\DRR Jaime\Neiva CPI\[VAO_DINA TERCIARIOS_CF_SEC_20230117.xlsx]CF PS'!$CT$66</t>
  </si>
  <si>
    <t>='C:\Users\jaime.benazar\Quorum Business Solutions\Ecopetrol Prometeo - Documents\Planning Space Implementation\3. Analysis &amp; Design\Design\FC22\DRR Jaime\Neiva CPI\[VAO_DINA TERCIARIOS_CF_SEC_20230117.xlsx]CF PS'!$CT$67</t>
  </si>
  <si>
    <t>='C:\Users\jaime.benazar\Quorum Business Solutions\Ecopetrol Prometeo - Documents\Planning Space Implementation\3. Analysis &amp; Design\Design\FC22\DRR Jaime\Neiva CPI\[VAO_DINA TERCIARIOS_CF_SEC_20230117.xlsx]CF PS'!$CT$68</t>
  </si>
  <si>
    <t>='C:\Users\jaime.benazar\Quorum Business Solutions\Ecopetrol Prometeo - Documents\Planning Space Implementation\3. Analysis &amp; Design\Design\FC22\DRR Jaime\Neiva CPI\[VAO_DINA TERCIARIOS_CF_SEC_20230117.xlsx]CF PS'!$CT$69</t>
  </si>
  <si>
    <t>='C:\Users\jaime.benazar\Quorum Business Solutions\Ecopetrol Prometeo - Documents\Planning Space Implementation\3. Analysis &amp; Design\Design\FC22\DRR Jaime\Neiva CPI\[VAO_DINA TERCIARIOS_CF_SEC_20230117.xlsx]CF PS'!$CT$70</t>
  </si>
  <si>
    <t>='C:\Users\jaime.benazar\Quorum Business Solutions\Ecopetrol Prometeo - Documents\Planning Space Implementation\3. Analysis &amp; Design\Design\FC22\DRR Jaime\Neiva CPI\[VAO_DINA TERCIARIOS_CF_SEC_20230117.xlsx]CF PS'!$CT$71</t>
  </si>
  <si>
    <t>='C:\Users\jaime.benazar\Quorum Business Solutions\Ecopetrol Prometeo - Documents\Planning Space Implementation\3. Analysis &amp; Design\Design\FC22\DRR Jaime\Neiva CPI\[VAO_DINA TERCIARIOS_CF_SEC_20230117.xlsx]CF PS'!$CT$72</t>
  </si>
  <si>
    <t>='C:\Users\jaime.benazar\Quorum Business Solutions\Ecopetrol Prometeo - Documents\Planning Space Implementation\3. Analysis &amp; Design\Design\FC22\DRR Jaime\Neiva CPI\[VAO_DINA TERCIARIOS_CF_SEC_20230117.xlsx]CF PDP'!$DN$36</t>
  </si>
  <si>
    <t>='C:\Users\jaime.benazar\Quorum Business Solutions\Ecopetrol Prometeo - Documents\Planning Space Implementation\3. Analysis &amp; Design\Design\FC22\DRR Jaime\Neiva CPI\[VAO_DINA TERCIARIOS_CF_SEC_20230117.xlsx]CF PDP'!$DN$37</t>
  </si>
  <si>
    <t>='C:\Users\jaime.benazar\Quorum Business Solutions\Ecopetrol Prometeo - Documents\Planning Space Implementation\3. Analysis &amp; Design\Design\FC22\DRR Jaime\Neiva CPI\[VAO_DINA TERCIARIOS_CF_SEC_20230117.xlsx]CF PDP'!$DN$38</t>
  </si>
  <si>
    <t>='C:\Users\jaime.benazar\Quorum Business Solutions\Ecopetrol Prometeo - Documents\Planning Space Implementation\3. Analysis &amp; Design\Design\FC22\DRR Jaime\Neiva CPI\[VAO_DINA TERCIARIOS_CF_SEC_20230117.xlsx]CF PDP'!$DN$39</t>
  </si>
  <si>
    <t>='C:\Users\jaime.benazar\Quorum Business Solutions\Ecopetrol Prometeo - Documents\Planning Space Implementation\3. Analysis &amp; Design\Design\FC22\DRR Jaime\Neiva CPI\[VAO_DINA TERCIARIOS_CF_SEC_20230117.xlsx]CF PDP'!$DN$40</t>
  </si>
  <si>
    <t>='C:\Users\jaime.benazar\Quorum Business Solutions\Ecopetrol Prometeo - Documents\Planning Space Implementation\3. Analysis &amp; Design\Design\FC22\DRR Jaime\Neiva CPI\[VAO_DINA TERCIARIOS_CF_SEC_20230117.xlsx]CF PDP'!$DN$41</t>
  </si>
  <si>
    <t>='C:\Users\jaime.benazar\Quorum Business Solutions\Ecopetrol Prometeo - Documents\Planning Space Implementation\3. Analysis &amp; Design\Design\FC22\DRR Jaime\Neiva CPI\[VAO_DINA TERCIARIOS_CF_SEC_20230117.xlsx]CF PDP'!$DN$42</t>
  </si>
  <si>
    <t>='C:\Users\jaime.benazar\Quorum Business Solutions\Ecopetrol Prometeo - Documents\Planning Space Implementation\3. Analysis &amp; Design\Design\FC22\DRR Jaime\Neiva CPI\[VAO_DINA TERCIARIOS_CF_SEC_20230117.xlsx]CF PDP'!$DN$43</t>
  </si>
  <si>
    <t>='C:\Users\jaime.benazar\Quorum Business Solutions\Ecopetrol Prometeo - Documents\Planning Space Implementation\3. Analysis &amp; Design\Design\FC22\DRR Jaime\Neiva CPI\[VAO_DINA TERCIARIOS_CF_SEC_20230117.xlsx]CF PDP'!$DN$44</t>
  </si>
  <si>
    <t>='C:\Users\jaime.benazar\Quorum Business Solutions\Ecopetrol Prometeo - Documents\Planning Space Implementation\3. Analysis &amp; Design\Design\FC22\DRR Jaime\Neiva CPI\[VAO_DINA TERCIARIOS_CF_SEC_20230117.xlsx]CF PDP'!$DN$45</t>
  </si>
  <si>
    <t>='C:\Users\jaime.benazar\Quorum Business Solutions\Ecopetrol Prometeo - Documents\Planning Space Implementation\3. Analysis &amp; Design\Design\FC22\DRR Jaime\Neiva CPI\[VAO_DINA TERCIARIOS_CF_SEC_20230117.xlsx]CF PDP'!$DN$46</t>
  </si>
  <si>
    <t>='C:\Users\jaime.benazar\Quorum Business Solutions\Ecopetrol Prometeo - Documents\Planning Space Implementation\3. Analysis &amp; Design\Design\FC22\DRR Jaime\Neiva CPI\[VAO_DINA TERCIARIOS_CF_SEC_20230117.xlsx]CF PDP'!$DN$47</t>
  </si>
  <si>
    <t>='C:\Users\jaime.benazar\Quorum Business Solutions\Ecopetrol Prometeo - Documents\Planning Space Implementation\3. Analysis &amp; Design\Design\FC22\DRR Jaime\Neiva CPI\[VAO_DINA TERCIARIOS_CF_SEC_20230117.xlsx]CF PDP'!$DN$48</t>
  </si>
  <si>
    <t>='C:\Users\jaime.benazar\Quorum Business Solutions\Ecopetrol Prometeo - Documents\Planning Space Implementation\3. Analysis &amp; Design\Design\FC22\DRR Jaime\Neiva CPI\[VAO_DINA TERCIARIOS_CF_SEC_20230117.xlsx]CF PDP'!$DN$49</t>
  </si>
  <si>
    <t>='C:\Users\jaime.benazar\Quorum Business Solutions\Ecopetrol Prometeo - Documents\Planning Space Implementation\3. Analysis &amp; Design\Design\FC22\DRR Jaime\Neiva CPI\[VAO_DINA TERCIARIOS_CF_SEC_20230117.xlsx]CF PDP'!$DN$50</t>
  </si>
  <si>
    <t>='C:\Users\jaime.benazar\Quorum Business Solutions\Ecopetrol Prometeo - Documents\Planning Space Implementation\3. Analysis &amp; Design\Design\FC22\DRR Jaime\Neiva CPI\[VAO_DINA TERCIARIOS_CF_SEC_20230117.xlsx]CF PDP'!$DN$51</t>
  </si>
  <si>
    <t>='C:\Users\jaime.benazar\Quorum Business Solutions\Ecopetrol Prometeo - Documents\Planning Space Implementation\3. Analysis &amp; Design\Design\FC22\DRR Jaime\Neiva CPI\[VAO_DINA TERCIARIOS_CF_SEC_20230117.xlsx]CF PDP'!$DN$52</t>
  </si>
  <si>
    <t>='C:\Users\jaime.benazar\Quorum Business Solutions\Ecopetrol Prometeo - Documents\Planning Space Implementation\3. Analysis &amp; Design\Design\FC22\DRR Jaime\Neiva CPI\[VAO_DINA TERCIARIOS_CF_SEC_20230117.xlsx]CF PDP'!$DN$53</t>
  </si>
  <si>
    <t>='C:\Users\jaime.benazar\Quorum Business Solutions\Ecopetrol Prometeo - Documents\Planning Space Implementation\3. Analysis &amp; Design\Design\FC22\DRR Jaime\Neiva CPI\[VAO_DINA TERCIARIOS_CF_SEC_20230117.xlsx]CF PDP'!$DN$54</t>
  </si>
  <si>
    <t>='C:\Users\jaime.benazar\Quorum Business Solutions\Ecopetrol Prometeo - Documents\Planning Space Implementation\3. Analysis &amp; Design\Design\FC22\DRR Jaime\Neiva CPI\[VAO_DINA TERCIARIOS_CF_SEC_20230117.xlsx]CF PDP'!$DN$55</t>
  </si>
  <si>
    <t>='C:\Users\jaime.benazar\Quorum Business Solutions\Ecopetrol Prometeo - Documents\Planning Space Implementation\3. Analysis &amp; Design\Design\FC22\DRR Jaime\Neiva CPI\[VAO_DINA TERCIARIOS_CF_SEC_20230117.xlsx]CF PDP'!$DN$56</t>
  </si>
  <si>
    <t>='C:\Users\jaime.benazar\Quorum Business Solutions\Ecopetrol Prometeo - Documents\Planning Space Implementation\3. Analysis &amp; Design\Design\FC22\DRR Jaime\Neiva CPI\[VAO_DINA TERCIARIOS_CF_SEC_20230117.xlsx]CF PDP'!$DN$57</t>
  </si>
  <si>
    <t>='C:\Users\jaime.benazar\Quorum Business Solutions\Ecopetrol Prometeo - Documents\Planning Space Implementation\3. Analysis &amp; Design\Design\FC22\DRR Jaime\Neiva CPI\[VAO_DINA TERCIARIOS_CF_SEC_20230117.xlsx]CF PDP'!$DN$58</t>
  </si>
  <si>
    <t>='C:\Users\jaime.benazar\Quorum Business Solutions\Ecopetrol Prometeo - Documents\Planning Space Implementation\3. Analysis &amp; Design\Design\FC22\DRR Jaime\Neiva CPI\[VAO_DINA TERCIARIOS_CF_SEC_20230117.xlsx]CF PDP'!$DN$59</t>
  </si>
  <si>
    <t>='C:\Users\jaime.benazar\Quorum Business Solutions\Ecopetrol Prometeo - Documents\Planning Space Implementation\3. Analysis &amp; Design\Design\FC22\DRR Jaime\Neiva CPI\[VAO_DINA TERCIARIOS_CF_SEC_20230117.xlsx]CF PDP'!$DN$60</t>
  </si>
  <si>
    <t>='C:\Users\jaime.benazar\Quorum Business Solutions\Ecopetrol Prometeo - Documents\Planning Space Implementation\3. Analysis &amp; Design\Design\FC22\DRR Jaime\Neiva CPI\[VAO_DINA TERCIARIOS_CF_SEC_20230117.xlsx]CF PDP'!$DN$61</t>
  </si>
  <si>
    <t>='C:\Users\jaime.benazar\Quorum Business Solutions\Ecopetrol Prometeo - Documents\Planning Space Implementation\3. Analysis &amp; Design\Design\FC22\DRR Jaime\Neiva CPI\[VAO_DINA TERCIARIOS_CF_SEC_20230117.xlsx]CF PDP'!$DN$62</t>
  </si>
  <si>
    <t>='C:\Users\jaime.benazar\Quorum Business Solutions\Ecopetrol Prometeo - Documents\Planning Space Implementation\3. Analysis &amp; Design\Design\FC22\DRR Jaime\Neiva CPI\[VAO_DINA TERCIARIOS_CF_SEC_20230117.xlsx]CF PDP'!$DN$63</t>
  </si>
  <si>
    <t>='C:\Users\jaime.benazar\Quorum Business Solutions\Ecopetrol Prometeo - Documents\Planning Space Implementation\3. Analysis &amp; Design\Design\FC22\DRR Jaime\Neiva CPI\[VAO_DINA TERCIARIOS_CF_SEC_20230117.xlsx]CF PDP'!$DN$64</t>
  </si>
  <si>
    <t>='C:\Users\jaime.benazar\Quorum Business Solutions\Ecopetrol Prometeo - Documents\Planning Space Implementation\3. Analysis &amp; Design\Design\FC22\DRR Jaime\Neiva CPI\[VAO_DINA TERCIARIOS_CF_SEC_20230117.xlsx]CF PDP'!$DN$65</t>
  </si>
  <si>
    <t>='C:\Users\jaime.benazar\Quorum Business Solutions\Ecopetrol Prometeo - Documents\Planning Space Implementation\3. Analysis &amp; Design\Design\FC22\DRR Jaime\Neiva CPI\[VAO_DINA TERCIARIOS_CF_SEC_20230117.xlsx]CF PDP'!$DN$66</t>
  </si>
  <si>
    <t>='C:\Users\jaime.benazar\Quorum Business Solutions\Ecopetrol Prometeo - Documents\Planning Space Implementation\3. Analysis &amp; Design\Design\FC22\DRR Jaime\Neiva CPI\[VAO_DINA TERCIARIOS_CF_SEC_20230117.xlsx]CF PDP'!$DN$67</t>
  </si>
  <si>
    <t>='C:\Users\jaime.benazar\Quorum Business Solutions\Ecopetrol Prometeo - Documents\Planning Space Implementation\3. Analysis &amp; Design\Design\FC22\DRR Jaime\Neiva CPI\[VAO_DINA TERCIARIOS_CF_SEC_20230117.xlsx]CF PDP'!$DN$68</t>
  </si>
  <si>
    <t>='C:\Users\jaime.benazar\Quorum Business Solutions\Ecopetrol Prometeo - Documents\Planning Space Implementation\3. Analysis &amp; Design\Design\FC22\DRR Jaime\Neiva CPI\[VAO_DINA TERCIARIOS_CF_SEC_20230117.xlsx]CF PDP'!$DN$69</t>
  </si>
  <si>
    <t>='C:\Users\jaime.benazar\Quorum Business Solutions\Ecopetrol Prometeo - Documents\Planning Space Implementation\3. Analysis &amp; Design\Design\FC22\DRR Jaime\Neiva CPI\[VAO_DINA TERCIARIOS_CF_SEC_20230117.xlsx]CF PDP'!$DN$70</t>
  </si>
  <si>
    <t>='C:\Users\jaime.benazar\Quorum Business Solutions\Ecopetrol Prometeo - Documents\Planning Space Implementation\3. Analysis &amp; Design\Design\FC22\DRR Jaime\Neiva CPI\[VAO_DINA TERCIARIOS_CF_SEC_20230117.xlsx]CF PDP'!$DN$71</t>
  </si>
  <si>
    <t>='C:\Users\jaime.benazar\Quorum Business Solutions\Ecopetrol Prometeo - Documents\Planning Space Implementation\3. Analysis &amp; Design\Design\FC22\DRR Jaime\Neiva CPI\[VAO_DINA TERCIARIOS_CF_SEC_20230117.xlsx]CF PDP'!$DN$72</t>
  </si>
  <si>
    <t>='C:\Users\jaime.benazar\Quorum Business Solutions\Ecopetrol Prometeo - Documents\Planning Space Implementation\3. Analysis &amp; Design\Design\FC22\DRR Jaime\Neiva CPI\[VAO_DINA TERCIARIOS_CF_SEC_20230117.xlsx]CF PNP'!$DN$36</t>
  </si>
  <si>
    <t>='C:\Users\jaime.benazar\Quorum Business Solutions\Ecopetrol Prometeo - Documents\Planning Space Implementation\3. Analysis &amp; Design\Design\FC22\DRR Jaime\Neiva CPI\[VAO_DINA TERCIARIOS_CF_SEC_20230117.xlsx]CF PNP'!$DN$37</t>
  </si>
  <si>
    <t>='C:\Users\jaime.benazar\Quorum Business Solutions\Ecopetrol Prometeo - Documents\Planning Space Implementation\3. Analysis &amp; Design\Design\FC22\DRR Jaime\Neiva CPI\[VAO_DINA TERCIARIOS_CF_SEC_20230117.xlsx]CF PNP'!$DN$38</t>
  </si>
  <si>
    <t>='C:\Users\jaime.benazar\Quorum Business Solutions\Ecopetrol Prometeo - Documents\Planning Space Implementation\3. Analysis &amp; Design\Design\FC22\DRR Jaime\Neiva CPI\[VAO_DINA TERCIARIOS_CF_SEC_20230117.xlsx]CF PNP'!$DN$39</t>
  </si>
  <si>
    <t>='C:\Users\jaime.benazar\Quorum Business Solutions\Ecopetrol Prometeo - Documents\Planning Space Implementation\3. Analysis &amp; Design\Design\FC22\DRR Jaime\Neiva CPI\[VAO_DINA TERCIARIOS_CF_SEC_20230117.xlsx]CF PNP'!$DN$40</t>
  </si>
  <si>
    <t>='C:\Users\jaime.benazar\Quorum Business Solutions\Ecopetrol Prometeo - Documents\Planning Space Implementation\3. Analysis &amp; Design\Design\FC22\DRR Jaime\Neiva CPI\[VAO_DINA TERCIARIOS_CF_SEC_20230117.xlsx]CF PNP'!$DN$41</t>
  </si>
  <si>
    <t>='C:\Users\jaime.benazar\Quorum Business Solutions\Ecopetrol Prometeo - Documents\Planning Space Implementation\3. Analysis &amp; Design\Design\FC22\DRR Jaime\Neiva CPI\[VAO_DINA TERCIARIOS_CF_SEC_20230117.xlsx]CF PNP'!$DN$42</t>
  </si>
  <si>
    <t>='C:\Users\jaime.benazar\Quorum Business Solutions\Ecopetrol Prometeo - Documents\Planning Space Implementation\3. Analysis &amp; Design\Design\FC22\DRR Jaime\Neiva CPI\[VAO_DINA TERCIARIOS_CF_SEC_20230117.xlsx]CF PNP'!$DN$43</t>
  </si>
  <si>
    <t>='C:\Users\jaime.benazar\Quorum Business Solutions\Ecopetrol Prometeo - Documents\Planning Space Implementation\3. Analysis &amp; Design\Design\FC22\DRR Jaime\Neiva CPI\[VAO_DINA TERCIARIOS_CF_SEC_20230117.xlsx]CF PNP'!$DN$44</t>
  </si>
  <si>
    <t>='C:\Users\jaime.benazar\Quorum Business Solutions\Ecopetrol Prometeo - Documents\Planning Space Implementation\3. Analysis &amp; Design\Design\FC22\DRR Jaime\Neiva CPI\[VAO_DINA TERCIARIOS_CF_SEC_20230117.xlsx]CF PNP'!$DN$45</t>
  </si>
  <si>
    <t>='C:\Users\jaime.benazar\Quorum Business Solutions\Ecopetrol Prometeo - Documents\Planning Space Implementation\3. Analysis &amp; Design\Design\FC22\DRR Jaime\Neiva CPI\[VAO_DINA TERCIARIOS_CF_SEC_20230117.xlsx]CF PNP'!$DN$46</t>
  </si>
  <si>
    <t>='C:\Users\jaime.benazar\Quorum Business Solutions\Ecopetrol Prometeo - Documents\Planning Space Implementation\3. Analysis &amp; Design\Design\FC22\DRR Jaime\Neiva CPI\[VAO_DINA TERCIARIOS_CF_SEC_20230117.xlsx]CF PNP'!$DN$47</t>
  </si>
  <si>
    <t>='C:\Users\jaime.benazar\Quorum Business Solutions\Ecopetrol Prometeo - Documents\Planning Space Implementation\3. Analysis &amp; Design\Design\FC22\DRR Jaime\Neiva CPI\[VAO_DINA TERCIARIOS_CF_SEC_20230117.xlsx]CF PNP'!$DN$48</t>
  </si>
  <si>
    <t>='C:\Users\jaime.benazar\Quorum Business Solutions\Ecopetrol Prometeo - Documents\Planning Space Implementation\3. Analysis &amp; Design\Design\FC22\DRR Jaime\Neiva CPI\[VAO_DINA TERCIARIOS_CF_SEC_20230117.xlsx]CF PNP'!$DN$49</t>
  </si>
  <si>
    <t>='C:\Users\jaime.benazar\Quorum Business Solutions\Ecopetrol Prometeo - Documents\Planning Space Implementation\3. Analysis &amp; Design\Design\FC22\DRR Jaime\Neiva CPI\[VAO_DINA TERCIARIOS_CF_SEC_20230117.xlsx]CF PNP'!$DN$50</t>
  </si>
  <si>
    <t>='C:\Users\jaime.benazar\Quorum Business Solutions\Ecopetrol Prometeo - Documents\Planning Space Implementation\3. Analysis &amp; Design\Design\FC22\DRR Jaime\Neiva CPI\[VAO_DINA TERCIARIOS_CF_SEC_20230117.xlsx]CF PNP'!$DN$51</t>
  </si>
  <si>
    <t>='C:\Users\jaime.benazar\Quorum Business Solutions\Ecopetrol Prometeo - Documents\Planning Space Implementation\3. Analysis &amp; Design\Design\FC22\DRR Jaime\Neiva CPI\[VAO_DINA TERCIARIOS_CF_SEC_20230117.xlsx]CF PNP'!$DN$52</t>
  </si>
  <si>
    <t>='C:\Users\jaime.benazar\Quorum Business Solutions\Ecopetrol Prometeo - Documents\Planning Space Implementation\3. Analysis &amp; Design\Design\FC22\DRR Jaime\Neiva CPI\[VAO_DINA TERCIARIOS_CF_SEC_20230117.xlsx]CF PNP'!$DN$53</t>
  </si>
  <si>
    <t>='C:\Users\jaime.benazar\Quorum Business Solutions\Ecopetrol Prometeo - Documents\Planning Space Implementation\3. Analysis &amp; Design\Design\FC22\DRR Jaime\Neiva CPI\[VAO_DINA TERCIARIOS_CF_SEC_20230117.xlsx]CF PNP'!$DN$54</t>
  </si>
  <si>
    <t>='C:\Users\jaime.benazar\Quorum Business Solutions\Ecopetrol Prometeo - Documents\Planning Space Implementation\3. Analysis &amp; Design\Design\FC22\DRR Jaime\Neiva CPI\[VAO_DINA TERCIARIOS_CF_SEC_20230117.xlsx]CF PNP'!$DN$55</t>
  </si>
  <si>
    <t>='C:\Users\jaime.benazar\Quorum Business Solutions\Ecopetrol Prometeo - Documents\Planning Space Implementation\3. Analysis &amp; Design\Design\FC22\DRR Jaime\Neiva CPI\[VAO_DINA TERCIARIOS_CF_SEC_20230117.xlsx]CF PNP'!$DN$56</t>
  </si>
  <si>
    <t>='C:\Users\jaime.benazar\Quorum Business Solutions\Ecopetrol Prometeo - Documents\Planning Space Implementation\3. Analysis &amp; Design\Design\FC22\DRR Jaime\Neiva CPI\[VAO_DINA TERCIARIOS_CF_SEC_20230117.xlsx]CF PNP'!$DN$57</t>
  </si>
  <si>
    <t>='C:\Users\jaime.benazar\Quorum Business Solutions\Ecopetrol Prometeo - Documents\Planning Space Implementation\3. Analysis &amp; Design\Design\FC22\DRR Jaime\Neiva CPI\[VAO_DINA TERCIARIOS_CF_SEC_20230117.xlsx]CF PNP'!$DN$58</t>
  </si>
  <si>
    <t>='C:\Users\jaime.benazar\Quorum Business Solutions\Ecopetrol Prometeo - Documents\Planning Space Implementation\3. Analysis &amp; Design\Design\FC22\DRR Jaime\Neiva CPI\[VAO_DINA TERCIARIOS_CF_SEC_20230117.xlsx]CF PNP'!$DN$59</t>
  </si>
  <si>
    <t>='C:\Users\jaime.benazar\Quorum Business Solutions\Ecopetrol Prometeo - Documents\Planning Space Implementation\3. Analysis &amp; Design\Design\FC22\DRR Jaime\Neiva CPI\[VAO_DINA TERCIARIOS_CF_SEC_20230117.xlsx]CF PNP'!$DN$60</t>
  </si>
  <si>
    <t>='C:\Users\jaime.benazar\Quorum Business Solutions\Ecopetrol Prometeo - Documents\Planning Space Implementation\3. Analysis &amp; Design\Design\FC22\DRR Jaime\Neiva CPI\[VAO_DINA TERCIARIOS_CF_SEC_20230117.xlsx]CF PNP'!$DN$61</t>
  </si>
  <si>
    <t>='C:\Users\jaime.benazar\Quorum Business Solutions\Ecopetrol Prometeo - Documents\Planning Space Implementation\3. Analysis &amp; Design\Design\FC22\DRR Jaime\Neiva CPI\[VAO_DINA TERCIARIOS_CF_SEC_20230117.xlsx]CF PNP'!$DN$62</t>
  </si>
  <si>
    <t>='C:\Users\jaime.benazar\Quorum Business Solutions\Ecopetrol Prometeo - Documents\Planning Space Implementation\3. Analysis &amp; Design\Design\FC22\DRR Jaime\Neiva CPI\[VAO_DINA TERCIARIOS_CF_SEC_20230117.xlsx]CF PNP'!$DN$63</t>
  </si>
  <si>
    <t>='C:\Users\jaime.benazar\Quorum Business Solutions\Ecopetrol Prometeo - Documents\Planning Space Implementation\3. Analysis &amp; Design\Design\FC22\DRR Jaime\Neiva CPI\[VAO_DINA TERCIARIOS_CF_SEC_20230117.xlsx]CF PNP'!$DN$64</t>
  </si>
  <si>
    <t>='C:\Users\jaime.benazar\Quorum Business Solutions\Ecopetrol Prometeo - Documents\Planning Space Implementation\3. Analysis &amp; Design\Design\FC22\DRR Jaime\Neiva CPI\[VAO_DINA TERCIARIOS_CF_SEC_20230117.xlsx]CF PNP'!$DN$65</t>
  </si>
  <si>
    <t>='C:\Users\jaime.benazar\Quorum Business Solutions\Ecopetrol Prometeo - Documents\Planning Space Implementation\3. Analysis &amp; Design\Design\FC22\DRR Jaime\Neiva CPI\[VAO_DINA TERCIARIOS_CF_SEC_20230117.xlsx]CF PNP'!$DN$66</t>
  </si>
  <si>
    <t>='C:\Users\jaime.benazar\Quorum Business Solutions\Ecopetrol Prometeo - Documents\Planning Space Implementation\3. Analysis &amp; Design\Design\FC22\DRR Jaime\Neiva CPI\[VAO_DINA TERCIARIOS_CF_SEC_20230117.xlsx]CF PNP'!$DN$67</t>
  </si>
  <si>
    <t>='C:\Users\jaime.benazar\Quorum Business Solutions\Ecopetrol Prometeo - Documents\Planning Space Implementation\3. Analysis &amp; Design\Design\FC22\DRR Jaime\Neiva CPI\[VAO_DINA TERCIARIOS_CF_SEC_20230117.xlsx]CF PNP'!$DN$68</t>
  </si>
  <si>
    <t>='C:\Users\jaime.benazar\Quorum Business Solutions\Ecopetrol Prometeo - Documents\Planning Space Implementation\3. Analysis &amp; Design\Design\FC22\DRR Jaime\Neiva CPI\[VAO_DINA TERCIARIOS_CF_SEC_20230117.xlsx]CF PNP'!$DN$69</t>
  </si>
  <si>
    <t>='C:\Users\jaime.benazar\Quorum Business Solutions\Ecopetrol Prometeo - Documents\Planning Space Implementation\3. Analysis &amp; Design\Design\FC22\DRR Jaime\Neiva CPI\[VAO_DINA TERCIARIOS_CF_SEC_20230117.xlsx]CF PNP'!$DN$70</t>
  </si>
  <si>
    <t>='C:\Users\jaime.benazar\Quorum Business Solutions\Ecopetrol Prometeo - Documents\Planning Space Implementation\3. Analysis &amp; Design\Design\FC22\DRR Jaime\Neiva CPI\[VAO_DINA TERCIARIOS_CF_SEC_20230117.xlsx]CF PNP'!$DN$71</t>
  </si>
  <si>
    <t>='C:\Users\jaime.benazar\Quorum Business Solutions\Ecopetrol Prometeo - Documents\Planning Space Implementation\3. Analysis &amp; Design\Design\FC22\DRR Jaime\Neiva CPI\[VAO_DINA TERCIARIOS_CF_SEC_20230117.xlsx]CF PNP'!$DN$72</t>
  </si>
  <si>
    <t>='C:\Users\jaime.benazar\Quorum Business Solutions\Ecopetrol Prometeo - Documents\Planning Space Implementation\3. Analysis &amp; Design\Design\FC22\DRR Jaime\Neiva CPI\[VAO_DINA TERCIARIOS_CF_SEC_20230117.xlsx]CF PND'!$DN$36</t>
  </si>
  <si>
    <t>='C:\Users\jaime.benazar\Quorum Business Solutions\Ecopetrol Prometeo - Documents\Planning Space Implementation\3. Analysis &amp; Design\Design\FC22\DRR Jaime\Neiva CPI\[VAO_DINA TERCIARIOS_CF_SEC_20230117.xlsx]CF PND'!$DN$37</t>
  </si>
  <si>
    <t>='C:\Users\jaime.benazar\Quorum Business Solutions\Ecopetrol Prometeo - Documents\Planning Space Implementation\3. Analysis &amp; Design\Design\FC22\DRR Jaime\Neiva CPI\[VAO_DINA TERCIARIOS_CF_SEC_20230117.xlsx]CF PND'!$DN$38</t>
  </si>
  <si>
    <t>='C:\Users\jaime.benazar\Quorum Business Solutions\Ecopetrol Prometeo - Documents\Planning Space Implementation\3. Analysis &amp; Design\Design\FC22\DRR Jaime\Neiva CPI\[VAO_DINA TERCIARIOS_CF_SEC_20230117.xlsx]CF PND'!$DN$39</t>
  </si>
  <si>
    <t>='C:\Users\jaime.benazar\Quorum Business Solutions\Ecopetrol Prometeo - Documents\Planning Space Implementation\3. Analysis &amp; Design\Design\FC22\DRR Jaime\Neiva CPI\[VAO_DINA TERCIARIOS_CF_SEC_20230117.xlsx]CF PND'!$DN$40</t>
  </si>
  <si>
    <t>='C:\Users\jaime.benazar\Quorum Business Solutions\Ecopetrol Prometeo - Documents\Planning Space Implementation\3. Analysis &amp; Design\Design\FC22\DRR Jaime\Neiva CPI\[VAO_DINA TERCIARIOS_CF_SEC_20230117.xlsx]CF PND'!$DN$41</t>
  </si>
  <si>
    <t>='C:\Users\jaime.benazar\Quorum Business Solutions\Ecopetrol Prometeo - Documents\Planning Space Implementation\3. Analysis &amp; Design\Design\FC22\DRR Jaime\Neiva CPI\[VAO_DINA TERCIARIOS_CF_SEC_20230117.xlsx]CF PND'!$DN$42</t>
  </si>
  <si>
    <t>='C:\Users\jaime.benazar\Quorum Business Solutions\Ecopetrol Prometeo - Documents\Planning Space Implementation\3. Analysis &amp; Design\Design\FC22\DRR Jaime\Neiva CPI\[VAO_DINA TERCIARIOS_CF_SEC_20230117.xlsx]CF PND'!$DN$43</t>
  </si>
  <si>
    <t>='C:\Users\jaime.benazar\Quorum Business Solutions\Ecopetrol Prometeo - Documents\Planning Space Implementation\3. Analysis &amp; Design\Design\FC22\DRR Jaime\Neiva CPI\[VAO_DINA TERCIARIOS_CF_SEC_20230117.xlsx]CF PND'!$DN$44</t>
  </si>
  <si>
    <t>='C:\Users\jaime.benazar\Quorum Business Solutions\Ecopetrol Prometeo - Documents\Planning Space Implementation\3. Analysis &amp; Design\Design\FC22\DRR Jaime\Neiva CPI\[VAO_DINA TERCIARIOS_CF_SEC_20230117.xlsx]CF PND'!$DN$45</t>
  </si>
  <si>
    <t>='C:\Users\jaime.benazar\Quorum Business Solutions\Ecopetrol Prometeo - Documents\Planning Space Implementation\3. Analysis &amp; Design\Design\FC22\DRR Jaime\Neiva CPI\[VAO_DINA TERCIARIOS_CF_SEC_20230117.xlsx]CF PND'!$DN$46</t>
  </si>
  <si>
    <t>='C:\Users\jaime.benazar\Quorum Business Solutions\Ecopetrol Prometeo - Documents\Planning Space Implementation\3. Analysis &amp; Design\Design\FC22\DRR Jaime\Neiva CPI\[VAO_DINA TERCIARIOS_CF_SEC_20230117.xlsx]CF PND'!$DN$47</t>
  </si>
  <si>
    <t>='C:\Users\jaime.benazar\Quorum Business Solutions\Ecopetrol Prometeo - Documents\Planning Space Implementation\3. Analysis &amp; Design\Design\FC22\DRR Jaime\Neiva CPI\[VAO_DINA TERCIARIOS_CF_SEC_20230117.xlsx]CF PND'!$DN$48</t>
  </si>
  <si>
    <t>='C:\Users\jaime.benazar\Quorum Business Solutions\Ecopetrol Prometeo - Documents\Planning Space Implementation\3. Analysis &amp; Design\Design\FC22\DRR Jaime\Neiva CPI\[VAO_DINA TERCIARIOS_CF_SEC_20230117.xlsx]CF PND'!$DN$49</t>
  </si>
  <si>
    <t>='C:\Users\jaime.benazar\Quorum Business Solutions\Ecopetrol Prometeo - Documents\Planning Space Implementation\3. Analysis &amp; Design\Design\FC22\DRR Jaime\Neiva CPI\[VAO_DINA TERCIARIOS_CF_SEC_20230117.xlsx]CF PND'!$DN$50</t>
  </si>
  <si>
    <t>='C:\Users\jaime.benazar\Quorum Business Solutions\Ecopetrol Prometeo - Documents\Planning Space Implementation\3. Analysis &amp; Design\Design\FC22\DRR Jaime\Neiva CPI\[VAO_DINA TERCIARIOS_CF_SEC_20230117.xlsx]CF PND'!$DN$51</t>
  </si>
  <si>
    <t>='C:\Users\jaime.benazar\Quorum Business Solutions\Ecopetrol Prometeo - Documents\Planning Space Implementation\3. Analysis &amp; Design\Design\FC22\DRR Jaime\Neiva CPI\[VAO_DINA TERCIARIOS_CF_SEC_20230117.xlsx]CF PND'!$DN$52</t>
  </si>
  <si>
    <t>='C:\Users\jaime.benazar\Quorum Business Solutions\Ecopetrol Prometeo - Documents\Planning Space Implementation\3. Analysis &amp; Design\Design\FC22\DRR Jaime\Neiva CPI\[VAO_DINA TERCIARIOS_CF_SEC_20230117.xlsx]CF PND'!$DN$53</t>
  </si>
  <si>
    <t>='C:\Users\jaime.benazar\Quorum Business Solutions\Ecopetrol Prometeo - Documents\Planning Space Implementation\3. Analysis &amp; Design\Design\FC22\DRR Jaime\Neiva CPI\[VAO_DINA TERCIARIOS_CF_SEC_20230117.xlsx]CF PND'!$DN$54</t>
  </si>
  <si>
    <t>='C:\Users\jaime.benazar\Quorum Business Solutions\Ecopetrol Prometeo - Documents\Planning Space Implementation\3. Analysis &amp; Design\Design\FC22\DRR Jaime\Neiva CPI\[VAO_DINA TERCIARIOS_CF_SEC_20230117.xlsx]CF PND'!$DN$55</t>
  </si>
  <si>
    <t>='C:\Users\jaime.benazar\Quorum Business Solutions\Ecopetrol Prometeo - Documents\Planning Space Implementation\3. Analysis &amp; Design\Design\FC22\DRR Jaime\Neiva CPI\[VAO_DINA TERCIARIOS_CF_SEC_20230117.xlsx]CF PND'!$DN$56</t>
  </si>
  <si>
    <t>='C:\Users\jaime.benazar\Quorum Business Solutions\Ecopetrol Prometeo - Documents\Planning Space Implementation\3. Analysis &amp; Design\Design\FC22\DRR Jaime\Neiva CPI\[VAO_DINA TERCIARIOS_CF_SEC_20230117.xlsx]CF PND'!$DN$57</t>
  </si>
  <si>
    <t>='C:\Users\jaime.benazar\Quorum Business Solutions\Ecopetrol Prometeo - Documents\Planning Space Implementation\3. Analysis &amp; Design\Design\FC22\DRR Jaime\Neiva CPI\[VAO_DINA TERCIARIOS_CF_SEC_20230117.xlsx]CF PND'!$DN$58</t>
  </si>
  <si>
    <t>='C:\Users\jaime.benazar\Quorum Business Solutions\Ecopetrol Prometeo - Documents\Planning Space Implementation\3. Analysis &amp; Design\Design\FC22\DRR Jaime\Neiva CPI\[VAO_DINA TERCIARIOS_CF_SEC_20230117.xlsx]CF PND'!$DN$59</t>
  </si>
  <si>
    <t>='C:\Users\jaime.benazar\Quorum Business Solutions\Ecopetrol Prometeo - Documents\Planning Space Implementation\3. Analysis &amp; Design\Design\FC22\DRR Jaime\Neiva CPI\[VAO_DINA TERCIARIOS_CF_SEC_20230117.xlsx]CF PND'!$DN$60</t>
  </si>
  <si>
    <t>='C:\Users\jaime.benazar\Quorum Business Solutions\Ecopetrol Prometeo - Documents\Planning Space Implementation\3. Analysis &amp; Design\Design\FC22\DRR Jaime\Neiva CPI\[VAO_DINA TERCIARIOS_CF_SEC_20230117.xlsx]CF PND'!$DN$61</t>
  </si>
  <si>
    <t>='C:\Users\jaime.benazar\Quorum Business Solutions\Ecopetrol Prometeo - Documents\Planning Space Implementation\3. Analysis &amp; Design\Design\FC22\DRR Jaime\Neiva CPI\[VAO_DINA TERCIARIOS_CF_SEC_20230117.xlsx]CF PND'!$DN$62</t>
  </si>
  <si>
    <t>='C:\Users\jaime.benazar\Quorum Business Solutions\Ecopetrol Prometeo - Documents\Planning Space Implementation\3. Analysis &amp; Design\Design\FC22\DRR Jaime\Neiva CPI\[VAO_DINA TERCIARIOS_CF_SEC_20230117.xlsx]CF PND'!$DN$63</t>
  </si>
  <si>
    <t>='C:\Users\jaime.benazar\Quorum Business Solutions\Ecopetrol Prometeo - Documents\Planning Space Implementation\3. Analysis &amp; Design\Design\FC22\DRR Jaime\Neiva CPI\[VAO_DINA TERCIARIOS_CF_SEC_20230117.xlsx]CF PND'!$DN$64</t>
  </si>
  <si>
    <t>='C:\Users\jaime.benazar\Quorum Business Solutions\Ecopetrol Prometeo - Documents\Planning Space Implementation\3. Analysis &amp; Design\Design\FC22\DRR Jaime\Neiva CPI\[VAO_DINA TERCIARIOS_CF_SEC_20230117.xlsx]CF PND'!$DN$65</t>
  </si>
  <si>
    <t>='C:\Users\jaime.benazar\Quorum Business Solutions\Ecopetrol Prometeo - Documents\Planning Space Implementation\3. Analysis &amp; Design\Design\FC22\DRR Jaime\Neiva CPI\[VAO_DINA TERCIARIOS_CF_SEC_20230117.xlsx]CF PND'!$DN$66</t>
  </si>
  <si>
    <t>='C:\Users\jaime.benazar\Quorum Business Solutions\Ecopetrol Prometeo - Documents\Planning Space Implementation\3. Analysis &amp; Design\Design\FC22\DRR Jaime\Neiva CPI\[VAO_DINA TERCIARIOS_CF_SEC_20230117.xlsx]CF PND'!$DN$67</t>
  </si>
  <si>
    <t>='C:\Users\jaime.benazar\Quorum Business Solutions\Ecopetrol Prometeo - Documents\Planning Space Implementation\3. Analysis &amp; Design\Design\FC22\DRR Jaime\Neiva CPI\[VAO_DINA TERCIARIOS_CF_SEC_20230117.xlsx]CF PND'!$DN$68</t>
  </si>
  <si>
    <t>='C:\Users\jaime.benazar\Quorum Business Solutions\Ecopetrol Prometeo - Documents\Planning Space Implementation\3. Analysis &amp; Design\Design\FC22\DRR Jaime\Neiva CPI\[VAO_DINA TERCIARIOS_CF_SEC_20230117.xlsx]CF PND'!$DN$69</t>
  </si>
  <si>
    <t>='C:\Users\jaime.benazar\Quorum Business Solutions\Ecopetrol Prometeo - Documents\Planning Space Implementation\3. Analysis &amp; Design\Design\FC22\DRR Jaime\Neiva CPI\[VAO_DINA TERCIARIOS_CF_SEC_20230117.xlsx]CF PND'!$DN$70</t>
  </si>
  <si>
    <t>='C:\Users\jaime.benazar\Quorum Business Solutions\Ecopetrol Prometeo - Documents\Planning Space Implementation\3. Analysis &amp; Design\Design\FC22\DRR Jaime\Neiva CPI\[VAO_DINA TERCIARIOS_CF_SEC_20230117.xlsx]CF PND'!$DN$71</t>
  </si>
  <si>
    <t>='C:\Users\jaime.benazar\Quorum Business Solutions\Ecopetrol Prometeo - Documents\Planning Space Implementation\3. Analysis &amp; Design\Design\FC22\DRR Jaime\Neiva CPI\[VAO_DINA TERCIARIOS_CF_SEC_20230117.xlsx]CF PND'!$DN$72</t>
  </si>
  <si>
    <t>='C:\Users\jaime.benazar\Quorum Business Solutions\Ecopetrol Prometeo - Documents\Planning Space Implementation\3. Analysis &amp; Design\Design\FC22\DRR Jaime\Neiva CPI\[VAO_DINA TERCIARIOS_CF_SEC_20230117.xlsx]CF PRB'!$DN$36</t>
  </si>
  <si>
    <t>='C:\Users\jaime.benazar\Quorum Business Solutions\Ecopetrol Prometeo - Documents\Planning Space Implementation\3. Analysis &amp; Design\Design\FC22\DRR Jaime\Neiva CPI\[VAO_DINA TERCIARIOS_CF_SEC_20230117.xlsx]CF PRB'!$DN$37</t>
  </si>
  <si>
    <t>='C:\Users\jaime.benazar\Quorum Business Solutions\Ecopetrol Prometeo - Documents\Planning Space Implementation\3. Analysis &amp; Design\Design\FC22\DRR Jaime\Neiva CPI\[VAO_DINA TERCIARIOS_CF_SEC_20230117.xlsx]CF PRB'!$DN$38</t>
  </si>
  <si>
    <t>='C:\Users\jaime.benazar\Quorum Business Solutions\Ecopetrol Prometeo - Documents\Planning Space Implementation\3. Analysis &amp; Design\Design\FC22\DRR Jaime\Neiva CPI\[VAO_DINA TERCIARIOS_CF_SEC_20230117.xlsx]CF PRB'!$DN$39</t>
  </si>
  <si>
    <t>='C:\Users\jaime.benazar\Quorum Business Solutions\Ecopetrol Prometeo - Documents\Planning Space Implementation\3. Analysis &amp; Design\Design\FC22\DRR Jaime\Neiva CPI\[VAO_DINA TERCIARIOS_CF_SEC_20230117.xlsx]CF PRB'!$DN$40</t>
  </si>
  <si>
    <t>='C:\Users\jaime.benazar\Quorum Business Solutions\Ecopetrol Prometeo - Documents\Planning Space Implementation\3. Analysis &amp; Design\Design\FC22\DRR Jaime\Neiva CPI\[VAO_DINA TERCIARIOS_CF_SEC_20230117.xlsx]CF PRB'!$DN$41</t>
  </si>
  <si>
    <t>='C:\Users\jaime.benazar\Quorum Business Solutions\Ecopetrol Prometeo - Documents\Planning Space Implementation\3. Analysis &amp; Design\Design\FC22\DRR Jaime\Neiva CPI\[VAO_DINA TERCIARIOS_CF_SEC_20230117.xlsx]CF PRB'!$DN$42</t>
  </si>
  <si>
    <t>='C:\Users\jaime.benazar\Quorum Business Solutions\Ecopetrol Prometeo - Documents\Planning Space Implementation\3. Analysis &amp; Design\Design\FC22\DRR Jaime\Neiva CPI\[VAO_DINA TERCIARIOS_CF_SEC_20230117.xlsx]CF PRB'!$DN$43</t>
  </si>
  <si>
    <t>='C:\Users\jaime.benazar\Quorum Business Solutions\Ecopetrol Prometeo - Documents\Planning Space Implementation\3. Analysis &amp; Design\Design\FC22\DRR Jaime\Neiva CPI\[VAO_DINA TERCIARIOS_CF_SEC_20230117.xlsx]CF PRB'!$DN$44</t>
  </si>
  <si>
    <t>='C:\Users\jaime.benazar\Quorum Business Solutions\Ecopetrol Prometeo - Documents\Planning Space Implementation\3. Analysis &amp; Design\Design\FC22\DRR Jaime\Neiva CPI\[VAO_DINA TERCIARIOS_CF_SEC_20230117.xlsx]CF PRB'!$DN$45</t>
  </si>
  <si>
    <t>='C:\Users\jaime.benazar\Quorum Business Solutions\Ecopetrol Prometeo - Documents\Planning Space Implementation\3. Analysis &amp; Design\Design\FC22\DRR Jaime\Neiva CPI\[VAO_DINA TERCIARIOS_CF_SEC_20230117.xlsx]CF PRB'!$DN$46</t>
  </si>
  <si>
    <t>='C:\Users\jaime.benazar\Quorum Business Solutions\Ecopetrol Prometeo - Documents\Planning Space Implementation\3. Analysis &amp; Design\Design\FC22\DRR Jaime\Neiva CPI\[VAO_DINA TERCIARIOS_CF_SEC_20230117.xlsx]CF PRB'!$DN$47</t>
  </si>
  <si>
    <t>='C:\Users\jaime.benazar\Quorum Business Solutions\Ecopetrol Prometeo - Documents\Planning Space Implementation\3. Analysis &amp; Design\Design\FC22\DRR Jaime\Neiva CPI\[VAO_DINA TERCIARIOS_CF_SEC_20230117.xlsx]CF PRB'!$DN$48</t>
  </si>
  <si>
    <t>='C:\Users\jaime.benazar\Quorum Business Solutions\Ecopetrol Prometeo - Documents\Planning Space Implementation\3. Analysis &amp; Design\Design\FC22\DRR Jaime\Neiva CPI\[VAO_DINA TERCIARIOS_CF_SEC_20230117.xlsx]CF PRB'!$DN$49</t>
  </si>
  <si>
    <t>='C:\Users\jaime.benazar\Quorum Business Solutions\Ecopetrol Prometeo - Documents\Planning Space Implementation\3. Analysis &amp; Design\Design\FC22\DRR Jaime\Neiva CPI\[VAO_DINA TERCIARIOS_CF_SEC_20230117.xlsx]CF PRB'!$DN$50</t>
  </si>
  <si>
    <t>='C:\Users\jaime.benazar\Quorum Business Solutions\Ecopetrol Prometeo - Documents\Planning Space Implementation\3. Analysis &amp; Design\Design\FC22\DRR Jaime\Neiva CPI\[VAO_DINA TERCIARIOS_CF_SEC_20230117.xlsx]CF PRB'!$DN$51</t>
  </si>
  <si>
    <t>='C:\Users\jaime.benazar\Quorum Business Solutions\Ecopetrol Prometeo - Documents\Planning Space Implementation\3. Analysis &amp; Design\Design\FC22\DRR Jaime\Neiva CPI\[VAO_DINA TERCIARIOS_CF_SEC_20230117.xlsx]CF PRB'!$DN$52</t>
  </si>
  <si>
    <t>='C:\Users\jaime.benazar\Quorum Business Solutions\Ecopetrol Prometeo - Documents\Planning Space Implementation\3. Analysis &amp; Design\Design\FC22\DRR Jaime\Neiva CPI\[VAO_DINA TERCIARIOS_CF_SEC_20230117.xlsx]CF PRB'!$DN$53</t>
  </si>
  <si>
    <t>='C:\Users\jaime.benazar\Quorum Business Solutions\Ecopetrol Prometeo - Documents\Planning Space Implementation\3. Analysis &amp; Design\Design\FC22\DRR Jaime\Neiva CPI\[VAO_DINA TERCIARIOS_CF_SEC_20230117.xlsx]CF PRB'!$DN$54</t>
  </si>
  <si>
    <t>='C:\Users\jaime.benazar\Quorum Business Solutions\Ecopetrol Prometeo - Documents\Planning Space Implementation\3. Analysis &amp; Design\Design\FC22\DRR Jaime\Neiva CPI\[VAO_DINA TERCIARIOS_CF_SEC_20230117.xlsx]CF PRB'!$DN$55</t>
  </si>
  <si>
    <t>='C:\Users\jaime.benazar\Quorum Business Solutions\Ecopetrol Prometeo - Documents\Planning Space Implementation\3. Analysis &amp; Design\Design\FC22\DRR Jaime\Neiva CPI\[VAO_DINA TERCIARIOS_CF_SEC_20230117.xlsx]CF PRB'!$DN$56</t>
  </si>
  <si>
    <t>='C:\Users\jaime.benazar\Quorum Business Solutions\Ecopetrol Prometeo - Documents\Planning Space Implementation\3. Analysis &amp; Design\Design\FC22\DRR Jaime\Neiva CPI\[VAO_DINA TERCIARIOS_CF_SEC_20230117.xlsx]CF PRB'!$DN$57</t>
  </si>
  <si>
    <t>='C:\Users\jaime.benazar\Quorum Business Solutions\Ecopetrol Prometeo - Documents\Planning Space Implementation\3. Analysis &amp; Design\Design\FC22\DRR Jaime\Neiva CPI\[VAO_DINA TERCIARIOS_CF_SEC_20230117.xlsx]CF PRB'!$DN$58</t>
  </si>
  <si>
    <t>='C:\Users\jaime.benazar\Quorum Business Solutions\Ecopetrol Prometeo - Documents\Planning Space Implementation\3. Analysis &amp; Design\Design\FC22\DRR Jaime\Neiva CPI\[VAO_DINA TERCIARIOS_CF_SEC_20230117.xlsx]CF PRB'!$DN$59</t>
  </si>
  <si>
    <t>='C:\Users\jaime.benazar\Quorum Business Solutions\Ecopetrol Prometeo - Documents\Planning Space Implementation\3. Analysis &amp; Design\Design\FC22\DRR Jaime\Neiva CPI\[VAO_DINA TERCIARIOS_CF_SEC_20230117.xlsx]CF PRB'!$DN$60</t>
  </si>
  <si>
    <t>='C:\Users\jaime.benazar\Quorum Business Solutions\Ecopetrol Prometeo - Documents\Planning Space Implementation\3. Analysis &amp; Design\Design\FC22\DRR Jaime\Neiva CPI\[VAO_DINA TERCIARIOS_CF_SEC_20230117.xlsx]CF PRB'!$DN$61</t>
  </si>
  <si>
    <t>='C:\Users\jaime.benazar\Quorum Business Solutions\Ecopetrol Prometeo - Documents\Planning Space Implementation\3. Analysis &amp; Design\Design\FC22\DRR Jaime\Neiva CPI\[VAO_DINA TERCIARIOS_CF_SEC_20230117.xlsx]CF PRB'!$DN$62</t>
  </si>
  <si>
    <t>='C:\Users\jaime.benazar\Quorum Business Solutions\Ecopetrol Prometeo - Documents\Planning Space Implementation\3. Analysis &amp; Design\Design\FC22\DRR Jaime\Neiva CPI\[VAO_DINA TERCIARIOS_CF_SEC_20230117.xlsx]CF PRB'!$DN$63</t>
  </si>
  <si>
    <t>='C:\Users\jaime.benazar\Quorum Business Solutions\Ecopetrol Prometeo - Documents\Planning Space Implementation\3. Analysis &amp; Design\Design\FC22\DRR Jaime\Neiva CPI\[VAO_DINA TERCIARIOS_CF_SEC_20230117.xlsx]CF PRB'!$DN$64</t>
  </si>
  <si>
    <t>='C:\Users\jaime.benazar\Quorum Business Solutions\Ecopetrol Prometeo - Documents\Planning Space Implementation\3. Analysis &amp; Design\Design\FC22\DRR Jaime\Neiva CPI\[VAO_DINA TERCIARIOS_CF_SEC_20230117.xlsx]CF PRB'!$DN$65</t>
  </si>
  <si>
    <t>='C:\Users\jaime.benazar\Quorum Business Solutions\Ecopetrol Prometeo - Documents\Planning Space Implementation\3. Analysis &amp; Design\Design\FC22\DRR Jaime\Neiva CPI\[VAO_DINA TERCIARIOS_CF_SEC_20230117.xlsx]CF PRB'!$DN$66</t>
  </si>
  <si>
    <t>='C:\Users\jaime.benazar\Quorum Business Solutions\Ecopetrol Prometeo - Documents\Planning Space Implementation\3. Analysis &amp; Design\Design\FC22\DRR Jaime\Neiva CPI\[VAO_DINA TERCIARIOS_CF_SEC_20230117.xlsx]CF PRB'!$DN$67</t>
  </si>
  <si>
    <t>='C:\Users\jaime.benazar\Quorum Business Solutions\Ecopetrol Prometeo - Documents\Planning Space Implementation\3. Analysis &amp; Design\Design\FC22\DRR Jaime\Neiva CPI\[VAO_DINA TERCIARIOS_CF_SEC_20230117.xlsx]CF PRB'!$DN$68</t>
  </si>
  <si>
    <t>='C:\Users\jaime.benazar\Quorum Business Solutions\Ecopetrol Prometeo - Documents\Planning Space Implementation\3. Analysis &amp; Design\Design\FC22\DRR Jaime\Neiva CPI\[VAO_DINA TERCIARIOS_CF_SEC_20230117.xlsx]CF PRB'!$DN$69</t>
  </si>
  <si>
    <t>='C:\Users\jaime.benazar\Quorum Business Solutions\Ecopetrol Prometeo - Documents\Planning Space Implementation\3. Analysis &amp; Design\Design\FC22\DRR Jaime\Neiva CPI\[VAO_DINA TERCIARIOS_CF_SEC_20230117.xlsx]CF PRB'!$DN$70</t>
  </si>
  <si>
    <t>='C:\Users\jaime.benazar\Quorum Business Solutions\Ecopetrol Prometeo - Documents\Planning Space Implementation\3. Analysis &amp; Design\Design\FC22\DRR Jaime\Neiva CPI\[VAO_DINA TERCIARIOS_CF_SEC_20230117.xlsx]CF PRB'!$DN$71</t>
  </si>
  <si>
    <t>='C:\Users\jaime.benazar\Quorum Business Solutions\Ecopetrol Prometeo - Documents\Planning Space Implementation\3. Analysis &amp; Design\Design\FC22\DRR Jaime\Neiva CPI\[VAO_DINA TERCIARIOS_CF_SEC_20230117.xlsx]CF PRB'!$DN$72</t>
  </si>
  <si>
    <t>='C:\Users\jaime.benazar\Quorum Business Solutions\Ecopetrol Prometeo - Documents\Planning Space Implementation\3. Analysis &amp; Design\Design\FC22\DRR Jaime\Neiva CPI\[VAO_DINA TERCIARIOS_CF_SEC_20230117.xlsx]CF PS'!$DN$36</t>
  </si>
  <si>
    <t>='C:\Users\jaime.benazar\Quorum Business Solutions\Ecopetrol Prometeo - Documents\Planning Space Implementation\3. Analysis &amp; Design\Design\FC22\DRR Jaime\Neiva CPI\[VAO_DINA TERCIARIOS_CF_SEC_20230117.xlsx]CF PS'!$DN$37</t>
  </si>
  <si>
    <t>='C:\Users\jaime.benazar\Quorum Business Solutions\Ecopetrol Prometeo - Documents\Planning Space Implementation\3. Analysis &amp; Design\Design\FC22\DRR Jaime\Neiva CPI\[VAO_DINA TERCIARIOS_CF_SEC_20230117.xlsx]CF PS'!$DN$38</t>
  </si>
  <si>
    <t>='C:\Users\jaime.benazar\Quorum Business Solutions\Ecopetrol Prometeo - Documents\Planning Space Implementation\3. Analysis &amp; Design\Design\FC22\DRR Jaime\Neiva CPI\[VAO_DINA TERCIARIOS_CF_SEC_20230117.xlsx]CF PS'!$DN$39</t>
  </si>
  <si>
    <t>='C:\Users\jaime.benazar\Quorum Business Solutions\Ecopetrol Prometeo - Documents\Planning Space Implementation\3. Analysis &amp; Design\Design\FC22\DRR Jaime\Neiva CPI\[VAO_DINA TERCIARIOS_CF_SEC_20230117.xlsx]CF PS'!$DN$40</t>
  </si>
  <si>
    <t>='C:\Users\jaime.benazar\Quorum Business Solutions\Ecopetrol Prometeo - Documents\Planning Space Implementation\3. Analysis &amp; Design\Design\FC22\DRR Jaime\Neiva CPI\[VAO_DINA TERCIARIOS_CF_SEC_20230117.xlsx]CF PS'!$DN$41</t>
  </si>
  <si>
    <t>='C:\Users\jaime.benazar\Quorum Business Solutions\Ecopetrol Prometeo - Documents\Planning Space Implementation\3. Analysis &amp; Design\Design\FC22\DRR Jaime\Neiva CPI\[VAO_DINA TERCIARIOS_CF_SEC_20230117.xlsx]CF PS'!$DN$42</t>
  </si>
  <si>
    <t>='C:\Users\jaime.benazar\Quorum Business Solutions\Ecopetrol Prometeo - Documents\Planning Space Implementation\3. Analysis &amp; Design\Design\FC22\DRR Jaime\Neiva CPI\[VAO_DINA TERCIARIOS_CF_SEC_20230117.xlsx]CF PS'!$DN$43</t>
  </si>
  <si>
    <t>='C:\Users\jaime.benazar\Quorum Business Solutions\Ecopetrol Prometeo - Documents\Planning Space Implementation\3. Analysis &amp; Design\Design\FC22\DRR Jaime\Neiva CPI\[VAO_DINA TERCIARIOS_CF_SEC_20230117.xlsx]CF PS'!$DN$44</t>
  </si>
  <si>
    <t>='C:\Users\jaime.benazar\Quorum Business Solutions\Ecopetrol Prometeo - Documents\Planning Space Implementation\3. Analysis &amp; Design\Design\FC22\DRR Jaime\Neiva CPI\[VAO_DINA TERCIARIOS_CF_SEC_20230117.xlsx]CF PS'!$DN$45</t>
  </si>
  <si>
    <t>='C:\Users\jaime.benazar\Quorum Business Solutions\Ecopetrol Prometeo - Documents\Planning Space Implementation\3. Analysis &amp; Design\Design\FC22\DRR Jaime\Neiva CPI\[VAO_DINA TERCIARIOS_CF_SEC_20230117.xlsx]CF PS'!$DN$46</t>
  </si>
  <si>
    <t>='C:\Users\jaime.benazar\Quorum Business Solutions\Ecopetrol Prometeo - Documents\Planning Space Implementation\3. Analysis &amp; Design\Design\FC22\DRR Jaime\Neiva CPI\[VAO_DINA TERCIARIOS_CF_SEC_20230117.xlsx]CF PS'!$DN$47</t>
  </si>
  <si>
    <t>='C:\Users\jaime.benazar\Quorum Business Solutions\Ecopetrol Prometeo - Documents\Planning Space Implementation\3. Analysis &amp; Design\Design\FC22\DRR Jaime\Neiva CPI\[VAO_DINA TERCIARIOS_CF_SEC_20230117.xlsx]CF PS'!$DN$48</t>
  </si>
  <si>
    <t>='C:\Users\jaime.benazar\Quorum Business Solutions\Ecopetrol Prometeo - Documents\Planning Space Implementation\3. Analysis &amp; Design\Design\FC22\DRR Jaime\Neiva CPI\[VAO_DINA TERCIARIOS_CF_SEC_20230117.xlsx]CF PS'!$DN$49</t>
  </si>
  <si>
    <t>='C:\Users\jaime.benazar\Quorum Business Solutions\Ecopetrol Prometeo - Documents\Planning Space Implementation\3. Analysis &amp; Design\Design\FC22\DRR Jaime\Neiva CPI\[VAO_DINA TERCIARIOS_CF_SEC_20230117.xlsx]CF PS'!$DN$50</t>
  </si>
  <si>
    <t>='C:\Users\jaime.benazar\Quorum Business Solutions\Ecopetrol Prometeo - Documents\Planning Space Implementation\3. Analysis &amp; Design\Design\FC22\DRR Jaime\Neiva CPI\[VAO_DINA TERCIARIOS_CF_SEC_20230117.xlsx]CF PS'!$DN$51</t>
  </si>
  <si>
    <t>='C:\Users\jaime.benazar\Quorum Business Solutions\Ecopetrol Prometeo - Documents\Planning Space Implementation\3. Analysis &amp; Design\Design\FC22\DRR Jaime\Neiva CPI\[VAO_DINA TERCIARIOS_CF_SEC_20230117.xlsx]CF PS'!$DN$52</t>
  </si>
  <si>
    <t>='C:\Users\jaime.benazar\Quorum Business Solutions\Ecopetrol Prometeo - Documents\Planning Space Implementation\3. Analysis &amp; Design\Design\FC22\DRR Jaime\Neiva CPI\[VAO_DINA TERCIARIOS_CF_SEC_20230117.xlsx]CF PS'!$DN$53</t>
  </si>
  <si>
    <t>='C:\Users\jaime.benazar\Quorum Business Solutions\Ecopetrol Prometeo - Documents\Planning Space Implementation\3. Analysis &amp; Design\Design\FC22\DRR Jaime\Neiva CPI\[VAO_DINA TERCIARIOS_CF_SEC_20230117.xlsx]CF PS'!$DN$54</t>
  </si>
  <si>
    <t>='C:\Users\jaime.benazar\Quorum Business Solutions\Ecopetrol Prometeo - Documents\Planning Space Implementation\3. Analysis &amp; Design\Design\FC22\DRR Jaime\Neiva CPI\[VAO_DINA TERCIARIOS_CF_SEC_20230117.xlsx]CF PS'!$DN$55</t>
  </si>
  <si>
    <t>='C:\Users\jaime.benazar\Quorum Business Solutions\Ecopetrol Prometeo - Documents\Planning Space Implementation\3. Analysis &amp; Design\Design\FC22\DRR Jaime\Neiva CPI\[VAO_DINA TERCIARIOS_CF_SEC_20230117.xlsx]CF PS'!$DN$56</t>
  </si>
  <si>
    <t>='C:\Users\jaime.benazar\Quorum Business Solutions\Ecopetrol Prometeo - Documents\Planning Space Implementation\3. Analysis &amp; Design\Design\FC22\DRR Jaime\Neiva CPI\[VAO_DINA TERCIARIOS_CF_SEC_20230117.xlsx]CF PS'!$DN$57</t>
  </si>
  <si>
    <t>='C:\Users\jaime.benazar\Quorum Business Solutions\Ecopetrol Prometeo - Documents\Planning Space Implementation\3. Analysis &amp; Design\Design\FC22\DRR Jaime\Neiva CPI\[VAO_DINA TERCIARIOS_CF_SEC_20230117.xlsx]CF PS'!$DN$58</t>
  </si>
  <si>
    <t>='C:\Users\jaime.benazar\Quorum Business Solutions\Ecopetrol Prometeo - Documents\Planning Space Implementation\3. Analysis &amp; Design\Design\FC22\DRR Jaime\Neiva CPI\[VAO_DINA TERCIARIOS_CF_SEC_20230117.xlsx]CF PS'!$DN$59</t>
  </si>
  <si>
    <t>='C:\Users\jaime.benazar\Quorum Business Solutions\Ecopetrol Prometeo - Documents\Planning Space Implementation\3. Analysis &amp; Design\Design\FC22\DRR Jaime\Neiva CPI\[VAO_DINA TERCIARIOS_CF_SEC_20230117.xlsx]CF PS'!$DN$60</t>
  </si>
  <si>
    <t>='C:\Users\jaime.benazar\Quorum Business Solutions\Ecopetrol Prometeo - Documents\Planning Space Implementation\3. Analysis &amp; Design\Design\FC22\DRR Jaime\Neiva CPI\[VAO_DINA TERCIARIOS_CF_SEC_20230117.xlsx]CF PS'!$DN$61</t>
  </si>
  <si>
    <t>='C:\Users\jaime.benazar\Quorum Business Solutions\Ecopetrol Prometeo - Documents\Planning Space Implementation\3. Analysis &amp; Design\Design\FC22\DRR Jaime\Neiva CPI\[VAO_DINA TERCIARIOS_CF_SEC_20230117.xlsx]CF PS'!$DN$62</t>
  </si>
  <si>
    <t>='C:\Users\jaime.benazar\Quorum Business Solutions\Ecopetrol Prometeo - Documents\Planning Space Implementation\3. Analysis &amp; Design\Design\FC22\DRR Jaime\Neiva CPI\[VAO_DINA TERCIARIOS_CF_SEC_20230117.xlsx]CF PS'!$DN$63</t>
  </si>
  <si>
    <t>='C:\Users\jaime.benazar\Quorum Business Solutions\Ecopetrol Prometeo - Documents\Planning Space Implementation\3. Analysis &amp; Design\Design\FC22\DRR Jaime\Neiva CPI\[VAO_DINA TERCIARIOS_CF_SEC_20230117.xlsx]CF PS'!$DN$64</t>
  </si>
  <si>
    <t>='C:\Users\jaime.benazar\Quorum Business Solutions\Ecopetrol Prometeo - Documents\Planning Space Implementation\3. Analysis &amp; Design\Design\FC22\DRR Jaime\Neiva CPI\[VAO_DINA TERCIARIOS_CF_SEC_20230117.xlsx]CF PS'!$DN$65</t>
  </si>
  <si>
    <t>='C:\Users\jaime.benazar\Quorum Business Solutions\Ecopetrol Prometeo - Documents\Planning Space Implementation\3. Analysis &amp; Design\Design\FC22\DRR Jaime\Neiva CPI\[VAO_DINA TERCIARIOS_CF_SEC_20230117.xlsx]CF PS'!$DN$66</t>
  </si>
  <si>
    <t>='C:\Users\jaime.benazar\Quorum Business Solutions\Ecopetrol Prometeo - Documents\Planning Space Implementation\3. Analysis &amp; Design\Design\FC22\DRR Jaime\Neiva CPI\[VAO_DINA TERCIARIOS_CF_SEC_20230117.xlsx]CF PS'!$DN$67</t>
  </si>
  <si>
    <t>='C:\Users\jaime.benazar\Quorum Business Solutions\Ecopetrol Prometeo - Documents\Planning Space Implementation\3. Analysis &amp; Design\Design\FC22\DRR Jaime\Neiva CPI\[VAO_DINA TERCIARIOS_CF_SEC_20230117.xlsx]CF PS'!$DN$68</t>
  </si>
  <si>
    <t>='C:\Users\jaime.benazar\Quorum Business Solutions\Ecopetrol Prometeo - Documents\Planning Space Implementation\3. Analysis &amp; Design\Design\FC22\DRR Jaime\Neiva CPI\[VAO_DINA TERCIARIOS_CF_SEC_20230117.xlsx]CF PS'!$DN$69</t>
  </si>
  <si>
    <t>='C:\Users\jaime.benazar\Quorum Business Solutions\Ecopetrol Prometeo - Documents\Planning Space Implementation\3. Analysis &amp; Design\Design\FC22\DRR Jaime\Neiva CPI\[VAO_DINA TERCIARIOS_CF_SEC_20230117.xlsx]CF PS'!$DN$70</t>
  </si>
  <si>
    <t>='C:\Users\jaime.benazar\Quorum Business Solutions\Ecopetrol Prometeo - Documents\Planning Space Implementation\3. Analysis &amp; Design\Design\FC22\DRR Jaime\Neiva CPI\[VAO_DINA TERCIARIOS_CF_SEC_20230117.xlsx]CF PS'!$DN$71</t>
  </si>
  <si>
    <t>='C:\Users\jaime.benazar\Quorum Business Solutions\Ecopetrol Prometeo - Documents\Planning Space Implementation\3. Analysis &amp; Design\Design\FC22\DRR Jaime\Neiva CPI\[VAO_DINA TERCIARIOS_CF_SEC_20230117.xlsx]CF PS'!$DN$72</t>
  </si>
  <si>
    <t>='C:\Users\jaime.benazar\Quorum Business Solutions\Ecopetrol Prometeo - Documents\Planning Space Implementation\3. Analysis &amp; Design\Design\FC22\DRR Jaime\Neiva CPI\[VAO_DINA TERCIARIOS_CF_SEC_20230117.xlsx]CF PDP'!$DI$36</t>
  </si>
  <si>
    <t>='C:\Users\jaime.benazar\Quorum Business Solutions\Ecopetrol Prometeo - Documents\Planning Space Implementation\3. Analysis &amp; Design\Design\FC22\DRR Jaime\Neiva CPI\[VAO_DINA TERCIARIOS_CF_SEC_20230117.xlsx]CF PDP'!$DI$37</t>
  </si>
  <si>
    <t>='C:\Users\jaime.benazar\Quorum Business Solutions\Ecopetrol Prometeo - Documents\Planning Space Implementation\3. Analysis &amp; Design\Design\FC22\DRR Jaime\Neiva CPI\[VAO_DINA TERCIARIOS_CF_SEC_20230117.xlsx]CF PDP'!$DI$38</t>
  </si>
  <si>
    <t>='C:\Users\jaime.benazar\Quorum Business Solutions\Ecopetrol Prometeo - Documents\Planning Space Implementation\3. Analysis &amp; Design\Design\FC22\DRR Jaime\Neiva CPI\[VAO_DINA TERCIARIOS_CF_SEC_20230117.xlsx]CF PDP'!$DI$39</t>
  </si>
  <si>
    <t>='C:\Users\jaime.benazar\Quorum Business Solutions\Ecopetrol Prometeo - Documents\Planning Space Implementation\3. Analysis &amp; Design\Design\FC22\DRR Jaime\Neiva CPI\[VAO_DINA TERCIARIOS_CF_SEC_20230117.xlsx]CF PDP'!$DI$40</t>
  </si>
  <si>
    <t>='C:\Users\jaime.benazar\Quorum Business Solutions\Ecopetrol Prometeo - Documents\Planning Space Implementation\3. Analysis &amp; Design\Design\FC22\DRR Jaime\Neiva CPI\[VAO_DINA TERCIARIOS_CF_SEC_20230117.xlsx]CF PDP'!$DI$41</t>
  </si>
  <si>
    <t>='C:\Users\jaime.benazar\Quorum Business Solutions\Ecopetrol Prometeo - Documents\Planning Space Implementation\3. Analysis &amp; Design\Design\FC22\DRR Jaime\Neiva CPI\[VAO_DINA TERCIARIOS_CF_SEC_20230117.xlsx]CF PDP'!$DI$42</t>
  </si>
  <si>
    <t>='C:\Users\jaime.benazar\Quorum Business Solutions\Ecopetrol Prometeo - Documents\Planning Space Implementation\3. Analysis &amp; Design\Design\FC22\DRR Jaime\Neiva CPI\[VAO_DINA TERCIARIOS_CF_SEC_20230117.xlsx]CF PDP'!$DI$43</t>
  </si>
  <si>
    <t>='C:\Users\jaime.benazar\Quorum Business Solutions\Ecopetrol Prometeo - Documents\Planning Space Implementation\3. Analysis &amp; Design\Design\FC22\DRR Jaime\Neiva CPI\[VAO_DINA TERCIARIOS_CF_SEC_20230117.xlsx]CF PDP'!$DI$44</t>
  </si>
  <si>
    <t>='C:\Users\jaime.benazar\Quorum Business Solutions\Ecopetrol Prometeo - Documents\Planning Space Implementation\3. Analysis &amp; Design\Design\FC22\DRR Jaime\Neiva CPI\[VAO_DINA TERCIARIOS_CF_SEC_20230117.xlsx]CF PDP'!$DI$45</t>
  </si>
  <si>
    <t>='C:\Users\jaime.benazar\Quorum Business Solutions\Ecopetrol Prometeo - Documents\Planning Space Implementation\3. Analysis &amp; Design\Design\FC22\DRR Jaime\Neiva CPI\[VAO_DINA TERCIARIOS_CF_SEC_20230117.xlsx]CF PDP'!$DI$46</t>
  </si>
  <si>
    <t>='C:\Users\jaime.benazar\Quorum Business Solutions\Ecopetrol Prometeo - Documents\Planning Space Implementation\3. Analysis &amp; Design\Design\FC22\DRR Jaime\Neiva CPI\[VAO_DINA TERCIARIOS_CF_SEC_20230117.xlsx]CF PDP'!$DI$47</t>
  </si>
  <si>
    <t>='C:\Users\jaime.benazar\Quorum Business Solutions\Ecopetrol Prometeo - Documents\Planning Space Implementation\3. Analysis &amp; Design\Design\FC22\DRR Jaime\Neiva CPI\[VAO_DINA TERCIARIOS_CF_SEC_20230117.xlsx]CF PDP'!$DI$48</t>
  </si>
  <si>
    <t>='C:\Users\jaime.benazar\Quorum Business Solutions\Ecopetrol Prometeo - Documents\Planning Space Implementation\3. Analysis &amp; Design\Design\FC22\DRR Jaime\Neiva CPI\[VAO_DINA TERCIARIOS_CF_SEC_20230117.xlsx]CF PDP'!$DI$49</t>
  </si>
  <si>
    <t>='C:\Users\jaime.benazar\Quorum Business Solutions\Ecopetrol Prometeo - Documents\Planning Space Implementation\3. Analysis &amp; Design\Design\FC22\DRR Jaime\Neiva CPI\[VAO_DINA TERCIARIOS_CF_SEC_20230117.xlsx]CF PDP'!$DI$50</t>
  </si>
  <si>
    <t>='C:\Users\jaime.benazar\Quorum Business Solutions\Ecopetrol Prometeo - Documents\Planning Space Implementation\3. Analysis &amp; Design\Design\FC22\DRR Jaime\Neiva CPI\[VAO_DINA TERCIARIOS_CF_SEC_20230117.xlsx]CF PDP'!$DI$51</t>
  </si>
  <si>
    <t>='C:\Users\jaime.benazar\Quorum Business Solutions\Ecopetrol Prometeo - Documents\Planning Space Implementation\3. Analysis &amp; Design\Design\FC22\DRR Jaime\Neiva CPI\[VAO_DINA TERCIARIOS_CF_SEC_20230117.xlsx]CF PDP'!$DI$52</t>
  </si>
  <si>
    <t>='C:\Users\jaime.benazar\Quorum Business Solutions\Ecopetrol Prometeo - Documents\Planning Space Implementation\3. Analysis &amp; Design\Design\FC22\DRR Jaime\Neiva CPI\[VAO_DINA TERCIARIOS_CF_SEC_20230117.xlsx]CF PDP'!$DI$53</t>
  </si>
  <si>
    <t>='C:\Users\jaime.benazar\Quorum Business Solutions\Ecopetrol Prometeo - Documents\Planning Space Implementation\3. Analysis &amp; Design\Design\FC22\DRR Jaime\Neiva CPI\[VAO_DINA TERCIARIOS_CF_SEC_20230117.xlsx]CF PDP'!$DI$54</t>
  </si>
  <si>
    <t>='C:\Users\jaime.benazar\Quorum Business Solutions\Ecopetrol Prometeo - Documents\Planning Space Implementation\3. Analysis &amp; Design\Design\FC22\DRR Jaime\Neiva CPI\[VAO_DINA TERCIARIOS_CF_SEC_20230117.xlsx]CF PDP'!$DI$55</t>
  </si>
  <si>
    <t>='C:\Users\jaime.benazar\Quorum Business Solutions\Ecopetrol Prometeo - Documents\Planning Space Implementation\3. Analysis &amp; Design\Design\FC22\DRR Jaime\Neiva CPI\[VAO_DINA TERCIARIOS_CF_SEC_20230117.xlsx]CF PDP'!$DI$56</t>
  </si>
  <si>
    <t>='C:\Users\jaime.benazar\Quorum Business Solutions\Ecopetrol Prometeo - Documents\Planning Space Implementation\3. Analysis &amp; Design\Design\FC22\DRR Jaime\Neiva CPI\[VAO_DINA TERCIARIOS_CF_SEC_20230117.xlsx]CF PDP'!$DI$57</t>
  </si>
  <si>
    <t>='C:\Users\jaime.benazar\Quorum Business Solutions\Ecopetrol Prometeo - Documents\Planning Space Implementation\3. Analysis &amp; Design\Design\FC22\DRR Jaime\Neiva CPI\[VAO_DINA TERCIARIOS_CF_SEC_20230117.xlsx]CF PDP'!$DI$58</t>
  </si>
  <si>
    <t>='C:\Users\jaime.benazar\Quorum Business Solutions\Ecopetrol Prometeo - Documents\Planning Space Implementation\3. Analysis &amp; Design\Design\FC22\DRR Jaime\Neiva CPI\[VAO_DINA TERCIARIOS_CF_SEC_20230117.xlsx]CF PDP'!$DI$59</t>
  </si>
  <si>
    <t>='C:\Users\jaime.benazar\Quorum Business Solutions\Ecopetrol Prometeo - Documents\Planning Space Implementation\3. Analysis &amp; Design\Design\FC22\DRR Jaime\Neiva CPI\[VAO_DINA TERCIARIOS_CF_SEC_20230117.xlsx]CF PDP'!$DI$60</t>
  </si>
  <si>
    <t>='C:\Users\jaime.benazar\Quorum Business Solutions\Ecopetrol Prometeo - Documents\Planning Space Implementation\3. Analysis &amp; Design\Design\FC22\DRR Jaime\Neiva CPI\[VAO_DINA TERCIARIOS_CF_SEC_20230117.xlsx]CF PDP'!$DI$61</t>
  </si>
  <si>
    <t>='C:\Users\jaime.benazar\Quorum Business Solutions\Ecopetrol Prometeo - Documents\Planning Space Implementation\3. Analysis &amp; Design\Design\FC22\DRR Jaime\Neiva CPI\[VAO_DINA TERCIARIOS_CF_SEC_20230117.xlsx]CF PDP'!$DI$62</t>
  </si>
  <si>
    <t>='C:\Users\jaime.benazar\Quorum Business Solutions\Ecopetrol Prometeo - Documents\Planning Space Implementation\3. Analysis &amp; Design\Design\FC22\DRR Jaime\Neiva CPI\[VAO_DINA TERCIARIOS_CF_SEC_20230117.xlsx]CF PDP'!$DI$63</t>
  </si>
  <si>
    <t>='C:\Users\jaime.benazar\Quorum Business Solutions\Ecopetrol Prometeo - Documents\Planning Space Implementation\3. Analysis &amp; Design\Design\FC22\DRR Jaime\Neiva CPI\[VAO_DINA TERCIARIOS_CF_SEC_20230117.xlsx]CF PDP'!$DI$64</t>
  </si>
  <si>
    <t>='C:\Users\jaime.benazar\Quorum Business Solutions\Ecopetrol Prometeo - Documents\Planning Space Implementation\3. Analysis &amp; Design\Design\FC22\DRR Jaime\Neiva CPI\[VAO_DINA TERCIARIOS_CF_SEC_20230117.xlsx]CF PDP'!$DI$65</t>
  </si>
  <si>
    <t>='C:\Users\jaime.benazar\Quorum Business Solutions\Ecopetrol Prometeo - Documents\Planning Space Implementation\3. Analysis &amp; Design\Design\FC22\DRR Jaime\Neiva CPI\[VAO_DINA TERCIARIOS_CF_SEC_20230117.xlsx]CF PDP'!$DI$66</t>
  </si>
  <si>
    <t>='C:\Users\jaime.benazar\Quorum Business Solutions\Ecopetrol Prometeo - Documents\Planning Space Implementation\3. Analysis &amp; Design\Design\FC22\DRR Jaime\Neiva CPI\[VAO_DINA TERCIARIOS_CF_SEC_20230117.xlsx]CF PDP'!$DI$67</t>
  </si>
  <si>
    <t>='C:\Users\jaime.benazar\Quorum Business Solutions\Ecopetrol Prometeo - Documents\Planning Space Implementation\3. Analysis &amp; Design\Design\FC22\DRR Jaime\Neiva CPI\[VAO_DINA TERCIARIOS_CF_SEC_20230117.xlsx]CF PDP'!$DI$68</t>
  </si>
  <si>
    <t>='C:\Users\jaime.benazar\Quorum Business Solutions\Ecopetrol Prometeo - Documents\Planning Space Implementation\3. Analysis &amp; Design\Design\FC22\DRR Jaime\Neiva CPI\[VAO_DINA TERCIARIOS_CF_SEC_20230117.xlsx]CF PDP'!$DI$69</t>
  </si>
  <si>
    <t>='C:\Users\jaime.benazar\Quorum Business Solutions\Ecopetrol Prometeo - Documents\Planning Space Implementation\3. Analysis &amp; Design\Design\FC22\DRR Jaime\Neiva CPI\[VAO_DINA TERCIARIOS_CF_SEC_20230117.xlsx]CF PDP'!$DI$70</t>
  </si>
  <si>
    <t>='C:\Users\jaime.benazar\Quorum Business Solutions\Ecopetrol Prometeo - Documents\Planning Space Implementation\3. Analysis &amp; Design\Design\FC22\DRR Jaime\Neiva CPI\[VAO_DINA TERCIARIOS_CF_SEC_20230117.xlsx]CF PDP'!$DI$71</t>
  </si>
  <si>
    <t>='C:\Users\jaime.benazar\Quorum Business Solutions\Ecopetrol Prometeo - Documents\Planning Space Implementation\3. Analysis &amp; Design\Design\FC22\DRR Jaime\Neiva CPI\[VAO_DINA TERCIARIOS_CF_SEC_20230117.xlsx]CF PDP'!$DI$72</t>
  </si>
  <si>
    <t>='C:\Users\jaime.benazar\Quorum Business Solutions\Ecopetrol Prometeo - Documents\Planning Space Implementation\3. Analysis &amp; Design\Design\FC22\DRR Jaime\Neiva CPI\[VAO_DINA TERCIARIOS_CF_SEC_20230117.xlsx]CF PNP'!$DI$36</t>
  </si>
  <si>
    <t>='C:\Users\jaime.benazar\Quorum Business Solutions\Ecopetrol Prometeo - Documents\Planning Space Implementation\3. Analysis &amp; Design\Design\FC22\DRR Jaime\Neiva CPI\[VAO_DINA TERCIARIOS_CF_SEC_20230117.xlsx]CF PNP'!$DI$37</t>
  </si>
  <si>
    <t>='C:\Users\jaime.benazar\Quorum Business Solutions\Ecopetrol Prometeo - Documents\Planning Space Implementation\3. Analysis &amp; Design\Design\FC22\DRR Jaime\Neiva CPI\[VAO_DINA TERCIARIOS_CF_SEC_20230117.xlsx]CF PNP'!$DI$38</t>
  </si>
  <si>
    <t>='C:\Users\jaime.benazar\Quorum Business Solutions\Ecopetrol Prometeo - Documents\Planning Space Implementation\3. Analysis &amp; Design\Design\FC22\DRR Jaime\Neiva CPI\[VAO_DINA TERCIARIOS_CF_SEC_20230117.xlsx]CF PNP'!$DI$39</t>
  </si>
  <si>
    <t>='C:\Users\jaime.benazar\Quorum Business Solutions\Ecopetrol Prometeo - Documents\Planning Space Implementation\3. Analysis &amp; Design\Design\FC22\DRR Jaime\Neiva CPI\[VAO_DINA TERCIARIOS_CF_SEC_20230117.xlsx]CF PNP'!$DI$40</t>
  </si>
  <si>
    <t>='C:\Users\jaime.benazar\Quorum Business Solutions\Ecopetrol Prometeo - Documents\Planning Space Implementation\3. Analysis &amp; Design\Design\FC22\DRR Jaime\Neiva CPI\[VAO_DINA TERCIARIOS_CF_SEC_20230117.xlsx]CF PNP'!$DI$41</t>
  </si>
  <si>
    <t>='C:\Users\jaime.benazar\Quorum Business Solutions\Ecopetrol Prometeo - Documents\Planning Space Implementation\3. Analysis &amp; Design\Design\FC22\DRR Jaime\Neiva CPI\[VAO_DINA TERCIARIOS_CF_SEC_20230117.xlsx]CF PNP'!$DI$42</t>
  </si>
  <si>
    <t>='C:\Users\jaime.benazar\Quorum Business Solutions\Ecopetrol Prometeo - Documents\Planning Space Implementation\3. Analysis &amp; Design\Design\FC22\DRR Jaime\Neiva CPI\[VAO_DINA TERCIARIOS_CF_SEC_20230117.xlsx]CF PNP'!$DI$43</t>
  </si>
  <si>
    <t>='C:\Users\jaime.benazar\Quorum Business Solutions\Ecopetrol Prometeo - Documents\Planning Space Implementation\3. Analysis &amp; Design\Design\FC22\DRR Jaime\Neiva CPI\[VAO_DINA TERCIARIOS_CF_SEC_20230117.xlsx]CF PNP'!$DI$44</t>
  </si>
  <si>
    <t>='C:\Users\jaime.benazar\Quorum Business Solutions\Ecopetrol Prometeo - Documents\Planning Space Implementation\3. Analysis &amp; Design\Design\FC22\DRR Jaime\Neiva CPI\[VAO_DINA TERCIARIOS_CF_SEC_20230117.xlsx]CF PNP'!$DI$45</t>
  </si>
  <si>
    <t>='C:\Users\jaime.benazar\Quorum Business Solutions\Ecopetrol Prometeo - Documents\Planning Space Implementation\3. Analysis &amp; Design\Design\FC22\DRR Jaime\Neiva CPI\[VAO_DINA TERCIARIOS_CF_SEC_20230117.xlsx]CF PNP'!$DI$46</t>
  </si>
  <si>
    <t>='C:\Users\jaime.benazar\Quorum Business Solutions\Ecopetrol Prometeo - Documents\Planning Space Implementation\3. Analysis &amp; Design\Design\FC22\DRR Jaime\Neiva CPI\[VAO_DINA TERCIARIOS_CF_SEC_20230117.xlsx]CF PNP'!$DI$47</t>
  </si>
  <si>
    <t>='C:\Users\jaime.benazar\Quorum Business Solutions\Ecopetrol Prometeo - Documents\Planning Space Implementation\3. Analysis &amp; Design\Design\FC22\DRR Jaime\Neiva CPI\[VAO_DINA TERCIARIOS_CF_SEC_20230117.xlsx]CF PNP'!$DI$48</t>
  </si>
  <si>
    <t>='C:\Users\jaime.benazar\Quorum Business Solutions\Ecopetrol Prometeo - Documents\Planning Space Implementation\3. Analysis &amp; Design\Design\FC22\DRR Jaime\Neiva CPI\[VAO_DINA TERCIARIOS_CF_SEC_20230117.xlsx]CF PNP'!$DI$49</t>
  </si>
  <si>
    <t>='C:\Users\jaime.benazar\Quorum Business Solutions\Ecopetrol Prometeo - Documents\Planning Space Implementation\3. Analysis &amp; Design\Design\FC22\DRR Jaime\Neiva CPI\[VAO_DINA TERCIARIOS_CF_SEC_20230117.xlsx]CF PNP'!$DI$50</t>
  </si>
  <si>
    <t>='C:\Users\jaime.benazar\Quorum Business Solutions\Ecopetrol Prometeo - Documents\Planning Space Implementation\3. Analysis &amp; Design\Design\FC22\DRR Jaime\Neiva CPI\[VAO_DINA TERCIARIOS_CF_SEC_20230117.xlsx]CF PNP'!$DI$51</t>
  </si>
  <si>
    <t>='C:\Users\jaime.benazar\Quorum Business Solutions\Ecopetrol Prometeo - Documents\Planning Space Implementation\3. Analysis &amp; Design\Design\FC22\DRR Jaime\Neiva CPI\[VAO_DINA TERCIARIOS_CF_SEC_20230117.xlsx]CF PNP'!$DI$52</t>
  </si>
  <si>
    <t>='C:\Users\jaime.benazar\Quorum Business Solutions\Ecopetrol Prometeo - Documents\Planning Space Implementation\3. Analysis &amp; Design\Design\FC22\DRR Jaime\Neiva CPI\[VAO_DINA TERCIARIOS_CF_SEC_20230117.xlsx]CF PNP'!$DI$53</t>
  </si>
  <si>
    <t>='C:\Users\jaime.benazar\Quorum Business Solutions\Ecopetrol Prometeo - Documents\Planning Space Implementation\3. Analysis &amp; Design\Design\FC22\DRR Jaime\Neiva CPI\[VAO_DINA TERCIARIOS_CF_SEC_20230117.xlsx]CF PNP'!$DI$54</t>
  </si>
  <si>
    <t>='C:\Users\jaime.benazar\Quorum Business Solutions\Ecopetrol Prometeo - Documents\Planning Space Implementation\3. Analysis &amp; Design\Design\FC22\DRR Jaime\Neiva CPI\[VAO_DINA TERCIARIOS_CF_SEC_20230117.xlsx]CF PNP'!$DI$55</t>
  </si>
  <si>
    <t>='C:\Users\jaime.benazar\Quorum Business Solutions\Ecopetrol Prometeo - Documents\Planning Space Implementation\3. Analysis &amp; Design\Design\FC22\DRR Jaime\Neiva CPI\[VAO_DINA TERCIARIOS_CF_SEC_20230117.xlsx]CF PNP'!$DI$56</t>
  </si>
  <si>
    <t>='C:\Users\jaime.benazar\Quorum Business Solutions\Ecopetrol Prometeo - Documents\Planning Space Implementation\3. Analysis &amp; Design\Design\FC22\DRR Jaime\Neiva CPI\[VAO_DINA TERCIARIOS_CF_SEC_20230117.xlsx]CF PNP'!$DI$57</t>
  </si>
  <si>
    <t>='C:\Users\jaime.benazar\Quorum Business Solutions\Ecopetrol Prometeo - Documents\Planning Space Implementation\3. Analysis &amp; Design\Design\FC22\DRR Jaime\Neiva CPI\[VAO_DINA TERCIARIOS_CF_SEC_20230117.xlsx]CF PNP'!$DI$58</t>
  </si>
  <si>
    <t>='C:\Users\jaime.benazar\Quorum Business Solutions\Ecopetrol Prometeo - Documents\Planning Space Implementation\3. Analysis &amp; Design\Design\FC22\DRR Jaime\Neiva CPI\[VAO_DINA TERCIARIOS_CF_SEC_20230117.xlsx]CF PNP'!$DI$59</t>
  </si>
  <si>
    <t>='C:\Users\jaime.benazar\Quorum Business Solutions\Ecopetrol Prometeo - Documents\Planning Space Implementation\3. Analysis &amp; Design\Design\FC22\DRR Jaime\Neiva CPI\[VAO_DINA TERCIARIOS_CF_SEC_20230117.xlsx]CF PNP'!$DI$60</t>
  </si>
  <si>
    <t>='C:\Users\jaime.benazar\Quorum Business Solutions\Ecopetrol Prometeo - Documents\Planning Space Implementation\3. Analysis &amp; Design\Design\FC22\DRR Jaime\Neiva CPI\[VAO_DINA TERCIARIOS_CF_SEC_20230117.xlsx]CF PNP'!$DI$61</t>
  </si>
  <si>
    <t>='C:\Users\jaime.benazar\Quorum Business Solutions\Ecopetrol Prometeo - Documents\Planning Space Implementation\3. Analysis &amp; Design\Design\FC22\DRR Jaime\Neiva CPI\[VAO_DINA TERCIARIOS_CF_SEC_20230117.xlsx]CF PNP'!$DI$62</t>
  </si>
  <si>
    <t>='C:\Users\jaime.benazar\Quorum Business Solutions\Ecopetrol Prometeo - Documents\Planning Space Implementation\3. Analysis &amp; Design\Design\FC22\DRR Jaime\Neiva CPI\[VAO_DINA TERCIARIOS_CF_SEC_20230117.xlsx]CF PNP'!$DI$63</t>
  </si>
  <si>
    <t>='C:\Users\jaime.benazar\Quorum Business Solutions\Ecopetrol Prometeo - Documents\Planning Space Implementation\3. Analysis &amp; Design\Design\FC22\DRR Jaime\Neiva CPI\[VAO_DINA TERCIARIOS_CF_SEC_20230117.xlsx]CF PNP'!$DI$64</t>
  </si>
  <si>
    <t>='C:\Users\jaime.benazar\Quorum Business Solutions\Ecopetrol Prometeo - Documents\Planning Space Implementation\3. Analysis &amp; Design\Design\FC22\DRR Jaime\Neiva CPI\[VAO_DINA TERCIARIOS_CF_SEC_20230117.xlsx]CF PNP'!$DI$65</t>
  </si>
  <si>
    <t>='C:\Users\jaime.benazar\Quorum Business Solutions\Ecopetrol Prometeo - Documents\Planning Space Implementation\3. Analysis &amp; Design\Design\FC22\DRR Jaime\Neiva CPI\[VAO_DINA TERCIARIOS_CF_SEC_20230117.xlsx]CF PNP'!$DI$66</t>
  </si>
  <si>
    <t>='C:\Users\jaime.benazar\Quorum Business Solutions\Ecopetrol Prometeo - Documents\Planning Space Implementation\3. Analysis &amp; Design\Design\FC22\DRR Jaime\Neiva CPI\[VAO_DINA TERCIARIOS_CF_SEC_20230117.xlsx]CF PNP'!$DI$67</t>
  </si>
  <si>
    <t>='C:\Users\jaime.benazar\Quorum Business Solutions\Ecopetrol Prometeo - Documents\Planning Space Implementation\3. Analysis &amp; Design\Design\FC22\DRR Jaime\Neiva CPI\[VAO_DINA TERCIARIOS_CF_SEC_20230117.xlsx]CF PNP'!$DI$68</t>
  </si>
  <si>
    <t>='C:\Users\jaime.benazar\Quorum Business Solutions\Ecopetrol Prometeo - Documents\Planning Space Implementation\3. Analysis &amp; Design\Design\FC22\DRR Jaime\Neiva CPI\[VAO_DINA TERCIARIOS_CF_SEC_20230117.xlsx]CF PNP'!$DI$69</t>
  </si>
  <si>
    <t>='C:\Users\jaime.benazar\Quorum Business Solutions\Ecopetrol Prometeo - Documents\Planning Space Implementation\3. Analysis &amp; Design\Design\FC22\DRR Jaime\Neiva CPI\[VAO_DINA TERCIARIOS_CF_SEC_20230117.xlsx]CF PNP'!$DI$70</t>
  </si>
  <si>
    <t>='C:\Users\jaime.benazar\Quorum Business Solutions\Ecopetrol Prometeo - Documents\Planning Space Implementation\3. Analysis &amp; Design\Design\FC22\DRR Jaime\Neiva CPI\[VAO_DINA TERCIARIOS_CF_SEC_20230117.xlsx]CF PNP'!$DI$71</t>
  </si>
  <si>
    <t>='C:\Users\jaime.benazar\Quorum Business Solutions\Ecopetrol Prometeo - Documents\Planning Space Implementation\3. Analysis &amp; Design\Design\FC22\DRR Jaime\Neiva CPI\[VAO_DINA TERCIARIOS_CF_SEC_20230117.xlsx]CF PNP'!$DI$72</t>
  </si>
  <si>
    <t>='C:\Users\jaime.benazar\Quorum Business Solutions\Ecopetrol Prometeo - Documents\Planning Space Implementation\3. Analysis &amp; Design\Design\FC22\DRR Jaime\Neiva CPI\[VAO_DINA TERCIARIOS_CF_SEC_20230117.xlsx]CF PND'!$DI$36</t>
  </si>
  <si>
    <t>='C:\Users\jaime.benazar\Quorum Business Solutions\Ecopetrol Prometeo - Documents\Planning Space Implementation\3. Analysis &amp; Design\Design\FC22\DRR Jaime\Neiva CPI\[VAO_DINA TERCIARIOS_CF_SEC_20230117.xlsx]CF PND'!$DI$37</t>
  </si>
  <si>
    <t>='C:\Users\jaime.benazar\Quorum Business Solutions\Ecopetrol Prometeo - Documents\Planning Space Implementation\3. Analysis &amp; Design\Design\FC22\DRR Jaime\Neiva CPI\[VAO_DINA TERCIARIOS_CF_SEC_20230117.xlsx]CF PND'!$DI$38</t>
  </si>
  <si>
    <t>='C:\Users\jaime.benazar\Quorum Business Solutions\Ecopetrol Prometeo - Documents\Planning Space Implementation\3. Analysis &amp; Design\Design\FC22\DRR Jaime\Neiva CPI\[VAO_DINA TERCIARIOS_CF_SEC_20230117.xlsx]CF PND'!$DI$39</t>
  </si>
  <si>
    <t>='C:\Users\jaime.benazar\Quorum Business Solutions\Ecopetrol Prometeo - Documents\Planning Space Implementation\3. Analysis &amp; Design\Design\FC22\DRR Jaime\Neiva CPI\[VAO_DINA TERCIARIOS_CF_SEC_20230117.xlsx]CF PND'!$DI$40</t>
  </si>
  <si>
    <t>='C:\Users\jaime.benazar\Quorum Business Solutions\Ecopetrol Prometeo - Documents\Planning Space Implementation\3. Analysis &amp; Design\Design\FC22\DRR Jaime\Neiva CPI\[VAO_DINA TERCIARIOS_CF_SEC_20230117.xlsx]CF PND'!$DI$41</t>
  </si>
  <si>
    <t>='C:\Users\jaime.benazar\Quorum Business Solutions\Ecopetrol Prometeo - Documents\Planning Space Implementation\3. Analysis &amp; Design\Design\FC22\DRR Jaime\Neiva CPI\[VAO_DINA TERCIARIOS_CF_SEC_20230117.xlsx]CF PND'!$DI$42</t>
  </si>
  <si>
    <t>='C:\Users\jaime.benazar\Quorum Business Solutions\Ecopetrol Prometeo - Documents\Planning Space Implementation\3. Analysis &amp; Design\Design\FC22\DRR Jaime\Neiva CPI\[VAO_DINA TERCIARIOS_CF_SEC_20230117.xlsx]CF PND'!$DI$43</t>
  </si>
  <si>
    <t>='C:\Users\jaime.benazar\Quorum Business Solutions\Ecopetrol Prometeo - Documents\Planning Space Implementation\3. Analysis &amp; Design\Design\FC22\DRR Jaime\Neiva CPI\[VAO_DINA TERCIARIOS_CF_SEC_20230117.xlsx]CF PND'!$DI$44</t>
  </si>
  <si>
    <t>='C:\Users\jaime.benazar\Quorum Business Solutions\Ecopetrol Prometeo - Documents\Planning Space Implementation\3. Analysis &amp; Design\Design\FC22\DRR Jaime\Neiva CPI\[VAO_DINA TERCIARIOS_CF_SEC_20230117.xlsx]CF PND'!$DI$45</t>
  </si>
  <si>
    <t>='C:\Users\jaime.benazar\Quorum Business Solutions\Ecopetrol Prometeo - Documents\Planning Space Implementation\3. Analysis &amp; Design\Design\FC22\DRR Jaime\Neiva CPI\[VAO_DINA TERCIARIOS_CF_SEC_20230117.xlsx]CF PND'!$DI$46</t>
  </si>
  <si>
    <t>='C:\Users\jaime.benazar\Quorum Business Solutions\Ecopetrol Prometeo - Documents\Planning Space Implementation\3. Analysis &amp; Design\Design\FC22\DRR Jaime\Neiva CPI\[VAO_DINA TERCIARIOS_CF_SEC_20230117.xlsx]CF PND'!$DI$47</t>
  </si>
  <si>
    <t>='C:\Users\jaime.benazar\Quorum Business Solutions\Ecopetrol Prometeo - Documents\Planning Space Implementation\3. Analysis &amp; Design\Design\FC22\DRR Jaime\Neiva CPI\[VAO_DINA TERCIARIOS_CF_SEC_20230117.xlsx]CF PND'!$DI$48</t>
  </si>
  <si>
    <t>='C:\Users\jaime.benazar\Quorum Business Solutions\Ecopetrol Prometeo - Documents\Planning Space Implementation\3. Analysis &amp; Design\Design\FC22\DRR Jaime\Neiva CPI\[VAO_DINA TERCIARIOS_CF_SEC_20230117.xlsx]CF PND'!$DI$49</t>
  </si>
  <si>
    <t>='C:\Users\jaime.benazar\Quorum Business Solutions\Ecopetrol Prometeo - Documents\Planning Space Implementation\3. Analysis &amp; Design\Design\FC22\DRR Jaime\Neiva CPI\[VAO_DINA TERCIARIOS_CF_SEC_20230117.xlsx]CF PND'!$DI$50</t>
  </si>
  <si>
    <t>='C:\Users\jaime.benazar\Quorum Business Solutions\Ecopetrol Prometeo - Documents\Planning Space Implementation\3. Analysis &amp; Design\Design\FC22\DRR Jaime\Neiva CPI\[VAO_DINA TERCIARIOS_CF_SEC_20230117.xlsx]CF PND'!$DI$51</t>
  </si>
  <si>
    <t>='C:\Users\jaime.benazar\Quorum Business Solutions\Ecopetrol Prometeo - Documents\Planning Space Implementation\3. Analysis &amp; Design\Design\FC22\DRR Jaime\Neiva CPI\[VAO_DINA TERCIARIOS_CF_SEC_20230117.xlsx]CF PND'!$DI$52</t>
  </si>
  <si>
    <t>='C:\Users\jaime.benazar\Quorum Business Solutions\Ecopetrol Prometeo - Documents\Planning Space Implementation\3. Analysis &amp; Design\Design\FC22\DRR Jaime\Neiva CPI\[VAO_DINA TERCIARIOS_CF_SEC_20230117.xlsx]CF PND'!$DI$53</t>
  </si>
  <si>
    <t>='C:\Users\jaime.benazar\Quorum Business Solutions\Ecopetrol Prometeo - Documents\Planning Space Implementation\3. Analysis &amp; Design\Design\FC22\DRR Jaime\Neiva CPI\[VAO_DINA TERCIARIOS_CF_SEC_20230117.xlsx]CF PND'!$DI$54</t>
  </si>
  <si>
    <t>='C:\Users\jaime.benazar\Quorum Business Solutions\Ecopetrol Prometeo - Documents\Planning Space Implementation\3. Analysis &amp; Design\Design\FC22\DRR Jaime\Neiva CPI\[VAO_DINA TERCIARIOS_CF_SEC_20230117.xlsx]CF PND'!$DI$55</t>
  </si>
  <si>
    <t>='C:\Users\jaime.benazar\Quorum Business Solutions\Ecopetrol Prometeo - Documents\Planning Space Implementation\3. Analysis &amp; Design\Design\FC22\DRR Jaime\Neiva CPI\[VAO_DINA TERCIARIOS_CF_SEC_20230117.xlsx]CF PND'!$DI$56</t>
  </si>
  <si>
    <t>='C:\Users\jaime.benazar\Quorum Business Solutions\Ecopetrol Prometeo - Documents\Planning Space Implementation\3. Analysis &amp; Design\Design\FC22\DRR Jaime\Neiva CPI\[VAO_DINA TERCIARIOS_CF_SEC_20230117.xlsx]CF PND'!$DI$57</t>
  </si>
  <si>
    <t>='C:\Users\jaime.benazar\Quorum Business Solutions\Ecopetrol Prometeo - Documents\Planning Space Implementation\3. Analysis &amp; Design\Design\FC22\DRR Jaime\Neiva CPI\[VAO_DINA TERCIARIOS_CF_SEC_20230117.xlsx]CF PND'!$DI$58</t>
  </si>
  <si>
    <t>='C:\Users\jaime.benazar\Quorum Business Solutions\Ecopetrol Prometeo - Documents\Planning Space Implementation\3. Analysis &amp; Design\Design\FC22\DRR Jaime\Neiva CPI\[VAO_DINA TERCIARIOS_CF_SEC_20230117.xlsx]CF PND'!$DI$59</t>
  </si>
  <si>
    <t>='C:\Users\jaime.benazar\Quorum Business Solutions\Ecopetrol Prometeo - Documents\Planning Space Implementation\3. Analysis &amp; Design\Design\FC22\DRR Jaime\Neiva CPI\[VAO_DINA TERCIARIOS_CF_SEC_20230117.xlsx]CF PND'!$DI$60</t>
  </si>
  <si>
    <t>='C:\Users\jaime.benazar\Quorum Business Solutions\Ecopetrol Prometeo - Documents\Planning Space Implementation\3. Analysis &amp; Design\Design\FC22\DRR Jaime\Neiva CPI\[VAO_DINA TERCIARIOS_CF_SEC_20230117.xlsx]CF PND'!$DI$61</t>
  </si>
  <si>
    <t>='C:\Users\jaime.benazar\Quorum Business Solutions\Ecopetrol Prometeo - Documents\Planning Space Implementation\3. Analysis &amp; Design\Design\FC22\DRR Jaime\Neiva CPI\[VAO_DINA TERCIARIOS_CF_SEC_20230117.xlsx]CF PND'!$DI$62</t>
  </si>
  <si>
    <t>='C:\Users\jaime.benazar\Quorum Business Solutions\Ecopetrol Prometeo - Documents\Planning Space Implementation\3. Analysis &amp; Design\Design\FC22\DRR Jaime\Neiva CPI\[VAO_DINA TERCIARIOS_CF_SEC_20230117.xlsx]CF PND'!$DI$63</t>
  </si>
  <si>
    <t>='C:\Users\jaime.benazar\Quorum Business Solutions\Ecopetrol Prometeo - Documents\Planning Space Implementation\3. Analysis &amp; Design\Design\FC22\DRR Jaime\Neiva CPI\[VAO_DINA TERCIARIOS_CF_SEC_20230117.xlsx]CF PND'!$DI$64</t>
  </si>
  <si>
    <t>='C:\Users\jaime.benazar\Quorum Business Solutions\Ecopetrol Prometeo - Documents\Planning Space Implementation\3. Analysis &amp; Design\Design\FC22\DRR Jaime\Neiva CPI\[VAO_DINA TERCIARIOS_CF_SEC_20230117.xlsx]CF PND'!$DI$65</t>
  </si>
  <si>
    <t>='C:\Users\jaime.benazar\Quorum Business Solutions\Ecopetrol Prometeo - Documents\Planning Space Implementation\3. Analysis &amp; Design\Design\FC22\DRR Jaime\Neiva CPI\[VAO_DINA TERCIARIOS_CF_SEC_20230117.xlsx]CF PND'!$DI$66</t>
  </si>
  <si>
    <t>='C:\Users\jaime.benazar\Quorum Business Solutions\Ecopetrol Prometeo - Documents\Planning Space Implementation\3. Analysis &amp; Design\Design\FC22\DRR Jaime\Neiva CPI\[VAO_DINA TERCIARIOS_CF_SEC_20230117.xlsx]CF PND'!$DI$67</t>
  </si>
  <si>
    <t>='C:\Users\jaime.benazar\Quorum Business Solutions\Ecopetrol Prometeo - Documents\Planning Space Implementation\3. Analysis &amp; Design\Design\FC22\DRR Jaime\Neiva CPI\[VAO_DINA TERCIARIOS_CF_SEC_20230117.xlsx]CF PND'!$DI$68</t>
  </si>
  <si>
    <t>='C:\Users\jaime.benazar\Quorum Business Solutions\Ecopetrol Prometeo - Documents\Planning Space Implementation\3. Analysis &amp; Design\Design\FC22\DRR Jaime\Neiva CPI\[VAO_DINA TERCIARIOS_CF_SEC_20230117.xlsx]CF PND'!$DI$69</t>
  </si>
  <si>
    <t>='C:\Users\jaime.benazar\Quorum Business Solutions\Ecopetrol Prometeo - Documents\Planning Space Implementation\3. Analysis &amp; Design\Design\FC22\DRR Jaime\Neiva CPI\[VAO_DINA TERCIARIOS_CF_SEC_20230117.xlsx]CF PND'!$DI$70</t>
  </si>
  <si>
    <t>='C:\Users\jaime.benazar\Quorum Business Solutions\Ecopetrol Prometeo - Documents\Planning Space Implementation\3. Analysis &amp; Design\Design\FC22\DRR Jaime\Neiva CPI\[VAO_DINA TERCIARIOS_CF_SEC_20230117.xlsx]CF PND'!$DI$71</t>
  </si>
  <si>
    <t>='C:\Users\jaime.benazar\Quorum Business Solutions\Ecopetrol Prometeo - Documents\Planning Space Implementation\3. Analysis &amp; Design\Design\FC22\DRR Jaime\Neiva CPI\[VAO_DINA TERCIARIOS_CF_SEC_20230117.xlsx]CF PND'!$DI$72</t>
  </si>
  <si>
    <t>='C:\Users\jaime.benazar\Quorum Business Solutions\Ecopetrol Prometeo - Documents\Planning Space Implementation\3. Analysis &amp; Design\Design\FC22\DRR Jaime\Neiva CPI\[VAO_DINA TERCIARIOS_CF_SEC_20230117.xlsx]CF PRB'!$DI$36</t>
  </si>
  <si>
    <t>='C:\Users\jaime.benazar\Quorum Business Solutions\Ecopetrol Prometeo - Documents\Planning Space Implementation\3. Analysis &amp; Design\Design\FC22\DRR Jaime\Neiva CPI\[VAO_DINA TERCIARIOS_CF_SEC_20230117.xlsx]CF PRB'!$DI$37</t>
  </si>
  <si>
    <t>='C:\Users\jaime.benazar\Quorum Business Solutions\Ecopetrol Prometeo - Documents\Planning Space Implementation\3. Analysis &amp; Design\Design\FC22\DRR Jaime\Neiva CPI\[VAO_DINA TERCIARIOS_CF_SEC_20230117.xlsx]CF PRB'!$DI$38</t>
  </si>
  <si>
    <t>='C:\Users\jaime.benazar\Quorum Business Solutions\Ecopetrol Prometeo - Documents\Planning Space Implementation\3. Analysis &amp; Design\Design\FC22\DRR Jaime\Neiva CPI\[VAO_DINA TERCIARIOS_CF_SEC_20230117.xlsx]CF PRB'!$DI$39</t>
  </si>
  <si>
    <t>='C:\Users\jaime.benazar\Quorum Business Solutions\Ecopetrol Prometeo - Documents\Planning Space Implementation\3. Analysis &amp; Design\Design\FC22\DRR Jaime\Neiva CPI\[VAO_DINA TERCIARIOS_CF_SEC_20230117.xlsx]CF PRB'!$DI$40</t>
  </si>
  <si>
    <t>='C:\Users\jaime.benazar\Quorum Business Solutions\Ecopetrol Prometeo - Documents\Planning Space Implementation\3. Analysis &amp; Design\Design\FC22\DRR Jaime\Neiva CPI\[VAO_DINA TERCIARIOS_CF_SEC_20230117.xlsx]CF PRB'!$DI$41</t>
  </si>
  <si>
    <t>='C:\Users\jaime.benazar\Quorum Business Solutions\Ecopetrol Prometeo - Documents\Planning Space Implementation\3. Analysis &amp; Design\Design\FC22\DRR Jaime\Neiva CPI\[VAO_DINA TERCIARIOS_CF_SEC_20230117.xlsx]CF PRB'!$DI$42</t>
  </si>
  <si>
    <t>='C:\Users\jaime.benazar\Quorum Business Solutions\Ecopetrol Prometeo - Documents\Planning Space Implementation\3. Analysis &amp; Design\Design\FC22\DRR Jaime\Neiva CPI\[VAO_DINA TERCIARIOS_CF_SEC_20230117.xlsx]CF PRB'!$DI$43</t>
  </si>
  <si>
    <t>='C:\Users\jaime.benazar\Quorum Business Solutions\Ecopetrol Prometeo - Documents\Planning Space Implementation\3. Analysis &amp; Design\Design\FC22\DRR Jaime\Neiva CPI\[VAO_DINA TERCIARIOS_CF_SEC_20230117.xlsx]CF PRB'!$DI$44</t>
  </si>
  <si>
    <t>='C:\Users\jaime.benazar\Quorum Business Solutions\Ecopetrol Prometeo - Documents\Planning Space Implementation\3. Analysis &amp; Design\Design\FC22\DRR Jaime\Neiva CPI\[VAO_DINA TERCIARIOS_CF_SEC_20230117.xlsx]CF PRB'!$DI$45</t>
  </si>
  <si>
    <t>='C:\Users\jaime.benazar\Quorum Business Solutions\Ecopetrol Prometeo - Documents\Planning Space Implementation\3. Analysis &amp; Design\Design\FC22\DRR Jaime\Neiva CPI\[VAO_DINA TERCIARIOS_CF_SEC_20230117.xlsx]CF PRB'!$DI$46</t>
  </si>
  <si>
    <t>='C:\Users\jaime.benazar\Quorum Business Solutions\Ecopetrol Prometeo - Documents\Planning Space Implementation\3. Analysis &amp; Design\Design\FC22\DRR Jaime\Neiva CPI\[VAO_DINA TERCIARIOS_CF_SEC_20230117.xlsx]CF PRB'!$DI$47</t>
  </si>
  <si>
    <t>='C:\Users\jaime.benazar\Quorum Business Solutions\Ecopetrol Prometeo - Documents\Planning Space Implementation\3. Analysis &amp; Design\Design\FC22\DRR Jaime\Neiva CPI\[VAO_DINA TERCIARIOS_CF_SEC_20230117.xlsx]CF PRB'!$DI$48</t>
  </si>
  <si>
    <t>='C:\Users\jaime.benazar\Quorum Business Solutions\Ecopetrol Prometeo - Documents\Planning Space Implementation\3. Analysis &amp; Design\Design\FC22\DRR Jaime\Neiva CPI\[VAO_DINA TERCIARIOS_CF_SEC_20230117.xlsx]CF PRB'!$DI$49</t>
  </si>
  <si>
    <t>='C:\Users\jaime.benazar\Quorum Business Solutions\Ecopetrol Prometeo - Documents\Planning Space Implementation\3. Analysis &amp; Design\Design\FC22\DRR Jaime\Neiva CPI\[VAO_DINA TERCIARIOS_CF_SEC_20230117.xlsx]CF PRB'!$DI$50</t>
  </si>
  <si>
    <t>='C:\Users\jaime.benazar\Quorum Business Solutions\Ecopetrol Prometeo - Documents\Planning Space Implementation\3. Analysis &amp; Design\Design\FC22\DRR Jaime\Neiva CPI\[VAO_DINA TERCIARIOS_CF_SEC_20230117.xlsx]CF PRB'!$DI$51</t>
  </si>
  <si>
    <t>='C:\Users\jaime.benazar\Quorum Business Solutions\Ecopetrol Prometeo - Documents\Planning Space Implementation\3. Analysis &amp; Design\Design\FC22\DRR Jaime\Neiva CPI\[VAO_DINA TERCIARIOS_CF_SEC_20230117.xlsx]CF PRB'!$DI$52</t>
  </si>
  <si>
    <t>='C:\Users\jaime.benazar\Quorum Business Solutions\Ecopetrol Prometeo - Documents\Planning Space Implementation\3. Analysis &amp; Design\Design\FC22\DRR Jaime\Neiva CPI\[VAO_DINA TERCIARIOS_CF_SEC_20230117.xlsx]CF PRB'!$DI$53</t>
  </si>
  <si>
    <t>='C:\Users\jaime.benazar\Quorum Business Solutions\Ecopetrol Prometeo - Documents\Planning Space Implementation\3. Analysis &amp; Design\Design\FC22\DRR Jaime\Neiva CPI\[VAO_DINA TERCIARIOS_CF_SEC_20230117.xlsx]CF PRB'!$DI$54</t>
  </si>
  <si>
    <t>='C:\Users\jaime.benazar\Quorum Business Solutions\Ecopetrol Prometeo - Documents\Planning Space Implementation\3. Analysis &amp; Design\Design\FC22\DRR Jaime\Neiva CPI\[VAO_DINA TERCIARIOS_CF_SEC_20230117.xlsx]CF PRB'!$DI$55</t>
  </si>
  <si>
    <t>='C:\Users\jaime.benazar\Quorum Business Solutions\Ecopetrol Prometeo - Documents\Planning Space Implementation\3. Analysis &amp; Design\Design\FC22\DRR Jaime\Neiva CPI\[VAO_DINA TERCIARIOS_CF_SEC_20230117.xlsx]CF PRB'!$DI$56</t>
  </si>
  <si>
    <t>='C:\Users\jaime.benazar\Quorum Business Solutions\Ecopetrol Prometeo - Documents\Planning Space Implementation\3. Analysis &amp; Design\Design\FC22\DRR Jaime\Neiva CPI\[VAO_DINA TERCIARIOS_CF_SEC_20230117.xlsx]CF PRB'!$DI$57</t>
  </si>
  <si>
    <t>='C:\Users\jaime.benazar\Quorum Business Solutions\Ecopetrol Prometeo - Documents\Planning Space Implementation\3. Analysis &amp; Design\Design\FC22\DRR Jaime\Neiva CPI\[VAO_DINA TERCIARIOS_CF_SEC_20230117.xlsx]CF PRB'!$DI$58</t>
  </si>
  <si>
    <t>='C:\Users\jaime.benazar\Quorum Business Solutions\Ecopetrol Prometeo - Documents\Planning Space Implementation\3. Analysis &amp; Design\Design\FC22\DRR Jaime\Neiva CPI\[VAO_DINA TERCIARIOS_CF_SEC_20230117.xlsx]CF PRB'!$DI$59</t>
  </si>
  <si>
    <t>='C:\Users\jaime.benazar\Quorum Business Solutions\Ecopetrol Prometeo - Documents\Planning Space Implementation\3. Analysis &amp; Design\Design\FC22\DRR Jaime\Neiva CPI\[VAO_DINA TERCIARIOS_CF_SEC_20230117.xlsx]CF PRB'!$DI$60</t>
  </si>
  <si>
    <t>='C:\Users\jaime.benazar\Quorum Business Solutions\Ecopetrol Prometeo - Documents\Planning Space Implementation\3. Analysis &amp; Design\Design\FC22\DRR Jaime\Neiva CPI\[VAO_DINA TERCIARIOS_CF_SEC_20230117.xlsx]CF PRB'!$DI$61</t>
  </si>
  <si>
    <t>='C:\Users\jaime.benazar\Quorum Business Solutions\Ecopetrol Prometeo - Documents\Planning Space Implementation\3. Analysis &amp; Design\Design\FC22\DRR Jaime\Neiva CPI\[VAO_DINA TERCIARIOS_CF_SEC_20230117.xlsx]CF PRB'!$DI$62</t>
  </si>
  <si>
    <t>='C:\Users\jaime.benazar\Quorum Business Solutions\Ecopetrol Prometeo - Documents\Planning Space Implementation\3. Analysis &amp; Design\Design\FC22\DRR Jaime\Neiva CPI\[VAO_DINA TERCIARIOS_CF_SEC_20230117.xlsx]CF PRB'!$DI$63</t>
  </si>
  <si>
    <t>='C:\Users\jaime.benazar\Quorum Business Solutions\Ecopetrol Prometeo - Documents\Planning Space Implementation\3. Analysis &amp; Design\Design\FC22\DRR Jaime\Neiva CPI\[VAO_DINA TERCIARIOS_CF_SEC_20230117.xlsx]CF PRB'!$DI$64</t>
  </si>
  <si>
    <t>='C:\Users\jaime.benazar\Quorum Business Solutions\Ecopetrol Prometeo - Documents\Planning Space Implementation\3. Analysis &amp; Design\Design\FC22\DRR Jaime\Neiva CPI\[VAO_DINA TERCIARIOS_CF_SEC_20230117.xlsx]CF PRB'!$DI$65</t>
  </si>
  <si>
    <t>='C:\Users\jaime.benazar\Quorum Business Solutions\Ecopetrol Prometeo - Documents\Planning Space Implementation\3. Analysis &amp; Design\Design\FC22\DRR Jaime\Neiva CPI\[VAO_DINA TERCIARIOS_CF_SEC_20230117.xlsx]CF PRB'!$DI$66</t>
  </si>
  <si>
    <t>='C:\Users\jaime.benazar\Quorum Business Solutions\Ecopetrol Prometeo - Documents\Planning Space Implementation\3. Analysis &amp; Design\Design\FC22\DRR Jaime\Neiva CPI\[VAO_DINA TERCIARIOS_CF_SEC_20230117.xlsx]CF PRB'!$DI$67</t>
  </si>
  <si>
    <t>='C:\Users\jaime.benazar\Quorum Business Solutions\Ecopetrol Prometeo - Documents\Planning Space Implementation\3. Analysis &amp; Design\Design\FC22\DRR Jaime\Neiva CPI\[VAO_DINA TERCIARIOS_CF_SEC_20230117.xlsx]CF PRB'!$DI$68</t>
  </si>
  <si>
    <t>='C:\Users\jaime.benazar\Quorum Business Solutions\Ecopetrol Prometeo - Documents\Planning Space Implementation\3. Analysis &amp; Design\Design\FC22\DRR Jaime\Neiva CPI\[VAO_DINA TERCIARIOS_CF_SEC_20230117.xlsx]CF PRB'!$DI$69</t>
  </si>
  <si>
    <t>='C:\Users\jaime.benazar\Quorum Business Solutions\Ecopetrol Prometeo - Documents\Planning Space Implementation\3. Analysis &amp; Design\Design\FC22\DRR Jaime\Neiva CPI\[VAO_DINA TERCIARIOS_CF_SEC_20230117.xlsx]CF PRB'!$DI$70</t>
  </si>
  <si>
    <t>='C:\Users\jaime.benazar\Quorum Business Solutions\Ecopetrol Prometeo - Documents\Planning Space Implementation\3. Analysis &amp; Design\Design\FC22\DRR Jaime\Neiva CPI\[VAO_DINA TERCIARIOS_CF_SEC_20230117.xlsx]CF PRB'!$DI$71</t>
  </si>
  <si>
    <t>='C:\Users\jaime.benazar\Quorum Business Solutions\Ecopetrol Prometeo - Documents\Planning Space Implementation\3. Analysis &amp; Design\Design\FC22\DRR Jaime\Neiva CPI\[VAO_DINA TERCIARIOS_CF_SEC_20230117.xlsx]CF PRB'!$DI$72</t>
  </si>
  <si>
    <t>='C:\Users\jaime.benazar\Quorum Business Solutions\Ecopetrol Prometeo - Documents\Planning Space Implementation\3. Analysis &amp; Design\Design\FC22\DRR Jaime\Neiva CPI\[VAO_DINA TERCIARIOS_CF_SEC_20230117.xlsx]CF PS'!$DI$36</t>
  </si>
  <si>
    <t>='C:\Users\jaime.benazar\Quorum Business Solutions\Ecopetrol Prometeo - Documents\Planning Space Implementation\3. Analysis &amp; Design\Design\FC22\DRR Jaime\Neiva CPI\[VAO_DINA TERCIARIOS_CF_SEC_20230117.xlsx]CF PS'!$DI$37</t>
  </si>
  <si>
    <t>='C:\Users\jaime.benazar\Quorum Business Solutions\Ecopetrol Prometeo - Documents\Planning Space Implementation\3. Analysis &amp; Design\Design\FC22\DRR Jaime\Neiva CPI\[VAO_DINA TERCIARIOS_CF_SEC_20230117.xlsx]CF PS'!$DI$38</t>
  </si>
  <si>
    <t>='C:\Users\jaime.benazar\Quorum Business Solutions\Ecopetrol Prometeo - Documents\Planning Space Implementation\3. Analysis &amp; Design\Design\FC22\DRR Jaime\Neiva CPI\[VAO_DINA TERCIARIOS_CF_SEC_20230117.xlsx]CF PS'!$DI$39</t>
  </si>
  <si>
    <t>='C:\Users\jaime.benazar\Quorum Business Solutions\Ecopetrol Prometeo - Documents\Planning Space Implementation\3. Analysis &amp; Design\Design\FC22\DRR Jaime\Neiva CPI\[VAO_DINA TERCIARIOS_CF_SEC_20230117.xlsx]CF PS'!$DI$40</t>
  </si>
  <si>
    <t>='C:\Users\jaime.benazar\Quorum Business Solutions\Ecopetrol Prometeo - Documents\Planning Space Implementation\3. Analysis &amp; Design\Design\FC22\DRR Jaime\Neiva CPI\[VAO_DINA TERCIARIOS_CF_SEC_20230117.xlsx]CF PS'!$DI$41</t>
  </si>
  <si>
    <t>='C:\Users\jaime.benazar\Quorum Business Solutions\Ecopetrol Prometeo - Documents\Planning Space Implementation\3. Analysis &amp; Design\Design\FC22\DRR Jaime\Neiva CPI\[VAO_DINA TERCIARIOS_CF_SEC_20230117.xlsx]CF PS'!$DI$42</t>
  </si>
  <si>
    <t>='C:\Users\jaime.benazar\Quorum Business Solutions\Ecopetrol Prometeo - Documents\Planning Space Implementation\3. Analysis &amp; Design\Design\FC22\DRR Jaime\Neiva CPI\[VAO_DINA TERCIARIOS_CF_SEC_20230117.xlsx]CF PS'!$DI$43</t>
  </si>
  <si>
    <t>='C:\Users\jaime.benazar\Quorum Business Solutions\Ecopetrol Prometeo - Documents\Planning Space Implementation\3. Analysis &amp; Design\Design\FC22\DRR Jaime\Neiva CPI\[VAO_DINA TERCIARIOS_CF_SEC_20230117.xlsx]CF PS'!$DI$44</t>
  </si>
  <si>
    <t>='C:\Users\jaime.benazar\Quorum Business Solutions\Ecopetrol Prometeo - Documents\Planning Space Implementation\3. Analysis &amp; Design\Design\FC22\DRR Jaime\Neiva CPI\[VAO_DINA TERCIARIOS_CF_SEC_20230117.xlsx]CF PS'!$DI$45</t>
  </si>
  <si>
    <t>='C:\Users\jaime.benazar\Quorum Business Solutions\Ecopetrol Prometeo - Documents\Planning Space Implementation\3. Analysis &amp; Design\Design\FC22\DRR Jaime\Neiva CPI\[VAO_DINA TERCIARIOS_CF_SEC_20230117.xlsx]CF PS'!$DI$46</t>
  </si>
  <si>
    <t>='C:\Users\jaime.benazar\Quorum Business Solutions\Ecopetrol Prometeo - Documents\Planning Space Implementation\3. Analysis &amp; Design\Design\FC22\DRR Jaime\Neiva CPI\[VAO_DINA TERCIARIOS_CF_SEC_20230117.xlsx]CF PS'!$DI$47</t>
  </si>
  <si>
    <t>='C:\Users\jaime.benazar\Quorum Business Solutions\Ecopetrol Prometeo - Documents\Planning Space Implementation\3. Analysis &amp; Design\Design\FC22\DRR Jaime\Neiva CPI\[VAO_DINA TERCIARIOS_CF_SEC_20230117.xlsx]CF PS'!$DI$48</t>
  </si>
  <si>
    <t>='C:\Users\jaime.benazar\Quorum Business Solutions\Ecopetrol Prometeo - Documents\Planning Space Implementation\3. Analysis &amp; Design\Design\FC22\DRR Jaime\Neiva CPI\[VAO_DINA TERCIARIOS_CF_SEC_20230117.xlsx]CF PS'!$DI$49</t>
  </si>
  <si>
    <t>='C:\Users\jaime.benazar\Quorum Business Solutions\Ecopetrol Prometeo - Documents\Planning Space Implementation\3. Analysis &amp; Design\Design\FC22\DRR Jaime\Neiva CPI\[VAO_DINA TERCIARIOS_CF_SEC_20230117.xlsx]CF PS'!$DI$50</t>
  </si>
  <si>
    <t>='C:\Users\jaime.benazar\Quorum Business Solutions\Ecopetrol Prometeo - Documents\Planning Space Implementation\3. Analysis &amp; Design\Design\FC22\DRR Jaime\Neiva CPI\[VAO_DINA TERCIARIOS_CF_SEC_20230117.xlsx]CF PS'!$DI$51</t>
  </si>
  <si>
    <t>='C:\Users\jaime.benazar\Quorum Business Solutions\Ecopetrol Prometeo - Documents\Planning Space Implementation\3. Analysis &amp; Design\Design\FC22\DRR Jaime\Neiva CPI\[VAO_DINA TERCIARIOS_CF_SEC_20230117.xlsx]CF PS'!$DI$52</t>
  </si>
  <si>
    <t>='C:\Users\jaime.benazar\Quorum Business Solutions\Ecopetrol Prometeo - Documents\Planning Space Implementation\3. Analysis &amp; Design\Design\FC22\DRR Jaime\Neiva CPI\[VAO_DINA TERCIARIOS_CF_SEC_20230117.xlsx]CF PS'!$DI$53</t>
  </si>
  <si>
    <t>='C:\Users\jaime.benazar\Quorum Business Solutions\Ecopetrol Prometeo - Documents\Planning Space Implementation\3. Analysis &amp; Design\Design\FC22\DRR Jaime\Neiva CPI\[VAO_DINA TERCIARIOS_CF_SEC_20230117.xlsx]CF PS'!$DI$54</t>
  </si>
  <si>
    <t>='C:\Users\jaime.benazar\Quorum Business Solutions\Ecopetrol Prometeo - Documents\Planning Space Implementation\3. Analysis &amp; Design\Design\FC22\DRR Jaime\Neiva CPI\[VAO_DINA TERCIARIOS_CF_SEC_20230117.xlsx]CF PS'!$DI$55</t>
  </si>
  <si>
    <t>='C:\Users\jaime.benazar\Quorum Business Solutions\Ecopetrol Prometeo - Documents\Planning Space Implementation\3. Analysis &amp; Design\Design\FC22\DRR Jaime\Neiva CPI\[VAO_DINA TERCIARIOS_CF_SEC_20230117.xlsx]CF PS'!$DI$56</t>
  </si>
  <si>
    <t>='C:\Users\jaime.benazar\Quorum Business Solutions\Ecopetrol Prometeo - Documents\Planning Space Implementation\3. Analysis &amp; Design\Design\FC22\DRR Jaime\Neiva CPI\[VAO_DINA TERCIARIOS_CF_SEC_20230117.xlsx]CF PS'!$DI$57</t>
  </si>
  <si>
    <t>='C:\Users\jaime.benazar\Quorum Business Solutions\Ecopetrol Prometeo - Documents\Planning Space Implementation\3. Analysis &amp; Design\Design\FC22\DRR Jaime\Neiva CPI\[VAO_DINA TERCIARIOS_CF_SEC_20230117.xlsx]CF PS'!$DI$58</t>
  </si>
  <si>
    <t>='C:\Users\jaime.benazar\Quorum Business Solutions\Ecopetrol Prometeo - Documents\Planning Space Implementation\3. Analysis &amp; Design\Design\FC22\DRR Jaime\Neiva CPI\[VAO_DINA TERCIARIOS_CF_SEC_20230117.xlsx]CF PS'!$DI$59</t>
  </si>
  <si>
    <t>='C:\Users\jaime.benazar\Quorum Business Solutions\Ecopetrol Prometeo - Documents\Planning Space Implementation\3. Analysis &amp; Design\Design\FC22\DRR Jaime\Neiva CPI\[VAO_DINA TERCIARIOS_CF_SEC_20230117.xlsx]CF PS'!$DI$60</t>
  </si>
  <si>
    <t>='C:\Users\jaime.benazar\Quorum Business Solutions\Ecopetrol Prometeo - Documents\Planning Space Implementation\3. Analysis &amp; Design\Design\FC22\DRR Jaime\Neiva CPI\[VAO_DINA TERCIARIOS_CF_SEC_20230117.xlsx]CF PS'!$DI$61</t>
  </si>
  <si>
    <t>='C:\Users\jaime.benazar\Quorum Business Solutions\Ecopetrol Prometeo - Documents\Planning Space Implementation\3. Analysis &amp; Design\Design\FC22\DRR Jaime\Neiva CPI\[VAO_DINA TERCIARIOS_CF_SEC_20230117.xlsx]CF PS'!$DI$62</t>
  </si>
  <si>
    <t>='C:\Users\jaime.benazar\Quorum Business Solutions\Ecopetrol Prometeo - Documents\Planning Space Implementation\3. Analysis &amp; Design\Design\FC22\DRR Jaime\Neiva CPI\[VAO_DINA TERCIARIOS_CF_SEC_20230117.xlsx]CF PS'!$DI$63</t>
  </si>
  <si>
    <t>='C:\Users\jaime.benazar\Quorum Business Solutions\Ecopetrol Prometeo - Documents\Planning Space Implementation\3. Analysis &amp; Design\Design\FC22\DRR Jaime\Neiva CPI\[VAO_DINA TERCIARIOS_CF_SEC_20230117.xlsx]CF PS'!$DI$64</t>
  </si>
  <si>
    <t>='C:\Users\jaime.benazar\Quorum Business Solutions\Ecopetrol Prometeo - Documents\Planning Space Implementation\3. Analysis &amp; Design\Design\FC22\DRR Jaime\Neiva CPI\[VAO_DINA TERCIARIOS_CF_SEC_20230117.xlsx]CF PS'!$DI$65</t>
  </si>
  <si>
    <t>='C:\Users\jaime.benazar\Quorum Business Solutions\Ecopetrol Prometeo - Documents\Planning Space Implementation\3. Analysis &amp; Design\Design\FC22\DRR Jaime\Neiva CPI\[VAO_DINA TERCIARIOS_CF_SEC_20230117.xlsx]CF PS'!$DI$66</t>
  </si>
  <si>
    <t>='C:\Users\jaime.benazar\Quorum Business Solutions\Ecopetrol Prometeo - Documents\Planning Space Implementation\3. Analysis &amp; Design\Design\FC22\DRR Jaime\Neiva CPI\[VAO_DINA TERCIARIOS_CF_SEC_20230117.xlsx]CF PS'!$DI$67</t>
  </si>
  <si>
    <t>='C:\Users\jaime.benazar\Quorum Business Solutions\Ecopetrol Prometeo - Documents\Planning Space Implementation\3. Analysis &amp; Design\Design\FC22\DRR Jaime\Neiva CPI\[VAO_DINA TERCIARIOS_CF_SEC_20230117.xlsx]CF PS'!$DI$68</t>
  </si>
  <si>
    <t>='C:\Users\jaime.benazar\Quorum Business Solutions\Ecopetrol Prometeo - Documents\Planning Space Implementation\3. Analysis &amp; Design\Design\FC22\DRR Jaime\Neiva CPI\[VAO_DINA TERCIARIOS_CF_SEC_20230117.xlsx]CF PS'!$DI$69</t>
  </si>
  <si>
    <t>='C:\Users\jaime.benazar\Quorum Business Solutions\Ecopetrol Prometeo - Documents\Planning Space Implementation\3. Analysis &amp; Design\Design\FC22\DRR Jaime\Neiva CPI\[VAO_DINA TERCIARIOS_CF_SEC_20230117.xlsx]CF PS'!$DI$70</t>
  </si>
  <si>
    <t>='C:\Users\jaime.benazar\Quorum Business Solutions\Ecopetrol Prometeo - Documents\Planning Space Implementation\3. Analysis &amp; Design\Design\FC22\DRR Jaime\Neiva CPI\[VAO_DINA TERCIARIOS_CF_SEC_20230117.xlsx]CF PS'!$DI$71</t>
  </si>
  <si>
    <t>='C:\Users\jaime.benazar\Quorum Business Solutions\Ecopetrol Prometeo - Documents\Planning Space Implementation\3. Analysis &amp; Design\Design\FC22\DRR Jaime\Neiva CPI\[VAO_DINA TERCIARIOS_CF_SEC_20230117.xlsx]CF PS'!$DI$72</t>
  </si>
  <si>
    <t>='C:\Users\jaime.benazar\Quorum Business Solutions\Ecopetrol Prometeo - Documents\Planning Space Implementation\3. Analysis &amp; Design\Design\FC22\DRR Jaime\Neiva CPI\[VAO_DINA TERCIARIOS_CF_SEC_20230117.xlsx]CF PDP'!$BB$36</t>
  </si>
  <si>
    <t>='C:\Users\jaime.benazar\Quorum Business Solutions\Ecopetrol Prometeo - Documents\Planning Space Implementation\3. Analysis &amp; Design\Design\FC22\DRR Jaime\Neiva CPI\[VAO_DINA TERCIARIOS_CF_SEC_20230117.xlsx]CF PDP'!$BB$37</t>
  </si>
  <si>
    <t>='C:\Users\jaime.benazar\Quorum Business Solutions\Ecopetrol Prometeo - Documents\Planning Space Implementation\3. Analysis &amp; Design\Design\FC22\DRR Jaime\Neiva CPI\[VAO_DINA TERCIARIOS_CF_SEC_20230117.xlsx]CF PDP'!$BB$38</t>
  </si>
  <si>
    <t>='C:\Users\jaime.benazar\Quorum Business Solutions\Ecopetrol Prometeo - Documents\Planning Space Implementation\3. Analysis &amp; Design\Design\FC22\DRR Jaime\Neiva CPI\[VAO_DINA TERCIARIOS_CF_SEC_20230117.xlsx]CF PDP'!$BB$39</t>
  </si>
  <si>
    <t>='C:\Users\jaime.benazar\Quorum Business Solutions\Ecopetrol Prometeo - Documents\Planning Space Implementation\3. Analysis &amp; Design\Design\FC22\DRR Jaime\Neiva CPI\[VAO_DINA TERCIARIOS_CF_SEC_20230117.xlsx]CF PDP'!$BB$40</t>
  </si>
  <si>
    <t>='C:\Users\jaime.benazar\Quorum Business Solutions\Ecopetrol Prometeo - Documents\Planning Space Implementation\3. Analysis &amp; Design\Design\FC22\DRR Jaime\Neiva CPI\[VAO_DINA TERCIARIOS_CF_SEC_20230117.xlsx]CF PDP'!$BB$41</t>
  </si>
  <si>
    <t>='C:\Users\jaime.benazar\Quorum Business Solutions\Ecopetrol Prometeo - Documents\Planning Space Implementation\3. Analysis &amp; Design\Design\FC22\DRR Jaime\Neiva CPI\[VAO_DINA TERCIARIOS_CF_SEC_20230117.xlsx]CF PDP'!$BB$42</t>
  </si>
  <si>
    <t>='C:\Users\jaime.benazar\Quorum Business Solutions\Ecopetrol Prometeo - Documents\Planning Space Implementation\3. Analysis &amp; Design\Design\FC22\DRR Jaime\Neiva CPI\[VAO_DINA TERCIARIOS_CF_SEC_20230117.xlsx]CF PDP'!$BB$43</t>
  </si>
  <si>
    <t>='C:\Users\jaime.benazar\Quorum Business Solutions\Ecopetrol Prometeo - Documents\Planning Space Implementation\3. Analysis &amp; Design\Design\FC22\DRR Jaime\Neiva CPI\[VAO_DINA TERCIARIOS_CF_SEC_20230117.xlsx]CF PDP'!$BB$44</t>
  </si>
  <si>
    <t>='C:\Users\jaime.benazar\Quorum Business Solutions\Ecopetrol Prometeo - Documents\Planning Space Implementation\3. Analysis &amp; Design\Design\FC22\DRR Jaime\Neiva CPI\[VAO_DINA TERCIARIOS_CF_SEC_20230117.xlsx]CF PDP'!$BB$45</t>
  </si>
  <si>
    <t>='C:\Users\jaime.benazar\Quorum Business Solutions\Ecopetrol Prometeo - Documents\Planning Space Implementation\3. Analysis &amp; Design\Design\FC22\DRR Jaime\Neiva CPI\[VAO_DINA TERCIARIOS_CF_SEC_20230117.xlsx]CF PDP'!$BB$46</t>
  </si>
  <si>
    <t>='C:\Users\jaime.benazar\Quorum Business Solutions\Ecopetrol Prometeo - Documents\Planning Space Implementation\3. Analysis &amp; Design\Design\FC22\DRR Jaime\Neiva CPI\[VAO_DINA TERCIARIOS_CF_SEC_20230117.xlsx]CF PDP'!$BB$47</t>
  </si>
  <si>
    <t>='C:\Users\jaime.benazar\Quorum Business Solutions\Ecopetrol Prometeo - Documents\Planning Space Implementation\3. Analysis &amp; Design\Design\FC22\DRR Jaime\Neiva CPI\[VAO_DINA TERCIARIOS_CF_SEC_20230117.xlsx]CF PDP'!$BB$48</t>
  </si>
  <si>
    <t>='C:\Users\jaime.benazar\Quorum Business Solutions\Ecopetrol Prometeo - Documents\Planning Space Implementation\3. Analysis &amp; Design\Design\FC22\DRR Jaime\Neiva CPI\[VAO_DINA TERCIARIOS_CF_SEC_20230117.xlsx]CF PDP'!$BB$49</t>
  </si>
  <si>
    <t>='C:\Users\jaime.benazar\Quorum Business Solutions\Ecopetrol Prometeo - Documents\Planning Space Implementation\3. Analysis &amp; Design\Design\FC22\DRR Jaime\Neiva CPI\[VAO_DINA TERCIARIOS_CF_SEC_20230117.xlsx]CF PDP'!$BB$50</t>
  </si>
  <si>
    <t>='C:\Users\jaime.benazar\Quorum Business Solutions\Ecopetrol Prometeo - Documents\Planning Space Implementation\3. Analysis &amp; Design\Design\FC22\DRR Jaime\Neiva CPI\[VAO_DINA TERCIARIOS_CF_SEC_20230117.xlsx]CF PDP'!$BB$51</t>
  </si>
  <si>
    <t>='C:\Users\jaime.benazar\Quorum Business Solutions\Ecopetrol Prometeo - Documents\Planning Space Implementation\3. Analysis &amp; Design\Design\FC22\DRR Jaime\Neiva CPI\[VAO_DINA TERCIARIOS_CF_SEC_20230117.xlsx]CF PDP'!$BB$52</t>
  </si>
  <si>
    <t>='C:\Users\jaime.benazar\Quorum Business Solutions\Ecopetrol Prometeo - Documents\Planning Space Implementation\3. Analysis &amp; Design\Design\FC22\DRR Jaime\Neiva CPI\[VAO_DINA TERCIARIOS_CF_SEC_20230117.xlsx]CF PDP'!$BB$53</t>
  </si>
  <si>
    <t>='C:\Users\jaime.benazar\Quorum Business Solutions\Ecopetrol Prometeo - Documents\Planning Space Implementation\3. Analysis &amp; Design\Design\FC22\DRR Jaime\Neiva CPI\[VAO_DINA TERCIARIOS_CF_SEC_20230117.xlsx]CF PDP'!$BB$54</t>
  </si>
  <si>
    <t>='C:\Users\jaime.benazar\Quorum Business Solutions\Ecopetrol Prometeo - Documents\Planning Space Implementation\3. Analysis &amp; Design\Design\FC22\DRR Jaime\Neiva CPI\[VAO_DINA TERCIARIOS_CF_SEC_20230117.xlsx]CF PDP'!$BB$55</t>
  </si>
  <si>
    <t>='C:\Users\jaime.benazar\Quorum Business Solutions\Ecopetrol Prometeo - Documents\Planning Space Implementation\3. Analysis &amp; Design\Design\FC22\DRR Jaime\Neiva CPI\[VAO_DINA TERCIARIOS_CF_SEC_20230117.xlsx]CF PDP'!$BB$56</t>
  </si>
  <si>
    <t>='C:\Users\jaime.benazar\Quorum Business Solutions\Ecopetrol Prometeo - Documents\Planning Space Implementation\3. Analysis &amp; Design\Design\FC22\DRR Jaime\Neiva CPI\[VAO_DINA TERCIARIOS_CF_SEC_20230117.xlsx]CF PDP'!$BB$57</t>
  </si>
  <si>
    <t>='C:\Users\jaime.benazar\Quorum Business Solutions\Ecopetrol Prometeo - Documents\Planning Space Implementation\3. Analysis &amp; Design\Design\FC22\DRR Jaime\Neiva CPI\[VAO_DINA TERCIARIOS_CF_SEC_20230117.xlsx]CF PDP'!$BB$58</t>
  </si>
  <si>
    <t>='C:\Users\jaime.benazar\Quorum Business Solutions\Ecopetrol Prometeo - Documents\Planning Space Implementation\3. Analysis &amp; Design\Design\FC22\DRR Jaime\Neiva CPI\[VAO_DINA TERCIARIOS_CF_SEC_20230117.xlsx]CF PDP'!$BB$59</t>
  </si>
  <si>
    <t>='C:\Users\jaime.benazar\Quorum Business Solutions\Ecopetrol Prometeo - Documents\Planning Space Implementation\3. Analysis &amp; Design\Design\FC22\DRR Jaime\Neiva CPI\[VAO_DINA TERCIARIOS_CF_SEC_20230117.xlsx]CF PDP'!$BB$60</t>
  </si>
  <si>
    <t>='C:\Users\jaime.benazar\Quorum Business Solutions\Ecopetrol Prometeo - Documents\Planning Space Implementation\3. Analysis &amp; Design\Design\FC22\DRR Jaime\Neiva CPI\[VAO_DINA TERCIARIOS_CF_SEC_20230117.xlsx]CF PDP'!$BB$61</t>
  </si>
  <si>
    <t>='C:\Users\jaime.benazar\Quorum Business Solutions\Ecopetrol Prometeo - Documents\Planning Space Implementation\3. Analysis &amp; Design\Design\FC22\DRR Jaime\Neiva CPI\[VAO_DINA TERCIARIOS_CF_SEC_20230117.xlsx]CF PDP'!$BB$62</t>
  </si>
  <si>
    <t>='C:\Users\jaime.benazar\Quorum Business Solutions\Ecopetrol Prometeo - Documents\Planning Space Implementation\3. Analysis &amp; Design\Design\FC22\DRR Jaime\Neiva CPI\[VAO_DINA TERCIARIOS_CF_SEC_20230117.xlsx]CF PDP'!$BB$63</t>
  </si>
  <si>
    <t>='C:\Users\jaime.benazar\Quorum Business Solutions\Ecopetrol Prometeo - Documents\Planning Space Implementation\3. Analysis &amp; Design\Design\FC22\DRR Jaime\Neiva CPI\[VAO_DINA TERCIARIOS_CF_SEC_20230117.xlsx]CF PDP'!$BB$64</t>
  </si>
  <si>
    <t>='C:\Users\jaime.benazar\Quorum Business Solutions\Ecopetrol Prometeo - Documents\Planning Space Implementation\3. Analysis &amp; Design\Design\FC22\DRR Jaime\Neiva CPI\[VAO_DINA TERCIARIOS_CF_SEC_20230117.xlsx]CF PDP'!$BB$65</t>
  </si>
  <si>
    <t>='C:\Users\jaime.benazar\Quorum Business Solutions\Ecopetrol Prometeo - Documents\Planning Space Implementation\3. Analysis &amp; Design\Design\FC22\DRR Jaime\Neiva CPI\[VAO_DINA TERCIARIOS_CF_SEC_20230117.xlsx]CF PDP'!$BB$66</t>
  </si>
  <si>
    <t>='C:\Users\jaime.benazar\Quorum Business Solutions\Ecopetrol Prometeo - Documents\Planning Space Implementation\3. Analysis &amp; Design\Design\FC22\DRR Jaime\Neiva CPI\[VAO_DINA TERCIARIOS_CF_SEC_20230117.xlsx]CF PDP'!$BB$67</t>
  </si>
  <si>
    <t>='C:\Users\jaime.benazar\Quorum Business Solutions\Ecopetrol Prometeo - Documents\Planning Space Implementation\3. Analysis &amp; Design\Design\FC22\DRR Jaime\Neiva CPI\[VAO_DINA TERCIARIOS_CF_SEC_20230117.xlsx]CF PDP'!$BB$68</t>
  </si>
  <si>
    <t>='C:\Users\jaime.benazar\Quorum Business Solutions\Ecopetrol Prometeo - Documents\Planning Space Implementation\3. Analysis &amp; Design\Design\FC22\DRR Jaime\Neiva CPI\[VAO_DINA TERCIARIOS_CF_SEC_20230117.xlsx]CF PDP'!$BB$69</t>
  </si>
  <si>
    <t>='C:\Users\jaime.benazar\Quorum Business Solutions\Ecopetrol Prometeo - Documents\Planning Space Implementation\3. Analysis &amp; Design\Design\FC22\DRR Jaime\Neiva CPI\[VAO_DINA TERCIARIOS_CF_SEC_20230117.xlsx]CF PDP'!$BB$70</t>
  </si>
  <si>
    <t>='C:\Users\jaime.benazar\Quorum Business Solutions\Ecopetrol Prometeo - Documents\Planning Space Implementation\3. Analysis &amp; Design\Design\FC22\DRR Jaime\Neiva CPI\[VAO_DINA TERCIARIOS_CF_SEC_20230117.xlsx]CF PDP'!$BB$71</t>
  </si>
  <si>
    <t>='C:\Users\jaime.benazar\Quorum Business Solutions\Ecopetrol Prometeo - Documents\Planning Space Implementation\3. Analysis &amp; Design\Design\FC22\DRR Jaime\Neiva CPI\[VAO_DINA TERCIARIOS_CF_SEC_20230117.xlsx]CF PDP'!$BB$72</t>
  </si>
  <si>
    <t>='C:\Users\jaime.benazar\Quorum Business Solutions\Ecopetrol Prometeo - Documents\Planning Space Implementation\3. Analysis &amp; Design\Design\FC22\DRR Jaime\Neiva CPI\[VAO_DINA TERCIARIOS_CF_SEC_20230117.xlsx]CF PNP'!$BB$36</t>
  </si>
  <si>
    <t>='C:\Users\jaime.benazar\Quorum Business Solutions\Ecopetrol Prometeo - Documents\Planning Space Implementation\3. Analysis &amp; Design\Design\FC22\DRR Jaime\Neiva CPI\[VAO_DINA TERCIARIOS_CF_SEC_20230117.xlsx]CF PNP'!$BB$37</t>
  </si>
  <si>
    <t>='C:\Users\jaime.benazar\Quorum Business Solutions\Ecopetrol Prometeo - Documents\Planning Space Implementation\3. Analysis &amp; Design\Design\FC22\DRR Jaime\Neiva CPI\[VAO_DINA TERCIARIOS_CF_SEC_20230117.xlsx]CF PNP'!$BB$38</t>
  </si>
  <si>
    <t>='C:\Users\jaime.benazar\Quorum Business Solutions\Ecopetrol Prometeo - Documents\Planning Space Implementation\3. Analysis &amp; Design\Design\FC22\DRR Jaime\Neiva CPI\[VAO_DINA TERCIARIOS_CF_SEC_20230117.xlsx]CF PNP'!$BB$39</t>
  </si>
  <si>
    <t>='C:\Users\jaime.benazar\Quorum Business Solutions\Ecopetrol Prometeo - Documents\Planning Space Implementation\3. Analysis &amp; Design\Design\FC22\DRR Jaime\Neiva CPI\[VAO_DINA TERCIARIOS_CF_SEC_20230117.xlsx]CF PNP'!$BB$40</t>
  </si>
  <si>
    <t>='C:\Users\jaime.benazar\Quorum Business Solutions\Ecopetrol Prometeo - Documents\Planning Space Implementation\3. Analysis &amp; Design\Design\FC22\DRR Jaime\Neiva CPI\[VAO_DINA TERCIARIOS_CF_SEC_20230117.xlsx]CF PNP'!$BB$41</t>
  </si>
  <si>
    <t>='C:\Users\jaime.benazar\Quorum Business Solutions\Ecopetrol Prometeo - Documents\Planning Space Implementation\3. Analysis &amp; Design\Design\FC22\DRR Jaime\Neiva CPI\[VAO_DINA TERCIARIOS_CF_SEC_20230117.xlsx]CF PNP'!$BB$42</t>
  </si>
  <si>
    <t>='C:\Users\jaime.benazar\Quorum Business Solutions\Ecopetrol Prometeo - Documents\Planning Space Implementation\3. Analysis &amp; Design\Design\FC22\DRR Jaime\Neiva CPI\[VAO_DINA TERCIARIOS_CF_SEC_20230117.xlsx]CF PNP'!$BB$43</t>
  </si>
  <si>
    <t>='C:\Users\jaime.benazar\Quorum Business Solutions\Ecopetrol Prometeo - Documents\Planning Space Implementation\3. Analysis &amp; Design\Design\FC22\DRR Jaime\Neiva CPI\[VAO_DINA TERCIARIOS_CF_SEC_20230117.xlsx]CF PNP'!$BB$44</t>
  </si>
  <si>
    <t>='C:\Users\jaime.benazar\Quorum Business Solutions\Ecopetrol Prometeo - Documents\Planning Space Implementation\3. Analysis &amp; Design\Design\FC22\DRR Jaime\Neiva CPI\[VAO_DINA TERCIARIOS_CF_SEC_20230117.xlsx]CF PNP'!$BB$45</t>
  </si>
  <si>
    <t>='C:\Users\jaime.benazar\Quorum Business Solutions\Ecopetrol Prometeo - Documents\Planning Space Implementation\3. Analysis &amp; Design\Design\FC22\DRR Jaime\Neiva CPI\[VAO_DINA TERCIARIOS_CF_SEC_20230117.xlsx]CF PNP'!$BB$46</t>
  </si>
  <si>
    <t>='C:\Users\jaime.benazar\Quorum Business Solutions\Ecopetrol Prometeo - Documents\Planning Space Implementation\3. Analysis &amp; Design\Design\FC22\DRR Jaime\Neiva CPI\[VAO_DINA TERCIARIOS_CF_SEC_20230117.xlsx]CF PNP'!$BB$47</t>
  </si>
  <si>
    <t>='C:\Users\jaime.benazar\Quorum Business Solutions\Ecopetrol Prometeo - Documents\Planning Space Implementation\3. Analysis &amp; Design\Design\FC22\DRR Jaime\Neiva CPI\[VAO_DINA TERCIARIOS_CF_SEC_20230117.xlsx]CF PNP'!$BB$48</t>
  </si>
  <si>
    <t>='C:\Users\jaime.benazar\Quorum Business Solutions\Ecopetrol Prometeo - Documents\Planning Space Implementation\3. Analysis &amp; Design\Design\FC22\DRR Jaime\Neiva CPI\[VAO_DINA TERCIARIOS_CF_SEC_20230117.xlsx]CF PNP'!$BB$49</t>
  </si>
  <si>
    <t>='C:\Users\jaime.benazar\Quorum Business Solutions\Ecopetrol Prometeo - Documents\Planning Space Implementation\3. Analysis &amp; Design\Design\FC22\DRR Jaime\Neiva CPI\[VAO_DINA TERCIARIOS_CF_SEC_20230117.xlsx]CF PNP'!$BB$50</t>
  </si>
  <si>
    <t>='C:\Users\jaime.benazar\Quorum Business Solutions\Ecopetrol Prometeo - Documents\Planning Space Implementation\3. Analysis &amp; Design\Design\FC22\DRR Jaime\Neiva CPI\[VAO_DINA TERCIARIOS_CF_SEC_20230117.xlsx]CF PNP'!$BB$51</t>
  </si>
  <si>
    <t>='C:\Users\jaime.benazar\Quorum Business Solutions\Ecopetrol Prometeo - Documents\Planning Space Implementation\3. Analysis &amp; Design\Design\FC22\DRR Jaime\Neiva CPI\[VAO_DINA TERCIARIOS_CF_SEC_20230117.xlsx]CF PNP'!$BB$52</t>
  </si>
  <si>
    <t>='C:\Users\jaime.benazar\Quorum Business Solutions\Ecopetrol Prometeo - Documents\Planning Space Implementation\3. Analysis &amp; Design\Design\FC22\DRR Jaime\Neiva CPI\[VAO_DINA TERCIARIOS_CF_SEC_20230117.xlsx]CF PNP'!$BB$53</t>
  </si>
  <si>
    <t>='C:\Users\jaime.benazar\Quorum Business Solutions\Ecopetrol Prometeo - Documents\Planning Space Implementation\3. Analysis &amp; Design\Design\FC22\DRR Jaime\Neiva CPI\[VAO_DINA TERCIARIOS_CF_SEC_20230117.xlsx]CF PNP'!$BB$54</t>
  </si>
  <si>
    <t>='C:\Users\jaime.benazar\Quorum Business Solutions\Ecopetrol Prometeo - Documents\Planning Space Implementation\3. Analysis &amp; Design\Design\FC22\DRR Jaime\Neiva CPI\[VAO_DINA TERCIARIOS_CF_SEC_20230117.xlsx]CF PNP'!$BB$55</t>
  </si>
  <si>
    <t>='C:\Users\jaime.benazar\Quorum Business Solutions\Ecopetrol Prometeo - Documents\Planning Space Implementation\3. Analysis &amp; Design\Design\FC22\DRR Jaime\Neiva CPI\[VAO_DINA TERCIARIOS_CF_SEC_20230117.xlsx]CF PNP'!$BB$56</t>
  </si>
  <si>
    <t>='C:\Users\jaime.benazar\Quorum Business Solutions\Ecopetrol Prometeo - Documents\Planning Space Implementation\3. Analysis &amp; Design\Design\FC22\DRR Jaime\Neiva CPI\[VAO_DINA TERCIARIOS_CF_SEC_20230117.xlsx]CF PNP'!$BB$57</t>
  </si>
  <si>
    <t>='C:\Users\jaime.benazar\Quorum Business Solutions\Ecopetrol Prometeo - Documents\Planning Space Implementation\3. Analysis &amp; Design\Design\FC22\DRR Jaime\Neiva CPI\[VAO_DINA TERCIARIOS_CF_SEC_20230117.xlsx]CF PNP'!$BB$58</t>
  </si>
  <si>
    <t>='C:\Users\jaime.benazar\Quorum Business Solutions\Ecopetrol Prometeo - Documents\Planning Space Implementation\3. Analysis &amp; Design\Design\FC22\DRR Jaime\Neiva CPI\[VAO_DINA TERCIARIOS_CF_SEC_20230117.xlsx]CF PNP'!$BB$59</t>
  </si>
  <si>
    <t>='C:\Users\jaime.benazar\Quorum Business Solutions\Ecopetrol Prometeo - Documents\Planning Space Implementation\3. Analysis &amp; Design\Design\FC22\DRR Jaime\Neiva CPI\[VAO_DINA TERCIARIOS_CF_SEC_20230117.xlsx]CF PNP'!$BB$60</t>
  </si>
  <si>
    <t>='C:\Users\jaime.benazar\Quorum Business Solutions\Ecopetrol Prometeo - Documents\Planning Space Implementation\3. Analysis &amp; Design\Design\FC22\DRR Jaime\Neiva CPI\[VAO_DINA TERCIARIOS_CF_SEC_20230117.xlsx]CF PNP'!$BB$61</t>
  </si>
  <si>
    <t>='C:\Users\jaime.benazar\Quorum Business Solutions\Ecopetrol Prometeo - Documents\Planning Space Implementation\3. Analysis &amp; Design\Design\FC22\DRR Jaime\Neiva CPI\[VAO_DINA TERCIARIOS_CF_SEC_20230117.xlsx]CF PNP'!$BB$62</t>
  </si>
  <si>
    <t>='C:\Users\jaime.benazar\Quorum Business Solutions\Ecopetrol Prometeo - Documents\Planning Space Implementation\3. Analysis &amp; Design\Design\FC22\DRR Jaime\Neiva CPI\[VAO_DINA TERCIARIOS_CF_SEC_20230117.xlsx]CF PNP'!$BB$63</t>
  </si>
  <si>
    <t>='C:\Users\jaime.benazar\Quorum Business Solutions\Ecopetrol Prometeo - Documents\Planning Space Implementation\3. Analysis &amp; Design\Design\FC22\DRR Jaime\Neiva CPI\[VAO_DINA TERCIARIOS_CF_SEC_20230117.xlsx]CF PNP'!$BB$64</t>
  </si>
  <si>
    <t>='C:\Users\jaime.benazar\Quorum Business Solutions\Ecopetrol Prometeo - Documents\Planning Space Implementation\3. Analysis &amp; Design\Design\FC22\DRR Jaime\Neiva CPI\[VAO_DINA TERCIARIOS_CF_SEC_20230117.xlsx]CF PNP'!$BB$65</t>
  </si>
  <si>
    <t>='C:\Users\jaime.benazar\Quorum Business Solutions\Ecopetrol Prometeo - Documents\Planning Space Implementation\3. Analysis &amp; Design\Design\FC22\DRR Jaime\Neiva CPI\[VAO_DINA TERCIARIOS_CF_SEC_20230117.xlsx]CF PNP'!$BB$66</t>
  </si>
  <si>
    <t>='C:\Users\jaime.benazar\Quorum Business Solutions\Ecopetrol Prometeo - Documents\Planning Space Implementation\3. Analysis &amp; Design\Design\FC22\DRR Jaime\Neiva CPI\[VAO_DINA TERCIARIOS_CF_SEC_20230117.xlsx]CF PNP'!$BB$67</t>
  </si>
  <si>
    <t>='C:\Users\jaime.benazar\Quorum Business Solutions\Ecopetrol Prometeo - Documents\Planning Space Implementation\3. Analysis &amp; Design\Design\FC22\DRR Jaime\Neiva CPI\[VAO_DINA TERCIARIOS_CF_SEC_20230117.xlsx]CF PNP'!$BB$68</t>
  </si>
  <si>
    <t>='C:\Users\jaime.benazar\Quorum Business Solutions\Ecopetrol Prometeo - Documents\Planning Space Implementation\3. Analysis &amp; Design\Design\FC22\DRR Jaime\Neiva CPI\[VAO_DINA TERCIARIOS_CF_SEC_20230117.xlsx]CF PNP'!$BB$69</t>
  </si>
  <si>
    <t>='C:\Users\jaime.benazar\Quorum Business Solutions\Ecopetrol Prometeo - Documents\Planning Space Implementation\3. Analysis &amp; Design\Design\FC22\DRR Jaime\Neiva CPI\[VAO_DINA TERCIARIOS_CF_SEC_20230117.xlsx]CF PNP'!$BB$70</t>
  </si>
  <si>
    <t>='C:\Users\jaime.benazar\Quorum Business Solutions\Ecopetrol Prometeo - Documents\Planning Space Implementation\3. Analysis &amp; Design\Design\FC22\DRR Jaime\Neiva CPI\[VAO_DINA TERCIARIOS_CF_SEC_20230117.xlsx]CF PNP'!$BB$71</t>
  </si>
  <si>
    <t>='C:\Users\jaime.benazar\Quorum Business Solutions\Ecopetrol Prometeo - Documents\Planning Space Implementation\3. Analysis &amp; Design\Design\FC22\DRR Jaime\Neiva CPI\[VAO_DINA TERCIARIOS_CF_SEC_20230117.xlsx]CF PNP'!$BB$72</t>
  </si>
  <si>
    <t>='C:\Users\jaime.benazar\Quorum Business Solutions\Ecopetrol Prometeo - Documents\Planning Space Implementation\3. Analysis &amp; Design\Design\FC22\DRR Jaime\Neiva CPI\[VAO_DINA TERCIARIOS_CF_SEC_20230117.xlsx]CF PND'!$BB$36</t>
  </si>
  <si>
    <t>='C:\Users\jaime.benazar\Quorum Business Solutions\Ecopetrol Prometeo - Documents\Planning Space Implementation\3. Analysis &amp; Design\Design\FC22\DRR Jaime\Neiva CPI\[VAO_DINA TERCIARIOS_CF_SEC_20230117.xlsx]CF PND'!$BB$37</t>
  </si>
  <si>
    <t>='C:\Users\jaime.benazar\Quorum Business Solutions\Ecopetrol Prometeo - Documents\Planning Space Implementation\3. Analysis &amp; Design\Design\FC22\DRR Jaime\Neiva CPI\[VAO_DINA TERCIARIOS_CF_SEC_20230117.xlsx]CF PND'!$BB$38</t>
  </si>
  <si>
    <t>='C:\Users\jaime.benazar\Quorum Business Solutions\Ecopetrol Prometeo - Documents\Planning Space Implementation\3. Analysis &amp; Design\Design\FC22\DRR Jaime\Neiva CPI\[VAO_DINA TERCIARIOS_CF_SEC_20230117.xlsx]CF PND'!$BB$39</t>
  </si>
  <si>
    <t>='C:\Users\jaime.benazar\Quorum Business Solutions\Ecopetrol Prometeo - Documents\Planning Space Implementation\3. Analysis &amp; Design\Design\FC22\DRR Jaime\Neiva CPI\[VAO_DINA TERCIARIOS_CF_SEC_20230117.xlsx]CF PND'!$BB$40</t>
  </si>
  <si>
    <t>='C:\Users\jaime.benazar\Quorum Business Solutions\Ecopetrol Prometeo - Documents\Planning Space Implementation\3. Analysis &amp; Design\Design\FC22\DRR Jaime\Neiva CPI\[VAO_DINA TERCIARIOS_CF_SEC_20230117.xlsx]CF PND'!$BB$41</t>
  </si>
  <si>
    <t>='C:\Users\jaime.benazar\Quorum Business Solutions\Ecopetrol Prometeo - Documents\Planning Space Implementation\3. Analysis &amp; Design\Design\FC22\DRR Jaime\Neiva CPI\[VAO_DINA TERCIARIOS_CF_SEC_20230117.xlsx]CF PND'!$BB$42</t>
  </si>
  <si>
    <t>='C:\Users\jaime.benazar\Quorum Business Solutions\Ecopetrol Prometeo - Documents\Planning Space Implementation\3. Analysis &amp; Design\Design\FC22\DRR Jaime\Neiva CPI\[VAO_DINA TERCIARIOS_CF_SEC_20230117.xlsx]CF PND'!$BB$43</t>
  </si>
  <si>
    <t>='C:\Users\jaime.benazar\Quorum Business Solutions\Ecopetrol Prometeo - Documents\Planning Space Implementation\3. Analysis &amp; Design\Design\FC22\DRR Jaime\Neiva CPI\[VAO_DINA TERCIARIOS_CF_SEC_20230117.xlsx]CF PND'!$BB$44</t>
  </si>
  <si>
    <t>='C:\Users\jaime.benazar\Quorum Business Solutions\Ecopetrol Prometeo - Documents\Planning Space Implementation\3. Analysis &amp; Design\Design\FC22\DRR Jaime\Neiva CPI\[VAO_DINA TERCIARIOS_CF_SEC_20230117.xlsx]CF PND'!$BB$45</t>
  </si>
  <si>
    <t>='C:\Users\jaime.benazar\Quorum Business Solutions\Ecopetrol Prometeo - Documents\Planning Space Implementation\3. Analysis &amp; Design\Design\FC22\DRR Jaime\Neiva CPI\[VAO_DINA TERCIARIOS_CF_SEC_20230117.xlsx]CF PND'!$BB$46</t>
  </si>
  <si>
    <t>='C:\Users\jaime.benazar\Quorum Business Solutions\Ecopetrol Prometeo - Documents\Planning Space Implementation\3. Analysis &amp; Design\Design\FC22\DRR Jaime\Neiva CPI\[VAO_DINA TERCIARIOS_CF_SEC_20230117.xlsx]CF PND'!$BB$47</t>
  </si>
  <si>
    <t>='C:\Users\jaime.benazar\Quorum Business Solutions\Ecopetrol Prometeo - Documents\Planning Space Implementation\3. Analysis &amp; Design\Design\FC22\DRR Jaime\Neiva CPI\[VAO_DINA TERCIARIOS_CF_SEC_20230117.xlsx]CF PND'!$BB$48</t>
  </si>
  <si>
    <t>='C:\Users\jaime.benazar\Quorum Business Solutions\Ecopetrol Prometeo - Documents\Planning Space Implementation\3. Analysis &amp; Design\Design\FC22\DRR Jaime\Neiva CPI\[VAO_DINA TERCIARIOS_CF_SEC_20230117.xlsx]CF PND'!$BB$49</t>
  </si>
  <si>
    <t>='C:\Users\jaime.benazar\Quorum Business Solutions\Ecopetrol Prometeo - Documents\Planning Space Implementation\3. Analysis &amp; Design\Design\FC22\DRR Jaime\Neiva CPI\[VAO_DINA TERCIARIOS_CF_SEC_20230117.xlsx]CF PND'!$BB$50</t>
  </si>
  <si>
    <t>='C:\Users\jaime.benazar\Quorum Business Solutions\Ecopetrol Prometeo - Documents\Planning Space Implementation\3. Analysis &amp; Design\Design\FC22\DRR Jaime\Neiva CPI\[VAO_DINA TERCIARIOS_CF_SEC_20230117.xlsx]CF PND'!$BB$51</t>
  </si>
  <si>
    <t>='C:\Users\jaime.benazar\Quorum Business Solutions\Ecopetrol Prometeo - Documents\Planning Space Implementation\3. Analysis &amp; Design\Design\FC22\DRR Jaime\Neiva CPI\[VAO_DINA TERCIARIOS_CF_SEC_20230117.xlsx]CF PND'!$BB$52</t>
  </si>
  <si>
    <t>='C:\Users\jaime.benazar\Quorum Business Solutions\Ecopetrol Prometeo - Documents\Planning Space Implementation\3. Analysis &amp; Design\Design\FC22\DRR Jaime\Neiva CPI\[VAO_DINA TERCIARIOS_CF_SEC_20230117.xlsx]CF PND'!$BB$53</t>
  </si>
  <si>
    <t>='C:\Users\jaime.benazar\Quorum Business Solutions\Ecopetrol Prometeo - Documents\Planning Space Implementation\3. Analysis &amp; Design\Design\FC22\DRR Jaime\Neiva CPI\[VAO_DINA TERCIARIOS_CF_SEC_20230117.xlsx]CF PND'!$BB$54</t>
  </si>
  <si>
    <t>='C:\Users\jaime.benazar\Quorum Business Solutions\Ecopetrol Prometeo - Documents\Planning Space Implementation\3. Analysis &amp; Design\Design\FC22\DRR Jaime\Neiva CPI\[VAO_DINA TERCIARIOS_CF_SEC_20230117.xlsx]CF PND'!$BB$55</t>
  </si>
  <si>
    <t>='C:\Users\jaime.benazar\Quorum Business Solutions\Ecopetrol Prometeo - Documents\Planning Space Implementation\3. Analysis &amp; Design\Design\FC22\DRR Jaime\Neiva CPI\[VAO_DINA TERCIARIOS_CF_SEC_20230117.xlsx]CF PND'!$BB$56</t>
  </si>
  <si>
    <t>='C:\Users\jaime.benazar\Quorum Business Solutions\Ecopetrol Prometeo - Documents\Planning Space Implementation\3. Analysis &amp; Design\Design\FC22\DRR Jaime\Neiva CPI\[VAO_DINA TERCIARIOS_CF_SEC_20230117.xlsx]CF PND'!$BB$57</t>
  </si>
  <si>
    <t>='C:\Users\jaime.benazar\Quorum Business Solutions\Ecopetrol Prometeo - Documents\Planning Space Implementation\3. Analysis &amp; Design\Design\FC22\DRR Jaime\Neiva CPI\[VAO_DINA TERCIARIOS_CF_SEC_20230117.xlsx]CF PND'!$BB$58</t>
  </si>
  <si>
    <t>='C:\Users\jaime.benazar\Quorum Business Solutions\Ecopetrol Prometeo - Documents\Planning Space Implementation\3. Analysis &amp; Design\Design\FC22\DRR Jaime\Neiva CPI\[VAO_DINA TERCIARIOS_CF_SEC_20230117.xlsx]CF PND'!$BB$59</t>
  </si>
  <si>
    <t>='C:\Users\jaime.benazar\Quorum Business Solutions\Ecopetrol Prometeo - Documents\Planning Space Implementation\3. Analysis &amp; Design\Design\FC22\DRR Jaime\Neiva CPI\[VAO_DINA TERCIARIOS_CF_SEC_20230117.xlsx]CF PND'!$BB$60</t>
  </si>
  <si>
    <t>='C:\Users\jaime.benazar\Quorum Business Solutions\Ecopetrol Prometeo - Documents\Planning Space Implementation\3. Analysis &amp; Design\Design\FC22\DRR Jaime\Neiva CPI\[VAO_DINA TERCIARIOS_CF_SEC_20230117.xlsx]CF PND'!$BB$61</t>
  </si>
  <si>
    <t>='C:\Users\jaime.benazar\Quorum Business Solutions\Ecopetrol Prometeo - Documents\Planning Space Implementation\3. Analysis &amp; Design\Design\FC22\DRR Jaime\Neiva CPI\[VAO_DINA TERCIARIOS_CF_SEC_20230117.xlsx]CF PND'!$BB$62</t>
  </si>
  <si>
    <t>='C:\Users\jaime.benazar\Quorum Business Solutions\Ecopetrol Prometeo - Documents\Planning Space Implementation\3. Analysis &amp; Design\Design\FC22\DRR Jaime\Neiva CPI\[VAO_DINA TERCIARIOS_CF_SEC_20230117.xlsx]CF PND'!$BB$63</t>
  </si>
  <si>
    <t>='C:\Users\jaime.benazar\Quorum Business Solutions\Ecopetrol Prometeo - Documents\Planning Space Implementation\3. Analysis &amp; Design\Design\FC22\DRR Jaime\Neiva CPI\[VAO_DINA TERCIARIOS_CF_SEC_20230117.xlsx]CF PND'!$BB$64</t>
  </si>
  <si>
    <t>='C:\Users\jaime.benazar\Quorum Business Solutions\Ecopetrol Prometeo - Documents\Planning Space Implementation\3. Analysis &amp; Design\Design\FC22\DRR Jaime\Neiva CPI\[VAO_DINA TERCIARIOS_CF_SEC_20230117.xlsx]CF PND'!$BB$65</t>
  </si>
  <si>
    <t>='C:\Users\jaime.benazar\Quorum Business Solutions\Ecopetrol Prometeo - Documents\Planning Space Implementation\3. Analysis &amp; Design\Design\FC22\DRR Jaime\Neiva CPI\[VAO_DINA TERCIARIOS_CF_SEC_20230117.xlsx]CF PND'!$BB$66</t>
  </si>
  <si>
    <t>='C:\Users\jaime.benazar\Quorum Business Solutions\Ecopetrol Prometeo - Documents\Planning Space Implementation\3. Analysis &amp; Design\Design\FC22\DRR Jaime\Neiva CPI\[VAO_DINA TERCIARIOS_CF_SEC_20230117.xlsx]CF PND'!$BB$67</t>
  </si>
  <si>
    <t>='C:\Users\jaime.benazar\Quorum Business Solutions\Ecopetrol Prometeo - Documents\Planning Space Implementation\3. Analysis &amp; Design\Design\FC22\DRR Jaime\Neiva CPI\[VAO_DINA TERCIARIOS_CF_SEC_20230117.xlsx]CF PND'!$BB$68</t>
  </si>
  <si>
    <t>='C:\Users\jaime.benazar\Quorum Business Solutions\Ecopetrol Prometeo - Documents\Planning Space Implementation\3. Analysis &amp; Design\Design\FC22\DRR Jaime\Neiva CPI\[VAO_DINA TERCIARIOS_CF_SEC_20230117.xlsx]CF PND'!$BB$69</t>
  </si>
  <si>
    <t>='C:\Users\jaime.benazar\Quorum Business Solutions\Ecopetrol Prometeo - Documents\Planning Space Implementation\3. Analysis &amp; Design\Design\FC22\DRR Jaime\Neiva CPI\[VAO_DINA TERCIARIOS_CF_SEC_20230117.xlsx]CF PND'!$BB$70</t>
  </si>
  <si>
    <t>='C:\Users\jaime.benazar\Quorum Business Solutions\Ecopetrol Prometeo - Documents\Planning Space Implementation\3. Analysis &amp; Design\Design\FC22\DRR Jaime\Neiva CPI\[VAO_DINA TERCIARIOS_CF_SEC_20230117.xlsx]CF PND'!$BB$71</t>
  </si>
  <si>
    <t>='C:\Users\jaime.benazar\Quorum Business Solutions\Ecopetrol Prometeo - Documents\Planning Space Implementation\3. Analysis &amp; Design\Design\FC22\DRR Jaime\Neiva CPI\[VAO_DINA TERCIARIOS_CF_SEC_20230117.xlsx]CF PND'!$BB$72</t>
  </si>
  <si>
    <t>='C:\Users\jaime.benazar\Quorum Business Solutions\Ecopetrol Prometeo - Documents\Planning Space Implementation\3. Analysis &amp; Design\Design\FC22\DRR Jaime\Neiva CPI\[VAO_DINA TERCIARIOS_CF_SEC_20230117.xlsx]CF PRB'!$BB$36</t>
  </si>
  <si>
    <t>='C:\Users\jaime.benazar\Quorum Business Solutions\Ecopetrol Prometeo - Documents\Planning Space Implementation\3. Analysis &amp; Design\Design\FC22\DRR Jaime\Neiva CPI\[VAO_DINA TERCIARIOS_CF_SEC_20230117.xlsx]CF PRB'!$BB$37</t>
  </si>
  <si>
    <t>='C:\Users\jaime.benazar\Quorum Business Solutions\Ecopetrol Prometeo - Documents\Planning Space Implementation\3. Analysis &amp; Design\Design\FC22\DRR Jaime\Neiva CPI\[VAO_DINA TERCIARIOS_CF_SEC_20230117.xlsx]CF PRB'!$BB$38</t>
  </si>
  <si>
    <t>='C:\Users\jaime.benazar\Quorum Business Solutions\Ecopetrol Prometeo - Documents\Planning Space Implementation\3. Analysis &amp; Design\Design\FC22\DRR Jaime\Neiva CPI\[VAO_DINA TERCIARIOS_CF_SEC_20230117.xlsx]CF PRB'!$BB$39</t>
  </si>
  <si>
    <t>='C:\Users\jaime.benazar\Quorum Business Solutions\Ecopetrol Prometeo - Documents\Planning Space Implementation\3. Analysis &amp; Design\Design\FC22\DRR Jaime\Neiva CPI\[VAO_DINA TERCIARIOS_CF_SEC_20230117.xlsx]CF PRB'!$BB$40</t>
  </si>
  <si>
    <t>='C:\Users\jaime.benazar\Quorum Business Solutions\Ecopetrol Prometeo - Documents\Planning Space Implementation\3. Analysis &amp; Design\Design\FC22\DRR Jaime\Neiva CPI\[VAO_DINA TERCIARIOS_CF_SEC_20230117.xlsx]CF PRB'!$BB$41</t>
  </si>
  <si>
    <t>='C:\Users\jaime.benazar\Quorum Business Solutions\Ecopetrol Prometeo - Documents\Planning Space Implementation\3. Analysis &amp; Design\Design\FC22\DRR Jaime\Neiva CPI\[VAO_DINA TERCIARIOS_CF_SEC_20230117.xlsx]CF PRB'!$BB$42</t>
  </si>
  <si>
    <t>='C:\Users\jaime.benazar\Quorum Business Solutions\Ecopetrol Prometeo - Documents\Planning Space Implementation\3. Analysis &amp; Design\Design\FC22\DRR Jaime\Neiva CPI\[VAO_DINA TERCIARIOS_CF_SEC_20230117.xlsx]CF PRB'!$BB$43</t>
  </si>
  <si>
    <t>='C:\Users\jaime.benazar\Quorum Business Solutions\Ecopetrol Prometeo - Documents\Planning Space Implementation\3. Analysis &amp; Design\Design\FC22\DRR Jaime\Neiva CPI\[VAO_DINA TERCIARIOS_CF_SEC_20230117.xlsx]CF PRB'!$BB$44</t>
  </si>
  <si>
    <t>='C:\Users\jaime.benazar\Quorum Business Solutions\Ecopetrol Prometeo - Documents\Planning Space Implementation\3. Analysis &amp; Design\Design\FC22\DRR Jaime\Neiva CPI\[VAO_DINA TERCIARIOS_CF_SEC_20230117.xlsx]CF PRB'!$BB$45</t>
  </si>
  <si>
    <t>='C:\Users\jaime.benazar\Quorum Business Solutions\Ecopetrol Prometeo - Documents\Planning Space Implementation\3. Analysis &amp; Design\Design\FC22\DRR Jaime\Neiva CPI\[VAO_DINA TERCIARIOS_CF_SEC_20230117.xlsx]CF PRB'!$BB$46</t>
  </si>
  <si>
    <t>='C:\Users\jaime.benazar\Quorum Business Solutions\Ecopetrol Prometeo - Documents\Planning Space Implementation\3. Analysis &amp; Design\Design\FC22\DRR Jaime\Neiva CPI\[VAO_DINA TERCIARIOS_CF_SEC_20230117.xlsx]CF PRB'!$BB$47</t>
  </si>
  <si>
    <t>='C:\Users\jaime.benazar\Quorum Business Solutions\Ecopetrol Prometeo - Documents\Planning Space Implementation\3. Analysis &amp; Design\Design\FC22\DRR Jaime\Neiva CPI\[VAO_DINA TERCIARIOS_CF_SEC_20230117.xlsx]CF PRB'!$BB$48</t>
  </si>
  <si>
    <t>='C:\Users\jaime.benazar\Quorum Business Solutions\Ecopetrol Prometeo - Documents\Planning Space Implementation\3. Analysis &amp; Design\Design\FC22\DRR Jaime\Neiva CPI\[VAO_DINA TERCIARIOS_CF_SEC_20230117.xlsx]CF PRB'!$BB$49</t>
  </si>
  <si>
    <t>='C:\Users\jaime.benazar\Quorum Business Solutions\Ecopetrol Prometeo - Documents\Planning Space Implementation\3. Analysis &amp; Design\Design\FC22\DRR Jaime\Neiva CPI\[VAO_DINA TERCIARIOS_CF_SEC_20230117.xlsx]CF PRB'!$BB$50</t>
  </si>
  <si>
    <t>='C:\Users\jaime.benazar\Quorum Business Solutions\Ecopetrol Prometeo - Documents\Planning Space Implementation\3. Analysis &amp; Design\Design\FC22\DRR Jaime\Neiva CPI\[VAO_DINA TERCIARIOS_CF_SEC_20230117.xlsx]CF PRB'!$BB$51</t>
  </si>
  <si>
    <t>='C:\Users\jaime.benazar\Quorum Business Solutions\Ecopetrol Prometeo - Documents\Planning Space Implementation\3. Analysis &amp; Design\Design\FC22\DRR Jaime\Neiva CPI\[VAO_DINA TERCIARIOS_CF_SEC_20230117.xlsx]CF PRB'!$BB$52</t>
  </si>
  <si>
    <t>='C:\Users\jaime.benazar\Quorum Business Solutions\Ecopetrol Prometeo - Documents\Planning Space Implementation\3. Analysis &amp; Design\Design\FC22\DRR Jaime\Neiva CPI\[VAO_DINA TERCIARIOS_CF_SEC_20230117.xlsx]CF PRB'!$BB$53</t>
  </si>
  <si>
    <t>='C:\Users\jaime.benazar\Quorum Business Solutions\Ecopetrol Prometeo - Documents\Planning Space Implementation\3. Analysis &amp; Design\Design\FC22\DRR Jaime\Neiva CPI\[VAO_DINA TERCIARIOS_CF_SEC_20230117.xlsx]CF PRB'!$BB$54</t>
  </si>
  <si>
    <t>='C:\Users\jaime.benazar\Quorum Business Solutions\Ecopetrol Prometeo - Documents\Planning Space Implementation\3. Analysis &amp; Design\Design\FC22\DRR Jaime\Neiva CPI\[VAO_DINA TERCIARIOS_CF_SEC_20230117.xlsx]CF PRB'!$BB$55</t>
  </si>
  <si>
    <t>='C:\Users\jaime.benazar\Quorum Business Solutions\Ecopetrol Prometeo - Documents\Planning Space Implementation\3. Analysis &amp; Design\Design\FC22\DRR Jaime\Neiva CPI\[VAO_DINA TERCIARIOS_CF_SEC_20230117.xlsx]CF PRB'!$BB$56</t>
  </si>
  <si>
    <t>='C:\Users\jaime.benazar\Quorum Business Solutions\Ecopetrol Prometeo - Documents\Planning Space Implementation\3. Analysis &amp; Design\Design\FC22\DRR Jaime\Neiva CPI\[VAO_DINA TERCIARIOS_CF_SEC_20230117.xlsx]CF PRB'!$BB$57</t>
  </si>
  <si>
    <t>='C:\Users\jaime.benazar\Quorum Business Solutions\Ecopetrol Prometeo - Documents\Planning Space Implementation\3. Analysis &amp; Design\Design\FC22\DRR Jaime\Neiva CPI\[VAO_DINA TERCIARIOS_CF_SEC_20230117.xlsx]CF PRB'!$BB$58</t>
  </si>
  <si>
    <t>='C:\Users\jaime.benazar\Quorum Business Solutions\Ecopetrol Prometeo - Documents\Planning Space Implementation\3. Analysis &amp; Design\Design\FC22\DRR Jaime\Neiva CPI\[VAO_DINA TERCIARIOS_CF_SEC_20230117.xlsx]CF PRB'!$BB$59</t>
  </si>
  <si>
    <t>='C:\Users\jaime.benazar\Quorum Business Solutions\Ecopetrol Prometeo - Documents\Planning Space Implementation\3. Analysis &amp; Design\Design\FC22\DRR Jaime\Neiva CPI\[VAO_DINA TERCIARIOS_CF_SEC_20230117.xlsx]CF PRB'!$BB$60</t>
  </si>
  <si>
    <t>='C:\Users\jaime.benazar\Quorum Business Solutions\Ecopetrol Prometeo - Documents\Planning Space Implementation\3. Analysis &amp; Design\Design\FC22\DRR Jaime\Neiva CPI\[VAO_DINA TERCIARIOS_CF_SEC_20230117.xlsx]CF PRB'!$BB$61</t>
  </si>
  <si>
    <t>='C:\Users\jaime.benazar\Quorum Business Solutions\Ecopetrol Prometeo - Documents\Planning Space Implementation\3. Analysis &amp; Design\Design\FC22\DRR Jaime\Neiva CPI\[VAO_DINA TERCIARIOS_CF_SEC_20230117.xlsx]CF PRB'!$BB$62</t>
  </si>
  <si>
    <t>='C:\Users\jaime.benazar\Quorum Business Solutions\Ecopetrol Prometeo - Documents\Planning Space Implementation\3. Analysis &amp; Design\Design\FC22\DRR Jaime\Neiva CPI\[VAO_DINA TERCIARIOS_CF_SEC_20230117.xlsx]CF PRB'!$BB$63</t>
  </si>
  <si>
    <t>='C:\Users\jaime.benazar\Quorum Business Solutions\Ecopetrol Prometeo - Documents\Planning Space Implementation\3. Analysis &amp; Design\Design\FC22\DRR Jaime\Neiva CPI\[VAO_DINA TERCIARIOS_CF_SEC_20230117.xlsx]CF PRB'!$BB$64</t>
  </si>
  <si>
    <t>='C:\Users\jaime.benazar\Quorum Business Solutions\Ecopetrol Prometeo - Documents\Planning Space Implementation\3. Analysis &amp; Design\Design\FC22\DRR Jaime\Neiva CPI\[VAO_DINA TERCIARIOS_CF_SEC_20230117.xlsx]CF PRB'!$BB$65</t>
  </si>
  <si>
    <t>='C:\Users\jaime.benazar\Quorum Business Solutions\Ecopetrol Prometeo - Documents\Planning Space Implementation\3. Analysis &amp; Design\Design\FC22\DRR Jaime\Neiva CPI\[VAO_DINA TERCIARIOS_CF_SEC_20230117.xlsx]CF PRB'!$BB$66</t>
  </si>
  <si>
    <t>='C:\Users\jaime.benazar\Quorum Business Solutions\Ecopetrol Prometeo - Documents\Planning Space Implementation\3. Analysis &amp; Design\Design\FC22\DRR Jaime\Neiva CPI\[VAO_DINA TERCIARIOS_CF_SEC_20230117.xlsx]CF PRB'!$BB$67</t>
  </si>
  <si>
    <t>='C:\Users\jaime.benazar\Quorum Business Solutions\Ecopetrol Prometeo - Documents\Planning Space Implementation\3. Analysis &amp; Design\Design\FC22\DRR Jaime\Neiva CPI\[VAO_DINA TERCIARIOS_CF_SEC_20230117.xlsx]CF PRB'!$BB$68</t>
  </si>
  <si>
    <t>='C:\Users\jaime.benazar\Quorum Business Solutions\Ecopetrol Prometeo - Documents\Planning Space Implementation\3. Analysis &amp; Design\Design\FC22\DRR Jaime\Neiva CPI\[VAO_DINA TERCIARIOS_CF_SEC_20230117.xlsx]CF PRB'!$BB$69</t>
  </si>
  <si>
    <t>='C:\Users\jaime.benazar\Quorum Business Solutions\Ecopetrol Prometeo - Documents\Planning Space Implementation\3. Analysis &amp; Design\Design\FC22\DRR Jaime\Neiva CPI\[VAO_DINA TERCIARIOS_CF_SEC_20230117.xlsx]CF PRB'!$BB$70</t>
  </si>
  <si>
    <t>='C:\Users\jaime.benazar\Quorum Business Solutions\Ecopetrol Prometeo - Documents\Planning Space Implementation\3. Analysis &amp; Design\Design\FC22\DRR Jaime\Neiva CPI\[VAO_DINA TERCIARIOS_CF_SEC_20230117.xlsx]CF PRB'!$BB$71</t>
  </si>
  <si>
    <t>='C:\Users\jaime.benazar\Quorum Business Solutions\Ecopetrol Prometeo - Documents\Planning Space Implementation\3. Analysis &amp; Design\Design\FC22\DRR Jaime\Neiva CPI\[VAO_DINA TERCIARIOS_CF_SEC_20230117.xlsx]CF PRB'!$BB$72</t>
  </si>
  <si>
    <t>='C:\Users\jaime.benazar\Quorum Business Solutions\Ecopetrol Prometeo - Documents\Planning Space Implementation\3. Analysis &amp; Design\Design\FC22\DRR Jaime\Neiva CPI\[VAO_DINA TERCIARIOS_CF_SEC_20230117.xlsx]CF PS'!$BB$36</t>
  </si>
  <si>
    <t>='C:\Users\jaime.benazar\Quorum Business Solutions\Ecopetrol Prometeo - Documents\Planning Space Implementation\3. Analysis &amp; Design\Design\FC22\DRR Jaime\Neiva CPI\[VAO_DINA TERCIARIOS_CF_SEC_20230117.xlsx]CF PS'!$BB$37</t>
  </si>
  <si>
    <t>='C:\Users\jaime.benazar\Quorum Business Solutions\Ecopetrol Prometeo - Documents\Planning Space Implementation\3. Analysis &amp; Design\Design\FC22\DRR Jaime\Neiva CPI\[VAO_DINA TERCIARIOS_CF_SEC_20230117.xlsx]CF PS'!$BB$38</t>
  </si>
  <si>
    <t>='C:\Users\jaime.benazar\Quorum Business Solutions\Ecopetrol Prometeo - Documents\Planning Space Implementation\3. Analysis &amp; Design\Design\FC22\DRR Jaime\Neiva CPI\[VAO_DINA TERCIARIOS_CF_SEC_20230117.xlsx]CF PS'!$BB$39</t>
  </si>
  <si>
    <t>='C:\Users\jaime.benazar\Quorum Business Solutions\Ecopetrol Prometeo - Documents\Planning Space Implementation\3. Analysis &amp; Design\Design\FC22\DRR Jaime\Neiva CPI\[VAO_DINA TERCIARIOS_CF_SEC_20230117.xlsx]CF PS'!$BB$40</t>
  </si>
  <si>
    <t>='C:\Users\jaime.benazar\Quorum Business Solutions\Ecopetrol Prometeo - Documents\Planning Space Implementation\3. Analysis &amp; Design\Design\FC22\DRR Jaime\Neiva CPI\[VAO_DINA TERCIARIOS_CF_SEC_20230117.xlsx]CF PS'!$BB$41</t>
  </si>
  <si>
    <t>='C:\Users\jaime.benazar\Quorum Business Solutions\Ecopetrol Prometeo - Documents\Planning Space Implementation\3. Analysis &amp; Design\Design\FC22\DRR Jaime\Neiva CPI\[VAO_DINA TERCIARIOS_CF_SEC_20230117.xlsx]CF PS'!$BB$42</t>
  </si>
  <si>
    <t>='C:\Users\jaime.benazar\Quorum Business Solutions\Ecopetrol Prometeo - Documents\Planning Space Implementation\3. Analysis &amp; Design\Design\FC22\DRR Jaime\Neiva CPI\[VAO_DINA TERCIARIOS_CF_SEC_20230117.xlsx]CF PS'!$BB$43</t>
  </si>
  <si>
    <t>='C:\Users\jaime.benazar\Quorum Business Solutions\Ecopetrol Prometeo - Documents\Planning Space Implementation\3. Analysis &amp; Design\Design\FC22\DRR Jaime\Neiva CPI\[VAO_DINA TERCIARIOS_CF_SEC_20230117.xlsx]CF PS'!$BB$44</t>
  </si>
  <si>
    <t>='C:\Users\jaime.benazar\Quorum Business Solutions\Ecopetrol Prometeo - Documents\Planning Space Implementation\3. Analysis &amp; Design\Design\FC22\DRR Jaime\Neiva CPI\[VAO_DINA TERCIARIOS_CF_SEC_20230117.xlsx]CF PS'!$BB$45</t>
  </si>
  <si>
    <t>='C:\Users\jaime.benazar\Quorum Business Solutions\Ecopetrol Prometeo - Documents\Planning Space Implementation\3. Analysis &amp; Design\Design\FC22\DRR Jaime\Neiva CPI\[VAO_DINA TERCIARIOS_CF_SEC_20230117.xlsx]CF PS'!$BB$46</t>
  </si>
  <si>
    <t>='C:\Users\jaime.benazar\Quorum Business Solutions\Ecopetrol Prometeo - Documents\Planning Space Implementation\3. Analysis &amp; Design\Design\FC22\DRR Jaime\Neiva CPI\[VAO_DINA TERCIARIOS_CF_SEC_20230117.xlsx]CF PS'!$BB$47</t>
  </si>
  <si>
    <t>='C:\Users\jaime.benazar\Quorum Business Solutions\Ecopetrol Prometeo - Documents\Planning Space Implementation\3. Analysis &amp; Design\Design\FC22\DRR Jaime\Neiva CPI\[VAO_DINA TERCIARIOS_CF_SEC_20230117.xlsx]CF PS'!$BB$48</t>
  </si>
  <si>
    <t>='C:\Users\jaime.benazar\Quorum Business Solutions\Ecopetrol Prometeo - Documents\Planning Space Implementation\3. Analysis &amp; Design\Design\FC22\DRR Jaime\Neiva CPI\[VAO_DINA TERCIARIOS_CF_SEC_20230117.xlsx]CF PS'!$BB$49</t>
  </si>
  <si>
    <t>='C:\Users\jaime.benazar\Quorum Business Solutions\Ecopetrol Prometeo - Documents\Planning Space Implementation\3. Analysis &amp; Design\Design\FC22\DRR Jaime\Neiva CPI\[VAO_DINA TERCIARIOS_CF_SEC_20230117.xlsx]CF PS'!$BB$50</t>
  </si>
  <si>
    <t>='C:\Users\jaime.benazar\Quorum Business Solutions\Ecopetrol Prometeo - Documents\Planning Space Implementation\3. Analysis &amp; Design\Design\FC22\DRR Jaime\Neiva CPI\[VAO_DINA TERCIARIOS_CF_SEC_20230117.xlsx]CF PS'!$BB$51</t>
  </si>
  <si>
    <t>='C:\Users\jaime.benazar\Quorum Business Solutions\Ecopetrol Prometeo - Documents\Planning Space Implementation\3. Analysis &amp; Design\Design\FC22\DRR Jaime\Neiva CPI\[VAO_DINA TERCIARIOS_CF_SEC_20230117.xlsx]CF PS'!$BB$52</t>
  </si>
  <si>
    <t>='C:\Users\jaime.benazar\Quorum Business Solutions\Ecopetrol Prometeo - Documents\Planning Space Implementation\3. Analysis &amp; Design\Design\FC22\DRR Jaime\Neiva CPI\[VAO_DINA TERCIARIOS_CF_SEC_20230117.xlsx]CF PS'!$BB$53</t>
  </si>
  <si>
    <t>='C:\Users\jaime.benazar\Quorum Business Solutions\Ecopetrol Prometeo - Documents\Planning Space Implementation\3. Analysis &amp; Design\Design\FC22\DRR Jaime\Neiva CPI\[VAO_DINA TERCIARIOS_CF_SEC_20230117.xlsx]CF PS'!$BB$54</t>
  </si>
  <si>
    <t>='C:\Users\jaime.benazar\Quorum Business Solutions\Ecopetrol Prometeo - Documents\Planning Space Implementation\3. Analysis &amp; Design\Design\FC22\DRR Jaime\Neiva CPI\[VAO_DINA TERCIARIOS_CF_SEC_20230117.xlsx]CF PS'!$BB$55</t>
  </si>
  <si>
    <t>='C:\Users\jaime.benazar\Quorum Business Solutions\Ecopetrol Prometeo - Documents\Planning Space Implementation\3. Analysis &amp; Design\Design\FC22\DRR Jaime\Neiva CPI\[VAO_DINA TERCIARIOS_CF_SEC_20230117.xlsx]CF PS'!$BB$56</t>
  </si>
  <si>
    <t>='C:\Users\jaime.benazar\Quorum Business Solutions\Ecopetrol Prometeo - Documents\Planning Space Implementation\3. Analysis &amp; Design\Design\FC22\DRR Jaime\Neiva CPI\[VAO_DINA TERCIARIOS_CF_SEC_20230117.xlsx]CF PS'!$BB$57</t>
  </si>
  <si>
    <t>='C:\Users\jaime.benazar\Quorum Business Solutions\Ecopetrol Prometeo - Documents\Planning Space Implementation\3. Analysis &amp; Design\Design\FC22\DRR Jaime\Neiva CPI\[VAO_DINA TERCIARIOS_CF_SEC_20230117.xlsx]CF PS'!$BB$58</t>
  </si>
  <si>
    <t>='C:\Users\jaime.benazar\Quorum Business Solutions\Ecopetrol Prometeo - Documents\Planning Space Implementation\3. Analysis &amp; Design\Design\FC22\DRR Jaime\Neiva CPI\[VAO_DINA TERCIARIOS_CF_SEC_20230117.xlsx]CF PS'!$BB$59</t>
  </si>
  <si>
    <t>='C:\Users\jaime.benazar\Quorum Business Solutions\Ecopetrol Prometeo - Documents\Planning Space Implementation\3. Analysis &amp; Design\Design\FC22\DRR Jaime\Neiva CPI\[VAO_DINA TERCIARIOS_CF_SEC_20230117.xlsx]CF PS'!$BB$60</t>
  </si>
  <si>
    <t>='C:\Users\jaime.benazar\Quorum Business Solutions\Ecopetrol Prometeo - Documents\Planning Space Implementation\3. Analysis &amp; Design\Design\FC22\DRR Jaime\Neiva CPI\[VAO_DINA TERCIARIOS_CF_SEC_20230117.xlsx]CF PS'!$BB$61</t>
  </si>
  <si>
    <t>='C:\Users\jaime.benazar\Quorum Business Solutions\Ecopetrol Prometeo - Documents\Planning Space Implementation\3. Analysis &amp; Design\Design\FC22\DRR Jaime\Neiva CPI\[VAO_DINA TERCIARIOS_CF_SEC_20230117.xlsx]CF PS'!$BB$62</t>
  </si>
  <si>
    <t>='C:\Users\jaime.benazar\Quorum Business Solutions\Ecopetrol Prometeo - Documents\Planning Space Implementation\3. Analysis &amp; Design\Design\FC22\DRR Jaime\Neiva CPI\[VAO_DINA TERCIARIOS_CF_SEC_20230117.xlsx]CF PS'!$BB$63</t>
  </si>
  <si>
    <t>='C:\Users\jaime.benazar\Quorum Business Solutions\Ecopetrol Prometeo - Documents\Planning Space Implementation\3. Analysis &amp; Design\Design\FC22\DRR Jaime\Neiva CPI\[VAO_DINA TERCIARIOS_CF_SEC_20230117.xlsx]CF PS'!$BB$64</t>
  </si>
  <si>
    <t>='C:\Users\jaime.benazar\Quorum Business Solutions\Ecopetrol Prometeo - Documents\Planning Space Implementation\3. Analysis &amp; Design\Design\FC22\DRR Jaime\Neiva CPI\[VAO_DINA TERCIARIOS_CF_SEC_20230117.xlsx]CF PS'!$BB$65</t>
  </si>
  <si>
    <t>='C:\Users\jaime.benazar\Quorum Business Solutions\Ecopetrol Prometeo - Documents\Planning Space Implementation\3. Analysis &amp; Design\Design\FC22\DRR Jaime\Neiva CPI\[VAO_DINA TERCIARIOS_CF_SEC_20230117.xlsx]CF PS'!$BB$66</t>
  </si>
  <si>
    <t>='C:\Users\jaime.benazar\Quorum Business Solutions\Ecopetrol Prometeo - Documents\Planning Space Implementation\3. Analysis &amp; Design\Design\FC22\DRR Jaime\Neiva CPI\[VAO_DINA TERCIARIOS_CF_SEC_20230117.xlsx]CF PS'!$BB$67</t>
  </si>
  <si>
    <t>='C:\Users\jaime.benazar\Quorum Business Solutions\Ecopetrol Prometeo - Documents\Planning Space Implementation\3. Analysis &amp; Design\Design\FC22\DRR Jaime\Neiva CPI\[VAO_DINA TERCIARIOS_CF_SEC_20230117.xlsx]CF PS'!$BB$68</t>
  </si>
  <si>
    <t>='C:\Users\jaime.benazar\Quorum Business Solutions\Ecopetrol Prometeo - Documents\Planning Space Implementation\3. Analysis &amp; Design\Design\FC22\DRR Jaime\Neiva CPI\[VAO_DINA TERCIARIOS_CF_SEC_20230117.xlsx]CF PS'!$BB$69</t>
  </si>
  <si>
    <t>='C:\Users\jaime.benazar\Quorum Business Solutions\Ecopetrol Prometeo - Documents\Planning Space Implementation\3. Analysis &amp; Design\Design\FC22\DRR Jaime\Neiva CPI\[VAO_DINA TERCIARIOS_CF_SEC_20230117.xlsx]CF PS'!$BB$70</t>
  </si>
  <si>
    <t>='C:\Users\jaime.benazar\Quorum Business Solutions\Ecopetrol Prometeo - Documents\Planning Space Implementation\3. Analysis &amp; Design\Design\FC22\DRR Jaime\Neiva CPI\[VAO_DINA TERCIARIOS_CF_SEC_20230117.xlsx]CF PS'!$BB$71</t>
  </si>
  <si>
    <t>='C:\Users\jaime.benazar\Quorum Business Solutions\Ecopetrol Prometeo - Documents\Planning Space Implementation\3. Analysis &amp; Design\Design\FC22\DRR Jaime\Neiva CPI\[VAO_DINA TERCIARIOS_CF_SEC_20230117.xlsx]CF PS'!$BB$72</t>
  </si>
  <si>
    <t>='C:\Users\jaime.benazar\Quorum Business Solutions\Ecopetrol Prometeo - Documents\Planning Space Implementation\3. Analysis &amp; Design\Design\FC22\DRR Jaime\Neiva CPI\[VAO_DINA TERCIARIOS_CF_SEC_20230117.xlsx]CF PDP'!$BY$36</t>
  </si>
  <si>
    <t>='C:\Users\jaime.benazar\Quorum Business Solutions\Ecopetrol Prometeo - Documents\Planning Space Implementation\3. Analysis &amp; Design\Design\FC22\DRR Jaime\Neiva CPI\[VAO_DINA TERCIARIOS_CF_SEC_20230117.xlsx]CF PDP'!$BY$37</t>
  </si>
  <si>
    <t>='C:\Users\jaime.benazar\Quorum Business Solutions\Ecopetrol Prometeo - Documents\Planning Space Implementation\3. Analysis &amp; Design\Design\FC22\DRR Jaime\Neiva CPI\[VAO_DINA TERCIARIOS_CF_SEC_20230117.xlsx]CF PDP'!$BY$38</t>
  </si>
  <si>
    <t>='C:\Users\jaime.benazar\Quorum Business Solutions\Ecopetrol Prometeo - Documents\Planning Space Implementation\3. Analysis &amp; Design\Design\FC22\DRR Jaime\Neiva CPI\[VAO_DINA TERCIARIOS_CF_SEC_20230117.xlsx]CF PDP'!$BY$39</t>
  </si>
  <si>
    <t>='C:\Users\jaime.benazar\Quorum Business Solutions\Ecopetrol Prometeo - Documents\Planning Space Implementation\3. Analysis &amp; Design\Design\FC22\DRR Jaime\Neiva CPI\[VAO_DINA TERCIARIOS_CF_SEC_20230117.xlsx]CF PDP'!$BY$40</t>
  </si>
  <si>
    <t>='C:\Users\jaime.benazar\Quorum Business Solutions\Ecopetrol Prometeo - Documents\Planning Space Implementation\3. Analysis &amp; Design\Design\FC22\DRR Jaime\Neiva CPI\[VAO_DINA TERCIARIOS_CF_SEC_20230117.xlsx]CF PDP'!$BY$41</t>
  </si>
  <si>
    <t>='C:\Users\jaime.benazar\Quorum Business Solutions\Ecopetrol Prometeo - Documents\Planning Space Implementation\3. Analysis &amp; Design\Design\FC22\DRR Jaime\Neiva CPI\[VAO_DINA TERCIARIOS_CF_SEC_20230117.xlsx]CF PDP'!$BY$42</t>
  </si>
  <si>
    <t>='C:\Users\jaime.benazar\Quorum Business Solutions\Ecopetrol Prometeo - Documents\Planning Space Implementation\3. Analysis &amp; Design\Design\FC22\DRR Jaime\Neiva CPI\[VAO_DINA TERCIARIOS_CF_SEC_20230117.xlsx]CF PDP'!$BY$43</t>
  </si>
  <si>
    <t>='C:\Users\jaime.benazar\Quorum Business Solutions\Ecopetrol Prometeo - Documents\Planning Space Implementation\3. Analysis &amp; Design\Design\FC22\DRR Jaime\Neiva CPI\[VAO_DINA TERCIARIOS_CF_SEC_20230117.xlsx]CF PDP'!$BY$44</t>
  </si>
  <si>
    <t>='C:\Users\jaime.benazar\Quorum Business Solutions\Ecopetrol Prometeo - Documents\Planning Space Implementation\3. Analysis &amp; Design\Design\FC22\DRR Jaime\Neiva CPI\[VAO_DINA TERCIARIOS_CF_SEC_20230117.xlsx]CF PDP'!$BY$45</t>
  </si>
  <si>
    <t>='C:\Users\jaime.benazar\Quorum Business Solutions\Ecopetrol Prometeo - Documents\Planning Space Implementation\3. Analysis &amp; Design\Design\FC22\DRR Jaime\Neiva CPI\[VAO_DINA TERCIARIOS_CF_SEC_20230117.xlsx]CF PDP'!$BY$46</t>
  </si>
  <si>
    <t>='C:\Users\jaime.benazar\Quorum Business Solutions\Ecopetrol Prometeo - Documents\Planning Space Implementation\3. Analysis &amp; Design\Design\FC22\DRR Jaime\Neiva CPI\[VAO_DINA TERCIARIOS_CF_SEC_20230117.xlsx]CF PDP'!$BY$47</t>
  </si>
  <si>
    <t>='C:\Users\jaime.benazar\Quorum Business Solutions\Ecopetrol Prometeo - Documents\Planning Space Implementation\3. Analysis &amp; Design\Design\FC22\DRR Jaime\Neiva CPI\[VAO_DINA TERCIARIOS_CF_SEC_20230117.xlsx]CF PDP'!$BY$48</t>
  </si>
  <si>
    <t>='C:\Users\jaime.benazar\Quorum Business Solutions\Ecopetrol Prometeo - Documents\Planning Space Implementation\3. Analysis &amp; Design\Design\FC22\DRR Jaime\Neiva CPI\[VAO_DINA TERCIARIOS_CF_SEC_20230117.xlsx]CF PDP'!$BY$49</t>
  </si>
  <si>
    <t>='C:\Users\jaime.benazar\Quorum Business Solutions\Ecopetrol Prometeo - Documents\Planning Space Implementation\3. Analysis &amp; Design\Design\FC22\DRR Jaime\Neiva CPI\[VAO_DINA TERCIARIOS_CF_SEC_20230117.xlsx]CF PDP'!$BY$50</t>
  </si>
  <si>
    <t>='C:\Users\jaime.benazar\Quorum Business Solutions\Ecopetrol Prometeo - Documents\Planning Space Implementation\3. Analysis &amp; Design\Design\FC22\DRR Jaime\Neiva CPI\[VAO_DINA TERCIARIOS_CF_SEC_20230117.xlsx]CF PDP'!$BY$51</t>
  </si>
  <si>
    <t>='C:\Users\jaime.benazar\Quorum Business Solutions\Ecopetrol Prometeo - Documents\Planning Space Implementation\3. Analysis &amp; Design\Design\FC22\DRR Jaime\Neiva CPI\[VAO_DINA TERCIARIOS_CF_SEC_20230117.xlsx]CF PDP'!$BY$52</t>
  </si>
  <si>
    <t>='C:\Users\jaime.benazar\Quorum Business Solutions\Ecopetrol Prometeo - Documents\Planning Space Implementation\3. Analysis &amp; Design\Design\FC22\DRR Jaime\Neiva CPI\[VAO_DINA TERCIARIOS_CF_SEC_20230117.xlsx]CF PDP'!$BY$53</t>
  </si>
  <si>
    <t>='C:\Users\jaime.benazar\Quorum Business Solutions\Ecopetrol Prometeo - Documents\Planning Space Implementation\3. Analysis &amp; Design\Design\FC22\DRR Jaime\Neiva CPI\[VAO_DINA TERCIARIOS_CF_SEC_20230117.xlsx]CF PDP'!$BY$54</t>
  </si>
  <si>
    <t>='C:\Users\jaime.benazar\Quorum Business Solutions\Ecopetrol Prometeo - Documents\Planning Space Implementation\3. Analysis &amp; Design\Design\FC22\DRR Jaime\Neiva CPI\[VAO_DINA TERCIARIOS_CF_SEC_20230117.xlsx]CF PDP'!$BY$55</t>
  </si>
  <si>
    <t>='C:\Users\jaime.benazar\Quorum Business Solutions\Ecopetrol Prometeo - Documents\Planning Space Implementation\3. Analysis &amp; Design\Design\FC22\DRR Jaime\Neiva CPI\[VAO_DINA TERCIARIOS_CF_SEC_20230117.xlsx]CF PDP'!$BY$56</t>
  </si>
  <si>
    <t>='C:\Users\jaime.benazar\Quorum Business Solutions\Ecopetrol Prometeo - Documents\Planning Space Implementation\3. Analysis &amp; Design\Design\FC22\DRR Jaime\Neiva CPI\[VAO_DINA TERCIARIOS_CF_SEC_20230117.xlsx]CF PDP'!$BY$57</t>
  </si>
  <si>
    <t>='C:\Users\jaime.benazar\Quorum Business Solutions\Ecopetrol Prometeo - Documents\Planning Space Implementation\3. Analysis &amp; Design\Design\FC22\DRR Jaime\Neiva CPI\[VAO_DINA TERCIARIOS_CF_SEC_20230117.xlsx]CF PDP'!$BY$58</t>
  </si>
  <si>
    <t>='C:\Users\jaime.benazar\Quorum Business Solutions\Ecopetrol Prometeo - Documents\Planning Space Implementation\3. Analysis &amp; Design\Design\FC22\DRR Jaime\Neiva CPI\[VAO_DINA TERCIARIOS_CF_SEC_20230117.xlsx]CF PDP'!$BY$59</t>
  </si>
  <si>
    <t>='C:\Users\jaime.benazar\Quorum Business Solutions\Ecopetrol Prometeo - Documents\Planning Space Implementation\3. Analysis &amp; Design\Design\FC22\DRR Jaime\Neiva CPI\[VAO_DINA TERCIARIOS_CF_SEC_20230117.xlsx]CF PDP'!$BY$60</t>
  </si>
  <si>
    <t>='C:\Users\jaime.benazar\Quorum Business Solutions\Ecopetrol Prometeo - Documents\Planning Space Implementation\3. Analysis &amp; Design\Design\FC22\DRR Jaime\Neiva CPI\[VAO_DINA TERCIARIOS_CF_SEC_20230117.xlsx]CF PDP'!$BY$61</t>
  </si>
  <si>
    <t>='C:\Users\jaime.benazar\Quorum Business Solutions\Ecopetrol Prometeo - Documents\Planning Space Implementation\3. Analysis &amp; Design\Design\FC22\DRR Jaime\Neiva CPI\[VAO_DINA TERCIARIOS_CF_SEC_20230117.xlsx]CF PDP'!$BY$62</t>
  </si>
  <si>
    <t>='C:\Users\jaime.benazar\Quorum Business Solutions\Ecopetrol Prometeo - Documents\Planning Space Implementation\3. Analysis &amp; Design\Design\FC22\DRR Jaime\Neiva CPI\[VAO_DINA TERCIARIOS_CF_SEC_20230117.xlsx]CF PDP'!$BY$63</t>
  </si>
  <si>
    <t>='C:\Users\jaime.benazar\Quorum Business Solutions\Ecopetrol Prometeo - Documents\Planning Space Implementation\3. Analysis &amp; Design\Design\FC22\DRR Jaime\Neiva CPI\[VAO_DINA TERCIARIOS_CF_SEC_20230117.xlsx]CF PDP'!$BY$64</t>
  </si>
  <si>
    <t>='C:\Users\jaime.benazar\Quorum Business Solutions\Ecopetrol Prometeo - Documents\Planning Space Implementation\3. Analysis &amp; Design\Design\FC22\DRR Jaime\Neiva CPI\[VAO_DINA TERCIARIOS_CF_SEC_20230117.xlsx]CF PDP'!$BY$65</t>
  </si>
  <si>
    <t>='C:\Users\jaime.benazar\Quorum Business Solutions\Ecopetrol Prometeo - Documents\Planning Space Implementation\3. Analysis &amp; Design\Design\FC22\DRR Jaime\Neiva CPI\[VAO_DINA TERCIARIOS_CF_SEC_20230117.xlsx]CF PDP'!$BY$66</t>
  </si>
  <si>
    <t>='C:\Users\jaime.benazar\Quorum Business Solutions\Ecopetrol Prometeo - Documents\Planning Space Implementation\3. Analysis &amp; Design\Design\FC22\DRR Jaime\Neiva CPI\[VAO_DINA TERCIARIOS_CF_SEC_20230117.xlsx]CF PDP'!$BY$67</t>
  </si>
  <si>
    <t>='C:\Users\jaime.benazar\Quorum Business Solutions\Ecopetrol Prometeo - Documents\Planning Space Implementation\3. Analysis &amp; Design\Design\FC22\DRR Jaime\Neiva CPI\[VAO_DINA TERCIARIOS_CF_SEC_20230117.xlsx]CF PDP'!$BY$68</t>
  </si>
  <si>
    <t>='C:\Users\jaime.benazar\Quorum Business Solutions\Ecopetrol Prometeo - Documents\Planning Space Implementation\3. Analysis &amp; Design\Design\FC22\DRR Jaime\Neiva CPI\[VAO_DINA TERCIARIOS_CF_SEC_20230117.xlsx]CF PDP'!$BY$69</t>
  </si>
  <si>
    <t>='C:\Users\jaime.benazar\Quorum Business Solutions\Ecopetrol Prometeo - Documents\Planning Space Implementation\3. Analysis &amp; Design\Design\FC22\DRR Jaime\Neiva CPI\[VAO_DINA TERCIARIOS_CF_SEC_20230117.xlsx]CF PDP'!$BY$70</t>
  </si>
  <si>
    <t>='C:\Users\jaime.benazar\Quorum Business Solutions\Ecopetrol Prometeo - Documents\Planning Space Implementation\3. Analysis &amp; Design\Design\FC22\DRR Jaime\Neiva CPI\[VAO_DINA TERCIARIOS_CF_SEC_20230117.xlsx]CF PDP'!$BY$71</t>
  </si>
  <si>
    <t>='C:\Users\jaime.benazar\Quorum Business Solutions\Ecopetrol Prometeo - Documents\Planning Space Implementation\3. Analysis &amp; Design\Design\FC22\DRR Jaime\Neiva CPI\[VAO_DINA TERCIARIOS_CF_SEC_20230117.xlsx]CF PDP'!$BY$72</t>
  </si>
  <si>
    <t>='C:\Users\jaime.benazar\Quorum Business Solutions\Ecopetrol Prometeo - Documents\Planning Space Implementation\3. Analysis &amp; Design\Design\FC22\DRR Jaime\Neiva CPI\[VAO_DINA TERCIARIOS_CF_SEC_20230117.xlsx]CF PNP'!$BY$36</t>
  </si>
  <si>
    <t>='C:\Users\jaime.benazar\Quorum Business Solutions\Ecopetrol Prometeo - Documents\Planning Space Implementation\3. Analysis &amp; Design\Design\FC22\DRR Jaime\Neiva CPI\[VAO_DINA TERCIARIOS_CF_SEC_20230117.xlsx]CF PNP'!$BY$37</t>
  </si>
  <si>
    <t>='C:\Users\jaime.benazar\Quorum Business Solutions\Ecopetrol Prometeo - Documents\Planning Space Implementation\3. Analysis &amp; Design\Design\FC22\DRR Jaime\Neiva CPI\[VAO_DINA TERCIARIOS_CF_SEC_20230117.xlsx]CF PNP'!$BY$38</t>
  </si>
  <si>
    <t>='C:\Users\jaime.benazar\Quorum Business Solutions\Ecopetrol Prometeo - Documents\Planning Space Implementation\3. Analysis &amp; Design\Design\FC22\DRR Jaime\Neiva CPI\[VAO_DINA TERCIARIOS_CF_SEC_20230117.xlsx]CF PNP'!$BY$39</t>
  </si>
  <si>
    <t>='C:\Users\jaime.benazar\Quorum Business Solutions\Ecopetrol Prometeo - Documents\Planning Space Implementation\3. Analysis &amp; Design\Design\FC22\DRR Jaime\Neiva CPI\[VAO_DINA TERCIARIOS_CF_SEC_20230117.xlsx]CF PNP'!$BY$40</t>
  </si>
  <si>
    <t>='C:\Users\jaime.benazar\Quorum Business Solutions\Ecopetrol Prometeo - Documents\Planning Space Implementation\3. Analysis &amp; Design\Design\FC22\DRR Jaime\Neiva CPI\[VAO_DINA TERCIARIOS_CF_SEC_20230117.xlsx]CF PNP'!$BY$41</t>
  </si>
  <si>
    <t>='C:\Users\jaime.benazar\Quorum Business Solutions\Ecopetrol Prometeo - Documents\Planning Space Implementation\3. Analysis &amp; Design\Design\FC22\DRR Jaime\Neiva CPI\[VAO_DINA TERCIARIOS_CF_SEC_20230117.xlsx]CF PNP'!$BY$42</t>
  </si>
  <si>
    <t>='C:\Users\jaime.benazar\Quorum Business Solutions\Ecopetrol Prometeo - Documents\Planning Space Implementation\3. Analysis &amp; Design\Design\FC22\DRR Jaime\Neiva CPI\[VAO_DINA TERCIARIOS_CF_SEC_20230117.xlsx]CF PNP'!$BY$43</t>
  </si>
  <si>
    <t>='C:\Users\jaime.benazar\Quorum Business Solutions\Ecopetrol Prometeo - Documents\Planning Space Implementation\3. Analysis &amp; Design\Design\FC22\DRR Jaime\Neiva CPI\[VAO_DINA TERCIARIOS_CF_SEC_20230117.xlsx]CF PNP'!$BY$44</t>
  </si>
  <si>
    <t>='C:\Users\jaime.benazar\Quorum Business Solutions\Ecopetrol Prometeo - Documents\Planning Space Implementation\3. Analysis &amp; Design\Design\FC22\DRR Jaime\Neiva CPI\[VAO_DINA TERCIARIOS_CF_SEC_20230117.xlsx]CF PNP'!$BY$45</t>
  </si>
  <si>
    <t>='C:\Users\jaime.benazar\Quorum Business Solutions\Ecopetrol Prometeo - Documents\Planning Space Implementation\3. Analysis &amp; Design\Design\FC22\DRR Jaime\Neiva CPI\[VAO_DINA TERCIARIOS_CF_SEC_20230117.xlsx]CF PNP'!$BY$46</t>
  </si>
  <si>
    <t>='C:\Users\jaime.benazar\Quorum Business Solutions\Ecopetrol Prometeo - Documents\Planning Space Implementation\3. Analysis &amp; Design\Design\FC22\DRR Jaime\Neiva CPI\[VAO_DINA TERCIARIOS_CF_SEC_20230117.xlsx]CF PNP'!$BY$47</t>
  </si>
  <si>
    <t>='C:\Users\jaime.benazar\Quorum Business Solutions\Ecopetrol Prometeo - Documents\Planning Space Implementation\3. Analysis &amp; Design\Design\FC22\DRR Jaime\Neiva CPI\[VAO_DINA TERCIARIOS_CF_SEC_20230117.xlsx]CF PNP'!$BY$48</t>
  </si>
  <si>
    <t>='C:\Users\jaime.benazar\Quorum Business Solutions\Ecopetrol Prometeo - Documents\Planning Space Implementation\3. Analysis &amp; Design\Design\FC22\DRR Jaime\Neiva CPI\[VAO_DINA TERCIARIOS_CF_SEC_20230117.xlsx]CF PNP'!$BY$49</t>
  </si>
  <si>
    <t>='C:\Users\jaime.benazar\Quorum Business Solutions\Ecopetrol Prometeo - Documents\Planning Space Implementation\3. Analysis &amp; Design\Design\FC22\DRR Jaime\Neiva CPI\[VAO_DINA TERCIARIOS_CF_SEC_20230117.xlsx]CF PNP'!$BY$50</t>
  </si>
  <si>
    <t>='C:\Users\jaime.benazar\Quorum Business Solutions\Ecopetrol Prometeo - Documents\Planning Space Implementation\3. Analysis &amp; Design\Design\FC22\DRR Jaime\Neiva CPI\[VAO_DINA TERCIARIOS_CF_SEC_20230117.xlsx]CF PNP'!$BY$51</t>
  </si>
  <si>
    <t>='C:\Users\jaime.benazar\Quorum Business Solutions\Ecopetrol Prometeo - Documents\Planning Space Implementation\3. Analysis &amp; Design\Design\FC22\DRR Jaime\Neiva CPI\[VAO_DINA TERCIARIOS_CF_SEC_20230117.xlsx]CF PNP'!$BY$52</t>
  </si>
  <si>
    <t>='C:\Users\jaime.benazar\Quorum Business Solutions\Ecopetrol Prometeo - Documents\Planning Space Implementation\3. Analysis &amp; Design\Design\FC22\DRR Jaime\Neiva CPI\[VAO_DINA TERCIARIOS_CF_SEC_20230117.xlsx]CF PNP'!$BY$53</t>
  </si>
  <si>
    <t>='C:\Users\jaime.benazar\Quorum Business Solutions\Ecopetrol Prometeo - Documents\Planning Space Implementation\3. Analysis &amp; Design\Design\FC22\DRR Jaime\Neiva CPI\[VAO_DINA TERCIARIOS_CF_SEC_20230117.xlsx]CF PNP'!$BY$54</t>
  </si>
  <si>
    <t>='C:\Users\jaime.benazar\Quorum Business Solutions\Ecopetrol Prometeo - Documents\Planning Space Implementation\3. Analysis &amp; Design\Design\FC22\DRR Jaime\Neiva CPI\[VAO_DINA TERCIARIOS_CF_SEC_20230117.xlsx]CF PNP'!$BY$55</t>
  </si>
  <si>
    <t>='C:\Users\jaime.benazar\Quorum Business Solutions\Ecopetrol Prometeo - Documents\Planning Space Implementation\3. Analysis &amp; Design\Design\FC22\DRR Jaime\Neiva CPI\[VAO_DINA TERCIARIOS_CF_SEC_20230117.xlsx]CF PNP'!$BY$56</t>
  </si>
  <si>
    <t>='C:\Users\jaime.benazar\Quorum Business Solutions\Ecopetrol Prometeo - Documents\Planning Space Implementation\3. Analysis &amp; Design\Design\FC22\DRR Jaime\Neiva CPI\[VAO_DINA TERCIARIOS_CF_SEC_20230117.xlsx]CF PNP'!$BY$57</t>
  </si>
  <si>
    <t>='C:\Users\jaime.benazar\Quorum Business Solutions\Ecopetrol Prometeo - Documents\Planning Space Implementation\3. Analysis &amp; Design\Design\FC22\DRR Jaime\Neiva CPI\[VAO_DINA TERCIARIOS_CF_SEC_20230117.xlsx]CF PNP'!$BY$58</t>
  </si>
  <si>
    <t>='C:\Users\jaime.benazar\Quorum Business Solutions\Ecopetrol Prometeo - Documents\Planning Space Implementation\3. Analysis &amp; Design\Design\FC22\DRR Jaime\Neiva CPI\[VAO_DINA TERCIARIOS_CF_SEC_20230117.xlsx]CF PNP'!$BY$59</t>
  </si>
  <si>
    <t>='C:\Users\jaime.benazar\Quorum Business Solutions\Ecopetrol Prometeo - Documents\Planning Space Implementation\3. Analysis &amp; Design\Design\FC22\DRR Jaime\Neiva CPI\[VAO_DINA TERCIARIOS_CF_SEC_20230117.xlsx]CF PNP'!$BY$60</t>
  </si>
  <si>
    <t>='C:\Users\jaime.benazar\Quorum Business Solutions\Ecopetrol Prometeo - Documents\Planning Space Implementation\3. Analysis &amp; Design\Design\FC22\DRR Jaime\Neiva CPI\[VAO_DINA TERCIARIOS_CF_SEC_20230117.xlsx]CF PNP'!$BY$61</t>
  </si>
  <si>
    <t>='C:\Users\jaime.benazar\Quorum Business Solutions\Ecopetrol Prometeo - Documents\Planning Space Implementation\3. Analysis &amp; Design\Design\FC22\DRR Jaime\Neiva CPI\[VAO_DINA TERCIARIOS_CF_SEC_20230117.xlsx]CF PNP'!$BY$62</t>
  </si>
  <si>
    <t>='C:\Users\jaime.benazar\Quorum Business Solutions\Ecopetrol Prometeo - Documents\Planning Space Implementation\3. Analysis &amp; Design\Design\FC22\DRR Jaime\Neiva CPI\[VAO_DINA TERCIARIOS_CF_SEC_20230117.xlsx]CF PNP'!$BY$63</t>
  </si>
  <si>
    <t>='C:\Users\jaime.benazar\Quorum Business Solutions\Ecopetrol Prometeo - Documents\Planning Space Implementation\3. Analysis &amp; Design\Design\FC22\DRR Jaime\Neiva CPI\[VAO_DINA TERCIARIOS_CF_SEC_20230117.xlsx]CF PNP'!$BY$64</t>
  </si>
  <si>
    <t>='C:\Users\jaime.benazar\Quorum Business Solutions\Ecopetrol Prometeo - Documents\Planning Space Implementation\3. Analysis &amp; Design\Design\FC22\DRR Jaime\Neiva CPI\[VAO_DINA TERCIARIOS_CF_SEC_20230117.xlsx]CF PNP'!$BY$65</t>
  </si>
  <si>
    <t>='C:\Users\jaime.benazar\Quorum Business Solutions\Ecopetrol Prometeo - Documents\Planning Space Implementation\3. Analysis &amp; Design\Design\FC22\DRR Jaime\Neiva CPI\[VAO_DINA TERCIARIOS_CF_SEC_20230117.xlsx]CF PNP'!$BY$66</t>
  </si>
  <si>
    <t>='C:\Users\jaime.benazar\Quorum Business Solutions\Ecopetrol Prometeo - Documents\Planning Space Implementation\3. Analysis &amp; Design\Design\FC22\DRR Jaime\Neiva CPI\[VAO_DINA TERCIARIOS_CF_SEC_20230117.xlsx]CF PNP'!$BY$67</t>
  </si>
  <si>
    <t>='C:\Users\jaime.benazar\Quorum Business Solutions\Ecopetrol Prometeo - Documents\Planning Space Implementation\3. Analysis &amp; Design\Design\FC22\DRR Jaime\Neiva CPI\[VAO_DINA TERCIARIOS_CF_SEC_20230117.xlsx]CF PNP'!$BY$68</t>
  </si>
  <si>
    <t>='C:\Users\jaime.benazar\Quorum Business Solutions\Ecopetrol Prometeo - Documents\Planning Space Implementation\3. Analysis &amp; Design\Design\FC22\DRR Jaime\Neiva CPI\[VAO_DINA TERCIARIOS_CF_SEC_20230117.xlsx]CF PNP'!$BY$69</t>
  </si>
  <si>
    <t>='C:\Users\jaime.benazar\Quorum Business Solutions\Ecopetrol Prometeo - Documents\Planning Space Implementation\3. Analysis &amp; Design\Design\FC22\DRR Jaime\Neiva CPI\[VAO_DINA TERCIARIOS_CF_SEC_20230117.xlsx]CF PNP'!$BY$70</t>
  </si>
  <si>
    <t>='C:\Users\jaime.benazar\Quorum Business Solutions\Ecopetrol Prometeo - Documents\Planning Space Implementation\3. Analysis &amp; Design\Design\FC22\DRR Jaime\Neiva CPI\[VAO_DINA TERCIARIOS_CF_SEC_20230117.xlsx]CF PNP'!$BY$71</t>
  </si>
  <si>
    <t>='C:\Users\jaime.benazar\Quorum Business Solutions\Ecopetrol Prometeo - Documents\Planning Space Implementation\3. Analysis &amp; Design\Design\FC22\DRR Jaime\Neiva CPI\[VAO_DINA TERCIARIOS_CF_SEC_20230117.xlsx]CF PNP'!$BY$72</t>
  </si>
  <si>
    <t>='C:\Users\jaime.benazar\Quorum Business Solutions\Ecopetrol Prometeo - Documents\Planning Space Implementation\3. Analysis &amp; Design\Design\FC22\DRR Jaime\Neiva CPI\[VAO_DINA TERCIARIOS_CF_SEC_20230117.xlsx]CF PND'!$BY$36</t>
  </si>
  <si>
    <t>='C:\Users\jaime.benazar\Quorum Business Solutions\Ecopetrol Prometeo - Documents\Planning Space Implementation\3. Analysis &amp; Design\Design\FC22\DRR Jaime\Neiva CPI\[VAO_DINA TERCIARIOS_CF_SEC_20230117.xlsx]CF PND'!$BY$37</t>
  </si>
  <si>
    <t>='C:\Users\jaime.benazar\Quorum Business Solutions\Ecopetrol Prometeo - Documents\Planning Space Implementation\3. Analysis &amp; Design\Design\FC22\DRR Jaime\Neiva CPI\[VAO_DINA TERCIARIOS_CF_SEC_20230117.xlsx]CF PND'!$BY$38</t>
  </si>
  <si>
    <t>='C:\Users\jaime.benazar\Quorum Business Solutions\Ecopetrol Prometeo - Documents\Planning Space Implementation\3. Analysis &amp; Design\Design\FC22\DRR Jaime\Neiva CPI\[VAO_DINA TERCIARIOS_CF_SEC_20230117.xlsx]CF PND'!$BY$39</t>
  </si>
  <si>
    <t>='C:\Users\jaime.benazar\Quorum Business Solutions\Ecopetrol Prometeo - Documents\Planning Space Implementation\3. Analysis &amp; Design\Design\FC22\DRR Jaime\Neiva CPI\[VAO_DINA TERCIARIOS_CF_SEC_20230117.xlsx]CF PND'!$BY$40</t>
  </si>
  <si>
    <t>='C:\Users\jaime.benazar\Quorum Business Solutions\Ecopetrol Prometeo - Documents\Planning Space Implementation\3. Analysis &amp; Design\Design\FC22\DRR Jaime\Neiva CPI\[VAO_DINA TERCIARIOS_CF_SEC_20230117.xlsx]CF PND'!$BY$41</t>
  </si>
  <si>
    <t>='C:\Users\jaime.benazar\Quorum Business Solutions\Ecopetrol Prometeo - Documents\Planning Space Implementation\3. Analysis &amp; Design\Design\FC22\DRR Jaime\Neiva CPI\[VAO_DINA TERCIARIOS_CF_SEC_20230117.xlsx]CF PND'!$BY$42</t>
  </si>
  <si>
    <t>='C:\Users\jaime.benazar\Quorum Business Solutions\Ecopetrol Prometeo - Documents\Planning Space Implementation\3. Analysis &amp; Design\Design\FC22\DRR Jaime\Neiva CPI\[VAO_DINA TERCIARIOS_CF_SEC_20230117.xlsx]CF PND'!$BY$43</t>
  </si>
  <si>
    <t>='C:\Users\jaime.benazar\Quorum Business Solutions\Ecopetrol Prometeo - Documents\Planning Space Implementation\3. Analysis &amp; Design\Design\FC22\DRR Jaime\Neiva CPI\[VAO_DINA TERCIARIOS_CF_SEC_20230117.xlsx]CF PND'!$BY$44</t>
  </si>
  <si>
    <t>='C:\Users\jaime.benazar\Quorum Business Solutions\Ecopetrol Prometeo - Documents\Planning Space Implementation\3. Analysis &amp; Design\Design\FC22\DRR Jaime\Neiva CPI\[VAO_DINA TERCIARIOS_CF_SEC_20230117.xlsx]CF PND'!$BY$45</t>
  </si>
  <si>
    <t>='C:\Users\jaime.benazar\Quorum Business Solutions\Ecopetrol Prometeo - Documents\Planning Space Implementation\3. Analysis &amp; Design\Design\FC22\DRR Jaime\Neiva CPI\[VAO_DINA TERCIARIOS_CF_SEC_20230117.xlsx]CF PND'!$BY$46</t>
  </si>
  <si>
    <t>='C:\Users\jaime.benazar\Quorum Business Solutions\Ecopetrol Prometeo - Documents\Planning Space Implementation\3. Analysis &amp; Design\Design\FC22\DRR Jaime\Neiva CPI\[VAO_DINA TERCIARIOS_CF_SEC_20230117.xlsx]CF PND'!$BY$47</t>
  </si>
  <si>
    <t>='C:\Users\jaime.benazar\Quorum Business Solutions\Ecopetrol Prometeo - Documents\Planning Space Implementation\3. Analysis &amp; Design\Design\FC22\DRR Jaime\Neiva CPI\[VAO_DINA TERCIARIOS_CF_SEC_20230117.xlsx]CF PND'!$BY$48</t>
  </si>
  <si>
    <t>='C:\Users\jaime.benazar\Quorum Business Solutions\Ecopetrol Prometeo - Documents\Planning Space Implementation\3. Analysis &amp; Design\Design\FC22\DRR Jaime\Neiva CPI\[VAO_DINA TERCIARIOS_CF_SEC_20230117.xlsx]CF PND'!$BY$49</t>
  </si>
  <si>
    <t>='C:\Users\jaime.benazar\Quorum Business Solutions\Ecopetrol Prometeo - Documents\Planning Space Implementation\3. Analysis &amp; Design\Design\FC22\DRR Jaime\Neiva CPI\[VAO_DINA TERCIARIOS_CF_SEC_20230117.xlsx]CF PND'!$BY$50</t>
  </si>
  <si>
    <t>='C:\Users\jaime.benazar\Quorum Business Solutions\Ecopetrol Prometeo - Documents\Planning Space Implementation\3. Analysis &amp; Design\Design\FC22\DRR Jaime\Neiva CPI\[VAO_DINA TERCIARIOS_CF_SEC_20230117.xlsx]CF PND'!$BY$51</t>
  </si>
  <si>
    <t>='C:\Users\jaime.benazar\Quorum Business Solutions\Ecopetrol Prometeo - Documents\Planning Space Implementation\3. Analysis &amp; Design\Design\FC22\DRR Jaime\Neiva CPI\[VAO_DINA TERCIARIOS_CF_SEC_20230117.xlsx]CF PND'!$BY$52</t>
  </si>
  <si>
    <t>='C:\Users\jaime.benazar\Quorum Business Solutions\Ecopetrol Prometeo - Documents\Planning Space Implementation\3. Analysis &amp; Design\Design\FC22\DRR Jaime\Neiva CPI\[VAO_DINA TERCIARIOS_CF_SEC_20230117.xlsx]CF PND'!$BY$53</t>
  </si>
  <si>
    <t>='C:\Users\jaime.benazar\Quorum Business Solutions\Ecopetrol Prometeo - Documents\Planning Space Implementation\3. Analysis &amp; Design\Design\FC22\DRR Jaime\Neiva CPI\[VAO_DINA TERCIARIOS_CF_SEC_20230117.xlsx]CF PND'!$BY$54</t>
  </si>
  <si>
    <t>='C:\Users\jaime.benazar\Quorum Business Solutions\Ecopetrol Prometeo - Documents\Planning Space Implementation\3. Analysis &amp; Design\Design\FC22\DRR Jaime\Neiva CPI\[VAO_DINA TERCIARIOS_CF_SEC_20230117.xlsx]CF PND'!$BY$55</t>
  </si>
  <si>
    <t>='C:\Users\jaime.benazar\Quorum Business Solutions\Ecopetrol Prometeo - Documents\Planning Space Implementation\3. Analysis &amp; Design\Design\FC22\DRR Jaime\Neiva CPI\[VAO_DINA TERCIARIOS_CF_SEC_20230117.xlsx]CF PND'!$BY$56</t>
  </si>
  <si>
    <t>='C:\Users\jaime.benazar\Quorum Business Solutions\Ecopetrol Prometeo - Documents\Planning Space Implementation\3. Analysis &amp; Design\Design\FC22\DRR Jaime\Neiva CPI\[VAO_DINA TERCIARIOS_CF_SEC_20230117.xlsx]CF PND'!$BY$57</t>
  </si>
  <si>
    <t>='C:\Users\jaime.benazar\Quorum Business Solutions\Ecopetrol Prometeo - Documents\Planning Space Implementation\3. Analysis &amp; Design\Design\FC22\DRR Jaime\Neiva CPI\[VAO_DINA TERCIARIOS_CF_SEC_20230117.xlsx]CF PND'!$BY$58</t>
  </si>
  <si>
    <t>='C:\Users\jaime.benazar\Quorum Business Solutions\Ecopetrol Prometeo - Documents\Planning Space Implementation\3. Analysis &amp; Design\Design\FC22\DRR Jaime\Neiva CPI\[VAO_DINA TERCIARIOS_CF_SEC_20230117.xlsx]CF PND'!$BY$59</t>
  </si>
  <si>
    <t>='C:\Users\jaime.benazar\Quorum Business Solutions\Ecopetrol Prometeo - Documents\Planning Space Implementation\3. Analysis &amp; Design\Design\FC22\DRR Jaime\Neiva CPI\[VAO_DINA TERCIARIOS_CF_SEC_20230117.xlsx]CF PND'!$BY$60</t>
  </si>
  <si>
    <t>='C:\Users\jaime.benazar\Quorum Business Solutions\Ecopetrol Prometeo - Documents\Planning Space Implementation\3. Analysis &amp; Design\Design\FC22\DRR Jaime\Neiva CPI\[VAO_DINA TERCIARIOS_CF_SEC_20230117.xlsx]CF PND'!$BY$61</t>
  </si>
  <si>
    <t>='C:\Users\jaime.benazar\Quorum Business Solutions\Ecopetrol Prometeo - Documents\Planning Space Implementation\3. Analysis &amp; Design\Design\FC22\DRR Jaime\Neiva CPI\[VAO_DINA TERCIARIOS_CF_SEC_20230117.xlsx]CF PND'!$BY$62</t>
  </si>
  <si>
    <t>='C:\Users\jaime.benazar\Quorum Business Solutions\Ecopetrol Prometeo - Documents\Planning Space Implementation\3. Analysis &amp; Design\Design\FC22\DRR Jaime\Neiva CPI\[VAO_DINA TERCIARIOS_CF_SEC_20230117.xlsx]CF PND'!$BY$63</t>
  </si>
  <si>
    <t>='C:\Users\jaime.benazar\Quorum Business Solutions\Ecopetrol Prometeo - Documents\Planning Space Implementation\3. Analysis &amp; Design\Design\FC22\DRR Jaime\Neiva CPI\[VAO_DINA TERCIARIOS_CF_SEC_20230117.xlsx]CF PND'!$BY$64</t>
  </si>
  <si>
    <t>='C:\Users\jaime.benazar\Quorum Business Solutions\Ecopetrol Prometeo - Documents\Planning Space Implementation\3. Analysis &amp; Design\Design\FC22\DRR Jaime\Neiva CPI\[VAO_DINA TERCIARIOS_CF_SEC_20230117.xlsx]CF PND'!$BY$65</t>
  </si>
  <si>
    <t>='C:\Users\jaime.benazar\Quorum Business Solutions\Ecopetrol Prometeo - Documents\Planning Space Implementation\3. Analysis &amp; Design\Design\FC22\DRR Jaime\Neiva CPI\[VAO_DINA TERCIARIOS_CF_SEC_20230117.xlsx]CF PND'!$BY$66</t>
  </si>
  <si>
    <t>='C:\Users\jaime.benazar\Quorum Business Solutions\Ecopetrol Prometeo - Documents\Planning Space Implementation\3. Analysis &amp; Design\Design\FC22\DRR Jaime\Neiva CPI\[VAO_DINA TERCIARIOS_CF_SEC_20230117.xlsx]CF PND'!$BY$67</t>
  </si>
  <si>
    <t>='C:\Users\jaime.benazar\Quorum Business Solutions\Ecopetrol Prometeo - Documents\Planning Space Implementation\3. Analysis &amp; Design\Design\FC22\DRR Jaime\Neiva CPI\[VAO_DINA TERCIARIOS_CF_SEC_20230117.xlsx]CF PND'!$BY$68</t>
  </si>
  <si>
    <t>='C:\Users\jaime.benazar\Quorum Business Solutions\Ecopetrol Prometeo - Documents\Planning Space Implementation\3. Analysis &amp; Design\Design\FC22\DRR Jaime\Neiva CPI\[VAO_DINA TERCIARIOS_CF_SEC_20230117.xlsx]CF PND'!$BY$69</t>
  </si>
  <si>
    <t>='C:\Users\jaime.benazar\Quorum Business Solutions\Ecopetrol Prometeo - Documents\Planning Space Implementation\3. Analysis &amp; Design\Design\FC22\DRR Jaime\Neiva CPI\[VAO_DINA TERCIARIOS_CF_SEC_20230117.xlsx]CF PND'!$BY$70</t>
  </si>
  <si>
    <t>='C:\Users\jaime.benazar\Quorum Business Solutions\Ecopetrol Prometeo - Documents\Planning Space Implementation\3. Analysis &amp; Design\Design\FC22\DRR Jaime\Neiva CPI\[VAO_DINA TERCIARIOS_CF_SEC_20230117.xlsx]CF PND'!$BY$71</t>
  </si>
  <si>
    <t>='C:\Users\jaime.benazar\Quorum Business Solutions\Ecopetrol Prometeo - Documents\Planning Space Implementation\3. Analysis &amp; Design\Design\FC22\DRR Jaime\Neiva CPI\[VAO_DINA TERCIARIOS_CF_SEC_20230117.xlsx]CF PND'!$BY$72</t>
  </si>
  <si>
    <t>='C:\Users\jaime.benazar\Quorum Business Solutions\Ecopetrol Prometeo - Documents\Planning Space Implementation\3. Analysis &amp; Design\Design\FC22\DRR Jaime\Neiva CPI\[VAO_DINA TERCIARIOS_CF_SEC_20230117.xlsx]CF PRB'!$BY$36</t>
  </si>
  <si>
    <t>='C:\Users\jaime.benazar\Quorum Business Solutions\Ecopetrol Prometeo - Documents\Planning Space Implementation\3. Analysis &amp; Design\Design\FC22\DRR Jaime\Neiva CPI\[VAO_DINA TERCIARIOS_CF_SEC_20230117.xlsx]CF PRB'!$BY$37</t>
  </si>
  <si>
    <t>='C:\Users\jaime.benazar\Quorum Business Solutions\Ecopetrol Prometeo - Documents\Planning Space Implementation\3. Analysis &amp; Design\Design\FC22\DRR Jaime\Neiva CPI\[VAO_DINA TERCIARIOS_CF_SEC_20230117.xlsx]CF PRB'!$BY$38</t>
  </si>
  <si>
    <t>='C:\Users\jaime.benazar\Quorum Business Solutions\Ecopetrol Prometeo - Documents\Planning Space Implementation\3. Analysis &amp; Design\Design\FC22\DRR Jaime\Neiva CPI\[VAO_DINA TERCIARIOS_CF_SEC_20230117.xlsx]CF PRB'!$BY$39</t>
  </si>
  <si>
    <t>='C:\Users\jaime.benazar\Quorum Business Solutions\Ecopetrol Prometeo - Documents\Planning Space Implementation\3. Analysis &amp; Design\Design\FC22\DRR Jaime\Neiva CPI\[VAO_DINA TERCIARIOS_CF_SEC_20230117.xlsx]CF PRB'!$BY$40</t>
  </si>
  <si>
    <t>='C:\Users\jaime.benazar\Quorum Business Solutions\Ecopetrol Prometeo - Documents\Planning Space Implementation\3. Analysis &amp; Design\Design\FC22\DRR Jaime\Neiva CPI\[VAO_DINA TERCIARIOS_CF_SEC_20230117.xlsx]CF PRB'!$BY$41</t>
  </si>
  <si>
    <t>='C:\Users\jaime.benazar\Quorum Business Solutions\Ecopetrol Prometeo - Documents\Planning Space Implementation\3. Analysis &amp; Design\Design\FC22\DRR Jaime\Neiva CPI\[VAO_DINA TERCIARIOS_CF_SEC_20230117.xlsx]CF PRB'!$BY$42</t>
  </si>
  <si>
    <t>='C:\Users\jaime.benazar\Quorum Business Solutions\Ecopetrol Prometeo - Documents\Planning Space Implementation\3. Analysis &amp; Design\Design\FC22\DRR Jaime\Neiva CPI\[VAO_DINA TERCIARIOS_CF_SEC_20230117.xlsx]CF PRB'!$BY$43</t>
  </si>
  <si>
    <t>='C:\Users\jaime.benazar\Quorum Business Solutions\Ecopetrol Prometeo - Documents\Planning Space Implementation\3. Analysis &amp; Design\Design\FC22\DRR Jaime\Neiva CPI\[VAO_DINA TERCIARIOS_CF_SEC_20230117.xlsx]CF PRB'!$BY$44</t>
  </si>
  <si>
    <t>='C:\Users\jaime.benazar\Quorum Business Solutions\Ecopetrol Prometeo - Documents\Planning Space Implementation\3. Analysis &amp; Design\Design\FC22\DRR Jaime\Neiva CPI\[VAO_DINA TERCIARIOS_CF_SEC_20230117.xlsx]CF PRB'!$BY$45</t>
  </si>
  <si>
    <t>='C:\Users\jaime.benazar\Quorum Business Solutions\Ecopetrol Prometeo - Documents\Planning Space Implementation\3. Analysis &amp; Design\Design\FC22\DRR Jaime\Neiva CPI\[VAO_DINA TERCIARIOS_CF_SEC_20230117.xlsx]CF PRB'!$BY$46</t>
  </si>
  <si>
    <t>='C:\Users\jaime.benazar\Quorum Business Solutions\Ecopetrol Prometeo - Documents\Planning Space Implementation\3. Analysis &amp; Design\Design\FC22\DRR Jaime\Neiva CPI\[VAO_DINA TERCIARIOS_CF_SEC_20230117.xlsx]CF PRB'!$BY$47</t>
  </si>
  <si>
    <t>='C:\Users\jaime.benazar\Quorum Business Solutions\Ecopetrol Prometeo - Documents\Planning Space Implementation\3. Analysis &amp; Design\Design\FC22\DRR Jaime\Neiva CPI\[VAO_DINA TERCIARIOS_CF_SEC_20230117.xlsx]CF PRB'!$BY$48</t>
  </si>
  <si>
    <t>='C:\Users\jaime.benazar\Quorum Business Solutions\Ecopetrol Prometeo - Documents\Planning Space Implementation\3. Analysis &amp; Design\Design\FC22\DRR Jaime\Neiva CPI\[VAO_DINA TERCIARIOS_CF_SEC_20230117.xlsx]CF PRB'!$BY$49</t>
  </si>
  <si>
    <t>='C:\Users\jaime.benazar\Quorum Business Solutions\Ecopetrol Prometeo - Documents\Planning Space Implementation\3. Analysis &amp; Design\Design\FC22\DRR Jaime\Neiva CPI\[VAO_DINA TERCIARIOS_CF_SEC_20230117.xlsx]CF PRB'!$BY$50</t>
  </si>
  <si>
    <t>='C:\Users\jaime.benazar\Quorum Business Solutions\Ecopetrol Prometeo - Documents\Planning Space Implementation\3. Analysis &amp; Design\Design\FC22\DRR Jaime\Neiva CPI\[VAO_DINA TERCIARIOS_CF_SEC_20230117.xlsx]CF PRB'!$BY$51</t>
  </si>
  <si>
    <t>='C:\Users\jaime.benazar\Quorum Business Solutions\Ecopetrol Prometeo - Documents\Planning Space Implementation\3. Analysis &amp; Design\Design\FC22\DRR Jaime\Neiva CPI\[VAO_DINA TERCIARIOS_CF_SEC_20230117.xlsx]CF PRB'!$BY$52</t>
  </si>
  <si>
    <t>='C:\Users\jaime.benazar\Quorum Business Solutions\Ecopetrol Prometeo - Documents\Planning Space Implementation\3. Analysis &amp; Design\Design\FC22\DRR Jaime\Neiva CPI\[VAO_DINA TERCIARIOS_CF_SEC_20230117.xlsx]CF PRB'!$BY$53</t>
  </si>
  <si>
    <t>='C:\Users\jaime.benazar\Quorum Business Solutions\Ecopetrol Prometeo - Documents\Planning Space Implementation\3. Analysis &amp; Design\Design\FC22\DRR Jaime\Neiva CPI\[VAO_DINA TERCIARIOS_CF_SEC_20230117.xlsx]CF PRB'!$BY$54</t>
  </si>
  <si>
    <t>='C:\Users\jaime.benazar\Quorum Business Solutions\Ecopetrol Prometeo - Documents\Planning Space Implementation\3. Analysis &amp; Design\Design\FC22\DRR Jaime\Neiva CPI\[VAO_DINA TERCIARIOS_CF_SEC_20230117.xlsx]CF PRB'!$BY$55</t>
  </si>
  <si>
    <t>='C:\Users\jaime.benazar\Quorum Business Solutions\Ecopetrol Prometeo - Documents\Planning Space Implementation\3. Analysis &amp; Design\Design\FC22\DRR Jaime\Neiva CPI\[VAO_DINA TERCIARIOS_CF_SEC_20230117.xlsx]CF PRB'!$BY$56</t>
  </si>
  <si>
    <t>='C:\Users\jaime.benazar\Quorum Business Solutions\Ecopetrol Prometeo - Documents\Planning Space Implementation\3. Analysis &amp; Design\Design\FC22\DRR Jaime\Neiva CPI\[VAO_DINA TERCIARIOS_CF_SEC_20230117.xlsx]CF PRB'!$BY$57</t>
  </si>
  <si>
    <t>='C:\Users\jaime.benazar\Quorum Business Solutions\Ecopetrol Prometeo - Documents\Planning Space Implementation\3. Analysis &amp; Design\Design\FC22\DRR Jaime\Neiva CPI\[VAO_DINA TERCIARIOS_CF_SEC_20230117.xlsx]CF PRB'!$BY$58</t>
  </si>
  <si>
    <t>='C:\Users\jaime.benazar\Quorum Business Solutions\Ecopetrol Prometeo - Documents\Planning Space Implementation\3. Analysis &amp; Design\Design\FC22\DRR Jaime\Neiva CPI\[VAO_DINA TERCIARIOS_CF_SEC_20230117.xlsx]CF PRB'!$BY$59</t>
  </si>
  <si>
    <t>='C:\Users\jaime.benazar\Quorum Business Solutions\Ecopetrol Prometeo - Documents\Planning Space Implementation\3. Analysis &amp; Design\Design\FC22\DRR Jaime\Neiva CPI\[VAO_DINA TERCIARIOS_CF_SEC_20230117.xlsx]CF PRB'!$BY$60</t>
  </si>
  <si>
    <t>='C:\Users\jaime.benazar\Quorum Business Solutions\Ecopetrol Prometeo - Documents\Planning Space Implementation\3. Analysis &amp; Design\Design\FC22\DRR Jaime\Neiva CPI\[VAO_DINA TERCIARIOS_CF_SEC_20230117.xlsx]CF PRB'!$BY$61</t>
  </si>
  <si>
    <t>='C:\Users\jaime.benazar\Quorum Business Solutions\Ecopetrol Prometeo - Documents\Planning Space Implementation\3. Analysis &amp; Design\Design\FC22\DRR Jaime\Neiva CPI\[VAO_DINA TERCIARIOS_CF_SEC_20230117.xlsx]CF PRB'!$BY$62</t>
  </si>
  <si>
    <t>='C:\Users\jaime.benazar\Quorum Business Solutions\Ecopetrol Prometeo - Documents\Planning Space Implementation\3. Analysis &amp; Design\Design\FC22\DRR Jaime\Neiva CPI\[VAO_DINA TERCIARIOS_CF_SEC_20230117.xlsx]CF PRB'!$BY$63</t>
  </si>
  <si>
    <t>='C:\Users\jaime.benazar\Quorum Business Solutions\Ecopetrol Prometeo - Documents\Planning Space Implementation\3. Analysis &amp; Design\Design\FC22\DRR Jaime\Neiva CPI\[VAO_DINA TERCIARIOS_CF_SEC_20230117.xlsx]CF PRB'!$BY$64</t>
  </si>
  <si>
    <t>='C:\Users\jaime.benazar\Quorum Business Solutions\Ecopetrol Prometeo - Documents\Planning Space Implementation\3. Analysis &amp; Design\Design\FC22\DRR Jaime\Neiva CPI\[VAO_DINA TERCIARIOS_CF_SEC_20230117.xlsx]CF PRB'!$BY$65</t>
  </si>
  <si>
    <t>='C:\Users\jaime.benazar\Quorum Business Solutions\Ecopetrol Prometeo - Documents\Planning Space Implementation\3. Analysis &amp; Design\Design\FC22\DRR Jaime\Neiva CPI\[VAO_DINA TERCIARIOS_CF_SEC_20230117.xlsx]CF PRB'!$BY$66</t>
  </si>
  <si>
    <t>='C:\Users\jaime.benazar\Quorum Business Solutions\Ecopetrol Prometeo - Documents\Planning Space Implementation\3. Analysis &amp; Design\Design\FC22\DRR Jaime\Neiva CPI\[VAO_DINA TERCIARIOS_CF_SEC_20230117.xlsx]CF PRB'!$BY$67</t>
  </si>
  <si>
    <t>='C:\Users\jaime.benazar\Quorum Business Solutions\Ecopetrol Prometeo - Documents\Planning Space Implementation\3. Analysis &amp; Design\Design\FC22\DRR Jaime\Neiva CPI\[VAO_DINA TERCIARIOS_CF_SEC_20230117.xlsx]CF PRB'!$BY$68</t>
  </si>
  <si>
    <t>='C:\Users\jaime.benazar\Quorum Business Solutions\Ecopetrol Prometeo - Documents\Planning Space Implementation\3. Analysis &amp; Design\Design\FC22\DRR Jaime\Neiva CPI\[VAO_DINA TERCIARIOS_CF_SEC_20230117.xlsx]CF PRB'!$BY$69</t>
  </si>
  <si>
    <t>='C:\Users\jaime.benazar\Quorum Business Solutions\Ecopetrol Prometeo - Documents\Planning Space Implementation\3. Analysis &amp; Design\Design\FC22\DRR Jaime\Neiva CPI\[VAO_DINA TERCIARIOS_CF_SEC_20230117.xlsx]CF PRB'!$BY$70</t>
  </si>
  <si>
    <t>='C:\Users\jaime.benazar\Quorum Business Solutions\Ecopetrol Prometeo - Documents\Planning Space Implementation\3. Analysis &amp; Design\Design\FC22\DRR Jaime\Neiva CPI\[VAO_DINA TERCIARIOS_CF_SEC_20230117.xlsx]CF PRB'!$BY$71</t>
  </si>
  <si>
    <t>='C:\Users\jaime.benazar\Quorum Business Solutions\Ecopetrol Prometeo - Documents\Planning Space Implementation\3. Analysis &amp; Design\Design\FC22\DRR Jaime\Neiva CPI\[VAO_DINA TERCIARIOS_CF_SEC_20230117.xlsx]CF PRB'!$BY$72</t>
  </si>
  <si>
    <t>='C:\Users\jaime.benazar\Quorum Business Solutions\Ecopetrol Prometeo - Documents\Planning Space Implementation\3. Analysis &amp; Design\Design\FC22\DRR Jaime\Neiva CPI\[VAO_DINA TERCIARIOS_CF_SEC_20230117.xlsx]CF PS'!$BY$36</t>
  </si>
  <si>
    <t>='C:\Users\jaime.benazar\Quorum Business Solutions\Ecopetrol Prometeo - Documents\Planning Space Implementation\3. Analysis &amp; Design\Design\FC22\DRR Jaime\Neiva CPI\[VAO_DINA TERCIARIOS_CF_SEC_20230117.xlsx]CF PS'!$BY$37</t>
  </si>
  <si>
    <t>='C:\Users\jaime.benazar\Quorum Business Solutions\Ecopetrol Prometeo - Documents\Planning Space Implementation\3. Analysis &amp; Design\Design\FC22\DRR Jaime\Neiva CPI\[VAO_DINA TERCIARIOS_CF_SEC_20230117.xlsx]CF PS'!$BY$38</t>
  </si>
  <si>
    <t>='C:\Users\jaime.benazar\Quorum Business Solutions\Ecopetrol Prometeo - Documents\Planning Space Implementation\3. Analysis &amp; Design\Design\FC22\DRR Jaime\Neiva CPI\[VAO_DINA TERCIARIOS_CF_SEC_20230117.xlsx]CF PS'!$BY$39</t>
  </si>
  <si>
    <t>='C:\Users\jaime.benazar\Quorum Business Solutions\Ecopetrol Prometeo - Documents\Planning Space Implementation\3. Analysis &amp; Design\Design\FC22\DRR Jaime\Neiva CPI\[VAO_DINA TERCIARIOS_CF_SEC_20230117.xlsx]CF PS'!$BY$40</t>
  </si>
  <si>
    <t>='C:\Users\jaime.benazar\Quorum Business Solutions\Ecopetrol Prometeo - Documents\Planning Space Implementation\3. Analysis &amp; Design\Design\FC22\DRR Jaime\Neiva CPI\[VAO_DINA TERCIARIOS_CF_SEC_20230117.xlsx]CF PS'!$BY$41</t>
  </si>
  <si>
    <t>='C:\Users\jaime.benazar\Quorum Business Solutions\Ecopetrol Prometeo - Documents\Planning Space Implementation\3. Analysis &amp; Design\Design\FC22\DRR Jaime\Neiva CPI\[VAO_DINA TERCIARIOS_CF_SEC_20230117.xlsx]CF PS'!$BY$42</t>
  </si>
  <si>
    <t>='C:\Users\jaime.benazar\Quorum Business Solutions\Ecopetrol Prometeo - Documents\Planning Space Implementation\3. Analysis &amp; Design\Design\FC22\DRR Jaime\Neiva CPI\[VAO_DINA TERCIARIOS_CF_SEC_20230117.xlsx]CF PS'!$BY$43</t>
  </si>
  <si>
    <t>='C:\Users\jaime.benazar\Quorum Business Solutions\Ecopetrol Prometeo - Documents\Planning Space Implementation\3. Analysis &amp; Design\Design\FC22\DRR Jaime\Neiva CPI\[VAO_DINA TERCIARIOS_CF_SEC_20230117.xlsx]CF PS'!$BY$44</t>
  </si>
  <si>
    <t>='C:\Users\jaime.benazar\Quorum Business Solutions\Ecopetrol Prometeo - Documents\Planning Space Implementation\3. Analysis &amp; Design\Design\FC22\DRR Jaime\Neiva CPI\[VAO_DINA TERCIARIOS_CF_SEC_20230117.xlsx]CF PS'!$BY$45</t>
  </si>
  <si>
    <t>='C:\Users\jaime.benazar\Quorum Business Solutions\Ecopetrol Prometeo - Documents\Planning Space Implementation\3. Analysis &amp; Design\Design\FC22\DRR Jaime\Neiva CPI\[VAO_DINA TERCIARIOS_CF_SEC_20230117.xlsx]CF PS'!$BY$46</t>
  </si>
  <si>
    <t>='C:\Users\jaime.benazar\Quorum Business Solutions\Ecopetrol Prometeo - Documents\Planning Space Implementation\3. Analysis &amp; Design\Design\FC22\DRR Jaime\Neiva CPI\[VAO_DINA TERCIARIOS_CF_SEC_20230117.xlsx]CF PS'!$BY$47</t>
  </si>
  <si>
    <t>='C:\Users\jaime.benazar\Quorum Business Solutions\Ecopetrol Prometeo - Documents\Planning Space Implementation\3. Analysis &amp; Design\Design\FC22\DRR Jaime\Neiva CPI\[VAO_DINA TERCIARIOS_CF_SEC_20230117.xlsx]CF PS'!$BY$48</t>
  </si>
  <si>
    <t>='C:\Users\jaime.benazar\Quorum Business Solutions\Ecopetrol Prometeo - Documents\Planning Space Implementation\3. Analysis &amp; Design\Design\FC22\DRR Jaime\Neiva CPI\[VAO_DINA TERCIARIOS_CF_SEC_20230117.xlsx]CF PS'!$BY$49</t>
  </si>
  <si>
    <t>='C:\Users\jaime.benazar\Quorum Business Solutions\Ecopetrol Prometeo - Documents\Planning Space Implementation\3. Analysis &amp; Design\Design\FC22\DRR Jaime\Neiva CPI\[VAO_DINA TERCIARIOS_CF_SEC_20230117.xlsx]CF PS'!$BY$50</t>
  </si>
  <si>
    <t>='C:\Users\jaime.benazar\Quorum Business Solutions\Ecopetrol Prometeo - Documents\Planning Space Implementation\3. Analysis &amp; Design\Design\FC22\DRR Jaime\Neiva CPI\[VAO_DINA TERCIARIOS_CF_SEC_20230117.xlsx]CF PS'!$BY$51</t>
  </si>
  <si>
    <t>='C:\Users\jaime.benazar\Quorum Business Solutions\Ecopetrol Prometeo - Documents\Planning Space Implementation\3. Analysis &amp; Design\Design\FC22\DRR Jaime\Neiva CPI\[VAO_DINA TERCIARIOS_CF_SEC_20230117.xlsx]CF PS'!$BY$52</t>
  </si>
  <si>
    <t>='C:\Users\jaime.benazar\Quorum Business Solutions\Ecopetrol Prometeo - Documents\Planning Space Implementation\3. Analysis &amp; Design\Design\FC22\DRR Jaime\Neiva CPI\[VAO_DINA TERCIARIOS_CF_SEC_20230117.xlsx]CF PS'!$BY$53</t>
  </si>
  <si>
    <t>='C:\Users\jaime.benazar\Quorum Business Solutions\Ecopetrol Prometeo - Documents\Planning Space Implementation\3. Analysis &amp; Design\Design\FC22\DRR Jaime\Neiva CPI\[VAO_DINA TERCIARIOS_CF_SEC_20230117.xlsx]CF PS'!$BY$54</t>
  </si>
  <si>
    <t>='C:\Users\jaime.benazar\Quorum Business Solutions\Ecopetrol Prometeo - Documents\Planning Space Implementation\3. Analysis &amp; Design\Design\FC22\DRR Jaime\Neiva CPI\[VAO_DINA TERCIARIOS_CF_SEC_20230117.xlsx]CF PS'!$BY$55</t>
  </si>
  <si>
    <t>='C:\Users\jaime.benazar\Quorum Business Solutions\Ecopetrol Prometeo - Documents\Planning Space Implementation\3. Analysis &amp; Design\Design\FC22\DRR Jaime\Neiva CPI\[VAO_DINA TERCIARIOS_CF_SEC_20230117.xlsx]CF PS'!$BY$56</t>
  </si>
  <si>
    <t>='C:\Users\jaime.benazar\Quorum Business Solutions\Ecopetrol Prometeo - Documents\Planning Space Implementation\3. Analysis &amp; Design\Design\FC22\DRR Jaime\Neiva CPI\[VAO_DINA TERCIARIOS_CF_SEC_20230117.xlsx]CF PS'!$BY$57</t>
  </si>
  <si>
    <t>='C:\Users\jaime.benazar\Quorum Business Solutions\Ecopetrol Prometeo - Documents\Planning Space Implementation\3. Analysis &amp; Design\Design\FC22\DRR Jaime\Neiva CPI\[VAO_DINA TERCIARIOS_CF_SEC_20230117.xlsx]CF PS'!$BY$58</t>
  </si>
  <si>
    <t>='C:\Users\jaime.benazar\Quorum Business Solutions\Ecopetrol Prometeo - Documents\Planning Space Implementation\3. Analysis &amp; Design\Design\FC22\DRR Jaime\Neiva CPI\[VAO_DINA TERCIARIOS_CF_SEC_20230117.xlsx]CF PS'!$BY$59</t>
  </si>
  <si>
    <t>='C:\Users\jaime.benazar\Quorum Business Solutions\Ecopetrol Prometeo - Documents\Planning Space Implementation\3. Analysis &amp; Design\Design\FC22\DRR Jaime\Neiva CPI\[VAO_DINA TERCIARIOS_CF_SEC_20230117.xlsx]CF PS'!$BY$60</t>
  </si>
  <si>
    <t>='C:\Users\jaime.benazar\Quorum Business Solutions\Ecopetrol Prometeo - Documents\Planning Space Implementation\3. Analysis &amp; Design\Design\FC22\DRR Jaime\Neiva CPI\[VAO_DINA TERCIARIOS_CF_SEC_20230117.xlsx]CF PS'!$BY$61</t>
  </si>
  <si>
    <t>='C:\Users\jaime.benazar\Quorum Business Solutions\Ecopetrol Prometeo - Documents\Planning Space Implementation\3. Analysis &amp; Design\Design\FC22\DRR Jaime\Neiva CPI\[VAO_DINA TERCIARIOS_CF_SEC_20230117.xlsx]CF PS'!$BY$62</t>
  </si>
  <si>
    <t>='C:\Users\jaime.benazar\Quorum Business Solutions\Ecopetrol Prometeo - Documents\Planning Space Implementation\3. Analysis &amp; Design\Design\FC22\DRR Jaime\Neiva CPI\[VAO_DINA TERCIARIOS_CF_SEC_20230117.xlsx]CF PS'!$BY$63</t>
  </si>
  <si>
    <t>='C:\Users\jaime.benazar\Quorum Business Solutions\Ecopetrol Prometeo - Documents\Planning Space Implementation\3. Analysis &amp; Design\Design\FC22\DRR Jaime\Neiva CPI\[VAO_DINA TERCIARIOS_CF_SEC_20230117.xlsx]CF PS'!$BY$64</t>
  </si>
  <si>
    <t>='C:\Users\jaime.benazar\Quorum Business Solutions\Ecopetrol Prometeo - Documents\Planning Space Implementation\3. Analysis &amp; Design\Design\FC22\DRR Jaime\Neiva CPI\[VAO_DINA TERCIARIOS_CF_SEC_20230117.xlsx]CF PS'!$BY$65</t>
  </si>
  <si>
    <t>='C:\Users\jaime.benazar\Quorum Business Solutions\Ecopetrol Prometeo - Documents\Planning Space Implementation\3. Analysis &amp; Design\Design\FC22\DRR Jaime\Neiva CPI\[VAO_DINA TERCIARIOS_CF_SEC_20230117.xlsx]CF PS'!$BY$66</t>
  </si>
  <si>
    <t>='C:\Users\jaime.benazar\Quorum Business Solutions\Ecopetrol Prometeo - Documents\Planning Space Implementation\3. Analysis &amp; Design\Design\FC22\DRR Jaime\Neiva CPI\[VAO_DINA TERCIARIOS_CF_SEC_20230117.xlsx]CF PS'!$BY$67</t>
  </si>
  <si>
    <t>='C:\Users\jaime.benazar\Quorum Business Solutions\Ecopetrol Prometeo - Documents\Planning Space Implementation\3. Analysis &amp; Design\Design\FC22\DRR Jaime\Neiva CPI\[VAO_DINA TERCIARIOS_CF_SEC_20230117.xlsx]CF PS'!$BY$68</t>
  </si>
  <si>
    <t>='C:\Users\jaime.benazar\Quorum Business Solutions\Ecopetrol Prometeo - Documents\Planning Space Implementation\3. Analysis &amp; Design\Design\FC22\DRR Jaime\Neiva CPI\[VAO_DINA TERCIARIOS_CF_SEC_20230117.xlsx]CF PS'!$BY$69</t>
  </si>
  <si>
    <t>='C:\Users\jaime.benazar\Quorum Business Solutions\Ecopetrol Prometeo - Documents\Planning Space Implementation\3. Analysis &amp; Design\Design\FC22\DRR Jaime\Neiva CPI\[VAO_DINA TERCIARIOS_CF_SEC_20230117.xlsx]CF PS'!$BY$70</t>
  </si>
  <si>
    <t>='C:\Users\jaime.benazar\Quorum Business Solutions\Ecopetrol Prometeo - Documents\Planning Space Implementation\3. Analysis &amp; Design\Design\FC22\DRR Jaime\Neiva CPI\[VAO_DINA TERCIARIOS_CF_SEC_20230117.xlsx]CF PS'!$BY$71</t>
  </si>
  <si>
    <t>='C:\Users\jaime.benazar\Quorum Business Solutions\Ecopetrol Prometeo - Documents\Planning Space Implementation\3. Analysis &amp; Design\Design\FC22\DRR Jaime\Neiva CPI\[VAO_DINA TERCIARIOS_CF_SEC_20230117.xlsx]CF PS'!$BY$72</t>
  </si>
  <si>
    <t>='C:\Users\jaime.benazar\Quorum Business Solutions\Ecopetrol Prometeo - Documents\Planning Space Implementation\3. Analysis &amp; Design\Design\FC22\DRR Jaime\Neiva CPI\[VAO_DINA TERCIARIOS_CF_SEC_20230117.xlsx]Consolidado'!$J$12</t>
  </si>
  <si>
    <t>='C:\Users\jaime.benazar\Quorum Business Solutions\Ecopetrol Prometeo - Documents\Planning Space Implementation\3. Analysis &amp; Design\Design\FC22\DRR Jaime\Neiva CPI\[VAO_DINA TERCIARIOS_CF_SEC_20230117.xlsx]Consolidado'!$J$13</t>
  </si>
  <si>
    <t>='C:\Users\jaime.benazar\Quorum Business Solutions\Ecopetrol Prometeo - Documents\Planning Space Implementation\3. Analysis &amp; Design\Design\FC22\DRR Jaime\Neiva CPI\[VAO_DINA TERCIARIOS_CF_SEC_20230117.xlsx]Consolidado'!$J$14</t>
  </si>
  <si>
    <t>='C:\Users\jaime.benazar\Quorum Business Solutions\Ecopetrol Prometeo - Documents\Planning Space Implementation\3. Analysis &amp; Design\Design\FC22\DRR Jaime\Neiva CPI\[VAO_DINA TERCIARIOS_CF_SEC_20230117.xlsx]Consolidado'!$J$17</t>
  </si>
  <si>
    <t>='C:\Users\jaime.benazar\Quorum Business Solutions\Ecopetrol Prometeo - Documents\Planning Space Implementation\3. Analysis &amp; Design\Design\FC22\DRR Jaime\Neiva CPI\[VAO_DINA TERCIARIOS_CF_SEC_20230117.xlsx]Consolidado'!$J$18</t>
  </si>
  <si>
    <t>='C:\Users\jaime.benazar\Quorum Business Solutions\Ecopetrol Prometeo - Documents\Planning Space Implementation\3. Analysis &amp; Design\Design\FC22\DRR Jaime\Neiva CPI\[VAO_DINA TERCIARIOS_CF_SEC_20230117.xlsx]Consolidado'!$J$19</t>
  </si>
  <si>
    <t>='C:\Users\jaime.benazar\Quorum Business Solutions\Ecopetrol Prometeo - Documents\Planning Space Implementation\3. Analysis &amp; Design\Design\FC22\DRR Jaime\Neiva CPI\[VAO_DINA TERCIARIOS_CF_SEC_20230117.xlsx]Consolidado'!$J$21</t>
  </si>
  <si>
    <t>='C:\Users\jaime.benazar\Quorum Business Solutions\Ecopetrol Prometeo - Documents\Planning Space Implementation\3. Analysis &amp; Design\Design\FC22\DRR Jaime\Neiva CPI\[VAO_DINA TERCIARIOS_CF_SEC_20230117.xlsx]Consolidado'!$J$22</t>
  </si>
  <si>
    <t>='C:\Users\jaime.benazar\Quorum Business Solutions\Ecopetrol Prometeo - Documents\Planning Space Implementation\3. Analysis &amp; Design\Design\FC22\DRR Jaime\Neiva CPI\[VAO_DINA TERCIARIOS_CF_SEC_20230117.xlsx]Consolidado'!$J$23</t>
  </si>
  <si>
    <t>='C:\Users\jaime.benazar\Quorum Business Solutions\Ecopetrol Prometeo - Documents\Planning Space Implementation\3. Analysis &amp; Design\Design\FC22\DRR Jaime\Neiva CPI\[VAO_DINA TERCIARIOS_CF_SEC_20230117.xlsx]Consolidado'!$L$12</t>
  </si>
  <si>
    <t>='C:\Users\jaime.benazar\Quorum Business Solutions\Ecopetrol Prometeo - Documents\Planning Space Implementation\3. Analysis &amp; Design\Design\FC22\DRR Jaime\Neiva CPI\[VAO_DINA TERCIARIOS_CF_SEC_20230117.xlsx]Consolidado'!$L$13</t>
  </si>
  <si>
    <t>='C:\Users\jaime.benazar\Quorum Business Solutions\Ecopetrol Prometeo - Documents\Planning Space Implementation\3. Analysis &amp; Design\Design\FC22\DRR Jaime\Neiva CPI\[VAO_DINA TERCIARIOS_CF_SEC_20230117.xlsx]Consolidado'!$L$14</t>
  </si>
  <si>
    <t>='C:\Users\jaime.benazar\Quorum Business Solutions\Ecopetrol Prometeo - Documents\Planning Space Implementation\3. Analysis &amp; Design\Design\FC22\DRR Jaime\Neiva CPI\[VAO_DINA TERCIARIOS_CF_SEC_20230117.xlsx]Consolidado'!$L$17</t>
  </si>
  <si>
    <t>='C:\Users\jaime.benazar\Quorum Business Solutions\Ecopetrol Prometeo - Documents\Planning Space Implementation\3. Analysis &amp; Design\Design\FC22\DRR Jaime\Neiva CPI\[VAO_DINA TERCIARIOS_CF_SEC_20230117.xlsx]Consolidado'!$L$18</t>
  </si>
  <si>
    <t>='C:\Users\jaime.benazar\Quorum Business Solutions\Ecopetrol Prometeo - Documents\Planning Space Implementation\3. Analysis &amp; Design\Design\FC22\DRR Jaime\Neiva CPI\[VAO_DINA TERCIARIOS_CF_SEC_20230117.xlsx]Consolidado'!$L$19</t>
  </si>
  <si>
    <t>='C:\Users\jaime.benazar\Quorum Business Solutions\Ecopetrol Prometeo - Documents\Planning Space Implementation\3. Analysis &amp; Design\Design\FC22\DRR Jaime\Neiva CPI\[VAO_DINA TERCIARIOS_CF_SEC_20230117.xlsx]Consolidado'!$L$21</t>
  </si>
  <si>
    <t>='C:\Users\jaime.benazar\Quorum Business Solutions\Ecopetrol Prometeo - Documents\Planning Space Implementation\3. Analysis &amp; Design\Design\FC22\DRR Jaime\Neiva CPI\[VAO_DINA TERCIARIOS_CF_SEC_20230117.xlsx]Consolidado'!$L$22</t>
  </si>
  <si>
    <t>='C:\Users\jaime.benazar\Quorum Business Solutions\Ecopetrol Prometeo - Documents\Planning Space Implementation\3. Analysis &amp; Design\Design\FC22\DRR Jaime\Neiva CPI\[VAO_DINA TERCIARIOS_CF_SEC_20230117.xlsx]Consolidado'!$L$23</t>
  </si>
  <si>
    <t>C:\Users\jaime.benazar\Quorum Business Solutions\Ecopetrol Prometeo - Documents\Planning Space Implementation\3. Analysis &amp; Design\Design\FC22\DRR Jaime\Neiva CPI\DINA TERCIARIOS_CF_SEC_New_27-Mar-2024.xlsx</t>
  </si>
  <si>
    <t>C:\Users\jaime.benazar\Quorum Business Solutions\Ecopetrol Prometeo - Documents\Planning Space Implementation\3. Analysis &amp; Design\Design\FC22\DRR Jaime\Neiva CPI\[DINA TERCIARIOS_CF_SEC_New_27-Mar-2024.xlsx]</t>
  </si>
  <si>
    <t>C:\Users\jaime.benazar\Quorum Business Solutions\Ecopetrol Prometeo - Documents\Planning Space Implementation\3. Analysis &amp; Design\Design\FC22\DRR Jaime\Neiva CPI\[DINA TERCIARIOS_CF_SEC_New_27-Mar-2024.xlsx]D-</t>
  </si>
  <si>
    <t>='C:\Users\jaime.benazar\Quorum Business Solutions\Ecopetrol Prometeo - Documents\Planning Space Implementation\3. Analysis &amp; Design\Design\FC22\DRR Jaime\Neiva CPI\[DINA TERCIARIOS_CF_SEC_New_27-Mar-2024.xlsx]D-PDP'!$BB$12</t>
  </si>
  <si>
    <t>='C:\Users\jaime.benazar\Quorum Business Solutions\Ecopetrol Prometeo - Documents\Planning Space Implementation\3. Analysis &amp; Design\Design\FC22\DRR Jaime\Neiva CPI\[DINA TERCIARIOS_CF_SEC_New_27-Mar-2024.xlsx]D-PDP'!$BB$13</t>
  </si>
  <si>
    <t>='C:\Users\jaime.benazar\Quorum Business Solutions\Ecopetrol Prometeo - Documents\Planning Space Implementation\3. Analysis &amp; Design\Design\FC22\DRR Jaime\Neiva CPI\[DINA TERCIARIOS_CF_SEC_New_27-Mar-2024.xlsx]D-PDP'!$BB$14</t>
  </si>
  <si>
    <t>='C:\Users\jaime.benazar\Quorum Business Solutions\Ecopetrol Prometeo - Documents\Planning Space Implementation\3. Analysis &amp; Design\Design\FC22\DRR Jaime\Neiva CPI\[DINA TERCIARIOS_CF_SEC_New_27-Mar-2024.xlsx]D-PDP'!$BB$15</t>
  </si>
  <si>
    <t>='C:\Users\jaime.benazar\Quorum Business Solutions\Ecopetrol Prometeo - Documents\Planning Space Implementation\3. Analysis &amp; Design\Design\FC22\DRR Jaime\Neiva CPI\[DINA TERCIARIOS_CF_SEC_New_27-Mar-2024.xlsx]D-PDP'!$BB$16</t>
  </si>
  <si>
    <t>='C:\Users\jaime.benazar\Quorum Business Solutions\Ecopetrol Prometeo - Documents\Planning Space Implementation\3. Analysis &amp; Design\Design\FC22\DRR Jaime\Neiva CPI\[DINA TERCIARIOS_CF_SEC_New_27-Mar-2024.xlsx]D-PDP'!$BB$17</t>
  </si>
  <si>
    <t>='C:\Users\jaime.benazar\Quorum Business Solutions\Ecopetrol Prometeo - Documents\Planning Space Implementation\3. Analysis &amp; Design\Design\FC22\DRR Jaime\Neiva CPI\[DINA TERCIARIOS_CF_SEC_New_27-Mar-2024.xlsx]D-PDP'!$BB$18</t>
  </si>
  <si>
    <t>='C:\Users\jaime.benazar\Quorum Business Solutions\Ecopetrol Prometeo - Documents\Planning Space Implementation\3. Analysis &amp; Design\Design\FC22\DRR Jaime\Neiva CPI\[DINA TERCIARIOS_CF_SEC_New_27-Mar-2024.xlsx]D-PDP'!$BB$19</t>
  </si>
  <si>
    <t>='C:\Users\jaime.benazar\Quorum Business Solutions\Ecopetrol Prometeo - Documents\Planning Space Implementation\3. Analysis &amp; Design\Design\FC22\DRR Jaime\Neiva CPI\[DINA TERCIARIOS_CF_SEC_New_27-Mar-2024.xlsx]D-PDP'!$BB$20</t>
  </si>
  <si>
    <t>='C:\Users\jaime.benazar\Quorum Business Solutions\Ecopetrol Prometeo - Documents\Planning Space Implementation\3. Analysis &amp; Design\Design\FC22\DRR Jaime\Neiva CPI\[DINA TERCIARIOS_CF_SEC_New_27-Mar-2024.xlsx]D-PDP'!$BB$21</t>
  </si>
  <si>
    <t>='C:\Users\jaime.benazar\Quorum Business Solutions\Ecopetrol Prometeo - Documents\Planning Space Implementation\3. Analysis &amp; Design\Design\FC22\DRR Jaime\Neiva CPI\[DINA TERCIARIOS_CF_SEC_New_27-Mar-2024.xlsx]D-PDP'!$BB$22</t>
  </si>
  <si>
    <t>='C:\Users\jaime.benazar\Quorum Business Solutions\Ecopetrol Prometeo - Documents\Planning Space Implementation\3. Analysis &amp; Design\Design\FC22\DRR Jaime\Neiva CPI\[DINA TERCIARIOS_CF_SEC_New_27-Mar-2024.xlsx]D-PDP'!$BB$23</t>
  </si>
  <si>
    <t>='C:\Users\jaime.benazar\Quorum Business Solutions\Ecopetrol Prometeo - Documents\Planning Space Implementation\3. Analysis &amp; Design\Design\FC22\DRR Jaime\Neiva CPI\[DINA TERCIARIOS_CF_SEC_New_27-Mar-2024.xlsx]D-PDP'!$BB$24</t>
  </si>
  <si>
    <t>='C:\Users\jaime.benazar\Quorum Business Solutions\Ecopetrol Prometeo - Documents\Planning Space Implementation\3. Analysis &amp; Design\Design\FC22\DRR Jaime\Neiva CPI\[DINA TERCIARIOS_CF_SEC_New_27-Mar-2024.xlsx]D-PDP'!$BB$25</t>
  </si>
  <si>
    <t>='C:\Users\jaime.benazar\Quorum Business Solutions\Ecopetrol Prometeo - Documents\Planning Space Implementation\3. Analysis &amp; Design\Design\FC22\DRR Jaime\Neiva CPI\[DINA TERCIARIOS_CF_SEC_New_27-Mar-2024.xlsx]D-PDP'!$BB$26</t>
  </si>
  <si>
    <t>='C:\Users\jaime.benazar\Quorum Business Solutions\Ecopetrol Prometeo - Documents\Planning Space Implementation\3. Analysis &amp; Design\Design\FC22\DRR Jaime\Neiva CPI\[DINA TERCIARIOS_CF_SEC_New_27-Mar-2024.xlsx]D-PDP'!$BB$27</t>
  </si>
  <si>
    <t>='C:\Users\jaime.benazar\Quorum Business Solutions\Ecopetrol Prometeo - Documents\Planning Space Implementation\3. Analysis &amp; Design\Design\FC22\DRR Jaime\Neiva CPI\[DINA TERCIARIOS_CF_SEC_New_27-Mar-2024.xlsx]D-PDP'!$BB$28</t>
  </si>
  <si>
    <t>='C:\Users\jaime.benazar\Quorum Business Solutions\Ecopetrol Prometeo - Documents\Planning Space Implementation\3. Analysis &amp; Design\Design\FC22\DRR Jaime\Neiva CPI\[DINA TERCIARIOS_CF_SEC_New_27-Mar-2024.xlsx]D-PDP'!$BB$29</t>
  </si>
  <si>
    <t>='C:\Users\jaime.benazar\Quorum Business Solutions\Ecopetrol Prometeo - Documents\Planning Space Implementation\3. Analysis &amp; Design\Design\FC22\DRR Jaime\Neiva CPI\[DINA TERCIARIOS_CF_SEC_New_27-Mar-2024.xlsx]D-PDP'!$BB$30</t>
  </si>
  <si>
    <t>='C:\Users\jaime.benazar\Quorum Business Solutions\Ecopetrol Prometeo - Documents\Planning Space Implementation\3. Analysis &amp; Design\Design\FC22\DRR Jaime\Neiva CPI\[DINA TERCIARIOS_CF_SEC_New_27-Mar-2024.xlsx]D-PDP'!$BB$31</t>
  </si>
  <si>
    <t>='C:\Users\jaime.benazar\Quorum Business Solutions\Ecopetrol Prometeo - Documents\Planning Space Implementation\3. Analysis &amp; Design\Design\FC22\DRR Jaime\Neiva CPI\[DINA TERCIARIOS_CF_SEC_New_27-Mar-2024.xlsx]D-PDP'!$BB$32</t>
  </si>
  <si>
    <t>='C:\Users\jaime.benazar\Quorum Business Solutions\Ecopetrol Prometeo - Documents\Planning Space Implementation\3. Analysis &amp; Design\Design\FC22\DRR Jaime\Neiva CPI\[DINA TERCIARIOS_CF_SEC_New_27-Mar-2024.xlsx]D-PDP'!$BB$33</t>
  </si>
  <si>
    <t>='C:\Users\jaime.benazar\Quorum Business Solutions\Ecopetrol Prometeo - Documents\Planning Space Implementation\3. Analysis &amp; Design\Design\FC22\DRR Jaime\Neiva CPI\[DINA TERCIARIOS_CF_SEC_New_27-Mar-2024.xlsx]D-PDP'!$BB$34</t>
  </si>
  <si>
    <t>='C:\Users\jaime.benazar\Quorum Business Solutions\Ecopetrol Prometeo - Documents\Planning Space Implementation\3. Analysis &amp; Design\Design\FC22\DRR Jaime\Neiva CPI\[DINA TERCIARIOS_CF_SEC_New_27-Mar-2024.xlsx]D-PDP'!$BB$35</t>
  </si>
  <si>
    <t>='C:\Users\jaime.benazar\Quorum Business Solutions\Ecopetrol Prometeo - Documents\Planning Space Implementation\3. Analysis &amp; Design\Design\FC22\DRR Jaime\Neiva CPI\[DINA TERCIARIOS_CF_SEC_New_27-Mar-2024.xlsx]D-PDP'!$BB$36</t>
  </si>
  <si>
    <t>='C:\Users\jaime.benazar\Quorum Business Solutions\Ecopetrol Prometeo - Documents\Planning Space Implementation\3. Analysis &amp; Design\Design\FC22\DRR Jaime\Neiva CPI\[DINA TERCIARIOS_CF_SEC_New_27-Mar-2024.xlsx]D-PDP'!$BB$37</t>
  </si>
  <si>
    <t>='C:\Users\jaime.benazar\Quorum Business Solutions\Ecopetrol Prometeo - Documents\Planning Space Implementation\3. Analysis &amp; Design\Design\FC22\DRR Jaime\Neiva CPI\[DINA TERCIARIOS_CF_SEC_New_27-Mar-2024.xlsx]D-PDP'!$BB$38</t>
  </si>
  <si>
    <t>='C:\Users\jaime.benazar\Quorum Business Solutions\Ecopetrol Prometeo - Documents\Planning Space Implementation\3. Analysis &amp; Design\Design\FC22\DRR Jaime\Neiva CPI\[DINA TERCIARIOS_CF_SEC_New_27-Mar-2024.xlsx]D-PDP'!$BB$39</t>
  </si>
  <si>
    <t>='C:\Users\jaime.benazar\Quorum Business Solutions\Ecopetrol Prometeo - Documents\Planning Space Implementation\3. Analysis &amp; Design\Design\FC22\DRR Jaime\Neiva CPI\[DINA TERCIARIOS_CF_SEC_New_27-Mar-2024.xlsx]D-PDP'!$BB$40</t>
  </si>
  <si>
    <t>='C:\Users\jaime.benazar\Quorum Business Solutions\Ecopetrol Prometeo - Documents\Planning Space Implementation\3. Analysis &amp; Design\Design\FC22\DRR Jaime\Neiva CPI\[DINA TERCIARIOS_CF_SEC_New_27-Mar-2024.xlsx]D-PDP'!$BB$41</t>
  </si>
  <si>
    <t>='C:\Users\jaime.benazar\Quorum Business Solutions\Ecopetrol Prometeo - Documents\Planning Space Implementation\3. Analysis &amp; Design\Design\FC22\DRR Jaime\Neiva CPI\[DINA TERCIARIOS_CF_SEC_New_27-Mar-2024.xlsx]D-PDP'!$BB$42</t>
  </si>
  <si>
    <t>='C:\Users\jaime.benazar\Quorum Business Solutions\Ecopetrol Prometeo - Documents\Planning Space Implementation\3. Analysis &amp; Design\Design\FC22\DRR Jaime\Neiva CPI\[DINA TERCIARIOS_CF_SEC_New_27-Mar-2024.xlsx]D-PDP'!$BB$43</t>
  </si>
  <si>
    <t>='C:\Users\jaime.benazar\Quorum Business Solutions\Ecopetrol Prometeo - Documents\Planning Space Implementation\3. Analysis &amp; Design\Design\FC22\DRR Jaime\Neiva CPI\[DINA TERCIARIOS_CF_SEC_New_27-Mar-2024.xlsx]D-PDP'!$BB$44</t>
  </si>
  <si>
    <t>='C:\Users\jaime.benazar\Quorum Business Solutions\Ecopetrol Prometeo - Documents\Planning Space Implementation\3. Analysis &amp; Design\Design\FC22\DRR Jaime\Neiva CPI\[DINA TERCIARIOS_CF_SEC_New_27-Mar-2024.xlsx]D-PDP'!$BB$45</t>
  </si>
  <si>
    <t>='C:\Users\jaime.benazar\Quorum Business Solutions\Ecopetrol Prometeo - Documents\Planning Space Implementation\3. Analysis &amp; Design\Design\FC22\DRR Jaime\Neiva CPI\[DINA TERCIARIOS_CF_SEC_New_27-Mar-2024.xlsx]D-PDP'!$BB$46</t>
  </si>
  <si>
    <t>='C:\Users\jaime.benazar\Quorum Business Solutions\Ecopetrol Prometeo - Documents\Planning Space Implementation\3. Analysis &amp; Design\Design\FC22\DRR Jaime\Neiva CPI\[DINA TERCIARIOS_CF_SEC_New_27-Mar-2024.xlsx]D-PDP'!$BB$47</t>
  </si>
  <si>
    <t>='C:\Users\jaime.benazar\Quorum Business Solutions\Ecopetrol Prometeo - Documents\Planning Space Implementation\3. Analysis &amp; Design\Design\FC22\DRR Jaime\Neiva CPI\[DINA TERCIARIOS_CF_SEC_New_27-Mar-2024.xlsx]D-PDP'!$BB$48</t>
  </si>
  <si>
    <t>='C:\Users\jaime.benazar\Quorum Business Solutions\Ecopetrol Prometeo - Documents\Planning Space Implementation\3. Analysis &amp; Design\Design\FC22\DRR Jaime\Neiva CPI\[DINA TERCIARIOS_CF_SEC_New_27-Mar-2024.xlsx]D-PNP'!$BB$12</t>
  </si>
  <si>
    <t>='C:\Users\jaime.benazar\Quorum Business Solutions\Ecopetrol Prometeo - Documents\Planning Space Implementation\3. Analysis &amp; Design\Design\FC22\DRR Jaime\Neiva CPI\[DINA TERCIARIOS_CF_SEC_New_27-Mar-2024.xlsx]D-PNP'!$BB$13</t>
  </si>
  <si>
    <t>='C:\Users\jaime.benazar\Quorum Business Solutions\Ecopetrol Prometeo - Documents\Planning Space Implementation\3. Analysis &amp; Design\Design\FC22\DRR Jaime\Neiva CPI\[DINA TERCIARIOS_CF_SEC_New_27-Mar-2024.xlsx]D-PNP'!$BB$14</t>
  </si>
  <si>
    <t>='C:\Users\jaime.benazar\Quorum Business Solutions\Ecopetrol Prometeo - Documents\Planning Space Implementation\3. Analysis &amp; Design\Design\FC22\DRR Jaime\Neiva CPI\[DINA TERCIARIOS_CF_SEC_New_27-Mar-2024.xlsx]D-PNP'!$BB$15</t>
  </si>
  <si>
    <t>='C:\Users\jaime.benazar\Quorum Business Solutions\Ecopetrol Prometeo - Documents\Planning Space Implementation\3. Analysis &amp; Design\Design\FC22\DRR Jaime\Neiva CPI\[DINA TERCIARIOS_CF_SEC_New_27-Mar-2024.xlsx]D-PNP'!$BB$16</t>
  </si>
  <si>
    <t>='C:\Users\jaime.benazar\Quorum Business Solutions\Ecopetrol Prometeo - Documents\Planning Space Implementation\3. Analysis &amp; Design\Design\FC22\DRR Jaime\Neiva CPI\[DINA TERCIARIOS_CF_SEC_New_27-Mar-2024.xlsx]D-PNP'!$BB$17</t>
  </si>
  <si>
    <t>='C:\Users\jaime.benazar\Quorum Business Solutions\Ecopetrol Prometeo - Documents\Planning Space Implementation\3. Analysis &amp; Design\Design\FC22\DRR Jaime\Neiva CPI\[DINA TERCIARIOS_CF_SEC_New_27-Mar-2024.xlsx]D-PNP'!$BB$18</t>
  </si>
  <si>
    <t>='C:\Users\jaime.benazar\Quorum Business Solutions\Ecopetrol Prometeo - Documents\Planning Space Implementation\3. Analysis &amp; Design\Design\FC22\DRR Jaime\Neiva CPI\[DINA TERCIARIOS_CF_SEC_New_27-Mar-2024.xlsx]D-PNP'!$BB$19</t>
  </si>
  <si>
    <t>='C:\Users\jaime.benazar\Quorum Business Solutions\Ecopetrol Prometeo - Documents\Planning Space Implementation\3. Analysis &amp; Design\Design\FC22\DRR Jaime\Neiva CPI\[DINA TERCIARIOS_CF_SEC_New_27-Mar-2024.xlsx]D-PNP'!$BB$20</t>
  </si>
  <si>
    <t>='C:\Users\jaime.benazar\Quorum Business Solutions\Ecopetrol Prometeo - Documents\Planning Space Implementation\3. Analysis &amp; Design\Design\FC22\DRR Jaime\Neiva CPI\[DINA TERCIARIOS_CF_SEC_New_27-Mar-2024.xlsx]D-PNP'!$BB$21</t>
  </si>
  <si>
    <t>='C:\Users\jaime.benazar\Quorum Business Solutions\Ecopetrol Prometeo - Documents\Planning Space Implementation\3. Analysis &amp; Design\Design\FC22\DRR Jaime\Neiva CPI\[DINA TERCIARIOS_CF_SEC_New_27-Mar-2024.xlsx]D-PNP'!$BB$22</t>
  </si>
  <si>
    <t>='C:\Users\jaime.benazar\Quorum Business Solutions\Ecopetrol Prometeo - Documents\Planning Space Implementation\3. Analysis &amp; Design\Design\FC22\DRR Jaime\Neiva CPI\[DINA TERCIARIOS_CF_SEC_New_27-Mar-2024.xlsx]D-PNP'!$BB$23</t>
  </si>
  <si>
    <t>='C:\Users\jaime.benazar\Quorum Business Solutions\Ecopetrol Prometeo - Documents\Planning Space Implementation\3. Analysis &amp; Design\Design\FC22\DRR Jaime\Neiva CPI\[DINA TERCIARIOS_CF_SEC_New_27-Mar-2024.xlsx]D-PNP'!$BB$24</t>
  </si>
  <si>
    <t>='C:\Users\jaime.benazar\Quorum Business Solutions\Ecopetrol Prometeo - Documents\Planning Space Implementation\3. Analysis &amp; Design\Design\FC22\DRR Jaime\Neiva CPI\[DINA TERCIARIOS_CF_SEC_New_27-Mar-2024.xlsx]D-PNP'!$BB$25</t>
  </si>
  <si>
    <t>='C:\Users\jaime.benazar\Quorum Business Solutions\Ecopetrol Prometeo - Documents\Planning Space Implementation\3. Analysis &amp; Design\Design\FC22\DRR Jaime\Neiva CPI\[DINA TERCIARIOS_CF_SEC_New_27-Mar-2024.xlsx]D-PNP'!$BB$26</t>
  </si>
  <si>
    <t>='C:\Users\jaime.benazar\Quorum Business Solutions\Ecopetrol Prometeo - Documents\Planning Space Implementation\3. Analysis &amp; Design\Design\FC22\DRR Jaime\Neiva CPI\[DINA TERCIARIOS_CF_SEC_New_27-Mar-2024.xlsx]D-PNP'!$BB$27</t>
  </si>
  <si>
    <t>='C:\Users\jaime.benazar\Quorum Business Solutions\Ecopetrol Prometeo - Documents\Planning Space Implementation\3. Analysis &amp; Design\Design\FC22\DRR Jaime\Neiva CPI\[DINA TERCIARIOS_CF_SEC_New_27-Mar-2024.xlsx]D-PNP'!$BB$28</t>
  </si>
  <si>
    <t>='C:\Users\jaime.benazar\Quorum Business Solutions\Ecopetrol Prometeo - Documents\Planning Space Implementation\3. Analysis &amp; Design\Design\FC22\DRR Jaime\Neiva CPI\[DINA TERCIARIOS_CF_SEC_New_27-Mar-2024.xlsx]D-PNP'!$BB$29</t>
  </si>
  <si>
    <t>='C:\Users\jaime.benazar\Quorum Business Solutions\Ecopetrol Prometeo - Documents\Planning Space Implementation\3. Analysis &amp; Design\Design\FC22\DRR Jaime\Neiva CPI\[DINA TERCIARIOS_CF_SEC_New_27-Mar-2024.xlsx]D-PNP'!$BB$30</t>
  </si>
  <si>
    <t>='C:\Users\jaime.benazar\Quorum Business Solutions\Ecopetrol Prometeo - Documents\Planning Space Implementation\3. Analysis &amp; Design\Design\FC22\DRR Jaime\Neiva CPI\[DINA TERCIARIOS_CF_SEC_New_27-Mar-2024.xlsx]D-PNP'!$BB$31</t>
  </si>
  <si>
    <t>='C:\Users\jaime.benazar\Quorum Business Solutions\Ecopetrol Prometeo - Documents\Planning Space Implementation\3. Analysis &amp; Design\Design\FC22\DRR Jaime\Neiva CPI\[DINA TERCIARIOS_CF_SEC_New_27-Mar-2024.xlsx]D-PNP'!$BB$32</t>
  </si>
  <si>
    <t>='C:\Users\jaime.benazar\Quorum Business Solutions\Ecopetrol Prometeo - Documents\Planning Space Implementation\3. Analysis &amp; Design\Design\FC22\DRR Jaime\Neiva CPI\[DINA TERCIARIOS_CF_SEC_New_27-Mar-2024.xlsx]D-PNP'!$BB$33</t>
  </si>
  <si>
    <t>='C:\Users\jaime.benazar\Quorum Business Solutions\Ecopetrol Prometeo - Documents\Planning Space Implementation\3. Analysis &amp; Design\Design\FC22\DRR Jaime\Neiva CPI\[DINA TERCIARIOS_CF_SEC_New_27-Mar-2024.xlsx]D-PNP'!$BB$34</t>
  </si>
  <si>
    <t>='C:\Users\jaime.benazar\Quorum Business Solutions\Ecopetrol Prometeo - Documents\Planning Space Implementation\3. Analysis &amp; Design\Design\FC22\DRR Jaime\Neiva CPI\[DINA TERCIARIOS_CF_SEC_New_27-Mar-2024.xlsx]D-PNP'!$BB$35</t>
  </si>
  <si>
    <t>='C:\Users\jaime.benazar\Quorum Business Solutions\Ecopetrol Prometeo - Documents\Planning Space Implementation\3. Analysis &amp; Design\Design\FC22\DRR Jaime\Neiva CPI\[DINA TERCIARIOS_CF_SEC_New_27-Mar-2024.xlsx]D-PNP'!$BB$36</t>
  </si>
  <si>
    <t>='C:\Users\jaime.benazar\Quorum Business Solutions\Ecopetrol Prometeo - Documents\Planning Space Implementation\3. Analysis &amp; Design\Design\FC22\DRR Jaime\Neiva CPI\[DINA TERCIARIOS_CF_SEC_New_27-Mar-2024.xlsx]D-PNP'!$BB$37</t>
  </si>
  <si>
    <t>='C:\Users\jaime.benazar\Quorum Business Solutions\Ecopetrol Prometeo - Documents\Planning Space Implementation\3. Analysis &amp; Design\Design\FC22\DRR Jaime\Neiva CPI\[DINA TERCIARIOS_CF_SEC_New_27-Mar-2024.xlsx]D-PNP'!$BB$38</t>
  </si>
  <si>
    <t>='C:\Users\jaime.benazar\Quorum Business Solutions\Ecopetrol Prometeo - Documents\Planning Space Implementation\3. Analysis &amp; Design\Design\FC22\DRR Jaime\Neiva CPI\[DINA TERCIARIOS_CF_SEC_New_27-Mar-2024.xlsx]D-PNP'!$BB$39</t>
  </si>
  <si>
    <t>='C:\Users\jaime.benazar\Quorum Business Solutions\Ecopetrol Prometeo - Documents\Planning Space Implementation\3. Analysis &amp; Design\Design\FC22\DRR Jaime\Neiva CPI\[DINA TERCIARIOS_CF_SEC_New_27-Mar-2024.xlsx]D-PNP'!$BB$40</t>
  </si>
  <si>
    <t>='C:\Users\jaime.benazar\Quorum Business Solutions\Ecopetrol Prometeo - Documents\Planning Space Implementation\3. Analysis &amp; Design\Design\FC22\DRR Jaime\Neiva CPI\[DINA TERCIARIOS_CF_SEC_New_27-Mar-2024.xlsx]D-PNP'!$BB$41</t>
  </si>
  <si>
    <t>='C:\Users\jaime.benazar\Quorum Business Solutions\Ecopetrol Prometeo - Documents\Planning Space Implementation\3. Analysis &amp; Design\Design\FC22\DRR Jaime\Neiva CPI\[DINA TERCIARIOS_CF_SEC_New_27-Mar-2024.xlsx]D-PNP'!$BB$42</t>
  </si>
  <si>
    <t>='C:\Users\jaime.benazar\Quorum Business Solutions\Ecopetrol Prometeo - Documents\Planning Space Implementation\3. Analysis &amp; Design\Design\FC22\DRR Jaime\Neiva CPI\[DINA TERCIARIOS_CF_SEC_New_27-Mar-2024.xlsx]D-PNP'!$BB$43</t>
  </si>
  <si>
    <t>='C:\Users\jaime.benazar\Quorum Business Solutions\Ecopetrol Prometeo - Documents\Planning Space Implementation\3. Analysis &amp; Design\Design\FC22\DRR Jaime\Neiva CPI\[DINA TERCIARIOS_CF_SEC_New_27-Mar-2024.xlsx]D-PNP'!$BB$44</t>
  </si>
  <si>
    <t>='C:\Users\jaime.benazar\Quorum Business Solutions\Ecopetrol Prometeo - Documents\Planning Space Implementation\3. Analysis &amp; Design\Design\FC22\DRR Jaime\Neiva CPI\[DINA TERCIARIOS_CF_SEC_New_27-Mar-2024.xlsx]D-PNP'!$BB$45</t>
  </si>
  <si>
    <t>='C:\Users\jaime.benazar\Quorum Business Solutions\Ecopetrol Prometeo - Documents\Planning Space Implementation\3. Analysis &amp; Design\Design\FC22\DRR Jaime\Neiva CPI\[DINA TERCIARIOS_CF_SEC_New_27-Mar-2024.xlsx]D-PNP'!$BB$46</t>
  </si>
  <si>
    <t>='C:\Users\jaime.benazar\Quorum Business Solutions\Ecopetrol Prometeo - Documents\Planning Space Implementation\3. Analysis &amp; Design\Design\FC22\DRR Jaime\Neiva CPI\[DINA TERCIARIOS_CF_SEC_New_27-Mar-2024.xlsx]D-PNP'!$BB$47</t>
  </si>
  <si>
    <t>='C:\Users\jaime.benazar\Quorum Business Solutions\Ecopetrol Prometeo - Documents\Planning Space Implementation\3. Analysis &amp; Design\Design\FC22\DRR Jaime\Neiva CPI\[DINA TERCIARIOS_CF_SEC_New_27-Mar-2024.xlsx]D-PNP'!$BB$48</t>
  </si>
  <si>
    <t>='C:\Users\jaime.benazar\Quorum Business Solutions\Ecopetrol Prometeo - Documents\Planning Space Implementation\3. Analysis &amp; Design\Design\FC22\DRR Jaime\Neiva CPI\[DINA TERCIARIOS_CF_SEC_New_27-Mar-2024.xlsx]D-PND'!$BB$12</t>
  </si>
  <si>
    <t>='C:\Users\jaime.benazar\Quorum Business Solutions\Ecopetrol Prometeo - Documents\Planning Space Implementation\3. Analysis &amp; Design\Design\FC22\DRR Jaime\Neiva CPI\[DINA TERCIARIOS_CF_SEC_New_27-Mar-2024.xlsx]D-PND'!$BB$13</t>
  </si>
  <si>
    <t>='C:\Users\jaime.benazar\Quorum Business Solutions\Ecopetrol Prometeo - Documents\Planning Space Implementation\3. Analysis &amp; Design\Design\FC22\DRR Jaime\Neiva CPI\[DINA TERCIARIOS_CF_SEC_New_27-Mar-2024.xlsx]D-PND'!$BB$14</t>
  </si>
  <si>
    <t>='C:\Users\jaime.benazar\Quorum Business Solutions\Ecopetrol Prometeo - Documents\Planning Space Implementation\3. Analysis &amp; Design\Design\FC22\DRR Jaime\Neiva CPI\[DINA TERCIARIOS_CF_SEC_New_27-Mar-2024.xlsx]D-PND'!$BB$15</t>
  </si>
  <si>
    <t>='C:\Users\jaime.benazar\Quorum Business Solutions\Ecopetrol Prometeo - Documents\Planning Space Implementation\3. Analysis &amp; Design\Design\FC22\DRR Jaime\Neiva CPI\[DINA TERCIARIOS_CF_SEC_New_27-Mar-2024.xlsx]D-PND'!$BB$16</t>
  </si>
  <si>
    <t>='C:\Users\jaime.benazar\Quorum Business Solutions\Ecopetrol Prometeo - Documents\Planning Space Implementation\3. Analysis &amp; Design\Design\FC22\DRR Jaime\Neiva CPI\[DINA TERCIARIOS_CF_SEC_New_27-Mar-2024.xlsx]D-PND'!$BB$17</t>
  </si>
  <si>
    <t>='C:\Users\jaime.benazar\Quorum Business Solutions\Ecopetrol Prometeo - Documents\Planning Space Implementation\3. Analysis &amp; Design\Design\FC22\DRR Jaime\Neiva CPI\[DINA TERCIARIOS_CF_SEC_New_27-Mar-2024.xlsx]D-PND'!$BB$18</t>
  </si>
  <si>
    <t>='C:\Users\jaime.benazar\Quorum Business Solutions\Ecopetrol Prometeo - Documents\Planning Space Implementation\3. Analysis &amp; Design\Design\FC22\DRR Jaime\Neiva CPI\[DINA TERCIARIOS_CF_SEC_New_27-Mar-2024.xlsx]D-PND'!$BB$19</t>
  </si>
  <si>
    <t>='C:\Users\jaime.benazar\Quorum Business Solutions\Ecopetrol Prometeo - Documents\Planning Space Implementation\3. Analysis &amp; Design\Design\FC22\DRR Jaime\Neiva CPI\[DINA TERCIARIOS_CF_SEC_New_27-Mar-2024.xlsx]D-PND'!$BB$20</t>
  </si>
  <si>
    <t>='C:\Users\jaime.benazar\Quorum Business Solutions\Ecopetrol Prometeo - Documents\Planning Space Implementation\3. Analysis &amp; Design\Design\FC22\DRR Jaime\Neiva CPI\[DINA TERCIARIOS_CF_SEC_New_27-Mar-2024.xlsx]D-PND'!$BB$21</t>
  </si>
  <si>
    <t>='C:\Users\jaime.benazar\Quorum Business Solutions\Ecopetrol Prometeo - Documents\Planning Space Implementation\3. Analysis &amp; Design\Design\FC22\DRR Jaime\Neiva CPI\[DINA TERCIARIOS_CF_SEC_New_27-Mar-2024.xlsx]D-PND'!$BB$22</t>
  </si>
  <si>
    <t>='C:\Users\jaime.benazar\Quorum Business Solutions\Ecopetrol Prometeo - Documents\Planning Space Implementation\3. Analysis &amp; Design\Design\FC22\DRR Jaime\Neiva CPI\[DINA TERCIARIOS_CF_SEC_New_27-Mar-2024.xlsx]D-PND'!$BB$23</t>
  </si>
  <si>
    <t>='C:\Users\jaime.benazar\Quorum Business Solutions\Ecopetrol Prometeo - Documents\Planning Space Implementation\3. Analysis &amp; Design\Design\FC22\DRR Jaime\Neiva CPI\[DINA TERCIARIOS_CF_SEC_New_27-Mar-2024.xlsx]D-PND'!$BB$24</t>
  </si>
  <si>
    <t>='C:\Users\jaime.benazar\Quorum Business Solutions\Ecopetrol Prometeo - Documents\Planning Space Implementation\3. Analysis &amp; Design\Design\FC22\DRR Jaime\Neiva CPI\[DINA TERCIARIOS_CF_SEC_New_27-Mar-2024.xlsx]D-PND'!$BB$25</t>
  </si>
  <si>
    <t>='C:\Users\jaime.benazar\Quorum Business Solutions\Ecopetrol Prometeo - Documents\Planning Space Implementation\3. Analysis &amp; Design\Design\FC22\DRR Jaime\Neiva CPI\[DINA TERCIARIOS_CF_SEC_New_27-Mar-2024.xlsx]D-PND'!$BB$26</t>
  </si>
  <si>
    <t>='C:\Users\jaime.benazar\Quorum Business Solutions\Ecopetrol Prometeo - Documents\Planning Space Implementation\3. Analysis &amp; Design\Design\FC22\DRR Jaime\Neiva CPI\[DINA TERCIARIOS_CF_SEC_New_27-Mar-2024.xlsx]D-PND'!$BB$27</t>
  </si>
  <si>
    <t>='C:\Users\jaime.benazar\Quorum Business Solutions\Ecopetrol Prometeo - Documents\Planning Space Implementation\3. Analysis &amp; Design\Design\FC22\DRR Jaime\Neiva CPI\[DINA TERCIARIOS_CF_SEC_New_27-Mar-2024.xlsx]D-PND'!$BB$28</t>
  </si>
  <si>
    <t>='C:\Users\jaime.benazar\Quorum Business Solutions\Ecopetrol Prometeo - Documents\Planning Space Implementation\3. Analysis &amp; Design\Design\FC22\DRR Jaime\Neiva CPI\[DINA TERCIARIOS_CF_SEC_New_27-Mar-2024.xlsx]D-PND'!$BB$29</t>
  </si>
  <si>
    <t>='C:\Users\jaime.benazar\Quorum Business Solutions\Ecopetrol Prometeo - Documents\Planning Space Implementation\3. Analysis &amp; Design\Design\FC22\DRR Jaime\Neiva CPI\[DINA TERCIARIOS_CF_SEC_New_27-Mar-2024.xlsx]D-PND'!$BB$30</t>
  </si>
  <si>
    <t>='C:\Users\jaime.benazar\Quorum Business Solutions\Ecopetrol Prometeo - Documents\Planning Space Implementation\3. Analysis &amp; Design\Design\FC22\DRR Jaime\Neiva CPI\[DINA TERCIARIOS_CF_SEC_New_27-Mar-2024.xlsx]D-PND'!$BB$31</t>
  </si>
  <si>
    <t>='C:\Users\jaime.benazar\Quorum Business Solutions\Ecopetrol Prometeo - Documents\Planning Space Implementation\3. Analysis &amp; Design\Design\FC22\DRR Jaime\Neiva CPI\[DINA TERCIARIOS_CF_SEC_New_27-Mar-2024.xlsx]D-PND'!$BB$32</t>
  </si>
  <si>
    <t>='C:\Users\jaime.benazar\Quorum Business Solutions\Ecopetrol Prometeo - Documents\Planning Space Implementation\3. Analysis &amp; Design\Design\FC22\DRR Jaime\Neiva CPI\[DINA TERCIARIOS_CF_SEC_New_27-Mar-2024.xlsx]D-PND'!$BB$33</t>
  </si>
  <si>
    <t>='C:\Users\jaime.benazar\Quorum Business Solutions\Ecopetrol Prometeo - Documents\Planning Space Implementation\3. Analysis &amp; Design\Design\FC22\DRR Jaime\Neiva CPI\[DINA TERCIARIOS_CF_SEC_New_27-Mar-2024.xlsx]D-PND'!$BB$34</t>
  </si>
  <si>
    <t>='C:\Users\jaime.benazar\Quorum Business Solutions\Ecopetrol Prometeo - Documents\Planning Space Implementation\3. Analysis &amp; Design\Design\FC22\DRR Jaime\Neiva CPI\[DINA TERCIARIOS_CF_SEC_New_27-Mar-2024.xlsx]D-PND'!$BB$35</t>
  </si>
  <si>
    <t>='C:\Users\jaime.benazar\Quorum Business Solutions\Ecopetrol Prometeo - Documents\Planning Space Implementation\3. Analysis &amp; Design\Design\FC22\DRR Jaime\Neiva CPI\[DINA TERCIARIOS_CF_SEC_New_27-Mar-2024.xlsx]D-PND'!$BB$36</t>
  </si>
  <si>
    <t>='C:\Users\jaime.benazar\Quorum Business Solutions\Ecopetrol Prometeo - Documents\Planning Space Implementation\3. Analysis &amp; Design\Design\FC22\DRR Jaime\Neiva CPI\[DINA TERCIARIOS_CF_SEC_New_27-Mar-2024.xlsx]D-PND'!$BB$37</t>
  </si>
  <si>
    <t>='C:\Users\jaime.benazar\Quorum Business Solutions\Ecopetrol Prometeo - Documents\Planning Space Implementation\3. Analysis &amp; Design\Design\FC22\DRR Jaime\Neiva CPI\[DINA TERCIARIOS_CF_SEC_New_27-Mar-2024.xlsx]D-PND'!$BB$38</t>
  </si>
  <si>
    <t>='C:\Users\jaime.benazar\Quorum Business Solutions\Ecopetrol Prometeo - Documents\Planning Space Implementation\3. Analysis &amp; Design\Design\FC22\DRR Jaime\Neiva CPI\[DINA TERCIARIOS_CF_SEC_New_27-Mar-2024.xlsx]D-PND'!$BB$39</t>
  </si>
  <si>
    <t>='C:\Users\jaime.benazar\Quorum Business Solutions\Ecopetrol Prometeo - Documents\Planning Space Implementation\3. Analysis &amp; Design\Design\FC22\DRR Jaime\Neiva CPI\[DINA TERCIARIOS_CF_SEC_New_27-Mar-2024.xlsx]D-PND'!$BB$40</t>
  </si>
  <si>
    <t>='C:\Users\jaime.benazar\Quorum Business Solutions\Ecopetrol Prometeo - Documents\Planning Space Implementation\3. Analysis &amp; Design\Design\FC22\DRR Jaime\Neiva CPI\[DINA TERCIARIOS_CF_SEC_New_27-Mar-2024.xlsx]D-PND'!$BB$41</t>
  </si>
  <si>
    <t>='C:\Users\jaime.benazar\Quorum Business Solutions\Ecopetrol Prometeo - Documents\Planning Space Implementation\3. Analysis &amp; Design\Design\FC22\DRR Jaime\Neiva CPI\[DINA TERCIARIOS_CF_SEC_New_27-Mar-2024.xlsx]D-PND'!$BB$42</t>
  </si>
  <si>
    <t>='C:\Users\jaime.benazar\Quorum Business Solutions\Ecopetrol Prometeo - Documents\Planning Space Implementation\3. Analysis &amp; Design\Design\FC22\DRR Jaime\Neiva CPI\[DINA TERCIARIOS_CF_SEC_New_27-Mar-2024.xlsx]D-PND'!$BB$43</t>
  </si>
  <si>
    <t>='C:\Users\jaime.benazar\Quorum Business Solutions\Ecopetrol Prometeo - Documents\Planning Space Implementation\3. Analysis &amp; Design\Design\FC22\DRR Jaime\Neiva CPI\[DINA TERCIARIOS_CF_SEC_New_27-Mar-2024.xlsx]D-PND'!$BB$44</t>
  </si>
  <si>
    <t>='C:\Users\jaime.benazar\Quorum Business Solutions\Ecopetrol Prometeo - Documents\Planning Space Implementation\3. Analysis &amp; Design\Design\FC22\DRR Jaime\Neiva CPI\[DINA TERCIARIOS_CF_SEC_New_27-Mar-2024.xlsx]D-PND'!$BB$45</t>
  </si>
  <si>
    <t>='C:\Users\jaime.benazar\Quorum Business Solutions\Ecopetrol Prometeo - Documents\Planning Space Implementation\3. Analysis &amp; Design\Design\FC22\DRR Jaime\Neiva CPI\[DINA TERCIARIOS_CF_SEC_New_27-Mar-2024.xlsx]D-PND'!$BB$46</t>
  </si>
  <si>
    <t>='C:\Users\jaime.benazar\Quorum Business Solutions\Ecopetrol Prometeo - Documents\Planning Space Implementation\3. Analysis &amp; Design\Design\FC22\DRR Jaime\Neiva CPI\[DINA TERCIARIOS_CF_SEC_New_27-Mar-2024.xlsx]D-PND'!$BB$47</t>
  </si>
  <si>
    <t>='C:\Users\jaime.benazar\Quorum Business Solutions\Ecopetrol Prometeo - Documents\Planning Space Implementation\3. Analysis &amp; Design\Design\FC22\DRR Jaime\Neiva CPI\[DINA TERCIARIOS_CF_SEC_New_27-Mar-2024.xlsx]D-PND'!$BB$48</t>
  </si>
  <si>
    <t>='C:\Users\jaime.benazar\Quorum Business Solutions\Ecopetrol Prometeo - Documents\Planning Space Implementation\3. Analysis &amp; Design\Design\FC22\DRR Jaime\Neiva CPI\[DINA TERCIARIOS_CF_SEC_New_27-Mar-2024.xlsx]D-PRB'!$BB$12</t>
  </si>
  <si>
    <t>='C:\Users\jaime.benazar\Quorum Business Solutions\Ecopetrol Prometeo - Documents\Planning Space Implementation\3. Analysis &amp; Design\Design\FC22\DRR Jaime\Neiva CPI\[DINA TERCIARIOS_CF_SEC_New_27-Mar-2024.xlsx]D-PRB'!$BB$13</t>
  </si>
  <si>
    <t>='C:\Users\jaime.benazar\Quorum Business Solutions\Ecopetrol Prometeo - Documents\Planning Space Implementation\3. Analysis &amp; Design\Design\FC22\DRR Jaime\Neiva CPI\[DINA TERCIARIOS_CF_SEC_New_27-Mar-2024.xlsx]D-PRB'!$BB$14</t>
  </si>
  <si>
    <t>='C:\Users\jaime.benazar\Quorum Business Solutions\Ecopetrol Prometeo - Documents\Planning Space Implementation\3. Analysis &amp; Design\Design\FC22\DRR Jaime\Neiva CPI\[DINA TERCIARIOS_CF_SEC_New_27-Mar-2024.xlsx]D-PRB'!$BB$15</t>
  </si>
  <si>
    <t>='C:\Users\jaime.benazar\Quorum Business Solutions\Ecopetrol Prometeo - Documents\Planning Space Implementation\3. Analysis &amp; Design\Design\FC22\DRR Jaime\Neiva CPI\[DINA TERCIARIOS_CF_SEC_New_27-Mar-2024.xlsx]D-PRB'!$BB$16</t>
  </si>
  <si>
    <t>='C:\Users\jaime.benazar\Quorum Business Solutions\Ecopetrol Prometeo - Documents\Planning Space Implementation\3. Analysis &amp; Design\Design\FC22\DRR Jaime\Neiva CPI\[DINA TERCIARIOS_CF_SEC_New_27-Mar-2024.xlsx]D-PRB'!$BB$17</t>
  </si>
  <si>
    <t>='C:\Users\jaime.benazar\Quorum Business Solutions\Ecopetrol Prometeo - Documents\Planning Space Implementation\3. Analysis &amp; Design\Design\FC22\DRR Jaime\Neiva CPI\[DINA TERCIARIOS_CF_SEC_New_27-Mar-2024.xlsx]D-PRB'!$BB$18</t>
  </si>
  <si>
    <t>='C:\Users\jaime.benazar\Quorum Business Solutions\Ecopetrol Prometeo - Documents\Planning Space Implementation\3. Analysis &amp; Design\Design\FC22\DRR Jaime\Neiva CPI\[DINA TERCIARIOS_CF_SEC_New_27-Mar-2024.xlsx]D-PRB'!$BB$19</t>
  </si>
  <si>
    <t>='C:\Users\jaime.benazar\Quorum Business Solutions\Ecopetrol Prometeo - Documents\Planning Space Implementation\3. Analysis &amp; Design\Design\FC22\DRR Jaime\Neiva CPI\[DINA TERCIARIOS_CF_SEC_New_27-Mar-2024.xlsx]D-PRB'!$BB$20</t>
  </si>
  <si>
    <t>='C:\Users\jaime.benazar\Quorum Business Solutions\Ecopetrol Prometeo - Documents\Planning Space Implementation\3. Analysis &amp; Design\Design\FC22\DRR Jaime\Neiva CPI\[DINA TERCIARIOS_CF_SEC_New_27-Mar-2024.xlsx]D-PRB'!$BB$21</t>
  </si>
  <si>
    <t>='C:\Users\jaime.benazar\Quorum Business Solutions\Ecopetrol Prometeo - Documents\Planning Space Implementation\3. Analysis &amp; Design\Design\FC22\DRR Jaime\Neiva CPI\[DINA TERCIARIOS_CF_SEC_New_27-Mar-2024.xlsx]D-PRB'!$BB$22</t>
  </si>
  <si>
    <t>='C:\Users\jaime.benazar\Quorum Business Solutions\Ecopetrol Prometeo - Documents\Planning Space Implementation\3. Analysis &amp; Design\Design\FC22\DRR Jaime\Neiva CPI\[DINA TERCIARIOS_CF_SEC_New_27-Mar-2024.xlsx]D-PRB'!$BB$23</t>
  </si>
  <si>
    <t>='C:\Users\jaime.benazar\Quorum Business Solutions\Ecopetrol Prometeo - Documents\Planning Space Implementation\3. Analysis &amp; Design\Design\FC22\DRR Jaime\Neiva CPI\[DINA TERCIARIOS_CF_SEC_New_27-Mar-2024.xlsx]D-PRB'!$BB$24</t>
  </si>
  <si>
    <t>='C:\Users\jaime.benazar\Quorum Business Solutions\Ecopetrol Prometeo - Documents\Planning Space Implementation\3. Analysis &amp; Design\Design\FC22\DRR Jaime\Neiva CPI\[DINA TERCIARIOS_CF_SEC_New_27-Mar-2024.xlsx]D-PRB'!$BB$25</t>
  </si>
  <si>
    <t>='C:\Users\jaime.benazar\Quorum Business Solutions\Ecopetrol Prometeo - Documents\Planning Space Implementation\3. Analysis &amp; Design\Design\FC22\DRR Jaime\Neiva CPI\[DINA TERCIARIOS_CF_SEC_New_27-Mar-2024.xlsx]D-PRB'!$BB$26</t>
  </si>
  <si>
    <t>='C:\Users\jaime.benazar\Quorum Business Solutions\Ecopetrol Prometeo - Documents\Planning Space Implementation\3. Analysis &amp; Design\Design\FC22\DRR Jaime\Neiva CPI\[DINA TERCIARIOS_CF_SEC_New_27-Mar-2024.xlsx]D-PRB'!$BB$27</t>
  </si>
  <si>
    <t>='C:\Users\jaime.benazar\Quorum Business Solutions\Ecopetrol Prometeo - Documents\Planning Space Implementation\3. Analysis &amp; Design\Design\FC22\DRR Jaime\Neiva CPI\[DINA TERCIARIOS_CF_SEC_New_27-Mar-2024.xlsx]D-PRB'!$BB$28</t>
  </si>
  <si>
    <t>='C:\Users\jaime.benazar\Quorum Business Solutions\Ecopetrol Prometeo - Documents\Planning Space Implementation\3. Analysis &amp; Design\Design\FC22\DRR Jaime\Neiva CPI\[DINA TERCIARIOS_CF_SEC_New_27-Mar-2024.xlsx]D-PRB'!$BB$29</t>
  </si>
  <si>
    <t>='C:\Users\jaime.benazar\Quorum Business Solutions\Ecopetrol Prometeo - Documents\Planning Space Implementation\3. Analysis &amp; Design\Design\FC22\DRR Jaime\Neiva CPI\[DINA TERCIARIOS_CF_SEC_New_27-Mar-2024.xlsx]D-PRB'!$BB$30</t>
  </si>
  <si>
    <t>='C:\Users\jaime.benazar\Quorum Business Solutions\Ecopetrol Prometeo - Documents\Planning Space Implementation\3. Analysis &amp; Design\Design\FC22\DRR Jaime\Neiva CPI\[DINA TERCIARIOS_CF_SEC_New_27-Mar-2024.xlsx]D-PRB'!$BB$31</t>
  </si>
  <si>
    <t>='C:\Users\jaime.benazar\Quorum Business Solutions\Ecopetrol Prometeo - Documents\Planning Space Implementation\3. Analysis &amp; Design\Design\FC22\DRR Jaime\Neiva CPI\[DINA TERCIARIOS_CF_SEC_New_27-Mar-2024.xlsx]D-PRB'!$BB$32</t>
  </si>
  <si>
    <t>='C:\Users\jaime.benazar\Quorum Business Solutions\Ecopetrol Prometeo - Documents\Planning Space Implementation\3. Analysis &amp; Design\Design\FC22\DRR Jaime\Neiva CPI\[DINA TERCIARIOS_CF_SEC_New_27-Mar-2024.xlsx]D-PRB'!$BB$33</t>
  </si>
  <si>
    <t>='C:\Users\jaime.benazar\Quorum Business Solutions\Ecopetrol Prometeo - Documents\Planning Space Implementation\3. Analysis &amp; Design\Design\FC22\DRR Jaime\Neiva CPI\[DINA TERCIARIOS_CF_SEC_New_27-Mar-2024.xlsx]D-PRB'!$BB$34</t>
  </si>
  <si>
    <t>='C:\Users\jaime.benazar\Quorum Business Solutions\Ecopetrol Prometeo - Documents\Planning Space Implementation\3. Analysis &amp; Design\Design\FC22\DRR Jaime\Neiva CPI\[DINA TERCIARIOS_CF_SEC_New_27-Mar-2024.xlsx]D-PRB'!$BB$35</t>
  </si>
  <si>
    <t>='C:\Users\jaime.benazar\Quorum Business Solutions\Ecopetrol Prometeo - Documents\Planning Space Implementation\3. Analysis &amp; Design\Design\FC22\DRR Jaime\Neiva CPI\[DINA TERCIARIOS_CF_SEC_New_27-Mar-2024.xlsx]D-PRB'!$BB$36</t>
  </si>
  <si>
    <t>='C:\Users\jaime.benazar\Quorum Business Solutions\Ecopetrol Prometeo - Documents\Planning Space Implementation\3. Analysis &amp; Design\Design\FC22\DRR Jaime\Neiva CPI\[DINA TERCIARIOS_CF_SEC_New_27-Mar-2024.xlsx]D-PRB'!$BB$37</t>
  </si>
  <si>
    <t>='C:\Users\jaime.benazar\Quorum Business Solutions\Ecopetrol Prometeo - Documents\Planning Space Implementation\3. Analysis &amp; Design\Design\FC22\DRR Jaime\Neiva CPI\[DINA TERCIARIOS_CF_SEC_New_27-Mar-2024.xlsx]D-PRB'!$BB$38</t>
  </si>
  <si>
    <t>='C:\Users\jaime.benazar\Quorum Business Solutions\Ecopetrol Prometeo - Documents\Planning Space Implementation\3. Analysis &amp; Design\Design\FC22\DRR Jaime\Neiva CPI\[DINA TERCIARIOS_CF_SEC_New_27-Mar-2024.xlsx]D-PRB'!$BB$39</t>
  </si>
  <si>
    <t>='C:\Users\jaime.benazar\Quorum Business Solutions\Ecopetrol Prometeo - Documents\Planning Space Implementation\3. Analysis &amp; Design\Design\FC22\DRR Jaime\Neiva CPI\[DINA TERCIARIOS_CF_SEC_New_27-Mar-2024.xlsx]D-PRB'!$BB$40</t>
  </si>
  <si>
    <t>='C:\Users\jaime.benazar\Quorum Business Solutions\Ecopetrol Prometeo - Documents\Planning Space Implementation\3. Analysis &amp; Design\Design\FC22\DRR Jaime\Neiva CPI\[DINA TERCIARIOS_CF_SEC_New_27-Mar-2024.xlsx]D-PRB'!$BB$41</t>
  </si>
  <si>
    <t>='C:\Users\jaime.benazar\Quorum Business Solutions\Ecopetrol Prometeo - Documents\Planning Space Implementation\3. Analysis &amp; Design\Design\FC22\DRR Jaime\Neiva CPI\[DINA TERCIARIOS_CF_SEC_New_27-Mar-2024.xlsx]D-PRB'!$BB$42</t>
  </si>
  <si>
    <t>='C:\Users\jaime.benazar\Quorum Business Solutions\Ecopetrol Prometeo - Documents\Planning Space Implementation\3. Analysis &amp; Design\Design\FC22\DRR Jaime\Neiva CPI\[DINA TERCIARIOS_CF_SEC_New_27-Mar-2024.xlsx]D-PRB'!$BB$43</t>
  </si>
  <si>
    <t>='C:\Users\jaime.benazar\Quorum Business Solutions\Ecopetrol Prometeo - Documents\Planning Space Implementation\3. Analysis &amp; Design\Design\FC22\DRR Jaime\Neiva CPI\[DINA TERCIARIOS_CF_SEC_New_27-Mar-2024.xlsx]D-PRB'!$BB$44</t>
  </si>
  <si>
    <t>='C:\Users\jaime.benazar\Quorum Business Solutions\Ecopetrol Prometeo - Documents\Planning Space Implementation\3. Analysis &amp; Design\Design\FC22\DRR Jaime\Neiva CPI\[DINA TERCIARIOS_CF_SEC_New_27-Mar-2024.xlsx]D-PRB'!$BB$45</t>
  </si>
  <si>
    <t>='C:\Users\jaime.benazar\Quorum Business Solutions\Ecopetrol Prometeo - Documents\Planning Space Implementation\3. Analysis &amp; Design\Design\FC22\DRR Jaime\Neiva CPI\[DINA TERCIARIOS_CF_SEC_New_27-Mar-2024.xlsx]D-PRB'!$BB$46</t>
  </si>
  <si>
    <t>='C:\Users\jaime.benazar\Quorum Business Solutions\Ecopetrol Prometeo - Documents\Planning Space Implementation\3. Analysis &amp; Design\Design\FC22\DRR Jaime\Neiva CPI\[DINA TERCIARIOS_CF_SEC_New_27-Mar-2024.xlsx]D-PRB'!$BB$47</t>
  </si>
  <si>
    <t>='C:\Users\jaime.benazar\Quorum Business Solutions\Ecopetrol Prometeo - Documents\Planning Space Implementation\3. Analysis &amp; Design\Design\FC22\DRR Jaime\Neiva CPI\[DINA TERCIARIOS_CF_SEC_New_27-Mar-2024.xlsx]D-PRB'!$BB$48</t>
  </si>
  <si>
    <t>='C:\Users\jaime.benazar\Quorum Business Solutions\Ecopetrol Prometeo - Documents\Planning Space Implementation\3. Analysis &amp; Design\Design\FC22\DRR Jaime\Neiva CPI\[DINA TERCIARIOS_CF_SEC_New_27-Mar-2024.xlsx]D-PS'!$BB$12</t>
  </si>
  <si>
    <t>='C:\Users\jaime.benazar\Quorum Business Solutions\Ecopetrol Prometeo - Documents\Planning Space Implementation\3. Analysis &amp; Design\Design\FC22\DRR Jaime\Neiva CPI\[DINA TERCIARIOS_CF_SEC_New_27-Mar-2024.xlsx]D-PS'!$BB$13</t>
  </si>
  <si>
    <t>='C:\Users\jaime.benazar\Quorum Business Solutions\Ecopetrol Prometeo - Documents\Planning Space Implementation\3. Analysis &amp; Design\Design\FC22\DRR Jaime\Neiva CPI\[DINA TERCIARIOS_CF_SEC_New_27-Mar-2024.xlsx]D-PS'!$BB$14</t>
  </si>
  <si>
    <t>='C:\Users\jaime.benazar\Quorum Business Solutions\Ecopetrol Prometeo - Documents\Planning Space Implementation\3. Analysis &amp; Design\Design\FC22\DRR Jaime\Neiva CPI\[DINA TERCIARIOS_CF_SEC_New_27-Mar-2024.xlsx]D-PS'!$BB$15</t>
  </si>
  <si>
    <t>='C:\Users\jaime.benazar\Quorum Business Solutions\Ecopetrol Prometeo - Documents\Planning Space Implementation\3. Analysis &amp; Design\Design\FC22\DRR Jaime\Neiva CPI\[DINA TERCIARIOS_CF_SEC_New_27-Mar-2024.xlsx]D-PS'!$BB$16</t>
  </si>
  <si>
    <t>='C:\Users\jaime.benazar\Quorum Business Solutions\Ecopetrol Prometeo - Documents\Planning Space Implementation\3. Analysis &amp; Design\Design\FC22\DRR Jaime\Neiva CPI\[DINA TERCIARIOS_CF_SEC_New_27-Mar-2024.xlsx]D-PS'!$BB$17</t>
  </si>
  <si>
    <t>='C:\Users\jaime.benazar\Quorum Business Solutions\Ecopetrol Prometeo - Documents\Planning Space Implementation\3. Analysis &amp; Design\Design\FC22\DRR Jaime\Neiva CPI\[DINA TERCIARIOS_CF_SEC_New_27-Mar-2024.xlsx]D-PS'!$BB$18</t>
  </si>
  <si>
    <t>='C:\Users\jaime.benazar\Quorum Business Solutions\Ecopetrol Prometeo - Documents\Planning Space Implementation\3. Analysis &amp; Design\Design\FC22\DRR Jaime\Neiva CPI\[DINA TERCIARIOS_CF_SEC_New_27-Mar-2024.xlsx]D-PS'!$BB$19</t>
  </si>
  <si>
    <t>='C:\Users\jaime.benazar\Quorum Business Solutions\Ecopetrol Prometeo - Documents\Planning Space Implementation\3. Analysis &amp; Design\Design\FC22\DRR Jaime\Neiva CPI\[DINA TERCIARIOS_CF_SEC_New_27-Mar-2024.xlsx]D-PS'!$BB$20</t>
  </si>
  <si>
    <t>='C:\Users\jaime.benazar\Quorum Business Solutions\Ecopetrol Prometeo - Documents\Planning Space Implementation\3. Analysis &amp; Design\Design\FC22\DRR Jaime\Neiva CPI\[DINA TERCIARIOS_CF_SEC_New_27-Mar-2024.xlsx]D-PS'!$BB$21</t>
  </si>
  <si>
    <t>='C:\Users\jaime.benazar\Quorum Business Solutions\Ecopetrol Prometeo - Documents\Planning Space Implementation\3. Analysis &amp; Design\Design\FC22\DRR Jaime\Neiva CPI\[DINA TERCIARIOS_CF_SEC_New_27-Mar-2024.xlsx]D-PS'!$BB$22</t>
  </si>
  <si>
    <t>='C:\Users\jaime.benazar\Quorum Business Solutions\Ecopetrol Prometeo - Documents\Planning Space Implementation\3. Analysis &amp; Design\Design\FC22\DRR Jaime\Neiva CPI\[DINA TERCIARIOS_CF_SEC_New_27-Mar-2024.xlsx]D-PS'!$BB$23</t>
  </si>
  <si>
    <t>='C:\Users\jaime.benazar\Quorum Business Solutions\Ecopetrol Prometeo - Documents\Planning Space Implementation\3. Analysis &amp; Design\Design\FC22\DRR Jaime\Neiva CPI\[DINA TERCIARIOS_CF_SEC_New_27-Mar-2024.xlsx]D-PS'!$BB$24</t>
  </si>
  <si>
    <t>='C:\Users\jaime.benazar\Quorum Business Solutions\Ecopetrol Prometeo - Documents\Planning Space Implementation\3. Analysis &amp; Design\Design\FC22\DRR Jaime\Neiva CPI\[DINA TERCIARIOS_CF_SEC_New_27-Mar-2024.xlsx]D-PS'!$BB$25</t>
  </si>
  <si>
    <t>='C:\Users\jaime.benazar\Quorum Business Solutions\Ecopetrol Prometeo - Documents\Planning Space Implementation\3. Analysis &amp; Design\Design\FC22\DRR Jaime\Neiva CPI\[DINA TERCIARIOS_CF_SEC_New_27-Mar-2024.xlsx]D-PS'!$BB$26</t>
  </si>
  <si>
    <t>='C:\Users\jaime.benazar\Quorum Business Solutions\Ecopetrol Prometeo - Documents\Planning Space Implementation\3. Analysis &amp; Design\Design\FC22\DRR Jaime\Neiva CPI\[DINA TERCIARIOS_CF_SEC_New_27-Mar-2024.xlsx]D-PS'!$BB$27</t>
  </si>
  <si>
    <t>='C:\Users\jaime.benazar\Quorum Business Solutions\Ecopetrol Prometeo - Documents\Planning Space Implementation\3. Analysis &amp; Design\Design\FC22\DRR Jaime\Neiva CPI\[DINA TERCIARIOS_CF_SEC_New_27-Mar-2024.xlsx]D-PS'!$BB$28</t>
  </si>
  <si>
    <t>='C:\Users\jaime.benazar\Quorum Business Solutions\Ecopetrol Prometeo - Documents\Planning Space Implementation\3. Analysis &amp; Design\Design\FC22\DRR Jaime\Neiva CPI\[DINA TERCIARIOS_CF_SEC_New_27-Mar-2024.xlsx]D-PS'!$BB$29</t>
  </si>
  <si>
    <t>='C:\Users\jaime.benazar\Quorum Business Solutions\Ecopetrol Prometeo - Documents\Planning Space Implementation\3. Analysis &amp; Design\Design\FC22\DRR Jaime\Neiva CPI\[DINA TERCIARIOS_CF_SEC_New_27-Mar-2024.xlsx]D-PS'!$BB$30</t>
  </si>
  <si>
    <t>='C:\Users\jaime.benazar\Quorum Business Solutions\Ecopetrol Prometeo - Documents\Planning Space Implementation\3. Analysis &amp; Design\Design\FC22\DRR Jaime\Neiva CPI\[DINA TERCIARIOS_CF_SEC_New_27-Mar-2024.xlsx]D-PS'!$BB$31</t>
  </si>
  <si>
    <t>='C:\Users\jaime.benazar\Quorum Business Solutions\Ecopetrol Prometeo - Documents\Planning Space Implementation\3. Analysis &amp; Design\Design\FC22\DRR Jaime\Neiva CPI\[DINA TERCIARIOS_CF_SEC_New_27-Mar-2024.xlsx]D-PS'!$BB$32</t>
  </si>
  <si>
    <t>='C:\Users\jaime.benazar\Quorum Business Solutions\Ecopetrol Prometeo - Documents\Planning Space Implementation\3. Analysis &amp; Design\Design\FC22\DRR Jaime\Neiva CPI\[DINA TERCIARIOS_CF_SEC_New_27-Mar-2024.xlsx]D-PS'!$BB$33</t>
  </si>
  <si>
    <t>='C:\Users\jaime.benazar\Quorum Business Solutions\Ecopetrol Prometeo - Documents\Planning Space Implementation\3. Analysis &amp; Design\Design\FC22\DRR Jaime\Neiva CPI\[DINA TERCIARIOS_CF_SEC_New_27-Mar-2024.xlsx]D-PS'!$BB$34</t>
  </si>
  <si>
    <t>='C:\Users\jaime.benazar\Quorum Business Solutions\Ecopetrol Prometeo - Documents\Planning Space Implementation\3. Analysis &amp; Design\Design\FC22\DRR Jaime\Neiva CPI\[DINA TERCIARIOS_CF_SEC_New_27-Mar-2024.xlsx]D-PS'!$BB$35</t>
  </si>
  <si>
    <t>='C:\Users\jaime.benazar\Quorum Business Solutions\Ecopetrol Prometeo - Documents\Planning Space Implementation\3. Analysis &amp; Design\Design\FC22\DRR Jaime\Neiva CPI\[DINA TERCIARIOS_CF_SEC_New_27-Mar-2024.xlsx]D-PS'!$BB$36</t>
  </si>
  <si>
    <t>='C:\Users\jaime.benazar\Quorum Business Solutions\Ecopetrol Prometeo - Documents\Planning Space Implementation\3. Analysis &amp; Design\Design\FC22\DRR Jaime\Neiva CPI\[DINA TERCIARIOS_CF_SEC_New_27-Mar-2024.xlsx]D-PS'!$BB$37</t>
  </si>
  <si>
    <t>='C:\Users\jaime.benazar\Quorum Business Solutions\Ecopetrol Prometeo - Documents\Planning Space Implementation\3. Analysis &amp; Design\Design\FC22\DRR Jaime\Neiva CPI\[DINA TERCIARIOS_CF_SEC_New_27-Mar-2024.xlsx]D-PS'!$BB$38</t>
  </si>
  <si>
    <t>='C:\Users\jaime.benazar\Quorum Business Solutions\Ecopetrol Prometeo - Documents\Planning Space Implementation\3. Analysis &amp; Design\Design\FC22\DRR Jaime\Neiva CPI\[DINA TERCIARIOS_CF_SEC_New_27-Mar-2024.xlsx]D-PS'!$BB$39</t>
  </si>
  <si>
    <t>='C:\Users\jaime.benazar\Quorum Business Solutions\Ecopetrol Prometeo - Documents\Planning Space Implementation\3. Analysis &amp; Design\Design\FC22\DRR Jaime\Neiva CPI\[DINA TERCIARIOS_CF_SEC_New_27-Mar-2024.xlsx]D-PS'!$BB$40</t>
  </si>
  <si>
    <t>='C:\Users\jaime.benazar\Quorum Business Solutions\Ecopetrol Prometeo - Documents\Planning Space Implementation\3. Analysis &amp; Design\Design\FC22\DRR Jaime\Neiva CPI\[DINA TERCIARIOS_CF_SEC_New_27-Mar-2024.xlsx]D-PS'!$BB$41</t>
  </si>
  <si>
    <t>='C:\Users\jaime.benazar\Quorum Business Solutions\Ecopetrol Prometeo - Documents\Planning Space Implementation\3. Analysis &amp; Design\Design\FC22\DRR Jaime\Neiva CPI\[DINA TERCIARIOS_CF_SEC_New_27-Mar-2024.xlsx]D-PS'!$BB$42</t>
  </si>
  <si>
    <t>='C:\Users\jaime.benazar\Quorum Business Solutions\Ecopetrol Prometeo - Documents\Planning Space Implementation\3. Analysis &amp; Design\Design\FC22\DRR Jaime\Neiva CPI\[DINA TERCIARIOS_CF_SEC_New_27-Mar-2024.xlsx]D-PS'!$BB$43</t>
  </si>
  <si>
    <t>='C:\Users\jaime.benazar\Quorum Business Solutions\Ecopetrol Prometeo - Documents\Planning Space Implementation\3. Analysis &amp; Design\Design\FC22\DRR Jaime\Neiva CPI\[DINA TERCIARIOS_CF_SEC_New_27-Mar-2024.xlsx]D-PS'!$BB$44</t>
  </si>
  <si>
    <t>='C:\Users\jaime.benazar\Quorum Business Solutions\Ecopetrol Prometeo - Documents\Planning Space Implementation\3. Analysis &amp; Design\Design\FC22\DRR Jaime\Neiva CPI\[DINA TERCIARIOS_CF_SEC_New_27-Mar-2024.xlsx]D-PS'!$BB$45</t>
  </si>
  <si>
    <t>='C:\Users\jaime.benazar\Quorum Business Solutions\Ecopetrol Prometeo - Documents\Planning Space Implementation\3. Analysis &amp; Design\Design\FC22\DRR Jaime\Neiva CPI\[DINA TERCIARIOS_CF_SEC_New_27-Mar-2024.xlsx]D-PS'!$BB$46</t>
  </si>
  <si>
    <t>='C:\Users\jaime.benazar\Quorum Business Solutions\Ecopetrol Prometeo - Documents\Planning Space Implementation\3. Analysis &amp; Design\Design\FC22\DRR Jaime\Neiva CPI\[DINA TERCIARIOS_CF_SEC_New_27-Mar-2024.xlsx]D-PS'!$BB$47</t>
  </si>
  <si>
    <t>='C:\Users\jaime.benazar\Quorum Business Solutions\Ecopetrol Prometeo - Documents\Planning Space Implementation\3. Analysis &amp; Design\Design\FC22\DRR Jaime\Neiva CPI\[DINA TERCIARIOS_CF_SEC_New_27-Mar-2024.xlsx]D-PS'!$BB$48</t>
  </si>
  <si>
    <t>='C:\Users\jaime.benazar\Quorum Business Solutions\Ecopetrol Prometeo - Documents\Planning Space Implementation\3. Analysis &amp; Design\Design\FC22\DRR Jaime\Neiva CPI\[DINA TERCIARIOS_CF_SEC_New_27-Mar-2024.xlsx]D-PDP'!$BW$12</t>
  </si>
  <si>
    <t>='C:\Users\jaime.benazar\Quorum Business Solutions\Ecopetrol Prometeo - Documents\Planning Space Implementation\3. Analysis &amp; Design\Design\FC22\DRR Jaime\Neiva CPI\[DINA TERCIARIOS_CF_SEC_New_27-Mar-2024.xlsx]D-PDP'!$BW$13</t>
  </si>
  <si>
    <t>='C:\Users\jaime.benazar\Quorum Business Solutions\Ecopetrol Prometeo - Documents\Planning Space Implementation\3. Analysis &amp; Design\Design\FC22\DRR Jaime\Neiva CPI\[DINA TERCIARIOS_CF_SEC_New_27-Mar-2024.xlsx]D-PDP'!$BW$14</t>
  </si>
  <si>
    <t>='C:\Users\jaime.benazar\Quorum Business Solutions\Ecopetrol Prometeo - Documents\Planning Space Implementation\3. Analysis &amp; Design\Design\FC22\DRR Jaime\Neiva CPI\[DINA TERCIARIOS_CF_SEC_New_27-Mar-2024.xlsx]D-PDP'!$BW$15</t>
  </si>
  <si>
    <t>='C:\Users\jaime.benazar\Quorum Business Solutions\Ecopetrol Prometeo - Documents\Planning Space Implementation\3. Analysis &amp; Design\Design\FC22\DRR Jaime\Neiva CPI\[DINA TERCIARIOS_CF_SEC_New_27-Mar-2024.xlsx]D-PDP'!$BW$16</t>
  </si>
  <si>
    <t>='C:\Users\jaime.benazar\Quorum Business Solutions\Ecopetrol Prometeo - Documents\Planning Space Implementation\3. Analysis &amp; Design\Design\FC22\DRR Jaime\Neiva CPI\[DINA TERCIARIOS_CF_SEC_New_27-Mar-2024.xlsx]D-PDP'!$BW$17</t>
  </si>
  <si>
    <t>='C:\Users\jaime.benazar\Quorum Business Solutions\Ecopetrol Prometeo - Documents\Planning Space Implementation\3. Analysis &amp; Design\Design\FC22\DRR Jaime\Neiva CPI\[DINA TERCIARIOS_CF_SEC_New_27-Mar-2024.xlsx]D-PDP'!$BW$18</t>
  </si>
  <si>
    <t>='C:\Users\jaime.benazar\Quorum Business Solutions\Ecopetrol Prometeo - Documents\Planning Space Implementation\3. Analysis &amp; Design\Design\FC22\DRR Jaime\Neiva CPI\[DINA TERCIARIOS_CF_SEC_New_27-Mar-2024.xlsx]D-PDP'!$BW$19</t>
  </si>
  <si>
    <t>='C:\Users\jaime.benazar\Quorum Business Solutions\Ecopetrol Prometeo - Documents\Planning Space Implementation\3. Analysis &amp; Design\Design\FC22\DRR Jaime\Neiva CPI\[DINA TERCIARIOS_CF_SEC_New_27-Mar-2024.xlsx]D-PDP'!$BW$20</t>
  </si>
  <si>
    <t>='C:\Users\jaime.benazar\Quorum Business Solutions\Ecopetrol Prometeo - Documents\Planning Space Implementation\3. Analysis &amp; Design\Design\FC22\DRR Jaime\Neiva CPI\[DINA TERCIARIOS_CF_SEC_New_27-Mar-2024.xlsx]D-PDP'!$BW$21</t>
  </si>
  <si>
    <t>='C:\Users\jaime.benazar\Quorum Business Solutions\Ecopetrol Prometeo - Documents\Planning Space Implementation\3. Analysis &amp; Design\Design\FC22\DRR Jaime\Neiva CPI\[DINA TERCIARIOS_CF_SEC_New_27-Mar-2024.xlsx]D-PDP'!$BW$22</t>
  </si>
  <si>
    <t>='C:\Users\jaime.benazar\Quorum Business Solutions\Ecopetrol Prometeo - Documents\Planning Space Implementation\3. Analysis &amp; Design\Design\FC22\DRR Jaime\Neiva CPI\[DINA TERCIARIOS_CF_SEC_New_27-Mar-2024.xlsx]D-PDP'!$BW$23</t>
  </si>
  <si>
    <t>='C:\Users\jaime.benazar\Quorum Business Solutions\Ecopetrol Prometeo - Documents\Planning Space Implementation\3. Analysis &amp; Design\Design\FC22\DRR Jaime\Neiva CPI\[DINA TERCIARIOS_CF_SEC_New_27-Mar-2024.xlsx]D-PDP'!$BW$24</t>
  </si>
  <si>
    <t>='C:\Users\jaime.benazar\Quorum Business Solutions\Ecopetrol Prometeo - Documents\Planning Space Implementation\3. Analysis &amp; Design\Design\FC22\DRR Jaime\Neiva CPI\[DINA TERCIARIOS_CF_SEC_New_27-Mar-2024.xlsx]D-PDP'!$BW$25</t>
  </si>
  <si>
    <t>='C:\Users\jaime.benazar\Quorum Business Solutions\Ecopetrol Prometeo - Documents\Planning Space Implementation\3. Analysis &amp; Design\Design\FC22\DRR Jaime\Neiva CPI\[DINA TERCIARIOS_CF_SEC_New_27-Mar-2024.xlsx]D-PDP'!$BW$26</t>
  </si>
  <si>
    <t>='C:\Users\jaime.benazar\Quorum Business Solutions\Ecopetrol Prometeo - Documents\Planning Space Implementation\3. Analysis &amp; Design\Design\FC22\DRR Jaime\Neiva CPI\[DINA TERCIARIOS_CF_SEC_New_27-Mar-2024.xlsx]D-PDP'!$BW$27</t>
  </si>
  <si>
    <t>='C:\Users\jaime.benazar\Quorum Business Solutions\Ecopetrol Prometeo - Documents\Planning Space Implementation\3. Analysis &amp; Design\Design\FC22\DRR Jaime\Neiva CPI\[DINA TERCIARIOS_CF_SEC_New_27-Mar-2024.xlsx]D-PDP'!$BW$28</t>
  </si>
  <si>
    <t>='C:\Users\jaime.benazar\Quorum Business Solutions\Ecopetrol Prometeo - Documents\Planning Space Implementation\3. Analysis &amp; Design\Design\FC22\DRR Jaime\Neiva CPI\[DINA TERCIARIOS_CF_SEC_New_27-Mar-2024.xlsx]D-PDP'!$BW$29</t>
  </si>
  <si>
    <t>='C:\Users\jaime.benazar\Quorum Business Solutions\Ecopetrol Prometeo - Documents\Planning Space Implementation\3. Analysis &amp; Design\Design\FC22\DRR Jaime\Neiva CPI\[DINA TERCIARIOS_CF_SEC_New_27-Mar-2024.xlsx]D-PDP'!$BW$30</t>
  </si>
  <si>
    <t>='C:\Users\jaime.benazar\Quorum Business Solutions\Ecopetrol Prometeo - Documents\Planning Space Implementation\3. Analysis &amp; Design\Design\FC22\DRR Jaime\Neiva CPI\[DINA TERCIARIOS_CF_SEC_New_27-Mar-2024.xlsx]D-PDP'!$BW$31</t>
  </si>
  <si>
    <t>='C:\Users\jaime.benazar\Quorum Business Solutions\Ecopetrol Prometeo - Documents\Planning Space Implementation\3. Analysis &amp; Design\Design\FC22\DRR Jaime\Neiva CPI\[DINA TERCIARIOS_CF_SEC_New_27-Mar-2024.xlsx]D-PDP'!$BW$32</t>
  </si>
  <si>
    <t>='C:\Users\jaime.benazar\Quorum Business Solutions\Ecopetrol Prometeo - Documents\Planning Space Implementation\3. Analysis &amp; Design\Design\FC22\DRR Jaime\Neiva CPI\[DINA TERCIARIOS_CF_SEC_New_27-Mar-2024.xlsx]D-PDP'!$BW$33</t>
  </si>
  <si>
    <t>='C:\Users\jaime.benazar\Quorum Business Solutions\Ecopetrol Prometeo - Documents\Planning Space Implementation\3. Analysis &amp; Design\Design\FC22\DRR Jaime\Neiva CPI\[DINA TERCIARIOS_CF_SEC_New_27-Mar-2024.xlsx]D-PDP'!$BW$34</t>
  </si>
  <si>
    <t>='C:\Users\jaime.benazar\Quorum Business Solutions\Ecopetrol Prometeo - Documents\Planning Space Implementation\3. Analysis &amp; Design\Design\FC22\DRR Jaime\Neiva CPI\[DINA TERCIARIOS_CF_SEC_New_27-Mar-2024.xlsx]D-PDP'!$BW$35</t>
  </si>
  <si>
    <t>='C:\Users\jaime.benazar\Quorum Business Solutions\Ecopetrol Prometeo - Documents\Planning Space Implementation\3. Analysis &amp; Design\Design\FC22\DRR Jaime\Neiva CPI\[DINA TERCIARIOS_CF_SEC_New_27-Mar-2024.xlsx]D-PDP'!$BW$36</t>
  </si>
  <si>
    <t>='C:\Users\jaime.benazar\Quorum Business Solutions\Ecopetrol Prometeo - Documents\Planning Space Implementation\3. Analysis &amp; Design\Design\FC22\DRR Jaime\Neiva CPI\[DINA TERCIARIOS_CF_SEC_New_27-Mar-2024.xlsx]D-PDP'!$BW$37</t>
  </si>
  <si>
    <t>='C:\Users\jaime.benazar\Quorum Business Solutions\Ecopetrol Prometeo - Documents\Planning Space Implementation\3. Analysis &amp; Design\Design\FC22\DRR Jaime\Neiva CPI\[DINA TERCIARIOS_CF_SEC_New_27-Mar-2024.xlsx]D-PDP'!$BW$38</t>
  </si>
  <si>
    <t>='C:\Users\jaime.benazar\Quorum Business Solutions\Ecopetrol Prometeo - Documents\Planning Space Implementation\3. Analysis &amp; Design\Design\FC22\DRR Jaime\Neiva CPI\[DINA TERCIARIOS_CF_SEC_New_27-Mar-2024.xlsx]D-PDP'!$BW$39</t>
  </si>
  <si>
    <t>='C:\Users\jaime.benazar\Quorum Business Solutions\Ecopetrol Prometeo - Documents\Planning Space Implementation\3. Analysis &amp; Design\Design\FC22\DRR Jaime\Neiva CPI\[DINA TERCIARIOS_CF_SEC_New_27-Mar-2024.xlsx]D-PDP'!$BW$40</t>
  </si>
  <si>
    <t>='C:\Users\jaime.benazar\Quorum Business Solutions\Ecopetrol Prometeo - Documents\Planning Space Implementation\3. Analysis &amp; Design\Design\FC22\DRR Jaime\Neiva CPI\[DINA TERCIARIOS_CF_SEC_New_27-Mar-2024.xlsx]D-PDP'!$BW$41</t>
  </si>
  <si>
    <t>='C:\Users\jaime.benazar\Quorum Business Solutions\Ecopetrol Prometeo - Documents\Planning Space Implementation\3. Analysis &amp; Design\Design\FC22\DRR Jaime\Neiva CPI\[DINA TERCIARIOS_CF_SEC_New_27-Mar-2024.xlsx]D-PDP'!$BW$42</t>
  </si>
  <si>
    <t>='C:\Users\jaime.benazar\Quorum Business Solutions\Ecopetrol Prometeo - Documents\Planning Space Implementation\3. Analysis &amp; Design\Design\FC22\DRR Jaime\Neiva CPI\[DINA TERCIARIOS_CF_SEC_New_27-Mar-2024.xlsx]D-PDP'!$BW$43</t>
  </si>
  <si>
    <t>='C:\Users\jaime.benazar\Quorum Business Solutions\Ecopetrol Prometeo - Documents\Planning Space Implementation\3. Analysis &amp; Design\Design\FC22\DRR Jaime\Neiva CPI\[DINA TERCIARIOS_CF_SEC_New_27-Mar-2024.xlsx]D-PDP'!$BW$44</t>
  </si>
  <si>
    <t>='C:\Users\jaime.benazar\Quorum Business Solutions\Ecopetrol Prometeo - Documents\Planning Space Implementation\3. Analysis &amp; Design\Design\FC22\DRR Jaime\Neiva CPI\[DINA TERCIARIOS_CF_SEC_New_27-Mar-2024.xlsx]D-PDP'!$BW$45</t>
  </si>
  <si>
    <t>='C:\Users\jaime.benazar\Quorum Business Solutions\Ecopetrol Prometeo - Documents\Planning Space Implementation\3. Analysis &amp; Design\Design\FC22\DRR Jaime\Neiva CPI\[DINA TERCIARIOS_CF_SEC_New_27-Mar-2024.xlsx]D-PDP'!$BW$46</t>
  </si>
  <si>
    <t>='C:\Users\jaime.benazar\Quorum Business Solutions\Ecopetrol Prometeo - Documents\Planning Space Implementation\3. Analysis &amp; Design\Design\FC22\DRR Jaime\Neiva CPI\[DINA TERCIARIOS_CF_SEC_New_27-Mar-2024.xlsx]D-PDP'!$BW$47</t>
  </si>
  <si>
    <t>='C:\Users\jaime.benazar\Quorum Business Solutions\Ecopetrol Prometeo - Documents\Planning Space Implementation\3. Analysis &amp; Design\Design\FC22\DRR Jaime\Neiva CPI\[DINA TERCIARIOS_CF_SEC_New_27-Mar-2024.xlsx]D-PDP'!$BW$48</t>
  </si>
  <si>
    <t>='C:\Users\jaime.benazar\Quorum Business Solutions\Ecopetrol Prometeo - Documents\Planning Space Implementation\3. Analysis &amp; Design\Design\FC22\DRR Jaime\Neiva CPI\[DINA TERCIARIOS_CF_SEC_New_27-Mar-2024.xlsx]D-PNP'!$BW$12</t>
  </si>
  <si>
    <t>='C:\Users\jaime.benazar\Quorum Business Solutions\Ecopetrol Prometeo - Documents\Planning Space Implementation\3. Analysis &amp; Design\Design\FC22\DRR Jaime\Neiva CPI\[DINA TERCIARIOS_CF_SEC_New_27-Mar-2024.xlsx]D-PNP'!$BW$13</t>
  </si>
  <si>
    <t>='C:\Users\jaime.benazar\Quorum Business Solutions\Ecopetrol Prometeo - Documents\Planning Space Implementation\3. Analysis &amp; Design\Design\FC22\DRR Jaime\Neiva CPI\[DINA TERCIARIOS_CF_SEC_New_27-Mar-2024.xlsx]D-PNP'!$BW$14</t>
  </si>
  <si>
    <t>='C:\Users\jaime.benazar\Quorum Business Solutions\Ecopetrol Prometeo - Documents\Planning Space Implementation\3. Analysis &amp; Design\Design\FC22\DRR Jaime\Neiva CPI\[DINA TERCIARIOS_CF_SEC_New_27-Mar-2024.xlsx]D-PNP'!$BW$15</t>
  </si>
  <si>
    <t>='C:\Users\jaime.benazar\Quorum Business Solutions\Ecopetrol Prometeo - Documents\Planning Space Implementation\3. Analysis &amp; Design\Design\FC22\DRR Jaime\Neiva CPI\[DINA TERCIARIOS_CF_SEC_New_27-Mar-2024.xlsx]D-PNP'!$BW$16</t>
  </si>
  <si>
    <t>='C:\Users\jaime.benazar\Quorum Business Solutions\Ecopetrol Prometeo - Documents\Planning Space Implementation\3. Analysis &amp; Design\Design\FC22\DRR Jaime\Neiva CPI\[DINA TERCIARIOS_CF_SEC_New_27-Mar-2024.xlsx]D-PNP'!$BW$17</t>
  </si>
  <si>
    <t>='C:\Users\jaime.benazar\Quorum Business Solutions\Ecopetrol Prometeo - Documents\Planning Space Implementation\3. Analysis &amp; Design\Design\FC22\DRR Jaime\Neiva CPI\[DINA TERCIARIOS_CF_SEC_New_27-Mar-2024.xlsx]D-PNP'!$BW$18</t>
  </si>
  <si>
    <t>='C:\Users\jaime.benazar\Quorum Business Solutions\Ecopetrol Prometeo - Documents\Planning Space Implementation\3. Analysis &amp; Design\Design\FC22\DRR Jaime\Neiva CPI\[DINA TERCIARIOS_CF_SEC_New_27-Mar-2024.xlsx]D-PNP'!$BW$19</t>
  </si>
  <si>
    <t>='C:\Users\jaime.benazar\Quorum Business Solutions\Ecopetrol Prometeo - Documents\Planning Space Implementation\3. Analysis &amp; Design\Design\FC22\DRR Jaime\Neiva CPI\[DINA TERCIARIOS_CF_SEC_New_27-Mar-2024.xlsx]D-PNP'!$BW$20</t>
  </si>
  <si>
    <t>='C:\Users\jaime.benazar\Quorum Business Solutions\Ecopetrol Prometeo - Documents\Planning Space Implementation\3. Analysis &amp; Design\Design\FC22\DRR Jaime\Neiva CPI\[DINA TERCIARIOS_CF_SEC_New_27-Mar-2024.xlsx]D-PNP'!$BW$21</t>
  </si>
  <si>
    <t>='C:\Users\jaime.benazar\Quorum Business Solutions\Ecopetrol Prometeo - Documents\Planning Space Implementation\3. Analysis &amp; Design\Design\FC22\DRR Jaime\Neiva CPI\[DINA TERCIARIOS_CF_SEC_New_27-Mar-2024.xlsx]D-PNP'!$BW$22</t>
  </si>
  <si>
    <t>='C:\Users\jaime.benazar\Quorum Business Solutions\Ecopetrol Prometeo - Documents\Planning Space Implementation\3. Analysis &amp; Design\Design\FC22\DRR Jaime\Neiva CPI\[DINA TERCIARIOS_CF_SEC_New_27-Mar-2024.xlsx]D-PNP'!$BW$23</t>
  </si>
  <si>
    <t>='C:\Users\jaime.benazar\Quorum Business Solutions\Ecopetrol Prometeo - Documents\Planning Space Implementation\3. Analysis &amp; Design\Design\FC22\DRR Jaime\Neiva CPI\[DINA TERCIARIOS_CF_SEC_New_27-Mar-2024.xlsx]D-PNP'!$BW$24</t>
  </si>
  <si>
    <t>='C:\Users\jaime.benazar\Quorum Business Solutions\Ecopetrol Prometeo - Documents\Planning Space Implementation\3. Analysis &amp; Design\Design\FC22\DRR Jaime\Neiva CPI\[DINA TERCIARIOS_CF_SEC_New_27-Mar-2024.xlsx]D-PNP'!$BW$25</t>
  </si>
  <si>
    <t>='C:\Users\jaime.benazar\Quorum Business Solutions\Ecopetrol Prometeo - Documents\Planning Space Implementation\3. Analysis &amp; Design\Design\FC22\DRR Jaime\Neiva CPI\[DINA TERCIARIOS_CF_SEC_New_27-Mar-2024.xlsx]D-PNP'!$BW$26</t>
  </si>
  <si>
    <t>='C:\Users\jaime.benazar\Quorum Business Solutions\Ecopetrol Prometeo - Documents\Planning Space Implementation\3. Analysis &amp; Design\Design\FC22\DRR Jaime\Neiva CPI\[DINA TERCIARIOS_CF_SEC_New_27-Mar-2024.xlsx]D-PNP'!$BW$27</t>
  </si>
  <si>
    <t>='C:\Users\jaime.benazar\Quorum Business Solutions\Ecopetrol Prometeo - Documents\Planning Space Implementation\3. Analysis &amp; Design\Design\FC22\DRR Jaime\Neiva CPI\[DINA TERCIARIOS_CF_SEC_New_27-Mar-2024.xlsx]D-PNP'!$BW$28</t>
  </si>
  <si>
    <t>='C:\Users\jaime.benazar\Quorum Business Solutions\Ecopetrol Prometeo - Documents\Planning Space Implementation\3. Analysis &amp; Design\Design\FC22\DRR Jaime\Neiva CPI\[DINA TERCIARIOS_CF_SEC_New_27-Mar-2024.xlsx]D-PNP'!$BW$29</t>
  </si>
  <si>
    <t>='C:\Users\jaime.benazar\Quorum Business Solutions\Ecopetrol Prometeo - Documents\Planning Space Implementation\3. Analysis &amp; Design\Design\FC22\DRR Jaime\Neiva CPI\[DINA TERCIARIOS_CF_SEC_New_27-Mar-2024.xlsx]D-PNP'!$BW$30</t>
  </si>
  <si>
    <t>='C:\Users\jaime.benazar\Quorum Business Solutions\Ecopetrol Prometeo - Documents\Planning Space Implementation\3. Analysis &amp; Design\Design\FC22\DRR Jaime\Neiva CPI\[DINA TERCIARIOS_CF_SEC_New_27-Mar-2024.xlsx]D-PNP'!$BW$31</t>
  </si>
  <si>
    <t>='C:\Users\jaime.benazar\Quorum Business Solutions\Ecopetrol Prometeo - Documents\Planning Space Implementation\3. Analysis &amp; Design\Design\FC22\DRR Jaime\Neiva CPI\[DINA TERCIARIOS_CF_SEC_New_27-Mar-2024.xlsx]D-PNP'!$BW$32</t>
  </si>
  <si>
    <t>='C:\Users\jaime.benazar\Quorum Business Solutions\Ecopetrol Prometeo - Documents\Planning Space Implementation\3. Analysis &amp; Design\Design\FC22\DRR Jaime\Neiva CPI\[DINA TERCIARIOS_CF_SEC_New_27-Mar-2024.xlsx]D-PNP'!$BW$33</t>
  </si>
  <si>
    <t>='C:\Users\jaime.benazar\Quorum Business Solutions\Ecopetrol Prometeo - Documents\Planning Space Implementation\3. Analysis &amp; Design\Design\FC22\DRR Jaime\Neiva CPI\[DINA TERCIARIOS_CF_SEC_New_27-Mar-2024.xlsx]D-PNP'!$BW$34</t>
  </si>
  <si>
    <t>='C:\Users\jaime.benazar\Quorum Business Solutions\Ecopetrol Prometeo - Documents\Planning Space Implementation\3. Analysis &amp; Design\Design\FC22\DRR Jaime\Neiva CPI\[DINA TERCIARIOS_CF_SEC_New_27-Mar-2024.xlsx]D-PNP'!$BW$35</t>
  </si>
  <si>
    <t>='C:\Users\jaime.benazar\Quorum Business Solutions\Ecopetrol Prometeo - Documents\Planning Space Implementation\3. Analysis &amp; Design\Design\FC22\DRR Jaime\Neiva CPI\[DINA TERCIARIOS_CF_SEC_New_27-Mar-2024.xlsx]D-PNP'!$BW$36</t>
  </si>
  <si>
    <t>='C:\Users\jaime.benazar\Quorum Business Solutions\Ecopetrol Prometeo - Documents\Planning Space Implementation\3. Analysis &amp; Design\Design\FC22\DRR Jaime\Neiva CPI\[DINA TERCIARIOS_CF_SEC_New_27-Mar-2024.xlsx]D-PNP'!$BW$37</t>
  </si>
  <si>
    <t>='C:\Users\jaime.benazar\Quorum Business Solutions\Ecopetrol Prometeo - Documents\Planning Space Implementation\3. Analysis &amp; Design\Design\FC22\DRR Jaime\Neiva CPI\[DINA TERCIARIOS_CF_SEC_New_27-Mar-2024.xlsx]D-PNP'!$BW$38</t>
  </si>
  <si>
    <t>='C:\Users\jaime.benazar\Quorum Business Solutions\Ecopetrol Prometeo - Documents\Planning Space Implementation\3. Analysis &amp; Design\Design\FC22\DRR Jaime\Neiva CPI\[DINA TERCIARIOS_CF_SEC_New_27-Mar-2024.xlsx]D-PNP'!$BW$39</t>
  </si>
  <si>
    <t>='C:\Users\jaime.benazar\Quorum Business Solutions\Ecopetrol Prometeo - Documents\Planning Space Implementation\3. Analysis &amp; Design\Design\FC22\DRR Jaime\Neiva CPI\[DINA TERCIARIOS_CF_SEC_New_27-Mar-2024.xlsx]D-PNP'!$BW$40</t>
  </si>
  <si>
    <t>='C:\Users\jaime.benazar\Quorum Business Solutions\Ecopetrol Prometeo - Documents\Planning Space Implementation\3. Analysis &amp; Design\Design\FC22\DRR Jaime\Neiva CPI\[DINA TERCIARIOS_CF_SEC_New_27-Mar-2024.xlsx]D-PNP'!$BW$41</t>
  </si>
  <si>
    <t>='C:\Users\jaime.benazar\Quorum Business Solutions\Ecopetrol Prometeo - Documents\Planning Space Implementation\3. Analysis &amp; Design\Design\FC22\DRR Jaime\Neiva CPI\[DINA TERCIARIOS_CF_SEC_New_27-Mar-2024.xlsx]D-PNP'!$BW$42</t>
  </si>
  <si>
    <t>='C:\Users\jaime.benazar\Quorum Business Solutions\Ecopetrol Prometeo - Documents\Planning Space Implementation\3. Analysis &amp; Design\Design\FC22\DRR Jaime\Neiva CPI\[DINA TERCIARIOS_CF_SEC_New_27-Mar-2024.xlsx]D-PNP'!$BW$43</t>
  </si>
  <si>
    <t>='C:\Users\jaime.benazar\Quorum Business Solutions\Ecopetrol Prometeo - Documents\Planning Space Implementation\3. Analysis &amp; Design\Design\FC22\DRR Jaime\Neiva CPI\[DINA TERCIARIOS_CF_SEC_New_27-Mar-2024.xlsx]D-PNP'!$BW$44</t>
  </si>
  <si>
    <t>='C:\Users\jaime.benazar\Quorum Business Solutions\Ecopetrol Prometeo - Documents\Planning Space Implementation\3. Analysis &amp; Design\Design\FC22\DRR Jaime\Neiva CPI\[DINA TERCIARIOS_CF_SEC_New_27-Mar-2024.xlsx]D-PNP'!$BW$45</t>
  </si>
  <si>
    <t>='C:\Users\jaime.benazar\Quorum Business Solutions\Ecopetrol Prometeo - Documents\Planning Space Implementation\3. Analysis &amp; Design\Design\FC22\DRR Jaime\Neiva CPI\[DINA TERCIARIOS_CF_SEC_New_27-Mar-2024.xlsx]D-PNP'!$BW$46</t>
  </si>
  <si>
    <t>='C:\Users\jaime.benazar\Quorum Business Solutions\Ecopetrol Prometeo - Documents\Planning Space Implementation\3. Analysis &amp; Design\Design\FC22\DRR Jaime\Neiva CPI\[DINA TERCIARIOS_CF_SEC_New_27-Mar-2024.xlsx]D-PNP'!$BW$47</t>
  </si>
  <si>
    <t>='C:\Users\jaime.benazar\Quorum Business Solutions\Ecopetrol Prometeo - Documents\Planning Space Implementation\3. Analysis &amp; Design\Design\FC22\DRR Jaime\Neiva CPI\[DINA TERCIARIOS_CF_SEC_New_27-Mar-2024.xlsx]D-PNP'!$BW$48</t>
  </si>
  <si>
    <t>='C:\Users\jaime.benazar\Quorum Business Solutions\Ecopetrol Prometeo - Documents\Planning Space Implementation\3. Analysis &amp; Design\Design\FC22\DRR Jaime\Neiva CPI\[DINA TERCIARIOS_CF_SEC_New_27-Mar-2024.xlsx]D-PND'!$BW$12</t>
  </si>
  <si>
    <t>='C:\Users\jaime.benazar\Quorum Business Solutions\Ecopetrol Prometeo - Documents\Planning Space Implementation\3. Analysis &amp; Design\Design\FC22\DRR Jaime\Neiva CPI\[DINA TERCIARIOS_CF_SEC_New_27-Mar-2024.xlsx]D-PND'!$BW$13</t>
  </si>
  <si>
    <t>='C:\Users\jaime.benazar\Quorum Business Solutions\Ecopetrol Prometeo - Documents\Planning Space Implementation\3. Analysis &amp; Design\Design\FC22\DRR Jaime\Neiva CPI\[DINA TERCIARIOS_CF_SEC_New_27-Mar-2024.xlsx]D-PND'!$BW$14</t>
  </si>
  <si>
    <t>='C:\Users\jaime.benazar\Quorum Business Solutions\Ecopetrol Prometeo - Documents\Planning Space Implementation\3. Analysis &amp; Design\Design\FC22\DRR Jaime\Neiva CPI\[DINA TERCIARIOS_CF_SEC_New_27-Mar-2024.xlsx]D-PND'!$BW$15</t>
  </si>
  <si>
    <t>='C:\Users\jaime.benazar\Quorum Business Solutions\Ecopetrol Prometeo - Documents\Planning Space Implementation\3. Analysis &amp; Design\Design\FC22\DRR Jaime\Neiva CPI\[DINA TERCIARIOS_CF_SEC_New_27-Mar-2024.xlsx]D-PND'!$BW$16</t>
  </si>
  <si>
    <t>='C:\Users\jaime.benazar\Quorum Business Solutions\Ecopetrol Prometeo - Documents\Planning Space Implementation\3. Analysis &amp; Design\Design\FC22\DRR Jaime\Neiva CPI\[DINA TERCIARIOS_CF_SEC_New_27-Mar-2024.xlsx]D-PND'!$BW$17</t>
  </si>
  <si>
    <t>='C:\Users\jaime.benazar\Quorum Business Solutions\Ecopetrol Prometeo - Documents\Planning Space Implementation\3. Analysis &amp; Design\Design\FC22\DRR Jaime\Neiva CPI\[DINA TERCIARIOS_CF_SEC_New_27-Mar-2024.xlsx]D-PND'!$BW$18</t>
  </si>
  <si>
    <t>='C:\Users\jaime.benazar\Quorum Business Solutions\Ecopetrol Prometeo - Documents\Planning Space Implementation\3. Analysis &amp; Design\Design\FC22\DRR Jaime\Neiva CPI\[DINA TERCIARIOS_CF_SEC_New_27-Mar-2024.xlsx]D-PND'!$BW$19</t>
  </si>
  <si>
    <t>='C:\Users\jaime.benazar\Quorum Business Solutions\Ecopetrol Prometeo - Documents\Planning Space Implementation\3. Analysis &amp; Design\Design\FC22\DRR Jaime\Neiva CPI\[DINA TERCIARIOS_CF_SEC_New_27-Mar-2024.xlsx]D-PND'!$BW$20</t>
  </si>
  <si>
    <t>='C:\Users\jaime.benazar\Quorum Business Solutions\Ecopetrol Prometeo - Documents\Planning Space Implementation\3. Analysis &amp; Design\Design\FC22\DRR Jaime\Neiva CPI\[DINA TERCIARIOS_CF_SEC_New_27-Mar-2024.xlsx]D-PND'!$BW$21</t>
  </si>
  <si>
    <t>='C:\Users\jaime.benazar\Quorum Business Solutions\Ecopetrol Prometeo - Documents\Planning Space Implementation\3. Analysis &amp; Design\Design\FC22\DRR Jaime\Neiva CPI\[DINA TERCIARIOS_CF_SEC_New_27-Mar-2024.xlsx]D-PND'!$BW$22</t>
  </si>
  <si>
    <t>='C:\Users\jaime.benazar\Quorum Business Solutions\Ecopetrol Prometeo - Documents\Planning Space Implementation\3. Analysis &amp; Design\Design\FC22\DRR Jaime\Neiva CPI\[DINA TERCIARIOS_CF_SEC_New_27-Mar-2024.xlsx]D-PND'!$BW$23</t>
  </si>
  <si>
    <t>='C:\Users\jaime.benazar\Quorum Business Solutions\Ecopetrol Prometeo - Documents\Planning Space Implementation\3. Analysis &amp; Design\Design\FC22\DRR Jaime\Neiva CPI\[DINA TERCIARIOS_CF_SEC_New_27-Mar-2024.xlsx]D-PND'!$BW$24</t>
  </si>
  <si>
    <t>='C:\Users\jaime.benazar\Quorum Business Solutions\Ecopetrol Prometeo - Documents\Planning Space Implementation\3. Analysis &amp; Design\Design\FC22\DRR Jaime\Neiva CPI\[DINA TERCIARIOS_CF_SEC_New_27-Mar-2024.xlsx]D-PND'!$BW$25</t>
  </si>
  <si>
    <t>='C:\Users\jaime.benazar\Quorum Business Solutions\Ecopetrol Prometeo - Documents\Planning Space Implementation\3. Analysis &amp; Design\Design\FC22\DRR Jaime\Neiva CPI\[DINA TERCIARIOS_CF_SEC_New_27-Mar-2024.xlsx]D-PND'!$BW$26</t>
  </si>
  <si>
    <t>='C:\Users\jaime.benazar\Quorum Business Solutions\Ecopetrol Prometeo - Documents\Planning Space Implementation\3. Analysis &amp; Design\Design\FC22\DRR Jaime\Neiva CPI\[DINA TERCIARIOS_CF_SEC_New_27-Mar-2024.xlsx]D-PND'!$BW$27</t>
  </si>
  <si>
    <t>='C:\Users\jaime.benazar\Quorum Business Solutions\Ecopetrol Prometeo - Documents\Planning Space Implementation\3. Analysis &amp; Design\Design\FC22\DRR Jaime\Neiva CPI\[DINA TERCIARIOS_CF_SEC_New_27-Mar-2024.xlsx]D-PND'!$BW$28</t>
  </si>
  <si>
    <t>='C:\Users\jaime.benazar\Quorum Business Solutions\Ecopetrol Prometeo - Documents\Planning Space Implementation\3. Analysis &amp; Design\Design\FC22\DRR Jaime\Neiva CPI\[DINA TERCIARIOS_CF_SEC_New_27-Mar-2024.xlsx]D-PND'!$BW$29</t>
  </si>
  <si>
    <t>='C:\Users\jaime.benazar\Quorum Business Solutions\Ecopetrol Prometeo - Documents\Planning Space Implementation\3. Analysis &amp; Design\Design\FC22\DRR Jaime\Neiva CPI\[DINA TERCIARIOS_CF_SEC_New_27-Mar-2024.xlsx]D-PND'!$BW$30</t>
  </si>
  <si>
    <t>='C:\Users\jaime.benazar\Quorum Business Solutions\Ecopetrol Prometeo - Documents\Planning Space Implementation\3. Analysis &amp; Design\Design\FC22\DRR Jaime\Neiva CPI\[DINA TERCIARIOS_CF_SEC_New_27-Mar-2024.xlsx]D-PND'!$BW$31</t>
  </si>
  <si>
    <t>='C:\Users\jaime.benazar\Quorum Business Solutions\Ecopetrol Prometeo - Documents\Planning Space Implementation\3. Analysis &amp; Design\Design\FC22\DRR Jaime\Neiva CPI\[DINA TERCIARIOS_CF_SEC_New_27-Mar-2024.xlsx]D-PND'!$BW$32</t>
  </si>
  <si>
    <t>='C:\Users\jaime.benazar\Quorum Business Solutions\Ecopetrol Prometeo - Documents\Planning Space Implementation\3. Analysis &amp; Design\Design\FC22\DRR Jaime\Neiva CPI\[DINA TERCIARIOS_CF_SEC_New_27-Mar-2024.xlsx]D-PND'!$BW$33</t>
  </si>
  <si>
    <t>='C:\Users\jaime.benazar\Quorum Business Solutions\Ecopetrol Prometeo - Documents\Planning Space Implementation\3. Analysis &amp; Design\Design\FC22\DRR Jaime\Neiva CPI\[DINA TERCIARIOS_CF_SEC_New_27-Mar-2024.xlsx]D-PND'!$BW$34</t>
  </si>
  <si>
    <t>='C:\Users\jaime.benazar\Quorum Business Solutions\Ecopetrol Prometeo - Documents\Planning Space Implementation\3. Analysis &amp; Design\Design\FC22\DRR Jaime\Neiva CPI\[DINA TERCIARIOS_CF_SEC_New_27-Mar-2024.xlsx]D-PND'!$BW$35</t>
  </si>
  <si>
    <t>='C:\Users\jaime.benazar\Quorum Business Solutions\Ecopetrol Prometeo - Documents\Planning Space Implementation\3. Analysis &amp; Design\Design\FC22\DRR Jaime\Neiva CPI\[DINA TERCIARIOS_CF_SEC_New_27-Mar-2024.xlsx]D-PND'!$BW$36</t>
  </si>
  <si>
    <t>='C:\Users\jaime.benazar\Quorum Business Solutions\Ecopetrol Prometeo - Documents\Planning Space Implementation\3. Analysis &amp; Design\Design\FC22\DRR Jaime\Neiva CPI\[DINA TERCIARIOS_CF_SEC_New_27-Mar-2024.xlsx]D-PND'!$BW$37</t>
  </si>
  <si>
    <t>='C:\Users\jaime.benazar\Quorum Business Solutions\Ecopetrol Prometeo - Documents\Planning Space Implementation\3. Analysis &amp; Design\Design\FC22\DRR Jaime\Neiva CPI\[DINA TERCIARIOS_CF_SEC_New_27-Mar-2024.xlsx]D-PND'!$BW$38</t>
  </si>
  <si>
    <t>='C:\Users\jaime.benazar\Quorum Business Solutions\Ecopetrol Prometeo - Documents\Planning Space Implementation\3. Analysis &amp; Design\Design\FC22\DRR Jaime\Neiva CPI\[DINA TERCIARIOS_CF_SEC_New_27-Mar-2024.xlsx]D-PND'!$BW$39</t>
  </si>
  <si>
    <t>='C:\Users\jaime.benazar\Quorum Business Solutions\Ecopetrol Prometeo - Documents\Planning Space Implementation\3. Analysis &amp; Design\Design\FC22\DRR Jaime\Neiva CPI\[DINA TERCIARIOS_CF_SEC_New_27-Mar-2024.xlsx]D-PND'!$BW$40</t>
  </si>
  <si>
    <t>='C:\Users\jaime.benazar\Quorum Business Solutions\Ecopetrol Prometeo - Documents\Planning Space Implementation\3. Analysis &amp; Design\Design\FC22\DRR Jaime\Neiva CPI\[DINA TERCIARIOS_CF_SEC_New_27-Mar-2024.xlsx]D-PND'!$BW$41</t>
  </si>
  <si>
    <t>='C:\Users\jaime.benazar\Quorum Business Solutions\Ecopetrol Prometeo - Documents\Planning Space Implementation\3. Analysis &amp; Design\Design\FC22\DRR Jaime\Neiva CPI\[DINA TERCIARIOS_CF_SEC_New_27-Mar-2024.xlsx]D-PND'!$BW$42</t>
  </si>
  <si>
    <t>='C:\Users\jaime.benazar\Quorum Business Solutions\Ecopetrol Prometeo - Documents\Planning Space Implementation\3. Analysis &amp; Design\Design\FC22\DRR Jaime\Neiva CPI\[DINA TERCIARIOS_CF_SEC_New_27-Mar-2024.xlsx]D-PND'!$BW$43</t>
  </si>
  <si>
    <t>='C:\Users\jaime.benazar\Quorum Business Solutions\Ecopetrol Prometeo - Documents\Planning Space Implementation\3. Analysis &amp; Design\Design\FC22\DRR Jaime\Neiva CPI\[DINA TERCIARIOS_CF_SEC_New_27-Mar-2024.xlsx]D-PND'!$BW$44</t>
  </si>
  <si>
    <t>='C:\Users\jaime.benazar\Quorum Business Solutions\Ecopetrol Prometeo - Documents\Planning Space Implementation\3. Analysis &amp; Design\Design\FC22\DRR Jaime\Neiva CPI\[DINA TERCIARIOS_CF_SEC_New_27-Mar-2024.xlsx]D-PND'!$BW$45</t>
  </si>
  <si>
    <t>='C:\Users\jaime.benazar\Quorum Business Solutions\Ecopetrol Prometeo - Documents\Planning Space Implementation\3. Analysis &amp; Design\Design\FC22\DRR Jaime\Neiva CPI\[DINA TERCIARIOS_CF_SEC_New_27-Mar-2024.xlsx]D-PND'!$BW$46</t>
  </si>
  <si>
    <t>='C:\Users\jaime.benazar\Quorum Business Solutions\Ecopetrol Prometeo - Documents\Planning Space Implementation\3. Analysis &amp; Design\Design\FC22\DRR Jaime\Neiva CPI\[DINA TERCIARIOS_CF_SEC_New_27-Mar-2024.xlsx]D-PND'!$BW$47</t>
  </si>
  <si>
    <t>='C:\Users\jaime.benazar\Quorum Business Solutions\Ecopetrol Prometeo - Documents\Planning Space Implementation\3. Analysis &amp; Design\Design\FC22\DRR Jaime\Neiva CPI\[DINA TERCIARIOS_CF_SEC_New_27-Mar-2024.xlsx]D-PND'!$BW$48</t>
  </si>
  <si>
    <t>='C:\Users\jaime.benazar\Quorum Business Solutions\Ecopetrol Prometeo - Documents\Planning Space Implementation\3. Analysis &amp; Design\Design\FC22\DRR Jaime\Neiva CPI\[DINA TERCIARIOS_CF_SEC_New_27-Mar-2024.xlsx]D-PRB'!$BW$12</t>
  </si>
  <si>
    <t>='C:\Users\jaime.benazar\Quorum Business Solutions\Ecopetrol Prometeo - Documents\Planning Space Implementation\3. Analysis &amp; Design\Design\FC22\DRR Jaime\Neiva CPI\[DINA TERCIARIOS_CF_SEC_New_27-Mar-2024.xlsx]D-PRB'!$BW$13</t>
  </si>
  <si>
    <t>='C:\Users\jaime.benazar\Quorum Business Solutions\Ecopetrol Prometeo - Documents\Planning Space Implementation\3. Analysis &amp; Design\Design\FC22\DRR Jaime\Neiva CPI\[DINA TERCIARIOS_CF_SEC_New_27-Mar-2024.xlsx]D-PRB'!$BW$14</t>
  </si>
  <si>
    <t>='C:\Users\jaime.benazar\Quorum Business Solutions\Ecopetrol Prometeo - Documents\Planning Space Implementation\3. Analysis &amp; Design\Design\FC22\DRR Jaime\Neiva CPI\[DINA TERCIARIOS_CF_SEC_New_27-Mar-2024.xlsx]D-PRB'!$BW$15</t>
  </si>
  <si>
    <t>='C:\Users\jaime.benazar\Quorum Business Solutions\Ecopetrol Prometeo - Documents\Planning Space Implementation\3. Analysis &amp; Design\Design\FC22\DRR Jaime\Neiva CPI\[DINA TERCIARIOS_CF_SEC_New_27-Mar-2024.xlsx]D-PRB'!$BW$16</t>
  </si>
  <si>
    <t>='C:\Users\jaime.benazar\Quorum Business Solutions\Ecopetrol Prometeo - Documents\Planning Space Implementation\3. Analysis &amp; Design\Design\FC22\DRR Jaime\Neiva CPI\[DINA TERCIARIOS_CF_SEC_New_27-Mar-2024.xlsx]D-PRB'!$BW$17</t>
  </si>
  <si>
    <t>='C:\Users\jaime.benazar\Quorum Business Solutions\Ecopetrol Prometeo - Documents\Planning Space Implementation\3. Analysis &amp; Design\Design\FC22\DRR Jaime\Neiva CPI\[DINA TERCIARIOS_CF_SEC_New_27-Mar-2024.xlsx]D-PRB'!$BW$18</t>
  </si>
  <si>
    <t>='C:\Users\jaime.benazar\Quorum Business Solutions\Ecopetrol Prometeo - Documents\Planning Space Implementation\3. Analysis &amp; Design\Design\FC22\DRR Jaime\Neiva CPI\[DINA TERCIARIOS_CF_SEC_New_27-Mar-2024.xlsx]D-PRB'!$BW$19</t>
  </si>
  <si>
    <t>='C:\Users\jaime.benazar\Quorum Business Solutions\Ecopetrol Prometeo - Documents\Planning Space Implementation\3. Analysis &amp; Design\Design\FC22\DRR Jaime\Neiva CPI\[DINA TERCIARIOS_CF_SEC_New_27-Mar-2024.xlsx]D-PRB'!$BW$20</t>
  </si>
  <si>
    <t>='C:\Users\jaime.benazar\Quorum Business Solutions\Ecopetrol Prometeo - Documents\Planning Space Implementation\3. Analysis &amp; Design\Design\FC22\DRR Jaime\Neiva CPI\[DINA TERCIARIOS_CF_SEC_New_27-Mar-2024.xlsx]D-PRB'!$BW$21</t>
  </si>
  <si>
    <t>='C:\Users\jaime.benazar\Quorum Business Solutions\Ecopetrol Prometeo - Documents\Planning Space Implementation\3. Analysis &amp; Design\Design\FC22\DRR Jaime\Neiva CPI\[DINA TERCIARIOS_CF_SEC_New_27-Mar-2024.xlsx]D-PRB'!$BW$22</t>
  </si>
  <si>
    <t>='C:\Users\jaime.benazar\Quorum Business Solutions\Ecopetrol Prometeo - Documents\Planning Space Implementation\3. Analysis &amp; Design\Design\FC22\DRR Jaime\Neiva CPI\[DINA TERCIARIOS_CF_SEC_New_27-Mar-2024.xlsx]D-PRB'!$BW$23</t>
  </si>
  <si>
    <t>='C:\Users\jaime.benazar\Quorum Business Solutions\Ecopetrol Prometeo - Documents\Planning Space Implementation\3. Analysis &amp; Design\Design\FC22\DRR Jaime\Neiva CPI\[DINA TERCIARIOS_CF_SEC_New_27-Mar-2024.xlsx]D-PRB'!$BW$24</t>
  </si>
  <si>
    <t>='C:\Users\jaime.benazar\Quorum Business Solutions\Ecopetrol Prometeo - Documents\Planning Space Implementation\3. Analysis &amp; Design\Design\FC22\DRR Jaime\Neiva CPI\[DINA TERCIARIOS_CF_SEC_New_27-Mar-2024.xlsx]D-PRB'!$BW$25</t>
  </si>
  <si>
    <t>='C:\Users\jaime.benazar\Quorum Business Solutions\Ecopetrol Prometeo - Documents\Planning Space Implementation\3. Analysis &amp; Design\Design\FC22\DRR Jaime\Neiva CPI\[DINA TERCIARIOS_CF_SEC_New_27-Mar-2024.xlsx]D-PRB'!$BW$26</t>
  </si>
  <si>
    <t>='C:\Users\jaime.benazar\Quorum Business Solutions\Ecopetrol Prometeo - Documents\Planning Space Implementation\3. Analysis &amp; Design\Design\FC22\DRR Jaime\Neiva CPI\[DINA TERCIARIOS_CF_SEC_New_27-Mar-2024.xlsx]D-PRB'!$BW$27</t>
  </si>
  <si>
    <t>='C:\Users\jaime.benazar\Quorum Business Solutions\Ecopetrol Prometeo - Documents\Planning Space Implementation\3. Analysis &amp; Design\Design\FC22\DRR Jaime\Neiva CPI\[DINA TERCIARIOS_CF_SEC_New_27-Mar-2024.xlsx]D-PRB'!$BW$28</t>
  </si>
  <si>
    <t>='C:\Users\jaime.benazar\Quorum Business Solutions\Ecopetrol Prometeo - Documents\Planning Space Implementation\3. Analysis &amp; Design\Design\FC22\DRR Jaime\Neiva CPI\[DINA TERCIARIOS_CF_SEC_New_27-Mar-2024.xlsx]D-PRB'!$BW$29</t>
  </si>
  <si>
    <t>='C:\Users\jaime.benazar\Quorum Business Solutions\Ecopetrol Prometeo - Documents\Planning Space Implementation\3. Analysis &amp; Design\Design\FC22\DRR Jaime\Neiva CPI\[DINA TERCIARIOS_CF_SEC_New_27-Mar-2024.xlsx]D-PRB'!$BW$30</t>
  </si>
  <si>
    <t>='C:\Users\jaime.benazar\Quorum Business Solutions\Ecopetrol Prometeo - Documents\Planning Space Implementation\3. Analysis &amp; Design\Design\FC22\DRR Jaime\Neiva CPI\[DINA TERCIARIOS_CF_SEC_New_27-Mar-2024.xlsx]D-PRB'!$BW$31</t>
  </si>
  <si>
    <t>='C:\Users\jaime.benazar\Quorum Business Solutions\Ecopetrol Prometeo - Documents\Planning Space Implementation\3. Analysis &amp; Design\Design\FC22\DRR Jaime\Neiva CPI\[DINA TERCIARIOS_CF_SEC_New_27-Mar-2024.xlsx]D-PRB'!$BW$32</t>
  </si>
  <si>
    <t>='C:\Users\jaime.benazar\Quorum Business Solutions\Ecopetrol Prometeo - Documents\Planning Space Implementation\3. Analysis &amp; Design\Design\FC22\DRR Jaime\Neiva CPI\[DINA TERCIARIOS_CF_SEC_New_27-Mar-2024.xlsx]D-PRB'!$BW$33</t>
  </si>
  <si>
    <t>='C:\Users\jaime.benazar\Quorum Business Solutions\Ecopetrol Prometeo - Documents\Planning Space Implementation\3. Analysis &amp; Design\Design\FC22\DRR Jaime\Neiva CPI\[DINA TERCIARIOS_CF_SEC_New_27-Mar-2024.xlsx]D-PRB'!$BW$34</t>
  </si>
  <si>
    <t>='C:\Users\jaime.benazar\Quorum Business Solutions\Ecopetrol Prometeo - Documents\Planning Space Implementation\3. Analysis &amp; Design\Design\FC22\DRR Jaime\Neiva CPI\[DINA TERCIARIOS_CF_SEC_New_27-Mar-2024.xlsx]D-PRB'!$BW$35</t>
  </si>
  <si>
    <t>='C:\Users\jaime.benazar\Quorum Business Solutions\Ecopetrol Prometeo - Documents\Planning Space Implementation\3. Analysis &amp; Design\Design\FC22\DRR Jaime\Neiva CPI\[DINA TERCIARIOS_CF_SEC_New_27-Mar-2024.xlsx]D-PRB'!$BW$36</t>
  </si>
  <si>
    <t>='C:\Users\jaime.benazar\Quorum Business Solutions\Ecopetrol Prometeo - Documents\Planning Space Implementation\3. Analysis &amp; Design\Design\FC22\DRR Jaime\Neiva CPI\[DINA TERCIARIOS_CF_SEC_New_27-Mar-2024.xlsx]D-PRB'!$BW$37</t>
  </si>
  <si>
    <t>='C:\Users\jaime.benazar\Quorum Business Solutions\Ecopetrol Prometeo - Documents\Planning Space Implementation\3. Analysis &amp; Design\Design\FC22\DRR Jaime\Neiva CPI\[DINA TERCIARIOS_CF_SEC_New_27-Mar-2024.xlsx]D-PRB'!$BW$38</t>
  </si>
  <si>
    <t>='C:\Users\jaime.benazar\Quorum Business Solutions\Ecopetrol Prometeo - Documents\Planning Space Implementation\3. Analysis &amp; Design\Design\FC22\DRR Jaime\Neiva CPI\[DINA TERCIARIOS_CF_SEC_New_27-Mar-2024.xlsx]D-PRB'!$BW$39</t>
  </si>
  <si>
    <t>='C:\Users\jaime.benazar\Quorum Business Solutions\Ecopetrol Prometeo - Documents\Planning Space Implementation\3. Analysis &amp; Design\Design\FC22\DRR Jaime\Neiva CPI\[DINA TERCIARIOS_CF_SEC_New_27-Mar-2024.xlsx]D-PRB'!$BW$40</t>
  </si>
  <si>
    <t>='C:\Users\jaime.benazar\Quorum Business Solutions\Ecopetrol Prometeo - Documents\Planning Space Implementation\3. Analysis &amp; Design\Design\FC22\DRR Jaime\Neiva CPI\[DINA TERCIARIOS_CF_SEC_New_27-Mar-2024.xlsx]D-PRB'!$BW$41</t>
  </si>
  <si>
    <t>='C:\Users\jaime.benazar\Quorum Business Solutions\Ecopetrol Prometeo - Documents\Planning Space Implementation\3. Analysis &amp; Design\Design\FC22\DRR Jaime\Neiva CPI\[DINA TERCIARIOS_CF_SEC_New_27-Mar-2024.xlsx]D-PRB'!$BW$42</t>
  </si>
  <si>
    <t>='C:\Users\jaime.benazar\Quorum Business Solutions\Ecopetrol Prometeo - Documents\Planning Space Implementation\3. Analysis &amp; Design\Design\FC22\DRR Jaime\Neiva CPI\[DINA TERCIARIOS_CF_SEC_New_27-Mar-2024.xlsx]D-PRB'!$BW$43</t>
  </si>
  <si>
    <t>='C:\Users\jaime.benazar\Quorum Business Solutions\Ecopetrol Prometeo - Documents\Planning Space Implementation\3. Analysis &amp; Design\Design\FC22\DRR Jaime\Neiva CPI\[DINA TERCIARIOS_CF_SEC_New_27-Mar-2024.xlsx]D-PRB'!$BW$44</t>
  </si>
  <si>
    <t>='C:\Users\jaime.benazar\Quorum Business Solutions\Ecopetrol Prometeo - Documents\Planning Space Implementation\3. Analysis &amp; Design\Design\FC22\DRR Jaime\Neiva CPI\[DINA TERCIARIOS_CF_SEC_New_27-Mar-2024.xlsx]D-PRB'!$BW$45</t>
  </si>
  <si>
    <t>='C:\Users\jaime.benazar\Quorum Business Solutions\Ecopetrol Prometeo - Documents\Planning Space Implementation\3. Analysis &amp; Design\Design\FC22\DRR Jaime\Neiva CPI\[DINA TERCIARIOS_CF_SEC_New_27-Mar-2024.xlsx]D-PRB'!$BW$46</t>
  </si>
  <si>
    <t>='C:\Users\jaime.benazar\Quorum Business Solutions\Ecopetrol Prometeo - Documents\Planning Space Implementation\3. Analysis &amp; Design\Design\FC22\DRR Jaime\Neiva CPI\[DINA TERCIARIOS_CF_SEC_New_27-Mar-2024.xlsx]D-PRB'!$BW$47</t>
  </si>
  <si>
    <t>='C:\Users\jaime.benazar\Quorum Business Solutions\Ecopetrol Prometeo - Documents\Planning Space Implementation\3. Analysis &amp; Design\Design\FC22\DRR Jaime\Neiva CPI\[DINA TERCIARIOS_CF_SEC_New_27-Mar-2024.xlsx]D-PRB'!$BW$48</t>
  </si>
  <si>
    <t>='C:\Users\jaime.benazar\Quorum Business Solutions\Ecopetrol Prometeo - Documents\Planning Space Implementation\3. Analysis &amp; Design\Design\FC22\DRR Jaime\Neiva CPI\[DINA TERCIARIOS_CF_SEC_New_27-Mar-2024.xlsx]D-PS'!$BW$12</t>
  </si>
  <si>
    <t>='C:\Users\jaime.benazar\Quorum Business Solutions\Ecopetrol Prometeo - Documents\Planning Space Implementation\3. Analysis &amp; Design\Design\FC22\DRR Jaime\Neiva CPI\[DINA TERCIARIOS_CF_SEC_New_27-Mar-2024.xlsx]D-PS'!$BW$13</t>
  </si>
  <si>
    <t>='C:\Users\jaime.benazar\Quorum Business Solutions\Ecopetrol Prometeo - Documents\Planning Space Implementation\3. Analysis &amp; Design\Design\FC22\DRR Jaime\Neiva CPI\[DINA TERCIARIOS_CF_SEC_New_27-Mar-2024.xlsx]D-PS'!$BW$14</t>
  </si>
  <si>
    <t>='C:\Users\jaime.benazar\Quorum Business Solutions\Ecopetrol Prometeo - Documents\Planning Space Implementation\3. Analysis &amp; Design\Design\FC22\DRR Jaime\Neiva CPI\[DINA TERCIARIOS_CF_SEC_New_27-Mar-2024.xlsx]D-PS'!$BW$15</t>
  </si>
  <si>
    <t>='C:\Users\jaime.benazar\Quorum Business Solutions\Ecopetrol Prometeo - Documents\Planning Space Implementation\3. Analysis &amp; Design\Design\FC22\DRR Jaime\Neiva CPI\[DINA TERCIARIOS_CF_SEC_New_27-Mar-2024.xlsx]D-PS'!$BW$16</t>
  </si>
  <si>
    <t>='C:\Users\jaime.benazar\Quorum Business Solutions\Ecopetrol Prometeo - Documents\Planning Space Implementation\3. Analysis &amp; Design\Design\FC22\DRR Jaime\Neiva CPI\[DINA TERCIARIOS_CF_SEC_New_27-Mar-2024.xlsx]D-PS'!$BW$17</t>
  </si>
  <si>
    <t>='C:\Users\jaime.benazar\Quorum Business Solutions\Ecopetrol Prometeo - Documents\Planning Space Implementation\3. Analysis &amp; Design\Design\FC22\DRR Jaime\Neiva CPI\[DINA TERCIARIOS_CF_SEC_New_27-Mar-2024.xlsx]D-PS'!$BW$18</t>
  </si>
  <si>
    <t>='C:\Users\jaime.benazar\Quorum Business Solutions\Ecopetrol Prometeo - Documents\Planning Space Implementation\3. Analysis &amp; Design\Design\FC22\DRR Jaime\Neiva CPI\[DINA TERCIARIOS_CF_SEC_New_27-Mar-2024.xlsx]D-PS'!$BW$19</t>
  </si>
  <si>
    <t>='C:\Users\jaime.benazar\Quorum Business Solutions\Ecopetrol Prometeo - Documents\Planning Space Implementation\3. Analysis &amp; Design\Design\FC22\DRR Jaime\Neiva CPI\[DINA TERCIARIOS_CF_SEC_New_27-Mar-2024.xlsx]D-PS'!$BW$20</t>
  </si>
  <si>
    <t>='C:\Users\jaime.benazar\Quorum Business Solutions\Ecopetrol Prometeo - Documents\Planning Space Implementation\3. Analysis &amp; Design\Design\FC22\DRR Jaime\Neiva CPI\[DINA TERCIARIOS_CF_SEC_New_27-Mar-2024.xlsx]D-PS'!$BW$21</t>
  </si>
  <si>
    <t>='C:\Users\jaime.benazar\Quorum Business Solutions\Ecopetrol Prometeo - Documents\Planning Space Implementation\3. Analysis &amp; Design\Design\FC22\DRR Jaime\Neiva CPI\[DINA TERCIARIOS_CF_SEC_New_27-Mar-2024.xlsx]D-PS'!$BW$22</t>
  </si>
  <si>
    <t>='C:\Users\jaime.benazar\Quorum Business Solutions\Ecopetrol Prometeo - Documents\Planning Space Implementation\3. Analysis &amp; Design\Design\FC22\DRR Jaime\Neiva CPI\[DINA TERCIARIOS_CF_SEC_New_27-Mar-2024.xlsx]D-PS'!$BW$23</t>
  </si>
  <si>
    <t>='C:\Users\jaime.benazar\Quorum Business Solutions\Ecopetrol Prometeo - Documents\Planning Space Implementation\3. Analysis &amp; Design\Design\FC22\DRR Jaime\Neiva CPI\[DINA TERCIARIOS_CF_SEC_New_27-Mar-2024.xlsx]D-PS'!$BW$24</t>
  </si>
  <si>
    <t>='C:\Users\jaime.benazar\Quorum Business Solutions\Ecopetrol Prometeo - Documents\Planning Space Implementation\3. Analysis &amp; Design\Design\FC22\DRR Jaime\Neiva CPI\[DINA TERCIARIOS_CF_SEC_New_27-Mar-2024.xlsx]D-PS'!$BW$25</t>
  </si>
  <si>
    <t>='C:\Users\jaime.benazar\Quorum Business Solutions\Ecopetrol Prometeo - Documents\Planning Space Implementation\3. Analysis &amp; Design\Design\FC22\DRR Jaime\Neiva CPI\[DINA TERCIARIOS_CF_SEC_New_27-Mar-2024.xlsx]D-PS'!$BW$26</t>
  </si>
  <si>
    <t>='C:\Users\jaime.benazar\Quorum Business Solutions\Ecopetrol Prometeo - Documents\Planning Space Implementation\3. Analysis &amp; Design\Design\FC22\DRR Jaime\Neiva CPI\[DINA TERCIARIOS_CF_SEC_New_27-Mar-2024.xlsx]D-PS'!$BW$27</t>
  </si>
  <si>
    <t>='C:\Users\jaime.benazar\Quorum Business Solutions\Ecopetrol Prometeo - Documents\Planning Space Implementation\3. Analysis &amp; Design\Design\FC22\DRR Jaime\Neiva CPI\[DINA TERCIARIOS_CF_SEC_New_27-Mar-2024.xlsx]D-PS'!$BW$28</t>
  </si>
  <si>
    <t>='C:\Users\jaime.benazar\Quorum Business Solutions\Ecopetrol Prometeo - Documents\Planning Space Implementation\3. Analysis &amp; Design\Design\FC22\DRR Jaime\Neiva CPI\[DINA TERCIARIOS_CF_SEC_New_27-Mar-2024.xlsx]D-PS'!$BW$29</t>
  </si>
  <si>
    <t>='C:\Users\jaime.benazar\Quorum Business Solutions\Ecopetrol Prometeo - Documents\Planning Space Implementation\3. Analysis &amp; Design\Design\FC22\DRR Jaime\Neiva CPI\[DINA TERCIARIOS_CF_SEC_New_27-Mar-2024.xlsx]D-PS'!$BW$30</t>
  </si>
  <si>
    <t>='C:\Users\jaime.benazar\Quorum Business Solutions\Ecopetrol Prometeo - Documents\Planning Space Implementation\3. Analysis &amp; Design\Design\FC22\DRR Jaime\Neiva CPI\[DINA TERCIARIOS_CF_SEC_New_27-Mar-2024.xlsx]D-PS'!$BW$31</t>
  </si>
  <si>
    <t>='C:\Users\jaime.benazar\Quorum Business Solutions\Ecopetrol Prometeo - Documents\Planning Space Implementation\3. Analysis &amp; Design\Design\FC22\DRR Jaime\Neiva CPI\[DINA TERCIARIOS_CF_SEC_New_27-Mar-2024.xlsx]D-PS'!$BW$32</t>
  </si>
  <si>
    <t>='C:\Users\jaime.benazar\Quorum Business Solutions\Ecopetrol Prometeo - Documents\Planning Space Implementation\3. Analysis &amp; Design\Design\FC22\DRR Jaime\Neiva CPI\[DINA TERCIARIOS_CF_SEC_New_27-Mar-2024.xlsx]D-PS'!$BW$33</t>
  </si>
  <si>
    <t>='C:\Users\jaime.benazar\Quorum Business Solutions\Ecopetrol Prometeo - Documents\Planning Space Implementation\3. Analysis &amp; Design\Design\FC22\DRR Jaime\Neiva CPI\[DINA TERCIARIOS_CF_SEC_New_27-Mar-2024.xlsx]D-PS'!$BW$34</t>
  </si>
  <si>
    <t>='C:\Users\jaime.benazar\Quorum Business Solutions\Ecopetrol Prometeo - Documents\Planning Space Implementation\3. Analysis &amp; Design\Design\FC22\DRR Jaime\Neiva CPI\[DINA TERCIARIOS_CF_SEC_New_27-Mar-2024.xlsx]D-PS'!$BW$35</t>
  </si>
  <si>
    <t>='C:\Users\jaime.benazar\Quorum Business Solutions\Ecopetrol Prometeo - Documents\Planning Space Implementation\3. Analysis &amp; Design\Design\FC22\DRR Jaime\Neiva CPI\[DINA TERCIARIOS_CF_SEC_New_27-Mar-2024.xlsx]D-PS'!$BW$36</t>
  </si>
  <si>
    <t>='C:\Users\jaime.benazar\Quorum Business Solutions\Ecopetrol Prometeo - Documents\Planning Space Implementation\3. Analysis &amp; Design\Design\FC22\DRR Jaime\Neiva CPI\[DINA TERCIARIOS_CF_SEC_New_27-Mar-2024.xlsx]D-PS'!$BW$37</t>
  </si>
  <si>
    <t>='C:\Users\jaime.benazar\Quorum Business Solutions\Ecopetrol Prometeo - Documents\Planning Space Implementation\3. Analysis &amp; Design\Design\FC22\DRR Jaime\Neiva CPI\[DINA TERCIARIOS_CF_SEC_New_27-Mar-2024.xlsx]D-PS'!$BW$38</t>
  </si>
  <si>
    <t>='C:\Users\jaime.benazar\Quorum Business Solutions\Ecopetrol Prometeo - Documents\Planning Space Implementation\3. Analysis &amp; Design\Design\FC22\DRR Jaime\Neiva CPI\[DINA TERCIARIOS_CF_SEC_New_27-Mar-2024.xlsx]D-PS'!$BW$39</t>
  </si>
  <si>
    <t>='C:\Users\jaime.benazar\Quorum Business Solutions\Ecopetrol Prometeo - Documents\Planning Space Implementation\3. Analysis &amp; Design\Design\FC22\DRR Jaime\Neiva CPI\[DINA TERCIARIOS_CF_SEC_New_27-Mar-2024.xlsx]D-PS'!$BW$40</t>
  </si>
  <si>
    <t>='C:\Users\jaime.benazar\Quorum Business Solutions\Ecopetrol Prometeo - Documents\Planning Space Implementation\3. Analysis &amp; Design\Design\FC22\DRR Jaime\Neiva CPI\[DINA TERCIARIOS_CF_SEC_New_27-Mar-2024.xlsx]D-PS'!$BW$41</t>
  </si>
  <si>
    <t>='C:\Users\jaime.benazar\Quorum Business Solutions\Ecopetrol Prometeo - Documents\Planning Space Implementation\3. Analysis &amp; Design\Design\FC22\DRR Jaime\Neiva CPI\[DINA TERCIARIOS_CF_SEC_New_27-Mar-2024.xlsx]D-PS'!$BW$42</t>
  </si>
  <si>
    <t>='C:\Users\jaime.benazar\Quorum Business Solutions\Ecopetrol Prometeo - Documents\Planning Space Implementation\3. Analysis &amp; Design\Design\FC22\DRR Jaime\Neiva CPI\[DINA TERCIARIOS_CF_SEC_New_27-Mar-2024.xlsx]D-PS'!$BW$43</t>
  </si>
  <si>
    <t>='C:\Users\jaime.benazar\Quorum Business Solutions\Ecopetrol Prometeo - Documents\Planning Space Implementation\3. Analysis &amp; Design\Design\FC22\DRR Jaime\Neiva CPI\[DINA TERCIARIOS_CF_SEC_New_27-Mar-2024.xlsx]D-PS'!$BW$44</t>
  </si>
  <si>
    <t>='C:\Users\jaime.benazar\Quorum Business Solutions\Ecopetrol Prometeo - Documents\Planning Space Implementation\3. Analysis &amp; Design\Design\FC22\DRR Jaime\Neiva CPI\[DINA TERCIARIOS_CF_SEC_New_27-Mar-2024.xlsx]D-PS'!$BW$45</t>
  </si>
  <si>
    <t>='C:\Users\jaime.benazar\Quorum Business Solutions\Ecopetrol Prometeo - Documents\Planning Space Implementation\3. Analysis &amp; Design\Design\FC22\DRR Jaime\Neiva CPI\[DINA TERCIARIOS_CF_SEC_New_27-Mar-2024.xlsx]D-PS'!$BW$46</t>
  </si>
  <si>
    <t>='C:\Users\jaime.benazar\Quorum Business Solutions\Ecopetrol Prometeo - Documents\Planning Space Implementation\3. Analysis &amp; Design\Design\FC22\DRR Jaime\Neiva CPI\[DINA TERCIARIOS_CF_SEC_New_27-Mar-2024.xlsx]D-PS'!$BW$47</t>
  </si>
  <si>
    <t>='C:\Users\jaime.benazar\Quorum Business Solutions\Ecopetrol Prometeo - Documents\Planning Space Implementation\3. Analysis &amp; Design\Design\FC22\DRR Jaime\Neiva CPI\[DINA TERCIARIOS_CF_SEC_New_27-Mar-2024.xlsx]D-PS'!$BW$48</t>
  </si>
  <si>
    <t>='C:\Users\jaime.benazar\Quorum Business Solutions\Ecopetrol Prometeo - Documents\Planning Space Implementation\3. Analysis &amp; Design\Design\FC22\DRR Jaime\Neiva CPI\[DINA TERCIARIOS_CF_SEC_New_27-Mar-2024.xlsx]D-PDP'!$BZ$12</t>
  </si>
  <si>
    <t>='C:\Users\jaime.benazar\Quorum Business Solutions\Ecopetrol Prometeo - Documents\Planning Space Implementation\3. Analysis &amp; Design\Design\FC22\DRR Jaime\Neiva CPI\[DINA TERCIARIOS_CF_SEC_New_27-Mar-2024.xlsx]D-PDP'!$BZ$13</t>
  </si>
  <si>
    <t>='C:\Users\jaime.benazar\Quorum Business Solutions\Ecopetrol Prometeo - Documents\Planning Space Implementation\3. Analysis &amp; Design\Design\FC22\DRR Jaime\Neiva CPI\[DINA TERCIARIOS_CF_SEC_New_27-Mar-2024.xlsx]D-PDP'!$BZ$14</t>
  </si>
  <si>
    <t>='C:\Users\jaime.benazar\Quorum Business Solutions\Ecopetrol Prometeo - Documents\Planning Space Implementation\3. Analysis &amp; Design\Design\FC22\DRR Jaime\Neiva CPI\[DINA TERCIARIOS_CF_SEC_New_27-Mar-2024.xlsx]D-PDP'!$BZ$15</t>
  </si>
  <si>
    <t>='C:\Users\jaime.benazar\Quorum Business Solutions\Ecopetrol Prometeo - Documents\Planning Space Implementation\3. Analysis &amp; Design\Design\FC22\DRR Jaime\Neiva CPI\[DINA TERCIARIOS_CF_SEC_New_27-Mar-2024.xlsx]D-PDP'!$BZ$16</t>
  </si>
  <si>
    <t>='C:\Users\jaime.benazar\Quorum Business Solutions\Ecopetrol Prometeo - Documents\Planning Space Implementation\3. Analysis &amp; Design\Design\FC22\DRR Jaime\Neiva CPI\[DINA TERCIARIOS_CF_SEC_New_27-Mar-2024.xlsx]D-PDP'!$BZ$17</t>
  </si>
  <si>
    <t>='C:\Users\jaime.benazar\Quorum Business Solutions\Ecopetrol Prometeo - Documents\Planning Space Implementation\3. Analysis &amp; Design\Design\FC22\DRR Jaime\Neiva CPI\[DINA TERCIARIOS_CF_SEC_New_27-Mar-2024.xlsx]D-PDP'!$BZ$18</t>
  </si>
  <si>
    <t>='C:\Users\jaime.benazar\Quorum Business Solutions\Ecopetrol Prometeo - Documents\Planning Space Implementation\3. Analysis &amp; Design\Design\FC22\DRR Jaime\Neiva CPI\[DINA TERCIARIOS_CF_SEC_New_27-Mar-2024.xlsx]D-PDP'!$BZ$19</t>
  </si>
  <si>
    <t>='C:\Users\jaime.benazar\Quorum Business Solutions\Ecopetrol Prometeo - Documents\Planning Space Implementation\3. Analysis &amp; Design\Design\FC22\DRR Jaime\Neiva CPI\[DINA TERCIARIOS_CF_SEC_New_27-Mar-2024.xlsx]D-PDP'!$BZ$20</t>
  </si>
  <si>
    <t>='C:\Users\jaime.benazar\Quorum Business Solutions\Ecopetrol Prometeo - Documents\Planning Space Implementation\3. Analysis &amp; Design\Design\FC22\DRR Jaime\Neiva CPI\[DINA TERCIARIOS_CF_SEC_New_27-Mar-2024.xlsx]D-PDP'!$BZ$21</t>
  </si>
  <si>
    <t>='C:\Users\jaime.benazar\Quorum Business Solutions\Ecopetrol Prometeo - Documents\Planning Space Implementation\3. Analysis &amp; Design\Design\FC22\DRR Jaime\Neiva CPI\[DINA TERCIARIOS_CF_SEC_New_27-Mar-2024.xlsx]D-PDP'!$BZ$22</t>
  </si>
  <si>
    <t>='C:\Users\jaime.benazar\Quorum Business Solutions\Ecopetrol Prometeo - Documents\Planning Space Implementation\3. Analysis &amp; Design\Design\FC22\DRR Jaime\Neiva CPI\[DINA TERCIARIOS_CF_SEC_New_27-Mar-2024.xlsx]D-PDP'!$BZ$23</t>
  </si>
  <si>
    <t>='C:\Users\jaime.benazar\Quorum Business Solutions\Ecopetrol Prometeo - Documents\Planning Space Implementation\3. Analysis &amp; Design\Design\FC22\DRR Jaime\Neiva CPI\[DINA TERCIARIOS_CF_SEC_New_27-Mar-2024.xlsx]D-PDP'!$BZ$24</t>
  </si>
  <si>
    <t>='C:\Users\jaime.benazar\Quorum Business Solutions\Ecopetrol Prometeo - Documents\Planning Space Implementation\3. Analysis &amp; Design\Design\FC22\DRR Jaime\Neiva CPI\[DINA TERCIARIOS_CF_SEC_New_27-Mar-2024.xlsx]D-PDP'!$BZ$25</t>
  </si>
  <si>
    <t>='C:\Users\jaime.benazar\Quorum Business Solutions\Ecopetrol Prometeo - Documents\Planning Space Implementation\3. Analysis &amp; Design\Design\FC22\DRR Jaime\Neiva CPI\[DINA TERCIARIOS_CF_SEC_New_27-Mar-2024.xlsx]D-PDP'!$BZ$26</t>
  </si>
  <si>
    <t>='C:\Users\jaime.benazar\Quorum Business Solutions\Ecopetrol Prometeo - Documents\Planning Space Implementation\3. Analysis &amp; Design\Design\FC22\DRR Jaime\Neiva CPI\[DINA TERCIARIOS_CF_SEC_New_27-Mar-2024.xlsx]D-PDP'!$BZ$27</t>
  </si>
  <si>
    <t>='C:\Users\jaime.benazar\Quorum Business Solutions\Ecopetrol Prometeo - Documents\Planning Space Implementation\3. Analysis &amp; Design\Design\FC22\DRR Jaime\Neiva CPI\[DINA TERCIARIOS_CF_SEC_New_27-Mar-2024.xlsx]D-PDP'!$BZ$28</t>
  </si>
  <si>
    <t>='C:\Users\jaime.benazar\Quorum Business Solutions\Ecopetrol Prometeo - Documents\Planning Space Implementation\3. Analysis &amp; Design\Design\FC22\DRR Jaime\Neiva CPI\[DINA TERCIARIOS_CF_SEC_New_27-Mar-2024.xlsx]D-PDP'!$BZ$29</t>
  </si>
  <si>
    <t>='C:\Users\jaime.benazar\Quorum Business Solutions\Ecopetrol Prometeo - Documents\Planning Space Implementation\3. Analysis &amp; Design\Design\FC22\DRR Jaime\Neiva CPI\[DINA TERCIARIOS_CF_SEC_New_27-Mar-2024.xlsx]D-PDP'!$BZ$30</t>
  </si>
  <si>
    <t>='C:\Users\jaime.benazar\Quorum Business Solutions\Ecopetrol Prometeo - Documents\Planning Space Implementation\3. Analysis &amp; Design\Design\FC22\DRR Jaime\Neiva CPI\[DINA TERCIARIOS_CF_SEC_New_27-Mar-2024.xlsx]D-PDP'!$BZ$31</t>
  </si>
  <si>
    <t>='C:\Users\jaime.benazar\Quorum Business Solutions\Ecopetrol Prometeo - Documents\Planning Space Implementation\3. Analysis &amp; Design\Design\FC22\DRR Jaime\Neiva CPI\[DINA TERCIARIOS_CF_SEC_New_27-Mar-2024.xlsx]D-PDP'!$BZ$32</t>
  </si>
  <si>
    <t>='C:\Users\jaime.benazar\Quorum Business Solutions\Ecopetrol Prometeo - Documents\Planning Space Implementation\3. Analysis &amp; Design\Design\FC22\DRR Jaime\Neiva CPI\[DINA TERCIARIOS_CF_SEC_New_27-Mar-2024.xlsx]D-PDP'!$BZ$33</t>
  </si>
  <si>
    <t>='C:\Users\jaime.benazar\Quorum Business Solutions\Ecopetrol Prometeo - Documents\Planning Space Implementation\3. Analysis &amp; Design\Design\FC22\DRR Jaime\Neiva CPI\[DINA TERCIARIOS_CF_SEC_New_27-Mar-2024.xlsx]D-PDP'!$BZ$34</t>
  </si>
  <si>
    <t>='C:\Users\jaime.benazar\Quorum Business Solutions\Ecopetrol Prometeo - Documents\Planning Space Implementation\3. Analysis &amp; Design\Design\FC22\DRR Jaime\Neiva CPI\[DINA TERCIARIOS_CF_SEC_New_27-Mar-2024.xlsx]D-PDP'!$BZ$35</t>
  </si>
  <si>
    <t>='C:\Users\jaime.benazar\Quorum Business Solutions\Ecopetrol Prometeo - Documents\Planning Space Implementation\3. Analysis &amp; Design\Design\FC22\DRR Jaime\Neiva CPI\[DINA TERCIARIOS_CF_SEC_New_27-Mar-2024.xlsx]D-PDP'!$BZ$36</t>
  </si>
  <si>
    <t>='C:\Users\jaime.benazar\Quorum Business Solutions\Ecopetrol Prometeo - Documents\Planning Space Implementation\3. Analysis &amp; Design\Design\FC22\DRR Jaime\Neiva CPI\[DINA TERCIARIOS_CF_SEC_New_27-Mar-2024.xlsx]D-PDP'!$BZ$37</t>
  </si>
  <si>
    <t>='C:\Users\jaime.benazar\Quorum Business Solutions\Ecopetrol Prometeo - Documents\Planning Space Implementation\3. Analysis &amp; Design\Design\FC22\DRR Jaime\Neiva CPI\[DINA TERCIARIOS_CF_SEC_New_27-Mar-2024.xlsx]D-PDP'!$BZ$38</t>
  </si>
  <si>
    <t>='C:\Users\jaime.benazar\Quorum Business Solutions\Ecopetrol Prometeo - Documents\Planning Space Implementation\3. Analysis &amp; Design\Design\FC22\DRR Jaime\Neiva CPI\[DINA TERCIARIOS_CF_SEC_New_27-Mar-2024.xlsx]D-PDP'!$BZ$39</t>
  </si>
  <si>
    <t>='C:\Users\jaime.benazar\Quorum Business Solutions\Ecopetrol Prometeo - Documents\Planning Space Implementation\3. Analysis &amp; Design\Design\FC22\DRR Jaime\Neiva CPI\[DINA TERCIARIOS_CF_SEC_New_27-Mar-2024.xlsx]D-PDP'!$BZ$40</t>
  </si>
  <si>
    <t>='C:\Users\jaime.benazar\Quorum Business Solutions\Ecopetrol Prometeo - Documents\Planning Space Implementation\3. Analysis &amp; Design\Design\FC22\DRR Jaime\Neiva CPI\[DINA TERCIARIOS_CF_SEC_New_27-Mar-2024.xlsx]D-PDP'!$BZ$41</t>
  </si>
  <si>
    <t>='C:\Users\jaime.benazar\Quorum Business Solutions\Ecopetrol Prometeo - Documents\Planning Space Implementation\3. Analysis &amp; Design\Design\FC22\DRR Jaime\Neiva CPI\[DINA TERCIARIOS_CF_SEC_New_27-Mar-2024.xlsx]D-PDP'!$BZ$42</t>
  </si>
  <si>
    <t>='C:\Users\jaime.benazar\Quorum Business Solutions\Ecopetrol Prometeo - Documents\Planning Space Implementation\3. Analysis &amp; Design\Design\FC22\DRR Jaime\Neiva CPI\[DINA TERCIARIOS_CF_SEC_New_27-Mar-2024.xlsx]D-PDP'!$BZ$43</t>
  </si>
  <si>
    <t>='C:\Users\jaime.benazar\Quorum Business Solutions\Ecopetrol Prometeo - Documents\Planning Space Implementation\3. Analysis &amp; Design\Design\FC22\DRR Jaime\Neiva CPI\[DINA TERCIARIOS_CF_SEC_New_27-Mar-2024.xlsx]D-PDP'!$BZ$44</t>
  </si>
  <si>
    <t>='C:\Users\jaime.benazar\Quorum Business Solutions\Ecopetrol Prometeo - Documents\Planning Space Implementation\3. Analysis &amp; Design\Design\FC22\DRR Jaime\Neiva CPI\[DINA TERCIARIOS_CF_SEC_New_27-Mar-2024.xlsx]D-PDP'!$BZ$45</t>
  </si>
  <si>
    <t>='C:\Users\jaime.benazar\Quorum Business Solutions\Ecopetrol Prometeo - Documents\Planning Space Implementation\3. Analysis &amp; Design\Design\FC22\DRR Jaime\Neiva CPI\[DINA TERCIARIOS_CF_SEC_New_27-Mar-2024.xlsx]D-PDP'!$BZ$46</t>
  </si>
  <si>
    <t>='C:\Users\jaime.benazar\Quorum Business Solutions\Ecopetrol Prometeo - Documents\Planning Space Implementation\3. Analysis &amp; Design\Design\FC22\DRR Jaime\Neiva CPI\[DINA TERCIARIOS_CF_SEC_New_27-Mar-2024.xlsx]D-PDP'!$BZ$47</t>
  </si>
  <si>
    <t>='C:\Users\jaime.benazar\Quorum Business Solutions\Ecopetrol Prometeo - Documents\Planning Space Implementation\3. Analysis &amp; Design\Design\FC22\DRR Jaime\Neiva CPI\[DINA TERCIARIOS_CF_SEC_New_27-Mar-2024.xlsx]D-PDP'!$BZ$48</t>
  </si>
  <si>
    <t>='C:\Users\jaime.benazar\Quorum Business Solutions\Ecopetrol Prometeo - Documents\Planning Space Implementation\3. Analysis &amp; Design\Design\FC22\DRR Jaime\Neiva CPI\[DINA TERCIARIOS_CF_SEC_New_27-Mar-2024.xlsx]D-PNP'!$BZ$12</t>
  </si>
  <si>
    <t>='C:\Users\jaime.benazar\Quorum Business Solutions\Ecopetrol Prometeo - Documents\Planning Space Implementation\3. Analysis &amp; Design\Design\FC22\DRR Jaime\Neiva CPI\[DINA TERCIARIOS_CF_SEC_New_27-Mar-2024.xlsx]D-PNP'!$BZ$13</t>
  </si>
  <si>
    <t>='C:\Users\jaime.benazar\Quorum Business Solutions\Ecopetrol Prometeo - Documents\Planning Space Implementation\3. Analysis &amp; Design\Design\FC22\DRR Jaime\Neiva CPI\[DINA TERCIARIOS_CF_SEC_New_27-Mar-2024.xlsx]D-PNP'!$BZ$14</t>
  </si>
  <si>
    <t>='C:\Users\jaime.benazar\Quorum Business Solutions\Ecopetrol Prometeo - Documents\Planning Space Implementation\3. Analysis &amp; Design\Design\FC22\DRR Jaime\Neiva CPI\[DINA TERCIARIOS_CF_SEC_New_27-Mar-2024.xlsx]D-PNP'!$BZ$15</t>
  </si>
  <si>
    <t>='C:\Users\jaime.benazar\Quorum Business Solutions\Ecopetrol Prometeo - Documents\Planning Space Implementation\3. Analysis &amp; Design\Design\FC22\DRR Jaime\Neiva CPI\[DINA TERCIARIOS_CF_SEC_New_27-Mar-2024.xlsx]D-PNP'!$BZ$16</t>
  </si>
  <si>
    <t>='C:\Users\jaime.benazar\Quorum Business Solutions\Ecopetrol Prometeo - Documents\Planning Space Implementation\3. Analysis &amp; Design\Design\FC22\DRR Jaime\Neiva CPI\[DINA TERCIARIOS_CF_SEC_New_27-Mar-2024.xlsx]D-PNP'!$BZ$17</t>
  </si>
  <si>
    <t>='C:\Users\jaime.benazar\Quorum Business Solutions\Ecopetrol Prometeo - Documents\Planning Space Implementation\3. Analysis &amp; Design\Design\FC22\DRR Jaime\Neiva CPI\[DINA TERCIARIOS_CF_SEC_New_27-Mar-2024.xlsx]D-PNP'!$BZ$18</t>
  </si>
  <si>
    <t>='C:\Users\jaime.benazar\Quorum Business Solutions\Ecopetrol Prometeo - Documents\Planning Space Implementation\3. Analysis &amp; Design\Design\FC22\DRR Jaime\Neiva CPI\[DINA TERCIARIOS_CF_SEC_New_27-Mar-2024.xlsx]D-PNP'!$BZ$19</t>
  </si>
  <si>
    <t>='C:\Users\jaime.benazar\Quorum Business Solutions\Ecopetrol Prometeo - Documents\Planning Space Implementation\3. Analysis &amp; Design\Design\FC22\DRR Jaime\Neiva CPI\[DINA TERCIARIOS_CF_SEC_New_27-Mar-2024.xlsx]D-PNP'!$BZ$20</t>
  </si>
  <si>
    <t>='C:\Users\jaime.benazar\Quorum Business Solutions\Ecopetrol Prometeo - Documents\Planning Space Implementation\3. Analysis &amp; Design\Design\FC22\DRR Jaime\Neiva CPI\[DINA TERCIARIOS_CF_SEC_New_27-Mar-2024.xlsx]D-PNP'!$BZ$21</t>
  </si>
  <si>
    <t>='C:\Users\jaime.benazar\Quorum Business Solutions\Ecopetrol Prometeo - Documents\Planning Space Implementation\3. Analysis &amp; Design\Design\FC22\DRR Jaime\Neiva CPI\[DINA TERCIARIOS_CF_SEC_New_27-Mar-2024.xlsx]D-PNP'!$BZ$22</t>
  </si>
  <si>
    <t>='C:\Users\jaime.benazar\Quorum Business Solutions\Ecopetrol Prometeo - Documents\Planning Space Implementation\3. Analysis &amp; Design\Design\FC22\DRR Jaime\Neiva CPI\[DINA TERCIARIOS_CF_SEC_New_27-Mar-2024.xlsx]D-PNP'!$BZ$23</t>
  </si>
  <si>
    <t>='C:\Users\jaime.benazar\Quorum Business Solutions\Ecopetrol Prometeo - Documents\Planning Space Implementation\3. Analysis &amp; Design\Design\FC22\DRR Jaime\Neiva CPI\[DINA TERCIARIOS_CF_SEC_New_27-Mar-2024.xlsx]D-PNP'!$BZ$24</t>
  </si>
  <si>
    <t>='C:\Users\jaime.benazar\Quorum Business Solutions\Ecopetrol Prometeo - Documents\Planning Space Implementation\3. Analysis &amp; Design\Design\FC22\DRR Jaime\Neiva CPI\[DINA TERCIARIOS_CF_SEC_New_27-Mar-2024.xlsx]D-PNP'!$BZ$25</t>
  </si>
  <si>
    <t>='C:\Users\jaime.benazar\Quorum Business Solutions\Ecopetrol Prometeo - Documents\Planning Space Implementation\3. Analysis &amp; Design\Design\FC22\DRR Jaime\Neiva CPI\[DINA TERCIARIOS_CF_SEC_New_27-Mar-2024.xlsx]D-PNP'!$BZ$26</t>
  </si>
  <si>
    <t>='C:\Users\jaime.benazar\Quorum Business Solutions\Ecopetrol Prometeo - Documents\Planning Space Implementation\3. Analysis &amp; Design\Design\FC22\DRR Jaime\Neiva CPI\[DINA TERCIARIOS_CF_SEC_New_27-Mar-2024.xlsx]D-PNP'!$BZ$27</t>
  </si>
  <si>
    <t>='C:\Users\jaime.benazar\Quorum Business Solutions\Ecopetrol Prometeo - Documents\Planning Space Implementation\3. Analysis &amp; Design\Design\FC22\DRR Jaime\Neiva CPI\[DINA TERCIARIOS_CF_SEC_New_27-Mar-2024.xlsx]D-PNP'!$BZ$28</t>
  </si>
  <si>
    <t>='C:\Users\jaime.benazar\Quorum Business Solutions\Ecopetrol Prometeo - Documents\Planning Space Implementation\3. Analysis &amp; Design\Design\FC22\DRR Jaime\Neiva CPI\[DINA TERCIARIOS_CF_SEC_New_27-Mar-2024.xlsx]D-PNP'!$BZ$29</t>
  </si>
  <si>
    <t>='C:\Users\jaime.benazar\Quorum Business Solutions\Ecopetrol Prometeo - Documents\Planning Space Implementation\3. Analysis &amp; Design\Design\FC22\DRR Jaime\Neiva CPI\[DINA TERCIARIOS_CF_SEC_New_27-Mar-2024.xlsx]D-PNP'!$BZ$30</t>
  </si>
  <si>
    <t>='C:\Users\jaime.benazar\Quorum Business Solutions\Ecopetrol Prometeo - Documents\Planning Space Implementation\3. Analysis &amp; Design\Design\FC22\DRR Jaime\Neiva CPI\[DINA TERCIARIOS_CF_SEC_New_27-Mar-2024.xlsx]D-PNP'!$BZ$31</t>
  </si>
  <si>
    <t>='C:\Users\jaime.benazar\Quorum Business Solutions\Ecopetrol Prometeo - Documents\Planning Space Implementation\3. Analysis &amp; Design\Design\FC22\DRR Jaime\Neiva CPI\[DINA TERCIARIOS_CF_SEC_New_27-Mar-2024.xlsx]D-PNP'!$BZ$32</t>
  </si>
  <si>
    <t>='C:\Users\jaime.benazar\Quorum Business Solutions\Ecopetrol Prometeo - Documents\Planning Space Implementation\3. Analysis &amp; Design\Design\FC22\DRR Jaime\Neiva CPI\[DINA TERCIARIOS_CF_SEC_New_27-Mar-2024.xlsx]D-PNP'!$BZ$33</t>
  </si>
  <si>
    <t>='C:\Users\jaime.benazar\Quorum Business Solutions\Ecopetrol Prometeo - Documents\Planning Space Implementation\3. Analysis &amp; Design\Design\FC22\DRR Jaime\Neiva CPI\[DINA TERCIARIOS_CF_SEC_New_27-Mar-2024.xlsx]D-PNP'!$BZ$34</t>
  </si>
  <si>
    <t>='C:\Users\jaime.benazar\Quorum Business Solutions\Ecopetrol Prometeo - Documents\Planning Space Implementation\3. Analysis &amp; Design\Design\FC22\DRR Jaime\Neiva CPI\[DINA TERCIARIOS_CF_SEC_New_27-Mar-2024.xlsx]D-PNP'!$BZ$35</t>
  </si>
  <si>
    <t>='C:\Users\jaime.benazar\Quorum Business Solutions\Ecopetrol Prometeo - Documents\Planning Space Implementation\3. Analysis &amp; Design\Design\FC22\DRR Jaime\Neiva CPI\[DINA TERCIARIOS_CF_SEC_New_27-Mar-2024.xlsx]D-PNP'!$BZ$36</t>
  </si>
  <si>
    <t>='C:\Users\jaime.benazar\Quorum Business Solutions\Ecopetrol Prometeo - Documents\Planning Space Implementation\3. Analysis &amp; Design\Design\FC22\DRR Jaime\Neiva CPI\[DINA TERCIARIOS_CF_SEC_New_27-Mar-2024.xlsx]D-PNP'!$BZ$37</t>
  </si>
  <si>
    <t>='C:\Users\jaime.benazar\Quorum Business Solutions\Ecopetrol Prometeo - Documents\Planning Space Implementation\3. Analysis &amp; Design\Design\FC22\DRR Jaime\Neiva CPI\[DINA TERCIARIOS_CF_SEC_New_27-Mar-2024.xlsx]D-PNP'!$BZ$38</t>
  </si>
  <si>
    <t>='C:\Users\jaime.benazar\Quorum Business Solutions\Ecopetrol Prometeo - Documents\Planning Space Implementation\3. Analysis &amp; Design\Design\FC22\DRR Jaime\Neiva CPI\[DINA TERCIARIOS_CF_SEC_New_27-Mar-2024.xlsx]D-PNP'!$BZ$39</t>
  </si>
  <si>
    <t>='C:\Users\jaime.benazar\Quorum Business Solutions\Ecopetrol Prometeo - Documents\Planning Space Implementation\3. Analysis &amp; Design\Design\FC22\DRR Jaime\Neiva CPI\[DINA TERCIARIOS_CF_SEC_New_27-Mar-2024.xlsx]D-PNP'!$BZ$40</t>
  </si>
  <si>
    <t>='C:\Users\jaime.benazar\Quorum Business Solutions\Ecopetrol Prometeo - Documents\Planning Space Implementation\3. Analysis &amp; Design\Design\FC22\DRR Jaime\Neiva CPI\[DINA TERCIARIOS_CF_SEC_New_27-Mar-2024.xlsx]D-PNP'!$BZ$41</t>
  </si>
  <si>
    <t>='C:\Users\jaime.benazar\Quorum Business Solutions\Ecopetrol Prometeo - Documents\Planning Space Implementation\3. Analysis &amp; Design\Design\FC22\DRR Jaime\Neiva CPI\[DINA TERCIARIOS_CF_SEC_New_27-Mar-2024.xlsx]D-PNP'!$BZ$42</t>
  </si>
  <si>
    <t>='C:\Users\jaime.benazar\Quorum Business Solutions\Ecopetrol Prometeo - Documents\Planning Space Implementation\3. Analysis &amp; Design\Design\FC22\DRR Jaime\Neiva CPI\[DINA TERCIARIOS_CF_SEC_New_27-Mar-2024.xlsx]D-PNP'!$BZ$43</t>
  </si>
  <si>
    <t>='C:\Users\jaime.benazar\Quorum Business Solutions\Ecopetrol Prometeo - Documents\Planning Space Implementation\3. Analysis &amp; Design\Design\FC22\DRR Jaime\Neiva CPI\[DINA TERCIARIOS_CF_SEC_New_27-Mar-2024.xlsx]D-PNP'!$BZ$44</t>
  </si>
  <si>
    <t>='C:\Users\jaime.benazar\Quorum Business Solutions\Ecopetrol Prometeo - Documents\Planning Space Implementation\3. Analysis &amp; Design\Design\FC22\DRR Jaime\Neiva CPI\[DINA TERCIARIOS_CF_SEC_New_27-Mar-2024.xlsx]D-PNP'!$BZ$45</t>
  </si>
  <si>
    <t>='C:\Users\jaime.benazar\Quorum Business Solutions\Ecopetrol Prometeo - Documents\Planning Space Implementation\3. Analysis &amp; Design\Design\FC22\DRR Jaime\Neiva CPI\[DINA TERCIARIOS_CF_SEC_New_27-Mar-2024.xlsx]D-PNP'!$BZ$46</t>
  </si>
  <si>
    <t>='C:\Users\jaime.benazar\Quorum Business Solutions\Ecopetrol Prometeo - Documents\Planning Space Implementation\3. Analysis &amp; Design\Design\FC22\DRR Jaime\Neiva CPI\[DINA TERCIARIOS_CF_SEC_New_27-Mar-2024.xlsx]D-PNP'!$BZ$47</t>
  </si>
  <si>
    <t>='C:\Users\jaime.benazar\Quorum Business Solutions\Ecopetrol Prometeo - Documents\Planning Space Implementation\3. Analysis &amp; Design\Design\FC22\DRR Jaime\Neiva CPI\[DINA TERCIARIOS_CF_SEC_New_27-Mar-2024.xlsx]D-PNP'!$BZ$48</t>
  </si>
  <si>
    <t>='C:\Users\jaime.benazar\Quorum Business Solutions\Ecopetrol Prometeo - Documents\Planning Space Implementation\3. Analysis &amp; Design\Design\FC22\DRR Jaime\Neiva CPI\[DINA TERCIARIOS_CF_SEC_New_27-Mar-2024.xlsx]D-PND'!$BZ$12</t>
  </si>
  <si>
    <t>='C:\Users\jaime.benazar\Quorum Business Solutions\Ecopetrol Prometeo - Documents\Planning Space Implementation\3. Analysis &amp; Design\Design\FC22\DRR Jaime\Neiva CPI\[DINA TERCIARIOS_CF_SEC_New_27-Mar-2024.xlsx]D-PND'!$BZ$13</t>
  </si>
  <si>
    <t>='C:\Users\jaime.benazar\Quorum Business Solutions\Ecopetrol Prometeo - Documents\Planning Space Implementation\3. Analysis &amp; Design\Design\FC22\DRR Jaime\Neiva CPI\[DINA TERCIARIOS_CF_SEC_New_27-Mar-2024.xlsx]D-PND'!$BZ$14</t>
  </si>
  <si>
    <t>='C:\Users\jaime.benazar\Quorum Business Solutions\Ecopetrol Prometeo - Documents\Planning Space Implementation\3. Analysis &amp; Design\Design\FC22\DRR Jaime\Neiva CPI\[DINA TERCIARIOS_CF_SEC_New_27-Mar-2024.xlsx]D-PND'!$BZ$15</t>
  </si>
  <si>
    <t>='C:\Users\jaime.benazar\Quorum Business Solutions\Ecopetrol Prometeo - Documents\Planning Space Implementation\3. Analysis &amp; Design\Design\FC22\DRR Jaime\Neiva CPI\[DINA TERCIARIOS_CF_SEC_New_27-Mar-2024.xlsx]D-PND'!$BZ$16</t>
  </si>
  <si>
    <t>='C:\Users\jaime.benazar\Quorum Business Solutions\Ecopetrol Prometeo - Documents\Planning Space Implementation\3. Analysis &amp; Design\Design\FC22\DRR Jaime\Neiva CPI\[DINA TERCIARIOS_CF_SEC_New_27-Mar-2024.xlsx]D-PND'!$BZ$17</t>
  </si>
  <si>
    <t>='C:\Users\jaime.benazar\Quorum Business Solutions\Ecopetrol Prometeo - Documents\Planning Space Implementation\3. Analysis &amp; Design\Design\FC22\DRR Jaime\Neiva CPI\[DINA TERCIARIOS_CF_SEC_New_27-Mar-2024.xlsx]D-PND'!$BZ$18</t>
  </si>
  <si>
    <t>='C:\Users\jaime.benazar\Quorum Business Solutions\Ecopetrol Prometeo - Documents\Planning Space Implementation\3. Analysis &amp; Design\Design\FC22\DRR Jaime\Neiva CPI\[DINA TERCIARIOS_CF_SEC_New_27-Mar-2024.xlsx]D-PND'!$BZ$19</t>
  </si>
  <si>
    <t>='C:\Users\jaime.benazar\Quorum Business Solutions\Ecopetrol Prometeo - Documents\Planning Space Implementation\3. Analysis &amp; Design\Design\FC22\DRR Jaime\Neiva CPI\[DINA TERCIARIOS_CF_SEC_New_27-Mar-2024.xlsx]D-PND'!$BZ$20</t>
  </si>
  <si>
    <t>='C:\Users\jaime.benazar\Quorum Business Solutions\Ecopetrol Prometeo - Documents\Planning Space Implementation\3. Analysis &amp; Design\Design\FC22\DRR Jaime\Neiva CPI\[DINA TERCIARIOS_CF_SEC_New_27-Mar-2024.xlsx]D-PND'!$BZ$21</t>
  </si>
  <si>
    <t>='C:\Users\jaime.benazar\Quorum Business Solutions\Ecopetrol Prometeo - Documents\Planning Space Implementation\3. Analysis &amp; Design\Design\FC22\DRR Jaime\Neiva CPI\[DINA TERCIARIOS_CF_SEC_New_27-Mar-2024.xlsx]D-PND'!$BZ$22</t>
  </si>
  <si>
    <t>='C:\Users\jaime.benazar\Quorum Business Solutions\Ecopetrol Prometeo - Documents\Planning Space Implementation\3. Analysis &amp; Design\Design\FC22\DRR Jaime\Neiva CPI\[DINA TERCIARIOS_CF_SEC_New_27-Mar-2024.xlsx]D-PND'!$BZ$23</t>
  </si>
  <si>
    <t>='C:\Users\jaime.benazar\Quorum Business Solutions\Ecopetrol Prometeo - Documents\Planning Space Implementation\3. Analysis &amp; Design\Design\FC22\DRR Jaime\Neiva CPI\[DINA TERCIARIOS_CF_SEC_New_27-Mar-2024.xlsx]D-PND'!$BZ$24</t>
  </si>
  <si>
    <t>='C:\Users\jaime.benazar\Quorum Business Solutions\Ecopetrol Prometeo - Documents\Planning Space Implementation\3. Analysis &amp; Design\Design\FC22\DRR Jaime\Neiva CPI\[DINA TERCIARIOS_CF_SEC_New_27-Mar-2024.xlsx]D-PND'!$BZ$25</t>
  </si>
  <si>
    <t>='C:\Users\jaime.benazar\Quorum Business Solutions\Ecopetrol Prometeo - Documents\Planning Space Implementation\3. Analysis &amp; Design\Design\FC22\DRR Jaime\Neiva CPI\[DINA TERCIARIOS_CF_SEC_New_27-Mar-2024.xlsx]D-PND'!$BZ$26</t>
  </si>
  <si>
    <t>='C:\Users\jaime.benazar\Quorum Business Solutions\Ecopetrol Prometeo - Documents\Planning Space Implementation\3. Analysis &amp; Design\Design\FC22\DRR Jaime\Neiva CPI\[DINA TERCIARIOS_CF_SEC_New_27-Mar-2024.xlsx]D-PND'!$BZ$27</t>
  </si>
  <si>
    <t>='C:\Users\jaime.benazar\Quorum Business Solutions\Ecopetrol Prometeo - Documents\Planning Space Implementation\3. Analysis &amp; Design\Design\FC22\DRR Jaime\Neiva CPI\[DINA TERCIARIOS_CF_SEC_New_27-Mar-2024.xlsx]D-PND'!$BZ$28</t>
  </si>
  <si>
    <t>='C:\Users\jaime.benazar\Quorum Business Solutions\Ecopetrol Prometeo - Documents\Planning Space Implementation\3. Analysis &amp; Design\Design\FC22\DRR Jaime\Neiva CPI\[DINA TERCIARIOS_CF_SEC_New_27-Mar-2024.xlsx]D-PND'!$BZ$29</t>
  </si>
  <si>
    <t>='C:\Users\jaime.benazar\Quorum Business Solutions\Ecopetrol Prometeo - Documents\Planning Space Implementation\3. Analysis &amp; Design\Design\FC22\DRR Jaime\Neiva CPI\[DINA TERCIARIOS_CF_SEC_New_27-Mar-2024.xlsx]D-PND'!$BZ$30</t>
  </si>
  <si>
    <t>='C:\Users\jaime.benazar\Quorum Business Solutions\Ecopetrol Prometeo - Documents\Planning Space Implementation\3. Analysis &amp; Design\Design\FC22\DRR Jaime\Neiva CPI\[DINA TERCIARIOS_CF_SEC_New_27-Mar-2024.xlsx]D-PND'!$BZ$31</t>
  </si>
  <si>
    <t>='C:\Users\jaime.benazar\Quorum Business Solutions\Ecopetrol Prometeo - Documents\Planning Space Implementation\3. Analysis &amp; Design\Design\FC22\DRR Jaime\Neiva CPI\[DINA TERCIARIOS_CF_SEC_New_27-Mar-2024.xlsx]D-PND'!$BZ$32</t>
  </si>
  <si>
    <t>='C:\Users\jaime.benazar\Quorum Business Solutions\Ecopetrol Prometeo - Documents\Planning Space Implementation\3. Analysis &amp; Design\Design\FC22\DRR Jaime\Neiva CPI\[DINA TERCIARIOS_CF_SEC_New_27-Mar-2024.xlsx]D-PND'!$BZ$33</t>
  </si>
  <si>
    <t>='C:\Users\jaime.benazar\Quorum Business Solutions\Ecopetrol Prometeo - Documents\Planning Space Implementation\3. Analysis &amp; Design\Design\FC22\DRR Jaime\Neiva CPI\[DINA TERCIARIOS_CF_SEC_New_27-Mar-2024.xlsx]D-PND'!$BZ$34</t>
  </si>
  <si>
    <t>='C:\Users\jaime.benazar\Quorum Business Solutions\Ecopetrol Prometeo - Documents\Planning Space Implementation\3. Analysis &amp; Design\Design\FC22\DRR Jaime\Neiva CPI\[DINA TERCIARIOS_CF_SEC_New_27-Mar-2024.xlsx]D-PND'!$BZ$35</t>
  </si>
  <si>
    <t>='C:\Users\jaime.benazar\Quorum Business Solutions\Ecopetrol Prometeo - Documents\Planning Space Implementation\3. Analysis &amp; Design\Design\FC22\DRR Jaime\Neiva CPI\[DINA TERCIARIOS_CF_SEC_New_27-Mar-2024.xlsx]D-PND'!$BZ$36</t>
  </si>
  <si>
    <t>='C:\Users\jaime.benazar\Quorum Business Solutions\Ecopetrol Prometeo - Documents\Planning Space Implementation\3. Analysis &amp; Design\Design\FC22\DRR Jaime\Neiva CPI\[DINA TERCIARIOS_CF_SEC_New_27-Mar-2024.xlsx]D-PND'!$BZ$37</t>
  </si>
  <si>
    <t>='C:\Users\jaime.benazar\Quorum Business Solutions\Ecopetrol Prometeo - Documents\Planning Space Implementation\3. Analysis &amp; Design\Design\FC22\DRR Jaime\Neiva CPI\[DINA TERCIARIOS_CF_SEC_New_27-Mar-2024.xlsx]D-PND'!$BZ$38</t>
  </si>
  <si>
    <t>='C:\Users\jaime.benazar\Quorum Business Solutions\Ecopetrol Prometeo - Documents\Planning Space Implementation\3. Analysis &amp; Design\Design\FC22\DRR Jaime\Neiva CPI\[DINA TERCIARIOS_CF_SEC_New_27-Mar-2024.xlsx]D-PND'!$BZ$39</t>
  </si>
  <si>
    <t>='C:\Users\jaime.benazar\Quorum Business Solutions\Ecopetrol Prometeo - Documents\Planning Space Implementation\3. Analysis &amp; Design\Design\FC22\DRR Jaime\Neiva CPI\[DINA TERCIARIOS_CF_SEC_New_27-Mar-2024.xlsx]D-PND'!$BZ$40</t>
  </si>
  <si>
    <t>='C:\Users\jaime.benazar\Quorum Business Solutions\Ecopetrol Prometeo - Documents\Planning Space Implementation\3. Analysis &amp; Design\Design\FC22\DRR Jaime\Neiva CPI\[DINA TERCIARIOS_CF_SEC_New_27-Mar-2024.xlsx]D-PND'!$BZ$41</t>
  </si>
  <si>
    <t>='C:\Users\jaime.benazar\Quorum Business Solutions\Ecopetrol Prometeo - Documents\Planning Space Implementation\3. Analysis &amp; Design\Design\FC22\DRR Jaime\Neiva CPI\[DINA TERCIARIOS_CF_SEC_New_27-Mar-2024.xlsx]D-PND'!$BZ$42</t>
  </si>
  <si>
    <t>='C:\Users\jaime.benazar\Quorum Business Solutions\Ecopetrol Prometeo - Documents\Planning Space Implementation\3. Analysis &amp; Design\Design\FC22\DRR Jaime\Neiva CPI\[DINA TERCIARIOS_CF_SEC_New_27-Mar-2024.xlsx]D-PND'!$BZ$43</t>
  </si>
  <si>
    <t>='C:\Users\jaime.benazar\Quorum Business Solutions\Ecopetrol Prometeo - Documents\Planning Space Implementation\3. Analysis &amp; Design\Design\FC22\DRR Jaime\Neiva CPI\[DINA TERCIARIOS_CF_SEC_New_27-Mar-2024.xlsx]D-PND'!$BZ$44</t>
  </si>
  <si>
    <t>='C:\Users\jaime.benazar\Quorum Business Solutions\Ecopetrol Prometeo - Documents\Planning Space Implementation\3. Analysis &amp; Design\Design\FC22\DRR Jaime\Neiva CPI\[DINA TERCIARIOS_CF_SEC_New_27-Mar-2024.xlsx]D-PND'!$BZ$45</t>
  </si>
  <si>
    <t>='C:\Users\jaime.benazar\Quorum Business Solutions\Ecopetrol Prometeo - Documents\Planning Space Implementation\3. Analysis &amp; Design\Design\FC22\DRR Jaime\Neiva CPI\[DINA TERCIARIOS_CF_SEC_New_27-Mar-2024.xlsx]D-PND'!$BZ$46</t>
  </si>
  <si>
    <t>='C:\Users\jaime.benazar\Quorum Business Solutions\Ecopetrol Prometeo - Documents\Planning Space Implementation\3. Analysis &amp; Design\Design\FC22\DRR Jaime\Neiva CPI\[DINA TERCIARIOS_CF_SEC_New_27-Mar-2024.xlsx]D-PND'!$BZ$47</t>
  </si>
  <si>
    <t>='C:\Users\jaime.benazar\Quorum Business Solutions\Ecopetrol Prometeo - Documents\Planning Space Implementation\3. Analysis &amp; Design\Design\FC22\DRR Jaime\Neiva CPI\[DINA TERCIARIOS_CF_SEC_New_27-Mar-2024.xlsx]D-PND'!$BZ$48</t>
  </si>
  <si>
    <t>='C:\Users\jaime.benazar\Quorum Business Solutions\Ecopetrol Prometeo - Documents\Planning Space Implementation\3. Analysis &amp; Design\Design\FC22\DRR Jaime\Neiva CPI\[DINA TERCIARIOS_CF_SEC_New_27-Mar-2024.xlsx]D-PRB'!$BZ$12</t>
  </si>
  <si>
    <t>='C:\Users\jaime.benazar\Quorum Business Solutions\Ecopetrol Prometeo - Documents\Planning Space Implementation\3. Analysis &amp; Design\Design\FC22\DRR Jaime\Neiva CPI\[DINA TERCIARIOS_CF_SEC_New_27-Mar-2024.xlsx]D-PRB'!$BZ$13</t>
  </si>
  <si>
    <t>='C:\Users\jaime.benazar\Quorum Business Solutions\Ecopetrol Prometeo - Documents\Planning Space Implementation\3. Analysis &amp; Design\Design\FC22\DRR Jaime\Neiva CPI\[DINA TERCIARIOS_CF_SEC_New_27-Mar-2024.xlsx]D-PRB'!$BZ$14</t>
  </si>
  <si>
    <t>='C:\Users\jaime.benazar\Quorum Business Solutions\Ecopetrol Prometeo - Documents\Planning Space Implementation\3. Analysis &amp; Design\Design\FC22\DRR Jaime\Neiva CPI\[DINA TERCIARIOS_CF_SEC_New_27-Mar-2024.xlsx]D-PRB'!$BZ$15</t>
  </si>
  <si>
    <t>='C:\Users\jaime.benazar\Quorum Business Solutions\Ecopetrol Prometeo - Documents\Planning Space Implementation\3. Analysis &amp; Design\Design\FC22\DRR Jaime\Neiva CPI\[DINA TERCIARIOS_CF_SEC_New_27-Mar-2024.xlsx]D-PRB'!$BZ$16</t>
  </si>
  <si>
    <t>='C:\Users\jaime.benazar\Quorum Business Solutions\Ecopetrol Prometeo - Documents\Planning Space Implementation\3. Analysis &amp; Design\Design\FC22\DRR Jaime\Neiva CPI\[DINA TERCIARIOS_CF_SEC_New_27-Mar-2024.xlsx]D-PRB'!$BZ$17</t>
  </si>
  <si>
    <t>='C:\Users\jaime.benazar\Quorum Business Solutions\Ecopetrol Prometeo - Documents\Planning Space Implementation\3. Analysis &amp; Design\Design\FC22\DRR Jaime\Neiva CPI\[DINA TERCIARIOS_CF_SEC_New_27-Mar-2024.xlsx]D-PRB'!$BZ$18</t>
  </si>
  <si>
    <t>='C:\Users\jaime.benazar\Quorum Business Solutions\Ecopetrol Prometeo - Documents\Planning Space Implementation\3. Analysis &amp; Design\Design\FC22\DRR Jaime\Neiva CPI\[DINA TERCIARIOS_CF_SEC_New_27-Mar-2024.xlsx]D-PRB'!$BZ$19</t>
  </si>
  <si>
    <t>='C:\Users\jaime.benazar\Quorum Business Solutions\Ecopetrol Prometeo - Documents\Planning Space Implementation\3. Analysis &amp; Design\Design\FC22\DRR Jaime\Neiva CPI\[DINA TERCIARIOS_CF_SEC_New_27-Mar-2024.xlsx]D-PRB'!$BZ$20</t>
  </si>
  <si>
    <t>='C:\Users\jaime.benazar\Quorum Business Solutions\Ecopetrol Prometeo - Documents\Planning Space Implementation\3. Analysis &amp; Design\Design\FC22\DRR Jaime\Neiva CPI\[DINA TERCIARIOS_CF_SEC_New_27-Mar-2024.xlsx]D-PRB'!$BZ$21</t>
  </si>
  <si>
    <t>='C:\Users\jaime.benazar\Quorum Business Solutions\Ecopetrol Prometeo - Documents\Planning Space Implementation\3. Analysis &amp; Design\Design\FC22\DRR Jaime\Neiva CPI\[DINA TERCIARIOS_CF_SEC_New_27-Mar-2024.xlsx]D-PRB'!$BZ$22</t>
  </si>
  <si>
    <t>='C:\Users\jaime.benazar\Quorum Business Solutions\Ecopetrol Prometeo - Documents\Planning Space Implementation\3. Analysis &amp; Design\Design\FC22\DRR Jaime\Neiva CPI\[DINA TERCIARIOS_CF_SEC_New_27-Mar-2024.xlsx]D-PRB'!$BZ$23</t>
  </si>
  <si>
    <t>='C:\Users\jaime.benazar\Quorum Business Solutions\Ecopetrol Prometeo - Documents\Planning Space Implementation\3. Analysis &amp; Design\Design\FC22\DRR Jaime\Neiva CPI\[DINA TERCIARIOS_CF_SEC_New_27-Mar-2024.xlsx]D-PRB'!$BZ$24</t>
  </si>
  <si>
    <t>='C:\Users\jaime.benazar\Quorum Business Solutions\Ecopetrol Prometeo - Documents\Planning Space Implementation\3. Analysis &amp; Design\Design\FC22\DRR Jaime\Neiva CPI\[DINA TERCIARIOS_CF_SEC_New_27-Mar-2024.xlsx]D-PRB'!$BZ$25</t>
  </si>
  <si>
    <t>='C:\Users\jaime.benazar\Quorum Business Solutions\Ecopetrol Prometeo - Documents\Planning Space Implementation\3. Analysis &amp; Design\Design\FC22\DRR Jaime\Neiva CPI\[DINA TERCIARIOS_CF_SEC_New_27-Mar-2024.xlsx]D-PRB'!$BZ$26</t>
  </si>
  <si>
    <t>='C:\Users\jaime.benazar\Quorum Business Solutions\Ecopetrol Prometeo - Documents\Planning Space Implementation\3. Analysis &amp; Design\Design\FC22\DRR Jaime\Neiva CPI\[DINA TERCIARIOS_CF_SEC_New_27-Mar-2024.xlsx]D-PRB'!$BZ$27</t>
  </si>
  <si>
    <t>='C:\Users\jaime.benazar\Quorum Business Solutions\Ecopetrol Prometeo - Documents\Planning Space Implementation\3. Analysis &amp; Design\Design\FC22\DRR Jaime\Neiva CPI\[DINA TERCIARIOS_CF_SEC_New_27-Mar-2024.xlsx]D-PRB'!$BZ$28</t>
  </si>
  <si>
    <t>='C:\Users\jaime.benazar\Quorum Business Solutions\Ecopetrol Prometeo - Documents\Planning Space Implementation\3. Analysis &amp; Design\Design\FC22\DRR Jaime\Neiva CPI\[DINA TERCIARIOS_CF_SEC_New_27-Mar-2024.xlsx]D-PRB'!$BZ$29</t>
  </si>
  <si>
    <t>='C:\Users\jaime.benazar\Quorum Business Solutions\Ecopetrol Prometeo - Documents\Planning Space Implementation\3. Analysis &amp; Design\Design\FC22\DRR Jaime\Neiva CPI\[DINA TERCIARIOS_CF_SEC_New_27-Mar-2024.xlsx]D-PRB'!$BZ$30</t>
  </si>
  <si>
    <t>='C:\Users\jaime.benazar\Quorum Business Solutions\Ecopetrol Prometeo - Documents\Planning Space Implementation\3. Analysis &amp; Design\Design\FC22\DRR Jaime\Neiva CPI\[DINA TERCIARIOS_CF_SEC_New_27-Mar-2024.xlsx]D-PRB'!$BZ$31</t>
  </si>
  <si>
    <t>='C:\Users\jaime.benazar\Quorum Business Solutions\Ecopetrol Prometeo - Documents\Planning Space Implementation\3. Analysis &amp; Design\Design\FC22\DRR Jaime\Neiva CPI\[DINA TERCIARIOS_CF_SEC_New_27-Mar-2024.xlsx]D-PRB'!$BZ$32</t>
  </si>
  <si>
    <t>='C:\Users\jaime.benazar\Quorum Business Solutions\Ecopetrol Prometeo - Documents\Planning Space Implementation\3. Analysis &amp; Design\Design\FC22\DRR Jaime\Neiva CPI\[DINA TERCIARIOS_CF_SEC_New_27-Mar-2024.xlsx]D-PRB'!$BZ$33</t>
  </si>
  <si>
    <t>='C:\Users\jaime.benazar\Quorum Business Solutions\Ecopetrol Prometeo - Documents\Planning Space Implementation\3. Analysis &amp; Design\Design\FC22\DRR Jaime\Neiva CPI\[DINA TERCIARIOS_CF_SEC_New_27-Mar-2024.xlsx]D-PRB'!$BZ$34</t>
  </si>
  <si>
    <t>='C:\Users\jaime.benazar\Quorum Business Solutions\Ecopetrol Prometeo - Documents\Planning Space Implementation\3. Analysis &amp; Design\Design\FC22\DRR Jaime\Neiva CPI\[DINA TERCIARIOS_CF_SEC_New_27-Mar-2024.xlsx]D-PRB'!$BZ$35</t>
  </si>
  <si>
    <t>='C:\Users\jaime.benazar\Quorum Business Solutions\Ecopetrol Prometeo - Documents\Planning Space Implementation\3. Analysis &amp; Design\Design\FC22\DRR Jaime\Neiva CPI\[DINA TERCIARIOS_CF_SEC_New_27-Mar-2024.xlsx]D-PRB'!$BZ$36</t>
  </si>
  <si>
    <t>='C:\Users\jaime.benazar\Quorum Business Solutions\Ecopetrol Prometeo - Documents\Planning Space Implementation\3. Analysis &amp; Design\Design\FC22\DRR Jaime\Neiva CPI\[DINA TERCIARIOS_CF_SEC_New_27-Mar-2024.xlsx]D-PRB'!$BZ$37</t>
  </si>
  <si>
    <t>='C:\Users\jaime.benazar\Quorum Business Solutions\Ecopetrol Prometeo - Documents\Planning Space Implementation\3. Analysis &amp; Design\Design\FC22\DRR Jaime\Neiva CPI\[DINA TERCIARIOS_CF_SEC_New_27-Mar-2024.xlsx]D-PRB'!$BZ$38</t>
  </si>
  <si>
    <t>='C:\Users\jaime.benazar\Quorum Business Solutions\Ecopetrol Prometeo - Documents\Planning Space Implementation\3. Analysis &amp; Design\Design\FC22\DRR Jaime\Neiva CPI\[DINA TERCIARIOS_CF_SEC_New_27-Mar-2024.xlsx]D-PRB'!$BZ$39</t>
  </si>
  <si>
    <t>='C:\Users\jaime.benazar\Quorum Business Solutions\Ecopetrol Prometeo - Documents\Planning Space Implementation\3. Analysis &amp; Design\Design\FC22\DRR Jaime\Neiva CPI\[DINA TERCIARIOS_CF_SEC_New_27-Mar-2024.xlsx]D-PRB'!$BZ$40</t>
  </si>
  <si>
    <t>='C:\Users\jaime.benazar\Quorum Business Solutions\Ecopetrol Prometeo - Documents\Planning Space Implementation\3. Analysis &amp; Design\Design\FC22\DRR Jaime\Neiva CPI\[DINA TERCIARIOS_CF_SEC_New_27-Mar-2024.xlsx]D-PRB'!$BZ$41</t>
  </si>
  <si>
    <t>='C:\Users\jaime.benazar\Quorum Business Solutions\Ecopetrol Prometeo - Documents\Planning Space Implementation\3. Analysis &amp; Design\Design\FC22\DRR Jaime\Neiva CPI\[DINA TERCIARIOS_CF_SEC_New_27-Mar-2024.xlsx]D-PRB'!$BZ$42</t>
  </si>
  <si>
    <t>='C:\Users\jaime.benazar\Quorum Business Solutions\Ecopetrol Prometeo - Documents\Planning Space Implementation\3. Analysis &amp; Design\Design\FC22\DRR Jaime\Neiva CPI\[DINA TERCIARIOS_CF_SEC_New_27-Mar-2024.xlsx]D-PRB'!$BZ$43</t>
  </si>
  <si>
    <t>='C:\Users\jaime.benazar\Quorum Business Solutions\Ecopetrol Prometeo - Documents\Planning Space Implementation\3. Analysis &amp; Design\Design\FC22\DRR Jaime\Neiva CPI\[DINA TERCIARIOS_CF_SEC_New_27-Mar-2024.xlsx]D-PRB'!$BZ$44</t>
  </si>
  <si>
    <t>='C:\Users\jaime.benazar\Quorum Business Solutions\Ecopetrol Prometeo - Documents\Planning Space Implementation\3. Analysis &amp; Design\Design\FC22\DRR Jaime\Neiva CPI\[DINA TERCIARIOS_CF_SEC_New_27-Mar-2024.xlsx]D-PRB'!$BZ$45</t>
  </si>
  <si>
    <t>='C:\Users\jaime.benazar\Quorum Business Solutions\Ecopetrol Prometeo - Documents\Planning Space Implementation\3. Analysis &amp; Design\Design\FC22\DRR Jaime\Neiva CPI\[DINA TERCIARIOS_CF_SEC_New_27-Mar-2024.xlsx]D-PRB'!$BZ$46</t>
  </si>
  <si>
    <t>='C:\Users\jaime.benazar\Quorum Business Solutions\Ecopetrol Prometeo - Documents\Planning Space Implementation\3. Analysis &amp; Design\Design\FC22\DRR Jaime\Neiva CPI\[DINA TERCIARIOS_CF_SEC_New_27-Mar-2024.xlsx]D-PRB'!$BZ$47</t>
  </si>
  <si>
    <t>='C:\Users\jaime.benazar\Quorum Business Solutions\Ecopetrol Prometeo - Documents\Planning Space Implementation\3. Analysis &amp; Design\Design\FC22\DRR Jaime\Neiva CPI\[DINA TERCIARIOS_CF_SEC_New_27-Mar-2024.xlsx]D-PRB'!$BZ$48</t>
  </si>
  <si>
    <t>='C:\Users\jaime.benazar\Quorum Business Solutions\Ecopetrol Prometeo - Documents\Planning Space Implementation\3. Analysis &amp; Design\Design\FC22\DRR Jaime\Neiva CPI\[DINA TERCIARIOS_CF_SEC_New_27-Mar-2024.xlsx]D-PS'!$BZ$12</t>
  </si>
  <si>
    <t>='C:\Users\jaime.benazar\Quorum Business Solutions\Ecopetrol Prometeo - Documents\Planning Space Implementation\3. Analysis &amp; Design\Design\FC22\DRR Jaime\Neiva CPI\[DINA TERCIARIOS_CF_SEC_New_27-Mar-2024.xlsx]D-PS'!$BZ$13</t>
  </si>
  <si>
    <t>='C:\Users\jaime.benazar\Quorum Business Solutions\Ecopetrol Prometeo - Documents\Planning Space Implementation\3. Analysis &amp; Design\Design\FC22\DRR Jaime\Neiva CPI\[DINA TERCIARIOS_CF_SEC_New_27-Mar-2024.xlsx]D-PS'!$BZ$14</t>
  </si>
  <si>
    <t>='C:\Users\jaime.benazar\Quorum Business Solutions\Ecopetrol Prometeo - Documents\Planning Space Implementation\3. Analysis &amp; Design\Design\FC22\DRR Jaime\Neiva CPI\[DINA TERCIARIOS_CF_SEC_New_27-Mar-2024.xlsx]D-PS'!$BZ$15</t>
  </si>
  <si>
    <t>='C:\Users\jaime.benazar\Quorum Business Solutions\Ecopetrol Prometeo - Documents\Planning Space Implementation\3. Analysis &amp; Design\Design\FC22\DRR Jaime\Neiva CPI\[DINA TERCIARIOS_CF_SEC_New_27-Mar-2024.xlsx]D-PS'!$BZ$16</t>
  </si>
  <si>
    <t>='C:\Users\jaime.benazar\Quorum Business Solutions\Ecopetrol Prometeo - Documents\Planning Space Implementation\3. Analysis &amp; Design\Design\FC22\DRR Jaime\Neiva CPI\[DINA TERCIARIOS_CF_SEC_New_27-Mar-2024.xlsx]D-PS'!$BZ$17</t>
  </si>
  <si>
    <t>='C:\Users\jaime.benazar\Quorum Business Solutions\Ecopetrol Prometeo - Documents\Planning Space Implementation\3. Analysis &amp; Design\Design\FC22\DRR Jaime\Neiva CPI\[DINA TERCIARIOS_CF_SEC_New_27-Mar-2024.xlsx]D-PS'!$BZ$18</t>
  </si>
  <si>
    <t>='C:\Users\jaime.benazar\Quorum Business Solutions\Ecopetrol Prometeo - Documents\Planning Space Implementation\3. Analysis &amp; Design\Design\FC22\DRR Jaime\Neiva CPI\[DINA TERCIARIOS_CF_SEC_New_27-Mar-2024.xlsx]D-PS'!$BZ$19</t>
  </si>
  <si>
    <t>='C:\Users\jaime.benazar\Quorum Business Solutions\Ecopetrol Prometeo - Documents\Planning Space Implementation\3. Analysis &amp; Design\Design\FC22\DRR Jaime\Neiva CPI\[DINA TERCIARIOS_CF_SEC_New_27-Mar-2024.xlsx]D-PS'!$BZ$20</t>
  </si>
  <si>
    <t>='C:\Users\jaime.benazar\Quorum Business Solutions\Ecopetrol Prometeo - Documents\Planning Space Implementation\3. Analysis &amp; Design\Design\FC22\DRR Jaime\Neiva CPI\[DINA TERCIARIOS_CF_SEC_New_27-Mar-2024.xlsx]D-PS'!$BZ$21</t>
  </si>
  <si>
    <t>='C:\Users\jaime.benazar\Quorum Business Solutions\Ecopetrol Prometeo - Documents\Planning Space Implementation\3. Analysis &amp; Design\Design\FC22\DRR Jaime\Neiva CPI\[DINA TERCIARIOS_CF_SEC_New_27-Mar-2024.xlsx]D-PS'!$BZ$22</t>
  </si>
  <si>
    <t>='C:\Users\jaime.benazar\Quorum Business Solutions\Ecopetrol Prometeo - Documents\Planning Space Implementation\3. Analysis &amp; Design\Design\FC22\DRR Jaime\Neiva CPI\[DINA TERCIARIOS_CF_SEC_New_27-Mar-2024.xlsx]D-PS'!$BZ$23</t>
  </si>
  <si>
    <t>='C:\Users\jaime.benazar\Quorum Business Solutions\Ecopetrol Prometeo - Documents\Planning Space Implementation\3. Analysis &amp; Design\Design\FC22\DRR Jaime\Neiva CPI\[DINA TERCIARIOS_CF_SEC_New_27-Mar-2024.xlsx]D-PS'!$BZ$24</t>
  </si>
  <si>
    <t>='C:\Users\jaime.benazar\Quorum Business Solutions\Ecopetrol Prometeo - Documents\Planning Space Implementation\3. Analysis &amp; Design\Design\FC22\DRR Jaime\Neiva CPI\[DINA TERCIARIOS_CF_SEC_New_27-Mar-2024.xlsx]D-PS'!$BZ$25</t>
  </si>
  <si>
    <t>='C:\Users\jaime.benazar\Quorum Business Solutions\Ecopetrol Prometeo - Documents\Planning Space Implementation\3. Analysis &amp; Design\Design\FC22\DRR Jaime\Neiva CPI\[DINA TERCIARIOS_CF_SEC_New_27-Mar-2024.xlsx]D-PS'!$BZ$26</t>
  </si>
  <si>
    <t>='C:\Users\jaime.benazar\Quorum Business Solutions\Ecopetrol Prometeo - Documents\Planning Space Implementation\3. Analysis &amp; Design\Design\FC22\DRR Jaime\Neiva CPI\[DINA TERCIARIOS_CF_SEC_New_27-Mar-2024.xlsx]D-PS'!$BZ$27</t>
  </si>
  <si>
    <t>='C:\Users\jaime.benazar\Quorum Business Solutions\Ecopetrol Prometeo - Documents\Planning Space Implementation\3. Analysis &amp; Design\Design\FC22\DRR Jaime\Neiva CPI\[DINA TERCIARIOS_CF_SEC_New_27-Mar-2024.xlsx]D-PS'!$BZ$28</t>
  </si>
  <si>
    <t>='C:\Users\jaime.benazar\Quorum Business Solutions\Ecopetrol Prometeo - Documents\Planning Space Implementation\3. Analysis &amp; Design\Design\FC22\DRR Jaime\Neiva CPI\[DINA TERCIARIOS_CF_SEC_New_27-Mar-2024.xlsx]D-PS'!$BZ$29</t>
  </si>
  <si>
    <t>='C:\Users\jaime.benazar\Quorum Business Solutions\Ecopetrol Prometeo - Documents\Planning Space Implementation\3. Analysis &amp; Design\Design\FC22\DRR Jaime\Neiva CPI\[DINA TERCIARIOS_CF_SEC_New_27-Mar-2024.xlsx]D-PS'!$BZ$30</t>
  </si>
  <si>
    <t>='C:\Users\jaime.benazar\Quorum Business Solutions\Ecopetrol Prometeo - Documents\Planning Space Implementation\3. Analysis &amp; Design\Design\FC22\DRR Jaime\Neiva CPI\[DINA TERCIARIOS_CF_SEC_New_27-Mar-2024.xlsx]D-PS'!$BZ$31</t>
  </si>
  <si>
    <t>='C:\Users\jaime.benazar\Quorum Business Solutions\Ecopetrol Prometeo - Documents\Planning Space Implementation\3. Analysis &amp; Design\Design\FC22\DRR Jaime\Neiva CPI\[DINA TERCIARIOS_CF_SEC_New_27-Mar-2024.xlsx]D-PS'!$BZ$32</t>
  </si>
  <si>
    <t>='C:\Users\jaime.benazar\Quorum Business Solutions\Ecopetrol Prometeo - Documents\Planning Space Implementation\3. Analysis &amp; Design\Design\FC22\DRR Jaime\Neiva CPI\[DINA TERCIARIOS_CF_SEC_New_27-Mar-2024.xlsx]D-PS'!$BZ$33</t>
  </si>
  <si>
    <t>='C:\Users\jaime.benazar\Quorum Business Solutions\Ecopetrol Prometeo - Documents\Planning Space Implementation\3. Analysis &amp; Design\Design\FC22\DRR Jaime\Neiva CPI\[DINA TERCIARIOS_CF_SEC_New_27-Mar-2024.xlsx]D-PS'!$BZ$34</t>
  </si>
  <si>
    <t>='C:\Users\jaime.benazar\Quorum Business Solutions\Ecopetrol Prometeo - Documents\Planning Space Implementation\3. Analysis &amp; Design\Design\FC22\DRR Jaime\Neiva CPI\[DINA TERCIARIOS_CF_SEC_New_27-Mar-2024.xlsx]D-PS'!$BZ$35</t>
  </si>
  <si>
    <t>='C:\Users\jaime.benazar\Quorum Business Solutions\Ecopetrol Prometeo - Documents\Planning Space Implementation\3. Analysis &amp; Design\Design\FC22\DRR Jaime\Neiva CPI\[DINA TERCIARIOS_CF_SEC_New_27-Mar-2024.xlsx]D-PS'!$BZ$36</t>
  </si>
  <si>
    <t>='C:\Users\jaime.benazar\Quorum Business Solutions\Ecopetrol Prometeo - Documents\Planning Space Implementation\3. Analysis &amp; Design\Design\FC22\DRR Jaime\Neiva CPI\[DINA TERCIARIOS_CF_SEC_New_27-Mar-2024.xlsx]D-PS'!$BZ$37</t>
  </si>
  <si>
    <t>='C:\Users\jaime.benazar\Quorum Business Solutions\Ecopetrol Prometeo - Documents\Planning Space Implementation\3. Analysis &amp; Design\Design\FC22\DRR Jaime\Neiva CPI\[DINA TERCIARIOS_CF_SEC_New_27-Mar-2024.xlsx]D-PS'!$BZ$38</t>
  </si>
  <si>
    <t>='C:\Users\jaime.benazar\Quorum Business Solutions\Ecopetrol Prometeo - Documents\Planning Space Implementation\3. Analysis &amp; Design\Design\FC22\DRR Jaime\Neiva CPI\[DINA TERCIARIOS_CF_SEC_New_27-Mar-2024.xlsx]D-PS'!$BZ$39</t>
  </si>
  <si>
    <t>='C:\Users\jaime.benazar\Quorum Business Solutions\Ecopetrol Prometeo - Documents\Planning Space Implementation\3. Analysis &amp; Design\Design\FC22\DRR Jaime\Neiva CPI\[DINA TERCIARIOS_CF_SEC_New_27-Mar-2024.xlsx]D-PS'!$BZ$40</t>
  </si>
  <si>
    <t>='C:\Users\jaime.benazar\Quorum Business Solutions\Ecopetrol Prometeo - Documents\Planning Space Implementation\3. Analysis &amp; Design\Design\FC22\DRR Jaime\Neiva CPI\[DINA TERCIARIOS_CF_SEC_New_27-Mar-2024.xlsx]D-PS'!$BZ$41</t>
  </si>
  <si>
    <t>='C:\Users\jaime.benazar\Quorum Business Solutions\Ecopetrol Prometeo - Documents\Planning Space Implementation\3. Analysis &amp; Design\Design\FC22\DRR Jaime\Neiva CPI\[DINA TERCIARIOS_CF_SEC_New_27-Mar-2024.xlsx]D-PS'!$BZ$42</t>
  </si>
  <si>
    <t>='C:\Users\jaime.benazar\Quorum Business Solutions\Ecopetrol Prometeo - Documents\Planning Space Implementation\3. Analysis &amp; Design\Design\FC22\DRR Jaime\Neiva CPI\[DINA TERCIARIOS_CF_SEC_New_27-Mar-2024.xlsx]D-PS'!$BZ$43</t>
  </si>
  <si>
    <t>='C:\Users\jaime.benazar\Quorum Business Solutions\Ecopetrol Prometeo - Documents\Planning Space Implementation\3. Analysis &amp; Design\Design\FC22\DRR Jaime\Neiva CPI\[DINA TERCIARIOS_CF_SEC_New_27-Mar-2024.xlsx]D-PS'!$BZ$44</t>
  </si>
  <si>
    <t>='C:\Users\jaime.benazar\Quorum Business Solutions\Ecopetrol Prometeo - Documents\Planning Space Implementation\3. Analysis &amp; Design\Design\FC22\DRR Jaime\Neiva CPI\[DINA TERCIARIOS_CF_SEC_New_27-Mar-2024.xlsx]D-PS'!$BZ$45</t>
  </si>
  <si>
    <t>='C:\Users\jaime.benazar\Quorum Business Solutions\Ecopetrol Prometeo - Documents\Planning Space Implementation\3. Analysis &amp; Design\Design\FC22\DRR Jaime\Neiva CPI\[DINA TERCIARIOS_CF_SEC_New_27-Mar-2024.xlsx]D-PS'!$BZ$46</t>
  </si>
  <si>
    <t>='C:\Users\jaime.benazar\Quorum Business Solutions\Ecopetrol Prometeo - Documents\Planning Space Implementation\3. Analysis &amp; Design\Design\FC22\DRR Jaime\Neiva CPI\[DINA TERCIARIOS_CF_SEC_New_27-Mar-2024.xlsx]D-PS'!$BZ$47</t>
  </si>
  <si>
    <t>='C:\Users\jaime.benazar\Quorum Business Solutions\Ecopetrol Prometeo - Documents\Planning Space Implementation\3. Analysis &amp; Design\Design\FC22\DRR Jaime\Neiva CPI\[DINA TERCIARIOS_CF_SEC_New_27-Mar-2024.xlsx]D-PS'!$BZ$48</t>
  </si>
  <si>
    <t>='C:\Users\jaime.benazar\Quorum Business Solutions\Ecopetrol Prometeo - Documents\Planning Space Implementation\3. Analysis &amp; Design\Design\FC22\DRR Jaime\Neiva CPI\[DINA TERCIARIOS_CF_SEC_New_27-Mar-2024.xlsx]D-PDP'!$CA$12</t>
  </si>
  <si>
    <t>='C:\Users\jaime.benazar\Quorum Business Solutions\Ecopetrol Prometeo - Documents\Planning Space Implementation\3. Analysis &amp; Design\Design\FC22\DRR Jaime\Neiva CPI\[DINA TERCIARIOS_CF_SEC_New_27-Mar-2024.xlsx]D-PDP'!$CA$13</t>
  </si>
  <si>
    <t>='C:\Users\jaime.benazar\Quorum Business Solutions\Ecopetrol Prometeo - Documents\Planning Space Implementation\3. Analysis &amp; Design\Design\FC22\DRR Jaime\Neiva CPI\[DINA TERCIARIOS_CF_SEC_New_27-Mar-2024.xlsx]D-PDP'!$CA$14</t>
  </si>
  <si>
    <t>='C:\Users\jaime.benazar\Quorum Business Solutions\Ecopetrol Prometeo - Documents\Planning Space Implementation\3. Analysis &amp; Design\Design\FC22\DRR Jaime\Neiva CPI\[DINA TERCIARIOS_CF_SEC_New_27-Mar-2024.xlsx]D-PDP'!$CA$15</t>
  </si>
  <si>
    <t>='C:\Users\jaime.benazar\Quorum Business Solutions\Ecopetrol Prometeo - Documents\Planning Space Implementation\3. Analysis &amp; Design\Design\FC22\DRR Jaime\Neiva CPI\[DINA TERCIARIOS_CF_SEC_New_27-Mar-2024.xlsx]D-PDP'!$CA$16</t>
  </si>
  <si>
    <t>='C:\Users\jaime.benazar\Quorum Business Solutions\Ecopetrol Prometeo - Documents\Planning Space Implementation\3. Analysis &amp; Design\Design\FC22\DRR Jaime\Neiva CPI\[DINA TERCIARIOS_CF_SEC_New_27-Mar-2024.xlsx]D-PDP'!$CA$17</t>
  </si>
  <si>
    <t>='C:\Users\jaime.benazar\Quorum Business Solutions\Ecopetrol Prometeo - Documents\Planning Space Implementation\3. Analysis &amp; Design\Design\FC22\DRR Jaime\Neiva CPI\[DINA TERCIARIOS_CF_SEC_New_27-Mar-2024.xlsx]D-PDP'!$CA$18</t>
  </si>
  <si>
    <t>='C:\Users\jaime.benazar\Quorum Business Solutions\Ecopetrol Prometeo - Documents\Planning Space Implementation\3. Analysis &amp; Design\Design\FC22\DRR Jaime\Neiva CPI\[DINA TERCIARIOS_CF_SEC_New_27-Mar-2024.xlsx]D-PDP'!$CA$19</t>
  </si>
  <si>
    <t>='C:\Users\jaime.benazar\Quorum Business Solutions\Ecopetrol Prometeo - Documents\Planning Space Implementation\3. Analysis &amp; Design\Design\FC22\DRR Jaime\Neiva CPI\[DINA TERCIARIOS_CF_SEC_New_27-Mar-2024.xlsx]D-PDP'!$CA$20</t>
  </si>
  <si>
    <t>='C:\Users\jaime.benazar\Quorum Business Solutions\Ecopetrol Prometeo - Documents\Planning Space Implementation\3. Analysis &amp; Design\Design\FC22\DRR Jaime\Neiva CPI\[DINA TERCIARIOS_CF_SEC_New_27-Mar-2024.xlsx]D-PDP'!$CA$21</t>
  </si>
  <si>
    <t>='C:\Users\jaime.benazar\Quorum Business Solutions\Ecopetrol Prometeo - Documents\Planning Space Implementation\3. Analysis &amp; Design\Design\FC22\DRR Jaime\Neiva CPI\[DINA TERCIARIOS_CF_SEC_New_27-Mar-2024.xlsx]D-PDP'!$CA$22</t>
  </si>
  <si>
    <t>='C:\Users\jaime.benazar\Quorum Business Solutions\Ecopetrol Prometeo - Documents\Planning Space Implementation\3. Analysis &amp; Design\Design\FC22\DRR Jaime\Neiva CPI\[DINA TERCIARIOS_CF_SEC_New_27-Mar-2024.xlsx]D-PDP'!$CA$23</t>
  </si>
  <si>
    <t>='C:\Users\jaime.benazar\Quorum Business Solutions\Ecopetrol Prometeo - Documents\Planning Space Implementation\3. Analysis &amp; Design\Design\FC22\DRR Jaime\Neiva CPI\[DINA TERCIARIOS_CF_SEC_New_27-Mar-2024.xlsx]D-PDP'!$CA$24</t>
  </si>
  <si>
    <t>='C:\Users\jaime.benazar\Quorum Business Solutions\Ecopetrol Prometeo - Documents\Planning Space Implementation\3. Analysis &amp; Design\Design\FC22\DRR Jaime\Neiva CPI\[DINA TERCIARIOS_CF_SEC_New_27-Mar-2024.xlsx]D-PDP'!$CA$25</t>
  </si>
  <si>
    <t>='C:\Users\jaime.benazar\Quorum Business Solutions\Ecopetrol Prometeo - Documents\Planning Space Implementation\3. Analysis &amp; Design\Design\FC22\DRR Jaime\Neiva CPI\[DINA TERCIARIOS_CF_SEC_New_27-Mar-2024.xlsx]D-PDP'!$CA$26</t>
  </si>
  <si>
    <t>='C:\Users\jaime.benazar\Quorum Business Solutions\Ecopetrol Prometeo - Documents\Planning Space Implementation\3. Analysis &amp; Design\Design\FC22\DRR Jaime\Neiva CPI\[DINA TERCIARIOS_CF_SEC_New_27-Mar-2024.xlsx]D-PDP'!$CA$27</t>
  </si>
  <si>
    <t>='C:\Users\jaime.benazar\Quorum Business Solutions\Ecopetrol Prometeo - Documents\Planning Space Implementation\3. Analysis &amp; Design\Design\FC22\DRR Jaime\Neiva CPI\[DINA TERCIARIOS_CF_SEC_New_27-Mar-2024.xlsx]D-PDP'!$CA$28</t>
  </si>
  <si>
    <t>='C:\Users\jaime.benazar\Quorum Business Solutions\Ecopetrol Prometeo - Documents\Planning Space Implementation\3. Analysis &amp; Design\Design\FC22\DRR Jaime\Neiva CPI\[DINA TERCIARIOS_CF_SEC_New_27-Mar-2024.xlsx]D-PDP'!$CA$29</t>
  </si>
  <si>
    <t>='C:\Users\jaime.benazar\Quorum Business Solutions\Ecopetrol Prometeo - Documents\Planning Space Implementation\3. Analysis &amp; Design\Design\FC22\DRR Jaime\Neiva CPI\[DINA TERCIARIOS_CF_SEC_New_27-Mar-2024.xlsx]D-PDP'!$CA$30</t>
  </si>
  <si>
    <t>='C:\Users\jaime.benazar\Quorum Business Solutions\Ecopetrol Prometeo - Documents\Planning Space Implementation\3. Analysis &amp; Design\Design\FC22\DRR Jaime\Neiva CPI\[DINA TERCIARIOS_CF_SEC_New_27-Mar-2024.xlsx]D-PDP'!$CA$31</t>
  </si>
  <si>
    <t>='C:\Users\jaime.benazar\Quorum Business Solutions\Ecopetrol Prometeo - Documents\Planning Space Implementation\3. Analysis &amp; Design\Design\FC22\DRR Jaime\Neiva CPI\[DINA TERCIARIOS_CF_SEC_New_27-Mar-2024.xlsx]D-PDP'!$CA$32</t>
  </si>
  <si>
    <t>='C:\Users\jaime.benazar\Quorum Business Solutions\Ecopetrol Prometeo - Documents\Planning Space Implementation\3. Analysis &amp; Design\Design\FC22\DRR Jaime\Neiva CPI\[DINA TERCIARIOS_CF_SEC_New_27-Mar-2024.xlsx]D-PDP'!$CA$33</t>
  </si>
  <si>
    <t>='C:\Users\jaime.benazar\Quorum Business Solutions\Ecopetrol Prometeo - Documents\Planning Space Implementation\3. Analysis &amp; Design\Design\FC22\DRR Jaime\Neiva CPI\[DINA TERCIARIOS_CF_SEC_New_27-Mar-2024.xlsx]D-PDP'!$CA$34</t>
  </si>
  <si>
    <t>='C:\Users\jaime.benazar\Quorum Business Solutions\Ecopetrol Prometeo - Documents\Planning Space Implementation\3. Analysis &amp; Design\Design\FC22\DRR Jaime\Neiva CPI\[DINA TERCIARIOS_CF_SEC_New_27-Mar-2024.xlsx]D-PDP'!$CA$35</t>
  </si>
  <si>
    <t>='C:\Users\jaime.benazar\Quorum Business Solutions\Ecopetrol Prometeo - Documents\Planning Space Implementation\3. Analysis &amp; Design\Design\FC22\DRR Jaime\Neiva CPI\[DINA TERCIARIOS_CF_SEC_New_27-Mar-2024.xlsx]D-PDP'!$CA$36</t>
  </si>
  <si>
    <t>='C:\Users\jaime.benazar\Quorum Business Solutions\Ecopetrol Prometeo - Documents\Planning Space Implementation\3. Analysis &amp; Design\Design\FC22\DRR Jaime\Neiva CPI\[DINA TERCIARIOS_CF_SEC_New_27-Mar-2024.xlsx]D-PDP'!$CA$37</t>
  </si>
  <si>
    <t>='C:\Users\jaime.benazar\Quorum Business Solutions\Ecopetrol Prometeo - Documents\Planning Space Implementation\3. Analysis &amp; Design\Design\FC22\DRR Jaime\Neiva CPI\[DINA TERCIARIOS_CF_SEC_New_27-Mar-2024.xlsx]D-PDP'!$CA$38</t>
  </si>
  <si>
    <t>='C:\Users\jaime.benazar\Quorum Business Solutions\Ecopetrol Prometeo - Documents\Planning Space Implementation\3. Analysis &amp; Design\Design\FC22\DRR Jaime\Neiva CPI\[DINA TERCIARIOS_CF_SEC_New_27-Mar-2024.xlsx]D-PDP'!$CA$39</t>
  </si>
  <si>
    <t>='C:\Users\jaime.benazar\Quorum Business Solutions\Ecopetrol Prometeo - Documents\Planning Space Implementation\3. Analysis &amp; Design\Design\FC22\DRR Jaime\Neiva CPI\[DINA TERCIARIOS_CF_SEC_New_27-Mar-2024.xlsx]D-PDP'!$CA$40</t>
  </si>
  <si>
    <t>='C:\Users\jaime.benazar\Quorum Business Solutions\Ecopetrol Prometeo - Documents\Planning Space Implementation\3. Analysis &amp; Design\Design\FC22\DRR Jaime\Neiva CPI\[DINA TERCIARIOS_CF_SEC_New_27-Mar-2024.xlsx]D-PDP'!$CA$41</t>
  </si>
  <si>
    <t>='C:\Users\jaime.benazar\Quorum Business Solutions\Ecopetrol Prometeo - Documents\Planning Space Implementation\3. Analysis &amp; Design\Design\FC22\DRR Jaime\Neiva CPI\[DINA TERCIARIOS_CF_SEC_New_27-Mar-2024.xlsx]D-PDP'!$CA$42</t>
  </si>
  <si>
    <t>='C:\Users\jaime.benazar\Quorum Business Solutions\Ecopetrol Prometeo - Documents\Planning Space Implementation\3. Analysis &amp; Design\Design\FC22\DRR Jaime\Neiva CPI\[DINA TERCIARIOS_CF_SEC_New_27-Mar-2024.xlsx]D-PDP'!$CA$43</t>
  </si>
  <si>
    <t>='C:\Users\jaime.benazar\Quorum Business Solutions\Ecopetrol Prometeo - Documents\Planning Space Implementation\3. Analysis &amp; Design\Design\FC22\DRR Jaime\Neiva CPI\[DINA TERCIARIOS_CF_SEC_New_27-Mar-2024.xlsx]D-PDP'!$CA$44</t>
  </si>
  <si>
    <t>='C:\Users\jaime.benazar\Quorum Business Solutions\Ecopetrol Prometeo - Documents\Planning Space Implementation\3. Analysis &amp; Design\Design\FC22\DRR Jaime\Neiva CPI\[DINA TERCIARIOS_CF_SEC_New_27-Mar-2024.xlsx]D-PDP'!$CA$45</t>
  </si>
  <si>
    <t>='C:\Users\jaime.benazar\Quorum Business Solutions\Ecopetrol Prometeo - Documents\Planning Space Implementation\3. Analysis &amp; Design\Design\FC22\DRR Jaime\Neiva CPI\[DINA TERCIARIOS_CF_SEC_New_27-Mar-2024.xlsx]D-PDP'!$CA$46</t>
  </si>
  <si>
    <t>='C:\Users\jaime.benazar\Quorum Business Solutions\Ecopetrol Prometeo - Documents\Planning Space Implementation\3. Analysis &amp; Design\Design\FC22\DRR Jaime\Neiva CPI\[DINA TERCIARIOS_CF_SEC_New_27-Mar-2024.xlsx]D-PDP'!$CA$47</t>
  </si>
  <si>
    <t>='C:\Users\jaime.benazar\Quorum Business Solutions\Ecopetrol Prometeo - Documents\Planning Space Implementation\3. Analysis &amp; Design\Design\FC22\DRR Jaime\Neiva CPI\[DINA TERCIARIOS_CF_SEC_New_27-Mar-2024.xlsx]D-PDP'!$CA$48</t>
  </si>
  <si>
    <t>='C:\Users\jaime.benazar\Quorum Business Solutions\Ecopetrol Prometeo - Documents\Planning Space Implementation\3. Analysis &amp; Design\Design\FC22\DRR Jaime\Neiva CPI\[DINA TERCIARIOS_CF_SEC_New_27-Mar-2024.xlsx]D-PNP'!$CA$12</t>
  </si>
  <si>
    <t>='C:\Users\jaime.benazar\Quorum Business Solutions\Ecopetrol Prometeo - Documents\Planning Space Implementation\3. Analysis &amp; Design\Design\FC22\DRR Jaime\Neiva CPI\[DINA TERCIARIOS_CF_SEC_New_27-Mar-2024.xlsx]D-PNP'!$CA$13</t>
  </si>
  <si>
    <t>='C:\Users\jaime.benazar\Quorum Business Solutions\Ecopetrol Prometeo - Documents\Planning Space Implementation\3. Analysis &amp; Design\Design\FC22\DRR Jaime\Neiva CPI\[DINA TERCIARIOS_CF_SEC_New_27-Mar-2024.xlsx]D-PNP'!$CA$14</t>
  </si>
  <si>
    <t>='C:\Users\jaime.benazar\Quorum Business Solutions\Ecopetrol Prometeo - Documents\Planning Space Implementation\3. Analysis &amp; Design\Design\FC22\DRR Jaime\Neiva CPI\[DINA TERCIARIOS_CF_SEC_New_27-Mar-2024.xlsx]D-PNP'!$CA$15</t>
  </si>
  <si>
    <t>='C:\Users\jaime.benazar\Quorum Business Solutions\Ecopetrol Prometeo - Documents\Planning Space Implementation\3. Analysis &amp; Design\Design\FC22\DRR Jaime\Neiva CPI\[DINA TERCIARIOS_CF_SEC_New_27-Mar-2024.xlsx]D-PNP'!$CA$16</t>
  </si>
  <si>
    <t>='C:\Users\jaime.benazar\Quorum Business Solutions\Ecopetrol Prometeo - Documents\Planning Space Implementation\3. Analysis &amp; Design\Design\FC22\DRR Jaime\Neiva CPI\[DINA TERCIARIOS_CF_SEC_New_27-Mar-2024.xlsx]D-PNP'!$CA$17</t>
  </si>
  <si>
    <t>='C:\Users\jaime.benazar\Quorum Business Solutions\Ecopetrol Prometeo - Documents\Planning Space Implementation\3. Analysis &amp; Design\Design\FC22\DRR Jaime\Neiva CPI\[DINA TERCIARIOS_CF_SEC_New_27-Mar-2024.xlsx]D-PNP'!$CA$18</t>
  </si>
  <si>
    <t>='C:\Users\jaime.benazar\Quorum Business Solutions\Ecopetrol Prometeo - Documents\Planning Space Implementation\3. Analysis &amp; Design\Design\FC22\DRR Jaime\Neiva CPI\[DINA TERCIARIOS_CF_SEC_New_27-Mar-2024.xlsx]D-PNP'!$CA$19</t>
  </si>
  <si>
    <t>='C:\Users\jaime.benazar\Quorum Business Solutions\Ecopetrol Prometeo - Documents\Planning Space Implementation\3. Analysis &amp; Design\Design\FC22\DRR Jaime\Neiva CPI\[DINA TERCIARIOS_CF_SEC_New_27-Mar-2024.xlsx]D-PNP'!$CA$20</t>
  </si>
  <si>
    <t>='C:\Users\jaime.benazar\Quorum Business Solutions\Ecopetrol Prometeo - Documents\Planning Space Implementation\3. Analysis &amp; Design\Design\FC22\DRR Jaime\Neiva CPI\[DINA TERCIARIOS_CF_SEC_New_27-Mar-2024.xlsx]D-PNP'!$CA$21</t>
  </si>
  <si>
    <t>='C:\Users\jaime.benazar\Quorum Business Solutions\Ecopetrol Prometeo - Documents\Planning Space Implementation\3. Analysis &amp; Design\Design\FC22\DRR Jaime\Neiva CPI\[DINA TERCIARIOS_CF_SEC_New_27-Mar-2024.xlsx]D-PNP'!$CA$22</t>
  </si>
  <si>
    <t>='C:\Users\jaime.benazar\Quorum Business Solutions\Ecopetrol Prometeo - Documents\Planning Space Implementation\3. Analysis &amp; Design\Design\FC22\DRR Jaime\Neiva CPI\[DINA TERCIARIOS_CF_SEC_New_27-Mar-2024.xlsx]D-PNP'!$CA$23</t>
  </si>
  <si>
    <t>='C:\Users\jaime.benazar\Quorum Business Solutions\Ecopetrol Prometeo - Documents\Planning Space Implementation\3. Analysis &amp; Design\Design\FC22\DRR Jaime\Neiva CPI\[DINA TERCIARIOS_CF_SEC_New_27-Mar-2024.xlsx]D-PNP'!$CA$24</t>
  </si>
  <si>
    <t>='C:\Users\jaime.benazar\Quorum Business Solutions\Ecopetrol Prometeo - Documents\Planning Space Implementation\3. Analysis &amp; Design\Design\FC22\DRR Jaime\Neiva CPI\[DINA TERCIARIOS_CF_SEC_New_27-Mar-2024.xlsx]D-PNP'!$CA$25</t>
  </si>
  <si>
    <t>='C:\Users\jaime.benazar\Quorum Business Solutions\Ecopetrol Prometeo - Documents\Planning Space Implementation\3. Analysis &amp; Design\Design\FC22\DRR Jaime\Neiva CPI\[DINA TERCIARIOS_CF_SEC_New_27-Mar-2024.xlsx]D-PNP'!$CA$26</t>
  </si>
  <si>
    <t>='C:\Users\jaime.benazar\Quorum Business Solutions\Ecopetrol Prometeo - Documents\Planning Space Implementation\3. Analysis &amp; Design\Design\FC22\DRR Jaime\Neiva CPI\[DINA TERCIARIOS_CF_SEC_New_27-Mar-2024.xlsx]D-PNP'!$CA$27</t>
  </si>
  <si>
    <t>='C:\Users\jaime.benazar\Quorum Business Solutions\Ecopetrol Prometeo - Documents\Planning Space Implementation\3. Analysis &amp; Design\Design\FC22\DRR Jaime\Neiva CPI\[DINA TERCIARIOS_CF_SEC_New_27-Mar-2024.xlsx]D-PNP'!$CA$28</t>
  </si>
  <si>
    <t>='C:\Users\jaime.benazar\Quorum Business Solutions\Ecopetrol Prometeo - Documents\Planning Space Implementation\3. Analysis &amp; Design\Design\FC22\DRR Jaime\Neiva CPI\[DINA TERCIARIOS_CF_SEC_New_27-Mar-2024.xlsx]D-PNP'!$CA$29</t>
  </si>
  <si>
    <t>='C:\Users\jaime.benazar\Quorum Business Solutions\Ecopetrol Prometeo - Documents\Planning Space Implementation\3. Analysis &amp; Design\Design\FC22\DRR Jaime\Neiva CPI\[DINA TERCIARIOS_CF_SEC_New_27-Mar-2024.xlsx]D-PNP'!$CA$30</t>
  </si>
  <si>
    <t>='C:\Users\jaime.benazar\Quorum Business Solutions\Ecopetrol Prometeo - Documents\Planning Space Implementation\3. Analysis &amp; Design\Design\FC22\DRR Jaime\Neiva CPI\[DINA TERCIARIOS_CF_SEC_New_27-Mar-2024.xlsx]D-PNP'!$CA$31</t>
  </si>
  <si>
    <t>='C:\Users\jaime.benazar\Quorum Business Solutions\Ecopetrol Prometeo - Documents\Planning Space Implementation\3. Analysis &amp; Design\Design\FC22\DRR Jaime\Neiva CPI\[DINA TERCIARIOS_CF_SEC_New_27-Mar-2024.xlsx]D-PNP'!$CA$32</t>
  </si>
  <si>
    <t>='C:\Users\jaime.benazar\Quorum Business Solutions\Ecopetrol Prometeo - Documents\Planning Space Implementation\3. Analysis &amp; Design\Design\FC22\DRR Jaime\Neiva CPI\[DINA TERCIARIOS_CF_SEC_New_27-Mar-2024.xlsx]D-PNP'!$CA$33</t>
  </si>
  <si>
    <t>='C:\Users\jaime.benazar\Quorum Business Solutions\Ecopetrol Prometeo - Documents\Planning Space Implementation\3. Analysis &amp; Design\Design\FC22\DRR Jaime\Neiva CPI\[DINA TERCIARIOS_CF_SEC_New_27-Mar-2024.xlsx]D-PNP'!$CA$34</t>
  </si>
  <si>
    <t>='C:\Users\jaime.benazar\Quorum Business Solutions\Ecopetrol Prometeo - Documents\Planning Space Implementation\3. Analysis &amp; Design\Design\FC22\DRR Jaime\Neiva CPI\[DINA TERCIARIOS_CF_SEC_New_27-Mar-2024.xlsx]D-PNP'!$CA$35</t>
  </si>
  <si>
    <t>='C:\Users\jaime.benazar\Quorum Business Solutions\Ecopetrol Prometeo - Documents\Planning Space Implementation\3. Analysis &amp; Design\Design\FC22\DRR Jaime\Neiva CPI\[DINA TERCIARIOS_CF_SEC_New_27-Mar-2024.xlsx]D-PNP'!$CA$36</t>
  </si>
  <si>
    <t>='C:\Users\jaime.benazar\Quorum Business Solutions\Ecopetrol Prometeo - Documents\Planning Space Implementation\3. Analysis &amp; Design\Design\FC22\DRR Jaime\Neiva CPI\[DINA TERCIARIOS_CF_SEC_New_27-Mar-2024.xlsx]D-PNP'!$CA$37</t>
  </si>
  <si>
    <t>='C:\Users\jaime.benazar\Quorum Business Solutions\Ecopetrol Prometeo - Documents\Planning Space Implementation\3. Analysis &amp; Design\Design\FC22\DRR Jaime\Neiva CPI\[DINA TERCIARIOS_CF_SEC_New_27-Mar-2024.xlsx]D-PNP'!$CA$38</t>
  </si>
  <si>
    <t>='C:\Users\jaime.benazar\Quorum Business Solutions\Ecopetrol Prometeo - Documents\Planning Space Implementation\3. Analysis &amp; Design\Design\FC22\DRR Jaime\Neiva CPI\[DINA TERCIARIOS_CF_SEC_New_27-Mar-2024.xlsx]D-PNP'!$CA$39</t>
  </si>
  <si>
    <t>='C:\Users\jaime.benazar\Quorum Business Solutions\Ecopetrol Prometeo - Documents\Planning Space Implementation\3. Analysis &amp; Design\Design\FC22\DRR Jaime\Neiva CPI\[DINA TERCIARIOS_CF_SEC_New_27-Mar-2024.xlsx]D-PNP'!$CA$40</t>
  </si>
  <si>
    <t>='C:\Users\jaime.benazar\Quorum Business Solutions\Ecopetrol Prometeo - Documents\Planning Space Implementation\3. Analysis &amp; Design\Design\FC22\DRR Jaime\Neiva CPI\[DINA TERCIARIOS_CF_SEC_New_27-Mar-2024.xlsx]D-PNP'!$CA$41</t>
  </si>
  <si>
    <t>='C:\Users\jaime.benazar\Quorum Business Solutions\Ecopetrol Prometeo - Documents\Planning Space Implementation\3. Analysis &amp; Design\Design\FC22\DRR Jaime\Neiva CPI\[DINA TERCIARIOS_CF_SEC_New_27-Mar-2024.xlsx]D-PNP'!$CA$42</t>
  </si>
  <si>
    <t>='C:\Users\jaime.benazar\Quorum Business Solutions\Ecopetrol Prometeo - Documents\Planning Space Implementation\3. Analysis &amp; Design\Design\FC22\DRR Jaime\Neiva CPI\[DINA TERCIARIOS_CF_SEC_New_27-Mar-2024.xlsx]D-PNP'!$CA$43</t>
  </si>
  <si>
    <t>='C:\Users\jaime.benazar\Quorum Business Solutions\Ecopetrol Prometeo - Documents\Planning Space Implementation\3. Analysis &amp; Design\Design\FC22\DRR Jaime\Neiva CPI\[DINA TERCIARIOS_CF_SEC_New_27-Mar-2024.xlsx]D-PNP'!$CA$44</t>
  </si>
  <si>
    <t>='C:\Users\jaime.benazar\Quorum Business Solutions\Ecopetrol Prometeo - Documents\Planning Space Implementation\3. Analysis &amp; Design\Design\FC22\DRR Jaime\Neiva CPI\[DINA TERCIARIOS_CF_SEC_New_27-Mar-2024.xlsx]D-PNP'!$CA$45</t>
  </si>
  <si>
    <t>='C:\Users\jaime.benazar\Quorum Business Solutions\Ecopetrol Prometeo - Documents\Planning Space Implementation\3. Analysis &amp; Design\Design\FC22\DRR Jaime\Neiva CPI\[DINA TERCIARIOS_CF_SEC_New_27-Mar-2024.xlsx]D-PNP'!$CA$46</t>
  </si>
  <si>
    <t>='C:\Users\jaime.benazar\Quorum Business Solutions\Ecopetrol Prometeo - Documents\Planning Space Implementation\3. Analysis &amp; Design\Design\FC22\DRR Jaime\Neiva CPI\[DINA TERCIARIOS_CF_SEC_New_27-Mar-2024.xlsx]D-PNP'!$CA$47</t>
  </si>
  <si>
    <t>='C:\Users\jaime.benazar\Quorum Business Solutions\Ecopetrol Prometeo - Documents\Planning Space Implementation\3. Analysis &amp; Design\Design\FC22\DRR Jaime\Neiva CPI\[DINA TERCIARIOS_CF_SEC_New_27-Mar-2024.xlsx]D-PNP'!$CA$48</t>
  </si>
  <si>
    <t>='C:\Users\jaime.benazar\Quorum Business Solutions\Ecopetrol Prometeo - Documents\Planning Space Implementation\3. Analysis &amp; Design\Design\FC22\DRR Jaime\Neiva CPI\[DINA TERCIARIOS_CF_SEC_New_27-Mar-2024.xlsx]D-PND'!$CA$12</t>
  </si>
  <si>
    <t>='C:\Users\jaime.benazar\Quorum Business Solutions\Ecopetrol Prometeo - Documents\Planning Space Implementation\3. Analysis &amp; Design\Design\FC22\DRR Jaime\Neiva CPI\[DINA TERCIARIOS_CF_SEC_New_27-Mar-2024.xlsx]D-PND'!$CA$13</t>
  </si>
  <si>
    <t>='C:\Users\jaime.benazar\Quorum Business Solutions\Ecopetrol Prometeo - Documents\Planning Space Implementation\3. Analysis &amp; Design\Design\FC22\DRR Jaime\Neiva CPI\[DINA TERCIARIOS_CF_SEC_New_27-Mar-2024.xlsx]D-PND'!$CA$14</t>
  </si>
  <si>
    <t>='C:\Users\jaime.benazar\Quorum Business Solutions\Ecopetrol Prometeo - Documents\Planning Space Implementation\3. Analysis &amp; Design\Design\FC22\DRR Jaime\Neiva CPI\[DINA TERCIARIOS_CF_SEC_New_27-Mar-2024.xlsx]D-PND'!$CA$15</t>
  </si>
  <si>
    <t>='C:\Users\jaime.benazar\Quorum Business Solutions\Ecopetrol Prometeo - Documents\Planning Space Implementation\3. Analysis &amp; Design\Design\FC22\DRR Jaime\Neiva CPI\[DINA TERCIARIOS_CF_SEC_New_27-Mar-2024.xlsx]D-PND'!$CA$16</t>
  </si>
  <si>
    <t>='C:\Users\jaime.benazar\Quorum Business Solutions\Ecopetrol Prometeo - Documents\Planning Space Implementation\3. Analysis &amp; Design\Design\FC22\DRR Jaime\Neiva CPI\[DINA TERCIARIOS_CF_SEC_New_27-Mar-2024.xlsx]D-PND'!$CA$17</t>
  </si>
  <si>
    <t>='C:\Users\jaime.benazar\Quorum Business Solutions\Ecopetrol Prometeo - Documents\Planning Space Implementation\3. Analysis &amp; Design\Design\FC22\DRR Jaime\Neiva CPI\[DINA TERCIARIOS_CF_SEC_New_27-Mar-2024.xlsx]D-PND'!$CA$18</t>
  </si>
  <si>
    <t>='C:\Users\jaime.benazar\Quorum Business Solutions\Ecopetrol Prometeo - Documents\Planning Space Implementation\3. Analysis &amp; Design\Design\FC22\DRR Jaime\Neiva CPI\[DINA TERCIARIOS_CF_SEC_New_27-Mar-2024.xlsx]D-PND'!$CA$19</t>
  </si>
  <si>
    <t>='C:\Users\jaime.benazar\Quorum Business Solutions\Ecopetrol Prometeo - Documents\Planning Space Implementation\3. Analysis &amp; Design\Design\FC22\DRR Jaime\Neiva CPI\[DINA TERCIARIOS_CF_SEC_New_27-Mar-2024.xlsx]D-PND'!$CA$20</t>
  </si>
  <si>
    <t>='C:\Users\jaime.benazar\Quorum Business Solutions\Ecopetrol Prometeo - Documents\Planning Space Implementation\3. Analysis &amp; Design\Design\FC22\DRR Jaime\Neiva CPI\[DINA TERCIARIOS_CF_SEC_New_27-Mar-2024.xlsx]D-PND'!$CA$21</t>
  </si>
  <si>
    <t>='C:\Users\jaime.benazar\Quorum Business Solutions\Ecopetrol Prometeo - Documents\Planning Space Implementation\3. Analysis &amp; Design\Design\FC22\DRR Jaime\Neiva CPI\[DINA TERCIARIOS_CF_SEC_New_27-Mar-2024.xlsx]D-PND'!$CA$22</t>
  </si>
  <si>
    <t>='C:\Users\jaime.benazar\Quorum Business Solutions\Ecopetrol Prometeo - Documents\Planning Space Implementation\3. Analysis &amp; Design\Design\FC22\DRR Jaime\Neiva CPI\[DINA TERCIARIOS_CF_SEC_New_27-Mar-2024.xlsx]D-PND'!$CA$23</t>
  </si>
  <si>
    <t>='C:\Users\jaime.benazar\Quorum Business Solutions\Ecopetrol Prometeo - Documents\Planning Space Implementation\3. Analysis &amp; Design\Design\FC22\DRR Jaime\Neiva CPI\[DINA TERCIARIOS_CF_SEC_New_27-Mar-2024.xlsx]D-PND'!$CA$24</t>
  </si>
  <si>
    <t>='C:\Users\jaime.benazar\Quorum Business Solutions\Ecopetrol Prometeo - Documents\Planning Space Implementation\3. Analysis &amp; Design\Design\FC22\DRR Jaime\Neiva CPI\[DINA TERCIARIOS_CF_SEC_New_27-Mar-2024.xlsx]D-PND'!$CA$25</t>
  </si>
  <si>
    <t>='C:\Users\jaime.benazar\Quorum Business Solutions\Ecopetrol Prometeo - Documents\Planning Space Implementation\3. Analysis &amp; Design\Design\FC22\DRR Jaime\Neiva CPI\[DINA TERCIARIOS_CF_SEC_New_27-Mar-2024.xlsx]D-PND'!$CA$26</t>
  </si>
  <si>
    <t>='C:\Users\jaime.benazar\Quorum Business Solutions\Ecopetrol Prometeo - Documents\Planning Space Implementation\3. Analysis &amp; Design\Design\FC22\DRR Jaime\Neiva CPI\[DINA TERCIARIOS_CF_SEC_New_27-Mar-2024.xlsx]D-PND'!$CA$27</t>
  </si>
  <si>
    <t>='C:\Users\jaime.benazar\Quorum Business Solutions\Ecopetrol Prometeo - Documents\Planning Space Implementation\3. Analysis &amp; Design\Design\FC22\DRR Jaime\Neiva CPI\[DINA TERCIARIOS_CF_SEC_New_27-Mar-2024.xlsx]D-PND'!$CA$28</t>
  </si>
  <si>
    <t>='C:\Users\jaime.benazar\Quorum Business Solutions\Ecopetrol Prometeo - Documents\Planning Space Implementation\3. Analysis &amp; Design\Design\FC22\DRR Jaime\Neiva CPI\[DINA TERCIARIOS_CF_SEC_New_27-Mar-2024.xlsx]D-PND'!$CA$29</t>
  </si>
  <si>
    <t>='C:\Users\jaime.benazar\Quorum Business Solutions\Ecopetrol Prometeo - Documents\Planning Space Implementation\3. Analysis &amp; Design\Design\FC22\DRR Jaime\Neiva CPI\[DINA TERCIARIOS_CF_SEC_New_27-Mar-2024.xlsx]D-PND'!$CA$30</t>
  </si>
  <si>
    <t>='C:\Users\jaime.benazar\Quorum Business Solutions\Ecopetrol Prometeo - Documents\Planning Space Implementation\3. Analysis &amp; Design\Design\FC22\DRR Jaime\Neiva CPI\[DINA TERCIARIOS_CF_SEC_New_27-Mar-2024.xlsx]D-PND'!$CA$31</t>
  </si>
  <si>
    <t>='C:\Users\jaime.benazar\Quorum Business Solutions\Ecopetrol Prometeo - Documents\Planning Space Implementation\3. Analysis &amp; Design\Design\FC22\DRR Jaime\Neiva CPI\[DINA TERCIARIOS_CF_SEC_New_27-Mar-2024.xlsx]D-PND'!$CA$32</t>
  </si>
  <si>
    <t>='C:\Users\jaime.benazar\Quorum Business Solutions\Ecopetrol Prometeo - Documents\Planning Space Implementation\3. Analysis &amp; Design\Design\FC22\DRR Jaime\Neiva CPI\[DINA TERCIARIOS_CF_SEC_New_27-Mar-2024.xlsx]D-PND'!$CA$33</t>
  </si>
  <si>
    <t>='C:\Users\jaime.benazar\Quorum Business Solutions\Ecopetrol Prometeo - Documents\Planning Space Implementation\3. Analysis &amp; Design\Design\FC22\DRR Jaime\Neiva CPI\[DINA TERCIARIOS_CF_SEC_New_27-Mar-2024.xlsx]D-PND'!$CA$34</t>
  </si>
  <si>
    <t>='C:\Users\jaime.benazar\Quorum Business Solutions\Ecopetrol Prometeo - Documents\Planning Space Implementation\3. Analysis &amp; Design\Design\FC22\DRR Jaime\Neiva CPI\[DINA TERCIARIOS_CF_SEC_New_27-Mar-2024.xlsx]D-PND'!$CA$35</t>
  </si>
  <si>
    <t>='C:\Users\jaime.benazar\Quorum Business Solutions\Ecopetrol Prometeo - Documents\Planning Space Implementation\3. Analysis &amp; Design\Design\FC22\DRR Jaime\Neiva CPI\[DINA TERCIARIOS_CF_SEC_New_27-Mar-2024.xlsx]D-PND'!$CA$36</t>
  </si>
  <si>
    <t>='C:\Users\jaime.benazar\Quorum Business Solutions\Ecopetrol Prometeo - Documents\Planning Space Implementation\3. Analysis &amp; Design\Design\FC22\DRR Jaime\Neiva CPI\[DINA TERCIARIOS_CF_SEC_New_27-Mar-2024.xlsx]D-PND'!$CA$37</t>
  </si>
  <si>
    <t>='C:\Users\jaime.benazar\Quorum Business Solutions\Ecopetrol Prometeo - Documents\Planning Space Implementation\3. Analysis &amp; Design\Design\FC22\DRR Jaime\Neiva CPI\[DINA TERCIARIOS_CF_SEC_New_27-Mar-2024.xlsx]D-PND'!$CA$38</t>
  </si>
  <si>
    <t>='C:\Users\jaime.benazar\Quorum Business Solutions\Ecopetrol Prometeo - Documents\Planning Space Implementation\3. Analysis &amp; Design\Design\FC22\DRR Jaime\Neiva CPI\[DINA TERCIARIOS_CF_SEC_New_27-Mar-2024.xlsx]D-PND'!$CA$39</t>
  </si>
  <si>
    <t>='C:\Users\jaime.benazar\Quorum Business Solutions\Ecopetrol Prometeo - Documents\Planning Space Implementation\3. Analysis &amp; Design\Design\FC22\DRR Jaime\Neiva CPI\[DINA TERCIARIOS_CF_SEC_New_27-Mar-2024.xlsx]D-PND'!$CA$40</t>
  </si>
  <si>
    <t>='C:\Users\jaime.benazar\Quorum Business Solutions\Ecopetrol Prometeo - Documents\Planning Space Implementation\3. Analysis &amp; Design\Design\FC22\DRR Jaime\Neiva CPI\[DINA TERCIARIOS_CF_SEC_New_27-Mar-2024.xlsx]D-PND'!$CA$41</t>
  </si>
  <si>
    <t>='C:\Users\jaime.benazar\Quorum Business Solutions\Ecopetrol Prometeo - Documents\Planning Space Implementation\3. Analysis &amp; Design\Design\FC22\DRR Jaime\Neiva CPI\[DINA TERCIARIOS_CF_SEC_New_27-Mar-2024.xlsx]D-PND'!$CA$42</t>
  </si>
  <si>
    <t>='C:\Users\jaime.benazar\Quorum Business Solutions\Ecopetrol Prometeo - Documents\Planning Space Implementation\3. Analysis &amp; Design\Design\FC22\DRR Jaime\Neiva CPI\[DINA TERCIARIOS_CF_SEC_New_27-Mar-2024.xlsx]D-PND'!$CA$43</t>
  </si>
  <si>
    <t>='C:\Users\jaime.benazar\Quorum Business Solutions\Ecopetrol Prometeo - Documents\Planning Space Implementation\3. Analysis &amp; Design\Design\FC22\DRR Jaime\Neiva CPI\[DINA TERCIARIOS_CF_SEC_New_27-Mar-2024.xlsx]D-PND'!$CA$44</t>
  </si>
  <si>
    <t>='C:\Users\jaime.benazar\Quorum Business Solutions\Ecopetrol Prometeo - Documents\Planning Space Implementation\3. Analysis &amp; Design\Design\FC22\DRR Jaime\Neiva CPI\[DINA TERCIARIOS_CF_SEC_New_27-Mar-2024.xlsx]D-PND'!$CA$45</t>
  </si>
  <si>
    <t>='C:\Users\jaime.benazar\Quorum Business Solutions\Ecopetrol Prometeo - Documents\Planning Space Implementation\3. Analysis &amp; Design\Design\FC22\DRR Jaime\Neiva CPI\[DINA TERCIARIOS_CF_SEC_New_27-Mar-2024.xlsx]D-PND'!$CA$46</t>
  </si>
  <si>
    <t>='C:\Users\jaime.benazar\Quorum Business Solutions\Ecopetrol Prometeo - Documents\Planning Space Implementation\3. Analysis &amp; Design\Design\FC22\DRR Jaime\Neiva CPI\[DINA TERCIARIOS_CF_SEC_New_27-Mar-2024.xlsx]D-PND'!$CA$47</t>
  </si>
  <si>
    <t>='C:\Users\jaime.benazar\Quorum Business Solutions\Ecopetrol Prometeo - Documents\Planning Space Implementation\3. Analysis &amp; Design\Design\FC22\DRR Jaime\Neiva CPI\[DINA TERCIARIOS_CF_SEC_New_27-Mar-2024.xlsx]D-PND'!$CA$48</t>
  </si>
  <si>
    <t>='C:\Users\jaime.benazar\Quorum Business Solutions\Ecopetrol Prometeo - Documents\Planning Space Implementation\3. Analysis &amp; Design\Design\FC22\DRR Jaime\Neiva CPI\[DINA TERCIARIOS_CF_SEC_New_27-Mar-2024.xlsx]D-PRB'!$CA$12</t>
  </si>
  <si>
    <t>='C:\Users\jaime.benazar\Quorum Business Solutions\Ecopetrol Prometeo - Documents\Planning Space Implementation\3. Analysis &amp; Design\Design\FC22\DRR Jaime\Neiva CPI\[DINA TERCIARIOS_CF_SEC_New_27-Mar-2024.xlsx]D-PRB'!$CA$13</t>
  </si>
  <si>
    <t>='C:\Users\jaime.benazar\Quorum Business Solutions\Ecopetrol Prometeo - Documents\Planning Space Implementation\3. Analysis &amp; Design\Design\FC22\DRR Jaime\Neiva CPI\[DINA TERCIARIOS_CF_SEC_New_27-Mar-2024.xlsx]D-PRB'!$CA$14</t>
  </si>
  <si>
    <t>='C:\Users\jaime.benazar\Quorum Business Solutions\Ecopetrol Prometeo - Documents\Planning Space Implementation\3. Analysis &amp; Design\Design\FC22\DRR Jaime\Neiva CPI\[DINA TERCIARIOS_CF_SEC_New_27-Mar-2024.xlsx]D-PRB'!$CA$15</t>
  </si>
  <si>
    <t>='C:\Users\jaime.benazar\Quorum Business Solutions\Ecopetrol Prometeo - Documents\Planning Space Implementation\3. Analysis &amp; Design\Design\FC22\DRR Jaime\Neiva CPI\[DINA TERCIARIOS_CF_SEC_New_27-Mar-2024.xlsx]D-PRB'!$CA$16</t>
  </si>
  <si>
    <t>='C:\Users\jaime.benazar\Quorum Business Solutions\Ecopetrol Prometeo - Documents\Planning Space Implementation\3. Analysis &amp; Design\Design\FC22\DRR Jaime\Neiva CPI\[DINA TERCIARIOS_CF_SEC_New_27-Mar-2024.xlsx]D-PRB'!$CA$17</t>
  </si>
  <si>
    <t>='C:\Users\jaime.benazar\Quorum Business Solutions\Ecopetrol Prometeo - Documents\Planning Space Implementation\3. Analysis &amp; Design\Design\FC22\DRR Jaime\Neiva CPI\[DINA TERCIARIOS_CF_SEC_New_27-Mar-2024.xlsx]D-PRB'!$CA$18</t>
  </si>
  <si>
    <t>='C:\Users\jaime.benazar\Quorum Business Solutions\Ecopetrol Prometeo - Documents\Planning Space Implementation\3. Analysis &amp; Design\Design\FC22\DRR Jaime\Neiva CPI\[DINA TERCIARIOS_CF_SEC_New_27-Mar-2024.xlsx]D-PRB'!$CA$19</t>
  </si>
  <si>
    <t>='C:\Users\jaime.benazar\Quorum Business Solutions\Ecopetrol Prometeo - Documents\Planning Space Implementation\3. Analysis &amp; Design\Design\FC22\DRR Jaime\Neiva CPI\[DINA TERCIARIOS_CF_SEC_New_27-Mar-2024.xlsx]D-PRB'!$CA$20</t>
  </si>
  <si>
    <t>='C:\Users\jaime.benazar\Quorum Business Solutions\Ecopetrol Prometeo - Documents\Planning Space Implementation\3. Analysis &amp; Design\Design\FC22\DRR Jaime\Neiva CPI\[DINA TERCIARIOS_CF_SEC_New_27-Mar-2024.xlsx]D-PRB'!$CA$21</t>
  </si>
  <si>
    <t>='C:\Users\jaime.benazar\Quorum Business Solutions\Ecopetrol Prometeo - Documents\Planning Space Implementation\3. Analysis &amp; Design\Design\FC22\DRR Jaime\Neiva CPI\[DINA TERCIARIOS_CF_SEC_New_27-Mar-2024.xlsx]D-PRB'!$CA$22</t>
  </si>
  <si>
    <t>='C:\Users\jaime.benazar\Quorum Business Solutions\Ecopetrol Prometeo - Documents\Planning Space Implementation\3. Analysis &amp; Design\Design\FC22\DRR Jaime\Neiva CPI\[DINA TERCIARIOS_CF_SEC_New_27-Mar-2024.xlsx]D-PRB'!$CA$23</t>
  </si>
  <si>
    <t>='C:\Users\jaime.benazar\Quorum Business Solutions\Ecopetrol Prometeo - Documents\Planning Space Implementation\3. Analysis &amp; Design\Design\FC22\DRR Jaime\Neiva CPI\[DINA TERCIARIOS_CF_SEC_New_27-Mar-2024.xlsx]D-PRB'!$CA$24</t>
  </si>
  <si>
    <t>='C:\Users\jaime.benazar\Quorum Business Solutions\Ecopetrol Prometeo - Documents\Planning Space Implementation\3. Analysis &amp; Design\Design\FC22\DRR Jaime\Neiva CPI\[DINA TERCIARIOS_CF_SEC_New_27-Mar-2024.xlsx]D-PRB'!$CA$25</t>
  </si>
  <si>
    <t>='C:\Users\jaime.benazar\Quorum Business Solutions\Ecopetrol Prometeo - Documents\Planning Space Implementation\3. Analysis &amp; Design\Design\FC22\DRR Jaime\Neiva CPI\[DINA TERCIARIOS_CF_SEC_New_27-Mar-2024.xlsx]D-PRB'!$CA$26</t>
  </si>
  <si>
    <t>='C:\Users\jaime.benazar\Quorum Business Solutions\Ecopetrol Prometeo - Documents\Planning Space Implementation\3. Analysis &amp; Design\Design\FC22\DRR Jaime\Neiva CPI\[DINA TERCIARIOS_CF_SEC_New_27-Mar-2024.xlsx]D-PRB'!$CA$27</t>
  </si>
  <si>
    <t>='C:\Users\jaime.benazar\Quorum Business Solutions\Ecopetrol Prometeo - Documents\Planning Space Implementation\3. Analysis &amp; Design\Design\FC22\DRR Jaime\Neiva CPI\[DINA TERCIARIOS_CF_SEC_New_27-Mar-2024.xlsx]D-PRB'!$CA$28</t>
  </si>
  <si>
    <t>='C:\Users\jaime.benazar\Quorum Business Solutions\Ecopetrol Prometeo - Documents\Planning Space Implementation\3. Analysis &amp; Design\Design\FC22\DRR Jaime\Neiva CPI\[DINA TERCIARIOS_CF_SEC_New_27-Mar-2024.xlsx]D-PRB'!$CA$29</t>
  </si>
  <si>
    <t>='C:\Users\jaime.benazar\Quorum Business Solutions\Ecopetrol Prometeo - Documents\Planning Space Implementation\3. Analysis &amp; Design\Design\FC22\DRR Jaime\Neiva CPI\[DINA TERCIARIOS_CF_SEC_New_27-Mar-2024.xlsx]D-PRB'!$CA$30</t>
  </si>
  <si>
    <t>='C:\Users\jaime.benazar\Quorum Business Solutions\Ecopetrol Prometeo - Documents\Planning Space Implementation\3. Analysis &amp; Design\Design\FC22\DRR Jaime\Neiva CPI\[DINA TERCIARIOS_CF_SEC_New_27-Mar-2024.xlsx]D-PRB'!$CA$31</t>
  </si>
  <si>
    <t>='C:\Users\jaime.benazar\Quorum Business Solutions\Ecopetrol Prometeo - Documents\Planning Space Implementation\3. Analysis &amp; Design\Design\FC22\DRR Jaime\Neiva CPI\[DINA TERCIARIOS_CF_SEC_New_27-Mar-2024.xlsx]D-PRB'!$CA$32</t>
  </si>
  <si>
    <t>='C:\Users\jaime.benazar\Quorum Business Solutions\Ecopetrol Prometeo - Documents\Planning Space Implementation\3. Analysis &amp; Design\Design\FC22\DRR Jaime\Neiva CPI\[DINA TERCIARIOS_CF_SEC_New_27-Mar-2024.xlsx]D-PRB'!$CA$33</t>
  </si>
  <si>
    <t>='C:\Users\jaime.benazar\Quorum Business Solutions\Ecopetrol Prometeo - Documents\Planning Space Implementation\3. Analysis &amp; Design\Design\FC22\DRR Jaime\Neiva CPI\[DINA TERCIARIOS_CF_SEC_New_27-Mar-2024.xlsx]D-PRB'!$CA$34</t>
  </si>
  <si>
    <t>='C:\Users\jaime.benazar\Quorum Business Solutions\Ecopetrol Prometeo - Documents\Planning Space Implementation\3. Analysis &amp; Design\Design\FC22\DRR Jaime\Neiva CPI\[DINA TERCIARIOS_CF_SEC_New_27-Mar-2024.xlsx]D-PRB'!$CA$35</t>
  </si>
  <si>
    <t>='C:\Users\jaime.benazar\Quorum Business Solutions\Ecopetrol Prometeo - Documents\Planning Space Implementation\3. Analysis &amp; Design\Design\FC22\DRR Jaime\Neiva CPI\[DINA TERCIARIOS_CF_SEC_New_27-Mar-2024.xlsx]D-PRB'!$CA$36</t>
  </si>
  <si>
    <t>='C:\Users\jaime.benazar\Quorum Business Solutions\Ecopetrol Prometeo - Documents\Planning Space Implementation\3. Analysis &amp; Design\Design\FC22\DRR Jaime\Neiva CPI\[DINA TERCIARIOS_CF_SEC_New_27-Mar-2024.xlsx]D-PRB'!$CA$37</t>
  </si>
  <si>
    <t>='C:\Users\jaime.benazar\Quorum Business Solutions\Ecopetrol Prometeo - Documents\Planning Space Implementation\3. Analysis &amp; Design\Design\FC22\DRR Jaime\Neiva CPI\[DINA TERCIARIOS_CF_SEC_New_27-Mar-2024.xlsx]D-PRB'!$CA$38</t>
  </si>
  <si>
    <t>='C:\Users\jaime.benazar\Quorum Business Solutions\Ecopetrol Prometeo - Documents\Planning Space Implementation\3. Analysis &amp; Design\Design\FC22\DRR Jaime\Neiva CPI\[DINA TERCIARIOS_CF_SEC_New_27-Mar-2024.xlsx]D-PRB'!$CA$39</t>
  </si>
  <si>
    <t>='C:\Users\jaime.benazar\Quorum Business Solutions\Ecopetrol Prometeo - Documents\Planning Space Implementation\3. Analysis &amp; Design\Design\FC22\DRR Jaime\Neiva CPI\[DINA TERCIARIOS_CF_SEC_New_27-Mar-2024.xlsx]D-PRB'!$CA$40</t>
  </si>
  <si>
    <t>='C:\Users\jaime.benazar\Quorum Business Solutions\Ecopetrol Prometeo - Documents\Planning Space Implementation\3. Analysis &amp; Design\Design\FC22\DRR Jaime\Neiva CPI\[DINA TERCIARIOS_CF_SEC_New_27-Mar-2024.xlsx]D-PRB'!$CA$41</t>
  </si>
  <si>
    <t>='C:\Users\jaime.benazar\Quorum Business Solutions\Ecopetrol Prometeo - Documents\Planning Space Implementation\3. Analysis &amp; Design\Design\FC22\DRR Jaime\Neiva CPI\[DINA TERCIARIOS_CF_SEC_New_27-Mar-2024.xlsx]D-PRB'!$CA$42</t>
  </si>
  <si>
    <t>='C:\Users\jaime.benazar\Quorum Business Solutions\Ecopetrol Prometeo - Documents\Planning Space Implementation\3. Analysis &amp; Design\Design\FC22\DRR Jaime\Neiva CPI\[DINA TERCIARIOS_CF_SEC_New_27-Mar-2024.xlsx]D-PRB'!$CA$43</t>
  </si>
  <si>
    <t>='C:\Users\jaime.benazar\Quorum Business Solutions\Ecopetrol Prometeo - Documents\Planning Space Implementation\3. Analysis &amp; Design\Design\FC22\DRR Jaime\Neiva CPI\[DINA TERCIARIOS_CF_SEC_New_27-Mar-2024.xlsx]D-PRB'!$CA$44</t>
  </si>
  <si>
    <t>='C:\Users\jaime.benazar\Quorum Business Solutions\Ecopetrol Prometeo - Documents\Planning Space Implementation\3. Analysis &amp; Design\Design\FC22\DRR Jaime\Neiva CPI\[DINA TERCIARIOS_CF_SEC_New_27-Mar-2024.xlsx]D-PRB'!$CA$45</t>
  </si>
  <si>
    <t>='C:\Users\jaime.benazar\Quorum Business Solutions\Ecopetrol Prometeo - Documents\Planning Space Implementation\3. Analysis &amp; Design\Design\FC22\DRR Jaime\Neiva CPI\[DINA TERCIARIOS_CF_SEC_New_27-Mar-2024.xlsx]D-PRB'!$CA$46</t>
  </si>
  <si>
    <t>='C:\Users\jaime.benazar\Quorum Business Solutions\Ecopetrol Prometeo - Documents\Planning Space Implementation\3. Analysis &amp; Design\Design\FC22\DRR Jaime\Neiva CPI\[DINA TERCIARIOS_CF_SEC_New_27-Mar-2024.xlsx]D-PRB'!$CA$47</t>
  </si>
  <si>
    <t>='C:\Users\jaime.benazar\Quorum Business Solutions\Ecopetrol Prometeo - Documents\Planning Space Implementation\3. Analysis &amp; Design\Design\FC22\DRR Jaime\Neiva CPI\[DINA TERCIARIOS_CF_SEC_New_27-Mar-2024.xlsx]D-PRB'!$CA$48</t>
  </si>
  <si>
    <t>='C:\Users\jaime.benazar\Quorum Business Solutions\Ecopetrol Prometeo - Documents\Planning Space Implementation\3. Analysis &amp; Design\Design\FC22\DRR Jaime\Neiva CPI\[DINA TERCIARIOS_CF_SEC_New_27-Mar-2024.xlsx]D-PS'!$CA$12</t>
  </si>
  <si>
    <t>='C:\Users\jaime.benazar\Quorum Business Solutions\Ecopetrol Prometeo - Documents\Planning Space Implementation\3. Analysis &amp; Design\Design\FC22\DRR Jaime\Neiva CPI\[DINA TERCIARIOS_CF_SEC_New_27-Mar-2024.xlsx]D-PS'!$CA$13</t>
  </si>
  <si>
    <t>='C:\Users\jaime.benazar\Quorum Business Solutions\Ecopetrol Prometeo - Documents\Planning Space Implementation\3. Analysis &amp; Design\Design\FC22\DRR Jaime\Neiva CPI\[DINA TERCIARIOS_CF_SEC_New_27-Mar-2024.xlsx]D-PS'!$CA$14</t>
  </si>
  <si>
    <t>='C:\Users\jaime.benazar\Quorum Business Solutions\Ecopetrol Prometeo - Documents\Planning Space Implementation\3. Analysis &amp; Design\Design\FC22\DRR Jaime\Neiva CPI\[DINA TERCIARIOS_CF_SEC_New_27-Mar-2024.xlsx]D-PS'!$CA$15</t>
  </si>
  <si>
    <t>='C:\Users\jaime.benazar\Quorum Business Solutions\Ecopetrol Prometeo - Documents\Planning Space Implementation\3. Analysis &amp; Design\Design\FC22\DRR Jaime\Neiva CPI\[DINA TERCIARIOS_CF_SEC_New_27-Mar-2024.xlsx]D-PS'!$CA$16</t>
  </si>
  <si>
    <t>='C:\Users\jaime.benazar\Quorum Business Solutions\Ecopetrol Prometeo - Documents\Planning Space Implementation\3. Analysis &amp; Design\Design\FC22\DRR Jaime\Neiva CPI\[DINA TERCIARIOS_CF_SEC_New_27-Mar-2024.xlsx]D-PS'!$CA$17</t>
  </si>
  <si>
    <t>='C:\Users\jaime.benazar\Quorum Business Solutions\Ecopetrol Prometeo - Documents\Planning Space Implementation\3. Analysis &amp; Design\Design\FC22\DRR Jaime\Neiva CPI\[DINA TERCIARIOS_CF_SEC_New_27-Mar-2024.xlsx]D-PS'!$CA$18</t>
  </si>
  <si>
    <t>='C:\Users\jaime.benazar\Quorum Business Solutions\Ecopetrol Prometeo - Documents\Planning Space Implementation\3. Analysis &amp; Design\Design\FC22\DRR Jaime\Neiva CPI\[DINA TERCIARIOS_CF_SEC_New_27-Mar-2024.xlsx]D-PS'!$CA$19</t>
  </si>
  <si>
    <t>='C:\Users\jaime.benazar\Quorum Business Solutions\Ecopetrol Prometeo - Documents\Planning Space Implementation\3. Analysis &amp; Design\Design\FC22\DRR Jaime\Neiva CPI\[DINA TERCIARIOS_CF_SEC_New_27-Mar-2024.xlsx]D-PS'!$CA$20</t>
  </si>
  <si>
    <t>='C:\Users\jaime.benazar\Quorum Business Solutions\Ecopetrol Prometeo - Documents\Planning Space Implementation\3. Analysis &amp; Design\Design\FC22\DRR Jaime\Neiva CPI\[DINA TERCIARIOS_CF_SEC_New_27-Mar-2024.xlsx]D-PS'!$CA$21</t>
  </si>
  <si>
    <t>='C:\Users\jaime.benazar\Quorum Business Solutions\Ecopetrol Prometeo - Documents\Planning Space Implementation\3. Analysis &amp; Design\Design\FC22\DRR Jaime\Neiva CPI\[DINA TERCIARIOS_CF_SEC_New_27-Mar-2024.xlsx]D-PS'!$CA$22</t>
  </si>
  <si>
    <t>='C:\Users\jaime.benazar\Quorum Business Solutions\Ecopetrol Prometeo - Documents\Planning Space Implementation\3. Analysis &amp; Design\Design\FC22\DRR Jaime\Neiva CPI\[DINA TERCIARIOS_CF_SEC_New_27-Mar-2024.xlsx]D-PS'!$CA$23</t>
  </si>
  <si>
    <t>='C:\Users\jaime.benazar\Quorum Business Solutions\Ecopetrol Prometeo - Documents\Planning Space Implementation\3. Analysis &amp; Design\Design\FC22\DRR Jaime\Neiva CPI\[DINA TERCIARIOS_CF_SEC_New_27-Mar-2024.xlsx]D-PS'!$CA$24</t>
  </si>
  <si>
    <t>='C:\Users\jaime.benazar\Quorum Business Solutions\Ecopetrol Prometeo - Documents\Planning Space Implementation\3. Analysis &amp; Design\Design\FC22\DRR Jaime\Neiva CPI\[DINA TERCIARIOS_CF_SEC_New_27-Mar-2024.xlsx]D-PS'!$CA$25</t>
  </si>
  <si>
    <t>='C:\Users\jaime.benazar\Quorum Business Solutions\Ecopetrol Prometeo - Documents\Planning Space Implementation\3. Analysis &amp; Design\Design\FC22\DRR Jaime\Neiva CPI\[DINA TERCIARIOS_CF_SEC_New_27-Mar-2024.xlsx]D-PS'!$CA$26</t>
  </si>
  <si>
    <t>='C:\Users\jaime.benazar\Quorum Business Solutions\Ecopetrol Prometeo - Documents\Planning Space Implementation\3. Analysis &amp; Design\Design\FC22\DRR Jaime\Neiva CPI\[DINA TERCIARIOS_CF_SEC_New_27-Mar-2024.xlsx]D-PS'!$CA$27</t>
  </si>
  <si>
    <t>='C:\Users\jaime.benazar\Quorum Business Solutions\Ecopetrol Prometeo - Documents\Planning Space Implementation\3. Analysis &amp; Design\Design\FC22\DRR Jaime\Neiva CPI\[DINA TERCIARIOS_CF_SEC_New_27-Mar-2024.xlsx]D-PS'!$CA$28</t>
  </si>
  <si>
    <t>='C:\Users\jaime.benazar\Quorum Business Solutions\Ecopetrol Prometeo - Documents\Planning Space Implementation\3. Analysis &amp; Design\Design\FC22\DRR Jaime\Neiva CPI\[DINA TERCIARIOS_CF_SEC_New_27-Mar-2024.xlsx]D-PS'!$CA$29</t>
  </si>
  <si>
    <t>='C:\Users\jaime.benazar\Quorum Business Solutions\Ecopetrol Prometeo - Documents\Planning Space Implementation\3. Analysis &amp; Design\Design\FC22\DRR Jaime\Neiva CPI\[DINA TERCIARIOS_CF_SEC_New_27-Mar-2024.xlsx]D-PS'!$CA$30</t>
  </si>
  <si>
    <t>='C:\Users\jaime.benazar\Quorum Business Solutions\Ecopetrol Prometeo - Documents\Planning Space Implementation\3. Analysis &amp; Design\Design\FC22\DRR Jaime\Neiva CPI\[DINA TERCIARIOS_CF_SEC_New_27-Mar-2024.xlsx]D-PS'!$CA$31</t>
  </si>
  <si>
    <t>='C:\Users\jaime.benazar\Quorum Business Solutions\Ecopetrol Prometeo - Documents\Planning Space Implementation\3. Analysis &amp; Design\Design\FC22\DRR Jaime\Neiva CPI\[DINA TERCIARIOS_CF_SEC_New_27-Mar-2024.xlsx]D-PS'!$CA$32</t>
  </si>
  <si>
    <t>='C:\Users\jaime.benazar\Quorum Business Solutions\Ecopetrol Prometeo - Documents\Planning Space Implementation\3. Analysis &amp; Design\Design\FC22\DRR Jaime\Neiva CPI\[DINA TERCIARIOS_CF_SEC_New_27-Mar-2024.xlsx]D-PS'!$CA$33</t>
  </si>
  <si>
    <t>='C:\Users\jaime.benazar\Quorum Business Solutions\Ecopetrol Prometeo - Documents\Planning Space Implementation\3. Analysis &amp; Design\Design\FC22\DRR Jaime\Neiva CPI\[DINA TERCIARIOS_CF_SEC_New_27-Mar-2024.xlsx]D-PS'!$CA$34</t>
  </si>
  <si>
    <t>='C:\Users\jaime.benazar\Quorum Business Solutions\Ecopetrol Prometeo - Documents\Planning Space Implementation\3. Analysis &amp; Design\Design\FC22\DRR Jaime\Neiva CPI\[DINA TERCIARIOS_CF_SEC_New_27-Mar-2024.xlsx]D-PS'!$CA$35</t>
  </si>
  <si>
    <t>='C:\Users\jaime.benazar\Quorum Business Solutions\Ecopetrol Prometeo - Documents\Planning Space Implementation\3. Analysis &amp; Design\Design\FC22\DRR Jaime\Neiva CPI\[DINA TERCIARIOS_CF_SEC_New_27-Mar-2024.xlsx]D-PS'!$CA$36</t>
  </si>
  <si>
    <t>='C:\Users\jaime.benazar\Quorum Business Solutions\Ecopetrol Prometeo - Documents\Planning Space Implementation\3. Analysis &amp; Design\Design\FC22\DRR Jaime\Neiva CPI\[DINA TERCIARIOS_CF_SEC_New_27-Mar-2024.xlsx]D-PS'!$CA$37</t>
  </si>
  <si>
    <t>='C:\Users\jaime.benazar\Quorum Business Solutions\Ecopetrol Prometeo - Documents\Planning Space Implementation\3. Analysis &amp; Design\Design\FC22\DRR Jaime\Neiva CPI\[DINA TERCIARIOS_CF_SEC_New_27-Mar-2024.xlsx]D-PS'!$CA$38</t>
  </si>
  <si>
    <t>='C:\Users\jaime.benazar\Quorum Business Solutions\Ecopetrol Prometeo - Documents\Planning Space Implementation\3. Analysis &amp; Design\Design\FC22\DRR Jaime\Neiva CPI\[DINA TERCIARIOS_CF_SEC_New_27-Mar-2024.xlsx]D-PS'!$CA$39</t>
  </si>
  <si>
    <t>='C:\Users\jaime.benazar\Quorum Business Solutions\Ecopetrol Prometeo - Documents\Planning Space Implementation\3. Analysis &amp; Design\Design\FC22\DRR Jaime\Neiva CPI\[DINA TERCIARIOS_CF_SEC_New_27-Mar-2024.xlsx]D-PS'!$CA$40</t>
  </si>
  <si>
    <t>='C:\Users\jaime.benazar\Quorum Business Solutions\Ecopetrol Prometeo - Documents\Planning Space Implementation\3. Analysis &amp; Design\Design\FC22\DRR Jaime\Neiva CPI\[DINA TERCIARIOS_CF_SEC_New_27-Mar-2024.xlsx]D-PS'!$CA$41</t>
  </si>
  <si>
    <t>='C:\Users\jaime.benazar\Quorum Business Solutions\Ecopetrol Prometeo - Documents\Planning Space Implementation\3. Analysis &amp; Design\Design\FC22\DRR Jaime\Neiva CPI\[DINA TERCIARIOS_CF_SEC_New_27-Mar-2024.xlsx]D-PS'!$CA$42</t>
  </si>
  <si>
    <t>='C:\Users\jaime.benazar\Quorum Business Solutions\Ecopetrol Prometeo - Documents\Planning Space Implementation\3. Analysis &amp; Design\Design\FC22\DRR Jaime\Neiva CPI\[DINA TERCIARIOS_CF_SEC_New_27-Mar-2024.xlsx]D-PS'!$CA$43</t>
  </si>
  <si>
    <t>='C:\Users\jaime.benazar\Quorum Business Solutions\Ecopetrol Prometeo - Documents\Planning Space Implementation\3. Analysis &amp; Design\Design\FC22\DRR Jaime\Neiva CPI\[DINA TERCIARIOS_CF_SEC_New_27-Mar-2024.xlsx]D-PS'!$CA$44</t>
  </si>
  <si>
    <t>='C:\Users\jaime.benazar\Quorum Business Solutions\Ecopetrol Prometeo - Documents\Planning Space Implementation\3. Analysis &amp; Design\Design\FC22\DRR Jaime\Neiva CPI\[DINA TERCIARIOS_CF_SEC_New_27-Mar-2024.xlsx]D-PS'!$CA$45</t>
  </si>
  <si>
    <t>='C:\Users\jaime.benazar\Quorum Business Solutions\Ecopetrol Prometeo - Documents\Planning Space Implementation\3. Analysis &amp; Design\Design\FC22\DRR Jaime\Neiva CPI\[DINA TERCIARIOS_CF_SEC_New_27-Mar-2024.xlsx]D-PS'!$CA$46</t>
  </si>
  <si>
    <t>='C:\Users\jaime.benazar\Quorum Business Solutions\Ecopetrol Prometeo - Documents\Planning Space Implementation\3. Analysis &amp; Design\Design\FC22\DRR Jaime\Neiva CPI\[DINA TERCIARIOS_CF_SEC_New_27-Mar-2024.xlsx]D-PS'!$CA$47</t>
  </si>
  <si>
    <t>='C:\Users\jaime.benazar\Quorum Business Solutions\Ecopetrol Prometeo - Documents\Planning Space Implementation\3. Analysis &amp; Design\Design\FC22\DRR Jaime\Neiva CPI\[DINA TERCIARIOS_CF_SEC_New_27-Mar-2024.xlsx]D-PS'!$CA$48</t>
  </si>
  <si>
    <t>='C:\Users\jaime.benazar\Quorum Business Solutions\Ecopetrol Prometeo - Documents\Planning Space Implementation\3. Analysis &amp; Design\Design\FC22\DRR Jaime\Neiva CPI\[DINA TERCIARIOS_CF_SEC_New_27-Mar-2024.xlsx]D-PDP'!$BX$12</t>
  </si>
  <si>
    <t>='C:\Users\jaime.benazar\Quorum Business Solutions\Ecopetrol Prometeo - Documents\Planning Space Implementation\3. Analysis &amp; Design\Design\FC22\DRR Jaime\Neiva CPI\[DINA TERCIARIOS_CF_SEC_New_27-Mar-2024.xlsx]D-PDP'!$BX$13</t>
  </si>
  <si>
    <t>='C:\Users\jaime.benazar\Quorum Business Solutions\Ecopetrol Prometeo - Documents\Planning Space Implementation\3. Analysis &amp; Design\Design\FC22\DRR Jaime\Neiva CPI\[DINA TERCIARIOS_CF_SEC_New_27-Mar-2024.xlsx]D-PDP'!$BX$14</t>
  </si>
  <si>
    <t>='C:\Users\jaime.benazar\Quorum Business Solutions\Ecopetrol Prometeo - Documents\Planning Space Implementation\3. Analysis &amp; Design\Design\FC22\DRR Jaime\Neiva CPI\[DINA TERCIARIOS_CF_SEC_New_27-Mar-2024.xlsx]D-PDP'!$BX$15</t>
  </si>
  <si>
    <t>='C:\Users\jaime.benazar\Quorum Business Solutions\Ecopetrol Prometeo - Documents\Planning Space Implementation\3. Analysis &amp; Design\Design\FC22\DRR Jaime\Neiva CPI\[DINA TERCIARIOS_CF_SEC_New_27-Mar-2024.xlsx]D-PDP'!$BX$16</t>
  </si>
  <si>
    <t>='C:\Users\jaime.benazar\Quorum Business Solutions\Ecopetrol Prometeo - Documents\Planning Space Implementation\3. Analysis &amp; Design\Design\FC22\DRR Jaime\Neiva CPI\[DINA TERCIARIOS_CF_SEC_New_27-Mar-2024.xlsx]D-PDP'!$BX$17</t>
  </si>
  <si>
    <t>='C:\Users\jaime.benazar\Quorum Business Solutions\Ecopetrol Prometeo - Documents\Planning Space Implementation\3. Analysis &amp; Design\Design\FC22\DRR Jaime\Neiva CPI\[DINA TERCIARIOS_CF_SEC_New_27-Mar-2024.xlsx]D-PDP'!$BX$18</t>
  </si>
  <si>
    <t>='C:\Users\jaime.benazar\Quorum Business Solutions\Ecopetrol Prometeo - Documents\Planning Space Implementation\3. Analysis &amp; Design\Design\FC22\DRR Jaime\Neiva CPI\[DINA TERCIARIOS_CF_SEC_New_27-Mar-2024.xlsx]D-PDP'!$BX$19</t>
  </si>
  <si>
    <t>='C:\Users\jaime.benazar\Quorum Business Solutions\Ecopetrol Prometeo - Documents\Planning Space Implementation\3. Analysis &amp; Design\Design\FC22\DRR Jaime\Neiva CPI\[DINA TERCIARIOS_CF_SEC_New_27-Mar-2024.xlsx]D-PDP'!$BX$20</t>
  </si>
  <si>
    <t>='C:\Users\jaime.benazar\Quorum Business Solutions\Ecopetrol Prometeo - Documents\Planning Space Implementation\3. Analysis &amp; Design\Design\FC22\DRR Jaime\Neiva CPI\[DINA TERCIARIOS_CF_SEC_New_27-Mar-2024.xlsx]D-PDP'!$BX$21</t>
  </si>
  <si>
    <t>='C:\Users\jaime.benazar\Quorum Business Solutions\Ecopetrol Prometeo - Documents\Planning Space Implementation\3. Analysis &amp; Design\Design\FC22\DRR Jaime\Neiva CPI\[DINA TERCIARIOS_CF_SEC_New_27-Mar-2024.xlsx]D-PDP'!$BX$22</t>
  </si>
  <si>
    <t>='C:\Users\jaime.benazar\Quorum Business Solutions\Ecopetrol Prometeo - Documents\Planning Space Implementation\3. Analysis &amp; Design\Design\FC22\DRR Jaime\Neiva CPI\[DINA TERCIARIOS_CF_SEC_New_27-Mar-2024.xlsx]D-PDP'!$BX$23</t>
  </si>
  <si>
    <t>='C:\Users\jaime.benazar\Quorum Business Solutions\Ecopetrol Prometeo - Documents\Planning Space Implementation\3. Analysis &amp; Design\Design\FC22\DRR Jaime\Neiva CPI\[DINA TERCIARIOS_CF_SEC_New_27-Mar-2024.xlsx]D-PDP'!$BX$24</t>
  </si>
  <si>
    <t>='C:\Users\jaime.benazar\Quorum Business Solutions\Ecopetrol Prometeo - Documents\Planning Space Implementation\3. Analysis &amp; Design\Design\FC22\DRR Jaime\Neiva CPI\[DINA TERCIARIOS_CF_SEC_New_27-Mar-2024.xlsx]D-PDP'!$BX$25</t>
  </si>
  <si>
    <t>='C:\Users\jaime.benazar\Quorum Business Solutions\Ecopetrol Prometeo - Documents\Planning Space Implementation\3. Analysis &amp; Design\Design\FC22\DRR Jaime\Neiva CPI\[DINA TERCIARIOS_CF_SEC_New_27-Mar-2024.xlsx]D-PDP'!$BX$26</t>
  </si>
  <si>
    <t>='C:\Users\jaime.benazar\Quorum Business Solutions\Ecopetrol Prometeo - Documents\Planning Space Implementation\3. Analysis &amp; Design\Design\FC22\DRR Jaime\Neiva CPI\[DINA TERCIARIOS_CF_SEC_New_27-Mar-2024.xlsx]D-PDP'!$BX$27</t>
  </si>
  <si>
    <t>='C:\Users\jaime.benazar\Quorum Business Solutions\Ecopetrol Prometeo - Documents\Planning Space Implementation\3. Analysis &amp; Design\Design\FC22\DRR Jaime\Neiva CPI\[DINA TERCIARIOS_CF_SEC_New_27-Mar-2024.xlsx]D-PDP'!$BX$28</t>
  </si>
  <si>
    <t>='C:\Users\jaime.benazar\Quorum Business Solutions\Ecopetrol Prometeo - Documents\Planning Space Implementation\3. Analysis &amp; Design\Design\FC22\DRR Jaime\Neiva CPI\[DINA TERCIARIOS_CF_SEC_New_27-Mar-2024.xlsx]D-PDP'!$BX$29</t>
  </si>
  <si>
    <t>='C:\Users\jaime.benazar\Quorum Business Solutions\Ecopetrol Prometeo - Documents\Planning Space Implementation\3. Analysis &amp; Design\Design\FC22\DRR Jaime\Neiva CPI\[DINA TERCIARIOS_CF_SEC_New_27-Mar-2024.xlsx]D-PDP'!$BX$30</t>
  </si>
  <si>
    <t>='C:\Users\jaime.benazar\Quorum Business Solutions\Ecopetrol Prometeo - Documents\Planning Space Implementation\3. Analysis &amp; Design\Design\FC22\DRR Jaime\Neiva CPI\[DINA TERCIARIOS_CF_SEC_New_27-Mar-2024.xlsx]D-PDP'!$BX$31</t>
  </si>
  <si>
    <t>='C:\Users\jaime.benazar\Quorum Business Solutions\Ecopetrol Prometeo - Documents\Planning Space Implementation\3. Analysis &amp; Design\Design\FC22\DRR Jaime\Neiva CPI\[DINA TERCIARIOS_CF_SEC_New_27-Mar-2024.xlsx]D-PDP'!$BX$32</t>
  </si>
  <si>
    <t>='C:\Users\jaime.benazar\Quorum Business Solutions\Ecopetrol Prometeo - Documents\Planning Space Implementation\3. Analysis &amp; Design\Design\FC22\DRR Jaime\Neiva CPI\[DINA TERCIARIOS_CF_SEC_New_27-Mar-2024.xlsx]D-PDP'!$BX$33</t>
  </si>
  <si>
    <t>='C:\Users\jaime.benazar\Quorum Business Solutions\Ecopetrol Prometeo - Documents\Planning Space Implementation\3. Analysis &amp; Design\Design\FC22\DRR Jaime\Neiva CPI\[DINA TERCIARIOS_CF_SEC_New_27-Mar-2024.xlsx]D-PDP'!$BX$34</t>
  </si>
  <si>
    <t>='C:\Users\jaime.benazar\Quorum Business Solutions\Ecopetrol Prometeo - Documents\Planning Space Implementation\3. Analysis &amp; Design\Design\FC22\DRR Jaime\Neiva CPI\[DINA TERCIARIOS_CF_SEC_New_27-Mar-2024.xlsx]D-PDP'!$BX$35</t>
  </si>
  <si>
    <t>='C:\Users\jaime.benazar\Quorum Business Solutions\Ecopetrol Prometeo - Documents\Planning Space Implementation\3. Analysis &amp; Design\Design\FC22\DRR Jaime\Neiva CPI\[DINA TERCIARIOS_CF_SEC_New_27-Mar-2024.xlsx]D-PDP'!$BX$36</t>
  </si>
  <si>
    <t>='C:\Users\jaime.benazar\Quorum Business Solutions\Ecopetrol Prometeo - Documents\Planning Space Implementation\3. Analysis &amp; Design\Design\FC22\DRR Jaime\Neiva CPI\[DINA TERCIARIOS_CF_SEC_New_27-Mar-2024.xlsx]D-PDP'!$BX$37</t>
  </si>
  <si>
    <t>='C:\Users\jaime.benazar\Quorum Business Solutions\Ecopetrol Prometeo - Documents\Planning Space Implementation\3. Analysis &amp; Design\Design\FC22\DRR Jaime\Neiva CPI\[DINA TERCIARIOS_CF_SEC_New_27-Mar-2024.xlsx]D-PDP'!$BX$38</t>
  </si>
  <si>
    <t>='C:\Users\jaime.benazar\Quorum Business Solutions\Ecopetrol Prometeo - Documents\Planning Space Implementation\3. Analysis &amp; Design\Design\FC22\DRR Jaime\Neiva CPI\[DINA TERCIARIOS_CF_SEC_New_27-Mar-2024.xlsx]D-PDP'!$BX$39</t>
  </si>
  <si>
    <t>='C:\Users\jaime.benazar\Quorum Business Solutions\Ecopetrol Prometeo - Documents\Planning Space Implementation\3. Analysis &amp; Design\Design\FC22\DRR Jaime\Neiva CPI\[DINA TERCIARIOS_CF_SEC_New_27-Mar-2024.xlsx]D-PDP'!$BX$40</t>
  </si>
  <si>
    <t>='C:\Users\jaime.benazar\Quorum Business Solutions\Ecopetrol Prometeo - Documents\Planning Space Implementation\3. Analysis &amp; Design\Design\FC22\DRR Jaime\Neiva CPI\[DINA TERCIARIOS_CF_SEC_New_27-Mar-2024.xlsx]D-PDP'!$BX$41</t>
  </si>
  <si>
    <t>='C:\Users\jaime.benazar\Quorum Business Solutions\Ecopetrol Prometeo - Documents\Planning Space Implementation\3. Analysis &amp; Design\Design\FC22\DRR Jaime\Neiva CPI\[DINA TERCIARIOS_CF_SEC_New_27-Mar-2024.xlsx]D-PDP'!$BX$42</t>
  </si>
  <si>
    <t>='C:\Users\jaime.benazar\Quorum Business Solutions\Ecopetrol Prometeo - Documents\Planning Space Implementation\3. Analysis &amp; Design\Design\FC22\DRR Jaime\Neiva CPI\[DINA TERCIARIOS_CF_SEC_New_27-Mar-2024.xlsx]D-PDP'!$BX$43</t>
  </si>
  <si>
    <t>='C:\Users\jaime.benazar\Quorum Business Solutions\Ecopetrol Prometeo - Documents\Planning Space Implementation\3. Analysis &amp; Design\Design\FC22\DRR Jaime\Neiva CPI\[DINA TERCIARIOS_CF_SEC_New_27-Mar-2024.xlsx]D-PDP'!$BX$44</t>
  </si>
  <si>
    <t>='C:\Users\jaime.benazar\Quorum Business Solutions\Ecopetrol Prometeo - Documents\Planning Space Implementation\3. Analysis &amp; Design\Design\FC22\DRR Jaime\Neiva CPI\[DINA TERCIARIOS_CF_SEC_New_27-Mar-2024.xlsx]D-PDP'!$BX$45</t>
  </si>
  <si>
    <t>='C:\Users\jaime.benazar\Quorum Business Solutions\Ecopetrol Prometeo - Documents\Planning Space Implementation\3. Analysis &amp; Design\Design\FC22\DRR Jaime\Neiva CPI\[DINA TERCIARIOS_CF_SEC_New_27-Mar-2024.xlsx]D-PDP'!$BX$46</t>
  </si>
  <si>
    <t>='C:\Users\jaime.benazar\Quorum Business Solutions\Ecopetrol Prometeo - Documents\Planning Space Implementation\3. Analysis &amp; Design\Design\FC22\DRR Jaime\Neiva CPI\[DINA TERCIARIOS_CF_SEC_New_27-Mar-2024.xlsx]D-PDP'!$BX$47</t>
  </si>
  <si>
    <t>='C:\Users\jaime.benazar\Quorum Business Solutions\Ecopetrol Prometeo - Documents\Planning Space Implementation\3. Analysis &amp; Design\Design\FC22\DRR Jaime\Neiva CPI\[DINA TERCIARIOS_CF_SEC_New_27-Mar-2024.xlsx]D-PDP'!$BX$48</t>
  </si>
  <si>
    <t>='C:\Users\jaime.benazar\Quorum Business Solutions\Ecopetrol Prometeo - Documents\Planning Space Implementation\3. Analysis &amp; Design\Design\FC22\DRR Jaime\Neiva CPI\[DINA TERCIARIOS_CF_SEC_New_27-Mar-2024.xlsx]D-PNP'!$BX$12</t>
  </si>
  <si>
    <t>='C:\Users\jaime.benazar\Quorum Business Solutions\Ecopetrol Prometeo - Documents\Planning Space Implementation\3. Analysis &amp; Design\Design\FC22\DRR Jaime\Neiva CPI\[DINA TERCIARIOS_CF_SEC_New_27-Mar-2024.xlsx]D-PNP'!$BX$13</t>
  </si>
  <si>
    <t>='C:\Users\jaime.benazar\Quorum Business Solutions\Ecopetrol Prometeo - Documents\Planning Space Implementation\3. Analysis &amp; Design\Design\FC22\DRR Jaime\Neiva CPI\[DINA TERCIARIOS_CF_SEC_New_27-Mar-2024.xlsx]D-PNP'!$BX$14</t>
  </si>
  <si>
    <t>='C:\Users\jaime.benazar\Quorum Business Solutions\Ecopetrol Prometeo - Documents\Planning Space Implementation\3. Analysis &amp; Design\Design\FC22\DRR Jaime\Neiva CPI\[DINA TERCIARIOS_CF_SEC_New_27-Mar-2024.xlsx]D-PNP'!$BX$15</t>
  </si>
  <si>
    <t>='C:\Users\jaime.benazar\Quorum Business Solutions\Ecopetrol Prometeo - Documents\Planning Space Implementation\3. Analysis &amp; Design\Design\FC22\DRR Jaime\Neiva CPI\[DINA TERCIARIOS_CF_SEC_New_27-Mar-2024.xlsx]D-PNP'!$BX$16</t>
  </si>
  <si>
    <t>='C:\Users\jaime.benazar\Quorum Business Solutions\Ecopetrol Prometeo - Documents\Planning Space Implementation\3. Analysis &amp; Design\Design\FC22\DRR Jaime\Neiva CPI\[DINA TERCIARIOS_CF_SEC_New_27-Mar-2024.xlsx]D-PNP'!$BX$17</t>
  </si>
  <si>
    <t>='C:\Users\jaime.benazar\Quorum Business Solutions\Ecopetrol Prometeo - Documents\Planning Space Implementation\3. Analysis &amp; Design\Design\FC22\DRR Jaime\Neiva CPI\[DINA TERCIARIOS_CF_SEC_New_27-Mar-2024.xlsx]D-PNP'!$BX$18</t>
  </si>
  <si>
    <t>='C:\Users\jaime.benazar\Quorum Business Solutions\Ecopetrol Prometeo - Documents\Planning Space Implementation\3. Analysis &amp; Design\Design\FC22\DRR Jaime\Neiva CPI\[DINA TERCIARIOS_CF_SEC_New_27-Mar-2024.xlsx]D-PNP'!$BX$19</t>
  </si>
  <si>
    <t>='C:\Users\jaime.benazar\Quorum Business Solutions\Ecopetrol Prometeo - Documents\Planning Space Implementation\3. Analysis &amp; Design\Design\FC22\DRR Jaime\Neiva CPI\[DINA TERCIARIOS_CF_SEC_New_27-Mar-2024.xlsx]D-PNP'!$BX$20</t>
  </si>
  <si>
    <t>='C:\Users\jaime.benazar\Quorum Business Solutions\Ecopetrol Prometeo - Documents\Planning Space Implementation\3. Analysis &amp; Design\Design\FC22\DRR Jaime\Neiva CPI\[DINA TERCIARIOS_CF_SEC_New_27-Mar-2024.xlsx]D-PNP'!$BX$21</t>
  </si>
  <si>
    <t>='C:\Users\jaime.benazar\Quorum Business Solutions\Ecopetrol Prometeo - Documents\Planning Space Implementation\3. Analysis &amp; Design\Design\FC22\DRR Jaime\Neiva CPI\[DINA TERCIARIOS_CF_SEC_New_27-Mar-2024.xlsx]D-PNP'!$BX$22</t>
  </si>
  <si>
    <t>='C:\Users\jaime.benazar\Quorum Business Solutions\Ecopetrol Prometeo - Documents\Planning Space Implementation\3. Analysis &amp; Design\Design\FC22\DRR Jaime\Neiva CPI\[DINA TERCIARIOS_CF_SEC_New_27-Mar-2024.xlsx]D-PNP'!$BX$23</t>
  </si>
  <si>
    <t>='C:\Users\jaime.benazar\Quorum Business Solutions\Ecopetrol Prometeo - Documents\Planning Space Implementation\3. Analysis &amp; Design\Design\FC22\DRR Jaime\Neiva CPI\[DINA TERCIARIOS_CF_SEC_New_27-Mar-2024.xlsx]D-PNP'!$BX$24</t>
  </si>
  <si>
    <t>='C:\Users\jaime.benazar\Quorum Business Solutions\Ecopetrol Prometeo - Documents\Planning Space Implementation\3. Analysis &amp; Design\Design\FC22\DRR Jaime\Neiva CPI\[DINA TERCIARIOS_CF_SEC_New_27-Mar-2024.xlsx]D-PNP'!$BX$25</t>
  </si>
  <si>
    <t>='C:\Users\jaime.benazar\Quorum Business Solutions\Ecopetrol Prometeo - Documents\Planning Space Implementation\3. Analysis &amp; Design\Design\FC22\DRR Jaime\Neiva CPI\[DINA TERCIARIOS_CF_SEC_New_27-Mar-2024.xlsx]D-PNP'!$BX$26</t>
  </si>
  <si>
    <t>='C:\Users\jaime.benazar\Quorum Business Solutions\Ecopetrol Prometeo - Documents\Planning Space Implementation\3. Analysis &amp; Design\Design\FC22\DRR Jaime\Neiva CPI\[DINA TERCIARIOS_CF_SEC_New_27-Mar-2024.xlsx]D-PNP'!$BX$27</t>
  </si>
  <si>
    <t>='C:\Users\jaime.benazar\Quorum Business Solutions\Ecopetrol Prometeo - Documents\Planning Space Implementation\3. Analysis &amp; Design\Design\FC22\DRR Jaime\Neiva CPI\[DINA TERCIARIOS_CF_SEC_New_27-Mar-2024.xlsx]D-PNP'!$BX$28</t>
  </si>
  <si>
    <t>='C:\Users\jaime.benazar\Quorum Business Solutions\Ecopetrol Prometeo - Documents\Planning Space Implementation\3. Analysis &amp; Design\Design\FC22\DRR Jaime\Neiva CPI\[DINA TERCIARIOS_CF_SEC_New_27-Mar-2024.xlsx]D-PNP'!$BX$29</t>
  </si>
  <si>
    <t>='C:\Users\jaime.benazar\Quorum Business Solutions\Ecopetrol Prometeo - Documents\Planning Space Implementation\3. Analysis &amp; Design\Design\FC22\DRR Jaime\Neiva CPI\[DINA TERCIARIOS_CF_SEC_New_27-Mar-2024.xlsx]D-PNP'!$BX$30</t>
  </si>
  <si>
    <t>='C:\Users\jaime.benazar\Quorum Business Solutions\Ecopetrol Prometeo - Documents\Planning Space Implementation\3. Analysis &amp; Design\Design\FC22\DRR Jaime\Neiva CPI\[DINA TERCIARIOS_CF_SEC_New_27-Mar-2024.xlsx]D-PNP'!$BX$31</t>
  </si>
  <si>
    <t>='C:\Users\jaime.benazar\Quorum Business Solutions\Ecopetrol Prometeo - Documents\Planning Space Implementation\3. Analysis &amp; Design\Design\FC22\DRR Jaime\Neiva CPI\[DINA TERCIARIOS_CF_SEC_New_27-Mar-2024.xlsx]D-PNP'!$BX$32</t>
  </si>
  <si>
    <t>='C:\Users\jaime.benazar\Quorum Business Solutions\Ecopetrol Prometeo - Documents\Planning Space Implementation\3. Analysis &amp; Design\Design\FC22\DRR Jaime\Neiva CPI\[DINA TERCIARIOS_CF_SEC_New_27-Mar-2024.xlsx]D-PNP'!$BX$33</t>
  </si>
  <si>
    <t>='C:\Users\jaime.benazar\Quorum Business Solutions\Ecopetrol Prometeo - Documents\Planning Space Implementation\3. Analysis &amp; Design\Design\FC22\DRR Jaime\Neiva CPI\[DINA TERCIARIOS_CF_SEC_New_27-Mar-2024.xlsx]D-PNP'!$BX$34</t>
  </si>
  <si>
    <t>='C:\Users\jaime.benazar\Quorum Business Solutions\Ecopetrol Prometeo - Documents\Planning Space Implementation\3. Analysis &amp; Design\Design\FC22\DRR Jaime\Neiva CPI\[DINA TERCIARIOS_CF_SEC_New_27-Mar-2024.xlsx]D-PNP'!$BX$35</t>
  </si>
  <si>
    <t>='C:\Users\jaime.benazar\Quorum Business Solutions\Ecopetrol Prometeo - Documents\Planning Space Implementation\3. Analysis &amp; Design\Design\FC22\DRR Jaime\Neiva CPI\[DINA TERCIARIOS_CF_SEC_New_27-Mar-2024.xlsx]D-PNP'!$BX$36</t>
  </si>
  <si>
    <t>='C:\Users\jaime.benazar\Quorum Business Solutions\Ecopetrol Prometeo - Documents\Planning Space Implementation\3. Analysis &amp; Design\Design\FC22\DRR Jaime\Neiva CPI\[DINA TERCIARIOS_CF_SEC_New_27-Mar-2024.xlsx]D-PNP'!$BX$37</t>
  </si>
  <si>
    <t>='C:\Users\jaime.benazar\Quorum Business Solutions\Ecopetrol Prometeo - Documents\Planning Space Implementation\3. Analysis &amp; Design\Design\FC22\DRR Jaime\Neiva CPI\[DINA TERCIARIOS_CF_SEC_New_27-Mar-2024.xlsx]D-PNP'!$BX$38</t>
  </si>
  <si>
    <t>='C:\Users\jaime.benazar\Quorum Business Solutions\Ecopetrol Prometeo - Documents\Planning Space Implementation\3. Analysis &amp; Design\Design\FC22\DRR Jaime\Neiva CPI\[DINA TERCIARIOS_CF_SEC_New_27-Mar-2024.xlsx]D-PNP'!$BX$39</t>
  </si>
  <si>
    <t>='C:\Users\jaime.benazar\Quorum Business Solutions\Ecopetrol Prometeo - Documents\Planning Space Implementation\3. Analysis &amp; Design\Design\FC22\DRR Jaime\Neiva CPI\[DINA TERCIARIOS_CF_SEC_New_27-Mar-2024.xlsx]D-PNP'!$BX$40</t>
  </si>
  <si>
    <t>='C:\Users\jaime.benazar\Quorum Business Solutions\Ecopetrol Prometeo - Documents\Planning Space Implementation\3. Analysis &amp; Design\Design\FC22\DRR Jaime\Neiva CPI\[DINA TERCIARIOS_CF_SEC_New_27-Mar-2024.xlsx]D-PNP'!$BX$41</t>
  </si>
  <si>
    <t>='C:\Users\jaime.benazar\Quorum Business Solutions\Ecopetrol Prometeo - Documents\Planning Space Implementation\3. Analysis &amp; Design\Design\FC22\DRR Jaime\Neiva CPI\[DINA TERCIARIOS_CF_SEC_New_27-Mar-2024.xlsx]D-PNP'!$BX$42</t>
  </si>
  <si>
    <t>='C:\Users\jaime.benazar\Quorum Business Solutions\Ecopetrol Prometeo - Documents\Planning Space Implementation\3. Analysis &amp; Design\Design\FC22\DRR Jaime\Neiva CPI\[DINA TERCIARIOS_CF_SEC_New_27-Mar-2024.xlsx]D-PNP'!$BX$43</t>
  </si>
  <si>
    <t>='C:\Users\jaime.benazar\Quorum Business Solutions\Ecopetrol Prometeo - Documents\Planning Space Implementation\3. Analysis &amp; Design\Design\FC22\DRR Jaime\Neiva CPI\[DINA TERCIARIOS_CF_SEC_New_27-Mar-2024.xlsx]D-PNP'!$BX$44</t>
  </si>
  <si>
    <t>='C:\Users\jaime.benazar\Quorum Business Solutions\Ecopetrol Prometeo - Documents\Planning Space Implementation\3. Analysis &amp; Design\Design\FC22\DRR Jaime\Neiva CPI\[DINA TERCIARIOS_CF_SEC_New_27-Mar-2024.xlsx]D-PNP'!$BX$45</t>
  </si>
  <si>
    <t>='C:\Users\jaime.benazar\Quorum Business Solutions\Ecopetrol Prometeo - Documents\Planning Space Implementation\3. Analysis &amp; Design\Design\FC22\DRR Jaime\Neiva CPI\[DINA TERCIARIOS_CF_SEC_New_27-Mar-2024.xlsx]D-PNP'!$BX$46</t>
  </si>
  <si>
    <t>='C:\Users\jaime.benazar\Quorum Business Solutions\Ecopetrol Prometeo - Documents\Planning Space Implementation\3. Analysis &amp; Design\Design\FC22\DRR Jaime\Neiva CPI\[DINA TERCIARIOS_CF_SEC_New_27-Mar-2024.xlsx]D-PNP'!$BX$47</t>
  </si>
  <si>
    <t>='C:\Users\jaime.benazar\Quorum Business Solutions\Ecopetrol Prometeo - Documents\Planning Space Implementation\3. Analysis &amp; Design\Design\FC22\DRR Jaime\Neiva CPI\[DINA TERCIARIOS_CF_SEC_New_27-Mar-2024.xlsx]D-PNP'!$BX$48</t>
  </si>
  <si>
    <t>='C:\Users\jaime.benazar\Quorum Business Solutions\Ecopetrol Prometeo - Documents\Planning Space Implementation\3. Analysis &amp; Design\Design\FC22\DRR Jaime\Neiva CPI\[DINA TERCIARIOS_CF_SEC_New_27-Mar-2024.xlsx]D-PND'!$BX$12</t>
  </si>
  <si>
    <t>='C:\Users\jaime.benazar\Quorum Business Solutions\Ecopetrol Prometeo - Documents\Planning Space Implementation\3. Analysis &amp; Design\Design\FC22\DRR Jaime\Neiva CPI\[DINA TERCIARIOS_CF_SEC_New_27-Mar-2024.xlsx]D-PND'!$BX$13</t>
  </si>
  <si>
    <t>='C:\Users\jaime.benazar\Quorum Business Solutions\Ecopetrol Prometeo - Documents\Planning Space Implementation\3. Analysis &amp; Design\Design\FC22\DRR Jaime\Neiva CPI\[DINA TERCIARIOS_CF_SEC_New_27-Mar-2024.xlsx]D-PND'!$BX$14</t>
  </si>
  <si>
    <t>='C:\Users\jaime.benazar\Quorum Business Solutions\Ecopetrol Prometeo - Documents\Planning Space Implementation\3. Analysis &amp; Design\Design\FC22\DRR Jaime\Neiva CPI\[DINA TERCIARIOS_CF_SEC_New_27-Mar-2024.xlsx]D-PND'!$BX$15</t>
  </si>
  <si>
    <t>='C:\Users\jaime.benazar\Quorum Business Solutions\Ecopetrol Prometeo - Documents\Planning Space Implementation\3. Analysis &amp; Design\Design\FC22\DRR Jaime\Neiva CPI\[DINA TERCIARIOS_CF_SEC_New_27-Mar-2024.xlsx]D-PND'!$BX$16</t>
  </si>
  <si>
    <t>='C:\Users\jaime.benazar\Quorum Business Solutions\Ecopetrol Prometeo - Documents\Planning Space Implementation\3. Analysis &amp; Design\Design\FC22\DRR Jaime\Neiva CPI\[DINA TERCIARIOS_CF_SEC_New_27-Mar-2024.xlsx]D-PND'!$BX$17</t>
  </si>
  <si>
    <t>='C:\Users\jaime.benazar\Quorum Business Solutions\Ecopetrol Prometeo - Documents\Planning Space Implementation\3. Analysis &amp; Design\Design\FC22\DRR Jaime\Neiva CPI\[DINA TERCIARIOS_CF_SEC_New_27-Mar-2024.xlsx]D-PND'!$BX$18</t>
  </si>
  <si>
    <t>='C:\Users\jaime.benazar\Quorum Business Solutions\Ecopetrol Prometeo - Documents\Planning Space Implementation\3. Analysis &amp; Design\Design\FC22\DRR Jaime\Neiva CPI\[DINA TERCIARIOS_CF_SEC_New_27-Mar-2024.xlsx]D-PND'!$BX$19</t>
  </si>
  <si>
    <t>='C:\Users\jaime.benazar\Quorum Business Solutions\Ecopetrol Prometeo - Documents\Planning Space Implementation\3. Analysis &amp; Design\Design\FC22\DRR Jaime\Neiva CPI\[DINA TERCIARIOS_CF_SEC_New_27-Mar-2024.xlsx]D-PND'!$BX$20</t>
  </si>
  <si>
    <t>='C:\Users\jaime.benazar\Quorum Business Solutions\Ecopetrol Prometeo - Documents\Planning Space Implementation\3. Analysis &amp; Design\Design\FC22\DRR Jaime\Neiva CPI\[DINA TERCIARIOS_CF_SEC_New_27-Mar-2024.xlsx]D-PND'!$BX$21</t>
  </si>
  <si>
    <t>='C:\Users\jaime.benazar\Quorum Business Solutions\Ecopetrol Prometeo - Documents\Planning Space Implementation\3. Analysis &amp; Design\Design\FC22\DRR Jaime\Neiva CPI\[DINA TERCIARIOS_CF_SEC_New_27-Mar-2024.xlsx]D-PND'!$BX$22</t>
  </si>
  <si>
    <t>='C:\Users\jaime.benazar\Quorum Business Solutions\Ecopetrol Prometeo - Documents\Planning Space Implementation\3. Analysis &amp; Design\Design\FC22\DRR Jaime\Neiva CPI\[DINA TERCIARIOS_CF_SEC_New_27-Mar-2024.xlsx]D-PND'!$BX$23</t>
  </si>
  <si>
    <t>='C:\Users\jaime.benazar\Quorum Business Solutions\Ecopetrol Prometeo - Documents\Planning Space Implementation\3. Analysis &amp; Design\Design\FC22\DRR Jaime\Neiva CPI\[DINA TERCIARIOS_CF_SEC_New_27-Mar-2024.xlsx]D-PND'!$BX$24</t>
  </si>
  <si>
    <t>='C:\Users\jaime.benazar\Quorum Business Solutions\Ecopetrol Prometeo - Documents\Planning Space Implementation\3. Analysis &amp; Design\Design\FC22\DRR Jaime\Neiva CPI\[DINA TERCIARIOS_CF_SEC_New_27-Mar-2024.xlsx]D-PND'!$BX$25</t>
  </si>
  <si>
    <t>='C:\Users\jaime.benazar\Quorum Business Solutions\Ecopetrol Prometeo - Documents\Planning Space Implementation\3. Analysis &amp; Design\Design\FC22\DRR Jaime\Neiva CPI\[DINA TERCIARIOS_CF_SEC_New_27-Mar-2024.xlsx]D-PND'!$BX$26</t>
  </si>
  <si>
    <t>='C:\Users\jaime.benazar\Quorum Business Solutions\Ecopetrol Prometeo - Documents\Planning Space Implementation\3. Analysis &amp; Design\Design\FC22\DRR Jaime\Neiva CPI\[DINA TERCIARIOS_CF_SEC_New_27-Mar-2024.xlsx]D-PND'!$BX$27</t>
  </si>
  <si>
    <t>='C:\Users\jaime.benazar\Quorum Business Solutions\Ecopetrol Prometeo - Documents\Planning Space Implementation\3. Analysis &amp; Design\Design\FC22\DRR Jaime\Neiva CPI\[DINA TERCIARIOS_CF_SEC_New_27-Mar-2024.xlsx]D-PND'!$BX$28</t>
  </si>
  <si>
    <t>='C:\Users\jaime.benazar\Quorum Business Solutions\Ecopetrol Prometeo - Documents\Planning Space Implementation\3. Analysis &amp; Design\Design\FC22\DRR Jaime\Neiva CPI\[DINA TERCIARIOS_CF_SEC_New_27-Mar-2024.xlsx]D-PND'!$BX$29</t>
  </si>
  <si>
    <t>='C:\Users\jaime.benazar\Quorum Business Solutions\Ecopetrol Prometeo - Documents\Planning Space Implementation\3. Analysis &amp; Design\Design\FC22\DRR Jaime\Neiva CPI\[DINA TERCIARIOS_CF_SEC_New_27-Mar-2024.xlsx]D-PND'!$BX$30</t>
  </si>
  <si>
    <t>='C:\Users\jaime.benazar\Quorum Business Solutions\Ecopetrol Prometeo - Documents\Planning Space Implementation\3. Analysis &amp; Design\Design\FC22\DRR Jaime\Neiva CPI\[DINA TERCIARIOS_CF_SEC_New_27-Mar-2024.xlsx]D-PND'!$BX$31</t>
  </si>
  <si>
    <t>='C:\Users\jaime.benazar\Quorum Business Solutions\Ecopetrol Prometeo - Documents\Planning Space Implementation\3. Analysis &amp; Design\Design\FC22\DRR Jaime\Neiva CPI\[DINA TERCIARIOS_CF_SEC_New_27-Mar-2024.xlsx]D-PND'!$BX$32</t>
  </si>
  <si>
    <t>='C:\Users\jaime.benazar\Quorum Business Solutions\Ecopetrol Prometeo - Documents\Planning Space Implementation\3. Analysis &amp; Design\Design\FC22\DRR Jaime\Neiva CPI\[DINA TERCIARIOS_CF_SEC_New_27-Mar-2024.xlsx]D-PND'!$BX$33</t>
  </si>
  <si>
    <t>='C:\Users\jaime.benazar\Quorum Business Solutions\Ecopetrol Prometeo - Documents\Planning Space Implementation\3. Analysis &amp; Design\Design\FC22\DRR Jaime\Neiva CPI\[DINA TERCIARIOS_CF_SEC_New_27-Mar-2024.xlsx]D-PND'!$BX$34</t>
  </si>
  <si>
    <t>='C:\Users\jaime.benazar\Quorum Business Solutions\Ecopetrol Prometeo - Documents\Planning Space Implementation\3. Analysis &amp; Design\Design\FC22\DRR Jaime\Neiva CPI\[DINA TERCIARIOS_CF_SEC_New_27-Mar-2024.xlsx]D-PND'!$BX$35</t>
  </si>
  <si>
    <t>='C:\Users\jaime.benazar\Quorum Business Solutions\Ecopetrol Prometeo - Documents\Planning Space Implementation\3. Analysis &amp; Design\Design\FC22\DRR Jaime\Neiva CPI\[DINA TERCIARIOS_CF_SEC_New_27-Mar-2024.xlsx]D-PND'!$BX$36</t>
  </si>
  <si>
    <t>='C:\Users\jaime.benazar\Quorum Business Solutions\Ecopetrol Prometeo - Documents\Planning Space Implementation\3. Analysis &amp; Design\Design\FC22\DRR Jaime\Neiva CPI\[DINA TERCIARIOS_CF_SEC_New_27-Mar-2024.xlsx]D-PND'!$BX$37</t>
  </si>
  <si>
    <t>='C:\Users\jaime.benazar\Quorum Business Solutions\Ecopetrol Prometeo - Documents\Planning Space Implementation\3. Analysis &amp; Design\Design\FC22\DRR Jaime\Neiva CPI\[DINA TERCIARIOS_CF_SEC_New_27-Mar-2024.xlsx]D-PND'!$BX$38</t>
  </si>
  <si>
    <t>='C:\Users\jaime.benazar\Quorum Business Solutions\Ecopetrol Prometeo - Documents\Planning Space Implementation\3. Analysis &amp; Design\Design\FC22\DRR Jaime\Neiva CPI\[DINA TERCIARIOS_CF_SEC_New_27-Mar-2024.xlsx]D-PND'!$BX$39</t>
  </si>
  <si>
    <t>='C:\Users\jaime.benazar\Quorum Business Solutions\Ecopetrol Prometeo - Documents\Planning Space Implementation\3. Analysis &amp; Design\Design\FC22\DRR Jaime\Neiva CPI\[DINA TERCIARIOS_CF_SEC_New_27-Mar-2024.xlsx]D-PND'!$BX$40</t>
  </si>
  <si>
    <t>='C:\Users\jaime.benazar\Quorum Business Solutions\Ecopetrol Prometeo - Documents\Planning Space Implementation\3. Analysis &amp; Design\Design\FC22\DRR Jaime\Neiva CPI\[DINA TERCIARIOS_CF_SEC_New_27-Mar-2024.xlsx]D-PND'!$BX$41</t>
  </si>
  <si>
    <t>='C:\Users\jaime.benazar\Quorum Business Solutions\Ecopetrol Prometeo - Documents\Planning Space Implementation\3. Analysis &amp; Design\Design\FC22\DRR Jaime\Neiva CPI\[DINA TERCIARIOS_CF_SEC_New_27-Mar-2024.xlsx]D-PND'!$BX$42</t>
  </si>
  <si>
    <t>='C:\Users\jaime.benazar\Quorum Business Solutions\Ecopetrol Prometeo - Documents\Planning Space Implementation\3. Analysis &amp; Design\Design\FC22\DRR Jaime\Neiva CPI\[DINA TERCIARIOS_CF_SEC_New_27-Mar-2024.xlsx]D-PND'!$BX$43</t>
  </si>
  <si>
    <t>='C:\Users\jaime.benazar\Quorum Business Solutions\Ecopetrol Prometeo - Documents\Planning Space Implementation\3. Analysis &amp; Design\Design\FC22\DRR Jaime\Neiva CPI\[DINA TERCIARIOS_CF_SEC_New_27-Mar-2024.xlsx]D-PND'!$BX$44</t>
  </si>
  <si>
    <t>='C:\Users\jaime.benazar\Quorum Business Solutions\Ecopetrol Prometeo - Documents\Planning Space Implementation\3. Analysis &amp; Design\Design\FC22\DRR Jaime\Neiva CPI\[DINA TERCIARIOS_CF_SEC_New_27-Mar-2024.xlsx]D-PND'!$BX$45</t>
  </si>
  <si>
    <t>='C:\Users\jaime.benazar\Quorum Business Solutions\Ecopetrol Prometeo - Documents\Planning Space Implementation\3. Analysis &amp; Design\Design\FC22\DRR Jaime\Neiva CPI\[DINA TERCIARIOS_CF_SEC_New_27-Mar-2024.xlsx]D-PND'!$BX$46</t>
  </si>
  <si>
    <t>='C:\Users\jaime.benazar\Quorum Business Solutions\Ecopetrol Prometeo - Documents\Planning Space Implementation\3. Analysis &amp; Design\Design\FC22\DRR Jaime\Neiva CPI\[DINA TERCIARIOS_CF_SEC_New_27-Mar-2024.xlsx]D-PND'!$BX$47</t>
  </si>
  <si>
    <t>='C:\Users\jaime.benazar\Quorum Business Solutions\Ecopetrol Prometeo - Documents\Planning Space Implementation\3. Analysis &amp; Design\Design\FC22\DRR Jaime\Neiva CPI\[DINA TERCIARIOS_CF_SEC_New_27-Mar-2024.xlsx]D-PND'!$BX$48</t>
  </si>
  <si>
    <t>='C:\Users\jaime.benazar\Quorum Business Solutions\Ecopetrol Prometeo - Documents\Planning Space Implementation\3. Analysis &amp; Design\Design\FC22\DRR Jaime\Neiva CPI\[DINA TERCIARIOS_CF_SEC_New_27-Mar-2024.xlsx]D-PRB'!$BX$12</t>
  </si>
  <si>
    <t>='C:\Users\jaime.benazar\Quorum Business Solutions\Ecopetrol Prometeo - Documents\Planning Space Implementation\3. Analysis &amp; Design\Design\FC22\DRR Jaime\Neiva CPI\[DINA TERCIARIOS_CF_SEC_New_27-Mar-2024.xlsx]D-PRB'!$BX$13</t>
  </si>
  <si>
    <t>='C:\Users\jaime.benazar\Quorum Business Solutions\Ecopetrol Prometeo - Documents\Planning Space Implementation\3. Analysis &amp; Design\Design\FC22\DRR Jaime\Neiva CPI\[DINA TERCIARIOS_CF_SEC_New_27-Mar-2024.xlsx]D-PRB'!$BX$14</t>
  </si>
  <si>
    <t>='C:\Users\jaime.benazar\Quorum Business Solutions\Ecopetrol Prometeo - Documents\Planning Space Implementation\3. Analysis &amp; Design\Design\FC22\DRR Jaime\Neiva CPI\[DINA TERCIARIOS_CF_SEC_New_27-Mar-2024.xlsx]D-PRB'!$BX$15</t>
  </si>
  <si>
    <t>='C:\Users\jaime.benazar\Quorum Business Solutions\Ecopetrol Prometeo - Documents\Planning Space Implementation\3. Analysis &amp; Design\Design\FC22\DRR Jaime\Neiva CPI\[DINA TERCIARIOS_CF_SEC_New_27-Mar-2024.xlsx]D-PRB'!$BX$16</t>
  </si>
  <si>
    <t>='C:\Users\jaime.benazar\Quorum Business Solutions\Ecopetrol Prometeo - Documents\Planning Space Implementation\3. Analysis &amp; Design\Design\FC22\DRR Jaime\Neiva CPI\[DINA TERCIARIOS_CF_SEC_New_27-Mar-2024.xlsx]D-PRB'!$BX$17</t>
  </si>
  <si>
    <t>='C:\Users\jaime.benazar\Quorum Business Solutions\Ecopetrol Prometeo - Documents\Planning Space Implementation\3. Analysis &amp; Design\Design\FC22\DRR Jaime\Neiva CPI\[DINA TERCIARIOS_CF_SEC_New_27-Mar-2024.xlsx]D-PRB'!$BX$18</t>
  </si>
  <si>
    <t>='C:\Users\jaime.benazar\Quorum Business Solutions\Ecopetrol Prometeo - Documents\Planning Space Implementation\3. Analysis &amp; Design\Design\FC22\DRR Jaime\Neiva CPI\[DINA TERCIARIOS_CF_SEC_New_27-Mar-2024.xlsx]D-PRB'!$BX$19</t>
  </si>
  <si>
    <t>='C:\Users\jaime.benazar\Quorum Business Solutions\Ecopetrol Prometeo - Documents\Planning Space Implementation\3. Analysis &amp; Design\Design\FC22\DRR Jaime\Neiva CPI\[DINA TERCIARIOS_CF_SEC_New_27-Mar-2024.xlsx]D-PRB'!$BX$20</t>
  </si>
  <si>
    <t>='C:\Users\jaime.benazar\Quorum Business Solutions\Ecopetrol Prometeo - Documents\Planning Space Implementation\3. Analysis &amp; Design\Design\FC22\DRR Jaime\Neiva CPI\[DINA TERCIARIOS_CF_SEC_New_27-Mar-2024.xlsx]D-PRB'!$BX$21</t>
  </si>
  <si>
    <t>='C:\Users\jaime.benazar\Quorum Business Solutions\Ecopetrol Prometeo - Documents\Planning Space Implementation\3. Analysis &amp; Design\Design\FC22\DRR Jaime\Neiva CPI\[DINA TERCIARIOS_CF_SEC_New_27-Mar-2024.xlsx]D-PRB'!$BX$22</t>
  </si>
  <si>
    <t>='C:\Users\jaime.benazar\Quorum Business Solutions\Ecopetrol Prometeo - Documents\Planning Space Implementation\3. Analysis &amp; Design\Design\FC22\DRR Jaime\Neiva CPI\[DINA TERCIARIOS_CF_SEC_New_27-Mar-2024.xlsx]D-PRB'!$BX$23</t>
  </si>
  <si>
    <t>='C:\Users\jaime.benazar\Quorum Business Solutions\Ecopetrol Prometeo - Documents\Planning Space Implementation\3. Analysis &amp; Design\Design\FC22\DRR Jaime\Neiva CPI\[DINA TERCIARIOS_CF_SEC_New_27-Mar-2024.xlsx]D-PRB'!$BX$24</t>
  </si>
  <si>
    <t>='C:\Users\jaime.benazar\Quorum Business Solutions\Ecopetrol Prometeo - Documents\Planning Space Implementation\3. Analysis &amp; Design\Design\FC22\DRR Jaime\Neiva CPI\[DINA TERCIARIOS_CF_SEC_New_27-Mar-2024.xlsx]D-PRB'!$BX$25</t>
  </si>
  <si>
    <t>='C:\Users\jaime.benazar\Quorum Business Solutions\Ecopetrol Prometeo - Documents\Planning Space Implementation\3. Analysis &amp; Design\Design\FC22\DRR Jaime\Neiva CPI\[DINA TERCIARIOS_CF_SEC_New_27-Mar-2024.xlsx]D-PRB'!$BX$26</t>
  </si>
  <si>
    <t>='C:\Users\jaime.benazar\Quorum Business Solutions\Ecopetrol Prometeo - Documents\Planning Space Implementation\3. Analysis &amp; Design\Design\FC22\DRR Jaime\Neiva CPI\[DINA TERCIARIOS_CF_SEC_New_27-Mar-2024.xlsx]D-PRB'!$BX$27</t>
  </si>
  <si>
    <t>='C:\Users\jaime.benazar\Quorum Business Solutions\Ecopetrol Prometeo - Documents\Planning Space Implementation\3. Analysis &amp; Design\Design\FC22\DRR Jaime\Neiva CPI\[DINA TERCIARIOS_CF_SEC_New_27-Mar-2024.xlsx]D-PRB'!$BX$28</t>
  </si>
  <si>
    <t>='C:\Users\jaime.benazar\Quorum Business Solutions\Ecopetrol Prometeo - Documents\Planning Space Implementation\3. Analysis &amp; Design\Design\FC22\DRR Jaime\Neiva CPI\[DINA TERCIARIOS_CF_SEC_New_27-Mar-2024.xlsx]D-PRB'!$BX$29</t>
  </si>
  <si>
    <t>='C:\Users\jaime.benazar\Quorum Business Solutions\Ecopetrol Prometeo - Documents\Planning Space Implementation\3. Analysis &amp; Design\Design\FC22\DRR Jaime\Neiva CPI\[DINA TERCIARIOS_CF_SEC_New_27-Mar-2024.xlsx]D-PRB'!$BX$30</t>
  </si>
  <si>
    <t>='C:\Users\jaime.benazar\Quorum Business Solutions\Ecopetrol Prometeo - Documents\Planning Space Implementation\3. Analysis &amp; Design\Design\FC22\DRR Jaime\Neiva CPI\[DINA TERCIARIOS_CF_SEC_New_27-Mar-2024.xlsx]D-PRB'!$BX$31</t>
  </si>
  <si>
    <t>='C:\Users\jaime.benazar\Quorum Business Solutions\Ecopetrol Prometeo - Documents\Planning Space Implementation\3. Analysis &amp; Design\Design\FC22\DRR Jaime\Neiva CPI\[DINA TERCIARIOS_CF_SEC_New_27-Mar-2024.xlsx]D-PRB'!$BX$32</t>
  </si>
  <si>
    <t>='C:\Users\jaime.benazar\Quorum Business Solutions\Ecopetrol Prometeo - Documents\Planning Space Implementation\3. Analysis &amp; Design\Design\FC22\DRR Jaime\Neiva CPI\[DINA TERCIARIOS_CF_SEC_New_27-Mar-2024.xlsx]D-PRB'!$BX$33</t>
  </si>
  <si>
    <t>='C:\Users\jaime.benazar\Quorum Business Solutions\Ecopetrol Prometeo - Documents\Planning Space Implementation\3. Analysis &amp; Design\Design\FC22\DRR Jaime\Neiva CPI\[DINA TERCIARIOS_CF_SEC_New_27-Mar-2024.xlsx]D-PRB'!$BX$34</t>
  </si>
  <si>
    <t>='C:\Users\jaime.benazar\Quorum Business Solutions\Ecopetrol Prometeo - Documents\Planning Space Implementation\3. Analysis &amp; Design\Design\FC22\DRR Jaime\Neiva CPI\[DINA TERCIARIOS_CF_SEC_New_27-Mar-2024.xlsx]D-PRB'!$BX$35</t>
  </si>
  <si>
    <t>='C:\Users\jaime.benazar\Quorum Business Solutions\Ecopetrol Prometeo - Documents\Planning Space Implementation\3. Analysis &amp; Design\Design\FC22\DRR Jaime\Neiva CPI\[DINA TERCIARIOS_CF_SEC_New_27-Mar-2024.xlsx]D-PRB'!$BX$36</t>
  </si>
  <si>
    <t>='C:\Users\jaime.benazar\Quorum Business Solutions\Ecopetrol Prometeo - Documents\Planning Space Implementation\3. Analysis &amp; Design\Design\FC22\DRR Jaime\Neiva CPI\[DINA TERCIARIOS_CF_SEC_New_27-Mar-2024.xlsx]D-PRB'!$BX$37</t>
  </si>
  <si>
    <t>='C:\Users\jaime.benazar\Quorum Business Solutions\Ecopetrol Prometeo - Documents\Planning Space Implementation\3. Analysis &amp; Design\Design\FC22\DRR Jaime\Neiva CPI\[DINA TERCIARIOS_CF_SEC_New_27-Mar-2024.xlsx]D-PRB'!$BX$38</t>
  </si>
  <si>
    <t>='C:\Users\jaime.benazar\Quorum Business Solutions\Ecopetrol Prometeo - Documents\Planning Space Implementation\3. Analysis &amp; Design\Design\FC22\DRR Jaime\Neiva CPI\[DINA TERCIARIOS_CF_SEC_New_27-Mar-2024.xlsx]D-PRB'!$BX$39</t>
  </si>
  <si>
    <t>='C:\Users\jaime.benazar\Quorum Business Solutions\Ecopetrol Prometeo - Documents\Planning Space Implementation\3. Analysis &amp; Design\Design\FC22\DRR Jaime\Neiva CPI\[DINA TERCIARIOS_CF_SEC_New_27-Mar-2024.xlsx]D-PRB'!$BX$40</t>
  </si>
  <si>
    <t>='C:\Users\jaime.benazar\Quorum Business Solutions\Ecopetrol Prometeo - Documents\Planning Space Implementation\3. Analysis &amp; Design\Design\FC22\DRR Jaime\Neiva CPI\[DINA TERCIARIOS_CF_SEC_New_27-Mar-2024.xlsx]D-PRB'!$BX$41</t>
  </si>
  <si>
    <t>='C:\Users\jaime.benazar\Quorum Business Solutions\Ecopetrol Prometeo - Documents\Planning Space Implementation\3. Analysis &amp; Design\Design\FC22\DRR Jaime\Neiva CPI\[DINA TERCIARIOS_CF_SEC_New_27-Mar-2024.xlsx]D-PRB'!$BX$42</t>
  </si>
  <si>
    <t>='C:\Users\jaime.benazar\Quorum Business Solutions\Ecopetrol Prometeo - Documents\Planning Space Implementation\3. Analysis &amp; Design\Design\FC22\DRR Jaime\Neiva CPI\[DINA TERCIARIOS_CF_SEC_New_27-Mar-2024.xlsx]D-PRB'!$BX$43</t>
  </si>
  <si>
    <t>='C:\Users\jaime.benazar\Quorum Business Solutions\Ecopetrol Prometeo - Documents\Planning Space Implementation\3. Analysis &amp; Design\Design\FC22\DRR Jaime\Neiva CPI\[DINA TERCIARIOS_CF_SEC_New_27-Mar-2024.xlsx]D-PRB'!$BX$44</t>
  </si>
  <si>
    <t>='C:\Users\jaime.benazar\Quorum Business Solutions\Ecopetrol Prometeo - Documents\Planning Space Implementation\3. Analysis &amp; Design\Design\FC22\DRR Jaime\Neiva CPI\[DINA TERCIARIOS_CF_SEC_New_27-Mar-2024.xlsx]D-PRB'!$BX$45</t>
  </si>
  <si>
    <t>='C:\Users\jaime.benazar\Quorum Business Solutions\Ecopetrol Prometeo - Documents\Planning Space Implementation\3. Analysis &amp; Design\Design\FC22\DRR Jaime\Neiva CPI\[DINA TERCIARIOS_CF_SEC_New_27-Mar-2024.xlsx]D-PRB'!$BX$46</t>
  </si>
  <si>
    <t>='C:\Users\jaime.benazar\Quorum Business Solutions\Ecopetrol Prometeo - Documents\Planning Space Implementation\3. Analysis &amp; Design\Design\FC22\DRR Jaime\Neiva CPI\[DINA TERCIARIOS_CF_SEC_New_27-Mar-2024.xlsx]D-PRB'!$BX$47</t>
  </si>
  <si>
    <t>='C:\Users\jaime.benazar\Quorum Business Solutions\Ecopetrol Prometeo - Documents\Planning Space Implementation\3. Analysis &amp; Design\Design\FC22\DRR Jaime\Neiva CPI\[DINA TERCIARIOS_CF_SEC_New_27-Mar-2024.xlsx]D-PRB'!$BX$48</t>
  </si>
  <si>
    <t>='C:\Users\jaime.benazar\Quorum Business Solutions\Ecopetrol Prometeo - Documents\Planning Space Implementation\3. Analysis &amp; Design\Design\FC22\DRR Jaime\Neiva CPI\[DINA TERCIARIOS_CF_SEC_New_27-Mar-2024.xlsx]D-PS'!$BX$12</t>
  </si>
  <si>
    <t>='C:\Users\jaime.benazar\Quorum Business Solutions\Ecopetrol Prometeo - Documents\Planning Space Implementation\3. Analysis &amp; Design\Design\FC22\DRR Jaime\Neiva CPI\[DINA TERCIARIOS_CF_SEC_New_27-Mar-2024.xlsx]D-PS'!$BX$13</t>
  </si>
  <si>
    <t>='C:\Users\jaime.benazar\Quorum Business Solutions\Ecopetrol Prometeo - Documents\Planning Space Implementation\3. Analysis &amp; Design\Design\FC22\DRR Jaime\Neiva CPI\[DINA TERCIARIOS_CF_SEC_New_27-Mar-2024.xlsx]D-PS'!$BX$14</t>
  </si>
  <si>
    <t>='C:\Users\jaime.benazar\Quorum Business Solutions\Ecopetrol Prometeo - Documents\Planning Space Implementation\3. Analysis &amp; Design\Design\FC22\DRR Jaime\Neiva CPI\[DINA TERCIARIOS_CF_SEC_New_27-Mar-2024.xlsx]D-PS'!$BX$15</t>
  </si>
  <si>
    <t>='C:\Users\jaime.benazar\Quorum Business Solutions\Ecopetrol Prometeo - Documents\Planning Space Implementation\3. Analysis &amp; Design\Design\FC22\DRR Jaime\Neiva CPI\[DINA TERCIARIOS_CF_SEC_New_27-Mar-2024.xlsx]D-PS'!$BX$16</t>
  </si>
  <si>
    <t>='C:\Users\jaime.benazar\Quorum Business Solutions\Ecopetrol Prometeo - Documents\Planning Space Implementation\3. Analysis &amp; Design\Design\FC22\DRR Jaime\Neiva CPI\[DINA TERCIARIOS_CF_SEC_New_27-Mar-2024.xlsx]D-PS'!$BX$17</t>
  </si>
  <si>
    <t>='C:\Users\jaime.benazar\Quorum Business Solutions\Ecopetrol Prometeo - Documents\Planning Space Implementation\3. Analysis &amp; Design\Design\FC22\DRR Jaime\Neiva CPI\[DINA TERCIARIOS_CF_SEC_New_27-Mar-2024.xlsx]D-PS'!$BX$18</t>
  </si>
  <si>
    <t>='C:\Users\jaime.benazar\Quorum Business Solutions\Ecopetrol Prometeo - Documents\Planning Space Implementation\3. Analysis &amp; Design\Design\FC22\DRR Jaime\Neiva CPI\[DINA TERCIARIOS_CF_SEC_New_27-Mar-2024.xlsx]D-PS'!$BX$19</t>
  </si>
  <si>
    <t>='C:\Users\jaime.benazar\Quorum Business Solutions\Ecopetrol Prometeo - Documents\Planning Space Implementation\3. Analysis &amp; Design\Design\FC22\DRR Jaime\Neiva CPI\[DINA TERCIARIOS_CF_SEC_New_27-Mar-2024.xlsx]D-PS'!$BX$20</t>
  </si>
  <si>
    <t>='C:\Users\jaime.benazar\Quorum Business Solutions\Ecopetrol Prometeo - Documents\Planning Space Implementation\3. Analysis &amp; Design\Design\FC22\DRR Jaime\Neiva CPI\[DINA TERCIARIOS_CF_SEC_New_27-Mar-2024.xlsx]D-PS'!$BX$21</t>
  </si>
  <si>
    <t>='C:\Users\jaime.benazar\Quorum Business Solutions\Ecopetrol Prometeo - Documents\Planning Space Implementation\3. Analysis &amp; Design\Design\FC22\DRR Jaime\Neiva CPI\[DINA TERCIARIOS_CF_SEC_New_27-Mar-2024.xlsx]D-PS'!$BX$22</t>
  </si>
  <si>
    <t>='C:\Users\jaime.benazar\Quorum Business Solutions\Ecopetrol Prometeo - Documents\Planning Space Implementation\3. Analysis &amp; Design\Design\FC22\DRR Jaime\Neiva CPI\[DINA TERCIARIOS_CF_SEC_New_27-Mar-2024.xlsx]D-PS'!$BX$23</t>
  </si>
  <si>
    <t>='C:\Users\jaime.benazar\Quorum Business Solutions\Ecopetrol Prometeo - Documents\Planning Space Implementation\3. Analysis &amp; Design\Design\FC22\DRR Jaime\Neiva CPI\[DINA TERCIARIOS_CF_SEC_New_27-Mar-2024.xlsx]D-PS'!$BX$24</t>
  </si>
  <si>
    <t>='C:\Users\jaime.benazar\Quorum Business Solutions\Ecopetrol Prometeo - Documents\Planning Space Implementation\3. Analysis &amp; Design\Design\FC22\DRR Jaime\Neiva CPI\[DINA TERCIARIOS_CF_SEC_New_27-Mar-2024.xlsx]D-PS'!$BX$25</t>
  </si>
  <si>
    <t>='C:\Users\jaime.benazar\Quorum Business Solutions\Ecopetrol Prometeo - Documents\Planning Space Implementation\3. Analysis &amp; Design\Design\FC22\DRR Jaime\Neiva CPI\[DINA TERCIARIOS_CF_SEC_New_27-Mar-2024.xlsx]D-PS'!$BX$26</t>
  </si>
  <si>
    <t>='C:\Users\jaime.benazar\Quorum Business Solutions\Ecopetrol Prometeo - Documents\Planning Space Implementation\3. Analysis &amp; Design\Design\FC22\DRR Jaime\Neiva CPI\[DINA TERCIARIOS_CF_SEC_New_27-Mar-2024.xlsx]D-PS'!$BX$27</t>
  </si>
  <si>
    <t>='C:\Users\jaime.benazar\Quorum Business Solutions\Ecopetrol Prometeo - Documents\Planning Space Implementation\3. Analysis &amp; Design\Design\FC22\DRR Jaime\Neiva CPI\[DINA TERCIARIOS_CF_SEC_New_27-Mar-2024.xlsx]D-PS'!$BX$28</t>
  </si>
  <si>
    <t>='C:\Users\jaime.benazar\Quorum Business Solutions\Ecopetrol Prometeo - Documents\Planning Space Implementation\3. Analysis &amp; Design\Design\FC22\DRR Jaime\Neiva CPI\[DINA TERCIARIOS_CF_SEC_New_27-Mar-2024.xlsx]D-PS'!$BX$29</t>
  </si>
  <si>
    <t>='C:\Users\jaime.benazar\Quorum Business Solutions\Ecopetrol Prometeo - Documents\Planning Space Implementation\3. Analysis &amp; Design\Design\FC22\DRR Jaime\Neiva CPI\[DINA TERCIARIOS_CF_SEC_New_27-Mar-2024.xlsx]D-PS'!$BX$30</t>
  </si>
  <si>
    <t>='C:\Users\jaime.benazar\Quorum Business Solutions\Ecopetrol Prometeo - Documents\Planning Space Implementation\3. Analysis &amp; Design\Design\FC22\DRR Jaime\Neiva CPI\[DINA TERCIARIOS_CF_SEC_New_27-Mar-2024.xlsx]D-PS'!$BX$31</t>
  </si>
  <si>
    <t>='C:\Users\jaime.benazar\Quorum Business Solutions\Ecopetrol Prometeo - Documents\Planning Space Implementation\3. Analysis &amp; Design\Design\FC22\DRR Jaime\Neiva CPI\[DINA TERCIARIOS_CF_SEC_New_27-Mar-2024.xlsx]D-PS'!$BX$32</t>
  </si>
  <si>
    <t>='C:\Users\jaime.benazar\Quorum Business Solutions\Ecopetrol Prometeo - Documents\Planning Space Implementation\3. Analysis &amp; Design\Design\FC22\DRR Jaime\Neiva CPI\[DINA TERCIARIOS_CF_SEC_New_27-Mar-2024.xlsx]D-PS'!$BX$33</t>
  </si>
  <si>
    <t>='C:\Users\jaime.benazar\Quorum Business Solutions\Ecopetrol Prometeo - Documents\Planning Space Implementation\3. Analysis &amp; Design\Design\FC22\DRR Jaime\Neiva CPI\[DINA TERCIARIOS_CF_SEC_New_27-Mar-2024.xlsx]D-PS'!$BX$34</t>
  </si>
  <si>
    <t>='C:\Users\jaime.benazar\Quorum Business Solutions\Ecopetrol Prometeo - Documents\Planning Space Implementation\3. Analysis &amp; Design\Design\FC22\DRR Jaime\Neiva CPI\[DINA TERCIARIOS_CF_SEC_New_27-Mar-2024.xlsx]D-PS'!$BX$35</t>
  </si>
  <si>
    <t>='C:\Users\jaime.benazar\Quorum Business Solutions\Ecopetrol Prometeo - Documents\Planning Space Implementation\3. Analysis &amp; Design\Design\FC22\DRR Jaime\Neiva CPI\[DINA TERCIARIOS_CF_SEC_New_27-Mar-2024.xlsx]D-PS'!$BX$36</t>
  </si>
  <si>
    <t>='C:\Users\jaime.benazar\Quorum Business Solutions\Ecopetrol Prometeo - Documents\Planning Space Implementation\3. Analysis &amp; Design\Design\FC22\DRR Jaime\Neiva CPI\[DINA TERCIARIOS_CF_SEC_New_27-Mar-2024.xlsx]D-PS'!$BX$37</t>
  </si>
  <si>
    <t>='C:\Users\jaime.benazar\Quorum Business Solutions\Ecopetrol Prometeo - Documents\Planning Space Implementation\3. Analysis &amp; Design\Design\FC22\DRR Jaime\Neiva CPI\[DINA TERCIARIOS_CF_SEC_New_27-Mar-2024.xlsx]D-PS'!$BX$38</t>
  </si>
  <si>
    <t>='C:\Users\jaime.benazar\Quorum Business Solutions\Ecopetrol Prometeo - Documents\Planning Space Implementation\3. Analysis &amp; Design\Design\FC22\DRR Jaime\Neiva CPI\[DINA TERCIARIOS_CF_SEC_New_27-Mar-2024.xlsx]D-PS'!$BX$39</t>
  </si>
  <si>
    <t>='C:\Users\jaime.benazar\Quorum Business Solutions\Ecopetrol Prometeo - Documents\Planning Space Implementation\3. Analysis &amp; Design\Design\FC22\DRR Jaime\Neiva CPI\[DINA TERCIARIOS_CF_SEC_New_27-Mar-2024.xlsx]D-PS'!$BX$40</t>
  </si>
  <si>
    <t>='C:\Users\jaime.benazar\Quorum Business Solutions\Ecopetrol Prometeo - Documents\Planning Space Implementation\3. Analysis &amp; Design\Design\FC22\DRR Jaime\Neiva CPI\[DINA TERCIARIOS_CF_SEC_New_27-Mar-2024.xlsx]D-PS'!$BX$41</t>
  </si>
  <si>
    <t>='C:\Users\jaime.benazar\Quorum Business Solutions\Ecopetrol Prometeo - Documents\Planning Space Implementation\3. Analysis &amp; Design\Design\FC22\DRR Jaime\Neiva CPI\[DINA TERCIARIOS_CF_SEC_New_27-Mar-2024.xlsx]D-PS'!$BX$42</t>
  </si>
  <si>
    <t>='C:\Users\jaime.benazar\Quorum Business Solutions\Ecopetrol Prometeo - Documents\Planning Space Implementation\3. Analysis &amp; Design\Design\FC22\DRR Jaime\Neiva CPI\[DINA TERCIARIOS_CF_SEC_New_27-Mar-2024.xlsx]D-PS'!$BX$43</t>
  </si>
  <si>
    <t>='C:\Users\jaime.benazar\Quorum Business Solutions\Ecopetrol Prometeo - Documents\Planning Space Implementation\3. Analysis &amp; Design\Design\FC22\DRR Jaime\Neiva CPI\[DINA TERCIARIOS_CF_SEC_New_27-Mar-2024.xlsx]D-PS'!$BX$44</t>
  </si>
  <si>
    <t>='C:\Users\jaime.benazar\Quorum Business Solutions\Ecopetrol Prometeo - Documents\Planning Space Implementation\3. Analysis &amp; Design\Design\FC22\DRR Jaime\Neiva CPI\[DINA TERCIARIOS_CF_SEC_New_27-Mar-2024.xlsx]D-PS'!$BX$45</t>
  </si>
  <si>
    <t>='C:\Users\jaime.benazar\Quorum Business Solutions\Ecopetrol Prometeo - Documents\Planning Space Implementation\3. Analysis &amp; Design\Design\FC22\DRR Jaime\Neiva CPI\[DINA TERCIARIOS_CF_SEC_New_27-Mar-2024.xlsx]D-PS'!$BX$46</t>
  </si>
  <si>
    <t>='C:\Users\jaime.benazar\Quorum Business Solutions\Ecopetrol Prometeo - Documents\Planning Space Implementation\3. Analysis &amp; Design\Design\FC22\DRR Jaime\Neiva CPI\[DINA TERCIARIOS_CF_SEC_New_27-Mar-2024.xlsx]D-PS'!$BX$47</t>
  </si>
  <si>
    <t>='C:\Users\jaime.benazar\Quorum Business Solutions\Ecopetrol Prometeo - Documents\Planning Space Implementation\3. Analysis &amp; Design\Design\FC22\DRR Jaime\Neiva CPI\[DINA TERCIARIOS_CF_SEC_New_27-Mar-2024.xlsx]D-PS'!$BX$48</t>
  </si>
  <si>
    <t>='C:\Users\jaime.benazar\Quorum Business Solutions\Ecopetrol Prometeo - Documents\Planning Space Implementation\3. Analysis &amp; Design\Design\FC22\DRR Jaime\Neiva CPI\[DINA TERCIARIOS_CF_SEC_New_27-Mar-2024.xlsx]D-PDP'!$DC$12</t>
  </si>
  <si>
    <t>='C:\Users\jaime.benazar\Quorum Business Solutions\Ecopetrol Prometeo - Documents\Planning Space Implementation\3. Analysis &amp; Design\Design\FC22\DRR Jaime\Neiva CPI\[DINA TERCIARIOS_CF_SEC_New_27-Mar-2024.xlsx]D-PDP'!$DC$13</t>
  </si>
  <si>
    <t>='C:\Users\jaime.benazar\Quorum Business Solutions\Ecopetrol Prometeo - Documents\Planning Space Implementation\3. Analysis &amp; Design\Design\FC22\DRR Jaime\Neiva CPI\[DINA TERCIARIOS_CF_SEC_New_27-Mar-2024.xlsx]D-PDP'!$DC$14</t>
  </si>
  <si>
    <t>='C:\Users\jaime.benazar\Quorum Business Solutions\Ecopetrol Prometeo - Documents\Planning Space Implementation\3. Analysis &amp; Design\Design\FC22\DRR Jaime\Neiva CPI\[DINA TERCIARIOS_CF_SEC_New_27-Mar-2024.xlsx]D-PDP'!$DC$15</t>
  </si>
  <si>
    <t>='C:\Users\jaime.benazar\Quorum Business Solutions\Ecopetrol Prometeo - Documents\Planning Space Implementation\3. Analysis &amp; Design\Design\FC22\DRR Jaime\Neiva CPI\[DINA TERCIARIOS_CF_SEC_New_27-Mar-2024.xlsx]D-PDP'!$DC$16</t>
  </si>
  <si>
    <t>='C:\Users\jaime.benazar\Quorum Business Solutions\Ecopetrol Prometeo - Documents\Planning Space Implementation\3. Analysis &amp; Design\Design\FC22\DRR Jaime\Neiva CPI\[DINA TERCIARIOS_CF_SEC_New_27-Mar-2024.xlsx]D-PDP'!$DC$17</t>
  </si>
  <si>
    <t>='C:\Users\jaime.benazar\Quorum Business Solutions\Ecopetrol Prometeo - Documents\Planning Space Implementation\3. Analysis &amp; Design\Design\FC22\DRR Jaime\Neiva CPI\[DINA TERCIARIOS_CF_SEC_New_27-Mar-2024.xlsx]D-PDP'!$DC$18</t>
  </si>
  <si>
    <t>='C:\Users\jaime.benazar\Quorum Business Solutions\Ecopetrol Prometeo - Documents\Planning Space Implementation\3. Analysis &amp; Design\Design\FC22\DRR Jaime\Neiva CPI\[DINA TERCIARIOS_CF_SEC_New_27-Mar-2024.xlsx]D-PDP'!$DC$19</t>
  </si>
  <si>
    <t>='C:\Users\jaime.benazar\Quorum Business Solutions\Ecopetrol Prometeo - Documents\Planning Space Implementation\3. Analysis &amp; Design\Design\FC22\DRR Jaime\Neiva CPI\[DINA TERCIARIOS_CF_SEC_New_27-Mar-2024.xlsx]D-PDP'!$DC$20</t>
  </si>
  <si>
    <t>='C:\Users\jaime.benazar\Quorum Business Solutions\Ecopetrol Prometeo - Documents\Planning Space Implementation\3. Analysis &amp; Design\Design\FC22\DRR Jaime\Neiva CPI\[DINA TERCIARIOS_CF_SEC_New_27-Mar-2024.xlsx]D-PDP'!$DC$21</t>
  </si>
  <si>
    <t>='C:\Users\jaime.benazar\Quorum Business Solutions\Ecopetrol Prometeo - Documents\Planning Space Implementation\3. Analysis &amp; Design\Design\FC22\DRR Jaime\Neiva CPI\[DINA TERCIARIOS_CF_SEC_New_27-Mar-2024.xlsx]D-PDP'!$DC$22</t>
  </si>
  <si>
    <t>='C:\Users\jaime.benazar\Quorum Business Solutions\Ecopetrol Prometeo - Documents\Planning Space Implementation\3. Analysis &amp; Design\Design\FC22\DRR Jaime\Neiva CPI\[DINA TERCIARIOS_CF_SEC_New_27-Mar-2024.xlsx]D-PDP'!$DC$23</t>
  </si>
  <si>
    <t>='C:\Users\jaime.benazar\Quorum Business Solutions\Ecopetrol Prometeo - Documents\Planning Space Implementation\3. Analysis &amp; Design\Design\FC22\DRR Jaime\Neiva CPI\[DINA TERCIARIOS_CF_SEC_New_27-Mar-2024.xlsx]D-PDP'!$DC$24</t>
  </si>
  <si>
    <t>='C:\Users\jaime.benazar\Quorum Business Solutions\Ecopetrol Prometeo - Documents\Planning Space Implementation\3. Analysis &amp; Design\Design\FC22\DRR Jaime\Neiva CPI\[DINA TERCIARIOS_CF_SEC_New_27-Mar-2024.xlsx]D-PDP'!$DC$25</t>
  </si>
  <si>
    <t>='C:\Users\jaime.benazar\Quorum Business Solutions\Ecopetrol Prometeo - Documents\Planning Space Implementation\3. Analysis &amp; Design\Design\FC22\DRR Jaime\Neiva CPI\[DINA TERCIARIOS_CF_SEC_New_27-Mar-2024.xlsx]D-PDP'!$DC$26</t>
  </si>
  <si>
    <t>='C:\Users\jaime.benazar\Quorum Business Solutions\Ecopetrol Prometeo - Documents\Planning Space Implementation\3. Analysis &amp; Design\Design\FC22\DRR Jaime\Neiva CPI\[DINA TERCIARIOS_CF_SEC_New_27-Mar-2024.xlsx]D-PDP'!$DC$27</t>
  </si>
  <si>
    <t>='C:\Users\jaime.benazar\Quorum Business Solutions\Ecopetrol Prometeo - Documents\Planning Space Implementation\3. Analysis &amp; Design\Design\FC22\DRR Jaime\Neiva CPI\[DINA TERCIARIOS_CF_SEC_New_27-Mar-2024.xlsx]D-PDP'!$DC$28</t>
  </si>
  <si>
    <t>='C:\Users\jaime.benazar\Quorum Business Solutions\Ecopetrol Prometeo - Documents\Planning Space Implementation\3. Analysis &amp; Design\Design\FC22\DRR Jaime\Neiva CPI\[DINA TERCIARIOS_CF_SEC_New_27-Mar-2024.xlsx]D-PDP'!$DC$29</t>
  </si>
  <si>
    <t>='C:\Users\jaime.benazar\Quorum Business Solutions\Ecopetrol Prometeo - Documents\Planning Space Implementation\3. Analysis &amp; Design\Design\FC22\DRR Jaime\Neiva CPI\[DINA TERCIARIOS_CF_SEC_New_27-Mar-2024.xlsx]D-PDP'!$DC$30</t>
  </si>
  <si>
    <t>='C:\Users\jaime.benazar\Quorum Business Solutions\Ecopetrol Prometeo - Documents\Planning Space Implementation\3. Analysis &amp; Design\Design\FC22\DRR Jaime\Neiva CPI\[DINA TERCIARIOS_CF_SEC_New_27-Mar-2024.xlsx]D-PDP'!$DC$31</t>
  </si>
  <si>
    <t>='C:\Users\jaime.benazar\Quorum Business Solutions\Ecopetrol Prometeo - Documents\Planning Space Implementation\3. Analysis &amp; Design\Design\FC22\DRR Jaime\Neiva CPI\[DINA TERCIARIOS_CF_SEC_New_27-Mar-2024.xlsx]D-PDP'!$DC$32</t>
  </si>
  <si>
    <t>='C:\Users\jaime.benazar\Quorum Business Solutions\Ecopetrol Prometeo - Documents\Planning Space Implementation\3. Analysis &amp; Design\Design\FC22\DRR Jaime\Neiva CPI\[DINA TERCIARIOS_CF_SEC_New_27-Mar-2024.xlsx]D-PDP'!$DC$33</t>
  </si>
  <si>
    <t>='C:\Users\jaime.benazar\Quorum Business Solutions\Ecopetrol Prometeo - Documents\Planning Space Implementation\3. Analysis &amp; Design\Design\FC22\DRR Jaime\Neiva CPI\[DINA TERCIARIOS_CF_SEC_New_27-Mar-2024.xlsx]D-PDP'!$DC$34</t>
  </si>
  <si>
    <t>='C:\Users\jaime.benazar\Quorum Business Solutions\Ecopetrol Prometeo - Documents\Planning Space Implementation\3. Analysis &amp; Design\Design\FC22\DRR Jaime\Neiva CPI\[DINA TERCIARIOS_CF_SEC_New_27-Mar-2024.xlsx]D-PDP'!$DC$35</t>
  </si>
  <si>
    <t>='C:\Users\jaime.benazar\Quorum Business Solutions\Ecopetrol Prometeo - Documents\Planning Space Implementation\3. Analysis &amp; Design\Design\FC22\DRR Jaime\Neiva CPI\[DINA TERCIARIOS_CF_SEC_New_27-Mar-2024.xlsx]D-PDP'!$DC$36</t>
  </si>
  <si>
    <t>='C:\Users\jaime.benazar\Quorum Business Solutions\Ecopetrol Prometeo - Documents\Planning Space Implementation\3. Analysis &amp; Design\Design\FC22\DRR Jaime\Neiva CPI\[DINA TERCIARIOS_CF_SEC_New_27-Mar-2024.xlsx]D-PDP'!$DC$37</t>
  </si>
  <si>
    <t>='C:\Users\jaime.benazar\Quorum Business Solutions\Ecopetrol Prometeo - Documents\Planning Space Implementation\3. Analysis &amp; Design\Design\FC22\DRR Jaime\Neiva CPI\[DINA TERCIARIOS_CF_SEC_New_27-Mar-2024.xlsx]D-PDP'!$DC$38</t>
  </si>
  <si>
    <t>='C:\Users\jaime.benazar\Quorum Business Solutions\Ecopetrol Prometeo - Documents\Planning Space Implementation\3. Analysis &amp; Design\Design\FC22\DRR Jaime\Neiva CPI\[DINA TERCIARIOS_CF_SEC_New_27-Mar-2024.xlsx]D-PDP'!$DC$39</t>
  </si>
  <si>
    <t>='C:\Users\jaime.benazar\Quorum Business Solutions\Ecopetrol Prometeo - Documents\Planning Space Implementation\3. Analysis &amp; Design\Design\FC22\DRR Jaime\Neiva CPI\[DINA TERCIARIOS_CF_SEC_New_27-Mar-2024.xlsx]D-PDP'!$DC$40</t>
  </si>
  <si>
    <t>='C:\Users\jaime.benazar\Quorum Business Solutions\Ecopetrol Prometeo - Documents\Planning Space Implementation\3. Analysis &amp; Design\Design\FC22\DRR Jaime\Neiva CPI\[DINA TERCIARIOS_CF_SEC_New_27-Mar-2024.xlsx]D-PDP'!$DC$41</t>
  </si>
  <si>
    <t>='C:\Users\jaime.benazar\Quorum Business Solutions\Ecopetrol Prometeo - Documents\Planning Space Implementation\3. Analysis &amp; Design\Design\FC22\DRR Jaime\Neiva CPI\[DINA TERCIARIOS_CF_SEC_New_27-Mar-2024.xlsx]D-PDP'!$DC$42</t>
  </si>
  <si>
    <t>='C:\Users\jaime.benazar\Quorum Business Solutions\Ecopetrol Prometeo - Documents\Planning Space Implementation\3. Analysis &amp; Design\Design\FC22\DRR Jaime\Neiva CPI\[DINA TERCIARIOS_CF_SEC_New_27-Mar-2024.xlsx]D-PDP'!$DC$43</t>
  </si>
  <si>
    <t>='C:\Users\jaime.benazar\Quorum Business Solutions\Ecopetrol Prometeo - Documents\Planning Space Implementation\3. Analysis &amp; Design\Design\FC22\DRR Jaime\Neiva CPI\[DINA TERCIARIOS_CF_SEC_New_27-Mar-2024.xlsx]D-PDP'!$DC$44</t>
  </si>
  <si>
    <t>='C:\Users\jaime.benazar\Quorum Business Solutions\Ecopetrol Prometeo - Documents\Planning Space Implementation\3. Analysis &amp; Design\Design\FC22\DRR Jaime\Neiva CPI\[DINA TERCIARIOS_CF_SEC_New_27-Mar-2024.xlsx]D-PDP'!$DC$45</t>
  </si>
  <si>
    <t>='C:\Users\jaime.benazar\Quorum Business Solutions\Ecopetrol Prometeo - Documents\Planning Space Implementation\3. Analysis &amp; Design\Design\FC22\DRR Jaime\Neiva CPI\[DINA TERCIARIOS_CF_SEC_New_27-Mar-2024.xlsx]D-PDP'!$DC$46</t>
  </si>
  <si>
    <t>='C:\Users\jaime.benazar\Quorum Business Solutions\Ecopetrol Prometeo - Documents\Planning Space Implementation\3. Analysis &amp; Design\Design\FC22\DRR Jaime\Neiva CPI\[DINA TERCIARIOS_CF_SEC_New_27-Mar-2024.xlsx]D-PDP'!$DC$47</t>
  </si>
  <si>
    <t>='C:\Users\jaime.benazar\Quorum Business Solutions\Ecopetrol Prometeo - Documents\Planning Space Implementation\3. Analysis &amp; Design\Design\FC22\DRR Jaime\Neiva CPI\[DINA TERCIARIOS_CF_SEC_New_27-Mar-2024.xlsx]D-PDP'!$DC$48</t>
  </si>
  <si>
    <t>='C:\Users\jaime.benazar\Quorum Business Solutions\Ecopetrol Prometeo - Documents\Planning Space Implementation\3. Analysis &amp; Design\Design\FC22\DRR Jaime\Neiva CPI\[DINA TERCIARIOS_CF_SEC_New_27-Mar-2024.xlsx]D-PNP'!$DC$12</t>
  </si>
  <si>
    <t>='C:\Users\jaime.benazar\Quorum Business Solutions\Ecopetrol Prometeo - Documents\Planning Space Implementation\3. Analysis &amp; Design\Design\FC22\DRR Jaime\Neiva CPI\[DINA TERCIARIOS_CF_SEC_New_27-Mar-2024.xlsx]D-PNP'!$DC$13</t>
  </si>
  <si>
    <t>='C:\Users\jaime.benazar\Quorum Business Solutions\Ecopetrol Prometeo - Documents\Planning Space Implementation\3. Analysis &amp; Design\Design\FC22\DRR Jaime\Neiva CPI\[DINA TERCIARIOS_CF_SEC_New_27-Mar-2024.xlsx]D-PNP'!$DC$14</t>
  </si>
  <si>
    <t>='C:\Users\jaime.benazar\Quorum Business Solutions\Ecopetrol Prometeo - Documents\Planning Space Implementation\3. Analysis &amp; Design\Design\FC22\DRR Jaime\Neiva CPI\[DINA TERCIARIOS_CF_SEC_New_27-Mar-2024.xlsx]D-PNP'!$DC$15</t>
  </si>
  <si>
    <t>='C:\Users\jaime.benazar\Quorum Business Solutions\Ecopetrol Prometeo - Documents\Planning Space Implementation\3. Analysis &amp; Design\Design\FC22\DRR Jaime\Neiva CPI\[DINA TERCIARIOS_CF_SEC_New_27-Mar-2024.xlsx]D-PNP'!$DC$16</t>
  </si>
  <si>
    <t>='C:\Users\jaime.benazar\Quorum Business Solutions\Ecopetrol Prometeo - Documents\Planning Space Implementation\3. Analysis &amp; Design\Design\FC22\DRR Jaime\Neiva CPI\[DINA TERCIARIOS_CF_SEC_New_27-Mar-2024.xlsx]D-PNP'!$DC$17</t>
  </si>
  <si>
    <t>='C:\Users\jaime.benazar\Quorum Business Solutions\Ecopetrol Prometeo - Documents\Planning Space Implementation\3. Analysis &amp; Design\Design\FC22\DRR Jaime\Neiva CPI\[DINA TERCIARIOS_CF_SEC_New_27-Mar-2024.xlsx]D-PNP'!$DC$18</t>
  </si>
  <si>
    <t>='C:\Users\jaime.benazar\Quorum Business Solutions\Ecopetrol Prometeo - Documents\Planning Space Implementation\3. Analysis &amp; Design\Design\FC22\DRR Jaime\Neiva CPI\[DINA TERCIARIOS_CF_SEC_New_27-Mar-2024.xlsx]D-PNP'!$DC$19</t>
  </si>
  <si>
    <t>='C:\Users\jaime.benazar\Quorum Business Solutions\Ecopetrol Prometeo - Documents\Planning Space Implementation\3. Analysis &amp; Design\Design\FC22\DRR Jaime\Neiva CPI\[DINA TERCIARIOS_CF_SEC_New_27-Mar-2024.xlsx]D-PNP'!$DC$20</t>
  </si>
  <si>
    <t>='C:\Users\jaime.benazar\Quorum Business Solutions\Ecopetrol Prometeo - Documents\Planning Space Implementation\3. Analysis &amp; Design\Design\FC22\DRR Jaime\Neiva CPI\[DINA TERCIARIOS_CF_SEC_New_27-Mar-2024.xlsx]D-PNP'!$DC$21</t>
  </si>
  <si>
    <t>='C:\Users\jaime.benazar\Quorum Business Solutions\Ecopetrol Prometeo - Documents\Planning Space Implementation\3. Analysis &amp; Design\Design\FC22\DRR Jaime\Neiva CPI\[DINA TERCIARIOS_CF_SEC_New_27-Mar-2024.xlsx]D-PNP'!$DC$22</t>
  </si>
  <si>
    <t>='C:\Users\jaime.benazar\Quorum Business Solutions\Ecopetrol Prometeo - Documents\Planning Space Implementation\3. Analysis &amp; Design\Design\FC22\DRR Jaime\Neiva CPI\[DINA TERCIARIOS_CF_SEC_New_27-Mar-2024.xlsx]D-PNP'!$DC$23</t>
  </si>
  <si>
    <t>='C:\Users\jaime.benazar\Quorum Business Solutions\Ecopetrol Prometeo - Documents\Planning Space Implementation\3. Analysis &amp; Design\Design\FC22\DRR Jaime\Neiva CPI\[DINA TERCIARIOS_CF_SEC_New_27-Mar-2024.xlsx]D-PNP'!$DC$24</t>
  </si>
  <si>
    <t>='C:\Users\jaime.benazar\Quorum Business Solutions\Ecopetrol Prometeo - Documents\Planning Space Implementation\3. Analysis &amp; Design\Design\FC22\DRR Jaime\Neiva CPI\[DINA TERCIARIOS_CF_SEC_New_27-Mar-2024.xlsx]D-PNP'!$DC$25</t>
  </si>
  <si>
    <t>='C:\Users\jaime.benazar\Quorum Business Solutions\Ecopetrol Prometeo - Documents\Planning Space Implementation\3. Analysis &amp; Design\Design\FC22\DRR Jaime\Neiva CPI\[DINA TERCIARIOS_CF_SEC_New_27-Mar-2024.xlsx]D-PNP'!$DC$26</t>
  </si>
  <si>
    <t>='C:\Users\jaime.benazar\Quorum Business Solutions\Ecopetrol Prometeo - Documents\Planning Space Implementation\3. Analysis &amp; Design\Design\FC22\DRR Jaime\Neiva CPI\[DINA TERCIARIOS_CF_SEC_New_27-Mar-2024.xlsx]D-PNP'!$DC$27</t>
  </si>
  <si>
    <t>='C:\Users\jaime.benazar\Quorum Business Solutions\Ecopetrol Prometeo - Documents\Planning Space Implementation\3. Analysis &amp; Design\Design\FC22\DRR Jaime\Neiva CPI\[DINA TERCIARIOS_CF_SEC_New_27-Mar-2024.xlsx]D-PNP'!$DC$28</t>
  </si>
  <si>
    <t>='C:\Users\jaime.benazar\Quorum Business Solutions\Ecopetrol Prometeo - Documents\Planning Space Implementation\3. Analysis &amp; Design\Design\FC22\DRR Jaime\Neiva CPI\[DINA TERCIARIOS_CF_SEC_New_27-Mar-2024.xlsx]D-PNP'!$DC$29</t>
  </si>
  <si>
    <t>='C:\Users\jaime.benazar\Quorum Business Solutions\Ecopetrol Prometeo - Documents\Planning Space Implementation\3. Analysis &amp; Design\Design\FC22\DRR Jaime\Neiva CPI\[DINA TERCIARIOS_CF_SEC_New_27-Mar-2024.xlsx]D-PNP'!$DC$30</t>
  </si>
  <si>
    <t>='C:\Users\jaime.benazar\Quorum Business Solutions\Ecopetrol Prometeo - Documents\Planning Space Implementation\3. Analysis &amp; Design\Design\FC22\DRR Jaime\Neiva CPI\[DINA TERCIARIOS_CF_SEC_New_27-Mar-2024.xlsx]D-PNP'!$DC$31</t>
  </si>
  <si>
    <t>='C:\Users\jaime.benazar\Quorum Business Solutions\Ecopetrol Prometeo - Documents\Planning Space Implementation\3. Analysis &amp; Design\Design\FC22\DRR Jaime\Neiva CPI\[DINA TERCIARIOS_CF_SEC_New_27-Mar-2024.xlsx]D-PNP'!$DC$32</t>
  </si>
  <si>
    <t>='C:\Users\jaime.benazar\Quorum Business Solutions\Ecopetrol Prometeo - Documents\Planning Space Implementation\3. Analysis &amp; Design\Design\FC22\DRR Jaime\Neiva CPI\[DINA TERCIARIOS_CF_SEC_New_27-Mar-2024.xlsx]D-PNP'!$DC$33</t>
  </si>
  <si>
    <t>='C:\Users\jaime.benazar\Quorum Business Solutions\Ecopetrol Prometeo - Documents\Planning Space Implementation\3. Analysis &amp; Design\Design\FC22\DRR Jaime\Neiva CPI\[DINA TERCIARIOS_CF_SEC_New_27-Mar-2024.xlsx]D-PNP'!$DC$34</t>
  </si>
  <si>
    <t>='C:\Users\jaime.benazar\Quorum Business Solutions\Ecopetrol Prometeo - Documents\Planning Space Implementation\3. Analysis &amp; Design\Design\FC22\DRR Jaime\Neiva CPI\[DINA TERCIARIOS_CF_SEC_New_27-Mar-2024.xlsx]D-PNP'!$DC$35</t>
  </si>
  <si>
    <t>='C:\Users\jaime.benazar\Quorum Business Solutions\Ecopetrol Prometeo - Documents\Planning Space Implementation\3. Analysis &amp; Design\Design\FC22\DRR Jaime\Neiva CPI\[DINA TERCIARIOS_CF_SEC_New_27-Mar-2024.xlsx]D-PNP'!$DC$36</t>
  </si>
  <si>
    <t>='C:\Users\jaime.benazar\Quorum Business Solutions\Ecopetrol Prometeo - Documents\Planning Space Implementation\3. Analysis &amp; Design\Design\FC22\DRR Jaime\Neiva CPI\[DINA TERCIARIOS_CF_SEC_New_27-Mar-2024.xlsx]D-PNP'!$DC$37</t>
  </si>
  <si>
    <t>='C:\Users\jaime.benazar\Quorum Business Solutions\Ecopetrol Prometeo - Documents\Planning Space Implementation\3. Analysis &amp; Design\Design\FC22\DRR Jaime\Neiva CPI\[DINA TERCIARIOS_CF_SEC_New_27-Mar-2024.xlsx]D-PNP'!$DC$38</t>
  </si>
  <si>
    <t>='C:\Users\jaime.benazar\Quorum Business Solutions\Ecopetrol Prometeo - Documents\Planning Space Implementation\3. Analysis &amp; Design\Design\FC22\DRR Jaime\Neiva CPI\[DINA TERCIARIOS_CF_SEC_New_27-Mar-2024.xlsx]D-PNP'!$DC$39</t>
  </si>
  <si>
    <t>='C:\Users\jaime.benazar\Quorum Business Solutions\Ecopetrol Prometeo - Documents\Planning Space Implementation\3. Analysis &amp; Design\Design\FC22\DRR Jaime\Neiva CPI\[DINA TERCIARIOS_CF_SEC_New_27-Mar-2024.xlsx]D-PNP'!$DC$40</t>
  </si>
  <si>
    <t>='C:\Users\jaime.benazar\Quorum Business Solutions\Ecopetrol Prometeo - Documents\Planning Space Implementation\3. Analysis &amp; Design\Design\FC22\DRR Jaime\Neiva CPI\[DINA TERCIARIOS_CF_SEC_New_27-Mar-2024.xlsx]D-PNP'!$DC$41</t>
  </si>
  <si>
    <t>='C:\Users\jaime.benazar\Quorum Business Solutions\Ecopetrol Prometeo - Documents\Planning Space Implementation\3. Analysis &amp; Design\Design\FC22\DRR Jaime\Neiva CPI\[DINA TERCIARIOS_CF_SEC_New_27-Mar-2024.xlsx]D-PNP'!$DC$42</t>
  </si>
  <si>
    <t>='C:\Users\jaime.benazar\Quorum Business Solutions\Ecopetrol Prometeo - Documents\Planning Space Implementation\3. Analysis &amp; Design\Design\FC22\DRR Jaime\Neiva CPI\[DINA TERCIARIOS_CF_SEC_New_27-Mar-2024.xlsx]D-PNP'!$DC$43</t>
  </si>
  <si>
    <t>='C:\Users\jaime.benazar\Quorum Business Solutions\Ecopetrol Prometeo - Documents\Planning Space Implementation\3. Analysis &amp; Design\Design\FC22\DRR Jaime\Neiva CPI\[DINA TERCIARIOS_CF_SEC_New_27-Mar-2024.xlsx]D-PNP'!$DC$44</t>
  </si>
  <si>
    <t>='C:\Users\jaime.benazar\Quorum Business Solutions\Ecopetrol Prometeo - Documents\Planning Space Implementation\3. Analysis &amp; Design\Design\FC22\DRR Jaime\Neiva CPI\[DINA TERCIARIOS_CF_SEC_New_27-Mar-2024.xlsx]D-PNP'!$DC$45</t>
  </si>
  <si>
    <t>='C:\Users\jaime.benazar\Quorum Business Solutions\Ecopetrol Prometeo - Documents\Planning Space Implementation\3. Analysis &amp; Design\Design\FC22\DRR Jaime\Neiva CPI\[DINA TERCIARIOS_CF_SEC_New_27-Mar-2024.xlsx]D-PNP'!$DC$46</t>
  </si>
  <si>
    <t>='C:\Users\jaime.benazar\Quorum Business Solutions\Ecopetrol Prometeo - Documents\Planning Space Implementation\3. Analysis &amp; Design\Design\FC22\DRR Jaime\Neiva CPI\[DINA TERCIARIOS_CF_SEC_New_27-Mar-2024.xlsx]D-PNP'!$DC$47</t>
  </si>
  <si>
    <t>='C:\Users\jaime.benazar\Quorum Business Solutions\Ecopetrol Prometeo - Documents\Planning Space Implementation\3. Analysis &amp; Design\Design\FC22\DRR Jaime\Neiva CPI\[DINA TERCIARIOS_CF_SEC_New_27-Mar-2024.xlsx]D-PNP'!$DC$48</t>
  </si>
  <si>
    <t>='C:\Users\jaime.benazar\Quorum Business Solutions\Ecopetrol Prometeo - Documents\Planning Space Implementation\3. Analysis &amp; Design\Design\FC22\DRR Jaime\Neiva CPI\[DINA TERCIARIOS_CF_SEC_New_27-Mar-2024.xlsx]D-PND'!$DC$12</t>
  </si>
  <si>
    <t>='C:\Users\jaime.benazar\Quorum Business Solutions\Ecopetrol Prometeo - Documents\Planning Space Implementation\3. Analysis &amp; Design\Design\FC22\DRR Jaime\Neiva CPI\[DINA TERCIARIOS_CF_SEC_New_27-Mar-2024.xlsx]D-PND'!$DC$13</t>
  </si>
  <si>
    <t>='C:\Users\jaime.benazar\Quorum Business Solutions\Ecopetrol Prometeo - Documents\Planning Space Implementation\3. Analysis &amp; Design\Design\FC22\DRR Jaime\Neiva CPI\[DINA TERCIARIOS_CF_SEC_New_27-Mar-2024.xlsx]D-PND'!$DC$14</t>
  </si>
  <si>
    <t>='C:\Users\jaime.benazar\Quorum Business Solutions\Ecopetrol Prometeo - Documents\Planning Space Implementation\3. Analysis &amp; Design\Design\FC22\DRR Jaime\Neiva CPI\[DINA TERCIARIOS_CF_SEC_New_27-Mar-2024.xlsx]D-PND'!$DC$15</t>
  </si>
  <si>
    <t>='C:\Users\jaime.benazar\Quorum Business Solutions\Ecopetrol Prometeo - Documents\Planning Space Implementation\3. Analysis &amp; Design\Design\FC22\DRR Jaime\Neiva CPI\[DINA TERCIARIOS_CF_SEC_New_27-Mar-2024.xlsx]D-PND'!$DC$16</t>
  </si>
  <si>
    <t>='C:\Users\jaime.benazar\Quorum Business Solutions\Ecopetrol Prometeo - Documents\Planning Space Implementation\3. Analysis &amp; Design\Design\FC22\DRR Jaime\Neiva CPI\[DINA TERCIARIOS_CF_SEC_New_27-Mar-2024.xlsx]D-PND'!$DC$17</t>
  </si>
  <si>
    <t>='C:\Users\jaime.benazar\Quorum Business Solutions\Ecopetrol Prometeo - Documents\Planning Space Implementation\3. Analysis &amp; Design\Design\FC22\DRR Jaime\Neiva CPI\[DINA TERCIARIOS_CF_SEC_New_27-Mar-2024.xlsx]D-PND'!$DC$18</t>
  </si>
  <si>
    <t>='C:\Users\jaime.benazar\Quorum Business Solutions\Ecopetrol Prometeo - Documents\Planning Space Implementation\3. Analysis &amp; Design\Design\FC22\DRR Jaime\Neiva CPI\[DINA TERCIARIOS_CF_SEC_New_27-Mar-2024.xlsx]D-PND'!$DC$19</t>
  </si>
  <si>
    <t>='C:\Users\jaime.benazar\Quorum Business Solutions\Ecopetrol Prometeo - Documents\Planning Space Implementation\3. Analysis &amp; Design\Design\FC22\DRR Jaime\Neiva CPI\[DINA TERCIARIOS_CF_SEC_New_27-Mar-2024.xlsx]D-PND'!$DC$20</t>
  </si>
  <si>
    <t>='C:\Users\jaime.benazar\Quorum Business Solutions\Ecopetrol Prometeo - Documents\Planning Space Implementation\3. Analysis &amp; Design\Design\FC22\DRR Jaime\Neiva CPI\[DINA TERCIARIOS_CF_SEC_New_27-Mar-2024.xlsx]D-PND'!$DC$21</t>
  </si>
  <si>
    <t>='C:\Users\jaime.benazar\Quorum Business Solutions\Ecopetrol Prometeo - Documents\Planning Space Implementation\3. Analysis &amp; Design\Design\FC22\DRR Jaime\Neiva CPI\[DINA TERCIARIOS_CF_SEC_New_27-Mar-2024.xlsx]D-PND'!$DC$22</t>
  </si>
  <si>
    <t>='C:\Users\jaime.benazar\Quorum Business Solutions\Ecopetrol Prometeo - Documents\Planning Space Implementation\3. Analysis &amp; Design\Design\FC22\DRR Jaime\Neiva CPI\[DINA TERCIARIOS_CF_SEC_New_27-Mar-2024.xlsx]D-PND'!$DC$23</t>
  </si>
  <si>
    <t>='C:\Users\jaime.benazar\Quorum Business Solutions\Ecopetrol Prometeo - Documents\Planning Space Implementation\3. Analysis &amp; Design\Design\FC22\DRR Jaime\Neiva CPI\[DINA TERCIARIOS_CF_SEC_New_27-Mar-2024.xlsx]D-PND'!$DC$24</t>
  </si>
  <si>
    <t>='C:\Users\jaime.benazar\Quorum Business Solutions\Ecopetrol Prometeo - Documents\Planning Space Implementation\3. Analysis &amp; Design\Design\FC22\DRR Jaime\Neiva CPI\[DINA TERCIARIOS_CF_SEC_New_27-Mar-2024.xlsx]D-PND'!$DC$25</t>
  </si>
  <si>
    <t>='C:\Users\jaime.benazar\Quorum Business Solutions\Ecopetrol Prometeo - Documents\Planning Space Implementation\3. Analysis &amp; Design\Design\FC22\DRR Jaime\Neiva CPI\[DINA TERCIARIOS_CF_SEC_New_27-Mar-2024.xlsx]D-PND'!$DC$26</t>
  </si>
  <si>
    <t>='C:\Users\jaime.benazar\Quorum Business Solutions\Ecopetrol Prometeo - Documents\Planning Space Implementation\3. Analysis &amp; Design\Design\FC22\DRR Jaime\Neiva CPI\[DINA TERCIARIOS_CF_SEC_New_27-Mar-2024.xlsx]D-PND'!$DC$27</t>
  </si>
  <si>
    <t>='C:\Users\jaime.benazar\Quorum Business Solutions\Ecopetrol Prometeo - Documents\Planning Space Implementation\3. Analysis &amp; Design\Design\FC22\DRR Jaime\Neiva CPI\[DINA TERCIARIOS_CF_SEC_New_27-Mar-2024.xlsx]D-PND'!$DC$28</t>
  </si>
  <si>
    <t>='C:\Users\jaime.benazar\Quorum Business Solutions\Ecopetrol Prometeo - Documents\Planning Space Implementation\3. Analysis &amp; Design\Design\FC22\DRR Jaime\Neiva CPI\[DINA TERCIARIOS_CF_SEC_New_27-Mar-2024.xlsx]D-PND'!$DC$29</t>
  </si>
  <si>
    <t>='C:\Users\jaime.benazar\Quorum Business Solutions\Ecopetrol Prometeo - Documents\Planning Space Implementation\3. Analysis &amp; Design\Design\FC22\DRR Jaime\Neiva CPI\[DINA TERCIARIOS_CF_SEC_New_27-Mar-2024.xlsx]D-PND'!$DC$30</t>
  </si>
  <si>
    <t>='C:\Users\jaime.benazar\Quorum Business Solutions\Ecopetrol Prometeo - Documents\Planning Space Implementation\3. Analysis &amp; Design\Design\FC22\DRR Jaime\Neiva CPI\[DINA TERCIARIOS_CF_SEC_New_27-Mar-2024.xlsx]D-PND'!$DC$31</t>
  </si>
  <si>
    <t>='C:\Users\jaime.benazar\Quorum Business Solutions\Ecopetrol Prometeo - Documents\Planning Space Implementation\3. Analysis &amp; Design\Design\FC22\DRR Jaime\Neiva CPI\[DINA TERCIARIOS_CF_SEC_New_27-Mar-2024.xlsx]D-PND'!$DC$32</t>
  </si>
  <si>
    <t>='C:\Users\jaime.benazar\Quorum Business Solutions\Ecopetrol Prometeo - Documents\Planning Space Implementation\3. Analysis &amp; Design\Design\FC22\DRR Jaime\Neiva CPI\[DINA TERCIARIOS_CF_SEC_New_27-Mar-2024.xlsx]D-PND'!$DC$33</t>
  </si>
  <si>
    <t>='C:\Users\jaime.benazar\Quorum Business Solutions\Ecopetrol Prometeo - Documents\Planning Space Implementation\3. Analysis &amp; Design\Design\FC22\DRR Jaime\Neiva CPI\[DINA TERCIARIOS_CF_SEC_New_27-Mar-2024.xlsx]D-PND'!$DC$34</t>
  </si>
  <si>
    <t>='C:\Users\jaime.benazar\Quorum Business Solutions\Ecopetrol Prometeo - Documents\Planning Space Implementation\3. Analysis &amp; Design\Design\FC22\DRR Jaime\Neiva CPI\[DINA TERCIARIOS_CF_SEC_New_27-Mar-2024.xlsx]D-PND'!$DC$35</t>
  </si>
  <si>
    <t>='C:\Users\jaime.benazar\Quorum Business Solutions\Ecopetrol Prometeo - Documents\Planning Space Implementation\3. Analysis &amp; Design\Design\FC22\DRR Jaime\Neiva CPI\[DINA TERCIARIOS_CF_SEC_New_27-Mar-2024.xlsx]D-PND'!$DC$36</t>
  </si>
  <si>
    <t>='C:\Users\jaime.benazar\Quorum Business Solutions\Ecopetrol Prometeo - Documents\Planning Space Implementation\3. Analysis &amp; Design\Design\FC22\DRR Jaime\Neiva CPI\[DINA TERCIARIOS_CF_SEC_New_27-Mar-2024.xlsx]D-PND'!$DC$37</t>
  </si>
  <si>
    <t>='C:\Users\jaime.benazar\Quorum Business Solutions\Ecopetrol Prometeo - Documents\Planning Space Implementation\3. Analysis &amp; Design\Design\FC22\DRR Jaime\Neiva CPI\[DINA TERCIARIOS_CF_SEC_New_27-Mar-2024.xlsx]D-PND'!$DC$38</t>
  </si>
  <si>
    <t>='C:\Users\jaime.benazar\Quorum Business Solutions\Ecopetrol Prometeo - Documents\Planning Space Implementation\3. Analysis &amp; Design\Design\FC22\DRR Jaime\Neiva CPI\[DINA TERCIARIOS_CF_SEC_New_27-Mar-2024.xlsx]D-PND'!$DC$39</t>
  </si>
  <si>
    <t>='C:\Users\jaime.benazar\Quorum Business Solutions\Ecopetrol Prometeo - Documents\Planning Space Implementation\3. Analysis &amp; Design\Design\FC22\DRR Jaime\Neiva CPI\[DINA TERCIARIOS_CF_SEC_New_27-Mar-2024.xlsx]D-PND'!$DC$40</t>
  </si>
  <si>
    <t>='C:\Users\jaime.benazar\Quorum Business Solutions\Ecopetrol Prometeo - Documents\Planning Space Implementation\3. Analysis &amp; Design\Design\FC22\DRR Jaime\Neiva CPI\[DINA TERCIARIOS_CF_SEC_New_27-Mar-2024.xlsx]D-PND'!$DC$41</t>
  </si>
  <si>
    <t>='C:\Users\jaime.benazar\Quorum Business Solutions\Ecopetrol Prometeo - Documents\Planning Space Implementation\3. Analysis &amp; Design\Design\FC22\DRR Jaime\Neiva CPI\[DINA TERCIARIOS_CF_SEC_New_27-Mar-2024.xlsx]D-PND'!$DC$42</t>
  </si>
  <si>
    <t>='C:\Users\jaime.benazar\Quorum Business Solutions\Ecopetrol Prometeo - Documents\Planning Space Implementation\3. Analysis &amp; Design\Design\FC22\DRR Jaime\Neiva CPI\[DINA TERCIARIOS_CF_SEC_New_27-Mar-2024.xlsx]D-PND'!$DC$43</t>
  </si>
  <si>
    <t>='C:\Users\jaime.benazar\Quorum Business Solutions\Ecopetrol Prometeo - Documents\Planning Space Implementation\3. Analysis &amp; Design\Design\FC22\DRR Jaime\Neiva CPI\[DINA TERCIARIOS_CF_SEC_New_27-Mar-2024.xlsx]D-PND'!$DC$44</t>
  </si>
  <si>
    <t>='C:\Users\jaime.benazar\Quorum Business Solutions\Ecopetrol Prometeo - Documents\Planning Space Implementation\3. Analysis &amp; Design\Design\FC22\DRR Jaime\Neiva CPI\[DINA TERCIARIOS_CF_SEC_New_27-Mar-2024.xlsx]D-PND'!$DC$45</t>
  </si>
  <si>
    <t>='C:\Users\jaime.benazar\Quorum Business Solutions\Ecopetrol Prometeo - Documents\Planning Space Implementation\3. Analysis &amp; Design\Design\FC22\DRR Jaime\Neiva CPI\[DINA TERCIARIOS_CF_SEC_New_27-Mar-2024.xlsx]D-PND'!$DC$46</t>
  </si>
  <si>
    <t>='C:\Users\jaime.benazar\Quorum Business Solutions\Ecopetrol Prometeo - Documents\Planning Space Implementation\3. Analysis &amp; Design\Design\FC22\DRR Jaime\Neiva CPI\[DINA TERCIARIOS_CF_SEC_New_27-Mar-2024.xlsx]D-PND'!$DC$47</t>
  </si>
  <si>
    <t>='C:\Users\jaime.benazar\Quorum Business Solutions\Ecopetrol Prometeo - Documents\Planning Space Implementation\3. Analysis &amp; Design\Design\FC22\DRR Jaime\Neiva CPI\[DINA TERCIARIOS_CF_SEC_New_27-Mar-2024.xlsx]D-PND'!$DC$48</t>
  </si>
  <si>
    <t>='C:\Users\jaime.benazar\Quorum Business Solutions\Ecopetrol Prometeo - Documents\Planning Space Implementation\3. Analysis &amp; Design\Design\FC22\DRR Jaime\Neiva CPI\[DINA TERCIARIOS_CF_SEC_New_27-Mar-2024.xlsx]D-PRB'!$DC$12</t>
  </si>
  <si>
    <t>='C:\Users\jaime.benazar\Quorum Business Solutions\Ecopetrol Prometeo - Documents\Planning Space Implementation\3. Analysis &amp; Design\Design\FC22\DRR Jaime\Neiva CPI\[DINA TERCIARIOS_CF_SEC_New_27-Mar-2024.xlsx]D-PRB'!$DC$13</t>
  </si>
  <si>
    <t>='C:\Users\jaime.benazar\Quorum Business Solutions\Ecopetrol Prometeo - Documents\Planning Space Implementation\3. Analysis &amp; Design\Design\FC22\DRR Jaime\Neiva CPI\[DINA TERCIARIOS_CF_SEC_New_27-Mar-2024.xlsx]D-PRB'!$DC$14</t>
  </si>
  <si>
    <t>='C:\Users\jaime.benazar\Quorum Business Solutions\Ecopetrol Prometeo - Documents\Planning Space Implementation\3. Analysis &amp; Design\Design\FC22\DRR Jaime\Neiva CPI\[DINA TERCIARIOS_CF_SEC_New_27-Mar-2024.xlsx]D-PRB'!$DC$15</t>
  </si>
  <si>
    <t>='C:\Users\jaime.benazar\Quorum Business Solutions\Ecopetrol Prometeo - Documents\Planning Space Implementation\3. Analysis &amp; Design\Design\FC22\DRR Jaime\Neiva CPI\[DINA TERCIARIOS_CF_SEC_New_27-Mar-2024.xlsx]D-PRB'!$DC$16</t>
  </si>
  <si>
    <t>='C:\Users\jaime.benazar\Quorum Business Solutions\Ecopetrol Prometeo - Documents\Planning Space Implementation\3. Analysis &amp; Design\Design\FC22\DRR Jaime\Neiva CPI\[DINA TERCIARIOS_CF_SEC_New_27-Mar-2024.xlsx]D-PRB'!$DC$17</t>
  </si>
  <si>
    <t>='C:\Users\jaime.benazar\Quorum Business Solutions\Ecopetrol Prometeo - Documents\Planning Space Implementation\3. Analysis &amp; Design\Design\FC22\DRR Jaime\Neiva CPI\[DINA TERCIARIOS_CF_SEC_New_27-Mar-2024.xlsx]D-PRB'!$DC$18</t>
  </si>
  <si>
    <t>='C:\Users\jaime.benazar\Quorum Business Solutions\Ecopetrol Prometeo - Documents\Planning Space Implementation\3. Analysis &amp; Design\Design\FC22\DRR Jaime\Neiva CPI\[DINA TERCIARIOS_CF_SEC_New_27-Mar-2024.xlsx]D-PRB'!$DC$19</t>
  </si>
  <si>
    <t>='C:\Users\jaime.benazar\Quorum Business Solutions\Ecopetrol Prometeo - Documents\Planning Space Implementation\3. Analysis &amp; Design\Design\FC22\DRR Jaime\Neiva CPI\[DINA TERCIARIOS_CF_SEC_New_27-Mar-2024.xlsx]D-PRB'!$DC$20</t>
  </si>
  <si>
    <t>='C:\Users\jaime.benazar\Quorum Business Solutions\Ecopetrol Prometeo - Documents\Planning Space Implementation\3. Analysis &amp; Design\Design\FC22\DRR Jaime\Neiva CPI\[DINA TERCIARIOS_CF_SEC_New_27-Mar-2024.xlsx]D-PRB'!$DC$21</t>
  </si>
  <si>
    <t>='C:\Users\jaime.benazar\Quorum Business Solutions\Ecopetrol Prometeo - Documents\Planning Space Implementation\3. Analysis &amp; Design\Design\FC22\DRR Jaime\Neiva CPI\[DINA TERCIARIOS_CF_SEC_New_27-Mar-2024.xlsx]D-PRB'!$DC$22</t>
  </si>
  <si>
    <t>='C:\Users\jaime.benazar\Quorum Business Solutions\Ecopetrol Prometeo - Documents\Planning Space Implementation\3. Analysis &amp; Design\Design\FC22\DRR Jaime\Neiva CPI\[DINA TERCIARIOS_CF_SEC_New_27-Mar-2024.xlsx]D-PRB'!$DC$23</t>
  </si>
  <si>
    <t>='C:\Users\jaime.benazar\Quorum Business Solutions\Ecopetrol Prometeo - Documents\Planning Space Implementation\3. Analysis &amp; Design\Design\FC22\DRR Jaime\Neiva CPI\[DINA TERCIARIOS_CF_SEC_New_27-Mar-2024.xlsx]D-PRB'!$DC$24</t>
  </si>
  <si>
    <t>='C:\Users\jaime.benazar\Quorum Business Solutions\Ecopetrol Prometeo - Documents\Planning Space Implementation\3. Analysis &amp; Design\Design\FC22\DRR Jaime\Neiva CPI\[DINA TERCIARIOS_CF_SEC_New_27-Mar-2024.xlsx]D-PRB'!$DC$25</t>
  </si>
  <si>
    <t>='C:\Users\jaime.benazar\Quorum Business Solutions\Ecopetrol Prometeo - Documents\Planning Space Implementation\3. Analysis &amp; Design\Design\FC22\DRR Jaime\Neiva CPI\[DINA TERCIARIOS_CF_SEC_New_27-Mar-2024.xlsx]D-PRB'!$DC$26</t>
  </si>
  <si>
    <t>='C:\Users\jaime.benazar\Quorum Business Solutions\Ecopetrol Prometeo - Documents\Planning Space Implementation\3. Analysis &amp; Design\Design\FC22\DRR Jaime\Neiva CPI\[DINA TERCIARIOS_CF_SEC_New_27-Mar-2024.xlsx]D-PRB'!$DC$27</t>
  </si>
  <si>
    <t>='C:\Users\jaime.benazar\Quorum Business Solutions\Ecopetrol Prometeo - Documents\Planning Space Implementation\3. Analysis &amp; Design\Design\FC22\DRR Jaime\Neiva CPI\[DINA TERCIARIOS_CF_SEC_New_27-Mar-2024.xlsx]D-PRB'!$DC$28</t>
  </si>
  <si>
    <t>='C:\Users\jaime.benazar\Quorum Business Solutions\Ecopetrol Prometeo - Documents\Planning Space Implementation\3. Analysis &amp; Design\Design\FC22\DRR Jaime\Neiva CPI\[DINA TERCIARIOS_CF_SEC_New_27-Mar-2024.xlsx]D-PRB'!$DC$29</t>
  </si>
  <si>
    <t>='C:\Users\jaime.benazar\Quorum Business Solutions\Ecopetrol Prometeo - Documents\Planning Space Implementation\3. Analysis &amp; Design\Design\FC22\DRR Jaime\Neiva CPI\[DINA TERCIARIOS_CF_SEC_New_27-Mar-2024.xlsx]D-PRB'!$DC$30</t>
  </si>
  <si>
    <t>='C:\Users\jaime.benazar\Quorum Business Solutions\Ecopetrol Prometeo - Documents\Planning Space Implementation\3. Analysis &amp; Design\Design\FC22\DRR Jaime\Neiva CPI\[DINA TERCIARIOS_CF_SEC_New_27-Mar-2024.xlsx]D-PRB'!$DC$31</t>
  </si>
  <si>
    <t>='C:\Users\jaime.benazar\Quorum Business Solutions\Ecopetrol Prometeo - Documents\Planning Space Implementation\3. Analysis &amp; Design\Design\FC22\DRR Jaime\Neiva CPI\[DINA TERCIARIOS_CF_SEC_New_27-Mar-2024.xlsx]D-PRB'!$DC$32</t>
  </si>
  <si>
    <t>='C:\Users\jaime.benazar\Quorum Business Solutions\Ecopetrol Prometeo - Documents\Planning Space Implementation\3. Analysis &amp; Design\Design\FC22\DRR Jaime\Neiva CPI\[DINA TERCIARIOS_CF_SEC_New_27-Mar-2024.xlsx]D-PRB'!$DC$33</t>
  </si>
  <si>
    <t>='C:\Users\jaime.benazar\Quorum Business Solutions\Ecopetrol Prometeo - Documents\Planning Space Implementation\3. Analysis &amp; Design\Design\FC22\DRR Jaime\Neiva CPI\[DINA TERCIARIOS_CF_SEC_New_27-Mar-2024.xlsx]D-PRB'!$DC$34</t>
  </si>
  <si>
    <t>='C:\Users\jaime.benazar\Quorum Business Solutions\Ecopetrol Prometeo - Documents\Planning Space Implementation\3. Analysis &amp; Design\Design\FC22\DRR Jaime\Neiva CPI\[DINA TERCIARIOS_CF_SEC_New_27-Mar-2024.xlsx]D-PRB'!$DC$35</t>
  </si>
  <si>
    <t>='C:\Users\jaime.benazar\Quorum Business Solutions\Ecopetrol Prometeo - Documents\Planning Space Implementation\3. Analysis &amp; Design\Design\FC22\DRR Jaime\Neiva CPI\[DINA TERCIARIOS_CF_SEC_New_27-Mar-2024.xlsx]D-PRB'!$DC$36</t>
  </si>
  <si>
    <t>='C:\Users\jaime.benazar\Quorum Business Solutions\Ecopetrol Prometeo - Documents\Planning Space Implementation\3. Analysis &amp; Design\Design\FC22\DRR Jaime\Neiva CPI\[DINA TERCIARIOS_CF_SEC_New_27-Mar-2024.xlsx]D-PRB'!$DC$37</t>
  </si>
  <si>
    <t>='C:\Users\jaime.benazar\Quorum Business Solutions\Ecopetrol Prometeo - Documents\Planning Space Implementation\3. Analysis &amp; Design\Design\FC22\DRR Jaime\Neiva CPI\[DINA TERCIARIOS_CF_SEC_New_27-Mar-2024.xlsx]D-PRB'!$DC$38</t>
  </si>
  <si>
    <t>='C:\Users\jaime.benazar\Quorum Business Solutions\Ecopetrol Prometeo - Documents\Planning Space Implementation\3. Analysis &amp; Design\Design\FC22\DRR Jaime\Neiva CPI\[DINA TERCIARIOS_CF_SEC_New_27-Mar-2024.xlsx]D-PRB'!$DC$39</t>
  </si>
  <si>
    <t>='C:\Users\jaime.benazar\Quorum Business Solutions\Ecopetrol Prometeo - Documents\Planning Space Implementation\3. Analysis &amp; Design\Design\FC22\DRR Jaime\Neiva CPI\[DINA TERCIARIOS_CF_SEC_New_27-Mar-2024.xlsx]D-PRB'!$DC$40</t>
  </si>
  <si>
    <t>='C:\Users\jaime.benazar\Quorum Business Solutions\Ecopetrol Prometeo - Documents\Planning Space Implementation\3. Analysis &amp; Design\Design\FC22\DRR Jaime\Neiva CPI\[DINA TERCIARIOS_CF_SEC_New_27-Mar-2024.xlsx]D-PRB'!$DC$41</t>
  </si>
  <si>
    <t>='C:\Users\jaime.benazar\Quorum Business Solutions\Ecopetrol Prometeo - Documents\Planning Space Implementation\3. Analysis &amp; Design\Design\FC22\DRR Jaime\Neiva CPI\[DINA TERCIARIOS_CF_SEC_New_27-Mar-2024.xlsx]D-PRB'!$DC$42</t>
  </si>
  <si>
    <t>='C:\Users\jaime.benazar\Quorum Business Solutions\Ecopetrol Prometeo - Documents\Planning Space Implementation\3. Analysis &amp; Design\Design\FC22\DRR Jaime\Neiva CPI\[DINA TERCIARIOS_CF_SEC_New_27-Mar-2024.xlsx]D-PRB'!$DC$43</t>
  </si>
  <si>
    <t>='C:\Users\jaime.benazar\Quorum Business Solutions\Ecopetrol Prometeo - Documents\Planning Space Implementation\3. Analysis &amp; Design\Design\FC22\DRR Jaime\Neiva CPI\[DINA TERCIARIOS_CF_SEC_New_27-Mar-2024.xlsx]D-PRB'!$DC$44</t>
  </si>
  <si>
    <t>='C:\Users\jaime.benazar\Quorum Business Solutions\Ecopetrol Prometeo - Documents\Planning Space Implementation\3. Analysis &amp; Design\Design\FC22\DRR Jaime\Neiva CPI\[DINA TERCIARIOS_CF_SEC_New_27-Mar-2024.xlsx]D-PRB'!$DC$45</t>
  </si>
  <si>
    <t>='C:\Users\jaime.benazar\Quorum Business Solutions\Ecopetrol Prometeo - Documents\Planning Space Implementation\3. Analysis &amp; Design\Design\FC22\DRR Jaime\Neiva CPI\[DINA TERCIARIOS_CF_SEC_New_27-Mar-2024.xlsx]D-PRB'!$DC$46</t>
  </si>
  <si>
    <t>='C:\Users\jaime.benazar\Quorum Business Solutions\Ecopetrol Prometeo - Documents\Planning Space Implementation\3. Analysis &amp; Design\Design\FC22\DRR Jaime\Neiva CPI\[DINA TERCIARIOS_CF_SEC_New_27-Mar-2024.xlsx]D-PRB'!$DC$47</t>
  </si>
  <si>
    <t>='C:\Users\jaime.benazar\Quorum Business Solutions\Ecopetrol Prometeo - Documents\Planning Space Implementation\3. Analysis &amp; Design\Design\FC22\DRR Jaime\Neiva CPI\[DINA TERCIARIOS_CF_SEC_New_27-Mar-2024.xlsx]D-PRB'!$DC$48</t>
  </si>
  <si>
    <t>='C:\Users\jaime.benazar\Quorum Business Solutions\Ecopetrol Prometeo - Documents\Planning Space Implementation\3. Analysis &amp; Design\Design\FC22\DRR Jaime\Neiva CPI\[DINA TERCIARIOS_CF_SEC_New_27-Mar-2024.xlsx]D-PS'!$DC$12</t>
  </si>
  <si>
    <t>='C:\Users\jaime.benazar\Quorum Business Solutions\Ecopetrol Prometeo - Documents\Planning Space Implementation\3. Analysis &amp; Design\Design\FC22\DRR Jaime\Neiva CPI\[DINA TERCIARIOS_CF_SEC_New_27-Mar-2024.xlsx]D-PS'!$DC$13</t>
  </si>
  <si>
    <t>='C:\Users\jaime.benazar\Quorum Business Solutions\Ecopetrol Prometeo - Documents\Planning Space Implementation\3. Analysis &amp; Design\Design\FC22\DRR Jaime\Neiva CPI\[DINA TERCIARIOS_CF_SEC_New_27-Mar-2024.xlsx]D-PS'!$DC$14</t>
  </si>
  <si>
    <t>='C:\Users\jaime.benazar\Quorum Business Solutions\Ecopetrol Prometeo - Documents\Planning Space Implementation\3. Analysis &amp; Design\Design\FC22\DRR Jaime\Neiva CPI\[DINA TERCIARIOS_CF_SEC_New_27-Mar-2024.xlsx]D-PS'!$DC$15</t>
  </si>
  <si>
    <t>='C:\Users\jaime.benazar\Quorum Business Solutions\Ecopetrol Prometeo - Documents\Planning Space Implementation\3. Analysis &amp; Design\Design\FC22\DRR Jaime\Neiva CPI\[DINA TERCIARIOS_CF_SEC_New_27-Mar-2024.xlsx]D-PS'!$DC$16</t>
  </si>
  <si>
    <t>='C:\Users\jaime.benazar\Quorum Business Solutions\Ecopetrol Prometeo - Documents\Planning Space Implementation\3. Analysis &amp; Design\Design\FC22\DRR Jaime\Neiva CPI\[DINA TERCIARIOS_CF_SEC_New_27-Mar-2024.xlsx]D-PS'!$DC$17</t>
  </si>
  <si>
    <t>='C:\Users\jaime.benazar\Quorum Business Solutions\Ecopetrol Prometeo - Documents\Planning Space Implementation\3. Analysis &amp; Design\Design\FC22\DRR Jaime\Neiva CPI\[DINA TERCIARIOS_CF_SEC_New_27-Mar-2024.xlsx]D-PS'!$DC$18</t>
  </si>
  <si>
    <t>='C:\Users\jaime.benazar\Quorum Business Solutions\Ecopetrol Prometeo - Documents\Planning Space Implementation\3. Analysis &amp; Design\Design\FC22\DRR Jaime\Neiva CPI\[DINA TERCIARIOS_CF_SEC_New_27-Mar-2024.xlsx]D-PS'!$DC$19</t>
  </si>
  <si>
    <t>='C:\Users\jaime.benazar\Quorum Business Solutions\Ecopetrol Prometeo - Documents\Planning Space Implementation\3. Analysis &amp; Design\Design\FC22\DRR Jaime\Neiva CPI\[DINA TERCIARIOS_CF_SEC_New_27-Mar-2024.xlsx]D-PS'!$DC$20</t>
  </si>
  <si>
    <t>='C:\Users\jaime.benazar\Quorum Business Solutions\Ecopetrol Prometeo - Documents\Planning Space Implementation\3. Analysis &amp; Design\Design\FC22\DRR Jaime\Neiva CPI\[DINA TERCIARIOS_CF_SEC_New_27-Mar-2024.xlsx]D-PS'!$DC$21</t>
  </si>
  <si>
    <t>='C:\Users\jaime.benazar\Quorum Business Solutions\Ecopetrol Prometeo - Documents\Planning Space Implementation\3. Analysis &amp; Design\Design\FC22\DRR Jaime\Neiva CPI\[DINA TERCIARIOS_CF_SEC_New_27-Mar-2024.xlsx]D-PS'!$DC$22</t>
  </si>
  <si>
    <t>='C:\Users\jaime.benazar\Quorum Business Solutions\Ecopetrol Prometeo - Documents\Planning Space Implementation\3. Analysis &amp; Design\Design\FC22\DRR Jaime\Neiva CPI\[DINA TERCIARIOS_CF_SEC_New_27-Mar-2024.xlsx]D-PS'!$DC$23</t>
  </si>
  <si>
    <t>='C:\Users\jaime.benazar\Quorum Business Solutions\Ecopetrol Prometeo - Documents\Planning Space Implementation\3. Analysis &amp; Design\Design\FC22\DRR Jaime\Neiva CPI\[DINA TERCIARIOS_CF_SEC_New_27-Mar-2024.xlsx]D-PS'!$DC$24</t>
  </si>
  <si>
    <t>='C:\Users\jaime.benazar\Quorum Business Solutions\Ecopetrol Prometeo - Documents\Planning Space Implementation\3. Analysis &amp; Design\Design\FC22\DRR Jaime\Neiva CPI\[DINA TERCIARIOS_CF_SEC_New_27-Mar-2024.xlsx]D-PS'!$DC$25</t>
  </si>
  <si>
    <t>='C:\Users\jaime.benazar\Quorum Business Solutions\Ecopetrol Prometeo - Documents\Planning Space Implementation\3. Analysis &amp; Design\Design\FC22\DRR Jaime\Neiva CPI\[DINA TERCIARIOS_CF_SEC_New_27-Mar-2024.xlsx]D-PS'!$DC$26</t>
  </si>
  <si>
    <t>='C:\Users\jaime.benazar\Quorum Business Solutions\Ecopetrol Prometeo - Documents\Planning Space Implementation\3. Analysis &amp; Design\Design\FC22\DRR Jaime\Neiva CPI\[DINA TERCIARIOS_CF_SEC_New_27-Mar-2024.xlsx]D-PS'!$DC$27</t>
  </si>
  <si>
    <t>='C:\Users\jaime.benazar\Quorum Business Solutions\Ecopetrol Prometeo - Documents\Planning Space Implementation\3. Analysis &amp; Design\Design\FC22\DRR Jaime\Neiva CPI\[DINA TERCIARIOS_CF_SEC_New_27-Mar-2024.xlsx]D-PS'!$DC$28</t>
  </si>
  <si>
    <t>='C:\Users\jaime.benazar\Quorum Business Solutions\Ecopetrol Prometeo - Documents\Planning Space Implementation\3. Analysis &amp; Design\Design\FC22\DRR Jaime\Neiva CPI\[DINA TERCIARIOS_CF_SEC_New_27-Mar-2024.xlsx]D-PS'!$DC$29</t>
  </si>
  <si>
    <t>='C:\Users\jaime.benazar\Quorum Business Solutions\Ecopetrol Prometeo - Documents\Planning Space Implementation\3. Analysis &amp; Design\Design\FC22\DRR Jaime\Neiva CPI\[DINA TERCIARIOS_CF_SEC_New_27-Mar-2024.xlsx]D-PS'!$DC$30</t>
  </si>
  <si>
    <t>='C:\Users\jaime.benazar\Quorum Business Solutions\Ecopetrol Prometeo - Documents\Planning Space Implementation\3. Analysis &amp; Design\Design\FC22\DRR Jaime\Neiva CPI\[DINA TERCIARIOS_CF_SEC_New_27-Mar-2024.xlsx]D-PS'!$DC$31</t>
  </si>
  <si>
    <t>='C:\Users\jaime.benazar\Quorum Business Solutions\Ecopetrol Prometeo - Documents\Planning Space Implementation\3. Analysis &amp; Design\Design\FC22\DRR Jaime\Neiva CPI\[DINA TERCIARIOS_CF_SEC_New_27-Mar-2024.xlsx]D-PS'!$DC$32</t>
  </si>
  <si>
    <t>='C:\Users\jaime.benazar\Quorum Business Solutions\Ecopetrol Prometeo - Documents\Planning Space Implementation\3. Analysis &amp; Design\Design\FC22\DRR Jaime\Neiva CPI\[DINA TERCIARIOS_CF_SEC_New_27-Mar-2024.xlsx]D-PS'!$DC$33</t>
  </si>
  <si>
    <t>='C:\Users\jaime.benazar\Quorum Business Solutions\Ecopetrol Prometeo - Documents\Planning Space Implementation\3. Analysis &amp; Design\Design\FC22\DRR Jaime\Neiva CPI\[DINA TERCIARIOS_CF_SEC_New_27-Mar-2024.xlsx]D-PS'!$DC$34</t>
  </si>
  <si>
    <t>='C:\Users\jaime.benazar\Quorum Business Solutions\Ecopetrol Prometeo - Documents\Planning Space Implementation\3. Analysis &amp; Design\Design\FC22\DRR Jaime\Neiva CPI\[DINA TERCIARIOS_CF_SEC_New_27-Mar-2024.xlsx]D-PS'!$DC$35</t>
  </si>
  <si>
    <t>='C:\Users\jaime.benazar\Quorum Business Solutions\Ecopetrol Prometeo - Documents\Planning Space Implementation\3. Analysis &amp; Design\Design\FC22\DRR Jaime\Neiva CPI\[DINA TERCIARIOS_CF_SEC_New_27-Mar-2024.xlsx]D-PS'!$DC$36</t>
  </si>
  <si>
    <t>='C:\Users\jaime.benazar\Quorum Business Solutions\Ecopetrol Prometeo - Documents\Planning Space Implementation\3. Analysis &amp; Design\Design\FC22\DRR Jaime\Neiva CPI\[DINA TERCIARIOS_CF_SEC_New_27-Mar-2024.xlsx]D-PS'!$DC$37</t>
  </si>
  <si>
    <t>='C:\Users\jaime.benazar\Quorum Business Solutions\Ecopetrol Prometeo - Documents\Planning Space Implementation\3. Analysis &amp; Design\Design\FC22\DRR Jaime\Neiva CPI\[DINA TERCIARIOS_CF_SEC_New_27-Mar-2024.xlsx]D-PS'!$DC$38</t>
  </si>
  <si>
    <t>='C:\Users\jaime.benazar\Quorum Business Solutions\Ecopetrol Prometeo - Documents\Planning Space Implementation\3. Analysis &amp; Design\Design\FC22\DRR Jaime\Neiva CPI\[DINA TERCIARIOS_CF_SEC_New_27-Mar-2024.xlsx]D-PS'!$DC$39</t>
  </si>
  <si>
    <t>='C:\Users\jaime.benazar\Quorum Business Solutions\Ecopetrol Prometeo - Documents\Planning Space Implementation\3. Analysis &amp; Design\Design\FC22\DRR Jaime\Neiva CPI\[DINA TERCIARIOS_CF_SEC_New_27-Mar-2024.xlsx]D-PS'!$DC$40</t>
  </si>
  <si>
    <t>='C:\Users\jaime.benazar\Quorum Business Solutions\Ecopetrol Prometeo - Documents\Planning Space Implementation\3. Analysis &amp; Design\Design\FC22\DRR Jaime\Neiva CPI\[DINA TERCIARIOS_CF_SEC_New_27-Mar-2024.xlsx]D-PS'!$DC$41</t>
  </si>
  <si>
    <t>='C:\Users\jaime.benazar\Quorum Business Solutions\Ecopetrol Prometeo - Documents\Planning Space Implementation\3. Analysis &amp; Design\Design\FC22\DRR Jaime\Neiva CPI\[DINA TERCIARIOS_CF_SEC_New_27-Mar-2024.xlsx]D-PS'!$DC$42</t>
  </si>
  <si>
    <t>='C:\Users\jaime.benazar\Quorum Business Solutions\Ecopetrol Prometeo - Documents\Planning Space Implementation\3. Analysis &amp; Design\Design\FC22\DRR Jaime\Neiva CPI\[DINA TERCIARIOS_CF_SEC_New_27-Mar-2024.xlsx]D-PS'!$DC$43</t>
  </si>
  <si>
    <t>='C:\Users\jaime.benazar\Quorum Business Solutions\Ecopetrol Prometeo - Documents\Planning Space Implementation\3. Analysis &amp; Design\Design\FC22\DRR Jaime\Neiva CPI\[DINA TERCIARIOS_CF_SEC_New_27-Mar-2024.xlsx]D-PS'!$DC$44</t>
  </si>
  <si>
    <t>='C:\Users\jaime.benazar\Quorum Business Solutions\Ecopetrol Prometeo - Documents\Planning Space Implementation\3. Analysis &amp; Design\Design\FC22\DRR Jaime\Neiva CPI\[DINA TERCIARIOS_CF_SEC_New_27-Mar-2024.xlsx]D-PS'!$DC$45</t>
  </si>
  <si>
    <t>='C:\Users\jaime.benazar\Quorum Business Solutions\Ecopetrol Prometeo - Documents\Planning Space Implementation\3. Analysis &amp; Design\Design\FC22\DRR Jaime\Neiva CPI\[DINA TERCIARIOS_CF_SEC_New_27-Mar-2024.xlsx]D-PS'!$DC$46</t>
  </si>
  <si>
    <t>='C:\Users\jaime.benazar\Quorum Business Solutions\Ecopetrol Prometeo - Documents\Planning Space Implementation\3. Analysis &amp; Design\Design\FC22\DRR Jaime\Neiva CPI\[DINA TERCIARIOS_CF_SEC_New_27-Mar-2024.xlsx]D-PS'!$DC$47</t>
  </si>
  <si>
    <t>='C:\Users\jaime.benazar\Quorum Business Solutions\Ecopetrol Prometeo - Documents\Planning Space Implementation\3. Analysis &amp; Design\Design\FC22\DRR Jaime\Neiva CPI\[DINA TERCIARIOS_CF_SEC_New_27-Mar-2024.xlsx]D-PS'!$DC$48</t>
  </si>
  <si>
    <t>='C:\Users\jaime.benazar\Quorum Business Solutions\Ecopetrol Prometeo - Documents\Planning Space Implementation\3. Analysis &amp; Design\Design\FC22\DRR Jaime\Neiva CPI\[DINA TERCIARIOS_CF_SEC_New_27-Mar-2024.xlsx]D-PDP'!$EA$12</t>
  </si>
  <si>
    <t>='C:\Users\jaime.benazar\Quorum Business Solutions\Ecopetrol Prometeo - Documents\Planning Space Implementation\3. Analysis &amp; Design\Design\FC22\DRR Jaime\Neiva CPI\[DINA TERCIARIOS_CF_SEC_New_27-Mar-2024.xlsx]D-PDP'!$EA$13</t>
  </si>
  <si>
    <t>='C:\Users\jaime.benazar\Quorum Business Solutions\Ecopetrol Prometeo - Documents\Planning Space Implementation\3. Analysis &amp; Design\Design\FC22\DRR Jaime\Neiva CPI\[DINA TERCIARIOS_CF_SEC_New_27-Mar-2024.xlsx]D-PDP'!$EA$14</t>
  </si>
  <si>
    <t>='C:\Users\jaime.benazar\Quorum Business Solutions\Ecopetrol Prometeo - Documents\Planning Space Implementation\3. Analysis &amp; Design\Design\FC22\DRR Jaime\Neiva CPI\[DINA TERCIARIOS_CF_SEC_New_27-Mar-2024.xlsx]D-PDP'!$EA$15</t>
  </si>
  <si>
    <t>='C:\Users\jaime.benazar\Quorum Business Solutions\Ecopetrol Prometeo - Documents\Planning Space Implementation\3. Analysis &amp; Design\Design\FC22\DRR Jaime\Neiva CPI\[DINA TERCIARIOS_CF_SEC_New_27-Mar-2024.xlsx]D-PDP'!$EA$16</t>
  </si>
  <si>
    <t>='C:\Users\jaime.benazar\Quorum Business Solutions\Ecopetrol Prometeo - Documents\Planning Space Implementation\3. Analysis &amp; Design\Design\FC22\DRR Jaime\Neiva CPI\[DINA TERCIARIOS_CF_SEC_New_27-Mar-2024.xlsx]D-PDP'!$EA$17</t>
  </si>
  <si>
    <t>='C:\Users\jaime.benazar\Quorum Business Solutions\Ecopetrol Prometeo - Documents\Planning Space Implementation\3. Analysis &amp; Design\Design\FC22\DRR Jaime\Neiva CPI\[DINA TERCIARIOS_CF_SEC_New_27-Mar-2024.xlsx]D-PDP'!$EA$18</t>
  </si>
  <si>
    <t>='C:\Users\jaime.benazar\Quorum Business Solutions\Ecopetrol Prometeo - Documents\Planning Space Implementation\3. Analysis &amp; Design\Design\FC22\DRR Jaime\Neiva CPI\[DINA TERCIARIOS_CF_SEC_New_27-Mar-2024.xlsx]D-PDP'!$EA$19</t>
  </si>
  <si>
    <t>='C:\Users\jaime.benazar\Quorum Business Solutions\Ecopetrol Prometeo - Documents\Planning Space Implementation\3. Analysis &amp; Design\Design\FC22\DRR Jaime\Neiva CPI\[DINA TERCIARIOS_CF_SEC_New_27-Mar-2024.xlsx]D-PDP'!$EA$20</t>
  </si>
  <si>
    <t>='C:\Users\jaime.benazar\Quorum Business Solutions\Ecopetrol Prometeo - Documents\Planning Space Implementation\3. Analysis &amp; Design\Design\FC22\DRR Jaime\Neiva CPI\[DINA TERCIARIOS_CF_SEC_New_27-Mar-2024.xlsx]D-PDP'!$EA$21</t>
  </si>
  <si>
    <t>='C:\Users\jaime.benazar\Quorum Business Solutions\Ecopetrol Prometeo - Documents\Planning Space Implementation\3. Analysis &amp; Design\Design\FC22\DRR Jaime\Neiva CPI\[DINA TERCIARIOS_CF_SEC_New_27-Mar-2024.xlsx]D-PDP'!$EA$22</t>
  </si>
  <si>
    <t>='C:\Users\jaime.benazar\Quorum Business Solutions\Ecopetrol Prometeo - Documents\Planning Space Implementation\3. Analysis &amp; Design\Design\FC22\DRR Jaime\Neiva CPI\[DINA TERCIARIOS_CF_SEC_New_27-Mar-2024.xlsx]D-PDP'!$EA$23</t>
  </si>
  <si>
    <t>='C:\Users\jaime.benazar\Quorum Business Solutions\Ecopetrol Prometeo - Documents\Planning Space Implementation\3. Analysis &amp; Design\Design\FC22\DRR Jaime\Neiva CPI\[DINA TERCIARIOS_CF_SEC_New_27-Mar-2024.xlsx]D-PDP'!$EA$24</t>
  </si>
  <si>
    <t>='C:\Users\jaime.benazar\Quorum Business Solutions\Ecopetrol Prometeo - Documents\Planning Space Implementation\3. Analysis &amp; Design\Design\FC22\DRR Jaime\Neiva CPI\[DINA TERCIARIOS_CF_SEC_New_27-Mar-2024.xlsx]D-PDP'!$EA$25</t>
  </si>
  <si>
    <t>='C:\Users\jaime.benazar\Quorum Business Solutions\Ecopetrol Prometeo - Documents\Planning Space Implementation\3. Analysis &amp; Design\Design\FC22\DRR Jaime\Neiva CPI\[DINA TERCIARIOS_CF_SEC_New_27-Mar-2024.xlsx]D-PDP'!$EA$26</t>
  </si>
  <si>
    <t>='C:\Users\jaime.benazar\Quorum Business Solutions\Ecopetrol Prometeo - Documents\Planning Space Implementation\3. Analysis &amp; Design\Design\FC22\DRR Jaime\Neiva CPI\[DINA TERCIARIOS_CF_SEC_New_27-Mar-2024.xlsx]D-PDP'!$EA$27</t>
  </si>
  <si>
    <t>='C:\Users\jaime.benazar\Quorum Business Solutions\Ecopetrol Prometeo - Documents\Planning Space Implementation\3. Analysis &amp; Design\Design\FC22\DRR Jaime\Neiva CPI\[DINA TERCIARIOS_CF_SEC_New_27-Mar-2024.xlsx]D-PDP'!$EA$28</t>
  </si>
  <si>
    <t>='C:\Users\jaime.benazar\Quorum Business Solutions\Ecopetrol Prometeo - Documents\Planning Space Implementation\3. Analysis &amp; Design\Design\FC22\DRR Jaime\Neiva CPI\[DINA TERCIARIOS_CF_SEC_New_27-Mar-2024.xlsx]D-PDP'!$EA$29</t>
  </si>
  <si>
    <t>='C:\Users\jaime.benazar\Quorum Business Solutions\Ecopetrol Prometeo - Documents\Planning Space Implementation\3. Analysis &amp; Design\Design\FC22\DRR Jaime\Neiva CPI\[DINA TERCIARIOS_CF_SEC_New_27-Mar-2024.xlsx]D-PDP'!$EA$30</t>
  </si>
  <si>
    <t>='C:\Users\jaime.benazar\Quorum Business Solutions\Ecopetrol Prometeo - Documents\Planning Space Implementation\3. Analysis &amp; Design\Design\FC22\DRR Jaime\Neiva CPI\[DINA TERCIARIOS_CF_SEC_New_27-Mar-2024.xlsx]D-PDP'!$EA$31</t>
  </si>
  <si>
    <t>='C:\Users\jaime.benazar\Quorum Business Solutions\Ecopetrol Prometeo - Documents\Planning Space Implementation\3. Analysis &amp; Design\Design\FC22\DRR Jaime\Neiva CPI\[DINA TERCIARIOS_CF_SEC_New_27-Mar-2024.xlsx]D-PDP'!$EA$32</t>
  </si>
  <si>
    <t>='C:\Users\jaime.benazar\Quorum Business Solutions\Ecopetrol Prometeo - Documents\Planning Space Implementation\3. Analysis &amp; Design\Design\FC22\DRR Jaime\Neiva CPI\[DINA TERCIARIOS_CF_SEC_New_27-Mar-2024.xlsx]D-PDP'!$EA$33</t>
  </si>
  <si>
    <t>='C:\Users\jaime.benazar\Quorum Business Solutions\Ecopetrol Prometeo - Documents\Planning Space Implementation\3. Analysis &amp; Design\Design\FC22\DRR Jaime\Neiva CPI\[DINA TERCIARIOS_CF_SEC_New_27-Mar-2024.xlsx]D-PDP'!$EA$34</t>
  </si>
  <si>
    <t>='C:\Users\jaime.benazar\Quorum Business Solutions\Ecopetrol Prometeo - Documents\Planning Space Implementation\3. Analysis &amp; Design\Design\FC22\DRR Jaime\Neiva CPI\[DINA TERCIARIOS_CF_SEC_New_27-Mar-2024.xlsx]D-PDP'!$EA$35</t>
  </si>
  <si>
    <t>='C:\Users\jaime.benazar\Quorum Business Solutions\Ecopetrol Prometeo - Documents\Planning Space Implementation\3. Analysis &amp; Design\Design\FC22\DRR Jaime\Neiva CPI\[DINA TERCIARIOS_CF_SEC_New_27-Mar-2024.xlsx]D-PDP'!$EA$36</t>
  </si>
  <si>
    <t>='C:\Users\jaime.benazar\Quorum Business Solutions\Ecopetrol Prometeo - Documents\Planning Space Implementation\3. Analysis &amp; Design\Design\FC22\DRR Jaime\Neiva CPI\[DINA TERCIARIOS_CF_SEC_New_27-Mar-2024.xlsx]D-PDP'!$EA$37</t>
  </si>
  <si>
    <t>='C:\Users\jaime.benazar\Quorum Business Solutions\Ecopetrol Prometeo - Documents\Planning Space Implementation\3. Analysis &amp; Design\Design\FC22\DRR Jaime\Neiva CPI\[DINA TERCIARIOS_CF_SEC_New_27-Mar-2024.xlsx]D-PDP'!$EA$38</t>
  </si>
  <si>
    <t>='C:\Users\jaime.benazar\Quorum Business Solutions\Ecopetrol Prometeo - Documents\Planning Space Implementation\3. Analysis &amp; Design\Design\FC22\DRR Jaime\Neiva CPI\[DINA TERCIARIOS_CF_SEC_New_27-Mar-2024.xlsx]D-PDP'!$EA$39</t>
  </si>
  <si>
    <t>='C:\Users\jaime.benazar\Quorum Business Solutions\Ecopetrol Prometeo - Documents\Planning Space Implementation\3. Analysis &amp; Design\Design\FC22\DRR Jaime\Neiva CPI\[DINA TERCIARIOS_CF_SEC_New_27-Mar-2024.xlsx]D-PDP'!$EA$40</t>
  </si>
  <si>
    <t>='C:\Users\jaime.benazar\Quorum Business Solutions\Ecopetrol Prometeo - Documents\Planning Space Implementation\3. Analysis &amp; Design\Design\FC22\DRR Jaime\Neiva CPI\[DINA TERCIARIOS_CF_SEC_New_27-Mar-2024.xlsx]D-PDP'!$EA$41</t>
  </si>
  <si>
    <t>='C:\Users\jaime.benazar\Quorum Business Solutions\Ecopetrol Prometeo - Documents\Planning Space Implementation\3. Analysis &amp; Design\Design\FC22\DRR Jaime\Neiva CPI\[DINA TERCIARIOS_CF_SEC_New_27-Mar-2024.xlsx]D-PDP'!$EA$42</t>
  </si>
  <si>
    <t>='C:\Users\jaime.benazar\Quorum Business Solutions\Ecopetrol Prometeo - Documents\Planning Space Implementation\3. Analysis &amp; Design\Design\FC22\DRR Jaime\Neiva CPI\[DINA TERCIARIOS_CF_SEC_New_27-Mar-2024.xlsx]D-PDP'!$EA$43</t>
  </si>
  <si>
    <t>='C:\Users\jaime.benazar\Quorum Business Solutions\Ecopetrol Prometeo - Documents\Planning Space Implementation\3. Analysis &amp; Design\Design\FC22\DRR Jaime\Neiva CPI\[DINA TERCIARIOS_CF_SEC_New_27-Mar-2024.xlsx]D-PDP'!$EA$44</t>
  </si>
  <si>
    <t>='C:\Users\jaime.benazar\Quorum Business Solutions\Ecopetrol Prometeo - Documents\Planning Space Implementation\3. Analysis &amp; Design\Design\FC22\DRR Jaime\Neiva CPI\[DINA TERCIARIOS_CF_SEC_New_27-Mar-2024.xlsx]D-PDP'!$EA$45</t>
  </si>
  <si>
    <t>='C:\Users\jaime.benazar\Quorum Business Solutions\Ecopetrol Prometeo - Documents\Planning Space Implementation\3. Analysis &amp; Design\Design\FC22\DRR Jaime\Neiva CPI\[DINA TERCIARIOS_CF_SEC_New_27-Mar-2024.xlsx]D-PDP'!$EA$46</t>
  </si>
  <si>
    <t>='C:\Users\jaime.benazar\Quorum Business Solutions\Ecopetrol Prometeo - Documents\Planning Space Implementation\3. Analysis &amp; Design\Design\FC22\DRR Jaime\Neiva CPI\[DINA TERCIARIOS_CF_SEC_New_27-Mar-2024.xlsx]D-PDP'!$EA$47</t>
  </si>
  <si>
    <t>='C:\Users\jaime.benazar\Quorum Business Solutions\Ecopetrol Prometeo - Documents\Planning Space Implementation\3. Analysis &amp; Design\Design\FC22\DRR Jaime\Neiva CPI\[DINA TERCIARIOS_CF_SEC_New_27-Mar-2024.xlsx]D-PDP'!$EA$48</t>
  </si>
  <si>
    <t>='C:\Users\jaime.benazar\Quorum Business Solutions\Ecopetrol Prometeo - Documents\Planning Space Implementation\3. Analysis &amp; Design\Design\FC22\DRR Jaime\Neiva CPI\[DINA TERCIARIOS_CF_SEC_New_27-Mar-2024.xlsx]D-PNP'!$EA$12</t>
  </si>
  <si>
    <t>='C:\Users\jaime.benazar\Quorum Business Solutions\Ecopetrol Prometeo - Documents\Planning Space Implementation\3. Analysis &amp; Design\Design\FC22\DRR Jaime\Neiva CPI\[DINA TERCIARIOS_CF_SEC_New_27-Mar-2024.xlsx]D-PNP'!$EA$13</t>
  </si>
  <si>
    <t>='C:\Users\jaime.benazar\Quorum Business Solutions\Ecopetrol Prometeo - Documents\Planning Space Implementation\3. Analysis &amp; Design\Design\FC22\DRR Jaime\Neiva CPI\[DINA TERCIARIOS_CF_SEC_New_27-Mar-2024.xlsx]D-PNP'!$EA$14</t>
  </si>
  <si>
    <t>='C:\Users\jaime.benazar\Quorum Business Solutions\Ecopetrol Prometeo - Documents\Planning Space Implementation\3. Analysis &amp; Design\Design\FC22\DRR Jaime\Neiva CPI\[DINA TERCIARIOS_CF_SEC_New_27-Mar-2024.xlsx]D-PNP'!$EA$15</t>
  </si>
  <si>
    <t>='C:\Users\jaime.benazar\Quorum Business Solutions\Ecopetrol Prometeo - Documents\Planning Space Implementation\3. Analysis &amp; Design\Design\FC22\DRR Jaime\Neiva CPI\[DINA TERCIARIOS_CF_SEC_New_27-Mar-2024.xlsx]D-PNP'!$EA$16</t>
  </si>
  <si>
    <t>='C:\Users\jaime.benazar\Quorum Business Solutions\Ecopetrol Prometeo - Documents\Planning Space Implementation\3. Analysis &amp; Design\Design\FC22\DRR Jaime\Neiva CPI\[DINA TERCIARIOS_CF_SEC_New_27-Mar-2024.xlsx]D-PNP'!$EA$17</t>
  </si>
  <si>
    <t>='C:\Users\jaime.benazar\Quorum Business Solutions\Ecopetrol Prometeo - Documents\Planning Space Implementation\3. Analysis &amp; Design\Design\FC22\DRR Jaime\Neiva CPI\[DINA TERCIARIOS_CF_SEC_New_27-Mar-2024.xlsx]D-PNP'!$EA$18</t>
  </si>
  <si>
    <t>='C:\Users\jaime.benazar\Quorum Business Solutions\Ecopetrol Prometeo - Documents\Planning Space Implementation\3. Analysis &amp; Design\Design\FC22\DRR Jaime\Neiva CPI\[DINA TERCIARIOS_CF_SEC_New_27-Mar-2024.xlsx]D-PNP'!$EA$19</t>
  </si>
  <si>
    <t>='C:\Users\jaime.benazar\Quorum Business Solutions\Ecopetrol Prometeo - Documents\Planning Space Implementation\3. Analysis &amp; Design\Design\FC22\DRR Jaime\Neiva CPI\[DINA TERCIARIOS_CF_SEC_New_27-Mar-2024.xlsx]D-PNP'!$EA$20</t>
  </si>
  <si>
    <t>='C:\Users\jaime.benazar\Quorum Business Solutions\Ecopetrol Prometeo - Documents\Planning Space Implementation\3. Analysis &amp; Design\Design\FC22\DRR Jaime\Neiva CPI\[DINA TERCIARIOS_CF_SEC_New_27-Mar-2024.xlsx]D-PNP'!$EA$21</t>
  </si>
  <si>
    <t>='C:\Users\jaime.benazar\Quorum Business Solutions\Ecopetrol Prometeo - Documents\Planning Space Implementation\3. Analysis &amp; Design\Design\FC22\DRR Jaime\Neiva CPI\[DINA TERCIARIOS_CF_SEC_New_27-Mar-2024.xlsx]D-PNP'!$EA$22</t>
  </si>
  <si>
    <t>='C:\Users\jaime.benazar\Quorum Business Solutions\Ecopetrol Prometeo - Documents\Planning Space Implementation\3. Analysis &amp; Design\Design\FC22\DRR Jaime\Neiva CPI\[DINA TERCIARIOS_CF_SEC_New_27-Mar-2024.xlsx]D-PNP'!$EA$23</t>
  </si>
  <si>
    <t>='C:\Users\jaime.benazar\Quorum Business Solutions\Ecopetrol Prometeo - Documents\Planning Space Implementation\3. Analysis &amp; Design\Design\FC22\DRR Jaime\Neiva CPI\[DINA TERCIARIOS_CF_SEC_New_27-Mar-2024.xlsx]D-PNP'!$EA$24</t>
  </si>
  <si>
    <t>='C:\Users\jaime.benazar\Quorum Business Solutions\Ecopetrol Prometeo - Documents\Planning Space Implementation\3. Analysis &amp; Design\Design\FC22\DRR Jaime\Neiva CPI\[DINA TERCIARIOS_CF_SEC_New_27-Mar-2024.xlsx]D-PNP'!$EA$25</t>
  </si>
  <si>
    <t>='C:\Users\jaime.benazar\Quorum Business Solutions\Ecopetrol Prometeo - Documents\Planning Space Implementation\3. Analysis &amp; Design\Design\FC22\DRR Jaime\Neiva CPI\[DINA TERCIARIOS_CF_SEC_New_27-Mar-2024.xlsx]D-PNP'!$EA$26</t>
  </si>
  <si>
    <t>='C:\Users\jaime.benazar\Quorum Business Solutions\Ecopetrol Prometeo - Documents\Planning Space Implementation\3. Analysis &amp; Design\Design\FC22\DRR Jaime\Neiva CPI\[DINA TERCIARIOS_CF_SEC_New_27-Mar-2024.xlsx]D-PNP'!$EA$27</t>
  </si>
  <si>
    <t>='C:\Users\jaime.benazar\Quorum Business Solutions\Ecopetrol Prometeo - Documents\Planning Space Implementation\3. Analysis &amp; Design\Design\FC22\DRR Jaime\Neiva CPI\[DINA TERCIARIOS_CF_SEC_New_27-Mar-2024.xlsx]D-PNP'!$EA$28</t>
  </si>
  <si>
    <t>='C:\Users\jaime.benazar\Quorum Business Solutions\Ecopetrol Prometeo - Documents\Planning Space Implementation\3. Analysis &amp; Design\Design\FC22\DRR Jaime\Neiva CPI\[DINA TERCIARIOS_CF_SEC_New_27-Mar-2024.xlsx]D-PNP'!$EA$29</t>
  </si>
  <si>
    <t>='C:\Users\jaime.benazar\Quorum Business Solutions\Ecopetrol Prometeo - Documents\Planning Space Implementation\3. Analysis &amp; Design\Design\FC22\DRR Jaime\Neiva CPI\[DINA TERCIARIOS_CF_SEC_New_27-Mar-2024.xlsx]D-PNP'!$EA$30</t>
  </si>
  <si>
    <t>='C:\Users\jaime.benazar\Quorum Business Solutions\Ecopetrol Prometeo - Documents\Planning Space Implementation\3. Analysis &amp; Design\Design\FC22\DRR Jaime\Neiva CPI\[DINA TERCIARIOS_CF_SEC_New_27-Mar-2024.xlsx]D-PNP'!$EA$31</t>
  </si>
  <si>
    <t>='C:\Users\jaime.benazar\Quorum Business Solutions\Ecopetrol Prometeo - Documents\Planning Space Implementation\3. Analysis &amp; Design\Design\FC22\DRR Jaime\Neiva CPI\[DINA TERCIARIOS_CF_SEC_New_27-Mar-2024.xlsx]D-PNP'!$EA$32</t>
  </si>
  <si>
    <t>='C:\Users\jaime.benazar\Quorum Business Solutions\Ecopetrol Prometeo - Documents\Planning Space Implementation\3. Analysis &amp; Design\Design\FC22\DRR Jaime\Neiva CPI\[DINA TERCIARIOS_CF_SEC_New_27-Mar-2024.xlsx]D-PNP'!$EA$33</t>
  </si>
  <si>
    <t>='C:\Users\jaime.benazar\Quorum Business Solutions\Ecopetrol Prometeo - Documents\Planning Space Implementation\3. Analysis &amp; Design\Design\FC22\DRR Jaime\Neiva CPI\[DINA TERCIARIOS_CF_SEC_New_27-Mar-2024.xlsx]D-PNP'!$EA$34</t>
  </si>
  <si>
    <t>='C:\Users\jaime.benazar\Quorum Business Solutions\Ecopetrol Prometeo - Documents\Planning Space Implementation\3. Analysis &amp; Design\Design\FC22\DRR Jaime\Neiva CPI\[DINA TERCIARIOS_CF_SEC_New_27-Mar-2024.xlsx]D-PNP'!$EA$35</t>
  </si>
  <si>
    <t>='C:\Users\jaime.benazar\Quorum Business Solutions\Ecopetrol Prometeo - Documents\Planning Space Implementation\3. Analysis &amp; Design\Design\FC22\DRR Jaime\Neiva CPI\[DINA TERCIARIOS_CF_SEC_New_27-Mar-2024.xlsx]D-PNP'!$EA$36</t>
  </si>
  <si>
    <t>='C:\Users\jaime.benazar\Quorum Business Solutions\Ecopetrol Prometeo - Documents\Planning Space Implementation\3. Analysis &amp; Design\Design\FC22\DRR Jaime\Neiva CPI\[DINA TERCIARIOS_CF_SEC_New_27-Mar-2024.xlsx]D-PNP'!$EA$37</t>
  </si>
  <si>
    <t>='C:\Users\jaime.benazar\Quorum Business Solutions\Ecopetrol Prometeo - Documents\Planning Space Implementation\3. Analysis &amp; Design\Design\FC22\DRR Jaime\Neiva CPI\[DINA TERCIARIOS_CF_SEC_New_27-Mar-2024.xlsx]D-PNP'!$EA$38</t>
  </si>
  <si>
    <t>='C:\Users\jaime.benazar\Quorum Business Solutions\Ecopetrol Prometeo - Documents\Planning Space Implementation\3. Analysis &amp; Design\Design\FC22\DRR Jaime\Neiva CPI\[DINA TERCIARIOS_CF_SEC_New_27-Mar-2024.xlsx]D-PNP'!$EA$39</t>
  </si>
  <si>
    <t>='C:\Users\jaime.benazar\Quorum Business Solutions\Ecopetrol Prometeo - Documents\Planning Space Implementation\3. Analysis &amp; Design\Design\FC22\DRR Jaime\Neiva CPI\[DINA TERCIARIOS_CF_SEC_New_27-Mar-2024.xlsx]D-PNP'!$EA$40</t>
  </si>
  <si>
    <t>='C:\Users\jaime.benazar\Quorum Business Solutions\Ecopetrol Prometeo - Documents\Planning Space Implementation\3. Analysis &amp; Design\Design\FC22\DRR Jaime\Neiva CPI\[DINA TERCIARIOS_CF_SEC_New_27-Mar-2024.xlsx]D-PNP'!$EA$41</t>
  </si>
  <si>
    <t>='C:\Users\jaime.benazar\Quorum Business Solutions\Ecopetrol Prometeo - Documents\Planning Space Implementation\3. Analysis &amp; Design\Design\FC22\DRR Jaime\Neiva CPI\[DINA TERCIARIOS_CF_SEC_New_27-Mar-2024.xlsx]D-PNP'!$EA$42</t>
  </si>
  <si>
    <t>='C:\Users\jaime.benazar\Quorum Business Solutions\Ecopetrol Prometeo - Documents\Planning Space Implementation\3. Analysis &amp; Design\Design\FC22\DRR Jaime\Neiva CPI\[DINA TERCIARIOS_CF_SEC_New_27-Mar-2024.xlsx]D-PNP'!$EA$43</t>
  </si>
  <si>
    <t>='C:\Users\jaime.benazar\Quorum Business Solutions\Ecopetrol Prometeo - Documents\Planning Space Implementation\3. Analysis &amp; Design\Design\FC22\DRR Jaime\Neiva CPI\[DINA TERCIARIOS_CF_SEC_New_27-Mar-2024.xlsx]D-PNP'!$EA$44</t>
  </si>
  <si>
    <t>='C:\Users\jaime.benazar\Quorum Business Solutions\Ecopetrol Prometeo - Documents\Planning Space Implementation\3. Analysis &amp; Design\Design\FC22\DRR Jaime\Neiva CPI\[DINA TERCIARIOS_CF_SEC_New_27-Mar-2024.xlsx]D-PNP'!$EA$45</t>
  </si>
  <si>
    <t>='C:\Users\jaime.benazar\Quorum Business Solutions\Ecopetrol Prometeo - Documents\Planning Space Implementation\3. Analysis &amp; Design\Design\FC22\DRR Jaime\Neiva CPI\[DINA TERCIARIOS_CF_SEC_New_27-Mar-2024.xlsx]D-PNP'!$EA$46</t>
  </si>
  <si>
    <t>='C:\Users\jaime.benazar\Quorum Business Solutions\Ecopetrol Prometeo - Documents\Planning Space Implementation\3. Analysis &amp; Design\Design\FC22\DRR Jaime\Neiva CPI\[DINA TERCIARIOS_CF_SEC_New_27-Mar-2024.xlsx]D-PNP'!$EA$47</t>
  </si>
  <si>
    <t>='C:\Users\jaime.benazar\Quorum Business Solutions\Ecopetrol Prometeo - Documents\Planning Space Implementation\3. Analysis &amp; Design\Design\FC22\DRR Jaime\Neiva CPI\[DINA TERCIARIOS_CF_SEC_New_27-Mar-2024.xlsx]D-PNP'!$EA$48</t>
  </si>
  <si>
    <t>='C:\Users\jaime.benazar\Quorum Business Solutions\Ecopetrol Prometeo - Documents\Planning Space Implementation\3. Analysis &amp; Design\Design\FC22\DRR Jaime\Neiva CPI\[DINA TERCIARIOS_CF_SEC_New_27-Mar-2024.xlsx]D-PND'!$EA$12</t>
  </si>
  <si>
    <t>='C:\Users\jaime.benazar\Quorum Business Solutions\Ecopetrol Prometeo - Documents\Planning Space Implementation\3. Analysis &amp; Design\Design\FC22\DRR Jaime\Neiva CPI\[DINA TERCIARIOS_CF_SEC_New_27-Mar-2024.xlsx]D-PND'!$EA$13</t>
  </si>
  <si>
    <t>='C:\Users\jaime.benazar\Quorum Business Solutions\Ecopetrol Prometeo - Documents\Planning Space Implementation\3. Analysis &amp; Design\Design\FC22\DRR Jaime\Neiva CPI\[DINA TERCIARIOS_CF_SEC_New_27-Mar-2024.xlsx]D-PND'!$EA$14</t>
  </si>
  <si>
    <t>='C:\Users\jaime.benazar\Quorum Business Solutions\Ecopetrol Prometeo - Documents\Planning Space Implementation\3. Analysis &amp; Design\Design\FC22\DRR Jaime\Neiva CPI\[DINA TERCIARIOS_CF_SEC_New_27-Mar-2024.xlsx]D-PND'!$EA$15</t>
  </si>
  <si>
    <t>='C:\Users\jaime.benazar\Quorum Business Solutions\Ecopetrol Prometeo - Documents\Planning Space Implementation\3. Analysis &amp; Design\Design\FC22\DRR Jaime\Neiva CPI\[DINA TERCIARIOS_CF_SEC_New_27-Mar-2024.xlsx]D-PND'!$EA$16</t>
  </si>
  <si>
    <t>='C:\Users\jaime.benazar\Quorum Business Solutions\Ecopetrol Prometeo - Documents\Planning Space Implementation\3. Analysis &amp; Design\Design\FC22\DRR Jaime\Neiva CPI\[DINA TERCIARIOS_CF_SEC_New_27-Mar-2024.xlsx]D-PND'!$EA$17</t>
  </si>
  <si>
    <t>='C:\Users\jaime.benazar\Quorum Business Solutions\Ecopetrol Prometeo - Documents\Planning Space Implementation\3. Analysis &amp; Design\Design\FC22\DRR Jaime\Neiva CPI\[DINA TERCIARIOS_CF_SEC_New_27-Mar-2024.xlsx]D-PND'!$EA$18</t>
  </si>
  <si>
    <t>='C:\Users\jaime.benazar\Quorum Business Solutions\Ecopetrol Prometeo - Documents\Planning Space Implementation\3. Analysis &amp; Design\Design\FC22\DRR Jaime\Neiva CPI\[DINA TERCIARIOS_CF_SEC_New_27-Mar-2024.xlsx]D-PND'!$EA$19</t>
  </si>
  <si>
    <t>='C:\Users\jaime.benazar\Quorum Business Solutions\Ecopetrol Prometeo - Documents\Planning Space Implementation\3. Analysis &amp; Design\Design\FC22\DRR Jaime\Neiva CPI\[DINA TERCIARIOS_CF_SEC_New_27-Mar-2024.xlsx]D-PND'!$EA$20</t>
  </si>
  <si>
    <t>='C:\Users\jaime.benazar\Quorum Business Solutions\Ecopetrol Prometeo - Documents\Planning Space Implementation\3. Analysis &amp; Design\Design\FC22\DRR Jaime\Neiva CPI\[DINA TERCIARIOS_CF_SEC_New_27-Mar-2024.xlsx]D-PND'!$EA$21</t>
  </si>
  <si>
    <t>='C:\Users\jaime.benazar\Quorum Business Solutions\Ecopetrol Prometeo - Documents\Planning Space Implementation\3. Analysis &amp; Design\Design\FC22\DRR Jaime\Neiva CPI\[DINA TERCIARIOS_CF_SEC_New_27-Mar-2024.xlsx]D-PND'!$EA$22</t>
  </si>
  <si>
    <t>='C:\Users\jaime.benazar\Quorum Business Solutions\Ecopetrol Prometeo - Documents\Planning Space Implementation\3. Analysis &amp; Design\Design\FC22\DRR Jaime\Neiva CPI\[DINA TERCIARIOS_CF_SEC_New_27-Mar-2024.xlsx]D-PND'!$EA$23</t>
  </si>
  <si>
    <t>='C:\Users\jaime.benazar\Quorum Business Solutions\Ecopetrol Prometeo - Documents\Planning Space Implementation\3. Analysis &amp; Design\Design\FC22\DRR Jaime\Neiva CPI\[DINA TERCIARIOS_CF_SEC_New_27-Mar-2024.xlsx]D-PND'!$EA$24</t>
  </si>
  <si>
    <t>='C:\Users\jaime.benazar\Quorum Business Solutions\Ecopetrol Prometeo - Documents\Planning Space Implementation\3. Analysis &amp; Design\Design\FC22\DRR Jaime\Neiva CPI\[DINA TERCIARIOS_CF_SEC_New_27-Mar-2024.xlsx]D-PND'!$EA$25</t>
  </si>
  <si>
    <t>='C:\Users\jaime.benazar\Quorum Business Solutions\Ecopetrol Prometeo - Documents\Planning Space Implementation\3. Analysis &amp; Design\Design\FC22\DRR Jaime\Neiva CPI\[DINA TERCIARIOS_CF_SEC_New_27-Mar-2024.xlsx]D-PND'!$EA$26</t>
  </si>
  <si>
    <t>='C:\Users\jaime.benazar\Quorum Business Solutions\Ecopetrol Prometeo - Documents\Planning Space Implementation\3. Analysis &amp; Design\Design\FC22\DRR Jaime\Neiva CPI\[DINA TERCIARIOS_CF_SEC_New_27-Mar-2024.xlsx]D-PND'!$EA$27</t>
  </si>
  <si>
    <t>='C:\Users\jaime.benazar\Quorum Business Solutions\Ecopetrol Prometeo - Documents\Planning Space Implementation\3. Analysis &amp; Design\Design\FC22\DRR Jaime\Neiva CPI\[DINA TERCIARIOS_CF_SEC_New_27-Mar-2024.xlsx]D-PND'!$EA$28</t>
  </si>
  <si>
    <t>='C:\Users\jaime.benazar\Quorum Business Solutions\Ecopetrol Prometeo - Documents\Planning Space Implementation\3. Analysis &amp; Design\Design\FC22\DRR Jaime\Neiva CPI\[DINA TERCIARIOS_CF_SEC_New_27-Mar-2024.xlsx]D-PND'!$EA$29</t>
  </si>
  <si>
    <t>='C:\Users\jaime.benazar\Quorum Business Solutions\Ecopetrol Prometeo - Documents\Planning Space Implementation\3. Analysis &amp; Design\Design\FC22\DRR Jaime\Neiva CPI\[DINA TERCIARIOS_CF_SEC_New_27-Mar-2024.xlsx]D-PND'!$EA$30</t>
  </si>
  <si>
    <t>='C:\Users\jaime.benazar\Quorum Business Solutions\Ecopetrol Prometeo - Documents\Planning Space Implementation\3. Analysis &amp; Design\Design\FC22\DRR Jaime\Neiva CPI\[DINA TERCIARIOS_CF_SEC_New_27-Mar-2024.xlsx]D-PND'!$EA$31</t>
  </si>
  <si>
    <t>='C:\Users\jaime.benazar\Quorum Business Solutions\Ecopetrol Prometeo - Documents\Planning Space Implementation\3. Analysis &amp; Design\Design\FC22\DRR Jaime\Neiva CPI\[DINA TERCIARIOS_CF_SEC_New_27-Mar-2024.xlsx]D-PND'!$EA$32</t>
  </si>
  <si>
    <t>='C:\Users\jaime.benazar\Quorum Business Solutions\Ecopetrol Prometeo - Documents\Planning Space Implementation\3. Analysis &amp; Design\Design\FC22\DRR Jaime\Neiva CPI\[DINA TERCIARIOS_CF_SEC_New_27-Mar-2024.xlsx]D-PND'!$EA$33</t>
  </si>
  <si>
    <t>='C:\Users\jaime.benazar\Quorum Business Solutions\Ecopetrol Prometeo - Documents\Planning Space Implementation\3. Analysis &amp; Design\Design\FC22\DRR Jaime\Neiva CPI\[DINA TERCIARIOS_CF_SEC_New_27-Mar-2024.xlsx]D-PND'!$EA$34</t>
  </si>
  <si>
    <t>='C:\Users\jaime.benazar\Quorum Business Solutions\Ecopetrol Prometeo - Documents\Planning Space Implementation\3. Analysis &amp; Design\Design\FC22\DRR Jaime\Neiva CPI\[DINA TERCIARIOS_CF_SEC_New_27-Mar-2024.xlsx]D-PND'!$EA$35</t>
  </si>
  <si>
    <t>='C:\Users\jaime.benazar\Quorum Business Solutions\Ecopetrol Prometeo - Documents\Planning Space Implementation\3. Analysis &amp; Design\Design\FC22\DRR Jaime\Neiva CPI\[DINA TERCIARIOS_CF_SEC_New_27-Mar-2024.xlsx]D-PND'!$EA$36</t>
  </si>
  <si>
    <t>='C:\Users\jaime.benazar\Quorum Business Solutions\Ecopetrol Prometeo - Documents\Planning Space Implementation\3. Analysis &amp; Design\Design\FC22\DRR Jaime\Neiva CPI\[DINA TERCIARIOS_CF_SEC_New_27-Mar-2024.xlsx]D-PND'!$EA$37</t>
  </si>
  <si>
    <t>='C:\Users\jaime.benazar\Quorum Business Solutions\Ecopetrol Prometeo - Documents\Planning Space Implementation\3. Analysis &amp; Design\Design\FC22\DRR Jaime\Neiva CPI\[DINA TERCIARIOS_CF_SEC_New_27-Mar-2024.xlsx]D-PND'!$EA$38</t>
  </si>
  <si>
    <t>='C:\Users\jaime.benazar\Quorum Business Solutions\Ecopetrol Prometeo - Documents\Planning Space Implementation\3. Analysis &amp; Design\Design\FC22\DRR Jaime\Neiva CPI\[DINA TERCIARIOS_CF_SEC_New_27-Mar-2024.xlsx]D-PND'!$EA$39</t>
  </si>
  <si>
    <t>='C:\Users\jaime.benazar\Quorum Business Solutions\Ecopetrol Prometeo - Documents\Planning Space Implementation\3. Analysis &amp; Design\Design\FC22\DRR Jaime\Neiva CPI\[DINA TERCIARIOS_CF_SEC_New_27-Mar-2024.xlsx]D-PND'!$EA$40</t>
  </si>
  <si>
    <t>='C:\Users\jaime.benazar\Quorum Business Solutions\Ecopetrol Prometeo - Documents\Planning Space Implementation\3. Analysis &amp; Design\Design\FC22\DRR Jaime\Neiva CPI\[DINA TERCIARIOS_CF_SEC_New_27-Mar-2024.xlsx]D-PND'!$EA$41</t>
  </si>
  <si>
    <t>='C:\Users\jaime.benazar\Quorum Business Solutions\Ecopetrol Prometeo - Documents\Planning Space Implementation\3. Analysis &amp; Design\Design\FC22\DRR Jaime\Neiva CPI\[DINA TERCIARIOS_CF_SEC_New_27-Mar-2024.xlsx]D-PND'!$EA$42</t>
  </si>
  <si>
    <t>='C:\Users\jaime.benazar\Quorum Business Solutions\Ecopetrol Prometeo - Documents\Planning Space Implementation\3. Analysis &amp; Design\Design\FC22\DRR Jaime\Neiva CPI\[DINA TERCIARIOS_CF_SEC_New_27-Mar-2024.xlsx]D-PND'!$EA$43</t>
  </si>
  <si>
    <t>='C:\Users\jaime.benazar\Quorum Business Solutions\Ecopetrol Prometeo - Documents\Planning Space Implementation\3. Analysis &amp; Design\Design\FC22\DRR Jaime\Neiva CPI\[DINA TERCIARIOS_CF_SEC_New_27-Mar-2024.xlsx]D-PND'!$EA$44</t>
  </si>
  <si>
    <t>='C:\Users\jaime.benazar\Quorum Business Solutions\Ecopetrol Prometeo - Documents\Planning Space Implementation\3. Analysis &amp; Design\Design\FC22\DRR Jaime\Neiva CPI\[DINA TERCIARIOS_CF_SEC_New_27-Mar-2024.xlsx]D-PND'!$EA$45</t>
  </si>
  <si>
    <t>='C:\Users\jaime.benazar\Quorum Business Solutions\Ecopetrol Prometeo - Documents\Planning Space Implementation\3. Analysis &amp; Design\Design\FC22\DRR Jaime\Neiva CPI\[DINA TERCIARIOS_CF_SEC_New_27-Mar-2024.xlsx]D-PND'!$EA$46</t>
  </si>
  <si>
    <t>='C:\Users\jaime.benazar\Quorum Business Solutions\Ecopetrol Prometeo - Documents\Planning Space Implementation\3. Analysis &amp; Design\Design\FC22\DRR Jaime\Neiva CPI\[DINA TERCIARIOS_CF_SEC_New_27-Mar-2024.xlsx]D-PND'!$EA$47</t>
  </si>
  <si>
    <t>='C:\Users\jaime.benazar\Quorum Business Solutions\Ecopetrol Prometeo - Documents\Planning Space Implementation\3. Analysis &amp; Design\Design\FC22\DRR Jaime\Neiva CPI\[DINA TERCIARIOS_CF_SEC_New_27-Mar-2024.xlsx]D-PND'!$EA$48</t>
  </si>
  <si>
    <t>='C:\Users\jaime.benazar\Quorum Business Solutions\Ecopetrol Prometeo - Documents\Planning Space Implementation\3. Analysis &amp; Design\Design\FC22\DRR Jaime\Neiva CPI\[DINA TERCIARIOS_CF_SEC_New_27-Mar-2024.xlsx]D-PRB'!$EA$12</t>
  </si>
  <si>
    <t>='C:\Users\jaime.benazar\Quorum Business Solutions\Ecopetrol Prometeo - Documents\Planning Space Implementation\3. Analysis &amp; Design\Design\FC22\DRR Jaime\Neiva CPI\[DINA TERCIARIOS_CF_SEC_New_27-Mar-2024.xlsx]D-PRB'!$EA$13</t>
  </si>
  <si>
    <t>='C:\Users\jaime.benazar\Quorum Business Solutions\Ecopetrol Prometeo - Documents\Planning Space Implementation\3. Analysis &amp; Design\Design\FC22\DRR Jaime\Neiva CPI\[DINA TERCIARIOS_CF_SEC_New_27-Mar-2024.xlsx]D-PRB'!$EA$14</t>
  </si>
  <si>
    <t>='C:\Users\jaime.benazar\Quorum Business Solutions\Ecopetrol Prometeo - Documents\Planning Space Implementation\3. Analysis &amp; Design\Design\FC22\DRR Jaime\Neiva CPI\[DINA TERCIARIOS_CF_SEC_New_27-Mar-2024.xlsx]D-PRB'!$EA$15</t>
  </si>
  <si>
    <t>='C:\Users\jaime.benazar\Quorum Business Solutions\Ecopetrol Prometeo - Documents\Planning Space Implementation\3. Analysis &amp; Design\Design\FC22\DRR Jaime\Neiva CPI\[DINA TERCIARIOS_CF_SEC_New_27-Mar-2024.xlsx]D-PRB'!$EA$16</t>
  </si>
  <si>
    <t>='C:\Users\jaime.benazar\Quorum Business Solutions\Ecopetrol Prometeo - Documents\Planning Space Implementation\3. Analysis &amp; Design\Design\FC22\DRR Jaime\Neiva CPI\[DINA TERCIARIOS_CF_SEC_New_27-Mar-2024.xlsx]D-PRB'!$EA$17</t>
  </si>
  <si>
    <t>='C:\Users\jaime.benazar\Quorum Business Solutions\Ecopetrol Prometeo - Documents\Planning Space Implementation\3. Analysis &amp; Design\Design\FC22\DRR Jaime\Neiva CPI\[DINA TERCIARIOS_CF_SEC_New_27-Mar-2024.xlsx]D-PRB'!$EA$18</t>
  </si>
  <si>
    <t>='C:\Users\jaime.benazar\Quorum Business Solutions\Ecopetrol Prometeo - Documents\Planning Space Implementation\3. Analysis &amp; Design\Design\FC22\DRR Jaime\Neiva CPI\[DINA TERCIARIOS_CF_SEC_New_27-Mar-2024.xlsx]D-PRB'!$EA$19</t>
  </si>
  <si>
    <t>='C:\Users\jaime.benazar\Quorum Business Solutions\Ecopetrol Prometeo - Documents\Planning Space Implementation\3. Analysis &amp; Design\Design\FC22\DRR Jaime\Neiva CPI\[DINA TERCIARIOS_CF_SEC_New_27-Mar-2024.xlsx]D-PRB'!$EA$20</t>
  </si>
  <si>
    <t>='C:\Users\jaime.benazar\Quorum Business Solutions\Ecopetrol Prometeo - Documents\Planning Space Implementation\3. Analysis &amp; Design\Design\FC22\DRR Jaime\Neiva CPI\[DINA TERCIARIOS_CF_SEC_New_27-Mar-2024.xlsx]D-PRB'!$EA$21</t>
  </si>
  <si>
    <t>='C:\Users\jaime.benazar\Quorum Business Solutions\Ecopetrol Prometeo - Documents\Planning Space Implementation\3. Analysis &amp; Design\Design\FC22\DRR Jaime\Neiva CPI\[DINA TERCIARIOS_CF_SEC_New_27-Mar-2024.xlsx]D-PRB'!$EA$22</t>
  </si>
  <si>
    <t>='C:\Users\jaime.benazar\Quorum Business Solutions\Ecopetrol Prometeo - Documents\Planning Space Implementation\3. Analysis &amp; Design\Design\FC22\DRR Jaime\Neiva CPI\[DINA TERCIARIOS_CF_SEC_New_27-Mar-2024.xlsx]D-PRB'!$EA$23</t>
  </si>
  <si>
    <t>='C:\Users\jaime.benazar\Quorum Business Solutions\Ecopetrol Prometeo - Documents\Planning Space Implementation\3. Analysis &amp; Design\Design\FC22\DRR Jaime\Neiva CPI\[DINA TERCIARIOS_CF_SEC_New_27-Mar-2024.xlsx]D-PRB'!$EA$24</t>
  </si>
  <si>
    <t>='C:\Users\jaime.benazar\Quorum Business Solutions\Ecopetrol Prometeo - Documents\Planning Space Implementation\3. Analysis &amp; Design\Design\FC22\DRR Jaime\Neiva CPI\[DINA TERCIARIOS_CF_SEC_New_27-Mar-2024.xlsx]D-PRB'!$EA$25</t>
  </si>
  <si>
    <t>='C:\Users\jaime.benazar\Quorum Business Solutions\Ecopetrol Prometeo - Documents\Planning Space Implementation\3. Analysis &amp; Design\Design\FC22\DRR Jaime\Neiva CPI\[DINA TERCIARIOS_CF_SEC_New_27-Mar-2024.xlsx]D-PRB'!$EA$26</t>
  </si>
  <si>
    <t>='C:\Users\jaime.benazar\Quorum Business Solutions\Ecopetrol Prometeo - Documents\Planning Space Implementation\3. Analysis &amp; Design\Design\FC22\DRR Jaime\Neiva CPI\[DINA TERCIARIOS_CF_SEC_New_27-Mar-2024.xlsx]D-PRB'!$EA$27</t>
  </si>
  <si>
    <t>='C:\Users\jaime.benazar\Quorum Business Solutions\Ecopetrol Prometeo - Documents\Planning Space Implementation\3. Analysis &amp; Design\Design\FC22\DRR Jaime\Neiva CPI\[DINA TERCIARIOS_CF_SEC_New_27-Mar-2024.xlsx]D-PRB'!$EA$28</t>
  </si>
  <si>
    <t>='C:\Users\jaime.benazar\Quorum Business Solutions\Ecopetrol Prometeo - Documents\Planning Space Implementation\3. Analysis &amp; Design\Design\FC22\DRR Jaime\Neiva CPI\[DINA TERCIARIOS_CF_SEC_New_27-Mar-2024.xlsx]D-PRB'!$EA$29</t>
  </si>
  <si>
    <t>='C:\Users\jaime.benazar\Quorum Business Solutions\Ecopetrol Prometeo - Documents\Planning Space Implementation\3. Analysis &amp; Design\Design\FC22\DRR Jaime\Neiva CPI\[DINA TERCIARIOS_CF_SEC_New_27-Mar-2024.xlsx]D-PRB'!$EA$30</t>
  </si>
  <si>
    <t>='C:\Users\jaime.benazar\Quorum Business Solutions\Ecopetrol Prometeo - Documents\Planning Space Implementation\3. Analysis &amp; Design\Design\FC22\DRR Jaime\Neiva CPI\[DINA TERCIARIOS_CF_SEC_New_27-Mar-2024.xlsx]D-PRB'!$EA$31</t>
  </si>
  <si>
    <t>='C:\Users\jaime.benazar\Quorum Business Solutions\Ecopetrol Prometeo - Documents\Planning Space Implementation\3. Analysis &amp; Design\Design\FC22\DRR Jaime\Neiva CPI\[DINA TERCIARIOS_CF_SEC_New_27-Mar-2024.xlsx]D-PRB'!$EA$32</t>
  </si>
  <si>
    <t>='C:\Users\jaime.benazar\Quorum Business Solutions\Ecopetrol Prometeo - Documents\Planning Space Implementation\3. Analysis &amp; Design\Design\FC22\DRR Jaime\Neiva CPI\[DINA TERCIARIOS_CF_SEC_New_27-Mar-2024.xlsx]D-PRB'!$EA$33</t>
  </si>
  <si>
    <t>='C:\Users\jaime.benazar\Quorum Business Solutions\Ecopetrol Prometeo - Documents\Planning Space Implementation\3. Analysis &amp; Design\Design\FC22\DRR Jaime\Neiva CPI\[DINA TERCIARIOS_CF_SEC_New_27-Mar-2024.xlsx]D-PRB'!$EA$34</t>
  </si>
  <si>
    <t>='C:\Users\jaime.benazar\Quorum Business Solutions\Ecopetrol Prometeo - Documents\Planning Space Implementation\3. Analysis &amp; Design\Design\FC22\DRR Jaime\Neiva CPI\[DINA TERCIARIOS_CF_SEC_New_27-Mar-2024.xlsx]D-PRB'!$EA$35</t>
  </si>
  <si>
    <t>='C:\Users\jaime.benazar\Quorum Business Solutions\Ecopetrol Prometeo - Documents\Planning Space Implementation\3. Analysis &amp; Design\Design\FC22\DRR Jaime\Neiva CPI\[DINA TERCIARIOS_CF_SEC_New_27-Mar-2024.xlsx]D-PRB'!$EA$36</t>
  </si>
  <si>
    <t>='C:\Users\jaime.benazar\Quorum Business Solutions\Ecopetrol Prometeo - Documents\Planning Space Implementation\3. Analysis &amp; Design\Design\FC22\DRR Jaime\Neiva CPI\[DINA TERCIARIOS_CF_SEC_New_27-Mar-2024.xlsx]D-PRB'!$EA$37</t>
  </si>
  <si>
    <t>='C:\Users\jaime.benazar\Quorum Business Solutions\Ecopetrol Prometeo - Documents\Planning Space Implementation\3. Analysis &amp; Design\Design\FC22\DRR Jaime\Neiva CPI\[DINA TERCIARIOS_CF_SEC_New_27-Mar-2024.xlsx]D-PRB'!$EA$38</t>
  </si>
  <si>
    <t>='C:\Users\jaime.benazar\Quorum Business Solutions\Ecopetrol Prometeo - Documents\Planning Space Implementation\3. Analysis &amp; Design\Design\FC22\DRR Jaime\Neiva CPI\[DINA TERCIARIOS_CF_SEC_New_27-Mar-2024.xlsx]D-PRB'!$EA$39</t>
  </si>
  <si>
    <t>='C:\Users\jaime.benazar\Quorum Business Solutions\Ecopetrol Prometeo - Documents\Planning Space Implementation\3. Analysis &amp; Design\Design\FC22\DRR Jaime\Neiva CPI\[DINA TERCIARIOS_CF_SEC_New_27-Mar-2024.xlsx]D-PRB'!$EA$40</t>
  </si>
  <si>
    <t>='C:\Users\jaime.benazar\Quorum Business Solutions\Ecopetrol Prometeo - Documents\Planning Space Implementation\3. Analysis &amp; Design\Design\FC22\DRR Jaime\Neiva CPI\[DINA TERCIARIOS_CF_SEC_New_27-Mar-2024.xlsx]D-PRB'!$EA$41</t>
  </si>
  <si>
    <t>='C:\Users\jaime.benazar\Quorum Business Solutions\Ecopetrol Prometeo - Documents\Planning Space Implementation\3. Analysis &amp; Design\Design\FC22\DRR Jaime\Neiva CPI\[DINA TERCIARIOS_CF_SEC_New_27-Mar-2024.xlsx]D-PRB'!$EA$42</t>
  </si>
  <si>
    <t>='C:\Users\jaime.benazar\Quorum Business Solutions\Ecopetrol Prometeo - Documents\Planning Space Implementation\3. Analysis &amp; Design\Design\FC22\DRR Jaime\Neiva CPI\[DINA TERCIARIOS_CF_SEC_New_27-Mar-2024.xlsx]D-PRB'!$EA$43</t>
  </si>
  <si>
    <t>='C:\Users\jaime.benazar\Quorum Business Solutions\Ecopetrol Prometeo - Documents\Planning Space Implementation\3. Analysis &amp; Design\Design\FC22\DRR Jaime\Neiva CPI\[DINA TERCIARIOS_CF_SEC_New_27-Mar-2024.xlsx]D-PRB'!$EA$44</t>
  </si>
  <si>
    <t>='C:\Users\jaime.benazar\Quorum Business Solutions\Ecopetrol Prometeo - Documents\Planning Space Implementation\3. Analysis &amp; Design\Design\FC22\DRR Jaime\Neiva CPI\[DINA TERCIARIOS_CF_SEC_New_27-Mar-2024.xlsx]D-PRB'!$EA$45</t>
  </si>
  <si>
    <t>='C:\Users\jaime.benazar\Quorum Business Solutions\Ecopetrol Prometeo - Documents\Planning Space Implementation\3. Analysis &amp; Design\Design\FC22\DRR Jaime\Neiva CPI\[DINA TERCIARIOS_CF_SEC_New_27-Mar-2024.xlsx]D-PRB'!$EA$46</t>
  </si>
  <si>
    <t>='C:\Users\jaime.benazar\Quorum Business Solutions\Ecopetrol Prometeo - Documents\Planning Space Implementation\3. Analysis &amp; Design\Design\FC22\DRR Jaime\Neiva CPI\[DINA TERCIARIOS_CF_SEC_New_27-Mar-2024.xlsx]D-PRB'!$EA$47</t>
  </si>
  <si>
    <t>='C:\Users\jaime.benazar\Quorum Business Solutions\Ecopetrol Prometeo - Documents\Planning Space Implementation\3. Analysis &amp; Design\Design\FC22\DRR Jaime\Neiva CPI\[DINA TERCIARIOS_CF_SEC_New_27-Mar-2024.xlsx]D-PRB'!$EA$48</t>
  </si>
  <si>
    <t>='C:\Users\jaime.benazar\Quorum Business Solutions\Ecopetrol Prometeo - Documents\Planning Space Implementation\3. Analysis &amp; Design\Design\FC22\DRR Jaime\Neiva CPI\[DINA TERCIARIOS_CF_SEC_New_27-Mar-2024.xlsx]D-PS'!$EA$12</t>
  </si>
  <si>
    <t>='C:\Users\jaime.benazar\Quorum Business Solutions\Ecopetrol Prometeo - Documents\Planning Space Implementation\3. Analysis &amp; Design\Design\FC22\DRR Jaime\Neiva CPI\[DINA TERCIARIOS_CF_SEC_New_27-Mar-2024.xlsx]D-PS'!$EA$13</t>
  </si>
  <si>
    <t>='C:\Users\jaime.benazar\Quorum Business Solutions\Ecopetrol Prometeo - Documents\Planning Space Implementation\3. Analysis &amp; Design\Design\FC22\DRR Jaime\Neiva CPI\[DINA TERCIARIOS_CF_SEC_New_27-Mar-2024.xlsx]D-PS'!$EA$14</t>
  </si>
  <si>
    <t>='C:\Users\jaime.benazar\Quorum Business Solutions\Ecopetrol Prometeo - Documents\Planning Space Implementation\3. Analysis &amp; Design\Design\FC22\DRR Jaime\Neiva CPI\[DINA TERCIARIOS_CF_SEC_New_27-Mar-2024.xlsx]D-PS'!$EA$15</t>
  </si>
  <si>
    <t>='C:\Users\jaime.benazar\Quorum Business Solutions\Ecopetrol Prometeo - Documents\Planning Space Implementation\3. Analysis &amp; Design\Design\FC22\DRR Jaime\Neiva CPI\[DINA TERCIARIOS_CF_SEC_New_27-Mar-2024.xlsx]D-PS'!$EA$16</t>
  </si>
  <si>
    <t>='C:\Users\jaime.benazar\Quorum Business Solutions\Ecopetrol Prometeo - Documents\Planning Space Implementation\3. Analysis &amp; Design\Design\FC22\DRR Jaime\Neiva CPI\[DINA TERCIARIOS_CF_SEC_New_27-Mar-2024.xlsx]D-PS'!$EA$17</t>
  </si>
  <si>
    <t>='C:\Users\jaime.benazar\Quorum Business Solutions\Ecopetrol Prometeo - Documents\Planning Space Implementation\3. Analysis &amp; Design\Design\FC22\DRR Jaime\Neiva CPI\[DINA TERCIARIOS_CF_SEC_New_27-Mar-2024.xlsx]D-PS'!$EA$18</t>
  </si>
  <si>
    <t>='C:\Users\jaime.benazar\Quorum Business Solutions\Ecopetrol Prometeo - Documents\Planning Space Implementation\3. Analysis &amp; Design\Design\FC22\DRR Jaime\Neiva CPI\[DINA TERCIARIOS_CF_SEC_New_27-Mar-2024.xlsx]D-PS'!$EA$19</t>
  </si>
  <si>
    <t>='C:\Users\jaime.benazar\Quorum Business Solutions\Ecopetrol Prometeo - Documents\Planning Space Implementation\3. Analysis &amp; Design\Design\FC22\DRR Jaime\Neiva CPI\[DINA TERCIARIOS_CF_SEC_New_27-Mar-2024.xlsx]D-PS'!$EA$20</t>
  </si>
  <si>
    <t>='C:\Users\jaime.benazar\Quorum Business Solutions\Ecopetrol Prometeo - Documents\Planning Space Implementation\3. Analysis &amp; Design\Design\FC22\DRR Jaime\Neiva CPI\[DINA TERCIARIOS_CF_SEC_New_27-Mar-2024.xlsx]D-PS'!$EA$21</t>
  </si>
  <si>
    <t>='C:\Users\jaime.benazar\Quorum Business Solutions\Ecopetrol Prometeo - Documents\Planning Space Implementation\3. Analysis &amp; Design\Design\FC22\DRR Jaime\Neiva CPI\[DINA TERCIARIOS_CF_SEC_New_27-Mar-2024.xlsx]D-PS'!$EA$22</t>
  </si>
  <si>
    <t>='C:\Users\jaime.benazar\Quorum Business Solutions\Ecopetrol Prometeo - Documents\Planning Space Implementation\3. Analysis &amp; Design\Design\FC22\DRR Jaime\Neiva CPI\[DINA TERCIARIOS_CF_SEC_New_27-Mar-2024.xlsx]D-PS'!$EA$23</t>
  </si>
  <si>
    <t>='C:\Users\jaime.benazar\Quorum Business Solutions\Ecopetrol Prometeo - Documents\Planning Space Implementation\3. Analysis &amp; Design\Design\FC22\DRR Jaime\Neiva CPI\[DINA TERCIARIOS_CF_SEC_New_27-Mar-2024.xlsx]D-PS'!$EA$24</t>
  </si>
  <si>
    <t>='C:\Users\jaime.benazar\Quorum Business Solutions\Ecopetrol Prometeo - Documents\Planning Space Implementation\3. Analysis &amp; Design\Design\FC22\DRR Jaime\Neiva CPI\[DINA TERCIARIOS_CF_SEC_New_27-Mar-2024.xlsx]D-PS'!$EA$25</t>
  </si>
  <si>
    <t>='C:\Users\jaime.benazar\Quorum Business Solutions\Ecopetrol Prometeo - Documents\Planning Space Implementation\3. Analysis &amp; Design\Design\FC22\DRR Jaime\Neiva CPI\[DINA TERCIARIOS_CF_SEC_New_27-Mar-2024.xlsx]D-PS'!$EA$26</t>
  </si>
  <si>
    <t>='C:\Users\jaime.benazar\Quorum Business Solutions\Ecopetrol Prometeo - Documents\Planning Space Implementation\3. Analysis &amp; Design\Design\FC22\DRR Jaime\Neiva CPI\[DINA TERCIARIOS_CF_SEC_New_27-Mar-2024.xlsx]D-PS'!$EA$27</t>
  </si>
  <si>
    <t>='C:\Users\jaime.benazar\Quorum Business Solutions\Ecopetrol Prometeo - Documents\Planning Space Implementation\3. Analysis &amp; Design\Design\FC22\DRR Jaime\Neiva CPI\[DINA TERCIARIOS_CF_SEC_New_27-Mar-2024.xlsx]D-PS'!$EA$28</t>
  </si>
  <si>
    <t>='C:\Users\jaime.benazar\Quorum Business Solutions\Ecopetrol Prometeo - Documents\Planning Space Implementation\3. Analysis &amp; Design\Design\FC22\DRR Jaime\Neiva CPI\[DINA TERCIARIOS_CF_SEC_New_27-Mar-2024.xlsx]D-PS'!$EA$29</t>
  </si>
  <si>
    <t>='C:\Users\jaime.benazar\Quorum Business Solutions\Ecopetrol Prometeo - Documents\Planning Space Implementation\3. Analysis &amp; Design\Design\FC22\DRR Jaime\Neiva CPI\[DINA TERCIARIOS_CF_SEC_New_27-Mar-2024.xlsx]D-PS'!$EA$30</t>
  </si>
  <si>
    <t>='C:\Users\jaime.benazar\Quorum Business Solutions\Ecopetrol Prometeo - Documents\Planning Space Implementation\3. Analysis &amp; Design\Design\FC22\DRR Jaime\Neiva CPI\[DINA TERCIARIOS_CF_SEC_New_27-Mar-2024.xlsx]D-PS'!$EA$31</t>
  </si>
  <si>
    <t>='C:\Users\jaime.benazar\Quorum Business Solutions\Ecopetrol Prometeo - Documents\Planning Space Implementation\3. Analysis &amp; Design\Design\FC22\DRR Jaime\Neiva CPI\[DINA TERCIARIOS_CF_SEC_New_27-Mar-2024.xlsx]D-PS'!$EA$32</t>
  </si>
  <si>
    <t>='C:\Users\jaime.benazar\Quorum Business Solutions\Ecopetrol Prometeo - Documents\Planning Space Implementation\3. Analysis &amp; Design\Design\FC22\DRR Jaime\Neiva CPI\[DINA TERCIARIOS_CF_SEC_New_27-Mar-2024.xlsx]D-PS'!$EA$33</t>
  </si>
  <si>
    <t>='C:\Users\jaime.benazar\Quorum Business Solutions\Ecopetrol Prometeo - Documents\Planning Space Implementation\3. Analysis &amp; Design\Design\FC22\DRR Jaime\Neiva CPI\[DINA TERCIARIOS_CF_SEC_New_27-Mar-2024.xlsx]D-PS'!$EA$34</t>
  </si>
  <si>
    <t>='C:\Users\jaime.benazar\Quorum Business Solutions\Ecopetrol Prometeo - Documents\Planning Space Implementation\3. Analysis &amp; Design\Design\FC22\DRR Jaime\Neiva CPI\[DINA TERCIARIOS_CF_SEC_New_27-Mar-2024.xlsx]D-PS'!$EA$35</t>
  </si>
  <si>
    <t>='C:\Users\jaime.benazar\Quorum Business Solutions\Ecopetrol Prometeo - Documents\Planning Space Implementation\3. Analysis &amp; Design\Design\FC22\DRR Jaime\Neiva CPI\[DINA TERCIARIOS_CF_SEC_New_27-Mar-2024.xlsx]D-PS'!$EA$36</t>
  </si>
  <si>
    <t>='C:\Users\jaime.benazar\Quorum Business Solutions\Ecopetrol Prometeo - Documents\Planning Space Implementation\3. Analysis &amp; Design\Design\FC22\DRR Jaime\Neiva CPI\[DINA TERCIARIOS_CF_SEC_New_27-Mar-2024.xlsx]D-PS'!$EA$37</t>
  </si>
  <si>
    <t>='C:\Users\jaime.benazar\Quorum Business Solutions\Ecopetrol Prometeo - Documents\Planning Space Implementation\3. Analysis &amp; Design\Design\FC22\DRR Jaime\Neiva CPI\[DINA TERCIARIOS_CF_SEC_New_27-Mar-2024.xlsx]D-PS'!$EA$38</t>
  </si>
  <si>
    <t>='C:\Users\jaime.benazar\Quorum Business Solutions\Ecopetrol Prometeo - Documents\Planning Space Implementation\3. Analysis &amp; Design\Design\FC22\DRR Jaime\Neiva CPI\[DINA TERCIARIOS_CF_SEC_New_27-Mar-2024.xlsx]D-PS'!$EA$39</t>
  </si>
  <si>
    <t>='C:\Users\jaime.benazar\Quorum Business Solutions\Ecopetrol Prometeo - Documents\Planning Space Implementation\3. Analysis &amp; Design\Design\FC22\DRR Jaime\Neiva CPI\[DINA TERCIARIOS_CF_SEC_New_27-Mar-2024.xlsx]D-PS'!$EA$40</t>
  </si>
  <si>
    <t>='C:\Users\jaime.benazar\Quorum Business Solutions\Ecopetrol Prometeo - Documents\Planning Space Implementation\3. Analysis &amp; Design\Design\FC22\DRR Jaime\Neiva CPI\[DINA TERCIARIOS_CF_SEC_New_27-Mar-2024.xlsx]D-PS'!$EA$41</t>
  </si>
  <si>
    <t>='C:\Users\jaime.benazar\Quorum Business Solutions\Ecopetrol Prometeo - Documents\Planning Space Implementation\3. Analysis &amp; Design\Design\FC22\DRR Jaime\Neiva CPI\[DINA TERCIARIOS_CF_SEC_New_27-Mar-2024.xlsx]D-PS'!$EA$42</t>
  </si>
  <si>
    <t>='C:\Users\jaime.benazar\Quorum Business Solutions\Ecopetrol Prometeo - Documents\Planning Space Implementation\3. Analysis &amp; Design\Design\FC22\DRR Jaime\Neiva CPI\[DINA TERCIARIOS_CF_SEC_New_27-Mar-2024.xlsx]D-PS'!$EA$43</t>
  </si>
  <si>
    <t>='C:\Users\jaime.benazar\Quorum Business Solutions\Ecopetrol Prometeo - Documents\Planning Space Implementation\3. Analysis &amp; Design\Design\FC22\DRR Jaime\Neiva CPI\[DINA TERCIARIOS_CF_SEC_New_27-Mar-2024.xlsx]D-PS'!$EA$44</t>
  </si>
  <si>
    <t>='C:\Users\jaime.benazar\Quorum Business Solutions\Ecopetrol Prometeo - Documents\Planning Space Implementation\3. Analysis &amp; Design\Design\FC22\DRR Jaime\Neiva CPI\[DINA TERCIARIOS_CF_SEC_New_27-Mar-2024.xlsx]D-PS'!$EA$45</t>
  </si>
  <si>
    <t>='C:\Users\jaime.benazar\Quorum Business Solutions\Ecopetrol Prometeo - Documents\Planning Space Implementation\3. Analysis &amp; Design\Design\FC22\DRR Jaime\Neiva CPI\[DINA TERCIARIOS_CF_SEC_New_27-Mar-2024.xlsx]D-PS'!$EA$46</t>
  </si>
  <si>
    <t>='C:\Users\jaime.benazar\Quorum Business Solutions\Ecopetrol Prometeo - Documents\Planning Space Implementation\3. Analysis &amp; Design\Design\FC22\DRR Jaime\Neiva CPI\[DINA TERCIARIOS_CF_SEC_New_27-Mar-2024.xlsx]D-PS'!$EA$47</t>
  </si>
  <si>
    <t>='C:\Users\jaime.benazar\Quorum Business Solutions\Ecopetrol Prometeo - Documents\Planning Space Implementation\3. Analysis &amp; Design\Design\FC22\DRR Jaime\Neiva CPI\[DINA TERCIARIOS_CF_SEC_New_27-Mar-2024.xlsx]D-PS'!$EA$48</t>
  </si>
  <si>
    <t>='C:\Users\jaime.benazar\Quorum Business Solutions\Ecopetrol Prometeo - Documents\Planning Space Implementation\3. Analysis &amp; Design\Design\FC22\DRR Jaime\Neiva CPI\[DINA TERCIARIOS_CF_SEC_New_27-Mar-2024.xlsx]D-PDP'!$DT$12</t>
  </si>
  <si>
    <t>='C:\Users\jaime.benazar\Quorum Business Solutions\Ecopetrol Prometeo - Documents\Planning Space Implementation\3. Analysis &amp; Design\Design\FC22\DRR Jaime\Neiva CPI\[DINA TERCIARIOS_CF_SEC_New_27-Mar-2024.xlsx]D-PDP'!$DT$13</t>
  </si>
  <si>
    <t>='C:\Users\jaime.benazar\Quorum Business Solutions\Ecopetrol Prometeo - Documents\Planning Space Implementation\3. Analysis &amp; Design\Design\FC22\DRR Jaime\Neiva CPI\[DINA TERCIARIOS_CF_SEC_New_27-Mar-2024.xlsx]D-PDP'!$DT$14</t>
  </si>
  <si>
    <t>='C:\Users\jaime.benazar\Quorum Business Solutions\Ecopetrol Prometeo - Documents\Planning Space Implementation\3. Analysis &amp; Design\Design\FC22\DRR Jaime\Neiva CPI\[DINA TERCIARIOS_CF_SEC_New_27-Mar-2024.xlsx]D-PDP'!$DT$15</t>
  </si>
  <si>
    <t>='C:\Users\jaime.benazar\Quorum Business Solutions\Ecopetrol Prometeo - Documents\Planning Space Implementation\3. Analysis &amp; Design\Design\FC22\DRR Jaime\Neiva CPI\[DINA TERCIARIOS_CF_SEC_New_27-Mar-2024.xlsx]D-PDP'!$DT$16</t>
  </si>
  <si>
    <t>='C:\Users\jaime.benazar\Quorum Business Solutions\Ecopetrol Prometeo - Documents\Planning Space Implementation\3. Analysis &amp; Design\Design\FC22\DRR Jaime\Neiva CPI\[DINA TERCIARIOS_CF_SEC_New_27-Mar-2024.xlsx]D-PDP'!$DT$17</t>
  </si>
  <si>
    <t>='C:\Users\jaime.benazar\Quorum Business Solutions\Ecopetrol Prometeo - Documents\Planning Space Implementation\3. Analysis &amp; Design\Design\FC22\DRR Jaime\Neiva CPI\[DINA TERCIARIOS_CF_SEC_New_27-Mar-2024.xlsx]D-PDP'!$DT$18</t>
  </si>
  <si>
    <t>='C:\Users\jaime.benazar\Quorum Business Solutions\Ecopetrol Prometeo - Documents\Planning Space Implementation\3. Analysis &amp; Design\Design\FC22\DRR Jaime\Neiva CPI\[DINA TERCIARIOS_CF_SEC_New_27-Mar-2024.xlsx]D-PDP'!$DT$19</t>
  </si>
  <si>
    <t>='C:\Users\jaime.benazar\Quorum Business Solutions\Ecopetrol Prometeo - Documents\Planning Space Implementation\3. Analysis &amp; Design\Design\FC22\DRR Jaime\Neiva CPI\[DINA TERCIARIOS_CF_SEC_New_27-Mar-2024.xlsx]D-PDP'!$DT$20</t>
  </si>
  <si>
    <t>='C:\Users\jaime.benazar\Quorum Business Solutions\Ecopetrol Prometeo - Documents\Planning Space Implementation\3. Analysis &amp; Design\Design\FC22\DRR Jaime\Neiva CPI\[DINA TERCIARIOS_CF_SEC_New_27-Mar-2024.xlsx]D-PDP'!$DT$21</t>
  </si>
  <si>
    <t>='C:\Users\jaime.benazar\Quorum Business Solutions\Ecopetrol Prometeo - Documents\Planning Space Implementation\3. Analysis &amp; Design\Design\FC22\DRR Jaime\Neiva CPI\[DINA TERCIARIOS_CF_SEC_New_27-Mar-2024.xlsx]D-PDP'!$DT$22</t>
  </si>
  <si>
    <t>='C:\Users\jaime.benazar\Quorum Business Solutions\Ecopetrol Prometeo - Documents\Planning Space Implementation\3. Analysis &amp; Design\Design\FC22\DRR Jaime\Neiva CPI\[DINA TERCIARIOS_CF_SEC_New_27-Mar-2024.xlsx]D-PDP'!$DT$23</t>
  </si>
  <si>
    <t>='C:\Users\jaime.benazar\Quorum Business Solutions\Ecopetrol Prometeo - Documents\Planning Space Implementation\3. Analysis &amp; Design\Design\FC22\DRR Jaime\Neiva CPI\[DINA TERCIARIOS_CF_SEC_New_27-Mar-2024.xlsx]D-PDP'!$DT$24</t>
  </si>
  <si>
    <t>='C:\Users\jaime.benazar\Quorum Business Solutions\Ecopetrol Prometeo - Documents\Planning Space Implementation\3. Analysis &amp; Design\Design\FC22\DRR Jaime\Neiva CPI\[DINA TERCIARIOS_CF_SEC_New_27-Mar-2024.xlsx]D-PDP'!$DT$25</t>
  </si>
  <si>
    <t>='C:\Users\jaime.benazar\Quorum Business Solutions\Ecopetrol Prometeo - Documents\Planning Space Implementation\3. Analysis &amp; Design\Design\FC22\DRR Jaime\Neiva CPI\[DINA TERCIARIOS_CF_SEC_New_27-Mar-2024.xlsx]D-PDP'!$DT$26</t>
  </si>
  <si>
    <t>='C:\Users\jaime.benazar\Quorum Business Solutions\Ecopetrol Prometeo - Documents\Planning Space Implementation\3. Analysis &amp; Design\Design\FC22\DRR Jaime\Neiva CPI\[DINA TERCIARIOS_CF_SEC_New_27-Mar-2024.xlsx]D-PDP'!$DT$27</t>
  </si>
  <si>
    <t>='C:\Users\jaime.benazar\Quorum Business Solutions\Ecopetrol Prometeo - Documents\Planning Space Implementation\3. Analysis &amp; Design\Design\FC22\DRR Jaime\Neiva CPI\[DINA TERCIARIOS_CF_SEC_New_27-Mar-2024.xlsx]D-PDP'!$DT$28</t>
  </si>
  <si>
    <t>='C:\Users\jaime.benazar\Quorum Business Solutions\Ecopetrol Prometeo - Documents\Planning Space Implementation\3. Analysis &amp; Design\Design\FC22\DRR Jaime\Neiva CPI\[DINA TERCIARIOS_CF_SEC_New_27-Mar-2024.xlsx]D-PDP'!$DT$29</t>
  </si>
  <si>
    <t>='C:\Users\jaime.benazar\Quorum Business Solutions\Ecopetrol Prometeo - Documents\Planning Space Implementation\3. Analysis &amp; Design\Design\FC22\DRR Jaime\Neiva CPI\[DINA TERCIARIOS_CF_SEC_New_27-Mar-2024.xlsx]D-PDP'!$DT$30</t>
  </si>
  <si>
    <t>='C:\Users\jaime.benazar\Quorum Business Solutions\Ecopetrol Prometeo - Documents\Planning Space Implementation\3. Analysis &amp; Design\Design\FC22\DRR Jaime\Neiva CPI\[DINA TERCIARIOS_CF_SEC_New_27-Mar-2024.xlsx]D-PDP'!$DT$31</t>
  </si>
  <si>
    <t>='C:\Users\jaime.benazar\Quorum Business Solutions\Ecopetrol Prometeo - Documents\Planning Space Implementation\3. Analysis &amp; Design\Design\FC22\DRR Jaime\Neiva CPI\[DINA TERCIARIOS_CF_SEC_New_27-Mar-2024.xlsx]D-PDP'!$DT$32</t>
  </si>
  <si>
    <t>='C:\Users\jaime.benazar\Quorum Business Solutions\Ecopetrol Prometeo - Documents\Planning Space Implementation\3. Analysis &amp; Design\Design\FC22\DRR Jaime\Neiva CPI\[DINA TERCIARIOS_CF_SEC_New_27-Mar-2024.xlsx]D-PDP'!$DT$33</t>
  </si>
  <si>
    <t>='C:\Users\jaime.benazar\Quorum Business Solutions\Ecopetrol Prometeo - Documents\Planning Space Implementation\3. Analysis &amp; Design\Design\FC22\DRR Jaime\Neiva CPI\[DINA TERCIARIOS_CF_SEC_New_27-Mar-2024.xlsx]D-PDP'!$DT$34</t>
  </si>
  <si>
    <t>='C:\Users\jaime.benazar\Quorum Business Solutions\Ecopetrol Prometeo - Documents\Planning Space Implementation\3. Analysis &amp; Design\Design\FC22\DRR Jaime\Neiva CPI\[DINA TERCIARIOS_CF_SEC_New_27-Mar-2024.xlsx]D-PDP'!$DT$35</t>
  </si>
  <si>
    <t>='C:\Users\jaime.benazar\Quorum Business Solutions\Ecopetrol Prometeo - Documents\Planning Space Implementation\3. Analysis &amp; Design\Design\FC22\DRR Jaime\Neiva CPI\[DINA TERCIARIOS_CF_SEC_New_27-Mar-2024.xlsx]D-PDP'!$DT$36</t>
  </si>
  <si>
    <t>='C:\Users\jaime.benazar\Quorum Business Solutions\Ecopetrol Prometeo - Documents\Planning Space Implementation\3. Analysis &amp; Design\Design\FC22\DRR Jaime\Neiva CPI\[DINA TERCIARIOS_CF_SEC_New_27-Mar-2024.xlsx]D-PDP'!$DT$37</t>
  </si>
  <si>
    <t>='C:\Users\jaime.benazar\Quorum Business Solutions\Ecopetrol Prometeo - Documents\Planning Space Implementation\3. Analysis &amp; Design\Design\FC22\DRR Jaime\Neiva CPI\[DINA TERCIARIOS_CF_SEC_New_27-Mar-2024.xlsx]D-PDP'!$DT$38</t>
  </si>
  <si>
    <t>='C:\Users\jaime.benazar\Quorum Business Solutions\Ecopetrol Prometeo - Documents\Planning Space Implementation\3. Analysis &amp; Design\Design\FC22\DRR Jaime\Neiva CPI\[DINA TERCIARIOS_CF_SEC_New_27-Mar-2024.xlsx]D-PDP'!$DT$39</t>
  </si>
  <si>
    <t>='C:\Users\jaime.benazar\Quorum Business Solutions\Ecopetrol Prometeo - Documents\Planning Space Implementation\3. Analysis &amp; Design\Design\FC22\DRR Jaime\Neiva CPI\[DINA TERCIARIOS_CF_SEC_New_27-Mar-2024.xlsx]D-PDP'!$DT$40</t>
  </si>
  <si>
    <t>='C:\Users\jaime.benazar\Quorum Business Solutions\Ecopetrol Prometeo - Documents\Planning Space Implementation\3. Analysis &amp; Design\Design\FC22\DRR Jaime\Neiva CPI\[DINA TERCIARIOS_CF_SEC_New_27-Mar-2024.xlsx]D-PDP'!$DT$41</t>
  </si>
  <si>
    <t>='C:\Users\jaime.benazar\Quorum Business Solutions\Ecopetrol Prometeo - Documents\Planning Space Implementation\3. Analysis &amp; Design\Design\FC22\DRR Jaime\Neiva CPI\[DINA TERCIARIOS_CF_SEC_New_27-Mar-2024.xlsx]D-PDP'!$DT$42</t>
  </si>
  <si>
    <t>='C:\Users\jaime.benazar\Quorum Business Solutions\Ecopetrol Prometeo - Documents\Planning Space Implementation\3. Analysis &amp; Design\Design\FC22\DRR Jaime\Neiva CPI\[DINA TERCIARIOS_CF_SEC_New_27-Mar-2024.xlsx]D-PDP'!$DT$43</t>
  </si>
  <si>
    <t>='C:\Users\jaime.benazar\Quorum Business Solutions\Ecopetrol Prometeo - Documents\Planning Space Implementation\3. Analysis &amp; Design\Design\FC22\DRR Jaime\Neiva CPI\[DINA TERCIARIOS_CF_SEC_New_27-Mar-2024.xlsx]D-PDP'!$DT$44</t>
  </si>
  <si>
    <t>='C:\Users\jaime.benazar\Quorum Business Solutions\Ecopetrol Prometeo - Documents\Planning Space Implementation\3. Analysis &amp; Design\Design\FC22\DRR Jaime\Neiva CPI\[DINA TERCIARIOS_CF_SEC_New_27-Mar-2024.xlsx]D-PDP'!$DT$45</t>
  </si>
  <si>
    <t>='C:\Users\jaime.benazar\Quorum Business Solutions\Ecopetrol Prometeo - Documents\Planning Space Implementation\3. Analysis &amp; Design\Design\FC22\DRR Jaime\Neiva CPI\[DINA TERCIARIOS_CF_SEC_New_27-Mar-2024.xlsx]D-PDP'!$DT$46</t>
  </si>
  <si>
    <t>='C:\Users\jaime.benazar\Quorum Business Solutions\Ecopetrol Prometeo - Documents\Planning Space Implementation\3. Analysis &amp; Design\Design\FC22\DRR Jaime\Neiva CPI\[DINA TERCIARIOS_CF_SEC_New_27-Mar-2024.xlsx]D-PDP'!$DT$47</t>
  </si>
  <si>
    <t>='C:\Users\jaime.benazar\Quorum Business Solutions\Ecopetrol Prometeo - Documents\Planning Space Implementation\3. Analysis &amp; Design\Design\FC22\DRR Jaime\Neiva CPI\[DINA TERCIARIOS_CF_SEC_New_27-Mar-2024.xlsx]D-PDP'!$DT$48</t>
  </si>
  <si>
    <t>='C:\Users\jaime.benazar\Quorum Business Solutions\Ecopetrol Prometeo - Documents\Planning Space Implementation\3. Analysis &amp; Design\Design\FC22\DRR Jaime\Neiva CPI\[DINA TERCIARIOS_CF_SEC_New_27-Mar-2024.xlsx]D-PNP'!$DT$12</t>
  </si>
  <si>
    <t>='C:\Users\jaime.benazar\Quorum Business Solutions\Ecopetrol Prometeo - Documents\Planning Space Implementation\3. Analysis &amp; Design\Design\FC22\DRR Jaime\Neiva CPI\[DINA TERCIARIOS_CF_SEC_New_27-Mar-2024.xlsx]D-PNP'!$DT$13</t>
  </si>
  <si>
    <t>='C:\Users\jaime.benazar\Quorum Business Solutions\Ecopetrol Prometeo - Documents\Planning Space Implementation\3. Analysis &amp; Design\Design\FC22\DRR Jaime\Neiva CPI\[DINA TERCIARIOS_CF_SEC_New_27-Mar-2024.xlsx]D-PNP'!$DT$14</t>
  </si>
  <si>
    <t>='C:\Users\jaime.benazar\Quorum Business Solutions\Ecopetrol Prometeo - Documents\Planning Space Implementation\3. Analysis &amp; Design\Design\FC22\DRR Jaime\Neiva CPI\[DINA TERCIARIOS_CF_SEC_New_27-Mar-2024.xlsx]D-PNP'!$DT$15</t>
  </si>
  <si>
    <t>='C:\Users\jaime.benazar\Quorum Business Solutions\Ecopetrol Prometeo - Documents\Planning Space Implementation\3. Analysis &amp; Design\Design\FC22\DRR Jaime\Neiva CPI\[DINA TERCIARIOS_CF_SEC_New_27-Mar-2024.xlsx]D-PNP'!$DT$16</t>
  </si>
  <si>
    <t>='C:\Users\jaime.benazar\Quorum Business Solutions\Ecopetrol Prometeo - Documents\Planning Space Implementation\3. Analysis &amp; Design\Design\FC22\DRR Jaime\Neiva CPI\[DINA TERCIARIOS_CF_SEC_New_27-Mar-2024.xlsx]D-PNP'!$DT$17</t>
  </si>
  <si>
    <t>='C:\Users\jaime.benazar\Quorum Business Solutions\Ecopetrol Prometeo - Documents\Planning Space Implementation\3. Analysis &amp; Design\Design\FC22\DRR Jaime\Neiva CPI\[DINA TERCIARIOS_CF_SEC_New_27-Mar-2024.xlsx]D-PNP'!$DT$18</t>
  </si>
  <si>
    <t>='C:\Users\jaime.benazar\Quorum Business Solutions\Ecopetrol Prometeo - Documents\Planning Space Implementation\3. Analysis &amp; Design\Design\FC22\DRR Jaime\Neiva CPI\[DINA TERCIARIOS_CF_SEC_New_27-Mar-2024.xlsx]D-PNP'!$DT$19</t>
  </si>
  <si>
    <t>='C:\Users\jaime.benazar\Quorum Business Solutions\Ecopetrol Prometeo - Documents\Planning Space Implementation\3. Analysis &amp; Design\Design\FC22\DRR Jaime\Neiva CPI\[DINA TERCIARIOS_CF_SEC_New_27-Mar-2024.xlsx]D-PNP'!$DT$20</t>
  </si>
  <si>
    <t>='C:\Users\jaime.benazar\Quorum Business Solutions\Ecopetrol Prometeo - Documents\Planning Space Implementation\3. Analysis &amp; Design\Design\FC22\DRR Jaime\Neiva CPI\[DINA TERCIARIOS_CF_SEC_New_27-Mar-2024.xlsx]D-PNP'!$DT$21</t>
  </si>
  <si>
    <t>='C:\Users\jaime.benazar\Quorum Business Solutions\Ecopetrol Prometeo - Documents\Planning Space Implementation\3. Analysis &amp; Design\Design\FC22\DRR Jaime\Neiva CPI\[DINA TERCIARIOS_CF_SEC_New_27-Mar-2024.xlsx]D-PNP'!$DT$22</t>
  </si>
  <si>
    <t>='C:\Users\jaime.benazar\Quorum Business Solutions\Ecopetrol Prometeo - Documents\Planning Space Implementation\3. Analysis &amp; Design\Design\FC22\DRR Jaime\Neiva CPI\[DINA TERCIARIOS_CF_SEC_New_27-Mar-2024.xlsx]D-PNP'!$DT$23</t>
  </si>
  <si>
    <t>='C:\Users\jaime.benazar\Quorum Business Solutions\Ecopetrol Prometeo - Documents\Planning Space Implementation\3. Analysis &amp; Design\Design\FC22\DRR Jaime\Neiva CPI\[DINA TERCIARIOS_CF_SEC_New_27-Mar-2024.xlsx]D-PNP'!$DT$24</t>
  </si>
  <si>
    <t>='C:\Users\jaime.benazar\Quorum Business Solutions\Ecopetrol Prometeo - Documents\Planning Space Implementation\3. Analysis &amp; Design\Design\FC22\DRR Jaime\Neiva CPI\[DINA TERCIARIOS_CF_SEC_New_27-Mar-2024.xlsx]D-PNP'!$DT$25</t>
  </si>
  <si>
    <t>='C:\Users\jaime.benazar\Quorum Business Solutions\Ecopetrol Prometeo - Documents\Planning Space Implementation\3. Analysis &amp; Design\Design\FC22\DRR Jaime\Neiva CPI\[DINA TERCIARIOS_CF_SEC_New_27-Mar-2024.xlsx]D-PNP'!$DT$26</t>
  </si>
  <si>
    <t>='C:\Users\jaime.benazar\Quorum Business Solutions\Ecopetrol Prometeo - Documents\Planning Space Implementation\3. Analysis &amp; Design\Design\FC22\DRR Jaime\Neiva CPI\[DINA TERCIARIOS_CF_SEC_New_27-Mar-2024.xlsx]D-PNP'!$DT$27</t>
  </si>
  <si>
    <t>='C:\Users\jaime.benazar\Quorum Business Solutions\Ecopetrol Prometeo - Documents\Planning Space Implementation\3. Analysis &amp; Design\Design\FC22\DRR Jaime\Neiva CPI\[DINA TERCIARIOS_CF_SEC_New_27-Mar-2024.xlsx]D-PNP'!$DT$28</t>
  </si>
  <si>
    <t>='C:\Users\jaime.benazar\Quorum Business Solutions\Ecopetrol Prometeo - Documents\Planning Space Implementation\3. Analysis &amp; Design\Design\FC22\DRR Jaime\Neiva CPI\[DINA TERCIARIOS_CF_SEC_New_27-Mar-2024.xlsx]D-PNP'!$DT$29</t>
  </si>
  <si>
    <t>='C:\Users\jaime.benazar\Quorum Business Solutions\Ecopetrol Prometeo - Documents\Planning Space Implementation\3. Analysis &amp; Design\Design\FC22\DRR Jaime\Neiva CPI\[DINA TERCIARIOS_CF_SEC_New_27-Mar-2024.xlsx]D-PNP'!$DT$30</t>
  </si>
  <si>
    <t>='C:\Users\jaime.benazar\Quorum Business Solutions\Ecopetrol Prometeo - Documents\Planning Space Implementation\3. Analysis &amp; Design\Design\FC22\DRR Jaime\Neiva CPI\[DINA TERCIARIOS_CF_SEC_New_27-Mar-2024.xlsx]D-PNP'!$DT$31</t>
  </si>
  <si>
    <t>='C:\Users\jaime.benazar\Quorum Business Solutions\Ecopetrol Prometeo - Documents\Planning Space Implementation\3. Analysis &amp; Design\Design\FC22\DRR Jaime\Neiva CPI\[DINA TERCIARIOS_CF_SEC_New_27-Mar-2024.xlsx]D-PNP'!$DT$32</t>
  </si>
  <si>
    <t>='C:\Users\jaime.benazar\Quorum Business Solutions\Ecopetrol Prometeo - Documents\Planning Space Implementation\3. Analysis &amp; Design\Design\FC22\DRR Jaime\Neiva CPI\[DINA TERCIARIOS_CF_SEC_New_27-Mar-2024.xlsx]D-PNP'!$DT$33</t>
  </si>
  <si>
    <t>='C:\Users\jaime.benazar\Quorum Business Solutions\Ecopetrol Prometeo - Documents\Planning Space Implementation\3. Analysis &amp; Design\Design\FC22\DRR Jaime\Neiva CPI\[DINA TERCIARIOS_CF_SEC_New_27-Mar-2024.xlsx]D-PNP'!$DT$34</t>
  </si>
  <si>
    <t>='C:\Users\jaime.benazar\Quorum Business Solutions\Ecopetrol Prometeo - Documents\Planning Space Implementation\3. Analysis &amp; Design\Design\FC22\DRR Jaime\Neiva CPI\[DINA TERCIARIOS_CF_SEC_New_27-Mar-2024.xlsx]D-PNP'!$DT$35</t>
  </si>
  <si>
    <t>='C:\Users\jaime.benazar\Quorum Business Solutions\Ecopetrol Prometeo - Documents\Planning Space Implementation\3. Analysis &amp; Design\Design\FC22\DRR Jaime\Neiva CPI\[DINA TERCIARIOS_CF_SEC_New_27-Mar-2024.xlsx]D-PNP'!$DT$36</t>
  </si>
  <si>
    <t>='C:\Users\jaime.benazar\Quorum Business Solutions\Ecopetrol Prometeo - Documents\Planning Space Implementation\3. Analysis &amp; Design\Design\FC22\DRR Jaime\Neiva CPI\[DINA TERCIARIOS_CF_SEC_New_27-Mar-2024.xlsx]D-PNP'!$DT$37</t>
  </si>
  <si>
    <t>='C:\Users\jaime.benazar\Quorum Business Solutions\Ecopetrol Prometeo - Documents\Planning Space Implementation\3. Analysis &amp; Design\Design\FC22\DRR Jaime\Neiva CPI\[DINA TERCIARIOS_CF_SEC_New_27-Mar-2024.xlsx]D-PNP'!$DT$38</t>
  </si>
  <si>
    <t>='C:\Users\jaime.benazar\Quorum Business Solutions\Ecopetrol Prometeo - Documents\Planning Space Implementation\3. Analysis &amp; Design\Design\FC22\DRR Jaime\Neiva CPI\[DINA TERCIARIOS_CF_SEC_New_27-Mar-2024.xlsx]D-PNP'!$DT$39</t>
  </si>
  <si>
    <t>='C:\Users\jaime.benazar\Quorum Business Solutions\Ecopetrol Prometeo - Documents\Planning Space Implementation\3. Analysis &amp; Design\Design\FC22\DRR Jaime\Neiva CPI\[DINA TERCIARIOS_CF_SEC_New_27-Mar-2024.xlsx]D-PNP'!$DT$40</t>
  </si>
  <si>
    <t>='C:\Users\jaime.benazar\Quorum Business Solutions\Ecopetrol Prometeo - Documents\Planning Space Implementation\3. Analysis &amp; Design\Design\FC22\DRR Jaime\Neiva CPI\[DINA TERCIARIOS_CF_SEC_New_27-Mar-2024.xlsx]D-PNP'!$DT$41</t>
  </si>
  <si>
    <t>='C:\Users\jaime.benazar\Quorum Business Solutions\Ecopetrol Prometeo - Documents\Planning Space Implementation\3. Analysis &amp; Design\Design\FC22\DRR Jaime\Neiva CPI\[DINA TERCIARIOS_CF_SEC_New_27-Mar-2024.xlsx]D-PNP'!$DT$42</t>
  </si>
  <si>
    <t>='C:\Users\jaime.benazar\Quorum Business Solutions\Ecopetrol Prometeo - Documents\Planning Space Implementation\3. Analysis &amp; Design\Design\FC22\DRR Jaime\Neiva CPI\[DINA TERCIARIOS_CF_SEC_New_27-Mar-2024.xlsx]D-PNP'!$DT$43</t>
  </si>
  <si>
    <t>='C:\Users\jaime.benazar\Quorum Business Solutions\Ecopetrol Prometeo - Documents\Planning Space Implementation\3. Analysis &amp; Design\Design\FC22\DRR Jaime\Neiva CPI\[DINA TERCIARIOS_CF_SEC_New_27-Mar-2024.xlsx]D-PNP'!$DT$44</t>
  </si>
  <si>
    <t>='C:\Users\jaime.benazar\Quorum Business Solutions\Ecopetrol Prometeo - Documents\Planning Space Implementation\3. Analysis &amp; Design\Design\FC22\DRR Jaime\Neiva CPI\[DINA TERCIARIOS_CF_SEC_New_27-Mar-2024.xlsx]D-PNP'!$DT$45</t>
  </si>
  <si>
    <t>='C:\Users\jaime.benazar\Quorum Business Solutions\Ecopetrol Prometeo - Documents\Planning Space Implementation\3. Analysis &amp; Design\Design\FC22\DRR Jaime\Neiva CPI\[DINA TERCIARIOS_CF_SEC_New_27-Mar-2024.xlsx]D-PNP'!$DT$46</t>
  </si>
  <si>
    <t>='C:\Users\jaime.benazar\Quorum Business Solutions\Ecopetrol Prometeo - Documents\Planning Space Implementation\3. Analysis &amp; Design\Design\FC22\DRR Jaime\Neiva CPI\[DINA TERCIARIOS_CF_SEC_New_27-Mar-2024.xlsx]D-PNP'!$DT$47</t>
  </si>
  <si>
    <t>='C:\Users\jaime.benazar\Quorum Business Solutions\Ecopetrol Prometeo - Documents\Planning Space Implementation\3. Analysis &amp; Design\Design\FC22\DRR Jaime\Neiva CPI\[DINA TERCIARIOS_CF_SEC_New_27-Mar-2024.xlsx]D-PNP'!$DT$48</t>
  </si>
  <si>
    <t>='C:\Users\jaime.benazar\Quorum Business Solutions\Ecopetrol Prometeo - Documents\Planning Space Implementation\3. Analysis &amp; Design\Design\FC22\DRR Jaime\Neiva CPI\[DINA TERCIARIOS_CF_SEC_New_27-Mar-2024.xlsx]D-PND'!$DT$12</t>
  </si>
  <si>
    <t>='C:\Users\jaime.benazar\Quorum Business Solutions\Ecopetrol Prometeo - Documents\Planning Space Implementation\3. Analysis &amp; Design\Design\FC22\DRR Jaime\Neiva CPI\[DINA TERCIARIOS_CF_SEC_New_27-Mar-2024.xlsx]D-PND'!$DT$13</t>
  </si>
  <si>
    <t>='C:\Users\jaime.benazar\Quorum Business Solutions\Ecopetrol Prometeo - Documents\Planning Space Implementation\3. Analysis &amp; Design\Design\FC22\DRR Jaime\Neiva CPI\[DINA TERCIARIOS_CF_SEC_New_27-Mar-2024.xlsx]D-PND'!$DT$14</t>
  </si>
  <si>
    <t>='C:\Users\jaime.benazar\Quorum Business Solutions\Ecopetrol Prometeo - Documents\Planning Space Implementation\3. Analysis &amp; Design\Design\FC22\DRR Jaime\Neiva CPI\[DINA TERCIARIOS_CF_SEC_New_27-Mar-2024.xlsx]D-PND'!$DT$15</t>
  </si>
  <si>
    <t>='C:\Users\jaime.benazar\Quorum Business Solutions\Ecopetrol Prometeo - Documents\Planning Space Implementation\3. Analysis &amp; Design\Design\FC22\DRR Jaime\Neiva CPI\[DINA TERCIARIOS_CF_SEC_New_27-Mar-2024.xlsx]D-PND'!$DT$16</t>
  </si>
  <si>
    <t>='C:\Users\jaime.benazar\Quorum Business Solutions\Ecopetrol Prometeo - Documents\Planning Space Implementation\3. Analysis &amp; Design\Design\FC22\DRR Jaime\Neiva CPI\[DINA TERCIARIOS_CF_SEC_New_27-Mar-2024.xlsx]D-PND'!$DT$17</t>
  </si>
  <si>
    <t>='C:\Users\jaime.benazar\Quorum Business Solutions\Ecopetrol Prometeo - Documents\Planning Space Implementation\3. Analysis &amp; Design\Design\FC22\DRR Jaime\Neiva CPI\[DINA TERCIARIOS_CF_SEC_New_27-Mar-2024.xlsx]D-PND'!$DT$18</t>
  </si>
  <si>
    <t>='C:\Users\jaime.benazar\Quorum Business Solutions\Ecopetrol Prometeo - Documents\Planning Space Implementation\3. Analysis &amp; Design\Design\FC22\DRR Jaime\Neiva CPI\[DINA TERCIARIOS_CF_SEC_New_27-Mar-2024.xlsx]D-PND'!$DT$19</t>
  </si>
  <si>
    <t>='C:\Users\jaime.benazar\Quorum Business Solutions\Ecopetrol Prometeo - Documents\Planning Space Implementation\3. Analysis &amp; Design\Design\FC22\DRR Jaime\Neiva CPI\[DINA TERCIARIOS_CF_SEC_New_27-Mar-2024.xlsx]D-PND'!$DT$20</t>
  </si>
  <si>
    <t>='C:\Users\jaime.benazar\Quorum Business Solutions\Ecopetrol Prometeo - Documents\Planning Space Implementation\3. Analysis &amp; Design\Design\FC22\DRR Jaime\Neiva CPI\[DINA TERCIARIOS_CF_SEC_New_27-Mar-2024.xlsx]D-PND'!$DT$21</t>
  </si>
  <si>
    <t>='C:\Users\jaime.benazar\Quorum Business Solutions\Ecopetrol Prometeo - Documents\Planning Space Implementation\3. Analysis &amp; Design\Design\FC22\DRR Jaime\Neiva CPI\[DINA TERCIARIOS_CF_SEC_New_27-Mar-2024.xlsx]D-PND'!$DT$22</t>
  </si>
  <si>
    <t>='C:\Users\jaime.benazar\Quorum Business Solutions\Ecopetrol Prometeo - Documents\Planning Space Implementation\3. Analysis &amp; Design\Design\FC22\DRR Jaime\Neiva CPI\[DINA TERCIARIOS_CF_SEC_New_27-Mar-2024.xlsx]D-PND'!$DT$23</t>
  </si>
  <si>
    <t>='C:\Users\jaime.benazar\Quorum Business Solutions\Ecopetrol Prometeo - Documents\Planning Space Implementation\3. Analysis &amp; Design\Design\FC22\DRR Jaime\Neiva CPI\[DINA TERCIARIOS_CF_SEC_New_27-Mar-2024.xlsx]D-PND'!$DT$24</t>
  </si>
  <si>
    <t>='C:\Users\jaime.benazar\Quorum Business Solutions\Ecopetrol Prometeo - Documents\Planning Space Implementation\3. Analysis &amp; Design\Design\FC22\DRR Jaime\Neiva CPI\[DINA TERCIARIOS_CF_SEC_New_27-Mar-2024.xlsx]D-PND'!$DT$25</t>
  </si>
  <si>
    <t>='C:\Users\jaime.benazar\Quorum Business Solutions\Ecopetrol Prometeo - Documents\Planning Space Implementation\3. Analysis &amp; Design\Design\FC22\DRR Jaime\Neiva CPI\[DINA TERCIARIOS_CF_SEC_New_27-Mar-2024.xlsx]D-PND'!$DT$26</t>
  </si>
  <si>
    <t>='C:\Users\jaime.benazar\Quorum Business Solutions\Ecopetrol Prometeo - Documents\Planning Space Implementation\3. Analysis &amp; Design\Design\FC22\DRR Jaime\Neiva CPI\[DINA TERCIARIOS_CF_SEC_New_27-Mar-2024.xlsx]D-PND'!$DT$27</t>
  </si>
  <si>
    <t>='C:\Users\jaime.benazar\Quorum Business Solutions\Ecopetrol Prometeo - Documents\Planning Space Implementation\3. Analysis &amp; Design\Design\FC22\DRR Jaime\Neiva CPI\[DINA TERCIARIOS_CF_SEC_New_27-Mar-2024.xlsx]D-PND'!$DT$28</t>
  </si>
  <si>
    <t>='C:\Users\jaime.benazar\Quorum Business Solutions\Ecopetrol Prometeo - Documents\Planning Space Implementation\3. Analysis &amp; Design\Design\FC22\DRR Jaime\Neiva CPI\[DINA TERCIARIOS_CF_SEC_New_27-Mar-2024.xlsx]D-PND'!$DT$29</t>
  </si>
  <si>
    <t>='C:\Users\jaime.benazar\Quorum Business Solutions\Ecopetrol Prometeo - Documents\Planning Space Implementation\3. Analysis &amp; Design\Design\FC22\DRR Jaime\Neiva CPI\[DINA TERCIARIOS_CF_SEC_New_27-Mar-2024.xlsx]D-PND'!$DT$30</t>
  </si>
  <si>
    <t>='C:\Users\jaime.benazar\Quorum Business Solutions\Ecopetrol Prometeo - Documents\Planning Space Implementation\3. Analysis &amp; Design\Design\FC22\DRR Jaime\Neiva CPI\[DINA TERCIARIOS_CF_SEC_New_27-Mar-2024.xlsx]D-PND'!$DT$31</t>
  </si>
  <si>
    <t>='C:\Users\jaime.benazar\Quorum Business Solutions\Ecopetrol Prometeo - Documents\Planning Space Implementation\3. Analysis &amp; Design\Design\FC22\DRR Jaime\Neiva CPI\[DINA TERCIARIOS_CF_SEC_New_27-Mar-2024.xlsx]D-PND'!$DT$32</t>
  </si>
  <si>
    <t>='C:\Users\jaime.benazar\Quorum Business Solutions\Ecopetrol Prometeo - Documents\Planning Space Implementation\3. Analysis &amp; Design\Design\FC22\DRR Jaime\Neiva CPI\[DINA TERCIARIOS_CF_SEC_New_27-Mar-2024.xlsx]D-PND'!$DT$33</t>
  </si>
  <si>
    <t>='C:\Users\jaime.benazar\Quorum Business Solutions\Ecopetrol Prometeo - Documents\Planning Space Implementation\3. Analysis &amp; Design\Design\FC22\DRR Jaime\Neiva CPI\[DINA TERCIARIOS_CF_SEC_New_27-Mar-2024.xlsx]D-PND'!$DT$34</t>
  </si>
  <si>
    <t>='C:\Users\jaime.benazar\Quorum Business Solutions\Ecopetrol Prometeo - Documents\Planning Space Implementation\3. Analysis &amp; Design\Design\FC22\DRR Jaime\Neiva CPI\[DINA TERCIARIOS_CF_SEC_New_27-Mar-2024.xlsx]D-PND'!$DT$35</t>
  </si>
  <si>
    <t>='C:\Users\jaime.benazar\Quorum Business Solutions\Ecopetrol Prometeo - Documents\Planning Space Implementation\3. Analysis &amp; Design\Design\FC22\DRR Jaime\Neiva CPI\[DINA TERCIARIOS_CF_SEC_New_27-Mar-2024.xlsx]D-PND'!$DT$36</t>
  </si>
  <si>
    <t>='C:\Users\jaime.benazar\Quorum Business Solutions\Ecopetrol Prometeo - Documents\Planning Space Implementation\3. Analysis &amp; Design\Design\FC22\DRR Jaime\Neiva CPI\[DINA TERCIARIOS_CF_SEC_New_27-Mar-2024.xlsx]D-PND'!$DT$37</t>
  </si>
  <si>
    <t>='C:\Users\jaime.benazar\Quorum Business Solutions\Ecopetrol Prometeo - Documents\Planning Space Implementation\3. Analysis &amp; Design\Design\FC22\DRR Jaime\Neiva CPI\[DINA TERCIARIOS_CF_SEC_New_27-Mar-2024.xlsx]D-PND'!$DT$38</t>
  </si>
  <si>
    <t>='C:\Users\jaime.benazar\Quorum Business Solutions\Ecopetrol Prometeo - Documents\Planning Space Implementation\3. Analysis &amp; Design\Design\FC22\DRR Jaime\Neiva CPI\[DINA TERCIARIOS_CF_SEC_New_27-Mar-2024.xlsx]D-PND'!$DT$39</t>
  </si>
  <si>
    <t>='C:\Users\jaime.benazar\Quorum Business Solutions\Ecopetrol Prometeo - Documents\Planning Space Implementation\3. Analysis &amp; Design\Design\FC22\DRR Jaime\Neiva CPI\[DINA TERCIARIOS_CF_SEC_New_27-Mar-2024.xlsx]D-PND'!$DT$40</t>
  </si>
  <si>
    <t>='C:\Users\jaime.benazar\Quorum Business Solutions\Ecopetrol Prometeo - Documents\Planning Space Implementation\3. Analysis &amp; Design\Design\FC22\DRR Jaime\Neiva CPI\[DINA TERCIARIOS_CF_SEC_New_27-Mar-2024.xlsx]D-PND'!$DT$41</t>
  </si>
  <si>
    <t>='C:\Users\jaime.benazar\Quorum Business Solutions\Ecopetrol Prometeo - Documents\Planning Space Implementation\3. Analysis &amp; Design\Design\FC22\DRR Jaime\Neiva CPI\[DINA TERCIARIOS_CF_SEC_New_27-Mar-2024.xlsx]D-PND'!$DT$42</t>
  </si>
  <si>
    <t>='C:\Users\jaime.benazar\Quorum Business Solutions\Ecopetrol Prometeo - Documents\Planning Space Implementation\3. Analysis &amp; Design\Design\FC22\DRR Jaime\Neiva CPI\[DINA TERCIARIOS_CF_SEC_New_27-Mar-2024.xlsx]D-PND'!$DT$43</t>
  </si>
  <si>
    <t>='C:\Users\jaime.benazar\Quorum Business Solutions\Ecopetrol Prometeo - Documents\Planning Space Implementation\3. Analysis &amp; Design\Design\FC22\DRR Jaime\Neiva CPI\[DINA TERCIARIOS_CF_SEC_New_27-Mar-2024.xlsx]D-PND'!$DT$44</t>
  </si>
  <si>
    <t>='C:\Users\jaime.benazar\Quorum Business Solutions\Ecopetrol Prometeo - Documents\Planning Space Implementation\3. Analysis &amp; Design\Design\FC22\DRR Jaime\Neiva CPI\[DINA TERCIARIOS_CF_SEC_New_27-Mar-2024.xlsx]D-PND'!$DT$45</t>
  </si>
  <si>
    <t>='C:\Users\jaime.benazar\Quorum Business Solutions\Ecopetrol Prometeo - Documents\Planning Space Implementation\3. Analysis &amp; Design\Design\FC22\DRR Jaime\Neiva CPI\[DINA TERCIARIOS_CF_SEC_New_27-Mar-2024.xlsx]D-PND'!$DT$46</t>
  </si>
  <si>
    <t>='C:\Users\jaime.benazar\Quorum Business Solutions\Ecopetrol Prometeo - Documents\Planning Space Implementation\3. Analysis &amp; Design\Design\FC22\DRR Jaime\Neiva CPI\[DINA TERCIARIOS_CF_SEC_New_27-Mar-2024.xlsx]D-PND'!$DT$47</t>
  </si>
  <si>
    <t>='C:\Users\jaime.benazar\Quorum Business Solutions\Ecopetrol Prometeo - Documents\Planning Space Implementation\3. Analysis &amp; Design\Design\FC22\DRR Jaime\Neiva CPI\[DINA TERCIARIOS_CF_SEC_New_27-Mar-2024.xlsx]D-PND'!$DT$48</t>
  </si>
  <si>
    <t>='C:\Users\jaime.benazar\Quorum Business Solutions\Ecopetrol Prometeo - Documents\Planning Space Implementation\3. Analysis &amp; Design\Design\FC22\DRR Jaime\Neiva CPI\[DINA TERCIARIOS_CF_SEC_New_27-Mar-2024.xlsx]D-PRB'!$DT$12</t>
  </si>
  <si>
    <t>='C:\Users\jaime.benazar\Quorum Business Solutions\Ecopetrol Prometeo - Documents\Planning Space Implementation\3. Analysis &amp; Design\Design\FC22\DRR Jaime\Neiva CPI\[DINA TERCIARIOS_CF_SEC_New_27-Mar-2024.xlsx]D-PRB'!$DT$13</t>
  </si>
  <si>
    <t>='C:\Users\jaime.benazar\Quorum Business Solutions\Ecopetrol Prometeo - Documents\Planning Space Implementation\3. Analysis &amp; Design\Design\FC22\DRR Jaime\Neiva CPI\[DINA TERCIARIOS_CF_SEC_New_27-Mar-2024.xlsx]D-PRB'!$DT$14</t>
  </si>
  <si>
    <t>='C:\Users\jaime.benazar\Quorum Business Solutions\Ecopetrol Prometeo - Documents\Planning Space Implementation\3. Analysis &amp; Design\Design\FC22\DRR Jaime\Neiva CPI\[DINA TERCIARIOS_CF_SEC_New_27-Mar-2024.xlsx]D-PRB'!$DT$15</t>
  </si>
  <si>
    <t>='C:\Users\jaime.benazar\Quorum Business Solutions\Ecopetrol Prometeo - Documents\Planning Space Implementation\3. Analysis &amp; Design\Design\FC22\DRR Jaime\Neiva CPI\[DINA TERCIARIOS_CF_SEC_New_27-Mar-2024.xlsx]D-PRB'!$DT$16</t>
  </si>
  <si>
    <t>='C:\Users\jaime.benazar\Quorum Business Solutions\Ecopetrol Prometeo - Documents\Planning Space Implementation\3. Analysis &amp; Design\Design\FC22\DRR Jaime\Neiva CPI\[DINA TERCIARIOS_CF_SEC_New_27-Mar-2024.xlsx]D-PRB'!$DT$17</t>
  </si>
  <si>
    <t>='C:\Users\jaime.benazar\Quorum Business Solutions\Ecopetrol Prometeo - Documents\Planning Space Implementation\3. Analysis &amp; Design\Design\FC22\DRR Jaime\Neiva CPI\[DINA TERCIARIOS_CF_SEC_New_27-Mar-2024.xlsx]D-PRB'!$DT$18</t>
  </si>
  <si>
    <t>='C:\Users\jaime.benazar\Quorum Business Solutions\Ecopetrol Prometeo - Documents\Planning Space Implementation\3. Analysis &amp; Design\Design\FC22\DRR Jaime\Neiva CPI\[DINA TERCIARIOS_CF_SEC_New_27-Mar-2024.xlsx]D-PRB'!$DT$19</t>
  </si>
  <si>
    <t>='C:\Users\jaime.benazar\Quorum Business Solutions\Ecopetrol Prometeo - Documents\Planning Space Implementation\3. Analysis &amp; Design\Design\FC22\DRR Jaime\Neiva CPI\[DINA TERCIARIOS_CF_SEC_New_27-Mar-2024.xlsx]D-PRB'!$DT$20</t>
  </si>
  <si>
    <t>='C:\Users\jaime.benazar\Quorum Business Solutions\Ecopetrol Prometeo - Documents\Planning Space Implementation\3. Analysis &amp; Design\Design\FC22\DRR Jaime\Neiva CPI\[DINA TERCIARIOS_CF_SEC_New_27-Mar-2024.xlsx]D-PRB'!$DT$21</t>
  </si>
  <si>
    <t>='C:\Users\jaime.benazar\Quorum Business Solutions\Ecopetrol Prometeo - Documents\Planning Space Implementation\3. Analysis &amp; Design\Design\FC22\DRR Jaime\Neiva CPI\[DINA TERCIARIOS_CF_SEC_New_27-Mar-2024.xlsx]D-PRB'!$DT$22</t>
  </si>
  <si>
    <t>='C:\Users\jaime.benazar\Quorum Business Solutions\Ecopetrol Prometeo - Documents\Planning Space Implementation\3. Analysis &amp; Design\Design\FC22\DRR Jaime\Neiva CPI\[DINA TERCIARIOS_CF_SEC_New_27-Mar-2024.xlsx]D-PRB'!$DT$23</t>
  </si>
  <si>
    <t>='C:\Users\jaime.benazar\Quorum Business Solutions\Ecopetrol Prometeo - Documents\Planning Space Implementation\3. Analysis &amp; Design\Design\FC22\DRR Jaime\Neiva CPI\[DINA TERCIARIOS_CF_SEC_New_27-Mar-2024.xlsx]D-PRB'!$DT$24</t>
  </si>
  <si>
    <t>='C:\Users\jaime.benazar\Quorum Business Solutions\Ecopetrol Prometeo - Documents\Planning Space Implementation\3. Analysis &amp; Design\Design\FC22\DRR Jaime\Neiva CPI\[DINA TERCIARIOS_CF_SEC_New_27-Mar-2024.xlsx]D-PRB'!$DT$25</t>
  </si>
  <si>
    <t>='C:\Users\jaime.benazar\Quorum Business Solutions\Ecopetrol Prometeo - Documents\Planning Space Implementation\3. Analysis &amp; Design\Design\FC22\DRR Jaime\Neiva CPI\[DINA TERCIARIOS_CF_SEC_New_27-Mar-2024.xlsx]D-PRB'!$DT$26</t>
  </si>
  <si>
    <t>='C:\Users\jaime.benazar\Quorum Business Solutions\Ecopetrol Prometeo - Documents\Planning Space Implementation\3. Analysis &amp; Design\Design\FC22\DRR Jaime\Neiva CPI\[DINA TERCIARIOS_CF_SEC_New_27-Mar-2024.xlsx]D-PRB'!$DT$27</t>
  </si>
  <si>
    <t>='C:\Users\jaime.benazar\Quorum Business Solutions\Ecopetrol Prometeo - Documents\Planning Space Implementation\3. Analysis &amp; Design\Design\FC22\DRR Jaime\Neiva CPI\[DINA TERCIARIOS_CF_SEC_New_27-Mar-2024.xlsx]D-PRB'!$DT$28</t>
  </si>
  <si>
    <t>='C:\Users\jaime.benazar\Quorum Business Solutions\Ecopetrol Prometeo - Documents\Planning Space Implementation\3. Analysis &amp; Design\Design\FC22\DRR Jaime\Neiva CPI\[DINA TERCIARIOS_CF_SEC_New_27-Mar-2024.xlsx]D-PRB'!$DT$29</t>
  </si>
  <si>
    <t>='C:\Users\jaime.benazar\Quorum Business Solutions\Ecopetrol Prometeo - Documents\Planning Space Implementation\3. Analysis &amp; Design\Design\FC22\DRR Jaime\Neiva CPI\[DINA TERCIARIOS_CF_SEC_New_27-Mar-2024.xlsx]D-PRB'!$DT$30</t>
  </si>
  <si>
    <t>='C:\Users\jaime.benazar\Quorum Business Solutions\Ecopetrol Prometeo - Documents\Planning Space Implementation\3. Analysis &amp; Design\Design\FC22\DRR Jaime\Neiva CPI\[DINA TERCIARIOS_CF_SEC_New_27-Mar-2024.xlsx]D-PRB'!$DT$31</t>
  </si>
  <si>
    <t>='C:\Users\jaime.benazar\Quorum Business Solutions\Ecopetrol Prometeo - Documents\Planning Space Implementation\3. Analysis &amp; Design\Design\FC22\DRR Jaime\Neiva CPI\[DINA TERCIARIOS_CF_SEC_New_27-Mar-2024.xlsx]D-PRB'!$DT$32</t>
  </si>
  <si>
    <t>='C:\Users\jaime.benazar\Quorum Business Solutions\Ecopetrol Prometeo - Documents\Planning Space Implementation\3. Analysis &amp; Design\Design\FC22\DRR Jaime\Neiva CPI\[DINA TERCIARIOS_CF_SEC_New_27-Mar-2024.xlsx]D-PRB'!$DT$33</t>
  </si>
  <si>
    <t>='C:\Users\jaime.benazar\Quorum Business Solutions\Ecopetrol Prometeo - Documents\Planning Space Implementation\3. Analysis &amp; Design\Design\FC22\DRR Jaime\Neiva CPI\[DINA TERCIARIOS_CF_SEC_New_27-Mar-2024.xlsx]D-PRB'!$DT$34</t>
  </si>
  <si>
    <t>='C:\Users\jaime.benazar\Quorum Business Solutions\Ecopetrol Prometeo - Documents\Planning Space Implementation\3. Analysis &amp; Design\Design\FC22\DRR Jaime\Neiva CPI\[DINA TERCIARIOS_CF_SEC_New_27-Mar-2024.xlsx]D-PRB'!$DT$35</t>
  </si>
  <si>
    <t>='C:\Users\jaime.benazar\Quorum Business Solutions\Ecopetrol Prometeo - Documents\Planning Space Implementation\3. Analysis &amp; Design\Design\FC22\DRR Jaime\Neiva CPI\[DINA TERCIARIOS_CF_SEC_New_27-Mar-2024.xlsx]D-PRB'!$DT$36</t>
  </si>
  <si>
    <t>='C:\Users\jaime.benazar\Quorum Business Solutions\Ecopetrol Prometeo - Documents\Planning Space Implementation\3. Analysis &amp; Design\Design\FC22\DRR Jaime\Neiva CPI\[DINA TERCIARIOS_CF_SEC_New_27-Mar-2024.xlsx]D-PRB'!$DT$37</t>
  </si>
  <si>
    <t>='C:\Users\jaime.benazar\Quorum Business Solutions\Ecopetrol Prometeo - Documents\Planning Space Implementation\3. Analysis &amp; Design\Design\FC22\DRR Jaime\Neiva CPI\[DINA TERCIARIOS_CF_SEC_New_27-Mar-2024.xlsx]D-PRB'!$DT$38</t>
  </si>
  <si>
    <t>='C:\Users\jaime.benazar\Quorum Business Solutions\Ecopetrol Prometeo - Documents\Planning Space Implementation\3. Analysis &amp; Design\Design\FC22\DRR Jaime\Neiva CPI\[DINA TERCIARIOS_CF_SEC_New_27-Mar-2024.xlsx]D-PRB'!$DT$39</t>
  </si>
  <si>
    <t>='C:\Users\jaime.benazar\Quorum Business Solutions\Ecopetrol Prometeo - Documents\Planning Space Implementation\3. Analysis &amp; Design\Design\FC22\DRR Jaime\Neiva CPI\[DINA TERCIARIOS_CF_SEC_New_27-Mar-2024.xlsx]D-PRB'!$DT$40</t>
  </si>
  <si>
    <t>='C:\Users\jaime.benazar\Quorum Business Solutions\Ecopetrol Prometeo - Documents\Planning Space Implementation\3. Analysis &amp; Design\Design\FC22\DRR Jaime\Neiva CPI\[DINA TERCIARIOS_CF_SEC_New_27-Mar-2024.xlsx]D-PRB'!$DT$41</t>
  </si>
  <si>
    <t>='C:\Users\jaime.benazar\Quorum Business Solutions\Ecopetrol Prometeo - Documents\Planning Space Implementation\3. Analysis &amp; Design\Design\FC22\DRR Jaime\Neiva CPI\[DINA TERCIARIOS_CF_SEC_New_27-Mar-2024.xlsx]D-PRB'!$DT$42</t>
  </si>
  <si>
    <t>='C:\Users\jaime.benazar\Quorum Business Solutions\Ecopetrol Prometeo - Documents\Planning Space Implementation\3. Analysis &amp; Design\Design\FC22\DRR Jaime\Neiva CPI\[DINA TERCIARIOS_CF_SEC_New_27-Mar-2024.xlsx]D-PRB'!$DT$43</t>
  </si>
  <si>
    <t>='C:\Users\jaime.benazar\Quorum Business Solutions\Ecopetrol Prometeo - Documents\Planning Space Implementation\3. Analysis &amp; Design\Design\FC22\DRR Jaime\Neiva CPI\[DINA TERCIARIOS_CF_SEC_New_27-Mar-2024.xlsx]D-PRB'!$DT$44</t>
  </si>
  <si>
    <t>='C:\Users\jaime.benazar\Quorum Business Solutions\Ecopetrol Prometeo - Documents\Planning Space Implementation\3. Analysis &amp; Design\Design\FC22\DRR Jaime\Neiva CPI\[DINA TERCIARIOS_CF_SEC_New_27-Mar-2024.xlsx]D-PRB'!$DT$45</t>
  </si>
  <si>
    <t>='C:\Users\jaime.benazar\Quorum Business Solutions\Ecopetrol Prometeo - Documents\Planning Space Implementation\3. Analysis &amp; Design\Design\FC22\DRR Jaime\Neiva CPI\[DINA TERCIARIOS_CF_SEC_New_27-Mar-2024.xlsx]D-PRB'!$DT$46</t>
  </si>
  <si>
    <t>='C:\Users\jaime.benazar\Quorum Business Solutions\Ecopetrol Prometeo - Documents\Planning Space Implementation\3. Analysis &amp; Design\Design\FC22\DRR Jaime\Neiva CPI\[DINA TERCIARIOS_CF_SEC_New_27-Mar-2024.xlsx]D-PRB'!$DT$47</t>
  </si>
  <si>
    <t>='C:\Users\jaime.benazar\Quorum Business Solutions\Ecopetrol Prometeo - Documents\Planning Space Implementation\3. Analysis &amp; Design\Design\FC22\DRR Jaime\Neiva CPI\[DINA TERCIARIOS_CF_SEC_New_27-Mar-2024.xlsx]D-PRB'!$DT$48</t>
  </si>
  <si>
    <t>='C:\Users\jaime.benazar\Quorum Business Solutions\Ecopetrol Prometeo - Documents\Planning Space Implementation\3. Analysis &amp; Design\Design\FC22\DRR Jaime\Neiva CPI\[DINA TERCIARIOS_CF_SEC_New_27-Mar-2024.xlsx]D-PS'!$DT$12</t>
  </si>
  <si>
    <t>='C:\Users\jaime.benazar\Quorum Business Solutions\Ecopetrol Prometeo - Documents\Planning Space Implementation\3. Analysis &amp; Design\Design\FC22\DRR Jaime\Neiva CPI\[DINA TERCIARIOS_CF_SEC_New_27-Mar-2024.xlsx]D-PS'!$DT$13</t>
  </si>
  <si>
    <t>='C:\Users\jaime.benazar\Quorum Business Solutions\Ecopetrol Prometeo - Documents\Planning Space Implementation\3. Analysis &amp; Design\Design\FC22\DRR Jaime\Neiva CPI\[DINA TERCIARIOS_CF_SEC_New_27-Mar-2024.xlsx]D-PS'!$DT$14</t>
  </si>
  <si>
    <t>='C:\Users\jaime.benazar\Quorum Business Solutions\Ecopetrol Prometeo - Documents\Planning Space Implementation\3. Analysis &amp; Design\Design\FC22\DRR Jaime\Neiva CPI\[DINA TERCIARIOS_CF_SEC_New_27-Mar-2024.xlsx]D-PS'!$DT$15</t>
  </si>
  <si>
    <t>='C:\Users\jaime.benazar\Quorum Business Solutions\Ecopetrol Prometeo - Documents\Planning Space Implementation\3. Analysis &amp; Design\Design\FC22\DRR Jaime\Neiva CPI\[DINA TERCIARIOS_CF_SEC_New_27-Mar-2024.xlsx]D-PS'!$DT$16</t>
  </si>
  <si>
    <t>='C:\Users\jaime.benazar\Quorum Business Solutions\Ecopetrol Prometeo - Documents\Planning Space Implementation\3. Analysis &amp; Design\Design\FC22\DRR Jaime\Neiva CPI\[DINA TERCIARIOS_CF_SEC_New_27-Mar-2024.xlsx]D-PS'!$DT$17</t>
  </si>
  <si>
    <t>='C:\Users\jaime.benazar\Quorum Business Solutions\Ecopetrol Prometeo - Documents\Planning Space Implementation\3. Analysis &amp; Design\Design\FC22\DRR Jaime\Neiva CPI\[DINA TERCIARIOS_CF_SEC_New_27-Mar-2024.xlsx]D-PS'!$DT$18</t>
  </si>
  <si>
    <t>='C:\Users\jaime.benazar\Quorum Business Solutions\Ecopetrol Prometeo - Documents\Planning Space Implementation\3. Analysis &amp; Design\Design\FC22\DRR Jaime\Neiva CPI\[DINA TERCIARIOS_CF_SEC_New_27-Mar-2024.xlsx]D-PS'!$DT$19</t>
  </si>
  <si>
    <t>='C:\Users\jaime.benazar\Quorum Business Solutions\Ecopetrol Prometeo - Documents\Planning Space Implementation\3. Analysis &amp; Design\Design\FC22\DRR Jaime\Neiva CPI\[DINA TERCIARIOS_CF_SEC_New_27-Mar-2024.xlsx]D-PS'!$DT$20</t>
  </si>
  <si>
    <t>='C:\Users\jaime.benazar\Quorum Business Solutions\Ecopetrol Prometeo - Documents\Planning Space Implementation\3. Analysis &amp; Design\Design\FC22\DRR Jaime\Neiva CPI\[DINA TERCIARIOS_CF_SEC_New_27-Mar-2024.xlsx]D-PS'!$DT$21</t>
  </si>
  <si>
    <t>='C:\Users\jaime.benazar\Quorum Business Solutions\Ecopetrol Prometeo - Documents\Planning Space Implementation\3. Analysis &amp; Design\Design\FC22\DRR Jaime\Neiva CPI\[DINA TERCIARIOS_CF_SEC_New_27-Mar-2024.xlsx]D-PS'!$DT$22</t>
  </si>
  <si>
    <t>='C:\Users\jaime.benazar\Quorum Business Solutions\Ecopetrol Prometeo - Documents\Planning Space Implementation\3. Analysis &amp; Design\Design\FC22\DRR Jaime\Neiva CPI\[DINA TERCIARIOS_CF_SEC_New_27-Mar-2024.xlsx]D-PS'!$DT$23</t>
  </si>
  <si>
    <t>='C:\Users\jaime.benazar\Quorum Business Solutions\Ecopetrol Prometeo - Documents\Planning Space Implementation\3. Analysis &amp; Design\Design\FC22\DRR Jaime\Neiva CPI\[DINA TERCIARIOS_CF_SEC_New_27-Mar-2024.xlsx]D-PS'!$DT$24</t>
  </si>
  <si>
    <t>='C:\Users\jaime.benazar\Quorum Business Solutions\Ecopetrol Prometeo - Documents\Planning Space Implementation\3. Analysis &amp; Design\Design\FC22\DRR Jaime\Neiva CPI\[DINA TERCIARIOS_CF_SEC_New_27-Mar-2024.xlsx]D-PS'!$DT$25</t>
  </si>
  <si>
    <t>='C:\Users\jaime.benazar\Quorum Business Solutions\Ecopetrol Prometeo - Documents\Planning Space Implementation\3. Analysis &amp; Design\Design\FC22\DRR Jaime\Neiva CPI\[DINA TERCIARIOS_CF_SEC_New_27-Mar-2024.xlsx]D-PS'!$DT$26</t>
  </si>
  <si>
    <t>='C:\Users\jaime.benazar\Quorum Business Solutions\Ecopetrol Prometeo - Documents\Planning Space Implementation\3. Analysis &amp; Design\Design\FC22\DRR Jaime\Neiva CPI\[DINA TERCIARIOS_CF_SEC_New_27-Mar-2024.xlsx]D-PS'!$DT$27</t>
  </si>
  <si>
    <t>='C:\Users\jaime.benazar\Quorum Business Solutions\Ecopetrol Prometeo - Documents\Planning Space Implementation\3. Analysis &amp; Design\Design\FC22\DRR Jaime\Neiva CPI\[DINA TERCIARIOS_CF_SEC_New_27-Mar-2024.xlsx]D-PS'!$DT$28</t>
  </si>
  <si>
    <t>='C:\Users\jaime.benazar\Quorum Business Solutions\Ecopetrol Prometeo - Documents\Planning Space Implementation\3. Analysis &amp; Design\Design\FC22\DRR Jaime\Neiva CPI\[DINA TERCIARIOS_CF_SEC_New_27-Mar-2024.xlsx]D-PS'!$DT$29</t>
  </si>
  <si>
    <t>='C:\Users\jaime.benazar\Quorum Business Solutions\Ecopetrol Prometeo - Documents\Planning Space Implementation\3. Analysis &amp; Design\Design\FC22\DRR Jaime\Neiva CPI\[DINA TERCIARIOS_CF_SEC_New_27-Mar-2024.xlsx]D-PS'!$DT$30</t>
  </si>
  <si>
    <t>='C:\Users\jaime.benazar\Quorum Business Solutions\Ecopetrol Prometeo - Documents\Planning Space Implementation\3. Analysis &amp; Design\Design\FC22\DRR Jaime\Neiva CPI\[DINA TERCIARIOS_CF_SEC_New_27-Mar-2024.xlsx]D-PS'!$DT$31</t>
  </si>
  <si>
    <t>='C:\Users\jaime.benazar\Quorum Business Solutions\Ecopetrol Prometeo - Documents\Planning Space Implementation\3. Analysis &amp; Design\Design\FC22\DRR Jaime\Neiva CPI\[DINA TERCIARIOS_CF_SEC_New_27-Mar-2024.xlsx]D-PS'!$DT$32</t>
  </si>
  <si>
    <t>='C:\Users\jaime.benazar\Quorum Business Solutions\Ecopetrol Prometeo - Documents\Planning Space Implementation\3. Analysis &amp; Design\Design\FC22\DRR Jaime\Neiva CPI\[DINA TERCIARIOS_CF_SEC_New_27-Mar-2024.xlsx]D-PS'!$DT$33</t>
  </si>
  <si>
    <t>='C:\Users\jaime.benazar\Quorum Business Solutions\Ecopetrol Prometeo - Documents\Planning Space Implementation\3. Analysis &amp; Design\Design\FC22\DRR Jaime\Neiva CPI\[DINA TERCIARIOS_CF_SEC_New_27-Mar-2024.xlsx]D-PS'!$DT$34</t>
  </si>
  <si>
    <t>='C:\Users\jaime.benazar\Quorum Business Solutions\Ecopetrol Prometeo - Documents\Planning Space Implementation\3. Analysis &amp; Design\Design\FC22\DRR Jaime\Neiva CPI\[DINA TERCIARIOS_CF_SEC_New_27-Mar-2024.xlsx]D-PS'!$DT$35</t>
  </si>
  <si>
    <t>='C:\Users\jaime.benazar\Quorum Business Solutions\Ecopetrol Prometeo - Documents\Planning Space Implementation\3. Analysis &amp; Design\Design\FC22\DRR Jaime\Neiva CPI\[DINA TERCIARIOS_CF_SEC_New_27-Mar-2024.xlsx]D-PS'!$DT$36</t>
  </si>
  <si>
    <t>='C:\Users\jaime.benazar\Quorum Business Solutions\Ecopetrol Prometeo - Documents\Planning Space Implementation\3. Analysis &amp; Design\Design\FC22\DRR Jaime\Neiva CPI\[DINA TERCIARIOS_CF_SEC_New_27-Mar-2024.xlsx]D-PS'!$DT$37</t>
  </si>
  <si>
    <t>='C:\Users\jaime.benazar\Quorum Business Solutions\Ecopetrol Prometeo - Documents\Planning Space Implementation\3. Analysis &amp; Design\Design\FC22\DRR Jaime\Neiva CPI\[DINA TERCIARIOS_CF_SEC_New_27-Mar-2024.xlsx]D-PS'!$DT$38</t>
  </si>
  <si>
    <t>='C:\Users\jaime.benazar\Quorum Business Solutions\Ecopetrol Prometeo - Documents\Planning Space Implementation\3. Analysis &amp; Design\Design\FC22\DRR Jaime\Neiva CPI\[DINA TERCIARIOS_CF_SEC_New_27-Mar-2024.xlsx]D-PS'!$DT$39</t>
  </si>
  <si>
    <t>='C:\Users\jaime.benazar\Quorum Business Solutions\Ecopetrol Prometeo - Documents\Planning Space Implementation\3. Analysis &amp; Design\Design\FC22\DRR Jaime\Neiva CPI\[DINA TERCIARIOS_CF_SEC_New_27-Mar-2024.xlsx]D-PS'!$DT$40</t>
  </si>
  <si>
    <t>='C:\Users\jaime.benazar\Quorum Business Solutions\Ecopetrol Prometeo - Documents\Planning Space Implementation\3. Analysis &amp; Design\Design\FC22\DRR Jaime\Neiva CPI\[DINA TERCIARIOS_CF_SEC_New_27-Mar-2024.xlsx]D-PS'!$DT$41</t>
  </si>
  <si>
    <t>='C:\Users\jaime.benazar\Quorum Business Solutions\Ecopetrol Prometeo - Documents\Planning Space Implementation\3. Analysis &amp; Design\Design\FC22\DRR Jaime\Neiva CPI\[DINA TERCIARIOS_CF_SEC_New_27-Mar-2024.xlsx]D-PS'!$DT$42</t>
  </si>
  <si>
    <t>='C:\Users\jaime.benazar\Quorum Business Solutions\Ecopetrol Prometeo - Documents\Planning Space Implementation\3. Analysis &amp; Design\Design\FC22\DRR Jaime\Neiva CPI\[DINA TERCIARIOS_CF_SEC_New_27-Mar-2024.xlsx]D-PS'!$DT$43</t>
  </si>
  <si>
    <t>='C:\Users\jaime.benazar\Quorum Business Solutions\Ecopetrol Prometeo - Documents\Planning Space Implementation\3. Analysis &amp; Design\Design\FC22\DRR Jaime\Neiva CPI\[DINA TERCIARIOS_CF_SEC_New_27-Mar-2024.xlsx]D-PS'!$DT$44</t>
  </si>
  <si>
    <t>='C:\Users\jaime.benazar\Quorum Business Solutions\Ecopetrol Prometeo - Documents\Planning Space Implementation\3. Analysis &amp; Design\Design\FC22\DRR Jaime\Neiva CPI\[DINA TERCIARIOS_CF_SEC_New_27-Mar-2024.xlsx]D-PS'!$DT$45</t>
  </si>
  <si>
    <t>='C:\Users\jaime.benazar\Quorum Business Solutions\Ecopetrol Prometeo - Documents\Planning Space Implementation\3. Analysis &amp; Design\Design\FC22\DRR Jaime\Neiva CPI\[DINA TERCIARIOS_CF_SEC_New_27-Mar-2024.xlsx]D-PS'!$DT$46</t>
  </si>
  <si>
    <t>='C:\Users\jaime.benazar\Quorum Business Solutions\Ecopetrol Prometeo - Documents\Planning Space Implementation\3. Analysis &amp; Design\Design\FC22\DRR Jaime\Neiva CPI\[DINA TERCIARIOS_CF_SEC_New_27-Mar-2024.xlsx]D-PS'!$DT$47</t>
  </si>
  <si>
    <t>='C:\Users\jaime.benazar\Quorum Business Solutions\Ecopetrol Prometeo - Documents\Planning Space Implementation\3. Analysis &amp; Design\Design\FC22\DRR Jaime\Neiva CPI\[DINA TERCIARIOS_CF_SEC_New_27-Mar-2024.xlsx]D-PS'!$DT$48</t>
  </si>
  <si>
    <t>='C:\Users\jaime.benazar\Quorum Business Solutions\Ecopetrol Prometeo - Documents\Planning Space Implementation\3. Analysis &amp; Design\Design\FC22\DRR Jaime\Neiva CPI\[DINA TERCIARIOS_CF_SEC_New_27-Mar-2024.xlsx]D-PDP'!$BE$12</t>
  </si>
  <si>
    <t>='C:\Users\jaime.benazar\Quorum Business Solutions\Ecopetrol Prometeo - Documents\Planning Space Implementation\3. Analysis &amp; Design\Design\FC22\DRR Jaime\Neiva CPI\[DINA TERCIARIOS_CF_SEC_New_27-Mar-2024.xlsx]D-PDP'!$BE$13</t>
  </si>
  <si>
    <t>='C:\Users\jaime.benazar\Quorum Business Solutions\Ecopetrol Prometeo - Documents\Planning Space Implementation\3. Analysis &amp; Design\Design\FC22\DRR Jaime\Neiva CPI\[DINA TERCIARIOS_CF_SEC_New_27-Mar-2024.xlsx]D-PDP'!$BE$14</t>
  </si>
  <si>
    <t>='C:\Users\jaime.benazar\Quorum Business Solutions\Ecopetrol Prometeo - Documents\Planning Space Implementation\3. Analysis &amp; Design\Design\FC22\DRR Jaime\Neiva CPI\[DINA TERCIARIOS_CF_SEC_New_27-Mar-2024.xlsx]D-PDP'!$BE$15</t>
  </si>
  <si>
    <t>='C:\Users\jaime.benazar\Quorum Business Solutions\Ecopetrol Prometeo - Documents\Planning Space Implementation\3. Analysis &amp; Design\Design\FC22\DRR Jaime\Neiva CPI\[DINA TERCIARIOS_CF_SEC_New_27-Mar-2024.xlsx]D-PDP'!$BE$16</t>
  </si>
  <si>
    <t>='C:\Users\jaime.benazar\Quorum Business Solutions\Ecopetrol Prometeo - Documents\Planning Space Implementation\3. Analysis &amp; Design\Design\FC22\DRR Jaime\Neiva CPI\[DINA TERCIARIOS_CF_SEC_New_27-Mar-2024.xlsx]D-PDP'!$BE$17</t>
  </si>
  <si>
    <t>='C:\Users\jaime.benazar\Quorum Business Solutions\Ecopetrol Prometeo - Documents\Planning Space Implementation\3. Analysis &amp; Design\Design\FC22\DRR Jaime\Neiva CPI\[DINA TERCIARIOS_CF_SEC_New_27-Mar-2024.xlsx]D-PDP'!$BE$18</t>
  </si>
  <si>
    <t>='C:\Users\jaime.benazar\Quorum Business Solutions\Ecopetrol Prometeo - Documents\Planning Space Implementation\3. Analysis &amp; Design\Design\FC22\DRR Jaime\Neiva CPI\[DINA TERCIARIOS_CF_SEC_New_27-Mar-2024.xlsx]D-PDP'!$BE$19</t>
  </si>
  <si>
    <t>='C:\Users\jaime.benazar\Quorum Business Solutions\Ecopetrol Prometeo - Documents\Planning Space Implementation\3. Analysis &amp; Design\Design\FC22\DRR Jaime\Neiva CPI\[DINA TERCIARIOS_CF_SEC_New_27-Mar-2024.xlsx]D-PDP'!$BE$20</t>
  </si>
  <si>
    <t>='C:\Users\jaime.benazar\Quorum Business Solutions\Ecopetrol Prometeo - Documents\Planning Space Implementation\3. Analysis &amp; Design\Design\FC22\DRR Jaime\Neiva CPI\[DINA TERCIARIOS_CF_SEC_New_27-Mar-2024.xlsx]D-PDP'!$BE$21</t>
  </si>
  <si>
    <t>='C:\Users\jaime.benazar\Quorum Business Solutions\Ecopetrol Prometeo - Documents\Planning Space Implementation\3. Analysis &amp; Design\Design\FC22\DRR Jaime\Neiva CPI\[DINA TERCIARIOS_CF_SEC_New_27-Mar-2024.xlsx]D-PDP'!$BE$22</t>
  </si>
  <si>
    <t>='C:\Users\jaime.benazar\Quorum Business Solutions\Ecopetrol Prometeo - Documents\Planning Space Implementation\3. Analysis &amp; Design\Design\FC22\DRR Jaime\Neiva CPI\[DINA TERCIARIOS_CF_SEC_New_27-Mar-2024.xlsx]D-PDP'!$BE$23</t>
  </si>
  <si>
    <t>='C:\Users\jaime.benazar\Quorum Business Solutions\Ecopetrol Prometeo - Documents\Planning Space Implementation\3. Analysis &amp; Design\Design\FC22\DRR Jaime\Neiva CPI\[DINA TERCIARIOS_CF_SEC_New_27-Mar-2024.xlsx]D-PDP'!$BE$24</t>
  </si>
  <si>
    <t>='C:\Users\jaime.benazar\Quorum Business Solutions\Ecopetrol Prometeo - Documents\Planning Space Implementation\3. Analysis &amp; Design\Design\FC22\DRR Jaime\Neiva CPI\[DINA TERCIARIOS_CF_SEC_New_27-Mar-2024.xlsx]D-PDP'!$BE$25</t>
  </si>
  <si>
    <t>='C:\Users\jaime.benazar\Quorum Business Solutions\Ecopetrol Prometeo - Documents\Planning Space Implementation\3. Analysis &amp; Design\Design\FC22\DRR Jaime\Neiva CPI\[DINA TERCIARIOS_CF_SEC_New_27-Mar-2024.xlsx]D-PDP'!$BE$26</t>
  </si>
  <si>
    <t>='C:\Users\jaime.benazar\Quorum Business Solutions\Ecopetrol Prometeo - Documents\Planning Space Implementation\3. Analysis &amp; Design\Design\FC22\DRR Jaime\Neiva CPI\[DINA TERCIARIOS_CF_SEC_New_27-Mar-2024.xlsx]D-PDP'!$BE$27</t>
  </si>
  <si>
    <t>='C:\Users\jaime.benazar\Quorum Business Solutions\Ecopetrol Prometeo - Documents\Planning Space Implementation\3. Analysis &amp; Design\Design\FC22\DRR Jaime\Neiva CPI\[DINA TERCIARIOS_CF_SEC_New_27-Mar-2024.xlsx]D-PDP'!$BE$28</t>
  </si>
  <si>
    <t>='C:\Users\jaime.benazar\Quorum Business Solutions\Ecopetrol Prometeo - Documents\Planning Space Implementation\3. Analysis &amp; Design\Design\FC22\DRR Jaime\Neiva CPI\[DINA TERCIARIOS_CF_SEC_New_27-Mar-2024.xlsx]D-PDP'!$BE$29</t>
  </si>
  <si>
    <t>='C:\Users\jaime.benazar\Quorum Business Solutions\Ecopetrol Prometeo - Documents\Planning Space Implementation\3. Analysis &amp; Design\Design\FC22\DRR Jaime\Neiva CPI\[DINA TERCIARIOS_CF_SEC_New_27-Mar-2024.xlsx]D-PDP'!$BE$30</t>
  </si>
  <si>
    <t>='C:\Users\jaime.benazar\Quorum Business Solutions\Ecopetrol Prometeo - Documents\Planning Space Implementation\3. Analysis &amp; Design\Design\FC22\DRR Jaime\Neiva CPI\[DINA TERCIARIOS_CF_SEC_New_27-Mar-2024.xlsx]D-PDP'!$BE$31</t>
  </si>
  <si>
    <t>='C:\Users\jaime.benazar\Quorum Business Solutions\Ecopetrol Prometeo - Documents\Planning Space Implementation\3. Analysis &amp; Design\Design\FC22\DRR Jaime\Neiva CPI\[DINA TERCIARIOS_CF_SEC_New_27-Mar-2024.xlsx]D-PDP'!$BE$32</t>
  </si>
  <si>
    <t>='C:\Users\jaime.benazar\Quorum Business Solutions\Ecopetrol Prometeo - Documents\Planning Space Implementation\3. Analysis &amp; Design\Design\FC22\DRR Jaime\Neiva CPI\[DINA TERCIARIOS_CF_SEC_New_27-Mar-2024.xlsx]D-PDP'!$BE$33</t>
  </si>
  <si>
    <t>='C:\Users\jaime.benazar\Quorum Business Solutions\Ecopetrol Prometeo - Documents\Planning Space Implementation\3. Analysis &amp; Design\Design\FC22\DRR Jaime\Neiva CPI\[DINA TERCIARIOS_CF_SEC_New_27-Mar-2024.xlsx]D-PDP'!$BE$34</t>
  </si>
  <si>
    <t>='C:\Users\jaime.benazar\Quorum Business Solutions\Ecopetrol Prometeo - Documents\Planning Space Implementation\3. Analysis &amp; Design\Design\FC22\DRR Jaime\Neiva CPI\[DINA TERCIARIOS_CF_SEC_New_27-Mar-2024.xlsx]D-PDP'!$BE$35</t>
  </si>
  <si>
    <t>='C:\Users\jaime.benazar\Quorum Business Solutions\Ecopetrol Prometeo - Documents\Planning Space Implementation\3. Analysis &amp; Design\Design\FC22\DRR Jaime\Neiva CPI\[DINA TERCIARIOS_CF_SEC_New_27-Mar-2024.xlsx]D-PDP'!$BE$36</t>
  </si>
  <si>
    <t>='C:\Users\jaime.benazar\Quorum Business Solutions\Ecopetrol Prometeo - Documents\Planning Space Implementation\3. Analysis &amp; Design\Design\FC22\DRR Jaime\Neiva CPI\[DINA TERCIARIOS_CF_SEC_New_27-Mar-2024.xlsx]D-PDP'!$BE$37</t>
  </si>
  <si>
    <t>='C:\Users\jaime.benazar\Quorum Business Solutions\Ecopetrol Prometeo - Documents\Planning Space Implementation\3. Analysis &amp; Design\Design\FC22\DRR Jaime\Neiva CPI\[DINA TERCIARIOS_CF_SEC_New_27-Mar-2024.xlsx]D-PDP'!$BE$38</t>
  </si>
  <si>
    <t>='C:\Users\jaime.benazar\Quorum Business Solutions\Ecopetrol Prometeo - Documents\Planning Space Implementation\3. Analysis &amp; Design\Design\FC22\DRR Jaime\Neiva CPI\[DINA TERCIARIOS_CF_SEC_New_27-Mar-2024.xlsx]D-PDP'!$BE$39</t>
  </si>
  <si>
    <t>='C:\Users\jaime.benazar\Quorum Business Solutions\Ecopetrol Prometeo - Documents\Planning Space Implementation\3. Analysis &amp; Design\Design\FC22\DRR Jaime\Neiva CPI\[DINA TERCIARIOS_CF_SEC_New_27-Mar-2024.xlsx]D-PDP'!$BE$40</t>
  </si>
  <si>
    <t>='C:\Users\jaime.benazar\Quorum Business Solutions\Ecopetrol Prometeo - Documents\Planning Space Implementation\3. Analysis &amp; Design\Design\FC22\DRR Jaime\Neiva CPI\[DINA TERCIARIOS_CF_SEC_New_27-Mar-2024.xlsx]D-PDP'!$BE$41</t>
  </si>
  <si>
    <t>='C:\Users\jaime.benazar\Quorum Business Solutions\Ecopetrol Prometeo - Documents\Planning Space Implementation\3. Analysis &amp; Design\Design\FC22\DRR Jaime\Neiva CPI\[DINA TERCIARIOS_CF_SEC_New_27-Mar-2024.xlsx]D-PDP'!$BE$42</t>
  </si>
  <si>
    <t>='C:\Users\jaime.benazar\Quorum Business Solutions\Ecopetrol Prometeo - Documents\Planning Space Implementation\3. Analysis &amp; Design\Design\FC22\DRR Jaime\Neiva CPI\[DINA TERCIARIOS_CF_SEC_New_27-Mar-2024.xlsx]D-PDP'!$BE$43</t>
  </si>
  <si>
    <t>='C:\Users\jaime.benazar\Quorum Business Solutions\Ecopetrol Prometeo - Documents\Planning Space Implementation\3. Analysis &amp; Design\Design\FC22\DRR Jaime\Neiva CPI\[DINA TERCIARIOS_CF_SEC_New_27-Mar-2024.xlsx]D-PDP'!$BE$44</t>
  </si>
  <si>
    <t>='C:\Users\jaime.benazar\Quorum Business Solutions\Ecopetrol Prometeo - Documents\Planning Space Implementation\3. Analysis &amp; Design\Design\FC22\DRR Jaime\Neiva CPI\[DINA TERCIARIOS_CF_SEC_New_27-Mar-2024.xlsx]D-PDP'!$BE$45</t>
  </si>
  <si>
    <t>='C:\Users\jaime.benazar\Quorum Business Solutions\Ecopetrol Prometeo - Documents\Planning Space Implementation\3. Analysis &amp; Design\Design\FC22\DRR Jaime\Neiva CPI\[DINA TERCIARIOS_CF_SEC_New_27-Mar-2024.xlsx]D-PDP'!$BE$46</t>
  </si>
  <si>
    <t>='C:\Users\jaime.benazar\Quorum Business Solutions\Ecopetrol Prometeo - Documents\Planning Space Implementation\3. Analysis &amp; Design\Design\FC22\DRR Jaime\Neiva CPI\[DINA TERCIARIOS_CF_SEC_New_27-Mar-2024.xlsx]D-PDP'!$BE$47</t>
  </si>
  <si>
    <t>='C:\Users\jaime.benazar\Quorum Business Solutions\Ecopetrol Prometeo - Documents\Planning Space Implementation\3. Analysis &amp; Design\Design\FC22\DRR Jaime\Neiva CPI\[DINA TERCIARIOS_CF_SEC_New_27-Mar-2024.xlsx]D-PDP'!$BE$48</t>
  </si>
  <si>
    <t>='C:\Users\jaime.benazar\Quorum Business Solutions\Ecopetrol Prometeo - Documents\Planning Space Implementation\3. Analysis &amp; Design\Design\FC22\DRR Jaime\Neiva CPI\[DINA TERCIARIOS_CF_SEC_New_27-Mar-2024.xlsx]D-PNP'!$BE$12</t>
  </si>
  <si>
    <t>='C:\Users\jaime.benazar\Quorum Business Solutions\Ecopetrol Prometeo - Documents\Planning Space Implementation\3. Analysis &amp; Design\Design\FC22\DRR Jaime\Neiva CPI\[DINA TERCIARIOS_CF_SEC_New_27-Mar-2024.xlsx]D-PNP'!$BE$13</t>
  </si>
  <si>
    <t>='C:\Users\jaime.benazar\Quorum Business Solutions\Ecopetrol Prometeo - Documents\Planning Space Implementation\3. Analysis &amp; Design\Design\FC22\DRR Jaime\Neiva CPI\[DINA TERCIARIOS_CF_SEC_New_27-Mar-2024.xlsx]D-PNP'!$BE$14</t>
  </si>
  <si>
    <t>='C:\Users\jaime.benazar\Quorum Business Solutions\Ecopetrol Prometeo - Documents\Planning Space Implementation\3. Analysis &amp; Design\Design\FC22\DRR Jaime\Neiva CPI\[DINA TERCIARIOS_CF_SEC_New_27-Mar-2024.xlsx]D-PNP'!$BE$15</t>
  </si>
  <si>
    <t>='C:\Users\jaime.benazar\Quorum Business Solutions\Ecopetrol Prometeo - Documents\Planning Space Implementation\3. Analysis &amp; Design\Design\FC22\DRR Jaime\Neiva CPI\[DINA TERCIARIOS_CF_SEC_New_27-Mar-2024.xlsx]D-PNP'!$BE$16</t>
  </si>
  <si>
    <t>='C:\Users\jaime.benazar\Quorum Business Solutions\Ecopetrol Prometeo - Documents\Planning Space Implementation\3. Analysis &amp; Design\Design\FC22\DRR Jaime\Neiva CPI\[DINA TERCIARIOS_CF_SEC_New_27-Mar-2024.xlsx]D-PNP'!$BE$17</t>
  </si>
  <si>
    <t>='C:\Users\jaime.benazar\Quorum Business Solutions\Ecopetrol Prometeo - Documents\Planning Space Implementation\3. Analysis &amp; Design\Design\FC22\DRR Jaime\Neiva CPI\[DINA TERCIARIOS_CF_SEC_New_27-Mar-2024.xlsx]D-PNP'!$BE$18</t>
  </si>
  <si>
    <t>='C:\Users\jaime.benazar\Quorum Business Solutions\Ecopetrol Prometeo - Documents\Planning Space Implementation\3. Analysis &amp; Design\Design\FC22\DRR Jaime\Neiva CPI\[DINA TERCIARIOS_CF_SEC_New_27-Mar-2024.xlsx]D-PNP'!$BE$19</t>
  </si>
  <si>
    <t>='C:\Users\jaime.benazar\Quorum Business Solutions\Ecopetrol Prometeo - Documents\Planning Space Implementation\3. Analysis &amp; Design\Design\FC22\DRR Jaime\Neiva CPI\[DINA TERCIARIOS_CF_SEC_New_27-Mar-2024.xlsx]D-PNP'!$BE$20</t>
  </si>
  <si>
    <t>='C:\Users\jaime.benazar\Quorum Business Solutions\Ecopetrol Prometeo - Documents\Planning Space Implementation\3. Analysis &amp; Design\Design\FC22\DRR Jaime\Neiva CPI\[DINA TERCIARIOS_CF_SEC_New_27-Mar-2024.xlsx]D-PNP'!$BE$21</t>
  </si>
  <si>
    <t>='C:\Users\jaime.benazar\Quorum Business Solutions\Ecopetrol Prometeo - Documents\Planning Space Implementation\3. Analysis &amp; Design\Design\FC22\DRR Jaime\Neiva CPI\[DINA TERCIARIOS_CF_SEC_New_27-Mar-2024.xlsx]D-PNP'!$BE$22</t>
  </si>
  <si>
    <t>='C:\Users\jaime.benazar\Quorum Business Solutions\Ecopetrol Prometeo - Documents\Planning Space Implementation\3. Analysis &amp; Design\Design\FC22\DRR Jaime\Neiva CPI\[DINA TERCIARIOS_CF_SEC_New_27-Mar-2024.xlsx]D-PNP'!$BE$23</t>
  </si>
  <si>
    <t>='C:\Users\jaime.benazar\Quorum Business Solutions\Ecopetrol Prometeo - Documents\Planning Space Implementation\3. Analysis &amp; Design\Design\FC22\DRR Jaime\Neiva CPI\[DINA TERCIARIOS_CF_SEC_New_27-Mar-2024.xlsx]D-PNP'!$BE$24</t>
  </si>
  <si>
    <t>='C:\Users\jaime.benazar\Quorum Business Solutions\Ecopetrol Prometeo - Documents\Planning Space Implementation\3. Analysis &amp; Design\Design\FC22\DRR Jaime\Neiva CPI\[DINA TERCIARIOS_CF_SEC_New_27-Mar-2024.xlsx]D-PNP'!$BE$25</t>
  </si>
  <si>
    <t>='C:\Users\jaime.benazar\Quorum Business Solutions\Ecopetrol Prometeo - Documents\Planning Space Implementation\3. Analysis &amp; Design\Design\FC22\DRR Jaime\Neiva CPI\[DINA TERCIARIOS_CF_SEC_New_27-Mar-2024.xlsx]D-PNP'!$BE$26</t>
  </si>
  <si>
    <t>='C:\Users\jaime.benazar\Quorum Business Solutions\Ecopetrol Prometeo - Documents\Planning Space Implementation\3. Analysis &amp; Design\Design\FC22\DRR Jaime\Neiva CPI\[DINA TERCIARIOS_CF_SEC_New_27-Mar-2024.xlsx]D-PNP'!$BE$27</t>
  </si>
  <si>
    <t>='C:\Users\jaime.benazar\Quorum Business Solutions\Ecopetrol Prometeo - Documents\Planning Space Implementation\3. Analysis &amp; Design\Design\FC22\DRR Jaime\Neiva CPI\[DINA TERCIARIOS_CF_SEC_New_27-Mar-2024.xlsx]D-PNP'!$BE$28</t>
  </si>
  <si>
    <t>='C:\Users\jaime.benazar\Quorum Business Solutions\Ecopetrol Prometeo - Documents\Planning Space Implementation\3. Analysis &amp; Design\Design\FC22\DRR Jaime\Neiva CPI\[DINA TERCIARIOS_CF_SEC_New_27-Mar-2024.xlsx]D-PNP'!$BE$29</t>
  </si>
  <si>
    <t>='C:\Users\jaime.benazar\Quorum Business Solutions\Ecopetrol Prometeo - Documents\Planning Space Implementation\3. Analysis &amp; Design\Design\FC22\DRR Jaime\Neiva CPI\[DINA TERCIARIOS_CF_SEC_New_27-Mar-2024.xlsx]D-PNP'!$BE$30</t>
  </si>
  <si>
    <t>='C:\Users\jaime.benazar\Quorum Business Solutions\Ecopetrol Prometeo - Documents\Planning Space Implementation\3. Analysis &amp; Design\Design\FC22\DRR Jaime\Neiva CPI\[DINA TERCIARIOS_CF_SEC_New_27-Mar-2024.xlsx]D-PNP'!$BE$31</t>
  </si>
  <si>
    <t>='C:\Users\jaime.benazar\Quorum Business Solutions\Ecopetrol Prometeo - Documents\Planning Space Implementation\3. Analysis &amp; Design\Design\FC22\DRR Jaime\Neiva CPI\[DINA TERCIARIOS_CF_SEC_New_27-Mar-2024.xlsx]D-PNP'!$BE$32</t>
  </si>
  <si>
    <t>='C:\Users\jaime.benazar\Quorum Business Solutions\Ecopetrol Prometeo - Documents\Planning Space Implementation\3. Analysis &amp; Design\Design\FC22\DRR Jaime\Neiva CPI\[DINA TERCIARIOS_CF_SEC_New_27-Mar-2024.xlsx]D-PNP'!$BE$33</t>
  </si>
  <si>
    <t>='C:\Users\jaime.benazar\Quorum Business Solutions\Ecopetrol Prometeo - Documents\Planning Space Implementation\3. Analysis &amp; Design\Design\FC22\DRR Jaime\Neiva CPI\[DINA TERCIARIOS_CF_SEC_New_27-Mar-2024.xlsx]D-PNP'!$BE$34</t>
  </si>
  <si>
    <t>='C:\Users\jaime.benazar\Quorum Business Solutions\Ecopetrol Prometeo - Documents\Planning Space Implementation\3. Analysis &amp; Design\Design\FC22\DRR Jaime\Neiva CPI\[DINA TERCIARIOS_CF_SEC_New_27-Mar-2024.xlsx]D-PNP'!$BE$35</t>
  </si>
  <si>
    <t>='C:\Users\jaime.benazar\Quorum Business Solutions\Ecopetrol Prometeo - Documents\Planning Space Implementation\3. Analysis &amp; Design\Design\FC22\DRR Jaime\Neiva CPI\[DINA TERCIARIOS_CF_SEC_New_27-Mar-2024.xlsx]D-PNP'!$BE$36</t>
  </si>
  <si>
    <t>='C:\Users\jaime.benazar\Quorum Business Solutions\Ecopetrol Prometeo - Documents\Planning Space Implementation\3. Analysis &amp; Design\Design\FC22\DRR Jaime\Neiva CPI\[DINA TERCIARIOS_CF_SEC_New_27-Mar-2024.xlsx]D-PNP'!$BE$37</t>
  </si>
  <si>
    <t>='C:\Users\jaime.benazar\Quorum Business Solutions\Ecopetrol Prometeo - Documents\Planning Space Implementation\3. Analysis &amp; Design\Design\FC22\DRR Jaime\Neiva CPI\[DINA TERCIARIOS_CF_SEC_New_27-Mar-2024.xlsx]D-PNP'!$BE$38</t>
  </si>
  <si>
    <t>='C:\Users\jaime.benazar\Quorum Business Solutions\Ecopetrol Prometeo - Documents\Planning Space Implementation\3. Analysis &amp; Design\Design\FC22\DRR Jaime\Neiva CPI\[DINA TERCIARIOS_CF_SEC_New_27-Mar-2024.xlsx]D-PNP'!$BE$39</t>
  </si>
  <si>
    <t>='C:\Users\jaime.benazar\Quorum Business Solutions\Ecopetrol Prometeo - Documents\Planning Space Implementation\3. Analysis &amp; Design\Design\FC22\DRR Jaime\Neiva CPI\[DINA TERCIARIOS_CF_SEC_New_27-Mar-2024.xlsx]D-PNP'!$BE$40</t>
  </si>
  <si>
    <t>='C:\Users\jaime.benazar\Quorum Business Solutions\Ecopetrol Prometeo - Documents\Planning Space Implementation\3. Analysis &amp; Design\Design\FC22\DRR Jaime\Neiva CPI\[DINA TERCIARIOS_CF_SEC_New_27-Mar-2024.xlsx]D-PNP'!$BE$41</t>
  </si>
  <si>
    <t>='C:\Users\jaime.benazar\Quorum Business Solutions\Ecopetrol Prometeo - Documents\Planning Space Implementation\3. Analysis &amp; Design\Design\FC22\DRR Jaime\Neiva CPI\[DINA TERCIARIOS_CF_SEC_New_27-Mar-2024.xlsx]D-PNP'!$BE$42</t>
  </si>
  <si>
    <t>='C:\Users\jaime.benazar\Quorum Business Solutions\Ecopetrol Prometeo - Documents\Planning Space Implementation\3. Analysis &amp; Design\Design\FC22\DRR Jaime\Neiva CPI\[DINA TERCIARIOS_CF_SEC_New_27-Mar-2024.xlsx]D-PNP'!$BE$43</t>
  </si>
  <si>
    <t>='C:\Users\jaime.benazar\Quorum Business Solutions\Ecopetrol Prometeo - Documents\Planning Space Implementation\3. Analysis &amp; Design\Design\FC22\DRR Jaime\Neiva CPI\[DINA TERCIARIOS_CF_SEC_New_27-Mar-2024.xlsx]D-PNP'!$BE$44</t>
  </si>
  <si>
    <t>='C:\Users\jaime.benazar\Quorum Business Solutions\Ecopetrol Prometeo - Documents\Planning Space Implementation\3. Analysis &amp; Design\Design\FC22\DRR Jaime\Neiva CPI\[DINA TERCIARIOS_CF_SEC_New_27-Mar-2024.xlsx]D-PNP'!$BE$45</t>
  </si>
  <si>
    <t>='C:\Users\jaime.benazar\Quorum Business Solutions\Ecopetrol Prometeo - Documents\Planning Space Implementation\3. Analysis &amp; Design\Design\FC22\DRR Jaime\Neiva CPI\[DINA TERCIARIOS_CF_SEC_New_27-Mar-2024.xlsx]D-PNP'!$BE$46</t>
  </si>
  <si>
    <t>='C:\Users\jaime.benazar\Quorum Business Solutions\Ecopetrol Prometeo - Documents\Planning Space Implementation\3. Analysis &amp; Design\Design\FC22\DRR Jaime\Neiva CPI\[DINA TERCIARIOS_CF_SEC_New_27-Mar-2024.xlsx]D-PNP'!$BE$47</t>
  </si>
  <si>
    <t>='C:\Users\jaime.benazar\Quorum Business Solutions\Ecopetrol Prometeo - Documents\Planning Space Implementation\3. Analysis &amp; Design\Design\FC22\DRR Jaime\Neiva CPI\[DINA TERCIARIOS_CF_SEC_New_27-Mar-2024.xlsx]D-PNP'!$BE$48</t>
  </si>
  <si>
    <t>='C:\Users\jaime.benazar\Quorum Business Solutions\Ecopetrol Prometeo - Documents\Planning Space Implementation\3. Analysis &amp; Design\Design\FC22\DRR Jaime\Neiva CPI\[DINA TERCIARIOS_CF_SEC_New_27-Mar-2024.xlsx]D-PND'!$BE$12</t>
  </si>
  <si>
    <t>='C:\Users\jaime.benazar\Quorum Business Solutions\Ecopetrol Prometeo - Documents\Planning Space Implementation\3. Analysis &amp; Design\Design\FC22\DRR Jaime\Neiva CPI\[DINA TERCIARIOS_CF_SEC_New_27-Mar-2024.xlsx]D-PND'!$BE$13</t>
  </si>
  <si>
    <t>='C:\Users\jaime.benazar\Quorum Business Solutions\Ecopetrol Prometeo - Documents\Planning Space Implementation\3. Analysis &amp; Design\Design\FC22\DRR Jaime\Neiva CPI\[DINA TERCIARIOS_CF_SEC_New_27-Mar-2024.xlsx]D-PND'!$BE$14</t>
  </si>
  <si>
    <t>='C:\Users\jaime.benazar\Quorum Business Solutions\Ecopetrol Prometeo - Documents\Planning Space Implementation\3. Analysis &amp; Design\Design\FC22\DRR Jaime\Neiva CPI\[DINA TERCIARIOS_CF_SEC_New_27-Mar-2024.xlsx]D-PND'!$BE$15</t>
  </si>
  <si>
    <t>='C:\Users\jaime.benazar\Quorum Business Solutions\Ecopetrol Prometeo - Documents\Planning Space Implementation\3. Analysis &amp; Design\Design\FC22\DRR Jaime\Neiva CPI\[DINA TERCIARIOS_CF_SEC_New_27-Mar-2024.xlsx]D-PND'!$BE$16</t>
  </si>
  <si>
    <t>='C:\Users\jaime.benazar\Quorum Business Solutions\Ecopetrol Prometeo - Documents\Planning Space Implementation\3. Analysis &amp; Design\Design\FC22\DRR Jaime\Neiva CPI\[DINA TERCIARIOS_CF_SEC_New_27-Mar-2024.xlsx]D-PND'!$BE$17</t>
  </si>
  <si>
    <t>='C:\Users\jaime.benazar\Quorum Business Solutions\Ecopetrol Prometeo - Documents\Planning Space Implementation\3. Analysis &amp; Design\Design\FC22\DRR Jaime\Neiva CPI\[DINA TERCIARIOS_CF_SEC_New_27-Mar-2024.xlsx]D-PND'!$BE$18</t>
  </si>
  <si>
    <t>='C:\Users\jaime.benazar\Quorum Business Solutions\Ecopetrol Prometeo - Documents\Planning Space Implementation\3. Analysis &amp; Design\Design\FC22\DRR Jaime\Neiva CPI\[DINA TERCIARIOS_CF_SEC_New_27-Mar-2024.xlsx]D-PND'!$BE$19</t>
  </si>
  <si>
    <t>='C:\Users\jaime.benazar\Quorum Business Solutions\Ecopetrol Prometeo - Documents\Planning Space Implementation\3. Analysis &amp; Design\Design\FC22\DRR Jaime\Neiva CPI\[DINA TERCIARIOS_CF_SEC_New_27-Mar-2024.xlsx]D-PND'!$BE$20</t>
  </si>
  <si>
    <t>='C:\Users\jaime.benazar\Quorum Business Solutions\Ecopetrol Prometeo - Documents\Planning Space Implementation\3. Analysis &amp; Design\Design\FC22\DRR Jaime\Neiva CPI\[DINA TERCIARIOS_CF_SEC_New_27-Mar-2024.xlsx]D-PND'!$BE$21</t>
  </si>
  <si>
    <t>='C:\Users\jaime.benazar\Quorum Business Solutions\Ecopetrol Prometeo - Documents\Planning Space Implementation\3. Analysis &amp; Design\Design\FC22\DRR Jaime\Neiva CPI\[DINA TERCIARIOS_CF_SEC_New_27-Mar-2024.xlsx]D-PND'!$BE$22</t>
  </si>
  <si>
    <t>='C:\Users\jaime.benazar\Quorum Business Solutions\Ecopetrol Prometeo - Documents\Planning Space Implementation\3. Analysis &amp; Design\Design\FC22\DRR Jaime\Neiva CPI\[DINA TERCIARIOS_CF_SEC_New_27-Mar-2024.xlsx]D-PND'!$BE$23</t>
  </si>
  <si>
    <t>='C:\Users\jaime.benazar\Quorum Business Solutions\Ecopetrol Prometeo - Documents\Planning Space Implementation\3. Analysis &amp; Design\Design\FC22\DRR Jaime\Neiva CPI\[DINA TERCIARIOS_CF_SEC_New_27-Mar-2024.xlsx]D-PND'!$BE$24</t>
  </si>
  <si>
    <t>='C:\Users\jaime.benazar\Quorum Business Solutions\Ecopetrol Prometeo - Documents\Planning Space Implementation\3. Analysis &amp; Design\Design\FC22\DRR Jaime\Neiva CPI\[DINA TERCIARIOS_CF_SEC_New_27-Mar-2024.xlsx]D-PND'!$BE$25</t>
  </si>
  <si>
    <t>='C:\Users\jaime.benazar\Quorum Business Solutions\Ecopetrol Prometeo - Documents\Planning Space Implementation\3. Analysis &amp; Design\Design\FC22\DRR Jaime\Neiva CPI\[DINA TERCIARIOS_CF_SEC_New_27-Mar-2024.xlsx]D-PND'!$BE$26</t>
  </si>
  <si>
    <t>='C:\Users\jaime.benazar\Quorum Business Solutions\Ecopetrol Prometeo - Documents\Planning Space Implementation\3. Analysis &amp; Design\Design\FC22\DRR Jaime\Neiva CPI\[DINA TERCIARIOS_CF_SEC_New_27-Mar-2024.xlsx]D-PND'!$BE$27</t>
  </si>
  <si>
    <t>='C:\Users\jaime.benazar\Quorum Business Solutions\Ecopetrol Prometeo - Documents\Planning Space Implementation\3. Analysis &amp; Design\Design\FC22\DRR Jaime\Neiva CPI\[DINA TERCIARIOS_CF_SEC_New_27-Mar-2024.xlsx]D-PND'!$BE$28</t>
  </si>
  <si>
    <t>='C:\Users\jaime.benazar\Quorum Business Solutions\Ecopetrol Prometeo - Documents\Planning Space Implementation\3. Analysis &amp; Design\Design\FC22\DRR Jaime\Neiva CPI\[DINA TERCIARIOS_CF_SEC_New_27-Mar-2024.xlsx]D-PND'!$BE$29</t>
  </si>
  <si>
    <t>='C:\Users\jaime.benazar\Quorum Business Solutions\Ecopetrol Prometeo - Documents\Planning Space Implementation\3. Analysis &amp; Design\Design\FC22\DRR Jaime\Neiva CPI\[DINA TERCIARIOS_CF_SEC_New_27-Mar-2024.xlsx]D-PND'!$BE$30</t>
  </si>
  <si>
    <t>='C:\Users\jaime.benazar\Quorum Business Solutions\Ecopetrol Prometeo - Documents\Planning Space Implementation\3. Analysis &amp; Design\Design\FC22\DRR Jaime\Neiva CPI\[DINA TERCIARIOS_CF_SEC_New_27-Mar-2024.xlsx]D-PND'!$BE$31</t>
  </si>
  <si>
    <t>='C:\Users\jaime.benazar\Quorum Business Solutions\Ecopetrol Prometeo - Documents\Planning Space Implementation\3. Analysis &amp; Design\Design\FC22\DRR Jaime\Neiva CPI\[DINA TERCIARIOS_CF_SEC_New_27-Mar-2024.xlsx]D-PND'!$BE$32</t>
  </si>
  <si>
    <t>='C:\Users\jaime.benazar\Quorum Business Solutions\Ecopetrol Prometeo - Documents\Planning Space Implementation\3. Analysis &amp; Design\Design\FC22\DRR Jaime\Neiva CPI\[DINA TERCIARIOS_CF_SEC_New_27-Mar-2024.xlsx]D-PND'!$BE$33</t>
  </si>
  <si>
    <t>='C:\Users\jaime.benazar\Quorum Business Solutions\Ecopetrol Prometeo - Documents\Planning Space Implementation\3. Analysis &amp; Design\Design\FC22\DRR Jaime\Neiva CPI\[DINA TERCIARIOS_CF_SEC_New_27-Mar-2024.xlsx]D-PND'!$BE$34</t>
  </si>
  <si>
    <t>='C:\Users\jaime.benazar\Quorum Business Solutions\Ecopetrol Prometeo - Documents\Planning Space Implementation\3. Analysis &amp; Design\Design\FC22\DRR Jaime\Neiva CPI\[DINA TERCIARIOS_CF_SEC_New_27-Mar-2024.xlsx]D-PND'!$BE$35</t>
  </si>
  <si>
    <t>='C:\Users\jaime.benazar\Quorum Business Solutions\Ecopetrol Prometeo - Documents\Planning Space Implementation\3. Analysis &amp; Design\Design\FC22\DRR Jaime\Neiva CPI\[DINA TERCIARIOS_CF_SEC_New_27-Mar-2024.xlsx]D-PND'!$BE$36</t>
  </si>
  <si>
    <t>='C:\Users\jaime.benazar\Quorum Business Solutions\Ecopetrol Prometeo - Documents\Planning Space Implementation\3. Analysis &amp; Design\Design\FC22\DRR Jaime\Neiva CPI\[DINA TERCIARIOS_CF_SEC_New_27-Mar-2024.xlsx]D-PND'!$BE$37</t>
  </si>
  <si>
    <t>='C:\Users\jaime.benazar\Quorum Business Solutions\Ecopetrol Prometeo - Documents\Planning Space Implementation\3. Analysis &amp; Design\Design\FC22\DRR Jaime\Neiva CPI\[DINA TERCIARIOS_CF_SEC_New_27-Mar-2024.xlsx]D-PND'!$BE$38</t>
  </si>
  <si>
    <t>='C:\Users\jaime.benazar\Quorum Business Solutions\Ecopetrol Prometeo - Documents\Planning Space Implementation\3. Analysis &amp; Design\Design\FC22\DRR Jaime\Neiva CPI\[DINA TERCIARIOS_CF_SEC_New_27-Mar-2024.xlsx]D-PND'!$BE$39</t>
  </si>
  <si>
    <t>='C:\Users\jaime.benazar\Quorum Business Solutions\Ecopetrol Prometeo - Documents\Planning Space Implementation\3. Analysis &amp; Design\Design\FC22\DRR Jaime\Neiva CPI\[DINA TERCIARIOS_CF_SEC_New_27-Mar-2024.xlsx]D-PND'!$BE$40</t>
  </si>
  <si>
    <t>='C:\Users\jaime.benazar\Quorum Business Solutions\Ecopetrol Prometeo - Documents\Planning Space Implementation\3. Analysis &amp; Design\Design\FC22\DRR Jaime\Neiva CPI\[DINA TERCIARIOS_CF_SEC_New_27-Mar-2024.xlsx]D-PND'!$BE$41</t>
  </si>
  <si>
    <t>='C:\Users\jaime.benazar\Quorum Business Solutions\Ecopetrol Prometeo - Documents\Planning Space Implementation\3. Analysis &amp; Design\Design\FC22\DRR Jaime\Neiva CPI\[DINA TERCIARIOS_CF_SEC_New_27-Mar-2024.xlsx]D-PND'!$BE$42</t>
  </si>
  <si>
    <t>='C:\Users\jaime.benazar\Quorum Business Solutions\Ecopetrol Prometeo - Documents\Planning Space Implementation\3. Analysis &amp; Design\Design\FC22\DRR Jaime\Neiva CPI\[DINA TERCIARIOS_CF_SEC_New_27-Mar-2024.xlsx]D-PND'!$BE$43</t>
  </si>
  <si>
    <t>='C:\Users\jaime.benazar\Quorum Business Solutions\Ecopetrol Prometeo - Documents\Planning Space Implementation\3. Analysis &amp; Design\Design\FC22\DRR Jaime\Neiva CPI\[DINA TERCIARIOS_CF_SEC_New_27-Mar-2024.xlsx]D-PND'!$BE$44</t>
  </si>
  <si>
    <t>='C:\Users\jaime.benazar\Quorum Business Solutions\Ecopetrol Prometeo - Documents\Planning Space Implementation\3. Analysis &amp; Design\Design\FC22\DRR Jaime\Neiva CPI\[DINA TERCIARIOS_CF_SEC_New_27-Mar-2024.xlsx]D-PND'!$BE$45</t>
  </si>
  <si>
    <t>='C:\Users\jaime.benazar\Quorum Business Solutions\Ecopetrol Prometeo - Documents\Planning Space Implementation\3. Analysis &amp; Design\Design\FC22\DRR Jaime\Neiva CPI\[DINA TERCIARIOS_CF_SEC_New_27-Mar-2024.xlsx]D-PND'!$BE$46</t>
  </si>
  <si>
    <t>='C:\Users\jaime.benazar\Quorum Business Solutions\Ecopetrol Prometeo - Documents\Planning Space Implementation\3. Analysis &amp; Design\Design\FC22\DRR Jaime\Neiva CPI\[DINA TERCIARIOS_CF_SEC_New_27-Mar-2024.xlsx]D-PND'!$BE$47</t>
  </si>
  <si>
    <t>='C:\Users\jaime.benazar\Quorum Business Solutions\Ecopetrol Prometeo - Documents\Planning Space Implementation\3. Analysis &amp; Design\Design\FC22\DRR Jaime\Neiva CPI\[DINA TERCIARIOS_CF_SEC_New_27-Mar-2024.xlsx]D-PND'!$BE$48</t>
  </si>
  <si>
    <t>='C:\Users\jaime.benazar\Quorum Business Solutions\Ecopetrol Prometeo - Documents\Planning Space Implementation\3. Analysis &amp; Design\Design\FC22\DRR Jaime\Neiva CPI\[DINA TERCIARIOS_CF_SEC_New_27-Mar-2024.xlsx]D-PRB'!$BE$12</t>
  </si>
  <si>
    <t>='C:\Users\jaime.benazar\Quorum Business Solutions\Ecopetrol Prometeo - Documents\Planning Space Implementation\3. Analysis &amp; Design\Design\FC22\DRR Jaime\Neiva CPI\[DINA TERCIARIOS_CF_SEC_New_27-Mar-2024.xlsx]D-PRB'!$BE$13</t>
  </si>
  <si>
    <t>='C:\Users\jaime.benazar\Quorum Business Solutions\Ecopetrol Prometeo - Documents\Planning Space Implementation\3. Analysis &amp; Design\Design\FC22\DRR Jaime\Neiva CPI\[DINA TERCIARIOS_CF_SEC_New_27-Mar-2024.xlsx]D-PRB'!$BE$14</t>
  </si>
  <si>
    <t>='C:\Users\jaime.benazar\Quorum Business Solutions\Ecopetrol Prometeo - Documents\Planning Space Implementation\3. Analysis &amp; Design\Design\FC22\DRR Jaime\Neiva CPI\[DINA TERCIARIOS_CF_SEC_New_27-Mar-2024.xlsx]D-PRB'!$BE$15</t>
  </si>
  <si>
    <t>='C:\Users\jaime.benazar\Quorum Business Solutions\Ecopetrol Prometeo - Documents\Planning Space Implementation\3. Analysis &amp; Design\Design\FC22\DRR Jaime\Neiva CPI\[DINA TERCIARIOS_CF_SEC_New_27-Mar-2024.xlsx]D-PRB'!$BE$16</t>
  </si>
  <si>
    <t>='C:\Users\jaime.benazar\Quorum Business Solutions\Ecopetrol Prometeo - Documents\Planning Space Implementation\3. Analysis &amp; Design\Design\FC22\DRR Jaime\Neiva CPI\[DINA TERCIARIOS_CF_SEC_New_27-Mar-2024.xlsx]D-PRB'!$BE$17</t>
  </si>
  <si>
    <t>='C:\Users\jaime.benazar\Quorum Business Solutions\Ecopetrol Prometeo - Documents\Planning Space Implementation\3. Analysis &amp; Design\Design\FC22\DRR Jaime\Neiva CPI\[DINA TERCIARIOS_CF_SEC_New_27-Mar-2024.xlsx]D-PRB'!$BE$18</t>
  </si>
  <si>
    <t>='C:\Users\jaime.benazar\Quorum Business Solutions\Ecopetrol Prometeo - Documents\Planning Space Implementation\3. Analysis &amp; Design\Design\FC22\DRR Jaime\Neiva CPI\[DINA TERCIARIOS_CF_SEC_New_27-Mar-2024.xlsx]D-PRB'!$BE$19</t>
  </si>
  <si>
    <t>='C:\Users\jaime.benazar\Quorum Business Solutions\Ecopetrol Prometeo - Documents\Planning Space Implementation\3. Analysis &amp; Design\Design\FC22\DRR Jaime\Neiva CPI\[DINA TERCIARIOS_CF_SEC_New_27-Mar-2024.xlsx]D-PRB'!$BE$20</t>
  </si>
  <si>
    <t>='C:\Users\jaime.benazar\Quorum Business Solutions\Ecopetrol Prometeo - Documents\Planning Space Implementation\3. Analysis &amp; Design\Design\FC22\DRR Jaime\Neiva CPI\[DINA TERCIARIOS_CF_SEC_New_27-Mar-2024.xlsx]D-PRB'!$BE$21</t>
  </si>
  <si>
    <t>='C:\Users\jaime.benazar\Quorum Business Solutions\Ecopetrol Prometeo - Documents\Planning Space Implementation\3. Analysis &amp; Design\Design\FC22\DRR Jaime\Neiva CPI\[DINA TERCIARIOS_CF_SEC_New_27-Mar-2024.xlsx]D-PRB'!$BE$22</t>
  </si>
  <si>
    <t>='C:\Users\jaime.benazar\Quorum Business Solutions\Ecopetrol Prometeo - Documents\Planning Space Implementation\3. Analysis &amp; Design\Design\FC22\DRR Jaime\Neiva CPI\[DINA TERCIARIOS_CF_SEC_New_27-Mar-2024.xlsx]D-PRB'!$BE$23</t>
  </si>
  <si>
    <t>='C:\Users\jaime.benazar\Quorum Business Solutions\Ecopetrol Prometeo - Documents\Planning Space Implementation\3. Analysis &amp; Design\Design\FC22\DRR Jaime\Neiva CPI\[DINA TERCIARIOS_CF_SEC_New_27-Mar-2024.xlsx]D-PRB'!$BE$24</t>
  </si>
  <si>
    <t>='C:\Users\jaime.benazar\Quorum Business Solutions\Ecopetrol Prometeo - Documents\Planning Space Implementation\3. Analysis &amp; Design\Design\FC22\DRR Jaime\Neiva CPI\[DINA TERCIARIOS_CF_SEC_New_27-Mar-2024.xlsx]D-PRB'!$BE$25</t>
  </si>
  <si>
    <t>='C:\Users\jaime.benazar\Quorum Business Solutions\Ecopetrol Prometeo - Documents\Planning Space Implementation\3. Analysis &amp; Design\Design\FC22\DRR Jaime\Neiva CPI\[DINA TERCIARIOS_CF_SEC_New_27-Mar-2024.xlsx]D-PRB'!$BE$26</t>
  </si>
  <si>
    <t>='C:\Users\jaime.benazar\Quorum Business Solutions\Ecopetrol Prometeo - Documents\Planning Space Implementation\3. Analysis &amp; Design\Design\FC22\DRR Jaime\Neiva CPI\[DINA TERCIARIOS_CF_SEC_New_27-Mar-2024.xlsx]D-PRB'!$BE$27</t>
  </si>
  <si>
    <t>='C:\Users\jaime.benazar\Quorum Business Solutions\Ecopetrol Prometeo - Documents\Planning Space Implementation\3. Analysis &amp; Design\Design\FC22\DRR Jaime\Neiva CPI\[DINA TERCIARIOS_CF_SEC_New_27-Mar-2024.xlsx]D-PRB'!$BE$28</t>
  </si>
  <si>
    <t>='C:\Users\jaime.benazar\Quorum Business Solutions\Ecopetrol Prometeo - Documents\Planning Space Implementation\3. Analysis &amp; Design\Design\FC22\DRR Jaime\Neiva CPI\[DINA TERCIARIOS_CF_SEC_New_27-Mar-2024.xlsx]D-PRB'!$BE$29</t>
  </si>
  <si>
    <t>='C:\Users\jaime.benazar\Quorum Business Solutions\Ecopetrol Prometeo - Documents\Planning Space Implementation\3. Analysis &amp; Design\Design\FC22\DRR Jaime\Neiva CPI\[DINA TERCIARIOS_CF_SEC_New_27-Mar-2024.xlsx]D-PRB'!$BE$30</t>
  </si>
  <si>
    <t>='C:\Users\jaime.benazar\Quorum Business Solutions\Ecopetrol Prometeo - Documents\Planning Space Implementation\3. Analysis &amp; Design\Design\FC22\DRR Jaime\Neiva CPI\[DINA TERCIARIOS_CF_SEC_New_27-Mar-2024.xlsx]D-PRB'!$BE$31</t>
  </si>
  <si>
    <t>='C:\Users\jaime.benazar\Quorum Business Solutions\Ecopetrol Prometeo - Documents\Planning Space Implementation\3. Analysis &amp; Design\Design\FC22\DRR Jaime\Neiva CPI\[DINA TERCIARIOS_CF_SEC_New_27-Mar-2024.xlsx]D-PRB'!$BE$32</t>
  </si>
  <si>
    <t>='C:\Users\jaime.benazar\Quorum Business Solutions\Ecopetrol Prometeo - Documents\Planning Space Implementation\3. Analysis &amp; Design\Design\FC22\DRR Jaime\Neiva CPI\[DINA TERCIARIOS_CF_SEC_New_27-Mar-2024.xlsx]D-PRB'!$BE$33</t>
  </si>
  <si>
    <t>='C:\Users\jaime.benazar\Quorum Business Solutions\Ecopetrol Prometeo - Documents\Planning Space Implementation\3. Analysis &amp; Design\Design\FC22\DRR Jaime\Neiva CPI\[DINA TERCIARIOS_CF_SEC_New_27-Mar-2024.xlsx]D-PRB'!$BE$34</t>
  </si>
  <si>
    <t>='C:\Users\jaime.benazar\Quorum Business Solutions\Ecopetrol Prometeo - Documents\Planning Space Implementation\3. Analysis &amp; Design\Design\FC22\DRR Jaime\Neiva CPI\[DINA TERCIARIOS_CF_SEC_New_27-Mar-2024.xlsx]D-PRB'!$BE$35</t>
  </si>
  <si>
    <t>='C:\Users\jaime.benazar\Quorum Business Solutions\Ecopetrol Prometeo - Documents\Planning Space Implementation\3. Analysis &amp; Design\Design\FC22\DRR Jaime\Neiva CPI\[DINA TERCIARIOS_CF_SEC_New_27-Mar-2024.xlsx]D-PRB'!$BE$36</t>
  </si>
  <si>
    <t>='C:\Users\jaime.benazar\Quorum Business Solutions\Ecopetrol Prometeo - Documents\Planning Space Implementation\3. Analysis &amp; Design\Design\FC22\DRR Jaime\Neiva CPI\[DINA TERCIARIOS_CF_SEC_New_27-Mar-2024.xlsx]D-PRB'!$BE$37</t>
  </si>
  <si>
    <t>='C:\Users\jaime.benazar\Quorum Business Solutions\Ecopetrol Prometeo - Documents\Planning Space Implementation\3. Analysis &amp; Design\Design\FC22\DRR Jaime\Neiva CPI\[DINA TERCIARIOS_CF_SEC_New_27-Mar-2024.xlsx]D-PRB'!$BE$38</t>
  </si>
  <si>
    <t>='C:\Users\jaime.benazar\Quorum Business Solutions\Ecopetrol Prometeo - Documents\Planning Space Implementation\3. Analysis &amp; Design\Design\FC22\DRR Jaime\Neiva CPI\[DINA TERCIARIOS_CF_SEC_New_27-Mar-2024.xlsx]D-PRB'!$BE$39</t>
  </si>
  <si>
    <t>='C:\Users\jaime.benazar\Quorum Business Solutions\Ecopetrol Prometeo - Documents\Planning Space Implementation\3. Analysis &amp; Design\Design\FC22\DRR Jaime\Neiva CPI\[DINA TERCIARIOS_CF_SEC_New_27-Mar-2024.xlsx]D-PRB'!$BE$40</t>
  </si>
  <si>
    <t>='C:\Users\jaime.benazar\Quorum Business Solutions\Ecopetrol Prometeo - Documents\Planning Space Implementation\3. Analysis &amp; Design\Design\FC22\DRR Jaime\Neiva CPI\[DINA TERCIARIOS_CF_SEC_New_27-Mar-2024.xlsx]D-PRB'!$BE$41</t>
  </si>
  <si>
    <t>='C:\Users\jaime.benazar\Quorum Business Solutions\Ecopetrol Prometeo - Documents\Planning Space Implementation\3. Analysis &amp; Design\Design\FC22\DRR Jaime\Neiva CPI\[DINA TERCIARIOS_CF_SEC_New_27-Mar-2024.xlsx]D-PRB'!$BE$42</t>
  </si>
  <si>
    <t>='C:\Users\jaime.benazar\Quorum Business Solutions\Ecopetrol Prometeo - Documents\Planning Space Implementation\3. Analysis &amp; Design\Design\FC22\DRR Jaime\Neiva CPI\[DINA TERCIARIOS_CF_SEC_New_27-Mar-2024.xlsx]D-PRB'!$BE$43</t>
  </si>
  <si>
    <t>='C:\Users\jaime.benazar\Quorum Business Solutions\Ecopetrol Prometeo - Documents\Planning Space Implementation\3. Analysis &amp; Design\Design\FC22\DRR Jaime\Neiva CPI\[DINA TERCIARIOS_CF_SEC_New_27-Mar-2024.xlsx]D-PRB'!$BE$44</t>
  </si>
  <si>
    <t>='C:\Users\jaime.benazar\Quorum Business Solutions\Ecopetrol Prometeo - Documents\Planning Space Implementation\3. Analysis &amp; Design\Design\FC22\DRR Jaime\Neiva CPI\[DINA TERCIARIOS_CF_SEC_New_27-Mar-2024.xlsx]D-PRB'!$BE$45</t>
  </si>
  <si>
    <t>='C:\Users\jaime.benazar\Quorum Business Solutions\Ecopetrol Prometeo - Documents\Planning Space Implementation\3. Analysis &amp; Design\Design\FC22\DRR Jaime\Neiva CPI\[DINA TERCIARIOS_CF_SEC_New_27-Mar-2024.xlsx]D-PRB'!$BE$46</t>
  </si>
  <si>
    <t>='C:\Users\jaime.benazar\Quorum Business Solutions\Ecopetrol Prometeo - Documents\Planning Space Implementation\3. Analysis &amp; Design\Design\FC22\DRR Jaime\Neiva CPI\[DINA TERCIARIOS_CF_SEC_New_27-Mar-2024.xlsx]D-PRB'!$BE$47</t>
  </si>
  <si>
    <t>='C:\Users\jaime.benazar\Quorum Business Solutions\Ecopetrol Prometeo - Documents\Planning Space Implementation\3. Analysis &amp; Design\Design\FC22\DRR Jaime\Neiva CPI\[DINA TERCIARIOS_CF_SEC_New_27-Mar-2024.xlsx]D-PRB'!$BE$48</t>
  </si>
  <si>
    <t>='C:\Users\jaime.benazar\Quorum Business Solutions\Ecopetrol Prometeo - Documents\Planning Space Implementation\3. Analysis &amp; Design\Design\FC22\DRR Jaime\Neiva CPI\[DINA TERCIARIOS_CF_SEC_New_27-Mar-2024.xlsx]D-PS'!$BE$12</t>
  </si>
  <si>
    <t>='C:\Users\jaime.benazar\Quorum Business Solutions\Ecopetrol Prometeo - Documents\Planning Space Implementation\3. Analysis &amp; Design\Design\FC22\DRR Jaime\Neiva CPI\[DINA TERCIARIOS_CF_SEC_New_27-Mar-2024.xlsx]D-PS'!$BE$13</t>
  </si>
  <si>
    <t>='C:\Users\jaime.benazar\Quorum Business Solutions\Ecopetrol Prometeo - Documents\Planning Space Implementation\3. Analysis &amp; Design\Design\FC22\DRR Jaime\Neiva CPI\[DINA TERCIARIOS_CF_SEC_New_27-Mar-2024.xlsx]D-PS'!$BE$14</t>
  </si>
  <si>
    <t>='C:\Users\jaime.benazar\Quorum Business Solutions\Ecopetrol Prometeo - Documents\Planning Space Implementation\3. Analysis &amp; Design\Design\FC22\DRR Jaime\Neiva CPI\[DINA TERCIARIOS_CF_SEC_New_27-Mar-2024.xlsx]D-PS'!$BE$15</t>
  </si>
  <si>
    <t>='C:\Users\jaime.benazar\Quorum Business Solutions\Ecopetrol Prometeo - Documents\Planning Space Implementation\3. Analysis &amp; Design\Design\FC22\DRR Jaime\Neiva CPI\[DINA TERCIARIOS_CF_SEC_New_27-Mar-2024.xlsx]D-PS'!$BE$16</t>
  </si>
  <si>
    <t>='C:\Users\jaime.benazar\Quorum Business Solutions\Ecopetrol Prometeo - Documents\Planning Space Implementation\3. Analysis &amp; Design\Design\FC22\DRR Jaime\Neiva CPI\[DINA TERCIARIOS_CF_SEC_New_27-Mar-2024.xlsx]D-PS'!$BE$17</t>
  </si>
  <si>
    <t>='C:\Users\jaime.benazar\Quorum Business Solutions\Ecopetrol Prometeo - Documents\Planning Space Implementation\3. Analysis &amp; Design\Design\FC22\DRR Jaime\Neiva CPI\[DINA TERCIARIOS_CF_SEC_New_27-Mar-2024.xlsx]D-PS'!$BE$18</t>
  </si>
  <si>
    <t>='C:\Users\jaime.benazar\Quorum Business Solutions\Ecopetrol Prometeo - Documents\Planning Space Implementation\3. Analysis &amp; Design\Design\FC22\DRR Jaime\Neiva CPI\[DINA TERCIARIOS_CF_SEC_New_27-Mar-2024.xlsx]D-PS'!$BE$19</t>
  </si>
  <si>
    <t>='C:\Users\jaime.benazar\Quorum Business Solutions\Ecopetrol Prometeo - Documents\Planning Space Implementation\3. Analysis &amp; Design\Design\FC22\DRR Jaime\Neiva CPI\[DINA TERCIARIOS_CF_SEC_New_27-Mar-2024.xlsx]D-PS'!$BE$20</t>
  </si>
  <si>
    <t>='C:\Users\jaime.benazar\Quorum Business Solutions\Ecopetrol Prometeo - Documents\Planning Space Implementation\3. Analysis &amp; Design\Design\FC22\DRR Jaime\Neiva CPI\[DINA TERCIARIOS_CF_SEC_New_27-Mar-2024.xlsx]D-PS'!$BE$21</t>
  </si>
  <si>
    <t>='C:\Users\jaime.benazar\Quorum Business Solutions\Ecopetrol Prometeo - Documents\Planning Space Implementation\3. Analysis &amp; Design\Design\FC22\DRR Jaime\Neiva CPI\[DINA TERCIARIOS_CF_SEC_New_27-Mar-2024.xlsx]D-PS'!$BE$22</t>
  </si>
  <si>
    <t>='C:\Users\jaime.benazar\Quorum Business Solutions\Ecopetrol Prometeo - Documents\Planning Space Implementation\3. Analysis &amp; Design\Design\FC22\DRR Jaime\Neiva CPI\[DINA TERCIARIOS_CF_SEC_New_27-Mar-2024.xlsx]D-PS'!$BE$23</t>
  </si>
  <si>
    <t>='C:\Users\jaime.benazar\Quorum Business Solutions\Ecopetrol Prometeo - Documents\Planning Space Implementation\3. Analysis &amp; Design\Design\FC22\DRR Jaime\Neiva CPI\[DINA TERCIARIOS_CF_SEC_New_27-Mar-2024.xlsx]D-PS'!$BE$24</t>
  </si>
  <si>
    <t>='C:\Users\jaime.benazar\Quorum Business Solutions\Ecopetrol Prometeo - Documents\Planning Space Implementation\3. Analysis &amp; Design\Design\FC22\DRR Jaime\Neiva CPI\[DINA TERCIARIOS_CF_SEC_New_27-Mar-2024.xlsx]D-PS'!$BE$25</t>
  </si>
  <si>
    <t>='C:\Users\jaime.benazar\Quorum Business Solutions\Ecopetrol Prometeo - Documents\Planning Space Implementation\3. Analysis &amp; Design\Design\FC22\DRR Jaime\Neiva CPI\[DINA TERCIARIOS_CF_SEC_New_27-Mar-2024.xlsx]D-PS'!$BE$26</t>
  </si>
  <si>
    <t>='C:\Users\jaime.benazar\Quorum Business Solutions\Ecopetrol Prometeo - Documents\Planning Space Implementation\3. Analysis &amp; Design\Design\FC22\DRR Jaime\Neiva CPI\[DINA TERCIARIOS_CF_SEC_New_27-Mar-2024.xlsx]D-PS'!$BE$27</t>
  </si>
  <si>
    <t>='C:\Users\jaime.benazar\Quorum Business Solutions\Ecopetrol Prometeo - Documents\Planning Space Implementation\3. Analysis &amp; Design\Design\FC22\DRR Jaime\Neiva CPI\[DINA TERCIARIOS_CF_SEC_New_27-Mar-2024.xlsx]D-PS'!$BE$28</t>
  </si>
  <si>
    <t>='C:\Users\jaime.benazar\Quorum Business Solutions\Ecopetrol Prometeo - Documents\Planning Space Implementation\3. Analysis &amp; Design\Design\FC22\DRR Jaime\Neiva CPI\[DINA TERCIARIOS_CF_SEC_New_27-Mar-2024.xlsx]D-PS'!$BE$29</t>
  </si>
  <si>
    <t>='C:\Users\jaime.benazar\Quorum Business Solutions\Ecopetrol Prometeo - Documents\Planning Space Implementation\3. Analysis &amp; Design\Design\FC22\DRR Jaime\Neiva CPI\[DINA TERCIARIOS_CF_SEC_New_27-Mar-2024.xlsx]D-PS'!$BE$30</t>
  </si>
  <si>
    <t>='C:\Users\jaime.benazar\Quorum Business Solutions\Ecopetrol Prometeo - Documents\Planning Space Implementation\3. Analysis &amp; Design\Design\FC22\DRR Jaime\Neiva CPI\[DINA TERCIARIOS_CF_SEC_New_27-Mar-2024.xlsx]D-PS'!$BE$31</t>
  </si>
  <si>
    <t>='C:\Users\jaime.benazar\Quorum Business Solutions\Ecopetrol Prometeo - Documents\Planning Space Implementation\3. Analysis &amp; Design\Design\FC22\DRR Jaime\Neiva CPI\[DINA TERCIARIOS_CF_SEC_New_27-Mar-2024.xlsx]D-PS'!$BE$32</t>
  </si>
  <si>
    <t>='C:\Users\jaime.benazar\Quorum Business Solutions\Ecopetrol Prometeo - Documents\Planning Space Implementation\3. Analysis &amp; Design\Design\FC22\DRR Jaime\Neiva CPI\[DINA TERCIARIOS_CF_SEC_New_27-Mar-2024.xlsx]D-PS'!$BE$33</t>
  </si>
  <si>
    <t>='C:\Users\jaime.benazar\Quorum Business Solutions\Ecopetrol Prometeo - Documents\Planning Space Implementation\3. Analysis &amp; Design\Design\FC22\DRR Jaime\Neiva CPI\[DINA TERCIARIOS_CF_SEC_New_27-Mar-2024.xlsx]D-PS'!$BE$34</t>
  </si>
  <si>
    <t>='C:\Users\jaime.benazar\Quorum Business Solutions\Ecopetrol Prometeo - Documents\Planning Space Implementation\3. Analysis &amp; Design\Design\FC22\DRR Jaime\Neiva CPI\[DINA TERCIARIOS_CF_SEC_New_27-Mar-2024.xlsx]D-PS'!$BE$35</t>
  </si>
  <si>
    <t>='C:\Users\jaime.benazar\Quorum Business Solutions\Ecopetrol Prometeo - Documents\Planning Space Implementation\3. Analysis &amp; Design\Design\FC22\DRR Jaime\Neiva CPI\[DINA TERCIARIOS_CF_SEC_New_27-Mar-2024.xlsx]D-PS'!$BE$36</t>
  </si>
  <si>
    <t>='C:\Users\jaime.benazar\Quorum Business Solutions\Ecopetrol Prometeo - Documents\Planning Space Implementation\3. Analysis &amp; Design\Design\FC22\DRR Jaime\Neiva CPI\[DINA TERCIARIOS_CF_SEC_New_27-Mar-2024.xlsx]D-PS'!$BE$37</t>
  </si>
  <si>
    <t>='C:\Users\jaime.benazar\Quorum Business Solutions\Ecopetrol Prometeo - Documents\Planning Space Implementation\3. Analysis &amp; Design\Design\FC22\DRR Jaime\Neiva CPI\[DINA TERCIARIOS_CF_SEC_New_27-Mar-2024.xlsx]D-PS'!$BE$38</t>
  </si>
  <si>
    <t>='C:\Users\jaime.benazar\Quorum Business Solutions\Ecopetrol Prometeo - Documents\Planning Space Implementation\3. Analysis &amp; Design\Design\FC22\DRR Jaime\Neiva CPI\[DINA TERCIARIOS_CF_SEC_New_27-Mar-2024.xlsx]D-PS'!$BE$39</t>
  </si>
  <si>
    <t>='C:\Users\jaime.benazar\Quorum Business Solutions\Ecopetrol Prometeo - Documents\Planning Space Implementation\3. Analysis &amp; Design\Design\FC22\DRR Jaime\Neiva CPI\[DINA TERCIARIOS_CF_SEC_New_27-Mar-2024.xlsx]D-PS'!$BE$40</t>
  </si>
  <si>
    <t>='C:\Users\jaime.benazar\Quorum Business Solutions\Ecopetrol Prometeo - Documents\Planning Space Implementation\3. Analysis &amp; Design\Design\FC22\DRR Jaime\Neiva CPI\[DINA TERCIARIOS_CF_SEC_New_27-Mar-2024.xlsx]D-PS'!$BE$41</t>
  </si>
  <si>
    <t>='C:\Users\jaime.benazar\Quorum Business Solutions\Ecopetrol Prometeo - Documents\Planning Space Implementation\3. Analysis &amp; Design\Design\FC22\DRR Jaime\Neiva CPI\[DINA TERCIARIOS_CF_SEC_New_27-Mar-2024.xlsx]D-PS'!$BE$42</t>
  </si>
  <si>
    <t>='C:\Users\jaime.benazar\Quorum Business Solutions\Ecopetrol Prometeo - Documents\Planning Space Implementation\3. Analysis &amp; Design\Design\FC22\DRR Jaime\Neiva CPI\[DINA TERCIARIOS_CF_SEC_New_27-Mar-2024.xlsx]D-PS'!$BE$43</t>
  </si>
  <si>
    <t>='C:\Users\jaime.benazar\Quorum Business Solutions\Ecopetrol Prometeo - Documents\Planning Space Implementation\3. Analysis &amp; Design\Design\FC22\DRR Jaime\Neiva CPI\[DINA TERCIARIOS_CF_SEC_New_27-Mar-2024.xlsx]D-PS'!$BE$44</t>
  </si>
  <si>
    <t>='C:\Users\jaime.benazar\Quorum Business Solutions\Ecopetrol Prometeo - Documents\Planning Space Implementation\3. Analysis &amp; Design\Design\FC22\DRR Jaime\Neiva CPI\[DINA TERCIARIOS_CF_SEC_New_27-Mar-2024.xlsx]D-PS'!$BE$45</t>
  </si>
  <si>
    <t>='C:\Users\jaime.benazar\Quorum Business Solutions\Ecopetrol Prometeo - Documents\Planning Space Implementation\3. Analysis &amp; Design\Design\FC22\DRR Jaime\Neiva CPI\[DINA TERCIARIOS_CF_SEC_New_27-Mar-2024.xlsx]D-PS'!$BE$46</t>
  </si>
  <si>
    <t>='C:\Users\jaime.benazar\Quorum Business Solutions\Ecopetrol Prometeo - Documents\Planning Space Implementation\3. Analysis &amp; Design\Design\FC22\DRR Jaime\Neiva CPI\[DINA TERCIARIOS_CF_SEC_New_27-Mar-2024.xlsx]D-PS'!$BE$47</t>
  </si>
  <si>
    <t>='C:\Users\jaime.benazar\Quorum Business Solutions\Ecopetrol Prometeo - Documents\Planning Space Implementation\3. Analysis &amp; Design\Design\FC22\DRR Jaime\Neiva CPI\[DINA TERCIARIOS_CF_SEC_New_27-Mar-2024.xlsx]D-PS'!$BE$48</t>
  </si>
  <si>
    <t>='C:\Users\jaime.benazar\Quorum Business Solutions\Ecopetrol Prometeo - Documents\Planning Space Implementation\3. Analysis &amp; Design\Design\FC22\DRR Jaime\Neiva CPI\[DINA TERCIARIOS_CF_SEC_New_27-Mar-2024.xlsx]D-PDP'!$CB$12</t>
  </si>
  <si>
    <t>='C:\Users\jaime.benazar\Quorum Business Solutions\Ecopetrol Prometeo - Documents\Planning Space Implementation\3. Analysis &amp; Design\Design\FC22\DRR Jaime\Neiva CPI\[DINA TERCIARIOS_CF_SEC_New_27-Mar-2024.xlsx]D-PDP'!$CB$13</t>
  </si>
  <si>
    <t>='C:\Users\jaime.benazar\Quorum Business Solutions\Ecopetrol Prometeo - Documents\Planning Space Implementation\3. Analysis &amp; Design\Design\FC22\DRR Jaime\Neiva CPI\[DINA TERCIARIOS_CF_SEC_New_27-Mar-2024.xlsx]D-PDP'!$CB$14</t>
  </si>
  <si>
    <t>='C:\Users\jaime.benazar\Quorum Business Solutions\Ecopetrol Prometeo - Documents\Planning Space Implementation\3. Analysis &amp; Design\Design\FC22\DRR Jaime\Neiva CPI\[DINA TERCIARIOS_CF_SEC_New_27-Mar-2024.xlsx]D-PDP'!$CB$15</t>
  </si>
  <si>
    <t>='C:\Users\jaime.benazar\Quorum Business Solutions\Ecopetrol Prometeo - Documents\Planning Space Implementation\3. Analysis &amp; Design\Design\FC22\DRR Jaime\Neiva CPI\[DINA TERCIARIOS_CF_SEC_New_27-Mar-2024.xlsx]D-PDP'!$CB$16</t>
  </si>
  <si>
    <t>='C:\Users\jaime.benazar\Quorum Business Solutions\Ecopetrol Prometeo - Documents\Planning Space Implementation\3. Analysis &amp; Design\Design\FC22\DRR Jaime\Neiva CPI\[DINA TERCIARIOS_CF_SEC_New_27-Mar-2024.xlsx]D-PDP'!$CB$17</t>
  </si>
  <si>
    <t>='C:\Users\jaime.benazar\Quorum Business Solutions\Ecopetrol Prometeo - Documents\Planning Space Implementation\3. Analysis &amp; Design\Design\FC22\DRR Jaime\Neiva CPI\[DINA TERCIARIOS_CF_SEC_New_27-Mar-2024.xlsx]D-PDP'!$CB$18</t>
  </si>
  <si>
    <t>='C:\Users\jaime.benazar\Quorum Business Solutions\Ecopetrol Prometeo - Documents\Planning Space Implementation\3. Analysis &amp; Design\Design\FC22\DRR Jaime\Neiva CPI\[DINA TERCIARIOS_CF_SEC_New_27-Mar-2024.xlsx]D-PDP'!$CB$19</t>
  </si>
  <si>
    <t>='C:\Users\jaime.benazar\Quorum Business Solutions\Ecopetrol Prometeo - Documents\Planning Space Implementation\3. Analysis &amp; Design\Design\FC22\DRR Jaime\Neiva CPI\[DINA TERCIARIOS_CF_SEC_New_27-Mar-2024.xlsx]D-PDP'!$CB$20</t>
  </si>
  <si>
    <t>='C:\Users\jaime.benazar\Quorum Business Solutions\Ecopetrol Prometeo - Documents\Planning Space Implementation\3. Analysis &amp; Design\Design\FC22\DRR Jaime\Neiva CPI\[DINA TERCIARIOS_CF_SEC_New_27-Mar-2024.xlsx]D-PDP'!$CB$21</t>
  </si>
  <si>
    <t>='C:\Users\jaime.benazar\Quorum Business Solutions\Ecopetrol Prometeo - Documents\Planning Space Implementation\3. Analysis &amp; Design\Design\FC22\DRR Jaime\Neiva CPI\[DINA TERCIARIOS_CF_SEC_New_27-Mar-2024.xlsx]D-PDP'!$CB$22</t>
  </si>
  <si>
    <t>='C:\Users\jaime.benazar\Quorum Business Solutions\Ecopetrol Prometeo - Documents\Planning Space Implementation\3. Analysis &amp; Design\Design\FC22\DRR Jaime\Neiva CPI\[DINA TERCIARIOS_CF_SEC_New_27-Mar-2024.xlsx]D-PDP'!$CB$23</t>
  </si>
  <si>
    <t>='C:\Users\jaime.benazar\Quorum Business Solutions\Ecopetrol Prometeo - Documents\Planning Space Implementation\3. Analysis &amp; Design\Design\FC22\DRR Jaime\Neiva CPI\[DINA TERCIARIOS_CF_SEC_New_27-Mar-2024.xlsx]D-PDP'!$CB$24</t>
  </si>
  <si>
    <t>='C:\Users\jaime.benazar\Quorum Business Solutions\Ecopetrol Prometeo - Documents\Planning Space Implementation\3. Analysis &amp; Design\Design\FC22\DRR Jaime\Neiva CPI\[DINA TERCIARIOS_CF_SEC_New_27-Mar-2024.xlsx]D-PDP'!$CB$25</t>
  </si>
  <si>
    <t>='C:\Users\jaime.benazar\Quorum Business Solutions\Ecopetrol Prometeo - Documents\Planning Space Implementation\3. Analysis &amp; Design\Design\FC22\DRR Jaime\Neiva CPI\[DINA TERCIARIOS_CF_SEC_New_27-Mar-2024.xlsx]D-PDP'!$CB$26</t>
  </si>
  <si>
    <t>='C:\Users\jaime.benazar\Quorum Business Solutions\Ecopetrol Prometeo - Documents\Planning Space Implementation\3. Analysis &amp; Design\Design\FC22\DRR Jaime\Neiva CPI\[DINA TERCIARIOS_CF_SEC_New_27-Mar-2024.xlsx]D-PDP'!$CB$27</t>
  </si>
  <si>
    <t>='C:\Users\jaime.benazar\Quorum Business Solutions\Ecopetrol Prometeo - Documents\Planning Space Implementation\3. Analysis &amp; Design\Design\FC22\DRR Jaime\Neiva CPI\[DINA TERCIARIOS_CF_SEC_New_27-Mar-2024.xlsx]D-PDP'!$CB$28</t>
  </si>
  <si>
    <t>='C:\Users\jaime.benazar\Quorum Business Solutions\Ecopetrol Prometeo - Documents\Planning Space Implementation\3. Analysis &amp; Design\Design\FC22\DRR Jaime\Neiva CPI\[DINA TERCIARIOS_CF_SEC_New_27-Mar-2024.xlsx]D-PDP'!$CB$29</t>
  </si>
  <si>
    <t>='C:\Users\jaime.benazar\Quorum Business Solutions\Ecopetrol Prometeo - Documents\Planning Space Implementation\3. Analysis &amp; Design\Design\FC22\DRR Jaime\Neiva CPI\[DINA TERCIARIOS_CF_SEC_New_27-Mar-2024.xlsx]D-PDP'!$CB$30</t>
  </si>
  <si>
    <t>='C:\Users\jaime.benazar\Quorum Business Solutions\Ecopetrol Prometeo - Documents\Planning Space Implementation\3. Analysis &amp; Design\Design\FC22\DRR Jaime\Neiva CPI\[DINA TERCIARIOS_CF_SEC_New_27-Mar-2024.xlsx]D-PDP'!$CB$31</t>
  </si>
  <si>
    <t>='C:\Users\jaime.benazar\Quorum Business Solutions\Ecopetrol Prometeo - Documents\Planning Space Implementation\3. Analysis &amp; Design\Design\FC22\DRR Jaime\Neiva CPI\[DINA TERCIARIOS_CF_SEC_New_27-Mar-2024.xlsx]D-PDP'!$CB$32</t>
  </si>
  <si>
    <t>='C:\Users\jaime.benazar\Quorum Business Solutions\Ecopetrol Prometeo - Documents\Planning Space Implementation\3. Analysis &amp; Design\Design\FC22\DRR Jaime\Neiva CPI\[DINA TERCIARIOS_CF_SEC_New_27-Mar-2024.xlsx]D-PDP'!$CB$33</t>
  </si>
  <si>
    <t>='C:\Users\jaime.benazar\Quorum Business Solutions\Ecopetrol Prometeo - Documents\Planning Space Implementation\3. Analysis &amp; Design\Design\FC22\DRR Jaime\Neiva CPI\[DINA TERCIARIOS_CF_SEC_New_27-Mar-2024.xlsx]D-PDP'!$CB$34</t>
  </si>
  <si>
    <t>='C:\Users\jaime.benazar\Quorum Business Solutions\Ecopetrol Prometeo - Documents\Planning Space Implementation\3. Analysis &amp; Design\Design\FC22\DRR Jaime\Neiva CPI\[DINA TERCIARIOS_CF_SEC_New_27-Mar-2024.xlsx]D-PDP'!$CB$35</t>
  </si>
  <si>
    <t>='C:\Users\jaime.benazar\Quorum Business Solutions\Ecopetrol Prometeo - Documents\Planning Space Implementation\3. Analysis &amp; Design\Design\FC22\DRR Jaime\Neiva CPI\[DINA TERCIARIOS_CF_SEC_New_27-Mar-2024.xlsx]D-PDP'!$CB$36</t>
  </si>
  <si>
    <t>='C:\Users\jaime.benazar\Quorum Business Solutions\Ecopetrol Prometeo - Documents\Planning Space Implementation\3. Analysis &amp; Design\Design\FC22\DRR Jaime\Neiva CPI\[DINA TERCIARIOS_CF_SEC_New_27-Mar-2024.xlsx]D-PDP'!$CB$37</t>
  </si>
  <si>
    <t>='C:\Users\jaime.benazar\Quorum Business Solutions\Ecopetrol Prometeo - Documents\Planning Space Implementation\3. Analysis &amp; Design\Design\FC22\DRR Jaime\Neiva CPI\[DINA TERCIARIOS_CF_SEC_New_27-Mar-2024.xlsx]D-PDP'!$CB$38</t>
  </si>
  <si>
    <t>='C:\Users\jaime.benazar\Quorum Business Solutions\Ecopetrol Prometeo - Documents\Planning Space Implementation\3. Analysis &amp; Design\Design\FC22\DRR Jaime\Neiva CPI\[DINA TERCIARIOS_CF_SEC_New_27-Mar-2024.xlsx]D-PDP'!$CB$39</t>
  </si>
  <si>
    <t>='C:\Users\jaime.benazar\Quorum Business Solutions\Ecopetrol Prometeo - Documents\Planning Space Implementation\3. Analysis &amp; Design\Design\FC22\DRR Jaime\Neiva CPI\[DINA TERCIARIOS_CF_SEC_New_27-Mar-2024.xlsx]D-PDP'!$CB$40</t>
  </si>
  <si>
    <t>='C:\Users\jaime.benazar\Quorum Business Solutions\Ecopetrol Prometeo - Documents\Planning Space Implementation\3. Analysis &amp; Design\Design\FC22\DRR Jaime\Neiva CPI\[DINA TERCIARIOS_CF_SEC_New_27-Mar-2024.xlsx]D-PDP'!$CB$41</t>
  </si>
  <si>
    <t>='C:\Users\jaime.benazar\Quorum Business Solutions\Ecopetrol Prometeo - Documents\Planning Space Implementation\3. Analysis &amp; Design\Design\FC22\DRR Jaime\Neiva CPI\[DINA TERCIARIOS_CF_SEC_New_27-Mar-2024.xlsx]D-PDP'!$CB$42</t>
  </si>
  <si>
    <t>='C:\Users\jaime.benazar\Quorum Business Solutions\Ecopetrol Prometeo - Documents\Planning Space Implementation\3. Analysis &amp; Design\Design\FC22\DRR Jaime\Neiva CPI\[DINA TERCIARIOS_CF_SEC_New_27-Mar-2024.xlsx]D-PDP'!$CB$43</t>
  </si>
  <si>
    <t>='C:\Users\jaime.benazar\Quorum Business Solutions\Ecopetrol Prometeo - Documents\Planning Space Implementation\3. Analysis &amp; Design\Design\FC22\DRR Jaime\Neiva CPI\[DINA TERCIARIOS_CF_SEC_New_27-Mar-2024.xlsx]D-PDP'!$CB$44</t>
  </si>
  <si>
    <t>='C:\Users\jaime.benazar\Quorum Business Solutions\Ecopetrol Prometeo - Documents\Planning Space Implementation\3. Analysis &amp; Design\Design\FC22\DRR Jaime\Neiva CPI\[DINA TERCIARIOS_CF_SEC_New_27-Mar-2024.xlsx]D-PDP'!$CB$45</t>
  </si>
  <si>
    <t>='C:\Users\jaime.benazar\Quorum Business Solutions\Ecopetrol Prometeo - Documents\Planning Space Implementation\3. Analysis &amp; Design\Design\FC22\DRR Jaime\Neiva CPI\[DINA TERCIARIOS_CF_SEC_New_27-Mar-2024.xlsx]D-PDP'!$CB$46</t>
  </si>
  <si>
    <t>='C:\Users\jaime.benazar\Quorum Business Solutions\Ecopetrol Prometeo - Documents\Planning Space Implementation\3. Analysis &amp; Design\Design\FC22\DRR Jaime\Neiva CPI\[DINA TERCIARIOS_CF_SEC_New_27-Mar-2024.xlsx]D-PDP'!$CB$47</t>
  </si>
  <si>
    <t>='C:\Users\jaime.benazar\Quorum Business Solutions\Ecopetrol Prometeo - Documents\Planning Space Implementation\3. Analysis &amp; Design\Design\FC22\DRR Jaime\Neiva CPI\[DINA TERCIARIOS_CF_SEC_New_27-Mar-2024.xlsx]D-PDP'!$CB$48</t>
  </si>
  <si>
    <t>='C:\Users\jaime.benazar\Quorum Business Solutions\Ecopetrol Prometeo - Documents\Planning Space Implementation\3. Analysis &amp; Design\Design\FC22\DRR Jaime\Neiva CPI\[DINA TERCIARIOS_CF_SEC_New_27-Mar-2024.xlsx]D-PNP'!$CB$12</t>
  </si>
  <si>
    <t>='C:\Users\jaime.benazar\Quorum Business Solutions\Ecopetrol Prometeo - Documents\Planning Space Implementation\3. Analysis &amp; Design\Design\FC22\DRR Jaime\Neiva CPI\[DINA TERCIARIOS_CF_SEC_New_27-Mar-2024.xlsx]D-PNP'!$CB$13</t>
  </si>
  <si>
    <t>='C:\Users\jaime.benazar\Quorum Business Solutions\Ecopetrol Prometeo - Documents\Planning Space Implementation\3. Analysis &amp; Design\Design\FC22\DRR Jaime\Neiva CPI\[DINA TERCIARIOS_CF_SEC_New_27-Mar-2024.xlsx]D-PNP'!$CB$14</t>
  </si>
  <si>
    <t>='C:\Users\jaime.benazar\Quorum Business Solutions\Ecopetrol Prometeo - Documents\Planning Space Implementation\3. Analysis &amp; Design\Design\FC22\DRR Jaime\Neiva CPI\[DINA TERCIARIOS_CF_SEC_New_27-Mar-2024.xlsx]D-PNP'!$CB$15</t>
  </si>
  <si>
    <t>='C:\Users\jaime.benazar\Quorum Business Solutions\Ecopetrol Prometeo - Documents\Planning Space Implementation\3. Analysis &amp; Design\Design\FC22\DRR Jaime\Neiva CPI\[DINA TERCIARIOS_CF_SEC_New_27-Mar-2024.xlsx]D-PNP'!$CB$16</t>
  </si>
  <si>
    <t>='C:\Users\jaime.benazar\Quorum Business Solutions\Ecopetrol Prometeo - Documents\Planning Space Implementation\3. Analysis &amp; Design\Design\FC22\DRR Jaime\Neiva CPI\[DINA TERCIARIOS_CF_SEC_New_27-Mar-2024.xlsx]D-PNP'!$CB$17</t>
  </si>
  <si>
    <t>='C:\Users\jaime.benazar\Quorum Business Solutions\Ecopetrol Prometeo - Documents\Planning Space Implementation\3. Analysis &amp; Design\Design\FC22\DRR Jaime\Neiva CPI\[DINA TERCIARIOS_CF_SEC_New_27-Mar-2024.xlsx]D-PNP'!$CB$18</t>
  </si>
  <si>
    <t>='C:\Users\jaime.benazar\Quorum Business Solutions\Ecopetrol Prometeo - Documents\Planning Space Implementation\3. Analysis &amp; Design\Design\FC22\DRR Jaime\Neiva CPI\[DINA TERCIARIOS_CF_SEC_New_27-Mar-2024.xlsx]D-PNP'!$CB$19</t>
  </si>
  <si>
    <t>='C:\Users\jaime.benazar\Quorum Business Solutions\Ecopetrol Prometeo - Documents\Planning Space Implementation\3. Analysis &amp; Design\Design\FC22\DRR Jaime\Neiva CPI\[DINA TERCIARIOS_CF_SEC_New_27-Mar-2024.xlsx]D-PNP'!$CB$20</t>
  </si>
  <si>
    <t>='C:\Users\jaime.benazar\Quorum Business Solutions\Ecopetrol Prometeo - Documents\Planning Space Implementation\3. Analysis &amp; Design\Design\FC22\DRR Jaime\Neiva CPI\[DINA TERCIARIOS_CF_SEC_New_27-Mar-2024.xlsx]D-PNP'!$CB$21</t>
  </si>
  <si>
    <t>='C:\Users\jaime.benazar\Quorum Business Solutions\Ecopetrol Prometeo - Documents\Planning Space Implementation\3. Analysis &amp; Design\Design\FC22\DRR Jaime\Neiva CPI\[DINA TERCIARIOS_CF_SEC_New_27-Mar-2024.xlsx]D-PNP'!$CB$22</t>
  </si>
  <si>
    <t>='C:\Users\jaime.benazar\Quorum Business Solutions\Ecopetrol Prometeo - Documents\Planning Space Implementation\3. Analysis &amp; Design\Design\FC22\DRR Jaime\Neiva CPI\[DINA TERCIARIOS_CF_SEC_New_27-Mar-2024.xlsx]D-PNP'!$CB$23</t>
  </si>
  <si>
    <t>='C:\Users\jaime.benazar\Quorum Business Solutions\Ecopetrol Prometeo - Documents\Planning Space Implementation\3. Analysis &amp; Design\Design\FC22\DRR Jaime\Neiva CPI\[DINA TERCIARIOS_CF_SEC_New_27-Mar-2024.xlsx]D-PNP'!$CB$24</t>
  </si>
  <si>
    <t>='C:\Users\jaime.benazar\Quorum Business Solutions\Ecopetrol Prometeo - Documents\Planning Space Implementation\3. Analysis &amp; Design\Design\FC22\DRR Jaime\Neiva CPI\[DINA TERCIARIOS_CF_SEC_New_27-Mar-2024.xlsx]D-PNP'!$CB$25</t>
  </si>
  <si>
    <t>='C:\Users\jaime.benazar\Quorum Business Solutions\Ecopetrol Prometeo - Documents\Planning Space Implementation\3. Analysis &amp; Design\Design\FC22\DRR Jaime\Neiva CPI\[DINA TERCIARIOS_CF_SEC_New_27-Mar-2024.xlsx]D-PNP'!$CB$26</t>
  </si>
  <si>
    <t>='C:\Users\jaime.benazar\Quorum Business Solutions\Ecopetrol Prometeo - Documents\Planning Space Implementation\3. Analysis &amp; Design\Design\FC22\DRR Jaime\Neiva CPI\[DINA TERCIARIOS_CF_SEC_New_27-Mar-2024.xlsx]D-PNP'!$CB$27</t>
  </si>
  <si>
    <t>='C:\Users\jaime.benazar\Quorum Business Solutions\Ecopetrol Prometeo - Documents\Planning Space Implementation\3. Analysis &amp; Design\Design\FC22\DRR Jaime\Neiva CPI\[DINA TERCIARIOS_CF_SEC_New_27-Mar-2024.xlsx]D-PNP'!$CB$28</t>
  </si>
  <si>
    <t>='C:\Users\jaime.benazar\Quorum Business Solutions\Ecopetrol Prometeo - Documents\Planning Space Implementation\3. Analysis &amp; Design\Design\FC22\DRR Jaime\Neiva CPI\[DINA TERCIARIOS_CF_SEC_New_27-Mar-2024.xlsx]D-PNP'!$CB$29</t>
  </si>
  <si>
    <t>='C:\Users\jaime.benazar\Quorum Business Solutions\Ecopetrol Prometeo - Documents\Planning Space Implementation\3. Analysis &amp; Design\Design\FC22\DRR Jaime\Neiva CPI\[DINA TERCIARIOS_CF_SEC_New_27-Mar-2024.xlsx]D-PNP'!$CB$30</t>
  </si>
  <si>
    <t>='C:\Users\jaime.benazar\Quorum Business Solutions\Ecopetrol Prometeo - Documents\Planning Space Implementation\3. Analysis &amp; Design\Design\FC22\DRR Jaime\Neiva CPI\[DINA TERCIARIOS_CF_SEC_New_27-Mar-2024.xlsx]D-PNP'!$CB$31</t>
  </si>
  <si>
    <t>='C:\Users\jaime.benazar\Quorum Business Solutions\Ecopetrol Prometeo - Documents\Planning Space Implementation\3. Analysis &amp; Design\Design\FC22\DRR Jaime\Neiva CPI\[DINA TERCIARIOS_CF_SEC_New_27-Mar-2024.xlsx]D-PNP'!$CB$32</t>
  </si>
  <si>
    <t>='C:\Users\jaime.benazar\Quorum Business Solutions\Ecopetrol Prometeo - Documents\Planning Space Implementation\3. Analysis &amp; Design\Design\FC22\DRR Jaime\Neiva CPI\[DINA TERCIARIOS_CF_SEC_New_27-Mar-2024.xlsx]D-PNP'!$CB$33</t>
  </si>
  <si>
    <t>='C:\Users\jaime.benazar\Quorum Business Solutions\Ecopetrol Prometeo - Documents\Planning Space Implementation\3. Analysis &amp; Design\Design\FC22\DRR Jaime\Neiva CPI\[DINA TERCIARIOS_CF_SEC_New_27-Mar-2024.xlsx]D-PNP'!$CB$34</t>
  </si>
  <si>
    <t>='C:\Users\jaime.benazar\Quorum Business Solutions\Ecopetrol Prometeo - Documents\Planning Space Implementation\3. Analysis &amp; Design\Design\FC22\DRR Jaime\Neiva CPI\[DINA TERCIARIOS_CF_SEC_New_27-Mar-2024.xlsx]D-PNP'!$CB$35</t>
  </si>
  <si>
    <t>='C:\Users\jaime.benazar\Quorum Business Solutions\Ecopetrol Prometeo - Documents\Planning Space Implementation\3. Analysis &amp; Design\Design\FC22\DRR Jaime\Neiva CPI\[DINA TERCIARIOS_CF_SEC_New_27-Mar-2024.xlsx]D-PNP'!$CB$36</t>
  </si>
  <si>
    <t>='C:\Users\jaime.benazar\Quorum Business Solutions\Ecopetrol Prometeo - Documents\Planning Space Implementation\3. Analysis &amp; Design\Design\FC22\DRR Jaime\Neiva CPI\[DINA TERCIARIOS_CF_SEC_New_27-Mar-2024.xlsx]D-PNP'!$CB$37</t>
  </si>
  <si>
    <t>='C:\Users\jaime.benazar\Quorum Business Solutions\Ecopetrol Prometeo - Documents\Planning Space Implementation\3. Analysis &amp; Design\Design\FC22\DRR Jaime\Neiva CPI\[DINA TERCIARIOS_CF_SEC_New_27-Mar-2024.xlsx]D-PNP'!$CB$38</t>
  </si>
  <si>
    <t>='C:\Users\jaime.benazar\Quorum Business Solutions\Ecopetrol Prometeo - Documents\Planning Space Implementation\3. Analysis &amp; Design\Design\FC22\DRR Jaime\Neiva CPI\[DINA TERCIARIOS_CF_SEC_New_27-Mar-2024.xlsx]D-PNP'!$CB$39</t>
  </si>
  <si>
    <t>='C:\Users\jaime.benazar\Quorum Business Solutions\Ecopetrol Prometeo - Documents\Planning Space Implementation\3. Analysis &amp; Design\Design\FC22\DRR Jaime\Neiva CPI\[DINA TERCIARIOS_CF_SEC_New_27-Mar-2024.xlsx]D-PNP'!$CB$40</t>
  </si>
  <si>
    <t>='C:\Users\jaime.benazar\Quorum Business Solutions\Ecopetrol Prometeo - Documents\Planning Space Implementation\3. Analysis &amp; Design\Design\FC22\DRR Jaime\Neiva CPI\[DINA TERCIARIOS_CF_SEC_New_27-Mar-2024.xlsx]D-PNP'!$CB$41</t>
  </si>
  <si>
    <t>='C:\Users\jaime.benazar\Quorum Business Solutions\Ecopetrol Prometeo - Documents\Planning Space Implementation\3. Analysis &amp; Design\Design\FC22\DRR Jaime\Neiva CPI\[DINA TERCIARIOS_CF_SEC_New_27-Mar-2024.xlsx]D-PNP'!$CB$42</t>
  </si>
  <si>
    <t>='C:\Users\jaime.benazar\Quorum Business Solutions\Ecopetrol Prometeo - Documents\Planning Space Implementation\3. Analysis &amp; Design\Design\FC22\DRR Jaime\Neiva CPI\[DINA TERCIARIOS_CF_SEC_New_27-Mar-2024.xlsx]D-PNP'!$CB$43</t>
  </si>
  <si>
    <t>='C:\Users\jaime.benazar\Quorum Business Solutions\Ecopetrol Prometeo - Documents\Planning Space Implementation\3. Analysis &amp; Design\Design\FC22\DRR Jaime\Neiva CPI\[DINA TERCIARIOS_CF_SEC_New_27-Mar-2024.xlsx]D-PNP'!$CB$44</t>
  </si>
  <si>
    <t>='C:\Users\jaime.benazar\Quorum Business Solutions\Ecopetrol Prometeo - Documents\Planning Space Implementation\3. Analysis &amp; Design\Design\FC22\DRR Jaime\Neiva CPI\[DINA TERCIARIOS_CF_SEC_New_27-Mar-2024.xlsx]D-PNP'!$CB$45</t>
  </si>
  <si>
    <t>='C:\Users\jaime.benazar\Quorum Business Solutions\Ecopetrol Prometeo - Documents\Planning Space Implementation\3. Analysis &amp; Design\Design\FC22\DRR Jaime\Neiva CPI\[DINA TERCIARIOS_CF_SEC_New_27-Mar-2024.xlsx]D-PNP'!$CB$46</t>
  </si>
  <si>
    <t>='C:\Users\jaime.benazar\Quorum Business Solutions\Ecopetrol Prometeo - Documents\Planning Space Implementation\3. Analysis &amp; Design\Design\FC22\DRR Jaime\Neiva CPI\[DINA TERCIARIOS_CF_SEC_New_27-Mar-2024.xlsx]D-PNP'!$CB$47</t>
  </si>
  <si>
    <t>='C:\Users\jaime.benazar\Quorum Business Solutions\Ecopetrol Prometeo - Documents\Planning Space Implementation\3. Analysis &amp; Design\Design\FC22\DRR Jaime\Neiva CPI\[DINA TERCIARIOS_CF_SEC_New_27-Mar-2024.xlsx]D-PNP'!$CB$48</t>
  </si>
  <si>
    <t>='C:\Users\jaime.benazar\Quorum Business Solutions\Ecopetrol Prometeo - Documents\Planning Space Implementation\3. Analysis &amp; Design\Design\FC22\DRR Jaime\Neiva CPI\[DINA TERCIARIOS_CF_SEC_New_27-Mar-2024.xlsx]D-PND'!$CB$12</t>
  </si>
  <si>
    <t>='C:\Users\jaime.benazar\Quorum Business Solutions\Ecopetrol Prometeo - Documents\Planning Space Implementation\3. Analysis &amp; Design\Design\FC22\DRR Jaime\Neiva CPI\[DINA TERCIARIOS_CF_SEC_New_27-Mar-2024.xlsx]D-PND'!$CB$13</t>
  </si>
  <si>
    <t>='C:\Users\jaime.benazar\Quorum Business Solutions\Ecopetrol Prometeo - Documents\Planning Space Implementation\3. Analysis &amp; Design\Design\FC22\DRR Jaime\Neiva CPI\[DINA TERCIARIOS_CF_SEC_New_27-Mar-2024.xlsx]D-PND'!$CB$14</t>
  </si>
  <si>
    <t>='C:\Users\jaime.benazar\Quorum Business Solutions\Ecopetrol Prometeo - Documents\Planning Space Implementation\3. Analysis &amp; Design\Design\FC22\DRR Jaime\Neiva CPI\[DINA TERCIARIOS_CF_SEC_New_27-Mar-2024.xlsx]D-PND'!$CB$15</t>
  </si>
  <si>
    <t>='C:\Users\jaime.benazar\Quorum Business Solutions\Ecopetrol Prometeo - Documents\Planning Space Implementation\3. Analysis &amp; Design\Design\FC22\DRR Jaime\Neiva CPI\[DINA TERCIARIOS_CF_SEC_New_27-Mar-2024.xlsx]D-PND'!$CB$16</t>
  </si>
  <si>
    <t>='C:\Users\jaime.benazar\Quorum Business Solutions\Ecopetrol Prometeo - Documents\Planning Space Implementation\3. Analysis &amp; Design\Design\FC22\DRR Jaime\Neiva CPI\[DINA TERCIARIOS_CF_SEC_New_27-Mar-2024.xlsx]D-PND'!$CB$17</t>
  </si>
  <si>
    <t>='C:\Users\jaime.benazar\Quorum Business Solutions\Ecopetrol Prometeo - Documents\Planning Space Implementation\3. Analysis &amp; Design\Design\FC22\DRR Jaime\Neiva CPI\[DINA TERCIARIOS_CF_SEC_New_27-Mar-2024.xlsx]D-PND'!$CB$18</t>
  </si>
  <si>
    <t>='C:\Users\jaime.benazar\Quorum Business Solutions\Ecopetrol Prometeo - Documents\Planning Space Implementation\3. Analysis &amp; Design\Design\FC22\DRR Jaime\Neiva CPI\[DINA TERCIARIOS_CF_SEC_New_27-Mar-2024.xlsx]D-PND'!$CB$19</t>
  </si>
  <si>
    <t>='C:\Users\jaime.benazar\Quorum Business Solutions\Ecopetrol Prometeo - Documents\Planning Space Implementation\3. Analysis &amp; Design\Design\FC22\DRR Jaime\Neiva CPI\[DINA TERCIARIOS_CF_SEC_New_27-Mar-2024.xlsx]D-PND'!$CB$20</t>
  </si>
  <si>
    <t>='C:\Users\jaime.benazar\Quorum Business Solutions\Ecopetrol Prometeo - Documents\Planning Space Implementation\3. Analysis &amp; Design\Design\FC22\DRR Jaime\Neiva CPI\[DINA TERCIARIOS_CF_SEC_New_27-Mar-2024.xlsx]D-PND'!$CB$21</t>
  </si>
  <si>
    <t>='C:\Users\jaime.benazar\Quorum Business Solutions\Ecopetrol Prometeo - Documents\Planning Space Implementation\3. Analysis &amp; Design\Design\FC22\DRR Jaime\Neiva CPI\[DINA TERCIARIOS_CF_SEC_New_27-Mar-2024.xlsx]D-PND'!$CB$22</t>
  </si>
  <si>
    <t>='C:\Users\jaime.benazar\Quorum Business Solutions\Ecopetrol Prometeo - Documents\Planning Space Implementation\3. Analysis &amp; Design\Design\FC22\DRR Jaime\Neiva CPI\[DINA TERCIARIOS_CF_SEC_New_27-Mar-2024.xlsx]D-PND'!$CB$23</t>
  </si>
  <si>
    <t>='C:\Users\jaime.benazar\Quorum Business Solutions\Ecopetrol Prometeo - Documents\Planning Space Implementation\3. Analysis &amp; Design\Design\FC22\DRR Jaime\Neiva CPI\[DINA TERCIARIOS_CF_SEC_New_27-Mar-2024.xlsx]D-PND'!$CB$24</t>
  </si>
  <si>
    <t>='C:\Users\jaime.benazar\Quorum Business Solutions\Ecopetrol Prometeo - Documents\Planning Space Implementation\3. Analysis &amp; Design\Design\FC22\DRR Jaime\Neiva CPI\[DINA TERCIARIOS_CF_SEC_New_27-Mar-2024.xlsx]D-PND'!$CB$25</t>
  </si>
  <si>
    <t>='C:\Users\jaime.benazar\Quorum Business Solutions\Ecopetrol Prometeo - Documents\Planning Space Implementation\3. Analysis &amp; Design\Design\FC22\DRR Jaime\Neiva CPI\[DINA TERCIARIOS_CF_SEC_New_27-Mar-2024.xlsx]D-PND'!$CB$26</t>
  </si>
  <si>
    <t>='C:\Users\jaime.benazar\Quorum Business Solutions\Ecopetrol Prometeo - Documents\Planning Space Implementation\3. Analysis &amp; Design\Design\FC22\DRR Jaime\Neiva CPI\[DINA TERCIARIOS_CF_SEC_New_27-Mar-2024.xlsx]D-PND'!$CB$27</t>
  </si>
  <si>
    <t>='C:\Users\jaime.benazar\Quorum Business Solutions\Ecopetrol Prometeo - Documents\Planning Space Implementation\3. Analysis &amp; Design\Design\FC22\DRR Jaime\Neiva CPI\[DINA TERCIARIOS_CF_SEC_New_27-Mar-2024.xlsx]D-PND'!$CB$28</t>
  </si>
  <si>
    <t>='C:\Users\jaime.benazar\Quorum Business Solutions\Ecopetrol Prometeo - Documents\Planning Space Implementation\3. Analysis &amp; Design\Design\FC22\DRR Jaime\Neiva CPI\[DINA TERCIARIOS_CF_SEC_New_27-Mar-2024.xlsx]D-PND'!$CB$29</t>
  </si>
  <si>
    <t>='C:\Users\jaime.benazar\Quorum Business Solutions\Ecopetrol Prometeo - Documents\Planning Space Implementation\3. Analysis &amp; Design\Design\FC22\DRR Jaime\Neiva CPI\[DINA TERCIARIOS_CF_SEC_New_27-Mar-2024.xlsx]D-PND'!$CB$30</t>
  </si>
  <si>
    <t>='C:\Users\jaime.benazar\Quorum Business Solutions\Ecopetrol Prometeo - Documents\Planning Space Implementation\3. Analysis &amp; Design\Design\FC22\DRR Jaime\Neiva CPI\[DINA TERCIARIOS_CF_SEC_New_27-Mar-2024.xlsx]D-PND'!$CB$31</t>
  </si>
  <si>
    <t>='C:\Users\jaime.benazar\Quorum Business Solutions\Ecopetrol Prometeo - Documents\Planning Space Implementation\3. Analysis &amp; Design\Design\FC22\DRR Jaime\Neiva CPI\[DINA TERCIARIOS_CF_SEC_New_27-Mar-2024.xlsx]D-PND'!$CB$32</t>
  </si>
  <si>
    <t>='C:\Users\jaime.benazar\Quorum Business Solutions\Ecopetrol Prometeo - Documents\Planning Space Implementation\3. Analysis &amp; Design\Design\FC22\DRR Jaime\Neiva CPI\[DINA TERCIARIOS_CF_SEC_New_27-Mar-2024.xlsx]D-PND'!$CB$33</t>
  </si>
  <si>
    <t>='C:\Users\jaime.benazar\Quorum Business Solutions\Ecopetrol Prometeo - Documents\Planning Space Implementation\3. Analysis &amp; Design\Design\FC22\DRR Jaime\Neiva CPI\[DINA TERCIARIOS_CF_SEC_New_27-Mar-2024.xlsx]D-PND'!$CB$34</t>
  </si>
  <si>
    <t>='C:\Users\jaime.benazar\Quorum Business Solutions\Ecopetrol Prometeo - Documents\Planning Space Implementation\3. Analysis &amp; Design\Design\FC22\DRR Jaime\Neiva CPI\[DINA TERCIARIOS_CF_SEC_New_27-Mar-2024.xlsx]D-PND'!$CB$35</t>
  </si>
  <si>
    <t>='C:\Users\jaime.benazar\Quorum Business Solutions\Ecopetrol Prometeo - Documents\Planning Space Implementation\3. Analysis &amp; Design\Design\FC22\DRR Jaime\Neiva CPI\[DINA TERCIARIOS_CF_SEC_New_27-Mar-2024.xlsx]D-PND'!$CB$36</t>
  </si>
  <si>
    <t>='C:\Users\jaime.benazar\Quorum Business Solutions\Ecopetrol Prometeo - Documents\Planning Space Implementation\3. Analysis &amp; Design\Design\FC22\DRR Jaime\Neiva CPI\[DINA TERCIARIOS_CF_SEC_New_27-Mar-2024.xlsx]D-PND'!$CB$37</t>
  </si>
  <si>
    <t>='C:\Users\jaime.benazar\Quorum Business Solutions\Ecopetrol Prometeo - Documents\Planning Space Implementation\3. Analysis &amp; Design\Design\FC22\DRR Jaime\Neiva CPI\[DINA TERCIARIOS_CF_SEC_New_27-Mar-2024.xlsx]D-PND'!$CB$38</t>
  </si>
  <si>
    <t>='C:\Users\jaime.benazar\Quorum Business Solutions\Ecopetrol Prometeo - Documents\Planning Space Implementation\3. Analysis &amp; Design\Design\FC22\DRR Jaime\Neiva CPI\[DINA TERCIARIOS_CF_SEC_New_27-Mar-2024.xlsx]D-PND'!$CB$39</t>
  </si>
  <si>
    <t>='C:\Users\jaime.benazar\Quorum Business Solutions\Ecopetrol Prometeo - Documents\Planning Space Implementation\3. Analysis &amp; Design\Design\FC22\DRR Jaime\Neiva CPI\[DINA TERCIARIOS_CF_SEC_New_27-Mar-2024.xlsx]D-PND'!$CB$40</t>
  </si>
  <si>
    <t>='C:\Users\jaime.benazar\Quorum Business Solutions\Ecopetrol Prometeo - Documents\Planning Space Implementation\3. Analysis &amp; Design\Design\FC22\DRR Jaime\Neiva CPI\[DINA TERCIARIOS_CF_SEC_New_27-Mar-2024.xlsx]D-PND'!$CB$41</t>
  </si>
  <si>
    <t>='C:\Users\jaime.benazar\Quorum Business Solutions\Ecopetrol Prometeo - Documents\Planning Space Implementation\3. Analysis &amp; Design\Design\FC22\DRR Jaime\Neiva CPI\[DINA TERCIARIOS_CF_SEC_New_27-Mar-2024.xlsx]D-PND'!$CB$42</t>
  </si>
  <si>
    <t>='C:\Users\jaime.benazar\Quorum Business Solutions\Ecopetrol Prometeo - Documents\Planning Space Implementation\3. Analysis &amp; Design\Design\FC22\DRR Jaime\Neiva CPI\[DINA TERCIARIOS_CF_SEC_New_27-Mar-2024.xlsx]D-PND'!$CB$43</t>
  </si>
  <si>
    <t>='C:\Users\jaime.benazar\Quorum Business Solutions\Ecopetrol Prometeo - Documents\Planning Space Implementation\3. Analysis &amp; Design\Design\FC22\DRR Jaime\Neiva CPI\[DINA TERCIARIOS_CF_SEC_New_27-Mar-2024.xlsx]D-PND'!$CB$44</t>
  </si>
  <si>
    <t>='C:\Users\jaime.benazar\Quorum Business Solutions\Ecopetrol Prometeo - Documents\Planning Space Implementation\3. Analysis &amp; Design\Design\FC22\DRR Jaime\Neiva CPI\[DINA TERCIARIOS_CF_SEC_New_27-Mar-2024.xlsx]D-PND'!$CB$45</t>
  </si>
  <si>
    <t>='C:\Users\jaime.benazar\Quorum Business Solutions\Ecopetrol Prometeo - Documents\Planning Space Implementation\3. Analysis &amp; Design\Design\FC22\DRR Jaime\Neiva CPI\[DINA TERCIARIOS_CF_SEC_New_27-Mar-2024.xlsx]D-PND'!$CB$46</t>
  </si>
  <si>
    <t>='C:\Users\jaime.benazar\Quorum Business Solutions\Ecopetrol Prometeo - Documents\Planning Space Implementation\3. Analysis &amp; Design\Design\FC22\DRR Jaime\Neiva CPI\[DINA TERCIARIOS_CF_SEC_New_27-Mar-2024.xlsx]D-PND'!$CB$47</t>
  </si>
  <si>
    <t>='C:\Users\jaime.benazar\Quorum Business Solutions\Ecopetrol Prometeo - Documents\Planning Space Implementation\3. Analysis &amp; Design\Design\FC22\DRR Jaime\Neiva CPI\[DINA TERCIARIOS_CF_SEC_New_27-Mar-2024.xlsx]D-PND'!$CB$48</t>
  </si>
  <si>
    <t>='C:\Users\jaime.benazar\Quorum Business Solutions\Ecopetrol Prometeo - Documents\Planning Space Implementation\3. Analysis &amp; Design\Design\FC22\DRR Jaime\Neiva CPI\[DINA TERCIARIOS_CF_SEC_New_27-Mar-2024.xlsx]D-PRB'!$CB$12</t>
  </si>
  <si>
    <t>='C:\Users\jaime.benazar\Quorum Business Solutions\Ecopetrol Prometeo - Documents\Planning Space Implementation\3. Analysis &amp; Design\Design\FC22\DRR Jaime\Neiva CPI\[DINA TERCIARIOS_CF_SEC_New_27-Mar-2024.xlsx]D-PRB'!$CB$13</t>
  </si>
  <si>
    <t>='C:\Users\jaime.benazar\Quorum Business Solutions\Ecopetrol Prometeo - Documents\Planning Space Implementation\3. Analysis &amp; Design\Design\FC22\DRR Jaime\Neiva CPI\[DINA TERCIARIOS_CF_SEC_New_27-Mar-2024.xlsx]D-PRB'!$CB$14</t>
  </si>
  <si>
    <t>='C:\Users\jaime.benazar\Quorum Business Solutions\Ecopetrol Prometeo - Documents\Planning Space Implementation\3. Analysis &amp; Design\Design\FC22\DRR Jaime\Neiva CPI\[DINA TERCIARIOS_CF_SEC_New_27-Mar-2024.xlsx]D-PRB'!$CB$15</t>
  </si>
  <si>
    <t>='C:\Users\jaime.benazar\Quorum Business Solutions\Ecopetrol Prometeo - Documents\Planning Space Implementation\3. Analysis &amp; Design\Design\FC22\DRR Jaime\Neiva CPI\[DINA TERCIARIOS_CF_SEC_New_27-Mar-2024.xlsx]D-PRB'!$CB$16</t>
  </si>
  <si>
    <t>='C:\Users\jaime.benazar\Quorum Business Solutions\Ecopetrol Prometeo - Documents\Planning Space Implementation\3. Analysis &amp; Design\Design\FC22\DRR Jaime\Neiva CPI\[DINA TERCIARIOS_CF_SEC_New_27-Mar-2024.xlsx]D-PRB'!$CB$17</t>
  </si>
  <si>
    <t>='C:\Users\jaime.benazar\Quorum Business Solutions\Ecopetrol Prometeo - Documents\Planning Space Implementation\3. Analysis &amp; Design\Design\FC22\DRR Jaime\Neiva CPI\[DINA TERCIARIOS_CF_SEC_New_27-Mar-2024.xlsx]D-PRB'!$CB$18</t>
  </si>
  <si>
    <t>='C:\Users\jaime.benazar\Quorum Business Solutions\Ecopetrol Prometeo - Documents\Planning Space Implementation\3. Analysis &amp; Design\Design\FC22\DRR Jaime\Neiva CPI\[DINA TERCIARIOS_CF_SEC_New_27-Mar-2024.xlsx]D-PRB'!$CB$19</t>
  </si>
  <si>
    <t>='C:\Users\jaime.benazar\Quorum Business Solutions\Ecopetrol Prometeo - Documents\Planning Space Implementation\3. Analysis &amp; Design\Design\FC22\DRR Jaime\Neiva CPI\[DINA TERCIARIOS_CF_SEC_New_27-Mar-2024.xlsx]D-PRB'!$CB$20</t>
  </si>
  <si>
    <t>='C:\Users\jaime.benazar\Quorum Business Solutions\Ecopetrol Prometeo - Documents\Planning Space Implementation\3. Analysis &amp; Design\Design\FC22\DRR Jaime\Neiva CPI\[DINA TERCIARIOS_CF_SEC_New_27-Mar-2024.xlsx]D-PRB'!$CB$21</t>
  </si>
  <si>
    <t>='C:\Users\jaime.benazar\Quorum Business Solutions\Ecopetrol Prometeo - Documents\Planning Space Implementation\3. Analysis &amp; Design\Design\FC22\DRR Jaime\Neiva CPI\[DINA TERCIARIOS_CF_SEC_New_27-Mar-2024.xlsx]D-PRB'!$CB$22</t>
  </si>
  <si>
    <t>='C:\Users\jaime.benazar\Quorum Business Solutions\Ecopetrol Prometeo - Documents\Planning Space Implementation\3. Analysis &amp; Design\Design\FC22\DRR Jaime\Neiva CPI\[DINA TERCIARIOS_CF_SEC_New_27-Mar-2024.xlsx]D-PRB'!$CB$23</t>
  </si>
  <si>
    <t>='C:\Users\jaime.benazar\Quorum Business Solutions\Ecopetrol Prometeo - Documents\Planning Space Implementation\3. Analysis &amp; Design\Design\FC22\DRR Jaime\Neiva CPI\[DINA TERCIARIOS_CF_SEC_New_27-Mar-2024.xlsx]D-PRB'!$CB$24</t>
  </si>
  <si>
    <t>='C:\Users\jaime.benazar\Quorum Business Solutions\Ecopetrol Prometeo - Documents\Planning Space Implementation\3. Analysis &amp; Design\Design\FC22\DRR Jaime\Neiva CPI\[DINA TERCIARIOS_CF_SEC_New_27-Mar-2024.xlsx]D-PRB'!$CB$25</t>
  </si>
  <si>
    <t>='C:\Users\jaime.benazar\Quorum Business Solutions\Ecopetrol Prometeo - Documents\Planning Space Implementation\3. Analysis &amp; Design\Design\FC22\DRR Jaime\Neiva CPI\[DINA TERCIARIOS_CF_SEC_New_27-Mar-2024.xlsx]D-PRB'!$CB$26</t>
  </si>
  <si>
    <t>='C:\Users\jaime.benazar\Quorum Business Solutions\Ecopetrol Prometeo - Documents\Planning Space Implementation\3. Analysis &amp; Design\Design\FC22\DRR Jaime\Neiva CPI\[DINA TERCIARIOS_CF_SEC_New_27-Mar-2024.xlsx]D-PRB'!$CB$27</t>
  </si>
  <si>
    <t>='C:\Users\jaime.benazar\Quorum Business Solutions\Ecopetrol Prometeo - Documents\Planning Space Implementation\3. Analysis &amp; Design\Design\FC22\DRR Jaime\Neiva CPI\[DINA TERCIARIOS_CF_SEC_New_27-Mar-2024.xlsx]D-PRB'!$CB$28</t>
  </si>
  <si>
    <t>='C:\Users\jaime.benazar\Quorum Business Solutions\Ecopetrol Prometeo - Documents\Planning Space Implementation\3. Analysis &amp; Design\Design\FC22\DRR Jaime\Neiva CPI\[DINA TERCIARIOS_CF_SEC_New_27-Mar-2024.xlsx]D-PRB'!$CB$29</t>
  </si>
  <si>
    <t>='C:\Users\jaime.benazar\Quorum Business Solutions\Ecopetrol Prometeo - Documents\Planning Space Implementation\3. Analysis &amp; Design\Design\FC22\DRR Jaime\Neiva CPI\[DINA TERCIARIOS_CF_SEC_New_27-Mar-2024.xlsx]D-PRB'!$CB$30</t>
  </si>
  <si>
    <t>='C:\Users\jaime.benazar\Quorum Business Solutions\Ecopetrol Prometeo - Documents\Planning Space Implementation\3. Analysis &amp; Design\Design\FC22\DRR Jaime\Neiva CPI\[DINA TERCIARIOS_CF_SEC_New_27-Mar-2024.xlsx]D-PRB'!$CB$31</t>
  </si>
  <si>
    <t>='C:\Users\jaime.benazar\Quorum Business Solutions\Ecopetrol Prometeo - Documents\Planning Space Implementation\3. Analysis &amp; Design\Design\FC22\DRR Jaime\Neiva CPI\[DINA TERCIARIOS_CF_SEC_New_27-Mar-2024.xlsx]D-PRB'!$CB$32</t>
  </si>
  <si>
    <t>='C:\Users\jaime.benazar\Quorum Business Solutions\Ecopetrol Prometeo - Documents\Planning Space Implementation\3. Analysis &amp; Design\Design\FC22\DRR Jaime\Neiva CPI\[DINA TERCIARIOS_CF_SEC_New_27-Mar-2024.xlsx]D-PRB'!$CB$33</t>
  </si>
  <si>
    <t>='C:\Users\jaime.benazar\Quorum Business Solutions\Ecopetrol Prometeo - Documents\Planning Space Implementation\3. Analysis &amp; Design\Design\FC22\DRR Jaime\Neiva CPI\[DINA TERCIARIOS_CF_SEC_New_27-Mar-2024.xlsx]D-PRB'!$CB$34</t>
  </si>
  <si>
    <t>='C:\Users\jaime.benazar\Quorum Business Solutions\Ecopetrol Prometeo - Documents\Planning Space Implementation\3. Analysis &amp; Design\Design\FC22\DRR Jaime\Neiva CPI\[DINA TERCIARIOS_CF_SEC_New_27-Mar-2024.xlsx]D-PRB'!$CB$35</t>
  </si>
  <si>
    <t>='C:\Users\jaime.benazar\Quorum Business Solutions\Ecopetrol Prometeo - Documents\Planning Space Implementation\3. Analysis &amp; Design\Design\FC22\DRR Jaime\Neiva CPI\[DINA TERCIARIOS_CF_SEC_New_27-Mar-2024.xlsx]D-PRB'!$CB$36</t>
  </si>
  <si>
    <t>='C:\Users\jaime.benazar\Quorum Business Solutions\Ecopetrol Prometeo - Documents\Planning Space Implementation\3. Analysis &amp; Design\Design\FC22\DRR Jaime\Neiva CPI\[DINA TERCIARIOS_CF_SEC_New_27-Mar-2024.xlsx]D-PRB'!$CB$37</t>
  </si>
  <si>
    <t>='C:\Users\jaime.benazar\Quorum Business Solutions\Ecopetrol Prometeo - Documents\Planning Space Implementation\3. Analysis &amp; Design\Design\FC22\DRR Jaime\Neiva CPI\[DINA TERCIARIOS_CF_SEC_New_27-Mar-2024.xlsx]D-PRB'!$CB$38</t>
  </si>
  <si>
    <t>='C:\Users\jaime.benazar\Quorum Business Solutions\Ecopetrol Prometeo - Documents\Planning Space Implementation\3. Analysis &amp; Design\Design\FC22\DRR Jaime\Neiva CPI\[DINA TERCIARIOS_CF_SEC_New_27-Mar-2024.xlsx]D-PRB'!$CB$39</t>
  </si>
  <si>
    <t>='C:\Users\jaime.benazar\Quorum Business Solutions\Ecopetrol Prometeo - Documents\Planning Space Implementation\3. Analysis &amp; Design\Design\FC22\DRR Jaime\Neiva CPI\[DINA TERCIARIOS_CF_SEC_New_27-Mar-2024.xlsx]D-PRB'!$CB$40</t>
  </si>
  <si>
    <t>='C:\Users\jaime.benazar\Quorum Business Solutions\Ecopetrol Prometeo - Documents\Planning Space Implementation\3. Analysis &amp; Design\Design\FC22\DRR Jaime\Neiva CPI\[DINA TERCIARIOS_CF_SEC_New_27-Mar-2024.xlsx]D-PRB'!$CB$41</t>
  </si>
  <si>
    <t>='C:\Users\jaime.benazar\Quorum Business Solutions\Ecopetrol Prometeo - Documents\Planning Space Implementation\3. Analysis &amp; Design\Design\FC22\DRR Jaime\Neiva CPI\[DINA TERCIARIOS_CF_SEC_New_27-Mar-2024.xlsx]D-PRB'!$CB$42</t>
  </si>
  <si>
    <t>='C:\Users\jaime.benazar\Quorum Business Solutions\Ecopetrol Prometeo - Documents\Planning Space Implementation\3. Analysis &amp; Design\Design\FC22\DRR Jaime\Neiva CPI\[DINA TERCIARIOS_CF_SEC_New_27-Mar-2024.xlsx]D-PRB'!$CB$43</t>
  </si>
  <si>
    <t>='C:\Users\jaime.benazar\Quorum Business Solutions\Ecopetrol Prometeo - Documents\Planning Space Implementation\3. Analysis &amp; Design\Design\FC22\DRR Jaime\Neiva CPI\[DINA TERCIARIOS_CF_SEC_New_27-Mar-2024.xlsx]D-PRB'!$CB$44</t>
  </si>
  <si>
    <t>='C:\Users\jaime.benazar\Quorum Business Solutions\Ecopetrol Prometeo - Documents\Planning Space Implementation\3. Analysis &amp; Design\Design\FC22\DRR Jaime\Neiva CPI\[DINA TERCIARIOS_CF_SEC_New_27-Mar-2024.xlsx]D-PRB'!$CB$45</t>
  </si>
  <si>
    <t>='C:\Users\jaime.benazar\Quorum Business Solutions\Ecopetrol Prometeo - Documents\Planning Space Implementation\3. Analysis &amp; Design\Design\FC22\DRR Jaime\Neiva CPI\[DINA TERCIARIOS_CF_SEC_New_27-Mar-2024.xlsx]D-PRB'!$CB$46</t>
  </si>
  <si>
    <t>='C:\Users\jaime.benazar\Quorum Business Solutions\Ecopetrol Prometeo - Documents\Planning Space Implementation\3. Analysis &amp; Design\Design\FC22\DRR Jaime\Neiva CPI\[DINA TERCIARIOS_CF_SEC_New_27-Mar-2024.xlsx]D-PRB'!$CB$47</t>
  </si>
  <si>
    <t>='C:\Users\jaime.benazar\Quorum Business Solutions\Ecopetrol Prometeo - Documents\Planning Space Implementation\3. Analysis &amp; Design\Design\FC22\DRR Jaime\Neiva CPI\[DINA TERCIARIOS_CF_SEC_New_27-Mar-2024.xlsx]D-PRB'!$CB$48</t>
  </si>
  <si>
    <t>='C:\Users\jaime.benazar\Quorum Business Solutions\Ecopetrol Prometeo - Documents\Planning Space Implementation\3. Analysis &amp; Design\Design\FC22\DRR Jaime\Neiva CPI\[DINA TERCIARIOS_CF_SEC_New_27-Mar-2024.xlsx]D-PS'!$CB$12</t>
  </si>
  <si>
    <t>='C:\Users\jaime.benazar\Quorum Business Solutions\Ecopetrol Prometeo - Documents\Planning Space Implementation\3. Analysis &amp; Design\Design\FC22\DRR Jaime\Neiva CPI\[DINA TERCIARIOS_CF_SEC_New_27-Mar-2024.xlsx]D-PS'!$CB$13</t>
  </si>
  <si>
    <t>='C:\Users\jaime.benazar\Quorum Business Solutions\Ecopetrol Prometeo - Documents\Planning Space Implementation\3. Analysis &amp; Design\Design\FC22\DRR Jaime\Neiva CPI\[DINA TERCIARIOS_CF_SEC_New_27-Mar-2024.xlsx]D-PS'!$CB$14</t>
  </si>
  <si>
    <t>='C:\Users\jaime.benazar\Quorum Business Solutions\Ecopetrol Prometeo - Documents\Planning Space Implementation\3. Analysis &amp; Design\Design\FC22\DRR Jaime\Neiva CPI\[DINA TERCIARIOS_CF_SEC_New_27-Mar-2024.xlsx]D-PS'!$CB$15</t>
  </si>
  <si>
    <t>='C:\Users\jaime.benazar\Quorum Business Solutions\Ecopetrol Prometeo - Documents\Planning Space Implementation\3. Analysis &amp; Design\Design\FC22\DRR Jaime\Neiva CPI\[DINA TERCIARIOS_CF_SEC_New_27-Mar-2024.xlsx]D-PS'!$CB$16</t>
  </si>
  <si>
    <t>='C:\Users\jaime.benazar\Quorum Business Solutions\Ecopetrol Prometeo - Documents\Planning Space Implementation\3. Analysis &amp; Design\Design\FC22\DRR Jaime\Neiva CPI\[DINA TERCIARIOS_CF_SEC_New_27-Mar-2024.xlsx]D-PS'!$CB$17</t>
  </si>
  <si>
    <t>='C:\Users\jaime.benazar\Quorum Business Solutions\Ecopetrol Prometeo - Documents\Planning Space Implementation\3. Analysis &amp; Design\Design\FC22\DRR Jaime\Neiva CPI\[DINA TERCIARIOS_CF_SEC_New_27-Mar-2024.xlsx]D-PS'!$CB$18</t>
  </si>
  <si>
    <t>='C:\Users\jaime.benazar\Quorum Business Solutions\Ecopetrol Prometeo - Documents\Planning Space Implementation\3. Analysis &amp; Design\Design\FC22\DRR Jaime\Neiva CPI\[DINA TERCIARIOS_CF_SEC_New_27-Mar-2024.xlsx]D-PS'!$CB$19</t>
  </si>
  <si>
    <t>='C:\Users\jaime.benazar\Quorum Business Solutions\Ecopetrol Prometeo - Documents\Planning Space Implementation\3. Analysis &amp; Design\Design\FC22\DRR Jaime\Neiva CPI\[DINA TERCIARIOS_CF_SEC_New_27-Mar-2024.xlsx]D-PS'!$CB$20</t>
  </si>
  <si>
    <t>='C:\Users\jaime.benazar\Quorum Business Solutions\Ecopetrol Prometeo - Documents\Planning Space Implementation\3. Analysis &amp; Design\Design\FC22\DRR Jaime\Neiva CPI\[DINA TERCIARIOS_CF_SEC_New_27-Mar-2024.xlsx]D-PS'!$CB$21</t>
  </si>
  <si>
    <t>='C:\Users\jaime.benazar\Quorum Business Solutions\Ecopetrol Prometeo - Documents\Planning Space Implementation\3. Analysis &amp; Design\Design\FC22\DRR Jaime\Neiva CPI\[DINA TERCIARIOS_CF_SEC_New_27-Mar-2024.xlsx]D-PS'!$CB$22</t>
  </si>
  <si>
    <t>='C:\Users\jaime.benazar\Quorum Business Solutions\Ecopetrol Prometeo - Documents\Planning Space Implementation\3. Analysis &amp; Design\Design\FC22\DRR Jaime\Neiva CPI\[DINA TERCIARIOS_CF_SEC_New_27-Mar-2024.xlsx]D-PS'!$CB$23</t>
  </si>
  <si>
    <t>='C:\Users\jaime.benazar\Quorum Business Solutions\Ecopetrol Prometeo - Documents\Planning Space Implementation\3. Analysis &amp; Design\Design\FC22\DRR Jaime\Neiva CPI\[DINA TERCIARIOS_CF_SEC_New_27-Mar-2024.xlsx]D-PS'!$CB$24</t>
  </si>
  <si>
    <t>='C:\Users\jaime.benazar\Quorum Business Solutions\Ecopetrol Prometeo - Documents\Planning Space Implementation\3. Analysis &amp; Design\Design\FC22\DRR Jaime\Neiva CPI\[DINA TERCIARIOS_CF_SEC_New_27-Mar-2024.xlsx]D-PS'!$CB$25</t>
  </si>
  <si>
    <t>='C:\Users\jaime.benazar\Quorum Business Solutions\Ecopetrol Prometeo - Documents\Planning Space Implementation\3. Analysis &amp; Design\Design\FC22\DRR Jaime\Neiva CPI\[DINA TERCIARIOS_CF_SEC_New_27-Mar-2024.xlsx]D-PS'!$CB$26</t>
  </si>
  <si>
    <t>='C:\Users\jaime.benazar\Quorum Business Solutions\Ecopetrol Prometeo - Documents\Planning Space Implementation\3. Analysis &amp; Design\Design\FC22\DRR Jaime\Neiva CPI\[DINA TERCIARIOS_CF_SEC_New_27-Mar-2024.xlsx]D-PS'!$CB$27</t>
  </si>
  <si>
    <t>='C:\Users\jaime.benazar\Quorum Business Solutions\Ecopetrol Prometeo - Documents\Planning Space Implementation\3. Analysis &amp; Design\Design\FC22\DRR Jaime\Neiva CPI\[DINA TERCIARIOS_CF_SEC_New_27-Mar-2024.xlsx]D-PS'!$CB$28</t>
  </si>
  <si>
    <t>='C:\Users\jaime.benazar\Quorum Business Solutions\Ecopetrol Prometeo - Documents\Planning Space Implementation\3. Analysis &amp; Design\Design\FC22\DRR Jaime\Neiva CPI\[DINA TERCIARIOS_CF_SEC_New_27-Mar-2024.xlsx]D-PS'!$CB$29</t>
  </si>
  <si>
    <t>='C:\Users\jaime.benazar\Quorum Business Solutions\Ecopetrol Prometeo - Documents\Planning Space Implementation\3. Analysis &amp; Design\Design\FC22\DRR Jaime\Neiva CPI\[DINA TERCIARIOS_CF_SEC_New_27-Mar-2024.xlsx]D-PS'!$CB$30</t>
  </si>
  <si>
    <t>='C:\Users\jaime.benazar\Quorum Business Solutions\Ecopetrol Prometeo - Documents\Planning Space Implementation\3. Analysis &amp; Design\Design\FC22\DRR Jaime\Neiva CPI\[DINA TERCIARIOS_CF_SEC_New_27-Mar-2024.xlsx]D-PS'!$CB$31</t>
  </si>
  <si>
    <t>='C:\Users\jaime.benazar\Quorum Business Solutions\Ecopetrol Prometeo - Documents\Planning Space Implementation\3. Analysis &amp; Design\Design\FC22\DRR Jaime\Neiva CPI\[DINA TERCIARIOS_CF_SEC_New_27-Mar-2024.xlsx]D-PS'!$CB$32</t>
  </si>
  <si>
    <t>='C:\Users\jaime.benazar\Quorum Business Solutions\Ecopetrol Prometeo - Documents\Planning Space Implementation\3. Analysis &amp; Design\Design\FC22\DRR Jaime\Neiva CPI\[DINA TERCIARIOS_CF_SEC_New_27-Mar-2024.xlsx]D-PS'!$CB$33</t>
  </si>
  <si>
    <t>='C:\Users\jaime.benazar\Quorum Business Solutions\Ecopetrol Prometeo - Documents\Planning Space Implementation\3. Analysis &amp; Design\Design\FC22\DRR Jaime\Neiva CPI\[DINA TERCIARIOS_CF_SEC_New_27-Mar-2024.xlsx]D-PS'!$CB$34</t>
  </si>
  <si>
    <t>='C:\Users\jaime.benazar\Quorum Business Solutions\Ecopetrol Prometeo - Documents\Planning Space Implementation\3. Analysis &amp; Design\Design\FC22\DRR Jaime\Neiva CPI\[DINA TERCIARIOS_CF_SEC_New_27-Mar-2024.xlsx]D-PS'!$CB$35</t>
  </si>
  <si>
    <t>='C:\Users\jaime.benazar\Quorum Business Solutions\Ecopetrol Prometeo - Documents\Planning Space Implementation\3. Analysis &amp; Design\Design\FC22\DRR Jaime\Neiva CPI\[DINA TERCIARIOS_CF_SEC_New_27-Mar-2024.xlsx]D-PS'!$CB$36</t>
  </si>
  <si>
    <t>='C:\Users\jaime.benazar\Quorum Business Solutions\Ecopetrol Prometeo - Documents\Planning Space Implementation\3. Analysis &amp; Design\Design\FC22\DRR Jaime\Neiva CPI\[DINA TERCIARIOS_CF_SEC_New_27-Mar-2024.xlsx]D-PS'!$CB$37</t>
  </si>
  <si>
    <t>='C:\Users\jaime.benazar\Quorum Business Solutions\Ecopetrol Prometeo - Documents\Planning Space Implementation\3. Analysis &amp; Design\Design\FC22\DRR Jaime\Neiva CPI\[DINA TERCIARIOS_CF_SEC_New_27-Mar-2024.xlsx]D-PS'!$CB$38</t>
  </si>
  <si>
    <t>='C:\Users\jaime.benazar\Quorum Business Solutions\Ecopetrol Prometeo - Documents\Planning Space Implementation\3. Analysis &amp; Design\Design\FC22\DRR Jaime\Neiva CPI\[DINA TERCIARIOS_CF_SEC_New_27-Mar-2024.xlsx]D-PS'!$CB$39</t>
  </si>
  <si>
    <t>='C:\Users\jaime.benazar\Quorum Business Solutions\Ecopetrol Prometeo - Documents\Planning Space Implementation\3. Analysis &amp; Design\Design\FC22\DRR Jaime\Neiva CPI\[DINA TERCIARIOS_CF_SEC_New_27-Mar-2024.xlsx]D-PS'!$CB$40</t>
  </si>
  <si>
    <t>='C:\Users\jaime.benazar\Quorum Business Solutions\Ecopetrol Prometeo - Documents\Planning Space Implementation\3. Analysis &amp; Design\Design\FC22\DRR Jaime\Neiva CPI\[DINA TERCIARIOS_CF_SEC_New_27-Mar-2024.xlsx]D-PS'!$CB$41</t>
  </si>
  <si>
    <t>='C:\Users\jaime.benazar\Quorum Business Solutions\Ecopetrol Prometeo - Documents\Planning Space Implementation\3. Analysis &amp; Design\Design\FC22\DRR Jaime\Neiva CPI\[DINA TERCIARIOS_CF_SEC_New_27-Mar-2024.xlsx]D-PS'!$CB$42</t>
  </si>
  <si>
    <t>='C:\Users\jaime.benazar\Quorum Business Solutions\Ecopetrol Prometeo - Documents\Planning Space Implementation\3. Analysis &amp; Design\Design\FC22\DRR Jaime\Neiva CPI\[DINA TERCIARIOS_CF_SEC_New_27-Mar-2024.xlsx]D-PS'!$CB$43</t>
  </si>
  <si>
    <t>='C:\Users\jaime.benazar\Quorum Business Solutions\Ecopetrol Prometeo - Documents\Planning Space Implementation\3. Analysis &amp; Design\Design\FC22\DRR Jaime\Neiva CPI\[DINA TERCIARIOS_CF_SEC_New_27-Mar-2024.xlsx]D-PS'!$CB$44</t>
  </si>
  <si>
    <t>='C:\Users\jaime.benazar\Quorum Business Solutions\Ecopetrol Prometeo - Documents\Planning Space Implementation\3. Analysis &amp; Design\Design\FC22\DRR Jaime\Neiva CPI\[DINA TERCIARIOS_CF_SEC_New_27-Mar-2024.xlsx]D-PS'!$CB$45</t>
  </si>
  <si>
    <t>='C:\Users\jaime.benazar\Quorum Business Solutions\Ecopetrol Prometeo - Documents\Planning Space Implementation\3. Analysis &amp; Design\Design\FC22\DRR Jaime\Neiva CPI\[DINA TERCIARIOS_CF_SEC_New_27-Mar-2024.xlsx]D-PS'!$CB$46</t>
  </si>
  <si>
    <t>='C:\Users\jaime.benazar\Quorum Business Solutions\Ecopetrol Prometeo - Documents\Planning Space Implementation\3. Analysis &amp; Design\Design\FC22\DRR Jaime\Neiva CPI\[DINA TERCIARIOS_CF_SEC_New_27-Mar-2024.xlsx]D-PS'!$CB$47</t>
  </si>
  <si>
    <t>='C:\Users\jaime.benazar\Quorum Business Solutions\Ecopetrol Prometeo - Documents\Planning Space Implementation\3. Analysis &amp; Design\Design\FC22\DRR Jaime\Neiva CPI\[DINA TERCIARIOS_CF_SEC_New_27-Mar-2024.xlsx]D-PS'!$CB$48</t>
  </si>
  <si>
    <t>='C:\Users\jaime.benazar\Quorum Business Solutions\Ecopetrol Prometeo - Documents\Planning Space Implementation\3. Analysis &amp; Design\Design\FC22\DRR Jaime\Neiva CPI\[DINA TERCIARIOS_CF_SEC_New_27-Mar-2024.xlsx]Consolidado'!$J$12</t>
  </si>
  <si>
    <t>='C:\Users\jaime.benazar\Quorum Business Solutions\Ecopetrol Prometeo - Documents\Planning Space Implementation\3. Analysis &amp; Design\Design\FC22\DRR Jaime\Neiva CPI\[DINA TERCIARIOS_CF_SEC_New_27-Mar-2024.xlsx]Consolidado'!$J$13</t>
  </si>
  <si>
    <t>='C:\Users\jaime.benazar\Quorum Business Solutions\Ecopetrol Prometeo - Documents\Planning Space Implementation\3. Analysis &amp; Design\Design\FC22\DRR Jaime\Neiva CPI\[DINA TERCIARIOS_CF_SEC_New_27-Mar-2024.xlsx]Consolidado'!$J$14</t>
  </si>
  <si>
    <t>='C:\Users\jaime.benazar\Quorum Business Solutions\Ecopetrol Prometeo - Documents\Planning Space Implementation\3. Analysis &amp; Design\Design\FC22\DRR Jaime\Neiva CPI\[DINA TERCIARIOS_CF_SEC_New_27-Mar-2024.xlsx]Consolidado'!$J$17</t>
  </si>
  <si>
    <t>='C:\Users\jaime.benazar\Quorum Business Solutions\Ecopetrol Prometeo - Documents\Planning Space Implementation\3. Analysis &amp; Design\Design\FC22\DRR Jaime\Neiva CPI\[DINA TERCIARIOS_CF_SEC_New_27-Mar-2024.xlsx]Consolidado'!$J$18</t>
  </si>
  <si>
    <t>='C:\Users\jaime.benazar\Quorum Business Solutions\Ecopetrol Prometeo - Documents\Planning Space Implementation\3. Analysis &amp; Design\Design\FC22\DRR Jaime\Neiva CPI\[DINA TERCIARIOS_CF_SEC_New_27-Mar-2024.xlsx]Consolidado'!$J$19</t>
  </si>
  <si>
    <t>='C:\Users\jaime.benazar\Quorum Business Solutions\Ecopetrol Prometeo - Documents\Planning Space Implementation\3. Analysis &amp; Design\Design\FC22\DRR Jaime\Neiva CPI\[DINA TERCIARIOS_CF_SEC_New_27-Mar-2024.xlsx]Consolidado'!$J$20</t>
  </si>
  <si>
    <t>='C:\Users\jaime.benazar\Quorum Business Solutions\Ecopetrol Prometeo - Documents\Planning Space Implementation\3. Analysis &amp; Design\Design\FC22\DRR Jaime\Neiva CPI\[DINA TERCIARIOS_CF_SEC_New_27-Mar-2024.xlsx]Consolidado'!$J$22</t>
  </si>
  <si>
    <t>='C:\Users\jaime.benazar\Quorum Business Solutions\Ecopetrol Prometeo - Documents\Planning Space Implementation\3. Analysis &amp; Design\Design\FC22\DRR Jaime\Neiva CPI\[DINA TERCIARIOS_CF_SEC_New_27-Mar-2024.xlsx]Consolidado'!$J$23</t>
  </si>
  <si>
    <t>='C:\Users\jaime.benazar\Quorum Business Solutions\Ecopetrol Prometeo - Documents\Planning Space Implementation\3. Analysis &amp; Design\Design\FC22\DRR Jaime\Neiva CPI\[DINA TERCIARIOS_CF_SEC_New_27-Mar-2024.xlsx]Consolidado'!$J$24</t>
  </si>
  <si>
    <t>='C:\Users\jaime.benazar\Quorum Business Solutions\Ecopetrol Prometeo - Documents\Planning Space Implementation\3. Analysis &amp; Design\Design\FC22\DRR Jaime\Neiva CPI\[DINA TERCIARIOS_CF_SEC_New_27-Mar-2024.xlsx]Consolidado'!$J$25</t>
  </si>
  <si>
    <t>='C:\Users\jaime.benazar\Quorum Business Solutions\Ecopetrol Prometeo - Documents\Planning Space Implementation\3. Analysis &amp; Design\Design\FC22\DRR Jaime\Neiva CPI\[DINA TERCIARIOS_CF_SEC_New_27-Mar-2024.xlsx]Consolidado'!$L$26</t>
  </si>
  <si>
    <t>='C:\Users\jaime.benazar\Quorum Business Solutions\Ecopetrol Prometeo - Documents\Planning Space Implementation\3. Analysis &amp; Design\Design\FC22\DRR Jaime\Neiva CPI\[DINA TERCIARIOS_CF_SEC_New_27-Mar-2024.xlsx]Consolidado'!$L$27</t>
  </si>
  <si>
    <t>='C:\Users\jaime.benazar\Quorum Business Solutions\Ecopetrol Prometeo - Documents\Planning Space Implementation\3. Analysis &amp; Design\Design\FC22\DRR Jaime\Neiva CPI\[DINA TERCIARIOS_CF_SEC_New_27-Mar-2024.xlsx]Consolidado'!$L$14</t>
  </si>
  <si>
    <t>='C:\Users\jaime.benazar\Quorum Business Solutions\Ecopetrol Prometeo - Documents\Planning Space Implementation\3. Analysis &amp; Design\Design\FC22\DRR Jaime\Neiva CPI\[DINA TERCIARIOS_CF_SEC_New_27-Mar-2024.xlsx]Consolidado'!$L$17</t>
  </si>
  <si>
    <t>='C:\Users\jaime.benazar\Quorum Business Solutions\Ecopetrol Prometeo - Documents\Planning Space Implementation\3. Analysis &amp; Design\Design\FC22\DRR Jaime\Neiva CPI\[DINA TERCIARIOS_CF_SEC_New_27-Mar-2024.xlsx]Consolidado'!$L$18</t>
  </si>
  <si>
    <t>='C:\Users\jaime.benazar\Quorum Business Solutions\Ecopetrol Prometeo - Documents\Planning Space Implementation\3. Analysis &amp; Design\Design\FC22\DRR Jaime\Neiva CPI\[DINA TERCIARIOS_CF_SEC_New_27-Mar-2024.xlsx]Consolidado'!$L$19</t>
  </si>
  <si>
    <t>='C:\Users\jaime.benazar\Quorum Business Solutions\Ecopetrol Prometeo - Documents\Planning Space Implementation\3. Analysis &amp; Design\Design\FC22\DRR Jaime\Neiva CPI\[DINA TERCIARIOS_CF_SEC_New_27-Mar-2024.xlsx]Consolidado'!$L$20</t>
  </si>
  <si>
    <t>='C:\Users\jaime.benazar\Quorum Business Solutions\Ecopetrol Prometeo - Documents\Planning Space Implementation\3. Analysis &amp; Design\Design\FC22\DRR Jaime\Neiva CPI\[DINA TERCIARIOS_CF_SEC_New_27-Mar-2024.xlsx]Consolidado'!$L$22</t>
  </si>
  <si>
    <t>='C:\Users\jaime.benazar\Quorum Business Solutions\Ecopetrol Prometeo - Documents\Planning Space Implementation\3. Analysis &amp; Design\Design\FC22\DRR Jaime\Neiva CPI\[DINA TERCIARIOS_CF_SEC_New_27-Mar-2024.xlsx]Consolidado'!$L$23</t>
  </si>
  <si>
    <t>='C:\Users\jaime.benazar\Quorum Business Solutions\Ecopetrol Prometeo - Documents\Planning Space Implementation\3. Analysis &amp; Design\Design\FC22\DRR Jaime\Neiva CPI\[DINA TERCIARIOS_CF_SEC_New_27-Mar-2024.xlsx]Consolidado'!$L$24</t>
  </si>
  <si>
    <t>='C:\Users\jaime.benazar\Quorum Business Solutions\Ecopetrol Prometeo - Documents\Planning Space Implementation\3. Analysis &amp; Design\Design\FC22\DRR Jaime\Neiva CPI\[DINA TERCIARIOS_CF_SEC_New_27-Mar-2024.xlsx]Consolidado'!$L$25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</si>
</sst>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 #,##0_);_(* \(#,##0\);_(* &quot;-&quot;??_);_(@_)"/>
    <numFmt numFmtId="165" formatCode="0.0%"/>
    <numFmt numFmtId="166" formatCode="0.000"/>
    <numFmt numFmtId="167" formatCode="0.0000"/>
    <numFmt numFmtId="168" formatCode="_(* #,##0.0000_);_(* \(#,##0.0000\);_(* &quot;-&quot;??_);_(@_)"/>
    <numFmt numFmtId="169" formatCode="0.000%"/>
    <numFmt numFmtId="170" formatCode="_(* #,##0.00000_);_(* \(#,##0.00000\);_(* &quot;-&quot;??_);_(@_)"/>
  </numFmts>
  <fonts count="14"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
      <sz val="11"/>
      <color rgb="FF000000"/>
      <name val="Calibri"/>
      <family val="2"/>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cellStyleXfs>
  <cellXfs count="165">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0" fillId="0" borderId="2" xfId="5" applyNumberFormat="1" applyFont="1" applyFill="1" applyBorder="1" applyAlignment="1"/>
    <xf numFmtId="0" fontId="11" fillId="0" borderId="11" xfId="0" applyFont="1" applyBorder="1"/>
    <xf numFmtId="0" fontId="11" fillId="0" borderId="12" xfId="0" applyFont="1" applyBorder="1"/>
    <xf numFmtId="164" fontId="12" fillId="0" borderId="5" xfId="3" applyNumberFormat="1" applyFont="1" applyFill="1" applyBorder="1" applyAlignment="1"/>
    <xf numFmtId="164" fontId="12" fillId="0" borderId="0" xfId="3" applyNumberFormat="1" applyFont="1" applyFill="1" applyBorder="1" applyAlignment="1"/>
    <xf numFmtId="164" fontId="12" fillId="0" borderId="4" xfId="3" applyNumberFormat="1" applyFont="1" applyFill="1" applyBorder="1" applyAlignment="1"/>
    <xf numFmtId="164" fontId="12" fillId="0" borderId="5" xfId="3" applyNumberFormat="1" applyFont="1" applyFill="1" applyBorder="1"/>
    <xf numFmtId="164" fontId="12" fillId="0" borderId="0" xfId="3" applyNumberFormat="1" applyFont="1" applyFill="1" applyBorder="1"/>
    <xf numFmtId="164" fontId="12" fillId="0" borderId="1" xfId="3" applyNumberFormat="1" applyFont="1" applyFill="1" applyBorder="1"/>
    <xf numFmtId="165" fontId="12" fillId="0" borderId="9" xfId="5" applyNumberFormat="1" applyFont="1" applyFill="1" applyBorder="1" applyAlignment="1"/>
    <xf numFmtId="165" fontId="12" fillId="0" borderId="3" xfId="5" applyNumberFormat="1" applyFont="1" applyFill="1" applyBorder="1" applyAlignment="1"/>
    <xf numFmtId="165" fontId="12" fillId="0" borderId="2" xfId="5" applyNumberFormat="1" applyFont="1" applyFill="1" applyBorder="1" applyAlignment="1"/>
    <xf numFmtId="0" fontId="11" fillId="0" borderId="10" xfId="0" applyFont="1" applyBorder="1"/>
    <xf numFmtId="0" fontId="7" fillId="0" borderId="15" xfId="0" applyFont="1" applyBorder="1" applyAlignment="1">
      <alignment horizontal="center" vertical="center"/>
    </xf>
    <xf numFmtId="164" fontId="6" fillId="0" borderId="0" xfId="0" applyNumberFormat="1" applyFont="1"/>
    <xf numFmtId="43" fontId="6" fillId="0" borderId="0" xfId="3" applyFont="1" applyFill="1" applyBorder="1" applyAlignment="1"/>
    <xf numFmtId="4" fontId="6" fillId="0" borderId="0" xfId="0" applyNumberFormat="1" applyFont="1"/>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center"/>
    </xf>
    <xf numFmtId="0" fontId="12" fillId="0" borderId="1"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5" fontId="6" fillId="0" borderId="9" xfId="2" applyNumberFormat="1" applyFont="1" applyFill="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0" fontId="12" fillId="0" borderId="9" xfId="0" applyFont="1" applyBorder="1" applyAlignment="1">
      <alignment horizontal="center"/>
    </xf>
    <xf numFmtId="0" fontId="12" fillId="0" borderId="3" xfId="0" applyFont="1" applyBorder="1" applyAlignment="1">
      <alignment horizontal="center"/>
    </xf>
    <xf numFmtId="0" fontId="12" fillId="0" borderId="2" xfId="0" applyFont="1" applyBorder="1" applyAlignment="1">
      <alignment horizont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170" fontId="6" fillId="0" borderId="8" xfId="3" applyNumberFormat="1" applyFont="1" applyFill="1" applyBorder="1" applyAlignment="1">
      <alignment horizontal="center" vertical="center"/>
    </xf>
    <xf numFmtId="170" fontId="6" fillId="0" borderId="6" xfId="3" applyNumberFormat="1" applyFont="1" applyFill="1" applyBorder="1" applyAlignment="1">
      <alignment horizontal="center" vertical="center"/>
    </xf>
    <xf numFmtId="170" fontId="6" fillId="0" borderId="7" xfId="3" applyNumberFormat="1" applyFont="1" applyFill="1" applyBorder="1" applyAlignment="1">
      <alignment horizontal="center" vertical="center"/>
    </xf>
    <xf numFmtId="168" fontId="6" fillId="0" borderId="8" xfId="3" applyNumberFormat="1" applyFont="1" applyFill="1" applyBorder="1" applyAlignment="1">
      <alignment horizontal="center" vertical="center"/>
    </xf>
    <xf numFmtId="168" fontId="6" fillId="0" borderId="6" xfId="3" applyNumberFormat="1" applyFont="1" applyFill="1" applyBorder="1" applyAlignment="1">
      <alignment horizontal="center" vertical="center"/>
    </xf>
    <xf numFmtId="168" fontId="6" fillId="0" borderId="7" xfId="3" applyNumberFormat="1" applyFont="1" applyFill="1" applyBorder="1" applyAlignment="1">
      <alignment horizontal="center" vertical="center"/>
    </xf>
    <xf numFmtId="169" fontId="6" fillId="0" borderId="3" xfId="4" applyNumberFormat="1" applyFont="1" applyFill="1" applyBorder="1" applyAlignment="1">
      <alignment horizontal="center"/>
    </xf>
    <xf numFmtId="169" fontId="6" fillId="0" borderId="2" xfId="4" applyNumberFormat="1" applyFont="1" applyFill="1" applyBorder="1" applyAlignment="1">
      <alignment horizont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168" fontId="6" fillId="0" borderId="5" xfId="3" applyNumberFormat="1" applyFont="1" applyBorder="1" applyAlignment="1">
      <alignment horizontal="center"/>
    </xf>
    <xf numFmtId="168" fontId="6" fillId="0" borderId="0" xfId="3" applyNumberFormat="1" applyFont="1" applyBorder="1" applyAlignment="1">
      <alignment horizontal="center"/>
    </xf>
    <xf numFmtId="168" fontId="6" fillId="0" borderId="1" xfId="3" applyNumberFormat="1" applyFont="1" applyBorder="1" applyAlignment="1">
      <alignment horizontal="center"/>
    </xf>
    <xf numFmtId="169" fontId="6" fillId="0" borderId="9" xfId="4" applyNumberFormat="1" applyFont="1" applyBorder="1" applyAlignment="1">
      <alignment horizontal="center"/>
    </xf>
    <xf numFmtId="169" fontId="6" fillId="0" borderId="3" xfId="4" applyNumberFormat="1" applyFont="1" applyBorder="1" applyAlignment="1">
      <alignment horizontal="center"/>
    </xf>
    <xf numFmtId="169" fontId="6" fillId="0" borderId="2" xfId="4" applyNumberFormat="1" applyFont="1" applyBorder="1" applyAlignment="1">
      <alignment horizontal="center"/>
    </xf>
    <xf numFmtId="164" fontId="12" fillId="0" borderId="8" xfId="3" applyNumberFormat="1" applyFont="1" applyFill="1" applyBorder="1" applyAlignment="1">
      <alignment horizontal="center" vertical="center"/>
    </xf>
    <xf numFmtId="164" fontId="12" fillId="0" borderId="6" xfId="3" applyNumberFormat="1" applyFont="1" applyFill="1" applyBorder="1" applyAlignment="1">
      <alignment horizontal="center" vertical="center"/>
    </xf>
    <xf numFmtId="164" fontId="12" fillId="0" borderId="7" xfId="3" applyNumberFormat="1" applyFont="1" applyFill="1" applyBorder="1" applyAlignment="1">
      <alignment horizontal="center" vertical="center"/>
    </xf>
    <xf numFmtId="166" fontId="12" fillId="0" borderId="8" xfId="0" applyNumberFormat="1" applyFont="1" applyBorder="1" applyAlignment="1">
      <alignment horizontal="center"/>
    </xf>
    <xf numFmtId="166" fontId="12" fillId="0" borderId="6" xfId="0" applyNumberFormat="1" applyFont="1" applyBorder="1" applyAlignment="1">
      <alignment horizontal="center"/>
    </xf>
    <xf numFmtId="166" fontId="12" fillId="0" borderId="7" xfId="0" applyNumberFormat="1" applyFont="1" applyBorder="1" applyAlignment="1">
      <alignment horizontal="center"/>
    </xf>
    <xf numFmtId="170" fontId="6" fillId="0" borderId="5" xfId="3" applyNumberFormat="1" applyFont="1" applyBorder="1" applyAlignment="1">
      <alignment horizontal="center"/>
    </xf>
    <xf numFmtId="170" fontId="6" fillId="0" borderId="0" xfId="3" applyNumberFormat="1" applyFont="1" applyBorder="1" applyAlignment="1">
      <alignment horizontal="center"/>
    </xf>
    <xf numFmtId="170" fontId="6" fillId="0" borderId="1" xfId="3" applyNumberFormat="1" applyFont="1" applyBorder="1" applyAlignment="1">
      <alignment horizontal="center"/>
    </xf>
    <xf numFmtId="167" fontId="6" fillId="0" borderId="5" xfId="0" applyNumberFormat="1" applyFont="1" applyBorder="1" applyAlignment="1">
      <alignment horizontal="center"/>
    </xf>
    <xf numFmtId="167" fontId="6" fillId="0" borderId="0" xfId="0" applyNumberFormat="1" applyFont="1" applyAlignment="1">
      <alignment horizontal="center"/>
    </xf>
    <xf numFmtId="167" fontId="6" fillId="0" borderId="1" xfId="0" applyNumberFormat="1" applyFont="1" applyBorder="1" applyAlignment="1">
      <alignment horizont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8"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5" xfId="0" applyFont="1" applyBorder="1" applyAlignment="1">
      <alignment horizontal="center" vertical="center"/>
    </xf>
    <xf numFmtId="0" fontId="11" fillId="0" borderId="0" xfId="0" applyFont="1" applyAlignment="1">
      <alignment horizontal="center" vertical="center"/>
    </xf>
    <xf numFmtId="0" fontId="11" fillId="0" borderId="1"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7" fontId="6" fillId="0" borderId="8" xfId="0" applyNumberFormat="1" applyFont="1" applyBorder="1" applyAlignment="1">
      <alignment horizontal="center"/>
    </xf>
    <xf numFmtId="167" fontId="6" fillId="0" borderId="6" xfId="0" applyNumberFormat="1" applyFont="1" applyBorder="1" applyAlignment="1">
      <alignment horizontal="center"/>
    </xf>
    <xf numFmtId="167" fontId="6" fillId="0" borderId="7" xfId="0" applyNumberFormat="1" applyFont="1" applyBorder="1" applyAlignment="1">
      <alignment horizont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6" fillId="0" borderId="8"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cellXfs>
  <cellStyles count="6">
    <cellStyle name="Comma" xfId="3" builtinId="3"/>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39">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20</xdr:row>
          <xdr:rowOff>22860</xdr:rowOff>
        </xdr:from>
        <xdr:to>
          <xdr:col>4</xdr:col>
          <xdr:colOff>746760</xdr:colOff>
          <xdr:row>21</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312420</xdr:colOff>
          <xdr:row>16</xdr:row>
          <xdr:rowOff>22860</xdr:rowOff>
        </xdr:from>
        <xdr:to>
          <xdr:col>4</xdr:col>
          <xdr:colOff>754380</xdr:colOff>
          <xdr:row>17</xdr:row>
          <xdr:rowOff>274320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754380</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ime.benazar\Quorum%20Business%20Solutions\Ecopetrol%20Prometeo%20-%20Documents\Planning%20Space%20Implementation\3.%20Analysis%20&amp;%20Design\Design\FC22\DRR%20Jaime\Neiva%20CPI\DINA%20TERCIARIOS_CF_SEC_New_27-Mar-202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aime.benazar\Quorum%20Business%20Solutions\Ecopetrol%20Prometeo%20-%20Documents\Planning%20Space%20Implementation\3.%20Analysis%20&amp;%20Design\Design\FC22\DRR%20Jaime\Neiva%20CPI\VAO_DINA%20TERCIARIOS_CF_SEC_20230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64155.68359375</v>
          </cell>
          <cell r="BE12">
            <v>491876.5625</v>
          </cell>
          <cell r="BW12">
            <v>49485216</v>
          </cell>
          <cell r="BX12">
            <v>7605259.5</v>
          </cell>
          <cell r="BZ12">
            <v>4613006.5</v>
          </cell>
          <cell r="CA12">
            <v>0</v>
          </cell>
          <cell r="CB12">
            <v>5273457.5</v>
          </cell>
          <cell r="DC12">
            <v>255403.234375</v>
          </cell>
          <cell r="DT12">
            <v>0</v>
          </cell>
          <cell r="EA12">
            <v>41879956</v>
          </cell>
        </row>
        <row r="13">
          <cell r="BB13">
            <v>49438.31640625</v>
          </cell>
          <cell r="BE13">
            <v>568540.625</v>
          </cell>
          <cell r="BW13">
            <v>57004772</v>
          </cell>
          <cell r="BX13">
            <v>9512696</v>
          </cell>
          <cell r="BZ13">
            <v>4518872.5</v>
          </cell>
          <cell r="CA13">
            <v>0</v>
          </cell>
          <cell r="CB13">
            <v>4994252.5</v>
          </cell>
          <cell r="DC13">
            <v>0</v>
          </cell>
          <cell r="DT13">
            <v>0</v>
          </cell>
          <cell r="EA13">
            <v>47492080</v>
          </cell>
        </row>
        <row r="14">
          <cell r="BB14">
            <v>40458.3515625</v>
          </cell>
          <cell r="BE14">
            <v>465271.0625</v>
          </cell>
          <cell r="BW14">
            <v>46584996</v>
          </cell>
          <cell r="BX14">
            <v>8481033</v>
          </cell>
          <cell r="BZ14">
            <v>4045354.75</v>
          </cell>
          <cell r="CA14">
            <v>0</v>
          </cell>
          <cell r="CB14">
            <v>4435678</v>
          </cell>
          <cell r="DC14">
            <v>0</v>
          </cell>
          <cell r="DT14">
            <v>0</v>
          </cell>
          <cell r="EA14">
            <v>38103960</v>
          </cell>
        </row>
        <row r="15">
          <cell r="BB15">
            <v>35096.90625</v>
          </cell>
          <cell r="BE15">
            <v>403614.40625</v>
          </cell>
          <cell r="BW15">
            <v>40336240</v>
          </cell>
          <cell r="BX15">
            <v>7232257</v>
          </cell>
          <cell r="BZ15">
            <v>2949274</v>
          </cell>
          <cell r="CA15">
            <v>0</v>
          </cell>
          <cell r="CB15">
            <v>4282983.5</v>
          </cell>
          <cell r="DC15">
            <v>0</v>
          </cell>
          <cell r="DT15">
            <v>0</v>
          </cell>
          <cell r="EA15">
            <v>33103980</v>
          </cell>
        </row>
        <row r="16">
          <cell r="BB16">
            <v>31058.681640625</v>
          </cell>
          <cell r="BE16">
            <v>357174.84375</v>
          </cell>
          <cell r="BW16">
            <v>35622648</v>
          </cell>
          <cell r="BX16">
            <v>6066113</v>
          </cell>
          <cell r="BZ16">
            <v>1857736.375</v>
          </cell>
          <cell r="CA16">
            <v>0</v>
          </cell>
          <cell r="CB16">
            <v>4208377</v>
          </cell>
          <cell r="DC16">
            <v>0</v>
          </cell>
          <cell r="DT16">
            <v>0</v>
          </cell>
          <cell r="EA16">
            <v>29556536</v>
          </cell>
        </row>
        <row r="17">
          <cell r="BB17">
            <v>27698.416015625</v>
          </cell>
          <cell r="BE17">
            <v>318531.78125</v>
          </cell>
          <cell r="BW17">
            <v>31719740</v>
          </cell>
          <cell r="BX17">
            <v>5700144.5</v>
          </cell>
          <cell r="BZ17">
            <v>1532981.125</v>
          </cell>
          <cell r="CA17">
            <v>0</v>
          </cell>
          <cell r="CB17">
            <v>4167163.5</v>
          </cell>
          <cell r="DC17">
            <v>0</v>
          </cell>
          <cell r="DT17">
            <v>0</v>
          </cell>
          <cell r="EA17">
            <v>26019596</v>
          </cell>
        </row>
        <row r="18">
          <cell r="BB18">
            <v>24666.76953125</v>
          </cell>
          <cell r="BE18">
            <v>283667.84375</v>
          </cell>
          <cell r="BW18">
            <v>28226466</v>
          </cell>
          <cell r="BX18">
            <v>5705983.5</v>
          </cell>
          <cell r="BZ18">
            <v>1689755.5</v>
          </cell>
          <cell r="CA18">
            <v>0</v>
          </cell>
          <cell r="CB18">
            <v>4016228</v>
          </cell>
          <cell r="DC18">
            <v>0</v>
          </cell>
          <cell r="DT18">
            <v>0</v>
          </cell>
          <cell r="EA18">
            <v>22520484</v>
          </cell>
        </row>
        <row r="19">
          <cell r="BB19">
            <v>22105.51171875</v>
          </cell>
          <cell r="BE19">
            <v>254213.40625</v>
          </cell>
          <cell r="BW19">
            <v>25274926</v>
          </cell>
          <cell r="BX19">
            <v>5822910.5</v>
          </cell>
          <cell r="BZ19">
            <v>1937448.75</v>
          </cell>
          <cell r="CA19">
            <v>0</v>
          </cell>
          <cell r="CB19">
            <v>3885462</v>
          </cell>
          <cell r="DC19">
            <v>0</v>
          </cell>
          <cell r="DT19">
            <v>0</v>
          </cell>
          <cell r="EA19">
            <v>19452016</v>
          </cell>
        </row>
        <row r="20">
          <cell r="BB20">
            <v>19890.779296875</v>
          </cell>
          <cell r="BE20">
            <v>228743.96875</v>
          </cell>
          <cell r="BW20">
            <v>22720846</v>
          </cell>
          <cell r="BX20">
            <v>6013490.5</v>
          </cell>
          <cell r="BZ20">
            <v>2173294.25</v>
          </cell>
          <cell r="CA20">
            <v>0</v>
          </cell>
          <cell r="CB20">
            <v>3840196.5</v>
          </cell>
          <cell r="DC20">
            <v>0</v>
          </cell>
          <cell r="DT20">
            <v>0</v>
          </cell>
          <cell r="EA20">
            <v>16707355</v>
          </cell>
        </row>
        <row r="21">
          <cell r="BB21">
            <v>17976.357421875</v>
          </cell>
          <cell r="BE21">
            <v>206728.109375</v>
          </cell>
          <cell r="BW21">
            <v>20511642</v>
          </cell>
          <cell r="BX21">
            <v>6174083.5</v>
          </cell>
          <cell r="BZ21">
            <v>2413732.5</v>
          </cell>
          <cell r="CA21">
            <v>0</v>
          </cell>
          <cell r="CB21">
            <v>3760351.25</v>
          </cell>
          <cell r="DC21">
            <v>0</v>
          </cell>
          <cell r="DT21">
            <v>0</v>
          </cell>
          <cell r="EA21">
            <v>14337559</v>
          </cell>
        </row>
        <row r="22">
          <cell r="BB22">
            <v>16197.490234375</v>
          </cell>
          <cell r="BE22">
            <v>186271.140625</v>
          </cell>
          <cell r="BW22">
            <v>18454206</v>
          </cell>
          <cell r="BX22">
            <v>6251834.5</v>
          </cell>
          <cell r="BZ22">
            <v>2657961.5</v>
          </cell>
          <cell r="CA22">
            <v>0</v>
          </cell>
          <cell r="CB22">
            <v>3593873</v>
          </cell>
          <cell r="DC22">
            <v>0</v>
          </cell>
          <cell r="DT22">
            <v>0</v>
          </cell>
          <cell r="EA22">
            <v>12202371</v>
          </cell>
        </row>
        <row r="23">
          <cell r="BB23">
            <v>14638.9365234375</v>
          </cell>
          <cell r="BE23">
            <v>168347.78125</v>
          </cell>
          <cell r="BW23">
            <v>16639338</v>
          </cell>
          <cell r="BX23">
            <v>6218289.5</v>
          </cell>
          <cell r="BZ23">
            <v>2915874.75</v>
          </cell>
          <cell r="CA23">
            <v>0</v>
          </cell>
          <cell r="CB23">
            <v>3302414.75</v>
          </cell>
          <cell r="DC23">
            <v>0</v>
          </cell>
          <cell r="DT23">
            <v>0</v>
          </cell>
          <cell r="EA23">
            <v>10421049</v>
          </cell>
        </row>
        <row r="24">
          <cell r="BB24">
            <v>13266.3994140625</v>
          </cell>
          <cell r="BE24">
            <v>152563.59375</v>
          </cell>
          <cell r="BW24">
            <v>15065947</v>
          </cell>
          <cell r="BX24">
            <v>6258113</v>
          </cell>
          <cell r="BZ24">
            <v>3175350</v>
          </cell>
          <cell r="CA24">
            <v>0</v>
          </cell>
          <cell r="CB24">
            <v>3082762.75</v>
          </cell>
          <cell r="DC24">
            <v>0</v>
          </cell>
          <cell r="DT24">
            <v>0</v>
          </cell>
          <cell r="EA24">
            <v>8807834</v>
          </cell>
        </row>
        <row r="25">
          <cell r="BB25">
            <v>12113.9052734375</v>
          </cell>
          <cell r="BE25">
            <v>139309.90625</v>
          </cell>
          <cell r="BW25">
            <v>13755325</v>
          </cell>
          <cell r="BX25">
            <v>6400391</v>
          </cell>
          <cell r="BZ25">
            <v>3440452.75</v>
          </cell>
          <cell r="CA25">
            <v>0</v>
          </cell>
          <cell r="CB25">
            <v>2959938.25</v>
          </cell>
          <cell r="DC25">
            <v>0</v>
          </cell>
          <cell r="DT25">
            <v>0</v>
          </cell>
          <cell r="EA25">
            <v>7354934.5</v>
          </cell>
        </row>
        <row r="26">
          <cell r="BB26">
            <v>11016.208984375</v>
          </cell>
          <cell r="BE26">
            <v>126686.3984375</v>
          </cell>
          <cell r="BW26">
            <v>12508893</v>
          </cell>
          <cell r="BX26">
            <v>6561783</v>
          </cell>
          <cell r="BZ26">
            <v>3704296.5</v>
          </cell>
          <cell r="CA26">
            <v>0</v>
          </cell>
          <cell r="CB26">
            <v>2857486.75</v>
          </cell>
          <cell r="DC26">
            <v>0</v>
          </cell>
          <cell r="DT26">
            <v>0</v>
          </cell>
          <cell r="EA26">
            <v>5947109.5</v>
          </cell>
        </row>
        <row r="27">
          <cell r="BB27">
            <v>10048.1630859375</v>
          </cell>
          <cell r="BE27">
            <v>115553.875</v>
          </cell>
          <cell r="BW27">
            <v>11409678</v>
          </cell>
          <cell r="BX27">
            <v>6700358</v>
          </cell>
          <cell r="BZ27">
            <v>3977686.25</v>
          </cell>
          <cell r="CA27">
            <v>0</v>
          </cell>
          <cell r="CB27">
            <v>2722671.75</v>
          </cell>
          <cell r="DC27">
            <v>0</v>
          </cell>
          <cell r="DT27">
            <v>0</v>
          </cell>
          <cell r="EA27">
            <v>4709320</v>
          </cell>
        </row>
        <row r="28">
          <cell r="BB28">
            <v>9225.1181640625</v>
          </cell>
          <cell r="BE28">
            <v>106088.859375</v>
          </cell>
          <cell r="BW28">
            <v>10475112</v>
          </cell>
          <cell r="BX28">
            <v>6971373</v>
          </cell>
          <cell r="BZ28">
            <v>4266501.5</v>
          </cell>
          <cell r="CA28">
            <v>0</v>
          </cell>
          <cell r="CB28">
            <v>2704871.5</v>
          </cell>
          <cell r="DC28">
            <v>0</v>
          </cell>
          <cell r="DT28">
            <v>0</v>
          </cell>
          <cell r="EA28">
            <v>3503739</v>
          </cell>
        </row>
        <row r="29">
          <cell r="BB29">
            <v>8445.189453125</v>
          </cell>
          <cell r="BE29">
            <v>97119.6796875</v>
          </cell>
          <cell r="BW29">
            <v>9589503</v>
          </cell>
          <cell r="BX29">
            <v>7158114.5</v>
          </cell>
          <cell r="BZ29">
            <v>4579057.5</v>
          </cell>
          <cell r="CA29">
            <v>0</v>
          </cell>
          <cell r="CB29">
            <v>2579057.25</v>
          </cell>
          <cell r="DC29">
            <v>0</v>
          </cell>
          <cell r="DT29">
            <v>0</v>
          </cell>
          <cell r="EA29">
            <v>2431388.5</v>
          </cell>
        </row>
        <row r="30">
          <cell r="BB30">
            <v>7712.28466796875</v>
          </cell>
          <cell r="BE30">
            <v>88691.265625</v>
          </cell>
          <cell r="BW30">
            <v>8757290</v>
          </cell>
          <cell r="BX30">
            <v>7113001</v>
          </cell>
          <cell r="BZ30">
            <v>4676835</v>
          </cell>
          <cell r="CA30">
            <v>0</v>
          </cell>
          <cell r="CB30">
            <v>2436166.25</v>
          </cell>
          <cell r="DC30">
            <v>0</v>
          </cell>
          <cell r="DT30">
            <v>0</v>
          </cell>
          <cell r="EA30">
            <v>1644288.875</v>
          </cell>
        </row>
        <row r="31">
          <cell r="BB31">
            <v>7077.822265625</v>
          </cell>
          <cell r="BE31">
            <v>81394.9609375</v>
          </cell>
          <cell r="BW31">
            <v>8036859</v>
          </cell>
          <cell r="BX31">
            <v>6995172.5</v>
          </cell>
          <cell r="BZ31">
            <v>4664876</v>
          </cell>
          <cell r="CA31">
            <v>0</v>
          </cell>
          <cell r="CB31">
            <v>2330296.25</v>
          </cell>
          <cell r="DC31">
            <v>0</v>
          </cell>
          <cell r="DT31">
            <v>0</v>
          </cell>
          <cell r="EA31">
            <v>1041686.5</v>
          </cell>
        </row>
        <row r="32">
          <cell r="BB32">
            <v>6534.13525390625</v>
          </cell>
          <cell r="BE32">
            <v>75142.5546875</v>
          </cell>
          <cell r="BW32">
            <v>7419503.5</v>
          </cell>
          <cell r="BX32">
            <v>6953790.5</v>
          </cell>
          <cell r="BZ32">
            <v>4656875</v>
          </cell>
          <cell r="CA32">
            <v>0</v>
          </cell>
          <cell r="CB32">
            <v>2296916</v>
          </cell>
          <cell r="DC32">
            <v>0</v>
          </cell>
          <cell r="DT32">
            <v>0</v>
          </cell>
          <cell r="EA32">
            <v>465712.65625</v>
          </cell>
        </row>
        <row r="33">
          <cell r="BB33">
            <v>2048.734619140625</v>
          </cell>
          <cell r="BE33">
            <v>23560.447265625</v>
          </cell>
          <cell r="BW33">
            <v>2326336</v>
          </cell>
          <cell r="BX33">
            <v>2282071.5</v>
          </cell>
          <cell r="BZ33">
            <v>1542846.125</v>
          </cell>
          <cell r="CA33">
            <v>0</v>
          </cell>
          <cell r="CB33">
            <v>739225.4375</v>
          </cell>
          <cell r="DC33">
            <v>0</v>
          </cell>
          <cell r="DT33">
            <v>0</v>
          </cell>
          <cell r="EA33">
            <v>44264.40625</v>
          </cell>
        </row>
        <row r="34">
          <cell r="BB34">
            <v>0</v>
          </cell>
          <cell r="BE34">
            <v>0</v>
          </cell>
          <cell r="BW34">
            <v>0</v>
          </cell>
          <cell r="BX34">
            <v>0</v>
          </cell>
          <cell r="BZ34">
            <v>0</v>
          </cell>
          <cell r="CA34">
            <v>0</v>
          </cell>
          <cell r="CB34">
            <v>0</v>
          </cell>
          <cell r="DC34">
            <v>0</v>
          </cell>
          <cell r="DT34">
            <v>29744978</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4386.45849609375</v>
          </cell>
          <cell r="BE12">
            <v>50444.2734375</v>
          </cell>
          <cell r="BW12">
            <v>5108714.5</v>
          </cell>
          <cell r="BX12">
            <v>768889.4375</v>
          </cell>
          <cell r="BZ12">
            <v>428542.59375</v>
          </cell>
          <cell r="CA12">
            <v>0</v>
          </cell>
          <cell r="CB12">
            <v>519732.46875</v>
          </cell>
          <cell r="DC12">
            <v>0</v>
          </cell>
          <cell r="DT12">
            <v>0</v>
          </cell>
          <cell r="EA12">
            <v>4339824.5</v>
          </cell>
        </row>
        <row r="13">
          <cell r="BB13">
            <v>5641.333984375</v>
          </cell>
          <cell r="BE13">
            <v>64875.3359375</v>
          </cell>
          <cell r="BW13">
            <v>6541091.5</v>
          </cell>
          <cell r="BX13">
            <v>1045516.5</v>
          </cell>
          <cell r="BZ13">
            <v>523156.25</v>
          </cell>
          <cell r="CA13">
            <v>0</v>
          </cell>
          <cell r="CB13">
            <v>522411</v>
          </cell>
          <cell r="DC13">
            <v>0</v>
          </cell>
          <cell r="DT13">
            <v>0</v>
          </cell>
          <cell r="EA13">
            <v>5495574.5</v>
          </cell>
        </row>
        <row r="14">
          <cell r="BB14">
            <v>4215.13720703125</v>
          </cell>
          <cell r="BE14">
            <v>48474.078125</v>
          </cell>
          <cell r="BW14">
            <v>4884149</v>
          </cell>
          <cell r="BX14">
            <v>895884.8125</v>
          </cell>
          <cell r="BZ14">
            <v>423313.71875</v>
          </cell>
          <cell r="CA14">
            <v>0</v>
          </cell>
          <cell r="CB14">
            <v>472571.09375</v>
          </cell>
          <cell r="DC14">
            <v>0</v>
          </cell>
          <cell r="DT14">
            <v>0</v>
          </cell>
          <cell r="EA14">
            <v>3988264</v>
          </cell>
        </row>
        <row r="15">
          <cell r="BB15">
            <v>3568.606201171875</v>
          </cell>
          <cell r="BE15">
            <v>41038.96875</v>
          </cell>
          <cell r="BW15">
            <v>4124912</v>
          </cell>
          <cell r="BX15">
            <v>760975.5</v>
          </cell>
          <cell r="BZ15">
            <v>299750.9375</v>
          </cell>
          <cell r="CA15">
            <v>0</v>
          </cell>
          <cell r="CB15">
            <v>461224.625</v>
          </cell>
          <cell r="DC15">
            <v>0</v>
          </cell>
          <cell r="DT15">
            <v>0</v>
          </cell>
          <cell r="EA15">
            <v>3363936.25</v>
          </cell>
        </row>
        <row r="16">
          <cell r="BB16">
            <v>3147.118408203125</v>
          </cell>
          <cell r="BE16">
            <v>36191.87109375</v>
          </cell>
          <cell r="BW16">
            <v>3627144.75</v>
          </cell>
          <cell r="BX16">
            <v>646582.9375</v>
          </cell>
          <cell r="BZ16">
            <v>187372.78125</v>
          </cell>
          <cell r="CA16">
            <v>0</v>
          </cell>
          <cell r="CB16">
            <v>459210.1875</v>
          </cell>
          <cell r="DC16">
            <v>0</v>
          </cell>
          <cell r="DT16">
            <v>0</v>
          </cell>
          <cell r="EA16">
            <v>2980561.75</v>
          </cell>
        </row>
        <row r="17">
          <cell r="BB17">
            <v>2795.662841796875</v>
          </cell>
          <cell r="BE17">
            <v>32150.130859375</v>
          </cell>
          <cell r="BW17">
            <v>3215029.5</v>
          </cell>
          <cell r="BX17">
            <v>540024.625</v>
          </cell>
          <cell r="BZ17">
            <v>157659.3125</v>
          </cell>
          <cell r="CA17">
            <v>0</v>
          </cell>
          <cell r="CB17">
            <v>382365.25</v>
          </cell>
          <cell r="DC17">
            <v>0</v>
          </cell>
          <cell r="DT17">
            <v>0</v>
          </cell>
          <cell r="EA17">
            <v>2675005</v>
          </cell>
        </row>
        <row r="18">
          <cell r="BB18">
            <v>2481.8193359375</v>
          </cell>
          <cell r="BE18">
            <v>28540.92578125</v>
          </cell>
          <cell r="BW18">
            <v>2851248</v>
          </cell>
          <cell r="BX18">
            <v>534505.75</v>
          </cell>
          <cell r="BZ18">
            <v>173803.3125</v>
          </cell>
          <cell r="CA18">
            <v>0</v>
          </cell>
          <cell r="CB18">
            <v>360702.4375</v>
          </cell>
          <cell r="DC18">
            <v>0</v>
          </cell>
          <cell r="DT18">
            <v>0</v>
          </cell>
          <cell r="EA18">
            <v>2316742.25</v>
          </cell>
        </row>
        <row r="19">
          <cell r="BB19">
            <v>2216.7548828125</v>
          </cell>
          <cell r="BE19">
            <v>25492.67578125</v>
          </cell>
          <cell r="BW19">
            <v>2543833.5</v>
          </cell>
          <cell r="BX19">
            <v>557346.8125</v>
          </cell>
          <cell r="BZ19">
            <v>197845.03125</v>
          </cell>
          <cell r="CA19">
            <v>0</v>
          </cell>
          <cell r="CB19">
            <v>359501.78125</v>
          </cell>
          <cell r="DC19">
            <v>0</v>
          </cell>
          <cell r="DT19">
            <v>0</v>
          </cell>
          <cell r="EA19">
            <v>1986486.625</v>
          </cell>
        </row>
        <row r="20">
          <cell r="BB20">
            <v>1985.6455078125</v>
          </cell>
          <cell r="BE20">
            <v>22834.912109375</v>
          </cell>
          <cell r="BW20">
            <v>2275496.75</v>
          </cell>
          <cell r="BX20">
            <v>579112</v>
          </cell>
          <cell r="BZ20">
            <v>220653.6875</v>
          </cell>
          <cell r="CA20">
            <v>0</v>
          </cell>
          <cell r="CB20">
            <v>358458.34375</v>
          </cell>
          <cell r="DC20">
            <v>0</v>
          </cell>
          <cell r="DT20">
            <v>0</v>
          </cell>
          <cell r="EA20">
            <v>1696384.75</v>
          </cell>
        </row>
        <row r="21">
          <cell r="BB21">
            <v>1788.0135498046875</v>
          </cell>
          <cell r="BE21">
            <v>20562.15625</v>
          </cell>
          <cell r="BW21">
            <v>2045719.375</v>
          </cell>
          <cell r="BX21">
            <v>601053.875</v>
          </cell>
          <cell r="BZ21">
            <v>243172.34375</v>
          </cell>
          <cell r="CA21">
            <v>0</v>
          </cell>
          <cell r="CB21">
            <v>357881.59375</v>
          </cell>
          <cell r="DC21">
            <v>0</v>
          </cell>
          <cell r="DT21">
            <v>0</v>
          </cell>
          <cell r="EA21">
            <v>1444665.375</v>
          </cell>
        </row>
        <row r="22">
          <cell r="BB22">
            <v>1605.2728271484375</v>
          </cell>
          <cell r="BE22">
            <v>18460.63671875</v>
          </cell>
          <cell r="BW22">
            <v>1831442.375</v>
          </cell>
          <cell r="BX22">
            <v>620385.25</v>
          </cell>
          <cell r="BZ22">
            <v>263635.375</v>
          </cell>
          <cell r="CA22">
            <v>0</v>
          </cell>
          <cell r="CB22">
            <v>356749.90625</v>
          </cell>
          <cell r="DC22">
            <v>0</v>
          </cell>
          <cell r="DT22">
            <v>0</v>
          </cell>
          <cell r="EA22">
            <v>1211057.125</v>
          </cell>
        </row>
        <row r="23">
          <cell r="BB23">
            <v>1448.7529296875</v>
          </cell>
          <cell r="BE23">
            <v>16660.658203125</v>
          </cell>
          <cell r="BW23">
            <v>1647353.125</v>
          </cell>
          <cell r="BX23">
            <v>638284.9375</v>
          </cell>
          <cell r="BZ23">
            <v>282233.96875</v>
          </cell>
          <cell r="CA23">
            <v>0</v>
          </cell>
          <cell r="CB23">
            <v>356050.9375</v>
          </cell>
          <cell r="DC23">
            <v>0</v>
          </cell>
          <cell r="DT23">
            <v>0</v>
          </cell>
          <cell r="EA23">
            <v>1009068.3125</v>
          </cell>
        </row>
        <row r="24">
          <cell r="BB24">
            <v>1310.3531494140625</v>
          </cell>
          <cell r="BE24">
            <v>15069.056640625</v>
          </cell>
          <cell r="BW24">
            <v>1488173.75</v>
          </cell>
          <cell r="BX24">
            <v>655481.8125</v>
          </cell>
          <cell r="BZ24">
            <v>300046.5625</v>
          </cell>
          <cell r="CA24">
            <v>0</v>
          </cell>
          <cell r="CB24">
            <v>355435.28125</v>
          </cell>
          <cell r="DC24">
            <v>0</v>
          </cell>
          <cell r="DT24">
            <v>0</v>
          </cell>
          <cell r="EA24">
            <v>832691.8125</v>
          </cell>
        </row>
        <row r="25">
          <cell r="BB25">
            <v>1190.6925048828125</v>
          </cell>
          <cell r="BE25">
            <v>13692.9677734375</v>
          </cell>
          <cell r="BW25">
            <v>1352030.5</v>
          </cell>
          <cell r="BX25">
            <v>672796.3125</v>
          </cell>
          <cell r="BZ25">
            <v>317578.53125</v>
          </cell>
          <cell r="CA25">
            <v>0</v>
          </cell>
          <cell r="CB25">
            <v>355217.8125</v>
          </cell>
          <cell r="DC25">
            <v>0</v>
          </cell>
          <cell r="DT25">
            <v>0</v>
          </cell>
          <cell r="EA25">
            <v>679234.125</v>
          </cell>
        </row>
        <row r="26">
          <cell r="BB26">
            <v>1078.1077880859375</v>
          </cell>
          <cell r="BE26">
            <v>12398.2470703125</v>
          </cell>
          <cell r="BW26">
            <v>1224190.875</v>
          </cell>
          <cell r="BX26">
            <v>688087.0625</v>
          </cell>
          <cell r="BZ26">
            <v>333678.78125</v>
          </cell>
          <cell r="CA26">
            <v>0</v>
          </cell>
          <cell r="CB26">
            <v>354408.25</v>
          </cell>
          <cell r="DC26">
            <v>0</v>
          </cell>
          <cell r="DT26">
            <v>0</v>
          </cell>
          <cell r="EA26">
            <v>536103.8125</v>
          </cell>
        </row>
        <row r="27">
          <cell r="BB27">
            <v>980.72003173828125</v>
          </cell>
          <cell r="BE27">
            <v>11278.2841796875</v>
          </cell>
          <cell r="BW27">
            <v>1113606.875</v>
          </cell>
          <cell r="BX27">
            <v>701681.9375</v>
          </cell>
          <cell r="BZ27">
            <v>347701.65625</v>
          </cell>
          <cell r="CA27">
            <v>0</v>
          </cell>
          <cell r="CB27">
            <v>353980.28125</v>
          </cell>
          <cell r="DC27">
            <v>0</v>
          </cell>
          <cell r="DT27">
            <v>0</v>
          </cell>
          <cell r="EA27">
            <v>411924.96875</v>
          </cell>
        </row>
        <row r="28">
          <cell r="BB28">
            <v>893.61334228515625</v>
          </cell>
          <cell r="BE28">
            <v>10276.5517578125</v>
          </cell>
          <cell r="BW28">
            <v>1014696.8125</v>
          </cell>
          <cell r="BX28">
            <v>716441.25</v>
          </cell>
          <cell r="BZ28">
            <v>362842.125</v>
          </cell>
          <cell r="CA28">
            <v>0</v>
          </cell>
          <cell r="CB28">
            <v>353599.125</v>
          </cell>
          <cell r="DC28">
            <v>0</v>
          </cell>
          <cell r="DT28">
            <v>0</v>
          </cell>
          <cell r="EA28">
            <v>298255.625</v>
          </cell>
        </row>
        <row r="29">
          <cell r="BB29">
            <v>817.64202880859375</v>
          </cell>
          <cell r="BE29">
            <v>9402.884765625</v>
          </cell>
          <cell r="BW29">
            <v>928431.75</v>
          </cell>
          <cell r="BX29">
            <v>728865.8125</v>
          </cell>
          <cell r="BZ29">
            <v>375284.84375</v>
          </cell>
          <cell r="CA29">
            <v>0</v>
          </cell>
          <cell r="CB29">
            <v>353580.9375</v>
          </cell>
          <cell r="DC29">
            <v>0</v>
          </cell>
          <cell r="DT29">
            <v>0</v>
          </cell>
          <cell r="EA29">
            <v>199565.984375</v>
          </cell>
        </row>
        <row r="30">
          <cell r="BB30">
            <v>745.12640380859375</v>
          </cell>
          <cell r="BE30">
            <v>8568.9501953125</v>
          </cell>
          <cell r="BW30">
            <v>846089.9375</v>
          </cell>
          <cell r="BX30">
            <v>717667.25</v>
          </cell>
          <cell r="BZ30">
            <v>364713.90625</v>
          </cell>
          <cell r="CA30">
            <v>0</v>
          </cell>
          <cell r="CB30">
            <v>352953.34375</v>
          </cell>
          <cell r="DC30">
            <v>0</v>
          </cell>
          <cell r="DT30">
            <v>0</v>
          </cell>
          <cell r="EA30">
            <v>128422.7265625</v>
          </cell>
        </row>
        <row r="31">
          <cell r="BB31">
            <v>680.306640625</v>
          </cell>
          <cell r="BE31">
            <v>7823.52734375</v>
          </cell>
          <cell r="BW31">
            <v>772487.5625</v>
          </cell>
          <cell r="BX31">
            <v>688874.5625</v>
          </cell>
          <cell r="BZ31">
            <v>376672.6875</v>
          </cell>
          <cell r="CA31">
            <v>0</v>
          </cell>
          <cell r="CB31">
            <v>312201.875</v>
          </cell>
          <cell r="DC31">
            <v>0</v>
          </cell>
          <cell r="DT31">
            <v>0</v>
          </cell>
          <cell r="EA31">
            <v>83612.96875</v>
          </cell>
        </row>
        <row r="32">
          <cell r="BB32">
            <v>622.68438720703125</v>
          </cell>
          <cell r="BE32">
            <v>7160.87109375</v>
          </cell>
          <cell r="BW32">
            <v>707057.5625</v>
          </cell>
          <cell r="BX32">
            <v>668473.4375</v>
          </cell>
          <cell r="BZ32">
            <v>384674.125</v>
          </cell>
          <cell r="CA32">
            <v>0</v>
          </cell>
          <cell r="CB32">
            <v>283799.34375</v>
          </cell>
          <cell r="DC32">
            <v>0</v>
          </cell>
          <cell r="DT32">
            <v>0</v>
          </cell>
          <cell r="EA32">
            <v>38584.0546875</v>
          </cell>
        </row>
        <row r="33">
          <cell r="BB33">
            <v>194.90594482421875</v>
          </cell>
          <cell r="BE33">
            <v>2241.418212890625</v>
          </cell>
          <cell r="BW33">
            <v>221315.453125</v>
          </cell>
          <cell r="BX33">
            <v>217756.921875</v>
          </cell>
          <cell r="BZ33">
            <v>123895.5625</v>
          </cell>
          <cell r="CA33">
            <v>0</v>
          </cell>
          <cell r="CB33">
            <v>93861.375</v>
          </cell>
          <cell r="DC33">
            <v>0</v>
          </cell>
          <cell r="DT33">
            <v>0</v>
          </cell>
          <cell r="EA33">
            <v>3558.540283203125</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0</v>
          </cell>
          <cell r="BE12">
            <v>0</v>
          </cell>
          <cell r="BW12">
            <v>0</v>
          </cell>
          <cell r="BX12">
            <v>0</v>
          </cell>
          <cell r="BZ12">
            <v>0</v>
          </cell>
          <cell r="CA12">
            <v>0</v>
          </cell>
          <cell r="CB12">
            <v>0</v>
          </cell>
          <cell r="DC12">
            <v>3425794</v>
          </cell>
          <cell r="DT12">
            <v>0</v>
          </cell>
          <cell r="EA12">
            <v>0</v>
          </cell>
        </row>
        <row r="13">
          <cell r="BB13">
            <v>0</v>
          </cell>
          <cell r="BE13">
            <v>0</v>
          </cell>
          <cell r="BW13">
            <v>0</v>
          </cell>
          <cell r="BX13">
            <v>5003.88037109375</v>
          </cell>
          <cell r="BZ13">
            <v>-479.60214233398438</v>
          </cell>
          <cell r="CA13">
            <v>0</v>
          </cell>
          <cell r="CB13">
            <v>5003.88037109375</v>
          </cell>
          <cell r="DC13">
            <v>3702819.75</v>
          </cell>
          <cell r="DT13">
            <v>0</v>
          </cell>
          <cell r="EA13">
            <v>-5003.88037109375</v>
          </cell>
        </row>
        <row r="14">
          <cell r="BB14">
            <v>6507.51171875</v>
          </cell>
          <cell r="BE14">
            <v>74836.3984375</v>
          </cell>
          <cell r="BW14">
            <v>7389273.5</v>
          </cell>
          <cell r="BX14">
            <v>1933422.625</v>
          </cell>
          <cell r="BZ14">
            <v>572880.4375</v>
          </cell>
          <cell r="CA14">
            <v>0</v>
          </cell>
          <cell r="CB14">
            <v>1360542.25</v>
          </cell>
          <cell r="DC14">
            <v>64015124</v>
          </cell>
          <cell r="DT14">
            <v>0</v>
          </cell>
          <cell r="EA14">
            <v>5455850.5</v>
          </cell>
        </row>
        <row r="15">
          <cell r="BB15">
            <v>21946.42578125</v>
          </cell>
          <cell r="BE15">
            <v>252383.90625</v>
          </cell>
          <cell r="BW15">
            <v>24920144</v>
          </cell>
          <cell r="BX15">
            <v>4243251</v>
          </cell>
          <cell r="BZ15">
            <v>1792524.125</v>
          </cell>
          <cell r="CA15">
            <v>0</v>
          </cell>
          <cell r="CB15">
            <v>2450727</v>
          </cell>
          <cell r="DC15">
            <v>39394744</v>
          </cell>
          <cell r="DT15">
            <v>0</v>
          </cell>
          <cell r="EA15">
            <v>20676892</v>
          </cell>
        </row>
        <row r="16">
          <cell r="BB16">
            <v>47855.09375</v>
          </cell>
          <cell r="BE16">
            <v>550333.625</v>
          </cell>
          <cell r="BW16">
            <v>54339412</v>
          </cell>
          <cell r="BX16">
            <v>5860729</v>
          </cell>
          <cell r="BZ16">
            <v>2996439.75</v>
          </cell>
          <cell r="CA16">
            <v>0</v>
          </cell>
          <cell r="CB16">
            <v>2864289.25</v>
          </cell>
          <cell r="DC16">
            <v>27657934</v>
          </cell>
          <cell r="DT16">
            <v>0</v>
          </cell>
          <cell r="EA16">
            <v>48478680</v>
          </cell>
        </row>
        <row r="17">
          <cell r="BB17">
            <v>55877.69921875</v>
          </cell>
          <cell r="BE17">
            <v>642593.5625</v>
          </cell>
          <cell r="BW17">
            <v>63449068</v>
          </cell>
          <cell r="BX17">
            <v>6527710</v>
          </cell>
          <cell r="BZ17">
            <v>3350908.75</v>
          </cell>
          <cell r="CA17">
            <v>0</v>
          </cell>
          <cell r="CB17">
            <v>3176801.5</v>
          </cell>
          <cell r="DC17">
            <v>18406888</v>
          </cell>
          <cell r="DT17">
            <v>0</v>
          </cell>
          <cell r="EA17">
            <v>56921356</v>
          </cell>
        </row>
        <row r="18">
          <cell r="BB18">
            <v>42909.125</v>
          </cell>
          <cell r="BE18">
            <v>493454.96875</v>
          </cell>
          <cell r="BW18">
            <v>48723264</v>
          </cell>
          <cell r="BX18">
            <v>6001252.5</v>
          </cell>
          <cell r="BZ18">
            <v>3177990</v>
          </cell>
          <cell r="CA18">
            <v>0</v>
          </cell>
          <cell r="CB18">
            <v>2823262.5</v>
          </cell>
          <cell r="DC18">
            <v>9491692</v>
          </cell>
          <cell r="DT18">
            <v>0</v>
          </cell>
          <cell r="EA18">
            <v>42722016</v>
          </cell>
        </row>
        <row r="19">
          <cell r="BB19">
            <v>30643.4375</v>
          </cell>
          <cell r="BE19">
            <v>352399.5625</v>
          </cell>
          <cell r="BW19">
            <v>34795592</v>
          </cell>
          <cell r="BX19">
            <v>5430664.5</v>
          </cell>
          <cell r="BZ19">
            <v>2906255.25</v>
          </cell>
          <cell r="CA19">
            <v>0</v>
          </cell>
          <cell r="CB19">
            <v>2524409.75</v>
          </cell>
          <cell r="DC19">
            <v>2384195.25</v>
          </cell>
          <cell r="DT19">
            <v>0</v>
          </cell>
          <cell r="EA19">
            <v>29364928</v>
          </cell>
        </row>
        <row r="20">
          <cell r="BB20">
            <v>22548.3671875</v>
          </cell>
          <cell r="BE20">
            <v>259306.21875</v>
          </cell>
          <cell r="BW20">
            <v>25603646</v>
          </cell>
          <cell r="BX20">
            <v>5121210.5</v>
          </cell>
          <cell r="BZ20">
            <v>2647601</v>
          </cell>
          <cell r="CA20">
            <v>0</v>
          </cell>
          <cell r="CB20">
            <v>2473609.5</v>
          </cell>
          <cell r="DC20">
            <v>105554.9375</v>
          </cell>
          <cell r="DT20">
            <v>0</v>
          </cell>
          <cell r="EA20">
            <v>20482436</v>
          </cell>
        </row>
        <row r="21">
          <cell r="BB21">
            <v>16770.783203125</v>
          </cell>
          <cell r="BE21">
            <v>192863.984375</v>
          </cell>
          <cell r="BW21">
            <v>19043204</v>
          </cell>
          <cell r="BX21">
            <v>4803896.5</v>
          </cell>
          <cell r="BZ21">
            <v>2384644.25</v>
          </cell>
          <cell r="CA21">
            <v>0</v>
          </cell>
          <cell r="CB21">
            <v>2419252.25</v>
          </cell>
          <cell r="DC21">
            <v>0</v>
          </cell>
          <cell r="DT21">
            <v>0</v>
          </cell>
          <cell r="EA21">
            <v>14239308</v>
          </cell>
        </row>
        <row r="22">
          <cell r="BB22">
            <v>12610.0546875</v>
          </cell>
          <cell r="BE22">
            <v>145015.65625</v>
          </cell>
          <cell r="BW22">
            <v>14318705</v>
          </cell>
          <cell r="BX22">
            <v>4522818.5</v>
          </cell>
          <cell r="BZ22">
            <v>2119952.25</v>
          </cell>
          <cell r="CA22">
            <v>0</v>
          </cell>
          <cell r="CB22">
            <v>2402866</v>
          </cell>
          <cell r="DC22">
            <v>0</v>
          </cell>
          <cell r="DT22">
            <v>0</v>
          </cell>
          <cell r="EA22">
            <v>9795887</v>
          </cell>
        </row>
        <row r="23">
          <cell r="BB23">
            <v>9567.666015625</v>
          </cell>
          <cell r="BE23">
            <v>110028.15625</v>
          </cell>
          <cell r="BW23">
            <v>10864074</v>
          </cell>
          <cell r="BX23">
            <v>4232317.5</v>
          </cell>
          <cell r="BZ23">
            <v>1843440.125</v>
          </cell>
          <cell r="CA23">
            <v>0</v>
          </cell>
          <cell r="CB23">
            <v>2388877.25</v>
          </cell>
          <cell r="DC23">
            <v>0</v>
          </cell>
          <cell r="DT23">
            <v>0</v>
          </cell>
          <cell r="EA23">
            <v>6631756.5</v>
          </cell>
        </row>
        <row r="24">
          <cell r="BB24">
            <v>7327.1796875</v>
          </cell>
          <cell r="BE24">
            <v>84262.5703125</v>
          </cell>
          <cell r="BW24">
            <v>8320006</v>
          </cell>
          <cell r="BX24">
            <v>3943502.75</v>
          </cell>
          <cell r="BZ24">
            <v>1566152.25</v>
          </cell>
          <cell r="CA24">
            <v>0</v>
          </cell>
          <cell r="CB24">
            <v>2377350.5</v>
          </cell>
          <cell r="DC24">
            <v>0</v>
          </cell>
          <cell r="DT24">
            <v>0</v>
          </cell>
          <cell r="EA24">
            <v>4376502.5</v>
          </cell>
        </row>
        <row r="25">
          <cell r="BB25">
            <v>5618.88818359375</v>
          </cell>
          <cell r="BE25">
            <v>64617.21875</v>
          </cell>
          <cell r="BW25">
            <v>6380241.5</v>
          </cell>
          <cell r="BX25">
            <v>3615298.75</v>
          </cell>
          <cell r="BZ25">
            <v>1283517.875</v>
          </cell>
          <cell r="CA25">
            <v>0</v>
          </cell>
          <cell r="CB25">
            <v>2331781</v>
          </cell>
          <cell r="DC25">
            <v>0</v>
          </cell>
          <cell r="DT25">
            <v>0</v>
          </cell>
          <cell r="EA25">
            <v>2764942.75</v>
          </cell>
        </row>
        <row r="26">
          <cell r="BB26">
            <v>4366.79541015625</v>
          </cell>
          <cell r="BE26">
            <v>50218.15234375</v>
          </cell>
          <cell r="BW26">
            <v>4958491.5</v>
          </cell>
          <cell r="BX26">
            <v>3329763.25</v>
          </cell>
          <cell r="BZ26">
            <v>1003573.875</v>
          </cell>
          <cell r="CA26">
            <v>0</v>
          </cell>
          <cell r="CB26">
            <v>2326189.25</v>
          </cell>
          <cell r="DC26">
            <v>0</v>
          </cell>
          <cell r="DT26">
            <v>0</v>
          </cell>
          <cell r="EA26">
            <v>1628728.625</v>
          </cell>
        </row>
        <row r="27">
          <cell r="BB27">
            <v>3400.27587890625</v>
          </cell>
          <cell r="BE27">
            <v>39103.17578125</v>
          </cell>
          <cell r="BW27">
            <v>3861010</v>
          </cell>
          <cell r="BX27">
            <v>2999515</v>
          </cell>
          <cell r="BZ27">
            <v>716161</v>
          </cell>
          <cell r="CA27">
            <v>0</v>
          </cell>
          <cell r="CB27">
            <v>2283353.75</v>
          </cell>
          <cell r="DC27">
            <v>0</v>
          </cell>
          <cell r="DT27">
            <v>0</v>
          </cell>
          <cell r="EA27">
            <v>861495.0625</v>
          </cell>
        </row>
        <row r="28">
          <cell r="BB28">
            <v>2674.220947265625</v>
          </cell>
          <cell r="BE28">
            <v>30753.54296875</v>
          </cell>
          <cell r="BW28">
            <v>3036575.25</v>
          </cell>
          <cell r="BX28">
            <v>2687284.75</v>
          </cell>
          <cell r="BZ28">
            <v>412205.21875</v>
          </cell>
          <cell r="CA28">
            <v>0</v>
          </cell>
          <cell r="CB28">
            <v>2275079.5</v>
          </cell>
          <cell r="DC28">
            <v>0</v>
          </cell>
          <cell r="DT28">
            <v>0</v>
          </cell>
          <cell r="EA28">
            <v>349290.40625</v>
          </cell>
        </row>
        <row r="29">
          <cell r="BB29">
            <v>1508.5408935546875</v>
          </cell>
          <cell r="BE29">
            <v>17348.220703125</v>
          </cell>
          <cell r="BW29">
            <v>1712946.625</v>
          </cell>
          <cell r="BX29">
            <v>1660028.5</v>
          </cell>
          <cell r="BZ29">
            <v>87206.375</v>
          </cell>
          <cell r="CA29">
            <v>0</v>
          </cell>
          <cell r="CB29">
            <v>1572822</v>
          </cell>
          <cell r="DC29">
            <v>0</v>
          </cell>
          <cell r="DT29">
            <v>0</v>
          </cell>
          <cell r="EA29">
            <v>52918.2421875</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2320734.75</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sheetData sheetId="5"/>
      <sheetData sheetId="6"/>
      <sheetData sheetId="7">
        <row r="12">
          <cell r="BB12">
            <v>0</v>
          </cell>
          <cell r="BE12">
            <v>0</v>
          </cell>
          <cell r="BW12">
            <v>0</v>
          </cell>
          <cell r="BX12">
            <v>0</v>
          </cell>
          <cell r="BZ12">
            <v>0</v>
          </cell>
          <cell r="CA12">
            <v>0</v>
          </cell>
          <cell r="CB12">
            <v>0</v>
          </cell>
          <cell r="DC12">
            <v>663056.875</v>
          </cell>
          <cell r="DT12">
            <v>0</v>
          </cell>
          <cell r="EA12">
            <v>0</v>
          </cell>
        </row>
        <row r="13">
          <cell r="BB13">
            <v>0</v>
          </cell>
          <cell r="BE13">
            <v>0</v>
          </cell>
          <cell r="BW13">
            <v>0</v>
          </cell>
          <cell r="BX13">
            <v>0</v>
          </cell>
          <cell r="BZ13">
            <v>0</v>
          </cell>
          <cell r="CA13">
            <v>0</v>
          </cell>
          <cell r="CB13">
            <v>0</v>
          </cell>
          <cell r="DC13">
            <v>1945497.25</v>
          </cell>
          <cell r="DT13">
            <v>0</v>
          </cell>
          <cell r="EA13">
            <v>0</v>
          </cell>
        </row>
        <row r="14">
          <cell r="BB14">
            <v>3392</v>
          </cell>
          <cell r="BE14">
            <v>38983</v>
          </cell>
          <cell r="BW14">
            <v>3849197.25</v>
          </cell>
          <cell r="BX14">
            <v>503143.65625</v>
          </cell>
          <cell r="BZ14">
            <v>0</v>
          </cell>
          <cell r="CA14">
            <v>0</v>
          </cell>
          <cell r="CB14">
            <v>503143.6875</v>
          </cell>
          <cell r="DC14">
            <v>3754431.5</v>
          </cell>
          <cell r="DT14">
            <v>0</v>
          </cell>
          <cell r="EA14">
            <v>3346053.5</v>
          </cell>
        </row>
        <row r="15">
          <cell r="BB15">
            <v>12429</v>
          </cell>
          <cell r="BE15">
            <v>142933</v>
          </cell>
          <cell r="BW15">
            <v>14113097</v>
          </cell>
          <cell r="BX15">
            <v>856490.5625</v>
          </cell>
          <cell r="BZ15">
            <v>0</v>
          </cell>
          <cell r="CA15">
            <v>0</v>
          </cell>
          <cell r="CB15">
            <v>856490.6875</v>
          </cell>
          <cell r="DC15">
            <v>14632525</v>
          </cell>
          <cell r="DT15">
            <v>0</v>
          </cell>
          <cell r="EA15">
            <v>13256606</v>
          </cell>
        </row>
        <row r="16">
          <cell r="BB16">
            <v>23897</v>
          </cell>
          <cell r="BE16">
            <v>274813</v>
          </cell>
          <cell r="BW16">
            <v>27134728</v>
          </cell>
          <cell r="BX16">
            <v>1186528.625</v>
          </cell>
          <cell r="BZ16">
            <v>0</v>
          </cell>
          <cell r="CA16">
            <v>0</v>
          </cell>
          <cell r="CB16">
            <v>1186528.625</v>
          </cell>
          <cell r="DC16">
            <v>2672010.75</v>
          </cell>
          <cell r="DT16">
            <v>0</v>
          </cell>
          <cell r="EA16">
            <v>25948202</v>
          </cell>
        </row>
        <row r="17">
          <cell r="BB17">
            <v>29178</v>
          </cell>
          <cell r="BE17">
            <v>335540</v>
          </cell>
          <cell r="BW17">
            <v>33130816</v>
          </cell>
          <cell r="BX17">
            <v>1407868.25</v>
          </cell>
          <cell r="BZ17">
            <v>0</v>
          </cell>
          <cell r="CA17">
            <v>0</v>
          </cell>
          <cell r="CB17">
            <v>1407868.25</v>
          </cell>
          <cell r="DC17">
            <v>1551272.625</v>
          </cell>
          <cell r="DT17">
            <v>0</v>
          </cell>
          <cell r="EA17">
            <v>31722946</v>
          </cell>
        </row>
        <row r="18">
          <cell r="BB18">
            <v>30322</v>
          </cell>
          <cell r="BE18">
            <v>348712.96875</v>
          </cell>
          <cell r="BW18">
            <v>34431432</v>
          </cell>
          <cell r="BX18">
            <v>1511605.25</v>
          </cell>
          <cell r="BZ18">
            <v>0</v>
          </cell>
          <cell r="CA18">
            <v>0</v>
          </cell>
          <cell r="CB18">
            <v>1511605.25</v>
          </cell>
          <cell r="DC18">
            <v>1267918.75</v>
          </cell>
          <cell r="DT18">
            <v>0</v>
          </cell>
          <cell r="EA18">
            <v>32919828</v>
          </cell>
        </row>
        <row r="19">
          <cell r="BB19">
            <v>26725</v>
          </cell>
          <cell r="BE19">
            <v>307331</v>
          </cell>
          <cell r="BW19">
            <v>30345624</v>
          </cell>
          <cell r="BX19">
            <v>1524605.625</v>
          </cell>
          <cell r="BZ19">
            <v>0</v>
          </cell>
          <cell r="CA19">
            <v>0</v>
          </cell>
          <cell r="CB19">
            <v>1524605.625</v>
          </cell>
          <cell r="DC19">
            <v>461457.15625</v>
          </cell>
          <cell r="DT19">
            <v>0</v>
          </cell>
          <cell r="EA19">
            <v>28821020</v>
          </cell>
        </row>
        <row r="20">
          <cell r="BB20">
            <v>21512.001953125</v>
          </cell>
          <cell r="BE20">
            <v>247392</v>
          </cell>
          <cell r="BW20">
            <v>24427342</v>
          </cell>
          <cell r="BX20">
            <v>1511570.5</v>
          </cell>
          <cell r="BZ20">
            <v>0</v>
          </cell>
          <cell r="CA20">
            <v>0</v>
          </cell>
          <cell r="CB20">
            <v>1511570.5</v>
          </cell>
          <cell r="DC20">
            <v>20429.986328125</v>
          </cell>
          <cell r="DT20">
            <v>0</v>
          </cell>
          <cell r="EA20">
            <v>22915772</v>
          </cell>
        </row>
        <row r="21">
          <cell r="BB21">
            <v>17070</v>
          </cell>
          <cell r="BE21">
            <v>196308</v>
          </cell>
          <cell r="BW21">
            <v>19383146</v>
          </cell>
          <cell r="BX21">
            <v>1478088.5</v>
          </cell>
          <cell r="BZ21">
            <v>0</v>
          </cell>
          <cell r="CA21">
            <v>0</v>
          </cell>
          <cell r="CB21">
            <v>1478088.5</v>
          </cell>
          <cell r="DC21">
            <v>0</v>
          </cell>
          <cell r="DT21">
            <v>0</v>
          </cell>
          <cell r="EA21">
            <v>17905058</v>
          </cell>
        </row>
        <row r="22">
          <cell r="BB22">
            <v>12481</v>
          </cell>
          <cell r="BE22">
            <v>143540</v>
          </cell>
          <cell r="BW22">
            <v>14172904</v>
          </cell>
          <cell r="BX22">
            <v>1361103.75</v>
          </cell>
          <cell r="BZ22">
            <v>0</v>
          </cell>
          <cell r="CA22">
            <v>0</v>
          </cell>
          <cell r="CB22">
            <v>1361103.75</v>
          </cell>
          <cell r="DC22">
            <v>0</v>
          </cell>
          <cell r="DT22">
            <v>0</v>
          </cell>
          <cell r="EA22">
            <v>12811800</v>
          </cell>
        </row>
        <row r="23">
          <cell r="BB23">
            <v>9984</v>
          </cell>
          <cell r="BE23">
            <v>114822.0078125</v>
          </cell>
          <cell r="BW23">
            <v>11337431</v>
          </cell>
          <cell r="BX23">
            <v>1354208.75</v>
          </cell>
          <cell r="BZ23">
            <v>0</v>
          </cell>
          <cell r="CA23">
            <v>0</v>
          </cell>
          <cell r="CB23">
            <v>1354208.75</v>
          </cell>
          <cell r="DC23">
            <v>0</v>
          </cell>
          <cell r="DT23">
            <v>0</v>
          </cell>
          <cell r="EA23">
            <v>9983222</v>
          </cell>
        </row>
        <row r="24">
          <cell r="BB24">
            <v>8073</v>
          </cell>
          <cell r="BE24">
            <v>92846</v>
          </cell>
          <cell r="BW24">
            <v>9167374</v>
          </cell>
          <cell r="BX24">
            <v>1351086.375</v>
          </cell>
          <cell r="BZ24">
            <v>0</v>
          </cell>
          <cell r="CA24">
            <v>0</v>
          </cell>
          <cell r="CB24">
            <v>1351086.375</v>
          </cell>
          <cell r="DC24">
            <v>0</v>
          </cell>
          <cell r="DT24">
            <v>0</v>
          </cell>
          <cell r="EA24">
            <v>7816287</v>
          </cell>
        </row>
        <row r="25">
          <cell r="BB25">
            <v>6599</v>
          </cell>
          <cell r="BE25">
            <v>75899</v>
          </cell>
          <cell r="BW25">
            <v>7494161.5</v>
          </cell>
          <cell r="BX25">
            <v>1347655.25</v>
          </cell>
          <cell r="BZ25">
            <v>0</v>
          </cell>
          <cell r="CA25">
            <v>0</v>
          </cell>
          <cell r="CB25">
            <v>1347655.25</v>
          </cell>
          <cell r="DC25">
            <v>0</v>
          </cell>
          <cell r="DT25">
            <v>0</v>
          </cell>
          <cell r="EA25">
            <v>6146506.5</v>
          </cell>
        </row>
        <row r="26">
          <cell r="BB26">
            <v>5378.00048828125</v>
          </cell>
          <cell r="BE26">
            <v>61836</v>
          </cell>
          <cell r="BW26">
            <v>6105696.5</v>
          </cell>
          <cell r="BX26">
            <v>1344775.375</v>
          </cell>
          <cell r="BZ26">
            <v>0</v>
          </cell>
          <cell r="CA26">
            <v>0</v>
          </cell>
          <cell r="CB26">
            <v>1344775.375</v>
          </cell>
          <cell r="DC26">
            <v>0</v>
          </cell>
          <cell r="DT26">
            <v>0</v>
          </cell>
          <cell r="EA26">
            <v>4760921</v>
          </cell>
        </row>
        <row r="27">
          <cell r="BB27">
            <v>4401</v>
          </cell>
          <cell r="BE27">
            <v>50594</v>
          </cell>
          <cell r="BW27">
            <v>4995624</v>
          </cell>
          <cell r="BX27">
            <v>1341938</v>
          </cell>
          <cell r="BZ27">
            <v>0</v>
          </cell>
          <cell r="CA27">
            <v>0</v>
          </cell>
          <cell r="CB27">
            <v>1341938</v>
          </cell>
          <cell r="DC27">
            <v>0</v>
          </cell>
          <cell r="DT27">
            <v>0</v>
          </cell>
          <cell r="EA27">
            <v>3653686</v>
          </cell>
        </row>
        <row r="28">
          <cell r="BB28">
            <v>3609</v>
          </cell>
          <cell r="BE28">
            <v>41497</v>
          </cell>
          <cell r="BW28">
            <v>4097458.5</v>
          </cell>
          <cell r="BX28">
            <v>1341701.75</v>
          </cell>
          <cell r="BZ28">
            <v>0</v>
          </cell>
          <cell r="CA28">
            <v>0</v>
          </cell>
          <cell r="CB28">
            <v>1341701.75</v>
          </cell>
          <cell r="DC28">
            <v>0</v>
          </cell>
          <cell r="DT28">
            <v>0</v>
          </cell>
          <cell r="EA28">
            <v>2755756.5</v>
          </cell>
        </row>
        <row r="29">
          <cell r="BB29">
            <v>3539</v>
          </cell>
          <cell r="BE29">
            <v>40690</v>
          </cell>
          <cell r="BW29">
            <v>4017913.5</v>
          </cell>
          <cell r="BX29">
            <v>1861845.125</v>
          </cell>
          <cell r="BZ29">
            <v>0</v>
          </cell>
          <cell r="CA29">
            <v>0</v>
          </cell>
          <cell r="CB29">
            <v>1861845.125</v>
          </cell>
          <cell r="DC29">
            <v>0</v>
          </cell>
          <cell r="DT29">
            <v>0</v>
          </cell>
          <cell r="EA29">
            <v>2156068.5</v>
          </cell>
        </row>
        <row r="30">
          <cell r="BB30">
            <v>4047</v>
          </cell>
          <cell r="BE30">
            <v>46538.00390625</v>
          </cell>
          <cell r="BW30">
            <v>4595274</v>
          </cell>
          <cell r="BX30">
            <v>3333926.5</v>
          </cell>
          <cell r="BZ30">
            <v>0</v>
          </cell>
          <cell r="CA30">
            <v>0</v>
          </cell>
          <cell r="CB30">
            <v>3333926.5</v>
          </cell>
          <cell r="DC30">
            <v>0</v>
          </cell>
          <cell r="DT30">
            <v>0</v>
          </cell>
          <cell r="EA30">
            <v>1261347.625</v>
          </cell>
        </row>
        <row r="31">
          <cell r="BB31">
            <v>3011.000244140625</v>
          </cell>
          <cell r="BE31">
            <v>34621</v>
          </cell>
          <cell r="BW31">
            <v>3418505.75</v>
          </cell>
          <cell r="BX31">
            <v>3041364.25</v>
          </cell>
          <cell r="BZ31">
            <v>0</v>
          </cell>
          <cell r="CA31">
            <v>0</v>
          </cell>
          <cell r="CB31">
            <v>3041364.25</v>
          </cell>
          <cell r="DC31">
            <v>0</v>
          </cell>
          <cell r="DT31">
            <v>0</v>
          </cell>
          <cell r="EA31">
            <v>377141.53125</v>
          </cell>
        </row>
        <row r="32">
          <cell r="BB32">
            <v>0</v>
          </cell>
          <cell r="BE32">
            <v>0</v>
          </cell>
          <cell r="BW32">
            <v>0</v>
          </cell>
          <cell r="BX32">
            <v>0</v>
          </cell>
          <cell r="BZ32">
            <v>0</v>
          </cell>
          <cell r="CA32">
            <v>0</v>
          </cell>
          <cell r="CB32">
            <v>0</v>
          </cell>
          <cell r="DC32">
            <v>0</v>
          </cell>
          <cell r="DT32">
            <v>966972.875</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8"/>
      <sheetData sheetId="9"/>
      <sheetData sheetId="10"/>
      <sheetData sheetId="11">
        <row r="12">
          <cell r="BB12">
            <v>0</v>
          </cell>
          <cell r="BE12">
            <v>0</v>
          </cell>
          <cell r="BW12">
            <v>0</v>
          </cell>
          <cell r="BX12">
            <v>0</v>
          </cell>
          <cell r="BZ12">
            <v>0</v>
          </cell>
          <cell r="CA12">
            <v>0</v>
          </cell>
          <cell r="CB12">
            <v>0</v>
          </cell>
          <cell r="DC12">
            <v>147345.984375</v>
          </cell>
          <cell r="DT12">
            <v>0</v>
          </cell>
          <cell r="EA12">
            <v>0</v>
          </cell>
        </row>
        <row r="13">
          <cell r="BB13">
            <v>0</v>
          </cell>
          <cell r="BE13">
            <v>0</v>
          </cell>
          <cell r="BW13">
            <v>0</v>
          </cell>
          <cell r="BX13">
            <v>0</v>
          </cell>
          <cell r="BZ13">
            <v>0</v>
          </cell>
          <cell r="CA13">
            <v>0</v>
          </cell>
          <cell r="CB13">
            <v>0</v>
          </cell>
          <cell r="DC13">
            <v>106096.4453125</v>
          </cell>
          <cell r="DT13">
            <v>0</v>
          </cell>
          <cell r="EA13">
            <v>0</v>
          </cell>
        </row>
        <row r="14">
          <cell r="BB14">
            <v>3684</v>
          </cell>
          <cell r="BE14">
            <v>42356</v>
          </cell>
          <cell r="BW14">
            <v>4182286.5</v>
          </cell>
          <cell r="BX14">
            <v>285905.375</v>
          </cell>
          <cell r="BZ14">
            <v>0</v>
          </cell>
          <cell r="CA14">
            <v>0</v>
          </cell>
          <cell r="CB14">
            <v>285905.25</v>
          </cell>
          <cell r="DC14">
            <v>5237057.5</v>
          </cell>
          <cell r="DT14">
            <v>0</v>
          </cell>
          <cell r="EA14">
            <v>3896381.25</v>
          </cell>
        </row>
        <row r="15">
          <cell r="BB15">
            <v>5982</v>
          </cell>
          <cell r="BE15">
            <v>68749</v>
          </cell>
          <cell r="BW15">
            <v>6788057</v>
          </cell>
          <cell r="BX15">
            <v>602212.1875</v>
          </cell>
          <cell r="BZ15">
            <v>0</v>
          </cell>
          <cell r="CA15">
            <v>0</v>
          </cell>
          <cell r="CB15">
            <v>602212.0625</v>
          </cell>
          <cell r="DC15">
            <v>5696038.5</v>
          </cell>
          <cell r="DT15">
            <v>0</v>
          </cell>
          <cell r="EA15">
            <v>6185844.5</v>
          </cell>
        </row>
        <row r="16">
          <cell r="BB16">
            <v>10936</v>
          </cell>
          <cell r="BE16">
            <v>125766</v>
          </cell>
          <cell r="BW16">
            <v>12418050</v>
          </cell>
          <cell r="BX16">
            <v>862408.6875</v>
          </cell>
          <cell r="BZ16">
            <v>0</v>
          </cell>
          <cell r="CA16">
            <v>0</v>
          </cell>
          <cell r="CB16">
            <v>862408.5625</v>
          </cell>
          <cell r="DC16">
            <v>593780.1875</v>
          </cell>
          <cell r="DT16">
            <v>0</v>
          </cell>
          <cell r="EA16">
            <v>11555642</v>
          </cell>
        </row>
        <row r="17">
          <cell r="BB17">
            <v>19822</v>
          </cell>
          <cell r="BE17">
            <v>227945</v>
          </cell>
          <cell r="BW17">
            <v>22507036</v>
          </cell>
          <cell r="BX17">
            <v>1103026.25</v>
          </cell>
          <cell r="BZ17">
            <v>0</v>
          </cell>
          <cell r="CA17">
            <v>0</v>
          </cell>
          <cell r="CB17">
            <v>1103026.25</v>
          </cell>
          <cell r="DC17">
            <v>344727.21875</v>
          </cell>
          <cell r="DT17">
            <v>0</v>
          </cell>
          <cell r="EA17">
            <v>21404010</v>
          </cell>
        </row>
        <row r="18">
          <cell r="BB18">
            <v>22855</v>
          </cell>
          <cell r="BE18">
            <v>262839</v>
          </cell>
          <cell r="BW18">
            <v>25952520</v>
          </cell>
          <cell r="BX18">
            <v>1172557.875</v>
          </cell>
          <cell r="BZ18">
            <v>0</v>
          </cell>
          <cell r="CA18">
            <v>0</v>
          </cell>
          <cell r="CB18">
            <v>1172557.875</v>
          </cell>
          <cell r="DC18">
            <v>281759.71875</v>
          </cell>
          <cell r="DT18">
            <v>0</v>
          </cell>
          <cell r="EA18">
            <v>24779960</v>
          </cell>
        </row>
        <row r="19">
          <cell r="BB19">
            <v>22696</v>
          </cell>
          <cell r="BE19">
            <v>261001.984375</v>
          </cell>
          <cell r="BW19">
            <v>25771104</v>
          </cell>
          <cell r="BX19">
            <v>1177245.75</v>
          </cell>
          <cell r="BZ19">
            <v>0</v>
          </cell>
          <cell r="CA19">
            <v>0</v>
          </cell>
          <cell r="CB19">
            <v>1177245.875</v>
          </cell>
          <cell r="DC19">
            <v>102546.046875</v>
          </cell>
          <cell r="DT19">
            <v>0</v>
          </cell>
          <cell r="EA19">
            <v>24593860</v>
          </cell>
        </row>
        <row r="20">
          <cell r="BB20">
            <v>21605</v>
          </cell>
          <cell r="BE20">
            <v>248446</v>
          </cell>
          <cell r="BW20">
            <v>24531318</v>
          </cell>
          <cell r="BX20">
            <v>1172610.625</v>
          </cell>
          <cell r="BZ20">
            <v>0</v>
          </cell>
          <cell r="CA20">
            <v>0</v>
          </cell>
          <cell r="CB20">
            <v>1172610.625</v>
          </cell>
          <cell r="DC20">
            <v>4539.9970703125</v>
          </cell>
          <cell r="DT20">
            <v>0</v>
          </cell>
          <cell r="EA20">
            <v>23358708</v>
          </cell>
        </row>
        <row r="21">
          <cell r="BB21">
            <v>20344</v>
          </cell>
          <cell r="BE21">
            <v>233938</v>
          </cell>
          <cell r="BW21">
            <v>23098728</v>
          </cell>
          <cell r="BX21">
            <v>1170172.5</v>
          </cell>
          <cell r="BZ21">
            <v>0</v>
          </cell>
          <cell r="CA21">
            <v>0</v>
          </cell>
          <cell r="CB21">
            <v>1170172.625</v>
          </cell>
          <cell r="DC21">
            <v>0</v>
          </cell>
          <cell r="DT21">
            <v>0</v>
          </cell>
          <cell r="EA21">
            <v>21928556</v>
          </cell>
        </row>
        <row r="22">
          <cell r="BB22">
            <v>19556</v>
          </cell>
          <cell r="BE22">
            <v>224900</v>
          </cell>
          <cell r="BW22">
            <v>22206268</v>
          </cell>
          <cell r="BX22">
            <v>1180537.25</v>
          </cell>
          <cell r="BZ22">
            <v>0</v>
          </cell>
          <cell r="CA22">
            <v>0</v>
          </cell>
          <cell r="CB22">
            <v>1180537.375</v>
          </cell>
          <cell r="DC22">
            <v>0</v>
          </cell>
          <cell r="DT22">
            <v>0</v>
          </cell>
          <cell r="EA22">
            <v>21025730</v>
          </cell>
        </row>
        <row r="23">
          <cell r="BB23">
            <v>17873</v>
          </cell>
          <cell r="BE23">
            <v>205540</v>
          </cell>
          <cell r="BW23">
            <v>20294900</v>
          </cell>
          <cell r="BX23">
            <v>1172533.75</v>
          </cell>
          <cell r="BZ23">
            <v>0</v>
          </cell>
          <cell r="CA23">
            <v>0</v>
          </cell>
          <cell r="CB23">
            <v>1172533.75</v>
          </cell>
          <cell r="DC23">
            <v>0</v>
          </cell>
          <cell r="DT23">
            <v>0</v>
          </cell>
          <cell r="EA23">
            <v>19122366</v>
          </cell>
        </row>
        <row r="24">
          <cell r="BB24">
            <v>16191</v>
          </cell>
          <cell r="BE24">
            <v>186209</v>
          </cell>
          <cell r="BW24">
            <v>18386078</v>
          </cell>
          <cell r="BX24">
            <v>1164668.625</v>
          </cell>
          <cell r="BZ24">
            <v>0</v>
          </cell>
          <cell r="CA24">
            <v>0</v>
          </cell>
          <cell r="CB24">
            <v>1164668.5</v>
          </cell>
          <cell r="DC24">
            <v>0</v>
          </cell>
          <cell r="DT24">
            <v>0</v>
          </cell>
          <cell r="EA24">
            <v>17221408</v>
          </cell>
        </row>
        <row r="25">
          <cell r="BB25">
            <v>14628</v>
          </cell>
          <cell r="BE25">
            <v>168214</v>
          </cell>
          <cell r="BW25">
            <v>16609369</v>
          </cell>
          <cell r="BX25">
            <v>1158153.75</v>
          </cell>
          <cell r="BZ25">
            <v>0</v>
          </cell>
          <cell r="CA25">
            <v>0</v>
          </cell>
          <cell r="CB25">
            <v>1158153.625</v>
          </cell>
          <cell r="DC25">
            <v>0</v>
          </cell>
          <cell r="DT25">
            <v>0</v>
          </cell>
          <cell r="EA25">
            <v>15451215</v>
          </cell>
        </row>
        <row r="26">
          <cell r="BB26">
            <v>13153</v>
          </cell>
          <cell r="BE26">
            <v>151235</v>
          </cell>
          <cell r="BW26">
            <v>14932937</v>
          </cell>
          <cell r="BX26">
            <v>1150639.25</v>
          </cell>
          <cell r="BZ26">
            <v>0</v>
          </cell>
          <cell r="CA26">
            <v>0</v>
          </cell>
          <cell r="CB26">
            <v>1150639.375</v>
          </cell>
          <cell r="DC26">
            <v>0</v>
          </cell>
          <cell r="DT26">
            <v>0</v>
          </cell>
          <cell r="EA26">
            <v>13782298</v>
          </cell>
        </row>
        <row r="27">
          <cell r="BB27">
            <v>11218</v>
          </cell>
          <cell r="BE27">
            <v>128994.9921875</v>
          </cell>
          <cell r="BW27">
            <v>12736964</v>
          </cell>
          <cell r="BX27">
            <v>1125878.625</v>
          </cell>
          <cell r="BZ27">
            <v>0</v>
          </cell>
          <cell r="CA27">
            <v>0</v>
          </cell>
          <cell r="CB27">
            <v>1125878.75</v>
          </cell>
          <cell r="DC27">
            <v>0</v>
          </cell>
          <cell r="DT27">
            <v>0</v>
          </cell>
          <cell r="EA27">
            <v>11611085</v>
          </cell>
        </row>
        <row r="28">
          <cell r="BB28">
            <v>8982</v>
          </cell>
          <cell r="BE28">
            <v>103276</v>
          </cell>
          <cell r="BW28">
            <v>10197368</v>
          </cell>
          <cell r="BX28">
            <v>1087175.75</v>
          </cell>
          <cell r="BZ28">
            <v>0</v>
          </cell>
          <cell r="CA28">
            <v>0</v>
          </cell>
          <cell r="CB28">
            <v>1087175.875</v>
          </cell>
          <cell r="DC28">
            <v>0</v>
          </cell>
          <cell r="DT28">
            <v>0</v>
          </cell>
          <cell r="EA28">
            <v>9110192</v>
          </cell>
        </row>
        <row r="29">
          <cell r="BB29">
            <v>8078</v>
          </cell>
          <cell r="BE29">
            <v>92881</v>
          </cell>
          <cell r="BW29">
            <v>9171088</v>
          </cell>
          <cell r="BX29">
            <v>1087932.875</v>
          </cell>
          <cell r="BZ29">
            <v>0</v>
          </cell>
          <cell r="CA29">
            <v>0</v>
          </cell>
          <cell r="CB29">
            <v>1087932.875</v>
          </cell>
          <cell r="DC29">
            <v>0</v>
          </cell>
          <cell r="DT29">
            <v>0</v>
          </cell>
          <cell r="EA29">
            <v>8083154.5</v>
          </cell>
        </row>
        <row r="30">
          <cell r="BB30">
            <v>7232.00048828125</v>
          </cell>
          <cell r="BE30">
            <v>83168</v>
          </cell>
          <cell r="BW30">
            <v>8211712</v>
          </cell>
          <cell r="BX30">
            <v>1084864.75</v>
          </cell>
          <cell r="BZ30">
            <v>0</v>
          </cell>
          <cell r="CA30">
            <v>0</v>
          </cell>
          <cell r="CB30">
            <v>1084864.75</v>
          </cell>
          <cell r="DC30">
            <v>0</v>
          </cell>
          <cell r="DT30">
            <v>0</v>
          </cell>
          <cell r="EA30">
            <v>7126847.5</v>
          </cell>
        </row>
        <row r="31">
          <cell r="BB31">
            <v>6669</v>
          </cell>
          <cell r="BE31">
            <v>76689</v>
          </cell>
          <cell r="BW31">
            <v>7572206.5</v>
          </cell>
          <cell r="BX31">
            <v>1268136.25</v>
          </cell>
          <cell r="BZ31">
            <v>0</v>
          </cell>
          <cell r="CA31">
            <v>0</v>
          </cell>
          <cell r="CB31">
            <v>1268136.25</v>
          </cell>
          <cell r="DC31">
            <v>0</v>
          </cell>
          <cell r="DT31">
            <v>0</v>
          </cell>
          <cell r="EA31">
            <v>6304070.5</v>
          </cell>
        </row>
        <row r="32">
          <cell r="BB32">
            <v>8278</v>
          </cell>
          <cell r="BE32">
            <v>95195</v>
          </cell>
          <cell r="BW32">
            <v>9399255</v>
          </cell>
          <cell r="BX32">
            <v>4183854</v>
          </cell>
          <cell r="BZ32">
            <v>0</v>
          </cell>
          <cell r="CA32">
            <v>0</v>
          </cell>
          <cell r="CB32">
            <v>4183854</v>
          </cell>
          <cell r="DC32">
            <v>0</v>
          </cell>
          <cell r="DT32">
            <v>0</v>
          </cell>
          <cell r="EA32">
            <v>5215400.5</v>
          </cell>
        </row>
        <row r="33">
          <cell r="BB33">
            <v>11447</v>
          </cell>
          <cell r="BE33">
            <v>131647</v>
          </cell>
          <cell r="BW33">
            <v>12998855</v>
          </cell>
          <cell r="BX33">
            <v>9047478</v>
          </cell>
          <cell r="BZ33">
            <v>3374807.25</v>
          </cell>
          <cell r="CA33">
            <v>0</v>
          </cell>
          <cell r="CB33">
            <v>5672670.5</v>
          </cell>
          <cell r="DC33">
            <v>0</v>
          </cell>
          <cell r="DT33">
            <v>0</v>
          </cell>
          <cell r="EA33">
            <v>3951377.75</v>
          </cell>
        </row>
        <row r="34">
          <cell r="BB34">
            <v>12204</v>
          </cell>
          <cell r="BE34">
            <v>140358</v>
          </cell>
          <cell r="BW34">
            <v>13858756</v>
          </cell>
          <cell r="BX34">
            <v>11385609</v>
          </cell>
          <cell r="BZ34">
            <v>5041549</v>
          </cell>
          <cell r="CA34">
            <v>0</v>
          </cell>
          <cell r="CB34">
            <v>6344060</v>
          </cell>
          <cell r="DC34">
            <v>0</v>
          </cell>
          <cell r="DT34">
            <v>0</v>
          </cell>
          <cell r="EA34">
            <v>2473147</v>
          </cell>
        </row>
        <row r="35">
          <cell r="BB35">
            <v>10913</v>
          </cell>
          <cell r="BE35">
            <v>125496</v>
          </cell>
          <cell r="BW35">
            <v>12391314</v>
          </cell>
          <cell r="BX35">
            <v>11254605</v>
          </cell>
          <cell r="BZ35">
            <v>5041549</v>
          </cell>
          <cell r="CA35">
            <v>0</v>
          </cell>
          <cell r="CB35">
            <v>6213056</v>
          </cell>
          <cell r="DC35">
            <v>0</v>
          </cell>
          <cell r="DT35">
            <v>0</v>
          </cell>
          <cell r="EA35">
            <v>1136709.375</v>
          </cell>
        </row>
        <row r="36">
          <cell r="BB36">
            <v>3370</v>
          </cell>
          <cell r="BE36">
            <v>38749</v>
          </cell>
          <cell r="BW36">
            <v>3826059.75</v>
          </cell>
          <cell r="BX36">
            <v>3713339.75</v>
          </cell>
          <cell r="BZ36">
            <v>1657495.625</v>
          </cell>
          <cell r="CA36">
            <v>0</v>
          </cell>
          <cell r="CB36">
            <v>2055844.25</v>
          </cell>
          <cell r="DC36">
            <v>0</v>
          </cell>
          <cell r="DT36">
            <v>0</v>
          </cell>
          <cell r="EA36">
            <v>112719.8828125</v>
          </cell>
        </row>
        <row r="37">
          <cell r="BB37">
            <v>0</v>
          </cell>
          <cell r="BE37">
            <v>0</v>
          </cell>
          <cell r="BW37">
            <v>0</v>
          </cell>
          <cell r="BX37">
            <v>0</v>
          </cell>
          <cell r="BZ37">
            <v>0</v>
          </cell>
          <cell r="CA37">
            <v>0</v>
          </cell>
          <cell r="CB37">
            <v>0</v>
          </cell>
          <cell r="DC37">
            <v>0</v>
          </cell>
          <cell r="DT37">
            <v>773578.3125</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2">
        <row r="12">
          <cell r="J12">
            <v>4.985014147084236</v>
          </cell>
        </row>
        <row r="13">
          <cell r="J13">
            <v>0.51052796733915806</v>
          </cell>
        </row>
        <row r="14">
          <cell r="J14">
            <v>3.3595189199218751</v>
          </cell>
          <cell r="L14">
            <v>0</v>
          </cell>
        </row>
        <row r="17">
          <cell r="J17">
            <v>0</v>
          </cell>
          <cell r="L17">
            <v>0</v>
          </cell>
        </row>
        <row r="18">
          <cell r="J18">
            <v>0</v>
          </cell>
          <cell r="L18">
            <v>0</v>
          </cell>
        </row>
        <row r="19">
          <cell r="J19">
            <v>2.5948959804687499</v>
          </cell>
          <cell r="L19">
            <v>0</v>
          </cell>
        </row>
        <row r="20">
          <cell r="J20">
            <v>2.5948959804687499</v>
          </cell>
          <cell r="L20">
            <v>0</v>
          </cell>
        </row>
        <row r="22">
          <cell r="J22">
            <v>0</v>
          </cell>
          <cell r="L22">
            <v>0</v>
          </cell>
        </row>
        <row r="23">
          <cell r="J23">
            <v>0</v>
          </cell>
          <cell r="L23">
            <v>0</v>
          </cell>
        </row>
        <row r="24">
          <cell r="J24">
            <v>3.4235929765624999</v>
          </cell>
          <cell r="L24">
            <v>0</v>
          </cell>
        </row>
        <row r="25">
          <cell r="J25">
            <v>3.4235929765624999</v>
          </cell>
          <cell r="L25">
            <v>0</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PDP"/>
      <sheetName val="D-PNP"/>
      <sheetName val="D-PND"/>
      <sheetName val="D-PRB"/>
      <sheetName val="D-PS"/>
      <sheetName val="CF PDP"/>
      <sheetName val="CF PNP"/>
      <sheetName val="CF PND"/>
      <sheetName val="CF PRB"/>
      <sheetName val="CF PS"/>
      <sheetName val="PDP"/>
      <sheetName val="PNP"/>
      <sheetName val="PND"/>
      <sheetName val="PRB"/>
      <sheetName val="PS"/>
      <sheetName val="PD"/>
      <sheetName val="1P"/>
      <sheetName val="2P"/>
      <sheetName val="3P"/>
      <sheetName val="Sheet1"/>
      <sheetName val="Consolidado"/>
      <sheetName val="Lista"/>
    </sheetNames>
    <sheetDataSet>
      <sheetData sheetId="0"/>
      <sheetData sheetId="1"/>
      <sheetData sheetId="2"/>
      <sheetData sheetId="3"/>
      <sheetData sheetId="4"/>
      <sheetData sheetId="5">
        <row r="36">
          <cell r="AY36">
            <v>73446</v>
          </cell>
          <cell r="BB36">
            <v>491189</v>
          </cell>
          <cell r="BT36">
            <v>49448794</v>
          </cell>
          <cell r="BU36">
            <v>7990054</v>
          </cell>
          <cell r="BW36">
            <v>5041549</v>
          </cell>
          <cell r="BX36">
            <v>0</v>
          </cell>
          <cell r="BY36">
            <v>5273457</v>
          </cell>
          <cell r="CT36">
            <v>255403</v>
          </cell>
          <cell r="DI36">
            <v>0</v>
          </cell>
          <cell r="DN36">
            <v>41458740</v>
          </cell>
        </row>
        <row r="37">
          <cell r="AY37">
            <v>49438</v>
          </cell>
          <cell r="BB37">
            <v>568540</v>
          </cell>
          <cell r="BT37">
            <v>57005192</v>
          </cell>
          <cell r="BU37">
            <v>10036381</v>
          </cell>
          <cell r="BW37">
            <v>5041549</v>
          </cell>
          <cell r="BX37">
            <v>0</v>
          </cell>
          <cell r="BY37">
            <v>4994831</v>
          </cell>
          <cell r="CT37">
            <v>0</v>
          </cell>
          <cell r="DI37">
            <v>0</v>
          </cell>
          <cell r="DN37">
            <v>46968810</v>
          </cell>
        </row>
        <row r="38">
          <cell r="AY38">
            <v>40458</v>
          </cell>
          <cell r="BB38">
            <v>465271</v>
          </cell>
          <cell r="BT38">
            <v>46585278</v>
          </cell>
          <cell r="BU38">
            <v>9478045</v>
          </cell>
          <cell r="BW38">
            <v>5041549</v>
          </cell>
          <cell r="BX38">
            <v>0</v>
          </cell>
          <cell r="BY38">
            <v>4436495</v>
          </cell>
          <cell r="CT38">
            <v>0</v>
          </cell>
          <cell r="DI38">
            <v>0</v>
          </cell>
          <cell r="DN38">
            <v>37107233</v>
          </cell>
        </row>
        <row r="39">
          <cell r="AY39">
            <v>35096</v>
          </cell>
          <cell r="BB39">
            <v>403614</v>
          </cell>
          <cell r="BT39">
            <v>40336428</v>
          </cell>
          <cell r="BU39">
            <v>9324726</v>
          </cell>
          <cell r="BW39">
            <v>5041549</v>
          </cell>
          <cell r="BX39">
            <v>0</v>
          </cell>
          <cell r="BY39">
            <v>4283176</v>
          </cell>
          <cell r="CT39">
            <v>0</v>
          </cell>
          <cell r="DI39">
            <v>0</v>
          </cell>
          <cell r="DN39">
            <v>31011701</v>
          </cell>
        </row>
        <row r="40">
          <cell r="AY40">
            <v>31058</v>
          </cell>
          <cell r="BB40">
            <v>357174</v>
          </cell>
          <cell r="BT40">
            <v>35622767</v>
          </cell>
          <cell r="BU40">
            <v>9250065</v>
          </cell>
          <cell r="BW40">
            <v>5041549</v>
          </cell>
          <cell r="BX40">
            <v>0</v>
          </cell>
          <cell r="BY40">
            <v>4208516</v>
          </cell>
          <cell r="CT40">
            <v>0</v>
          </cell>
          <cell r="DI40">
            <v>0</v>
          </cell>
          <cell r="DN40">
            <v>26372701</v>
          </cell>
        </row>
        <row r="41">
          <cell r="AY41">
            <v>27698</v>
          </cell>
          <cell r="BB41">
            <v>318531</v>
          </cell>
          <cell r="BT41">
            <v>31719817</v>
          </cell>
          <cell r="BU41">
            <v>9208776</v>
          </cell>
          <cell r="BW41">
            <v>5041549</v>
          </cell>
          <cell r="BX41">
            <v>0</v>
          </cell>
          <cell r="BY41">
            <v>4167227</v>
          </cell>
          <cell r="CT41">
            <v>0</v>
          </cell>
          <cell r="DI41">
            <v>0</v>
          </cell>
          <cell r="DN41">
            <v>22511040</v>
          </cell>
        </row>
        <row r="42">
          <cell r="AY42">
            <v>24666</v>
          </cell>
          <cell r="BB42">
            <v>283667</v>
          </cell>
          <cell r="BT42">
            <v>28226535</v>
          </cell>
          <cell r="BU42">
            <v>9058013</v>
          </cell>
          <cell r="BW42">
            <v>5041549</v>
          </cell>
          <cell r="BX42">
            <v>0</v>
          </cell>
          <cell r="BY42">
            <v>4016464</v>
          </cell>
          <cell r="CT42">
            <v>0</v>
          </cell>
          <cell r="DI42">
            <v>0</v>
          </cell>
          <cell r="DN42">
            <v>19168521</v>
          </cell>
        </row>
        <row r="43">
          <cell r="AY43">
            <v>22105</v>
          </cell>
          <cell r="BB43">
            <v>254213</v>
          </cell>
          <cell r="BT43">
            <v>25274983</v>
          </cell>
          <cell r="BU43">
            <v>8927054</v>
          </cell>
          <cell r="BW43">
            <v>5041549</v>
          </cell>
          <cell r="BX43">
            <v>0</v>
          </cell>
          <cell r="BY43">
            <v>3885505</v>
          </cell>
          <cell r="CT43">
            <v>0</v>
          </cell>
          <cell r="DI43">
            <v>0</v>
          </cell>
          <cell r="DN43">
            <v>16347928</v>
          </cell>
        </row>
        <row r="44">
          <cell r="AY44">
            <v>19890</v>
          </cell>
          <cell r="BB44">
            <v>228743</v>
          </cell>
          <cell r="BT44">
            <v>22720894</v>
          </cell>
          <cell r="BU44">
            <v>8881821</v>
          </cell>
          <cell r="BW44">
            <v>5041549</v>
          </cell>
          <cell r="BX44">
            <v>0</v>
          </cell>
          <cell r="BY44">
            <v>3840271</v>
          </cell>
          <cell r="CT44">
            <v>0</v>
          </cell>
          <cell r="DI44">
            <v>0</v>
          </cell>
          <cell r="DN44">
            <v>13839072</v>
          </cell>
        </row>
        <row r="45">
          <cell r="AY45">
            <v>17976</v>
          </cell>
          <cell r="BB45">
            <v>206728</v>
          </cell>
          <cell r="BT45">
            <v>20511679</v>
          </cell>
          <cell r="BU45">
            <v>8802029</v>
          </cell>
          <cell r="BW45">
            <v>5041549</v>
          </cell>
          <cell r="BX45">
            <v>0</v>
          </cell>
          <cell r="BY45">
            <v>3760480</v>
          </cell>
          <cell r="CT45">
            <v>0</v>
          </cell>
          <cell r="DI45">
            <v>0</v>
          </cell>
          <cell r="DN45">
            <v>11709650</v>
          </cell>
        </row>
        <row r="46">
          <cell r="AY46">
            <v>16197</v>
          </cell>
          <cell r="BB46">
            <v>186271</v>
          </cell>
          <cell r="BT46">
            <v>18454231</v>
          </cell>
          <cell r="BU46">
            <v>8635702</v>
          </cell>
          <cell r="BW46">
            <v>5041549</v>
          </cell>
          <cell r="BX46">
            <v>0</v>
          </cell>
          <cell r="BY46">
            <v>3594152</v>
          </cell>
          <cell r="CT46">
            <v>0</v>
          </cell>
          <cell r="DI46">
            <v>0</v>
          </cell>
          <cell r="DN46">
            <v>9818529</v>
          </cell>
        </row>
        <row r="47">
          <cell r="AY47">
            <v>14638</v>
          </cell>
          <cell r="BB47">
            <v>168347</v>
          </cell>
          <cell r="BT47">
            <v>16639340</v>
          </cell>
          <cell r="BU47">
            <v>8344319</v>
          </cell>
          <cell r="BW47">
            <v>5041549</v>
          </cell>
          <cell r="BX47">
            <v>0</v>
          </cell>
          <cell r="BY47">
            <v>3302769</v>
          </cell>
          <cell r="CT47">
            <v>0</v>
          </cell>
          <cell r="DI47">
            <v>0</v>
          </cell>
          <cell r="DN47">
            <v>8295020</v>
          </cell>
        </row>
        <row r="48">
          <cell r="AY48">
            <v>13266</v>
          </cell>
          <cell r="BB48">
            <v>152563</v>
          </cell>
          <cell r="BT48">
            <v>15065947</v>
          </cell>
          <cell r="BU48">
            <v>8124667</v>
          </cell>
          <cell r="BW48">
            <v>5041549</v>
          </cell>
          <cell r="BX48">
            <v>0</v>
          </cell>
          <cell r="BY48">
            <v>3083117</v>
          </cell>
          <cell r="CT48">
            <v>0</v>
          </cell>
          <cell r="DI48">
            <v>0</v>
          </cell>
          <cell r="DN48">
            <v>6941280</v>
          </cell>
        </row>
        <row r="49">
          <cell r="AY49">
            <v>12113</v>
          </cell>
          <cell r="BB49">
            <v>139309</v>
          </cell>
          <cell r="BT49">
            <v>13755326</v>
          </cell>
          <cell r="BU49">
            <v>8001487</v>
          </cell>
          <cell r="BW49">
            <v>5041549</v>
          </cell>
          <cell r="BX49">
            <v>0</v>
          </cell>
          <cell r="BY49">
            <v>2959938</v>
          </cell>
          <cell r="CT49">
            <v>0</v>
          </cell>
          <cell r="DI49">
            <v>0</v>
          </cell>
          <cell r="DN49">
            <v>5753838</v>
          </cell>
        </row>
        <row r="50">
          <cell r="AY50">
            <v>11016</v>
          </cell>
          <cell r="BB50">
            <v>126686</v>
          </cell>
          <cell r="BT50">
            <v>12508893</v>
          </cell>
          <cell r="BU50">
            <v>7899563</v>
          </cell>
          <cell r="BW50">
            <v>5041549</v>
          </cell>
          <cell r="BX50">
            <v>0</v>
          </cell>
          <cell r="BY50">
            <v>2858013</v>
          </cell>
          <cell r="CT50">
            <v>0</v>
          </cell>
          <cell r="DI50">
            <v>0</v>
          </cell>
          <cell r="DN50">
            <v>4609330</v>
          </cell>
        </row>
        <row r="51">
          <cell r="AY51">
            <v>10048</v>
          </cell>
          <cell r="BB51">
            <v>115553</v>
          </cell>
          <cell r="BT51">
            <v>11409678</v>
          </cell>
          <cell r="BU51">
            <v>7764221</v>
          </cell>
          <cell r="BW51">
            <v>5041549</v>
          </cell>
          <cell r="BX51">
            <v>0</v>
          </cell>
          <cell r="BY51">
            <v>2722671</v>
          </cell>
          <cell r="CT51">
            <v>0</v>
          </cell>
          <cell r="DI51">
            <v>0</v>
          </cell>
          <cell r="DN51">
            <v>3645457</v>
          </cell>
        </row>
        <row r="52">
          <cell r="AY52">
            <v>9225</v>
          </cell>
          <cell r="BB52">
            <v>106088</v>
          </cell>
          <cell r="BT52">
            <v>10475112</v>
          </cell>
          <cell r="BU52">
            <v>7746463</v>
          </cell>
          <cell r="BW52">
            <v>5041549</v>
          </cell>
          <cell r="BX52">
            <v>0</v>
          </cell>
          <cell r="BY52">
            <v>2704914</v>
          </cell>
          <cell r="CT52">
            <v>0</v>
          </cell>
          <cell r="DI52">
            <v>0</v>
          </cell>
          <cell r="DN52">
            <v>2728648</v>
          </cell>
        </row>
        <row r="53">
          <cell r="AY53">
            <v>8445</v>
          </cell>
          <cell r="BB53">
            <v>97119</v>
          </cell>
          <cell r="BT53">
            <v>9589504</v>
          </cell>
          <cell r="BU53">
            <v>7620735</v>
          </cell>
          <cell r="BW53">
            <v>5041549</v>
          </cell>
          <cell r="BX53">
            <v>0</v>
          </cell>
          <cell r="BY53">
            <v>2579185</v>
          </cell>
          <cell r="CT53">
            <v>0</v>
          </cell>
          <cell r="DI53">
            <v>0</v>
          </cell>
          <cell r="DN53">
            <v>1968768</v>
          </cell>
        </row>
        <row r="54">
          <cell r="AY54">
            <v>7712</v>
          </cell>
          <cell r="BB54">
            <v>88691</v>
          </cell>
          <cell r="BT54">
            <v>8757290</v>
          </cell>
          <cell r="BU54">
            <v>7477565</v>
          </cell>
          <cell r="BW54">
            <v>5041549</v>
          </cell>
          <cell r="BX54">
            <v>0</v>
          </cell>
          <cell r="BY54">
            <v>2436015</v>
          </cell>
          <cell r="CT54">
            <v>0</v>
          </cell>
          <cell r="DI54">
            <v>0</v>
          </cell>
          <cell r="DN54">
            <v>1279725</v>
          </cell>
        </row>
        <row r="55">
          <cell r="AY55">
            <v>7077</v>
          </cell>
          <cell r="BB55">
            <v>81394</v>
          </cell>
          <cell r="BT55">
            <v>8036859</v>
          </cell>
          <cell r="BU55">
            <v>7371910</v>
          </cell>
          <cell r="BW55">
            <v>5041549</v>
          </cell>
          <cell r="BX55">
            <v>0</v>
          </cell>
          <cell r="BY55">
            <v>2330360</v>
          </cell>
          <cell r="CT55">
            <v>0</v>
          </cell>
          <cell r="DI55">
            <v>0</v>
          </cell>
          <cell r="DN55">
            <v>664949</v>
          </cell>
        </row>
        <row r="56">
          <cell r="AY56">
            <v>6534</v>
          </cell>
          <cell r="BB56">
            <v>75142</v>
          </cell>
          <cell r="BT56">
            <v>7419503</v>
          </cell>
          <cell r="BU56">
            <v>7338465</v>
          </cell>
          <cell r="BW56">
            <v>5041549</v>
          </cell>
          <cell r="BX56">
            <v>0</v>
          </cell>
          <cell r="BY56">
            <v>2296916</v>
          </cell>
          <cell r="CT56">
            <v>0</v>
          </cell>
          <cell r="DI56">
            <v>0</v>
          </cell>
          <cell r="DN56">
            <v>81038</v>
          </cell>
        </row>
        <row r="57">
          <cell r="AY57">
            <v>0</v>
          </cell>
          <cell r="BB57">
            <v>0</v>
          </cell>
          <cell r="BT57">
            <v>0</v>
          </cell>
          <cell r="BU57">
            <v>0</v>
          </cell>
          <cell r="BW57">
            <v>0</v>
          </cell>
          <cell r="BX57">
            <v>0</v>
          </cell>
          <cell r="BY57">
            <v>0</v>
          </cell>
          <cell r="CT57">
            <v>0</v>
          </cell>
          <cell r="DI57">
            <v>29744978</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6">
        <row r="36">
          <cell r="AY36">
            <v>4035</v>
          </cell>
          <cell r="BB36">
            <v>46404</v>
          </cell>
          <cell r="BT36">
            <v>4701942</v>
          </cell>
          <cell r="BU36">
            <v>402587</v>
          </cell>
          <cell r="BW36">
            <v>0</v>
          </cell>
          <cell r="BX36">
            <v>0</v>
          </cell>
          <cell r="BY36">
            <v>519732</v>
          </cell>
          <cell r="CT36">
            <v>0</v>
          </cell>
          <cell r="DI36">
            <v>0</v>
          </cell>
          <cell r="DN36">
            <v>4299355</v>
          </cell>
        </row>
        <row r="37">
          <cell r="AY37">
            <v>5641</v>
          </cell>
          <cell r="BB37">
            <v>64875</v>
          </cell>
          <cell r="BT37">
            <v>6541156</v>
          </cell>
          <cell r="BU37">
            <v>522411</v>
          </cell>
          <cell r="BW37">
            <v>0</v>
          </cell>
          <cell r="BX37">
            <v>0</v>
          </cell>
          <cell r="BY37">
            <v>522411</v>
          </cell>
          <cell r="CT37">
            <v>0</v>
          </cell>
          <cell r="DI37">
            <v>0</v>
          </cell>
          <cell r="DN37">
            <v>6018745</v>
          </cell>
        </row>
        <row r="38">
          <cell r="AY38">
            <v>4215</v>
          </cell>
          <cell r="BB38">
            <v>48474</v>
          </cell>
          <cell r="BT38">
            <v>4884191</v>
          </cell>
          <cell r="BU38">
            <v>472807</v>
          </cell>
          <cell r="BW38">
            <v>0</v>
          </cell>
          <cell r="BX38">
            <v>0</v>
          </cell>
          <cell r="BY38">
            <v>472807</v>
          </cell>
          <cell r="CT38">
            <v>0</v>
          </cell>
          <cell r="DI38">
            <v>0</v>
          </cell>
          <cell r="DN38">
            <v>4411384</v>
          </cell>
        </row>
        <row r="39">
          <cell r="AY39">
            <v>3568</v>
          </cell>
          <cell r="BB39">
            <v>41038</v>
          </cell>
          <cell r="BT39">
            <v>4124940</v>
          </cell>
          <cell r="BU39">
            <v>461224</v>
          </cell>
          <cell r="BW39">
            <v>0</v>
          </cell>
          <cell r="BX39">
            <v>0</v>
          </cell>
          <cell r="BY39">
            <v>461224</v>
          </cell>
          <cell r="CT39">
            <v>0</v>
          </cell>
          <cell r="DI39">
            <v>0</v>
          </cell>
          <cell r="DN39">
            <v>3663715</v>
          </cell>
        </row>
        <row r="40">
          <cell r="AY40">
            <v>3147</v>
          </cell>
          <cell r="BB40">
            <v>36191</v>
          </cell>
          <cell r="BT40">
            <v>3627162</v>
          </cell>
          <cell r="BU40">
            <v>459210</v>
          </cell>
          <cell r="BW40">
            <v>0</v>
          </cell>
          <cell r="BX40">
            <v>0</v>
          </cell>
          <cell r="BY40">
            <v>459210</v>
          </cell>
          <cell r="CT40">
            <v>0</v>
          </cell>
          <cell r="DI40">
            <v>0</v>
          </cell>
          <cell r="DN40">
            <v>3167952</v>
          </cell>
        </row>
        <row r="41">
          <cell r="AY41">
            <v>2795</v>
          </cell>
          <cell r="BB41">
            <v>32150</v>
          </cell>
          <cell r="BT41">
            <v>3215040</v>
          </cell>
          <cell r="BU41">
            <v>382429</v>
          </cell>
          <cell r="BW41">
            <v>0</v>
          </cell>
          <cell r="BX41">
            <v>0</v>
          </cell>
          <cell r="BY41">
            <v>382429</v>
          </cell>
          <cell r="CT41">
            <v>0</v>
          </cell>
          <cell r="DI41">
            <v>0</v>
          </cell>
          <cell r="DN41">
            <v>2832611</v>
          </cell>
        </row>
        <row r="42">
          <cell r="AY42">
            <v>2481</v>
          </cell>
          <cell r="BB42">
            <v>28540</v>
          </cell>
          <cell r="BT42">
            <v>2851258</v>
          </cell>
          <cell r="BU42">
            <v>360702</v>
          </cell>
          <cell r="BW42">
            <v>0</v>
          </cell>
          <cell r="BX42">
            <v>0</v>
          </cell>
          <cell r="BY42">
            <v>360702</v>
          </cell>
          <cell r="CT42">
            <v>0</v>
          </cell>
          <cell r="DI42">
            <v>0</v>
          </cell>
          <cell r="DN42">
            <v>2490555</v>
          </cell>
        </row>
        <row r="43">
          <cell r="AY43">
            <v>2216</v>
          </cell>
          <cell r="BB43">
            <v>25492</v>
          </cell>
          <cell r="BT43">
            <v>2543842</v>
          </cell>
          <cell r="BU43">
            <v>359501</v>
          </cell>
          <cell r="BW43">
            <v>0</v>
          </cell>
          <cell r="BX43">
            <v>0</v>
          </cell>
          <cell r="BY43">
            <v>359501</v>
          </cell>
          <cell r="CT43">
            <v>0</v>
          </cell>
          <cell r="DI43">
            <v>0</v>
          </cell>
          <cell r="DN43">
            <v>2184340</v>
          </cell>
        </row>
        <row r="44">
          <cell r="AY44">
            <v>1985</v>
          </cell>
          <cell r="BB44">
            <v>22834</v>
          </cell>
          <cell r="BT44">
            <v>2275504</v>
          </cell>
          <cell r="BU44">
            <v>358458</v>
          </cell>
          <cell r="BW44">
            <v>0</v>
          </cell>
          <cell r="BX44">
            <v>0</v>
          </cell>
          <cell r="BY44">
            <v>358458</v>
          </cell>
          <cell r="CT44">
            <v>0</v>
          </cell>
          <cell r="DI44">
            <v>0</v>
          </cell>
          <cell r="DN44">
            <v>1917045</v>
          </cell>
        </row>
        <row r="45">
          <cell r="AY45">
            <v>1788</v>
          </cell>
          <cell r="BB45">
            <v>20562</v>
          </cell>
          <cell r="BT45">
            <v>2045725</v>
          </cell>
          <cell r="BU45">
            <v>357881</v>
          </cell>
          <cell r="BW45">
            <v>0</v>
          </cell>
          <cell r="BX45">
            <v>0</v>
          </cell>
          <cell r="BY45">
            <v>357881</v>
          </cell>
          <cell r="CT45">
            <v>0</v>
          </cell>
          <cell r="DI45">
            <v>0</v>
          </cell>
          <cell r="DN45">
            <v>1687843</v>
          </cell>
        </row>
        <row r="46">
          <cell r="AY46">
            <v>1605</v>
          </cell>
          <cell r="BB46">
            <v>18460</v>
          </cell>
          <cell r="BT46">
            <v>1831445</v>
          </cell>
          <cell r="BU46">
            <v>356749</v>
          </cell>
          <cell r="BW46">
            <v>0</v>
          </cell>
          <cell r="BX46">
            <v>0</v>
          </cell>
          <cell r="BY46">
            <v>356749</v>
          </cell>
          <cell r="CT46">
            <v>0</v>
          </cell>
          <cell r="DI46">
            <v>0</v>
          </cell>
          <cell r="DN46">
            <v>1474695</v>
          </cell>
        </row>
        <row r="47">
          <cell r="AY47">
            <v>1448</v>
          </cell>
          <cell r="BB47">
            <v>16660</v>
          </cell>
          <cell r="BT47">
            <v>1647353</v>
          </cell>
          <cell r="BU47">
            <v>356050</v>
          </cell>
          <cell r="BW47">
            <v>0</v>
          </cell>
          <cell r="BX47">
            <v>0</v>
          </cell>
          <cell r="BY47">
            <v>356050</v>
          </cell>
          <cell r="CT47">
            <v>0</v>
          </cell>
          <cell r="DI47">
            <v>0</v>
          </cell>
          <cell r="DN47">
            <v>1291302</v>
          </cell>
        </row>
        <row r="48">
          <cell r="AY48">
            <v>1310</v>
          </cell>
          <cell r="BB48">
            <v>15069</v>
          </cell>
          <cell r="BT48">
            <v>1488173</v>
          </cell>
          <cell r="BU48">
            <v>355435</v>
          </cell>
          <cell r="BW48">
            <v>0</v>
          </cell>
          <cell r="BX48">
            <v>0</v>
          </cell>
          <cell r="BY48">
            <v>355435</v>
          </cell>
          <cell r="CT48">
            <v>0</v>
          </cell>
          <cell r="DI48">
            <v>0</v>
          </cell>
          <cell r="DN48">
            <v>1132738</v>
          </cell>
        </row>
        <row r="49">
          <cell r="AY49">
            <v>1190</v>
          </cell>
          <cell r="BB49">
            <v>13692</v>
          </cell>
          <cell r="BT49">
            <v>1352030</v>
          </cell>
          <cell r="BU49">
            <v>355217</v>
          </cell>
          <cell r="BW49">
            <v>0</v>
          </cell>
          <cell r="BX49">
            <v>0</v>
          </cell>
          <cell r="BY49">
            <v>355217</v>
          </cell>
          <cell r="CT49">
            <v>0</v>
          </cell>
          <cell r="DI49">
            <v>0</v>
          </cell>
          <cell r="DN49">
            <v>996812</v>
          </cell>
        </row>
        <row r="50">
          <cell r="AY50">
            <v>1078</v>
          </cell>
          <cell r="BB50">
            <v>12398</v>
          </cell>
          <cell r="BT50">
            <v>1224190</v>
          </cell>
          <cell r="BU50">
            <v>354408</v>
          </cell>
          <cell r="BW50">
            <v>0</v>
          </cell>
          <cell r="BX50">
            <v>0</v>
          </cell>
          <cell r="BY50">
            <v>354408</v>
          </cell>
          <cell r="CT50">
            <v>0</v>
          </cell>
          <cell r="DI50">
            <v>0</v>
          </cell>
          <cell r="DN50">
            <v>869782</v>
          </cell>
        </row>
        <row r="51">
          <cell r="AY51">
            <v>980</v>
          </cell>
          <cell r="BB51">
            <v>11278</v>
          </cell>
          <cell r="BT51">
            <v>1113606</v>
          </cell>
          <cell r="BU51">
            <v>353980</v>
          </cell>
          <cell r="BW51">
            <v>0</v>
          </cell>
          <cell r="BX51">
            <v>0</v>
          </cell>
          <cell r="BY51">
            <v>353980</v>
          </cell>
          <cell r="CT51">
            <v>0</v>
          </cell>
          <cell r="DI51">
            <v>0</v>
          </cell>
          <cell r="DN51">
            <v>759626</v>
          </cell>
        </row>
        <row r="52">
          <cell r="AY52">
            <v>893</v>
          </cell>
          <cell r="BB52">
            <v>10276</v>
          </cell>
          <cell r="BT52">
            <v>1014696</v>
          </cell>
          <cell r="BU52">
            <v>353599</v>
          </cell>
          <cell r="BW52">
            <v>0</v>
          </cell>
          <cell r="BX52">
            <v>0</v>
          </cell>
          <cell r="BY52">
            <v>353599</v>
          </cell>
          <cell r="CT52">
            <v>0</v>
          </cell>
          <cell r="DI52">
            <v>0</v>
          </cell>
          <cell r="DN52">
            <v>661097</v>
          </cell>
        </row>
        <row r="53">
          <cell r="AY53">
            <v>817</v>
          </cell>
          <cell r="BB53">
            <v>9402</v>
          </cell>
          <cell r="BT53">
            <v>928431</v>
          </cell>
          <cell r="BU53">
            <v>353580</v>
          </cell>
          <cell r="BW53">
            <v>0</v>
          </cell>
          <cell r="BX53">
            <v>0</v>
          </cell>
          <cell r="BY53">
            <v>353580</v>
          </cell>
          <cell r="CT53">
            <v>0</v>
          </cell>
          <cell r="DI53">
            <v>0</v>
          </cell>
          <cell r="DN53">
            <v>574850</v>
          </cell>
        </row>
        <row r="54">
          <cell r="AY54">
            <v>745</v>
          </cell>
          <cell r="BB54">
            <v>8568</v>
          </cell>
          <cell r="BT54">
            <v>846090</v>
          </cell>
          <cell r="BU54">
            <v>352953</v>
          </cell>
          <cell r="BW54">
            <v>0</v>
          </cell>
          <cell r="BX54">
            <v>0</v>
          </cell>
          <cell r="BY54">
            <v>352953</v>
          </cell>
          <cell r="CT54">
            <v>0</v>
          </cell>
          <cell r="DI54">
            <v>0</v>
          </cell>
          <cell r="DN54">
            <v>493136</v>
          </cell>
        </row>
        <row r="55">
          <cell r="AY55">
            <v>680</v>
          </cell>
          <cell r="BB55">
            <v>7823</v>
          </cell>
          <cell r="BT55">
            <v>772487</v>
          </cell>
          <cell r="BU55">
            <v>312341</v>
          </cell>
          <cell r="BW55">
            <v>0</v>
          </cell>
          <cell r="BX55">
            <v>0</v>
          </cell>
          <cell r="BY55">
            <v>312341</v>
          </cell>
          <cell r="CT55">
            <v>0</v>
          </cell>
          <cell r="DI55">
            <v>0</v>
          </cell>
          <cell r="DN55">
            <v>460145</v>
          </cell>
        </row>
        <row r="56">
          <cell r="AY56">
            <v>622</v>
          </cell>
          <cell r="BB56">
            <v>7160</v>
          </cell>
          <cell r="BT56">
            <v>707057</v>
          </cell>
          <cell r="BU56">
            <v>283799</v>
          </cell>
          <cell r="BW56">
            <v>0</v>
          </cell>
          <cell r="BX56">
            <v>0</v>
          </cell>
          <cell r="BY56">
            <v>283799</v>
          </cell>
          <cell r="CT56">
            <v>0</v>
          </cell>
          <cell r="DI56">
            <v>0</v>
          </cell>
          <cell r="DN56">
            <v>423258</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7">
        <row r="36">
          <cell r="AY36">
            <v>0</v>
          </cell>
          <cell r="BB36">
            <v>0</v>
          </cell>
          <cell r="BT36">
            <v>0</v>
          </cell>
          <cell r="BU36">
            <v>0</v>
          </cell>
          <cell r="BW36">
            <v>0</v>
          </cell>
          <cell r="BX36">
            <v>0</v>
          </cell>
          <cell r="BY36">
            <v>0</v>
          </cell>
          <cell r="CT36">
            <v>3425793</v>
          </cell>
          <cell r="DI36">
            <v>0</v>
          </cell>
          <cell r="DN36">
            <v>0</v>
          </cell>
        </row>
        <row r="37">
          <cell r="AY37">
            <v>0</v>
          </cell>
          <cell r="BB37">
            <v>0</v>
          </cell>
          <cell r="BT37">
            <v>0</v>
          </cell>
          <cell r="BU37">
            <v>5001</v>
          </cell>
          <cell r="BW37">
            <v>0</v>
          </cell>
          <cell r="BX37">
            <v>0</v>
          </cell>
          <cell r="BY37">
            <v>5001</v>
          </cell>
          <cell r="CT37">
            <v>3702819</v>
          </cell>
          <cell r="DI37">
            <v>0</v>
          </cell>
          <cell r="DN37">
            <v>-5001</v>
          </cell>
        </row>
        <row r="38">
          <cell r="AY38">
            <v>6507</v>
          </cell>
          <cell r="BB38">
            <v>74836</v>
          </cell>
          <cell r="BT38">
            <v>7389273</v>
          </cell>
          <cell r="BU38">
            <v>1357830</v>
          </cell>
          <cell r="BW38">
            <v>0</v>
          </cell>
          <cell r="BX38">
            <v>0</v>
          </cell>
          <cell r="BY38">
            <v>1357830</v>
          </cell>
          <cell r="CT38">
            <v>64015126</v>
          </cell>
          <cell r="DI38">
            <v>0</v>
          </cell>
          <cell r="DN38">
            <v>6031442</v>
          </cell>
        </row>
        <row r="39">
          <cell r="AY39">
            <v>21946</v>
          </cell>
          <cell r="BB39">
            <v>252383</v>
          </cell>
          <cell r="BT39">
            <v>24920144</v>
          </cell>
          <cell r="BU39">
            <v>2450727</v>
          </cell>
          <cell r="BW39">
            <v>0</v>
          </cell>
          <cell r="BX39">
            <v>0</v>
          </cell>
          <cell r="BY39">
            <v>2450727</v>
          </cell>
          <cell r="CT39">
            <v>39394742</v>
          </cell>
          <cell r="DI39">
            <v>0</v>
          </cell>
          <cell r="DN39">
            <v>22469417</v>
          </cell>
        </row>
        <row r="40">
          <cell r="AY40">
            <v>47855</v>
          </cell>
          <cell r="BB40">
            <v>550333</v>
          </cell>
          <cell r="BT40">
            <v>54339413</v>
          </cell>
          <cell r="BU40">
            <v>2864289</v>
          </cell>
          <cell r="BW40">
            <v>0</v>
          </cell>
          <cell r="BX40">
            <v>0</v>
          </cell>
          <cell r="BY40">
            <v>2864289</v>
          </cell>
          <cell r="CT40">
            <v>27657931</v>
          </cell>
          <cell r="DI40">
            <v>0</v>
          </cell>
          <cell r="DN40">
            <v>51475123</v>
          </cell>
        </row>
        <row r="41">
          <cell r="AY41">
            <v>55877</v>
          </cell>
          <cell r="BB41">
            <v>642593</v>
          </cell>
          <cell r="BT41">
            <v>63449070</v>
          </cell>
          <cell r="BU41">
            <v>3176865</v>
          </cell>
          <cell r="BW41">
            <v>0</v>
          </cell>
          <cell r="BX41">
            <v>0</v>
          </cell>
          <cell r="BY41">
            <v>3176865</v>
          </cell>
          <cell r="CT41">
            <v>18406888</v>
          </cell>
          <cell r="DI41">
            <v>0</v>
          </cell>
          <cell r="DN41">
            <v>60272204</v>
          </cell>
        </row>
        <row r="42">
          <cell r="AY42">
            <v>42909</v>
          </cell>
          <cell r="BB42">
            <v>493454</v>
          </cell>
          <cell r="BT42">
            <v>48723269</v>
          </cell>
          <cell r="BU42">
            <v>2824660</v>
          </cell>
          <cell r="BW42">
            <v>0</v>
          </cell>
          <cell r="BX42">
            <v>0</v>
          </cell>
          <cell r="BY42">
            <v>2824660</v>
          </cell>
          <cell r="CT42">
            <v>9491692</v>
          </cell>
          <cell r="DI42">
            <v>0</v>
          </cell>
          <cell r="DN42">
            <v>45898608</v>
          </cell>
        </row>
        <row r="43">
          <cell r="AY43">
            <v>30643</v>
          </cell>
          <cell r="BB43">
            <v>352399</v>
          </cell>
          <cell r="BT43">
            <v>34795594</v>
          </cell>
          <cell r="BU43">
            <v>2524409</v>
          </cell>
          <cell r="BW43">
            <v>0</v>
          </cell>
          <cell r="BX43">
            <v>0</v>
          </cell>
          <cell r="BY43">
            <v>2524409</v>
          </cell>
          <cell r="CT43">
            <v>2384195</v>
          </cell>
          <cell r="DI43">
            <v>0</v>
          </cell>
          <cell r="DN43">
            <v>32271184</v>
          </cell>
        </row>
        <row r="44">
          <cell r="AY44">
            <v>22548</v>
          </cell>
          <cell r="BB44">
            <v>259306</v>
          </cell>
          <cell r="BT44">
            <v>25603646</v>
          </cell>
          <cell r="BU44">
            <v>2473652</v>
          </cell>
          <cell r="BW44">
            <v>0</v>
          </cell>
          <cell r="BX44">
            <v>0</v>
          </cell>
          <cell r="BY44">
            <v>2473652</v>
          </cell>
          <cell r="CT44">
            <v>105554</v>
          </cell>
          <cell r="DI44">
            <v>0</v>
          </cell>
          <cell r="DN44">
            <v>23129994</v>
          </cell>
        </row>
        <row r="45">
          <cell r="AY45">
            <v>16770</v>
          </cell>
          <cell r="BB45">
            <v>192863</v>
          </cell>
          <cell r="BT45">
            <v>19043205</v>
          </cell>
          <cell r="BU45">
            <v>2419252</v>
          </cell>
          <cell r="BW45">
            <v>0</v>
          </cell>
          <cell r="BX45">
            <v>0</v>
          </cell>
          <cell r="BY45">
            <v>2419252</v>
          </cell>
          <cell r="CT45">
            <v>0</v>
          </cell>
          <cell r="DI45">
            <v>0</v>
          </cell>
          <cell r="DN45">
            <v>16623953</v>
          </cell>
        </row>
        <row r="46">
          <cell r="AY46">
            <v>12610</v>
          </cell>
          <cell r="BB46">
            <v>145015</v>
          </cell>
          <cell r="BT46">
            <v>14318706</v>
          </cell>
          <cell r="BU46">
            <v>2402866</v>
          </cell>
          <cell r="BW46">
            <v>0</v>
          </cell>
          <cell r="BX46">
            <v>0</v>
          </cell>
          <cell r="BY46">
            <v>2402866</v>
          </cell>
          <cell r="CT46">
            <v>0</v>
          </cell>
          <cell r="DI46">
            <v>0</v>
          </cell>
          <cell r="DN46">
            <v>11915840</v>
          </cell>
        </row>
        <row r="47">
          <cell r="AY47">
            <v>9567</v>
          </cell>
          <cell r="BB47">
            <v>110028</v>
          </cell>
          <cell r="BT47">
            <v>10864074</v>
          </cell>
          <cell r="BU47">
            <v>2388877</v>
          </cell>
          <cell r="BW47">
            <v>0</v>
          </cell>
          <cell r="BX47">
            <v>0</v>
          </cell>
          <cell r="BY47">
            <v>2388877</v>
          </cell>
          <cell r="CT47">
            <v>0</v>
          </cell>
          <cell r="DI47">
            <v>0</v>
          </cell>
          <cell r="DN47">
            <v>8475197</v>
          </cell>
        </row>
        <row r="48">
          <cell r="AY48">
            <v>7327</v>
          </cell>
          <cell r="BB48">
            <v>84262</v>
          </cell>
          <cell r="BT48">
            <v>8320005</v>
          </cell>
          <cell r="BU48">
            <v>2377425</v>
          </cell>
          <cell r="BW48">
            <v>0</v>
          </cell>
          <cell r="BX48">
            <v>0</v>
          </cell>
          <cell r="BY48">
            <v>2377425</v>
          </cell>
          <cell r="CT48">
            <v>0</v>
          </cell>
          <cell r="DI48">
            <v>0</v>
          </cell>
          <cell r="DN48">
            <v>5942579</v>
          </cell>
        </row>
        <row r="49">
          <cell r="AY49">
            <v>5618</v>
          </cell>
          <cell r="BB49">
            <v>64617</v>
          </cell>
          <cell r="BT49">
            <v>6380242</v>
          </cell>
          <cell r="BU49">
            <v>2331781</v>
          </cell>
          <cell r="BW49">
            <v>0</v>
          </cell>
          <cell r="BX49">
            <v>0</v>
          </cell>
          <cell r="BY49">
            <v>2331781</v>
          </cell>
          <cell r="CT49">
            <v>0</v>
          </cell>
          <cell r="DI49">
            <v>0</v>
          </cell>
          <cell r="DN49">
            <v>4048461</v>
          </cell>
        </row>
        <row r="50">
          <cell r="AY50">
            <v>4366</v>
          </cell>
          <cell r="BB50">
            <v>50218</v>
          </cell>
          <cell r="BT50">
            <v>4958491</v>
          </cell>
          <cell r="BU50">
            <v>2326189</v>
          </cell>
          <cell r="BW50">
            <v>0</v>
          </cell>
          <cell r="BX50">
            <v>0</v>
          </cell>
          <cell r="BY50">
            <v>2326189</v>
          </cell>
          <cell r="CT50">
            <v>0</v>
          </cell>
          <cell r="DI50">
            <v>0</v>
          </cell>
          <cell r="DN50">
            <v>2632302</v>
          </cell>
        </row>
        <row r="51">
          <cell r="AY51">
            <v>3400</v>
          </cell>
          <cell r="BB51">
            <v>39103</v>
          </cell>
          <cell r="BT51">
            <v>3861010</v>
          </cell>
          <cell r="BU51">
            <v>2283590</v>
          </cell>
          <cell r="BW51">
            <v>0</v>
          </cell>
          <cell r="BX51">
            <v>0</v>
          </cell>
          <cell r="BY51">
            <v>2283590</v>
          </cell>
          <cell r="CT51">
            <v>0</v>
          </cell>
          <cell r="DI51">
            <v>0</v>
          </cell>
          <cell r="DN51">
            <v>1577419</v>
          </cell>
        </row>
        <row r="52">
          <cell r="AY52">
            <v>2674</v>
          </cell>
          <cell r="BB52">
            <v>30753</v>
          </cell>
          <cell r="BT52">
            <v>3036575</v>
          </cell>
          <cell r="BU52">
            <v>2275079</v>
          </cell>
          <cell r="BW52">
            <v>0</v>
          </cell>
          <cell r="BX52">
            <v>0</v>
          </cell>
          <cell r="BY52">
            <v>2275079</v>
          </cell>
          <cell r="CT52">
            <v>0</v>
          </cell>
          <cell r="DI52">
            <v>0</v>
          </cell>
          <cell r="DN52">
            <v>761495</v>
          </cell>
        </row>
        <row r="53">
          <cell r="AY53">
            <v>1934</v>
          </cell>
          <cell r="BB53">
            <v>22249</v>
          </cell>
          <cell r="BT53">
            <v>2196895</v>
          </cell>
          <cell r="BU53">
            <v>2076794</v>
          </cell>
          <cell r="BW53">
            <v>0</v>
          </cell>
          <cell r="BX53">
            <v>0</v>
          </cell>
          <cell r="BY53">
            <v>2076794</v>
          </cell>
          <cell r="CT53">
            <v>0</v>
          </cell>
          <cell r="DI53">
            <v>0</v>
          </cell>
          <cell r="DN53">
            <v>120101</v>
          </cell>
        </row>
        <row r="54">
          <cell r="AY54">
            <v>0</v>
          </cell>
          <cell r="BB54">
            <v>0</v>
          </cell>
          <cell r="BT54">
            <v>0</v>
          </cell>
          <cell r="BU54">
            <v>0</v>
          </cell>
          <cell r="BW54">
            <v>0</v>
          </cell>
          <cell r="BX54">
            <v>0</v>
          </cell>
          <cell r="BY54">
            <v>0</v>
          </cell>
          <cell r="CT54">
            <v>0</v>
          </cell>
          <cell r="DI54">
            <v>2320734</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0</v>
          </cell>
          <cell r="BB36">
            <v>0</v>
          </cell>
          <cell r="BT36">
            <v>0</v>
          </cell>
          <cell r="BU36">
            <v>0</v>
          </cell>
          <cell r="BW36">
            <v>0</v>
          </cell>
          <cell r="BX36">
            <v>0</v>
          </cell>
          <cell r="BY36">
            <v>0</v>
          </cell>
          <cell r="CT36">
            <v>663056</v>
          </cell>
          <cell r="DI36">
            <v>0</v>
          </cell>
          <cell r="DN36">
            <v>0</v>
          </cell>
        </row>
        <row r="37">
          <cell r="AY37">
            <v>0</v>
          </cell>
          <cell r="BB37">
            <v>0</v>
          </cell>
          <cell r="BT37">
            <v>0</v>
          </cell>
          <cell r="BU37">
            <v>20141</v>
          </cell>
          <cell r="BW37">
            <v>0</v>
          </cell>
          <cell r="BX37">
            <v>0</v>
          </cell>
          <cell r="BY37">
            <v>20141</v>
          </cell>
          <cell r="CT37">
            <v>1945497</v>
          </cell>
          <cell r="DI37">
            <v>0</v>
          </cell>
          <cell r="DN37">
            <v>-20141</v>
          </cell>
        </row>
        <row r="38">
          <cell r="AY38">
            <v>3389</v>
          </cell>
          <cell r="BB38">
            <v>38983</v>
          </cell>
          <cell r="BT38">
            <v>3849196</v>
          </cell>
          <cell r="BU38">
            <v>503050</v>
          </cell>
          <cell r="BW38">
            <v>0</v>
          </cell>
          <cell r="BX38">
            <v>0</v>
          </cell>
          <cell r="BY38">
            <v>503050</v>
          </cell>
          <cell r="CT38">
            <v>3754431</v>
          </cell>
          <cell r="DI38">
            <v>0</v>
          </cell>
          <cell r="DN38">
            <v>3346146</v>
          </cell>
        </row>
        <row r="39">
          <cell r="AY39">
            <v>12428</v>
          </cell>
          <cell r="BB39">
            <v>142933</v>
          </cell>
          <cell r="BT39">
            <v>14113098</v>
          </cell>
          <cell r="BU39">
            <v>856266</v>
          </cell>
          <cell r="BW39">
            <v>0</v>
          </cell>
          <cell r="BX39">
            <v>0</v>
          </cell>
          <cell r="BY39">
            <v>856266</v>
          </cell>
          <cell r="CT39">
            <v>14632525</v>
          </cell>
          <cell r="DI39">
            <v>0</v>
          </cell>
          <cell r="DN39">
            <v>13256832</v>
          </cell>
        </row>
        <row r="40">
          <cell r="AY40">
            <v>23896</v>
          </cell>
          <cell r="BB40">
            <v>274812</v>
          </cell>
          <cell r="BT40">
            <v>27134731</v>
          </cell>
          <cell r="BU40">
            <v>1186528</v>
          </cell>
          <cell r="BW40">
            <v>0</v>
          </cell>
          <cell r="BX40">
            <v>0</v>
          </cell>
          <cell r="BY40">
            <v>1186528</v>
          </cell>
          <cell r="CT40">
            <v>2672010</v>
          </cell>
          <cell r="DI40">
            <v>0</v>
          </cell>
          <cell r="DN40">
            <v>25948203</v>
          </cell>
        </row>
        <row r="41">
          <cell r="AY41">
            <v>29177</v>
          </cell>
          <cell r="BB41">
            <v>335539</v>
          </cell>
          <cell r="BT41">
            <v>33130813</v>
          </cell>
          <cell r="BU41">
            <v>1407868</v>
          </cell>
          <cell r="BW41">
            <v>0</v>
          </cell>
          <cell r="BX41">
            <v>0</v>
          </cell>
          <cell r="BY41">
            <v>1407868</v>
          </cell>
          <cell r="CT41">
            <v>1551272</v>
          </cell>
          <cell r="DI41">
            <v>0</v>
          </cell>
          <cell r="DN41">
            <v>31722944</v>
          </cell>
        </row>
        <row r="42">
          <cell r="AY42">
            <v>30322</v>
          </cell>
          <cell r="BB42">
            <v>348711</v>
          </cell>
          <cell r="BT42">
            <v>34431436</v>
          </cell>
          <cell r="BU42">
            <v>1511605</v>
          </cell>
          <cell r="BW42">
            <v>0</v>
          </cell>
          <cell r="BX42">
            <v>0</v>
          </cell>
          <cell r="BY42">
            <v>1511605</v>
          </cell>
          <cell r="CT42">
            <v>1267918</v>
          </cell>
          <cell r="DI42">
            <v>0</v>
          </cell>
          <cell r="DN42">
            <v>32919831</v>
          </cell>
        </row>
        <row r="43">
          <cell r="AY43">
            <v>26724</v>
          </cell>
          <cell r="BB43">
            <v>307331</v>
          </cell>
          <cell r="BT43">
            <v>30345628</v>
          </cell>
          <cell r="BU43">
            <v>1524605</v>
          </cell>
          <cell r="BW43">
            <v>0</v>
          </cell>
          <cell r="BX43">
            <v>0</v>
          </cell>
          <cell r="BY43">
            <v>1524605</v>
          </cell>
          <cell r="CT43">
            <v>461457</v>
          </cell>
          <cell r="DI43">
            <v>0</v>
          </cell>
          <cell r="DN43">
            <v>28821022</v>
          </cell>
        </row>
        <row r="44">
          <cell r="AY44">
            <v>21512</v>
          </cell>
          <cell r="BB44">
            <v>247392</v>
          </cell>
          <cell r="BT44">
            <v>24427340</v>
          </cell>
          <cell r="BU44">
            <v>1511570</v>
          </cell>
          <cell r="BW44">
            <v>0</v>
          </cell>
          <cell r="BX44">
            <v>0</v>
          </cell>
          <cell r="BY44">
            <v>1511570</v>
          </cell>
          <cell r="CT44">
            <v>20429</v>
          </cell>
          <cell r="DI44">
            <v>0</v>
          </cell>
          <cell r="DN44">
            <v>22915770</v>
          </cell>
        </row>
        <row r="45">
          <cell r="AY45">
            <v>17070</v>
          </cell>
          <cell r="BB45">
            <v>196306</v>
          </cell>
          <cell r="BT45">
            <v>19383147</v>
          </cell>
          <cell r="BU45">
            <v>1478217</v>
          </cell>
          <cell r="BW45">
            <v>0</v>
          </cell>
          <cell r="BX45">
            <v>0</v>
          </cell>
          <cell r="BY45">
            <v>1478217</v>
          </cell>
          <cell r="CT45">
            <v>0</v>
          </cell>
          <cell r="DI45">
            <v>0</v>
          </cell>
          <cell r="DN45">
            <v>17904930</v>
          </cell>
        </row>
        <row r="46">
          <cell r="AY46">
            <v>12481</v>
          </cell>
          <cell r="BB46">
            <v>143539</v>
          </cell>
          <cell r="BT46">
            <v>14172904</v>
          </cell>
          <cell r="BU46">
            <v>1361103</v>
          </cell>
          <cell r="BW46">
            <v>0</v>
          </cell>
          <cell r="BX46">
            <v>0</v>
          </cell>
          <cell r="BY46">
            <v>1361103</v>
          </cell>
          <cell r="CT46">
            <v>0</v>
          </cell>
          <cell r="DI46">
            <v>0</v>
          </cell>
          <cell r="DN46">
            <v>12811800</v>
          </cell>
        </row>
        <row r="47">
          <cell r="AY47">
            <v>9984</v>
          </cell>
          <cell r="BB47">
            <v>114822</v>
          </cell>
          <cell r="BT47">
            <v>11337432</v>
          </cell>
          <cell r="BU47">
            <v>1354208</v>
          </cell>
          <cell r="BW47">
            <v>0</v>
          </cell>
          <cell r="BX47">
            <v>0</v>
          </cell>
          <cell r="BY47">
            <v>1354208</v>
          </cell>
          <cell r="CT47">
            <v>0</v>
          </cell>
          <cell r="DI47">
            <v>0</v>
          </cell>
          <cell r="DN47">
            <v>9983223</v>
          </cell>
        </row>
        <row r="48">
          <cell r="AY48">
            <v>8073</v>
          </cell>
          <cell r="BB48">
            <v>92844</v>
          </cell>
          <cell r="BT48">
            <v>9167374</v>
          </cell>
          <cell r="BU48">
            <v>1351086</v>
          </cell>
          <cell r="BW48">
            <v>0</v>
          </cell>
          <cell r="BX48">
            <v>0</v>
          </cell>
          <cell r="BY48">
            <v>1351086</v>
          </cell>
          <cell r="CT48">
            <v>0</v>
          </cell>
          <cell r="DI48">
            <v>0</v>
          </cell>
          <cell r="DN48">
            <v>7816287</v>
          </cell>
        </row>
        <row r="49">
          <cell r="AY49">
            <v>6599</v>
          </cell>
          <cell r="BB49">
            <v>75898</v>
          </cell>
          <cell r="BT49">
            <v>7494162</v>
          </cell>
          <cell r="BU49">
            <v>1347655</v>
          </cell>
          <cell r="BW49">
            <v>0</v>
          </cell>
          <cell r="BX49">
            <v>0</v>
          </cell>
          <cell r="BY49">
            <v>1347655</v>
          </cell>
          <cell r="CT49">
            <v>0</v>
          </cell>
          <cell r="DI49">
            <v>0</v>
          </cell>
          <cell r="DN49">
            <v>6146506</v>
          </cell>
        </row>
        <row r="50">
          <cell r="AY50">
            <v>5377</v>
          </cell>
          <cell r="BB50">
            <v>61836</v>
          </cell>
          <cell r="BT50">
            <v>6105696</v>
          </cell>
          <cell r="BU50">
            <v>1344775</v>
          </cell>
          <cell r="BW50">
            <v>0</v>
          </cell>
          <cell r="BX50">
            <v>0</v>
          </cell>
          <cell r="BY50">
            <v>1344775</v>
          </cell>
          <cell r="CT50">
            <v>0</v>
          </cell>
          <cell r="DI50">
            <v>0</v>
          </cell>
          <cell r="DN50">
            <v>4760921</v>
          </cell>
        </row>
        <row r="51">
          <cell r="AY51">
            <v>4399</v>
          </cell>
          <cell r="BB51">
            <v>50594</v>
          </cell>
          <cell r="BT51">
            <v>4995624</v>
          </cell>
          <cell r="BU51">
            <v>1341938</v>
          </cell>
          <cell r="BW51">
            <v>0</v>
          </cell>
          <cell r="BX51">
            <v>0</v>
          </cell>
          <cell r="BY51">
            <v>1341938</v>
          </cell>
          <cell r="CT51">
            <v>0</v>
          </cell>
          <cell r="DI51">
            <v>0</v>
          </cell>
          <cell r="DN51">
            <v>3653686</v>
          </cell>
        </row>
        <row r="52">
          <cell r="AY52">
            <v>3608</v>
          </cell>
          <cell r="BB52">
            <v>41497</v>
          </cell>
          <cell r="BT52">
            <v>4097458</v>
          </cell>
          <cell r="BU52">
            <v>1341701</v>
          </cell>
          <cell r="BW52">
            <v>0</v>
          </cell>
          <cell r="BX52">
            <v>0</v>
          </cell>
          <cell r="BY52">
            <v>1341701</v>
          </cell>
          <cell r="CT52">
            <v>0</v>
          </cell>
          <cell r="DI52">
            <v>0</v>
          </cell>
          <cell r="DN52">
            <v>2755756</v>
          </cell>
        </row>
        <row r="53">
          <cell r="AY53">
            <v>3112</v>
          </cell>
          <cell r="BB53">
            <v>35790</v>
          </cell>
          <cell r="BT53">
            <v>3533965</v>
          </cell>
          <cell r="BU53">
            <v>1358323</v>
          </cell>
          <cell r="BW53">
            <v>0</v>
          </cell>
          <cell r="BX53">
            <v>0</v>
          </cell>
          <cell r="BY53">
            <v>1358323</v>
          </cell>
          <cell r="CT53">
            <v>0</v>
          </cell>
          <cell r="DI53">
            <v>0</v>
          </cell>
          <cell r="DN53">
            <v>2175641</v>
          </cell>
        </row>
        <row r="54">
          <cell r="AY54">
            <v>4046</v>
          </cell>
          <cell r="BB54">
            <v>46539</v>
          </cell>
          <cell r="BT54">
            <v>4595274</v>
          </cell>
          <cell r="BU54">
            <v>3334087</v>
          </cell>
          <cell r="BW54">
            <v>0</v>
          </cell>
          <cell r="BX54">
            <v>0</v>
          </cell>
          <cell r="BY54">
            <v>3334087</v>
          </cell>
          <cell r="CT54">
            <v>0</v>
          </cell>
          <cell r="DI54">
            <v>0</v>
          </cell>
          <cell r="DN54">
            <v>1261186</v>
          </cell>
        </row>
        <row r="55">
          <cell r="AY55">
            <v>3244</v>
          </cell>
          <cell r="BB55">
            <v>37309</v>
          </cell>
          <cell r="BT55">
            <v>3683932</v>
          </cell>
          <cell r="BU55">
            <v>3310536</v>
          </cell>
          <cell r="BW55">
            <v>0</v>
          </cell>
          <cell r="BX55">
            <v>0</v>
          </cell>
          <cell r="BY55">
            <v>3310536</v>
          </cell>
          <cell r="CT55">
            <v>0</v>
          </cell>
          <cell r="DI55">
            <v>0</v>
          </cell>
          <cell r="DN55">
            <v>373396</v>
          </cell>
        </row>
        <row r="56">
          <cell r="AY56">
            <v>0</v>
          </cell>
          <cell r="BB56">
            <v>0</v>
          </cell>
          <cell r="BT56">
            <v>0</v>
          </cell>
          <cell r="BU56">
            <v>0</v>
          </cell>
          <cell r="BW56">
            <v>0</v>
          </cell>
          <cell r="BX56">
            <v>0</v>
          </cell>
          <cell r="BY56">
            <v>0</v>
          </cell>
          <cell r="CT56">
            <v>0</v>
          </cell>
          <cell r="DI56">
            <v>966972</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0</v>
          </cell>
          <cell r="BB36">
            <v>0</v>
          </cell>
          <cell r="BT36">
            <v>0</v>
          </cell>
          <cell r="BU36">
            <v>0</v>
          </cell>
          <cell r="BW36">
            <v>0</v>
          </cell>
          <cell r="BX36">
            <v>0</v>
          </cell>
          <cell r="BY36">
            <v>0</v>
          </cell>
          <cell r="CT36">
            <v>147345</v>
          </cell>
          <cell r="DI36">
            <v>0</v>
          </cell>
          <cell r="DN36">
            <v>0</v>
          </cell>
        </row>
        <row r="37">
          <cell r="AY37">
            <v>0</v>
          </cell>
          <cell r="BB37">
            <v>0</v>
          </cell>
          <cell r="BT37">
            <v>0</v>
          </cell>
          <cell r="BU37">
            <v>1792</v>
          </cell>
          <cell r="BW37">
            <v>0</v>
          </cell>
          <cell r="BX37">
            <v>0</v>
          </cell>
          <cell r="BY37">
            <v>1792</v>
          </cell>
          <cell r="CT37">
            <v>106096</v>
          </cell>
          <cell r="DI37">
            <v>0</v>
          </cell>
          <cell r="DN37">
            <v>-1792</v>
          </cell>
        </row>
        <row r="38">
          <cell r="AY38">
            <v>3683</v>
          </cell>
          <cell r="BB38">
            <v>42356</v>
          </cell>
          <cell r="BT38">
            <v>4182287</v>
          </cell>
          <cell r="BU38">
            <v>285593</v>
          </cell>
          <cell r="BW38">
            <v>0</v>
          </cell>
          <cell r="BX38">
            <v>0</v>
          </cell>
          <cell r="BY38">
            <v>285593</v>
          </cell>
          <cell r="CT38">
            <v>5237057</v>
          </cell>
          <cell r="DI38">
            <v>0</v>
          </cell>
          <cell r="DN38">
            <v>3896694</v>
          </cell>
        </row>
        <row r="39">
          <cell r="AY39">
            <v>5978</v>
          </cell>
          <cell r="BB39">
            <v>68747</v>
          </cell>
          <cell r="BT39">
            <v>6788059</v>
          </cell>
          <cell r="BU39">
            <v>602050</v>
          </cell>
          <cell r="BW39">
            <v>0</v>
          </cell>
          <cell r="BX39">
            <v>0</v>
          </cell>
          <cell r="BY39">
            <v>602050</v>
          </cell>
          <cell r="CT39">
            <v>5696038</v>
          </cell>
          <cell r="DI39">
            <v>0</v>
          </cell>
          <cell r="DN39">
            <v>6186009</v>
          </cell>
        </row>
        <row r="40">
          <cell r="AY40">
            <v>10936</v>
          </cell>
          <cell r="BB40">
            <v>125766</v>
          </cell>
          <cell r="BT40">
            <v>12418048</v>
          </cell>
          <cell r="BU40">
            <v>862408</v>
          </cell>
          <cell r="BW40">
            <v>0</v>
          </cell>
          <cell r="BX40">
            <v>0</v>
          </cell>
          <cell r="BY40">
            <v>862408</v>
          </cell>
          <cell r="CT40">
            <v>593780</v>
          </cell>
          <cell r="DI40">
            <v>0</v>
          </cell>
          <cell r="DN40">
            <v>11555639</v>
          </cell>
        </row>
        <row r="41">
          <cell r="AY41">
            <v>19821</v>
          </cell>
          <cell r="BB41">
            <v>227944</v>
          </cell>
          <cell r="BT41">
            <v>22507040</v>
          </cell>
          <cell r="BU41">
            <v>1103026</v>
          </cell>
          <cell r="BW41">
            <v>0</v>
          </cell>
          <cell r="BX41">
            <v>0</v>
          </cell>
          <cell r="BY41">
            <v>1103026</v>
          </cell>
          <cell r="CT41">
            <v>344727</v>
          </cell>
          <cell r="DI41">
            <v>0</v>
          </cell>
          <cell r="DN41">
            <v>21404014</v>
          </cell>
        </row>
        <row r="42">
          <cell r="AY42">
            <v>22855</v>
          </cell>
          <cell r="BB42">
            <v>262839</v>
          </cell>
          <cell r="BT42">
            <v>25952520</v>
          </cell>
          <cell r="BU42">
            <v>1172557</v>
          </cell>
          <cell r="BW42">
            <v>0</v>
          </cell>
          <cell r="BX42">
            <v>0</v>
          </cell>
          <cell r="BY42">
            <v>1172557</v>
          </cell>
          <cell r="CT42">
            <v>281759</v>
          </cell>
          <cell r="DI42">
            <v>0</v>
          </cell>
          <cell r="DN42">
            <v>24779963</v>
          </cell>
        </row>
        <row r="43">
          <cell r="AY43">
            <v>22695</v>
          </cell>
          <cell r="BB43">
            <v>261002</v>
          </cell>
          <cell r="BT43">
            <v>25771106</v>
          </cell>
          <cell r="BU43">
            <v>1177245</v>
          </cell>
          <cell r="BW43">
            <v>0</v>
          </cell>
          <cell r="BX43">
            <v>0</v>
          </cell>
          <cell r="BY43">
            <v>1177245</v>
          </cell>
          <cell r="CT43">
            <v>102546</v>
          </cell>
          <cell r="DI43">
            <v>0</v>
          </cell>
          <cell r="DN43">
            <v>24593860</v>
          </cell>
        </row>
        <row r="44">
          <cell r="AY44">
            <v>21603</v>
          </cell>
          <cell r="BB44">
            <v>248445</v>
          </cell>
          <cell r="BT44">
            <v>24531320</v>
          </cell>
          <cell r="BU44">
            <v>1172610</v>
          </cell>
          <cell r="BW44">
            <v>0</v>
          </cell>
          <cell r="BX44">
            <v>0</v>
          </cell>
          <cell r="BY44">
            <v>1172610</v>
          </cell>
          <cell r="CT44">
            <v>4539</v>
          </cell>
          <cell r="DI44">
            <v>0</v>
          </cell>
          <cell r="DN44">
            <v>23358709</v>
          </cell>
        </row>
        <row r="45">
          <cell r="AY45">
            <v>20342</v>
          </cell>
          <cell r="BB45">
            <v>233937</v>
          </cell>
          <cell r="BT45">
            <v>23098731</v>
          </cell>
          <cell r="BU45">
            <v>1170172</v>
          </cell>
          <cell r="BW45">
            <v>0</v>
          </cell>
          <cell r="BX45">
            <v>0</v>
          </cell>
          <cell r="BY45">
            <v>1170172</v>
          </cell>
          <cell r="CT45">
            <v>0</v>
          </cell>
          <cell r="DI45">
            <v>0</v>
          </cell>
          <cell r="DN45">
            <v>21928559</v>
          </cell>
        </row>
        <row r="46">
          <cell r="AY46">
            <v>19556</v>
          </cell>
          <cell r="BB46">
            <v>224898</v>
          </cell>
          <cell r="BT46">
            <v>22206270</v>
          </cell>
          <cell r="BU46">
            <v>1180537</v>
          </cell>
          <cell r="BW46">
            <v>0</v>
          </cell>
          <cell r="BX46">
            <v>0</v>
          </cell>
          <cell r="BY46">
            <v>1180537</v>
          </cell>
          <cell r="CT46">
            <v>0</v>
          </cell>
          <cell r="DI46">
            <v>0</v>
          </cell>
          <cell r="DN46">
            <v>21025732</v>
          </cell>
        </row>
        <row r="47">
          <cell r="AY47">
            <v>17873</v>
          </cell>
          <cell r="BB47">
            <v>205540</v>
          </cell>
          <cell r="BT47">
            <v>20294900</v>
          </cell>
          <cell r="BU47">
            <v>1172533</v>
          </cell>
          <cell r="BW47">
            <v>0</v>
          </cell>
          <cell r="BX47">
            <v>0</v>
          </cell>
          <cell r="BY47">
            <v>1172533</v>
          </cell>
          <cell r="CT47">
            <v>0</v>
          </cell>
          <cell r="DI47">
            <v>0</v>
          </cell>
          <cell r="DN47">
            <v>19122367</v>
          </cell>
        </row>
        <row r="48">
          <cell r="AY48">
            <v>16192</v>
          </cell>
          <cell r="BB48">
            <v>186208</v>
          </cell>
          <cell r="BT48">
            <v>18386079</v>
          </cell>
          <cell r="BU48">
            <v>1164668</v>
          </cell>
          <cell r="BW48">
            <v>0</v>
          </cell>
          <cell r="BX48">
            <v>0</v>
          </cell>
          <cell r="BY48">
            <v>1164668</v>
          </cell>
          <cell r="CT48">
            <v>0</v>
          </cell>
          <cell r="DI48">
            <v>0</v>
          </cell>
          <cell r="DN48">
            <v>17221410</v>
          </cell>
        </row>
        <row r="49">
          <cell r="AY49">
            <v>14627</v>
          </cell>
          <cell r="BB49">
            <v>168214</v>
          </cell>
          <cell r="BT49">
            <v>16609369</v>
          </cell>
          <cell r="BU49">
            <v>1158153</v>
          </cell>
          <cell r="BW49">
            <v>0</v>
          </cell>
          <cell r="BX49">
            <v>0</v>
          </cell>
          <cell r="BY49">
            <v>1158153</v>
          </cell>
          <cell r="CT49">
            <v>0</v>
          </cell>
          <cell r="DI49">
            <v>0</v>
          </cell>
          <cell r="DN49">
            <v>15451215</v>
          </cell>
        </row>
        <row r="50">
          <cell r="AY50">
            <v>13150</v>
          </cell>
          <cell r="BB50">
            <v>151236</v>
          </cell>
          <cell r="BT50">
            <v>14932937</v>
          </cell>
          <cell r="BU50">
            <v>1150639</v>
          </cell>
          <cell r="BW50">
            <v>0</v>
          </cell>
          <cell r="BX50">
            <v>0</v>
          </cell>
          <cell r="BY50">
            <v>1150639</v>
          </cell>
          <cell r="CT50">
            <v>0</v>
          </cell>
          <cell r="DI50">
            <v>0</v>
          </cell>
          <cell r="DN50">
            <v>13782298</v>
          </cell>
        </row>
        <row r="51">
          <cell r="AY51">
            <v>11217</v>
          </cell>
          <cell r="BB51">
            <v>128996</v>
          </cell>
          <cell r="BT51">
            <v>12736965</v>
          </cell>
          <cell r="BU51">
            <v>1125878</v>
          </cell>
          <cell r="BW51">
            <v>0</v>
          </cell>
          <cell r="BX51">
            <v>0</v>
          </cell>
          <cell r="BY51">
            <v>1125878</v>
          </cell>
          <cell r="CT51">
            <v>0</v>
          </cell>
          <cell r="DI51">
            <v>0</v>
          </cell>
          <cell r="DN51">
            <v>11611086</v>
          </cell>
        </row>
        <row r="52">
          <cell r="AY52">
            <v>8980</v>
          </cell>
          <cell r="BB52">
            <v>103275</v>
          </cell>
          <cell r="BT52">
            <v>10197368</v>
          </cell>
          <cell r="BU52">
            <v>1087175</v>
          </cell>
          <cell r="BW52">
            <v>0</v>
          </cell>
          <cell r="BX52">
            <v>0</v>
          </cell>
          <cell r="BY52">
            <v>1087175</v>
          </cell>
          <cell r="CT52">
            <v>0</v>
          </cell>
          <cell r="DI52">
            <v>0</v>
          </cell>
          <cell r="DN52">
            <v>9110192</v>
          </cell>
        </row>
        <row r="53">
          <cell r="AY53">
            <v>8076</v>
          </cell>
          <cell r="BB53">
            <v>92882</v>
          </cell>
          <cell r="BT53">
            <v>9171088</v>
          </cell>
          <cell r="BU53">
            <v>1087932</v>
          </cell>
          <cell r="BW53">
            <v>0</v>
          </cell>
          <cell r="BX53">
            <v>0</v>
          </cell>
          <cell r="BY53">
            <v>1087932</v>
          </cell>
          <cell r="CT53">
            <v>0</v>
          </cell>
          <cell r="DI53">
            <v>0</v>
          </cell>
          <cell r="DN53">
            <v>8083155</v>
          </cell>
        </row>
        <row r="54">
          <cell r="AY54">
            <v>7231</v>
          </cell>
          <cell r="BB54">
            <v>83165</v>
          </cell>
          <cell r="BT54">
            <v>8211713</v>
          </cell>
          <cell r="BU54">
            <v>1084864</v>
          </cell>
          <cell r="BW54">
            <v>0</v>
          </cell>
          <cell r="BX54">
            <v>0</v>
          </cell>
          <cell r="BY54">
            <v>1084864</v>
          </cell>
          <cell r="CT54">
            <v>0</v>
          </cell>
          <cell r="DI54">
            <v>0</v>
          </cell>
          <cell r="DN54">
            <v>7126848</v>
          </cell>
        </row>
        <row r="55">
          <cell r="AY55">
            <v>6434</v>
          </cell>
          <cell r="BB55">
            <v>74000</v>
          </cell>
          <cell r="BT55">
            <v>7306780</v>
          </cell>
          <cell r="BU55">
            <v>999276</v>
          </cell>
          <cell r="BW55">
            <v>0</v>
          </cell>
          <cell r="BX55">
            <v>0</v>
          </cell>
          <cell r="BY55">
            <v>999276</v>
          </cell>
          <cell r="CT55">
            <v>0</v>
          </cell>
          <cell r="DI55">
            <v>0</v>
          </cell>
          <cell r="DN55">
            <v>6307504</v>
          </cell>
        </row>
        <row r="56">
          <cell r="AY56">
            <v>8277</v>
          </cell>
          <cell r="BB56">
            <v>95192</v>
          </cell>
          <cell r="BT56">
            <v>9399254</v>
          </cell>
          <cell r="BU56">
            <v>4183950</v>
          </cell>
          <cell r="BW56">
            <v>0</v>
          </cell>
          <cell r="BX56">
            <v>0</v>
          </cell>
          <cell r="BY56">
            <v>4183950</v>
          </cell>
          <cell r="CT56">
            <v>0</v>
          </cell>
          <cell r="DI56">
            <v>0</v>
          </cell>
          <cell r="DN56">
            <v>5215303</v>
          </cell>
        </row>
        <row r="57">
          <cell r="AY57">
            <v>13691</v>
          </cell>
          <cell r="BB57">
            <v>157450</v>
          </cell>
          <cell r="BT57">
            <v>15546507</v>
          </cell>
          <cell r="BU57">
            <v>11547499</v>
          </cell>
          <cell r="BW57">
            <v>5041549</v>
          </cell>
          <cell r="BX57">
            <v>0</v>
          </cell>
          <cell r="BY57">
            <v>6505950</v>
          </cell>
          <cell r="CT57">
            <v>0</v>
          </cell>
          <cell r="DI57">
            <v>0</v>
          </cell>
          <cell r="DN57">
            <v>3999007</v>
          </cell>
        </row>
        <row r="58">
          <cell r="AY58">
            <v>12204</v>
          </cell>
          <cell r="BB58">
            <v>140357</v>
          </cell>
          <cell r="BT58">
            <v>13858757</v>
          </cell>
          <cell r="BU58">
            <v>11385749</v>
          </cell>
          <cell r="BW58">
            <v>5041549</v>
          </cell>
          <cell r="BX58">
            <v>0</v>
          </cell>
          <cell r="BY58">
            <v>6344199</v>
          </cell>
          <cell r="CT58">
            <v>0</v>
          </cell>
          <cell r="DI58">
            <v>0</v>
          </cell>
          <cell r="DN58">
            <v>2473008</v>
          </cell>
        </row>
        <row r="59">
          <cell r="AY59">
            <v>10912</v>
          </cell>
          <cell r="BB59">
            <v>125495</v>
          </cell>
          <cell r="BT59">
            <v>12391314</v>
          </cell>
          <cell r="BU59">
            <v>11254293</v>
          </cell>
          <cell r="BW59">
            <v>5041549</v>
          </cell>
          <cell r="BX59">
            <v>0</v>
          </cell>
          <cell r="BY59">
            <v>6212744</v>
          </cell>
          <cell r="CT59">
            <v>0</v>
          </cell>
          <cell r="DI59">
            <v>0</v>
          </cell>
          <cell r="DN59">
            <v>1137021</v>
          </cell>
        </row>
        <row r="60">
          <cell r="AY60">
            <v>0</v>
          </cell>
          <cell r="BB60">
            <v>0</v>
          </cell>
          <cell r="BT60">
            <v>0</v>
          </cell>
          <cell r="BU60">
            <v>0</v>
          </cell>
          <cell r="BW60">
            <v>0</v>
          </cell>
          <cell r="BX60">
            <v>0</v>
          </cell>
          <cell r="BY60">
            <v>0</v>
          </cell>
          <cell r="CT60">
            <v>0</v>
          </cell>
          <cell r="DI60">
            <v>773578</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sheetData sheetId="11"/>
      <sheetData sheetId="12"/>
      <sheetData sheetId="13"/>
      <sheetData sheetId="14"/>
      <sheetData sheetId="15"/>
      <sheetData sheetId="16"/>
      <sheetData sheetId="17"/>
      <sheetData sheetId="18"/>
      <sheetData sheetId="19"/>
      <sheetData sheetId="20">
        <row r="12">
          <cell r="J12">
            <v>4.9609860000000001</v>
          </cell>
          <cell r="L12">
            <v>0.33176302099999994</v>
          </cell>
        </row>
        <row r="13">
          <cell r="J13">
            <v>0.50413600000000003</v>
          </cell>
          <cell r="L13">
            <v>4.8323173999999997E-2</v>
          </cell>
        </row>
        <row r="14">
          <cell r="J14">
            <v>3.3644120000000002</v>
          </cell>
          <cell r="L14">
            <v>0</v>
          </cell>
        </row>
        <row r="17">
          <cell r="J17">
            <v>0</v>
          </cell>
          <cell r="L17">
            <v>0</v>
          </cell>
        </row>
        <row r="18">
          <cell r="J18">
            <v>2.5624470000000001</v>
          </cell>
          <cell r="L18">
            <v>0</v>
          </cell>
        </row>
        <row r="19">
          <cell r="J19">
            <v>2.5624470000000001</v>
          </cell>
          <cell r="L19">
            <v>0</v>
          </cell>
        </row>
        <row r="21">
          <cell r="J21">
            <v>0</v>
          </cell>
          <cell r="L21">
            <v>0</v>
          </cell>
        </row>
        <row r="22">
          <cell r="J22">
            <v>3.4079440000000001</v>
          </cell>
          <cell r="L22">
            <v>0</v>
          </cell>
        </row>
        <row r="23">
          <cell r="J23">
            <v>3.4079440000000001</v>
          </cell>
          <cell r="L23">
            <v>0</v>
          </cell>
        </row>
      </sheetData>
      <sheetData sheetId="21"/>
    </sheetDataSet>
  </externalBook>
</externalLink>
</file>

<file path=xl/persons/person.xml><?xml version="1.0" encoding="utf-8"?>
<personList xmlns="http://schemas.microsoft.com/office/spreadsheetml/2018/threadedcomments" xmlns:x="http://schemas.openxmlformats.org/spreadsheetml/2006/main">
  <person displayName="Jaime Benazar Irausquin" id="{A07E460A-0763-4A73-A3BD-F4D66AB02A13}" userId="S::jaime.benazar@quorumsoftware.com::90b285ee-16d3-4f4a-b12f-ba7161cffcd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4" dT="2024-04-15T14:08:19.09" personId="{A07E460A-0763-4A73-A3BD-F4D66AB02A13}" id="{DC33A787-9741-4EFC-B709-ED216C298A39}">
    <text>El auditor, al hacer los cálculo anualizados, corta al límite económico en diciembre de 2043. PlanningSpace, al hacer los cálculos mensualizados, corta en abril de 2044. También impacta que PS distribuye el OPEX fijo por FNI y el auditor asigna el 100% a la PDP</text>
  </threadedComment>
  <threadedComment ref="AT4" dT="2024-03-22T13:16:44.04" personId="{A07E460A-0763-4A73-A3BD-F4D66AB02A13}" id="{6764C367-6713-48CC-9F22-232A2D6D966A}">
    <text>El auditor de este campo, al cortar la curva de PDP mucho antes por la metodología que utiliza, trae la cola de PDP a la categoría PNP. PlanningSpace l utilizar metodología RSC, no realiza este movimiento</text>
  </threadedComment>
  <threadedComment ref="AV4" dT="2024-03-22T13:15:41.03" personId="{A07E460A-0763-4A73-A3BD-F4D66AB02A13}" id="{6844B6C6-D0E5-4ADA-885E-60EFCAE0750C}">
    <text xml:space="preserve">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
Esto trae como consecuencia que en el cálculo del auditor, la categoría PNP al tener un mayor OPEX fijo,  alcance su límite económico mucho antes que en el cálculo de PlanningSpace
</text>
  </threadedComment>
  <threadedComment ref="BI4" dT="2024-04-15T14:10:04.77" personId="{A07E460A-0763-4A73-A3BD-F4D66AB02A13}" id="{7CFE5482-040F-47A0-BE1A-D3327C645BD3}">
    <text>El auditor, al hacer los cálculo anualizados, corta al límite económico en diciembre de 2043. PlanningSpace, al hacer los cálculos mensualizados, corta en abril de 2044.</text>
  </threadedComment>
  <threadedComment ref="CQ4" dT="2024-04-15T14:10:55.62" personId="{A07E460A-0763-4A73-A3BD-F4D66AB02A13}" id="{F9BA4F7B-2A70-49C7-B4EF-71D6AB712557}">
    <text>El auditor, al hacer los cálculo anualizados, corta al límite económico en diciembre de 2040. PlanningSpace, al hacer los cálculos mensualizados, corta en septiembre de 2040. También impacta que PS distribuye el OPEX fijo por FNI y el auditor asigna el 100% a la PDP</text>
  </threadedComment>
  <threadedComment ref="IM4" dT="2024-04-15T14:13:57.50" personId="{A07E460A-0763-4A73-A3BD-F4D66AB02A13}" id="{F7AFD168-EB98-489E-968C-110BD0C065BB}">
    <text>El auditor, al calcular el límite económico de PND en una fecha distinta al de PlanningSpace, trae la cola a Probables unos meses antes que PS</text>
  </threadedComment>
  <threadedComment ref="IO4" dT="2024-04-15T14:15:25.35" personId="{A07E460A-0763-4A73-A3BD-F4D66AB02A13}" id="{FC135E86-6327-43E1-96BF-4E61F747277D}">
    <text>El auditor, al hacer los cálculo anualizados, corta al límite económico en diciembre de 2042. PlanningSpace, al hacer los cálculos mensualizados, corta en noviembre de 2042.</text>
  </threadedComment>
  <threadedComment ref="OK4" dT="2024-04-15T14:16:24.58" personId="{A07E460A-0763-4A73-A3BD-F4D66AB02A13}" id="{5D4723EC-A768-4E64-AA10-7DFEF58CC506}">
    <text>El auditor, al calcular el límite económico de Probables en una fecha distinta al de PlanningSpace, trae la cola a Posibles unos meses antes que PS</text>
  </threadedComment>
  <threadedComment ref="OM4" dT="2024-04-15T14:17:36.30" personId="{A07E460A-0763-4A73-A3BD-F4D66AB02A13}" id="{4F7CDA59-B5CF-453C-AC3A-EB24D3C41D09}">
    <text>El auditor, al calcular el límite económico de PDP y PNP en una fecha distinta al de PlanningSpace, trae la cola a Posibles unos meses antes que PS</text>
  </threadedComment>
  <threadedComment ref="OP4" dT="2024-04-15T14:16:29.81" personId="{A07E460A-0763-4A73-A3BD-F4D66AB02A13}" id="{AA5AA4F8-1D8B-4AFC-98AE-418614EF23FC}">
    <text>PlanningSpace hace el cálculo del límite económico mensualizado, por lo cual corta en abril de 2047. El auditor en cambio, al hacerlo anualizado, corta en diciembre de 2046</text>
  </threadedComment>
  <threadedComment ref="B7" dT="2024-03-22T18:38:22.37" personId="{A07E460A-0763-4A73-A3BD-F4D66AB02A13}" id="{5F469CD5-8242-4358-9911-042CCC864D5F}">
    <text>En el año 2023 se tiene curva base pactada con la ANH. El auditor, al hacer el cálculo anualizado, con las ponderaciones que realiza se dan diferencias versus el cálculo de PlanningSpace que si es mensualizado</text>
  </threadedComment>
  <threadedComment ref="AN7" dT="2024-04-15T14:09:01.42" personId="{A07E460A-0763-4A73-A3BD-F4D66AB02A13}" id="{2A7A6BB4-BB33-40DE-8C7F-02339A789C0F}">
    <text>En el año 2023 se tiene curva base pactada con la ANH. El auditor, al hacer el cálculo anualizado, con las ponderaciones que realiza se dan diferencias versus el cálculo de PlanningSpace que si es mensualizado</text>
  </threadedComment>
  <threadedComment ref="AN10" dT="2024-04-15T14:09:17.76" personId="{A07E460A-0763-4A73-A3BD-F4D66AB02A13}" id="{2AEDABA5-87B7-4298-B48B-E56D080CD32D}">
    <text>Diferencias por lo antes explicado</text>
  </threadedComment>
  <threadedComment ref="B13" dT="2024-03-22T13:13:15.63" personId="{A07E460A-0763-4A73-A3BD-F4D66AB02A13}" id="{45E10306-58F6-414B-9FD7-7A343BB0E2D0}">
    <text>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text>
  </threadedComment>
  <threadedComment ref="AN13" dT="2024-03-22T13:16:53.55" personId="{A07E460A-0763-4A73-A3BD-F4D66AB02A13}" id="{42C91F43-4E7E-4539-BEAE-41EB250E813B}">
    <text>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text>
  </threadedComment>
  <threadedComment ref="CB13" dT="2024-04-15T14:11:31.15" personId="{A07E460A-0763-4A73-A3BD-F4D66AB02A13}" id="{F10CCFE7-C99E-4797-A2AB-CB98E473D338}">
    <text xml:space="preserve">El auditor de este activo, que es GaffneyCline, asigna el 100% del OPEX fijo a la PDP hasta que ésta alcance el límite económico, fecha en la que le carga el OPEX a PNP y luego a PND.
PlanningSpace en cambio, al utilizar la metodología de reservas de RSC, distribuye los costos fijos entre los wedges por FNI. Por eso las diferencias importantes.
</text>
  </threadedComment>
  <threadedComment ref="B22" dT="2024-03-06T21:52:13.56" personId="{A07E460A-0763-4A73-A3BD-F4D66AB02A13}" id="{6F369DBB-780C-4CD9-9C0B-6320A58F95E7}">
    <text>Diferencias arrastradas de lo antes explicado</text>
  </threadedComment>
  <threadedComment ref="AN22" dT="2024-03-22T13:29:48.58" personId="{A07E460A-0763-4A73-A3BD-F4D66AB02A13}" id="{12507650-1711-4447-9225-B7445A032357}">
    <text>Diferencias por lo antes mencionado</text>
  </threadedComment>
  <threadedComment ref="CB22" dT="2024-04-15T14:11:52.64" personId="{A07E460A-0763-4A73-A3BD-F4D66AB02A13}" id="{61AAA4CE-B24E-4CD4-B543-CE89368BCC56}">
    <text>Diferencias arrastradas por lo antes mencionado</text>
  </threadedComment>
  <threadedComment ref="B28" dT="2024-03-06T21:52:27.56" personId="{A07E460A-0763-4A73-A3BD-F4D66AB02A13}" id="{4AA95362-BB97-4DCD-B70F-B3970C686F52}">
    <text>Diferencias arrastradas de lo antes explicado</text>
  </threadedComment>
  <threadedComment ref="AN28" dT="2024-03-22T13:29:55.90" personId="{A07E460A-0763-4A73-A3BD-F4D66AB02A13}" id="{69284822-976D-4F1A-BB9A-AA29FCE24E43}">
    <text>Diferencias por lo antes mencionado</text>
  </threadedComment>
  <threadedComment ref="CB28" dT="2024-04-15T14:12:11.65" personId="{A07E460A-0763-4A73-A3BD-F4D66AB02A13}" id="{D8E84B67-36E8-4132-A6D1-F392C0D2260C}">
    <text>Diferencias arrastradas por lo antes mencionado</text>
  </threadedComment>
  <threadedComment ref="W31" dT="2024-04-15T14:09:41.72" personId="{A07E460A-0763-4A73-A3BD-F4D66AB02A13}" id="{BD6E99CF-8B85-4F77-9AD5-EDE89F244848}">
    <text>El auditor asigna el costo de abandono 12 meses después de alcanzar el límite económico. Al cortar por límite económico mucho antes que PlanningSpace, se evidencia la diferencia en el período en el que se asigna el abandono</text>
  </threadedComment>
  <threadedComment ref="CR31" dT="2024-04-15T14:13:24.60" personId="{A07E460A-0763-4A73-A3BD-F4D66AB02A13}" id="{18F3800D-F6D4-480C-85D1-E8F98A861FF0}">
    <text>PlanningSpace asigna el costo de abandono de toda la 1P 12 meses después del límite económico de la categoría 1P, en cambio el auditor lo hace 12 meses después del EL del wedge, por eso la diferencia.</text>
  </threadedComment>
  <threadedComment ref="OP31" dT="2024-04-15T14:18:27.54" personId="{A07E460A-0763-4A73-A3BD-F4D66AB02A13}" id="{3D66BBA6-4B38-4A70-8E3F-0CFE03FEA4CB}">
    <text>Al tener fechas de límite económico distintas entre el auditor y PS, se asigna el monto de abandono en fechas diferentes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H7" sqref="H7"/>
    </sheetView>
  </sheetViews>
  <sheetFormatPr defaultColWidth="11.44140625" defaultRowHeight="15" x14ac:dyDescent="0.35"/>
  <cols>
    <col min="1" max="1" width="4.6640625" style="15" customWidth="1"/>
    <col min="2" max="2" width="11.44140625" style="13" customWidth="1"/>
    <col min="3" max="7" width="11.44140625" style="13"/>
    <col min="8" max="8" width="49.88671875" style="13" customWidth="1"/>
    <col min="9" max="16384" width="11.44140625" style="13"/>
  </cols>
  <sheetData>
    <row r="1" spans="1:8" ht="15.6" thickBot="1" x14ac:dyDescent="0.4">
      <c r="A1" s="80" t="s">
        <v>0</v>
      </c>
      <c r="B1" s="81"/>
      <c r="C1" s="81"/>
      <c r="D1" s="81"/>
      <c r="E1" s="82"/>
    </row>
    <row r="2" spans="1:8" s="18" customFormat="1" x14ac:dyDescent="0.3">
      <c r="A2" s="17">
        <v>1</v>
      </c>
      <c r="B2" s="83" t="s">
        <v>1</v>
      </c>
      <c r="C2" s="83"/>
      <c r="D2" s="83"/>
      <c r="E2" s="84"/>
    </row>
    <row r="3" spans="1:8" s="18" customFormat="1" x14ac:dyDescent="0.3">
      <c r="A3" s="19">
        <v>2</v>
      </c>
      <c r="B3" s="85" t="s">
        <v>2</v>
      </c>
      <c r="C3" s="85"/>
      <c r="D3" s="85"/>
      <c r="E3" s="86"/>
    </row>
    <row r="4" spans="1:8" s="18" customFormat="1" ht="34.5" customHeight="1" x14ac:dyDescent="0.3">
      <c r="A4" s="19">
        <v>3</v>
      </c>
      <c r="B4" s="85" t="s">
        <v>3</v>
      </c>
      <c r="C4" s="85"/>
      <c r="D4" s="85"/>
      <c r="E4" s="86"/>
    </row>
    <row r="5" spans="1:8" s="18" customFormat="1" ht="15.6" thickBot="1" x14ac:dyDescent="0.35">
      <c r="A5" s="20">
        <v>4</v>
      </c>
      <c r="B5" s="87" t="s">
        <v>4</v>
      </c>
      <c r="C5" s="87"/>
      <c r="D5" s="87"/>
      <c r="E5" s="88"/>
    </row>
    <row r="6" spans="1:8" ht="15.6" thickBot="1" x14ac:dyDescent="0.4"/>
    <row r="7" spans="1:8" ht="15.6" thickBot="1" x14ac:dyDescent="0.4">
      <c r="A7" s="80" t="s">
        <v>5</v>
      </c>
      <c r="B7" s="81"/>
      <c r="C7" s="81"/>
      <c r="D7" s="81"/>
      <c r="E7" s="82"/>
    </row>
    <row r="8" spans="1:8" x14ac:dyDescent="0.35">
      <c r="A8" s="17">
        <v>1</v>
      </c>
      <c r="B8" s="83" t="s">
        <v>6</v>
      </c>
      <c r="C8" s="83"/>
      <c r="D8" s="83"/>
      <c r="E8" s="84"/>
    </row>
    <row r="9" spans="1:8" x14ac:dyDescent="0.35">
      <c r="A9" s="19">
        <v>2</v>
      </c>
      <c r="B9" s="85" t="s">
        <v>7</v>
      </c>
      <c r="C9" s="85"/>
      <c r="D9" s="85"/>
      <c r="E9" s="86"/>
    </row>
    <row r="10" spans="1:8" x14ac:dyDescent="0.35">
      <c r="A10" s="19">
        <v>3</v>
      </c>
      <c r="B10" s="85" t="s">
        <v>8</v>
      </c>
      <c r="C10" s="85"/>
      <c r="D10" s="85"/>
      <c r="E10" s="86"/>
    </row>
    <row r="11" spans="1:8" x14ac:dyDescent="0.35">
      <c r="A11" s="19">
        <v>4</v>
      </c>
      <c r="B11" s="89" t="s">
        <v>9</v>
      </c>
      <c r="C11" s="89"/>
      <c r="D11" s="89"/>
      <c r="E11" s="90"/>
    </row>
    <row r="12" spans="1:8" ht="15.6" thickBot="1" x14ac:dyDescent="0.4">
      <c r="A12" s="20">
        <v>5</v>
      </c>
      <c r="B12" s="87" t="s">
        <v>10</v>
      </c>
      <c r="C12" s="87"/>
      <c r="D12" s="87"/>
      <c r="E12" s="88"/>
    </row>
    <row r="14" spans="1:8" ht="15.6" thickBot="1" x14ac:dyDescent="0.4"/>
    <row r="15" spans="1:8" x14ac:dyDescent="0.35">
      <c r="A15" s="50" t="s">
        <v>11</v>
      </c>
      <c r="B15" s="51"/>
      <c r="C15" s="51"/>
      <c r="D15" s="51"/>
      <c r="E15" s="51"/>
      <c r="F15" s="51"/>
      <c r="G15" s="51"/>
      <c r="H15" s="52"/>
    </row>
    <row r="16" spans="1:8" x14ac:dyDescent="0.35">
      <c r="A16" s="53"/>
      <c r="B16" s="13" t="s">
        <v>129</v>
      </c>
      <c r="C16" s="54"/>
      <c r="D16" s="54"/>
      <c r="E16" s="54"/>
      <c r="F16" s="54"/>
      <c r="G16" s="54"/>
      <c r="H16" s="55"/>
    </row>
    <row r="17" spans="1:8" ht="15" customHeight="1" x14ac:dyDescent="0.35">
      <c r="A17" s="53"/>
      <c r="B17" s="56" t="s">
        <v>130</v>
      </c>
      <c r="C17" s="54"/>
      <c r="D17" s="54"/>
      <c r="E17" s="54"/>
      <c r="F17" s="54"/>
      <c r="G17" s="54"/>
      <c r="H17" s="57"/>
    </row>
    <row r="18" spans="1:8" ht="28.5" customHeight="1" thickBot="1" x14ac:dyDescent="0.4">
      <c r="A18" s="58"/>
      <c r="B18" s="59"/>
      <c r="C18" s="59"/>
      <c r="D18" s="59"/>
      <c r="E18" s="59"/>
      <c r="F18" s="59"/>
      <c r="G18" s="59"/>
      <c r="H18" s="60"/>
    </row>
    <row r="19" spans="1:8" x14ac:dyDescent="0.35">
      <c r="A19" s="50" t="s">
        <v>12</v>
      </c>
      <c r="B19" s="51"/>
      <c r="C19" s="51"/>
      <c r="D19" s="51"/>
      <c r="E19" s="51"/>
      <c r="F19" s="51"/>
      <c r="G19" s="51"/>
      <c r="H19" s="61"/>
    </row>
    <row r="20" spans="1:8" ht="27" customHeight="1" x14ac:dyDescent="0.35">
      <c r="A20" s="53"/>
      <c r="B20" s="13" t="s">
        <v>2000</v>
      </c>
      <c r="C20" s="54"/>
      <c r="D20" s="54"/>
      <c r="E20" s="54"/>
      <c r="F20" s="54"/>
      <c r="G20" s="54"/>
      <c r="H20" s="55"/>
    </row>
    <row r="21" spans="1:8" ht="17.25" customHeight="1" x14ac:dyDescent="0.35">
      <c r="A21" s="53"/>
      <c r="B21" s="56" t="s">
        <v>2001</v>
      </c>
      <c r="C21" s="54"/>
      <c r="D21" s="54"/>
      <c r="E21" s="54"/>
      <c r="F21" s="54"/>
      <c r="G21" s="54"/>
      <c r="H21" s="55"/>
    </row>
    <row r="22" spans="1:8" ht="28.5" customHeight="1" thickBot="1" x14ac:dyDescent="0.4">
      <c r="A22" s="58"/>
      <c r="B22" s="59"/>
      <c r="C22" s="59"/>
      <c r="D22" s="59"/>
      <c r="E22" s="59"/>
      <c r="F22" s="59"/>
      <c r="G22" s="59"/>
      <c r="H22" s="60"/>
    </row>
    <row r="23" spans="1:8" ht="9.75" customHeight="1" x14ac:dyDescent="0.35">
      <c r="A23" s="62"/>
      <c r="B23" s="51"/>
      <c r="C23" s="51"/>
      <c r="D23" s="51"/>
      <c r="E23" s="51"/>
      <c r="F23" s="51"/>
      <c r="G23" s="51"/>
      <c r="H23" s="61"/>
    </row>
    <row r="24" spans="1:8" x14ac:dyDescent="0.35">
      <c r="A24" s="53"/>
      <c r="B24" s="54"/>
      <c r="C24" s="54"/>
      <c r="D24" s="54"/>
      <c r="E24" s="54"/>
      <c r="F24" s="54"/>
      <c r="G24" s="54"/>
      <c r="H24" s="55"/>
    </row>
    <row r="25" spans="1:8" x14ac:dyDescent="0.35">
      <c r="A25" s="53"/>
      <c r="B25" s="54"/>
      <c r="C25" s="54"/>
      <c r="D25" s="54"/>
      <c r="E25" s="54"/>
      <c r="F25" s="54"/>
      <c r="G25" s="54"/>
      <c r="H25" s="55"/>
    </row>
    <row r="26" spans="1:8" ht="6" customHeight="1" thickBot="1" x14ac:dyDescent="0.4">
      <c r="A26" s="58"/>
      <c r="B26" s="59"/>
      <c r="C26" s="59"/>
      <c r="D26" s="59"/>
      <c r="E26" s="59"/>
      <c r="F26" s="59"/>
      <c r="G26" s="59"/>
      <c r="H26" s="60"/>
    </row>
  </sheetData>
  <mergeCells count="11">
    <mergeCell ref="A7:E7"/>
    <mergeCell ref="B8:E8"/>
    <mergeCell ref="B9:E9"/>
    <mergeCell ref="B10:E10"/>
    <mergeCell ref="B12:E12"/>
    <mergeCell ref="B11:E11"/>
    <mergeCell ref="A1:E1"/>
    <mergeCell ref="B2:E2"/>
    <mergeCell ref="B3:E3"/>
    <mergeCell ref="B4:E4"/>
    <mergeCell ref="B5:E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7620</xdr:colOff>
                    <xdr:row>20</xdr:row>
                    <xdr:rowOff>22860</xdr:rowOff>
                  </from>
                  <to>
                    <xdr:col>4</xdr:col>
                    <xdr:colOff>746760</xdr:colOff>
                    <xdr:row>21</xdr:row>
                    <xdr:rowOff>304800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312420</xdr:colOff>
                    <xdr:row>16</xdr:row>
                    <xdr:rowOff>22860</xdr:rowOff>
                  </from>
                  <to>
                    <xdr:col>4</xdr:col>
                    <xdr:colOff>754380</xdr:colOff>
                    <xdr:row>17</xdr:row>
                    <xdr:rowOff>274320</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754380</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H2642"/>
  <sheetViews>
    <sheetView tabSelected="1" zoomScale="70" zoomScaleNormal="80" workbookViewId="0">
      <pane xSplit="1" ySplit="2" topLeftCell="T3" activePane="bottomRight" state="frozen"/>
      <selection pane="topRight" activeCell="B1" sqref="B1"/>
      <selection pane="bottomLeft" activeCell="A3" sqref="A3"/>
      <selection pane="bottomRight" activeCell="W4" sqref="W4"/>
    </sheetView>
  </sheetViews>
  <sheetFormatPr defaultColWidth="10.33203125" defaultRowHeight="15" outlineLevelRow="1" outlineLevelCol="1" x14ac:dyDescent="0.35"/>
  <cols>
    <col min="1" max="1" width="38.88671875" style="13" customWidth="1"/>
    <col min="2" max="2" width="25.5546875" style="13" customWidth="1" outlineLevel="1"/>
    <col min="3" max="3" width="18.44140625" style="13" customWidth="1" outlineLevel="1"/>
    <col min="4" max="4" width="16.88671875" style="13" customWidth="1" outlineLevel="1"/>
    <col min="5" max="5" width="15.6640625" style="13" customWidth="1" outlineLevel="1"/>
    <col min="6" max="6" width="14" style="13" customWidth="1" outlineLevel="1"/>
    <col min="7" max="12" width="14.6640625" style="13" customWidth="1" outlineLevel="1"/>
    <col min="13" max="13" width="16.6640625" style="13" customWidth="1" outlineLevel="1"/>
    <col min="14" max="14" width="17.44140625" style="13" customWidth="1" outlineLevel="1"/>
    <col min="15" max="15" width="16.5546875" style="13" customWidth="1" outlineLevel="1"/>
    <col min="16" max="16" width="12.5546875" style="13" customWidth="1" outlineLevel="1"/>
    <col min="17" max="17" width="14" style="13" customWidth="1" outlineLevel="1"/>
    <col min="18" max="26" width="15.44140625" style="13" customWidth="1" outlineLevel="1"/>
    <col min="27" max="38" width="10.44140625" style="13" customWidth="1" outlineLevel="1"/>
    <col min="39" max="39" width="19.109375" style="13" customWidth="1"/>
    <col min="40" max="76" width="16.6640625" style="13" hidden="1" customWidth="1" outlineLevel="1"/>
    <col min="77" max="77" width="16.6640625" style="13" customWidth="1" collapsed="1"/>
    <col min="78" max="114" width="16.6640625" style="13" hidden="1" customWidth="1" outlineLevel="1"/>
    <col min="115" max="115" width="16.6640625" style="13" customWidth="1" collapsed="1"/>
    <col min="116" max="152" width="16.6640625" style="13" hidden="1" customWidth="1" outlineLevel="1"/>
    <col min="153" max="153" width="16.6640625" style="13" customWidth="1" collapsed="1"/>
    <col min="154" max="190" width="16.6640625" style="13" hidden="1" customWidth="1" outlineLevel="1"/>
    <col min="191" max="191" width="16.6640625" style="13" customWidth="1" collapsed="1"/>
    <col min="192" max="228" width="16.6640625" style="13" hidden="1" customWidth="1" outlineLevel="1"/>
    <col min="229" max="229" width="16.6640625" style="13" customWidth="1" collapsed="1"/>
    <col min="230" max="266" width="16.6640625" style="13" hidden="1" customWidth="1" outlineLevel="1"/>
    <col min="267" max="267" width="16.6640625" style="13" customWidth="1" collapsed="1"/>
    <col min="268" max="304" width="16.6640625" style="13" hidden="1" customWidth="1" outlineLevel="1"/>
    <col min="305" max="305" width="16.6640625" style="13" customWidth="1" collapsed="1"/>
    <col min="306" max="342" width="16.6640625" style="13" hidden="1" customWidth="1" outlineLevel="1"/>
    <col min="343" max="343" width="16.6640625" style="13" customWidth="1" collapsed="1"/>
    <col min="344" max="380" width="16.6640625" style="13" hidden="1" customWidth="1" outlineLevel="1"/>
    <col min="381" max="381" width="16.6640625" style="13" customWidth="1" collapsed="1"/>
    <col min="382" max="418" width="16.6640625" style="13" hidden="1" customWidth="1" outlineLevel="1"/>
    <col min="419" max="419" width="16.6640625" style="13" customWidth="1" collapsed="1"/>
    <col min="420" max="421" width="10.33203125" style="13"/>
    <col min="422" max="422" width="17.33203125" style="13" customWidth="1"/>
    <col min="423" max="423" width="10.33203125" style="13"/>
    <col min="424" max="424" width="18.88671875" style="13" customWidth="1"/>
    <col min="425" max="16384" width="10.33203125" style="13"/>
  </cols>
  <sheetData>
    <row r="1" spans="1:424" s="11" customFormat="1" ht="15.75" customHeight="1" thickBot="1" x14ac:dyDescent="0.35">
      <c r="A1" s="48" t="s">
        <v>13</v>
      </c>
      <c r="B1" s="153" t="s">
        <v>14</v>
      </c>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4"/>
      <c r="AN1" s="155" t="s">
        <v>15</v>
      </c>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4"/>
      <c r="BZ1" s="109" t="s">
        <v>16</v>
      </c>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1"/>
      <c r="DL1" s="141" t="s">
        <v>17</v>
      </c>
      <c r="DM1" s="142"/>
      <c r="DN1" s="142"/>
      <c r="DO1" s="142"/>
      <c r="DP1" s="142"/>
      <c r="DQ1" s="142"/>
      <c r="DR1" s="142"/>
      <c r="DS1" s="142"/>
      <c r="DT1" s="142"/>
      <c r="DU1" s="142"/>
      <c r="DV1" s="142"/>
      <c r="DW1" s="142"/>
      <c r="DX1" s="142"/>
      <c r="DY1" s="142"/>
      <c r="DZ1" s="142"/>
      <c r="EA1" s="142"/>
      <c r="EB1" s="142"/>
      <c r="EC1" s="142"/>
      <c r="ED1" s="142"/>
      <c r="EE1" s="142"/>
      <c r="EF1" s="142"/>
      <c r="EG1" s="142"/>
      <c r="EH1" s="142"/>
      <c r="EI1" s="142"/>
      <c r="EJ1" s="142"/>
      <c r="EK1" s="142"/>
      <c r="EL1" s="142"/>
      <c r="EM1" s="142"/>
      <c r="EN1" s="142"/>
      <c r="EO1" s="142"/>
      <c r="EP1" s="142"/>
      <c r="EQ1" s="142"/>
      <c r="ER1" s="142"/>
      <c r="ES1" s="142"/>
      <c r="ET1" s="142"/>
      <c r="EU1" s="142"/>
      <c r="EV1" s="142"/>
      <c r="EW1" s="143"/>
      <c r="EX1" s="147" t="s">
        <v>18</v>
      </c>
      <c r="EY1" s="148"/>
      <c r="EZ1" s="148"/>
      <c r="FA1" s="148"/>
      <c r="FB1" s="148"/>
      <c r="FC1" s="148"/>
      <c r="FD1" s="148"/>
      <c r="FE1" s="148"/>
      <c r="FF1" s="148"/>
      <c r="FG1" s="148"/>
      <c r="FH1" s="148"/>
      <c r="FI1" s="148"/>
      <c r="FJ1" s="148"/>
      <c r="FK1" s="148"/>
      <c r="FL1" s="148"/>
      <c r="FM1" s="148"/>
      <c r="FN1" s="148"/>
      <c r="FO1" s="148"/>
      <c r="FP1" s="148"/>
      <c r="FQ1" s="148"/>
      <c r="FR1" s="148"/>
      <c r="FS1" s="148"/>
      <c r="FT1" s="148"/>
      <c r="FU1" s="148"/>
      <c r="FV1" s="148"/>
      <c r="FW1" s="148"/>
      <c r="FX1" s="148"/>
      <c r="FY1" s="148"/>
      <c r="FZ1" s="148"/>
      <c r="GA1" s="148"/>
      <c r="GB1" s="148"/>
      <c r="GC1" s="148"/>
      <c r="GD1" s="148"/>
      <c r="GE1" s="148"/>
      <c r="GF1" s="148"/>
      <c r="GG1" s="148"/>
      <c r="GH1" s="148"/>
      <c r="GI1" s="149"/>
      <c r="GJ1" s="147" t="s">
        <v>19</v>
      </c>
      <c r="GK1" s="148"/>
      <c r="GL1" s="148"/>
      <c r="GM1" s="148"/>
      <c r="GN1" s="148"/>
      <c r="GO1" s="148"/>
      <c r="GP1" s="148"/>
      <c r="GQ1" s="148"/>
      <c r="GR1" s="148"/>
      <c r="GS1" s="148"/>
      <c r="GT1" s="148"/>
      <c r="GU1" s="148"/>
      <c r="GV1" s="148"/>
      <c r="GW1" s="148"/>
      <c r="GX1" s="148"/>
      <c r="GY1" s="148"/>
      <c r="GZ1" s="148"/>
      <c r="HA1" s="148"/>
      <c r="HB1" s="148"/>
      <c r="HC1" s="148"/>
      <c r="HD1" s="148"/>
      <c r="HE1" s="148"/>
      <c r="HF1" s="148"/>
      <c r="HG1" s="148"/>
      <c r="HH1" s="148"/>
      <c r="HI1" s="148"/>
      <c r="HJ1" s="148"/>
      <c r="HK1" s="148"/>
      <c r="HL1" s="148"/>
      <c r="HM1" s="148"/>
      <c r="HN1" s="148"/>
      <c r="HO1" s="148"/>
      <c r="HP1" s="148"/>
      <c r="HQ1" s="148"/>
      <c r="HR1" s="148"/>
      <c r="HS1" s="148"/>
      <c r="HT1" s="148"/>
      <c r="HU1" s="149"/>
      <c r="HV1" s="150" t="s">
        <v>20</v>
      </c>
      <c r="HW1" s="151"/>
      <c r="HX1" s="151"/>
      <c r="HY1" s="151"/>
      <c r="HZ1" s="151"/>
      <c r="IA1" s="151"/>
      <c r="IB1" s="151"/>
      <c r="IC1" s="151"/>
      <c r="ID1" s="151"/>
      <c r="IE1" s="151"/>
      <c r="IF1" s="151"/>
      <c r="IG1" s="151"/>
      <c r="IH1" s="151"/>
      <c r="II1" s="151"/>
      <c r="IJ1" s="151"/>
      <c r="IK1" s="151"/>
      <c r="IL1" s="151"/>
      <c r="IM1" s="151"/>
      <c r="IN1" s="151"/>
      <c r="IO1" s="151"/>
      <c r="IP1" s="151"/>
      <c r="IQ1" s="151"/>
      <c r="IR1" s="151"/>
      <c r="IS1" s="151"/>
      <c r="IT1" s="151"/>
      <c r="IU1" s="151"/>
      <c r="IV1" s="151"/>
      <c r="IW1" s="151"/>
      <c r="IX1" s="151"/>
      <c r="IY1" s="151"/>
      <c r="IZ1" s="151"/>
      <c r="JA1" s="151"/>
      <c r="JB1" s="151"/>
      <c r="JC1" s="151"/>
      <c r="JD1" s="151"/>
      <c r="JE1" s="151"/>
      <c r="JF1" s="151"/>
      <c r="JG1" s="152"/>
      <c r="JH1" s="144" t="s">
        <v>21</v>
      </c>
      <c r="JI1" s="145"/>
      <c r="JJ1" s="145"/>
      <c r="JK1" s="145"/>
      <c r="JL1" s="145"/>
      <c r="JM1" s="145"/>
      <c r="JN1" s="145"/>
      <c r="JO1" s="145"/>
      <c r="JP1" s="145"/>
      <c r="JQ1" s="145"/>
      <c r="JR1" s="145"/>
      <c r="JS1" s="145"/>
      <c r="JT1" s="145"/>
      <c r="JU1" s="145"/>
      <c r="JV1" s="145"/>
      <c r="JW1" s="145"/>
      <c r="JX1" s="145"/>
      <c r="JY1" s="145"/>
      <c r="JZ1" s="145"/>
      <c r="KA1" s="145"/>
      <c r="KB1" s="145"/>
      <c r="KC1" s="145"/>
      <c r="KD1" s="145"/>
      <c r="KE1" s="145"/>
      <c r="KF1" s="145"/>
      <c r="KG1" s="145"/>
      <c r="KH1" s="145"/>
      <c r="KI1" s="145"/>
      <c r="KJ1" s="145"/>
      <c r="KK1" s="145"/>
      <c r="KL1" s="145"/>
      <c r="KM1" s="145"/>
      <c r="KN1" s="145"/>
      <c r="KO1" s="145"/>
      <c r="KP1" s="145"/>
      <c r="KQ1" s="145"/>
      <c r="KR1" s="145"/>
      <c r="KS1" s="146"/>
      <c r="KT1" s="141" t="s">
        <v>22</v>
      </c>
      <c r="KU1" s="142"/>
      <c r="KV1" s="142"/>
      <c r="KW1" s="142"/>
      <c r="KX1" s="142"/>
      <c r="KY1" s="142"/>
      <c r="KZ1" s="142"/>
      <c r="LA1" s="142"/>
      <c r="LB1" s="142"/>
      <c r="LC1" s="142"/>
      <c r="LD1" s="142"/>
      <c r="LE1" s="142"/>
      <c r="LF1" s="142"/>
      <c r="LG1" s="142"/>
      <c r="LH1" s="142"/>
      <c r="LI1" s="142"/>
      <c r="LJ1" s="142"/>
      <c r="LK1" s="142"/>
      <c r="LL1" s="142"/>
      <c r="LM1" s="142"/>
      <c r="LN1" s="142"/>
      <c r="LO1" s="142"/>
      <c r="LP1" s="142"/>
      <c r="LQ1" s="142"/>
      <c r="LR1" s="142"/>
      <c r="LS1" s="142"/>
      <c r="LT1" s="142"/>
      <c r="LU1" s="142"/>
      <c r="LV1" s="142"/>
      <c r="LW1" s="142"/>
      <c r="LX1" s="142"/>
      <c r="LY1" s="142"/>
      <c r="LZ1" s="142"/>
      <c r="MA1" s="142"/>
      <c r="MB1" s="142"/>
      <c r="MC1" s="142"/>
      <c r="MD1" s="142"/>
      <c r="ME1" s="143"/>
      <c r="MF1" s="141" t="s">
        <v>23</v>
      </c>
      <c r="MG1" s="142"/>
      <c r="MH1" s="142"/>
      <c r="MI1" s="142"/>
      <c r="MJ1" s="142"/>
      <c r="MK1" s="142"/>
      <c r="ML1" s="142"/>
      <c r="MM1" s="142"/>
      <c r="MN1" s="142"/>
      <c r="MO1" s="142"/>
      <c r="MP1" s="142"/>
      <c r="MQ1" s="142"/>
      <c r="MR1" s="142"/>
      <c r="MS1" s="142"/>
      <c r="MT1" s="142"/>
      <c r="MU1" s="142"/>
      <c r="MV1" s="142"/>
      <c r="MW1" s="142"/>
      <c r="MX1" s="142"/>
      <c r="MY1" s="142"/>
      <c r="MZ1" s="142"/>
      <c r="NA1" s="142"/>
      <c r="NB1" s="142"/>
      <c r="NC1" s="142"/>
      <c r="ND1" s="142"/>
      <c r="NE1" s="142"/>
      <c r="NF1" s="142"/>
      <c r="NG1" s="142"/>
      <c r="NH1" s="142"/>
      <c r="NI1" s="142"/>
      <c r="NJ1" s="142"/>
      <c r="NK1" s="142"/>
      <c r="NL1" s="142"/>
      <c r="NM1" s="142"/>
      <c r="NN1" s="142"/>
      <c r="NO1" s="142"/>
      <c r="NP1" s="142"/>
      <c r="NQ1" s="143"/>
      <c r="NR1" s="109" t="s">
        <v>24</v>
      </c>
      <c r="NS1" s="110"/>
      <c r="NT1" s="110"/>
      <c r="NU1" s="110"/>
      <c r="NV1" s="110"/>
      <c r="NW1" s="110"/>
      <c r="NX1" s="110"/>
      <c r="NY1" s="110"/>
      <c r="NZ1" s="110"/>
      <c r="OA1" s="110"/>
      <c r="OB1" s="110"/>
      <c r="OC1" s="110"/>
      <c r="OD1" s="110"/>
      <c r="OE1" s="110"/>
      <c r="OF1" s="110"/>
      <c r="OG1" s="110"/>
      <c r="OH1" s="110"/>
      <c r="OI1" s="110"/>
      <c r="OJ1" s="110"/>
      <c r="OK1" s="110"/>
      <c r="OL1" s="110"/>
      <c r="OM1" s="110"/>
      <c r="ON1" s="110"/>
      <c r="OO1" s="110"/>
      <c r="OP1" s="110"/>
      <c r="OQ1" s="110"/>
      <c r="OR1" s="110"/>
      <c r="OS1" s="110"/>
      <c r="OT1" s="110"/>
      <c r="OU1" s="110"/>
      <c r="OV1" s="110"/>
      <c r="OW1" s="110"/>
      <c r="OX1" s="110"/>
      <c r="OY1" s="110"/>
      <c r="OZ1" s="110"/>
      <c r="PA1" s="110"/>
      <c r="PB1" s="110"/>
      <c r="PC1" s="111"/>
    </row>
    <row r="2" spans="1:424" s="31" customFormat="1" ht="15.75" customHeight="1" thickBot="1" x14ac:dyDescent="0.35">
      <c r="A2" s="49" t="s">
        <v>25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26</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26</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26</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26</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26</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26</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26</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26</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26</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26</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26</v>
      </c>
    </row>
    <row r="3" spans="1:424" outlineLevel="1" x14ac:dyDescent="0.35">
      <c r="A3" s="76" t="s">
        <v>27</v>
      </c>
      <c r="B3" s="14">
        <f>'[1]D-PDP'!$BE$12</f>
        <v>491876.5625</v>
      </c>
      <c r="C3" s="14">
        <f>'[1]D-PDP'!$BE$13</f>
        <v>568540.625</v>
      </c>
      <c r="D3" s="14">
        <f>'[1]D-PDP'!$BE$14</f>
        <v>465271.0625</v>
      </c>
      <c r="E3" s="14">
        <f>'[1]D-PDP'!$BE$15</f>
        <v>403614.40625</v>
      </c>
      <c r="F3" s="14">
        <f>'[1]D-PDP'!$BE$16</f>
        <v>357174.84375</v>
      </c>
      <c r="G3" s="14">
        <f>'[1]D-PDP'!$BE$17</f>
        <v>318531.78125</v>
      </c>
      <c r="H3" s="14">
        <f>'[1]D-PDP'!$BE$18</f>
        <v>283667.84375</v>
      </c>
      <c r="I3" s="14">
        <f>'[1]D-PDP'!$BE$19</f>
        <v>254213.40625</v>
      </c>
      <c r="J3" s="14">
        <f>'[1]D-PDP'!$BE$20</f>
        <v>228743.96875</v>
      </c>
      <c r="K3" s="14">
        <f>'[1]D-PDP'!$BE$21</f>
        <v>206728.109375</v>
      </c>
      <c r="L3" s="14">
        <f>'[1]D-PDP'!$BE$22</f>
        <v>186271.140625</v>
      </c>
      <c r="M3" s="14">
        <f>'[1]D-PDP'!$BE$23</f>
        <v>168347.78125</v>
      </c>
      <c r="N3" s="14">
        <f>'[1]D-PDP'!$BE$24</f>
        <v>152563.59375</v>
      </c>
      <c r="O3" s="14">
        <f>'[1]D-PDP'!$BE$25</f>
        <v>139309.90625</v>
      </c>
      <c r="P3" s="14">
        <f>'[1]D-PDP'!$BE$26</f>
        <v>126686.3984375</v>
      </c>
      <c r="Q3" s="14">
        <f>'[1]D-PDP'!$BE$27</f>
        <v>115553.875</v>
      </c>
      <c r="R3" s="14">
        <f>'[1]D-PDP'!$BE$28</f>
        <v>106088.859375</v>
      </c>
      <c r="S3" s="14">
        <f>'[1]D-PDP'!$BE$29</f>
        <v>97119.6796875</v>
      </c>
      <c r="T3" s="14">
        <f>'[1]D-PDP'!$BE$30</f>
        <v>88691.265625</v>
      </c>
      <c r="U3" s="14">
        <f>'[1]D-PDP'!$BE$31</f>
        <v>81394.9609375</v>
      </c>
      <c r="V3" s="14">
        <f>'[1]D-PDP'!$BE$32</f>
        <v>75142.5546875</v>
      </c>
      <c r="W3" s="14">
        <f>'[1]D-PDP'!$BE$33</f>
        <v>23560.447265625</v>
      </c>
      <c r="X3" s="14">
        <f>'[1]D-PDP'!$BE$34</f>
        <v>0</v>
      </c>
      <c r="Y3" s="14">
        <f>'[1]D-PDP'!$BE$35</f>
        <v>0</v>
      </c>
      <c r="Z3" s="14">
        <f>'[1]D-PDP'!$BE$36</f>
        <v>0</v>
      </c>
      <c r="AA3" s="14">
        <f>'[1]D-PDP'!$BE$37</f>
        <v>0</v>
      </c>
      <c r="AB3" s="14">
        <f>'[1]D-PDP'!$BE$38</f>
        <v>0</v>
      </c>
      <c r="AC3" s="14">
        <f>'[1]D-PDP'!$BE$39</f>
        <v>0</v>
      </c>
      <c r="AD3" s="14">
        <f>'[1]D-PDP'!$BE$40</f>
        <v>0</v>
      </c>
      <c r="AE3" s="14">
        <f>'[1]D-PDP'!$BE$41</f>
        <v>0</v>
      </c>
      <c r="AF3" s="14">
        <f>'[1]D-PDP'!$BE$42</f>
        <v>0</v>
      </c>
      <c r="AG3" s="14">
        <f>'[1]D-PDP'!$BE$43</f>
        <v>0</v>
      </c>
      <c r="AH3" s="14">
        <f>'[1]D-PDP'!$BE$44</f>
        <v>0</v>
      </c>
      <c r="AI3" s="14">
        <f>'[1]D-PDP'!$BE$45</f>
        <v>0</v>
      </c>
      <c r="AJ3" s="14">
        <f>'[1]D-PDP'!$BE$46</f>
        <v>0</v>
      </c>
      <c r="AK3" s="14">
        <f>'[1]D-PDP'!$BE$47</f>
        <v>0</v>
      </c>
      <c r="AL3" s="14">
        <f>'[1]D-PDP'!$BE$48</f>
        <v>0</v>
      </c>
      <c r="AM3" s="16">
        <f>SUM(B3:AL3)</f>
        <v>4939093.072265625</v>
      </c>
      <c r="AN3" s="28">
        <f>'[1]D-PNP'!$BE$12</f>
        <v>50444.2734375</v>
      </c>
      <c r="AO3" s="14">
        <f>'[1]D-PNP'!$BE$13</f>
        <v>64875.3359375</v>
      </c>
      <c r="AP3" s="14">
        <f>'[1]D-PNP'!$BE$14</f>
        <v>48474.078125</v>
      </c>
      <c r="AQ3" s="14">
        <f>'[1]D-PNP'!$BE$15</f>
        <v>41038.96875</v>
      </c>
      <c r="AR3" s="14">
        <f>'[1]D-PNP'!$BE$16</f>
        <v>36191.87109375</v>
      </c>
      <c r="AS3" s="14">
        <f>'[1]D-PNP'!$BE$17</f>
        <v>32150.130859375</v>
      </c>
      <c r="AT3" s="14">
        <f>'[1]D-PNP'!$BE$18</f>
        <v>28540.92578125</v>
      </c>
      <c r="AU3" s="14">
        <f>'[1]D-PNP'!$BE$19</f>
        <v>25492.67578125</v>
      </c>
      <c r="AV3" s="14">
        <f>'[1]D-PNP'!$BE$20</f>
        <v>22834.912109375</v>
      </c>
      <c r="AW3" s="14">
        <f>'[1]D-PNP'!$BE$21</f>
        <v>20562.15625</v>
      </c>
      <c r="AX3" s="14">
        <f>'[1]D-PNP'!$BE$22</f>
        <v>18460.63671875</v>
      </c>
      <c r="AY3" s="14">
        <f>'[1]D-PNP'!$BE$23</f>
        <v>16660.658203125</v>
      </c>
      <c r="AZ3" s="14">
        <f>'[1]D-PNP'!$BE$24</f>
        <v>15069.056640625</v>
      </c>
      <c r="BA3" s="14">
        <f>'[1]D-PNP'!$BE$25</f>
        <v>13692.9677734375</v>
      </c>
      <c r="BB3" s="14">
        <f>'[1]D-PNP'!$BE$26</f>
        <v>12398.2470703125</v>
      </c>
      <c r="BC3" s="14">
        <f>'[1]D-PNP'!$BE$27</f>
        <v>11278.2841796875</v>
      </c>
      <c r="BD3" s="14">
        <f>'[1]D-PNP'!$BE$28</f>
        <v>10276.5517578125</v>
      </c>
      <c r="BE3" s="14">
        <f>'[1]D-PNP'!$BE$29</f>
        <v>9402.884765625</v>
      </c>
      <c r="BF3" s="14">
        <f>'[1]D-PNP'!$BE$30</f>
        <v>8568.9501953125</v>
      </c>
      <c r="BG3" s="14">
        <f>'[1]D-PNP'!$BE$31</f>
        <v>7823.52734375</v>
      </c>
      <c r="BH3" s="14">
        <f>'[1]D-PNP'!$BE$32</f>
        <v>7160.87109375</v>
      </c>
      <c r="BI3" s="14">
        <f>'[1]D-PNP'!$BE$33</f>
        <v>2241.418212890625</v>
      </c>
      <c r="BJ3" s="14">
        <f>'[1]D-PNP'!$BE$34</f>
        <v>0</v>
      </c>
      <c r="BK3" s="14">
        <f>'[1]D-PNP'!$BE$35</f>
        <v>0</v>
      </c>
      <c r="BL3" s="14">
        <f>'[1]D-PNP'!$BE$36</f>
        <v>0</v>
      </c>
      <c r="BM3" s="14">
        <f>'[1]D-PNP'!$BE$37</f>
        <v>0</v>
      </c>
      <c r="BN3" s="14">
        <f>'[1]D-PNP'!$BE$38</f>
        <v>0</v>
      </c>
      <c r="BO3" s="14">
        <f>'[1]D-PNP'!$BE$39</f>
        <v>0</v>
      </c>
      <c r="BP3" s="14">
        <f>'[1]D-PNP'!$BE$40</f>
        <v>0</v>
      </c>
      <c r="BQ3" s="14">
        <f>'[1]D-PNP'!$BE$41</f>
        <v>0</v>
      </c>
      <c r="BR3" s="14">
        <f>'[1]D-PNP'!$BE$42</f>
        <v>0</v>
      </c>
      <c r="BS3" s="14">
        <f>'[1]D-PNP'!$BE$43</f>
        <v>0</v>
      </c>
      <c r="BT3" s="14">
        <f>'[1]D-PNP'!$BE$44</f>
        <v>0</v>
      </c>
      <c r="BU3" s="14">
        <f>'[1]D-PNP'!$BE$45</f>
        <v>0</v>
      </c>
      <c r="BV3" s="14">
        <f>'[1]D-PNP'!$BE$46</f>
        <v>0</v>
      </c>
      <c r="BW3" s="14">
        <f>'[1]D-PNP'!$BE$47</f>
        <v>0</v>
      </c>
      <c r="BX3" s="14">
        <f>'[1]D-PNP'!$BE$48</f>
        <v>0</v>
      </c>
      <c r="BY3" s="16">
        <f>SUM(AN3:BX3)</f>
        <v>503639.38208007813</v>
      </c>
      <c r="BZ3" s="28">
        <f>'[1]D-PND'!$BE$12</f>
        <v>0</v>
      </c>
      <c r="CA3" s="14">
        <f>'[1]D-PND'!$BE$13</f>
        <v>0</v>
      </c>
      <c r="CB3" s="14">
        <f>'[1]D-PND'!$BE$14</f>
        <v>74836.3984375</v>
      </c>
      <c r="CC3" s="14">
        <f>'[1]D-PND'!$BE$15</f>
        <v>252383.90625</v>
      </c>
      <c r="CD3" s="14">
        <f>'[1]D-PND'!$BE$16</f>
        <v>550333.625</v>
      </c>
      <c r="CE3" s="14">
        <f>'[1]D-PND'!$BE$17</f>
        <v>642593.5625</v>
      </c>
      <c r="CF3" s="14">
        <f>'[1]D-PND'!$BE$18</f>
        <v>493454.96875</v>
      </c>
      <c r="CG3" s="14">
        <f>'[1]D-PND'!$BE$19</f>
        <v>352399.5625</v>
      </c>
      <c r="CH3" s="14">
        <f>'[1]D-PND'!$BE$20</f>
        <v>259306.21875</v>
      </c>
      <c r="CI3" s="14">
        <f>'[1]D-PND'!$BE$21</f>
        <v>192863.984375</v>
      </c>
      <c r="CJ3" s="14">
        <f>'[1]D-PND'!$BE$22</f>
        <v>145015.65625</v>
      </c>
      <c r="CK3" s="14">
        <f>'[1]D-PND'!$BE$23</f>
        <v>110028.15625</v>
      </c>
      <c r="CL3" s="14">
        <f>'[1]D-PND'!$BE$24</f>
        <v>84262.5703125</v>
      </c>
      <c r="CM3" s="14">
        <f>'[1]D-PND'!$BE$25</f>
        <v>64617.21875</v>
      </c>
      <c r="CN3" s="14">
        <f>'[1]D-PND'!$BE$26</f>
        <v>50218.15234375</v>
      </c>
      <c r="CO3" s="14">
        <f>'[1]D-PND'!$BE$27</f>
        <v>39103.17578125</v>
      </c>
      <c r="CP3" s="14">
        <f>'[1]D-PND'!$BE$28</f>
        <v>30753.54296875</v>
      </c>
      <c r="CQ3" s="14">
        <f>'[1]D-PND'!$BE$29</f>
        <v>17348.220703125</v>
      </c>
      <c r="CR3" s="14">
        <f>'[1]D-PND'!$BE$30</f>
        <v>0</v>
      </c>
      <c r="CS3" s="14">
        <f>'[1]D-PND'!$BE$31</f>
        <v>0</v>
      </c>
      <c r="CT3" s="14">
        <f>'[1]D-PND'!$BE$32</f>
        <v>0</v>
      </c>
      <c r="CU3" s="14">
        <f>'[1]D-PND'!$BE$33</f>
        <v>0</v>
      </c>
      <c r="CV3" s="14">
        <f>'[1]D-PND'!$BE$34</f>
        <v>0</v>
      </c>
      <c r="CW3" s="14">
        <f>'[1]D-PND'!$BE$35</f>
        <v>0</v>
      </c>
      <c r="CX3" s="14">
        <f>'[1]D-PND'!$BE$36</f>
        <v>0</v>
      </c>
      <c r="CY3" s="14">
        <f>'[1]D-PND'!$BE$37</f>
        <v>0</v>
      </c>
      <c r="CZ3" s="14">
        <f>'[1]D-PND'!$BE$38</f>
        <v>0</v>
      </c>
      <c r="DA3" s="14">
        <f>'[1]D-PND'!$BE$39</f>
        <v>0</v>
      </c>
      <c r="DB3" s="14">
        <f>'[1]D-PND'!$BE$40</f>
        <v>0</v>
      </c>
      <c r="DC3" s="14">
        <f>'[1]D-PND'!$BE$41</f>
        <v>0</v>
      </c>
      <c r="DD3" s="14">
        <f>'[1]D-PND'!$BE$42</f>
        <v>0</v>
      </c>
      <c r="DE3" s="14">
        <f>'[1]D-PND'!$BE$43</f>
        <v>0</v>
      </c>
      <c r="DF3" s="14">
        <f>'[1]D-PND'!$BE$44</f>
        <v>0</v>
      </c>
      <c r="DG3" s="14">
        <f>'[1]D-PND'!$BE$45</f>
        <v>0</v>
      </c>
      <c r="DH3" s="14">
        <f>'[1]D-PND'!$BE$46</f>
        <v>0</v>
      </c>
      <c r="DI3" s="14">
        <f>'[1]D-PND'!$BE$47</f>
        <v>0</v>
      </c>
      <c r="DJ3" s="14">
        <f>'[1]D-PND'!$BE$48</f>
        <v>0</v>
      </c>
      <c r="DK3" s="16">
        <f>SUM(BZ3:DJ3)</f>
        <v>3359518.919921875</v>
      </c>
      <c r="DL3" s="66"/>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8">
        <f>SUM(DL3:EV3)</f>
        <v>0</v>
      </c>
      <c r="EX3" s="66"/>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8">
        <f>SUM(EX3:GH3)</f>
        <v>0</v>
      </c>
      <c r="GJ3" s="66"/>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8">
        <f>SUM(GJ3:HT3)</f>
        <v>0</v>
      </c>
      <c r="HV3" s="28">
        <f>'[1]D-PRB'!$BE$12</f>
        <v>0</v>
      </c>
      <c r="HW3" s="14">
        <f>'[1]D-PRB'!$BE$13</f>
        <v>0</v>
      </c>
      <c r="HX3" s="14">
        <f>'[1]D-PRB'!$BE$14</f>
        <v>38983</v>
      </c>
      <c r="HY3" s="14">
        <f>'[1]D-PRB'!$BE$15</f>
        <v>142933</v>
      </c>
      <c r="HZ3" s="14">
        <f>'[1]D-PRB'!$BE$16</f>
        <v>274813</v>
      </c>
      <c r="IA3" s="14">
        <f>'[1]D-PRB'!$BE$17</f>
        <v>335540</v>
      </c>
      <c r="IB3" s="14">
        <f>'[1]D-PRB'!$BE$18</f>
        <v>348712.96875</v>
      </c>
      <c r="IC3" s="14">
        <f>'[1]D-PRB'!$BE$19</f>
        <v>307331</v>
      </c>
      <c r="ID3" s="14">
        <f>'[1]D-PRB'!$BE$20</f>
        <v>247392</v>
      </c>
      <c r="IE3" s="14">
        <f>'[1]D-PRB'!$BE$21</f>
        <v>196308</v>
      </c>
      <c r="IF3" s="14">
        <f>'[1]D-PRB'!$BE$22</f>
        <v>143540</v>
      </c>
      <c r="IG3" s="14">
        <f>'[1]D-PRB'!$BE$23</f>
        <v>114822.0078125</v>
      </c>
      <c r="IH3" s="14">
        <f>'[1]D-PRB'!$BE$24</f>
        <v>92846</v>
      </c>
      <c r="II3" s="14">
        <f>'[1]D-PRB'!$BE$25</f>
        <v>75899</v>
      </c>
      <c r="IJ3" s="14">
        <f>'[1]D-PRB'!$BE$26</f>
        <v>61836</v>
      </c>
      <c r="IK3" s="14">
        <f>'[1]D-PRB'!$BE$27</f>
        <v>50594</v>
      </c>
      <c r="IL3" s="14">
        <f>'[1]D-PRB'!$BE$28</f>
        <v>41497</v>
      </c>
      <c r="IM3" s="14">
        <f>'[1]D-PRB'!$BE$29</f>
        <v>40690</v>
      </c>
      <c r="IN3" s="14">
        <f>'[1]D-PRB'!$BE$30</f>
        <v>46538.00390625</v>
      </c>
      <c r="IO3" s="14">
        <f>'[1]D-PRB'!$BE$31</f>
        <v>34621</v>
      </c>
      <c r="IP3" s="14">
        <f>'[1]D-PRB'!$BE$32</f>
        <v>0</v>
      </c>
      <c r="IQ3" s="14">
        <f>'[1]D-PRB'!$BE$33</f>
        <v>0</v>
      </c>
      <c r="IR3" s="14">
        <f>'[1]D-PRB'!$BE$34</f>
        <v>0</v>
      </c>
      <c r="IS3" s="14">
        <f>'[1]D-PRB'!$BE$35</f>
        <v>0</v>
      </c>
      <c r="IT3" s="14">
        <f>'[1]D-PRB'!$BE$36</f>
        <v>0</v>
      </c>
      <c r="IU3" s="14">
        <f>'[1]D-PRB'!$BE$37</f>
        <v>0</v>
      </c>
      <c r="IV3" s="14">
        <f>'[1]D-PRB'!$BE$38</f>
        <v>0</v>
      </c>
      <c r="IW3" s="14">
        <f>'[1]D-PRB'!$BE$39</f>
        <v>0</v>
      </c>
      <c r="IX3" s="14">
        <f>'[1]D-PRB'!$BE$40</f>
        <v>0</v>
      </c>
      <c r="IY3" s="14">
        <f>'[1]D-PRB'!$BE$41</f>
        <v>0</v>
      </c>
      <c r="IZ3" s="14">
        <f>'[1]D-PRB'!$BE$42</f>
        <v>0</v>
      </c>
      <c r="JA3" s="14">
        <f>'[1]D-PRB'!$BE$43</f>
        <v>0</v>
      </c>
      <c r="JB3" s="14">
        <f>'[1]D-PRB'!$BE$44</f>
        <v>0</v>
      </c>
      <c r="JC3" s="14">
        <f>'[1]D-PRB'!$BE$45</f>
        <v>0</v>
      </c>
      <c r="JD3" s="14">
        <f>'[1]D-PRB'!$BE$46</f>
        <v>0</v>
      </c>
      <c r="JE3" s="14">
        <f>'[1]D-PRB'!$BE$47</f>
        <v>0</v>
      </c>
      <c r="JF3" s="14">
        <f>'[1]D-PRB'!$BE$48</f>
        <v>0</v>
      </c>
      <c r="JG3" s="16">
        <f>SUM(HV3:JF3)</f>
        <v>2594895.98046875</v>
      </c>
      <c r="JH3" s="66"/>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8">
        <f>SUM(JH3:KR3)</f>
        <v>0</v>
      </c>
      <c r="KT3" s="66"/>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8">
        <f>SUM(KT3:MD3)</f>
        <v>0</v>
      </c>
      <c r="MF3" s="66"/>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8">
        <f>SUM(MF3:NP3)</f>
        <v>0</v>
      </c>
      <c r="NR3" s="14">
        <f>'[1]D-PS'!$BE$12</f>
        <v>0</v>
      </c>
      <c r="NS3" s="14">
        <f>'[1]D-PS'!$BE$13</f>
        <v>0</v>
      </c>
      <c r="NT3" s="14">
        <f>'[1]D-PS'!$BE$14</f>
        <v>42356</v>
      </c>
      <c r="NU3" s="14">
        <f>'[1]D-PS'!$BE$15</f>
        <v>68749</v>
      </c>
      <c r="NV3" s="14">
        <f>'[1]D-PS'!$BE$16</f>
        <v>125766</v>
      </c>
      <c r="NW3" s="14">
        <f>'[1]D-PS'!$BE$17</f>
        <v>227945</v>
      </c>
      <c r="NX3" s="14">
        <f>'[1]D-PS'!$BE$18</f>
        <v>262839</v>
      </c>
      <c r="NY3" s="14">
        <f>'[1]D-PS'!$BE$19</f>
        <v>261001.984375</v>
      </c>
      <c r="NZ3" s="14">
        <f>'[1]D-PS'!$BE$20</f>
        <v>248446</v>
      </c>
      <c r="OA3" s="14">
        <f>'[1]D-PS'!$BE$21</f>
        <v>233938</v>
      </c>
      <c r="OB3" s="14">
        <f>'[1]D-PS'!$BE$22</f>
        <v>224900</v>
      </c>
      <c r="OC3" s="14">
        <f>'[1]D-PS'!$BE$23</f>
        <v>205540</v>
      </c>
      <c r="OD3" s="14">
        <f>'[1]D-PS'!$BE$24</f>
        <v>186209</v>
      </c>
      <c r="OE3" s="14">
        <f>'[1]D-PS'!$BE$25</f>
        <v>168214</v>
      </c>
      <c r="OF3" s="14">
        <f>'[1]D-PS'!$BE$26</f>
        <v>151235</v>
      </c>
      <c r="OG3" s="14">
        <f>'[1]D-PS'!$BE$27</f>
        <v>128994.9921875</v>
      </c>
      <c r="OH3" s="14">
        <f>'[1]D-PS'!$BE$28</f>
        <v>103276</v>
      </c>
      <c r="OI3" s="14">
        <f>'[1]D-PS'!$BE$29</f>
        <v>92881</v>
      </c>
      <c r="OJ3" s="14">
        <f>'[1]D-PS'!$BE$30</f>
        <v>83168</v>
      </c>
      <c r="OK3" s="14">
        <f>'[1]D-PS'!$BE$31</f>
        <v>76689</v>
      </c>
      <c r="OL3" s="14">
        <f>'[1]D-PS'!$BE$32</f>
        <v>95195</v>
      </c>
      <c r="OM3" s="14">
        <f>'[1]D-PS'!$BE$33</f>
        <v>131647</v>
      </c>
      <c r="ON3" s="14">
        <f>'[1]D-PS'!$BE$34</f>
        <v>140358</v>
      </c>
      <c r="OO3" s="14">
        <f>'[1]D-PS'!$BE$35</f>
        <v>125496</v>
      </c>
      <c r="OP3" s="14">
        <f>'[1]D-PS'!$BE$36</f>
        <v>38749</v>
      </c>
      <c r="OQ3" s="14">
        <f>'[1]D-PS'!$BE$37</f>
        <v>0</v>
      </c>
      <c r="OR3" s="14">
        <f>'[1]D-PS'!$BE$38</f>
        <v>0</v>
      </c>
      <c r="OS3" s="14">
        <f>'[1]D-PS'!$BE$39</f>
        <v>0</v>
      </c>
      <c r="OT3" s="14">
        <f>'[1]D-PS'!$BE$40</f>
        <v>0</v>
      </c>
      <c r="OU3" s="14">
        <f>'[1]D-PS'!$BE$41</f>
        <v>0</v>
      </c>
      <c r="OV3" s="14">
        <f>'[1]D-PS'!$BE$42</f>
        <v>0</v>
      </c>
      <c r="OW3" s="14">
        <f>'[1]D-PS'!$BE$43</f>
        <v>0</v>
      </c>
      <c r="OX3" s="14">
        <f>'[1]D-PS'!$BE$44</f>
        <v>0</v>
      </c>
      <c r="OY3" s="14">
        <f>'[1]D-PS'!$BE$45</f>
        <v>0</v>
      </c>
      <c r="OZ3" s="14">
        <f>'[1]D-PS'!$BE$46</f>
        <v>0</v>
      </c>
      <c r="PA3" s="14">
        <f>'[1]D-PS'!$BE$47</f>
        <v>0</v>
      </c>
      <c r="PB3" s="14">
        <f>'[1]D-PS'!$BE$48</f>
        <v>0</v>
      </c>
      <c r="PC3" s="16">
        <f>SUM(NR3:PB3)</f>
        <v>3423592.9765625</v>
      </c>
      <c r="PF3" s="16">
        <f>DK3+BY3+AM3</f>
        <v>8802251.3742675781</v>
      </c>
      <c r="PH3" s="16">
        <f>PF3+JG3+PC3</f>
        <v>14820740.331298828</v>
      </c>
    </row>
    <row r="4" spans="1:424" outlineLevel="1" x14ac:dyDescent="0.35">
      <c r="A4" s="76" t="s">
        <v>28</v>
      </c>
      <c r="B4" s="25">
        <f>'[2]CF PDP'!$BB$36</f>
        <v>491189</v>
      </c>
      <c r="C4" s="25">
        <f>'[2]CF PDP'!$BB$37</f>
        <v>568540</v>
      </c>
      <c r="D4" s="25">
        <f>'[2]CF PDP'!$BB$38</f>
        <v>465271</v>
      </c>
      <c r="E4" s="25">
        <f>'[2]CF PDP'!$BB$39</f>
        <v>403614</v>
      </c>
      <c r="F4" s="25">
        <f>'[2]CF PDP'!$BB$40</f>
        <v>357174</v>
      </c>
      <c r="G4" s="25">
        <f>'[2]CF PDP'!$BB$41</f>
        <v>318531</v>
      </c>
      <c r="H4" s="25">
        <f>'[2]CF PDP'!$BB$42</f>
        <v>283667</v>
      </c>
      <c r="I4" s="25">
        <f>'[2]CF PDP'!$BB$43</f>
        <v>254213</v>
      </c>
      <c r="J4" s="25">
        <f>'[2]CF PDP'!$BB$44</f>
        <v>228743</v>
      </c>
      <c r="K4" s="25">
        <f>'[2]CF PDP'!$BB$45</f>
        <v>206728</v>
      </c>
      <c r="L4" s="25">
        <f>'[2]CF PDP'!$BB$46</f>
        <v>186271</v>
      </c>
      <c r="M4" s="25">
        <f>'[2]CF PDP'!$BB$47</f>
        <v>168347</v>
      </c>
      <c r="N4" s="25">
        <f>'[2]CF PDP'!$BB$48</f>
        <v>152563</v>
      </c>
      <c r="O4" s="25">
        <f>'[2]CF PDP'!$BB$49</f>
        <v>139309</v>
      </c>
      <c r="P4" s="25">
        <f>'[2]CF PDP'!$BB$50</f>
        <v>126686</v>
      </c>
      <c r="Q4" s="25">
        <f>'[2]CF PDP'!$BB$51</f>
        <v>115553</v>
      </c>
      <c r="R4" s="25">
        <f>'[2]CF PDP'!$BB$52</f>
        <v>106088</v>
      </c>
      <c r="S4" s="25">
        <f>'[2]CF PDP'!$BB$53</f>
        <v>97119</v>
      </c>
      <c r="T4" s="25">
        <f>'[2]CF PDP'!$BB$54</f>
        <v>88691</v>
      </c>
      <c r="U4" s="25">
        <f>'[2]CF PDP'!$BB$55</f>
        <v>81394</v>
      </c>
      <c r="V4" s="25">
        <f>'[2]CF PDP'!$BB$56</f>
        <v>75142</v>
      </c>
      <c r="W4" s="25">
        <f>'[2]CF PDP'!$BB$57</f>
        <v>0</v>
      </c>
      <c r="X4" s="25">
        <f>'[2]CF PDP'!$BB$58</f>
        <v>0</v>
      </c>
      <c r="Y4" s="25">
        <f>'[2]CF PDP'!$BB$59</f>
        <v>0</v>
      </c>
      <c r="Z4" s="25">
        <f>'[2]CF PDP'!$BB$60</f>
        <v>0</v>
      </c>
      <c r="AA4" s="25">
        <f>'[2]CF PDP'!$BB$61</f>
        <v>0</v>
      </c>
      <c r="AB4" s="25">
        <f>'[2]CF PDP'!$BB$62</f>
        <v>0</v>
      </c>
      <c r="AC4" s="25">
        <f>'[2]CF PDP'!$BB$63</f>
        <v>0</v>
      </c>
      <c r="AD4" s="25">
        <f>'[2]CF PDP'!$BB$64</f>
        <v>0</v>
      </c>
      <c r="AE4" s="25">
        <f>'[2]CF PDP'!$BB$65</f>
        <v>0</v>
      </c>
      <c r="AF4" s="25">
        <f>'[2]CF PDP'!$BB$66</f>
        <v>0</v>
      </c>
      <c r="AG4" s="25">
        <f>'[2]CF PDP'!$BB$67</f>
        <v>0</v>
      </c>
      <c r="AH4" s="25">
        <f>'[2]CF PDP'!$BB$68</f>
        <v>0</v>
      </c>
      <c r="AI4" s="25">
        <f>'[2]CF PDP'!$BB$69</f>
        <v>0</v>
      </c>
      <c r="AJ4" s="25">
        <f>'[2]CF PDP'!$BB$70</f>
        <v>0</v>
      </c>
      <c r="AK4" s="25">
        <f>'[2]CF PDP'!$BB$71</f>
        <v>0</v>
      </c>
      <c r="AL4" s="25">
        <f>'[2]CF PDP'!$BB$72</f>
        <v>0</v>
      </c>
      <c r="AM4" s="26">
        <f>SUM(B4:AL4)</f>
        <v>4914833</v>
      </c>
      <c r="AN4" s="27">
        <f>'[2]CF PNP'!$BB$36</f>
        <v>46404</v>
      </c>
      <c r="AO4" s="25">
        <f>'[2]CF PNP'!$BB$37</f>
        <v>64875</v>
      </c>
      <c r="AP4" s="25">
        <f>'[2]CF PNP'!$BB$38</f>
        <v>48474</v>
      </c>
      <c r="AQ4" s="25">
        <f>'[2]CF PNP'!$BB$39</f>
        <v>41038</v>
      </c>
      <c r="AR4" s="25">
        <f>'[2]CF PNP'!$BB$40</f>
        <v>36191</v>
      </c>
      <c r="AS4" s="25">
        <f>'[2]CF PNP'!$BB$41</f>
        <v>32150</v>
      </c>
      <c r="AT4" s="25">
        <f>'[2]CF PNP'!$BB$42</f>
        <v>28540</v>
      </c>
      <c r="AU4" s="25">
        <f>'[2]CF PNP'!$BB$43</f>
        <v>25492</v>
      </c>
      <c r="AV4" s="25">
        <f>'[2]CF PNP'!$BB$44</f>
        <v>22834</v>
      </c>
      <c r="AW4" s="25">
        <f>'[2]CF PNP'!$BB$45</f>
        <v>20562</v>
      </c>
      <c r="AX4" s="25">
        <f>'[2]CF PNP'!$BB$46</f>
        <v>18460</v>
      </c>
      <c r="AY4" s="25">
        <f>'[2]CF PNP'!$BB$47</f>
        <v>16660</v>
      </c>
      <c r="AZ4" s="25">
        <f>'[2]CF PNP'!$BB$48</f>
        <v>15069</v>
      </c>
      <c r="BA4" s="25">
        <f>'[2]CF PNP'!$BB$49</f>
        <v>13692</v>
      </c>
      <c r="BB4" s="25">
        <f>'[2]CF PNP'!$BB$50</f>
        <v>12398</v>
      </c>
      <c r="BC4" s="25">
        <f>'[2]CF PNP'!$BB$51</f>
        <v>11278</v>
      </c>
      <c r="BD4" s="25">
        <f>'[2]CF PNP'!$BB$52</f>
        <v>10276</v>
      </c>
      <c r="BE4" s="25">
        <f>'[2]CF PNP'!$BB$53</f>
        <v>9402</v>
      </c>
      <c r="BF4" s="25">
        <f>'[2]CF PNP'!$BB$54</f>
        <v>8568</v>
      </c>
      <c r="BG4" s="25">
        <f>'[2]CF PNP'!$BB$55</f>
        <v>7823</v>
      </c>
      <c r="BH4" s="25">
        <f>'[2]CF PNP'!$BB$56</f>
        <v>7160</v>
      </c>
      <c r="BI4" s="25">
        <f>'[2]CF PNP'!$BB$57</f>
        <v>0</v>
      </c>
      <c r="BJ4" s="25">
        <f>'[2]CF PNP'!$BB$58</f>
        <v>0</v>
      </c>
      <c r="BK4" s="25">
        <f>'[2]CF PNP'!$BB$59</f>
        <v>0</v>
      </c>
      <c r="BL4" s="25">
        <f>'[2]CF PNP'!$BB$60</f>
        <v>0</v>
      </c>
      <c r="BM4" s="25">
        <f>'[2]CF PNP'!$BB$61</f>
        <v>0</v>
      </c>
      <c r="BN4" s="25">
        <f>'[2]CF PNP'!$BB$62</f>
        <v>0</v>
      </c>
      <c r="BO4" s="25">
        <f>'[2]CF PNP'!$BB$63</f>
        <v>0</v>
      </c>
      <c r="BP4" s="25">
        <f>'[2]CF PNP'!$BB$64</f>
        <v>0</v>
      </c>
      <c r="BQ4" s="25">
        <f>'[2]CF PNP'!$BB$65</f>
        <v>0</v>
      </c>
      <c r="BR4" s="25">
        <f>'[2]CF PNP'!$BB$66</f>
        <v>0</v>
      </c>
      <c r="BS4" s="25">
        <f>'[2]CF PNP'!$BB$67</f>
        <v>0</v>
      </c>
      <c r="BT4" s="25">
        <f>'[2]CF PNP'!$BB$68</f>
        <v>0</v>
      </c>
      <c r="BU4" s="25">
        <f>'[2]CF PNP'!$BB$69</f>
        <v>0</v>
      </c>
      <c r="BV4" s="25">
        <f>'[2]CF PNP'!$BB$70</f>
        <v>0</v>
      </c>
      <c r="BW4" s="25">
        <f>'[2]CF PNP'!$BB$71</f>
        <v>0</v>
      </c>
      <c r="BX4" s="25">
        <f>'[2]CF PNP'!$BB$72</f>
        <v>0</v>
      </c>
      <c r="BY4" s="26">
        <f>SUM(AN4:BX4)</f>
        <v>497346</v>
      </c>
      <c r="BZ4" s="27">
        <f>'[2]CF PND'!$BB$36</f>
        <v>0</v>
      </c>
      <c r="CA4" s="25">
        <f>'[2]CF PND'!$BB$37</f>
        <v>0</v>
      </c>
      <c r="CB4" s="25">
        <f>'[2]CF PND'!$BB$38</f>
        <v>74836</v>
      </c>
      <c r="CC4" s="25">
        <f>'[2]CF PND'!$BB$39</f>
        <v>252383</v>
      </c>
      <c r="CD4" s="25">
        <f>'[2]CF PND'!$BB$40</f>
        <v>550333</v>
      </c>
      <c r="CE4" s="25">
        <f>'[2]CF PND'!$BB$41</f>
        <v>642593</v>
      </c>
      <c r="CF4" s="25">
        <f>'[2]CF PND'!$BB$42</f>
        <v>493454</v>
      </c>
      <c r="CG4" s="25">
        <f>'[2]CF PND'!$BB$43</f>
        <v>352399</v>
      </c>
      <c r="CH4" s="25">
        <f>'[2]CF PND'!$BB$44</f>
        <v>259306</v>
      </c>
      <c r="CI4" s="25">
        <f>'[2]CF PND'!$BB$45</f>
        <v>192863</v>
      </c>
      <c r="CJ4" s="25">
        <f>'[2]CF PND'!$BB$46</f>
        <v>145015</v>
      </c>
      <c r="CK4" s="25">
        <f>'[2]CF PND'!$BB$47</f>
        <v>110028</v>
      </c>
      <c r="CL4" s="25">
        <f>'[2]CF PND'!$BB$48</f>
        <v>84262</v>
      </c>
      <c r="CM4" s="25">
        <f>'[2]CF PND'!$BB$49</f>
        <v>64617</v>
      </c>
      <c r="CN4" s="25">
        <f>'[2]CF PND'!$BB$50</f>
        <v>50218</v>
      </c>
      <c r="CO4" s="25">
        <f>'[2]CF PND'!$BB$51</f>
        <v>39103</v>
      </c>
      <c r="CP4" s="25">
        <f>'[2]CF PND'!$BB$52</f>
        <v>30753</v>
      </c>
      <c r="CQ4" s="25">
        <f>'[2]CF PND'!$BB$53</f>
        <v>22249</v>
      </c>
      <c r="CR4" s="25">
        <f>'[2]CF PND'!$BB$54</f>
        <v>0</v>
      </c>
      <c r="CS4" s="25">
        <f>'[2]CF PND'!$BB$55</f>
        <v>0</v>
      </c>
      <c r="CT4" s="25">
        <f>'[2]CF PND'!$BB$56</f>
        <v>0</v>
      </c>
      <c r="CU4" s="25">
        <f>'[2]CF PND'!$BB$57</f>
        <v>0</v>
      </c>
      <c r="CV4" s="25">
        <f>'[2]CF PND'!$BB$58</f>
        <v>0</v>
      </c>
      <c r="CW4" s="25">
        <f>'[2]CF PND'!$BB$59</f>
        <v>0</v>
      </c>
      <c r="CX4" s="25">
        <f>'[2]CF PND'!$BB$60</f>
        <v>0</v>
      </c>
      <c r="CY4" s="25">
        <f>'[2]CF PND'!$BB$61</f>
        <v>0</v>
      </c>
      <c r="CZ4" s="25">
        <f>'[2]CF PND'!$BB$62</f>
        <v>0</v>
      </c>
      <c r="DA4" s="25">
        <f>'[2]CF PND'!$BB$63</f>
        <v>0</v>
      </c>
      <c r="DB4" s="25">
        <f>'[2]CF PND'!$BB$64</f>
        <v>0</v>
      </c>
      <c r="DC4" s="25">
        <f>'[2]CF PND'!$BB$65</f>
        <v>0</v>
      </c>
      <c r="DD4" s="25">
        <f>'[2]CF PND'!$BB$66</f>
        <v>0</v>
      </c>
      <c r="DE4" s="25">
        <f>'[2]CF PND'!$BB$67</f>
        <v>0</v>
      </c>
      <c r="DF4" s="25">
        <f>'[2]CF PND'!$BB$68</f>
        <v>0</v>
      </c>
      <c r="DG4" s="25">
        <f>'[2]CF PND'!$BB$69</f>
        <v>0</v>
      </c>
      <c r="DH4" s="25">
        <f>'[2]CF PND'!$BB$70</f>
        <v>0</v>
      </c>
      <c r="DI4" s="25">
        <f>'[2]CF PND'!$BB$71</f>
        <v>0</v>
      </c>
      <c r="DJ4" s="25">
        <f>'[2]CF PND'!$BB$72</f>
        <v>0</v>
      </c>
      <c r="DK4" s="26">
        <f>SUM(BZ4:DJ4)</f>
        <v>3364412</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'[2]CF PRB'!$BB$36</f>
        <v>0</v>
      </c>
      <c r="HW4" s="25">
        <f>'[2]CF PRB'!$BB$37</f>
        <v>0</v>
      </c>
      <c r="HX4" s="25">
        <f>'[2]CF PRB'!$BB$38</f>
        <v>38983</v>
      </c>
      <c r="HY4" s="25">
        <f>'[2]CF PRB'!$BB$39</f>
        <v>142933</v>
      </c>
      <c r="HZ4" s="25">
        <f>'[2]CF PRB'!$BB$40</f>
        <v>274812</v>
      </c>
      <c r="IA4" s="25">
        <f>'[2]CF PRB'!$BB$41</f>
        <v>335539</v>
      </c>
      <c r="IB4" s="25">
        <f>'[2]CF PRB'!$BB$42</f>
        <v>348711</v>
      </c>
      <c r="IC4" s="25">
        <f>'[2]CF PRB'!$BB$43</f>
        <v>307331</v>
      </c>
      <c r="ID4" s="25">
        <f>'[2]CF PRB'!$BB$44</f>
        <v>247392</v>
      </c>
      <c r="IE4" s="25">
        <f>'[2]CF PRB'!$BB$45</f>
        <v>196306</v>
      </c>
      <c r="IF4" s="25">
        <f>'[2]CF PRB'!$BB$46</f>
        <v>143539</v>
      </c>
      <c r="IG4" s="25">
        <f>'[2]CF PRB'!$BB$47</f>
        <v>114822</v>
      </c>
      <c r="IH4" s="25">
        <f>'[2]CF PRB'!$BB$48</f>
        <v>92844</v>
      </c>
      <c r="II4" s="25">
        <f>'[2]CF PRB'!$BB$49</f>
        <v>75898</v>
      </c>
      <c r="IJ4" s="25">
        <f>'[2]CF PRB'!$BB$50</f>
        <v>61836</v>
      </c>
      <c r="IK4" s="25">
        <f>'[2]CF PRB'!$BB$51</f>
        <v>50594</v>
      </c>
      <c r="IL4" s="25">
        <f>'[2]CF PRB'!$BB$52</f>
        <v>41497</v>
      </c>
      <c r="IM4" s="25">
        <f>'[2]CF PRB'!$BB$53</f>
        <v>35790</v>
      </c>
      <c r="IN4" s="25">
        <f>'[2]CF PRB'!$BB$54</f>
        <v>46539</v>
      </c>
      <c r="IO4" s="25">
        <f>'[2]CF PRB'!$BB$55</f>
        <v>37309</v>
      </c>
      <c r="IP4" s="25">
        <f>'[2]CF PRB'!$BB$56</f>
        <v>0</v>
      </c>
      <c r="IQ4" s="25">
        <f>'[2]CF PRB'!$BB$57</f>
        <v>0</v>
      </c>
      <c r="IR4" s="25">
        <f>'[2]CF PRB'!$BB$58</f>
        <v>0</v>
      </c>
      <c r="IS4" s="25">
        <f>'[2]CF PRB'!$BB$59</f>
        <v>0</v>
      </c>
      <c r="IT4" s="25">
        <f>'[2]CF PRB'!$BB$60</f>
        <v>0</v>
      </c>
      <c r="IU4" s="25">
        <f>'[2]CF PRB'!$BB$61</f>
        <v>0</v>
      </c>
      <c r="IV4" s="25">
        <f>'[2]CF PRB'!$BB$62</f>
        <v>0</v>
      </c>
      <c r="IW4" s="25">
        <f>'[2]CF PRB'!$BB$63</f>
        <v>0</v>
      </c>
      <c r="IX4" s="25">
        <f>'[2]CF PRB'!$BB$64</f>
        <v>0</v>
      </c>
      <c r="IY4" s="25">
        <f>'[2]CF PRB'!$BB$65</f>
        <v>0</v>
      </c>
      <c r="IZ4" s="25">
        <f>'[2]CF PRB'!$BB$66</f>
        <v>0</v>
      </c>
      <c r="JA4" s="25">
        <f>'[2]CF PRB'!$BB$67</f>
        <v>0</v>
      </c>
      <c r="JB4" s="25">
        <f>'[2]CF PRB'!$BB$68</f>
        <v>0</v>
      </c>
      <c r="JC4" s="25">
        <f>'[2]CF PRB'!$BB$69</f>
        <v>0</v>
      </c>
      <c r="JD4" s="25">
        <f>'[2]CF PRB'!$BB$70</f>
        <v>0</v>
      </c>
      <c r="JE4" s="25">
        <f>'[2]CF PRB'!$BB$71</f>
        <v>0</v>
      </c>
      <c r="JF4" s="25">
        <f>'[2]CF PRB'!$BB$72</f>
        <v>0</v>
      </c>
      <c r="JG4" s="26">
        <f>SUM(HV4:JF4)</f>
        <v>2592675</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'[2]CF PS'!$BB$36</f>
        <v>0</v>
      </c>
      <c r="NS4" s="25">
        <f>'[2]CF PS'!$BB$37</f>
        <v>0</v>
      </c>
      <c r="NT4" s="25">
        <f>'[2]CF PS'!$BB$38</f>
        <v>42356</v>
      </c>
      <c r="NU4" s="25">
        <f>'[2]CF PS'!$BB$39</f>
        <v>68747</v>
      </c>
      <c r="NV4" s="25">
        <f>'[2]CF PS'!$BB$40</f>
        <v>125766</v>
      </c>
      <c r="NW4" s="25">
        <f>'[2]CF PS'!$BB$41</f>
        <v>227944</v>
      </c>
      <c r="NX4" s="25">
        <f>'[2]CF PS'!$BB$42</f>
        <v>262839</v>
      </c>
      <c r="NY4" s="25">
        <f>'[2]CF PS'!$BB$43</f>
        <v>261002</v>
      </c>
      <c r="NZ4" s="25">
        <f>'[2]CF PS'!$BB$44</f>
        <v>248445</v>
      </c>
      <c r="OA4" s="25">
        <f>'[2]CF PS'!$BB$45</f>
        <v>233937</v>
      </c>
      <c r="OB4" s="25">
        <f>'[2]CF PS'!$BB$46</f>
        <v>224898</v>
      </c>
      <c r="OC4" s="25">
        <f>'[2]CF PS'!$BB$47</f>
        <v>205540</v>
      </c>
      <c r="OD4" s="25">
        <f>'[2]CF PS'!$BB$48</f>
        <v>186208</v>
      </c>
      <c r="OE4" s="25">
        <f>'[2]CF PS'!$BB$49</f>
        <v>168214</v>
      </c>
      <c r="OF4" s="25">
        <f>'[2]CF PS'!$BB$50</f>
        <v>151236</v>
      </c>
      <c r="OG4" s="25">
        <f>'[2]CF PS'!$BB$51</f>
        <v>128996</v>
      </c>
      <c r="OH4" s="25">
        <f>'[2]CF PS'!$BB$52</f>
        <v>103275</v>
      </c>
      <c r="OI4" s="25">
        <f>'[2]CF PS'!$BB$53</f>
        <v>92882</v>
      </c>
      <c r="OJ4" s="25">
        <f>'[2]CF PS'!$BB$54</f>
        <v>83165</v>
      </c>
      <c r="OK4" s="25">
        <f>'[2]CF PS'!$BB$55</f>
        <v>74000</v>
      </c>
      <c r="OL4" s="25">
        <f>'[2]CF PS'!$BB$56</f>
        <v>95192</v>
      </c>
      <c r="OM4" s="25">
        <f>'[2]CF PS'!$BB$57</f>
        <v>157450</v>
      </c>
      <c r="ON4" s="25">
        <f>'[2]CF PS'!$BB$58</f>
        <v>140357</v>
      </c>
      <c r="OO4" s="25">
        <f>'[2]CF PS'!$BB$59</f>
        <v>125495</v>
      </c>
      <c r="OP4" s="25">
        <f>'[2]CF PS'!$BB$60</f>
        <v>0</v>
      </c>
      <c r="OQ4" s="25">
        <f>'[2]CF PS'!$BB$61</f>
        <v>0</v>
      </c>
      <c r="OR4" s="25">
        <f>'[2]CF PS'!$BB$62</f>
        <v>0</v>
      </c>
      <c r="OS4" s="25">
        <f>'[2]CF PS'!$BB$63</f>
        <v>0</v>
      </c>
      <c r="OT4" s="25">
        <f>'[2]CF PS'!$BB$64</f>
        <v>0</v>
      </c>
      <c r="OU4" s="25">
        <f>'[2]CF PS'!$BB$65</f>
        <v>0</v>
      </c>
      <c r="OV4" s="25">
        <f>'[2]CF PS'!$BB$66</f>
        <v>0</v>
      </c>
      <c r="OW4" s="25">
        <f>'[2]CF PS'!$BB$67</f>
        <v>0</v>
      </c>
      <c r="OX4" s="25">
        <f>'[2]CF PS'!$BB$68</f>
        <v>0</v>
      </c>
      <c r="OY4" s="25">
        <f>'[2]CF PS'!$BB$69</f>
        <v>0</v>
      </c>
      <c r="OZ4" s="25">
        <f>'[2]CF PS'!$BB$70</f>
        <v>0</v>
      </c>
      <c r="PA4" s="25">
        <f>'[2]CF PS'!$BB$71</f>
        <v>0</v>
      </c>
      <c r="PB4" s="25">
        <f>'[2]CF PS'!$BB$72</f>
        <v>0</v>
      </c>
      <c r="PC4" s="26">
        <f>SUM(NR4:PB4)</f>
        <v>3407944</v>
      </c>
      <c r="PF4" s="16">
        <f>DK4+BY4+AM4</f>
        <v>8776591</v>
      </c>
      <c r="PH4" s="16">
        <f>PF4+JG4+PC4</f>
        <v>14777210</v>
      </c>
    </row>
    <row r="5" spans="1:424" ht="15.6" thickBot="1" x14ac:dyDescent="0.4">
      <c r="A5" s="47" t="s">
        <v>29</v>
      </c>
      <c r="B5" s="40">
        <f>IF(AND(B3&lt;&gt;0,B4&lt;&gt;0),(B3-B4)/B4,IF(AND(B3=0,B4=0),"",IF(AND(B3="",B4=""),"",IF(AND(B3=0,B4=""),"", IF(AND(B3="",B4=0),"",1)))))</f>
        <v>1.3997921370388995E-3</v>
      </c>
      <c r="C5" s="40">
        <f t="shared" ref="C5" si="0">IF(AND(C3&lt;&gt;0,C4&lt;&gt;0),(C3-C4)/C4,IF(AND(C3=0,C4=0),"",IF(AND(C3="",C4=""),"",IF(AND(C3=0,C4=""),"", IF(AND(C3="",C4=0),"",1)))))</f>
        <v>1.0993069968691737E-6</v>
      </c>
      <c r="D5" s="40">
        <f t="shared" ref="D5" si="1">IF(AND(D3&lt;&gt;0,D4&lt;&gt;0),(D3-D4)/D4,IF(AND(D3=0,D4=0),"",IF(AND(D3="",D4=""),"",IF(AND(D3=0,D4=""),"", IF(AND(D3="",D4=0),"",1)))))</f>
        <v>1.3433031502070836E-7</v>
      </c>
      <c r="E5" s="40">
        <f t="shared" ref="E5" si="2">IF(AND(E3&lt;&gt;0,E4&lt;&gt;0),(E3-E4)/E4,IF(AND(E3=0,E4=0),"",IF(AND(E3="",E4=""),"",IF(AND(E3=0,E4=""),"", IF(AND(E3="",E4=0),"",1)))))</f>
        <v>1.0065309924829168E-6</v>
      </c>
      <c r="F5" s="40">
        <f t="shared" ref="F5" si="3">IF(AND(F3&lt;&gt;0,F4&lt;&gt;0),(F3-F4)/F4,IF(AND(F3=0,F4=0),"",IF(AND(F3="",F4=""),"",IF(AND(F3=0,F4=""),"", IF(AND(F3="",F4=0),"",1)))))</f>
        <v>2.3622940079625058E-6</v>
      </c>
      <c r="G5" s="40">
        <f t="shared" ref="G5" si="4">IF(AND(G3&lt;&gt;0,G4&lt;&gt;0),(G3-G4)/G4,IF(AND(G3=0,G4=0),"",IF(AND(G3="",G4=""),"",IF(AND(G3=0,G4=""),"", IF(AND(G3="",G4=0),"",1)))))</f>
        <v>2.4526655176419248E-6</v>
      </c>
      <c r="H5" s="40">
        <f t="shared" ref="H5" si="5">IF(AND(H3&lt;&gt;0,H4&lt;&gt;0),(H3-H4)/H4,IF(AND(H3=0,H4=0),"",IF(AND(H3="",H4=""),"",IF(AND(H3=0,H4=""),"", IF(AND(H3="",H4=0),"",1)))))</f>
        <v>2.974438337910296E-6</v>
      </c>
      <c r="I5" s="40">
        <f t="shared" ref="I5" si="6">IF(AND(I3&lt;&gt;0,I4&lt;&gt;0),(I3-I4)/I4,IF(AND(I3=0,I4=0),"",IF(AND(I3="",I4=""),"",IF(AND(I3=0,I4=""),"", IF(AND(I3="",I4=0),"",1)))))</f>
        <v>1.5980693355571902E-6</v>
      </c>
      <c r="J5" s="40">
        <f t="shared" ref="J5" si="7">IF(AND(J3&lt;&gt;0,J4&lt;&gt;0),(J3-J4)/J4,IF(AND(J3=0,J4=0),"",IF(AND(J3="",J4=""),"",IF(AND(J3=0,J4=""),"", IF(AND(J3="",J4=0),"",1)))))</f>
        <v>4.2351022763538121E-6</v>
      </c>
      <c r="K5" s="40">
        <f t="shared" ref="K5" si="8">IF(AND(K3&lt;&gt;0,K4&lt;&gt;0),(K3-K4)/K4,IF(AND(K3=0,K4=0),"",IF(AND(K3="",K4=""),"",IF(AND(K3=0,K4=""),"", IF(AND(K3="",K4=0),"",1)))))</f>
        <v>5.2907685461088963E-7</v>
      </c>
      <c r="L5" s="40">
        <f t="shared" ref="L5" si="9">IF(AND(L3&lt;&gt;0,L4&lt;&gt;0),(L3-L4)/L4,IF(AND(L3=0,L4=0),"",IF(AND(L3="",L4=""),"",IF(AND(L3=0,L4=""),"", IF(AND(L3="",L4=0),"",1)))))</f>
        <v>7.5494843534420275E-7</v>
      </c>
      <c r="M5" s="40">
        <f t="shared" ref="M5" si="10">IF(AND(M3&lt;&gt;0,M4&lt;&gt;0),(M3-M4)/M4,IF(AND(M3=0,M4=0),"",IF(AND(M3="",M4=""),"",IF(AND(M3=0,M4=""),"", IF(AND(M3="",M4=0),"",1)))))</f>
        <v>4.640712338206205E-6</v>
      </c>
      <c r="N5" s="40">
        <f t="shared" ref="N5" si="11">IF(AND(N3&lt;&gt;0,N4&lt;&gt;0),(N3-N4)/N4,IF(AND(N3=0,N4=0),"",IF(AND(N3="",N4=""),"",IF(AND(N3=0,N4=""),"", IF(AND(N3="",N4=0),"",1)))))</f>
        <v>3.8918348485543678E-6</v>
      </c>
      <c r="O5" s="40">
        <f t="shared" ref="O5" si="12">IF(AND(O3&lt;&gt;0,O4&lt;&gt;0),(O3-O4)/O4,IF(AND(O3=0,O4=0),"",IF(AND(O3="",O4=""),"",IF(AND(O3=0,O4=""),"", IF(AND(O3="",O4=0),"",1)))))</f>
        <v>6.5053226998973506E-6</v>
      </c>
      <c r="P5" s="40">
        <f t="shared" ref="P5" si="13">IF(AND(P3&lt;&gt;0,P4&lt;&gt;0),(P3-P4)/P4,IF(AND(P3=0,P4=0),"",IF(AND(P3="",P4=""),"",IF(AND(P3=0,P4=""),"", IF(AND(P3="",P4=0),"",1)))))</f>
        <v>3.1450791721263595E-6</v>
      </c>
      <c r="Q5" s="40">
        <f t="shared" ref="Q5" si="14">IF(AND(Q3&lt;&gt;0,Q4&lt;&gt;0),(Q3-Q4)/Q4,IF(AND(Q3=0,Q4=0),"",IF(AND(Q3="",Q4=""),"",IF(AND(Q3=0,Q4=""),"", IF(AND(Q3="",Q4=0),"",1)))))</f>
        <v>7.5722828485629973E-6</v>
      </c>
      <c r="R5" s="40">
        <f t="shared" ref="R5" si="15">IF(AND(R3&lt;&gt;0,R4&lt;&gt;0),(R3-R4)/R4,IF(AND(R3=0,R4=0),"",IF(AND(R3="",R4=""),"",IF(AND(R3=0,R4=""),"", IF(AND(R3="",R4=0),"",1)))))</f>
        <v>8.1005863057084683E-6</v>
      </c>
      <c r="S5" s="40">
        <f t="shared" ref="S5" si="16">IF(AND(S3&lt;&gt;0,S4&lt;&gt;0),(S3-S4)/S4,IF(AND(S3=0,S4=0),"",IF(AND(S3="",S4=""),"",IF(AND(S3=0,S4=""),"", IF(AND(S3="",S4=0),"",1)))))</f>
        <v>6.9985018379513796E-6</v>
      </c>
      <c r="T5" s="40">
        <f t="shared" ref="T5" si="17">IF(AND(T3&lt;&gt;0,T4&lt;&gt;0),(T3-T4)/T4,IF(AND(T3=0,T4=0),"",IF(AND(T3="",T4=""),"",IF(AND(T3=0,T4=""),"", IF(AND(T3="",T4=0),"",1)))))</f>
        <v>2.9949487546650733E-6</v>
      </c>
      <c r="U5" s="40">
        <f t="shared" ref="U5" si="18">IF(AND(U3&lt;&gt;0,U4&lt;&gt;0),(U3-U4)/U4,IF(AND(U3=0,U4=0),"",IF(AND(U3="",U4=""),"",IF(AND(U3=0,U4=""),"", IF(AND(U3="",U4=0),"",1)))))</f>
        <v>1.1805999213701255E-5</v>
      </c>
      <c r="V5" s="40">
        <f t="shared" ref="V5" si="19">IF(AND(V3&lt;&gt;0,V4&lt;&gt;0),(V3-V4)/V4,IF(AND(V3=0,V4=0),"",IF(AND(V3="",V4=""),"",IF(AND(V3=0,V4=""),"", IF(AND(V3="",V4=0),"",1)))))</f>
        <v>7.381857017380426E-6</v>
      </c>
      <c r="W5" s="40">
        <f t="shared" ref="W5" si="20">IF(AND(W3&lt;&gt;0,W4&lt;&gt;0),(W3-W4)/W4,IF(AND(W3=0,W4=0),"",IF(AND(W3="",W4=""),"",IF(AND(W3=0,W4=""),"", IF(AND(W3="",W4=0),"",1)))))</f>
        <v>1</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4.9360928978919531E-3</v>
      </c>
      <c r="AN5" s="39">
        <f t="shared" ref="AN5" si="22">IF(AND(AN3&lt;&gt;0,AN4&lt;&gt;0),(AN3-AN4)/AN4,IF(AND(AN3=0,AN4=0),"",IF(AND(AN3="",AN4=""),"",IF(AND(AN3=0,AN4=""),"", IF(AND(AN3="",AN4=0),"",1)))))</f>
        <v>8.7067352760537883E-2</v>
      </c>
      <c r="AO5" s="40">
        <f t="shared" ref="AO5" si="23">IF(AND(AO3&lt;&gt;0,AO4&lt;&gt;0),(AO3-AO4)/AO4,IF(AND(AO3=0,AO4=0),"",IF(AND(AO3="",AO4=""),"",IF(AND(AO3=0,AO4=""),"", IF(AND(AO3="",AO4=0),"",1)))))</f>
        <v>5.1782273603082852E-6</v>
      </c>
      <c r="AP5" s="40">
        <f t="shared" ref="AP5" si="24">IF(AND(AP3&lt;&gt;0,AP4&lt;&gt;0),(AP3-AP4)/AP4,IF(AND(AP3=0,AP4=0),"",IF(AND(AP3="",AP4=""),"",IF(AND(AP3=0,AP4=""),"", IF(AND(AP3="",AP4=0),"",1)))))</f>
        <v>1.6116887403556545E-6</v>
      </c>
      <c r="AQ5" s="40">
        <f t="shared" ref="AQ5" si="25">IF(AND(AQ3&lt;&gt;0,AQ4&lt;&gt;0),(AQ3-AQ4)/AQ4,IF(AND(AQ3=0,AQ4=0),"",IF(AND(AQ3="",AQ4=""),"",IF(AND(AQ3=0,AQ4=""),"", IF(AND(AQ3="",AQ4=0),"",1)))))</f>
        <v>2.3606169891320241E-5</v>
      </c>
      <c r="AR5" s="40">
        <f t="shared" ref="AR5" si="26">IF(AND(AR3&lt;&gt;0,AR4&lt;&gt;0),(AR3-AR4)/AR4,IF(AND(AR3=0,AR4=0),"",IF(AND(AR3="",AR4=""),"",IF(AND(AR3=0,AR4=""),"", IF(AND(AR3="",AR4=0),"",1)))))</f>
        <v>2.4069347351551489E-5</v>
      </c>
      <c r="AS5" s="40">
        <f t="shared" ref="AS5" si="27">IF(AND(AS3&lt;&gt;0,AS4&lt;&gt;0),(AS3-AS4)/AS4,IF(AND(AS3=0,AS4=0),"",IF(AND(AS3="",AS4=""),"",IF(AND(AS3=0,AS4=""),"", IF(AND(AS3="",AS4=0),"",1)))))</f>
        <v>4.0702760497667186E-6</v>
      </c>
      <c r="AT5" s="40">
        <f t="shared" ref="AT5" si="28">IF(AND(AT3&lt;&gt;0,AT4&lt;&gt;0),(AT3-AT4)/AT4,IF(AND(AT3=0,AT4=0),"",IF(AND(AT3="",AT4=""),"",IF(AND(AT3=0,AT4=""),"", IF(AND(AT3="",AT4=0),"",1)))))</f>
        <v>3.2438025578135947E-5</v>
      </c>
      <c r="AU5" s="40">
        <f t="shared" ref="AU5" si="29">IF(AND(AU3&lt;&gt;0,AU4&lt;&gt;0),(AU3-AU4)/AU4,IF(AND(AU3=0,AU4=0),"",IF(AND(AU3="",AU4=""),"",IF(AND(AU3=0,AU4=""),"", IF(AND(AU3="",AU4=0),"",1)))))</f>
        <v>2.650954220932057E-5</v>
      </c>
      <c r="AV5" s="40">
        <f t="shared" ref="AV5" si="30">IF(AND(AV3&lt;&gt;0,AV4&lt;&gt;0),(AV3-AV4)/AV4,IF(AND(AV3=0,AV4=0),"",IF(AND(AV3="",AV4=""),"",IF(AND(AV3=0,AV4=""),"", IF(AND(AV3="",AV4=0),"",1)))))</f>
        <v>3.994522970132259E-5</v>
      </c>
      <c r="AW5" s="40">
        <f t="shared" ref="AW5" si="31">IF(AND(AW3&lt;&gt;0,AW4&lt;&gt;0),(AW3-AW4)/AW4,IF(AND(AW3=0,AW4=0),"",IF(AND(AW3="",AW4=""),"",IF(AND(AW3=0,AW4=""),"", IF(AND(AW3="",AW4=0),"",1)))))</f>
        <v>7.5989689718898943E-6</v>
      </c>
      <c r="AX5" s="40">
        <f t="shared" ref="AX5" si="32">IF(AND(AX3&lt;&gt;0,AX4&lt;&gt;0),(AX3-AX4)/AX4,IF(AND(AX3=0,AX4=0),"",IF(AND(AX3="",AX4=""),"",IF(AND(AX3=0,AX4=""),"", IF(AND(AX3="",AX4=0),"",1)))))</f>
        <v>3.4491806608884075E-5</v>
      </c>
      <c r="AY5" s="40">
        <f t="shared" ref="AY5" si="33">IF(AND(AY3&lt;&gt;0,AY4&lt;&gt;0),(AY3-AY4)/AY4,IF(AND(AY3=0,AY4=0),"",IF(AND(AY3="",AY4=""),"",IF(AND(AY3=0,AY4=""),"", IF(AND(AY3="",AY4=0),"",1)))))</f>
        <v>3.9507990696278512E-5</v>
      </c>
      <c r="AZ5" s="40">
        <f t="shared" ref="AZ5" si="34">IF(AND(AZ3&lt;&gt;0,AZ4&lt;&gt;0),(AZ3-AZ4)/AZ4,IF(AND(AZ3=0,AZ4=0),"",IF(AND(AZ3="",AZ4=""),"",IF(AND(AZ3=0,AZ4=""),"", IF(AND(AZ3="",AZ4=0),"",1)))))</f>
        <v>3.7587514101798395E-6</v>
      </c>
      <c r="BA5" s="40">
        <f t="shared" ref="BA5" si="35">IF(AND(BA3&lt;&gt;0,BA4&lt;&gt;0),(BA3-BA4)/BA4,IF(AND(BA3=0,BA4=0),"",IF(AND(BA3="",BA4=""),"",IF(AND(BA3=0,BA4=""),"", IF(AND(BA3="",BA4=0),"",1)))))</f>
        <v>7.0681670866199245E-5</v>
      </c>
      <c r="BB5" s="40">
        <f t="shared" ref="BB5" si="36">IF(AND(BB3&lt;&gt;0,BB4&lt;&gt;0),(BB3-BB4)/BB4,IF(AND(BB3=0,BB4=0),"",IF(AND(BB3="",BB4=""),"",IF(AND(BB3=0,BB4=""),"", IF(AND(BB3="",BB4=0),"",1)))))</f>
        <v>1.9928239433779643E-5</v>
      </c>
      <c r="BC5" s="40">
        <f t="shared" ref="BC5" si="37">IF(AND(BC3&lt;&gt;0,BC4&lt;&gt;0),(BC3-BC4)/BC4,IF(AND(BC3=0,BC4=0),"",IF(AND(BC3="",BC4=""),"",IF(AND(BC3=0,BC4=""),"", IF(AND(BC3="",BC4=0),"",1)))))</f>
        <v>2.5197702385174677E-5</v>
      </c>
      <c r="BD5" s="40">
        <f t="shared" ref="BD5" si="38">IF(AND(BD3&lt;&gt;0,BD4&lt;&gt;0),(BD3-BD4)/BD4,IF(AND(BD3=0,BD4=0),"",IF(AND(BD3="",BD4=""),"",IF(AND(BD3=0,BD4=""),"", IF(AND(BD3="",BD4=0),"",1)))))</f>
        <v>5.3693831500583884E-5</v>
      </c>
      <c r="BE5" s="40">
        <f t="shared" ref="BE5" si="39">IF(AND(BE3&lt;&gt;0,BE4&lt;&gt;0),(BE3-BE4)/BE4,IF(AND(BE3=0,BE4=0),"",IF(AND(BE3="",BE4=""),"",IF(AND(BE3=0,BE4=""),"", IF(AND(BE3="",BE4=0),"",1)))))</f>
        <v>9.4103980536056162E-5</v>
      </c>
      <c r="BF5" s="40">
        <f t="shared" ref="BF5" si="40">IF(AND(BF3&lt;&gt;0,BF4&lt;&gt;0),(BF3-BF4)/BF4,IF(AND(BF3=0,BF4=0),"",IF(AND(BF3="",BF4=""),"",IF(AND(BF3=0,BF4=""),"", IF(AND(BF3="",BF4=0),"",1)))))</f>
        <v>1.1090047998366013E-4</v>
      </c>
      <c r="BG5" s="40">
        <f t="shared" ref="BG5" si="41">IF(AND(BG3&lt;&gt;0,BG4&lt;&gt;0),(BG3-BG4)/BG4,IF(AND(BG3=0,BG4=0),"",IF(AND(BG3="",BG4=""),"",IF(AND(BG3=0,BG4=""),"", IF(AND(BG3="",BG4=0),"",1)))))</f>
        <v>6.7409401764029141E-5</v>
      </c>
      <c r="BH5" s="40">
        <f t="shared" ref="BH5" si="42">IF(AND(BH3&lt;&gt;0,BH4&lt;&gt;0),(BH3-BH4)/BH4,IF(AND(BH3=0,BH4=0),"",IF(AND(BH3="",BH4=""),"",IF(AND(BH3=0,BH4=""),"", IF(AND(BH3="",BH4=0),"",1)))))</f>
        <v>1.2166113826815642E-4</v>
      </c>
      <c r="BI5" s="40">
        <f t="shared" ref="BI5" si="43">IF(AND(BI3&lt;&gt;0,BI4&lt;&gt;0),(BI3-BI4)/BI4,IF(AND(BI3=0,BI4=0),"",IF(AND(BI3="",BI4=""),"",IF(AND(BI3=0,BI4=""),"", IF(AND(BI3="",BI4=0),"",1)))))</f>
        <v>1</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f t="shared" ref="BY5" si="45">IF(AND(BY3&lt;&gt;0,BY4&lt;&gt;0),(BY3-BY4)/BY4,IF(AND(BY3=0,BY4=0),"",IF(AND(BY3="",BY4=""),"",IF(AND(BY3=0,BY4=""),"", IF(AND(BY3="",BY4=0),"",1)))))</f>
        <v>1.2653931227109748E-2</v>
      </c>
      <c r="BZ5" s="39" t="str">
        <f t="shared" ref="BZ5" si="46">IF(AND(BZ3&lt;&gt;0,BZ4&lt;&gt;0),(BZ3-BZ4)/BZ4,IF(AND(BZ3=0,BZ4=0),"",IF(AND(BZ3="",BZ4=""),"",IF(AND(BZ3=0,BZ4=""),"", IF(AND(BZ3="",BZ4=0),"",1)))))</f>
        <v/>
      </c>
      <c r="CA5" s="40" t="str">
        <f t="shared" ref="CA5" si="47">IF(AND(CA3&lt;&gt;0,CA4&lt;&gt;0),(CA3-CA4)/CA4,IF(AND(CA3=0,CA4=0),"",IF(AND(CA3="",CA4=""),"",IF(AND(CA3=0,CA4=""),"", IF(AND(CA3="",CA4=0),"",1)))))</f>
        <v/>
      </c>
      <c r="CB5" s="40">
        <f t="shared" ref="CB5" si="48">IF(AND(CB3&lt;&gt;0,CB4&lt;&gt;0),(CB3-CB4)/CB4,IF(AND(CB3=0,CB4=0),"",IF(AND(CB3="",CB4=""),"",IF(AND(CB3=0,CB4=""),"", IF(AND(CB3="",CB4=0),"",1)))))</f>
        <v>5.3241421241113902E-6</v>
      </c>
      <c r="CC5" s="40">
        <f t="shared" ref="CC5" si="49">IF(AND(CC3&lt;&gt;0,CC4&lt;&gt;0),(CC3-CC4)/CC4,IF(AND(CC3=0,CC4=0),"",IF(AND(CC3="",CC4=""),"",IF(AND(CC3=0,CC4=""),"", IF(AND(CC3="",CC4=0),"",1)))))</f>
        <v>3.5907727541078439E-6</v>
      </c>
      <c r="CD5" s="40">
        <f t="shared" ref="CD5" si="50">IF(AND(CD3&lt;&gt;0,CD4&lt;&gt;0),(CD3-CD4)/CD4,IF(AND(CD3=0,CD4=0),"",IF(AND(CD3="",CD4=""),"",IF(AND(CD3=0,CD4=""),"", IF(AND(CD3="",CD4=0),"",1)))))</f>
        <v>1.1356760361453884E-6</v>
      </c>
      <c r="CE5" s="40">
        <f t="shared" ref="CE5" si="51">IF(AND(CE3&lt;&gt;0,CE4&lt;&gt;0),(CE3-CE4)/CE4,IF(AND(CE3=0,CE4=0),"",IF(AND(CE3="",CE4=""),"",IF(AND(CE3=0,CE4=""),"", IF(AND(CE3="",CE4=0),"",1)))))</f>
        <v>8.7535967556447087E-7</v>
      </c>
      <c r="CF5" s="40">
        <f t="shared" ref="CF5" si="52">IF(AND(CF3&lt;&gt;0,CF4&lt;&gt;0),(CF3-CF4)/CF4,IF(AND(CF3=0,CF4=0),"",IF(AND(CF3="",CF4=""),"",IF(AND(CF3=0,CF4=""),"", IF(AND(CF3="",CF4=0),"",1)))))</f>
        <v>1.9632022437755089E-6</v>
      </c>
      <c r="CG5" s="40">
        <f t="shared" ref="CG5" si="53">IF(AND(CG3&lt;&gt;0,CG4&lt;&gt;0),(CG3-CG4)/CG4,IF(AND(CG3=0,CG4=0),"",IF(AND(CG3="",CG4=""),"",IF(AND(CG3=0,CG4=""),"", IF(AND(CG3="",CG4=0),"",1)))))</f>
        <v>1.5962020323553699E-6</v>
      </c>
      <c r="CH5" s="40">
        <f t="shared" ref="CH5" si="54">IF(AND(CH3&lt;&gt;0,CH4&lt;&gt;0),(CH3-CH4)/CH4,IF(AND(CH3=0,CH4=0),"",IF(AND(CH3="",CH4=""),"",IF(AND(CH3=0,CH4=""),"", IF(AND(CH3="",CH4=0),"",1)))))</f>
        <v>8.4359791134798274E-7</v>
      </c>
      <c r="CI5" s="40">
        <f t="shared" ref="CI5" si="55">IF(AND(CI3&lt;&gt;0,CI4&lt;&gt;0),(CI3-CI4)/CI4,IF(AND(CI3=0,CI4=0),"",IF(AND(CI3="",CI4=""),"",IF(AND(CI3=0,CI4=""),"", IF(AND(CI3="",CI4=0),"",1)))))</f>
        <v>5.1040116559423006E-6</v>
      </c>
      <c r="CJ5" s="40">
        <f t="shared" ref="CJ5" si="56">IF(AND(CJ3&lt;&gt;0,CJ4&lt;&gt;0),(CJ3-CJ4)/CJ4,IF(AND(CJ3=0,CJ4=0),"",IF(AND(CJ3="",CJ4=""),"",IF(AND(CJ3=0,CJ4=""),"", IF(AND(CJ3="",CJ4=0),"",1)))))</f>
        <v>4.5253939247664033E-6</v>
      </c>
      <c r="CK5" s="40">
        <f t="shared" ref="CK5" si="57">IF(AND(CK3&lt;&gt;0,CK4&lt;&gt;0),(CK3-CK4)/CK4,IF(AND(CK3=0,CK4=0),"",IF(AND(CK3="",CK4=""),"",IF(AND(CK3=0,CK4=""),"", IF(AND(CK3="",CK4=0),"",1)))))</f>
        <v>1.4200930672192533E-6</v>
      </c>
      <c r="CL5" s="40">
        <f t="shared" ref="CL5" si="58">IF(AND(CL3&lt;&gt;0,CL4&lt;&gt;0),(CL3-CL4)/CL4,IF(AND(CL3=0,CL4=0),"",IF(AND(CL3="",CL4=""),"",IF(AND(CL3=0,CL4=""),"", IF(AND(CL3="",CL4=0),"",1)))))</f>
        <v>6.7683237995775084E-6</v>
      </c>
      <c r="CM5" s="40">
        <f t="shared" ref="CM5" si="59">IF(AND(CM3&lt;&gt;0,CM4&lt;&gt;0),(CM3-CM4)/CM4,IF(AND(CM3=0,CM4=0),"",IF(AND(CM3="",CM4=""),"",IF(AND(CM3=0,CM4=""),"", IF(AND(CM3="",CM4=0),"",1)))))</f>
        <v>3.3853320333658323E-6</v>
      </c>
      <c r="CN5" s="40">
        <f t="shared" ref="CN5" si="60">IF(AND(CN3&lt;&gt;0,CN4&lt;&gt;0),(CN3-CN4)/CN4,IF(AND(CN3=0,CN4=0),"",IF(AND(CN3="",CN4=""),"",IF(AND(CN3=0,CN4=""),"", IF(AND(CN3="",CN4=0),"",1)))))</f>
        <v>3.0336482934405988E-6</v>
      </c>
      <c r="CO5" s="40">
        <f t="shared" ref="CO5" si="61">IF(AND(CO3&lt;&gt;0,CO4&lt;&gt;0),(CO3-CO4)/CO4,IF(AND(CO3=0,CO4=0),"",IF(AND(CO3="",CO4=""),"",IF(AND(CO3=0,CO4=""),"", IF(AND(CO3="",CO4=0),"",1)))))</f>
        <v>4.4953392322839678E-6</v>
      </c>
      <c r="CP5" s="40">
        <f t="shared" ref="CP5" si="62">IF(AND(CP3&lt;&gt;0,CP4&lt;&gt;0),(CP3-CP4)/CP4,IF(AND(CP3=0,CP4=0),"",IF(AND(CP3="",CP4=""),"",IF(AND(CP3=0,CP4=""),"", IF(AND(CP3="",CP4=0),"",1)))))</f>
        <v>1.7655797808343901E-5</v>
      </c>
      <c r="CQ5" s="40">
        <f t="shared" ref="CQ5" si="63">IF(AND(CQ3&lt;&gt;0,CQ4&lt;&gt;0),(CQ3-CQ4)/CQ4,IF(AND(CQ3=0,CQ4=0),"",IF(AND(CQ3="",CQ4=""),"",IF(AND(CQ3=0,CQ4=""),"", IF(AND(CQ3="",CQ4=0),"",1)))))</f>
        <v>-0.22026964343903097</v>
      </c>
      <c r="CR5" s="40" t="str">
        <f t="shared" ref="CR5" si="64">IF(AND(CR3&lt;&gt;0,CR4&lt;&gt;0),(CR3-CR4)/CR4,IF(AND(CR3=0,CR4=0),"",IF(AND(CR3="",CR4=""),"",IF(AND(CR3=0,CR4=""),"", IF(AND(CR3="",CR4=0),"",1)))))</f>
        <v/>
      </c>
      <c r="CS5" s="40" t="str">
        <f t="shared" ref="CS5" si="65">IF(AND(CS3&lt;&gt;0,CS4&lt;&gt;0),(CS3-CS4)/CS4,IF(AND(CS3=0,CS4=0),"",IF(AND(CS3="",CS4=""),"",IF(AND(CS3=0,CS4=""),"", IF(AND(CS3="",CS4=0),"",1)))))</f>
        <v/>
      </c>
      <c r="CT5" s="40" t="str">
        <f t="shared" ref="CT5" si="66">IF(AND(CT3&lt;&gt;0,CT4&lt;&gt;0),(CT3-CT4)/CT4,IF(AND(CT3=0,CT4=0),"",IF(AND(CT3="",CT4=""),"",IF(AND(CT3=0,CT4=""),"", IF(AND(CT3="",CT4=0),"",1)))))</f>
        <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f t="shared" ref="DK5:HU5" si="69">IF(AND(DK3&lt;&gt;0,DK4&lt;&gt;0),(DK3-DK4)/DK4,IF(AND(DK3=0,DK4=0),"",IF(AND(DK3="",DK4=""),"",IF(AND(DK3=0,DK4=""),"", IF(AND(DK3="",DK4=0),"",1)))))</f>
        <v>-1.4543641141825079E-3</v>
      </c>
      <c r="DL5" s="72" t="str">
        <f t="shared" si="69"/>
        <v/>
      </c>
      <c r="DM5" s="73" t="str">
        <f t="shared" si="69"/>
        <v/>
      </c>
      <c r="DN5" s="73" t="str">
        <f t="shared" si="69"/>
        <v/>
      </c>
      <c r="DO5" s="73" t="str">
        <f t="shared" si="69"/>
        <v/>
      </c>
      <c r="DP5" s="73" t="str">
        <f t="shared" si="69"/>
        <v/>
      </c>
      <c r="DQ5" s="73" t="str">
        <f t="shared" si="69"/>
        <v/>
      </c>
      <c r="DR5" s="73" t="str">
        <f t="shared" si="69"/>
        <v/>
      </c>
      <c r="DS5" s="73" t="str">
        <f t="shared" si="69"/>
        <v/>
      </c>
      <c r="DT5" s="73" t="str">
        <f t="shared" si="69"/>
        <v/>
      </c>
      <c r="DU5" s="73" t="str">
        <f t="shared" si="69"/>
        <v/>
      </c>
      <c r="DV5" s="73" t="str">
        <f t="shared" si="69"/>
        <v/>
      </c>
      <c r="DW5" s="73" t="str">
        <f t="shared" si="69"/>
        <v/>
      </c>
      <c r="DX5" s="73" t="str">
        <f t="shared" si="69"/>
        <v/>
      </c>
      <c r="DY5" s="73" t="str">
        <f t="shared" si="69"/>
        <v/>
      </c>
      <c r="DZ5" s="73" t="str">
        <f t="shared" si="69"/>
        <v/>
      </c>
      <c r="EA5" s="73" t="str">
        <f t="shared" si="69"/>
        <v/>
      </c>
      <c r="EB5" s="73" t="str">
        <f t="shared" si="69"/>
        <v/>
      </c>
      <c r="EC5" s="73" t="str">
        <f t="shared" si="69"/>
        <v/>
      </c>
      <c r="ED5" s="73" t="str">
        <f t="shared" si="69"/>
        <v/>
      </c>
      <c r="EE5" s="73" t="str">
        <f t="shared" si="69"/>
        <v/>
      </c>
      <c r="EF5" s="73" t="str">
        <f t="shared" si="69"/>
        <v/>
      </c>
      <c r="EG5" s="73" t="str">
        <f t="shared" si="69"/>
        <v/>
      </c>
      <c r="EH5" s="73" t="str">
        <f t="shared" si="69"/>
        <v/>
      </c>
      <c r="EI5" s="73" t="str">
        <f t="shared" ref="EI5:EV5" si="70">IF(AND(EI3&lt;&gt;0,EI4&lt;&gt;0),(EI3-EI4)/EI4,IF(AND(EI3=0,EI4=0),"",IF(AND(EI3="",EI4=""),"",IF(AND(EI3=0,EI4=""),"", IF(AND(EI3="",EI4=0),"",1)))))</f>
        <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t="str">
        <f t="shared" si="69"/>
        <v/>
      </c>
      <c r="EX5" s="72" t="str">
        <f t="shared" ref="EX5:GI5" si="71">IF(AND(EX3&lt;&gt;0,EX4&lt;&gt;0),(EX3-EX4)/EX4,IF(AND(EX3=0,EX4=0),"",IF(AND(EX3="",EX4=""),"",IF(AND(EX3=0,EX4=""),"", IF(AND(EX3="",EX4=0),"",1)))))</f>
        <v/>
      </c>
      <c r="EY5" s="73" t="str">
        <f t="shared" si="71"/>
        <v/>
      </c>
      <c r="EZ5" s="73" t="str">
        <f t="shared" si="71"/>
        <v/>
      </c>
      <c r="FA5" s="73" t="str">
        <f t="shared" si="71"/>
        <v/>
      </c>
      <c r="FB5" s="73" t="str">
        <f t="shared" si="71"/>
        <v/>
      </c>
      <c r="FC5" s="73" t="str">
        <f t="shared" si="71"/>
        <v/>
      </c>
      <c r="FD5" s="73" t="str">
        <f t="shared" si="71"/>
        <v/>
      </c>
      <c r="FE5" s="73" t="str">
        <f t="shared" si="71"/>
        <v/>
      </c>
      <c r="FF5" s="73" t="str">
        <f t="shared" si="71"/>
        <v/>
      </c>
      <c r="FG5" s="73" t="str">
        <f t="shared" si="71"/>
        <v/>
      </c>
      <c r="FH5" s="73" t="str">
        <f t="shared" si="71"/>
        <v/>
      </c>
      <c r="FI5" s="73" t="str">
        <f t="shared" si="71"/>
        <v/>
      </c>
      <c r="FJ5" s="73" t="str">
        <f t="shared" si="71"/>
        <v/>
      </c>
      <c r="FK5" s="73" t="str">
        <f t="shared" si="71"/>
        <v/>
      </c>
      <c r="FL5" s="73" t="str">
        <f t="shared" si="71"/>
        <v/>
      </c>
      <c r="FM5" s="73" t="str">
        <f t="shared" si="71"/>
        <v/>
      </c>
      <c r="FN5" s="73" t="str">
        <f t="shared" si="71"/>
        <v/>
      </c>
      <c r="FO5" s="73" t="str">
        <f t="shared" si="71"/>
        <v/>
      </c>
      <c r="FP5" s="73" t="str">
        <f t="shared" si="71"/>
        <v/>
      </c>
      <c r="FQ5" s="73" t="str">
        <f t="shared" si="71"/>
        <v/>
      </c>
      <c r="FR5" s="73" t="str">
        <f t="shared" si="71"/>
        <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t="str">
        <f t="shared" si="71"/>
        <v/>
      </c>
      <c r="GJ5" s="72" t="str">
        <f t="shared" si="69"/>
        <v/>
      </c>
      <c r="GK5" s="73" t="str">
        <f t="shared" si="69"/>
        <v/>
      </c>
      <c r="GL5" s="73" t="str">
        <f t="shared" si="69"/>
        <v/>
      </c>
      <c r="GM5" s="73" t="str">
        <f t="shared" si="69"/>
        <v/>
      </c>
      <c r="GN5" s="73" t="str">
        <f t="shared" si="69"/>
        <v/>
      </c>
      <c r="GO5" s="73" t="str">
        <f t="shared" si="69"/>
        <v/>
      </c>
      <c r="GP5" s="73" t="str">
        <f t="shared" si="69"/>
        <v/>
      </c>
      <c r="GQ5" s="73" t="str">
        <f t="shared" si="69"/>
        <v/>
      </c>
      <c r="GR5" s="73" t="str">
        <f t="shared" si="69"/>
        <v/>
      </c>
      <c r="GS5" s="73" t="str">
        <f t="shared" si="69"/>
        <v/>
      </c>
      <c r="GT5" s="73" t="str">
        <f t="shared" si="69"/>
        <v/>
      </c>
      <c r="GU5" s="73" t="str">
        <f t="shared" si="69"/>
        <v/>
      </c>
      <c r="GV5" s="73" t="str">
        <f t="shared" si="69"/>
        <v/>
      </c>
      <c r="GW5" s="73" t="str">
        <f t="shared" si="69"/>
        <v/>
      </c>
      <c r="GX5" s="73" t="str">
        <f t="shared" si="69"/>
        <v/>
      </c>
      <c r="GY5" s="73" t="str">
        <f t="shared" si="69"/>
        <v/>
      </c>
      <c r="GZ5" s="73" t="str">
        <f t="shared" si="69"/>
        <v/>
      </c>
      <c r="HA5" s="73" t="str">
        <f t="shared" si="69"/>
        <v/>
      </c>
      <c r="HB5" s="73" t="str">
        <f t="shared" si="69"/>
        <v/>
      </c>
      <c r="HC5" s="73" t="str">
        <f t="shared" si="69"/>
        <v/>
      </c>
      <c r="HD5" s="73" t="str">
        <f t="shared" si="69"/>
        <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t="str">
        <f t="shared" si="69"/>
        <v/>
      </c>
      <c r="HV5" s="39" t="str">
        <f t="shared" ref="HV5" si="74">IF(AND(HV3&lt;&gt;0,HV4&lt;&gt;0),(HV3-HV4)/HV4,IF(AND(HV3=0,HV4=0),"",IF(AND(HV3="",HV4=""),"",IF(AND(HV3=0,HV4=""),"", IF(AND(HV3="",HV4=0),"",1)))))</f>
        <v/>
      </c>
      <c r="HW5" s="40" t="str">
        <f t="shared" ref="HW5" si="75">IF(AND(HW3&lt;&gt;0,HW4&lt;&gt;0),(HW3-HW4)/HW4,IF(AND(HW3=0,HW4=0),"",IF(AND(HW3="",HW4=""),"",IF(AND(HW3=0,HW4=""),"", IF(AND(HW3="",HW4=0),"",1)))))</f>
        <v/>
      </c>
      <c r="HX5" s="40">
        <f t="shared" ref="HX5" si="76">IF(AND(HX3&lt;&gt;0,HX4&lt;&gt;0),(HX3-HX4)/HX4,IF(AND(HX3=0,HX4=0),"",IF(AND(HX3="",HX4=""),"",IF(AND(HX3=0,HX4=""),"", IF(AND(HX3="",HX4=0),"",1)))))</f>
        <v>0</v>
      </c>
      <c r="HY5" s="40">
        <f t="shared" ref="HY5" si="77">IF(AND(HY3&lt;&gt;0,HY4&lt;&gt;0),(HY3-HY4)/HY4,IF(AND(HY3=0,HY4=0),"",IF(AND(HY3="",HY4=""),"",IF(AND(HY3=0,HY4=""),"", IF(AND(HY3="",HY4=0),"",1)))))</f>
        <v>0</v>
      </c>
      <c r="HZ5" s="40">
        <f t="shared" ref="HZ5" si="78">IF(AND(HZ3&lt;&gt;0,HZ4&lt;&gt;0),(HZ3-HZ4)/HZ4,IF(AND(HZ3=0,HZ4=0),"",IF(AND(HZ3="",HZ4=""),"",IF(AND(HZ3=0,HZ4=""),"", IF(AND(HZ3="",HZ4=0),"",1)))))</f>
        <v>3.6388512874255854E-6</v>
      </c>
      <c r="IA5" s="40">
        <f t="shared" ref="IA5" si="79">IF(AND(IA3&lt;&gt;0,IA4&lt;&gt;0),(IA3-IA4)/IA4,IF(AND(IA3=0,IA4=0),"",IF(AND(IA3="",IA4=""),"",IF(AND(IA3=0,IA4=""),"", IF(AND(IA3="",IA4=0),"",1)))))</f>
        <v>2.9802794906106294E-6</v>
      </c>
      <c r="IB5" s="40">
        <f t="shared" ref="IB5" si="80">IF(AND(IB3&lt;&gt;0,IB4&lt;&gt;0),(IB3-IB4)/IB4,IF(AND(IB3=0,IB4=0),"",IF(AND(IB3="",IB4=""),"",IF(AND(IB3=0,IB4=""),"", IF(AND(IB3="",IB4=0),"",1)))))</f>
        <v>5.6457926477799669E-6</v>
      </c>
      <c r="IC5" s="40">
        <f t="shared" ref="IC5" si="81">IF(AND(IC3&lt;&gt;0,IC4&lt;&gt;0),(IC3-IC4)/IC4,IF(AND(IC3=0,IC4=0),"",IF(AND(IC3="",IC4=""),"",IF(AND(IC3=0,IC4=""),"", IF(AND(IC3="",IC4=0),"",1)))))</f>
        <v>0</v>
      </c>
      <c r="ID5" s="40">
        <f t="shared" ref="ID5" si="82">IF(AND(ID3&lt;&gt;0,ID4&lt;&gt;0),(ID3-ID4)/ID4,IF(AND(ID3=0,ID4=0),"",IF(AND(ID3="",ID4=""),"",IF(AND(ID3=0,ID4=""),"", IF(AND(ID3="",ID4=0),"",1)))))</f>
        <v>0</v>
      </c>
      <c r="IE5" s="40">
        <f t="shared" ref="IE5" si="83">IF(AND(IE3&lt;&gt;0,IE4&lt;&gt;0),(IE3-IE4)/IE4,IF(AND(IE3=0,IE4=0),"",IF(AND(IE3="",IE4=""),"",IF(AND(IE3=0,IE4=""),"", IF(AND(IE3="",IE4=0),"",1)))))</f>
        <v>1.0188175603394699E-5</v>
      </c>
      <c r="IF5" s="40">
        <f t="shared" ref="IF5" si="84">IF(AND(IF3&lt;&gt;0,IF4&lt;&gt;0),(IF3-IF4)/IF4,IF(AND(IF3=0,IF4=0),"",IF(AND(IF3="",IF4=""),"",IF(AND(IF3=0,IF4=""),"", IF(AND(IF3="",IF4=0),"",1)))))</f>
        <v>6.9667477131650633E-6</v>
      </c>
      <c r="IG5" s="40">
        <f t="shared" ref="IG5" si="85">IF(AND(IG3&lt;&gt;0,IG4&lt;&gt;0),(IG3-IG4)/IG4,IF(AND(IG3=0,IG4=0),"",IF(AND(IG3="",IG4=""),"",IF(AND(IG3=0,IG4=""),"", IF(AND(IG3="",IG4=0),"",1)))))</f>
        <v>6.8040096845552251E-8</v>
      </c>
      <c r="IH5" s="40">
        <f t="shared" ref="IH5" si="86">IF(AND(IH3&lt;&gt;0,IH4&lt;&gt;0),(IH3-IH4)/IH4,IF(AND(IH3=0,IH4=0),"",IF(AND(IH3="",IH4=""),"",IF(AND(IH3=0,IH4=""),"", IF(AND(IH3="",IH4=0),"",1)))))</f>
        <v>2.154151049071561E-5</v>
      </c>
      <c r="II5" s="40">
        <f t="shared" ref="II5" si="87">IF(AND(II3&lt;&gt;0,II4&lt;&gt;0),(II3-II4)/II4,IF(AND(II3=0,II4=0),"",IF(AND(II3="",II4=""),"",IF(AND(II3=0,II4=""),"", IF(AND(II3="",II4=0),"",1)))))</f>
        <v>1.3175577749084297E-5</v>
      </c>
      <c r="IJ5" s="40">
        <f t="shared" ref="IJ5" si="88">IF(AND(IJ3&lt;&gt;0,IJ4&lt;&gt;0),(IJ3-IJ4)/IJ4,IF(AND(IJ3=0,IJ4=0),"",IF(AND(IJ3="",IJ4=""),"",IF(AND(IJ3=0,IJ4=""),"", IF(AND(IJ3="",IJ4=0),"",1)))))</f>
        <v>0</v>
      </c>
      <c r="IK5" s="40">
        <f t="shared" ref="IK5" si="89">IF(AND(IK3&lt;&gt;0,IK4&lt;&gt;0),(IK3-IK4)/IK4,IF(AND(IK3=0,IK4=0),"",IF(AND(IK3="",IK4=""),"",IF(AND(IK3=0,IK4=""),"", IF(AND(IK3="",IK4=0),"",1)))))</f>
        <v>0</v>
      </c>
      <c r="IL5" s="40">
        <f t="shared" ref="IL5" si="90">IF(AND(IL3&lt;&gt;0,IL4&lt;&gt;0),(IL3-IL4)/IL4,IF(AND(IL3=0,IL4=0),"",IF(AND(IL3="",IL4=""),"",IF(AND(IL3=0,IL4=""),"", IF(AND(IL3="",IL4=0),"",1)))))</f>
        <v>0</v>
      </c>
      <c r="IM5" s="40">
        <f t="shared" ref="IM5" si="91">IF(AND(IM3&lt;&gt;0,IM4&lt;&gt;0),(IM3-IM4)/IM4,IF(AND(IM3=0,IM4=0),"",IF(AND(IM3="",IM4=""),"",IF(AND(IM3=0,IM4=""),"", IF(AND(IM3="",IM4=0),"",1)))))</f>
        <v>0.13690975132718636</v>
      </c>
      <c r="IN5" s="40">
        <f t="shared" ref="IN5" si="92">IF(AND(IN3&lt;&gt;0,IN4&lt;&gt;0),(IN3-IN4)/IN4,IF(AND(IN3=0,IN4=0),"",IF(AND(IN3="",IN4=""),"",IF(AND(IN3=0,IN4=""),"", IF(AND(IN3="",IN4=0),"",1)))))</f>
        <v>-2.1403419712499193E-5</v>
      </c>
      <c r="IO5" s="40">
        <f t="shared" ref="IO5" si="93">IF(AND(IO3&lt;&gt;0,IO4&lt;&gt;0),(IO3-IO4)/IO4,IF(AND(IO3=0,IO4=0),"",IF(AND(IO3="",IO4=""),"",IF(AND(IO3=0,IO4=""),"", IF(AND(IO3="",IO4=0),"",1)))))</f>
        <v>-7.2046959178750439E-2</v>
      </c>
      <c r="IP5" s="40" t="str">
        <f t="shared" ref="IP5" si="94">IF(AND(IP3&lt;&gt;0,IP4&lt;&gt;0),(IP3-IP4)/IP4,IF(AND(IP3=0,IP4=0),"",IF(AND(IP3="",IP4=""),"",IF(AND(IP3=0,IP4=""),"", IF(AND(IP3="",IP4=0),"",1)))))</f>
        <v/>
      </c>
      <c r="IQ5" s="40" t="str">
        <f t="shared" ref="IQ5" si="95">IF(AND(IQ3&lt;&gt;0,IQ4&lt;&gt;0),(IQ3-IQ4)/IQ4,IF(AND(IQ3=0,IQ4=0),"",IF(AND(IQ3="",IQ4=""),"",IF(AND(IQ3=0,IQ4=""),"", IF(AND(IQ3="",IQ4=0),"",1)))))</f>
        <v/>
      </c>
      <c r="IR5" s="40" t="str">
        <f t="shared" ref="IR5:JF5" si="96">IF(AND(IR3&lt;&gt;0,IR4&lt;&gt;0),(IR3-IR4)/IR4,IF(AND(IR3=0,IR4=0),"",IF(AND(IR3="",IR4=""),"",IF(AND(IR3=0,IR4=""),"", IF(AND(IR3="",IR4=0),"",1)))))</f>
        <v/>
      </c>
      <c r="IS5" s="40" t="str">
        <f t="shared" si="96"/>
        <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8.5663666628096467E-4</v>
      </c>
      <c r="JH5" s="72" t="str">
        <f t="shared" si="97"/>
        <v/>
      </c>
      <c r="JI5" s="73" t="str">
        <f t="shared" si="97"/>
        <v/>
      </c>
      <c r="JJ5" s="73" t="str">
        <f t="shared" si="97"/>
        <v/>
      </c>
      <c r="JK5" s="73" t="str">
        <f t="shared" si="97"/>
        <v/>
      </c>
      <c r="JL5" s="73" t="str">
        <f t="shared" si="97"/>
        <v/>
      </c>
      <c r="JM5" s="73" t="str">
        <f t="shared" si="97"/>
        <v/>
      </c>
      <c r="JN5" s="73" t="str">
        <f t="shared" si="97"/>
        <v/>
      </c>
      <c r="JO5" s="73" t="str">
        <f t="shared" si="97"/>
        <v/>
      </c>
      <c r="JP5" s="73" t="str">
        <f t="shared" si="97"/>
        <v/>
      </c>
      <c r="JQ5" s="73" t="str">
        <f t="shared" si="97"/>
        <v/>
      </c>
      <c r="JR5" s="73" t="str">
        <f t="shared" si="97"/>
        <v/>
      </c>
      <c r="JS5" s="73" t="str">
        <f t="shared" si="97"/>
        <v/>
      </c>
      <c r="JT5" s="73" t="str">
        <f t="shared" si="97"/>
        <v/>
      </c>
      <c r="JU5" s="73" t="str">
        <f t="shared" si="97"/>
        <v/>
      </c>
      <c r="JV5" s="73" t="str">
        <f t="shared" si="97"/>
        <v/>
      </c>
      <c r="JW5" s="73" t="str">
        <f t="shared" si="97"/>
        <v/>
      </c>
      <c r="JX5" s="73" t="str">
        <f t="shared" si="97"/>
        <v/>
      </c>
      <c r="JY5" s="73" t="str">
        <f t="shared" si="97"/>
        <v/>
      </c>
      <c r="JZ5" s="73" t="str">
        <f t="shared" si="97"/>
        <v/>
      </c>
      <c r="KA5" s="73" t="str">
        <f t="shared" si="97"/>
        <v/>
      </c>
      <c r="KB5" s="73" t="str">
        <f t="shared" si="97"/>
        <v/>
      </c>
      <c r="KC5" s="73" t="str">
        <f t="shared" si="97"/>
        <v/>
      </c>
      <c r="KD5" s="73" t="str">
        <f t="shared" si="97"/>
        <v/>
      </c>
      <c r="KE5" s="73" t="str">
        <f t="shared" ref="KE5:KR5" si="98">IF(AND(KE3&lt;&gt;0,KE4&lt;&gt;0),(KE3-KE4)/KE4,IF(AND(KE3=0,KE4=0),"",IF(AND(KE3="",KE4=""),"",IF(AND(KE3=0,KE4=""),"", IF(AND(KE3="",KE4=0),"",1)))))</f>
        <v/>
      </c>
      <c r="KF5" s="73" t="str">
        <f t="shared" si="98"/>
        <v/>
      </c>
      <c r="KG5" s="73" t="str">
        <f t="shared" si="98"/>
        <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t="str">
        <f t="shared" si="97"/>
        <v/>
      </c>
      <c r="KT5" s="72" t="str">
        <f t="shared" ref="KT5:ME5" si="99">IF(AND(KT3&lt;&gt;0,KT4&lt;&gt;0),(KT3-KT4)/KT4,IF(AND(KT3=0,KT4=0),"",IF(AND(KT3="",KT4=""),"",IF(AND(KT3=0,KT4=""),"", IF(AND(KT3="",KT4=0),"",1)))))</f>
        <v/>
      </c>
      <c r="KU5" s="73" t="str">
        <f t="shared" si="99"/>
        <v/>
      </c>
      <c r="KV5" s="73" t="str">
        <f t="shared" si="99"/>
        <v/>
      </c>
      <c r="KW5" s="73" t="str">
        <f t="shared" si="99"/>
        <v/>
      </c>
      <c r="KX5" s="73" t="str">
        <f t="shared" si="99"/>
        <v/>
      </c>
      <c r="KY5" s="73" t="str">
        <f t="shared" si="99"/>
        <v/>
      </c>
      <c r="KZ5" s="73" t="str">
        <f t="shared" si="99"/>
        <v/>
      </c>
      <c r="LA5" s="73" t="str">
        <f t="shared" si="99"/>
        <v/>
      </c>
      <c r="LB5" s="73" t="str">
        <f t="shared" si="99"/>
        <v/>
      </c>
      <c r="LC5" s="73" t="str">
        <f t="shared" si="99"/>
        <v/>
      </c>
      <c r="LD5" s="73" t="str">
        <f t="shared" si="99"/>
        <v/>
      </c>
      <c r="LE5" s="73" t="str">
        <f t="shared" si="99"/>
        <v/>
      </c>
      <c r="LF5" s="73" t="str">
        <f t="shared" si="99"/>
        <v/>
      </c>
      <c r="LG5" s="73" t="str">
        <f t="shared" si="99"/>
        <v/>
      </c>
      <c r="LH5" s="73" t="str">
        <f t="shared" si="99"/>
        <v/>
      </c>
      <c r="LI5" s="73" t="str">
        <f t="shared" si="99"/>
        <v/>
      </c>
      <c r="LJ5" s="73" t="str">
        <f t="shared" si="99"/>
        <v/>
      </c>
      <c r="LK5" s="73" t="str">
        <f t="shared" si="99"/>
        <v/>
      </c>
      <c r="LL5" s="73" t="str">
        <f t="shared" si="99"/>
        <v/>
      </c>
      <c r="LM5" s="73" t="str">
        <f t="shared" si="99"/>
        <v/>
      </c>
      <c r="LN5" s="73" t="str">
        <f t="shared" si="99"/>
        <v/>
      </c>
      <c r="LO5" s="73" t="str">
        <f t="shared" si="99"/>
        <v/>
      </c>
      <c r="LP5" s="73" t="str">
        <f t="shared" si="99"/>
        <v/>
      </c>
      <c r="LQ5" s="73" t="str">
        <f t="shared" ref="LQ5:MD5" si="100">IF(AND(LQ3&lt;&gt;0,LQ4&lt;&gt;0),(LQ3-LQ4)/LQ4,IF(AND(LQ3=0,LQ4=0),"",IF(AND(LQ3="",LQ4=""),"",IF(AND(LQ3=0,LQ4=""),"", IF(AND(LQ3="",LQ4=0),"",1)))))</f>
        <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t="str">
        <f t="shared" si="99"/>
        <v/>
      </c>
      <c r="MF5" s="72" t="str">
        <f t="shared" si="97"/>
        <v/>
      </c>
      <c r="MG5" s="73" t="str">
        <f t="shared" si="97"/>
        <v/>
      </c>
      <c r="MH5" s="73" t="str">
        <f t="shared" si="97"/>
        <v/>
      </c>
      <c r="MI5" s="73" t="str">
        <f t="shared" si="97"/>
        <v/>
      </c>
      <c r="MJ5" s="73" t="str">
        <f t="shared" si="97"/>
        <v/>
      </c>
      <c r="MK5" s="73" t="str">
        <f t="shared" si="97"/>
        <v/>
      </c>
      <c r="ML5" s="73" t="str">
        <f t="shared" si="97"/>
        <v/>
      </c>
      <c r="MM5" s="73" t="str">
        <f t="shared" si="97"/>
        <v/>
      </c>
      <c r="MN5" s="73" t="str">
        <f t="shared" si="97"/>
        <v/>
      </c>
      <c r="MO5" s="73" t="str">
        <f t="shared" si="97"/>
        <v/>
      </c>
      <c r="MP5" s="73" t="str">
        <f t="shared" si="97"/>
        <v/>
      </c>
      <c r="MQ5" s="73" t="str">
        <f t="shared" si="97"/>
        <v/>
      </c>
      <c r="MR5" s="73" t="str">
        <f t="shared" si="97"/>
        <v/>
      </c>
      <c r="MS5" s="73" t="str">
        <f t="shared" si="97"/>
        <v/>
      </c>
      <c r="MT5" s="73" t="str">
        <f t="shared" si="97"/>
        <v/>
      </c>
      <c r="MU5" s="73" t="str">
        <f t="shared" si="97"/>
        <v/>
      </c>
      <c r="MV5" s="73" t="str">
        <f t="shared" si="97"/>
        <v/>
      </c>
      <c r="MW5" s="73" t="str">
        <f t="shared" si="97"/>
        <v/>
      </c>
      <c r="MX5" s="73" t="str">
        <f t="shared" si="97"/>
        <v/>
      </c>
      <c r="MY5" s="73" t="str">
        <f t="shared" si="97"/>
        <v/>
      </c>
      <c r="MZ5" s="73" t="str">
        <f t="shared" si="97"/>
        <v/>
      </c>
      <c r="NA5" s="73" t="str">
        <f t="shared" si="97"/>
        <v/>
      </c>
      <c r="NB5" s="73" t="str">
        <f t="shared" si="97"/>
        <v/>
      </c>
      <c r="NC5" s="73" t="str">
        <f t="shared" ref="NC5:NP5" si="101">IF(AND(NC3&lt;&gt;0,NC4&lt;&gt;0),(NC3-NC4)/NC4,IF(AND(NC3=0,NC4=0),"",IF(AND(NC3="",NC4=""),"",IF(AND(NC3=0,NC4=""),"", IF(AND(NC3="",NC4=0),"",1)))))</f>
        <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t="str">
        <f t="shared" si="97"/>
        <v/>
      </c>
      <c r="NR5" s="40" t="str">
        <f t="shared" ref="NR5:NT5" si="102">IF(AND(NR3&lt;&gt;0,NR4&lt;&gt;0),(NR3-NR4)/NR4,IF(AND(NR3=0,NR4=0),"",IF(AND(NR3="",NR4=""),"",IF(AND(NR3=0,NR4=""),"", IF(AND(NR3="",NR4=0),"",1)))))</f>
        <v/>
      </c>
      <c r="NS5" s="40" t="str">
        <f t="shared" si="102"/>
        <v/>
      </c>
      <c r="NT5" s="40">
        <f t="shared" si="102"/>
        <v>0</v>
      </c>
      <c r="NU5" s="40">
        <f t="shared" ref="NU5" si="103">IF(AND(NU3&lt;&gt;0,NU4&lt;&gt;0),(NU3-NU4)/NU4,IF(AND(NU3=0,NU4=0),"",IF(AND(NU3="",NU4=""),"",IF(AND(NU3=0,NU4=""),"", IF(AND(NU3="",NU4=0),"",1)))))</f>
        <v>2.9092178567792048E-5</v>
      </c>
      <c r="NV5" s="40">
        <f t="shared" ref="NV5" si="104">IF(AND(NV3&lt;&gt;0,NV4&lt;&gt;0),(NV3-NV4)/NV4,IF(AND(NV3=0,NV4=0),"",IF(AND(NV3="",NV4=""),"",IF(AND(NV3=0,NV4=""),"", IF(AND(NV3="",NV4=0),"",1)))))</f>
        <v>0</v>
      </c>
      <c r="NW5" s="40">
        <f t="shared" ref="NW5" si="105">IF(AND(NW3&lt;&gt;0,NW4&lt;&gt;0),(NW3-NW4)/NW4,IF(AND(NW3=0,NW4=0),"",IF(AND(NW3="",NW4=""),"",IF(AND(NW3=0,NW4=""),"", IF(AND(NW3="",NW4=0),"",1)))))</f>
        <v>4.3870424314743969E-6</v>
      </c>
      <c r="NX5" s="40">
        <f t="shared" ref="NX5" si="106">IF(AND(NX3&lt;&gt;0,NX4&lt;&gt;0),(NX3-NX4)/NX4,IF(AND(NX3=0,NX4=0),"",IF(AND(NX3="",NX4=""),"",IF(AND(NX3=0,NX4=""),"", IF(AND(NX3="",NX4=0),"",1)))))</f>
        <v>0</v>
      </c>
      <c r="NY5" s="40">
        <f t="shared" ref="NY5" si="107">IF(AND(NY3&lt;&gt;0,NY4&lt;&gt;0),(NY3-NY4)/NY4,IF(AND(NY3=0,NY4=0),"",IF(AND(NY3="",NY4=""),"",IF(AND(NY3=0,NY4=""),"", IF(AND(NY3="",NY4=0),"",1)))))</f>
        <v>-5.986544164412533E-8</v>
      </c>
      <c r="NZ5" s="40">
        <f t="shared" ref="NZ5" si="108">IF(AND(NZ3&lt;&gt;0,NZ4&lt;&gt;0),(NZ3-NZ4)/NZ4,IF(AND(NZ3=0,NZ4=0),"",IF(AND(NZ3="",NZ4=""),"",IF(AND(NZ3=0,NZ4=""),"", IF(AND(NZ3="",NZ4=0),"",1)))))</f>
        <v>4.0250357221920344E-6</v>
      </c>
      <c r="OA5" s="40">
        <f t="shared" ref="OA5" si="109">IF(AND(OA3&lt;&gt;0,OA4&lt;&gt;0),(OA3-OA4)/OA4,IF(AND(OA3=0,OA4=0),"",IF(AND(OA3="",OA4=""),"",IF(AND(OA3=0,OA4=""),"", IF(AND(OA3="",OA4=0),"",1)))))</f>
        <v>4.2746551421964033E-6</v>
      </c>
      <c r="OB5" s="40">
        <f t="shared" ref="OB5" si="110">IF(AND(OB3&lt;&gt;0,OB4&lt;&gt;0),(OB3-OB4)/OB4,IF(AND(OB3=0,OB4=0),"",IF(AND(OB3="",OB4=""),"",IF(AND(OB3=0,OB4=""),"", IF(AND(OB3="",OB4=0),"",1)))))</f>
        <v>8.8929203461124605E-6</v>
      </c>
      <c r="OC5" s="40">
        <f t="shared" ref="OC5" si="111">IF(AND(OC3&lt;&gt;0,OC4&lt;&gt;0),(OC3-OC4)/OC4,IF(AND(OC3=0,OC4=0),"",IF(AND(OC3="",OC4=""),"",IF(AND(OC3=0,OC4=""),"", IF(AND(OC3="",OC4=0),"",1)))))</f>
        <v>0</v>
      </c>
      <c r="OD5" s="40">
        <f t="shared" ref="OD5" si="112">IF(AND(OD3&lt;&gt;0,OD4&lt;&gt;0),(OD3-OD4)/OD4,IF(AND(OD3=0,OD4=0),"",IF(AND(OD3="",OD4=""),"",IF(AND(OD3=0,OD4=""),"", IF(AND(OD3="",OD4=0),"",1)))))</f>
        <v>5.3703385461419491E-6</v>
      </c>
      <c r="OE5" s="40">
        <f t="shared" ref="OE5" si="113">IF(AND(OE3&lt;&gt;0,OE4&lt;&gt;0),(OE3-OE4)/OE4,IF(AND(OE3=0,OE4=0),"",IF(AND(OE3="",OE4=""),"",IF(AND(OE3=0,OE4=""),"", IF(AND(OE3="",OE4=0),"",1)))))</f>
        <v>0</v>
      </c>
      <c r="OF5" s="40">
        <f t="shared" ref="OF5" si="114">IF(AND(OF3&lt;&gt;0,OF4&lt;&gt;0),(OF3-OF4)/OF4,IF(AND(OF3=0,OF4=0),"",IF(AND(OF3="",OF4=""),"",IF(AND(OF3=0,OF4=""),"", IF(AND(OF3="",OF4=0),"",1)))))</f>
        <v>-6.6121822846412231E-6</v>
      </c>
      <c r="OG5" s="40">
        <f t="shared" ref="OG5" si="115">IF(AND(OG3&lt;&gt;0,OG4&lt;&gt;0),(OG3-OG4)/OG4,IF(AND(OG3=0,OG4=0),"",IF(AND(OG3="",OG4=""),"",IF(AND(OG3=0,OG4=""),"", IF(AND(OG3="",OG4=0),"",1)))))</f>
        <v>-7.8127422555738168E-6</v>
      </c>
      <c r="OH5" s="40">
        <f t="shared" ref="OH5" si="116">IF(AND(OH3&lt;&gt;0,OH4&lt;&gt;0),(OH3-OH4)/OH4,IF(AND(OH3=0,OH4=0),"",IF(AND(OH3="",OH4=""),"",IF(AND(OH3=0,OH4=""),"", IF(AND(OH3="",OH4=0),"",1)))))</f>
        <v>9.6828854998789645E-6</v>
      </c>
      <c r="OI5" s="40">
        <f t="shared" ref="OI5" si="117">IF(AND(OI3&lt;&gt;0,OI4&lt;&gt;0),(OI3-OI4)/OI4,IF(AND(OI3=0,OI4=0),"",IF(AND(OI3="",OI4=""),"",IF(AND(OI3=0,OI4=""),"", IF(AND(OI3="",OI4=0),"",1)))))</f>
        <v>-1.0766348700501713E-5</v>
      </c>
      <c r="OJ5" s="40">
        <f t="shared" ref="OJ5" si="118">IF(AND(OJ3&lt;&gt;0,OJ4&lt;&gt;0),(OJ3-OJ4)/OJ4,IF(AND(OJ3=0,OJ4=0),"",IF(AND(OJ3="",OJ4=""),"",IF(AND(OJ3=0,OJ4=""),"", IF(AND(OJ3="",OJ4=0),"",1)))))</f>
        <v>3.6072867191727291E-5</v>
      </c>
      <c r="OK5" s="40">
        <f t="shared" ref="OK5" si="119">IF(AND(OK3&lt;&gt;0,OK4&lt;&gt;0),(OK3-OK4)/OK4,IF(AND(OK3=0,OK4=0),"",IF(AND(OK3="",OK4=""),"",IF(AND(OK3=0,OK4=""),"", IF(AND(OK3="",OK4=0),"",1)))))</f>
        <v>3.6337837837837839E-2</v>
      </c>
      <c r="OL5" s="40">
        <f t="shared" ref="OL5" si="120">IF(AND(OL3&lt;&gt;0,OL4&lt;&gt;0),(OL3-OL4)/OL4,IF(AND(OL3=0,OL4=0),"",IF(AND(OL3="",OL4=""),"",IF(AND(OL3=0,OL4=""),"", IF(AND(OL3="",OL4=0),"",1)))))</f>
        <v>3.1515253382637198E-5</v>
      </c>
      <c r="OM5" s="40">
        <f t="shared" ref="OM5" si="121">IF(AND(OM3&lt;&gt;0,OM4&lt;&gt;0),(OM3-OM4)/OM4,IF(AND(OM3=0,OM4=0),"",IF(AND(OM3="",OM4=""),"",IF(AND(OM3=0,OM4=""),"", IF(AND(OM3="",OM4=0),"",1)))))</f>
        <v>-0.16388059701492538</v>
      </c>
      <c r="ON5" s="40">
        <f t="shared" ref="ON5:PB5" si="122">IF(AND(ON3&lt;&gt;0,ON4&lt;&gt;0),(ON3-ON4)/ON4,IF(AND(ON3=0,ON4=0),"",IF(AND(ON3="",ON4=""),"",IF(AND(ON3=0,ON4=""),"", IF(AND(ON3="",ON4=0),"",1)))))</f>
        <v>7.1246891854342854E-6</v>
      </c>
      <c r="OO5" s="40">
        <f t="shared" si="122"/>
        <v>7.968444957966452E-6</v>
      </c>
      <c r="OP5" s="40">
        <f t="shared" si="122"/>
        <v>1</v>
      </c>
      <c r="OQ5" s="40" t="str">
        <f t="shared" si="122"/>
        <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4.5919112997455354E-3</v>
      </c>
      <c r="PF5" s="63">
        <f>IF(AND(PF3&lt;&gt;0,PF4&lt;&gt;0),(PF3-PF4)/PF4,IF(AND(PF3=0,PF4=0),"",IF(AND(PF3="",PF4=""),"",IF(AND(PF3=0,PF4=""),"", IF(AND(PF3="",PF4=0),"",1)))))</f>
        <v>2.9237290728915278E-3</v>
      </c>
      <c r="PH5" s="63">
        <f>IF(AND(PH3&lt;&gt;0,PH4&lt;&gt;0),(PH3-PH4)/PH4,IF(AND(PH3=0,PH4=0),"",IF(AND(PH3="",PH4=""),"",IF(AND(PH3=0,PH4=""),"", IF(AND(PH3="",PH4=0),"",1)))))</f>
        <v>2.9457746962266982E-3</v>
      </c>
    </row>
    <row r="6" spans="1:424" outlineLevel="1" x14ac:dyDescent="0.35">
      <c r="A6" s="76" t="s">
        <v>30</v>
      </c>
      <c r="B6" s="14">
        <f>'[1]D-PDP'!$BB$12</f>
        <v>64155.68359375</v>
      </c>
      <c r="C6" s="14">
        <f>'[1]D-PDP'!$BB$13</f>
        <v>49438.31640625</v>
      </c>
      <c r="D6" s="14">
        <f>'[1]D-PDP'!$BB$14</f>
        <v>40458.3515625</v>
      </c>
      <c r="E6" s="14">
        <f>'[1]D-PDP'!$BB$15</f>
        <v>35096.90625</v>
      </c>
      <c r="F6" s="14">
        <f>'[1]D-PDP'!$BB$16</f>
        <v>31058.681640625</v>
      </c>
      <c r="G6" s="14">
        <f>'[1]D-PDP'!$BB$17</f>
        <v>27698.416015625</v>
      </c>
      <c r="H6" s="14">
        <f>'[1]D-PDP'!$BB$18</f>
        <v>24666.76953125</v>
      </c>
      <c r="I6" s="14">
        <f>'[1]D-PDP'!$BB$19</f>
        <v>22105.51171875</v>
      </c>
      <c r="J6" s="14">
        <f>'[1]D-PDP'!$BB$20</f>
        <v>19890.779296875</v>
      </c>
      <c r="K6" s="14">
        <f>'[1]D-PDP'!$BB$21</f>
        <v>17976.357421875</v>
      </c>
      <c r="L6" s="14">
        <f>'[1]D-PDP'!$BB$22</f>
        <v>16197.490234375</v>
      </c>
      <c r="M6" s="14">
        <f>'[1]D-PDP'!$BB$23</f>
        <v>14638.9365234375</v>
      </c>
      <c r="N6" s="14">
        <f>'[1]D-PDP'!$BB$24</f>
        <v>13266.3994140625</v>
      </c>
      <c r="O6" s="14">
        <f>'[1]D-PDP'!$BB$25</f>
        <v>12113.9052734375</v>
      </c>
      <c r="P6" s="14">
        <f>'[1]D-PDP'!$BB$26</f>
        <v>11016.208984375</v>
      </c>
      <c r="Q6" s="14">
        <f>'[1]D-PDP'!$BB$27</f>
        <v>10048.1630859375</v>
      </c>
      <c r="R6" s="14">
        <f>'[1]D-PDP'!$BB$28</f>
        <v>9225.1181640625</v>
      </c>
      <c r="S6" s="14">
        <f>'[1]D-PDP'!$BB$29</f>
        <v>8445.189453125</v>
      </c>
      <c r="T6" s="14">
        <f>'[1]D-PDP'!$BB$30</f>
        <v>7712.28466796875</v>
      </c>
      <c r="U6" s="14">
        <f>'[1]D-PDP'!$BB$31</f>
        <v>7077.822265625</v>
      </c>
      <c r="V6" s="14">
        <f>'[1]D-PDP'!$BB$32</f>
        <v>6534.13525390625</v>
      </c>
      <c r="W6" s="14">
        <f>'[1]D-PDP'!$BB$33</f>
        <v>2048.734619140625</v>
      </c>
      <c r="X6" s="14">
        <f>'[1]D-PDP'!$BB$34</f>
        <v>0</v>
      </c>
      <c r="Y6" s="14">
        <f>'[1]D-PDP'!$BB$35</f>
        <v>0</v>
      </c>
      <c r="Z6" s="14">
        <f>'[1]D-PDP'!$BB$36</f>
        <v>0</v>
      </c>
      <c r="AA6" s="14">
        <f>'[1]D-PDP'!$BB$37</f>
        <v>0</v>
      </c>
      <c r="AB6" s="14">
        <f>'[1]D-PDP'!$BB$38</f>
        <v>0</v>
      </c>
      <c r="AC6" s="14">
        <f>'[1]D-PDP'!$BB$39</f>
        <v>0</v>
      </c>
      <c r="AD6" s="14">
        <f>'[1]D-PDP'!$BB$40</f>
        <v>0</v>
      </c>
      <c r="AE6" s="14">
        <f>'[1]D-PDP'!$BB$41</f>
        <v>0</v>
      </c>
      <c r="AF6" s="14">
        <f>'[1]D-PDP'!$BB$42</f>
        <v>0</v>
      </c>
      <c r="AG6" s="14">
        <f>'[1]D-PDP'!$BB$43</f>
        <v>0</v>
      </c>
      <c r="AH6" s="14">
        <f>'[1]D-PDP'!$BB$44</f>
        <v>0</v>
      </c>
      <c r="AI6" s="14">
        <f>'[1]D-PDP'!$BB$45</f>
        <v>0</v>
      </c>
      <c r="AJ6" s="14">
        <f>'[1]D-PDP'!$BB$46</f>
        <v>0</v>
      </c>
      <c r="AK6" s="14">
        <f>'[1]D-PDP'!$BB$47</f>
        <v>0</v>
      </c>
      <c r="AL6" s="14">
        <f>'[1]D-PDP'!$BB$48</f>
        <v>0</v>
      </c>
      <c r="AM6" s="16">
        <f>SUM(B6:AL6)</f>
        <v>450870.16137695313</v>
      </c>
      <c r="AN6" s="28">
        <f>'[1]D-PNP'!$BB$12</f>
        <v>4386.45849609375</v>
      </c>
      <c r="AO6" s="14">
        <f>'[1]D-PNP'!$BB$13</f>
        <v>5641.333984375</v>
      </c>
      <c r="AP6" s="14">
        <f>'[1]D-PNP'!$BB$14</f>
        <v>4215.13720703125</v>
      </c>
      <c r="AQ6" s="14">
        <f>'[1]D-PNP'!$BB$15</f>
        <v>3568.606201171875</v>
      </c>
      <c r="AR6" s="14">
        <f>'[1]D-PNP'!$BB$16</f>
        <v>3147.118408203125</v>
      </c>
      <c r="AS6" s="14">
        <f>'[1]D-PNP'!$BB$17</f>
        <v>2795.662841796875</v>
      </c>
      <c r="AT6" s="14">
        <f>'[1]D-PNP'!$BB$18</f>
        <v>2481.8193359375</v>
      </c>
      <c r="AU6" s="14">
        <f>'[1]D-PNP'!$BB$19</f>
        <v>2216.7548828125</v>
      </c>
      <c r="AV6" s="14">
        <f>'[1]D-PNP'!$BB$20</f>
        <v>1985.6455078125</v>
      </c>
      <c r="AW6" s="14">
        <f>'[1]D-PNP'!$BB$21</f>
        <v>1788.0135498046875</v>
      </c>
      <c r="AX6" s="14">
        <f>'[1]D-PNP'!$BB$22</f>
        <v>1605.2728271484375</v>
      </c>
      <c r="AY6" s="14">
        <f>'[1]D-PNP'!$BB$23</f>
        <v>1448.7529296875</v>
      </c>
      <c r="AZ6" s="14">
        <f>'[1]D-PNP'!$BB$24</f>
        <v>1310.3531494140625</v>
      </c>
      <c r="BA6" s="14">
        <f>'[1]D-PNP'!$BB$25</f>
        <v>1190.6925048828125</v>
      </c>
      <c r="BB6" s="14">
        <f>'[1]D-PNP'!$BB$26</f>
        <v>1078.1077880859375</v>
      </c>
      <c r="BC6" s="14">
        <f>'[1]D-PNP'!$BB$27</f>
        <v>980.72003173828125</v>
      </c>
      <c r="BD6" s="14">
        <f>'[1]D-PNP'!$BB$28</f>
        <v>893.61334228515625</v>
      </c>
      <c r="BE6" s="14">
        <f>'[1]D-PNP'!$BB$29</f>
        <v>817.64202880859375</v>
      </c>
      <c r="BF6" s="14">
        <f>'[1]D-PNP'!$BB$30</f>
        <v>745.12640380859375</v>
      </c>
      <c r="BG6" s="14">
        <f>'[1]D-PNP'!$BB$31</f>
        <v>680.306640625</v>
      </c>
      <c r="BH6" s="14">
        <f>'[1]D-PNP'!$BB$32</f>
        <v>622.68438720703125</v>
      </c>
      <c r="BI6" s="14">
        <f>'[1]D-PNP'!$BB$33</f>
        <v>194.90594482421875</v>
      </c>
      <c r="BJ6" s="14">
        <f>'[1]D-PNP'!$BB$34</f>
        <v>0</v>
      </c>
      <c r="BK6" s="14">
        <f>'[1]D-PNP'!$BB$35</f>
        <v>0</v>
      </c>
      <c r="BL6" s="14">
        <f>'[1]D-PNP'!$BB$36</f>
        <v>0</v>
      </c>
      <c r="BM6" s="14">
        <f>'[1]D-PNP'!$BB$37</f>
        <v>0</v>
      </c>
      <c r="BN6" s="14">
        <f>'[1]D-PNP'!$BB$38</f>
        <v>0</v>
      </c>
      <c r="BO6" s="14">
        <f>'[1]D-PNP'!$BB$39</f>
        <v>0</v>
      </c>
      <c r="BP6" s="14">
        <f>'[1]D-PNP'!$BB$40</f>
        <v>0</v>
      </c>
      <c r="BQ6" s="14">
        <f>'[1]D-PNP'!$BB$41</f>
        <v>0</v>
      </c>
      <c r="BR6" s="14">
        <f>'[1]D-PNP'!$BB$42</f>
        <v>0</v>
      </c>
      <c r="BS6" s="14">
        <f>'[1]D-PNP'!$BB$43</f>
        <v>0</v>
      </c>
      <c r="BT6" s="14">
        <f>'[1]D-PNP'!$BB$44</f>
        <v>0</v>
      </c>
      <c r="BU6" s="14">
        <f>'[1]D-PNP'!$BB$45</f>
        <v>0</v>
      </c>
      <c r="BV6" s="14">
        <f>'[1]D-PNP'!$BB$46</f>
        <v>0</v>
      </c>
      <c r="BW6" s="14">
        <f>'[1]D-PNP'!$BB$47</f>
        <v>0</v>
      </c>
      <c r="BX6" s="14">
        <f>'[1]D-PNP'!$BB$48</f>
        <v>0</v>
      </c>
      <c r="BY6" s="16">
        <f>SUM(AN6:BX6)</f>
        <v>43794.728393554688</v>
      </c>
      <c r="BZ6" s="28">
        <f>'[1]D-PND'!$BB$12</f>
        <v>0</v>
      </c>
      <c r="CA6" s="14">
        <f>'[1]D-PND'!$BB$13</f>
        <v>0</v>
      </c>
      <c r="CB6" s="14">
        <f>'[1]D-PND'!$BB$14</f>
        <v>6507.51171875</v>
      </c>
      <c r="CC6" s="14">
        <f>'[1]D-PND'!$BB$15</f>
        <v>21946.42578125</v>
      </c>
      <c r="CD6" s="14">
        <f>'[1]D-PND'!$BB$16</f>
        <v>47855.09375</v>
      </c>
      <c r="CE6" s="14">
        <f>'[1]D-PND'!$BB$17</f>
        <v>55877.69921875</v>
      </c>
      <c r="CF6" s="14">
        <f>'[1]D-PND'!$BB$18</f>
        <v>42909.125</v>
      </c>
      <c r="CG6" s="14">
        <f>'[1]D-PND'!$BB$19</f>
        <v>30643.4375</v>
      </c>
      <c r="CH6" s="14">
        <f>'[1]D-PND'!$BB$20</f>
        <v>22548.3671875</v>
      </c>
      <c r="CI6" s="14">
        <f>'[1]D-PND'!$BB$21</f>
        <v>16770.783203125</v>
      </c>
      <c r="CJ6" s="14">
        <f>'[1]D-PND'!$BB$22</f>
        <v>12610.0546875</v>
      </c>
      <c r="CK6" s="14">
        <f>'[1]D-PND'!$BB$23</f>
        <v>9567.666015625</v>
      </c>
      <c r="CL6" s="14">
        <f>'[1]D-PND'!$BB$24</f>
        <v>7327.1796875</v>
      </c>
      <c r="CM6" s="14">
        <f>'[1]D-PND'!$BB$25</f>
        <v>5618.88818359375</v>
      </c>
      <c r="CN6" s="14">
        <f>'[1]D-PND'!$BB$26</f>
        <v>4366.79541015625</v>
      </c>
      <c r="CO6" s="14">
        <f>'[1]D-PND'!$BB$27</f>
        <v>3400.27587890625</v>
      </c>
      <c r="CP6" s="14">
        <f>'[1]D-PND'!$BB$28</f>
        <v>2674.220947265625</v>
      </c>
      <c r="CQ6" s="14">
        <f>'[1]D-PND'!$BB$29</f>
        <v>1508.5408935546875</v>
      </c>
      <c r="CR6" s="14">
        <f>'[1]D-PND'!$BB$30</f>
        <v>0</v>
      </c>
      <c r="CS6" s="14">
        <f>'[1]D-PND'!$BB$31</f>
        <v>0</v>
      </c>
      <c r="CT6" s="14">
        <f>'[1]D-PND'!$BB$32</f>
        <v>0</v>
      </c>
      <c r="CU6" s="14">
        <f>'[1]D-PND'!$BB$33</f>
        <v>0</v>
      </c>
      <c r="CV6" s="14">
        <f>'[1]D-PND'!$BB$34</f>
        <v>0</v>
      </c>
      <c r="CW6" s="14">
        <f>'[1]D-PND'!$BB$35</f>
        <v>0</v>
      </c>
      <c r="CX6" s="14">
        <f>'[1]D-PND'!$BB$36</f>
        <v>0</v>
      </c>
      <c r="CY6" s="14">
        <f>'[1]D-PND'!$BB$37</f>
        <v>0</v>
      </c>
      <c r="CZ6" s="14">
        <f>'[1]D-PND'!$BB$38</f>
        <v>0</v>
      </c>
      <c r="DA6" s="14">
        <f>'[1]D-PND'!$BB$39</f>
        <v>0</v>
      </c>
      <c r="DB6" s="14">
        <f>'[1]D-PND'!$BB$40</f>
        <v>0</v>
      </c>
      <c r="DC6" s="14">
        <f>'[1]D-PND'!$BB$41</f>
        <v>0</v>
      </c>
      <c r="DD6" s="14">
        <f>'[1]D-PND'!$BB$42</f>
        <v>0</v>
      </c>
      <c r="DE6" s="14">
        <f>'[1]D-PND'!$BB$43</f>
        <v>0</v>
      </c>
      <c r="DF6" s="14">
        <f>'[1]D-PND'!$BB$44</f>
        <v>0</v>
      </c>
      <c r="DG6" s="14">
        <f>'[1]D-PND'!$BB$45</f>
        <v>0</v>
      </c>
      <c r="DH6" s="14">
        <f>'[1]D-PND'!$BB$46</f>
        <v>0</v>
      </c>
      <c r="DI6" s="14">
        <f>'[1]D-PND'!$BB$47</f>
        <v>0</v>
      </c>
      <c r="DJ6" s="14">
        <f>'[1]D-PND'!$BB$48</f>
        <v>0</v>
      </c>
      <c r="DK6" s="16">
        <f>SUM(BZ6:DJ6)</f>
        <v>292132.06506347656</v>
      </c>
      <c r="DL6" s="66"/>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8">
        <f>SUM(DL6:EV6)</f>
        <v>0</v>
      </c>
      <c r="EX6" s="66"/>
      <c r="EY6" s="67"/>
      <c r="EZ6" s="67"/>
      <c r="FA6" s="67"/>
      <c r="FB6" s="67"/>
      <c r="FC6" s="67"/>
      <c r="FD6" s="67"/>
      <c r="FE6" s="67"/>
      <c r="FF6" s="67"/>
      <c r="FG6" s="67"/>
      <c r="FH6" s="67"/>
      <c r="FI6" s="67"/>
      <c r="FJ6" s="67"/>
      <c r="FK6" s="67"/>
      <c r="FL6" s="67"/>
      <c r="FM6" s="67"/>
      <c r="FN6" s="67"/>
      <c r="FO6" s="67"/>
      <c r="FP6" s="67"/>
      <c r="FQ6" s="67"/>
      <c r="FR6" s="67"/>
      <c r="FS6" s="67"/>
      <c r="FT6" s="67"/>
      <c r="FU6" s="67"/>
      <c r="FV6" s="67"/>
      <c r="FW6" s="67"/>
      <c r="FX6" s="67"/>
      <c r="FY6" s="67"/>
      <c r="FZ6" s="67"/>
      <c r="GA6" s="67"/>
      <c r="GB6" s="67"/>
      <c r="GC6" s="67"/>
      <c r="GD6" s="67"/>
      <c r="GE6" s="67"/>
      <c r="GF6" s="67"/>
      <c r="GG6" s="67"/>
      <c r="GH6" s="67"/>
      <c r="GI6" s="68">
        <f>SUM(EX6:GH6)</f>
        <v>0</v>
      </c>
      <c r="GJ6" s="66"/>
      <c r="GK6" s="67"/>
      <c r="GL6" s="67"/>
      <c r="GM6" s="67"/>
      <c r="GN6" s="67"/>
      <c r="GO6" s="67"/>
      <c r="GP6" s="67"/>
      <c r="GQ6" s="67"/>
      <c r="GR6" s="67"/>
      <c r="GS6" s="67"/>
      <c r="GT6" s="67"/>
      <c r="GU6" s="67"/>
      <c r="GV6" s="67"/>
      <c r="GW6" s="67"/>
      <c r="GX6" s="67"/>
      <c r="GY6" s="67"/>
      <c r="GZ6" s="67"/>
      <c r="HA6" s="67"/>
      <c r="HB6" s="67"/>
      <c r="HC6" s="67"/>
      <c r="HD6" s="67"/>
      <c r="HE6" s="67"/>
      <c r="HF6" s="67"/>
      <c r="HG6" s="67"/>
      <c r="HH6" s="67"/>
      <c r="HI6" s="67"/>
      <c r="HJ6" s="67"/>
      <c r="HK6" s="67"/>
      <c r="HL6" s="67"/>
      <c r="HM6" s="67"/>
      <c r="HN6" s="67"/>
      <c r="HO6" s="67"/>
      <c r="HP6" s="67"/>
      <c r="HQ6" s="67"/>
      <c r="HR6" s="67"/>
      <c r="HS6" s="67"/>
      <c r="HT6" s="67"/>
      <c r="HU6" s="68">
        <f>SUM(GJ6:HT6)</f>
        <v>0</v>
      </c>
      <c r="HV6" s="28">
        <f>'[1]D-PRB'!$BB$12</f>
        <v>0</v>
      </c>
      <c r="HW6" s="14">
        <f>'[1]D-PRB'!$BB$13</f>
        <v>0</v>
      </c>
      <c r="HX6" s="14">
        <f>'[1]D-PRB'!$BB$14</f>
        <v>3392</v>
      </c>
      <c r="HY6" s="14">
        <f>'[1]D-PRB'!$BB$15</f>
        <v>12429</v>
      </c>
      <c r="HZ6" s="14">
        <f>'[1]D-PRB'!$BB$16</f>
        <v>23897</v>
      </c>
      <c r="IA6" s="14">
        <f>'[1]D-PRB'!$BB$17</f>
        <v>29178</v>
      </c>
      <c r="IB6" s="14">
        <f>'[1]D-PRB'!$BB$18</f>
        <v>30322</v>
      </c>
      <c r="IC6" s="14">
        <f>'[1]D-PRB'!$BB$19</f>
        <v>26725</v>
      </c>
      <c r="ID6" s="14">
        <f>'[1]D-PRB'!$BB$20</f>
        <v>21512.001953125</v>
      </c>
      <c r="IE6" s="14">
        <f>'[1]D-PRB'!$BB$21</f>
        <v>17070</v>
      </c>
      <c r="IF6" s="14">
        <f>'[1]D-PRB'!$BB$22</f>
        <v>12481</v>
      </c>
      <c r="IG6" s="14">
        <f>'[1]D-PRB'!$BB$23</f>
        <v>9984</v>
      </c>
      <c r="IH6" s="14">
        <f>'[1]D-PRB'!$BB$24</f>
        <v>8073</v>
      </c>
      <c r="II6" s="14">
        <f>'[1]D-PRB'!$BB$25</f>
        <v>6599</v>
      </c>
      <c r="IJ6" s="14">
        <f>'[1]D-PRB'!$BB$26</f>
        <v>5378.00048828125</v>
      </c>
      <c r="IK6" s="14">
        <f>'[1]D-PRB'!$BB$27</f>
        <v>4401</v>
      </c>
      <c r="IL6" s="14">
        <f>'[1]D-PRB'!$BB$28</f>
        <v>3609</v>
      </c>
      <c r="IM6" s="14">
        <f>'[1]D-PRB'!$BB$29</f>
        <v>3539</v>
      </c>
      <c r="IN6" s="14">
        <f>'[1]D-PRB'!$BB$30</f>
        <v>4047</v>
      </c>
      <c r="IO6" s="14">
        <f>'[1]D-PRB'!$BB$31</f>
        <v>3011.000244140625</v>
      </c>
      <c r="IP6" s="14">
        <f>'[1]D-PRB'!$BB$32</f>
        <v>0</v>
      </c>
      <c r="IQ6" s="14">
        <f>'[1]D-PRB'!$BB$33</f>
        <v>0</v>
      </c>
      <c r="IR6" s="14">
        <f>'[1]D-PRB'!$BB$34</f>
        <v>0</v>
      </c>
      <c r="IS6" s="14">
        <f>'[1]D-PRB'!$BB$35</f>
        <v>0</v>
      </c>
      <c r="IT6" s="14">
        <f>'[1]D-PRB'!$BB$36</f>
        <v>0</v>
      </c>
      <c r="IU6" s="14">
        <f>'[1]D-PRB'!$BB$37</f>
        <v>0</v>
      </c>
      <c r="IV6" s="14">
        <f>'[1]D-PRB'!$BB$38</f>
        <v>0</v>
      </c>
      <c r="IW6" s="14">
        <f>'[1]D-PRB'!$BB$39</f>
        <v>0</v>
      </c>
      <c r="IX6" s="14">
        <f>'[1]D-PRB'!$BB$40</f>
        <v>0</v>
      </c>
      <c r="IY6" s="14">
        <f>'[1]D-PRB'!$BB$41</f>
        <v>0</v>
      </c>
      <c r="IZ6" s="14">
        <f>'[1]D-PRB'!$BB$42</f>
        <v>0</v>
      </c>
      <c r="JA6" s="14">
        <f>'[1]D-PRB'!$BB$43</f>
        <v>0</v>
      </c>
      <c r="JB6" s="14">
        <f>'[1]D-PRB'!$BB$44</f>
        <v>0</v>
      </c>
      <c r="JC6" s="14">
        <f>'[1]D-PRB'!$BB$45</f>
        <v>0</v>
      </c>
      <c r="JD6" s="14">
        <f>'[1]D-PRB'!$BB$46</f>
        <v>0</v>
      </c>
      <c r="JE6" s="14">
        <f>'[1]D-PRB'!$BB$47</f>
        <v>0</v>
      </c>
      <c r="JF6" s="14">
        <f>'[1]D-PRB'!$BB$48</f>
        <v>0</v>
      </c>
      <c r="JG6" s="16">
        <f>SUM(HV6:JF6)</f>
        <v>225647.00268554688</v>
      </c>
      <c r="JH6" s="66"/>
      <c r="JI6" s="67"/>
      <c r="JJ6" s="67"/>
      <c r="JK6" s="67"/>
      <c r="JL6" s="67"/>
      <c r="JM6" s="67"/>
      <c r="JN6" s="67"/>
      <c r="JO6" s="67"/>
      <c r="JP6" s="67"/>
      <c r="JQ6" s="67"/>
      <c r="JR6" s="67"/>
      <c r="JS6" s="67"/>
      <c r="JT6" s="67"/>
      <c r="JU6" s="67"/>
      <c r="JV6" s="67"/>
      <c r="JW6" s="67"/>
      <c r="JX6" s="67"/>
      <c r="JY6" s="67"/>
      <c r="JZ6" s="67"/>
      <c r="KA6" s="67"/>
      <c r="KB6" s="67"/>
      <c r="KC6" s="67"/>
      <c r="KD6" s="67"/>
      <c r="KE6" s="67"/>
      <c r="KF6" s="67"/>
      <c r="KG6" s="67"/>
      <c r="KH6" s="67"/>
      <c r="KI6" s="67"/>
      <c r="KJ6" s="67"/>
      <c r="KK6" s="67"/>
      <c r="KL6" s="67"/>
      <c r="KM6" s="67"/>
      <c r="KN6" s="67"/>
      <c r="KO6" s="67"/>
      <c r="KP6" s="67"/>
      <c r="KQ6" s="67"/>
      <c r="KR6" s="67"/>
      <c r="KS6" s="68">
        <f>SUM(JH6:KR6)</f>
        <v>0</v>
      </c>
      <c r="KT6" s="66"/>
      <c r="KU6" s="67"/>
      <c r="KV6" s="67"/>
      <c r="KW6" s="67"/>
      <c r="KX6" s="67"/>
      <c r="KY6" s="67"/>
      <c r="KZ6" s="67"/>
      <c r="LA6" s="67"/>
      <c r="LB6" s="67"/>
      <c r="LC6" s="67"/>
      <c r="LD6" s="67"/>
      <c r="LE6" s="67"/>
      <c r="LF6" s="67"/>
      <c r="LG6" s="67"/>
      <c r="LH6" s="67"/>
      <c r="LI6" s="67"/>
      <c r="LJ6" s="67"/>
      <c r="LK6" s="67"/>
      <c r="LL6" s="67"/>
      <c r="LM6" s="67"/>
      <c r="LN6" s="67"/>
      <c r="LO6" s="67"/>
      <c r="LP6" s="67"/>
      <c r="LQ6" s="67"/>
      <c r="LR6" s="67"/>
      <c r="LS6" s="67"/>
      <c r="LT6" s="67"/>
      <c r="LU6" s="67"/>
      <c r="LV6" s="67"/>
      <c r="LW6" s="67"/>
      <c r="LX6" s="67"/>
      <c r="LY6" s="67"/>
      <c r="LZ6" s="67"/>
      <c r="MA6" s="67"/>
      <c r="MB6" s="67"/>
      <c r="MC6" s="67"/>
      <c r="MD6" s="67"/>
      <c r="ME6" s="68">
        <f>SUM(KT6:MD6)</f>
        <v>0</v>
      </c>
      <c r="MF6" s="66"/>
      <c r="MG6" s="67"/>
      <c r="MH6" s="67"/>
      <c r="MI6" s="67"/>
      <c r="MJ6" s="67"/>
      <c r="MK6" s="67"/>
      <c r="ML6" s="67"/>
      <c r="MM6" s="67"/>
      <c r="MN6" s="67"/>
      <c r="MO6" s="67"/>
      <c r="MP6" s="67"/>
      <c r="MQ6" s="67"/>
      <c r="MR6" s="67"/>
      <c r="MS6" s="67"/>
      <c r="MT6" s="67"/>
      <c r="MU6" s="67"/>
      <c r="MV6" s="67"/>
      <c r="MW6" s="67"/>
      <c r="MX6" s="67"/>
      <c r="MY6" s="67"/>
      <c r="MZ6" s="67"/>
      <c r="NA6" s="67"/>
      <c r="NB6" s="67"/>
      <c r="NC6" s="67"/>
      <c r="ND6" s="67"/>
      <c r="NE6" s="67"/>
      <c r="NF6" s="67"/>
      <c r="NG6" s="67"/>
      <c r="NH6" s="67"/>
      <c r="NI6" s="67"/>
      <c r="NJ6" s="67"/>
      <c r="NK6" s="67"/>
      <c r="NL6" s="67"/>
      <c r="NM6" s="67"/>
      <c r="NN6" s="67"/>
      <c r="NO6" s="67"/>
      <c r="NP6" s="67"/>
      <c r="NQ6" s="68">
        <f>SUM(MF6:NP6)</f>
        <v>0</v>
      </c>
      <c r="NR6" s="14">
        <f>'[1]D-PS'!$BB$12</f>
        <v>0</v>
      </c>
      <c r="NS6" s="14">
        <f>'[1]D-PS'!$BB$13</f>
        <v>0</v>
      </c>
      <c r="NT6" s="14">
        <f>'[1]D-PS'!$BB$14</f>
        <v>3684</v>
      </c>
      <c r="NU6" s="14">
        <f>'[1]D-PS'!$BB$15</f>
        <v>5982</v>
      </c>
      <c r="NV6" s="14">
        <f>'[1]D-PS'!$BB$16</f>
        <v>10936</v>
      </c>
      <c r="NW6" s="14">
        <f>'[1]D-PS'!$BB$17</f>
        <v>19822</v>
      </c>
      <c r="NX6" s="14">
        <f>'[1]D-PS'!$BB$18</f>
        <v>22855</v>
      </c>
      <c r="NY6" s="14">
        <f>'[1]D-PS'!$BB$19</f>
        <v>22696</v>
      </c>
      <c r="NZ6" s="14">
        <f>'[1]D-PS'!$BB$20</f>
        <v>21605</v>
      </c>
      <c r="OA6" s="14">
        <f>'[1]D-PS'!$BB$21</f>
        <v>20344</v>
      </c>
      <c r="OB6" s="14">
        <f>'[1]D-PS'!$BB$22</f>
        <v>19556</v>
      </c>
      <c r="OC6" s="14">
        <f>'[1]D-PS'!$BB$23</f>
        <v>17873</v>
      </c>
      <c r="OD6" s="14">
        <f>'[1]D-PS'!$BB$24</f>
        <v>16191</v>
      </c>
      <c r="OE6" s="14">
        <f>'[1]D-PS'!$BB$25</f>
        <v>14628</v>
      </c>
      <c r="OF6" s="14">
        <f>'[1]D-PS'!$BB$26</f>
        <v>13153</v>
      </c>
      <c r="OG6" s="14">
        <f>'[1]D-PS'!$BB$27</f>
        <v>11218</v>
      </c>
      <c r="OH6" s="14">
        <f>'[1]D-PS'!$BB$28</f>
        <v>8982</v>
      </c>
      <c r="OI6" s="14">
        <f>'[1]D-PS'!$BB$29</f>
        <v>8078</v>
      </c>
      <c r="OJ6" s="14">
        <f>'[1]D-PS'!$BB$30</f>
        <v>7232.00048828125</v>
      </c>
      <c r="OK6" s="14">
        <f>'[1]D-PS'!$BB$31</f>
        <v>6669</v>
      </c>
      <c r="OL6" s="14">
        <f>'[1]D-PS'!$BB$32</f>
        <v>8278</v>
      </c>
      <c r="OM6" s="14">
        <f>'[1]D-PS'!$BB$33</f>
        <v>11447</v>
      </c>
      <c r="ON6" s="14">
        <f>'[1]D-PS'!$BB$34</f>
        <v>12204</v>
      </c>
      <c r="OO6" s="14">
        <f>'[1]D-PS'!$BB$35</f>
        <v>10913</v>
      </c>
      <c r="OP6" s="14">
        <f>'[1]D-PS'!$BB$36</f>
        <v>3370</v>
      </c>
      <c r="OQ6" s="14">
        <f>'[1]D-PS'!$BB$37</f>
        <v>0</v>
      </c>
      <c r="OR6" s="14">
        <f>'[1]D-PS'!$BB$38</f>
        <v>0</v>
      </c>
      <c r="OS6" s="14">
        <f>'[1]D-PS'!$BB$39</f>
        <v>0</v>
      </c>
      <c r="OT6" s="14">
        <f>'[1]D-PS'!$BB$40</f>
        <v>0</v>
      </c>
      <c r="OU6" s="14">
        <f>'[1]D-PS'!$BB$41</f>
        <v>0</v>
      </c>
      <c r="OV6" s="14">
        <f>'[1]D-PS'!$BB$42</f>
        <v>0</v>
      </c>
      <c r="OW6" s="14">
        <f>'[1]D-PS'!$BB$43</f>
        <v>0</v>
      </c>
      <c r="OX6" s="14">
        <f>'[1]D-PS'!$BB$44</f>
        <v>0</v>
      </c>
      <c r="OY6" s="14">
        <f>'[1]D-PS'!$BB$45</f>
        <v>0</v>
      </c>
      <c r="OZ6" s="14">
        <f>'[1]D-PS'!$BB$46</f>
        <v>0</v>
      </c>
      <c r="PA6" s="14">
        <f>'[1]D-PS'!$BB$47</f>
        <v>0</v>
      </c>
      <c r="PB6" s="14">
        <f>'[1]D-PS'!$BB$48</f>
        <v>0</v>
      </c>
      <c r="PC6" s="16">
        <f>SUM(NR6:PB6)</f>
        <v>297716.00048828125</v>
      </c>
    </row>
    <row r="7" spans="1:424" outlineLevel="1" x14ac:dyDescent="0.35">
      <c r="A7" s="76" t="s">
        <v>31</v>
      </c>
      <c r="B7" s="25">
        <f>'[2]CF PDP'!$AY$36</f>
        <v>73446</v>
      </c>
      <c r="C7" s="25">
        <f>'[2]CF PDP'!$AY$37</f>
        <v>49438</v>
      </c>
      <c r="D7" s="25">
        <f>'[2]CF PDP'!$AY$38</f>
        <v>40458</v>
      </c>
      <c r="E7" s="25">
        <f>'[2]CF PDP'!$AY$39</f>
        <v>35096</v>
      </c>
      <c r="F7" s="25">
        <f>'[2]CF PDP'!$AY$40</f>
        <v>31058</v>
      </c>
      <c r="G7" s="25">
        <f>'[2]CF PDP'!$AY$41</f>
        <v>27698</v>
      </c>
      <c r="H7" s="25">
        <f>'[2]CF PDP'!$AY$42</f>
        <v>24666</v>
      </c>
      <c r="I7" s="25">
        <f>'[2]CF PDP'!$AY$43</f>
        <v>22105</v>
      </c>
      <c r="J7" s="25">
        <f>'[2]CF PDP'!$AY$44</f>
        <v>19890</v>
      </c>
      <c r="K7" s="25">
        <f>'[2]CF PDP'!$AY$45</f>
        <v>17976</v>
      </c>
      <c r="L7" s="25">
        <f>'[2]CF PDP'!$AY$46</f>
        <v>16197</v>
      </c>
      <c r="M7" s="25">
        <f>'[2]CF PDP'!$AY$47</f>
        <v>14638</v>
      </c>
      <c r="N7" s="25">
        <f>'[2]CF PDP'!$AY$48</f>
        <v>13266</v>
      </c>
      <c r="O7" s="25">
        <f>'[2]CF PDP'!$AY$49</f>
        <v>12113</v>
      </c>
      <c r="P7" s="25">
        <f>'[2]CF PDP'!$AY$50</f>
        <v>11016</v>
      </c>
      <c r="Q7" s="25">
        <f>'[2]CF PDP'!$AY$51</f>
        <v>10048</v>
      </c>
      <c r="R7" s="25">
        <f>'[2]CF PDP'!$AY$52</f>
        <v>9225</v>
      </c>
      <c r="S7" s="25">
        <f>'[2]CF PDP'!$AY$53</f>
        <v>8445</v>
      </c>
      <c r="T7" s="25">
        <f>'[2]CF PDP'!$AY$54</f>
        <v>7712</v>
      </c>
      <c r="U7" s="25">
        <f>'[2]CF PDP'!$AY$55</f>
        <v>7077</v>
      </c>
      <c r="V7" s="25">
        <f>'[2]CF PDP'!$AY$56</f>
        <v>6534</v>
      </c>
      <c r="W7" s="25">
        <f>'[2]CF PDP'!$AY$57</f>
        <v>0</v>
      </c>
      <c r="X7" s="25">
        <f>'[2]CF PDP'!$AY$58</f>
        <v>0</v>
      </c>
      <c r="Y7" s="25">
        <f>'[2]CF PDP'!$AY$59</f>
        <v>0</v>
      </c>
      <c r="Z7" s="25">
        <f>'[2]CF PDP'!$AY$60</f>
        <v>0</v>
      </c>
      <c r="AA7" s="25">
        <f>'[2]CF PDP'!$AY$61</f>
        <v>0</v>
      </c>
      <c r="AB7" s="25">
        <f>'[2]CF PDP'!$AY$62</f>
        <v>0</v>
      </c>
      <c r="AC7" s="25">
        <f>'[2]CF PDP'!$AY$63</f>
        <v>0</v>
      </c>
      <c r="AD7" s="25">
        <f>'[2]CF PDP'!$AY$64</f>
        <v>0</v>
      </c>
      <c r="AE7" s="25">
        <f>'[2]CF PDP'!$AY$65</f>
        <v>0</v>
      </c>
      <c r="AF7" s="25">
        <f>'[2]CF PDP'!$AY$66</f>
        <v>0</v>
      </c>
      <c r="AG7" s="25">
        <f>'[2]CF PDP'!$AY$67</f>
        <v>0</v>
      </c>
      <c r="AH7" s="25">
        <f>'[2]CF PDP'!$AY$68</f>
        <v>0</v>
      </c>
      <c r="AI7" s="25">
        <f>'[2]CF PDP'!$AY$69</f>
        <v>0</v>
      </c>
      <c r="AJ7" s="25">
        <f>'[2]CF PDP'!$AY$70</f>
        <v>0</v>
      </c>
      <c r="AK7" s="25">
        <f>'[2]CF PDP'!$AY$71</f>
        <v>0</v>
      </c>
      <c r="AL7" s="25">
        <f>'[2]CF PDP'!$AY$72</f>
        <v>0</v>
      </c>
      <c r="AM7" s="26">
        <f>SUM(B7:AL7)</f>
        <v>458102</v>
      </c>
      <c r="AN7" s="27">
        <f>'[2]CF PNP'!$AY$36</f>
        <v>4035</v>
      </c>
      <c r="AO7" s="25">
        <f>'[2]CF PNP'!$AY$37</f>
        <v>5641</v>
      </c>
      <c r="AP7" s="25">
        <f>'[2]CF PNP'!$AY$38</f>
        <v>4215</v>
      </c>
      <c r="AQ7" s="25">
        <f>'[2]CF PNP'!$AY$39</f>
        <v>3568</v>
      </c>
      <c r="AR7" s="25">
        <f>'[2]CF PNP'!$AY$40</f>
        <v>3147</v>
      </c>
      <c r="AS7" s="25">
        <f>'[2]CF PNP'!$AY$41</f>
        <v>2795</v>
      </c>
      <c r="AT7" s="25">
        <f>'[2]CF PNP'!$AY$42</f>
        <v>2481</v>
      </c>
      <c r="AU7" s="25">
        <f>'[2]CF PNP'!$AY$43</f>
        <v>2216</v>
      </c>
      <c r="AV7" s="25">
        <f>'[2]CF PNP'!$AY$44</f>
        <v>1985</v>
      </c>
      <c r="AW7" s="25">
        <f>'[2]CF PNP'!$AY$45</f>
        <v>1788</v>
      </c>
      <c r="AX7" s="25">
        <f>'[2]CF PNP'!$AY$46</f>
        <v>1605</v>
      </c>
      <c r="AY7" s="25">
        <f>'[2]CF PNP'!$AY$47</f>
        <v>1448</v>
      </c>
      <c r="AZ7" s="25">
        <f>'[2]CF PNP'!$AY$48</f>
        <v>1310</v>
      </c>
      <c r="BA7" s="25">
        <f>'[2]CF PNP'!$AY$49</f>
        <v>1190</v>
      </c>
      <c r="BB7" s="25">
        <f>'[2]CF PNP'!$AY$50</f>
        <v>1078</v>
      </c>
      <c r="BC7" s="25">
        <f>'[2]CF PNP'!$AY$51</f>
        <v>980</v>
      </c>
      <c r="BD7" s="25">
        <f>'[2]CF PNP'!$AY$52</f>
        <v>893</v>
      </c>
      <c r="BE7" s="25">
        <f>'[2]CF PNP'!$AY$53</f>
        <v>817</v>
      </c>
      <c r="BF7" s="25">
        <f>'[2]CF PNP'!$AY$54</f>
        <v>745</v>
      </c>
      <c r="BG7" s="25">
        <f>'[2]CF PNP'!$AY$55</f>
        <v>680</v>
      </c>
      <c r="BH7" s="25">
        <f>'[2]CF PNP'!$AY$56</f>
        <v>622</v>
      </c>
      <c r="BI7" s="25">
        <f>'[2]CF PNP'!$AY$57</f>
        <v>0</v>
      </c>
      <c r="BJ7" s="25">
        <f>'[2]CF PNP'!$AY$58</f>
        <v>0</v>
      </c>
      <c r="BK7" s="25">
        <f>'[2]CF PNP'!$AY$59</f>
        <v>0</v>
      </c>
      <c r="BL7" s="25">
        <f>'[2]CF PNP'!$AY$60</f>
        <v>0</v>
      </c>
      <c r="BM7" s="25">
        <f>'[2]CF PNP'!$AY$61</f>
        <v>0</v>
      </c>
      <c r="BN7" s="25">
        <f>'[2]CF PNP'!$AY$62</f>
        <v>0</v>
      </c>
      <c r="BO7" s="25">
        <f>'[2]CF PNP'!$AY$63</f>
        <v>0</v>
      </c>
      <c r="BP7" s="25">
        <f>'[2]CF PNP'!$AY$64</f>
        <v>0</v>
      </c>
      <c r="BQ7" s="25">
        <f>'[2]CF PNP'!$AY$65</f>
        <v>0</v>
      </c>
      <c r="BR7" s="25">
        <f>'[2]CF PNP'!$AY$66</f>
        <v>0</v>
      </c>
      <c r="BS7" s="25">
        <f>'[2]CF PNP'!$AY$67</f>
        <v>0</v>
      </c>
      <c r="BT7" s="25">
        <f>'[2]CF PNP'!$AY$68</f>
        <v>0</v>
      </c>
      <c r="BU7" s="25">
        <f>'[2]CF PNP'!$AY$69</f>
        <v>0</v>
      </c>
      <c r="BV7" s="25">
        <f>'[2]CF PNP'!$AY$70</f>
        <v>0</v>
      </c>
      <c r="BW7" s="25">
        <f>'[2]CF PNP'!$AY$71</f>
        <v>0</v>
      </c>
      <c r="BX7" s="25">
        <f>'[2]CF PNP'!$AY$72</f>
        <v>0</v>
      </c>
      <c r="BY7" s="26">
        <f>SUM(AN7:BX7)</f>
        <v>43239</v>
      </c>
      <c r="BZ7" s="27">
        <f>'[2]CF PND'!$AY$36</f>
        <v>0</v>
      </c>
      <c r="CA7" s="25">
        <f>'[2]CF PND'!$AY$37</f>
        <v>0</v>
      </c>
      <c r="CB7" s="25">
        <f>'[2]CF PND'!$AY$38</f>
        <v>6507</v>
      </c>
      <c r="CC7" s="25">
        <f>'[2]CF PND'!$AY$39</f>
        <v>21946</v>
      </c>
      <c r="CD7" s="25">
        <f>'[2]CF PND'!$AY$40</f>
        <v>47855</v>
      </c>
      <c r="CE7" s="25">
        <f>'[2]CF PND'!$AY$41</f>
        <v>55877</v>
      </c>
      <c r="CF7" s="25">
        <f>'[2]CF PND'!$AY$42</f>
        <v>42909</v>
      </c>
      <c r="CG7" s="25">
        <f>'[2]CF PND'!$AY$43</f>
        <v>30643</v>
      </c>
      <c r="CH7" s="25">
        <f>'[2]CF PND'!$AY$44</f>
        <v>22548</v>
      </c>
      <c r="CI7" s="25">
        <f>'[2]CF PND'!$AY$45</f>
        <v>16770</v>
      </c>
      <c r="CJ7" s="25">
        <f>'[2]CF PND'!$AY$46</f>
        <v>12610</v>
      </c>
      <c r="CK7" s="25">
        <f>'[2]CF PND'!$AY$47</f>
        <v>9567</v>
      </c>
      <c r="CL7" s="25">
        <f>'[2]CF PND'!$AY$48</f>
        <v>7327</v>
      </c>
      <c r="CM7" s="25">
        <f>'[2]CF PND'!$AY$49</f>
        <v>5618</v>
      </c>
      <c r="CN7" s="25">
        <f>'[2]CF PND'!$AY$50</f>
        <v>4366</v>
      </c>
      <c r="CO7" s="25">
        <f>'[2]CF PND'!$AY$51</f>
        <v>3400</v>
      </c>
      <c r="CP7" s="25">
        <f>'[2]CF PND'!$AY$52</f>
        <v>2674</v>
      </c>
      <c r="CQ7" s="25">
        <f>'[2]CF PND'!$AY$53</f>
        <v>1934</v>
      </c>
      <c r="CR7" s="25">
        <f>'[2]CF PND'!$AY$54</f>
        <v>0</v>
      </c>
      <c r="CS7" s="25">
        <f>'[2]CF PND'!$AY$55</f>
        <v>0</v>
      </c>
      <c r="CT7" s="25">
        <f>'[2]CF PND'!$AY$56</f>
        <v>0</v>
      </c>
      <c r="CU7" s="25">
        <f>'[2]CF PND'!$AY$57</f>
        <v>0</v>
      </c>
      <c r="CV7" s="25">
        <f>'[2]CF PND'!$AY$58</f>
        <v>0</v>
      </c>
      <c r="CW7" s="25">
        <f>'[2]CF PND'!$AY$59</f>
        <v>0</v>
      </c>
      <c r="CX7" s="25">
        <f>'[2]CF PND'!$AY$60</f>
        <v>0</v>
      </c>
      <c r="CY7" s="25">
        <f>'[2]CF PND'!$AY$61</f>
        <v>0</v>
      </c>
      <c r="CZ7" s="25">
        <f>'[2]CF PND'!$AY$62</f>
        <v>0</v>
      </c>
      <c r="DA7" s="25">
        <f>'[2]CF PND'!$AY$63</f>
        <v>0</v>
      </c>
      <c r="DB7" s="25">
        <f>'[2]CF PND'!$AY$64</f>
        <v>0</v>
      </c>
      <c r="DC7" s="25">
        <f>'[2]CF PND'!$AY$65</f>
        <v>0</v>
      </c>
      <c r="DD7" s="25">
        <f>'[2]CF PND'!$AY$66</f>
        <v>0</v>
      </c>
      <c r="DE7" s="25">
        <f>'[2]CF PND'!$AY$67</f>
        <v>0</v>
      </c>
      <c r="DF7" s="25">
        <f>'[2]CF PND'!$AY$68</f>
        <v>0</v>
      </c>
      <c r="DG7" s="25">
        <f>'[2]CF PND'!$AY$69</f>
        <v>0</v>
      </c>
      <c r="DH7" s="25">
        <f>'[2]CF PND'!$AY$70</f>
        <v>0</v>
      </c>
      <c r="DI7" s="25">
        <f>'[2]CF PND'!$AY$71</f>
        <v>0</v>
      </c>
      <c r="DJ7" s="25">
        <f>'[2]CF PND'!$AY$72</f>
        <v>0</v>
      </c>
      <c r="DK7" s="26">
        <f>SUM(BZ7:DJ7)</f>
        <v>292551</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'[2]CF PRB'!$AY$36</f>
        <v>0</v>
      </c>
      <c r="HW7" s="25">
        <f>'[2]CF PRB'!$AY$37</f>
        <v>0</v>
      </c>
      <c r="HX7" s="25">
        <f>'[2]CF PRB'!$AY$38</f>
        <v>3389</v>
      </c>
      <c r="HY7" s="25">
        <f>'[2]CF PRB'!$AY$39</f>
        <v>12428</v>
      </c>
      <c r="HZ7" s="25">
        <f>'[2]CF PRB'!$AY$40</f>
        <v>23896</v>
      </c>
      <c r="IA7" s="25">
        <f>'[2]CF PRB'!$AY$41</f>
        <v>29177</v>
      </c>
      <c r="IB7" s="25">
        <f>'[2]CF PRB'!$AY$42</f>
        <v>30322</v>
      </c>
      <c r="IC7" s="25">
        <f>'[2]CF PRB'!$AY$43</f>
        <v>26724</v>
      </c>
      <c r="ID7" s="25">
        <f>'[2]CF PRB'!$AY$44</f>
        <v>21512</v>
      </c>
      <c r="IE7" s="25">
        <f>'[2]CF PRB'!$AY$45</f>
        <v>17070</v>
      </c>
      <c r="IF7" s="25">
        <f>'[2]CF PRB'!$AY$46</f>
        <v>12481</v>
      </c>
      <c r="IG7" s="25">
        <f>'[2]CF PRB'!$AY$47</f>
        <v>9984</v>
      </c>
      <c r="IH7" s="25">
        <f>'[2]CF PRB'!$AY$48</f>
        <v>8073</v>
      </c>
      <c r="II7" s="25">
        <f>'[2]CF PRB'!$AY$49</f>
        <v>6599</v>
      </c>
      <c r="IJ7" s="25">
        <f>'[2]CF PRB'!$AY$50</f>
        <v>5377</v>
      </c>
      <c r="IK7" s="25">
        <f>'[2]CF PRB'!$AY$51</f>
        <v>4399</v>
      </c>
      <c r="IL7" s="25">
        <f>'[2]CF PRB'!$AY$52</f>
        <v>3608</v>
      </c>
      <c r="IM7" s="25">
        <f>'[2]CF PRB'!$AY$53</f>
        <v>3112</v>
      </c>
      <c r="IN7" s="25">
        <f>'[2]CF PRB'!$AY$54</f>
        <v>4046</v>
      </c>
      <c r="IO7" s="25">
        <f>'[2]CF PRB'!$AY$55</f>
        <v>3244</v>
      </c>
      <c r="IP7" s="25">
        <f>'[2]CF PRB'!$AY$56</f>
        <v>0</v>
      </c>
      <c r="IQ7" s="25">
        <f>'[2]CF PRB'!$AY$57</f>
        <v>0</v>
      </c>
      <c r="IR7" s="25">
        <f>'[2]CF PRB'!$AY$58</f>
        <v>0</v>
      </c>
      <c r="IS7" s="25">
        <f>'[2]CF PRB'!$AY$59</f>
        <v>0</v>
      </c>
      <c r="IT7" s="25">
        <f>'[2]CF PRB'!$AY$60</f>
        <v>0</v>
      </c>
      <c r="IU7" s="25">
        <f>'[2]CF PRB'!$AY$61</f>
        <v>0</v>
      </c>
      <c r="IV7" s="25">
        <f>'[2]CF PRB'!$AY$62</f>
        <v>0</v>
      </c>
      <c r="IW7" s="25">
        <f>'[2]CF PRB'!$AY$63</f>
        <v>0</v>
      </c>
      <c r="IX7" s="25">
        <f>'[2]CF PRB'!$AY$64</f>
        <v>0</v>
      </c>
      <c r="IY7" s="25">
        <f>'[2]CF PRB'!$AY$65</f>
        <v>0</v>
      </c>
      <c r="IZ7" s="25">
        <f>'[2]CF PRB'!$AY$66</f>
        <v>0</v>
      </c>
      <c r="JA7" s="25">
        <f>'[2]CF PRB'!$AY$67</f>
        <v>0</v>
      </c>
      <c r="JB7" s="25">
        <f>'[2]CF PRB'!$AY$68</f>
        <v>0</v>
      </c>
      <c r="JC7" s="25">
        <f>'[2]CF PRB'!$AY$69</f>
        <v>0</v>
      </c>
      <c r="JD7" s="25">
        <f>'[2]CF PRB'!$AY$70</f>
        <v>0</v>
      </c>
      <c r="JE7" s="25">
        <f>'[2]CF PRB'!$AY$71</f>
        <v>0</v>
      </c>
      <c r="JF7" s="25">
        <f>'[2]CF PRB'!$AY$72</f>
        <v>0</v>
      </c>
      <c r="JG7" s="26">
        <f>SUM(HV7:JF7)</f>
        <v>225441</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'[2]CF PS'!$AY$36</f>
        <v>0</v>
      </c>
      <c r="NS7" s="25">
        <f>'[2]CF PS'!$AY$37</f>
        <v>0</v>
      </c>
      <c r="NT7" s="25">
        <f>'[2]CF PS'!$AY$38</f>
        <v>3683</v>
      </c>
      <c r="NU7" s="25">
        <f>'[2]CF PS'!$AY$39</f>
        <v>5978</v>
      </c>
      <c r="NV7" s="25">
        <f>'[2]CF PS'!$AY$40</f>
        <v>10936</v>
      </c>
      <c r="NW7" s="25">
        <f>'[2]CF PS'!$AY$41</f>
        <v>19821</v>
      </c>
      <c r="NX7" s="25">
        <f>'[2]CF PS'!$AY$42</f>
        <v>22855</v>
      </c>
      <c r="NY7" s="25">
        <f>'[2]CF PS'!$AY$43</f>
        <v>22695</v>
      </c>
      <c r="NZ7" s="25">
        <f>'[2]CF PS'!$AY$44</f>
        <v>21603</v>
      </c>
      <c r="OA7" s="25">
        <f>'[2]CF PS'!$AY$45</f>
        <v>20342</v>
      </c>
      <c r="OB7" s="25">
        <f>'[2]CF PS'!$AY$46</f>
        <v>19556</v>
      </c>
      <c r="OC7" s="25">
        <f>'[2]CF PS'!$AY$47</f>
        <v>17873</v>
      </c>
      <c r="OD7" s="25">
        <f>'[2]CF PS'!$AY$48</f>
        <v>16192</v>
      </c>
      <c r="OE7" s="25">
        <f>'[2]CF PS'!$AY$49</f>
        <v>14627</v>
      </c>
      <c r="OF7" s="25">
        <f>'[2]CF PS'!$AY$50</f>
        <v>13150</v>
      </c>
      <c r="OG7" s="25">
        <f>'[2]CF PS'!$AY$51</f>
        <v>11217</v>
      </c>
      <c r="OH7" s="25">
        <f>'[2]CF PS'!$AY$52</f>
        <v>8980</v>
      </c>
      <c r="OI7" s="25">
        <f>'[2]CF PS'!$AY$53</f>
        <v>8076</v>
      </c>
      <c r="OJ7" s="25">
        <f>'[2]CF PS'!$AY$54</f>
        <v>7231</v>
      </c>
      <c r="OK7" s="25">
        <f>'[2]CF PS'!$AY$55</f>
        <v>6434</v>
      </c>
      <c r="OL7" s="25">
        <f>'[2]CF PS'!$AY$56</f>
        <v>8277</v>
      </c>
      <c r="OM7" s="25">
        <f>'[2]CF PS'!$AY$57</f>
        <v>13691</v>
      </c>
      <c r="ON7" s="25">
        <f>'[2]CF PS'!$AY$58</f>
        <v>12204</v>
      </c>
      <c r="OO7" s="25">
        <f>'[2]CF PS'!$AY$59</f>
        <v>10912</v>
      </c>
      <c r="OP7" s="25">
        <f>'[2]CF PS'!$AY$60</f>
        <v>0</v>
      </c>
      <c r="OQ7" s="25">
        <f>'[2]CF PS'!$AY$61</f>
        <v>0</v>
      </c>
      <c r="OR7" s="25">
        <f>'[2]CF PS'!$AY$62</f>
        <v>0</v>
      </c>
      <c r="OS7" s="25">
        <f>'[2]CF PS'!$AY$63</f>
        <v>0</v>
      </c>
      <c r="OT7" s="25">
        <f>'[2]CF PS'!$AY$64</f>
        <v>0</v>
      </c>
      <c r="OU7" s="25">
        <f>'[2]CF PS'!$AY$65</f>
        <v>0</v>
      </c>
      <c r="OV7" s="25">
        <f>'[2]CF PS'!$AY$66</f>
        <v>0</v>
      </c>
      <c r="OW7" s="25">
        <f>'[2]CF PS'!$AY$67</f>
        <v>0</v>
      </c>
      <c r="OX7" s="25">
        <f>'[2]CF PS'!$AY$68</f>
        <v>0</v>
      </c>
      <c r="OY7" s="25">
        <f>'[2]CF PS'!$AY$69</f>
        <v>0</v>
      </c>
      <c r="OZ7" s="25">
        <f>'[2]CF PS'!$AY$70</f>
        <v>0</v>
      </c>
      <c r="PA7" s="25">
        <f>'[2]CF PS'!$AY$71</f>
        <v>0</v>
      </c>
      <c r="PB7" s="25">
        <f>'[2]CF PS'!$AY$72</f>
        <v>0</v>
      </c>
      <c r="PC7" s="26">
        <f>SUM(NR7:PB7)</f>
        <v>296333</v>
      </c>
    </row>
    <row r="8" spans="1:424" ht="15.6" thickBot="1" x14ac:dyDescent="0.4">
      <c r="A8" s="47" t="s">
        <v>32</v>
      </c>
      <c r="B8" s="40">
        <f>IF(AND(B6&lt;&gt;0,B7&lt;&gt;0),(B6-B7)/B7,IF(AND(B6=0,B7=0),"",IF(AND(B6="",B7=""),"",IF(AND(B6=0,B7=""),"", IF(AND(B6="",B7=0),"",1)))))</f>
        <v>-0.12649179541772188</v>
      </c>
      <c r="C8" s="40">
        <f t="shared" ref="C8" si="123">IF(AND(C6&lt;&gt;0,C7&lt;&gt;0),(C6-C7)/C7,IF(AND(C6=0,C7=0),"",IF(AND(C6="",C7=""),"",IF(AND(C6=0,C7=""),"", IF(AND(C6="",C7=0),"",1)))))</f>
        <v>6.4000616934342007E-6</v>
      </c>
      <c r="D8" s="40">
        <f t="shared" ref="D8" si="124">IF(AND(D6&lt;&gt;0,D7&lt;&gt;0),(D6-D7)/D7,IF(AND(D6=0,D7=0),"",IF(AND(D6="",D7=""),"",IF(AND(D6=0,D7=""),"", IF(AND(D6="",D7=0),"",1)))))</f>
        <v>8.6895669583271533E-6</v>
      </c>
      <c r="E8" s="40">
        <f t="shared" ref="E8" si="125">IF(AND(E6&lt;&gt;0,E7&lt;&gt;0),(E6-E7)/E7,IF(AND(E6=0,E7=0),"",IF(AND(E6="",E7=""),"",IF(AND(E6=0,E7=""),"", IF(AND(E6="",E7=0),"",1)))))</f>
        <v>2.5822031000683839E-5</v>
      </c>
      <c r="F8" s="40">
        <f t="shared" ref="F8" si="126">IF(AND(F6&lt;&gt;0,F7&lt;&gt;0),(F6-F7)/F7,IF(AND(F6=0,F7=0),"",IF(AND(F6="",F7=""),"",IF(AND(F6=0,F7=""),"", IF(AND(F6="",F7=0),"",1)))))</f>
        <v>2.1947344484512847E-5</v>
      </c>
      <c r="G8" s="40">
        <f t="shared" ref="G8" si="127">IF(AND(G6&lt;&gt;0,G7&lt;&gt;0),(G6-G7)/G7,IF(AND(G6=0,G7=0),"",IF(AND(G6="",G7=""),"",IF(AND(G6=0,G7=""),"", IF(AND(G6="",G7=0),"",1)))))</f>
        <v>1.5019699075745542E-5</v>
      </c>
      <c r="H8" s="40">
        <f t="shared" ref="H8" si="128">IF(AND(H6&lt;&gt;0,H7&lt;&gt;0),(H6-H7)/H7,IF(AND(H6=0,H7=0),"",IF(AND(H6="",H7=""),"",IF(AND(H6=0,H7=""),"", IF(AND(H6="",H7=0),"",1)))))</f>
        <v>3.1198056028541312E-5</v>
      </c>
      <c r="I8" s="40">
        <f t="shared" ref="I8" si="129">IF(AND(I6&lt;&gt;0,I7&lt;&gt;0),(I6-I7)/I7,IF(AND(I6=0,I7=0),"",IF(AND(I6="",I7=""),"",IF(AND(I6=0,I7=""),"", IF(AND(I6="",I7=0),"",1)))))</f>
        <v>2.3149457136394481E-5</v>
      </c>
      <c r="J8" s="40">
        <f t="shared" ref="J8" si="130">IF(AND(J6&lt;&gt;0,J7&lt;&gt;0),(J6-J7)/J7,IF(AND(J6=0,J7=0),"",IF(AND(J6="",J7=""),"",IF(AND(J6=0,J7=""),"", IF(AND(J6="",J7=0),"",1)))))</f>
        <v>3.9180335595776775E-5</v>
      </c>
      <c r="K8" s="40">
        <f t="shared" ref="K8" si="131">IF(AND(K6&lt;&gt;0,K7&lt;&gt;0),(K6-K7)/K7,IF(AND(K6=0,K7=0),"",IF(AND(K6="",K7=""),"",IF(AND(K6=0,K7=""),"", IF(AND(K6="",K7=0),"",1)))))</f>
        <v>1.9883281875834447E-5</v>
      </c>
      <c r="L8" s="40">
        <f t="shared" ref="L8" si="132">IF(AND(L6&lt;&gt;0,L7&lt;&gt;0),(L6-L7)/L7,IF(AND(L6=0,L7=0),"",IF(AND(L6="",L7=""),"",IF(AND(L6=0,L7=""),"", IF(AND(L6="",L7=0),"",1)))))</f>
        <v>3.0266986170278446E-5</v>
      </c>
      <c r="M8" s="40">
        <f t="shared" ref="M8" si="133">IF(AND(M6&lt;&gt;0,M7&lt;&gt;0),(M6-M7)/M7,IF(AND(M6=0,M7=0),"",IF(AND(M6="",M7=""),"",IF(AND(M6=0,M7=""),"", IF(AND(M6="",M7=0),"",1)))))</f>
        <v>6.3978920446782341E-5</v>
      </c>
      <c r="N8" s="40">
        <f t="shared" ref="N8" si="134">IF(AND(N6&lt;&gt;0,N7&lt;&gt;0),(N6-N7)/N7,IF(AND(N6=0,N7=0),"",IF(AND(N6="",N7=""),"",IF(AND(N6=0,N7=""),"", IF(AND(N6="",N7=0),"",1)))))</f>
        <v>3.010810059550731E-5</v>
      </c>
      <c r="O8" s="40">
        <f t="shared" ref="O8" si="135">IF(AND(O6&lt;&gt;0,O7&lt;&gt;0),(O6-O7)/O7,IF(AND(O6=0,O7=0),"",IF(AND(O6="",O7=""),"",IF(AND(O6=0,O7=""),"", IF(AND(O6="",O7=0),"",1)))))</f>
        <v>7.4735692025096998E-5</v>
      </c>
      <c r="P8" s="40">
        <f t="shared" ref="P8" si="136">IF(AND(P6&lt;&gt;0,P7&lt;&gt;0),(P6-P7)/P7,IF(AND(P6=0,P7=0),"",IF(AND(P6="",P7=""),"",IF(AND(P6=0,P7=""),"", IF(AND(P6="",P7=0),"",1)))))</f>
        <v>1.8970985384894699E-5</v>
      </c>
      <c r="Q8" s="40">
        <f t="shared" ref="Q8" si="137">IF(AND(Q6&lt;&gt;0,Q7&lt;&gt;0),(Q6-Q7)/Q7,IF(AND(Q6=0,Q7=0),"",IF(AND(Q6="",Q7=""),"",IF(AND(Q6=0,Q7=""),"", IF(AND(Q6="",Q7=0),"",1)))))</f>
        <v>1.6230686455015923E-5</v>
      </c>
      <c r="R8" s="40">
        <f t="shared" ref="R8" si="138">IF(AND(R6&lt;&gt;0,R7&lt;&gt;0),(R6-R7)/R7,IF(AND(R6=0,R7=0),"",IF(AND(R6="",R7=""),"",IF(AND(R6=0,R7=""),"", IF(AND(R6="",R7=0),"",1)))))</f>
        <v>1.2809112466124662E-5</v>
      </c>
      <c r="S8" s="40">
        <f t="shared" ref="S8" si="139">IF(AND(S6&lt;&gt;0,S7&lt;&gt;0),(S6-S7)/S7,IF(AND(S6=0,S7=0),"",IF(AND(S6="",S7=""),"",IF(AND(S6=0,S7=""),"", IF(AND(S6="",S7=0),"",1)))))</f>
        <v>2.2433762581409119E-5</v>
      </c>
      <c r="T8" s="40">
        <f t="shared" ref="T8" si="140">IF(AND(T6&lt;&gt;0,T7&lt;&gt;0),(T6-T7)/T7,IF(AND(T6=0,T7=0),"",IF(AND(T6="",T7=""),"",IF(AND(T6=0,T7=""),"", IF(AND(T6="",T7=0),"",1)))))</f>
        <v>3.6912340346213691E-5</v>
      </c>
      <c r="U8" s="40">
        <f t="shared" ref="U8" si="141">IF(AND(U6&lt;&gt;0,U7&lt;&gt;0),(U6-U7)/U7,IF(AND(U6=0,U7=0),"",IF(AND(U6="",U7=""),"",IF(AND(U6=0,U7=""),"", IF(AND(U6="",U7=0),"",1)))))</f>
        <v>1.1618844496255475E-4</v>
      </c>
      <c r="V8" s="40">
        <f t="shared" ref="V8" si="142">IF(AND(V6&lt;&gt;0,V7&lt;&gt;0),(V6-V7)/V7,IF(AND(V6=0,V7=0),"",IF(AND(V6="",V7=""),"",IF(AND(V6=0,V7=""),"", IF(AND(V6="",V7=0),"",1)))))</f>
        <v>2.0700016261095808E-5</v>
      </c>
      <c r="W8" s="40">
        <f t="shared" ref="W8" si="143">IF(AND(W6&lt;&gt;0,W7&lt;&gt;0),(W6-W7)/W7,IF(AND(W6=0,W7=0),"",IF(AND(W6="",W7=""),"",IF(AND(W6=0,W7=""),"", IF(AND(W6="",W7=0),"",1)))))</f>
        <v>1</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-1.5786524885389879E-2</v>
      </c>
      <c r="AN8" s="39">
        <f t="shared" ref="AN8" si="146">IF(AND(AN6&lt;&gt;0,AN7&lt;&gt;0),(AN6-AN7)/AN7,IF(AND(AN6=0,AN7=0),"",IF(AND(AN6="",AN7=""),"",IF(AND(AN6=0,AN7=""),"", IF(AND(AN6="",AN7=0),"",1)))))</f>
        <v>8.7102477346654272E-2</v>
      </c>
      <c r="AO8" s="40">
        <f t="shared" ref="AO8" si="147">IF(AND(AO6&lt;&gt;0,AO7&lt;&gt;0),(AO6-AO7)/AO7,IF(AND(AO6=0,AO7=0),"",IF(AND(AO6="",AO7=""),"",IF(AND(AO6=0,AO7=""),"", IF(AND(AO6="",AO7=0),"",1)))))</f>
        <v>5.9206590143591562E-5</v>
      </c>
      <c r="AP8" s="40">
        <f t="shared" ref="AP8" si="148">IF(AND(AP6&lt;&gt;0,AP7&lt;&gt;0),(AP6-AP7)/AP7,IF(AND(AP6=0,AP7=0),"",IF(AND(AP6="",AP7=""),"",IF(AND(AP6=0,AP7=""),"", IF(AND(AP6="",AP7=0),"",1)))))</f>
        <v>3.2552083333333333E-5</v>
      </c>
      <c r="AQ8" s="40">
        <f t="shared" ref="AQ8" si="149">IF(AND(AQ6&lt;&gt;0,AQ7&lt;&gt;0),(AQ6-AQ7)/AQ7,IF(AND(AQ6=0,AQ7=0),"",IF(AND(AQ6="",AQ7=""),"",IF(AND(AQ6=0,AQ7=""),"", IF(AND(AQ6="",AQ7=0),"",1)))))</f>
        <v>1.6989943157931614E-4</v>
      </c>
      <c r="AR8" s="40">
        <f t="shared" ref="AR8" si="150">IF(AND(AR6&lt;&gt;0,AR7&lt;&gt;0),(AR6-AR7)/AR7,IF(AND(AR6=0,AR7=0),"",IF(AND(AR6="",AR7=""),"",IF(AND(AR6=0,AR7=""),"", IF(AND(AR6="",AR7=0),"",1)))))</f>
        <v>3.7625739791865266E-5</v>
      </c>
      <c r="AS8" s="40">
        <f t="shared" ref="AS8" si="151">IF(AND(AS6&lt;&gt;0,AS7&lt;&gt;0),(AS6-AS7)/AS7,IF(AND(AS6=0,AS7=0),"",IF(AND(AS6="",AS7=""),"",IF(AND(AS6=0,AS7=""),"", IF(AND(AS6="",AS7=0),"",1)))))</f>
        <v>2.3715270013416817E-4</v>
      </c>
      <c r="AT8" s="40">
        <f t="shared" ref="AT8" si="152">IF(AND(AT6&lt;&gt;0,AT7&lt;&gt;0),(AT6-AT7)/AT7,IF(AND(AT6=0,AT7=0),"",IF(AND(AT6="",AT7=""),"",IF(AND(AT6=0,AT7=""),"", IF(AND(AT6="",AT7=0),"",1)))))</f>
        <v>3.3024423115679162E-4</v>
      </c>
      <c r="AU8" s="40">
        <f t="shared" ref="AU8" si="153">IF(AND(AU6&lt;&gt;0,AU7&lt;&gt;0),(AU6-AU7)/AU7,IF(AND(AU6=0,AU7=0),"",IF(AND(AU6="",AU7=""),"",IF(AND(AU6=0,AU7=""),"", IF(AND(AU6="",AU7=0),"",1)))))</f>
        <v>3.4065108867328521E-4</v>
      </c>
      <c r="AV8" s="40">
        <f t="shared" ref="AV8" si="154">IF(AND(AV6&lt;&gt;0,AV7&lt;&gt;0),(AV6-AV7)/AV7,IF(AND(AV6=0,AV7=0),"",IF(AND(AV6="",AV7=""),"",IF(AND(AV6=0,AV7=""),"", IF(AND(AV6="",AV7=0),"",1)))))</f>
        <v>3.2519285264483627E-4</v>
      </c>
      <c r="AW8" s="40">
        <f t="shared" ref="AW8" si="155">IF(AND(AW6&lt;&gt;0,AW7&lt;&gt;0),(AW6-AW7)/AW7,IF(AND(AW6=0,AW7=0),"",IF(AND(AW6="",AW7=""),"",IF(AND(AW6=0,AW7=""),"", IF(AND(AW6="",AW7=0),"",1)))))</f>
        <v>7.5781905411073826E-6</v>
      </c>
      <c r="AX8" s="40">
        <f t="shared" ref="AX8" si="156">IF(AND(AX6&lt;&gt;0,AX7&lt;&gt;0),(AX6-AX7)/AX7,IF(AND(AX6=0,AX7=0),"",IF(AND(AX6="",AX7=""),"",IF(AND(AX6=0,AX7=""),"", IF(AND(AX6="",AX7=0),"",1)))))</f>
        <v>1.6998576226635515E-4</v>
      </c>
      <c r="AY8" s="40">
        <f t="shared" ref="AY8" si="157">IF(AND(AY6&lt;&gt;0,AY7&lt;&gt;0),(AY6-AY7)/AY7,IF(AND(AY6=0,AY7=0),"",IF(AND(AY6="",AY7=""),"",IF(AND(AY6=0,AY7=""),"", IF(AND(AY6="",AY7=0),"",1)))))</f>
        <v>5.1997906595303866E-4</v>
      </c>
      <c r="AZ8" s="40">
        <f t="shared" ref="AZ8" si="158">IF(AND(AZ6&lt;&gt;0,AZ7&lt;&gt;0),(AZ6-AZ7)/AZ7,IF(AND(AZ6=0,AZ7=0),"",IF(AND(AZ6="",AZ7=""),"",IF(AND(AZ6=0,AZ7=""),"", IF(AND(AZ6="",AZ7=0),"",1)))))</f>
        <v>2.6957970539122139E-4</v>
      </c>
      <c r="BA8" s="40">
        <f t="shared" ref="BA8" si="159">IF(AND(BA6&lt;&gt;0,BA7&lt;&gt;0),(BA6-BA7)/BA7,IF(AND(BA6=0,BA7=0),"",IF(AND(BA6="",BA7=""),"",IF(AND(BA6=0,BA7=""),"", IF(AND(BA6="",BA7=0),"",1)))))</f>
        <v>5.819368763130252E-4</v>
      </c>
      <c r="BB8" s="40">
        <f t="shared" ref="BB8" si="160">IF(AND(BB6&lt;&gt;0,BB7&lt;&gt;0),(BB6-BB7)/BB7,IF(AND(BB6=0,BB7=0),"",IF(AND(BB6="",BB7=""),"",IF(AND(BB6=0,BB7=""),"", IF(AND(BB6="",BB7=0),"",1)))))</f>
        <v>9.9988947993970317E-5</v>
      </c>
      <c r="BC8" s="40">
        <f t="shared" ref="BC8" si="161">IF(AND(BC6&lt;&gt;0,BC7&lt;&gt;0),(BC6-BC7)/BC7,IF(AND(BC6=0,BC7=0),"",IF(AND(BC6="",BC7=""),"",IF(AND(BC6=0,BC7=""),"", IF(AND(BC6="",BC7=0),"",1)))))</f>
        <v>7.3472626355229587E-4</v>
      </c>
      <c r="BD8" s="40">
        <f t="shared" ref="BD8" si="162">IF(AND(BD6&lt;&gt;0,BD7&lt;&gt;0),(BD6-BD7)/BD7,IF(AND(BD6=0,BD7=0),"",IF(AND(BD6="",BD7=""),"",IF(AND(BD6=0,BD7=""),"", IF(AND(BD6="",BD7=0),"",1)))))</f>
        <v>6.8683346602043673E-4</v>
      </c>
      <c r="BE8" s="40">
        <f t="shared" ref="BE8" si="163">IF(AND(BE6&lt;&gt;0,BE7&lt;&gt;0),(BE6-BE7)/BE7,IF(AND(BE6=0,BE7=0),"",IF(AND(BE6="",BE7=""),"",IF(AND(BE6=0,BE7=""),"", IF(AND(BE6="",BE7=0),"",1)))))</f>
        <v>7.8583697502294979E-4</v>
      </c>
      <c r="BF8" s="40">
        <f t="shared" ref="BF8" si="164">IF(AND(BF6&lt;&gt;0,BF7&lt;&gt;0),(BF6-BF7)/BF7,IF(AND(BF6=0,BF7=0),"",IF(AND(BF6="",BF7=""),"",IF(AND(BF6=0,BF7=""),"", IF(AND(BF6="",BF7=0),"",1)))))</f>
        <v>1.6966954173657718E-4</v>
      </c>
      <c r="BG8" s="40">
        <f t="shared" ref="BG8" si="165">IF(AND(BG6&lt;&gt;0,BG7&lt;&gt;0),(BG6-BG7)/BG7,IF(AND(BG6=0,BG7=0),"",IF(AND(BG6="",BG7=""),"",IF(AND(BG6=0,BG7=""),"", IF(AND(BG6="",BG7=0),"",1)))))</f>
        <v>4.5094209558823532E-4</v>
      </c>
      <c r="BH8" s="40">
        <f t="shared" ref="BH8" si="166">IF(AND(BH6&lt;&gt;0,BH7&lt;&gt;0),(BH6-BH7)/BH7,IF(AND(BH6=0,BH7=0),"",IF(AND(BH6="",BH7=""),"",IF(AND(BH6=0,BH7=""),"", IF(AND(BH6="",BH7=0),"",1)))))</f>
        <v>1.1003009759344856E-3</v>
      </c>
      <c r="BI8" s="40">
        <f t="shared" ref="BI8" si="167">IF(AND(BI6&lt;&gt;0,BI7&lt;&gt;0),(BI6-BI7)/BI7,IF(AND(BI6=0,BI7=0),"",IF(AND(BI6="",BI7=""),"",IF(AND(BI6=0,BI7=""),"", IF(AND(BI6="",BI7=0),"",1)))))</f>
        <v>1</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f t="shared" ref="BY8" si="169">IF(AND(BY6&lt;&gt;0,BY7&lt;&gt;0),(BY6-BY7)/BY7,IF(AND(BY6=0,BY7=0),"",IF(AND(BY6="",BY7=""),"",IF(AND(BY6=0,BY7=""),"", IF(AND(BY6="",BY7=0),"",1)))))</f>
        <v>1.2852480250576736E-2</v>
      </c>
      <c r="BZ8" s="39" t="str">
        <f t="shared" ref="BZ8" si="170">IF(AND(BZ6&lt;&gt;0,BZ7&lt;&gt;0),(BZ6-BZ7)/BZ7,IF(AND(BZ6=0,BZ7=0),"",IF(AND(BZ6="",BZ7=""),"",IF(AND(BZ6=0,BZ7=""),"", IF(AND(BZ6="",BZ7=0),"",1)))))</f>
        <v/>
      </c>
      <c r="CA8" s="40" t="str">
        <f t="shared" ref="CA8" si="171">IF(AND(CA6&lt;&gt;0,CA7&lt;&gt;0),(CA6-CA7)/CA7,IF(AND(CA6=0,CA7=0),"",IF(AND(CA6="",CA7=""),"",IF(AND(CA6=0,CA7=""),"", IF(AND(CA6="",CA7=0),"",1)))))</f>
        <v/>
      </c>
      <c r="CB8" s="40">
        <f t="shared" ref="CB8" si="172">IF(AND(CB6&lt;&gt;0,CB7&lt;&gt;0),(CB6-CB7)/CB7,IF(AND(CB6=0,CB7=0),"",IF(AND(CB6="",CB7=""),"",IF(AND(CB6=0,CB7=""),"", IF(AND(CB6="",CB7=0),"",1)))))</f>
        <v>7.8641270938988782E-5</v>
      </c>
      <c r="CC8" s="40">
        <f t="shared" ref="CC8" si="173">IF(AND(CC6&lt;&gt;0,CC7&lt;&gt;0),(CC6-CC7)/CC7,IF(AND(CC6=0,CC7=0),"",IF(AND(CC6="",CC7=""),"",IF(AND(CC6=0,CC7=""),"", IF(AND(CC6="",CC7=0),"",1)))))</f>
        <v>1.9401314590358151E-5</v>
      </c>
      <c r="CD8" s="40">
        <f t="shared" ref="CD8" si="174">IF(AND(CD6&lt;&gt;0,CD7&lt;&gt;0),(CD6-CD7)/CD7,IF(AND(CD6=0,CD7=0),"",IF(AND(CD6="",CD7=""),"",IF(AND(CD6=0,CD7=""),"", IF(AND(CD6="",CD7=0),"",1)))))</f>
        <v>1.9590429422212936E-6</v>
      </c>
      <c r="CE8" s="40">
        <f t="shared" ref="CE8" si="175">IF(AND(CE6&lt;&gt;0,CE7&lt;&gt;0),(CE6-CE7)/CE7,IF(AND(CE6=0,CE7=0),"",IF(AND(CE6="",CE7=""),"",IF(AND(CE6=0,CE7=""),"", IF(AND(CE6="",CE7=0),"",1)))))</f>
        <v>1.2513534191169891E-5</v>
      </c>
      <c r="CF8" s="40">
        <f t="shared" ref="CF8" si="176">IF(AND(CF6&lt;&gt;0,CF7&lt;&gt;0),(CF6-CF7)/CF7,IF(AND(CF6=0,CF7=0),"",IF(AND(CF6="",CF7=""),"",IF(AND(CF6=0,CF7=""),"", IF(AND(CF6="",CF7=0),"",1)))))</f>
        <v>2.9131417651308584E-6</v>
      </c>
      <c r="CG8" s="40">
        <f t="shared" ref="CG8" si="177">IF(AND(CG6&lt;&gt;0,CG7&lt;&gt;0),(CG6-CG7)/CG7,IF(AND(CG6=0,CG7=0),"",IF(AND(CG6="",CG7=""),"",IF(AND(CG6=0,CG7=""),"", IF(AND(CG6="",CG7=0),"",1)))))</f>
        <v>1.4277322716444212E-5</v>
      </c>
      <c r="CH8" s="40">
        <f t="shared" ref="CH8" si="178">IF(AND(CH6&lt;&gt;0,CH7&lt;&gt;0),(CH6-CH7)/CH7,IF(AND(CH6=0,CH7=0),"",IF(AND(CH6="",CH7=""),"",IF(AND(CH6=0,CH7=""),"", IF(AND(CH6="",CH7=0),"",1)))))</f>
        <v>1.6284703743125777E-5</v>
      </c>
      <c r="CI8" s="40">
        <f t="shared" ref="CI8" si="179">IF(AND(CI6&lt;&gt;0,CI7&lt;&gt;0),(CI6-CI7)/CI7,IF(AND(CI6=0,CI7=0),"",IF(AND(CI6="",CI7=""),"",IF(AND(CI6=0,CI7=""),"", IF(AND(CI6="",CI7=0),"",1)))))</f>
        <v>4.6702631186642816E-5</v>
      </c>
      <c r="CJ8" s="40">
        <f t="shared" ref="CJ8" si="180">IF(AND(CJ6&lt;&gt;0,CJ7&lt;&gt;0),(CJ6-CJ7)/CJ7,IF(AND(CJ6=0,CJ7=0),"",IF(AND(CJ6="",CJ7=""),"",IF(AND(CJ6=0,CJ7=""),"", IF(AND(CJ6="",CJ7=0),"",1)))))</f>
        <v>4.3368358445678032E-6</v>
      </c>
      <c r="CK8" s="40">
        <f t="shared" ref="CK8" si="181">IF(AND(CK6&lt;&gt;0,CK7&lt;&gt;0),(CK6-CK7)/CK7,IF(AND(CK6=0,CK7=0),"",IF(AND(CK6="",CK7=""),"",IF(AND(CK6=0,CK7=""),"", IF(AND(CK6="",CK7=0),"",1)))))</f>
        <v>6.9615932371694367E-5</v>
      </c>
      <c r="CL8" s="40">
        <f t="shared" ref="CL8" si="182">IF(AND(CL6&lt;&gt;0,CL7&lt;&gt;0),(CL6-CL7)/CL7,IF(AND(CL6=0,CL7=0),"",IF(AND(CL6="",CL7=""),"",IF(AND(CL6=0,CL7=""),"", IF(AND(CL6="",CL7=0),"",1)))))</f>
        <v>2.4524020745189028E-5</v>
      </c>
      <c r="CM8" s="40">
        <f t="shared" ref="CM8" si="183">IF(AND(CM6&lt;&gt;0,CM7&lt;&gt;0),(CM6-CM7)/CM7,IF(AND(CM6=0,CM7=0),"",IF(AND(CM6="",CM7=""),"",IF(AND(CM6=0,CM7=""),"", IF(AND(CM6="",CM7=0),"",1)))))</f>
        <v>1.5809604730331078E-4</v>
      </c>
      <c r="CN8" s="40">
        <f t="shared" ref="CN8" si="184">IF(AND(CN6&lt;&gt;0,CN7&lt;&gt;0),(CN6-CN7)/CN7,IF(AND(CN6=0,CN7=0),"",IF(AND(CN6="",CN7=""),"",IF(AND(CN6=0,CN7=""),"", IF(AND(CN6="",CN7=0),"",1)))))</f>
        <v>1.8218281178424188E-4</v>
      </c>
      <c r="CO8" s="40">
        <f t="shared" ref="CO8" si="185">IF(AND(CO6&lt;&gt;0,CO7&lt;&gt;0),(CO6-CO7)/CO7,IF(AND(CO6=0,CO7=0),"",IF(AND(CO6="",CO7=""),"",IF(AND(CO6=0,CO7=""),"", IF(AND(CO6="",CO7=0),"",1)))))</f>
        <v>8.1140854779411761E-5</v>
      </c>
      <c r="CP8" s="40">
        <f t="shared" ref="CP8" si="186">IF(AND(CP6&lt;&gt;0,CP7&lt;&gt;0),(CP6-CP7)/CP7,IF(AND(CP6=0,CP7=0),"",IF(AND(CP6="",CP7=""),"",IF(AND(CP6=0,CP7=""),"", IF(AND(CP6="",CP7=0),"",1)))))</f>
        <v>8.2627997615931182E-5</v>
      </c>
      <c r="CQ8" s="40">
        <f t="shared" ref="CQ8" si="187">IF(AND(CQ6&lt;&gt;0,CQ7&lt;&gt;0),(CQ6-CQ7)/CQ7,IF(AND(CQ6=0,CQ7=0),"",IF(AND(CQ6="",CQ7=""),"",IF(AND(CQ6=0,CQ7=""),"", IF(AND(CQ6="",CQ7=0),"",1)))))</f>
        <v>-0.2199891967142257</v>
      </c>
      <c r="CR8" s="40" t="str">
        <f t="shared" ref="CR8" si="188">IF(AND(CR6&lt;&gt;0,CR7&lt;&gt;0),(CR6-CR7)/CR7,IF(AND(CR6=0,CR7=0),"",IF(AND(CR6="",CR7=""),"",IF(AND(CR6=0,CR7=""),"", IF(AND(CR6="",CR7=0),"",1)))))</f>
        <v/>
      </c>
      <c r="CS8" s="40" t="str">
        <f t="shared" ref="CS8" si="189">IF(AND(CS6&lt;&gt;0,CS7&lt;&gt;0),(CS6-CS7)/CS7,IF(AND(CS6=0,CS7=0),"",IF(AND(CS6="",CS7=""),"",IF(AND(CS6=0,CS7=""),"", IF(AND(CS6="",CS7=0),"",1)))))</f>
        <v/>
      </c>
      <c r="CT8" s="40" t="str">
        <f t="shared" ref="CT8" si="190">IF(AND(CT6&lt;&gt;0,CT7&lt;&gt;0),(CT6-CT7)/CT7,IF(AND(CT6=0,CT7=0),"",IF(AND(CT6="",CT7=""),"",IF(AND(CT6=0,CT7=""),"", IF(AND(CT6="",CT7=0),"",1)))))</f>
        <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f t="shared" ref="DK8:HU8" si="193">IF(AND(DK6&lt;&gt;0,DK7&lt;&gt;0),(DK6-DK7)/DK7,IF(AND(DK6=0,DK7=0),"",IF(AND(DK6="",DK7=""),"",IF(AND(DK6=0,DK7=""),"", IF(AND(DK6="",DK7=0),"",1)))))</f>
        <v>-1.4320065100561527E-3</v>
      </c>
      <c r="DL8" s="72" t="str">
        <f t="shared" si="193"/>
        <v/>
      </c>
      <c r="DM8" s="73" t="str">
        <f t="shared" si="193"/>
        <v/>
      </c>
      <c r="DN8" s="73" t="str">
        <f t="shared" si="193"/>
        <v/>
      </c>
      <c r="DO8" s="73" t="str">
        <f t="shared" si="193"/>
        <v/>
      </c>
      <c r="DP8" s="73" t="str">
        <f t="shared" si="193"/>
        <v/>
      </c>
      <c r="DQ8" s="73" t="str">
        <f t="shared" si="193"/>
        <v/>
      </c>
      <c r="DR8" s="73" t="str">
        <f t="shared" si="193"/>
        <v/>
      </c>
      <c r="DS8" s="73" t="str">
        <f t="shared" si="193"/>
        <v/>
      </c>
      <c r="DT8" s="73" t="str">
        <f t="shared" si="193"/>
        <v/>
      </c>
      <c r="DU8" s="73" t="str">
        <f t="shared" si="193"/>
        <v/>
      </c>
      <c r="DV8" s="73" t="str">
        <f t="shared" si="193"/>
        <v/>
      </c>
      <c r="DW8" s="73" t="str">
        <f t="shared" si="193"/>
        <v/>
      </c>
      <c r="DX8" s="73" t="str">
        <f t="shared" si="193"/>
        <v/>
      </c>
      <c r="DY8" s="73" t="str">
        <f t="shared" si="193"/>
        <v/>
      </c>
      <c r="DZ8" s="73" t="str">
        <f t="shared" si="193"/>
        <v/>
      </c>
      <c r="EA8" s="73" t="str">
        <f t="shared" si="193"/>
        <v/>
      </c>
      <c r="EB8" s="73" t="str">
        <f t="shared" si="193"/>
        <v/>
      </c>
      <c r="EC8" s="73" t="str">
        <f t="shared" si="193"/>
        <v/>
      </c>
      <c r="ED8" s="73" t="str">
        <f t="shared" si="193"/>
        <v/>
      </c>
      <c r="EE8" s="73" t="str">
        <f t="shared" si="193"/>
        <v/>
      </c>
      <c r="EF8" s="73" t="str">
        <f t="shared" ref="EF8:EY8" si="194">IF(AND(EF6&lt;&gt;0,EF7&lt;&gt;0),(EF6-EF7)/EF7,IF(AND(EF6=0,EF7=0),"",IF(AND(EF6="",EF7=""),"",IF(AND(EF6=0,EF7=""),"", IF(AND(EF6="",EF7=0),"",1)))))</f>
        <v/>
      </c>
      <c r="EG8" s="73" t="str">
        <f t="shared" si="194"/>
        <v/>
      </c>
      <c r="EH8" s="73" t="str">
        <f t="shared" si="194"/>
        <v/>
      </c>
      <c r="EI8" s="73" t="str">
        <f t="shared" ref="EI8" si="195">IF(AND(EI6&lt;&gt;0,EI7&lt;&gt;0),(EI6-EI7)/EI7,IF(AND(EI6=0,EI7=0),"",IF(AND(EI6="",EI7=""),"",IF(AND(EI6=0,EI7=""),"", IF(AND(EI6="",EI7=0),"",1)))))</f>
        <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t="str">
        <f t="shared" si="194"/>
        <v/>
      </c>
      <c r="EX8" s="72" t="str">
        <f t="shared" si="194"/>
        <v/>
      </c>
      <c r="EY8" s="73" t="str">
        <f t="shared" si="194"/>
        <v/>
      </c>
      <c r="EZ8" s="73" t="str">
        <f t="shared" ref="EZ8:GI8" si="209">IF(AND(EZ6&lt;&gt;0,EZ7&lt;&gt;0),(EZ6-EZ7)/EZ7,IF(AND(EZ6=0,EZ7=0),"",IF(AND(EZ6="",EZ7=""),"",IF(AND(EZ6=0,EZ7=""),"", IF(AND(EZ6="",EZ7=0),"",1)))))</f>
        <v/>
      </c>
      <c r="FA8" s="73" t="str">
        <f t="shared" si="209"/>
        <v/>
      </c>
      <c r="FB8" s="73" t="str">
        <f t="shared" si="209"/>
        <v/>
      </c>
      <c r="FC8" s="73" t="str">
        <f t="shared" si="209"/>
        <v/>
      </c>
      <c r="FD8" s="73" t="str">
        <f t="shared" si="209"/>
        <v/>
      </c>
      <c r="FE8" s="73" t="str">
        <f t="shared" si="209"/>
        <v/>
      </c>
      <c r="FF8" s="73" t="str">
        <f t="shared" si="209"/>
        <v/>
      </c>
      <c r="FG8" s="73" t="str">
        <f t="shared" si="209"/>
        <v/>
      </c>
      <c r="FH8" s="73" t="str">
        <f t="shared" si="209"/>
        <v/>
      </c>
      <c r="FI8" s="73" t="str">
        <f t="shared" si="209"/>
        <v/>
      </c>
      <c r="FJ8" s="73" t="str">
        <f t="shared" si="209"/>
        <v/>
      </c>
      <c r="FK8" s="73" t="str">
        <f t="shared" si="209"/>
        <v/>
      </c>
      <c r="FL8" s="73" t="str">
        <f t="shared" si="209"/>
        <v/>
      </c>
      <c r="FM8" s="73" t="str">
        <f t="shared" si="209"/>
        <v/>
      </c>
      <c r="FN8" s="73" t="str">
        <f t="shared" si="209"/>
        <v/>
      </c>
      <c r="FO8" s="73" t="str">
        <f t="shared" si="209"/>
        <v/>
      </c>
      <c r="FP8" s="73" t="str">
        <f t="shared" si="209"/>
        <v/>
      </c>
      <c r="FQ8" s="73" t="str">
        <f t="shared" si="209"/>
        <v/>
      </c>
      <c r="FR8" s="73" t="str">
        <f t="shared" si="209"/>
        <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t="str">
        <f t="shared" si="209"/>
        <v/>
      </c>
      <c r="GJ8" s="72" t="str">
        <f t="shared" si="193"/>
        <v/>
      </c>
      <c r="GK8" s="73" t="str">
        <f t="shared" si="193"/>
        <v/>
      </c>
      <c r="GL8" s="73" t="str">
        <f t="shared" si="193"/>
        <v/>
      </c>
      <c r="GM8" s="73" t="str">
        <f t="shared" si="193"/>
        <v/>
      </c>
      <c r="GN8" s="73" t="str">
        <f t="shared" si="193"/>
        <v/>
      </c>
      <c r="GO8" s="73" t="str">
        <f t="shared" si="193"/>
        <v/>
      </c>
      <c r="GP8" s="73" t="str">
        <f t="shared" si="193"/>
        <v/>
      </c>
      <c r="GQ8" s="73" t="str">
        <f t="shared" si="193"/>
        <v/>
      </c>
      <c r="GR8" s="73" t="str">
        <f t="shared" si="193"/>
        <v/>
      </c>
      <c r="GS8" s="73" t="str">
        <f t="shared" si="193"/>
        <v/>
      </c>
      <c r="GT8" s="73" t="str">
        <f t="shared" si="193"/>
        <v/>
      </c>
      <c r="GU8" s="73" t="str">
        <f t="shared" si="193"/>
        <v/>
      </c>
      <c r="GV8" s="73" t="str">
        <f t="shared" si="193"/>
        <v/>
      </c>
      <c r="GW8" s="73" t="str">
        <f t="shared" si="193"/>
        <v/>
      </c>
      <c r="GX8" s="73" t="str">
        <f t="shared" si="193"/>
        <v/>
      </c>
      <c r="GY8" s="73" t="str">
        <f t="shared" si="193"/>
        <v/>
      </c>
      <c r="GZ8" s="73" t="str">
        <f t="shared" si="193"/>
        <v/>
      </c>
      <c r="HA8" s="73" t="str">
        <f t="shared" si="193"/>
        <v/>
      </c>
      <c r="HB8" s="73" t="str">
        <f t="shared" si="193"/>
        <v/>
      </c>
      <c r="HC8" s="73" t="str">
        <f t="shared" si="193"/>
        <v/>
      </c>
      <c r="HD8" s="73" t="str">
        <f t="shared" si="193"/>
        <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t="str">
        <f t="shared" si="193"/>
        <v/>
      </c>
      <c r="HV8" s="39" t="str">
        <f t="shared" ref="HV8" si="212">IF(AND(HV6&lt;&gt;0,HV7&lt;&gt;0),(HV6-HV7)/HV7,IF(AND(HV6=0,HV7=0),"",IF(AND(HV6="",HV7=""),"",IF(AND(HV6=0,HV7=""),"", IF(AND(HV6="",HV7=0),"",1)))))</f>
        <v/>
      </c>
      <c r="HW8" s="40" t="str">
        <f t="shared" ref="HW8" si="213">IF(AND(HW6&lt;&gt;0,HW7&lt;&gt;0),(HW6-HW7)/HW7,IF(AND(HW6=0,HW7=0),"",IF(AND(HW6="",HW7=""),"",IF(AND(HW6=0,HW7=""),"", IF(AND(HW6="",HW7=0),"",1)))))</f>
        <v/>
      </c>
      <c r="HX8" s="40">
        <f t="shared" ref="HX8" si="214">IF(AND(HX6&lt;&gt;0,HX7&lt;&gt;0),(HX6-HX7)/HX7,IF(AND(HX6=0,HX7=0),"",IF(AND(HX6="",HX7=""),"",IF(AND(HX6=0,HX7=""),"", IF(AND(HX6="",HX7=0),"",1)))))</f>
        <v>8.8521687813514314E-4</v>
      </c>
      <c r="HY8" s="40">
        <f t="shared" ref="HY8" si="215">IF(AND(HY6&lt;&gt;0,HY7&lt;&gt;0),(HY6-HY7)/HY7,IF(AND(HY6=0,HY7=0),"",IF(AND(HY6="",HY7=""),"",IF(AND(HY6=0,HY7=""),"", IF(AND(HY6="",HY7=0),"",1)))))</f>
        <v>8.0463469584808503E-5</v>
      </c>
      <c r="HZ8" s="40">
        <f t="shared" ref="HZ8" si="216">IF(AND(HZ6&lt;&gt;0,HZ7&lt;&gt;0),(HZ6-HZ7)/HZ7,IF(AND(HZ6=0,HZ7=0),"",IF(AND(HZ6="",HZ7=""),"",IF(AND(HZ6=0,HZ7=""),"", IF(AND(HZ6="",HZ7=0),"",1)))))</f>
        <v>4.1848008034817545E-5</v>
      </c>
      <c r="IA8" s="40">
        <f t="shared" ref="IA8" si="217">IF(AND(IA6&lt;&gt;0,IA7&lt;&gt;0),(IA6-IA7)/IA7,IF(AND(IA6=0,IA7=0),"",IF(AND(IA6="",IA7=""),"",IF(AND(IA6=0,IA7=""),"", IF(AND(IA6="",IA7=0),"",1)))))</f>
        <v>3.427357164890153E-5</v>
      </c>
      <c r="IB8" s="40">
        <f t="shared" ref="IB8" si="218">IF(AND(IB6&lt;&gt;0,IB7&lt;&gt;0),(IB6-IB7)/IB7,IF(AND(IB6=0,IB7=0),"",IF(AND(IB6="",IB7=""),"",IF(AND(IB6=0,IB7=""),"", IF(AND(IB6="",IB7=0),"",1)))))</f>
        <v>0</v>
      </c>
      <c r="IC8" s="40">
        <f t="shared" ref="IC8" si="219">IF(AND(IC6&lt;&gt;0,IC7&lt;&gt;0),(IC6-IC7)/IC7,IF(AND(IC6=0,IC7=0),"",IF(AND(IC6="",IC7=""),"",IF(AND(IC6=0,IC7=""),"", IF(AND(IC6="",IC7=0),"",1)))))</f>
        <v>3.7419547971860503E-5</v>
      </c>
      <c r="ID8" s="40">
        <f t="shared" ref="ID8" si="220">IF(AND(ID6&lt;&gt;0,ID7&lt;&gt;0),(ID6-ID7)/ID7,IF(AND(ID6=0,ID7=0),"",IF(AND(ID6="",ID7=""),"",IF(AND(ID6=0,ID7=""),"", IF(AND(ID6="",ID7=0),"",1)))))</f>
        <v>9.079234845667534E-8</v>
      </c>
      <c r="IE8" s="40">
        <f t="shared" ref="IE8" si="221">IF(AND(IE6&lt;&gt;0,IE7&lt;&gt;0),(IE6-IE7)/IE7,IF(AND(IE6=0,IE7=0),"",IF(AND(IE6="",IE7=""),"",IF(AND(IE6=0,IE7=""),"", IF(AND(IE6="",IE7=0),"",1)))))</f>
        <v>0</v>
      </c>
      <c r="IF8" s="40">
        <f t="shared" ref="IF8" si="222">IF(AND(IF6&lt;&gt;0,IF7&lt;&gt;0),(IF6-IF7)/IF7,IF(AND(IF6=0,IF7=0),"",IF(AND(IF6="",IF7=""),"",IF(AND(IF6=0,IF7=""),"", IF(AND(IF6="",IF7=0),"",1)))))</f>
        <v>0</v>
      </c>
      <c r="IG8" s="40">
        <f t="shared" ref="IG8" si="223">IF(AND(IG6&lt;&gt;0,IG7&lt;&gt;0),(IG6-IG7)/IG7,IF(AND(IG6=0,IG7=0),"",IF(AND(IG6="",IG7=""),"",IF(AND(IG6=0,IG7=""),"", IF(AND(IG6="",IG7=0),"",1)))))</f>
        <v>0</v>
      </c>
      <c r="IH8" s="40">
        <f t="shared" ref="IH8" si="224">IF(AND(IH6&lt;&gt;0,IH7&lt;&gt;0),(IH6-IH7)/IH7,IF(AND(IH6=0,IH7=0),"",IF(AND(IH6="",IH7=""),"",IF(AND(IH6=0,IH7=""),"", IF(AND(IH6="",IH7=0),"",1)))))</f>
        <v>0</v>
      </c>
      <c r="II8" s="40">
        <f t="shared" ref="II8" si="225">IF(AND(II6&lt;&gt;0,II7&lt;&gt;0),(II6-II7)/II7,IF(AND(II6=0,II7=0),"",IF(AND(II6="",II7=""),"",IF(AND(II6=0,II7=""),"", IF(AND(II6="",II7=0),"",1)))))</f>
        <v>0</v>
      </c>
      <c r="IJ8" s="40">
        <f t="shared" ref="IJ8" si="226">IF(AND(IJ6&lt;&gt;0,IJ7&lt;&gt;0),(IJ6-IJ7)/IJ7,IF(AND(IJ6=0,IJ7=0),"",IF(AND(IJ6="",IJ7=""),"",IF(AND(IJ6=0,IJ7=""),"", IF(AND(IJ6="",IJ7=0),"",1)))))</f>
        <v>1.8606812000185978E-4</v>
      </c>
      <c r="IK8" s="40">
        <f t="shared" ref="IK8" si="227">IF(AND(IK6&lt;&gt;0,IK7&lt;&gt;0),(IK6-IK7)/IK7,IF(AND(IK6=0,IK7=0),"",IF(AND(IK6="",IK7=""),"",IF(AND(IK6=0,IK7=""),"", IF(AND(IK6="",IK7=0),"",1)))))</f>
        <v>4.5464878381450331E-4</v>
      </c>
      <c r="IL8" s="40">
        <f t="shared" ref="IL8" si="228">IF(AND(IL6&lt;&gt;0,IL7&lt;&gt;0),(IL6-IL7)/IL7,IF(AND(IL6=0,IL7=0),"",IF(AND(IL6="",IL7=""),"",IF(AND(IL6=0,IL7=""),"", IF(AND(IL6="",IL7=0),"",1)))))</f>
        <v>2.7716186252771619E-4</v>
      </c>
      <c r="IM8" s="40">
        <f t="shared" ref="IM8" si="229">IF(AND(IM6&lt;&gt;0,IM7&lt;&gt;0),(IM6-IM7)/IM7,IF(AND(IM6=0,IM7=0),"",IF(AND(IM6="",IM7=""),"",IF(AND(IM6=0,IM7=""),"", IF(AND(IM6="",IM7=0),"",1)))))</f>
        <v>0.1372107969151671</v>
      </c>
      <c r="IN8" s="40">
        <f t="shared" ref="IN8" si="230">IF(AND(IN6&lt;&gt;0,IN7&lt;&gt;0),(IN6-IN7)/IN7,IF(AND(IN6=0,IN7=0),"",IF(AND(IN6="",IN7=""),"",IF(AND(IN6=0,IN7=""),"", IF(AND(IN6="",IN7=0),"",1)))))</f>
        <v>2.4715768660405336E-4</v>
      </c>
      <c r="IO8" s="40">
        <f t="shared" ref="IO8" si="231">IF(AND(IO6&lt;&gt;0,IO7&lt;&gt;0),(IO6-IO7)/IO7,IF(AND(IO6=0,IO7=0),"",IF(AND(IO6="",IO7=""),"",IF(AND(IO6=0,IO7=""),"", IF(AND(IO6="",IO7=0),"",1)))))</f>
        <v>-7.1824832262446056E-2</v>
      </c>
      <c r="IP8" s="40" t="str">
        <f t="shared" ref="IP8" si="232">IF(AND(IP6&lt;&gt;0,IP7&lt;&gt;0),(IP6-IP7)/IP7,IF(AND(IP6=0,IP7=0),"",IF(AND(IP6="",IP7=""),"",IF(AND(IP6=0,IP7=""),"", IF(AND(IP6="",IP7=0),"",1)))))</f>
        <v/>
      </c>
      <c r="IQ8" s="40" t="str">
        <f t="shared" ref="IQ8" si="233">IF(AND(IQ6&lt;&gt;0,IQ7&lt;&gt;0),(IQ6-IQ7)/IQ7,IF(AND(IQ6=0,IQ7=0),"",IF(AND(IQ6="",IQ7=""),"",IF(AND(IQ6=0,IQ7=""),"", IF(AND(IQ6="",IQ7=0),"",1)))))</f>
        <v/>
      </c>
      <c r="IR8" s="40" t="str">
        <f t="shared" ref="IR8:JF8" si="234">IF(AND(IR6&lt;&gt;0,IR7&lt;&gt;0),(IR6-IR7)/IR7,IF(AND(IR6=0,IR7=0),"",IF(AND(IR6="",IR7=""),"",IF(AND(IR6=0,IR7=""),"", IF(AND(IR6="",IR7=0),"",1)))))</f>
        <v/>
      </c>
      <c r="IS8" s="40" t="str">
        <f t="shared" si="234"/>
        <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9.1377648940022004E-4</v>
      </c>
      <c r="JH8" s="72" t="str">
        <f t="shared" si="235"/>
        <v/>
      </c>
      <c r="JI8" s="73" t="str">
        <f t="shared" si="235"/>
        <v/>
      </c>
      <c r="JJ8" s="73" t="str">
        <f t="shared" si="235"/>
        <v/>
      </c>
      <c r="JK8" s="73" t="str">
        <f t="shared" si="235"/>
        <v/>
      </c>
      <c r="JL8" s="73" t="str">
        <f t="shared" si="235"/>
        <v/>
      </c>
      <c r="JM8" s="73" t="str">
        <f t="shared" si="235"/>
        <v/>
      </c>
      <c r="JN8" s="73" t="str">
        <f t="shared" si="235"/>
        <v/>
      </c>
      <c r="JO8" s="73" t="str">
        <f t="shared" si="235"/>
        <v/>
      </c>
      <c r="JP8" s="73" t="str">
        <f t="shared" si="235"/>
        <v/>
      </c>
      <c r="JQ8" s="73" t="str">
        <f t="shared" si="235"/>
        <v/>
      </c>
      <c r="JR8" s="73" t="str">
        <f t="shared" si="235"/>
        <v/>
      </c>
      <c r="JS8" s="73" t="str">
        <f t="shared" si="235"/>
        <v/>
      </c>
      <c r="JT8" s="73" t="str">
        <f t="shared" si="235"/>
        <v/>
      </c>
      <c r="JU8" s="73" t="str">
        <f t="shared" si="235"/>
        <v/>
      </c>
      <c r="JV8" s="73" t="str">
        <f t="shared" si="235"/>
        <v/>
      </c>
      <c r="JW8" s="73" t="str">
        <f t="shared" si="235"/>
        <v/>
      </c>
      <c r="JX8" s="73" t="str">
        <f t="shared" si="235"/>
        <v/>
      </c>
      <c r="JY8" s="73" t="str">
        <f t="shared" si="235"/>
        <v/>
      </c>
      <c r="JZ8" s="73" t="str">
        <f t="shared" si="235"/>
        <v/>
      </c>
      <c r="KA8" s="73" t="str">
        <f t="shared" si="235"/>
        <v/>
      </c>
      <c r="KB8" s="73" t="str">
        <f t="shared" si="235"/>
        <v/>
      </c>
      <c r="KC8" s="73" t="str">
        <f t="shared" si="235"/>
        <v/>
      </c>
      <c r="KD8" s="73" t="str">
        <f t="shared" si="235"/>
        <v/>
      </c>
      <c r="KE8" s="73" t="str">
        <f t="shared" ref="KE8:KR8" si="236">IF(AND(KE6&lt;&gt;0,KE7&lt;&gt;0),(KE6-KE7)/KE7,IF(AND(KE6=0,KE7=0),"",IF(AND(KE6="",KE7=""),"",IF(AND(KE6=0,KE7=""),"", IF(AND(KE6="",KE7=0),"",1)))))</f>
        <v/>
      </c>
      <c r="KF8" s="73" t="str">
        <f t="shared" si="236"/>
        <v/>
      </c>
      <c r="KG8" s="73" t="str">
        <f t="shared" si="236"/>
        <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t="str">
        <f t="shared" si="235"/>
        <v/>
      </c>
      <c r="KT8" s="72" t="str">
        <f t="shared" ref="KT8:ME8" si="237">IF(AND(KT6&lt;&gt;0,KT7&lt;&gt;0),(KT6-KT7)/KT7,IF(AND(KT6=0,KT7=0),"",IF(AND(KT6="",KT7=""),"",IF(AND(KT6=0,KT7=""),"", IF(AND(KT6="",KT7=0),"",1)))))</f>
        <v/>
      </c>
      <c r="KU8" s="73" t="str">
        <f t="shared" si="237"/>
        <v/>
      </c>
      <c r="KV8" s="73" t="str">
        <f t="shared" si="237"/>
        <v/>
      </c>
      <c r="KW8" s="73" t="str">
        <f t="shared" si="237"/>
        <v/>
      </c>
      <c r="KX8" s="73" t="str">
        <f t="shared" si="237"/>
        <v/>
      </c>
      <c r="KY8" s="73" t="str">
        <f t="shared" si="237"/>
        <v/>
      </c>
      <c r="KZ8" s="73" t="str">
        <f t="shared" si="237"/>
        <v/>
      </c>
      <c r="LA8" s="73" t="str">
        <f t="shared" si="237"/>
        <v/>
      </c>
      <c r="LB8" s="73" t="str">
        <f t="shared" si="237"/>
        <v/>
      </c>
      <c r="LC8" s="73" t="str">
        <f t="shared" si="237"/>
        <v/>
      </c>
      <c r="LD8" s="73" t="str">
        <f t="shared" si="237"/>
        <v/>
      </c>
      <c r="LE8" s="73" t="str">
        <f t="shared" si="237"/>
        <v/>
      </c>
      <c r="LF8" s="73" t="str">
        <f t="shared" si="237"/>
        <v/>
      </c>
      <c r="LG8" s="73" t="str">
        <f t="shared" si="237"/>
        <v/>
      </c>
      <c r="LH8" s="73" t="str">
        <f t="shared" si="237"/>
        <v/>
      </c>
      <c r="LI8" s="73" t="str">
        <f t="shared" si="237"/>
        <v/>
      </c>
      <c r="LJ8" s="73" t="str">
        <f t="shared" si="237"/>
        <v/>
      </c>
      <c r="LK8" s="73" t="str">
        <f t="shared" si="237"/>
        <v/>
      </c>
      <c r="LL8" s="73" t="str">
        <f t="shared" si="237"/>
        <v/>
      </c>
      <c r="LM8" s="73" t="str">
        <f t="shared" si="237"/>
        <v/>
      </c>
      <c r="LN8" s="73" t="str">
        <f t="shared" si="237"/>
        <v/>
      </c>
      <c r="LO8" s="73" t="str">
        <f t="shared" si="237"/>
        <v/>
      </c>
      <c r="LP8" s="73" t="str">
        <f t="shared" si="237"/>
        <v/>
      </c>
      <c r="LQ8" s="73" t="str">
        <f t="shared" ref="LQ8:MD8" si="238">IF(AND(LQ6&lt;&gt;0,LQ7&lt;&gt;0),(LQ6-LQ7)/LQ7,IF(AND(LQ6=0,LQ7=0),"",IF(AND(LQ6="",LQ7=""),"",IF(AND(LQ6=0,LQ7=""),"", IF(AND(LQ6="",LQ7=0),"",1)))))</f>
        <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t="str">
        <f t="shared" si="237"/>
        <v/>
      </c>
      <c r="MF8" s="72" t="str">
        <f t="shared" si="235"/>
        <v/>
      </c>
      <c r="MG8" s="73" t="str">
        <f t="shared" si="235"/>
        <v/>
      </c>
      <c r="MH8" s="73" t="str">
        <f t="shared" si="235"/>
        <v/>
      </c>
      <c r="MI8" s="73" t="str">
        <f t="shared" si="235"/>
        <v/>
      </c>
      <c r="MJ8" s="73" t="str">
        <f t="shared" si="235"/>
        <v/>
      </c>
      <c r="MK8" s="73" t="str">
        <f t="shared" si="235"/>
        <v/>
      </c>
      <c r="ML8" s="73" t="str">
        <f t="shared" si="235"/>
        <v/>
      </c>
      <c r="MM8" s="73" t="str">
        <f t="shared" si="235"/>
        <v/>
      </c>
      <c r="MN8" s="73" t="str">
        <f t="shared" si="235"/>
        <v/>
      </c>
      <c r="MO8" s="73" t="str">
        <f t="shared" si="235"/>
        <v/>
      </c>
      <c r="MP8" s="73" t="str">
        <f t="shared" si="235"/>
        <v/>
      </c>
      <c r="MQ8" s="73" t="str">
        <f t="shared" si="235"/>
        <v/>
      </c>
      <c r="MR8" s="73" t="str">
        <f t="shared" si="235"/>
        <v/>
      </c>
      <c r="MS8" s="73" t="str">
        <f t="shared" si="235"/>
        <v/>
      </c>
      <c r="MT8" s="73" t="str">
        <f t="shared" si="235"/>
        <v/>
      </c>
      <c r="MU8" s="73" t="str">
        <f t="shared" si="235"/>
        <v/>
      </c>
      <c r="MV8" s="73" t="str">
        <f t="shared" si="235"/>
        <v/>
      </c>
      <c r="MW8" s="73" t="str">
        <f t="shared" si="235"/>
        <v/>
      </c>
      <c r="MX8" s="73" t="str">
        <f t="shared" si="235"/>
        <v/>
      </c>
      <c r="MY8" s="73" t="str">
        <f t="shared" si="235"/>
        <v/>
      </c>
      <c r="MZ8" s="73" t="str">
        <f t="shared" si="235"/>
        <v/>
      </c>
      <c r="NA8" s="73" t="str">
        <f t="shared" si="235"/>
        <v/>
      </c>
      <c r="NB8" s="73" t="str">
        <f t="shared" si="235"/>
        <v/>
      </c>
      <c r="NC8" s="73" t="str">
        <f t="shared" ref="NC8:NP8" si="239">IF(AND(NC6&lt;&gt;0,NC7&lt;&gt;0),(NC6-NC7)/NC7,IF(AND(NC6=0,NC7=0),"",IF(AND(NC6="",NC7=""),"",IF(AND(NC6=0,NC7=""),"", IF(AND(NC6="",NC7=0),"",1)))))</f>
        <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t="str">
        <f t="shared" si="235"/>
        <v/>
      </c>
      <c r="NR8" s="40" t="str">
        <f t="shared" ref="NR8" si="240">IF(AND(NR6&lt;&gt;0,NR7&lt;&gt;0),(NR6-NR7)/NR7,IF(AND(NR6=0,NR7=0),"",IF(AND(NR6="",NR7=""),"",IF(AND(NR6=0,NR7=""),"", IF(AND(NR6="",NR7=0),"",1)))))</f>
        <v/>
      </c>
      <c r="NS8" s="40" t="str">
        <f t="shared" ref="NS8" si="241">IF(AND(NS6&lt;&gt;0,NS7&lt;&gt;0),(NS6-NS7)/NS7,IF(AND(NS6=0,NS7=0),"",IF(AND(NS6="",NS7=""),"",IF(AND(NS6=0,NS7=""),"", IF(AND(NS6="",NS7=0),"",1)))))</f>
        <v/>
      </c>
      <c r="NT8" s="40">
        <f t="shared" ref="NT8" si="242">IF(AND(NT6&lt;&gt;0,NT7&lt;&gt;0),(NT6-NT7)/NT7,IF(AND(NT6=0,NT7=0),"",IF(AND(NT6="",NT7=""),"",IF(AND(NT6=0,NT7=""),"", IF(AND(NT6="",NT7=0),"",1)))))</f>
        <v>2.7151778441487917E-4</v>
      </c>
      <c r="NU8" s="40">
        <f t="shared" ref="NU8" si="243">IF(AND(NU6&lt;&gt;0,NU7&lt;&gt;0),(NU6-NU7)/NU7,IF(AND(NU6=0,NU7=0),"",IF(AND(NU6="",NU7=""),"",IF(AND(NU6=0,NU7=""),"", IF(AND(NU6="",NU7=0),"",1)))))</f>
        <v>6.6912010705921711E-4</v>
      </c>
      <c r="NV8" s="40">
        <f t="shared" ref="NV8" si="244">IF(AND(NV6&lt;&gt;0,NV7&lt;&gt;0),(NV6-NV7)/NV7,IF(AND(NV6=0,NV7=0),"",IF(AND(NV6="",NV7=""),"",IF(AND(NV6=0,NV7=""),"", IF(AND(NV6="",NV7=0),"",1)))))</f>
        <v>0</v>
      </c>
      <c r="NW8" s="40">
        <f t="shared" ref="NW8" si="245">IF(AND(NW6&lt;&gt;0,NW7&lt;&gt;0),(NW6-NW7)/NW7,IF(AND(NW6=0,NW7=0),"",IF(AND(NW6="",NW7=""),"",IF(AND(NW6=0,NW7=""),"", IF(AND(NW6="",NW7=0),"",1)))))</f>
        <v>5.0451541294586548E-5</v>
      </c>
      <c r="NX8" s="40">
        <f t="shared" ref="NX8" si="246">IF(AND(NX6&lt;&gt;0,NX7&lt;&gt;0),(NX6-NX7)/NX7,IF(AND(NX6=0,NX7=0),"",IF(AND(NX6="",NX7=""),"",IF(AND(NX6=0,NX7=""),"", IF(AND(NX6="",NX7=0),"",1)))))</f>
        <v>0</v>
      </c>
      <c r="NY8" s="40">
        <f t="shared" ref="NY8" si="247">IF(AND(NY6&lt;&gt;0,NY7&lt;&gt;0),(NY6-NY7)/NY7,IF(AND(NY6=0,NY7=0),"",IF(AND(NY6="",NY7=""),"",IF(AND(NY6=0,NY7=""),"", IF(AND(NY6="",NY7=0),"",1)))))</f>
        <v>4.4062568847763828E-5</v>
      </c>
      <c r="NZ8" s="40">
        <f t="shared" ref="NZ8" si="248">IF(AND(NZ6&lt;&gt;0,NZ7&lt;&gt;0),(NZ6-NZ7)/NZ7,IF(AND(NZ6=0,NZ7=0),"",IF(AND(NZ6="",NZ7=""),"",IF(AND(NZ6=0,NZ7=""),"", IF(AND(NZ6="",NZ7=0),"",1)))))</f>
        <v>9.2579734296162566E-5</v>
      </c>
      <c r="OA8" s="40">
        <f t="shared" ref="OA8" si="249">IF(AND(OA6&lt;&gt;0,OA7&lt;&gt;0),(OA6-OA7)/OA7,IF(AND(OA6=0,OA7=0),"",IF(AND(OA6="",OA7=""),"",IF(AND(OA6=0,OA7=""),"", IF(AND(OA6="",OA7=0),"",1)))))</f>
        <v>9.831874938550782E-5</v>
      </c>
      <c r="OB8" s="40">
        <f t="shared" ref="OB8" si="250">IF(AND(OB6&lt;&gt;0,OB7&lt;&gt;0),(OB6-OB7)/OB7,IF(AND(OB6=0,OB7=0),"",IF(AND(OB6="",OB7=""),"",IF(AND(OB6=0,OB7=""),"", IF(AND(OB6="",OB7=0),"",1)))))</f>
        <v>0</v>
      </c>
      <c r="OC8" s="40">
        <f t="shared" ref="OC8" si="251">IF(AND(OC6&lt;&gt;0,OC7&lt;&gt;0),(OC6-OC7)/OC7,IF(AND(OC6=0,OC7=0),"",IF(AND(OC6="",OC7=""),"",IF(AND(OC6=0,OC7=""),"", IF(AND(OC6="",OC7=0),"",1)))))</f>
        <v>0</v>
      </c>
      <c r="OD8" s="40">
        <f t="shared" ref="OD8" si="252">IF(AND(OD6&lt;&gt;0,OD7&lt;&gt;0),(OD6-OD7)/OD7,IF(AND(OD6=0,OD7=0),"",IF(AND(OD6="",OD7=""),"",IF(AND(OD6=0,OD7=""),"", IF(AND(OD6="",OD7=0),"",1)))))</f>
        <v>-6.1758893280632407E-5</v>
      </c>
      <c r="OE8" s="40">
        <f t="shared" ref="OE8" si="253">IF(AND(OE6&lt;&gt;0,OE7&lt;&gt;0),(OE6-OE7)/OE7,IF(AND(OE6=0,OE7=0),"",IF(AND(OE6="",OE7=""),"",IF(AND(OE6=0,OE7=""),"", IF(AND(OE6="",OE7=0),"",1)))))</f>
        <v>6.8366719081151302E-5</v>
      </c>
      <c r="OF8" s="40">
        <f t="shared" ref="OF8" si="254">IF(AND(OF6&lt;&gt;0,OF7&lt;&gt;0),(OF6-OF7)/OF7,IF(AND(OF6=0,OF7=0),"",IF(AND(OF6="",OF7=""),"",IF(AND(OF6=0,OF7=""),"", IF(AND(OF6="",OF7=0),"",1)))))</f>
        <v>2.2813688212927757E-4</v>
      </c>
      <c r="OG8" s="40">
        <f t="shared" ref="OG8" si="255">IF(AND(OG6&lt;&gt;0,OG7&lt;&gt;0),(OG6-OG7)/OG7,IF(AND(OG6=0,OG7=0),"",IF(AND(OG6="",OG7=""),"",IF(AND(OG6=0,OG7=""),"", IF(AND(OG6="",OG7=0),"",1)))))</f>
        <v>8.9150396719265402E-5</v>
      </c>
      <c r="OH8" s="40">
        <f t="shared" ref="OH8" si="256">IF(AND(OH6&lt;&gt;0,OH7&lt;&gt;0),(OH6-OH7)/OH7,IF(AND(OH6=0,OH7=0),"",IF(AND(OH6="",OH7=""),"",IF(AND(OH6=0,OH7=""),"", IF(AND(OH6="",OH7=0),"",1)))))</f>
        <v>2.2271714922048998E-4</v>
      </c>
      <c r="OI8" s="40">
        <f t="shared" ref="OI8" si="257">IF(AND(OI6&lt;&gt;0,OI7&lt;&gt;0),(OI6-OI7)/OI7,IF(AND(OI6=0,OI7=0),"",IF(AND(OI6="",OI7=""),"",IF(AND(OI6=0,OI7=""),"", IF(AND(OI6="",OI7=0),"",1)))))</f>
        <v>2.4764735017335313E-4</v>
      </c>
      <c r="OJ8" s="40">
        <f t="shared" ref="OJ8" si="258">IF(AND(OJ6&lt;&gt;0,OJ7&lt;&gt;0),(OJ6-OJ7)/OJ7,IF(AND(OJ6=0,OJ7=0),"",IF(AND(OJ6="",OJ7=""),"",IF(AND(OJ6=0,OJ7=""),"", IF(AND(OJ6="",OJ7=0),"",1)))))</f>
        <v>1.3836098482229291E-4</v>
      </c>
      <c r="OK8" s="40">
        <f t="shared" ref="OK8" si="259">IF(AND(OK6&lt;&gt;0,OK7&lt;&gt;0),(OK6-OK7)/OK7,IF(AND(OK6=0,OK7=0),"",IF(AND(OK6="",OK7=""),"",IF(AND(OK6=0,OK7=""),"", IF(AND(OK6="",OK7=0),"",1)))))</f>
        <v>3.652471246502953E-2</v>
      </c>
      <c r="OL8" s="40">
        <f t="shared" ref="OL8" si="260">IF(AND(OL6&lt;&gt;0,OL7&lt;&gt;0),(OL6-OL7)/OL7,IF(AND(OL6=0,OL7=0),"",IF(AND(OL6="",OL7=""),"",IF(AND(OL6=0,OL7=""),"", IF(AND(OL6="",OL7=0),"",1)))))</f>
        <v>1.2081672103419114E-4</v>
      </c>
      <c r="OM8" s="40">
        <f t="shared" ref="OM8" si="261">IF(AND(OM6&lt;&gt;0,OM7&lt;&gt;0),(OM6-OM7)/OM7,IF(AND(OM6=0,OM7=0),"",IF(AND(OM6="",OM7=""),"",IF(AND(OM6=0,OM7=""),"", IF(AND(OM6="",OM7=0),"",1)))))</f>
        <v>-0.16390329413483309</v>
      </c>
      <c r="ON8" s="40">
        <f t="shared" ref="ON8:PB8" si="262">IF(AND(ON6&lt;&gt;0,ON7&lt;&gt;0),(ON6-ON7)/ON7,IF(AND(ON6=0,ON7=0),"",IF(AND(ON6="",ON7=""),"",IF(AND(ON6=0,ON7=""),"", IF(AND(ON6="",ON7=0),"",1)))))</f>
        <v>0</v>
      </c>
      <c r="OO8" s="40">
        <f t="shared" si="262"/>
        <v>9.1642228739002932E-5</v>
      </c>
      <c r="OP8" s="40">
        <f t="shared" si="262"/>
        <v>1</v>
      </c>
      <c r="OQ8" s="40" t="str">
        <f t="shared" si="262"/>
        <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4.6670485173141369E-3</v>
      </c>
    </row>
    <row r="9" spans="1:424" outlineLevel="1" x14ac:dyDescent="0.35">
      <c r="A9" s="46" t="s">
        <v>33</v>
      </c>
      <c r="B9" s="14">
        <f>'[1]D-PDP'!$BW$12</f>
        <v>49485216</v>
      </c>
      <c r="C9" s="14">
        <f>'[1]D-PDP'!$BW$13</f>
        <v>57004772</v>
      </c>
      <c r="D9" s="14">
        <f>'[1]D-PDP'!$BW$14</f>
        <v>46584996</v>
      </c>
      <c r="E9" s="14">
        <f>'[1]D-PDP'!$BW$15</f>
        <v>40336240</v>
      </c>
      <c r="F9" s="14">
        <f>'[1]D-PDP'!$BW$16</f>
        <v>35622648</v>
      </c>
      <c r="G9" s="14">
        <f>'[1]D-PDP'!$BW$17</f>
        <v>31719740</v>
      </c>
      <c r="H9" s="14">
        <f>'[1]D-PDP'!$BW$18</f>
        <v>28226466</v>
      </c>
      <c r="I9" s="14">
        <f>'[1]D-PDP'!$BW$19</f>
        <v>25274926</v>
      </c>
      <c r="J9" s="14">
        <f>'[1]D-PDP'!$BW$20</f>
        <v>22720846</v>
      </c>
      <c r="K9" s="14">
        <f>'[1]D-PDP'!$BW$21</f>
        <v>20511642</v>
      </c>
      <c r="L9" s="14">
        <f>'[1]D-PDP'!$BW$22</f>
        <v>18454206</v>
      </c>
      <c r="M9" s="14">
        <f>'[1]D-PDP'!$BW$23</f>
        <v>16639338</v>
      </c>
      <c r="N9" s="14">
        <f>'[1]D-PDP'!$BW$24</f>
        <v>15065947</v>
      </c>
      <c r="O9" s="14">
        <f>'[1]D-PDP'!$BW$25</f>
        <v>13755325</v>
      </c>
      <c r="P9" s="14">
        <f>'[1]D-PDP'!$BW$26</f>
        <v>12508893</v>
      </c>
      <c r="Q9" s="14">
        <f>'[1]D-PDP'!$BW$27</f>
        <v>11409678</v>
      </c>
      <c r="R9" s="14">
        <f>'[1]D-PDP'!$BW$28</f>
        <v>10475112</v>
      </c>
      <c r="S9" s="14">
        <f>'[1]D-PDP'!$BW$29</f>
        <v>9589503</v>
      </c>
      <c r="T9" s="14">
        <f>'[1]D-PDP'!$BW$30</f>
        <v>8757290</v>
      </c>
      <c r="U9" s="14">
        <f>'[1]D-PDP'!$BW$31</f>
        <v>8036859</v>
      </c>
      <c r="V9" s="14">
        <f>'[1]D-PDP'!$BW$32</f>
        <v>7419503.5</v>
      </c>
      <c r="W9" s="14">
        <f>'[1]D-PDP'!$BW$33</f>
        <v>2326336</v>
      </c>
      <c r="X9" s="14">
        <f>'[1]D-PDP'!$BW$34</f>
        <v>0</v>
      </c>
      <c r="Y9" s="14">
        <f>'[1]D-PDP'!$BW$35</f>
        <v>0</v>
      </c>
      <c r="Z9" s="14">
        <f>'[1]D-PDP'!$BW$36</f>
        <v>0</v>
      </c>
      <c r="AA9" s="14">
        <f>'[1]D-PDP'!$BW$37</f>
        <v>0</v>
      </c>
      <c r="AB9" s="14">
        <f>'[1]D-PDP'!$BW$38</f>
        <v>0</v>
      </c>
      <c r="AC9" s="14">
        <f>'[1]D-PDP'!$BW$39</f>
        <v>0</v>
      </c>
      <c r="AD9" s="14">
        <f>'[1]D-PDP'!$BW$40</f>
        <v>0</v>
      </c>
      <c r="AE9" s="14">
        <f>'[1]D-PDP'!$BW$41</f>
        <v>0</v>
      </c>
      <c r="AF9" s="14">
        <f>'[1]D-PDP'!$BW$42</f>
        <v>0</v>
      </c>
      <c r="AG9" s="14">
        <f>'[1]D-PDP'!$BW$43</f>
        <v>0</v>
      </c>
      <c r="AH9" s="14">
        <f>'[1]D-PDP'!$BW$44</f>
        <v>0</v>
      </c>
      <c r="AI9" s="14">
        <f>'[1]D-PDP'!$BW$45</f>
        <v>0</v>
      </c>
      <c r="AJ9" s="14">
        <f>'[1]D-PDP'!$BW$46</f>
        <v>0</v>
      </c>
      <c r="AK9" s="14">
        <f>'[1]D-PDP'!$BW$47</f>
        <v>0</v>
      </c>
      <c r="AL9" s="14">
        <f>'[1]D-PDP'!$BW$48</f>
        <v>0</v>
      </c>
      <c r="AM9" s="16">
        <f>SUM(B9:AL9)</f>
        <v>491925482.5</v>
      </c>
      <c r="AN9" s="28">
        <f>'[1]D-PNP'!$BW$12</f>
        <v>5108714.5</v>
      </c>
      <c r="AO9" s="14">
        <f>'[1]D-PNP'!$BW$13</f>
        <v>6541091.5</v>
      </c>
      <c r="AP9" s="14">
        <f>'[1]D-PNP'!$BW$14</f>
        <v>4884149</v>
      </c>
      <c r="AQ9" s="14">
        <f>'[1]D-PNP'!$BW$15</f>
        <v>4124912</v>
      </c>
      <c r="AR9" s="14">
        <f>'[1]D-PNP'!$BW$16</f>
        <v>3627144.75</v>
      </c>
      <c r="AS9" s="14">
        <f>'[1]D-PNP'!$BW$17</f>
        <v>3215029.5</v>
      </c>
      <c r="AT9" s="14">
        <f>'[1]D-PNP'!$BW$18</f>
        <v>2851248</v>
      </c>
      <c r="AU9" s="14">
        <f>'[1]D-PNP'!$BW$19</f>
        <v>2543833.5</v>
      </c>
      <c r="AV9" s="14">
        <f>'[1]D-PNP'!$BW$20</f>
        <v>2275496.75</v>
      </c>
      <c r="AW9" s="14">
        <f>'[1]D-PNP'!$BW$21</f>
        <v>2045719.375</v>
      </c>
      <c r="AX9" s="14">
        <f>'[1]D-PNP'!$BW$22</f>
        <v>1831442.375</v>
      </c>
      <c r="AY9" s="14">
        <f>'[1]D-PNP'!$BW$23</f>
        <v>1647353.125</v>
      </c>
      <c r="AZ9" s="14">
        <f>'[1]D-PNP'!$BW$24</f>
        <v>1488173.75</v>
      </c>
      <c r="BA9" s="14">
        <f>'[1]D-PNP'!$BW$25</f>
        <v>1352030.5</v>
      </c>
      <c r="BB9" s="14">
        <f>'[1]D-PNP'!$BW$26</f>
        <v>1224190.875</v>
      </c>
      <c r="BC9" s="14">
        <f>'[1]D-PNP'!$BW$27</f>
        <v>1113606.875</v>
      </c>
      <c r="BD9" s="14">
        <f>'[1]D-PNP'!$BW$28</f>
        <v>1014696.8125</v>
      </c>
      <c r="BE9" s="14">
        <f>'[1]D-PNP'!$BW$29</f>
        <v>928431.75</v>
      </c>
      <c r="BF9" s="14">
        <f>'[1]D-PNP'!$BW$30</f>
        <v>846089.9375</v>
      </c>
      <c r="BG9" s="14">
        <f>'[1]D-PNP'!$BW$31</f>
        <v>772487.5625</v>
      </c>
      <c r="BH9" s="14">
        <f>'[1]D-PNP'!$BW$32</f>
        <v>707057.5625</v>
      </c>
      <c r="BI9" s="14">
        <f>'[1]D-PNP'!$BW$33</f>
        <v>221315.453125</v>
      </c>
      <c r="BJ9" s="14">
        <f>'[1]D-PNP'!$BW$34</f>
        <v>0</v>
      </c>
      <c r="BK9" s="14">
        <f>'[1]D-PNP'!$BW$35</f>
        <v>0</v>
      </c>
      <c r="BL9" s="14">
        <f>'[1]D-PNP'!$BW$36</f>
        <v>0</v>
      </c>
      <c r="BM9" s="14">
        <f>'[1]D-PNP'!$BW$37</f>
        <v>0</v>
      </c>
      <c r="BN9" s="14">
        <f>'[1]D-PNP'!$BW$38</f>
        <v>0</v>
      </c>
      <c r="BO9" s="14">
        <f>'[1]D-PNP'!$BW$39</f>
        <v>0</v>
      </c>
      <c r="BP9" s="14">
        <f>'[1]D-PNP'!$BW$40</f>
        <v>0</v>
      </c>
      <c r="BQ9" s="14">
        <f>'[1]D-PNP'!$BW$41</f>
        <v>0</v>
      </c>
      <c r="BR9" s="14">
        <f>'[1]D-PNP'!$BW$42</f>
        <v>0</v>
      </c>
      <c r="BS9" s="14">
        <f>'[1]D-PNP'!$BW$43</f>
        <v>0</v>
      </c>
      <c r="BT9" s="14">
        <f>'[1]D-PNP'!$BW$44</f>
        <v>0</v>
      </c>
      <c r="BU9" s="14">
        <f>'[1]D-PNP'!$BW$45</f>
        <v>0</v>
      </c>
      <c r="BV9" s="14">
        <f>'[1]D-PNP'!$BW$46</f>
        <v>0</v>
      </c>
      <c r="BW9" s="14">
        <f>'[1]D-PNP'!$BW$47</f>
        <v>0</v>
      </c>
      <c r="BX9" s="14">
        <f>'[1]D-PNP'!$BW$48</f>
        <v>0</v>
      </c>
      <c r="BY9" s="16">
        <f>SUM(AN9:BX9)</f>
        <v>50364215.453125</v>
      </c>
      <c r="BZ9" s="28">
        <f>'[1]D-PND'!$BW$12</f>
        <v>0</v>
      </c>
      <c r="CA9" s="14">
        <f>'[1]D-PND'!$BW$13</f>
        <v>0</v>
      </c>
      <c r="CB9" s="14">
        <f>'[1]D-PND'!$BW$14</f>
        <v>7389273.5</v>
      </c>
      <c r="CC9" s="14">
        <f>'[1]D-PND'!$BW$15</f>
        <v>24920144</v>
      </c>
      <c r="CD9" s="14">
        <f>'[1]D-PND'!$BW$16</f>
        <v>54339412</v>
      </c>
      <c r="CE9" s="14">
        <f>'[1]D-PND'!$BW$17</f>
        <v>63449068</v>
      </c>
      <c r="CF9" s="14">
        <f>'[1]D-PND'!$BW$18</f>
        <v>48723264</v>
      </c>
      <c r="CG9" s="14">
        <f>'[1]D-PND'!$BW$19</f>
        <v>34795592</v>
      </c>
      <c r="CH9" s="14">
        <f>'[1]D-PND'!$BW$20</f>
        <v>25603646</v>
      </c>
      <c r="CI9" s="14">
        <f>'[1]D-PND'!$BW$21</f>
        <v>19043204</v>
      </c>
      <c r="CJ9" s="14">
        <f>'[1]D-PND'!$BW$22</f>
        <v>14318705</v>
      </c>
      <c r="CK9" s="14">
        <f>'[1]D-PND'!$BW$23</f>
        <v>10864074</v>
      </c>
      <c r="CL9" s="14">
        <f>'[1]D-PND'!$BW$24</f>
        <v>8320006</v>
      </c>
      <c r="CM9" s="14">
        <f>'[1]D-PND'!$BW$25</f>
        <v>6380241.5</v>
      </c>
      <c r="CN9" s="14">
        <f>'[1]D-PND'!$BW$26</f>
        <v>4958491.5</v>
      </c>
      <c r="CO9" s="14">
        <f>'[1]D-PND'!$BW$27</f>
        <v>3861010</v>
      </c>
      <c r="CP9" s="14">
        <f>'[1]D-PND'!$BW$28</f>
        <v>3036575.25</v>
      </c>
      <c r="CQ9" s="14">
        <f>'[1]D-PND'!$BW$29</f>
        <v>1712946.625</v>
      </c>
      <c r="CR9" s="14">
        <f>'[1]D-PND'!$BW$30</f>
        <v>0</v>
      </c>
      <c r="CS9" s="14">
        <f>'[1]D-PND'!$BW$31</f>
        <v>0</v>
      </c>
      <c r="CT9" s="14">
        <f>'[1]D-PND'!$BW$32</f>
        <v>0</v>
      </c>
      <c r="CU9" s="14">
        <f>'[1]D-PND'!$BW$33</f>
        <v>0</v>
      </c>
      <c r="CV9" s="14">
        <f>'[1]D-PND'!$BW$34</f>
        <v>0</v>
      </c>
      <c r="CW9" s="14">
        <f>'[1]D-PND'!$BW$35</f>
        <v>0</v>
      </c>
      <c r="CX9" s="14">
        <f>'[1]D-PND'!$BW$36</f>
        <v>0</v>
      </c>
      <c r="CY9" s="14">
        <f>'[1]D-PND'!$BW$37</f>
        <v>0</v>
      </c>
      <c r="CZ9" s="14">
        <f>'[1]D-PND'!$BW$38</f>
        <v>0</v>
      </c>
      <c r="DA9" s="14">
        <f>'[1]D-PND'!$BW$39</f>
        <v>0</v>
      </c>
      <c r="DB9" s="14">
        <f>'[1]D-PND'!$BW$40</f>
        <v>0</v>
      </c>
      <c r="DC9" s="14">
        <f>'[1]D-PND'!$BW$41</f>
        <v>0</v>
      </c>
      <c r="DD9" s="14">
        <f>'[1]D-PND'!$BW$42</f>
        <v>0</v>
      </c>
      <c r="DE9" s="14">
        <f>'[1]D-PND'!$BW$43</f>
        <v>0</v>
      </c>
      <c r="DF9" s="14">
        <f>'[1]D-PND'!$BW$44</f>
        <v>0</v>
      </c>
      <c r="DG9" s="14">
        <f>'[1]D-PND'!$BW$45</f>
        <v>0</v>
      </c>
      <c r="DH9" s="14">
        <f>'[1]D-PND'!$BW$46</f>
        <v>0</v>
      </c>
      <c r="DI9" s="14">
        <f>'[1]D-PND'!$BW$47</f>
        <v>0</v>
      </c>
      <c r="DJ9" s="14">
        <f>'[1]D-PND'!$BW$48</f>
        <v>0</v>
      </c>
      <c r="DK9" s="16">
        <f>SUM(BZ9:DJ9)</f>
        <v>331715653.375</v>
      </c>
      <c r="DL9" s="66"/>
      <c r="DM9" s="67"/>
      <c r="DN9" s="67"/>
      <c r="DO9" s="67"/>
      <c r="DP9" s="67"/>
      <c r="DQ9" s="67"/>
      <c r="DR9" s="67"/>
      <c r="DS9" s="67"/>
      <c r="DT9" s="67"/>
      <c r="DU9" s="67"/>
      <c r="DV9" s="67"/>
      <c r="DW9" s="67"/>
      <c r="DX9" s="67"/>
      <c r="DY9" s="67"/>
      <c r="DZ9" s="67"/>
      <c r="EA9" s="67"/>
      <c r="EB9" s="67"/>
      <c r="EC9" s="67"/>
      <c r="ED9" s="67"/>
      <c r="EE9" s="67"/>
      <c r="EF9" s="67"/>
      <c r="EG9" s="67"/>
      <c r="EH9" s="67"/>
      <c r="EI9" s="67"/>
      <c r="EJ9" s="67"/>
      <c r="EK9" s="67"/>
      <c r="EL9" s="67"/>
      <c r="EM9" s="67"/>
      <c r="EN9" s="67"/>
      <c r="EO9" s="67"/>
      <c r="EP9" s="67"/>
      <c r="EQ9" s="67"/>
      <c r="ER9" s="67"/>
      <c r="ES9" s="67"/>
      <c r="ET9" s="67"/>
      <c r="EU9" s="67"/>
      <c r="EV9" s="67"/>
      <c r="EW9" s="68">
        <f>SUM(DL9:EV9)</f>
        <v>0</v>
      </c>
      <c r="EX9" s="66"/>
      <c r="EY9" s="67"/>
      <c r="EZ9" s="67"/>
      <c r="FA9" s="67"/>
      <c r="FB9" s="67"/>
      <c r="FC9" s="67"/>
      <c r="FD9" s="67"/>
      <c r="FE9" s="67"/>
      <c r="FF9" s="67"/>
      <c r="FG9" s="67"/>
      <c r="FH9" s="67"/>
      <c r="FI9" s="67"/>
      <c r="FJ9" s="67"/>
      <c r="FK9" s="67"/>
      <c r="FL9" s="67"/>
      <c r="FM9" s="67"/>
      <c r="FN9" s="67"/>
      <c r="FO9" s="67"/>
      <c r="FP9" s="67"/>
      <c r="FQ9" s="67"/>
      <c r="FR9" s="67"/>
      <c r="FS9" s="67"/>
      <c r="FT9" s="67"/>
      <c r="FU9" s="67"/>
      <c r="FV9" s="67"/>
      <c r="FW9" s="67"/>
      <c r="FX9" s="67"/>
      <c r="FY9" s="67"/>
      <c r="FZ9" s="67"/>
      <c r="GA9" s="67"/>
      <c r="GB9" s="67"/>
      <c r="GC9" s="67"/>
      <c r="GD9" s="67"/>
      <c r="GE9" s="67"/>
      <c r="GF9" s="67"/>
      <c r="GG9" s="67"/>
      <c r="GH9" s="67"/>
      <c r="GI9" s="68">
        <f>SUM(EX9:GH9)</f>
        <v>0</v>
      </c>
      <c r="GJ9" s="66"/>
      <c r="GK9" s="67"/>
      <c r="GL9" s="67"/>
      <c r="GM9" s="67"/>
      <c r="GN9" s="67"/>
      <c r="GO9" s="67"/>
      <c r="GP9" s="67"/>
      <c r="GQ9" s="67"/>
      <c r="GR9" s="67"/>
      <c r="GS9" s="67"/>
      <c r="GT9" s="67"/>
      <c r="GU9" s="67"/>
      <c r="GV9" s="67"/>
      <c r="GW9" s="67"/>
      <c r="GX9" s="67"/>
      <c r="GY9" s="67"/>
      <c r="GZ9" s="67"/>
      <c r="HA9" s="67"/>
      <c r="HB9" s="67"/>
      <c r="HC9" s="67"/>
      <c r="HD9" s="67"/>
      <c r="HE9" s="67"/>
      <c r="HF9" s="67"/>
      <c r="HG9" s="67"/>
      <c r="HH9" s="67"/>
      <c r="HI9" s="67"/>
      <c r="HJ9" s="67"/>
      <c r="HK9" s="67"/>
      <c r="HL9" s="67"/>
      <c r="HM9" s="67"/>
      <c r="HN9" s="67"/>
      <c r="HO9" s="67"/>
      <c r="HP9" s="67"/>
      <c r="HQ9" s="67"/>
      <c r="HR9" s="67"/>
      <c r="HS9" s="67"/>
      <c r="HT9" s="67"/>
      <c r="HU9" s="68">
        <f>SUM(GJ9:HT9)</f>
        <v>0</v>
      </c>
      <c r="HV9" s="28">
        <f>'[1]D-PRB'!$BW$12</f>
        <v>0</v>
      </c>
      <c r="HW9" s="14">
        <f>'[1]D-PRB'!$BW$13</f>
        <v>0</v>
      </c>
      <c r="HX9" s="14">
        <f>'[1]D-PRB'!$BW$14</f>
        <v>3849197.25</v>
      </c>
      <c r="HY9" s="14">
        <f>'[1]D-PRB'!$BW$15</f>
        <v>14113097</v>
      </c>
      <c r="HZ9" s="14">
        <f>'[1]D-PRB'!$BW$16</f>
        <v>27134728</v>
      </c>
      <c r="IA9" s="14">
        <f>'[1]D-PRB'!$BW$17</f>
        <v>33130816</v>
      </c>
      <c r="IB9" s="14">
        <f>'[1]D-PRB'!$BW$18</f>
        <v>34431432</v>
      </c>
      <c r="IC9" s="14">
        <f>'[1]D-PRB'!$BW$19</f>
        <v>30345624</v>
      </c>
      <c r="ID9" s="14">
        <f>'[1]D-PRB'!$BW$20</f>
        <v>24427342</v>
      </c>
      <c r="IE9" s="14">
        <f>'[1]D-PRB'!$BW$21</f>
        <v>19383146</v>
      </c>
      <c r="IF9" s="14">
        <f>'[1]D-PRB'!$BW$22</f>
        <v>14172904</v>
      </c>
      <c r="IG9" s="14">
        <f>'[1]D-PRB'!$BW$23</f>
        <v>11337431</v>
      </c>
      <c r="IH9" s="14">
        <f>'[1]D-PRB'!$BW$24</f>
        <v>9167374</v>
      </c>
      <c r="II9" s="14">
        <f>'[1]D-PRB'!$BW$25</f>
        <v>7494161.5</v>
      </c>
      <c r="IJ9" s="14">
        <f>'[1]D-PRB'!$BW$26</f>
        <v>6105696.5</v>
      </c>
      <c r="IK9" s="14">
        <f>'[1]D-PRB'!$BW$27</f>
        <v>4995624</v>
      </c>
      <c r="IL9" s="14">
        <f>'[1]D-PRB'!$BW$28</f>
        <v>4097458.5</v>
      </c>
      <c r="IM9" s="14">
        <f>'[1]D-PRB'!$BW$29</f>
        <v>4017913.5</v>
      </c>
      <c r="IN9" s="14">
        <f>'[1]D-PRB'!$BW$30</f>
        <v>4595274</v>
      </c>
      <c r="IO9" s="14">
        <f>'[1]D-PRB'!$BW$31</f>
        <v>3418505.75</v>
      </c>
      <c r="IP9" s="14">
        <f>'[1]D-PRB'!$BW$32</f>
        <v>0</v>
      </c>
      <c r="IQ9" s="14">
        <f>'[1]D-PRB'!$BW$33</f>
        <v>0</v>
      </c>
      <c r="IR9" s="14">
        <f>'[1]D-PRB'!$BW$34</f>
        <v>0</v>
      </c>
      <c r="IS9" s="14">
        <f>'[1]D-PRB'!$BW$35</f>
        <v>0</v>
      </c>
      <c r="IT9" s="14">
        <f>'[1]D-PRB'!$BW$36</f>
        <v>0</v>
      </c>
      <c r="IU9" s="14">
        <f>'[1]D-PRB'!$BW$37</f>
        <v>0</v>
      </c>
      <c r="IV9" s="14">
        <f>'[1]D-PRB'!$BW$38</f>
        <v>0</v>
      </c>
      <c r="IW9" s="14">
        <f>'[1]D-PRB'!$BW$39</f>
        <v>0</v>
      </c>
      <c r="IX9" s="14">
        <f>'[1]D-PRB'!$BW$40</f>
        <v>0</v>
      </c>
      <c r="IY9" s="14">
        <f>'[1]D-PRB'!$BW$41</f>
        <v>0</v>
      </c>
      <c r="IZ9" s="14">
        <f>'[1]D-PRB'!$BW$42</f>
        <v>0</v>
      </c>
      <c r="JA9" s="14">
        <f>'[1]D-PRB'!$BW$43</f>
        <v>0</v>
      </c>
      <c r="JB9" s="14">
        <f>'[1]D-PRB'!$BW$44</f>
        <v>0</v>
      </c>
      <c r="JC9" s="14">
        <f>'[1]D-PRB'!$BW$45</f>
        <v>0</v>
      </c>
      <c r="JD9" s="14">
        <f>'[1]D-PRB'!$BW$46</f>
        <v>0</v>
      </c>
      <c r="JE9" s="14">
        <f>'[1]D-PRB'!$BW$47</f>
        <v>0</v>
      </c>
      <c r="JF9" s="14">
        <f>'[1]D-PRB'!$BW$48</f>
        <v>0</v>
      </c>
      <c r="JG9" s="16">
        <f>SUM(HV9:JF9)</f>
        <v>256217725</v>
      </c>
      <c r="JH9" s="66"/>
      <c r="JI9" s="67"/>
      <c r="JJ9" s="67"/>
      <c r="JK9" s="67"/>
      <c r="JL9" s="67"/>
      <c r="JM9" s="67"/>
      <c r="JN9" s="67"/>
      <c r="JO9" s="67"/>
      <c r="JP9" s="67"/>
      <c r="JQ9" s="67"/>
      <c r="JR9" s="67"/>
      <c r="JS9" s="67"/>
      <c r="JT9" s="67"/>
      <c r="JU9" s="67"/>
      <c r="JV9" s="67"/>
      <c r="JW9" s="67"/>
      <c r="JX9" s="67"/>
      <c r="JY9" s="67"/>
      <c r="JZ9" s="67"/>
      <c r="KA9" s="67"/>
      <c r="KB9" s="67"/>
      <c r="KC9" s="67"/>
      <c r="KD9" s="67"/>
      <c r="KE9" s="67"/>
      <c r="KF9" s="67"/>
      <c r="KG9" s="67"/>
      <c r="KH9" s="67"/>
      <c r="KI9" s="67"/>
      <c r="KJ9" s="67"/>
      <c r="KK9" s="67"/>
      <c r="KL9" s="67"/>
      <c r="KM9" s="67"/>
      <c r="KN9" s="67"/>
      <c r="KO9" s="67"/>
      <c r="KP9" s="67"/>
      <c r="KQ9" s="67"/>
      <c r="KR9" s="67"/>
      <c r="KS9" s="68">
        <f>SUM(JH9:KR9)</f>
        <v>0</v>
      </c>
      <c r="KT9" s="66"/>
      <c r="KU9" s="67"/>
      <c r="KV9" s="67"/>
      <c r="KW9" s="67"/>
      <c r="KX9" s="67"/>
      <c r="KY9" s="67"/>
      <c r="KZ9" s="67"/>
      <c r="LA9" s="67"/>
      <c r="LB9" s="67"/>
      <c r="LC9" s="67"/>
      <c r="LD9" s="67"/>
      <c r="LE9" s="67"/>
      <c r="LF9" s="67"/>
      <c r="LG9" s="67"/>
      <c r="LH9" s="67"/>
      <c r="LI9" s="67"/>
      <c r="LJ9" s="67"/>
      <c r="LK9" s="67"/>
      <c r="LL9" s="67"/>
      <c r="LM9" s="67"/>
      <c r="LN9" s="67"/>
      <c r="LO9" s="67"/>
      <c r="LP9" s="67"/>
      <c r="LQ9" s="67"/>
      <c r="LR9" s="67"/>
      <c r="LS9" s="67"/>
      <c r="LT9" s="67"/>
      <c r="LU9" s="67"/>
      <c r="LV9" s="67"/>
      <c r="LW9" s="67"/>
      <c r="LX9" s="67"/>
      <c r="LY9" s="67"/>
      <c r="LZ9" s="67"/>
      <c r="MA9" s="67"/>
      <c r="MB9" s="67"/>
      <c r="MC9" s="67"/>
      <c r="MD9" s="67"/>
      <c r="ME9" s="68">
        <f>SUM(KT9:MD9)</f>
        <v>0</v>
      </c>
      <c r="MF9" s="66"/>
      <c r="MG9" s="67"/>
      <c r="MH9" s="67"/>
      <c r="MI9" s="67"/>
      <c r="MJ9" s="67"/>
      <c r="MK9" s="67"/>
      <c r="ML9" s="67"/>
      <c r="MM9" s="67"/>
      <c r="MN9" s="67"/>
      <c r="MO9" s="67"/>
      <c r="MP9" s="67"/>
      <c r="MQ9" s="67"/>
      <c r="MR9" s="67"/>
      <c r="MS9" s="67"/>
      <c r="MT9" s="67"/>
      <c r="MU9" s="67"/>
      <c r="MV9" s="67"/>
      <c r="MW9" s="67"/>
      <c r="MX9" s="67"/>
      <c r="MY9" s="67"/>
      <c r="MZ9" s="67"/>
      <c r="NA9" s="67"/>
      <c r="NB9" s="67"/>
      <c r="NC9" s="67"/>
      <c r="ND9" s="67"/>
      <c r="NE9" s="67"/>
      <c r="NF9" s="67"/>
      <c r="NG9" s="67"/>
      <c r="NH9" s="67"/>
      <c r="NI9" s="67"/>
      <c r="NJ9" s="67"/>
      <c r="NK9" s="67"/>
      <c r="NL9" s="67"/>
      <c r="NM9" s="67"/>
      <c r="NN9" s="67"/>
      <c r="NO9" s="67"/>
      <c r="NP9" s="67"/>
      <c r="NQ9" s="68">
        <f>SUM(MF9:NP9)</f>
        <v>0</v>
      </c>
      <c r="NR9" s="14">
        <f>'[1]D-PS'!$BW$12</f>
        <v>0</v>
      </c>
      <c r="NS9" s="14">
        <f>'[1]D-PS'!$BW$13</f>
        <v>0</v>
      </c>
      <c r="NT9" s="14">
        <f>'[1]D-PS'!$BW$14</f>
        <v>4182286.5</v>
      </c>
      <c r="NU9" s="14">
        <f>'[1]D-PS'!$BW$15</f>
        <v>6788057</v>
      </c>
      <c r="NV9" s="14">
        <f>'[1]D-PS'!$BW$16</f>
        <v>12418050</v>
      </c>
      <c r="NW9" s="14">
        <f>'[1]D-PS'!$BW$17</f>
        <v>22507036</v>
      </c>
      <c r="NX9" s="14">
        <f>'[1]D-PS'!$BW$18</f>
        <v>25952520</v>
      </c>
      <c r="NY9" s="14">
        <f>'[1]D-PS'!$BW$19</f>
        <v>25771104</v>
      </c>
      <c r="NZ9" s="14">
        <f>'[1]D-PS'!$BW$20</f>
        <v>24531318</v>
      </c>
      <c r="OA9" s="14">
        <f>'[1]D-PS'!$BW$21</f>
        <v>23098728</v>
      </c>
      <c r="OB9" s="14">
        <f>'[1]D-PS'!$BW$22</f>
        <v>22206268</v>
      </c>
      <c r="OC9" s="14">
        <f>'[1]D-PS'!$BW$23</f>
        <v>20294900</v>
      </c>
      <c r="OD9" s="14">
        <f>'[1]D-PS'!$BW$24</f>
        <v>18386078</v>
      </c>
      <c r="OE9" s="14">
        <f>'[1]D-PS'!$BW$25</f>
        <v>16609369</v>
      </c>
      <c r="OF9" s="14">
        <f>'[1]D-PS'!$BW$26</f>
        <v>14932937</v>
      </c>
      <c r="OG9" s="14">
        <f>'[1]D-PS'!$BW$27</f>
        <v>12736964</v>
      </c>
      <c r="OH9" s="14">
        <f>'[1]D-PS'!$BW$28</f>
        <v>10197368</v>
      </c>
      <c r="OI9" s="14">
        <f>'[1]D-PS'!$BW$29</f>
        <v>9171088</v>
      </c>
      <c r="OJ9" s="14">
        <f>'[1]D-PS'!$BW$30</f>
        <v>8211712</v>
      </c>
      <c r="OK9" s="14">
        <f>'[1]D-PS'!$BW$31</f>
        <v>7572206.5</v>
      </c>
      <c r="OL9" s="14">
        <f>'[1]D-PS'!$BW$32</f>
        <v>9399255</v>
      </c>
      <c r="OM9" s="14">
        <f>'[1]D-PS'!$BW$33</f>
        <v>12998855</v>
      </c>
      <c r="ON9" s="14">
        <f>'[1]D-PS'!$BW$34</f>
        <v>13858756</v>
      </c>
      <c r="OO9" s="14">
        <f>'[1]D-PS'!$BW$35</f>
        <v>12391314</v>
      </c>
      <c r="OP9" s="14">
        <f>'[1]D-PS'!$BW$36</f>
        <v>3826059.75</v>
      </c>
      <c r="OQ9" s="14">
        <f>'[1]D-PS'!$BW$37</f>
        <v>0</v>
      </c>
      <c r="OR9" s="14">
        <f>'[1]D-PS'!$BW$38</f>
        <v>0</v>
      </c>
      <c r="OS9" s="14">
        <f>'[1]D-PS'!$BW$39</f>
        <v>0</v>
      </c>
      <c r="OT9" s="14">
        <f>'[1]D-PS'!$BW$40</f>
        <v>0</v>
      </c>
      <c r="OU9" s="14">
        <f>'[1]D-PS'!$BW$41</f>
        <v>0</v>
      </c>
      <c r="OV9" s="14">
        <f>'[1]D-PS'!$BW$42</f>
        <v>0</v>
      </c>
      <c r="OW9" s="14">
        <f>'[1]D-PS'!$BW$43</f>
        <v>0</v>
      </c>
      <c r="OX9" s="14">
        <f>'[1]D-PS'!$BW$44</f>
        <v>0</v>
      </c>
      <c r="OY9" s="14">
        <f>'[1]D-PS'!$BW$45</f>
        <v>0</v>
      </c>
      <c r="OZ9" s="14">
        <f>'[1]D-PS'!$BW$46</f>
        <v>0</v>
      </c>
      <c r="PA9" s="14">
        <f>'[1]D-PS'!$BW$47</f>
        <v>0</v>
      </c>
      <c r="PB9" s="14">
        <f>'[1]D-PS'!$BW$48</f>
        <v>0</v>
      </c>
      <c r="PC9" s="16">
        <f>SUM(NR9:PB9)</f>
        <v>338042229.75</v>
      </c>
      <c r="PF9" s="16">
        <f>DK9+BY9+AM9</f>
        <v>874005351.328125</v>
      </c>
      <c r="PH9" s="16">
        <f>PF9+JG9+PC9</f>
        <v>1468265306.078125</v>
      </c>
    </row>
    <row r="10" spans="1:424" outlineLevel="1" x14ac:dyDescent="0.35">
      <c r="A10" s="46" t="s">
        <v>34</v>
      </c>
      <c r="B10" s="25">
        <f>'[2]CF PDP'!$BT$36</f>
        <v>49448794</v>
      </c>
      <c r="C10" s="25">
        <f>'[2]CF PDP'!$BT$37</f>
        <v>57005192</v>
      </c>
      <c r="D10" s="25">
        <f>'[2]CF PDP'!$BT$38</f>
        <v>46585278</v>
      </c>
      <c r="E10" s="25">
        <f>'[2]CF PDP'!$BT$39</f>
        <v>40336428</v>
      </c>
      <c r="F10" s="25">
        <f>'[2]CF PDP'!$BT$40</f>
        <v>35622767</v>
      </c>
      <c r="G10" s="25">
        <f>'[2]CF PDP'!$BT$41</f>
        <v>31719817</v>
      </c>
      <c r="H10" s="25">
        <f>'[2]CF PDP'!$BT$42</f>
        <v>28226535</v>
      </c>
      <c r="I10" s="25">
        <f>'[2]CF PDP'!$BT$43</f>
        <v>25274983</v>
      </c>
      <c r="J10" s="25">
        <f>'[2]CF PDP'!$BT$44</f>
        <v>22720894</v>
      </c>
      <c r="K10" s="25">
        <f>'[2]CF PDP'!$BT$45</f>
        <v>20511679</v>
      </c>
      <c r="L10" s="25">
        <f>'[2]CF PDP'!$BT$46</f>
        <v>18454231</v>
      </c>
      <c r="M10" s="25">
        <f>'[2]CF PDP'!$BT$47</f>
        <v>16639340</v>
      </c>
      <c r="N10" s="25">
        <f>'[2]CF PDP'!$BT$48</f>
        <v>15065947</v>
      </c>
      <c r="O10" s="25">
        <f>'[2]CF PDP'!$BT$49</f>
        <v>13755326</v>
      </c>
      <c r="P10" s="25">
        <f>'[2]CF PDP'!$BT$50</f>
        <v>12508893</v>
      </c>
      <c r="Q10" s="25">
        <f>'[2]CF PDP'!$BT$51</f>
        <v>11409678</v>
      </c>
      <c r="R10" s="25">
        <f>'[2]CF PDP'!$BT$52</f>
        <v>10475112</v>
      </c>
      <c r="S10" s="25">
        <f>'[2]CF PDP'!$BT$53</f>
        <v>9589504</v>
      </c>
      <c r="T10" s="25">
        <f>'[2]CF PDP'!$BT$54</f>
        <v>8757290</v>
      </c>
      <c r="U10" s="25">
        <f>'[2]CF PDP'!$BT$55</f>
        <v>8036859</v>
      </c>
      <c r="V10" s="25">
        <f>'[2]CF PDP'!$BT$56</f>
        <v>7419503</v>
      </c>
      <c r="W10" s="25">
        <f>'[2]CF PDP'!$BT$57</f>
        <v>0</v>
      </c>
      <c r="X10" s="25">
        <f>'[2]CF PDP'!$BT$58</f>
        <v>0</v>
      </c>
      <c r="Y10" s="25">
        <f>'[2]CF PDP'!$BT$59</f>
        <v>0</v>
      </c>
      <c r="Z10" s="25">
        <f>'[2]CF PDP'!$BT$60</f>
        <v>0</v>
      </c>
      <c r="AA10" s="25">
        <f>'[2]CF PDP'!$BT$61</f>
        <v>0</v>
      </c>
      <c r="AB10" s="25">
        <f>'[2]CF PDP'!$BT$62</f>
        <v>0</v>
      </c>
      <c r="AC10" s="25">
        <f>'[2]CF PDP'!$BT$63</f>
        <v>0</v>
      </c>
      <c r="AD10" s="25">
        <f>'[2]CF PDP'!$BT$64</f>
        <v>0</v>
      </c>
      <c r="AE10" s="25">
        <f>'[2]CF PDP'!$BT$65</f>
        <v>0</v>
      </c>
      <c r="AF10" s="25">
        <f>'[2]CF PDP'!$BT$66</f>
        <v>0</v>
      </c>
      <c r="AG10" s="25">
        <f>'[2]CF PDP'!$BT$67</f>
        <v>0</v>
      </c>
      <c r="AH10" s="25">
        <f>'[2]CF PDP'!$BT$68</f>
        <v>0</v>
      </c>
      <c r="AI10" s="25">
        <f>'[2]CF PDP'!$BT$69</f>
        <v>0</v>
      </c>
      <c r="AJ10" s="25">
        <f>'[2]CF PDP'!$BT$70</f>
        <v>0</v>
      </c>
      <c r="AK10" s="25">
        <f>'[2]CF PDP'!$BT$71</f>
        <v>0</v>
      </c>
      <c r="AL10" s="25">
        <f>'[2]CF PDP'!$BT$72</f>
        <v>0</v>
      </c>
      <c r="AM10" s="26">
        <f>SUM(B10:AL10)</f>
        <v>489564050</v>
      </c>
      <c r="AN10" s="27">
        <f>'[2]CF PNP'!$BT$36</f>
        <v>4701942</v>
      </c>
      <c r="AO10" s="25">
        <f>'[2]CF PNP'!$BT$37</f>
        <v>6541156</v>
      </c>
      <c r="AP10" s="25">
        <f>'[2]CF PNP'!$BT$38</f>
        <v>4884191</v>
      </c>
      <c r="AQ10" s="25">
        <f>'[2]CF PNP'!$BT$39</f>
        <v>4124940</v>
      </c>
      <c r="AR10" s="25">
        <f>'[2]CF PNP'!$BT$40</f>
        <v>3627162</v>
      </c>
      <c r="AS10" s="25">
        <f>'[2]CF PNP'!$BT$41</f>
        <v>3215040</v>
      </c>
      <c r="AT10" s="25">
        <f>'[2]CF PNP'!$BT$42</f>
        <v>2851258</v>
      </c>
      <c r="AU10" s="25">
        <f>'[2]CF PNP'!$BT$43</f>
        <v>2543842</v>
      </c>
      <c r="AV10" s="25">
        <f>'[2]CF PNP'!$BT$44</f>
        <v>2275504</v>
      </c>
      <c r="AW10" s="25">
        <f>'[2]CF PNP'!$BT$45</f>
        <v>2045725</v>
      </c>
      <c r="AX10" s="25">
        <f>'[2]CF PNP'!$BT$46</f>
        <v>1831445</v>
      </c>
      <c r="AY10" s="25">
        <f>'[2]CF PNP'!$BT$47</f>
        <v>1647353</v>
      </c>
      <c r="AZ10" s="25">
        <f>'[2]CF PNP'!$BT$48</f>
        <v>1488173</v>
      </c>
      <c r="BA10" s="25">
        <f>'[2]CF PNP'!$BT$49</f>
        <v>1352030</v>
      </c>
      <c r="BB10" s="25">
        <f>'[2]CF PNP'!$BT$50</f>
        <v>1224190</v>
      </c>
      <c r="BC10" s="25">
        <f>'[2]CF PNP'!$BT$51</f>
        <v>1113606</v>
      </c>
      <c r="BD10" s="25">
        <f>'[2]CF PNP'!$BT$52</f>
        <v>1014696</v>
      </c>
      <c r="BE10" s="25">
        <f>'[2]CF PNP'!$BT$53</f>
        <v>928431</v>
      </c>
      <c r="BF10" s="25">
        <f>'[2]CF PNP'!$BT$54</f>
        <v>846090</v>
      </c>
      <c r="BG10" s="25">
        <f>'[2]CF PNP'!$BT$55</f>
        <v>772487</v>
      </c>
      <c r="BH10" s="25">
        <f>'[2]CF PNP'!$BT$56</f>
        <v>707057</v>
      </c>
      <c r="BI10" s="25">
        <f>'[2]CF PNP'!$BT$57</f>
        <v>0</v>
      </c>
      <c r="BJ10" s="25">
        <f>'[2]CF PNP'!$BT$58</f>
        <v>0</v>
      </c>
      <c r="BK10" s="25">
        <f>'[2]CF PNP'!$BT$59</f>
        <v>0</v>
      </c>
      <c r="BL10" s="25">
        <f>'[2]CF PNP'!$BT$60</f>
        <v>0</v>
      </c>
      <c r="BM10" s="25">
        <f>'[2]CF PNP'!$BT$61</f>
        <v>0</v>
      </c>
      <c r="BN10" s="25">
        <f>'[2]CF PNP'!$BT$62</f>
        <v>0</v>
      </c>
      <c r="BO10" s="25">
        <f>'[2]CF PNP'!$BT$63</f>
        <v>0</v>
      </c>
      <c r="BP10" s="25">
        <f>'[2]CF PNP'!$BT$64</f>
        <v>0</v>
      </c>
      <c r="BQ10" s="25">
        <f>'[2]CF PNP'!$BT$65</f>
        <v>0</v>
      </c>
      <c r="BR10" s="25">
        <f>'[2]CF PNP'!$BT$66</f>
        <v>0</v>
      </c>
      <c r="BS10" s="25">
        <f>'[2]CF PNP'!$BT$67</f>
        <v>0</v>
      </c>
      <c r="BT10" s="25">
        <f>'[2]CF PNP'!$BT$68</f>
        <v>0</v>
      </c>
      <c r="BU10" s="25">
        <f>'[2]CF PNP'!$BT$69</f>
        <v>0</v>
      </c>
      <c r="BV10" s="25">
        <f>'[2]CF PNP'!$BT$70</f>
        <v>0</v>
      </c>
      <c r="BW10" s="25">
        <f>'[2]CF PNP'!$BT$71</f>
        <v>0</v>
      </c>
      <c r="BX10" s="25">
        <f>'[2]CF PNP'!$BT$72</f>
        <v>0</v>
      </c>
      <c r="BY10" s="26">
        <f>SUM(AN10:BX10)</f>
        <v>49736318</v>
      </c>
      <c r="BZ10" s="27">
        <f>'[2]CF PND'!$BT$36</f>
        <v>0</v>
      </c>
      <c r="CA10" s="25">
        <f>'[2]CF PND'!$BT$37</f>
        <v>0</v>
      </c>
      <c r="CB10" s="25">
        <f>'[2]CF PND'!$BT$38</f>
        <v>7389273</v>
      </c>
      <c r="CC10" s="25">
        <f>'[2]CF PND'!$BT$39</f>
        <v>24920144</v>
      </c>
      <c r="CD10" s="25">
        <f>'[2]CF PND'!$BT$40</f>
        <v>54339413</v>
      </c>
      <c r="CE10" s="25">
        <f>'[2]CF PND'!$BT$41</f>
        <v>63449070</v>
      </c>
      <c r="CF10" s="25">
        <f>'[2]CF PND'!$BT$42</f>
        <v>48723269</v>
      </c>
      <c r="CG10" s="25">
        <f>'[2]CF PND'!$BT$43</f>
        <v>34795594</v>
      </c>
      <c r="CH10" s="25">
        <f>'[2]CF PND'!$BT$44</f>
        <v>25603646</v>
      </c>
      <c r="CI10" s="25">
        <f>'[2]CF PND'!$BT$45</f>
        <v>19043205</v>
      </c>
      <c r="CJ10" s="25">
        <f>'[2]CF PND'!$BT$46</f>
        <v>14318706</v>
      </c>
      <c r="CK10" s="25">
        <f>'[2]CF PND'!$BT$47</f>
        <v>10864074</v>
      </c>
      <c r="CL10" s="25">
        <f>'[2]CF PND'!$BT$48</f>
        <v>8320005</v>
      </c>
      <c r="CM10" s="25">
        <f>'[2]CF PND'!$BT$49</f>
        <v>6380242</v>
      </c>
      <c r="CN10" s="25">
        <f>'[2]CF PND'!$BT$50</f>
        <v>4958491</v>
      </c>
      <c r="CO10" s="25">
        <f>'[2]CF PND'!$BT$51</f>
        <v>3861010</v>
      </c>
      <c r="CP10" s="25">
        <f>'[2]CF PND'!$BT$52</f>
        <v>3036575</v>
      </c>
      <c r="CQ10" s="25">
        <f>'[2]CF PND'!$BT$53</f>
        <v>2196895</v>
      </c>
      <c r="CR10" s="25">
        <f>'[2]CF PND'!$BT$54</f>
        <v>0</v>
      </c>
      <c r="CS10" s="25">
        <f>'[2]CF PND'!$BT$55</f>
        <v>0</v>
      </c>
      <c r="CT10" s="25">
        <f>'[2]CF PND'!$BT$56</f>
        <v>0</v>
      </c>
      <c r="CU10" s="25">
        <f>'[2]CF PND'!$BT$57</f>
        <v>0</v>
      </c>
      <c r="CV10" s="25">
        <f>'[2]CF PND'!$BT$58</f>
        <v>0</v>
      </c>
      <c r="CW10" s="25">
        <f>'[2]CF PND'!$BT$59</f>
        <v>0</v>
      </c>
      <c r="CX10" s="25">
        <f>'[2]CF PND'!$BT$60</f>
        <v>0</v>
      </c>
      <c r="CY10" s="25">
        <f>'[2]CF PND'!$BT$61</f>
        <v>0</v>
      </c>
      <c r="CZ10" s="25">
        <f>'[2]CF PND'!$BT$62</f>
        <v>0</v>
      </c>
      <c r="DA10" s="25">
        <f>'[2]CF PND'!$BT$63</f>
        <v>0</v>
      </c>
      <c r="DB10" s="25">
        <f>'[2]CF PND'!$BT$64</f>
        <v>0</v>
      </c>
      <c r="DC10" s="25">
        <f>'[2]CF PND'!$BT$65</f>
        <v>0</v>
      </c>
      <c r="DD10" s="25">
        <f>'[2]CF PND'!$BT$66</f>
        <v>0</v>
      </c>
      <c r="DE10" s="25">
        <f>'[2]CF PND'!$BT$67</f>
        <v>0</v>
      </c>
      <c r="DF10" s="25">
        <f>'[2]CF PND'!$BT$68</f>
        <v>0</v>
      </c>
      <c r="DG10" s="25">
        <f>'[2]CF PND'!$BT$69</f>
        <v>0</v>
      </c>
      <c r="DH10" s="25">
        <f>'[2]CF PND'!$BT$70</f>
        <v>0</v>
      </c>
      <c r="DI10" s="25">
        <f>'[2]CF PND'!$BT$71</f>
        <v>0</v>
      </c>
      <c r="DJ10" s="25">
        <f>'[2]CF PND'!$BT$72</f>
        <v>0</v>
      </c>
      <c r="DK10" s="26">
        <f>SUM(BZ10:DJ10)</f>
        <v>332199612</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'[2]CF PRB'!$BT$36</f>
        <v>0</v>
      </c>
      <c r="HW10" s="25">
        <f>'[2]CF PRB'!$BT$37</f>
        <v>0</v>
      </c>
      <c r="HX10" s="25">
        <f>'[2]CF PRB'!$BT$38</f>
        <v>3849196</v>
      </c>
      <c r="HY10" s="25">
        <f>'[2]CF PRB'!$BT$39</f>
        <v>14113098</v>
      </c>
      <c r="HZ10" s="25">
        <f>'[2]CF PRB'!$BT$40</f>
        <v>27134731</v>
      </c>
      <c r="IA10" s="25">
        <f>'[2]CF PRB'!$BT$41</f>
        <v>33130813</v>
      </c>
      <c r="IB10" s="25">
        <f>'[2]CF PRB'!$BT$42</f>
        <v>34431436</v>
      </c>
      <c r="IC10" s="25">
        <f>'[2]CF PRB'!$BT$43</f>
        <v>30345628</v>
      </c>
      <c r="ID10" s="25">
        <f>'[2]CF PRB'!$BT$44</f>
        <v>24427340</v>
      </c>
      <c r="IE10" s="25">
        <f>'[2]CF PRB'!$BT$45</f>
        <v>19383147</v>
      </c>
      <c r="IF10" s="25">
        <f>'[2]CF PRB'!$BT$46</f>
        <v>14172904</v>
      </c>
      <c r="IG10" s="25">
        <f>'[2]CF PRB'!$BT$47</f>
        <v>11337432</v>
      </c>
      <c r="IH10" s="25">
        <f>'[2]CF PRB'!$BT$48</f>
        <v>9167374</v>
      </c>
      <c r="II10" s="25">
        <f>'[2]CF PRB'!$BT$49</f>
        <v>7494162</v>
      </c>
      <c r="IJ10" s="25">
        <f>'[2]CF PRB'!$BT$50</f>
        <v>6105696</v>
      </c>
      <c r="IK10" s="25">
        <f>'[2]CF PRB'!$BT$51</f>
        <v>4995624</v>
      </c>
      <c r="IL10" s="25">
        <f>'[2]CF PRB'!$BT$52</f>
        <v>4097458</v>
      </c>
      <c r="IM10" s="25">
        <f>'[2]CF PRB'!$BT$53</f>
        <v>3533965</v>
      </c>
      <c r="IN10" s="25">
        <f>'[2]CF PRB'!$BT$54</f>
        <v>4595274</v>
      </c>
      <c r="IO10" s="25">
        <f>'[2]CF PRB'!$BT$55</f>
        <v>3683932</v>
      </c>
      <c r="IP10" s="25">
        <f>'[2]CF PRB'!$BT$56</f>
        <v>0</v>
      </c>
      <c r="IQ10" s="25">
        <f>'[2]CF PRB'!$BT$57</f>
        <v>0</v>
      </c>
      <c r="IR10" s="25">
        <f>'[2]CF PRB'!$BT$58</f>
        <v>0</v>
      </c>
      <c r="IS10" s="25">
        <f>'[2]CF PRB'!$BT$59</f>
        <v>0</v>
      </c>
      <c r="IT10" s="25">
        <f>'[2]CF PRB'!$BT$60</f>
        <v>0</v>
      </c>
      <c r="IU10" s="25">
        <f>'[2]CF PRB'!$BT$61</f>
        <v>0</v>
      </c>
      <c r="IV10" s="25">
        <f>'[2]CF PRB'!$BT$62</f>
        <v>0</v>
      </c>
      <c r="IW10" s="25">
        <f>'[2]CF PRB'!$BT$63</f>
        <v>0</v>
      </c>
      <c r="IX10" s="25">
        <f>'[2]CF PRB'!$BT$64</f>
        <v>0</v>
      </c>
      <c r="IY10" s="25">
        <f>'[2]CF PRB'!$BT$65</f>
        <v>0</v>
      </c>
      <c r="IZ10" s="25">
        <f>'[2]CF PRB'!$BT$66</f>
        <v>0</v>
      </c>
      <c r="JA10" s="25">
        <f>'[2]CF PRB'!$BT$67</f>
        <v>0</v>
      </c>
      <c r="JB10" s="25">
        <f>'[2]CF PRB'!$BT$68</f>
        <v>0</v>
      </c>
      <c r="JC10" s="25">
        <f>'[2]CF PRB'!$BT$69</f>
        <v>0</v>
      </c>
      <c r="JD10" s="25">
        <f>'[2]CF PRB'!$BT$70</f>
        <v>0</v>
      </c>
      <c r="JE10" s="25">
        <f>'[2]CF PRB'!$BT$71</f>
        <v>0</v>
      </c>
      <c r="JF10" s="25">
        <f>'[2]CF PRB'!$BT$72</f>
        <v>0</v>
      </c>
      <c r="JG10" s="26">
        <f>SUM(HV10:JF10)</f>
        <v>255999210</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'[2]CF PS'!$BT$36</f>
        <v>0</v>
      </c>
      <c r="NS10" s="25">
        <f>'[2]CF PS'!$BT$37</f>
        <v>0</v>
      </c>
      <c r="NT10" s="25">
        <f>'[2]CF PS'!$BT$38</f>
        <v>4182287</v>
      </c>
      <c r="NU10" s="25">
        <f>'[2]CF PS'!$BT$39</f>
        <v>6788059</v>
      </c>
      <c r="NV10" s="25">
        <f>'[2]CF PS'!$BT$40</f>
        <v>12418048</v>
      </c>
      <c r="NW10" s="25">
        <f>'[2]CF PS'!$BT$41</f>
        <v>22507040</v>
      </c>
      <c r="NX10" s="25">
        <f>'[2]CF PS'!$BT$42</f>
        <v>25952520</v>
      </c>
      <c r="NY10" s="25">
        <f>'[2]CF PS'!$BT$43</f>
        <v>25771106</v>
      </c>
      <c r="NZ10" s="25">
        <f>'[2]CF PS'!$BT$44</f>
        <v>24531320</v>
      </c>
      <c r="OA10" s="25">
        <f>'[2]CF PS'!$BT$45</f>
        <v>23098731</v>
      </c>
      <c r="OB10" s="25">
        <f>'[2]CF PS'!$BT$46</f>
        <v>22206270</v>
      </c>
      <c r="OC10" s="25">
        <f>'[2]CF PS'!$BT$47</f>
        <v>20294900</v>
      </c>
      <c r="OD10" s="25">
        <f>'[2]CF PS'!$BT$48</f>
        <v>18386079</v>
      </c>
      <c r="OE10" s="25">
        <f>'[2]CF PS'!$BT$49</f>
        <v>16609369</v>
      </c>
      <c r="OF10" s="25">
        <f>'[2]CF PS'!$BT$50</f>
        <v>14932937</v>
      </c>
      <c r="OG10" s="25">
        <f>'[2]CF PS'!$BT$51</f>
        <v>12736965</v>
      </c>
      <c r="OH10" s="25">
        <f>'[2]CF PS'!$BT$52</f>
        <v>10197368</v>
      </c>
      <c r="OI10" s="25">
        <f>'[2]CF PS'!$BT$53</f>
        <v>9171088</v>
      </c>
      <c r="OJ10" s="25">
        <f>'[2]CF PS'!$BT$54</f>
        <v>8211713</v>
      </c>
      <c r="OK10" s="25">
        <f>'[2]CF PS'!$BT$55</f>
        <v>7306780</v>
      </c>
      <c r="OL10" s="25">
        <f>'[2]CF PS'!$BT$56</f>
        <v>9399254</v>
      </c>
      <c r="OM10" s="25">
        <f>'[2]CF PS'!$BT$57</f>
        <v>15546507</v>
      </c>
      <c r="ON10" s="25">
        <f>'[2]CF PS'!$BT$58</f>
        <v>13858757</v>
      </c>
      <c r="OO10" s="25">
        <f>'[2]CF PS'!$BT$59</f>
        <v>12391314</v>
      </c>
      <c r="OP10" s="25">
        <f>'[2]CF PS'!$BT$60</f>
        <v>0</v>
      </c>
      <c r="OQ10" s="25">
        <f>'[2]CF PS'!$BT$61</f>
        <v>0</v>
      </c>
      <c r="OR10" s="25">
        <f>'[2]CF PS'!$BT$62</f>
        <v>0</v>
      </c>
      <c r="OS10" s="25">
        <f>'[2]CF PS'!$BT$63</f>
        <v>0</v>
      </c>
      <c r="OT10" s="25">
        <f>'[2]CF PS'!$BT$64</f>
        <v>0</v>
      </c>
      <c r="OU10" s="25">
        <f>'[2]CF PS'!$BT$65</f>
        <v>0</v>
      </c>
      <c r="OV10" s="25">
        <f>'[2]CF PS'!$BT$66</f>
        <v>0</v>
      </c>
      <c r="OW10" s="25">
        <f>'[2]CF PS'!$BT$67</f>
        <v>0</v>
      </c>
      <c r="OX10" s="25">
        <f>'[2]CF PS'!$BT$68</f>
        <v>0</v>
      </c>
      <c r="OY10" s="25">
        <f>'[2]CF PS'!$BT$69</f>
        <v>0</v>
      </c>
      <c r="OZ10" s="25">
        <f>'[2]CF PS'!$BT$70</f>
        <v>0</v>
      </c>
      <c r="PA10" s="25">
        <f>'[2]CF PS'!$BT$71</f>
        <v>0</v>
      </c>
      <c r="PB10" s="25">
        <f>'[2]CF PS'!$BT$72</f>
        <v>0</v>
      </c>
      <c r="PC10" s="26">
        <f>SUM(NR10:PB10)</f>
        <v>336498412</v>
      </c>
      <c r="PF10" s="16">
        <f>DK10+BY10+AM10</f>
        <v>871499980</v>
      </c>
      <c r="PH10" s="16">
        <f>PF10+JG10+PC10</f>
        <v>1463997602</v>
      </c>
    </row>
    <row r="11" spans="1:424" ht="15.6" thickBot="1" x14ac:dyDescent="0.4">
      <c r="A11" s="47" t="s">
        <v>35</v>
      </c>
      <c r="B11" s="40">
        <f>IF(AND(B9&lt;&gt;0,B10&lt;&gt;0),(B9-B10)/B10,IF(AND(B9=0,B10=0),"",IF(AND(B9="",B10=""),"",IF(AND(B9=0,B10=""),"", IF(AND(B9="",B10=0),"",1)))))</f>
        <v>7.3655992500039531E-4</v>
      </c>
      <c r="C11" s="40">
        <f t="shared" ref="C11" si="263">IF(AND(C9&lt;&gt;0,C10&lt;&gt;0),(C9-C10)/C10,IF(AND(C9=0,C10=0),"",IF(AND(C9="",C10=""),"",IF(AND(C9=0,C10=""),"", IF(AND(C9="",C10=0),"",1)))))</f>
        <v>-7.3677499410930851E-6</v>
      </c>
      <c r="D11" s="40">
        <f t="shared" ref="D11" si="264">IF(AND(D9&lt;&gt;0,D10&lt;&gt;0),(D9-D10)/D10,IF(AND(D9=0,D10=0),"",IF(AND(D9="",D10=""),"",IF(AND(D9=0,D10=""),"", IF(AND(D9="",D10=0),"",1)))))</f>
        <v>-6.0534145572770862E-6</v>
      </c>
      <c r="E11" s="40">
        <f t="shared" ref="E11" si="265">IF(AND(E9&lt;&gt;0,E10&lt;&gt;0),(E9-E10)/E10,IF(AND(E9=0,E10=0),"",IF(AND(E9="",E10=""),"",IF(AND(E9=0,E10=""),"", IF(AND(E9="",E10=0),"",1)))))</f>
        <v>-4.6607994143655956E-6</v>
      </c>
      <c r="F11" s="40">
        <f t="shared" ref="F11" si="266">IF(AND(F9&lt;&gt;0,F10&lt;&gt;0),(F9-F10)/F10,IF(AND(F9=0,F10=0),"",IF(AND(F9="",F10=""),"",IF(AND(F9=0,F10=""),"", IF(AND(F9="",F10=0),"",1)))))</f>
        <v>-3.340560265854699E-6</v>
      </c>
      <c r="G11" s="40">
        <f t="shared" ref="G11" si="267">IF(AND(G9&lt;&gt;0,G10&lt;&gt;0),(G9-G10)/G10,IF(AND(G9=0,G10=0),"",IF(AND(G9="",G10=""),"",IF(AND(G9=0,G10=""),"", IF(AND(G9="",G10=0),"",1)))))</f>
        <v>-2.4275045470785663E-6</v>
      </c>
      <c r="H11" s="40">
        <f t="shared" ref="H11" si="268">IF(AND(H9&lt;&gt;0,H10&lt;&gt;0),(H9-H10)/H10,IF(AND(H9=0,H10=0),"",IF(AND(H9="",H10=""),"",IF(AND(H9=0,H10=""),"", IF(AND(H9="",H10=0),"",1)))))</f>
        <v>-2.4445083323192169E-6</v>
      </c>
      <c r="I11" s="40">
        <f t="shared" ref="I11" si="269">IF(AND(I9&lt;&gt;0,I10&lt;&gt;0),(I9-I10)/I10,IF(AND(I9=0,I10=0),"",IF(AND(I9="",I10=""),"",IF(AND(I9=0,I10=""),"", IF(AND(I9="",I10=0),"",1)))))</f>
        <v>-2.2551943951851522E-6</v>
      </c>
      <c r="J11" s="40">
        <f t="shared" ref="J11" si="270">IF(AND(J9&lt;&gt;0,J10&lt;&gt;0),(J9-J10)/J10,IF(AND(J9=0,J10=0),"",IF(AND(J9="",J10=""),"",IF(AND(J9=0,J10=""),"", IF(AND(J9="",J10=0),"",1)))))</f>
        <v>-2.1125929287817636E-6</v>
      </c>
      <c r="K11" s="40">
        <f t="shared" ref="K11" si="271">IF(AND(K9&lt;&gt;0,K10&lt;&gt;0),(K9-K10)/K10,IF(AND(K9=0,K10=0),"",IF(AND(K9="",K10=""),"",IF(AND(K9=0,K10=""),"", IF(AND(K9="",K10=0),"",1)))))</f>
        <v>-1.8038503820189464E-6</v>
      </c>
      <c r="L11" s="40">
        <f t="shared" ref="L11" si="272">IF(AND(L9&lt;&gt;0,L10&lt;&gt;0),(L9-L10)/L10,IF(AND(L9=0,L10=0),"",IF(AND(L9="",L10=""),"",IF(AND(L9=0,L10=""),"", IF(AND(L9="",L10=0),"",1)))))</f>
        <v>-1.3547028862920379E-6</v>
      </c>
      <c r="M11" s="40">
        <f t="shared" ref="M11" si="273">IF(AND(M9&lt;&gt;0,M10&lt;&gt;0),(M9-M10)/M10,IF(AND(M9=0,M10=0),"",IF(AND(M9="",M10=""),"",IF(AND(M9=0,M10=""),"", IF(AND(M9="",M10=0),"",1)))))</f>
        <v>-1.2019707512437393E-7</v>
      </c>
      <c r="N11" s="40">
        <f t="shared" ref="N11" si="274">IF(AND(N9&lt;&gt;0,N10&lt;&gt;0),(N9-N10)/N10,IF(AND(N9=0,N10=0),"",IF(AND(N9="",N10=""),"",IF(AND(N9=0,N10=""),"", IF(AND(N9="",N10=0),"",1)))))</f>
        <v>0</v>
      </c>
      <c r="O11" s="40">
        <f t="shared" ref="O11" si="275">IF(AND(O9&lt;&gt;0,O10&lt;&gt;0),(O9-O10)/O10,IF(AND(O9=0,O10=0),"",IF(AND(O9="",O10=""),"",IF(AND(O9=0,O10=""),"", IF(AND(O9="",O10=0),"",1)))))</f>
        <v>-7.2699113056280887E-8</v>
      </c>
      <c r="P11" s="40">
        <f t="shared" ref="P11" si="276">IF(AND(P9&lt;&gt;0,P10&lt;&gt;0),(P9-P10)/P10,IF(AND(P9=0,P10=0),"",IF(AND(P9="",P10=""),"",IF(AND(P9=0,P10=""),"", IF(AND(P9="",P10=0),"",1)))))</f>
        <v>0</v>
      </c>
      <c r="Q11" s="40">
        <f t="shared" ref="Q11" si="277">IF(AND(Q9&lt;&gt;0,Q10&lt;&gt;0),(Q9-Q10)/Q10,IF(AND(Q9=0,Q10=0),"",IF(AND(Q9="",Q10=""),"",IF(AND(Q9=0,Q10=""),"", IF(AND(Q9="",Q10=0),"",1)))))</f>
        <v>0</v>
      </c>
      <c r="R11" s="40">
        <f t="shared" ref="R11" si="278">IF(AND(R9&lt;&gt;0,R10&lt;&gt;0),(R9-R10)/R10,IF(AND(R9=0,R10=0),"",IF(AND(R9="",R10=""),"",IF(AND(R9=0,R10=""),"", IF(AND(R9="",R10=0),"",1)))))</f>
        <v>0</v>
      </c>
      <c r="S11" s="40">
        <f t="shared" ref="S11" si="279">IF(AND(S9&lt;&gt;0,S10&lt;&gt;0),(S9-S10)/S10,IF(AND(S9=0,S10=0),"",IF(AND(S9="",S10=""),"",IF(AND(S9=0,S10=""),"", IF(AND(S9="",S10=0),"",1)))))</f>
        <v>-1.0428068021036333E-7</v>
      </c>
      <c r="T11" s="40">
        <f t="shared" ref="T11" si="280">IF(AND(T9&lt;&gt;0,T10&lt;&gt;0),(T9-T10)/T10,IF(AND(T9=0,T10=0),"",IF(AND(T9="",T10=""),"",IF(AND(T9=0,T10=""),"", IF(AND(T9="",T10=0),"",1)))))</f>
        <v>0</v>
      </c>
      <c r="U11" s="40">
        <f t="shared" ref="U11" si="281">IF(AND(U9&lt;&gt;0,U10&lt;&gt;0),(U9-U10)/U10,IF(AND(U9=0,U10=0),"",IF(AND(U9="",U10=""),"",IF(AND(U9=0,U10=""),"", IF(AND(U9="",U10=0),"",1)))))</f>
        <v>0</v>
      </c>
      <c r="V11" s="40">
        <f t="shared" ref="V11" si="282">IF(AND(V9&lt;&gt;0,V10&lt;&gt;0),(V9-V10)/V10,IF(AND(V9=0,V10=0),"",IF(AND(V9="",V10=""),"",IF(AND(V9=0,V10=""),"", IF(AND(V9="",V10=0),"",1)))))</f>
        <v>6.7389958599652836E-8</v>
      </c>
      <c r="W11" s="40">
        <f t="shared" ref="W11" si="283">IF(AND(W9&lt;&gt;0,W10&lt;&gt;0),(W9-W10)/W10,IF(AND(W9=0,W10=0),"",IF(AND(W9="",W10=""),"",IF(AND(W9=0,W10=""),"", IF(AND(W9="",W10=0),"",1)))))</f>
        <v>1</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4.8235414753187043E-3</v>
      </c>
      <c r="AN11" s="39">
        <f t="shared" ref="AN11" si="286">IF(AND(AN9&lt;&gt;0,AN10&lt;&gt;0),(AN9-AN10)/AN10,IF(AND(AN9=0,AN10=0),"",IF(AND(AN9="",AN10=""),"",IF(AND(AN9=0,AN10=""),"", IF(AND(AN9="",AN10=0),"",1)))))</f>
        <v>8.6511594570924097E-2</v>
      </c>
      <c r="AO11" s="40">
        <f t="shared" ref="AO11" si="287">IF(AND(AO9&lt;&gt;0,AO10&lt;&gt;0),(AO9-AO10)/AO10,IF(AND(AO9=0,AO10=0),"",IF(AND(AO9="",AO10=""),"",IF(AND(AO9=0,AO10=""),"", IF(AND(AO9="",AO10=0),"",1)))))</f>
        <v>-9.8606423696361928E-6</v>
      </c>
      <c r="AP11" s="40">
        <f t="shared" ref="AP11" si="288">IF(AND(AP9&lt;&gt;0,AP10&lt;&gt;0),(AP9-AP10)/AP10,IF(AND(AP9=0,AP10=0),"",IF(AND(AP9="",AP10=""),"",IF(AND(AP9=0,AP10=""),"", IF(AND(AP9="",AP10=0),"",1)))))</f>
        <v>-8.5991723091910212E-6</v>
      </c>
      <c r="AQ11" s="40">
        <f t="shared" ref="AQ11" si="289">IF(AND(AQ9&lt;&gt;0,AQ10&lt;&gt;0),(AQ9-AQ10)/AQ10,IF(AND(AQ9=0,AQ10=0),"",IF(AND(AQ9="",AQ10=""),"",IF(AND(AQ9=0,AQ10=""),"", IF(AND(AQ9="",AQ10=0),"",1)))))</f>
        <v>-6.7879775220972915E-6</v>
      </c>
      <c r="AR11" s="40">
        <f t="shared" ref="AR11" si="290">IF(AND(AR9&lt;&gt;0,AR10&lt;&gt;0),(AR9-AR10)/AR10,IF(AND(AR9=0,AR10=0),"",IF(AND(AR9="",AR10=""),"",IF(AND(AR9=0,AR10=""),"", IF(AND(AR9="",AR10=0),"",1)))))</f>
        <v>-4.7557842743169451E-6</v>
      </c>
      <c r="AS11" s="40">
        <f t="shared" ref="AS11" si="291">IF(AND(AS9&lt;&gt;0,AS10&lt;&gt;0),(AS9-AS10)/AS10,IF(AND(AS9=0,AS10=0),"",IF(AND(AS9="",AS10=""),"",IF(AND(AS9=0,AS10=""),"", IF(AND(AS9="",AS10=0),"",1)))))</f>
        <v>-3.2659002687369365E-6</v>
      </c>
      <c r="AT11" s="40">
        <f t="shared" ref="AT11" si="292">IF(AND(AT9&lt;&gt;0,AT10&lt;&gt;0),(AT9-AT10)/AT10,IF(AND(AT9=0,AT10=0),"",IF(AND(AT9="",AT10=""),"",IF(AND(AT9=0,AT10=""),"", IF(AND(AT9="",AT10=0),"",1)))))</f>
        <v>-3.5072238289204276E-6</v>
      </c>
      <c r="AU11" s="40">
        <f t="shared" ref="AU11" si="293">IF(AND(AU9&lt;&gt;0,AU10&lt;&gt;0),(AU9-AU10)/AU10,IF(AND(AU9=0,AU10=0),"",IF(AND(AU9="",AU10=""),"",IF(AND(AU9=0,AU10=""),"", IF(AND(AU9="",AU10=0),"",1)))))</f>
        <v>-3.341402492764881E-6</v>
      </c>
      <c r="AV11" s="40">
        <f t="shared" ref="AV11" si="294">IF(AND(AV9&lt;&gt;0,AV10&lt;&gt;0),(AV9-AV10)/AV10,IF(AND(AV9=0,AV10=0),"",IF(AND(AV9="",AV10=""),"",IF(AND(AV9=0,AV10=""),"", IF(AND(AV9="",AV10=0),"",1)))))</f>
        <v>-3.1861073414944556E-6</v>
      </c>
      <c r="AW11" s="40">
        <f t="shared" ref="AW11" si="295">IF(AND(AW9&lt;&gt;0,AW10&lt;&gt;0),(AW9-AW10)/AW10,IF(AND(AW9=0,AW10=0),"",IF(AND(AW9="",AW10=""),"",IF(AND(AW9=0,AW10=""),"", IF(AND(AW9="",AW10=0),"",1)))))</f>
        <v>-2.7496364369600021E-6</v>
      </c>
      <c r="AX11" s="40">
        <f t="shared" ref="AX11" si="296">IF(AND(AX9&lt;&gt;0,AX10&lt;&gt;0),(AX9-AX10)/AX10,IF(AND(AX9=0,AX10=0),"",IF(AND(AX9="",AX10=""),"",IF(AND(AX9=0,AX10=""),"", IF(AND(AX9="",AX10=0),"",1)))))</f>
        <v>-1.4332944751275632E-6</v>
      </c>
      <c r="AY11" s="40">
        <f t="shared" ref="AY11" si="297">IF(AND(AY9&lt;&gt;0,AY10&lt;&gt;0),(AY9-AY10)/AY10,IF(AND(AY9=0,AY10=0),"",IF(AND(AY9="",AY10=""),"",IF(AND(AY9=0,AY10=""),"", IF(AND(AY9="",AY10=0),"",1)))))</f>
        <v>7.5879304557068216E-8</v>
      </c>
      <c r="AZ11" s="40">
        <f t="shared" ref="AZ11" si="298">IF(AND(AZ9&lt;&gt;0,AZ10&lt;&gt;0),(AZ9-AZ10)/AZ10,IF(AND(AZ9=0,AZ10=0),"",IF(AND(AZ9="",AZ10=""),"",IF(AND(AZ9=0,AZ10=""),"", IF(AND(AZ9="",AZ10=0),"",1)))))</f>
        <v>5.0397366435219559E-7</v>
      </c>
      <c r="BA11" s="40">
        <f t="shared" ref="BA11" si="299">IF(AND(BA9&lt;&gt;0,BA10&lt;&gt;0),(BA9-BA10)/BA10,IF(AND(BA9=0,BA10=0),"",IF(AND(BA9="",BA10=""),"",IF(AND(BA9=0,BA10=""),"", IF(AND(BA9="",BA10=0),"",1)))))</f>
        <v>3.6981427926895113E-7</v>
      </c>
      <c r="BB11" s="40">
        <f t="shared" ref="BB11" si="300">IF(AND(BB9&lt;&gt;0,BB10&lt;&gt;0),(BB9-BB10)/BB10,IF(AND(BB9=0,BB10=0),"",IF(AND(BB9="",BB10=""),"",IF(AND(BB9=0,BB10=""),"", IF(AND(BB9="",BB10=0),"",1)))))</f>
        <v>7.1475832999779449E-7</v>
      </c>
      <c r="BC11" s="40">
        <f t="shared" ref="BC11" si="301">IF(AND(BC9&lt;&gt;0,BC10&lt;&gt;0),(BC9-BC10)/BC10,IF(AND(BC9=0,BC10=0),"",IF(AND(BC9="",BC10=""),"",IF(AND(BC9=0,BC10=""),"", IF(AND(BC9="",BC10=0),"",1)))))</f>
        <v>7.8573570903892401E-7</v>
      </c>
      <c r="BD11" s="40">
        <f t="shared" ref="BD11" si="302">IF(AND(BD9&lt;&gt;0,BD10&lt;&gt;0),(BD9-BD10)/BD10,IF(AND(BD9=0,BD10=0),"",IF(AND(BD9="",BD10=""),"",IF(AND(BD9=0,BD10=""),"", IF(AND(BD9="",BD10=0),"",1)))))</f>
        <v>8.0073243611879811E-7</v>
      </c>
      <c r="BE11" s="40">
        <f t="shared" ref="BE11" si="303">IF(AND(BE9&lt;&gt;0,BE10&lt;&gt;0),(BE9-BE10)/BE10,IF(AND(BE9=0,BE10=0),"",IF(AND(BE9="",BE10=""),"",IF(AND(BE9=0,BE10=""),"", IF(AND(BE9="",BE10=0),"",1)))))</f>
        <v>8.0781447409662106E-7</v>
      </c>
      <c r="BF11" s="40">
        <f t="shared" ref="BF11" si="304">IF(AND(BF9&lt;&gt;0,BF10&lt;&gt;0),(BF9-BF10)/BF10,IF(AND(BF9=0,BF10=0),"",IF(AND(BF9="",BF10=""),"",IF(AND(BF9=0,BF10=""),"", IF(AND(BF9="",BF10=0),"",1)))))</f>
        <v>-7.3869210131309912E-8</v>
      </c>
      <c r="BG11" s="40">
        <f t="shared" ref="BG11" si="305">IF(AND(BG9&lt;&gt;0,BG10&lt;&gt;0),(BG9-BG10)/BG10,IF(AND(BG9=0,BG10=0),"",IF(AND(BG9="",BG10=""),"",IF(AND(BG9=0,BG10=""),"", IF(AND(BG9="",BG10=0),"",1)))))</f>
        <v>7.281675937588594E-7</v>
      </c>
      <c r="BH11" s="40">
        <f t="shared" ref="BH11" si="306">IF(AND(BH9&lt;&gt;0,BH10&lt;&gt;0),(BH9-BH10)/BH10,IF(AND(BH9=0,BH10=0),"",IF(AND(BH9="",BH10=""),"",IF(AND(BH9=0,BH10=""),"", IF(AND(BH9="",BH10=0),"",1)))))</f>
        <v>7.9555113661274834E-7</v>
      </c>
      <c r="BI11" s="40">
        <f t="shared" ref="BI11" si="307">IF(AND(BI9&lt;&gt;0,BI10&lt;&gt;0),(BI9-BI10)/BI10,IF(AND(BI9=0,BI10=0),"",IF(AND(BI9="",BI10=""),"",IF(AND(BI9=0,BI10=""),"", IF(AND(BI9="",BI10=0),"",1)))))</f>
        <v>1</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f t="shared" ref="BY11" si="309">IF(AND(BY9&lt;&gt;0,BY10&lt;&gt;0),(BY9-BY10)/BY10,IF(AND(BY9=0,BY10=0),"",IF(AND(BY9="",BY10=""),"",IF(AND(BY9=0,BY10=""),"", IF(AND(BY9="",BY10=0),"",1)))))</f>
        <v>1.262452626921438E-2</v>
      </c>
      <c r="BZ11" s="39" t="str">
        <f t="shared" ref="BZ11" si="310">IF(AND(BZ9&lt;&gt;0,BZ10&lt;&gt;0),(BZ9-BZ10)/BZ10,IF(AND(BZ9=0,BZ10=0),"",IF(AND(BZ9="",BZ10=""),"",IF(AND(BZ9=0,BZ10=""),"", IF(AND(BZ9="",BZ10=0),"",1)))))</f>
        <v/>
      </c>
      <c r="CA11" s="40" t="str">
        <f t="shared" ref="CA11" si="311">IF(AND(CA9&lt;&gt;0,CA10&lt;&gt;0),(CA9-CA10)/CA10,IF(AND(CA9=0,CA10=0),"",IF(AND(CA9="",CA10=""),"",IF(AND(CA9=0,CA10=""),"", IF(AND(CA9="",CA10=0),"",1)))))</f>
        <v/>
      </c>
      <c r="CB11" s="40">
        <f t="shared" ref="CB11" si="312">IF(AND(CB9&lt;&gt;0,CB10&lt;&gt;0),(CB9-CB10)/CB10,IF(AND(CB9=0,CB10=0),"",IF(AND(CB9="",CB10=""),"",IF(AND(CB9=0,CB10=""),"", IF(AND(CB9="",CB10=0),"",1)))))</f>
        <v>6.7665655335782016E-8</v>
      </c>
      <c r="CC11" s="40">
        <f t="shared" ref="CC11" si="313">IF(AND(CC9&lt;&gt;0,CC10&lt;&gt;0),(CC9-CC10)/CC10,IF(AND(CC9=0,CC10=0),"",IF(AND(CC9="",CC10=""),"",IF(AND(CC9=0,CC10=""),"", IF(AND(CC9="",CC10=0),"",1)))))</f>
        <v>0</v>
      </c>
      <c r="CD11" s="40">
        <f t="shared" ref="CD11" si="314">IF(AND(CD9&lt;&gt;0,CD10&lt;&gt;0),(CD9-CD10)/CD10,IF(AND(CD9=0,CD10=0),"",IF(AND(CD9="",CD10=""),"",IF(AND(CD9=0,CD10=""),"", IF(AND(CD9="",CD10=0),"",1)))))</f>
        <v>-1.840284877571276E-8</v>
      </c>
      <c r="CE11" s="40">
        <f t="shared" ref="CE11" si="315">IF(AND(CE9&lt;&gt;0,CE10&lt;&gt;0),(CE9-CE10)/CE10,IF(AND(CE9=0,CE10=0),"",IF(AND(CE9="",CE10=""),"",IF(AND(CE9=0,CE10=""),"", IF(AND(CE9="",CE10=0),"",1)))))</f>
        <v>-3.1521344599692317E-8</v>
      </c>
      <c r="CF11" s="40">
        <f t="shared" ref="CF11" si="316">IF(AND(CF9&lt;&gt;0,CF10&lt;&gt;0),(CF9-CF10)/CF10,IF(AND(CF9=0,CF10=0),"",IF(AND(CF9="",CF10=""),"",IF(AND(CF9=0,CF10=""),"", IF(AND(CF9="",CF10=0),"",1)))))</f>
        <v>-1.026203722086053E-7</v>
      </c>
      <c r="CG11" s="40">
        <f t="shared" ref="CG11" si="317">IF(AND(CG9&lt;&gt;0,CG10&lt;&gt;0),(CG9-CG10)/CG10,IF(AND(CG9=0,CG10=0),"",IF(AND(CG9="",CG10=""),"",IF(AND(CG9=0,CG10=""),"", IF(AND(CG9="",CG10=0),"",1)))))</f>
        <v>-5.747854167973106E-8</v>
      </c>
      <c r="CH11" s="40">
        <f t="shared" ref="CH11" si="318">IF(AND(CH9&lt;&gt;0,CH10&lt;&gt;0),(CH9-CH10)/CH10,IF(AND(CH9=0,CH10=0),"",IF(AND(CH9="",CH10=""),"",IF(AND(CH9=0,CH10=""),"", IF(AND(CH9="",CH10=0),"",1)))))</f>
        <v>0</v>
      </c>
      <c r="CI11" s="40">
        <f t="shared" ref="CI11" si="319">IF(AND(CI9&lt;&gt;0,CI10&lt;&gt;0),(CI9-CI10)/CI10,IF(AND(CI9=0,CI10=0),"",IF(AND(CI9="",CI10=""),"",IF(AND(CI9=0,CI10=""),"", IF(AND(CI9="",CI10=0),"",1)))))</f>
        <v>-5.251216903877262E-8</v>
      </c>
      <c r="CJ11" s="40">
        <f t="shared" ref="CJ11" si="320">IF(AND(CJ9&lt;&gt;0,CJ10&lt;&gt;0),(CJ9-CJ10)/CJ10,IF(AND(CJ9=0,CJ10=0),"",IF(AND(CJ9="",CJ10=""),"",IF(AND(CJ9=0,CJ10=""),"", IF(AND(CJ9="",CJ10=0),"",1)))))</f>
        <v>-6.983871307924054E-8</v>
      </c>
      <c r="CK11" s="40">
        <f t="shared" ref="CK11" si="321">IF(AND(CK9&lt;&gt;0,CK10&lt;&gt;0),(CK9-CK10)/CK10,IF(AND(CK9=0,CK10=0),"",IF(AND(CK9="",CK10=""),"",IF(AND(CK9=0,CK10=""),"", IF(AND(CK9="",CK10=0),"",1)))))</f>
        <v>0</v>
      </c>
      <c r="CL11" s="40">
        <f t="shared" ref="CL11" si="322">IF(AND(CL9&lt;&gt;0,CL10&lt;&gt;0),(CL9-CL10)/CL10,IF(AND(CL9=0,CL10=0),"",IF(AND(CL9="",CL10=""),"",IF(AND(CL9=0,CL10=""),"", IF(AND(CL9="",CL10=0),"",1)))))</f>
        <v>1.2019223546139695E-7</v>
      </c>
      <c r="CM11" s="40">
        <f t="shared" ref="CM11" si="323">IF(AND(CM9&lt;&gt;0,CM10&lt;&gt;0),(CM9-CM10)/CM10,IF(AND(CM9=0,CM10=0),"",IF(AND(CM9="",CM10=""),"",IF(AND(CM9=0,CM10=""),"", IF(AND(CM9="",CM10=0),"",1)))))</f>
        <v>-7.8366933417259095E-8</v>
      </c>
      <c r="CN11" s="40">
        <f t="shared" ref="CN11" si="324">IF(AND(CN9&lt;&gt;0,CN10&lt;&gt;0),(CN9-CN10)/CN10,IF(AND(CN9=0,CN10=0),"",IF(AND(CN9="",CN10=""),"",IF(AND(CN9=0,CN10=""),"", IF(AND(CN9="",CN10=0),"",1)))))</f>
        <v>1.0083712968320403E-7</v>
      </c>
      <c r="CO11" s="40">
        <f t="shared" ref="CO11" si="325">IF(AND(CO9&lt;&gt;0,CO10&lt;&gt;0),(CO9-CO10)/CO10,IF(AND(CO9=0,CO10=0),"",IF(AND(CO9="",CO10=""),"",IF(AND(CO9=0,CO10=""),"", IF(AND(CO9="",CO10=0),"",1)))))</f>
        <v>0</v>
      </c>
      <c r="CP11" s="40">
        <f t="shared" ref="CP11" si="326">IF(AND(CP9&lt;&gt;0,CP10&lt;&gt;0),(CP9-CP10)/CP10,IF(AND(CP9=0,CP10=0),"",IF(AND(CP9="",CP10=""),"",IF(AND(CP9=0,CP10=""),"", IF(AND(CP9="",CP10=0),"",1)))))</f>
        <v>8.2329598313889824E-8</v>
      </c>
      <c r="CQ11" s="40">
        <f t="shared" ref="CQ11" si="327">IF(AND(CQ9&lt;&gt;0,CQ10&lt;&gt;0),(CQ9-CQ10)/CQ10,IF(AND(CQ9=0,CQ10=0),"",IF(AND(CQ9="",CQ10=""),"",IF(AND(CQ9=0,CQ10=""),"", IF(AND(CQ9="",CQ10=0),"",1)))))</f>
        <v>-0.22028743977295229</v>
      </c>
      <c r="CR11" s="40" t="str">
        <f t="shared" ref="CR11" si="328">IF(AND(CR9&lt;&gt;0,CR10&lt;&gt;0),(CR9-CR10)/CR10,IF(AND(CR9=0,CR10=0),"",IF(AND(CR9="",CR10=""),"",IF(AND(CR9=0,CR10=""),"", IF(AND(CR9="",CR10=0),"",1)))))</f>
        <v/>
      </c>
      <c r="CS11" s="40" t="str">
        <f t="shared" ref="CS11" si="329">IF(AND(CS9&lt;&gt;0,CS10&lt;&gt;0),(CS9-CS10)/CS10,IF(AND(CS9=0,CS10=0),"",IF(AND(CS9="",CS10=""),"",IF(AND(CS9=0,CS10=""),"", IF(AND(CS9="",CS10=0),"",1)))))</f>
        <v/>
      </c>
      <c r="CT11" s="40" t="str">
        <f t="shared" ref="CT11" si="330">IF(AND(CT9&lt;&gt;0,CT10&lt;&gt;0),(CT9-CT10)/CT10,IF(AND(CT9=0,CT10=0),"",IF(AND(CT9="",CT10=""),"",IF(AND(CT9=0,CT10=""),"", IF(AND(CT9="",CT10=0),"",1)))))</f>
        <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f t="shared" ref="DK11:HU11" si="333">IF(AND(DK9&lt;&gt;0,DK10&lt;&gt;0),(DK9-DK10)/DK10,IF(AND(DK9=0,DK10=0),"",IF(AND(DK9="",DK10=""),"",IF(AND(DK9=0,DK10=""),"", IF(AND(DK9="",DK10=0),"",1)))))</f>
        <v>-1.4568307954555949E-3</v>
      </c>
      <c r="DL11" s="72" t="str">
        <f t="shared" si="333"/>
        <v/>
      </c>
      <c r="DM11" s="73" t="str">
        <f t="shared" si="333"/>
        <v/>
      </c>
      <c r="DN11" s="73" t="str">
        <f t="shared" si="333"/>
        <v/>
      </c>
      <c r="DO11" s="73" t="str">
        <f t="shared" si="333"/>
        <v/>
      </c>
      <c r="DP11" s="73" t="str">
        <f t="shared" si="333"/>
        <v/>
      </c>
      <c r="DQ11" s="73" t="str">
        <f t="shared" si="333"/>
        <v/>
      </c>
      <c r="DR11" s="73" t="str">
        <f t="shared" si="333"/>
        <v/>
      </c>
      <c r="DS11" s="73" t="str">
        <f t="shared" si="333"/>
        <v/>
      </c>
      <c r="DT11" s="73" t="str">
        <f t="shared" si="333"/>
        <v/>
      </c>
      <c r="DU11" s="73" t="str">
        <f t="shared" si="333"/>
        <v/>
      </c>
      <c r="DV11" s="73" t="str">
        <f t="shared" si="333"/>
        <v/>
      </c>
      <c r="DW11" s="73" t="str">
        <f t="shared" si="333"/>
        <v/>
      </c>
      <c r="DX11" s="73" t="str">
        <f t="shared" si="333"/>
        <v/>
      </c>
      <c r="DY11" s="73" t="str">
        <f t="shared" si="333"/>
        <v/>
      </c>
      <c r="DZ11" s="73" t="str">
        <f t="shared" si="333"/>
        <v/>
      </c>
      <c r="EA11" s="73" t="str">
        <f t="shared" si="333"/>
        <v/>
      </c>
      <c r="EB11" s="73" t="str">
        <f t="shared" si="333"/>
        <v/>
      </c>
      <c r="EC11" s="73" t="str">
        <f t="shared" si="333"/>
        <v/>
      </c>
      <c r="ED11" s="73" t="str">
        <f t="shared" si="333"/>
        <v/>
      </c>
      <c r="EE11" s="73" t="str">
        <f t="shared" si="333"/>
        <v/>
      </c>
      <c r="EF11" s="73" t="str">
        <f t="shared" si="333"/>
        <v/>
      </c>
      <c r="EG11" s="73" t="str">
        <f t="shared" si="333"/>
        <v/>
      </c>
      <c r="EH11" s="73" t="str">
        <f t="shared" si="333"/>
        <v/>
      </c>
      <c r="EI11" s="73" t="str">
        <f t="shared" ref="EI11:EV11" si="334">IF(AND(EI9&lt;&gt;0,EI10&lt;&gt;0),(EI9-EI10)/EI10,IF(AND(EI9=0,EI10=0),"",IF(AND(EI9="",EI10=""),"",IF(AND(EI9=0,EI10=""),"", IF(AND(EI9="",EI10=0),"",1)))))</f>
        <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t="str">
        <f t="shared" si="333"/>
        <v/>
      </c>
      <c r="EX11" s="72" t="str">
        <f t="shared" ref="EX11:GI11" si="335">IF(AND(EX9&lt;&gt;0,EX10&lt;&gt;0),(EX9-EX10)/EX10,IF(AND(EX9=0,EX10=0),"",IF(AND(EX9="",EX10=""),"",IF(AND(EX9=0,EX10=""),"", IF(AND(EX9="",EX10=0),"",1)))))</f>
        <v/>
      </c>
      <c r="EY11" s="73" t="str">
        <f t="shared" si="335"/>
        <v/>
      </c>
      <c r="EZ11" s="73" t="str">
        <f t="shared" si="335"/>
        <v/>
      </c>
      <c r="FA11" s="73" t="str">
        <f t="shared" si="335"/>
        <v/>
      </c>
      <c r="FB11" s="73" t="str">
        <f t="shared" si="335"/>
        <v/>
      </c>
      <c r="FC11" s="73" t="str">
        <f t="shared" si="335"/>
        <v/>
      </c>
      <c r="FD11" s="73" t="str">
        <f t="shared" si="335"/>
        <v/>
      </c>
      <c r="FE11" s="73" t="str">
        <f t="shared" si="335"/>
        <v/>
      </c>
      <c r="FF11" s="73" t="str">
        <f t="shared" si="335"/>
        <v/>
      </c>
      <c r="FG11" s="73" t="str">
        <f t="shared" si="335"/>
        <v/>
      </c>
      <c r="FH11" s="73" t="str">
        <f t="shared" si="335"/>
        <v/>
      </c>
      <c r="FI11" s="73" t="str">
        <f t="shared" si="335"/>
        <v/>
      </c>
      <c r="FJ11" s="73" t="str">
        <f t="shared" si="335"/>
        <v/>
      </c>
      <c r="FK11" s="73" t="str">
        <f t="shared" si="335"/>
        <v/>
      </c>
      <c r="FL11" s="73" t="str">
        <f t="shared" si="335"/>
        <v/>
      </c>
      <c r="FM11" s="73" t="str">
        <f t="shared" si="335"/>
        <v/>
      </c>
      <c r="FN11" s="73" t="str">
        <f t="shared" si="335"/>
        <v/>
      </c>
      <c r="FO11" s="73" t="str">
        <f t="shared" si="335"/>
        <v/>
      </c>
      <c r="FP11" s="73" t="str">
        <f t="shared" si="335"/>
        <v/>
      </c>
      <c r="FQ11" s="73" t="str">
        <f t="shared" si="335"/>
        <v/>
      </c>
      <c r="FR11" s="73" t="str">
        <f t="shared" si="335"/>
        <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t="str">
        <f t="shared" si="335"/>
        <v/>
      </c>
      <c r="GJ11" s="72" t="str">
        <f t="shared" si="333"/>
        <v/>
      </c>
      <c r="GK11" s="73" t="str">
        <f t="shared" si="333"/>
        <v/>
      </c>
      <c r="GL11" s="73" t="str">
        <f t="shared" si="333"/>
        <v/>
      </c>
      <c r="GM11" s="73" t="str">
        <f t="shared" si="333"/>
        <v/>
      </c>
      <c r="GN11" s="73" t="str">
        <f t="shared" si="333"/>
        <v/>
      </c>
      <c r="GO11" s="73" t="str">
        <f t="shared" si="333"/>
        <v/>
      </c>
      <c r="GP11" s="73" t="str">
        <f t="shared" si="333"/>
        <v/>
      </c>
      <c r="GQ11" s="73" t="str">
        <f t="shared" si="333"/>
        <v/>
      </c>
      <c r="GR11" s="73" t="str">
        <f t="shared" si="333"/>
        <v/>
      </c>
      <c r="GS11" s="73" t="str">
        <f t="shared" si="333"/>
        <v/>
      </c>
      <c r="GT11" s="73" t="str">
        <f t="shared" si="333"/>
        <v/>
      </c>
      <c r="GU11" s="73" t="str">
        <f t="shared" si="333"/>
        <v/>
      </c>
      <c r="GV11" s="73" t="str">
        <f t="shared" si="333"/>
        <v/>
      </c>
      <c r="GW11" s="73" t="str">
        <f t="shared" si="333"/>
        <v/>
      </c>
      <c r="GX11" s="73" t="str">
        <f t="shared" si="333"/>
        <v/>
      </c>
      <c r="GY11" s="73" t="str">
        <f t="shared" si="333"/>
        <v/>
      </c>
      <c r="GZ11" s="73" t="str">
        <f t="shared" si="333"/>
        <v/>
      </c>
      <c r="HA11" s="73" t="str">
        <f t="shared" si="333"/>
        <v/>
      </c>
      <c r="HB11" s="73" t="str">
        <f t="shared" si="333"/>
        <v/>
      </c>
      <c r="HC11" s="73" t="str">
        <f t="shared" si="333"/>
        <v/>
      </c>
      <c r="HD11" s="73" t="str">
        <f t="shared" si="333"/>
        <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t="str">
        <f t="shared" si="333"/>
        <v/>
      </c>
      <c r="HV11" s="39" t="str">
        <f t="shared" ref="HV11" si="338">IF(AND(HV9&lt;&gt;0,HV10&lt;&gt;0),(HV9-HV10)/HV10,IF(AND(HV9=0,HV10=0),"",IF(AND(HV9="",HV10=""),"",IF(AND(HV9=0,HV10=""),"", IF(AND(HV9="",HV10=0),"",1)))))</f>
        <v/>
      </c>
      <c r="HW11" s="40" t="str">
        <f t="shared" ref="HW11" si="339">IF(AND(HW9&lt;&gt;0,HW10&lt;&gt;0),(HW9-HW10)/HW10,IF(AND(HW9=0,HW10=0),"",IF(AND(HW9="",HW10=""),"",IF(AND(HW9=0,HW10=""),"", IF(AND(HW9="",HW10=0),"",1)))))</f>
        <v/>
      </c>
      <c r="HX11" s="40">
        <f t="shared" ref="HX11" si="340">IF(AND(HX9&lt;&gt;0,HX10&lt;&gt;0),(HX9-HX10)/HX10,IF(AND(HX9=0,HX10=0),"",IF(AND(HX9="",HX10=""),"",IF(AND(HX9=0,HX10=""),"", IF(AND(HX9="",HX10=0),"",1)))))</f>
        <v>3.2474314116506406E-7</v>
      </c>
      <c r="HY11" s="40">
        <f t="shared" ref="HY11" si="341">IF(AND(HY9&lt;&gt;0,HY10&lt;&gt;0),(HY9-HY10)/HY10,IF(AND(HY9=0,HY10=0),"",IF(AND(HY9="",HY10=""),"",IF(AND(HY9=0,HY10=""),"", IF(AND(HY9="",HY10=0),"",1)))))</f>
        <v>-7.0856164961087914E-8</v>
      </c>
      <c r="HZ11" s="40">
        <f t="shared" ref="HZ11" si="342">IF(AND(HZ9&lt;&gt;0,HZ10&lt;&gt;0),(HZ9-HZ10)/HZ10,IF(AND(HZ9=0,HZ10=0),"",IF(AND(HZ9="",HZ10=""),"",IF(AND(HZ9=0,HZ10=""),"", IF(AND(HZ9="",HZ10=0),"",1)))))</f>
        <v>-1.1055941553280923E-7</v>
      </c>
      <c r="IA11" s="40">
        <f t="shared" ref="IA11" si="343">IF(AND(IA9&lt;&gt;0,IA10&lt;&gt;0),(IA9-IA10)/IA10,IF(AND(IA9=0,IA10=0),"",IF(AND(IA9="",IA10=""),"",IF(AND(IA9=0,IA10=""),"", IF(AND(IA9="",IA10=0),"",1)))))</f>
        <v>9.0550147380929051E-8</v>
      </c>
      <c r="IB11" s="40">
        <f t="shared" ref="IB11" si="344">IF(AND(IB9&lt;&gt;0,IB10&lt;&gt;0),(IB9-IB10)/IB10,IF(AND(IB9=0,IB10=0),"",IF(AND(IB9="",IB10=""),"",IF(AND(IB9=0,IB10=""),"", IF(AND(IB9="",IB10=0),"",1)))))</f>
        <v>-1.1617290664263901E-7</v>
      </c>
      <c r="IC11" s="40">
        <f t="shared" ref="IC11" si="345">IF(AND(IC9&lt;&gt;0,IC10&lt;&gt;0),(IC9-IC10)/IC10,IF(AND(IC9=0,IC10=0),"",IF(AND(IC9="",IC10=""),"",IF(AND(IC9=0,IC10=""),"", IF(AND(IC9="",IC10=0),"",1)))))</f>
        <v>-1.3181470490576105E-7</v>
      </c>
      <c r="ID11" s="40">
        <f t="shared" ref="ID11" si="346">IF(AND(ID9&lt;&gt;0,ID10&lt;&gt;0),(ID9-ID10)/ID10,IF(AND(ID9=0,ID10=0),"",IF(AND(ID9="",ID10=""),"",IF(AND(ID9=0,ID10=""),"", IF(AND(ID9="",ID10=0),"",1)))))</f>
        <v>8.1875472319130941E-8</v>
      </c>
      <c r="IE11" s="40">
        <f t="shared" ref="IE11" si="347">IF(AND(IE9&lt;&gt;0,IE10&lt;&gt;0),(IE9-IE10)/IE10,IF(AND(IE9=0,IE10=0),"",IF(AND(IE9="",IE10=""),"",IF(AND(IE9=0,IE10=""),"", IF(AND(IE9="",IE10=0),"",1)))))</f>
        <v>-5.1591209621430413E-8</v>
      </c>
      <c r="IF11" s="40">
        <f t="shared" ref="IF11" si="348">IF(AND(IF9&lt;&gt;0,IF10&lt;&gt;0),(IF9-IF10)/IF10,IF(AND(IF9=0,IF10=0),"",IF(AND(IF9="",IF10=""),"",IF(AND(IF9=0,IF10=""),"", IF(AND(IF9="",IF10=0),"",1)))))</f>
        <v>0</v>
      </c>
      <c r="IG11" s="40">
        <f t="shared" ref="IG11" si="349">IF(AND(IG9&lt;&gt;0,IG10&lt;&gt;0),(IG9-IG10)/IG10,IF(AND(IG9=0,IG10=0),"",IF(AND(IG9="",IG10=""),"",IF(AND(IG9=0,IG10=""),"", IF(AND(IG9="",IG10=0),"",1)))))</f>
        <v>-8.8203395619043179E-8</v>
      </c>
      <c r="IH11" s="40">
        <f t="shared" ref="IH11" si="350">IF(AND(IH9&lt;&gt;0,IH10&lt;&gt;0),(IH9-IH10)/IH10,IF(AND(IH9=0,IH10=0),"",IF(AND(IH9="",IH10=""),"",IF(AND(IH9=0,IH10=""),"", IF(AND(IH9="",IH10=0),"",1)))))</f>
        <v>0</v>
      </c>
      <c r="II11" s="40">
        <f t="shared" ref="II11" si="351">IF(AND(II9&lt;&gt;0,II10&lt;&gt;0),(II9-II10)/II10,IF(AND(II9=0,II10=0),"",IF(AND(II9="",II10=""),"",IF(AND(II9=0,II10=""),"", IF(AND(II9="",II10=0),"",1)))))</f>
        <v>-6.6718600425237666E-8</v>
      </c>
      <c r="IJ11" s="40">
        <f t="shared" ref="IJ11" si="352">IF(AND(IJ9&lt;&gt;0,IJ10&lt;&gt;0),(IJ9-IJ10)/IJ10,IF(AND(IJ9=0,IJ10=0),"",IF(AND(IJ9="",IJ10=""),"",IF(AND(IJ9=0,IJ10=""),"", IF(AND(IJ9="",IJ10=0),"",1)))))</f>
        <v>8.1890745952631767E-8</v>
      </c>
      <c r="IK11" s="40">
        <f t="shared" ref="IK11" si="353">IF(AND(IK9&lt;&gt;0,IK10&lt;&gt;0),(IK9-IK10)/IK10,IF(AND(IK9=0,IK10=0),"",IF(AND(IK9="",IK10=""),"",IF(AND(IK9=0,IK10=""),"", IF(AND(IK9="",IK10=0),"",1)))))</f>
        <v>0</v>
      </c>
      <c r="IL11" s="40">
        <f t="shared" ref="IL11" si="354">IF(AND(IL9&lt;&gt;0,IL10&lt;&gt;0),(IL9-IL10)/IL10,IF(AND(IL9=0,IL10=0),"",IF(AND(IL9="",IL10=""),"",IF(AND(IL9=0,IL10=""),"", IF(AND(IL9="",IL10=0),"",1)))))</f>
        <v>1.220268761754239E-7</v>
      </c>
      <c r="IM11" s="40">
        <f t="shared" ref="IM11" si="355">IF(AND(IM9&lt;&gt;0,IM10&lt;&gt;0),(IM9-IM10)/IM10,IF(AND(IM9=0,IM10=0),"",IF(AND(IM9="",IM10=""),"",IF(AND(IM9=0,IM10=""),"", IF(AND(IM9="",IM10=0),"",1)))))</f>
        <v>0.13694207497810532</v>
      </c>
      <c r="IN11" s="40">
        <f t="shared" ref="IN11" si="356">IF(AND(IN9&lt;&gt;0,IN10&lt;&gt;0),(IN9-IN10)/IN10,IF(AND(IN9=0,IN10=0),"",IF(AND(IN9="",IN10=""),"",IF(AND(IN9=0,IN10=""),"", IF(AND(IN9="",IN10=0),"",1)))))</f>
        <v>0</v>
      </c>
      <c r="IO11" s="40">
        <f t="shared" ref="IO11" si="357">IF(AND(IO9&lt;&gt;0,IO10&lt;&gt;0),(IO9-IO10)/IO10,IF(AND(IO9=0,IO10=0),"",IF(AND(IO9="",IO10=""),"",IF(AND(IO9=0,IO10=""),"", IF(AND(IO9="",IO10=0),"",1)))))</f>
        <v>-7.2049714815582921E-2</v>
      </c>
      <c r="IP11" s="40" t="str">
        <f t="shared" ref="IP11" si="358">IF(AND(IP9&lt;&gt;0,IP10&lt;&gt;0),(IP9-IP10)/IP10,IF(AND(IP9=0,IP10=0),"",IF(AND(IP9="",IP10=""),"",IF(AND(IP9=0,IP10=""),"", IF(AND(IP9="",IP10=0),"",1)))))</f>
        <v/>
      </c>
      <c r="IQ11" s="40" t="str">
        <f t="shared" ref="IQ11" si="359">IF(AND(IQ9&lt;&gt;0,IQ10&lt;&gt;0),(IQ9-IQ10)/IQ10,IF(AND(IQ9=0,IQ10=0),"",IF(AND(IQ9="",IQ10=""),"",IF(AND(IQ9=0,IQ10=""),"", IF(AND(IQ9="",IQ10=0),"",1)))))</f>
        <v/>
      </c>
      <c r="IR11" s="40" t="str">
        <f t="shared" ref="IR11:JF11" si="360">IF(AND(IR9&lt;&gt;0,IR10&lt;&gt;0),(IR9-IR10)/IR10,IF(AND(IR9=0,IR10=0),"",IF(AND(IR9="",IR10=""),"",IF(AND(IR9=0,IR10=""),"", IF(AND(IR9="",IR10=0),"",1)))))</f>
        <v/>
      </c>
      <c r="IS11" s="40" t="str">
        <f t="shared" si="360"/>
        <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8.5357685283481925E-4</v>
      </c>
      <c r="JH11" s="72" t="str">
        <f t="shared" si="361"/>
        <v/>
      </c>
      <c r="JI11" s="73" t="str">
        <f t="shared" si="361"/>
        <v/>
      </c>
      <c r="JJ11" s="73" t="str">
        <f t="shared" si="361"/>
        <v/>
      </c>
      <c r="JK11" s="73" t="str">
        <f t="shared" si="361"/>
        <v/>
      </c>
      <c r="JL11" s="73" t="str">
        <f t="shared" si="361"/>
        <v/>
      </c>
      <c r="JM11" s="73" t="str">
        <f t="shared" si="361"/>
        <v/>
      </c>
      <c r="JN11" s="73" t="str">
        <f t="shared" si="361"/>
        <v/>
      </c>
      <c r="JO11" s="73" t="str">
        <f t="shared" si="361"/>
        <v/>
      </c>
      <c r="JP11" s="73" t="str">
        <f t="shared" si="361"/>
        <v/>
      </c>
      <c r="JQ11" s="73" t="str">
        <f t="shared" si="361"/>
        <v/>
      </c>
      <c r="JR11" s="73" t="str">
        <f t="shared" si="361"/>
        <v/>
      </c>
      <c r="JS11" s="73" t="str">
        <f t="shared" si="361"/>
        <v/>
      </c>
      <c r="JT11" s="73" t="str">
        <f t="shared" si="361"/>
        <v/>
      </c>
      <c r="JU11" s="73" t="str">
        <f t="shared" si="361"/>
        <v/>
      </c>
      <c r="JV11" s="73" t="str">
        <f t="shared" si="361"/>
        <v/>
      </c>
      <c r="JW11" s="73" t="str">
        <f t="shared" si="361"/>
        <v/>
      </c>
      <c r="JX11" s="73" t="str">
        <f t="shared" si="361"/>
        <v/>
      </c>
      <c r="JY11" s="73" t="str">
        <f t="shared" si="361"/>
        <v/>
      </c>
      <c r="JZ11" s="73" t="str">
        <f t="shared" si="361"/>
        <v/>
      </c>
      <c r="KA11" s="73" t="str">
        <f t="shared" si="361"/>
        <v/>
      </c>
      <c r="KB11" s="73" t="str">
        <f t="shared" si="361"/>
        <v/>
      </c>
      <c r="KC11" s="73" t="str">
        <f t="shared" si="361"/>
        <v/>
      </c>
      <c r="KD11" s="73" t="str">
        <f t="shared" si="361"/>
        <v/>
      </c>
      <c r="KE11" s="73" t="str">
        <f t="shared" ref="KE11:KR11" si="362">IF(AND(KE9&lt;&gt;0,KE10&lt;&gt;0),(KE9-KE10)/KE10,IF(AND(KE9=0,KE10=0),"",IF(AND(KE9="",KE10=""),"",IF(AND(KE9=0,KE10=""),"", IF(AND(KE9="",KE10=0),"",1)))))</f>
        <v/>
      </c>
      <c r="KF11" s="73" t="str">
        <f t="shared" si="362"/>
        <v/>
      </c>
      <c r="KG11" s="73" t="str">
        <f t="shared" si="362"/>
        <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t="str">
        <f t="shared" si="361"/>
        <v/>
      </c>
      <c r="KT11" s="72" t="str">
        <f t="shared" ref="KT11:ME11" si="363">IF(AND(KT9&lt;&gt;0,KT10&lt;&gt;0),(KT9-KT10)/KT10,IF(AND(KT9=0,KT10=0),"",IF(AND(KT9="",KT10=""),"",IF(AND(KT9=0,KT10=""),"", IF(AND(KT9="",KT10=0),"",1)))))</f>
        <v/>
      </c>
      <c r="KU11" s="73" t="str">
        <f t="shared" si="363"/>
        <v/>
      </c>
      <c r="KV11" s="73" t="str">
        <f t="shared" si="363"/>
        <v/>
      </c>
      <c r="KW11" s="73" t="str">
        <f t="shared" si="363"/>
        <v/>
      </c>
      <c r="KX11" s="73" t="str">
        <f t="shared" si="363"/>
        <v/>
      </c>
      <c r="KY11" s="73" t="str">
        <f t="shared" si="363"/>
        <v/>
      </c>
      <c r="KZ11" s="73" t="str">
        <f t="shared" si="363"/>
        <v/>
      </c>
      <c r="LA11" s="73" t="str">
        <f t="shared" si="363"/>
        <v/>
      </c>
      <c r="LB11" s="73" t="str">
        <f t="shared" si="363"/>
        <v/>
      </c>
      <c r="LC11" s="73" t="str">
        <f t="shared" si="363"/>
        <v/>
      </c>
      <c r="LD11" s="73" t="str">
        <f t="shared" si="363"/>
        <v/>
      </c>
      <c r="LE11" s="73" t="str">
        <f t="shared" si="363"/>
        <v/>
      </c>
      <c r="LF11" s="73" t="str">
        <f t="shared" si="363"/>
        <v/>
      </c>
      <c r="LG11" s="73" t="str">
        <f t="shared" si="363"/>
        <v/>
      </c>
      <c r="LH11" s="73" t="str">
        <f t="shared" si="363"/>
        <v/>
      </c>
      <c r="LI11" s="73" t="str">
        <f t="shared" si="363"/>
        <v/>
      </c>
      <c r="LJ11" s="73" t="str">
        <f t="shared" si="363"/>
        <v/>
      </c>
      <c r="LK11" s="73" t="str">
        <f t="shared" si="363"/>
        <v/>
      </c>
      <c r="LL11" s="73" t="str">
        <f t="shared" si="363"/>
        <v/>
      </c>
      <c r="LM11" s="73" t="str">
        <f t="shared" si="363"/>
        <v/>
      </c>
      <c r="LN11" s="73" t="str">
        <f t="shared" si="363"/>
        <v/>
      </c>
      <c r="LO11" s="73" t="str">
        <f t="shared" si="363"/>
        <v/>
      </c>
      <c r="LP11" s="73" t="str">
        <f t="shared" si="363"/>
        <v/>
      </c>
      <c r="LQ11" s="73" t="str">
        <f t="shared" ref="LQ11:MD11" si="364">IF(AND(LQ9&lt;&gt;0,LQ10&lt;&gt;0),(LQ9-LQ10)/LQ10,IF(AND(LQ9=0,LQ10=0),"",IF(AND(LQ9="",LQ10=""),"",IF(AND(LQ9=0,LQ10=""),"", IF(AND(LQ9="",LQ10=0),"",1)))))</f>
        <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t="str">
        <f t="shared" si="363"/>
        <v/>
      </c>
      <c r="MF11" s="72" t="str">
        <f t="shared" si="361"/>
        <v/>
      </c>
      <c r="MG11" s="73" t="str">
        <f t="shared" si="361"/>
        <v/>
      </c>
      <c r="MH11" s="73" t="str">
        <f t="shared" si="361"/>
        <v/>
      </c>
      <c r="MI11" s="73" t="str">
        <f t="shared" si="361"/>
        <v/>
      </c>
      <c r="MJ11" s="73" t="str">
        <f t="shared" si="361"/>
        <v/>
      </c>
      <c r="MK11" s="73" t="str">
        <f t="shared" si="361"/>
        <v/>
      </c>
      <c r="ML11" s="73" t="str">
        <f t="shared" si="361"/>
        <v/>
      </c>
      <c r="MM11" s="73" t="str">
        <f t="shared" si="361"/>
        <v/>
      </c>
      <c r="MN11" s="73" t="str">
        <f t="shared" si="361"/>
        <v/>
      </c>
      <c r="MO11" s="73" t="str">
        <f t="shared" si="361"/>
        <v/>
      </c>
      <c r="MP11" s="73" t="str">
        <f t="shared" si="361"/>
        <v/>
      </c>
      <c r="MQ11" s="73" t="str">
        <f t="shared" si="361"/>
        <v/>
      </c>
      <c r="MR11" s="73" t="str">
        <f t="shared" si="361"/>
        <v/>
      </c>
      <c r="MS11" s="73" t="str">
        <f t="shared" si="361"/>
        <v/>
      </c>
      <c r="MT11" s="73" t="str">
        <f t="shared" si="361"/>
        <v/>
      </c>
      <c r="MU11" s="73" t="str">
        <f t="shared" si="361"/>
        <v/>
      </c>
      <c r="MV11" s="73" t="str">
        <f t="shared" si="361"/>
        <v/>
      </c>
      <c r="MW11" s="73" t="str">
        <f t="shared" si="361"/>
        <v/>
      </c>
      <c r="MX11" s="73" t="str">
        <f t="shared" si="361"/>
        <v/>
      </c>
      <c r="MY11" s="73" t="str">
        <f t="shared" si="361"/>
        <v/>
      </c>
      <c r="MZ11" s="73" t="str">
        <f t="shared" si="361"/>
        <v/>
      </c>
      <c r="NA11" s="73" t="str">
        <f t="shared" si="361"/>
        <v/>
      </c>
      <c r="NB11" s="73" t="str">
        <f t="shared" si="361"/>
        <v/>
      </c>
      <c r="NC11" s="73" t="str">
        <f t="shared" ref="NC11:NP11" si="365">IF(AND(NC9&lt;&gt;0,NC10&lt;&gt;0),(NC9-NC10)/NC10,IF(AND(NC9=0,NC10=0),"",IF(AND(NC9="",NC10=""),"",IF(AND(NC9=0,NC10=""),"", IF(AND(NC9="",NC10=0),"",1)))))</f>
        <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t="str">
        <f t="shared" si="361"/>
        <v/>
      </c>
      <c r="NR11" s="40" t="str">
        <f t="shared" ref="NR11" si="366">IF(AND(NR9&lt;&gt;0,NR10&lt;&gt;0),(NR9-NR10)/NR10,IF(AND(NR9=0,NR10=0),"",IF(AND(NR9="",NR10=""),"",IF(AND(NR9=0,NR10=""),"", IF(AND(NR9="",NR10=0),"",1)))))</f>
        <v/>
      </c>
      <c r="NS11" s="40" t="str">
        <f t="shared" ref="NS11" si="367">IF(AND(NS9&lt;&gt;0,NS10&lt;&gt;0),(NS9-NS10)/NS10,IF(AND(NS9=0,NS10=0),"",IF(AND(NS9="",NS10=""),"",IF(AND(NS9=0,NS10=""),"", IF(AND(NS9="",NS10=0),"",1)))))</f>
        <v/>
      </c>
      <c r="NT11" s="40">
        <f t="shared" ref="NT11" si="368">IF(AND(NT9&lt;&gt;0,NT10&lt;&gt;0),(NT9-NT10)/NT10,IF(AND(NT9=0,NT10=0),"",IF(AND(NT9="",NT10=""),"",IF(AND(NT9=0,NT10=""),"", IF(AND(NT9="",NT10=0),"",1)))))</f>
        <v>-1.1955181459330743E-7</v>
      </c>
      <c r="NU11" s="40">
        <f t="shared" ref="NU11" si="369">IF(AND(NU9&lt;&gt;0,NU10&lt;&gt;0),(NU9-NU10)/NU10,IF(AND(NU9=0,NU10=0),"",IF(AND(NU9="",NU10=""),"",IF(AND(NU9=0,NU10=""),"", IF(AND(NU9="",NU10=0),"",1)))))</f>
        <v>-2.9463503484574899E-7</v>
      </c>
      <c r="NV11" s="40">
        <f t="shared" ref="NV11" si="370">IF(AND(NV9&lt;&gt;0,NV10&lt;&gt;0),(NV9-NV10)/NV10,IF(AND(NV9=0,NV10=0),"",IF(AND(NV9="",NV10=""),"",IF(AND(NV9=0,NV10=""),"", IF(AND(NV9="",NV10=0),"",1)))))</f>
        <v>1.6105590830378495E-7</v>
      </c>
      <c r="NW11" s="40">
        <f t="shared" ref="NW11" si="371">IF(AND(NW9&lt;&gt;0,NW10&lt;&gt;0),(NW9-NW10)/NW10,IF(AND(NW9=0,NW10=0),"",IF(AND(NW9="",NW10=""),"",IF(AND(NW9=0,NW10=""),"", IF(AND(NW9="",NW10=0),"",1)))))</f>
        <v>-1.7772217048532372E-7</v>
      </c>
      <c r="NX11" s="40">
        <f t="shared" ref="NX11" si="372">IF(AND(NX9&lt;&gt;0,NX10&lt;&gt;0),(NX9-NX10)/NX10,IF(AND(NX9=0,NX10=0),"",IF(AND(NX9="",NX10=""),"",IF(AND(NX9=0,NX10=""),"", IF(AND(NX9="",NX10=0),"",1)))))</f>
        <v>0</v>
      </c>
      <c r="NY11" s="40">
        <f t="shared" ref="NY11" si="373">IF(AND(NY9&lt;&gt;0,NY10&lt;&gt;0),(NY9-NY10)/NY10,IF(AND(NY9=0,NY10=0),"",IF(AND(NY9="",NY10=""),"",IF(AND(NY9=0,NY10=""),"", IF(AND(NY9="",NY10=0),"",1)))))</f>
        <v>-7.7606292876991775E-8</v>
      </c>
      <c r="NZ11" s="40">
        <f t="shared" ref="NZ11" si="374">IF(AND(NZ9&lt;&gt;0,NZ10&lt;&gt;0),(NZ9-NZ10)/NZ10,IF(AND(NZ9=0,NZ10=0),"",IF(AND(NZ9="",NZ10=""),"",IF(AND(NZ9=0,NZ10=""),"", IF(AND(NZ9="",NZ10=0),"",1)))))</f>
        <v>-8.152842977874815E-8</v>
      </c>
      <c r="OA11" s="40">
        <f t="shared" ref="OA11" si="375">IF(AND(OA9&lt;&gt;0,OA10&lt;&gt;0),(OA9-OA10)/OA10,IF(AND(OA9=0,OA10=0),"",IF(AND(OA9="",OA10=""),"",IF(AND(OA9=0,OA10=""),"", IF(AND(OA9="",OA10=0),"",1)))))</f>
        <v>-1.2987726468609899E-7</v>
      </c>
      <c r="OB11" s="40">
        <f t="shared" ref="OB11" si="376">IF(AND(OB9&lt;&gt;0,OB10&lt;&gt;0),(OB9-OB10)/OB10,IF(AND(OB9=0,OB10=0),"",IF(AND(OB9="",OB10=""),"",IF(AND(OB9=0,OB10=""),"", IF(AND(OB9="",OB10=0),"",1)))))</f>
        <v>-9.0064652911092224E-8</v>
      </c>
      <c r="OC11" s="40">
        <f t="shared" ref="OC11" si="377">IF(AND(OC9&lt;&gt;0,OC10&lt;&gt;0),(OC9-OC10)/OC10,IF(AND(OC9=0,OC10=0),"",IF(AND(OC9="",OC10=""),"",IF(AND(OC9=0,OC10=""),"", IF(AND(OC9="",OC10=0),"",1)))))</f>
        <v>0</v>
      </c>
      <c r="OD11" s="40">
        <f t="shared" ref="OD11" si="378">IF(AND(OD9&lt;&gt;0,OD10&lt;&gt;0),(OD9-OD10)/OD10,IF(AND(OD9=0,OD10=0),"",IF(AND(OD9="",OD10=""),"",IF(AND(OD9=0,OD10=""),"", IF(AND(OD9="",OD10=0),"",1)))))</f>
        <v>-5.4388975485202694E-8</v>
      </c>
      <c r="OE11" s="40">
        <f t="shared" ref="OE11" si="379">IF(AND(OE9&lt;&gt;0,OE10&lt;&gt;0),(OE9-OE10)/OE10,IF(AND(OE9=0,OE10=0),"",IF(AND(OE9="",OE10=""),"",IF(AND(OE9=0,OE10=""),"", IF(AND(OE9="",OE10=0),"",1)))))</f>
        <v>0</v>
      </c>
      <c r="OF11" s="40">
        <f t="shared" ref="OF11" si="380">IF(AND(OF9&lt;&gt;0,OF10&lt;&gt;0),(OF9-OF10)/OF10,IF(AND(OF9=0,OF10=0),"",IF(AND(OF9="",OF10=""),"",IF(AND(OF9=0,OF10=""),"", IF(AND(OF9="",OF10=0),"",1)))))</f>
        <v>0</v>
      </c>
      <c r="OG11" s="40">
        <f t="shared" ref="OG11" si="381">IF(AND(OG9&lt;&gt;0,OG10&lt;&gt;0),(OG9-OG10)/OG10,IF(AND(OG9=0,OG10=0),"",IF(AND(OG9="",OG10=""),"",IF(AND(OG9=0,OG10=""),"", IF(AND(OG9="",OG10=0),"",1)))))</f>
        <v>-7.8511639154225518E-8</v>
      </c>
      <c r="OH11" s="40">
        <f t="shared" ref="OH11" si="382">IF(AND(OH9&lt;&gt;0,OH10&lt;&gt;0),(OH9-OH10)/OH10,IF(AND(OH9=0,OH10=0),"",IF(AND(OH9="",OH10=""),"",IF(AND(OH9=0,OH10=""),"", IF(AND(OH9="",OH10=0),"",1)))))</f>
        <v>0</v>
      </c>
      <c r="OI11" s="40">
        <f t="shared" ref="OI11" si="383">IF(AND(OI9&lt;&gt;0,OI10&lt;&gt;0),(OI9-OI10)/OI10,IF(AND(OI9=0,OI10=0),"",IF(AND(OI9="",OI10=""),"",IF(AND(OI9=0,OI10=""),"", IF(AND(OI9="",OI10=0),"",1)))))</f>
        <v>0</v>
      </c>
      <c r="OJ11" s="40">
        <f t="shared" ref="OJ11" si="384">IF(AND(OJ9&lt;&gt;0,OJ10&lt;&gt;0),(OJ9-OJ10)/OJ10,IF(AND(OJ9=0,OJ10=0),"",IF(AND(OJ9="",OJ10=""),"",IF(AND(OJ9=0,OJ10=""),"", IF(AND(OJ9="",OJ10=0),"",1)))))</f>
        <v>-1.2177727107608365E-7</v>
      </c>
      <c r="OK11" s="40">
        <f t="shared" ref="OK11" si="385">IF(AND(OK9&lt;&gt;0,OK10&lt;&gt;0),(OK9-OK10)/OK10,IF(AND(OK9=0,OK10=0),"",IF(AND(OK9="",OK10=""),"",IF(AND(OK9=0,OK10=""),"", IF(AND(OK9="",OK10=0),"",1)))))</f>
        <v>3.632605607394776E-2</v>
      </c>
      <c r="OL11" s="40">
        <f t="shared" ref="OL11" si="386">IF(AND(OL9&lt;&gt;0,OL10&lt;&gt;0),(OL9-OL10)/OL10,IF(AND(OL9=0,OL10=0),"",IF(AND(OL9="",OL10=""),"",IF(AND(OL9=0,OL10=""),"", IF(AND(OL9="",OL10=0),"",1)))))</f>
        <v>1.063914221277561E-7</v>
      </c>
      <c r="OM11" s="40">
        <f t="shared" ref="OM11" si="387">IF(AND(OM9&lt;&gt;0,OM10&lt;&gt;0),(OM9-OM10)/OM10,IF(AND(OM9=0,OM10=0),"",IF(AND(OM9="",OM10=""),"",IF(AND(OM9=0,OM10=""),"", IF(AND(OM9="",OM10=0),"",1)))))</f>
        <v>-0.16387295229725879</v>
      </c>
      <c r="ON11" s="40">
        <f t="shared" ref="ON11:PB11" si="388">IF(AND(ON9&lt;&gt;0,ON10&lt;&gt;0),(ON9-ON10)/ON10,IF(AND(ON9=0,ON10=0),"",IF(AND(ON9="",ON10=""),"",IF(AND(ON9=0,ON10=""),"", IF(AND(ON9="",ON10=0),"",1)))))</f>
        <v>-7.2156543332132894E-8</v>
      </c>
      <c r="OO11" s="40">
        <f t="shared" si="388"/>
        <v>0</v>
      </c>
      <c r="OP11" s="40">
        <f t="shared" si="388"/>
        <v>1</v>
      </c>
      <c r="OQ11" s="40" t="str">
        <f t="shared" si="388"/>
        <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4.5878901502810062E-3</v>
      </c>
      <c r="PF11" s="63">
        <f>IF(AND(PF9&lt;&gt;0,PF10&lt;&gt;0),(PF9-PF10)/PF10,IF(AND(PF9=0,PF10=0),"",IF(AND(PF9="",PF10=""),"",IF(AND(PF9=0,PF10=""),"", IF(AND(PF9="",PF10=0),"",1)))))</f>
        <v>2.8747807063919839E-3</v>
      </c>
      <c r="PH11" s="63">
        <f>IF(AND(PH9&lt;&gt;0,PH10&lt;&gt;0),(PH9-PH10)/PH10,IF(AND(PH9=0,PH10=0),"",IF(AND(PH9="",PH10=""),"",IF(AND(PH9=0,PH10=""),"", IF(AND(PH9="",PH10=0),"",1)))))</f>
        <v>2.915103188895114E-3</v>
      </c>
    </row>
    <row r="12" spans="1:424" outlineLevel="1" x14ac:dyDescent="0.35">
      <c r="A12" s="46" t="s">
        <v>36</v>
      </c>
      <c r="B12" s="14">
        <f>'[1]D-PDP'!$BZ$12</f>
        <v>4613006.5</v>
      </c>
      <c r="C12" s="14">
        <f>'[1]D-PDP'!$BZ$13</f>
        <v>4518872.5</v>
      </c>
      <c r="D12" s="14">
        <f>'[1]D-PDP'!$BZ$14</f>
        <v>4045354.75</v>
      </c>
      <c r="E12" s="14">
        <f>'[1]D-PDP'!$BZ$15</f>
        <v>2949274</v>
      </c>
      <c r="F12" s="14">
        <f>'[1]D-PDP'!$BZ$16</f>
        <v>1857736.375</v>
      </c>
      <c r="G12" s="14">
        <f>'[1]D-PDP'!$BZ$17</f>
        <v>1532981.125</v>
      </c>
      <c r="H12" s="14">
        <f>'[1]D-PDP'!$BZ$18</f>
        <v>1689755.5</v>
      </c>
      <c r="I12" s="14">
        <f>'[1]D-PDP'!$BZ$19</f>
        <v>1937448.75</v>
      </c>
      <c r="J12" s="14">
        <f>'[1]D-PDP'!$BZ$20</f>
        <v>2173294.25</v>
      </c>
      <c r="K12" s="14">
        <f>'[1]D-PDP'!$BZ$21</f>
        <v>2413732.5</v>
      </c>
      <c r="L12" s="14">
        <f>'[1]D-PDP'!$BZ$22</f>
        <v>2657961.5</v>
      </c>
      <c r="M12" s="14">
        <f>'[1]D-PDP'!$BZ$23</f>
        <v>2915874.75</v>
      </c>
      <c r="N12" s="14">
        <f>'[1]D-PDP'!$BZ$24</f>
        <v>3175350</v>
      </c>
      <c r="O12" s="14">
        <f>'[1]D-PDP'!$BZ$25</f>
        <v>3440452.75</v>
      </c>
      <c r="P12" s="14">
        <f>'[1]D-PDP'!$BZ$26</f>
        <v>3704296.5</v>
      </c>
      <c r="Q12" s="14">
        <f>'[1]D-PDP'!$BZ$27</f>
        <v>3977686.25</v>
      </c>
      <c r="R12" s="14">
        <f>'[1]D-PDP'!$BZ$28</f>
        <v>4266501.5</v>
      </c>
      <c r="S12" s="14">
        <f>'[1]D-PDP'!$BZ$29</f>
        <v>4579057.5</v>
      </c>
      <c r="T12" s="14">
        <f>'[1]D-PDP'!$BZ$30</f>
        <v>4676835</v>
      </c>
      <c r="U12" s="14">
        <f>'[1]D-PDP'!$BZ$31</f>
        <v>4664876</v>
      </c>
      <c r="V12" s="14">
        <f>'[1]D-PDP'!$BZ$32</f>
        <v>4656875</v>
      </c>
      <c r="W12" s="14">
        <f>'[1]D-PDP'!$BZ$33</f>
        <v>1542846.125</v>
      </c>
      <c r="X12" s="14">
        <f>'[1]D-PDP'!$BZ$34</f>
        <v>0</v>
      </c>
      <c r="Y12" s="14">
        <f>'[1]D-PDP'!$BZ$35</f>
        <v>0</v>
      </c>
      <c r="Z12" s="14">
        <f>'[1]D-PDP'!$BZ$36</f>
        <v>0</v>
      </c>
      <c r="AA12" s="14">
        <f>'[1]D-PDP'!$BZ$37</f>
        <v>0</v>
      </c>
      <c r="AB12" s="14">
        <f>'[1]D-PDP'!$BZ$38</f>
        <v>0</v>
      </c>
      <c r="AC12" s="14">
        <f>'[1]D-PDP'!$BZ$39</f>
        <v>0</v>
      </c>
      <c r="AD12" s="14">
        <f>'[1]D-PDP'!$BZ$40</f>
        <v>0</v>
      </c>
      <c r="AE12" s="14">
        <f>'[1]D-PDP'!$BZ$41</f>
        <v>0</v>
      </c>
      <c r="AF12" s="14">
        <f>'[1]D-PDP'!$BZ$42</f>
        <v>0</v>
      </c>
      <c r="AG12" s="14">
        <f>'[1]D-PDP'!$BZ$43</f>
        <v>0</v>
      </c>
      <c r="AH12" s="14">
        <f>'[1]D-PDP'!$BZ$44</f>
        <v>0</v>
      </c>
      <c r="AI12" s="14">
        <f>'[1]D-PDP'!$BZ$45</f>
        <v>0</v>
      </c>
      <c r="AJ12" s="14">
        <f>'[1]D-PDP'!$BZ$46</f>
        <v>0</v>
      </c>
      <c r="AK12" s="14">
        <f>'[1]D-PDP'!$BZ$47</f>
        <v>0</v>
      </c>
      <c r="AL12" s="14">
        <f>'[1]D-PDP'!$BZ$48</f>
        <v>0</v>
      </c>
      <c r="AM12" s="16">
        <f>SUM(B12:AL12)</f>
        <v>71990069.125</v>
      </c>
      <c r="AN12" s="28">
        <f>'[1]D-PNP'!$BZ$12</f>
        <v>428542.59375</v>
      </c>
      <c r="AO12" s="14">
        <f>'[1]D-PNP'!$BZ$13</f>
        <v>523156.25</v>
      </c>
      <c r="AP12" s="14">
        <f>'[1]D-PNP'!$BZ$14</f>
        <v>423313.71875</v>
      </c>
      <c r="AQ12" s="14">
        <f>'[1]D-PNP'!$BZ$15</f>
        <v>299750.9375</v>
      </c>
      <c r="AR12" s="14">
        <f>'[1]D-PNP'!$BZ$16</f>
        <v>187372.78125</v>
      </c>
      <c r="AS12" s="14">
        <f>'[1]D-PNP'!$BZ$17</f>
        <v>157659.3125</v>
      </c>
      <c r="AT12" s="14">
        <f>'[1]D-PNP'!$BZ$18</f>
        <v>173803.3125</v>
      </c>
      <c r="AU12" s="14">
        <f>'[1]D-PNP'!$BZ$19</f>
        <v>197845.03125</v>
      </c>
      <c r="AV12" s="14">
        <f>'[1]D-PNP'!$BZ$20</f>
        <v>220653.6875</v>
      </c>
      <c r="AW12" s="14">
        <f>'[1]D-PNP'!$BZ$21</f>
        <v>243172.34375</v>
      </c>
      <c r="AX12" s="14">
        <f>'[1]D-PNP'!$BZ$22</f>
        <v>263635.375</v>
      </c>
      <c r="AY12" s="14">
        <f>'[1]D-PNP'!$BZ$23</f>
        <v>282233.96875</v>
      </c>
      <c r="AZ12" s="14">
        <f>'[1]D-PNP'!$BZ$24</f>
        <v>300046.5625</v>
      </c>
      <c r="BA12" s="14">
        <f>'[1]D-PNP'!$BZ$25</f>
        <v>317578.53125</v>
      </c>
      <c r="BB12" s="14">
        <f>'[1]D-PNP'!$BZ$26</f>
        <v>333678.78125</v>
      </c>
      <c r="BC12" s="14">
        <f>'[1]D-PNP'!$BZ$27</f>
        <v>347701.65625</v>
      </c>
      <c r="BD12" s="14">
        <f>'[1]D-PNP'!$BZ$28</f>
        <v>362842.125</v>
      </c>
      <c r="BE12" s="14">
        <f>'[1]D-PNP'!$BZ$29</f>
        <v>375284.84375</v>
      </c>
      <c r="BF12" s="14">
        <f>'[1]D-PNP'!$BZ$30</f>
        <v>364713.90625</v>
      </c>
      <c r="BG12" s="14">
        <f>'[1]D-PNP'!$BZ$31</f>
        <v>376672.6875</v>
      </c>
      <c r="BH12" s="14">
        <f>'[1]D-PNP'!$BZ$32</f>
        <v>384674.125</v>
      </c>
      <c r="BI12" s="14">
        <f>'[1]D-PNP'!$BZ$33</f>
        <v>123895.5625</v>
      </c>
      <c r="BJ12" s="14">
        <f>'[1]D-PNP'!$BZ$34</f>
        <v>0</v>
      </c>
      <c r="BK12" s="14">
        <f>'[1]D-PNP'!$BZ$35</f>
        <v>0</v>
      </c>
      <c r="BL12" s="14">
        <f>'[1]D-PNP'!$BZ$36</f>
        <v>0</v>
      </c>
      <c r="BM12" s="14">
        <f>'[1]D-PNP'!$BZ$37</f>
        <v>0</v>
      </c>
      <c r="BN12" s="14">
        <f>'[1]D-PNP'!$BZ$38</f>
        <v>0</v>
      </c>
      <c r="BO12" s="14">
        <f>'[1]D-PNP'!$BZ$39</f>
        <v>0</v>
      </c>
      <c r="BP12" s="14">
        <f>'[1]D-PNP'!$BZ$40</f>
        <v>0</v>
      </c>
      <c r="BQ12" s="14">
        <f>'[1]D-PNP'!$BZ$41</f>
        <v>0</v>
      </c>
      <c r="BR12" s="14">
        <f>'[1]D-PNP'!$BZ$42</f>
        <v>0</v>
      </c>
      <c r="BS12" s="14">
        <f>'[1]D-PNP'!$BZ$43</f>
        <v>0</v>
      </c>
      <c r="BT12" s="14">
        <f>'[1]D-PNP'!$BZ$44</f>
        <v>0</v>
      </c>
      <c r="BU12" s="14">
        <f>'[1]D-PNP'!$BZ$45</f>
        <v>0</v>
      </c>
      <c r="BV12" s="14">
        <f>'[1]D-PNP'!$BZ$46</f>
        <v>0</v>
      </c>
      <c r="BW12" s="14">
        <f>'[1]D-PNP'!$BZ$47</f>
        <v>0</v>
      </c>
      <c r="BX12" s="14">
        <f>'[1]D-PNP'!$BZ$48</f>
        <v>0</v>
      </c>
      <c r="BY12" s="16">
        <f>SUM(AN12:BX12)</f>
        <v>6688228.09375</v>
      </c>
      <c r="BZ12" s="28">
        <f>'[1]D-PND'!$BZ$12</f>
        <v>0</v>
      </c>
      <c r="CA12" s="14">
        <f>'[1]D-PND'!$BZ$13</f>
        <v>-479.60214233398438</v>
      </c>
      <c r="CB12" s="14">
        <f>'[1]D-PND'!$BZ$14</f>
        <v>572880.4375</v>
      </c>
      <c r="CC12" s="14">
        <f>'[1]D-PND'!$BZ$15</f>
        <v>1792524.125</v>
      </c>
      <c r="CD12" s="14">
        <f>'[1]D-PND'!$BZ$16</f>
        <v>2996439.75</v>
      </c>
      <c r="CE12" s="14">
        <f>'[1]D-PND'!$BZ$17</f>
        <v>3350908.75</v>
      </c>
      <c r="CF12" s="14">
        <f>'[1]D-PND'!$BZ$18</f>
        <v>3177990</v>
      </c>
      <c r="CG12" s="14">
        <f>'[1]D-PND'!$BZ$19</f>
        <v>2906255.25</v>
      </c>
      <c r="CH12" s="14">
        <f>'[1]D-PND'!$BZ$20</f>
        <v>2647601</v>
      </c>
      <c r="CI12" s="14">
        <f>'[1]D-PND'!$BZ$21</f>
        <v>2384644.25</v>
      </c>
      <c r="CJ12" s="14">
        <f>'[1]D-PND'!$BZ$22</f>
        <v>2119952.25</v>
      </c>
      <c r="CK12" s="14">
        <f>'[1]D-PND'!$BZ$23</f>
        <v>1843440.125</v>
      </c>
      <c r="CL12" s="14">
        <f>'[1]D-PND'!$BZ$24</f>
        <v>1566152.25</v>
      </c>
      <c r="CM12" s="14">
        <f>'[1]D-PND'!$BZ$25</f>
        <v>1283517.875</v>
      </c>
      <c r="CN12" s="14">
        <f>'[1]D-PND'!$BZ$26</f>
        <v>1003573.875</v>
      </c>
      <c r="CO12" s="14">
        <f>'[1]D-PND'!$BZ$27</f>
        <v>716161</v>
      </c>
      <c r="CP12" s="14">
        <f>'[1]D-PND'!$BZ$28</f>
        <v>412205.21875</v>
      </c>
      <c r="CQ12" s="14">
        <f>'[1]D-PND'!$BZ$29</f>
        <v>87206.375</v>
      </c>
      <c r="CR12" s="14">
        <f>'[1]D-PND'!$BZ$30</f>
        <v>0</v>
      </c>
      <c r="CS12" s="14">
        <f>'[1]D-PND'!$BZ$31</f>
        <v>0</v>
      </c>
      <c r="CT12" s="14">
        <f>'[1]D-PND'!$BZ$32</f>
        <v>0</v>
      </c>
      <c r="CU12" s="14">
        <f>'[1]D-PND'!$BZ$33</f>
        <v>0</v>
      </c>
      <c r="CV12" s="14">
        <f>'[1]D-PND'!$BZ$34</f>
        <v>0</v>
      </c>
      <c r="CW12" s="14">
        <f>'[1]D-PND'!$BZ$35</f>
        <v>0</v>
      </c>
      <c r="CX12" s="14">
        <f>'[1]D-PND'!$BZ$36</f>
        <v>0</v>
      </c>
      <c r="CY12" s="14">
        <f>'[1]D-PND'!$BZ$37</f>
        <v>0</v>
      </c>
      <c r="CZ12" s="14">
        <f>'[1]D-PND'!$BZ$38</f>
        <v>0</v>
      </c>
      <c r="DA12" s="14">
        <f>'[1]D-PND'!$BZ$39</f>
        <v>0</v>
      </c>
      <c r="DB12" s="14">
        <f>'[1]D-PND'!$BZ$40</f>
        <v>0</v>
      </c>
      <c r="DC12" s="14">
        <f>'[1]D-PND'!$BZ$41</f>
        <v>0</v>
      </c>
      <c r="DD12" s="14">
        <f>'[1]D-PND'!$BZ$42</f>
        <v>0</v>
      </c>
      <c r="DE12" s="14">
        <f>'[1]D-PND'!$BZ$43</f>
        <v>0</v>
      </c>
      <c r="DF12" s="14">
        <f>'[1]D-PND'!$BZ$44</f>
        <v>0</v>
      </c>
      <c r="DG12" s="14">
        <f>'[1]D-PND'!$BZ$45</f>
        <v>0</v>
      </c>
      <c r="DH12" s="14">
        <f>'[1]D-PND'!$BZ$46</f>
        <v>0</v>
      </c>
      <c r="DI12" s="14">
        <f>'[1]D-PND'!$BZ$47</f>
        <v>0</v>
      </c>
      <c r="DJ12" s="14">
        <f>'[1]D-PND'!$BZ$48</f>
        <v>0</v>
      </c>
      <c r="DK12" s="16">
        <f>SUM(BZ12:DJ12)</f>
        <v>28860972.929107666</v>
      </c>
      <c r="DL12" s="66"/>
      <c r="DM12" s="67"/>
      <c r="DN12" s="67"/>
      <c r="DO12" s="67"/>
      <c r="DP12" s="67"/>
      <c r="DQ12" s="67"/>
      <c r="DR12" s="67"/>
      <c r="DS12" s="67"/>
      <c r="DT12" s="67"/>
      <c r="DU12" s="67"/>
      <c r="DV12" s="67"/>
      <c r="DW12" s="67"/>
      <c r="DX12" s="67"/>
      <c r="DY12" s="67"/>
      <c r="DZ12" s="67"/>
      <c r="EA12" s="67"/>
      <c r="EB12" s="67"/>
      <c r="EC12" s="67"/>
      <c r="ED12" s="67"/>
      <c r="EE12" s="67"/>
      <c r="EF12" s="67"/>
      <c r="EG12" s="67"/>
      <c r="EH12" s="67"/>
      <c r="EI12" s="67"/>
      <c r="EJ12" s="67"/>
      <c r="EK12" s="67"/>
      <c r="EL12" s="67"/>
      <c r="EM12" s="67"/>
      <c r="EN12" s="67"/>
      <c r="EO12" s="67"/>
      <c r="EP12" s="67"/>
      <c r="EQ12" s="67"/>
      <c r="ER12" s="67"/>
      <c r="ES12" s="67"/>
      <c r="ET12" s="67"/>
      <c r="EU12" s="67"/>
      <c r="EV12" s="67"/>
      <c r="EW12" s="68">
        <f>SUM(DL12:EV12)</f>
        <v>0</v>
      </c>
      <c r="EX12" s="66"/>
      <c r="EY12" s="67"/>
      <c r="EZ12" s="67"/>
      <c r="FA12" s="67"/>
      <c r="FB12" s="67"/>
      <c r="FC12" s="67"/>
      <c r="FD12" s="67"/>
      <c r="FE12" s="67"/>
      <c r="FF12" s="67"/>
      <c r="FG12" s="67"/>
      <c r="FH12" s="67"/>
      <c r="FI12" s="67"/>
      <c r="FJ12" s="67"/>
      <c r="FK12" s="67"/>
      <c r="FL12" s="67"/>
      <c r="FM12" s="67"/>
      <c r="FN12" s="67"/>
      <c r="FO12" s="67"/>
      <c r="FP12" s="67"/>
      <c r="FQ12" s="67"/>
      <c r="FR12" s="67"/>
      <c r="FS12" s="67"/>
      <c r="FT12" s="67"/>
      <c r="FU12" s="67"/>
      <c r="FV12" s="67"/>
      <c r="FW12" s="67"/>
      <c r="FX12" s="67"/>
      <c r="FY12" s="67"/>
      <c r="FZ12" s="67"/>
      <c r="GA12" s="67"/>
      <c r="GB12" s="67"/>
      <c r="GC12" s="67"/>
      <c r="GD12" s="67"/>
      <c r="GE12" s="67"/>
      <c r="GF12" s="67"/>
      <c r="GG12" s="67"/>
      <c r="GH12" s="67"/>
      <c r="GI12" s="68">
        <f>SUM(EX12:GH12)</f>
        <v>0</v>
      </c>
      <c r="GJ12" s="66"/>
      <c r="GK12" s="67"/>
      <c r="GL12" s="67"/>
      <c r="GM12" s="67"/>
      <c r="GN12" s="67"/>
      <c r="GO12" s="67"/>
      <c r="GP12" s="67"/>
      <c r="GQ12" s="67"/>
      <c r="GR12" s="67"/>
      <c r="GS12" s="67"/>
      <c r="GT12" s="67"/>
      <c r="GU12" s="67"/>
      <c r="GV12" s="67"/>
      <c r="GW12" s="67"/>
      <c r="GX12" s="67"/>
      <c r="GY12" s="67"/>
      <c r="GZ12" s="67"/>
      <c r="HA12" s="67"/>
      <c r="HB12" s="67"/>
      <c r="HC12" s="67"/>
      <c r="HD12" s="67"/>
      <c r="HE12" s="67"/>
      <c r="HF12" s="67"/>
      <c r="HG12" s="67"/>
      <c r="HH12" s="67"/>
      <c r="HI12" s="67"/>
      <c r="HJ12" s="67"/>
      <c r="HK12" s="67"/>
      <c r="HL12" s="67"/>
      <c r="HM12" s="67"/>
      <c r="HN12" s="67"/>
      <c r="HO12" s="67"/>
      <c r="HP12" s="67"/>
      <c r="HQ12" s="67"/>
      <c r="HR12" s="67"/>
      <c r="HS12" s="67"/>
      <c r="HT12" s="67"/>
      <c r="HU12" s="68">
        <f>SUM(GJ12:HT12)</f>
        <v>0</v>
      </c>
      <c r="HV12" s="28">
        <f>'[1]D-PRB'!$BZ$12</f>
        <v>0</v>
      </c>
      <c r="HW12" s="14">
        <f>'[1]D-PRB'!$BZ$13</f>
        <v>0</v>
      </c>
      <c r="HX12" s="14">
        <f>'[1]D-PRB'!$BZ$14</f>
        <v>0</v>
      </c>
      <c r="HY12" s="14">
        <f>'[1]D-PRB'!$BZ$15</f>
        <v>0</v>
      </c>
      <c r="HZ12" s="14">
        <f>'[1]D-PRB'!$BZ$16</f>
        <v>0</v>
      </c>
      <c r="IA12" s="14">
        <f>'[1]D-PRB'!$BZ$17</f>
        <v>0</v>
      </c>
      <c r="IB12" s="14">
        <f>'[1]D-PRB'!$BZ$18</f>
        <v>0</v>
      </c>
      <c r="IC12" s="14">
        <f>'[1]D-PRB'!$BZ$19</f>
        <v>0</v>
      </c>
      <c r="ID12" s="14">
        <f>'[1]D-PRB'!$BZ$20</f>
        <v>0</v>
      </c>
      <c r="IE12" s="14">
        <f>'[1]D-PRB'!$BZ$21</f>
        <v>0</v>
      </c>
      <c r="IF12" s="14">
        <f>'[1]D-PRB'!$BZ$22</f>
        <v>0</v>
      </c>
      <c r="IG12" s="14">
        <f>'[1]D-PRB'!$BZ$23</f>
        <v>0</v>
      </c>
      <c r="IH12" s="14">
        <f>'[1]D-PRB'!$BZ$24</f>
        <v>0</v>
      </c>
      <c r="II12" s="14">
        <f>'[1]D-PRB'!$BZ$25</f>
        <v>0</v>
      </c>
      <c r="IJ12" s="14">
        <f>'[1]D-PRB'!$BZ$26</f>
        <v>0</v>
      </c>
      <c r="IK12" s="14">
        <f>'[1]D-PRB'!$BZ$27</f>
        <v>0</v>
      </c>
      <c r="IL12" s="14">
        <f>'[1]D-PRB'!$BZ$28</f>
        <v>0</v>
      </c>
      <c r="IM12" s="14">
        <f>'[1]D-PRB'!$BZ$29</f>
        <v>0</v>
      </c>
      <c r="IN12" s="14">
        <f>'[1]D-PRB'!$BZ$30</f>
        <v>0</v>
      </c>
      <c r="IO12" s="14">
        <f>'[1]D-PRB'!$BZ$31</f>
        <v>0</v>
      </c>
      <c r="IP12" s="14">
        <f>'[1]D-PRB'!$BZ$32</f>
        <v>0</v>
      </c>
      <c r="IQ12" s="14">
        <f>'[1]D-PRB'!$BZ$33</f>
        <v>0</v>
      </c>
      <c r="IR12" s="14">
        <f>'[1]D-PRB'!$BZ$34</f>
        <v>0</v>
      </c>
      <c r="IS12" s="14">
        <f>'[1]D-PRB'!$BZ$35</f>
        <v>0</v>
      </c>
      <c r="IT12" s="14">
        <f>'[1]D-PRB'!$BZ$36</f>
        <v>0</v>
      </c>
      <c r="IU12" s="14">
        <f>'[1]D-PRB'!$BZ$37</f>
        <v>0</v>
      </c>
      <c r="IV12" s="14">
        <f>'[1]D-PRB'!$BZ$38</f>
        <v>0</v>
      </c>
      <c r="IW12" s="14">
        <f>'[1]D-PRB'!$BZ$39</f>
        <v>0</v>
      </c>
      <c r="IX12" s="14">
        <f>'[1]D-PRB'!$BZ$40</f>
        <v>0</v>
      </c>
      <c r="IY12" s="14">
        <f>'[1]D-PRB'!$BZ$41</f>
        <v>0</v>
      </c>
      <c r="IZ12" s="14">
        <f>'[1]D-PRB'!$BZ$42</f>
        <v>0</v>
      </c>
      <c r="JA12" s="14">
        <f>'[1]D-PRB'!$BZ$43</f>
        <v>0</v>
      </c>
      <c r="JB12" s="14">
        <f>'[1]D-PRB'!$BZ$44</f>
        <v>0</v>
      </c>
      <c r="JC12" s="14">
        <f>'[1]D-PRB'!$BZ$45</f>
        <v>0</v>
      </c>
      <c r="JD12" s="14">
        <f>'[1]D-PRB'!$BZ$46</f>
        <v>0</v>
      </c>
      <c r="JE12" s="14">
        <f>'[1]D-PRB'!$BZ$47</f>
        <v>0</v>
      </c>
      <c r="JF12" s="14">
        <f>'[1]D-PRB'!$BZ$48</f>
        <v>0</v>
      </c>
      <c r="JG12" s="16">
        <f>SUM(HV12:JF12)</f>
        <v>0</v>
      </c>
      <c r="JH12" s="66"/>
      <c r="JI12" s="67"/>
      <c r="JJ12" s="67"/>
      <c r="JK12" s="67"/>
      <c r="JL12" s="67"/>
      <c r="JM12" s="67"/>
      <c r="JN12" s="67"/>
      <c r="JO12" s="67"/>
      <c r="JP12" s="67"/>
      <c r="JQ12" s="67"/>
      <c r="JR12" s="67"/>
      <c r="JS12" s="67"/>
      <c r="JT12" s="67"/>
      <c r="JU12" s="67"/>
      <c r="JV12" s="67"/>
      <c r="JW12" s="67"/>
      <c r="JX12" s="67"/>
      <c r="JY12" s="67"/>
      <c r="JZ12" s="67"/>
      <c r="KA12" s="67"/>
      <c r="KB12" s="67"/>
      <c r="KC12" s="67"/>
      <c r="KD12" s="67"/>
      <c r="KE12" s="67"/>
      <c r="KF12" s="67"/>
      <c r="KG12" s="67"/>
      <c r="KH12" s="67"/>
      <c r="KI12" s="67"/>
      <c r="KJ12" s="67"/>
      <c r="KK12" s="67"/>
      <c r="KL12" s="67"/>
      <c r="KM12" s="67"/>
      <c r="KN12" s="67"/>
      <c r="KO12" s="67"/>
      <c r="KP12" s="67"/>
      <c r="KQ12" s="67"/>
      <c r="KR12" s="67"/>
      <c r="KS12" s="68">
        <f>SUM(JH12:KR12)</f>
        <v>0</v>
      </c>
      <c r="KT12" s="66"/>
      <c r="KU12" s="67"/>
      <c r="KV12" s="67"/>
      <c r="KW12" s="67"/>
      <c r="KX12" s="67"/>
      <c r="KY12" s="67"/>
      <c r="KZ12" s="67"/>
      <c r="LA12" s="67"/>
      <c r="LB12" s="67"/>
      <c r="LC12" s="67"/>
      <c r="LD12" s="67"/>
      <c r="LE12" s="67"/>
      <c r="LF12" s="67"/>
      <c r="LG12" s="67"/>
      <c r="LH12" s="67"/>
      <c r="LI12" s="67"/>
      <c r="LJ12" s="67"/>
      <c r="LK12" s="67"/>
      <c r="LL12" s="67"/>
      <c r="LM12" s="67"/>
      <c r="LN12" s="67"/>
      <c r="LO12" s="67"/>
      <c r="LP12" s="67"/>
      <c r="LQ12" s="67"/>
      <c r="LR12" s="67"/>
      <c r="LS12" s="67"/>
      <c r="LT12" s="67"/>
      <c r="LU12" s="67"/>
      <c r="LV12" s="67"/>
      <c r="LW12" s="67"/>
      <c r="LX12" s="67"/>
      <c r="LY12" s="67"/>
      <c r="LZ12" s="67"/>
      <c r="MA12" s="67"/>
      <c r="MB12" s="67"/>
      <c r="MC12" s="67"/>
      <c r="MD12" s="67"/>
      <c r="ME12" s="68">
        <f>SUM(KT12:MD12)</f>
        <v>0</v>
      </c>
      <c r="MF12" s="66"/>
      <c r="MG12" s="67"/>
      <c r="MH12" s="67"/>
      <c r="MI12" s="67"/>
      <c r="MJ12" s="67"/>
      <c r="MK12" s="67"/>
      <c r="ML12" s="67"/>
      <c r="MM12" s="67"/>
      <c r="MN12" s="67"/>
      <c r="MO12" s="67"/>
      <c r="MP12" s="67"/>
      <c r="MQ12" s="67"/>
      <c r="MR12" s="67"/>
      <c r="MS12" s="67"/>
      <c r="MT12" s="67"/>
      <c r="MU12" s="67"/>
      <c r="MV12" s="67"/>
      <c r="MW12" s="67"/>
      <c r="MX12" s="67"/>
      <c r="MY12" s="67"/>
      <c r="MZ12" s="67"/>
      <c r="NA12" s="67"/>
      <c r="NB12" s="67"/>
      <c r="NC12" s="67"/>
      <c r="ND12" s="67"/>
      <c r="NE12" s="67"/>
      <c r="NF12" s="67"/>
      <c r="NG12" s="67"/>
      <c r="NH12" s="67"/>
      <c r="NI12" s="67"/>
      <c r="NJ12" s="67"/>
      <c r="NK12" s="67"/>
      <c r="NL12" s="67"/>
      <c r="NM12" s="67"/>
      <c r="NN12" s="67"/>
      <c r="NO12" s="67"/>
      <c r="NP12" s="67"/>
      <c r="NQ12" s="68">
        <f>SUM(MF12:NP12)</f>
        <v>0</v>
      </c>
      <c r="NR12" s="14">
        <f>'[1]D-PS'!$BZ$12</f>
        <v>0</v>
      </c>
      <c r="NS12" s="14">
        <f>'[1]D-PS'!$BZ$13</f>
        <v>0</v>
      </c>
      <c r="NT12" s="14">
        <f>'[1]D-PS'!$BZ$14</f>
        <v>0</v>
      </c>
      <c r="NU12" s="14">
        <f>'[1]D-PS'!$BZ$15</f>
        <v>0</v>
      </c>
      <c r="NV12" s="14">
        <f>'[1]D-PS'!$BZ$16</f>
        <v>0</v>
      </c>
      <c r="NW12" s="14">
        <f>'[1]D-PS'!$BZ$17</f>
        <v>0</v>
      </c>
      <c r="NX12" s="14">
        <f>'[1]D-PS'!$BZ$18</f>
        <v>0</v>
      </c>
      <c r="NY12" s="14">
        <f>'[1]D-PS'!$BZ$19</f>
        <v>0</v>
      </c>
      <c r="NZ12" s="14">
        <f>'[1]D-PS'!$BZ$20</f>
        <v>0</v>
      </c>
      <c r="OA12" s="14">
        <f>'[1]D-PS'!$BZ$21</f>
        <v>0</v>
      </c>
      <c r="OB12" s="14">
        <f>'[1]D-PS'!$BZ$22</f>
        <v>0</v>
      </c>
      <c r="OC12" s="14">
        <f>'[1]D-PS'!$BZ$23</f>
        <v>0</v>
      </c>
      <c r="OD12" s="14">
        <f>'[1]D-PS'!$BZ$24</f>
        <v>0</v>
      </c>
      <c r="OE12" s="14">
        <f>'[1]D-PS'!$BZ$25</f>
        <v>0</v>
      </c>
      <c r="OF12" s="14">
        <f>'[1]D-PS'!$BZ$26</f>
        <v>0</v>
      </c>
      <c r="OG12" s="14">
        <f>'[1]D-PS'!$BZ$27</f>
        <v>0</v>
      </c>
      <c r="OH12" s="14">
        <f>'[1]D-PS'!$BZ$28</f>
        <v>0</v>
      </c>
      <c r="OI12" s="14">
        <f>'[1]D-PS'!$BZ$29</f>
        <v>0</v>
      </c>
      <c r="OJ12" s="14">
        <f>'[1]D-PS'!$BZ$30</f>
        <v>0</v>
      </c>
      <c r="OK12" s="14">
        <f>'[1]D-PS'!$BZ$31</f>
        <v>0</v>
      </c>
      <c r="OL12" s="14">
        <f>'[1]D-PS'!$BZ$32</f>
        <v>0</v>
      </c>
      <c r="OM12" s="14">
        <f>'[1]D-PS'!$BZ$33</f>
        <v>3374807.25</v>
      </c>
      <c r="ON12" s="14">
        <f>'[1]D-PS'!$BZ$34</f>
        <v>5041549</v>
      </c>
      <c r="OO12" s="14">
        <f>'[1]D-PS'!$BZ$35</f>
        <v>5041549</v>
      </c>
      <c r="OP12" s="14">
        <f>'[1]D-PS'!$BZ$36</f>
        <v>1657495.625</v>
      </c>
      <c r="OQ12" s="14">
        <f>'[1]D-PS'!$BZ$37</f>
        <v>0</v>
      </c>
      <c r="OR12" s="14">
        <f>'[1]D-PS'!$BZ$38</f>
        <v>0</v>
      </c>
      <c r="OS12" s="14">
        <f>'[1]D-PS'!$BZ$39</f>
        <v>0</v>
      </c>
      <c r="OT12" s="14">
        <f>'[1]D-PS'!$BZ$40</f>
        <v>0</v>
      </c>
      <c r="OU12" s="14">
        <f>'[1]D-PS'!$BZ$41</f>
        <v>0</v>
      </c>
      <c r="OV12" s="14">
        <f>'[1]D-PS'!$BZ$42</f>
        <v>0</v>
      </c>
      <c r="OW12" s="14">
        <f>'[1]D-PS'!$BZ$43</f>
        <v>0</v>
      </c>
      <c r="OX12" s="14">
        <f>'[1]D-PS'!$BZ$44</f>
        <v>0</v>
      </c>
      <c r="OY12" s="14">
        <f>'[1]D-PS'!$BZ$45</f>
        <v>0</v>
      </c>
      <c r="OZ12" s="14">
        <f>'[1]D-PS'!$BZ$46</f>
        <v>0</v>
      </c>
      <c r="PA12" s="14">
        <f>'[1]D-PS'!$BZ$47</f>
        <v>0</v>
      </c>
      <c r="PB12" s="14">
        <f>'[1]D-PS'!$BZ$48</f>
        <v>0</v>
      </c>
      <c r="PC12" s="16">
        <f>SUM(NR12:PB12)</f>
        <v>15115400.875</v>
      </c>
      <c r="PH12" s="16">
        <f>PF12+JG12+PC12</f>
        <v>15115400.875</v>
      </c>
    </row>
    <row r="13" spans="1:424" outlineLevel="1" x14ac:dyDescent="0.35">
      <c r="A13" s="46" t="s">
        <v>37</v>
      </c>
      <c r="B13" s="25">
        <f>'[2]CF PDP'!$BW$36</f>
        <v>5041549</v>
      </c>
      <c r="C13" s="25">
        <f>'[2]CF PDP'!$BW$37</f>
        <v>5041549</v>
      </c>
      <c r="D13" s="25">
        <f>'[2]CF PDP'!$BW$38</f>
        <v>5041549</v>
      </c>
      <c r="E13" s="25">
        <f>'[2]CF PDP'!$BW$39</f>
        <v>5041549</v>
      </c>
      <c r="F13" s="25">
        <f>'[2]CF PDP'!$BW$40</f>
        <v>5041549</v>
      </c>
      <c r="G13" s="25">
        <f>'[2]CF PDP'!$BW$41</f>
        <v>5041549</v>
      </c>
      <c r="H13" s="25">
        <f>'[2]CF PDP'!$BW$42</f>
        <v>5041549</v>
      </c>
      <c r="I13" s="25">
        <f>'[2]CF PDP'!$BW$43</f>
        <v>5041549</v>
      </c>
      <c r="J13" s="25">
        <f>'[2]CF PDP'!$BW$44</f>
        <v>5041549</v>
      </c>
      <c r="K13" s="25">
        <f>'[2]CF PDP'!$BW$45</f>
        <v>5041549</v>
      </c>
      <c r="L13" s="25">
        <f>'[2]CF PDP'!$BW$46</f>
        <v>5041549</v>
      </c>
      <c r="M13" s="25">
        <f>'[2]CF PDP'!$BW$47</f>
        <v>5041549</v>
      </c>
      <c r="N13" s="25">
        <f>'[2]CF PDP'!$BW$48</f>
        <v>5041549</v>
      </c>
      <c r="O13" s="25">
        <f>'[2]CF PDP'!$BW$49</f>
        <v>5041549</v>
      </c>
      <c r="P13" s="25">
        <f>'[2]CF PDP'!$BW$50</f>
        <v>5041549</v>
      </c>
      <c r="Q13" s="25">
        <f>'[2]CF PDP'!$BW$51</f>
        <v>5041549</v>
      </c>
      <c r="R13" s="25">
        <f>'[2]CF PDP'!$BW$52</f>
        <v>5041549</v>
      </c>
      <c r="S13" s="25">
        <f>'[2]CF PDP'!$BW$53</f>
        <v>5041549</v>
      </c>
      <c r="T13" s="25">
        <f>'[2]CF PDP'!$BW$54</f>
        <v>5041549</v>
      </c>
      <c r="U13" s="25">
        <f>'[2]CF PDP'!$BW$55</f>
        <v>5041549</v>
      </c>
      <c r="V13" s="25">
        <f>'[2]CF PDP'!$BW$56</f>
        <v>5041549</v>
      </c>
      <c r="W13" s="25">
        <f>'[2]CF PDP'!$BW$57</f>
        <v>0</v>
      </c>
      <c r="X13" s="25">
        <f>'[2]CF PDP'!$BW$58</f>
        <v>0</v>
      </c>
      <c r="Y13" s="25">
        <f>'[2]CF PDP'!$BW$59</f>
        <v>0</v>
      </c>
      <c r="Z13" s="25">
        <f>'[2]CF PDP'!$BW$60</f>
        <v>0</v>
      </c>
      <c r="AA13" s="25">
        <f>'[2]CF PDP'!$BW$61</f>
        <v>0</v>
      </c>
      <c r="AB13" s="25">
        <f>'[2]CF PDP'!$BW$62</f>
        <v>0</v>
      </c>
      <c r="AC13" s="25">
        <f>'[2]CF PDP'!$BW$63</f>
        <v>0</v>
      </c>
      <c r="AD13" s="25">
        <f>'[2]CF PDP'!$BW$64</f>
        <v>0</v>
      </c>
      <c r="AE13" s="25">
        <f>'[2]CF PDP'!$BW$65</f>
        <v>0</v>
      </c>
      <c r="AF13" s="25">
        <f>'[2]CF PDP'!$BW$66</f>
        <v>0</v>
      </c>
      <c r="AG13" s="25">
        <f>'[2]CF PDP'!$BW$67</f>
        <v>0</v>
      </c>
      <c r="AH13" s="25">
        <f>'[2]CF PDP'!$BW$68</f>
        <v>0</v>
      </c>
      <c r="AI13" s="25">
        <f>'[2]CF PDP'!$BW$69</f>
        <v>0</v>
      </c>
      <c r="AJ13" s="25">
        <f>'[2]CF PDP'!$BW$70</f>
        <v>0</v>
      </c>
      <c r="AK13" s="25">
        <f>'[2]CF PDP'!$BW$71</f>
        <v>0</v>
      </c>
      <c r="AL13" s="25">
        <f>'[2]CF PDP'!$BW$72</f>
        <v>0</v>
      </c>
      <c r="AM13" s="26">
        <f>SUM(B13:AL13)</f>
        <v>105872529</v>
      </c>
      <c r="AN13" s="27">
        <f>'[2]CF PNP'!$BW$36</f>
        <v>0</v>
      </c>
      <c r="AO13" s="25">
        <f>'[2]CF PNP'!$BW$37</f>
        <v>0</v>
      </c>
      <c r="AP13" s="25">
        <f>'[2]CF PNP'!$BW$38</f>
        <v>0</v>
      </c>
      <c r="AQ13" s="25">
        <f>'[2]CF PNP'!$BW$39</f>
        <v>0</v>
      </c>
      <c r="AR13" s="25">
        <f>'[2]CF PNP'!$BW$40</f>
        <v>0</v>
      </c>
      <c r="AS13" s="25">
        <f>'[2]CF PNP'!$BW$41</f>
        <v>0</v>
      </c>
      <c r="AT13" s="25">
        <f>'[2]CF PNP'!$BW$42</f>
        <v>0</v>
      </c>
      <c r="AU13" s="25">
        <f>'[2]CF PNP'!$BW$43</f>
        <v>0</v>
      </c>
      <c r="AV13" s="25">
        <f>'[2]CF PNP'!$BW$44</f>
        <v>0</v>
      </c>
      <c r="AW13" s="25">
        <f>'[2]CF PNP'!$BW$45</f>
        <v>0</v>
      </c>
      <c r="AX13" s="25">
        <f>'[2]CF PNP'!$BW$46</f>
        <v>0</v>
      </c>
      <c r="AY13" s="25">
        <f>'[2]CF PNP'!$BW$47</f>
        <v>0</v>
      </c>
      <c r="AZ13" s="25">
        <f>'[2]CF PNP'!$BW$48</f>
        <v>0</v>
      </c>
      <c r="BA13" s="25">
        <f>'[2]CF PNP'!$BW$49</f>
        <v>0</v>
      </c>
      <c r="BB13" s="25">
        <f>'[2]CF PNP'!$BW$50</f>
        <v>0</v>
      </c>
      <c r="BC13" s="25">
        <f>'[2]CF PNP'!$BW$51</f>
        <v>0</v>
      </c>
      <c r="BD13" s="25">
        <f>'[2]CF PNP'!$BW$52</f>
        <v>0</v>
      </c>
      <c r="BE13" s="25">
        <f>'[2]CF PNP'!$BW$53</f>
        <v>0</v>
      </c>
      <c r="BF13" s="25">
        <f>'[2]CF PNP'!$BW$54</f>
        <v>0</v>
      </c>
      <c r="BG13" s="25">
        <f>'[2]CF PNP'!$BW$55</f>
        <v>0</v>
      </c>
      <c r="BH13" s="25">
        <f>'[2]CF PNP'!$BW$56</f>
        <v>0</v>
      </c>
      <c r="BI13" s="25">
        <f>'[2]CF PNP'!$BW$57</f>
        <v>0</v>
      </c>
      <c r="BJ13" s="25">
        <f>'[2]CF PNP'!$BW$58</f>
        <v>0</v>
      </c>
      <c r="BK13" s="25">
        <f>'[2]CF PNP'!$BW$59</f>
        <v>0</v>
      </c>
      <c r="BL13" s="25">
        <f>'[2]CF PNP'!$BW$60</f>
        <v>0</v>
      </c>
      <c r="BM13" s="25">
        <f>'[2]CF PNP'!$BW$61</f>
        <v>0</v>
      </c>
      <c r="BN13" s="25">
        <f>'[2]CF PNP'!$BW$62</f>
        <v>0</v>
      </c>
      <c r="BO13" s="25">
        <f>'[2]CF PNP'!$BW$63</f>
        <v>0</v>
      </c>
      <c r="BP13" s="25">
        <f>'[2]CF PNP'!$BW$64</f>
        <v>0</v>
      </c>
      <c r="BQ13" s="25">
        <f>'[2]CF PNP'!$BW$65</f>
        <v>0</v>
      </c>
      <c r="BR13" s="25">
        <f>'[2]CF PNP'!$BW$66</f>
        <v>0</v>
      </c>
      <c r="BS13" s="25">
        <f>'[2]CF PNP'!$BW$67</f>
        <v>0</v>
      </c>
      <c r="BT13" s="25">
        <f>'[2]CF PNP'!$BW$68</f>
        <v>0</v>
      </c>
      <c r="BU13" s="25">
        <f>'[2]CF PNP'!$BW$69</f>
        <v>0</v>
      </c>
      <c r="BV13" s="25">
        <f>'[2]CF PNP'!$BW$70</f>
        <v>0</v>
      </c>
      <c r="BW13" s="25">
        <f>'[2]CF PNP'!$BW$71</f>
        <v>0</v>
      </c>
      <c r="BX13" s="25">
        <f>'[2]CF PNP'!$BW$72</f>
        <v>0</v>
      </c>
      <c r="BY13" s="26">
        <f>SUM(AN13:BX13)</f>
        <v>0</v>
      </c>
      <c r="BZ13" s="27">
        <f>'[2]CF PND'!$BW$36</f>
        <v>0</v>
      </c>
      <c r="CA13" s="25">
        <f>'[2]CF PND'!$BW$37</f>
        <v>0</v>
      </c>
      <c r="CB13" s="25">
        <f>'[2]CF PND'!$BW$38</f>
        <v>0</v>
      </c>
      <c r="CC13" s="25">
        <f>'[2]CF PND'!$BW$39</f>
        <v>0</v>
      </c>
      <c r="CD13" s="25">
        <f>'[2]CF PND'!$BW$40</f>
        <v>0</v>
      </c>
      <c r="CE13" s="25">
        <f>'[2]CF PND'!$BW$41</f>
        <v>0</v>
      </c>
      <c r="CF13" s="25">
        <f>'[2]CF PND'!$BW$42</f>
        <v>0</v>
      </c>
      <c r="CG13" s="25">
        <f>'[2]CF PND'!$BW$43</f>
        <v>0</v>
      </c>
      <c r="CH13" s="25">
        <f>'[2]CF PND'!$BW$44</f>
        <v>0</v>
      </c>
      <c r="CI13" s="25">
        <f>'[2]CF PND'!$BW$45</f>
        <v>0</v>
      </c>
      <c r="CJ13" s="25">
        <f>'[2]CF PND'!$BW$46</f>
        <v>0</v>
      </c>
      <c r="CK13" s="25">
        <f>'[2]CF PND'!$BW$47</f>
        <v>0</v>
      </c>
      <c r="CL13" s="25">
        <f>'[2]CF PND'!$BW$48</f>
        <v>0</v>
      </c>
      <c r="CM13" s="25">
        <f>'[2]CF PND'!$BW$49</f>
        <v>0</v>
      </c>
      <c r="CN13" s="25">
        <f>'[2]CF PND'!$BW$50</f>
        <v>0</v>
      </c>
      <c r="CO13" s="25">
        <f>'[2]CF PND'!$BW$51</f>
        <v>0</v>
      </c>
      <c r="CP13" s="25">
        <f>'[2]CF PND'!$BW$52</f>
        <v>0</v>
      </c>
      <c r="CQ13" s="25">
        <f>'[2]CF PND'!$BW$53</f>
        <v>0</v>
      </c>
      <c r="CR13" s="25">
        <f>'[2]CF PND'!$BW$54</f>
        <v>0</v>
      </c>
      <c r="CS13" s="25">
        <f>'[2]CF PND'!$BW$55</f>
        <v>0</v>
      </c>
      <c r="CT13" s="25">
        <f>'[2]CF PND'!$BW$56</f>
        <v>0</v>
      </c>
      <c r="CU13" s="25">
        <f>'[2]CF PND'!$BW$57</f>
        <v>0</v>
      </c>
      <c r="CV13" s="25">
        <f>'[2]CF PND'!$BW$58</f>
        <v>0</v>
      </c>
      <c r="CW13" s="25">
        <f>'[2]CF PND'!$BW$59</f>
        <v>0</v>
      </c>
      <c r="CX13" s="25">
        <f>'[2]CF PND'!$BW$60</f>
        <v>0</v>
      </c>
      <c r="CY13" s="25">
        <f>'[2]CF PND'!$BW$61</f>
        <v>0</v>
      </c>
      <c r="CZ13" s="25">
        <f>'[2]CF PND'!$BW$62</f>
        <v>0</v>
      </c>
      <c r="DA13" s="25">
        <f>'[2]CF PND'!$BW$63</f>
        <v>0</v>
      </c>
      <c r="DB13" s="25">
        <f>'[2]CF PND'!$BW$64</f>
        <v>0</v>
      </c>
      <c r="DC13" s="25">
        <f>'[2]CF PND'!$BW$65</f>
        <v>0</v>
      </c>
      <c r="DD13" s="25">
        <f>'[2]CF PND'!$BW$66</f>
        <v>0</v>
      </c>
      <c r="DE13" s="25">
        <f>'[2]CF PND'!$BW$67</f>
        <v>0</v>
      </c>
      <c r="DF13" s="25">
        <f>'[2]CF PND'!$BW$68</f>
        <v>0</v>
      </c>
      <c r="DG13" s="25">
        <f>'[2]CF PND'!$BW$69</f>
        <v>0</v>
      </c>
      <c r="DH13" s="25">
        <f>'[2]CF PND'!$BW$70</f>
        <v>0</v>
      </c>
      <c r="DI13" s="25">
        <f>'[2]CF PND'!$BW$71</f>
        <v>0</v>
      </c>
      <c r="DJ13" s="25">
        <f>'[2]CF PND'!$BW$72</f>
        <v>0</v>
      </c>
      <c r="DK13" s="26">
        <f>SUM(BZ13:DJ13)</f>
        <v>0</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'[2]CF PRB'!$BW$36</f>
        <v>0</v>
      </c>
      <c r="HW13" s="25">
        <f>'[2]CF PRB'!$BW$37</f>
        <v>0</v>
      </c>
      <c r="HX13" s="25">
        <f>'[2]CF PRB'!$BW$38</f>
        <v>0</v>
      </c>
      <c r="HY13" s="25">
        <f>'[2]CF PRB'!$BW$39</f>
        <v>0</v>
      </c>
      <c r="HZ13" s="25">
        <f>'[2]CF PRB'!$BW$40</f>
        <v>0</v>
      </c>
      <c r="IA13" s="25">
        <f>'[2]CF PRB'!$BW$41</f>
        <v>0</v>
      </c>
      <c r="IB13" s="25">
        <f>'[2]CF PRB'!$BW$42</f>
        <v>0</v>
      </c>
      <c r="IC13" s="25">
        <f>'[2]CF PRB'!$BW$43</f>
        <v>0</v>
      </c>
      <c r="ID13" s="25">
        <f>'[2]CF PRB'!$BW$44</f>
        <v>0</v>
      </c>
      <c r="IE13" s="25">
        <f>'[2]CF PRB'!$BW$45</f>
        <v>0</v>
      </c>
      <c r="IF13" s="25">
        <f>'[2]CF PRB'!$BW$46</f>
        <v>0</v>
      </c>
      <c r="IG13" s="25">
        <f>'[2]CF PRB'!$BW$47</f>
        <v>0</v>
      </c>
      <c r="IH13" s="25">
        <f>'[2]CF PRB'!$BW$48</f>
        <v>0</v>
      </c>
      <c r="II13" s="25">
        <f>'[2]CF PRB'!$BW$49</f>
        <v>0</v>
      </c>
      <c r="IJ13" s="25">
        <f>'[2]CF PRB'!$BW$50</f>
        <v>0</v>
      </c>
      <c r="IK13" s="25">
        <f>'[2]CF PRB'!$BW$51</f>
        <v>0</v>
      </c>
      <c r="IL13" s="25">
        <f>'[2]CF PRB'!$BW$52</f>
        <v>0</v>
      </c>
      <c r="IM13" s="25">
        <f>'[2]CF PRB'!$BW$53</f>
        <v>0</v>
      </c>
      <c r="IN13" s="25">
        <f>'[2]CF PRB'!$BW$54</f>
        <v>0</v>
      </c>
      <c r="IO13" s="25">
        <f>'[2]CF PRB'!$BW$55</f>
        <v>0</v>
      </c>
      <c r="IP13" s="25">
        <f>'[2]CF PRB'!$BW$56</f>
        <v>0</v>
      </c>
      <c r="IQ13" s="25">
        <f>'[2]CF PRB'!$BW$57</f>
        <v>0</v>
      </c>
      <c r="IR13" s="25">
        <f>'[2]CF PRB'!$BW$58</f>
        <v>0</v>
      </c>
      <c r="IS13" s="25">
        <f>'[2]CF PRB'!$BW$59</f>
        <v>0</v>
      </c>
      <c r="IT13" s="25">
        <f>'[2]CF PRB'!$BW$60</f>
        <v>0</v>
      </c>
      <c r="IU13" s="25">
        <f>'[2]CF PRB'!$BW$61</f>
        <v>0</v>
      </c>
      <c r="IV13" s="25">
        <f>'[2]CF PRB'!$BW$62</f>
        <v>0</v>
      </c>
      <c r="IW13" s="25">
        <f>'[2]CF PRB'!$BW$63</f>
        <v>0</v>
      </c>
      <c r="IX13" s="25">
        <f>'[2]CF PRB'!$BW$64</f>
        <v>0</v>
      </c>
      <c r="IY13" s="25">
        <f>'[2]CF PRB'!$BW$65</f>
        <v>0</v>
      </c>
      <c r="IZ13" s="25">
        <f>'[2]CF PRB'!$BW$66</f>
        <v>0</v>
      </c>
      <c r="JA13" s="25">
        <f>'[2]CF PRB'!$BW$67</f>
        <v>0</v>
      </c>
      <c r="JB13" s="25">
        <f>'[2]CF PRB'!$BW$68</f>
        <v>0</v>
      </c>
      <c r="JC13" s="25">
        <f>'[2]CF PRB'!$BW$69</f>
        <v>0</v>
      </c>
      <c r="JD13" s="25">
        <f>'[2]CF PRB'!$BW$70</f>
        <v>0</v>
      </c>
      <c r="JE13" s="25">
        <f>'[2]CF PRB'!$BW$71</f>
        <v>0</v>
      </c>
      <c r="JF13" s="25">
        <f>'[2]CF PRB'!$BW$72</f>
        <v>0</v>
      </c>
      <c r="JG13" s="26">
        <f>SUM(HV13:JF13)</f>
        <v>0</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'[2]CF PS'!$BW$36</f>
        <v>0</v>
      </c>
      <c r="NS13" s="25">
        <f>'[2]CF PS'!$BW$37</f>
        <v>0</v>
      </c>
      <c r="NT13" s="25">
        <f>'[2]CF PS'!$BW$38</f>
        <v>0</v>
      </c>
      <c r="NU13" s="25">
        <f>'[2]CF PS'!$BW$39</f>
        <v>0</v>
      </c>
      <c r="NV13" s="25">
        <f>'[2]CF PS'!$BW$40</f>
        <v>0</v>
      </c>
      <c r="NW13" s="25">
        <f>'[2]CF PS'!$BW$41</f>
        <v>0</v>
      </c>
      <c r="NX13" s="25">
        <f>'[2]CF PS'!$BW$42</f>
        <v>0</v>
      </c>
      <c r="NY13" s="25">
        <f>'[2]CF PS'!$BW$43</f>
        <v>0</v>
      </c>
      <c r="NZ13" s="25">
        <f>'[2]CF PS'!$BW$44</f>
        <v>0</v>
      </c>
      <c r="OA13" s="25">
        <f>'[2]CF PS'!$BW$45</f>
        <v>0</v>
      </c>
      <c r="OB13" s="25">
        <f>'[2]CF PS'!$BW$46</f>
        <v>0</v>
      </c>
      <c r="OC13" s="25">
        <f>'[2]CF PS'!$BW$47</f>
        <v>0</v>
      </c>
      <c r="OD13" s="25">
        <f>'[2]CF PS'!$BW$48</f>
        <v>0</v>
      </c>
      <c r="OE13" s="25">
        <f>'[2]CF PS'!$BW$49</f>
        <v>0</v>
      </c>
      <c r="OF13" s="25">
        <f>'[2]CF PS'!$BW$50</f>
        <v>0</v>
      </c>
      <c r="OG13" s="25">
        <f>'[2]CF PS'!$BW$51</f>
        <v>0</v>
      </c>
      <c r="OH13" s="25">
        <f>'[2]CF PS'!$BW$52</f>
        <v>0</v>
      </c>
      <c r="OI13" s="25">
        <f>'[2]CF PS'!$BW$53</f>
        <v>0</v>
      </c>
      <c r="OJ13" s="25">
        <f>'[2]CF PS'!$BW$54</f>
        <v>0</v>
      </c>
      <c r="OK13" s="25">
        <f>'[2]CF PS'!$BW$55</f>
        <v>0</v>
      </c>
      <c r="OL13" s="25">
        <f>'[2]CF PS'!$BW$56</f>
        <v>0</v>
      </c>
      <c r="OM13" s="25">
        <f>'[2]CF PS'!$BW$57</f>
        <v>5041549</v>
      </c>
      <c r="ON13" s="25">
        <f>'[2]CF PS'!$BW$58</f>
        <v>5041549</v>
      </c>
      <c r="OO13" s="25">
        <f>'[2]CF PS'!$BW$59</f>
        <v>5041549</v>
      </c>
      <c r="OP13" s="25">
        <f>'[2]CF PS'!$BW$60</f>
        <v>0</v>
      </c>
      <c r="OQ13" s="25">
        <f>'[2]CF PS'!$BW$61</f>
        <v>0</v>
      </c>
      <c r="OR13" s="25">
        <f>'[2]CF PS'!$BW$62</f>
        <v>0</v>
      </c>
      <c r="OS13" s="25">
        <f>'[2]CF PS'!$BW$63</f>
        <v>0</v>
      </c>
      <c r="OT13" s="25">
        <f>'[2]CF PS'!$BW$64</f>
        <v>0</v>
      </c>
      <c r="OU13" s="25">
        <f>'[2]CF PS'!$BW$65</f>
        <v>0</v>
      </c>
      <c r="OV13" s="25">
        <f>'[2]CF PS'!$BW$66</f>
        <v>0</v>
      </c>
      <c r="OW13" s="25">
        <f>'[2]CF PS'!$BW$67</f>
        <v>0</v>
      </c>
      <c r="OX13" s="25">
        <f>'[2]CF PS'!$BW$68</f>
        <v>0</v>
      </c>
      <c r="OY13" s="25">
        <f>'[2]CF PS'!$BW$69</f>
        <v>0</v>
      </c>
      <c r="OZ13" s="25">
        <f>'[2]CF PS'!$BW$70</f>
        <v>0</v>
      </c>
      <c r="PA13" s="25">
        <f>'[2]CF PS'!$BW$71</f>
        <v>0</v>
      </c>
      <c r="PB13" s="25">
        <f>'[2]CF PS'!$BW$72</f>
        <v>0</v>
      </c>
      <c r="PC13" s="26">
        <f>SUM(NR13:PB13)</f>
        <v>15124647</v>
      </c>
      <c r="PH13" s="16">
        <f>PF13+JG13+PC13</f>
        <v>15124647</v>
      </c>
    </row>
    <row r="14" spans="1:424" ht="15.6" thickBot="1" x14ac:dyDescent="0.4">
      <c r="A14" s="47" t="s">
        <v>38</v>
      </c>
      <c r="B14" s="40">
        <f>IF(AND(B12&lt;&gt;0,B13&lt;&gt;0),(B12-B13)/B13,IF(AND(B12=0,B13=0),"",IF(AND(B12="",B13=""),"",IF(AND(B12=0,B13=""),"", IF(AND(B12="",B13=0),"",1)))))</f>
        <v>-8.5002149141067559E-2</v>
      </c>
      <c r="C14" s="40">
        <f t="shared" ref="C14" si="390">IF(AND(C12&lt;&gt;0,C13&lt;&gt;0),(C12-C13)/C13,IF(AND(C12=0,C13=0),"",IF(AND(C12="",C13=""),"",IF(AND(C12=0,C13=""),"", IF(AND(C12="",C13=0),"",1)))))</f>
        <v>-0.10367379152716755</v>
      </c>
      <c r="D14" s="40">
        <f t="shared" ref="D14" si="391">IF(AND(D12&lt;&gt;0,D13&lt;&gt;0),(D12-D13)/D13,IF(AND(D12=0,D13=0),"",IF(AND(D12="",D13=""),"",IF(AND(D12=0,D13=""),"", IF(AND(D12="",D13=0),"",1)))))</f>
        <v>-0.19759685961596327</v>
      </c>
      <c r="E14" s="40">
        <f t="shared" ref="E14" si="392">IF(AND(E12&lt;&gt;0,E13&lt;&gt;0),(E12-E13)/E13,IF(AND(E12=0,E13=0),"",IF(AND(E12="",E13=""),"",IF(AND(E12=0,E13=""),"", IF(AND(E12="",E13=0),"",1)))))</f>
        <v>-0.41500637998361217</v>
      </c>
      <c r="F14" s="40">
        <f t="shared" ref="F14" si="393">IF(AND(F12&lt;&gt;0,F13&lt;&gt;0),(F12-F13)/F13,IF(AND(F12=0,F13=0),"",IF(AND(F12="",F13=""),"",IF(AND(F12=0,F13=""),"", IF(AND(F12="",F13=0),"",1)))))</f>
        <v>-0.63151476361729297</v>
      </c>
      <c r="G14" s="40">
        <f t="shared" ref="G14" si="394">IF(AND(G12&lt;&gt;0,G13&lt;&gt;0),(G12-G13)/G13,IF(AND(G12=0,G13=0),"",IF(AND(G12="",G13=""),"",IF(AND(G12=0,G13=""),"", IF(AND(G12="",G13=0),"",1)))))</f>
        <v>-0.69593053146959394</v>
      </c>
      <c r="H14" s="40">
        <f t="shared" ref="H14" si="395">IF(AND(H12&lt;&gt;0,H13&lt;&gt;0),(H12-H13)/H13,IF(AND(H12=0,H13=0),"",IF(AND(H12="",H13=""),"",IF(AND(H12=0,H13=""),"", IF(AND(H12="",H13=0),"",1)))))</f>
        <v>-0.66483406191232097</v>
      </c>
      <c r="I14" s="40">
        <f t="shared" ref="I14" si="396">IF(AND(I12&lt;&gt;0,I13&lt;&gt;0),(I12-I13)/I13,IF(AND(I12=0,I13=0),"",IF(AND(I12="",I13=""),"",IF(AND(I12=0,I13=""),"", IF(AND(I12="",I13=0),"",1)))))</f>
        <v>-0.61570367559652794</v>
      </c>
      <c r="J14" s="40">
        <f t="shared" ref="J14" si="397">IF(AND(J12&lt;&gt;0,J13&lt;&gt;0),(J12-J13)/J13,IF(AND(J12=0,J13=0),"",IF(AND(J12="",J13=""),"",IF(AND(J12=0,J13=""),"", IF(AND(J12="",J13=0),"",1)))))</f>
        <v>-0.5689233110696732</v>
      </c>
      <c r="K14" s="40">
        <f t="shared" ref="K14" si="398">IF(AND(K12&lt;&gt;0,K13&lt;&gt;0),(K12-K13)/K13,IF(AND(K12=0,K13=0),"",IF(AND(K12="",K13=""),"",IF(AND(K12=0,K13=""),"", IF(AND(K12="",K13=0),"",1)))))</f>
        <v>-0.5212319666039148</v>
      </c>
      <c r="L14" s="40">
        <f t="shared" ref="L14" si="399">IF(AND(L12&lt;&gt;0,L13&lt;&gt;0),(L12-L13)/L13,IF(AND(L12=0,L13=0),"",IF(AND(L12="",L13=""),"",IF(AND(L12=0,L13=""),"", IF(AND(L12="",L13=0),"",1)))))</f>
        <v>-0.47278872029211655</v>
      </c>
      <c r="M14" s="40">
        <f t="shared" ref="M14" si="400">IF(AND(M12&lt;&gt;0,M13&lt;&gt;0),(M12-M13)/M13,IF(AND(M12=0,M13=0),"",IF(AND(M12="",M13=""),"",IF(AND(M12=0,M13=""),"", IF(AND(M12="",M13=0),"",1)))))</f>
        <v>-0.42163117922686061</v>
      </c>
      <c r="N14" s="40">
        <f t="shared" ref="N14" si="401">IF(AND(N12&lt;&gt;0,N13&lt;&gt;0),(N12-N13)/N13,IF(AND(N12=0,N13=0),"",IF(AND(N12="",N13=""),"",IF(AND(N12=0,N13=""),"", IF(AND(N12="",N13=0),"",1)))))</f>
        <v>-0.37016381274881988</v>
      </c>
      <c r="O14" s="40">
        <f t="shared" ref="O14" si="402">IF(AND(O12&lt;&gt;0,O13&lt;&gt;0),(O12-O13)/O13,IF(AND(O12=0,O13=0),"",IF(AND(O12="",O13=""),"",IF(AND(O12=0,O13=""),"", IF(AND(O12="",O13=0),"",1)))))</f>
        <v>-0.31758022187228568</v>
      </c>
      <c r="P14" s="40">
        <f t="shared" ref="P14" si="403">IF(AND(P12&lt;&gt;0,P13&lt;&gt;0),(P12-P13)/P13,IF(AND(P12=0,P13=0),"",IF(AND(P12="",P13=""),"",IF(AND(P12=0,P13=""),"", IF(AND(P12="",P13=0),"",1)))))</f>
        <v>-0.26524635583230471</v>
      </c>
      <c r="Q14" s="40">
        <f t="shared" ref="Q14" si="404">IF(AND(Q12&lt;&gt;0,Q13&lt;&gt;0),(Q12-Q13)/Q13,IF(AND(Q12=0,Q13=0),"",IF(AND(Q12="",Q13=""),"",IF(AND(Q12=0,Q13=""),"", IF(AND(Q12="",Q13=0),"",1)))))</f>
        <v>-0.21101902411342227</v>
      </c>
      <c r="R14" s="40">
        <f t="shared" ref="R14" si="405">IF(AND(R12&lt;&gt;0,R13&lt;&gt;0),(R12-R13)/R13,IF(AND(R12=0,R13=0),"",IF(AND(R12="",R13=""),"",IF(AND(R12=0,R13=""),"", IF(AND(R12="",R13=0),"",1)))))</f>
        <v>-0.15373201767948699</v>
      </c>
      <c r="S14" s="40">
        <f t="shared" ref="S14" si="406">IF(AND(S12&lt;&gt;0,S13&lt;&gt;0),(S12-S13)/S13,IF(AND(S12=0,S13=0),"",IF(AND(S12="",S13=""),"",IF(AND(S12=0,S13=""),"", IF(AND(S12="",S13=0),"",1)))))</f>
        <v>-9.1735992251587753E-2</v>
      </c>
      <c r="T14" s="40">
        <f t="shared" ref="T14" si="407">IF(AND(T12&lt;&gt;0,T13&lt;&gt;0),(T12-T13)/T13,IF(AND(T12=0,T13=0),"",IF(AND(T12="",T13=""),"",IF(AND(T12=0,T13=""),"", IF(AND(T12="",T13=0),"",1)))))</f>
        <v>-7.2341655312682676E-2</v>
      </c>
      <c r="U14" s="40">
        <f t="shared" ref="U14" si="408">IF(AND(U12&lt;&gt;0,U13&lt;&gt;0),(U12-U13)/U13,IF(AND(U12=0,U13=0),"",IF(AND(U12="",U13=""),"",IF(AND(U12=0,U13=""),"", IF(AND(U12="",U13=0),"",1)))))</f>
        <v>-7.4713743732333054E-2</v>
      </c>
      <c r="V14" s="40">
        <f t="shared" ref="V14" si="409">IF(AND(V12&lt;&gt;0,V13&lt;&gt;0),(V12-V13)/V13,IF(AND(V12=0,V13=0),"",IF(AND(V12="",V13=""),"",IF(AND(V12=0,V13=""),"", IF(AND(V12="",V13=0),"",1)))))</f>
        <v>-7.6300755977974227E-2</v>
      </c>
      <c r="W14" s="40">
        <f t="shared" ref="W14" si="410">IF(AND(W12&lt;&gt;0,W13&lt;&gt;0),(W12-W13)/W13,IF(AND(W12=0,W13=0),"",IF(AND(W12="",W13=""),"",IF(AND(W12=0,W13=""),"", IF(AND(W12="",W13=0),"",1)))))</f>
        <v>1</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-0.32003070291255631</v>
      </c>
      <c r="AN14" s="39">
        <f t="shared" ref="AN14" si="413">IF(AND(AN12&lt;&gt;0,AN13&lt;&gt;0),(AN12-AN13)/AN13,IF(AND(AN12=0,AN13=0),"",IF(AND(AN12="",AN13=""),"",IF(AND(AN12=0,AN13=""),"", IF(AND(AN12="",AN13=0),"",1)))))</f>
        <v>1</v>
      </c>
      <c r="AO14" s="40">
        <f t="shared" ref="AO14" si="414">IF(AND(AO12&lt;&gt;0,AO13&lt;&gt;0),(AO12-AO13)/AO13,IF(AND(AO12=0,AO13=0),"",IF(AND(AO12="",AO13=""),"",IF(AND(AO12=0,AO13=""),"", IF(AND(AO12="",AO13=0),"",1)))))</f>
        <v>1</v>
      </c>
      <c r="AP14" s="40">
        <f t="shared" ref="AP14" si="415">IF(AND(AP12&lt;&gt;0,AP13&lt;&gt;0),(AP12-AP13)/AP13,IF(AND(AP12=0,AP13=0),"",IF(AND(AP12="",AP13=""),"",IF(AND(AP12=0,AP13=""),"", IF(AND(AP12="",AP13=0),"",1)))))</f>
        <v>1</v>
      </c>
      <c r="AQ14" s="40">
        <f t="shared" ref="AQ14" si="416">IF(AND(AQ12&lt;&gt;0,AQ13&lt;&gt;0),(AQ12-AQ13)/AQ13,IF(AND(AQ12=0,AQ13=0),"",IF(AND(AQ12="",AQ13=""),"",IF(AND(AQ12=0,AQ13=""),"", IF(AND(AQ12="",AQ13=0),"",1)))))</f>
        <v>1</v>
      </c>
      <c r="AR14" s="40">
        <f t="shared" ref="AR14" si="417">IF(AND(AR12&lt;&gt;0,AR13&lt;&gt;0),(AR12-AR13)/AR13,IF(AND(AR12=0,AR13=0),"",IF(AND(AR12="",AR13=""),"",IF(AND(AR12=0,AR13=""),"", IF(AND(AR12="",AR13=0),"",1)))))</f>
        <v>1</v>
      </c>
      <c r="AS14" s="40">
        <f t="shared" ref="AS14" si="418">IF(AND(AS12&lt;&gt;0,AS13&lt;&gt;0),(AS12-AS13)/AS13,IF(AND(AS12=0,AS13=0),"",IF(AND(AS12="",AS13=""),"",IF(AND(AS12=0,AS13=""),"", IF(AND(AS12="",AS13=0),"",1)))))</f>
        <v>1</v>
      </c>
      <c r="AT14" s="40">
        <f t="shared" ref="AT14" si="419">IF(AND(AT12&lt;&gt;0,AT13&lt;&gt;0),(AT12-AT13)/AT13,IF(AND(AT12=0,AT13=0),"",IF(AND(AT12="",AT13=""),"",IF(AND(AT12=0,AT13=""),"", IF(AND(AT12="",AT13=0),"",1)))))</f>
        <v>1</v>
      </c>
      <c r="AU14" s="40">
        <f t="shared" ref="AU14" si="420">IF(AND(AU12&lt;&gt;0,AU13&lt;&gt;0),(AU12-AU13)/AU13,IF(AND(AU12=0,AU13=0),"",IF(AND(AU12="",AU13=""),"",IF(AND(AU12=0,AU13=""),"", IF(AND(AU12="",AU13=0),"",1)))))</f>
        <v>1</v>
      </c>
      <c r="AV14" s="40">
        <f t="shared" ref="AV14" si="421">IF(AND(AV12&lt;&gt;0,AV13&lt;&gt;0),(AV12-AV13)/AV13,IF(AND(AV12=0,AV13=0),"",IF(AND(AV12="",AV13=""),"",IF(AND(AV12=0,AV13=""),"", IF(AND(AV12="",AV13=0),"",1)))))</f>
        <v>1</v>
      </c>
      <c r="AW14" s="40">
        <f t="shared" ref="AW14" si="422">IF(AND(AW12&lt;&gt;0,AW13&lt;&gt;0),(AW12-AW13)/AW13,IF(AND(AW12=0,AW13=0),"",IF(AND(AW12="",AW13=""),"",IF(AND(AW12=0,AW13=""),"", IF(AND(AW12="",AW13=0),"",1)))))</f>
        <v>1</v>
      </c>
      <c r="AX14" s="40">
        <f t="shared" ref="AX14" si="423">IF(AND(AX12&lt;&gt;0,AX13&lt;&gt;0),(AX12-AX13)/AX13,IF(AND(AX12=0,AX13=0),"",IF(AND(AX12="",AX13=""),"",IF(AND(AX12=0,AX13=""),"", IF(AND(AX12="",AX13=0),"",1)))))</f>
        <v>1</v>
      </c>
      <c r="AY14" s="40">
        <f t="shared" ref="AY14" si="424">IF(AND(AY12&lt;&gt;0,AY13&lt;&gt;0),(AY12-AY13)/AY13,IF(AND(AY12=0,AY13=0),"",IF(AND(AY12="",AY13=""),"",IF(AND(AY12=0,AY13=""),"", IF(AND(AY12="",AY13=0),"",1)))))</f>
        <v>1</v>
      </c>
      <c r="AZ14" s="40">
        <f t="shared" ref="AZ14" si="425">IF(AND(AZ12&lt;&gt;0,AZ13&lt;&gt;0),(AZ12-AZ13)/AZ13,IF(AND(AZ12=0,AZ13=0),"",IF(AND(AZ12="",AZ13=""),"",IF(AND(AZ12=0,AZ13=""),"", IF(AND(AZ12="",AZ13=0),"",1)))))</f>
        <v>1</v>
      </c>
      <c r="BA14" s="40">
        <f t="shared" ref="BA14" si="426">IF(AND(BA12&lt;&gt;0,BA13&lt;&gt;0),(BA12-BA13)/BA13,IF(AND(BA12=0,BA13=0),"",IF(AND(BA12="",BA13=""),"",IF(AND(BA12=0,BA13=""),"", IF(AND(BA12="",BA13=0),"",1)))))</f>
        <v>1</v>
      </c>
      <c r="BB14" s="40">
        <f t="shared" ref="BB14" si="427">IF(AND(BB12&lt;&gt;0,BB13&lt;&gt;0),(BB12-BB13)/BB13,IF(AND(BB12=0,BB13=0),"",IF(AND(BB12="",BB13=""),"",IF(AND(BB12=0,BB13=""),"", IF(AND(BB12="",BB13=0),"",1)))))</f>
        <v>1</v>
      </c>
      <c r="BC14" s="40">
        <f t="shared" ref="BC14" si="428">IF(AND(BC12&lt;&gt;0,BC13&lt;&gt;0),(BC12-BC13)/BC13,IF(AND(BC12=0,BC13=0),"",IF(AND(BC12="",BC13=""),"",IF(AND(BC12=0,BC13=""),"", IF(AND(BC12="",BC13=0),"",1)))))</f>
        <v>1</v>
      </c>
      <c r="BD14" s="40">
        <f t="shared" ref="BD14" si="429">IF(AND(BD12&lt;&gt;0,BD13&lt;&gt;0),(BD12-BD13)/BD13,IF(AND(BD12=0,BD13=0),"",IF(AND(BD12="",BD13=""),"",IF(AND(BD12=0,BD13=""),"", IF(AND(BD12="",BD13=0),"",1)))))</f>
        <v>1</v>
      </c>
      <c r="BE14" s="40">
        <f t="shared" ref="BE14" si="430">IF(AND(BE12&lt;&gt;0,BE13&lt;&gt;0),(BE12-BE13)/BE13,IF(AND(BE12=0,BE13=0),"",IF(AND(BE12="",BE13=""),"",IF(AND(BE12=0,BE13=""),"", IF(AND(BE12="",BE13=0),"",1)))))</f>
        <v>1</v>
      </c>
      <c r="BF14" s="40">
        <f t="shared" ref="BF14" si="431">IF(AND(BF12&lt;&gt;0,BF13&lt;&gt;0),(BF12-BF13)/BF13,IF(AND(BF12=0,BF13=0),"",IF(AND(BF12="",BF13=""),"",IF(AND(BF12=0,BF13=""),"", IF(AND(BF12="",BF13=0),"",1)))))</f>
        <v>1</v>
      </c>
      <c r="BG14" s="40">
        <f t="shared" ref="BG14" si="432">IF(AND(BG12&lt;&gt;0,BG13&lt;&gt;0),(BG12-BG13)/BG13,IF(AND(BG12=0,BG13=0),"",IF(AND(BG12="",BG13=""),"",IF(AND(BG12=0,BG13=""),"", IF(AND(BG12="",BG13=0),"",1)))))</f>
        <v>1</v>
      </c>
      <c r="BH14" s="40">
        <f t="shared" ref="BH14" si="433">IF(AND(BH12&lt;&gt;0,BH13&lt;&gt;0),(BH12-BH13)/BH13,IF(AND(BH12=0,BH13=0),"",IF(AND(BH12="",BH13=""),"",IF(AND(BH12=0,BH13=""),"", IF(AND(BH12="",BH13=0),"",1)))))</f>
        <v>1</v>
      </c>
      <c r="BI14" s="40">
        <f t="shared" ref="BI14" si="434">IF(AND(BI12&lt;&gt;0,BI13&lt;&gt;0),(BI12-BI13)/BI13,IF(AND(BI12=0,BI13=0),"",IF(AND(BI12="",BI13=""),"",IF(AND(BI12=0,BI13=""),"", IF(AND(BI12="",BI13=0),"",1)))))</f>
        <v>1</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f t="shared" ref="BY14" si="436">IF(AND(BY12&lt;&gt;0,BY13&lt;&gt;0),(BY12-BY13)/BY13,IF(AND(BY12=0,BY13=0),"",IF(AND(BY12="",BY13=""),"",IF(AND(BY12=0,BY13=""),"", IF(AND(BY12="",BY13=0),"",1)))))</f>
        <v>1</v>
      </c>
      <c r="BZ14" s="39" t="str">
        <f t="shared" ref="BZ14" si="437">IF(AND(BZ12&lt;&gt;0,BZ13&lt;&gt;0),(BZ12-BZ13)/BZ13,IF(AND(BZ12=0,BZ13=0),"",IF(AND(BZ12="",BZ13=""),"",IF(AND(BZ12=0,BZ13=""),"", IF(AND(BZ12="",BZ13=0),"",1)))))</f>
        <v/>
      </c>
      <c r="CA14" s="40">
        <f t="shared" ref="CA14" si="438">IF(AND(CA12&lt;&gt;0,CA13&lt;&gt;0),(CA12-CA13)/CA13,IF(AND(CA12=0,CA13=0),"",IF(AND(CA12="",CA13=""),"",IF(AND(CA12=0,CA13=""),"", IF(AND(CA12="",CA13=0),"",1)))))</f>
        <v>1</v>
      </c>
      <c r="CB14" s="40">
        <f t="shared" ref="CB14" si="439">IF(AND(CB12&lt;&gt;0,CB13&lt;&gt;0),(CB12-CB13)/CB13,IF(AND(CB12=0,CB13=0),"",IF(AND(CB12="",CB13=""),"",IF(AND(CB12=0,CB13=""),"", IF(AND(CB12="",CB13=0),"",1)))))</f>
        <v>1</v>
      </c>
      <c r="CC14" s="40">
        <f t="shared" ref="CC14" si="440">IF(AND(CC12&lt;&gt;0,CC13&lt;&gt;0),(CC12-CC13)/CC13,IF(AND(CC12=0,CC13=0),"",IF(AND(CC12="",CC13=""),"",IF(AND(CC12=0,CC13=""),"", IF(AND(CC12="",CC13=0),"",1)))))</f>
        <v>1</v>
      </c>
      <c r="CD14" s="40">
        <f t="shared" ref="CD14" si="441">IF(AND(CD12&lt;&gt;0,CD13&lt;&gt;0),(CD12-CD13)/CD13,IF(AND(CD12=0,CD13=0),"",IF(AND(CD12="",CD13=""),"",IF(AND(CD12=0,CD13=""),"", IF(AND(CD12="",CD13=0),"",1)))))</f>
        <v>1</v>
      </c>
      <c r="CE14" s="40">
        <f t="shared" ref="CE14" si="442">IF(AND(CE12&lt;&gt;0,CE13&lt;&gt;0),(CE12-CE13)/CE13,IF(AND(CE12=0,CE13=0),"",IF(AND(CE12="",CE13=""),"",IF(AND(CE12=0,CE13=""),"", IF(AND(CE12="",CE13=0),"",1)))))</f>
        <v>1</v>
      </c>
      <c r="CF14" s="40">
        <f t="shared" ref="CF14" si="443">IF(AND(CF12&lt;&gt;0,CF13&lt;&gt;0),(CF12-CF13)/CF13,IF(AND(CF12=0,CF13=0),"",IF(AND(CF12="",CF13=""),"",IF(AND(CF12=0,CF13=""),"", IF(AND(CF12="",CF13=0),"",1)))))</f>
        <v>1</v>
      </c>
      <c r="CG14" s="40">
        <f t="shared" ref="CG14" si="444">IF(AND(CG12&lt;&gt;0,CG13&lt;&gt;0),(CG12-CG13)/CG13,IF(AND(CG12=0,CG13=0),"",IF(AND(CG12="",CG13=""),"",IF(AND(CG12=0,CG13=""),"", IF(AND(CG12="",CG13=0),"",1)))))</f>
        <v>1</v>
      </c>
      <c r="CH14" s="40">
        <f t="shared" ref="CH14" si="445">IF(AND(CH12&lt;&gt;0,CH13&lt;&gt;0),(CH12-CH13)/CH13,IF(AND(CH12=0,CH13=0),"",IF(AND(CH12="",CH13=""),"",IF(AND(CH12=0,CH13=""),"", IF(AND(CH12="",CH13=0),"",1)))))</f>
        <v>1</v>
      </c>
      <c r="CI14" s="40">
        <f t="shared" ref="CI14" si="446">IF(AND(CI12&lt;&gt;0,CI13&lt;&gt;0),(CI12-CI13)/CI13,IF(AND(CI12=0,CI13=0),"",IF(AND(CI12="",CI13=""),"",IF(AND(CI12=0,CI13=""),"", IF(AND(CI12="",CI13=0),"",1)))))</f>
        <v>1</v>
      </c>
      <c r="CJ14" s="40">
        <f t="shared" ref="CJ14" si="447">IF(AND(CJ12&lt;&gt;0,CJ13&lt;&gt;0),(CJ12-CJ13)/CJ13,IF(AND(CJ12=0,CJ13=0),"",IF(AND(CJ12="",CJ13=""),"",IF(AND(CJ12=0,CJ13=""),"", IF(AND(CJ12="",CJ13=0),"",1)))))</f>
        <v>1</v>
      </c>
      <c r="CK14" s="40">
        <f t="shared" ref="CK14" si="448">IF(AND(CK12&lt;&gt;0,CK13&lt;&gt;0),(CK12-CK13)/CK13,IF(AND(CK12=0,CK13=0),"",IF(AND(CK12="",CK13=""),"",IF(AND(CK12=0,CK13=""),"", IF(AND(CK12="",CK13=0),"",1)))))</f>
        <v>1</v>
      </c>
      <c r="CL14" s="40">
        <f t="shared" ref="CL14" si="449">IF(AND(CL12&lt;&gt;0,CL13&lt;&gt;0),(CL12-CL13)/CL13,IF(AND(CL12=0,CL13=0),"",IF(AND(CL12="",CL13=""),"",IF(AND(CL12=0,CL13=""),"", IF(AND(CL12="",CL13=0),"",1)))))</f>
        <v>1</v>
      </c>
      <c r="CM14" s="40">
        <f t="shared" ref="CM14" si="450">IF(AND(CM12&lt;&gt;0,CM13&lt;&gt;0),(CM12-CM13)/CM13,IF(AND(CM12=0,CM13=0),"",IF(AND(CM12="",CM13=""),"",IF(AND(CM12=0,CM13=""),"", IF(AND(CM12="",CM13=0),"",1)))))</f>
        <v>1</v>
      </c>
      <c r="CN14" s="40">
        <f t="shared" ref="CN14" si="451">IF(AND(CN12&lt;&gt;0,CN13&lt;&gt;0),(CN12-CN13)/CN13,IF(AND(CN12=0,CN13=0),"",IF(AND(CN12="",CN13=""),"",IF(AND(CN12=0,CN13=""),"", IF(AND(CN12="",CN13=0),"",1)))))</f>
        <v>1</v>
      </c>
      <c r="CO14" s="40">
        <f t="shared" ref="CO14" si="452">IF(AND(CO12&lt;&gt;0,CO13&lt;&gt;0),(CO12-CO13)/CO13,IF(AND(CO12=0,CO13=0),"",IF(AND(CO12="",CO13=""),"",IF(AND(CO12=0,CO13=""),"", IF(AND(CO12="",CO13=0),"",1)))))</f>
        <v>1</v>
      </c>
      <c r="CP14" s="40">
        <f t="shared" ref="CP14" si="453">IF(AND(CP12&lt;&gt;0,CP13&lt;&gt;0),(CP12-CP13)/CP13,IF(AND(CP12=0,CP13=0),"",IF(AND(CP12="",CP13=""),"",IF(AND(CP12=0,CP13=""),"", IF(AND(CP12="",CP13=0),"",1)))))</f>
        <v>1</v>
      </c>
      <c r="CQ14" s="40">
        <f t="shared" ref="CQ14" si="454">IF(AND(CQ12&lt;&gt;0,CQ13&lt;&gt;0),(CQ12-CQ13)/CQ13,IF(AND(CQ12=0,CQ13=0),"",IF(AND(CQ12="",CQ13=""),"",IF(AND(CQ12=0,CQ13=""),"", IF(AND(CQ12="",CQ13=0),"",1)))))</f>
        <v>1</v>
      </c>
      <c r="CR14" s="40" t="str">
        <f t="shared" ref="CR14" si="455">IF(AND(CR12&lt;&gt;0,CR13&lt;&gt;0),(CR12-CR13)/CR13,IF(AND(CR12=0,CR13=0),"",IF(AND(CR12="",CR13=""),"",IF(AND(CR12=0,CR13=""),"", IF(AND(CR12="",CR13=0),"",1)))))</f>
        <v/>
      </c>
      <c r="CS14" s="40" t="str">
        <f t="shared" ref="CS14" si="456">IF(AND(CS12&lt;&gt;0,CS13&lt;&gt;0),(CS12-CS13)/CS13,IF(AND(CS12=0,CS13=0),"",IF(AND(CS12="",CS13=""),"",IF(AND(CS12=0,CS13=""),"", IF(AND(CS12="",CS13=0),"",1)))))</f>
        <v/>
      </c>
      <c r="CT14" s="40" t="str">
        <f t="shared" ref="CT14" si="457">IF(AND(CT12&lt;&gt;0,CT13&lt;&gt;0),(CT12-CT13)/CT13,IF(AND(CT12=0,CT13=0),"",IF(AND(CT12="",CT13=""),"",IF(AND(CT12=0,CT13=""),"", IF(AND(CT12="",CT13=0),"",1)))))</f>
        <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f t="shared" ref="DK14:HU14" si="460">IF(AND(DK12&lt;&gt;0,DK13&lt;&gt;0),(DK12-DK13)/DK13,IF(AND(DK12=0,DK13=0),"",IF(AND(DK12="",DK13=""),"",IF(AND(DK12=0,DK13=""),"", IF(AND(DK12="",DK13=0),"",1)))))</f>
        <v>1</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t="str">
        <f t="shared" si="460"/>
        <v/>
      </c>
      <c r="DW14" s="73" t="str">
        <f t="shared" si="460"/>
        <v/>
      </c>
      <c r="DX14" s="73" t="str">
        <f t="shared" si="460"/>
        <v/>
      </c>
      <c r="DY14" s="73" t="str">
        <f t="shared" si="460"/>
        <v/>
      </c>
      <c r="DZ14" s="73" t="str">
        <f t="shared" si="460"/>
        <v/>
      </c>
      <c r="EA14" s="73" t="str">
        <f t="shared" si="460"/>
        <v/>
      </c>
      <c r="EB14" s="73" t="str">
        <f t="shared" si="460"/>
        <v/>
      </c>
      <c r="EC14" s="73" t="str">
        <f t="shared" si="460"/>
        <v/>
      </c>
      <c r="ED14" s="73" t="str">
        <f t="shared" si="460"/>
        <v/>
      </c>
      <c r="EE14" s="73" t="str">
        <f t="shared" si="460"/>
        <v/>
      </c>
      <c r="EF14" s="73" t="str">
        <f t="shared" si="460"/>
        <v/>
      </c>
      <c r="EG14" s="73" t="str">
        <f t="shared" si="460"/>
        <v/>
      </c>
      <c r="EH14" s="73" t="str">
        <f t="shared" si="460"/>
        <v/>
      </c>
      <c r="EI14" s="73" t="str">
        <f t="shared" ref="EI14:EV14" si="461">IF(AND(EI12&lt;&gt;0,EI13&lt;&gt;0),(EI12-EI13)/EI13,IF(AND(EI12=0,EI13=0),"",IF(AND(EI12="",EI13=""),"",IF(AND(EI12=0,EI13=""),"", IF(AND(EI12="",EI13=0),"",1)))))</f>
        <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t="str">
        <f t="shared" si="460"/>
        <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t="str">
        <f t="shared" si="462"/>
        <v/>
      </c>
      <c r="FL14" s="73" t="str">
        <f t="shared" si="462"/>
        <v/>
      </c>
      <c r="FM14" s="73" t="str">
        <f t="shared" si="462"/>
        <v/>
      </c>
      <c r="FN14" s="73" t="str">
        <f t="shared" si="462"/>
        <v/>
      </c>
      <c r="FO14" s="73" t="str">
        <f t="shared" si="462"/>
        <v/>
      </c>
      <c r="FP14" s="73" t="str">
        <f t="shared" si="462"/>
        <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t="str">
        <f t="shared" si="462"/>
        <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t="str">
        <f t="shared" ref="IE14" si="474">IF(AND(IE12&lt;&gt;0,IE13&lt;&gt;0),(IE12-IE13)/IE13,IF(AND(IE12=0,IE13=0),"",IF(AND(IE12="",IE13=""),"",IF(AND(IE12=0,IE13=""),"", IF(AND(IE12="",IE13=0),"",1)))))</f>
        <v/>
      </c>
      <c r="IF14" s="40" t="str">
        <f t="shared" ref="IF14" si="475">IF(AND(IF12&lt;&gt;0,IF13&lt;&gt;0),(IF12-IF13)/IF13,IF(AND(IF12=0,IF13=0),"",IF(AND(IF12="",IF13=""),"",IF(AND(IF12=0,IF13=""),"", IF(AND(IF12="",IF13=0),"",1)))))</f>
        <v/>
      </c>
      <c r="IG14" s="40" t="str">
        <f t="shared" ref="IG14" si="476">IF(AND(IG12&lt;&gt;0,IG13&lt;&gt;0),(IG12-IG13)/IG13,IF(AND(IG12=0,IG13=0),"",IF(AND(IG12="",IG13=""),"",IF(AND(IG12=0,IG13=""),"", IF(AND(IG12="",IG13=0),"",1)))))</f>
        <v/>
      </c>
      <c r="IH14" s="40" t="str">
        <f t="shared" ref="IH14" si="477">IF(AND(IH12&lt;&gt;0,IH13&lt;&gt;0),(IH12-IH13)/IH13,IF(AND(IH12=0,IH13=0),"",IF(AND(IH12="",IH13=""),"",IF(AND(IH12=0,IH13=""),"", IF(AND(IH12="",IH13=0),"",1)))))</f>
        <v/>
      </c>
      <c r="II14" s="40" t="str">
        <f t="shared" ref="II14" si="478">IF(AND(II12&lt;&gt;0,II13&lt;&gt;0),(II12-II13)/II13,IF(AND(II12=0,II13=0),"",IF(AND(II12="",II13=""),"",IF(AND(II12=0,II13=""),"", IF(AND(II12="",II13=0),"",1)))))</f>
        <v/>
      </c>
      <c r="IJ14" s="40" t="str">
        <f t="shared" ref="IJ14" si="479">IF(AND(IJ12&lt;&gt;0,IJ13&lt;&gt;0),(IJ12-IJ13)/IJ13,IF(AND(IJ12=0,IJ13=0),"",IF(AND(IJ12="",IJ13=""),"",IF(AND(IJ12=0,IJ13=""),"", IF(AND(IJ12="",IJ13=0),"",1)))))</f>
        <v/>
      </c>
      <c r="IK14" s="40" t="str">
        <f t="shared" ref="IK14" si="480">IF(AND(IK12&lt;&gt;0,IK13&lt;&gt;0),(IK12-IK13)/IK13,IF(AND(IK12=0,IK13=0),"",IF(AND(IK12="",IK13=""),"",IF(AND(IK12=0,IK13=""),"", IF(AND(IK12="",IK13=0),"",1)))))</f>
        <v/>
      </c>
      <c r="IL14" s="40" t="str">
        <f t="shared" ref="IL14" si="481">IF(AND(IL12&lt;&gt;0,IL13&lt;&gt;0),(IL12-IL13)/IL13,IF(AND(IL12=0,IL13=0),"",IF(AND(IL12="",IL13=""),"",IF(AND(IL12=0,IL13=""),"", IF(AND(IL12="",IL13=0),"",1)))))</f>
        <v/>
      </c>
      <c r="IM14" s="40" t="str">
        <f t="shared" ref="IM14" si="482">IF(AND(IM12&lt;&gt;0,IM13&lt;&gt;0),(IM12-IM13)/IM13,IF(AND(IM12=0,IM13=0),"",IF(AND(IM12="",IM13=""),"",IF(AND(IM12=0,IM13=""),"", IF(AND(IM12="",IM13=0),"",1)))))</f>
        <v/>
      </c>
      <c r="IN14" s="40" t="str">
        <f t="shared" ref="IN14" si="483">IF(AND(IN12&lt;&gt;0,IN13&lt;&gt;0),(IN12-IN13)/IN13,IF(AND(IN12=0,IN13=0),"",IF(AND(IN12="",IN13=""),"",IF(AND(IN12=0,IN13=""),"", IF(AND(IN12="",IN13=0),"",1)))))</f>
        <v/>
      </c>
      <c r="IO14" s="40" t="str">
        <f t="shared" ref="IO14" si="484">IF(AND(IO12&lt;&gt;0,IO13&lt;&gt;0),(IO12-IO13)/IO13,IF(AND(IO12=0,IO13=0),"",IF(AND(IO12="",IO13=""),"",IF(AND(IO12=0,IO13=""),"", IF(AND(IO12="",IO13=0),"",1)))))</f>
        <v/>
      </c>
      <c r="IP14" s="40" t="str">
        <f t="shared" ref="IP14" si="485">IF(AND(IP12&lt;&gt;0,IP13&lt;&gt;0),(IP12-IP13)/IP13,IF(AND(IP12=0,IP13=0),"",IF(AND(IP12="",IP13=""),"",IF(AND(IP12=0,IP13=""),"", IF(AND(IP12="",IP13=0),"",1)))))</f>
        <v/>
      </c>
      <c r="IQ14" s="40" t="str">
        <f t="shared" ref="IQ14" si="486">IF(AND(IQ12&lt;&gt;0,IQ13&lt;&gt;0),(IQ12-IQ13)/IQ13,IF(AND(IQ12=0,IQ13=0),"",IF(AND(IQ12="",IQ13=""),"",IF(AND(IQ12=0,IQ13=""),"", IF(AND(IQ12="",IQ13=0),"",1)))))</f>
        <v/>
      </c>
      <c r="IR14" s="40" t="str">
        <f t="shared" ref="IR14:JF14" si="487">IF(AND(IR12&lt;&gt;0,IR13&lt;&gt;0),(IR12-IR13)/IR13,IF(AND(IR12=0,IR13=0),"",IF(AND(IR12="",IR13=""),"",IF(AND(IR12=0,IR13=""),"", IF(AND(IR12="",IR13=0),"",1)))))</f>
        <v/>
      </c>
      <c r="IS14" s="40" t="str">
        <f t="shared" si="487"/>
        <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t="str">
        <f t="shared" ref="JG14:NQ14" si="488">IF(AND(JG12&lt;&gt;0,JG13&lt;&gt;0),(JG12-JG13)/JG13,IF(AND(JG12=0,JG13=0),"",IF(AND(JG12="",JG13=""),"",IF(AND(JG12=0,JG13=""),"", IF(AND(JG12="",JG13=0),"",1)))))</f>
        <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t="str">
        <f t="shared" ref="KE14:KR14" si="489">IF(AND(KE12&lt;&gt;0,KE13&lt;&gt;0),(KE12-KE13)/KE13,IF(AND(KE12=0,KE13=0),"",IF(AND(KE12="",KE13=""),"",IF(AND(KE12=0,KE13=""),"", IF(AND(KE12="",KE13=0),"",1)))))</f>
        <v/>
      </c>
      <c r="KF14" s="73" t="str">
        <f t="shared" si="489"/>
        <v/>
      </c>
      <c r="KG14" s="73" t="str">
        <f t="shared" si="489"/>
        <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t="str">
        <f t="shared" si="488"/>
        <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t="str">
        <f t="shared" si="490"/>
        <v/>
      </c>
      <c r="LM14" s="73" t="str">
        <f t="shared" si="490"/>
        <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t="str">
        <f t="shared" si="490"/>
        <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t="str">
        <f t="shared" ref="OJ14" si="511">IF(AND(OJ12&lt;&gt;0,OJ13&lt;&gt;0),(OJ12-OJ13)/OJ13,IF(AND(OJ12=0,OJ13=0),"",IF(AND(OJ12="",OJ13=""),"",IF(AND(OJ12=0,OJ13=""),"", IF(AND(OJ12="",OJ13=0),"",1)))))</f>
        <v/>
      </c>
      <c r="OK14" s="40" t="str">
        <f t="shared" ref="OK14" si="512">IF(AND(OK12&lt;&gt;0,OK13&lt;&gt;0),(OK12-OK13)/OK13,IF(AND(OK12=0,OK13=0),"",IF(AND(OK12="",OK13=""),"",IF(AND(OK12=0,OK13=""),"", IF(AND(OK12="",OK13=0),"",1)))))</f>
        <v/>
      </c>
      <c r="OL14" s="40" t="str">
        <f t="shared" ref="OL14" si="513">IF(AND(OL12&lt;&gt;0,OL13&lt;&gt;0),(OL12-OL13)/OL13,IF(AND(OL12=0,OL13=0),"",IF(AND(OL12="",OL13=""),"",IF(AND(OL12=0,OL13=""),"", IF(AND(OL12="",OL13=0),"",1)))))</f>
        <v/>
      </c>
      <c r="OM14" s="40">
        <f t="shared" ref="OM14" si="514">IF(AND(OM12&lt;&gt;0,OM13&lt;&gt;0),(OM12-OM13)/OM13,IF(AND(OM12=0,OM13=0),"",IF(AND(OM12="",OM13=""),"",IF(AND(OM12=0,OM13=""),"", IF(AND(OM12="",OM13=0),"",1)))))</f>
        <v>-0.33060112080632359</v>
      </c>
      <c r="ON14" s="40">
        <f t="shared" ref="ON14:PB14" si="515">IF(AND(ON12&lt;&gt;0,ON13&lt;&gt;0),(ON12-ON13)/ON13,IF(AND(ON12=0,ON13=0),"",IF(AND(ON12="",ON13=""),"",IF(AND(ON12=0,ON13=""),"", IF(AND(ON12="",ON13=0),"",1)))))</f>
        <v>0</v>
      </c>
      <c r="OO14" s="40">
        <f t="shared" si="515"/>
        <v>0</v>
      </c>
      <c r="OP14" s="40">
        <f t="shared" si="515"/>
        <v>1</v>
      </c>
      <c r="OQ14" s="40" t="str">
        <f t="shared" si="515"/>
        <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f t="shared" ref="PC14" si="516">IF(AND(PC12&lt;&gt;0,PC13&lt;&gt;0),(PC12-PC13)/PC13,IF(AND(PC12=0,PC13=0),"",IF(AND(PC12="",PC13=""),"",IF(AND(PC12=0,PC13=""),"", IF(AND(PC12="",PC13=0),"",1)))))</f>
        <v>-6.1132831728238023E-4</v>
      </c>
      <c r="PH14" s="63">
        <f>IF(AND(PH12&lt;&gt;0,PH13&lt;&gt;0),(PH12-PH13)/PH13,IF(AND(PH12=0,PH13=0),"",IF(AND(PH12="",PH13=""),"",IF(AND(PH12=0,PH13=""),"", IF(AND(PH12="",PH13=0),"",1)))))</f>
        <v>-6.1132831728238023E-4</v>
      </c>
    </row>
    <row r="15" spans="1:424" outlineLevel="1" x14ac:dyDescent="0.35">
      <c r="A15" s="46" t="s">
        <v>39</v>
      </c>
      <c r="B15" s="14">
        <f>'[1]D-PDP'!$CA$12</f>
        <v>0</v>
      </c>
      <c r="C15" s="14">
        <f>'[1]D-PDP'!$CA$13</f>
        <v>0</v>
      </c>
      <c r="D15" s="14">
        <f>'[1]D-PDP'!$CA$14</f>
        <v>0</v>
      </c>
      <c r="E15" s="14">
        <f>'[1]D-PDP'!$CA$15</f>
        <v>0</v>
      </c>
      <c r="F15" s="14">
        <f>'[1]D-PDP'!$CA$16</f>
        <v>0</v>
      </c>
      <c r="G15" s="14">
        <f>'[1]D-PDP'!$CA$17</f>
        <v>0</v>
      </c>
      <c r="H15" s="14">
        <f>'[1]D-PDP'!$CA$18</f>
        <v>0</v>
      </c>
      <c r="I15" s="14">
        <f>'[1]D-PDP'!$CA$19</f>
        <v>0</v>
      </c>
      <c r="J15" s="14">
        <f>'[1]D-PDP'!$CA$20</f>
        <v>0</v>
      </c>
      <c r="K15" s="14">
        <f>'[1]D-PDP'!$CA$21</f>
        <v>0</v>
      </c>
      <c r="L15" s="14">
        <f>'[1]D-PDP'!$CA$22</f>
        <v>0</v>
      </c>
      <c r="M15" s="14">
        <f>'[1]D-PDP'!$CA$23</f>
        <v>0</v>
      </c>
      <c r="N15" s="14">
        <f>'[1]D-PDP'!$CA$24</f>
        <v>0</v>
      </c>
      <c r="O15" s="14">
        <f>'[1]D-PDP'!$CA$25</f>
        <v>0</v>
      </c>
      <c r="P15" s="14">
        <f>'[1]D-PDP'!$CA$26</f>
        <v>0</v>
      </c>
      <c r="Q15" s="14">
        <f>'[1]D-PDP'!$CA$27</f>
        <v>0</v>
      </c>
      <c r="R15" s="14">
        <f>'[1]D-PDP'!$CA$28</f>
        <v>0</v>
      </c>
      <c r="S15" s="14">
        <f>'[1]D-PDP'!$CA$29</f>
        <v>0</v>
      </c>
      <c r="T15" s="14">
        <f>'[1]D-PDP'!$CA$30</f>
        <v>0</v>
      </c>
      <c r="U15" s="14">
        <f>'[1]D-PDP'!$CA$31</f>
        <v>0</v>
      </c>
      <c r="V15" s="14">
        <f>'[1]D-PDP'!$CA$32</f>
        <v>0</v>
      </c>
      <c r="W15" s="14">
        <f>'[1]D-PDP'!$CA$33</f>
        <v>0</v>
      </c>
      <c r="X15" s="14">
        <f>'[1]D-PDP'!$CA$34</f>
        <v>0</v>
      </c>
      <c r="Y15" s="14">
        <f>'[1]D-PDP'!$CA$35</f>
        <v>0</v>
      </c>
      <c r="Z15" s="14">
        <f>'[1]D-PDP'!$CA$36</f>
        <v>0</v>
      </c>
      <c r="AA15" s="14">
        <f>'[1]D-PDP'!$CA$37</f>
        <v>0</v>
      </c>
      <c r="AB15" s="14">
        <f>'[1]D-PDP'!$CA$38</f>
        <v>0</v>
      </c>
      <c r="AC15" s="14">
        <f>'[1]D-PDP'!$CA$39</f>
        <v>0</v>
      </c>
      <c r="AD15" s="14">
        <f>'[1]D-PDP'!$CA$40</f>
        <v>0</v>
      </c>
      <c r="AE15" s="14">
        <f>'[1]D-PDP'!$CA$41</f>
        <v>0</v>
      </c>
      <c r="AF15" s="14">
        <f>'[1]D-PDP'!$CA$42</f>
        <v>0</v>
      </c>
      <c r="AG15" s="14">
        <f>'[1]D-PDP'!$CA$43</f>
        <v>0</v>
      </c>
      <c r="AH15" s="14">
        <f>'[1]D-PDP'!$CA$44</f>
        <v>0</v>
      </c>
      <c r="AI15" s="14">
        <f>'[1]D-PDP'!$CA$45</f>
        <v>0</v>
      </c>
      <c r="AJ15" s="14">
        <f>'[1]D-PDP'!$CA$46</f>
        <v>0</v>
      </c>
      <c r="AK15" s="14">
        <f>'[1]D-PDP'!$CA$47</f>
        <v>0</v>
      </c>
      <c r="AL15" s="14">
        <f>'[1]D-PDP'!$CA$48</f>
        <v>0</v>
      </c>
      <c r="AM15" s="16">
        <f>SUM(B15:AL15)</f>
        <v>0</v>
      </c>
      <c r="AN15" s="28">
        <f>'[1]D-PNP'!$CA$12</f>
        <v>0</v>
      </c>
      <c r="AO15" s="14">
        <f>'[1]D-PNP'!$CA$13</f>
        <v>0</v>
      </c>
      <c r="AP15" s="14">
        <f>'[1]D-PNP'!$CA$14</f>
        <v>0</v>
      </c>
      <c r="AQ15" s="14">
        <f>'[1]D-PNP'!$CA$15</f>
        <v>0</v>
      </c>
      <c r="AR15" s="14">
        <f>'[1]D-PNP'!$CA$16</f>
        <v>0</v>
      </c>
      <c r="AS15" s="14">
        <f>'[1]D-PNP'!$CA$17</f>
        <v>0</v>
      </c>
      <c r="AT15" s="14">
        <f>'[1]D-PNP'!$CA$18</f>
        <v>0</v>
      </c>
      <c r="AU15" s="14">
        <f>'[1]D-PNP'!$CA$19</f>
        <v>0</v>
      </c>
      <c r="AV15" s="14">
        <f>'[1]D-PNP'!$CA$20</f>
        <v>0</v>
      </c>
      <c r="AW15" s="14">
        <f>'[1]D-PNP'!$CA$21</f>
        <v>0</v>
      </c>
      <c r="AX15" s="14">
        <f>'[1]D-PNP'!$CA$22</f>
        <v>0</v>
      </c>
      <c r="AY15" s="14">
        <f>'[1]D-PNP'!$CA$23</f>
        <v>0</v>
      </c>
      <c r="AZ15" s="14">
        <f>'[1]D-PNP'!$CA$24</f>
        <v>0</v>
      </c>
      <c r="BA15" s="14">
        <f>'[1]D-PNP'!$CA$25</f>
        <v>0</v>
      </c>
      <c r="BB15" s="14">
        <f>'[1]D-PNP'!$CA$26</f>
        <v>0</v>
      </c>
      <c r="BC15" s="14">
        <f>'[1]D-PNP'!$CA$27</f>
        <v>0</v>
      </c>
      <c r="BD15" s="14">
        <f>'[1]D-PNP'!$CA$28</f>
        <v>0</v>
      </c>
      <c r="BE15" s="14">
        <f>'[1]D-PNP'!$CA$29</f>
        <v>0</v>
      </c>
      <c r="BF15" s="14">
        <f>'[1]D-PNP'!$CA$30</f>
        <v>0</v>
      </c>
      <c r="BG15" s="14">
        <f>'[1]D-PNP'!$CA$31</f>
        <v>0</v>
      </c>
      <c r="BH15" s="14">
        <f>'[1]D-PNP'!$CA$32</f>
        <v>0</v>
      </c>
      <c r="BI15" s="14">
        <f>'[1]D-PNP'!$CA$33</f>
        <v>0</v>
      </c>
      <c r="BJ15" s="14">
        <f>'[1]D-PNP'!$CA$34</f>
        <v>0</v>
      </c>
      <c r="BK15" s="14">
        <f>'[1]D-PNP'!$CA$35</f>
        <v>0</v>
      </c>
      <c r="BL15" s="14">
        <f>'[1]D-PNP'!$CA$36</f>
        <v>0</v>
      </c>
      <c r="BM15" s="14">
        <f>'[1]D-PNP'!$CA$37</f>
        <v>0</v>
      </c>
      <c r="BN15" s="14">
        <f>'[1]D-PNP'!$CA$38</f>
        <v>0</v>
      </c>
      <c r="BO15" s="14">
        <f>'[1]D-PNP'!$CA$39</f>
        <v>0</v>
      </c>
      <c r="BP15" s="14">
        <f>'[1]D-PNP'!$CA$40</f>
        <v>0</v>
      </c>
      <c r="BQ15" s="14">
        <f>'[1]D-PNP'!$CA$41</f>
        <v>0</v>
      </c>
      <c r="BR15" s="14">
        <f>'[1]D-PNP'!$CA$42</f>
        <v>0</v>
      </c>
      <c r="BS15" s="14">
        <f>'[1]D-PNP'!$CA$43</f>
        <v>0</v>
      </c>
      <c r="BT15" s="14">
        <f>'[1]D-PNP'!$CA$44</f>
        <v>0</v>
      </c>
      <c r="BU15" s="14">
        <f>'[1]D-PNP'!$CA$45</f>
        <v>0</v>
      </c>
      <c r="BV15" s="14">
        <f>'[1]D-PNP'!$CA$46</f>
        <v>0</v>
      </c>
      <c r="BW15" s="14">
        <f>'[1]D-PNP'!$CA$47</f>
        <v>0</v>
      </c>
      <c r="BX15" s="14">
        <f>'[1]D-PNP'!$CA$48</f>
        <v>0</v>
      </c>
      <c r="BY15" s="16">
        <f>SUM(AN15:BX15)</f>
        <v>0</v>
      </c>
      <c r="BZ15" s="28">
        <f>'[1]D-PND'!$CA$12</f>
        <v>0</v>
      </c>
      <c r="CA15" s="14">
        <f>'[1]D-PND'!$CA$13</f>
        <v>0</v>
      </c>
      <c r="CB15" s="14">
        <f>'[1]D-PND'!$CA$14</f>
        <v>0</v>
      </c>
      <c r="CC15" s="14">
        <f>'[1]D-PND'!$CA$15</f>
        <v>0</v>
      </c>
      <c r="CD15" s="14">
        <f>'[1]D-PND'!$CA$16</f>
        <v>0</v>
      </c>
      <c r="CE15" s="14">
        <f>'[1]D-PND'!$CA$17</f>
        <v>0</v>
      </c>
      <c r="CF15" s="14">
        <f>'[1]D-PND'!$CA$18</f>
        <v>0</v>
      </c>
      <c r="CG15" s="14">
        <f>'[1]D-PND'!$CA$19</f>
        <v>0</v>
      </c>
      <c r="CH15" s="14">
        <f>'[1]D-PND'!$CA$20</f>
        <v>0</v>
      </c>
      <c r="CI15" s="14">
        <f>'[1]D-PND'!$CA$21</f>
        <v>0</v>
      </c>
      <c r="CJ15" s="14">
        <f>'[1]D-PND'!$CA$22</f>
        <v>0</v>
      </c>
      <c r="CK15" s="14">
        <f>'[1]D-PND'!$CA$23</f>
        <v>0</v>
      </c>
      <c r="CL15" s="14">
        <f>'[1]D-PND'!$CA$24</f>
        <v>0</v>
      </c>
      <c r="CM15" s="14">
        <f>'[1]D-PND'!$CA$25</f>
        <v>0</v>
      </c>
      <c r="CN15" s="14">
        <f>'[1]D-PND'!$CA$26</f>
        <v>0</v>
      </c>
      <c r="CO15" s="14">
        <f>'[1]D-PND'!$CA$27</f>
        <v>0</v>
      </c>
      <c r="CP15" s="14">
        <f>'[1]D-PND'!$CA$28</f>
        <v>0</v>
      </c>
      <c r="CQ15" s="14">
        <f>'[1]D-PND'!$CA$29</f>
        <v>0</v>
      </c>
      <c r="CR15" s="14">
        <f>'[1]D-PND'!$CA$30</f>
        <v>0</v>
      </c>
      <c r="CS15" s="14">
        <f>'[1]D-PND'!$CA$31</f>
        <v>0</v>
      </c>
      <c r="CT15" s="14">
        <f>'[1]D-PND'!$CA$32</f>
        <v>0</v>
      </c>
      <c r="CU15" s="14">
        <f>'[1]D-PND'!$CA$33</f>
        <v>0</v>
      </c>
      <c r="CV15" s="14">
        <f>'[1]D-PND'!$CA$34</f>
        <v>0</v>
      </c>
      <c r="CW15" s="14">
        <f>'[1]D-PND'!$CA$35</f>
        <v>0</v>
      </c>
      <c r="CX15" s="14">
        <f>'[1]D-PND'!$CA$36</f>
        <v>0</v>
      </c>
      <c r="CY15" s="14">
        <f>'[1]D-PND'!$CA$37</f>
        <v>0</v>
      </c>
      <c r="CZ15" s="14">
        <f>'[1]D-PND'!$CA$38</f>
        <v>0</v>
      </c>
      <c r="DA15" s="14">
        <f>'[1]D-PND'!$CA$39</f>
        <v>0</v>
      </c>
      <c r="DB15" s="14">
        <f>'[1]D-PND'!$CA$40</f>
        <v>0</v>
      </c>
      <c r="DC15" s="14">
        <f>'[1]D-PND'!$CA$41</f>
        <v>0</v>
      </c>
      <c r="DD15" s="14">
        <f>'[1]D-PND'!$CA$42</f>
        <v>0</v>
      </c>
      <c r="DE15" s="14">
        <f>'[1]D-PND'!$CA$43</f>
        <v>0</v>
      </c>
      <c r="DF15" s="14">
        <f>'[1]D-PND'!$CA$44</f>
        <v>0</v>
      </c>
      <c r="DG15" s="14">
        <f>'[1]D-PND'!$CA$45</f>
        <v>0</v>
      </c>
      <c r="DH15" s="14">
        <f>'[1]D-PND'!$CA$46</f>
        <v>0</v>
      </c>
      <c r="DI15" s="14">
        <f>'[1]D-PND'!$CA$47</f>
        <v>0</v>
      </c>
      <c r="DJ15" s="14">
        <f>'[1]D-PND'!$CA$48</f>
        <v>0</v>
      </c>
      <c r="DK15" s="16">
        <f>SUM(BZ15:DJ15)</f>
        <v>0</v>
      </c>
      <c r="DL15" s="66"/>
      <c r="DM15" s="67"/>
      <c r="DN15" s="67"/>
      <c r="DO15" s="67"/>
      <c r="DP15" s="67"/>
      <c r="DQ15" s="67"/>
      <c r="DR15" s="67"/>
      <c r="DS15" s="67"/>
      <c r="DT15" s="67"/>
      <c r="DU15" s="67"/>
      <c r="DV15" s="67"/>
      <c r="DW15" s="67"/>
      <c r="DX15" s="67"/>
      <c r="DY15" s="67"/>
      <c r="DZ15" s="67"/>
      <c r="EA15" s="67"/>
      <c r="EB15" s="67"/>
      <c r="EC15" s="67"/>
      <c r="ED15" s="67"/>
      <c r="EE15" s="67"/>
      <c r="EF15" s="67"/>
      <c r="EG15" s="67"/>
      <c r="EH15" s="67"/>
      <c r="EI15" s="67"/>
      <c r="EJ15" s="67"/>
      <c r="EK15" s="67"/>
      <c r="EL15" s="67"/>
      <c r="EM15" s="67"/>
      <c r="EN15" s="67"/>
      <c r="EO15" s="67"/>
      <c r="EP15" s="67"/>
      <c r="EQ15" s="67"/>
      <c r="ER15" s="67"/>
      <c r="ES15" s="67"/>
      <c r="ET15" s="67"/>
      <c r="EU15" s="67"/>
      <c r="EV15" s="67"/>
      <c r="EW15" s="68">
        <f>SUM(DL15:EV15)</f>
        <v>0</v>
      </c>
      <c r="EX15" s="66"/>
      <c r="EY15" s="67"/>
      <c r="EZ15" s="67"/>
      <c r="FA15" s="67"/>
      <c r="FB15" s="67"/>
      <c r="FC15" s="67"/>
      <c r="FD15" s="67"/>
      <c r="FE15" s="67"/>
      <c r="FF15" s="67"/>
      <c r="FG15" s="67"/>
      <c r="FH15" s="67"/>
      <c r="FI15" s="67"/>
      <c r="FJ15" s="67"/>
      <c r="FK15" s="67"/>
      <c r="FL15" s="67"/>
      <c r="FM15" s="67"/>
      <c r="FN15" s="67"/>
      <c r="FO15" s="67"/>
      <c r="FP15" s="67"/>
      <c r="FQ15" s="67"/>
      <c r="FR15" s="67"/>
      <c r="FS15" s="67"/>
      <c r="FT15" s="67"/>
      <c r="FU15" s="67"/>
      <c r="FV15" s="67"/>
      <c r="FW15" s="67"/>
      <c r="FX15" s="67"/>
      <c r="FY15" s="67"/>
      <c r="FZ15" s="67"/>
      <c r="GA15" s="67"/>
      <c r="GB15" s="67"/>
      <c r="GC15" s="67"/>
      <c r="GD15" s="67"/>
      <c r="GE15" s="67"/>
      <c r="GF15" s="67"/>
      <c r="GG15" s="67"/>
      <c r="GH15" s="67"/>
      <c r="GI15" s="68">
        <f>SUM(EX15:GH15)</f>
        <v>0</v>
      </c>
      <c r="GJ15" s="66"/>
      <c r="GK15" s="67"/>
      <c r="GL15" s="67"/>
      <c r="GM15" s="67"/>
      <c r="GN15" s="67"/>
      <c r="GO15" s="67"/>
      <c r="GP15" s="67"/>
      <c r="GQ15" s="67"/>
      <c r="GR15" s="67"/>
      <c r="GS15" s="67"/>
      <c r="GT15" s="67"/>
      <c r="GU15" s="67"/>
      <c r="GV15" s="67"/>
      <c r="GW15" s="67"/>
      <c r="GX15" s="67"/>
      <c r="GY15" s="67"/>
      <c r="GZ15" s="67"/>
      <c r="HA15" s="67"/>
      <c r="HB15" s="67"/>
      <c r="HC15" s="67"/>
      <c r="HD15" s="67"/>
      <c r="HE15" s="67"/>
      <c r="HF15" s="67"/>
      <c r="HG15" s="67"/>
      <c r="HH15" s="67"/>
      <c r="HI15" s="67"/>
      <c r="HJ15" s="67"/>
      <c r="HK15" s="67"/>
      <c r="HL15" s="67"/>
      <c r="HM15" s="67"/>
      <c r="HN15" s="67"/>
      <c r="HO15" s="67"/>
      <c r="HP15" s="67"/>
      <c r="HQ15" s="67"/>
      <c r="HR15" s="67"/>
      <c r="HS15" s="67"/>
      <c r="HT15" s="67"/>
      <c r="HU15" s="68">
        <f>SUM(GJ15:HT15)</f>
        <v>0</v>
      </c>
      <c r="HV15" s="28">
        <f>'[1]D-PRB'!$CA$12</f>
        <v>0</v>
      </c>
      <c r="HW15" s="14">
        <f>'[1]D-PRB'!$CA$13</f>
        <v>0</v>
      </c>
      <c r="HX15" s="14">
        <f>'[1]D-PRB'!$CA$14</f>
        <v>0</v>
      </c>
      <c r="HY15" s="14">
        <f>'[1]D-PRB'!$CA$15</f>
        <v>0</v>
      </c>
      <c r="HZ15" s="14">
        <f>'[1]D-PRB'!$CA$16</f>
        <v>0</v>
      </c>
      <c r="IA15" s="14">
        <f>'[1]D-PRB'!$CA$17</f>
        <v>0</v>
      </c>
      <c r="IB15" s="14">
        <f>'[1]D-PRB'!$CA$18</f>
        <v>0</v>
      </c>
      <c r="IC15" s="14">
        <f>'[1]D-PRB'!$CA$19</f>
        <v>0</v>
      </c>
      <c r="ID15" s="14">
        <f>'[1]D-PRB'!$CA$20</f>
        <v>0</v>
      </c>
      <c r="IE15" s="14">
        <f>'[1]D-PRB'!$CA$21</f>
        <v>0</v>
      </c>
      <c r="IF15" s="14">
        <f>'[1]D-PRB'!$CA$22</f>
        <v>0</v>
      </c>
      <c r="IG15" s="14">
        <f>'[1]D-PRB'!$CA$23</f>
        <v>0</v>
      </c>
      <c r="IH15" s="14">
        <f>'[1]D-PRB'!$CA$24</f>
        <v>0</v>
      </c>
      <c r="II15" s="14">
        <f>'[1]D-PRB'!$CA$25</f>
        <v>0</v>
      </c>
      <c r="IJ15" s="14">
        <f>'[1]D-PRB'!$CA$26</f>
        <v>0</v>
      </c>
      <c r="IK15" s="14">
        <f>'[1]D-PRB'!$CA$27</f>
        <v>0</v>
      </c>
      <c r="IL15" s="14">
        <f>'[1]D-PRB'!$CA$28</f>
        <v>0</v>
      </c>
      <c r="IM15" s="14">
        <f>'[1]D-PRB'!$CA$29</f>
        <v>0</v>
      </c>
      <c r="IN15" s="14">
        <f>'[1]D-PRB'!$CA$30</f>
        <v>0</v>
      </c>
      <c r="IO15" s="14">
        <f>'[1]D-PRB'!$CA$31</f>
        <v>0</v>
      </c>
      <c r="IP15" s="14">
        <f>'[1]D-PRB'!$CA$32</f>
        <v>0</v>
      </c>
      <c r="IQ15" s="14">
        <f>'[1]D-PRB'!$CA$33</f>
        <v>0</v>
      </c>
      <c r="IR15" s="14">
        <f>'[1]D-PRB'!$CA$34</f>
        <v>0</v>
      </c>
      <c r="IS15" s="14">
        <f>'[1]D-PRB'!$CA$35</f>
        <v>0</v>
      </c>
      <c r="IT15" s="14">
        <f>'[1]D-PRB'!$CA$36</f>
        <v>0</v>
      </c>
      <c r="IU15" s="14">
        <f>'[1]D-PRB'!$CA$37</f>
        <v>0</v>
      </c>
      <c r="IV15" s="14">
        <f>'[1]D-PRB'!$CA$38</f>
        <v>0</v>
      </c>
      <c r="IW15" s="14">
        <f>'[1]D-PRB'!$CA$39</f>
        <v>0</v>
      </c>
      <c r="IX15" s="14">
        <f>'[1]D-PRB'!$CA$40</f>
        <v>0</v>
      </c>
      <c r="IY15" s="14">
        <f>'[1]D-PRB'!$CA$41</f>
        <v>0</v>
      </c>
      <c r="IZ15" s="14">
        <f>'[1]D-PRB'!$CA$42</f>
        <v>0</v>
      </c>
      <c r="JA15" s="14">
        <f>'[1]D-PRB'!$CA$43</f>
        <v>0</v>
      </c>
      <c r="JB15" s="14">
        <f>'[1]D-PRB'!$CA$44</f>
        <v>0</v>
      </c>
      <c r="JC15" s="14">
        <f>'[1]D-PRB'!$CA$45</f>
        <v>0</v>
      </c>
      <c r="JD15" s="14">
        <f>'[1]D-PRB'!$CA$46</f>
        <v>0</v>
      </c>
      <c r="JE15" s="14">
        <f>'[1]D-PRB'!$CA$47</f>
        <v>0</v>
      </c>
      <c r="JF15" s="14">
        <f>'[1]D-PRB'!$CA$48</f>
        <v>0</v>
      </c>
      <c r="JG15" s="16">
        <f>SUM(HV15:JF15)</f>
        <v>0</v>
      </c>
      <c r="JH15" s="66"/>
      <c r="JI15" s="67"/>
      <c r="JJ15" s="67"/>
      <c r="JK15" s="67"/>
      <c r="JL15" s="67"/>
      <c r="JM15" s="67"/>
      <c r="JN15" s="67"/>
      <c r="JO15" s="67"/>
      <c r="JP15" s="67"/>
      <c r="JQ15" s="67"/>
      <c r="JR15" s="67"/>
      <c r="JS15" s="67"/>
      <c r="JT15" s="67"/>
      <c r="JU15" s="67"/>
      <c r="JV15" s="67"/>
      <c r="JW15" s="67"/>
      <c r="JX15" s="67"/>
      <c r="JY15" s="67"/>
      <c r="JZ15" s="67"/>
      <c r="KA15" s="67"/>
      <c r="KB15" s="67"/>
      <c r="KC15" s="67"/>
      <c r="KD15" s="67"/>
      <c r="KE15" s="67"/>
      <c r="KF15" s="67"/>
      <c r="KG15" s="67"/>
      <c r="KH15" s="67"/>
      <c r="KI15" s="67"/>
      <c r="KJ15" s="67"/>
      <c r="KK15" s="67"/>
      <c r="KL15" s="67"/>
      <c r="KM15" s="67"/>
      <c r="KN15" s="67"/>
      <c r="KO15" s="67"/>
      <c r="KP15" s="67"/>
      <c r="KQ15" s="67"/>
      <c r="KR15" s="67"/>
      <c r="KS15" s="68">
        <f>SUM(JH15:KR15)</f>
        <v>0</v>
      </c>
      <c r="KT15" s="66"/>
      <c r="KU15" s="67"/>
      <c r="KV15" s="67"/>
      <c r="KW15" s="67"/>
      <c r="KX15" s="67"/>
      <c r="KY15" s="67"/>
      <c r="KZ15" s="67"/>
      <c r="LA15" s="67"/>
      <c r="LB15" s="67"/>
      <c r="LC15" s="67"/>
      <c r="LD15" s="67"/>
      <c r="LE15" s="67"/>
      <c r="LF15" s="67"/>
      <c r="LG15" s="67"/>
      <c r="LH15" s="67"/>
      <c r="LI15" s="67"/>
      <c r="LJ15" s="67"/>
      <c r="LK15" s="67"/>
      <c r="LL15" s="67"/>
      <c r="LM15" s="67"/>
      <c r="LN15" s="67"/>
      <c r="LO15" s="67"/>
      <c r="LP15" s="67"/>
      <c r="LQ15" s="67"/>
      <c r="LR15" s="67"/>
      <c r="LS15" s="67"/>
      <c r="LT15" s="67"/>
      <c r="LU15" s="67"/>
      <c r="LV15" s="67"/>
      <c r="LW15" s="67"/>
      <c r="LX15" s="67"/>
      <c r="LY15" s="67"/>
      <c r="LZ15" s="67"/>
      <c r="MA15" s="67"/>
      <c r="MB15" s="67"/>
      <c r="MC15" s="67"/>
      <c r="MD15" s="67"/>
      <c r="ME15" s="68">
        <f>SUM(KT15:MD15)</f>
        <v>0</v>
      </c>
      <c r="MF15" s="66"/>
      <c r="MG15" s="67"/>
      <c r="MH15" s="67"/>
      <c r="MI15" s="67"/>
      <c r="MJ15" s="67"/>
      <c r="MK15" s="67"/>
      <c r="ML15" s="67"/>
      <c r="MM15" s="67"/>
      <c r="MN15" s="67"/>
      <c r="MO15" s="67"/>
      <c r="MP15" s="67"/>
      <c r="MQ15" s="67"/>
      <c r="MR15" s="67"/>
      <c r="MS15" s="67"/>
      <c r="MT15" s="67"/>
      <c r="MU15" s="67"/>
      <c r="MV15" s="67"/>
      <c r="MW15" s="67"/>
      <c r="MX15" s="67"/>
      <c r="MY15" s="67"/>
      <c r="MZ15" s="67"/>
      <c r="NA15" s="67"/>
      <c r="NB15" s="67"/>
      <c r="NC15" s="67"/>
      <c r="ND15" s="67"/>
      <c r="NE15" s="67"/>
      <c r="NF15" s="67"/>
      <c r="NG15" s="67"/>
      <c r="NH15" s="67"/>
      <c r="NI15" s="67"/>
      <c r="NJ15" s="67"/>
      <c r="NK15" s="67"/>
      <c r="NL15" s="67"/>
      <c r="NM15" s="67"/>
      <c r="NN15" s="67"/>
      <c r="NO15" s="67"/>
      <c r="NP15" s="67"/>
      <c r="NQ15" s="68">
        <f>SUM(MF15:NP15)</f>
        <v>0</v>
      </c>
      <c r="NR15" s="14">
        <f>'[1]D-PS'!$CA$12</f>
        <v>0</v>
      </c>
      <c r="NS15" s="14">
        <f>'[1]D-PS'!$CA$13</f>
        <v>0</v>
      </c>
      <c r="NT15" s="14">
        <f>'[1]D-PS'!$CA$14</f>
        <v>0</v>
      </c>
      <c r="NU15" s="14">
        <f>'[1]D-PS'!$CA$15</f>
        <v>0</v>
      </c>
      <c r="NV15" s="14">
        <f>'[1]D-PS'!$CA$16</f>
        <v>0</v>
      </c>
      <c r="NW15" s="14">
        <f>'[1]D-PS'!$CA$17</f>
        <v>0</v>
      </c>
      <c r="NX15" s="14">
        <f>'[1]D-PS'!$CA$18</f>
        <v>0</v>
      </c>
      <c r="NY15" s="14">
        <f>'[1]D-PS'!$CA$19</f>
        <v>0</v>
      </c>
      <c r="NZ15" s="14">
        <f>'[1]D-PS'!$CA$20</f>
        <v>0</v>
      </c>
      <c r="OA15" s="14">
        <f>'[1]D-PS'!$CA$21</f>
        <v>0</v>
      </c>
      <c r="OB15" s="14">
        <f>'[1]D-PS'!$CA$22</f>
        <v>0</v>
      </c>
      <c r="OC15" s="14">
        <f>'[1]D-PS'!$CA$23</f>
        <v>0</v>
      </c>
      <c r="OD15" s="14">
        <f>'[1]D-PS'!$CA$24</f>
        <v>0</v>
      </c>
      <c r="OE15" s="14">
        <f>'[1]D-PS'!$CA$25</f>
        <v>0</v>
      </c>
      <c r="OF15" s="14">
        <f>'[1]D-PS'!$CA$26</f>
        <v>0</v>
      </c>
      <c r="OG15" s="14">
        <f>'[1]D-PS'!$CA$27</f>
        <v>0</v>
      </c>
      <c r="OH15" s="14">
        <f>'[1]D-PS'!$CA$28</f>
        <v>0</v>
      </c>
      <c r="OI15" s="14">
        <f>'[1]D-PS'!$CA$29</f>
        <v>0</v>
      </c>
      <c r="OJ15" s="14">
        <f>'[1]D-PS'!$CA$30</f>
        <v>0</v>
      </c>
      <c r="OK15" s="14">
        <f>'[1]D-PS'!$CA$31</f>
        <v>0</v>
      </c>
      <c r="OL15" s="14">
        <f>'[1]D-PS'!$CA$32</f>
        <v>0</v>
      </c>
      <c r="OM15" s="14">
        <f>'[1]D-PS'!$CA$33</f>
        <v>0</v>
      </c>
      <c r="ON15" s="14">
        <f>'[1]D-PS'!$CA$34</f>
        <v>0</v>
      </c>
      <c r="OO15" s="14">
        <f>'[1]D-PS'!$CA$35</f>
        <v>0</v>
      </c>
      <c r="OP15" s="14">
        <f>'[1]D-PS'!$CA$36</f>
        <v>0</v>
      </c>
      <c r="OQ15" s="14">
        <f>'[1]D-PS'!$CA$37</f>
        <v>0</v>
      </c>
      <c r="OR15" s="14">
        <f>'[1]D-PS'!$CA$38</f>
        <v>0</v>
      </c>
      <c r="OS15" s="14">
        <f>'[1]D-PS'!$CA$39</f>
        <v>0</v>
      </c>
      <c r="OT15" s="14">
        <f>'[1]D-PS'!$CA$40</f>
        <v>0</v>
      </c>
      <c r="OU15" s="14">
        <f>'[1]D-PS'!$CA$41</f>
        <v>0</v>
      </c>
      <c r="OV15" s="14">
        <f>'[1]D-PS'!$CA$42</f>
        <v>0</v>
      </c>
      <c r="OW15" s="14">
        <f>'[1]D-PS'!$CA$43</f>
        <v>0</v>
      </c>
      <c r="OX15" s="14">
        <f>'[1]D-PS'!$CA$44</f>
        <v>0</v>
      </c>
      <c r="OY15" s="14">
        <f>'[1]D-PS'!$CA$45</f>
        <v>0</v>
      </c>
      <c r="OZ15" s="14">
        <f>'[1]D-PS'!$CA$46</f>
        <v>0</v>
      </c>
      <c r="PA15" s="14">
        <f>'[1]D-PS'!$CA$47</f>
        <v>0</v>
      </c>
      <c r="PB15" s="14">
        <f>'[1]D-PS'!$CA$48</f>
        <v>0</v>
      </c>
      <c r="PC15" s="16">
        <f>SUM(NR15:PB15)</f>
        <v>0</v>
      </c>
    </row>
    <row r="16" spans="1:424" outlineLevel="1" x14ac:dyDescent="0.35">
      <c r="A16" s="46" t="s">
        <v>40</v>
      </c>
      <c r="B16" s="25">
        <f>'[2]CF PDP'!$BX$36</f>
        <v>0</v>
      </c>
      <c r="C16" s="25">
        <f>'[2]CF PDP'!$BX$37</f>
        <v>0</v>
      </c>
      <c r="D16" s="25">
        <f>'[2]CF PDP'!$BX$38</f>
        <v>0</v>
      </c>
      <c r="E16" s="25">
        <f>'[2]CF PDP'!$BX$39</f>
        <v>0</v>
      </c>
      <c r="F16" s="25">
        <f>'[2]CF PDP'!$BX$40</f>
        <v>0</v>
      </c>
      <c r="G16" s="25">
        <f>'[2]CF PDP'!$BX$41</f>
        <v>0</v>
      </c>
      <c r="H16" s="25">
        <f>'[2]CF PDP'!$BX$42</f>
        <v>0</v>
      </c>
      <c r="I16" s="25">
        <f>'[2]CF PDP'!$BX$43</f>
        <v>0</v>
      </c>
      <c r="J16" s="25">
        <f>'[2]CF PDP'!$BX$44</f>
        <v>0</v>
      </c>
      <c r="K16" s="25">
        <f>'[2]CF PDP'!$BX$45</f>
        <v>0</v>
      </c>
      <c r="L16" s="25">
        <f>'[2]CF PDP'!$BX$46</f>
        <v>0</v>
      </c>
      <c r="M16" s="25">
        <f>'[2]CF PDP'!$BX$47</f>
        <v>0</v>
      </c>
      <c r="N16" s="25">
        <f>'[2]CF PDP'!$BX$48</f>
        <v>0</v>
      </c>
      <c r="O16" s="25">
        <f>'[2]CF PDP'!$BX$49</f>
        <v>0</v>
      </c>
      <c r="P16" s="25">
        <f>'[2]CF PDP'!$BX$50</f>
        <v>0</v>
      </c>
      <c r="Q16" s="25">
        <f>'[2]CF PDP'!$BX$51</f>
        <v>0</v>
      </c>
      <c r="R16" s="25">
        <f>'[2]CF PDP'!$BX$52</f>
        <v>0</v>
      </c>
      <c r="S16" s="25">
        <f>'[2]CF PDP'!$BX$53</f>
        <v>0</v>
      </c>
      <c r="T16" s="25">
        <f>'[2]CF PDP'!$BX$54</f>
        <v>0</v>
      </c>
      <c r="U16" s="25">
        <f>'[2]CF PDP'!$BX$55</f>
        <v>0</v>
      </c>
      <c r="V16" s="25">
        <f>'[2]CF PDP'!$BX$56</f>
        <v>0</v>
      </c>
      <c r="W16" s="25">
        <f>'[2]CF PDP'!$BX$57</f>
        <v>0</v>
      </c>
      <c r="X16" s="25">
        <f>'[2]CF PDP'!$BX$58</f>
        <v>0</v>
      </c>
      <c r="Y16" s="25">
        <f>'[2]CF PDP'!$BX$59</f>
        <v>0</v>
      </c>
      <c r="Z16" s="25">
        <f>'[2]CF PDP'!$BX$60</f>
        <v>0</v>
      </c>
      <c r="AA16" s="25">
        <f>'[2]CF PDP'!$BX$61</f>
        <v>0</v>
      </c>
      <c r="AB16" s="25">
        <f>'[2]CF PDP'!$BX$62</f>
        <v>0</v>
      </c>
      <c r="AC16" s="25">
        <f>'[2]CF PDP'!$BX$63</f>
        <v>0</v>
      </c>
      <c r="AD16" s="25">
        <f>'[2]CF PDP'!$BX$64</f>
        <v>0</v>
      </c>
      <c r="AE16" s="25">
        <f>'[2]CF PDP'!$BX$65</f>
        <v>0</v>
      </c>
      <c r="AF16" s="25">
        <f>'[2]CF PDP'!$BX$66</f>
        <v>0</v>
      </c>
      <c r="AG16" s="25">
        <f>'[2]CF PDP'!$BX$67</f>
        <v>0</v>
      </c>
      <c r="AH16" s="25">
        <f>'[2]CF PDP'!$BX$68</f>
        <v>0</v>
      </c>
      <c r="AI16" s="25">
        <f>'[2]CF PDP'!$BX$69</f>
        <v>0</v>
      </c>
      <c r="AJ16" s="25">
        <f>'[2]CF PDP'!$BX$70</f>
        <v>0</v>
      </c>
      <c r="AK16" s="25">
        <f>'[2]CF PDP'!$BX$71</f>
        <v>0</v>
      </c>
      <c r="AL16" s="25">
        <f>'[2]CF PDP'!$BX$72</f>
        <v>0</v>
      </c>
      <c r="AM16" s="26">
        <f>SUM(B16:AL16)</f>
        <v>0</v>
      </c>
      <c r="AN16" s="27">
        <f>'[2]CF PNP'!$BX$36</f>
        <v>0</v>
      </c>
      <c r="AO16" s="25">
        <f>'[2]CF PNP'!$BX$37</f>
        <v>0</v>
      </c>
      <c r="AP16" s="25">
        <f>'[2]CF PNP'!$BX$38</f>
        <v>0</v>
      </c>
      <c r="AQ16" s="25">
        <f>'[2]CF PNP'!$BX$39</f>
        <v>0</v>
      </c>
      <c r="AR16" s="25">
        <f>'[2]CF PNP'!$BX$40</f>
        <v>0</v>
      </c>
      <c r="AS16" s="25">
        <f>'[2]CF PNP'!$BX$41</f>
        <v>0</v>
      </c>
      <c r="AT16" s="25">
        <f>'[2]CF PNP'!$BX$42</f>
        <v>0</v>
      </c>
      <c r="AU16" s="25">
        <f>'[2]CF PNP'!$BX$43</f>
        <v>0</v>
      </c>
      <c r="AV16" s="25">
        <f>'[2]CF PNP'!$BX$44</f>
        <v>0</v>
      </c>
      <c r="AW16" s="25">
        <f>'[2]CF PNP'!$BX$45</f>
        <v>0</v>
      </c>
      <c r="AX16" s="25">
        <f>'[2]CF PNP'!$BX$46</f>
        <v>0</v>
      </c>
      <c r="AY16" s="25">
        <f>'[2]CF PNP'!$BX$47</f>
        <v>0</v>
      </c>
      <c r="AZ16" s="25">
        <f>'[2]CF PNP'!$BX$48</f>
        <v>0</v>
      </c>
      <c r="BA16" s="25">
        <f>'[2]CF PNP'!$BX$49</f>
        <v>0</v>
      </c>
      <c r="BB16" s="25">
        <f>'[2]CF PNP'!$BX$50</f>
        <v>0</v>
      </c>
      <c r="BC16" s="25">
        <f>'[2]CF PNP'!$BX$51</f>
        <v>0</v>
      </c>
      <c r="BD16" s="25">
        <f>'[2]CF PNP'!$BX$52</f>
        <v>0</v>
      </c>
      <c r="BE16" s="25">
        <f>'[2]CF PNP'!$BX$53</f>
        <v>0</v>
      </c>
      <c r="BF16" s="25">
        <f>'[2]CF PNP'!$BX$54</f>
        <v>0</v>
      </c>
      <c r="BG16" s="25">
        <f>'[2]CF PNP'!$BX$55</f>
        <v>0</v>
      </c>
      <c r="BH16" s="25">
        <f>'[2]CF PNP'!$BX$56</f>
        <v>0</v>
      </c>
      <c r="BI16" s="25">
        <f>'[2]CF PNP'!$BX$57</f>
        <v>0</v>
      </c>
      <c r="BJ16" s="25">
        <f>'[2]CF PNP'!$BX$58</f>
        <v>0</v>
      </c>
      <c r="BK16" s="25">
        <f>'[2]CF PNP'!$BX$59</f>
        <v>0</v>
      </c>
      <c r="BL16" s="25">
        <f>'[2]CF PNP'!$BX$60</f>
        <v>0</v>
      </c>
      <c r="BM16" s="25">
        <f>'[2]CF PNP'!$BX$61</f>
        <v>0</v>
      </c>
      <c r="BN16" s="25">
        <f>'[2]CF PNP'!$BX$62</f>
        <v>0</v>
      </c>
      <c r="BO16" s="25">
        <f>'[2]CF PNP'!$BX$63</f>
        <v>0</v>
      </c>
      <c r="BP16" s="25">
        <f>'[2]CF PNP'!$BX$64</f>
        <v>0</v>
      </c>
      <c r="BQ16" s="25">
        <f>'[2]CF PNP'!$BX$65</f>
        <v>0</v>
      </c>
      <c r="BR16" s="25">
        <f>'[2]CF PNP'!$BX$66</f>
        <v>0</v>
      </c>
      <c r="BS16" s="25">
        <f>'[2]CF PNP'!$BX$67</f>
        <v>0</v>
      </c>
      <c r="BT16" s="25">
        <f>'[2]CF PNP'!$BX$68</f>
        <v>0</v>
      </c>
      <c r="BU16" s="25">
        <f>'[2]CF PNP'!$BX$69</f>
        <v>0</v>
      </c>
      <c r="BV16" s="25">
        <f>'[2]CF PNP'!$BX$70</f>
        <v>0</v>
      </c>
      <c r="BW16" s="25">
        <f>'[2]CF PNP'!$BX$71</f>
        <v>0</v>
      </c>
      <c r="BX16" s="25">
        <f>'[2]CF PNP'!$BX$72</f>
        <v>0</v>
      </c>
      <c r="BY16" s="26">
        <f>SUM(AN16:BX16)</f>
        <v>0</v>
      </c>
      <c r="BZ16" s="27">
        <f>'[2]CF PND'!$BX$36</f>
        <v>0</v>
      </c>
      <c r="CA16" s="25">
        <f>'[2]CF PND'!$BX$37</f>
        <v>0</v>
      </c>
      <c r="CB16" s="25">
        <f>'[2]CF PND'!$BX$38</f>
        <v>0</v>
      </c>
      <c r="CC16" s="25">
        <f>'[2]CF PND'!$BX$39</f>
        <v>0</v>
      </c>
      <c r="CD16" s="25">
        <f>'[2]CF PND'!$BX$40</f>
        <v>0</v>
      </c>
      <c r="CE16" s="25">
        <f>'[2]CF PND'!$BX$41</f>
        <v>0</v>
      </c>
      <c r="CF16" s="25">
        <f>'[2]CF PND'!$BX$42</f>
        <v>0</v>
      </c>
      <c r="CG16" s="25">
        <f>'[2]CF PND'!$BX$43</f>
        <v>0</v>
      </c>
      <c r="CH16" s="25">
        <f>'[2]CF PND'!$BX$44</f>
        <v>0</v>
      </c>
      <c r="CI16" s="25">
        <f>'[2]CF PND'!$BX$45</f>
        <v>0</v>
      </c>
      <c r="CJ16" s="25">
        <f>'[2]CF PND'!$BX$46</f>
        <v>0</v>
      </c>
      <c r="CK16" s="25">
        <f>'[2]CF PND'!$BX$47</f>
        <v>0</v>
      </c>
      <c r="CL16" s="25">
        <f>'[2]CF PND'!$BX$48</f>
        <v>0</v>
      </c>
      <c r="CM16" s="25">
        <f>'[2]CF PND'!$BX$49</f>
        <v>0</v>
      </c>
      <c r="CN16" s="25">
        <f>'[2]CF PND'!$BX$50</f>
        <v>0</v>
      </c>
      <c r="CO16" s="25">
        <f>'[2]CF PND'!$BX$51</f>
        <v>0</v>
      </c>
      <c r="CP16" s="25">
        <f>'[2]CF PND'!$BX$52</f>
        <v>0</v>
      </c>
      <c r="CQ16" s="25">
        <f>'[2]CF PND'!$BX$53</f>
        <v>0</v>
      </c>
      <c r="CR16" s="25">
        <f>'[2]CF PND'!$BX$54</f>
        <v>0</v>
      </c>
      <c r="CS16" s="25">
        <f>'[2]CF PND'!$BX$55</f>
        <v>0</v>
      </c>
      <c r="CT16" s="25">
        <f>'[2]CF PND'!$BX$56</f>
        <v>0</v>
      </c>
      <c r="CU16" s="25">
        <f>'[2]CF PND'!$BX$57</f>
        <v>0</v>
      </c>
      <c r="CV16" s="25">
        <f>'[2]CF PND'!$BX$58</f>
        <v>0</v>
      </c>
      <c r="CW16" s="25">
        <f>'[2]CF PND'!$BX$59</f>
        <v>0</v>
      </c>
      <c r="CX16" s="25">
        <f>'[2]CF PND'!$BX$60</f>
        <v>0</v>
      </c>
      <c r="CY16" s="25">
        <f>'[2]CF PND'!$BX$61</f>
        <v>0</v>
      </c>
      <c r="CZ16" s="25">
        <f>'[2]CF PND'!$BX$62</f>
        <v>0</v>
      </c>
      <c r="DA16" s="25">
        <f>'[2]CF PND'!$BX$63</f>
        <v>0</v>
      </c>
      <c r="DB16" s="25">
        <f>'[2]CF PND'!$BX$64</f>
        <v>0</v>
      </c>
      <c r="DC16" s="25">
        <f>'[2]CF PND'!$BX$65</f>
        <v>0</v>
      </c>
      <c r="DD16" s="25">
        <f>'[2]CF PND'!$BX$66</f>
        <v>0</v>
      </c>
      <c r="DE16" s="25">
        <f>'[2]CF PND'!$BX$67</f>
        <v>0</v>
      </c>
      <c r="DF16" s="25">
        <f>'[2]CF PND'!$BX$68</f>
        <v>0</v>
      </c>
      <c r="DG16" s="25">
        <f>'[2]CF PND'!$BX$69</f>
        <v>0</v>
      </c>
      <c r="DH16" s="25">
        <f>'[2]CF PND'!$BX$70</f>
        <v>0</v>
      </c>
      <c r="DI16" s="25">
        <f>'[2]CF PND'!$BX$71</f>
        <v>0</v>
      </c>
      <c r="DJ16" s="25">
        <f>'[2]CF PND'!$BX$72</f>
        <v>0</v>
      </c>
      <c r="DK16" s="26">
        <f>SUM(BZ16:DJ16)</f>
        <v>0</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'[2]CF PRB'!$BX$36</f>
        <v>0</v>
      </c>
      <c r="HW16" s="25">
        <f>'[2]CF PRB'!$BX$37</f>
        <v>0</v>
      </c>
      <c r="HX16" s="25">
        <f>'[2]CF PRB'!$BX$38</f>
        <v>0</v>
      </c>
      <c r="HY16" s="25">
        <f>'[2]CF PRB'!$BX$39</f>
        <v>0</v>
      </c>
      <c r="HZ16" s="25">
        <f>'[2]CF PRB'!$BX$40</f>
        <v>0</v>
      </c>
      <c r="IA16" s="25">
        <f>'[2]CF PRB'!$BX$41</f>
        <v>0</v>
      </c>
      <c r="IB16" s="25">
        <f>'[2]CF PRB'!$BX$42</f>
        <v>0</v>
      </c>
      <c r="IC16" s="25">
        <f>'[2]CF PRB'!$BX$43</f>
        <v>0</v>
      </c>
      <c r="ID16" s="25">
        <f>'[2]CF PRB'!$BX$44</f>
        <v>0</v>
      </c>
      <c r="IE16" s="25">
        <f>'[2]CF PRB'!$BX$45</f>
        <v>0</v>
      </c>
      <c r="IF16" s="25">
        <f>'[2]CF PRB'!$BX$46</f>
        <v>0</v>
      </c>
      <c r="IG16" s="25">
        <f>'[2]CF PRB'!$BX$47</f>
        <v>0</v>
      </c>
      <c r="IH16" s="25">
        <f>'[2]CF PRB'!$BX$48</f>
        <v>0</v>
      </c>
      <c r="II16" s="25">
        <f>'[2]CF PRB'!$BX$49</f>
        <v>0</v>
      </c>
      <c r="IJ16" s="25">
        <f>'[2]CF PRB'!$BX$50</f>
        <v>0</v>
      </c>
      <c r="IK16" s="25">
        <f>'[2]CF PRB'!$BX$51</f>
        <v>0</v>
      </c>
      <c r="IL16" s="25">
        <f>'[2]CF PRB'!$BX$52</f>
        <v>0</v>
      </c>
      <c r="IM16" s="25">
        <f>'[2]CF PRB'!$BX$53</f>
        <v>0</v>
      </c>
      <c r="IN16" s="25">
        <f>'[2]CF PRB'!$BX$54</f>
        <v>0</v>
      </c>
      <c r="IO16" s="25">
        <f>'[2]CF PRB'!$BX$55</f>
        <v>0</v>
      </c>
      <c r="IP16" s="25">
        <f>'[2]CF PRB'!$BX$56</f>
        <v>0</v>
      </c>
      <c r="IQ16" s="25">
        <f>'[2]CF PRB'!$BX$57</f>
        <v>0</v>
      </c>
      <c r="IR16" s="25">
        <f>'[2]CF PRB'!$BX$58</f>
        <v>0</v>
      </c>
      <c r="IS16" s="25">
        <f>'[2]CF PRB'!$BX$59</f>
        <v>0</v>
      </c>
      <c r="IT16" s="25">
        <f>'[2]CF PRB'!$BX$60</f>
        <v>0</v>
      </c>
      <c r="IU16" s="25">
        <f>'[2]CF PRB'!$BX$61</f>
        <v>0</v>
      </c>
      <c r="IV16" s="25">
        <f>'[2]CF PRB'!$BX$62</f>
        <v>0</v>
      </c>
      <c r="IW16" s="25">
        <f>'[2]CF PRB'!$BX$63</f>
        <v>0</v>
      </c>
      <c r="IX16" s="25">
        <f>'[2]CF PRB'!$BX$64</f>
        <v>0</v>
      </c>
      <c r="IY16" s="25">
        <f>'[2]CF PRB'!$BX$65</f>
        <v>0</v>
      </c>
      <c r="IZ16" s="25">
        <f>'[2]CF PRB'!$BX$66</f>
        <v>0</v>
      </c>
      <c r="JA16" s="25">
        <f>'[2]CF PRB'!$BX$67</f>
        <v>0</v>
      </c>
      <c r="JB16" s="25">
        <f>'[2]CF PRB'!$BX$68</f>
        <v>0</v>
      </c>
      <c r="JC16" s="25">
        <f>'[2]CF PRB'!$BX$69</f>
        <v>0</v>
      </c>
      <c r="JD16" s="25">
        <f>'[2]CF PRB'!$BX$70</f>
        <v>0</v>
      </c>
      <c r="JE16" s="25">
        <f>'[2]CF PRB'!$BX$71</f>
        <v>0</v>
      </c>
      <c r="JF16" s="25">
        <f>'[2]CF PRB'!$BX$72</f>
        <v>0</v>
      </c>
      <c r="JG16" s="26">
        <f>SUM(HV16:JF16)</f>
        <v>0</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'[2]CF PS'!$BX$36</f>
        <v>0</v>
      </c>
      <c r="NS16" s="25">
        <f>'[2]CF PS'!$BX$37</f>
        <v>0</v>
      </c>
      <c r="NT16" s="25">
        <f>'[2]CF PS'!$BX$38</f>
        <v>0</v>
      </c>
      <c r="NU16" s="25">
        <f>'[2]CF PS'!$BX$39</f>
        <v>0</v>
      </c>
      <c r="NV16" s="25">
        <f>'[2]CF PS'!$BX$40</f>
        <v>0</v>
      </c>
      <c r="NW16" s="25">
        <f>'[2]CF PS'!$BX$41</f>
        <v>0</v>
      </c>
      <c r="NX16" s="25">
        <f>'[2]CF PS'!$BX$42</f>
        <v>0</v>
      </c>
      <c r="NY16" s="25">
        <f>'[2]CF PS'!$BX$43</f>
        <v>0</v>
      </c>
      <c r="NZ16" s="25">
        <f>'[2]CF PS'!$BX$44</f>
        <v>0</v>
      </c>
      <c r="OA16" s="25">
        <f>'[2]CF PS'!$BX$45</f>
        <v>0</v>
      </c>
      <c r="OB16" s="25">
        <f>'[2]CF PS'!$BX$46</f>
        <v>0</v>
      </c>
      <c r="OC16" s="25">
        <f>'[2]CF PS'!$BX$47</f>
        <v>0</v>
      </c>
      <c r="OD16" s="25">
        <f>'[2]CF PS'!$BX$48</f>
        <v>0</v>
      </c>
      <c r="OE16" s="25">
        <f>'[2]CF PS'!$BX$49</f>
        <v>0</v>
      </c>
      <c r="OF16" s="25">
        <f>'[2]CF PS'!$BX$50</f>
        <v>0</v>
      </c>
      <c r="OG16" s="25">
        <f>'[2]CF PS'!$BX$51</f>
        <v>0</v>
      </c>
      <c r="OH16" s="25">
        <f>'[2]CF PS'!$BX$52</f>
        <v>0</v>
      </c>
      <c r="OI16" s="25">
        <f>'[2]CF PS'!$BX$53</f>
        <v>0</v>
      </c>
      <c r="OJ16" s="25">
        <f>'[2]CF PS'!$BX$54</f>
        <v>0</v>
      </c>
      <c r="OK16" s="25">
        <f>'[2]CF PS'!$BX$55</f>
        <v>0</v>
      </c>
      <c r="OL16" s="25">
        <f>'[2]CF PS'!$BX$56</f>
        <v>0</v>
      </c>
      <c r="OM16" s="25">
        <f>'[2]CF PS'!$BX$57</f>
        <v>0</v>
      </c>
      <c r="ON16" s="25">
        <f>'[2]CF PS'!$BX$58</f>
        <v>0</v>
      </c>
      <c r="OO16" s="25">
        <f>'[2]CF PS'!$BX$59</f>
        <v>0</v>
      </c>
      <c r="OP16" s="25">
        <f>'[2]CF PS'!$BX$60</f>
        <v>0</v>
      </c>
      <c r="OQ16" s="25">
        <f>'[2]CF PS'!$BX$61</f>
        <v>0</v>
      </c>
      <c r="OR16" s="25">
        <f>'[2]CF PS'!$BX$62</f>
        <v>0</v>
      </c>
      <c r="OS16" s="25">
        <f>'[2]CF PS'!$BX$63</f>
        <v>0</v>
      </c>
      <c r="OT16" s="25">
        <f>'[2]CF PS'!$BX$64</f>
        <v>0</v>
      </c>
      <c r="OU16" s="25">
        <f>'[2]CF PS'!$BX$65</f>
        <v>0</v>
      </c>
      <c r="OV16" s="25">
        <f>'[2]CF PS'!$BX$66</f>
        <v>0</v>
      </c>
      <c r="OW16" s="25">
        <f>'[2]CF PS'!$BX$67</f>
        <v>0</v>
      </c>
      <c r="OX16" s="25">
        <f>'[2]CF PS'!$BX$68</f>
        <v>0</v>
      </c>
      <c r="OY16" s="25">
        <f>'[2]CF PS'!$BX$69</f>
        <v>0</v>
      </c>
      <c r="OZ16" s="25">
        <f>'[2]CF PS'!$BX$70</f>
        <v>0</v>
      </c>
      <c r="PA16" s="25">
        <f>'[2]CF PS'!$BX$71</f>
        <v>0</v>
      </c>
      <c r="PB16" s="25">
        <f>'[2]CF PS'!$BX$72</f>
        <v>0</v>
      </c>
      <c r="PC16" s="26">
        <f>SUM(NR16:PB16)</f>
        <v>0</v>
      </c>
    </row>
    <row r="17" spans="1:424" ht="15.6" thickBot="1" x14ac:dyDescent="0.4">
      <c r="A17" s="47" t="s">
        <v>41</v>
      </c>
      <c r="B17" s="40" t="str">
        <f>IF(AND(B15&lt;&gt;0,B16&lt;&gt;0),(B15-B16)/B16,IF(AND(B15=0,B16=0),"",IF(AND(B15="",B16=""),"",IF(AND(B15=0,B16=""),"", IF(AND(B15="",B16=0),"",1)))))</f>
        <v/>
      </c>
      <c r="C17" s="40" t="str">
        <f t="shared" ref="C17" si="517">IF(AND(C15&lt;&gt;0,C16&lt;&gt;0),(C15-C16)/C16,IF(AND(C15=0,C16=0),"",IF(AND(C15="",C16=""),"",IF(AND(C15=0,C16=""),"", IF(AND(C15="",C16=0),"",1)))))</f>
        <v/>
      </c>
      <c r="D17" s="40" t="str">
        <f t="shared" ref="D17" si="518">IF(AND(D15&lt;&gt;0,D16&lt;&gt;0),(D15-D16)/D16,IF(AND(D15=0,D16=0),"",IF(AND(D15="",D16=""),"",IF(AND(D15=0,D16=""),"", IF(AND(D15="",D16=0),"",1)))))</f>
        <v/>
      </c>
      <c r="E17" s="40" t="str">
        <f t="shared" ref="E17" si="519">IF(AND(E15&lt;&gt;0,E16&lt;&gt;0),(E15-E16)/E16,IF(AND(E15=0,E16=0),"",IF(AND(E15="",E16=""),"",IF(AND(E15=0,E16=""),"", IF(AND(E15="",E16=0),"",1)))))</f>
        <v/>
      </c>
      <c r="F17" s="40" t="str">
        <f t="shared" ref="F17" si="520">IF(AND(F15&lt;&gt;0,F16&lt;&gt;0),(F15-F16)/F16,IF(AND(F15=0,F16=0),"",IF(AND(F15="",F16=""),"",IF(AND(F15=0,F16=""),"", IF(AND(F15="",F16=0),"",1)))))</f>
        <v/>
      </c>
      <c r="G17" s="40" t="str">
        <f t="shared" ref="G17" si="521">IF(AND(G15&lt;&gt;0,G16&lt;&gt;0),(G15-G16)/G16,IF(AND(G15=0,G16=0),"",IF(AND(G15="",G16=""),"",IF(AND(G15=0,G16=""),"", IF(AND(G15="",G16=0),"",1)))))</f>
        <v/>
      </c>
      <c r="H17" s="40" t="str">
        <f t="shared" ref="H17" si="522">IF(AND(H15&lt;&gt;0,H16&lt;&gt;0),(H15-H16)/H16,IF(AND(H15=0,H16=0),"",IF(AND(H15="",H16=""),"",IF(AND(H15=0,H16=""),"", IF(AND(H15="",H16=0),"",1)))))</f>
        <v/>
      </c>
      <c r="I17" s="40" t="str">
        <f t="shared" ref="I17" si="523">IF(AND(I15&lt;&gt;0,I16&lt;&gt;0),(I15-I16)/I16,IF(AND(I15=0,I16=0),"",IF(AND(I15="",I16=""),"",IF(AND(I15=0,I16=""),"", IF(AND(I15="",I16=0),"",1)))))</f>
        <v/>
      </c>
      <c r="J17" s="40" t="str">
        <f t="shared" ref="J17" si="524">IF(AND(J15&lt;&gt;0,J16&lt;&gt;0),(J15-J16)/J16,IF(AND(J15=0,J16=0),"",IF(AND(J15="",J16=""),"",IF(AND(J15=0,J16=""),"", IF(AND(J15="",J16=0),"",1)))))</f>
        <v/>
      </c>
      <c r="K17" s="40" t="str">
        <f t="shared" ref="K17" si="525">IF(AND(K15&lt;&gt;0,K16&lt;&gt;0),(K15-K16)/K16,IF(AND(K15=0,K16=0),"",IF(AND(K15="",K16=""),"",IF(AND(K15=0,K16=""),"", IF(AND(K15="",K16=0),"",1)))))</f>
        <v/>
      </c>
      <c r="L17" s="40" t="str">
        <f t="shared" ref="L17" si="526">IF(AND(L15&lt;&gt;0,L16&lt;&gt;0),(L15-L16)/L16,IF(AND(L15=0,L16=0),"",IF(AND(L15="",L16=""),"",IF(AND(L15=0,L16=""),"", IF(AND(L15="",L16=0),"",1)))))</f>
        <v/>
      </c>
      <c r="M17" s="40" t="str">
        <f t="shared" ref="M17" si="527">IF(AND(M15&lt;&gt;0,M16&lt;&gt;0),(M15-M16)/M16,IF(AND(M15=0,M16=0),"",IF(AND(M15="",M16=""),"",IF(AND(M15=0,M16=""),"", IF(AND(M15="",M16=0),"",1)))))</f>
        <v/>
      </c>
      <c r="N17" s="40" t="str">
        <f t="shared" ref="N17" si="528">IF(AND(N15&lt;&gt;0,N16&lt;&gt;0),(N15-N16)/N16,IF(AND(N15=0,N16=0),"",IF(AND(N15="",N16=""),"",IF(AND(N15=0,N16=""),"", IF(AND(N15="",N16=0),"",1)))))</f>
        <v/>
      </c>
      <c r="O17" s="40" t="str">
        <f t="shared" ref="O17" si="529">IF(AND(O15&lt;&gt;0,O16&lt;&gt;0),(O15-O16)/O16,IF(AND(O15=0,O16=0),"",IF(AND(O15="",O16=""),"",IF(AND(O15=0,O16=""),"", IF(AND(O15="",O16=0),"",1)))))</f>
        <v/>
      </c>
      <c r="P17" s="40" t="str">
        <f t="shared" ref="P17" si="530">IF(AND(P15&lt;&gt;0,P16&lt;&gt;0),(P15-P16)/P16,IF(AND(P15=0,P16=0),"",IF(AND(P15="",P16=""),"",IF(AND(P15=0,P16=""),"", IF(AND(P15="",P16=0),"",1)))))</f>
        <v/>
      </c>
      <c r="Q17" s="40" t="str">
        <f t="shared" ref="Q17" si="531">IF(AND(Q15&lt;&gt;0,Q16&lt;&gt;0),(Q15-Q16)/Q16,IF(AND(Q15=0,Q16=0),"",IF(AND(Q15="",Q16=""),"",IF(AND(Q15=0,Q16=""),"", IF(AND(Q15="",Q16=0),"",1)))))</f>
        <v/>
      </c>
      <c r="R17" s="40" t="str">
        <f t="shared" ref="R17" si="532">IF(AND(R15&lt;&gt;0,R16&lt;&gt;0),(R15-R16)/R16,IF(AND(R15=0,R16=0),"",IF(AND(R15="",R16=""),"",IF(AND(R15=0,R16=""),"", IF(AND(R15="",R16=0),"",1)))))</f>
        <v/>
      </c>
      <c r="S17" s="40" t="str">
        <f t="shared" ref="S17" si="533">IF(AND(S15&lt;&gt;0,S16&lt;&gt;0),(S15-S16)/S16,IF(AND(S15=0,S16=0),"",IF(AND(S15="",S16=""),"",IF(AND(S15=0,S16=""),"", IF(AND(S15="",S16=0),"",1)))))</f>
        <v/>
      </c>
      <c r="T17" s="40" t="str">
        <f t="shared" ref="T17" si="534">IF(AND(T15&lt;&gt;0,T16&lt;&gt;0),(T15-T16)/T16,IF(AND(T15=0,T16=0),"",IF(AND(T15="",T16=""),"",IF(AND(T15=0,T16=""),"", IF(AND(T15="",T16=0),"",1)))))</f>
        <v/>
      </c>
      <c r="U17" s="40" t="str">
        <f t="shared" ref="U17" si="535">IF(AND(U15&lt;&gt;0,U16&lt;&gt;0),(U15-U16)/U16,IF(AND(U15=0,U16=0),"",IF(AND(U15="",U16=""),"",IF(AND(U15=0,U16=""),"", IF(AND(U15="",U16=0),"",1)))))</f>
        <v/>
      </c>
      <c r="V17" s="40" t="str">
        <f t="shared" ref="V17" si="536">IF(AND(V15&lt;&gt;0,V16&lt;&gt;0),(V15-V16)/V16,IF(AND(V15=0,V16=0),"",IF(AND(V15="",V16=""),"",IF(AND(V15=0,V16=""),"", IF(AND(V15="",V16=0),"",1)))))</f>
        <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t="str">
        <f t="shared" ref="AM17" si="539">IF(AND(AM15&lt;&gt;0,AM16&lt;&gt;0),(AM15-AM16)/AM16,IF(AND(AM15=0,AM16=0),"",IF(AND(AM15="",AM16=""),"",IF(AND(AM15=0,AM16=""),"", IF(AND(AM15="",AM16=0),"",1)))))</f>
        <v/>
      </c>
      <c r="AN17" s="39" t="str">
        <f t="shared" ref="AN17" si="540">IF(AND(AN15&lt;&gt;0,AN16&lt;&gt;0),(AN15-AN16)/AN16,IF(AND(AN15=0,AN16=0),"",IF(AND(AN15="",AN16=""),"",IF(AND(AN15=0,AN16=""),"", IF(AND(AN15="",AN16=0),"",1)))))</f>
        <v/>
      </c>
      <c r="AO17" s="40" t="str">
        <f t="shared" ref="AO17" si="541">IF(AND(AO15&lt;&gt;0,AO16&lt;&gt;0),(AO15-AO16)/AO16,IF(AND(AO15=0,AO16=0),"",IF(AND(AO15="",AO16=""),"",IF(AND(AO15=0,AO16=""),"", IF(AND(AO15="",AO16=0),"",1)))))</f>
        <v/>
      </c>
      <c r="AP17" s="40" t="str">
        <f t="shared" ref="AP17" si="542">IF(AND(AP15&lt;&gt;0,AP16&lt;&gt;0),(AP15-AP16)/AP16,IF(AND(AP15=0,AP16=0),"",IF(AND(AP15="",AP16=""),"",IF(AND(AP15=0,AP16=""),"", IF(AND(AP15="",AP16=0),"",1)))))</f>
        <v/>
      </c>
      <c r="AQ17" s="40" t="str">
        <f t="shared" ref="AQ17" si="543">IF(AND(AQ15&lt;&gt;0,AQ16&lt;&gt;0),(AQ15-AQ16)/AQ16,IF(AND(AQ15=0,AQ16=0),"",IF(AND(AQ15="",AQ16=""),"",IF(AND(AQ15=0,AQ16=""),"", IF(AND(AQ15="",AQ16=0),"",1)))))</f>
        <v/>
      </c>
      <c r="AR17" s="40" t="str">
        <f t="shared" ref="AR17" si="544">IF(AND(AR15&lt;&gt;0,AR16&lt;&gt;0),(AR15-AR16)/AR16,IF(AND(AR15=0,AR16=0),"",IF(AND(AR15="",AR16=""),"",IF(AND(AR15=0,AR16=""),"", IF(AND(AR15="",AR16=0),"",1)))))</f>
        <v/>
      </c>
      <c r="AS17" s="40" t="str">
        <f t="shared" ref="AS17" si="545">IF(AND(AS15&lt;&gt;0,AS16&lt;&gt;0),(AS15-AS16)/AS16,IF(AND(AS15=0,AS16=0),"",IF(AND(AS15="",AS16=""),"",IF(AND(AS15=0,AS16=""),"", IF(AND(AS15="",AS16=0),"",1)))))</f>
        <v/>
      </c>
      <c r="AT17" s="40" t="str">
        <f t="shared" ref="AT17" si="546">IF(AND(AT15&lt;&gt;0,AT16&lt;&gt;0),(AT15-AT16)/AT16,IF(AND(AT15=0,AT16=0),"",IF(AND(AT15="",AT16=""),"",IF(AND(AT15=0,AT16=""),"", IF(AND(AT15="",AT16=0),"",1)))))</f>
        <v/>
      </c>
      <c r="AU17" s="40" t="str">
        <f t="shared" ref="AU17" si="547">IF(AND(AU15&lt;&gt;0,AU16&lt;&gt;0),(AU15-AU16)/AU16,IF(AND(AU15=0,AU16=0),"",IF(AND(AU15="",AU16=""),"",IF(AND(AU15=0,AU16=""),"", IF(AND(AU15="",AU16=0),"",1)))))</f>
        <v/>
      </c>
      <c r="AV17" s="40" t="str">
        <f t="shared" ref="AV17" si="548">IF(AND(AV15&lt;&gt;0,AV16&lt;&gt;0),(AV15-AV16)/AV16,IF(AND(AV15=0,AV16=0),"",IF(AND(AV15="",AV16=""),"",IF(AND(AV15=0,AV16=""),"", IF(AND(AV15="",AV16=0),"",1)))))</f>
        <v/>
      </c>
      <c r="AW17" s="40" t="str">
        <f t="shared" ref="AW17" si="549">IF(AND(AW15&lt;&gt;0,AW16&lt;&gt;0),(AW15-AW16)/AW16,IF(AND(AW15=0,AW16=0),"",IF(AND(AW15="",AW16=""),"",IF(AND(AW15=0,AW16=""),"", IF(AND(AW15="",AW16=0),"",1)))))</f>
        <v/>
      </c>
      <c r="AX17" s="40" t="str">
        <f t="shared" ref="AX17" si="550">IF(AND(AX15&lt;&gt;0,AX16&lt;&gt;0),(AX15-AX16)/AX16,IF(AND(AX15=0,AX16=0),"",IF(AND(AX15="",AX16=""),"",IF(AND(AX15=0,AX16=""),"", IF(AND(AX15="",AX16=0),"",1)))))</f>
        <v/>
      </c>
      <c r="AY17" s="40" t="str">
        <f t="shared" ref="AY17" si="551">IF(AND(AY15&lt;&gt;0,AY16&lt;&gt;0),(AY15-AY16)/AY16,IF(AND(AY15=0,AY16=0),"",IF(AND(AY15="",AY16=""),"",IF(AND(AY15=0,AY16=""),"", IF(AND(AY15="",AY16=0),"",1)))))</f>
        <v/>
      </c>
      <c r="AZ17" s="40" t="str">
        <f t="shared" ref="AZ17" si="552">IF(AND(AZ15&lt;&gt;0,AZ16&lt;&gt;0),(AZ15-AZ16)/AZ16,IF(AND(AZ15=0,AZ16=0),"",IF(AND(AZ15="",AZ16=""),"",IF(AND(AZ15=0,AZ16=""),"", IF(AND(AZ15="",AZ16=0),"",1)))))</f>
        <v/>
      </c>
      <c r="BA17" s="40" t="str">
        <f t="shared" ref="BA17" si="553">IF(AND(BA15&lt;&gt;0,BA16&lt;&gt;0),(BA15-BA16)/BA16,IF(AND(BA15=0,BA16=0),"",IF(AND(BA15="",BA16=""),"",IF(AND(BA15=0,BA16=""),"", IF(AND(BA15="",BA16=0),"",1)))))</f>
        <v/>
      </c>
      <c r="BB17" s="40" t="str">
        <f t="shared" ref="BB17" si="554">IF(AND(BB15&lt;&gt;0,BB16&lt;&gt;0),(BB15-BB16)/BB16,IF(AND(BB15=0,BB16=0),"",IF(AND(BB15="",BB16=""),"",IF(AND(BB15=0,BB16=""),"", IF(AND(BB15="",BB16=0),"",1)))))</f>
        <v/>
      </c>
      <c r="BC17" s="40" t="str">
        <f t="shared" ref="BC17" si="555">IF(AND(BC15&lt;&gt;0,BC16&lt;&gt;0),(BC15-BC16)/BC16,IF(AND(BC15=0,BC16=0),"",IF(AND(BC15="",BC16=""),"",IF(AND(BC15=0,BC16=""),"", IF(AND(BC15="",BC16=0),"",1)))))</f>
        <v/>
      </c>
      <c r="BD17" s="40" t="str">
        <f t="shared" ref="BD17" si="556">IF(AND(BD15&lt;&gt;0,BD16&lt;&gt;0),(BD15-BD16)/BD16,IF(AND(BD15=0,BD16=0),"",IF(AND(BD15="",BD16=""),"",IF(AND(BD15=0,BD16=""),"", IF(AND(BD15="",BD16=0),"",1)))))</f>
        <v/>
      </c>
      <c r="BE17" s="40" t="str">
        <f t="shared" ref="BE17" si="557">IF(AND(BE15&lt;&gt;0,BE16&lt;&gt;0),(BE15-BE16)/BE16,IF(AND(BE15=0,BE16=0),"",IF(AND(BE15="",BE16=""),"",IF(AND(BE15=0,BE16=""),"", IF(AND(BE15="",BE16=0),"",1)))))</f>
        <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t="str">
        <f t="shared" ref="BY17" si="563">IF(AND(BY15&lt;&gt;0,BY16&lt;&gt;0),(BY15-BY16)/BY16,IF(AND(BY15=0,BY16=0),"",IF(AND(BY15="",BY16=""),"",IF(AND(BY15=0,BY16=""),"", IF(AND(BY15="",BY16=0),"",1)))))</f>
        <v/>
      </c>
      <c r="BZ17" s="39" t="str">
        <f t="shared" ref="BZ17" si="564">IF(AND(BZ15&lt;&gt;0,BZ16&lt;&gt;0),(BZ15-BZ16)/BZ16,IF(AND(BZ15=0,BZ16=0),"",IF(AND(BZ15="",BZ16=""),"",IF(AND(BZ15=0,BZ16=""),"", IF(AND(BZ15="",BZ16=0),"",1)))))</f>
        <v/>
      </c>
      <c r="CA17" s="40" t="str">
        <f t="shared" ref="CA17" si="565">IF(AND(CA15&lt;&gt;0,CA16&lt;&gt;0),(CA15-CA16)/CA16,IF(AND(CA15=0,CA16=0),"",IF(AND(CA15="",CA16=""),"",IF(AND(CA15=0,CA16=""),"", IF(AND(CA15="",CA16=0),"",1)))))</f>
        <v/>
      </c>
      <c r="CB17" s="40" t="str">
        <f t="shared" ref="CB17" si="566">IF(AND(CB15&lt;&gt;0,CB16&lt;&gt;0),(CB15-CB16)/CB16,IF(AND(CB15=0,CB16=0),"",IF(AND(CB15="",CB16=""),"",IF(AND(CB15=0,CB16=""),"", IF(AND(CB15="",CB16=0),"",1)))))</f>
        <v/>
      </c>
      <c r="CC17" s="40" t="str">
        <f t="shared" ref="CC17" si="567">IF(AND(CC15&lt;&gt;0,CC16&lt;&gt;0),(CC15-CC16)/CC16,IF(AND(CC15=0,CC16=0),"",IF(AND(CC15="",CC16=""),"",IF(AND(CC15=0,CC16=""),"", IF(AND(CC15="",CC16=0),"",1)))))</f>
        <v/>
      </c>
      <c r="CD17" s="40" t="str">
        <f t="shared" ref="CD17" si="568">IF(AND(CD15&lt;&gt;0,CD16&lt;&gt;0),(CD15-CD16)/CD16,IF(AND(CD15=0,CD16=0),"",IF(AND(CD15="",CD16=""),"",IF(AND(CD15=0,CD16=""),"", IF(AND(CD15="",CD16=0),"",1)))))</f>
        <v/>
      </c>
      <c r="CE17" s="40" t="str">
        <f t="shared" ref="CE17" si="569">IF(AND(CE15&lt;&gt;0,CE16&lt;&gt;0),(CE15-CE16)/CE16,IF(AND(CE15=0,CE16=0),"",IF(AND(CE15="",CE16=""),"",IF(AND(CE15=0,CE16=""),"", IF(AND(CE15="",CE16=0),"",1)))))</f>
        <v/>
      </c>
      <c r="CF17" s="40" t="str">
        <f t="shared" ref="CF17" si="570">IF(AND(CF15&lt;&gt;0,CF16&lt;&gt;0),(CF15-CF16)/CF16,IF(AND(CF15=0,CF16=0),"",IF(AND(CF15="",CF16=""),"",IF(AND(CF15=0,CF16=""),"", IF(AND(CF15="",CF16=0),"",1)))))</f>
        <v/>
      </c>
      <c r="CG17" s="40" t="str">
        <f t="shared" ref="CG17" si="571">IF(AND(CG15&lt;&gt;0,CG16&lt;&gt;0),(CG15-CG16)/CG16,IF(AND(CG15=0,CG16=0),"",IF(AND(CG15="",CG16=""),"",IF(AND(CG15=0,CG16=""),"", IF(AND(CG15="",CG16=0),"",1)))))</f>
        <v/>
      </c>
      <c r="CH17" s="40" t="str">
        <f t="shared" ref="CH17" si="572">IF(AND(CH15&lt;&gt;0,CH16&lt;&gt;0),(CH15-CH16)/CH16,IF(AND(CH15=0,CH16=0),"",IF(AND(CH15="",CH16=""),"",IF(AND(CH15=0,CH16=""),"", IF(AND(CH15="",CH16=0),"",1)))))</f>
        <v/>
      </c>
      <c r="CI17" s="40" t="str">
        <f t="shared" ref="CI17" si="573">IF(AND(CI15&lt;&gt;0,CI16&lt;&gt;0),(CI15-CI16)/CI16,IF(AND(CI15=0,CI16=0),"",IF(AND(CI15="",CI16=""),"",IF(AND(CI15=0,CI16=""),"", IF(AND(CI15="",CI16=0),"",1)))))</f>
        <v/>
      </c>
      <c r="CJ17" s="40" t="str">
        <f t="shared" ref="CJ17" si="574">IF(AND(CJ15&lt;&gt;0,CJ16&lt;&gt;0),(CJ15-CJ16)/CJ16,IF(AND(CJ15=0,CJ16=0),"",IF(AND(CJ15="",CJ16=""),"",IF(AND(CJ15=0,CJ16=""),"", IF(AND(CJ15="",CJ16=0),"",1)))))</f>
        <v/>
      </c>
      <c r="CK17" s="40" t="str">
        <f t="shared" ref="CK17" si="575">IF(AND(CK15&lt;&gt;0,CK16&lt;&gt;0),(CK15-CK16)/CK16,IF(AND(CK15=0,CK16=0),"",IF(AND(CK15="",CK16=""),"",IF(AND(CK15=0,CK16=""),"", IF(AND(CK15="",CK16=0),"",1)))))</f>
        <v/>
      </c>
      <c r="CL17" s="40" t="str">
        <f t="shared" ref="CL17" si="576">IF(AND(CL15&lt;&gt;0,CL16&lt;&gt;0),(CL15-CL16)/CL16,IF(AND(CL15=0,CL16=0),"",IF(AND(CL15="",CL16=""),"",IF(AND(CL15=0,CL16=""),"", IF(AND(CL15="",CL16=0),"",1)))))</f>
        <v/>
      </c>
      <c r="CM17" s="40" t="str">
        <f t="shared" ref="CM17" si="577">IF(AND(CM15&lt;&gt;0,CM16&lt;&gt;0),(CM15-CM16)/CM16,IF(AND(CM15=0,CM16=0),"",IF(AND(CM15="",CM16=""),"",IF(AND(CM15=0,CM16=""),"", IF(AND(CM15="",CM16=0),"",1)))))</f>
        <v/>
      </c>
      <c r="CN17" s="40" t="str">
        <f t="shared" ref="CN17" si="578">IF(AND(CN15&lt;&gt;0,CN16&lt;&gt;0),(CN15-CN16)/CN16,IF(AND(CN15=0,CN16=0),"",IF(AND(CN15="",CN16=""),"",IF(AND(CN15=0,CN16=""),"", IF(AND(CN15="",CN16=0),"",1)))))</f>
        <v/>
      </c>
      <c r="CO17" s="40" t="str">
        <f t="shared" ref="CO17" si="579">IF(AND(CO15&lt;&gt;0,CO16&lt;&gt;0),(CO15-CO16)/CO16,IF(AND(CO15=0,CO16=0),"",IF(AND(CO15="",CO16=""),"",IF(AND(CO15=0,CO16=""),"", IF(AND(CO15="",CO16=0),"",1)))))</f>
        <v/>
      </c>
      <c r="CP17" s="40" t="str">
        <f t="shared" ref="CP17" si="580">IF(AND(CP15&lt;&gt;0,CP16&lt;&gt;0),(CP15-CP16)/CP16,IF(AND(CP15=0,CP16=0),"",IF(AND(CP15="",CP16=""),"",IF(AND(CP15=0,CP16=""),"", IF(AND(CP15="",CP16=0),"",1)))))</f>
        <v/>
      </c>
      <c r="CQ17" s="40" t="str">
        <f t="shared" ref="CQ17" si="581">IF(AND(CQ15&lt;&gt;0,CQ16&lt;&gt;0),(CQ15-CQ16)/CQ16,IF(AND(CQ15=0,CQ16=0),"",IF(AND(CQ15="",CQ16=""),"",IF(AND(CQ15=0,CQ16=""),"", IF(AND(CQ15="",CQ16=0),"",1)))))</f>
        <v/>
      </c>
      <c r="CR17" s="40" t="str">
        <f t="shared" ref="CR17" si="582">IF(AND(CR15&lt;&gt;0,CR16&lt;&gt;0),(CR15-CR16)/CR16,IF(AND(CR15=0,CR16=0),"",IF(AND(CR15="",CR16=""),"",IF(AND(CR15=0,CR16=""),"", IF(AND(CR15="",CR16=0),"",1)))))</f>
        <v/>
      </c>
      <c r="CS17" s="40" t="str">
        <f t="shared" ref="CS17" si="583">IF(AND(CS15&lt;&gt;0,CS16&lt;&gt;0),(CS15-CS16)/CS16,IF(AND(CS15=0,CS16=0),"",IF(AND(CS15="",CS16=""),"",IF(AND(CS15=0,CS16=""),"", IF(AND(CS15="",CS16=0),"",1)))))</f>
        <v/>
      </c>
      <c r="CT17" s="40" t="str">
        <f t="shared" ref="CT17" si="584">IF(AND(CT15&lt;&gt;0,CT16&lt;&gt;0),(CT15-CT16)/CT16,IF(AND(CT15=0,CT16=0),"",IF(AND(CT15="",CT16=""),"",IF(AND(CT15=0,CT16=""),"", IF(AND(CT15="",CT16=0),"",1)))))</f>
        <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t="str">
        <f t="shared" ref="DK17:HU17" si="587">IF(AND(DK15&lt;&gt;0,DK16&lt;&gt;0),(DK15-DK16)/DK16,IF(AND(DK15=0,DK16=0),"",IF(AND(DK15="",DK16=""),"",IF(AND(DK15=0,DK16=""),"", IF(AND(DK15="",DK16=0),"",1)))))</f>
        <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t="str">
        <f t="shared" si="587"/>
        <v/>
      </c>
      <c r="EG17" s="73" t="str">
        <f t="shared" si="587"/>
        <v/>
      </c>
      <c r="EH17" s="73" t="str">
        <f t="shared" si="587"/>
        <v/>
      </c>
      <c r="EI17" s="73" t="str">
        <f t="shared" ref="EI17:EV17" si="588">IF(AND(EI15&lt;&gt;0,EI16&lt;&gt;0),(EI15-EI16)/EI16,IF(AND(EI15=0,EI16=0),"",IF(AND(EI15="",EI16=""),"",IF(AND(EI15=0,EI16=""),"", IF(AND(EI15="",EI16=0),"",1)))))</f>
        <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t="str">
        <f t="shared" si="587"/>
        <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t="str">
        <f t="shared" ref="IE17" si="601">IF(AND(IE15&lt;&gt;0,IE16&lt;&gt;0),(IE15-IE16)/IE16,IF(AND(IE15=0,IE16=0),"",IF(AND(IE15="",IE16=""),"",IF(AND(IE15=0,IE16=""),"", IF(AND(IE15="",IE16=0),"",1)))))</f>
        <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t="str">
        <f t="shared" ref="IP17" si="612">IF(AND(IP15&lt;&gt;0,IP16&lt;&gt;0),(IP15-IP16)/IP16,IF(AND(IP15=0,IP16=0),"",IF(AND(IP15="",IP16=""),"",IF(AND(IP15=0,IP16=""),"", IF(AND(IP15="",IP16=0),"",1)))))</f>
        <v/>
      </c>
      <c r="IQ17" s="40" t="str">
        <f t="shared" ref="IQ17" si="613">IF(AND(IQ15&lt;&gt;0,IQ16&lt;&gt;0),(IQ15-IQ16)/IQ16,IF(AND(IQ15=0,IQ16=0),"",IF(AND(IQ15="",IQ16=""),"",IF(AND(IQ15=0,IQ16=""),"", IF(AND(IQ15="",IQ16=0),"",1)))))</f>
        <v/>
      </c>
      <c r="IR17" s="40" t="str">
        <f t="shared" ref="IR17:JF17" si="614">IF(AND(IR15&lt;&gt;0,IR16&lt;&gt;0),(IR15-IR16)/IR16,IF(AND(IR15=0,IR16=0),"",IF(AND(IR15="",IR16=""),"",IF(AND(IR15=0,IR16=""),"", IF(AND(IR15="",IR16=0),"",1)))))</f>
        <v/>
      </c>
      <c r="IS17" s="40" t="str">
        <f t="shared" si="614"/>
        <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t="str">
        <f t="shared" ref="JG17:NQ17" si="615">IF(AND(JG15&lt;&gt;0,JG16&lt;&gt;0),(JG15-JG16)/JG16,IF(AND(JG15=0,JG16=0),"",IF(AND(JG15="",JG16=""),"",IF(AND(JG15=0,JG16=""),"", IF(AND(JG15="",JG16=0),"",1)))))</f>
        <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t="str">
        <f t="shared" ref="KE17:KR17" si="616">IF(AND(KE15&lt;&gt;0,KE16&lt;&gt;0),(KE15-KE16)/KE16,IF(AND(KE15=0,KE16=0),"",IF(AND(KE15="",KE16=""),"",IF(AND(KE15=0,KE16=""),"", IF(AND(KE15="",KE16=0),"",1)))))</f>
        <v/>
      </c>
      <c r="KF17" s="73" t="str">
        <f t="shared" si="616"/>
        <v/>
      </c>
      <c r="KG17" s="73" t="str">
        <f t="shared" si="616"/>
        <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t="str">
        <f t="shared" si="615"/>
        <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t="str">
        <f t="shared" si="642"/>
        <v/>
      </c>
      <c r="OP17" s="40" t="str">
        <f t="shared" si="642"/>
        <v/>
      </c>
      <c r="OQ17" s="40" t="str">
        <f t="shared" si="642"/>
        <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t="str">
        <f t="shared" ref="PC17" si="643">IF(AND(PC15&lt;&gt;0,PC16&lt;&gt;0),(PC15-PC16)/PC16,IF(AND(PC15=0,PC16=0),"",IF(AND(PC15="",PC16=""),"",IF(AND(PC15=0,PC16=""),"", IF(AND(PC15="",PC16=0),"",1)))))</f>
        <v/>
      </c>
    </row>
    <row r="18" spans="1:424" outlineLevel="1" x14ac:dyDescent="0.35">
      <c r="A18" s="46" t="s">
        <v>42</v>
      </c>
      <c r="B18" s="14">
        <f>'[1]D-PDP'!$CB$12</f>
        <v>5273457.5</v>
      </c>
      <c r="C18" s="14">
        <f>'[1]D-PDP'!$CB$13</f>
        <v>4994252.5</v>
      </c>
      <c r="D18" s="14">
        <f>'[1]D-PDP'!$CB$14</f>
        <v>4435678</v>
      </c>
      <c r="E18" s="14">
        <f>'[1]D-PDP'!$CB$15</f>
        <v>4282983.5</v>
      </c>
      <c r="F18" s="14">
        <f>'[1]D-PDP'!$CB$16</f>
        <v>4208377</v>
      </c>
      <c r="G18" s="14">
        <f>'[1]D-PDP'!$CB$17</f>
        <v>4167163.5</v>
      </c>
      <c r="H18" s="14">
        <f>'[1]D-PDP'!$CB$18</f>
        <v>4016228</v>
      </c>
      <c r="I18" s="14">
        <f>'[1]D-PDP'!$CB$19</f>
        <v>3885462</v>
      </c>
      <c r="J18" s="14">
        <f>'[1]D-PDP'!$CB$20</f>
        <v>3840196.5</v>
      </c>
      <c r="K18" s="14">
        <f>'[1]D-PDP'!$CB$21</f>
        <v>3760351.25</v>
      </c>
      <c r="L18" s="14">
        <f>'[1]D-PDP'!$CB$22</f>
        <v>3593873</v>
      </c>
      <c r="M18" s="14">
        <f>'[1]D-PDP'!$CB$23</f>
        <v>3302414.75</v>
      </c>
      <c r="N18" s="14">
        <f>'[1]D-PDP'!$CB$24</f>
        <v>3082762.75</v>
      </c>
      <c r="O18" s="14">
        <f>'[1]D-PDP'!$CB$25</f>
        <v>2959938.25</v>
      </c>
      <c r="P18" s="14">
        <f>'[1]D-PDP'!$CB$26</f>
        <v>2857486.75</v>
      </c>
      <c r="Q18" s="14">
        <f>'[1]D-PDP'!$CB$27</f>
        <v>2722671.75</v>
      </c>
      <c r="R18" s="14">
        <f>'[1]D-PDP'!$CB$28</f>
        <v>2704871.5</v>
      </c>
      <c r="S18" s="14">
        <f>'[1]D-PDP'!$CB$29</f>
        <v>2579057.25</v>
      </c>
      <c r="T18" s="14">
        <f>'[1]D-PDP'!$CB$30</f>
        <v>2436166.25</v>
      </c>
      <c r="U18" s="14">
        <f>'[1]D-PDP'!$CB$31</f>
        <v>2330296.25</v>
      </c>
      <c r="V18" s="14">
        <f>'[1]D-PDP'!$CB$32</f>
        <v>2296916</v>
      </c>
      <c r="W18" s="14">
        <f>'[1]D-PDP'!$CB$33</f>
        <v>739225.4375</v>
      </c>
      <c r="X18" s="14">
        <f>'[1]D-PDP'!$CB$34</f>
        <v>0</v>
      </c>
      <c r="Y18" s="14">
        <f>'[1]D-PDP'!$CB$35</f>
        <v>0</v>
      </c>
      <c r="Z18" s="14">
        <f>'[1]D-PDP'!$CB$36</f>
        <v>0</v>
      </c>
      <c r="AA18" s="14">
        <f>'[1]D-PDP'!$CB$37</f>
        <v>0</v>
      </c>
      <c r="AB18" s="14">
        <f>'[1]D-PDP'!$CB$38</f>
        <v>0</v>
      </c>
      <c r="AC18" s="14">
        <f>'[1]D-PDP'!$CB$39</f>
        <v>0</v>
      </c>
      <c r="AD18" s="14">
        <f>'[1]D-PDP'!$CB$40</f>
        <v>0</v>
      </c>
      <c r="AE18" s="14">
        <f>'[1]D-PDP'!$CB$41</f>
        <v>0</v>
      </c>
      <c r="AF18" s="14">
        <f>'[1]D-PDP'!$CB$42</f>
        <v>0</v>
      </c>
      <c r="AG18" s="14">
        <f>'[1]D-PDP'!$CB$43</f>
        <v>0</v>
      </c>
      <c r="AH18" s="14">
        <f>'[1]D-PDP'!$CB$44</f>
        <v>0</v>
      </c>
      <c r="AI18" s="14">
        <f>'[1]D-PDP'!$CB$45</f>
        <v>0</v>
      </c>
      <c r="AJ18" s="14">
        <f>'[1]D-PDP'!$CB$46</f>
        <v>0</v>
      </c>
      <c r="AK18" s="14">
        <f>'[1]D-PDP'!$CB$47</f>
        <v>0</v>
      </c>
      <c r="AL18" s="14">
        <f>'[1]D-PDP'!$CB$48</f>
        <v>0</v>
      </c>
      <c r="AM18" s="16">
        <f>SUM(B18:AL18)</f>
        <v>74469829.6875</v>
      </c>
      <c r="AN18" s="28">
        <f>'[1]D-PNP'!$CB$12</f>
        <v>519732.46875</v>
      </c>
      <c r="AO18" s="14">
        <f>'[1]D-PNP'!$CB$13</f>
        <v>522411</v>
      </c>
      <c r="AP18" s="14">
        <f>'[1]D-PNP'!$CB$14</f>
        <v>472571.09375</v>
      </c>
      <c r="AQ18" s="14">
        <f>'[1]D-PNP'!$CB$15</f>
        <v>461224.625</v>
      </c>
      <c r="AR18" s="14">
        <f>'[1]D-PNP'!$CB$16</f>
        <v>459210.1875</v>
      </c>
      <c r="AS18" s="14">
        <f>'[1]D-PNP'!$CB$17</f>
        <v>382365.25</v>
      </c>
      <c r="AT18" s="14">
        <f>'[1]D-PNP'!$CB$18</f>
        <v>360702.4375</v>
      </c>
      <c r="AU18" s="14">
        <f>'[1]D-PNP'!$CB$19</f>
        <v>359501.78125</v>
      </c>
      <c r="AV18" s="14">
        <f>'[1]D-PNP'!$CB$20</f>
        <v>358458.34375</v>
      </c>
      <c r="AW18" s="14">
        <f>'[1]D-PNP'!$CB$21</f>
        <v>357881.59375</v>
      </c>
      <c r="AX18" s="14">
        <f>'[1]D-PNP'!$CB$22</f>
        <v>356749.90625</v>
      </c>
      <c r="AY18" s="14">
        <f>'[1]D-PNP'!$CB$23</f>
        <v>356050.9375</v>
      </c>
      <c r="AZ18" s="14">
        <f>'[1]D-PNP'!$CB$24</f>
        <v>355435.28125</v>
      </c>
      <c r="BA18" s="14">
        <f>'[1]D-PNP'!$CB$25</f>
        <v>355217.8125</v>
      </c>
      <c r="BB18" s="14">
        <f>'[1]D-PNP'!$CB$26</f>
        <v>354408.25</v>
      </c>
      <c r="BC18" s="14">
        <f>'[1]D-PNP'!$CB$27</f>
        <v>353980.28125</v>
      </c>
      <c r="BD18" s="14">
        <f>'[1]D-PNP'!$CB$28</f>
        <v>353599.125</v>
      </c>
      <c r="BE18" s="14">
        <f>'[1]D-PNP'!$CB$29</f>
        <v>353580.9375</v>
      </c>
      <c r="BF18" s="14">
        <f>'[1]D-PNP'!$CB$30</f>
        <v>352953.34375</v>
      </c>
      <c r="BG18" s="14">
        <f>'[1]D-PNP'!$CB$31</f>
        <v>312201.875</v>
      </c>
      <c r="BH18" s="14">
        <f>'[1]D-PNP'!$CB$32</f>
        <v>283799.34375</v>
      </c>
      <c r="BI18" s="14">
        <f>'[1]D-PNP'!$CB$33</f>
        <v>93861.375</v>
      </c>
      <c r="BJ18" s="14">
        <f>'[1]D-PNP'!$CB$34</f>
        <v>0</v>
      </c>
      <c r="BK18" s="14">
        <f>'[1]D-PNP'!$CB$35</f>
        <v>0</v>
      </c>
      <c r="BL18" s="14">
        <f>'[1]D-PNP'!$CB$36</f>
        <v>0</v>
      </c>
      <c r="BM18" s="14">
        <f>'[1]D-PNP'!$CB$37</f>
        <v>0</v>
      </c>
      <c r="BN18" s="14">
        <f>'[1]D-PNP'!$CB$38</f>
        <v>0</v>
      </c>
      <c r="BO18" s="14">
        <f>'[1]D-PNP'!$CB$39</f>
        <v>0</v>
      </c>
      <c r="BP18" s="14">
        <f>'[1]D-PNP'!$CB$40</f>
        <v>0</v>
      </c>
      <c r="BQ18" s="14">
        <f>'[1]D-PNP'!$CB$41</f>
        <v>0</v>
      </c>
      <c r="BR18" s="14">
        <f>'[1]D-PNP'!$CB$42</f>
        <v>0</v>
      </c>
      <c r="BS18" s="14">
        <f>'[1]D-PNP'!$CB$43</f>
        <v>0</v>
      </c>
      <c r="BT18" s="14">
        <f>'[1]D-PNP'!$CB$44</f>
        <v>0</v>
      </c>
      <c r="BU18" s="14">
        <f>'[1]D-PNP'!$CB$45</f>
        <v>0</v>
      </c>
      <c r="BV18" s="14">
        <f>'[1]D-PNP'!$CB$46</f>
        <v>0</v>
      </c>
      <c r="BW18" s="14">
        <f>'[1]D-PNP'!$CB$47</f>
        <v>0</v>
      </c>
      <c r="BX18" s="14">
        <f>'[1]D-PNP'!$CB$48</f>
        <v>0</v>
      </c>
      <c r="BY18" s="16">
        <f>SUM(AN18:BX18)</f>
        <v>8135897.25</v>
      </c>
      <c r="BZ18" s="28">
        <f>'[1]D-PND'!$CB$12</f>
        <v>0</v>
      </c>
      <c r="CA18" s="14">
        <f>'[1]D-PND'!$CB$13</f>
        <v>5003.88037109375</v>
      </c>
      <c r="CB18" s="14">
        <f>'[1]D-PND'!$CB$14</f>
        <v>1360542.25</v>
      </c>
      <c r="CC18" s="14">
        <f>'[1]D-PND'!$CB$15</f>
        <v>2450727</v>
      </c>
      <c r="CD18" s="14">
        <f>'[1]D-PND'!$CB$16</f>
        <v>2864289.25</v>
      </c>
      <c r="CE18" s="14">
        <f>'[1]D-PND'!$CB$17</f>
        <v>3176801.5</v>
      </c>
      <c r="CF18" s="14">
        <f>'[1]D-PND'!$CB$18</f>
        <v>2823262.5</v>
      </c>
      <c r="CG18" s="14">
        <f>'[1]D-PND'!$CB$19</f>
        <v>2524409.75</v>
      </c>
      <c r="CH18" s="14">
        <f>'[1]D-PND'!$CB$20</f>
        <v>2473609.5</v>
      </c>
      <c r="CI18" s="14">
        <f>'[1]D-PND'!$CB$21</f>
        <v>2419252.25</v>
      </c>
      <c r="CJ18" s="14">
        <f>'[1]D-PND'!$CB$22</f>
        <v>2402866</v>
      </c>
      <c r="CK18" s="14">
        <f>'[1]D-PND'!$CB$23</f>
        <v>2388877.25</v>
      </c>
      <c r="CL18" s="14">
        <f>'[1]D-PND'!$CB$24</f>
        <v>2377350.5</v>
      </c>
      <c r="CM18" s="14">
        <f>'[1]D-PND'!$CB$25</f>
        <v>2331781</v>
      </c>
      <c r="CN18" s="14">
        <f>'[1]D-PND'!$CB$26</f>
        <v>2326189.25</v>
      </c>
      <c r="CO18" s="14">
        <f>'[1]D-PND'!$CB$27</f>
        <v>2283353.75</v>
      </c>
      <c r="CP18" s="14">
        <f>'[1]D-PND'!$CB$28</f>
        <v>2275079.5</v>
      </c>
      <c r="CQ18" s="14">
        <f>'[1]D-PND'!$CB$29</f>
        <v>1572822</v>
      </c>
      <c r="CR18" s="14">
        <f>'[1]D-PND'!$CB$30</f>
        <v>0</v>
      </c>
      <c r="CS18" s="14">
        <f>'[1]D-PND'!$CB$31</f>
        <v>0</v>
      </c>
      <c r="CT18" s="14">
        <f>'[1]D-PND'!$CB$32</f>
        <v>0</v>
      </c>
      <c r="CU18" s="14">
        <f>'[1]D-PND'!$CB$33</f>
        <v>0</v>
      </c>
      <c r="CV18" s="14">
        <f>'[1]D-PND'!$CB$34</f>
        <v>0</v>
      </c>
      <c r="CW18" s="14">
        <f>'[1]D-PND'!$CB$35</f>
        <v>0</v>
      </c>
      <c r="CX18" s="14">
        <f>'[1]D-PND'!$CB$36</f>
        <v>0</v>
      </c>
      <c r="CY18" s="14">
        <f>'[1]D-PND'!$CB$37</f>
        <v>0</v>
      </c>
      <c r="CZ18" s="14">
        <f>'[1]D-PND'!$CB$38</f>
        <v>0</v>
      </c>
      <c r="DA18" s="14">
        <f>'[1]D-PND'!$CB$39</f>
        <v>0</v>
      </c>
      <c r="DB18" s="14">
        <f>'[1]D-PND'!$CB$40</f>
        <v>0</v>
      </c>
      <c r="DC18" s="14">
        <f>'[1]D-PND'!$CB$41</f>
        <v>0</v>
      </c>
      <c r="DD18" s="14">
        <f>'[1]D-PND'!$CB$42</f>
        <v>0</v>
      </c>
      <c r="DE18" s="14">
        <f>'[1]D-PND'!$CB$43</f>
        <v>0</v>
      </c>
      <c r="DF18" s="14">
        <f>'[1]D-PND'!$CB$44</f>
        <v>0</v>
      </c>
      <c r="DG18" s="14">
        <f>'[1]D-PND'!$CB$45</f>
        <v>0</v>
      </c>
      <c r="DH18" s="14">
        <f>'[1]D-PND'!$CB$46</f>
        <v>0</v>
      </c>
      <c r="DI18" s="14">
        <f>'[1]D-PND'!$CB$47</f>
        <v>0</v>
      </c>
      <c r="DJ18" s="14">
        <f>'[1]D-PND'!$CB$48</f>
        <v>0</v>
      </c>
      <c r="DK18" s="16">
        <f>SUM(BZ18:DJ18)</f>
        <v>38056217.130371094</v>
      </c>
      <c r="DL18" s="66"/>
      <c r="DM18" s="67"/>
      <c r="DN18" s="67"/>
      <c r="DO18" s="67"/>
      <c r="DP18" s="67"/>
      <c r="DQ18" s="67"/>
      <c r="DR18" s="67"/>
      <c r="DS18" s="67"/>
      <c r="DT18" s="67"/>
      <c r="DU18" s="67"/>
      <c r="DV18" s="67"/>
      <c r="DW18" s="67"/>
      <c r="DX18" s="67"/>
      <c r="DY18" s="67"/>
      <c r="DZ18" s="67"/>
      <c r="EA18" s="67"/>
      <c r="EB18" s="67"/>
      <c r="EC18" s="67"/>
      <c r="ED18" s="67"/>
      <c r="EE18" s="67"/>
      <c r="EF18" s="67"/>
      <c r="EG18" s="67"/>
      <c r="EH18" s="67"/>
      <c r="EI18" s="67"/>
      <c r="EJ18" s="67"/>
      <c r="EK18" s="67"/>
      <c r="EL18" s="67"/>
      <c r="EM18" s="67"/>
      <c r="EN18" s="67"/>
      <c r="EO18" s="67"/>
      <c r="EP18" s="67"/>
      <c r="EQ18" s="67"/>
      <c r="ER18" s="67"/>
      <c r="ES18" s="67"/>
      <c r="ET18" s="67"/>
      <c r="EU18" s="67"/>
      <c r="EV18" s="67"/>
      <c r="EW18" s="68">
        <f>SUM(DL18:EV18)</f>
        <v>0</v>
      </c>
      <c r="EX18" s="66"/>
      <c r="EY18" s="67"/>
      <c r="EZ18" s="67"/>
      <c r="FA18" s="67"/>
      <c r="FB18" s="67"/>
      <c r="FC18" s="67"/>
      <c r="FD18" s="67"/>
      <c r="FE18" s="67"/>
      <c r="FF18" s="67"/>
      <c r="FG18" s="67"/>
      <c r="FH18" s="67"/>
      <c r="FI18" s="67"/>
      <c r="FJ18" s="67"/>
      <c r="FK18" s="67"/>
      <c r="FL18" s="67"/>
      <c r="FM18" s="67"/>
      <c r="FN18" s="67"/>
      <c r="FO18" s="67"/>
      <c r="FP18" s="67"/>
      <c r="FQ18" s="67"/>
      <c r="FR18" s="67"/>
      <c r="FS18" s="67"/>
      <c r="FT18" s="67"/>
      <c r="FU18" s="67"/>
      <c r="FV18" s="67"/>
      <c r="FW18" s="67"/>
      <c r="FX18" s="67"/>
      <c r="FY18" s="67"/>
      <c r="FZ18" s="67"/>
      <c r="GA18" s="67"/>
      <c r="GB18" s="67"/>
      <c r="GC18" s="67"/>
      <c r="GD18" s="67"/>
      <c r="GE18" s="67"/>
      <c r="GF18" s="67"/>
      <c r="GG18" s="67"/>
      <c r="GH18" s="67"/>
      <c r="GI18" s="68">
        <f>SUM(EX18:GH18)</f>
        <v>0</v>
      </c>
      <c r="GJ18" s="66"/>
      <c r="GK18" s="67"/>
      <c r="GL18" s="67"/>
      <c r="GM18" s="67"/>
      <c r="GN18" s="67"/>
      <c r="GO18" s="67"/>
      <c r="GP18" s="67"/>
      <c r="GQ18" s="67"/>
      <c r="GR18" s="67"/>
      <c r="GS18" s="67"/>
      <c r="GT18" s="67"/>
      <c r="GU18" s="67"/>
      <c r="GV18" s="67"/>
      <c r="GW18" s="67"/>
      <c r="GX18" s="67"/>
      <c r="GY18" s="67"/>
      <c r="GZ18" s="67"/>
      <c r="HA18" s="67"/>
      <c r="HB18" s="67"/>
      <c r="HC18" s="67"/>
      <c r="HD18" s="67"/>
      <c r="HE18" s="67"/>
      <c r="HF18" s="67"/>
      <c r="HG18" s="67"/>
      <c r="HH18" s="67"/>
      <c r="HI18" s="67"/>
      <c r="HJ18" s="67"/>
      <c r="HK18" s="67"/>
      <c r="HL18" s="67"/>
      <c r="HM18" s="67"/>
      <c r="HN18" s="67"/>
      <c r="HO18" s="67"/>
      <c r="HP18" s="67"/>
      <c r="HQ18" s="67"/>
      <c r="HR18" s="67"/>
      <c r="HS18" s="67"/>
      <c r="HT18" s="67"/>
      <c r="HU18" s="68">
        <f>SUM(GJ18:HT18)</f>
        <v>0</v>
      </c>
      <c r="HV18" s="28">
        <f>'[1]D-PRB'!$CB$12</f>
        <v>0</v>
      </c>
      <c r="HW18" s="14">
        <f>'[1]D-PRB'!$CB$13</f>
        <v>0</v>
      </c>
      <c r="HX18" s="14">
        <f>'[1]D-PRB'!$CB$14</f>
        <v>503143.6875</v>
      </c>
      <c r="HY18" s="14">
        <f>'[1]D-PRB'!$CB$15</f>
        <v>856490.6875</v>
      </c>
      <c r="HZ18" s="14">
        <f>'[1]D-PRB'!$CB$16</f>
        <v>1186528.625</v>
      </c>
      <c r="IA18" s="14">
        <f>'[1]D-PRB'!$CB$17</f>
        <v>1407868.25</v>
      </c>
      <c r="IB18" s="14">
        <f>'[1]D-PRB'!$CB$18</f>
        <v>1511605.25</v>
      </c>
      <c r="IC18" s="14">
        <f>'[1]D-PRB'!$CB$19</f>
        <v>1524605.625</v>
      </c>
      <c r="ID18" s="14">
        <f>'[1]D-PRB'!$CB$20</f>
        <v>1511570.5</v>
      </c>
      <c r="IE18" s="14">
        <f>'[1]D-PRB'!$CB$21</f>
        <v>1478088.5</v>
      </c>
      <c r="IF18" s="14">
        <f>'[1]D-PRB'!$CB$22</f>
        <v>1361103.75</v>
      </c>
      <c r="IG18" s="14">
        <f>'[1]D-PRB'!$CB$23</f>
        <v>1354208.75</v>
      </c>
      <c r="IH18" s="14">
        <f>'[1]D-PRB'!$CB$24</f>
        <v>1351086.375</v>
      </c>
      <c r="II18" s="14">
        <f>'[1]D-PRB'!$CB$25</f>
        <v>1347655.25</v>
      </c>
      <c r="IJ18" s="14">
        <f>'[1]D-PRB'!$CB$26</f>
        <v>1344775.375</v>
      </c>
      <c r="IK18" s="14">
        <f>'[1]D-PRB'!$CB$27</f>
        <v>1341938</v>
      </c>
      <c r="IL18" s="14">
        <f>'[1]D-PRB'!$CB$28</f>
        <v>1341701.75</v>
      </c>
      <c r="IM18" s="14">
        <f>'[1]D-PRB'!$CB$29</f>
        <v>1861845.125</v>
      </c>
      <c r="IN18" s="14">
        <f>'[1]D-PRB'!$CB$30</f>
        <v>3333926.5</v>
      </c>
      <c r="IO18" s="14">
        <f>'[1]D-PRB'!$CB$31</f>
        <v>3041364.25</v>
      </c>
      <c r="IP18" s="14">
        <f>'[1]D-PRB'!$CB$32</f>
        <v>0</v>
      </c>
      <c r="IQ18" s="14">
        <f>'[1]D-PRB'!$CB$33</f>
        <v>0</v>
      </c>
      <c r="IR18" s="14">
        <f>'[1]D-PRB'!$CB$34</f>
        <v>0</v>
      </c>
      <c r="IS18" s="14">
        <f>'[1]D-PRB'!$CB$35</f>
        <v>0</v>
      </c>
      <c r="IT18" s="14">
        <f>'[1]D-PRB'!$CB$36</f>
        <v>0</v>
      </c>
      <c r="IU18" s="14">
        <f>'[1]D-PRB'!$CB$37</f>
        <v>0</v>
      </c>
      <c r="IV18" s="14">
        <f>'[1]D-PRB'!$CB$38</f>
        <v>0</v>
      </c>
      <c r="IW18" s="14">
        <f>'[1]D-PRB'!$CB$39</f>
        <v>0</v>
      </c>
      <c r="IX18" s="14">
        <f>'[1]D-PRB'!$CB$40</f>
        <v>0</v>
      </c>
      <c r="IY18" s="14">
        <f>'[1]D-PRB'!$CB$41</f>
        <v>0</v>
      </c>
      <c r="IZ18" s="14">
        <f>'[1]D-PRB'!$CB$42</f>
        <v>0</v>
      </c>
      <c r="JA18" s="14">
        <f>'[1]D-PRB'!$CB$43</f>
        <v>0</v>
      </c>
      <c r="JB18" s="14">
        <f>'[1]D-PRB'!$CB$44</f>
        <v>0</v>
      </c>
      <c r="JC18" s="14">
        <f>'[1]D-PRB'!$CB$45</f>
        <v>0</v>
      </c>
      <c r="JD18" s="14">
        <f>'[1]D-PRB'!$CB$46</f>
        <v>0</v>
      </c>
      <c r="JE18" s="14">
        <f>'[1]D-PRB'!$CB$47</f>
        <v>0</v>
      </c>
      <c r="JF18" s="14">
        <f>'[1]D-PRB'!$CB$48</f>
        <v>0</v>
      </c>
      <c r="JG18" s="16">
        <f>SUM(HV18:JF18)</f>
        <v>27659506.25</v>
      </c>
      <c r="JH18" s="66"/>
      <c r="JI18" s="67"/>
      <c r="JJ18" s="67"/>
      <c r="JK18" s="67"/>
      <c r="JL18" s="67"/>
      <c r="JM18" s="67"/>
      <c r="JN18" s="67"/>
      <c r="JO18" s="67"/>
      <c r="JP18" s="67"/>
      <c r="JQ18" s="67"/>
      <c r="JR18" s="67"/>
      <c r="JS18" s="67"/>
      <c r="JT18" s="67"/>
      <c r="JU18" s="67"/>
      <c r="JV18" s="67"/>
      <c r="JW18" s="67"/>
      <c r="JX18" s="67"/>
      <c r="JY18" s="67"/>
      <c r="JZ18" s="67"/>
      <c r="KA18" s="67"/>
      <c r="KB18" s="67"/>
      <c r="KC18" s="67"/>
      <c r="KD18" s="67"/>
      <c r="KE18" s="67"/>
      <c r="KF18" s="67"/>
      <c r="KG18" s="67"/>
      <c r="KH18" s="67"/>
      <c r="KI18" s="67"/>
      <c r="KJ18" s="67"/>
      <c r="KK18" s="67"/>
      <c r="KL18" s="67"/>
      <c r="KM18" s="67"/>
      <c r="KN18" s="67"/>
      <c r="KO18" s="67"/>
      <c r="KP18" s="67"/>
      <c r="KQ18" s="67"/>
      <c r="KR18" s="67"/>
      <c r="KS18" s="68">
        <f>SUM(JH18:KR18)</f>
        <v>0</v>
      </c>
      <c r="KT18" s="66"/>
      <c r="KU18" s="67"/>
      <c r="KV18" s="67"/>
      <c r="KW18" s="67"/>
      <c r="KX18" s="67"/>
      <c r="KY18" s="67"/>
      <c r="KZ18" s="67"/>
      <c r="LA18" s="67"/>
      <c r="LB18" s="67"/>
      <c r="LC18" s="67"/>
      <c r="LD18" s="67"/>
      <c r="LE18" s="67"/>
      <c r="LF18" s="67"/>
      <c r="LG18" s="67"/>
      <c r="LH18" s="67"/>
      <c r="LI18" s="67"/>
      <c r="LJ18" s="67"/>
      <c r="LK18" s="67"/>
      <c r="LL18" s="67"/>
      <c r="LM18" s="67"/>
      <c r="LN18" s="67"/>
      <c r="LO18" s="67"/>
      <c r="LP18" s="67"/>
      <c r="LQ18" s="67"/>
      <c r="LR18" s="67"/>
      <c r="LS18" s="67"/>
      <c r="LT18" s="67"/>
      <c r="LU18" s="67"/>
      <c r="LV18" s="67"/>
      <c r="LW18" s="67"/>
      <c r="LX18" s="67"/>
      <c r="LY18" s="67"/>
      <c r="LZ18" s="67"/>
      <c r="MA18" s="67"/>
      <c r="MB18" s="67"/>
      <c r="MC18" s="67"/>
      <c r="MD18" s="67"/>
      <c r="ME18" s="68">
        <f>SUM(KT18:MD18)</f>
        <v>0</v>
      </c>
      <c r="MF18" s="66"/>
      <c r="MG18" s="67"/>
      <c r="MH18" s="67"/>
      <c r="MI18" s="67"/>
      <c r="MJ18" s="67"/>
      <c r="MK18" s="67"/>
      <c r="ML18" s="67"/>
      <c r="MM18" s="67"/>
      <c r="MN18" s="67"/>
      <c r="MO18" s="67"/>
      <c r="MP18" s="67"/>
      <c r="MQ18" s="67"/>
      <c r="MR18" s="67"/>
      <c r="MS18" s="67"/>
      <c r="MT18" s="67"/>
      <c r="MU18" s="67"/>
      <c r="MV18" s="67"/>
      <c r="MW18" s="67"/>
      <c r="MX18" s="67"/>
      <c r="MY18" s="67"/>
      <c r="MZ18" s="67"/>
      <c r="NA18" s="67"/>
      <c r="NB18" s="67"/>
      <c r="NC18" s="67"/>
      <c r="ND18" s="67"/>
      <c r="NE18" s="67"/>
      <c r="NF18" s="67"/>
      <c r="NG18" s="67"/>
      <c r="NH18" s="67"/>
      <c r="NI18" s="67"/>
      <c r="NJ18" s="67"/>
      <c r="NK18" s="67"/>
      <c r="NL18" s="67"/>
      <c r="NM18" s="67"/>
      <c r="NN18" s="67"/>
      <c r="NO18" s="67"/>
      <c r="NP18" s="67"/>
      <c r="NQ18" s="68">
        <f>SUM(MF18:NP18)</f>
        <v>0</v>
      </c>
      <c r="NR18" s="14">
        <f>'[1]D-PS'!$CB$12</f>
        <v>0</v>
      </c>
      <c r="NS18" s="14">
        <f>'[1]D-PS'!$CB$13</f>
        <v>0</v>
      </c>
      <c r="NT18" s="14">
        <f>'[1]D-PS'!$CB$14</f>
        <v>285905.25</v>
      </c>
      <c r="NU18" s="14">
        <f>'[1]D-PS'!$CB$15</f>
        <v>602212.0625</v>
      </c>
      <c r="NV18" s="14">
        <f>'[1]D-PS'!$CB$16</f>
        <v>862408.5625</v>
      </c>
      <c r="NW18" s="14">
        <f>'[1]D-PS'!$CB$17</f>
        <v>1103026.25</v>
      </c>
      <c r="NX18" s="14">
        <f>'[1]D-PS'!$CB$18</f>
        <v>1172557.875</v>
      </c>
      <c r="NY18" s="14">
        <f>'[1]D-PS'!$CB$19</f>
        <v>1177245.875</v>
      </c>
      <c r="NZ18" s="14">
        <f>'[1]D-PS'!$CB$20</f>
        <v>1172610.625</v>
      </c>
      <c r="OA18" s="14">
        <f>'[1]D-PS'!$CB$21</f>
        <v>1170172.625</v>
      </c>
      <c r="OB18" s="14">
        <f>'[1]D-PS'!$CB$22</f>
        <v>1180537.375</v>
      </c>
      <c r="OC18" s="14">
        <f>'[1]D-PS'!$CB$23</f>
        <v>1172533.75</v>
      </c>
      <c r="OD18" s="14">
        <f>'[1]D-PS'!$CB$24</f>
        <v>1164668.5</v>
      </c>
      <c r="OE18" s="14">
        <f>'[1]D-PS'!$CB$25</f>
        <v>1158153.625</v>
      </c>
      <c r="OF18" s="14">
        <f>'[1]D-PS'!$CB$26</f>
        <v>1150639.375</v>
      </c>
      <c r="OG18" s="14">
        <f>'[1]D-PS'!$CB$27</f>
        <v>1125878.75</v>
      </c>
      <c r="OH18" s="14">
        <f>'[1]D-PS'!$CB$28</f>
        <v>1087175.875</v>
      </c>
      <c r="OI18" s="14">
        <f>'[1]D-PS'!$CB$29</f>
        <v>1087932.875</v>
      </c>
      <c r="OJ18" s="14">
        <f>'[1]D-PS'!$CB$30</f>
        <v>1084864.75</v>
      </c>
      <c r="OK18" s="14">
        <f>'[1]D-PS'!$CB$31</f>
        <v>1268136.25</v>
      </c>
      <c r="OL18" s="14">
        <f>'[1]D-PS'!$CB$32</f>
        <v>4183854</v>
      </c>
      <c r="OM18" s="14">
        <f>'[1]D-PS'!$CB$33</f>
        <v>5672670.5</v>
      </c>
      <c r="ON18" s="14">
        <f>'[1]D-PS'!$CB$34</f>
        <v>6344060</v>
      </c>
      <c r="OO18" s="14">
        <f>'[1]D-PS'!$CB$35</f>
        <v>6213056</v>
      </c>
      <c r="OP18" s="14">
        <f>'[1]D-PS'!$CB$36</f>
        <v>2055844.25</v>
      </c>
      <c r="OQ18" s="14">
        <f>'[1]D-PS'!$CB$37</f>
        <v>0</v>
      </c>
      <c r="OR18" s="14">
        <f>'[1]D-PS'!$CB$38</f>
        <v>0</v>
      </c>
      <c r="OS18" s="14">
        <f>'[1]D-PS'!$CB$39</f>
        <v>0</v>
      </c>
      <c r="OT18" s="14">
        <f>'[1]D-PS'!$CB$40</f>
        <v>0</v>
      </c>
      <c r="OU18" s="14">
        <f>'[1]D-PS'!$CB$41</f>
        <v>0</v>
      </c>
      <c r="OV18" s="14">
        <f>'[1]D-PS'!$CB$42</f>
        <v>0</v>
      </c>
      <c r="OW18" s="14">
        <f>'[1]D-PS'!$CB$43</f>
        <v>0</v>
      </c>
      <c r="OX18" s="14">
        <f>'[1]D-PS'!$CB$44</f>
        <v>0</v>
      </c>
      <c r="OY18" s="14">
        <f>'[1]D-PS'!$CB$45</f>
        <v>0</v>
      </c>
      <c r="OZ18" s="14">
        <f>'[1]D-PS'!$CB$46</f>
        <v>0</v>
      </c>
      <c r="PA18" s="14">
        <f>'[1]D-PS'!$CB$47</f>
        <v>0</v>
      </c>
      <c r="PB18" s="14">
        <f>'[1]D-PS'!$CB$48</f>
        <v>0</v>
      </c>
      <c r="PC18" s="16">
        <f>SUM(NR18:PB18)</f>
        <v>43496145</v>
      </c>
      <c r="PH18" s="16">
        <f>PF18+JG18+PC18</f>
        <v>71155651.25</v>
      </c>
    </row>
    <row r="19" spans="1:424" outlineLevel="1" x14ac:dyDescent="0.35">
      <c r="A19" s="46" t="s">
        <v>43</v>
      </c>
      <c r="B19" s="25">
        <f>'[2]CF PDP'!$BY$36</f>
        <v>5273457</v>
      </c>
      <c r="C19" s="25">
        <f>'[2]CF PDP'!$BY$37</f>
        <v>4994831</v>
      </c>
      <c r="D19" s="25">
        <f>'[2]CF PDP'!$BY$38</f>
        <v>4436495</v>
      </c>
      <c r="E19" s="25">
        <f>'[2]CF PDP'!$BY$39</f>
        <v>4283176</v>
      </c>
      <c r="F19" s="25">
        <f>'[2]CF PDP'!$BY$40</f>
        <v>4208516</v>
      </c>
      <c r="G19" s="25">
        <f>'[2]CF PDP'!$BY$41</f>
        <v>4167227</v>
      </c>
      <c r="H19" s="25">
        <f>'[2]CF PDP'!$BY$42</f>
        <v>4016464</v>
      </c>
      <c r="I19" s="25">
        <f>'[2]CF PDP'!$BY$43</f>
        <v>3885505</v>
      </c>
      <c r="J19" s="25">
        <f>'[2]CF PDP'!$BY$44</f>
        <v>3840271</v>
      </c>
      <c r="K19" s="25">
        <f>'[2]CF PDP'!$BY$45</f>
        <v>3760480</v>
      </c>
      <c r="L19" s="25">
        <f>'[2]CF PDP'!$BY$46</f>
        <v>3594152</v>
      </c>
      <c r="M19" s="25">
        <f>'[2]CF PDP'!$BY$47</f>
        <v>3302769</v>
      </c>
      <c r="N19" s="25">
        <f>'[2]CF PDP'!$BY$48</f>
        <v>3083117</v>
      </c>
      <c r="O19" s="25">
        <f>'[2]CF PDP'!$BY$49</f>
        <v>2959938</v>
      </c>
      <c r="P19" s="25">
        <f>'[2]CF PDP'!$BY$50</f>
        <v>2858013</v>
      </c>
      <c r="Q19" s="25">
        <f>'[2]CF PDP'!$BY$51</f>
        <v>2722671</v>
      </c>
      <c r="R19" s="25">
        <f>'[2]CF PDP'!$BY$52</f>
        <v>2704914</v>
      </c>
      <c r="S19" s="25">
        <f>'[2]CF PDP'!$BY$53</f>
        <v>2579185</v>
      </c>
      <c r="T19" s="25">
        <f>'[2]CF PDP'!$BY$54</f>
        <v>2436015</v>
      </c>
      <c r="U19" s="25">
        <f>'[2]CF PDP'!$BY$55</f>
        <v>2330360</v>
      </c>
      <c r="V19" s="25">
        <f>'[2]CF PDP'!$BY$56</f>
        <v>2296916</v>
      </c>
      <c r="W19" s="25">
        <f>'[2]CF PDP'!$BY$57</f>
        <v>0</v>
      </c>
      <c r="X19" s="25">
        <f>'[2]CF PDP'!$BY$58</f>
        <v>0</v>
      </c>
      <c r="Y19" s="25">
        <f>'[2]CF PDP'!$BY$59</f>
        <v>0</v>
      </c>
      <c r="Z19" s="25">
        <f>'[2]CF PDP'!$BY$60</f>
        <v>0</v>
      </c>
      <c r="AA19" s="25">
        <f>'[2]CF PDP'!$BY$61</f>
        <v>0</v>
      </c>
      <c r="AB19" s="25">
        <f>'[2]CF PDP'!$BY$62</f>
        <v>0</v>
      </c>
      <c r="AC19" s="25">
        <f>'[2]CF PDP'!$BY$63</f>
        <v>0</v>
      </c>
      <c r="AD19" s="25">
        <f>'[2]CF PDP'!$BY$64</f>
        <v>0</v>
      </c>
      <c r="AE19" s="25">
        <f>'[2]CF PDP'!$BY$65</f>
        <v>0</v>
      </c>
      <c r="AF19" s="25">
        <f>'[2]CF PDP'!$BY$66</f>
        <v>0</v>
      </c>
      <c r="AG19" s="25">
        <f>'[2]CF PDP'!$BY$67</f>
        <v>0</v>
      </c>
      <c r="AH19" s="25">
        <f>'[2]CF PDP'!$BY$68</f>
        <v>0</v>
      </c>
      <c r="AI19" s="25">
        <f>'[2]CF PDP'!$BY$69</f>
        <v>0</v>
      </c>
      <c r="AJ19" s="25">
        <f>'[2]CF PDP'!$BY$70</f>
        <v>0</v>
      </c>
      <c r="AK19" s="25">
        <f>'[2]CF PDP'!$BY$71</f>
        <v>0</v>
      </c>
      <c r="AL19" s="25">
        <f>'[2]CF PDP'!$BY$72</f>
        <v>0</v>
      </c>
      <c r="AM19" s="26">
        <f>SUM(B19:AL19)</f>
        <v>73734472</v>
      </c>
      <c r="AN19" s="27">
        <f>'[2]CF PNP'!$BY$36</f>
        <v>519732</v>
      </c>
      <c r="AO19" s="25">
        <f>'[2]CF PNP'!$BY$37</f>
        <v>522411</v>
      </c>
      <c r="AP19" s="25">
        <f>'[2]CF PNP'!$BY$38</f>
        <v>472807</v>
      </c>
      <c r="AQ19" s="25">
        <f>'[2]CF PNP'!$BY$39</f>
        <v>461224</v>
      </c>
      <c r="AR19" s="25">
        <f>'[2]CF PNP'!$BY$40</f>
        <v>459210</v>
      </c>
      <c r="AS19" s="25">
        <f>'[2]CF PNP'!$BY$41</f>
        <v>382429</v>
      </c>
      <c r="AT19" s="25">
        <f>'[2]CF PNP'!$BY$42</f>
        <v>360702</v>
      </c>
      <c r="AU19" s="25">
        <f>'[2]CF PNP'!$BY$43</f>
        <v>359501</v>
      </c>
      <c r="AV19" s="25">
        <f>'[2]CF PNP'!$BY$44</f>
        <v>358458</v>
      </c>
      <c r="AW19" s="25">
        <f>'[2]CF PNP'!$BY$45</f>
        <v>357881</v>
      </c>
      <c r="AX19" s="25">
        <f>'[2]CF PNP'!$BY$46</f>
        <v>356749</v>
      </c>
      <c r="AY19" s="25">
        <f>'[2]CF PNP'!$BY$47</f>
        <v>356050</v>
      </c>
      <c r="AZ19" s="25">
        <f>'[2]CF PNP'!$BY$48</f>
        <v>355435</v>
      </c>
      <c r="BA19" s="25">
        <f>'[2]CF PNP'!$BY$49</f>
        <v>355217</v>
      </c>
      <c r="BB19" s="25">
        <f>'[2]CF PNP'!$BY$50</f>
        <v>354408</v>
      </c>
      <c r="BC19" s="25">
        <f>'[2]CF PNP'!$BY$51</f>
        <v>353980</v>
      </c>
      <c r="BD19" s="25">
        <f>'[2]CF PNP'!$BY$52</f>
        <v>353599</v>
      </c>
      <c r="BE19" s="25">
        <f>'[2]CF PNP'!$BY$53</f>
        <v>353580</v>
      </c>
      <c r="BF19" s="25">
        <f>'[2]CF PNP'!$BY$54</f>
        <v>352953</v>
      </c>
      <c r="BG19" s="25">
        <f>'[2]CF PNP'!$BY$55</f>
        <v>312341</v>
      </c>
      <c r="BH19" s="25">
        <f>'[2]CF PNP'!$BY$56</f>
        <v>283799</v>
      </c>
      <c r="BI19" s="25">
        <f>'[2]CF PNP'!$BY$57</f>
        <v>0</v>
      </c>
      <c r="BJ19" s="25">
        <f>'[2]CF PNP'!$BY$58</f>
        <v>0</v>
      </c>
      <c r="BK19" s="25">
        <f>'[2]CF PNP'!$BY$59</f>
        <v>0</v>
      </c>
      <c r="BL19" s="25">
        <f>'[2]CF PNP'!$BY$60</f>
        <v>0</v>
      </c>
      <c r="BM19" s="25">
        <f>'[2]CF PNP'!$BY$61</f>
        <v>0</v>
      </c>
      <c r="BN19" s="25">
        <f>'[2]CF PNP'!$BY$62</f>
        <v>0</v>
      </c>
      <c r="BO19" s="25">
        <f>'[2]CF PNP'!$BY$63</f>
        <v>0</v>
      </c>
      <c r="BP19" s="25">
        <f>'[2]CF PNP'!$BY$64</f>
        <v>0</v>
      </c>
      <c r="BQ19" s="25">
        <f>'[2]CF PNP'!$BY$65</f>
        <v>0</v>
      </c>
      <c r="BR19" s="25">
        <f>'[2]CF PNP'!$BY$66</f>
        <v>0</v>
      </c>
      <c r="BS19" s="25">
        <f>'[2]CF PNP'!$BY$67</f>
        <v>0</v>
      </c>
      <c r="BT19" s="25">
        <f>'[2]CF PNP'!$BY$68</f>
        <v>0</v>
      </c>
      <c r="BU19" s="25">
        <f>'[2]CF PNP'!$BY$69</f>
        <v>0</v>
      </c>
      <c r="BV19" s="25">
        <f>'[2]CF PNP'!$BY$70</f>
        <v>0</v>
      </c>
      <c r="BW19" s="25">
        <f>'[2]CF PNP'!$BY$71</f>
        <v>0</v>
      </c>
      <c r="BX19" s="25">
        <f>'[2]CF PNP'!$BY$72</f>
        <v>0</v>
      </c>
      <c r="BY19" s="26">
        <f>SUM(AN19:BX19)</f>
        <v>8042466</v>
      </c>
      <c r="BZ19" s="27">
        <f>'[2]CF PND'!$BY$36</f>
        <v>0</v>
      </c>
      <c r="CA19" s="25">
        <f>'[2]CF PND'!$BY$37</f>
        <v>5001</v>
      </c>
      <c r="CB19" s="25">
        <f>'[2]CF PND'!$BY$38</f>
        <v>1357830</v>
      </c>
      <c r="CC19" s="25">
        <f>'[2]CF PND'!$BY$39</f>
        <v>2450727</v>
      </c>
      <c r="CD19" s="25">
        <f>'[2]CF PND'!$BY$40</f>
        <v>2864289</v>
      </c>
      <c r="CE19" s="25">
        <f>'[2]CF PND'!$BY$41</f>
        <v>3176865</v>
      </c>
      <c r="CF19" s="25">
        <f>'[2]CF PND'!$BY$42</f>
        <v>2824660</v>
      </c>
      <c r="CG19" s="25">
        <f>'[2]CF PND'!$BY$43</f>
        <v>2524409</v>
      </c>
      <c r="CH19" s="25">
        <f>'[2]CF PND'!$BY$44</f>
        <v>2473652</v>
      </c>
      <c r="CI19" s="25">
        <f>'[2]CF PND'!$BY$45</f>
        <v>2419252</v>
      </c>
      <c r="CJ19" s="25">
        <f>'[2]CF PND'!$BY$46</f>
        <v>2402866</v>
      </c>
      <c r="CK19" s="25">
        <f>'[2]CF PND'!$BY$47</f>
        <v>2388877</v>
      </c>
      <c r="CL19" s="25">
        <f>'[2]CF PND'!$BY$48</f>
        <v>2377425</v>
      </c>
      <c r="CM19" s="25">
        <f>'[2]CF PND'!$BY$49</f>
        <v>2331781</v>
      </c>
      <c r="CN19" s="25">
        <f>'[2]CF PND'!$BY$50</f>
        <v>2326189</v>
      </c>
      <c r="CO19" s="25">
        <f>'[2]CF PND'!$BY$51</f>
        <v>2283590</v>
      </c>
      <c r="CP19" s="25">
        <f>'[2]CF PND'!$BY$52</f>
        <v>2275079</v>
      </c>
      <c r="CQ19" s="25">
        <f>'[2]CF PND'!$BY$53</f>
        <v>2076794</v>
      </c>
      <c r="CR19" s="25">
        <f>'[2]CF PND'!$BY$54</f>
        <v>0</v>
      </c>
      <c r="CS19" s="25">
        <f>'[2]CF PND'!$BY$55</f>
        <v>0</v>
      </c>
      <c r="CT19" s="25">
        <f>'[2]CF PND'!$BY$56</f>
        <v>0</v>
      </c>
      <c r="CU19" s="25">
        <f>'[2]CF PND'!$BY$57</f>
        <v>0</v>
      </c>
      <c r="CV19" s="25">
        <f>'[2]CF PND'!$BY$58</f>
        <v>0</v>
      </c>
      <c r="CW19" s="25">
        <f>'[2]CF PND'!$BY$59</f>
        <v>0</v>
      </c>
      <c r="CX19" s="25">
        <f>'[2]CF PND'!$BY$60</f>
        <v>0</v>
      </c>
      <c r="CY19" s="25">
        <f>'[2]CF PND'!$BY$61</f>
        <v>0</v>
      </c>
      <c r="CZ19" s="25">
        <f>'[2]CF PND'!$BY$62</f>
        <v>0</v>
      </c>
      <c r="DA19" s="25">
        <f>'[2]CF PND'!$BY$63</f>
        <v>0</v>
      </c>
      <c r="DB19" s="25">
        <f>'[2]CF PND'!$BY$64</f>
        <v>0</v>
      </c>
      <c r="DC19" s="25">
        <f>'[2]CF PND'!$BY$65</f>
        <v>0</v>
      </c>
      <c r="DD19" s="25">
        <f>'[2]CF PND'!$BY$66</f>
        <v>0</v>
      </c>
      <c r="DE19" s="25">
        <f>'[2]CF PND'!$BY$67</f>
        <v>0</v>
      </c>
      <c r="DF19" s="25">
        <f>'[2]CF PND'!$BY$68</f>
        <v>0</v>
      </c>
      <c r="DG19" s="25">
        <f>'[2]CF PND'!$BY$69</f>
        <v>0</v>
      </c>
      <c r="DH19" s="25">
        <f>'[2]CF PND'!$BY$70</f>
        <v>0</v>
      </c>
      <c r="DI19" s="25">
        <f>'[2]CF PND'!$BY$71</f>
        <v>0</v>
      </c>
      <c r="DJ19" s="25">
        <f>'[2]CF PND'!$BY$72</f>
        <v>0</v>
      </c>
      <c r="DK19" s="26">
        <f>SUM(BZ19:DJ19)</f>
        <v>38559286</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'[2]CF PRB'!$BY$36</f>
        <v>0</v>
      </c>
      <c r="HW19" s="25">
        <f>'[2]CF PRB'!$BY$37</f>
        <v>20141</v>
      </c>
      <c r="HX19" s="25">
        <f>'[2]CF PRB'!$BY$38</f>
        <v>503050</v>
      </c>
      <c r="HY19" s="25">
        <f>'[2]CF PRB'!$BY$39</f>
        <v>856266</v>
      </c>
      <c r="HZ19" s="25">
        <f>'[2]CF PRB'!$BY$40</f>
        <v>1186528</v>
      </c>
      <c r="IA19" s="25">
        <f>'[2]CF PRB'!$BY$41</f>
        <v>1407868</v>
      </c>
      <c r="IB19" s="25">
        <f>'[2]CF PRB'!$BY$42</f>
        <v>1511605</v>
      </c>
      <c r="IC19" s="25">
        <f>'[2]CF PRB'!$BY$43</f>
        <v>1524605</v>
      </c>
      <c r="ID19" s="25">
        <f>'[2]CF PRB'!$BY$44</f>
        <v>1511570</v>
      </c>
      <c r="IE19" s="25">
        <f>'[2]CF PRB'!$BY$45</f>
        <v>1478217</v>
      </c>
      <c r="IF19" s="25">
        <f>'[2]CF PRB'!$BY$46</f>
        <v>1361103</v>
      </c>
      <c r="IG19" s="25">
        <f>'[2]CF PRB'!$BY$47</f>
        <v>1354208</v>
      </c>
      <c r="IH19" s="25">
        <f>'[2]CF PRB'!$BY$48</f>
        <v>1351086</v>
      </c>
      <c r="II19" s="25">
        <f>'[2]CF PRB'!$BY$49</f>
        <v>1347655</v>
      </c>
      <c r="IJ19" s="25">
        <f>'[2]CF PRB'!$BY$50</f>
        <v>1344775</v>
      </c>
      <c r="IK19" s="25">
        <f>'[2]CF PRB'!$BY$51</f>
        <v>1341938</v>
      </c>
      <c r="IL19" s="25">
        <f>'[2]CF PRB'!$BY$52</f>
        <v>1341701</v>
      </c>
      <c r="IM19" s="25">
        <f>'[2]CF PRB'!$BY$53</f>
        <v>1358323</v>
      </c>
      <c r="IN19" s="25">
        <f>'[2]CF PRB'!$BY$54</f>
        <v>3334087</v>
      </c>
      <c r="IO19" s="25">
        <f>'[2]CF PRB'!$BY$55</f>
        <v>3310536</v>
      </c>
      <c r="IP19" s="25">
        <f>'[2]CF PRB'!$BY$56</f>
        <v>0</v>
      </c>
      <c r="IQ19" s="25">
        <f>'[2]CF PRB'!$BY$57</f>
        <v>0</v>
      </c>
      <c r="IR19" s="25">
        <f>'[2]CF PRB'!$BY$58</f>
        <v>0</v>
      </c>
      <c r="IS19" s="25">
        <f>'[2]CF PRB'!$BY$59</f>
        <v>0</v>
      </c>
      <c r="IT19" s="25">
        <f>'[2]CF PRB'!$BY$60</f>
        <v>0</v>
      </c>
      <c r="IU19" s="25">
        <f>'[2]CF PRB'!$BY$61</f>
        <v>0</v>
      </c>
      <c r="IV19" s="25">
        <f>'[2]CF PRB'!$BY$62</f>
        <v>0</v>
      </c>
      <c r="IW19" s="25">
        <f>'[2]CF PRB'!$BY$63</f>
        <v>0</v>
      </c>
      <c r="IX19" s="25">
        <f>'[2]CF PRB'!$BY$64</f>
        <v>0</v>
      </c>
      <c r="IY19" s="25">
        <f>'[2]CF PRB'!$BY$65</f>
        <v>0</v>
      </c>
      <c r="IZ19" s="25">
        <f>'[2]CF PRB'!$BY$66</f>
        <v>0</v>
      </c>
      <c r="JA19" s="25">
        <f>'[2]CF PRB'!$BY$67</f>
        <v>0</v>
      </c>
      <c r="JB19" s="25">
        <f>'[2]CF PRB'!$BY$68</f>
        <v>0</v>
      </c>
      <c r="JC19" s="25">
        <f>'[2]CF PRB'!$BY$69</f>
        <v>0</v>
      </c>
      <c r="JD19" s="25">
        <f>'[2]CF PRB'!$BY$70</f>
        <v>0</v>
      </c>
      <c r="JE19" s="25">
        <f>'[2]CF PRB'!$BY$71</f>
        <v>0</v>
      </c>
      <c r="JF19" s="25">
        <f>'[2]CF PRB'!$BY$72</f>
        <v>0</v>
      </c>
      <c r="JG19" s="26">
        <f>SUM(HV19:JF19)</f>
        <v>27445262</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'[2]CF PS'!$BY$36</f>
        <v>0</v>
      </c>
      <c r="NS19" s="25">
        <f>'[2]CF PS'!$BY$37</f>
        <v>1792</v>
      </c>
      <c r="NT19" s="25">
        <f>'[2]CF PS'!$BY$38</f>
        <v>285593</v>
      </c>
      <c r="NU19" s="25">
        <f>'[2]CF PS'!$BY$39</f>
        <v>602050</v>
      </c>
      <c r="NV19" s="25">
        <f>'[2]CF PS'!$BY$40</f>
        <v>862408</v>
      </c>
      <c r="NW19" s="25">
        <f>'[2]CF PS'!$BY$41</f>
        <v>1103026</v>
      </c>
      <c r="NX19" s="25">
        <f>'[2]CF PS'!$BY$42</f>
        <v>1172557</v>
      </c>
      <c r="NY19" s="25">
        <f>'[2]CF PS'!$BY$43</f>
        <v>1177245</v>
      </c>
      <c r="NZ19" s="25">
        <f>'[2]CF PS'!$BY$44</f>
        <v>1172610</v>
      </c>
      <c r="OA19" s="25">
        <f>'[2]CF PS'!$BY$45</f>
        <v>1170172</v>
      </c>
      <c r="OB19" s="25">
        <f>'[2]CF PS'!$BY$46</f>
        <v>1180537</v>
      </c>
      <c r="OC19" s="25">
        <f>'[2]CF PS'!$BY$47</f>
        <v>1172533</v>
      </c>
      <c r="OD19" s="25">
        <f>'[2]CF PS'!$BY$48</f>
        <v>1164668</v>
      </c>
      <c r="OE19" s="25">
        <f>'[2]CF PS'!$BY$49</f>
        <v>1158153</v>
      </c>
      <c r="OF19" s="25">
        <f>'[2]CF PS'!$BY$50</f>
        <v>1150639</v>
      </c>
      <c r="OG19" s="25">
        <f>'[2]CF PS'!$BY$51</f>
        <v>1125878</v>
      </c>
      <c r="OH19" s="25">
        <f>'[2]CF PS'!$BY$52</f>
        <v>1087175</v>
      </c>
      <c r="OI19" s="25">
        <f>'[2]CF PS'!$BY$53</f>
        <v>1087932</v>
      </c>
      <c r="OJ19" s="25">
        <f>'[2]CF PS'!$BY$54</f>
        <v>1084864</v>
      </c>
      <c r="OK19" s="25">
        <f>'[2]CF PS'!$BY$55</f>
        <v>999276</v>
      </c>
      <c r="OL19" s="25">
        <f>'[2]CF PS'!$BY$56</f>
        <v>4183950</v>
      </c>
      <c r="OM19" s="25">
        <f>'[2]CF PS'!$BY$57</f>
        <v>6505950</v>
      </c>
      <c r="ON19" s="25">
        <f>'[2]CF PS'!$BY$58</f>
        <v>6344199</v>
      </c>
      <c r="OO19" s="25">
        <f>'[2]CF PS'!$BY$59</f>
        <v>6212744</v>
      </c>
      <c r="OP19" s="25">
        <f>'[2]CF PS'!$BY$60</f>
        <v>0</v>
      </c>
      <c r="OQ19" s="25">
        <f>'[2]CF PS'!$BY$61</f>
        <v>0</v>
      </c>
      <c r="OR19" s="25">
        <f>'[2]CF PS'!$BY$62</f>
        <v>0</v>
      </c>
      <c r="OS19" s="25">
        <f>'[2]CF PS'!$BY$63</f>
        <v>0</v>
      </c>
      <c r="OT19" s="25">
        <f>'[2]CF PS'!$BY$64</f>
        <v>0</v>
      </c>
      <c r="OU19" s="25">
        <f>'[2]CF PS'!$BY$65</f>
        <v>0</v>
      </c>
      <c r="OV19" s="25">
        <f>'[2]CF PS'!$BY$66</f>
        <v>0</v>
      </c>
      <c r="OW19" s="25">
        <f>'[2]CF PS'!$BY$67</f>
        <v>0</v>
      </c>
      <c r="OX19" s="25">
        <f>'[2]CF PS'!$BY$68</f>
        <v>0</v>
      </c>
      <c r="OY19" s="25">
        <f>'[2]CF PS'!$BY$69</f>
        <v>0</v>
      </c>
      <c r="OZ19" s="25">
        <f>'[2]CF PS'!$BY$70</f>
        <v>0</v>
      </c>
      <c r="PA19" s="25">
        <f>'[2]CF PS'!$BY$71</f>
        <v>0</v>
      </c>
      <c r="PB19" s="25">
        <f>'[2]CF PS'!$BY$72</f>
        <v>0</v>
      </c>
      <c r="PC19" s="26">
        <f>SUM(NR19:PB19)</f>
        <v>42005951</v>
      </c>
      <c r="PH19" s="16">
        <f>PF19+JG19+PC19</f>
        <v>69451213</v>
      </c>
    </row>
    <row r="20" spans="1:424" ht="15.6" thickBot="1" x14ac:dyDescent="0.4">
      <c r="A20" s="47" t="s">
        <v>44</v>
      </c>
      <c r="B20" s="40">
        <f>IF(AND(B18&lt;&gt;0,B19&lt;&gt;0),(B18-B19)/B19,IF(AND(B18=0,B19=0),"",IF(AND(B18="",B19=""),"",IF(AND(B18=0,B19=""),"", IF(AND(B18="",B19=0),"",1)))))</f>
        <v>9.4814464211996035E-8</v>
      </c>
      <c r="C20" s="40">
        <f t="shared" ref="C20:CP20" si="644">IF(AND(C18&lt;&gt;0,C19&lt;&gt;0),(C18-C19)/C19,IF(AND(C18=0,C19=0),"",IF(AND(C18="",C19=""),"",IF(AND(C18=0,C19=""),"", IF(AND(C18="",C19=0),"",1)))))</f>
        <v>-1.1581973444146558E-4</v>
      </c>
      <c r="D20" s="40">
        <f t="shared" si="644"/>
        <v>-1.8415438313353221E-4</v>
      </c>
      <c r="E20" s="40">
        <f t="shared" si="644"/>
        <v>-4.4943285076307863E-5</v>
      </c>
      <c r="F20" s="40">
        <f t="shared" si="644"/>
        <v>-3.302826934719982E-5</v>
      </c>
      <c r="G20" s="40">
        <f t="shared" si="644"/>
        <v>-1.5237950800376365E-5</v>
      </c>
      <c r="H20" s="40">
        <f t="shared" si="644"/>
        <v>-5.8758151448637406E-5</v>
      </c>
      <c r="I20" s="40">
        <f t="shared" si="644"/>
        <v>-1.1066772530211646E-5</v>
      </c>
      <c r="J20" s="40">
        <f t="shared" si="644"/>
        <v>-1.9399672575190659E-5</v>
      </c>
      <c r="K20" s="40">
        <f t="shared" si="644"/>
        <v>-3.4237650512700507E-5</v>
      </c>
      <c r="L20" s="40">
        <f t="shared" si="644"/>
        <v>-7.7626099285728597E-5</v>
      </c>
      <c r="M20" s="40">
        <f t="shared" si="644"/>
        <v>-1.0725848522860667E-4</v>
      </c>
      <c r="N20" s="40">
        <f t="shared" si="644"/>
        <v>-1.1489995352106327E-4</v>
      </c>
      <c r="O20" s="40">
        <f t="shared" si="644"/>
        <v>8.4461228579787816E-8</v>
      </c>
      <c r="P20" s="40">
        <f t="shared" si="644"/>
        <v>-1.8413142277519382E-4</v>
      </c>
      <c r="Q20" s="40">
        <f t="shared" si="644"/>
        <v>2.7546479174310817E-7</v>
      </c>
      <c r="R20" s="40">
        <f t="shared" si="644"/>
        <v>-1.5712144637500491E-5</v>
      </c>
      <c r="S20" s="40">
        <f t="shared" si="644"/>
        <v>-4.9531150344004015E-5</v>
      </c>
      <c r="T20" s="40">
        <f t="shared" si="644"/>
        <v>6.2089108646703729E-5</v>
      </c>
      <c r="U20" s="40">
        <f t="shared" si="644"/>
        <v>-2.735628829880362E-5</v>
      </c>
      <c r="V20" s="40">
        <f t="shared" si="644"/>
        <v>0</v>
      </c>
      <c r="W20" s="40">
        <f t="shared" si="644"/>
        <v>1</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9.9730515124594639E-3</v>
      </c>
      <c r="AN20" s="39">
        <f t="shared" si="644"/>
        <v>9.0190713675509689E-7</v>
      </c>
      <c r="AO20" s="40">
        <f t="shared" si="644"/>
        <v>0</v>
      </c>
      <c r="AP20" s="40">
        <f t="shared" si="644"/>
        <v>-4.9894830237284978E-4</v>
      </c>
      <c r="AQ20" s="40">
        <f t="shared" si="644"/>
        <v>1.35508993460878E-6</v>
      </c>
      <c r="AR20" s="40">
        <f t="shared" si="644"/>
        <v>4.0830992356438231E-7</v>
      </c>
      <c r="AS20" s="40">
        <f t="shared" si="644"/>
        <v>-1.6669760922942558E-4</v>
      </c>
      <c r="AT20" s="40">
        <f t="shared" si="644"/>
        <v>1.2129125982112657E-6</v>
      </c>
      <c r="AU20" s="40">
        <f t="shared" si="644"/>
        <v>2.1731511177993944E-6</v>
      </c>
      <c r="AV20" s="40">
        <f t="shared" si="644"/>
        <v>9.5896869368238402E-7</v>
      </c>
      <c r="AW20" s="40">
        <f t="shared" si="644"/>
        <v>1.6590710319910808E-6</v>
      </c>
      <c r="AX20" s="40">
        <f t="shared" si="644"/>
        <v>2.5403014444329204E-6</v>
      </c>
      <c r="AY20" s="40">
        <f t="shared" si="644"/>
        <v>2.6330571548939756E-6</v>
      </c>
      <c r="AZ20" s="40">
        <f t="shared" si="644"/>
        <v>7.9128391970402462E-7</v>
      </c>
      <c r="BA20" s="40">
        <f t="shared" si="644"/>
        <v>2.2873342210536096E-6</v>
      </c>
      <c r="BB20" s="40">
        <f t="shared" si="644"/>
        <v>7.0540168393489993E-7</v>
      </c>
      <c r="BC20" s="40">
        <f t="shared" si="644"/>
        <v>7.9453641448669415E-7</v>
      </c>
      <c r="BD20" s="40">
        <f t="shared" si="644"/>
        <v>3.5350778706953358E-7</v>
      </c>
      <c r="BE20" s="40">
        <f t="shared" si="644"/>
        <v>2.6514508739182082E-6</v>
      </c>
      <c r="BF20" s="40">
        <f t="shared" si="644"/>
        <v>9.7392570682215472E-7</v>
      </c>
      <c r="BG20" s="40">
        <f t="shared" si="644"/>
        <v>-4.4542663307090648E-4</v>
      </c>
      <c r="BH20" s="40">
        <f t="shared" si="644"/>
        <v>1.2112445780288161E-6</v>
      </c>
      <c r="BI20" s="40">
        <f t="shared" si="644"/>
        <v>1</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f t="shared" si="644"/>
        <v>1.1617239040861347E-2</v>
      </c>
      <c r="BZ20" s="39" t="str">
        <f t="shared" si="644"/>
        <v/>
      </c>
      <c r="CA20" s="40">
        <f t="shared" si="644"/>
        <v>5.7595902694461106E-4</v>
      </c>
      <c r="CB20" s="40">
        <f t="shared" si="644"/>
        <v>1.9974886399622927E-3</v>
      </c>
      <c r="CC20" s="40">
        <f t="shared" si="644"/>
        <v>0</v>
      </c>
      <c r="CD20" s="40">
        <f t="shared" si="644"/>
        <v>8.7281695387581345E-8</v>
      </c>
      <c r="CE20" s="40">
        <f t="shared" si="644"/>
        <v>-1.998825886526497E-5</v>
      </c>
      <c r="CF20" s="40">
        <f t="shared" si="644"/>
        <v>-4.9474981059667361E-4</v>
      </c>
      <c r="CG20" s="40">
        <f t="shared" si="644"/>
        <v>2.9709924184234804E-7</v>
      </c>
      <c r="CH20" s="40">
        <f t="shared" si="644"/>
        <v>-1.7181074783356754E-5</v>
      </c>
      <c r="CI20" s="40">
        <f t="shared" si="644"/>
        <v>1.0333772587560121E-7</v>
      </c>
      <c r="CJ20" s="40">
        <f t="shared" si="644"/>
        <v>0</v>
      </c>
      <c r="CK20" s="40">
        <f t="shared" si="644"/>
        <v>1.0465168361535566E-7</v>
      </c>
      <c r="CL20" s="40">
        <f t="shared" si="644"/>
        <v>-3.1336424913509366E-5</v>
      </c>
      <c r="CM20" s="40">
        <f t="shared" si="644"/>
        <v>0</v>
      </c>
      <c r="CN20" s="40">
        <f t="shared" si="644"/>
        <v>1.0747192081124964E-7</v>
      </c>
      <c r="CO20" s="40">
        <f t="shared" si="644"/>
        <v>-1.0345552397759668E-4</v>
      </c>
      <c r="CP20" s="40">
        <f t="shared" si="644"/>
        <v>2.1977258811672035E-7</v>
      </c>
      <c r="CQ20" s="40">
        <f t="shared" ref="CQ20:GR20" si="647">IF(AND(CQ18&lt;&gt;0,CQ19&lt;&gt;0),(CQ18-CQ19)/CQ19,IF(AND(CQ18=0,CQ19=0),"",IF(AND(CQ18="",CQ19=""),"",IF(AND(CQ18=0,CQ19=""),"", IF(AND(CQ18="",CQ19=0),"",1)))))</f>
        <v>-0.24266826656856674</v>
      </c>
      <c r="CR20" s="40" t="str">
        <f t="shared" si="647"/>
        <v/>
      </c>
      <c r="CS20" s="40" t="str">
        <f t="shared" si="647"/>
        <v/>
      </c>
      <c r="CT20" s="40" t="str">
        <f t="shared" si="647"/>
        <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f t="shared" si="647"/>
        <v>-1.3046633426482697E-2</v>
      </c>
      <c r="DL20" s="72" t="str">
        <f t="shared" si="647"/>
        <v/>
      </c>
      <c r="DM20" s="73" t="str">
        <f t="shared" si="647"/>
        <v/>
      </c>
      <c r="DN20" s="73" t="str">
        <f t="shared" si="647"/>
        <v/>
      </c>
      <c r="DO20" s="73" t="str">
        <f t="shared" si="647"/>
        <v/>
      </c>
      <c r="DP20" s="73" t="str">
        <f t="shared" si="647"/>
        <v/>
      </c>
      <c r="DQ20" s="73" t="str">
        <f t="shared" si="647"/>
        <v/>
      </c>
      <c r="DR20" s="73" t="str">
        <f t="shared" si="647"/>
        <v/>
      </c>
      <c r="DS20" s="73" t="str">
        <f t="shared" si="647"/>
        <v/>
      </c>
      <c r="DT20" s="73" t="str">
        <f t="shared" si="647"/>
        <v/>
      </c>
      <c r="DU20" s="73" t="str">
        <f t="shared" si="647"/>
        <v/>
      </c>
      <c r="DV20" s="73" t="str">
        <f t="shared" si="647"/>
        <v/>
      </c>
      <c r="DW20" s="73" t="str">
        <f t="shared" si="647"/>
        <v/>
      </c>
      <c r="DX20" s="73" t="str">
        <f t="shared" si="647"/>
        <v/>
      </c>
      <c r="DY20" s="73" t="str">
        <f t="shared" si="647"/>
        <v/>
      </c>
      <c r="DZ20" s="73" t="str">
        <f t="shared" si="647"/>
        <v/>
      </c>
      <c r="EA20" s="73" t="str">
        <f t="shared" si="647"/>
        <v/>
      </c>
      <c r="EB20" s="73" t="str">
        <f t="shared" si="647"/>
        <v/>
      </c>
      <c r="EC20" s="73" t="str">
        <f t="shared" si="647"/>
        <v/>
      </c>
      <c r="ED20" s="73" t="str">
        <f t="shared" si="647"/>
        <v/>
      </c>
      <c r="EE20" s="73" t="str">
        <f t="shared" si="647"/>
        <v/>
      </c>
      <c r="EF20" s="73" t="str">
        <f t="shared" si="647"/>
        <v/>
      </c>
      <c r="EG20" s="73" t="str">
        <f t="shared" si="647"/>
        <v/>
      </c>
      <c r="EH20" s="73" t="str">
        <f t="shared" si="647"/>
        <v/>
      </c>
      <c r="EI20" s="73" t="str">
        <f t="shared" ref="EI20:EV20" si="649">IF(AND(EI18&lt;&gt;0,EI19&lt;&gt;0),(EI18-EI19)/EI19,IF(AND(EI18=0,EI19=0),"",IF(AND(EI18="",EI19=""),"",IF(AND(EI18=0,EI19=""),"", IF(AND(EI18="",EI19=0),"",1)))))</f>
        <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t="str">
        <f t="shared" si="647"/>
        <v/>
      </c>
      <c r="EX20" s="72" t="str">
        <f t="shared" si="647"/>
        <v/>
      </c>
      <c r="EY20" s="73" t="str">
        <f t="shared" si="647"/>
        <v/>
      </c>
      <c r="EZ20" s="73" t="str">
        <f t="shared" si="647"/>
        <v/>
      </c>
      <c r="FA20" s="73" t="str">
        <f t="shared" si="647"/>
        <v/>
      </c>
      <c r="FB20" s="73" t="str">
        <f t="shared" si="647"/>
        <v/>
      </c>
      <c r="FC20" s="73" t="str">
        <f t="shared" si="647"/>
        <v/>
      </c>
      <c r="FD20" s="73" t="str">
        <f t="shared" si="647"/>
        <v/>
      </c>
      <c r="FE20" s="73" t="str">
        <f t="shared" si="647"/>
        <v/>
      </c>
      <c r="FF20" s="73" t="str">
        <f t="shared" si="647"/>
        <v/>
      </c>
      <c r="FG20" s="73" t="str">
        <f t="shared" si="647"/>
        <v/>
      </c>
      <c r="FH20" s="73" t="str">
        <f t="shared" si="647"/>
        <v/>
      </c>
      <c r="FI20" s="73" t="str">
        <f t="shared" si="647"/>
        <v/>
      </c>
      <c r="FJ20" s="73" t="str">
        <f t="shared" si="647"/>
        <v/>
      </c>
      <c r="FK20" s="73" t="str">
        <f t="shared" si="647"/>
        <v/>
      </c>
      <c r="FL20" s="73" t="str">
        <f t="shared" si="647"/>
        <v/>
      </c>
      <c r="FM20" s="73" t="str">
        <f t="shared" si="647"/>
        <v/>
      </c>
      <c r="FN20" s="73" t="str">
        <f t="shared" si="647"/>
        <v/>
      </c>
      <c r="FO20" s="73" t="str">
        <f t="shared" si="647"/>
        <v/>
      </c>
      <c r="FP20" s="73" t="str">
        <f t="shared" si="647"/>
        <v/>
      </c>
      <c r="FQ20" s="73" t="str">
        <f t="shared" si="647"/>
        <v/>
      </c>
      <c r="FR20" s="73" t="str">
        <f t="shared" si="647"/>
        <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t="str">
        <f t="shared" si="647"/>
        <v/>
      </c>
      <c r="GJ20" s="72" t="str">
        <f t="shared" si="647"/>
        <v/>
      </c>
      <c r="GK20" s="73" t="str">
        <f t="shared" si="647"/>
        <v/>
      </c>
      <c r="GL20" s="73" t="str">
        <f t="shared" si="647"/>
        <v/>
      </c>
      <c r="GM20" s="73" t="str">
        <f t="shared" si="647"/>
        <v/>
      </c>
      <c r="GN20" s="73" t="str">
        <f t="shared" si="647"/>
        <v/>
      </c>
      <c r="GO20" s="73" t="str">
        <f t="shared" si="647"/>
        <v/>
      </c>
      <c r="GP20" s="73" t="str">
        <f t="shared" si="647"/>
        <v/>
      </c>
      <c r="GQ20" s="73" t="str">
        <f t="shared" si="647"/>
        <v/>
      </c>
      <c r="GR20" s="73" t="str">
        <f t="shared" si="647"/>
        <v/>
      </c>
      <c r="GS20" s="73" t="str">
        <f t="shared" ref="GS20:LC20" si="651">IF(AND(GS18&lt;&gt;0,GS19&lt;&gt;0),(GS18-GS19)/GS19,IF(AND(GS18=0,GS19=0),"",IF(AND(GS18="",GS19=""),"",IF(AND(GS18=0,GS19=""),"", IF(AND(GS18="",GS19=0),"",1)))))</f>
        <v/>
      </c>
      <c r="GT20" s="73" t="str">
        <f t="shared" si="651"/>
        <v/>
      </c>
      <c r="GU20" s="73" t="str">
        <f t="shared" si="651"/>
        <v/>
      </c>
      <c r="GV20" s="73" t="str">
        <f t="shared" si="651"/>
        <v/>
      </c>
      <c r="GW20" s="73" t="str">
        <f t="shared" si="651"/>
        <v/>
      </c>
      <c r="GX20" s="73" t="str">
        <f t="shared" si="651"/>
        <v/>
      </c>
      <c r="GY20" s="73" t="str">
        <f t="shared" si="651"/>
        <v/>
      </c>
      <c r="GZ20" s="73" t="str">
        <f t="shared" si="651"/>
        <v/>
      </c>
      <c r="HA20" s="73" t="str">
        <f t="shared" si="651"/>
        <v/>
      </c>
      <c r="HB20" s="73" t="str">
        <f t="shared" si="651"/>
        <v/>
      </c>
      <c r="HC20" s="73" t="str">
        <f t="shared" si="651"/>
        <v/>
      </c>
      <c r="HD20" s="73" t="str">
        <f t="shared" si="651"/>
        <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t="str">
        <f t="shared" si="651"/>
        <v/>
      </c>
      <c r="HV20" s="39" t="str">
        <f t="shared" si="651"/>
        <v/>
      </c>
      <c r="HW20" s="40">
        <f t="shared" si="651"/>
        <v>1</v>
      </c>
      <c r="HX20" s="40">
        <f t="shared" si="651"/>
        <v>1.862389424510486E-4</v>
      </c>
      <c r="HY20" s="40">
        <f t="shared" si="651"/>
        <v>2.624038558111615E-4</v>
      </c>
      <c r="HZ20" s="40">
        <f t="shared" si="651"/>
        <v>5.2674694571050999E-7</v>
      </c>
      <c r="IA20" s="40">
        <f t="shared" si="651"/>
        <v>1.77573465694227E-7</v>
      </c>
      <c r="IB20" s="40">
        <f t="shared" si="651"/>
        <v>1.6538712163561248E-7</v>
      </c>
      <c r="IC20" s="40">
        <f t="shared" si="651"/>
        <v>4.0994224733619529E-7</v>
      </c>
      <c r="ID20" s="40">
        <f t="shared" si="651"/>
        <v>3.307819022605635E-7</v>
      </c>
      <c r="IE20" s="40">
        <f t="shared" si="651"/>
        <v>-8.6929050335640841E-5</v>
      </c>
      <c r="IF20" s="40">
        <f t="shared" si="651"/>
        <v>5.5102369181465328E-7</v>
      </c>
      <c r="IG20" s="40">
        <f t="shared" si="651"/>
        <v>5.5382924927337608E-7</v>
      </c>
      <c r="IH20" s="40">
        <f t="shared" si="651"/>
        <v>2.7755450060173815E-7</v>
      </c>
      <c r="II20" s="40">
        <f t="shared" si="651"/>
        <v>1.855074184416635E-7</v>
      </c>
      <c r="IJ20" s="40">
        <f t="shared" si="651"/>
        <v>2.7885705787213473E-7</v>
      </c>
      <c r="IK20" s="40">
        <f t="shared" si="651"/>
        <v>0</v>
      </c>
      <c r="IL20" s="40">
        <f t="shared" si="651"/>
        <v>5.5899190654251585E-7</v>
      </c>
      <c r="IM20" s="40">
        <f t="shared" si="651"/>
        <v>0.37069395497241819</v>
      </c>
      <c r="IN20" s="40">
        <f t="shared" si="651"/>
        <v>-4.8139115745929843E-5</v>
      </c>
      <c r="IO20" s="40">
        <f t="shared" si="651"/>
        <v>-8.1307603965037681E-2</v>
      </c>
      <c r="IP20" s="40" t="str">
        <f t="shared" si="651"/>
        <v/>
      </c>
      <c r="IQ20" s="40" t="str">
        <f t="shared" si="651"/>
        <v/>
      </c>
      <c r="IR20" s="40" t="str">
        <f t="shared" si="651"/>
        <v/>
      </c>
      <c r="IS20" s="40" t="str">
        <f t="shared" ref="IS20:JF20" si="653">IF(AND(IS18&lt;&gt;0,IS19&lt;&gt;0),(IS18-IS19)/IS19,IF(AND(IS18=0,IS19=0),"",IF(AND(IS18="",IS19=""),"",IF(AND(IS18=0,IS19=""),"", IF(AND(IS18="",IS19=0),"",1)))))</f>
        <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7.8062381040487063E-3</v>
      </c>
      <c r="JH20" s="72" t="str">
        <f t="shared" si="651"/>
        <v/>
      </c>
      <c r="JI20" s="73" t="str">
        <f t="shared" si="651"/>
        <v/>
      </c>
      <c r="JJ20" s="73" t="str">
        <f t="shared" si="651"/>
        <v/>
      </c>
      <c r="JK20" s="73" t="str">
        <f t="shared" si="651"/>
        <v/>
      </c>
      <c r="JL20" s="73" t="str">
        <f t="shared" si="651"/>
        <v/>
      </c>
      <c r="JM20" s="73" t="str">
        <f t="shared" si="651"/>
        <v/>
      </c>
      <c r="JN20" s="73" t="str">
        <f t="shared" si="651"/>
        <v/>
      </c>
      <c r="JO20" s="73" t="str">
        <f t="shared" si="651"/>
        <v/>
      </c>
      <c r="JP20" s="73" t="str">
        <f t="shared" si="651"/>
        <v/>
      </c>
      <c r="JQ20" s="73" t="str">
        <f t="shared" si="651"/>
        <v/>
      </c>
      <c r="JR20" s="73" t="str">
        <f t="shared" si="651"/>
        <v/>
      </c>
      <c r="JS20" s="73" t="str">
        <f t="shared" si="651"/>
        <v/>
      </c>
      <c r="JT20" s="73" t="str">
        <f t="shared" si="651"/>
        <v/>
      </c>
      <c r="JU20" s="73" t="str">
        <f t="shared" si="651"/>
        <v/>
      </c>
      <c r="JV20" s="73" t="str">
        <f t="shared" si="651"/>
        <v/>
      </c>
      <c r="JW20" s="73" t="str">
        <f t="shared" si="651"/>
        <v/>
      </c>
      <c r="JX20" s="73" t="str">
        <f t="shared" si="651"/>
        <v/>
      </c>
      <c r="JY20" s="73" t="str">
        <f t="shared" si="651"/>
        <v/>
      </c>
      <c r="JZ20" s="73" t="str">
        <f t="shared" si="651"/>
        <v/>
      </c>
      <c r="KA20" s="73" t="str">
        <f t="shared" si="651"/>
        <v/>
      </c>
      <c r="KB20" s="73" t="str">
        <f t="shared" si="651"/>
        <v/>
      </c>
      <c r="KC20" s="73" t="str">
        <f t="shared" si="651"/>
        <v/>
      </c>
      <c r="KD20" s="73" t="str">
        <f t="shared" si="651"/>
        <v/>
      </c>
      <c r="KE20" s="73" t="str">
        <f t="shared" ref="KE20:KR20" si="654">IF(AND(KE18&lt;&gt;0,KE19&lt;&gt;0),(KE18-KE19)/KE19,IF(AND(KE18=0,KE19=0),"",IF(AND(KE18="",KE19=""),"",IF(AND(KE18=0,KE19=""),"", IF(AND(KE18="",KE19=0),"",1)))))</f>
        <v/>
      </c>
      <c r="KF20" s="73" t="str">
        <f t="shared" si="654"/>
        <v/>
      </c>
      <c r="KG20" s="73" t="str">
        <f t="shared" si="654"/>
        <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t="str">
        <f t="shared" si="651"/>
        <v/>
      </c>
      <c r="KT20" s="72" t="str">
        <f t="shared" si="651"/>
        <v/>
      </c>
      <c r="KU20" s="73" t="str">
        <f t="shared" si="651"/>
        <v/>
      </c>
      <c r="KV20" s="73" t="str">
        <f t="shared" si="651"/>
        <v/>
      </c>
      <c r="KW20" s="73" t="str">
        <f t="shared" si="651"/>
        <v/>
      </c>
      <c r="KX20" s="73" t="str">
        <f t="shared" si="651"/>
        <v/>
      </c>
      <c r="KY20" s="73" t="str">
        <f t="shared" si="651"/>
        <v/>
      </c>
      <c r="KZ20" s="73" t="str">
        <f t="shared" si="651"/>
        <v/>
      </c>
      <c r="LA20" s="73" t="str">
        <f t="shared" si="651"/>
        <v/>
      </c>
      <c r="LB20" s="73" t="str">
        <f t="shared" si="651"/>
        <v/>
      </c>
      <c r="LC20" s="73" t="str">
        <f t="shared" si="651"/>
        <v/>
      </c>
      <c r="LD20" s="73" t="str">
        <f t="shared" ref="LD20:PC20" si="655">IF(AND(LD18&lt;&gt;0,LD19&lt;&gt;0),(LD18-LD19)/LD19,IF(AND(LD18=0,LD19=0),"",IF(AND(LD18="",LD19=""),"",IF(AND(LD18=0,LD19=""),"", IF(AND(LD18="",LD19=0),"",1)))))</f>
        <v/>
      </c>
      <c r="LE20" s="73" t="str">
        <f t="shared" si="655"/>
        <v/>
      </c>
      <c r="LF20" s="73" t="str">
        <f t="shared" si="655"/>
        <v/>
      </c>
      <c r="LG20" s="73" t="str">
        <f t="shared" si="655"/>
        <v/>
      </c>
      <c r="LH20" s="73" t="str">
        <f t="shared" si="655"/>
        <v/>
      </c>
      <c r="LI20" s="73" t="str">
        <f t="shared" si="655"/>
        <v/>
      </c>
      <c r="LJ20" s="73" t="str">
        <f t="shared" si="655"/>
        <v/>
      </c>
      <c r="LK20" s="73" t="str">
        <f t="shared" si="655"/>
        <v/>
      </c>
      <c r="LL20" s="73" t="str">
        <f t="shared" si="655"/>
        <v/>
      </c>
      <c r="LM20" s="73" t="str">
        <f t="shared" si="655"/>
        <v/>
      </c>
      <c r="LN20" s="73" t="str">
        <f t="shared" si="655"/>
        <v/>
      </c>
      <c r="LO20" s="73" t="str">
        <f t="shared" si="655"/>
        <v/>
      </c>
      <c r="LP20" s="73" t="str">
        <f t="shared" si="655"/>
        <v/>
      </c>
      <c r="LQ20" s="73" t="str">
        <f t="shared" ref="LQ20:MD20" si="656">IF(AND(LQ18&lt;&gt;0,LQ19&lt;&gt;0),(LQ18-LQ19)/LQ19,IF(AND(LQ18=0,LQ19=0),"",IF(AND(LQ18="",LQ19=""),"",IF(AND(LQ18=0,LQ19=""),"", IF(AND(LQ18="",LQ19=0),"",1)))))</f>
        <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t="str">
        <f t="shared" si="655"/>
        <v/>
      </c>
      <c r="MF20" s="72" t="str">
        <f t="shared" si="655"/>
        <v/>
      </c>
      <c r="MG20" s="73" t="str">
        <f t="shared" si="655"/>
        <v/>
      </c>
      <c r="MH20" s="73" t="str">
        <f t="shared" si="655"/>
        <v/>
      </c>
      <c r="MI20" s="73" t="str">
        <f t="shared" si="655"/>
        <v/>
      </c>
      <c r="MJ20" s="73" t="str">
        <f t="shared" si="655"/>
        <v/>
      </c>
      <c r="MK20" s="73" t="str">
        <f t="shared" si="655"/>
        <v/>
      </c>
      <c r="ML20" s="73" t="str">
        <f t="shared" si="655"/>
        <v/>
      </c>
      <c r="MM20" s="73" t="str">
        <f t="shared" si="655"/>
        <v/>
      </c>
      <c r="MN20" s="73" t="str">
        <f t="shared" si="655"/>
        <v/>
      </c>
      <c r="MO20" s="73" t="str">
        <f t="shared" si="655"/>
        <v/>
      </c>
      <c r="MP20" s="73" t="str">
        <f t="shared" si="655"/>
        <v/>
      </c>
      <c r="MQ20" s="73" t="str">
        <f t="shared" si="655"/>
        <v/>
      </c>
      <c r="MR20" s="73" t="str">
        <f t="shared" si="655"/>
        <v/>
      </c>
      <c r="MS20" s="73" t="str">
        <f t="shared" si="655"/>
        <v/>
      </c>
      <c r="MT20" s="73" t="str">
        <f t="shared" si="655"/>
        <v/>
      </c>
      <c r="MU20" s="73" t="str">
        <f t="shared" si="655"/>
        <v/>
      </c>
      <c r="MV20" s="73" t="str">
        <f t="shared" si="655"/>
        <v/>
      </c>
      <c r="MW20" s="73" t="str">
        <f t="shared" si="655"/>
        <v/>
      </c>
      <c r="MX20" s="73" t="str">
        <f t="shared" si="655"/>
        <v/>
      </c>
      <c r="MY20" s="73" t="str">
        <f t="shared" si="655"/>
        <v/>
      </c>
      <c r="MZ20" s="73" t="str">
        <f t="shared" si="655"/>
        <v/>
      </c>
      <c r="NA20" s="73" t="str">
        <f t="shared" si="655"/>
        <v/>
      </c>
      <c r="NB20" s="73" t="str">
        <f t="shared" si="655"/>
        <v/>
      </c>
      <c r="NC20" s="73" t="str">
        <f t="shared" ref="NC20:NP20" si="657">IF(AND(NC18&lt;&gt;0,NC19&lt;&gt;0),(NC18-NC19)/NC19,IF(AND(NC18=0,NC19=0),"",IF(AND(NC18="",NC19=""),"",IF(AND(NC18=0,NC19=""),"", IF(AND(NC18="",NC19=0),"",1)))))</f>
        <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t="str">
        <f t="shared" si="655"/>
        <v/>
      </c>
      <c r="NR20" s="40" t="str">
        <f t="shared" si="655"/>
        <v/>
      </c>
      <c r="NS20" s="40">
        <f t="shared" si="655"/>
        <v>1</v>
      </c>
      <c r="NT20" s="40">
        <f t="shared" si="655"/>
        <v>1.0933391224574832E-3</v>
      </c>
      <c r="NU20" s="40">
        <f t="shared" si="655"/>
        <v>2.6918445311851174E-4</v>
      </c>
      <c r="NV20" s="40">
        <f t="shared" si="655"/>
        <v>6.5224348568195106E-7</v>
      </c>
      <c r="NW20" s="40">
        <f t="shared" si="655"/>
        <v>2.2664923582943649E-7</v>
      </c>
      <c r="NX20" s="40">
        <f t="shared" si="655"/>
        <v>7.4623237932143173E-7</v>
      </c>
      <c r="NY20" s="40">
        <f t="shared" si="655"/>
        <v>7.4326074861222595E-7</v>
      </c>
      <c r="NZ20" s="40">
        <f t="shared" si="655"/>
        <v>5.3299903633774234E-7</v>
      </c>
      <c r="OA20" s="40">
        <f t="shared" si="655"/>
        <v>5.3410951552421355E-7</v>
      </c>
      <c r="OB20" s="40">
        <f t="shared" si="655"/>
        <v>3.1765205156636346E-7</v>
      </c>
      <c r="OC20" s="40">
        <f t="shared" si="655"/>
        <v>6.3964084592928305E-7</v>
      </c>
      <c r="OD20" s="40">
        <f t="shared" si="655"/>
        <v>4.2930689260802219E-7</v>
      </c>
      <c r="OE20" s="40">
        <f t="shared" si="655"/>
        <v>5.396523602667351E-7</v>
      </c>
      <c r="OF20" s="40">
        <f t="shared" si="655"/>
        <v>3.2590586621868371E-7</v>
      </c>
      <c r="OG20" s="40">
        <f t="shared" si="655"/>
        <v>6.6614677611606228E-7</v>
      </c>
      <c r="OH20" s="40">
        <f t="shared" si="655"/>
        <v>8.048382275162692E-7</v>
      </c>
      <c r="OI20" s="40">
        <f t="shared" si="655"/>
        <v>8.0427820856450586E-7</v>
      </c>
      <c r="OJ20" s="40">
        <f t="shared" si="655"/>
        <v>6.9133089493245241E-7</v>
      </c>
      <c r="OK20" s="40">
        <f t="shared" si="655"/>
        <v>0.26905504585319773</v>
      </c>
      <c r="OL20" s="40">
        <f t="shared" si="655"/>
        <v>-2.2944824866453949E-5</v>
      </c>
      <c r="OM20" s="40">
        <f t="shared" si="655"/>
        <v>-0.12807960405474988</v>
      </c>
      <c r="ON20" s="40">
        <f t="shared" si="655"/>
        <v>-2.1909779311777579E-5</v>
      </c>
      <c r="OO20" s="40">
        <f t="shared" ref="OO20:PB20" si="658">IF(AND(OO18&lt;&gt;0,OO19&lt;&gt;0),(OO18-OO19)/OO19,IF(AND(OO18=0,OO19=0),"",IF(AND(OO18="",OO19=""),"",IF(AND(OO18=0,OO19=""),"", IF(AND(OO18="",OO19=0),"",1)))))</f>
        <v>5.0219355569777216E-5</v>
      </c>
      <c r="OP20" s="40">
        <f t="shared" si="658"/>
        <v>1</v>
      </c>
      <c r="OQ20" s="40" t="str">
        <f t="shared" si="658"/>
        <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3.5475782943231067E-2</v>
      </c>
      <c r="PH20" s="63">
        <f>IF(AND(PH18&lt;&gt;0,PH19&lt;&gt;0),(PH18-PH19)/PH19,IF(AND(PH18=0,PH19=0),"",IF(AND(PH18="",PH19=""),"",IF(AND(PH18=0,PH19=""),"", IF(AND(PH18="",PH19=0),"",1)))))</f>
        <v>2.4541518806878146E-2</v>
      </c>
    </row>
    <row r="21" spans="1:424" outlineLevel="1" x14ac:dyDescent="0.35">
      <c r="A21" s="46" t="s">
        <v>45</v>
      </c>
      <c r="B21" s="14">
        <f>'[1]D-PDP'!$BX$12</f>
        <v>7605259.5</v>
      </c>
      <c r="C21" s="14">
        <f>'[1]D-PDP'!$BX$13</f>
        <v>9512696</v>
      </c>
      <c r="D21" s="14">
        <f>'[1]D-PDP'!$BX$14</f>
        <v>8481033</v>
      </c>
      <c r="E21" s="14">
        <f>'[1]D-PDP'!$BX$15</f>
        <v>7232257</v>
      </c>
      <c r="F21" s="14">
        <f>'[1]D-PDP'!$BX$16</f>
        <v>6066113</v>
      </c>
      <c r="G21" s="14">
        <f>'[1]D-PDP'!$BX$17</f>
        <v>5700144.5</v>
      </c>
      <c r="H21" s="14">
        <f>'[1]D-PDP'!$BX$18</f>
        <v>5705983.5</v>
      </c>
      <c r="I21" s="14">
        <f>'[1]D-PDP'!$BX$19</f>
        <v>5822910.5</v>
      </c>
      <c r="J21" s="14">
        <f>'[1]D-PDP'!$BX$20</f>
        <v>6013490.5</v>
      </c>
      <c r="K21" s="14">
        <f>'[1]D-PDP'!$BX$21</f>
        <v>6174083.5</v>
      </c>
      <c r="L21" s="14">
        <f>'[1]D-PDP'!$BX$22</f>
        <v>6251834.5</v>
      </c>
      <c r="M21" s="14">
        <f>'[1]D-PDP'!$BX$23</f>
        <v>6218289.5</v>
      </c>
      <c r="N21" s="14">
        <f>'[1]D-PDP'!$BX$24</f>
        <v>6258113</v>
      </c>
      <c r="O21" s="14">
        <f>'[1]D-PDP'!$BX$25</f>
        <v>6400391</v>
      </c>
      <c r="P21" s="14">
        <f>'[1]D-PDP'!$BX$26</f>
        <v>6561783</v>
      </c>
      <c r="Q21" s="14">
        <f>'[1]D-PDP'!$BX$27</f>
        <v>6700358</v>
      </c>
      <c r="R21" s="14">
        <f>'[1]D-PDP'!$BX$28</f>
        <v>6971373</v>
      </c>
      <c r="S21" s="14">
        <f>'[1]D-PDP'!$BX$29</f>
        <v>7158114.5</v>
      </c>
      <c r="T21" s="14">
        <f>'[1]D-PDP'!$BX$30</f>
        <v>7113001</v>
      </c>
      <c r="U21" s="14">
        <f>'[1]D-PDP'!$BX$31</f>
        <v>6995172.5</v>
      </c>
      <c r="V21" s="14">
        <f>'[1]D-PDP'!$BX$32</f>
        <v>6953790.5</v>
      </c>
      <c r="W21" s="14">
        <f>'[1]D-PDP'!$BX$33</f>
        <v>2282071.5</v>
      </c>
      <c r="X21" s="14">
        <f>'[1]D-PDP'!$BX$34</f>
        <v>0</v>
      </c>
      <c r="Y21" s="14">
        <f>'[1]D-PDP'!$BX$35</f>
        <v>0</v>
      </c>
      <c r="Z21" s="14">
        <f>'[1]D-PDP'!$BX$36</f>
        <v>0</v>
      </c>
      <c r="AA21" s="14">
        <f>'[1]D-PDP'!$BX$37</f>
        <v>0</v>
      </c>
      <c r="AB21" s="14">
        <f>'[1]D-PDP'!$BX$38</f>
        <v>0</v>
      </c>
      <c r="AC21" s="14">
        <f>'[1]D-PDP'!$BX$39</f>
        <v>0</v>
      </c>
      <c r="AD21" s="14">
        <f>'[1]D-PDP'!$BX$40</f>
        <v>0</v>
      </c>
      <c r="AE21" s="14">
        <f>'[1]D-PDP'!$BX$41</f>
        <v>0</v>
      </c>
      <c r="AF21" s="14">
        <f>'[1]D-PDP'!$BX$42</f>
        <v>0</v>
      </c>
      <c r="AG21" s="14">
        <f>'[1]D-PDP'!$BX$43</f>
        <v>0</v>
      </c>
      <c r="AH21" s="14">
        <f>'[1]D-PDP'!$BX$44</f>
        <v>0</v>
      </c>
      <c r="AI21" s="14">
        <f>'[1]D-PDP'!$BX$45</f>
        <v>0</v>
      </c>
      <c r="AJ21" s="14">
        <f>'[1]D-PDP'!$BX$46</f>
        <v>0</v>
      </c>
      <c r="AK21" s="14">
        <f>'[1]D-PDP'!$BX$47</f>
        <v>0</v>
      </c>
      <c r="AL21" s="14">
        <f>'[1]D-PDP'!$BX$48</f>
        <v>0</v>
      </c>
      <c r="AM21" s="16">
        <f>SUM(B21:AL21)</f>
        <v>144178263</v>
      </c>
      <c r="AN21" s="28">
        <f>'[1]D-PNP'!$BX$12</f>
        <v>768889.4375</v>
      </c>
      <c r="AO21" s="14">
        <f>'[1]D-PNP'!$BX$13</f>
        <v>1045516.5</v>
      </c>
      <c r="AP21" s="14">
        <f>'[1]D-PNP'!$BX$14</f>
        <v>895884.8125</v>
      </c>
      <c r="AQ21" s="14">
        <f>'[1]D-PNP'!$BX$15</f>
        <v>760975.5</v>
      </c>
      <c r="AR21" s="14">
        <f>'[1]D-PNP'!$BX$16</f>
        <v>646582.9375</v>
      </c>
      <c r="AS21" s="14">
        <f>'[1]D-PNP'!$BX$17</f>
        <v>540024.625</v>
      </c>
      <c r="AT21" s="14">
        <f>'[1]D-PNP'!$BX$18</f>
        <v>534505.75</v>
      </c>
      <c r="AU21" s="14">
        <f>'[1]D-PNP'!$BX$19</f>
        <v>557346.8125</v>
      </c>
      <c r="AV21" s="14">
        <f>'[1]D-PNP'!$BX$20</f>
        <v>579112</v>
      </c>
      <c r="AW21" s="14">
        <f>'[1]D-PNP'!$BX$21</f>
        <v>601053.875</v>
      </c>
      <c r="AX21" s="14">
        <f>'[1]D-PNP'!$BX$22</f>
        <v>620385.25</v>
      </c>
      <c r="AY21" s="14">
        <f>'[1]D-PNP'!$BX$23</f>
        <v>638284.9375</v>
      </c>
      <c r="AZ21" s="14">
        <f>'[1]D-PNP'!$BX$24</f>
        <v>655481.8125</v>
      </c>
      <c r="BA21" s="14">
        <f>'[1]D-PNP'!$BX$25</f>
        <v>672796.3125</v>
      </c>
      <c r="BB21" s="14">
        <f>'[1]D-PNP'!$BX$26</f>
        <v>688087.0625</v>
      </c>
      <c r="BC21" s="14">
        <f>'[1]D-PNP'!$BX$27</f>
        <v>701681.9375</v>
      </c>
      <c r="BD21" s="14">
        <f>'[1]D-PNP'!$BX$28</f>
        <v>716441.25</v>
      </c>
      <c r="BE21" s="14">
        <f>'[1]D-PNP'!$BX$29</f>
        <v>728865.8125</v>
      </c>
      <c r="BF21" s="14">
        <f>'[1]D-PNP'!$BX$30</f>
        <v>717667.25</v>
      </c>
      <c r="BG21" s="14">
        <f>'[1]D-PNP'!$BX$31</f>
        <v>688874.5625</v>
      </c>
      <c r="BH21" s="14">
        <f>'[1]D-PNP'!$BX$32</f>
        <v>668473.4375</v>
      </c>
      <c r="BI21" s="14">
        <f>'[1]D-PNP'!$BX$33</f>
        <v>217756.921875</v>
      </c>
      <c r="BJ21" s="14">
        <f>'[1]D-PNP'!$BX$34</f>
        <v>0</v>
      </c>
      <c r="BK21" s="14">
        <f>'[1]D-PNP'!$BX$35</f>
        <v>0</v>
      </c>
      <c r="BL21" s="14">
        <f>'[1]D-PNP'!$BX$36</f>
        <v>0</v>
      </c>
      <c r="BM21" s="14">
        <f>'[1]D-PNP'!$BX$37</f>
        <v>0</v>
      </c>
      <c r="BN21" s="14">
        <f>'[1]D-PNP'!$BX$38</f>
        <v>0</v>
      </c>
      <c r="BO21" s="14">
        <f>'[1]D-PNP'!$BX$39</f>
        <v>0</v>
      </c>
      <c r="BP21" s="14">
        <f>'[1]D-PNP'!$BX$40</f>
        <v>0</v>
      </c>
      <c r="BQ21" s="14">
        <f>'[1]D-PNP'!$BX$41</f>
        <v>0</v>
      </c>
      <c r="BR21" s="14">
        <f>'[1]D-PNP'!$BX$42</f>
        <v>0</v>
      </c>
      <c r="BS21" s="14">
        <f>'[1]D-PNP'!$BX$43</f>
        <v>0</v>
      </c>
      <c r="BT21" s="14">
        <f>'[1]D-PNP'!$BX$44</f>
        <v>0</v>
      </c>
      <c r="BU21" s="14">
        <f>'[1]D-PNP'!$BX$45</f>
        <v>0</v>
      </c>
      <c r="BV21" s="14">
        <f>'[1]D-PNP'!$BX$46</f>
        <v>0</v>
      </c>
      <c r="BW21" s="14">
        <f>'[1]D-PNP'!$BX$47</f>
        <v>0</v>
      </c>
      <c r="BX21" s="14">
        <f>'[1]D-PNP'!$BX$48</f>
        <v>0</v>
      </c>
      <c r="BY21" s="16">
        <f>SUM(AN21:BX21)</f>
        <v>14644688.796875</v>
      </c>
      <c r="BZ21" s="28">
        <f>'[1]D-PND'!$BX$12</f>
        <v>0</v>
      </c>
      <c r="CA21" s="14">
        <f>'[1]D-PND'!$BX$13</f>
        <v>5003.88037109375</v>
      </c>
      <c r="CB21" s="14">
        <f>'[1]D-PND'!$BX$14</f>
        <v>1933422.625</v>
      </c>
      <c r="CC21" s="14">
        <f>'[1]D-PND'!$BX$15</f>
        <v>4243251</v>
      </c>
      <c r="CD21" s="14">
        <f>'[1]D-PND'!$BX$16</f>
        <v>5860729</v>
      </c>
      <c r="CE21" s="14">
        <f>'[1]D-PND'!$BX$17</f>
        <v>6527710</v>
      </c>
      <c r="CF21" s="14">
        <f>'[1]D-PND'!$BX$18</f>
        <v>6001252.5</v>
      </c>
      <c r="CG21" s="14">
        <f>'[1]D-PND'!$BX$19</f>
        <v>5430664.5</v>
      </c>
      <c r="CH21" s="14">
        <f>'[1]D-PND'!$BX$20</f>
        <v>5121210.5</v>
      </c>
      <c r="CI21" s="14">
        <f>'[1]D-PND'!$BX$21</f>
        <v>4803896.5</v>
      </c>
      <c r="CJ21" s="14">
        <f>'[1]D-PND'!$BX$22</f>
        <v>4522818.5</v>
      </c>
      <c r="CK21" s="14">
        <f>'[1]D-PND'!$BX$23</f>
        <v>4232317.5</v>
      </c>
      <c r="CL21" s="14">
        <f>'[1]D-PND'!$BX$24</f>
        <v>3943502.75</v>
      </c>
      <c r="CM21" s="14">
        <f>'[1]D-PND'!$BX$25</f>
        <v>3615298.75</v>
      </c>
      <c r="CN21" s="14">
        <f>'[1]D-PND'!$BX$26</f>
        <v>3329763.25</v>
      </c>
      <c r="CO21" s="14">
        <f>'[1]D-PND'!$BX$27</f>
        <v>2999515</v>
      </c>
      <c r="CP21" s="14">
        <f>'[1]D-PND'!$BX$28</f>
        <v>2687284.75</v>
      </c>
      <c r="CQ21" s="14">
        <f>'[1]D-PND'!$BX$29</f>
        <v>1660028.5</v>
      </c>
      <c r="CR21" s="14">
        <f>'[1]D-PND'!$BX$30</f>
        <v>0</v>
      </c>
      <c r="CS21" s="14">
        <f>'[1]D-PND'!$BX$31</f>
        <v>0</v>
      </c>
      <c r="CT21" s="14">
        <f>'[1]D-PND'!$BX$32</f>
        <v>0</v>
      </c>
      <c r="CU21" s="14">
        <f>'[1]D-PND'!$BX$33</f>
        <v>0</v>
      </c>
      <c r="CV21" s="14">
        <f>'[1]D-PND'!$BX$34</f>
        <v>0</v>
      </c>
      <c r="CW21" s="14">
        <f>'[1]D-PND'!$BX$35</f>
        <v>0</v>
      </c>
      <c r="CX21" s="14">
        <f>'[1]D-PND'!$BX$36</f>
        <v>0</v>
      </c>
      <c r="CY21" s="14">
        <f>'[1]D-PND'!$BX$37</f>
        <v>0</v>
      </c>
      <c r="CZ21" s="14">
        <f>'[1]D-PND'!$BX$38</f>
        <v>0</v>
      </c>
      <c r="DA21" s="14">
        <f>'[1]D-PND'!$BX$39</f>
        <v>0</v>
      </c>
      <c r="DB21" s="14">
        <f>'[1]D-PND'!$BX$40</f>
        <v>0</v>
      </c>
      <c r="DC21" s="14">
        <f>'[1]D-PND'!$BX$41</f>
        <v>0</v>
      </c>
      <c r="DD21" s="14">
        <f>'[1]D-PND'!$BX$42</f>
        <v>0</v>
      </c>
      <c r="DE21" s="14">
        <f>'[1]D-PND'!$BX$43</f>
        <v>0</v>
      </c>
      <c r="DF21" s="14">
        <f>'[1]D-PND'!$BX$44</f>
        <v>0</v>
      </c>
      <c r="DG21" s="14">
        <f>'[1]D-PND'!$BX$45</f>
        <v>0</v>
      </c>
      <c r="DH21" s="14">
        <f>'[1]D-PND'!$BX$46</f>
        <v>0</v>
      </c>
      <c r="DI21" s="14">
        <f>'[1]D-PND'!$BX$47</f>
        <v>0</v>
      </c>
      <c r="DJ21" s="14">
        <f>'[1]D-PND'!$BX$48</f>
        <v>0</v>
      </c>
      <c r="DK21" s="16">
        <f>SUM(BZ21:DJ21)</f>
        <v>66917669.505371094</v>
      </c>
      <c r="DL21" s="66"/>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8">
        <f>SUM(DL21:EV21)</f>
        <v>0</v>
      </c>
      <c r="EX21" s="66"/>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8">
        <f>SUM(EX21:GH21)</f>
        <v>0</v>
      </c>
      <c r="GJ21" s="66"/>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8">
        <f>SUM(GJ21:HT21)</f>
        <v>0</v>
      </c>
      <c r="HV21" s="28">
        <f>'[1]D-PRB'!$BX$12</f>
        <v>0</v>
      </c>
      <c r="HW21" s="14">
        <f>'[1]D-PRB'!$BX$13</f>
        <v>0</v>
      </c>
      <c r="HX21" s="14">
        <f>'[1]D-PRB'!$BX$14</f>
        <v>503143.65625</v>
      </c>
      <c r="HY21" s="14">
        <f>'[1]D-PRB'!$BX$15</f>
        <v>856490.5625</v>
      </c>
      <c r="HZ21" s="14">
        <f>'[1]D-PRB'!$BX$16</f>
        <v>1186528.625</v>
      </c>
      <c r="IA21" s="14">
        <f>'[1]D-PRB'!$BX$17</f>
        <v>1407868.25</v>
      </c>
      <c r="IB21" s="14">
        <f>'[1]D-PRB'!$BX$18</f>
        <v>1511605.25</v>
      </c>
      <c r="IC21" s="14">
        <f>'[1]D-PRB'!$BX$19</f>
        <v>1524605.625</v>
      </c>
      <c r="ID21" s="14">
        <f>'[1]D-PRB'!$BX$20</f>
        <v>1511570.5</v>
      </c>
      <c r="IE21" s="14">
        <f>'[1]D-PRB'!$BX$21</f>
        <v>1478088.5</v>
      </c>
      <c r="IF21" s="14">
        <f>'[1]D-PRB'!$BX$22</f>
        <v>1361103.75</v>
      </c>
      <c r="IG21" s="14">
        <f>'[1]D-PRB'!$BX$23</f>
        <v>1354208.75</v>
      </c>
      <c r="IH21" s="14">
        <f>'[1]D-PRB'!$BX$24</f>
        <v>1351086.375</v>
      </c>
      <c r="II21" s="14">
        <f>'[1]D-PRB'!$BX$25</f>
        <v>1347655.25</v>
      </c>
      <c r="IJ21" s="14">
        <f>'[1]D-PRB'!$BX$26</f>
        <v>1344775.375</v>
      </c>
      <c r="IK21" s="14">
        <f>'[1]D-PRB'!$BX$27</f>
        <v>1341938</v>
      </c>
      <c r="IL21" s="14">
        <f>'[1]D-PRB'!$BX$28</f>
        <v>1341701.75</v>
      </c>
      <c r="IM21" s="14">
        <f>'[1]D-PRB'!$BX$29</f>
        <v>1861845.125</v>
      </c>
      <c r="IN21" s="14">
        <f>'[1]D-PRB'!$BX$30</f>
        <v>3333926.5</v>
      </c>
      <c r="IO21" s="14">
        <f>'[1]D-PRB'!$BX$31</f>
        <v>3041364.25</v>
      </c>
      <c r="IP21" s="14">
        <f>'[1]D-PRB'!$BX$32</f>
        <v>0</v>
      </c>
      <c r="IQ21" s="14">
        <f>'[1]D-PRB'!$BX$33</f>
        <v>0</v>
      </c>
      <c r="IR21" s="14">
        <f>'[1]D-PRB'!$BX$34</f>
        <v>0</v>
      </c>
      <c r="IS21" s="14">
        <f>'[1]D-PRB'!$BX$35</f>
        <v>0</v>
      </c>
      <c r="IT21" s="14">
        <f>'[1]D-PRB'!$BX$36</f>
        <v>0</v>
      </c>
      <c r="IU21" s="14">
        <f>'[1]D-PRB'!$BX$37</f>
        <v>0</v>
      </c>
      <c r="IV21" s="14">
        <f>'[1]D-PRB'!$BX$38</f>
        <v>0</v>
      </c>
      <c r="IW21" s="14">
        <f>'[1]D-PRB'!$BX$39</f>
        <v>0</v>
      </c>
      <c r="IX21" s="14">
        <f>'[1]D-PRB'!$BX$40</f>
        <v>0</v>
      </c>
      <c r="IY21" s="14">
        <f>'[1]D-PRB'!$BX$41</f>
        <v>0</v>
      </c>
      <c r="IZ21" s="14">
        <f>'[1]D-PRB'!$BX$42</f>
        <v>0</v>
      </c>
      <c r="JA21" s="14">
        <f>'[1]D-PRB'!$BX$43</f>
        <v>0</v>
      </c>
      <c r="JB21" s="14">
        <f>'[1]D-PRB'!$BX$44</f>
        <v>0</v>
      </c>
      <c r="JC21" s="14">
        <f>'[1]D-PRB'!$BX$45</f>
        <v>0</v>
      </c>
      <c r="JD21" s="14">
        <f>'[1]D-PRB'!$BX$46</f>
        <v>0</v>
      </c>
      <c r="JE21" s="14">
        <f>'[1]D-PRB'!$BX$47</f>
        <v>0</v>
      </c>
      <c r="JF21" s="14">
        <f>'[1]D-PRB'!$BX$48</f>
        <v>0</v>
      </c>
      <c r="JG21" s="16">
        <f>SUM(HV21:JF21)</f>
        <v>27659506.09375</v>
      </c>
      <c r="JH21" s="66"/>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c r="KR21" s="67"/>
      <c r="KS21" s="68">
        <f>SUM(JH21:KR21)</f>
        <v>0</v>
      </c>
      <c r="KT21" s="66"/>
      <c r="KU21" s="67"/>
      <c r="KV21" s="67"/>
      <c r="KW21" s="67"/>
      <c r="KX21" s="67"/>
      <c r="KY21" s="67"/>
      <c r="KZ21" s="67"/>
      <c r="LA21" s="67"/>
      <c r="LB21" s="67"/>
      <c r="LC21" s="67"/>
      <c r="LD21" s="67"/>
      <c r="LE21" s="67"/>
      <c r="LF21" s="67"/>
      <c r="LG21" s="67"/>
      <c r="LH21" s="67"/>
      <c r="LI21" s="67"/>
      <c r="LJ21" s="67"/>
      <c r="LK21" s="67"/>
      <c r="LL21" s="67"/>
      <c r="LM21" s="67"/>
      <c r="LN21" s="67"/>
      <c r="LO21" s="67"/>
      <c r="LP21" s="67"/>
      <c r="LQ21" s="67"/>
      <c r="LR21" s="67"/>
      <c r="LS21" s="67"/>
      <c r="LT21" s="67"/>
      <c r="LU21" s="67"/>
      <c r="LV21" s="67"/>
      <c r="LW21" s="67"/>
      <c r="LX21" s="67"/>
      <c r="LY21" s="67"/>
      <c r="LZ21" s="67"/>
      <c r="MA21" s="67"/>
      <c r="MB21" s="67"/>
      <c r="MC21" s="67"/>
      <c r="MD21" s="67"/>
      <c r="ME21" s="68">
        <f>SUM(KT21:MD21)</f>
        <v>0</v>
      </c>
      <c r="MF21" s="66"/>
      <c r="MG21" s="67"/>
      <c r="MH21" s="67"/>
      <c r="MI21" s="67"/>
      <c r="MJ21" s="67"/>
      <c r="MK21" s="67"/>
      <c r="ML21" s="67"/>
      <c r="MM21" s="67"/>
      <c r="MN21" s="67"/>
      <c r="MO21" s="67"/>
      <c r="MP21" s="67"/>
      <c r="MQ21" s="67"/>
      <c r="MR21" s="67"/>
      <c r="MS21" s="67"/>
      <c r="MT21" s="67"/>
      <c r="MU21" s="67"/>
      <c r="MV21" s="67"/>
      <c r="MW21" s="67"/>
      <c r="MX21" s="67"/>
      <c r="MY21" s="67"/>
      <c r="MZ21" s="67"/>
      <c r="NA21" s="67"/>
      <c r="NB21" s="67"/>
      <c r="NC21" s="67"/>
      <c r="ND21" s="67"/>
      <c r="NE21" s="67"/>
      <c r="NF21" s="67"/>
      <c r="NG21" s="67"/>
      <c r="NH21" s="67"/>
      <c r="NI21" s="67"/>
      <c r="NJ21" s="67"/>
      <c r="NK21" s="67"/>
      <c r="NL21" s="67"/>
      <c r="NM21" s="67"/>
      <c r="NN21" s="67"/>
      <c r="NO21" s="67"/>
      <c r="NP21" s="67"/>
      <c r="NQ21" s="68">
        <f>SUM(MF21:NP21)</f>
        <v>0</v>
      </c>
      <c r="NR21" s="14">
        <f>'[1]D-PS'!$BX$12</f>
        <v>0</v>
      </c>
      <c r="NS21" s="14">
        <f>'[1]D-PS'!$BX$13</f>
        <v>0</v>
      </c>
      <c r="NT21" s="14">
        <f>'[1]D-PS'!$BX$14</f>
        <v>285905.375</v>
      </c>
      <c r="NU21" s="14">
        <f>'[1]D-PS'!$BX$15</f>
        <v>602212.1875</v>
      </c>
      <c r="NV21" s="14">
        <f>'[1]D-PS'!$BX$16</f>
        <v>862408.6875</v>
      </c>
      <c r="NW21" s="14">
        <f>'[1]D-PS'!$BX$17</f>
        <v>1103026.25</v>
      </c>
      <c r="NX21" s="14">
        <f>'[1]D-PS'!$BX$18</f>
        <v>1172557.875</v>
      </c>
      <c r="NY21" s="14">
        <f>'[1]D-PS'!$BX$19</f>
        <v>1177245.75</v>
      </c>
      <c r="NZ21" s="14">
        <f>'[1]D-PS'!$BX$20</f>
        <v>1172610.625</v>
      </c>
      <c r="OA21" s="14">
        <f>'[1]D-PS'!$BX$21</f>
        <v>1170172.5</v>
      </c>
      <c r="OB21" s="14">
        <f>'[1]D-PS'!$BX$22</f>
        <v>1180537.25</v>
      </c>
      <c r="OC21" s="14">
        <f>'[1]D-PS'!$BX$23</f>
        <v>1172533.75</v>
      </c>
      <c r="OD21" s="14">
        <f>'[1]D-PS'!$BX$24</f>
        <v>1164668.625</v>
      </c>
      <c r="OE21" s="14">
        <f>'[1]D-PS'!$BX$25</f>
        <v>1158153.75</v>
      </c>
      <c r="OF21" s="14">
        <f>'[1]D-PS'!$BX$26</f>
        <v>1150639.25</v>
      </c>
      <c r="OG21" s="14">
        <f>'[1]D-PS'!$BX$27</f>
        <v>1125878.625</v>
      </c>
      <c r="OH21" s="14">
        <f>'[1]D-PS'!$BX$28</f>
        <v>1087175.75</v>
      </c>
      <c r="OI21" s="14">
        <f>'[1]D-PS'!$BX$29</f>
        <v>1087932.875</v>
      </c>
      <c r="OJ21" s="14">
        <f>'[1]D-PS'!$BX$30</f>
        <v>1084864.75</v>
      </c>
      <c r="OK21" s="14">
        <f>'[1]D-PS'!$BX$31</f>
        <v>1268136.25</v>
      </c>
      <c r="OL21" s="14">
        <f>'[1]D-PS'!$BX$32</f>
        <v>4183854</v>
      </c>
      <c r="OM21" s="14">
        <f>'[1]D-PS'!$BX$33</f>
        <v>9047478</v>
      </c>
      <c r="ON21" s="14">
        <f>'[1]D-PS'!$BX$34</f>
        <v>11385609</v>
      </c>
      <c r="OO21" s="14">
        <f>'[1]D-PS'!$BX$35</f>
        <v>11254605</v>
      </c>
      <c r="OP21" s="14">
        <f>'[1]D-PS'!$BX$36</f>
        <v>3713339.75</v>
      </c>
      <c r="OQ21" s="14">
        <f>'[1]D-PS'!$BX$37</f>
        <v>0</v>
      </c>
      <c r="OR21" s="14">
        <f>'[1]D-PS'!$BX$38</f>
        <v>0</v>
      </c>
      <c r="OS21" s="14">
        <f>'[1]D-PS'!$BX$39</f>
        <v>0</v>
      </c>
      <c r="OT21" s="14">
        <f>'[1]D-PS'!$BX$40</f>
        <v>0</v>
      </c>
      <c r="OU21" s="14">
        <f>'[1]D-PS'!$BX$41</f>
        <v>0</v>
      </c>
      <c r="OV21" s="14">
        <f>'[1]D-PS'!$BX$42</f>
        <v>0</v>
      </c>
      <c r="OW21" s="14">
        <f>'[1]D-PS'!$BX$43</f>
        <v>0</v>
      </c>
      <c r="OX21" s="14">
        <f>'[1]D-PS'!$BX$44</f>
        <v>0</v>
      </c>
      <c r="OY21" s="14">
        <f>'[1]D-PS'!$BX$45</f>
        <v>0</v>
      </c>
      <c r="OZ21" s="14">
        <f>'[1]D-PS'!$BX$46</f>
        <v>0</v>
      </c>
      <c r="PA21" s="14">
        <f>'[1]D-PS'!$BX$47</f>
        <v>0</v>
      </c>
      <c r="PB21" s="14">
        <f>'[1]D-PS'!$BX$48</f>
        <v>0</v>
      </c>
      <c r="PC21" s="16">
        <f>SUM(NR21:PB21)</f>
        <v>58611545.875</v>
      </c>
      <c r="PH21" s="16">
        <f>PF21+JG21+PC21</f>
        <v>86271051.96875</v>
      </c>
    </row>
    <row r="22" spans="1:424" outlineLevel="1" x14ac:dyDescent="0.35">
      <c r="A22" s="46" t="s">
        <v>46</v>
      </c>
      <c r="B22" s="25">
        <f>'[2]CF PDP'!$BU$36</f>
        <v>7990054</v>
      </c>
      <c r="C22" s="25">
        <f>'[2]CF PDP'!$BU$37</f>
        <v>10036381</v>
      </c>
      <c r="D22" s="25">
        <f>'[2]CF PDP'!$BU$38</f>
        <v>9478045</v>
      </c>
      <c r="E22" s="25">
        <f>'[2]CF PDP'!$BU$39</f>
        <v>9324726</v>
      </c>
      <c r="F22" s="25">
        <f>'[2]CF PDP'!$BU$40</f>
        <v>9250065</v>
      </c>
      <c r="G22" s="25">
        <f>'[2]CF PDP'!$BU$41</f>
        <v>9208776</v>
      </c>
      <c r="H22" s="25">
        <f>'[2]CF PDP'!$BU$42</f>
        <v>9058013</v>
      </c>
      <c r="I22" s="25">
        <f>'[2]CF PDP'!$BU$43</f>
        <v>8927054</v>
      </c>
      <c r="J22" s="25">
        <f>'[2]CF PDP'!$BU$44</f>
        <v>8881821</v>
      </c>
      <c r="K22" s="25">
        <f>'[2]CF PDP'!$BU$45</f>
        <v>8802029</v>
      </c>
      <c r="L22" s="25">
        <f>'[2]CF PDP'!$BU$46</f>
        <v>8635702</v>
      </c>
      <c r="M22" s="25">
        <f>'[2]CF PDP'!$BU$47</f>
        <v>8344319</v>
      </c>
      <c r="N22" s="25">
        <f>'[2]CF PDP'!$BU$48</f>
        <v>8124667</v>
      </c>
      <c r="O22" s="25">
        <f>'[2]CF PDP'!$BU$49</f>
        <v>8001487</v>
      </c>
      <c r="P22" s="25">
        <f>'[2]CF PDP'!$BU$50</f>
        <v>7899563</v>
      </c>
      <c r="Q22" s="25">
        <f>'[2]CF PDP'!$BU$51</f>
        <v>7764221</v>
      </c>
      <c r="R22" s="25">
        <f>'[2]CF PDP'!$BU$52</f>
        <v>7746463</v>
      </c>
      <c r="S22" s="25">
        <f>'[2]CF PDP'!$BU$53</f>
        <v>7620735</v>
      </c>
      <c r="T22" s="25">
        <f>'[2]CF PDP'!$BU$54</f>
        <v>7477565</v>
      </c>
      <c r="U22" s="25">
        <f>'[2]CF PDP'!$BU$55</f>
        <v>7371910</v>
      </c>
      <c r="V22" s="25">
        <f>'[2]CF PDP'!$BU$56</f>
        <v>7338465</v>
      </c>
      <c r="W22" s="25">
        <f>'[2]CF PDP'!$BU$57</f>
        <v>0</v>
      </c>
      <c r="X22" s="25">
        <f>'[2]CF PDP'!$BU$58</f>
        <v>0</v>
      </c>
      <c r="Y22" s="25">
        <f>'[2]CF PDP'!$BU$59</f>
        <v>0</v>
      </c>
      <c r="Z22" s="25">
        <f>'[2]CF PDP'!$BU$60</f>
        <v>0</v>
      </c>
      <c r="AA22" s="25">
        <f>'[2]CF PDP'!$BU$61</f>
        <v>0</v>
      </c>
      <c r="AB22" s="25">
        <f>'[2]CF PDP'!$BU$62</f>
        <v>0</v>
      </c>
      <c r="AC22" s="25">
        <f>'[2]CF PDP'!$BU$63</f>
        <v>0</v>
      </c>
      <c r="AD22" s="25">
        <f>'[2]CF PDP'!$BU$64</f>
        <v>0</v>
      </c>
      <c r="AE22" s="25">
        <f>'[2]CF PDP'!$BU$65</f>
        <v>0</v>
      </c>
      <c r="AF22" s="25">
        <f>'[2]CF PDP'!$BU$66</f>
        <v>0</v>
      </c>
      <c r="AG22" s="25">
        <f>'[2]CF PDP'!$BU$67</f>
        <v>0</v>
      </c>
      <c r="AH22" s="25">
        <f>'[2]CF PDP'!$BU$68</f>
        <v>0</v>
      </c>
      <c r="AI22" s="25">
        <f>'[2]CF PDP'!$BU$69</f>
        <v>0</v>
      </c>
      <c r="AJ22" s="25">
        <f>'[2]CF PDP'!$BU$70</f>
        <v>0</v>
      </c>
      <c r="AK22" s="25">
        <f>'[2]CF PDP'!$BU$71</f>
        <v>0</v>
      </c>
      <c r="AL22" s="25">
        <f>'[2]CF PDP'!$BU$72</f>
        <v>0</v>
      </c>
      <c r="AM22" s="26">
        <f>SUM(B22:AL22)</f>
        <v>177282061</v>
      </c>
      <c r="AN22" s="27">
        <f>'[2]CF PNP'!$BU$36</f>
        <v>402587</v>
      </c>
      <c r="AO22" s="25">
        <f>'[2]CF PNP'!$BU$37</f>
        <v>522411</v>
      </c>
      <c r="AP22" s="25">
        <f>'[2]CF PNP'!$BU$38</f>
        <v>472807</v>
      </c>
      <c r="AQ22" s="25">
        <f>'[2]CF PNP'!$BU$39</f>
        <v>461224</v>
      </c>
      <c r="AR22" s="25">
        <f>'[2]CF PNP'!$BU$40</f>
        <v>459210</v>
      </c>
      <c r="AS22" s="25">
        <f>'[2]CF PNP'!$BU$41</f>
        <v>382429</v>
      </c>
      <c r="AT22" s="25">
        <f>'[2]CF PNP'!$BU$42</f>
        <v>360702</v>
      </c>
      <c r="AU22" s="25">
        <f>'[2]CF PNP'!$BU$43</f>
        <v>359501</v>
      </c>
      <c r="AV22" s="25">
        <f>'[2]CF PNP'!$BU$44</f>
        <v>358458</v>
      </c>
      <c r="AW22" s="25">
        <f>'[2]CF PNP'!$BU$45</f>
        <v>357881</v>
      </c>
      <c r="AX22" s="25">
        <f>'[2]CF PNP'!$BU$46</f>
        <v>356749</v>
      </c>
      <c r="AY22" s="25">
        <f>'[2]CF PNP'!$BU$47</f>
        <v>356050</v>
      </c>
      <c r="AZ22" s="25">
        <f>'[2]CF PNP'!$BU$48</f>
        <v>355435</v>
      </c>
      <c r="BA22" s="25">
        <f>'[2]CF PNP'!$BU$49</f>
        <v>355217</v>
      </c>
      <c r="BB22" s="25">
        <f>'[2]CF PNP'!$BU$50</f>
        <v>354408</v>
      </c>
      <c r="BC22" s="25">
        <f>'[2]CF PNP'!$BU$51</f>
        <v>353980</v>
      </c>
      <c r="BD22" s="25">
        <f>'[2]CF PNP'!$BU$52</f>
        <v>353599</v>
      </c>
      <c r="BE22" s="25">
        <f>'[2]CF PNP'!$BU$53</f>
        <v>353580</v>
      </c>
      <c r="BF22" s="25">
        <f>'[2]CF PNP'!$BU$54</f>
        <v>352953</v>
      </c>
      <c r="BG22" s="25">
        <f>'[2]CF PNP'!$BU$55</f>
        <v>312341</v>
      </c>
      <c r="BH22" s="25">
        <f>'[2]CF PNP'!$BU$56</f>
        <v>283799</v>
      </c>
      <c r="BI22" s="25">
        <f>'[2]CF PNP'!$BU$57</f>
        <v>0</v>
      </c>
      <c r="BJ22" s="25">
        <f>'[2]CF PNP'!$BU$58</f>
        <v>0</v>
      </c>
      <c r="BK22" s="25">
        <f>'[2]CF PNP'!$BU$59</f>
        <v>0</v>
      </c>
      <c r="BL22" s="25">
        <f>'[2]CF PNP'!$BU$60</f>
        <v>0</v>
      </c>
      <c r="BM22" s="25">
        <f>'[2]CF PNP'!$BU$61</f>
        <v>0</v>
      </c>
      <c r="BN22" s="25">
        <f>'[2]CF PNP'!$BU$62</f>
        <v>0</v>
      </c>
      <c r="BO22" s="25">
        <f>'[2]CF PNP'!$BU$63</f>
        <v>0</v>
      </c>
      <c r="BP22" s="25">
        <f>'[2]CF PNP'!$BU$64</f>
        <v>0</v>
      </c>
      <c r="BQ22" s="25">
        <f>'[2]CF PNP'!$BU$65</f>
        <v>0</v>
      </c>
      <c r="BR22" s="25">
        <f>'[2]CF PNP'!$BU$66</f>
        <v>0</v>
      </c>
      <c r="BS22" s="25">
        <f>'[2]CF PNP'!$BU$67</f>
        <v>0</v>
      </c>
      <c r="BT22" s="25">
        <f>'[2]CF PNP'!$BU$68</f>
        <v>0</v>
      </c>
      <c r="BU22" s="25">
        <f>'[2]CF PNP'!$BU$69</f>
        <v>0</v>
      </c>
      <c r="BV22" s="25">
        <f>'[2]CF PNP'!$BU$70</f>
        <v>0</v>
      </c>
      <c r="BW22" s="25">
        <f>'[2]CF PNP'!$BU$71</f>
        <v>0</v>
      </c>
      <c r="BX22" s="25">
        <f>'[2]CF PNP'!$BU$72</f>
        <v>0</v>
      </c>
      <c r="BY22" s="26">
        <f>SUM(AN22:BX22)</f>
        <v>7925321</v>
      </c>
      <c r="BZ22" s="27">
        <f>'[2]CF PND'!$BU$36</f>
        <v>0</v>
      </c>
      <c r="CA22" s="25">
        <f>'[2]CF PND'!$BU$37</f>
        <v>5001</v>
      </c>
      <c r="CB22" s="25">
        <f>'[2]CF PND'!$BU$38</f>
        <v>1357830</v>
      </c>
      <c r="CC22" s="25">
        <f>'[2]CF PND'!$BU$39</f>
        <v>2450727</v>
      </c>
      <c r="CD22" s="25">
        <f>'[2]CF PND'!$BU$40</f>
        <v>2864289</v>
      </c>
      <c r="CE22" s="25">
        <f>'[2]CF PND'!$BU$41</f>
        <v>3176865</v>
      </c>
      <c r="CF22" s="25">
        <f>'[2]CF PND'!$BU$42</f>
        <v>2824660</v>
      </c>
      <c r="CG22" s="25">
        <f>'[2]CF PND'!$BU$43</f>
        <v>2524409</v>
      </c>
      <c r="CH22" s="25">
        <f>'[2]CF PND'!$BU$44</f>
        <v>2473652</v>
      </c>
      <c r="CI22" s="25">
        <f>'[2]CF PND'!$BU$45</f>
        <v>2419252</v>
      </c>
      <c r="CJ22" s="25">
        <f>'[2]CF PND'!$BU$46</f>
        <v>2402866</v>
      </c>
      <c r="CK22" s="25">
        <f>'[2]CF PND'!$BU$47</f>
        <v>2388877</v>
      </c>
      <c r="CL22" s="25">
        <f>'[2]CF PND'!$BU$48</f>
        <v>2377425</v>
      </c>
      <c r="CM22" s="25">
        <f>'[2]CF PND'!$BU$49</f>
        <v>2331781</v>
      </c>
      <c r="CN22" s="25">
        <f>'[2]CF PND'!$BU$50</f>
        <v>2326189</v>
      </c>
      <c r="CO22" s="25">
        <f>'[2]CF PND'!$BU$51</f>
        <v>2283590</v>
      </c>
      <c r="CP22" s="25">
        <f>'[2]CF PND'!$BU$52</f>
        <v>2275079</v>
      </c>
      <c r="CQ22" s="25">
        <f>'[2]CF PND'!$BU$53</f>
        <v>2076794</v>
      </c>
      <c r="CR22" s="25">
        <f>'[2]CF PND'!$BU$54</f>
        <v>0</v>
      </c>
      <c r="CS22" s="25">
        <f>'[2]CF PND'!$BU$55</f>
        <v>0</v>
      </c>
      <c r="CT22" s="25">
        <f>'[2]CF PND'!$BU$56</f>
        <v>0</v>
      </c>
      <c r="CU22" s="25">
        <f>'[2]CF PND'!$BU$57</f>
        <v>0</v>
      </c>
      <c r="CV22" s="25">
        <f>'[2]CF PND'!$BU$58</f>
        <v>0</v>
      </c>
      <c r="CW22" s="25">
        <f>'[2]CF PND'!$BU$59</f>
        <v>0</v>
      </c>
      <c r="CX22" s="25">
        <f>'[2]CF PND'!$BU$60</f>
        <v>0</v>
      </c>
      <c r="CY22" s="25">
        <f>'[2]CF PND'!$BU$61</f>
        <v>0</v>
      </c>
      <c r="CZ22" s="25">
        <f>'[2]CF PND'!$BU$62</f>
        <v>0</v>
      </c>
      <c r="DA22" s="25">
        <f>'[2]CF PND'!$BU$63</f>
        <v>0</v>
      </c>
      <c r="DB22" s="25">
        <f>'[2]CF PND'!$BU$64</f>
        <v>0</v>
      </c>
      <c r="DC22" s="25">
        <f>'[2]CF PND'!$BU$65</f>
        <v>0</v>
      </c>
      <c r="DD22" s="25">
        <f>'[2]CF PND'!$BU$66</f>
        <v>0</v>
      </c>
      <c r="DE22" s="25">
        <f>'[2]CF PND'!$BU$67</f>
        <v>0</v>
      </c>
      <c r="DF22" s="25">
        <f>'[2]CF PND'!$BU$68</f>
        <v>0</v>
      </c>
      <c r="DG22" s="25">
        <f>'[2]CF PND'!$BU$69</f>
        <v>0</v>
      </c>
      <c r="DH22" s="25">
        <f>'[2]CF PND'!$BU$70</f>
        <v>0</v>
      </c>
      <c r="DI22" s="25">
        <f>'[2]CF PND'!$BU$71</f>
        <v>0</v>
      </c>
      <c r="DJ22" s="25">
        <f>'[2]CF PND'!$BU$72</f>
        <v>0</v>
      </c>
      <c r="DK22" s="26">
        <f>SUM(BZ22:DJ22)</f>
        <v>38559286</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'[2]CF PRB'!$BU$36</f>
        <v>0</v>
      </c>
      <c r="HW22" s="25">
        <f>'[2]CF PRB'!$BU$37</f>
        <v>20141</v>
      </c>
      <c r="HX22" s="25">
        <f>'[2]CF PRB'!$BU$38</f>
        <v>503050</v>
      </c>
      <c r="HY22" s="25">
        <f>'[2]CF PRB'!$BU$39</f>
        <v>856266</v>
      </c>
      <c r="HZ22" s="25">
        <f>'[2]CF PRB'!$BU$40</f>
        <v>1186528</v>
      </c>
      <c r="IA22" s="25">
        <f>'[2]CF PRB'!$BU$41</f>
        <v>1407868</v>
      </c>
      <c r="IB22" s="25">
        <f>'[2]CF PRB'!$BU$42</f>
        <v>1511605</v>
      </c>
      <c r="IC22" s="25">
        <f>'[2]CF PRB'!$BU$43</f>
        <v>1524605</v>
      </c>
      <c r="ID22" s="25">
        <f>'[2]CF PRB'!$BU$44</f>
        <v>1511570</v>
      </c>
      <c r="IE22" s="25">
        <f>'[2]CF PRB'!$BU$45</f>
        <v>1478217</v>
      </c>
      <c r="IF22" s="25">
        <f>'[2]CF PRB'!$BU$46</f>
        <v>1361103</v>
      </c>
      <c r="IG22" s="25">
        <f>'[2]CF PRB'!$BU$47</f>
        <v>1354208</v>
      </c>
      <c r="IH22" s="25">
        <f>'[2]CF PRB'!$BU$48</f>
        <v>1351086</v>
      </c>
      <c r="II22" s="25">
        <f>'[2]CF PRB'!$BU$49</f>
        <v>1347655</v>
      </c>
      <c r="IJ22" s="25">
        <f>'[2]CF PRB'!$BU$50</f>
        <v>1344775</v>
      </c>
      <c r="IK22" s="25">
        <f>'[2]CF PRB'!$BU$51</f>
        <v>1341938</v>
      </c>
      <c r="IL22" s="25">
        <f>'[2]CF PRB'!$BU$52</f>
        <v>1341701</v>
      </c>
      <c r="IM22" s="25">
        <f>'[2]CF PRB'!$BU$53</f>
        <v>1358323</v>
      </c>
      <c r="IN22" s="25">
        <f>'[2]CF PRB'!$BU$54</f>
        <v>3334087</v>
      </c>
      <c r="IO22" s="25">
        <f>'[2]CF PRB'!$BU$55</f>
        <v>3310536</v>
      </c>
      <c r="IP22" s="25">
        <f>'[2]CF PRB'!$BU$56</f>
        <v>0</v>
      </c>
      <c r="IQ22" s="25">
        <f>'[2]CF PRB'!$BU$57</f>
        <v>0</v>
      </c>
      <c r="IR22" s="25">
        <f>'[2]CF PRB'!$BU$58</f>
        <v>0</v>
      </c>
      <c r="IS22" s="25">
        <f>'[2]CF PRB'!$BU$59</f>
        <v>0</v>
      </c>
      <c r="IT22" s="25">
        <f>'[2]CF PRB'!$BU$60</f>
        <v>0</v>
      </c>
      <c r="IU22" s="25">
        <f>'[2]CF PRB'!$BU$61</f>
        <v>0</v>
      </c>
      <c r="IV22" s="25">
        <f>'[2]CF PRB'!$BU$62</f>
        <v>0</v>
      </c>
      <c r="IW22" s="25">
        <f>'[2]CF PRB'!$BU$63</f>
        <v>0</v>
      </c>
      <c r="IX22" s="25">
        <f>'[2]CF PRB'!$BU$64</f>
        <v>0</v>
      </c>
      <c r="IY22" s="25">
        <f>'[2]CF PRB'!$BU$65</f>
        <v>0</v>
      </c>
      <c r="IZ22" s="25">
        <f>'[2]CF PRB'!$BU$66</f>
        <v>0</v>
      </c>
      <c r="JA22" s="25">
        <f>'[2]CF PRB'!$BU$67</f>
        <v>0</v>
      </c>
      <c r="JB22" s="25">
        <f>'[2]CF PRB'!$BU$68</f>
        <v>0</v>
      </c>
      <c r="JC22" s="25">
        <f>'[2]CF PRB'!$BU$69</f>
        <v>0</v>
      </c>
      <c r="JD22" s="25">
        <f>'[2]CF PRB'!$BU$70</f>
        <v>0</v>
      </c>
      <c r="JE22" s="25">
        <f>'[2]CF PRB'!$BU$71</f>
        <v>0</v>
      </c>
      <c r="JF22" s="25">
        <f>'[2]CF PRB'!$BU$72</f>
        <v>0</v>
      </c>
      <c r="JG22" s="26">
        <f>SUM(HV22:JF22)</f>
        <v>27445262</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'[2]CF PS'!$BU$36</f>
        <v>0</v>
      </c>
      <c r="NS22" s="25">
        <f>'[2]CF PS'!$BU$37</f>
        <v>1792</v>
      </c>
      <c r="NT22" s="25">
        <f>'[2]CF PS'!$BU$38</f>
        <v>285593</v>
      </c>
      <c r="NU22" s="25">
        <f>'[2]CF PS'!$BU$39</f>
        <v>602050</v>
      </c>
      <c r="NV22" s="25">
        <f>'[2]CF PS'!$BU$40</f>
        <v>862408</v>
      </c>
      <c r="NW22" s="25">
        <f>'[2]CF PS'!$BU$41</f>
        <v>1103026</v>
      </c>
      <c r="NX22" s="25">
        <f>'[2]CF PS'!$BU$42</f>
        <v>1172557</v>
      </c>
      <c r="NY22" s="25">
        <f>'[2]CF PS'!$BU$43</f>
        <v>1177245</v>
      </c>
      <c r="NZ22" s="25">
        <f>'[2]CF PS'!$BU$44</f>
        <v>1172610</v>
      </c>
      <c r="OA22" s="25">
        <f>'[2]CF PS'!$BU$45</f>
        <v>1170172</v>
      </c>
      <c r="OB22" s="25">
        <f>'[2]CF PS'!$BU$46</f>
        <v>1180537</v>
      </c>
      <c r="OC22" s="25">
        <f>'[2]CF PS'!$BU$47</f>
        <v>1172533</v>
      </c>
      <c r="OD22" s="25">
        <f>'[2]CF PS'!$BU$48</f>
        <v>1164668</v>
      </c>
      <c r="OE22" s="25">
        <f>'[2]CF PS'!$BU$49</f>
        <v>1158153</v>
      </c>
      <c r="OF22" s="25">
        <f>'[2]CF PS'!$BU$50</f>
        <v>1150639</v>
      </c>
      <c r="OG22" s="25">
        <f>'[2]CF PS'!$BU$51</f>
        <v>1125878</v>
      </c>
      <c r="OH22" s="25">
        <f>'[2]CF PS'!$BU$52</f>
        <v>1087175</v>
      </c>
      <c r="OI22" s="25">
        <f>'[2]CF PS'!$BU$53</f>
        <v>1087932</v>
      </c>
      <c r="OJ22" s="25">
        <f>'[2]CF PS'!$BU$54</f>
        <v>1084864</v>
      </c>
      <c r="OK22" s="25">
        <f>'[2]CF PS'!$BU$55</f>
        <v>999276</v>
      </c>
      <c r="OL22" s="25">
        <f>'[2]CF PS'!$BU$56</f>
        <v>4183950</v>
      </c>
      <c r="OM22" s="25">
        <f>'[2]CF PS'!$BU$57</f>
        <v>11547499</v>
      </c>
      <c r="ON22" s="25">
        <f>'[2]CF PS'!$BU$58</f>
        <v>11385749</v>
      </c>
      <c r="OO22" s="25">
        <f>'[2]CF PS'!$BU$59</f>
        <v>11254293</v>
      </c>
      <c r="OP22" s="25">
        <f>'[2]CF PS'!$BU$60</f>
        <v>0</v>
      </c>
      <c r="OQ22" s="25">
        <f>'[2]CF PS'!$BU$61</f>
        <v>0</v>
      </c>
      <c r="OR22" s="25">
        <f>'[2]CF PS'!$BU$62</f>
        <v>0</v>
      </c>
      <c r="OS22" s="25">
        <f>'[2]CF PS'!$BU$63</f>
        <v>0</v>
      </c>
      <c r="OT22" s="25">
        <f>'[2]CF PS'!$BU$64</f>
        <v>0</v>
      </c>
      <c r="OU22" s="25">
        <f>'[2]CF PS'!$BU$65</f>
        <v>0</v>
      </c>
      <c r="OV22" s="25">
        <f>'[2]CF PS'!$BU$66</f>
        <v>0</v>
      </c>
      <c r="OW22" s="25">
        <f>'[2]CF PS'!$BU$67</f>
        <v>0</v>
      </c>
      <c r="OX22" s="25">
        <f>'[2]CF PS'!$BU$68</f>
        <v>0</v>
      </c>
      <c r="OY22" s="25">
        <f>'[2]CF PS'!$BU$69</f>
        <v>0</v>
      </c>
      <c r="OZ22" s="25">
        <f>'[2]CF PS'!$BU$70</f>
        <v>0</v>
      </c>
      <c r="PA22" s="25">
        <f>'[2]CF PS'!$BU$71</f>
        <v>0</v>
      </c>
      <c r="PB22" s="25">
        <f>'[2]CF PS'!$BU$72</f>
        <v>0</v>
      </c>
      <c r="PC22" s="26">
        <f>SUM(NR22:PB22)</f>
        <v>57130599</v>
      </c>
      <c r="PH22" s="16">
        <f>PF22+JG22+PC22</f>
        <v>84575861</v>
      </c>
    </row>
    <row r="23" spans="1:424" ht="15.6" thickBot="1" x14ac:dyDescent="0.4">
      <c r="A23" s="47" t="s">
        <v>47</v>
      </c>
      <c r="B23" s="40">
        <f>IF(AND(B21&lt;&gt;0,B22&lt;&gt;0),(B21-B22)/B22,IF(AND(B21=0,B22=0),"",IF(AND(B21="",B22=""),"",IF(AND(B21=0,B22=""),"", IF(AND(B21="",B22=0),"",1)))))</f>
        <v>-4.815918640850237E-2</v>
      </c>
      <c r="C23" s="40">
        <f t="shared" ref="C23" si="659">IF(AND(C21&lt;&gt;0,C22&lt;&gt;0),(C21-C22)/C22,IF(AND(C21=0,C22=0),"",IF(AND(C21="",C22=""),"",IF(AND(C21=0,C22=""),"", IF(AND(C21="",C22=0),"",1)))))</f>
        <v>-5.2178668785092953E-2</v>
      </c>
      <c r="D23" s="40">
        <f t="shared" ref="D23" si="660">IF(AND(D21&lt;&gt;0,D22&lt;&gt;0),(D21-D22)/D22,IF(AND(D21=0,D22=0),"",IF(AND(D21="",D22=""),"",IF(AND(D21=0,D22=""),"", IF(AND(D21="",D22=0),"",1)))))</f>
        <v>-0.10519173521543736</v>
      </c>
      <c r="E23" s="40">
        <f t="shared" ref="E23" si="661">IF(AND(E21&lt;&gt;0,E22&lt;&gt;0),(E21-E22)/E22,IF(AND(E21=0,E22=0),"",IF(AND(E21="",E22=""),"",IF(AND(E21=0,E22=""),"", IF(AND(E21="",E22=0),"",1)))))</f>
        <v>-0.22440005207659722</v>
      </c>
      <c r="F23" s="40">
        <f t="shared" ref="F23" si="662">IF(AND(F21&lt;&gt;0,F22&lt;&gt;0),(F21-F22)/F22,IF(AND(F21=0,F22=0),"",IF(AND(F21="",F22=""),"",IF(AND(F21=0,F22=""),"", IF(AND(F21="",F22=0),"",1)))))</f>
        <v>-0.34420860826383382</v>
      </c>
      <c r="G23" s="40">
        <f t="shared" ref="G23" si="663">IF(AND(G21&lt;&gt;0,G22&lt;&gt;0),(G21-G22)/G22,IF(AND(G21=0,G22=0),"",IF(AND(G21="",G22=""),"",IF(AND(G21=0,G22=""),"", IF(AND(G21="",G22=0),"",1)))))</f>
        <v>-0.38100953916133912</v>
      </c>
      <c r="H23" s="40">
        <f t="shared" ref="H23" si="664">IF(AND(H21&lt;&gt;0,H22&lt;&gt;0),(H21-H22)/H22,IF(AND(H21=0,H22=0),"",IF(AND(H21="",H22=""),"",IF(AND(H21=0,H22=""),"", IF(AND(H21="",H22=0),"",1)))))</f>
        <v>-0.37006234148703476</v>
      </c>
      <c r="I23" s="40">
        <f t="shared" ref="I23" si="665">IF(AND(I21&lt;&gt;0,I22&lt;&gt;0),(I21-I22)/I22,IF(AND(I21=0,I22=0),"",IF(AND(I21="",I22=""),"",IF(AND(I21=0,I22=""),"", IF(AND(I21="",I22=0),"",1)))))</f>
        <v>-0.34772316824789007</v>
      </c>
      <c r="J23" s="40">
        <f t="shared" ref="J23" si="666">IF(AND(J21&lt;&gt;0,J22&lt;&gt;0),(J21-J22)/J22,IF(AND(J21=0,J22=0),"",IF(AND(J21="",J22=""),"",IF(AND(J21=0,J22=""),"", IF(AND(J21="",J22=0),"",1)))))</f>
        <v>-0.32294396610785109</v>
      </c>
      <c r="K23" s="40">
        <f t="shared" ref="K23" si="667">IF(AND(K21&lt;&gt;0,K22&lt;&gt;0),(K21-K22)/K22,IF(AND(K21=0,K22=0),"",IF(AND(K21="",K22=""),"",IF(AND(K21=0,K22=""),"", IF(AND(K21="",K22=0),"",1)))))</f>
        <v>-0.29856133171113158</v>
      </c>
      <c r="L23" s="40">
        <f t="shared" ref="L23" si="668">IF(AND(L21&lt;&gt;0,L22&lt;&gt;0),(L21-L22)/L22,IF(AND(L21=0,L22=0),"",IF(AND(L21="",L22=""),"",IF(AND(L21=0,L22=""),"", IF(AND(L21="",L22=0),"",1)))))</f>
        <v>-0.2760479113336704</v>
      </c>
      <c r="M23" s="40">
        <f t="shared" ref="M23" si="669">IF(AND(M21&lt;&gt;0,M22&lt;&gt;0),(M21-M22)/M22,IF(AND(M21=0,M22=0),"",IF(AND(M21="",M22=""),"",IF(AND(M21=0,M22=""),"", IF(AND(M21="",M22=0),"",1)))))</f>
        <v>-0.25478765852551899</v>
      </c>
      <c r="N23" s="40">
        <f t="shared" ref="N23" si="670">IF(AND(N21&lt;&gt;0,N22&lt;&gt;0),(N21-N22)/N22,IF(AND(N21=0,N22=0),"",IF(AND(N21="",N22=""),"",IF(AND(N21=0,N22=""),"", IF(AND(N21="",N22=0),"",1)))))</f>
        <v>-0.22973913884716751</v>
      </c>
      <c r="O23" s="40">
        <f t="shared" ref="O23" si="671">IF(AND(O21&lt;&gt;0,O22&lt;&gt;0),(O21-O22)/O22,IF(AND(O21=0,O22=0),"",IF(AND(O21="",O22=""),"",IF(AND(O21=0,O22=""),"", IF(AND(O21="",O22=0),"",1)))))</f>
        <v>-0.20009980644847639</v>
      </c>
      <c r="P23" s="40">
        <f t="shared" ref="P23" si="672">IF(AND(P21&lt;&gt;0,P22&lt;&gt;0),(P21-P22)/P22,IF(AND(P21=0,P22=0),"",IF(AND(P21="",P22=""),"",IF(AND(P21=0,P22=""),"", IF(AND(P21="",P22=0),"",1)))))</f>
        <v>-0.16934860827111575</v>
      </c>
      <c r="Q23" s="40">
        <f t="shared" ref="Q23" si="673">IF(AND(Q21&lt;&gt;0,Q22&lt;&gt;0),(Q21-Q22)/Q22,IF(AND(Q21=0,Q22=0),"",IF(AND(Q21="",Q22=""),"",IF(AND(Q21=0,Q22=""),"", IF(AND(Q21="",Q22=0),"",1)))))</f>
        <v>-0.13702121565061068</v>
      </c>
      <c r="R23" s="40">
        <f t="shared" ref="R23" si="674">IF(AND(R21&lt;&gt;0,R22&lt;&gt;0),(R21-R22)/R22,IF(AND(R21=0,R22=0),"",IF(AND(R21="",R22=""),"",IF(AND(R21=0,R22=""),"", IF(AND(R21="",R22=0),"",1)))))</f>
        <v>-0.10005727775373097</v>
      </c>
      <c r="S23" s="40">
        <f t="shared" ref="S23" si="675">IF(AND(S21&lt;&gt;0,S22&lt;&gt;0),(S21-S22)/S22,IF(AND(S21=0,S22=0),"",IF(AND(S21="",S22=""),"",IF(AND(S21=0,S22=""),"", IF(AND(S21="",S22=0),"",1)))))</f>
        <v>-6.0705496254626359E-2</v>
      </c>
      <c r="T23" s="40">
        <f t="shared" ref="T23" si="676">IF(AND(T21&lt;&gt;0,T22&lt;&gt;0),(T21-T22)/T22,IF(AND(T21=0,T22=0),"",IF(AND(T21="",T22=""),"",IF(AND(T21=0,T22=""),"", IF(AND(T21="",T22=0),"",1)))))</f>
        <v>-4.8754373917177581E-2</v>
      </c>
      <c r="U23" s="40">
        <f t="shared" ref="U23" si="677">IF(AND(U21&lt;&gt;0,U22&lt;&gt;0),(U21-U22)/U22,IF(AND(U21=0,U22=0),"",IF(AND(U21="",U22=""),"",IF(AND(U21=0,U22=""),"", IF(AND(U21="",U22=0),"",1)))))</f>
        <v>-5.1104462751173037E-2</v>
      </c>
      <c r="V23" s="40">
        <f t="shared" ref="V23" si="678">IF(AND(V21&lt;&gt;0,V22&lt;&gt;0),(V21-V22)/V22,IF(AND(V21=0,V22=0),"",IF(AND(V21="",V22=""),"",IF(AND(V21=0,V22=""),"", IF(AND(V21="",V22=0),"",1)))))</f>
        <v>-5.2418932297149334E-2</v>
      </c>
      <c r="W23" s="40">
        <f t="shared" ref="W23" si="679">IF(AND(W21&lt;&gt;0,W22&lt;&gt;0),(W21-W22)/W22,IF(AND(W21=0,W22=0),"",IF(AND(W21="",W22=""),"",IF(AND(W21=0,W22=""),"", IF(AND(W21="",W22=0),"",1)))))</f>
        <v>1</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-0.18672954168780789</v>
      </c>
      <c r="AN23" s="39">
        <f t="shared" ref="AN23" si="682">IF(AND(AN21&lt;&gt;0,AN22&lt;&gt;0),(AN21-AN22)/AN22,IF(AND(AN21=0,AN22=0),"",IF(AND(AN21="",AN22=""),"",IF(AND(AN21=0,AN22=""),"", IF(AND(AN21="",AN22=0),"",1)))))</f>
        <v>0.90987149982488258</v>
      </c>
      <c r="AO23" s="40">
        <f t="shared" ref="AO23" si="683">IF(AND(AO21&lt;&gt;0,AO22&lt;&gt;0),(AO21-AO22)/AO22,IF(AND(AO21=0,AO22=0),"",IF(AND(AO21="",AO22=""),"",IF(AND(AO21=0,AO22=""),"", IF(AND(AO21="",AO22=0),"",1)))))</f>
        <v>1.001329413048347</v>
      </c>
      <c r="AP23" s="40">
        <f t="shared" ref="AP23" si="684">IF(AND(AP21&lt;&gt;0,AP22&lt;&gt;0),(AP21-AP22)/AP22,IF(AND(AP21=0,AP22=0),"",IF(AND(AP21="",AP22=""),"",IF(AND(AP21=0,AP22=""),"", IF(AND(AP21="",AP22=0),"",1)))))</f>
        <v>0.89482138060561711</v>
      </c>
      <c r="AQ23" s="40">
        <f t="shared" ref="AQ23" si="685">IF(AND(AQ21&lt;&gt;0,AQ22&lt;&gt;0),(AQ21-AQ22)/AQ22,IF(AND(AQ21=0,AQ22=0),"",IF(AND(AQ21="",AQ22=""),"",IF(AND(AQ21=0,AQ22=""),"", IF(AND(AQ21="",AQ22=0),"",1)))))</f>
        <v>0.64990438485421398</v>
      </c>
      <c r="AR23" s="40">
        <f t="shared" ref="AR23" si="686">IF(AND(AR21&lt;&gt;0,AR22&lt;&gt;0),(AR21-AR22)/AR22,IF(AND(AR21=0,AR22=0),"",IF(AND(AR21="",AR22=""),"",IF(AND(AR21=0,AR22=""),"", IF(AND(AR21="",AR22=0),"",1)))))</f>
        <v>0.40803322553951349</v>
      </c>
      <c r="AS23" s="40">
        <f t="shared" ref="AS23" si="687">IF(AND(AS21&lt;&gt;0,AS22&lt;&gt;0),(AS21-AS22)/AS22,IF(AND(AS21=0,AS22=0),"",IF(AND(AS21="",AS22=""),"",IF(AND(AS21=0,AS22=""),"", IF(AND(AS21="",AS22=0),"",1)))))</f>
        <v>0.41209119862771915</v>
      </c>
      <c r="AT23" s="40">
        <f t="shared" ref="AT23" si="688">IF(AND(AT21&lt;&gt;0,AT22&lt;&gt;0),(AT21-AT22)/AT22,IF(AND(AT21=0,AT22=0),"",IF(AND(AT21="",AT22=""),"",IF(AND(AT21=0,AT22=""),"", IF(AND(AT21="",AT22=0),"",1)))))</f>
        <v>0.48184858969454009</v>
      </c>
      <c r="AU23" s="40">
        <f t="shared" ref="AU23" si="689">IF(AND(AU21&lt;&gt;0,AU22&lt;&gt;0),(AU21-AU22)/AU22,IF(AND(AU21=0,AU22=0),"",IF(AND(AU21="",AU22=""),"",IF(AND(AU21=0,AU22=""),"", IF(AND(AU21="",AU22=0),"",1)))))</f>
        <v>0.55033452619046952</v>
      </c>
      <c r="AV23" s="40">
        <f t="shared" ref="AV23" si="690">IF(AND(AV21&lt;&gt;0,AV22&lt;&gt;0),(AV21-AV22)/AV22,IF(AND(AV21=0,AV22=0),"",IF(AND(AV21="",AV22=""),"",IF(AND(AV21=0,AV22=""),"", IF(AND(AV21="",AV22=0),"",1)))))</f>
        <v>0.61556444548594258</v>
      </c>
      <c r="AW23" s="40">
        <f t="shared" ref="AW23" si="691">IF(AND(AW21&lt;&gt;0,AW22&lt;&gt;0),(AW21-AW22)/AW22,IF(AND(AW21=0,AW22=0),"",IF(AND(AW21="",AW22=""),"",IF(AND(AW21=0,AW22=""),"", IF(AND(AW21="",AW22=0),"",1)))))</f>
        <v>0.67947970135324309</v>
      </c>
      <c r="AX23" s="40">
        <f t="shared" ref="AX23" si="692">IF(AND(AX21&lt;&gt;0,AX22&lt;&gt;0),(AX21-AX22)/AX22,IF(AND(AX21=0,AX22=0),"",IF(AND(AX21="",AX22=""),"",IF(AND(AX21=0,AX22=""),"", IF(AND(AX21="",AX22=0),"",1)))))</f>
        <v>0.73899646530193497</v>
      </c>
      <c r="AY23" s="40">
        <f t="shared" ref="AY23" si="693">IF(AND(AY21&lt;&gt;0,AY22&lt;&gt;0),(AY21-AY22)/AY22,IF(AND(AY21=0,AY22=0),"",IF(AND(AY21="",AY22=""),"",IF(AND(AY21=0,AY22=""),"", IF(AND(AY21="",AY22=0),"",1)))))</f>
        <v>0.79268343631512428</v>
      </c>
      <c r="AZ23" s="40">
        <f t="shared" ref="AZ23" si="694">IF(AND(AZ21&lt;&gt;0,AZ22&lt;&gt;0),(AZ21-AZ22)/AZ22,IF(AND(AZ21=0,AZ22=0),"",IF(AND(AZ21="",AZ22=""),"",IF(AND(AZ21=0,AZ22=""),"", IF(AND(AZ21="",AZ22=0),"",1)))))</f>
        <v>0.84416788583003921</v>
      </c>
      <c r="BA23" s="40">
        <f t="shared" ref="BA23" si="695">IF(AND(BA21&lt;&gt;0,BA22&lt;&gt;0),(BA21-BA22)/BA22,IF(AND(BA21=0,BA22=0),"",IF(AND(BA21="",BA22=""),"",IF(AND(BA21=0,BA22=""),"", IF(AND(BA21="",BA22=0),"",1)))))</f>
        <v>0.89404311308298867</v>
      </c>
      <c r="BB23" s="40">
        <f t="shared" ref="BB23" si="696">IF(AND(BB21&lt;&gt;0,BB22&lt;&gt;0),(BB21-BB22)/BB22,IF(AND(BB21=0,BB22=0),"",IF(AND(BB21="",BB22=""),"",IF(AND(BB21=0,BB22=""),"", IF(AND(BB21="",BB22=0),"",1)))))</f>
        <v>0.9415110903252748</v>
      </c>
      <c r="BC23" s="40">
        <f t="shared" ref="BC23" si="697">IF(AND(BC21&lt;&gt;0,BC22&lt;&gt;0),(BC21-BC22)/BC22,IF(AND(BC21=0,BC22=0),"",IF(AND(BC21="",BC22=""),"",IF(AND(BC21=0,BC22=""),"", IF(AND(BC21="",BC22=0),"",1)))))</f>
        <v>0.98226435815582802</v>
      </c>
      <c r="BD23" s="40">
        <f t="shared" ref="BD23" si="698">IF(AND(BD21&lt;&gt;0,BD22&lt;&gt;0),(BD21-BD22)/BD22,IF(AND(BD21=0,BD22=0),"",IF(AND(BD21="",BD22=""),"",IF(AND(BD21=0,BD22=""),"", IF(AND(BD21="",BD22=0),"",1)))))</f>
        <v>1.0261404868226438</v>
      </c>
      <c r="BE23" s="40">
        <f t="shared" ref="BE23" si="699">IF(AND(BE21&lt;&gt;0,BE22&lt;&gt;0),(BE21-BE22)/BE22,IF(AND(BE21=0,BE22=0),"",IF(AND(BE21="",BE22=""),"",IF(AND(BE21=0,BE22=""),"", IF(AND(BE21="",BE22=0),"",1)))))</f>
        <v>1.0613886885570452</v>
      </c>
      <c r="BF23" s="40">
        <f t="shared" ref="BF23" si="700">IF(AND(BF21&lt;&gt;0,BF22&lt;&gt;0),(BF21-BF22)/BF22,IF(AND(BF21=0,BF22=0),"",IF(AND(BF21="",BF22=""),"",IF(AND(BF21=0,BF22=""),"", IF(AND(BF21="",BF22=0),"",1)))))</f>
        <v>1.033322425365417</v>
      </c>
      <c r="BG23" s="40">
        <f t="shared" ref="BG23" si="701">IF(AND(BG21&lt;&gt;0,BG22&lt;&gt;0),(BG21-BG22)/BG22,IF(AND(BG21=0,BG22=0),"",IF(AND(BG21="",BG22=""),"",IF(AND(BG21=0,BG22=""),"", IF(AND(BG21="",BG22=0),"",1)))))</f>
        <v>1.2055207689672505</v>
      </c>
      <c r="BH23" s="40">
        <f t="shared" ref="BH23" si="702">IF(AND(BH21&lt;&gt;0,BH22&lt;&gt;0),(BH21-BH22)/BH22,IF(AND(BH21=0,BH22=0),"",IF(AND(BH21="",BH22=""),"",IF(AND(BH21=0,BH22=""),"", IF(AND(BH21="",BH22=0),"",1)))))</f>
        <v>1.3554467686637373</v>
      </c>
      <c r="BI23" s="40">
        <f t="shared" ref="BI23" si="703">IF(AND(BI21&lt;&gt;0,BI22&lt;&gt;0),(BI21-BI22)/BI22,IF(AND(BI21=0,BI22=0),"",IF(AND(BI21="",BI22=""),"",IF(AND(BI21=0,BI22=""),"", IF(AND(BI21="",BI22=0),"",1)))))</f>
        <v>1</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f t="shared" ref="BY23" si="705">IF(AND(BY21&lt;&gt;0,BY22&lt;&gt;0),(BY21-BY22)/BY22,IF(AND(BY21=0,BY22=0),"",IF(AND(BY21="",BY22=""),"",IF(AND(BY21=0,BY22=""),"", IF(AND(BY21="",BY22=0),"",1)))))</f>
        <v>0.84783541220286218</v>
      </c>
      <c r="BZ23" s="39" t="str">
        <f t="shared" ref="BZ23" si="706">IF(AND(BZ21&lt;&gt;0,BZ22&lt;&gt;0),(BZ21-BZ22)/BZ22,IF(AND(BZ21=0,BZ22=0),"",IF(AND(BZ21="",BZ22=""),"",IF(AND(BZ21=0,BZ22=""),"", IF(AND(BZ21="",BZ22=0),"",1)))))</f>
        <v/>
      </c>
      <c r="CA23" s="40">
        <f t="shared" ref="CA23" si="707">IF(AND(CA21&lt;&gt;0,CA22&lt;&gt;0),(CA21-CA22)/CA22,IF(AND(CA21=0,CA22=0),"",IF(AND(CA21="",CA22=""),"",IF(AND(CA21=0,CA22=""),"", IF(AND(CA21="",CA22=0),"",1)))))</f>
        <v>5.7595902694461106E-4</v>
      </c>
      <c r="CB23" s="40">
        <f t="shared" ref="CB23" si="708">IF(AND(CB21&lt;&gt;0,CB22&lt;&gt;0),(CB21-CB22)/CB22,IF(AND(CB21=0,CB22=0),"",IF(AND(CB21="",CB22=""),"",IF(AND(CB21=0,CB22=""),"", IF(AND(CB21="",CB22=0),"",1)))))</f>
        <v>0.42390625115073316</v>
      </c>
      <c r="CC23" s="40">
        <f t="shared" ref="CC23" si="709">IF(AND(CC21&lt;&gt;0,CC22&lt;&gt;0),(CC21-CC22)/CC22,IF(AND(CC21=0,CC22=0),"",IF(AND(CC21="",CC22=""),"",IF(AND(CC21=0,CC22=""),"", IF(AND(CC21="",CC22=0),"",1)))))</f>
        <v>0.73142540968455483</v>
      </c>
      <c r="CD23" s="40">
        <f t="shared" ref="CD23" si="710">IF(AND(CD21&lt;&gt;0,CD22&lt;&gt;0),(CD21-CD22)/CD22,IF(AND(CD21=0,CD22=0),"",IF(AND(CD21="",CD22=""),"",IF(AND(CD21=0,CD22=""),"", IF(AND(CD21="",CD22=0),"",1)))))</f>
        <v>1.0461374533086572</v>
      </c>
      <c r="CE23" s="40">
        <f t="shared" ref="CE23" si="711">IF(AND(CE21&lt;&gt;0,CE22&lt;&gt;0),(CE21-CE22)/CE22,IF(AND(CE21=0,CE22=0),"",IF(AND(CE21="",CE22=""),"",IF(AND(CE21=0,CE22=""),"", IF(AND(CE21="",CE22=0),"",1)))))</f>
        <v>1.0547646815335243</v>
      </c>
      <c r="CF23" s="40">
        <f t="shared" ref="CF23" si="712">IF(AND(CF21&lt;&gt;0,CF22&lt;&gt;0),(CF21-CF22)/CF22,IF(AND(CF21=0,CF22=0),"",IF(AND(CF21="",CF22=""),"",IF(AND(CF21=0,CF22=""),"", IF(AND(CF21="",CF22=0),"",1)))))</f>
        <v>1.1245928713544284</v>
      </c>
      <c r="CG23" s="40">
        <f t="shared" ref="CG23" si="713">IF(AND(CG21&lt;&gt;0,CG22&lt;&gt;0),(CG21-CG22)/CG22,IF(AND(CG21=0,CG22=0),"",IF(AND(CG21="",CG22=""),"",IF(AND(CG21=0,CG22=""),"", IF(AND(CG21="",CG22=0),"",1)))))</f>
        <v>1.1512617408668722</v>
      </c>
      <c r="CH23" s="40">
        <f t="shared" ref="CH23" si="714">IF(AND(CH21&lt;&gt;0,CH22&lt;&gt;0),(CH21-CH22)/CH22,IF(AND(CH21=0,CH22=0),"",IF(AND(CH21="",CH22=""),"",IF(AND(CH21=0,CH22=""),"", IF(AND(CH21="",CH22=0),"",1)))))</f>
        <v>1.0703035431014549</v>
      </c>
      <c r="CI23" s="40">
        <f t="shared" ref="CI23" si="715">IF(AND(CI21&lt;&gt;0,CI22&lt;&gt;0),(CI21-CI22)/CI22,IF(AND(CI21=0,CI22=0),"",IF(AND(CI21="",CI22=""),"",IF(AND(CI21=0,CI22=""),"", IF(AND(CI21="",CI22=0),"",1)))))</f>
        <v>0.98569495860704048</v>
      </c>
      <c r="CJ23" s="40">
        <f t="shared" ref="CJ23" si="716">IF(AND(CJ21&lt;&gt;0,CJ22&lt;&gt;0),(CJ21-CJ22)/CJ22,IF(AND(CJ21=0,CJ22=0),"",IF(AND(CJ21="",CJ22=""),"",IF(AND(CJ21=0,CJ22=""),"", IF(AND(CJ21="",CJ22=0),"",1)))))</f>
        <v>0.88225997621174046</v>
      </c>
      <c r="CK23" s="40">
        <f t="shared" ref="CK23" si="717">IF(AND(CK21&lt;&gt;0,CK22&lt;&gt;0),(CK21-CK22)/CK22,IF(AND(CK21=0,CK22=0),"",IF(AND(CK21="",CK22=""),"",IF(AND(CK21=0,CK22=""),"", IF(AND(CK21="",CK22=0),"",1)))))</f>
        <v>0.77167660787893222</v>
      </c>
      <c r="CL23" s="40">
        <f t="shared" ref="CL23" si="718">IF(AND(CL21&lt;&gt;0,CL22&lt;&gt;0),(CL21-CL22)/CL22,IF(AND(CL21=0,CL22=0),"",IF(AND(CL21="",CL22=""),"",IF(AND(CL21=0,CL22=""),"", IF(AND(CL21="",CL22=0),"",1)))))</f>
        <v>0.65872856136366031</v>
      </c>
      <c r="CM23" s="40">
        <f t="shared" ref="CM23" si="719">IF(AND(CM21&lt;&gt;0,CM22&lt;&gt;0),(CM21-CM22)/CM22,IF(AND(CM21=0,CM22=0),"",IF(AND(CM21="",CM22=""),"",IF(AND(CM21=0,CM22=""),"", IF(AND(CM21="",CM22=0),"",1)))))</f>
        <v>0.55044523906833442</v>
      </c>
      <c r="CN23" s="40">
        <f t="shared" ref="CN23" si="720">IF(AND(CN21&lt;&gt;0,CN22&lt;&gt;0),(CN21-CN22)/CN22,IF(AND(CN21=0,CN22=0),"",IF(AND(CN21="",CN22=""),"",IF(AND(CN21=0,CN22=""),"", IF(AND(CN21="",CN22=0),"",1)))))</f>
        <v>0.431424209296837</v>
      </c>
      <c r="CO23" s="40">
        <f t="shared" ref="CO23" si="721">IF(AND(CO21&lt;&gt;0,CO22&lt;&gt;0),(CO21-CO22)/CO22,IF(AND(CO21=0,CO22=0),"",IF(AND(CO21="",CO22=""),"",IF(AND(CO21=0,CO22=""),"", IF(AND(CO21="",CO22=0),"",1)))))</f>
        <v>0.31350855451285037</v>
      </c>
      <c r="CP23" s="40">
        <f t="shared" ref="CP23" si="722">IF(AND(CP21&lt;&gt;0,CP22&lt;&gt;0),(CP21-CP22)/CP22,IF(AND(CP21=0,CP22=0),"",IF(AND(CP21="",CP22=""),"",IF(AND(CP21=0,CP22=""),"", IF(AND(CP21="",CP22=0),"",1)))))</f>
        <v>0.1811830490281876</v>
      </c>
      <c r="CQ23" s="40">
        <f t="shared" ref="CQ23" si="723">IF(AND(CQ21&lt;&gt;0,CQ22&lt;&gt;0),(CQ21-CQ22)/CQ22,IF(AND(CQ21=0,CQ22=0),"",IF(AND(CQ21="",CQ22=""),"",IF(AND(CQ21=0,CQ22=""),"", IF(AND(CQ21="",CQ22=0),"",1)))))</f>
        <v>-0.2006773420955569</v>
      </c>
      <c r="CR23" s="40" t="str">
        <f t="shared" ref="CR23" si="724">IF(AND(CR21&lt;&gt;0,CR22&lt;&gt;0),(CR21-CR22)/CR22,IF(AND(CR21=0,CR22=0),"",IF(AND(CR21="",CR22=""),"",IF(AND(CR21=0,CR22=""),"", IF(AND(CR21="",CR22=0),"",1)))))</f>
        <v/>
      </c>
      <c r="CS23" s="40" t="str">
        <f t="shared" ref="CS23" si="725">IF(AND(CS21&lt;&gt;0,CS22&lt;&gt;0),(CS21-CS22)/CS22,IF(AND(CS21=0,CS22=0),"",IF(AND(CS21="",CS22=""),"",IF(AND(CS21=0,CS22=""),"", IF(AND(CS21="",CS22=0),"",1)))))</f>
        <v/>
      </c>
      <c r="CT23" s="40" t="str">
        <f t="shared" ref="CT23" si="726">IF(AND(CT21&lt;&gt;0,CT22&lt;&gt;0),(CT21-CT22)/CT22,IF(AND(CT21=0,CT22=0),"",IF(AND(CT21="",CT22=""),"",IF(AND(CT21=0,CT22=""),"", IF(AND(CT21="",CT22=0),"",1)))))</f>
        <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f t="shared" ref="DK23:HU23" si="729">IF(AND(DK21&lt;&gt;0,DK22&lt;&gt;0),(DK21-DK22)/DK22,IF(AND(DK21=0,DK22=0),"",IF(AND(DK21="",DK22=""),"",IF(AND(DK21=0,DK22=""),"", IF(AND(DK21="",DK22=0),"",1)))))</f>
        <v>0.73544887489283628</v>
      </c>
      <c r="DL23" s="72" t="str">
        <f t="shared" si="729"/>
        <v/>
      </c>
      <c r="DM23" s="73" t="str">
        <f t="shared" si="729"/>
        <v/>
      </c>
      <c r="DN23" s="73" t="str">
        <f t="shared" si="729"/>
        <v/>
      </c>
      <c r="DO23" s="73" t="str">
        <f t="shared" si="729"/>
        <v/>
      </c>
      <c r="DP23" s="73" t="str">
        <f t="shared" si="729"/>
        <v/>
      </c>
      <c r="DQ23" s="73" t="str">
        <f t="shared" si="729"/>
        <v/>
      </c>
      <c r="DR23" s="73" t="str">
        <f t="shared" si="729"/>
        <v/>
      </c>
      <c r="DS23" s="73" t="str">
        <f t="shared" si="729"/>
        <v/>
      </c>
      <c r="DT23" s="73" t="str">
        <f t="shared" si="729"/>
        <v/>
      </c>
      <c r="DU23" s="73" t="str">
        <f t="shared" si="729"/>
        <v/>
      </c>
      <c r="DV23" s="73" t="str">
        <f t="shared" si="729"/>
        <v/>
      </c>
      <c r="DW23" s="73" t="str">
        <f t="shared" si="729"/>
        <v/>
      </c>
      <c r="DX23" s="73" t="str">
        <f t="shared" si="729"/>
        <v/>
      </c>
      <c r="DY23" s="73" t="str">
        <f t="shared" si="729"/>
        <v/>
      </c>
      <c r="DZ23" s="73" t="str">
        <f t="shared" si="729"/>
        <v/>
      </c>
      <c r="EA23" s="73" t="str">
        <f t="shared" si="729"/>
        <v/>
      </c>
      <c r="EB23" s="73" t="str">
        <f t="shared" si="729"/>
        <v/>
      </c>
      <c r="EC23" s="73" t="str">
        <f t="shared" si="729"/>
        <v/>
      </c>
      <c r="ED23" s="73" t="str">
        <f t="shared" si="729"/>
        <v/>
      </c>
      <c r="EE23" s="73" t="str">
        <f t="shared" si="729"/>
        <v/>
      </c>
      <c r="EF23" s="73" t="str">
        <f t="shared" si="729"/>
        <v/>
      </c>
      <c r="EG23" s="73" t="str">
        <f t="shared" si="729"/>
        <v/>
      </c>
      <c r="EH23" s="73" t="str">
        <f t="shared" si="729"/>
        <v/>
      </c>
      <c r="EI23" s="73" t="str">
        <f t="shared" ref="EI23:EV23" si="730">IF(AND(EI21&lt;&gt;0,EI22&lt;&gt;0),(EI21-EI22)/EI22,IF(AND(EI21=0,EI22=0),"",IF(AND(EI21="",EI22=""),"",IF(AND(EI21=0,EI22=""),"", IF(AND(EI21="",EI22=0),"",1)))))</f>
        <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t="str">
        <f t="shared" si="729"/>
        <v/>
      </c>
      <c r="EX23" s="72" t="str">
        <f t="shared" ref="EX23:GI23" si="731">IF(AND(EX21&lt;&gt;0,EX22&lt;&gt;0),(EX21-EX22)/EX22,IF(AND(EX21=0,EX22=0),"",IF(AND(EX21="",EX22=""),"",IF(AND(EX21=0,EX22=""),"", IF(AND(EX21="",EX22=0),"",1)))))</f>
        <v/>
      </c>
      <c r="EY23" s="73" t="str">
        <f t="shared" si="731"/>
        <v/>
      </c>
      <c r="EZ23" s="73" t="str">
        <f t="shared" si="731"/>
        <v/>
      </c>
      <c r="FA23" s="73" t="str">
        <f t="shared" si="731"/>
        <v/>
      </c>
      <c r="FB23" s="73" t="str">
        <f t="shared" si="731"/>
        <v/>
      </c>
      <c r="FC23" s="73" t="str">
        <f t="shared" si="731"/>
        <v/>
      </c>
      <c r="FD23" s="73" t="str">
        <f t="shared" si="731"/>
        <v/>
      </c>
      <c r="FE23" s="73" t="str">
        <f t="shared" si="731"/>
        <v/>
      </c>
      <c r="FF23" s="73" t="str">
        <f t="shared" si="731"/>
        <v/>
      </c>
      <c r="FG23" s="73" t="str">
        <f t="shared" si="731"/>
        <v/>
      </c>
      <c r="FH23" s="73" t="str">
        <f t="shared" si="731"/>
        <v/>
      </c>
      <c r="FI23" s="73" t="str">
        <f t="shared" si="731"/>
        <v/>
      </c>
      <c r="FJ23" s="73" t="str">
        <f t="shared" si="731"/>
        <v/>
      </c>
      <c r="FK23" s="73" t="str">
        <f t="shared" si="731"/>
        <v/>
      </c>
      <c r="FL23" s="73" t="str">
        <f t="shared" si="731"/>
        <v/>
      </c>
      <c r="FM23" s="73" t="str">
        <f t="shared" si="731"/>
        <v/>
      </c>
      <c r="FN23" s="73" t="str">
        <f t="shared" si="731"/>
        <v/>
      </c>
      <c r="FO23" s="73" t="str">
        <f t="shared" si="731"/>
        <v/>
      </c>
      <c r="FP23" s="73" t="str">
        <f t="shared" si="731"/>
        <v/>
      </c>
      <c r="FQ23" s="73" t="str">
        <f t="shared" si="731"/>
        <v/>
      </c>
      <c r="FR23" s="73" t="str">
        <f t="shared" si="731"/>
        <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t="str">
        <f t="shared" si="731"/>
        <v/>
      </c>
      <c r="GJ23" s="72" t="str">
        <f t="shared" si="729"/>
        <v/>
      </c>
      <c r="GK23" s="73" t="str">
        <f t="shared" si="729"/>
        <v/>
      </c>
      <c r="GL23" s="73" t="str">
        <f t="shared" si="729"/>
        <v/>
      </c>
      <c r="GM23" s="73" t="str">
        <f t="shared" si="729"/>
        <v/>
      </c>
      <c r="GN23" s="73" t="str">
        <f t="shared" si="729"/>
        <v/>
      </c>
      <c r="GO23" s="73" t="str">
        <f t="shared" si="729"/>
        <v/>
      </c>
      <c r="GP23" s="73" t="str">
        <f t="shared" si="729"/>
        <v/>
      </c>
      <c r="GQ23" s="73" t="str">
        <f t="shared" si="729"/>
        <v/>
      </c>
      <c r="GR23" s="73" t="str">
        <f t="shared" si="729"/>
        <v/>
      </c>
      <c r="GS23" s="73" t="str">
        <f t="shared" si="729"/>
        <v/>
      </c>
      <c r="GT23" s="73" t="str">
        <f t="shared" si="729"/>
        <v/>
      </c>
      <c r="GU23" s="73" t="str">
        <f t="shared" si="729"/>
        <v/>
      </c>
      <c r="GV23" s="73" t="str">
        <f t="shared" si="729"/>
        <v/>
      </c>
      <c r="GW23" s="73" t="str">
        <f t="shared" si="729"/>
        <v/>
      </c>
      <c r="GX23" s="73" t="str">
        <f t="shared" si="729"/>
        <v/>
      </c>
      <c r="GY23" s="73" t="str">
        <f t="shared" si="729"/>
        <v/>
      </c>
      <c r="GZ23" s="73" t="str">
        <f t="shared" si="729"/>
        <v/>
      </c>
      <c r="HA23" s="73" t="str">
        <f t="shared" si="729"/>
        <v/>
      </c>
      <c r="HB23" s="73" t="str">
        <f t="shared" si="729"/>
        <v/>
      </c>
      <c r="HC23" s="73" t="str">
        <f t="shared" si="729"/>
        <v/>
      </c>
      <c r="HD23" s="73" t="str">
        <f t="shared" si="729"/>
        <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t="str">
        <f t="shared" si="729"/>
        <v/>
      </c>
      <c r="HV23" s="39" t="str">
        <f t="shared" ref="HV23" si="734">IF(AND(HV21&lt;&gt;0,HV22&lt;&gt;0),(HV21-HV22)/HV22,IF(AND(HV21=0,HV22=0),"",IF(AND(HV21="",HV22=""),"",IF(AND(HV21=0,HV22=""),"", IF(AND(HV21="",HV22=0),"",1)))))</f>
        <v/>
      </c>
      <c r="HW23" s="40">
        <f t="shared" ref="HW23" si="735">IF(AND(HW21&lt;&gt;0,HW22&lt;&gt;0),(HW21-HW22)/HW22,IF(AND(HW21=0,HW22=0),"",IF(AND(HW21="",HW22=""),"",IF(AND(HW21=0,HW22=""),"", IF(AND(HW21="",HW22=0),"",1)))))</f>
        <v>1</v>
      </c>
      <c r="HX23" s="40">
        <f t="shared" ref="HX23" si="736">IF(AND(HX21&lt;&gt;0,HX22&lt;&gt;0),(HX21-HX22)/HX22,IF(AND(HX21=0,HX22=0),"",IF(AND(HX21="",HX22=""),"",IF(AND(HX21=0,HX22=""),"", IF(AND(HX21="",HX22=0),"",1)))))</f>
        <v>1.8617682138952392E-4</v>
      </c>
      <c r="HY23" s="40">
        <f t="shared" ref="HY23" si="737">IF(AND(HY21&lt;&gt;0,HY22&lt;&gt;0),(HY21-HY22)/HY22,IF(AND(HY21=0,HY22=0),"",IF(AND(HY21="",HY22=""),"",IF(AND(HY21=0,HY22=""),"", IF(AND(HY21="",HY22=0),"",1)))))</f>
        <v>2.6225787313755304E-4</v>
      </c>
      <c r="HZ23" s="40">
        <f t="shared" ref="HZ23" si="738">IF(AND(HZ21&lt;&gt;0,HZ22&lt;&gt;0),(HZ21-HZ22)/HZ22,IF(AND(HZ21=0,HZ22=0),"",IF(AND(HZ21="",HZ22=""),"",IF(AND(HZ21=0,HZ22=""),"", IF(AND(HZ21="",HZ22=0),"",1)))))</f>
        <v>5.2674694571050999E-7</v>
      </c>
      <c r="IA23" s="40">
        <f t="shared" ref="IA23" si="739">IF(AND(IA21&lt;&gt;0,IA22&lt;&gt;0),(IA21-IA22)/IA22,IF(AND(IA21=0,IA22=0),"",IF(AND(IA21="",IA22=""),"",IF(AND(IA21=0,IA22=""),"", IF(AND(IA21="",IA22=0),"",1)))))</f>
        <v>1.77573465694227E-7</v>
      </c>
      <c r="IB23" s="40">
        <f t="shared" ref="IB23" si="740">IF(AND(IB21&lt;&gt;0,IB22&lt;&gt;0),(IB21-IB22)/IB22,IF(AND(IB21=0,IB22=0),"",IF(AND(IB21="",IB22=""),"",IF(AND(IB21=0,IB22=""),"", IF(AND(IB21="",IB22=0),"",1)))))</f>
        <v>1.6538712163561248E-7</v>
      </c>
      <c r="IC23" s="40">
        <f t="shared" ref="IC23" si="741">IF(AND(IC21&lt;&gt;0,IC22&lt;&gt;0),(IC21-IC22)/IC22,IF(AND(IC21=0,IC22=0),"",IF(AND(IC21="",IC22=""),"",IF(AND(IC21=0,IC22=""),"", IF(AND(IC21="",IC22=0),"",1)))))</f>
        <v>4.0994224733619529E-7</v>
      </c>
      <c r="ID23" s="40">
        <f t="shared" ref="ID23" si="742">IF(AND(ID21&lt;&gt;0,ID22&lt;&gt;0),(ID21-ID22)/ID22,IF(AND(ID21=0,ID22=0),"",IF(AND(ID21="",ID22=""),"",IF(AND(ID21=0,ID22=""),"", IF(AND(ID21="",ID22=0),"",1)))))</f>
        <v>3.307819022605635E-7</v>
      </c>
      <c r="IE23" s="40">
        <f t="shared" ref="IE23" si="743">IF(AND(IE21&lt;&gt;0,IE22&lt;&gt;0),(IE21-IE22)/IE22,IF(AND(IE21=0,IE22=0),"",IF(AND(IE21="",IE22=""),"",IF(AND(IE21=0,IE22=""),"", IF(AND(IE21="",IE22=0),"",1)))))</f>
        <v>-8.6929050335640841E-5</v>
      </c>
      <c r="IF23" s="40">
        <f t="shared" ref="IF23" si="744">IF(AND(IF21&lt;&gt;0,IF22&lt;&gt;0),(IF21-IF22)/IF22,IF(AND(IF21=0,IF22=0),"",IF(AND(IF21="",IF22=""),"",IF(AND(IF21=0,IF22=""),"", IF(AND(IF21="",IF22=0),"",1)))))</f>
        <v>5.5102369181465328E-7</v>
      </c>
      <c r="IG23" s="40">
        <f t="shared" ref="IG23" si="745">IF(AND(IG21&lt;&gt;0,IG22&lt;&gt;0),(IG21-IG22)/IG22,IF(AND(IG21=0,IG22=0),"",IF(AND(IG21="",IG22=""),"",IF(AND(IG21=0,IG22=""),"", IF(AND(IG21="",IG22=0),"",1)))))</f>
        <v>5.5382924927337608E-7</v>
      </c>
      <c r="IH23" s="40">
        <f t="shared" ref="IH23" si="746">IF(AND(IH21&lt;&gt;0,IH22&lt;&gt;0),(IH21-IH22)/IH22,IF(AND(IH21=0,IH22=0),"",IF(AND(IH21="",IH22=""),"",IF(AND(IH21=0,IH22=""),"", IF(AND(IH21="",IH22=0),"",1)))))</f>
        <v>2.7755450060173815E-7</v>
      </c>
      <c r="II23" s="40">
        <f t="shared" ref="II23" si="747">IF(AND(II21&lt;&gt;0,II22&lt;&gt;0),(II21-II22)/II22,IF(AND(II21=0,II22=0),"",IF(AND(II21="",II22=""),"",IF(AND(II21=0,II22=""),"", IF(AND(II21="",II22=0),"",1)))))</f>
        <v>1.855074184416635E-7</v>
      </c>
      <c r="IJ23" s="40">
        <f t="shared" ref="IJ23" si="748">IF(AND(IJ21&lt;&gt;0,IJ22&lt;&gt;0),(IJ21-IJ22)/IJ22,IF(AND(IJ21=0,IJ22=0),"",IF(AND(IJ21="",IJ22=""),"",IF(AND(IJ21=0,IJ22=""),"", IF(AND(IJ21="",IJ22=0),"",1)))))</f>
        <v>2.7885705787213473E-7</v>
      </c>
      <c r="IK23" s="40">
        <f t="shared" ref="IK23" si="749">IF(AND(IK21&lt;&gt;0,IK22&lt;&gt;0),(IK21-IK22)/IK22,IF(AND(IK21=0,IK22=0),"",IF(AND(IK21="",IK22=""),"",IF(AND(IK21=0,IK22=""),"", IF(AND(IK21="",IK22=0),"",1)))))</f>
        <v>0</v>
      </c>
      <c r="IL23" s="40">
        <f t="shared" ref="IL23" si="750">IF(AND(IL21&lt;&gt;0,IL22&lt;&gt;0),(IL21-IL22)/IL22,IF(AND(IL21=0,IL22=0),"",IF(AND(IL21="",IL22=""),"",IF(AND(IL21=0,IL22=""),"", IF(AND(IL21="",IL22=0),"",1)))))</f>
        <v>5.5899190654251585E-7</v>
      </c>
      <c r="IM23" s="40">
        <f t="shared" ref="IM23" si="751">IF(AND(IM21&lt;&gt;0,IM22&lt;&gt;0),(IM21-IM22)/IM22,IF(AND(IM21=0,IM22=0),"",IF(AND(IM21="",IM22=""),"",IF(AND(IM21=0,IM22=""),"", IF(AND(IM21="",IM22=0),"",1)))))</f>
        <v>0.37069395497241819</v>
      </c>
      <c r="IN23" s="40">
        <f t="shared" ref="IN23" si="752">IF(AND(IN21&lt;&gt;0,IN22&lt;&gt;0),(IN21-IN22)/IN22,IF(AND(IN21=0,IN22=0),"",IF(AND(IN21="",IN22=""),"",IF(AND(IN21=0,IN22=""),"", IF(AND(IN21="",IN22=0),"",1)))))</f>
        <v>-4.8139115745929843E-5</v>
      </c>
      <c r="IO23" s="40">
        <f t="shared" ref="IO23" si="753">IF(AND(IO21&lt;&gt;0,IO22&lt;&gt;0),(IO21-IO22)/IO22,IF(AND(IO21=0,IO22=0),"",IF(AND(IO21="",IO22=""),"",IF(AND(IO21=0,IO22=""),"", IF(AND(IO21="",IO22=0),"",1)))))</f>
        <v>-8.1307603965037681E-2</v>
      </c>
      <c r="IP23" s="40" t="str">
        <f t="shared" ref="IP23" si="754">IF(AND(IP21&lt;&gt;0,IP22&lt;&gt;0),(IP21-IP22)/IP22,IF(AND(IP21=0,IP22=0),"",IF(AND(IP21="",IP22=""),"",IF(AND(IP21=0,IP22=""),"", IF(AND(IP21="",IP22=0),"",1)))))</f>
        <v/>
      </c>
      <c r="IQ23" s="40" t="str">
        <f t="shared" ref="IQ23" si="755">IF(AND(IQ21&lt;&gt;0,IQ22&lt;&gt;0),(IQ21-IQ22)/IQ22,IF(AND(IQ21=0,IQ22=0),"",IF(AND(IQ21="",IQ22=""),"",IF(AND(IQ21=0,IQ22=""),"", IF(AND(IQ21="",IQ22=0),"",1)))))</f>
        <v/>
      </c>
      <c r="IR23" s="40" t="str">
        <f t="shared" ref="IR23:JF23" si="756">IF(AND(IR21&lt;&gt;0,IR22&lt;&gt;0),(IR21-IR22)/IR22,IF(AND(IR21=0,IR22=0),"",IF(AND(IR21="",IR22=""),"",IF(AND(IR21=0,IR22=""),"", IF(AND(IR21="",IR22=0),"",1)))))</f>
        <v/>
      </c>
      <c r="IS23" s="40" t="str">
        <f t="shared" si="756"/>
        <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7.8062324108984643E-3</v>
      </c>
      <c r="JH23" s="72" t="str">
        <f t="shared" si="757"/>
        <v/>
      </c>
      <c r="JI23" s="73" t="str">
        <f t="shared" si="757"/>
        <v/>
      </c>
      <c r="JJ23" s="73" t="str">
        <f t="shared" si="757"/>
        <v/>
      </c>
      <c r="JK23" s="73" t="str">
        <f t="shared" si="757"/>
        <v/>
      </c>
      <c r="JL23" s="73" t="str">
        <f t="shared" si="757"/>
        <v/>
      </c>
      <c r="JM23" s="73" t="str">
        <f t="shared" si="757"/>
        <v/>
      </c>
      <c r="JN23" s="73" t="str">
        <f t="shared" si="757"/>
        <v/>
      </c>
      <c r="JO23" s="73" t="str">
        <f t="shared" si="757"/>
        <v/>
      </c>
      <c r="JP23" s="73" t="str">
        <f t="shared" si="757"/>
        <v/>
      </c>
      <c r="JQ23" s="73" t="str">
        <f t="shared" si="757"/>
        <v/>
      </c>
      <c r="JR23" s="73" t="str">
        <f t="shared" si="757"/>
        <v/>
      </c>
      <c r="JS23" s="73" t="str">
        <f t="shared" si="757"/>
        <v/>
      </c>
      <c r="JT23" s="73" t="str">
        <f t="shared" si="757"/>
        <v/>
      </c>
      <c r="JU23" s="73" t="str">
        <f t="shared" si="757"/>
        <v/>
      </c>
      <c r="JV23" s="73" t="str">
        <f t="shared" si="757"/>
        <v/>
      </c>
      <c r="JW23" s="73" t="str">
        <f t="shared" si="757"/>
        <v/>
      </c>
      <c r="JX23" s="73" t="str">
        <f t="shared" si="757"/>
        <v/>
      </c>
      <c r="JY23" s="73" t="str">
        <f t="shared" si="757"/>
        <v/>
      </c>
      <c r="JZ23" s="73" t="str">
        <f t="shared" si="757"/>
        <v/>
      </c>
      <c r="KA23" s="73" t="str">
        <f t="shared" si="757"/>
        <v/>
      </c>
      <c r="KB23" s="73" t="str">
        <f t="shared" si="757"/>
        <v/>
      </c>
      <c r="KC23" s="73" t="str">
        <f t="shared" si="757"/>
        <v/>
      </c>
      <c r="KD23" s="73" t="str">
        <f t="shared" si="757"/>
        <v/>
      </c>
      <c r="KE23" s="73" t="str">
        <f t="shared" ref="KE23:KR23" si="758">IF(AND(KE21&lt;&gt;0,KE22&lt;&gt;0),(KE21-KE22)/KE22,IF(AND(KE21=0,KE22=0),"",IF(AND(KE21="",KE22=""),"",IF(AND(KE21=0,KE22=""),"", IF(AND(KE21="",KE22=0),"",1)))))</f>
        <v/>
      </c>
      <c r="KF23" s="73" t="str">
        <f t="shared" si="758"/>
        <v/>
      </c>
      <c r="KG23" s="73" t="str">
        <f t="shared" si="758"/>
        <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t="str">
        <f t="shared" si="757"/>
        <v/>
      </c>
      <c r="KT23" s="72" t="str">
        <f t="shared" ref="KT23:ME23" si="759">IF(AND(KT21&lt;&gt;0,KT22&lt;&gt;0),(KT21-KT22)/KT22,IF(AND(KT21=0,KT22=0),"",IF(AND(KT21="",KT22=""),"",IF(AND(KT21=0,KT22=""),"", IF(AND(KT21="",KT22=0),"",1)))))</f>
        <v/>
      </c>
      <c r="KU23" s="73" t="str">
        <f t="shared" si="759"/>
        <v/>
      </c>
      <c r="KV23" s="73" t="str">
        <f t="shared" si="759"/>
        <v/>
      </c>
      <c r="KW23" s="73" t="str">
        <f t="shared" si="759"/>
        <v/>
      </c>
      <c r="KX23" s="73" t="str">
        <f t="shared" si="759"/>
        <v/>
      </c>
      <c r="KY23" s="73" t="str">
        <f t="shared" si="759"/>
        <v/>
      </c>
      <c r="KZ23" s="73" t="str">
        <f t="shared" si="759"/>
        <v/>
      </c>
      <c r="LA23" s="73" t="str">
        <f t="shared" si="759"/>
        <v/>
      </c>
      <c r="LB23" s="73" t="str">
        <f t="shared" si="759"/>
        <v/>
      </c>
      <c r="LC23" s="73" t="str">
        <f t="shared" si="759"/>
        <v/>
      </c>
      <c r="LD23" s="73" t="str">
        <f t="shared" si="759"/>
        <v/>
      </c>
      <c r="LE23" s="73" t="str">
        <f t="shared" si="759"/>
        <v/>
      </c>
      <c r="LF23" s="73" t="str">
        <f t="shared" si="759"/>
        <v/>
      </c>
      <c r="LG23" s="73" t="str">
        <f t="shared" si="759"/>
        <v/>
      </c>
      <c r="LH23" s="73" t="str">
        <f t="shared" si="759"/>
        <v/>
      </c>
      <c r="LI23" s="73" t="str">
        <f t="shared" si="759"/>
        <v/>
      </c>
      <c r="LJ23" s="73" t="str">
        <f t="shared" si="759"/>
        <v/>
      </c>
      <c r="LK23" s="73" t="str">
        <f t="shared" si="759"/>
        <v/>
      </c>
      <c r="LL23" s="73" t="str">
        <f t="shared" si="759"/>
        <v/>
      </c>
      <c r="LM23" s="73" t="str">
        <f t="shared" si="759"/>
        <v/>
      </c>
      <c r="LN23" s="73" t="str">
        <f t="shared" si="759"/>
        <v/>
      </c>
      <c r="LO23" s="73" t="str">
        <f t="shared" si="759"/>
        <v/>
      </c>
      <c r="LP23" s="73" t="str">
        <f t="shared" si="759"/>
        <v/>
      </c>
      <c r="LQ23" s="73" t="str">
        <f t="shared" ref="LQ23:MD23" si="760">IF(AND(LQ21&lt;&gt;0,LQ22&lt;&gt;0),(LQ21-LQ22)/LQ22,IF(AND(LQ21=0,LQ22=0),"",IF(AND(LQ21="",LQ22=""),"",IF(AND(LQ21=0,LQ22=""),"", IF(AND(LQ21="",LQ22=0),"",1)))))</f>
        <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t="str">
        <f t="shared" si="759"/>
        <v/>
      </c>
      <c r="MF23" s="72" t="str">
        <f t="shared" si="757"/>
        <v/>
      </c>
      <c r="MG23" s="73" t="str">
        <f t="shared" si="757"/>
        <v/>
      </c>
      <c r="MH23" s="73" t="str">
        <f t="shared" si="757"/>
        <v/>
      </c>
      <c r="MI23" s="73" t="str">
        <f t="shared" si="757"/>
        <v/>
      </c>
      <c r="MJ23" s="73" t="str">
        <f t="shared" si="757"/>
        <v/>
      </c>
      <c r="MK23" s="73" t="str">
        <f t="shared" si="757"/>
        <v/>
      </c>
      <c r="ML23" s="73" t="str">
        <f t="shared" si="757"/>
        <v/>
      </c>
      <c r="MM23" s="73" t="str">
        <f t="shared" si="757"/>
        <v/>
      </c>
      <c r="MN23" s="73" t="str">
        <f t="shared" si="757"/>
        <v/>
      </c>
      <c r="MO23" s="73" t="str">
        <f t="shared" si="757"/>
        <v/>
      </c>
      <c r="MP23" s="73" t="str">
        <f t="shared" si="757"/>
        <v/>
      </c>
      <c r="MQ23" s="73" t="str">
        <f t="shared" si="757"/>
        <v/>
      </c>
      <c r="MR23" s="73" t="str">
        <f t="shared" si="757"/>
        <v/>
      </c>
      <c r="MS23" s="73" t="str">
        <f t="shared" si="757"/>
        <v/>
      </c>
      <c r="MT23" s="73" t="str">
        <f t="shared" si="757"/>
        <v/>
      </c>
      <c r="MU23" s="73" t="str">
        <f t="shared" si="757"/>
        <v/>
      </c>
      <c r="MV23" s="73" t="str">
        <f t="shared" si="757"/>
        <v/>
      </c>
      <c r="MW23" s="73" t="str">
        <f t="shared" si="757"/>
        <v/>
      </c>
      <c r="MX23" s="73" t="str">
        <f t="shared" si="757"/>
        <v/>
      </c>
      <c r="MY23" s="73" t="str">
        <f t="shared" si="757"/>
        <v/>
      </c>
      <c r="MZ23" s="73" t="str">
        <f t="shared" si="757"/>
        <v/>
      </c>
      <c r="NA23" s="73" t="str">
        <f t="shared" si="757"/>
        <v/>
      </c>
      <c r="NB23" s="73" t="str">
        <f t="shared" si="757"/>
        <v/>
      </c>
      <c r="NC23" s="73" t="str">
        <f t="shared" ref="NC23:NP23" si="761">IF(AND(NC21&lt;&gt;0,NC22&lt;&gt;0),(NC21-NC22)/NC22,IF(AND(NC21=0,NC22=0),"",IF(AND(NC21="",NC22=""),"",IF(AND(NC21=0,NC22=""),"", IF(AND(NC21="",NC22=0),"",1)))))</f>
        <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t="str">
        <f t="shared" si="757"/>
        <v/>
      </c>
      <c r="NR23" s="40" t="str">
        <f t="shared" ref="NR23" si="762">IF(AND(NR21&lt;&gt;0,NR22&lt;&gt;0),(NR21-NR22)/NR22,IF(AND(NR21=0,NR22=0),"",IF(AND(NR21="",NR22=""),"",IF(AND(NR21=0,NR22=""),"", IF(AND(NR21="",NR22=0),"",1)))))</f>
        <v/>
      </c>
      <c r="NS23" s="40">
        <f t="shared" ref="NS23" si="763">IF(AND(NS21&lt;&gt;0,NS22&lt;&gt;0),(NS21-NS22)/NS22,IF(AND(NS21=0,NS22=0),"",IF(AND(NS21="",NS22=""),"",IF(AND(NS21=0,NS22=""),"", IF(AND(NS21="",NS22=0),"",1)))))</f>
        <v>1</v>
      </c>
      <c r="NT23" s="40">
        <f t="shared" ref="NT23" si="764">IF(AND(NT21&lt;&gt;0,NT22&lt;&gt;0),(NT21-NT22)/NT22,IF(AND(NT21=0,NT22=0),"",IF(AND(NT21="",NT22=""),"",IF(AND(NT21=0,NT22=""),"", IF(AND(NT21="",NT22=0),"",1)))))</f>
        <v>1.0937768082551042E-3</v>
      </c>
      <c r="NU23" s="40">
        <f t="shared" ref="NU23" si="765">IF(AND(NU21&lt;&gt;0,NU22&lt;&gt;0),(NU21-NU22)/NU22,IF(AND(NU21=0,NU22=0),"",IF(AND(NU21="",NU22=""),"",IF(AND(NU21=0,NU22=""),"", IF(AND(NU21="",NU22=0),"",1)))))</f>
        <v>2.6939207707001077E-4</v>
      </c>
      <c r="NV23" s="40">
        <f t="shared" ref="NV23" si="766">IF(AND(NV21&lt;&gt;0,NV22&lt;&gt;0),(NV21-NV22)/NV22,IF(AND(NV21=0,NV22=0),"",IF(AND(NV21="",NV22=""),"",IF(AND(NV21=0,NV22=""),"", IF(AND(NV21="",NV22=0),"",1)))))</f>
        <v>7.9718648250016232E-7</v>
      </c>
      <c r="NW23" s="40">
        <f t="shared" ref="NW23" si="767">IF(AND(NW21&lt;&gt;0,NW22&lt;&gt;0),(NW21-NW22)/NW22,IF(AND(NW21=0,NW22=0),"",IF(AND(NW21="",NW22=""),"",IF(AND(NW21=0,NW22=""),"", IF(AND(NW21="",NW22=0),"",1)))))</f>
        <v>2.2664923582943649E-7</v>
      </c>
      <c r="NX23" s="40">
        <f t="shared" ref="NX23" si="768">IF(AND(NX21&lt;&gt;0,NX22&lt;&gt;0),(NX21-NX22)/NX22,IF(AND(NX21=0,NX22=0),"",IF(AND(NX21="",NX22=""),"",IF(AND(NX21=0,NX22=""),"", IF(AND(NX21="",NX22=0),"",1)))))</f>
        <v>7.4623237932143173E-7</v>
      </c>
      <c r="NY23" s="40">
        <f t="shared" ref="NY23" si="769">IF(AND(NY21&lt;&gt;0,NY22&lt;&gt;0),(NY21-NY22)/NY22,IF(AND(NY21=0,NY22=0),"",IF(AND(NY21="",NY22=""),"",IF(AND(NY21=0,NY22=""),"", IF(AND(NY21="",NY22=0),"",1)))))</f>
        <v>6.3708064166762224E-7</v>
      </c>
      <c r="NZ23" s="40">
        <f t="shared" ref="NZ23" si="770">IF(AND(NZ21&lt;&gt;0,NZ22&lt;&gt;0),(NZ21-NZ22)/NZ22,IF(AND(NZ21=0,NZ22=0),"",IF(AND(NZ21="",NZ22=""),"",IF(AND(NZ21=0,NZ22=""),"", IF(AND(NZ21="",NZ22=0),"",1)))))</f>
        <v>5.3299903633774234E-7</v>
      </c>
      <c r="OA23" s="40">
        <f t="shared" ref="OA23" si="771">IF(AND(OA21&lt;&gt;0,OA22&lt;&gt;0),(OA21-OA22)/OA22,IF(AND(OA21=0,OA22=0),"",IF(AND(OA21="",OA22=""),"",IF(AND(OA21=0,OA22=""),"", IF(AND(OA21="",OA22=0),"",1)))))</f>
        <v>4.2728761241937081E-7</v>
      </c>
      <c r="OB23" s="40">
        <f t="shared" ref="OB23" si="772">IF(AND(OB21&lt;&gt;0,OB22&lt;&gt;0),(OB21-OB22)/OB22,IF(AND(OB21=0,OB22=0),"",IF(AND(OB21="",OB22=""),"",IF(AND(OB21=0,OB22=""),"", IF(AND(OB21="",OB22=0),"",1)))))</f>
        <v>2.1176803437757564E-7</v>
      </c>
      <c r="OC23" s="40">
        <f t="shared" ref="OC23" si="773">IF(AND(OC21&lt;&gt;0,OC22&lt;&gt;0),(OC21-OC22)/OC22,IF(AND(OC21=0,OC22=0),"",IF(AND(OC21="",OC22=""),"",IF(AND(OC21=0,OC22=""),"", IF(AND(OC21="",OC22=0),"",1)))))</f>
        <v>6.3964084592928305E-7</v>
      </c>
      <c r="OD23" s="40">
        <f t="shared" ref="OD23" si="774">IF(AND(OD21&lt;&gt;0,OD22&lt;&gt;0),(OD21-OD22)/OD22,IF(AND(OD21=0,OD22=0),"",IF(AND(OD21="",OD22=""),"",IF(AND(OD21=0,OD22=""),"", IF(AND(OD21="",OD22=0),"",1)))))</f>
        <v>5.3663361576002778E-7</v>
      </c>
      <c r="OE23" s="40">
        <f t="shared" ref="OE23" si="775">IF(AND(OE21&lt;&gt;0,OE22&lt;&gt;0),(OE21-OE22)/OE22,IF(AND(OE21=0,OE22=0),"",IF(AND(OE21="",OE22=""),"",IF(AND(OE21=0,OE22=""),"", IF(AND(OE21="",OE22=0),"",1)))))</f>
        <v>6.4758283232008203E-7</v>
      </c>
      <c r="OF23" s="40">
        <f t="shared" ref="OF23" si="776">IF(AND(OF21&lt;&gt;0,OF22&lt;&gt;0),(OF21-OF22)/OF22,IF(AND(OF21=0,OF22=0),"",IF(AND(OF21="",OF22=""),"",IF(AND(OF21=0,OF22=""),"", IF(AND(OF21="",OF22=0),"",1)))))</f>
        <v>2.1727057747912248E-7</v>
      </c>
      <c r="OG23" s="40">
        <f t="shared" ref="OG23" si="777">IF(AND(OG21&lt;&gt;0,OG22&lt;&gt;0),(OG21-OG22)/OG22,IF(AND(OG21=0,OG22=0),"",IF(AND(OG21="",OG22=""),"",IF(AND(OG21=0,OG22=""),"", IF(AND(OG21="",OG22=0),"",1)))))</f>
        <v>5.551223134300519E-7</v>
      </c>
      <c r="OH23" s="40">
        <f t="shared" ref="OH23" si="778">IF(AND(OH21&lt;&gt;0,OH22&lt;&gt;0),(OH21-OH22)/OH22,IF(AND(OH21=0,OH22=0),"",IF(AND(OH21="",OH22=""),"",IF(AND(OH21=0,OH22=""),"", IF(AND(OH21="",OH22=0),"",1)))))</f>
        <v>6.8986133787108793E-7</v>
      </c>
      <c r="OI23" s="40">
        <f t="shared" ref="OI23" si="779">IF(AND(OI21&lt;&gt;0,OI22&lt;&gt;0),(OI21-OI22)/OI22,IF(AND(OI21=0,OI22=0),"",IF(AND(OI21="",OI22=""),"",IF(AND(OI21=0,OI22=""),"", IF(AND(OI21="",OI22=0),"",1)))))</f>
        <v>8.0427820856450586E-7</v>
      </c>
      <c r="OJ23" s="40">
        <f t="shared" ref="OJ23" si="780">IF(AND(OJ21&lt;&gt;0,OJ22&lt;&gt;0),(OJ21-OJ22)/OJ22,IF(AND(OJ21=0,OJ22=0),"",IF(AND(OJ21="",OJ22=""),"",IF(AND(OJ21=0,OJ22=""),"", IF(AND(OJ21="",OJ22=0),"",1)))))</f>
        <v>6.9133089493245241E-7</v>
      </c>
      <c r="OK23" s="40">
        <f t="shared" ref="OK23" si="781">IF(AND(OK21&lt;&gt;0,OK22&lt;&gt;0),(OK21-OK22)/OK22,IF(AND(OK21=0,OK22=0),"",IF(AND(OK21="",OK22=""),"",IF(AND(OK21=0,OK22=""),"", IF(AND(OK21="",OK22=0),"",1)))))</f>
        <v>0.26905504585319773</v>
      </c>
      <c r="OL23" s="40">
        <f t="shared" ref="OL23" si="782">IF(AND(OL21&lt;&gt;0,OL22&lt;&gt;0),(OL21-OL22)/OL22,IF(AND(OL21=0,OL22=0),"",IF(AND(OL21="",OL22=""),"",IF(AND(OL21=0,OL22=""),"", IF(AND(OL21="",OL22=0),"",1)))))</f>
        <v>-2.2944824866453949E-5</v>
      </c>
      <c r="OM23" s="40">
        <f t="shared" ref="OM23" si="783">IF(AND(OM21&lt;&gt;0,OM22&lt;&gt;0),(OM21-OM22)/OM22,IF(AND(OM21=0,OM22=0),"",IF(AND(OM21="",OM22=""),"",IF(AND(OM21=0,OM22=""),"", IF(AND(OM21="",OM22=0),"",1)))))</f>
        <v>-0.21649891461345872</v>
      </c>
      <c r="ON23" s="40">
        <f t="shared" ref="ON23:PB23" si="784">IF(AND(ON21&lt;&gt;0,ON22&lt;&gt;0),(ON21-ON22)/ON22,IF(AND(ON21=0,ON22=0),"",IF(AND(ON21="",ON22=""),"",IF(AND(ON21=0,ON22=""),"", IF(AND(ON21="",ON22=0),"",1)))))</f>
        <v>-1.2296072924144032E-5</v>
      </c>
      <c r="OO23" s="40">
        <f t="shared" si="784"/>
        <v>2.7722754330280897E-5</v>
      </c>
      <c r="OP23" s="40">
        <f t="shared" si="784"/>
        <v>1</v>
      </c>
      <c r="OQ23" s="40" t="str">
        <f t="shared" si="784"/>
        <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2.5922131063250361E-2</v>
      </c>
      <c r="PH23" s="63">
        <f>IF(AND(PH21&lt;&gt;0,PH22&lt;&gt;0),(PH21-PH22)/PH22,IF(AND(PH21=0,PH22=0),"",IF(AND(PH21="",PH22=""),"",IF(AND(PH21=0,PH22=""),"", IF(AND(PH21="",PH22=0),"",1)))))</f>
        <v>2.0043437320135589E-2</v>
      </c>
    </row>
    <row r="24" spans="1:424" outlineLevel="1" x14ac:dyDescent="0.35">
      <c r="A24" s="46" t="s">
        <v>48</v>
      </c>
      <c r="B24" s="14">
        <f>'[1]D-PDP'!$DC$12</f>
        <v>255403.234375</v>
      </c>
      <c r="C24" s="14">
        <f>'[1]D-PDP'!$DC$13</f>
        <v>0</v>
      </c>
      <c r="D24" s="14">
        <f>'[1]D-PDP'!$DC$14</f>
        <v>0</v>
      </c>
      <c r="E24" s="14">
        <f>'[1]D-PDP'!$DC$15</f>
        <v>0</v>
      </c>
      <c r="F24" s="14">
        <f>'[1]D-PDP'!$DC$16</f>
        <v>0</v>
      </c>
      <c r="G24" s="14">
        <f>'[1]D-PDP'!$DC$17</f>
        <v>0</v>
      </c>
      <c r="H24" s="14">
        <f>'[1]D-PDP'!$DC$18</f>
        <v>0</v>
      </c>
      <c r="I24" s="14">
        <f>'[1]D-PDP'!$DC$19</f>
        <v>0</v>
      </c>
      <c r="J24" s="14">
        <f>'[1]D-PDP'!$DC$20</f>
        <v>0</v>
      </c>
      <c r="K24" s="14">
        <f>'[1]D-PDP'!$DC$21</f>
        <v>0</v>
      </c>
      <c r="L24" s="14">
        <f>'[1]D-PDP'!$DC$22</f>
        <v>0</v>
      </c>
      <c r="M24" s="14">
        <f>'[1]D-PDP'!$DC$23</f>
        <v>0</v>
      </c>
      <c r="N24" s="14">
        <f>'[1]D-PDP'!$DC$24</f>
        <v>0</v>
      </c>
      <c r="O24" s="14">
        <f>'[1]D-PDP'!$DC$25</f>
        <v>0</v>
      </c>
      <c r="P24" s="14">
        <f>'[1]D-PDP'!$DC$26</f>
        <v>0</v>
      </c>
      <c r="Q24" s="14">
        <f>'[1]D-PDP'!$DC$27</f>
        <v>0</v>
      </c>
      <c r="R24" s="14">
        <f>'[1]D-PDP'!$DC$28</f>
        <v>0</v>
      </c>
      <c r="S24" s="14">
        <f>'[1]D-PDP'!$DC$29</f>
        <v>0</v>
      </c>
      <c r="T24" s="14">
        <f>'[1]D-PDP'!$DC$30</f>
        <v>0</v>
      </c>
      <c r="U24" s="14">
        <f>'[1]D-PDP'!$DC$31</f>
        <v>0</v>
      </c>
      <c r="V24" s="14">
        <f>'[1]D-PDP'!$DC$32</f>
        <v>0</v>
      </c>
      <c r="W24" s="14">
        <f>'[1]D-PDP'!$DC$33</f>
        <v>0</v>
      </c>
      <c r="X24" s="14">
        <f>'[1]D-PDP'!$DC$34</f>
        <v>0</v>
      </c>
      <c r="Y24" s="14">
        <f>'[1]D-PDP'!$DC$35</f>
        <v>0</v>
      </c>
      <c r="Z24" s="14">
        <f>'[1]D-PDP'!$DC$36</f>
        <v>0</v>
      </c>
      <c r="AA24" s="14">
        <f>'[1]D-PDP'!$DC$37</f>
        <v>0</v>
      </c>
      <c r="AB24" s="14">
        <f>'[1]D-PDP'!$DC$38</f>
        <v>0</v>
      </c>
      <c r="AC24" s="14">
        <f>'[1]D-PDP'!$DC$39</f>
        <v>0</v>
      </c>
      <c r="AD24" s="14">
        <f>'[1]D-PDP'!$DC$40</f>
        <v>0</v>
      </c>
      <c r="AE24" s="14">
        <f>'[1]D-PDP'!$DC$41</f>
        <v>0</v>
      </c>
      <c r="AF24" s="14">
        <f>'[1]D-PDP'!$DC$42</f>
        <v>0</v>
      </c>
      <c r="AG24" s="14">
        <f>'[1]D-PDP'!$DC$43</f>
        <v>0</v>
      </c>
      <c r="AH24" s="14">
        <f>'[1]D-PDP'!$DC$44</f>
        <v>0</v>
      </c>
      <c r="AI24" s="14">
        <f>'[1]D-PDP'!$DC$45</f>
        <v>0</v>
      </c>
      <c r="AJ24" s="14">
        <f>'[1]D-PDP'!$DC$46</f>
        <v>0</v>
      </c>
      <c r="AK24" s="14">
        <f>'[1]D-PDP'!$DC$47</f>
        <v>0</v>
      </c>
      <c r="AL24" s="14">
        <f>'[1]D-PDP'!$DC$48</f>
        <v>0</v>
      </c>
      <c r="AM24" s="16">
        <f>SUM(B24:AL24)</f>
        <v>255403.234375</v>
      </c>
      <c r="AN24" s="28">
        <f>'[1]D-PNP'!$DC$12</f>
        <v>0</v>
      </c>
      <c r="AO24" s="14">
        <f>'[1]D-PNP'!$DC$13</f>
        <v>0</v>
      </c>
      <c r="AP24" s="14">
        <f>'[1]D-PNP'!$DC$14</f>
        <v>0</v>
      </c>
      <c r="AQ24" s="14">
        <f>'[1]D-PNP'!$DC$15</f>
        <v>0</v>
      </c>
      <c r="AR24" s="14">
        <f>'[1]D-PNP'!$DC$16</f>
        <v>0</v>
      </c>
      <c r="AS24" s="14">
        <f>'[1]D-PNP'!$DC$17</f>
        <v>0</v>
      </c>
      <c r="AT24" s="14">
        <f>'[1]D-PNP'!$DC$18</f>
        <v>0</v>
      </c>
      <c r="AU24" s="14">
        <f>'[1]D-PNP'!$DC$19</f>
        <v>0</v>
      </c>
      <c r="AV24" s="14">
        <f>'[1]D-PNP'!$DC$20</f>
        <v>0</v>
      </c>
      <c r="AW24" s="14">
        <f>'[1]D-PNP'!$DC$21</f>
        <v>0</v>
      </c>
      <c r="AX24" s="14">
        <f>'[1]D-PNP'!$DC$22</f>
        <v>0</v>
      </c>
      <c r="AY24" s="14">
        <f>'[1]D-PNP'!$DC$23</f>
        <v>0</v>
      </c>
      <c r="AZ24" s="14">
        <f>'[1]D-PNP'!$DC$24</f>
        <v>0</v>
      </c>
      <c r="BA24" s="14">
        <f>'[1]D-PNP'!$DC$25</f>
        <v>0</v>
      </c>
      <c r="BB24" s="14">
        <f>'[1]D-PNP'!$DC$26</f>
        <v>0</v>
      </c>
      <c r="BC24" s="14">
        <f>'[1]D-PNP'!$DC$27</f>
        <v>0</v>
      </c>
      <c r="BD24" s="14">
        <f>'[1]D-PNP'!$DC$28</f>
        <v>0</v>
      </c>
      <c r="BE24" s="14">
        <f>'[1]D-PNP'!$DC$29</f>
        <v>0</v>
      </c>
      <c r="BF24" s="14">
        <f>'[1]D-PNP'!$DC$30</f>
        <v>0</v>
      </c>
      <c r="BG24" s="14">
        <f>'[1]D-PNP'!$DC$31</f>
        <v>0</v>
      </c>
      <c r="BH24" s="14">
        <f>'[1]D-PNP'!$DC$32</f>
        <v>0</v>
      </c>
      <c r="BI24" s="14">
        <f>'[1]D-PNP'!$DC$33</f>
        <v>0</v>
      </c>
      <c r="BJ24" s="14">
        <f>'[1]D-PNP'!$DC$34</f>
        <v>0</v>
      </c>
      <c r="BK24" s="14">
        <f>'[1]D-PNP'!$DC$35</f>
        <v>0</v>
      </c>
      <c r="BL24" s="14">
        <f>'[1]D-PNP'!$DC$36</f>
        <v>0</v>
      </c>
      <c r="BM24" s="14">
        <f>'[1]D-PNP'!$DC$37</f>
        <v>0</v>
      </c>
      <c r="BN24" s="14">
        <f>'[1]D-PNP'!$DC$38</f>
        <v>0</v>
      </c>
      <c r="BO24" s="14">
        <f>'[1]D-PNP'!$DC$39</f>
        <v>0</v>
      </c>
      <c r="BP24" s="14">
        <f>'[1]D-PNP'!$DC$40</f>
        <v>0</v>
      </c>
      <c r="BQ24" s="14">
        <f>'[1]D-PNP'!$DC$41</f>
        <v>0</v>
      </c>
      <c r="BR24" s="14">
        <f>'[1]D-PNP'!$DC$42</f>
        <v>0</v>
      </c>
      <c r="BS24" s="14">
        <f>'[1]D-PNP'!$DC$43</f>
        <v>0</v>
      </c>
      <c r="BT24" s="14">
        <f>'[1]D-PNP'!$DC$44</f>
        <v>0</v>
      </c>
      <c r="BU24" s="14">
        <f>'[1]D-PNP'!$DC$45</f>
        <v>0</v>
      </c>
      <c r="BV24" s="14">
        <f>'[1]D-PNP'!$DC$46</f>
        <v>0</v>
      </c>
      <c r="BW24" s="14">
        <f>'[1]D-PNP'!$DC$47</f>
        <v>0</v>
      </c>
      <c r="BX24" s="14">
        <f>'[1]D-PNP'!$DC$48</f>
        <v>0</v>
      </c>
      <c r="BY24" s="16">
        <f>SUM(AN24:BX24)</f>
        <v>0</v>
      </c>
      <c r="BZ24" s="28">
        <f>'[1]D-PND'!$DC$12</f>
        <v>3425794</v>
      </c>
      <c r="CA24" s="14">
        <f>'[1]D-PND'!$DC$13</f>
        <v>3702819.75</v>
      </c>
      <c r="CB24" s="14">
        <f>'[1]D-PND'!$DC$14</f>
        <v>64015124</v>
      </c>
      <c r="CC24" s="14">
        <f>'[1]D-PND'!$DC$15</f>
        <v>39394744</v>
      </c>
      <c r="CD24" s="14">
        <f>'[1]D-PND'!$DC$16</f>
        <v>27657934</v>
      </c>
      <c r="CE24" s="14">
        <f>'[1]D-PND'!$DC$17</f>
        <v>18406888</v>
      </c>
      <c r="CF24" s="14">
        <f>'[1]D-PND'!$DC$18</f>
        <v>9491692</v>
      </c>
      <c r="CG24" s="14">
        <f>'[1]D-PND'!$DC$19</f>
        <v>2384195.25</v>
      </c>
      <c r="CH24" s="14">
        <f>'[1]D-PND'!$DC$20</f>
        <v>105554.9375</v>
      </c>
      <c r="CI24" s="14">
        <f>'[1]D-PND'!$DC$21</f>
        <v>0</v>
      </c>
      <c r="CJ24" s="14">
        <f>'[1]D-PND'!$DC$22</f>
        <v>0</v>
      </c>
      <c r="CK24" s="14">
        <f>'[1]D-PND'!$DC$23</f>
        <v>0</v>
      </c>
      <c r="CL24" s="14">
        <f>'[1]D-PND'!$DC$24</f>
        <v>0</v>
      </c>
      <c r="CM24" s="14">
        <f>'[1]D-PND'!$DC$25</f>
        <v>0</v>
      </c>
      <c r="CN24" s="14">
        <f>'[1]D-PND'!$DC$26</f>
        <v>0</v>
      </c>
      <c r="CO24" s="14">
        <f>'[1]D-PND'!$DC$27</f>
        <v>0</v>
      </c>
      <c r="CP24" s="14">
        <f>'[1]D-PND'!$DC$28</f>
        <v>0</v>
      </c>
      <c r="CQ24" s="14">
        <f>'[1]D-PND'!$DC$29</f>
        <v>0</v>
      </c>
      <c r="CR24" s="14">
        <f>'[1]D-PND'!$DC$30</f>
        <v>0</v>
      </c>
      <c r="CS24" s="14">
        <f>'[1]D-PND'!$DC$31</f>
        <v>0</v>
      </c>
      <c r="CT24" s="14">
        <f>'[1]D-PND'!$DC$32</f>
        <v>0</v>
      </c>
      <c r="CU24" s="14">
        <f>'[1]D-PND'!$DC$33</f>
        <v>0</v>
      </c>
      <c r="CV24" s="14">
        <f>'[1]D-PND'!$DC$34</f>
        <v>0</v>
      </c>
      <c r="CW24" s="14">
        <f>'[1]D-PND'!$DC$35</f>
        <v>0</v>
      </c>
      <c r="CX24" s="14">
        <f>'[1]D-PND'!$DC$36</f>
        <v>0</v>
      </c>
      <c r="CY24" s="14">
        <f>'[1]D-PND'!$DC$37</f>
        <v>0</v>
      </c>
      <c r="CZ24" s="14">
        <f>'[1]D-PND'!$DC$38</f>
        <v>0</v>
      </c>
      <c r="DA24" s="14">
        <f>'[1]D-PND'!$DC$39</f>
        <v>0</v>
      </c>
      <c r="DB24" s="14">
        <f>'[1]D-PND'!$DC$40</f>
        <v>0</v>
      </c>
      <c r="DC24" s="14">
        <f>'[1]D-PND'!$DC$41</f>
        <v>0</v>
      </c>
      <c r="DD24" s="14">
        <f>'[1]D-PND'!$DC$42</f>
        <v>0</v>
      </c>
      <c r="DE24" s="14">
        <f>'[1]D-PND'!$DC$43</f>
        <v>0</v>
      </c>
      <c r="DF24" s="14">
        <f>'[1]D-PND'!$DC$44</f>
        <v>0</v>
      </c>
      <c r="DG24" s="14">
        <f>'[1]D-PND'!$DC$45</f>
        <v>0</v>
      </c>
      <c r="DH24" s="14">
        <f>'[1]D-PND'!$DC$46</f>
        <v>0</v>
      </c>
      <c r="DI24" s="14">
        <f>'[1]D-PND'!$DC$47</f>
        <v>0</v>
      </c>
      <c r="DJ24" s="14">
        <f>'[1]D-PND'!$DC$48</f>
        <v>0</v>
      </c>
      <c r="DK24" s="16">
        <f>SUM(BZ24:DJ24)</f>
        <v>168584745.9375</v>
      </c>
      <c r="DL24" s="66"/>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8">
        <f>SUM(DL24:EV24)</f>
        <v>0</v>
      </c>
      <c r="EX24" s="66"/>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8">
        <f>SUM(EX24:GH24)</f>
        <v>0</v>
      </c>
      <c r="GJ24" s="66"/>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8">
        <f>SUM(GJ24:HT24)</f>
        <v>0</v>
      </c>
      <c r="HV24" s="28">
        <f>'[1]D-PRB'!$DC$12</f>
        <v>663056.875</v>
      </c>
      <c r="HW24" s="14">
        <f>'[1]D-PRB'!$DC$13</f>
        <v>1945497.25</v>
      </c>
      <c r="HX24" s="14">
        <f>'[1]D-PRB'!$DC$14</f>
        <v>3754431.5</v>
      </c>
      <c r="HY24" s="14">
        <f>'[1]D-PRB'!$DC$15</f>
        <v>14632525</v>
      </c>
      <c r="HZ24" s="14">
        <f>'[1]D-PRB'!$DC$16</f>
        <v>2672010.75</v>
      </c>
      <c r="IA24" s="14">
        <f>'[1]D-PRB'!$DC$17</f>
        <v>1551272.625</v>
      </c>
      <c r="IB24" s="14">
        <f>'[1]D-PRB'!$DC$18</f>
        <v>1267918.75</v>
      </c>
      <c r="IC24" s="14">
        <f>'[1]D-PRB'!$DC$19</f>
        <v>461457.15625</v>
      </c>
      <c r="ID24" s="14">
        <f>'[1]D-PRB'!$DC$20</f>
        <v>20429.986328125</v>
      </c>
      <c r="IE24" s="14">
        <f>'[1]D-PRB'!$DC$21</f>
        <v>0</v>
      </c>
      <c r="IF24" s="14">
        <f>'[1]D-PRB'!$DC$22</f>
        <v>0</v>
      </c>
      <c r="IG24" s="14">
        <f>'[1]D-PRB'!$DC$23</f>
        <v>0</v>
      </c>
      <c r="IH24" s="14">
        <f>'[1]D-PRB'!$DC$24</f>
        <v>0</v>
      </c>
      <c r="II24" s="14">
        <f>'[1]D-PRB'!$DC$25</f>
        <v>0</v>
      </c>
      <c r="IJ24" s="14">
        <f>'[1]D-PRB'!$DC$26</f>
        <v>0</v>
      </c>
      <c r="IK24" s="14">
        <f>'[1]D-PRB'!$DC$27</f>
        <v>0</v>
      </c>
      <c r="IL24" s="14">
        <f>'[1]D-PRB'!$DC$28</f>
        <v>0</v>
      </c>
      <c r="IM24" s="14">
        <f>'[1]D-PRB'!$DC$29</f>
        <v>0</v>
      </c>
      <c r="IN24" s="14">
        <f>'[1]D-PRB'!$DC$30</f>
        <v>0</v>
      </c>
      <c r="IO24" s="14">
        <f>'[1]D-PRB'!$DC$31</f>
        <v>0</v>
      </c>
      <c r="IP24" s="14">
        <f>'[1]D-PRB'!$DC$32</f>
        <v>0</v>
      </c>
      <c r="IQ24" s="14">
        <f>'[1]D-PRB'!$DC$33</f>
        <v>0</v>
      </c>
      <c r="IR24" s="14">
        <f>'[1]D-PRB'!$DC$34</f>
        <v>0</v>
      </c>
      <c r="IS24" s="14">
        <f>'[1]D-PRB'!$DC$35</f>
        <v>0</v>
      </c>
      <c r="IT24" s="14">
        <f>'[1]D-PRB'!$DC$36</f>
        <v>0</v>
      </c>
      <c r="IU24" s="14">
        <f>'[1]D-PRB'!$DC$37</f>
        <v>0</v>
      </c>
      <c r="IV24" s="14">
        <f>'[1]D-PRB'!$DC$38</f>
        <v>0</v>
      </c>
      <c r="IW24" s="14">
        <f>'[1]D-PRB'!$DC$39</f>
        <v>0</v>
      </c>
      <c r="IX24" s="14">
        <f>'[1]D-PRB'!$DC$40</f>
        <v>0</v>
      </c>
      <c r="IY24" s="14">
        <f>'[1]D-PRB'!$DC$41</f>
        <v>0</v>
      </c>
      <c r="IZ24" s="14">
        <f>'[1]D-PRB'!$DC$42</f>
        <v>0</v>
      </c>
      <c r="JA24" s="14">
        <f>'[1]D-PRB'!$DC$43</f>
        <v>0</v>
      </c>
      <c r="JB24" s="14">
        <f>'[1]D-PRB'!$DC$44</f>
        <v>0</v>
      </c>
      <c r="JC24" s="14">
        <f>'[1]D-PRB'!$DC$45</f>
        <v>0</v>
      </c>
      <c r="JD24" s="14">
        <f>'[1]D-PRB'!$DC$46</f>
        <v>0</v>
      </c>
      <c r="JE24" s="14">
        <f>'[1]D-PRB'!$DC$47</f>
        <v>0</v>
      </c>
      <c r="JF24" s="14">
        <f>'[1]D-PRB'!$DC$48</f>
        <v>0</v>
      </c>
      <c r="JG24" s="16">
        <f>SUM(HV24:JF24)</f>
        <v>26968599.892578125</v>
      </c>
      <c r="JH24" s="66"/>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c r="KR24" s="67"/>
      <c r="KS24" s="68">
        <f>SUM(JH24:KR24)</f>
        <v>0</v>
      </c>
      <c r="KT24" s="66"/>
      <c r="KU24" s="67"/>
      <c r="KV24" s="67"/>
      <c r="KW24" s="67"/>
      <c r="KX24" s="67"/>
      <c r="KY24" s="67"/>
      <c r="KZ24" s="67"/>
      <c r="LA24" s="67"/>
      <c r="LB24" s="67"/>
      <c r="LC24" s="67"/>
      <c r="LD24" s="67"/>
      <c r="LE24" s="67"/>
      <c r="LF24" s="67"/>
      <c r="LG24" s="67"/>
      <c r="LH24" s="67"/>
      <c r="LI24" s="67"/>
      <c r="LJ24" s="67"/>
      <c r="LK24" s="67"/>
      <c r="LL24" s="67"/>
      <c r="LM24" s="67"/>
      <c r="LN24" s="67"/>
      <c r="LO24" s="67"/>
      <c r="LP24" s="67"/>
      <c r="LQ24" s="67"/>
      <c r="LR24" s="67"/>
      <c r="LS24" s="67"/>
      <c r="LT24" s="67"/>
      <c r="LU24" s="67"/>
      <c r="LV24" s="67"/>
      <c r="LW24" s="67"/>
      <c r="LX24" s="67"/>
      <c r="LY24" s="67"/>
      <c r="LZ24" s="67"/>
      <c r="MA24" s="67"/>
      <c r="MB24" s="67"/>
      <c r="MC24" s="67"/>
      <c r="MD24" s="67"/>
      <c r="ME24" s="68">
        <f>SUM(KT24:MD24)</f>
        <v>0</v>
      </c>
      <c r="MF24" s="66"/>
      <c r="MG24" s="67"/>
      <c r="MH24" s="67"/>
      <c r="MI24" s="67"/>
      <c r="MJ24" s="67"/>
      <c r="MK24" s="67"/>
      <c r="ML24" s="67"/>
      <c r="MM24" s="67"/>
      <c r="MN24" s="67"/>
      <c r="MO24" s="67"/>
      <c r="MP24" s="67"/>
      <c r="MQ24" s="67"/>
      <c r="MR24" s="67"/>
      <c r="MS24" s="67"/>
      <c r="MT24" s="67"/>
      <c r="MU24" s="67"/>
      <c r="MV24" s="67"/>
      <c r="MW24" s="67"/>
      <c r="MX24" s="67"/>
      <c r="MY24" s="67"/>
      <c r="MZ24" s="67"/>
      <c r="NA24" s="67"/>
      <c r="NB24" s="67"/>
      <c r="NC24" s="67"/>
      <c r="ND24" s="67"/>
      <c r="NE24" s="67"/>
      <c r="NF24" s="67"/>
      <c r="NG24" s="67"/>
      <c r="NH24" s="67"/>
      <c r="NI24" s="67"/>
      <c r="NJ24" s="67"/>
      <c r="NK24" s="67"/>
      <c r="NL24" s="67"/>
      <c r="NM24" s="67"/>
      <c r="NN24" s="67"/>
      <c r="NO24" s="67"/>
      <c r="NP24" s="67"/>
      <c r="NQ24" s="68">
        <f>SUM(MF24:NP24)</f>
        <v>0</v>
      </c>
      <c r="NR24" s="14">
        <f>'[1]D-PS'!$DC$12</f>
        <v>147345.984375</v>
      </c>
      <c r="NS24" s="14">
        <f>'[1]D-PS'!$DC$13</f>
        <v>106096.4453125</v>
      </c>
      <c r="NT24" s="14">
        <f>'[1]D-PS'!$DC$14</f>
        <v>5237057.5</v>
      </c>
      <c r="NU24" s="14">
        <f>'[1]D-PS'!$DC$15</f>
        <v>5696038.5</v>
      </c>
      <c r="NV24" s="14">
        <f>'[1]D-PS'!$DC$16</f>
        <v>593780.1875</v>
      </c>
      <c r="NW24" s="14">
        <f>'[1]D-PS'!$DC$17</f>
        <v>344727.21875</v>
      </c>
      <c r="NX24" s="14">
        <f>'[1]D-PS'!$DC$18</f>
        <v>281759.71875</v>
      </c>
      <c r="NY24" s="14">
        <f>'[1]D-PS'!$DC$19</f>
        <v>102546.046875</v>
      </c>
      <c r="NZ24" s="14">
        <f>'[1]D-PS'!$DC$20</f>
        <v>4539.9970703125</v>
      </c>
      <c r="OA24" s="14">
        <f>'[1]D-PS'!$DC$21</f>
        <v>0</v>
      </c>
      <c r="OB24" s="14">
        <f>'[1]D-PS'!$DC$22</f>
        <v>0</v>
      </c>
      <c r="OC24" s="14">
        <f>'[1]D-PS'!$DC$23</f>
        <v>0</v>
      </c>
      <c r="OD24" s="14">
        <f>'[1]D-PS'!$DC$24</f>
        <v>0</v>
      </c>
      <c r="OE24" s="14">
        <f>'[1]D-PS'!$DC$25</f>
        <v>0</v>
      </c>
      <c r="OF24" s="14">
        <f>'[1]D-PS'!$DC$26</f>
        <v>0</v>
      </c>
      <c r="OG24" s="14">
        <f>'[1]D-PS'!$DC$27</f>
        <v>0</v>
      </c>
      <c r="OH24" s="14">
        <f>'[1]D-PS'!$DC$28</f>
        <v>0</v>
      </c>
      <c r="OI24" s="14">
        <f>'[1]D-PS'!$DC$29</f>
        <v>0</v>
      </c>
      <c r="OJ24" s="14">
        <f>'[1]D-PS'!$DC$30</f>
        <v>0</v>
      </c>
      <c r="OK24" s="14">
        <f>'[1]D-PS'!$DC$31</f>
        <v>0</v>
      </c>
      <c r="OL24" s="14">
        <f>'[1]D-PS'!$DC$32</f>
        <v>0</v>
      </c>
      <c r="OM24" s="14">
        <f>'[1]D-PS'!$DC$33</f>
        <v>0</v>
      </c>
      <c r="ON24" s="14">
        <f>'[1]D-PS'!$DC$34</f>
        <v>0</v>
      </c>
      <c r="OO24" s="14">
        <f>'[1]D-PS'!$DC$35</f>
        <v>0</v>
      </c>
      <c r="OP24" s="14">
        <f>'[1]D-PS'!$DC$36</f>
        <v>0</v>
      </c>
      <c r="OQ24" s="14">
        <f>'[1]D-PS'!$DC$37</f>
        <v>0</v>
      </c>
      <c r="OR24" s="14">
        <f>'[1]D-PS'!$DC$38</f>
        <v>0</v>
      </c>
      <c r="OS24" s="14">
        <f>'[1]D-PS'!$DC$39</f>
        <v>0</v>
      </c>
      <c r="OT24" s="14">
        <f>'[1]D-PS'!$DC$40</f>
        <v>0</v>
      </c>
      <c r="OU24" s="14">
        <f>'[1]D-PS'!$DC$41</f>
        <v>0</v>
      </c>
      <c r="OV24" s="14">
        <f>'[1]D-PS'!$DC$42</f>
        <v>0</v>
      </c>
      <c r="OW24" s="14">
        <f>'[1]D-PS'!$DC$43</f>
        <v>0</v>
      </c>
      <c r="OX24" s="14">
        <f>'[1]D-PS'!$DC$44</f>
        <v>0</v>
      </c>
      <c r="OY24" s="14">
        <f>'[1]D-PS'!$DC$45</f>
        <v>0</v>
      </c>
      <c r="OZ24" s="14">
        <f>'[1]D-PS'!$DC$46</f>
        <v>0</v>
      </c>
      <c r="PA24" s="14">
        <f>'[1]D-PS'!$DC$47</f>
        <v>0</v>
      </c>
      <c r="PB24" s="14">
        <f>'[1]D-PS'!$DC$48</f>
        <v>0</v>
      </c>
      <c r="PC24" s="16">
        <f>SUM(NR24:PB24)</f>
        <v>12513891.598632813</v>
      </c>
      <c r="PH24" s="16">
        <f>PF24+JG24+PC24</f>
        <v>39482491.491210938</v>
      </c>
    </row>
    <row r="25" spans="1:424" outlineLevel="1" x14ac:dyDescent="0.35">
      <c r="A25" s="46" t="s">
        <v>49</v>
      </c>
      <c r="B25" s="25">
        <f>'[2]CF PDP'!$CT$36</f>
        <v>255403</v>
      </c>
      <c r="C25" s="25">
        <f>'[2]CF PDP'!$CT$37</f>
        <v>0</v>
      </c>
      <c r="D25" s="25">
        <f>'[2]CF PDP'!$CT$38</f>
        <v>0</v>
      </c>
      <c r="E25" s="25">
        <f>'[2]CF PDP'!$CT$39</f>
        <v>0</v>
      </c>
      <c r="F25" s="25">
        <f>'[2]CF PDP'!$CT$40</f>
        <v>0</v>
      </c>
      <c r="G25" s="25">
        <f>'[2]CF PDP'!$CT$41</f>
        <v>0</v>
      </c>
      <c r="H25" s="25">
        <f>'[2]CF PDP'!$CT$42</f>
        <v>0</v>
      </c>
      <c r="I25" s="25">
        <f>'[2]CF PDP'!$CT$43</f>
        <v>0</v>
      </c>
      <c r="J25" s="25">
        <f>'[2]CF PDP'!$CT$44</f>
        <v>0</v>
      </c>
      <c r="K25" s="25">
        <f>'[2]CF PDP'!$CT$45</f>
        <v>0</v>
      </c>
      <c r="L25" s="25">
        <f>'[2]CF PDP'!$CT$46</f>
        <v>0</v>
      </c>
      <c r="M25" s="25">
        <f>'[2]CF PDP'!$CT$47</f>
        <v>0</v>
      </c>
      <c r="N25" s="25">
        <f>'[2]CF PDP'!$CT$48</f>
        <v>0</v>
      </c>
      <c r="O25" s="25">
        <f>'[2]CF PDP'!$CT$49</f>
        <v>0</v>
      </c>
      <c r="P25" s="25">
        <f>'[2]CF PDP'!$CT$50</f>
        <v>0</v>
      </c>
      <c r="Q25" s="25">
        <f>'[2]CF PDP'!$CT$51</f>
        <v>0</v>
      </c>
      <c r="R25" s="25">
        <f>'[2]CF PDP'!$CT$52</f>
        <v>0</v>
      </c>
      <c r="S25" s="25">
        <f>'[2]CF PDP'!$CT$53</f>
        <v>0</v>
      </c>
      <c r="T25" s="25">
        <f>'[2]CF PDP'!$CT$54</f>
        <v>0</v>
      </c>
      <c r="U25" s="25">
        <f>'[2]CF PDP'!$CT$55</f>
        <v>0</v>
      </c>
      <c r="V25" s="25">
        <f>'[2]CF PDP'!$CT$56</f>
        <v>0</v>
      </c>
      <c r="W25" s="25">
        <f>'[2]CF PDP'!$CT$57</f>
        <v>0</v>
      </c>
      <c r="X25" s="25">
        <f>'[2]CF PDP'!$CT$58</f>
        <v>0</v>
      </c>
      <c r="Y25" s="25">
        <f>'[2]CF PDP'!$CT$59</f>
        <v>0</v>
      </c>
      <c r="Z25" s="25">
        <f>'[2]CF PDP'!$CT$60</f>
        <v>0</v>
      </c>
      <c r="AA25" s="25">
        <f>'[2]CF PDP'!$CT$61</f>
        <v>0</v>
      </c>
      <c r="AB25" s="25">
        <f>'[2]CF PDP'!$CT$62</f>
        <v>0</v>
      </c>
      <c r="AC25" s="25">
        <f>'[2]CF PDP'!$CT$63</f>
        <v>0</v>
      </c>
      <c r="AD25" s="25">
        <f>'[2]CF PDP'!$CT$64</f>
        <v>0</v>
      </c>
      <c r="AE25" s="25">
        <f>'[2]CF PDP'!$CT$65</f>
        <v>0</v>
      </c>
      <c r="AF25" s="25">
        <f>'[2]CF PDP'!$CT$66</f>
        <v>0</v>
      </c>
      <c r="AG25" s="25">
        <f>'[2]CF PDP'!$CT$67</f>
        <v>0</v>
      </c>
      <c r="AH25" s="25">
        <f>'[2]CF PDP'!$CT$68</f>
        <v>0</v>
      </c>
      <c r="AI25" s="25">
        <f>'[2]CF PDP'!$CT$69</f>
        <v>0</v>
      </c>
      <c r="AJ25" s="25">
        <f>'[2]CF PDP'!$CT$70</f>
        <v>0</v>
      </c>
      <c r="AK25" s="25">
        <f>'[2]CF PDP'!$CT$71</f>
        <v>0</v>
      </c>
      <c r="AL25" s="25">
        <f>'[2]CF PDP'!$CT$72</f>
        <v>0</v>
      </c>
      <c r="AM25" s="26">
        <f>SUM(B25:AL25)</f>
        <v>255403</v>
      </c>
      <c r="AN25" s="27">
        <f>'[2]CF PNP'!$CT$36</f>
        <v>0</v>
      </c>
      <c r="AO25" s="25">
        <f>'[2]CF PNP'!$CT$37</f>
        <v>0</v>
      </c>
      <c r="AP25" s="25">
        <f>'[2]CF PNP'!$CT$38</f>
        <v>0</v>
      </c>
      <c r="AQ25" s="25">
        <f>'[2]CF PNP'!$CT$39</f>
        <v>0</v>
      </c>
      <c r="AR25" s="25">
        <f>'[2]CF PNP'!$CT$40</f>
        <v>0</v>
      </c>
      <c r="AS25" s="25">
        <f>'[2]CF PNP'!$CT$41</f>
        <v>0</v>
      </c>
      <c r="AT25" s="25">
        <f>'[2]CF PNP'!$CT$42</f>
        <v>0</v>
      </c>
      <c r="AU25" s="25">
        <f>'[2]CF PNP'!$CT$43</f>
        <v>0</v>
      </c>
      <c r="AV25" s="25">
        <f>'[2]CF PNP'!$CT$44</f>
        <v>0</v>
      </c>
      <c r="AW25" s="25">
        <f>'[2]CF PNP'!$CT$45</f>
        <v>0</v>
      </c>
      <c r="AX25" s="25">
        <f>'[2]CF PNP'!$CT$46</f>
        <v>0</v>
      </c>
      <c r="AY25" s="25">
        <f>'[2]CF PNP'!$CT$47</f>
        <v>0</v>
      </c>
      <c r="AZ25" s="25">
        <f>'[2]CF PNP'!$CT$48</f>
        <v>0</v>
      </c>
      <c r="BA25" s="25">
        <f>'[2]CF PNP'!$CT$49</f>
        <v>0</v>
      </c>
      <c r="BB25" s="25">
        <f>'[2]CF PNP'!$CT$50</f>
        <v>0</v>
      </c>
      <c r="BC25" s="25">
        <f>'[2]CF PNP'!$CT$51</f>
        <v>0</v>
      </c>
      <c r="BD25" s="25">
        <f>'[2]CF PNP'!$CT$52</f>
        <v>0</v>
      </c>
      <c r="BE25" s="25">
        <f>'[2]CF PNP'!$CT$53</f>
        <v>0</v>
      </c>
      <c r="BF25" s="25">
        <f>'[2]CF PNP'!$CT$54</f>
        <v>0</v>
      </c>
      <c r="BG25" s="25">
        <f>'[2]CF PNP'!$CT$55</f>
        <v>0</v>
      </c>
      <c r="BH25" s="25">
        <f>'[2]CF PNP'!$CT$56</f>
        <v>0</v>
      </c>
      <c r="BI25" s="25">
        <f>'[2]CF PNP'!$CT$57</f>
        <v>0</v>
      </c>
      <c r="BJ25" s="25">
        <f>'[2]CF PNP'!$CT$58</f>
        <v>0</v>
      </c>
      <c r="BK25" s="25">
        <f>'[2]CF PNP'!$CT$59</f>
        <v>0</v>
      </c>
      <c r="BL25" s="25">
        <f>'[2]CF PNP'!$CT$60</f>
        <v>0</v>
      </c>
      <c r="BM25" s="25">
        <f>'[2]CF PNP'!$CT$61</f>
        <v>0</v>
      </c>
      <c r="BN25" s="25">
        <f>'[2]CF PNP'!$CT$62</f>
        <v>0</v>
      </c>
      <c r="BO25" s="25">
        <f>'[2]CF PNP'!$CT$63</f>
        <v>0</v>
      </c>
      <c r="BP25" s="25">
        <f>'[2]CF PNP'!$CT$64</f>
        <v>0</v>
      </c>
      <c r="BQ25" s="25">
        <f>'[2]CF PNP'!$CT$65</f>
        <v>0</v>
      </c>
      <c r="BR25" s="25">
        <f>'[2]CF PNP'!$CT$66</f>
        <v>0</v>
      </c>
      <c r="BS25" s="25">
        <f>'[2]CF PNP'!$CT$67</f>
        <v>0</v>
      </c>
      <c r="BT25" s="25">
        <f>'[2]CF PNP'!$CT$68</f>
        <v>0</v>
      </c>
      <c r="BU25" s="25">
        <f>'[2]CF PNP'!$CT$69</f>
        <v>0</v>
      </c>
      <c r="BV25" s="25">
        <f>'[2]CF PNP'!$CT$70</f>
        <v>0</v>
      </c>
      <c r="BW25" s="25">
        <f>'[2]CF PNP'!$CT$71</f>
        <v>0</v>
      </c>
      <c r="BX25" s="25">
        <f>'[2]CF PNP'!$CT$72</f>
        <v>0</v>
      </c>
      <c r="BY25" s="26">
        <f>SUM(AN25:BX25)</f>
        <v>0</v>
      </c>
      <c r="BZ25" s="27">
        <f>'[2]CF PND'!$CT$36</f>
        <v>3425793</v>
      </c>
      <c r="CA25" s="25">
        <f>'[2]CF PND'!$CT$37</f>
        <v>3702819</v>
      </c>
      <c r="CB25" s="25">
        <f>'[2]CF PND'!$CT$38</f>
        <v>64015126</v>
      </c>
      <c r="CC25" s="25">
        <f>'[2]CF PND'!$CT$39</f>
        <v>39394742</v>
      </c>
      <c r="CD25" s="25">
        <f>'[2]CF PND'!$CT$40</f>
        <v>27657931</v>
      </c>
      <c r="CE25" s="25">
        <f>'[2]CF PND'!$CT$41</f>
        <v>18406888</v>
      </c>
      <c r="CF25" s="25">
        <f>'[2]CF PND'!$CT$42</f>
        <v>9491692</v>
      </c>
      <c r="CG25" s="25">
        <f>'[2]CF PND'!$CT$43</f>
        <v>2384195</v>
      </c>
      <c r="CH25" s="25">
        <f>'[2]CF PND'!$CT$44</f>
        <v>105554</v>
      </c>
      <c r="CI25" s="25">
        <f>'[2]CF PND'!$CT$45</f>
        <v>0</v>
      </c>
      <c r="CJ25" s="25">
        <f>'[2]CF PND'!$CT$46</f>
        <v>0</v>
      </c>
      <c r="CK25" s="25">
        <f>'[2]CF PND'!$CT$47</f>
        <v>0</v>
      </c>
      <c r="CL25" s="25">
        <f>'[2]CF PND'!$CT$48</f>
        <v>0</v>
      </c>
      <c r="CM25" s="25">
        <f>'[2]CF PND'!$CT$49</f>
        <v>0</v>
      </c>
      <c r="CN25" s="25">
        <f>'[2]CF PND'!$CT$50</f>
        <v>0</v>
      </c>
      <c r="CO25" s="25">
        <f>'[2]CF PND'!$CT$51</f>
        <v>0</v>
      </c>
      <c r="CP25" s="25">
        <f>'[2]CF PND'!$CT$52</f>
        <v>0</v>
      </c>
      <c r="CQ25" s="25">
        <f>'[2]CF PND'!$CT$53</f>
        <v>0</v>
      </c>
      <c r="CR25" s="25">
        <f>'[2]CF PND'!$CT$54</f>
        <v>0</v>
      </c>
      <c r="CS25" s="25">
        <f>'[2]CF PND'!$CT$55</f>
        <v>0</v>
      </c>
      <c r="CT25" s="25">
        <f>'[2]CF PND'!$CT$56</f>
        <v>0</v>
      </c>
      <c r="CU25" s="25">
        <f>'[2]CF PND'!$CT$57</f>
        <v>0</v>
      </c>
      <c r="CV25" s="25">
        <f>'[2]CF PND'!$CT$58</f>
        <v>0</v>
      </c>
      <c r="CW25" s="25">
        <f>'[2]CF PND'!$CT$59</f>
        <v>0</v>
      </c>
      <c r="CX25" s="25">
        <f>'[2]CF PND'!$CT$60</f>
        <v>0</v>
      </c>
      <c r="CY25" s="25">
        <f>'[2]CF PND'!$CT$61</f>
        <v>0</v>
      </c>
      <c r="CZ25" s="25">
        <f>'[2]CF PND'!$CT$62</f>
        <v>0</v>
      </c>
      <c r="DA25" s="25">
        <f>'[2]CF PND'!$CT$63</f>
        <v>0</v>
      </c>
      <c r="DB25" s="25">
        <f>'[2]CF PND'!$CT$64</f>
        <v>0</v>
      </c>
      <c r="DC25" s="25">
        <f>'[2]CF PND'!$CT$65</f>
        <v>0</v>
      </c>
      <c r="DD25" s="25">
        <f>'[2]CF PND'!$CT$66</f>
        <v>0</v>
      </c>
      <c r="DE25" s="25">
        <f>'[2]CF PND'!$CT$67</f>
        <v>0</v>
      </c>
      <c r="DF25" s="25">
        <f>'[2]CF PND'!$CT$68</f>
        <v>0</v>
      </c>
      <c r="DG25" s="25">
        <f>'[2]CF PND'!$CT$69</f>
        <v>0</v>
      </c>
      <c r="DH25" s="25">
        <f>'[2]CF PND'!$CT$70</f>
        <v>0</v>
      </c>
      <c r="DI25" s="25">
        <f>'[2]CF PND'!$CT$71</f>
        <v>0</v>
      </c>
      <c r="DJ25" s="25">
        <f>'[2]CF PND'!$CT$72</f>
        <v>0</v>
      </c>
      <c r="DK25" s="26">
        <f>SUM(BZ25:DJ25)</f>
        <v>168584740</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'[2]CF PRB'!$CT$36</f>
        <v>663056</v>
      </c>
      <c r="HW25" s="25">
        <f>'[2]CF PRB'!$CT$37</f>
        <v>1945497</v>
      </c>
      <c r="HX25" s="25">
        <f>'[2]CF PRB'!$CT$38</f>
        <v>3754431</v>
      </c>
      <c r="HY25" s="25">
        <f>'[2]CF PRB'!$CT$39</f>
        <v>14632525</v>
      </c>
      <c r="HZ25" s="25">
        <f>'[2]CF PRB'!$CT$40</f>
        <v>2672010</v>
      </c>
      <c r="IA25" s="25">
        <f>'[2]CF PRB'!$CT$41</f>
        <v>1551272</v>
      </c>
      <c r="IB25" s="25">
        <f>'[2]CF PRB'!$CT$42</f>
        <v>1267918</v>
      </c>
      <c r="IC25" s="25">
        <f>'[2]CF PRB'!$CT$43</f>
        <v>461457</v>
      </c>
      <c r="ID25" s="25">
        <f>'[2]CF PRB'!$CT$44</f>
        <v>20429</v>
      </c>
      <c r="IE25" s="25">
        <f>'[2]CF PRB'!$CT$45</f>
        <v>0</v>
      </c>
      <c r="IF25" s="25">
        <f>'[2]CF PRB'!$CT$46</f>
        <v>0</v>
      </c>
      <c r="IG25" s="25">
        <f>'[2]CF PRB'!$CT$47</f>
        <v>0</v>
      </c>
      <c r="IH25" s="25">
        <f>'[2]CF PRB'!$CT$48</f>
        <v>0</v>
      </c>
      <c r="II25" s="25">
        <f>'[2]CF PRB'!$CT$49</f>
        <v>0</v>
      </c>
      <c r="IJ25" s="25">
        <f>'[2]CF PRB'!$CT$50</f>
        <v>0</v>
      </c>
      <c r="IK25" s="25">
        <f>'[2]CF PRB'!$CT$51</f>
        <v>0</v>
      </c>
      <c r="IL25" s="25">
        <f>'[2]CF PRB'!$CT$52</f>
        <v>0</v>
      </c>
      <c r="IM25" s="25">
        <f>'[2]CF PRB'!$CT$53</f>
        <v>0</v>
      </c>
      <c r="IN25" s="25">
        <f>'[2]CF PRB'!$CT$54</f>
        <v>0</v>
      </c>
      <c r="IO25" s="25">
        <f>'[2]CF PRB'!$CT$55</f>
        <v>0</v>
      </c>
      <c r="IP25" s="25">
        <f>'[2]CF PRB'!$CT$56</f>
        <v>0</v>
      </c>
      <c r="IQ25" s="25">
        <f>'[2]CF PRB'!$CT$57</f>
        <v>0</v>
      </c>
      <c r="IR25" s="25">
        <f>'[2]CF PRB'!$CT$58</f>
        <v>0</v>
      </c>
      <c r="IS25" s="25">
        <f>'[2]CF PRB'!$CT$59</f>
        <v>0</v>
      </c>
      <c r="IT25" s="25">
        <f>'[2]CF PRB'!$CT$60</f>
        <v>0</v>
      </c>
      <c r="IU25" s="25">
        <f>'[2]CF PRB'!$CT$61</f>
        <v>0</v>
      </c>
      <c r="IV25" s="25">
        <f>'[2]CF PRB'!$CT$62</f>
        <v>0</v>
      </c>
      <c r="IW25" s="25">
        <f>'[2]CF PRB'!$CT$63</f>
        <v>0</v>
      </c>
      <c r="IX25" s="25">
        <f>'[2]CF PRB'!$CT$64</f>
        <v>0</v>
      </c>
      <c r="IY25" s="25">
        <f>'[2]CF PRB'!$CT$65</f>
        <v>0</v>
      </c>
      <c r="IZ25" s="25">
        <f>'[2]CF PRB'!$CT$66</f>
        <v>0</v>
      </c>
      <c r="JA25" s="25">
        <f>'[2]CF PRB'!$CT$67</f>
        <v>0</v>
      </c>
      <c r="JB25" s="25">
        <f>'[2]CF PRB'!$CT$68</f>
        <v>0</v>
      </c>
      <c r="JC25" s="25">
        <f>'[2]CF PRB'!$CT$69</f>
        <v>0</v>
      </c>
      <c r="JD25" s="25">
        <f>'[2]CF PRB'!$CT$70</f>
        <v>0</v>
      </c>
      <c r="JE25" s="25">
        <f>'[2]CF PRB'!$CT$71</f>
        <v>0</v>
      </c>
      <c r="JF25" s="25">
        <f>'[2]CF PRB'!$CT$72</f>
        <v>0</v>
      </c>
      <c r="JG25" s="26">
        <f>SUM(HV25:JF25)</f>
        <v>26968595</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'[2]CF PS'!$CT$36</f>
        <v>147345</v>
      </c>
      <c r="NS25" s="25">
        <f>'[2]CF PS'!$CT$37</f>
        <v>106096</v>
      </c>
      <c r="NT25" s="25">
        <f>'[2]CF PS'!$CT$38</f>
        <v>5237057</v>
      </c>
      <c r="NU25" s="25">
        <f>'[2]CF PS'!$CT$39</f>
        <v>5696038</v>
      </c>
      <c r="NV25" s="25">
        <f>'[2]CF PS'!$CT$40</f>
        <v>593780</v>
      </c>
      <c r="NW25" s="25">
        <f>'[2]CF PS'!$CT$41</f>
        <v>344727</v>
      </c>
      <c r="NX25" s="25">
        <f>'[2]CF PS'!$CT$42</f>
        <v>281759</v>
      </c>
      <c r="NY25" s="25">
        <f>'[2]CF PS'!$CT$43</f>
        <v>102546</v>
      </c>
      <c r="NZ25" s="25">
        <f>'[2]CF PS'!$CT$44</f>
        <v>4539</v>
      </c>
      <c r="OA25" s="25">
        <f>'[2]CF PS'!$CT$45</f>
        <v>0</v>
      </c>
      <c r="OB25" s="25">
        <f>'[2]CF PS'!$CT$46</f>
        <v>0</v>
      </c>
      <c r="OC25" s="25">
        <f>'[2]CF PS'!$CT$47</f>
        <v>0</v>
      </c>
      <c r="OD25" s="25">
        <f>'[2]CF PS'!$CT$48</f>
        <v>0</v>
      </c>
      <c r="OE25" s="25">
        <f>'[2]CF PS'!$CT$49</f>
        <v>0</v>
      </c>
      <c r="OF25" s="25">
        <f>'[2]CF PS'!$CT$50</f>
        <v>0</v>
      </c>
      <c r="OG25" s="25">
        <f>'[2]CF PS'!$CT$51</f>
        <v>0</v>
      </c>
      <c r="OH25" s="25">
        <f>'[2]CF PS'!$CT$52</f>
        <v>0</v>
      </c>
      <c r="OI25" s="25">
        <f>'[2]CF PS'!$CT$53</f>
        <v>0</v>
      </c>
      <c r="OJ25" s="25">
        <f>'[2]CF PS'!$CT$54</f>
        <v>0</v>
      </c>
      <c r="OK25" s="25">
        <f>'[2]CF PS'!$CT$55</f>
        <v>0</v>
      </c>
      <c r="OL25" s="25">
        <f>'[2]CF PS'!$CT$56</f>
        <v>0</v>
      </c>
      <c r="OM25" s="25">
        <f>'[2]CF PS'!$CT$57</f>
        <v>0</v>
      </c>
      <c r="ON25" s="25">
        <f>'[2]CF PS'!$CT$58</f>
        <v>0</v>
      </c>
      <c r="OO25" s="25">
        <f>'[2]CF PS'!$CT$59</f>
        <v>0</v>
      </c>
      <c r="OP25" s="25">
        <f>'[2]CF PS'!$CT$60</f>
        <v>0</v>
      </c>
      <c r="OQ25" s="25">
        <f>'[2]CF PS'!$CT$61</f>
        <v>0</v>
      </c>
      <c r="OR25" s="25">
        <f>'[2]CF PS'!$CT$62</f>
        <v>0</v>
      </c>
      <c r="OS25" s="25">
        <f>'[2]CF PS'!$CT$63</f>
        <v>0</v>
      </c>
      <c r="OT25" s="25">
        <f>'[2]CF PS'!$CT$64</f>
        <v>0</v>
      </c>
      <c r="OU25" s="25">
        <f>'[2]CF PS'!$CT$65</f>
        <v>0</v>
      </c>
      <c r="OV25" s="25">
        <f>'[2]CF PS'!$CT$66</f>
        <v>0</v>
      </c>
      <c r="OW25" s="25">
        <f>'[2]CF PS'!$CT$67</f>
        <v>0</v>
      </c>
      <c r="OX25" s="25">
        <f>'[2]CF PS'!$CT$68</f>
        <v>0</v>
      </c>
      <c r="OY25" s="25">
        <f>'[2]CF PS'!$CT$69</f>
        <v>0</v>
      </c>
      <c r="OZ25" s="25">
        <f>'[2]CF PS'!$CT$70</f>
        <v>0</v>
      </c>
      <c r="PA25" s="25">
        <f>'[2]CF PS'!$CT$71</f>
        <v>0</v>
      </c>
      <c r="PB25" s="25">
        <f>'[2]CF PS'!$CT$72</f>
        <v>0</v>
      </c>
      <c r="PC25" s="26">
        <f>SUM(NR25:PB25)</f>
        <v>12513887</v>
      </c>
      <c r="PH25" s="16">
        <f>PF25+JG25+PC25</f>
        <v>39482482</v>
      </c>
    </row>
    <row r="26" spans="1:424" ht="15.6" thickBot="1" x14ac:dyDescent="0.4">
      <c r="A26" s="47" t="s">
        <v>50</v>
      </c>
      <c r="B26" s="40">
        <f>IF(AND(B24&lt;&gt;0,B25&lt;&gt;0),(B24-B25)/B25,IF(AND(B24=0,B25=0),"",IF(AND(B24="",B25=""),"",IF(AND(B24=0,B25=""),"", IF(AND(B24="",B25=0),"",1)))))</f>
        <v>9.1766737274033584E-7</v>
      </c>
      <c r="C26" s="40" t="str">
        <f t="shared" ref="C26" si="786">IF(AND(C24&lt;&gt;0,C25&lt;&gt;0),(C24-C25)/C25,IF(AND(C24=0,C25=0),"",IF(AND(C24="",C25=""),"",IF(AND(C24=0,C25=""),"", IF(AND(C24="",C25=0),"",1)))))</f>
        <v/>
      </c>
      <c r="D26" s="40" t="str">
        <f t="shared" ref="D26" si="787">IF(AND(D24&lt;&gt;0,D25&lt;&gt;0),(D24-D25)/D25,IF(AND(D24=0,D25=0),"",IF(AND(D24="",D25=""),"",IF(AND(D24=0,D25=""),"", IF(AND(D24="",D25=0),"",1)))))</f>
        <v/>
      </c>
      <c r="E26" s="40" t="str">
        <f t="shared" ref="E26" si="788">IF(AND(E24&lt;&gt;0,E25&lt;&gt;0),(E24-E25)/E25,IF(AND(E24=0,E25=0),"",IF(AND(E24="",E25=""),"",IF(AND(E24=0,E25=""),"", IF(AND(E24="",E25=0),"",1)))))</f>
        <v/>
      </c>
      <c r="F26" s="40" t="str">
        <f t="shared" ref="F26" si="789">IF(AND(F24&lt;&gt;0,F25&lt;&gt;0),(F24-F25)/F25,IF(AND(F24=0,F25=0),"",IF(AND(F24="",F25=""),"",IF(AND(F24=0,F25=""),"", IF(AND(F24="",F25=0),"",1)))))</f>
        <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f t="shared" ref="AM26" si="808">IF(AND(AM24&lt;&gt;0,AM25&lt;&gt;0),(AM24-AM25)/AM25,IF(AND(AM24=0,AM25=0),"",IF(AND(AM24="",AM25=""),"",IF(AND(AM24=0,AM25=""),"", IF(AND(AM24="",AM25=0),"",1)))))</f>
        <v>9.1766737274033584E-7</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f t="shared" ref="BZ26" si="833">IF(AND(BZ24&lt;&gt;0,BZ25&lt;&gt;0),(BZ24-BZ25)/BZ25,IF(AND(BZ24=0,BZ25=0),"",IF(AND(BZ24="",BZ25=""),"",IF(AND(BZ24=0,BZ25=""),"", IF(AND(BZ24="",BZ25=0),"",1)))))</f>
        <v>2.9190321773674008E-7</v>
      </c>
      <c r="CA26" s="40">
        <f t="shared" ref="CA26" si="834">IF(AND(CA24&lt;&gt;0,CA25&lt;&gt;0),(CA24-CA25)/CA25,IF(AND(CA24=0,CA25=0),"",IF(AND(CA24="",CA25=""),"",IF(AND(CA24=0,CA25=""),"", IF(AND(CA24="",CA25=0),"",1)))))</f>
        <v>2.0254838273218322E-7</v>
      </c>
      <c r="CB26" s="40">
        <f t="shared" ref="CB26" si="835">IF(AND(CB24&lt;&gt;0,CB25&lt;&gt;0),(CB24-CB25)/CB25,IF(AND(CB24=0,CB25=0),"",IF(AND(CB24="",CB25=""),"",IF(AND(CB24=0,CB25=""),"", IF(AND(CB24="",CB25=0),"",1)))))</f>
        <v>-3.1242616002974046E-8</v>
      </c>
      <c r="CC26" s="40">
        <f t="shared" ref="CC26" si="836">IF(AND(CC24&lt;&gt;0,CC25&lt;&gt;0),(CC24-CC25)/CC25,IF(AND(CC24=0,CC25=0),"",IF(AND(CC24="",CC25=""),"",IF(AND(CC24=0,CC25=""),"", IF(AND(CC24="",CC25=0),"",1)))))</f>
        <v>5.0768196425807279E-8</v>
      </c>
      <c r="CD26" s="40">
        <f t="shared" ref="CD26" si="837">IF(AND(CD24&lt;&gt;0,CD25&lt;&gt;0),(CD24-CD25)/CD25,IF(AND(CD24=0,CD25=0),"",IF(AND(CD24="",CD25=""),"",IF(AND(CD24=0,CD25=""),"", IF(AND(CD24="",CD25=0),"",1)))))</f>
        <v>1.084679833788001E-7</v>
      </c>
      <c r="CE26" s="40">
        <f t="shared" ref="CE26" si="838">IF(AND(CE24&lt;&gt;0,CE25&lt;&gt;0),(CE24-CE25)/CE25,IF(AND(CE24=0,CE25=0),"",IF(AND(CE24="",CE25=""),"",IF(AND(CE24=0,CE25=""),"", IF(AND(CE24="",CE25=0),"",1)))))</f>
        <v>0</v>
      </c>
      <c r="CF26" s="40">
        <f t="shared" ref="CF26" si="839">IF(AND(CF24&lt;&gt;0,CF25&lt;&gt;0),(CF24-CF25)/CF25,IF(AND(CF24=0,CF25=0),"",IF(AND(CF24="",CF25=""),"",IF(AND(CF24=0,CF25=""),"", IF(AND(CF24="",CF25=0),"",1)))))</f>
        <v>0</v>
      </c>
      <c r="CG26" s="40">
        <f t="shared" ref="CG26" si="840">IF(AND(CG24&lt;&gt;0,CG25&lt;&gt;0),(CG24-CG25)/CG25,IF(AND(CG24=0,CG25=0),"",IF(AND(CG24="",CG25=""),"",IF(AND(CG24=0,CG25=""),"", IF(AND(CG24="",CG25=0),"",1)))))</f>
        <v>1.0485719498614837E-7</v>
      </c>
      <c r="CH26" s="40">
        <f t="shared" ref="CH26" si="841">IF(AND(CH24&lt;&gt;0,CH25&lt;&gt;0),(CH24-CH25)/CH25,IF(AND(CH24=0,CH25=0),"",IF(AND(CH24="",CH25=""),"",IF(AND(CH24=0,CH25=""),"", IF(AND(CH24="",CH25=0),"",1)))))</f>
        <v>8.8817098357238949E-6</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f t="shared" ref="DK26:HU26" si="856">IF(AND(DK24&lt;&gt;0,DK25&lt;&gt;0),(DK24-DK25)/DK25,IF(AND(DK24=0,DK25=0),"",IF(AND(DK24="",DK25=""),"",IF(AND(DK24=0,DK25=""),"", IF(AND(DK24="",DK25=0),"",1)))))</f>
        <v>3.5219676466565126E-8</v>
      </c>
      <c r="DL26" s="72" t="str">
        <f t="shared" si="856"/>
        <v/>
      </c>
      <c r="DM26" s="73" t="str">
        <f t="shared" si="856"/>
        <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t="str">
        <f t="shared" si="856"/>
        <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f t="shared" ref="HV26" si="861">IF(AND(HV24&lt;&gt;0,HV25&lt;&gt;0),(HV24-HV25)/HV25,IF(AND(HV24=0,HV25=0),"",IF(AND(HV24="",HV25=""),"",IF(AND(HV24=0,HV25=""),"", IF(AND(HV24="",HV25=0),"",1)))))</f>
        <v>1.3196472092854902E-6</v>
      </c>
      <c r="HW26" s="40">
        <f t="shared" ref="HW26" si="862">IF(AND(HW24&lt;&gt;0,HW25&lt;&gt;0),(HW24-HW25)/HW25,IF(AND(HW24=0,HW25=0),"",IF(AND(HW24="",HW25=""),"",IF(AND(HW24=0,HW25=""),"", IF(AND(HW24="",HW25=0),"",1)))))</f>
        <v>1.2850186867417427E-7</v>
      </c>
      <c r="HX26" s="40">
        <f t="shared" ref="HX26" si="863">IF(AND(HX24&lt;&gt;0,HX25&lt;&gt;0),(HX24-HX25)/HX25,IF(AND(HX24=0,HX25=0),"",IF(AND(HX24="",HX25=""),"",IF(AND(HX24=0,HX25=""),"", IF(AND(HX24="",HX25=0),"",1)))))</f>
        <v>1.3317597260410433E-7</v>
      </c>
      <c r="HY26" s="40">
        <f t="shared" ref="HY26" si="864">IF(AND(HY24&lt;&gt;0,HY25&lt;&gt;0),(HY24-HY25)/HY25,IF(AND(HY24=0,HY25=0),"",IF(AND(HY24="",HY25=""),"",IF(AND(HY24=0,HY25=""),"", IF(AND(HY24="",HY25=0),"",1)))))</f>
        <v>0</v>
      </c>
      <c r="HZ26" s="40">
        <f t="shared" ref="HZ26" si="865">IF(AND(HZ24&lt;&gt;0,HZ25&lt;&gt;0),(HZ24-HZ25)/HZ25,IF(AND(HZ24=0,HZ25=0),"",IF(AND(HZ24="",HZ25=""),"",IF(AND(HZ24=0,HZ25=""),"", IF(AND(HZ24="",HZ25=0),"",1)))))</f>
        <v>2.8068757227704985E-7</v>
      </c>
      <c r="IA26" s="40">
        <f t="shared" ref="IA26" si="866">IF(AND(IA24&lt;&gt;0,IA25&lt;&gt;0),(IA24-IA25)/IA25,IF(AND(IA24=0,IA25=0),"",IF(AND(IA24="",IA25=""),"",IF(AND(IA24=0,IA25=""),"", IF(AND(IA24="",IA25=0),"",1)))))</f>
        <v>4.0289517247781176E-7</v>
      </c>
      <c r="IB26" s="40">
        <f t="shared" ref="IB26" si="867">IF(AND(IB24&lt;&gt;0,IB25&lt;&gt;0),(IB24-IB25)/IB25,IF(AND(IB24=0,IB25=0),"",IF(AND(IB24="",IB25=""),"",IF(AND(IB24=0,IB25=""),"", IF(AND(IB24="",IB25=0),"",1)))))</f>
        <v>5.9152090277131485E-7</v>
      </c>
      <c r="IC26" s="40">
        <f t="shared" ref="IC26" si="868">IF(AND(IC24&lt;&gt;0,IC25&lt;&gt;0),(IC24-IC25)/IC25,IF(AND(IC24=0,IC25=0),"",IF(AND(IC24="",IC25=""),"",IF(AND(IC24=0,IC25=""),"", IF(AND(IC24="",IC25=0),"",1)))))</f>
        <v>3.3860142981902974E-7</v>
      </c>
      <c r="ID26" s="40">
        <f t="shared" ref="ID26" si="869">IF(AND(ID24&lt;&gt;0,ID25&lt;&gt;0),(ID24-ID25)/ID25,IF(AND(ID24=0,ID25=0),"",IF(AND(ID24="",ID25=""),"",IF(AND(ID24=0,ID25=""),"", IF(AND(ID24="",ID25=0),"",1)))))</f>
        <v>4.8280783445102553E-5</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f t="shared" ref="JG26:NQ26" si="884">IF(AND(JG24&lt;&gt;0,JG25&lt;&gt;0),(JG24-JG25)/JG25,IF(AND(JG24=0,JG25=0),"",IF(AND(JG24="",JG25=""),"",IF(AND(JG24=0,JG25=""),"", IF(AND(JG24="",JG25=0),"",1)))))</f>
        <v>1.8141761278257174E-7</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f t="shared" ref="NR26" si="889">IF(AND(NR24&lt;&gt;0,NR25&lt;&gt;0),(NR24-NR25)/NR25,IF(AND(NR24=0,NR25=0),"",IF(AND(NR24="",NR25=""),"",IF(AND(NR24=0,NR25=""),"", IF(AND(NR24="",NR25=0),"",1)))))</f>
        <v>6.6807492619362722E-6</v>
      </c>
      <c r="NS26" s="40">
        <f t="shared" ref="NS26" si="890">IF(AND(NS24&lt;&gt;0,NS25&lt;&gt;0),(NS24-NS25)/NS25,IF(AND(NS24=0,NS25=0),"",IF(AND(NS24="",NS25=""),"",IF(AND(NS24=0,NS25=""),"", IF(AND(NS24="",NS25=0),"",1)))))</f>
        <v>4.1972600286532952E-6</v>
      </c>
      <c r="NT26" s="40">
        <f t="shared" ref="NT26" si="891">IF(AND(NT24&lt;&gt;0,NT25&lt;&gt;0),(NT24-NT25)/NT25,IF(AND(NT24=0,NT25=0),"",IF(AND(NT24="",NT25=""),"",IF(AND(NT24=0,NT25=""),"", IF(AND(NT24="",NT25=0),"",1)))))</f>
        <v>9.5473469164074403E-8</v>
      </c>
      <c r="NU26" s="40">
        <f t="shared" ref="NU26" si="892">IF(AND(NU24&lt;&gt;0,NU25&lt;&gt;0),(NU24-NU25)/NU25,IF(AND(NU24=0,NU25=0),"",IF(AND(NU24="",NU25=""),"",IF(AND(NU24=0,NU25=""),"", IF(AND(NU24="",NU25=0),"",1)))))</f>
        <v>8.7780313263359543E-8</v>
      </c>
      <c r="NV26" s="40">
        <f t="shared" ref="NV26" si="893">IF(AND(NV24&lt;&gt;0,NV25&lt;&gt;0),(NV24-NV25)/NV25,IF(AND(NV24=0,NV25=0),"",IF(AND(NV24="",NV25=""),"",IF(AND(NV24=0,NV25=""),"", IF(AND(NV24="",NV25=0),"",1)))))</f>
        <v>3.1577351881168111E-7</v>
      </c>
      <c r="NW26" s="40">
        <f t="shared" ref="NW26" si="894">IF(AND(NW24&lt;&gt;0,NW25&lt;&gt;0),(NW24-NW25)/NW25,IF(AND(NW24=0,NW25=0),"",IF(AND(NW24="",NW25=""),"",IF(AND(NW24=0,NW25=""),"", IF(AND(NW24="",NW25=0),"",1)))))</f>
        <v>6.3456010118151464E-7</v>
      </c>
      <c r="NX26" s="40">
        <f t="shared" ref="NX26" si="895">IF(AND(NX24&lt;&gt;0,NX25&lt;&gt;0),(NX24-NX25)/NX25,IF(AND(NX24=0,NX25=0),"",IF(AND(NX24="",NX25=""),"",IF(AND(NX24=0,NX25=""),"", IF(AND(NX24="",NX25=0),"",1)))))</f>
        <v>2.5509389229802775E-6</v>
      </c>
      <c r="NY26" s="40">
        <f t="shared" ref="NY26" si="896">IF(AND(NY24&lt;&gt;0,NY25&lt;&gt;0),(NY24-NY25)/NY25,IF(AND(NY24=0,NY25=0),"",IF(AND(NY24="",NY25=""),"",IF(AND(NY24=0,NY25=""),"", IF(AND(NY24="",NY25=0),"",1)))))</f>
        <v>4.5711193025569014E-7</v>
      </c>
      <c r="NZ26" s="40">
        <f t="shared" ref="NZ26" si="897">IF(AND(NZ24&lt;&gt;0,NZ25&lt;&gt;0),(NZ24-NZ25)/NZ25,IF(AND(NZ24=0,NZ25=0),"",IF(AND(NZ24="",NZ25=""),"",IF(AND(NZ24=0,NZ25=""),"", IF(AND(NZ24="",NZ25=0),"",1)))))</f>
        <v>2.196673964529632E-4</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f t="shared" ref="PC26" si="912">IF(AND(PC24&lt;&gt;0,PC25&lt;&gt;0),(PC24-PC25)/PC25,IF(AND(PC24=0,PC25=0),"",IF(AND(PC24="",PC25=""),"",IF(AND(PC24=0,PC25=""),"", IF(AND(PC24="",PC25=0),"",1)))))</f>
        <v>3.6748236678979121E-7</v>
      </c>
      <c r="PH26" s="63">
        <f>IF(AND(PH24&lt;&gt;0,PH25&lt;&gt;0),(PH24-PH25)/PH25,IF(AND(PH24=0,PH25=0),"",IF(AND(PH24="",PH25=""),"",IF(AND(PH24=0,PH25=""),"", IF(AND(PH24="",PH25=0),"",1)))))</f>
        <v>2.403904328380369E-7</v>
      </c>
    </row>
    <row r="27" spans="1:424" outlineLevel="1" x14ac:dyDescent="0.35">
      <c r="A27" s="46" t="s">
        <v>51</v>
      </c>
      <c r="B27" s="14">
        <f>'[1]D-PDP'!$EA$12</f>
        <v>41879956</v>
      </c>
      <c r="C27" s="14">
        <f>'[1]D-PDP'!$EA$13</f>
        <v>47492080</v>
      </c>
      <c r="D27" s="14">
        <f>'[1]D-PDP'!$EA$14</f>
        <v>38103960</v>
      </c>
      <c r="E27" s="14">
        <f>'[1]D-PDP'!$EA$15</f>
        <v>33103980</v>
      </c>
      <c r="F27" s="14">
        <f>'[1]D-PDP'!$EA$16</f>
        <v>29556536</v>
      </c>
      <c r="G27" s="14">
        <f>'[1]D-PDP'!$EA$17</f>
        <v>26019596</v>
      </c>
      <c r="H27" s="14">
        <f>'[1]D-PDP'!$EA$18</f>
        <v>22520484</v>
      </c>
      <c r="I27" s="14">
        <f>'[1]D-PDP'!$EA$19</f>
        <v>19452016</v>
      </c>
      <c r="J27" s="14">
        <f>'[1]D-PDP'!$EA$20</f>
        <v>16707355</v>
      </c>
      <c r="K27" s="14">
        <f>'[1]D-PDP'!$EA$21</f>
        <v>14337559</v>
      </c>
      <c r="L27" s="14">
        <f>'[1]D-PDP'!$EA$22</f>
        <v>12202371</v>
      </c>
      <c r="M27" s="14">
        <f>'[1]D-PDP'!$EA$23</f>
        <v>10421049</v>
      </c>
      <c r="N27" s="14">
        <f>'[1]D-PDP'!$EA$24</f>
        <v>8807834</v>
      </c>
      <c r="O27" s="14">
        <f>'[1]D-PDP'!$EA$25</f>
        <v>7354934.5</v>
      </c>
      <c r="P27" s="14">
        <f>'[1]D-PDP'!$EA$26</f>
        <v>5947109.5</v>
      </c>
      <c r="Q27" s="14">
        <f>'[1]D-PDP'!$EA$27</f>
        <v>4709320</v>
      </c>
      <c r="R27" s="14">
        <f>'[1]D-PDP'!$EA$28</f>
        <v>3503739</v>
      </c>
      <c r="S27" s="14">
        <f>'[1]D-PDP'!$EA$29</f>
        <v>2431388.5</v>
      </c>
      <c r="T27" s="14">
        <f>'[1]D-PDP'!$EA$30</f>
        <v>1644288.875</v>
      </c>
      <c r="U27" s="14">
        <f>'[1]D-PDP'!$EA$31</f>
        <v>1041686.5</v>
      </c>
      <c r="V27" s="14">
        <f>'[1]D-PDP'!$EA$32</f>
        <v>465712.65625</v>
      </c>
      <c r="W27" s="14">
        <f>'[1]D-PDP'!$EA$33</f>
        <v>44264.40625</v>
      </c>
      <c r="X27" s="14">
        <f>'[1]D-PDP'!$EA$34</f>
        <v>0</v>
      </c>
      <c r="Y27" s="14">
        <f>'[1]D-PDP'!$EA$35</f>
        <v>0</v>
      </c>
      <c r="Z27" s="14">
        <f>'[1]D-PDP'!$EA$36</f>
        <v>0</v>
      </c>
      <c r="AA27" s="14">
        <f>'[1]D-PDP'!$EA$37</f>
        <v>0</v>
      </c>
      <c r="AB27" s="14">
        <f>'[1]D-PDP'!$EA$38</f>
        <v>0</v>
      </c>
      <c r="AC27" s="14">
        <f>'[1]D-PDP'!$EA$39</f>
        <v>0</v>
      </c>
      <c r="AD27" s="14">
        <f>'[1]D-PDP'!$EA$40</f>
        <v>0</v>
      </c>
      <c r="AE27" s="14">
        <f>'[1]D-PDP'!$EA$41</f>
        <v>0</v>
      </c>
      <c r="AF27" s="14">
        <f>'[1]D-PDP'!$EA$42</f>
        <v>0</v>
      </c>
      <c r="AG27" s="14">
        <f>'[1]D-PDP'!$EA$43</f>
        <v>0</v>
      </c>
      <c r="AH27" s="14">
        <f>'[1]D-PDP'!$EA$44</f>
        <v>0</v>
      </c>
      <c r="AI27" s="14">
        <f>'[1]D-PDP'!$EA$45</f>
        <v>0</v>
      </c>
      <c r="AJ27" s="14">
        <f>'[1]D-PDP'!$EA$46</f>
        <v>0</v>
      </c>
      <c r="AK27" s="14">
        <f>'[1]D-PDP'!$EA$47</f>
        <v>0</v>
      </c>
      <c r="AL27" s="14">
        <f>'[1]D-PDP'!$EA$48</f>
        <v>0</v>
      </c>
      <c r="AM27" s="16">
        <f>SUM(B27:AL27)</f>
        <v>347747219.9375</v>
      </c>
      <c r="AN27" s="28">
        <f>'[1]D-PNP'!$EA$12</f>
        <v>4339824.5</v>
      </c>
      <c r="AO27" s="14">
        <f>'[1]D-PNP'!$EA$13</f>
        <v>5495574.5</v>
      </c>
      <c r="AP27" s="14">
        <f>'[1]D-PNP'!$EA$14</f>
        <v>3988264</v>
      </c>
      <c r="AQ27" s="14">
        <f>'[1]D-PNP'!$EA$15</f>
        <v>3363936.25</v>
      </c>
      <c r="AR27" s="14">
        <f>'[1]D-PNP'!$EA$16</f>
        <v>2980561.75</v>
      </c>
      <c r="AS27" s="14">
        <f>'[1]D-PNP'!$EA$17</f>
        <v>2675005</v>
      </c>
      <c r="AT27" s="14">
        <f>'[1]D-PNP'!$EA$18</f>
        <v>2316742.25</v>
      </c>
      <c r="AU27" s="14">
        <f>'[1]D-PNP'!$EA$19</f>
        <v>1986486.625</v>
      </c>
      <c r="AV27" s="14">
        <f>'[1]D-PNP'!$EA$20</f>
        <v>1696384.75</v>
      </c>
      <c r="AW27" s="14">
        <f>'[1]D-PNP'!$EA$21</f>
        <v>1444665.375</v>
      </c>
      <c r="AX27" s="14">
        <f>'[1]D-PNP'!$EA$22</f>
        <v>1211057.125</v>
      </c>
      <c r="AY27" s="14">
        <f>'[1]D-PNP'!$EA$23</f>
        <v>1009068.3125</v>
      </c>
      <c r="AZ27" s="14">
        <f>'[1]D-PNP'!$EA$24</f>
        <v>832691.8125</v>
      </c>
      <c r="BA27" s="14">
        <f>'[1]D-PNP'!$EA$25</f>
        <v>679234.125</v>
      </c>
      <c r="BB27" s="14">
        <f>'[1]D-PNP'!$EA$26</f>
        <v>536103.8125</v>
      </c>
      <c r="BC27" s="14">
        <f>'[1]D-PNP'!$EA$27</f>
        <v>411924.96875</v>
      </c>
      <c r="BD27" s="14">
        <f>'[1]D-PNP'!$EA$28</f>
        <v>298255.625</v>
      </c>
      <c r="BE27" s="14">
        <f>'[1]D-PNP'!$EA$29</f>
        <v>199565.984375</v>
      </c>
      <c r="BF27" s="14">
        <f>'[1]D-PNP'!$EA$30</f>
        <v>128422.7265625</v>
      </c>
      <c r="BG27" s="14">
        <f>'[1]D-PNP'!$EA$31</f>
        <v>83612.96875</v>
      </c>
      <c r="BH27" s="14">
        <f>'[1]D-PNP'!$EA$32</f>
        <v>38584.0546875</v>
      </c>
      <c r="BI27" s="14">
        <f>'[1]D-PNP'!$EA$33</f>
        <v>3558.540283203125</v>
      </c>
      <c r="BJ27" s="14">
        <f>'[1]D-PNP'!$EA$34</f>
        <v>0</v>
      </c>
      <c r="BK27" s="14">
        <f>'[1]D-PNP'!$EA$35</f>
        <v>0</v>
      </c>
      <c r="BL27" s="14">
        <f>'[1]D-PNP'!$EA$36</f>
        <v>0</v>
      </c>
      <c r="BM27" s="14">
        <f>'[1]D-PNP'!$EA$37</f>
        <v>0</v>
      </c>
      <c r="BN27" s="14">
        <f>'[1]D-PNP'!$EA$38</f>
        <v>0</v>
      </c>
      <c r="BO27" s="14">
        <f>'[1]D-PNP'!$EA$39</f>
        <v>0</v>
      </c>
      <c r="BP27" s="14">
        <f>'[1]D-PNP'!$EA$40</f>
        <v>0</v>
      </c>
      <c r="BQ27" s="14">
        <f>'[1]D-PNP'!$EA$41</f>
        <v>0</v>
      </c>
      <c r="BR27" s="14">
        <f>'[1]D-PNP'!$EA$42</f>
        <v>0</v>
      </c>
      <c r="BS27" s="14">
        <f>'[1]D-PNP'!$EA$43</f>
        <v>0</v>
      </c>
      <c r="BT27" s="14">
        <f>'[1]D-PNP'!$EA$44</f>
        <v>0</v>
      </c>
      <c r="BU27" s="14">
        <f>'[1]D-PNP'!$EA$45</f>
        <v>0</v>
      </c>
      <c r="BV27" s="14">
        <f>'[1]D-PNP'!$EA$46</f>
        <v>0</v>
      </c>
      <c r="BW27" s="14">
        <f>'[1]D-PNP'!$EA$47</f>
        <v>0</v>
      </c>
      <c r="BX27" s="14">
        <f>'[1]D-PNP'!$EA$48</f>
        <v>0</v>
      </c>
      <c r="BY27" s="16">
        <f>SUM(AN27:BX27)</f>
        <v>35719525.055908203</v>
      </c>
      <c r="BZ27" s="28">
        <f>'[1]D-PND'!$EA$12</f>
        <v>0</v>
      </c>
      <c r="CA27" s="14">
        <f>'[1]D-PND'!$EA$13</f>
        <v>-5003.88037109375</v>
      </c>
      <c r="CB27" s="14">
        <f>'[1]D-PND'!$EA$14</f>
        <v>5455850.5</v>
      </c>
      <c r="CC27" s="14">
        <f>'[1]D-PND'!$EA$15</f>
        <v>20676892</v>
      </c>
      <c r="CD27" s="14">
        <f>'[1]D-PND'!$EA$16</f>
        <v>48478680</v>
      </c>
      <c r="CE27" s="14">
        <f>'[1]D-PND'!$EA$17</f>
        <v>56921356</v>
      </c>
      <c r="CF27" s="14">
        <f>'[1]D-PND'!$EA$18</f>
        <v>42722016</v>
      </c>
      <c r="CG27" s="14">
        <f>'[1]D-PND'!$EA$19</f>
        <v>29364928</v>
      </c>
      <c r="CH27" s="14">
        <f>'[1]D-PND'!$EA$20</f>
        <v>20482436</v>
      </c>
      <c r="CI27" s="14">
        <f>'[1]D-PND'!$EA$21</f>
        <v>14239308</v>
      </c>
      <c r="CJ27" s="14">
        <f>'[1]D-PND'!$EA$22</f>
        <v>9795887</v>
      </c>
      <c r="CK27" s="14">
        <f>'[1]D-PND'!$EA$23</f>
        <v>6631756.5</v>
      </c>
      <c r="CL27" s="14">
        <f>'[1]D-PND'!$EA$24</f>
        <v>4376502.5</v>
      </c>
      <c r="CM27" s="14">
        <f>'[1]D-PND'!$EA$25</f>
        <v>2764942.75</v>
      </c>
      <c r="CN27" s="14">
        <f>'[1]D-PND'!$EA$26</f>
        <v>1628728.625</v>
      </c>
      <c r="CO27" s="14">
        <f>'[1]D-PND'!$EA$27</f>
        <v>861495.0625</v>
      </c>
      <c r="CP27" s="14">
        <f>'[1]D-PND'!$EA$28</f>
        <v>349290.40625</v>
      </c>
      <c r="CQ27" s="14">
        <f>'[1]D-PND'!$EA$29</f>
        <v>52918.2421875</v>
      </c>
      <c r="CR27" s="14">
        <f>'[1]D-PND'!$EA$30</f>
        <v>0</v>
      </c>
      <c r="CS27" s="14">
        <f>'[1]D-PND'!$EA$31</f>
        <v>0</v>
      </c>
      <c r="CT27" s="14">
        <f>'[1]D-PND'!$EA$32</f>
        <v>0</v>
      </c>
      <c r="CU27" s="14">
        <f>'[1]D-PND'!$EA$33</f>
        <v>0</v>
      </c>
      <c r="CV27" s="14">
        <f>'[1]D-PND'!$EA$34</f>
        <v>0</v>
      </c>
      <c r="CW27" s="14">
        <f>'[1]D-PND'!$EA$35</f>
        <v>0</v>
      </c>
      <c r="CX27" s="14">
        <f>'[1]D-PND'!$EA$36</f>
        <v>0</v>
      </c>
      <c r="CY27" s="14">
        <f>'[1]D-PND'!$EA$37</f>
        <v>0</v>
      </c>
      <c r="CZ27" s="14">
        <f>'[1]D-PND'!$EA$38</f>
        <v>0</v>
      </c>
      <c r="DA27" s="14">
        <f>'[1]D-PND'!$EA$39</f>
        <v>0</v>
      </c>
      <c r="DB27" s="14">
        <f>'[1]D-PND'!$EA$40</f>
        <v>0</v>
      </c>
      <c r="DC27" s="14">
        <f>'[1]D-PND'!$EA$41</f>
        <v>0</v>
      </c>
      <c r="DD27" s="14">
        <f>'[1]D-PND'!$EA$42</f>
        <v>0</v>
      </c>
      <c r="DE27" s="14">
        <f>'[1]D-PND'!$EA$43</f>
        <v>0</v>
      </c>
      <c r="DF27" s="14">
        <f>'[1]D-PND'!$EA$44</f>
        <v>0</v>
      </c>
      <c r="DG27" s="14">
        <f>'[1]D-PND'!$EA$45</f>
        <v>0</v>
      </c>
      <c r="DH27" s="14">
        <f>'[1]D-PND'!$EA$46</f>
        <v>0</v>
      </c>
      <c r="DI27" s="14">
        <f>'[1]D-PND'!$EA$47</f>
        <v>0</v>
      </c>
      <c r="DJ27" s="14">
        <f>'[1]D-PND'!$EA$48</f>
        <v>0</v>
      </c>
      <c r="DK27" s="16">
        <f>SUM(BZ27:DJ27)</f>
        <v>264797983.70556641</v>
      </c>
      <c r="DL27" s="66"/>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8">
        <f>SUM(DL27:EV27)</f>
        <v>0</v>
      </c>
      <c r="EX27" s="66"/>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8">
        <f>SUM(EX27:GH27)</f>
        <v>0</v>
      </c>
      <c r="GJ27" s="66"/>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8">
        <f>SUM(GJ27:HT27)</f>
        <v>0</v>
      </c>
      <c r="HV27" s="28">
        <f>'[1]D-PRB'!$EA$12</f>
        <v>0</v>
      </c>
      <c r="HW27" s="14">
        <f>'[1]D-PRB'!$EA$13</f>
        <v>0</v>
      </c>
      <c r="HX27" s="14">
        <f>'[1]D-PRB'!$EA$14</f>
        <v>3346053.5</v>
      </c>
      <c r="HY27" s="14">
        <f>'[1]D-PRB'!$EA$15</f>
        <v>13256606</v>
      </c>
      <c r="HZ27" s="14">
        <f>'[1]D-PRB'!$EA$16</f>
        <v>25948202</v>
      </c>
      <c r="IA27" s="14">
        <f>'[1]D-PRB'!$EA$17</f>
        <v>31722946</v>
      </c>
      <c r="IB27" s="14">
        <f>'[1]D-PRB'!$EA$18</f>
        <v>32919828</v>
      </c>
      <c r="IC27" s="14">
        <f>'[1]D-PRB'!$EA$19</f>
        <v>28821020</v>
      </c>
      <c r="ID27" s="14">
        <f>'[1]D-PRB'!$EA$20</f>
        <v>22915772</v>
      </c>
      <c r="IE27" s="14">
        <f>'[1]D-PRB'!$EA$21</f>
        <v>17905058</v>
      </c>
      <c r="IF27" s="14">
        <f>'[1]D-PRB'!$EA$22</f>
        <v>12811800</v>
      </c>
      <c r="IG27" s="14">
        <f>'[1]D-PRB'!$EA$23</f>
        <v>9983222</v>
      </c>
      <c r="IH27" s="14">
        <f>'[1]D-PRB'!$EA$24</f>
        <v>7816287</v>
      </c>
      <c r="II27" s="14">
        <f>'[1]D-PRB'!$EA$25</f>
        <v>6146506.5</v>
      </c>
      <c r="IJ27" s="14">
        <f>'[1]D-PRB'!$EA$26</f>
        <v>4760921</v>
      </c>
      <c r="IK27" s="14">
        <f>'[1]D-PRB'!$EA$27</f>
        <v>3653686</v>
      </c>
      <c r="IL27" s="14">
        <f>'[1]D-PRB'!$EA$28</f>
        <v>2755756.5</v>
      </c>
      <c r="IM27" s="14">
        <f>'[1]D-PRB'!$EA$29</f>
        <v>2156068.5</v>
      </c>
      <c r="IN27" s="14">
        <f>'[1]D-PRB'!$EA$30</f>
        <v>1261347.625</v>
      </c>
      <c r="IO27" s="14">
        <f>'[1]D-PRB'!$EA$31</f>
        <v>377141.53125</v>
      </c>
      <c r="IP27" s="14">
        <f>'[1]D-PRB'!$EA$32</f>
        <v>0</v>
      </c>
      <c r="IQ27" s="14">
        <f>'[1]D-PRB'!$EA$33</f>
        <v>0</v>
      </c>
      <c r="IR27" s="14">
        <f>'[1]D-PRB'!$EA$34</f>
        <v>0</v>
      </c>
      <c r="IS27" s="14">
        <f>'[1]D-PRB'!$EA$35</f>
        <v>0</v>
      </c>
      <c r="IT27" s="14">
        <f>'[1]D-PRB'!$EA$36</f>
        <v>0</v>
      </c>
      <c r="IU27" s="14">
        <f>'[1]D-PRB'!$EA$37</f>
        <v>0</v>
      </c>
      <c r="IV27" s="14">
        <f>'[1]D-PRB'!$EA$38</f>
        <v>0</v>
      </c>
      <c r="IW27" s="14">
        <f>'[1]D-PRB'!$EA$39</f>
        <v>0</v>
      </c>
      <c r="IX27" s="14">
        <f>'[1]D-PRB'!$EA$40</f>
        <v>0</v>
      </c>
      <c r="IY27" s="14">
        <f>'[1]D-PRB'!$EA$41</f>
        <v>0</v>
      </c>
      <c r="IZ27" s="14">
        <f>'[1]D-PRB'!$EA$42</f>
        <v>0</v>
      </c>
      <c r="JA27" s="14">
        <f>'[1]D-PRB'!$EA$43</f>
        <v>0</v>
      </c>
      <c r="JB27" s="14">
        <f>'[1]D-PRB'!$EA$44</f>
        <v>0</v>
      </c>
      <c r="JC27" s="14">
        <f>'[1]D-PRB'!$EA$45</f>
        <v>0</v>
      </c>
      <c r="JD27" s="14">
        <f>'[1]D-PRB'!$EA$46</f>
        <v>0</v>
      </c>
      <c r="JE27" s="14">
        <f>'[1]D-PRB'!$EA$47</f>
        <v>0</v>
      </c>
      <c r="JF27" s="14">
        <f>'[1]D-PRB'!$EA$48</f>
        <v>0</v>
      </c>
      <c r="JG27" s="16">
        <f>SUM(HV27:JF27)</f>
        <v>228558222.15625</v>
      </c>
      <c r="JH27" s="66"/>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c r="KR27" s="67"/>
      <c r="KS27" s="68">
        <f>SUM(JH27:KR27)</f>
        <v>0</v>
      </c>
      <c r="KT27" s="66"/>
      <c r="KU27" s="67"/>
      <c r="KV27" s="67"/>
      <c r="KW27" s="67"/>
      <c r="KX27" s="67"/>
      <c r="KY27" s="67"/>
      <c r="KZ27" s="67"/>
      <c r="LA27" s="67"/>
      <c r="LB27" s="67"/>
      <c r="LC27" s="67"/>
      <c r="LD27" s="67"/>
      <c r="LE27" s="67"/>
      <c r="LF27" s="67"/>
      <c r="LG27" s="67"/>
      <c r="LH27" s="67"/>
      <c r="LI27" s="67"/>
      <c r="LJ27" s="67"/>
      <c r="LK27" s="67"/>
      <c r="LL27" s="67"/>
      <c r="LM27" s="67"/>
      <c r="LN27" s="67"/>
      <c r="LO27" s="67"/>
      <c r="LP27" s="67"/>
      <c r="LQ27" s="67"/>
      <c r="LR27" s="67"/>
      <c r="LS27" s="67"/>
      <c r="LT27" s="67"/>
      <c r="LU27" s="67"/>
      <c r="LV27" s="67"/>
      <c r="LW27" s="67"/>
      <c r="LX27" s="67"/>
      <c r="LY27" s="67"/>
      <c r="LZ27" s="67"/>
      <c r="MA27" s="67"/>
      <c r="MB27" s="67"/>
      <c r="MC27" s="67"/>
      <c r="MD27" s="67"/>
      <c r="ME27" s="68">
        <f>SUM(KT27:MD27)</f>
        <v>0</v>
      </c>
      <c r="MF27" s="66"/>
      <c r="MG27" s="67"/>
      <c r="MH27" s="67"/>
      <c r="MI27" s="67"/>
      <c r="MJ27" s="67"/>
      <c r="MK27" s="67"/>
      <c r="ML27" s="67"/>
      <c r="MM27" s="67"/>
      <c r="MN27" s="67"/>
      <c r="MO27" s="67"/>
      <c r="MP27" s="67"/>
      <c r="MQ27" s="67"/>
      <c r="MR27" s="67"/>
      <c r="MS27" s="67"/>
      <c r="MT27" s="67"/>
      <c r="MU27" s="67"/>
      <c r="MV27" s="67"/>
      <c r="MW27" s="67"/>
      <c r="MX27" s="67"/>
      <c r="MY27" s="67"/>
      <c r="MZ27" s="67"/>
      <c r="NA27" s="67"/>
      <c r="NB27" s="67"/>
      <c r="NC27" s="67"/>
      <c r="ND27" s="67"/>
      <c r="NE27" s="67"/>
      <c r="NF27" s="67"/>
      <c r="NG27" s="67"/>
      <c r="NH27" s="67"/>
      <c r="NI27" s="67"/>
      <c r="NJ27" s="67"/>
      <c r="NK27" s="67"/>
      <c r="NL27" s="67"/>
      <c r="NM27" s="67"/>
      <c r="NN27" s="67"/>
      <c r="NO27" s="67"/>
      <c r="NP27" s="67"/>
      <c r="NQ27" s="68">
        <f>SUM(MF27:NP27)</f>
        <v>0</v>
      </c>
      <c r="NR27" s="14">
        <f>'[1]D-PS'!$EA$12</f>
        <v>0</v>
      </c>
      <c r="NS27" s="14">
        <f>'[1]D-PS'!$EA$13</f>
        <v>0</v>
      </c>
      <c r="NT27" s="14">
        <f>'[1]D-PS'!$EA$14</f>
        <v>3896381.25</v>
      </c>
      <c r="NU27" s="14">
        <f>'[1]D-PS'!$EA$15</f>
        <v>6185844.5</v>
      </c>
      <c r="NV27" s="14">
        <f>'[1]D-PS'!$EA$16</f>
        <v>11555642</v>
      </c>
      <c r="NW27" s="14">
        <f>'[1]D-PS'!$EA$17</f>
        <v>21404010</v>
      </c>
      <c r="NX27" s="14">
        <f>'[1]D-PS'!$EA$18</f>
        <v>24779960</v>
      </c>
      <c r="NY27" s="14">
        <f>'[1]D-PS'!$EA$19</f>
        <v>24593860</v>
      </c>
      <c r="NZ27" s="14">
        <f>'[1]D-PS'!$EA$20</f>
        <v>23358708</v>
      </c>
      <c r="OA27" s="14">
        <f>'[1]D-PS'!$EA$21</f>
        <v>21928556</v>
      </c>
      <c r="OB27" s="14">
        <f>'[1]D-PS'!$EA$22</f>
        <v>21025730</v>
      </c>
      <c r="OC27" s="14">
        <f>'[1]D-PS'!$EA$23</f>
        <v>19122366</v>
      </c>
      <c r="OD27" s="14">
        <f>'[1]D-PS'!$EA$24</f>
        <v>17221408</v>
      </c>
      <c r="OE27" s="14">
        <f>'[1]D-PS'!$EA$25</f>
        <v>15451215</v>
      </c>
      <c r="OF27" s="14">
        <f>'[1]D-PS'!$EA$26</f>
        <v>13782298</v>
      </c>
      <c r="OG27" s="14">
        <f>'[1]D-PS'!$EA$27</f>
        <v>11611085</v>
      </c>
      <c r="OH27" s="14">
        <f>'[1]D-PS'!$EA$28</f>
        <v>9110192</v>
      </c>
      <c r="OI27" s="14">
        <f>'[1]D-PS'!$EA$29</f>
        <v>8083154.5</v>
      </c>
      <c r="OJ27" s="14">
        <f>'[1]D-PS'!$EA$30</f>
        <v>7126847.5</v>
      </c>
      <c r="OK27" s="14">
        <f>'[1]D-PS'!$EA$31</f>
        <v>6304070.5</v>
      </c>
      <c r="OL27" s="14">
        <f>'[1]D-PS'!$EA$32</f>
        <v>5215400.5</v>
      </c>
      <c r="OM27" s="14">
        <f>'[1]D-PS'!$EA$33</f>
        <v>3951377.75</v>
      </c>
      <c r="ON27" s="14">
        <f>'[1]D-PS'!$EA$34</f>
        <v>2473147</v>
      </c>
      <c r="OO27" s="14">
        <f>'[1]D-PS'!$EA$35</f>
        <v>1136709.375</v>
      </c>
      <c r="OP27" s="14">
        <f>'[1]D-PS'!$EA$36</f>
        <v>112719.8828125</v>
      </c>
      <c r="OQ27" s="14">
        <f>'[1]D-PS'!$EA$37</f>
        <v>0</v>
      </c>
      <c r="OR27" s="14">
        <f>'[1]D-PS'!$EA$38</f>
        <v>0</v>
      </c>
      <c r="OS27" s="14">
        <f>'[1]D-PS'!$EA$39</f>
        <v>0</v>
      </c>
      <c r="OT27" s="14">
        <f>'[1]D-PS'!$EA$40</f>
        <v>0</v>
      </c>
      <c r="OU27" s="14">
        <f>'[1]D-PS'!$EA$41</f>
        <v>0</v>
      </c>
      <c r="OV27" s="14">
        <f>'[1]D-PS'!$EA$42</f>
        <v>0</v>
      </c>
      <c r="OW27" s="14">
        <f>'[1]D-PS'!$EA$43</f>
        <v>0</v>
      </c>
      <c r="OX27" s="14">
        <f>'[1]D-PS'!$EA$44</f>
        <v>0</v>
      </c>
      <c r="OY27" s="14">
        <f>'[1]D-PS'!$EA$45</f>
        <v>0</v>
      </c>
      <c r="OZ27" s="14">
        <f>'[1]D-PS'!$EA$46</f>
        <v>0</v>
      </c>
      <c r="PA27" s="14">
        <f>'[1]D-PS'!$EA$47</f>
        <v>0</v>
      </c>
      <c r="PB27" s="14">
        <f>'[1]D-PS'!$EA$48</f>
        <v>0</v>
      </c>
      <c r="PC27" s="16">
        <f>SUM(NR27:PB27)</f>
        <v>279430682.7578125</v>
      </c>
      <c r="PF27" s="16">
        <f>DK27+BY27+AM27</f>
        <v>648264728.69897461</v>
      </c>
      <c r="PH27" s="16">
        <f>PF27+JG27+PC27</f>
        <v>1156253633.6130371</v>
      </c>
    </row>
    <row r="28" spans="1:424" outlineLevel="1" x14ac:dyDescent="0.35">
      <c r="A28" s="46" t="s">
        <v>52</v>
      </c>
      <c r="B28" s="25">
        <f>'[2]CF PDP'!$DN$36</f>
        <v>41458740</v>
      </c>
      <c r="C28" s="25">
        <f>'[2]CF PDP'!$DN$37</f>
        <v>46968810</v>
      </c>
      <c r="D28" s="25">
        <f>'[2]CF PDP'!$DN$38</f>
        <v>37107233</v>
      </c>
      <c r="E28" s="25">
        <f>'[2]CF PDP'!$DN$39</f>
        <v>31011701</v>
      </c>
      <c r="F28" s="25">
        <f>'[2]CF PDP'!$DN$40</f>
        <v>26372701</v>
      </c>
      <c r="G28" s="25">
        <f>'[2]CF PDP'!$DN$41</f>
        <v>22511040</v>
      </c>
      <c r="H28" s="25">
        <f>'[2]CF PDP'!$DN$42</f>
        <v>19168521</v>
      </c>
      <c r="I28" s="25">
        <f>'[2]CF PDP'!$DN$43</f>
        <v>16347928</v>
      </c>
      <c r="J28" s="25">
        <f>'[2]CF PDP'!$DN$44</f>
        <v>13839072</v>
      </c>
      <c r="K28" s="25">
        <f>'[2]CF PDP'!$DN$45</f>
        <v>11709650</v>
      </c>
      <c r="L28" s="25">
        <f>'[2]CF PDP'!$DN$46</f>
        <v>9818529</v>
      </c>
      <c r="M28" s="25">
        <f>'[2]CF PDP'!$DN$47</f>
        <v>8295020</v>
      </c>
      <c r="N28" s="25">
        <f>'[2]CF PDP'!$DN$48</f>
        <v>6941280</v>
      </c>
      <c r="O28" s="25">
        <f>'[2]CF PDP'!$DN$49</f>
        <v>5753838</v>
      </c>
      <c r="P28" s="25">
        <f>'[2]CF PDP'!$DN$50</f>
        <v>4609330</v>
      </c>
      <c r="Q28" s="25">
        <f>'[2]CF PDP'!$DN$51</f>
        <v>3645457</v>
      </c>
      <c r="R28" s="25">
        <f>'[2]CF PDP'!$DN$52</f>
        <v>2728648</v>
      </c>
      <c r="S28" s="25">
        <f>'[2]CF PDP'!$DN$53</f>
        <v>1968768</v>
      </c>
      <c r="T28" s="25">
        <f>'[2]CF PDP'!$DN$54</f>
        <v>1279725</v>
      </c>
      <c r="U28" s="25">
        <f>'[2]CF PDP'!$DN$55</f>
        <v>664949</v>
      </c>
      <c r="V28" s="25">
        <f>'[2]CF PDP'!$DN$56</f>
        <v>81038</v>
      </c>
      <c r="W28" s="25">
        <f>'[2]CF PDP'!$DN$57</f>
        <v>0</v>
      </c>
      <c r="X28" s="25">
        <f>'[2]CF PDP'!$DN$58</f>
        <v>0</v>
      </c>
      <c r="Y28" s="25">
        <f>'[2]CF PDP'!$DN$59</f>
        <v>0</v>
      </c>
      <c r="Z28" s="25">
        <f>'[2]CF PDP'!$DN$60</f>
        <v>0</v>
      </c>
      <c r="AA28" s="25">
        <f>'[2]CF PDP'!$DN$61</f>
        <v>0</v>
      </c>
      <c r="AB28" s="25">
        <f>'[2]CF PDP'!$DN$62</f>
        <v>0</v>
      </c>
      <c r="AC28" s="25">
        <f>'[2]CF PDP'!$DN$63</f>
        <v>0</v>
      </c>
      <c r="AD28" s="25">
        <f>'[2]CF PDP'!$DN$64</f>
        <v>0</v>
      </c>
      <c r="AE28" s="25">
        <f>'[2]CF PDP'!$DN$65</f>
        <v>0</v>
      </c>
      <c r="AF28" s="25">
        <f>'[2]CF PDP'!$DN$66</f>
        <v>0</v>
      </c>
      <c r="AG28" s="25">
        <f>'[2]CF PDP'!$DN$67</f>
        <v>0</v>
      </c>
      <c r="AH28" s="25">
        <f>'[2]CF PDP'!$DN$68</f>
        <v>0</v>
      </c>
      <c r="AI28" s="25">
        <f>'[2]CF PDP'!$DN$69</f>
        <v>0</v>
      </c>
      <c r="AJ28" s="25">
        <f>'[2]CF PDP'!$DN$70</f>
        <v>0</v>
      </c>
      <c r="AK28" s="25">
        <f>'[2]CF PDP'!$DN$71</f>
        <v>0</v>
      </c>
      <c r="AL28" s="25">
        <f>'[2]CF PDP'!$DN$72</f>
        <v>0</v>
      </c>
      <c r="AM28" s="26">
        <f>SUM(B28:AL28)</f>
        <v>312281978</v>
      </c>
      <c r="AN28" s="27">
        <f>'[2]CF PNP'!$DN$36</f>
        <v>4299355</v>
      </c>
      <c r="AO28" s="25">
        <f>'[2]CF PNP'!$DN$37</f>
        <v>6018745</v>
      </c>
      <c r="AP28" s="25">
        <f>'[2]CF PNP'!$DN$38</f>
        <v>4411384</v>
      </c>
      <c r="AQ28" s="25">
        <f>'[2]CF PNP'!$DN$39</f>
        <v>3663715</v>
      </c>
      <c r="AR28" s="25">
        <f>'[2]CF PNP'!$DN$40</f>
        <v>3167952</v>
      </c>
      <c r="AS28" s="25">
        <f>'[2]CF PNP'!$DN$41</f>
        <v>2832611</v>
      </c>
      <c r="AT28" s="25">
        <f>'[2]CF PNP'!$DN$42</f>
        <v>2490555</v>
      </c>
      <c r="AU28" s="25">
        <f>'[2]CF PNP'!$DN$43</f>
        <v>2184340</v>
      </c>
      <c r="AV28" s="25">
        <f>'[2]CF PNP'!$DN$44</f>
        <v>1917045</v>
      </c>
      <c r="AW28" s="25">
        <f>'[2]CF PNP'!$DN$45</f>
        <v>1687843</v>
      </c>
      <c r="AX28" s="25">
        <f>'[2]CF PNP'!$DN$46</f>
        <v>1474695</v>
      </c>
      <c r="AY28" s="25">
        <f>'[2]CF PNP'!$DN$47</f>
        <v>1291302</v>
      </c>
      <c r="AZ28" s="25">
        <f>'[2]CF PNP'!$DN$48</f>
        <v>1132738</v>
      </c>
      <c r="BA28" s="25">
        <f>'[2]CF PNP'!$DN$49</f>
        <v>996812</v>
      </c>
      <c r="BB28" s="25">
        <f>'[2]CF PNP'!$DN$50</f>
        <v>869782</v>
      </c>
      <c r="BC28" s="25">
        <f>'[2]CF PNP'!$DN$51</f>
        <v>759626</v>
      </c>
      <c r="BD28" s="25">
        <f>'[2]CF PNP'!$DN$52</f>
        <v>661097</v>
      </c>
      <c r="BE28" s="25">
        <f>'[2]CF PNP'!$DN$53</f>
        <v>574850</v>
      </c>
      <c r="BF28" s="25">
        <f>'[2]CF PNP'!$DN$54</f>
        <v>493136</v>
      </c>
      <c r="BG28" s="25">
        <f>'[2]CF PNP'!$DN$55</f>
        <v>460145</v>
      </c>
      <c r="BH28" s="25">
        <f>'[2]CF PNP'!$DN$56</f>
        <v>423258</v>
      </c>
      <c r="BI28" s="25">
        <f>'[2]CF PNP'!$DN$57</f>
        <v>0</v>
      </c>
      <c r="BJ28" s="25">
        <f>'[2]CF PNP'!$DN$58</f>
        <v>0</v>
      </c>
      <c r="BK28" s="25">
        <f>'[2]CF PNP'!$DN$59</f>
        <v>0</v>
      </c>
      <c r="BL28" s="25">
        <f>'[2]CF PNP'!$DN$60</f>
        <v>0</v>
      </c>
      <c r="BM28" s="25">
        <f>'[2]CF PNP'!$DN$61</f>
        <v>0</v>
      </c>
      <c r="BN28" s="25">
        <f>'[2]CF PNP'!$DN$62</f>
        <v>0</v>
      </c>
      <c r="BO28" s="25">
        <f>'[2]CF PNP'!$DN$63</f>
        <v>0</v>
      </c>
      <c r="BP28" s="25">
        <f>'[2]CF PNP'!$DN$64</f>
        <v>0</v>
      </c>
      <c r="BQ28" s="25">
        <f>'[2]CF PNP'!$DN$65</f>
        <v>0</v>
      </c>
      <c r="BR28" s="25">
        <f>'[2]CF PNP'!$DN$66</f>
        <v>0</v>
      </c>
      <c r="BS28" s="25">
        <f>'[2]CF PNP'!$DN$67</f>
        <v>0</v>
      </c>
      <c r="BT28" s="25">
        <f>'[2]CF PNP'!$DN$68</f>
        <v>0</v>
      </c>
      <c r="BU28" s="25">
        <f>'[2]CF PNP'!$DN$69</f>
        <v>0</v>
      </c>
      <c r="BV28" s="25">
        <f>'[2]CF PNP'!$DN$70</f>
        <v>0</v>
      </c>
      <c r="BW28" s="25">
        <f>'[2]CF PNP'!$DN$71</f>
        <v>0</v>
      </c>
      <c r="BX28" s="25">
        <f>'[2]CF PNP'!$DN$72</f>
        <v>0</v>
      </c>
      <c r="BY28" s="26">
        <f>SUM(AN28:BX28)</f>
        <v>41810986</v>
      </c>
      <c r="BZ28" s="27">
        <f>'[2]CF PND'!$DN$36</f>
        <v>0</v>
      </c>
      <c r="CA28" s="25">
        <f>'[2]CF PND'!$DN$37</f>
        <v>-5001</v>
      </c>
      <c r="CB28" s="25">
        <f>'[2]CF PND'!$DN$38</f>
        <v>6031442</v>
      </c>
      <c r="CC28" s="25">
        <f>'[2]CF PND'!$DN$39</f>
        <v>22469417</v>
      </c>
      <c r="CD28" s="25">
        <f>'[2]CF PND'!$DN$40</f>
        <v>51475123</v>
      </c>
      <c r="CE28" s="25">
        <f>'[2]CF PND'!$DN$41</f>
        <v>60272204</v>
      </c>
      <c r="CF28" s="25">
        <f>'[2]CF PND'!$DN$42</f>
        <v>45898608</v>
      </c>
      <c r="CG28" s="25">
        <f>'[2]CF PND'!$DN$43</f>
        <v>32271184</v>
      </c>
      <c r="CH28" s="25">
        <f>'[2]CF PND'!$DN$44</f>
        <v>23129994</v>
      </c>
      <c r="CI28" s="25">
        <f>'[2]CF PND'!$DN$45</f>
        <v>16623953</v>
      </c>
      <c r="CJ28" s="25">
        <f>'[2]CF PND'!$DN$46</f>
        <v>11915840</v>
      </c>
      <c r="CK28" s="25">
        <f>'[2]CF PND'!$DN$47</f>
        <v>8475197</v>
      </c>
      <c r="CL28" s="25">
        <f>'[2]CF PND'!$DN$48</f>
        <v>5942579</v>
      </c>
      <c r="CM28" s="25">
        <f>'[2]CF PND'!$DN$49</f>
        <v>4048461</v>
      </c>
      <c r="CN28" s="25">
        <f>'[2]CF PND'!$DN$50</f>
        <v>2632302</v>
      </c>
      <c r="CO28" s="25">
        <f>'[2]CF PND'!$DN$51</f>
        <v>1577419</v>
      </c>
      <c r="CP28" s="25">
        <f>'[2]CF PND'!$DN$52</f>
        <v>761495</v>
      </c>
      <c r="CQ28" s="25">
        <f>'[2]CF PND'!$DN$53</f>
        <v>120101</v>
      </c>
      <c r="CR28" s="25">
        <f>'[2]CF PND'!$DN$54</f>
        <v>0</v>
      </c>
      <c r="CS28" s="25">
        <f>'[2]CF PND'!$DN$55</f>
        <v>0</v>
      </c>
      <c r="CT28" s="25">
        <f>'[2]CF PND'!$DN$56</f>
        <v>0</v>
      </c>
      <c r="CU28" s="25">
        <f>'[2]CF PND'!$DN$57</f>
        <v>0</v>
      </c>
      <c r="CV28" s="25">
        <f>'[2]CF PND'!$DN$58</f>
        <v>0</v>
      </c>
      <c r="CW28" s="25">
        <f>'[2]CF PND'!$DN$59</f>
        <v>0</v>
      </c>
      <c r="CX28" s="25">
        <f>'[2]CF PND'!$DN$60</f>
        <v>0</v>
      </c>
      <c r="CY28" s="25">
        <f>'[2]CF PND'!$DN$61</f>
        <v>0</v>
      </c>
      <c r="CZ28" s="25">
        <f>'[2]CF PND'!$DN$62</f>
        <v>0</v>
      </c>
      <c r="DA28" s="25">
        <f>'[2]CF PND'!$DN$63</f>
        <v>0</v>
      </c>
      <c r="DB28" s="25">
        <f>'[2]CF PND'!$DN$64</f>
        <v>0</v>
      </c>
      <c r="DC28" s="25">
        <f>'[2]CF PND'!$DN$65</f>
        <v>0</v>
      </c>
      <c r="DD28" s="25">
        <f>'[2]CF PND'!$DN$66</f>
        <v>0</v>
      </c>
      <c r="DE28" s="25">
        <f>'[2]CF PND'!$DN$67</f>
        <v>0</v>
      </c>
      <c r="DF28" s="25">
        <f>'[2]CF PND'!$DN$68</f>
        <v>0</v>
      </c>
      <c r="DG28" s="25">
        <f>'[2]CF PND'!$DN$69</f>
        <v>0</v>
      </c>
      <c r="DH28" s="25">
        <f>'[2]CF PND'!$DN$70</f>
        <v>0</v>
      </c>
      <c r="DI28" s="25">
        <f>'[2]CF PND'!$DN$71</f>
        <v>0</v>
      </c>
      <c r="DJ28" s="25">
        <f>'[2]CF PND'!$DN$72</f>
        <v>0</v>
      </c>
      <c r="DK28" s="26">
        <f>SUM(BZ28:DJ28)</f>
        <v>293640318</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'[2]CF PRB'!$DN$36</f>
        <v>0</v>
      </c>
      <c r="HW28" s="25">
        <f>'[2]CF PRB'!$DN$37</f>
        <v>-20141</v>
      </c>
      <c r="HX28" s="25">
        <f>'[2]CF PRB'!$DN$38</f>
        <v>3346146</v>
      </c>
      <c r="HY28" s="25">
        <f>'[2]CF PRB'!$DN$39</f>
        <v>13256832</v>
      </c>
      <c r="HZ28" s="25">
        <f>'[2]CF PRB'!$DN$40</f>
        <v>25948203</v>
      </c>
      <c r="IA28" s="25">
        <f>'[2]CF PRB'!$DN$41</f>
        <v>31722944</v>
      </c>
      <c r="IB28" s="25">
        <f>'[2]CF PRB'!$DN$42</f>
        <v>32919831</v>
      </c>
      <c r="IC28" s="25">
        <f>'[2]CF PRB'!$DN$43</f>
        <v>28821022</v>
      </c>
      <c r="ID28" s="25">
        <f>'[2]CF PRB'!$DN$44</f>
        <v>22915770</v>
      </c>
      <c r="IE28" s="25">
        <f>'[2]CF PRB'!$DN$45</f>
        <v>17904930</v>
      </c>
      <c r="IF28" s="25">
        <f>'[2]CF PRB'!$DN$46</f>
        <v>12811800</v>
      </c>
      <c r="IG28" s="25">
        <f>'[2]CF PRB'!$DN$47</f>
        <v>9983223</v>
      </c>
      <c r="IH28" s="25">
        <f>'[2]CF PRB'!$DN$48</f>
        <v>7816287</v>
      </c>
      <c r="II28" s="25">
        <f>'[2]CF PRB'!$DN$49</f>
        <v>6146506</v>
      </c>
      <c r="IJ28" s="25">
        <f>'[2]CF PRB'!$DN$50</f>
        <v>4760921</v>
      </c>
      <c r="IK28" s="25">
        <f>'[2]CF PRB'!$DN$51</f>
        <v>3653686</v>
      </c>
      <c r="IL28" s="25">
        <f>'[2]CF PRB'!$DN$52</f>
        <v>2755756</v>
      </c>
      <c r="IM28" s="25">
        <f>'[2]CF PRB'!$DN$53</f>
        <v>2175641</v>
      </c>
      <c r="IN28" s="25">
        <f>'[2]CF PRB'!$DN$54</f>
        <v>1261186</v>
      </c>
      <c r="IO28" s="25">
        <f>'[2]CF PRB'!$DN$55</f>
        <v>373396</v>
      </c>
      <c r="IP28" s="25">
        <f>'[2]CF PRB'!$DN$56</f>
        <v>0</v>
      </c>
      <c r="IQ28" s="25">
        <f>'[2]CF PRB'!$DN$57</f>
        <v>0</v>
      </c>
      <c r="IR28" s="25">
        <f>'[2]CF PRB'!$DN$58</f>
        <v>0</v>
      </c>
      <c r="IS28" s="25">
        <f>'[2]CF PRB'!$DN$59</f>
        <v>0</v>
      </c>
      <c r="IT28" s="25">
        <f>'[2]CF PRB'!$DN$60</f>
        <v>0</v>
      </c>
      <c r="IU28" s="25">
        <f>'[2]CF PRB'!$DN$61</f>
        <v>0</v>
      </c>
      <c r="IV28" s="25">
        <f>'[2]CF PRB'!$DN$62</f>
        <v>0</v>
      </c>
      <c r="IW28" s="25">
        <f>'[2]CF PRB'!$DN$63</f>
        <v>0</v>
      </c>
      <c r="IX28" s="25">
        <f>'[2]CF PRB'!$DN$64</f>
        <v>0</v>
      </c>
      <c r="IY28" s="25">
        <f>'[2]CF PRB'!$DN$65</f>
        <v>0</v>
      </c>
      <c r="IZ28" s="25">
        <f>'[2]CF PRB'!$DN$66</f>
        <v>0</v>
      </c>
      <c r="JA28" s="25">
        <f>'[2]CF PRB'!$DN$67</f>
        <v>0</v>
      </c>
      <c r="JB28" s="25">
        <f>'[2]CF PRB'!$DN$68</f>
        <v>0</v>
      </c>
      <c r="JC28" s="25">
        <f>'[2]CF PRB'!$DN$69</f>
        <v>0</v>
      </c>
      <c r="JD28" s="25">
        <f>'[2]CF PRB'!$DN$70</f>
        <v>0</v>
      </c>
      <c r="JE28" s="25">
        <f>'[2]CF PRB'!$DN$71</f>
        <v>0</v>
      </c>
      <c r="JF28" s="25">
        <f>'[2]CF PRB'!$DN$72</f>
        <v>0</v>
      </c>
      <c r="JG28" s="26">
        <f>SUM(HV28:JF28)</f>
        <v>228553939</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'[2]CF PS'!$DN$36</f>
        <v>0</v>
      </c>
      <c r="NS28" s="25">
        <f>'[2]CF PS'!$DN$37</f>
        <v>-1792</v>
      </c>
      <c r="NT28" s="25">
        <f>'[2]CF PS'!$DN$38</f>
        <v>3896694</v>
      </c>
      <c r="NU28" s="25">
        <f>'[2]CF PS'!$DN$39</f>
        <v>6186009</v>
      </c>
      <c r="NV28" s="25">
        <f>'[2]CF PS'!$DN$40</f>
        <v>11555639</v>
      </c>
      <c r="NW28" s="25">
        <f>'[2]CF PS'!$DN$41</f>
        <v>21404014</v>
      </c>
      <c r="NX28" s="25">
        <f>'[2]CF PS'!$DN$42</f>
        <v>24779963</v>
      </c>
      <c r="NY28" s="25">
        <f>'[2]CF PS'!$DN$43</f>
        <v>24593860</v>
      </c>
      <c r="NZ28" s="25">
        <f>'[2]CF PS'!$DN$44</f>
        <v>23358709</v>
      </c>
      <c r="OA28" s="25">
        <f>'[2]CF PS'!$DN$45</f>
        <v>21928559</v>
      </c>
      <c r="OB28" s="25">
        <f>'[2]CF PS'!$DN$46</f>
        <v>21025732</v>
      </c>
      <c r="OC28" s="25">
        <f>'[2]CF PS'!$DN$47</f>
        <v>19122367</v>
      </c>
      <c r="OD28" s="25">
        <f>'[2]CF PS'!$DN$48</f>
        <v>17221410</v>
      </c>
      <c r="OE28" s="25">
        <f>'[2]CF PS'!$DN$49</f>
        <v>15451215</v>
      </c>
      <c r="OF28" s="25">
        <f>'[2]CF PS'!$DN$50</f>
        <v>13782298</v>
      </c>
      <c r="OG28" s="25">
        <f>'[2]CF PS'!$DN$51</f>
        <v>11611086</v>
      </c>
      <c r="OH28" s="25">
        <f>'[2]CF PS'!$DN$52</f>
        <v>9110192</v>
      </c>
      <c r="OI28" s="25">
        <f>'[2]CF PS'!$DN$53</f>
        <v>8083155</v>
      </c>
      <c r="OJ28" s="25">
        <f>'[2]CF PS'!$DN$54</f>
        <v>7126848</v>
      </c>
      <c r="OK28" s="25">
        <f>'[2]CF PS'!$DN$55</f>
        <v>6307504</v>
      </c>
      <c r="OL28" s="25">
        <f>'[2]CF PS'!$DN$56</f>
        <v>5215303</v>
      </c>
      <c r="OM28" s="25">
        <f>'[2]CF PS'!$DN$57</f>
        <v>3999007</v>
      </c>
      <c r="ON28" s="25">
        <f>'[2]CF PS'!$DN$58</f>
        <v>2473008</v>
      </c>
      <c r="OO28" s="25">
        <f>'[2]CF PS'!$DN$59</f>
        <v>1137021</v>
      </c>
      <c r="OP28" s="25">
        <f>'[2]CF PS'!$DN$60</f>
        <v>0</v>
      </c>
      <c r="OQ28" s="25">
        <f>'[2]CF PS'!$DN$61</f>
        <v>0</v>
      </c>
      <c r="OR28" s="25">
        <f>'[2]CF PS'!$DN$62</f>
        <v>0</v>
      </c>
      <c r="OS28" s="25">
        <f>'[2]CF PS'!$DN$63</f>
        <v>0</v>
      </c>
      <c r="OT28" s="25">
        <f>'[2]CF PS'!$DN$64</f>
        <v>0</v>
      </c>
      <c r="OU28" s="25">
        <f>'[2]CF PS'!$DN$65</f>
        <v>0</v>
      </c>
      <c r="OV28" s="25">
        <f>'[2]CF PS'!$DN$66</f>
        <v>0</v>
      </c>
      <c r="OW28" s="25">
        <f>'[2]CF PS'!$DN$67</f>
        <v>0</v>
      </c>
      <c r="OX28" s="25">
        <f>'[2]CF PS'!$DN$68</f>
        <v>0</v>
      </c>
      <c r="OY28" s="25">
        <f>'[2]CF PS'!$DN$69</f>
        <v>0</v>
      </c>
      <c r="OZ28" s="25">
        <f>'[2]CF PS'!$DN$70</f>
        <v>0</v>
      </c>
      <c r="PA28" s="25">
        <f>'[2]CF PS'!$DN$71</f>
        <v>0</v>
      </c>
      <c r="PB28" s="25">
        <f>'[2]CF PS'!$DN$72</f>
        <v>0</v>
      </c>
      <c r="PC28" s="26">
        <f>SUM(NR28:PB28)</f>
        <v>279367801</v>
      </c>
      <c r="PF28" s="16">
        <f>DK28+BY28+AM28</f>
        <v>647733282</v>
      </c>
      <c r="PH28" s="16">
        <f>PF28+JG28+PC28</f>
        <v>1155655022</v>
      </c>
    </row>
    <row r="29" spans="1:424" ht="15.6" thickBot="1" x14ac:dyDescent="0.4">
      <c r="A29" s="47" t="s">
        <v>53</v>
      </c>
      <c r="B29" s="40">
        <f>IF(AND(B27&lt;&gt;0,B28&lt;&gt;0),(B27-B28)/B28,IF(AND(B27=0,B28=0),"",IF(AND(B27="",B28=""),"",IF(AND(B27=0,B28=""),"", IF(AND(B27="",B28=0),"",1)))))</f>
        <v>1.0159884260833783E-2</v>
      </c>
      <c r="C29" s="40">
        <f t="shared" ref="C29" si="913">IF(AND(C27&lt;&gt;0,C28&lt;&gt;0),(C27-C28)/C28,IF(AND(C27=0,C28=0),"",IF(AND(C27="",C28=""),"",IF(AND(C27=0,C28=""),"", IF(AND(C27="",C28=0),"",1)))))</f>
        <v>1.1140797478156248E-2</v>
      </c>
      <c r="D29" s="40">
        <f t="shared" ref="D29" si="914">IF(AND(D27&lt;&gt;0,D28&lt;&gt;0),(D27-D28)/D28,IF(AND(D27=0,D28=0),"",IF(AND(D27="",D28=""),"",IF(AND(D27=0,D28=""),"", IF(AND(D27="",D28=0),"",1)))))</f>
        <v>2.686072011890512E-2</v>
      </c>
      <c r="E29" s="40">
        <f t="shared" ref="E29" si="915">IF(AND(E27&lt;&gt;0,E28&lt;&gt;0),(E27-E28)/E28,IF(AND(E27=0,E28=0),"",IF(AND(E27="",E28=""),"",IF(AND(E27=0,E28=""),"", IF(AND(E27="",E28=0),"",1)))))</f>
        <v>6.7467405286798038E-2</v>
      </c>
      <c r="F29" s="40">
        <f t="shared" ref="F29" si="916">IF(AND(F27&lt;&gt;0,F28&lt;&gt;0),(F27-F28)/F28,IF(AND(F27=0,F28=0),"",IF(AND(F27="",F28=""),"",IF(AND(F27=0,F28=""),"", IF(AND(F27="",F28=0),"",1)))))</f>
        <v>0.12072464629239152</v>
      </c>
      <c r="G29" s="40">
        <f t="shared" ref="G29" si="917">IF(AND(G27&lt;&gt;0,G28&lt;&gt;0),(G27-G28)/G28,IF(AND(G27=0,G28=0),"",IF(AND(G27="",G28=""),"",IF(AND(G27=0,G28=""),"", IF(AND(G27="",G28=0),"",1)))))</f>
        <v>0.15585934723584516</v>
      </c>
      <c r="H29" s="40">
        <f t="shared" ref="H29" si="918">IF(AND(H27&lt;&gt;0,H28&lt;&gt;0),(H27-H28)/H28,IF(AND(H27=0,H28=0),"",IF(AND(H27="",H28=""),"",IF(AND(H27=0,H28=""),"", IF(AND(H27="",H28=0),"",1)))))</f>
        <v>0.17486810797765776</v>
      </c>
      <c r="I29" s="40">
        <f t="shared" ref="I29" si="919">IF(AND(I27&lt;&gt;0,I28&lt;&gt;0),(I27-I28)/I28,IF(AND(I27=0,I28=0),"",IF(AND(I27="",I28=""),"",IF(AND(I27=0,I28=""),"", IF(AND(I27="",I28=0),"",1)))))</f>
        <v>0.18987653970582694</v>
      </c>
      <c r="J29" s="40">
        <f t="shared" ref="J29" si="920">IF(AND(J27&lt;&gt;0,J28&lt;&gt;0),(J27-J28)/J28,IF(AND(J27=0,J28=0),"",IF(AND(J27="",J28=""),"",IF(AND(J27=0,J28=""),"", IF(AND(J27="",J28=0),"",1)))))</f>
        <v>0.20725977869036305</v>
      </c>
      <c r="K29" s="40">
        <f t="shared" ref="K29" si="921">IF(AND(K27&lt;&gt;0,K28&lt;&gt;0),(K27-K28)/K28,IF(AND(K27=0,K28=0),"",IF(AND(K27="",K28=""),"",IF(AND(K27=0,K28=""),"", IF(AND(K27="",K28=0),"",1)))))</f>
        <v>0.22442250622349944</v>
      </c>
      <c r="L29" s="40">
        <f t="shared" ref="L29" si="922">IF(AND(L27&lt;&gt;0,L28&lt;&gt;0),(L27-L28)/L28,IF(AND(L27=0,L28=0),"",IF(AND(L27="",L28=""),"",IF(AND(L27=0,L28=""),"", IF(AND(L27="",L28=0),"",1)))))</f>
        <v>0.24279013689321485</v>
      </c>
      <c r="M29" s="40">
        <f t="shared" ref="M29" si="923">IF(AND(M27&lt;&gt;0,M28&lt;&gt;0),(M27-M28)/M28,IF(AND(M27=0,M28=0),"",IF(AND(M27="",M28=""),"",IF(AND(M27=0,M28=""),"", IF(AND(M27="",M28=0),"",1)))))</f>
        <v>0.25630185340119732</v>
      </c>
      <c r="N29" s="40">
        <f t="shared" ref="N29" si="924">IF(AND(N27&lt;&gt;0,N28&lt;&gt;0),(N27-N28)/N28,IF(AND(N27=0,N28=0),"",IF(AND(N27="",N28=""),"",IF(AND(N27=0,N28=""),"", IF(AND(N27="",N28=0),"",1)))))</f>
        <v>0.26890631122790032</v>
      </c>
      <c r="O29" s="40">
        <f t="shared" ref="O29" si="925">IF(AND(O27&lt;&gt;0,O28&lt;&gt;0),(O27-O28)/O28,IF(AND(O27=0,O28=0),"",IF(AND(O27="",O28=""),"",IF(AND(O27=0,O28=""),"", IF(AND(O27="",O28=0),"",1)))))</f>
        <v>0.27826582882590717</v>
      </c>
      <c r="P29" s="40">
        <f t="shared" ref="P29" si="926">IF(AND(P27&lt;&gt;0,P28&lt;&gt;0),(P27-P28)/P28,IF(AND(P27=0,P28=0),"",IF(AND(P27="",P28=""),"",IF(AND(P27=0,P28=""),"", IF(AND(P27="",P28=0),"",1)))))</f>
        <v>0.29023296227434359</v>
      </c>
      <c r="Q29" s="40">
        <f t="shared" ref="Q29" si="927">IF(AND(Q27&lt;&gt;0,Q28&lt;&gt;0),(Q27-Q28)/Q28,IF(AND(Q27=0,Q28=0),"",IF(AND(Q27="",Q28=""),"",IF(AND(Q27=0,Q28=""),"", IF(AND(Q27="",Q28=0),"",1)))))</f>
        <v>0.291832546646415</v>
      </c>
      <c r="R29" s="40">
        <f t="shared" ref="R29" si="928">IF(AND(R27&lt;&gt;0,R28&lt;&gt;0),(R27-R28)/R28,IF(AND(R27=0,R28=0),"",IF(AND(R27="",R28=""),"",IF(AND(R27=0,R28=""),"", IF(AND(R27="",R28=0),"",1)))))</f>
        <v>0.28405679296120279</v>
      </c>
      <c r="S29" s="40">
        <f t="shared" ref="S29" si="929">IF(AND(S27&lt;&gt;0,S28&lt;&gt;0),(S27-S28)/S28,IF(AND(S27=0,S28=0),"",IF(AND(S27="",S28=""),"",IF(AND(S27=0,S28=""),"", IF(AND(S27="",S28=0),"",1)))))</f>
        <v>0.23497969288407775</v>
      </c>
      <c r="T29" s="40">
        <f t="shared" ref="T29" si="930">IF(AND(T27&lt;&gt;0,T28&lt;&gt;0),(T27-T28)/T28,IF(AND(T27=0,T28=0),"",IF(AND(T27="",T28=""),"",IF(AND(T27=0,T28=""),"", IF(AND(T27="",T28=0),"",1)))))</f>
        <v>0.28487673132899649</v>
      </c>
      <c r="U29" s="40">
        <f t="shared" ref="U29" si="931">IF(AND(U27&lt;&gt;0,U28&lt;&gt;0),(U27-U28)/U28,IF(AND(U27=0,U28=0),"",IF(AND(U27="",U28=""),"",IF(AND(U27=0,U28=""),"", IF(AND(U27="",U28=0),"",1)))))</f>
        <v>0.56656600731785445</v>
      </c>
      <c r="V29" s="40">
        <f t="shared" ref="V29" si="932">IF(AND(V27&lt;&gt;0,V28&lt;&gt;0),(V27-V28)/V28,IF(AND(V27=0,V28=0),"",IF(AND(V27="",V28=""),"",IF(AND(V27=0,V28=""),"", IF(AND(V27="",V28=0),"",1)))))</f>
        <v>4.7468429162861865</v>
      </c>
      <c r="W29" s="40">
        <f t="shared" ref="W29" si="933">IF(AND(W27&lt;&gt;0,W28&lt;&gt;0),(W27-W28)/W28,IF(AND(W27=0,W28=0),"",IF(AND(W27="",W28=""),"",IF(AND(W27=0,W28=""),"", IF(AND(W27="",W28=0),"",1)))))</f>
        <v>1</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0.11356800723703626</v>
      </c>
      <c r="AN29" s="39">
        <f t="shared" ref="AN29" si="936">IF(AND(AN27&lt;&gt;0,AN28&lt;&gt;0),(AN27-AN28)/AN28,IF(AND(AN27=0,AN28=0),"",IF(AND(AN27="",AN28=""),"",IF(AND(AN27=0,AN28=""),"", IF(AND(AN27="",AN28=0),"",1)))))</f>
        <v>9.4129235664419438E-3</v>
      </c>
      <c r="AO29" s="40">
        <f t="shared" ref="AO29" si="937">IF(AND(AO27&lt;&gt;0,AO28&lt;&gt;0),(AO27-AO28)/AO28,IF(AND(AO27=0,AO28=0),"",IF(AND(AO27="",AO28=""),"",IF(AND(AO27=0,AO28=""),"", IF(AND(AO27="",AO28=0),"",1)))))</f>
        <v>-8.6923519770317564E-2</v>
      </c>
      <c r="AP29" s="40">
        <f t="shared" ref="AP29" si="938">IF(AND(AP27&lt;&gt;0,AP28&lt;&gt;0),(AP27-AP28)/AP28,IF(AND(AP27=0,AP28=0),"",IF(AND(AP27="",AP28=""),"",IF(AND(AP27=0,AP28=""),"", IF(AND(AP27="",AP28=0),"",1)))))</f>
        <v>-9.5915476866217042E-2</v>
      </c>
      <c r="AQ29" s="40">
        <f t="shared" ref="AQ29" si="939">IF(AND(AQ27&lt;&gt;0,AQ28&lt;&gt;0),(AQ27-AQ28)/AQ28,IF(AND(AQ27=0,AQ28=0),"",IF(AND(AQ27="",AQ28=""),"",IF(AND(AQ27=0,AQ28=""),"", IF(AND(AQ27="",AQ28=0),"",1)))))</f>
        <v>-8.1823708994831754E-2</v>
      </c>
      <c r="AR29" s="40">
        <f t="shared" ref="AR29" si="940">IF(AND(AR27&lt;&gt;0,AR28&lt;&gt;0),(AR27-AR28)/AR28,IF(AND(AR27=0,AR28=0),"",IF(AND(AR27="",AR28=""),"",IF(AND(AR27=0,AR28=""),"", IF(AND(AR27="",AR28=0),"",1)))))</f>
        <v>-5.9151858992813021E-2</v>
      </c>
      <c r="AS29" s="40">
        <f t="shared" ref="AS29" si="941">IF(AND(AS27&lt;&gt;0,AS28&lt;&gt;0),(AS27-AS28)/AS28,IF(AND(AS27=0,AS28=0),"",IF(AND(AS27="",AS28=""),"",IF(AND(AS27=0,AS28=""),"", IF(AND(AS27="",AS28=0),"",1)))))</f>
        <v>-5.5639831943037711E-2</v>
      </c>
      <c r="AT29" s="40">
        <f t="shared" ref="AT29" si="942">IF(AND(AT27&lt;&gt;0,AT28&lt;&gt;0),(AT27-AT28)/AT28,IF(AND(AT27=0,AT28=0),"",IF(AND(AT27="",AT28=""),"",IF(AND(AT27=0,AT28=""),"", IF(AND(AT27="",AT28=0),"",1)))))</f>
        <v>-6.978876194261921E-2</v>
      </c>
      <c r="AU29" s="40">
        <f t="shared" ref="AU29" si="943">IF(AND(AU27&lt;&gt;0,AU28&lt;&gt;0),(AU27-AU28)/AU28,IF(AND(AU27=0,AU28=0),"",IF(AND(AU27="",AU28=""),"",IF(AND(AU27=0,AU28=""),"", IF(AND(AU27="",AU28=0),"",1)))))</f>
        <v>-9.0578103683492492E-2</v>
      </c>
      <c r="AV29" s="40">
        <f t="shared" ref="AV29" si="944">IF(AND(AV27&lt;&gt;0,AV28&lt;&gt;0),(AV27-AV28)/AV28,IF(AND(AV27=0,AV28=0),"",IF(AND(AV27="",AV28=""),"",IF(AND(AV27=0,AV28=""),"", IF(AND(AV27="",AV28=0),"",1)))))</f>
        <v>-0.11510436635551069</v>
      </c>
      <c r="AW29" s="40">
        <f t="shared" ref="AW29" si="945">IF(AND(AW27&lt;&gt;0,AW28&lt;&gt;0),(AW27-AW28)/AW28,IF(AND(AW27=0,AW28=0),"",IF(AND(AW27="",AW28=""),"",IF(AND(AW27=0,AW28=""),"", IF(AND(AW27="",AW28=0),"",1)))))</f>
        <v>-0.1440759744834087</v>
      </c>
      <c r="AX29" s="40">
        <f t="shared" ref="AX29" si="946">IF(AND(AX27&lt;&gt;0,AX28&lt;&gt;0),(AX27-AX28)/AX28,IF(AND(AX27=0,AX28=0),"",IF(AND(AX27="",AX28=""),"",IF(AND(AX27=0,AX28=""),"", IF(AND(AX27="",AX28=0),"",1)))))</f>
        <v>-0.17877450930531397</v>
      </c>
      <c r="AY29" s="40">
        <f t="shared" ref="AY29" si="947">IF(AND(AY27&lt;&gt;0,AY28&lt;&gt;0),(AY27-AY28)/AY28,IF(AND(AY27=0,AY28=0),"",IF(AND(AY27="",AY28=""),"",IF(AND(AY27=0,AY28=""),"", IF(AND(AY27="",AY28=0),"",1)))))</f>
        <v>-0.21856520589296694</v>
      </c>
      <c r="AZ29" s="40">
        <f t="shared" ref="AZ29" si="948">IF(AND(AZ27&lt;&gt;0,AZ28&lt;&gt;0),(AZ27-AZ28)/AZ28,IF(AND(AZ27=0,AZ28=0),"",IF(AND(AZ27="",AZ28=""),"",IF(AND(AZ27=0,AZ28=""),"", IF(AND(AZ27="",AZ28=0),"",1)))))</f>
        <v>-0.26488577897095356</v>
      </c>
      <c r="BA29" s="40">
        <f t="shared" ref="BA29" si="949">IF(AND(BA27&lt;&gt;0,BA28&lt;&gt;0),(BA27-BA28)/BA28,IF(AND(BA27=0,BA28=0),"",IF(AND(BA27="",BA28=""),"",IF(AND(BA27=0,BA28=""),"", IF(AND(BA27="",BA28=0),"",1)))))</f>
        <v>-0.31859355124135746</v>
      </c>
      <c r="BB29" s="40">
        <f t="shared" ref="BB29" si="950">IF(AND(BB27&lt;&gt;0,BB28&lt;&gt;0),(BB27-BB28)/BB28,IF(AND(BB27=0,BB28=0),"",IF(AND(BB27="",BB28=""),"",IF(AND(BB27=0,BB28=""),"", IF(AND(BB27="",BB28=0),"",1)))))</f>
        <v>-0.38363427560009289</v>
      </c>
      <c r="BC29" s="40">
        <f t="shared" ref="BC29" si="951">IF(AND(BC27&lt;&gt;0,BC28&lt;&gt;0),(BC27-BC28)/BC28,IF(AND(BC27=0,BC28=0),"",IF(AND(BC27="",BC28=""),"",IF(AND(BC27=0,BC28=""),"", IF(AND(BC27="",BC28=0),"",1)))))</f>
        <v>-0.45772660658008019</v>
      </c>
      <c r="BD29" s="40">
        <f t="shared" ref="BD29" si="952">IF(AND(BD27&lt;&gt;0,BD28&lt;&gt;0),(BD27-BD28)/BD28,IF(AND(BD27=0,BD28=0),"",IF(AND(BD27="",BD28=""),"",IF(AND(BD27=0,BD28=""),"", IF(AND(BD27="",BD28=0),"",1)))))</f>
        <v>-0.54884740817156941</v>
      </c>
      <c r="BE29" s="40">
        <f t="shared" ref="BE29" si="953">IF(AND(BE27&lt;&gt;0,BE28&lt;&gt;0),(BE27-BE28)/BE28,IF(AND(BE27=0,BE28=0),"",IF(AND(BE27="",BE28=""),"",IF(AND(BE27=0,BE28=""),"", IF(AND(BE27="",BE28=0),"",1)))))</f>
        <v>-0.65283815886753072</v>
      </c>
      <c r="BF29" s="40">
        <f t="shared" ref="BF29" si="954">IF(AND(BF27&lt;&gt;0,BF28&lt;&gt;0),(BF27-BF28)/BF28,IF(AND(BF27=0,BF28=0),"",IF(AND(BF27="",BF28=""),"",IF(AND(BF27=0,BF28=""),"", IF(AND(BF27="",BF28=0),"",1)))))</f>
        <v>-0.73957949417097923</v>
      </c>
      <c r="BG29" s="40">
        <f t="shared" ref="BG29" si="955">IF(AND(BG27&lt;&gt;0,BG28&lt;&gt;0),(BG27-BG28)/BG28,IF(AND(BG27=0,BG28=0),"",IF(AND(BG27="",BG28=""),"",IF(AND(BG27=0,BG28=""),"", IF(AND(BG27="",BG28=0),"",1)))))</f>
        <v>-0.81828995479685751</v>
      </c>
      <c r="BH29" s="40">
        <f t="shared" ref="BH29" si="956">IF(AND(BH27&lt;&gt;0,BH28&lt;&gt;0),(BH27-BH28)/BH28,IF(AND(BH27=0,BH28=0),"",IF(AND(BH27="",BH28=""),"",IF(AND(BH27=0,BH28=""),"", IF(AND(BH27="",BH28=0),"",1)))))</f>
        <v>-0.90884034161787841</v>
      </c>
      <c r="BI29" s="40">
        <f t="shared" ref="BI29" si="957">IF(AND(BI27&lt;&gt;0,BI28&lt;&gt;0),(BI27-BI28)/BI28,IF(AND(BI27=0,BI28=0),"",IF(AND(BI27="",BI28=""),"",IF(AND(BI27=0,BI28=""),"", IF(AND(BI27="",BI28=0),"",1)))))</f>
        <v>1</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f t="shared" ref="BY29" si="959">IF(AND(BY27&lt;&gt;0,BY28&lt;&gt;0),(BY27-BY28)/BY28,IF(AND(BY27=0,BY28=0),"",IF(AND(BY27="",BY28=""),"",IF(AND(BY27=0,BY28=""),"", IF(AND(BY27="",BY28=0),"",1)))))</f>
        <v>-0.14569043992628627</v>
      </c>
      <c r="BZ29" s="39" t="str">
        <f t="shared" ref="BZ29" si="960">IF(AND(BZ27&lt;&gt;0,BZ28&lt;&gt;0),(BZ27-BZ28)/BZ28,IF(AND(BZ27=0,BZ28=0),"",IF(AND(BZ27="",BZ28=""),"",IF(AND(BZ27=0,BZ28=""),"", IF(AND(BZ27="",BZ28=0),"",1)))))</f>
        <v/>
      </c>
      <c r="CA29" s="40">
        <f t="shared" ref="CA29" si="961">IF(AND(CA27&lt;&gt;0,CA28&lt;&gt;0),(CA27-CA28)/CA28,IF(AND(CA27=0,CA28=0),"",IF(AND(CA27="",CA28=""),"",IF(AND(CA27=0,CA28=""),"", IF(AND(CA27="",CA28=0),"",1)))))</f>
        <v>5.7595902694461106E-4</v>
      </c>
      <c r="CB29" s="40">
        <f t="shared" ref="CB29" si="962">IF(AND(CB27&lt;&gt;0,CB28&lt;&gt;0),(CB27-CB28)/CB28,IF(AND(CB27=0,CB28=0),"",IF(AND(CB27="",CB28=""),"",IF(AND(CB27=0,CB28=""),"", IF(AND(CB27="",CB28=0),"",1)))))</f>
        <v>-9.5431822108212258E-2</v>
      </c>
      <c r="CC29" s="40">
        <f t="shared" ref="CC29" si="963">IF(AND(CC27&lt;&gt;0,CC28&lt;&gt;0),(CC27-CC28)/CC28,IF(AND(CC27=0,CC28=0),"",IF(AND(CC27="",CC28=""),"",IF(AND(CC27=0,CC28=""),"", IF(AND(CC27="",CC28=0),"",1)))))</f>
        <v>-7.9776213152303863E-2</v>
      </c>
      <c r="CD29" s="40">
        <f t="shared" ref="CD29" si="964">IF(AND(CD27&lt;&gt;0,CD28&lt;&gt;0),(CD27-CD28)/CD28,IF(AND(CD27=0,CD28=0),"",IF(AND(CD27="",CD28=""),"",IF(AND(CD27=0,CD28=""),"", IF(AND(CD27="",CD28=0),"",1)))))</f>
        <v>-5.8211478193068135E-2</v>
      </c>
      <c r="CE29" s="40">
        <f t="shared" ref="CE29" si="965">IF(AND(CE27&lt;&gt;0,CE28&lt;&gt;0),(CE27-CE28)/CE28,IF(AND(CE27=0,CE28=0),"",IF(AND(CE27="",CE28=""),"",IF(AND(CE27=0,CE28=""),"", IF(AND(CE27="",CE28=0),"",1)))))</f>
        <v>-5.5595245861591522E-2</v>
      </c>
      <c r="CF29" s="40">
        <f t="shared" ref="CF29" si="966">IF(AND(CF27&lt;&gt;0,CF28&lt;&gt;0),(CF27-CF28)/CF28,IF(AND(CF27=0,CF28=0),"",IF(AND(CF27="",CF28=""),"",IF(AND(CF27=0,CF28=""),"", IF(AND(CF27="",CF28=0),"",1)))))</f>
        <v>-6.9208896269795372E-2</v>
      </c>
      <c r="CG29" s="40">
        <f t="shared" ref="CG29" si="967">IF(AND(CG27&lt;&gt;0,CG28&lt;&gt;0),(CG27-CG28)/CG28,IF(AND(CG27=0,CG28=0),"",IF(AND(CG27="",CG28=""),"",IF(AND(CG27=0,CG28=""),"", IF(AND(CG27="",CG28=0),"",1)))))</f>
        <v>-9.0057309332065405E-2</v>
      </c>
      <c r="CH29" s="40">
        <f t="shared" ref="CH29" si="968">IF(AND(CH27&lt;&gt;0,CH28&lt;&gt;0),(CH27-CH28)/CH28,IF(AND(CH27=0,CH28=0),"",IF(AND(CH27="",CH28=""),"",IF(AND(CH27=0,CH28=""),"", IF(AND(CH27="",CH28=0),"",1)))))</f>
        <v>-0.11446427526094473</v>
      </c>
      <c r="CI29" s="40">
        <f t="shared" ref="CI29" si="969">IF(AND(CI27&lt;&gt;0,CI28&lt;&gt;0),(CI27-CI28)/CI28,IF(AND(CI27=0,CI28=0),"",IF(AND(CI27="",CI28=""),"",IF(AND(CI27=0,CI28=""),"", IF(AND(CI27="",CI28=0),"",1)))))</f>
        <v>-0.14344632711605959</v>
      </c>
      <c r="CJ29" s="40">
        <f t="shared" ref="CJ29" si="970">IF(AND(CJ27&lt;&gt;0,CJ28&lt;&gt;0),(CJ27-CJ28)/CJ28,IF(AND(CJ27=0,CJ28=0),"",IF(AND(CJ27="",CJ28=""),"",IF(AND(CJ27=0,CJ28=""),"", IF(AND(CJ27="",CJ28=0),"",1)))))</f>
        <v>-0.17791049560920591</v>
      </c>
      <c r="CK29" s="40">
        <f t="shared" ref="CK29" si="971">IF(AND(CK27&lt;&gt;0,CK28&lt;&gt;0),(CK27-CK28)/CK28,IF(AND(CK27=0,CK28=0),"",IF(AND(CK27="",CK28=""),"",IF(AND(CK27=0,CK28=""),"", IF(AND(CK27="",CK28=0),"",1)))))</f>
        <v>-0.21751004725907847</v>
      </c>
      <c r="CL29" s="40">
        <f t="shared" ref="CL29" si="972">IF(AND(CL27&lt;&gt;0,CL28&lt;&gt;0),(CL27-CL28)/CL28,IF(AND(CL27=0,CL28=0),"",IF(AND(CL27="",CL28=""),"",IF(AND(CL27=0,CL28=""),"", IF(AND(CL27="",CL28=0),"",1)))))</f>
        <v>-0.26353482217064345</v>
      </c>
      <c r="CM29" s="40">
        <f t="shared" ref="CM29" si="973">IF(AND(CM27&lt;&gt;0,CM28&lt;&gt;0),(CM27-CM28)/CM28,IF(AND(CM27=0,CM28=0),"",IF(AND(CM27="",CM28=""),"",IF(AND(CM27=0,CM28=""),"", IF(AND(CM27="",CM28=0),"",1)))))</f>
        <v>-0.3170385610729608</v>
      </c>
      <c r="CN29" s="40">
        <f t="shared" ref="CN29" si="974">IF(AND(CN27&lt;&gt;0,CN28&lt;&gt;0),(CN27-CN28)/CN28,IF(AND(CN27=0,CN28=0),"",IF(AND(CN27="",CN28=""),"",IF(AND(CN27=0,CN28=""),"", IF(AND(CN27="",CN28=0),"",1)))))</f>
        <v>-0.38125312939016875</v>
      </c>
      <c r="CO29" s="40">
        <f t="shared" ref="CO29" si="975">IF(AND(CO27&lt;&gt;0,CO28&lt;&gt;0),(CO27-CO28)/CO28,IF(AND(CO27=0,CO28=0),"",IF(AND(CO27="",CO28=""),"",IF(AND(CO27=0,CO28=""),"", IF(AND(CO27="",CO28=0),"",1)))))</f>
        <v>-0.45385781298437511</v>
      </c>
      <c r="CP29" s="40">
        <f t="shared" ref="CP29" si="976">IF(AND(CP27&lt;&gt;0,CP28&lt;&gt;0),(CP27-CP28)/CP28,IF(AND(CP27=0,CP28=0),"",IF(AND(CP27="",CP28=""),"",IF(AND(CP27=0,CP28=""),"", IF(AND(CP27="",CP28=0),"",1)))))</f>
        <v>-0.54130965239430329</v>
      </c>
      <c r="CQ29" s="40">
        <f t="shared" ref="CQ29" si="977">IF(AND(CQ27&lt;&gt;0,CQ28&lt;&gt;0),(CQ27-CQ28)/CQ28,IF(AND(CQ27=0,CQ28=0),"",IF(AND(CQ27="",CQ28=""),"",IF(AND(CQ27=0,CQ28=""),"", IF(AND(CQ27="",CQ28=0),"",1)))))</f>
        <v>-0.55938549897586198</v>
      </c>
      <c r="CR29" s="40" t="str">
        <f t="shared" ref="CR29" si="978">IF(AND(CR27&lt;&gt;0,CR28&lt;&gt;0),(CR27-CR28)/CR28,IF(AND(CR27=0,CR28=0),"",IF(AND(CR27="",CR28=""),"",IF(AND(CR27=0,CR28=""),"", IF(AND(CR27="",CR28=0),"",1)))))</f>
        <v/>
      </c>
      <c r="CS29" s="40" t="str">
        <f t="shared" ref="CS29" si="979">IF(AND(CS27&lt;&gt;0,CS28&lt;&gt;0),(CS27-CS28)/CS28,IF(AND(CS27=0,CS28=0),"",IF(AND(CS27="",CS28=""),"",IF(AND(CS27=0,CS28=""),"", IF(AND(CS27="",CS28=0),"",1)))))</f>
        <v/>
      </c>
      <c r="CT29" s="40" t="str">
        <f t="shared" ref="CT29" si="980">IF(AND(CT27&lt;&gt;0,CT28&lt;&gt;0),(CT27-CT28)/CT28,IF(AND(CT27=0,CT28=0),"",IF(AND(CT27="",CT28=""),"",IF(AND(CT27=0,CT28=""),"", IF(AND(CT27="",CT28=0),"",1)))))</f>
        <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f t="shared" ref="DK29:HU29" si="983">IF(AND(DK27&lt;&gt;0,DK28&lt;&gt;0),(DK27-DK28)/DK28,IF(AND(DK27=0,DK28=0),"",IF(AND(DK27="",DK28=""),"",IF(AND(DK27=0,DK28=""),"", IF(AND(DK27="",DK28=0),"",1)))))</f>
        <v>-9.8223345114459362E-2</v>
      </c>
      <c r="DL29" s="72" t="str">
        <f t="shared" si="983"/>
        <v/>
      </c>
      <c r="DM29" s="73" t="str">
        <f t="shared" si="983"/>
        <v/>
      </c>
      <c r="DN29" s="73" t="str">
        <f t="shared" si="983"/>
        <v/>
      </c>
      <c r="DO29" s="73" t="str">
        <f t="shared" si="983"/>
        <v/>
      </c>
      <c r="DP29" s="73" t="str">
        <f t="shared" si="983"/>
        <v/>
      </c>
      <c r="DQ29" s="73" t="str">
        <f t="shared" si="983"/>
        <v/>
      </c>
      <c r="DR29" s="73" t="str">
        <f t="shared" si="983"/>
        <v/>
      </c>
      <c r="DS29" s="73" t="str">
        <f t="shared" si="983"/>
        <v/>
      </c>
      <c r="DT29" s="73" t="str">
        <f t="shared" si="983"/>
        <v/>
      </c>
      <c r="DU29" s="73" t="str">
        <f t="shared" si="983"/>
        <v/>
      </c>
      <c r="DV29" s="73" t="str">
        <f t="shared" si="983"/>
        <v/>
      </c>
      <c r="DW29" s="73" t="str">
        <f t="shared" si="983"/>
        <v/>
      </c>
      <c r="DX29" s="73" t="str">
        <f t="shared" si="983"/>
        <v/>
      </c>
      <c r="DY29" s="73" t="str">
        <f t="shared" si="983"/>
        <v/>
      </c>
      <c r="DZ29" s="73" t="str">
        <f t="shared" si="983"/>
        <v/>
      </c>
      <c r="EA29" s="73" t="str">
        <f t="shared" si="983"/>
        <v/>
      </c>
      <c r="EB29" s="73" t="str">
        <f t="shared" si="983"/>
        <v/>
      </c>
      <c r="EC29" s="73" t="str">
        <f t="shared" si="983"/>
        <v/>
      </c>
      <c r="ED29" s="73" t="str">
        <f t="shared" si="983"/>
        <v/>
      </c>
      <c r="EE29" s="73" t="str">
        <f t="shared" si="983"/>
        <v/>
      </c>
      <c r="EF29" s="73" t="str">
        <f t="shared" si="983"/>
        <v/>
      </c>
      <c r="EG29" s="73" t="str">
        <f t="shared" si="983"/>
        <v/>
      </c>
      <c r="EH29" s="73" t="str">
        <f t="shared" si="983"/>
        <v/>
      </c>
      <c r="EI29" s="73" t="str">
        <f t="shared" ref="EI29:EV29" si="984">IF(AND(EI27&lt;&gt;0,EI28&lt;&gt;0),(EI27-EI28)/EI28,IF(AND(EI27=0,EI28=0),"",IF(AND(EI27="",EI28=""),"",IF(AND(EI27=0,EI28=""),"", IF(AND(EI27="",EI28=0),"",1)))))</f>
        <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t="str">
        <f t="shared" si="983"/>
        <v/>
      </c>
      <c r="EX29" s="72" t="str">
        <f t="shared" ref="EX29:GI29" si="985">IF(AND(EX27&lt;&gt;0,EX28&lt;&gt;0),(EX27-EX28)/EX28,IF(AND(EX27=0,EX28=0),"",IF(AND(EX27="",EX28=""),"",IF(AND(EX27=0,EX28=""),"", IF(AND(EX27="",EX28=0),"",1)))))</f>
        <v/>
      </c>
      <c r="EY29" s="73" t="str">
        <f t="shared" si="985"/>
        <v/>
      </c>
      <c r="EZ29" s="73" t="str">
        <f t="shared" si="985"/>
        <v/>
      </c>
      <c r="FA29" s="73" t="str">
        <f t="shared" si="985"/>
        <v/>
      </c>
      <c r="FB29" s="73" t="str">
        <f t="shared" si="985"/>
        <v/>
      </c>
      <c r="FC29" s="73" t="str">
        <f t="shared" si="985"/>
        <v/>
      </c>
      <c r="FD29" s="73" t="str">
        <f t="shared" si="985"/>
        <v/>
      </c>
      <c r="FE29" s="73" t="str">
        <f t="shared" si="985"/>
        <v/>
      </c>
      <c r="FF29" s="73" t="str">
        <f t="shared" si="985"/>
        <v/>
      </c>
      <c r="FG29" s="73" t="str">
        <f t="shared" si="985"/>
        <v/>
      </c>
      <c r="FH29" s="73" t="str">
        <f t="shared" si="985"/>
        <v/>
      </c>
      <c r="FI29" s="73" t="str">
        <f t="shared" si="985"/>
        <v/>
      </c>
      <c r="FJ29" s="73" t="str">
        <f t="shared" si="985"/>
        <v/>
      </c>
      <c r="FK29" s="73" t="str">
        <f t="shared" si="985"/>
        <v/>
      </c>
      <c r="FL29" s="73" t="str">
        <f t="shared" si="985"/>
        <v/>
      </c>
      <c r="FM29" s="73" t="str">
        <f t="shared" si="985"/>
        <v/>
      </c>
      <c r="FN29" s="73" t="str">
        <f t="shared" si="985"/>
        <v/>
      </c>
      <c r="FO29" s="73" t="str">
        <f t="shared" si="985"/>
        <v/>
      </c>
      <c r="FP29" s="73" t="str">
        <f t="shared" si="985"/>
        <v/>
      </c>
      <c r="FQ29" s="73" t="str">
        <f t="shared" si="985"/>
        <v/>
      </c>
      <c r="FR29" s="73" t="str">
        <f t="shared" si="985"/>
        <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t="str">
        <f t="shared" si="985"/>
        <v/>
      </c>
      <c r="GJ29" s="72" t="str">
        <f t="shared" si="983"/>
        <v/>
      </c>
      <c r="GK29" s="73" t="str">
        <f t="shared" si="983"/>
        <v/>
      </c>
      <c r="GL29" s="73" t="str">
        <f t="shared" si="983"/>
        <v/>
      </c>
      <c r="GM29" s="73" t="str">
        <f t="shared" si="983"/>
        <v/>
      </c>
      <c r="GN29" s="73" t="str">
        <f t="shared" si="983"/>
        <v/>
      </c>
      <c r="GO29" s="73" t="str">
        <f t="shared" si="983"/>
        <v/>
      </c>
      <c r="GP29" s="73" t="str">
        <f t="shared" si="983"/>
        <v/>
      </c>
      <c r="GQ29" s="73" t="str">
        <f t="shared" si="983"/>
        <v/>
      </c>
      <c r="GR29" s="73" t="str">
        <f t="shared" si="983"/>
        <v/>
      </c>
      <c r="GS29" s="73" t="str">
        <f t="shared" si="983"/>
        <v/>
      </c>
      <c r="GT29" s="73" t="str">
        <f t="shared" si="983"/>
        <v/>
      </c>
      <c r="GU29" s="73" t="str">
        <f t="shared" si="983"/>
        <v/>
      </c>
      <c r="GV29" s="73" t="str">
        <f t="shared" si="983"/>
        <v/>
      </c>
      <c r="GW29" s="73" t="str">
        <f t="shared" si="983"/>
        <v/>
      </c>
      <c r="GX29" s="73" t="str">
        <f t="shared" si="983"/>
        <v/>
      </c>
      <c r="GY29" s="73" t="str">
        <f t="shared" si="983"/>
        <v/>
      </c>
      <c r="GZ29" s="73" t="str">
        <f t="shared" si="983"/>
        <v/>
      </c>
      <c r="HA29" s="73" t="str">
        <f t="shared" si="983"/>
        <v/>
      </c>
      <c r="HB29" s="73" t="str">
        <f t="shared" si="983"/>
        <v/>
      </c>
      <c r="HC29" s="73" t="str">
        <f t="shared" si="983"/>
        <v/>
      </c>
      <c r="HD29" s="73" t="str">
        <f t="shared" si="983"/>
        <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t="str">
        <f t="shared" si="983"/>
        <v/>
      </c>
      <c r="HV29" s="39" t="str">
        <f t="shared" ref="HV29" si="988">IF(AND(HV27&lt;&gt;0,HV28&lt;&gt;0),(HV27-HV28)/HV28,IF(AND(HV27=0,HV28=0),"",IF(AND(HV27="",HV28=""),"",IF(AND(HV27=0,HV28=""),"", IF(AND(HV27="",HV28=0),"",1)))))</f>
        <v/>
      </c>
      <c r="HW29" s="40">
        <f t="shared" ref="HW29" si="989">IF(AND(HW27&lt;&gt;0,HW28&lt;&gt;0),(HW27-HW28)/HW28,IF(AND(HW27=0,HW28=0),"",IF(AND(HW27="",HW28=""),"",IF(AND(HW27=0,HW28=""),"", IF(AND(HW27="",HW28=0),"",1)))))</f>
        <v>1</v>
      </c>
      <c r="HX29" s="40">
        <f t="shared" ref="HX29" si="990">IF(AND(HX27&lt;&gt;0,HX28&lt;&gt;0),(HX27-HX28)/HX28,IF(AND(HX27=0,HX28=0),"",IF(AND(HX27="",HX28=""),"",IF(AND(HX27=0,HX28=""),"", IF(AND(HX27="",HX28=0),"",1)))))</f>
        <v>-2.7643742980730666E-5</v>
      </c>
      <c r="HY29" s="40">
        <f t="shared" ref="HY29" si="991">IF(AND(HY27&lt;&gt;0,HY28&lt;&gt;0),(HY27-HY28)/HY28,IF(AND(HY27=0,HY28=0),"",IF(AND(HY27="",HY28=""),"",IF(AND(HY27=0,HY28=""),"", IF(AND(HY27="",HY28=0),"",1)))))</f>
        <v>-1.7047813534938059E-5</v>
      </c>
      <c r="HZ29" s="40">
        <f t="shared" ref="HZ29" si="992">IF(AND(HZ27&lt;&gt;0,HZ28&lt;&gt;0),(HZ27-HZ28)/HZ28,IF(AND(HZ27=0,HZ28=0),"",IF(AND(HZ27="",HZ28=""),"",IF(AND(HZ27=0,HZ28=""),"", IF(AND(HZ27="",HZ28=0),"",1)))))</f>
        <v>-3.853831419462843E-8</v>
      </c>
      <c r="IA29" s="40">
        <f t="shared" ref="IA29" si="993">IF(AND(IA27&lt;&gt;0,IA28&lt;&gt;0),(IA27-IA28)/IA28,IF(AND(IA27=0,IA28=0),"",IF(AND(IA27="",IA28=""),"",IF(AND(IA27=0,IA28=""),"", IF(AND(IA27="",IA28=0),"",1)))))</f>
        <v>6.3045850977765487E-8</v>
      </c>
      <c r="IB29" s="40">
        <f t="shared" ref="IB29" si="994">IF(AND(IB27&lt;&gt;0,IB28&lt;&gt;0),(IB27-IB28)/IB28,IF(AND(IB27=0,IB28=0),"",IF(AND(IB27="",IB28=""),"",IF(AND(IB27=0,IB28=""),"", IF(AND(IB27="",IB28=0),"",1)))))</f>
        <v>-9.1130479983326769E-8</v>
      </c>
      <c r="IC29" s="40">
        <f t="shared" ref="IC29" si="995">IF(AND(IC27&lt;&gt;0,IC28&lt;&gt;0),(IC27-IC28)/IC28,IF(AND(IC27=0,IC28=0),"",IF(AND(IC27="",IC28=""),"",IF(AND(IC27=0,IC28=""),"", IF(AND(IC27="",IC28=0),"",1)))))</f>
        <v>-6.9393791795447081E-8</v>
      </c>
      <c r="ID29" s="40">
        <f t="shared" ref="ID29" si="996">IF(AND(ID27&lt;&gt;0,ID28&lt;&gt;0),(ID27-ID28)/ID28,IF(AND(ID27=0,ID28=0),"",IF(AND(ID27="",ID28=""),"",IF(AND(ID27=0,ID28=""),"", IF(AND(ID27="",ID28=0),"",1)))))</f>
        <v>8.7276142150143769E-8</v>
      </c>
      <c r="IE29" s="40">
        <f t="shared" ref="IE29" si="997">IF(AND(IE27&lt;&gt;0,IE28&lt;&gt;0),(IE27-IE28)/IE28,IF(AND(IE27=0,IE28=0),"",IF(AND(IE27="",IE28=""),"",IF(AND(IE27=0,IE28=""),"", IF(AND(IE27="",IE28=0),"",1)))))</f>
        <v>7.1488690545006321E-6</v>
      </c>
      <c r="IF29" s="40">
        <f t="shared" ref="IF29" si="998">IF(AND(IF27&lt;&gt;0,IF28&lt;&gt;0),(IF27-IF28)/IF28,IF(AND(IF27=0,IF28=0),"",IF(AND(IF27="",IF28=""),"",IF(AND(IF27=0,IF28=""),"", IF(AND(IF27="",IF28=0),"",1)))))</f>
        <v>0</v>
      </c>
      <c r="IG29" s="40">
        <f t="shared" ref="IG29" si="999">IF(AND(IG27&lt;&gt;0,IG28&lt;&gt;0),(IG27-IG28)/IG28,IF(AND(IG27=0,IG28=0),"",IF(AND(IG27="",IG28=""),"",IF(AND(IG27=0,IG28=""),"", IF(AND(IG27="",IG28=0),"",1)))))</f>
        <v>-1.0016805194074098E-7</v>
      </c>
      <c r="IH29" s="40">
        <f t="shared" ref="IH29" si="1000">IF(AND(IH27&lt;&gt;0,IH28&lt;&gt;0),(IH27-IH28)/IH28,IF(AND(IH27=0,IH28=0),"",IF(AND(IH27="",IH28=""),"",IF(AND(IH27=0,IH28=""),"", IF(AND(IH27="",IH28=0),"",1)))))</f>
        <v>0</v>
      </c>
      <c r="II29" s="40">
        <f t="shared" ref="II29" si="1001">IF(AND(II27&lt;&gt;0,II28&lt;&gt;0),(II27-II28)/II28,IF(AND(II27=0,II28=0),"",IF(AND(II27="",II28=""),"",IF(AND(II27=0,II28=""),"", IF(AND(II27="",II28=0),"",1)))))</f>
        <v>8.134702870216022E-8</v>
      </c>
      <c r="IJ29" s="40">
        <f t="shared" ref="IJ29" si="1002">IF(AND(IJ27&lt;&gt;0,IJ28&lt;&gt;0),(IJ27-IJ28)/IJ28,IF(AND(IJ27=0,IJ28=0),"",IF(AND(IJ27="",IJ28=""),"",IF(AND(IJ27=0,IJ28=""),"", IF(AND(IJ27="",IJ28=0),"",1)))))</f>
        <v>0</v>
      </c>
      <c r="IK29" s="40">
        <f t="shared" ref="IK29" si="1003">IF(AND(IK27&lt;&gt;0,IK28&lt;&gt;0),(IK27-IK28)/IK28,IF(AND(IK27=0,IK28=0),"",IF(AND(IK27="",IK28=""),"",IF(AND(IK27=0,IK28=""),"", IF(AND(IK27="",IK28=0),"",1)))))</f>
        <v>0</v>
      </c>
      <c r="IL29" s="40">
        <f t="shared" ref="IL29" si="1004">IF(AND(IL27&lt;&gt;0,IL28&lt;&gt;0),(IL27-IL28)/IL28,IF(AND(IL27=0,IL28=0),"",IF(AND(IL27="",IL28=""),"",IF(AND(IL27=0,IL28=""),"", IF(AND(IL27="",IL28=0),"",1)))))</f>
        <v>1.8143841472176782E-7</v>
      </c>
      <c r="IM29" s="40">
        <f t="shared" ref="IM29" si="1005">IF(AND(IM27&lt;&gt;0,IM28&lt;&gt;0),(IM27-IM28)/IM28,IF(AND(IM27=0,IM28=0),"",IF(AND(IM27="",IM28=""),"",IF(AND(IM27=0,IM28=""),"", IF(AND(IM27="",IM28=0),"",1)))))</f>
        <v>-8.9961992810394728E-3</v>
      </c>
      <c r="IN29" s="40">
        <f t="shared" ref="IN29" si="1006">IF(AND(IN27&lt;&gt;0,IN28&lt;&gt;0),(IN27-IN28)/IN28,IF(AND(IN27=0,IN28=0),"",IF(AND(IN27="",IN28=""),"",IF(AND(IN27=0,IN28=""),"", IF(AND(IN27="",IN28=0),"",1)))))</f>
        <v>1.2815318279777924E-4</v>
      </c>
      <c r="IO29" s="40">
        <f t="shared" ref="IO29" si="1007">IF(AND(IO27&lt;&gt;0,IO28&lt;&gt;0),(IO27-IO28)/IO28,IF(AND(IO27=0,IO28=0),"",IF(AND(IO27="",IO28=""),"",IF(AND(IO27=0,IO28=""),"", IF(AND(IO27="",IO28=0),"",1)))))</f>
        <v>1.0030989217881285E-2</v>
      </c>
      <c r="IP29" s="40" t="str">
        <f t="shared" ref="IP29" si="1008">IF(AND(IP27&lt;&gt;0,IP28&lt;&gt;0),(IP27-IP28)/IP28,IF(AND(IP27=0,IP28=0),"",IF(AND(IP27="",IP28=""),"",IF(AND(IP27=0,IP28=""),"", IF(AND(IP27="",IP28=0),"",1)))))</f>
        <v/>
      </c>
      <c r="IQ29" s="40" t="str">
        <f t="shared" ref="IQ29" si="1009">IF(AND(IQ27&lt;&gt;0,IQ28&lt;&gt;0),(IQ27-IQ28)/IQ28,IF(AND(IQ27=0,IQ28=0),"",IF(AND(IQ27="",IQ28=""),"",IF(AND(IQ27=0,IQ28=""),"", IF(AND(IQ27="",IQ28=0),"",1)))))</f>
        <v/>
      </c>
      <c r="IR29" s="40" t="str">
        <f t="shared" ref="IR29:JF29" si="1010">IF(AND(IR27&lt;&gt;0,IR28&lt;&gt;0),(IR27-IR28)/IR28,IF(AND(IR27=0,IR28=0),"",IF(AND(IR27="",IR28=""),"",IF(AND(IR27=0,IR28=""),"", IF(AND(IR27="",IR28=0),"",1)))))</f>
        <v/>
      </c>
      <c r="IS29" s="40" t="str">
        <f t="shared" si="1010"/>
        <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1.8740242538545793E-5</v>
      </c>
      <c r="JH29" s="72" t="str">
        <f t="shared" si="1011"/>
        <v/>
      </c>
      <c r="JI29" s="73" t="str">
        <f t="shared" si="1011"/>
        <v/>
      </c>
      <c r="JJ29" s="73" t="str">
        <f t="shared" si="1011"/>
        <v/>
      </c>
      <c r="JK29" s="73" t="str">
        <f t="shared" si="1011"/>
        <v/>
      </c>
      <c r="JL29" s="73" t="str">
        <f t="shared" si="1011"/>
        <v/>
      </c>
      <c r="JM29" s="73" t="str">
        <f t="shared" si="1011"/>
        <v/>
      </c>
      <c r="JN29" s="73" t="str">
        <f t="shared" si="1011"/>
        <v/>
      </c>
      <c r="JO29" s="73" t="str">
        <f t="shared" si="1011"/>
        <v/>
      </c>
      <c r="JP29" s="73" t="str">
        <f t="shared" si="1011"/>
        <v/>
      </c>
      <c r="JQ29" s="73" t="str">
        <f t="shared" si="1011"/>
        <v/>
      </c>
      <c r="JR29" s="73" t="str">
        <f t="shared" si="1011"/>
        <v/>
      </c>
      <c r="JS29" s="73" t="str">
        <f t="shared" si="1011"/>
        <v/>
      </c>
      <c r="JT29" s="73" t="str">
        <f t="shared" si="1011"/>
        <v/>
      </c>
      <c r="JU29" s="73" t="str">
        <f t="shared" si="1011"/>
        <v/>
      </c>
      <c r="JV29" s="73" t="str">
        <f t="shared" si="1011"/>
        <v/>
      </c>
      <c r="JW29" s="73" t="str">
        <f t="shared" si="1011"/>
        <v/>
      </c>
      <c r="JX29" s="73" t="str">
        <f t="shared" si="1011"/>
        <v/>
      </c>
      <c r="JY29" s="73" t="str">
        <f t="shared" si="1011"/>
        <v/>
      </c>
      <c r="JZ29" s="73" t="str">
        <f t="shared" si="1011"/>
        <v/>
      </c>
      <c r="KA29" s="73" t="str">
        <f t="shared" si="1011"/>
        <v/>
      </c>
      <c r="KB29" s="73" t="str">
        <f t="shared" si="1011"/>
        <v/>
      </c>
      <c r="KC29" s="73" t="str">
        <f t="shared" si="1011"/>
        <v/>
      </c>
      <c r="KD29" s="73" t="str">
        <f t="shared" si="1011"/>
        <v/>
      </c>
      <c r="KE29" s="73" t="str">
        <f t="shared" ref="KE29:KR29" si="1012">IF(AND(KE27&lt;&gt;0,KE28&lt;&gt;0),(KE27-KE28)/KE28,IF(AND(KE27=0,KE28=0),"",IF(AND(KE27="",KE28=""),"",IF(AND(KE27=0,KE28=""),"", IF(AND(KE27="",KE28=0),"",1)))))</f>
        <v/>
      </c>
      <c r="KF29" s="73" t="str">
        <f t="shared" si="1012"/>
        <v/>
      </c>
      <c r="KG29" s="73" t="str">
        <f t="shared" si="1012"/>
        <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t="str">
        <f t="shared" si="1011"/>
        <v/>
      </c>
      <c r="KT29" s="72" t="str">
        <f t="shared" ref="KT29:ME29" si="1013">IF(AND(KT27&lt;&gt;0,KT28&lt;&gt;0),(KT27-KT28)/KT28,IF(AND(KT27=0,KT28=0),"",IF(AND(KT27="",KT28=""),"",IF(AND(KT27=0,KT28=""),"", IF(AND(KT27="",KT28=0),"",1)))))</f>
        <v/>
      </c>
      <c r="KU29" s="73" t="str">
        <f t="shared" si="1013"/>
        <v/>
      </c>
      <c r="KV29" s="73" t="str">
        <f t="shared" si="1013"/>
        <v/>
      </c>
      <c r="KW29" s="73" t="str">
        <f t="shared" si="1013"/>
        <v/>
      </c>
      <c r="KX29" s="73" t="str">
        <f t="shared" si="1013"/>
        <v/>
      </c>
      <c r="KY29" s="73" t="str">
        <f t="shared" si="1013"/>
        <v/>
      </c>
      <c r="KZ29" s="73" t="str">
        <f t="shared" si="1013"/>
        <v/>
      </c>
      <c r="LA29" s="73" t="str">
        <f t="shared" si="1013"/>
        <v/>
      </c>
      <c r="LB29" s="73" t="str">
        <f t="shared" si="1013"/>
        <v/>
      </c>
      <c r="LC29" s="73" t="str">
        <f t="shared" si="1013"/>
        <v/>
      </c>
      <c r="LD29" s="73" t="str">
        <f t="shared" si="1013"/>
        <v/>
      </c>
      <c r="LE29" s="73" t="str">
        <f t="shared" si="1013"/>
        <v/>
      </c>
      <c r="LF29" s="73" t="str">
        <f t="shared" si="1013"/>
        <v/>
      </c>
      <c r="LG29" s="73" t="str">
        <f t="shared" si="1013"/>
        <v/>
      </c>
      <c r="LH29" s="73" t="str">
        <f t="shared" si="1013"/>
        <v/>
      </c>
      <c r="LI29" s="73" t="str">
        <f t="shared" si="1013"/>
        <v/>
      </c>
      <c r="LJ29" s="73" t="str">
        <f t="shared" si="1013"/>
        <v/>
      </c>
      <c r="LK29" s="73" t="str">
        <f t="shared" si="1013"/>
        <v/>
      </c>
      <c r="LL29" s="73" t="str">
        <f t="shared" si="1013"/>
        <v/>
      </c>
      <c r="LM29" s="73" t="str">
        <f t="shared" si="1013"/>
        <v/>
      </c>
      <c r="LN29" s="73" t="str">
        <f t="shared" si="1013"/>
        <v/>
      </c>
      <c r="LO29" s="73" t="str">
        <f t="shared" si="1013"/>
        <v/>
      </c>
      <c r="LP29" s="73" t="str">
        <f t="shared" si="1013"/>
        <v/>
      </c>
      <c r="LQ29" s="73" t="str">
        <f t="shared" ref="LQ29:MD29" si="1014">IF(AND(LQ27&lt;&gt;0,LQ28&lt;&gt;0),(LQ27-LQ28)/LQ28,IF(AND(LQ27=0,LQ28=0),"",IF(AND(LQ27="",LQ28=""),"",IF(AND(LQ27=0,LQ28=""),"", IF(AND(LQ27="",LQ28=0),"",1)))))</f>
        <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t="str">
        <f t="shared" si="1013"/>
        <v/>
      </c>
      <c r="MF29" s="72" t="str">
        <f t="shared" si="1011"/>
        <v/>
      </c>
      <c r="MG29" s="73" t="str">
        <f t="shared" si="1011"/>
        <v/>
      </c>
      <c r="MH29" s="73" t="str">
        <f t="shared" si="1011"/>
        <v/>
      </c>
      <c r="MI29" s="73" t="str">
        <f t="shared" si="1011"/>
        <v/>
      </c>
      <c r="MJ29" s="73" t="str">
        <f t="shared" si="1011"/>
        <v/>
      </c>
      <c r="MK29" s="73" t="str">
        <f t="shared" si="1011"/>
        <v/>
      </c>
      <c r="ML29" s="73" t="str">
        <f t="shared" si="1011"/>
        <v/>
      </c>
      <c r="MM29" s="73" t="str">
        <f t="shared" si="1011"/>
        <v/>
      </c>
      <c r="MN29" s="73" t="str">
        <f t="shared" si="1011"/>
        <v/>
      </c>
      <c r="MO29" s="73" t="str">
        <f t="shared" si="1011"/>
        <v/>
      </c>
      <c r="MP29" s="73" t="str">
        <f t="shared" si="1011"/>
        <v/>
      </c>
      <c r="MQ29" s="73" t="str">
        <f t="shared" si="1011"/>
        <v/>
      </c>
      <c r="MR29" s="73" t="str">
        <f t="shared" si="1011"/>
        <v/>
      </c>
      <c r="MS29" s="73" t="str">
        <f t="shared" si="1011"/>
        <v/>
      </c>
      <c r="MT29" s="73" t="str">
        <f t="shared" si="1011"/>
        <v/>
      </c>
      <c r="MU29" s="73" t="str">
        <f t="shared" si="1011"/>
        <v/>
      </c>
      <c r="MV29" s="73" t="str">
        <f t="shared" si="1011"/>
        <v/>
      </c>
      <c r="MW29" s="73" t="str">
        <f t="shared" si="1011"/>
        <v/>
      </c>
      <c r="MX29" s="73" t="str">
        <f t="shared" si="1011"/>
        <v/>
      </c>
      <c r="MY29" s="73" t="str">
        <f t="shared" si="1011"/>
        <v/>
      </c>
      <c r="MZ29" s="73" t="str">
        <f t="shared" si="1011"/>
        <v/>
      </c>
      <c r="NA29" s="73" t="str">
        <f t="shared" si="1011"/>
        <v/>
      </c>
      <c r="NB29" s="73" t="str">
        <f t="shared" si="1011"/>
        <v/>
      </c>
      <c r="NC29" s="73" t="str">
        <f t="shared" ref="NC29:NP29" si="1015">IF(AND(NC27&lt;&gt;0,NC28&lt;&gt;0),(NC27-NC28)/NC28,IF(AND(NC27=0,NC28=0),"",IF(AND(NC27="",NC28=""),"",IF(AND(NC27=0,NC28=""),"", IF(AND(NC27="",NC28=0),"",1)))))</f>
        <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t="str">
        <f t="shared" si="1011"/>
        <v/>
      </c>
      <c r="NR29" s="40" t="str">
        <f t="shared" ref="NR29" si="1016">IF(AND(NR27&lt;&gt;0,NR28&lt;&gt;0),(NR27-NR28)/NR28,IF(AND(NR27=0,NR28=0),"",IF(AND(NR27="",NR28=""),"",IF(AND(NR27=0,NR28=""),"", IF(AND(NR27="",NR28=0),"",1)))))</f>
        <v/>
      </c>
      <c r="NS29" s="40">
        <f t="shared" ref="NS29" si="1017">IF(AND(NS27&lt;&gt;0,NS28&lt;&gt;0),(NS27-NS28)/NS28,IF(AND(NS27=0,NS28=0),"",IF(AND(NS27="",NS28=""),"",IF(AND(NS27=0,NS28=""),"", IF(AND(NS27="",NS28=0),"",1)))))</f>
        <v>1</v>
      </c>
      <c r="NT29" s="40">
        <f t="shared" ref="NT29" si="1018">IF(AND(NT27&lt;&gt;0,NT28&lt;&gt;0),(NT27-NT28)/NT28,IF(AND(NT27=0,NT28=0),"",IF(AND(NT27="",NT28=""),"",IF(AND(NT27=0,NT28=""),"", IF(AND(NT27="",NT28=0),"",1)))))</f>
        <v>-8.0260343768332845E-5</v>
      </c>
      <c r="NU29" s="40">
        <f t="shared" ref="NU29" si="1019">IF(AND(NU27&lt;&gt;0,NU28&lt;&gt;0),(NU27-NU28)/NU28,IF(AND(NU27=0,NU28=0),"",IF(AND(NU27="",NU28=""),"",IF(AND(NU27=0,NU28=""),"", IF(AND(NU27="",NU28=0),"",1)))))</f>
        <v>-2.6592266516262746E-5</v>
      </c>
      <c r="NV29" s="40">
        <f t="shared" ref="NV29" si="1020">IF(AND(NV27&lt;&gt;0,NV28&lt;&gt;0),(NV27-NV28)/NV28,IF(AND(NV27=0,NV28=0),"",IF(AND(NV27="",NV28=""),"",IF(AND(NV27=0,NV28=""),"", IF(AND(NV27="",NV28=0),"",1)))))</f>
        <v>2.5961350990628905E-7</v>
      </c>
      <c r="NW29" s="40">
        <f t="shared" ref="NW29" si="1021">IF(AND(NW27&lt;&gt;0,NW28&lt;&gt;0),(NW27-NW28)/NW28,IF(AND(NW27=0,NW28=0),"",IF(AND(NW27="",NW28=""),"",IF(AND(NW27=0,NW28=""),"", IF(AND(NW27="",NW28=0),"",1)))))</f>
        <v>-1.8688083459485684E-7</v>
      </c>
      <c r="NX29" s="40">
        <f t="shared" ref="NX29" si="1022">IF(AND(NX27&lt;&gt;0,NX28&lt;&gt;0),(NX27-NX28)/NX28,IF(AND(NX27=0,NX28=0),"",IF(AND(NX27="",NX28=""),"",IF(AND(NX27=0,NX28=""),"", IF(AND(NX27="",NX28=0),"",1)))))</f>
        <v>-1.2106555607044287E-7</v>
      </c>
      <c r="NY29" s="40">
        <f t="shared" ref="NY29" si="1023">IF(AND(NY27&lt;&gt;0,NY28&lt;&gt;0),(NY27-NY28)/NY28,IF(AND(NY27=0,NY28=0),"",IF(AND(NY27="",NY28=""),"",IF(AND(NY27=0,NY28=""),"", IF(AND(NY27="",NY28=0),"",1)))))</f>
        <v>0</v>
      </c>
      <c r="NZ29" s="40">
        <f t="shared" ref="NZ29" si="1024">IF(AND(NZ27&lt;&gt;0,NZ28&lt;&gt;0),(NZ27-NZ28)/NZ28,IF(AND(NZ27=0,NZ28=0),"",IF(AND(NZ27="",NZ28=""),"",IF(AND(NZ27=0,NZ28=""),"", IF(AND(NZ27="",NZ28=0),"",1)))))</f>
        <v>-4.281058512266239E-8</v>
      </c>
      <c r="OA29" s="40">
        <f t="shared" ref="OA29" si="1025">IF(AND(OA27&lt;&gt;0,OA28&lt;&gt;0),(OA27-OA28)/OA28,IF(AND(OA27=0,OA28=0),"",IF(AND(OA27="",OA28=""),"",IF(AND(OA27=0,OA28=""),"", IF(AND(OA27="",OA28=0),"",1)))))</f>
        <v>-1.3680789512890474E-7</v>
      </c>
      <c r="OB29" s="40">
        <f t="shared" ref="OB29" si="1026">IF(AND(OB27&lt;&gt;0,OB28&lt;&gt;0),(OB27-OB28)/OB28,IF(AND(OB27=0,OB28=0),"",IF(AND(OB27="",OB28=""),"",IF(AND(OB27=0,OB28=""),"", IF(AND(OB27="",OB28=0),"",1)))))</f>
        <v>-9.512153964485041E-8</v>
      </c>
      <c r="OC29" s="40">
        <f t="shared" ref="OC29" si="1027">IF(AND(OC27&lt;&gt;0,OC28&lt;&gt;0),(OC27-OC28)/OC28,IF(AND(OC27=0,OC28=0),"",IF(AND(OC27="",OC28=""),"",IF(AND(OC27=0,OC28=""),"", IF(AND(OC27="",OC28=0),"",1)))))</f>
        <v>-5.2294781289366531E-8</v>
      </c>
      <c r="OD29" s="40">
        <f t="shared" ref="OD29" si="1028">IF(AND(OD27&lt;&gt;0,OD28&lt;&gt;0),(OD27-OD28)/OD28,IF(AND(OD27=0,OD28=0),"",IF(AND(OD27="",OD28=""),"",IF(AND(OD27=0,OD28=""),"", IF(AND(OD27="",OD28=0),"",1)))))</f>
        <v>-1.1613450931137462E-7</v>
      </c>
      <c r="OE29" s="40">
        <f t="shared" ref="OE29" si="1029">IF(AND(OE27&lt;&gt;0,OE28&lt;&gt;0),(OE27-OE28)/OE28,IF(AND(OE27=0,OE28=0),"",IF(AND(OE27="",OE28=""),"",IF(AND(OE27=0,OE28=""),"", IF(AND(OE27="",OE28=0),"",1)))))</f>
        <v>0</v>
      </c>
      <c r="OF29" s="40">
        <f t="shared" ref="OF29" si="1030">IF(AND(OF27&lt;&gt;0,OF28&lt;&gt;0),(OF27-OF28)/OF28,IF(AND(OF27=0,OF28=0),"",IF(AND(OF27="",OF28=""),"",IF(AND(OF27=0,OF28=""),"", IF(AND(OF27="",OF28=0),"",1)))))</f>
        <v>0</v>
      </c>
      <c r="OG29" s="40">
        <f t="shared" ref="OG29" si="1031">IF(AND(OG27&lt;&gt;0,OG28&lt;&gt;0),(OG27-OG28)/OG28,IF(AND(OG27=0,OG28=0),"",IF(AND(OG27="",OG28=""),"",IF(AND(OG27=0,OG28=""),"", IF(AND(OG27="",OG28=0),"",1)))))</f>
        <v>-8.6124588173750505E-8</v>
      </c>
      <c r="OH29" s="40">
        <f t="shared" ref="OH29" si="1032">IF(AND(OH27&lt;&gt;0,OH28&lt;&gt;0),(OH27-OH28)/OH28,IF(AND(OH27=0,OH28=0),"",IF(AND(OH27="",OH28=""),"",IF(AND(OH27=0,OH28=""),"", IF(AND(OH27="",OH28=0),"",1)))))</f>
        <v>0</v>
      </c>
      <c r="OI29" s="40">
        <f t="shared" ref="OI29" si="1033">IF(AND(OI27&lt;&gt;0,OI28&lt;&gt;0),(OI27-OI28)/OI28,IF(AND(OI27=0,OI28=0),"",IF(AND(OI27="",OI28=""),"",IF(AND(OI27=0,OI28=""),"", IF(AND(OI27="",OI28=0),"",1)))))</f>
        <v>-6.1857034784066371E-8</v>
      </c>
      <c r="OJ29" s="40">
        <f t="shared" ref="OJ29" si="1034">IF(AND(OJ27&lt;&gt;0,OJ28&lt;&gt;0),(OJ27-OJ28)/OJ28,IF(AND(OJ27=0,OJ28=0),"",IF(AND(OJ27="",OJ28=""),"",IF(AND(OJ27=0,OJ28=""),"", IF(AND(OJ27="",OJ28=0),"",1)))))</f>
        <v>-7.0157242023402212E-8</v>
      </c>
      <c r="OK29" s="40">
        <f t="shared" ref="OK29" si="1035">IF(AND(OK27&lt;&gt;0,OK28&lt;&gt;0),(OK27-OK28)/OK28,IF(AND(OK27=0,OK28=0),"",IF(AND(OK27="",OK28=""),"",IF(AND(OK27=0,OK28=""),"", IF(AND(OK27="",OK28=0),"",1)))))</f>
        <v>-5.4435161674094856E-4</v>
      </c>
      <c r="OL29" s="40">
        <f t="shared" ref="OL29" si="1036">IF(AND(OL27&lt;&gt;0,OL28&lt;&gt;0),(OL27-OL28)/OL28,IF(AND(OL27=0,OL28=0),"",IF(AND(OL27="",OL28=""),"",IF(AND(OL27=0,OL28=""),"", IF(AND(OL27="",OL28=0),"",1)))))</f>
        <v>1.8694982822666297E-5</v>
      </c>
      <c r="OM29" s="40">
        <f t="shared" ref="OM29" si="1037">IF(AND(OM27&lt;&gt;0,OM28&lt;&gt;0),(OM27-OM28)/OM28,IF(AND(OM27=0,OM28=0),"",IF(AND(OM27="",OM28=""),"",IF(AND(OM27=0,OM28=""),"", IF(AND(OM27="",OM28=0),"",1)))))</f>
        <v>-1.1910269224334941E-2</v>
      </c>
      <c r="ON29" s="40">
        <f t="shared" ref="ON29:PB29" si="1038">IF(AND(ON27&lt;&gt;0,ON28&lt;&gt;0),(ON27-ON28)/ON28,IF(AND(ON27=0,ON28=0),"",IF(AND(ON27="",ON28=""),"",IF(AND(ON27=0,ON28=""),"", IF(AND(ON27="",ON28=0),"",1)))))</f>
        <v>5.6206854163027374E-5</v>
      </c>
      <c r="OO29" s="40">
        <f t="shared" si="1038"/>
        <v>-2.7407145514462796E-4</v>
      </c>
      <c r="OP29" s="40">
        <f t="shared" si="1038"/>
        <v>1</v>
      </c>
      <c r="OQ29" s="40" t="str">
        <f t="shared" si="1038"/>
        <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2.2508591751595596E-4</v>
      </c>
      <c r="PF29" s="63">
        <f>IF(AND(PF27&lt;&gt;0,PF28&lt;&gt;0),(PF27-PF28)/PF28,IF(AND(PF27=0,PF28=0),"",IF(AND(PF27="",PF28=""),"",IF(AND(PF27=0,PF28=""),"", IF(AND(PF27="",PF28=0),"",1)))))</f>
        <v>8.2047150230364326E-4</v>
      </c>
      <c r="PH29" s="63">
        <f>IF(AND(PH27&lt;&gt;0,PH28&lt;&gt;0),(PH27-PH28)/PH28,IF(AND(PH27=0,PH28=0),"",IF(AND(PH27="",PH28=""),"",IF(AND(PH27=0,PH28=""),"", IF(AND(PH27="",PH28=0),"",1)))))</f>
        <v>5.1798469408382783E-4</v>
      </c>
    </row>
    <row r="30" spans="1:424" outlineLevel="1" x14ac:dyDescent="0.35">
      <c r="A30" s="46" t="s">
        <v>54</v>
      </c>
      <c r="B30" s="14">
        <f>'[1]D-PDP'!$DT$12</f>
        <v>0</v>
      </c>
      <c r="C30" s="14">
        <f>'[1]D-PDP'!$DT$13</f>
        <v>0</v>
      </c>
      <c r="D30" s="14">
        <f>'[1]D-PDP'!$DT$14</f>
        <v>0</v>
      </c>
      <c r="E30" s="14">
        <f>'[1]D-PDP'!$DT$15</f>
        <v>0</v>
      </c>
      <c r="F30" s="14">
        <f>'[1]D-PDP'!$DT$16</f>
        <v>0</v>
      </c>
      <c r="G30" s="14">
        <f>'[1]D-PDP'!$DT$17</f>
        <v>0</v>
      </c>
      <c r="H30" s="14">
        <f>'[1]D-PDP'!$DT$18</f>
        <v>0</v>
      </c>
      <c r="I30" s="14">
        <f>'[1]D-PDP'!$DT$19</f>
        <v>0</v>
      </c>
      <c r="J30" s="14">
        <f>'[1]D-PDP'!$DT$20</f>
        <v>0</v>
      </c>
      <c r="K30" s="14">
        <f>'[1]D-PDP'!$DT$21</f>
        <v>0</v>
      </c>
      <c r="L30" s="14">
        <f>'[1]D-PDP'!$DT$22</f>
        <v>0</v>
      </c>
      <c r="M30" s="14">
        <f>'[1]D-PDP'!$DT$23</f>
        <v>0</v>
      </c>
      <c r="N30" s="14">
        <f>'[1]D-PDP'!$DT$24</f>
        <v>0</v>
      </c>
      <c r="O30" s="14">
        <f>'[1]D-PDP'!$DT$25</f>
        <v>0</v>
      </c>
      <c r="P30" s="14">
        <f>'[1]D-PDP'!$DT$26</f>
        <v>0</v>
      </c>
      <c r="Q30" s="14">
        <f>'[1]D-PDP'!$DT$27</f>
        <v>0</v>
      </c>
      <c r="R30" s="14">
        <f>'[1]D-PDP'!$DT$28</f>
        <v>0</v>
      </c>
      <c r="S30" s="14">
        <f>'[1]D-PDP'!$DT$29</f>
        <v>0</v>
      </c>
      <c r="T30" s="14">
        <f>'[1]D-PDP'!$DT$30</f>
        <v>0</v>
      </c>
      <c r="U30" s="14">
        <f>'[1]D-PDP'!$DT$31</f>
        <v>0</v>
      </c>
      <c r="V30" s="14">
        <f>'[1]D-PDP'!$DT$32</f>
        <v>0</v>
      </c>
      <c r="W30" s="14">
        <f>'[1]D-PDP'!$DT$33</f>
        <v>0</v>
      </c>
      <c r="X30" s="14">
        <f>'[1]D-PDP'!$DT$34</f>
        <v>29744978</v>
      </c>
      <c r="Y30" s="14">
        <f>'[1]D-PDP'!$DT$35</f>
        <v>0</v>
      </c>
      <c r="Z30" s="14">
        <f>'[1]D-PDP'!$DT$36</f>
        <v>0</v>
      </c>
      <c r="AA30" s="14">
        <f>'[1]D-PDP'!$DT$37</f>
        <v>0</v>
      </c>
      <c r="AB30" s="14">
        <f>'[1]D-PDP'!$DT$38</f>
        <v>0</v>
      </c>
      <c r="AC30" s="14">
        <f>'[1]D-PDP'!$DT$39</f>
        <v>0</v>
      </c>
      <c r="AD30" s="14">
        <f>'[1]D-PDP'!$DT$40</f>
        <v>0</v>
      </c>
      <c r="AE30" s="14">
        <f>'[1]D-PDP'!$DT$41</f>
        <v>0</v>
      </c>
      <c r="AF30" s="14">
        <f>'[1]D-PDP'!$DT$42</f>
        <v>0</v>
      </c>
      <c r="AG30" s="14">
        <f>'[1]D-PDP'!$DT$43</f>
        <v>0</v>
      </c>
      <c r="AH30" s="14">
        <f>'[1]D-PDP'!$DT$44</f>
        <v>0</v>
      </c>
      <c r="AI30" s="14">
        <f>'[1]D-PDP'!$DT$45</f>
        <v>0</v>
      </c>
      <c r="AJ30" s="14">
        <f>'[1]D-PDP'!$DT$46</f>
        <v>0</v>
      </c>
      <c r="AK30" s="14">
        <f>'[1]D-PDP'!$DT$47</f>
        <v>0</v>
      </c>
      <c r="AL30" s="14">
        <f>'[1]D-PDP'!$DT$48</f>
        <v>0</v>
      </c>
      <c r="AM30" s="16">
        <f>SUM(B30:AL30)</f>
        <v>29744978</v>
      </c>
      <c r="AN30" s="28">
        <f>'[1]D-PNP'!$DT$12</f>
        <v>0</v>
      </c>
      <c r="AO30" s="14">
        <f>'[1]D-PNP'!$DT$13</f>
        <v>0</v>
      </c>
      <c r="AP30" s="14">
        <f>'[1]D-PNP'!$DT$14</f>
        <v>0</v>
      </c>
      <c r="AQ30" s="14">
        <f>'[1]D-PNP'!$DT$15</f>
        <v>0</v>
      </c>
      <c r="AR30" s="14">
        <f>'[1]D-PNP'!$DT$16</f>
        <v>0</v>
      </c>
      <c r="AS30" s="14">
        <f>'[1]D-PNP'!$DT$17</f>
        <v>0</v>
      </c>
      <c r="AT30" s="14">
        <f>'[1]D-PNP'!$DT$18</f>
        <v>0</v>
      </c>
      <c r="AU30" s="14">
        <f>'[1]D-PNP'!$DT$19</f>
        <v>0</v>
      </c>
      <c r="AV30" s="14">
        <f>'[1]D-PNP'!$DT$20</f>
        <v>0</v>
      </c>
      <c r="AW30" s="14">
        <f>'[1]D-PNP'!$DT$21</f>
        <v>0</v>
      </c>
      <c r="AX30" s="14">
        <f>'[1]D-PNP'!$DT$22</f>
        <v>0</v>
      </c>
      <c r="AY30" s="14">
        <f>'[1]D-PNP'!$DT$23</f>
        <v>0</v>
      </c>
      <c r="AZ30" s="14">
        <f>'[1]D-PNP'!$DT$24</f>
        <v>0</v>
      </c>
      <c r="BA30" s="14">
        <f>'[1]D-PNP'!$DT$25</f>
        <v>0</v>
      </c>
      <c r="BB30" s="14">
        <f>'[1]D-PNP'!$DT$26</f>
        <v>0</v>
      </c>
      <c r="BC30" s="14">
        <f>'[1]D-PNP'!$DT$27</f>
        <v>0</v>
      </c>
      <c r="BD30" s="14">
        <f>'[1]D-PNP'!$DT$28</f>
        <v>0</v>
      </c>
      <c r="BE30" s="14">
        <f>'[1]D-PNP'!$DT$29</f>
        <v>0</v>
      </c>
      <c r="BF30" s="14">
        <f>'[1]D-PNP'!$DT$30</f>
        <v>0</v>
      </c>
      <c r="BG30" s="14">
        <f>'[1]D-PNP'!$DT$31</f>
        <v>0</v>
      </c>
      <c r="BH30" s="14">
        <f>'[1]D-PNP'!$DT$32</f>
        <v>0</v>
      </c>
      <c r="BI30" s="14">
        <f>'[1]D-PNP'!$DT$33</f>
        <v>0</v>
      </c>
      <c r="BJ30" s="14">
        <f>'[1]D-PNP'!$DT$34</f>
        <v>0</v>
      </c>
      <c r="BK30" s="14">
        <f>'[1]D-PNP'!$DT$35</f>
        <v>0</v>
      </c>
      <c r="BL30" s="14">
        <f>'[1]D-PNP'!$DT$36</f>
        <v>0</v>
      </c>
      <c r="BM30" s="14">
        <f>'[1]D-PNP'!$DT$37</f>
        <v>0</v>
      </c>
      <c r="BN30" s="14">
        <f>'[1]D-PNP'!$DT$38</f>
        <v>0</v>
      </c>
      <c r="BO30" s="14">
        <f>'[1]D-PNP'!$DT$39</f>
        <v>0</v>
      </c>
      <c r="BP30" s="14">
        <f>'[1]D-PNP'!$DT$40</f>
        <v>0</v>
      </c>
      <c r="BQ30" s="14">
        <f>'[1]D-PNP'!$DT$41</f>
        <v>0</v>
      </c>
      <c r="BR30" s="14">
        <f>'[1]D-PNP'!$DT$42</f>
        <v>0</v>
      </c>
      <c r="BS30" s="14">
        <f>'[1]D-PNP'!$DT$43</f>
        <v>0</v>
      </c>
      <c r="BT30" s="14">
        <f>'[1]D-PNP'!$DT$44</f>
        <v>0</v>
      </c>
      <c r="BU30" s="14">
        <f>'[1]D-PNP'!$DT$45</f>
        <v>0</v>
      </c>
      <c r="BV30" s="14">
        <f>'[1]D-PNP'!$DT$46</f>
        <v>0</v>
      </c>
      <c r="BW30" s="14">
        <f>'[1]D-PNP'!$DT$47</f>
        <v>0</v>
      </c>
      <c r="BX30" s="14">
        <f>'[1]D-PNP'!$DT$48</f>
        <v>0</v>
      </c>
      <c r="BY30" s="16">
        <f>SUM(AN30:BX30)</f>
        <v>0</v>
      </c>
      <c r="BZ30" s="28">
        <f>'[1]D-PND'!$DT$12</f>
        <v>0</v>
      </c>
      <c r="CA30" s="14">
        <f>'[1]D-PND'!$DT$13</f>
        <v>0</v>
      </c>
      <c r="CB30" s="14">
        <f>'[1]D-PND'!$DT$14</f>
        <v>0</v>
      </c>
      <c r="CC30" s="14">
        <f>'[1]D-PND'!$DT$15</f>
        <v>0</v>
      </c>
      <c r="CD30" s="14">
        <f>'[1]D-PND'!$DT$16</f>
        <v>0</v>
      </c>
      <c r="CE30" s="14">
        <f>'[1]D-PND'!$DT$17</f>
        <v>0</v>
      </c>
      <c r="CF30" s="14">
        <f>'[1]D-PND'!$DT$18</f>
        <v>0</v>
      </c>
      <c r="CG30" s="14">
        <f>'[1]D-PND'!$DT$19</f>
        <v>0</v>
      </c>
      <c r="CH30" s="14">
        <f>'[1]D-PND'!$DT$20</f>
        <v>0</v>
      </c>
      <c r="CI30" s="14">
        <f>'[1]D-PND'!$DT$21</f>
        <v>0</v>
      </c>
      <c r="CJ30" s="14">
        <f>'[1]D-PND'!$DT$22</f>
        <v>0</v>
      </c>
      <c r="CK30" s="14">
        <f>'[1]D-PND'!$DT$23</f>
        <v>0</v>
      </c>
      <c r="CL30" s="14">
        <f>'[1]D-PND'!$DT$24</f>
        <v>0</v>
      </c>
      <c r="CM30" s="14">
        <f>'[1]D-PND'!$DT$25</f>
        <v>0</v>
      </c>
      <c r="CN30" s="14">
        <f>'[1]D-PND'!$DT$26</f>
        <v>0</v>
      </c>
      <c r="CO30" s="14">
        <f>'[1]D-PND'!$DT$27</f>
        <v>0</v>
      </c>
      <c r="CP30" s="14">
        <f>'[1]D-PND'!$DT$28</f>
        <v>0</v>
      </c>
      <c r="CQ30" s="14">
        <f>'[1]D-PND'!$DT$29</f>
        <v>0</v>
      </c>
      <c r="CR30" s="14">
        <f>'[1]D-PND'!$DT$30</f>
        <v>0</v>
      </c>
      <c r="CS30" s="14">
        <f>'[1]D-PND'!$DT$31</f>
        <v>0</v>
      </c>
      <c r="CT30" s="14">
        <f>'[1]D-PND'!$DT$32</f>
        <v>0</v>
      </c>
      <c r="CU30" s="14">
        <f>'[1]D-PND'!$DT$33</f>
        <v>0</v>
      </c>
      <c r="CV30" s="14">
        <f>'[1]D-PND'!$DT$34</f>
        <v>2320734.75</v>
      </c>
      <c r="CW30" s="14">
        <f>'[1]D-PND'!$DT$35</f>
        <v>0</v>
      </c>
      <c r="CX30" s="14">
        <f>'[1]D-PND'!$DT$36</f>
        <v>0</v>
      </c>
      <c r="CY30" s="14">
        <f>'[1]D-PND'!$DT$37</f>
        <v>0</v>
      </c>
      <c r="CZ30" s="14">
        <f>'[1]D-PND'!$DT$38</f>
        <v>0</v>
      </c>
      <c r="DA30" s="14">
        <f>'[1]D-PND'!$DT$39</f>
        <v>0</v>
      </c>
      <c r="DB30" s="14">
        <f>'[1]D-PND'!$DT$40</f>
        <v>0</v>
      </c>
      <c r="DC30" s="14">
        <f>'[1]D-PND'!$DT$41</f>
        <v>0</v>
      </c>
      <c r="DD30" s="14">
        <f>'[1]D-PND'!$DT$42</f>
        <v>0</v>
      </c>
      <c r="DE30" s="14">
        <f>'[1]D-PND'!$DT$43</f>
        <v>0</v>
      </c>
      <c r="DF30" s="14">
        <f>'[1]D-PND'!$DT$44</f>
        <v>0</v>
      </c>
      <c r="DG30" s="14">
        <f>'[1]D-PND'!$DT$45</f>
        <v>0</v>
      </c>
      <c r="DH30" s="14">
        <f>'[1]D-PND'!$DT$46</f>
        <v>0</v>
      </c>
      <c r="DI30" s="14">
        <f>'[1]D-PND'!$DT$47</f>
        <v>0</v>
      </c>
      <c r="DJ30" s="14">
        <f>'[1]D-PND'!$DT$48</f>
        <v>0</v>
      </c>
      <c r="DK30" s="16">
        <f>SUM(BZ30:DJ30)</f>
        <v>2320734.75</v>
      </c>
      <c r="DL30" s="66"/>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8">
        <f>SUM(DL30:EV30)</f>
        <v>0</v>
      </c>
      <c r="EX30" s="66"/>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8">
        <f>SUM(EX30:GH30)</f>
        <v>0</v>
      </c>
      <c r="GJ30" s="66"/>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8">
        <f>SUM(GJ30:HT30)</f>
        <v>0</v>
      </c>
      <c r="HV30" s="28">
        <f>'[1]D-PRB'!$DT$12</f>
        <v>0</v>
      </c>
      <c r="HW30" s="14">
        <f>'[1]D-PRB'!$DT$13</f>
        <v>0</v>
      </c>
      <c r="HX30" s="14">
        <f>'[1]D-PRB'!$DT$14</f>
        <v>0</v>
      </c>
      <c r="HY30" s="14">
        <f>'[1]D-PRB'!$DT$15</f>
        <v>0</v>
      </c>
      <c r="HZ30" s="14">
        <f>'[1]D-PRB'!$DT$16</f>
        <v>0</v>
      </c>
      <c r="IA30" s="14">
        <f>'[1]D-PRB'!$DT$17</f>
        <v>0</v>
      </c>
      <c r="IB30" s="14">
        <f>'[1]D-PRB'!$DT$18</f>
        <v>0</v>
      </c>
      <c r="IC30" s="14">
        <f>'[1]D-PRB'!$DT$19</f>
        <v>0</v>
      </c>
      <c r="ID30" s="14">
        <f>'[1]D-PRB'!$DT$20</f>
        <v>0</v>
      </c>
      <c r="IE30" s="14">
        <f>'[1]D-PRB'!$DT$21</f>
        <v>0</v>
      </c>
      <c r="IF30" s="14">
        <f>'[1]D-PRB'!$DT$22</f>
        <v>0</v>
      </c>
      <c r="IG30" s="14">
        <f>'[1]D-PRB'!$DT$23</f>
        <v>0</v>
      </c>
      <c r="IH30" s="14">
        <f>'[1]D-PRB'!$DT$24</f>
        <v>0</v>
      </c>
      <c r="II30" s="14">
        <f>'[1]D-PRB'!$DT$25</f>
        <v>0</v>
      </c>
      <c r="IJ30" s="14">
        <f>'[1]D-PRB'!$DT$26</f>
        <v>0</v>
      </c>
      <c r="IK30" s="14">
        <f>'[1]D-PRB'!$DT$27</f>
        <v>0</v>
      </c>
      <c r="IL30" s="14">
        <f>'[1]D-PRB'!$DT$28</f>
        <v>0</v>
      </c>
      <c r="IM30" s="14">
        <f>'[1]D-PRB'!$DT$29</f>
        <v>0</v>
      </c>
      <c r="IN30" s="14">
        <f>'[1]D-PRB'!$DT$30</f>
        <v>0</v>
      </c>
      <c r="IO30" s="14">
        <f>'[1]D-PRB'!$DT$31</f>
        <v>0</v>
      </c>
      <c r="IP30" s="14">
        <f>'[1]D-PRB'!$DT$32</f>
        <v>966972.875</v>
      </c>
      <c r="IQ30" s="14">
        <f>'[1]D-PRB'!$DT$33</f>
        <v>0</v>
      </c>
      <c r="IR30" s="14">
        <f>'[1]D-PRB'!$DT$34</f>
        <v>0</v>
      </c>
      <c r="IS30" s="14">
        <f>'[1]D-PRB'!$DT$35</f>
        <v>0</v>
      </c>
      <c r="IT30" s="14">
        <f>'[1]D-PRB'!$DT$36</f>
        <v>0</v>
      </c>
      <c r="IU30" s="14">
        <f>'[1]D-PRB'!$DT$37</f>
        <v>0</v>
      </c>
      <c r="IV30" s="14">
        <f>'[1]D-PRB'!$DT$38</f>
        <v>0</v>
      </c>
      <c r="IW30" s="14">
        <f>'[1]D-PRB'!$DT$39</f>
        <v>0</v>
      </c>
      <c r="IX30" s="14">
        <f>'[1]D-PRB'!$DT$40</f>
        <v>0</v>
      </c>
      <c r="IY30" s="14">
        <f>'[1]D-PRB'!$DT$41</f>
        <v>0</v>
      </c>
      <c r="IZ30" s="14">
        <f>'[1]D-PRB'!$DT$42</f>
        <v>0</v>
      </c>
      <c r="JA30" s="14">
        <f>'[1]D-PRB'!$DT$43</f>
        <v>0</v>
      </c>
      <c r="JB30" s="14">
        <f>'[1]D-PRB'!$DT$44</f>
        <v>0</v>
      </c>
      <c r="JC30" s="14">
        <f>'[1]D-PRB'!$DT$45</f>
        <v>0</v>
      </c>
      <c r="JD30" s="14">
        <f>'[1]D-PRB'!$DT$46</f>
        <v>0</v>
      </c>
      <c r="JE30" s="14">
        <f>'[1]D-PRB'!$DT$47</f>
        <v>0</v>
      </c>
      <c r="JF30" s="14">
        <f>'[1]D-PRB'!$DT$48</f>
        <v>0</v>
      </c>
      <c r="JG30" s="16">
        <f>SUM(HV30:JF30)</f>
        <v>966972.875</v>
      </c>
      <c r="JH30" s="66"/>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c r="KR30" s="67"/>
      <c r="KS30" s="68">
        <f>SUM(JH30:KR30)</f>
        <v>0</v>
      </c>
      <c r="KT30" s="66"/>
      <c r="KU30" s="67"/>
      <c r="KV30" s="67"/>
      <c r="KW30" s="67"/>
      <c r="KX30" s="67"/>
      <c r="KY30" s="67"/>
      <c r="KZ30" s="67"/>
      <c r="LA30" s="67"/>
      <c r="LB30" s="67"/>
      <c r="LC30" s="67"/>
      <c r="LD30" s="67"/>
      <c r="LE30" s="67"/>
      <c r="LF30" s="67"/>
      <c r="LG30" s="67"/>
      <c r="LH30" s="67"/>
      <c r="LI30" s="67"/>
      <c r="LJ30" s="67"/>
      <c r="LK30" s="67"/>
      <c r="LL30" s="67"/>
      <c r="LM30" s="67"/>
      <c r="LN30" s="67"/>
      <c r="LO30" s="67"/>
      <c r="LP30" s="67"/>
      <c r="LQ30" s="67"/>
      <c r="LR30" s="67"/>
      <c r="LS30" s="67"/>
      <c r="LT30" s="67"/>
      <c r="LU30" s="67"/>
      <c r="LV30" s="67"/>
      <c r="LW30" s="67"/>
      <c r="LX30" s="67"/>
      <c r="LY30" s="67"/>
      <c r="LZ30" s="67"/>
      <c r="MA30" s="67"/>
      <c r="MB30" s="67"/>
      <c r="MC30" s="67"/>
      <c r="MD30" s="67"/>
      <c r="ME30" s="68">
        <f>SUM(KT30:MD30)</f>
        <v>0</v>
      </c>
      <c r="MF30" s="66"/>
      <c r="MG30" s="67"/>
      <c r="MH30" s="67"/>
      <c r="MI30" s="67"/>
      <c r="MJ30" s="67"/>
      <c r="MK30" s="67"/>
      <c r="ML30" s="67"/>
      <c r="MM30" s="67"/>
      <c r="MN30" s="67"/>
      <c r="MO30" s="67"/>
      <c r="MP30" s="67"/>
      <c r="MQ30" s="67"/>
      <c r="MR30" s="67"/>
      <c r="MS30" s="67"/>
      <c r="MT30" s="67"/>
      <c r="MU30" s="67"/>
      <c r="MV30" s="67"/>
      <c r="MW30" s="67"/>
      <c r="MX30" s="67"/>
      <c r="MY30" s="67"/>
      <c r="MZ30" s="67"/>
      <c r="NA30" s="67"/>
      <c r="NB30" s="67"/>
      <c r="NC30" s="67"/>
      <c r="ND30" s="67"/>
      <c r="NE30" s="67"/>
      <c r="NF30" s="67"/>
      <c r="NG30" s="67"/>
      <c r="NH30" s="67"/>
      <c r="NI30" s="67"/>
      <c r="NJ30" s="67"/>
      <c r="NK30" s="67"/>
      <c r="NL30" s="67"/>
      <c r="NM30" s="67"/>
      <c r="NN30" s="67"/>
      <c r="NO30" s="67"/>
      <c r="NP30" s="67"/>
      <c r="NQ30" s="68">
        <f>SUM(MF30:NP30)</f>
        <v>0</v>
      </c>
      <c r="NR30" s="14">
        <f>'[1]D-PS'!$DT$12</f>
        <v>0</v>
      </c>
      <c r="NS30" s="14">
        <f>'[1]D-PS'!$DT$13</f>
        <v>0</v>
      </c>
      <c r="NT30" s="14">
        <f>'[1]D-PS'!$DT$14</f>
        <v>0</v>
      </c>
      <c r="NU30" s="14">
        <f>'[1]D-PS'!$DT$15</f>
        <v>0</v>
      </c>
      <c r="NV30" s="14">
        <f>'[1]D-PS'!$DT$16</f>
        <v>0</v>
      </c>
      <c r="NW30" s="14">
        <f>'[1]D-PS'!$DT$17</f>
        <v>0</v>
      </c>
      <c r="NX30" s="14">
        <f>'[1]D-PS'!$DT$18</f>
        <v>0</v>
      </c>
      <c r="NY30" s="14">
        <f>'[1]D-PS'!$DT$19</f>
        <v>0</v>
      </c>
      <c r="NZ30" s="14">
        <f>'[1]D-PS'!$DT$20</f>
        <v>0</v>
      </c>
      <c r="OA30" s="14">
        <f>'[1]D-PS'!$DT$21</f>
        <v>0</v>
      </c>
      <c r="OB30" s="14">
        <f>'[1]D-PS'!$DT$22</f>
        <v>0</v>
      </c>
      <c r="OC30" s="14">
        <f>'[1]D-PS'!$DT$23</f>
        <v>0</v>
      </c>
      <c r="OD30" s="14">
        <f>'[1]D-PS'!$DT$24</f>
        <v>0</v>
      </c>
      <c r="OE30" s="14">
        <f>'[1]D-PS'!$DT$25</f>
        <v>0</v>
      </c>
      <c r="OF30" s="14">
        <f>'[1]D-PS'!$DT$26</f>
        <v>0</v>
      </c>
      <c r="OG30" s="14">
        <f>'[1]D-PS'!$DT$27</f>
        <v>0</v>
      </c>
      <c r="OH30" s="14">
        <f>'[1]D-PS'!$DT$28</f>
        <v>0</v>
      </c>
      <c r="OI30" s="14">
        <f>'[1]D-PS'!$DT$29</f>
        <v>0</v>
      </c>
      <c r="OJ30" s="14">
        <f>'[1]D-PS'!$DT$30</f>
        <v>0</v>
      </c>
      <c r="OK30" s="14">
        <f>'[1]D-PS'!$DT$31</f>
        <v>0</v>
      </c>
      <c r="OL30" s="14">
        <f>'[1]D-PS'!$DT$32</f>
        <v>0</v>
      </c>
      <c r="OM30" s="14">
        <f>'[1]D-PS'!$DT$33</f>
        <v>0</v>
      </c>
      <c r="ON30" s="14">
        <f>'[1]D-PS'!$DT$34</f>
        <v>0</v>
      </c>
      <c r="OO30" s="14">
        <f>'[1]D-PS'!$DT$35</f>
        <v>0</v>
      </c>
      <c r="OP30" s="14">
        <f>'[1]D-PS'!$DT$36</f>
        <v>0</v>
      </c>
      <c r="OQ30" s="14">
        <f>'[1]D-PS'!$DT$37</f>
        <v>773578.3125</v>
      </c>
      <c r="OR30" s="14">
        <f>'[1]D-PS'!$DT$38</f>
        <v>0</v>
      </c>
      <c r="OS30" s="14">
        <f>'[1]D-PS'!$DT$39</f>
        <v>0</v>
      </c>
      <c r="OT30" s="14">
        <f>'[1]D-PS'!$DT$40</f>
        <v>0</v>
      </c>
      <c r="OU30" s="14">
        <f>'[1]D-PS'!$DT$41</f>
        <v>0</v>
      </c>
      <c r="OV30" s="14">
        <f>'[1]D-PS'!$DT$42</f>
        <v>0</v>
      </c>
      <c r="OW30" s="14">
        <f>'[1]D-PS'!$DT$43</f>
        <v>0</v>
      </c>
      <c r="OX30" s="14">
        <f>'[1]D-PS'!$DT$44</f>
        <v>0</v>
      </c>
      <c r="OY30" s="14">
        <f>'[1]D-PS'!$DT$45</f>
        <v>0</v>
      </c>
      <c r="OZ30" s="14">
        <f>'[1]D-PS'!$DT$46</f>
        <v>0</v>
      </c>
      <c r="PA30" s="14">
        <f>'[1]D-PS'!$DT$47</f>
        <v>0</v>
      </c>
      <c r="PB30" s="14">
        <f>'[1]D-PS'!$DT$48</f>
        <v>0</v>
      </c>
      <c r="PC30" s="16">
        <f>SUM(NR30:PB30)</f>
        <v>773578.3125</v>
      </c>
      <c r="PF30" s="16">
        <f>DK30+BY30+AM30</f>
        <v>32065712.75</v>
      </c>
      <c r="PH30" s="16">
        <f>PF30+JG30+PC30</f>
        <v>33806263.9375</v>
      </c>
    </row>
    <row r="31" spans="1:424" outlineLevel="1" x14ac:dyDescent="0.35">
      <c r="A31" s="46" t="s">
        <v>55</v>
      </c>
      <c r="B31" s="25">
        <f>'[2]CF PDP'!$DI$36</f>
        <v>0</v>
      </c>
      <c r="C31" s="25">
        <f>'[2]CF PDP'!$DI$37</f>
        <v>0</v>
      </c>
      <c r="D31" s="25">
        <f>'[2]CF PDP'!$DI$38</f>
        <v>0</v>
      </c>
      <c r="E31" s="25">
        <f>'[2]CF PDP'!$DI$39</f>
        <v>0</v>
      </c>
      <c r="F31" s="25">
        <f>'[2]CF PDP'!$DI$40</f>
        <v>0</v>
      </c>
      <c r="G31" s="25">
        <f>'[2]CF PDP'!$DI$41</f>
        <v>0</v>
      </c>
      <c r="H31" s="25">
        <f>'[2]CF PDP'!$DI$42</f>
        <v>0</v>
      </c>
      <c r="I31" s="25">
        <f>'[2]CF PDP'!$DI$43</f>
        <v>0</v>
      </c>
      <c r="J31" s="25">
        <f>'[2]CF PDP'!$DI$44</f>
        <v>0</v>
      </c>
      <c r="K31" s="25">
        <f>'[2]CF PDP'!$DI$45</f>
        <v>0</v>
      </c>
      <c r="L31" s="25">
        <f>'[2]CF PDP'!$DI$46</f>
        <v>0</v>
      </c>
      <c r="M31" s="25">
        <f>'[2]CF PDP'!$DI$47</f>
        <v>0</v>
      </c>
      <c r="N31" s="25">
        <f>'[2]CF PDP'!$DI$48</f>
        <v>0</v>
      </c>
      <c r="O31" s="25">
        <f>'[2]CF PDP'!$DI$49</f>
        <v>0</v>
      </c>
      <c r="P31" s="25">
        <f>'[2]CF PDP'!$DI$50</f>
        <v>0</v>
      </c>
      <c r="Q31" s="25">
        <f>'[2]CF PDP'!$DI$51</f>
        <v>0</v>
      </c>
      <c r="R31" s="25">
        <f>'[2]CF PDP'!$DI$52</f>
        <v>0</v>
      </c>
      <c r="S31" s="25">
        <f>'[2]CF PDP'!$DI$53</f>
        <v>0</v>
      </c>
      <c r="T31" s="25">
        <f>'[2]CF PDP'!$DI$54</f>
        <v>0</v>
      </c>
      <c r="U31" s="25">
        <f>'[2]CF PDP'!$DI$55</f>
        <v>0</v>
      </c>
      <c r="V31" s="25">
        <f>'[2]CF PDP'!$DI$56</f>
        <v>0</v>
      </c>
      <c r="W31" s="25">
        <f>'[2]CF PDP'!$DI$57</f>
        <v>29744978</v>
      </c>
      <c r="X31" s="25">
        <f>'[2]CF PDP'!$DI$58</f>
        <v>0</v>
      </c>
      <c r="Y31" s="25">
        <f>'[2]CF PDP'!$DI$59</f>
        <v>0</v>
      </c>
      <c r="Z31" s="25">
        <f>'[2]CF PDP'!$DI$60</f>
        <v>0</v>
      </c>
      <c r="AA31" s="25">
        <f>'[2]CF PDP'!$DI$61</f>
        <v>0</v>
      </c>
      <c r="AB31" s="25">
        <f>'[2]CF PDP'!$DI$62</f>
        <v>0</v>
      </c>
      <c r="AC31" s="25">
        <f>'[2]CF PDP'!$DI$63</f>
        <v>0</v>
      </c>
      <c r="AD31" s="25">
        <f>'[2]CF PDP'!$DI$64</f>
        <v>0</v>
      </c>
      <c r="AE31" s="25">
        <f>'[2]CF PDP'!$DI$65</f>
        <v>0</v>
      </c>
      <c r="AF31" s="25">
        <f>'[2]CF PDP'!$DI$66</f>
        <v>0</v>
      </c>
      <c r="AG31" s="25">
        <f>'[2]CF PDP'!$DI$67</f>
        <v>0</v>
      </c>
      <c r="AH31" s="25">
        <f>'[2]CF PDP'!$DI$68</f>
        <v>0</v>
      </c>
      <c r="AI31" s="25">
        <f>'[2]CF PDP'!$DI$69</f>
        <v>0</v>
      </c>
      <c r="AJ31" s="25">
        <f>'[2]CF PDP'!$DI$70</f>
        <v>0</v>
      </c>
      <c r="AK31" s="25">
        <f>'[2]CF PDP'!$DI$71</f>
        <v>0</v>
      </c>
      <c r="AL31" s="25">
        <f>'[2]CF PDP'!$DI$72</f>
        <v>0</v>
      </c>
      <c r="AM31" s="26">
        <f>SUM(B31:AL31)</f>
        <v>29744978</v>
      </c>
      <c r="AN31" s="27">
        <f>'[2]CF PNP'!$DI$36</f>
        <v>0</v>
      </c>
      <c r="AO31" s="25">
        <f>'[2]CF PNP'!$DI$37</f>
        <v>0</v>
      </c>
      <c r="AP31" s="25">
        <f>'[2]CF PNP'!$DI$38</f>
        <v>0</v>
      </c>
      <c r="AQ31" s="25">
        <f>'[2]CF PNP'!$DI$39</f>
        <v>0</v>
      </c>
      <c r="AR31" s="25">
        <f>'[2]CF PNP'!$DI$40</f>
        <v>0</v>
      </c>
      <c r="AS31" s="25">
        <f>'[2]CF PNP'!$DI$41</f>
        <v>0</v>
      </c>
      <c r="AT31" s="25">
        <f>'[2]CF PNP'!$DI$42</f>
        <v>0</v>
      </c>
      <c r="AU31" s="25">
        <f>'[2]CF PNP'!$DI$43</f>
        <v>0</v>
      </c>
      <c r="AV31" s="25">
        <f>'[2]CF PNP'!$DI$44</f>
        <v>0</v>
      </c>
      <c r="AW31" s="25">
        <f>'[2]CF PNP'!$DI$45</f>
        <v>0</v>
      </c>
      <c r="AX31" s="25">
        <f>'[2]CF PNP'!$DI$46</f>
        <v>0</v>
      </c>
      <c r="AY31" s="25">
        <f>'[2]CF PNP'!$DI$47</f>
        <v>0</v>
      </c>
      <c r="AZ31" s="25">
        <f>'[2]CF PNP'!$DI$48</f>
        <v>0</v>
      </c>
      <c r="BA31" s="25">
        <f>'[2]CF PNP'!$DI$49</f>
        <v>0</v>
      </c>
      <c r="BB31" s="25">
        <f>'[2]CF PNP'!$DI$50</f>
        <v>0</v>
      </c>
      <c r="BC31" s="25">
        <f>'[2]CF PNP'!$DI$51</f>
        <v>0</v>
      </c>
      <c r="BD31" s="25">
        <f>'[2]CF PNP'!$DI$52</f>
        <v>0</v>
      </c>
      <c r="BE31" s="25">
        <f>'[2]CF PNP'!$DI$53</f>
        <v>0</v>
      </c>
      <c r="BF31" s="25">
        <f>'[2]CF PNP'!$DI$54</f>
        <v>0</v>
      </c>
      <c r="BG31" s="25">
        <f>'[2]CF PNP'!$DI$55</f>
        <v>0</v>
      </c>
      <c r="BH31" s="25">
        <f>'[2]CF PNP'!$DI$56</f>
        <v>0</v>
      </c>
      <c r="BI31" s="25">
        <f>'[2]CF PNP'!$DI$57</f>
        <v>0</v>
      </c>
      <c r="BJ31" s="25">
        <f>'[2]CF PNP'!$DI$58</f>
        <v>0</v>
      </c>
      <c r="BK31" s="25">
        <f>'[2]CF PNP'!$DI$59</f>
        <v>0</v>
      </c>
      <c r="BL31" s="25">
        <f>'[2]CF PNP'!$DI$60</f>
        <v>0</v>
      </c>
      <c r="BM31" s="25">
        <f>'[2]CF PNP'!$DI$61</f>
        <v>0</v>
      </c>
      <c r="BN31" s="25">
        <f>'[2]CF PNP'!$DI$62</f>
        <v>0</v>
      </c>
      <c r="BO31" s="25">
        <f>'[2]CF PNP'!$DI$63</f>
        <v>0</v>
      </c>
      <c r="BP31" s="25">
        <f>'[2]CF PNP'!$DI$64</f>
        <v>0</v>
      </c>
      <c r="BQ31" s="25">
        <f>'[2]CF PNP'!$DI$65</f>
        <v>0</v>
      </c>
      <c r="BR31" s="25">
        <f>'[2]CF PNP'!$DI$66</f>
        <v>0</v>
      </c>
      <c r="BS31" s="25">
        <f>'[2]CF PNP'!$DI$67</f>
        <v>0</v>
      </c>
      <c r="BT31" s="25">
        <f>'[2]CF PNP'!$DI$68</f>
        <v>0</v>
      </c>
      <c r="BU31" s="25">
        <f>'[2]CF PNP'!$DI$69</f>
        <v>0</v>
      </c>
      <c r="BV31" s="25">
        <f>'[2]CF PNP'!$DI$70</f>
        <v>0</v>
      </c>
      <c r="BW31" s="25">
        <f>'[2]CF PNP'!$DI$71</f>
        <v>0</v>
      </c>
      <c r="BX31" s="25">
        <f>'[2]CF PNP'!$DI$72</f>
        <v>0</v>
      </c>
      <c r="BY31" s="26">
        <f>SUM(AN31:BX31)</f>
        <v>0</v>
      </c>
      <c r="BZ31" s="27">
        <f>'[2]CF PND'!$DI$36</f>
        <v>0</v>
      </c>
      <c r="CA31" s="25">
        <f>'[2]CF PND'!$DI$37</f>
        <v>0</v>
      </c>
      <c r="CB31" s="25">
        <f>'[2]CF PND'!$DI$38</f>
        <v>0</v>
      </c>
      <c r="CC31" s="25">
        <f>'[2]CF PND'!$DI$39</f>
        <v>0</v>
      </c>
      <c r="CD31" s="25">
        <f>'[2]CF PND'!$DI$40</f>
        <v>0</v>
      </c>
      <c r="CE31" s="25">
        <f>'[2]CF PND'!$DI$41</f>
        <v>0</v>
      </c>
      <c r="CF31" s="25">
        <f>'[2]CF PND'!$DI$42</f>
        <v>0</v>
      </c>
      <c r="CG31" s="25">
        <f>'[2]CF PND'!$DI$43</f>
        <v>0</v>
      </c>
      <c r="CH31" s="25">
        <f>'[2]CF PND'!$DI$44</f>
        <v>0</v>
      </c>
      <c r="CI31" s="25">
        <f>'[2]CF PND'!$DI$45</f>
        <v>0</v>
      </c>
      <c r="CJ31" s="25">
        <f>'[2]CF PND'!$DI$46</f>
        <v>0</v>
      </c>
      <c r="CK31" s="25">
        <f>'[2]CF PND'!$DI$47</f>
        <v>0</v>
      </c>
      <c r="CL31" s="25">
        <f>'[2]CF PND'!$DI$48</f>
        <v>0</v>
      </c>
      <c r="CM31" s="25">
        <f>'[2]CF PND'!$DI$49</f>
        <v>0</v>
      </c>
      <c r="CN31" s="25">
        <f>'[2]CF PND'!$DI$50</f>
        <v>0</v>
      </c>
      <c r="CO31" s="25">
        <f>'[2]CF PND'!$DI$51</f>
        <v>0</v>
      </c>
      <c r="CP31" s="25">
        <f>'[2]CF PND'!$DI$52</f>
        <v>0</v>
      </c>
      <c r="CQ31" s="25">
        <f>'[2]CF PND'!$DI$53</f>
        <v>0</v>
      </c>
      <c r="CR31" s="25">
        <f>'[2]CF PND'!$DI$54</f>
        <v>2320734</v>
      </c>
      <c r="CS31" s="25">
        <f>'[2]CF PND'!$DI$55</f>
        <v>0</v>
      </c>
      <c r="CT31" s="25">
        <f>'[2]CF PND'!$DI$56</f>
        <v>0</v>
      </c>
      <c r="CU31" s="25">
        <f>'[2]CF PND'!$DI$57</f>
        <v>0</v>
      </c>
      <c r="CV31" s="25">
        <f>'[2]CF PND'!$DI$58</f>
        <v>0</v>
      </c>
      <c r="CW31" s="25">
        <f>'[2]CF PND'!$DI$59</f>
        <v>0</v>
      </c>
      <c r="CX31" s="25">
        <f>'[2]CF PND'!$DI$60</f>
        <v>0</v>
      </c>
      <c r="CY31" s="25">
        <f>'[2]CF PND'!$DI$61</f>
        <v>0</v>
      </c>
      <c r="CZ31" s="25">
        <f>'[2]CF PND'!$DI$62</f>
        <v>0</v>
      </c>
      <c r="DA31" s="25">
        <f>'[2]CF PND'!$DI$63</f>
        <v>0</v>
      </c>
      <c r="DB31" s="25">
        <f>'[2]CF PND'!$DI$64</f>
        <v>0</v>
      </c>
      <c r="DC31" s="25">
        <f>'[2]CF PND'!$DI$65</f>
        <v>0</v>
      </c>
      <c r="DD31" s="25">
        <f>'[2]CF PND'!$DI$66</f>
        <v>0</v>
      </c>
      <c r="DE31" s="25">
        <f>'[2]CF PND'!$DI$67</f>
        <v>0</v>
      </c>
      <c r="DF31" s="25">
        <f>'[2]CF PND'!$DI$68</f>
        <v>0</v>
      </c>
      <c r="DG31" s="25">
        <f>'[2]CF PND'!$DI$69</f>
        <v>0</v>
      </c>
      <c r="DH31" s="25">
        <f>'[2]CF PND'!$DI$70</f>
        <v>0</v>
      </c>
      <c r="DI31" s="25">
        <f>'[2]CF PND'!$DI$71</f>
        <v>0</v>
      </c>
      <c r="DJ31" s="25">
        <f>'[2]CF PND'!$DI$72</f>
        <v>0</v>
      </c>
      <c r="DK31" s="26">
        <f>SUM(BZ31:DJ31)</f>
        <v>2320734</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'[2]CF PRB'!$DI$36</f>
        <v>0</v>
      </c>
      <c r="HW31" s="25">
        <f>'[2]CF PRB'!$DI$37</f>
        <v>0</v>
      </c>
      <c r="HX31" s="25">
        <f>'[2]CF PRB'!$DI$38</f>
        <v>0</v>
      </c>
      <c r="HY31" s="25">
        <f>'[2]CF PRB'!$DI$39</f>
        <v>0</v>
      </c>
      <c r="HZ31" s="25">
        <f>'[2]CF PRB'!$DI$40</f>
        <v>0</v>
      </c>
      <c r="IA31" s="25">
        <f>'[2]CF PRB'!$DI$41</f>
        <v>0</v>
      </c>
      <c r="IB31" s="25">
        <f>'[2]CF PRB'!$DI$42</f>
        <v>0</v>
      </c>
      <c r="IC31" s="25">
        <f>'[2]CF PRB'!$DI$43</f>
        <v>0</v>
      </c>
      <c r="ID31" s="25">
        <f>'[2]CF PRB'!$DI$44</f>
        <v>0</v>
      </c>
      <c r="IE31" s="25">
        <f>'[2]CF PRB'!$DI$45</f>
        <v>0</v>
      </c>
      <c r="IF31" s="25">
        <f>'[2]CF PRB'!$DI$46</f>
        <v>0</v>
      </c>
      <c r="IG31" s="25">
        <f>'[2]CF PRB'!$DI$47</f>
        <v>0</v>
      </c>
      <c r="IH31" s="25">
        <f>'[2]CF PRB'!$DI$48</f>
        <v>0</v>
      </c>
      <c r="II31" s="25">
        <f>'[2]CF PRB'!$DI$49</f>
        <v>0</v>
      </c>
      <c r="IJ31" s="25">
        <f>'[2]CF PRB'!$DI$50</f>
        <v>0</v>
      </c>
      <c r="IK31" s="25">
        <f>'[2]CF PRB'!$DI$51</f>
        <v>0</v>
      </c>
      <c r="IL31" s="25">
        <f>'[2]CF PRB'!$DI$52</f>
        <v>0</v>
      </c>
      <c r="IM31" s="25">
        <f>'[2]CF PRB'!$DI$53</f>
        <v>0</v>
      </c>
      <c r="IN31" s="25">
        <f>'[2]CF PRB'!$DI$54</f>
        <v>0</v>
      </c>
      <c r="IO31" s="25">
        <f>'[2]CF PRB'!$DI$55</f>
        <v>0</v>
      </c>
      <c r="IP31" s="25">
        <f>'[2]CF PRB'!$DI$56</f>
        <v>966972</v>
      </c>
      <c r="IQ31" s="25">
        <f>'[2]CF PRB'!$DI$57</f>
        <v>0</v>
      </c>
      <c r="IR31" s="25">
        <f>'[2]CF PRB'!$DI$58</f>
        <v>0</v>
      </c>
      <c r="IS31" s="25">
        <f>'[2]CF PRB'!$DI$59</f>
        <v>0</v>
      </c>
      <c r="IT31" s="25">
        <f>'[2]CF PRB'!$DI$60</f>
        <v>0</v>
      </c>
      <c r="IU31" s="25">
        <f>'[2]CF PRB'!$DI$61</f>
        <v>0</v>
      </c>
      <c r="IV31" s="25">
        <f>'[2]CF PRB'!$DI$62</f>
        <v>0</v>
      </c>
      <c r="IW31" s="25">
        <f>'[2]CF PRB'!$DI$63</f>
        <v>0</v>
      </c>
      <c r="IX31" s="25">
        <f>'[2]CF PRB'!$DI$64</f>
        <v>0</v>
      </c>
      <c r="IY31" s="25">
        <f>'[2]CF PRB'!$DI$65</f>
        <v>0</v>
      </c>
      <c r="IZ31" s="25">
        <f>'[2]CF PRB'!$DI$66</f>
        <v>0</v>
      </c>
      <c r="JA31" s="25">
        <f>'[2]CF PRB'!$DI$67</f>
        <v>0</v>
      </c>
      <c r="JB31" s="25">
        <f>'[2]CF PRB'!$DI$68</f>
        <v>0</v>
      </c>
      <c r="JC31" s="25">
        <f>'[2]CF PRB'!$DI$69</f>
        <v>0</v>
      </c>
      <c r="JD31" s="25">
        <f>'[2]CF PRB'!$DI$70</f>
        <v>0</v>
      </c>
      <c r="JE31" s="25">
        <f>'[2]CF PRB'!$DI$71</f>
        <v>0</v>
      </c>
      <c r="JF31" s="25">
        <f>'[2]CF PRB'!$DI$72</f>
        <v>0</v>
      </c>
      <c r="JG31" s="26">
        <f>SUM(HV31:JF31)</f>
        <v>966972</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'[2]CF PS'!$DI$36</f>
        <v>0</v>
      </c>
      <c r="NS31" s="25">
        <f>'[2]CF PS'!$DI$37</f>
        <v>0</v>
      </c>
      <c r="NT31" s="25">
        <f>'[2]CF PS'!$DI$38</f>
        <v>0</v>
      </c>
      <c r="NU31" s="25">
        <f>'[2]CF PS'!$DI$39</f>
        <v>0</v>
      </c>
      <c r="NV31" s="25">
        <f>'[2]CF PS'!$DI$40</f>
        <v>0</v>
      </c>
      <c r="NW31" s="25">
        <f>'[2]CF PS'!$DI$41</f>
        <v>0</v>
      </c>
      <c r="NX31" s="25">
        <f>'[2]CF PS'!$DI$42</f>
        <v>0</v>
      </c>
      <c r="NY31" s="25">
        <f>'[2]CF PS'!$DI$43</f>
        <v>0</v>
      </c>
      <c r="NZ31" s="25">
        <f>'[2]CF PS'!$DI$44</f>
        <v>0</v>
      </c>
      <c r="OA31" s="25">
        <f>'[2]CF PS'!$DI$45</f>
        <v>0</v>
      </c>
      <c r="OB31" s="25">
        <f>'[2]CF PS'!$DI$46</f>
        <v>0</v>
      </c>
      <c r="OC31" s="25">
        <f>'[2]CF PS'!$DI$47</f>
        <v>0</v>
      </c>
      <c r="OD31" s="25">
        <f>'[2]CF PS'!$DI$48</f>
        <v>0</v>
      </c>
      <c r="OE31" s="25">
        <f>'[2]CF PS'!$DI$49</f>
        <v>0</v>
      </c>
      <c r="OF31" s="25">
        <f>'[2]CF PS'!$DI$50</f>
        <v>0</v>
      </c>
      <c r="OG31" s="25">
        <f>'[2]CF PS'!$DI$51</f>
        <v>0</v>
      </c>
      <c r="OH31" s="25">
        <f>'[2]CF PS'!$DI$52</f>
        <v>0</v>
      </c>
      <c r="OI31" s="25">
        <f>'[2]CF PS'!$DI$53</f>
        <v>0</v>
      </c>
      <c r="OJ31" s="25">
        <f>'[2]CF PS'!$DI$54</f>
        <v>0</v>
      </c>
      <c r="OK31" s="25">
        <f>'[2]CF PS'!$DI$55</f>
        <v>0</v>
      </c>
      <c r="OL31" s="25">
        <f>'[2]CF PS'!$DI$56</f>
        <v>0</v>
      </c>
      <c r="OM31" s="25">
        <f>'[2]CF PS'!$DI$57</f>
        <v>0</v>
      </c>
      <c r="ON31" s="25">
        <f>'[2]CF PS'!$DI$58</f>
        <v>0</v>
      </c>
      <c r="OO31" s="25">
        <f>'[2]CF PS'!$DI$59</f>
        <v>0</v>
      </c>
      <c r="OP31" s="25">
        <f>'[2]CF PS'!$DI$60</f>
        <v>773578</v>
      </c>
      <c r="OQ31" s="25">
        <f>'[2]CF PS'!$DI$61</f>
        <v>0</v>
      </c>
      <c r="OR31" s="25">
        <f>'[2]CF PS'!$DI$62</f>
        <v>0</v>
      </c>
      <c r="OS31" s="25">
        <f>'[2]CF PS'!$DI$63</f>
        <v>0</v>
      </c>
      <c r="OT31" s="25">
        <f>'[2]CF PS'!$DI$64</f>
        <v>0</v>
      </c>
      <c r="OU31" s="25">
        <f>'[2]CF PS'!$DI$65</f>
        <v>0</v>
      </c>
      <c r="OV31" s="25">
        <f>'[2]CF PS'!$DI$66</f>
        <v>0</v>
      </c>
      <c r="OW31" s="25">
        <f>'[2]CF PS'!$DI$67</f>
        <v>0</v>
      </c>
      <c r="OX31" s="25">
        <f>'[2]CF PS'!$DI$68</f>
        <v>0</v>
      </c>
      <c r="OY31" s="25">
        <f>'[2]CF PS'!$DI$69</f>
        <v>0</v>
      </c>
      <c r="OZ31" s="25">
        <f>'[2]CF PS'!$DI$70</f>
        <v>0</v>
      </c>
      <c r="PA31" s="25">
        <f>'[2]CF PS'!$DI$71</f>
        <v>0</v>
      </c>
      <c r="PB31" s="25">
        <f>'[2]CF PS'!$DI$72</f>
        <v>0</v>
      </c>
      <c r="PC31" s="26">
        <f>SUM(NR31:PB31)</f>
        <v>773578</v>
      </c>
      <c r="PF31" s="16">
        <f>DK31+BY31+AM31</f>
        <v>32065712</v>
      </c>
      <c r="PH31" s="16">
        <f>PF31+JG31+PC31</f>
        <v>33806262</v>
      </c>
    </row>
    <row r="32" spans="1:424" ht="15.6" thickBot="1" x14ac:dyDescent="0.4">
      <c r="A32" s="47" t="s">
        <v>56</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t="str">
        <f t="shared" ref="H32" si="1045">IF(AND(H30&lt;&gt;0,H31&lt;&gt;0),(H30-H31)/H31,IF(AND(H30=0,H31=0),"",IF(AND(H30="",H31=""),"",IF(AND(H30=0,H31=""),"", IF(AND(H30="",H31=0),"",1)))))</f>
        <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t="str">
        <f t="shared" ref="L32" si="1049">IF(AND(L30&lt;&gt;0,L31&lt;&gt;0),(L30-L31)/L31,IF(AND(L30=0,L31=0),"",IF(AND(L30="",L31=""),"",IF(AND(L30=0,L31=""),"", IF(AND(L30="",L31=0),"",1)))))</f>
        <v/>
      </c>
      <c r="M32" s="40" t="str">
        <f t="shared" ref="M32" si="1050">IF(AND(M30&lt;&gt;0,M31&lt;&gt;0),(M30-M31)/M31,IF(AND(M30=0,M31=0),"",IF(AND(M30="",M31=""),"",IF(AND(M30=0,M31=""),"", IF(AND(M30="",M31=0),"",1)))))</f>
        <v/>
      </c>
      <c r="N32" s="40" t="str">
        <f t="shared" ref="N32" si="1051">IF(AND(N30&lt;&gt;0,N31&lt;&gt;0),(N30-N31)/N31,IF(AND(N30=0,N31=0),"",IF(AND(N30="",N31=""),"",IF(AND(N30=0,N31=""),"", IF(AND(N30="",N31=0),"",1)))))</f>
        <v/>
      </c>
      <c r="O32" s="40" t="str">
        <f t="shared" ref="O32" si="1052">IF(AND(O30&lt;&gt;0,O31&lt;&gt;0),(O30-O31)/O31,IF(AND(O30=0,O31=0),"",IF(AND(O30="",O31=""),"",IF(AND(O30=0,O31=""),"", IF(AND(O30="",O31=0),"",1)))))</f>
        <v/>
      </c>
      <c r="P32" s="40" t="str">
        <f t="shared" ref="P32" si="1053">IF(AND(P30&lt;&gt;0,P31&lt;&gt;0),(P30-P31)/P31,IF(AND(P30=0,P31=0),"",IF(AND(P30="",P31=""),"",IF(AND(P30=0,P31=""),"", IF(AND(P30="",P31=0),"",1)))))</f>
        <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t="str">
        <f t="shared" ref="V32" si="1059">IF(AND(V30&lt;&gt;0,V31&lt;&gt;0),(V30-V31)/V31,IF(AND(V30=0,V31=0),"",IF(AND(V30="",V31=""),"",IF(AND(V30=0,V31=""),"", IF(AND(V30="",V31=0),"",1)))))</f>
        <v/>
      </c>
      <c r="W32" s="40">
        <f t="shared" ref="W32" si="1060">IF(AND(W30&lt;&gt;0,W31&lt;&gt;0),(W30-W31)/W31,IF(AND(W30=0,W31=0),"",IF(AND(W30="",W31=""),"",IF(AND(W30=0,W31=""),"", IF(AND(W30="",W31=0),"",1)))))</f>
        <v>1</v>
      </c>
      <c r="X32" s="40">
        <f t="shared" ref="X32:AL32" si="1061">IF(AND(X30&lt;&gt;0,X31&lt;&gt;0),(X30-X31)/X31,IF(AND(X30=0,X31=0),"",IF(AND(X30="",X31=""),"",IF(AND(X30=0,X31=""),"", IF(AND(X30="",X31=0),"",1)))))</f>
        <v>1</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0</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t="str">
        <f t="shared" ref="CI32" si="1096">IF(AND(CI30&lt;&gt;0,CI31&lt;&gt;0),(CI30-CI31)/CI31,IF(AND(CI30=0,CI31=0),"",IF(AND(CI30="",CI31=""),"",IF(AND(CI30=0,CI31=""),"", IF(AND(CI30="",CI31=0),"",1)))))</f>
        <v/>
      </c>
      <c r="CJ32" s="40" t="str">
        <f t="shared" ref="CJ32" si="1097">IF(AND(CJ30&lt;&gt;0,CJ31&lt;&gt;0),(CJ30-CJ31)/CJ31,IF(AND(CJ30=0,CJ31=0),"",IF(AND(CJ30="",CJ31=""),"",IF(AND(CJ30=0,CJ31=""),"", IF(AND(CJ30="",CJ31=0),"",1)))))</f>
        <v/>
      </c>
      <c r="CK32" s="40" t="str">
        <f t="shared" ref="CK32" si="1098">IF(AND(CK30&lt;&gt;0,CK31&lt;&gt;0),(CK30-CK31)/CK31,IF(AND(CK30=0,CK31=0),"",IF(AND(CK30="",CK31=""),"",IF(AND(CK30=0,CK31=""),"", IF(AND(CK30="",CK31=0),"",1)))))</f>
        <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f t="shared" ref="CR32" si="1105">IF(AND(CR30&lt;&gt;0,CR31&lt;&gt;0),(CR30-CR31)/CR31,IF(AND(CR30=0,CR31=0),"",IF(AND(CR30="",CR31=""),"",IF(AND(CR30=0,CR31=""),"", IF(AND(CR30="",CR31=0),"",1)))))</f>
        <v>1</v>
      </c>
      <c r="CS32" s="40" t="str">
        <f t="shared" ref="CS32" si="1106">IF(AND(CS30&lt;&gt;0,CS31&lt;&gt;0),(CS30-CS31)/CS31,IF(AND(CS30=0,CS31=0),"",IF(AND(CS30="",CS31=""),"",IF(AND(CS30=0,CS31=""),"", IF(AND(CS30="",CS31=0),"",1)))))</f>
        <v/>
      </c>
      <c r="CT32" s="40" t="str">
        <f t="shared" ref="CT32" si="1107">IF(AND(CT30&lt;&gt;0,CT31&lt;&gt;0),(CT30-CT31)/CT31,IF(AND(CT30=0,CT31=0),"",IF(AND(CT30="",CT31=""),"",IF(AND(CT30=0,CT31=""),"", IF(AND(CT30="",CT31=0),"",1)))))</f>
        <v/>
      </c>
      <c r="CU32" s="40" t="str">
        <f t="shared" ref="CU32" si="1108">IF(AND(CU30&lt;&gt;0,CU31&lt;&gt;0),(CU30-CU31)/CU31,IF(AND(CU30=0,CU31=0),"",IF(AND(CU30="",CU31=""),"",IF(AND(CU30=0,CU31=""),"", IF(AND(CU30="",CU31=0),"",1)))))</f>
        <v/>
      </c>
      <c r="CV32" s="40">
        <f t="shared" ref="CV32:DJ32" si="1109">IF(AND(CV30&lt;&gt;0,CV31&lt;&gt;0),(CV30-CV31)/CV31,IF(AND(CV30=0,CV31=0),"",IF(AND(CV30="",CV31=""),"",IF(AND(CV30=0,CV31=""),"", IF(AND(CV30="",CV31=0),"",1)))))</f>
        <v>1</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f t="shared" ref="DK32:HU32" si="1110">IF(AND(DK30&lt;&gt;0,DK31&lt;&gt;0),(DK30-DK31)/DK31,IF(AND(DK30=0,DK31=0),"",IF(AND(DK30="",DK31=""),"",IF(AND(DK30=0,DK31=""),"", IF(AND(DK30="",DK31=0),"",1)))))</f>
        <v>3.231736166230167E-7</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f t="shared" ref="IP32" si="1135">IF(AND(IP30&lt;&gt;0,IP31&lt;&gt;0),(IP30-IP31)/IP31,IF(AND(IP30=0,IP31=0),"",IF(AND(IP30="",IP31=""),"",IF(AND(IP30=0,IP31=""),"", IF(AND(IP30="",IP31=0),"",1)))))</f>
        <v>9.0488659444120409E-7</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f t="shared" ref="JG32:NQ32" si="1138">IF(AND(JG30&lt;&gt;0,JG31&lt;&gt;0),(JG30-JG31)/JG31,IF(AND(JG30=0,JG31=0),"",IF(AND(JG30="",JG31=""),"",IF(AND(JG30=0,JG31=""),"", IF(AND(JG30="",JG31=0),"",1)))))</f>
        <v>9.0488659444120409E-7</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t="str">
        <f t="shared" ref="OB32" si="1153">IF(AND(OB30&lt;&gt;0,OB31&lt;&gt;0),(OB30-OB31)/OB31,IF(AND(OB30=0,OB31=0),"",IF(AND(OB30="",OB31=""),"",IF(AND(OB30=0,OB31=""),"", IF(AND(OB30="",OB31=0),"",1)))))</f>
        <v/>
      </c>
      <c r="OC32" s="40" t="str">
        <f t="shared" ref="OC32" si="1154">IF(AND(OC30&lt;&gt;0,OC31&lt;&gt;0),(OC30-OC31)/OC31,IF(AND(OC30=0,OC31=0),"",IF(AND(OC30="",OC31=""),"",IF(AND(OC30=0,OC31=""),"", IF(AND(OC30="",OC31=0),"",1)))))</f>
        <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f t="shared" si="1165"/>
        <v>1</v>
      </c>
      <c r="OQ32" s="40">
        <f t="shared" si="1165"/>
        <v>1</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f t="shared" ref="PC32" si="1166">IF(AND(PC30&lt;&gt;0,PC31&lt;&gt;0),(PC30-PC31)/PC31,IF(AND(PC30=0,PC31=0),"",IF(AND(PC30="",PC31=""),"",IF(AND(PC30=0,PC31=""),"", IF(AND(PC30="",PC31=0),"",1)))))</f>
        <v>4.0396702077877085E-7</v>
      </c>
      <c r="PF32" s="63">
        <f>IF(AND(PF30&lt;&gt;0,PF31&lt;&gt;0),(PF30-PF31)/PF31,IF(AND(PF30=0,PF31=0),"",IF(AND(PF30="",PF31=""),"",IF(AND(PF30=0,PF31=""),"", IF(AND(PF30="",PF31=0),"",1)))))</f>
        <v>2.3389469723921925E-8</v>
      </c>
      <c r="PH32" s="63">
        <f>IF(AND(PH30&lt;&gt;0,PH31&lt;&gt;0),(PH30-PH31)/PH31,IF(AND(PH30=0,PH31=0),"",IF(AND(PH30="",PH31=""),"",IF(AND(PH30=0,PH31=""),"", IF(AND(PH30="",PH31=0),"",1)))))</f>
        <v>5.731186725110277E-8</v>
      </c>
    </row>
    <row r="33" spans="1:419" s="15" customFormat="1" ht="14.25" customHeight="1" outlineLevel="1" x14ac:dyDescent="0.35">
      <c r="A33" s="45" t="s">
        <v>57</v>
      </c>
      <c r="B33" s="120">
        <f>[1]Consolidado!$J$12</f>
        <v>4.985014147084236</v>
      </c>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M33" s="122"/>
      <c r="AN33" s="156">
        <f>[1]Consolidado!$J$13</f>
        <v>0.51052796733915806</v>
      </c>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c r="BL33" s="157"/>
      <c r="BM33" s="157"/>
      <c r="BN33" s="157"/>
      <c r="BO33" s="157"/>
      <c r="BP33" s="157"/>
      <c r="BQ33" s="157"/>
      <c r="BR33" s="157"/>
      <c r="BS33" s="157"/>
      <c r="BT33" s="157"/>
      <c r="BU33" s="157"/>
      <c r="BV33" s="157"/>
      <c r="BW33" s="157"/>
      <c r="BX33" s="157"/>
      <c r="BY33" s="158"/>
      <c r="BZ33" s="162">
        <f>[1]Consolidado!$J$14</f>
        <v>3.3595189199218751</v>
      </c>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4"/>
      <c r="DL33" s="129">
        <f>[1]Consolidado!$J$17</f>
        <v>0</v>
      </c>
      <c r="DM33" s="130"/>
      <c r="DN33" s="130"/>
      <c r="DO33" s="130"/>
      <c r="DP33" s="130"/>
      <c r="DQ33" s="130"/>
      <c r="DR33" s="130"/>
      <c r="DS33" s="130"/>
      <c r="DT33" s="130"/>
      <c r="DU33" s="130"/>
      <c r="DV33" s="130"/>
      <c r="DW33" s="130"/>
      <c r="DX33" s="130"/>
      <c r="DY33" s="130"/>
      <c r="DZ33" s="130"/>
      <c r="EA33" s="130"/>
      <c r="EB33" s="130"/>
      <c r="EC33" s="130"/>
      <c r="ED33" s="130"/>
      <c r="EE33" s="130"/>
      <c r="EF33" s="130"/>
      <c r="EG33" s="130"/>
      <c r="EH33" s="130"/>
      <c r="EI33" s="130"/>
      <c r="EJ33" s="130"/>
      <c r="EK33" s="130"/>
      <c r="EL33" s="130"/>
      <c r="EM33" s="130"/>
      <c r="EN33" s="130"/>
      <c r="EO33" s="130"/>
      <c r="EP33" s="130"/>
      <c r="EQ33" s="130"/>
      <c r="ER33" s="130"/>
      <c r="ES33" s="130"/>
      <c r="ET33" s="130"/>
      <c r="EU33" s="130"/>
      <c r="EV33" s="130"/>
      <c r="EW33" s="131"/>
      <c r="EX33" s="129">
        <f>[1]Consolidado!$J$18</f>
        <v>0</v>
      </c>
      <c r="EY33" s="130"/>
      <c r="EZ33" s="130"/>
      <c r="FA33" s="130"/>
      <c r="FB33" s="130"/>
      <c r="FC33" s="130"/>
      <c r="FD33" s="130"/>
      <c r="FE33" s="130"/>
      <c r="FF33" s="130"/>
      <c r="FG33" s="130"/>
      <c r="FH33" s="130"/>
      <c r="FI33" s="130"/>
      <c r="FJ33" s="130"/>
      <c r="FK33" s="130"/>
      <c r="FL33" s="130"/>
      <c r="FM33" s="130"/>
      <c r="FN33" s="130"/>
      <c r="FO33" s="130"/>
      <c r="FP33" s="130"/>
      <c r="FQ33" s="130"/>
      <c r="FR33" s="130"/>
      <c r="FS33" s="130"/>
      <c r="FT33" s="130"/>
      <c r="FU33" s="130"/>
      <c r="FV33" s="130"/>
      <c r="FW33" s="130"/>
      <c r="FX33" s="130"/>
      <c r="FY33" s="130"/>
      <c r="FZ33" s="130"/>
      <c r="GA33" s="130"/>
      <c r="GB33" s="130"/>
      <c r="GC33" s="130"/>
      <c r="GD33" s="130"/>
      <c r="GE33" s="130"/>
      <c r="GF33" s="130"/>
      <c r="GG33" s="130"/>
      <c r="GH33" s="130"/>
      <c r="GI33" s="131"/>
      <c r="GJ33" s="129">
        <f>[1]Consolidado!$J$19</f>
        <v>2.5948959804687499</v>
      </c>
      <c r="GK33" s="130"/>
      <c r="GL33" s="130"/>
      <c r="GM33" s="130"/>
      <c r="GN33" s="130"/>
      <c r="GO33" s="130"/>
      <c r="GP33" s="130"/>
      <c r="GQ33" s="130"/>
      <c r="GR33" s="130"/>
      <c r="GS33" s="130"/>
      <c r="GT33" s="130"/>
      <c r="GU33" s="130"/>
      <c r="GV33" s="130"/>
      <c r="GW33" s="130"/>
      <c r="GX33" s="130"/>
      <c r="GY33" s="130"/>
      <c r="GZ33" s="130"/>
      <c r="HA33" s="130"/>
      <c r="HB33" s="130"/>
      <c r="HC33" s="130"/>
      <c r="HD33" s="130"/>
      <c r="HE33" s="130"/>
      <c r="HF33" s="130"/>
      <c r="HG33" s="130"/>
      <c r="HH33" s="130"/>
      <c r="HI33" s="130"/>
      <c r="HJ33" s="130"/>
      <c r="HK33" s="130"/>
      <c r="HL33" s="130"/>
      <c r="HM33" s="130"/>
      <c r="HN33" s="130"/>
      <c r="HO33" s="130"/>
      <c r="HP33" s="130"/>
      <c r="HQ33" s="130"/>
      <c r="HR33" s="130"/>
      <c r="HS33" s="130"/>
      <c r="HT33" s="130"/>
      <c r="HU33" s="131"/>
      <c r="HV33" s="115">
        <f>[1]Consolidado!$J$20</f>
        <v>2.5948959804687499</v>
      </c>
      <c r="HW33" s="116"/>
      <c r="HX33" s="116"/>
      <c r="HY33" s="116"/>
      <c r="HZ33" s="116"/>
      <c r="IA33" s="116"/>
      <c r="IB33" s="116"/>
      <c r="IC33" s="116"/>
      <c r="ID33" s="116"/>
      <c r="IE33" s="116"/>
      <c r="IF33" s="116"/>
      <c r="IG33" s="116"/>
      <c r="IH33" s="116"/>
      <c r="II33" s="116"/>
      <c r="IJ33" s="116"/>
      <c r="IK33" s="116"/>
      <c r="IL33" s="116"/>
      <c r="IM33" s="116"/>
      <c r="IN33" s="116"/>
      <c r="IO33" s="116"/>
      <c r="IP33" s="116"/>
      <c r="IQ33" s="116"/>
      <c r="IR33" s="116"/>
      <c r="IS33" s="116"/>
      <c r="IT33" s="116"/>
      <c r="IU33" s="116"/>
      <c r="IV33" s="116"/>
      <c r="IW33" s="116"/>
      <c r="IX33" s="116"/>
      <c r="IY33" s="116"/>
      <c r="IZ33" s="116"/>
      <c r="JA33" s="116"/>
      <c r="JB33" s="116"/>
      <c r="JC33" s="116"/>
      <c r="JD33" s="116"/>
      <c r="JE33" s="116"/>
      <c r="JF33" s="116"/>
      <c r="JG33" s="117"/>
      <c r="JH33" s="129">
        <f>[1]Consolidado!$J$22</f>
        <v>0</v>
      </c>
      <c r="JI33" s="130"/>
      <c r="JJ33" s="130"/>
      <c r="JK33" s="130"/>
      <c r="JL33" s="130"/>
      <c r="JM33" s="130"/>
      <c r="JN33" s="130"/>
      <c r="JO33" s="130"/>
      <c r="JP33" s="130"/>
      <c r="JQ33" s="130"/>
      <c r="JR33" s="130"/>
      <c r="JS33" s="130"/>
      <c r="JT33" s="130"/>
      <c r="JU33" s="130"/>
      <c r="JV33" s="130"/>
      <c r="JW33" s="130"/>
      <c r="JX33" s="130"/>
      <c r="JY33" s="130"/>
      <c r="JZ33" s="130"/>
      <c r="KA33" s="130"/>
      <c r="KB33" s="130"/>
      <c r="KC33" s="130"/>
      <c r="KD33" s="130"/>
      <c r="KE33" s="130"/>
      <c r="KF33" s="130"/>
      <c r="KG33" s="130"/>
      <c r="KH33" s="130"/>
      <c r="KI33" s="130"/>
      <c r="KJ33" s="130"/>
      <c r="KK33" s="130"/>
      <c r="KL33" s="130"/>
      <c r="KM33" s="130"/>
      <c r="KN33" s="130"/>
      <c r="KO33" s="130"/>
      <c r="KP33" s="130"/>
      <c r="KQ33" s="130"/>
      <c r="KR33" s="130"/>
      <c r="KS33" s="131"/>
      <c r="KT33" s="129">
        <f>[1]Consolidado!$J$23</f>
        <v>0</v>
      </c>
      <c r="KU33" s="130"/>
      <c r="KV33" s="130"/>
      <c r="KW33" s="130"/>
      <c r="KX33" s="130"/>
      <c r="KY33" s="130"/>
      <c r="KZ33" s="130"/>
      <c r="LA33" s="130"/>
      <c r="LB33" s="130"/>
      <c r="LC33" s="130"/>
      <c r="LD33" s="130"/>
      <c r="LE33" s="130"/>
      <c r="LF33" s="130"/>
      <c r="LG33" s="130"/>
      <c r="LH33" s="130"/>
      <c r="LI33" s="130"/>
      <c r="LJ33" s="130"/>
      <c r="LK33" s="130"/>
      <c r="LL33" s="130"/>
      <c r="LM33" s="130"/>
      <c r="LN33" s="130"/>
      <c r="LO33" s="130"/>
      <c r="LP33" s="130"/>
      <c r="LQ33" s="130"/>
      <c r="LR33" s="130"/>
      <c r="LS33" s="130"/>
      <c r="LT33" s="130"/>
      <c r="LU33" s="130"/>
      <c r="LV33" s="130"/>
      <c r="LW33" s="130"/>
      <c r="LX33" s="130"/>
      <c r="LY33" s="130"/>
      <c r="LZ33" s="130"/>
      <c r="MA33" s="130"/>
      <c r="MB33" s="130"/>
      <c r="MC33" s="130"/>
      <c r="MD33" s="130"/>
      <c r="ME33" s="131"/>
      <c r="MF33" s="129">
        <f>[1]Consolidado!$J$24</f>
        <v>3.4235929765624999</v>
      </c>
      <c r="MG33" s="130"/>
      <c r="MH33" s="130"/>
      <c r="MI33" s="130"/>
      <c r="MJ33" s="130"/>
      <c r="MK33" s="130"/>
      <c r="ML33" s="130"/>
      <c r="MM33" s="130"/>
      <c r="MN33" s="130"/>
      <c r="MO33" s="130"/>
      <c r="MP33" s="130"/>
      <c r="MQ33" s="130"/>
      <c r="MR33" s="130"/>
      <c r="MS33" s="130"/>
      <c r="MT33" s="130"/>
      <c r="MU33" s="130"/>
      <c r="MV33" s="130"/>
      <c r="MW33" s="130"/>
      <c r="MX33" s="130"/>
      <c r="MY33" s="130"/>
      <c r="MZ33" s="130"/>
      <c r="NA33" s="130"/>
      <c r="NB33" s="130"/>
      <c r="NC33" s="130"/>
      <c r="ND33" s="130"/>
      <c r="NE33" s="130"/>
      <c r="NF33" s="130"/>
      <c r="NG33" s="130"/>
      <c r="NH33" s="130"/>
      <c r="NI33" s="130"/>
      <c r="NJ33" s="130"/>
      <c r="NK33" s="130"/>
      <c r="NL33" s="130"/>
      <c r="NM33" s="130"/>
      <c r="NN33" s="130"/>
      <c r="NO33" s="130"/>
      <c r="NP33" s="130"/>
      <c r="NQ33" s="131"/>
      <c r="NR33" s="112">
        <f>[1]Consolidado!$J$25</f>
        <v>3.4235929765624999</v>
      </c>
      <c r="NS33" s="113"/>
      <c r="NT33" s="113"/>
      <c r="NU33" s="113"/>
      <c r="NV33" s="113"/>
      <c r="NW33" s="113"/>
      <c r="NX33" s="113"/>
      <c r="NY33" s="113"/>
      <c r="NZ33" s="113"/>
      <c r="OA33" s="113"/>
      <c r="OB33" s="113"/>
      <c r="OC33" s="113"/>
      <c r="OD33" s="113"/>
      <c r="OE33" s="113"/>
      <c r="OF33" s="113"/>
      <c r="OG33" s="113"/>
      <c r="OH33" s="113"/>
      <c r="OI33" s="113"/>
      <c r="OJ33" s="113"/>
      <c r="OK33" s="113"/>
      <c r="OL33" s="113"/>
      <c r="OM33" s="113"/>
      <c r="ON33" s="113"/>
      <c r="OO33" s="113"/>
      <c r="OP33" s="113"/>
      <c r="OQ33" s="113"/>
      <c r="OR33" s="113"/>
      <c r="OS33" s="113"/>
      <c r="OT33" s="113"/>
      <c r="OU33" s="113"/>
      <c r="OV33" s="113"/>
      <c r="OW33" s="113"/>
      <c r="OX33" s="113"/>
      <c r="OY33" s="113"/>
      <c r="OZ33" s="113"/>
      <c r="PA33" s="113"/>
      <c r="PB33" s="113"/>
      <c r="PC33" s="114"/>
    </row>
    <row r="34" spans="1:419" s="15" customFormat="1" outlineLevel="1" x14ac:dyDescent="0.35">
      <c r="A34" s="46" t="s">
        <v>58</v>
      </c>
      <c r="B34" s="91">
        <f>[2]Consolidado!$J$12</f>
        <v>4.9609860000000001</v>
      </c>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2"/>
      <c r="AM34" s="93"/>
      <c r="AN34" s="91">
        <f>[2]Consolidado!$J$13</f>
        <v>0.50413600000000003</v>
      </c>
      <c r="AO34" s="92"/>
      <c r="AP34" s="92"/>
      <c r="AQ34" s="92"/>
      <c r="AR34" s="92"/>
      <c r="AS34" s="92"/>
      <c r="AT34" s="92"/>
      <c r="AU34" s="92"/>
      <c r="AV34" s="92"/>
      <c r="AW34" s="92"/>
      <c r="AX34" s="92"/>
      <c r="AY34" s="92"/>
      <c r="AZ34" s="92"/>
      <c r="BA34" s="92"/>
      <c r="BB34" s="92"/>
      <c r="BC34" s="92"/>
      <c r="BD34" s="92"/>
      <c r="BE34" s="92"/>
      <c r="BF34" s="92"/>
      <c r="BG34" s="92"/>
      <c r="BH34" s="92"/>
      <c r="BI34" s="92"/>
      <c r="BJ34" s="92"/>
      <c r="BK34" s="92"/>
      <c r="BL34" s="92"/>
      <c r="BM34" s="92"/>
      <c r="BN34" s="92"/>
      <c r="BO34" s="92"/>
      <c r="BP34" s="92"/>
      <c r="BQ34" s="92"/>
      <c r="BR34" s="92"/>
      <c r="BS34" s="92"/>
      <c r="BT34" s="92"/>
      <c r="BU34" s="92"/>
      <c r="BV34" s="92"/>
      <c r="BW34" s="92"/>
      <c r="BX34" s="92"/>
      <c r="BY34" s="93"/>
      <c r="BZ34" s="138">
        <f>[2]Consolidado!$J$14</f>
        <v>3.3644120000000002</v>
      </c>
      <c r="CA34" s="139"/>
      <c r="CB34" s="139"/>
      <c r="CC34" s="139"/>
      <c r="CD34" s="139"/>
      <c r="CE34" s="139"/>
      <c r="CF34" s="139"/>
      <c r="CG34" s="139"/>
      <c r="CH34" s="139"/>
      <c r="CI34" s="139"/>
      <c r="CJ34" s="139"/>
      <c r="CK34" s="139"/>
      <c r="CL34" s="139"/>
      <c r="CM34" s="139"/>
      <c r="CN34" s="139"/>
      <c r="CO34" s="139"/>
      <c r="CP34" s="139"/>
      <c r="CQ34" s="139"/>
      <c r="CR34" s="139"/>
      <c r="CS34" s="139"/>
      <c r="CT34" s="139"/>
      <c r="CU34" s="139"/>
      <c r="CV34" s="139"/>
      <c r="CW34" s="139"/>
      <c r="CX34" s="139"/>
      <c r="CY34" s="139"/>
      <c r="CZ34" s="139"/>
      <c r="DA34" s="139"/>
      <c r="DB34" s="139"/>
      <c r="DC34" s="139"/>
      <c r="DD34" s="139"/>
      <c r="DE34" s="139"/>
      <c r="DF34" s="139"/>
      <c r="DG34" s="139"/>
      <c r="DH34" s="139"/>
      <c r="DI34" s="139"/>
      <c r="DJ34" s="139"/>
      <c r="DK34" s="140"/>
      <c r="DL34" s="94">
        <f>[2]Consolidado!$J$17</f>
        <v>0</v>
      </c>
      <c r="DM34" s="95"/>
      <c r="DN34" s="95"/>
      <c r="DO34" s="95"/>
      <c r="DP34" s="95"/>
      <c r="DQ34" s="95"/>
      <c r="DR34" s="95"/>
      <c r="DS34" s="95"/>
      <c r="DT34" s="95"/>
      <c r="DU34" s="95"/>
      <c r="DV34" s="95"/>
      <c r="DW34" s="95"/>
      <c r="DX34" s="95"/>
      <c r="DY34" s="95"/>
      <c r="DZ34" s="95"/>
      <c r="EA34" s="95"/>
      <c r="EB34" s="95"/>
      <c r="EC34" s="95"/>
      <c r="ED34" s="95"/>
      <c r="EE34" s="95"/>
      <c r="EF34" s="95"/>
      <c r="EG34" s="95"/>
      <c r="EH34" s="95"/>
      <c r="EI34" s="95"/>
      <c r="EJ34" s="95"/>
      <c r="EK34" s="95"/>
      <c r="EL34" s="95"/>
      <c r="EM34" s="95"/>
      <c r="EN34" s="95"/>
      <c r="EO34" s="95"/>
      <c r="EP34" s="95"/>
      <c r="EQ34" s="95"/>
      <c r="ER34" s="95"/>
      <c r="ES34" s="95"/>
      <c r="ET34" s="95"/>
      <c r="EU34" s="95"/>
      <c r="EV34" s="95"/>
      <c r="EW34" s="96"/>
      <c r="EX34" s="94">
        <f>[2]Consolidado!$J$18</f>
        <v>2.5624470000000001</v>
      </c>
      <c r="EY34" s="95"/>
      <c r="EZ34" s="95"/>
      <c r="FA34" s="95"/>
      <c r="FB34" s="95"/>
      <c r="FC34" s="95"/>
      <c r="FD34" s="95"/>
      <c r="FE34" s="95"/>
      <c r="FF34" s="95"/>
      <c r="FG34" s="95"/>
      <c r="FH34" s="95"/>
      <c r="FI34" s="95"/>
      <c r="FJ34" s="95"/>
      <c r="FK34" s="95"/>
      <c r="FL34" s="95"/>
      <c r="FM34" s="95"/>
      <c r="FN34" s="95"/>
      <c r="FO34" s="95"/>
      <c r="FP34" s="95"/>
      <c r="FQ34" s="95"/>
      <c r="FR34" s="95"/>
      <c r="FS34" s="95"/>
      <c r="FT34" s="95"/>
      <c r="FU34" s="95"/>
      <c r="FV34" s="95"/>
      <c r="FW34" s="95"/>
      <c r="FX34" s="95"/>
      <c r="FY34" s="95"/>
      <c r="FZ34" s="95"/>
      <c r="GA34" s="95"/>
      <c r="GB34" s="95"/>
      <c r="GC34" s="95"/>
      <c r="GD34" s="95"/>
      <c r="GE34" s="95"/>
      <c r="GF34" s="95"/>
      <c r="GG34" s="95"/>
      <c r="GH34" s="95"/>
      <c r="GI34" s="96"/>
      <c r="GJ34" s="94"/>
      <c r="GK34" s="95"/>
      <c r="GL34" s="95"/>
      <c r="GM34" s="95"/>
      <c r="GN34" s="95"/>
      <c r="GO34" s="95"/>
      <c r="GP34" s="95"/>
      <c r="GQ34" s="95"/>
      <c r="GR34" s="95"/>
      <c r="GS34" s="95"/>
      <c r="GT34" s="95"/>
      <c r="GU34" s="95"/>
      <c r="GV34" s="95"/>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6"/>
      <c r="HV34" s="123">
        <f>[2]Consolidado!$J$19</f>
        <v>2.5624470000000001</v>
      </c>
      <c r="HW34" s="124"/>
      <c r="HX34" s="124"/>
      <c r="HY34" s="124"/>
      <c r="HZ34" s="124"/>
      <c r="IA34" s="124"/>
      <c r="IB34" s="124"/>
      <c r="IC34" s="124"/>
      <c r="ID34" s="124"/>
      <c r="IE34" s="124"/>
      <c r="IF34" s="124"/>
      <c r="IG34" s="124"/>
      <c r="IH34" s="124"/>
      <c r="II34" s="124"/>
      <c r="IJ34" s="124"/>
      <c r="IK34" s="124"/>
      <c r="IL34" s="124"/>
      <c r="IM34" s="124"/>
      <c r="IN34" s="124"/>
      <c r="IO34" s="124"/>
      <c r="IP34" s="124"/>
      <c r="IQ34" s="124"/>
      <c r="IR34" s="124"/>
      <c r="IS34" s="124"/>
      <c r="IT34" s="124"/>
      <c r="IU34" s="124"/>
      <c r="IV34" s="124"/>
      <c r="IW34" s="124"/>
      <c r="IX34" s="124"/>
      <c r="IY34" s="124"/>
      <c r="IZ34" s="124"/>
      <c r="JA34" s="124"/>
      <c r="JB34" s="124"/>
      <c r="JC34" s="124"/>
      <c r="JD34" s="124"/>
      <c r="JE34" s="124"/>
      <c r="JF34" s="124"/>
      <c r="JG34" s="125"/>
      <c r="JH34" s="94">
        <f>[2]Consolidado!$J$21</f>
        <v>0</v>
      </c>
      <c r="JI34" s="95"/>
      <c r="JJ34" s="95"/>
      <c r="JK34" s="95"/>
      <c r="JL34" s="95"/>
      <c r="JM34" s="95"/>
      <c r="JN34" s="95"/>
      <c r="JO34" s="95"/>
      <c r="JP34" s="95"/>
      <c r="JQ34" s="95"/>
      <c r="JR34" s="95"/>
      <c r="JS34" s="95"/>
      <c r="JT34" s="95"/>
      <c r="JU34" s="95"/>
      <c r="JV34" s="95"/>
      <c r="JW34" s="95"/>
      <c r="JX34" s="95"/>
      <c r="JY34" s="95"/>
      <c r="JZ34" s="95"/>
      <c r="KA34" s="95"/>
      <c r="KB34" s="95"/>
      <c r="KC34" s="95"/>
      <c r="KD34" s="95"/>
      <c r="KE34" s="95"/>
      <c r="KF34" s="95"/>
      <c r="KG34" s="95"/>
      <c r="KH34" s="95"/>
      <c r="KI34" s="95"/>
      <c r="KJ34" s="95"/>
      <c r="KK34" s="95"/>
      <c r="KL34" s="95"/>
      <c r="KM34" s="95"/>
      <c r="KN34" s="95"/>
      <c r="KO34" s="95"/>
      <c r="KP34" s="95"/>
      <c r="KQ34" s="95"/>
      <c r="KR34" s="95"/>
      <c r="KS34" s="96"/>
      <c r="KT34" s="94">
        <f>[2]Consolidado!$J$22</f>
        <v>3.4079440000000001</v>
      </c>
      <c r="KU34" s="95"/>
      <c r="KV34" s="95"/>
      <c r="KW34" s="95"/>
      <c r="KX34" s="95"/>
      <c r="KY34" s="95"/>
      <c r="KZ34" s="95"/>
      <c r="LA34" s="95"/>
      <c r="LB34" s="95"/>
      <c r="LC34" s="95"/>
      <c r="LD34" s="95"/>
      <c r="LE34" s="95"/>
      <c r="LF34" s="95"/>
      <c r="LG34" s="95"/>
      <c r="LH34" s="95"/>
      <c r="LI34" s="95"/>
      <c r="LJ34" s="95"/>
      <c r="LK34" s="95"/>
      <c r="LL34" s="95"/>
      <c r="LM34" s="95"/>
      <c r="LN34" s="95"/>
      <c r="LO34" s="95"/>
      <c r="LP34" s="95"/>
      <c r="LQ34" s="95"/>
      <c r="LR34" s="95"/>
      <c r="LS34" s="95"/>
      <c r="LT34" s="95"/>
      <c r="LU34" s="95"/>
      <c r="LV34" s="95"/>
      <c r="LW34" s="95"/>
      <c r="LX34" s="95"/>
      <c r="LY34" s="95"/>
      <c r="LZ34" s="95"/>
      <c r="MA34" s="95"/>
      <c r="MB34" s="95"/>
      <c r="MC34" s="95"/>
      <c r="MD34" s="95"/>
      <c r="ME34" s="96"/>
      <c r="MF34" s="94"/>
      <c r="MG34" s="95"/>
      <c r="MH34" s="95"/>
      <c r="MI34" s="95"/>
      <c r="MJ34" s="95"/>
      <c r="MK34" s="95"/>
      <c r="ML34" s="95"/>
      <c r="MM34" s="95"/>
      <c r="MN34" s="95"/>
      <c r="MO34" s="95"/>
      <c r="MP34" s="95"/>
      <c r="MQ34" s="95"/>
      <c r="MR34" s="95"/>
      <c r="MS34" s="95"/>
      <c r="MT34" s="95"/>
      <c r="MU34" s="95"/>
      <c r="MV34" s="95"/>
      <c r="MW34" s="95"/>
      <c r="MX34" s="95"/>
      <c r="MY34" s="95"/>
      <c r="MZ34" s="95"/>
      <c r="NA34" s="95"/>
      <c r="NB34" s="95"/>
      <c r="NC34" s="95"/>
      <c r="ND34" s="95"/>
      <c r="NE34" s="95"/>
      <c r="NF34" s="95"/>
      <c r="NG34" s="95"/>
      <c r="NH34" s="95"/>
      <c r="NI34" s="95"/>
      <c r="NJ34" s="95"/>
      <c r="NK34" s="95"/>
      <c r="NL34" s="95"/>
      <c r="NM34" s="95"/>
      <c r="NN34" s="95"/>
      <c r="NO34" s="95"/>
      <c r="NP34" s="95"/>
      <c r="NQ34" s="96"/>
      <c r="NR34" s="135">
        <f>[2]Consolidado!$J$23</f>
        <v>3.4079440000000001</v>
      </c>
      <c r="NS34" s="136"/>
      <c r="NT34" s="136"/>
      <c r="NU34" s="136"/>
      <c r="NV34" s="136"/>
      <c r="NW34" s="136"/>
      <c r="NX34" s="136"/>
      <c r="NY34" s="136"/>
      <c r="NZ34" s="136"/>
      <c r="OA34" s="136"/>
      <c r="OB34" s="136"/>
      <c r="OC34" s="136"/>
      <c r="OD34" s="136"/>
      <c r="OE34" s="136"/>
      <c r="OF34" s="136"/>
      <c r="OG34" s="136"/>
      <c r="OH34" s="136"/>
      <c r="OI34" s="136"/>
      <c r="OJ34" s="136"/>
      <c r="OK34" s="136"/>
      <c r="OL34" s="136"/>
      <c r="OM34" s="136"/>
      <c r="ON34" s="136"/>
      <c r="OO34" s="136"/>
      <c r="OP34" s="136"/>
      <c r="OQ34" s="136"/>
      <c r="OR34" s="136"/>
      <c r="OS34" s="136"/>
      <c r="OT34" s="136"/>
      <c r="OU34" s="136"/>
      <c r="OV34" s="136"/>
      <c r="OW34" s="136"/>
      <c r="OX34" s="136"/>
      <c r="OY34" s="136"/>
      <c r="OZ34" s="136"/>
      <c r="PA34" s="136"/>
      <c r="PB34" s="136"/>
      <c r="PC34" s="137"/>
    </row>
    <row r="35" spans="1:419" ht="15.75" customHeight="1" outlineLevel="1" thickBot="1" x14ac:dyDescent="0.4">
      <c r="A35" s="47" t="s">
        <v>59</v>
      </c>
      <c r="B35" s="118">
        <f t="shared" ref="B35" si="1167">IF(B34&gt;0,(B33-B34)/B34,0)</f>
        <v>4.8434216674338205E-3</v>
      </c>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9"/>
      <c r="AN35" s="102">
        <f>IF(Z34&gt;0,(AN33-Z34)/Z34,0)</f>
        <v>0</v>
      </c>
      <c r="AO35" s="100"/>
      <c r="AP35" s="100"/>
      <c r="AQ35" s="100"/>
      <c r="AR35" s="100"/>
      <c r="AS35" s="100"/>
      <c r="AT35" s="100"/>
      <c r="AU35" s="100"/>
      <c r="AV35" s="100"/>
      <c r="AW35" s="100"/>
      <c r="AX35" s="100"/>
      <c r="AY35" s="100"/>
      <c r="AZ35" s="100"/>
      <c r="BA35" s="100"/>
      <c r="BB35" s="100"/>
      <c r="BC35" s="100"/>
      <c r="BD35" s="100"/>
      <c r="BE35" s="100"/>
      <c r="BF35" s="100"/>
      <c r="BG35" s="100"/>
      <c r="BH35" s="100"/>
      <c r="BI35" s="100"/>
      <c r="BJ35" s="100"/>
      <c r="BK35" s="100"/>
      <c r="BL35" s="100"/>
      <c r="BM35" s="100"/>
      <c r="BN35" s="100"/>
      <c r="BO35" s="100"/>
      <c r="BP35" s="100"/>
      <c r="BQ35" s="100"/>
      <c r="BR35" s="100"/>
      <c r="BS35" s="100"/>
      <c r="BT35" s="100"/>
      <c r="BU35" s="100"/>
      <c r="BV35" s="100"/>
      <c r="BW35" s="100"/>
      <c r="BX35" s="100"/>
      <c r="BY35" s="101"/>
      <c r="BZ35" s="159"/>
      <c r="CA35" s="160"/>
      <c r="CB35" s="160"/>
      <c r="CC35" s="160"/>
      <c r="CD35" s="160"/>
      <c r="CE35" s="160"/>
      <c r="CF35" s="160"/>
      <c r="CG35" s="160"/>
      <c r="CH35" s="160"/>
      <c r="CI35" s="160"/>
      <c r="CJ35" s="160"/>
      <c r="CK35" s="160"/>
      <c r="CL35" s="160"/>
      <c r="CM35" s="160"/>
      <c r="CN35" s="160"/>
      <c r="CO35" s="160"/>
      <c r="CP35" s="160"/>
      <c r="CQ35" s="160"/>
      <c r="CR35" s="160"/>
      <c r="CS35" s="160"/>
      <c r="CT35" s="160"/>
      <c r="CU35" s="160"/>
      <c r="CV35" s="160"/>
      <c r="CW35" s="160"/>
      <c r="CX35" s="160"/>
      <c r="CY35" s="160"/>
      <c r="CZ35" s="160"/>
      <c r="DA35" s="160"/>
      <c r="DB35" s="160"/>
      <c r="DC35" s="160"/>
      <c r="DD35" s="160"/>
      <c r="DE35" s="160"/>
      <c r="DF35" s="160"/>
      <c r="DG35" s="160"/>
      <c r="DH35" s="160"/>
      <c r="DI35" s="160"/>
      <c r="DJ35" s="160"/>
      <c r="DK35" s="161"/>
      <c r="DL35" s="106" t="s">
        <v>60</v>
      </c>
      <c r="DM35" s="107"/>
      <c r="DN35" s="107"/>
      <c r="DO35" s="107"/>
      <c r="DP35" s="107"/>
      <c r="DQ35" s="107"/>
      <c r="DR35" s="107"/>
      <c r="DS35" s="107"/>
      <c r="DT35" s="107"/>
      <c r="DU35" s="107"/>
      <c r="DV35" s="107"/>
      <c r="DW35" s="107"/>
      <c r="DX35" s="107"/>
      <c r="DY35" s="107"/>
      <c r="DZ35" s="107"/>
      <c r="EA35" s="107"/>
      <c r="EB35" s="107"/>
      <c r="EC35" s="107"/>
      <c r="ED35" s="107"/>
      <c r="EE35" s="107"/>
      <c r="EF35" s="107"/>
      <c r="EG35" s="107"/>
      <c r="EH35" s="107"/>
      <c r="EI35" s="107"/>
      <c r="EJ35" s="107"/>
      <c r="EK35" s="107"/>
      <c r="EL35" s="107"/>
      <c r="EM35" s="107"/>
      <c r="EN35" s="107"/>
      <c r="EO35" s="107"/>
      <c r="EP35" s="107"/>
      <c r="EQ35" s="107"/>
      <c r="ER35" s="107"/>
      <c r="ES35" s="107"/>
      <c r="ET35" s="107"/>
      <c r="EU35" s="107"/>
      <c r="EV35" s="107"/>
      <c r="EW35" s="108"/>
      <c r="EX35" s="106" t="s">
        <v>60</v>
      </c>
      <c r="EY35" s="107"/>
      <c r="EZ35" s="107"/>
      <c r="FA35" s="107"/>
      <c r="FB35" s="107"/>
      <c r="FC35" s="107"/>
      <c r="FD35" s="107"/>
      <c r="FE35" s="107"/>
      <c r="FF35" s="107"/>
      <c r="FG35" s="107"/>
      <c r="FH35" s="107"/>
      <c r="FI35" s="107"/>
      <c r="FJ35" s="107"/>
      <c r="FK35" s="107"/>
      <c r="FL35" s="107"/>
      <c r="FM35" s="107"/>
      <c r="FN35" s="107"/>
      <c r="FO35" s="107"/>
      <c r="FP35" s="107"/>
      <c r="FQ35" s="107"/>
      <c r="FR35" s="107"/>
      <c r="FS35" s="107"/>
      <c r="FT35" s="107"/>
      <c r="FU35" s="107"/>
      <c r="FV35" s="107"/>
      <c r="FW35" s="107"/>
      <c r="FX35" s="107"/>
      <c r="FY35" s="107"/>
      <c r="FZ35" s="107"/>
      <c r="GA35" s="107"/>
      <c r="GB35" s="107"/>
      <c r="GC35" s="107"/>
      <c r="GD35" s="107"/>
      <c r="GE35" s="107"/>
      <c r="GF35" s="107"/>
      <c r="GG35" s="107"/>
      <c r="GH35" s="107"/>
      <c r="GI35" s="108"/>
      <c r="GJ35" s="106" t="s">
        <v>60</v>
      </c>
      <c r="GK35" s="107"/>
      <c r="GL35" s="107"/>
      <c r="GM35" s="107"/>
      <c r="GN35" s="107"/>
      <c r="GO35" s="107"/>
      <c r="GP35" s="107"/>
      <c r="GQ35" s="107"/>
      <c r="GR35" s="107"/>
      <c r="GS35" s="107"/>
      <c r="GT35" s="107"/>
      <c r="GU35" s="107"/>
      <c r="GV35" s="107"/>
      <c r="GW35" s="107"/>
      <c r="GX35" s="107"/>
      <c r="GY35" s="107"/>
      <c r="GZ35" s="107"/>
      <c r="HA35" s="107"/>
      <c r="HB35" s="107"/>
      <c r="HC35" s="107"/>
      <c r="HD35" s="107"/>
      <c r="HE35" s="107"/>
      <c r="HF35" s="107"/>
      <c r="HG35" s="107"/>
      <c r="HH35" s="107"/>
      <c r="HI35" s="107"/>
      <c r="HJ35" s="107"/>
      <c r="HK35" s="107"/>
      <c r="HL35" s="107"/>
      <c r="HM35" s="107"/>
      <c r="HN35" s="107"/>
      <c r="HO35" s="107"/>
      <c r="HP35" s="107"/>
      <c r="HQ35" s="107"/>
      <c r="HR35" s="107"/>
      <c r="HS35" s="107"/>
      <c r="HT35" s="107"/>
      <c r="HU35" s="108"/>
      <c r="HV35" s="126">
        <f>IF(AND(HV33&lt;&gt;0,HV34&lt;&gt;0),(HV33-HV34)/HV34,IF(AND(HV33=0,HV34=0),"",IF(AND(HV33="",HV34=""),"",IF(AND(HV33=0,HV34=""),"",IF(AND(HV33="",HV34=0),"",1)))))</f>
        <v>1.2663278681958993E-2</v>
      </c>
      <c r="HW35" s="127"/>
      <c r="HX35" s="127"/>
      <c r="HY35" s="127"/>
      <c r="HZ35" s="127"/>
      <c r="IA35" s="127"/>
      <c r="IB35" s="127"/>
      <c r="IC35" s="127"/>
      <c r="ID35" s="127"/>
      <c r="IE35" s="127"/>
      <c r="IF35" s="127"/>
      <c r="IG35" s="127"/>
      <c r="IH35" s="127"/>
      <c r="II35" s="127"/>
      <c r="IJ35" s="127"/>
      <c r="IK35" s="127"/>
      <c r="IL35" s="127"/>
      <c r="IM35" s="127"/>
      <c r="IN35" s="127"/>
      <c r="IO35" s="127"/>
      <c r="IP35" s="127"/>
      <c r="IQ35" s="127"/>
      <c r="IR35" s="127"/>
      <c r="IS35" s="127"/>
      <c r="IT35" s="127"/>
      <c r="IU35" s="127"/>
      <c r="IV35" s="127"/>
      <c r="IW35" s="127"/>
      <c r="IX35" s="127"/>
      <c r="IY35" s="127"/>
      <c r="IZ35" s="127"/>
      <c r="JA35" s="127"/>
      <c r="JB35" s="127"/>
      <c r="JC35" s="127"/>
      <c r="JD35" s="127"/>
      <c r="JE35" s="127"/>
      <c r="JF35" s="127"/>
      <c r="JG35" s="128"/>
      <c r="JH35" s="106" t="s">
        <v>60</v>
      </c>
      <c r="JI35" s="107"/>
      <c r="JJ35" s="107"/>
      <c r="JK35" s="107"/>
      <c r="JL35" s="107"/>
      <c r="JM35" s="107"/>
      <c r="JN35" s="107"/>
      <c r="JO35" s="107"/>
      <c r="JP35" s="107"/>
      <c r="JQ35" s="107"/>
      <c r="JR35" s="107"/>
      <c r="JS35" s="107"/>
      <c r="JT35" s="107"/>
      <c r="JU35" s="107"/>
      <c r="JV35" s="107"/>
      <c r="JW35" s="107"/>
      <c r="JX35" s="107"/>
      <c r="JY35" s="107"/>
      <c r="JZ35" s="107"/>
      <c r="KA35" s="107"/>
      <c r="KB35" s="107"/>
      <c r="KC35" s="107"/>
      <c r="KD35" s="107"/>
      <c r="KE35" s="107"/>
      <c r="KF35" s="107"/>
      <c r="KG35" s="107"/>
      <c r="KH35" s="107"/>
      <c r="KI35" s="107"/>
      <c r="KJ35" s="107"/>
      <c r="KK35" s="107"/>
      <c r="KL35" s="107"/>
      <c r="KM35" s="107"/>
      <c r="KN35" s="107"/>
      <c r="KO35" s="107"/>
      <c r="KP35" s="107"/>
      <c r="KQ35" s="107"/>
      <c r="KR35" s="107"/>
      <c r="KS35" s="108"/>
      <c r="KT35" s="106" t="s">
        <v>60</v>
      </c>
      <c r="KU35" s="107"/>
      <c r="KV35" s="107"/>
      <c r="KW35" s="107"/>
      <c r="KX35" s="107"/>
      <c r="KY35" s="107"/>
      <c r="KZ35" s="107"/>
      <c r="LA35" s="107"/>
      <c r="LB35" s="107"/>
      <c r="LC35" s="107"/>
      <c r="LD35" s="107"/>
      <c r="LE35" s="107"/>
      <c r="LF35" s="107"/>
      <c r="LG35" s="107"/>
      <c r="LH35" s="107"/>
      <c r="LI35" s="107"/>
      <c r="LJ35" s="107"/>
      <c r="LK35" s="107"/>
      <c r="LL35" s="107"/>
      <c r="LM35" s="107"/>
      <c r="LN35" s="107"/>
      <c r="LO35" s="107"/>
      <c r="LP35" s="107"/>
      <c r="LQ35" s="107"/>
      <c r="LR35" s="107"/>
      <c r="LS35" s="107"/>
      <c r="LT35" s="107"/>
      <c r="LU35" s="107"/>
      <c r="LV35" s="107"/>
      <c r="LW35" s="107"/>
      <c r="LX35" s="107"/>
      <c r="LY35" s="107"/>
      <c r="LZ35" s="107"/>
      <c r="MA35" s="107"/>
      <c r="MB35" s="107"/>
      <c r="MC35" s="107"/>
      <c r="MD35" s="107"/>
      <c r="ME35" s="108"/>
      <c r="MF35" s="106" t="s">
        <v>60</v>
      </c>
      <c r="MG35" s="107"/>
      <c r="MH35" s="107"/>
      <c r="MI35" s="107"/>
      <c r="MJ35" s="107"/>
      <c r="MK35" s="107"/>
      <c r="ML35" s="107"/>
      <c r="MM35" s="107"/>
      <c r="MN35" s="107"/>
      <c r="MO35" s="107"/>
      <c r="MP35" s="107"/>
      <c r="MQ35" s="107"/>
      <c r="MR35" s="107"/>
      <c r="MS35" s="107"/>
      <c r="MT35" s="107"/>
      <c r="MU35" s="107"/>
      <c r="MV35" s="107"/>
      <c r="MW35" s="107"/>
      <c r="MX35" s="107"/>
      <c r="MY35" s="107"/>
      <c r="MZ35" s="107"/>
      <c r="NA35" s="107"/>
      <c r="NB35" s="107"/>
      <c r="NC35" s="107"/>
      <c r="ND35" s="107"/>
      <c r="NE35" s="107"/>
      <c r="NF35" s="107"/>
      <c r="NG35" s="107"/>
      <c r="NH35" s="107"/>
      <c r="NI35" s="107"/>
      <c r="NJ35" s="107"/>
      <c r="NK35" s="107"/>
      <c r="NL35" s="107"/>
      <c r="NM35" s="107"/>
      <c r="NN35" s="107"/>
      <c r="NO35" s="107"/>
      <c r="NP35" s="107"/>
      <c r="NQ35" s="108"/>
      <c r="NR35" s="126">
        <f>IF(AND(NR33&lt;&gt;0,NR34&lt;&gt;0),(NR33-NR34)/NR34,IF(AND(NR33=0,NR34=0),"",IF(AND(NR33="",NR34=""),"",IF(AND(NR33=0,NR34=""),"",IF(AND(NR33="",NR34=0),"",1)))))</f>
        <v>4.5919112997454947E-3</v>
      </c>
      <c r="NS35" s="127"/>
      <c r="NT35" s="127"/>
      <c r="NU35" s="127"/>
      <c r="NV35" s="127"/>
      <c r="NW35" s="127"/>
      <c r="NX35" s="127"/>
      <c r="NY35" s="127"/>
      <c r="NZ35" s="127"/>
      <c r="OA35" s="127"/>
      <c r="OB35" s="127"/>
      <c r="OC35" s="127"/>
      <c r="OD35" s="127"/>
      <c r="OE35" s="127"/>
      <c r="OF35" s="127"/>
      <c r="OG35" s="127"/>
      <c r="OH35" s="127"/>
      <c r="OI35" s="127"/>
      <c r="OJ35" s="127"/>
      <c r="OK35" s="127"/>
      <c r="OL35" s="127"/>
      <c r="OM35" s="127"/>
      <c r="ON35" s="127"/>
      <c r="OO35" s="127"/>
      <c r="OP35" s="127"/>
      <c r="OQ35" s="127"/>
      <c r="OR35" s="127"/>
      <c r="OS35" s="127"/>
      <c r="OT35" s="127"/>
      <c r="OU35" s="127"/>
      <c r="OV35" s="127"/>
      <c r="OW35" s="127"/>
      <c r="OX35" s="127"/>
      <c r="OY35" s="127"/>
      <c r="OZ35" s="127"/>
      <c r="PA35" s="127"/>
      <c r="PB35" s="127"/>
      <c r="PC35" s="128"/>
    </row>
    <row r="36" spans="1:419" s="15" customFormat="1" ht="14.25" customHeight="1" outlineLevel="1" x14ac:dyDescent="0.35">
      <c r="A36" s="45" t="s">
        <v>61</v>
      </c>
      <c r="B36" s="120">
        <f>[1]Consolidado!$L$26</f>
        <v>0</v>
      </c>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M36" s="122"/>
      <c r="AN36" s="120">
        <f>[1]Consolidado!$L$27</f>
        <v>0</v>
      </c>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2"/>
      <c r="BZ36" s="120">
        <f>[1]Consolidado!$L$14</f>
        <v>0</v>
      </c>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2"/>
      <c r="DL36" s="132">
        <f>[1]Consolidado!$L$17</f>
        <v>0</v>
      </c>
      <c r="DM36" s="133"/>
      <c r="DN36" s="133"/>
      <c r="DO36" s="133"/>
      <c r="DP36" s="133"/>
      <c r="DQ36" s="133"/>
      <c r="DR36" s="133"/>
      <c r="DS36" s="133"/>
      <c r="DT36" s="133"/>
      <c r="DU36" s="133"/>
      <c r="DV36" s="133"/>
      <c r="DW36" s="133"/>
      <c r="DX36" s="133"/>
      <c r="DY36" s="133"/>
      <c r="DZ36" s="133"/>
      <c r="EA36" s="133"/>
      <c r="EB36" s="133"/>
      <c r="EC36" s="133"/>
      <c r="ED36" s="133"/>
      <c r="EE36" s="133"/>
      <c r="EF36" s="133"/>
      <c r="EG36" s="133"/>
      <c r="EH36" s="133"/>
      <c r="EI36" s="133"/>
      <c r="EJ36" s="133"/>
      <c r="EK36" s="133"/>
      <c r="EL36" s="133"/>
      <c r="EM36" s="133"/>
      <c r="EN36" s="133"/>
      <c r="EO36" s="133"/>
      <c r="EP36" s="133"/>
      <c r="EQ36" s="133"/>
      <c r="ER36" s="133"/>
      <c r="ES36" s="133"/>
      <c r="ET36" s="133"/>
      <c r="EU36" s="133"/>
      <c r="EV36" s="133"/>
      <c r="EW36" s="134"/>
      <c r="EX36" s="132">
        <f>[1]Consolidado!$L$18</f>
        <v>0</v>
      </c>
      <c r="EY36" s="133"/>
      <c r="EZ36" s="133"/>
      <c r="FA36" s="133"/>
      <c r="FB36" s="133"/>
      <c r="FC36" s="133"/>
      <c r="FD36" s="133"/>
      <c r="FE36" s="133"/>
      <c r="FF36" s="133"/>
      <c r="FG36" s="133"/>
      <c r="FH36" s="133"/>
      <c r="FI36" s="133"/>
      <c r="FJ36" s="133"/>
      <c r="FK36" s="133"/>
      <c r="FL36" s="133"/>
      <c r="FM36" s="133"/>
      <c r="FN36" s="133"/>
      <c r="FO36" s="133"/>
      <c r="FP36" s="133"/>
      <c r="FQ36" s="133"/>
      <c r="FR36" s="133"/>
      <c r="FS36" s="133"/>
      <c r="FT36" s="133"/>
      <c r="FU36" s="133"/>
      <c r="FV36" s="133"/>
      <c r="FW36" s="133"/>
      <c r="FX36" s="133"/>
      <c r="FY36" s="133"/>
      <c r="FZ36" s="133"/>
      <c r="GA36" s="133"/>
      <c r="GB36" s="133"/>
      <c r="GC36" s="133"/>
      <c r="GD36" s="133"/>
      <c r="GE36" s="133"/>
      <c r="GF36" s="133"/>
      <c r="GG36" s="133"/>
      <c r="GH36" s="133"/>
      <c r="GI36" s="134"/>
      <c r="GJ36" s="132">
        <f>[1]Consolidado!$L$19</f>
        <v>0</v>
      </c>
      <c r="GK36" s="133"/>
      <c r="GL36" s="133"/>
      <c r="GM36" s="133"/>
      <c r="GN36" s="133"/>
      <c r="GO36" s="133"/>
      <c r="GP36" s="133"/>
      <c r="GQ36" s="133"/>
      <c r="GR36" s="133"/>
      <c r="GS36" s="133"/>
      <c r="GT36" s="133"/>
      <c r="GU36" s="133"/>
      <c r="GV36" s="133"/>
      <c r="GW36" s="133"/>
      <c r="GX36" s="133"/>
      <c r="GY36" s="133"/>
      <c r="GZ36" s="133"/>
      <c r="HA36" s="133"/>
      <c r="HB36" s="133"/>
      <c r="HC36" s="133"/>
      <c r="HD36" s="133"/>
      <c r="HE36" s="133"/>
      <c r="HF36" s="133"/>
      <c r="HG36" s="133"/>
      <c r="HH36" s="133"/>
      <c r="HI36" s="133"/>
      <c r="HJ36" s="133"/>
      <c r="HK36" s="133"/>
      <c r="HL36" s="133"/>
      <c r="HM36" s="133"/>
      <c r="HN36" s="133"/>
      <c r="HO36" s="133"/>
      <c r="HP36" s="133"/>
      <c r="HQ36" s="133"/>
      <c r="HR36" s="133"/>
      <c r="HS36" s="133"/>
      <c r="HT36" s="133"/>
      <c r="HU36" s="134"/>
      <c r="HV36" s="120">
        <f>[1]Consolidado!$L$20</f>
        <v>0</v>
      </c>
      <c r="HW36" s="121"/>
      <c r="HX36" s="121"/>
      <c r="HY36" s="121"/>
      <c r="HZ36" s="121"/>
      <c r="IA36" s="121"/>
      <c r="IB36" s="121"/>
      <c r="IC36" s="121"/>
      <c r="ID36" s="121"/>
      <c r="IE36" s="121"/>
      <c r="IF36" s="121"/>
      <c r="IG36" s="121"/>
      <c r="IH36" s="121"/>
      <c r="II36" s="121"/>
      <c r="IJ36" s="121"/>
      <c r="IK36" s="121"/>
      <c r="IL36" s="121"/>
      <c r="IM36" s="121"/>
      <c r="IN36" s="121"/>
      <c r="IO36" s="121"/>
      <c r="IP36" s="121"/>
      <c r="IQ36" s="121"/>
      <c r="IR36" s="121"/>
      <c r="IS36" s="121"/>
      <c r="IT36" s="121"/>
      <c r="IU36" s="121"/>
      <c r="IV36" s="121"/>
      <c r="IW36" s="121"/>
      <c r="IX36" s="121"/>
      <c r="IY36" s="121"/>
      <c r="IZ36" s="121"/>
      <c r="JA36" s="121"/>
      <c r="JB36" s="121"/>
      <c r="JC36" s="121"/>
      <c r="JD36" s="121"/>
      <c r="JE36" s="121"/>
      <c r="JF36" s="121"/>
      <c r="JG36" s="122"/>
      <c r="JH36" s="132">
        <f>[1]Consolidado!$L$22</f>
        <v>0</v>
      </c>
      <c r="JI36" s="133"/>
      <c r="JJ36" s="133"/>
      <c r="JK36" s="133"/>
      <c r="JL36" s="133"/>
      <c r="JM36" s="133"/>
      <c r="JN36" s="133"/>
      <c r="JO36" s="133"/>
      <c r="JP36" s="133"/>
      <c r="JQ36" s="133"/>
      <c r="JR36" s="133"/>
      <c r="JS36" s="133"/>
      <c r="JT36" s="133"/>
      <c r="JU36" s="133"/>
      <c r="JV36" s="133"/>
      <c r="JW36" s="133"/>
      <c r="JX36" s="133"/>
      <c r="JY36" s="133"/>
      <c r="JZ36" s="133"/>
      <c r="KA36" s="133"/>
      <c r="KB36" s="133"/>
      <c r="KC36" s="133"/>
      <c r="KD36" s="133"/>
      <c r="KE36" s="133"/>
      <c r="KF36" s="133"/>
      <c r="KG36" s="133"/>
      <c r="KH36" s="133"/>
      <c r="KI36" s="133"/>
      <c r="KJ36" s="133"/>
      <c r="KK36" s="133"/>
      <c r="KL36" s="133"/>
      <c r="KM36" s="133"/>
      <c r="KN36" s="133"/>
      <c r="KO36" s="133"/>
      <c r="KP36" s="133"/>
      <c r="KQ36" s="133"/>
      <c r="KR36" s="133"/>
      <c r="KS36" s="134"/>
      <c r="KT36" s="132">
        <f>[1]Consolidado!$L$23</f>
        <v>0</v>
      </c>
      <c r="KU36" s="133"/>
      <c r="KV36" s="133"/>
      <c r="KW36" s="133"/>
      <c r="KX36" s="133"/>
      <c r="KY36" s="133"/>
      <c r="KZ36" s="133"/>
      <c r="LA36" s="133"/>
      <c r="LB36" s="133"/>
      <c r="LC36" s="133"/>
      <c r="LD36" s="133"/>
      <c r="LE36" s="133"/>
      <c r="LF36" s="133"/>
      <c r="LG36" s="133"/>
      <c r="LH36" s="133"/>
      <c r="LI36" s="133"/>
      <c r="LJ36" s="133"/>
      <c r="LK36" s="133"/>
      <c r="LL36" s="133"/>
      <c r="LM36" s="133"/>
      <c r="LN36" s="133"/>
      <c r="LO36" s="133"/>
      <c r="LP36" s="133"/>
      <c r="LQ36" s="133"/>
      <c r="LR36" s="133"/>
      <c r="LS36" s="133"/>
      <c r="LT36" s="133"/>
      <c r="LU36" s="133"/>
      <c r="LV36" s="133"/>
      <c r="LW36" s="133"/>
      <c r="LX36" s="133"/>
      <c r="LY36" s="133"/>
      <c r="LZ36" s="133"/>
      <c r="MA36" s="133"/>
      <c r="MB36" s="133"/>
      <c r="MC36" s="133"/>
      <c r="MD36" s="133"/>
      <c r="ME36" s="134"/>
      <c r="MF36" s="132">
        <f>[1]Consolidado!$L$24</f>
        <v>0</v>
      </c>
      <c r="MG36" s="133"/>
      <c r="MH36" s="133"/>
      <c r="MI36" s="133"/>
      <c r="MJ36" s="133"/>
      <c r="MK36" s="133"/>
      <c r="ML36" s="133"/>
      <c r="MM36" s="133"/>
      <c r="MN36" s="133"/>
      <c r="MO36" s="133"/>
      <c r="MP36" s="133"/>
      <c r="MQ36" s="133"/>
      <c r="MR36" s="133"/>
      <c r="MS36" s="133"/>
      <c r="MT36" s="133"/>
      <c r="MU36" s="133"/>
      <c r="MV36" s="133"/>
      <c r="MW36" s="133"/>
      <c r="MX36" s="133"/>
      <c r="MY36" s="133"/>
      <c r="MZ36" s="133"/>
      <c r="NA36" s="133"/>
      <c r="NB36" s="133"/>
      <c r="NC36" s="133"/>
      <c r="ND36" s="133"/>
      <c r="NE36" s="133"/>
      <c r="NF36" s="133"/>
      <c r="NG36" s="133"/>
      <c r="NH36" s="133"/>
      <c r="NI36" s="133"/>
      <c r="NJ36" s="133"/>
      <c r="NK36" s="133"/>
      <c r="NL36" s="133"/>
      <c r="NM36" s="133"/>
      <c r="NN36" s="133"/>
      <c r="NO36" s="133"/>
      <c r="NP36" s="133"/>
      <c r="NQ36" s="134"/>
      <c r="NR36" s="120">
        <f>[1]Consolidado!$L$25</f>
        <v>0</v>
      </c>
      <c r="NS36" s="121"/>
      <c r="NT36" s="121"/>
      <c r="NU36" s="121"/>
      <c r="NV36" s="121"/>
      <c r="NW36" s="121"/>
      <c r="NX36" s="121"/>
      <c r="NY36" s="121"/>
      <c r="NZ36" s="121"/>
      <c r="OA36" s="121"/>
      <c r="OB36" s="121"/>
      <c r="OC36" s="121"/>
      <c r="OD36" s="121"/>
      <c r="OE36" s="121"/>
      <c r="OF36" s="121"/>
      <c r="OG36" s="121"/>
      <c r="OH36" s="121"/>
      <c r="OI36" s="121"/>
      <c r="OJ36" s="121"/>
      <c r="OK36" s="121"/>
      <c r="OL36" s="121"/>
      <c r="OM36" s="121"/>
      <c r="ON36" s="121"/>
      <c r="OO36" s="121"/>
      <c r="OP36" s="121"/>
      <c r="OQ36" s="121"/>
      <c r="OR36" s="121"/>
      <c r="OS36" s="121"/>
      <c r="OT36" s="121"/>
      <c r="OU36" s="121"/>
      <c r="OV36" s="121"/>
      <c r="OW36" s="121"/>
      <c r="OX36" s="121"/>
      <c r="OY36" s="121"/>
      <c r="OZ36" s="121"/>
      <c r="PA36" s="121"/>
      <c r="PB36" s="121"/>
      <c r="PC36" s="122"/>
    </row>
    <row r="37" spans="1:419" s="15" customFormat="1" outlineLevel="1" x14ac:dyDescent="0.35">
      <c r="A37" s="46" t="s">
        <v>62</v>
      </c>
      <c r="B37" s="91">
        <f>[2]Consolidado!$L$12</f>
        <v>0.33176302099999994</v>
      </c>
      <c r="C37" s="92"/>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2"/>
      <c r="AL37" s="92"/>
      <c r="AM37" s="93"/>
      <c r="AN37" s="91">
        <f>[2]Consolidado!$L$13</f>
        <v>4.8323173999999997E-2</v>
      </c>
      <c r="AO37" s="92"/>
      <c r="AP37" s="92"/>
      <c r="AQ37" s="92"/>
      <c r="AR37" s="92"/>
      <c r="AS37" s="92"/>
      <c r="AT37" s="92"/>
      <c r="AU37" s="92"/>
      <c r="AV37" s="92"/>
      <c r="AW37" s="92"/>
      <c r="AX37" s="92"/>
      <c r="AY37" s="92"/>
      <c r="AZ37" s="92"/>
      <c r="BA37" s="92"/>
      <c r="BB37" s="92"/>
      <c r="BC37" s="92"/>
      <c r="BD37" s="92"/>
      <c r="BE37" s="92"/>
      <c r="BF37" s="92"/>
      <c r="BG37" s="92"/>
      <c r="BH37" s="92"/>
      <c r="BI37" s="92"/>
      <c r="BJ37" s="92"/>
      <c r="BK37" s="92"/>
      <c r="BL37" s="92"/>
      <c r="BM37" s="92"/>
      <c r="BN37" s="92"/>
      <c r="BO37" s="92"/>
      <c r="BP37" s="92"/>
      <c r="BQ37" s="92"/>
      <c r="BR37" s="92"/>
      <c r="BS37" s="92"/>
      <c r="BT37" s="92"/>
      <c r="BU37" s="92"/>
      <c r="BV37" s="92"/>
      <c r="BW37" s="92"/>
      <c r="BX37" s="92"/>
      <c r="BY37" s="93"/>
      <c r="BZ37" s="91">
        <f>[2]Consolidado!$L$14</f>
        <v>0</v>
      </c>
      <c r="CA37" s="92"/>
      <c r="CB37" s="92"/>
      <c r="CC37" s="92"/>
      <c r="CD37" s="92"/>
      <c r="CE37" s="92"/>
      <c r="CF37" s="92"/>
      <c r="CG37" s="92"/>
      <c r="CH37" s="92"/>
      <c r="CI37" s="92"/>
      <c r="CJ37" s="92"/>
      <c r="CK37" s="92"/>
      <c r="CL37" s="92"/>
      <c r="CM37" s="92"/>
      <c r="CN37" s="92"/>
      <c r="CO37" s="92"/>
      <c r="CP37" s="92"/>
      <c r="CQ37" s="92"/>
      <c r="CR37" s="92"/>
      <c r="CS37" s="92"/>
      <c r="CT37" s="92"/>
      <c r="CU37" s="92"/>
      <c r="CV37" s="92"/>
      <c r="CW37" s="92"/>
      <c r="CX37" s="92"/>
      <c r="CY37" s="92"/>
      <c r="CZ37" s="92"/>
      <c r="DA37" s="92"/>
      <c r="DB37" s="92"/>
      <c r="DC37" s="92"/>
      <c r="DD37" s="92"/>
      <c r="DE37" s="92"/>
      <c r="DF37" s="92"/>
      <c r="DG37" s="92"/>
      <c r="DH37" s="92"/>
      <c r="DI37" s="92"/>
      <c r="DJ37" s="92"/>
      <c r="DK37" s="93"/>
      <c r="DL37" s="94">
        <f>[2]Consolidado!$L$17</f>
        <v>0</v>
      </c>
      <c r="DM37" s="95"/>
      <c r="DN37" s="95"/>
      <c r="DO37" s="95"/>
      <c r="DP37" s="95"/>
      <c r="DQ37" s="95"/>
      <c r="DR37" s="95"/>
      <c r="DS37" s="95"/>
      <c r="DT37" s="95"/>
      <c r="DU37" s="95"/>
      <c r="DV37" s="95"/>
      <c r="DW37" s="95"/>
      <c r="DX37" s="95"/>
      <c r="DY37" s="95"/>
      <c r="DZ37" s="95"/>
      <c r="EA37" s="95"/>
      <c r="EB37" s="95"/>
      <c r="EC37" s="95"/>
      <c r="ED37" s="95"/>
      <c r="EE37" s="95"/>
      <c r="EF37" s="95"/>
      <c r="EG37" s="95"/>
      <c r="EH37" s="95"/>
      <c r="EI37" s="95"/>
      <c r="EJ37" s="95"/>
      <c r="EK37" s="95"/>
      <c r="EL37" s="95"/>
      <c r="EM37" s="95"/>
      <c r="EN37" s="95"/>
      <c r="EO37" s="95"/>
      <c r="EP37" s="95"/>
      <c r="EQ37" s="95"/>
      <c r="ER37" s="95"/>
      <c r="ES37" s="95"/>
      <c r="ET37" s="95"/>
      <c r="EU37" s="95"/>
      <c r="EV37" s="95"/>
      <c r="EW37" s="96"/>
      <c r="EX37" s="94">
        <f>[2]Consolidado!$L$18</f>
        <v>0</v>
      </c>
      <c r="EY37" s="95"/>
      <c r="EZ37" s="95"/>
      <c r="FA37" s="95"/>
      <c r="FB37" s="95"/>
      <c r="FC37" s="95"/>
      <c r="FD37" s="95"/>
      <c r="FE37" s="95"/>
      <c r="FF37" s="95"/>
      <c r="FG37" s="95"/>
      <c r="FH37" s="95"/>
      <c r="FI37" s="95"/>
      <c r="FJ37" s="95"/>
      <c r="FK37" s="95"/>
      <c r="FL37" s="95"/>
      <c r="FM37" s="95"/>
      <c r="FN37" s="95"/>
      <c r="FO37" s="95"/>
      <c r="FP37" s="95"/>
      <c r="FQ37" s="95"/>
      <c r="FR37" s="95"/>
      <c r="FS37" s="95"/>
      <c r="FT37" s="95"/>
      <c r="FU37" s="95"/>
      <c r="FV37" s="95"/>
      <c r="FW37" s="95"/>
      <c r="FX37" s="95"/>
      <c r="FY37" s="95"/>
      <c r="FZ37" s="95"/>
      <c r="GA37" s="95"/>
      <c r="GB37" s="95"/>
      <c r="GC37" s="95"/>
      <c r="GD37" s="95"/>
      <c r="GE37" s="95"/>
      <c r="GF37" s="95"/>
      <c r="GG37" s="95"/>
      <c r="GH37" s="95"/>
      <c r="GI37" s="96"/>
      <c r="GJ37" s="94"/>
      <c r="GK37" s="95"/>
      <c r="GL37" s="95"/>
      <c r="GM37" s="95"/>
      <c r="GN37" s="95"/>
      <c r="GO37" s="95"/>
      <c r="GP37" s="95"/>
      <c r="GQ37" s="95"/>
      <c r="GR37" s="95"/>
      <c r="GS37" s="95"/>
      <c r="GT37" s="95"/>
      <c r="GU37" s="95"/>
      <c r="GV37" s="95"/>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6"/>
      <c r="HV37" s="97">
        <f>[2]Consolidado!$L$19</f>
        <v>0</v>
      </c>
      <c r="HW37" s="98"/>
      <c r="HX37" s="98"/>
      <c r="HY37" s="98"/>
      <c r="HZ37" s="98"/>
      <c r="IA37" s="98"/>
      <c r="IB37" s="98"/>
      <c r="IC37" s="98"/>
      <c r="ID37" s="98"/>
      <c r="IE37" s="98"/>
      <c r="IF37" s="98"/>
      <c r="IG37" s="98"/>
      <c r="IH37" s="98"/>
      <c r="II37" s="98"/>
      <c r="IJ37" s="98"/>
      <c r="IK37" s="98"/>
      <c r="IL37" s="98"/>
      <c r="IM37" s="98"/>
      <c r="IN37" s="98"/>
      <c r="IO37" s="98"/>
      <c r="IP37" s="98"/>
      <c r="IQ37" s="98"/>
      <c r="IR37" s="98"/>
      <c r="IS37" s="98"/>
      <c r="IT37" s="98"/>
      <c r="IU37" s="98"/>
      <c r="IV37" s="98"/>
      <c r="IW37" s="98"/>
      <c r="IX37" s="98"/>
      <c r="IY37" s="98"/>
      <c r="IZ37" s="98"/>
      <c r="JA37" s="98"/>
      <c r="JB37" s="98"/>
      <c r="JC37" s="98"/>
      <c r="JD37" s="98"/>
      <c r="JE37" s="98"/>
      <c r="JF37" s="98"/>
      <c r="JG37" s="99"/>
      <c r="JH37" s="94">
        <f>[2]Consolidado!$L$21</f>
        <v>0</v>
      </c>
      <c r="JI37" s="95"/>
      <c r="JJ37" s="95"/>
      <c r="JK37" s="95"/>
      <c r="JL37" s="95"/>
      <c r="JM37" s="95"/>
      <c r="JN37" s="95"/>
      <c r="JO37" s="95"/>
      <c r="JP37" s="95"/>
      <c r="JQ37" s="95"/>
      <c r="JR37" s="95"/>
      <c r="JS37" s="95"/>
      <c r="JT37" s="95"/>
      <c r="JU37" s="95"/>
      <c r="JV37" s="95"/>
      <c r="JW37" s="95"/>
      <c r="JX37" s="95"/>
      <c r="JY37" s="95"/>
      <c r="JZ37" s="95"/>
      <c r="KA37" s="95"/>
      <c r="KB37" s="95"/>
      <c r="KC37" s="95"/>
      <c r="KD37" s="95"/>
      <c r="KE37" s="95"/>
      <c r="KF37" s="95"/>
      <c r="KG37" s="95"/>
      <c r="KH37" s="95"/>
      <c r="KI37" s="95"/>
      <c r="KJ37" s="95"/>
      <c r="KK37" s="95"/>
      <c r="KL37" s="95"/>
      <c r="KM37" s="95"/>
      <c r="KN37" s="95"/>
      <c r="KO37" s="95"/>
      <c r="KP37" s="95"/>
      <c r="KQ37" s="95"/>
      <c r="KR37" s="95"/>
      <c r="KS37" s="96"/>
      <c r="KT37" s="94">
        <f>[2]Consolidado!$L$22</f>
        <v>0</v>
      </c>
      <c r="KU37" s="95"/>
      <c r="KV37" s="95"/>
      <c r="KW37" s="95"/>
      <c r="KX37" s="95"/>
      <c r="KY37" s="95"/>
      <c r="KZ37" s="95"/>
      <c r="LA37" s="95"/>
      <c r="LB37" s="95"/>
      <c r="LC37" s="95"/>
      <c r="LD37" s="95"/>
      <c r="LE37" s="95"/>
      <c r="LF37" s="95"/>
      <c r="LG37" s="95"/>
      <c r="LH37" s="95"/>
      <c r="LI37" s="95"/>
      <c r="LJ37" s="95"/>
      <c r="LK37" s="95"/>
      <c r="LL37" s="95"/>
      <c r="LM37" s="95"/>
      <c r="LN37" s="95"/>
      <c r="LO37" s="95"/>
      <c r="LP37" s="95"/>
      <c r="LQ37" s="95"/>
      <c r="LR37" s="95"/>
      <c r="LS37" s="95"/>
      <c r="LT37" s="95"/>
      <c r="LU37" s="95"/>
      <c r="LV37" s="95"/>
      <c r="LW37" s="95"/>
      <c r="LX37" s="95"/>
      <c r="LY37" s="95"/>
      <c r="LZ37" s="95"/>
      <c r="MA37" s="95"/>
      <c r="MB37" s="95"/>
      <c r="MC37" s="95"/>
      <c r="MD37" s="95"/>
      <c r="ME37" s="96"/>
      <c r="MF37" s="94"/>
      <c r="MG37" s="95"/>
      <c r="MH37" s="95"/>
      <c r="MI37" s="95"/>
      <c r="MJ37" s="95"/>
      <c r="MK37" s="95"/>
      <c r="ML37" s="95"/>
      <c r="MM37" s="95"/>
      <c r="MN37" s="95"/>
      <c r="MO37" s="95"/>
      <c r="MP37" s="95"/>
      <c r="MQ37" s="95"/>
      <c r="MR37" s="95"/>
      <c r="MS37" s="95"/>
      <c r="MT37" s="95"/>
      <c r="MU37" s="95"/>
      <c r="MV37" s="95"/>
      <c r="MW37" s="95"/>
      <c r="MX37" s="95"/>
      <c r="MY37" s="95"/>
      <c r="MZ37" s="95"/>
      <c r="NA37" s="95"/>
      <c r="NB37" s="95"/>
      <c r="NC37" s="95"/>
      <c r="ND37" s="95"/>
      <c r="NE37" s="95"/>
      <c r="NF37" s="95"/>
      <c r="NG37" s="95"/>
      <c r="NH37" s="95"/>
      <c r="NI37" s="95"/>
      <c r="NJ37" s="95"/>
      <c r="NK37" s="95"/>
      <c r="NL37" s="95"/>
      <c r="NM37" s="95"/>
      <c r="NN37" s="95"/>
      <c r="NO37" s="95"/>
      <c r="NP37" s="95"/>
      <c r="NQ37" s="96"/>
      <c r="NR37" s="97">
        <f>[2]Consolidado!$L$23</f>
        <v>0</v>
      </c>
      <c r="NS37" s="98"/>
      <c r="NT37" s="98"/>
      <c r="NU37" s="98"/>
      <c r="NV37" s="98"/>
      <c r="NW37" s="98"/>
      <c r="NX37" s="98"/>
      <c r="NY37" s="98"/>
      <c r="NZ37" s="98"/>
      <c r="OA37" s="98"/>
      <c r="OB37" s="98"/>
      <c r="OC37" s="98"/>
      <c r="OD37" s="98"/>
      <c r="OE37" s="98"/>
      <c r="OF37" s="98"/>
      <c r="OG37" s="98"/>
      <c r="OH37" s="98"/>
      <c r="OI37" s="98"/>
      <c r="OJ37" s="98"/>
      <c r="OK37" s="98"/>
      <c r="OL37" s="98"/>
      <c r="OM37" s="98"/>
      <c r="ON37" s="98"/>
      <c r="OO37" s="98"/>
      <c r="OP37" s="98"/>
      <c r="OQ37" s="98"/>
      <c r="OR37" s="98"/>
      <c r="OS37" s="98"/>
      <c r="OT37" s="98"/>
      <c r="OU37" s="98"/>
      <c r="OV37" s="98"/>
      <c r="OW37" s="98"/>
      <c r="OX37" s="98"/>
      <c r="OY37" s="98"/>
      <c r="OZ37" s="98"/>
      <c r="PA37" s="98"/>
      <c r="PB37" s="98"/>
      <c r="PC37" s="99"/>
    </row>
    <row r="38" spans="1:419" ht="15.75" customHeight="1" outlineLevel="1" thickBot="1" x14ac:dyDescent="0.4">
      <c r="A38" s="47" t="s">
        <v>63</v>
      </c>
      <c r="B38" s="100">
        <f t="shared" ref="B38:AN38" si="1168">IF(B37&gt;0,(B36-B37)/B37,0)</f>
        <v>-1</v>
      </c>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01"/>
      <c r="AN38" s="102">
        <f t="shared" si="1168"/>
        <v>-1</v>
      </c>
      <c r="AO38" s="100"/>
      <c r="AP38" s="100"/>
      <c r="AQ38" s="100"/>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1"/>
      <c r="BZ38" s="102">
        <f t="shared" ref="BZ38" si="1169">IF(BZ37&gt;0,(BZ36-BZ37)/BZ37,0)</f>
        <v>0</v>
      </c>
      <c r="CA38" s="100"/>
      <c r="CB38" s="100"/>
      <c r="CC38" s="100"/>
      <c r="CD38" s="100"/>
      <c r="CE38" s="100"/>
      <c r="CF38" s="100"/>
      <c r="CG38" s="100"/>
      <c r="CH38" s="100"/>
      <c r="CI38" s="100"/>
      <c r="CJ38" s="100"/>
      <c r="CK38" s="100"/>
      <c r="CL38" s="100"/>
      <c r="CM38" s="100"/>
      <c r="CN38" s="100"/>
      <c r="CO38" s="100"/>
      <c r="CP38" s="100"/>
      <c r="CQ38" s="100"/>
      <c r="CR38" s="100"/>
      <c r="CS38" s="100"/>
      <c r="CT38" s="100"/>
      <c r="CU38" s="100"/>
      <c r="CV38" s="100"/>
      <c r="CW38" s="100"/>
      <c r="CX38" s="100"/>
      <c r="CY38" s="100"/>
      <c r="CZ38" s="100"/>
      <c r="DA38" s="100"/>
      <c r="DB38" s="100"/>
      <c r="DC38" s="100"/>
      <c r="DD38" s="100"/>
      <c r="DE38" s="100"/>
      <c r="DF38" s="100"/>
      <c r="DG38" s="100"/>
      <c r="DH38" s="100"/>
      <c r="DI38" s="100"/>
      <c r="DJ38" s="100"/>
      <c r="DK38" s="101"/>
      <c r="DL38" s="106" t="s">
        <v>60</v>
      </c>
      <c r="DM38" s="107"/>
      <c r="DN38" s="107"/>
      <c r="DO38" s="107"/>
      <c r="DP38" s="107"/>
      <c r="DQ38" s="107"/>
      <c r="DR38" s="107"/>
      <c r="DS38" s="107"/>
      <c r="DT38" s="107"/>
      <c r="DU38" s="107"/>
      <c r="DV38" s="107"/>
      <c r="DW38" s="107"/>
      <c r="DX38" s="107"/>
      <c r="DY38" s="107"/>
      <c r="DZ38" s="107"/>
      <c r="EA38" s="107"/>
      <c r="EB38" s="107"/>
      <c r="EC38" s="107"/>
      <c r="ED38" s="107"/>
      <c r="EE38" s="107"/>
      <c r="EF38" s="107"/>
      <c r="EG38" s="107"/>
      <c r="EH38" s="107"/>
      <c r="EI38" s="107"/>
      <c r="EJ38" s="107"/>
      <c r="EK38" s="107"/>
      <c r="EL38" s="107"/>
      <c r="EM38" s="107"/>
      <c r="EN38" s="107"/>
      <c r="EO38" s="107"/>
      <c r="EP38" s="107"/>
      <c r="EQ38" s="107"/>
      <c r="ER38" s="107"/>
      <c r="ES38" s="107"/>
      <c r="ET38" s="107"/>
      <c r="EU38" s="107"/>
      <c r="EV38" s="107"/>
      <c r="EW38" s="108"/>
      <c r="EX38" s="106" t="s">
        <v>60</v>
      </c>
      <c r="EY38" s="107"/>
      <c r="EZ38" s="107"/>
      <c r="FA38" s="107"/>
      <c r="FB38" s="107"/>
      <c r="FC38" s="107"/>
      <c r="FD38" s="107"/>
      <c r="FE38" s="107"/>
      <c r="FF38" s="107"/>
      <c r="FG38" s="107"/>
      <c r="FH38" s="107"/>
      <c r="FI38" s="107"/>
      <c r="FJ38" s="107"/>
      <c r="FK38" s="107"/>
      <c r="FL38" s="107"/>
      <c r="FM38" s="107"/>
      <c r="FN38" s="107"/>
      <c r="FO38" s="107"/>
      <c r="FP38" s="107"/>
      <c r="FQ38" s="107"/>
      <c r="FR38" s="107"/>
      <c r="FS38" s="107"/>
      <c r="FT38" s="107"/>
      <c r="FU38" s="107"/>
      <c r="FV38" s="107"/>
      <c r="FW38" s="107"/>
      <c r="FX38" s="107"/>
      <c r="FY38" s="107"/>
      <c r="FZ38" s="107"/>
      <c r="GA38" s="107"/>
      <c r="GB38" s="107"/>
      <c r="GC38" s="107"/>
      <c r="GD38" s="107"/>
      <c r="GE38" s="107"/>
      <c r="GF38" s="107"/>
      <c r="GG38" s="107"/>
      <c r="GH38" s="107"/>
      <c r="GI38" s="108"/>
      <c r="GJ38" s="106" t="s">
        <v>60</v>
      </c>
      <c r="GK38" s="107"/>
      <c r="GL38" s="107"/>
      <c r="GM38" s="107"/>
      <c r="GN38" s="107"/>
      <c r="GO38" s="107"/>
      <c r="GP38" s="107"/>
      <c r="GQ38" s="107"/>
      <c r="GR38" s="107"/>
      <c r="GS38" s="107"/>
      <c r="GT38" s="107"/>
      <c r="GU38" s="107"/>
      <c r="GV38" s="107"/>
      <c r="GW38" s="107"/>
      <c r="GX38" s="107"/>
      <c r="GY38" s="107"/>
      <c r="GZ38" s="107"/>
      <c r="HA38" s="107"/>
      <c r="HB38" s="107"/>
      <c r="HC38" s="107"/>
      <c r="HD38" s="107"/>
      <c r="HE38" s="107"/>
      <c r="HF38" s="107"/>
      <c r="HG38" s="107"/>
      <c r="HH38" s="107"/>
      <c r="HI38" s="107"/>
      <c r="HJ38" s="107"/>
      <c r="HK38" s="107"/>
      <c r="HL38" s="107"/>
      <c r="HM38" s="107"/>
      <c r="HN38" s="107"/>
      <c r="HO38" s="107"/>
      <c r="HP38" s="107"/>
      <c r="HQ38" s="107"/>
      <c r="HR38" s="107"/>
      <c r="HS38" s="107"/>
      <c r="HT38" s="107"/>
      <c r="HU38" s="108"/>
      <c r="HV38" s="103" t="str">
        <f>IF(AND(HV36&lt;&gt;0,HV37&lt;&gt;0),(HV36-HV37)/HV37,IF(AND(HV36=0,HV37=0),"",IF(AND(HV36="",HV37=""),"",IF(AND(HV36=0,HV37=""),"",IF(AND(HV36="",HV37=0),"",1)))))</f>
        <v/>
      </c>
      <c r="HW38" s="104"/>
      <c r="HX38" s="104"/>
      <c r="HY38" s="104"/>
      <c r="HZ38" s="104"/>
      <c r="IA38" s="104"/>
      <c r="IB38" s="104"/>
      <c r="IC38" s="104"/>
      <c r="ID38" s="104"/>
      <c r="IE38" s="104"/>
      <c r="IF38" s="104"/>
      <c r="IG38" s="104"/>
      <c r="IH38" s="104"/>
      <c r="II38" s="104"/>
      <c r="IJ38" s="104"/>
      <c r="IK38" s="104"/>
      <c r="IL38" s="104"/>
      <c r="IM38" s="104"/>
      <c r="IN38" s="104"/>
      <c r="IO38" s="104"/>
      <c r="IP38" s="104"/>
      <c r="IQ38" s="104"/>
      <c r="IR38" s="104"/>
      <c r="IS38" s="104"/>
      <c r="IT38" s="104"/>
      <c r="IU38" s="104"/>
      <c r="IV38" s="104"/>
      <c r="IW38" s="104"/>
      <c r="IX38" s="104"/>
      <c r="IY38" s="104"/>
      <c r="IZ38" s="104"/>
      <c r="JA38" s="104"/>
      <c r="JB38" s="104"/>
      <c r="JC38" s="104"/>
      <c r="JD38" s="104"/>
      <c r="JE38" s="104"/>
      <c r="JF38" s="104"/>
      <c r="JG38" s="105"/>
      <c r="JH38" s="106" t="s">
        <v>60</v>
      </c>
      <c r="JI38" s="107"/>
      <c r="JJ38" s="107"/>
      <c r="JK38" s="107"/>
      <c r="JL38" s="107"/>
      <c r="JM38" s="107"/>
      <c r="JN38" s="107"/>
      <c r="JO38" s="107"/>
      <c r="JP38" s="107"/>
      <c r="JQ38" s="107"/>
      <c r="JR38" s="107"/>
      <c r="JS38" s="107"/>
      <c r="JT38" s="107"/>
      <c r="JU38" s="107"/>
      <c r="JV38" s="107"/>
      <c r="JW38" s="107"/>
      <c r="JX38" s="107"/>
      <c r="JY38" s="107"/>
      <c r="JZ38" s="107"/>
      <c r="KA38" s="107"/>
      <c r="KB38" s="107"/>
      <c r="KC38" s="107"/>
      <c r="KD38" s="107"/>
      <c r="KE38" s="107"/>
      <c r="KF38" s="107"/>
      <c r="KG38" s="107"/>
      <c r="KH38" s="107"/>
      <c r="KI38" s="107"/>
      <c r="KJ38" s="107"/>
      <c r="KK38" s="107"/>
      <c r="KL38" s="107"/>
      <c r="KM38" s="107"/>
      <c r="KN38" s="107"/>
      <c r="KO38" s="107"/>
      <c r="KP38" s="107"/>
      <c r="KQ38" s="107"/>
      <c r="KR38" s="107"/>
      <c r="KS38" s="108"/>
      <c r="KT38" s="106" t="s">
        <v>60</v>
      </c>
      <c r="KU38" s="107"/>
      <c r="KV38" s="107"/>
      <c r="KW38" s="107"/>
      <c r="KX38" s="107"/>
      <c r="KY38" s="107"/>
      <c r="KZ38" s="107"/>
      <c r="LA38" s="107"/>
      <c r="LB38" s="107"/>
      <c r="LC38" s="107"/>
      <c r="LD38" s="107"/>
      <c r="LE38" s="107"/>
      <c r="LF38" s="107"/>
      <c r="LG38" s="107"/>
      <c r="LH38" s="107"/>
      <c r="LI38" s="107"/>
      <c r="LJ38" s="107"/>
      <c r="LK38" s="107"/>
      <c r="LL38" s="107"/>
      <c r="LM38" s="107"/>
      <c r="LN38" s="107"/>
      <c r="LO38" s="107"/>
      <c r="LP38" s="107"/>
      <c r="LQ38" s="107"/>
      <c r="LR38" s="107"/>
      <c r="LS38" s="107"/>
      <c r="LT38" s="107"/>
      <c r="LU38" s="107"/>
      <c r="LV38" s="107"/>
      <c r="LW38" s="107"/>
      <c r="LX38" s="107"/>
      <c r="LY38" s="107"/>
      <c r="LZ38" s="107"/>
      <c r="MA38" s="107"/>
      <c r="MB38" s="107"/>
      <c r="MC38" s="107"/>
      <c r="MD38" s="107"/>
      <c r="ME38" s="108"/>
      <c r="MF38" s="106" t="s">
        <v>60</v>
      </c>
      <c r="MG38" s="107"/>
      <c r="MH38" s="107"/>
      <c r="MI38" s="107"/>
      <c r="MJ38" s="107"/>
      <c r="MK38" s="107"/>
      <c r="ML38" s="107"/>
      <c r="MM38" s="107"/>
      <c r="MN38" s="107"/>
      <c r="MO38" s="107"/>
      <c r="MP38" s="107"/>
      <c r="MQ38" s="107"/>
      <c r="MR38" s="107"/>
      <c r="MS38" s="107"/>
      <c r="MT38" s="107"/>
      <c r="MU38" s="107"/>
      <c r="MV38" s="107"/>
      <c r="MW38" s="107"/>
      <c r="MX38" s="107"/>
      <c r="MY38" s="107"/>
      <c r="MZ38" s="107"/>
      <c r="NA38" s="107"/>
      <c r="NB38" s="107"/>
      <c r="NC38" s="107"/>
      <c r="ND38" s="107"/>
      <c r="NE38" s="107"/>
      <c r="NF38" s="107"/>
      <c r="NG38" s="107"/>
      <c r="NH38" s="107"/>
      <c r="NI38" s="107"/>
      <c r="NJ38" s="107"/>
      <c r="NK38" s="107"/>
      <c r="NL38" s="107"/>
      <c r="NM38" s="107"/>
      <c r="NN38" s="107"/>
      <c r="NO38" s="107"/>
      <c r="NP38" s="107"/>
      <c r="NQ38" s="108"/>
      <c r="NR38" s="103" t="str">
        <f>IF(AND(NR36&lt;&gt;0,NR37&lt;&gt;0),(NR36-NR37)/NR37,IF(AND(NR36=0,NR37=0),"",IF(AND(NR36="",NR37=""),"",IF(AND(NR36=0,NR37=""),"",IF(AND(NR36="",NR37=0),"",1)))))</f>
        <v/>
      </c>
      <c r="NS38" s="104"/>
      <c r="NT38" s="104"/>
      <c r="NU38" s="104"/>
      <c r="NV38" s="104"/>
      <c r="NW38" s="104"/>
      <c r="NX38" s="104"/>
      <c r="NY38" s="104"/>
      <c r="NZ38" s="104"/>
      <c r="OA38" s="104"/>
      <c r="OB38" s="104"/>
      <c r="OC38" s="104"/>
      <c r="OD38" s="104"/>
      <c r="OE38" s="104"/>
      <c r="OF38" s="104"/>
      <c r="OG38" s="104"/>
      <c r="OH38" s="104"/>
      <c r="OI38" s="104"/>
      <c r="OJ38" s="104"/>
      <c r="OK38" s="104"/>
      <c r="OL38" s="104"/>
      <c r="OM38" s="104"/>
      <c r="ON38" s="104"/>
      <c r="OO38" s="104"/>
      <c r="OP38" s="104"/>
      <c r="OQ38" s="104"/>
      <c r="OR38" s="104"/>
      <c r="OS38" s="104"/>
      <c r="OT38" s="104"/>
      <c r="OU38" s="104"/>
      <c r="OV38" s="104"/>
      <c r="OW38" s="104"/>
      <c r="OX38" s="104"/>
      <c r="OY38" s="104"/>
      <c r="OZ38" s="104"/>
      <c r="PA38" s="104"/>
      <c r="PB38" s="104"/>
      <c r="PC38" s="105"/>
    </row>
    <row r="39" spans="1:419" x14ac:dyDescent="0.35">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419" x14ac:dyDescent="0.35">
      <c r="NT40" s="77">
        <f>+NT9-HX9</f>
        <v>333089.25</v>
      </c>
      <c r="NU40" s="77">
        <f t="shared" ref="NU40:NY40" si="1170">+NU9-HY9</f>
        <v>-7325040</v>
      </c>
      <c r="NV40" s="77">
        <f t="shared" si="1170"/>
        <v>-14716678</v>
      </c>
      <c r="NW40" s="77">
        <f t="shared" si="1170"/>
        <v>-10623780</v>
      </c>
      <c r="NX40" s="77">
        <f t="shared" si="1170"/>
        <v>-8478912</v>
      </c>
      <c r="NY40" s="77">
        <f t="shared" si="1170"/>
        <v>-4574520</v>
      </c>
      <c r="NZ40" s="77">
        <f t="shared" ref="NZ40" si="1171">+NZ9-ID9</f>
        <v>103976</v>
      </c>
      <c r="OA40" s="77">
        <f t="shared" ref="OA40" si="1172">+OA9-IE9</f>
        <v>3715582</v>
      </c>
      <c r="OB40" s="77">
        <f t="shared" ref="OB40" si="1173">+OB9-IF9</f>
        <v>8033364</v>
      </c>
      <c r="OC40" s="77">
        <f t="shared" ref="OC40:OD40" si="1174">+OC9-IG9</f>
        <v>8957469</v>
      </c>
      <c r="OD40" s="77">
        <f t="shared" si="1174"/>
        <v>9218704</v>
      </c>
      <c r="OE40" s="77">
        <f t="shared" ref="OE40" si="1175">+OE9-II9</f>
        <v>9115207.5</v>
      </c>
      <c r="OF40" s="77">
        <f t="shared" ref="OF40" si="1176">+OF9-IJ9</f>
        <v>8827240.5</v>
      </c>
      <c r="OG40" s="77">
        <f t="shared" ref="OG40" si="1177">+OG9-IK9</f>
        <v>7741340</v>
      </c>
      <c r="OH40" s="77">
        <f t="shared" ref="OH40:OI40" si="1178">+OH9-IL9</f>
        <v>6099909.5</v>
      </c>
      <c r="OI40" s="77">
        <f t="shared" si="1178"/>
        <v>5153174.5</v>
      </c>
      <c r="OJ40" s="77">
        <f t="shared" ref="OJ40" si="1179">+OJ9-IN9</f>
        <v>3616438</v>
      </c>
      <c r="OK40" s="77">
        <f t="shared" ref="OK40" si="1180">+OK9-IO9</f>
        <v>4153700.75</v>
      </c>
      <c r="OL40" s="77">
        <f t="shared" ref="OL40" si="1181">+OL9-IP9</f>
        <v>9399255</v>
      </c>
      <c r="OM40" s="77">
        <f t="shared" ref="OM40:ON40" si="1182">+OM9-IQ9</f>
        <v>12998855</v>
      </c>
      <c r="ON40" s="77">
        <f t="shared" si="1182"/>
        <v>13858756</v>
      </c>
      <c r="OO40" s="77">
        <f t="shared" ref="OO40" si="1183">+OO9-IS9</f>
        <v>12391314</v>
      </c>
    </row>
    <row r="41" spans="1:419" x14ac:dyDescent="0.35">
      <c r="B41" s="77">
        <f>B12+AN12+BZ12</f>
        <v>5041549.09375</v>
      </c>
      <c r="C41" s="77">
        <f t="shared" ref="C41:N41" si="1184">C12+AO12+CA12</f>
        <v>5041549.147857666</v>
      </c>
      <c r="D41" s="77">
        <f t="shared" si="1184"/>
        <v>5041548.90625</v>
      </c>
      <c r="E41" s="77">
        <f t="shared" si="1184"/>
        <v>5041549.0625</v>
      </c>
      <c r="F41" s="77">
        <f t="shared" si="1184"/>
        <v>5041548.90625</v>
      </c>
      <c r="G41" s="77">
        <f t="shared" si="1184"/>
        <v>5041549.1875</v>
      </c>
      <c r="H41" s="77">
        <f t="shared" si="1184"/>
        <v>5041548.8125</v>
      </c>
      <c r="I41" s="77">
        <f t="shared" si="1184"/>
        <v>5041549.03125</v>
      </c>
      <c r="J41" s="77">
        <f t="shared" si="1184"/>
        <v>5041548.9375</v>
      </c>
      <c r="K41" s="77">
        <f t="shared" si="1184"/>
        <v>5041549.09375</v>
      </c>
      <c r="L41" s="77">
        <f t="shared" si="1184"/>
        <v>5041549.125</v>
      </c>
      <c r="M41" s="77">
        <f t="shared" si="1184"/>
        <v>5041548.84375</v>
      </c>
      <c r="N41" s="77">
        <f t="shared" si="1184"/>
        <v>5041548.8125</v>
      </c>
      <c r="O41" s="77">
        <f t="shared" ref="O41:O42" si="1185">O12+BA12+CM12</f>
        <v>5041549.15625</v>
      </c>
      <c r="P41" s="77">
        <f t="shared" ref="P41:P42" si="1186">P12+BB12+CN12</f>
        <v>5041549.15625</v>
      </c>
      <c r="Q41" s="77">
        <f t="shared" ref="Q41:Q42" si="1187">Q12+BC12+CO12</f>
        <v>5041548.90625</v>
      </c>
      <c r="R41" s="77">
        <f t="shared" ref="R41:R42" si="1188">R12+BD12+CP12</f>
        <v>5041548.84375</v>
      </c>
      <c r="S41" s="77">
        <f t="shared" ref="S41:S42" si="1189">S12+BE12+CQ12</f>
        <v>5041548.71875</v>
      </c>
      <c r="T41" s="77">
        <f t="shared" ref="T41:AA42" si="1190">T12+BF12+CR12</f>
        <v>5041548.90625</v>
      </c>
      <c r="U41" s="77">
        <f t="shared" si="1190"/>
        <v>5041548.6875</v>
      </c>
      <c r="V41" s="77">
        <f t="shared" si="1190"/>
        <v>5041549.125</v>
      </c>
      <c r="W41" s="77">
        <f t="shared" si="1190"/>
        <v>1666741.6875</v>
      </c>
      <c r="X41" s="77">
        <f t="shared" si="1190"/>
        <v>0</v>
      </c>
      <c r="Y41" s="77">
        <f t="shared" si="1190"/>
        <v>0</v>
      </c>
      <c r="Z41" s="77">
        <f t="shared" si="1190"/>
        <v>0</v>
      </c>
      <c r="AA41" s="77">
        <f t="shared" si="1190"/>
        <v>0</v>
      </c>
    </row>
    <row r="42" spans="1:419" x14ac:dyDescent="0.35">
      <c r="B42" s="77">
        <f>B13+AN13+BZ13</f>
        <v>5041549</v>
      </c>
      <c r="C42" s="77">
        <f t="shared" ref="C42:N42" si="1191">C13+AO13+CA13</f>
        <v>5041549</v>
      </c>
      <c r="D42" s="77">
        <f t="shared" si="1191"/>
        <v>5041549</v>
      </c>
      <c r="E42" s="77">
        <f t="shared" si="1191"/>
        <v>5041549</v>
      </c>
      <c r="F42" s="77">
        <f t="shared" si="1191"/>
        <v>5041549</v>
      </c>
      <c r="G42" s="77">
        <f t="shared" si="1191"/>
        <v>5041549</v>
      </c>
      <c r="H42" s="77">
        <f t="shared" si="1191"/>
        <v>5041549</v>
      </c>
      <c r="I42" s="77">
        <f t="shared" si="1191"/>
        <v>5041549</v>
      </c>
      <c r="J42" s="77">
        <f t="shared" si="1191"/>
        <v>5041549</v>
      </c>
      <c r="K42" s="77">
        <f t="shared" si="1191"/>
        <v>5041549</v>
      </c>
      <c r="L42" s="77">
        <f t="shared" si="1191"/>
        <v>5041549</v>
      </c>
      <c r="M42" s="77">
        <f t="shared" si="1191"/>
        <v>5041549</v>
      </c>
      <c r="N42" s="77">
        <f t="shared" si="1191"/>
        <v>5041549</v>
      </c>
      <c r="O42" s="77">
        <f t="shared" si="1185"/>
        <v>5041549</v>
      </c>
      <c r="P42" s="77">
        <f t="shared" si="1186"/>
        <v>5041549</v>
      </c>
      <c r="Q42" s="77">
        <f t="shared" si="1187"/>
        <v>5041549</v>
      </c>
      <c r="R42" s="77">
        <f t="shared" si="1188"/>
        <v>5041549</v>
      </c>
      <c r="S42" s="77">
        <f t="shared" si="1189"/>
        <v>5041549</v>
      </c>
      <c r="T42" s="77">
        <f t="shared" si="1190"/>
        <v>5041549</v>
      </c>
      <c r="U42" s="77">
        <f t="shared" si="1190"/>
        <v>5041549</v>
      </c>
      <c r="V42" s="77">
        <f t="shared" si="1190"/>
        <v>5041549</v>
      </c>
      <c r="W42" s="77">
        <f t="shared" si="1190"/>
        <v>0</v>
      </c>
      <c r="X42" s="77">
        <f t="shared" si="1190"/>
        <v>0</v>
      </c>
      <c r="Y42" s="77">
        <f t="shared" si="1190"/>
        <v>0</v>
      </c>
      <c r="Z42" s="77">
        <f t="shared" si="1190"/>
        <v>0</v>
      </c>
      <c r="AA42" s="77">
        <f t="shared" si="1190"/>
        <v>0</v>
      </c>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NR42" s="79">
        <v>1299344</v>
      </c>
      <c r="NS42" s="79">
        <v>1671059.38</v>
      </c>
      <c r="NT42" s="79">
        <v>5430882.5</v>
      </c>
      <c r="NU42" s="79">
        <v>7845139.5</v>
      </c>
      <c r="NV42" s="79">
        <v>13350280</v>
      </c>
      <c r="NW42" s="79">
        <v>23335158</v>
      </c>
      <c r="NX42" s="79">
        <v>26687678</v>
      </c>
      <c r="NY42" s="79">
        <v>26427746</v>
      </c>
      <c r="NZ42" s="79">
        <v>25119500</v>
      </c>
      <c r="OA42" s="79">
        <v>23628370</v>
      </c>
      <c r="OB42" s="79">
        <v>22681778</v>
      </c>
      <c r="OC42" s="79">
        <v>20724044</v>
      </c>
      <c r="OD42" s="79">
        <v>18774226</v>
      </c>
      <c r="OE42" s="79">
        <v>16962072</v>
      </c>
      <c r="OF42" s="79">
        <v>15252291</v>
      </c>
      <c r="OG42" s="79">
        <v>13027470</v>
      </c>
      <c r="OK42" s="77">
        <f>OK9-OK10</f>
        <v>265426.5</v>
      </c>
      <c r="OL42" s="77">
        <f>OL9-OL10</f>
        <v>1</v>
      </c>
      <c r="OM42" s="77">
        <f>OM9-OM10</f>
        <v>-2547652</v>
      </c>
    </row>
    <row r="43" spans="1:419" x14ac:dyDescent="0.35">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NT43" s="79"/>
    </row>
    <row r="44" spans="1:419" x14ac:dyDescent="0.35">
      <c r="B44" s="38"/>
      <c r="C44" s="38"/>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NQ44" s="79"/>
      <c r="NR44" s="79">
        <f t="shared" ref="NR44:NS44" si="1192">+NR42-NR10</f>
        <v>1299344</v>
      </c>
      <c r="NS44" s="79">
        <f t="shared" si="1192"/>
        <v>1671059.38</v>
      </c>
      <c r="NT44" s="79">
        <f>+NT42-NT10</f>
        <v>1248595.5</v>
      </c>
      <c r="NU44" s="79">
        <f t="shared" ref="NU44:NW44" si="1193">+NU42-NU10</f>
        <v>1057080.5</v>
      </c>
      <c r="NV44" s="79">
        <f t="shared" si="1193"/>
        <v>932232</v>
      </c>
      <c r="NW44" s="79">
        <f t="shared" si="1193"/>
        <v>828118</v>
      </c>
    </row>
    <row r="45" spans="1:419" x14ac:dyDescent="0.35">
      <c r="B45" s="14">
        <f>B15+AN12+BZ12</f>
        <v>428542.59375</v>
      </c>
      <c r="C45" s="14">
        <f t="shared" ref="C45:N45" si="1194">C15+AO12+CA12</f>
        <v>522676.64785766602</v>
      </c>
      <c r="D45" s="14">
        <f t="shared" si="1194"/>
        <v>996194.15625</v>
      </c>
      <c r="E45" s="14">
        <f t="shared" si="1194"/>
        <v>2092275.0625</v>
      </c>
      <c r="F45" s="14">
        <f t="shared" si="1194"/>
        <v>3183812.53125</v>
      </c>
      <c r="G45" s="14">
        <f t="shared" si="1194"/>
        <v>3508568.0625</v>
      </c>
      <c r="H45" s="14">
        <f t="shared" si="1194"/>
        <v>3351793.3125</v>
      </c>
      <c r="I45" s="14">
        <f t="shared" si="1194"/>
        <v>3104100.28125</v>
      </c>
      <c r="J45" s="14">
        <f t="shared" si="1194"/>
        <v>2868254.6875</v>
      </c>
      <c r="K45" s="14">
        <f t="shared" si="1194"/>
        <v>2627816.59375</v>
      </c>
      <c r="L45" s="14">
        <f t="shared" si="1194"/>
        <v>2383587.625</v>
      </c>
      <c r="M45" s="14">
        <f t="shared" si="1194"/>
        <v>2125674.09375</v>
      </c>
      <c r="N45" s="14">
        <f t="shared" si="1194"/>
        <v>1866198.8125</v>
      </c>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NT45" s="79"/>
    </row>
    <row r="46" spans="1:419" x14ac:dyDescent="0.35">
      <c r="B46" s="14">
        <f>B16+AN13+BZ13</f>
        <v>0</v>
      </c>
      <c r="C46" s="14">
        <f t="shared" ref="C46:N46" si="1195">C16+AO13+CA13</f>
        <v>0</v>
      </c>
      <c r="D46" s="14">
        <f t="shared" si="1195"/>
        <v>0</v>
      </c>
      <c r="E46" s="14">
        <f t="shared" si="1195"/>
        <v>0</v>
      </c>
      <c r="F46" s="14">
        <f t="shared" si="1195"/>
        <v>0</v>
      </c>
      <c r="G46" s="14">
        <f t="shared" si="1195"/>
        <v>0</v>
      </c>
      <c r="H46" s="14">
        <f t="shared" si="1195"/>
        <v>0</v>
      </c>
      <c r="I46" s="14">
        <f t="shared" si="1195"/>
        <v>0</v>
      </c>
      <c r="J46" s="14">
        <f t="shared" si="1195"/>
        <v>0</v>
      </c>
      <c r="K46" s="14">
        <f t="shared" si="1195"/>
        <v>0</v>
      </c>
      <c r="L46" s="14">
        <f t="shared" si="1195"/>
        <v>0</v>
      </c>
      <c r="M46" s="14">
        <f t="shared" si="1195"/>
        <v>0</v>
      </c>
      <c r="N46" s="14">
        <f t="shared" si="1195"/>
        <v>0</v>
      </c>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NT46" s="79"/>
    </row>
    <row r="47" spans="1:419" x14ac:dyDescent="0.35">
      <c r="B47" s="14">
        <f t="shared" ref="B47:R47" si="1196">B18+B12</f>
        <v>9886464</v>
      </c>
      <c r="C47" s="14">
        <f t="shared" si="1196"/>
        <v>9513125</v>
      </c>
      <c r="D47" s="14">
        <f t="shared" si="1196"/>
        <v>8481032.75</v>
      </c>
      <c r="E47" s="14">
        <f t="shared" si="1196"/>
        <v>7232257.5</v>
      </c>
      <c r="F47" s="14">
        <f t="shared" si="1196"/>
        <v>6066113.375</v>
      </c>
      <c r="G47" s="14">
        <f t="shared" si="1196"/>
        <v>5700144.625</v>
      </c>
      <c r="H47" s="14">
        <f t="shared" si="1196"/>
        <v>5705983.5</v>
      </c>
      <c r="I47" s="14">
        <f t="shared" si="1196"/>
        <v>5822910.75</v>
      </c>
      <c r="J47" s="14">
        <f t="shared" si="1196"/>
        <v>6013490.75</v>
      </c>
      <c r="K47" s="14">
        <f t="shared" si="1196"/>
        <v>6174083.75</v>
      </c>
      <c r="L47" s="14">
        <f t="shared" si="1196"/>
        <v>6251834.5</v>
      </c>
      <c r="M47" s="14">
        <f t="shared" si="1196"/>
        <v>6218289.5</v>
      </c>
      <c r="N47" s="14">
        <f t="shared" si="1196"/>
        <v>6258112.75</v>
      </c>
      <c r="O47" s="14">
        <f t="shared" si="1196"/>
        <v>6400391</v>
      </c>
      <c r="P47" s="14">
        <f t="shared" si="1196"/>
        <v>6561783.25</v>
      </c>
      <c r="Q47" s="14">
        <f t="shared" si="1196"/>
        <v>6700358</v>
      </c>
      <c r="R47" s="14">
        <f t="shared" si="1196"/>
        <v>6971373</v>
      </c>
      <c r="S47" s="14">
        <f>S18+S12</f>
        <v>7158114.75</v>
      </c>
      <c r="T47" s="14">
        <f>T18+T12</f>
        <v>7113001.25</v>
      </c>
      <c r="U47" s="14">
        <f>U18+U12</f>
        <v>6995172.25</v>
      </c>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c r="NT47" s="79"/>
    </row>
    <row r="48" spans="1:419" x14ac:dyDescent="0.35">
      <c r="B48" s="78">
        <f>B21-B47</f>
        <v>-2281204.5</v>
      </c>
      <c r="C48" s="78">
        <f t="shared" ref="C48:S48" si="1197">C21-C47</f>
        <v>-429</v>
      </c>
      <c r="D48" s="78">
        <f t="shared" si="1197"/>
        <v>0.25</v>
      </c>
      <c r="E48" s="78">
        <f t="shared" si="1197"/>
        <v>-0.5</v>
      </c>
      <c r="F48" s="78">
        <f t="shared" si="1197"/>
        <v>-0.375</v>
      </c>
      <c r="G48" s="78">
        <f t="shared" si="1197"/>
        <v>-0.125</v>
      </c>
      <c r="H48" s="78">
        <f t="shared" si="1197"/>
        <v>0</v>
      </c>
      <c r="I48" s="78">
        <f t="shared" si="1197"/>
        <v>-0.25</v>
      </c>
      <c r="J48" s="78">
        <f t="shared" si="1197"/>
        <v>-0.25</v>
      </c>
      <c r="K48" s="78">
        <f t="shared" si="1197"/>
        <v>-0.25</v>
      </c>
      <c r="L48" s="78">
        <f t="shared" si="1197"/>
        <v>0</v>
      </c>
      <c r="M48" s="78">
        <f t="shared" si="1197"/>
        <v>0</v>
      </c>
      <c r="N48" s="78">
        <f t="shared" si="1197"/>
        <v>0.25</v>
      </c>
      <c r="O48" s="78">
        <f t="shared" si="1197"/>
        <v>0</v>
      </c>
      <c r="P48" s="78">
        <f t="shared" si="1197"/>
        <v>-0.25</v>
      </c>
      <c r="Q48" s="78">
        <f t="shared" si="1197"/>
        <v>0</v>
      </c>
      <c r="R48" s="78">
        <f t="shared" si="1197"/>
        <v>0</v>
      </c>
      <c r="S48" s="78">
        <f t="shared" si="1197"/>
        <v>-0.25</v>
      </c>
      <c r="T48" s="78">
        <f>T21-T47</f>
        <v>-0.25</v>
      </c>
      <c r="U48" s="78">
        <f>U21-U47</f>
        <v>0.25</v>
      </c>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NT48" s="79"/>
    </row>
    <row r="49" spans="1:384" x14ac:dyDescent="0.35">
      <c r="B49" s="14">
        <f>B18-B19</f>
        <v>0.5</v>
      </c>
      <c r="C49" s="14">
        <f>C18-C19</f>
        <v>-578.5</v>
      </c>
      <c r="D49" s="14">
        <f t="shared" ref="D49:N49" si="1198">D18-D19</f>
        <v>-817</v>
      </c>
      <c r="E49" s="14">
        <f t="shared" si="1198"/>
        <v>-192.5</v>
      </c>
      <c r="F49" s="14">
        <f t="shared" si="1198"/>
        <v>-139</v>
      </c>
      <c r="G49" s="14">
        <f t="shared" si="1198"/>
        <v>-63.5</v>
      </c>
      <c r="H49" s="14">
        <f t="shared" si="1198"/>
        <v>-236</v>
      </c>
      <c r="I49" s="14">
        <f t="shared" si="1198"/>
        <v>-43</v>
      </c>
      <c r="J49" s="14">
        <f t="shared" si="1198"/>
        <v>-74.5</v>
      </c>
      <c r="K49" s="14">
        <f t="shared" si="1198"/>
        <v>-128.75</v>
      </c>
      <c r="L49" s="14">
        <f t="shared" si="1198"/>
        <v>-279</v>
      </c>
      <c r="M49" s="14">
        <f t="shared" si="1198"/>
        <v>-354.25</v>
      </c>
      <c r="N49" s="14">
        <f t="shared" si="1198"/>
        <v>-354.25</v>
      </c>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NT49" s="79"/>
    </row>
    <row r="50" spans="1:384" x14ac:dyDescent="0.35">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c r="NT50" s="79"/>
    </row>
    <row r="51" spans="1:384" x14ac:dyDescent="0.35">
      <c r="A51" s="13" t="s">
        <v>126</v>
      </c>
      <c r="B51" s="14">
        <v>101.25</v>
      </c>
      <c r="C51" s="14">
        <v>88.166664123535156</v>
      </c>
      <c r="D51" s="14">
        <v>70.416664123535156</v>
      </c>
      <c r="E51" s="14">
        <v>49.416667938232422</v>
      </c>
      <c r="F51" s="14">
        <v>42.083332061767578</v>
      </c>
      <c r="G51" s="14">
        <v>35.25</v>
      </c>
      <c r="H51" s="14">
        <v>34</v>
      </c>
      <c r="I51" s="14">
        <v>34</v>
      </c>
      <c r="J51" s="14">
        <v>34</v>
      </c>
      <c r="K51" s="14">
        <v>32.333332061767578</v>
      </c>
      <c r="L51" s="14">
        <v>29.5</v>
      </c>
      <c r="M51" s="14">
        <v>25.916666030883789</v>
      </c>
      <c r="N51" s="14">
        <v>19</v>
      </c>
      <c r="O51" s="14">
        <v>12.5</v>
      </c>
      <c r="P51" s="14">
        <v>0.66666668653488159</v>
      </c>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c r="NT51" s="79"/>
    </row>
    <row r="52" spans="1:384" x14ac:dyDescent="0.35">
      <c r="A52" s="13" t="s">
        <v>127</v>
      </c>
      <c r="B52" s="78">
        <v>102</v>
      </c>
      <c r="C52" s="78">
        <v>100</v>
      </c>
      <c r="D52" s="78">
        <v>85</v>
      </c>
      <c r="E52" s="78">
        <v>53</v>
      </c>
      <c r="F52" s="78">
        <v>44</v>
      </c>
      <c r="G52" s="78">
        <v>39</v>
      </c>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NT52" s="79"/>
    </row>
    <row r="53" spans="1:384" x14ac:dyDescent="0.35">
      <c r="A53" s="14" t="s">
        <v>128</v>
      </c>
      <c r="B53" s="14">
        <f>+(B52-B51)*B54</f>
        <v>8740.5</v>
      </c>
      <c r="C53" s="14">
        <f t="shared" ref="C53:G53" si="1199">+(C52-C51)*C54</f>
        <v>154318.53316497803</v>
      </c>
      <c r="D53" s="14">
        <f t="shared" si="1199"/>
        <v>174475.03042602539</v>
      </c>
      <c r="E53" s="14">
        <f t="shared" si="1199"/>
        <v>42870.984786987305</v>
      </c>
      <c r="F53" s="14">
        <f t="shared" si="1199"/>
        <v>22931.015213012695</v>
      </c>
      <c r="G53" s="14">
        <f t="shared" si="1199"/>
        <v>44865</v>
      </c>
      <c r="H53" s="14"/>
      <c r="I53" s="14"/>
      <c r="J53" s="14"/>
      <c r="K53" s="14"/>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NT53" s="79"/>
    </row>
    <row r="54" spans="1:384" x14ac:dyDescent="0.35">
      <c r="B54" s="78">
        <v>11654</v>
      </c>
      <c r="C54" s="78">
        <v>13041</v>
      </c>
      <c r="D54" s="78">
        <v>11964</v>
      </c>
      <c r="E54" s="78">
        <v>11964</v>
      </c>
      <c r="F54" s="78">
        <v>11964</v>
      </c>
      <c r="G54" s="78">
        <v>11964</v>
      </c>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NT54" s="79"/>
    </row>
    <row r="55" spans="1:384" x14ac:dyDescent="0.35">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c r="NT55" s="79"/>
    </row>
    <row r="56" spans="1:384" x14ac:dyDescent="0.35">
      <c r="B56" s="78">
        <f>+(B6+AN6+BZ6)*98.7390424724127</f>
        <v>6767785.4789592288</v>
      </c>
      <c r="C56" s="78">
        <f t="shared" ref="C56:G56" si="1200">+(C6+AO6+CA6)*98.7390424724127</f>
        <v>5438511.9392855652</v>
      </c>
      <c r="D56" s="78">
        <f t="shared" si="1200"/>
        <v>5053562.9809929775</v>
      </c>
      <c r="E56" s="78">
        <f t="shared" si="1200"/>
        <v>5984764.7434663586</v>
      </c>
      <c r="F56" s="78">
        <f t="shared" si="1200"/>
        <v>8102614.0781266391</v>
      </c>
      <c r="G56" s="78">
        <f t="shared" si="1200"/>
        <v>8528266.6638809387</v>
      </c>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c r="NT56" s="79"/>
    </row>
    <row r="57" spans="1:384" x14ac:dyDescent="0.35">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NT57" s="79"/>
    </row>
    <row r="58" spans="1:384" x14ac:dyDescent="0.35">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NT58" s="79"/>
    </row>
    <row r="59" spans="1:384" x14ac:dyDescent="0.35">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1:384" x14ac:dyDescent="0.35">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1:384" x14ac:dyDescent="0.35">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1:384" x14ac:dyDescent="0.35">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1:384" x14ac:dyDescent="0.35">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1:384" x14ac:dyDescent="0.35">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35">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35">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35">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35">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35">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35">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35">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35">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35">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35">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35">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35">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35">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35">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35">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35">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35">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35">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35">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35">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35">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35">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35">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35">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35">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35">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35">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35">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35">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35">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35">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35">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35">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35">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35">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35">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35">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35">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35">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35">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35">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35">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35">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35">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35">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35">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35">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35">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35">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35">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35">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35">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35">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35">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35">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35">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35">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35">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35">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35">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35">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35">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35">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35">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35">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35">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35">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35">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35">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35">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35">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35">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35">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35">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35">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35">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35">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35">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35">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35">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35">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35">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35">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35">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35">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35">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35">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35">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35">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35">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35">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35">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35">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35">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35">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35">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35">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35">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35">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35">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35">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3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35">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35">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35">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35">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35">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35">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35">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35">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35">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35">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35">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35">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35">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35">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35">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35">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35">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35">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35">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35">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35">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35">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35">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35">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35">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35">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35">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35">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35">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35">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35">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35">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35">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35">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35">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35">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35">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35">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3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35">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35">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35">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35">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35">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35">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35">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35">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35">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35">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35">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35">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35">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35">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35">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35">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35">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35">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35">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35">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35">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35">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35">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35">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35">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35">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35">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35">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35">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35">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35">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35">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35">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35">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35">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35">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35">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35">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3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35">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35">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35">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35">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35">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35">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35">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35">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35">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35">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35">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35">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35">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35">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35">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35">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35">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35">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35">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35">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35">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35">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35">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35">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35">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35">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35">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35">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35">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35">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35">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35">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35">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35">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35">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35">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35">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35">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3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35">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35">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35">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35">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35">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35">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35">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35">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35">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35">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35">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35">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35">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35">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35">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35">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35">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35">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35">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35">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35">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35">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35">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35">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35">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35">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35">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35">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35">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35">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35">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35">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35">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35">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35">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35">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35">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35">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3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35">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35">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35">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35">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35">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35">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35">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35">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35">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35">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35">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35">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35">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35">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35">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35">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35">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35">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35">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35">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35">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35">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35">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35">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35">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35">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35">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35">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35">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35">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35">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35">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35">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35">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35">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35">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35">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35">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3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35">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35">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35">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35">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35">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35">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35">
      <c r="J2642" s="13">
        <v>2030</v>
      </c>
    </row>
  </sheetData>
  <mergeCells count="77">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 ref="GJ33:HU33"/>
    <mergeCell ref="DL33:EW33"/>
    <mergeCell ref="MF1:NQ1"/>
    <mergeCell ref="MF33:NQ33"/>
    <mergeCell ref="KT1:ME1"/>
    <mergeCell ref="KT33:ME33"/>
    <mergeCell ref="JH1:KS1"/>
    <mergeCell ref="EX1:GI1"/>
    <mergeCell ref="HV1:JG1"/>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B38:AM38"/>
    <mergeCell ref="AN38:BY38"/>
    <mergeCell ref="BZ38:DK38"/>
    <mergeCell ref="HV38:JG38"/>
    <mergeCell ref="NR38:PC38"/>
    <mergeCell ref="DL38:EW38"/>
    <mergeCell ref="EX38:GI38"/>
    <mergeCell ref="GJ38:HU38"/>
    <mergeCell ref="JH38:KS38"/>
    <mergeCell ref="KT38:ME38"/>
    <mergeCell ref="MF38:NQ38"/>
    <mergeCell ref="BZ37:DK37"/>
    <mergeCell ref="DL37:EW37"/>
    <mergeCell ref="HV37:JG37"/>
    <mergeCell ref="NR37:PC37"/>
    <mergeCell ref="EX37:GI37"/>
    <mergeCell ref="GJ37:HU37"/>
    <mergeCell ref="JH37:KS37"/>
    <mergeCell ref="KT37:ME37"/>
    <mergeCell ref="MF37:NQ37"/>
  </mergeCells>
  <phoneticPr fontId="4" type="noConversion"/>
  <conditionalFormatting sqref="B32:PC32 B8:PC8 B11:PC11 B17:PC17 B20:PC20 B23:PC23 B26:PC26 B29:PC29 B14:PC14 B5:PC5">
    <cfRule type="cellIs" dxfId="38" priority="37" operator="between">
      <formula>-0.01</formula>
      <formula>0.01</formula>
    </cfRule>
    <cfRule type="cellIs" dxfId="37" priority="40" operator="lessThan">
      <formula>-0.01</formula>
    </cfRule>
    <cfRule type="cellIs" dxfId="36" priority="41" operator="greaterThan">
      <formula>0.01</formula>
    </cfRule>
  </conditionalFormatting>
  <conditionalFormatting sqref="PF5">
    <cfRule type="cellIs" dxfId="35" priority="34" operator="between">
      <formula>-0.01</formula>
      <formula>0.01</formula>
    </cfRule>
    <cfRule type="cellIs" dxfId="34" priority="35" operator="lessThan">
      <formula>-0.01</formula>
    </cfRule>
    <cfRule type="cellIs" dxfId="33" priority="36" operator="greaterThan">
      <formula>0.01</formula>
    </cfRule>
  </conditionalFormatting>
  <conditionalFormatting sqref="PH5">
    <cfRule type="cellIs" dxfId="32" priority="31" operator="between">
      <formula>-0.01</formula>
      <formula>0.01</formula>
    </cfRule>
    <cfRule type="cellIs" dxfId="31" priority="32" operator="lessThan">
      <formula>-0.01</formula>
    </cfRule>
    <cfRule type="cellIs" dxfId="30" priority="33" operator="greaterThan">
      <formula>0.01</formula>
    </cfRule>
  </conditionalFormatting>
  <conditionalFormatting sqref="PF11">
    <cfRule type="cellIs" dxfId="29" priority="28" operator="between">
      <formula>-0.01</formula>
      <formula>0.01</formula>
    </cfRule>
    <cfRule type="cellIs" dxfId="28" priority="29" operator="lessThan">
      <formula>-0.01</formula>
    </cfRule>
    <cfRule type="cellIs" dxfId="27" priority="30" operator="greaterThan">
      <formula>0.01</formula>
    </cfRule>
  </conditionalFormatting>
  <conditionalFormatting sqref="PH11">
    <cfRule type="cellIs" dxfId="26" priority="25" operator="between">
      <formula>-0.01</formula>
      <formula>0.01</formula>
    </cfRule>
    <cfRule type="cellIs" dxfId="25" priority="26" operator="lessThan">
      <formula>-0.01</formula>
    </cfRule>
    <cfRule type="cellIs" dxfId="24" priority="27" operator="greaterThan">
      <formula>0.01</formula>
    </cfRule>
  </conditionalFormatting>
  <conditionalFormatting sqref="PF32">
    <cfRule type="cellIs" dxfId="23" priority="22" operator="between">
      <formula>-0.01</formula>
      <formula>0.01</formula>
    </cfRule>
    <cfRule type="cellIs" dxfId="22" priority="23" operator="lessThan">
      <formula>-0.01</formula>
    </cfRule>
    <cfRule type="cellIs" dxfId="21" priority="24" operator="greaterThan">
      <formula>0.01</formula>
    </cfRule>
  </conditionalFormatting>
  <conditionalFormatting sqref="PH32">
    <cfRule type="cellIs" dxfId="20" priority="19" operator="between">
      <formula>-0.01</formula>
      <formula>0.01</formula>
    </cfRule>
    <cfRule type="cellIs" dxfId="19" priority="20" operator="lessThan">
      <formula>-0.01</formula>
    </cfRule>
    <cfRule type="cellIs" dxfId="18" priority="21" operator="greaterThan">
      <formula>0.01</formula>
    </cfRule>
  </conditionalFormatting>
  <conditionalFormatting sqref="PF29">
    <cfRule type="cellIs" dxfId="17" priority="16" operator="between">
      <formula>-0.01</formula>
      <formula>0.01</formula>
    </cfRule>
    <cfRule type="cellIs" dxfId="16" priority="17" operator="lessThan">
      <formula>-0.01</formula>
    </cfRule>
    <cfRule type="cellIs" dxfId="15" priority="18" operator="greaterThan">
      <formula>0.01</formula>
    </cfRule>
  </conditionalFormatting>
  <conditionalFormatting sqref="PH29">
    <cfRule type="cellIs" dxfId="14" priority="13" operator="between">
      <formula>-0.01</formula>
      <formula>0.01</formula>
    </cfRule>
    <cfRule type="cellIs" dxfId="13" priority="14" operator="lessThan">
      <formula>-0.01</formula>
    </cfRule>
    <cfRule type="cellIs" dxfId="12" priority="15" operator="greaterThan">
      <formula>0.01</formula>
    </cfRule>
  </conditionalFormatting>
  <conditionalFormatting sqref="PH14">
    <cfRule type="cellIs" dxfId="11" priority="10" operator="between">
      <formula>-0.01</formula>
      <formula>0.01</formula>
    </cfRule>
    <cfRule type="cellIs" dxfId="10" priority="11" operator="lessThan">
      <formula>-0.01</formula>
    </cfRule>
    <cfRule type="cellIs" dxfId="9" priority="12" operator="greaterThan">
      <formula>0.01</formula>
    </cfRule>
  </conditionalFormatting>
  <conditionalFormatting sqref="PH20">
    <cfRule type="cellIs" dxfId="8" priority="7" operator="between">
      <formula>-0.01</formula>
      <formula>0.01</formula>
    </cfRule>
    <cfRule type="cellIs" dxfId="7" priority="8" operator="lessThan">
      <formula>-0.01</formula>
    </cfRule>
    <cfRule type="cellIs" dxfId="6" priority="9" operator="greaterThan">
      <formula>0.01</formula>
    </cfRule>
  </conditionalFormatting>
  <conditionalFormatting sqref="PH23">
    <cfRule type="cellIs" dxfId="5" priority="4" operator="between">
      <formula>-0.01</formula>
      <formula>0.01</formula>
    </cfRule>
    <cfRule type="cellIs" dxfId="4" priority="5" operator="lessThan">
      <formula>-0.01</formula>
    </cfRule>
    <cfRule type="cellIs" dxfId="3" priority="6" operator="greaterThan">
      <formula>0.01</formula>
    </cfRule>
  </conditionalFormatting>
  <conditionalFormatting sqref="PH26">
    <cfRule type="cellIs" dxfId="2" priority="1" operator="between">
      <formula>-0.01</formula>
      <formula>0.01</formula>
    </cfRule>
    <cfRule type="cellIs" dxfId="1" priority="2" operator="lessThan">
      <formula>-0.01</formula>
    </cfRule>
    <cfRule type="cellIs" dxfId="0" priority="3" operator="greaterThan">
      <formula>0.01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4140625" defaultRowHeight="15" x14ac:dyDescent="0.35"/>
  <cols>
    <col min="1" max="1" width="13.88671875" style="15" customWidth="1"/>
    <col min="2" max="2" width="13.109375" style="15" customWidth="1"/>
    <col min="3" max="3" width="11.44140625" style="15"/>
    <col min="4" max="27" width="11.88671875" style="13" customWidth="1"/>
    <col min="28" max="16384" width="11.44140625" style="13"/>
  </cols>
  <sheetData>
    <row r="1" spans="1:27" s="21" customFormat="1" ht="30" x14ac:dyDescent="0.3">
      <c r="A1" s="21" t="s">
        <v>64</v>
      </c>
      <c r="B1" s="21" t="s">
        <v>65</v>
      </c>
      <c r="C1" s="21" t="s">
        <v>66</v>
      </c>
      <c r="D1" s="22" t="s">
        <v>67</v>
      </c>
      <c r="E1" s="22" t="s">
        <v>68</v>
      </c>
      <c r="F1" s="22" t="s">
        <v>69</v>
      </c>
      <c r="G1" s="22" t="s">
        <v>70</v>
      </c>
      <c r="H1" s="22" t="s">
        <v>71</v>
      </c>
      <c r="I1" s="22" t="s">
        <v>72</v>
      </c>
      <c r="J1" s="22" t="s">
        <v>73</v>
      </c>
      <c r="K1" s="22" t="s">
        <v>74</v>
      </c>
      <c r="L1" s="22" t="s">
        <v>75</v>
      </c>
      <c r="M1" s="22" t="s">
        <v>76</v>
      </c>
      <c r="N1" s="22" t="s">
        <v>77</v>
      </c>
      <c r="O1" s="22" t="s">
        <v>78</v>
      </c>
      <c r="P1" s="22" t="s">
        <v>79</v>
      </c>
      <c r="Q1" s="22" t="s">
        <v>80</v>
      </c>
      <c r="R1" s="22" t="s">
        <v>81</v>
      </c>
      <c r="S1" s="22" t="s">
        <v>82</v>
      </c>
      <c r="T1" s="22" t="s">
        <v>83</v>
      </c>
      <c r="U1" s="22" t="s">
        <v>84</v>
      </c>
      <c r="V1" s="22" t="s">
        <v>85</v>
      </c>
      <c r="W1" s="22" t="s">
        <v>86</v>
      </c>
      <c r="X1" s="22" t="s">
        <v>87</v>
      </c>
      <c r="Y1" s="24" t="s">
        <v>88</v>
      </c>
      <c r="Z1" s="22" t="s">
        <v>89</v>
      </c>
      <c r="AA1" s="22" t="s">
        <v>90</v>
      </c>
    </row>
    <row r="2" spans="1:27" x14ac:dyDescent="0.35">
      <c r="A2" s="15" t="s">
        <v>91</v>
      </c>
      <c r="B2" s="15" t="s">
        <v>14</v>
      </c>
      <c r="C2" s="15">
        <v>2023</v>
      </c>
      <c r="D2" s="13">
        <v>10</v>
      </c>
      <c r="E2" s="13">
        <v>15</v>
      </c>
      <c r="F2" s="23">
        <v>-0.33333333333333331</v>
      </c>
      <c r="I2" s="13">
        <v>0</v>
      </c>
      <c r="L2" s="13">
        <v>0</v>
      </c>
      <c r="O2" s="13">
        <v>0</v>
      </c>
      <c r="R2" s="13">
        <v>0</v>
      </c>
      <c r="U2" s="13">
        <v>0</v>
      </c>
      <c r="X2" s="13">
        <v>0</v>
      </c>
      <c r="AA2" s="13">
        <v>0</v>
      </c>
    </row>
    <row r="3" spans="1:27" x14ac:dyDescent="0.35">
      <c r="A3" s="15" t="s">
        <v>91</v>
      </c>
      <c r="B3" s="15" t="s">
        <v>15</v>
      </c>
      <c r="C3" s="15">
        <v>2024</v>
      </c>
      <c r="F3" s="13">
        <v>0</v>
      </c>
      <c r="I3" s="13">
        <v>0</v>
      </c>
      <c r="L3" s="13">
        <v>0</v>
      </c>
      <c r="O3" s="13">
        <v>0</v>
      </c>
      <c r="R3" s="13">
        <v>0</v>
      </c>
      <c r="U3" s="13">
        <v>0</v>
      </c>
      <c r="X3" s="13">
        <v>0</v>
      </c>
      <c r="AA3" s="13">
        <v>0</v>
      </c>
    </row>
    <row r="4" spans="1:27" x14ac:dyDescent="0.35">
      <c r="A4" s="15" t="s">
        <v>91</v>
      </c>
      <c r="B4" s="15" t="s">
        <v>16</v>
      </c>
      <c r="C4" s="15">
        <v>2025</v>
      </c>
      <c r="F4" s="13">
        <v>0</v>
      </c>
      <c r="I4" s="13">
        <v>0</v>
      </c>
      <c r="L4" s="13">
        <v>0</v>
      </c>
      <c r="O4" s="13">
        <v>0</v>
      </c>
      <c r="R4" s="13">
        <v>0</v>
      </c>
      <c r="U4" s="13">
        <v>0</v>
      </c>
      <c r="X4" s="13">
        <v>0</v>
      </c>
      <c r="AA4" s="13">
        <v>0</v>
      </c>
    </row>
    <row r="5" spans="1:27" x14ac:dyDescent="0.35">
      <c r="A5" s="15" t="s">
        <v>91</v>
      </c>
      <c r="B5" s="15" t="s">
        <v>20</v>
      </c>
      <c r="C5" s="15">
        <v>2026</v>
      </c>
      <c r="F5" s="13">
        <v>0</v>
      </c>
      <c r="I5" s="13">
        <v>0</v>
      </c>
      <c r="L5" s="13">
        <v>0</v>
      </c>
      <c r="O5" s="13">
        <v>0</v>
      </c>
      <c r="R5" s="13">
        <v>0</v>
      </c>
      <c r="U5" s="13">
        <v>0</v>
      </c>
      <c r="X5" s="13">
        <v>0</v>
      </c>
      <c r="AA5" s="13">
        <v>0</v>
      </c>
    </row>
    <row r="6" spans="1:27" x14ac:dyDescent="0.35">
      <c r="A6" s="15" t="s">
        <v>92</v>
      </c>
      <c r="B6" s="15" t="s">
        <v>14</v>
      </c>
      <c r="C6" s="15">
        <v>2027</v>
      </c>
      <c r="F6" s="13">
        <v>0</v>
      </c>
      <c r="I6" s="13">
        <v>0</v>
      </c>
      <c r="L6" s="13">
        <v>0</v>
      </c>
      <c r="O6" s="13">
        <v>0</v>
      </c>
      <c r="R6" s="13">
        <v>0</v>
      </c>
      <c r="U6" s="13">
        <v>0</v>
      </c>
      <c r="X6" s="13">
        <v>0</v>
      </c>
      <c r="AA6" s="13">
        <v>0</v>
      </c>
    </row>
    <row r="7" spans="1:27" x14ac:dyDescent="0.35">
      <c r="A7" s="15" t="s">
        <v>92</v>
      </c>
      <c r="B7" s="15" t="s">
        <v>16</v>
      </c>
      <c r="C7" s="15">
        <v>2028</v>
      </c>
      <c r="F7" s="13">
        <v>0</v>
      </c>
      <c r="I7" s="13">
        <v>0</v>
      </c>
      <c r="L7" s="13">
        <v>0</v>
      </c>
      <c r="O7" s="13">
        <v>0</v>
      </c>
      <c r="R7" s="13">
        <v>0</v>
      </c>
      <c r="U7" s="13">
        <v>0</v>
      </c>
      <c r="X7" s="13">
        <v>0</v>
      </c>
      <c r="AA7" s="13">
        <v>0</v>
      </c>
    </row>
    <row r="8" spans="1:27" x14ac:dyDescent="0.35">
      <c r="A8" s="15" t="s">
        <v>92</v>
      </c>
      <c r="B8" s="15" t="s">
        <v>20</v>
      </c>
      <c r="C8" s="15">
        <v>2029</v>
      </c>
      <c r="F8" s="13">
        <v>0</v>
      </c>
      <c r="I8" s="13">
        <v>0</v>
      </c>
      <c r="L8" s="13">
        <v>0</v>
      </c>
      <c r="O8" s="13">
        <v>0</v>
      </c>
      <c r="R8" s="13">
        <v>0</v>
      </c>
      <c r="U8" s="13">
        <v>0</v>
      </c>
      <c r="X8" s="13">
        <v>0</v>
      </c>
      <c r="AA8" s="13">
        <v>0</v>
      </c>
    </row>
    <row r="9" spans="1:27" x14ac:dyDescent="0.35">
      <c r="A9" s="15" t="s">
        <v>92</v>
      </c>
      <c r="B9" s="15" t="s">
        <v>93</v>
      </c>
      <c r="C9" s="15">
        <v>2030</v>
      </c>
      <c r="F9" s="13">
        <v>0</v>
      </c>
      <c r="I9" s="13">
        <v>0</v>
      </c>
      <c r="L9" s="13">
        <v>0</v>
      </c>
      <c r="O9" s="13">
        <v>0</v>
      </c>
      <c r="R9" s="13">
        <v>0</v>
      </c>
      <c r="U9" s="13">
        <v>0</v>
      </c>
      <c r="X9" s="13">
        <v>0</v>
      </c>
      <c r="AA9" s="13">
        <v>0</v>
      </c>
    </row>
    <row r="10" spans="1:27" x14ac:dyDescent="0.35">
      <c r="C10" s="15">
        <v>2031</v>
      </c>
      <c r="F10" s="13">
        <v>0</v>
      </c>
      <c r="I10" s="13">
        <v>0</v>
      </c>
      <c r="L10" s="13">
        <v>0</v>
      </c>
      <c r="O10" s="13">
        <v>0</v>
      </c>
      <c r="R10" s="13">
        <v>0</v>
      </c>
      <c r="U10" s="13">
        <v>0</v>
      </c>
      <c r="X10" s="13">
        <v>0</v>
      </c>
      <c r="AA10" s="13">
        <v>0</v>
      </c>
    </row>
    <row r="11" spans="1:27" x14ac:dyDescent="0.35">
      <c r="C11" s="15">
        <v>2032</v>
      </c>
      <c r="F11" s="13">
        <v>0</v>
      </c>
      <c r="I11" s="13">
        <v>0</v>
      </c>
      <c r="L11" s="13">
        <v>0</v>
      </c>
      <c r="O11" s="13">
        <v>0</v>
      </c>
      <c r="R11" s="13">
        <v>0</v>
      </c>
      <c r="U11" s="13">
        <v>0</v>
      </c>
      <c r="X11" s="13">
        <v>0</v>
      </c>
      <c r="AA11" s="13">
        <v>0</v>
      </c>
    </row>
    <row r="12" spans="1:27" x14ac:dyDescent="0.35">
      <c r="C12" s="15">
        <v>2033</v>
      </c>
      <c r="F12" s="13">
        <v>0</v>
      </c>
      <c r="I12" s="13">
        <v>0</v>
      </c>
      <c r="L12" s="13">
        <v>0</v>
      </c>
      <c r="O12" s="13">
        <v>0</v>
      </c>
      <c r="R12" s="13">
        <v>0</v>
      </c>
      <c r="U12" s="13">
        <v>0</v>
      </c>
      <c r="X12" s="13">
        <v>0</v>
      </c>
      <c r="AA12" s="13">
        <v>0</v>
      </c>
    </row>
    <row r="13" spans="1:27" x14ac:dyDescent="0.35">
      <c r="C13" s="15">
        <v>2034</v>
      </c>
      <c r="F13" s="13">
        <v>0</v>
      </c>
      <c r="I13" s="13">
        <v>0</v>
      </c>
      <c r="L13" s="13">
        <v>0</v>
      </c>
      <c r="O13" s="13">
        <v>0</v>
      </c>
      <c r="R13" s="13">
        <v>0</v>
      </c>
      <c r="U13" s="13">
        <v>0</v>
      </c>
      <c r="X13" s="13">
        <v>0</v>
      </c>
      <c r="AA13" s="13">
        <v>0</v>
      </c>
    </row>
    <row r="14" spans="1:27" x14ac:dyDescent="0.35">
      <c r="C14" s="15">
        <v>2035</v>
      </c>
      <c r="F14" s="13">
        <v>0</v>
      </c>
      <c r="I14" s="13">
        <v>0</v>
      </c>
      <c r="L14" s="13">
        <v>0</v>
      </c>
      <c r="O14" s="13">
        <v>0</v>
      </c>
      <c r="R14" s="13">
        <v>0</v>
      </c>
      <c r="U14" s="13">
        <v>0</v>
      </c>
      <c r="X14" s="13">
        <v>0</v>
      </c>
      <c r="AA14" s="13">
        <v>0</v>
      </c>
    </row>
    <row r="15" spans="1:27" x14ac:dyDescent="0.35">
      <c r="C15" s="15">
        <v>2036</v>
      </c>
      <c r="F15" s="13">
        <v>0</v>
      </c>
      <c r="I15" s="13">
        <v>0</v>
      </c>
      <c r="L15" s="13">
        <v>0</v>
      </c>
      <c r="O15" s="13">
        <v>0</v>
      </c>
      <c r="R15" s="13">
        <v>0</v>
      </c>
      <c r="U15" s="13">
        <v>0</v>
      </c>
      <c r="X15" s="13">
        <v>0</v>
      </c>
      <c r="AA15" s="13">
        <v>0</v>
      </c>
    </row>
    <row r="16" spans="1:27" x14ac:dyDescent="0.35">
      <c r="C16" s="15">
        <v>2037</v>
      </c>
      <c r="F16" s="13">
        <v>0</v>
      </c>
      <c r="I16" s="13">
        <v>0</v>
      </c>
      <c r="L16" s="13">
        <v>0</v>
      </c>
      <c r="O16" s="13">
        <v>0</v>
      </c>
      <c r="R16" s="13">
        <v>0</v>
      </c>
      <c r="U16" s="13">
        <v>0</v>
      </c>
      <c r="X16" s="13">
        <v>0</v>
      </c>
      <c r="AA16" s="13">
        <v>0</v>
      </c>
    </row>
    <row r="17" spans="3:27" x14ac:dyDescent="0.35">
      <c r="C17" s="15">
        <v>2038</v>
      </c>
      <c r="F17" s="13">
        <v>0</v>
      </c>
      <c r="I17" s="13">
        <v>0</v>
      </c>
      <c r="L17" s="13">
        <v>0</v>
      </c>
      <c r="O17" s="13">
        <v>0</v>
      </c>
      <c r="R17" s="13">
        <v>0</v>
      </c>
      <c r="U17" s="13">
        <v>0</v>
      </c>
      <c r="X17" s="13">
        <v>0</v>
      </c>
      <c r="AA17" s="13">
        <v>0</v>
      </c>
    </row>
    <row r="18" spans="3:27" x14ac:dyDescent="0.35">
      <c r="C18" s="15">
        <v>2039</v>
      </c>
      <c r="F18" s="13">
        <v>0</v>
      </c>
      <c r="I18" s="13">
        <v>0</v>
      </c>
      <c r="L18" s="13">
        <v>0</v>
      </c>
      <c r="O18" s="13">
        <v>0</v>
      </c>
      <c r="R18" s="13">
        <v>0</v>
      </c>
      <c r="U18" s="13">
        <v>0</v>
      </c>
      <c r="X18" s="13">
        <v>0</v>
      </c>
      <c r="AA18" s="13">
        <v>0</v>
      </c>
    </row>
    <row r="19" spans="3:27" x14ac:dyDescent="0.35">
      <c r="C19" s="15">
        <v>2040</v>
      </c>
      <c r="F19" s="13">
        <v>0</v>
      </c>
      <c r="I19" s="13">
        <v>0</v>
      </c>
      <c r="L19" s="13">
        <v>0</v>
      </c>
      <c r="O19" s="13">
        <v>0</v>
      </c>
      <c r="R19" s="13">
        <v>0</v>
      </c>
      <c r="U19" s="13">
        <v>0</v>
      </c>
      <c r="X19" s="13">
        <v>0</v>
      </c>
      <c r="AA19" s="13">
        <v>0</v>
      </c>
    </row>
    <row r="20" spans="3:27" x14ac:dyDescent="0.35">
      <c r="C20" s="15">
        <v>2041</v>
      </c>
      <c r="F20" s="13">
        <v>0</v>
      </c>
      <c r="I20" s="13">
        <v>0</v>
      </c>
      <c r="L20" s="13">
        <v>0</v>
      </c>
      <c r="O20" s="13">
        <v>0</v>
      </c>
      <c r="R20" s="13">
        <v>0</v>
      </c>
      <c r="U20" s="13">
        <v>0</v>
      </c>
      <c r="X20" s="13">
        <v>0</v>
      </c>
      <c r="AA20" s="13">
        <v>0</v>
      </c>
    </row>
    <row r="21" spans="3:27" x14ac:dyDescent="0.35">
      <c r="C21" s="15">
        <v>2042</v>
      </c>
      <c r="F21" s="13">
        <v>0</v>
      </c>
      <c r="I21" s="13">
        <v>0</v>
      </c>
      <c r="L21" s="13">
        <v>0</v>
      </c>
      <c r="O21" s="13">
        <v>0</v>
      </c>
      <c r="R21" s="13">
        <v>0</v>
      </c>
      <c r="U21" s="13">
        <v>0</v>
      </c>
      <c r="X21" s="13">
        <v>0</v>
      </c>
      <c r="AA21" s="13">
        <v>0</v>
      </c>
    </row>
    <row r="22" spans="3:27" x14ac:dyDescent="0.35">
      <c r="C22" s="15">
        <v>2043</v>
      </c>
      <c r="F22" s="13">
        <v>0</v>
      </c>
      <c r="I22" s="13">
        <v>0</v>
      </c>
      <c r="L22" s="13">
        <v>0</v>
      </c>
      <c r="O22" s="13">
        <v>0</v>
      </c>
      <c r="R22" s="13">
        <v>0</v>
      </c>
      <c r="U22" s="13">
        <v>0</v>
      </c>
      <c r="X22" s="13">
        <v>0</v>
      </c>
      <c r="AA22" s="13">
        <v>0</v>
      </c>
    </row>
    <row r="23" spans="3:27" x14ac:dyDescent="0.35">
      <c r="C23" s="15">
        <v>2044</v>
      </c>
      <c r="F23" s="13">
        <v>0</v>
      </c>
      <c r="I23" s="13">
        <v>0</v>
      </c>
      <c r="L23" s="13">
        <v>0</v>
      </c>
      <c r="O23" s="13">
        <v>0</v>
      </c>
      <c r="R23" s="13">
        <v>0</v>
      </c>
      <c r="U23" s="13">
        <v>0</v>
      </c>
      <c r="X23" s="13">
        <v>0</v>
      </c>
      <c r="AA23" s="13">
        <v>0</v>
      </c>
    </row>
    <row r="24" spans="3:27" x14ac:dyDescent="0.35">
      <c r="C24" s="15">
        <v>2045</v>
      </c>
      <c r="F24" s="13">
        <v>0</v>
      </c>
      <c r="I24" s="13">
        <v>0</v>
      </c>
      <c r="L24" s="13">
        <v>0</v>
      </c>
      <c r="O24" s="13">
        <v>0</v>
      </c>
      <c r="R24" s="13">
        <v>0</v>
      </c>
      <c r="U24" s="13">
        <v>0</v>
      </c>
      <c r="X24" s="13">
        <v>0</v>
      </c>
      <c r="AA24" s="13">
        <v>0</v>
      </c>
    </row>
    <row r="25" spans="3:27" x14ac:dyDescent="0.35">
      <c r="C25" s="15">
        <v>2046</v>
      </c>
      <c r="F25" s="13">
        <v>0</v>
      </c>
      <c r="I25" s="13">
        <v>0</v>
      </c>
      <c r="L25" s="13">
        <v>0</v>
      </c>
      <c r="O25" s="13">
        <v>0</v>
      </c>
      <c r="R25" s="13">
        <v>0</v>
      </c>
      <c r="U25" s="13">
        <v>0</v>
      </c>
      <c r="X25" s="13">
        <v>0</v>
      </c>
      <c r="AA25" s="13">
        <v>0</v>
      </c>
    </row>
    <row r="26" spans="3:27" x14ac:dyDescent="0.35">
      <c r="C26" s="15">
        <v>2047</v>
      </c>
      <c r="F26" s="13">
        <v>0</v>
      </c>
      <c r="I26" s="13">
        <v>0</v>
      </c>
      <c r="L26" s="13">
        <v>0</v>
      </c>
      <c r="O26" s="13">
        <v>0</v>
      </c>
      <c r="R26" s="13">
        <v>0</v>
      </c>
      <c r="U26" s="13">
        <v>0</v>
      </c>
      <c r="X26" s="13">
        <v>0</v>
      </c>
      <c r="AA26" s="13">
        <v>0</v>
      </c>
    </row>
    <row r="27" spans="3:27" x14ac:dyDescent="0.35">
      <c r="C27" s="15">
        <v>2048</v>
      </c>
      <c r="F27" s="13">
        <v>0</v>
      </c>
      <c r="I27" s="13">
        <v>0</v>
      </c>
      <c r="L27" s="13">
        <v>0</v>
      </c>
      <c r="O27" s="13">
        <v>0</v>
      </c>
      <c r="R27" s="13">
        <v>0</v>
      </c>
      <c r="U27" s="13">
        <v>0</v>
      </c>
      <c r="X27" s="13">
        <v>0</v>
      </c>
      <c r="AA27" s="13">
        <v>0</v>
      </c>
    </row>
    <row r="28" spans="3:27" x14ac:dyDescent="0.35">
      <c r="C28" s="15">
        <v>2049</v>
      </c>
      <c r="F28" s="13">
        <v>0</v>
      </c>
      <c r="I28" s="13">
        <v>0</v>
      </c>
      <c r="L28" s="13">
        <v>0</v>
      </c>
      <c r="O28" s="13">
        <v>0</v>
      </c>
      <c r="R28" s="13">
        <v>0</v>
      </c>
      <c r="U28" s="13">
        <v>0</v>
      </c>
      <c r="X28" s="13">
        <v>0</v>
      </c>
      <c r="AA28" s="13">
        <v>0</v>
      </c>
    </row>
    <row r="29" spans="3:27" x14ac:dyDescent="0.35">
      <c r="C29" s="15">
        <v>2050</v>
      </c>
      <c r="F29" s="13">
        <v>0</v>
      </c>
      <c r="I29" s="13">
        <v>0</v>
      </c>
      <c r="L29" s="13">
        <v>0</v>
      </c>
      <c r="O29" s="13">
        <v>0</v>
      </c>
      <c r="R29" s="13">
        <v>0</v>
      </c>
      <c r="U29" s="13">
        <v>0</v>
      </c>
      <c r="X29" s="13">
        <v>0</v>
      </c>
      <c r="AA29" s="13">
        <v>0</v>
      </c>
    </row>
    <row r="30" spans="3:27" x14ac:dyDescent="0.35">
      <c r="C30" s="15">
        <v>2051</v>
      </c>
      <c r="F30" s="13">
        <v>0</v>
      </c>
      <c r="I30" s="13">
        <v>0</v>
      </c>
      <c r="L30" s="13">
        <v>0</v>
      </c>
      <c r="O30" s="13">
        <v>0</v>
      </c>
      <c r="R30" s="13">
        <v>0</v>
      </c>
      <c r="U30" s="13">
        <v>0</v>
      </c>
      <c r="X30" s="13">
        <v>0</v>
      </c>
      <c r="AA30" s="13">
        <v>0</v>
      </c>
    </row>
    <row r="31" spans="3:27" x14ac:dyDescent="0.35">
      <c r="C31" s="15">
        <v>2052</v>
      </c>
      <c r="F31" s="13">
        <v>0</v>
      </c>
      <c r="I31" s="13">
        <v>0</v>
      </c>
      <c r="L31" s="13">
        <v>0</v>
      </c>
      <c r="O31" s="13">
        <v>0</v>
      </c>
      <c r="R31" s="13">
        <v>0</v>
      </c>
      <c r="U31" s="13">
        <v>0</v>
      </c>
      <c r="X31" s="13">
        <v>0</v>
      </c>
      <c r="AA31" s="13">
        <v>0</v>
      </c>
    </row>
    <row r="32" spans="3:27" x14ac:dyDescent="0.35">
      <c r="C32" s="15">
        <v>2053</v>
      </c>
      <c r="F32" s="13">
        <v>0</v>
      </c>
      <c r="I32" s="13">
        <v>0</v>
      </c>
      <c r="L32" s="13">
        <v>0</v>
      </c>
      <c r="O32" s="13">
        <v>0</v>
      </c>
      <c r="R32" s="13">
        <v>0</v>
      </c>
      <c r="U32" s="13">
        <v>0</v>
      </c>
      <c r="X32" s="13">
        <v>0</v>
      </c>
      <c r="AA32" s="13">
        <v>0</v>
      </c>
    </row>
    <row r="33" spans="3:27" x14ac:dyDescent="0.35">
      <c r="C33" s="15">
        <v>2054</v>
      </c>
      <c r="F33" s="13">
        <v>0</v>
      </c>
      <c r="I33" s="13">
        <v>0</v>
      </c>
      <c r="L33" s="13">
        <v>0</v>
      </c>
      <c r="O33" s="13">
        <v>0</v>
      </c>
      <c r="R33" s="13">
        <v>0</v>
      </c>
      <c r="U33" s="13">
        <v>0</v>
      </c>
      <c r="X33" s="13">
        <v>0</v>
      </c>
      <c r="AA33" s="13">
        <v>0</v>
      </c>
    </row>
    <row r="34" spans="3:27" x14ac:dyDescent="0.35">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4140625" defaultRowHeight="14.4" x14ac:dyDescent="0.3"/>
  <sheetData>
    <row r="1" spans="1:1" x14ac:dyDescent="0.3">
      <c r="A1" t="s">
        <v>65</v>
      </c>
    </row>
    <row r="2" spans="1:1" x14ac:dyDescent="0.3">
      <c r="A2" t="s">
        <v>14</v>
      </c>
    </row>
    <row r="3" spans="1:1" x14ac:dyDescent="0.3">
      <c r="A3" t="s">
        <v>15</v>
      </c>
    </row>
    <row r="4" spans="1:1" x14ac:dyDescent="0.3">
      <c r="A4" t="s">
        <v>16</v>
      </c>
    </row>
    <row r="5" spans="1:1" x14ac:dyDescent="0.3">
      <c r="A5" t="s">
        <v>20</v>
      </c>
    </row>
    <row r="6" spans="1:1" x14ac:dyDescent="0.3">
      <c r="A6" t="s">
        <v>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zoomScale="70" zoomScaleNormal="70" workbookViewId="0">
      <pane ySplit="1" topLeftCell="A2" activePane="bottomLeft" state="frozen"/>
      <selection pane="bottomLeft" activeCell="J1" sqref="J1:J1048576"/>
    </sheetView>
  </sheetViews>
  <sheetFormatPr defaultColWidth="11.44140625" defaultRowHeight="14.4" x14ac:dyDescent="0.3"/>
  <cols>
    <col min="1" max="1" width="10.5546875" style="8" customWidth="1"/>
    <col min="2" max="2" width="7.88671875" style="8" customWidth="1"/>
    <col min="3" max="3" width="31.33203125" customWidth="1"/>
    <col min="4" max="4" width="65.44140625" customWidth="1"/>
    <col min="5" max="5" width="9.5546875" style="8" customWidth="1"/>
    <col min="6" max="6" width="91.88671875" customWidth="1"/>
    <col min="7" max="7" width="8.5546875" style="8" customWidth="1"/>
    <col min="8" max="8" width="6.44140625" customWidth="1"/>
    <col min="9" max="9" width="93" customWidth="1"/>
    <col min="10" max="10" width="50.6640625" customWidth="1"/>
  </cols>
  <sheetData>
    <row r="1" spans="1:10" s="3" customFormat="1" x14ac:dyDescent="0.3">
      <c r="A1" s="3" t="s">
        <v>94</v>
      </c>
      <c r="B1" s="3" t="s">
        <v>25</v>
      </c>
      <c r="C1" s="3" t="s">
        <v>13</v>
      </c>
      <c r="D1" s="3" t="s">
        <v>95</v>
      </c>
      <c r="E1" s="3" t="s">
        <v>94</v>
      </c>
      <c r="F1" s="3" t="s">
        <v>96</v>
      </c>
      <c r="G1" s="3" t="s">
        <v>97</v>
      </c>
      <c r="H1" s="3" t="s">
        <v>98</v>
      </c>
      <c r="I1" s="3" t="s">
        <v>99</v>
      </c>
      <c r="J1" s="3" t="s">
        <v>99</v>
      </c>
    </row>
    <row r="2" spans="1:10" x14ac:dyDescent="0.3">
      <c r="A2" s="7" t="s">
        <v>14</v>
      </c>
      <c r="B2" s="7">
        <v>2023</v>
      </c>
      <c r="C2" s="4" t="s">
        <v>31</v>
      </c>
      <c r="D2" s="5" t="s">
        <v>131</v>
      </c>
      <c r="E2" s="10" t="str">
        <f>_xlfn.CONCAT(A2,"'!")</f>
        <v>PDP'!</v>
      </c>
      <c r="F2" s="5" t="str">
        <f>_xlfn.CONCAT(D2," ",E2)</f>
        <v>C:\Users\jaime.benazar\Quorum Business Solutions\Ecopetrol Prometeo - Documents\Planning Space Implementation\3. Analysis &amp; Design\Design\FC22\DRR Jaime\Neiva CPI\[VAO_DINA TERCIARIOS_CF_SEC_20230117.xlsx]CF PDP'!</v>
      </c>
      <c r="G2" s="7" t="s">
        <v>100</v>
      </c>
      <c r="H2" s="4">
        <v>36</v>
      </c>
      <c r="I2" s="4" t="str">
        <f>_xlfn.CONCAT("='",F2:H2)</f>
        <v>='C:\Users\jaime.benazar\Quorum Business Solutions\Ecopetrol Prometeo - Documents\Planning Space Implementation\3. Analysis &amp; Design\Design\FC22\DRR Jaime\Neiva CPI\[VAO_DINA TERCIARIOS_CF_SEC_20230117.xlsx]CF PDP'!$AY$36</v>
      </c>
      <c r="J2" s="4" t="s">
        <v>132</v>
      </c>
    </row>
    <row r="3" spans="1:10" x14ac:dyDescent="0.3">
      <c r="A3" s="7" t="s">
        <v>14</v>
      </c>
      <c r="B3" s="7">
        <f>+B2+1</f>
        <v>2024</v>
      </c>
      <c r="C3" s="4" t="s">
        <v>31</v>
      </c>
      <c r="D3" s="5" t="s">
        <v>131</v>
      </c>
      <c r="E3" s="10" t="str">
        <f t="shared" ref="E3:E96" si="0">_xlfn.CONCAT(A3,"'!")</f>
        <v>PDP'!</v>
      </c>
      <c r="F3" s="5" t="str">
        <f t="shared" ref="F3:F94" si="1">_xlfn.CONCAT(D3," ",E3)</f>
        <v>C:\Users\jaime.benazar\Quorum Business Solutions\Ecopetrol Prometeo - Documents\Planning Space Implementation\3. Analysis &amp; Design\Design\FC22\DRR Jaime\Neiva CPI\[VAO_DINA TERCIARIOS_CF_SEC_20230117.xlsx]CF PDP'!</v>
      </c>
      <c r="G3" s="7" t="s">
        <v>100</v>
      </c>
      <c r="H3" s="4">
        <f>IF(A3&lt;&gt;A2,36,H2+1)</f>
        <v>37</v>
      </c>
      <c r="I3" s="4" t="str">
        <f t="shared" ref="I3:I96" si="2">_xlfn.CONCAT("='",F3:H3)</f>
        <v>='C:\Users\jaime.benazar\Quorum Business Solutions\Ecopetrol Prometeo - Documents\Planning Space Implementation\3. Analysis &amp; Design\Design\FC22\DRR Jaime\Neiva CPI\[VAO_DINA TERCIARIOS_CF_SEC_20230117.xlsx]CF PDP'!$AY$37</v>
      </c>
      <c r="J3" s="4" t="s">
        <v>133</v>
      </c>
    </row>
    <row r="4" spans="1:10" x14ac:dyDescent="0.3">
      <c r="A4" s="7" t="s">
        <v>14</v>
      </c>
      <c r="B4" s="7">
        <f t="shared" ref="B4:B15" si="3">+B3+1</f>
        <v>2025</v>
      </c>
      <c r="C4" s="4" t="s">
        <v>31</v>
      </c>
      <c r="D4" s="5" t="s">
        <v>131</v>
      </c>
      <c r="E4" s="10" t="str">
        <f t="shared" si="0"/>
        <v>PDP'!</v>
      </c>
      <c r="F4" s="5" t="str">
        <f t="shared" si="1"/>
        <v>C:\Users\jaime.benazar\Quorum Business Solutions\Ecopetrol Prometeo - Documents\Planning Space Implementation\3. Analysis &amp; Design\Design\FC22\DRR Jaime\Neiva CPI\[VAO_DINA TERCIARIOS_CF_SEC_20230117.xlsx]CF PDP'!</v>
      </c>
      <c r="G4" s="7" t="s">
        <v>100</v>
      </c>
      <c r="H4" s="4">
        <f t="shared" ref="H4:H97" si="4">IF(A4&lt;&gt;A3,36,H3+1)</f>
        <v>38</v>
      </c>
      <c r="I4" s="4" t="str">
        <f t="shared" si="2"/>
        <v>='C:\Users\jaime.benazar\Quorum Business Solutions\Ecopetrol Prometeo - Documents\Planning Space Implementation\3. Analysis &amp; Design\Design\FC22\DRR Jaime\Neiva CPI\[VAO_DINA TERCIARIOS_CF_SEC_20230117.xlsx]CF PDP'!$AY$38</v>
      </c>
      <c r="J4" s="4" t="s">
        <v>134</v>
      </c>
    </row>
    <row r="5" spans="1:10" x14ac:dyDescent="0.3">
      <c r="A5" s="7" t="s">
        <v>14</v>
      </c>
      <c r="B5" s="7">
        <f t="shared" si="3"/>
        <v>2026</v>
      </c>
      <c r="C5" s="4" t="s">
        <v>31</v>
      </c>
      <c r="D5" s="5" t="s">
        <v>131</v>
      </c>
      <c r="E5" s="10" t="str">
        <f t="shared" si="0"/>
        <v>PDP'!</v>
      </c>
      <c r="F5" s="5" t="str">
        <f t="shared" si="1"/>
        <v>C:\Users\jaime.benazar\Quorum Business Solutions\Ecopetrol Prometeo - Documents\Planning Space Implementation\3. Analysis &amp; Design\Design\FC22\DRR Jaime\Neiva CPI\[VAO_DINA TERCIARIOS_CF_SEC_20230117.xlsx]CF PDP'!</v>
      </c>
      <c r="G5" s="7" t="s">
        <v>100</v>
      </c>
      <c r="H5" s="4">
        <f t="shared" si="4"/>
        <v>39</v>
      </c>
      <c r="I5" s="4" t="str">
        <f t="shared" si="2"/>
        <v>='C:\Users\jaime.benazar\Quorum Business Solutions\Ecopetrol Prometeo - Documents\Planning Space Implementation\3. Analysis &amp; Design\Design\FC22\DRR Jaime\Neiva CPI\[VAO_DINA TERCIARIOS_CF_SEC_20230117.xlsx]CF PDP'!$AY$39</v>
      </c>
      <c r="J5" s="4" t="s">
        <v>135</v>
      </c>
    </row>
    <row r="6" spans="1:10" x14ac:dyDescent="0.3">
      <c r="A6" s="7" t="s">
        <v>14</v>
      </c>
      <c r="B6" s="7">
        <f t="shared" si="3"/>
        <v>2027</v>
      </c>
      <c r="C6" s="4" t="s">
        <v>31</v>
      </c>
      <c r="D6" s="5" t="s">
        <v>131</v>
      </c>
      <c r="E6" s="10" t="str">
        <f t="shared" si="0"/>
        <v>PDP'!</v>
      </c>
      <c r="F6" s="5" t="str">
        <f t="shared" si="1"/>
        <v>C:\Users\jaime.benazar\Quorum Business Solutions\Ecopetrol Prometeo - Documents\Planning Space Implementation\3. Analysis &amp; Design\Design\FC22\DRR Jaime\Neiva CPI\[VAO_DINA TERCIARIOS_CF_SEC_20230117.xlsx]CF PDP'!</v>
      </c>
      <c r="G6" s="7" t="s">
        <v>100</v>
      </c>
      <c r="H6" s="4">
        <f t="shared" si="4"/>
        <v>40</v>
      </c>
      <c r="I6" s="4" t="str">
        <f t="shared" si="2"/>
        <v>='C:\Users\jaime.benazar\Quorum Business Solutions\Ecopetrol Prometeo - Documents\Planning Space Implementation\3. Analysis &amp; Design\Design\FC22\DRR Jaime\Neiva CPI\[VAO_DINA TERCIARIOS_CF_SEC_20230117.xlsx]CF PDP'!$AY$40</v>
      </c>
      <c r="J6" s="4" t="s">
        <v>136</v>
      </c>
    </row>
    <row r="7" spans="1:10" x14ac:dyDescent="0.3">
      <c r="A7" s="7" t="s">
        <v>14</v>
      </c>
      <c r="B7" s="7">
        <f t="shared" si="3"/>
        <v>2028</v>
      </c>
      <c r="C7" s="4" t="s">
        <v>31</v>
      </c>
      <c r="D7" s="5" t="s">
        <v>131</v>
      </c>
      <c r="E7" s="10" t="str">
        <f t="shared" si="0"/>
        <v>PDP'!</v>
      </c>
      <c r="F7" s="5" t="str">
        <f t="shared" si="1"/>
        <v>C:\Users\jaime.benazar\Quorum Business Solutions\Ecopetrol Prometeo - Documents\Planning Space Implementation\3. Analysis &amp; Design\Design\FC22\DRR Jaime\Neiva CPI\[VAO_DINA TERCIARIOS_CF_SEC_20230117.xlsx]CF PDP'!</v>
      </c>
      <c r="G7" s="7" t="s">
        <v>100</v>
      </c>
      <c r="H7" s="4">
        <f t="shared" si="4"/>
        <v>41</v>
      </c>
      <c r="I7" s="4" t="str">
        <f t="shared" si="2"/>
        <v>='C:\Users\jaime.benazar\Quorum Business Solutions\Ecopetrol Prometeo - Documents\Planning Space Implementation\3. Analysis &amp; Design\Design\FC22\DRR Jaime\Neiva CPI\[VAO_DINA TERCIARIOS_CF_SEC_20230117.xlsx]CF PDP'!$AY$41</v>
      </c>
      <c r="J7" s="4" t="s">
        <v>137</v>
      </c>
    </row>
    <row r="8" spans="1:10" x14ac:dyDescent="0.3">
      <c r="A8" s="7" t="s">
        <v>14</v>
      </c>
      <c r="B8" s="7">
        <f t="shared" si="3"/>
        <v>2029</v>
      </c>
      <c r="C8" s="4" t="s">
        <v>31</v>
      </c>
      <c r="D8" s="5" t="s">
        <v>131</v>
      </c>
      <c r="E8" s="10" t="str">
        <f t="shared" si="0"/>
        <v>PDP'!</v>
      </c>
      <c r="F8" s="5" t="str">
        <f t="shared" si="1"/>
        <v>C:\Users\jaime.benazar\Quorum Business Solutions\Ecopetrol Prometeo - Documents\Planning Space Implementation\3. Analysis &amp; Design\Design\FC22\DRR Jaime\Neiva CPI\[VAO_DINA TERCIARIOS_CF_SEC_20230117.xlsx]CF PDP'!</v>
      </c>
      <c r="G8" s="7" t="s">
        <v>100</v>
      </c>
      <c r="H8" s="4">
        <f t="shared" si="4"/>
        <v>42</v>
      </c>
      <c r="I8" s="4" t="str">
        <f t="shared" si="2"/>
        <v>='C:\Users\jaime.benazar\Quorum Business Solutions\Ecopetrol Prometeo - Documents\Planning Space Implementation\3. Analysis &amp; Design\Design\FC22\DRR Jaime\Neiva CPI\[VAO_DINA TERCIARIOS_CF_SEC_20230117.xlsx]CF PDP'!$AY$42</v>
      </c>
      <c r="J8" s="4" t="s">
        <v>138</v>
      </c>
    </row>
    <row r="9" spans="1:10" x14ac:dyDescent="0.3">
      <c r="A9" s="7" t="s">
        <v>14</v>
      </c>
      <c r="B9" s="7">
        <f t="shared" si="3"/>
        <v>2030</v>
      </c>
      <c r="C9" s="4" t="s">
        <v>31</v>
      </c>
      <c r="D9" s="5" t="s">
        <v>131</v>
      </c>
      <c r="E9" s="10" t="str">
        <f t="shared" si="0"/>
        <v>PDP'!</v>
      </c>
      <c r="F9" s="5" t="str">
        <f t="shared" si="1"/>
        <v>C:\Users\jaime.benazar\Quorum Business Solutions\Ecopetrol Prometeo - Documents\Planning Space Implementation\3. Analysis &amp; Design\Design\FC22\DRR Jaime\Neiva CPI\[VAO_DINA TERCIARIOS_CF_SEC_20230117.xlsx]CF PDP'!</v>
      </c>
      <c r="G9" s="7" t="s">
        <v>100</v>
      </c>
      <c r="H9" s="4">
        <f t="shared" si="4"/>
        <v>43</v>
      </c>
      <c r="I9" s="4" t="str">
        <f t="shared" si="2"/>
        <v>='C:\Users\jaime.benazar\Quorum Business Solutions\Ecopetrol Prometeo - Documents\Planning Space Implementation\3. Analysis &amp; Design\Design\FC22\DRR Jaime\Neiva CPI\[VAO_DINA TERCIARIOS_CF_SEC_20230117.xlsx]CF PDP'!$AY$43</v>
      </c>
      <c r="J9" s="4" t="s">
        <v>139</v>
      </c>
    </row>
    <row r="10" spans="1:10" x14ac:dyDescent="0.3">
      <c r="A10" s="7" t="s">
        <v>14</v>
      </c>
      <c r="B10" s="7">
        <f t="shared" si="3"/>
        <v>2031</v>
      </c>
      <c r="C10" s="4" t="s">
        <v>31</v>
      </c>
      <c r="D10" s="5" t="s">
        <v>131</v>
      </c>
      <c r="E10" s="10" t="str">
        <f t="shared" si="0"/>
        <v>PDP'!</v>
      </c>
      <c r="F10" s="5" t="str">
        <f t="shared" si="1"/>
        <v>C:\Users\jaime.benazar\Quorum Business Solutions\Ecopetrol Prometeo - Documents\Planning Space Implementation\3. Analysis &amp; Design\Design\FC22\DRR Jaime\Neiva CPI\[VAO_DINA TERCIARIOS_CF_SEC_20230117.xlsx]CF PDP'!</v>
      </c>
      <c r="G10" s="7" t="s">
        <v>100</v>
      </c>
      <c r="H10" s="4">
        <f t="shared" si="4"/>
        <v>44</v>
      </c>
      <c r="I10" s="4" t="str">
        <f t="shared" si="2"/>
        <v>='C:\Users\jaime.benazar\Quorum Business Solutions\Ecopetrol Prometeo - Documents\Planning Space Implementation\3. Analysis &amp; Design\Design\FC22\DRR Jaime\Neiva CPI\[VAO_DINA TERCIARIOS_CF_SEC_20230117.xlsx]CF PDP'!$AY$44</v>
      </c>
      <c r="J10" s="4" t="s">
        <v>140</v>
      </c>
    </row>
    <row r="11" spans="1:10" x14ac:dyDescent="0.3">
      <c r="A11" s="7" t="s">
        <v>14</v>
      </c>
      <c r="B11" s="7">
        <f t="shared" si="3"/>
        <v>2032</v>
      </c>
      <c r="C11" s="4" t="s">
        <v>31</v>
      </c>
      <c r="D11" s="5" t="s">
        <v>131</v>
      </c>
      <c r="E11" s="10" t="str">
        <f t="shared" si="0"/>
        <v>PDP'!</v>
      </c>
      <c r="F11" s="5" t="str">
        <f t="shared" si="1"/>
        <v>C:\Users\jaime.benazar\Quorum Business Solutions\Ecopetrol Prometeo - Documents\Planning Space Implementation\3. Analysis &amp; Design\Design\FC22\DRR Jaime\Neiva CPI\[VAO_DINA TERCIARIOS_CF_SEC_20230117.xlsx]CF PDP'!</v>
      </c>
      <c r="G11" s="7" t="s">
        <v>100</v>
      </c>
      <c r="H11" s="4">
        <f t="shared" si="4"/>
        <v>45</v>
      </c>
      <c r="I11" s="4" t="str">
        <f t="shared" si="2"/>
        <v>='C:\Users\jaime.benazar\Quorum Business Solutions\Ecopetrol Prometeo - Documents\Planning Space Implementation\3. Analysis &amp; Design\Design\FC22\DRR Jaime\Neiva CPI\[VAO_DINA TERCIARIOS_CF_SEC_20230117.xlsx]CF PDP'!$AY$45</v>
      </c>
      <c r="J11" s="4" t="s">
        <v>141</v>
      </c>
    </row>
    <row r="12" spans="1:10" x14ac:dyDescent="0.3">
      <c r="A12" s="7" t="s">
        <v>14</v>
      </c>
      <c r="B12" s="7">
        <f t="shared" si="3"/>
        <v>2033</v>
      </c>
      <c r="C12" s="4" t="s">
        <v>31</v>
      </c>
      <c r="D12" s="5" t="s">
        <v>131</v>
      </c>
      <c r="E12" s="10" t="str">
        <f t="shared" si="0"/>
        <v>PDP'!</v>
      </c>
      <c r="F12" s="5" t="str">
        <f t="shared" si="1"/>
        <v>C:\Users\jaime.benazar\Quorum Business Solutions\Ecopetrol Prometeo - Documents\Planning Space Implementation\3. Analysis &amp; Design\Design\FC22\DRR Jaime\Neiva CPI\[VAO_DINA TERCIARIOS_CF_SEC_20230117.xlsx]CF PDP'!</v>
      </c>
      <c r="G12" s="7" t="s">
        <v>100</v>
      </c>
      <c r="H12" s="4">
        <f t="shared" si="4"/>
        <v>46</v>
      </c>
      <c r="I12" s="4" t="str">
        <f t="shared" si="2"/>
        <v>='C:\Users\jaime.benazar\Quorum Business Solutions\Ecopetrol Prometeo - Documents\Planning Space Implementation\3. Analysis &amp; Design\Design\FC22\DRR Jaime\Neiva CPI\[VAO_DINA TERCIARIOS_CF_SEC_20230117.xlsx]CF PDP'!$AY$46</v>
      </c>
      <c r="J12" s="4" t="s">
        <v>142</v>
      </c>
    </row>
    <row r="13" spans="1:10" x14ac:dyDescent="0.3">
      <c r="A13" s="7" t="s">
        <v>14</v>
      </c>
      <c r="B13" s="7">
        <f t="shared" si="3"/>
        <v>2034</v>
      </c>
      <c r="C13" s="4" t="s">
        <v>31</v>
      </c>
      <c r="D13" s="5" t="s">
        <v>131</v>
      </c>
      <c r="E13" s="10" t="str">
        <f t="shared" si="0"/>
        <v>PDP'!</v>
      </c>
      <c r="F13" s="5" t="str">
        <f t="shared" si="1"/>
        <v>C:\Users\jaime.benazar\Quorum Business Solutions\Ecopetrol Prometeo - Documents\Planning Space Implementation\3. Analysis &amp; Design\Design\FC22\DRR Jaime\Neiva CPI\[VAO_DINA TERCIARIOS_CF_SEC_20230117.xlsx]CF PDP'!</v>
      </c>
      <c r="G13" s="7" t="s">
        <v>100</v>
      </c>
      <c r="H13" s="4">
        <f t="shared" si="4"/>
        <v>47</v>
      </c>
      <c r="I13" s="4" t="str">
        <f t="shared" si="2"/>
        <v>='C:\Users\jaime.benazar\Quorum Business Solutions\Ecopetrol Prometeo - Documents\Planning Space Implementation\3. Analysis &amp; Design\Design\FC22\DRR Jaime\Neiva CPI\[VAO_DINA TERCIARIOS_CF_SEC_20230117.xlsx]CF PDP'!$AY$47</v>
      </c>
      <c r="J13" s="4" t="s">
        <v>143</v>
      </c>
    </row>
    <row r="14" spans="1:10" x14ac:dyDescent="0.3">
      <c r="A14" s="7" t="s">
        <v>14</v>
      </c>
      <c r="B14" s="7">
        <f t="shared" si="3"/>
        <v>2035</v>
      </c>
      <c r="C14" s="4" t="s">
        <v>31</v>
      </c>
      <c r="D14" s="5" t="s">
        <v>131</v>
      </c>
      <c r="E14" s="10" t="str">
        <f t="shared" si="0"/>
        <v>PDP'!</v>
      </c>
      <c r="F14" s="5" t="str">
        <f t="shared" si="1"/>
        <v>C:\Users\jaime.benazar\Quorum Business Solutions\Ecopetrol Prometeo - Documents\Planning Space Implementation\3. Analysis &amp; Design\Design\FC22\DRR Jaime\Neiva CPI\[VAO_DINA TERCIARIOS_CF_SEC_20230117.xlsx]CF PDP'!</v>
      </c>
      <c r="G14" s="7" t="s">
        <v>100</v>
      </c>
      <c r="H14" s="4">
        <f t="shared" si="4"/>
        <v>48</v>
      </c>
      <c r="I14" s="4" t="str">
        <f t="shared" si="2"/>
        <v>='C:\Users\jaime.benazar\Quorum Business Solutions\Ecopetrol Prometeo - Documents\Planning Space Implementation\3. Analysis &amp; Design\Design\FC22\DRR Jaime\Neiva CPI\[VAO_DINA TERCIARIOS_CF_SEC_20230117.xlsx]CF PDP'!$AY$48</v>
      </c>
      <c r="J14" s="4" t="s">
        <v>144</v>
      </c>
    </row>
    <row r="15" spans="1:10" x14ac:dyDescent="0.3">
      <c r="A15" s="7" t="s">
        <v>14</v>
      </c>
      <c r="B15" s="7">
        <f t="shared" si="3"/>
        <v>2036</v>
      </c>
      <c r="C15" s="4" t="s">
        <v>31</v>
      </c>
      <c r="D15" s="5" t="s">
        <v>131</v>
      </c>
      <c r="E15" s="10" t="str">
        <f t="shared" si="0"/>
        <v>PDP'!</v>
      </c>
      <c r="F15" s="5" t="str">
        <f t="shared" si="1"/>
        <v>C:\Users\jaime.benazar\Quorum Business Solutions\Ecopetrol Prometeo - Documents\Planning Space Implementation\3. Analysis &amp; Design\Design\FC22\DRR Jaime\Neiva CPI\[VAO_DINA TERCIARIOS_CF_SEC_20230117.xlsx]CF PDP'!</v>
      </c>
      <c r="G15" s="7" t="s">
        <v>100</v>
      </c>
      <c r="H15" s="4">
        <f t="shared" si="4"/>
        <v>49</v>
      </c>
      <c r="I15" s="4" t="str">
        <f t="shared" si="2"/>
        <v>='C:\Users\jaime.benazar\Quorum Business Solutions\Ecopetrol Prometeo - Documents\Planning Space Implementation\3. Analysis &amp; Design\Design\FC22\DRR Jaime\Neiva CPI\[VAO_DINA TERCIARIOS_CF_SEC_20230117.xlsx]CF PDP'!$AY$49</v>
      </c>
      <c r="J15" s="4" t="s">
        <v>145</v>
      </c>
    </row>
    <row r="16" spans="1:10" x14ac:dyDescent="0.3">
      <c r="A16" s="7" t="s">
        <v>14</v>
      </c>
      <c r="B16" s="7">
        <f>+B15+1</f>
        <v>2037</v>
      </c>
      <c r="C16" s="4" t="s">
        <v>31</v>
      </c>
      <c r="D16" s="5" t="s">
        <v>131</v>
      </c>
      <c r="E16" s="10" t="str">
        <f t="shared" si="0"/>
        <v>PDP'!</v>
      </c>
      <c r="F16" s="5" t="str">
        <f t="shared" si="1"/>
        <v>C:\Users\jaime.benazar\Quorum Business Solutions\Ecopetrol Prometeo - Documents\Planning Space Implementation\3. Analysis &amp; Design\Design\FC22\DRR Jaime\Neiva CPI\[VAO_DINA TERCIARIOS_CF_SEC_20230117.xlsx]CF PDP'!</v>
      </c>
      <c r="G16" s="7" t="s">
        <v>100</v>
      </c>
      <c r="H16" s="4">
        <f t="shared" si="4"/>
        <v>50</v>
      </c>
      <c r="I16" s="4" t="str">
        <f t="shared" si="2"/>
        <v>='C:\Users\jaime.benazar\Quorum Business Solutions\Ecopetrol Prometeo - Documents\Planning Space Implementation\3. Analysis &amp; Design\Design\FC22\DRR Jaime\Neiva CPI\[VAO_DINA TERCIARIOS_CF_SEC_20230117.xlsx]CF PDP'!$AY$50</v>
      </c>
      <c r="J16" s="4" t="s">
        <v>146</v>
      </c>
    </row>
    <row r="17" spans="1:10" x14ac:dyDescent="0.3">
      <c r="A17" s="7" t="s">
        <v>14</v>
      </c>
      <c r="B17" s="7">
        <f t="shared" ref="B17:B19" si="5">+B16+1</f>
        <v>2038</v>
      </c>
      <c r="C17" s="4" t="s">
        <v>31</v>
      </c>
      <c r="D17" s="5" t="s">
        <v>131</v>
      </c>
      <c r="E17" s="10" t="str">
        <f t="shared" si="0"/>
        <v>PDP'!</v>
      </c>
      <c r="F17" s="5" t="str">
        <f t="shared" si="1"/>
        <v>C:\Users\jaime.benazar\Quorum Business Solutions\Ecopetrol Prometeo - Documents\Planning Space Implementation\3. Analysis &amp; Design\Design\FC22\DRR Jaime\Neiva CPI\[VAO_DINA TERCIARIOS_CF_SEC_20230117.xlsx]CF PDP'!</v>
      </c>
      <c r="G17" s="7" t="s">
        <v>100</v>
      </c>
      <c r="H17" s="4">
        <f t="shared" si="4"/>
        <v>51</v>
      </c>
      <c r="I17" s="4" t="str">
        <f t="shared" si="2"/>
        <v>='C:\Users\jaime.benazar\Quorum Business Solutions\Ecopetrol Prometeo - Documents\Planning Space Implementation\3. Analysis &amp; Design\Design\FC22\DRR Jaime\Neiva CPI\[VAO_DINA TERCIARIOS_CF_SEC_20230117.xlsx]CF PDP'!$AY$51</v>
      </c>
      <c r="J17" s="4" t="s">
        <v>147</v>
      </c>
    </row>
    <row r="18" spans="1:10" x14ac:dyDescent="0.3">
      <c r="A18" s="7" t="s">
        <v>14</v>
      </c>
      <c r="B18" s="7">
        <f t="shared" si="5"/>
        <v>2039</v>
      </c>
      <c r="C18" s="4" t="s">
        <v>31</v>
      </c>
      <c r="D18" s="5" t="s">
        <v>131</v>
      </c>
      <c r="E18" s="10" t="str">
        <f t="shared" si="0"/>
        <v>PDP'!</v>
      </c>
      <c r="F18" s="5" t="str">
        <f t="shared" si="1"/>
        <v>C:\Users\jaime.benazar\Quorum Business Solutions\Ecopetrol Prometeo - Documents\Planning Space Implementation\3. Analysis &amp; Design\Design\FC22\DRR Jaime\Neiva CPI\[VAO_DINA TERCIARIOS_CF_SEC_20230117.xlsx]CF PDP'!</v>
      </c>
      <c r="G18" s="7" t="s">
        <v>100</v>
      </c>
      <c r="H18" s="4">
        <f t="shared" si="4"/>
        <v>52</v>
      </c>
      <c r="I18" s="4" t="str">
        <f t="shared" si="2"/>
        <v>='C:\Users\jaime.benazar\Quorum Business Solutions\Ecopetrol Prometeo - Documents\Planning Space Implementation\3. Analysis &amp; Design\Design\FC22\DRR Jaime\Neiva CPI\[VAO_DINA TERCIARIOS_CF_SEC_20230117.xlsx]CF PDP'!$AY$52</v>
      </c>
      <c r="J18" s="4" t="s">
        <v>148</v>
      </c>
    </row>
    <row r="19" spans="1:10" x14ac:dyDescent="0.3">
      <c r="A19" s="7" t="s">
        <v>14</v>
      </c>
      <c r="B19" s="7">
        <f t="shared" si="5"/>
        <v>2040</v>
      </c>
      <c r="C19" s="4" t="s">
        <v>31</v>
      </c>
      <c r="D19" s="5" t="s">
        <v>131</v>
      </c>
      <c r="E19" s="10" t="str">
        <f t="shared" si="0"/>
        <v>PDP'!</v>
      </c>
      <c r="F19" s="5" t="str">
        <f t="shared" si="1"/>
        <v>C:\Users\jaime.benazar\Quorum Business Solutions\Ecopetrol Prometeo - Documents\Planning Space Implementation\3. Analysis &amp; Design\Design\FC22\DRR Jaime\Neiva CPI\[VAO_DINA TERCIARIOS_CF_SEC_20230117.xlsx]CF PDP'!</v>
      </c>
      <c r="G19" s="7" t="s">
        <v>100</v>
      </c>
      <c r="H19" s="4">
        <f t="shared" si="4"/>
        <v>53</v>
      </c>
      <c r="I19" s="4" t="str">
        <f t="shared" si="2"/>
        <v>='C:\Users\jaime.benazar\Quorum Business Solutions\Ecopetrol Prometeo - Documents\Planning Space Implementation\3. Analysis &amp; Design\Design\FC22\DRR Jaime\Neiva CPI\[VAO_DINA TERCIARIOS_CF_SEC_20230117.xlsx]CF PDP'!$AY$53</v>
      </c>
      <c r="J19" s="4" t="s">
        <v>149</v>
      </c>
    </row>
    <row r="20" spans="1:10" x14ac:dyDescent="0.3">
      <c r="A20" s="7" t="s">
        <v>14</v>
      </c>
      <c r="B20" s="7">
        <f>+B19+1</f>
        <v>2041</v>
      </c>
      <c r="C20" s="4" t="s">
        <v>31</v>
      </c>
      <c r="D20" s="5" t="s">
        <v>131</v>
      </c>
      <c r="E20" s="10" t="str">
        <f t="shared" si="0"/>
        <v>PDP'!</v>
      </c>
      <c r="F20" s="5" t="str">
        <f t="shared" si="1"/>
        <v>C:\Users\jaime.benazar\Quorum Business Solutions\Ecopetrol Prometeo - Documents\Planning Space Implementation\3. Analysis &amp; Design\Design\FC22\DRR Jaime\Neiva CPI\[VAO_DINA TERCIARIOS_CF_SEC_20230117.xlsx]CF PDP'!</v>
      </c>
      <c r="G20" s="7" t="s">
        <v>100</v>
      </c>
      <c r="H20" s="4">
        <f t="shared" si="4"/>
        <v>54</v>
      </c>
      <c r="I20" s="4" t="str">
        <f t="shared" si="2"/>
        <v>='C:\Users\jaime.benazar\Quorum Business Solutions\Ecopetrol Prometeo - Documents\Planning Space Implementation\3. Analysis &amp; Design\Design\FC22\DRR Jaime\Neiva CPI\[VAO_DINA TERCIARIOS_CF_SEC_20230117.xlsx]CF PDP'!$AY$54</v>
      </c>
      <c r="J20" s="4" t="s">
        <v>150</v>
      </c>
    </row>
    <row r="21" spans="1:10" x14ac:dyDescent="0.3">
      <c r="A21" s="7" t="s">
        <v>14</v>
      </c>
      <c r="B21" s="7">
        <f>+B20+1</f>
        <v>2042</v>
      </c>
      <c r="C21" s="4" t="s">
        <v>31</v>
      </c>
      <c r="D21" s="5" t="s">
        <v>131</v>
      </c>
      <c r="E21" s="10" t="str">
        <f t="shared" si="0"/>
        <v>PDP'!</v>
      </c>
      <c r="F21" s="5" t="str">
        <f t="shared" si="1"/>
        <v>C:\Users\jaime.benazar\Quorum Business Solutions\Ecopetrol Prometeo - Documents\Planning Space Implementation\3. Analysis &amp; Design\Design\FC22\DRR Jaime\Neiva CPI\[VAO_DINA TERCIARIOS_CF_SEC_20230117.xlsx]CF PDP'!</v>
      </c>
      <c r="G21" s="7" t="s">
        <v>100</v>
      </c>
      <c r="H21" s="4">
        <f>IF(A21&lt;&gt;A20,36,H20+1)</f>
        <v>55</v>
      </c>
      <c r="I21" s="4" t="str">
        <f t="shared" si="2"/>
        <v>='C:\Users\jaime.benazar\Quorum Business Solutions\Ecopetrol Prometeo - Documents\Planning Space Implementation\3. Analysis &amp; Design\Design\FC22\DRR Jaime\Neiva CPI\[VAO_DINA TERCIARIOS_CF_SEC_20230117.xlsx]CF PDP'!$AY$55</v>
      </c>
      <c r="J21" s="4" t="s">
        <v>151</v>
      </c>
    </row>
    <row r="22" spans="1:10" x14ac:dyDescent="0.3">
      <c r="A22" s="7" t="s">
        <v>14</v>
      </c>
      <c r="B22" s="7">
        <f t="shared" ref="B22" si="6">+B21+1</f>
        <v>2043</v>
      </c>
      <c r="C22" s="4" t="s">
        <v>31</v>
      </c>
      <c r="D22" s="5" t="s">
        <v>131</v>
      </c>
      <c r="E22" s="10" t="str">
        <f t="shared" si="0"/>
        <v>PDP'!</v>
      </c>
      <c r="F22" s="5" t="str">
        <f t="shared" si="1"/>
        <v>C:\Users\jaime.benazar\Quorum Business Solutions\Ecopetrol Prometeo - Documents\Planning Space Implementation\3. Analysis &amp; Design\Design\FC22\DRR Jaime\Neiva CPI\[VAO_DINA TERCIARIOS_CF_SEC_20230117.xlsx]CF PDP'!</v>
      </c>
      <c r="G22" s="7" t="s">
        <v>100</v>
      </c>
      <c r="H22" s="4">
        <f t="shared" si="4"/>
        <v>56</v>
      </c>
      <c r="I22" s="4" t="str">
        <f t="shared" si="2"/>
        <v>='C:\Users\jaime.benazar\Quorum Business Solutions\Ecopetrol Prometeo - Documents\Planning Space Implementation\3. Analysis &amp; Design\Design\FC22\DRR Jaime\Neiva CPI\[VAO_DINA TERCIARIOS_CF_SEC_20230117.xlsx]CF PDP'!$AY$56</v>
      </c>
      <c r="J22" s="4" t="s">
        <v>152</v>
      </c>
    </row>
    <row r="23" spans="1:10" x14ac:dyDescent="0.3">
      <c r="A23" s="7" t="s">
        <v>14</v>
      </c>
      <c r="B23" s="7">
        <f>+B22+1</f>
        <v>2044</v>
      </c>
      <c r="C23" s="4" t="s">
        <v>31</v>
      </c>
      <c r="D23" s="5" t="s">
        <v>131</v>
      </c>
      <c r="E23" s="10" t="str">
        <f t="shared" si="0"/>
        <v>PDP'!</v>
      </c>
      <c r="F23" s="5" t="str">
        <f t="shared" si="1"/>
        <v>C:\Users\jaime.benazar\Quorum Business Solutions\Ecopetrol Prometeo - Documents\Planning Space Implementation\3. Analysis &amp; Design\Design\FC22\DRR Jaime\Neiva CPI\[VAO_DINA TERCIARIOS_CF_SEC_20230117.xlsx]CF PDP'!</v>
      </c>
      <c r="G23" s="7" t="s">
        <v>100</v>
      </c>
      <c r="H23" s="4">
        <f t="shared" si="4"/>
        <v>57</v>
      </c>
      <c r="I23" s="4" t="str">
        <f t="shared" si="2"/>
        <v>='C:\Users\jaime.benazar\Quorum Business Solutions\Ecopetrol Prometeo - Documents\Planning Space Implementation\3. Analysis &amp; Design\Design\FC22\DRR Jaime\Neiva CPI\[VAO_DINA TERCIARIOS_CF_SEC_20230117.xlsx]CF PDP'!$AY$57</v>
      </c>
      <c r="J23" s="4" t="s">
        <v>153</v>
      </c>
    </row>
    <row r="24" spans="1:10" x14ac:dyDescent="0.3">
      <c r="A24" s="7" t="s">
        <v>14</v>
      </c>
      <c r="B24" s="7">
        <f t="shared" ref="B24:B38" si="7">+B23+1</f>
        <v>2045</v>
      </c>
      <c r="C24" s="4" t="s">
        <v>31</v>
      </c>
      <c r="D24" s="5" t="s">
        <v>131</v>
      </c>
      <c r="E24" s="10" t="str">
        <f t="shared" si="0"/>
        <v>PDP'!</v>
      </c>
      <c r="F24" s="5" t="str">
        <f t="shared" si="1"/>
        <v>C:\Users\jaime.benazar\Quorum Business Solutions\Ecopetrol Prometeo - Documents\Planning Space Implementation\3. Analysis &amp; Design\Design\FC22\DRR Jaime\Neiva CPI\[VAO_DINA TERCIARIOS_CF_SEC_20230117.xlsx]CF PDP'!</v>
      </c>
      <c r="G24" s="7" t="s">
        <v>100</v>
      </c>
      <c r="H24" s="4">
        <f t="shared" si="4"/>
        <v>58</v>
      </c>
      <c r="I24" s="4" t="str">
        <f t="shared" si="2"/>
        <v>='C:\Users\jaime.benazar\Quorum Business Solutions\Ecopetrol Prometeo - Documents\Planning Space Implementation\3. Analysis &amp; Design\Design\FC22\DRR Jaime\Neiva CPI\[VAO_DINA TERCIARIOS_CF_SEC_20230117.xlsx]CF PDP'!$AY$58</v>
      </c>
      <c r="J24" s="4" t="s">
        <v>154</v>
      </c>
    </row>
    <row r="25" spans="1:10" x14ac:dyDescent="0.3">
      <c r="A25" s="7" t="s">
        <v>14</v>
      </c>
      <c r="B25" s="7">
        <f t="shared" si="7"/>
        <v>2046</v>
      </c>
      <c r="C25" s="4" t="s">
        <v>31</v>
      </c>
      <c r="D25" s="5" t="s">
        <v>131</v>
      </c>
      <c r="E25" s="10" t="str">
        <f t="shared" ref="E25:E38" si="8">_xlfn.CONCAT(A25,"'!")</f>
        <v>PDP'!</v>
      </c>
      <c r="F25" s="5" t="str">
        <f t="shared" ref="F25:F38" si="9">_xlfn.CONCAT(D25," ",E25)</f>
        <v>C:\Users\jaime.benazar\Quorum Business Solutions\Ecopetrol Prometeo - Documents\Planning Space Implementation\3. Analysis &amp; Design\Design\FC22\DRR Jaime\Neiva CPI\[VAO_DINA TERCIARIOS_CF_SEC_20230117.xlsx]CF PDP'!</v>
      </c>
      <c r="G25" s="7" t="s">
        <v>100</v>
      </c>
      <c r="H25" s="4">
        <f t="shared" ref="H25:H38" si="10">IF(A25&lt;&gt;A24,36,H24+1)</f>
        <v>59</v>
      </c>
      <c r="I25" s="4" t="str">
        <f t="shared" ref="I25:I38" si="11">_xlfn.CONCAT("='",F25:H25)</f>
        <v>='C:\Users\jaime.benazar\Quorum Business Solutions\Ecopetrol Prometeo - Documents\Planning Space Implementation\3. Analysis &amp; Design\Design\FC22\DRR Jaime\Neiva CPI\[VAO_DINA TERCIARIOS_CF_SEC_20230117.xlsx]CF PDP'!$AY$59</v>
      </c>
      <c r="J25" s="4" t="s">
        <v>155</v>
      </c>
    </row>
    <row r="26" spans="1:10" x14ac:dyDescent="0.3">
      <c r="A26" s="7" t="s">
        <v>14</v>
      </c>
      <c r="B26" s="7">
        <f t="shared" si="7"/>
        <v>2047</v>
      </c>
      <c r="C26" s="4" t="s">
        <v>31</v>
      </c>
      <c r="D26" s="5" t="s">
        <v>131</v>
      </c>
      <c r="E26" s="10" t="str">
        <f t="shared" si="8"/>
        <v>PDP'!</v>
      </c>
      <c r="F26" s="5" t="str">
        <f t="shared" si="9"/>
        <v>C:\Users\jaime.benazar\Quorum Business Solutions\Ecopetrol Prometeo - Documents\Planning Space Implementation\3. Analysis &amp; Design\Design\FC22\DRR Jaime\Neiva CPI\[VAO_DINA TERCIARIOS_CF_SEC_20230117.xlsx]CF PDP'!</v>
      </c>
      <c r="G26" s="7" t="s">
        <v>100</v>
      </c>
      <c r="H26" s="4">
        <f t="shared" si="10"/>
        <v>60</v>
      </c>
      <c r="I26" s="4" t="str">
        <f t="shared" si="11"/>
        <v>='C:\Users\jaime.benazar\Quorum Business Solutions\Ecopetrol Prometeo - Documents\Planning Space Implementation\3. Analysis &amp; Design\Design\FC22\DRR Jaime\Neiva CPI\[VAO_DINA TERCIARIOS_CF_SEC_20230117.xlsx]CF PDP'!$AY$60</v>
      </c>
      <c r="J26" s="4" t="s">
        <v>156</v>
      </c>
    </row>
    <row r="27" spans="1:10" x14ac:dyDescent="0.3">
      <c r="A27" s="7" t="s">
        <v>14</v>
      </c>
      <c r="B27" s="7">
        <f t="shared" si="7"/>
        <v>2048</v>
      </c>
      <c r="C27" s="4" t="s">
        <v>31</v>
      </c>
      <c r="D27" s="5" t="s">
        <v>131</v>
      </c>
      <c r="E27" s="10" t="str">
        <f t="shared" si="8"/>
        <v>PDP'!</v>
      </c>
      <c r="F27" s="5" t="str">
        <f t="shared" si="9"/>
        <v>C:\Users\jaime.benazar\Quorum Business Solutions\Ecopetrol Prometeo - Documents\Planning Space Implementation\3. Analysis &amp; Design\Design\FC22\DRR Jaime\Neiva CPI\[VAO_DINA TERCIARIOS_CF_SEC_20230117.xlsx]CF PDP'!</v>
      </c>
      <c r="G27" s="7" t="s">
        <v>100</v>
      </c>
      <c r="H27" s="4">
        <f t="shared" si="10"/>
        <v>61</v>
      </c>
      <c r="I27" s="4" t="str">
        <f t="shared" si="11"/>
        <v>='C:\Users\jaime.benazar\Quorum Business Solutions\Ecopetrol Prometeo - Documents\Planning Space Implementation\3. Analysis &amp; Design\Design\FC22\DRR Jaime\Neiva CPI\[VAO_DINA TERCIARIOS_CF_SEC_20230117.xlsx]CF PDP'!$AY$61</v>
      </c>
      <c r="J27" s="4" t="s">
        <v>157</v>
      </c>
    </row>
    <row r="28" spans="1:10" x14ac:dyDescent="0.3">
      <c r="A28" s="7" t="s">
        <v>14</v>
      </c>
      <c r="B28" s="7">
        <f t="shared" si="7"/>
        <v>2049</v>
      </c>
      <c r="C28" s="4" t="s">
        <v>31</v>
      </c>
      <c r="D28" s="5" t="s">
        <v>131</v>
      </c>
      <c r="E28" s="10" t="str">
        <f t="shared" si="8"/>
        <v>PDP'!</v>
      </c>
      <c r="F28" s="5" t="str">
        <f t="shared" si="9"/>
        <v>C:\Users\jaime.benazar\Quorum Business Solutions\Ecopetrol Prometeo - Documents\Planning Space Implementation\3. Analysis &amp; Design\Design\FC22\DRR Jaime\Neiva CPI\[VAO_DINA TERCIARIOS_CF_SEC_20230117.xlsx]CF PDP'!</v>
      </c>
      <c r="G28" s="7" t="s">
        <v>100</v>
      </c>
      <c r="H28" s="4">
        <f t="shared" si="10"/>
        <v>62</v>
      </c>
      <c r="I28" s="4" t="str">
        <f t="shared" si="11"/>
        <v>='C:\Users\jaime.benazar\Quorum Business Solutions\Ecopetrol Prometeo - Documents\Planning Space Implementation\3. Analysis &amp; Design\Design\FC22\DRR Jaime\Neiva CPI\[VAO_DINA TERCIARIOS_CF_SEC_20230117.xlsx]CF PDP'!$AY$62</v>
      </c>
      <c r="J28" s="4" t="s">
        <v>158</v>
      </c>
    </row>
    <row r="29" spans="1:10" x14ac:dyDescent="0.3">
      <c r="A29" s="7" t="s">
        <v>14</v>
      </c>
      <c r="B29" s="7">
        <f t="shared" si="7"/>
        <v>2050</v>
      </c>
      <c r="C29" s="4" t="s">
        <v>31</v>
      </c>
      <c r="D29" s="5" t="s">
        <v>131</v>
      </c>
      <c r="E29" s="10" t="str">
        <f t="shared" si="8"/>
        <v>PDP'!</v>
      </c>
      <c r="F29" s="5" t="str">
        <f t="shared" si="9"/>
        <v>C:\Users\jaime.benazar\Quorum Business Solutions\Ecopetrol Prometeo - Documents\Planning Space Implementation\3. Analysis &amp; Design\Design\FC22\DRR Jaime\Neiva CPI\[VAO_DINA TERCIARIOS_CF_SEC_20230117.xlsx]CF PDP'!</v>
      </c>
      <c r="G29" s="7" t="s">
        <v>100</v>
      </c>
      <c r="H29" s="4">
        <f t="shared" si="10"/>
        <v>63</v>
      </c>
      <c r="I29" s="4" t="str">
        <f t="shared" si="11"/>
        <v>='C:\Users\jaime.benazar\Quorum Business Solutions\Ecopetrol Prometeo - Documents\Planning Space Implementation\3. Analysis &amp; Design\Design\FC22\DRR Jaime\Neiva CPI\[VAO_DINA TERCIARIOS_CF_SEC_20230117.xlsx]CF PDP'!$AY$63</v>
      </c>
      <c r="J29" s="4" t="s">
        <v>159</v>
      </c>
    </row>
    <row r="30" spans="1:10" x14ac:dyDescent="0.3">
      <c r="A30" s="7" t="s">
        <v>14</v>
      </c>
      <c r="B30" s="7">
        <f t="shared" si="7"/>
        <v>2051</v>
      </c>
      <c r="C30" s="4" t="s">
        <v>31</v>
      </c>
      <c r="D30" s="5" t="s">
        <v>131</v>
      </c>
      <c r="E30" s="10" t="str">
        <f t="shared" si="8"/>
        <v>PDP'!</v>
      </c>
      <c r="F30" s="5" t="str">
        <f t="shared" si="9"/>
        <v>C:\Users\jaime.benazar\Quorum Business Solutions\Ecopetrol Prometeo - Documents\Planning Space Implementation\3. Analysis &amp; Design\Design\FC22\DRR Jaime\Neiva CPI\[VAO_DINA TERCIARIOS_CF_SEC_20230117.xlsx]CF PDP'!</v>
      </c>
      <c r="G30" s="7" t="s">
        <v>100</v>
      </c>
      <c r="H30" s="4">
        <f t="shared" si="10"/>
        <v>64</v>
      </c>
      <c r="I30" s="4" t="str">
        <f t="shared" si="11"/>
        <v>='C:\Users\jaime.benazar\Quorum Business Solutions\Ecopetrol Prometeo - Documents\Planning Space Implementation\3. Analysis &amp; Design\Design\FC22\DRR Jaime\Neiva CPI\[VAO_DINA TERCIARIOS_CF_SEC_20230117.xlsx]CF PDP'!$AY$64</v>
      </c>
      <c r="J30" s="4" t="s">
        <v>160</v>
      </c>
    </row>
    <row r="31" spans="1:10" x14ac:dyDescent="0.3">
      <c r="A31" s="7" t="s">
        <v>14</v>
      </c>
      <c r="B31" s="7">
        <f t="shared" si="7"/>
        <v>2052</v>
      </c>
      <c r="C31" s="4" t="s">
        <v>31</v>
      </c>
      <c r="D31" s="5" t="s">
        <v>131</v>
      </c>
      <c r="E31" s="10" t="str">
        <f t="shared" si="8"/>
        <v>PDP'!</v>
      </c>
      <c r="F31" s="5" t="str">
        <f t="shared" si="9"/>
        <v>C:\Users\jaime.benazar\Quorum Business Solutions\Ecopetrol Prometeo - Documents\Planning Space Implementation\3. Analysis &amp; Design\Design\FC22\DRR Jaime\Neiva CPI\[VAO_DINA TERCIARIOS_CF_SEC_20230117.xlsx]CF PDP'!</v>
      </c>
      <c r="G31" s="7" t="s">
        <v>100</v>
      </c>
      <c r="H31" s="4">
        <f t="shared" si="10"/>
        <v>65</v>
      </c>
      <c r="I31" s="4" t="str">
        <f t="shared" si="11"/>
        <v>='C:\Users\jaime.benazar\Quorum Business Solutions\Ecopetrol Prometeo - Documents\Planning Space Implementation\3. Analysis &amp; Design\Design\FC22\DRR Jaime\Neiva CPI\[VAO_DINA TERCIARIOS_CF_SEC_20230117.xlsx]CF PDP'!$AY$65</v>
      </c>
      <c r="J31" s="4" t="s">
        <v>161</v>
      </c>
    </row>
    <row r="32" spans="1:10" x14ac:dyDescent="0.3">
      <c r="A32" s="7" t="s">
        <v>14</v>
      </c>
      <c r="B32" s="7">
        <f t="shared" si="7"/>
        <v>2053</v>
      </c>
      <c r="C32" s="4" t="s">
        <v>31</v>
      </c>
      <c r="D32" s="5" t="s">
        <v>131</v>
      </c>
      <c r="E32" s="10" t="str">
        <f t="shared" si="8"/>
        <v>PDP'!</v>
      </c>
      <c r="F32" s="5" t="str">
        <f t="shared" si="9"/>
        <v>C:\Users\jaime.benazar\Quorum Business Solutions\Ecopetrol Prometeo - Documents\Planning Space Implementation\3. Analysis &amp; Design\Design\FC22\DRR Jaime\Neiva CPI\[VAO_DINA TERCIARIOS_CF_SEC_20230117.xlsx]CF PDP'!</v>
      </c>
      <c r="G32" s="7" t="s">
        <v>100</v>
      </c>
      <c r="H32" s="4">
        <f t="shared" si="10"/>
        <v>66</v>
      </c>
      <c r="I32" s="4" t="str">
        <f t="shared" si="11"/>
        <v>='C:\Users\jaime.benazar\Quorum Business Solutions\Ecopetrol Prometeo - Documents\Planning Space Implementation\3. Analysis &amp; Design\Design\FC22\DRR Jaime\Neiva CPI\[VAO_DINA TERCIARIOS_CF_SEC_20230117.xlsx]CF PDP'!$AY$66</v>
      </c>
      <c r="J32" s="4" t="s">
        <v>162</v>
      </c>
    </row>
    <row r="33" spans="1:10" x14ac:dyDescent="0.3">
      <c r="A33" s="7" t="s">
        <v>14</v>
      </c>
      <c r="B33" s="7">
        <f t="shared" si="7"/>
        <v>2054</v>
      </c>
      <c r="C33" s="4" t="s">
        <v>31</v>
      </c>
      <c r="D33" s="5" t="s">
        <v>131</v>
      </c>
      <c r="E33" s="10" t="str">
        <f t="shared" si="8"/>
        <v>PDP'!</v>
      </c>
      <c r="F33" s="5" t="str">
        <f t="shared" si="9"/>
        <v>C:\Users\jaime.benazar\Quorum Business Solutions\Ecopetrol Prometeo - Documents\Planning Space Implementation\3. Analysis &amp; Design\Design\FC22\DRR Jaime\Neiva CPI\[VAO_DINA TERCIARIOS_CF_SEC_20230117.xlsx]CF PDP'!</v>
      </c>
      <c r="G33" s="7" t="s">
        <v>100</v>
      </c>
      <c r="H33" s="4">
        <f t="shared" si="10"/>
        <v>67</v>
      </c>
      <c r="I33" s="4" t="str">
        <f t="shared" si="11"/>
        <v>='C:\Users\jaime.benazar\Quorum Business Solutions\Ecopetrol Prometeo - Documents\Planning Space Implementation\3. Analysis &amp; Design\Design\FC22\DRR Jaime\Neiva CPI\[VAO_DINA TERCIARIOS_CF_SEC_20230117.xlsx]CF PDP'!$AY$67</v>
      </c>
      <c r="J33" s="4" t="s">
        <v>163</v>
      </c>
    </row>
    <row r="34" spans="1:10" x14ac:dyDescent="0.3">
      <c r="A34" s="7" t="s">
        <v>14</v>
      </c>
      <c r="B34" s="7">
        <f t="shared" si="7"/>
        <v>2055</v>
      </c>
      <c r="C34" s="4" t="s">
        <v>31</v>
      </c>
      <c r="D34" s="5" t="s">
        <v>131</v>
      </c>
      <c r="E34" s="10" t="str">
        <f t="shared" si="8"/>
        <v>PDP'!</v>
      </c>
      <c r="F34" s="5" t="str">
        <f t="shared" si="9"/>
        <v>C:\Users\jaime.benazar\Quorum Business Solutions\Ecopetrol Prometeo - Documents\Planning Space Implementation\3. Analysis &amp; Design\Design\FC22\DRR Jaime\Neiva CPI\[VAO_DINA TERCIARIOS_CF_SEC_20230117.xlsx]CF PDP'!</v>
      </c>
      <c r="G34" s="7" t="s">
        <v>100</v>
      </c>
      <c r="H34" s="4">
        <f t="shared" si="10"/>
        <v>68</v>
      </c>
      <c r="I34" s="4" t="str">
        <f t="shared" si="11"/>
        <v>='C:\Users\jaime.benazar\Quorum Business Solutions\Ecopetrol Prometeo - Documents\Planning Space Implementation\3. Analysis &amp; Design\Design\FC22\DRR Jaime\Neiva CPI\[VAO_DINA TERCIARIOS_CF_SEC_20230117.xlsx]CF PDP'!$AY$68</v>
      </c>
      <c r="J34" s="4" t="s">
        <v>164</v>
      </c>
    </row>
    <row r="35" spans="1:10" x14ac:dyDescent="0.3">
      <c r="A35" s="7" t="s">
        <v>14</v>
      </c>
      <c r="B35" s="7">
        <f t="shared" si="7"/>
        <v>2056</v>
      </c>
      <c r="C35" s="4" t="s">
        <v>31</v>
      </c>
      <c r="D35" s="5" t="s">
        <v>131</v>
      </c>
      <c r="E35" s="10" t="str">
        <f t="shared" si="8"/>
        <v>PDP'!</v>
      </c>
      <c r="F35" s="5" t="str">
        <f t="shared" si="9"/>
        <v>C:\Users\jaime.benazar\Quorum Business Solutions\Ecopetrol Prometeo - Documents\Planning Space Implementation\3. Analysis &amp; Design\Design\FC22\DRR Jaime\Neiva CPI\[VAO_DINA TERCIARIOS_CF_SEC_20230117.xlsx]CF PDP'!</v>
      </c>
      <c r="G35" s="7" t="s">
        <v>100</v>
      </c>
      <c r="H35" s="4">
        <f t="shared" si="10"/>
        <v>69</v>
      </c>
      <c r="I35" s="4" t="str">
        <f t="shared" si="11"/>
        <v>='C:\Users\jaime.benazar\Quorum Business Solutions\Ecopetrol Prometeo - Documents\Planning Space Implementation\3. Analysis &amp; Design\Design\FC22\DRR Jaime\Neiva CPI\[VAO_DINA TERCIARIOS_CF_SEC_20230117.xlsx]CF PDP'!$AY$69</v>
      </c>
      <c r="J35" s="4" t="s">
        <v>165</v>
      </c>
    </row>
    <row r="36" spans="1:10" x14ac:dyDescent="0.3">
      <c r="A36" s="7" t="s">
        <v>14</v>
      </c>
      <c r="B36" s="7">
        <f t="shared" si="7"/>
        <v>2057</v>
      </c>
      <c r="C36" s="4" t="s">
        <v>31</v>
      </c>
      <c r="D36" s="5" t="s">
        <v>131</v>
      </c>
      <c r="E36" s="10" t="str">
        <f t="shared" si="8"/>
        <v>PDP'!</v>
      </c>
      <c r="F36" s="5" t="str">
        <f t="shared" si="9"/>
        <v>C:\Users\jaime.benazar\Quorum Business Solutions\Ecopetrol Prometeo - Documents\Planning Space Implementation\3. Analysis &amp; Design\Design\FC22\DRR Jaime\Neiva CPI\[VAO_DINA TERCIARIOS_CF_SEC_20230117.xlsx]CF PDP'!</v>
      </c>
      <c r="G36" s="7" t="s">
        <v>100</v>
      </c>
      <c r="H36" s="4">
        <f t="shared" si="10"/>
        <v>70</v>
      </c>
      <c r="I36" s="4" t="str">
        <f t="shared" si="11"/>
        <v>='C:\Users\jaime.benazar\Quorum Business Solutions\Ecopetrol Prometeo - Documents\Planning Space Implementation\3. Analysis &amp; Design\Design\FC22\DRR Jaime\Neiva CPI\[VAO_DINA TERCIARIOS_CF_SEC_20230117.xlsx]CF PDP'!$AY$70</v>
      </c>
      <c r="J36" s="4" t="s">
        <v>166</v>
      </c>
    </row>
    <row r="37" spans="1:10" x14ac:dyDescent="0.3">
      <c r="A37" s="7" t="s">
        <v>14</v>
      </c>
      <c r="B37" s="7">
        <f t="shared" si="7"/>
        <v>2058</v>
      </c>
      <c r="C37" s="4" t="s">
        <v>31</v>
      </c>
      <c r="D37" s="5" t="s">
        <v>131</v>
      </c>
      <c r="E37" s="10" t="str">
        <f t="shared" si="8"/>
        <v>PDP'!</v>
      </c>
      <c r="F37" s="5" t="str">
        <f t="shared" si="9"/>
        <v>C:\Users\jaime.benazar\Quorum Business Solutions\Ecopetrol Prometeo - Documents\Planning Space Implementation\3. Analysis &amp; Design\Design\FC22\DRR Jaime\Neiva CPI\[VAO_DINA TERCIARIOS_CF_SEC_20230117.xlsx]CF PDP'!</v>
      </c>
      <c r="G37" s="7" t="s">
        <v>100</v>
      </c>
      <c r="H37" s="4">
        <f t="shared" si="10"/>
        <v>71</v>
      </c>
      <c r="I37" s="4" t="str">
        <f t="shared" si="11"/>
        <v>='C:\Users\jaime.benazar\Quorum Business Solutions\Ecopetrol Prometeo - Documents\Planning Space Implementation\3. Analysis &amp; Design\Design\FC22\DRR Jaime\Neiva CPI\[VAO_DINA TERCIARIOS_CF_SEC_20230117.xlsx]CF PDP'!$AY$71</v>
      </c>
      <c r="J37" s="4" t="s">
        <v>167</v>
      </c>
    </row>
    <row r="38" spans="1:10" x14ac:dyDescent="0.3">
      <c r="A38" s="7" t="s">
        <v>14</v>
      </c>
      <c r="B38" s="7">
        <f t="shared" si="7"/>
        <v>2059</v>
      </c>
      <c r="C38" s="4" t="s">
        <v>31</v>
      </c>
      <c r="D38" s="5" t="s">
        <v>131</v>
      </c>
      <c r="E38" s="10" t="str">
        <f t="shared" si="8"/>
        <v>PDP'!</v>
      </c>
      <c r="F38" s="5" t="str">
        <f t="shared" si="9"/>
        <v>C:\Users\jaime.benazar\Quorum Business Solutions\Ecopetrol Prometeo - Documents\Planning Space Implementation\3. Analysis &amp; Design\Design\FC22\DRR Jaime\Neiva CPI\[VAO_DINA TERCIARIOS_CF_SEC_20230117.xlsx]CF PDP'!</v>
      </c>
      <c r="G38" s="7" t="s">
        <v>100</v>
      </c>
      <c r="H38" s="4">
        <f t="shared" si="10"/>
        <v>72</v>
      </c>
      <c r="I38" s="4" t="str">
        <f t="shared" si="11"/>
        <v>='C:\Users\jaime.benazar\Quorum Business Solutions\Ecopetrol Prometeo - Documents\Planning Space Implementation\3. Analysis &amp; Design\Design\FC22\DRR Jaime\Neiva CPI\[VAO_DINA TERCIARIOS_CF_SEC_20230117.xlsx]CF PDP'!$AY$72</v>
      </c>
      <c r="J38" s="4" t="s">
        <v>168</v>
      </c>
    </row>
    <row r="39" spans="1:10" x14ac:dyDescent="0.3">
      <c r="A39" s="7" t="s">
        <v>26</v>
      </c>
      <c r="B39" s="7"/>
      <c r="C39" s="4" t="s">
        <v>31</v>
      </c>
      <c r="D39" s="5"/>
      <c r="E39" s="10"/>
      <c r="F39" s="5" t="str">
        <f t="shared" si="1"/>
        <v xml:space="preserve"> </v>
      </c>
      <c r="G39" s="7"/>
      <c r="H39" s="4"/>
      <c r="I39" s="4"/>
      <c r="J39" s="4"/>
    </row>
    <row r="40" spans="1:10" x14ac:dyDescent="0.3">
      <c r="A40" s="7" t="s">
        <v>15</v>
      </c>
      <c r="B40" s="7">
        <v>2023</v>
      </c>
      <c r="C40" s="4" t="s">
        <v>31</v>
      </c>
      <c r="D40" s="5" t="s">
        <v>131</v>
      </c>
      <c r="E40" s="10" t="str">
        <f t="shared" si="0"/>
        <v>PNP'!</v>
      </c>
      <c r="F40" s="5" t="str">
        <f t="shared" si="1"/>
        <v>C:\Users\jaime.benazar\Quorum Business Solutions\Ecopetrol Prometeo - Documents\Planning Space Implementation\3. Analysis &amp; Design\Design\FC22\DRR Jaime\Neiva CPI\[VAO_DINA TERCIARIOS_CF_SEC_20230117.xlsx]CF PNP'!</v>
      </c>
      <c r="G40" s="7" t="s">
        <v>100</v>
      </c>
      <c r="H40" s="4">
        <f>IF(A40&lt;&gt;A24,36,H24+1)</f>
        <v>36</v>
      </c>
      <c r="I40" s="4" t="str">
        <f t="shared" si="2"/>
        <v>='C:\Users\jaime.benazar\Quorum Business Solutions\Ecopetrol Prometeo - Documents\Planning Space Implementation\3. Analysis &amp; Design\Design\FC22\DRR Jaime\Neiva CPI\[VAO_DINA TERCIARIOS_CF_SEC_20230117.xlsx]CF PNP'!$AY$36</v>
      </c>
      <c r="J40" s="4" t="s">
        <v>169</v>
      </c>
    </row>
    <row r="41" spans="1:10" x14ac:dyDescent="0.3">
      <c r="A41" s="7" t="s">
        <v>15</v>
      </c>
      <c r="B41" s="7">
        <f>+B40+1</f>
        <v>2024</v>
      </c>
      <c r="C41" s="4" t="s">
        <v>31</v>
      </c>
      <c r="D41" s="5" t="s">
        <v>131</v>
      </c>
      <c r="E41" s="10" t="str">
        <f t="shared" si="0"/>
        <v>PNP'!</v>
      </c>
      <c r="F41" s="5" t="str">
        <f t="shared" si="1"/>
        <v>C:\Users\jaime.benazar\Quorum Business Solutions\Ecopetrol Prometeo - Documents\Planning Space Implementation\3. Analysis &amp; Design\Design\FC22\DRR Jaime\Neiva CPI\[VAO_DINA TERCIARIOS_CF_SEC_20230117.xlsx]CF PNP'!</v>
      </c>
      <c r="G41" s="7" t="s">
        <v>100</v>
      </c>
      <c r="H41" s="4">
        <f t="shared" si="4"/>
        <v>37</v>
      </c>
      <c r="I41" s="4" t="str">
        <f t="shared" si="2"/>
        <v>='C:\Users\jaime.benazar\Quorum Business Solutions\Ecopetrol Prometeo - Documents\Planning Space Implementation\3. Analysis &amp; Design\Design\FC22\DRR Jaime\Neiva CPI\[VAO_DINA TERCIARIOS_CF_SEC_20230117.xlsx]CF PNP'!$AY$37</v>
      </c>
      <c r="J41" s="4" t="s">
        <v>170</v>
      </c>
    </row>
    <row r="42" spans="1:10" x14ac:dyDescent="0.3">
      <c r="A42" s="7" t="s">
        <v>15</v>
      </c>
      <c r="B42" s="7">
        <f t="shared" ref="B42:B53" si="12">+B41+1</f>
        <v>2025</v>
      </c>
      <c r="C42" s="4" t="s">
        <v>31</v>
      </c>
      <c r="D42" s="5" t="s">
        <v>131</v>
      </c>
      <c r="E42" s="10" t="str">
        <f t="shared" si="0"/>
        <v>PNP'!</v>
      </c>
      <c r="F42" s="5" t="str">
        <f t="shared" si="1"/>
        <v>C:\Users\jaime.benazar\Quorum Business Solutions\Ecopetrol Prometeo - Documents\Planning Space Implementation\3. Analysis &amp; Design\Design\FC22\DRR Jaime\Neiva CPI\[VAO_DINA TERCIARIOS_CF_SEC_20230117.xlsx]CF PNP'!</v>
      </c>
      <c r="G42" s="7" t="s">
        <v>100</v>
      </c>
      <c r="H42" s="4">
        <f t="shared" si="4"/>
        <v>38</v>
      </c>
      <c r="I42" s="4" t="str">
        <f t="shared" si="2"/>
        <v>='C:\Users\jaime.benazar\Quorum Business Solutions\Ecopetrol Prometeo - Documents\Planning Space Implementation\3. Analysis &amp; Design\Design\FC22\DRR Jaime\Neiva CPI\[VAO_DINA TERCIARIOS_CF_SEC_20230117.xlsx]CF PNP'!$AY$38</v>
      </c>
      <c r="J42" s="4" t="s">
        <v>171</v>
      </c>
    </row>
    <row r="43" spans="1:10" x14ac:dyDescent="0.3">
      <c r="A43" s="7" t="s">
        <v>15</v>
      </c>
      <c r="B43" s="7">
        <f t="shared" si="12"/>
        <v>2026</v>
      </c>
      <c r="C43" s="4" t="s">
        <v>31</v>
      </c>
      <c r="D43" s="5" t="s">
        <v>131</v>
      </c>
      <c r="E43" s="10" t="str">
        <f t="shared" si="0"/>
        <v>PNP'!</v>
      </c>
      <c r="F43" s="5" t="str">
        <f t="shared" si="1"/>
        <v>C:\Users\jaime.benazar\Quorum Business Solutions\Ecopetrol Prometeo - Documents\Planning Space Implementation\3. Analysis &amp; Design\Design\FC22\DRR Jaime\Neiva CPI\[VAO_DINA TERCIARIOS_CF_SEC_20230117.xlsx]CF PNP'!</v>
      </c>
      <c r="G43" s="7" t="s">
        <v>100</v>
      </c>
      <c r="H43" s="4">
        <f t="shared" si="4"/>
        <v>39</v>
      </c>
      <c r="I43" s="4" t="str">
        <f t="shared" si="2"/>
        <v>='C:\Users\jaime.benazar\Quorum Business Solutions\Ecopetrol Prometeo - Documents\Planning Space Implementation\3. Analysis &amp; Design\Design\FC22\DRR Jaime\Neiva CPI\[VAO_DINA TERCIARIOS_CF_SEC_20230117.xlsx]CF PNP'!$AY$39</v>
      </c>
      <c r="J43" s="4" t="s">
        <v>172</v>
      </c>
    </row>
    <row r="44" spans="1:10" x14ac:dyDescent="0.3">
      <c r="A44" s="7" t="s">
        <v>15</v>
      </c>
      <c r="B44" s="7">
        <f t="shared" si="12"/>
        <v>2027</v>
      </c>
      <c r="C44" s="4" t="s">
        <v>31</v>
      </c>
      <c r="D44" s="5" t="s">
        <v>131</v>
      </c>
      <c r="E44" s="10" t="str">
        <f t="shared" si="0"/>
        <v>PNP'!</v>
      </c>
      <c r="F44" s="5" t="str">
        <f t="shared" si="1"/>
        <v>C:\Users\jaime.benazar\Quorum Business Solutions\Ecopetrol Prometeo - Documents\Planning Space Implementation\3. Analysis &amp; Design\Design\FC22\DRR Jaime\Neiva CPI\[VAO_DINA TERCIARIOS_CF_SEC_20230117.xlsx]CF PNP'!</v>
      </c>
      <c r="G44" s="7" t="s">
        <v>100</v>
      </c>
      <c r="H44" s="4">
        <f t="shared" si="4"/>
        <v>40</v>
      </c>
      <c r="I44" s="4" t="str">
        <f t="shared" si="2"/>
        <v>='C:\Users\jaime.benazar\Quorum Business Solutions\Ecopetrol Prometeo - Documents\Planning Space Implementation\3. Analysis &amp; Design\Design\FC22\DRR Jaime\Neiva CPI\[VAO_DINA TERCIARIOS_CF_SEC_20230117.xlsx]CF PNP'!$AY$40</v>
      </c>
      <c r="J44" s="4" t="s">
        <v>173</v>
      </c>
    </row>
    <row r="45" spans="1:10" x14ac:dyDescent="0.3">
      <c r="A45" s="7" t="s">
        <v>15</v>
      </c>
      <c r="B45" s="7">
        <f t="shared" si="12"/>
        <v>2028</v>
      </c>
      <c r="C45" s="4" t="s">
        <v>31</v>
      </c>
      <c r="D45" s="5" t="s">
        <v>131</v>
      </c>
      <c r="E45" s="10" t="str">
        <f t="shared" si="0"/>
        <v>PNP'!</v>
      </c>
      <c r="F45" s="5" t="str">
        <f t="shared" si="1"/>
        <v>C:\Users\jaime.benazar\Quorum Business Solutions\Ecopetrol Prometeo - Documents\Planning Space Implementation\3. Analysis &amp; Design\Design\FC22\DRR Jaime\Neiva CPI\[VAO_DINA TERCIARIOS_CF_SEC_20230117.xlsx]CF PNP'!</v>
      </c>
      <c r="G45" s="7" t="s">
        <v>100</v>
      </c>
      <c r="H45" s="4">
        <f t="shared" si="4"/>
        <v>41</v>
      </c>
      <c r="I45" s="4" t="str">
        <f t="shared" si="2"/>
        <v>='C:\Users\jaime.benazar\Quorum Business Solutions\Ecopetrol Prometeo - Documents\Planning Space Implementation\3. Analysis &amp; Design\Design\FC22\DRR Jaime\Neiva CPI\[VAO_DINA TERCIARIOS_CF_SEC_20230117.xlsx]CF PNP'!$AY$41</v>
      </c>
      <c r="J45" s="4" t="s">
        <v>174</v>
      </c>
    </row>
    <row r="46" spans="1:10" x14ac:dyDescent="0.3">
      <c r="A46" s="7" t="s">
        <v>15</v>
      </c>
      <c r="B46" s="7">
        <f t="shared" si="12"/>
        <v>2029</v>
      </c>
      <c r="C46" s="4" t="s">
        <v>31</v>
      </c>
      <c r="D46" s="5" t="s">
        <v>131</v>
      </c>
      <c r="E46" s="10" t="str">
        <f t="shared" si="0"/>
        <v>PNP'!</v>
      </c>
      <c r="F46" s="5" t="str">
        <f t="shared" si="1"/>
        <v>C:\Users\jaime.benazar\Quorum Business Solutions\Ecopetrol Prometeo - Documents\Planning Space Implementation\3. Analysis &amp; Design\Design\FC22\DRR Jaime\Neiva CPI\[VAO_DINA TERCIARIOS_CF_SEC_20230117.xlsx]CF PNP'!</v>
      </c>
      <c r="G46" s="7" t="s">
        <v>100</v>
      </c>
      <c r="H46" s="4">
        <f t="shared" si="4"/>
        <v>42</v>
      </c>
      <c r="I46" s="4" t="str">
        <f t="shared" si="2"/>
        <v>='C:\Users\jaime.benazar\Quorum Business Solutions\Ecopetrol Prometeo - Documents\Planning Space Implementation\3. Analysis &amp; Design\Design\FC22\DRR Jaime\Neiva CPI\[VAO_DINA TERCIARIOS_CF_SEC_20230117.xlsx]CF PNP'!$AY$42</v>
      </c>
      <c r="J46" s="4" t="s">
        <v>175</v>
      </c>
    </row>
    <row r="47" spans="1:10" x14ac:dyDescent="0.3">
      <c r="A47" s="7" t="s">
        <v>15</v>
      </c>
      <c r="B47" s="7">
        <f t="shared" si="12"/>
        <v>2030</v>
      </c>
      <c r="C47" s="4" t="s">
        <v>31</v>
      </c>
      <c r="D47" s="5" t="s">
        <v>131</v>
      </c>
      <c r="E47" s="10" t="str">
        <f t="shared" si="0"/>
        <v>PNP'!</v>
      </c>
      <c r="F47" s="5" t="str">
        <f t="shared" si="1"/>
        <v>C:\Users\jaime.benazar\Quorum Business Solutions\Ecopetrol Prometeo - Documents\Planning Space Implementation\3. Analysis &amp; Design\Design\FC22\DRR Jaime\Neiva CPI\[VAO_DINA TERCIARIOS_CF_SEC_20230117.xlsx]CF PNP'!</v>
      </c>
      <c r="G47" s="7" t="s">
        <v>100</v>
      </c>
      <c r="H47" s="4">
        <f t="shared" si="4"/>
        <v>43</v>
      </c>
      <c r="I47" s="4" t="str">
        <f t="shared" si="2"/>
        <v>='C:\Users\jaime.benazar\Quorum Business Solutions\Ecopetrol Prometeo - Documents\Planning Space Implementation\3. Analysis &amp; Design\Design\FC22\DRR Jaime\Neiva CPI\[VAO_DINA TERCIARIOS_CF_SEC_20230117.xlsx]CF PNP'!$AY$43</v>
      </c>
      <c r="J47" s="4" t="s">
        <v>176</v>
      </c>
    </row>
    <row r="48" spans="1:10" x14ac:dyDescent="0.3">
      <c r="A48" s="7" t="s">
        <v>15</v>
      </c>
      <c r="B48" s="7">
        <f t="shared" si="12"/>
        <v>2031</v>
      </c>
      <c r="C48" s="4" t="s">
        <v>31</v>
      </c>
      <c r="D48" s="5" t="s">
        <v>131</v>
      </c>
      <c r="E48" s="10" t="str">
        <f t="shared" si="0"/>
        <v>PNP'!</v>
      </c>
      <c r="F48" s="5" t="str">
        <f t="shared" si="1"/>
        <v>C:\Users\jaime.benazar\Quorum Business Solutions\Ecopetrol Prometeo - Documents\Planning Space Implementation\3. Analysis &amp; Design\Design\FC22\DRR Jaime\Neiva CPI\[VAO_DINA TERCIARIOS_CF_SEC_20230117.xlsx]CF PNP'!</v>
      </c>
      <c r="G48" s="7" t="s">
        <v>100</v>
      </c>
      <c r="H48" s="4">
        <f t="shared" si="4"/>
        <v>44</v>
      </c>
      <c r="I48" s="4" t="str">
        <f t="shared" si="2"/>
        <v>='C:\Users\jaime.benazar\Quorum Business Solutions\Ecopetrol Prometeo - Documents\Planning Space Implementation\3. Analysis &amp; Design\Design\FC22\DRR Jaime\Neiva CPI\[VAO_DINA TERCIARIOS_CF_SEC_20230117.xlsx]CF PNP'!$AY$44</v>
      </c>
      <c r="J48" s="4" t="s">
        <v>177</v>
      </c>
    </row>
    <row r="49" spans="1:10" x14ac:dyDescent="0.3">
      <c r="A49" s="7" t="s">
        <v>15</v>
      </c>
      <c r="B49" s="7">
        <f t="shared" si="12"/>
        <v>2032</v>
      </c>
      <c r="C49" s="4" t="s">
        <v>31</v>
      </c>
      <c r="D49" s="5" t="s">
        <v>131</v>
      </c>
      <c r="E49" s="10" t="str">
        <f t="shared" si="0"/>
        <v>PNP'!</v>
      </c>
      <c r="F49" s="5" t="str">
        <f t="shared" si="1"/>
        <v>C:\Users\jaime.benazar\Quorum Business Solutions\Ecopetrol Prometeo - Documents\Planning Space Implementation\3. Analysis &amp; Design\Design\FC22\DRR Jaime\Neiva CPI\[VAO_DINA TERCIARIOS_CF_SEC_20230117.xlsx]CF PNP'!</v>
      </c>
      <c r="G49" s="7" t="s">
        <v>100</v>
      </c>
      <c r="H49" s="4">
        <f t="shared" si="4"/>
        <v>45</v>
      </c>
      <c r="I49" s="4" t="str">
        <f t="shared" si="2"/>
        <v>='C:\Users\jaime.benazar\Quorum Business Solutions\Ecopetrol Prometeo - Documents\Planning Space Implementation\3. Analysis &amp; Design\Design\FC22\DRR Jaime\Neiva CPI\[VAO_DINA TERCIARIOS_CF_SEC_20230117.xlsx]CF PNP'!$AY$45</v>
      </c>
      <c r="J49" s="4" t="s">
        <v>178</v>
      </c>
    </row>
    <row r="50" spans="1:10" x14ac:dyDescent="0.3">
      <c r="A50" s="7" t="s">
        <v>15</v>
      </c>
      <c r="B50" s="7">
        <f t="shared" si="12"/>
        <v>2033</v>
      </c>
      <c r="C50" s="4" t="s">
        <v>31</v>
      </c>
      <c r="D50" s="5" t="s">
        <v>131</v>
      </c>
      <c r="E50" s="10" t="str">
        <f t="shared" si="0"/>
        <v>PNP'!</v>
      </c>
      <c r="F50" s="5" t="str">
        <f t="shared" si="1"/>
        <v>C:\Users\jaime.benazar\Quorum Business Solutions\Ecopetrol Prometeo - Documents\Planning Space Implementation\3. Analysis &amp; Design\Design\FC22\DRR Jaime\Neiva CPI\[VAO_DINA TERCIARIOS_CF_SEC_20230117.xlsx]CF PNP'!</v>
      </c>
      <c r="G50" s="7" t="s">
        <v>100</v>
      </c>
      <c r="H50" s="4">
        <f t="shared" si="4"/>
        <v>46</v>
      </c>
      <c r="I50" s="4" t="str">
        <f t="shared" si="2"/>
        <v>='C:\Users\jaime.benazar\Quorum Business Solutions\Ecopetrol Prometeo - Documents\Planning Space Implementation\3. Analysis &amp; Design\Design\FC22\DRR Jaime\Neiva CPI\[VAO_DINA TERCIARIOS_CF_SEC_20230117.xlsx]CF PNP'!$AY$46</v>
      </c>
      <c r="J50" s="4" t="s">
        <v>179</v>
      </c>
    </row>
    <row r="51" spans="1:10" x14ac:dyDescent="0.3">
      <c r="A51" s="7" t="s">
        <v>15</v>
      </c>
      <c r="B51" s="7">
        <f t="shared" si="12"/>
        <v>2034</v>
      </c>
      <c r="C51" s="4" t="s">
        <v>31</v>
      </c>
      <c r="D51" s="5" t="s">
        <v>131</v>
      </c>
      <c r="E51" s="10" t="str">
        <f t="shared" si="0"/>
        <v>PNP'!</v>
      </c>
      <c r="F51" s="5" t="str">
        <f t="shared" si="1"/>
        <v>C:\Users\jaime.benazar\Quorum Business Solutions\Ecopetrol Prometeo - Documents\Planning Space Implementation\3. Analysis &amp; Design\Design\FC22\DRR Jaime\Neiva CPI\[VAO_DINA TERCIARIOS_CF_SEC_20230117.xlsx]CF PNP'!</v>
      </c>
      <c r="G51" s="7" t="s">
        <v>100</v>
      </c>
      <c r="H51" s="4">
        <f t="shared" si="4"/>
        <v>47</v>
      </c>
      <c r="I51" s="4" t="str">
        <f t="shared" si="2"/>
        <v>='C:\Users\jaime.benazar\Quorum Business Solutions\Ecopetrol Prometeo - Documents\Planning Space Implementation\3. Analysis &amp; Design\Design\FC22\DRR Jaime\Neiva CPI\[VAO_DINA TERCIARIOS_CF_SEC_20230117.xlsx]CF PNP'!$AY$47</v>
      </c>
      <c r="J51" s="4" t="s">
        <v>180</v>
      </c>
    </row>
    <row r="52" spans="1:10" x14ac:dyDescent="0.3">
      <c r="A52" s="7" t="s">
        <v>15</v>
      </c>
      <c r="B52" s="7">
        <f t="shared" si="12"/>
        <v>2035</v>
      </c>
      <c r="C52" s="4" t="s">
        <v>31</v>
      </c>
      <c r="D52" s="5" t="s">
        <v>131</v>
      </c>
      <c r="E52" s="10" t="str">
        <f t="shared" si="0"/>
        <v>PNP'!</v>
      </c>
      <c r="F52" s="5" t="str">
        <f t="shared" si="1"/>
        <v>C:\Users\jaime.benazar\Quorum Business Solutions\Ecopetrol Prometeo - Documents\Planning Space Implementation\3. Analysis &amp; Design\Design\FC22\DRR Jaime\Neiva CPI\[VAO_DINA TERCIARIOS_CF_SEC_20230117.xlsx]CF PNP'!</v>
      </c>
      <c r="G52" s="7" t="s">
        <v>100</v>
      </c>
      <c r="H52" s="4">
        <f t="shared" si="4"/>
        <v>48</v>
      </c>
      <c r="I52" s="4" t="str">
        <f t="shared" si="2"/>
        <v>='C:\Users\jaime.benazar\Quorum Business Solutions\Ecopetrol Prometeo - Documents\Planning Space Implementation\3. Analysis &amp; Design\Design\FC22\DRR Jaime\Neiva CPI\[VAO_DINA TERCIARIOS_CF_SEC_20230117.xlsx]CF PNP'!$AY$48</v>
      </c>
      <c r="J52" s="4" t="s">
        <v>181</v>
      </c>
    </row>
    <row r="53" spans="1:10" x14ac:dyDescent="0.3">
      <c r="A53" s="7" t="s">
        <v>15</v>
      </c>
      <c r="B53" s="7">
        <f t="shared" si="12"/>
        <v>2036</v>
      </c>
      <c r="C53" s="4" t="s">
        <v>31</v>
      </c>
      <c r="D53" s="5" t="s">
        <v>131</v>
      </c>
      <c r="E53" s="10" t="str">
        <f t="shared" si="0"/>
        <v>PNP'!</v>
      </c>
      <c r="F53" s="5" t="str">
        <f t="shared" si="1"/>
        <v>C:\Users\jaime.benazar\Quorum Business Solutions\Ecopetrol Prometeo - Documents\Planning Space Implementation\3. Analysis &amp; Design\Design\FC22\DRR Jaime\Neiva CPI\[VAO_DINA TERCIARIOS_CF_SEC_20230117.xlsx]CF PNP'!</v>
      </c>
      <c r="G53" s="7" t="s">
        <v>100</v>
      </c>
      <c r="H53" s="4">
        <f t="shared" si="4"/>
        <v>49</v>
      </c>
      <c r="I53" s="4" t="str">
        <f t="shared" si="2"/>
        <v>='C:\Users\jaime.benazar\Quorum Business Solutions\Ecopetrol Prometeo - Documents\Planning Space Implementation\3. Analysis &amp; Design\Design\FC22\DRR Jaime\Neiva CPI\[VAO_DINA TERCIARIOS_CF_SEC_20230117.xlsx]CF PNP'!$AY$49</v>
      </c>
      <c r="J53" s="4" t="s">
        <v>182</v>
      </c>
    </row>
    <row r="54" spans="1:10" x14ac:dyDescent="0.3">
      <c r="A54" s="7" t="s">
        <v>15</v>
      </c>
      <c r="B54" s="7">
        <f>+B53+1</f>
        <v>2037</v>
      </c>
      <c r="C54" s="4" t="s">
        <v>31</v>
      </c>
      <c r="D54" s="5" t="s">
        <v>131</v>
      </c>
      <c r="E54" s="10" t="str">
        <f t="shared" si="0"/>
        <v>PNP'!</v>
      </c>
      <c r="F54" s="5" t="str">
        <f t="shared" si="1"/>
        <v>C:\Users\jaime.benazar\Quorum Business Solutions\Ecopetrol Prometeo - Documents\Planning Space Implementation\3. Analysis &amp; Design\Design\FC22\DRR Jaime\Neiva CPI\[VAO_DINA TERCIARIOS_CF_SEC_20230117.xlsx]CF PNP'!</v>
      </c>
      <c r="G54" s="7" t="s">
        <v>100</v>
      </c>
      <c r="H54" s="4">
        <f t="shared" si="4"/>
        <v>50</v>
      </c>
      <c r="I54" s="4" t="str">
        <f t="shared" si="2"/>
        <v>='C:\Users\jaime.benazar\Quorum Business Solutions\Ecopetrol Prometeo - Documents\Planning Space Implementation\3. Analysis &amp; Design\Design\FC22\DRR Jaime\Neiva CPI\[VAO_DINA TERCIARIOS_CF_SEC_20230117.xlsx]CF PNP'!$AY$50</v>
      </c>
      <c r="J54" s="4" t="s">
        <v>183</v>
      </c>
    </row>
    <row r="55" spans="1:10" x14ac:dyDescent="0.3">
      <c r="A55" s="7" t="s">
        <v>15</v>
      </c>
      <c r="B55" s="7">
        <f t="shared" ref="B55:B57" si="13">+B54+1</f>
        <v>2038</v>
      </c>
      <c r="C55" s="4" t="s">
        <v>31</v>
      </c>
      <c r="D55" s="5" t="s">
        <v>131</v>
      </c>
      <c r="E55" s="10" t="str">
        <f t="shared" si="0"/>
        <v>PNP'!</v>
      </c>
      <c r="F55" s="5" t="str">
        <f t="shared" si="1"/>
        <v>C:\Users\jaime.benazar\Quorum Business Solutions\Ecopetrol Prometeo - Documents\Planning Space Implementation\3. Analysis &amp; Design\Design\FC22\DRR Jaime\Neiva CPI\[VAO_DINA TERCIARIOS_CF_SEC_20230117.xlsx]CF PNP'!</v>
      </c>
      <c r="G55" s="7" t="s">
        <v>100</v>
      </c>
      <c r="H55" s="4">
        <f t="shared" si="4"/>
        <v>51</v>
      </c>
      <c r="I55" s="4" t="str">
        <f t="shared" si="2"/>
        <v>='C:\Users\jaime.benazar\Quorum Business Solutions\Ecopetrol Prometeo - Documents\Planning Space Implementation\3. Analysis &amp; Design\Design\FC22\DRR Jaime\Neiva CPI\[VAO_DINA TERCIARIOS_CF_SEC_20230117.xlsx]CF PNP'!$AY$51</v>
      </c>
      <c r="J55" s="4" t="s">
        <v>184</v>
      </c>
    </row>
    <row r="56" spans="1:10" x14ac:dyDescent="0.3">
      <c r="A56" s="7" t="s">
        <v>15</v>
      </c>
      <c r="B56" s="7">
        <f t="shared" si="13"/>
        <v>2039</v>
      </c>
      <c r="C56" s="4" t="s">
        <v>31</v>
      </c>
      <c r="D56" s="5" t="s">
        <v>131</v>
      </c>
      <c r="E56" s="10" t="str">
        <f t="shared" si="0"/>
        <v>PNP'!</v>
      </c>
      <c r="F56" s="5" t="str">
        <f t="shared" si="1"/>
        <v>C:\Users\jaime.benazar\Quorum Business Solutions\Ecopetrol Prometeo - Documents\Planning Space Implementation\3. Analysis &amp; Design\Design\FC22\DRR Jaime\Neiva CPI\[VAO_DINA TERCIARIOS_CF_SEC_20230117.xlsx]CF PNP'!</v>
      </c>
      <c r="G56" s="7" t="s">
        <v>100</v>
      </c>
      <c r="H56" s="4">
        <f t="shared" si="4"/>
        <v>52</v>
      </c>
      <c r="I56" s="4" t="str">
        <f t="shared" si="2"/>
        <v>='C:\Users\jaime.benazar\Quorum Business Solutions\Ecopetrol Prometeo - Documents\Planning Space Implementation\3. Analysis &amp; Design\Design\FC22\DRR Jaime\Neiva CPI\[VAO_DINA TERCIARIOS_CF_SEC_20230117.xlsx]CF PNP'!$AY$52</v>
      </c>
      <c r="J56" s="4" t="s">
        <v>185</v>
      </c>
    </row>
    <row r="57" spans="1:10" x14ac:dyDescent="0.3">
      <c r="A57" s="7" t="s">
        <v>15</v>
      </c>
      <c r="B57" s="7">
        <f t="shared" si="13"/>
        <v>2040</v>
      </c>
      <c r="C57" s="4" t="s">
        <v>31</v>
      </c>
      <c r="D57" s="5" t="s">
        <v>131</v>
      </c>
      <c r="E57" s="10" t="str">
        <f t="shared" si="0"/>
        <v>PNP'!</v>
      </c>
      <c r="F57" s="5" t="str">
        <f t="shared" si="1"/>
        <v>C:\Users\jaime.benazar\Quorum Business Solutions\Ecopetrol Prometeo - Documents\Planning Space Implementation\3. Analysis &amp; Design\Design\FC22\DRR Jaime\Neiva CPI\[VAO_DINA TERCIARIOS_CF_SEC_20230117.xlsx]CF PNP'!</v>
      </c>
      <c r="G57" s="7" t="s">
        <v>100</v>
      </c>
      <c r="H57" s="4">
        <f t="shared" si="4"/>
        <v>53</v>
      </c>
      <c r="I57" s="4" t="str">
        <f t="shared" si="2"/>
        <v>='C:\Users\jaime.benazar\Quorum Business Solutions\Ecopetrol Prometeo - Documents\Planning Space Implementation\3. Analysis &amp; Design\Design\FC22\DRR Jaime\Neiva CPI\[VAO_DINA TERCIARIOS_CF_SEC_20230117.xlsx]CF PNP'!$AY$53</v>
      </c>
      <c r="J57" s="4" t="s">
        <v>186</v>
      </c>
    </row>
    <row r="58" spans="1:10" x14ac:dyDescent="0.3">
      <c r="A58" s="7" t="s">
        <v>15</v>
      </c>
      <c r="B58" s="7">
        <f>+B57+1</f>
        <v>2041</v>
      </c>
      <c r="C58" s="4" t="s">
        <v>31</v>
      </c>
      <c r="D58" s="5" t="s">
        <v>131</v>
      </c>
      <c r="E58" s="10" t="str">
        <f t="shared" si="0"/>
        <v>PNP'!</v>
      </c>
      <c r="F58" s="5" t="str">
        <f t="shared" si="1"/>
        <v>C:\Users\jaime.benazar\Quorum Business Solutions\Ecopetrol Prometeo - Documents\Planning Space Implementation\3. Analysis &amp; Design\Design\FC22\DRR Jaime\Neiva CPI\[VAO_DINA TERCIARIOS_CF_SEC_20230117.xlsx]CF PNP'!</v>
      </c>
      <c r="G58" s="7" t="s">
        <v>100</v>
      </c>
      <c r="H58" s="4">
        <f t="shared" si="4"/>
        <v>54</v>
      </c>
      <c r="I58" s="4" t="str">
        <f t="shared" si="2"/>
        <v>='C:\Users\jaime.benazar\Quorum Business Solutions\Ecopetrol Prometeo - Documents\Planning Space Implementation\3. Analysis &amp; Design\Design\FC22\DRR Jaime\Neiva CPI\[VAO_DINA TERCIARIOS_CF_SEC_20230117.xlsx]CF PNP'!$AY$54</v>
      </c>
      <c r="J58" s="4" t="s">
        <v>187</v>
      </c>
    </row>
    <row r="59" spans="1:10" x14ac:dyDescent="0.3">
      <c r="A59" s="7" t="s">
        <v>15</v>
      </c>
      <c r="B59" s="7">
        <f t="shared" ref="B59:B60" si="14">+B58+1</f>
        <v>2042</v>
      </c>
      <c r="C59" s="4" t="s">
        <v>31</v>
      </c>
      <c r="D59" s="5" t="s">
        <v>131</v>
      </c>
      <c r="E59" s="10" t="str">
        <f t="shared" si="0"/>
        <v>PNP'!</v>
      </c>
      <c r="F59" s="5" t="str">
        <f t="shared" si="1"/>
        <v>C:\Users\jaime.benazar\Quorum Business Solutions\Ecopetrol Prometeo - Documents\Planning Space Implementation\3. Analysis &amp; Design\Design\FC22\DRR Jaime\Neiva CPI\[VAO_DINA TERCIARIOS_CF_SEC_20230117.xlsx]CF PNP'!</v>
      </c>
      <c r="G59" s="7" t="s">
        <v>100</v>
      </c>
      <c r="H59" s="4">
        <f t="shared" si="4"/>
        <v>55</v>
      </c>
      <c r="I59" s="4" t="str">
        <f t="shared" si="2"/>
        <v>='C:\Users\jaime.benazar\Quorum Business Solutions\Ecopetrol Prometeo - Documents\Planning Space Implementation\3. Analysis &amp; Design\Design\FC22\DRR Jaime\Neiva CPI\[VAO_DINA TERCIARIOS_CF_SEC_20230117.xlsx]CF PNP'!$AY$55</v>
      </c>
      <c r="J59" s="4" t="s">
        <v>188</v>
      </c>
    </row>
    <row r="60" spans="1:10" x14ac:dyDescent="0.3">
      <c r="A60" s="7" t="s">
        <v>15</v>
      </c>
      <c r="B60" s="7">
        <f t="shared" si="14"/>
        <v>2043</v>
      </c>
      <c r="C60" s="4" t="s">
        <v>31</v>
      </c>
      <c r="D60" s="5" t="s">
        <v>131</v>
      </c>
      <c r="E60" s="10" t="str">
        <f t="shared" si="0"/>
        <v>PNP'!</v>
      </c>
      <c r="F60" s="5" t="str">
        <f t="shared" si="1"/>
        <v>C:\Users\jaime.benazar\Quorum Business Solutions\Ecopetrol Prometeo - Documents\Planning Space Implementation\3. Analysis &amp; Design\Design\FC22\DRR Jaime\Neiva CPI\[VAO_DINA TERCIARIOS_CF_SEC_20230117.xlsx]CF PNP'!</v>
      </c>
      <c r="G60" s="7" t="s">
        <v>100</v>
      </c>
      <c r="H60" s="4">
        <f t="shared" si="4"/>
        <v>56</v>
      </c>
      <c r="I60" s="4" t="str">
        <f t="shared" si="2"/>
        <v>='C:\Users\jaime.benazar\Quorum Business Solutions\Ecopetrol Prometeo - Documents\Planning Space Implementation\3. Analysis &amp; Design\Design\FC22\DRR Jaime\Neiva CPI\[VAO_DINA TERCIARIOS_CF_SEC_20230117.xlsx]CF PNP'!$AY$56</v>
      </c>
      <c r="J60" s="4" t="s">
        <v>189</v>
      </c>
    </row>
    <row r="61" spans="1:10" x14ac:dyDescent="0.3">
      <c r="A61" s="7" t="s">
        <v>15</v>
      </c>
      <c r="B61" s="7">
        <f>+B60+1</f>
        <v>2044</v>
      </c>
      <c r="C61" s="4" t="s">
        <v>31</v>
      </c>
      <c r="D61" s="5" t="s">
        <v>131</v>
      </c>
      <c r="E61" s="10" t="str">
        <f t="shared" si="0"/>
        <v>PNP'!</v>
      </c>
      <c r="F61" s="5" t="str">
        <f t="shared" si="1"/>
        <v>C:\Users\jaime.benazar\Quorum Business Solutions\Ecopetrol Prometeo - Documents\Planning Space Implementation\3. Analysis &amp; Design\Design\FC22\DRR Jaime\Neiva CPI\[VAO_DINA TERCIARIOS_CF_SEC_20230117.xlsx]CF PNP'!</v>
      </c>
      <c r="G61" s="7" t="s">
        <v>100</v>
      </c>
      <c r="H61" s="4">
        <f t="shared" si="4"/>
        <v>57</v>
      </c>
      <c r="I61" s="4" t="str">
        <f t="shared" si="2"/>
        <v>='C:\Users\jaime.benazar\Quorum Business Solutions\Ecopetrol Prometeo - Documents\Planning Space Implementation\3. Analysis &amp; Design\Design\FC22\DRR Jaime\Neiva CPI\[VAO_DINA TERCIARIOS_CF_SEC_20230117.xlsx]CF PNP'!$AY$57</v>
      </c>
      <c r="J61" s="4" t="s">
        <v>190</v>
      </c>
    </row>
    <row r="62" spans="1:10" x14ac:dyDescent="0.3">
      <c r="A62" s="7" t="s">
        <v>15</v>
      </c>
      <c r="B62" s="7">
        <f t="shared" ref="B62:B76" si="15">+B61+1</f>
        <v>2045</v>
      </c>
      <c r="C62" s="4" t="s">
        <v>31</v>
      </c>
      <c r="D62" s="5" t="s">
        <v>131</v>
      </c>
      <c r="E62" s="10" t="str">
        <f t="shared" si="0"/>
        <v>PNP'!</v>
      </c>
      <c r="F62" s="5" t="str">
        <f t="shared" si="1"/>
        <v>C:\Users\jaime.benazar\Quorum Business Solutions\Ecopetrol Prometeo - Documents\Planning Space Implementation\3. Analysis &amp; Design\Design\FC22\DRR Jaime\Neiva CPI\[VAO_DINA TERCIARIOS_CF_SEC_20230117.xlsx]CF PNP'!</v>
      </c>
      <c r="G62" s="7" t="s">
        <v>100</v>
      </c>
      <c r="H62" s="4">
        <f t="shared" si="4"/>
        <v>58</v>
      </c>
      <c r="I62" s="4" t="str">
        <f t="shared" si="2"/>
        <v>='C:\Users\jaime.benazar\Quorum Business Solutions\Ecopetrol Prometeo - Documents\Planning Space Implementation\3. Analysis &amp; Design\Design\FC22\DRR Jaime\Neiva CPI\[VAO_DINA TERCIARIOS_CF_SEC_20230117.xlsx]CF PNP'!$AY$58</v>
      </c>
      <c r="J62" s="4" t="s">
        <v>191</v>
      </c>
    </row>
    <row r="63" spans="1:10" x14ac:dyDescent="0.3">
      <c r="A63" s="7" t="s">
        <v>15</v>
      </c>
      <c r="B63" s="7">
        <f t="shared" si="15"/>
        <v>2046</v>
      </c>
      <c r="C63" s="4" t="s">
        <v>31</v>
      </c>
      <c r="D63" s="5" t="s">
        <v>131</v>
      </c>
      <c r="E63" s="10" t="str">
        <f t="shared" ref="E63:E76" si="16">_xlfn.CONCAT(A63,"'!")</f>
        <v>PNP'!</v>
      </c>
      <c r="F63" s="5" t="str">
        <f t="shared" ref="F63:F76" si="17">_xlfn.CONCAT(D63," ",E63)</f>
        <v>C:\Users\jaime.benazar\Quorum Business Solutions\Ecopetrol Prometeo - Documents\Planning Space Implementation\3. Analysis &amp; Design\Design\FC22\DRR Jaime\Neiva CPI\[VAO_DINA TERCIARIOS_CF_SEC_20230117.xlsx]CF PNP'!</v>
      </c>
      <c r="G63" s="7" t="s">
        <v>100</v>
      </c>
      <c r="H63" s="4">
        <f t="shared" ref="H63:H76" si="18">IF(A63&lt;&gt;A62,36,H62+1)</f>
        <v>59</v>
      </c>
      <c r="I63" s="4" t="str">
        <f t="shared" ref="I63:I76" si="19">_xlfn.CONCAT("='",F63:H63)</f>
        <v>='C:\Users\jaime.benazar\Quorum Business Solutions\Ecopetrol Prometeo - Documents\Planning Space Implementation\3. Analysis &amp; Design\Design\FC22\DRR Jaime\Neiva CPI\[VAO_DINA TERCIARIOS_CF_SEC_20230117.xlsx]CF PNP'!$AY$59</v>
      </c>
      <c r="J63" s="4" t="s">
        <v>192</v>
      </c>
    </row>
    <row r="64" spans="1:10" x14ac:dyDescent="0.3">
      <c r="A64" s="7" t="s">
        <v>15</v>
      </c>
      <c r="B64" s="7">
        <f t="shared" si="15"/>
        <v>2047</v>
      </c>
      <c r="C64" s="4" t="s">
        <v>31</v>
      </c>
      <c r="D64" s="5" t="s">
        <v>131</v>
      </c>
      <c r="E64" s="10" t="str">
        <f t="shared" si="16"/>
        <v>PNP'!</v>
      </c>
      <c r="F64" s="5" t="str">
        <f t="shared" si="17"/>
        <v>C:\Users\jaime.benazar\Quorum Business Solutions\Ecopetrol Prometeo - Documents\Planning Space Implementation\3. Analysis &amp; Design\Design\FC22\DRR Jaime\Neiva CPI\[VAO_DINA TERCIARIOS_CF_SEC_20230117.xlsx]CF PNP'!</v>
      </c>
      <c r="G64" s="7" t="s">
        <v>100</v>
      </c>
      <c r="H64" s="4">
        <f t="shared" si="18"/>
        <v>60</v>
      </c>
      <c r="I64" s="4" t="str">
        <f t="shared" si="19"/>
        <v>='C:\Users\jaime.benazar\Quorum Business Solutions\Ecopetrol Prometeo - Documents\Planning Space Implementation\3. Analysis &amp; Design\Design\FC22\DRR Jaime\Neiva CPI\[VAO_DINA TERCIARIOS_CF_SEC_20230117.xlsx]CF PNP'!$AY$60</v>
      </c>
      <c r="J64" s="4" t="s">
        <v>193</v>
      </c>
    </row>
    <row r="65" spans="1:10" x14ac:dyDescent="0.3">
      <c r="A65" s="7" t="s">
        <v>15</v>
      </c>
      <c r="B65" s="7">
        <f t="shared" si="15"/>
        <v>2048</v>
      </c>
      <c r="C65" s="4" t="s">
        <v>31</v>
      </c>
      <c r="D65" s="5" t="s">
        <v>131</v>
      </c>
      <c r="E65" s="10" t="str">
        <f t="shared" si="16"/>
        <v>PNP'!</v>
      </c>
      <c r="F65" s="5" t="str">
        <f t="shared" si="17"/>
        <v>C:\Users\jaime.benazar\Quorum Business Solutions\Ecopetrol Prometeo - Documents\Planning Space Implementation\3. Analysis &amp; Design\Design\FC22\DRR Jaime\Neiva CPI\[VAO_DINA TERCIARIOS_CF_SEC_20230117.xlsx]CF PNP'!</v>
      </c>
      <c r="G65" s="7" t="s">
        <v>100</v>
      </c>
      <c r="H65" s="4">
        <f t="shared" si="18"/>
        <v>61</v>
      </c>
      <c r="I65" s="4" t="str">
        <f t="shared" si="19"/>
        <v>='C:\Users\jaime.benazar\Quorum Business Solutions\Ecopetrol Prometeo - Documents\Planning Space Implementation\3. Analysis &amp; Design\Design\FC22\DRR Jaime\Neiva CPI\[VAO_DINA TERCIARIOS_CF_SEC_20230117.xlsx]CF PNP'!$AY$61</v>
      </c>
      <c r="J65" s="4" t="s">
        <v>194</v>
      </c>
    </row>
    <row r="66" spans="1:10" x14ac:dyDescent="0.3">
      <c r="A66" s="7" t="s">
        <v>15</v>
      </c>
      <c r="B66" s="7">
        <f t="shared" si="15"/>
        <v>2049</v>
      </c>
      <c r="C66" s="4" t="s">
        <v>31</v>
      </c>
      <c r="D66" s="5" t="s">
        <v>131</v>
      </c>
      <c r="E66" s="10" t="str">
        <f t="shared" si="16"/>
        <v>PNP'!</v>
      </c>
      <c r="F66" s="5" t="str">
        <f t="shared" si="17"/>
        <v>C:\Users\jaime.benazar\Quorum Business Solutions\Ecopetrol Prometeo - Documents\Planning Space Implementation\3. Analysis &amp; Design\Design\FC22\DRR Jaime\Neiva CPI\[VAO_DINA TERCIARIOS_CF_SEC_20230117.xlsx]CF PNP'!</v>
      </c>
      <c r="G66" s="7" t="s">
        <v>100</v>
      </c>
      <c r="H66" s="4">
        <f t="shared" si="18"/>
        <v>62</v>
      </c>
      <c r="I66" s="4" t="str">
        <f t="shared" si="19"/>
        <v>='C:\Users\jaime.benazar\Quorum Business Solutions\Ecopetrol Prometeo - Documents\Planning Space Implementation\3. Analysis &amp; Design\Design\FC22\DRR Jaime\Neiva CPI\[VAO_DINA TERCIARIOS_CF_SEC_20230117.xlsx]CF PNP'!$AY$62</v>
      </c>
      <c r="J66" s="4" t="s">
        <v>195</v>
      </c>
    </row>
    <row r="67" spans="1:10" x14ac:dyDescent="0.3">
      <c r="A67" s="7" t="s">
        <v>15</v>
      </c>
      <c r="B67" s="7">
        <f t="shared" si="15"/>
        <v>2050</v>
      </c>
      <c r="C67" s="4" t="s">
        <v>31</v>
      </c>
      <c r="D67" s="5" t="s">
        <v>131</v>
      </c>
      <c r="E67" s="10" t="str">
        <f t="shared" si="16"/>
        <v>PNP'!</v>
      </c>
      <c r="F67" s="5" t="str">
        <f t="shared" si="17"/>
        <v>C:\Users\jaime.benazar\Quorum Business Solutions\Ecopetrol Prometeo - Documents\Planning Space Implementation\3. Analysis &amp; Design\Design\FC22\DRR Jaime\Neiva CPI\[VAO_DINA TERCIARIOS_CF_SEC_20230117.xlsx]CF PNP'!</v>
      </c>
      <c r="G67" s="7" t="s">
        <v>100</v>
      </c>
      <c r="H67" s="4">
        <f t="shared" si="18"/>
        <v>63</v>
      </c>
      <c r="I67" s="4" t="str">
        <f t="shared" si="19"/>
        <v>='C:\Users\jaime.benazar\Quorum Business Solutions\Ecopetrol Prometeo - Documents\Planning Space Implementation\3. Analysis &amp; Design\Design\FC22\DRR Jaime\Neiva CPI\[VAO_DINA TERCIARIOS_CF_SEC_20230117.xlsx]CF PNP'!$AY$63</v>
      </c>
      <c r="J67" s="4" t="s">
        <v>196</v>
      </c>
    </row>
    <row r="68" spans="1:10" x14ac:dyDescent="0.3">
      <c r="A68" s="7" t="s">
        <v>15</v>
      </c>
      <c r="B68" s="7">
        <f t="shared" si="15"/>
        <v>2051</v>
      </c>
      <c r="C68" s="4" t="s">
        <v>31</v>
      </c>
      <c r="D68" s="5" t="s">
        <v>131</v>
      </c>
      <c r="E68" s="10" t="str">
        <f t="shared" si="16"/>
        <v>PNP'!</v>
      </c>
      <c r="F68" s="5" t="str">
        <f t="shared" si="17"/>
        <v>C:\Users\jaime.benazar\Quorum Business Solutions\Ecopetrol Prometeo - Documents\Planning Space Implementation\3. Analysis &amp; Design\Design\FC22\DRR Jaime\Neiva CPI\[VAO_DINA TERCIARIOS_CF_SEC_20230117.xlsx]CF PNP'!</v>
      </c>
      <c r="G68" s="7" t="s">
        <v>100</v>
      </c>
      <c r="H68" s="4">
        <f t="shared" si="18"/>
        <v>64</v>
      </c>
      <c r="I68" s="4" t="str">
        <f t="shared" si="19"/>
        <v>='C:\Users\jaime.benazar\Quorum Business Solutions\Ecopetrol Prometeo - Documents\Planning Space Implementation\3. Analysis &amp; Design\Design\FC22\DRR Jaime\Neiva CPI\[VAO_DINA TERCIARIOS_CF_SEC_20230117.xlsx]CF PNP'!$AY$64</v>
      </c>
      <c r="J68" s="4" t="s">
        <v>197</v>
      </c>
    </row>
    <row r="69" spans="1:10" x14ac:dyDescent="0.3">
      <c r="A69" s="7" t="s">
        <v>15</v>
      </c>
      <c r="B69" s="7">
        <f t="shared" si="15"/>
        <v>2052</v>
      </c>
      <c r="C69" s="4" t="s">
        <v>31</v>
      </c>
      <c r="D69" s="5" t="s">
        <v>131</v>
      </c>
      <c r="E69" s="10" t="str">
        <f t="shared" si="16"/>
        <v>PNP'!</v>
      </c>
      <c r="F69" s="5" t="str">
        <f t="shared" si="17"/>
        <v>C:\Users\jaime.benazar\Quorum Business Solutions\Ecopetrol Prometeo - Documents\Planning Space Implementation\3. Analysis &amp; Design\Design\FC22\DRR Jaime\Neiva CPI\[VAO_DINA TERCIARIOS_CF_SEC_20230117.xlsx]CF PNP'!</v>
      </c>
      <c r="G69" s="7" t="s">
        <v>100</v>
      </c>
      <c r="H69" s="4">
        <f t="shared" si="18"/>
        <v>65</v>
      </c>
      <c r="I69" s="4" t="str">
        <f t="shared" si="19"/>
        <v>='C:\Users\jaime.benazar\Quorum Business Solutions\Ecopetrol Prometeo - Documents\Planning Space Implementation\3. Analysis &amp; Design\Design\FC22\DRR Jaime\Neiva CPI\[VAO_DINA TERCIARIOS_CF_SEC_20230117.xlsx]CF PNP'!$AY$65</v>
      </c>
      <c r="J69" s="4" t="s">
        <v>198</v>
      </c>
    </row>
    <row r="70" spans="1:10" x14ac:dyDescent="0.3">
      <c r="A70" s="7" t="s">
        <v>15</v>
      </c>
      <c r="B70" s="7">
        <f t="shared" si="15"/>
        <v>2053</v>
      </c>
      <c r="C70" s="4" t="s">
        <v>31</v>
      </c>
      <c r="D70" s="5" t="s">
        <v>131</v>
      </c>
      <c r="E70" s="10" t="str">
        <f t="shared" si="16"/>
        <v>PNP'!</v>
      </c>
      <c r="F70" s="5" t="str">
        <f t="shared" si="17"/>
        <v>C:\Users\jaime.benazar\Quorum Business Solutions\Ecopetrol Prometeo - Documents\Planning Space Implementation\3. Analysis &amp; Design\Design\FC22\DRR Jaime\Neiva CPI\[VAO_DINA TERCIARIOS_CF_SEC_20230117.xlsx]CF PNP'!</v>
      </c>
      <c r="G70" s="7" t="s">
        <v>100</v>
      </c>
      <c r="H70" s="4">
        <f t="shared" si="18"/>
        <v>66</v>
      </c>
      <c r="I70" s="4" t="str">
        <f t="shared" si="19"/>
        <v>='C:\Users\jaime.benazar\Quorum Business Solutions\Ecopetrol Prometeo - Documents\Planning Space Implementation\3. Analysis &amp; Design\Design\FC22\DRR Jaime\Neiva CPI\[VAO_DINA TERCIARIOS_CF_SEC_20230117.xlsx]CF PNP'!$AY$66</v>
      </c>
      <c r="J70" s="4" t="s">
        <v>199</v>
      </c>
    </row>
    <row r="71" spans="1:10" x14ac:dyDescent="0.3">
      <c r="A71" s="7" t="s">
        <v>15</v>
      </c>
      <c r="B71" s="7">
        <f t="shared" si="15"/>
        <v>2054</v>
      </c>
      <c r="C71" s="4" t="s">
        <v>31</v>
      </c>
      <c r="D71" s="5" t="s">
        <v>131</v>
      </c>
      <c r="E71" s="10" t="str">
        <f t="shared" si="16"/>
        <v>PNP'!</v>
      </c>
      <c r="F71" s="5" t="str">
        <f t="shared" si="17"/>
        <v>C:\Users\jaime.benazar\Quorum Business Solutions\Ecopetrol Prometeo - Documents\Planning Space Implementation\3. Analysis &amp; Design\Design\FC22\DRR Jaime\Neiva CPI\[VAO_DINA TERCIARIOS_CF_SEC_20230117.xlsx]CF PNP'!</v>
      </c>
      <c r="G71" s="7" t="s">
        <v>100</v>
      </c>
      <c r="H71" s="4">
        <f t="shared" si="18"/>
        <v>67</v>
      </c>
      <c r="I71" s="4" t="str">
        <f t="shared" si="19"/>
        <v>='C:\Users\jaime.benazar\Quorum Business Solutions\Ecopetrol Prometeo - Documents\Planning Space Implementation\3. Analysis &amp; Design\Design\FC22\DRR Jaime\Neiva CPI\[VAO_DINA TERCIARIOS_CF_SEC_20230117.xlsx]CF PNP'!$AY$67</v>
      </c>
      <c r="J71" s="4" t="s">
        <v>200</v>
      </c>
    </row>
    <row r="72" spans="1:10" x14ac:dyDescent="0.3">
      <c r="A72" s="7" t="s">
        <v>15</v>
      </c>
      <c r="B72" s="7">
        <f t="shared" si="15"/>
        <v>2055</v>
      </c>
      <c r="C72" s="4" t="s">
        <v>31</v>
      </c>
      <c r="D72" s="5" t="s">
        <v>131</v>
      </c>
      <c r="E72" s="10" t="str">
        <f t="shared" si="16"/>
        <v>PNP'!</v>
      </c>
      <c r="F72" s="5" t="str">
        <f t="shared" si="17"/>
        <v>C:\Users\jaime.benazar\Quorum Business Solutions\Ecopetrol Prometeo - Documents\Planning Space Implementation\3. Analysis &amp; Design\Design\FC22\DRR Jaime\Neiva CPI\[VAO_DINA TERCIARIOS_CF_SEC_20230117.xlsx]CF PNP'!</v>
      </c>
      <c r="G72" s="7" t="s">
        <v>100</v>
      </c>
      <c r="H72" s="4">
        <f t="shared" si="18"/>
        <v>68</v>
      </c>
      <c r="I72" s="4" t="str">
        <f t="shared" si="19"/>
        <v>='C:\Users\jaime.benazar\Quorum Business Solutions\Ecopetrol Prometeo - Documents\Planning Space Implementation\3. Analysis &amp; Design\Design\FC22\DRR Jaime\Neiva CPI\[VAO_DINA TERCIARIOS_CF_SEC_20230117.xlsx]CF PNP'!$AY$68</v>
      </c>
      <c r="J72" s="4" t="s">
        <v>201</v>
      </c>
    </row>
    <row r="73" spans="1:10" x14ac:dyDescent="0.3">
      <c r="A73" s="7" t="s">
        <v>15</v>
      </c>
      <c r="B73" s="7">
        <f t="shared" si="15"/>
        <v>2056</v>
      </c>
      <c r="C73" s="4" t="s">
        <v>31</v>
      </c>
      <c r="D73" s="5" t="s">
        <v>131</v>
      </c>
      <c r="E73" s="10" t="str">
        <f t="shared" si="16"/>
        <v>PNP'!</v>
      </c>
      <c r="F73" s="5" t="str">
        <f t="shared" si="17"/>
        <v>C:\Users\jaime.benazar\Quorum Business Solutions\Ecopetrol Prometeo - Documents\Planning Space Implementation\3. Analysis &amp; Design\Design\FC22\DRR Jaime\Neiva CPI\[VAO_DINA TERCIARIOS_CF_SEC_20230117.xlsx]CF PNP'!</v>
      </c>
      <c r="G73" s="7" t="s">
        <v>100</v>
      </c>
      <c r="H73" s="4">
        <f t="shared" si="18"/>
        <v>69</v>
      </c>
      <c r="I73" s="4" t="str">
        <f t="shared" si="19"/>
        <v>='C:\Users\jaime.benazar\Quorum Business Solutions\Ecopetrol Prometeo - Documents\Planning Space Implementation\3. Analysis &amp; Design\Design\FC22\DRR Jaime\Neiva CPI\[VAO_DINA TERCIARIOS_CF_SEC_20230117.xlsx]CF PNP'!$AY$69</v>
      </c>
      <c r="J73" s="4" t="s">
        <v>202</v>
      </c>
    </row>
    <row r="74" spans="1:10" x14ac:dyDescent="0.3">
      <c r="A74" s="7" t="s">
        <v>15</v>
      </c>
      <c r="B74" s="7">
        <f t="shared" si="15"/>
        <v>2057</v>
      </c>
      <c r="C74" s="4" t="s">
        <v>31</v>
      </c>
      <c r="D74" s="5" t="s">
        <v>131</v>
      </c>
      <c r="E74" s="10" t="str">
        <f t="shared" si="16"/>
        <v>PNP'!</v>
      </c>
      <c r="F74" s="5" t="str">
        <f t="shared" si="17"/>
        <v>C:\Users\jaime.benazar\Quorum Business Solutions\Ecopetrol Prometeo - Documents\Planning Space Implementation\3. Analysis &amp; Design\Design\FC22\DRR Jaime\Neiva CPI\[VAO_DINA TERCIARIOS_CF_SEC_20230117.xlsx]CF PNP'!</v>
      </c>
      <c r="G74" s="7" t="s">
        <v>100</v>
      </c>
      <c r="H74" s="4">
        <f t="shared" si="18"/>
        <v>70</v>
      </c>
      <c r="I74" s="4" t="str">
        <f t="shared" si="19"/>
        <v>='C:\Users\jaime.benazar\Quorum Business Solutions\Ecopetrol Prometeo - Documents\Planning Space Implementation\3. Analysis &amp; Design\Design\FC22\DRR Jaime\Neiva CPI\[VAO_DINA TERCIARIOS_CF_SEC_20230117.xlsx]CF PNP'!$AY$70</v>
      </c>
      <c r="J74" s="4" t="s">
        <v>203</v>
      </c>
    </row>
    <row r="75" spans="1:10" x14ac:dyDescent="0.3">
      <c r="A75" s="7" t="s">
        <v>15</v>
      </c>
      <c r="B75" s="7">
        <f t="shared" si="15"/>
        <v>2058</v>
      </c>
      <c r="C75" s="4" t="s">
        <v>31</v>
      </c>
      <c r="D75" s="5" t="s">
        <v>131</v>
      </c>
      <c r="E75" s="10" t="str">
        <f t="shared" si="16"/>
        <v>PNP'!</v>
      </c>
      <c r="F75" s="5" t="str">
        <f t="shared" si="17"/>
        <v>C:\Users\jaime.benazar\Quorum Business Solutions\Ecopetrol Prometeo - Documents\Planning Space Implementation\3. Analysis &amp; Design\Design\FC22\DRR Jaime\Neiva CPI\[VAO_DINA TERCIARIOS_CF_SEC_20230117.xlsx]CF PNP'!</v>
      </c>
      <c r="G75" s="7" t="s">
        <v>100</v>
      </c>
      <c r="H75" s="4">
        <f t="shared" si="18"/>
        <v>71</v>
      </c>
      <c r="I75" s="4" t="str">
        <f t="shared" si="19"/>
        <v>='C:\Users\jaime.benazar\Quorum Business Solutions\Ecopetrol Prometeo - Documents\Planning Space Implementation\3. Analysis &amp; Design\Design\FC22\DRR Jaime\Neiva CPI\[VAO_DINA TERCIARIOS_CF_SEC_20230117.xlsx]CF PNP'!$AY$71</v>
      </c>
      <c r="J75" s="4" t="s">
        <v>204</v>
      </c>
    </row>
    <row r="76" spans="1:10" x14ac:dyDescent="0.3">
      <c r="A76" s="7" t="s">
        <v>15</v>
      </c>
      <c r="B76" s="7">
        <f t="shared" si="15"/>
        <v>2059</v>
      </c>
      <c r="C76" s="4" t="s">
        <v>31</v>
      </c>
      <c r="D76" s="5" t="s">
        <v>131</v>
      </c>
      <c r="E76" s="10" t="str">
        <f t="shared" si="16"/>
        <v>PNP'!</v>
      </c>
      <c r="F76" s="5" t="str">
        <f t="shared" si="17"/>
        <v>C:\Users\jaime.benazar\Quorum Business Solutions\Ecopetrol Prometeo - Documents\Planning Space Implementation\3. Analysis &amp; Design\Design\FC22\DRR Jaime\Neiva CPI\[VAO_DINA TERCIARIOS_CF_SEC_20230117.xlsx]CF PNP'!</v>
      </c>
      <c r="G76" s="7" t="s">
        <v>100</v>
      </c>
      <c r="H76" s="4">
        <f t="shared" si="18"/>
        <v>72</v>
      </c>
      <c r="I76" s="4" t="str">
        <f t="shared" si="19"/>
        <v>='C:\Users\jaime.benazar\Quorum Business Solutions\Ecopetrol Prometeo - Documents\Planning Space Implementation\3. Analysis &amp; Design\Design\FC22\DRR Jaime\Neiva CPI\[VAO_DINA TERCIARIOS_CF_SEC_20230117.xlsx]CF PNP'!$AY$72</v>
      </c>
      <c r="J76" s="4" t="s">
        <v>205</v>
      </c>
    </row>
    <row r="77" spans="1:10" x14ac:dyDescent="0.3">
      <c r="A77" s="7" t="s">
        <v>26</v>
      </c>
      <c r="B77" s="7"/>
      <c r="C77" s="4" t="s">
        <v>31</v>
      </c>
      <c r="D77" s="5"/>
      <c r="E77" s="10"/>
      <c r="F77" s="5" t="str">
        <f t="shared" si="1"/>
        <v xml:space="preserve"> </v>
      </c>
      <c r="G77" s="7"/>
      <c r="H77" s="4"/>
      <c r="I77" s="4"/>
      <c r="J77" s="4"/>
    </row>
    <row r="78" spans="1:10" x14ac:dyDescent="0.3">
      <c r="A78" s="7" t="s">
        <v>16</v>
      </c>
      <c r="B78" s="7">
        <v>2023</v>
      </c>
      <c r="C78" s="4" t="s">
        <v>31</v>
      </c>
      <c r="D78" s="5" t="s">
        <v>131</v>
      </c>
      <c r="E78" s="10" t="str">
        <f t="shared" si="0"/>
        <v>PND'!</v>
      </c>
      <c r="F78" s="5" t="str">
        <f t="shared" si="1"/>
        <v>C:\Users\jaime.benazar\Quorum Business Solutions\Ecopetrol Prometeo - Documents\Planning Space Implementation\3. Analysis &amp; Design\Design\FC22\DRR Jaime\Neiva CPI\[VAO_DINA TERCIARIOS_CF_SEC_20230117.xlsx]CF PND'!</v>
      </c>
      <c r="G78" s="7" t="s">
        <v>100</v>
      </c>
      <c r="H78" s="4">
        <f>IF(A78&lt;&gt;A62,36,H62+1)</f>
        <v>36</v>
      </c>
      <c r="I78" s="4" t="str">
        <f t="shared" si="2"/>
        <v>='C:\Users\jaime.benazar\Quorum Business Solutions\Ecopetrol Prometeo - Documents\Planning Space Implementation\3. Analysis &amp; Design\Design\FC22\DRR Jaime\Neiva CPI\[VAO_DINA TERCIARIOS_CF_SEC_20230117.xlsx]CF PND'!$AY$36</v>
      </c>
      <c r="J78" s="4" t="s">
        <v>206</v>
      </c>
    </row>
    <row r="79" spans="1:10" x14ac:dyDescent="0.3">
      <c r="A79" s="7" t="s">
        <v>16</v>
      </c>
      <c r="B79" s="7">
        <f>+B78+1</f>
        <v>2024</v>
      </c>
      <c r="C79" s="4" t="s">
        <v>31</v>
      </c>
      <c r="D79" s="5" t="s">
        <v>131</v>
      </c>
      <c r="E79" s="10" t="str">
        <f t="shared" si="0"/>
        <v>PND'!</v>
      </c>
      <c r="F79" s="5" t="str">
        <f t="shared" si="1"/>
        <v>C:\Users\jaime.benazar\Quorum Business Solutions\Ecopetrol Prometeo - Documents\Planning Space Implementation\3. Analysis &amp; Design\Design\FC22\DRR Jaime\Neiva CPI\[VAO_DINA TERCIARIOS_CF_SEC_20230117.xlsx]CF PND'!</v>
      </c>
      <c r="G79" s="7" t="s">
        <v>100</v>
      </c>
      <c r="H79" s="4">
        <f t="shared" si="4"/>
        <v>37</v>
      </c>
      <c r="I79" s="4" t="str">
        <f t="shared" si="2"/>
        <v>='C:\Users\jaime.benazar\Quorum Business Solutions\Ecopetrol Prometeo - Documents\Planning Space Implementation\3. Analysis &amp; Design\Design\FC22\DRR Jaime\Neiva CPI\[VAO_DINA TERCIARIOS_CF_SEC_20230117.xlsx]CF PND'!$AY$37</v>
      </c>
      <c r="J79" s="4" t="s">
        <v>207</v>
      </c>
    </row>
    <row r="80" spans="1:10" x14ac:dyDescent="0.3">
      <c r="A80" s="7" t="s">
        <v>16</v>
      </c>
      <c r="B80" s="7">
        <f t="shared" ref="B80:B91" si="20">+B79+1</f>
        <v>2025</v>
      </c>
      <c r="C80" s="4" t="s">
        <v>31</v>
      </c>
      <c r="D80" s="5" t="s">
        <v>131</v>
      </c>
      <c r="E80" s="10" t="str">
        <f t="shared" si="0"/>
        <v>PND'!</v>
      </c>
      <c r="F80" s="5" t="str">
        <f t="shared" si="1"/>
        <v>C:\Users\jaime.benazar\Quorum Business Solutions\Ecopetrol Prometeo - Documents\Planning Space Implementation\3. Analysis &amp; Design\Design\FC22\DRR Jaime\Neiva CPI\[VAO_DINA TERCIARIOS_CF_SEC_20230117.xlsx]CF PND'!</v>
      </c>
      <c r="G80" s="7" t="s">
        <v>100</v>
      </c>
      <c r="H80" s="4">
        <f t="shared" si="4"/>
        <v>38</v>
      </c>
      <c r="I80" s="4" t="str">
        <f t="shared" si="2"/>
        <v>='C:\Users\jaime.benazar\Quorum Business Solutions\Ecopetrol Prometeo - Documents\Planning Space Implementation\3. Analysis &amp; Design\Design\FC22\DRR Jaime\Neiva CPI\[VAO_DINA TERCIARIOS_CF_SEC_20230117.xlsx]CF PND'!$AY$38</v>
      </c>
      <c r="J80" s="4" t="s">
        <v>208</v>
      </c>
    </row>
    <row r="81" spans="1:10" x14ac:dyDescent="0.3">
      <c r="A81" s="7" t="s">
        <v>16</v>
      </c>
      <c r="B81" s="7">
        <f t="shared" si="20"/>
        <v>2026</v>
      </c>
      <c r="C81" s="4" t="s">
        <v>31</v>
      </c>
      <c r="D81" s="5" t="s">
        <v>131</v>
      </c>
      <c r="E81" s="10" t="str">
        <f t="shared" si="0"/>
        <v>PND'!</v>
      </c>
      <c r="F81" s="5" t="str">
        <f t="shared" si="1"/>
        <v>C:\Users\jaime.benazar\Quorum Business Solutions\Ecopetrol Prometeo - Documents\Planning Space Implementation\3. Analysis &amp; Design\Design\FC22\DRR Jaime\Neiva CPI\[VAO_DINA TERCIARIOS_CF_SEC_20230117.xlsx]CF PND'!</v>
      </c>
      <c r="G81" s="7" t="s">
        <v>100</v>
      </c>
      <c r="H81" s="4">
        <f t="shared" si="4"/>
        <v>39</v>
      </c>
      <c r="I81" s="4" t="str">
        <f t="shared" si="2"/>
        <v>='C:\Users\jaime.benazar\Quorum Business Solutions\Ecopetrol Prometeo - Documents\Planning Space Implementation\3. Analysis &amp; Design\Design\FC22\DRR Jaime\Neiva CPI\[VAO_DINA TERCIARIOS_CF_SEC_20230117.xlsx]CF PND'!$AY$39</v>
      </c>
      <c r="J81" s="4" t="s">
        <v>209</v>
      </c>
    </row>
    <row r="82" spans="1:10" x14ac:dyDescent="0.3">
      <c r="A82" s="7" t="s">
        <v>16</v>
      </c>
      <c r="B82" s="7">
        <f t="shared" si="20"/>
        <v>2027</v>
      </c>
      <c r="C82" s="4" t="s">
        <v>31</v>
      </c>
      <c r="D82" s="5" t="s">
        <v>131</v>
      </c>
      <c r="E82" s="10" t="str">
        <f t="shared" si="0"/>
        <v>PND'!</v>
      </c>
      <c r="F82" s="5" t="str">
        <f t="shared" si="1"/>
        <v>C:\Users\jaime.benazar\Quorum Business Solutions\Ecopetrol Prometeo - Documents\Planning Space Implementation\3. Analysis &amp; Design\Design\FC22\DRR Jaime\Neiva CPI\[VAO_DINA TERCIARIOS_CF_SEC_20230117.xlsx]CF PND'!</v>
      </c>
      <c r="G82" s="7" t="s">
        <v>100</v>
      </c>
      <c r="H82" s="4">
        <f t="shared" si="4"/>
        <v>40</v>
      </c>
      <c r="I82" s="4" t="str">
        <f t="shared" si="2"/>
        <v>='C:\Users\jaime.benazar\Quorum Business Solutions\Ecopetrol Prometeo - Documents\Planning Space Implementation\3. Analysis &amp; Design\Design\FC22\DRR Jaime\Neiva CPI\[VAO_DINA TERCIARIOS_CF_SEC_20230117.xlsx]CF PND'!$AY$40</v>
      </c>
      <c r="J82" s="4" t="s">
        <v>210</v>
      </c>
    </row>
    <row r="83" spans="1:10" x14ac:dyDescent="0.3">
      <c r="A83" s="7" t="s">
        <v>16</v>
      </c>
      <c r="B83" s="7">
        <f t="shared" si="20"/>
        <v>2028</v>
      </c>
      <c r="C83" s="4" t="s">
        <v>31</v>
      </c>
      <c r="D83" s="5" t="s">
        <v>131</v>
      </c>
      <c r="E83" s="10" t="str">
        <f t="shared" si="0"/>
        <v>PND'!</v>
      </c>
      <c r="F83" s="5" t="str">
        <f t="shared" si="1"/>
        <v>C:\Users\jaime.benazar\Quorum Business Solutions\Ecopetrol Prometeo - Documents\Planning Space Implementation\3. Analysis &amp; Design\Design\FC22\DRR Jaime\Neiva CPI\[VAO_DINA TERCIARIOS_CF_SEC_20230117.xlsx]CF PND'!</v>
      </c>
      <c r="G83" s="7" t="s">
        <v>100</v>
      </c>
      <c r="H83" s="4">
        <f t="shared" si="4"/>
        <v>41</v>
      </c>
      <c r="I83" s="4" t="str">
        <f t="shared" si="2"/>
        <v>='C:\Users\jaime.benazar\Quorum Business Solutions\Ecopetrol Prometeo - Documents\Planning Space Implementation\3. Analysis &amp; Design\Design\FC22\DRR Jaime\Neiva CPI\[VAO_DINA TERCIARIOS_CF_SEC_20230117.xlsx]CF PND'!$AY$41</v>
      </c>
      <c r="J83" s="4" t="s">
        <v>211</v>
      </c>
    </row>
    <row r="84" spans="1:10" x14ac:dyDescent="0.3">
      <c r="A84" s="7" t="s">
        <v>16</v>
      </c>
      <c r="B84" s="7">
        <f t="shared" si="20"/>
        <v>2029</v>
      </c>
      <c r="C84" s="4" t="s">
        <v>31</v>
      </c>
      <c r="D84" s="5" t="s">
        <v>131</v>
      </c>
      <c r="E84" s="10" t="str">
        <f t="shared" si="0"/>
        <v>PND'!</v>
      </c>
      <c r="F84" s="5" t="str">
        <f t="shared" si="1"/>
        <v>C:\Users\jaime.benazar\Quorum Business Solutions\Ecopetrol Prometeo - Documents\Planning Space Implementation\3. Analysis &amp; Design\Design\FC22\DRR Jaime\Neiva CPI\[VAO_DINA TERCIARIOS_CF_SEC_20230117.xlsx]CF PND'!</v>
      </c>
      <c r="G84" s="7" t="s">
        <v>100</v>
      </c>
      <c r="H84" s="4">
        <f t="shared" si="4"/>
        <v>42</v>
      </c>
      <c r="I84" s="4" t="str">
        <f t="shared" si="2"/>
        <v>='C:\Users\jaime.benazar\Quorum Business Solutions\Ecopetrol Prometeo - Documents\Planning Space Implementation\3. Analysis &amp; Design\Design\FC22\DRR Jaime\Neiva CPI\[VAO_DINA TERCIARIOS_CF_SEC_20230117.xlsx]CF PND'!$AY$42</v>
      </c>
      <c r="J84" s="4" t="s">
        <v>212</v>
      </c>
    </row>
    <row r="85" spans="1:10" x14ac:dyDescent="0.3">
      <c r="A85" s="7" t="s">
        <v>16</v>
      </c>
      <c r="B85" s="7">
        <f t="shared" si="20"/>
        <v>2030</v>
      </c>
      <c r="C85" s="4" t="s">
        <v>31</v>
      </c>
      <c r="D85" s="5" t="s">
        <v>131</v>
      </c>
      <c r="E85" s="10" t="str">
        <f t="shared" si="0"/>
        <v>PND'!</v>
      </c>
      <c r="F85" s="5" t="str">
        <f t="shared" si="1"/>
        <v>C:\Users\jaime.benazar\Quorum Business Solutions\Ecopetrol Prometeo - Documents\Planning Space Implementation\3. Analysis &amp; Design\Design\FC22\DRR Jaime\Neiva CPI\[VAO_DINA TERCIARIOS_CF_SEC_20230117.xlsx]CF PND'!</v>
      </c>
      <c r="G85" s="7" t="s">
        <v>100</v>
      </c>
      <c r="H85" s="4">
        <f t="shared" si="4"/>
        <v>43</v>
      </c>
      <c r="I85" s="4" t="str">
        <f t="shared" si="2"/>
        <v>='C:\Users\jaime.benazar\Quorum Business Solutions\Ecopetrol Prometeo - Documents\Planning Space Implementation\3. Analysis &amp; Design\Design\FC22\DRR Jaime\Neiva CPI\[VAO_DINA TERCIARIOS_CF_SEC_20230117.xlsx]CF PND'!$AY$43</v>
      </c>
      <c r="J85" s="4" t="s">
        <v>213</v>
      </c>
    </row>
    <row r="86" spans="1:10" x14ac:dyDescent="0.3">
      <c r="A86" s="7" t="s">
        <v>16</v>
      </c>
      <c r="B86" s="7">
        <f t="shared" si="20"/>
        <v>2031</v>
      </c>
      <c r="C86" s="4" t="s">
        <v>31</v>
      </c>
      <c r="D86" s="5" t="s">
        <v>131</v>
      </c>
      <c r="E86" s="10" t="str">
        <f t="shared" si="0"/>
        <v>PND'!</v>
      </c>
      <c r="F86" s="5" t="str">
        <f t="shared" si="1"/>
        <v>C:\Users\jaime.benazar\Quorum Business Solutions\Ecopetrol Prometeo - Documents\Planning Space Implementation\3. Analysis &amp; Design\Design\FC22\DRR Jaime\Neiva CPI\[VAO_DINA TERCIARIOS_CF_SEC_20230117.xlsx]CF PND'!</v>
      </c>
      <c r="G86" s="7" t="s">
        <v>100</v>
      </c>
      <c r="H86" s="4">
        <f t="shared" si="4"/>
        <v>44</v>
      </c>
      <c r="I86" s="4" t="str">
        <f t="shared" si="2"/>
        <v>='C:\Users\jaime.benazar\Quorum Business Solutions\Ecopetrol Prometeo - Documents\Planning Space Implementation\3. Analysis &amp; Design\Design\FC22\DRR Jaime\Neiva CPI\[VAO_DINA TERCIARIOS_CF_SEC_20230117.xlsx]CF PND'!$AY$44</v>
      </c>
      <c r="J86" s="4" t="s">
        <v>214</v>
      </c>
    </row>
    <row r="87" spans="1:10" x14ac:dyDescent="0.3">
      <c r="A87" s="7" t="s">
        <v>16</v>
      </c>
      <c r="B87" s="7">
        <f t="shared" si="20"/>
        <v>2032</v>
      </c>
      <c r="C87" s="4" t="s">
        <v>31</v>
      </c>
      <c r="D87" s="5" t="s">
        <v>131</v>
      </c>
      <c r="E87" s="10" t="str">
        <f t="shared" si="0"/>
        <v>PND'!</v>
      </c>
      <c r="F87" s="5" t="str">
        <f t="shared" si="1"/>
        <v>C:\Users\jaime.benazar\Quorum Business Solutions\Ecopetrol Prometeo - Documents\Planning Space Implementation\3. Analysis &amp; Design\Design\FC22\DRR Jaime\Neiva CPI\[VAO_DINA TERCIARIOS_CF_SEC_20230117.xlsx]CF PND'!</v>
      </c>
      <c r="G87" s="7" t="s">
        <v>100</v>
      </c>
      <c r="H87" s="4">
        <f t="shared" si="4"/>
        <v>45</v>
      </c>
      <c r="I87" s="4" t="str">
        <f t="shared" si="2"/>
        <v>='C:\Users\jaime.benazar\Quorum Business Solutions\Ecopetrol Prometeo - Documents\Planning Space Implementation\3. Analysis &amp; Design\Design\FC22\DRR Jaime\Neiva CPI\[VAO_DINA TERCIARIOS_CF_SEC_20230117.xlsx]CF PND'!$AY$45</v>
      </c>
      <c r="J87" s="4" t="s">
        <v>215</v>
      </c>
    </row>
    <row r="88" spans="1:10" x14ac:dyDescent="0.3">
      <c r="A88" s="7" t="s">
        <v>16</v>
      </c>
      <c r="B88" s="7">
        <f t="shared" si="20"/>
        <v>2033</v>
      </c>
      <c r="C88" s="4" t="s">
        <v>31</v>
      </c>
      <c r="D88" s="5" t="s">
        <v>131</v>
      </c>
      <c r="E88" s="10" t="str">
        <f t="shared" si="0"/>
        <v>PND'!</v>
      </c>
      <c r="F88" s="5" t="str">
        <f t="shared" si="1"/>
        <v>C:\Users\jaime.benazar\Quorum Business Solutions\Ecopetrol Prometeo - Documents\Planning Space Implementation\3. Analysis &amp; Design\Design\FC22\DRR Jaime\Neiva CPI\[VAO_DINA TERCIARIOS_CF_SEC_20230117.xlsx]CF PND'!</v>
      </c>
      <c r="G88" s="7" t="s">
        <v>100</v>
      </c>
      <c r="H88" s="4">
        <f t="shared" si="4"/>
        <v>46</v>
      </c>
      <c r="I88" s="4" t="str">
        <f t="shared" si="2"/>
        <v>='C:\Users\jaime.benazar\Quorum Business Solutions\Ecopetrol Prometeo - Documents\Planning Space Implementation\3. Analysis &amp; Design\Design\FC22\DRR Jaime\Neiva CPI\[VAO_DINA TERCIARIOS_CF_SEC_20230117.xlsx]CF PND'!$AY$46</v>
      </c>
      <c r="J88" s="4" t="s">
        <v>216</v>
      </c>
    </row>
    <row r="89" spans="1:10" x14ac:dyDescent="0.3">
      <c r="A89" s="7" t="s">
        <v>16</v>
      </c>
      <c r="B89" s="7">
        <f t="shared" si="20"/>
        <v>2034</v>
      </c>
      <c r="C89" s="4" t="s">
        <v>31</v>
      </c>
      <c r="D89" s="5" t="s">
        <v>131</v>
      </c>
      <c r="E89" s="10" t="str">
        <f t="shared" si="0"/>
        <v>PND'!</v>
      </c>
      <c r="F89" s="5" t="str">
        <f t="shared" si="1"/>
        <v>C:\Users\jaime.benazar\Quorum Business Solutions\Ecopetrol Prometeo - Documents\Planning Space Implementation\3. Analysis &amp; Design\Design\FC22\DRR Jaime\Neiva CPI\[VAO_DINA TERCIARIOS_CF_SEC_20230117.xlsx]CF PND'!</v>
      </c>
      <c r="G89" s="7" t="s">
        <v>100</v>
      </c>
      <c r="H89" s="4">
        <f t="shared" si="4"/>
        <v>47</v>
      </c>
      <c r="I89" s="4" t="str">
        <f t="shared" si="2"/>
        <v>='C:\Users\jaime.benazar\Quorum Business Solutions\Ecopetrol Prometeo - Documents\Planning Space Implementation\3. Analysis &amp; Design\Design\FC22\DRR Jaime\Neiva CPI\[VAO_DINA TERCIARIOS_CF_SEC_20230117.xlsx]CF PND'!$AY$47</v>
      </c>
      <c r="J89" s="4" t="s">
        <v>217</v>
      </c>
    </row>
    <row r="90" spans="1:10" x14ac:dyDescent="0.3">
      <c r="A90" s="7" t="s">
        <v>16</v>
      </c>
      <c r="B90" s="7">
        <f t="shared" si="20"/>
        <v>2035</v>
      </c>
      <c r="C90" s="4" t="s">
        <v>31</v>
      </c>
      <c r="D90" s="5" t="s">
        <v>131</v>
      </c>
      <c r="E90" s="10" t="str">
        <f t="shared" si="0"/>
        <v>PND'!</v>
      </c>
      <c r="F90" s="5" t="str">
        <f t="shared" si="1"/>
        <v>C:\Users\jaime.benazar\Quorum Business Solutions\Ecopetrol Prometeo - Documents\Planning Space Implementation\3. Analysis &amp; Design\Design\FC22\DRR Jaime\Neiva CPI\[VAO_DINA TERCIARIOS_CF_SEC_20230117.xlsx]CF PND'!</v>
      </c>
      <c r="G90" s="7" t="s">
        <v>100</v>
      </c>
      <c r="H90" s="4">
        <f t="shared" si="4"/>
        <v>48</v>
      </c>
      <c r="I90" s="4" t="str">
        <f t="shared" si="2"/>
        <v>='C:\Users\jaime.benazar\Quorum Business Solutions\Ecopetrol Prometeo - Documents\Planning Space Implementation\3. Analysis &amp; Design\Design\FC22\DRR Jaime\Neiva CPI\[VAO_DINA TERCIARIOS_CF_SEC_20230117.xlsx]CF PND'!$AY$48</v>
      </c>
      <c r="J90" s="4" t="s">
        <v>218</v>
      </c>
    </row>
    <row r="91" spans="1:10" x14ac:dyDescent="0.3">
      <c r="A91" s="7" t="s">
        <v>16</v>
      </c>
      <c r="B91" s="7">
        <f t="shared" si="20"/>
        <v>2036</v>
      </c>
      <c r="C91" s="4" t="s">
        <v>31</v>
      </c>
      <c r="D91" s="5" t="s">
        <v>131</v>
      </c>
      <c r="E91" s="10" t="str">
        <f t="shared" si="0"/>
        <v>PND'!</v>
      </c>
      <c r="F91" s="5" t="str">
        <f t="shared" si="1"/>
        <v>C:\Users\jaime.benazar\Quorum Business Solutions\Ecopetrol Prometeo - Documents\Planning Space Implementation\3. Analysis &amp; Design\Design\FC22\DRR Jaime\Neiva CPI\[VAO_DINA TERCIARIOS_CF_SEC_20230117.xlsx]CF PND'!</v>
      </c>
      <c r="G91" s="7" t="s">
        <v>100</v>
      </c>
      <c r="H91" s="4">
        <f t="shared" si="4"/>
        <v>49</v>
      </c>
      <c r="I91" s="4" t="str">
        <f t="shared" si="2"/>
        <v>='C:\Users\jaime.benazar\Quorum Business Solutions\Ecopetrol Prometeo - Documents\Planning Space Implementation\3. Analysis &amp; Design\Design\FC22\DRR Jaime\Neiva CPI\[VAO_DINA TERCIARIOS_CF_SEC_20230117.xlsx]CF PND'!$AY$49</v>
      </c>
      <c r="J91" s="4" t="s">
        <v>219</v>
      </c>
    </row>
    <row r="92" spans="1:10" x14ac:dyDescent="0.3">
      <c r="A92" s="7" t="s">
        <v>16</v>
      </c>
      <c r="B92" s="7">
        <f>+B91+1</f>
        <v>2037</v>
      </c>
      <c r="C92" s="4" t="s">
        <v>31</v>
      </c>
      <c r="D92" s="5" t="s">
        <v>131</v>
      </c>
      <c r="E92" s="10" t="str">
        <f t="shared" si="0"/>
        <v>PND'!</v>
      </c>
      <c r="F92" s="5" t="str">
        <f t="shared" si="1"/>
        <v>C:\Users\jaime.benazar\Quorum Business Solutions\Ecopetrol Prometeo - Documents\Planning Space Implementation\3. Analysis &amp; Design\Design\FC22\DRR Jaime\Neiva CPI\[VAO_DINA TERCIARIOS_CF_SEC_20230117.xlsx]CF PND'!</v>
      </c>
      <c r="G92" s="7" t="s">
        <v>100</v>
      </c>
      <c r="H92" s="4">
        <f t="shared" si="4"/>
        <v>50</v>
      </c>
      <c r="I92" s="4" t="str">
        <f t="shared" si="2"/>
        <v>='C:\Users\jaime.benazar\Quorum Business Solutions\Ecopetrol Prometeo - Documents\Planning Space Implementation\3. Analysis &amp; Design\Design\FC22\DRR Jaime\Neiva CPI\[VAO_DINA TERCIARIOS_CF_SEC_20230117.xlsx]CF PND'!$AY$50</v>
      </c>
      <c r="J92" s="4" t="s">
        <v>220</v>
      </c>
    </row>
    <row r="93" spans="1:10" x14ac:dyDescent="0.3">
      <c r="A93" s="7" t="s">
        <v>16</v>
      </c>
      <c r="B93" s="7">
        <f t="shared" ref="B93:B95" si="21">+B92+1</f>
        <v>2038</v>
      </c>
      <c r="C93" s="4" t="s">
        <v>31</v>
      </c>
      <c r="D93" s="5" t="s">
        <v>131</v>
      </c>
      <c r="E93" s="10" t="str">
        <f t="shared" si="0"/>
        <v>PND'!</v>
      </c>
      <c r="F93" s="5" t="str">
        <f t="shared" si="1"/>
        <v>C:\Users\jaime.benazar\Quorum Business Solutions\Ecopetrol Prometeo - Documents\Planning Space Implementation\3. Analysis &amp; Design\Design\FC22\DRR Jaime\Neiva CPI\[VAO_DINA TERCIARIOS_CF_SEC_20230117.xlsx]CF PND'!</v>
      </c>
      <c r="G93" s="7" t="s">
        <v>100</v>
      </c>
      <c r="H93" s="4">
        <f t="shared" si="4"/>
        <v>51</v>
      </c>
      <c r="I93" s="4" t="str">
        <f t="shared" si="2"/>
        <v>='C:\Users\jaime.benazar\Quorum Business Solutions\Ecopetrol Prometeo - Documents\Planning Space Implementation\3. Analysis &amp; Design\Design\FC22\DRR Jaime\Neiva CPI\[VAO_DINA TERCIARIOS_CF_SEC_20230117.xlsx]CF PND'!$AY$51</v>
      </c>
      <c r="J93" s="4" t="s">
        <v>221</v>
      </c>
    </row>
    <row r="94" spans="1:10" x14ac:dyDescent="0.3">
      <c r="A94" s="7" t="s">
        <v>16</v>
      </c>
      <c r="B94" s="7">
        <f t="shared" si="21"/>
        <v>2039</v>
      </c>
      <c r="C94" s="4" t="s">
        <v>31</v>
      </c>
      <c r="D94" s="5" t="s">
        <v>131</v>
      </c>
      <c r="E94" s="10" t="str">
        <f t="shared" si="0"/>
        <v>PND'!</v>
      </c>
      <c r="F94" s="5" t="str">
        <f t="shared" si="1"/>
        <v>C:\Users\jaime.benazar\Quorum Business Solutions\Ecopetrol Prometeo - Documents\Planning Space Implementation\3. Analysis &amp; Design\Design\FC22\DRR Jaime\Neiva CPI\[VAO_DINA TERCIARIOS_CF_SEC_20230117.xlsx]CF PND'!</v>
      </c>
      <c r="G94" s="7" t="s">
        <v>100</v>
      </c>
      <c r="H94" s="4">
        <f t="shared" si="4"/>
        <v>52</v>
      </c>
      <c r="I94" s="4" t="str">
        <f t="shared" si="2"/>
        <v>='C:\Users\jaime.benazar\Quorum Business Solutions\Ecopetrol Prometeo - Documents\Planning Space Implementation\3. Analysis &amp; Design\Design\FC22\DRR Jaime\Neiva CPI\[VAO_DINA TERCIARIOS_CF_SEC_20230117.xlsx]CF PND'!$AY$52</v>
      </c>
      <c r="J94" s="4" t="s">
        <v>222</v>
      </c>
    </row>
    <row r="95" spans="1:10" x14ac:dyDescent="0.3">
      <c r="A95" s="7" t="s">
        <v>16</v>
      </c>
      <c r="B95" s="7">
        <f t="shared" si="21"/>
        <v>2040</v>
      </c>
      <c r="C95" s="4" t="s">
        <v>31</v>
      </c>
      <c r="D95" s="5" t="s">
        <v>131</v>
      </c>
      <c r="E95" s="10" t="str">
        <f t="shared" si="0"/>
        <v>PND'!</v>
      </c>
      <c r="F95" s="5" t="str">
        <f t="shared" ref="F95:F200" si="22">_xlfn.CONCAT(D95," ",E95)</f>
        <v>C:\Users\jaime.benazar\Quorum Business Solutions\Ecopetrol Prometeo - Documents\Planning Space Implementation\3. Analysis &amp; Design\Design\FC22\DRR Jaime\Neiva CPI\[VAO_DINA TERCIARIOS_CF_SEC_20230117.xlsx]CF PND'!</v>
      </c>
      <c r="G95" s="7" t="s">
        <v>100</v>
      </c>
      <c r="H95" s="4">
        <f t="shared" si="4"/>
        <v>53</v>
      </c>
      <c r="I95" s="4" t="str">
        <f t="shared" si="2"/>
        <v>='C:\Users\jaime.benazar\Quorum Business Solutions\Ecopetrol Prometeo - Documents\Planning Space Implementation\3. Analysis &amp; Design\Design\FC22\DRR Jaime\Neiva CPI\[VAO_DINA TERCIARIOS_CF_SEC_20230117.xlsx]CF PND'!$AY$53</v>
      </c>
      <c r="J95" s="4" t="s">
        <v>223</v>
      </c>
    </row>
    <row r="96" spans="1:10" x14ac:dyDescent="0.3">
      <c r="A96" s="7" t="s">
        <v>16</v>
      </c>
      <c r="B96" s="7">
        <f>+B95+1</f>
        <v>2041</v>
      </c>
      <c r="C96" s="4" t="s">
        <v>31</v>
      </c>
      <c r="D96" s="5" t="s">
        <v>131</v>
      </c>
      <c r="E96" s="10" t="str">
        <f t="shared" si="0"/>
        <v>PND'!</v>
      </c>
      <c r="F96" s="5" t="str">
        <f t="shared" si="22"/>
        <v>C:\Users\jaime.benazar\Quorum Business Solutions\Ecopetrol Prometeo - Documents\Planning Space Implementation\3. Analysis &amp; Design\Design\FC22\DRR Jaime\Neiva CPI\[VAO_DINA TERCIARIOS_CF_SEC_20230117.xlsx]CF PND'!</v>
      </c>
      <c r="G96" s="7" t="s">
        <v>100</v>
      </c>
      <c r="H96" s="4">
        <f t="shared" si="4"/>
        <v>54</v>
      </c>
      <c r="I96" s="4" t="str">
        <f t="shared" si="2"/>
        <v>='C:\Users\jaime.benazar\Quorum Business Solutions\Ecopetrol Prometeo - Documents\Planning Space Implementation\3. Analysis &amp; Design\Design\FC22\DRR Jaime\Neiva CPI\[VAO_DINA TERCIARIOS_CF_SEC_20230117.xlsx]CF PND'!$AY$54</v>
      </c>
      <c r="J96" s="4" t="s">
        <v>224</v>
      </c>
    </row>
    <row r="97" spans="1:10" x14ac:dyDescent="0.3">
      <c r="A97" s="7" t="s">
        <v>16</v>
      </c>
      <c r="B97" s="7">
        <f t="shared" ref="B97:B98" si="23">+B96+1</f>
        <v>2042</v>
      </c>
      <c r="C97" s="4" t="s">
        <v>31</v>
      </c>
      <c r="D97" s="5" t="s">
        <v>131</v>
      </c>
      <c r="E97" s="10" t="str">
        <f t="shared" ref="E97:E402" si="24">_xlfn.CONCAT(A97,"'!")</f>
        <v>PND'!</v>
      </c>
      <c r="F97" s="5" t="str">
        <f t="shared" si="22"/>
        <v>C:\Users\jaime.benazar\Quorum Business Solutions\Ecopetrol Prometeo - Documents\Planning Space Implementation\3. Analysis &amp; Design\Design\FC22\DRR Jaime\Neiva CPI\[VAO_DINA TERCIARIOS_CF_SEC_20230117.xlsx]CF PND'!</v>
      </c>
      <c r="G97" s="7" t="s">
        <v>100</v>
      </c>
      <c r="H97" s="4">
        <f t="shared" si="4"/>
        <v>55</v>
      </c>
      <c r="I97" s="4" t="str">
        <f t="shared" ref="I97:I402" si="25">_xlfn.CONCAT("='",F97:H97)</f>
        <v>='C:\Users\jaime.benazar\Quorum Business Solutions\Ecopetrol Prometeo - Documents\Planning Space Implementation\3. Analysis &amp; Design\Design\FC22\DRR Jaime\Neiva CPI\[VAO_DINA TERCIARIOS_CF_SEC_20230117.xlsx]CF PND'!$AY$55</v>
      </c>
      <c r="J97" s="4" t="s">
        <v>225</v>
      </c>
    </row>
    <row r="98" spans="1:10" x14ac:dyDescent="0.3">
      <c r="A98" s="7" t="s">
        <v>16</v>
      </c>
      <c r="B98" s="7">
        <f t="shared" si="23"/>
        <v>2043</v>
      </c>
      <c r="C98" s="4" t="s">
        <v>31</v>
      </c>
      <c r="D98" s="5" t="s">
        <v>131</v>
      </c>
      <c r="E98" s="10" t="str">
        <f t="shared" si="24"/>
        <v>PND'!</v>
      </c>
      <c r="F98" s="5" t="str">
        <f t="shared" si="22"/>
        <v>C:\Users\jaime.benazar\Quorum Business Solutions\Ecopetrol Prometeo - Documents\Planning Space Implementation\3. Analysis &amp; Design\Design\FC22\DRR Jaime\Neiva CPI\[VAO_DINA TERCIARIOS_CF_SEC_20230117.xlsx]CF PND'!</v>
      </c>
      <c r="G98" s="7" t="s">
        <v>100</v>
      </c>
      <c r="H98" s="4">
        <f t="shared" ref="H98:H402" si="26">IF(A98&lt;&gt;A97,36,H97+1)</f>
        <v>56</v>
      </c>
      <c r="I98" s="4" t="str">
        <f t="shared" si="25"/>
        <v>='C:\Users\jaime.benazar\Quorum Business Solutions\Ecopetrol Prometeo - Documents\Planning Space Implementation\3. Analysis &amp; Design\Design\FC22\DRR Jaime\Neiva CPI\[VAO_DINA TERCIARIOS_CF_SEC_20230117.xlsx]CF PND'!$AY$56</v>
      </c>
      <c r="J98" s="4" t="s">
        <v>226</v>
      </c>
    </row>
    <row r="99" spans="1:10" x14ac:dyDescent="0.3">
      <c r="A99" s="7" t="s">
        <v>16</v>
      </c>
      <c r="B99" s="7">
        <f>+B98+1</f>
        <v>2044</v>
      </c>
      <c r="C99" s="4" t="s">
        <v>31</v>
      </c>
      <c r="D99" s="5" t="s">
        <v>131</v>
      </c>
      <c r="E99" s="10" t="str">
        <f t="shared" ref="E99:E114" si="27">_xlfn.CONCAT(A99,"'!")</f>
        <v>PND'!</v>
      </c>
      <c r="F99" s="5" t="str">
        <f t="shared" ref="F99:F114" si="28">_xlfn.CONCAT(D99," ",E99)</f>
        <v>C:\Users\jaime.benazar\Quorum Business Solutions\Ecopetrol Prometeo - Documents\Planning Space Implementation\3. Analysis &amp; Design\Design\FC22\DRR Jaime\Neiva CPI\[VAO_DINA TERCIARIOS_CF_SEC_20230117.xlsx]CF PND'!</v>
      </c>
      <c r="G99" s="7" t="s">
        <v>100</v>
      </c>
      <c r="H99" s="4">
        <f t="shared" ref="H99:H114" si="29">IF(A99&lt;&gt;A98,36,H98+1)</f>
        <v>57</v>
      </c>
      <c r="I99" s="4" t="str">
        <f t="shared" ref="I99:I114" si="30">_xlfn.CONCAT("='",F99:H99)</f>
        <v>='C:\Users\jaime.benazar\Quorum Business Solutions\Ecopetrol Prometeo - Documents\Planning Space Implementation\3. Analysis &amp; Design\Design\FC22\DRR Jaime\Neiva CPI\[VAO_DINA TERCIARIOS_CF_SEC_20230117.xlsx]CF PND'!$AY$57</v>
      </c>
      <c r="J99" s="4" t="s">
        <v>227</v>
      </c>
    </row>
    <row r="100" spans="1:10" x14ac:dyDescent="0.3">
      <c r="A100" s="7" t="s">
        <v>16</v>
      </c>
      <c r="B100" s="7">
        <f t="shared" ref="B100:B114" si="31">+B99+1</f>
        <v>2045</v>
      </c>
      <c r="C100" s="4" t="s">
        <v>31</v>
      </c>
      <c r="D100" s="5" t="s">
        <v>131</v>
      </c>
      <c r="E100" s="10" t="str">
        <f t="shared" si="27"/>
        <v>PND'!</v>
      </c>
      <c r="F100" s="5" t="str">
        <f t="shared" si="28"/>
        <v>C:\Users\jaime.benazar\Quorum Business Solutions\Ecopetrol Prometeo - Documents\Planning Space Implementation\3. Analysis &amp; Design\Design\FC22\DRR Jaime\Neiva CPI\[VAO_DINA TERCIARIOS_CF_SEC_20230117.xlsx]CF PND'!</v>
      </c>
      <c r="G100" s="7" t="s">
        <v>100</v>
      </c>
      <c r="H100" s="4">
        <f t="shared" si="29"/>
        <v>58</v>
      </c>
      <c r="I100" s="4" t="str">
        <f t="shared" si="30"/>
        <v>='C:\Users\jaime.benazar\Quorum Business Solutions\Ecopetrol Prometeo - Documents\Planning Space Implementation\3. Analysis &amp; Design\Design\FC22\DRR Jaime\Neiva CPI\[VAO_DINA TERCIARIOS_CF_SEC_20230117.xlsx]CF PND'!$AY$58</v>
      </c>
      <c r="J100" s="4" t="s">
        <v>228</v>
      </c>
    </row>
    <row r="101" spans="1:10" x14ac:dyDescent="0.3">
      <c r="A101" s="7" t="s">
        <v>16</v>
      </c>
      <c r="B101" s="7">
        <f t="shared" si="31"/>
        <v>2046</v>
      </c>
      <c r="C101" s="4" t="s">
        <v>31</v>
      </c>
      <c r="D101" s="5" t="s">
        <v>131</v>
      </c>
      <c r="E101" s="10" t="str">
        <f t="shared" si="27"/>
        <v>PND'!</v>
      </c>
      <c r="F101" s="5" t="str">
        <f t="shared" si="28"/>
        <v>C:\Users\jaime.benazar\Quorum Business Solutions\Ecopetrol Prometeo - Documents\Planning Space Implementation\3. Analysis &amp; Design\Design\FC22\DRR Jaime\Neiva CPI\[VAO_DINA TERCIARIOS_CF_SEC_20230117.xlsx]CF PND'!</v>
      </c>
      <c r="G101" s="7" t="s">
        <v>100</v>
      </c>
      <c r="H101" s="4">
        <f t="shared" si="29"/>
        <v>59</v>
      </c>
      <c r="I101" s="4" t="str">
        <f t="shared" si="30"/>
        <v>='C:\Users\jaime.benazar\Quorum Business Solutions\Ecopetrol Prometeo - Documents\Planning Space Implementation\3. Analysis &amp; Design\Design\FC22\DRR Jaime\Neiva CPI\[VAO_DINA TERCIARIOS_CF_SEC_20230117.xlsx]CF PND'!$AY$59</v>
      </c>
      <c r="J101" s="4" t="s">
        <v>229</v>
      </c>
    </row>
    <row r="102" spans="1:10" x14ac:dyDescent="0.3">
      <c r="A102" s="7" t="s">
        <v>16</v>
      </c>
      <c r="B102" s="7">
        <f t="shared" si="31"/>
        <v>2047</v>
      </c>
      <c r="C102" s="4" t="s">
        <v>31</v>
      </c>
      <c r="D102" s="5" t="s">
        <v>131</v>
      </c>
      <c r="E102" s="10" t="str">
        <f t="shared" si="27"/>
        <v>PND'!</v>
      </c>
      <c r="F102" s="5" t="str">
        <f t="shared" si="28"/>
        <v>C:\Users\jaime.benazar\Quorum Business Solutions\Ecopetrol Prometeo - Documents\Planning Space Implementation\3. Analysis &amp; Design\Design\FC22\DRR Jaime\Neiva CPI\[VAO_DINA TERCIARIOS_CF_SEC_20230117.xlsx]CF PND'!</v>
      </c>
      <c r="G102" s="7" t="s">
        <v>100</v>
      </c>
      <c r="H102" s="4">
        <f t="shared" si="29"/>
        <v>60</v>
      </c>
      <c r="I102" s="4" t="str">
        <f t="shared" si="30"/>
        <v>='C:\Users\jaime.benazar\Quorum Business Solutions\Ecopetrol Prometeo - Documents\Planning Space Implementation\3. Analysis &amp; Design\Design\FC22\DRR Jaime\Neiva CPI\[VAO_DINA TERCIARIOS_CF_SEC_20230117.xlsx]CF PND'!$AY$60</v>
      </c>
      <c r="J102" s="4" t="s">
        <v>230</v>
      </c>
    </row>
    <row r="103" spans="1:10" x14ac:dyDescent="0.3">
      <c r="A103" s="7" t="s">
        <v>16</v>
      </c>
      <c r="B103" s="7">
        <f t="shared" si="31"/>
        <v>2048</v>
      </c>
      <c r="C103" s="4" t="s">
        <v>31</v>
      </c>
      <c r="D103" s="5" t="s">
        <v>131</v>
      </c>
      <c r="E103" s="10" t="str">
        <f t="shared" si="27"/>
        <v>PND'!</v>
      </c>
      <c r="F103" s="5" t="str">
        <f t="shared" si="28"/>
        <v>C:\Users\jaime.benazar\Quorum Business Solutions\Ecopetrol Prometeo - Documents\Planning Space Implementation\3. Analysis &amp; Design\Design\FC22\DRR Jaime\Neiva CPI\[VAO_DINA TERCIARIOS_CF_SEC_20230117.xlsx]CF PND'!</v>
      </c>
      <c r="G103" s="7" t="s">
        <v>100</v>
      </c>
      <c r="H103" s="4">
        <f t="shared" si="29"/>
        <v>61</v>
      </c>
      <c r="I103" s="4" t="str">
        <f t="shared" si="30"/>
        <v>='C:\Users\jaime.benazar\Quorum Business Solutions\Ecopetrol Prometeo - Documents\Planning Space Implementation\3. Analysis &amp; Design\Design\FC22\DRR Jaime\Neiva CPI\[VAO_DINA TERCIARIOS_CF_SEC_20230117.xlsx]CF PND'!$AY$61</v>
      </c>
      <c r="J103" s="4" t="s">
        <v>231</v>
      </c>
    </row>
    <row r="104" spans="1:10" x14ac:dyDescent="0.3">
      <c r="A104" s="7" t="s">
        <v>16</v>
      </c>
      <c r="B104" s="7">
        <f t="shared" si="31"/>
        <v>2049</v>
      </c>
      <c r="C104" s="4" t="s">
        <v>31</v>
      </c>
      <c r="D104" s="5" t="s">
        <v>131</v>
      </c>
      <c r="E104" s="10" t="str">
        <f t="shared" si="27"/>
        <v>PND'!</v>
      </c>
      <c r="F104" s="5" t="str">
        <f t="shared" si="28"/>
        <v>C:\Users\jaime.benazar\Quorum Business Solutions\Ecopetrol Prometeo - Documents\Planning Space Implementation\3. Analysis &amp; Design\Design\FC22\DRR Jaime\Neiva CPI\[VAO_DINA TERCIARIOS_CF_SEC_20230117.xlsx]CF PND'!</v>
      </c>
      <c r="G104" s="7" t="s">
        <v>100</v>
      </c>
      <c r="H104" s="4">
        <f t="shared" si="29"/>
        <v>62</v>
      </c>
      <c r="I104" s="4" t="str">
        <f t="shared" si="30"/>
        <v>='C:\Users\jaime.benazar\Quorum Business Solutions\Ecopetrol Prometeo - Documents\Planning Space Implementation\3. Analysis &amp; Design\Design\FC22\DRR Jaime\Neiva CPI\[VAO_DINA TERCIARIOS_CF_SEC_20230117.xlsx]CF PND'!$AY$62</v>
      </c>
      <c r="J104" s="4" t="s">
        <v>232</v>
      </c>
    </row>
    <row r="105" spans="1:10" x14ac:dyDescent="0.3">
      <c r="A105" s="7" t="s">
        <v>16</v>
      </c>
      <c r="B105" s="7">
        <f t="shared" si="31"/>
        <v>2050</v>
      </c>
      <c r="C105" s="4" t="s">
        <v>31</v>
      </c>
      <c r="D105" s="5" t="s">
        <v>131</v>
      </c>
      <c r="E105" s="10" t="str">
        <f t="shared" si="27"/>
        <v>PND'!</v>
      </c>
      <c r="F105" s="5" t="str">
        <f t="shared" si="28"/>
        <v>C:\Users\jaime.benazar\Quorum Business Solutions\Ecopetrol Prometeo - Documents\Planning Space Implementation\3. Analysis &amp; Design\Design\FC22\DRR Jaime\Neiva CPI\[VAO_DINA TERCIARIOS_CF_SEC_20230117.xlsx]CF PND'!</v>
      </c>
      <c r="G105" s="7" t="s">
        <v>100</v>
      </c>
      <c r="H105" s="4">
        <f t="shared" si="29"/>
        <v>63</v>
      </c>
      <c r="I105" s="4" t="str">
        <f t="shared" si="30"/>
        <v>='C:\Users\jaime.benazar\Quorum Business Solutions\Ecopetrol Prometeo - Documents\Planning Space Implementation\3. Analysis &amp; Design\Design\FC22\DRR Jaime\Neiva CPI\[VAO_DINA TERCIARIOS_CF_SEC_20230117.xlsx]CF PND'!$AY$63</v>
      </c>
      <c r="J105" s="4" t="s">
        <v>233</v>
      </c>
    </row>
    <row r="106" spans="1:10" x14ac:dyDescent="0.3">
      <c r="A106" s="7" t="s">
        <v>16</v>
      </c>
      <c r="B106" s="7">
        <f t="shared" si="31"/>
        <v>2051</v>
      </c>
      <c r="C106" s="4" t="s">
        <v>31</v>
      </c>
      <c r="D106" s="5" t="s">
        <v>131</v>
      </c>
      <c r="E106" s="10" t="str">
        <f t="shared" si="27"/>
        <v>PND'!</v>
      </c>
      <c r="F106" s="5" t="str">
        <f t="shared" si="28"/>
        <v>C:\Users\jaime.benazar\Quorum Business Solutions\Ecopetrol Prometeo - Documents\Planning Space Implementation\3. Analysis &amp; Design\Design\FC22\DRR Jaime\Neiva CPI\[VAO_DINA TERCIARIOS_CF_SEC_20230117.xlsx]CF PND'!</v>
      </c>
      <c r="G106" s="7" t="s">
        <v>100</v>
      </c>
      <c r="H106" s="4">
        <f t="shared" si="29"/>
        <v>64</v>
      </c>
      <c r="I106" s="4" t="str">
        <f t="shared" si="30"/>
        <v>='C:\Users\jaime.benazar\Quorum Business Solutions\Ecopetrol Prometeo - Documents\Planning Space Implementation\3. Analysis &amp; Design\Design\FC22\DRR Jaime\Neiva CPI\[VAO_DINA TERCIARIOS_CF_SEC_20230117.xlsx]CF PND'!$AY$64</v>
      </c>
      <c r="J106" s="4" t="s">
        <v>234</v>
      </c>
    </row>
    <row r="107" spans="1:10" x14ac:dyDescent="0.3">
      <c r="A107" s="7" t="s">
        <v>16</v>
      </c>
      <c r="B107" s="7">
        <f t="shared" si="31"/>
        <v>2052</v>
      </c>
      <c r="C107" s="4" t="s">
        <v>31</v>
      </c>
      <c r="D107" s="5" t="s">
        <v>131</v>
      </c>
      <c r="E107" s="10" t="str">
        <f t="shared" si="27"/>
        <v>PND'!</v>
      </c>
      <c r="F107" s="5" t="str">
        <f t="shared" si="28"/>
        <v>C:\Users\jaime.benazar\Quorum Business Solutions\Ecopetrol Prometeo - Documents\Planning Space Implementation\3. Analysis &amp; Design\Design\FC22\DRR Jaime\Neiva CPI\[VAO_DINA TERCIARIOS_CF_SEC_20230117.xlsx]CF PND'!</v>
      </c>
      <c r="G107" s="7" t="s">
        <v>100</v>
      </c>
      <c r="H107" s="4">
        <f t="shared" si="29"/>
        <v>65</v>
      </c>
      <c r="I107" s="4" t="str">
        <f t="shared" si="30"/>
        <v>='C:\Users\jaime.benazar\Quorum Business Solutions\Ecopetrol Prometeo - Documents\Planning Space Implementation\3. Analysis &amp; Design\Design\FC22\DRR Jaime\Neiva CPI\[VAO_DINA TERCIARIOS_CF_SEC_20230117.xlsx]CF PND'!$AY$65</v>
      </c>
      <c r="J107" s="4" t="s">
        <v>235</v>
      </c>
    </row>
    <row r="108" spans="1:10" x14ac:dyDescent="0.3">
      <c r="A108" s="7" t="s">
        <v>16</v>
      </c>
      <c r="B108" s="7">
        <f t="shared" si="31"/>
        <v>2053</v>
      </c>
      <c r="C108" s="4" t="s">
        <v>31</v>
      </c>
      <c r="D108" s="5" t="s">
        <v>131</v>
      </c>
      <c r="E108" s="10" t="str">
        <f t="shared" si="27"/>
        <v>PND'!</v>
      </c>
      <c r="F108" s="5" t="str">
        <f t="shared" si="28"/>
        <v>C:\Users\jaime.benazar\Quorum Business Solutions\Ecopetrol Prometeo - Documents\Planning Space Implementation\3. Analysis &amp; Design\Design\FC22\DRR Jaime\Neiva CPI\[VAO_DINA TERCIARIOS_CF_SEC_20230117.xlsx]CF PND'!</v>
      </c>
      <c r="G108" s="7" t="s">
        <v>100</v>
      </c>
      <c r="H108" s="4">
        <f t="shared" si="29"/>
        <v>66</v>
      </c>
      <c r="I108" s="4" t="str">
        <f t="shared" si="30"/>
        <v>='C:\Users\jaime.benazar\Quorum Business Solutions\Ecopetrol Prometeo - Documents\Planning Space Implementation\3. Analysis &amp; Design\Design\FC22\DRR Jaime\Neiva CPI\[VAO_DINA TERCIARIOS_CF_SEC_20230117.xlsx]CF PND'!$AY$66</v>
      </c>
      <c r="J108" s="4" t="s">
        <v>236</v>
      </c>
    </row>
    <row r="109" spans="1:10" x14ac:dyDescent="0.3">
      <c r="A109" s="7" t="s">
        <v>16</v>
      </c>
      <c r="B109" s="7">
        <f t="shared" si="31"/>
        <v>2054</v>
      </c>
      <c r="C109" s="4" t="s">
        <v>31</v>
      </c>
      <c r="D109" s="5" t="s">
        <v>131</v>
      </c>
      <c r="E109" s="10" t="str">
        <f t="shared" si="27"/>
        <v>PND'!</v>
      </c>
      <c r="F109" s="5" t="str">
        <f t="shared" si="28"/>
        <v>C:\Users\jaime.benazar\Quorum Business Solutions\Ecopetrol Prometeo - Documents\Planning Space Implementation\3. Analysis &amp; Design\Design\FC22\DRR Jaime\Neiva CPI\[VAO_DINA TERCIARIOS_CF_SEC_20230117.xlsx]CF PND'!</v>
      </c>
      <c r="G109" s="7" t="s">
        <v>100</v>
      </c>
      <c r="H109" s="4">
        <f t="shared" si="29"/>
        <v>67</v>
      </c>
      <c r="I109" s="4" t="str">
        <f t="shared" si="30"/>
        <v>='C:\Users\jaime.benazar\Quorum Business Solutions\Ecopetrol Prometeo - Documents\Planning Space Implementation\3. Analysis &amp; Design\Design\FC22\DRR Jaime\Neiva CPI\[VAO_DINA TERCIARIOS_CF_SEC_20230117.xlsx]CF PND'!$AY$67</v>
      </c>
      <c r="J109" s="4" t="s">
        <v>237</v>
      </c>
    </row>
    <row r="110" spans="1:10" x14ac:dyDescent="0.3">
      <c r="A110" s="7" t="s">
        <v>16</v>
      </c>
      <c r="B110" s="7">
        <f t="shared" si="31"/>
        <v>2055</v>
      </c>
      <c r="C110" s="4" t="s">
        <v>31</v>
      </c>
      <c r="D110" s="5" t="s">
        <v>131</v>
      </c>
      <c r="E110" s="10" t="str">
        <f t="shared" si="27"/>
        <v>PND'!</v>
      </c>
      <c r="F110" s="5" t="str">
        <f t="shared" si="28"/>
        <v>C:\Users\jaime.benazar\Quorum Business Solutions\Ecopetrol Prometeo - Documents\Planning Space Implementation\3. Analysis &amp; Design\Design\FC22\DRR Jaime\Neiva CPI\[VAO_DINA TERCIARIOS_CF_SEC_20230117.xlsx]CF PND'!</v>
      </c>
      <c r="G110" s="7" t="s">
        <v>100</v>
      </c>
      <c r="H110" s="4">
        <f t="shared" si="29"/>
        <v>68</v>
      </c>
      <c r="I110" s="4" t="str">
        <f t="shared" si="30"/>
        <v>='C:\Users\jaime.benazar\Quorum Business Solutions\Ecopetrol Prometeo - Documents\Planning Space Implementation\3. Analysis &amp; Design\Design\FC22\DRR Jaime\Neiva CPI\[VAO_DINA TERCIARIOS_CF_SEC_20230117.xlsx]CF PND'!$AY$68</v>
      </c>
      <c r="J110" s="4" t="s">
        <v>238</v>
      </c>
    </row>
    <row r="111" spans="1:10" x14ac:dyDescent="0.3">
      <c r="A111" s="7" t="s">
        <v>16</v>
      </c>
      <c r="B111" s="7">
        <f t="shared" si="31"/>
        <v>2056</v>
      </c>
      <c r="C111" s="4" t="s">
        <v>31</v>
      </c>
      <c r="D111" s="5" t="s">
        <v>131</v>
      </c>
      <c r="E111" s="10" t="str">
        <f t="shared" si="27"/>
        <v>PND'!</v>
      </c>
      <c r="F111" s="5" t="str">
        <f t="shared" si="28"/>
        <v>C:\Users\jaime.benazar\Quorum Business Solutions\Ecopetrol Prometeo - Documents\Planning Space Implementation\3. Analysis &amp; Design\Design\FC22\DRR Jaime\Neiva CPI\[VAO_DINA TERCIARIOS_CF_SEC_20230117.xlsx]CF PND'!</v>
      </c>
      <c r="G111" s="7" t="s">
        <v>100</v>
      </c>
      <c r="H111" s="4">
        <f t="shared" si="29"/>
        <v>69</v>
      </c>
      <c r="I111" s="4" t="str">
        <f t="shared" si="30"/>
        <v>='C:\Users\jaime.benazar\Quorum Business Solutions\Ecopetrol Prometeo - Documents\Planning Space Implementation\3. Analysis &amp; Design\Design\FC22\DRR Jaime\Neiva CPI\[VAO_DINA TERCIARIOS_CF_SEC_20230117.xlsx]CF PND'!$AY$69</v>
      </c>
      <c r="J111" s="4" t="s">
        <v>239</v>
      </c>
    </row>
    <row r="112" spans="1:10" x14ac:dyDescent="0.3">
      <c r="A112" s="7" t="s">
        <v>16</v>
      </c>
      <c r="B112" s="7">
        <f t="shared" si="31"/>
        <v>2057</v>
      </c>
      <c r="C112" s="4" t="s">
        <v>31</v>
      </c>
      <c r="D112" s="5" t="s">
        <v>131</v>
      </c>
      <c r="E112" s="10" t="str">
        <f t="shared" si="27"/>
        <v>PND'!</v>
      </c>
      <c r="F112" s="5" t="str">
        <f t="shared" si="28"/>
        <v>C:\Users\jaime.benazar\Quorum Business Solutions\Ecopetrol Prometeo - Documents\Planning Space Implementation\3. Analysis &amp; Design\Design\FC22\DRR Jaime\Neiva CPI\[VAO_DINA TERCIARIOS_CF_SEC_20230117.xlsx]CF PND'!</v>
      </c>
      <c r="G112" s="7" t="s">
        <v>100</v>
      </c>
      <c r="H112" s="4">
        <f t="shared" si="29"/>
        <v>70</v>
      </c>
      <c r="I112" s="4" t="str">
        <f t="shared" si="30"/>
        <v>='C:\Users\jaime.benazar\Quorum Business Solutions\Ecopetrol Prometeo - Documents\Planning Space Implementation\3. Analysis &amp; Design\Design\FC22\DRR Jaime\Neiva CPI\[VAO_DINA TERCIARIOS_CF_SEC_20230117.xlsx]CF PND'!$AY$70</v>
      </c>
      <c r="J112" s="4" t="s">
        <v>240</v>
      </c>
    </row>
    <row r="113" spans="1:10" x14ac:dyDescent="0.3">
      <c r="A113" s="7" t="s">
        <v>16</v>
      </c>
      <c r="B113" s="7">
        <f t="shared" si="31"/>
        <v>2058</v>
      </c>
      <c r="C113" s="4" t="s">
        <v>31</v>
      </c>
      <c r="D113" s="5" t="s">
        <v>131</v>
      </c>
      <c r="E113" s="10" t="str">
        <f t="shared" si="27"/>
        <v>PND'!</v>
      </c>
      <c r="F113" s="5" t="str">
        <f t="shared" si="28"/>
        <v>C:\Users\jaime.benazar\Quorum Business Solutions\Ecopetrol Prometeo - Documents\Planning Space Implementation\3. Analysis &amp; Design\Design\FC22\DRR Jaime\Neiva CPI\[VAO_DINA TERCIARIOS_CF_SEC_20230117.xlsx]CF PND'!</v>
      </c>
      <c r="G113" s="7" t="s">
        <v>100</v>
      </c>
      <c r="H113" s="4">
        <f t="shared" si="29"/>
        <v>71</v>
      </c>
      <c r="I113" s="4" t="str">
        <f t="shared" si="30"/>
        <v>='C:\Users\jaime.benazar\Quorum Business Solutions\Ecopetrol Prometeo - Documents\Planning Space Implementation\3. Analysis &amp; Design\Design\FC22\DRR Jaime\Neiva CPI\[VAO_DINA TERCIARIOS_CF_SEC_20230117.xlsx]CF PND'!$AY$71</v>
      </c>
      <c r="J113" s="4" t="s">
        <v>241</v>
      </c>
    </row>
    <row r="114" spans="1:10" x14ac:dyDescent="0.3">
      <c r="A114" s="7" t="s">
        <v>16</v>
      </c>
      <c r="B114" s="7">
        <f t="shared" si="31"/>
        <v>2059</v>
      </c>
      <c r="C114" s="4" t="s">
        <v>31</v>
      </c>
      <c r="D114" s="5" t="s">
        <v>131</v>
      </c>
      <c r="E114" s="10" t="str">
        <f t="shared" si="27"/>
        <v>PND'!</v>
      </c>
      <c r="F114" s="5" t="str">
        <f t="shared" si="28"/>
        <v>C:\Users\jaime.benazar\Quorum Business Solutions\Ecopetrol Prometeo - Documents\Planning Space Implementation\3. Analysis &amp; Design\Design\FC22\DRR Jaime\Neiva CPI\[VAO_DINA TERCIARIOS_CF_SEC_20230117.xlsx]CF PND'!</v>
      </c>
      <c r="G114" s="7" t="s">
        <v>100</v>
      </c>
      <c r="H114" s="4">
        <f t="shared" si="29"/>
        <v>72</v>
      </c>
      <c r="I114" s="4" t="str">
        <f t="shared" si="30"/>
        <v>='C:\Users\jaime.benazar\Quorum Business Solutions\Ecopetrol Prometeo - Documents\Planning Space Implementation\3. Analysis &amp; Design\Design\FC22\DRR Jaime\Neiva CPI\[VAO_DINA TERCIARIOS_CF_SEC_20230117.xlsx]CF PND'!$AY$72</v>
      </c>
      <c r="J114" s="4" t="s">
        <v>242</v>
      </c>
    </row>
    <row r="115" spans="1:10" x14ac:dyDescent="0.3">
      <c r="A115" s="7" t="s">
        <v>26</v>
      </c>
      <c r="B115" s="7"/>
      <c r="C115" s="4" t="s">
        <v>31</v>
      </c>
      <c r="D115" s="5"/>
      <c r="E115" s="10"/>
      <c r="F115" s="5" t="str">
        <f t="shared" si="22"/>
        <v xml:space="preserve"> </v>
      </c>
      <c r="G115" s="7"/>
      <c r="H115" s="4"/>
      <c r="I115" s="4"/>
      <c r="J115" s="4"/>
    </row>
    <row r="116" spans="1:10" x14ac:dyDescent="0.3">
      <c r="A116" s="7" t="s">
        <v>17</v>
      </c>
      <c r="B116" s="7">
        <v>2023</v>
      </c>
      <c r="C116" s="4" t="s">
        <v>31</v>
      </c>
      <c r="D116" s="5" t="s">
        <v>131</v>
      </c>
      <c r="E116" s="10" t="str">
        <f t="shared" ref="E116:E136" si="32">_xlfn.CONCAT(A116,"'!")</f>
        <v>PRBDP'!</v>
      </c>
      <c r="F116" s="5" t="str">
        <f t="shared" si="22"/>
        <v>C:\Users\jaime.benazar\Quorum Business Solutions\Ecopetrol Prometeo - Documents\Planning Space Implementation\3. Analysis &amp; Design\Design\FC22\DRR Jaime\Neiva CPI\[VAO_DINA TERCIARIOS_CF_SEC_20230117.xlsx]CF PRBDP'!</v>
      </c>
      <c r="G116" s="7" t="s">
        <v>100</v>
      </c>
      <c r="H116" s="4"/>
      <c r="I116" s="4"/>
      <c r="J116" s="4"/>
    </row>
    <row r="117" spans="1:10" x14ac:dyDescent="0.3">
      <c r="A117" s="7" t="s">
        <v>17</v>
      </c>
      <c r="B117" s="7">
        <f>+B116+1</f>
        <v>2024</v>
      </c>
      <c r="C117" s="4" t="s">
        <v>31</v>
      </c>
      <c r="D117" s="5" t="s">
        <v>131</v>
      </c>
      <c r="E117" s="10" t="str">
        <f t="shared" si="32"/>
        <v>PRBDP'!</v>
      </c>
      <c r="F117" s="5" t="str">
        <f t="shared" si="22"/>
        <v>C:\Users\jaime.benazar\Quorum Business Solutions\Ecopetrol Prometeo - Documents\Planning Space Implementation\3. Analysis &amp; Design\Design\FC22\DRR Jaime\Neiva CPI\[VAO_DINA TERCIARIOS_CF_SEC_20230117.xlsx]CF PRBDP'!</v>
      </c>
      <c r="G117" s="7" t="s">
        <v>100</v>
      </c>
      <c r="H117" s="4"/>
      <c r="I117" s="4"/>
      <c r="J117" s="4"/>
    </row>
    <row r="118" spans="1:10" x14ac:dyDescent="0.3">
      <c r="A118" s="7" t="s">
        <v>17</v>
      </c>
      <c r="B118" s="7">
        <f t="shared" ref="B118:B129" si="33">+B117+1</f>
        <v>2025</v>
      </c>
      <c r="C118" s="4" t="s">
        <v>31</v>
      </c>
      <c r="D118" s="5" t="s">
        <v>131</v>
      </c>
      <c r="E118" s="10" t="str">
        <f t="shared" si="32"/>
        <v>PRBDP'!</v>
      </c>
      <c r="F118" s="5" t="str">
        <f t="shared" si="22"/>
        <v>C:\Users\jaime.benazar\Quorum Business Solutions\Ecopetrol Prometeo - Documents\Planning Space Implementation\3. Analysis &amp; Design\Design\FC22\DRR Jaime\Neiva CPI\[VAO_DINA TERCIARIOS_CF_SEC_20230117.xlsx]CF PRBDP'!</v>
      </c>
      <c r="G118" s="7" t="s">
        <v>100</v>
      </c>
      <c r="H118" s="4"/>
      <c r="I118" s="4"/>
      <c r="J118" s="4"/>
    </row>
    <row r="119" spans="1:10" x14ac:dyDescent="0.3">
      <c r="A119" s="7" t="s">
        <v>17</v>
      </c>
      <c r="B119" s="7">
        <f t="shared" si="33"/>
        <v>2026</v>
      </c>
      <c r="C119" s="4" t="s">
        <v>31</v>
      </c>
      <c r="D119" s="5" t="s">
        <v>131</v>
      </c>
      <c r="E119" s="10" t="str">
        <f t="shared" si="32"/>
        <v>PRBDP'!</v>
      </c>
      <c r="F119" s="5" t="str">
        <f t="shared" si="22"/>
        <v>C:\Users\jaime.benazar\Quorum Business Solutions\Ecopetrol Prometeo - Documents\Planning Space Implementation\3. Analysis &amp; Design\Design\FC22\DRR Jaime\Neiva CPI\[VAO_DINA TERCIARIOS_CF_SEC_20230117.xlsx]CF PRBDP'!</v>
      </c>
      <c r="G119" s="7" t="s">
        <v>100</v>
      </c>
      <c r="H119" s="4"/>
      <c r="I119" s="4"/>
      <c r="J119" s="4"/>
    </row>
    <row r="120" spans="1:10" x14ac:dyDescent="0.3">
      <c r="A120" s="7" t="s">
        <v>17</v>
      </c>
      <c r="B120" s="7">
        <f t="shared" si="33"/>
        <v>2027</v>
      </c>
      <c r="C120" s="4" t="s">
        <v>31</v>
      </c>
      <c r="D120" s="5" t="s">
        <v>131</v>
      </c>
      <c r="E120" s="10" t="str">
        <f t="shared" si="32"/>
        <v>PRBDP'!</v>
      </c>
      <c r="F120" s="5" t="str">
        <f t="shared" si="22"/>
        <v>C:\Users\jaime.benazar\Quorum Business Solutions\Ecopetrol Prometeo - Documents\Planning Space Implementation\3. Analysis &amp; Design\Design\FC22\DRR Jaime\Neiva CPI\[VAO_DINA TERCIARIOS_CF_SEC_20230117.xlsx]CF PRBDP'!</v>
      </c>
      <c r="G120" s="7" t="s">
        <v>100</v>
      </c>
      <c r="H120" s="4"/>
      <c r="I120" s="4"/>
      <c r="J120" s="4"/>
    </row>
    <row r="121" spans="1:10" x14ac:dyDescent="0.3">
      <c r="A121" s="7" t="s">
        <v>17</v>
      </c>
      <c r="B121" s="7">
        <f t="shared" si="33"/>
        <v>2028</v>
      </c>
      <c r="C121" s="4" t="s">
        <v>31</v>
      </c>
      <c r="D121" s="5" t="s">
        <v>131</v>
      </c>
      <c r="E121" s="10" t="str">
        <f t="shared" si="32"/>
        <v>PRBDP'!</v>
      </c>
      <c r="F121" s="5" t="str">
        <f t="shared" si="22"/>
        <v>C:\Users\jaime.benazar\Quorum Business Solutions\Ecopetrol Prometeo - Documents\Planning Space Implementation\3. Analysis &amp; Design\Design\FC22\DRR Jaime\Neiva CPI\[VAO_DINA TERCIARIOS_CF_SEC_20230117.xlsx]CF PRBDP'!</v>
      </c>
      <c r="G121" s="7" t="s">
        <v>100</v>
      </c>
      <c r="H121" s="4"/>
      <c r="I121" s="4"/>
      <c r="J121" s="4"/>
    </row>
    <row r="122" spans="1:10" x14ac:dyDescent="0.3">
      <c r="A122" s="7" t="s">
        <v>17</v>
      </c>
      <c r="B122" s="7">
        <f t="shared" si="33"/>
        <v>2029</v>
      </c>
      <c r="C122" s="4" t="s">
        <v>31</v>
      </c>
      <c r="D122" s="5" t="s">
        <v>131</v>
      </c>
      <c r="E122" s="10" t="str">
        <f t="shared" si="32"/>
        <v>PRBDP'!</v>
      </c>
      <c r="F122" s="5" t="str">
        <f t="shared" si="22"/>
        <v>C:\Users\jaime.benazar\Quorum Business Solutions\Ecopetrol Prometeo - Documents\Planning Space Implementation\3. Analysis &amp; Design\Design\FC22\DRR Jaime\Neiva CPI\[VAO_DINA TERCIARIOS_CF_SEC_20230117.xlsx]CF PRBDP'!</v>
      </c>
      <c r="G122" s="7" t="s">
        <v>100</v>
      </c>
      <c r="H122" s="4"/>
      <c r="I122" s="4"/>
      <c r="J122" s="4"/>
    </row>
    <row r="123" spans="1:10" x14ac:dyDescent="0.3">
      <c r="A123" s="7" t="s">
        <v>17</v>
      </c>
      <c r="B123" s="7">
        <f t="shared" si="33"/>
        <v>2030</v>
      </c>
      <c r="C123" s="4" t="s">
        <v>31</v>
      </c>
      <c r="D123" s="5" t="s">
        <v>131</v>
      </c>
      <c r="E123" s="10" t="str">
        <f t="shared" si="32"/>
        <v>PRBDP'!</v>
      </c>
      <c r="F123" s="5" t="str">
        <f t="shared" si="22"/>
        <v>C:\Users\jaime.benazar\Quorum Business Solutions\Ecopetrol Prometeo - Documents\Planning Space Implementation\3. Analysis &amp; Design\Design\FC22\DRR Jaime\Neiva CPI\[VAO_DINA TERCIARIOS_CF_SEC_20230117.xlsx]CF PRBDP'!</v>
      </c>
      <c r="G123" s="7" t="s">
        <v>100</v>
      </c>
      <c r="H123" s="4"/>
      <c r="I123" s="4"/>
      <c r="J123" s="4"/>
    </row>
    <row r="124" spans="1:10" x14ac:dyDescent="0.3">
      <c r="A124" s="7" t="s">
        <v>17</v>
      </c>
      <c r="B124" s="7">
        <f t="shared" si="33"/>
        <v>2031</v>
      </c>
      <c r="C124" s="4" t="s">
        <v>31</v>
      </c>
      <c r="D124" s="5" t="s">
        <v>131</v>
      </c>
      <c r="E124" s="10" t="str">
        <f t="shared" si="32"/>
        <v>PRBDP'!</v>
      </c>
      <c r="F124" s="5" t="str">
        <f t="shared" si="22"/>
        <v>C:\Users\jaime.benazar\Quorum Business Solutions\Ecopetrol Prometeo - Documents\Planning Space Implementation\3. Analysis &amp; Design\Design\FC22\DRR Jaime\Neiva CPI\[VAO_DINA TERCIARIOS_CF_SEC_20230117.xlsx]CF PRBDP'!</v>
      </c>
      <c r="G124" s="7" t="s">
        <v>100</v>
      </c>
      <c r="H124" s="4"/>
      <c r="I124" s="4"/>
      <c r="J124" s="4"/>
    </row>
    <row r="125" spans="1:10" x14ac:dyDescent="0.3">
      <c r="A125" s="7" t="s">
        <v>17</v>
      </c>
      <c r="B125" s="7">
        <f t="shared" si="33"/>
        <v>2032</v>
      </c>
      <c r="C125" s="4" t="s">
        <v>31</v>
      </c>
      <c r="D125" s="5" t="s">
        <v>131</v>
      </c>
      <c r="E125" s="10" t="str">
        <f t="shared" si="32"/>
        <v>PRBDP'!</v>
      </c>
      <c r="F125" s="5" t="str">
        <f t="shared" si="22"/>
        <v>C:\Users\jaime.benazar\Quorum Business Solutions\Ecopetrol Prometeo - Documents\Planning Space Implementation\3. Analysis &amp; Design\Design\FC22\DRR Jaime\Neiva CPI\[VAO_DINA TERCIARIOS_CF_SEC_20230117.xlsx]CF PRBDP'!</v>
      </c>
      <c r="G125" s="7" t="s">
        <v>100</v>
      </c>
      <c r="H125" s="4"/>
      <c r="I125" s="4"/>
      <c r="J125" s="4"/>
    </row>
    <row r="126" spans="1:10" x14ac:dyDescent="0.3">
      <c r="A126" s="7" t="s">
        <v>17</v>
      </c>
      <c r="B126" s="7">
        <f t="shared" si="33"/>
        <v>2033</v>
      </c>
      <c r="C126" s="4" t="s">
        <v>31</v>
      </c>
      <c r="D126" s="5" t="s">
        <v>131</v>
      </c>
      <c r="E126" s="10" t="str">
        <f t="shared" si="32"/>
        <v>PRBDP'!</v>
      </c>
      <c r="F126" s="5" t="str">
        <f t="shared" si="22"/>
        <v>C:\Users\jaime.benazar\Quorum Business Solutions\Ecopetrol Prometeo - Documents\Planning Space Implementation\3. Analysis &amp; Design\Design\FC22\DRR Jaime\Neiva CPI\[VAO_DINA TERCIARIOS_CF_SEC_20230117.xlsx]CF PRBDP'!</v>
      </c>
      <c r="G126" s="7" t="s">
        <v>100</v>
      </c>
      <c r="H126" s="4"/>
      <c r="I126" s="4"/>
      <c r="J126" s="4"/>
    </row>
    <row r="127" spans="1:10" x14ac:dyDescent="0.3">
      <c r="A127" s="7" t="s">
        <v>17</v>
      </c>
      <c r="B127" s="7">
        <f t="shared" si="33"/>
        <v>2034</v>
      </c>
      <c r="C127" s="4" t="s">
        <v>31</v>
      </c>
      <c r="D127" s="5" t="s">
        <v>131</v>
      </c>
      <c r="E127" s="10" t="str">
        <f t="shared" si="32"/>
        <v>PRBDP'!</v>
      </c>
      <c r="F127" s="5" t="str">
        <f t="shared" si="22"/>
        <v>C:\Users\jaime.benazar\Quorum Business Solutions\Ecopetrol Prometeo - Documents\Planning Space Implementation\3. Analysis &amp; Design\Design\FC22\DRR Jaime\Neiva CPI\[VAO_DINA TERCIARIOS_CF_SEC_20230117.xlsx]CF PRBDP'!</v>
      </c>
      <c r="G127" s="7" t="s">
        <v>100</v>
      </c>
      <c r="H127" s="4"/>
      <c r="I127" s="4"/>
      <c r="J127" s="4"/>
    </row>
    <row r="128" spans="1:10" x14ac:dyDescent="0.3">
      <c r="A128" s="7" t="s">
        <v>17</v>
      </c>
      <c r="B128" s="7">
        <f t="shared" si="33"/>
        <v>2035</v>
      </c>
      <c r="C128" s="4" t="s">
        <v>31</v>
      </c>
      <c r="D128" s="5" t="s">
        <v>131</v>
      </c>
      <c r="E128" s="10" t="str">
        <f t="shared" si="32"/>
        <v>PRBDP'!</v>
      </c>
      <c r="F128" s="5" t="str">
        <f t="shared" si="22"/>
        <v>C:\Users\jaime.benazar\Quorum Business Solutions\Ecopetrol Prometeo - Documents\Planning Space Implementation\3. Analysis &amp; Design\Design\FC22\DRR Jaime\Neiva CPI\[VAO_DINA TERCIARIOS_CF_SEC_20230117.xlsx]CF PRBDP'!</v>
      </c>
      <c r="G128" s="7" t="s">
        <v>100</v>
      </c>
      <c r="H128" s="4"/>
      <c r="I128" s="4"/>
      <c r="J128" s="4"/>
    </row>
    <row r="129" spans="1:10" x14ac:dyDescent="0.3">
      <c r="A129" s="7" t="s">
        <v>17</v>
      </c>
      <c r="B129" s="7">
        <f t="shared" si="33"/>
        <v>2036</v>
      </c>
      <c r="C129" s="4" t="s">
        <v>31</v>
      </c>
      <c r="D129" s="5" t="s">
        <v>131</v>
      </c>
      <c r="E129" s="10" t="str">
        <f t="shared" si="32"/>
        <v>PRBDP'!</v>
      </c>
      <c r="F129" s="5" t="str">
        <f t="shared" si="22"/>
        <v>C:\Users\jaime.benazar\Quorum Business Solutions\Ecopetrol Prometeo - Documents\Planning Space Implementation\3. Analysis &amp; Design\Design\FC22\DRR Jaime\Neiva CPI\[VAO_DINA TERCIARIOS_CF_SEC_20230117.xlsx]CF PRBDP'!</v>
      </c>
      <c r="G129" s="7" t="s">
        <v>100</v>
      </c>
      <c r="H129" s="4"/>
      <c r="I129" s="4"/>
      <c r="J129" s="4"/>
    </row>
    <row r="130" spans="1:10" x14ac:dyDescent="0.3">
      <c r="A130" s="7" t="s">
        <v>17</v>
      </c>
      <c r="B130" s="7">
        <f>+B129+1</f>
        <v>2037</v>
      </c>
      <c r="C130" s="4" t="s">
        <v>31</v>
      </c>
      <c r="D130" s="5" t="s">
        <v>131</v>
      </c>
      <c r="E130" s="10" t="str">
        <f t="shared" si="32"/>
        <v>PRBDP'!</v>
      </c>
      <c r="F130" s="5" t="str">
        <f t="shared" si="22"/>
        <v>C:\Users\jaime.benazar\Quorum Business Solutions\Ecopetrol Prometeo - Documents\Planning Space Implementation\3. Analysis &amp; Design\Design\FC22\DRR Jaime\Neiva CPI\[VAO_DINA TERCIARIOS_CF_SEC_20230117.xlsx]CF PRBDP'!</v>
      </c>
      <c r="G130" s="7" t="s">
        <v>100</v>
      </c>
      <c r="H130" s="4"/>
      <c r="I130" s="4"/>
      <c r="J130" s="4"/>
    </row>
    <row r="131" spans="1:10" x14ac:dyDescent="0.3">
      <c r="A131" s="7" t="s">
        <v>17</v>
      </c>
      <c r="B131" s="7">
        <f t="shared" ref="B131:B133" si="34">+B130+1</f>
        <v>2038</v>
      </c>
      <c r="C131" s="4" t="s">
        <v>31</v>
      </c>
      <c r="D131" s="5" t="s">
        <v>131</v>
      </c>
      <c r="E131" s="10" t="str">
        <f t="shared" si="32"/>
        <v>PRBDP'!</v>
      </c>
      <c r="F131" s="5" t="str">
        <f t="shared" si="22"/>
        <v>C:\Users\jaime.benazar\Quorum Business Solutions\Ecopetrol Prometeo - Documents\Planning Space Implementation\3. Analysis &amp; Design\Design\FC22\DRR Jaime\Neiva CPI\[VAO_DINA TERCIARIOS_CF_SEC_20230117.xlsx]CF PRBDP'!</v>
      </c>
      <c r="G131" s="7" t="s">
        <v>100</v>
      </c>
      <c r="H131" s="4"/>
      <c r="I131" s="4"/>
      <c r="J131" s="4"/>
    </row>
    <row r="132" spans="1:10" x14ac:dyDescent="0.3">
      <c r="A132" s="7" t="s">
        <v>17</v>
      </c>
      <c r="B132" s="7">
        <f t="shared" si="34"/>
        <v>2039</v>
      </c>
      <c r="C132" s="4" t="s">
        <v>31</v>
      </c>
      <c r="D132" s="5" t="s">
        <v>131</v>
      </c>
      <c r="E132" s="10" t="str">
        <f t="shared" si="32"/>
        <v>PRBDP'!</v>
      </c>
      <c r="F132" s="5" t="str">
        <f t="shared" si="22"/>
        <v>C:\Users\jaime.benazar\Quorum Business Solutions\Ecopetrol Prometeo - Documents\Planning Space Implementation\3. Analysis &amp; Design\Design\FC22\DRR Jaime\Neiva CPI\[VAO_DINA TERCIARIOS_CF_SEC_20230117.xlsx]CF PRBDP'!</v>
      </c>
      <c r="G132" s="7" t="s">
        <v>100</v>
      </c>
      <c r="H132" s="4"/>
      <c r="I132" s="4"/>
      <c r="J132" s="4"/>
    </row>
    <row r="133" spans="1:10" x14ac:dyDescent="0.3">
      <c r="A133" s="7" t="s">
        <v>17</v>
      </c>
      <c r="B133" s="7">
        <f t="shared" si="34"/>
        <v>2040</v>
      </c>
      <c r="C133" s="4" t="s">
        <v>31</v>
      </c>
      <c r="D133" s="5" t="s">
        <v>131</v>
      </c>
      <c r="E133" s="10" t="str">
        <f t="shared" si="32"/>
        <v>PRBDP'!</v>
      </c>
      <c r="F133" s="5" t="str">
        <f t="shared" si="22"/>
        <v>C:\Users\jaime.benazar\Quorum Business Solutions\Ecopetrol Prometeo - Documents\Planning Space Implementation\3. Analysis &amp; Design\Design\FC22\DRR Jaime\Neiva CPI\[VAO_DINA TERCIARIOS_CF_SEC_20230117.xlsx]CF PRBDP'!</v>
      </c>
      <c r="G133" s="7" t="s">
        <v>100</v>
      </c>
      <c r="H133" s="4"/>
      <c r="I133" s="4"/>
      <c r="J133" s="4"/>
    </row>
    <row r="134" spans="1:10" x14ac:dyDescent="0.3">
      <c r="A134" s="7" t="s">
        <v>17</v>
      </c>
      <c r="B134" s="7">
        <f>+B133+1</f>
        <v>2041</v>
      </c>
      <c r="C134" s="4" t="s">
        <v>31</v>
      </c>
      <c r="D134" s="5" t="s">
        <v>131</v>
      </c>
      <c r="E134" s="10" t="str">
        <f t="shared" si="32"/>
        <v>PRBDP'!</v>
      </c>
      <c r="F134" s="5" t="str">
        <f t="shared" si="22"/>
        <v>C:\Users\jaime.benazar\Quorum Business Solutions\Ecopetrol Prometeo - Documents\Planning Space Implementation\3. Analysis &amp; Design\Design\FC22\DRR Jaime\Neiva CPI\[VAO_DINA TERCIARIOS_CF_SEC_20230117.xlsx]CF PRBDP'!</v>
      </c>
      <c r="G134" s="7" t="s">
        <v>100</v>
      </c>
      <c r="H134" s="4"/>
      <c r="I134" s="4"/>
      <c r="J134" s="4"/>
    </row>
    <row r="135" spans="1:10" x14ac:dyDescent="0.3">
      <c r="A135" s="7" t="s">
        <v>17</v>
      </c>
      <c r="B135" s="7">
        <f t="shared" ref="B135:B136" si="35">+B134+1</f>
        <v>2042</v>
      </c>
      <c r="C135" s="4" t="s">
        <v>31</v>
      </c>
      <c r="D135" s="5" t="s">
        <v>131</v>
      </c>
      <c r="E135" s="10" t="str">
        <f t="shared" si="32"/>
        <v>PRBDP'!</v>
      </c>
      <c r="F135" s="5" t="str">
        <f t="shared" si="22"/>
        <v>C:\Users\jaime.benazar\Quorum Business Solutions\Ecopetrol Prometeo - Documents\Planning Space Implementation\3. Analysis &amp; Design\Design\FC22\DRR Jaime\Neiva CPI\[VAO_DINA TERCIARIOS_CF_SEC_20230117.xlsx]CF PRBDP'!</v>
      </c>
      <c r="G135" s="7" t="s">
        <v>100</v>
      </c>
      <c r="H135" s="4"/>
      <c r="I135" s="4"/>
      <c r="J135" s="4"/>
    </row>
    <row r="136" spans="1:10" x14ac:dyDescent="0.3">
      <c r="A136" s="7" t="s">
        <v>17</v>
      </c>
      <c r="B136" s="7">
        <f t="shared" si="35"/>
        <v>2043</v>
      </c>
      <c r="C136" s="4" t="s">
        <v>31</v>
      </c>
      <c r="D136" s="5" t="s">
        <v>131</v>
      </c>
      <c r="E136" s="10" t="str">
        <f t="shared" si="32"/>
        <v>PRBDP'!</v>
      </c>
      <c r="F136" s="5" t="str">
        <f t="shared" si="22"/>
        <v>C:\Users\jaime.benazar\Quorum Business Solutions\Ecopetrol Prometeo - Documents\Planning Space Implementation\3. Analysis &amp; Design\Design\FC22\DRR Jaime\Neiva CPI\[VAO_DINA TERCIARIOS_CF_SEC_20230117.xlsx]CF PRBDP'!</v>
      </c>
      <c r="G136" s="7" t="s">
        <v>100</v>
      </c>
      <c r="H136" s="4"/>
      <c r="I136" s="4"/>
      <c r="J136" s="4"/>
    </row>
    <row r="137" spans="1:10" x14ac:dyDescent="0.3">
      <c r="A137" s="7" t="s">
        <v>17</v>
      </c>
      <c r="B137" s="7">
        <f>+B136+1</f>
        <v>2044</v>
      </c>
      <c r="C137" s="4" t="s">
        <v>31</v>
      </c>
      <c r="D137" s="5" t="s">
        <v>131</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Jaime\Neiva CPI\[VAO_DINA TERCIARIOS_CF_SEC_20230117.xlsx]CF PRBDP'!</v>
      </c>
      <c r="G137" s="7" t="s">
        <v>100</v>
      </c>
      <c r="H137" s="4"/>
      <c r="I137" s="4"/>
      <c r="J137" s="4"/>
    </row>
    <row r="138" spans="1:10" x14ac:dyDescent="0.3">
      <c r="A138" s="7" t="s">
        <v>17</v>
      </c>
      <c r="B138" s="7">
        <f t="shared" ref="B138:B152" si="38">+B137+1</f>
        <v>2045</v>
      </c>
      <c r="C138" s="4" t="s">
        <v>31</v>
      </c>
      <c r="D138" s="5" t="s">
        <v>131</v>
      </c>
      <c r="E138" s="10" t="str">
        <f t="shared" si="36"/>
        <v>PRBDP'!</v>
      </c>
      <c r="F138" s="5" t="str">
        <f t="shared" si="37"/>
        <v>C:\Users\jaime.benazar\Quorum Business Solutions\Ecopetrol Prometeo - Documents\Planning Space Implementation\3. Analysis &amp; Design\Design\FC22\DRR Jaime\Neiva CPI\[VAO_DINA TERCIARIOS_CF_SEC_20230117.xlsx]CF PRBDP'!</v>
      </c>
      <c r="G138" s="7" t="s">
        <v>100</v>
      </c>
      <c r="H138" s="4"/>
      <c r="I138" s="4"/>
      <c r="J138" s="4"/>
    </row>
    <row r="139" spans="1:10" x14ac:dyDescent="0.3">
      <c r="A139" s="7" t="s">
        <v>17</v>
      </c>
      <c r="B139" s="7">
        <f t="shared" si="38"/>
        <v>2046</v>
      </c>
      <c r="C139" s="4" t="s">
        <v>31</v>
      </c>
      <c r="D139" s="5" t="s">
        <v>131</v>
      </c>
      <c r="E139" s="10" t="str">
        <f t="shared" si="36"/>
        <v>PRBDP'!</v>
      </c>
      <c r="F139" s="5" t="str">
        <f t="shared" si="37"/>
        <v>C:\Users\jaime.benazar\Quorum Business Solutions\Ecopetrol Prometeo - Documents\Planning Space Implementation\3. Analysis &amp; Design\Design\FC22\DRR Jaime\Neiva CPI\[VAO_DINA TERCIARIOS_CF_SEC_20230117.xlsx]CF PRBDP'!</v>
      </c>
      <c r="G139" s="7" t="s">
        <v>100</v>
      </c>
      <c r="H139" s="4"/>
      <c r="I139" s="4"/>
      <c r="J139" s="4"/>
    </row>
    <row r="140" spans="1:10" x14ac:dyDescent="0.3">
      <c r="A140" s="7" t="s">
        <v>17</v>
      </c>
      <c r="B140" s="7">
        <f t="shared" si="38"/>
        <v>2047</v>
      </c>
      <c r="C140" s="4" t="s">
        <v>31</v>
      </c>
      <c r="D140" s="5" t="s">
        <v>131</v>
      </c>
      <c r="E140" s="10" t="str">
        <f t="shared" si="36"/>
        <v>PRBDP'!</v>
      </c>
      <c r="F140" s="5" t="str">
        <f t="shared" si="37"/>
        <v>C:\Users\jaime.benazar\Quorum Business Solutions\Ecopetrol Prometeo - Documents\Planning Space Implementation\3. Analysis &amp; Design\Design\FC22\DRR Jaime\Neiva CPI\[VAO_DINA TERCIARIOS_CF_SEC_20230117.xlsx]CF PRBDP'!</v>
      </c>
      <c r="G140" s="7" t="s">
        <v>100</v>
      </c>
      <c r="H140" s="4"/>
      <c r="I140" s="4"/>
      <c r="J140" s="4"/>
    </row>
    <row r="141" spans="1:10" x14ac:dyDescent="0.3">
      <c r="A141" s="7" t="s">
        <v>17</v>
      </c>
      <c r="B141" s="7">
        <f t="shared" si="38"/>
        <v>2048</v>
      </c>
      <c r="C141" s="4" t="s">
        <v>31</v>
      </c>
      <c r="D141" s="5" t="s">
        <v>131</v>
      </c>
      <c r="E141" s="10" t="str">
        <f t="shared" si="36"/>
        <v>PRBDP'!</v>
      </c>
      <c r="F141" s="5" t="str">
        <f t="shared" si="37"/>
        <v>C:\Users\jaime.benazar\Quorum Business Solutions\Ecopetrol Prometeo - Documents\Planning Space Implementation\3. Analysis &amp; Design\Design\FC22\DRR Jaime\Neiva CPI\[VAO_DINA TERCIARIOS_CF_SEC_20230117.xlsx]CF PRBDP'!</v>
      </c>
      <c r="G141" s="7" t="s">
        <v>100</v>
      </c>
      <c r="H141" s="4"/>
      <c r="I141" s="4"/>
      <c r="J141" s="4"/>
    </row>
    <row r="142" spans="1:10" x14ac:dyDescent="0.3">
      <c r="A142" s="7" t="s">
        <v>17</v>
      </c>
      <c r="B142" s="7">
        <f t="shared" si="38"/>
        <v>2049</v>
      </c>
      <c r="C142" s="4" t="s">
        <v>31</v>
      </c>
      <c r="D142" s="5" t="s">
        <v>131</v>
      </c>
      <c r="E142" s="10" t="str">
        <f t="shared" si="36"/>
        <v>PRBDP'!</v>
      </c>
      <c r="F142" s="5" t="str">
        <f t="shared" si="37"/>
        <v>C:\Users\jaime.benazar\Quorum Business Solutions\Ecopetrol Prometeo - Documents\Planning Space Implementation\3. Analysis &amp; Design\Design\FC22\DRR Jaime\Neiva CPI\[VAO_DINA TERCIARIOS_CF_SEC_20230117.xlsx]CF PRBDP'!</v>
      </c>
      <c r="G142" s="7" t="s">
        <v>100</v>
      </c>
      <c r="H142" s="4"/>
      <c r="I142" s="4"/>
      <c r="J142" s="4"/>
    </row>
    <row r="143" spans="1:10" x14ac:dyDescent="0.3">
      <c r="A143" s="7" t="s">
        <v>17</v>
      </c>
      <c r="B143" s="7">
        <f t="shared" si="38"/>
        <v>2050</v>
      </c>
      <c r="C143" s="4" t="s">
        <v>31</v>
      </c>
      <c r="D143" s="5" t="s">
        <v>131</v>
      </c>
      <c r="E143" s="10" t="str">
        <f t="shared" si="36"/>
        <v>PRBDP'!</v>
      </c>
      <c r="F143" s="5" t="str">
        <f t="shared" si="37"/>
        <v>C:\Users\jaime.benazar\Quorum Business Solutions\Ecopetrol Prometeo - Documents\Planning Space Implementation\3. Analysis &amp; Design\Design\FC22\DRR Jaime\Neiva CPI\[VAO_DINA TERCIARIOS_CF_SEC_20230117.xlsx]CF PRBDP'!</v>
      </c>
      <c r="G143" s="7" t="s">
        <v>100</v>
      </c>
      <c r="H143" s="4"/>
      <c r="I143" s="4"/>
      <c r="J143" s="4"/>
    </row>
    <row r="144" spans="1:10" x14ac:dyDescent="0.3">
      <c r="A144" s="7" t="s">
        <v>17</v>
      </c>
      <c r="B144" s="7">
        <f t="shared" si="38"/>
        <v>2051</v>
      </c>
      <c r="C144" s="4" t="s">
        <v>31</v>
      </c>
      <c r="D144" s="5" t="s">
        <v>131</v>
      </c>
      <c r="E144" s="10" t="str">
        <f t="shared" si="36"/>
        <v>PRBDP'!</v>
      </c>
      <c r="F144" s="5" t="str">
        <f t="shared" si="37"/>
        <v>C:\Users\jaime.benazar\Quorum Business Solutions\Ecopetrol Prometeo - Documents\Planning Space Implementation\3. Analysis &amp; Design\Design\FC22\DRR Jaime\Neiva CPI\[VAO_DINA TERCIARIOS_CF_SEC_20230117.xlsx]CF PRBDP'!</v>
      </c>
      <c r="G144" s="7" t="s">
        <v>100</v>
      </c>
      <c r="H144" s="4"/>
      <c r="I144" s="4"/>
      <c r="J144" s="4"/>
    </row>
    <row r="145" spans="1:10" x14ac:dyDescent="0.3">
      <c r="A145" s="7" t="s">
        <v>17</v>
      </c>
      <c r="B145" s="7">
        <f t="shared" si="38"/>
        <v>2052</v>
      </c>
      <c r="C145" s="4" t="s">
        <v>31</v>
      </c>
      <c r="D145" s="5" t="s">
        <v>131</v>
      </c>
      <c r="E145" s="10" t="str">
        <f t="shared" si="36"/>
        <v>PRBDP'!</v>
      </c>
      <c r="F145" s="5" t="str">
        <f t="shared" si="37"/>
        <v>C:\Users\jaime.benazar\Quorum Business Solutions\Ecopetrol Prometeo - Documents\Planning Space Implementation\3. Analysis &amp; Design\Design\FC22\DRR Jaime\Neiva CPI\[VAO_DINA TERCIARIOS_CF_SEC_20230117.xlsx]CF PRBDP'!</v>
      </c>
      <c r="G145" s="7" t="s">
        <v>100</v>
      </c>
      <c r="H145" s="4"/>
      <c r="I145" s="4"/>
      <c r="J145" s="4"/>
    </row>
    <row r="146" spans="1:10" x14ac:dyDescent="0.3">
      <c r="A146" s="7" t="s">
        <v>17</v>
      </c>
      <c r="B146" s="7">
        <f t="shared" si="38"/>
        <v>2053</v>
      </c>
      <c r="C146" s="4" t="s">
        <v>31</v>
      </c>
      <c r="D146" s="5" t="s">
        <v>131</v>
      </c>
      <c r="E146" s="10" t="str">
        <f t="shared" si="36"/>
        <v>PRBDP'!</v>
      </c>
      <c r="F146" s="5" t="str">
        <f t="shared" si="37"/>
        <v>C:\Users\jaime.benazar\Quorum Business Solutions\Ecopetrol Prometeo - Documents\Planning Space Implementation\3. Analysis &amp; Design\Design\FC22\DRR Jaime\Neiva CPI\[VAO_DINA TERCIARIOS_CF_SEC_20230117.xlsx]CF PRBDP'!</v>
      </c>
      <c r="G146" s="7" t="s">
        <v>100</v>
      </c>
      <c r="H146" s="4"/>
      <c r="I146" s="4"/>
      <c r="J146" s="4"/>
    </row>
    <row r="147" spans="1:10" x14ac:dyDescent="0.3">
      <c r="A147" s="7" t="s">
        <v>17</v>
      </c>
      <c r="B147" s="7">
        <f t="shared" si="38"/>
        <v>2054</v>
      </c>
      <c r="C147" s="4" t="s">
        <v>31</v>
      </c>
      <c r="D147" s="5" t="s">
        <v>131</v>
      </c>
      <c r="E147" s="10" t="str">
        <f t="shared" si="36"/>
        <v>PRBDP'!</v>
      </c>
      <c r="F147" s="5" t="str">
        <f t="shared" si="37"/>
        <v>C:\Users\jaime.benazar\Quorum Business Solutions\Ecopetrol Prometeo - Documents\Planning Space Implementation\3. Analysis &amp; Design\Design\FC22\DRR Jaime\Neiva CPI\[VAO_DINA TERCIARIOS_CF_SEC_20230117.xlsx]CF PRBDP'!</v>
      </c>
      <c r="G147" s="7" t="s">
        <v>100</v>
      </c>
      <c r="H147" s="4"/>
      <c r="I147" s="4"/>
      <c r="J147" s="4"/>
    </row>
    <row r="148" spans="1:10" x14ac:dyDescent="0.3">
      <c r="A148" s="7" t="s">
        <v>17</v>
      </c>
      <c r="B148" s="7">
        <f t="shared" si="38"/>
        <v>2055</v>
      </c>
      <c r="C148" s="4" t="s">
        <v>31</v>
      </c>
      <c r="D148" s="5" t="s">
        <v>131</v>
      </c>
      <c r="E148" s="10" t="str">
        <f t="shared" si="36"/>
        <v>PRBDP'!</v>
      </c>
      <c r="F148" s="5" t="str">
        <f t="shared" si="37"/>
        <v>C:\Users\jaime.benazar\Quorum Business Solutions\Ecopetrol Prometeo - Documents\Planning Space Implementation\3. Analysis &amp; Design\Design\FC22\DRR Jaime\Neiva CPI\[VAO_DINA TERCIARIOS_CF_SEC_20230117.xlsx]CF PRBDP'!</v>
      </c>
      <c r="G148" s="7" t="s">
        <v>100</v>
      </c>
      <c r="H148" s="4"/>
      <c r="I148" s="4"/>
      <c r="J148" s="4"/>
    </row>
    <row r="149" spans="1:10" x14ac:dyDescent="0.3">
      <c r="A149" s="7" t="s">
        <v>17</v>
      </c>
      <c r="B149" s="7">
        <f t="shared" si="38"/>
        <v>2056</v>
      </c>
      <c r="C149" s="4" t="s">
        <v>31</v>
      </c>
      <c r="D149" s="5" t="s">
        <v>131</v>
      </c>
      <c r="E149" s="10" t="str">
        <f t="shared" si="36"/>
        <v>PRBDP'!</v>
      </c>
      <c r="F149" s="5" t="str">
        <f t="shared" si="37"/>
        <v>C:\Users\jaime.benazar\Quorum Business Solutions\Ecopetrol Prometeo - Documents\Planning Space Implementation\3. Analysis &amp; Design\Design\FC22\DRR Jaime\Neiva CPI\[VAO_DINA TERCIARIOS_CF_SEC_20230117.xlsx]CF PRBDP'!</v>
      </c>
      <c r="G149" s="7" t="s">
        <v>100</v>
      </c>
      <c r="H149" s="4"/>
      <c r="I149" s="4"/>
      <c r="J149" s="4"/>
    </row>
    <row r="150" spans="1:10" x14ac:dyDescent="0.3">
      <c r="A150" s="7" t="s">
        <v>17</v>
      </c>
      <c r="B150" s="7">
        <f t="shared" si="38"/>
        <v>2057</v>
      </c>
      <c r="C150" s="4" t="s">
        <v>31</v>
      </c>
      <c r="D150" s="5" t="s">
        <v>131</v>
      </c>
      <c r="E150" s="10" t="str">
        <f t="shared" si="36"/>
        <v>PRBDP'!</v>
      </c>
      <c r="F150" s="5" t="str">
        <f t="shared" si="37"/>
        <v>C:\Users\jaime.benazar\Quorum Business Solutions\Ecopetrol Prometeo - Documents\Planning Space Implementation\3. Analysis &amp; Design\Design\FC22\DRR Jaime\Neiva CPI\[VAO_DINA TERCIARIOS_CF_SEC_20230117.xlsx]CF PRBDP'!</v>
      </c>
      <c r="G150" s="7" t="s">
        <v>100</v>
      </c>
      <c r="H150" s="4"/>
      <c r="I150" s="4"/>
      <c r="J150" s="4"/>
    </row>
    <row r="151" spans="1:10" x14ac:dyDescent="0.3">
      <c r="A151" s="7" t="s">
        <v>17</v>
      </c>
      <c r="B151" s="7">
        <f t="shared" si="38"/>
        <v>2058</v>
      </c>
      <c r="C151" s="4" t="s">
        <v>31</v>
      </c>
      <c r="D151" s="5" t="s">
        <v>131</v>
      </c>
      <c r="E151" s="10" t="str">
        <f t="shared" si="36"/>
        <v>PRBDP'!</v>
      </c>
      <c r="F151" s="5" t="str">
        <f t="shared" si="37"/>
        <v>C:\Users\jaime.benazar\Quorum Business Solutions\Ecopetrol Prometeo - Documents\Planning Space Implementation\3. Analysis &amp; Design\Design\FC22\DRR Jaime\Neiva CPI\[VAO_DINA TERCIARIOS_CF_SEC_20230117.xlsx]CF PRBDP'!</v>
      </c>
      <c r="G151" s="7" t="s">
        <v>100</v>
      </c>
      <c r="H151" s="4"/>
      <c r="I151" s="4"/>
      <c r="J151" s="4"/>
    </row>
    <row r="152" spans="1:10" x14ac:dyDescent="0.3">
      <c r="A152" s="7" t="s">
        <v>17</v>
      </c>
      <c r="B152" s="7">
        <f t="shared" si="38"/>
        <v>2059</v>
      </c>
      <c r="C152" s="4" t="s">
        <v>31</v>
      </c>
      <c r="D152" s="5" t="s">
        <v>131</v>
      </c>
      <c r="E152" s="10" t="str">
        <f t="shared" si="36"/>
        <v>PRBDP'!</v>
      </c>
      <c r="F152" s="5" t="str">
        <f t="shared" si="37"/>
        <v>C:\Users\jaime.benazar\Quorum Business Solutions\Ecopetrol Prometeo - Documents\Planning Space Implementation\3. Analysis &amp; Design\Design\FC22\DRR Jaime\Neiva CPI\[VAO_DINA TERCIARIOS_CF_SEC_20230117.xlsx]CF PRBDP'!</v>
      </c>
      <c r="G152" s="7" t="s">
        <v>100</v>
      </c>
      <c r="H152" s="4"/>
      <c r="I152" s="4"/>
      <c r="J152" s="4"/>
    </row>
    <row r="153" spans="1:10" x14ac:dyDescent="0.3">
      <c r="A153" s="7" t="s">
        <v>26</v>
      </c>
      <c r="B153" s="7"/>
      <c r="C153" s="4" t="s">
        <v>31</v>
      </c>
      <c r="D153" s="5"/>
      <c r="E153" s="10"/>
      <c r="F153" s="5" t="str">
        <f t="shared" si="22"/>
        <v xml:space="preserve"> </v>
      </c>
      <c r="G153" s="7"/>
      <c r="H153" s="4"/>
      <c r="I153" s="4"/>
      <c r="J153" s="4"/>
    </row>
    <row r="154" spans="1:10" x14ac:dyDescent="0.3">
      <c r="A154" s="7" t="s">
        <v>18</v>
      </c>
      <c r="B154" s="7">
        <v>2023</v>
      </c>
      <c r="C154" s="4" t="s">
        <v>31</v>
      </c>
      <c r="D154" s="5" t="s">
        <v>131</v>
      </c>
      <c r="E154" s="10" t="str">
        <f t="shared" ref="E154:E174" si="39">_xlfn.CONCAT(A154,"'!")</f>
        <v>PRBNP'!</v>
      </c>
      <c r="F154" s="5" t="str">
        <f t="shared" si="22"/>
        <v>C:\Users\jaime.benazar\Quorum Business Solutions\Ecopetrol Prometeo - Documents\Planning Space Implementation\3. Analysis &amp; Design\Design\FC22\DRR Jaime\Neiva CPI\[VAO_DINA TERCIARIOS_CF_SEC_20230117.xlsx]CF PRBNP'!</v>
      </c>
      <c r="G154" s="7" t="s">
        <v>100</v>
      </c>
      <c r="H154" s="4"/>
      <c r="I154" s="4"/>
      <c r="J154" s="4"/>
    </row>
    <row r="155" spans="1:10" x14ac:dyDescent="0.3">
      <c r="A155" s="7" t="s">
        <v>18</v>
      </c>
      <c r="B155" s="7">
        <f>+B154+1</f>
        <v>2024</v>
      </c>
      <c r="C155" s="4" t="s">
        <v>31</v>
      </c>
      <c r="D155" s="5" t="s">
        <v>131</v>
      </c>
      <c r="E155" s="10" t="str">
        <f t="shared" si="39"/>
        <v>PRBNP'!</v>
      </c>
      <c r="F155" s="5" t="str">
        <f t="shared" si="22"/>
        <v>C:\Users\jaime.benazar\Quorum Business Solutions\Ecopetrol Prometeo - Documents\Planning Space Implementation\3. Analysis &amp; Design\Design\FC22\DRR Jaime\Neiva CPI\[VAO_DINA TERCIARIOS_CF_SEC_20230117.xlsx]CF PRBNP'!</v>
      </c>
      <c r="G155" s="7" t="s">
        <v>100</v>
      </c>
      <c r="H155" s="4"/>
      <c r="I155" s="4"/>
      <c r="J155" s="4"/>
    </row>
    <row r="156" spans="1:10" x14ac:dyDescent="0.3">
      <c r="A156" s="7" t="s">
        <v>18</v>
      </c>
      <c r="B156" s="7">
        <f t="shared" ref="B156:B167" si="40">+B155+1</f>
        <v>2025</v>
      </c>
      <c r="C156" s="4" t="s">
        <v>31</v>
      </c>
      <c r="D156" s="5" t="s">
        <v>131</v>
      </c>
      <c r="E156" s="10" t="str">
        <f t="shared" si="39"/>
        <v>PRBNP'!</v>
      </c>
      <c r="F156" s="5" t="str">
        <f t="shared" si="22"/>
        <v>C:\Users\jaime.benazar\Quorum Business Solutions\Ecopetrol Prometeo - Documents\Planning Space Implementation\3. Analysis &amp; Design\Design\FC22\DRR Jaime\Neiva CPI\[VAO_DINA TERCIARIOS_CF_SEC_20230117.xlsx]CF PRBNP'!</v>
      </c>
      <c r="G156" s="7" t="s">
        <v>100</v>
      </c>
      <c r="H156" s="4"/>
      <c r="I156" s="4"/>
      <c r="J156" s="4"/>
    </row>
    <row r="157" spans="1:10" x14ac:dyDescent="0.3">
      <c r="A157" s="7" t="s">
        <v>18</v>
      </c>
      <c r="B157" s="7">
        <f t="shared" si="40"/>
        <v>2026</v>
      </c>
      <c r="C157" s="4" t="s">
        <v>31</v>
      </c>
      <c r="D157" s="5" t="s">
        <v>131</v>
      </c>
      <c r="E157" s="10" t="str">
        <f t="shared" si="39"/>
        <v>PRBNP'!</v>
      </c>
      <c r="F157" s="5" t="str">
        <f t="shared" si="22"/>
        <v>C:\Users\jaime.benazar\Quorum Business Solutions\Ecopetrol Prometeo - Documents\Planning Space Implementation\3. Analysis &amp; Design\Design\FC22\DRR Jaime\Neiva CPI\[VAO_DINA TERCIARIOS_CF_SEC_20230117.xlsx]CF PRBNP'!</v>
      </c>
      <c r="G157" s="7" t="s">
        <v>100</v>
      </c>
      <c r="H157" s="4"/>
      <c r="I157" s="4"/>
      <c r="J157" s="4"/>
    </row>
    <row r="158" spans="1:10" x14ac:dyDescent="0.3">
      <c r="A158" s="7" t="s">
        <v>18</v>
      </c>
      <c r="B158" s="7">
        <f t="shared" si="40"/>
        <v>2027</v>
      </c>
      <c r="C158" s="4" t="s">
        <v>31</v>
      </c>
      <c r="D158" s="5" t="s">
        <v>131</v>
      </c>
      <c r="E158" s="10" t="str">
        <f t="shared" si="39"/>
        <v>PRBNP'!</v>
      </c>
      <c r="F158" s="5" t="str">
        <f t="shared" si="22"/>
        <v>C:\Users\jaime.benazar\Quorum Business Solutions\Ecopetrol Prometeo - Documents\Planning Space Implementation\3. Analysis &amp; Design\Design\FC22\DRR Jaime\Neiva CPI\[VAO_DINA TERCIARIOS_CF_SEC_20230117.xlsx]CF PRBNP'!</v>
      </c>
      <c r="G158" s="7" t="s">
        <v>100</v>
      </c>
      <c r="H158" s="4"/>
      <c r="I158" s="4"/>
      <c r="J158" s="4"/>
    </row>
    <row r="159" spans="1:10" x14ac:dyDescent="0.3">
      <c r="A159" s="7" t="s">
        <v>18</v>
      </c>
      <c r="B159" s="7">
        <f t="shared" si="40"/>
        <v>2028</v>
      </c>
      <c r="C159" s="4" t="s">
        <v>31</v>
      </c>
      <c r="D159" s="5" t="s">
        <v>131</v>
      </c>
      <c r="E159" s="10" t="str">
        <f t="shared" si="39"/>
        <v>PRBNP'!</v>
      </c>
      <c r="F159" s="5" t="str">
        <f t="shared" si="22"/>
        <v>C:\Users\jaime.benazar\Quorum Business Solutions\Ecopetrol Prometeo - Documents\Planning Space Implementation\3. Analysis &amp; Design\Design\FC22\DRR Jaime\Neiva CPI\[VAO_DINA TERCIARIOS_CF_SEC_20230117.xlsx]CF PRBNP'!</v>
      </c>
      <c r="G159" s="7" t="s">
        <v>100</v>
      </c>
      <c r="H159" s="4"/>
      <c r="I159" s="4"/>
      <c r="J159" s="4"/>
    </row>
    <row r="160" spans="1:10" x14ac:dyDescent="0.3">
      <c r="A160" s="7" t="s">
        <v>18</v>
      </c>
      <c r="B160" s="7">
        <f t="shared" si="40"/>
        <v>2029</v>
      </c>
      <c r="C160" s="4" t="s">
        <v>31</v>
      </c>
      <c r="D160" s="5" t="s">
        <v>131</v>
      </c>
      <c r="E160" s="10" t="str">
        <f t="shared" si="39"/>
        <v>PRBNP'!</v>
      </c>
      <c r="F160" s="5" t="str">
        <f t="shared" si="22"/>
        <v>C:\Users\jaime.benazar\Quorum Business Solutions\Ecopetrol Prometeo - Documents\Planning Space Implementation\3. Analysis &amp; Design\Design\FC22\DRR Jaime\Neiva CPI\[VAO_DINA TERCIARIOS_CF_SEC_20230117.xlsx]CF PRBNP'!</v>
      </c>
      <c r="G160" s="7" t="s">
        <v>100</v>
      </c>
      <c r="H160" s="4"/>
      <c r="I160" s="4"/>
      <c r="J160" s="4"/>
    </row>
    <row r="161" spans="1:10" x14ac:dyDescent="0.3">
      <c r="A161" s="7" t="s">
        <v>18</v>
      </c>
      <c r="B161" s="7">
        <f t="shared" si="40"/>
        <v>2030</v>
      </c>
      <c r="C161" s="4" t="s">
        <v>31</v>
      </c>
      <c r="D161" s="5" t="s">
        <v>131</v>
      </c>
      <c r="E161" s="10" t="str">
        <f t="shared" si="39"/>
        <v>PRBNP'!</v>
      </c>
      <c r="F161" s="5" t="str">
        <f t="shared" si="22"/>
        <v>C:\Users\jaime.benazar\Quorum Business Solutions\Ecopetrol Prometeo - Documents\Planning Space Implementation\3. Analysis &amp; Design\Design\FC22\DRR Jaime\Neiva CPI\[VAO_DINA TERCIARIOS_CF_SEC_20230117.xlsx]CF PRBNP'!</v>
      </c>
      <c r="G161" s="7" t="s">
        <v>100</v>
      </c>
      <c r="H161" s="4"/>
      <c r="I161" s="4"/>
      <c r="J161" s="4"/>
    </row>
    <row r="162" spans="1:10" x14ac:dyDescent="0.3">
      <c r="A162" s="7" t="s">
        <v>18</v>
      </c>
      <c r="B162" s="7">
        <f t="shared" si="40"/>
        <v>2031</v>
      </c>
      <c r="C162" s="4" t="s">
        <v>31</v>
      </c>
      <c r="D162" s="5" t="s">
        <v>131</v>
      </c>
      <c r="E162" s="10" t="str">
        <f t="shared" si="39"/>
        <v>PRBNP'!</v>
      </c>
      <c r="F162" s="5" t="str">
        <f t="shared" si="22"/>
        <v>C:\Users\jaime.benazar\Quorum Business Solutions\Ecopetrol Prometeo - Documents\Planning Space Implementation\3. Analysis &amp; Design\Design\FC22\DRR Jaime\Neiva CPI\[VAO_DINA TERCIARIOS_CF_SEC_20230117.xlsx]CF PRBNP'!</v>
      </c>
      <c r="G162" s="7" t="s">
        <v>100</v>
      </c>
      <c r="H162" s="4"/>
      <c r="I162" s="4"/>
      <c r="J162" s="4"/>
    </row>
    <row r="163" spans="1:10" x14ac:dyDescent="0.3">
      <c r="A163" s="7" t="s">
        <v>18</v>
      </c>
      <c r="B163" s="7">
        <f t="shared" si="40"/>
        <v>2032</v>
      </c>
      <c r="C163" s="4" t="s">
        <v>31</v>
      </c>
      <c r="D163" s="5" t="s">
        <v>131</v>
      </c>
      <c r="E163" s="10" t="str">
        <f t="shared" si="39"/>
        <v>PRBNP'!</v>
      </c>
      <c r="F163" s="5" t="str">
        <f t="shared" si="22"/>
        <v>C:\Users\jaime.benazar\Quorum Business Solutions\Ecopetrol Prometeo - Documents\Planning Space Implementation\3. Analysis &amp; Design\Design\FC22\DRR Jaime\Neiva CPI\[VAO_DINA TERCIARIOS_CF_SEC_20230117.xlsx]CF PRBNP'!</v>
      </c>
      <c r="G163" s="7" t="s">
        <v>100</v>
      </c>
      <c r="H163" s="4"/>
      <c r="I163" s="4"/>
      <c r="J163" s="4"/>
    </row>
    <row r="164" spans="1:10" x14ac:dyDescent="0.3">
      <c r="A164" s="7" t="s">
        <v>18</v>
      </c>
      <c r="B164" s="7">
        <f t="shared" si="40"/>
        <v>2033</v>
      </c>
      <c r="C164" s="4" t="s">
        <v>31</v>
      </c>
      <c r="D164" s="5" t="s">
        <v>131</v>
      </c>
      <c r="E164" s="10" t="str">
        <f t="shared" si="39"/>
        <v>PRBNP'!</v>
      </c>
      <c r="F164" s="5" t="str">
        <f t="shared" si="22"/>
        <v>C:\Users\jaime.benazar\Quorum Business Solutions\Ecopetrol Prometeo - Documents\Planning Space Implementation\3. Analysis &amp; Design\Design\FC22\DRR Jaime\Neiva CPI\[VAO_DINA TERCIARIOS_CF_SEC_20230117.xlsx]CF PRBNP'!</v>
      </c>
      <c r="G164" s="7" t="s">
        <v>100</v>
      </c>
      <c r="H164" s="4"/>
      <c r="I164" s="4"/>
      <c r="J164" s="4"/>
    </row>
    <row r="165" spans="1:10" x14ac:dyDescent="0.3">
      <c r="A165" s="7" t="s">
        <v>18</v>
      </c>
      <c r="B165" s="7">
        <f t="shared" si="40"/>
        <v>2034</v>
      </c>
      <c r="C165" s="4" t="s">
        <v>31</v>
      </c>
      <c r="D165" s="5" t="s">
        <v>131</v>
      </c>
      <c r="E165" s="10" t="str">
        <f t="shared" si="39"/>
        <v>PRBNP'!</v>
      </c>
      <c r="F165" s="5" t="str">
        <f t="shared" si="22"/>
        <v>C:\Users\jaime.benazar\Quorum Business Solutions\Ecopetrol Prometeo - Documents\Planning Space Implementation\3. Analysis &amp; Design\Design\FC22\DRR Jaime\Neiva CPI\[VAO_DINA TERCIARIOS_CF_SEC_20230117.xlsx]CF PRBNP'!</v>
      </c>
      <c r="G165" s="7" t="s">
        <v>100</v>
      </c>
      <c r="H165" s="4"/>
      <c r="I165" s="4"/>
      <c r="J165" s="4"/>
    </row>
    <row r="166" spans="1:10" x14ac:dyDescent="0.3">
      <c r="A166" s="7" t="s">
        <v>18</v>
      </c>
      <c r="B166" s="7">
        <f t="shared" si="40"/>
        <v>2035</v>
      </c>
      <c r="C166" s="4" t="s">
        <v>31</v>
      </c>
      <c r="D166" s="5" t="s">
        <v>131</v>
      </c>
      <c r="E166" s="10" t="str">
        <f t="shared" si="39"/>
        <v>PRBNP'!</v>
      </c>
      <c r="F166" s="5" t="str">
        <f t="shared" si="22"/>
        <v>C:\Users\jaime.benazar\Quorum Business Solutions\Ecopetrol Prometeo - Documents\Planning Space Implementation\3. Analysis &amp; Design\Design\FC22\DRR Jaime\Neiva CPI\[VAO_DINA TERCIARIOS_CF_SEC_20230117.xlsx]CF PRBNP'!</v>
      </c>
      <c r="G166" s="7" t="s">
        <v>100</v>
      </c>
      <c r="H166" s="4"/>
      <c r="I166" s="4"/>
      <c r="J166" s="4"/>
    </row>
    <row r="167" spans="1:10" x14ac:dyDescent="0.3">
      <c r="A167" s="7" t="s">
        <v>18</v>
      </c>
      <c r="B167" s="7">
        <f t="shared" si="40"/>
        <v>2036</v>
      </c>
      <c r="C167" s="4" t="s">
        <v>31</v>
      </c>
      <c r="D167" s="5" t="s">
        <v>131</v>
      </c>
      <c r="E167" s="10" t="str">
        <f t="shared" si="39"/>
        <v>PRBNP'!</v>
      </c>
      <c r="F167" s="5" t="str">
        <f t="shared" si="22"/>
        <v>C:\Users\jaime.benazar\Quorum Business Solutions\Ecopetrol Prometeo - Documents\Planning Space Implementation\3. Analysis &amp; Design\Design\FC22\DRR Jaime\Neiva CPI\[VAO_DINA TERCIARIOS_CF_SEC_20230117.xlsx]CF PRBNP'!</v>
      </c>
      <c r="G167" s="7" t="s">
        <v>100</v>
      </c>
      <c r="H167" s="4"/>
      <c r="I167" s="4"/>
      <c r="J167" s="4"/>
    </row>
    <row r="168" spans="1:10" x14ac:dyDescent="0.3">
      <c r="A168" s="7" t="s">
        <v>18</v>
      </c>
      <c r="B168" s="7">
        <f>+B167+1</f>
        <v>2037</v>
      </c>
      <c r="C168" s="4" t="s">
        <v>31</v>
      </c>
      <c r="D168" s="5" t="s">
        <v>131</v>
      </c>
      <c r="E168" s="10" t="str">
        <f t="shared" si="39"/>
        <v>PRBNP'!</v>
      </c>
      <c r="F168" s="5" t="str">
        <f t="shared" si="22"/>
        <v>C:\Users\jaime.benazar\Quorum Business Solutions\Ecopetrol Prometeo - Documents\Planning Space Implementation\3. Analysis &amp; Design\Design\FC22\DRR Jaime\Neiva CPI\[VAO_DINA TERCIARIOS_CF_SEC_20230117.xlsx]CF PRBNP'!</v>
      </c>
      <c r="G168" s="7" t="s">
        <v>100</v>
      </c>
      <c r="H168" s="4"/>
      <c r="I168" s="4"/>
      <c r="J168" s="4"/>
    </row>
    <row r="169" spans="1:10" x14ac:dyDescent="0.3">
      <c r="A169" s="7" t="s">
        <v>18</v>
      </c>
      <c r="B169" s="7">
        <f t="shared" ref="B169:B171" si="41">+B168+1</f>
        <v>2038</v>
      </c>
      <c r="C169" s="4" t="s">
        <v>31</v>
      </c>
      <c r="D169" s="5" t="s">
        <v>131</v>
      </c>
      <c r="E169" s="10" t="str">
        <f t="shared" si="39"/>
        <v>PRBNP'!</v>
      </c>
      <c r="F169" s="5" t="str">
        <f t="shared" si="22"/>
        <v>C:\Users\jaime.benazar\Quorum Business Solutions\Ecopetrol Prometeo - Documents\Planning Space Implementation\3. Analysis &amp; Design\Design\FC22\DRR Jaime\Neiva CPI\[VAO_DINA TERCIARIOS_CF_SEC_20230117.xlsx]CF PRBNP'!</v>
      </c>
      <c r="G169" s="7" t="s">
        <v>100</v>
      </c>
      <c r="H169" s="4"/>
      <c r="I169" s="4"/>
      <c r="J169" s="4"/>
    </row>
    <row r="170" spans="1:10" x14ac:dyDescent="0.3">
      <c r="A170" s="7" t="s">
        <v>18</v>
      </c>
      <c r="B170" s="7">
        <f t="shared" si="41"/>
        <v>2039</v>
      </c>
      <c r="C170" s="4" t="s">
        <v>31</v>
      </c>
      <c r="D170" s="5" t="s">
        <v>131</v>
      </c>
      <c r="E170" s="10" t="str">
        <f t="shared" si="39"/>
        <v>PRBNP'!</v>
      </c>
      <c r="F170" s="5" t="str">
        <f t="shared" si="22"/>
        <v>C:\Users\jaime.benazar\Quorum Business Solutions\Ecopetrol Prometeo - Documents\Planning Space Implementation\3. Analysis &amp; Design\Design\FC22\DRR Jaime\Neiva CPI\[VAO_DINA TERCIARIOS_CF_SEC_20230117.xlsx]CF PRBNP'!</v>
      </c>
      <c r="G170" s="7" t="s">
        <v>100</v>
      </c>
      <c r="H170" s="4"/>
      <c r="I170" s="4"/>
      <c r="J170" s="4"/>
    </row>
    <row r="171" spans="1:10" x14ac:dyDescent="0.3">
      <c r="A171" s="7" t="s">
        <v>18</v>
      </c>
      <c r="B171" s="7">
        <f t="shared" si="41"/>
        <v>2040</v>
      </c>
      <c r="C171" s="4" t="s">
        <v>31</v>
      </c>
      <c r="D171" s="5" t="s">
        <v>131</v>
      </c>
      <c r="E171" s="10" t="str">
        <f t="shared" si="39"/>
        <v>PRBNP'!</v>
      </c>
      <c r="F171" s="5" t="str">
        <f t="shared" si="22"/>
        <v>C:\Users\jaime.benazar\Quorum Business Solutions\Ecopetrol Prometeo - Documents\Planning Space Implementation\3. Analysis &amp; Design\Design\FC22\DRR Jaime\Neiva CPI\[VAO_DINA TERCIARIOS_CF_SEC_20230117.xlsx]CF PRBNP'!</v>
      </c>
      <c r="G171" s="7" t="s">
        <v>100</v>
      </c>
      <c r="H171" s="4"/>
      <c r="I171" s="4"/>
      <c r="J171" s="4"/>
    </row>
    <row r="172" spans="1:10" x14ac:dyDescent="0.3">
      <c r="A172" s="7" t="s">
        <v>18</v>
      </c>
      <c r="B172" s="7">
        <f>+B171+1</f>
        <v>2041</v>
      </c>
      <c r="C172" s="4" t="s">
        <v>31</v>
      </c>
      <c r="D172" s="5" t="s">
        <v>131</v>
      </c>
      <c r="E172" s="10" t="str">
        <f t="shared" si="39"/>
        <v>PRBNP'!</v>
      </c>
      <c r="F172" s="5" t="str">
        <f t="shared" si="22"/>
        <v>C:\Users\jaime.benazar\Quorum Business Solutions\Ecopetrol Prometeo - Documents\Planning Space Implementation\3. Analysis &amp; Design\Design\FC22\DRR Jaime\Neiva CPI\[VAO_DINA TERCIARIOS_CF_SEC_20230117.xlsx]CF PRBNP'!</v>
      </c>
      <c r="G172" s="7" t="s">
        <v>100</v>
      </c>
      <c r="H172" s="4"/>
      <c r="I172" s="4"/>
      <c r="J172" s="4"/>
    </row>
    <row r="173" spans="1:10" x14ac:dyDescent="0.3">
      <c r="A173" s="7" t="s">
        <v>18</v>
      </c>
      <c r="B173" s="7">
        <f t="shared" ref="B173:B174" si="42">+B172+1</f>
        <v>2042</v>
      </c>
      <c r="C173" s="4" t="s">
        <v>31</v>
      </c>
      <c r="D173" s="5" t="s">
        <v>131</v>
      </c>
      <c r="E173" s="10" t="str">
        <f t="shared" si="39"/>
        <v>PRBNP'!</v>
      </c>
      <c r="F173" s="5" t="str">
        <f t="shared" si="22"/>
        <v>C:\Users\jaime.benazar\Quorum Business Solutions\Ecopetrol Prometeo - Documents\Planning Space Implementation\3. Analysis &amp; Design\Design\FC22\DRR Jaime\Neiva CPI\[VAO_DINA TERCIARIOS_CF_SEC_20230117.xlsx]CF PRBNP'!</v>
      </c>
      <c r="G173" s="7" t="s">
        <v>100</v>
      </c>
      <c r="H173" s="4"/>
      <c r="I173" s="4"/>
      <c r="J173" s="4"/>
    </row>
    <row r="174" spans="1:10" x14ac:dyDescent="0.3">
      <c r="A174" s="7" t="s">
        <v>18</v>
      </c>
      <c r="B174" s="7">
        <f t="shared" si="42"/>
        <v>2043</v>
      </c>
      <c r="C174" s="4" t="s">
        <v>31</v>
      </c>
      <c r="D174" s="5" t="s">
        <v>131</v>
      </c>
      <c r="E174" s="10" t="str">
        <f t="shared" si="39"/>
        <v>PRBNP'!</v>
      </c>
      <c r="F174" s="5" t="str">
        <f t="shared" si="22"/>
        <v>C:\Users\jaime.benazar\Quorum Business Solutions\Ecopetrol Prometeo - Documents\Planning Space Implementation\3. Analysis &amp; Design\Design\FC22\DRR Jaime\Neiva CPI\[VAO_DINA TERCIARIOS_CF_SEC_20230117.xlsx]CF PRBNP'!</v>
      </c>
      <c r="G174" s="7" t="s">
        <v>100</v>
      </c>
      <c r="H174" s="4"/>
      <c r="I174" s="4"/>
      <c r="J174" s="4"/>
    </row>
    <row r="175" spans="1:10" x14ac:dyDescent="0.3">
      <c r="A175" s="7" t="s">
        <v>18</v>
      </c>
      <c r="B175" s="7">
        <f>+B174+1</f>
        <v>2044</v>
      </c>
      <c r="C175" s="4" t="s">
        <v>31</v>
      </c>
      <c r="D175" s="5" t="s">
        <v>131</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Jaime\Neiva CPI\[VAO_DINA TERCIARIOS_CF_SEC_20230117.xlsx]CF PRBNP'!</v>
      </c>
      <c r="G175" s="7" t="s">
        <v>100</v>
      </c>
      <c r="H175" s="4"/>
      <c r="I175" s="4"/>
      <c r="J175" s="4"/>
    </row>
    <row r="176" spans="1:10" x14ac:dyDescent="0.3">
      <c r="A176" s="7" t="s">
        <v>18</v>
      </c>
      <c r="B176" s="7">
        <f t="shared" ref="B176:B190" si="45">+B175+1</f>
        <v>2045</v>
      </c>
      <c r="C176" s="4" t="s">
        <v>31</v>
      </c>
      <c r="D176" s="5" t="s">
        <v>131</v>
      </c>
      <c r="E176" s="10" t="str">
        <f t="shared" si="43"/>
        <v>PRBNP'!</v>
      </c>
      <c r="F176" s="5" t="str">
        <f t="shared" si="44"/>
        <v>C:\Users\jaime.benazar\Quorum Business Solutions\Ecopetrol Prometeo - Documents\Planning Space Implementation\3. Analysis &amp; Design\Design\FC22\DRR Jaime\Neiva CPI\[VAO_DINA TERCIARIOS_CF_SEC_20230117.xlsx]CF PRBNP'!</v>
      </c>
      <c r="G176" s="7" t="s">
        <v>100</v>
      </c>
      <c r="H176" s="4"/>
      <c r="I176" s="4"/>
      <c r="J176" s="4"/>
    </row>
    <row r="177" spans="1:10" x14ac:dyDescent="0.3">
      <c r="A177" s="7" t="s">
        <v>18</v>
      </c>
      <c r="B177" s="7">
        <f t="shared" si="45"/>
        <v>2046</v>
      </c>
      <c r="C177" s="4" t="s">
        <v>31</v>
      </c>
      <c r="D177" s="5" t="s">
        <v>131</v>
      </c>
      <c r="E177" s="10" t="str">
        <f t="shared" si="43"/>
        <v>PRBNP'!</v>
      </c>
      <c r="F177" s="5" t="str">
        <f t="shared" si="44"/>
        <v>C:\Users\jaime.benazar\Quorum Business Solutions\Ecopetrol Prometeo - Documents\Planning Space Implementation\3. Analysis &amp; Design\Design\FC22\DRR Jaime\Neiva CPI\[VAO_DINA TERCIARIOS_CF_SEC_20230117.xlsx]CF PRBNP'!</v>
      </c>
      <c r="G177" s="7" t="s">
        <v>100</v>
      </c>
      <c r="H177" s="4"/>
      <c r="I177" s="4"/>
      <c r="J177" s="4"/>
    </row>
    <row r="178" spans="1:10" x14ac:dyDescent="0.3">
      <c r="A178" s="7" t="s">
        <v>18</v>
      </c>
      <c r="B178" s="7">
        <f t="shared" si="45"/>
        <v>2047</v>
      </c>
      <c r="C178" s="4" t="s">
        <v>31</v>
      </c>
      <c r="D178" s="5" t="s">
        <v>131</v>
      </c>
      <c r="E178" s="10" t="str">
        <f t="shared" si="43"/>
        <v>PRBNP'!</v>
      </c>
      <c r="F178" s="5" t="str">
        <f t="shared" si="44"/>
        <v>C:\Users\jaime.benazar\Quorum Business Solutions\Ecopetrol Prometeo - Documents\Planning Space Implementation\3. Analysis &amp; Design\Design\FC22\DRR Jaime\Neiva CPI\[VAO_DINA TERCIARIOS_CF_SEC_20230117.xlsx]CF PRBNP'!</v>
      </c>
      <c r="G178" s="7" t="s">
        <v>100</v>
      </c>
      <c r="H178" s="4"/>
      <c r="I178" s="4"/>
      <c r="J178" s="4"/>
    </row>
    <row r="179" spans="1:10" x14ac:dyDescent="0.3">
      <c r="A179" s="7" t="s">
        <v>18</v>
      </c>
      <c r="B179" s="7">
        <f t="shared" si="45"/>
        <v>2048</v>
      </c>
      <c r="C179" s="4" t="s">
        <v>31</v>
      </c>
      <c r="D179" s="5" t="s">
        <v>131</v>
      </c>
      <c r="E179" s="10" t="str">
        <f t="shared" si="43"/>
        <v>PRBNP'!</v>
      </c>
      <c r="F179" s="5" t="str">
        <f t="shared" si="44"/>
        <v>C:\Users\jaime.benazar\Quorum Business Solutions\Ecopetrol Prometeo - Documents\Planning Space Implementation\3. Analysis &amp; Design\Design\FC22\DRR Jaime\Neiva CPI\[VAO_DINA TERCIARIOS_CF_SEC_20230117.xlsx]CF PRBNP'!</v>
      </c>
      <c r="G179" s="7" t="s">
        <v>100</v>
      </c>
      <c r="H179" s="4"/>
      <c r="I179" s="4"/>
      <c r="J179" s="4"/>
    </row>
    <row r="180" spans="1:10" x14ac:dyDescent="0.3">
      <c r="A180" s="7" t="s">
        <v>18</v>
      </c>
      <c r="B180" s="7">
        <f t="shared" si="45"/>
        <v>2049</v>
      </c>
      <c r="C180" s="4" t="s">
        <v>31</v>
      </c>
      <c r="D180" s="5" t="s">
        <v>131</v>
      </c>
      <c r="E180" s="10" t="str">
        <f t="shared" si="43"/>
        <v>PRBNP'!</v>
      </c>
      <c r="F180" s="5" t="str">
        <f t="shared" si="44"/>
        <v>C:\Users\jaime.benazar\Quorum Business Solutions\Ecopetrol Prometeo - Documents\Planning Space Implementation\3. Analysis &amp; Design\Design\FC22\DRR Jaime\Neiva CPI\[VAO_DINA TERCIARIOS_CF_SEC_20230117.xlsx]CF PRBNP'!</v>
      </c>
      <c r="G180" s="7" t="s">
        <v>100</v>
      </c>
      <c r="H180" s="4"/>
      <c r="I180" s="4"/>
      <c r="J180" s="4"/>
    </row>
    <row r="181" spans="1:10" x14ac:dyDescent="0.3">
      <c r="A181" s="7" t="s">
        <v>18</v>
      </c>
      <c r="B181" s="7">
        <f t="shared" si="45"/>
        <v>2050</v>
      </c>
      <c r="C181" s="4" t="s">
        <v>31</v>
      </c>
      <c r="D181" s="5" t="s">
        <v>131</v>
      </c>
      <c r="E181" s="10" t="str">
        <f t="shared" si="43"/>
        <v>PRBNP'!</v>
      </c>
      <c r="F181" s="5" t="str">
        <f t="shared" si="44"/>
        <v>C:\Users\jaime.benazar\Quorum Business Solutions\Ecopetrol Prometeo - Documents\Planning Space Implementation\3. Analysis &amp; Design\Design\FC22\DRR Jaime\Neiva CPI\[VAO_DINA TERCIARIOS_CF_SEC_20230117.xlsx]CF PRBNP'!</v>
      </c>
      <c r="G181" s="7" t="s">
        <v>100</v>
      </c>
      <c r="H181" s="4"/>
      <c r="I181" s="4"/>
      <c r="J181" s="4"/>
    </row>
    <row r="182" spans="1:10" x14ac:dyDescent="0.3">
      <c r="A182" s="7" t="s">
        <v>18</v>
      </c>
      <c r="B182" s="7">
        <f t="shared" si="45"/>
        <v>2051</v>
      </c>
      <c r="C182" s="4" t="s">
        <v>31</v>
      </c>
      <c r="D182" s="5" t="s">
        <v>131</v>
      </c>
      <c r="E182" s="10" t="str">
        <f t="shared" si="43"/>
        <v>PRBNP'!</v>
      </c>
      <c r="F182" s="5" t="str">
        <f t="shared" si="44"/>
        <v>C:\Users\jaime.benazar\Quorum Business Solutions\Ecopetrol Prometeo - Documents\Planning Space Implementation\3. Analysis &amp; Design\Design\FC22\DRR Jaime\Neiva CPI\[VAO_DINA TERCIARIOS_CF_SEC_20230117.xlsx]CF PRBNP'!</v>
      </c>
      <c r="G182" s="7" t="s">
        <v>100</v>
      </c>
      <c r="H182" s="4"/>
      <c r="I182" s="4"/>
      <c r="J182" s="4"/>
    </row>
    <row r="183" spans="1:10" x14ac:dyDescent="0.3">
      <c r="A183" s="7" t="s">
        <v>18</v>
      </c>
      <c r="B183" s="7">
        <f t="shared" si="45"/>
        <v>2052</v>
      </c>
      <c r="C183" s="4" t="s">
        <v>31</v>
      </c>
      <c r="D183" s="5" t="s">
        <v>131</v>
      </c>
      <c r="E183" s="10" t="str">
        <f t="shared" si="43"/>
        <v>PRBNP'!</v>
      </c>
      <c r="F183" s="5" t="str">
        <f t="shared" si="44"/>
        <v>C:\Users\jaime.benazar\Quorum Business Solutions\Ecopetrol Prometeo - Documents\Planning Space Implementation\3. Analysis &amp; Design\Design\FC22\DRR Jaime\Neiva CPI\[VAO_DINA TERCIARIOS_CF_SEC_20230117.xlsx]CF PRBNP'!</v>
      </c>
      <c r="G183" s="7" t="s">
        <v>100</v>
      </c>
      <c r="H183" s="4"/>
      <c r="I183" s="4"/>
      <c r="J183" s="4"/>
    </row>
    <row r="184" spans="1:10" x14ac:dyDescent="0.3">
      <c r="A184" s="7" t="s">
        <v>18</v>
      </c>
      <c r="B184" s="7">
        <f t="shared" si="45"/>
        <v>2053</v>
      </c>
      <c r="C184" s="4" t="s">
        <v>31</v>
      </c>
      <c r="D184" s="5" t="s">
        <v>131</v>
      </c>
      <c r="E184" s="10" t="str">
        <f t="shared" si="43"/>
        <v>PRBNP'!</v>
      </c>
      <c r="F184" s="5" t="str">
        <f t="shared" si="44"/>
        <v>C:\Users\jaime.benazar\Quorum Business Solutions\Ecopetrol Prometeo - Documents\Planning Space Implementation\3. Analysis &amp; Design\Design\FC22\DRR Jaime\Neiva CPI\[VAO_DINA TERCIARIOS_CF_SEC_20230117.xlsx]CF PRBNP'!</v>
      </c>
      <c r="G184" s="7" t="s">
        <v>100</v>
      </c>
      <c r="H184" s="4"/>
      <c r="I184" s="4"/>
      <c r="J184" s="4"/>
    </row>
    <row r="185" spans="1:10" x14ac:dyDescent="0.3">
      <c r="A185" s="7" t="s">
        <v>18</v>
      </c>
      <c r="B185" s="7">
        <f t="shared" si="45"/>
        <v>2054</v>
      </c>
      <c r="C185" s="4" t="s">
        <v>31</v>
      </c>
      <c r="D185" s="5" t="s">
        <v>131</v>
      </c>
      <c r="E185" s="10" t="str">
        <f t="shared" si="43"/>
        <v>PRBNP'!</v>
      </c>
      <c r="F185" s="5" t="str">
        <f t="shared" si="44"/>
        <v>C:\Users\jaime.benazar\Quorum Business Solutions\Ecopetrol Prometeo - Documents\Planning Space Implementation\3. Analysis &amp; Design\Design\FC22\DRR Jaime\Neiva CPI\[VAO_DINA TERCIARIOS_CF_SEC_20230117.xlsx]CF PRBNP'!</v>
      </c>
      <c r="G185" s="7" t="s">
        <v>100</v>
      </c>
      <c r="H185" s="4"/>
      <c r="I185" s="4"/>
      <c r="J185" s="4"/>
    </row>
    <row r="186" spans="1:10" x14ac:dyDescent="0.3">
      <c r="A186" s="7" t="s">
        <v>18</v>
      </c>
      <c r="B186" s="7">
        <f t="shared" si="45"/>
        <v>2055</v>
      </c>
      <c r="C186" s="4" t="s">
        <v>31</v>
      </c>
      <c r="D186" s="5" t="s">
        <v>131</v>
      </c>
      <c r="E186" s="10" t="str">
        <f t="shared" si="43"/>
        <v>PRBNP'!</v>
      </c>
      <c r="F186" s="5" t="str">
        <f t="shared" si="44"/>
        <v>C:\Users\jaime.benazar\Quorum Business Solutions\Ecopetrol Prometeo - Documents\Planning Space Implementation\3. Analysis &amp; Design\Design\FC22\DRR Jaime\Neiva CPI\[VAO_DINA TERCIARIOS_CF_SEC_20230117.xlsx]CF PRBNP'!</v>
      </c>
      <c r="G186" s="7" t="s">
        <v>100</v>
      </c>
      <c r="H186" s="4"/>
      <c r="I186" s="4"/>
      <c r="J186" s="4"/>
    </row>
    <row r="187" spans="1:10" x14ac:dyDescent="0.3">
      <c r="A187" s="7" t="s">
        <v>18</v>
      </c>
      <c r="B187" s="7">
        <f t="shared" si="45"/>
        <v>2056</v>
      </c>
      <c r="C187" s="4" t="s">
        <v>31</v>
      </c>
      <c r="D187" s="5" t="s">
        <v>131</v>
      </c>
      <c r="E187" s="10" t="str">
        <f t="shared" si="43"/>
        <v>PRBNP'!</v>
      </c>
      <c r="F187" s="5" t="str">
        <f t="shared" si="44"/>
        <v>C:\Users\jaime.benazar\Quorum Business Solutions\Ecopetrol Prometeo - Documents\Planning Space Implementation\3. Analysis &amp; Design\Design\FC22\DRR Jaime\Neiva CPI\[VAO_DINA TERCIARIOS_CF_SEC_20230117.xlsx]CF PRBNP'!</v>
      </c>
      <c r="G187" s="7" t="s">
        <v>100</v>
      </c>
      <c r="H187" s="4"/>
      <c r="I187" s="4"/>
      <c r="J187" s="4"/>
    </row>
    <row r="188" spans="1:10" x14ac:dyDescent="0.3">
      <c r="A188" s="7" t="s">
        <v>18</v>
      </c>
      <c r="B188" s="7">
        <f t="shared" si="45"/>
        <v>2057</v>
      </c>
      <c r="C188" s="4" t="s">
        <v>31</v>
      </c>
      <c r="D188" s="5" t="s">
        <v>131</v>
      </c>
      <c r="E188" s="10" t="str">
        <f t="shared" si="43"/>
        <v>PRBNP'!</v>
      </c>
      <c r="F188" s="5" t="str">
        <f t="shared" si="44"/>
        <v>C:\Users\jaime.benazar\Quorum Business Solutions\Ecopetrol Prometeo - Documents\Planning Space Implementation\3. Analysis &amp; Design\Design\FC22\DRR Jaime\Neiva CPI\[VAO_DINA TERCIARIOS_CF_SEC_20230117.xlsx]CF PRBNP'!</v>
      </c>
      <c r="G188" s="7" t="s">
        <v>100</v>
      </c>
      <c r="H188" s="4"/>
      <c r="I188" s="4"/>
      <c r="J188" s="4"/>
    </row>
    <row r="189" spans="1:10" x14ac:dyDescent="0.3">
      <c r="A189" s="7" t="s">
        <v>18</v>
      </c>
      <c r="B189" s="7">
        <f t="shared" si="45"/>
        <v>2058</v>
      </c>
      <c r="C189" s="4" t="s">
        <v>31</v>
      </c>
      <c r="D189" s="5" t="s">
        <v>131</v>
      </c>
      <c r="E189" s="10" t="str">
        <f t="shared" si="43"/>
        <v>PRBNP'!</v>
      </c>
      <c r="F189" s="5" t="str">
        <f t="shared" si="44"/>
        <v>C:\Users\jaime.benazar\Quorum Business Solutions\Ecopetrol Prometeo - Documents\Planning Space Implementation\3. Analysis &amp; Design\Design\FC22\DRR Jaime\Neiva CPI\[VAO_DINA TERCIARIOS_CF_SEC_20230117.xlsx]CF PRBNP'!</v>
      </c>
      <c r="G189" s="7" t="s">
        <v>100</v>
      </c>
      <c r="H189" s="4"/>
      <c r="I189" s="4"/>
      <c r="J189" s="4"/>
    </row>
    <row r="190" spans="1:10" x14ac:dyDescent="0.3">
      <c r="A190" s="7" t="s">
        <v>18</v>
      </c>
      <c r="B190" s="7">
        <f t="shared" si="45"/>
        <v>2059</v>
      </c>
      <c r="C190" s="4" t="s">
        <v>31</v>
      </c>
      <c r="D190" s="5" t="s">
        <v>131</v>
      </c>
      <c r="E190" s="10" t="str">
        <f t="shared" si="43"/>
        <v>PRBNP'!</v>
      </c>
      <c r="F190" s="5" t="str">
        <f t="shared" si="44"/>
        <v>C:\Users\jaime.benazar\Quorum Business Solutions\Ecopetrol Prometeo - Documents\Planning Space Implementation\3. Analysis &amp; Design\Design\FC22\DRR Jaime\Neiva CPI\[VAO_DINA TERCIARIOS_CF_SEC_20230117.xlsx]CF PRBNP'!</v>
      </c>
      <c r="G190" s="7" t="s">
        <v>100</v>
      </c>
      <c r="H190" s="4"/>
      <c r="I190" s="4"/>
      <c r="J190" s="4"/>
    </row>
    <row r="191" spans="1:10" x14ac:dyDescent="0.3">
      <c r="A191" s="7" t="s">
        <v>26</v>
      </c>
      <c r="B191" s="7"/>
      <c r="C191" s="4" t="s">
        <v>31</v>
      </c>
      <c r="D191" s="5"/>
      <c r="E191" s="10"/>
      <c r="F191" s="5" t="str">
        <f t="shared" si="22"/>
        <v xml:space="preserve"> </v>
      </c>
      <c r="G191" s="7"/>
      <c r="H191" s="4"/>
      <c r="I191" s="4"/>
      <c r="J191" s="4"/>
    </row>
    <row r="192" spans="1:10" x14ac:dyDescent="0.3">
      <c r="A192" s="7" t="s">
        <v>19</v>
      </c>
      <c r="B192" s="7">
        <v>2023</v>
      </c>
      <c r="C192" s="4" t="s">
        <v>31</v>
      </c>
      <c r="D192" s="5" t="s">
        <v>131</v>
      </c>
      <c r="E192" s="10" t="str">
        <f t="shared" ref="E192:E212" si="46">_xlfn.CONCAT(A192,"'!")</f>
        <v>PRBND'!</v>
      </c>
      <c r="F192" s="5" t="str">
        <f t="shared" si="22"/>
        <v>C:\Users\jaime.benazar\Quorum Business Solutions\Ecopetrol Prometeo - Documents\Planning Space Implementation\3. Analysis &amp; Design\Design\FC22\DRR Jaime\Neiva CPI\[VAO_DINA TERCIARIOS_CF_SEC_20230117.xlsx]CF PRBND'!</v>
      </c>
      <c r="G192" s="7" t="s">
        <v>100</v>
      </c>
      <c r="H192" s="4"/>
      <c r="I192" s="4"/>
      <c r="J192" s="4"/>
    </row>
    <row r="193" spans="1:10" x14ac:dyDescent="0.3">
      <c r="A193" s="7" t="s">
        <v>19</v>
      </c>
      <c r="B193" s="7">
        <f>+B192+1</f>
        <v>2024</v>
      </c>
      <c r="C193" s="4" t="s">
        <v>31</v>
      </c>
      <c r="D193" s="5" t="s">
        <v>131</v>
      </c>
      <c r="E193" s="10" t="str">
        <f t="shared" si="46"/>
        <v>PRBND'!</v>
      </c>
      <c r="F193" s="5" t="str">
        <f t="shared" si="22"/>
        <v>C:\Users\jaime.benazar\Quorum Business Solutions\Ecopetrol Prometeo - Documents\Planning Space Implementation\3. Analysis &amp; Design\Design\FC22\DRR Jaime\Neiva CPI\[VAO_DINA TERCIARIOS_CF_SEC_20230117.xlsx]CF PRBND'!</v>
      </c>
      <c r="G193" s="7" t="s">
        <v>100</v>
      </c>
      <c r="H193" s="4"/>
      <c r="I193" s="4"/>
      <c r="J193" s="4"/>
    </row>
    <row r="194" spans="1:10" x14ac:dyDescent="0.3">
      <c r="A194" s="7" t="s">
        <v>19</v>
      </c>
      <c r="B194" s="7">
        <f t="shared" ref="B194:B205" si="47">+B193+1</f>
        <v>2025</v>
      </c>
      <c r="C194" s="4" t="s">
        <v>31</v>
      </c>
      <c r="D194" s="5" t="s">
        <v>131</v>
      </c>
      <c r="E194" s="10" t="str">
        <f t="shared" si="46"/>
        <v>PRBND'!</v>
      </c>
      <c r="F194" s="5" t="str">
        <f t="shared" si="22"/>
        <v>C:\Users\jaime.benazar\Quorum Business Solutions\Ecopetrol Prometeo - Documents\Planning Space Implementation\3. Analysis &amp; Design\Design\FC22\DRR Jaime\Neiva CPI\[VAO_DINA TERCIARIOS_CF_SEC_20230117.xlsx]CF PRBND'!</v>
      </c>
      <c r="G194" s="7" t="s">
        <v>100</v>
      </c>
      <c r="H194" s="4"/>
      <c r="I194" s="4"/>
      <c r="J194" s="4"/>
    </row>
    <row r="195" spans="1:10" x14ac:dyDescent="0.3">
      <c r="A195" s="7" t="s">
        <v>19</v>
      </c>
      <c r="B195" s="7">
        <f t="shared" si="47"/>
        <v>2026</v>
      </c>
      <c r="C195" s="4" t="s">
        <v>31</v>
      </c>
      <c r="D195" s="5" t="s">
        <v>131</v>
      </c>
      <c r="E195" s="10" t="str">
        <f t="shared" si="46"/>
        <v>PRBND'!</v>
      </c>
      <c r="F195" s="5" t="str">
        <f t="shared" si="22"/>
        <v>C:\Users\jaime.benazar\Quorum Business Solutions\Ecopetrol Prometeo - Documents\Planning Space Implementation\3. Analysis &amp; Design\Design\FC22\DRR Jaime\Neiva CPI\[VAO_DINA TERCIARIOS_CF_SEC_20230117.xlsx]CF PRBND'!</v>
      </c>
      <c r="G195" s="7" t="s">
        <v>100</v>
      </c>
      <c r="H195" s="4"/>
      <c r="I195" s="4"/>
      <c r="J195" s="4"/>
    </row>
    <row r="196" spans="1:10" x14ac:dyDescent="0.3">
      <c r="A196" s="7" t="s">
        <v>19</v>
      </c>
      <c r="B196" s="7">
        <f t="shared" si="47"/>
        <v>2027</v>
      </c>
      <c r="C196" s="4" t="s">
        <v>31</v>
      </c>
      <c r="D196" s="5" t="s">
        <v>131</v>
      </c>
      <c r="E196" s="10" t="str">
        <f t="shared" si="46"/>
        <v>PRBND'!</v>
      </c>
      <c r="F196" s="5" t="str">
        <f t="shared" si="22"/>
        <v>C:\Users\jaime.benazar\Quorum Business Solutions\Ecopetrol Prometeo - Documents\Planning Space Implementation\3. Analysis &amp; Design\Design\FC22\DRR Jaime\Neiva CPI\[VAO_DINA TERCIARIOS_CF_SEC_20230117.xlsx]CF PRBND'!</v>
      </c>
      <c r="G196" s="7" t="s">
        <v>100</v>
      </c>
      <c r="H196" s="4"/>
      <c r="I196" s="4"/>
      <c r="J196" s="4"/>
    </row>
    <row r="197" spans="1:10" x14ac:dyDescent="0.3">
      <c r="A197" s="7" t="s">
        <v>19</v>
      </c>
      <c r="B197" s="7">
        <f t="shared" si="47"/>
        <v>2028</v>
      </c>
      <c r="C197" s="4" t="s">
        <v>31</v>
      </c>
      <c r="D197" s="5" t="s">
        <v>131</v>
      </c>
      <c r="E197" s="10" t="str">
        <f t="shared" si="46"/>
        <v>PRBND'!</v>
      </c>
      <c r="F197" s="5" t="str">
        <f t="shared" si="22"/>
        <v>C:\Users\jaime.benazar\Quorum Business Solutions\Ecopetrol Prometeo - Documents\Planning Space Implementation\3. Analysis &amp; Design\Design\FC22\DRR Jaime\Neiva CPI\[VAO_DINA TERCIARIOS_CF_SEC_20230117.xlsx]CF PRBND'!</v>
      </c>
      <c r="G197" s="7" t="s">
        <v>100</v>
      </c>
      <c r="H197" s="4"/>
      <c r="I197" s="4"/>
      <c r="J197" s="4"/>
    </row>
    <row r="198" spans="1:10" x14ac:dyDescent="0.3">
      <c r="A198" s="7" t="s">
        <v>19</v>
      </c>
      <c r="B198" s="7">
        <f t="shared" si="47"/>
        <v>2029</v>
      </c>
      <c r="C198" s="4" t="s">
        <v>31</v>
      </c>
      <c r="D198" s="5" t="s">
        <v>131</v>
      </c>
      <c r="E198" s="10" t="str">
        <f t="shared" si="46"/>
        <v>PRBND'!</v>
      </c>
      <c r="F198" s="5" t="str">
        <f t="shared" si="22"/>
        <v>C:\Users\jaime.benazar\Quorum Business Solutions\Ecopetrol Prometeo - Documents\Planning Space Implementation\3. Analysis &amp; Design\Design\FC22\DRR Jaime\Neiva CPI\[VAO_DINA TERCIARIOS_CF_SEC_20230117.xlsx]CF PRBND'!</v>
      </c>
      <c r="G198" s="7" t="s">
        <v>100</v>
      </c>
      <c r="H198" s="4"/>
      <c r="I198" s="4"/>
      <c r="J198" s="4"/>
    </row>
    <row r="199" spans="1:10" x14ac:dyDescent="0.3">
      <c r="A199" s="7" t="s">
        <v>19</v>
      </c>
      <c r="B199" s="7">
        <f t="shared" si="47"/>
        <v>2030</v>
      </c>
      <c r="C199" s="4" t="s">
        <v>31</v>
      </c>
      <c r="D199" s="5" t="s">
        <v>131</v>
      </c>
      <c r="E199" s="10" t="str">
        <f t="shared" si="46"/>
        <v>PRBND'!</v>
      </c>
      <c r="F199" s="5" t="str">
        <f t="shared" si="22"/>
        <v>C:\Users\jaime.benazar\Quorum Business Solutions\Ecopetrol Prometeo - Documents\Planning Space Implementation\3. Analysis &amp; Design\Design\FC22\DRR Jaime\Neiva CPI\[VAO_DINA TERCIARIOS_CF_SEC_20230117.xlsx]CF PRBND'!</v>
      </c>
      <c r="G199" s="7" t="s">
        <v>100</v>
      </c>
      <c r="H199" s="4"/>
      <c r="I199" s="4"/>
      <c r="J199" s="4"/>
    </row>
    <row r="200" spans="1:10" x14ac:dyDescent="0.3">
      <c r="A200" s="7" t="s">
        <v>19</v>
      </c>
      <c r="B200" s="7">
        <f t="shared" si="47"/>
        <v>2031</v>
      </c>
      <c r="C200" s="4" t="s">
        <v>31</v>
      </c>
      <c r="D200" s="5" t="s">
        <v>131</v>
      </c>
      <c r="E200" s="10" t="str">
        <f t="shared" si="46"/>
        <v>PRBND'!</v>
      </c>
      <c r="F200" s="5" t="str">
        <f t="shared" si="22"/>
        <v>C:\Users\jaime.benazar\Quorum Business Solutions\Ecopetrol Prometeo - Documents\Planning Space Implementation\3. Analysis &amp; Design\Design\FC22\DRR Jaime\Neiva CPI\[VAO_DINA TERCIARIOS_CF_SEC_20230117.xlsx]CF PRBND'!</v>
      </c>
      <c r="G200" s="7" t="s">
        <v>100</v>
      </c>
      <c r="H200" s="4"/>
      <c r="I200" s="4"/>
      <c r="J200" s="4"/>
    </row>
    <row r="201" spans="1:10" x14ac:dyDescent="0.3">
      <c r="A201" s="7" t="s">
        <v>19</v>
      </c>
      <c r="B201" s="7">
        <f t="shared" si="47"/>
        <v>2032</v>
      </c>
      <c r="C201" s="4" t="s">
        <v>31</v>
      </c>
      <c r="D201" s="5" t="s">
        <v>131</v>
      </c>
      <c r="E201" s="10" t="str">
        <f t="shared" si="46"/>
        <v>PRBND'!</v>
      </c>
      <c r="F201" s="5" t="str">
        <f t="shared" ref="F201:F306" si="48">_xlfn.CONCAT(D201," ",E201)</f>
        <v>C:\Users\jaime.benazar\Quorum Business Solutions\Ecopetrol Prometeo - Documents\Planning Space Implementation\3. Analysis &amp; Design\Design\FC22\DRR Jaime\Neiva CPI\[VAO_DINA TERCIARIOS_CF_SEC_20230117.xlsx]CF PRBND'!</v>
      </c>
      <c r="G201" s="7" t="s">
        <v>100</v>
      </c>
      <c r="H201" s="4"/>
      <c r="I201" s="4"/>
      <c r="J201" s="4"/>
    </row>
    <row r="202" spans="1:10" x14ac:dyDescent="0.3">
      <c r="A202" s="7" t="s">
        <v>19</v>
      </c>
      <c r="B202" s="7">
        <f t="shared" si="47"/>
        <v>2033</v>
      </c>
      <c r="C202" s="4" t="s">
        <v>31</v>
      </c>
      <c r="D202" s="5" t="s">
        <v>131</v>
      </c>
      <c r="E202" s="10" t="str">
        <f t="shared" si="46"/>
        <v>PRBND'!</v>
      </c>
      <c r="F202" s="5" t="str">
        <f t="shared" si="48"/>
        <v>C:\Users\jaime.benazar\Quorum Business Solutions\Ecopetrol Prometeo - Documents\Planning Space Implementation\3. Analysis &amp; Design\Design\FC22\DRR Jaime\Neiva CPI\[VAO_DINA TERCIARIOS_CF_SEC_20230117.xlsx]CF PRBND'!</v>
      </c>
      <c r="G202" s="7" t="s">
        <v>100</v>
      </c>
      <c r="H202" s="4"/>
      <c r="I202" s="4"/>
      <c r="J202" s="4"/>
    </row>
    <row r="203" spans="1:10" x14ac:dyDescent="0.3">
      <c r="A203" s="7" t="s">
        <v>19</v>
      </c>
      <c r="B203" s="7">
        <f t="shared" si="47"/>
        <v>2034</v>
      </c>
      <c r="C203" s="4" t="s">
        <v>31</v>
      </c>
      <c r="D203" s="5" t="s">
        <v>131</v>
      </c>
      <c r="E203" s="10" t="str">
        <f t="shared" si="46"/>
        <v>PRBND'!</v>
      </c>
      <c r="F203" s="5" t="str">
        <f t="shared" si="48"/>
        <v>C:\Users\jaime.benazar\Quorum Business Solutions\Ecopetrol Prometeo - Documents\Planning Space Implementation\3. Analysis &amp; Design\Design\FC22\DRR Jaime\Neiva CPI\[VAO_DINA TERCIARIOS_CF_SEC_20230117.xlsx]CF PRBND'!</v>
      </c>
      <c r="G203" s="7" t="s">
        <v>100</v>
      </c>
      <c r="H203" s="4"/>
      <c r="I203" s="4"/>
      <c r="J203" s="4"/>
    </row>
    <row r="204" spans="1:10" x14ac:dyDescent="0.3">
      <c r="A204" s="7" t="s">
        <v>19</v>
      </c>
      <c r="B204" s="7">
        <f t="shared" si="47"/>
        <v>2035</v>
      </c>
      <c r="C204" s="4" t="s">
        <v>31</v>
      </c>
      <c r="D204" s="5" t="s">
        <v>131</v>
      </c>
      <c r="E204" s="10" t="str">
        <f t="shared" si="46"/>
        <v>PRBND'!</v>
      </c>
      <c r="F204" s="5" t="str">
        <f t="shared" si="48"/>
        <v>C:\Users\jaime.benazar\Quorum Business Solutions\Ecopetrol Prometeo - Documents\Planning Space Implementation\3. Analysis &amp; Design\Design\FC22\DRR Jaime\Neiva CPI\[VAO_DINA TERCIARIOS_CF_SEC_20230117.xlsx]CF PRBND'!</v>
      </c>
      <c r="G204" s="7" t="s">
        <v>100</v>
      </c>
      <c r="H204" s="4"/>
      <c r="I204" s="4"/>
      <c r="J204" s="4"/>
    </row>
    <row r="205" spans="1:10" x14ac:dyDescent="0.3">
      <c r="A205" s="7" t="s">
        <v>19</v>
      </c>
      <c r="B205" s="7">
        <f t="shared" si="47"/>
        <v>2036</v>
      </c>
      <c r="C205" s="4" t="s">
        <v>31</v>
      </c>
      <c r="D205" s="5" t="s">
        <v>131</v>
      </c>
      <c r="E205" s="10" t="str">
        <f t="shared" si="46"/>
        <v>PRBND'!</v>
      </c>
      <c r="F205" s="5" t="str">
        <f t="shared" si="48"/>
        <v>C:\Users\jaime.benazar\Quorum Business Solutions\Ecopetrol Prometeo - Documents\Planning Space Implementation\3. Analysis &amp; Design\Design\FC22\DRR Jaime\Neiva CPI\[VAO_DINA TERCIARIOS_CF_SEC_20230117.xlsx]CF PRBND'!</v>
      </c>
      <c r="G205" s="7" t="s">
        <v>100</v>
      </c>
      <c r="H205" s="4"/>
      <c r="I205" s="4"/>
      <c r="J205" s="4"/>
    </row>
    <row r="206" spans="1:10" x14ac:dyDescent="0.3">
      <c r="A206" s="7" t="s">
        <v>19</v>
      </c>
      <c r="B206" s="7">
        <f>+B205+1</f>
        <v>2037</v>
      </c>
      <c r="C206" s="4" t="s">
        <v>31</v>
      </c>
      <c r="D206" s="5" t="s">
        <v>131</v>
      </c>
      <c r="E206" s="10" t="str">
        <f t="shared" si="46"/>
        <v>PRBND'!</v>
      </c>
      <c r="F206" s="5" t="str">
        <f t="shared" si="48"/>
        <v>C:\Users\jaime.benazar\Quorum Business Solutions\Ecopetrol Prometeo - Documents\Planning Space Implementation\3. Analysis &amp; Design\Design\FC22\DRR Jaime\Neiva CPI\[VAO_DINA TERCIARIOS_CF_SEC_20230117.xlsx]CF PRBND'!</v>
      </c>
      <c r="G206" s="7" t="s">
        <v>100</v>
      </c>
      <c r="H206" s="4"/>
      <c r="I206" s="4"/>
      <c r="J206" s="4"/>
    </row>
    <row r="207" spans="1:10" x14ac:dyDescent="0.3">
      <c r="A207" s="7" t="s">
        <v>19</v>
      </c>
      <c r="B207" s="7">
        <f t="shared" ref="B207:B209" si="49">+B206+1</f>
        <v>2038</v>
      </c>
      <c r="C207" s="4" t="s">
        <v>31</v>
      </c>
      <c r="D207" s="5" t="s">
        <v>131</v>
      </c>
      <c r="E207" s="10" t="str">
        <f t="shared" si="46"/>
        <v>PRBND'!</v>
      </c>
      <c r="F207" s="5" t="str">
        <f t="shared" si="48"/>
        <v>C:\Users\jaime.benazar\Quorum Business Solutions\Ecopetrol Prometeo - Documents\Planning Space Implementation\3. Analysis &amp; Design\Design\FC22\DRR Jaime\Neiva CPI\[VAO_DINA TERCIARIOS_CF_SEC_20230117.xlsx]CF PRBND'!</v>
      </c>
      <c r="G207" s="7" t="s">
        <v>100</v>
      </c>
      <c r="H207" s="4"/>
      <c r="I207" s="4"/>
      <c r="J207" s="4"/>
    </row>
    <row r="208" spans="1:10" x14ac:dyDescent="0.3">
      <c r="A208" s="7" t="s">
        <v>19</v>
      </c>
      <c r="B208" s="7">
        <f t="shared" si="49"/>
        <v>2039</v>
      </c>
      <c r="C208" s="4" t="s">
        <v>31</v>
      </c>
      <c r="D208" s="5" t="s">
        <v>131</v>
      </c>
      <c r="E208" s="10" t="str">
        <f t="shared" si="46"/>
        <v>PRBND'!</v>
      </c>
      <c r="F208" s="5" t="str">
        <f t="shared" si="48"/>
        <v>C:\Users\jaime.benazar\Quorum Business Solutions\Ecopetrol Prometeo - Documents\Planning Space Implementation\3. Analysis &amp; Design\Design\FC22\DRR Jaime\Neiva CPI\[VAO_DINA TERCIARIOS_CF_SEC_20230117.xlsx]CF PRBND'!</v>
      </c>
      <c r="G208" s="7" t="s">
        <v>100</v>
      </c>
      <c r="H208" s="4"/>
      <c r="I208" s="4"/>
      <c r="J208" s="4"/>
    </row>
    <row r="209" spans="1:10" x14ac:dyDescent="0.3">
      <c r="A209" s="7" t="s">
        <v>19</v>
      </c>
      <c r="B209" s="7">
        <f t="shared" si="49"/>
        <v>2040</v>
      </c>
      <c r="C209" s="4" t="s">
        <v>31</v>
      </c>
      <c r="D209" s="5" t="s">
        <v>131</v>
      </c>
      <c r="E209" s="10" t="str">
        <f t="shared" si="46"/>
        <v>PRBND'!</v>
      </c>
      <c r="F209" s="5" t="str">
        <f t="shared" si="48"/>
        <v>C:\Users\jaime.benazar\Quorum Business Solutions\Ecopetrol Prometeo - Documents\Planning Space Implementation\3. Analysis &amp; Design\Design\FC22\DRR Jaime\Neiva CPI\[VAO_DINA TERCIARIOS_CF_SEC_20230117.xlsx]CF PRBND'!</v>
      </c>
      <c r="G209" s="7" t="s">
        <v>100</v>
      </c>
      <c r="H209" s="4"/>
      <c r="I209" s="4"/>
      <c r="J209" s="4"/>
    </row>
    <row r="210" spans="1:10" x14ac:dyDescent="0.3">
      <c r="A210" s="7" t="s">
        <v>19</v>
      </c>
      <c r="B210" s="7">
        <f>+B209+1</f>
        <v>2041</v>
      </c>
      <c r="C210" s="4" t="s">
        <v>31</v>
      </c>
      <c r="D210" s="5" t="s">
        <v>131</v>
      </c>
      <c r="E210" s="10" t="str">
        <f t="shared" si="46"/>
        <v>PRBND'!</v>
      </c>
      <c r="F210" s="5" t="str">
        <f t="shared" si="48"/>
        <v>C:\Users\jaime.benazar\Quorum Business Solutions\Ecopetrol Prometeo - Documents\Planning Space Implementation\3. Analysis &amp; Design\Design\FC22\DRR Jaime\Neiva CPI\[VAO_DINA TERCIARIOS_CF_SEC_20230117.xlsx]CF PRBND'!</v>
      </c>
      <c r="G210" s="7" t="s">
        <v>100</v>
      </c>
      <c r="H210" s="4"/>
      <c r="I210" s="4"/>
      <c r="J210" s="4"/>
    </row>
    <row r="211" spans="1:10" x14ac:dyDescent="0.3">
      <c r="A211" s="7" t="s">
        <v>19</v>
      </c>
      <c r="B211" s="7">
        <f t="shared" ref="B211:B212" si="50">+B210+1</f>
        <v>2042</v>
      </c>
      <c r="C211" s="4" t="s">
        <v>31</v>
      </c>
      <c r="D211" s="5" t="s">
        <v>131</v>
      </c>
      <c r="E211" s="10" t="str">
        <f t="shared" si="46"/>
        <v>PRBND'!</v>
      </c>
      <c r="F211" s="5" t="str">
        <f t="shared" si="48"/>
        <v>C:\Users\jaime.benazar\Quorum Business Solutions\Ecopetrol Prometeo - Documents\Planning Space Implementation\3. Analysis &amp; Design\Design\FC22\DRR Jaime\Neiva CPI\[VAO_DINA TERCIARIOS_CF_SEC_20230117.xlsx]CF PRBND'!</v>
      </c>
      <c r="G211" s="7" t="s">
        <v>100</v>
      </c>
      <c r="H211" s="4"/>
      <c r="I211" s="4"/>
      <c r="J211" s="4"/>
    </row>
    <row r="212" spans="1:10" x14ac:dyDescent="0.3">
      <c r="A212" s="7" t="s">
        <v>19</v>
      </c>
      <c r="B212" s="7">
        <f t="shared" si="50"/>
        <v>2043</v>
      </c>
      <c r="C212" s="4" t="s">
        <v>31</v>
      </c>
      <c r="D212" s="5" t="s">
        <v>131</v>
      </c>
      <c r="E212" s="10" t="str">
        <f t="shared" si="46"/>
        <v>PRBND'!</v>
      </c>
      <c r="F212" s="5" t="str">
        <f t="shared" si="48"/>
        <v>C:\Users\jaime.benazar\Quorum Business Solutions\Ecopetrol Prometeo - Documents\Planning Space Implementation\3. Analysis &amp; Design\Design\FC22\DRR Jaime\Neiva CPI\[VAO_DINA TERCIARIOS_CF_SEC_20230117.xlsx]CF PRBND'!</v>
      </c>
      <c r="G212" s="7" t="s">
        <v>100</v>
      </c>
      <c r="H212" s="4"/>
      <c r="I212" s="4"/>
      <c r="J212" s="4"/>
    </row>
    <row r="213" spans="1:10" x14ac:dyDescent="0.3">
      <c r="A213" s="7" t="s">
        <v>19</v>
      </c>
      <c r="B213" s="7">
        <f>+B212+1</f>
        <v>2044</v>
      </c>
      <c r="C213" s="4" t="s">
        <v>31</v>
      </c>
      <c r="D213" s="5" t="s">
        <v>131</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Jaime\Neiva CPI\[VAO_DINA TERCIARIOS_CF_SEC_20230117.xlsx]CF PRBND'!</v>
      </c>
      <c r="G213" s="7" t="s">
        <v>100</v>
      </c>
      <c r="H213" s="4"/>
      <c r="I213" s="4"/>
      <c r="J213" s="4"/>
    </row>
    <row r="214" spans="1:10" x14ac:dyDescent="0.3">
      <c r="A214" s="7" t="s">
        <v>19</v>
      </c>
      <c r="B214" s="7">
        <f t="shared" ref="B214:B228" si="53">+B213+1</f>
        <v>2045</v>
      </c>
      <c r="C214" s="4" t="s">
        <v>31</v>
      </c>
      <c r="D214" s="5" t="s">
        <v>131</v>
      </c>
      <c r="E214" s="10" t="str">
        <f t="shared" si="51"/>
        <v>PRBND'!</v>
      </c>
      <c r="F214" s="5" t="str">
        <f t="shared" si="52"/>
        <v>C:\Users\jaime.benazar\Quorum Business Solutions\Ecopetrol Prometeo - Documents\Planning Space Implementation\3. Analysis &amp; Design\Design\FC22\DRR Jaime\Neiva CPI\[VAO_DINA TERCIARIOS_CF_SEC_20230117.xlsx]CF PRBND'!</v>
      </c>
      <c r="G214" s="7" t="s">
        <v>100</v>
      </c>
      <c r="H214" s="4"/>
      <c r="I214" s="4"/>
      <c r="J214" s="4"/>
    </row>
    <row r="215" spans="1:10" x14ac:dyDescent="0.3">
      <c r="A215" s="7" t="s">
        <v>19</v>
      </c>
      <c r="B215" s="7">
        <f t="shared" si="53"/>
        <v>2046</v>
      </c>
      <c r="C215" s="4" t="s">
        <v>31</v>
      </c>
      <c r="D215" s="5" t="s">
        <v>131</v>
      </c>
      <c r="E215" s="10" t="str">
        <f t="shared" si="51"/>
        <v>PRBND'!</v>
      </c>
      <c r="F215" s="5" t="str">
        <f t="shared" si="52"/>
        <v>C:\Users\jaime.benazar\Quorum Business Solutions\Ecopetrol Prometeo - Documents\Planning Space Implementation\3. Analysis &amp; Design\Design\FC22\DRR Jaime\Neiva CPI\[VAO_DINA TERCIARIOS_CF_SEC_20230117.xlsx]CF PRBND'!</v>
      </c>
      <c r="G215" s="7" t="s">
        <v>100</v>
      </c>
      <c r="H215" s="4"/>
      <c r="I215" s="4"/>
      <c r="J215" s="4"/>
    </row>
    <row r="216" spans="1:10" x14ac:dyDescent="0.3">
      <c r="A216" s="7" t="s">
        <v>19</v>
      </c>
      <c r="B216" s="7">
        <f t="shared" si="53"/>
        <v>2047</v>
      </c>
      <c r="C216" s="4" t="s">
        <v>31</v>
      </c>
      <c r="D216" s="5" t="s">
        <v>131</v>
      </c>
      <c r="E216" s="10" t="str">
        <f t="shared" si="51"/>
        <v>PRBND'!</v>
      </c>
      <c r="F216" s="5" t="str">
        <f t="shared" si="52"/>
        <v>C:\Users\jaime.benazar\Quorum Business Solutions\Ecopetrol Prometeo - Documents\Planning Space Implementation\3. Analysis &amp; Design\Design\FC22\DRR Jaime\Neiva CPI\[VAO_DINA TERCIARIOS_CF_SEC_20230117.xlsx]CF PRBND'!</v>
      </c>
      <c r="G216" s="7" t="s">
        <v>100</v>
      </c>
      <c r="H216" s="4"/>
      <c r="I216" s="4"/>
      <c r="J216" s="4"/>
    </row>
    <row r="217" spans="1:10" x14ac:dyDescent="0.3">
      <c r="A217" s="7" t="s">
        <v>19</v>
      </c>
      <c r="B217" s="7">
        <f t="shared" si="53"/>
        <v>2048</v>
      </c>
      <c r="C217" s="4" t="s">
        <v>31</v>
      </c>
      <c r="D217" s="5" t="s">
        <v>131</v>
      </c>
      <c r="E217" s="10" t="str">
        <f t="shared" si="51"/>
        <v>PRBND'!</v>
      </c>
      <c r="F217" s="5" t="str">
        <f t="shared" si="52"/>
        <v>C:\Users\jaime.benazar\Quorum Business Solutions\Ecopetrol Prometeo - Documents\Planning Space Implementation\3. Analysis &amp; Design\Design\FC22\DRR Jaime\Neiva CPI\[VAO_DINA TERCIARIOS_CF_SEC_20230117.xlsx]CF PRBND'!</v>
      </c>
      <c r="G217" s="7" t="s">
        <v>100</v>
      </c>
      <c r="H217" s="4"/>
      <c r="I217" s="4"/>
      <c r="J217" s="4"/>
    </row>
    <row r="218" spans="1:10" x14ac:dyDescent="0.3">
      <c r="A218" s="7" t="s">
        <v>19</v>
      </c>
      <c r="B218" s="7">
        <f t="shared" si="53"/>
        <v>2049</v>
      </c>
      <c r="C218" s="4" t="s">
        <v>31</v>
      </c>
      <c r="D218" s="5" t="s">
        <v>131</v>
      </c>
      <c r="E218" s="10" t="str">
        <f t="shared" si="51"/>
        <v>PRBND'!</v>
      </c>
      <c r="F218" s="5" t="str">
        <f t="shared" si="52"/>
        <v>C:\Users\jaime.benazar\Quorum Business Solutions\Ecopetrol Prometeo - Documents\Planning Space Implementation\3. Analysis &amp; Design\Design\FC22\DRR Jaime\Neiva CPI\[VAO_DINA TERCIARIOS_CF_SEC_20230117.xlsx]CF PRBND'!</v>
      </c>
      <c r="G218" s="7" t="s">
        <v>100</v>
      </c>
      <c r="H218" s="4"/>
      <c r="I218" s="4"/>
      <c r="J218" s="4"/>
    </row>
    <row r="219" spans="1:10" x14ac:dyDescent="0.3">
      <c r="A219" s="7" t="s">
        <v>19</v>
      </c>
      <c r="B219" s="7">
        <f t="shared" si="53"/>
        <v>2050</v>
      </c>
      <c r="C219" s="4" t="s">
        <v>31</v>
      </c>
      <c r="D219" s="5" t="s">
        <v>131</v>
      </c>
      <c r="E219" s="10" t="str">
        <f t="shared" si="51"/>
        <v>PRBND'!</v>
      </c>
      <c r="F219" s="5" t="str">
        <f t="shared" si="52"/>
        <v>C:\Users\jaime.benazar\Quorum Business Solutions\Ecopetrol Prometeo - Documents\Planning Space Implementation\3. Analysis &amp; Design\Design\FC22\DRR Jaime\Neiva CPI\[VAO_DINA TERCIARIOS_CF_SEC_20230117.xlsx]CF PRBND'!</v>
      </c>
      <c r="G219" s="7" t="s">
        <v>100</v>
      </c>
      <c r="H219" s="4"/>
      <c r="I219" s="4"/>
      <c r="J219" s="4"/>
    </row>
    <row r="220" spans="1:10" x14ac:dyDescent="0.3">
      <c r="A220" s="7" t="s">
        <v>19</v>
      </c>
      <c r="B220" s="7">
        <f t="shared" si="53"/>
        <v>2051</v>
      </c>
      <c r="C220" s="4" t="s">
        <v>31</v>
      </c>
      <c r="D220" s="5" t="s">
        <v>131</v>
      </c>
      <c r="E220" s="10" t="str">
        <f t="shared" si="51"/>
        <v>PRBND'!</v>
      </c>
      <c r="F220" s="5" t="str">
        <f t="shared" si="52"/>
        <v>C:\Users\jaime.benazar\Quorum Business Solutions\Ecopetrol Prometeo - Documents\Planning Space Implementation\3. Analysis &amp; Design\Design\FC22\DRR Jaime\Neiva CPI\[VAO_DINA TERCIARIOS_CF_SEC_20230117.xlsx]CF PRBND'!</v>
      </c>
      <c r="G220" s="7" t="s">
        <v>100</v>
      </c>
      <c r="H220" s="4"/>
      <c r="I220" s="4"/>
      <c r="J220" s="4"/>
    </row>
    <row r="221" spans="1:10" x14ac:dyDescent="0.3">
      <c r="A221" s="7" t="s">
        <v>19</v>
      </c>
      <c r="B221" s="7">
        <f t="shared" si="53"/>
        <v>2052</v>
      </c>
      <c r="C221" s="4" t="s">
        <v>31</v>
      </c>
      <c r="D221" s="5" t="s">
        <v>131</v>
      </c>
      <c r="E221" s="10" t="str">
        <f t="shared" si="51"/>
        <v>PRBND'!</v>
      </c>
      <c r="F221" s="5" t="str">
        <f t="shared" si="52"/>
        <v>C:\Users\jaime.benazar\Quorum Business Solutions\Ecopetrol Prometeo - Documents\Planning Space Implementation\3. Analysis &amp; Design\Design\FC22\DRR Jaime\Neiva CPI\[VAO_DINA TERCIARIOS_CF_SEC_20230117.xlsx]CF PRBND'!</v>
      </c>
      <c r="G221" s="7" t="s">
        <v>100</v>
      </c>
      <c r="H221" s="4"/>
      <c r="I221" s="4"/>
      <c r="J221" s="4"/>
    </row>
    <row r="222" spans="1:10" x14ac:dyDescent="0.3">
      <c r="A222" s="7" t="s">
        <v>19</v>
      </c>
      <c r="B222" s="7">
        <f t="shared" si="53"/>
        <v>2053</v>
      </c>
      <c r="C222" s="4" t="s">
        <v>31</v>
      </c>
      <c r="D222" s="5" t="s">
        <v>131</v>
      </c>
      <c r="E222" s="10" t="str">
        <f t="shared" si="51"/>
        <v>PRBND'!</v>
      </c>
      <c r="F222" s="5" t="str">
        <f t="shared" si="52"/>
        <v>C:\Users\jaime.benazar\Quorum Business Solutions\Ecopetrol Prometeo - Documents\Planning Space Implementation\3. Analysis &amp; Design\Design\FC22\DRR Jaime\Neiva CPI\[VAO_DINA TERCIARIOS_CF_SEC_20230117.xlsx]CF PRBND'!</v>
      </c>
      <c r="G222" s="7" t="s">
        <v>100</v>
      </c>
      <c r="H222" s="4"/>
      <c r="I222" s="4"/>
      <c r="J222" s="4"/>
    </row>
    <row r="223" spans="1:10" x14ac:dyDescent="0.3">
      <c r="A223" s="7" t="s">
        <v>19</v>
      </c>
      <c r="B223" s="7">
        <f t="shared" si="53"/>
        <v>2054</v>
      </c>
      <c r="C223" s="4" t="s">
        <v>31</v>
      </c>
      <c r="D223" s="5" t="s">
        <v>131</v>
      </c>
      <c r="E223" s="10" t="str">
        <f t="shared" si="51"/>
        <v>PRBND'!</v>
      </c>
      <c r="F223" s="5" t="str">
        <f t="shared" si="52"/>
        <v>C:\Users\jaime.benazar\Quorum Business Solutions\Ecopetrol Prometeo - Documents\Planning Space Implementation\3. Analysis &amp; Design\Design\FC22\DRR Jaime\Neiva CPI\[VAO_DINA TERCIARIOS_CF_SEC_20230117.xlsx]CF PRBND'!</v>
      </c>
      <c r="G223" s="7" t="s">
        <v>100</v>
      </c>
      <c r="H223" s="4"/>
      <c r="I223" s="4"/>
      <c r="J223" s="4"/>
    </row>
    <row r="224" spans="1:10" x14ac:dyDescent="0.3">
      <c r="A224" s="7" t="s">
        <v>19</v>
      </c>
      <c r="B224" s="7">
        <f t="shared" si="53"/>
        <v>2055</v>
      </c>
      <c r="C224" s="4" t="s">
        <v>31</v>
      </c>
      <c r="D224" s="5" t="s">
        <v>131</v>
      </c>
      <c r="E224" s="10" t="str">
        <f t="shared" si="51"/>
        <v>PRBND'!</v>
      </c>
      <c r="F224" s="5" t="str">
        <f t="shared" si="52"/>
        <v>C:\Users\jaime.benazar\Quorum Business Solutions\Ecopetrol Prometeo - Documents\Planning Space Implementation\3. Analysis &amp; Design\Design\FC22\DRR Jaime\Neiva CPI\[VAO_DINA TERCIARIOS_CF_SEC_20230117.xlsx]CF PRBND'!</v>
      </c>
      <c r="G224" s="7" t="s">
        <v>100</v>
      </c>
      <c r="H224" s="4"/>
      <c r="I224" s="4"/>
      <c r="J224" s="4"/>
    </row>
    <row r="225" spans="1:10" x14ac:dyDescent="0.3">
      <c r="A225" s="7" t="s">
        <v>19</v>
      </c>
      <c r="B225" s="7">
        <f t="shared" si="53"/>
        <v>2056</v>
      </c>
      <c r="C225" s="4" t="s">
        <v>31</v>
      </c>
      <c r="D225" s="5" t="s">
        <v>131</v>
      </c>
      <c r="E225" s="10" t="str">
        <f t="shared" si="51"/>
        <v>PRBND'!</v>
      </c>
      <c r="F225" s="5" t="str">
        <f t="shared" si="52"/>
        <v>C:\Users\jaime.benazar\Quorum Business Solutions\Ecopetrol Prometeo - Documents\Planning Space Implementation\3. Analysis &amp; Design\Design\FC22\DRR Jaime\Neiva CPI\[VAO_DINA TERCIARIOS_CF_SEC_20230117.xlsx]CF PRBND'!</v>
      </c>
      <c r="G225" s="7" t="s">
        <v>100</v>
      </c>
      <c r="H225" s="4"/>
      <c r="I225" s="4"/>
      <c r="J225" s="4"/>
    </row>
    <row r="226" spans="1:10" x14ac:dyDescent="0.3">
      <c r="A226" s="7" t="s">
        <v>19</v>
      </c>
      <c r="B226" s="7">
        <f t="shared" si="53"/>
        <v>2057</v>
      </c>
      <c r="C226" s="4" t="s">
        <v>31</v>
      </c>
      <c r="D226" s="5" t="s">
        <v>131</v>
      </c>
      <c r="E226" s="10" t="str">
        <f t="shared" si="51"/>
        <v>PRBND'!</v>
      </c>
      <c r="F226" s="5" t="str">
        <f t="shared" si="52"/>
        <v>C:\Users\jaime.benazar\Quorum Business Solutions\Ecopetrol Prometeo - Documents\Planning Space Implementation\3. Analysis &amp; Design\Design\FC22\DRR Jaime\Neiva CPI\[VAO_DINA TERCIARIOS_CF_SEC_20230117.xlsx]CF PRBND'!</v>
      </c>
      <c r="G226" s="7" t="s">
        <v>100</v>
      </c>
      <c r="H226" s="4"/>
      <c r="I226" s="4"/>
      <c r="J226" s="4"/>
    </row>
    <row r="227" spans="1:10" x14ac:dyDescent="0.3">
      <c r="A227" s="7" t="s">
        <v>19</v>
      </c>
      <c r="B227" s="7">
        <f t="shared" si="53"/>
        <v>2058</v>
      </c>
      <c r="C227" s="4" t="s">
        <v>31</v>
      </c>
      <c r="D227" s="5" t="s">
        <v>131</v>
      </c>
      <c r="E227" s="10" t="str">
        <f t="shared" si="51"/>
        <v>PRBND'!</v>
      </c>
      <c r="F227" s="5" t="str">
        <f t="shared" si="52"/>
        <v>C:\Users\jaime.benazar\Quorum Business Solutions\Ecopetrol Prometeo - Documents\Planning Space Implementation\3. Analysis &amp; Design\Design\FC22\DRR Jaime\Neiva CPI\[VAO_DINA TERCIARIOS_CF_SEC_20230117.xlsx]CF PRBND'!</v>
      </c>
      <c r="G227" s="7" t="s">
        <v>100</v>
      </c>
      <c r="H227" s="4"/>
      <c r="I227" s="4"/>
      <c r="J227" s="4"/>
    </row>
    <row r="228" spans="1:10" x14ac:dyDescent="0.3">
      <c r="A228" s="7" t="s">
        <v>19</v>
      </c>
      <c r="B228" s="7">
        <f t="shared" si="53"/>
        <v>2059</v>
      </c>
      <c r="C228" s="4" t="s">
        <v>31</v>
      </c>
      <c r="D228" s="5" t="s">
        <v>131</v>
      </c>
      <c r="E228" s="10" t="str">
        <f t="shared" si="51"/>
        <v>PRBND'!</v>
      </c>
      <c r="F228" s="5" t="str">
        <f t="shared" si="52"/>
        <v>C:\Users\jaime.benazar\Quorum Business Solutions\Ecopetrol Prometeo - Documents\Planning Space Implementation\3. Analysis &amp; Design\Design\FC22\DRR Jaime\Neiva CPI\[VAO_DINA TERCIARIOS_CF_SEC_20230117.xlsx]CF PRBND'!</v>
      </c>
      <c r="G228" s="7" t="s">
        <v>100</v>
      </c>
      <c r="H228" s="4"/>
      <c r="I228" s="4"/>
      <c r="J228" s="4"/>
    </row>
    <row r="229" spans="1:10" x14ac:dyDescent="0.3">
      <c r="A229" s="7" t="s">
        <v>26</v>
      </c>
      <c r="B229" s="7"/>
      <c r="C229" s="4" t="s">
        <v>31</v>
      </c>
      <c r="D229" s="5"/>
      <c r="E229" s="10" t="str">
        <f t="shared" ref="E229" si="54">_xlfn.CONCAT(A229,"'!")</f>
        <v>Total'!</v>
      </c>
      <c r="F229" s="5" t="str">
        <f t="shared" ref="F229" si="55">_xlfn.CONCAT(D229," ",E229)</f>
        <v xml:space="preserve"> Total'!</v>
      </c>
      <c r="G229" s="7" t="s">
        <v>100</v>
      </c>
      <c r="H229" s="4"/>
      <c r="I229" s="4"/>
      <c r="J229" s="4"/>
    </row>
    <row r="230" spans="1:10" x14ac:dyDescent="0.3">
      <c r="A230" s="7" t="s">
        <v>20</v>
      </c>
      <c r="B230" s="7">
        <v>2023</v>
      </c>
      <c r="C230" s="4" t="s">
        <v>31</v>
      </c>
      <c r="D230" s="5" t="s">
        <v>131</v>
      </c>
      <c r="E230" s="10" t="str">
        <f t="shared" si="24"/>
        <v>PRB'!</v>
      </c>
      <c r="F230" s="5" t="str">
        <f t="shared" si="48"/>
        <v>C:\Users\jaime.benazar\Quorum Business Solutions\Ecopetrol Prometeo - Documents\Planning Space Implementation\3. Analysis &amp; Design\Design\FC22\DRR Jaime\Neiva CPI\[VAO_DINA TERCIARIOS_CF_SEC_20230117.xlsx]CF PRB'!</v>
      </c>
      <c r="G230" s="7" t="s">
        <v>100</v>
      </c>
      <c r="H230" s="4">
        <f>IF(A230&lt;&gt;A100,36,H100+1)</f>
        <v>36</v>
      </c>
      <c r="I230" s="4" t="str">
        <f t="shared" si="25"/>
        <v>='C:\Users\jaime.benazar\Quorum Business Solutions\Ecopetrol Prometeo - Documents\Planning Space Implementation\3. Analysis &amp; Design\Design\FC22\DRR Jaime\Neiva CPI\[VAO_DINA TERCIARIOS_CF_SEC_20230117.xlsx]CF PRB'!$AY$36</v>
      </c>
      <c r="J230" s="4" t="s">
        <v>243</v>
      </c>
    </row>
    <row r="231" spans="1:10" x14ac:dyDescent="0.3">
      <c r="A231" s="7" t="s">
        <v>20</v>
      </c>
      <c r="B231" s="7">
        <f>+B230+1</f>
        <v>2024</v>
      </c>
      <c r="C231" s="4" t="s">
        <v>31</v>
      </c>
      <c r="D231" s="5" t="s">
        <v>131</v>
      </c>
      <c r="E231" s="10" t="str">
        <f t="shared" si="24"/>
        <v>PRB'!</v>
      </c>
      <c r="F231" s="5" t="str">
        <f t="shared" si="48"/>
        <v>C:\Users\jaime.benazar\Quorum Business Solutions\Ecopetrol Prometeo - Documents\Planning Space Implementation\3. Analysis &amp; Design\Design\FC22\DRR Jaime\Neiva CPI\[VAO_DINA TERCIARIOS_CF_SEC_20230117.xlsx]CF PRB'!</v>
      </c>
      <c r="G231" s="7" t="s">
        <v>100</v>
      </c>
      <c r="H231" s="4">
        <f t="shared" si="26"/>
        <v>37</v>
      </c>
      <c r="I231" s="4" t="str">
        <f t="shared" si="25"/>
        <v>='C:\Users\jaime.benazar\Quorum Business Solutions\Ecopetrol Prometeo - Documents\Planning Space Implementation\3. Analysis &amp; Design\Design\FC22\DRR Jaime\Neiva CPI\[VAO_DINA TERCIARIOS_CF_SEC_20230117.xlsx]CF PRB'!$AY$37</v>
      </c>
      <c r="J231" s="4" t="s">
        <v>244</v>
      </c>
    </row>
    <row r="232" spans="1:10" x14ac:dyDescent="0.3">
      <c r="A232" s="7" t="s">
        <v>20</v>
      </c>
      <c r="B232" s="7">
        <f t="shared" ref="B232:B243" si="56">+B231+1</f>
        <v>2025</v>
      </c>
      <c r="C232" s="4" t="s">
        <v>31</v>
      </c>
      <c r="D232" s="5" t="s">
        <v>131</v>
      </c>
      <c r="E232" s="10" t="str">
        <f t="shared" si="24"/>
        <v>PRB'!</v>
      </c>
      <c r="F232" s="5" t="str">
        <f t="shared" si="48"/>
        <v>C:\Users\jaime.benazar\Quorum Business Solutions\Ecopetrol Prometeo - Documents\Planning Space Implementation\3. Analysis &amp; Design\Design\FC22\DRR Jaime\Neiva CPI\[VAO_DINA TERCIARIOS_CF_SEC_20230117.xlsx]CF PRB'!</v>
      </c>
      <c r="G232" s="7" t="s">
        <v>100</v>
      </c>
      <c r="H232" s="4">
        <f t="shared" si="26"/>
        <v>38</v>
      </c>
      <c r="I232" s="4" t="str">
        <f t="shared" si="25"/>
        <v>='C:\Users\jaime.benazar\Quorum Business Solutions\Ecopetrol Prometeo - Documents\Planning Space Implementation\3. Analysis &amp; Design\Design\FC22\DRR Jaime\Neiva CPI\[VAO_DINA TERCIARIOS_CF_SEC_20230117.xlsx]CF PRB'!$AY$38</v>
      </c>
      <c r="J232" s="4" t="s">
        <v>245</v>
      </c>
    </row>
    <row r="233" spans="1:10" x14ac:dyDescent="0.3">
      <c r="A233" s="7" t="s">
        <v>20</v>
      </c>
      <c r="B233" s="7">
        <f t="shared" si="56"/>
        <v>2026</v>
      </c>
      <c r="C233" s="4" t="s">
        <v>31</v>
      </c>
      <c r="D233" s="5" t="s">
        <v>131</v>
      </c>
      <c r="E233" s="10" t="str">
        <f t="shared" si="24"/>
        <v>PRB'!</v>
      </c>
      <c r="F233" s="5" t="str">
        <f t="shared" si="48"/>
        <v>C:\Users\jaime.benazar\Quorum Business Solutions\Ecopetrol Prometeo - Documents\Planning Space Implementation\3. Analysis &amp; Design\Design\FC22\DRR Jaime\Neiva CPI\[VAO_DINA TERCIARIOS_CF_SEC_20230117.xlsx]CF PRB'!</v>
      </c>
      <c r="G233" s="7" t="s">
        <v>100</v>
      </c>
      <c r="H233" s="4">
        <f t="shared" si="26"/>
        <v>39</v>
      </c>
      <c r="I233" s="4" t="str">
        <f t="shared" si="25"/>
        <v>='C:\Users\jaime.benazar\Quorum Business Solutions\Ecopetrol Prometeo - Documents\Planning Space Implementation\3. Analysis &amp; Design\Design\FC22\DRR Jaime\Neiva CPI\[VAO_DINA TERCIARIOS_CF_SEC_20230117.xlsx]CF PRB'!$AY$39</v>
      </c>
      <c r="J233" s="4" t="s">
        <v>246</v>
      </c>
    </row>
    <row r="234" spans="1:10" x14ac:dyDescent="0.3">
      <c r="A234" s="7" t="s">
        <v>20</v>
      </c>
      <c r="B234" s="7">
        <f t="shared" si="56"/>
        <v>2027</v>
      </c>
      <c r="C234" s="4" t="s">
        <v>31</v>
      </c>
      <c r="D234" s="5" t="s">
        <v>131</v>
      </c>
      <c r="E234" s="10" t="str">
        <f t="shared" si="24"/>
        <v>PRB'!</v>
      </c>
      <c r="F234" s="5" t="str">
        <f t="shared" si="48"/>
        <v>C:\Users\jaime.benazar\Quorum Business Solutions\Ecopetrol Prometeo - Documents\Planning Space Implementation\3. Analysis &amp; Design\Design\FC22\DRR Jaime\Neiva CPI\[VAO_DINA TERCIARIOS_CF_SEC_20230117.xlsx]CF PRB'!</v>
      </c>
      <c r="G234" s="7" t="s">
        <v>100</v>
      </c>
      <c r="H234" s="4">
        <f t="shared" si="26"/>
        <v>40</v>
      </c>
      <c r="I234" s="4" t="str">
        <f t="shared" si="25"/>
        <v>='C:\Users\jaime.benazar\Quorum Business Solutions\Ecopetrol Prometeo - Documents\Planning Space Implementation\3. Analysis &amp; Design\Design\FC22\DRR Jaime\Neiva CPI\[VAO_DINA TERCIARIOS_CF_SEC_20230117.xlsx]CF PRB'!$AY$40</v>
      </c>
      <c r="J234" s="4" t="s">
        <v>247</v>
      </c>
    </row>
    <row r="235" spans="1:10" x14ac:dyDescent="0.3">
      <c r="A235" s="7" t="s">
        <v>20</v>
      </c>
      <c r="B235" s="7">
        <f t="shared" si="56"/>
        <v>2028</v>
      </c>
      <c r="C235" s="4" t="s">
        <v>31</v>
      </c>
      <c r="D235" s="5" t="s">
        <v>131</v>
      </c>
      <c r="E235" s="10" t="str">
        <f t="shared" si="24"/>
        <v>PRB'!</v>
      </c>
      <c r="F235" s="5" t="str">
        <f t="shared" si="48"/>
        <v>C:\Users\jaime.benazar\Quorum Business Solutions\Ecopetrol Prometeo - Documents\Planning Space Implementation\3. Analysis &amp; Design\Design\FC22\DRR Jaime\Neiva CPI\[VAO_DINA TERCIARIOS_CF_SEC_20230117.xlsx]CF PRB'!</v>
      </c>
      <c r="G235" s="7" t="s">
        <v>100</v>
      </c>
      <c r="H235" s="4">
        <f t="shared" si="26"/>
        <v>41</v>
      </c>
      <c r="I235" s="4" t="str">
        <f t="shared" si="25"/>
        <v>='C:\Users\jaime.benazar\Quorum Business Solutions\Ecopetrol Prometeo - Documents\Planning Space Implementation\3. Analysis &amp; Design\Design\FC22\DRR Jaime\Neiva CPI\[VAO_DINA TERCIARIOS_CF_SEC_20230117.xlsx]CF PRB'!$AY$41</v>
      </c>
      <c r="J235" s="4" t="s">
        <v>248</v>
      </c>
    </row>
    <row r="236" spans="1:10" x14ac:dyDescent="0.3">
      <c r="A236" s="7" t="s">
        <v>20</v>
      </c>
      <c r="B236" s="7">
        <f t="shared" si="56"/>
        <v>2029</v>
      </c>
      <c r="C236" s="4" t="s">
        <v>31</v>
      </c>
      <c r="D236" s="5" t="s">
        <v>131</v>
      </c>
      <c r="E236" s="10" t="str">
        <f t="shared" si="24"/>
        <v>PRB'!</v>
      </c>
      <c r="F236" s="5" t="str">
        <f t="shared" si="48"/>
        <v>C:\Users\jaime.benazar\Quorum Business Solutions\Ecopetrol Prometeo - Documents\Planning Space Implementation\3. Analysis &amp; Design\Design\FC22\DRR Jaime\Neiva CPI\[VAO_DINA TERCIARIOS_CF_SEC_20230117.xlsx]CF PRB'!</v>
      </c>
      <c r="G236" s="7" t="s">
        <v>100</v>
      </c>
      <c r="H236" s="4">
        <f t="shared" si="26"/>
        <v>42</v>
      </c>
      <c r="I236" s="4" t="str">
        <f t="shared" si="25"/>
        <v>='C:\Users\jaime.benazar\Quorum Business Solutions\Ecopetrol Prometeo - Documents\Planning Space Implementation\3. Analysis &amp; Design\Design\FC22\DRR Jaime\Neiva CPI\[VAO_DINA TERCIARIOS_CF_SEC_20230117.xlsx]CF PRB'!$AY$42</v>
      </c>
      <c r="J236" s="4" t="s">
        <v>249</v>
      </c>
    </row>
    <row r="237" spans="1:10" x14ac:dyDescent="0.3">
      <c r="A237" s="7" t="s">
        <v>20</v>
      </c>
      <c r="B237" s="7">
        <f t="shared" si="56"/>
        <v>2030</v>
      </c>
      <c r="C237" s="4" t="s">
        <v>31</v>
      </c>
      <c r="D237" s="5" t="s">
        <v>131</v>
      </c>
      <c r="E237" s="10" t="str">
        <f t="shared" si="24"/>
        <v>PRB'!</v>
      </c>
      <c r="F237" s="5" t="str">
        <f t="shared" si="48"/>
        <v>C:\Users\jaime.benazar\Quorum Business Solutions\Ecopetrol Prometeo - Documents\Planning Space Implementation\3. Analysis &amp; Design\Design\FC22\DRR Jaime\Neiva CPI\[VAO_DINA TERCIARIOS_CF_SEC_20230117.xlsx]CF PRB'!</v>
      </c>
      <c r="G237" s="7" t="s">
        <v>100</v>
      </c>
      <c r="H237" s="4">
        <f t="shared" si="26"/>
        <v>43</v>
      </c>
      <c r="I237" s="4" t="str">
        <f t="shared" si="25"/>
        <v>='C:\Users\jaime.benazar\Quorum Business Solutions\Ecopetrol Prometeo - Documents\Planning Space Implementation\3. Analysis &amp; Design\Design\FC22\DRR Jaime\Neiva CPI\[VAO_DINA TERCIARIOS_CF_SEC_20230117.xlsx]CF PRB'!$AY$43</v>
      </c>
      <c r="J237" s="4" t="s">
        <v>250</v>
      </c>
    </row>
    <row r="238" spans="1:10" x14ac:dyDescent="0.3">
      <c r="A238" s="7" t="s">
        <v>20</v>
      </c>
      <c r="B238" s="7">
        <f t="shared" si="56"/>
        <v>2031</v>
      </c>
      <c r="C238" s="4" t="s">
        <v>31</v>
      </c>
      <c r="D238" s="5" t="s">
        <v>131</v>
      </c>
      <c r="E238" s="10" t="str">
        <f t="shared" si="24"/>
        <v>PRB'!</v>
      </c>
      <c r="F238" s="5" t="str">
        <f t="shared" si="48"/>
        <v>C:\Users\jaime.benazar\Quorum Business Solutions\Ecopetrol Prometeo - Documents\Planning Space Implementation\3. Analysis &amp; Design\Design\FC22\DRR Jaime\Neiva CPI\[VAO_DINA TERCIARIOS_CF_SEC_20230117.xlsx]CF PRB'!</v>
      </c>
      <c r="G238" s="7" t="s">
        <v>100</v>
      </c>
      <c r="H238" s="4">
        <f t="shared" si="26"/>
        <v>44</v>
      </c>
      <c r="I238" s="4" t="str">
        <f t="shared" si="25"/>
        <v>='C:\Users\jaime.benazar\Quorum Business Solutions\Ecopetrol Prometeo - Documents\Planning Space Implementation\3. Analysis &amp; Design\Design\FC22\DRR Jaime\Neiva CPI\[VAO_DINA TERCIARIOS_CF_SEC_20230117.xlsx]CF PRB'!$AY$44</v>
      </c>
      <c r="J238" s="4" t="s">
        <v>251</v>
      </c>
    </row>
    <row r="239" spans="1:10" x14ac:dyDescent="0.3">
      <c r="A239" s="7" t="s">
        <v>20</v>
      </c>
      <c r="B239" s="7">
        <f t="shared" si="56"/>
        <v>2032</v>
      </c>
      <c r="C239" s="4" t="s">
        <v>31</v>
      </c>
      <c r="D239" s="5" t="s">
        <v>131</v>
      </c>
      <c r="E239" s="10" t="str">
        <f t="shared" si="24"/>
        <v>PRB'!</v>
      </c>
      <c r="F239" s="5" t="str">
        <f t="shared" si="48"/>
        <v>C:\Users\jaime.benazar\Quorum Business Solutions\Ecopetrol Prometeo - Documents\Planning Space Implementation\3. Analysis &amp; Design\Design\FC22\DRR Jaime\Neiva CPI\[VAO_DINA TERCIARIOS_CF_SEC_20230117.xlsx]CF PRB'!</v>
      </c>
      <c r="G239" s="7" t="s">
        <v>100</v>
      </c>
      <c r="H239" s="4">
        <f t="shared" si="26"/>
        <v>45</v>
      </c>
      <c r="I239" s="4" t="str">
        <f t="shared" si="25"/>
        <v>='C:\Users\jaime.benazar\Quorum Business Solutions\Ecopetrol Prometeo - Documents\Planning Space Implementation\3. Analysis &amp; Design\Design\FC22\DRR Jaime\Neiva CPI\[VAO_DINA TERCIARIOS_CF_SEC_20230117.xlsx]CF PRB'!$AY$45</v>
      </c>
      <c r="J239" s="4" t="s">
        <v>252</v>
      </c>
    </row>
    <row r="240" spans="1:10" x14ac:dyDescent="0.3">
      <c r="A240" s="7" t="s">
        <v>20</v>
      </c>
      <c r="B240" s="7">
        <f t="shared" si="56"/>
        <v>2033</v>
      </c>
      <c r="C240" s="4" t="s">
        <v>31</v>
      </c>
      <c r="D240" s="5" t="s">
        <v>131</v>
      </c>
      <c r="E240" s="10" t="str">
        <f t="shared" si="24"/>
        <v>PRB'!</v>
      </c>
      <c r="F240" s="5" t="str">
        <f t="shared" si="48"/>
        <v>C:\Users\jaime.benazar\Quorum Business Solutions\Ecopetrol Prometeo - Documents\Planning Space Implementation\3. Analysis &amp; Design\Design\FC22\DRR Jaime\Neiva CPI\[VAO_DINA TERCIARIOS_CF_SEC_20230117.xlsx]CF PRB'!</v>
      </c>
      <c r="G240" s="7" t="s">
        <v>100</v>
      </c>
      <c r="H240" s="4">
        <f t="shared" si="26"/>
        <v>46</v>
      </c>
      <c r="I240" s="4" t="str">
        <f t="shared" si="25"/>
        <v>='C:\Users\jaime.benazar\Quorum Business Solutions\Ecopetrol Prometeo - Documents\Planning Space Implementation\3. Analysis &amp; Design\Design\FC22\DRR Jaime\Neiva CPI\[VAO_DINA TERCIARIOS_CF_SEC_20230117.xlsx]CF PRB'!$AY$46</v>
      </c>
      <c r="J240" s="4" t="s">
        <v>253</v>
      </c>
    </row>
    <row r="241" spans="1:10" x14ac:dyDescent="0.3">
      <c r="A241" s="7" t="s">
        <v>20</v>
      </c>
      <c r="B241" s="7">
        <f t="shared" si="56"/>
        <v>2034</v>
      </c>
      <c r="C241" s="4" t="s">
        <v>31</v>
      </c>
      <c r="D241" s="5" t="s">
        <v>131</v>
      </c>
      <c r="E241" s="10" t="str">
        <f t="shared" si="24"/>
        <v>PRB'!</v>
      </c>
      <c r="F241" s="5" t="str">
        <f t="shared" si="48"/>
        <v>C:\Users\jaime.benazar\Quorum Business Solutions\Ecopetrol Prometeo - Documents\Planning Space Implementation\3. Analysis &amp; Design\Design\FC22\DRR Jaime\Neiva CPI\[VAO_DINA TERCIARIOS_CF_SEC_20230117.xlsx]CF PRB'!</v>
      </c>
      <c r="G241" s="7" t="s">
        <v>100</v>
      </c>
      <c r="H241" s="4">
        <f t="shared" si="26"/>
        <v>47</v>
      </c>
      <c r="I241" s="4" t="str">
        <f t="shared" si="25"/>
        <v>='C:\Users\jaime.benazar\Quorum Business Solutions\Ecopetrol Prometeo - Documents\Planning Space Implementation\3. Analysis &amp; Design\Design\FC22\DRR Jaime\Neiva CPI\[VAO_DINA TERCIARIOS_CF_SEC_20230117.xlsx]CF PRB'!$AY$47</v>
      </c>
      <c r="J241" s="4" t="s">
        <v>254</v>
      </c>
    </row>
    <row r="242" spans="1:10" x14ac:dyDescent="0.3">
      <c r="A242" s="7" t="s">
        <v>20</v>
      </c>
      <c r="B242" s="7">
        <f t="shared" si="56"/>
        <v>2035</v>
      </c>
      <c r="C242" s="4" t="s">
        <v>31</v>
      </c>
      <c r="D242" s="5" t="s">
        <v>131</v>
      </c>
      <c r="E242" s="10" t="str">
        <f t="shared" si="24"/>
        <v>PRB'!</v>
      </c>
      <c r="F242" s="5" t="str">
        <f t="shared" si="48"/>
        <v>C:\Users\jaime.benazar\Quorum Business Solutions\Ecopetrol Prometeo - Documents\Planning Space Implementation\3. Analysis &amp; Design\Design\FC22\DRR Jaime\Neiva CPI\[VAO_DINA TERCIARIOS_CF_SEC_20230117.xlsx]CF PRB'!</v>
      </c>
      <c r="G242" s="7" t="s">
        <v>100</v>
      </c>
      <c r="H242" s="4">
        <f t="shared" si="26"/>
        <v>48</v>
      </c>
      <c r="I242" s="4" t="str">
        <f t="shared" si="25"/>
        <v>='C:\Users\jaime.benazar\Quorum Business Solutions\Ecopetrol Prometeo - Documents\Planning Space Implementation\3. Analysis &amp; Design\Design\FC22\DRR Jaime\Neiva CPI\[VAO_DINA TERCIARIOS_CF_SEC_20230117.xlsx]CF PRB'!$AY$48</v>
      </c>
      <c r="J242" s="4" t="s">
        <v>255</v>
      </c>
    </row>
    <row r="243" spans="1:10" x14ac:dyDescent="0.3">
      <c r="A243" s="7" t="s">
        <v>20</v>
      </c>
      <c r="B243" s="7">
        <f t="shared" si="56"/>
        <v>2036</v>
      </c>
      <c r="C243" s="4" t="s">
        <v>31</v>
      </c>
      <c r="D243" s="5" t="s">
        <v>131</v>
      </c>
      <c r="E243" s="10" t="str">
        <f t="shared" si="24"/>
        <v>PRB'!</v>
      </c>
      <c r="F243" s="5" t="str">
        <f t="shared" si="48"/>
        <v>C:\Users\jaime.benazar\Quorum Business Solutions\Ecopetrol Prometeo - Documents\Planning Space Implementation\3. Analysis &amp; Design\Design\FC22\DRR Jaime\Neiva CPI\[VAO_DINA TERCIARIOS_CF_SEC_20230117.xlsx]CF PRB'!</v>
      </c>
      <c r="G243" s="7" t="s">
        <v>100</v>
      </c>
      <c r="H243" s="4">
        <f t="shared" si="26"/>
        <v>49</v>
      </c>
      <c r="I243" s="4" t="str">
        <f t="shared" si="25"/>
        <v>='C:\Users\jaime.benazar\Quorum Business Solutions\Ecopetrol Prometeo - Documents\Planning Space Implementation\3. Analysis &amp; Design\Design\FC22\DRR Jaime\Neiva CPI\[VAO_DINA TERCIARIOS_CF_SEC_20230117.xlsx]CF PRB'!$AY$49</v>
      </c>
      <c r="J243" s="4" t="s">
        <v>256</v>
      </c>
    </row>
    <row r="244" spans="1:10" x14ac:dyDescent="0.3">
      <c r="A244" s="7" t="s">
        <v>20</v>
      </c>
      <c r="B244" s="7">
        <f>+B243+1</f>
        <v>2037</v>
      </c>
      <c r="C244" s="4" t="s">
        <v>31</v>
      </c>
      <c r="D244" s="5" t="s">
        <v>131</v>
      </c>
      <c r="E244" s="10" t="str">
        <f t="shared" si="24"/>
        <v>PRB'!</v>
      </c>
      <c r="F244" s="5" t="str">
        <f t="shared" si="48"/>
        <v>C:\Users\jaime.benazar\Quorum Business Solutions\Ecopetrol Prometeo - Documents\Planning Space Implementation\3. Analysis &amp; Design\Design\FC22\DRR Jaime\Neiva CPI\[VAO_DINA TERCIARIOS_CF_SEC_20230117.xlsx]CF PRB'!</v>
      </c>
      <c r="G244" s="7" t="s">
        <v>100</v>
      </c>
      <c r="H244" s="4">
        <f t="shared" si="26"/>
        <v>50</v>
      </c>
      <c r="I244" s="4" t="str">
        <f t="shared" si="25"/>
        <v>='C:\Users\jaime.benazar\Quorum Business Solutions\Ecopetrol Prometeo - Documents\Planning Space Implementation\3. Analysis &amp; Design\Design\FC22\DRR Jaime\Neiva CPI\[VAO_DINA TERCIARIOS_CF_SEC_20230117.xlsx]CF PRB'!$AY$50</v>
      </c>
      <c r="J244" s="4" t="s">
        <v>257</v>
      </c>
    </row>
    <row r="245" spans="1:10" x14ac:dyDescent="0.3">
      <c r="A245" s="7" t="s">
        <v>20</v>
      </c>
      <c r="B245" s="7">
        <f t="shared" ref="B245:B247" si="57">+B244+1</f>
        <v>2038</v>
      </c>
      <c r="C245" s="4" t="s">
        <v>31</v>
      </c>
      <c r="D245" s="5" t="s">
        <v>131</v>
      </c>
      <c r="E245" s="10" t="str">
        <f t="shared" si="24"/>
        <v>PRB'!</v>
      </c>
      <c r="F245" s="5" t="str">
        <f t="shared" si="48"/>
        <v>C:\Users\jaime.benazar\Quorum Business Solutions\Ecopetrol Prometeo - Documents\Planning Space Implementation\3. Analysis &amp; Design\Design\FC22\DRR Jaime\Neiva CPI\[VAO_DINA TERCIARIOS_CF_SEC_20230117.xlsx]CF PRB'!</v>
      </c>
      <c r="G245" s="7" t="s">
        <v>100</v>
      </c>
      <c r="H245" s="4">
        <f t="shared" si="26"/>
        <v>51</v>
      </c>
      <c r="I245" s="4" t="str">
        <f t="shared" si="25"/>
        <v>='C:\Users\jaime.benazar\Quorum Business Solutions\Ecopetrol Prometeo - Documents\Planning Space Implementation\3. Analysis &amp; Design\Design\FC22\DRR Jaime\Neiva CPI\[VAO_DINA TERCIARIOS_CF_SEC_20230117.xlsx]CF PRB'!$AY$51</v>
      </c>
      <c r="J245" s="4" t="s">
        <v>258</v>
      </c>
    </row>
    <row r="246" spans="1:10" x14ac:dyDescent="0.3">
      <c r="A246" s="7" t="s">
        <v>20</v>
      </c>
      <c r="B246" s="7">
        <f t="shared" si="57"/>
        <v>2039</v>
      </c>
      <c r="C246" s="4" t="s">
        <v>31</v>
      </c>
      <c r="D246" s="5" t="s">
        <v>131</v>
      </c>
      <c r="E246" s="10" t="str">
        <f t="shared" si="24"/>
        <v>PRB'!</v>
      </c>
      <c r="F246" s="5" t="str">
        <f t="shared" si="48"/>
        <v>C:\Users\jaime.benazar\Quorum Business Solutions\Ecopetrol Prometeo - Documents\Planning Space Implementation\3. Analysis &amp; Design\Design\FC22\DRR Jaime\Neiva CPI\[VAO_DINA TERCIARIOS_CF_SEC_20230117.xlsx]CF PRB'!</v>
      </c>
      <c r="G246" s="7" t="s">
        <v>100</v>
      </c>
      <c r="H246" s="4">
        <f t="shared" si="26"/>
        <v>52</v>
      </c>
      <c r="I246" s="4" t="str">
        <f t="shared" si="25"/>
        <v>='C:\Users\jaime.benazar\Quorum Business Solutions\Ecopetrol Prometeo - Documents\Planning Space Implementation\3. Analysis &amp; Design\Design\FC22\DRR Jaime\Neiva CPI\[VAO_DINA TERCIARIOS_CF_SEC_20230117.xlsx]CF PRB'!$AY$52</v>
      </c>
      <c r="J246" s="4" t="s">
        <v>259</v>
      </c>
    </row>
    <row r="247" spans="1:10" x14ac:dyDescent="0.3">
      <c r="A247" s="7" t="s">
        <v>20</v>
      </c>
      <c r="B247" s="7">
        <f t="shared" si="57"/>
        <v>2040</v>
      </c>
      <c r="C247" s="4" t="s">
        <v>31</v>
      </c>
      <c r="D247" s="5" t="s">
        <v>131</v>
      </c>
      <c r="E247" s="10" t="str">
        <f t="shared" si="24"/>
        <v>PRB'!</v>
      </c>
      <c r="F247" s="5" t="str">
        <f t="shared" si="48"/>
        <v>C:\Users\jaime.benazar\Quorum Business Solutions\Ecopetrol Prometeo - Documents\Planning Space Implementation\3. Analysis &amp; Design\Design\FC22\DRR Jaime\Neiva CPI\[VAO_DINA TERCIARIOS_CF_SEC_20230117.xlsx]CF PRB'!</v>
      </c>
      <c r="G247" s="7" t="s">
        <v>100</v>
      </c>
      <c r="H247" s="4">
        <f t="shared" si="26"/>
        <v>53</v>
      </c>
      <c r="I247" s="4" t="str">
        <f t="shared" si="25"/>
        <v>='C:\Users\jaime.benazar\Quorum Business Solutions\Ecopetrol Prometeo - Documents\Planning Space Implementation\3. Analysis &amp; Design\Design\FC22\DRR Jaime\Neiva CPI\[VAO_DINA TERCIARIOS_CF_SEC_20230117.xlsx]CF PRB'!$AY$53</v>
      </c>
      <c r="J247" s="4" t="s">
        <v>260</v>
      </c>
    </row>
    <row r="248" spans="1:10" x14ac:dyDescent="0.3">
      <c r="A248" s="7" t="s">
        <v>20</v>
      </c>
      <c r="B248" s="7">
        <f>+B247+1</f>
        <v>2041</v>
      </c>
      <c r="C248" s="4" t="s">
        <v>31</v>
      </c>
      <c r="D248" s="5" t="s">
        <v>131</v>
      </c>
      <c r="E248" s="10" t="str">
        <f t="shared" si="24"/>
        <v>PRB'!</v>
      </c>
      <c r="F248" s="5" t="str">
        <f t="shared" si="48"/>
        <v>C:\Users\jaime.benazar\Quorum Business Solutions\Ecopetrol Prometeo - Documents\Planning Space Implementation\3. Analysis &amp; Design\Design\FC22\DRR Jaime\Neiva CPI\[VAO_DINA TERCIARIOS_CF_SEC_20230117.xlsx]CF PRB'!</v>
      </c>
      <c r="G248" s="7" t="s">
        <v>100</v>
      </c>
      <c r="H248" s="4">
        <f t="shared" si="26"/>
        <v>54</v>
      </c>
      <c r="I248" s="4" t="str">
        <f t="shared" si="25"/>
        <v>='C:\Users\jaime.benazar\Quorum Business Solutions\Ecopetrol Prometeo - Documents\Planning Space Implementation\3. Analysis &amp; Design\Design\FC22\DRR Jaime\Neiva CPI\[VAO_DINA TERCIARIOS_CF_SEC_20230117.xlsx]CF PRB'!$AY$54</v>
      </c>
      <c r="J248" s="4" t="s">
        <v>261</v>
      </c>
    </row>
    <row r="249" spans="1:10" x14ac:dyDescent="0.3">
      <c r="A249" s="7" t="s">
        <v>20</v>
      </c>
      <c r="B249" s="7">
        <f t="shared" ref="B249:B250" si="58">+B248+1</f>
        <v>2042</v>
      </c>
      <c r="C249" s="4" t="s">
        <v>31</v>
      </c>
      <c r="D249" s="5" t="s">
        <v>131</v>
      </c>
      <c r="E249" s="10" t="str">
        <f t="shared" si="24"/>
        <v>PRB'!</v>
      </c>
      <c r="F249" s="5" t="str">
        <f t="shared" si="48"/>
        <v>C:\Users\jaime.benazar\Quorum Business Solutions\Ecopetrol Prometeo - Documents\Planning Space Implementation\3. Analysis &amp; Design\Design\FC22\DRR Jaime\Neiva CPI\[VAO_DINA TERCIARIOS_CF_SEC_20230117.xlsx]CF PRB'!</v>
      </c>
      <c r="G249" s="7" t="s">
        <v>100</v>
      </c>
      <c r="H249" s="4">
        <f t="shared" si="26"/>
        <v>55</v>
      </c>
      <c r="I249" s="4" t="str">
        <f t="shared" si="25"/>
        <v>='C:\Users\jaime.benazar\Quorum Business Solutions\Ecopetrol Prometeo - Documents\Planning Space Implementation\3. Analysis &amp; Design\Design\FC22\DRR Jaime\Neiva CPI\[VAO_DINA TERCIARIOS_CF_SEC_20230117.xlsx]CF PRB'!$AY$55</v>
      </c>
      <c r="J249" s="4" t="s">
        <v>262</v>
      </c>
    </row>
    <row r="250" spans="1:10" x14ac:dyDescent="0.3">
      <c r="A250" s="7" t="s">
        <v>20</v>
      </c>
      <c r="B250" s="7">
        <f t="shared" si="58"/>
        <v>2043</v>
      </c>
      <c r="C250" s="4" t="s">
        <v>31</v>
      </c>
      <c r="D250" s="5" t="s">
        <v>131</v>
      </c>
      <c r="E250" s="10" t="str">
        <f t="shared" si="24"/>
        <v>PRB'!</v>
      </c>
      <c r="F250" s="5" t="str">
        <f t="shared" si="48"/>
        <v>C:\Users\jaime.benazar\Quorum Business Solutions\Ecopetrol Prometeo - Documents\Planning Space Implementation\3. Analysis &amp; Design\Design\FC22\DRR Jaime\Neiva CPI\[VAO_DINA TERCIARIOS_CF_SEC_20230117.xlsx]CF PRB'!</v>
      </c>
      <c r="G250" s="7" t="s">
        <v>100</v>
      </c>
      <c r="H250" s="4">
        <f t="shared" si="26"/>
        <v>56</v>
      </c>
      <c r="I250" s="4" t="str">
        <f t="shared" si="25"/>
        <v>='C:\Users\jaime.benazar\Quorum Business Solutions\Ecopetrol Prometeo - Documents\Planning Space Implementation\3. Analysis &amp; Design\Design\FC22\DRR Jaime\Neiva CPI\[VAO_DINA TERCIARIOS_CF_SEC_20230117.xlsx]CF PRB'!$AY$56</v>
      </c>
      <c r="J250" s="4" t="s">
        <v>263</v>
      </c>
    </row>
    <row r="251" spans="1:10" x14ac:dyDescent="0.3">
      <c r="A251" s="7" t="s">
        <v>20</v>
      </c>
      <c r="B251" s="7">
        <f>+B250+1</f>
        <v>2044</v>
      </c>
      <c r="C251" s="4" t="s">
        <v>31</v>
      </c>
      <c r="D251" s="5" t="s">
        <v>131</v>
      </c>
      <c r="E251" s="10" t="str">
        <f t="shared" ref="E251:E266" si="59">_xlfn.CONCAT(A251,"'!")</f>
        <v>PRB'!</v>
      </c>
      <c r="F251" s="5" t="str">
        <f t="shared" ref="F251:F266" si="60">_xlfn.CONCAT(D251," ",E251)</f>
        <v>C:\Users\jaime.benazar\Quorum Business Solutions\Ecopetrol Prometeo - Documents\Planning Space Implementation\3. Analysis &amp; Design\Design\FC22\DRR Jaime\Neiva CPI\[VAO_DINA TERCIARIOS_CF_SEC_20230117.xlsx]CF PRB'!</v>
      </c>
      <c r="G251" s="7" t="s">
        <v>100</v>
      </c>
      <c r="H251" s="4">
        <f t="shared" ref="H251:H266" si="61">IF(A251&lt;&gt;A250,36,H250+1)</f>
        <v>57</v>
      </c>
      <c r="I251" s="4" t="str">
        <f t="shared" ref="I251:I266" si="62">_xlfn.CONCAT("='",F251:H251)</f>
        <v>='C:\Users\jaime.benazar\Quorum Business Solutions\Ecopetrol Prometeo - Documents\Planning Space Implementation\3. Analysis &amp; Design\Design\FC22\DRR Jaime\Neiva CPI\[VAO_DINA TERCIARIOS_CF_SEC_20230117.xlsx]CF PRB'!$AY$57</v>
      </c>
      <c r="J251" s="4" t="s">
        <v>264</v>
      </c>
    </row>
    <row r="252" spans="1:10" x14ac:dyDescent="0.3">
      <c r="A252" s="7" t="s">
        <v>20</v>
      </c>
      <c r="B252" s="7">
        <f t="shared" ref="B252:B266" si="63">+B251+1</f>
        <v>2045</v>
      </c>
      <c r="C252" s="4" t="s">
        <v>31</v>
      </c>
      <c r="D252" s="5" t="s">
        <v>131</v>
      </c>
      <c r="E252" s="10" t="str">
        <f t="shared" si="59"/>
        <v>PRB'!</v>
      </c>
      <c r="F252" s="5" t="str">
        <f t="shared" si="60"/>
        <v>C:\Users\jaime.benazar\Quorum Business Solutions\Ecopetrol Prometeo - Documents\Planning Space Implementation\3. Analysis &amp; Design\Design\FC22\DRR Jaime\Neiva CPI\[VAO_DINA TERCIARIOS_CF_SEC_20230117.xlsx]CF PRB'!</v>
      </c>
      <c r="G252" s="7" t="s">
        <v>100</v>
      </c>
      <c r="H252" s="4">
        <f t="shared" si="61"/>
        <v>58</v>
      </c>
      <c r="I252" s="4" t="str">
        <f t="shared" si="62"/>
        <v>='C:\Users\jaime.benazar\Quorum Business Solutions\Ecopetrol Prometeo - Documents\Planning Space Implementation\3. Analysis &amp; Design\Design\FC22\DRR Jaime\Neiva CPI\[VAO_DINA TERCIARIOS_CF_SEC_20230117.xlsx]CF PRB'!$AY$58</v>
      </c>
      <c r="J252" s="4" t="s">
        <v>265</v>
      </c>
    </row>
    <row r="253" spans="1:10" x14ac:dyDescent="0.3">
      <c r="A253" s="7" t="s">
        <v>20</v>
      </c>
      <c r="B253" s="7">
        <f t="shared" si="63"/>
        <v>2046</v>
      </c>
      <c r="C253" s="4" t="s">
        <v>31</v>
      </c>
      <c r="D253" s="5" t="s">
        <v>131</v>
      </c>
      <c r="E253" s="10" t="str">
        <f t="shared" si="59"/>
        <v>PRB'!</v>
      </c>
      <c r="F253" s="5" t="str">
        <f t="shared" si="60"/>
        <v>C:\Users\jaime.benazar\Quorum Business Solutions\Ecopetrol Prometeo - Documents\Planning Space Implementation\3. Analysis &amp; Design\Design\FC22\DRR Jaime\Neiva CPI\[VAO_DINA TERCIARIOS_CF_SEC_20230117.xlsx]CF PRB'!</v>
      </c>
      <c r="G253" s="7" t="s">
        <v>100</v>
      </c>
      <c r="H253" s="4">
        <f t="shared" si="61"/>
        <v>59</v>
      </c>
      <c r="I253" s="4" t="str">
        <f t="shared" si="62"/>
        <v>='C:\Users\jaime.benazar\Quorum Business Solutions\Ecopetrol Prometeo - Documents\Planning Space Implementation\3. Analysis &amp; Design\Design\FC22\DRR Jaime\Neiva CPI\[VAO_DINA TERCIARIOS_CF_SEC_20230117.xlsx]CF PRB'!$AY$59</v>
      </c>
      <c r="J253" s="4" t="s">
        <v>266</v>
      </c>
    </row>
    <row r="254" spans="1:10" x14ac:dyDescent="0.3">
      <c r="A254" s="7" t="s">
        <v>20</v>
      </c>
      <c r="B254" s="7">
        <f t="shared" si="63"/>
        <v>2047</v>
      </c>
      <c r="C254" s="4" t="s">
        <v>31</v>
      </c>
      <c r="D254" s="5" t="s">
        <v>131</v>
      </c>
      <c r="E254" s="10" t="str">
        <f t="shared" si="59"/>
        <v>PRB'!</v>
      </c>
      <c r="F254" s="5" t="str">
        <f t="shared" si="60"/>
        <v>C:\Users\jaime.benazar\Quorum Business Solutions\Ecopetrol Prometeo - Documents\Planning Space Implementation\3. Analysis &amp; Design\Design\FC22\DRR Jaime\Neiva CPI\[VAO_DINA TERCIARIOS_CF_SEC_20230117.xlsx]CF PRB'!</v>
      </c>
      <c r="G254" s="7" t="s">
        <v>100</v>
      </c>
      <c r="H254" s="4">
        <f t="shared" si="61"/>
        <v>60</v>
      </c>
      <c r="I254" s="4" t="str">
        <f t="shared" si="62"/>
        <v>='C:\Users\jaime.benazar\Quorum Business Solutions\Ecopetrol Prometeo - Documents\Planning Space Implementation\3. Analysis &amp; Design\Design\FC22\DRR Jaime\Neiva CPI\[VAO_DINA TERCIARIOS_CF_SEC_20230117.xlsx]CF PRB'!$AY$60</v>
      </c>
      <c r="J254" s="4" t="s">
        <v>267</v>
      </c>
    </row>
    <row r="255" spans="1:10" x14ac:dyDescent="0.3">
      <c r="A255" s="7" t="s">
        <v>20</v>
      </c>
      <c r="B255" s="7">
        <f t="shared" si="63"/>
        <v>2048</v>
      </c>
      <c r="C255" s="4" t="s">
        <v>31</v>
      </c>
      <c r="D255" s="5" t="s">
        <v>131</v>
      </c>
      <c r="E255" s="10" t="str">
        <f t="shared" si="59"/>
        <v>PRB'!</v>
      </c>
      <c r="F255" s="5" t="str">
        <f t="shared" si="60"/>
        <v>C:\Users\jaime.benazar\Quorum Business Solutions\Ecopetrol Prometeo - Documents\Planning Space Implementation\3. Analysis &amp; Design\Design\FC22\DRR Jaime\Neiva CPI\[VAO_DINA TERCIARIOS_CF_SEC_20230117.xlsx]CF PRB'!</v>
      </c>
      <c r="G255" s="7" t="s">
        <v>100</v>
      </c>
      <c r="H255" s="4">
        <f t="shared" si="61"/>
        <v>61</v>
      </c>
      <c r="I255" s="4" t="str">
        <f t="shared" si="62"/>
        <v>='C:\Users\jaime.benazar\Quorum Business Solutions\Ecopetrol Prometeo - Documents\Planning Space Implementation\3. Analysis &amp; Design\Design\FC22\DRR Jaime\Neiva CPI\[VAO_DINA TERCIARIOS_CF_SEC_20230117.xlsx]CF PRB'!$AY$61</v>
      </c>
      <c r="J255" s="4" t="s">
        <v>268</v>
      </c>
    </row>
    <row r="256" spans="1:10" x14ac:dyDescent="0.3">
      <c r="A256" s="7" t="s">
        <v>20</v>
      </c>
      <c r="B256" s="7">
        <f t="shared" si="63"/>
        <v>2049</v>
      </c>
      <c r="C256" s="4" t="s">
        <v>31</v>
      </c>
      <c r="D256" s="5" t="s">
        <v>131</v>
      </c>
      <c r="E256" s="10" t="str">
        <f t="shared" si="59"/>
        <v>PRB'!</v>
      </c>
      <c r="F256" s="5" t="str">
        <f t="shared" si="60"/>
        <v>C:\Users\jaime.benazar\Quorum Business Solutions\Ecopetrol Prometeo - Documents\Planning Space Implementation\3. Analysis &amp; Design\Design\FC22\DRR Jaime\Neiva CPI\[VAO_DINA TERCIARIOS_CF_SEC_20230117.xlsx]CF PRB'!</v>
      </c>
      <c r="G256" s="7" t="s">
        <v>100</v>
      </c>
      <c r="H256" s="4">
        <f t="shared" si="61"/>
        <v>62</v>
      </c>
      <c r="I256" s="4" t="str">
        <f t="shared" si="62"/>
        <v>='C:\Users\jaime.benazar\Quorum Business Solutions\Ecopetrol Prometeo - Documents\Planning Space Implementation\3. Analysis &amp; Design\Design\FC22\DRR Jaime\Neiva CPI\[VAO_DINA TERCIARIOS_CF_SEC_20230117.xlsx]CF PRB'!$AY$62</v>
      </c>
      <c r="J256" s="4" t="s">
        <v>269</v>
      </c>
    </row>
    <row r="257" spans="1:10" x14ac:dyDescent="0.3">
      <c r="A257" s="7" t="s">
        <v>20</v>
      </c>
      <c r="B257" s="7">
        <f t="shared" si="63"/>
        <v>2050</v>
      </c>
      <c r="C257" s="4" t="s">
        <v>31</v>
      </c>
      <c r="D257" s="5" t="s">
        <v>131</v>
      </c>
      <c r="E257" s="10" t="str">
        <f t="shared" si="59"/>
        <v>PRB'!</v>
      </c>
      <c r="F257" s="5" t="str">
        <f t="shared" si="60"/>
        <v>C:\Users\jaime.benazar\Quorum Business Solutions\Ecopetrol Prometeo - Documents\Planning Space Implementation\3. Analysis &amp; Design\Design\FC22\DRR Jaime\Neiva CPI\[VAO_DINA TERCIARIOS_CF_SEC_20230117.xlsx]CF PRB'!</v>
      </c>
      <c r="G257" s="7" t="s">
        <v>100</v>
      </c>
      <c r="H257" s="4">
        <f t="shared" si="61"/>
        <v>63</v>
      </c>
      <c r="I257" s="4" t="str">
        <f t="shared" si="62"/>
        <v>='C:\Users\jaime.benazar\Quorum Business Solutions\Ecopetrol Prometeo - Documents\Planning Space Implementation\3. Analysis &amp; Design\Design\FC22\DRR Jaime\Neiva CPI\[VAO_DINA TERCIARIOS_CF_SEC_20230117.xlsx]CF PRB'!$AY$63</v>
      </c>
      <c r="J257" s="4" t="s">
        <v>270</v>
      </c>
    </row>
    <row r="258" spans="1:10" x14ac:dyDescent="0.3">
      <c r="A258" s="7" t="s">
        <v>20</v>
      </c>
      <c r="B258" s="7">
        <f t="shared" si="63"/>
        <v>2051</v>
      </c>
      <c r="C258" s="4" t="s">
        <v>31</v>
      </c>
      <c r="D258" s="5" t="s">
        <v>131</v>
      </c>
      <c r="E258" s="10" t="str">
        <f t="shared" si="59"/>
        <v>PRB'!</v>
      </c>
      <c r="F258" s="5" t="str">
        <f t="shared" si="60"/>
        <v>C:\Users\jaime.benazar\Quorum Business Solutions\Ecopetrol Prometeo - Documents\Planning Space Implementation\3. Analysis &amp; Design\Design\FC22\DRR Jaime\Neiva CPI\[VAO_DINA TERCIARIOS_CF_SEC_20230117.xlsx]CF PRB'!</v>
      </c>
      <c r="G258" s="7" t="s">
        <v>100</v>
      </c>
      <c r="H258" s="4">
        <f t="shared" si="61"/>
        <v>64</v>
      </c>
      <c r="I258" s="4" t="str">
        <f t="shared" si="62"/>
        <v>='C:\Users\jaime.benazar\Quorum Business Solutions\Ecopetrol Prometeo - Documents\Planning Space Implementation\3. Analysis &amp; Design\Design\FC22\DRR Jaime\Neiva CPI\[VAO_DINA TERCIARIOS_CF_SEC_20230117.xlsx]CF PRB'!$AY$64</v>
      </c>
      <c r="J258" s="4" t="s">
        <v>271</v>
      </c>
    </row>
    <row r="259" spans="1:10" x14ac:dyDescent="0.3">
      <c r="A259" s="7" t="s">
        <v>20</v>
      </c>
      <c r="B259" s="7">
        <f t="shared" si="63"/>
        <v>2052</v>
      </c>
      <c r="C259" s="4" t="s">
        <v>31</v>
      </c>
      <c r="D259" s="5" t="s">
        <v>131</v>
      </c>
      <c r="E259" s="10" t="str">
        <f t="shared" si="59"/>
        <v>PRB'!</v>
      </c>
      <c r="F259" s="5" t="str">
        <f t="shared" si="60"/>
        <v>C:\Users\jaime.benazar\Quorum Business Solutions\Ecopetrol Prometeo - Documents\Planning Space Implementation\3. Analysis &amp; Design\Design\FC22\DRR Jaime\Neiva CPI\[VAO_DINA TERCIARIOS_CF_SEC_20230117.xlsx]CF PRB'!</v>
      </c>
      <c r="G259" s="7" t="s">
        <v>100</v>
      </c>
      <c r="H259" s="4">
        <f t="shared" si="61"/>
        <v>65</v>
      </c>
      <c r="I259" s="4" t="str">
        <f t="shared" si="62"/>
        <v>='C:\Users\jaime.benazar\Quorum Business Solutions\Ecopetrol Prometeo - Documents\Planning Space Implementation\3. Analysis &amp; Design\Design\FC22\DRR Jaime\Neiva CPI\[VAO_DINA TERCIARIOS_CF_SEC_20230117.xlsx]CF PRB'!$AY$65</v>
      </c>
      <c r="J259" s="4" t="s">
        <v>272</v>
      </c>
    </row>
    <row r="260" spans="1:10" x14ac:dyDescent="0.3">
      <c r="A260" s="7" t="s">
        <v>20</v>
      </c>
      <c r="B260" s="7">
        <f t="shared" si="63"/>
        <v>2053</v>
      </c>
      <c r="C260" s="4" t="s">
        <v>31</v>
      </c>
      <c r="D260" s="5" t="s">
        <v>131</v>
      </c>
      <c r="E260" s="10" t="str">
        <f t="shared" si="59"/>
        <v>PRB'!</v>
      </c>
      <c r="F260" s="5" t="str">
        <f t="shared" si="60"/>
        <v>C:\Users\jaime.benazar\Quorum Business Solutions\Ecopetrol Prometeo - Documents\Planning Space Implementation\3. Analysis &amp; Design\Design\FC22\DRR Jaime\Neiva CPI\[VAO_DINA TERCIARIOS_CF_SEC_20230117.xlsx]CF PRB'!</v>
      </c>
      <c r="G260" s="7" t="s">
        <v>100</v>
      </c>
      <c r="H260" s="4">
        <f t="shared" si="61"/>
        <v>66</v>
      </c>
      <c r="I260" s="4" t="str">
        <f t="shared" si="62"/>
        <v>='C:\Users\jaime.benazar\Quorum Business Solutions\Ecopetrol Prometeo - Documents\Planning Space Implementation\3. Analysis &amp; Design\Design\FC22\DRR Jaime\Neiva CPI\[VAO_DINA TERCIARIOS_CF_SEC_20230117.xlsx]CF PRB'!$AY$66</v>
      </c>
      <c r="J260" s="4" t="s">
        <v>273</v>
      </c>
    </row>
    <row r="261" spans="1:10" x14ac:dyDescent="0.3">
      <c r="A261" s="7" t="s">
        <v>20</v>
      </c>
      <c r="B261" s="7">
        <f t="shared" si="63"/>
        <v>2054</v>
      </c>
      <c r="C261" s="4" t="s">
        <v>31</v>
      </c>
      <c r="D261" s="5" t="s">
        <v>131</v>
      </c>
      <c r="E261" s="10" t="str">
        <f t="shared" si="59"/>
        <v>PRB'!</v>
      </c>
      <c r="F261" s="5" t="str">
        <f t="shared" si="60"/>
        <v>C:\Users\jaime.benazar\Quorum Business Solutions\Ecopetrol Prometeo - Documents\Planning Space Implementation\3. Analysis &amp; Design\Design\FC22\DRR Jaime\Neiva CPI\[VAO_DINA TERCIARIOS_CF_SEC_20230117.xlsx]CF PRB'!</v>
      </c>
      <c r="G261" s="7" t="s">
        <v>100</v>
      </c>
      <c r="H261" s="4">
        <f t="shared" si="61"/>
        <v>67</v>
      </c>
      <c r="I261" s="4" t="str">
        <f t="shared" si="62"/>
        <v>='C:\Users\jaime.benazar\Quorum Business Solutions\Ecopetrol Prometeo - Documents\Planning Space Implementation\3. Analysis &amp; Design\Design\FC22\DRR Jaime\Neiva CPI\[VAO_DINA TERCIARIOS_CF_SEC_20230117.xlsx]CF PRB'!$AY$67</v>
      </c>
      <c r="J261" s="4" t="s">
        <v>274</v>
      </c>
    </row>
    <row r="262" spans="1:10" x14ac:dyDescent="0.3">
      <c r="A262" s="7" t="s">
        <v>20</v>
      </c>
      <c r="B262" s="7">
        <f t="shared" si="63"/>
        <v>2055</v>
      </c>
      <c r="C262" s="4" t="s">
        <v>31</v>
      </c>
      <c r="D262" s="5" t="s">
        <v>131</v>
      </c>
      <c r="E262" s="10" t="str">
        <f t="shared" si="59"/>
        <v>PRB'!</v>
      </c>
      <c r="F262" s="5" t="str">
        <f t="shared" si="60"/>
        <v>C:\Users\jaime.benazar\Quorum Business Solutions\Ecopetrol Prometeo - Documents\Planning Space Implementation\3. Analysis &amp; Design\Design\FC22\DRR Jaime\Neiva CPI\[VAO_DINA TERCIARIOS_CF_SEC_20230117.xlsx]CF PRB'!</v>
      </c>
      <c r="G262" s="7" t="s">
        <v>100</v>
      </c>
      <c r="H262" s="4">
        <f t="shared" si="61"/>
        <v>68</v>
      </c>
      <c r="I262" s="4" t="str">
        <f t="shared" si="62"/>
        <v>='C:\Users\jaime.benazar\Quorum Business Solutions\Ecopetrol Prometeo - Documents\Planning Space Implementation\3. Analysis &amp; Design\Design\FC22\DRR Jaime\Neiva CPI\[VAO_DINA TERCIARIOS_CF_SEC_20230117.xlsx]CF PRB'!$AY$68</v>
      </c>
      <c r="J262" s="4" t="s">
        <v>275</v>
      </c>
    </row>
    <row r="263" spans="1:10" x14ac:dyDescent="0.3">
      <c r="A263" s="7" t="s">
        <v>20</v>
      </c>
      <c r="B263" s="7">
        <f t="shared" si="63"/>
        <v>2056</v>
      </c>
      <c r="C263" s="4" t="s">
        <v>31</v>
      </c>
      <c r="D263" s="5" t="s">
        <v>131</v>
      </c>
      <c r="E263" s="10" t="str">
        <f t="shared" si="59"/>
        <v>PRB'!</v>
      </c>
      <c r="F263" s="5" t="str">
        <f t="shared" si="60"/>
        <v>C:\Users\jaime.benazar\Quorum Business Solutions\Ecopetrol Prometeo - Documents\Planning Space Implementation\3. Analysis &amp; Design\Design\FC22\DRR Jaime\Neiva CPI\[VAO_DINA TERCIARIOS_CF_SEC_20230117.xlsx]CF PRB'!</v>
      </c>
      <c r="G263" s="7" t="s">
        <v>100</v>
      </c>
      <c r="H263" s="4">
        <f t="shared" si="61"/>
        <v>69</v>
      </c>
      <c r="I263" s="4" t="str">
        <f t="shared" si="62"/>
        <v>='C:\Users\jaime.benazar\Quorum Business Solutions\Ecopetrol Prometeo - Documents\Planning Space Implementation\3. Analysis &amp; Design\Design\FC22\DRR Jaime\Neiva CPI\[VAO_DINA TERCIARIOS_CF_SEC_20230117.xlsx]CF PRB'!$AY$69</v>
      </c>
      <c r="J263" s="4" t="s">
        <v>276</v>
      </c>
    </row>
    <row r="264" spans="1:10" x14ac:dyDescent="0.3">
      <c r="A264" s="7" t="s">
        <v>20</v>
      </c>
      <c r="B264" s="7">
        <f t="shared" si="63"/>
        <v>2057</v>
      </c>
      <c r="C264" s="4" t="s">
        <v>31</v>
      </c>
      <c r="D264" s="5" t="s">
        <v>131</v>
      </c>
      <c r="E264" s="10" t="str">
        <f t="shared" si="59"/>
        <v>PRB'!</v>
      </c>
      <c r="F264" s="5" t="str">
        <f t="shared" si="60"/>
        <v>C:\Users\jaime.benazar\Quorum Business Solutions\Ecopetrol Prometeo - Documents\Planning Space Implementation\3. Analysis &amp; Design\Design\FC22\DRR Jaime\Neiva CPI\[VAO_DINA TERCIARIOS_CF_SEC_20230117.xlsx]CF PRB'!</v>
      </c>
      <c r="G264" s="7" t="s">
        <v>100</v>
      </c>
      <c r="H264" s="4">
        <f t="shared" si="61"/>
        <v>70</v>
      </c>
      <c r="I264" s="4" t="str">
        <f t="shared" si="62"/>
        <v>='C:\Users\jaime.benazar\Quorum Business Solutions\Ecopetrol Prometeo - Documents\Planning Space Implementation\3. Analysis &amp; Design\Design\FC22\DRR Jaime\Neiva CPI\[VAO_DINA TERCIARIOS_CF_SEC_20230117.xlsx]CF PRB'!$AY$70</v>
      </c>
      <c r="J264" s="4" t="s">
        <v>277</v>
      </c>
    </row>
    <row r="265" spans="1:10" x14ac:dyDescent="0.3">
      <c r="A265" s="7" t="s">
        <v>20</v>
      </c>
      <c r="B265" s="7">
        <f t="shared" si="63"/>
        <v>2058</v>
      </c>
      <c r="C265" s="4" t="s">
        <v>31</v>
      </c>
      <c r="D265" s="5" t="s">
        <v>131</v>
      </c>
      <c r="E265" s="10" t="str">
        <f t="shared" si="59"/>
        <v>PRB'!</v>
      </c>
      <c r="F265" s="5" t="str">
        <f t="shared" si="60"/>
        <v>C:\Users\jaime.benazar\Quorum Business Solutions\Ecopetrol Prometeo - Documents\Planning Space Implementation\3. Analysis &amp; Design\Design\FC22\DRR Jaime\Neiva CPI\[VAO_DINA TERCIARIOS_CF_SEC_20230117.xlsx]CF PRB'!</v>
      </c>
      <c r="G265" s="7" t="s">
        <v>100</v>
      </c>
      <c r="H265" s="4">
        <f t="shared" si="61"/>
        <v>71</v>
      </c>
      <c r="I265" s="4" t="str">
        <f t="shared" si="62"/>
        <v>='C:\Users\jaime.benazar\Quorum Business Solutions\Ecopetrol Prometeo - Documents\Planning Space Implementation\3. Analysis &amp; Design\Design\FC22\DRR Jaime\Neiva CPI\[VAO_DINA TERCIARIOS_CF_SEC_20230117.xlsx]CF PRB'!$AY$71</v>
      </c>
      <c r="J265" s="4" t="s">
        <v>278</v>
      </c>
    </row>
    <row r="266" spans="1:10" x14ac:dyDescent="0.3">
      <c r="A266" s="7" t="s">
        <v>20</v>
      </c>
      <c r="B266" s="7">
        <f t="shared" si="63"/>
        <v>2059</v>
      </c>
      <c r="C266" s="4" t="s">
        <v>31</v>
      </c>
      <c r="D266" s="5" t="s">
        <v>131</v>
      </c>
      <c r="E266" s="10" t="str">
        <f t="shared" si="59"/>
        <v>PRB'!</v>
      </c>
      <c r="F266" s="5" t="str">
        <f t="shared" si="60"/>
        <v>C:\Users\jaime.benazar\Quorum Business Solutions\Ecopetrol Prometeo - Documents\Planning Space Implementation\3. Analysis &amp; Design\Design\FC22\DRR Jaime\Neiva CPI\[VAO_DINA TERCIARIOS_CF_SEC_20230117.xlsx]CF PRB'!</v>
      </c>
      <c r="G266" s="7" t="s">
        <v>100</v>
      </c>
      <c r="H266" s="4">
        <f t="shared" si="61"/>
        <v>72</v>
      </c>
      <c r="I266" s="4" t="str">
        <f t="shared" si="62"/>
        <v>='C:\Users\jaime.benazar\Quorum Business Solutions\Ecopetrol Prometeo - Documents\Planning Space Implementation\3. Analysis &amp; Design\Design\FC22\DRR Jaime\Neiva CPI\[VAO_DINA TERCIARIOS_CF_SEC_20230117.xlsx]CF PRB'!$AY$72</v>
      </c>
      <c r="J266" s="4" t="s">
        <v>279</v>
      </c>
    </row>
    <row r="267" spans="1:10" x14ac:dyDescent="0.3">
      <c r="A267" s="7" t="s">
        <v>26</v>
      </c>
      <c r="B267" s="7"/>
      <c r="C267" s="4" t="s">
        <v>31</v>
      </c>
      <c r="D267" s="5"/>
      <c r="E267" s="10"/>
      <c r="F267" s="5" t="str">
        <f t="shared" si="48"/>
        <v xml:space="preserve"> </v>
      </c>
      <c r="G267" s="7"/>
      <c r="H267" s="4"/>
      <c r="I267" s="4"/>
      <c r="J267" s="4"/>
    </row>
    <row r="268" spans="1:10" x14ac:dyDescent="0.3">
      <c r="A268" s="7" t="s">
        <v>21</v>
      </c>
      <c r="B268" s="7">
        <v>2023</v>
      </c>
      <c r="C268" s="4" t="s">
        <v>31</v>
      </c>
      <c r="D268" s="5" t="s">
        <v>131</v>
      </c>
      <c r="E268" s="10" t="str">
        <f t="shared" ref="E268:E288" si="64">_xlfn.CONCAT(A268,"'!")</f>
        <v>PSDP'!</v>
      </c>
      <c r="F268" s="5" t="str">
        <f t="shared" si="48"/>
        <v>C:\Users\jaime.benazar\Quorum Business Solutions\Ecopetrol Prometeo - Documents\Planning Space Implementation\3. Analysis &amp; Design\Design\FC22\DRR Jaime\Neiva CPI\[VAO_DINA TERCIARIOS_CF_SEC_20230117.xlsx]CF PSDP'!</v>
      </c>
      <c r="G268" s="7" t="s">
        <v>100</v>
      </c>
      <c r="H268" s="4"/>
      <c r="I268" s="4"/>
      <c r="J268" s="4"/>
    </row>
    <row r="269" spans="1:10" x14ac:dyDescent="0.3">
      <c r="A269" s="7" t="s">
        <v>21</v>
      </c>
      <c r="B269" s="7">
        <f>+B268+1</f>
        <v>2024</v>
      </c>
      <c r="C269" s="4" t="s">
        <v>31</v>
      </c>
      <c r="D269" s="5" t="s">
        <v>131</v>
      </c>
      <c r="E269" s="10" t="str">
        <f t="shared" si="64"/>
        <v>PSDP'!</v>
      </c>
      <c r="F269" s="5" t="str">
        <f t="shared" si="48"/>
        <v>C:\Users\jaime.benazar\Quorum Business Solutions\Ecopetrol Prometeo - Documents\Planning Space Implementation\3. Analysis &amp; Design\Design\FC22\DRR Jaime\Neiva CPI\[VAO_DINA TERCIARIOS_CF_SEC_20230117.xlsx]CF PSDP'!</v>
      </c>
      <c r="G269" s="7" t="s">
        <v>100</v>
      </c>
      <c r="H269" s="4"/>
      <c r="I269" s="4"/>
      <c r="J269" s="4"/>
    </row>
    <row r="270" spans="1:10" x14ac:dyDescent="0.3">
      <c r="A270" s="7" t="s">
        <v>21</v>
      </c>
      <c r="B270" s="7">
        <f t="shared" ref="B270:B281" si="65">+B269+1</f>
        <v>2025</v>
      </c>
      <c r="C270" s="4" t="s">
        <v>31</v>
      </c>
      <c r="D270" s="5" t="s">
        <v>131</v>
      </c>
      <c r="E270" s="10" t="str">
        <f t="shared" si="64"/>
        <v>PSDP'!</v>
      </c>
      <c r="F270" s="5" t="str">
        <f t="shared" si="48"/>
        <v>C:\Users\jaime.benazar\Quorum Business Solutions\Ecopetrol Prometeo - Documents\Planning Space Implementation\3. Analysis &amp; Design\Design\FC22\DRR Jaime\Neiva CPI\[VAO_DINA TERCIARIOS_CF_SEC_20230117.xlsx]CF PSDP'!</v>
      </c>
      <c r="G270" s="7" t="s">
        <v>100</v>
      </c>
      <c r="H270" s="4"/>
      <c r="I270" s="4"/>
      <c r="J270" s="4"/>
    </row>
    <row r="271" spans="1:10" x14ac:dyDescent="0.3">
      <c r="A271" s="7" t="s">
        <v>21</v>
      </c>
      <c r="B271" s="7">
        <f t="shared" si="65"/>
        <v>2026</v>
      </c>
      <c r="C271" s="4" t="s">
        <v>31</v>
      </c>
      <c r="D271" s="5" t="s">
        <v>131</v>
      </c>
      <c r="E271" s="10" t="str">
        <f t="shared" si="64"/>
        <v>PSDP'!</v>
      </c>
      <c r="F271" s="5" t="str">
        <f t="shared" si="48"/>
        <v>C:\Users\jaime.benazar\Quorum Business Solutions\Ecopetrol Prometeo - Documents\Planning Space Implementation\3. Analysis &amp; Design\Design\FC22\DRR Jaime\Neiva CPI\[VAO_DINA TERCIARIOS_CF_SEC_20230117.xlsx]CF PSDP'!</v>
      </c>
      <c r="G271" s="7" t="s">
        <v>100</v>
      </c>
      <c r="H271" s="4"/>
      <c r="I271" s="4"/>
      <c r="J271" s="4"/>
    </row>
    <row r="272" spans="1:10" x14ac:dyDescent="0.3">
      <c r="A272" s="7" t="s">
        <v>21</v>
      </c>
      <c r="B272" s="7">
        <f t="shared" si="65"/>
        <v>2027</v>
      </c>
      <c r="C272" s="4" t="s">
        <v>31</v>
      </c>
      <c r="D272" s="5" t="s">
        <v>131</v>
      </c>
      <c r="E272" s="10" t="str">
        <f t="shared" si="64"/>
        <v>PSDP'!</v>
      </c>
      <c r="F272" s="5" t="str">
        <f t="shared" si="48"/>
        <v>C:\Users\jaime.benazar\Quorum Business Solutions\Ecopetrol Prometeo - Documents\Planning Space Implementation\3. Analysis &amp; Design\Design\FC22\DRR Jaime\Neiva CPI\[VAO_DINA TERCIARIOS_CF_SEC_20230117.xlsx]CF PSDP'!</v>
      </c>
      <c r="G272" s="7" t="s">
        <v>100</v>
      </c>
      <c r="H272" s="4"/>
      <c r="I272" s="4"/>
      <c r="J272" s="4"/>
    </row>
    <row r="273" spans="1:10" x14ac:dyDescent="0.3">
      <c r="A273" s="7" t="s">
        <v>21</v>
      </c>
      <c r="B273" s="7">
        <f t="shared" si="65"/>
        <v>2028</v>
      </c>
      <c r="C273" s="4" t="s">
        <v>31</v>
      </c>
      <c r="D273" s="5" t="s">
        <v>131</v>
      </c>
      <c r="E273" s="10" t="str">
        <f t="shared" si="64"/>
        <v>PSDP'!</v>
      </c>
      <c r="F273" s="5" t="str">
        <f t="shared" si="48"/>
        <v>C:\Users\jaime.benazar\Quorum Business Solutions\Ecopetrol Prometeo - Documents\Planning Space Implementation\3. Analysis &amp; Design\Design\FC22\DRR Jaime\Neiva CPI\[VAO_DINA TERCIARIOS_CF_SEC_20230117.xlsx]CF PSDP'!</v>
      </c>
      <c r="G273" s="7" t="s">
        <v>100</v>
      </c>
      <c r="H273" s="4"/>
      <c r="I273" s="4"/>
      <c r="J273" s="4"/>
    </row>
    <row r="274" spans="1:10" x14ac:dyDescent="0.3">
      <c r="A274" s="7" t="s">
        <v>21</v>
      </c>
      <c r="B274" s="7">
        <f t="shared" si="65"/>
        <v>2029</v>
      </c>
      <c r="C274" s="4" t="s">
        <v>31</v>
      </c>
      <c r="D274" s="5" t="s">
        <v>131</v>
      </c>
      <c r="E274" s="10" t="str">
        <f t="shared" si="64"/>
        <v>PSDP'!</v>
      </c>
      <c r="F274" s="5" t="str">
        <f t="shared" si="48"/>
        <v>C:\Users\jaime.benazar\Quorum Business Solutions\Ecopetrol Prometeo - Documents\Planning Space Implementation\3. Analysis &amp; Design\Design\FC22\DRR Jaime\Neiva CPI\[VAO_DINA TERCIARIOS_CF_SEC_20230117.xlsx]CF PSDP'!</v>
      </c>
      <c r="G274" s="7" t="s">
        <v>100</v>
      </c>
      <c r="H274" s="4"/>
      <c r="I274" s="4"/>
      <c r="J274" s="4"/>
    </row>
    <row r="275" spans="1:10" x14ac:dyDescent="0.3">
      <c r="A275" s="7" t="s">
        <v>21</v>
      </c>
      <c r="B275" s="7">
        <f t="shared" si="65"/>
        <v>2030</v>
      </c>
      <c r="C275" s="4" t="s">
        <v>31</v>
      </c>
      <c r="D275" s="5" t="s">
        <v>131</v>
      </c>
      <c r="E275" s="10" t="str">
        <f t="shared" si="64"/>
        <v>PSDP'!</v>
      </c>
      <c r="F275" s="5" t="str">
        <f t="shared" si="48"/>
        <v>C:\Users\jaime.benazar\Quorum Business Solutions\Ecopetrol Prometeo - Documents\Planning Space Implementation\3. Analysis &amp; Design\Design\FC22\DRR Jaime\Neiva CPI\[VAO_DINA TERCIARIOS_CF_SEC_20230117.xlsx]CF PSDP'!</v>
      </c>
      <c r="G275" s="7" t="s">
        <v>100</v>
      </c>
      <c r="H275" s="4"/>
      <c r="I275" s="4"/>
      <c r="J275" s="4"/>
    </row>
    <row r="276" spans="1:10" x14ac:dyDescent="0.3">
      <c r="A276" s="7" t="s">
        <v>21</v>
      </c>
      <c r="B276" s="7">
        <f t="shared" si="65"/>
        <v>2031</v>
      </c>
      <c r="C276" s="4" t="s">
        <v>31</v>
      </c>
      <c r="D276" s="5" t="s">
        <v>131</v>
      </c>
      <c r="E276" s="10" t="str">
        <f t="shared" si="64"/>
        <v>PSDP'!</v>
      </c>
      <c r="F276" s="5" t="str">
        <f t="shared" si="48"/>
        <v>C:\Users\jaime.benazar\Quorum Business Solutions\Ecopetrol Prometeo - Documents\Planning Space Implementation\3. Analysis &amp; Design\Design\FC22\DRR Jaime\Neiva CPI\[VAO_DINA TERCIARIOS_CF_SEC_20230117.xlsx]CF PSDP'!</v>
      </c>
      <c r="G276" s="7" t="s">
        <v>100</v>
      </c>
      <c r="H276" s="4"/>
      <c r="I276" s="4"/>
      <c r="J276" s="4"/>
    </row>
    <row r="277" spans="1:10" x14ac:dyDescent="0.3">
      <c r="A277" s="7" t="s">
        <v>21</v>
      </c>
      <c r="B277" s="7">
        <f t="shared" si="65"/>
        <v>2032</v>
      </c>
      <c r="C277" s="4" t="s">
        <v>31</v>
      </c>
      <c r="D277" s="5" t="s">
        <v>131</v>
      </c>
      <c r="E277" s="10" t="str">
        <f t="shared" si="64"/>
        <v>PSDP'!</v>
      </c>
      <c r="F277" s="5" t="str">
        <f t="shared" si="48"/>
        <v>C:\Users\jaime.benazar\Quorum Business Solutions\Ecopetrol Prometeo - Documents\Planning Space Implementation\3. Analysis &amp; Design\Design\FC22\DRR Jaime\Neiva CPI\[VAO_DINA TERCIARIOS_CF_SEC_20230117.xlsx]CF PSDP'!</v>
      </c>
      <c r="G277" s="7" t="s">
        <v>100</v>
      </c>
      <c r="H277" s="4"/>
      <c r="I277" s="4"/>
      <c r="J277" s="4"/>
    </row>
    <row r="278" spans="1:10" x14ac:dyDescent="0.3">
      <c r="A278" s="7" t="s">
        <v>21</v>
      </c>
      <c r="B278" s="7">
        <f t="shared" si="65"/>
        <v>2033</v>
      </c>
      <c r="C278" s="4" t="s">
        <v>31</v>
      </c>
      <c r="D278" s="5" t="s">
        <v>131</v>
      </c>
      <c r="E278" s="10" t="str">
        <f t="shared" si="64"/>
        <v>PSDP'!</v>
      </c>
      <c r="F278" s="5" t="str">
        <f t="shared" si="48"/>
        <v>C:\Users\jaime.benazar\Quorum Business Solutions\Ecopetrol Prometeo - Documents\Planning Space Implementation\3. Analysis &amp; Design\Design\FC22\DRR Jaime\Neiva CPI\[VAO_DINA TERCIARIOS_CF_SEC_20230117.xlsx]CF PSDP'!</v>
      </c>
      <c r="G278" s="7" t="s">
        <v>100</v>
      </c>
      <c r="H278" s="4"/>
      <c r="I278" s="4"/>
      <c r="J278" s="4"/>
    </row>
    <row r="279" spans="1:10" x14ac:dyDescent="0.3">
      <c r="A279" s="7" t="s">
        <v>21</v>
      </c>
      <c r="B279" s="7">
        <f t="shared" si="65"/>
        <v>2034</v>
      </c>
      <c r="C279" s="4" t="s">
        <v>31</v>
      </c>
      <c r="D279" s="5" t="s">
        <v>131</v>
      </c>
      <c r="E279" s="10" t="str">
        <f t="shared" si="64"/>
        <v>PSDP'!</v>
      </c>
      <c r="F279" s="5" t="str">
        <f t="shared" si="48"/>
        <v>C:\Users\jaime.benazar\Quorum Business Solutions\Ecopetrol Prometeo - Documents\Planning Space Implementation\3. Analysis &amp; Design\Design\FC22\DRR Jaime\Neiva CPI\[VAO_DINA TERCIARIOS_CF_SEC_20230117.xlsx]CF PSDP'!</v>
      </c>
      <c r="G279" s="7" t="s">
        <v>100</v>
      </c>
      <c r="H279" s="4"/>
      <c r="I279" s="4"/>
      <c r="J279" s="4"/>
    </row>
    <row r="280" spans="1:10" x14ac:dyDescent="0.3">
      <c r="A280" s="7" t="s">
        <v>21</v>
      </c>
      <c r="B280" s="7">
        <f t="shared" si="65"/>
        <v>2035</v>
      </c>
      <c r="C280" s="4" t="s">
        <v>31</v>
      </c>
      <c r="D280" s="5" t="s">
        <v>131</v>
      </c>
      <c r="E280" s="10" t="str">
        <f t="shared" si="64"/>
        <v>PSDP'!</v>
      </c>
      <c r="F280" s="5" t="str">
        <f t="shared" si="48"/>
        <v>C:\Users\jaime.benazar\Quorum Business Solutions\Ecopetrol Prometeo - Documents\Planning Space Implementation\3. Analysis &amp; Design\Design\FC22\DRR Jaime\Neiva CPI\[VAO_DINA TERCIARIOS_CF_SEC_20230117.xlsx]CF PSDP'!</v>
      </c>
      <c r="G280" s="7" t="s">
        <v>100</v>
      </c>
      <c r="H280" s="4"/>
      <c r="I280" s="4"/>
      <c r="J280" s="4"/>
    </row>
    <row r="281" spans="1:10" x14ac:dyDescent="0.3">
      <c r="A281" s="7" t="s">
        <v>21</v>
      </c>
      <c r="B281" s="7">
        <f t="shared" si="65"/>
        <v>2036</v>
      </c>
      <c r="C281" s="4" t="s">
        <v>31</v>
      </c>
      <c r="D281" s="5" t="s">
        <v>131</v>
      </c>
      <c r="E281" s="10" t="str">
        <f t="shared" si="64"/>
        <v>PSDP'!</v>
      </c>
      <c r="F281" s="5" t="str">
        <f t="shared" si="48"/>
        <v>C:\Users\jaime.benazar\Quorum Business Solutions\Ecopetrol Prometeo - Documents\Planning Space Implementation\3. Analysis &amp; Design\Design\FC22\DRR Jaime\Neiva CPI\[VAO_DINA TERCIARIOS_CF_SEC_20230117.xlsx]CF PSDP'!</v>
      </c>
      <c r="G281" s="7" t="s">
        <v>100</v>
      </c>
      <c r="H281" s="4"/>
      <c r="I281" s="4"/>
      <c r="J281" s="4"/>
    </row>
    <row r="282" spans="1:10" x14ac:dyDescent="0.3">
      <c r="A282" s="7" t="s">
        <v>21</v>
      </c>
      <c r="B282" s="7">
        <f>+B281+1</f>
        <v>2037</v>
      </c>
      <c r="C282" s="4" t="s">
        <v>31</v>
      </c>
      <c r="D282" s="5" t="s">
        <v>131</v>
      </c>
      <c r="E282" s="10" t="str">
        <f t="shared" si="64"/>
        <v>PSDP'!</v>
      </c>
      <c r="F282" s="5" t="str">
        <f t="shared" si="48"/>
        <v>C:\Users\jaime.benazar\Quorum Business Solutions\Ecopetrol Prometeo - Documents\Planning Space Implementation\3. Analysis &amp; Design\Design\FC22\DRR Jaime\Neiva CPI\[VAO_DINA TERCIARIOS_CF_SEC_20230117.xlsx]CF PSDP'!</v>
      </c>
      <c r="G282" s="7" t="s">
        <v>100</v>
      </c>
      <c r="H282" s="4"/>
      <c r="I282" s="4"/>
      <c r="J282" s="4"/>
    </row>
    <row r="283" spans="1:10" x14ac:dyDescent="0.3">
      <c r="A283" s="7" t="s">
        <v>21</v>
      </c>
      <c r="B283" s="7">
        <f t="shared" ref="B283:B285" si="66">+B282+1</f>
        <v>2038</v>
      </c>
      <c r="C283" s="4" t="s">
        <v>31</v>
      </c>
      <c r="D283" s="5" t="s">
        <v>131</v>
      </c>
      <c r="E283" s="10" t="str">
        <f t="shared" si="64"/>
        <v>PSDP'!</v>
      </c>
      <c r="F283" s="5" t="str">
        <f t="shared" si="48"/>
        <v>C:\Users\jaime.benazar\Quorum Business Solutions\Ecopetrol Prometeo - Documents\Planning Space Implementation\3. Analysis &amp; Design\Design\FC22\DRR Jaime\Neiva CPI\[VAO_DINA TERCIARIOS_CF_SEC_20230117.xlsx]CF PSDP'!</v>
      </c>
      <c r="G283" s="7" t="s">
        <v>100</v>
      </c>
      <c r="H283" s="4"/>
      <c r="I283" s="4"/>
      <c r="J283" s="4"/>
    </row>
    <row r="284" spans="1:10" x14ac:dyDescent="0.3">
      <c r="A284" s="7" t="s">
        <v>21</v>
      </c>
      <c r="B284" s="7">
        <f t="shared" si="66"/>
        <v>2039</v>
      </c>
      <c r="C284" s="4" t="s">
        <v>31</v>
      </c>
      <c r="D284" s="5" t="s">
        <v>131</v>
      </c>
      <c r="E284" s="10" t="str">
        <f t="shared" si="64"/>
        <v>PSDP'!</v>
      </c>
      <c r="F284" s="5" t="str">
        <f t="shared" si="48"/>
        <v>C:\Users\jaime.benazar\Quorum Business Solutions\Ecopetrol Prometeo - Documents\Planning Space Implementation\3. Analysis &amp; Design\Design\FC22\DRR Jaime\Neiva CPI\[VAO_DINA TERCIARIOS_CF_SEC_20230117.xlsx]CF PSDP'!</v>
      </c>
      <c r="G284" s="7" t="s">
        <v>100</v>
      </c>
      <c r="H284" s="4"/>
      <c r="I284" s="4"/>
      <c r="J284" s="4"/>
    </row>
    <row r="285" spans="1:10" x14ac:dyDescent="0.3">
      <c r="A285" s="7" t="s">
        <v>21</v>
      </c>
      <c r="B285" s="7">
        <f t="shared" si="66"/>
        <v>2040</v>
      </c>
      <c r="C285" s="4" t="s">
        <v>31</v>
      </c>
      <c r="D285" s="5" t="s">
        <v>131</v>
      </c>
      <c r="E285" s="10" t="str">
        <f t="shared" si="64"/>
        <v>PSDP'!</v>
      </c>
      <c r="F285" s="5" t="str">
        <f t="shared" si="48"/>
        <v>C:\Users\jaime.benazar\Quorum Business Solutions\Ecopetrol Prometeo - Documents\Planning Space Implementation\3. Analysis &amp; Design\Design\FC22\DRR Jaime\Neiva CPI\[VAO_DINA TERCIARIOS_CF_SEC_20230117.xlsx]CF PSDP'!</v>
      </c>
      <c r="G285" s="7" t="s">
        <v>100</v>
      </c>
      <c r="H285" s="4"/>
      <c r="I285" s="4"/>
      <c r="J285" s="4"/>
    </row>
    <row r="286" spans="1:10" x14ac:dyDescent="0.3">
      <c r="A286" s="7" t="s">
        <v>21</v>
      </c>
      <c r="B286" s="7">
        <f>+B285+1</f>
        <v>2041</v>
      </c>
      <c r="C286" s="4" t="s">
        <v>31</v>
      </c>
      <c r="D286" s="5" t="s">
        <v>131</v>
      </c>
      <c r="E286" s="10" t="str">
        <f t="shared" si="64"/>
        <v>PSDP'!</v>
      </c>
      <c r="F286" s="5" t="str">
        <f t="shared" si="48"/>
        <v>C:\Users\jaime.benazar\Quorum Business Solutions\Ecopetrol Prometeo - Documents\Planning Space Implementation\3. Analysis &amp; Design\Design\FC22\DRR Jaime\Neiva CPI\[VAO_DINA TERCIARIOS_CF_SEC_20230117.xlsx]CF PSDP'!</v>
      </c>
      <c r="G286" s="7" t="s">
        <v>100</v>
      </c>
      <c r="H286" s="4"/>
      <c r="I286" s="4"/>
      <c r="J286" s="4"/>
    </row>
    <row r="287" spans="1:10" x14ac:dyDescent="0.3">
      <c r="A287" s="7" t="s">
        <v>21</v>
      </c>
      <c r="B287" s="7">
        <f t="shared" ref="B287:B288" si="67">+B286+1</f>
        <v>2042</v>
      </c>
      <c r="C287" s="4" t="s">
        <v>31</v>
      </c>
      <c r="D287" s="5" t="s">
        <v>131</v>
      </c>
      <c r="E287" s="10" t="str">
        <f t="shared" si="64"/>
        <v>PSDP'!</v>
      </c>
      <c r="F287" s="5" t="str">
        <f t="shared" si="48"/>
        <v>C:\Users\jaime.benazar\Quorum Business Solutions\Ecopetrol Prometeo - Documents\Planning Space Implementation\3. Analysis &amp; Design\Design\FC22\DRR Jaime\Neiva CPI\[VAO_DINA TERCIARIOS_CF_SEC_20230117.xlsx]CF PSDP'!</v>
      </c>
      <c r="G287" s="7" t="s">
        <v>100</v>
      </c>
      <c r="H287" s="4"/>
      <c r="I287" s="4"/>
      <c r="J287" s="4"/>
    </row>
    <row r="288" spans="1:10" x14ac:dyDescent="0.3">
      <c r="A288" s="7" t="s">
        <v>21</v>
      </c>
      <c r="B288" s="7">
        <f t="shared" si="67"/>
        <v>2043</v>
      </c>
      <c r="C288" s="4" t="s">
        <v>31</v>
      </c>
      <c r="D288" s="5" t="s">
        <v>131</v>
      </c>
      <c r="E288" s="10" t="str">
        <f t="shared" si="64"/>
        <v>PSDP'!</v>
      </c>
      <c r="F288" s="5" t="str">
        <f t="shared" si="48"/>
        <v>C:\Users\jaime.benazar\Quorum Business Solutions\Ecopetrol Prometeo - Documents\Planning Space Implementation\3. Analysis &amp; Design\Design\FC22\DRR Jaime\Neiva CPI\[VAO_DINA TERCIARIOS_CF_SEC_20230117.xlsx]CF PSDP'!</v>
      </c>
      <c r="G288" s="7" t="s">
        <v>100</v>
      </c>
      <c r="H288" s="4"/>
      <c r="I288" s="4"/>
      <c r="J288" s="4"/>
    </row>
    <row r="289" spans="1:10" x14ac:dyDescent="0.3">
      <c r="A289" s="7" t="s">
        <v>21</v>
      </c>
      <c r="B289" s="7">
        <f>+B288+1</f>
        <v>2044</v>
      </c>
      <c r="C289" s="4" t="s">
        <v>31</v>
      </c>
      <c r="D289" s="5" t="s">
        <v>131</v>
      </c>
      <c r="E289" s="10" t="str">
        <f t="shared" ref="E289:E304" si="68">_xlfn.CONCAT(A289,"'!")</f>
        <v>PSDP'!</v>
      </c>
      <c r="F289" s="5" t="str">
        <f t="shared" ref="F289:F304" si="69">_xlfn.CONCAT(D289," ",E289)</f>
        <v>C:\Users\jaime.benazar\Quorum Business Solutions\Ecopetrol Prometeo - Documents\Planning Space Implementation\3. Analysis &amp; Design\Design\FC22\DRR Jaime\Neiva CPI\[VAO_DINA TERCIARIOS_CF_SEC_20230117.xlsx]CF PSDP'!</v>
      </c>
      <c r="G289" s="7" t="s">
        <v>100</v>
      </c>
      <c r="H289" s="4"/>
      <c r="I289" s="4"/>
      <c r="J289" s="4"/>
    </row>
    <row r="290" spans="1:10" x14ac:dyDescent="0.3">
      <c r="A290" s="7" t="s">
        <v>21</v>
      </c>
      <c r="B290" s="7">
        <f t="shared" ref="B290:B304" si="70">+B289+1</f>
        <v>2045</v>
      </c>
      <c r="C290" s="4" t="s">
        <v>31</v>
      </c>
      <c r="D290" s="5" t="s">
        <v>131</v>
      </c>
      <c r="E290" s="10" t="str">
        <f t="shared" si="68"/>
        <v>PSDP'!</v>
      </c>
      <c r="F290" s="5" t="str">
        <f t="shared" si="69"/>
        <v>C:\Users\jaime.benazar\Quorum Business Solutions\Ecopetrol Prometeo - Documents\Planning Space Implementation\3. Analysis &amp; Design\Design\FC22\DRR Jaime\Neiva CPI\[VAO_DINA TERCIARIOS_CF_SEC_20230117.xlsx]CF PSDP'!</v>
      </c>
      <c r="G290" s="7" t="s">
        <v>100</v>
      </c>
      <c r="H290" s="4"/>
      <c r="I290" s="4"/>
      <c r="J290" s="4"/>
    </row>
    <row r="291" spans="1:10" x14ac:dyDescent="0.3">
      <c r="A291" s="7" t="s">
        <v>21</v>
      </c>
      <c r="B291" s="7">
        <f t="shared" si="70"/>
        <v>2046</v>
      </c>
      <c r="C291" s="4" t="s">
        <v>31</v>
      </c>
      <c r="D291" s="5" t="s">
        <v>131</v>
      </c>
      <c r="E291" s="10" t="str">
        <f t="shared" si="68"/>
        <v>PSDP'!</v>
      </c>
      <c r="F291" s="5" t="str">
        <f t="shared" si="69"/>
        <v>C:\Users\jaime.benazar\Quorum Business Solutions\Ecopetrol Prometeo - Documents\Planning Space Implementation\3. Analysis &amp; Design\Design\FC22\DRR Jaime\Neiva CPI\[VAO_DINA TERCIARIOS_CF_SEC_20230117.xlsx]CF PSDP'!</v>
      </c>
      <c r="G291" s="7" t="s">
        <v>100</v>
      </c>
      <c r="H291" s="4"/>
      <c r="I291" s="4"/>
      <c r="J291" s="4"/>
    </row>
    <row r="292" spans="1:10" x14ac:dyDescent="0.3">
      <c r="A292" s="7" t="s">
        <v>21</v>
      </c>
      <c r="B292" s="7">
        <f t="shared" si="70"/>
        <v>2047</v>
      </c>
      <c r="C292" s="4" t="s">
        <v>31</v>
      </c>
      <c r="D292" s="5" t="s">
        <v>131</v>
      </c>
      <c r="E292" s="10" t="str">
        <f t="shared" si="68"/>
        <v>PSDP'!</v>
      </c>
      <c r="F292" s="5" t="str">
        <f t="shared" si="69"/>
        <v>C:\Users\jaime.benazar\Quorum Business Solutions\Ecopetrol Prometeo - Documents\Planning Space Implementation\3. Analysis &amp; Design\Design\FC22\DRR Jaime\Neiva CPI\[VAO_DINA TERCIARIOS_CF_SEC_20230117.xlsx]CF PSDP'!</v>
      </c>
      <c r="G292" s="7" t="s">
        <v>100</v>
      </c>
      <c r="H292" s="4"/>
      <c r="I292" s="4"/>
      <c r="J292" s="4"/>
    </row>
    <row r="293" spans="1:10" x14ac:dyDescent="0.3">
      <c r="A293" s="7" t="s">
        <v>21</v>
      </c>
      <c r="B293" s="7">
        <f t="shared" si="70"/>
        <v>2048</v>
      </c>
      <c r="C293" s="4" t="s">
        <v>31</v>
      </c>
      <c r="D293" s="5" t="s">
        <v>131</v>
      </c>
      <c r="E293" s="10" t="str">
        <f t="shared" si="68"/>
        <v>PSDP'!</v>
      </c>
      <c r="F293" s="5" t="str">
        <f t="shared" si="69"/>
        <v>C:\Users\jaime.benazar\Quorum Business Solutions\Ecopetrol Prometeo - Documents\Planning Space Implementation\3. Analysis &amp; Design\Design\FC22\DRR Jaime\Neiva CPI\[VAO_DINA TERCIARIOS_CF_SEC_20230117.xlsx]CF PSDP'!</v>
      </c>
      <c r="G293" s="7" t="s">
        <v>100</v>
      </c>
      <c r="H293" s="4"/>
      <c r="I293" s="4"/>
      <c r="J293" s="4"/>
    </row>
    <row r="294" spans="1:10" x14ac:dyDescent="0.3">
      <c r="A294" s="7" t="s">
        <v>21</v>
      </c>
      <c r="B294" s="7">
        <f t="shared" si="70"/>
        <v>2049</v>
      </c>
      <c r="C294" s="4" t="s">
        <v>31</v>
      </c>
      <c r="D294" s="5" t="s">
        <v>131</v>
      </c>
      <c r="E294" s="10" t="str">
        <f t="shared" si="68"/>
        <v>PSDP'!</v>
      </c>
      <c r="F294" s="5" t="str">
        <f t="shared" si="69"/>
        <v>C:\Users\jaime.benazar\Quorum Business Solutions\Ecopetrol Prometeo - Documents\Planning Space Implementation\3. Analysis &amp; Design\Design\FC22\DRR Jaime\Neiva CPI\[VAO_DINA TERCIARIOS_CF_SEC_20230117.xlsx]CF PSDP'!</v>
      </c>
      <c r="G294" s="7" t="s">
        <v>100</v>
      </c>
      <c r="H294" s="4"/>
      <c r="I294" s="4"/>
      <c r="J294" s="4"/>
    </row>
    <row r="295" spans="1:10" x14ac:dyDescent="0.3">
      <c r="A295" s="7" t="s">
        <v>21</v>
      </c>
      <c r="B295" s="7">
        <f t="shared" si="70"/>
        <v>2050</v>
      </c>
      <c r="C295" s="4" t="s">
        <v>31</v>
      </c>
      <c r="D295" s="5" t="s">
        <v>131</v>
      </c>
      <c r="E295" s="10" t="str">
        <f t="shared" si="68"/>
        <v>PSDP'!</v>
      </c>
      <c r="F295" s="5" t="str">
        <f t="shared" si="69"/>
        <v>C:\Users\jaime.benazar\Quorum Business Solutions\Ecopetrol Prometeo - Documents\Planning Space Implementation\3. Analysis &amp; Design\Design\FC22\DRR Jaime\Neiva CPI\[VAO_DINA TERCIARIOS_CF_SEC_20230117.xlsx]CF PSDP'!</v>
      </c>
      <c r="G295" s="7" t="s">
        <v>100</v>
      </c>
      <c r="H295" s="4"/>
      <c r="I295" s="4"/>
      <c r="J295" s="4"/>
    </row>
    <row r="296" spans="1:10" x14ac:dyDescent="0.3">
      <c r="A296" s="7" t="s">
        <v>21</v>
      </c>
      <c r="B296" s="7">
        <f t="shared" si="70"/>
        <v>2051</v>
      </c>
      <c r="C296" s="4" t="s">
        <v>31</v>
      </c>
      <c r="D296" s="5" t="s">
        <v>131</v>
      </c>
      <c r="E296" s="10" t="str">
        <f t="shared" si="68"/>
        <v>PSDP'!</v>
      </c>
      <c r="F296" s="5" t="str">
        <f t="shared" si="69"/>
        <v>C:\Users\jaime.benazar\Quorum Business Solutions\Ecopetrol Prometeo - Documents\Planning Space Implementation\3. Analysis &amp; Design\Design\FC22\DRR Jaime\Neiva CPI\[VAO_DINA TERCIARIOS_CF_SEC_20230117.xlsx]CF PSDP'!</v>
      </c>
      <c r="G296" s="7" t="s">
        <v>100</v>
      </c>
      <c r="H296" s="4"/>
      <c r="I296" s="4"/>
      <c r="J296" s="4"/>
    </row>
    <row r="297" spans="1:10" x14ac:dyDescent="0.3">
      <c r="A297" s="7" t="s">
        <v>21</v>
      </c>
      <c r="B297" s="7">
        <f t="shared" si="70"/>
        <v>2052</v>
      </c>
      <c r="C297" s="4" t="s">
        <v>31</v>
      </c>
      <c r="D297" s="5" t="s">
        <v>131</v>
      </c>
      <c r="E297" s="10" t="str">
        <f t="shared" si="68"/>
        <v>PSDP'!</v>
      </c>
      <c r="F297" s="5" t="str">
        <f t="shared" si="69"/>
        <v>C:\Users\jaime.benazar\Quorum Business Solutions\Ecopetrol Prometeo - Documents\Planning Space Implementation\3. Analysis &amp; Design\Design\FC22\DRR Jaime\Neiva CPI\[VAO_DINA TERCIARIOS_CF_SEC_20230117.xlsx]CF PSDP'!</v>
      </c>
      <c r="G297" s="7" t="s">
        <v>100</v>
      </c>
      <c r="H297" s="4"/>
      <c r="I297" s="4"/>
      <c r="J297" s="4"/>
    </row>
    <row r="298" spans="1:10" x14ac:dyDescent="0.3">
      <c r="A298" s="7" t="s">
        <v>21</v>
      </c>
      <c r="B298" s="7">
        <f t="shared" si="70"/>
        <v>2053</v>
      </c>
      <c r="C298" s="4" t="s">
        <v>31</v>
      </c>
      <c r="D298" s="5" t="s">
        <v>131</v>
      </c>
      <c r="E298" s="10" t="str">
        <f t="shared" si="68"/>
        <v>PSDP'!</v>
      </c>
      <c r="F298" s="5" t="str">
        <f t="shared" si="69"/>
        <v>C:\Users\jaime.benazar\Quorum Business Solutions\Ecopetrol Prometeo - Documents\Planning Space Implementation\3. Analysis &amp; Design\Design\FC22\DRR Jaime\Neiva CPI\[VAO_DINA TERCIARIOS_CF_SEC_20230117.xlsx]CF PSDP'!</v>
      </c>
      <c r="G298" s="7" t="s">
        <v>100</v>
      </c>
      <c r="H298" s="4"/>
      <c r="I298" s="4"/>
      <c r="J298" s="4"/>
    </row>
    <row r="299" spans="1:10" x14ac:dyDescent="0.3">
      <c r="A299" s="7" t="s">
        <v>21</v>
      </c>
      <c r="B299" s="7">
        <f t="shared" si="70"/>
        <v>2054</v>
      </c>
      <c r="C299" s="4" t="s">
        <v>31</v>
      </c>
      <c r="D299" s="5" t="s">
        <v>131</v>
      </c>
      <c r="E299" s="10" t="str">
        <f t="shared" si="68"/>
        <v>PSDP'!</v>
      </c>
      <c r="F299" s="5" t="str">
        <f t="shared" si="69"/>
        <v>C:\Users\jaime.benazar\Quorum Business Solutions\Ecopetrol Prometeo - Documents\Planning Space Implementation\3. Analysis &amp; Design\Design\FC22\DRR Jaime\Neiva CPI\[VAO_DINA TERCIARIOS_CF_SEC_20230117.xlsx]CF PSDP'!</v>
      </c>
      <c r="G299" s="7" t="s">
        <v>100</v>
      </c>
      <c r="H299" s="4"/>
      <c r="I299" s="4"/>
      <c r="J299" s="4"/>
    </row>
    <row r="300" spans="1:10" x14ac:dyDescent="0.3">
      <c r="A300" s="7" t="s">
        <v>21</v>
      </c>
      <c r="B300" s="7">
        <f t="shared" si="70"/>
        <v>2055</v>
      </c>
      <c r="C300" s="4" t="s">
        <v>31</v>
      </c>
      <c r="D300" s="5" t="s">
        <v>131</v>
      </c>
      <c r="E300" s="10" t="str">
        <f t="shared" si="68"/>
        <v>PSDP'!</v>
      </c>
      <c r="F300" s="5" t="str">
        <f t="shared" si="69"/>
        <v>C:\Users\jaime.benazar\Quorum Business Solutions\Ecopetrol Prometeo - Documents\Planning Space Implementation\3. Analysis &amp; Design\Design\FC22\DRR Jaime\Neiva CPI\[VAO_DINA TERCIARIOS_CF_SEC_20230117.xlsx]CF PSDP'!</v>
      </c>
      <c r="G300" s="7" t="s">
        <v>100</v>
      </c>
      <c r="H300" s="4"/>
      <c r="I300" s="4"/>
      <c r="J300" s="4"/>
    </row>
    <row r="301" spans="1:10" x14ac:dyDescent="0.3">
      <c r="A301" s="7" t="s">
        <v>21</v>
      </c>
      <c r="B301" s="7">
        <f t="shared" si="70"/>
        <v>2056</v>
      </c>
      <c r="C301" s="4" t="s">
        <v>31</v>
      </c>
      <c r="D301" s="5" t="s">
        <v>131</v>
      </c>
      <c r="E301" s="10" t="str">
        <f t="shared" si="68"/>
        <v>PSDP'!</v>
      </c>
      <c r="F301" s="5" t="str">
        <f t="shared" si="69"/>
        <v>C:\Users\jaime.benazar\Quorum Business Solutions\Ecopetrol Prometeo - Documents\Planning Space Implementation\3. Analysis &amp; Design\Design\FC22\DRR Jaime\Neiva CPI\[VAO_DINA TERCIARIOS_CF_SEC_20230117.xlsx]CF PSDP'!</v>
      </c>
      <c r="G301" s="7" t="s">
        <v>100</v>
      </c>
      <c r="H301" s="4"/>
      <c r="I301" s="4"/>
      <c r="J301" s="4"/>
    </row>
    <row r="302" spans="1:10" x14ac:dyDescent="0.3">
      <c r="A302" s="7" t="s">
        <v>21</v>
      </c>
      <c r="B302" s="7">
        <f t="shared" si="70"/>
        <v>2057</v>
      </c>
      <c r="C302" s="4" t="s">
        <v>31</v>
      </c>
      <c r="D302" s="5" t="s">
        <v>131</v>
      </c>
      <c r="E302" s="10" t="str">
        <f t="shared" si="68"/>
        <v>PSDP'!</v>
      </c>
      <c r="F302" s="5" t="str">
        <f t="shared" si="69"/>
        <v>C:\Users\jaime.benazar\Quorum Business Solutions\Ecopetrol Prometeo - Documents\Planning Space Implementation\3. Analysis &amp; Design\Design\FC22\DRR Jaime\Neiva CPI\[VAO_DINA TERCIARIOS_CF_SEC_20230117.xlsx]CF PSDP'!</v>
      </c>
      <c r="G302" s="7" t="s">
        <v>100</v>
      </c>
      <c r="H302" s="4"/>
      <c r="I302" s="4"/>
      <c r="J302" s="4"/>
    </row>
    <row r="303" spans="1:10" x14ac:dyDescent="0.3">
      <c r="A303" s="7" t="s">
        <v>21</v>
      </c>
      <c r="B303" s="7">
        <f t="shared" si="70"/>
        <v>2058</v>
      </c>
      <c r="C303" s="4" t="s">
        <v>31</v>
      </c>
      <c r="D303" s="5" t="s">
        <v>131</v>
      </c>
      <c r="E303" s="10" t="str">
        <f t="shared" si="68"/>
        <v>PSDP'!</v>
      </c>
      <c r="F303" s="5" t="str">
        <f t="shared" si="69"/>
        <v>C:\Users\jaime.benazar\Quorum Business Solutions\Ecopetrol Prometeo - Documents\Planning Space Implementation\3. Analysis &amp; Design\Design\FC22\DRR Jaime\Neiva CPI\[VAO_DINA TERCIARIOS_CF_SEC_20230117.xlsx]CF PSDP'!</v>
      </c>
      <c r="G303" s="7" t="s">
        <v>100</v>
      </c>
      <c r="H303" s="4"/>
      <c r="I303" s="4"/>
      <c r="J303" s="4"/>
    </row>
    <row r="304" spans="1:10" x14ac:dyDescent="0.3">
      <c r="A304" s="7" t="s">
        <v>21</v>
      </c>
      <c r="B304" s="7">
        <f t="shared" si="70"/>
        <v>2059</v>
      </c>
      <c r="C304" s="4" t="s">
        <v>31</v>
      </c>
      <c r="D304" s="5" t="s">
        <v>131</v>
      </c>
      <c r="E304" s="10" t="str">
        <f t="shared" si="68"/>
        <v>PSDP'!</v>
      </c>
      <c r="F304" s="5" t="str">
        <f t="shared" si="69"/>
        <v>C:\Users\jaime.benazar\Quorum Business Solutions\Ecopetrol Prometeo - Documents\Planning Space Implementation\3. Analysis &amp; Design\Design\FC22\DRR Jaime\Neiva CPI\[VAO_DINA TERCIARIOS_CF_SEC_20230117.xlsx]CF PSDP'!</v>
      </c>
      <c r="G304" s="7" t="s">
        <v>100</v>
      </c>
      <c r="H304" s="4"/>
      <c r="I304" s="4"/>
      <c r="J304" s="4"/>
    </row>
    <row r="305" spans="1:10" x14ac:dyDescent="0.3">
      <c r="A305" s="7" t="s">
        <v>26</v>
      </c>
      <c r="B305" s="7"/>
      <c r="C305" s="4" t="s">
        <v>31</v>
      </c>
      <c r="D305" s="5"/>
      <c r="E305" s="10"/>
      <c r="F305" s="5" t="str">
        <f t="shared" si="48"/>
        <v xml:space="preserve"> </v>
      </c>
      <c r="G305" s="7"/>
      <c r="H305" s="4"/>
      <c r="I305" s="4"/>
      <c r="J305" s="4"/>
    </row>
    <row r="306" spans="1:10" x14ac:dyDescent="0.3">
      <c r="A306" s="7" t="s">
        <v>22</v>
      </c>
      <c r="B306" s="7">
        <v>2023</v>
      </c>
      <c r="C306" s="4" t="s">
        <v>31</v>
      </c>
      <c r="D306" s="5" t="s">
        <v>131</v>
      </c>
      <c r="E306" s="10" t="str">
        <f t="shared" ref="E306:E326" si="71">_xlfn.CONCAT(A306,"'!")</f>
        <v>PSNP'!</v>
      </c>
      <c r="F306" s="5" t="str">
        <f t="shared" si="48"/>
        <v>C:\Users\jaime.benazar\Quorum Business Solutions\Ecopetrol Prometeo - Documents\Planning Space Implementation\3. Analysis &amp; Design\Design\FC22\DRR Jaime\Neiva CPI\[VAO_DINA TERCIARIOS_CF_SEC_20230117.xlsx]CF PSNP'!</v>
      </c>
      <c r="G306" s="7" t="s">
        <v>100</v>
      </c>
      <c r="H306" s="4"/>
      <c r="I306" s="4"/>
      <c r="J306" s="4"/>
    </row>
    <row r="307" spans="1:10" x14ac:dyDescent="0.3">
      <c r="A307" s="7" t="s">
        <v>22</v>
      </c>
      <c r="B307" s="7">
        <f>+B306+1</f>
        <v>2024</v>
      </c>
      <c r="C307" s="4" t="s">
        <v>31</v>
      </c>
      <c r="D307" s="5" t="s">
        <v>131</v>
      </c>
      <c r="E307" s="10" t="str">
        <f t="shared" si="71"/>
        <v>PSNP'!</v>
      </c>
      <c r="F307" s="5" t="str">
        <f t="shared" ref="F307:F398" si="72">_xlfn.CONCAT(D307," ",E307)</f>
        <v>C:\Users\jaime.benazar\Quorum Business Solutions\Ecopetrol Prometeo - Documents\Planning Space Implementation\3. Analysis &amp; Design\Design\FC22\DRR Jaime\Neiva CPI\[VAO_DINA TERCIARIOS_CF_SEC_20230117.xlsx]CF PSNP'!</v>
      </c>
      <c r="G307" s="7" t="s">
        <v>100</v>
      </c>
      <c r="H307" s="4"/>
      <c r="I307" s="4"/>
      <c r="J307" s="4"/>
    </row>
    <row r="308" spans="1:10" x14ac:dyDescent="0.3">
      <c r="A308" s="7" t="s">
        <v>22</v>
      </c>
      <c r="B308" s="7">
        <f t="shared" ref="B308:B319" si="73">+B307+1</f>
        <v>2025</v>
      </c>
      <c r="C308" s="4" t="s">
        <v>31</v>
      </c>
      <c r="D308" s="5" t="s">
        <v>131</v>
      </c>
      <c r="E308" s="10" t="str">
        <f t="shared" si="71"/>
        <v>PSNP'!</v>
      </c>
      <c r="F308" s="5" t="str">
        <f t="shared" si="72"/>
        <v>C:\Users\jaime.benazar\Quorum Business Solutions\Ecopetrol Prometeo - Documents\Planning Space Implementation\3. Analysis &amp; Design\Design\FC22\DRR Jaime\Neiva CPI\[VAO_DINA TERCIARIOS_CF_SEC_20230117.xlsx]CF PSNP'!</v>
      </c>
      <c r="G308" s="7" t="s">
        <v>100</v>
      </c>
      <c r="H308" s="4"/>
      <c r="I308" s="4"/>
      <c r="J308" s="4"/>
    </row>
    <row r="309" spans="1:10" x14ac:dyDescent="0.3">
      <c r="A309" s="7" t="s">
        <v>22</v>
      </c>
      <c r="B309" s="7">
        <f t="shared" si="73"/>
        <v>2026</v>
      </c>
      <c r="C309" s="4" t="s">
        <v>31</v>
      </c>
      <c r="D309" s="5" t="s">
        <v>131</v>
      </c>
      <c r="E309" s="10" t="str">
        <f t="shared" si="71"/>
        <v>PSNP'!</v>
      </c>
      <c r="F309" s="5" t="str">
        <f t="shared" si="72"/>
        <v>C:\Users\jaime.benazar\Quorum Business Solutions\Ecopetrol Prometeo - Documents\Planning Space Implementation\3. Analysis &amp; Design\Design\FC22\DRR Jaime\Neiva CPI\[VAO_DINA TERCIARIOS_CF_SEC_20230117.xlsx]CF PSNP'!</v>
      </c>
      <c r="G309" s="7" t="s">
        <v>100</v>
      </c>
      <c r="H309" s="4"/>
      <c r="I309" s="4"/>
      <c r="J309" s="4"/>
    </row>
    <row r="310" spans="1:10" x14ac:dyDescent="0.3">
      <c r="A310" s="7" t="s">
        <v>22</v>
      </c>
      <c r="B310" s="7">
        <f t="shared" si="73"/>
        <v>2027</v>
      </c>
      <c r="C310" s="4" t="s">
        <v>31</v>
      </c>
      <c r="D310" s="5" t="s">
        <v>131</v>
      </c>
      <c r="E310" s="10" t="str">
        <f t="shared" si="71"/>
        <v>PSNP'!</v>
      </c>
      <c r="F310" s="5" t="str">
        <f t="shared" si="72"/>
        <v>C:\Users\jaime.benazar\Quorum Business Solutions\Ecopetrol Prometeo - Documents\Planning Space Implementation\3. Analysis &amp; Design\Design\FC22\DRR Jaime\Neiva CPI\[VAO_DINA TERCIARIOS_CF_SEC_20230117.xlsx]CF PSNP'!</v>
      </c>
      <c r="G310" s="7" t="s">
        <v>100</v>
      </c>
      <c r="H310" s="4"/>
      <c r="I310" s="4"/>
      <c r="J310" s="4"/>
    </row>
    <row r="311" spans="1:10" x14ac:dyDescent="0.3">
      <c r="A311" s="7" t="s">
        <v>22</v>
      </c>
      <c r="B311" s="7">
        <f t="shared" si="73"/>
        <v>2028</v>
      </c>
      <c r="C311" s="4" t="s">
        <v>31</v>
      </c>
      <c r="D311" s="5" t="s">
        <v>131</v>
      </c>
      <c r="E311" s="10" t="str">
        <f t="shared" si="71"/>
        <v>PSNP'!</v>
      </c>
      <c r="F311" s="5" t="str">
        <f t="shared" si="72"/>
        <v>C:\Users\jaime.benazar\Quorum Business Solutions\Ecopetrol Prometeo - Documents\Planning Space Implementation\3. Analysis &amp; Design\Design\FC22\DRR Jaime\Neiva CPI\[VAO_DINA TERCIARIOS_CF_SEC_20230117.xlsx]CF PSNP'!</v>
      </c>
      <c r="G311" s="7" t="s">
        <v>100</v>
      </c>
      <c r="H311" s="4"/>
      <c r="I311" s="4"/>
      <c r="J311" s="4"/>
    </row>
    <row r="312" spans="1:10" x14ac:dyDescent="0.3">
      <c r="A312" s="7" t="s">
        <v>22</v>
      </c>
      <c r="B312" s="7">
        <f t="shared" si="73"/>
        <v>2029</v>
      </c>
      <c r="C312" s="4" t="s">
        <v>31</v>
      </c>
      <c r="D312" s="5" t="s">
        <v>131</v>
      </c>
      <c r="E312" s="10" t="str">
        <f t="shared" si="71"/>
        <v>PSNP'!</v>
      </c>
      <c r="F312" s="5" t="str">
        <f t="shared" si="72"/>
        <v>C:\Users\jaime.benazar\Quorum Business Solutions\Ecopetrol Prometeo - Documents\Planning Space Implementation\3. Analysis &amp; Design\Design\FC22\DRR Jaime\Neiva CPI\[VAO_DINA TERCIARIOS_CF_SEC_20230117.xlsx]CF PSNP'!</v>
      </c>
      <c r="G312" s="7" t="s">
        <v>100</v>
      </c>
      <c r="H312" s="4"/>
      <c r="I312" s="4"/>
      <c r="J312" s="4"/>
    </row>
    <row r="313" spans="1:10" x14ac:dyDescent="0.3">
      <c r="A313" s="7" t="s">
        <v>22</v>
      </c>
      <c r="B313" s="7">
        <f t="shared" si="73"/>
        <v>2030</v>
      </c>
      <c r="C313" s="4" t="s">
        <v>31</v>
      </c>
      <c r="D313" s="5" t="s">
        <v>131</v>
      </c>
      <c r="E313" s="10" t="str">
        <f t="shared" si="71"/>
        <v>PSNP'!</v>
      </c>
      <c r="F313" s="5" t="str">
        <f t="shared" si="72"/>
        <v>C:\Users\jaime.benazar\Quorum Business Solutions\Ecopetrol Prometeo - Documents\Planning Space Implementation\3. Analysis &amp; Design\Design\FC22\DRR Jaime\Neiva CPI\[VAO_DINA TERCIARIOS_CF_SEC_20230117.xlsx]CF PSNP'!</v>
      </c>
      <c r="G313" s="7" t="s">
        <v>100</v>
      </c>
      <c r="H313" s="4"/>
      <c r="I313" s="4"/>
      <c r="J313" s="4"/>
    </row>
    <row r="314" spans="1:10" x14ac:dyDescent="0.3">
      <c r="A314" s="7" t="s">
        <v>22</v>
      </c>
      <c r="B314" s="7">
        <f t="shared" si="73"/>
        <v>2031</v>
      </c>
      <c r="C314" s="4" t="s">
        <v>31</v>
      </c>
      <c r="D314" s="5" t="s">
        <v>131</v>
      </c>
      <c r="E314" s="10" t="str">
        <f t="shared" si="71"/>
        <v>PSNP'!</v>
      </c>
      <c r="F314" s="5" t="str">
        <f t="shared" si="72"/>
        <v>C:\Users\jaime.benazar\Quorum Business Solutions\Ecopetrol Prometeo - Documents\Planning Space Implementation\3. Analysis &amp; Design\Design\FC22\DRR Jaime\Neiva CPI\[VAO_DINA TERCIARIOS_CF_SEC_20230117.xlsx]CF PSNP'!</v>
      </c>
      <c r="G314" s="7" t="s">
        <v>100</v>
      </c>
      <c r="H314" s="4"/>
      <c r="I314" s="4"/>
      <c r="J314" s="4"/>
    </row>
    <row r="315" spans="1:10" x14ac:dyDescent="0.3">
      <c r="A315" s="7" t="s">
        <v>22</v>
      </c>
      <c r="B315" s="7">
        <f t="shared" si="73"/>
        <v>2032</v>
      </c>
      <c r="C315" s="4" t="s">
        <v>31</v>
      </c>
      <c r="D315" s="5" t="s">
        <v>131</v>
      </c>
      <c r="E315" s="10" t="str">
        <f t="shared" si="71"/>
        <v>PSNP'!</v>
      </c>
      <c r="F315" s="5" t="str">
        <f t="shared" si="72"/>
        <v>C:\Users\jaime.benazar\Quorum Business Solutions\Ecopetrol Prometeo - Documents\Planning Space Implementation\3. Analysis &amp; Design\Design\FC22\DRR Jaime\Neiva CPI\[VAO_DINA TERCIARIOS_CF_SEC_20230117.xlsx]CF PSNP'!</v>
      </c>
      <c r="G315" s="7" t="s">
        <v>100</v>
      </c>
      <c r="H315" s="4"/>
      <c r="I315" s="4"/>
      <c r="J315" s="4"/>
    </row>
    <row r="316" spans="1:10" x14ac:dyDescent="0.3">
      <c r="A316" s="7" t="s">
        <v>22</v>
      </c>
      <c r="B316" s="7">
        <f t="shared" si="73"/>
        <v>2033</v>
      </c>
      <c r="C316" s="4" t="s">
        <v>31</v>
      </c>
      <c r="D316" s="5" t="s">
        <v>131</v>
      </c>
      <c r="E316" s="10" t="str">
        <f t="shared" si="71"/>
        <v>PSNP'!</v>
      </c>
      <c r="F316" s="5" t="str">
        <f t="shared" si="72"/>
        <v>C:\Users\jaime.benazar\Quorum Business Solutions\Ecopetrol Prometeo - Documents\Planning Space Implementation\3. Analysis &amp; Design\Design\FC22\DRR Jaime\Neiva CPI\[VAO_DINA TERCIARIOS_CF_SEC_20230117.xlsx]CF PSNP'!</v>
      </c>
      <c r="G316" s="7" t="s">
        <v>100</v>
      </c>
      <c r="H316" s="4"/>
      <c r="I316" s="4"/>
      <c r="J316" s="4"/>
    </row>
    <row r="317" spans="1:10" x14ac:dyDescent="0.3">
      <c r="A317" s="7" t="s">
        <v>22</v>
      </c>
      <c r="B317" s="7">
        <f t="shared" si="73"/>
        <v>2034</v>
      </c>
      <c r="C317" s="4" t="s">
        <v>31</v>
      </c>
      <c r="D317" s="5" t="s">
        <v>131</v>
      </c>
      <c r="E317" s="10" t="str">
        <f t="shared" si="71"/>
        <v>PSNP'!</v>
      </c>
      <c r="F317" s="5" t="str">
        <f t="shared" si="72"/>
        <v>C:\Users\jaime.benazar\Quorum Business Solutions\Ecopetrol Prometeo - Documents\Planning Space Implementation\3. Analysis &amp; Design\Design\FC22\DRR Jaime\Neiva CPI\[VAO_DINA TERCIARIOS_CF_SEC_20230117.xlsx]CF PSNP'!</v>
      </c>
      <c r="G317" s="7" t="s">
        <v>100</v>
      </c>
      <c r="H317" s="4"/>
      <c r="I317" s="4"/>
      <c r="J317" s="4"/>
    </row>
    <row r="318" spans="1:10" x14ac:dyDescent="0.3">
      <c r="A318" s="7" t="s">
        <v>22</v>
      </c>
      <c r="B318" s="7">
        <f t="shared" si="73"/>
        <v>2035</v>
      </c>
      <c r="C318" s="4" t="s">
        <v>31</v>
      </c>
      <c r="D318" s="5" t="s">
        <v>131</v>
      </c>
      <c r="E318" s="10" t="str">
        <f t="shared" si="71"/>
        <v>PSNP'!</v>
      </c>
      <c r="F318" s="5" t="str">
        <f t="shared" si="72"/>
        <v>C:\Users\jaime.benazar\Quorum Business Solutions\Ecopetrol Prometeo - Documents\Planning Space Implementation\3. Analysis &amp; Design\Design\FC22\DRR Jaime\Neiva CPI\[VAO_DINA TERCIARIOS_CF_SEC_20230117.xlsx]CF PSNP'!</v>
      </c>
      <c r="G318" s="7" t="s">
        <v>100</v>
      </c>
      <c r="H318" s="4"/>
      <c r="I318" s="4"/>
      <c r="J318" s="4"/>
    </row>
    <row r="319" spans="1:10" x14ac:dyDescent="0.3">
      <c r="A319" s="7" t="s">
        <v>22</v>
      </c>
      <c r="B319" s="7">
        <f t="shared" si="73"/>
        <v>2036</v>
      </c>
      <c r="C319" s="4" t="s">
        <v>31</v>
      </c>
      <c r="D319" s="5" t="s">
        <v>131</v>
      </c>
      <c r="E319" s="10" t="str">
        <f t="shared" si="71"/>
        <v>PSNP'!</v>
      </c>
      <c r="F319" s="5" t="str">
        <f t="shared" si="72"/>
        <v>C:\Users\jaime.benazar\Quorum Business Solutions\Ecopetrol Prometeo - Documents\Planning Space Implementation\3. Analysis &amp; Design\Design\FC22\DRR Jaime\Neiva CPI\[VAO_DINA TERCIARIOS_CF_SEC_20230117.xlsx]CF PSNP'!</v>
      </c>
      <c r="G319" s="7" t="s">
        <v>100</v>
      </c>
      <c r="H319" s="4"/>
      <c r="I319" s="4"/>
      <c r="J319" s="4"/>
    </row>
    <row r="320" spans="1:10" x14ac:dyDescent="0.3">
      <c r="A320" s="7" t="s">
        <v>22</v>
      </c>
      <c r="B320" s="7">
        <f>+B319+1</f>
        <v>2037</v>
      </c>
      <c r="C320" s="4" t="s">
        <v>31</v>
      </c>
      <c r="D320" s="5" t="s">
        <v>131</v>
      </c>
      <c r="E320" s="10" t="str">
        <f t="shared" si="71"/>
        <v>PSNP'!</v>
      </c>
      <c r="F320" s="5" t="str">
        <f t="shared" si="72"/>
        <v>C:\Users\jaime.benazar\Quorum Business Solutions\Ecopetrol Prometeo - Documents\Planning Space Implementation\3. Analysis &amp; Design\Design\FC22\DRR Jaime\Neiva CPI\[VAO_DINA TERCIARIOS_CF_SEC_20230117.xlsx]CF PSNP'!</v>
      </c>
      <c r="G320" s="7" t="s">
        <v>100</v>
      </c>
      <c r="H320" s="4"/>
      <c r="I320" s="4"/>
      <c r="J320" s="4"/>
    </row>
    <row r="321" spans="1:10" x14ac:dyDescent="0.3">
      <c r="A321" s="7" t="s">
        <v>22</v>
      </c>
      <c r="B321" s="7">
        <f t="shared" ref="B321:B323" si="74">+B320+1</f>
        <v>2038</v>
      </c>
      <c r="C321" s="4" t="s">
        <v>31</v>
      </c>
      <c r="D321" s="5" t="s">
        <v>131</v>
      </c>
      <c r="E321" s="10" t="str">
        <f t="shared" si="71"/>
        <v>PSNP'!</v>
      </c>
      <c r="F321" s="5" t="str">
        <f t="shared" si="72"/>
        <v>C:\Users\jaime.benazar\Quorum Business Solutions\Ecopetrol Prometeo - Documents\Planning Space Implementation\3. Analysis &amp; Design\Design\FC22\DRR Jaime\Neiva CPI\[VAO_DINA TERCIARIOS_CF_SEC_20230117.xlsx]CF PSNP'!</v>
      </c>
      <c r="G321" s="7" t="s">
        <v>100</v>
      </c>
      <c r="H321" s="4"/>
      <c r="I321" s="4"/>
      <c r="J321" s="4"/>
    </row>
    <row r="322" spans="1:10" x14ac:dyDescent="0.3">
      <c r="A322" s="7" t="s">
        <v>22</v>
      </c>
      <c r="B322" s="7">
        <f t="shared" si="74"/>
        <v>2039</v>
      </c>
      <c r="C322" s="4" t="s">
        <v>31</v>
      </c>
      <c r="D322" s="5" t="s">
        <v>131</v>
      </c>
      <c r="E322" s="10" t="str">
        <f t="shared" si="71"/>
        <v>PSNP'!</v>
      </c>
      <c r="F322" s="5" t="str">
        <f t="shared" si="72"/>
        <v>C:\Users\jaime.benazar\Quorum Business Solutions\Ecopetrol Prometeo - Documents\Planning Space Implementation\3. Analysis &amp; Design\Design\FC22\DRR Jaime\Neiva CPI\[VAO_DINA TERCIARIOS_CF_SEC_20230117.xlsx]CF PSNP'!</v>
      </c>
      <c r="G322" s="7" t="s">
        <v>100</v>
      </c>
      <c r="H322" s="4"/>
      <c r="I322" s="4"/>
      <c r="J322" s="4"/>
    </row>
    <row r="323" spans="1:10" x14ac:dyDescent="0.3">
      <c r="A323" s="7" t="s">
        <v>22</v>
      </c>
      <c r="B323" s="7">
        <f t="shared" si="74"/>
        <v>2040</v>
      </c>
      <c r="C323" s="4" t="s">
        <v>31</v>
      </c>
      <c r="D323" s="5" t="s">
        <v>131</v>
      </c>
      <c r="E323" s="10" t="str">
        <f t="shared" si="71"/>
        <v>PSNP'!</v>
      </c>
      <c r="F323" s="5" t="str">
        <f t="shared" si="72"/>
        <v>C:\Users\jaime.benazar\Quorum Business Solutions\Ecopetrol Prometeo - Documents\Planning Space Implementation\3. Analysis &amp; Design\Design\FC22\DRR Jaime\Neiva CPI\[VAO_DINA TERCIARIOS_CF_SEC_20230117.xlsx]CF PSNP'!</v>
      </c>
      <c r="G323" s="7" t="s">
        <v>100</v>
      </c>
      <c r="H323" s="4"/>
      <c r="I323" s="4"/>
      <c r="J323" s="4"/>
    </row>
    <row r="324" spans="1:10" x14ac:dyDescent="0.3">
      <c r="A324" s="7" t="s">
        <v>22</v>
      </c>
      <c r="B324" s="7">
        <f>+B323+1</f>
        <v>2041</v>
      </c>
      <c r="C324" s="4" t="s">
        <v>31</v>
      </c>
      <c r="D324" s="5" t="s">
        <v>131</v>
      </c>
      <c r="E324" s="10" t="str">
        <f t="shared" si="71"/>
        <v>PSNP'!</v>
      </c>
      <c r="F324" s="5" t="str">
        <f t="shared" si="72"/>
        <v>C:\Users\jaime.benazar\Quorum Business Solutions\Ecopetrol Prometeo - Documents\Planning Space Implementation\3. Analysis &amp; Design\Design\FC22\DRR Jaime\Neiva CPI\[VAO_DINA TERCIARIOS_CF_SEC_20230117.xlsx]CF PSNP'!</v>
      </c>
      <c r="G324" s="7" t="s">
        <v>100</v>
      </c>
      <c r="H324" s="4"/>
      <c r="I324" s="4"/>
      <c r="J324" s="4"/>
    </row>
    <row r="325" spans="1:10" x14ac:dyDescent="0.3">
      <c r="A325" s="7" t="s">
        <v>22</v>
      </c>
      <c r="B325" s="7">
        <f t="shared" ref="B325:B326" si="75">+B324+1</f>
        <v>2042</v>
      </c>
      <c r="C325" s="4" t="s">
        <v>31</v>
      </c>
      <c r="D325" s="5" t="s">
        <v>131</v>
      </c>
      <c r="E325" s="10" t="str">
        <f t="shared" si="71"/>
        <v>PSNP'!</v>
      </c>
      <c r="F325" s="5" t="str">
        <f t="shared" si="72"/>
        <v>C:\Users\jaime.benazar\Quorum Business Solutions\Ecopetrol Prometeo - Documents\Planning Space Implementation\3. Analysis &amp; Design\Design\FC22\DRR Jaime\Neiva CPI\[VAO_DINA TERCIARIOS_CF_SEC_20230117.xlsx]CF PSNP'!</v>
      </c>
      <c r="G325" s="7" t="s">
        <v>100</v>
      </c>
      <c r="H325" s="4"/>
      <c r="I325" s="4"/>
      <c r="J325" s="4"/>
    </row>
    <row r="326" spans="1:10" x14ac:dyDescent="0.3">
      <c r="A326" s="7" t="s">
        <v>22</v>
      </c>
      <c r="B326" s="7">
        <f t="shared" si="75"/>
        <v>2043</v>
      </c>
      <c r="C326" s="4" t="s">
        <v>31</v>
      </c>
      <c r="D326" s="5" t="s">
        <v>131</v>
      </c>
      <c r="E326" s="10" t="str">
        <f t="shared" si="71"/>
        <v>PSNP'!</v>
      </c>
      <c r="F326" s="5" t="str">
        <f t="shared" si="72"/>
        <v>C:\Users\jaime.benazar\Quorum Business Solutions\Ecopetrol Prometeo - Documents\Planning Space Implementation\3. Analysis &amp; Design\Design\FC22\DRR Jaime\Neiva CPI\[VAO_DINA TERCIARIOS_CF_SEC_20230117.xlsx]CF PSNP'!</v>
      </c>
      <c r="G326" s="7" t="s">
        <v>100</v>
      </c>
      <c r="H326" s="4"/>
      <c r="I326" s="4"/>
      <c r="J326" s="4"/>
    </row>
    <row r="327" spans="1:10" x14ac:dyDescent="0.3">
      <c r="A327" s="7" t="s">
        <v>22</v>
      </c>
      <c r="B327" s="7">
        <f>+B326+1</f>
        <v>2044</v>
      </c>
      <c r="C327" s="4" t="s">
        <v>31</v>
      </c>
      <c r="D327" s="5" t="s">
        <v>131</v>
      </c>
      <c r="E327" s="10" t="str">
        <f t="shared" ref="E327:E342" si="76">_xlfn.CONCAT(A327,"'!")</f>
        <v>PSNP'!</v>
      </c>
      <c r="F327" s="5" t="str">
        <f t="shared" ref="F327:F342" si="77">_xlfn.CONCAT(D327," ",E327)</f>
        <v>C:\Users\jaime.benazar\Quorum Business Solutions\Ecopetrol Prometeo - Documents\Planning Space Implementation\3. Analysis &amp; Design\Design\FC22\DRR Jaime\Neiva CPI\[VAO_DINA TERCIARIOS_CF_SEC_20230117.xlsx]CF PSNP'!</v>
      </c>
      <c r="G327" s="7" t="s">
        <v>100</v>
      </c>
      <c r="H327" s="4"/>
      <c r="I327" s="4"/>
      <c r="J327" s="4"/>
    </row>
    <row r="328" spans="1:10" x14ac:dyDescent="0.3">
      <c r="A328" s="7" t="s">
        <v>22</v>
      </c>
      <c r="B328" s="7">
        <f t="shared" ref="B328:B342" si="78">+B327+1</f>
        <v>2045</v>
      </c>
      <c r="C328" s="4" t="s">
        <v>31</v>
      </c>
      <c r="D328" s="5" t="s">
        <v>131</v>
      </c>
      <c r="E328" s="10" t="str">
        <f t="shared" si="76"/>
        <v>PSNP'!</v>
      </c>
      <c r="F328" s="5" t="str">
        <f t="shared" si="77"/>
        <v>C:\Users\jaime.benazar\Quorum Business Solutions\Ecopetrol Prometeo - Documents\Planning Space Implementation\3. Analysis &amp; Design\Design\FC22\DRR Jaime\Neiva CPI\[VAO_DINA TERCIARIOS_CF_SEC_20230117.xlsx]CF PSNP'!</v>
      </c>
      <c r="G328" s="7" t="s">
        <v>100</v>
      </c>
      <c r="H328" s="4"/>
      <c r="I328" s="4"/>
      <c r="J328" s="4"/>
    </row>
    <row r="329" spans="1:10" x14ac:dyDescent="0.3">
      <c r="A329" s="7" t="s">
        <v>22</v>
      </c>
      <c r="B329" s="7">
        <f t="shared" si="78"/>
        <v>2046</v>
      </c>
      <c r="C329" s="4" t="s">
        <v>31</v>
      </c>
      <c r="D329" s="5" t="s">
        <v>131</v>
      </c>
      <c r="E329" s="10" t="str">
        <f t="shared" si="76"/>
        <v>PSNP'!</v>
      </c>
      <c r="F329" s="5" t="str">
        <f t="shared" si="77"/>
        <v>C:\Users\jaime.benazar\Quorum Business Solutions\Ecopetrol Prometeo - Documents\Planning Space Implementation\3. Analysis &amp; Design\Design\FC22\DRR Jaime\Neiva CPI\[VAO_DINA TERCIARIOS_CF_SEC_20230117.xlsx]CF PSNP'!</v>
      </c>
      <c r="G329" s="7" t="s">
        <v>100</v>
      </c>
      <c r="H329" s="4"/>
      <c r="I329" s="4"/>
      <c r="J329" s="4"/>
    </row>
    <row r="330" spans="1:10" x14ac:dyDescent="0.3">
      <c r="A330" s="7" t="s">
        <v>22</v>
      </c>
      <c r="B330" s="7">
        <f t="shared" si="78"/>
        <v>2047</v>
      </c>
      <c r="C330" s="4" t="s">
        <v>31</v>
      </c>
      <c r="D330" s="5" t="s">
        <v>131</v>
      </c>
      <c r="E330" s="10" t="str">
        <f t="shared" si="76"/>
        <v>PSNP'!</v>
      </c>
      <c r="F330" s="5" t="str">
        <f t="shared" si="77"/>
        <v>C:\Users\jaime.benazar\Quorum Business Solutions\Ecopetrol Prometeo - Documents\Planning Space Implementation\3. Analysis &amp; Design\Design\FC22\DRR Jaime\Neiva CPI\[VAO_DINA TERCIARIOS_CF_SEC_20230117.xlsx]CF PSNP'!</v>
      </c>
      <c r="G330" s="7" t="s">
        <v>100</v>
      </c>
      <c r="H330" s="4"/>
      <c r="I330" s="4"/>
      <c r="J330" s="4"/>
    </row>
    <row r="331" spans="1:10" x14ac:dyDescent="0.3">
      <c r="A331" s="7" t="s">
        <v>22</v>
      </c>
      <c r="B331" s="7">
        <f t="shared" si="78"/>
        <v>2048</v>
      </c>
      <c r="C331" s="4" t="s">
        <v>31</v>
      </c>
      <c r="D331" s="5" t="s">
        <v>131</v>
      </c>
      <c r="E331" s="10" t="str">
        <f t="shared" si="76"/>
        <v>PSNP'!</v>
      </c>
      <c r="F331" s="5" t="str">
        <f t="shared" si="77"/>
        <v>C:\Users\jaime.benazar\Quorum Business Solutions\Ecopetrol Prometeo - Documents\Planning Space Implementation\3. Analysis &amp; Design\Design\FC22\DRR Jaime\Neiva CPI\[VAO_DINA TERCIARIOS_CF_SEC_20230117.xlsx]CF PSNP'!</v>
      </c>
      <c r="G331" s="7" t="s">
        <v>100</v>
      </c>
      <c r="H331" s="4"/>
      <c r="I331" s="4"/>
      <c r="J331" s="4"/>
    </row>
    <row r="332" spans="1:10" x14ac:dyDescent="0.3">
      <c r="A332" s="7" t="s">
        <v>22</v>
      </c>
      <c r="B332" s="7">
        <f t="shared" si="78"/>
        <v>2049</v>
      </c>
      <c r="C332" s="4" t="s">
        <v>31</v>
      </c>
      <c r="D332" s="5" t="s">
        <v>131</v>
      </c>
      <c r="E332" s="10" t="str">
        <f t="shared" si="76"/>
        <v>PSNP'!</v>
      </c>
      <c r="F332" s="5" t="str">
        <f t="shared" si="77"/>
        <v>C:\Users\jaime.benazar\Quorum Business Solutions\Ecopetrol Prometeo - Documents\Planning Space Implementation\3. Analysis &amp; Design\Design\FC22\DRR Jaime\Neiva CPI\[VAO_DINA TERCIARIOS_CF_SEC_20230117.xlsx]CF PSNP'!</v>
      </c>
      <c r="G332" s="7" t="s">
        <v>100</v>
      </c>
      <c r="H332" s="4"/>
      <c r="I332" s="4"/>
      <c r="J332" s="4"/>
    </row>
    <row r="333" spans="1:10" x14ac:dyDescent="0.3">
      <c r="A333" s="7" t="s">
        <v>22</v>
      </c>
      <c r="B333" s="7">
        <f t="shared" si="78"/>
        <v>2050</v>
      </c>
      <c r="C333" s="4" t="s">
        <v>31</v>
      </c>
      <c r="D333" s="5" t="s">
        <v>131</v>
      </c>
      <c r="E333" s="10" t="str">
        <f t="shared" si="76"/>
        <v>PSNP'!</v>
      </c>
      <c r="F333" s="5" t="str">
        <f t="shared" si="77"/>
        <v>C:\Users\jaime.benazar\Quorum Business Solutions\Ecopetrol Prometeo - Documents\Planning Space Implementation\3. Analysis &amp; Design\Design\FC22\DRR Jaime\Neiva CPI\[VAO_DINA TERCIARIOS_CF_SEC_20230117.xlsx]CF PSNP'!</v>
      </c>
      <c r="G333" s="7" t="s">
        <v>100</v>
      </c>
      <c r="H333" s="4"/>
      <c r="I333" s="4"/>
      <c r="J333" s="4"/>
    </row>
    <row r="334" spans="1:10" x14ac:dyDescent="0.3">
      <c r="A334" s="7" t="s">
        <v>22</v>
      </c>
      <c r="B334" s="7">
        <f t="shared" si="78"/>
        <v>2051</v>
      </c>
      <c r="C334" s="4" t="s">
        <v>31</v>
      </c>
      <c r="D334" s="5" t="s">
        <v>131</v>
      </c>
      <c r="E334" s="10" t="str">
        <f t="shared" si="76"/>
        <v>PSNP'!</v>
      </c>
      <c r="F334" s="5" t="str">
        <f t="shared" si="77"/>
        <v>C:\Users\jaime.benazar\Quorum Business Solutions\Ecopetrol Prometeo - Documents\Planning Space Implementation\3. Analysis &amp; Design\Design\FC22\DRR Jaime\Neiva CPI\[VAO_DINA TERCIARIOS_CF_SEC_20230117.xlsx]CF PSNP'!</v>
      </c>
      <c r="G334" s="7" t="s">
        <v>100</v>
      </c>
      <c r="H334" s="4"/>
      <c r="I334" s="4"/>
      <c r="J334" s="4"/>
    </row>
    <row r="335" spans="1:10" x14ac:dyDescent="0.3">
      <c r="A335" s="7" t="s">
        <v>22</v>
      </c>
      <c r="B335" s="7">
        <f t="shared" si="78"/>
        <v>2052</v>
      </c>
      <c r="C335" s="4" t="s">
        <v>31</v>
      </c>
      <c r="D335" s="5" t="s">
        <v>131</v>
      </c>
      <c r="E335" s="10" t="str">
        <f t="shared" si="76"/>
        <v>PSNP'!</v>
      </c>
      <c r="F335" s="5" t="str">
        <f t="shared" si="77"/>
        <v>C:\Users\jaime.benazar\Quorum Business Solutions\Ecopetrol Prometeo - Documents\Planning Space Implementation\3. Analysis &amp; Design\Design\FC22\DRR Jaime\Neiva CPI\[VAO_DINA TERCIARIOS_CF_SEC_20230117.xlsx]CF PSNP'!</v>
      </c>
      <c r="G335" s="7" t="s">
        <v>100</v>
      </c>
      <c r="H335" s="4"/>
      <c r="I335" s="4"/>
      <c r="J335" s="4"/>
    </row>
    <row r="336" spans="1:10" x14ac:dyDescent="0.3">
      <c r="A336" s="7" t="s">
        <v>22</v>
      </c>
      <c r="B336" s="7">
        <f t="shared" si="78"/>
        <v>2053</v>
      </c>
      <c r="C336" s="4" t="s">
        <v>31</v>
      </c>
      <c r="D336" s="5" t="s">
        <v>131</v>
      </c>
      <c r="E336" s="10" t="str">
        <f t="shared" si="76"/>
        <v>PSNP'!</v>
      </c>
      <c r="F336" s="5" t="str">
        <f t="shared" si="77"/>
        <v>C:\Users\jaime.benazar\Quorum Business Solutions\Ecopetrol Prometeo - Documents\Planning Space Implementation\3. Analysis &amp; Design\Design\FC22\DRR Jaime\Neiva CPI\[VAO_DINA TERCIARIOS_CF_SEC_20230117.xlsx]CF PSNP'!</v>
      </c>
      <c r="G336" s="7" t="s">
        <v>100</v>
      </c>
      <c r="H336" s="4"/>
      <c r="I336" s="4"/>
      <c r="J336" s="4"/>
    </row>
    <row r="337" spans="1:10" x14ac:dyDescent="0.3">
      <c r="A337" s="7" t="s">
        <v>22</v>
      </c>
      <c r="B337" s="7">
        <f t="shared" si="78"/>
        <v>2054</v>
      </c>
      <c r="C337" s="4" t="s">
        <v>31</v>
      </c>
      <c r="D337" s="5" t="s">
        <v>131</v>
      </c>
      <c r="E337" s="10" t="str">
        <f t="shared" si="76"/>
        <v>PSNP'!</v>
      </c>
      <c r="F337" s="5" t="str">
        <f t="shared" si="77"/>
        <v>C:\Users\jaime.benazar\Quorum Business Solutions\Ecopetrol Prometeo - Documents\Planning Space Implementation\3. Analysis &amp; Design\Design\FC22\DRR Jaime\Neiva CPI\[VAO_DINA TERCIARIOS_CF_SEC_20230117.xlsx]CF PSNP'!</v>
      </c>
      <c r="G337" s="7" t="s">
        <v>100</v>
      </c>
      <c r="H337" s="4"/>
      <c r="I337" s="4"/>
      <c r="J337" s="4"/>
    </row>
    <row r="338" spans="1:10" x14ac:dyDescent="0.3">
      <c r="A338" s="7" t="s">
        <v>22</v>
      </c>
      <c r="B338" s="7">
        <f t="shared" si="78"/>
        <v>2055</v>
      </c>
      <c r="C338" s="4" t="s">
        <v>31</v>
      </c>
      <c r="D338" s="5" t="s">
        <v>131</v>
      </c>
      <c r="E338" s="10" t="str">
        <f t="shared" si="76"/>
        <v>PSNP'!</v>
      </c>
      <c r="F338" s="5" t="str">
        <f t="shared" si="77"/>
        <v>C:\Users\jaime.benazar\Quorum Business Solutions\Ecopetrol Prometeo - Documents\Planning Space Implementation\3. Analysis &amp; Design\Design\FC22\DRR Jaime\Neiva CPI\[VAO_DINA TERCIARIOS_CF_SEC_20230117.xlsx]CF PSNP'!</v>
      </c>
      <c r="G338" s="7" t="s">
        <v>100</v>
      </c>
      <c r="H338" s="4"/>
      <c r="I338" s="4"/>
      <c r="J338" s="4"/>
    </row>
    <row r="339" spans="1:10" x14ac:dyDescent="0.3">
      <c r="A339" s="7" t="s">
        <v>22</v>
      </c>
      <c r="B339" s="7">
        <f t="shared" si="78"/>
        <v>2056</v>
      </c>
      <c r="C339" s="4" t="s">
        <v>31</v>
      </c>
      <c r="D339" s="5" t="s">
        <v>131</v>
      </c>
      <c r="E339" s="10" t="str">
        <f t="shared" si="76"/>
        <v>PSNP'!</v>
      </c>
      <c r="F339" s="5" t="str">
        <f t="shared" si="77"/>
        <v>C:\Users\jaime.benazar\Quorum Business Solutions\Ecopetrol Prometeo - Documents\Planning Space Implementation\3. Analysis &amp; Design\Design\FC22\DRR Jaime\Neiva CPI\[VAO_DINA TERCIARIOS_CF_SEC_20230117.xlsx]CF PSNP'!</v>
      </c>
      <c r="G339" s="7" t="s">
        <v>100</v>
      </c>
      <c r="H339" s="4"/>
      <c r="I339" s="4"/>
      <c r="J339" s="4"/>
    </row>
    <row r="340" spans="1:10" x14ac:dyDescent="0.3">
      <c r="A340" s="7" t="s">
        <v>22</v>
      </c>
      <c r="B340" s="7">
        <f t="shared" si="78"/>
        <v>2057</v>
      </c>
      <c r="C340" s="4" t="s">
        <v>31</v>
      </c>
      <c r="D340" s="5" t="s">
        <v>131</v>
      </c>
      <c r="E340" s="10" t="str">
        <f t="shared" si="76"/>
        <v>PSNP'!</v>
      </c>
      <c r="F340" s="5" t="str">
        <f t="shared" si="77"/>
        <v>C:\Users\jaime.benazar\Quorum Business Solutions\Ecopetrol Prometeo - Documents\Planning Space Implementation\3. Analysis &amp; Design\Design\FC22\DRR Jaime\Neiva CPI\[VAO_DINA TERCIARIOS_CF_SEC_20230117.xlsx]CF PSNP'!</v>
      </c>
      <c r="G340" s="7" t="s">
        <v>100</v>
      </c>
      <c r="H340" s="4"/>
      <c r="I340" s="4"/>
      <c r="J340" s="4"/>
    </row>
    <row r="341" spans="1:10" x14ac:dyDescent="0.3">
      <c r="A341" s="7" t="s">
        <v>22</v>
      </c>
      <c r="B341" s="7">
        <f t="shared" si="78"/>
        <v>2058</v>
      </c>
      <c r="C341" s="4" t="s">
        <v>31</v>
      </c>
      <c r="D341" s="5" t="s">
        <v>131</v>
      </c>
      <c r="E341" s="10" t="str">
        <f t="shared" si="76"/>
        <v>PSNP'!</v>
      </c>
      <c r="F341" s="5" t="str">
        <f t="shared" si="77"/>
        <v>C:\Users\jaime.benazar\Quorum Business Solutions\Ecopetrol Prometeo - Documents\Planning Space Implementation\3. Analysis &amp; Design\Design\FC22\DRR Jaime\Neiva CPI\[VAO_DINA TERCIARIOS_CF_SEC_20230117.xlsx]CF PSNP'!</v>
      </c>
      <c r="G341" s="7" t="s">
        <v>100</v>
      </c>
      <c r="H341" s="4"/>
      <c r="I341" s="4"/>
      <c r="J341" s="4"/>
    </row>
    <row r="342" spans="1:10" x14ac:dyDescent="0.3">
      <c r="A342" s="7" t="s">
        <v>22</v>
      </c>
      <c r="B342" s="7">
        <f t="shared" si="78"/>
        <v>2059</v>
      </c>
      <c r="C342" s="4" t="s">
        <v>31</v>
      </c>
      <c r="D342" s="5" t="s">
        <v>131</v>
      </c>
      <c r="E342" s="10" t="str">
        <f t="shared" si="76"/>
        <v>PSNP'!</v>
      </c>
      <c r="F342" s="5" t="str">
        <f t="shared" si="77"/>
        <v>C:\Users\jaime.benazar\Quorum Business Solutions\Ecopetrol Prometeo - Documents\Planning Space Implementation\3. Analysis &amp; Design\Design\FC22\DRR Jaime\Neiva CPI\[VAO_DINA TERCIARIOS_CF_SEC_20230117.xlsx]CF PSNP'!</v>
      </c>
      <c r="G342" s="7" t="s">
        <v>100</v>
      </c>
      <c r="H342" s="4"/>
      <c r="I342" s="4"/>
      <c r="J342" s="4"/>
    </row>
    <row r="343" spans="1:10" x14ac:dyDescent="0.3">
      <c r="A343" s="7" t="s">
        <v>26</v>
      </c>
      <c r="B343" s="7"/>
      <c r="C343" s="4" t="s">
        <v>31</v>
      </c>
      <c r="D343" s="5"/>
      <c r="E343" s="10"/>
      <c r="F343" s="5" t="str">
        <f t="shared" si="72"/>
        <v xml:space="preserve"> </v>
      </c>
      <c r="G343" s="7"/>
      <c r="H343" s="4"/>
      <c r="I343" s="4"/>
      <c r="J343" s="4"/>
    </row>
    <row r="344" spans="1:10" x14ac:dyDescent="0.3">
      <c r="A344" s="7" t="s">
        <v>23</v>
      </c>
      <c r="B344" s="7">
        <v>2023</v>
      </c>
      <c r="C344" s="4" t="s">
        <v>31</v>
      </c>
      <c r="D344" s="5" t="s">
        <v>131</v>
      </c>
      <c r="E344" s="10" t="str">
        <f t="shared" ref="E344:E364" si="79">_xlfn.CONCAT(A344,"'!")</f>
        <v>PSND'!</v>
      </c>
      <c r="F344" s="5" t="str">
        <f t="shared" si="72"/>
        <v>C:\Users\jaime.benazar\Quorum Business Solutions\Ecopetrol Prometeo - Documents\Planning Space Implementation\3. Analysis &amp; Design\Design\FC22\DRR Jaime\Neiva CPI\[VAO_DINA TERCIARIOS_CF_SEC_20230117.xlsx]CF PSND'!</v>
      </c>
      <c r="G344" s="7" t="s">
        <v>100</v>
      </c>
      <c r="H344" s="4"/>
      <c r="I344" s="4"/>
      <c r="J344" s="4"/>
    </row>
    <row r="345" spans="1:10" x14ac:dyDescent="0.3">
      <c r="A345" s="7" t="s">
        <v>23</v>
      </c>
      <c r="B345" s="7">
        <f>+B344+1</f>
        <v>2024</v>
      </c>
      <c r="C345" s="4" t="s">
        <v>31</v>
      </c>
      <c r="D345" s="5" t="s">
        <v>131</v>
      </c>
      <c r="E345" s="10" t="str">
        <f t="shared" si="79"/>
        <v>PSND'!</v>
      </c>
      <c r="F345" s="5" t="str">
        <f t="shared" si="72"/>
        <v>C:\Users\jaime.benazar\Quorum Business Solutions\Ecopetrol Prometeo - Documents\Planning Space Implementation\3. Analysis &amp; Design\Design\FC22\DRR Jaime\Neiva CPI\[VAO_DINA TERCIARIOS_CF_SEC_20230117.xlsx]CF PSND'!</v>
      </c>
      <c r="G345" s="7" t="s">
        <v>100</v>
      </c>
      <c r="H345" s="4"/>
      <c r="I345" s="4"/>
      <c r="J345" s="4"/>
    </row>
    <row r="346" spans="1:10" x14ac:dyDescent="0.3">
      <c r="A346" s="7" t="s">
        <v>23</v>
      </c>
      <c r="B346" s="7">
        <f t="shared" ref="B346:B357" si="80">+B345+1</f>
        <v>2025</v>
      </c>
      <c r="C346" s="4" t="s">
        <v>31</v>
      </c>
      <c r="D346" s="5" t="s">
        <v>131</v>
      </c>
      <c r="E346" s="10" t="str">
        <f t="shared" si="79"/>
        <v>PSND'!</v>
      </c>
      <c r="F346" s="5" t="str">
        <f t="shared" si="72"/>
        <v>C:\Users\jaime.benazar\Quorum Business Solutions\Ecopetrol Prometeo - Documents\Planning Space Implementation\3. Analysis &amp; Design\Design\FC22\DRR Jaime\Neiva CPI\[VAO_DINA TERCIARIOS_CF_SEC_20230117.xlsx]CF PSND'!</v>
      </c>
      <c r="G346" s="7" t="s">
        <v>100</v>
      </c>
      <c r="H346" s="4"/>
      <c r="I346" s="4"/>
      <c r="J346" s="4"/>
    </row>
    <row r="347" spans="1:10" x14ac:dyDescent="0.3">
      <c r="A347" s="7" t="s">
        <v>23</v>
      </c>
      <c r="B347" s="7">
        <f t="shared" si="80"/>
        <v>2026</v>
      </c>
      <c r="C347" s="4" t="s">
        <v>31</v>
      </c>
      <c r="D347" s="5" t="s">
        <v>131</v>
      </c>
      <c r="E347" s="10" t="str">
        <f t="shared" si="79"/>
        <v>PSND'!</v>
      </c>
      <c r="F347" s="5" t="str">
        <f t="shared" si="72"/>
        <v>C:\Users\jaime.benazar\Quorum Business Solutions\Ecopetrol Prometeo - Documents\Planning Space Implementation\3. Analysis &amp; Design\Design\FC22\DRR Jaime\Neiva CPI\[VAO_DINA TERCIARIOS_CF_SEC_20230117.xlsx]CF PSND'!</v>
      </c>
      <c r="G347" s="7" t="s">
        <v>100</v>
      </c>
      <c r="H347" s="4"/>
      <c r="I347" s="4"/>
      <c r="J347" s="4"/>
    </row>
    <row r="348" spans="1:10" x14ac:dyDescent="0.3">
      <c r="A348" s="7" t="s">
        <v>23</v>
      </c>
      <c r="B348" s="7">
        <f t="shared" si="80"/>
        <v>2027</v>
      </c>
      <c r="C348" s="4" t="s">
        <v>31</v>
      </c>
      <c r="D348" s="5" t="s">
        <v>131</v>
      </c>
      <c r="E348" s="10" t="str">
        <f t="shared" si="79"/>
        <v>PSND'!</v>
      </c>
      <c r="F348" s="5" t="str">
        <f t="shared" si="72"/>
        <v>C:\Users\jaime.benazar\Quorum Business Solutions\Ecopetrol Prometeo - Documents\Planning Space Implementation\3. Analysis &amp; Design\Design\FC22\DRR Jaime\Neiva CPI\[VAO_DINA TERCIARIOS_CF_SEC_20230117.xlsx]CF PSND'!</v>
      </c>
      <c r="G348" s="7" t="s">
        <v>100</v>
      </c>
      <c r="H348" s="4"/>
      <c r="I348" s="4"/>
      <c r="J348" s="4"/>
    </row>
    <row r="349" spans="1:10" x14ac:dyDescent="0.3">
      <c r="A349" s="7" t="s">
        <v>23</v>
      </c>
      <c r="B349" s="7">
        <f t="shared" si="80"/>
        <v>2028</v>
      </c>
      <c r="C349" s="4" t="s">
        <v>31</v>
      </c>
      <c r="D349" s="5" t="s">
        <v>131</v>
      </c>
      <c r="E349" s="10" t="str">
        <f t="shared" si="79"/>
        <v>PSND'!</v>
      </c>
      <c r="F349" s="5" t="str">
        <f t="shared" si="72"/>
        <v>C:\Users\jaime.benazar\Quorum Business Solutions\Ecopetrol Prometeo - Documents\Planning Space Implementation\3. Analysis &amp; Design\Design\FC22\DRR Jaime\Neiva CPI\[VAO_DINA TERCIARIOS_CF_SEC_20230117.xlsx]CF PSND'!</v>
      </c>
      <c r="G349" s="7" t="s">
        <v>100</v>
      </c>
      <c r="H349" s="4"/>
      <c r="I349" s="4"/>
      <c r="J349" s="4"/>
    </row>
    <row r="350" spans="1:10" x14ac:dyDescent="0.3">
      <c r="A350" s="7" t="s">
        <v>23</v>
      </c>
      <c r="B350" s="7">
        <f t="shared" si="80"/>
        <v>2029</v>
      </c>
      <c r="C350" s="4" t="s">
        <v>31</v>
      </c>
      <c r="D350" s="5" t="s">
        <v>131</v>
      </c>
      <c r="E350" s="10" t="str">
        <f t="shared" si="79"/>
        <v>PSND'!</v>
      </c>
      <c r="F350" s="5" t="str">
        <f t="shared" si="72"/>
        <v>C:\Users\jaime.benazar\Quorum Business Solutions\Ecopetrol Prometeo - Documents\Planning Space Implementation\3. Analysis &amp; Design\Design\FC22\DRR Jaime\Neiva CPI\[VAO_DINA TERCIARIOS_CF_SEC_20230117.xlsx]CF PSND'!</v>
      </c>
      <c r="G350" s="7" t="s">
        <v>100</v>
      </c>
      <c r="H350" s="4"/>
      <c r="I350" s="4"/>
      <c r="J350" s="4"/>
    </row>
    <row r="351" spans="1:10" x14ac:dyDescent="0.3">
      <c r="A351" s="7" t="s">
        <v>23</v>
      </c>
      <c r="B351" s="7">
        <f t="shared" si="80"/>
        <v>2030</v>
      </c>
      <c r="C351" s="4" t="s">
        <v>31</v>
      </c>
      <c r="D351" s="5" t="s">
        <v>131</v>
      </c>
      <c r="E351" s="10" t="str">
        <f t="shared" si="79"/>
        <v>PSND'!</v>
      </c>
      <c r="F351" s="5" t="str">
        <f t="shared" si="72"/>
        <v>C:\Users\jaime.benazar\Quorum Business Solutions\Ecopetrol Prometeo - Documents\Planning Space Implementation\3. Analysis &amp; Design\Design\FC22\DRR Jaime\Neiva CPI\[VAO_DINA TERCIARIOS_CF_SEC_20230117.xlsx]CF PSND'!</v>
      </c>
      <c r="G351" s="7" t="s">
        <v>100</v>
      </c>
      <c r="H351" s="4"/>
      <c r="I351" s="4"/>
      <c r="J351" s="4"/>
    </row>
    <row r="352" spans="1:10" x14ac:dyDescent="0.3">
      <c r="A352" s="7" t="s">
        <v>23</v>
      </c>
      <c r="B352" s="7">
        <f t="shared" si="80"/>
        <v>2031</v>
      </c>
      <c r="C352" s="4" t="s">
        <v>31</v>
      </c>
      <c r="D352" s="5" t="s">
        <v>131</v>
      </c>
      <c r="E352" s="10" t="str">
        <f t="shared" si="79"/>
        <v>PSND'!</v>
      </c>
      <c r="F352" s="5" t="str">
        <f t="shared" si="72"/>
        <v>C:\Users\jaime.benazar\Quorum Business Solutions\Ecopetrol Prometeo - Documents\Planning Space Implementation\3. Analysis &amp; Design\Design\FC22\DRR Jaime\Neiva CPI\[VAO_DINA TERCIARIOS_CF_SEC_20230117.xlsx]CF PSND'!</v>
      </c>
      <c r="G352" s="7" t="s">
        <v>100</v>
      </c>
      <c r="H352" s="4"/>
      <c r="I352" s="4"/>
      <c r="J352" s="4"/>
    </row>
    <row r="353" spans="1:10" x14ac:dyDescent="0.3">
      <c r="A353" s="7" t="s">
        <v>23</v>
      </c>
      <c r="B353" s="7">
        <f t="shared" si="80"/>
        <v>2032</v>
      </c>
      <c r="C353" s="4" t="s">
        <v>31</v>
      </c>
      <c r="D353" s="5" t="s">
        <v>131</v>
      </c>
      <c r="E353" s="10" t="str">
        <f t="shared" si="79"/>
        <v>PSND'!</v>
      </c>
      <c r="F353" s="5" t="str">
        <f t="shared" si="72"/>
        <v>C:\Users\jaime.benazar\Quorum Business Solutions\Ecopetrol Prometeo - Documents\Planning Space Implementation\3. Analysis &amp; Design\Design\FC22\DRR Jaime\Neiva CPI\[VAO_DINA TERCIARIOS_CF_SEC_20230117.xlsx]CF PSND'!</v>
      </c>
      <c r="G353" s="7" t="s">
        <v>100</v>
      </c>
      <c r="H353" s="4"/>
      <c r="I353" s="4"/>
      <c r="J353" s="4"/>
    </row>
    <row r="354" spans="1:10" x14ac:dyDescent="0.3">
      <c r="A354" s="7" t="s">
        <v>23</v>
      </c>
      <c r="B354" s="7">
        <f t="shared" si="80"/>
        <v>2033</v>
      </c>
      <c r="C354" s="4" t="s">
        <v>31</v>
      </c>
      <c r="D354" s="5" t="s">
        <v>131</v>
      </c>
      <c r="E354" s="10" t="str">
        <f t="shared" si="79"/>
        <v>PSND'!</v>
      </c>
      <c r="F354" s="5" t="str">
        <f t="shared" si="72"/>
        <v>C:\Users\jaime.benazar\Quorum Business Solutions\Ecopetrol Prometeo - Documents\Planning Space Implementation\3. Analysis &amp; Design\Design\FC22\DRR Jaime\Neiva CPI\[VAO_DINA TERCIARIOS_CF_SEC_20230117.xlsx]CF PSND'!</v>
      </c>
      <c r="G354" s="7" t="s">
        <v>100</v>
      </c>
      <c r="H354" s="4"/>
      <c r="I354" s="4"/>
      <c r="J354" s="4"/>
    </row>
    <row r="355" spans="1:10" x14ac:dyDescent="0.3">
      <c r="A355" s="7" t="s">
        <v>23</v>
      </c>
      <c r="B355" s="7">
        <f t="shared" si="80"/>
        <v>2034</v>
      </c>
      <c r="C355" s="4" t="s">
        <v>31</v>
      </c>
      <c r="D355" s="5" t="s">
        <v>131</v>
      </c>
      <c r="E355" s="10" t="str">
        <f t="shared" si="79"/>
        <v>PSND'!</v>
      </c>
      <c r="F355" s="5" t="str">
        <f t="shared" si="72"/>
        <v>C:\Users\jaime.benazar\Quorum Business Solutions\Ecopetrol Prometeo - Documents\Planning Space Implementation\3. Analysis &amp; Design\Design\FC22\DRR Jaime\Neiva CPI\[VAO_DINA TERCIARIOS_CF_SEC_20230117.xlsx]CF PSND'!</v>
      </c>
      <c r="G355" s="7" t="s">
        <v>100</v>
      </c>
      <c r="H355" s="4"/>
      <c r="I355" s="4"/>
      <c r="J355" s="4"/>
    </row>
    <row r="356" spans="1:10" x14ac:dyDescent="0.3">
      <c r="A356" s="7" t="s">
        <v>23</v>
      </c>
      <c r="B356" s="7">
        <f t="shared" si="80"/>
        <v>2035</v>
      </c>
      <c r="C356" s="4" t="s">
        <v>31</v>
      </c>
      <c r="D356" s="5" t="s">
        <v>131</v>
      </c>
      <c r="E356" s="10" t="str">
        <f t="shared" si="79"/>
        <v>PSND'!</v>
      </c>
      <c r="F356" s="5" t="str">
        <f t="shared" si="72"/>
        <v>C:\Users\jaime.benazar\Quorum Business Solutions\Ecopetrol Prometeo - Documents\Planning Space Implementation\3. Analysis &amp; Design\Design\FC22\DRR Jaime\Neiva CPI\[VAO_DINA TERCIARIOS_CF_SEC_20230117.xlsx]CF PSND'!</v>
      </c>
      <c r="G356" s="7" t="s">
        <v>100</v>
      </c>
      <c r="H356" s="4"/>
      <c r="I356" s="4"/>
      <c r="J356" s="4"/>
    </row>
    <row r="357" spans="1:10" x14ac:dyDescent="0.3">
      <c r="A357" s="7" t="s">
        <v>23</v>
      </c>
      <c r="B357" s="7">
        <f t="shared" si="80"/>
        <v>2036</v>
      </c>
      <c r="C357" s="4" t="s">
        <v>31</v>
      </c>
      <c r="D357" s="5" t="s">
        <v>131</v>
      </c>
      <c r="E357" s="10" t="str">
        <f t="shared" si="79"/>
        <v>PSND'!</v>
      </c>
      <c r="F357" s="5" t="str">
        <f t="shared" si="72"/>
        <v>C:\Users\jaime.benazar\Quorum Business Solutions\Ecopetrol Prometeo - Documents\Planning Space Implementation\3. Analysis &amp; Design\Design\FC22\DRR Jaime\Neiva CPI\[VAO_DINA TERCIARIOS_CF_SEC_20230117.xlsx]CF PSND'!</v>
      </c>
      <c r="G357" s="7" t="s">
        <v>100</v>
      </c>
      <c r="H357" s="4"/>
      <c r="I357" s="4"/>
      <c r="J357" s="4"/>
    </row>
    <row r="358" spans="1:10" x14ac:dyDescent="0.3">
      <c r="A358" s="7" t="s">
        <v>23</v>
      </c>
      <c r="B358" s="7">
        <f>+B357+1</f>
        <v>2037</v>
      </c>
      <c r="C358" s="4" t="s">
        <v>31</v>
      </c>
      <c r="D358" s="5" t="s">
        <v>131</v>
      </c>
      <c r="E358" s="10" t="str">
        <f t="shared" si="79"/>
        <v>PSND'!</v>
      </c>
      <c r="F358" s="5" t="str">
        <f t="shared" si="72"/>
        <v>C:\Users\jaime.benazar\Quorum Business Solutions\Ecopetrol Prometeo - Documents\Planning Space Implementation\3. Analysis &amp; Design\Design\FC22\DRR Jaime\Neiva CPI\[VAO_DINA TERCIARIOS_CF_SEC_20230117.xlsx]CF PSND'!</v>
      </c>
      <c r="G358" s="7" t="s">
        <v>100</v>
      </c>
      <c r="H358" s="4"/>
      <c r="I358" s="4"/>
      <c r="J358" s="4"/>
    </row>
    <row r="359" spans="1:10" x14ac:dyDescent="0.3">
      <c r="A359" s="7" t="s">
        <v>23</v>
      </c>
      <c r="B359" s="7">
        <f t="shared" ref="B359:B361" si="81">+B358+1</f>
        <v>2038</v>
      </c>
      <c r="C359" s="4" t="s">
        <v>31</v>
      </c>
      <c r="D359" s="5" t="s">
        <v>131</v>
      </c>
      <c r="E359" s="10" t="str">
        <f t="shared" si="79"/>
        <v>PSND'!</v>
      </c>
      <c r="F359" s="5" t="str">
        <f t="shared" si="72"/>
        <v>C:\Users\jaime.benazar\Quorum Business Solutions\Ecopetrol Prometeo - Documents\Planning Space Implementation\3. Analysis &amp; Design\Design\FC22\DRR Jaime\Neiva CPI\[VAO_DINA TERCIARIOS_CF_SEC_20230117.xlsx]CF PSND'!</v>
      </c>
      <c r="G359" s="7" t="s">
        <v>100</v>
      </c>
      <c r="H359" s="4"/>
      <c r="I359" s="4"/>
      <c r="J359" s="4"/>
    </row>
    <row r="360" spans="1:10" x14ac:dyDescent="0.3">
      <c r="A360" s="7" t="s">
        <v>23</v>
      </c>
      <c r="B360" s="7">
        <f t="shared" si="81"/>
        <v>2039</v>
      </c>
      <c r="C360" s="4" t="s">
        <v>31</v>
      </c>
      <c r="D360" s="5" t="s">
        <v>131</v>
      </c>
      <c r="E360" s="10" t="str">
        <f t="shared" si="79"/>
        <v>PSND'!</v>
      </c>
      <c r="F360" s="5" t="str">
        <f t="shared" si="72"/>
        <v>C:\Users\jaime.benazar\Quorum Business Solutions\Ecopetrol Prometeo - Documents\Planning Space Implementation\3. Analysis &amp; Design\Design\FC22\DRR Jaime\Neiva CPI\[VAO_DINA TERCIARIOS_CF_SEC_20230117.xlsx]CF PSND'!</v>
      </c>
      <c r="G360" s="7" t="s">
        <v>100</v>
      </c>
      <c r="H360" s="4"/>
      <c r="I360" s="4"/>
      <c r="J360" s="4"/>
    </row>
    <row r="361" spans="1:10" x14ac:dyDescent="0.3">
      <c r="A361" s="7" t="s">
        <v>23</v>
      </c>
      <c r="B361" s="7">
        <f t="shared" si="81"/>
        <v>2040</v>
      </c>
      <c r="C361" s="4" t="s">
        <v>31</v>
      </c>
      <c r="D361" s="5" t="s">
        <v>131</v>
      </c>
      <c r="E361" s="10" t="str">
        <f t="shared" si="79"/>
        <v>PSND'!</v>
      </c>
      <c r="F361" s="5" t="str">
        <f t="shared" si="72"/>
        <v>C:\Users\jaime.benazar\Quorum Business Solutions\Ecopetrol Prometeo - Documents\Planning Space Implementation\3. Analysis &amp; Design\Design\FC22\DRR Jaime\Neiva CPI\[VAO_DINA TERCIARIOS_CF_SEC_20230117.xlsx]CF PSND'!</v>
      </c>
      <c r="G361" s="7" t="s">
        <v>100</v>
      </c>
      <c r="H361" s="4"/>
      <c r="I361" s="4"/>
      <c r="J361" s="4"/>
    </row>
    <row r="362" spans="1:10" x14ac:dyDescent="0.3">
      <c r="A362" s="7" t="s">
        <v>23</v>
      </c>
      <c r="B362" s="7">
        <f>+B361+1</f>
        <v>2041</v>
      </c>
      <c r="C362" s="4" t="s">
        <v>31</v>
      </c>
      <c r="D362" s="5" t="s">
        <v>131</v>
      </c>
      <c r="E362" s="10" t="str">
        <f t="shared" si="79"/>
        <v>PSND'!</v>
      </c>
      <c r="F362" s="5" t="str">
        <f t="shared" si="72"/>
        <v>C:\Users\jaime.benazar\Quorum Business Solutions\Ecopetrol Prometeo - Documents\Planning Space Implementation\3. Analysis &amp; Design\Design\FC22\DRR Jaime\Neiva CPI\[VAO_DINA TERCIARIOS_CF_SEC_20230117.xlsx]CF PSND'!</v>
      </c>
      <c r="G362" s="7" t="s">
        <v>100</v>
      </c>
      <c r="H362" s="4"/>
      <c r="I362" s="4"/>
      <c r="J362" s="4"/>
    </row>
    <row r="363" spans="1:10" x14ac:dyDescent="0.3">
      <c r="A363" s="7" t="s">
        <v>23</v>
      </c>
      <c r="B363" s="7">
        <f t="shared" ref="B363:B364" si="82">+B362+1</f>
        <v>2042</v>
      </c>
      <c r="C363" s="4" t="s">
        <v>31</v>
      </c>
      <c r="D363" s="5" t="s">
        <v>131</v>
      </c>
      <c r="E363" s="10" t="str">
        <f t="shared" si="79"/>
        <v>PSND'!</v>
      </c>
      <c r="F363" s="5" t="str">
        <f t="shared" si="72"/>
        <v>C:\Users\jaime.benazar\Quorum Business Solutions\Ecopetrol Prometeo - Documents\Planning Space Implementation\3. Analysis &amp; Design\Design\FC22\DRR Jaime\Neiva CPI\[VAO_DINA TERCIARIOS_CF_SEC_20230117.xlsx]CF PSND'!</v>
      </c>
      <c r="G363" s="7" t="s">
        <v>100</v>
      </c>
      <c r="H363" s="4"/>
      <c r="I363" s="4"/>
      <c r="J363" s="4"/>
    </row>
    <row r="364" spans="1:10" x14ac:dyDescent="0.3">
      <c r="A364" s="7" t="s">
        <v>23</v>
      </c>
      <c r="B364" s="7">
        <f t="shared" si="82"/>
        <v>2043</v>
      </c>
      <c r="C364" s="4" t="s">
        <v>31</v>
      </c>
      <c r="D364" s="5" t="s">
        <v>131</v>
      </c>
      <c r="E364" s="10" t="str">
        <f t="shared" si="79"/>
        <v>PSND'!</v>
      </c>
      <c r="F364" s="5" t="str">
        <f t="shared" si="72"/>
        <v>C:\Users\jaime.benazar\Quorum Business Solutions\Ecopetrol Prometeo - Documents\Planning Space Implementation\3. Analysis &amp; Design\Design\FC22\DRR Jaime\Neiva CPI\[VAO_DINA TERCIARIOS_CF_SEC_20230117.xlsx]CF PSND'!</v>
      </c>
      <c r="G364" s="7" t="s">
        <v>100</v>
      </c>
      <c r="H364" s="4"/>
      <c r="I364" s="4"/>
      <c r="J364" s="4"/>
    </row>
    <row r="365" spans="1:10" x14ac:dyDescent="0.3">
      <c r="A365" s="7" t="s">
        <v>23</v>
      </c>
      <c r="B365" s="7">
        <f>+B364+1</f>
        <v>2044</v>
      </c>
      <c r="C365" s="4" t="s">
        <v>31</v>
      </c>
      <c r="D365" s="5" t="s">
        <v>131</v>
      </c>
      <c r="E365" s="10" t="str">
        <f t="shared" ref="E365:E380" si="83">_xlfn.CONCAT(A365,"'!")</f>
        <v>PSND'!</v>
      </c>
      <c r="F365" s="5" t="str">
        <f t="shared" ref="F365:F380" si="84">_xlfn.CONCAT(D365," ",E365)</f>
        <v>C:\Users\jaime.benazar\Quorum Business Solutions\Ecopetrol Prometeo - Documents\Planning Space Implementation\3. Analysis &amp; Design\Design\FC22\DRR Jaime\Neiva CPI\[VAO_DINA TERCIARIOS_CF_SEC_20230117.xlsx]CF PSND'!</v>
      </c>
      <c r="G365" s="7" t="s">
        <v>100</v>
      </c>
      <c r="H365" s="4"/>
      <c r="I365" s="4"/>
      <c r="J365" s="4"/>
    </row>
    <row r="366" spans="1:10" x14ac:dyDescent="0.3">
      <c r="A366" s="7" t="s">
        <v>23</v>
      </c>
      <c r="B366" s="7">
        <f t="shared" ref="B366:B380" si="85">+B365+1</f>
        <v>2045</v>
      </c>
      <c r="C366" s="4" t="s">
        <v>31</v>
      </c>
      <c r="D366" s="5" t="s">
        <v>131</v>
      </c>
      <c r="E366" s="10" t="str">
        <f t="shared" si="83"/>
        <v>PSND'!</v>
      </c>
      <c r="F366" s="5" t="str">
        <f t="shared" si="84"/>
        <v>C:\Users\jaime.benazar\Quorum Business Solutions\Ecopetrol Prometeo - Documents\Planning Space Implementation\3. Analysis &amp; Design\Design\FC22\DRR Jaime\Neiva CPI\[VAO_DINA TERCIARIOS_CF_SEC_20230117.xlsx]CF PSND'!</v>
      </c>
      <c r="G366" s="7" t="s">
        <v>100</v>
      </c>
      <c r="H366" s="4"/>
      <c r="I366" s="4"/>
      <c r="J366" s="4"/>
    </row>
    <row r="367" spans="1:10" x14ac:dyDescent="0.3">
      <c r="A367" s="7" t="s">
        <v>23</v>
      </c>
      <c r="B367" s="7">
        <f t="shared" si="85"/>
        <v>2046</v>
      </c>
      <c r="C367" s="4" t="s">
        <v>31</v>
      </c>
      <c r="D367" s="5" t="s">
        <v>131</v>
      </c>
      <c r="E367" s="10" t="str">
        <f t="shared" si="83"/>
        <v>PSND'!</v>
      </c>
      <c r="F367" s="5" t="str">
        <f t="shared" si="84"/>
        <v>C:\Users\jaime.benazar\Quorum Business Solutions\Ecopetrol Prometeo - Documents\Planning Space Implementation\3. Analysis &amp; Design\Design\FC22\DRR Jaime\Neiva CPI\[VAO_DINA TERCIARIOS_CF_SEC_20230117.xlsx]CF PSND'!</v>
      </c>
      <c r="G367" s="7" t="s">
        <v>100</v>
      </c>
      <c r="H367" s="4"/>
      <c r="I367" s="4"/>
      <c r="J367" s="4"/>
    </row>
    <row r="368" spans="1:10" x14ac:dyDescent="0.3">
      <c r="A368" s="7" t="s">
        <v>23</v>
      </c>
      <c r="B368" s="7">
        <f t="shared" si="85"/>
        <v>2047</v>
      </c>
      <c r="C368" s="4" t="s">
        <v>31</v>
      </c>
      <c r="D368" s="5" t="s">
        <v>131</v>
      </c>
      <c r="E368" s="10" t="str">
        <f t="shared" si="83"/>
        <v>PSND'!</v>
      </c>
      <c r="F368" s="5" t="str">
        <f t="shared" si="84"/>
        <v>C:\Users\jaime.benazar\Quorum Business Solutions\Ecopetrol Prometeo - Documents\Planning Space Implementation\3. Analysis &amp; Design\Design\FC22\DRR Jaime\Neiva CPI\[VAO_DINA TERCIARIOS_CF_SEC_20230117.xlsx]CF PSND'!</v>
      </c>
      <c r="G368" s="7" t="s">
        <v>100</v>
      </c>
      <c r="H368" s="4"/>
      <c r="I368" s="4"/>
      <c r="J368" s="4"/>
    </row>
    <row r="369" spans="1:10" x14ac:dyDescent="0.3">
      <c r="A369" s="7" t="s">
        <v>23</v>
      </c>
      <c r="B369" s="7">
        <f t="shared" si="85"/>
        <v>2048</v>
      </c>
      <c r="C369" s="4" t="s">
        <v>31</v>
      </c>
      <c r="D369" s="5" t="s">
        <v>131</v>
      </c>
      <c r="E369" s="10" t="str">
        <f t="shared" si="83"/>
        <v>PSND'!</v>
      </c>
      <c r="F369" s="5" t="str">
        <f t="shared" si="84"/>
        <v>C:\Users\jaime.benazar\Quorum Business Solutions\Ecopetrol Prometeo - Documents\Planning Space Implementation\3. Analysis &amp; Design\Design\FC22\DRR Jaime\Neiva CPI\[VAO_DINA TERCIARIOS_CF_SEC_20230117.xlsx]CF PSND'!</v>
      </c>
      <c r="G369" s="7" t="s">
        <v>100</v>
      </c>
      <c r="H369" s="4"/>
      <c r="I369" s="4"/>
      <c r="J369" s="4"/>
    </row>
    <row r="370" spans="1:10" x14ac:dyDescent="0.3">
      <c r="A370" s="7" t="s">
        <v>23</v>
      </c>
      <c r="B370" s="7">
        <f t="shared" si="85"/>
        <v>2049</v>
      </c>
      <c r="C370" s="4" t="s">
        <v>31</v>
      </c>
      <c r="D370" s="5" t="s">
        <v>131</v>
      </c>
      <c r="E370" s="10" t="str">
        <f t="shared" si="83"/>
        <v>PSND'!</v>
      </c>
      <c r="F370" s="5" t="str">
        <f t="shared" si="84"/>
        <v>C:\Users\jaime.benazar\Quorum Business Solutions\Ecopetrol Prometeo - Documents\Planning Space Implementation\3. Analysis &amp; Design\Design\FC22\DRR Jaime\Neiva CPI\[VAO_DINA TERCIARIOS_CF_SEC_20230117.xlsx]CF PSND'!</v>
      </c>
      <c r="G370" s="7" t="s">
        <v>100</v>
      </c>
      <c r="H370" s="4"/>
      <c r="I370" s="4"/>
      <c r="J370" s="4"/>
    </row>
    <row r="371" spans="1:10" x14ac:dyDescent="0.3">
      <c r="A371" s="7" t="s">
        <v>23</v>
      </c>
      <c r="B371" s="7">
        <f t="shared" si="85"/>
        <v>2050</v>
      </c>
      <c r="C371" s="4" t="s">
        <v>31</v>
      </c>
      <c r="D371" s="5" t="s">
        <v>131</v>
      </c>
      <c r="E371" s="10" t="str">
        <f t="shared" si="83"/>
        <v>PSND'!</v>
      </c>
      <c r="F371" s="5" t="str">
        <f t="shared" si="84"/>
        <v>C:\Users\jaime.benazar\Quorum Business Solutions\Ecopetrol Prometeo - Documents\Planning Space Implementation\3. Analysis &amp; Design\Design\FC22\DRR Jaime\Neiva CPI\[VAO_DINA TERCIARIOS_CF_SEC_20230117.xlsx]CF PSND'!</v>
      </c>
      <c r="G371" s="7" t="s">
        <v>100</v>
      </c>
      <c r="H371" s="4"/>
      <c r="I371" s="4"/>
      <c r="J371" s="4"/>
    </row>
    <row r="372" spans="1:10" x14ac:dyDescent="0.3">
      <c r="A372" s="7" t="s">
        <v>23</v>
      </c>
      <c r="B372" s="7">
        <f t="shared" si="85"/>
        <v>2051</v>
      </c>
      <c r="C372" s="4" t="s">
        <v>31</v>
      </c>
      <c r="D372" s="5" t="s">
        <v>131</v>
      </c>
      <c r="E372" s="10" t="str">
        <f t="shared" si="83"/>
        <v>PSND'!</v>
      </c>
      <c r="F372" s="5" t="str">
        <f t="shared" si="84"/>
        <v>C:\Users\jaime.benazar\Quorum Business Solutions\Ecopetrol Prometeo - Documents\Planning Space Implementation\3. Analysis &amp; Design\Design\FC22\DRR Jaime\Neiva CPI\[VAO_DINA TERCIARIOS_CF_SEC_20230117.xlsx]CF PSND'!</v>
      </c>
      <c r="G372" s="7" t="s">
        <v>100</v>
      </c>
      <c r="H372" s="4"/>
      <c r="I372" s="4"/>
      <c r="J372" s="4"/>
    </row>
    <row r="373" spans="1:10" x14ac:dyDescent="0.3">
      <c r="A373" s="7" t="s">
        <v>23</v>
      </c>
      <c r="B373" s="7">
        <f t="shared" si="85"/>
        <v>2052</v>
      </c>
      <c r="C373" s="4" t="s">
        <v>31</v>
      </c>
      <c r="D373" s="5" t="s">
        <v>131</v>
      </c>
      <c r="E373" s="10" t="str">
        <f t="shared" si="83"/>
        <v>PSND'!</v>
      </c>
      <c r="F373" s="5" t="str">
        <f t="shared" si="84"/>
        <v>C:\Users\jaime.benazar\Quorum Business Solutions\Ecopetrol Prometeo - Documents\Planning Space Implementation\3. Analysis &amp; Design\Design\FC22\DRR Jaime\Neiva CPI\[VAO_DINA TERCIARIOS_CF_SEC_20230117.xlsx]CF PSND'!</v>
      </c>
      <c r="G373" s="7" t="s">
        <v>100</v>
      </c>
      <c r="H373" s="4"/>
      <c r="I373" s="4"/>
      <c r="J373" s="4"/>
    </row>
    <row r="374" spans="1:10" x14ac:dyDescent="0.3">
      <c r="A374" s="7" t="s">
        <v>23</v>
      </c>
      <c r="B374" s="7">
        <f t="shared" si="85"/>
        <v>2053</v>
      </c>
      <c r="C374" s="4" t="s">
        <v>31</v>
      </c>
      <c r="D374" s="5" t="s">
        <v>131</v>
      </c>
      <c r="E374" s="10" t="str">
        <f t="shared" si="83"/>
        <v>PSND'!</v>
      </c>
      <c r="F374" s="5" t="str">
        <f t="shared" si="84"/>
        <v>C:\Users\jaime.benazar\Quorum Business Solutions\Ecopetrol Prometeo - Documents\Planning Space Implementation\3. Analysis &amp; Design\Design\FC22\DRR Jaime\Neiva CPI\[VAO_DINA TERCIARIOS_CF_SEC_20230117.xlsx]CF PSND'!</v>
      </c>
      <c r="G374" s="7" t="s">
        <v>100</v>
      </c>
      <c r="H374" s="4"/>
      <c r="I374" s="4"/>
      <c r="J374" s="4"/>
    </row>
    <row r="375" spans="1:10" x14ac:dyDescent="0.3">
      <c r="A375" s="7" t="s">
        <v>23</v>
      </c>
      <c r="B375" s="7">
        <f t="shared" si="85"/>
        <v>2054</v>
      </c>
      <c r="C375" s="4" t="s">
        <v>31</v>
      </c>
      <c r="D375" s="5" t="s">
        <v>131</v>
      </c>
      <c r="E375" s="10" t="str">
        <f t="shared" si="83"/>
        <v>PSND'!</v>
      </c>
      <c r="F375" s="5" t="str">
        <f t="shared" si="84"/>
        <v>C:\Users\jaime.benazar\Quorum Business Solutions\Ecopetrol Prometeo - Documents\Planning Space Implementation\3. Analysis &amp; Design\Design\FC22\DRR Jaime\Neiva CPI\[VAO_DINA TERCIARIOS_CF_SEC_20230117.xlsx]CF PSND'!</v>
      </c>
      <c r="G375" s="7" t="s">
        <v>100</v>
      </c>
      <c r="H375" s="4"/>
      <c r="I375" s="4"/>
      <c r="J375" s="4"/>
    </row>
    <row r="376" spans="1:10" x14ac:dyDescent="0.3">
      <c r="A376" s="7" t="s">
        <v>23</v>
      </c>
      <c r="B376" s="7">
        <f t="shared" si="85"/>
        <v>2055</v>
      </c>
      <c r="C376" s="4" t="s">
        <v>31</v>
      </c>
      <c r="D376" s="5" t="s">
        <v>131</v>
      </c>
      <c r="E376" s="10" t="str">
        <f t="shared" si="83"/>
        <v>PSND'!</v>
      </c>
      <c r="F376" s="5" t="str">
        <f t="shared" si="84"/>
        <v>C:\Users\jaime.benazar\Quorum Business Solutions\Ecopetrol Prometeo - Documents\Planning Space Implementation\3. Analysis &amp; Design\Design\FC22\DRR Jaime\Neiva CPI\[VAO_DINA TERCIARIOS_CF_SEC_20230117.xlsx]CF PSND'!</v>
      </c>
      <c r="G376" s="7" t="s">
        <v>100</v>
      </c>
      <c r="H376" s="4"/>
      <c r="I376" s="4"/>
      <c r="J376" s="4"/>
    </row>
    <row r="377" spans="1:10" x14ac:dyDescent="0.3">
      <c r="A377" s="7" t="s">
        <v>23</v>
      </c>
      <c r="B377" s="7">
        <f t="shared" si="85"/>
        <v>2056</v>
      </c>
      <c r="C377" s="4" t="s">
        <v>31</v>
      </c>
      <c r="D377" s="5" t="s">
        <v>131</v>
      </c>
      <c r="E377" s="10" t="str">
        <f t="shared" si="83"/>
        <v>PSND'!</v>
      </c>
      <c r="F377" s="5" t="str">
        <f t="shared" si="84"/>
        <v>C:\Users\jaime.benazar\Quorum Business Solutions\Ecopetrol Prometeo - Documents\Planning Space Implementation\3. Analysis &amp; Design\Design\FC22\DRR Jaime\Neiva CPI\[VAO_DINA TERCIARIOS_CF_SEC_20230117.xlsx]CF PSND'!</v>
      </c>
      <c r="G377" s="7" t="s">
        <v>100</v>
      </c>
      <c r="H377" s="4"/>
      <c r="I377" s="4"/>
      <c r="J377" s="4"/>
    </row>
    <row r="378" spans="1:10" x14ac:dyDescent="0.3">
      <c r="A378" s="7" t="s">
        <v>23</v>
      </c>
      <c r="B378" s="7">
        <f t="shared" si="85"/>
        <v>2057</v>
      </c>
      <c r="C378" s="4" t="s">
        <v>31</v>
      </c>
      <c r="D378" s="5" t="s">
        <v>131</v>
      </c>
      <c r="E378" s="10" t="str">
        <f t="shared" si="83"/>
        <v>PSND'!</v>
      </c>
      <c r="F378" s="5" t="str">
        <f t="shared" si="84"/>
        <v>C:\Users\jaime.benazar\Quorum Business Solutions\Ecopetrol Prometeo - Documents\Planning Space Implementation\3. Analysis &amp; Design\Design\FC22\DRR Jaime\Neiva CPI\[VAO_DINA TERCIARIOS_CF_SEC_20230117.xlsx]CF PSND'!</v>
      </c>
      <c r="G378" s="7" t="s">
        <v>100</v>
      </c>
      <c r="H378" s="4"/>
      <c r="I378" s="4"/>
      <c r="J378" s="4"/>
    </row>
    <row r="379" spans="1:10" x14ac:dyDescent="0.3">
      <c r="A379" s="7" t="s">
        <v>23</v>
      </c>
      <c r="B379" s="7">
        <f t="shared" si="85"/>
        <v>2058</v>
      </c>
      <c r="C379" s="4" t="s">
        <v>31</v>
      </c>
      <c r="D379" s="5" t="s">
        <v>131</v>
      </c>
      <c r="E379" s="10" t="str">
        <f t="shared" si="83"/>
        <v>PSND'!</v>
      </c>
      <c r="F379" s="5" t="str">
        <f t="shared" si="84"/>
        <v>C:\Users\jaime.benazar\Quorum Business Solutions\Ecopetrol Prometeo - Documents\Planning Space Implementation\3. Analysis &amp; Design\Design\FC22\DRR Jaime\Neiva CPI\[VAO_DINA TERCIARIOS_CF_SEC_20230117.xlsx]CF PSND'!</v>
      </c>
      <c r="G379" s="7" t="s">
        <v>100</v>
      </c>
      <c r="H379" s="4"/>
      <c r="I379" s="4"/>
      <c r="J379" s="4"/>
    </row>
    <row r="380" spans="1:10" x14ac:dyDescent="0.3">
      <c r="A380" s="7" t="s">
        <v>23</v>
      </c>
      <c r="B380" s="7">
        <f t="shared" si="85"/>
        <v>2059</v>
      </c>
      <c r="C380" s="4" t="s">
        <v>31</v>
      </c>
      <c r="D380" s="5" t="s">
        <v>131</v>
      </c>
      <c r="E380" s="10" t="str">
        <f t="shared" si="83"/>
        <v>PSND'!</v>
      </c>
      <c r="F380" s="5" t="str">
        <f t="shared" si="84"/>
        <v>C:\Users\jaime.benazar\Quorum Business Solutions\Ecopetrol Prometeo - Documents\Planning Space Implementation\3. Analysis &amp; Design\Design\FC22\DRR Jaime\Neiva CPI\[VAO_DINA TERCIARIOS_CF_SEC_20230117.xlsx]CF PSND'!</v>
      </c>
      <c r="G380" s="7" t="s">
        <v>100</v>
      </c>
      <c r="H380" s="4"/>
      <c r="I380" s="4"/>
      <c r="J380" s="4"/>
    </row>
    <row r="381" spans="1:10" x14ac:dyDescent="0.3">
      <c r="A381" s="7" t="s">
        <v>26</v>
      </c>
      <c r="B381" s="7"/>
      <c r="C381" s="4" t="s">
        <v>31</v>
      </c>
      <c r="D381" s="5"/>
      <c r="E381" s="10"/>
      <c r="F381" s="5" t="str">
        <f t="shared" si="72"/>
        <v xml:space="preserve"> </v>
      </c>
      <c r="G381" s="7"/>
      <c r="H381" s="4"/>
      <c r="I381" s="4"/>
      <c r="J381" s="4"/>
    </row>
    <row r="382" spans="1:10" x14ac:dyDescent="0.3">
      <c r="A382" s="7" t="s">
        <v>24</v>
      </c>
      <c r="B382" s="7">
        <v>2023</v>
      </c>
      <c r="C382" s="4" t="s">
        <v>31</v>
      </c>
      <c r="D382" s="5" t="s">
        <v>131</v>
      </c>
      <c r="E382" s="10" t="str">
        <f t="shared" si="24"/>
        <v>PS'!</v>
      </c>
      <c r="F382" s="5" t="str">
        <f t="shared" si="72"/>
        <v>C:\Users\jaime.benazar\Quorum Business Solutions\Ecopetrol Prometeo - Documents\Planning Space Implementation\3. Analysis &amp; Design\Design\FC22\DRR Jaime\Neiva CPI\[VAO_DINA TERCIARIOS_CF_SEC_20230117.xlsx]CF PS'!</v>
      </c>
      <c r="G382" s="7" t="s">
        <v>100</v>
      </c>
      <c r="H382" s="4">
        <f>IF(A382&lt;&gt;A252,36,H252+1)</f>
        <v>36</v>
      </c>
      <c r="I382" s="4" t="str">
        <f t="shared" si="25"/>
        <v>='C:\Users\jaime.benazar\Quorum Business Solutions\Ecopetrol Prometeo - Documents\Planning Space Implementation\3. Analysis &amp; Design\Design\FC22\DRR Jaime\Neiva CPI\[VAO_DINA TERCIARIOS_CF_SEC_20230117.xlsx]CF PS'!$AY$36</v>
      </c>
      <c r="J382" s="4" t="s">
        <v>280</v>
      </c>
    </row>
    <row r="383" spans="1:10" x14ac:dyDescent="0.3">
      <c r="A383" s="7" t="s">
        <v>24</v>
      </c>
      <c r="B383" s="7">
        <f>+B382+1</f>
        <v>2024</v>
      </c>
      <c r="C383" s="4" t="s">
        <v>31</v>
      </c>
      <c r="D383" s="5" t="s">
        <v>131</v>
      </c>
      <c r="E383" s="10" t="str">
        <f t="shared" si="24"/>
        <v>PS'!</v>
      </c>
      <c r="F383" s="5" t="str">
        <f t="shared" si="72"/>
        <v>C:\Users\jaime.benazar\Quorum Business Solutions\Ecopetrol Prometeo - Documents\Planning Space Implementation\3. Analysis &amp; Design\Design\FC22\DRR Jaime\Neiva CPI\[VAO_DINA TERCIARIOS_CF_SEC_20230117.xlsx]CF PS'!</v>
      </c>
      <c r="G383" s="7" t="s">
        <v>100</v>
      </c>
      <c r="H383" s="4">
        <f t="shared" si="26"/>
        <v>37</v>
      </c>
      <c r="I383" s="4" t="str">
        <f t="shared" si="25"/>
        <v>='C:\Users\jaime.benazar\Quorum Business Solutions\Ecopetrol Prometeo - Documents\Planning Space Implementation\3. Analysis &amp; Design\Design\FC22\DRR Jaime\Neiva CPI\[VAO_DINA TERCIARIOS_CF_SEC_20230117.xlsx]CF PS'!$AY$37</v>
      </c>
      <c r="J383" s="4" t="s">
        <v>281</v>
      </c>
    </row>
    <row r="384" spans="1:10" x14ac:dyDescent="0.3">
      <c r="A384" s="7" t="s">
        <v>24</v>
      </c>
      <c r="B384" s="7">
        <f t="shared" ref="B384:B395" si="86">+B383+1</f>
        <v>2025</v>
      </c>
      <c r="C384" s="4" t="s">
        <v>31</v>
      </c>
      <c r="D384" s="5" t="s">
        <v>131</v>
      </c>
      <c r="E384" s="10" t="str">
        <f t="shared" si="24"/>
        <v>PS'!</v>
      </c>
      <c r="F384" s="5" t="str">
        <f t="shared" si="72"/>
        <v>C:\Users\jaime.benazar\Quorum Business Solutions\Ecopetrol Prometeo - Documents\Planning Space Implementation\3. Analysis &amp; Design\Design\FC22\DRR Jaime\Neiva CPI\[VAO_DINA TERCIARIOS_CF_SEC_20230117.xlsx]CF PS'!</v>
      </c>
      <c r="G384" s="7" t="s">
        <v>100</v>
      </c>
      <c r="H384" s="4">
        <f t="shared" si="26"/>
        <v>38</v>
      </c>
      <c r="I384" s="4" t="str">
        <f t="shared" si="25"/>
        <v>='C:\Users\jaime.benazar\Quorum Business Solutions\Ecopetrol Prometeo - Documents\Planning Space Implementation\3. Analysis &amp; Design\Design\FC22\DRR Jaime\Neiva CPI\[VAO_DINA TERCIARIOS_CF_SEC_20230117.xlsx]CF PS'!$AY$38</v>
      </c>
      <c r="J384" s="4" t="s">
        <v>282</v>
      </c>
    </row>
    <row r="385" spans="1:10" x14ac:dyDescent="0.3">
      <c r="A385" s="7" t="s">
        <v>24</v>
      </c>
      <c r="B385" s="7">
        <f t="shared" si="86"/>
        <v>2026</v>
      </c>
      <c r="C385" s="4" t="s">
        <v>31</v>
      </c>
      <c r="D385" s="5" t="s">
        <v>131</v>
      </c>
      <c r="E385" s="10" t="str">
        <f t="shared" si="24"/>
        <v>PS'!</v>
      </c>
      <c r="F385" s="5" t="str">
        <f t="shared" si="72"/>
        <v>C:\Users\jaime.benazar\Quorum Business Solutions\Ecopetrol Prometeo - Documents\Planning Space Implementation\3. Analysis &amp; Design\Design\FC22\DRR Jaime\Neiva CPI\[VAO_DINA TERCIARIOS_CF_SEC_20230117.xlsx]CF PS'!</v>
      </c>
      <c r="G385" s="7" t="s">
        <v>100</v>
      </c>
      <c r="H385" s="4">
        <f t="shared" si="26"/>
        <v>39</v>
      </c>
      <c r="I385" s="4" t="str">
        <f t="shared" si="25"/>
        <v>='C:\Users\jaime.benazar\Quorum Business Solutions\Ecopetrol Prometeo - Documents\Planning Space Implementation\3. Analysis &amp; Design\Design\FC22\DRR Jaime\Neiva CPI\[VAO_DINA TERCIARIOS_CF_SEC_20230117.xlsx]CF PS'!$AY$39</v>
      </c>
      <c r="J385" s="4" t="s">
        <v>283</v>
      </c>
    </row>
    <row r="386" spans="1:10" x14ac:dyDescent="0.3">
      <c r="A386" s="7" t="s">
        <v>24</v>
      </c>
      <c r="B386" s="7">
        <f t="shared" si="86"/>
        <v>2027</v>
      </c>
      <c r="C386" s="4" t="s">
        <v>31</v>
      </c>
      <c r="D386" s="5" t="s">
        <v>131</v>
      </c>
      <c r="E386" s="10" t="str">
        <f t="shared" si="24"/>
        <v>PS'!</v>
      </c>
      <c r="F386" s="5" t="str">
        <f t="shared" si="72"/>
        <v>C:\Users\jaime.benazar\Quorum Business Solutions\Ecopetrol Prometeo - Documents\Planning Space Implementation\3. Analysis &amp; Design\Design\FC22\DRR Jaime\Neiva CPI\[VAO_DINA TERCIARIOS_CF_SEC_20230117.xlsx]CF PS'!</v>
      </c>
      <c r="G386" s="7" t="s">
        <v>100</v>
      </c>
      <c r="H386" s="4">
        <f t="shared" si="26"/>
        <v>40</v>
      </c>
      <c r="I386" s="4" t="str">
        <f t="shared" si="25"/>
        <v>='C:\Users\jaime.benazar\Quorum Business Solutions\Ecopetrol Prometeo - Documents\Planning Space Implementation\3. Analysis &amp; Design\Design\FC22\DRR Jaime\Neiva CPI\[VAO_DINA TERCIARIOS_CF_SEC_20230117.xlsx]CF PS'!$AY$40</v>
      </c>
      <c r="J386" s="4" t="s">
        <v>284</v>
      </c>
    </row>
    <row r="387" spans="1:10" x14ac:dyDescent="0.3">
      <c r="A387" s="7" t="s">
        <v>24</v>
      </c>
      <c r="B387" s="7">
        <f t="shared" si="86"/>
        <v>2028</v>
      </c>
      <c r="C387" s="4" t="s">
        <v>31</v>
      </c>
      <c r="D387" s="5" t="s">
        <v>131</v>
      </c>
      <c r="E387" s="10" t="str">
        <f t="shared" si="24"/>
        <v>PS'!</v>
      </c>
      <c r="F387" s="5" t="str">
        <f t="shared" si="72"/>
        <v>C:\Users\jaime.benazar\Quorum Business Solutions\Ecopetrol Prometeo - Documents\Planning Space Implementation\3. Analysis &amp; Design\Design\FC22\DRR Jaime\Neiva CPI\[VAO_DINA TERCIARIOS_CF_SEC_20230117.xlsx]CF PS'!</v>
      </c>
      <c r="G387" s="7" t="s">
        <v>100</v>
      </c>
      <c r="H387" s="4">
        <f t="shared" si="26"/>
        <v>41</v>
      </c>
      <c r="I387" s="4" t="str">
        <f t="shared" si="25"/>
        <v>='C:\Users\jaime.benazar\Quorum Business Solutions\Ecopetrol Prometeo - Documents\Planning Space Implementation\3. Analysis &amp; Design\Design\FC22\DRR Jaime\Neiva CPI\[VAO_DINA TERCIARIOS_CF_SEC_20230117.xlsx]CF PS'!$AY$41</v>
      </c>
      <c r="J387" s="4" t="s">
        <v>285</v>
      </c>
    </row>
    <row r="388" spans="1:10" x14ac:dyDescent="0.3">
      <c r="A388" s="7" t="s">
        <v>24</v>
      </c>
      <c r="B388" s="7">
        <f t="shared" si="86"/>
        <v>2029</v>
      </c>
      <c r="C388" s="4" t="s">
        <v>31</v>
      </c>
      <c r="D388" s="5" t="s">
        <v>131</v>
      </c>
      <c r="E388" s="10" t="str">
        <f t="shared" si="24"/>
        <v>PS'!</v>
      </c>
      <c r="F388" s="5" t="str">
        <f t="shared" si="72"/>
        <v>C:\Users\jaime.benazar\Quorum Business Solutions\Ecopetrol Prometeo - Documents\Planning Space Implementation\3. Analysis &amp; Design\Design\FC22\DRR Jaime\Neiva CPI\[VAO_DINA TERCIARIOS_CF_SEC_20230117.xlsx]CF PS'!</v>
      </c>
      <c r="G388" s="7" t="s">
        <v>100</v>
      </c>
      <c r="H388" s="4">
        <f t="shared" si="26"/>
        <v>42</v>
      </c>
      <c r="I388" s="4" t="str">
        <f t="shared" si="25"/>
        <v>='C:\Users\jaime.benazar\Quorum Business Solutions\Ecopetrol Prometeo - Documents\Planning Space Implementation\3. Analysis &amp; Design\Design\FC22\DRR Jaime\Neiva CPI\[VAO_DINA TERCIARIOS_CF_SEC_20230117.xlsx]CF PS'!$AY$42</v>
      </c>
      <c r="J388" s="4" t="s">
        <v>286</v>
      </c>
    </row>
    <row r="389" spans="1:10" x14ac:dyDescent="0.3">
      <c r="A389" s="7" t="s">
        <v>24</v>
      </c>
      <c r="B389" s="7">
        <f t="shared" si="86"/>
        <v>2030</v>
      </c>
      <c r="C389" s="4" t="s">
        <v>31</v>
      </c>
      <c r="D389" s="5" t="s">
        <v>131</v>
      </c>
      <c r="E389" s="10" t="str">
        <f t="shared" si="24"/>
        <v>PS'!</v>
      </c>
      <c r="F389" s="5" t="str">
        <f t="shared" si="72"/>
        <v>C:\Users\jaime.benazar\Quorum Business Solutions\Ecopetrol Prometeo - Documents\Planning Space Implementation\3. Analysis &amp; Design\Design\FC22\DRR Jaime\Neiva CPI\[VAO_DINA TERCIARIOS_CF_SEC_20230117.xlsx]CF PS'!</v>
      </c>
      <c r="G389" s="7" t="s">
        <v>100</v>
      </c>
      <c r="H389" s="4">
        <f t="shared" si="26"/>
        <v>43</v>
      </c>
      <c r="I389" s="4" t="str">
        <f t="shared" si="25"/>
        <v>='C:\Users\jaime.benazar\Quorum Business Solutions\Ecopetrol Prometeo - Documents\Planning Space Implementation\3. Analysis &amp; Design\Design\FC22\DRR Jaime\Neiva CPI\[VAO_DINA TERCIARIOS_CF_SEC_20230117.xlsx]CF PS'!$AY$43</v>
      </c>
      <c r="J389" s="4" t="s">
        <v>287</v>
      </c>
    </row>
    <row r="390" spans="1:10" x14ac:dyDescent="0.3">
      <c r="A390" s="7" t="s">
        <v>24</v>
      </c>
      <c r="B390" s="7">
        <f t="shared" si="86"/>
        <v>2031</v>
      </c>
      <c r="C390" s="4" t="s">
        <v>31</v>
      </c>
      <c r="D390" s="5" t="s">
        <v>131</v>
      </c>
      <c r="E390" s="10" t="str">
        <f t="shared" si="24"/>
        <v>PS'!</v>
      </c>
      <c r="F390" s="5" t="str">
        <f t="shared" si="72"/>
        <v>C:\Users\jaime.benazar\Quorum Business Solutions\Ecopetrol Prometeo - Documents\Planning Space Implementation\3. Analysis &amp; Design\Design\FC22\DRR Jaime\Neiva CPI\[VAO_DINA TERCIARIOS_CF_SEC_20230117.xlsx]CF PS'!</v>
      </c>
      <c r="G390" s="7" t="s">
        <v>100</v>
      </c>
      <c r="H390" s="4">
        <f t="shared" si="26"/>
        <v>44</v>
      </c>
      <c r="I390" s="4" t="str">
        <f t="shared" si="25"/>
        <v>='C:\Users\jaime.benazar\Quorum Business Solutions\Ecopetrol Prometeo - Documents\Planning Space Implementation\3. Analysis &amp; Design\Design\FC22\DRR Jaime\Neiva CPI\[VAO_DINA TERCIARIOS_CF_SEC_20230117.xlsx]CF PS'!$AY$44</v>
      </c>
      <c r="J390" s="4" t="s">
        <v>288</v>
      </c>
    </row>
    <row r="391" spans="1:10" x14ac:dyDescent="0.3">
      <c r="A391" s="7" t="s">
        <v>24</v>
      </c>
      <c r="B391" s="7">
        <f t="shared" si="86"/>
        <v>2032</v>
      </c>
      <c r="C391" s="4" t="s">
        <v>31</v>
      </c>
      <c r="D391" s="5" t="s">
        <v>131</v>
      </c>
      <c r="E391" s="10" t="str">
        <f t="shared" si="24"/>
        <v>PS'!</v>
      </c>
      <c r="F391" s="5" t="str">
        <f t="shared" si="72"/>
        <v>C:\Users\jaime.benazar\Quorum Business Solutions\Ecopetrol Prometeo - Documents\Planning Space Implementation\3. Analysis &amp; Design\Design\FC22\DRR Jaime\Neiva CPI\[VAO_DINA TERCIARIOS_CF_SEC_20230117.xlsx]CF PS'!</v>
      </c>
      <c r="G391" s="7" t="s">
        <v>100</v>
      </c>
      <c r="H391" s="4">
        <f t="shared" si="26"/>
        <v>45</v>
      </c>
      <c r="I391" s="4" t="str">
        <f t="shared" si="25"/>
        <v>='C:\Users\jaime.benazar\Quorum Business Solutions\Ecopetrol Prometeo - Documents\Planning Space Implementation\3. Analysis &amp; Design\Design\FC22\DRR Jaime\Neiva CPI\[VAO_DINA TERCIARIOS_CF_SEC_20230117.xlsx]CF PS'!$AY$45</v>
      </c>
      <c r="J391" s="4" t="s">
        <v>289</v>
      </c>
    </row>
    <row r="392" spans="1:10" x14ac:dyDescent="0.3">
      <c r="A392" s="7" t="s">
        <v>24</v>
      </c>
      <c r="B392" s="7">
        <f t="shared" si="86"/>
        <v>2033</v>
      </c>
      <c r="C392" s="4" t="s">
        <v>31</v>
      </c>
      <c r="D392" s="5" t="s">
        <v>131</v>
      </c>
      <c r="E392" s="10" t="str">
        <f t="shared" si="24"/>
        <v>PS'!</v>
      </c>
      <c r="F392" s="5" t="str">
        <f t="shared" si="72"/>
        <v>C:\Users\jaime.benazar\Quorum Business Solutions\Ecopetrol Prometeo - Documents\Planning Space Implementation\3. Analysis &amp; Design\Design\FC22\DRR Jaime\Neiva CPI\[VAO_DINA TERCIARIOS_CF_SEC_20230117.xlsx]CF PS'!</v>
      </c>
      <c r="G392" s="7" t="s">
        <v>100</v>
      </c>
      <c r="H392" s="4">
        <f t="shared" si="26"/>
        <v>46</v>
      </c>
      <c r="I392" s="4" t="str">
        <f t="shared" si="25"/>
        <v>='C:\Users\jaime.benazar\Quorum Business Solutions\Ecopetrol Prometeo - Documents\Planning Space Implementation\3. Analysis &amp; Design\Design\FC22\DRR Jaime\Neiva CPI\[VAO_DINA TERCIARIOS_CF_SEC_20230117.xlsx]CF PS'!$AY$46</v>
      </c>
      <c r="J392" s="4" t="s">
        <v>290</v>
      </c>
    </row>
    <row r="393" spans="1:10" x14ac:dyDescent="0.3">
      <c r="A393" s="7" t="s">
        <v>24</v>
      </c>
      <c r="B393" s="7">
        <f t="shared" si="86"/>
        <v>2034</v>
      </c>
      <c r="C393" s="4" t="s">
        <v>31</v>
      </c>
      <c r="D393" s="5" t="s">
        <v>131</v>
      </c>
      <c r="E393" s="10" t="str">
        <f t="shared" si="24"/>
        <v>PS'!</v>
      </c>
      <c r="F393" s="5" t="str">
        <f t="shared" si="72"/>
        <v>C:\Users\jaime.benazar\Quorum Business Solutions\Ecopetrol Prometeo - Documents\Planning Space Implementation\3. Analysis &amp; Design\Design\FC22\DRR Jaime\Neiva CPI\[VAO_DINA TERCIARIOS_CF_SEC_20230117.xlsx]CF PS'!</v>
      </c>
      <c r="G393" s="7" t="s">
        <v>100</v>
      </c>
      <c r="H393" s="4">
        <f t="shared" si="26"/>
        <v>47</v>
      </c>
      <c r="I393" s="4" t="str">
        <f t="shared" si="25"/>
        <v>='C:\Users\jaime.benazar\Quorum Business Solutions\Ecopetrol Prometeo - Documents\Planning Space Implementation\3. Analysis &amp; Design\Design\FC22\DRR Jaime\Neiva CPI\[VAO_DINA TERCIARIOS_CF_SEC_20230117.xlsx]CF PS'!$AY$47</v>
      </c>
      <c r="J393" s="4" t="s">
        <v>291</v>
      </c>
    </row>
    <row r="394" spans="1:10" x14ac:dyDescent="0.3">
      <c r="A394" s="7" t="s">
        <v>24</v>
      </c>
      <c r="B394" s="7">
        <f t="shared" si="86"/>
        <v>2035</v>
      </c>
      <c r="C394" s="4" t="s">
        <v>31</v>
      </c>
      <c r="D394" s="5" t="s">
        <v>131</v>
      </c>
      <c r="E394" s="10" t="str">
        <f t="shared" si="24"/>
        <v>PS'!</v>
      </c>
      <c r="F394" s="5" t="str">
        <f t="shared" si="72"/>
        <v>C:\Users\jaime.benazar\Quorum Business Solutions\Ecopetrol Prometeo - Documents\Planning Space Implementation\3. Analysis &amp; Design\Design\FC22\DRR Jaime\Neiva CPI\[VAO_DINA TERCIARIOS_CF_SEC_20230117.xlsx]CF PS'!</v>
      </c>
      <c r="G394" s="7" t="s">
        <v>100</v>
      </c>
      <c r="H394" s="4">
        <f t="shared" si="26"/>
        <v>48</v>
      </c>
      <c r="I394" s="4" t="str">
        <f t="shared" si="25"/>
        <v>='C:\Users\jaime.benazar\Quorum Business Solutions\Ecopetrol Prometeo - Documents\Planning Space Implementation\3. Analysis &amp; Design\Design\FC22\DRR Jaime\Neiva CPI\[VAO_DINA TERCIARIOS_CF_SEC_20230117.xlsx]CF PS'!$AY$48</v>
      </c>
      <c r="J394" s="4" t="s">
        <v>292</v>
      </c>
    </row>
    <row r="395" spans="1:10" x14ac:dyDescent="0.3">
      <c r="A395" s="7" t="s">
        <v>24</v>
      </c>
      <c r="B395" s="7">
        <f t="shared" si="86"/>
        <v>2036</v>
      </c>
      <c r="C395" s="4" t="s">
        <v>31</v>
      </c>
      <c r="D395" s="5" t="s">
        <v>131</v>
      </c>
      <c r="E395" s="10" t="str">
        <f t="shared" si="24"/>
        <v>PS'!</v>
      </c>
      <c r="F395" s="5" t="str">
        <f t="shared" si="72"/>
        <v>C:\Users\jaime.benazar\Quorum Business Solutions\Ecopetrol Prometeo - Documents\Planning Space Implementation\3. Analysis &amp; Design\Design\FC22\DRR Jaime\Neiva CPI\[VAO_DINA TERCIARIOS_CF_SEC_20230117.xlsx]CF PS'!</v>
      </c>
      <c r="G395" s="7" t="s">
        <v>100</v>
      </c>
      <c r="H395" s="4">
        <f t="shared" si="26"/>
        <v>49</v>
      </c>
      <c r="I395" s="4" t="str">
        <f t="shared" si="25"/>
        <v>='C:\Users\jaime.benazar\Quorum Business Solutions\Ecopetrol Prometeo - Documents\Planning Space Implementation\3. Analysis &amp; Design\Design\FC22\DRR Jaime\Neiva CPI\[VAO_DINA TERCIARIOS_CF_SEC_20230117.xlsx]CF PS'!$AY$49</v>
      </c>
      <c r="J395" s="4" t="s">
        <v>293</v>
      </c>
    </row>
    <row r="396" spans="1:10" x14ac:dyDescent="0.3">
      <c r="A396" s="7" t="s">
        <v>24</v>
      </c>
      <c r="B396" s="7">
        <f>+B395+1</f>
        <v>2037</v>
      </c>
      <c r="C396" s="4" t="s">
        <v>31</v>
      </c>
      <c r="D396" s="5" t="s">
        <v>131</v>
      </c>
      <c r="E396" s="10" t="str">
        <f t="shared" si="24"/>
        <v>PS'!</v>
      </c>
      <c r="F396" s="5" t="str">
        <f t="shared" si="72"/>
        <v>C:\Users\jaime.benazar\Quorum Business Solutions\Ecopetrol Prometeo - Documents\Planning Space Implementation\3. Analysis &amp; Design\Design\FC22\DRR Jaime\Neiva CPI\[VAO_DINA TERCIARIOS_CF_SEC_20230117.xlsx]CF PS'!</v>
      </c>
      <c r="G396" s="7" t="s">
        <v>100</v>
      </c>
      <c r="H396" s="4">
        <f t="shared" si="26"/>
        <v>50</v>
      </c>
      <c r="I396" s="4" t="str">
        <f t="shared" si="25"/>
        <v>='C:\Users\jaime.benazar\Quorum Business Solutions\Ecopetrol Prometeo - Documents\Planning Space Implementation\3. Analysis &amp; Design\Design\FC22\DRR Jaime\Neiva CPI\[VAO_DINA TERCIARIOS_CF_SEC_20230117.xlsx]CF PS'!$AY$50</v>
      </c>
      <c r="J396" s="4" t="s">
        <v>294</v>
      </c>
    </row>
    <row r="397" spans="1:10" x14ac:dyDescent="0.3">
      <c r="A397" s="7" t="s">
        <v>24</v>
      </c>
      <c r="B397" s="7">
        <f t="shared" ref="B397:B399" si="87">+B396+1</f>
        <v>2038</v>
      </c>
      <c r="C397" s="4" t="s">
        <v>31</v>
      </c>
      <c r="D397" s="5" t="s">
        <v>131</v>
      </c>
      <c r="E397" s="10" t="str">
        <f t="shared" si="24"/>
        <v>PS'!</v>
      </c>
      <c r="F397" s="5" t="str">
        <f t="shared" si="72"/>
        <v>C:\Users\jaime.benazar\Quorum Business Solutions\Ecopetrol Prometeo - Documents\Planning Space Implementation\3. Analysis &amp; Design\Design\FC22\DRR Jaime\Neiva CPI\[VAO_DINA TERCIARIOS_CF_SEC_20230117.xlsx]CF PS'!</v>
      </c>
      <c r="G397" s="7" t="s">
        <v>100</v>
      </c>
      <c r="H397" s="4">
        <f t="shared" si="26"/>
        <v>51</v>
      </c>
      <c r="I397" s="4" t="str">
        <f t="shared" si="25"/>
        <v>='C:\Users\jaime.benazar\Quorum Business Solutions\Ecopetrol Prometeo - Documents\Planning Space Implementation\3. Analysis &amp; Design\Design\FC22\DRR Jaime\Neiva CPI\[VAO_DINA TERCIARIOS_CF_SEC_20230117.xlsx]CF PS'!$AY$51</v>
      </c>
      <c r="J397" s="4" t="s">
        <v>295</v>
      </c>
    </row>
    <row r="398" spans="1:10" x14ac:dyDescent="0.3">
      <c r="A398" s="7" t="s">
        <v>24</v>
      </c>
      <c r="B398" s="7">
        <f t="shared" si="87"/>
        <v>2039</v>
      </c>
      <c r="C398" s="4" t="s">
        <v>31</v>
      </c>
      <c r="D398" s="5" t="s">
        <v>131</v>
      </c>
      <c r="E398" s="10" t="str">
        <f t="shared" si="24"/>
        <v>PS'!</v>
      </c>
      <c r="F398" s="5" t="str">
        <f t="shared" si="72"/>
        <v>C:\Users\jaime.benazar\Quorum Business Solutions\Ecopetrol Prometeo - Documents\Planning Space Implementation\3. Analysis &amp; Design\Design\FC22\DRR Jaime\Neiva CPI\[VAO_DINA TERCIARIOS_CF_SEC_20230117.xlsx]CF PS'!</v>
      </c>
      <c r="G398" s="7" t="s">
        <v>100</v>
      </c>
      <c r="H398" s="4">
        <f t="shared" si="26"/>
        <v>52</v>
      </c>
      <c r="I398" s="4" t="str">
        <f t="shared" si="25"/>
        <v>='C:\Users\jaime.benazar\Quorum Business Solutions\Ecopetrol Prometeo - Documents\Planning Space Implementation\3. Analysis &amp; Design\Design\FC22\DRR Jaime\Neiva CPI\[VAO_DINA TERCIARIOS_CF_SEC_20230117.xlsx]CF PS'!$AY$52</v>
      </c>
      <c r="J398" s="4" t="s">
        <v>296</v>
      </c>
    </row>
    <row r="399" spans="1:10" x14ac:dyDescent="0.3">
      <c r="A399" s="7" t="s">
        <v>24</v>
      </c>
      <c r="B399" s="7">
        <f t="shared" si="87"/>
        <v>2040</v>
      </c>
      <c r="C399" s="4" t="s">
        <v>31</v>
      </c>
      <c r="D399" s="5" t="s">
        <v>131</v>
      </c>
      <c r="E399" s="10" t="str">
        <f t="shared" si="24"/>
        <v>PS'!</v>
      </c>
      <c r="F399" s="5" t="str">
        <f t="shared" ref="F399:F504" si="88">_xlfn.CONCAT(D399," ",E399)</f>
        <v>C:\Users\jaime.benazar\Quorum Business Solutions\Ecopetrol Prometeo - Documents\Planning Space Implementation\3. Analysis &amp; Design\Design\FC22\DRR Jaime\Neiva CPI\[VAO_DINA TERCIARIOS_CF_SEC_20230117.xlsx]CF PS'!</v>
      </c>
      <c r="G399" s="7" t="s">
        <v>100</v>
      </c>
      <c r="H399" s="4">
        <f t="shared" si="26"/>
        <v>53</v>
      </c>
      <c r="I399" s="4" t="str">
        <f t="shared" si="25"/>
        <v>='C:\Users\jaime.benazar\Quorum Business Solutions\Ecopetrol Prometeo - Documents\Planning Space Implementation\3. Analysis &amp; Design\Design\FC22\DRR Jaime\Neiva CPI\[VAO_DINA TERCIARIOS_CF_SEC_20230117.xlsx]CF PS'!$AY$53</v>
      </c>
      <c r="J399" s="4" t="s">
        <v>297</v>
      </c>
    </row>
    <row r="400" spans="1:10" x14ac:dyDescent="0.3">
      <c r="A400" s="7" t="s">
        <v>24</v>
      </c>
      <c r="B400" s="7">
        <f>+B399+1</f>
        <v>2041</v>
      </c>
      <c r="C400" s="4" t="s">
        <v>31</v>
      </c>
      <c r="D400" s="5" t="s">
        <v>131</v>
      </c>
      <c r="E400" s="10" t="str">
        <f t="shared" si="24"/>
        <v>PS'!</v>
      </c>
      <c r="F400" s="5" t="str">
        <f t="shared" si="88"/>
        <v>C:\Users\jaime.benazar\Quorum Business Solutions\Ecopetrol Prometeo - Documents\Planning Space Implementation\3. Analysis &amp; Design\Design\FC22\DRR Jaime\Neiva CPI\[VAO_DINA TERCIARIOS_CF_SEC_20230117.xlsx]CF PS'!</v>
      </c>
      <c r="G400" s="7" t="s">
        <v>100</v>
      </c>
      <c r="H400" s="4">
        <f t="shared" si="26"/>
        <v>54</v>
      </c>
      <c r="I400" s="4" t="str">
        <f t="shared" si="25"/>
        <v>='C:\Users\jaime.benazar\Quorum Business Solutions\Ecopetrol Prometeo - Documents\Planning Space Implementation\3. Analysis &amp; Design\Design\FC22\DRR Jaime\Neiva CPI\[VAO_DINA TERCIARIOS_CF_SEC_20230117.xlsx]CF PS'!$AY$54</v>
      </c>
      <c r="J400" s="4" t="s">
        <v>298</v>
      </c>
    </row>
    <row r="401" spans="1:10" x14ac:dyDescent="0.3">
      <c r="A401" s="7" t="s">
        <v>24</v>
      </c>
      <c r="B401" s="7">
        <f t="shared" ref="B401:B402" si="89">+B400+1</f>
        <v>2042</v>
      </c>
      <c r="C401" s="4" t="s">
        <v>31</v>
      </c>
      <c r="D401" s="5" t="s">
        <v>131</v>
      </c>
      <c r="E401" s="10" t="str">
        <f t="shared" si="24"/>
        <v>PS'!</v>
      </c>
      <c r="F401" s="5" t="str">
        <f t="shared" si="88"/>
        <v>C:\Users\jaime.benazar\Quorum Business Solutions\Ecopetrol Prometeo - Documents\Planning Space Implementation\3. Analysis &amp; Design\Design\FC22\DRR Jaime\Neiva CPI\[VAO_DINA TERCIARIOS_CF_SEC_20230117.xlsx]CF PS'!</v>
      </c>
      <c r="G401" s="7" t="s">
        <v>100</v>
      </c>
      <c r="H401" s="4">
        <f t="shared" si="26"/>
        <v>55</v>
      </c>
      <c r="I401" s="4" t="str">
        <f t="shared" si="25"/>
        <v>='C:\Users\jaime.benazar\Quorum Business Solutions\Ecopetrol Prometeo - Documents\Planning Space Implementation\3. Analysis &amp; Design\Design\FC22\DRR Jaime\Neiva CPI\[VAO_DINA TERCIARIOS_CF_SEC_20230117.xlsx]CF PS'!$AY$55</v>
      </c>
      <c r="J401" s="4" t="s">
        <v>299</v>
      </c>
    </row>
    <row r="402" spans="1:10" x14ac:dyDescent="0.3">
      <c r="A402" s="7" t="s">
        <v>24</v>
      </c>
      <c r="B402" s="7">
        <f t="shared" si="89"/>
        <v>2043</v>
      </c>
      <c r="C402" s="4" t="s">
        <v>31</v>
      </c>
      <c r="D402" s="5" t="s">
        <v>131</v>
      </c>
      <c r="E402" s="10" t="str">
        <f t="shared" si="24"/>
        <v>PS'!</v>
      </c>
      <c r="F402" s="5" t="str">
        <f t="shared" si="88"/>
        <v>C:\Users\jaime.benazar\Quorum Business Solutions\Ecopetrol Prometeo - Documents\Planning Space Implementation\3. Analysis &amp; Design\Design\FC22\DRR Jaime\Neiva CPI\[VAO_DINA TERCIARIOS_CF_SEC_20230117.xlsx]CF PS'!</v>
      </c>
      <c r="G402" s="7" t="s">
        <v>100</v>
      </c>
      <c r="H402" s="4">
        <f t="shared" si="26"/>
        <v>56</v>
      </c>
      <c r="I402" s="4" t="str">
        <f t="shared" si="25"/>
        <v>='C:\Users\jaime.benazar\Quorum Business Solutions\Ecopetrol Prometeo - Documents\Planning Space Implementation\3. Analysis &amp; Design\Design\FC22\DRR Jaime\Neiva CPI\[VAO_DINA TERCIARIOS_CF_SEC_20230117.xlsx]CF PS'!$AY$56</v>
      </c>
      <c r="J402" s="4" t="s">
        <v>300</v>
      </c>
    </row>
    <row r="403" spans="1:10" x14ac:dyDescent="0.3">
      <c r="A403" s="7" t="s">
        <v>24</v>
      </c>
      <c r="B403" s="7">
        <f>+B402+1</f>
        <v>2044</v>
      </c>
      <c r="C403" s="4" t="s">
        <v>31</v>
      </c>
      <c r="D403" s="5" t="s">
        <v>131</v>
      </c>
      <c r="E403" s="10" t="str">
        <f t="shared" ref="E403:E418" si="90">_xlfn.CONCAT(A403,"'!")</f>
        <v>PS'!</v>
      </c>
      <c r="F403" s="5" t="str">
        <f t="shared" ref="F403:F418" si="91">_xlfn.CONCAT(D403," ",E403)</f>
        <v>C:\Users\jaime.benazar\Quorum Business Solutions\Ecopetrol Prometeo - Documents\Planning Space Implementation\3. Analysis &amp; Design\Design\FC22\DRR Jaime\Neiva CPI\[VAO_DINA TERCIARIOS_CF_SEC_20230117.xlsx]CF PS'!</v>
      </c>
      <c r="G403" s="7" t="s">
        <v>100</v>
      </c>
      <c r="H403" s="4">
        <f t="shared" ref="H403:H418" si="92">IF(A403&lt;&gt;A402,36,H402+1)</f>
        <v>57</v>
      </c>
      <c r="I403" s="4" t="str">
        <f t="shared" ref="I403:I418" si="93">_xlfn.CONCAT("='",F403:H403)</f>
        <v>='C:\Users\jaime.benazar\Quorum Business Solutions\Ecopetrol Prometeo - Documents\Planning Space Implementation\3. Analysis &amp; Design\Design\FC22\DRR Jaime\Neiva CPI\[VAO_DINA TERCIARIOS_CF_SEC_20230117.xlsx]CF PS'!$AY$57</v>
      </c>
      <c r="J403" s="4" t="s">
        <v>301</v>
      </c>
    </row>
    <row r="404" spans="1:10" x14ac:dyDescent="0.3">
      <c r="A404" s="7" t="s">
        <v>24</v>
      </c>
      <c r="B404" s="7">
        <f t="shared" ref="B404:B418" si="94">+B403+1</f>
        <v>2045</v>
      </c>
      <c r="C404" s="4" t="s">
        <v>31</v>
      </c>
      <c r="D404" s="5" t="s">
        <v>131</v>
      </c>
      <c r="E404" s="10" t="str">
        <f t="shared" si="90"/>
        <v>PS'!</v>
      </c>
      <c r="F404" s="5" t="str">
        <f t="shared" si="91"/>
        <v>C:\Users\jaime.benazar\Quorum Business Solutions\Ecopetrol Prometeo - Documents\Planning Space Implementation\3. Analysis &amp; Design\Design\FC22\DRR Jaime\Neiva CPI\[VAO_DINA TERCIARIOS_CF_SEC_20230117.xlsx]CF PS'!</v>
      </c>
      <c r="G404" s="7" t="s">
        <v>100</v>
      </c>
      <c r="H404" s="4">
        <f t="shared" si="92"/>
        <v>58</v>
      </c>
      <c r="I404" s="4" t="str">
        <f t="shared" si="93"/>
        <v>='C:\Users\jaime.benazar\Quorum Business Solutions\Ecopetrol Prometeo - Documents\Planning Space Implementation\3. Analysis &amp; Design\Design\FC22\DRR Jaime\Neiva CPI\[VAO_DINA TERCIARIOS_CF_SEC_20230117.xlsx]CF PS'!$AY$58</v>
      </c>
      <c r="J404" s="4" t="s">
        <v>302</v>
      </c>
    </row>
    <row r="405" spans="1:10" x14ac:dyDescent="0.3">
      <c r="A405" s="7" t="s">
        <v>24</v>
      </c>
      <c r="B405" s="7">
        <f t="shared" si="94"/>
        <v>2046</v>
      </c>
      <c r="C405" s="4" t="s">
        <v>31</v>
      </c>
      <c r="D405" s="5" t="s">
        <v>131</v>
      </c>
      <c r="E405" s="10" t="str">
        <f t="shared" si="90"/>
        <v>PS'!</v>
      </c>
      <c r="F405" s="5" t="str">
        <f t="shared" si="91"/>
        <v>C:\Users\jaime.benazar\Quorum Business Solutions\Ecopetrol Prometeo - Documents\Planning Space Implementation\3. Analysis &amp; Design\Design\FC22\DRR Jaime\Neiva CPI\[VAO_DINA TERCIARIOS_CF_SEC_20230117.xlsx]CF PS'!</v>
      </c>
      <c r="G405" s="7" t="s">
        <v>100</v>
      </c>
      <c r="H405" s="4">
        <f t="shared" si="92"/>
        <v>59</v>
      </c>
      <c r="I405" s="4" t="str">
        <f t="shared" si="93"/>
        <v>='C:\Users\jaime.benazar\Quorum Business Solutions\Ecopetrol Prometeo - Documents\Planning Space Implementation\3. Analysis &amp; Design\Design\FC22\DRR Jaime\Neiva CPI\[VAO_DINA TERCIARIOS_CF_SEC_20230117.xlsx]CF PS'!$AY$59</v>
      </c>
      <c r="J405" s="4" t="s">
        <v>303</v>
      </c>
    </row>
    <row r="406" spans="1:10" x14ac:dyDescent="0.3">
      <c r="A406" s="7" t="s">
        <v>24</v>
      </c>
      <c r="B406" s="7">
        <f t="shared" si="94"/>
        <v>2047</v>
      </c>
      <c r="C406" s="4" t="s">
        <v>31</v>
      </c>
      <c r="D406" s="5" t="s">
        <v>131</v>
      </c>
      <c r="E406" s="10" t="str">
        <f t="shared" si="90"/>
        <v>PS'!</v>
      </c>
      <c r="F406" s="5" t="str">
        <f t="shared" si="91"/>
        <v>C:\Users\jaime.benazar\Quorum Business Solutions\Ecopetrol Prometeo - Documents\Planning Space Implementation\3. Analysis &amp; Design\Design\FC22\DRR Jaime\Neiva CPI\[VAO_DINA TERCIARIOS_CF_SEC_20230117.xlsx]CF PS'!</v>
      </c>
      <c r="G406" s="7" t="s">
        <v>100</v>
      </c>
      <c r="H406" s="4">
        <f t="shared" si="92"/>
        <v>60</v>
      </c>
      <c r="I406" s="4" t="str">
        <f t="shared" si="93"/>
        <v>='C:\Users\jaime.benazar\Quorum Business Solutions\Ecopetrol Prometeo - Documents\Planning Space Implementation\3. Analysis &amp; Design\Design\FC22\DRR Jaime\Neiva CPI\[VAO_DINA TERCIARIOS_CF_SEC_20230117.xlsx]CF PS'!$AY$60</v>
      </c>
      <c r="J406" s="4" t="s">
        <v>304</v>
      </c>
    </row>
    <row r="407" spans="1:10" x14ac:dyDescent="0.3">
      <c r="A407" s="7" t="s">
        <v>24</v>
      </c>
      <c r="B407" s="7">
        <f t="shared" si="94"/>
        <v>2048</v>
      </c>
      <c r="C407" s="4" t="s">
        <v>31</v>
      </c>
      <c r="D407" s="5" t="s">
        <v>131</v>
      </c>
      <c r="E407" s="10" t="str">
        <f t="shared" si="90"/>
        <v>PS'!</v>
      </c>
      <c r="F407" s="5" t="str">
        <f t="shared" si="91"/>
        <v>C:\Users\jaime.benazar\Quorum Business Solutions\Ecopetrol Prometeo - Documents\Planning Space Implementation\3. Analysis &amp; Design\Design\FC22\DRR Jaime\Neiva CPI\[VAO_DINA TERCIARIOS_CF_SEC_20230117.xlsx]CF PS'!</v>
      </c>
      <c r="G407" s="7" t="s">
        <v>100</v>
      </c>
      <c r="H407" s="4">
        <f t="shared" si="92"/>
        <v>61</v>
      </c>
      <c r="I407" s="4" t="str">
        <f t="shared" si="93"/>
        <v>='C:\Users\jaime.benazar\Quorum Business Solutions\Ecopetrol Prometeo - Documents\Planning Space Implementation\3. Analysis &amp; Design\Design\FC22\DRR Jaime\Neiva CPI\[VAO_DINA TERCIARIOS_CF_SEC_20230117.xlsx]CF PS'!$AY$61</v>
      </c>
      <c r="J407" s="4" t="s">
        <v>305</v>
      </c>
    </row>
    <row r="408" spans="1:10" x14ac:dyDescent="0.3">
      <c r="A408" s="7" t="s">
        <v>24</v>
      </c>
      <c r="B408" s="7">
        <f t="shared" si="94"/>
        <v>2049</v>
      </c>
      <c r="C408" s="4" t="s">
        <v>31</v>
      </c>
      <c r="D408" s="5" t="s">
        <v>131</v>
      </c>
      <c r="E408" s="10" t="str">
        <f t="shared" si="90"/>
        <v>PS'!</v>
      </c>
      <c r="F408" s="5" t="str">
        <f t="shared" si="91"/>
        <v>C:\Users\jaime.benazar\Quorum Business Solutions\Ecopetrol Prometeo - Documents\Planning Space Implementation\3. Analysis &amp; Design\Design\FC22\DRR Jaime\Neiva CPI\[VAO_DINA TERCIARIOS_CF_SEC_20230117.xlsx]CF PS'!</v>
      </c>
      <c r="G408" s="7" t="s">
        <v>100</v>
      </c>
      <c r="H408" s="4">
        <f t="shared" si="92"/>
        <v>62</v>
      </c>
      <c r="I408" s="4" t="str">
        <f t="shared" si="93"/>
        <v>='C:\Users\jaime.benazar\Quorum Business Solutions\Ecopetrol Prometeo - Documents\Planning Space Implementation\3. Analysis &amp; Design\Design\FC22\DRR Jaime\Neiva CPI\[VAO_DINA TERCIARIOS_CF_SEC_20230117.xlsx]CF PS'!$AY$62</v>
      </c>
      <c r="J408" s="4" t="s">
        <v>306</v>
      </c>
    </row>
    <row r="409" spans="1:10" x14ac:dyDescent="0.3">
      <c r="A409" s="7" t="s">
        <v>24</v>
      </c>
      <c r="B409" s="7">
        <f t="shared" si="94"/>
        <v>2050</v>
      </c>
      <c r="C409" s="4" t="s">
        <v>31</v>
      </c>
      <c r="D409" s="5" t="s">
        <v>131</v>
      </c>
      <c r="E409" s="10" t="str">
        <f t="shared" si="90"/>
        <v>PS'!</v>
      </c>
      <c r="F409" s="5" t="str">
        <f t="shared" si="91"/>
        <v>C:\Users\jaime.benazar\Quorum Business Solutions\Ecopetrol Prometeo - Documents\Planning Space Implementation\3. Analysis &amp; Design\Design\FC22\DRR Jaime\Neiva CPI\[VAO_DINA TERCIARIOS_CF_SEC_20230117.xlsx]CF PS'!</v>
      </c>
      <c r="G409" s="7" t="s">
        <v>100</v>
      </c>
      <c r="H409" s="4">
        <f t="shared" si="92"/>
        <v>63</v>
      </c>
      <c r="I409" s="4" t="str">
        <f t="shared" si="93"/>
        <v>='C:\Users\jaime.benazar\Quorum Business Solutions\Ecopetrol Prometeo - Documents\Planning Space Implementation\3. Analysis &amp; Design\Design\FC22\DRR Jaime\Neiva CPI\[VAO_DINA TERCIARIOS_CF_SEC_20230117.xlsx]CF PS'!$AY$63</v>
      </c>
      <c r="J409" s="4" t="s">
        <v>307</v>
      </c>
    </row>
    <row r="410" spans="1:10" x14ac:dyDescent="0.3">
      <c r="A410" s="7" t="s">
        <v>24</v>
      </c>
      <c r="B410" s="7">
        <f t="shared" si="94"/>
        <v>2051</v>
      </c>
      <c r="C410" s="4" t="s">
        <v>31</v>
      </c>
      <c r="D410" s="5" t="s">
        <v>131</v>
      </c>
      <c r="E410" s="10" t="str">
        <f t="shared" si="90"/>
        <v>PS'!</v>
      </c>
      <c r="F410" s="5" t="str">
        <f t="shared" si="91"/>
        <v>C:\Users\jaime.benazar\Quorum Business Solutions\Ecopetrol Prometeo - Documents\Planning Space Implementation\3. Analysis &amp; Design\Design\FC22\DRR Jaime\Neiva CPI\[VAO_DINA TERCIARIOS_CF_SEC_20230117.xlsx]CF PS'!</v>
      </c>
      <c r="G410" s="7" t="s">
        <v>100</v>
      </c>
      <c r="H410" s="4">
        <f t="shared" si="92"/>
        <v>64</v>
      </c>
      <c r="I410" s="4" t="str">
        <f t="shared" si="93"/>
        <v>='C:\Users\jaime.benazar\Quorum Business Solutions\Ecopetrol Prometeo - Documents\Planning Space Implementation\3. Analysis &amp; Design\Design\FC22\DRR Jaime\Neiva CPI\[VAO_DINA TERCIARIOS_CF_SEC_20230117.xlsx]CF PS'!$AY$64</v>
      </c>
      <c r="J410" s="4" t="s">
        <v>308</v>
      </c>
    </row>
    <row r="411" spans="1:10" x14ac:dyDescent="0.3">
      <c r="A411" s="7" t="s">
        <v>24</v>
      </c>
      <c r="B411" s="7">
        <f t="shared" si="94"/>
        <v>2052</v>
      </c>
      <c r="C411" s="4" t="s">
        <v>31</v>
      </c>
      <c r="D411" s="5" t="s">
        <v>131</v>
      </c>
      <c r="E411" s="10" t="str">
        <f t="shared" si="90"/>
        <v>PS'!</v>
      </c>
      <c r="F411" s="5" t="str">
        <f t="shared" si="91"/>
        <v>C:\Users\jaime.benazar\Quorum Business Solutions\Ecopetrol Prometeo - Documents\Planning Space Implementation\3. Analysis &amp; Design\Design\FC22\DRR Jaime\Neiva CPI\[VAO_DINA TERCIARIOS_CF_SEC_20230117.xlsx]CF PS'!</v>
      </c>
      <c r="G411" s="7" t="s">
        <v>100</v>
      </c>
      <c r="H411" s="4">
        <f t="shared" si="92"/>
        <v>65</v>
      </c>
      <c r="I411" s="4" t="str">
        <f t="shared" si="93"/>
        <v>='C:\Users\jaime.benazar\Quorum Business Solutions\Ecopetrol Prometeo - Documents\Planning Space Implementation\3. Analysis &amp; Design\Design\FC22\DRR Jaime\Neiva CPI\[VAO_DINA TERCIARIOS_CF_SEC_20230117.xlsx]CF PS'!$AY$65</v>
      </c>
      <c r="J411" s="4" t="s">
        <v>309</v>
      </c>
    </row>
    <row r="412" spans="1:10" x14ac:dyDescent="0.3">
      <c r="A412" s="7" t="s">
        <v>24</v>
      </c>
      <c r="B412" s="7">
        <f t="shared" si="94"/>
        <v>2053</v>
      </c>
      <c r="C412" s="4" t="s">
        <v>31</v>
      </c>
      <c r="D412" s="5" t="s">
        <v>131</v>
      </c>
      <c r="E412" s="10" t="str">
        <f t="shared" si="90"/>
        <v>PS'!</v>
      </c>
      <c r="F412" s="5" t="str">
        <f t="shared" si="91"/>
        <v>C:\Users\jaime.benazar\Quorum Business Solutions\Ecopetrol Prometeo - Documents\Planning Space Implementation\3. Analysis &amp; Design\Design\FC22\DRR Jaime\Neiva CPI\[VAO_DINA TERCIARIOS_CF_SEC_20230117.xlsx]CF PS'!</v>
      </c>
      <c r="G412" s="7" t="s">
        <v>100</v>
      </c>
      <c r="H412" s="4">
        <f t="shared" si="92"/>
        <v>66</v>
      </c>
      <c r="I412" s="4" t="str">
        <f t="shared" si="93"/>
        <v>='C:\Users\jaime.benazar\Quorum Business Solutions\Ecopetrol Prometeo - Documents\Planning Space Implementation\3. Analysis &amp; Design\Design\FC22\DRR Jaime\Neiva CPI\[VAO_DINA TERCIARIOS_CF_SEC_20230117.xlsx]CF PS'!$AY$66</v>
      </c>
      <c r="J412" s="4" t="s">
        <v>310</v>
      </c>
    </row>
    <row r="413" spans="1:10" x14ac:dyDescent="0.3">
      <c r="A413" s="7" t="s">
        <v>24</v>
      </c>
      <c r="B413" s="7">
        <f t="shared" si="94"/>
        <v>2054</v>
      </c>
      <c r="C413" s="4" t="s">
        <v>31</v>
      </c>
      <c r="D413" s="5" t="s">
        <v>131</v>
      </c>
      <c r="E413" s="10" t="str">
        <f t="shared" si="90"/>
        <v>PS'!</v>
      </c>
      <c r="F413" s="5" t="str">
        <f t="shared" si="91"/>
        <v>C:\Users\jaime.benazar\Quorum Business Solutions\Ecopetrol Prometeo - Documents\Planning Space Implementation\3. Analysis &amp; Design\Design\FC22\DRR Jaime\Neiva CPI\[VAO_DINA TERCIARIOS_CF_SEC_20230117.xlsx]CF PS'!</v>
      </c>
      <c r="G413" s="7" t="s">
        <v>100</v>
      </c>
      <c r="H413" s="4">
        <f t="shared" si="92"/>
        <v>67</v>
      </c>
      <c r="I413" s="4" t="str">
        <f t="shared" si="93"/>
        <v>='C:\Users\jaime.benazar\Quorum Business Solutions\Ecopetrol Prometeo - Documents\Planning Space Implementation\3. Analysis &amp; Design\Design\FC22\DRR Jaime\Neiva CPI\[VAO_DINA TERCIARIOS_CF_SEC_20230117.xlsx]CF PS'!$AY$67</v>
      </c>
      <c r="J413" s="4" t="s">
        <v>311</v>
      </c>
    </row>
    <row r="414" spans="1:10" x14ac:dyDescent="0.3">
      <c r="A414" s="7" t="s">
        <v>24</v>
      </c>
      <c r="B414" s="7">
        <f t="shared" si="94"/>
        <v>2055</v>
      </c>
      <c r="C414" s="4" t="s">
        <v>31</v>
      </c>
      <c r="D414" s="5" t="s">
        <v>131</v>
      </c>
      <c r="E414" s="10" t="str">
        <f t="shared" si="90"/>
        <v>PS'!</v>
      </c>
      <c r="F414" s="5" t="str">
        <f t="shared" si="91"/>
        <v>C:\Users\jaime.benazar\Quorum Business Solutions\Ecopetrol Prometeo - Documents\Planning Space Implementation\3. Analysis &amp; Design\Design\FC22\DRR Jaime\Neiva CPI\[VAO_DINA TERCIARIOS_CF_SEC_20230117.xlsx]CF PS'!</v>
      </c>
      <c r="G414" s="7" t="s">
        <v>100</v>
      </c>
      <c r="H414" s="4">
        <f t="shared" si="92"/>
        <v>68</v>
      </c>
      <c r="I414" s="4" t="str">
        <f t="shared" si="93"/>
        <v>='C:\Users\jaime.benazar\Quorum Business Solutions\Ecopetrol Prometeo - Documents\Planning Space Implementation\3. Analysis &amp; Design\Design\FC22\DRR Jaime\Neiva CPI\[VAO_DINA TERCIARIOS_CF_SEC_20230117.xlsx]CF PS'!$AY$68</v>
      </c>
      <c r="J414" s="4" t="s">
        <v>312</v>
      </c>
    </row>
    <row r="415" spans="1:10" x14ac:dyDescent="0.3">
      <c r="A415" s="7" t="s">
        <v>24</v>
      </c>
      <c r="B415" s="7">
        <f t="shared" si="94"/>
        <v>2056</v>
      </c>
      <c r="C415" s="4" t="s">
        <v>31</v>
      </c>
      <c r="D415" s="5" t="s">
        <v>131</v>
      </c>
      <c r="E415" s="10" t="str">
        <f t="shared" si="90"/>
        <v>PS'!</v>
      </c>
      <c r="F415" s="5" t="str">
        <f t="shared" si="91"/>
        <v>C:\Users\jaime.benazar\Quorum Business Solutions\Ecopetrol Prometeo - Documents\Planning Space Implementation\3. Analysis &amp; Design\Design\FC22\DRR Jaime\Neiva CPI\[VAO_DINA TERCIARIOS_CF_SEC_20230117.xlsx]CF PS'!</v>
      </c>
      <c r="G415" s="7" t="s">
        <v>100</v>
      </c>
      <c r="H415" s="4">
        <f t="shared" si="92"/>
        <v>69</v>
      </c>
      <c r="I415" s="4" t="str">
        <f t="shared" si="93"/>
        <v>='C:\Users\jaime.benazar\Quorum Business Solutions\Ecopetrol Prometeo - Documents\Planning Space Implementation\3. Analysis &amp; Design\Design\FC22\DRR Jaime\Neiva CPI\[VAO_DINA TERCIARIOS_CF_SEC_20230117.xlsx]CF PS'!$AY$69</v>
      </c>
      <c r="J415" s="4" t="s">
        <v>313</v>
      </c>
    </row>
    <row r="416" spans="1:10" x14ac:dyDescent="0.3">
      <c r="A416" s="7" t="s">
        <v>24</v>
      </c>
      <c r="B416" s="7">
        <f t="shared" si="94"/>
        <v>2057</v>
      </c>
      <c r="C416" s="4" t="s">
        <v>31</v>
      </c>
      <c r="D416" s="5" t="s">
        <v>131</v>
      </c>
      <c r="E416" s="10" t="str">
        <f t="shared" si="90"/>
        <v>PS'!</v>
      </c>
      <c r="F416" s="5" t="str">
        <f t="shared" si="91"/>
        <v>C:\Users\jaime.benazar\Quorum Business Solutions\Ecopetrol Prometeo - Documents\Planning Space Implementation\3. Analysis &amp; Design\Design\FC22\DRR Jaime\Neiva CPI\[VAO_DINA TERCIARIOS_CF_SEC_20230117.xlsx]CF PS'!</v>
      </c>
      <c r="G416" s="7" t="s">
        <v>100</v>
      </c>
      <c r="H416" s="4">
        <f t="shared" si="92"/>
        <v>70</v>
      </c>
      <c r="I416" s="4" t="str">
        <f t="shared" si="93"/>
        <v>='C:\Users\jaime.benazar\Quorum Business Solutions\Ecopetrol Prometeo - Documents\Planning Space Implementation\3. Analysis &amp; Design\Design\FC22\DRR Jaime\Neiva CPI\[VAO_DINA TERCIARIOS_CF_SEC_20230117.xlsx]CF PS'!$AY$70</v>
      </c>
      <c r="J416" s="4" t="s">
        <v>314</v>
      </c>
    </row>
    <row r="417" spans="1:10" x14ac:dyDescent="0.3">
      <c r="A417" s="7" t="s">
        <v>24</v>
      </c>
      <c r="B417" s="7">
        <f t="shared" si="94"/>
        <v>2058</v>
      </c>
      <c r="C417" s="4" t="s">
        <v>31</v>
      </c>
      <c r="D417" s="5" t="s">
        <v>131</v>
      </c>
      <c r="E417" s="10" t="str">
        <f t="shared" si="90"/>
        <v>PS'!</v>
      </c>
      <c r="F417" s="5" t="str">
        <f t="shared" si="91"/>
        <v>C:\Users\jaime.benazar\Quorum Business Solutions\Ecopetrol Prometeo - Documents\Planning Space Implementation\3. Analysis &amp; Design\Design\FC22\DRR Jaime\Neiva CPI\[VAO_DINA TERCIARIOS_CF_SEC_20230117.xlsx]CF PS'!</v>
      </c>
      <c r="G417" s="7" t="s">
        <v>100</v>
      </c>
      <c r="H417" s="4">
        <f t="shared" si="92"/>
        <v>71</v>
      </c>
      <c r="I417" s="4" t="str">
        <f t="shared" si="93"/>
        <v>='C:\Users\jaime.benazar\Quorum Business Solutions\Ecopetrol Prometeo - Documents\Planning Space Implementation\3. Analysis &amp; Design\Design\FC22\DRR Jaime\Neiva CPI\[VAO_DINA TERCIARIOS_CF_SEC_20230117.xlsx]CF PS'!$AY$71</v>
      </c>
      <c r="J417" s="4" t="s">
        <v>315</v>
      </c>
    </row>
    <row r="418" spans="1:10" x14ac:dyDescent="0.3">
      <c r="A418" s="7" t="s">
        <v>24</v>
      </c>
      <c r="B418" s="7">
        <f t="shared" si="94"/>
        <v>2059</v>
      </c>
      <c r="C418" s="4" t="s">
        <v>31</v>
      </c>
      <c r="D418" s="5" t="s">
        <v>131</v>
      </c>
      <c r="E418" s="10" t="str">
        <f t="shared" si="90"/>
        <v>PS'!</v>
      </c>
      <c r="F418" s="5" t="str">
        <f t="shared" si="91"/>
        <v>C:\Users\jaime.benazar\Quorum Business Solutions\Ecopetrol Prometeo - Documents\Planning Space Implementation\3. Analysis &amp; Design\Design\FC22\DRR Jaime\Neiva CPI\[VAO_DINA TERCIARIOS_CF_SEC_20230117.xlsx]CF PS'!</v>
      </c>
      <c r="G418" s="7" t="s">
        <v>100</v>
      </c>
      <c r="H418" s="4">
        <f t="shared" si="92"/>
        <v>72</v>
      </c>
      <c r="I418" s="4" t="str">
        <f t="shared" si="93"/>
        <v>='C:\Users\jaime.benazar\Quorum Business Solutions\Ecopetrol Prometeo - Documents\Planning Space Implementation\3. Analysis &amp; Design\Design\FC22\DRR Jaime\Neiva CPI\[VAO_DINA TERCIARIOS_CF_SEC_20230117.xlsx]CF PS'!$AY$72</v>
      </c>
      <c r="J418" s="4" t="s">
        <v>316</v>
      </c>
    </row>
    <row r="419" spans="1:10" x14ac:dyDescent="0.3">
      <c r="A419" s="7" t="s">
        <v>26</v>
      </c>
      <c r="B419" s="7"/>
      <c r="C419" s="4" t="s">
        <v>31</v>
      </c>
      <c r="D419" s="5"/>
      <c r="E419" s="10"/>
      <c r="F419" s="5" t="str">
        <f t="shared" si="88"/>
        <v xml:space="preserve"> </v>
      </c>
      <c r="G419" s="7"/>
      <c r="H419" s="4"/>
      <c r="I419" s="4"/>
      <c r="J419" s="4"/>
    </row>
    <row r="420" spans="1:10" x14ac:dyDescent="0.3">
      <c r="A420" s="6" t="s">
        <v>14</v>
      </c>
      <c r="B420" s="6">
        <v>2023</v>
      </c>
      <c r="C420" s="1" t="s">
        <v>34</v>
      </c>
      <c r="D420" s="2" t="s">
        <v>131</v>
      </c>
      <c r="E420" s="9" t="str">
        <f>_xlfn.CONCAT(A420,"'!")</f>
        <v>PDP'!</v>
      </c>
      <c r="F420" s="5" t="str">
        <f t="shared" si="88"/>
        <v>C:\Users\jaime.benazar\Quorum Business Solutions\Ecopetrol Prometeo - Documents\Planning Space Implementation\3. Analysis &amp; Design\Design\FC22\DRR Jaime\Neiva CPI\[VAO_DINA TERCIARIOS_CF_SEC_20230117.xlsx]CF PDP'!</v>
      </c>
      <c r="G420" s="6" t="s">
        <v>101</v>
      </c>
      <c r="H420" s="1">
        <f>IF(A420&lt;&gt;A404,36,H404+1)</f>
        <v>36</v>
      </c>
      <c r="I420" s="1" t="str">
        <f>_xlfn.CONCAT("='",F420:H420)</f>
        <v>='C:\Users\jaime.benazar\Quorum Business Solutions\Ecopetrol Prometeo - Documents\Planning Space Implementation\3. Analysis &amp; Design\Design\FC22\DRR Jaime\Neiva CPI\[VAO_DINA TERCIARIOS_CF_SEC_20230117.xlsx]CF PDP'!$BT$36</v>
      </c>
      <c r="J420" s="1" t="s">
        <v>317</v>
      </c>
    </row>
    <row r="421" spans="1:10" x14ac:dyDescent="0.3">
      <c r="A421" s="6" t="s">
        <v>14</v>
      </c>
      <c r="B421" s="6">
        <f>+B420+1</f>
        <v>2024</v>
      </c>
      <c r="C421" s="1" t="s">
        <v>34</v>
      </c>
      <c r="D421" s="2" t="s">
        <v>131</v>
      </c>
      <c r="E421" s="9" t="str">
        <f t="shared" ref="E421:E514" si="95">_xlfn.CONCAT(A421,"'!")</f>
        <v>PDP'!</v>
      </c>
      <c r="F421" s="5" t="str">
        <f t="shared" si="88"/>
        <v>C:\Users\jaime.benazar\Quorum Business Solutions\Ecopetrol Prometeo - Documents\Planning Space Implementation\3. Analysis &amp; Design\Design\FC22\DRR Jaime\Neiva CPI\[VAO_DINA TERCIARIOS_CF_SEC_20230117.xlsx]CF PDP'!</v>
      </c>
      <c r="G421" s="6" t="s">
        <v>101</v>
      </c>
      <c r="H421" s="1">
        <f>IF(A421&lt;&gt;A420,36,H420+1)</f>
        <v>37</v>
      </c>
      <c r="I421" s="1" t="str">
        <f t="shared" ref="I421:I514" si="96">_xlfn.CONCAT("='",F421:H421)</f>
        <v>='C:\Users\jaime.benazar\Quorum Business Solutions\Ecopetrol Prometeo - Documents\Planning Space Implementation\3. Analysis &amp; Design\Design\FC22\DRR Jaime\Neiva CPI\[VAO_DINA TERCIARIOS_CF_SEC_20230117.xlsx]CF PDP'!$BT$37</v>
      </c>
      <c r="J421" s="1" t="s">
        <v>318</v>
      </c>
    </row>
    <row r="422" spans="1:10" x14ac:dyDescent="0.3">
      <c r="A422" s="6" t="s">
        <v>14</v>
      </c>
      <c r="B422" s="6">
        <f t="shared" ref="B422:B433" si="97">+B421+1</f>
        <v>2025</v>
      </c>
      <c r="C422" s="1" t="s">
        <v>34</v>
      </c>
      <c r="D422" s="2" t="s">
        <v>131</v>
      </c>
      <c r="E422" s="9" t="str">
        <f t="shared" si="95"/>
        <v>PDP'!</v>
      </c>
      <c r="F422" s="5" t="str">
        <f t="shared" si="88"/>
        <v>C:\Users\jaime.benazar\Quorum Business Solutions\Ecopetrol Prometeo - Documents\Planning Space Implementation\3. Analysis &amp; Design\Design\FC22\DRR Jaime\Neiva CPI\[VAO_DINA TERCIARIOS_CF_SEC_20230117.xlsx]CF PDP'!</v>
      </c>
      <c r="G422" s="6" t="s">
        <v>101</v>
      </c>
      <c r="H422" s="1">
        <f t="shared" ref="H422:H515" si="98">IF(A422&lt;&gt;A421,36,H421+1)</f>
        <v>38</v>
      </c>
      <c r="I422" s="1" t="str">
        <f t="shared" si="96"/>
        <v>='C:\Users\jaime.benazar\Quorum Business Solutions\Ecopetrol Prometeo - Documents\Planning Space Implementation\3. Analysis &amp; Design\Design\FC22\DRR Jaime\Neiva CPI\[VAO_DINA TERCIARIOS_CF_SEC_20230117.xlsx]CF PDP'!$BT$38</v>
      </c>
      <c r="J422" s="1" t="s">
        <v>319</v>
      </c>
    </row>
    <row r="423" spans="1:10" x14ac:dyDescent="0.3">
      <c r="A423" s="6" t="s">
        <v>14</v>
      </c>
      <c r="B423" s="6">
        <f t="shared" si="97"/>
        <v>2026</v>
      </c>
      <c r="C423" s="1" t="s">
        <v>34</v>
      </c>
      <c r="D423" s="2" t="s">
        <v>131</v>
      </c>
      <c r="E423" s="9" t="str">
        <f t="shared" si="95"/>
        <v>PDP'!</v>
      </c>
      <c r="F423" s="5" t="str">
        <f t="shared" si="88"/>
        <v>C:\Users\jaime.benazar\Quorum Business Solutions\Ecopetrol Prometeo - Documents\Planning Space Implementation\3. Analysis &amp; Design\Design\FC22\DRR Jaime\Neiva CPI\[VAO_DINA TERCIARIOS_CF_SEC_20230117.xlsx]CF PDP'!</v>
      </c>
      <c r="G423" s="6" t="s">
        <v>101</v>
      </c>
      <c r="H423" s="1">
        <f t="shared" si="98"/>
        <v>39</v>
      </c>
      <c r="I423" s="1" t="str">
        <f t="shared" si="96"/>
        <v>='C:\Users\jaime.benazar\Quorum Business Solutions\Ecopetrol Prometeo - Documents\Planning Space Implementation\3. Analysis &amp; Design\Design\FC22\DRR Jaime\Neiva CPI\[VAO_DINA TERCIARIOS_CF_SEC_20230117.xlsx]CF PDP'!$BT$39</v>
      </c>
      <c r="J423" s="1" t="s">
        <v>320</v>
      </c>
    </row>
    <row r="424" spans="1:10" x14ac:dyDescent="0.3">
      <c r="A424" s="6" t="s">
        <v>14</v>
      </c>
      <c r="B424" s="6">
        <f t="shared" si="97"/>
        <v>2027</v>
      </c>
      <c r="C424" s="1" t="s">
        <v>34</v>
      </c>
      <c r="D424" s="2" t="s">
        <v>131</v>
      </c>
      <c r="E424" s="9" t="str">
        <f t="shared" si="95"/>
        <v>PDP'!</v>
      </c>
      <c r="F424" s="5" t="str">
        <f t="shared" si="88"/>
        <v>C:\Users\jaime.benazar\Quorum Business Solutions\Ecopetrol Prometeo - Documents\Planning Space Implementation\3. Analysis &amp; Design\Design\FC22\DRR Jaime\Neiva CPI\[VAO_DINA TERCIARIOS_CF_SEC_20230117.xlsx]CF PDP'!</v>
      </c>
      <c r="G424" s="6" t="s">
        <v>101</v>
      </c>
      <c r="H424" s="1">
        <f t="shared" si="98"/>
        <v>40</v>
      </c>
      <c r="I424" s="1" t="str">
        <f t="shared" si="96"/>
        <v>='C:\Users\jaime.benazar\Quorum Business Solutions\Ecopetrol Prometeo - Documents\Planning Space Implementation\3. Analysis &amp; Design\Design\FC22\DRR Jaime\Neiva CPI\[VAO_DINA TERCIARIOS_CF_SEC_20230117.xlsx]CF PDP'!$BT$40</v>
      </c>
      <c r="J424" s="1" t="s">
        <v>321</v>
      </c>
    </row>
    <row r="425" spans="1:10" x14ac:dyDescent="0.3">
      <c r="A425" s="6" t="s">
        <v>14</v>
      </c>
      <c r="B425" s="6">
        <f t="shared" si="97"/>
        <v>2028</v>
      </c>
      <c r="C425" s="1" t="s">
        <v>34</v>
      </c>
      <c r="D425" s="2" t="s">
        <v>131</v>
      </c>
      <c r="E425" s="9" t="str">
        <f t="shared" si="95"/>
        <v>PDP'!</v>
      </c>
      <c r="F425" s="5" t="str">
        <f t="shared" si="88"/>
        <v>C:\Users\jaime.benazar\Quorum Business Solutions\Ecopetrol Prometeo - Documents\Planning Space Implementation\3. Analysis &amp; Design\Design\FC22\DRR Jaime\Neiva CPI\[VAO_DINA TERCIARIOS_CF_SEC_20230117.xlsx]CF PDP'!</v>
      </c>
      <c r="G425" s="6" t="s">
        <v>101</v>
      </c>
      <c r="H425" s="1">
        <f t="shared" si="98"/>
        <v>41</v>
      </c>
      <c r="I425" s="1" t="str">
        <f t="shared" si="96"/>
        <v>='C:\Users\jaime.benazar\Quorum Business Solutions\Ecopetrol Prometeo - Documents\Planning Space Implementation\3. Analysis &amp; Design\Design\FC22\DRR Jaime\Neiva CPI\[VAO_DINA TERCIARIOS_CF_SEC_20230117.xlsx]CF PDP'!$BT$41</v>
      </c>
      <c r="J425" s="1" t="s">
        <v>322</v>
      </c>
    </row>
    <row r="426" spans="1:10" x14ac:dyDescent="0.3">
      <c r="A426" s="6" t="s">
        <v>14</v>
      </c>
      <c r="B426" s="6">
        <f t="shared" si="97"/>
        <v>2029</v>
      </c>
      <c r="C426" s="1" t="s">
        <v>34</v>
      </c>
      <c r="D426" s="2" t="s">
        <v>131</v>
      </c>
      <c r="E426" s="9" t="str">
        <f t="shared" si="95"/>
        <v>PDP'!</v>
      </c>
      <c r="F426" s="5" t="str">
        <f t="shared" si="88"/>
        <v>C:\Users\jaime.benazar\Quorum Business Solutions\Ecopetrol Prometeo - Documents\Planning Space Implementation\3. Analysis &amp; Design\Design\FC22\DRR Jaime\Neiva CPI\[VAO_DINA TERCIARIOS_CF_SEC_20230117.xlsx]CF PDP'!</v>
      </c>
      <c r="G426" s="6" t="s">
        <v>101</v>
      </c>
      <c r="H426" s="1">
        <f t="shared" si="98"/>
        <v>42</v>
      </c>
      <c r="I426" s="1" t="str">
        <f t="shared" si="96"/>
        <v>='C:\Users\jaime.benazar\Quorum Business Solutions\Ecopetrol Prometeo - Documents\Planning Space Implementation\3. Analysis &amp; Design\Design\FC22\DRR Jaime\Neiva CPI\[VAO_DINA TERCIARIOS_CF_SEC_20230117.xlsx]CF PDP'!$BT$42</v>
      </c>
      <c r="J426" s="1" t="s">
        <v>323</v>
      </c>
    </row>
    <row r="427" spans="1:10" x14ac:dyDescent="0.3">
      <c r="A427" s="6" t="s">
        <v>14</v>
      </c>
      <c r="B427" s="6">
        <f t="shared" si="97"/>
        <v>2030</v>
      </c>
      <c r="C427" s="1" t="s">
        <v>34</v>
      </c>
      <c r="D427" s="2" t="s">
        <v>131</v>
      </c>
      <c r="E427" s="9" t="str">
        <f t="shared" si="95"/>
        <v>PDP'!</v>
      </c>
      <c r="F427" s="5" t="str">
        <f t="shared" si="88"/>
        <v>C:\Users\jaime.benazar\Quorum Business Solutions\Ecopetrol Prometeo - Documents\Planning Space Implementation\3. Analysis &amp; Design\Design\FC22\DRR Jaime\Neiva CPI\[VAO_DINA TERCIARIOS_CF_SEC_20230117.xlsx]CF PDP'!</v>
      </c>
      <c r="G427" s="6" t="s">
        <v>101</v>
      </c>
      <c r="H427" s="1">
        <f t="shared" si="98"/>
        <v>43</v>
      </c>
      <c r="I427" s="1" t="str">
        <f t="shared" si="96"/>
        <v>='C:\Users\jaime.benazar\Quorum Business Solutions\Ecopetrol Prometeo - Documents\Planning Space Implementation\3. Analysis &amp; Design\Design\FC22\DRR Jaime\Neiva CPI\[VAO_DINA TERCIARIOS_CF_SEC_20230117.xlsx]CF PDP'!$BT$43</v>
      </c>
      <c r="J427" s="1" t="s">
        <v>324</v>
      </c>
    </row>
    <row r="428" spans="1:10" x14ac:dyDescent="0.3">
      <c r="A428" s="6" t="s">
        <v>14</v>
      </c>
      <c r="B428" s="6">
        <f t="shared" si="97"/>
        <v>2031</v>
      </c>
      <c r="C428" s="1" t="s">
        <v>34</v>
      </c>
      <c r="D428" s="2" t="s">
        <v>131</v>
      </c>
      <c r="E428" s="9" t="str">
        <f t="shared" si="95"/>
        <v>PDP'!</v>
      </c>
      <c r="F428" s="5" t="str">
        <f t="shared" si="88"/>
        <v>C:\Users\jaime.benazar\Quorum Business Solutions\Ecopetrol Prometeo - Documents\Planning Space Implementation\3. Analysis &amp; Design\Design\FC22\DRR Jaime\Neiva CPI\[VAO_DINA TERCIARIOS_CF_SEC_20230117.xlsx]CF PDP'!</v>
      </c>
      <c r="G428" s="6" t="s">
        <v>101</v>
      </c>
      <c r="H428" s="1">
        <f t="shared" si="98"/>
        <v>44</v>
      </c>
      <c r="I428" s="1" t="str">
        <f t="shared" si="96"/>
        <v>='C:\Users\jaime.benazar\Quorum Business Solutions\Ecopetrol Prometeo - Documents\Planning Space Implementation\3. Analysis &amp; Design\Design\FC22\DRR Jaime\Neiva CPI\[VAO_DINA TERCIARIOS_CF_SEC_20230117.xlsx]CF PDP'!$BT$44</v>
      </c>
      <c r="J428" s="1" t="s">
        <v>325</v>
      </c>
    </row>
    <row r="429" spans="1:10" x14ac:dyDescent="0.3">
      <c r="A429" s="6" t="s">
        <v>14</v>
      </c>
      <c r="B429" s="6">
        <f t="shared" si="97"/>
        <v>2032</v>
      </c>
      <c r="C429" s="1" t="s">
        <v>34</v>
      </c>
      <c r="D429" s="2" t="s">
        <v>131</v>
      </c>
      <c r="E429" s="9" t="str">
        <f t="shared" si="95"/>
        <v>PDP'!</v>
      </c>
      <c r="F429" s="5" t="str">
        <f t="shared" si="88"/>
        <v>C:\Users\jaime.benazar\Quorum Business Solutions\Ecopetrol Prometeo - Documents\Planning Space Implementation\3. Analysis &amp; Design\Design\FC22\DRR Jaime\Neiva CPI\[VAO_DINA TERCIARIOS_CF_SEC_20230117.xlsx]CF PDP'!</v>
      </c>
      <c r="G429" s="6" t="s">
        <v>101</v>
      </c>
      <c r="H429" s="1">
        <f t="shared" si="98"/>
        <v>45</v>
      </c>
      <c r="I429" s="1" t="str">
        <f t="shared" si="96"/>
        <v>='C:\Users\jaime.benazar\Quorum Business Solutions\Ecopetrol Prometeo - Documents\Planning Space Implementation\3. Analysis &amp; Design\Design\FC22\DRR Jaime\Neiva CPI\[VAO_DINA TERCIARIOS_CF_SEC_20230117.xlsx]CF PDP'!$BT$45</v>
      </c>
      <c r="J429" s="1" t="s">
        <v>326</v>
      </c>
    </row>
    <row r="430" spans="1:10" x14ac:dyDescent="0.3">
      <c r="A430" s="6" t="s">
        <v>14</v>
      </c>
      <c r="B430" s="6">
        <f t="shared" si="97"/>
        <v>2033</v>
      </c>
      <c r="C430" s="1" t="s">
        <v>34</v>
      </c>
      <c r="D430" s="2" t="s">
        <v>131</v>
      </c>
      <c r="E430" s="9" t="str">
        <f t="shared" si="95"/>
        <v>PDP'!</v>
      </c>
      <c r="F430" s="5" t="str">
        <f t="shared" si="88"/>
        <v>C:\Users\jaime.benazar\Quorum Business Solutions\Ecopetrol Prometeo - Documents\Planning Space Implementation\3. Analysis &amp; Design\Design\FC22\DRR Jaime\Neiva CPI\[VAO_DINA TERCIARIOS_CF_SEC_20230117.xlsx]CF PDP'!</v>
      </c>
      <c r="G430" s="6" t="s">
        <v>101</v>
      </c>
      <c r="H430" s="1">
        <f t="shared" si="98"/>
        <v>46</v>
      </c>
      <c r="I430" s="1" t="str">
        <f t="shared" si="96"/>
        <v>='C:\Users\jaime.benazar\Quorum Business Solutions\Ecopetrol Prometeo - Documents\Planning Space Implementation\3. Analysis &amp; Design\Design\FC22\DRR Jaime\Neiva CPI\[VAO_DINA TERCIARIOS_CF_SEC_20230117.xlsx]CF PDP'!$BT$46</v>
      </c>
      <c r="J430" s="1" t="s">
        <v>327</v>
      </c>
    </row>
    <row r="431" spans="1:10" x14ac:dyDescent="0.3">
      <c r="A431" s="6" t="s">
        <v>14</v>
      </c>
      <c r="B431" s="6">
        <f t="shared" si="97"/>
        <v>2034</v>
      </c>
      <c r="C431" s="1" t="s">
        <v>34</v>
      </c>
      <c r="D431" s="2" t="s">
        <v>131</v>
      </c>
      <c r="E431" s="9" t="str">
        <f t="shared" si="95"/>
        <v>PDP'!</v>
      </c>
      <c r="F431" s="5" t="str">
        <f t="shared" si="88"/>
        <v>C:\Users\jaime.benazar\Quorum Business Solutions\Ecopetrol Prometeo - Documents\Planning Space Implementation\3. Analysis &amp; Design\Design\FC22\DRR Jaime\Neiva CPI\[VAO_DINA TERCIARIOS_CF_SEC_20230117.xlsx]CF PDP'!</v>
      </c>
      <c r="G431" s="6" t="s">
        <v>101</v>
      </c>
      <c r="H431" s="1">
        <f t="shared" si="98"/>
        <v>47</v>
      </c>
      <c r="I431" s="1" t="str">
        <f t="shared" si="96"/>
        <v>='C:\Users\jaime.benazar\Quorum Business Solutions\Ecopetrol Prometeo - Documents\Planning Space Implementation\3. Analysis &amp; Design\Design\FC22\DRR Jaime\Neiva CPI\[VAO_DINA TERCIARIOS_CF_SEC_20230117.xlsx]CF PDP'!$BT$47</v>
      </c>
      <c r="J431" s="1" t="s">
        <v>328</v>
      </c>
    </row>
    <row r="432" spans="1:10" x14ac:dyDescent="0.3">
      <c r="A432" s="6" t="s">
        <v>14</v>
      </c>
      <c r="B432" s="6">
        <f t="shared" si="97"/>
        <v>2035</v>
      </c>
      <c r="C432" s="1" t="s">
        <v>34</v>
      </c>
      <c r="D432" s="2" t="s">
        <v>131</v>
      </c>
      <c r="E432" s="9" t="str">
        <f t="shared" si="95"/>
        <v>PDP'!</v>
      </c>
      <c r="F432" s="5" t="str">
        <f t="shared" si="88"/>
        <v>C:\Users\jaime.benazar\Quorum Business Solutions\Ecopetrol Prometeo - Documents\Planning Space Implementation\3. Analysis &amp; Design\Design\FC22\DRR Jaime\Neiva CPI\[VAO_DINA TERCIARIOS_CF_SEC_20230117.xlsx]CF PDP'!</v>
      </c>
      <c r="G432" s="6" t="s">
        <v>101</v>
      </c>
      <c r="H432" s="1">
        <f t="shared" si="98"/>
        <v>48</v>
      </c>
      <c r="I432" s="1" t="str">
        <f t="shared" si="96"/>
        <v>='C:\Users\jaime.benazar\Quorum Business Solutions\Ecopetrol Prometeo - Documents\Planning Space Implementation\3. Analysis &amp; Design\Design\FC22\DRR Jaime\Neiva CPI\[VAO_DINA TERCIARIOS_CF_SEC_20230117.xlsx]CF PDP'!$BT$48</v>
      </c>
      <c r="J432" s="1" t="s">
        <v>329</v>
      </c>
    </row>
    <row r="433" spans="1:10" x14ac:dyDescent="0.3">
      <c r="A433" s="6" t="s">
        <v>14</v>
      </c>
      <c r="B433" s="6">
        <f t="shared" si="97"/>
        <v>2036</v>
      </c>
      <c r="C433" s="1" t="s">
        <v>34</v>
      </c>
      <c r="D433" s="2" t="s">
        <v>131</v>
      </c>
      <c r="E433" s="9" t="str">
        <f t="shared" si="95"/>
        <v>PDP'!</v>
      </c>
      <c r="F433" s="5" t="str">
        <f t="shared" si="88"/>
        <v>C:\Users\jaime.benazar\Quorum Business Solutions\Ecopetrol Prometeo - Documents\Planning Space Implementation\3. Analysis &amp; Design\Design\FC22\DRR Jaime\Neiva CPI\[VAO_DINA TERCIARIOS_CF_SEC_20230117.xlsx]CF PDP'!</v>
      </c>
      <c r="G433" s="6" t="s">
        <v>101</v>
      </c>
      <c r="H433" s="1">
        <f t="shared" si="98"/>
        <v>49</v>
      </c>
      <c r="I433" s="1" t="str">
        <f t="shared" si="96"/>
        <v>='C:\Users\jaime.benazar\Quorum Business Solutions\Ecopetrol Prometeo - Documents\Planning Space Implementation\3. Analysis &amp; Design\Design\FC22\DRR Jaime\Neiva CPI\[VAO_DINA TERCIARIOS_CF_SEC_20230117.xlsx]CF PDP'!$BT$49</v>
      </c>
      <c r="J433" s="1" t="s">
        <v>330</v>
      </c>
    </row>
    <row r="434" spans="1:10" x14ac:dyDescent="0.3">
      <c r="A434" s="6" t="s">
        <v>14</v>
      </c>
      <c r="B434" s="6">
        <f>+B433+1</f>
        <v>2037</v>
      </c>
      <c r="C434" s="1" t="s">
        <v>34</v>
      </c>
      <c r="D434" s="2" t="s">
        <v>131</v>
      </c>
      <c r="E434" s="9" t="str">
        <f t="shared" si="95"/>
        <v>PDP'!</v>
      </c>
      <c r="F434" s="5" t="str">
        <f t="shared" si="88"/>
        <v>C:\Users\jaime.benazar\Quorum Business Solutions\Ecopetrol Prometeo - Documents\Planning Space Implementation\3. Analysis &amp; Design\Design\FC22\DRR Jaime\Neiva CPI\[VAO_DINA TERCIARIOS_CF_SEC_20230117.xlsx]CF PDP'!</v>
      </c>
      <c r="G434" s="6" t="s">
        <v>101</v>
      </c>
      <c r="H434" s="1">
        <f t="shared" si="98"/>
        <v>50</v>
      </c>
      <c r="I434" s="1" t="str">
        <f t="shared" si="96"/>
        <v>='C:\Users\jaime.benazar\Quorum Business Solutions\Ecopetrol Prometeo - Documents\Planning Space Implementation\3. Analysis &amp; Design\Design\FC22\DRR Jaime\Neiva CPI\[VAO_DINA TERCIARIOS_CF_SEC_20230117.xlsx]CF PDP'!$BT$50</v>
      </c>
      <c r="J434" s="1" t="s">
        <v>331</v>
      </c>
    </row>
    <row r="435" spans="1:10" x14ac:dyDescent="0.3">
      <c r="A435" s="6" t="s">
        <v>14</v>
      </c>
      <c r="B435" s="6">
        <f t="shared" ref="B435:B437" si="99">+B434+1</f>
        <v>2038</v>
      </c>
      <c r="C435" s="1" t="s">
        <v>34</v>
      </c>
      <c r="D435" s="2" t="s">
        <v>131</v>
      </c>
      <c r="E435" s="9" t="str">
        <f t="shared" si="95"/>
        <v>PDP'!</v>
      </c>
      <c r="F435" s="5" t="str">
        <f t="shared" si="88"/>
        <v>C:\Users\jaime.benazar\Quorum Business Solutions\Ecopetrol Prometeo - Documents\Planning Space Implementation\3. Analysis &amp; Design\Design\FC22\DRR Jaime\Neiva CPI\[VAO_DINA TERCIARIOS_CF_SEC_20230117.xlsx]CF PDP'!</v>
      </c>
      <c r="G435" s="6" t="s">
        <v>101</v>
      </c>
      <c r="H435" s="1">
        <f t="shared" si="98"/>
        <v>51</v>
      </c>
      <c r="I435" s="1" t="str">
        <f t="shared" si="96"/>
        <v>='C:\Users\jaime.benazar\Quorum Business Solutions\Ecopetrol Prometeo - Documents\Planning Space Implementation\3. Analysis &amp; Design\Design\FC22\DRR Jaime\Neiva CPI\[VAO_DINA TERCIARIOS_CF_SEC_20230117.xlsx]CF PDP'!$BT$51</v>
      </c>
      <c r="J435" s="1" t="s">
        <v>332</v>
      </c>
    </row>
    <row r="436" spans="1:10" x14ac:dyDescent="0.3">
      <c r="A436" s="6" t="s">
        <v>14</v>
      </c>
      <c r="B436" s="6">
        <f t="shared" si="99"/>
        <v>2039</v>
      </c>
      <c r="C436" s="1" t="s">
        <v>34</v>
      </c>
      <c r="D436" s="2" t="s">
        <v>131</v>
      </c>
      <c r="E436" s="9" t="str">
        <f t="shared" si="95"/>
        <v>PDP'!</v>
      </c>
      <c r="F436" s="5" t="str">
        <f t="shared" si="88"/>
        <v>C:\Users\jaime.benazar\Quorum Business Solutions\Ecopetrol Prometeo - Documents\Planning Space Implementation\3. Analysis &amp; Design\Design\FC22\DRR Jaime\Neiva CPI\[VAO_DINA TERCIARIOS_CF_SEC_20230117.xlsx]CF PDP'!</v>
      </c>
      <c r="G436" s="6" t="s">
        <v>101</v>
      </c>
      <c r="H436" s="1">
        <f t="shared" si="98"/>
        <v>52</v>
      </c>
      <c r="I436" s="1" t="str">
        <f t="shared" si="96"/>
        <v>='C:\Users\jaime.benazar\Quorum Business Solutions\Ecopetrol Prometeo - Documents\Planning Space Implementation\3. Analysis &amp; Design\Design\FC22\DRR Jaime\Neiva CPI\[VAO_DINA TERCIARIOS_CF_SEC_20230117.xlsx]CF PDP'!$BT$52</v>
      </c>
      <c r="J436" s="1" t="s">
        <v>333</v>
      </c>
    </row>
    <row r="437" spans="1:10" x14ac:dyDescent="0.3">
      <c r="A437" s="6" t="s">
        <v>14</v>
      </c>
      <c r="B437" s="6">
        <f t="shared" si="99"/>
        <v>2040</v>
      </c>
      <c r="C437" s="1" t="s">
        <v>34</v>
      </c>
      <c r="D437" s="2" t="s">
        <v>131</v>
      </c>
      <c r="E437" s="9" t="str">
        <f t="shared" si="95"/>
        <v>PDP'!</v>
      </c>
      <c r="F437" s="5" t="str">
        <f t="shared" si="88"/>
        <v>C:\Users\jaime.benazar\Quorum Business Solutions\Ecopetrol Prometeo - Documents\Planning Space Implementation\3. Analysis &amp; Design\Design\FC22\DRR Jaime\Neiva CPI\[VAO_DINA TERCIARIOS_CF_SEC_20230117.xlsx]CF PDP'!</v>
      </c>
      <c r="G437" s="6" t="s">
        <v>101</v>
      </c>
      <c r="H437" s="1">
        <f t="shared" si="98"/>
        <v>53</v>
      </c>
      <c r="I437" s="1" t="str">
        <f t="shared" si="96"/>
        <v>='C:\Users\jaime.benazar\Quorum Business Solutions\Ecopetrol Prometeo - Documents\Planning Space Implementation\3. Analysis &amp; Design\Design\FC22\DRR Jaime\Neiva CPI\[VAO_DINA TERCIARIOS_CF_SEC_20230117.xlsx]CF PDP'!$BT$53</v>
      </c>
      <c r="J437" s="1" t="s">
        <v>334</v>
      </c>
    </row>
    <row r="438" spans="1:10" x14ac:dyDescent="0.3">
      <c r="A438" s="6" t="s">
        <v>14</v>
      </c>
      <c r="B438" s="6">
        <f>+B437+1</f>
        <v>2041</v>
      </c>
      <c r="C438" s="1" t="s">
        <v>34</v>
      </c>
      <c r="D438" s="2" t="s">
        <v>131</v>
      </c>
      <c r="E438" s="9" t="str">
        <f t="shared" si="95"/>
        <v>PDP'!</v>
      </c>
      <c r="F438" s="5" t="str">
        <f t="shared" si="88"/>
        <v>C:\Users\jaime.benazar\Quorum Business Solutions\Ecopetrol Prometeo - Documents\Planning Space Implementation\3. Analysis &amp; Design\Design\FC22\DRR Jaime\Neiva CPI\[VAO_DINA TERCIARIOS_CF_SEC_20230117.xlsx]CF PDP'!</v>
      </c>
      <c r="G438" s="6" t="s">
        <v>101</v>
      </c>
      <c r="H438" s="1">
        <f t="shared" si="98"/>
        <v>54</v>
      </c>
      <c r="I438" s="1" t="str">
        <f t="shared" si="96"/>
        <v>='C:\Users\jaime.benazar\Quorum Business Solutions\Ecopetrol Prometeo - Documents\Planning Space Implementation\3. Analysis &amp; Design\Design\FC22\DRR Jaime\Neiva CPI\[VAO_DINA TERCIARIOS_CF_SEC_20230117.xlsx]CF PDP'!$BT$54</v>
      </c>
      <c r="J438" s="1" t="s">
        <v>335</v>
      </c>
    </row>
    <row r="439" spans="1:10" x14ac:dyDescent="0.3">
      <c r="A439" s="6" t="s">
        <v>14</v>
      </c>
      <c r="B439" s="6">
        <f t="shared" ref="B439:B440" si="100">+B438+1</f>
        <v>2042</v>
      </c>
      <c r="C439" s="1" t="s">
        <v>34</v>
      </c>
      <c r="D439" s="2" t="s">
        <v>131</v>
      </c>
      <c r="E439" s="9" t="str">
        <f t="shared" si="95"/>
        <v>PDP'!</v>
      </c>
      <c r="F439" s="5" t="str">
        <f t="shared" si="88"/>
        <v>C:\Users\jaime.benazar\Quorum Business Solutions\Ecopetrol Prometeo - Documents\Planning Space Implementation\3. Analysis &amp; Design\Design\FC22\DRR Jaime\Neiva CPI\[VAO_DINA TERCIARIOS_CF_SEC_20230117.xlsx]CF PDP'!</v>
      </c>
      <c r="G439" s="6" t="s">
        <v>101</v>
      </c>
      <c r="H439" s="1">
        <f t="shared" si="98"/>
        <v>55</v>
      </c>
      <c r="I439" s="1" t="str">
        <f t="shared" si="96"/>
        <v>='C:\Users\jaime.benazar\Quorum Business Solutions\Ecopetrol Prometeo - Documents\Planning Space Implementation\3. Analysis &amp; Design\Design\FC22\DRR Jaime\Neiva CPI\[VAO_DINA TERCIARIOS_CF_SEC_20230117.xlsx]CF PDP'!$BT$55</v>
      </c>
      <c r="J439" s="1" t="s">
        <v>336</v>
      </c>
    </row>
    <row r="440" spans="1:10" x14ac:dyDescent="0.3">
      <c r="A440" s="6" t="s">
        <v>14</v>
      </c>
      <c r="B440" s="6">
        <f t="shared" si="100"/>
        <v>2043</v>
      </c>
      <c r="C440" s="1" t="s">
        <v>34</v>
      </c>
      <c r="D440" s="2" t="s">
        <v>131</v>
      </c>
      <c r="E440" s="9" t="str">
        <f t="shared" si="95"/>
        <v>PDP'!</v>
      </c>
      <c r="F440" s="5" t="str">
        <f t="shared" si="88"/>
        <v>C:\Users\jaime.benazar\Quorum Business Solutions\Ecopetrol Prometeo - Documents\Planning Space Implementation\3. Analysis &amp; Design\Design\FC22\DRR Jaime\Neiva CPI\[VAO_DINA TERCIARIOS_CF_SEC_20230117.xlsx]CF PDP'!</v>
      </c>
      <c r="G440" s="6" t="s">
        <v>101</v>
      </c>
      <c r="H440" s="1">
        <f t="shared" si="98"/>
        <v>56</v>
      </c>
      <c r="I440" s="1" t="str">
        <f t="shared" si="96"/>
        <v>='C:\Users\jaime.benazar\Quorum Business Solutions\Ecopetrol Prometeo - Documents\Planning Space Implementation\3. Analysis &amp; Design\Design\FC22\DRR Jaime\Neiva CPI\[VAO_DINA TERCIARIOS_CF_SEC_20230117.xlsx]CF PDP'!$BT$56</v>
      </c>
      <c r="J440" s="1" t="s">
        <v>337</v>
      </c>
    </row>
    <row r="441" spans="1:10" x14ac:dyDescent="0.3">
      <c r="A441" s="6" t="s">
        <v>14</v>
      </c>
      <c r="B441" s="6">
        <f>+B440+1</f>
        <v>2044</v>
      </c>
      <c r="C441" s="1" t="s">
        <v>34</v>
      </c>
      <c r="D441" s="2" t="s">
        <v>131</v>
      </c>
      <c r="E441" s="9" t="str">
        <f t="shared" ref="E441:E456" si="101">_xlfn.CONCAT(A441,"'!")</f>
        <v>PDP'!</v>
      </c>
      <c r="F441" s="5" t="str">
        <f t="shared" ref="F441:F456" si="102">_xlfn.CONCAT(D441," ",E441)</f>
        <v>C:\Users\jaime.benazar\Quorum Business Solutions\Ecopetrol Prometeo - Documents\Planning Space Implementation\3. Analysis &amp; Design\Design\FC22\DRR Jaime\Neiva CPI\[VAO_DINA TERCIARIOS_CF_SEC_20230117.xlsx]CF PDP'!</v>
      </c>
      <c r="G441" s="6" t="s">
        <v>101</v>
      </c>
      <c r="H441" s="1">
        <f t="shared" ref="H441:H456" si="103">IF(A441&lt;&gt;A440,36,H440+1)</f>
        <v>57</v>
      </c>
      <c r="I441" s="1" t="str">
        <f t="shared" ref="I441:I456" si="104">_xlfn.CONCAT("='",F441:H441)</f>
        <v>='C:\Users\jaime.benazar\Quorum Business Solutions\Ecopetrol Prometeo - Documents\Planning Space Implementation\3. Analysis &amp; Design\Design\FC22\DRR Jaime\Neiva CPI\[VAO_DINA TERCIARIOS_CF_SEC_20230117.xlsx]CF PDP'!$BT$57</v>
      </c>
      <c r="J441" s="1" t="s">
        <v>338</v>
      </c>
    </row>
    <row r="442" spans="1:10" x14ac:dyDescent="0.3">
      <c r="A442" s="6" t="s">
        <v>14</v>
      </c>
      <c r="B442" s="6">
        <f t="shared" ref="B442:B456" si="105">+B441+1</f>
        <v>2045</v>
      </c>
      <c r="C442" s="1" t="s">
        <v>34</v>
      </c>
      <c r="D442" s="2" t="s">
        <v>131</v>
      </c>
      <c r="E442" s="9" t="str">
        <f t="shared" si="101"/>
        <v>PDP'!</v>
      </c>
      <c r="F442" s="5" t="str">
        <f t="shared" si="102"/>
        <v>C:\Users\jaime.benazar\Quorum Business Solutions\Ecopetrol Prometeo - Documents\Planning Space Implementation\3. Analysis &amp; Design\Design\FC22\DRR Jaime\Neiva CPI\[VAO_DINA TERCIARIOS_CF_SEC_20230117.xlsx]CF PDP'!</v>
      </c>
      <c r="G442" s="6" t="s">
        <v>101</v>
      </c>
      <c r="H442" s="1">
        <f t="shared" si="103"/>
        <v>58</v>
      </c>
      <c r="I442" s="1" t="str">
        <f t="shared" si="104"/>
        <v>='C:\Users\jaime.benazar\Quorum Business Solutions\Ecopetrol Prometeo - Documents\Planning Space Implementation\3. Analysis &amp; Design\Design\FC22\DRR Jaime\Neiva CPI\[VAO_DINA TERCIARIOS_CF_SEC_20230117.xlsx]CF PDP'!$BT$58</v>
      </c>
      <c r="J442" s="1" t="s">
        <v>339</v>
      </c>
    </row>
    <row r="443" spans="1:10" x14ac:dyDescent="0.3">
      <c r="A443" s="6" t="s">
        <v>14</v>
      </c>
      <c r="B443" s="6">
        <f t="shared" si="105"/>
        <v>2046</v>
      </c>
      <c r="C443" s="1" t="s">
        <v>34</v>
      </c>
      <c r="D443" s="2" t="s">
        <v>131</v>
      </c>
      <c r="E443" s="9" t="str">
        <f t="shared" si="101"/>
        <v>PDP'!</v>
      </c>
      <c r="F443" s="5" t="str">
        <f t="shared" si="102"/>
        <v>C:\Users\jaime.benazar\Quorum Business Solutions\Ecopetrol Prometeo - Documents\Planning Space Implementation\3. Analysis &amp; Design\Design\FC22\DRR Jaime\Neiva CPI\[VAO_DINA TERCIARIOS_CF_SEC_20230117.xlsx]CF PDP'!</v>
      </c>
      <c r="G443" s="6" t="s">
        <v>101</v>
      </c>
      <c r="H443" s="1">
        <f t="shared" si="103"/>
        <v>59</v>
      </c>
      <c r="I443" s="1" t="str">
        <f t="shared" si="104"/>
        <v>='C:\Users\jaime.benazar\Quorum Business Solutions\Ecopetrol Prometeo - Documents\Planning Space Implementation\3. Analysis &amp; Design\Design\FC22\DRR Jaime\Neiva CPI\[VAO_DINA TERCIARIOS_CF_SEC_20230117.xlsx]CF PDP'!$BT$59</v>
      </c>
      <c r="J443" s="1" t="s">
        <v>340</v>
      </c>
    </row>
    <row r="444" spans="1:10" x14ac:dyDescent="0.3">
      <c r="A444" s="6" t="s">
        <v>14</v>
      </c>
      <c r="B444" s="6">
        <f t="shared" si="105"/>
        <v>2047</v>
      </c>
      <c r="C444" s="1" t="s">
        <v>34</v>
      </c>
      <c r="D444" s="2" t="s">
        <v>131</v>
      </c>
      <c r="E444" s="9" t="str">
        <f t="shared" si="101"/>
        <v>PDP'!</v>
      </c>
      <c r="F444" s="5" t="str">
        <f t="shared" si="102"/>
        <v>C:\Users\jaime.benazar\Quorum Business Solutions\Ecopetrol Prometeo - Documents\Planning Space Implementation\3. Analysis &amp; Design\Design\FC22\DRR Jaime\Neiva CPI\[VAO_DINA TERCIARIOS_CF_SEC_20230117.xlsx]CF PDP'!</v>
      </c>
      <c r="G444" s="6" t="s">
        <v>101</v>
      </c>
      <c r="H444" s="1">
        <f t="shared" si="103"/>
        <v>60</v>
      </c>
      <c r="I444" s="1" t="str">
        <f t="shared" si="104"/>
        <v>='C:\Users\jaime.benazar\Quorum Business Solutions\Ecopetrol Prometeo - Documents\Planning Space Implementation\3. Analysis &amp; Design\Design\FC22\DRR Jaime\Neiva CPI\[VAO_DINA TERCIARIOS_CF_SEC_20230117.xlsx]CF PDP'!$BT$60</v>
      </c>
      <c r="J444" s="1" t="s">
        <v>341</v>
      </c>
    </row>
    <row r="445" spans="1:10" x14ac:dyDescent="0.3">
      <c r="A445" s="6" t="s">
        <v>14</v>
      </c>
      <c r="B445" s="6">
        <f t="shared" si="105"/>
        <v>2048</v>
      </c>
      <c r="C445" s="1" t="s">
        <v>34</v>
      </c>
      <c r="D445" s="2" t="s">
        <v>131</v>
      </c>
      <c r="E445" s="9" t="str">
        <f t="shared" si="101"/>
        <v>PDP'!</v>
      </c>
      <c r="F445" s="5" t="str">
        <f t="shared" si="102"/>
        <v>C:\Users\jaime.benazar\Quorum Business Solutions\Ecopetrol Prometeo - Documents\Planning Space Implementation\3. Analysis &amp; Design\Design\FC22\DRR Jaime\Neiva CPI\[VAO_DINA TERCIARIOS_CF_SEC_20230117.xlsx]CF PDP'!</v>
      </c>
      <c r="G445" s="6" t="s">
        <v>101</v>
      </c>
      <c r="H445" s="1">
        <f t="shared" si="103"/>
        <v>61</v>
      </c>
      <c r="I445" s="1" t="str">
        <f t="shared" si="104"/>
        <v>='C:\Users\jaime.benazar\Quorum Business Solutions\Ecopetrol Prometeo - Documents\Planning Space Implementation\3. Analysis &amp; Design\Design\FC22\DRR Jaime\Neiva CPI\[VAO_DINA TERCIARIOS_CF_SEC_20230117.xlsx]CF PDP'!$BT$61</v>
      </c>
      <c r="J445" s="1" t="s">
        <v>342</v>
      </c>
    </row>
    <row r="446" spans="1:10" x14ac:dyDescent="0.3">
      <c r="A446" s="6" t="s">
        <v>14</v>
      </c>
      <c r="B446" s="6">
        <f t="shared" si="105"/>
        <v>2049</v>
      </c>
      <c r="C446" s="1" t="s">
        <v>34</v>
      </c>
      <c r="D446" s="2" t="s">
        <v>131</v>
      </c>
      <c r="E446" s="9" t="str">
        <f t="shared" si="101"/>
        <v>PDP'!</v>
      </c>
      <c r="F446" s="5" t="str">
        <f t="shared" si="102"/>
        <v>C:\Users\jaime.benazar\Quorum Business Solutions\Ecopetrol Prometeo - Documents\Planning Space Implementation\3. Analysis &amp; Design\Design\FC22\DRR Jaime\Neiva CPI\[VAO_DINA TERCIARIOS_CF_SEC_20230117.xlsx]CF PDP'!</v>
      </c>
      <c r="G446" s="6" t="s">
        <v>101</v>
      </c>
      <c r="H446" s="1">
        <f t="shared" si="103"/>
        <v>62</v>
      </c>
      <c r="I446" s="1" t="str">
        <f t="shared" si="104"/>
        <v>='C:\Users\jaime.benazar\Quorum Business Solutions\Ecopetrol Prometeo - Documents\Planning Space Implementation\3. Analysis &amp; Design\Design\FC22\DRR Jaime\Neiva CPI\[VAO_DINA TERCIARIOS_CF_SEC_20230117.xlsx]CF PDP'!$BT$62</v>
      </c>
      <c r="J446" s="1" t="s">
        <v>343</v>
      </c>
    </row>
    <row r="447" spans="1:10" x14ac:dyDescent="0.3">
      <c r="A447" s="6" t="s">
        <v>14</v>
      </c>
      <c r="B447" s="6">
        <f t="shared" si="105"/>
        <v>2050</v>
      </c>
      <c r="C447" s="1" t="s">
        <v>34</v>
      </c>
      <c r="D447" s="2" t="s">
        <v>131</v>
      </c>
      <c r="E447" s="9" t="str">
        <f t="shared" si="101"/>
        <v>PDP'!</v>
      </c>
      <c r="F447" s="5" t="str">
        <f t="shared" si="102"/>
        <v>C:\Users\jaime.benazar\Quorum Business Solutions\Ecopetrol Prometeo - Documents\Planning Space Implementation\3. Analysis &amp; Design\Design\FC22\DRR Jaime\Neiva CPI\[VAO_DINA TERCIARIOS_CF_SEC_20230117.xlsx]CF PDP'!</v>
      </c>
      <c r="G447" s="6" t="s">
        <v>101</v>
      </c>
      <c r="H447" s="1">
        <f t="shared" si="103"/>
        <v>63</v>
      </c>
      <c r="I447" s="1" t="str">
        <f t="shared" si="104"/>
        <v>='C:\Users\jaime.benazar\Quorum Business Solutions\Ecopetrol Prometeo - Documents\Planning Space Implementation\3. Analysis &amp; Design\Design\FC22\DRR Jaime\Neiva CPI\[VAO_DINA TERCIARIOS_CF_SEC_20230117.xlsx]CF PDP'!$BT$63</v>
      </c>
      <c r="J447" s="1" t="s">
        <v>344</v>
      </c>
    </row>
    <row r="448" spans="1:10" x14ac:dyDescent="0.3">
      <c r="A448" s="6" t="s">
        <v>14</v>
      </c>
      <c r="B448" s="6">
        <f t="shared" si="105"/>
        <v>2051</v>
      </c>
      <c r="C448" s="1" t="s">
        <v>34</v>
      </c>
      <c r="D448" s="2" t="s">
        <v>131</v>
      </c>
      <c r="E448" s="9" t="str">
        <f t="shared" si="101"/>
        <v>PDP'!</v>
      </c>
      <c r="F448" s="5" t="str">
        <f t="shared" si="102"/>
        <v>C:\Users\jaime.benazar\Quorum Business Solutions\Ecopetrol Prometeo - Documents\Planning Space Implementation\3. Analysis &amp; Design\Design\FC22\DRR Jaime\Neiva CPI\[VAO_DINA TERCIARIOS_CF_SEC_20230117.xlsx]CF PDP'!</v>
      </c>
      <c r="G448" s="6" t="s">
        <v>101</v>
      </c>
      <c r="H448" s="1">
        <f t="shared" si="103"/>
        <v>64</v>
      </c>
      <c r="I448" s="1" t="str">
        <f t="shared" si="104"/>
        <v>='C:\Users\jaime.benazar\Quorum Business Solutions\Ecopetrol Prometeo - Documents\Planning Space Implementation\3. Analysis &amp; Design\Design\FC22\DRR Jaime\Neiva CPI\[VAO_DINA TERCIARIOS_CF_SEC_20230117.xlsx]CF PDP'!$BT$64</v>
      </c>
      <c r="J448" s="1" t="s">
        <v>345</v>
      </c>
    </row>
    <row r="449" spans="1:10" x14ac:dyDescent="0.3">
      <c r="A449" s="6" t="s">
        <v>14</v>
      </c>
      <c r="B449" s="6">
        <f t="shared" si="105"/>
        <v>2052</v>
      </c>
      <c r="C449" s="1" t="s">
        <v>34</v>
      </c>
      <c r="D449" s="2" t="s">
        <v>131</v>
      </c>
      <c r="E449" s="9" t="str">
        <f t="shared" si="101"/>
        <v>PDP'!</v>
      </c>
      <c r="F449" s="5" t="str">
        <f t="shared" si="102"/>
        <v>C:\Users\jaime.benazar\Quorum Business Solutions\Ecopetrol Prometeo - Documents\Planning Space Implementation\3. Analysis &amp; Design\Design\FC22\DRR Jaime\Neiva CPI\[VAO_DINA TERCIARIOS_CF_SEC_20230117.xlsx]CF PDP'!</v>
      </c>
      <c r="G449" s="6" t="s">
        <v>101</v>
      </c>
      <c r="H449" s="1">
        <f t="shared" si="103"/>
        <v>65</v>
      </c>
      <c r="I449" s="1" t="str">
        <f t="shared" si="104"/>
        <v>='C:\Users\jaime.benazar\Quorum Business Solutions\Ecopetrol Prometeo - Documents\Planning Space Implementation\3. Analysis &amp; Design\Design\FC22\DRR Jaime\Neiva CPI\[VAO_DINA TERCIARIOS_CF_SEC_20230117.xlsx]CF PDP'!$BT$65</v>
      </c>
      <c r="J449" s="1" t="s">
        <v>346</v>
      </c>
    </row>
    <row r="450" spans="1:10" x14ac:dyDescent="0.3">
      <c r="A450" s="6" t="s">
        <v>14</v>
      </c>
      <c r="B450" s="6">
        <f t="shared" si="105"/>
        <v>2053</v>
      </c>
      <c r="C450" s="1" t="s">
        <v>34</v>
      </c>
      <c r="D450" s="2" t="s">
        <v>131</v>
      </c>
      <c r="E450" s="9" t="str">
        <f t="shared" si="101"/>
        <v>PDP'!</v>
      </c>
      <c r="F450" s="5" t="str">
        <f t="shared" si="102"/>
        <v>C:\Users\jaime.benazar\Quorum Business Solutions\Ecopetrol Prometeo - Documents\Planning Space Implementation\3. Analysis &amp; Design\Design\FC22\DRR Jaime\Neiva CPI\[VAO_DINA TERCIARIOS_CF_SEC_20230117.xlsx]CF PDP'!</v>
      </c>
      <c r="G450" s="6" t="s">
        <v>101</v>
      </c>
      <c r="H450" s="1">
        <f t="shared" si="103"/>
        <v>66</v>
      </c>
      <c r="I450" s="1" t="str">
        <f t="shared" si="104"/>
        <v>='C:\Users\jaime.benazar\Quorum Business Solutions\Ecopetrol Prometeo - Documents\Planning Space Implementation\3. Analysis &amp; Design\Design\FC22\DRR Jaime\Neiva CPI\[VAO_DINA TERCIARIOS_CF_SEC_20230117.xlsx]CF PDP'!$BT$66</v>
      </c>
      <c r="J450" s="1" t="s">
        <v>347</v>
      </c>
    </row>
    <row r="451" spans="1:10" x14ac:dyDescent="0.3">
      <c r="A451" s="6" t="s">
        <v>14</v>
      </c>
      <c r="B451" s="6">
        <f t="shared" si="105"/>
        <v>2054</v>
      </c>
      <c r="C451" s="1" t="s">
        <v>34</v>
      </c>
      <c r="D451" s="2" t="s">
        <v>131</v>
      </c>
      <c r="E451" s="9" t="str">
        <f t="shared" si="101"/>
        <v>PDP'!</v>
      </c>
      <c r="F451" s="5" t="str">
        <f t="shared" si="102"/>
        <v>C:\Users\jaime.benazar\Quorum Business Solutions\Ecopetrol Prometeo - Documents\Planning Space Implementation\3. Analysis &amp; Design\Design\FC22\DRR Jaime\Neiva CPI\[VAO_DINA TERCIARIOS_CF_SEC_20230117.xlsx]CF PDP'!</v>
      </c>
      <c r="G451" s="6" t="s">
        <v>101</v>
      </c>
      <c r="H451" s="1">
        <f t="shared" si="103"/>
        <v>67</v>
      </c>
      <c r="I451" s="1" t="str">
        <f t="shared" si="104"/>
        <v>='C:\Users\jaime.benazar\Quorum Business Solutions\Ecopetrol Prometeo - Documents\Planning Space Implementation\3. Analysis &amp; Design\Design\FC22\DRR Jaime\Neiva CPI\[VAO_DINA TERCIARIOS_CF_SEC_20230117.xlsx]CF PDP'!$BT$67</v>
      </c>
      <c r="J451" s="1" t="s">
        <v>348</v>
      </c>
    </row>
    <row r="452" spans="1:10" x14ac:dyDescent="0.3">
      <c r="A452" s="6" t="s">
        <v>14</v>
      </c>
      <c r="B452" s="6">
        <f t="shared" si="105"/>
        <v>2055</v>
      </c>
      <c r="C452" s="1" t="s">
        <v>34</v>
      </c>
      <c r="D452" s="2" t="s">
        <v>131</v>
      </c>
      <c r="E452" s="9" t="str">
        <f t="shared" si="101"/>
        <v>PDP'!</v>
      </c>
      <c r="F452" s="5" t="str">
        <f t="shared" si="102"/>
        <v>C:\Users\jaime.benazar\Quorum Business Solutions\Ecopetrol Prometeo - Documents\Planning Space Implementation\3. Analysis &amp; Design\Design\FC22\DRR Jaime\Neiva CPI\[VAO_DINA TERCIARIOS_CF_SEC_20230117.xlsx]CF PDP'!</v>
      </c>
      <c r="G452" s="6" t="s">
        <v>101</v>
      </c>
      <c r="H452" s="1">
        <f t="shared" si="103"/>
        <v>68</v>
      </c>
      <c r="I452" s="1" t="str">
        <f t="shared" si="104"/>
        <v>='C:\Users\jaime.benazar\Quorum Business Solutions\Ecopetrol Prometeo - Documents\Planning Space Implementation\3. Analysis &amp; Design\Design\FC22\DRR Jaime\Neiva CPI\[VAO_DINA TERCIARIOS_CF_SEC_20230117.xlsx]CF PDP'!$BT$68</v>
      </c>
      <c r="J452" s="1" t="s">
        <v>349</v>
      </c>
    </row>
    <row r="453" spans="1:10" x14ac:dyDescent="0.3">
      <c r="A453" s="6" t="s">
        <v>14</v>
      </c>
      <c r="B453" s="6">
        <f t="shared" si="105"/>
        <v>2056</v>
      </c>
      <c r="C453" s="1" t="s">
        <v>34</v>
      </c>
      <c r="D453" s="2" t="s">
        <v>131</v>
      </c>
      <c r="E453" s="9" t="str">
        <f t="shared" si="101"/>
        <v>PDP'!</v>
      </c>
      <c r="F453" s="5" t="str">
        <f t="shared" si="102"/>
        <v>C:\Users\jaime.benazar\Quorum Business Solutions\Ecopetrol Prometeo - Documents\Planning Space Implementation\3. Analysis &amp; Design\Design\FC22\DRR Jaime\Neiva CPI\[VAO_DINA TERCIARIOS_CF_SEC_20230117.xlsx]CF PDP'!</v>
      </c>
      <c r="G453" s="6" t="s">
        <v>101</v>
      </c>
      <c r="H453" s="1">
        <f t="shared" si="103"/>
        <v>69</v>
      </c>
      <c r="I453" s="1" t="str">
        <f t="shared" si="104"/>
        <v>='C:\Users\jaime.benazar\Quorum Business Solutions\Ecopetrol Prometeo - Documents\Planning Space Implementation\3. Analysis &amp; Design\Design\FC22\DRR Jaime\Neiva CPI\[VAO_DINA TERCIARIOS_CF_SEC_20230117.xlsx]CF PDP'!$BT$69</v>
      </c>
      <c r="J453" s="1" t="s">
        <v>350</v>
      </c>
    </row>
    <row r="454" spans="1:10" x14ac:dyDescent="0.3">
      <c r="A454" s="6" t="s">
        <v>14</v>
      </c>
      <c r="B454" s="6">
        <f t="shared" si="105"/>
        <v>2057</v>
      </c>
      <c r="C454" s="1" t="s">
        <v>34</v>
      </c>
      <c r="D454" s="2" t="s">
        <v>131</v>
      </c>
      <c r="E454" s="9" t="str">
        <f t="shared" si="101"/>
        <v>PDP'!</v>
      </c>
      <c r="F454" s="5" t="str">
        <f t="shared" si="102"/>
        <v>C:\Users\jaime.benazar\Quorum Business Solutions\Ecopetrol Prometeo - Documents\Planning Space Implementation\3. Analysis &amp; Design\Design\FC22\DRR Jaime\Neiva CPI\[VAO_DINA TERCIARIOS_CF_SEC_20230117.xlsx]CF PDP'!</v>
      </c>
      <c r="G454" s="6" t="s">
        <v>101</v>
      </c>
      <c r="H454" s="1">
        <f t="shared" si="103"/>
        <v>70</v>
      </c>
      <c r="I454" s="1" t="str">
        <f t="shared" si="104"/>
        <v>='C:\Users\jaime.benazar\Quorum Business Solutions\Ecopetrol Prometeo - Documents\Planning Space Implementation\3. Analysis &amp; Design\Design\FC22\DRR Jaime\Neiva CPI\[VAO_DINA TERCIARIOS_CF_SEC_20230117.xlsx]CF PDP'!$BT$70</v>
      </c>
      <c r="J454" s="1" t="s">
        <v>351</v>
      </c>
    </row>
    <row r="455" spans="1:10" x14ac:dyDescent="0.3">
      <c r="A455" s="6" t="s">
        <v>14</v>
      </c>
      <c r="B455" s="6">
        <f t="shared" si="105"/>
        <v>2058</v>
      </c>
      <c r="C455" s="1" t="s">
        <v>34</v>
      </c>
      <c r="D455" s="2" t="s">
        <v>131</v>
      </c>
      <c r="E455" s="9" t="str">
        <f t="shared" si="101"/>
        <v>PDP'!</v>
      </c>
      <c r="F455" s="5" t="str">
        <f t="shared" si="102"/>
        <v>C:\Users\jaime.benazar\Quorum Business Solutions\Ecopetrol Prometeo - Documents\Planning Space Implementation\3. Analysis &amp; Design\Design\FC22\DRR Jaime\Neiva CPI\[VAO_DINA TERCIARIOS_CF_SEC_20230117.xlsx]CF PDP'!</v>
      </c>
      <c r="G455" s="6" t="s">
        <v>101</v>
      </c>
      <c r="H455" s="1">
        <f t="shared" si="103"/>
        <v>71</v>
      </c>
      <c r="I455" s="1" t="str">
        <f t="shared" si="104"/>
        <v>='C:\Users\jaime.benazar\Quorum Business Solutions\Ecopetrol Prometeo - Documents\Planning Space Implementation\3. Analysis &amp; Design\Design\FC22\DRR Jaime\Neiva CPI\[VAO_DINA TERCIARIOS_CF_SEC_20230117.xlsx]CF PDP'!$BT$71</v>
      </c>
      <c r="J455" s="1" t="s">
        <v>352</v>
      </c>
    </row>
    <row r="456" spans="1:10" x14ac:dyDescent="0.3">
      <c r="A456" s="6" t="s">
        <v>14</v>
      </c>
      <c r="B456" s="6">
        <f t="shared" si="105"/>
        <v>2059</v>
      </c>
      <c r="C456" s="1" t="s">
        <v>34</v>
      </c>
      <c r="D456" s="2" t="s">
        <v>131</v>
      </c>
      <c r="E456" s="9" t="str">
        <f t="shared" si="101"/>
        <v>PDP'!</v>
      </c>
      <c r="F456" s="5" t="str">
        <f t="shared" si="102"/>
        <v>C:\Users\jaime.benazar\Quorum Business Solutions\Ecopetrol Prometeo - Documents\Planning Space Implementation\3. Analysis &amp; Design\Design\FC22\DRR Jaime\Neiva CPI\[VAO_DINA TERCIARIOS_CF_SEC_20230117.xlsx]CF PDP'!</v>
      </c>
      <c r="G456" s="6" t="s">
        <v>101</v>
      </c>
      <c r="H456" s="1">
        <f t="shared" si="103"/>
        <v>72</v>
      </c>
      <c r="I456" s="1" t="str">
        <f t="shared" si="104"/>
        <v>='C:\Users\jaime.benazar\Quorum Business Solutions\Ecopetrol Prometeo - Documents\Planning Space Implementation\3. Analysis &amp; Design\Design\FC22\DRR Jaime\Neiva CPI\[VAO_DINA TERCIARIOS_CF_SEC_20230117.xlsx]CF PDP'!$BT$72</v>
      </c>
      <c r="J456" s="1" t="s">
        <v>353</v>
      </c>
    </row>
    <row r="457" spans="1:10" x14ac:dyDescent="0.3">
      <c r="A457" s="6" t="s">
        <v>26</v>
      </c>
      <c r="B457" s="6"/>
      <c r="C457" s="1" t="s">
        <v>34</v>
      </c>
      <c r="D457" s="2"/>
      <c r="E457" s="9"/>
      <c r="F457" s="5" t="str">
        <f t="shared" si="88"/>
        <v xml:space="preserve"> </v>
      </c>
      <c r="G457" s="6"/>
      <c r="H457" s="1"/>
      <c r="I457" s="1"/>
      <c r="J457" s="4"/>
    </row>
    <row r="458" spans="1:10" x14ac:dyDescent="0.3">
      <c r="A458" s="6" t="s">
        <v>15</v>
      </c>
      <c r="B458" s="6">
        <v>2023</v>
      </c>
      <c r="C458" s="1" t="s">
        <v>34</v>
      </c>
      <c r="D458" s="2" t="s">
        <v>131</v>
      </c>
      <c r="E458" s="9" t="str">
        <f t="shared" si="95"/>
        <v>PNP'!</v>
      </c>
      <c r="F458" s="5" t="str">
        <f t="shared" si="88"/>
        <v>C:\Users\jaime.benazar\Quorum Business Solutions\Ecopetrol Prometeo - Documents\Planning Space Implementation\3. Analysis &amp; Design\Design\FC22\DRR Jaime\Neiva CPI\[VAO_DINA TERCIARIOS_CF_SEC_20230117.xlsx]CF PNP'!</v>
      </c>
      <c r="G458" s="6" t="s">
        <v>101</v>
      </c>
      <c r="H458" s="1">
        <f>IF(A458&lt;&gt;A442,36,H442+1)</f>
        <v>36</v>
      </c>
      <c r="I458" s="1" t="str">
        <f t="shared" si="96"/>
        <v>='C:\Users\jaime.benazar\Quorum Business Solutions\Ecopetrol Prometeo - Documents\Planning Space Implementation\3. Analysis &amp; Design\Design\FC22\DRR Jaime\Neiva CPI\[VAO_DINA TERCIARIOS_CF_SEC_20230117.xlsx]CF PNP'!$BT$36</v>
      </c>
      <c r="J458" s="1" t="s">
        <v>354</v>
      </c>
    </row>
    <row r="459" spans="1:10" x14ac:dyDescent="0.3">
      <c r="A459" s="6" t="s">
        <v>15</v>
      </c>
      <c r="B459" s="6">
        <f>+B458+1</f>
        <v>2024</v>
      </c>
      <c r="C459" s="1" t="s">
        <v>34</v>
      </c>
      <c r="D459" s="2" t="s">
        <v>131</v>
      </c>
      <c r="E459" s="9" t="str">
        <f t="shared" si="95"/>
        <v>PNP'!</v>
      </c>
      <c r="F459" s="5" t="str">
        <f t="shared" si="88"/>
        <v>C:\Users\jaime.benazar\Quorum Business Solutions\Ecopetrol Prometeo - Documents\Planning Space Implementation\3. Analysis &amp; Design\Design\FC22\DRR Jaime\Neiva CPI\[VAO_DINA TERCIARIOS_CF_SEC_20230117.xlsx]CF PNP'!</v>
      </c>
      <c r="G459" s="6" t="s">
        <v>101</v>
      </c>
      <c r="H459" s="1">
        <f t="shared" si="98"/>
        <v>37</v>
      </c>
      <c r="I459" s="1" t="str">
        <f t="shared" si="96"/>
        <v>='C:\Users\jaime.benazar\Quorum Business Solutions\Ecopetrol Prometeo - Documents\Planning Space Implementation\3. Analysis &amp; Design\Design\FC22\DRR Jaime\Neiva CPI\[VAO_DINA TERCIARIOS_CF_SEC_20230117.xlsx]CF PNP'!$BT$37</v>
      </c>
      <c r="J459" s="1" t="s">
        <v>355</v>
      </c>
    </row>
    <row r="460" spans="1:10" x14ac:dyDescent="0.3">
      <c r="A460" s="6" t="s">
        <v>15</v>
      </c>
      <c r="B460" s="6">
        <f t="shared" ref="B460:B471" si="106">+B459+1</f>
        <v>2025</v>
      </c>
      <c r="C460" s="1" t="s">
        <v>34</v>
      </c>
      <c r="D460" s="2" t="s">
        <v>131</v>
      </c>
      <c r="E460" s="9" t="str">
        <f t="shared" si="95"/>
        <v>PNP'!</v>
      </c>
      <c r="F460" s="5" t="str">
        <f t="shared" si="88"/>
        <v>C:\Users\jaime.benazar\Quorum Business Solutions\Ecopetrol Prometeo - Documents\Planning Space Implementation\3. Analysis &amp; Design\Design\FC22\DRR Jaime\Neiva CPI\[VAO_DINA TERCIARIOS_CF_SEC_20230117.xlsx]CF PNP'!</v>
      </c>
      <c r="G460" s="6" t="s">
        <v>101</v>
      </c>
      <c r="H460" s="1">
        <f t="shared" si="98"/>
        <v>38</v>
      </c>
      <c r="I460" s="1" t="str">
        <f t="shared" si="96"/>
        <v>='C:\Users\jaime.benazar\Quorum Business Solutions\Ecopetrol Prometeo - Documents\Planning Space Implementation\3. Analysis &amp; Design\Design\FC22\DRR Jaime\Neiva CPI\[VAO_DINA TERCIARIOS_CF_SEC_20230117.xlsx]CF PNP'!$BT$38</v>
      </c>
      <c r="J460" s="1" t="s">
        <v>356</v>
      </c>
    </row>
    <row r="461" spans="1:10" x14ac:dyDescent="0.3">
      <c r="A461" s="6" t="s">
        <v>15</v>
      </c>
      <c r="B461" s="6">
        <f t="shared" si="106"/>
        <v>2026</v>
      </c>
      <c r="C461" s="1" t="s">
        <v>34</v>
      </c>
      <c r="D461" s="2" t="s">
        <v>131</v>
      </c>
      <c r="E461" s="9" t="str">
        <f t="shared" si="95"/>
        <v>PNP'!</v>
      </c>
      <c r="F461" s="5" t="str">
        <f t="shared" si="88"/>
        <v>C:\Users\jaime.benazar\Quorum Business Solutions\Ecopetrol Prometeo - Documents\Planning Space Implementation\3. Analysis &amp; Design\Design\FC22\DRR Jaime\Neiva CPI\[VAO_DINA TERCIARIOS_CF_SEC_20230117.xlsx]CF PNP'!</v>
      </c>
      <c r="G461" s="6" t="s">
        <v>101</v>
      </c>
      <c r="H461" s="1">
        <f t="shared" si="98"/>
        <v>39</v>
      </c>
      <c r="I461" s="1" t="str">
        <f t="shared" si="96"/>
        <v>='C:\Users\jaime.benazar\Quorum Business Solutions\Ecopetrol Prometeo - Documents\Planning Space Implementation\3. Analysis &amp; Design\Design\FC22\DRR Jaime\Neiva CPI\[VAO_DINA TERCIARIOS_CF_SEC_20230117.xlsx]CF PNP'!$BT$39</v>
      </c>
      <c r="J461" s="1" t="s">
        <v>357</v>
      </c>
    </row>
    <row r="462" spans="1:10" x14ac:dyDescent="0.3">
      <c r="A462" s="6" t="s">
        <v>15</v>
      </c>
      <c r="B462" s="6">
        <f t="shared" si="106"/>
        <v>2027</v>
      </c>
      <c r="C462" s="1" t="s">
        <v>34</v>
      </c>
      <c r="D462" s="2" t="s">
        <v>131</v>
      </c>
      <c r="E462" s="9" t="str">
        <f t="shared" si="95"/>
        <v>PNP'!</v>
      </c>
      <c r="F462" s="5" t="str">
        <f t="shared" si="88"/>
        <v>C:\Users\jaime.benazar\Quorum Business Solutions\Ecopetrol Prometeo - Documents\Planning Space Implementation\3. Analysis &amp; Design\Design\FC22\DRR Jaime\Neiva CPI\[VAO_DINA TERCIARIOS_CF_SEC_20230117.xlsx]CF PNP'!</v>
      </c>
      <c r="G462" s="6" t="s">
        <v>101</v>
      </c>
      <c r="H462" s="1">
        <f t="shared" si="98"/>
        <v>40</v>
      </c>
      <c r="I462" s="1" t="str">
        <f t="shared" si="96"/>
        <v>='C:\Users\jaime.benazar\Quorum Business Solutions\Ecopetrol Prometeo - Documents\Planning Space Implementation\3. Analysis &amp; Design\Design\FC22\DRR Jaime\Neiva CPI\[VAO_DINA TERCIARIOS_CF_SEC_20230117.xlsx]CF PNP'!$BT$40</v>
      </c>
      <c r="J462" s="1" t="s">
        <v>358</v>
      </c>
    </row>
    <row r="463" spans="1:10" x14ac:dyDescent="0.3">
      <c r="A463" s="6" t="s">
        <v>15</v>
      </c>
      <c r="B463" s="6">
        <f t="shared" si="106"/>
        <v>2028</v>
      </c>
      <c r="C463" s="1" t="s">
        <v>34</v>
      </c>
      <c r="D463" s="2" t="s">
        <v>131</v>
      </c>
      <c r="E463" s="9" t="str">
        <f t="shared" si="95"/>
        <v>PNP'!</v>
      </c>
      <c r="F463" s="5" t="str">
        <f t="shared" si="88"/>
        <v>C:\Users\jaime.benazar\Quorum Business Solutions\Ecopetrol Prometeo - Documents\Planning Space Implementation\3. Analysis &amp; Design\Design\FC22\DRR Jaime\Neiva CPI\[VAO_DINA TERCIARIOS_CF_SEC_20230117.xlsx]CF PNP'!</v>
      </c>
      <c r="G463" s="6" t="s">
        <v>101</v>
      </c>
      <c r="H463" s="1">
        <f t="shared" si="98"/>
        <v>41</v>
      </c>
      <c r="I463" s="1" t="str">
        <f t="shared" si="96"/>
        <v>='C:\Users\jaime.benazar\Quorum Business Solutions\Ecopetrol Prometeo - Documents\Planning Space Implementation\3. Analysis &amp; Design\Design\FC22\DRR Jaime\Neiva CPI\[VAO_DINA TERCIARIOS_CF_SEC_20230117.xlsx]CF PNP'!$BT$41</v>
      </c>
      <c r="J463" s="1" t="s">
        <v>359</v>
      </c>
    </row>
    <row r="464" spans="1:10" x14ac:dyDescent="0.3">
      <c r="A464" s="6" t="s">
        <v>15</v>
      </c>
      <c r="B464" s="6">
        <f t="shared" si="106"/>
        <v>2029</v>
      </c>
      <c r="C464" s="1" t="s">
        <v>34</v>
      </c>
      <c r="D464" s="2" t="s">
        <v>131</v>
      </c>
      <c r="E464" s="9" t="str">
        <f t="shared" si="95"/>
        <v>PNP'!</v>
      </c>
      <c r="F464" s="5" t="str">
        <f t="shared" si="88"/>
        <v>C:\Users\jaime.benazar\Quorum Business Solutions\Ecopetrol Prometeo - Documents\Planning Space Implementation\3. Analysis &amp; Design\Design\FC22\DRR Jaime\Neiva CPI\[VAO_DINA TERCIARIOS_CF_SEC_20230117.xlsx]CF PNP'!</v>
      </c>
      <c r="G464" s="6" t="s">
        <v>101</v>
      </c>
      <c r="H464" s="1">
        <f t="shared" si="98"/>
        <v>42</v>
      </c>
      <c r="I464" s="1" t="str">
        <f t="shared" si="96"/>
        <v>='C:\Users\jaime.benazar\Quorum Business Solutions\Ecopetrol Prometeo - Documents\Planning Space Implementation\3. Analysis &amp; Design\Design\FC22\DRR Jaime\Neiva CPI\[VAO_DINA TERCIARIOS_CF_SEC_20230117.xlsx]CF PNP'!$BT$42</v>
      </c>
      <c r="J464" s="1" t="s">
        <v>360</v>
      </c>
    </row>
    <row r="465" spans="1:10" x14ac:dyDescent="0.3">
      <c r="A465" s="6" t="s">
        <v>15</v>
      </c>
      <c r="B465" s="6">
        <f t="shared" si="106"/>
        <v>2030</v>
      </c>
      <c r="C465" s="1" t="s">
        <v>34</v>
      </c>
      <c r="D465" s="2" t="s">
        <v>131</v>
      </c>
      <c r="E465" s="9" t="str">
        <f t="shared" si="95"/>
        <v>PNP'!</v>
      </c>
      <c r="F465" s="5" t="str">
        <f t="shared" si="88"/>
        <v>C:\Users\jaime.benazar\Quorum Business Solutions\Ecopetrol Prometeo - Documents\Planning Space Implementation\3. Analysis &amp; Design\Design\FC22\DRR Jaime\Neiva CPI\[VAO_DINA TERCIARIOS_CF_SEC_20230117.xlsx]CF PNP'!</v>
      </c>
      <c r="G465" s="6" t="s">
        <v>101</v>
      </c>
      <c r="H465" s="1">
        <f t="shared" si="98"/>
        <v>43</v>
      </c>
      <c r="I465" s="1" t="str">
        <f t="shared" si="96"/>
        <v>='C:\Users\jaime.benazar\Quorum Business Solutions\Ecopetrol Prometeo - Documents\Planning Space Implementation\3. Analysis &amp; Design\Design\FC22\DRR Jaime\Neiva CPI\[VAO_DINA TERCIARIOS_CF_SEC_20230117.xlsx]CF PNP'!$BT$43</v>
      </c>
      <c r="J465" s="1" t="s">
        <v>361</v>
      </c>
    </row>
    <row r="466" spans="1:10" x14ac:dyDescent="0.3">
      <c r="A466" s="6" t="s">
        <v>15</v>
      </c>
      <c r="B466" s="6">
        <f t="shared" si="106"/>
        <v>2031</v>
      </c>
      <c r="C466" s="1" t="s">
        <v>34</v>
      </c>
      <c r="D466" s="2" t="s">
        <v>131</v>
      </c>
      <c r="E466" s="9" t="str">
        <f t="shared" si="95"/>
        <v>PNP'!</v>
      </c>
      <c r="F466" s="5" t="str">
        <f t="shared" si="88"/>
        <v>C:\Users\jaime.benazar\Quorum Business Solutions\Ecopetrol Prometeo - Documents\Planning Space Implementation\3. Analysis &amp; Design\Design\FC22\DRR Jaime\Neiva CPI\[VAO_DINA TERCIARIOS_CF_SEC_20230117.xlsx]CF PNP'!</v>
      </c>
      <c r="G466" s="6" t="s">
        <v>101</v>
      </c>
      <c r="H466" s="1">
        <f t="shared" si="98"/>
        <v>44</v>
      </c>
      <c r="I466" s="1" t="str">
        <f t="shared" si="96"/>
        <v>='C:\Users\jaime.benazar\Quorum Business Solutions\Ecopetrol Prometeo - Documents\Planning Space Implementation\3. Analysis &amp; Design\Design\FC22\DRR Jaime\Neiva CPI\[VAO_DINA TERCIARIOS_CF_SEC_20230117.xlsx]CF PNP'!$BT$44</v>
      </c>
      <c r="J466" s="1" t="s">
        <v>362</v>
      </c>
    </row>
    <row r="467" spans="1:10" x14ac:dyDescent="0.3">
      <c r="A467" s="6" t="s">
        <v>15</v>
      </c>
      <c r="B467" s="6">
        <f t="shared" si="106"/>
        <v>2032</v>
      </c>
      <c r="C467" s="1" t="s">
        <v>34</v>
      </c>
      <c r="D467" s="2" t="s">
        <v>131</v>
      </c>
      <c r="E467" s="9" t="str">
        <f t="shared" si="95"/>
        <v>PNP'!</v>
      </c>
      <c r="F467" s="5" t="str">
        <f t="shared" si="88"/>
        <v>C:\Users\jaime.benazar\Quorum Business Solutions\Ecopetrol Prometeo - Documents\Planning Space Implementation\3. Analysis &amp; Design\Design\FC22\DRR Jaime\Neiva CPI\[VAO_DINA TERCIARIOS_CF_SEC_20230117.xlsx]CF PNP'!</v>
      </c>
      <c r="G467" s="6" t="s">
        <v>101</v>
      </c>
      <c r="H467" s="1">
        <f t="shared" si="98"/>
        <v>45</v>
      </c>
      <c r="I467" s="1" t="str">
        <f t="shared" si="96"/>
        <v>='C:\Users\jaime.benazar\Quorum Business Solutions\Ecopetrol Prometeo - Documents\Planning Space Implementation\3. Analysis &amp; Design\Design\FC22\DRR Jaime\Neiva CPI\[VAO_DINA TERCIARIOS_CF_SEC_20230117.xlsx]CF PNP'!$BT$45</v>
      </c>
      <c r="J467" s="1" t="s">
        <v>363</v>
      </c>
    </row>
    <row r="468" spans="1:10" x14ac:dyDescent="0.3">
      <c r="A468" s="6" t="s">
        <v>15</v>
      </c>
      <c r="B468" s="6">
        <f t="shared" si="106"/>
        <v>2033</v>
      </c>
      <c r="C468" s="1" t="s">
        <v>34</v>
      </c>
      <c r="D468" s="2" t="s">
        <v>131</v>
      </c>
      <c r="E468" s="9" t="str">
        <f t="shared" si="95"/>
        <v>PNP'!</v>
      </c>
      <c r="F468" s="5" t="str">
        <f t="shared" si="88"/>
        <v>C:\Users\jaime.benazar\Quorum Business Solutions\Ecopetrol Prometeo - Documents\Planning Space Implementation\3. Analysis &amp; Design\Design\FC22\DRR Jaime\Neiva CPI\[VAO_DINA TERCIARIOS_CF_SEC_20230117.xlsx]CF PNP'!</v>
      </c>
      <c r="G468" s="6" t="s">
        <v>101</v>
      </c>
      <c r="H468" s="1">
        <f t="shared" si="98"/>
        <v>46</v>
      </c>
      <c r="I468" s="1" t="str">
        <f t="shared" si="96"/>
        <v>='C:\Users\jaime.benazar\Quorum Business Solutions\Ecopetrol Prometeo - Documents\Planning Space Implementation\3. Analysis &amp; Design\Design\FC22\DRR Jaime\Neiva CPI\[VAO_DINA TERCIARIOS_CF_SEC_20230117.xlsx]CF PNP'!$BT$46</v>
      </c>
      <c r="J468" s="1" t="s">
        <v>364</v>
      </c>
    </row>
    <row r="469" spans="1:10" x14ac:dyDescent="0.3">
      <c r="A469" s="6" t="s">
        <v>15</v>
      </c>
      <c r="B469" s="6">
        <f t="shared" si="106"/>
        <v>2034</v>
      </c>
      <c r="C469" s="1" t="s">
        <v>34</v>
      </c>
      <c r="D469" s="2" t="s">
        <v>131</v>
      </c>
      <c r="E469" s="9" t="str">
        <f t="shared" si="95"/>
        <v>PNP'!</v>
      </c>
      <c r="F469" s="5" t="str">
        <f t="shared" si="88"/>
        <v>C:\Users\jaime.benazar\Quorum Business Solutions\Ecopetrol Prometeo - Documents\Planning Space Implementation\3. Analysis &amp; Design\Design\FC22\DRR Jaime\Neiva CPI\[VAO_DINA TERCIARIOS_CF_SEC_20230117.xlsx]CF PNP'!</v>
      </c>
      <c r="G469" s="6" t="s">
        <v>101</v>
      </c>
      <c r="H469" s="1">
        <f t="shared" si="98"/>
        <v>47</v>
      </c>
      <c r="I469" s="1" t="str">
        <f t="shared" si="96"/>
        <v>='C:\Users\jaime.benazar\Quorum Business Solutions\Ecopetrol Prometeo - Documents\Planning Space Implementation\3. Analysis &amp; Design\Design\FC22\DRR Jaime\Neiva CPI\[VAO_DINA TERCIARIOS_CF_SEC_20230117.xlsx]CF PNP'!$BT$47</v>
      </c>
      <c r="J469" s="1" t="s">
        <v>365</v>
      </c>
    </row>
    <row r="470" spans="1:10" x14ac:dyDescent="0.3">
      <c r="A470" s="6" t="s">
        <v>15</v>
      </c>
      <c r="B470" s="6">
        <f t="shared" si="106"/>
        <v>2035</v>
      </c>
      <c r="C470" s="1" t="s">
        <v>34</v>
      </c>
      <c r="D470" s="2" t="s">
        <v>131</v>
      </c>
      <c r="E470" s="9" t="str">
        <f t="shared" si="95"/>
        <v>PNP'!</v>
      </c>
      <c r="F470" s="5" t="str">
        <f t="shared" si="88"/>
        <v>C:\Users\jaime.benazar\Quorum Business Solutions\Ecopetrol Prometeo - Documents\Planning Space Implementation\3. Analysis &amp; Design\Design\FC22\DRR Jaime\Neiva CPI\[VAO_DINA TERCIARIOS_CF_SEC_20230117.xlsx]CF PNP'!</v>
      </c>
      <c r="G470" s="6" t="s">
        <v>101</v>
      </c>
      <c r="H470" s="1">
        <f t="shared" si="98"/>
        <v>48</v>
      </c>
      <c r="I470" s="1" t="str">
        <f t="shared" si="96"/>
        <v>='C:\Users\jaime.benazar\Quorum Business Solutions\Ecopetrol Prometeo - Documents\Planning Space Implementation\3. Analysis &amp; Design\Design\FC22\DRR Jaime\Neiva CPI\[VAO_DINA TERCIARIOS_CF_SEC_20230117.xlsx]CF PNP'!$BT$48</v>
      </c>
      <c r="J470" s="1" t="s">
        <v>366</v>
      </c>
    </row>
    <row r="471" spans="1:10" x14ac:dyDescent="0.3">
      <c r="A471" s="6" t="s">
        <v>15</v>
      </c>
      <c r="B471" s="6">
        <f t="shared" si="106"/>
        <v>2036</v>
      </c>
      <c r="C471" s="1" t="s">
        <v>34</v>
      </c>
      <c r="D471" s="2" t="s">
        <v>131</v>
      </c>
      <c r="E471" s="9" t="str">
        <f t="shared" si="95"/>
        <v>PNP'!</v>
      </c>
      <c r="F471" s="5" t="str">
        <f t="shared" si="88"/>
        <v>C:\Users\jaime.benazar\Quorum Business Solutions\Ecopetrol Prometeo - Documents\Planning Space Implementation\3. Analysis &amp; Design\Design\FC22\DRR Jaime\Neiva CPI\[VAO_DINA TERCIARIOS_CF_SEC_20230117.xlsx]CF PNP'!</v>
      </c>
      <c r="G471" s="6" t="s">
        <v>101</v>
      </c>
      <c r="H471" s="1">
        <f t="shared" si="98"/>
        <v>49</v>
      </c>
      <c r="I471" s="1" t="str">
        <f t="shared" si="96"/>
        <v>='C:\Users\jaime.benazar\Quorum Business Solutions\Ecopetrol Prometeo - Documents\Planning Space Implementation\3. Analysis &amp; Design\Design\FC22\DRR Jaime\Neiva CPI\[VAO_DINA TERCIARIOS_CF_SEC_20230117.xlsx]CF PNP'!$BT$49</v>
      </c>
      <c r="J471" s="1" t="s">
        <v>367</v>
      </c>
    </row>
    <row r="472" spans="1:10" x14ac:dyDescent="0.3">
      <c r="A472" s="6" t="s">
        <v>15</v>
      </c>
      <c r="B472" s="6">
        <f>+B471+1</f>
        <v>2037</v>
      </c>
      <c r="C472" s="1" t="s">
        <v>34</v>
      </c>
      <c r="D472" s="2" t="s">
        <v>131</v>
      </c>
      <c r="E472" s="9" t="str">
        <f t="shared" si="95"/>
        <v>PNP'!</v>
      </c>
      <c r="F472" s="5" t="str">
        <f t="shared" si="88"/>
        <v>C:\Users\jaime.benazar\Quorum Business Solutions\Ecopetrol Prometeo - Documents\Planning Space Implementation\3. Analysis &amp; Design\Design\FC22\DRR Jaime\Neiva CPI\[VAO_DINA TERCIARIOS_CF_SEC_20230117.xlsx]CF PNP'!</v>
      </c>
      <c r="G472" s="6" t="s">
        <v>101</v>
      </c>
      <c r="H472" s="1">
        <f t="shared" si="98"/>
        <v>50</v>
      </c>
      <c r="I472" s="1" t="str">
        <f t="shared" si="96"/>
        <v>='C:\Users\jaime.benazar\Quorum Business Solutions\Ecopetrol Prometeo - Documents\Planning Space Implementation\3. Analysis &amp; Design\Design\FC22\DRR Jaime\Neiva CPI\[VAO_DINA TERCIARIOS_CF_SEC_20230117.xlsx]CF PNP'!$BT$50</v>
      </c>
      <c r="J472" s="1" t="s">
        <v>368</v>
      </c>
    </row>
    <row r="473" spans="1:10" x14ac:dyDescent="0.3">
      <c r="A473" s="6" t="s">
        <v>15</v>
      </c>
      <c r="B473" s="6">
        <f t="shared" ref="B473:B475" si="107">+B472+1</f>
        <v>2038</v>
      </c>
      <c r="C473" s="1" t="s">
        <v>34</v>
      </c>
      <c r="D473" s="2" t="s">
        <v>131</v>
      </c>
      <c r="E473" s="9" t="str">
        <f t="shared" si="95"/>
        <v>PNP'!</v>
      </c>
      <c r="F473" s="5" t="str">
        <f t="shared" si="88"/>
        <v>C:\Users\jaime.benazar\Quorum Business Solutions\Ecopetrol Prometeo - Documents\Planning Space Implementation\3. Analysis &amp; Design\Design\FC22\DRR Jaime\Neiva CPI\[VAO_DINA TERCIARIOS_CF_SEC_20230117.xlsx]CF PNP'!</v>
      </c>
      <c r="G473" s="6" t="s">
        <v>101</v>
      </c>
      <c r="H473" s="1">
        <f t="shared" si="98"/>
        <v>51</v>
      </c>
      <c r="I473" s="1" t="str">
        <f t="shared" si="96"/>
        <v>='C:\Users\jaime.benazar\Quorum Business Solutions\Ecopetrol Prometeo - Documents\Planning Space Implementation\3. Analysis &amp; Design\Design\FC22\DRR Jaime\Neiva CPI\[VAO_DINA TERCIARIOS_CF_SEC_20230117.xlsx]CF PNP'!$BT$51</v>
      </c>
      <c r="J473" s="1" t="s">
        <v>369</v>
      </c>
    </row>
    <row r="474" spans="1:10" x14ac:dyDescent="0.3">
      <c r="A474" s="6" t="s">
        <v>15</v>
      </c>
      <c r="B474" s="6">
        <f t="shared" si="107"/>
        <v>2039</v>
      </c>
      <c r="C474" s="1" t="s">
        <v>34</v>
      </c>
      <c r="D474" s="2" t="s">
        <v>131</v>
      </c>
      <c r="E474" s="9" t="str">
        <f t="shared" si="95"/>
        <v>PNP'!</v>
      </c>
      <c r="F474" s="5" t="str">
        <f t="shared" si="88"/>
        <v>C:\Users\jaime.benazar\Quorum Business Solutions\Ecopetrol Prometeo - Documents\Planning Space Implementation\3. Analysis &amp; Design\Design\FC22\DRR Jaime\Neiva CPI\[VAO_DINA TERCIARIOS_CF_SEC_20230117.xlsx]CF PNP'!</v>
      </c>
      <c r="G474" s="6" t="s">
        <v>101</v>
      </c>
      <c r="H474" s="1">
        <f t="shared" si="98"/>
        <v>52</v>
      </c>
      <c r="I474" s="1" t="str">
        <f t="shared" si="96"/>
        <v>='C:\Users\jaime.benazar\Quorum Business Solutions\Ecopetrol Prometeo - Documents\Planning Space Implementation\3. Analysis &amp; Design\Design\FC22\DRR Jaime\Neiva CPI\[VAO_DINA TERCIARIOS_CF_SEC_20230117.xlsx]CF PNP'!$BT$52</v>
      </c>
      <c r="J474" s="1" t="s">
        <v>370</v>
      </c>
    </row>
    <row r="475" spans="1:10" x14ac:dyDescent="0.3">
      <c r="A475" s="6" t="s">
        <v>15</v>
      </c>
      <c r="B475" s="6">
        <f t="shared" si="107"/>
        <v>2040</v>
      </c>
      <c r="C475" s="1" t="s">
        <v>34</v>
      </c>
      <c r="D475" s="2" t="s">
        <v>131</v>
      </c>
      <c r="E475" s="9" t="str">
        <f t="shared" si="95"/>
        <v>PNP'!</v>
      </c>
      <c r="F475" s="5" t="str">
        <f t="shared" si="88"/>
        <v>C:\Users\jaime.benazar\Quorum Business Solutions\Ecopetrol Prometeo - Documents\Planning Space Implementation\3. Analysis &amp; Design\Design\FC22\DRR Jaime\Neiva CPI\[VAO_DINA TERCIARIOS_CF_SEC_20230117.xlsx]CF PNP'!</v>
      </c>
      <c r="G475" s="6" t="s">
        <v>101</v>
      </c>
      <c r="H475" s="1">
        <f t="shared" si="98"/>
        <v>53</v>
      </c>
      <c r="I475" s="1" t="str">
        <f t="shared" si="96"/>
        <v>='C:\Users\jaime.benazar\Quorum Business Solutions\Ecopetrol Prometeo - Documents\Planning Space Implementation\3. Analysis &amp; Design\Design\FC22\DRR Jaime\Neiva CPI\[VAO_DINA TERCIARIOS_CF_SEC_20230117.xlsx]CF PNP'!$BT$53</v>
      </c>
      <c r="J475" s="1" t="s">
        <v>371</v>
      </c>
    </row>
    <row r="476" spans="1:10" x14ac:dyDescent="0.3">
      <c r="A476" s="6" t="s">
        <v>15</v>
      </c>
      <c r="B476" s="6">
        <f>+B475+1</f>
        <v>2041</v>
      </c>
      <c r="C476" s="1" t="s">
        <v>34</v>
      </c>
      <c r="D476" s="2" t="s">
        <v>131</v>
      </c>
      <c r="E476" s="9" t="str">
        <f t="shared" si="95"/>
        <v>PNP'!</v>
      </c>
      <c r="F476" s="5" t="str">
        <f t="shared" si="88"/>
        <v>C:\Users\jaime.benazar\Quorum Business Solutions\Ecopetrol Prometeo - Documents\Planning Space Implementation\3. Analysis &amp; Design\Design\FC22\DRR Jaime\Neiva CPI\[VAO_DINA TERCIARIOS_CF_SEC_20230117.xlsx]CF PNP'!</v>
      </c>
      <c r="G476" s="6" t="s">
        <v>101</v>
      </c>
      <c r="H476" s="1">
        <f t="shared" si="98"/>
        <v>54</v>
      </c>
      <c r="I476" s="1" t="str">
        <f t="shared" si="96"/>
        <v>='C:\Users\jaime.benazar\Quorum Business Solutions\Ecopetrol Prometeo - Documents\Planning Space Implementation\3. Analysis &amp; Design\Design\FC22\DRR Jaime\Neiva CPI\[VAO_DINA TERCIARIOS_CF_SEC_20230117.xlsx]CF PNP'!$BT$54</v>
      </c>
      <c r="J476" s="1" t="s">
        <v>372</v>
      </c>
    </row>
    <row r="477" spans="1:10" x14ac:dyDescent="0.3">
      <c r="A477" s="6" t="s">
        <v>15</v>
      </c>
      <c r="B477" s="6">
        <f t="shared" ref="B477:B478" si="108">+B476+1</f>
        <v>2042</v>
      </c>
      <c r="C477" s="1" t="s">
        <v>34</v>
      </c>
      <c r="D477" s="2" t="s">
        <v>131</v>
      </c>
      <c r="E477" s="9" t="str">
        <f t="shared" si="95"/>
        <v>PNP'!</v>
      </c>
      <c r="F477" s="5" t="str">
        <f t="shared" si="88"/>
        <v>C:\Users\jaime.benazar\Quorum Business Solutions\Ecopetrol Prometeo - Documents\Planning Space Implementation\3. Analysis &amp; Design\Design\FC22\DRR Jaime\Neiva CPI\[VAO_DINA TERCIARIOS_CF_SEC_20230117.xlsx]CF PNP'!</v>
      </c>
      <c r="G477" s="6" t="s">
        <v>101</v>
      </c>
      <c r="H477" s="1">
        <f t="shared" si="98"/>
        <v>55</v>
      </c>
      <c r="I477" s="1" t="str">
        <f t="shared" si="96"/>
        <v>='C:\Users\jaime.benazar\Quorum Business Solutions\Ecopetrol Prometeo - Documents\Planning Space Implementation\3. Analysis &amp; Design\Design\FC22\DRR Jaime\Neiva CPI\[VAO_DINA TERCIARIOS_CF_SEC_20230117.xlsx]CF PNP'!$BT$55</v>
      </c>
      <c r="J477" s="1" t="s">
        <v>373</v>
      </c>
    </row>
    <row r="478" spans="1:10" x14ac:dyDescent="0.3">
      <c r="A478" s="6" t="s">
        <v>15</v>
      </c>
      <c r="B478" s="6">
        <f t="shared" si="108"/>
        <v>2043</v>
      </c>
      <c r="C478" s="1" t="s">
        <v>34</v>
      </c>
      <c r="D478" s="2" t="s">
        <v>131</v>
      </c>
      <c r="E478" s="9" t="str">
        <f t="shared" si="95"/>
        <v>PNP'!</v>
      </c>
      <c r="F478" s="5" t="str">
        <f t="shared" si="88"/>
        <v>C:\Users\jaime.benazar\Quorum Business Solutions\Ecopetrol Prometeo - Documents\Planning Space Implementation\3. Analysis &amp; Design\Design\FC22\DRR Jaime\Neiva CPI\[VAO_DINA TERCIARIOS_CF_SEC_20230117.xlsx]CF PNP'!</v>
      </c>
      <c r="G478" s="6" t="s">
        <v>101</v>
      </c>
      <c r="H478" s="1">
        <f t="shared" si="98"/>
        <v>56</v>
      </c>
      <c r="I478" s="1" t="str">
        <f t="shared" si="96"/>
        <v>='C:\Users\jaime.benazar\Quorum Business Solutions\Ecopetrol Prometeo - Documents\Planning Space Implementation\3. Analysis &amp; Design\Design\FC22\DRR Jaime\Neiva CPI\[VAO_DINA TERCIARIOS_CF_SEC_20230117.xlsx]CF PNP'!$BT$56</v>
      </c>
      <c r="J478" s="1" t="s">
        <v>374</v>
      </c>
    </row>
    <row r="479" spans="1:10" x14ac:dyDescent="0.3">
      <c r="A479" s="6" t="s">
        <v>15</v>
      </c>
      <c r="B479" s="6">
        <f>+B478+1</f>
        <v>2044</v>
      </c>
      <c r="C479" s="1" t="s">
        <v>34</v>
      </c>
      <c r="D479" s="2" t="s">
        <v>131</v>
      </c>
      <c r="E479" s="9" t="str">
        <f t="shared" ref="E479:E494" si="109">_xlfn.CONCAT(A479,"'!")</f>
        <v>PNP'!</v>
      </c>
      <c r="F479" s="5" t="str">
        <f t="shared" ref="F479:F494" si="110">_xlfn.CONCAT(D479," ",E479)</f>
        <v>C:\Users\jaime.benazar\Quorum Business Solutions\Ecopetrol Prometeo - Documents\Planning Space Implementation\3. Analysis &amp; Design\Design\FC22\DRR Jaime\Neiva CPI\[VAO_DINA TERCIARIOS_CF_SEC_20230117.xlsx]CF PNP'!</v>
      </c>
      <c r="G479" s="6" t="s">
        <v>101</v>
      </c>
      <c r="H479" s="1">
        <f t="shared" ref="H479:H494" si="111">IF(A479&lt;&gt;A478,36,H478+1)</f>
        <v>57</v>
      </c>
      <c r="I479" s="1" t="str">
        <f t="shared" ref="I479:I494" si="112">_xlfn.CONCAT("='",F479:H479)</f>
        <v>='C:\Users\jaime.benazar\Quorum Business Solutions\Ecopetrol Prometeo - Documents\Planning Space Implementation\3. Analysis &amp; Design\Design\FC22\DRR Jaime\Neiva CPI\[VAO_DINA TERCIARIOS_CF_SEC_20230117.xlsx]CF PNP'!$BT$57</v>
      </c>
      <c r="J479" s="1" t="s">
        <v>375</v>
      </c>
    </row>
    <row r="480" spans="1:10" x14ac:dyDescent="0.3">
      <c r="A480" s="6" t="s">
        <v>15</v>
      </c>
      <c r="B480" s="6">
        <f t="shared" ref="B480:B494" si="113">+B479+1</f>
        <v>2045</v>
      </c>
      <c r="C480" s="1" t="s">
        <v>34</v>
      </c>
      <c r="D480" s="2" t="s">
        <v>131</v>
      </c>
      <c r="E480" s="9" t="str">
        <f t="shared" si="109"/>
        <v>PNP'!</v>
      </c>
      <c r="F480" s="5" t="str">
        <f t="shared" si="110"/>
        <v>C:\Users\jaime.benazar\Quorum Business Solutions\Ecopetrol Prometeo - Documents\Planning Space Implementation\3. Analysis &amp; Design\Design\FC22\DRR Jaime\Neiva CPI\[VAO_DINA TERCIARIOS_CF_SEC_20230117.xlsx]CF PNP'!</v>
      </c>
      <c r="G480" s="6" t="s">
        <v>101</v>
      </c>
      <c r="H480" s="1">
        <f t="shared" si="111"/>
        <v>58</v>
      </c>
      <c r="I480" s="1" t="str">
        <f t="shared" si="112"/>
        <v>='C:\Users\jaime.benazar\Quorum Business Solutions\Ecopetrol Prometeo - Documents\Planning Space Implementation\3. Analysis &amp; Design\Design\FC22\DRR Jaime\Neiva CPI\[VAO_DINA TERCIARIOS_CF_SEC_20230117.xlsx]CF PNP'!$BT$58</v>
      </c>
      <c r="J480" s="1" t="s">
        <v>376</v>
      </c>
    </row>
    <row r="481" spans="1:10" x14ac:dyDescent="0.3">
      <c r="A481" s="6" t="s">
        <v>15</v>
      </c>
      <c r="B481" s="6">
        <f t="shared" si="113"/>
        <v>2046</v>
      </c>
      <c r="C481" s="1" t="s">
        <v>34</v>
      </c>
      <c r="D481" s="2" t="s">
        <v>131</v>
      </c>
      <c r="E481" s="9" t="str">
        <f t="shared" si="109"/>
        <v>PNP'!</v>
      </c>
      <c r="F481" s="5" t="str">
        <f t="shared" si="110"/>
        <v>C:\Users\jaime.benazar\Quorum Business Solutions\Ecopetrol Prometeo - Documents\Planning Space Implementation\3. Analysis &amp; Design\Design\FC22\DRR Jaime\Neiva CPI\[VAO_DINA TERCIARIOS_CF_SEC_20230117.xlsx]CF PNP'!</v>
      </c>
      <c r="G481" s="6" t="s">
        <v>101</v>
      </c>
      <c r="H481" s="1">
        <f t="shared" si="111"/>
        <v>59</v>
      </c>
      <c r="I481" s="1" t="str">
        <f t="shared" si="112"/>
        <v>='C:\Users\jaime.benazar\Quorum Business Solutions\Ecopetrol Prometeo - Documents\Planning Space Implementation\3. Analysis &amp; Design\Design\FC22\DRR Jaime\Neiva CPI\[VAO_DINA TERCIARIOS_CF_SEC_20230117.xlsx]CF PNP'!$BT$59</v>
      </c>
      <c r="J481" s="1" t="s">
        <v>377</v>
      </c>
    </row>
    <row r="482" spans="1:10" x14ac:dyDescent="0.3">
      <c r="A482" s="6" t="s">
        <v>15</v>
      </c>
      <c r="B482" s="6">
        <f t="shared" si="113"/>
        <v>2047</v>
      </c>
      <c r="C482" s="1" t="s">
        <v>34</v>
      </c>
      <c r="D482" s="2" t="s">
        <v>131</v>
      </c>
      <c r="E482" s="9" t="str">
        <f t="shared" si="109"/>
        <v>PNP'!</v>
      </c>
      <c r="F482" s="5" t="str">
        <f t="shared" si="110"/>
        <v>C:\Users\jaime.benazar\Quorum Business Solutions\Ecopetrol Prometeo - Documents\Planning Space Implementation\3. Analysis &amp; Design\Design\FC22\DRR Jaime\Neiva CPI\[VAO_DINA TERCIARIOS_CF_SEC_20230117.xlsx]CF PNP'!</v>
      </c>
      <c r="G482" s="6" t="s">
        <v>101</v>
      </c>
      <c r="H482" s="1">
        <f t="shared" si="111"/>
        <v>60</v>
      </c>
      <c r="I482" s="1" t="str">
        <f t="shared" si="112"/>
        <v>='C:\Users\jaime.benazar\Quorum Business Solutions\Ecopetrol Prometeo - Documents\Planning Space Implementation\3. Analysis &amp; Design\Design\FC22\DRR Jaime\Neiva CPI\[VAO_DINA TERCIARIOS_CF_SEC_20230117.xlsx]CF PNP'!$BT$60</v>
      </c>
      <c r="J482" s="1" t="s">
        <v>378</v>
      </c>
    </row>
    <row r="483" spans="1:10" x14ac:dyDescent="0.3">
      <c r="A483" s="6" t="s">
        <v>15</v>
      </c>
      <c r="B483" s="6">
        <f t="shared" si="113"/>
        <v>2048</v>
      </c>
      <c r="C483" s="1" t="s">
        <v>34</v>
      </c>
      <c r="D483" s="2" t="s">
        <v>131</v>
      </c>
      <c r="E483" s="9" t="str">
        <f t="shared" si="109"/>
        <v>PNP'!</v>
      </c>
      <c r="F483" s="5" t="str">
        <f t="shared" si="110"/>
        <v>C:\Users\jaime.benazar\Quorum Business Solutions\Ecopetrol Prometeo - Documents\Planning Space Implementation\3. Analysis &amp; Design\Design\FC22\DRR Jaime\Neiva CPI\[VAO_DINA TERCIARIOS_CF_SEC_20230117.xlsx]CF PNP'!</v>
      </c>
      <c r="G483" s="6" t="s">
        <v>101</v>
      </c>
      <c r="H483" s="1">
        <f t="shared" si="111"/>
        <v>61</v>
      </c>
      <c r="I483" s="1" t="str">
        <f t="shared" si="112"/>
        <v>='C:\Users\jaime.benazar\Quorum Business Solutions\Ecopetrol Prometeo - Documents\Planning Space Implementation\3. Analysis &amp; Design\Design\FC22\DRR Jaime\Neiva CPI\[VAO_DINA TERCIARIOS_CF_SEC_20230117.xlsx]CF PNP'!$BT$61</v>
      </c>
      <c r="J483" s="1" t="s">
        <v>379</v>
      </c>
    </row>
    <row r="484" spans="1:10" x14ac:dyDescent="0.3">
      <c r="A484" s="6" t="s">
        <v>15</v>
      </c>
      <c r="B484" s="6">
        <f t="shared" si="113"/>
        <v>2049</v>
      </c>
      <c r="C484" s="1" t="s">
        <v>34</v>
      </c>
      <c r="D484" s="2" t="s">
        <v>131</v>
      </c>
      <c r="E484" s="9" t="str">
        <f t="shared" si="109"/>
        <v>PNP'!</v>
      </c>
      <c r="F484" s="5" t="str">
        <f t="shared" si="110"/>
        <v>C:\Users\jaime.benazar\Quorum Business Solutions\Ecopetrol Prometeo - Documents\Planning Space Implementation\3. Analysis &amp; Design\Design\FC22\DRR Jaime\Neiva CPI\[VAO_DINA TERCIARIOS_CF_SEC_20230117.xlsx]CF PNP'!</v>
      </c>
      <c r="G484" s="6" t="s">
        <v>101</v>
      </c>
      <c r="H484" s="1">
        <f t="shared" si="111"/>
        <v>62</v>
      </c>
      <c r="I484" s="1" t="str">
        <f t="shared" si="112"/>
        <v>='C:\Users\jaime.benazar\Quorum Business Solutions\Ecopetrol Prometeo - Documents\Planning Space Implementation\3. Analysis &amp; Design\Design\FC22\DRR Jaime\Neiva CPI\[VAO_DINA TERCIARIOS_CF_SEC_20230117.xlsx]CF PNP'!$BT$62</v>
      </c>
      <c r="J484" s="1" t="s">
        <v>380</v>
      </c>
    </row>
    <row r="485" spans="1:10" x14ac:dyDescent="0.3">
      <c r="A485" s="6" t="s">
        <v>15</v>
      </c>
      <c r="B485" s="6">
        <f t="shared" si="113"/>
        <v>2050</v>
      </c>
      <c r="C485" s="1" t="s">
        <v>34</v>
      </c>
      <c r="D485" s="2" t="s">
        <v>131</v>
      </c>
      <c r="E485" s="9" t="str">
        <f t="shared" si="109"/>
        <v>PNP'!</v>
      </c>
      <c r="F485" s="5" t="str">
        <f t="shared" si="110"/>
        <v>C:\Users\jaime.benazar\Quorum Business Solutions\Ecopetrol Prometeo - Documents\Planning Space Implementation\3. Analysis &amp; Design\Design\FC22\DRR Jaime\Neiva CPI\[VAO_DINA TERCIARIOS_CF_SEC_20230117.xlsx]CF PNP'!</v>
      </c>
      <c r="G485" s="6" t="s">
        <v>101</v>
      </c>
      <c r="H485" s="1">
        <f t="shared" si="111"/>
        <v>63</v>
      </c>
      <c r="I485" s="1" t="str">
        <f t="shared" si="112"/>
        <v>='C:\Users\jaime.benazar\Quorum Business Solutions\Ecopetrol Prometeo - Documents\Planning Space Implementation\3. Analysis &amp; Design\Design\FC22\DRR Jaime\Neiva CPI\[VAO_DINA TERCIARIOS_CF_SEC_20230117.xlsx]CF PNP'!$BT$63</v>
      </c>
      <c r="J485" s="1" t="s">
        <v>381</v>
      </c>
    </row>
    <row r="486" spans="1:10" x14ac:dyDescent="0.3">
      <c r="A486" s="6" t="s">
        <v>15</v>
      </c>
      <c r="B486" s="6">
        <f t="shared" si="113"/>
        <v>2051</v>
      </c>
      <c r="C486" s="1" t="s">
        <v>34</v>
      </c>
      <c r="D486" s="2" t="s">
        <v>131</v>
      </c>
      <c r="E486" s="9" t="str">
        <f t="shared" si="109"/>
        <v>PNP'!</v>
      </c>
      <c r="F486" s="5" t="str">
        <f t="shared" si="110"/>
        <v>C:\Users\jaime.benazar\Quorum Business Solutions\Ecopetrol Prometeo - Documents\Planning Space Implementation\3. Analysis &amp; Design\Design\FC22\DRR Jaime\Neiva CPI\[VAO_DINA TERCIARIOS_CF_SEC_20230117.xlsx]CF PNP'!</v>
      </c>
      <c r="G486" s="6" t="s">
        <v>101</v>
      </c>
      <c r="H486" s="1">
        <f t="shared" si="111"/>
        <v>64</v>
      </c>
      <c r="I486" s="1" t="str">
        <f t="shared" si="112"/>
        <v>='C:\Users\jaime.benazar\Quorum Business Solutions\Ecopetrol Prometeo - Documents\Planning Space Implementation\3. Analysis &amp; Design\Design\FC22\DRR Jaime\Neiva CPI\[VAO_DINA TERCIARIOS_CF_SEC_20230117.xlsx]CF PNP'!$BT$64</v>
      </c>
      <c r="J486" s="1" t="s">
        <v>382</v>
      </c>
    </row>
    <row r="487" spans="1:10" x14ac:dyDescent="0.3">
      <c r="A487" s="6" t="s">
        <v>15</v>
      </c>
      <c r="B487" s="6">
        <f t="shared" si="113"/>
        <v>2052</v>
      </c>
      <c r="C487" s="1" t="s">
        <v>34</v>
      </c>
      <c r="D487" s="2" t="s">
        <v>131</v>
      </c>
      <c r="E487" s="9" t="str">
        <f t="shared" si="109"/>
        <v>PNP'!</v>
      </c>
      <c r="F487" s="5" t="str">
        <f t="shared" si="110"/>
        <v>C:\Users\jaime.benazar\Quorum Business Solutions\Ecopetrol Prometeo - Documents\Planning Space Implementation\3. Analysis &amp; Design\Design\FC22\DRR Jaime\Neiva CPI\[VAO_DINA TERCIARIOS_CF_SEC_20230117.xlsx]CF PNP'!</v>
      </c>
      <c r="G487" s="6" t="s">
        <v>101</v>
      </c>
      <c r="H487" s="1">
        <f t="shared" si="111"/>
        <v>65</v>
      </c>
      <c r="I487" s="1" t="str">
        <f t="shared" si="112"/>
        <v>='C:\Users\jaime.benazar\Quorum Business Solutions\Ecopetrol Prometeo - Documents\Planning Space Implementation\3. Analysis &amp; Design\Design\FC22\DRR Jaime\Neiva CPI\[VAO_DINA TERCIARIOS_CF_SEC_20230117.xlsx]CF PNP'!$BT$65</v>
      </c>
      <c r="J487" s="1" t="s">
        <v>383</v>
      </c>
    </row>
    <row r="488" spans="1:10" x14ac:dyDescent="0.3">
      <c r="A488" s="6" t="s">
        <v>15</v>
      </c>
      <c r="B488" s="6">
        <f t="shared" si="113"/>
        <v>2053</v>
      </c>
      <c r="C488" s="1" t="s">
        <v>34</v>
      </c>
      <c r="D488" s="2" t="s">
        <v>131</v>
      </c>
      <c r="E488" s="9" t="str">
        <f t="shared" si="109"/>
        <v>PNP'!</v>
      </c>
      <c r="F488" s="5" t="str">
        <f t="shared" si="110"/>
        <v>C:\Users\jaime.benazar\Quorum Business Solutions\Ecopetrol Prometeo - Documents\Planning Space Implementation\3. Analysis &amp; Design\Design\FC22\DRR Jaime\Neiva CPI\[VAO_DINA TERCIARIOS_CF_SEC_20230117.xlsx]CF PNP'!</v>
      </c>
      <c r="G488" s="6" t="s">
        <v>101</v>
      </c>
      <c r="H488" s="1">
        <f t="shared" si="111"/>
        <v>66</v>
      </c>
      <c r="I488" s="1" t="str">
        <f t="shared" si="112"/>
        <v>='C:\Users\jaime.benazar\Quorum Business Solutions\Ecopetrol Prometeo - Documents\Planning Space Implementation\3. Analysis &amp; Design\Design\FC22\DRR Jaime\Neiva CPI\[VAO_DINA TERCIARIOS_CF_SEC_20230117.xlsx]CF PNP'!$BT$66</v>
      </c>
      <c r="J488" s="1" t="s">
        <v>384</v>
      </c>
    </row>
    <row r="489" spans="1:10" x14ac:dyDescent="0.3">
      <c r="A489" s="6" t="s">
        <v>15</v>
      </c>
      <c r="B489" s="6">
        <f t="shared" si="113"/>
        <v>2054</v>
      </c>
      <c r="C489" s="1" t="s">
        <v>34</v>
      </c>
      <c r="D489" s="2" t="s">
        <v>131</v>
      </c>
      <c r="E489" s="9" t="str">
        <f t="shared" si="109"/>
        <v>PNP'!</v>
      </c>
      <c r="F489" s="5" t="str">
        <f t="shared" si="110"/>
        <v>C:\Users\jaime.benazar\Quorum Business Solutions\Ecopetrol Prometeo - Documents\Planning Space Implementation\3. Analysis &amp; Design\Design\FC22\DRR Jaime\Neiva CPI\[VAO_DINA TERCIARIOS_CF_SEC_20230117.xlsx]CF PNP'!</v>
      </c>
      <c r="G489" s="6" t="s">
        <v>101</v>
      </c>
      <c r="H489" s="1">
        <f t="shared" si="111"/>
        <v>67</v>
      </c>
      <c r="I489" s="1" t="str">
        <f t="shared" si="112"/>
        <v>='C:\Users\jaime.benazar\Quorum Business Solutions\Ecopetrol Prometeo - Documents\Planning Space Implementation\3. Analysis &amp; Design\Design\FC22\DRR Jaime\Neiva CPI\[VAO_DINA TERCIARIOS_CF_SEC_20230117.xlsx]CF PNP'!$BT$67</v>
      </c>
      <c r="J489" s="1" t="s">
        <v>385</v>
      </c>
    </row>
    <row r="490" spans="1:10" x14ac:dyDescent="0.3">
      <c r="A490" s="6" t="s">
        <v>15</v>
      </c>
      <c r="B490" s="6">
        <f t="shared" si="113"/>
        <v>2055</v>
      </c>
      <c r="C490" s="1" t="s">
        <v>34</v>
      </c>
      <c r="D490" s="2" t="s">
        <v>131</v>
      </c>
      <c r="E490" s="9" t="str">
        <f t="shared" si="109"/>
        <v>PNP'!</v>
      </c>
      <c r="F490" s="5" t="str">
        <f t="shared" si="110"/>
        <v>C:\Users\jaime.benazar\Quorum Business Solutions\Ecopetrol Prometeo - Documents\Planning Space Implementation\3. Analysis &amp; Design\Design\FC22\DRR Jaime\Neiva CPI\[VAO_DINA TERCIARIOS_CF_SEC_20230117.xlsx]CF PNP'!</v>
      </c>
      <c r="G490" s="6" t="s">
        <v>101</v>
      </c>
      <c r="H490" s="1">
        <f t="shared" si="111"/>
        <v>68</v>
      </c>
      <c r="I490" s="1" t="str">
        <f t="shared" si="112"/>
        <v>='C:\Users\jaime.benazar\Quorum Business Solutions\Ecopetrol Prometeo - Documents\Planning Space Implementation\3. Analysis &amp; Design\Design\FC22\DRR Jaime\Neiva CPI\[VAO_DINA TERCIARIOS_CF_SEC_20230117.xlsx]CF PNP'!$BT$68</v>
      </c>
      <c r="J490" s="1" t="s">
        <v>386</v>
      </c>
    </row>
    <row r="491" spans="1:10" x14ac:dyDescent="0.3">
      <c r="A491" s="6" t="s">
        <v>15</v>
      </c>
      <c r="B491" s="6">
        <f t="shared" si="113"/>
        <v>2056</v>
      </c>
      <c r="C491" s="1" t="s">
        <v>34</v>
      </c>
      <c r="D491" s="2" t="s">
        <v>131</v>
      </c>
      <c r="E491" s="9" t="str">
        <f t="shared" si="109"/>
        <v>PNP'!</v>
      </c>
      <c r="F491" s="5" t="str">
        <f t="shared" si="110"/>
        <v>C:\Users\jaime.benazar\Quorum Business Solutions\Ecopetrol Prometeo - Documents\Planning Space Implementation\3. Analysis &amp; Design\Design\FC22\DRR Jaime\Neiva CPI\[VAO_DINA TERCIARIOS_CF_SEC_20230117.xlsx]CF PNP'!</v>
      </c>
      <c r="G491" s="6" t="s">
        <v>101</v>
      </c>
      <c r="H491" s="1">
        <f t="shared" si="111"/>
        <v>69</v>
      </c>
      <c r="I491" s="1" t="str">
        <f t="shared" si="112"/>
        <v>='C:\Users\jaime.benazar\Quorum Business Solutions\Ecopetrol Prometeo - Documents\Planning Space Implementation\3. Analysis &amp; Design\Design\FC22\DRR Jaime\Neiva CPI\[VAO_DINA TERCIARIOS_CF_SEC_20230117.xlsx]CF PNP'!$BT$69</v>
      </c>
      <c r="J491" s="1" t="s">
        <v>387</v>
      </c>
    </row>
    <row r="492" spans="1:10" x14ac:dyDescent="0.3">
      <c r="A492" s="6" t="s">
        <v>15</v>
      </c>
      <c r="B492" s="6">
        <f t="shared" si="113"/>
        <v>2057</v>
      </c>
      <c r="C492" s="1" t="s">
        <v>34</v>
      </c>
      <c r="D492" s="2" t="s">
        <v>131</v>
      </c>
      <c r="E492" s="9" t="str">
        <f t="shared" si="109"/>
        <v>PNP'!</v>
      </c>
      <c r="F492" s="5" t="str">
        <f t="shared" si="110"/>
        <v>C:\Users\jaime.benazar\Quorum Business Solutions\Ecopetrol Prometeo - Documents\Planning Space Implementation\3. Analysis &amp; Design\Design\FC22\DRR Jaime\Neiva CPI\[VAO_DINA TERCIARIOS_CF_SEC_20230117.xlsx]CF PNP'!</v>
      </c>
      <c r="G492" s="6" t="s">
        <v>101</v>
      </c>
      <c r="H492" s="1">
        <f t="shared" si="111"/>
        <v>70</v>
      </c>
      <c r="I492" s="1" t="str">
        <f t="shared" si="112"/>
        <v>='C:\Users\jaime.benazar\Quorum Business Solutions\Ecopetrol Prometeo - Documents\Planning Space Implementation\3. Analysis &amp; Design\Design\FC22\DRR Jaime\Neiva CPI\[VAO_DINA TERCIARIOS_CF_SEC_20230117.xlsx]CF PNP'!$BT$70</v>
      </c>
      <c r="J492" s="1" t="s">
        <v>388</v>
      </c>
    </row>
    <row r="493" spans="1:10" x14ac:dyDescent="0.3">
      <c r="A493" s="6" t="s">
        <v>15</v>
      </c>
      <c r="B493" s="6">
        <f t="shared" si="113"/>
        <v>2058</v>
      </c>
      <c r="C493" s="1" t="s">
        <v>34</v>
      </c>
      <c r="D493" s="2" t="s">
        <v>131</v>
      </c>
      <c r="E493" s="9" t="str">
        <f t="shared" si="109"/>
        <v>PNP'!</v>
      </c>
      <c r="F493" s="5" t="str">
        <f t="shared" si="110"/>
        <v>C:\Users\jaime.benazar\Quorum Business Solutions\Ecopetrol Prometeo - Documents\Planning Space Implementation\3. Analysis &amp; Design\Design\FC22\DRR Jaime\Neiva CPI\[VAO_DINA TERCIARIOS_CF_SEC_20230117.xlsx]CF PNP'!</v>
      </c>
      <c r="G493" s="6" t="s">
        <v>101</v>
      </c>
      <c r="H493" s="1">
        <f t="shared" si="111"/>
        <v>71</v>
      </c>
      <c r="I493" s="1" t="str">
        <f t="shared" si="112"/>
        <v>='C:\Users\jaime.benazar\Quorum Business Solutions\Ecopetrol Prometeo - Documents\Planning Space Implementation\3. Analysis &amp; Design\Design\FC22\DRR Jaime\Neiva CPI\[VAO_DINA TERCIARIOS_CF_SEC_20230117.xlsx]CF PNP'!$BT$71</v>
      </c>
      <c r="J493" s="1" t="s">
        <v>389</v>
      </c>
    </row>
    <row r="494" spans="1:10" x14ac:dyDescent="0.3">
      <c r="A494" s="6" t="s">
        <v>15</v>
      </c>
      <c r="B494" s="6">
        <f t="shared" si="113"/>
        <v>2059</v>
      </c>
      <c r="C494" s="1" t="s">
        <v>34</v>
      </c>
      <c r="D494" s="2" t="s">
        <v>131</v>
      </c>
      <c r="E494" s="9" t="str">
        <f t="shared" si="109"/>
        <v>PNP'!</v>
      </c>
      <c r="F494" s="5" t="str">
        <f t="shared" si="110"/>
        <v>C:\Users\jaime.benazar\Quorum Business Solutions\Ecopetrol Prometeo - Documents\Planning Space Implementation\3. Analysis &amp; Design\Design\FC22\DRR Jaime\Neiva CPI\[VAO_DINA TERCIARIOS_CF_SEC_20230117.xlsx]CF PNP'!</v>
      </c>
      <c r="G494" s="6" t="s">
        <v>101</v>
      </c>
      <c r="H494" s="1">
        <f t="shared" si="111"/>
        <v>72</v>
      </c>
      <c r="I494" s="1" t="str">
        <f t="shared" si="112"/>
        <v>='C:\Users\jaime.benazar\Quorum Business Solutions\Ecopetrol Prometeo - Documents\Planning Space Implementation\3. Analysis &amp; Design\Design\FC22\DRR Jaime\Neiva CPI\[VAO_DINA TERCIARIOS_CF_SEC_20230117.xlsx]CF PNP'!$BT$72</v>
      </c>
      <c r="J494" s="1" t="s">
        <v>390</v>
      </c>
    </row>
    <row r="495" spans="1:10" x14ac:dyDescent="0.3">
      <c r="A495" s="6" t="s">
        <v>26</v>
      </c>
      <c r="B495" s="6"/>
      <c r="C495" s="1" t="s">
        <v>34</v>
      </c>
      <c r="D495" s="2"/>
      <c r="E495" s="9"/>
      <c r="F495" s="5" t="str">
        <f t="shared" si="88"/>
        <v xml:space="preserve"> </v>
      </c>
      <c r="G495" s="6"/>
      <c r="H495" s="1"/>
      <c r="I495" s="1"/>
      <c r="J495" s="4"/>
    </row>
    <row r="496" spans="1:10" x14ac:dyDescent="0.3">
      <c r="A496" s="6" t="s">
        <v>16</v>
      </c>
      <c r="B496" s="6">
        <v>2023</v>
      </c>
      <c r="C496" s="1" t="s">
        <v>34</v>
      </c>
      <c r="D496" s="2" t="s">
        <v>131</v>
      </c>
      <c r="E496" s="9" t="str">
        <f t="shared" si="95"/>
        <v>PND'!</v>
      </c>
      <c r="F496" s="5" t="str">
        <f t="shared" si="88"/>
        <v>C:\Users\jaime.benazar\Quorum Business Solutions\Ecopetrol Prometeo - Documents\Planning Space Implementation\3. Analysis &amp; Design\Design\FC22\DRR Jaime\Neiva CPI\[VAO_DINA TERCIARIOS_CF_SEC_20230117.xlsx]CF PND'!</v>
      </c>
      <c r="G496" s="6" t="s">
        <v>101</v>
      </c>
      <c r="H496" s="1">
        <f>IF(A496&lt;&gt;A480,36,H480+1)</f>
        <v>36</v>
      </c>
      <c r="I496" s="1" t="str">
        <f t="shared" si="96"/>
        <v>='C:\Users\jaime.benazar\Quorum Business Solutions\Ecopetrol Prometeo - Documents\Planning Space Implementation\3. Analysis &amp; Design\Design\FC22\DRR Jaime\Neiva CPI\[VAO_DINA TERCIARIOS_CF_SEC_20230117.xlsx]CF PND'!$BT$36</v>
      </c>
      <c r="J496" s="1" t="s">
        <v>391</v>
      </c>
    </row>
    <row r="497" spans="1:10" x14ac:dyDescent="0.3">
      <c r="A497" s="6" t="s">
        <v>16</v>
      </c>
      <c r="B497" s="6">
        <f>+B496+1</f>
        <v>2024</v>
      </c>
      <c r="C497" s="1" t="s">
        <v>34</v>
      </c>
      <c r="D497" s="2" t="s">
        <v>131</v>
      </c>
      <c r="E497" s="9" t="str">
        <f t="shared" si="95"/>
        <v>PND'!</v>
      </c>
      <c r="F497" s="5" t="str">
        <f t="shared" si="88"/>
        <v>C:\Users\jaime.benazar\Quorum Business Solutions\Ecopetrol Prometeo - Documents\Planning Space Implementation\3. Analysis &amp; Design\Design\FC22\DRR Jaime\Neiva CPI\[VAO_DINA TERCIARIOS_CF_SEC_20230117.xlsx]CF PND'!</v>
      </c>
      <c r="G497" s="6" t="s">
        <v>101</v>
      </c>
      <c r="H497" s="1">
        <f t="shared" si="98"/>
        <v>37</v>
      </c>
      <c r="I497" s="1" t="str">
        <f t="shared" si="96"/>
        <v>='C:\Users\jaime.benazar\Quorum Business Solutions\Ecopetrol Prometeo - Documents\Planning Space Implementation\3. Analysis &amp; Design\Design\FC22\DRR Jaime\Neiva CPI\[VAO_DINA TERCIARIOS_CF_SEC_20230117.xlsx]CF PND'!$BT$37</v>
      </c>
      <c r="J497" s="1" t="s">
        <v>392</v>
      </c>
    </row>
    <row r="498" spans="1:10" x14ac:dyDescent="0.3">
      <c r="A498" s="6" t="s">
        <v>16</v>
      </c>
      <c r="B498" s="6">
        <f t="shared" ref="B498:B509" si="114">+B497+1</f>
        <v>2025</v>
      </c>
      <c r="C498" s="1" t="s">
        <v>34</v>
      </c>
      <c r="D498" s="2" t="s">
        <v>131</v>
      </c>
      <c r="E498" s="9" t="str">
        <f t="shared" si="95"/>
        <v>PND'!</v>
      </c>
      <c r="F498" s="5" t="str">
        <f t="shared" si="88"/>
        <v>C:\Users\jaime.benazar\Quorum Business Solutions\Ecopetrol Prometeo - Documents\Planning Space Implementation\3. Analysis &amp; Design\Design\FC22\DRR Jaime\Neiva CPI\[VAO_DINA TERCIARIOS_CF_SEC_20230117.xlsx]CF PND'!</v>
      </c>
      <c r="G498" s="6" t="s">
        <v>101</v>
      </c>
      <c r="H498" s="1">
        <f t="shared" si="98"/>
        <v>38</v>
      </c>
      <c r="I498" s="1" t="str">
        <f t="shared" si="96"/>
        <v>='C:\Users\jaime.benazar\Quorum Business Solutions\Ecopetrol Prometeo - Documents\Planning Space Implementation\3. Analysis &amp; Design\Design\FC22\DRR Jaime\Neiva CPI\[VAO_DINA TERCIARIOS_CF_SEC_20230117.xlsx]CF PND'!$BT$38</v>
      </c>
      <c r="J498" s="1" t="s">
        <v>393</v>
      </c>
    </row>
    <row r="499" spans="1:10" x14ac:dyDescent="0.3">
      <c r="A499" s="6" t="s">
        <v>16</v>
      </c>
      <c r="B499" s="6">
        <f t="shared" si="114"/>
        <v>2026</v>
      </c>
      <c r="C499" s="1" t="s">
        <v>34</v>
      </c>
      <c r="D499" s="2" t="s">
        <v>131</v>
      </c>
      <c r="E499" s="9" t="str">
        <f t="shared" si="95"/>
        <v>PND'!</v>
      </c>
      <c r="F499" s="5" t="str">
        <f t="shared" si="88"/>
        <v>C:\Users\jaime.benazar\Quorum Business Solutions\Ecopetrol Prometeo - Documents\Planning Space Implementation\3. Analysis &amp; Design\Design\FC22\DRR Jaime\Neiva CPI\[VAO_DINA TERCIARIOS_CF_SEC_20230117.xlsx]CF PND'!</v>
      </c>
      <c r="G499" s="6" t="s">
        <v>101</v>
      </c>
      <c r="H499" s="1">
        <f t="shared" si="98"/>
        <v>39</v>
      </c>
      <c r="I499" s="1" t="str">
        <f t="shared" si="96"/>
        <v>='C:\Users\jaime.benazar\Quorum Business Solutions\Ecopetrol Prometeo - Documents\Planning Space Implementation\3. Analysis &amp; Design\Design\FC22\DRR Jaime\Neiva CPI\[VAO_DINA TERCIARIOS_CF_SEC_20230117.xlsx]CF PND'!$BT$39</v>
      </c>
      <c r="J499" s="1" t="s">
        <v>394</v>
      </c>
    </row>
    <row r="500" spans="1:10" x14ac:dyDescent="0.3">
      <c r="A500" s="6" t="s">
        <v>16</v>
      </c>
      <c r="B500" s="6">
        <f t="shared" si="114"/>
        <v>2027</v>
      </c>
      <c r="C500" s="1" t="s">
        <v>34</v>
      </c>
      <c r="D500" s="2" t="s">
        <v>131</v>
      </c>
      <c r="E500" s="9" t="str">
        <f t="shared" si="95"/>
        <v>PND'!</v>
      </c>
      <c r="F500" s="5" t="str">
        <f t="shared" si="88"/>
        <v>C:\Users\jaime.benazar\Quorum Business Solutions\Ecopetrol Prometeo - Documents\Planning Space Implementation\3. Analysis &amp; Design\Design\FC22\DRR Jaime\Neiva CPI\[VAO_DINA TERCIARIOS_CF_SEC_20230117.xlsx]CF PND'!</v>
      </c>
      <c r="G500" s="6" t="s">
        <v>101</v>
      </c>
      <c r="H500" s="1">
        <f t="shared" si="98"/>
        <v>40</v>
      </c>
      <c r="I500" s="1" t="str">
        <f t="shared" si="96"/>
        <v>='C:\Users\jaime.benazar\Quorum Business Solutions\Ecopetrol Prometeo - Documents\Planning Space Implementation\3. Analysis &amp; Design\Design\FC22\DRR Jaime\Neiva CPI\[VAO_DINA TERCIARIOS_CF_SEC_20230117.xlsx]CF PND'!$BT$40</v>
      </c>
      <c r="J500" s="1" t="s">
        <v>395</v>
      </c>
    </row>
    <row r="501" spans="1:10" x14ac:dyDescent="0.3">
      <c r="A501" s="6" t="s">
        <v>16</v>
      </c>
      <c r="B501" s="6">
        <f t="shared" si="114"/>
        <v>2028</v>
      </c>
      <c r="C501" s="1" t="s">
        <v>34</v>
      </c>
      <c r="D501" s="2" t="s">
        <v>131</v>
      </c>
      <c r="E501" s="9" t="str">
        <f t="shared" si="95"/>
        <v>PND'!</v>
      </c>
      <c r="F501" s="5" t="str">
        <f t="shared" si="88"/>
        <v>C:\Users\jaime.benazar\Quorum Business Solutions\Ecopetrol Prometeo - Documents\Planning Space Implementation\3. Analysis &amp; Design\Design\FC22\DRR Jaime\Neiva CPI\[VAO_DINA TERCIARIOS_CF_SEC_20230117.xlsx]CF PND'!</v>
      </c>
      <c r="G501" s="6" t="s">
        <v>101</v>
      </c>
      <c r="H501" s="1">
        <f t="shared" si="98"/>
        <v>41</v>
      </c>
      <c r="I501" s="1" t="str">
        <f t="shared" si="96"/>
        <v>='C:\Users\jaime.benazar\Quorum Business Solutions\Ecopetrol Prometeo - Documents\Planning Space Implementation\3. Analysis &amp; Design\Design\FC22\DRR Jaime\Neiva CPI\[VAO_DINA TERCIARIOS_CF_SEC_20230117.xlsx]CF PND'!$BT$41</v>
      </c>
      <c r="J501" s="1" t="s">
        <v>396</v>
      </c>
    </row>
    <row r="502" spans="1:10" x14ac:dyDescent="0.3">
      <c r="A502" s="6" t="s">
        <v>16</v>
      </c>
      <c r="B502" s="6">
        <f t="shared" si="114"/>
        <v>2029</v>
      </c>
      <c r="C502" s="1" t="s">
        <v>34</v>
      </c>
      <c r="D502" s="2" t="s">
        <v>131</v>
      </c>
      <c r="E502" s="9" t="str">
        <f t="shared" si="95"/>
        <v>PND'!</v>
      </c>
      <c r="F502" s="5" t="str">
        <f t="shared" si="88"/>
        <v>C:\Users\jaime.benazar\Quorum Business Solutions\Ecopetrol Prometeo - Documents\Planning Space Implementation\3. Analysis &amp; Design\Design\FC22\DRR Jaime\Neiva CPI\[VAO_DINA TERCIARIOS_CF_SEC_20230117.xlsx]CF PND'!</v>
      </c>
      <c r="G502" s="6" t="s">
        <v>101</v>
      </c>
      <c r="H502" s="1">
        <f t="shared" si="98"/>
        <v>42</v>
      </c>
      <c r="I502" s="1" t="str">
        <f t="shared" si="96"/>
        <v>='C:\Users\jaime.benazar\Quorum Business Solutions\Ecopetrol Prometeo - Documents\Planning Space Implementation\3. Analysis &amp; Design\Design\FC22\DRR Jaime\Neiva CPI\[VAO_DINA TERCIARIOS_CF_SEC_20230117.xlsx]CF PND'!$BT$42</v>
      </c>
      <c r="J502" s="1" t="s">
        <v>397</v>
      </c>
    </row>
    <row r="503" spans="1:10" x14ac:dyDescent="0.3">
      <c r="A503" s="6" t="s">
        <v>16</v>
      </c>
      <c r="B503" s="6">
        <f t="shared" si="114"/>
        <v>2030</v>
      </c>
      <c r="C503" s="1" t="s">
        <v>34</v>
      </c>
      <c r="D503" s="2" t="s">
        <v>131</v>
      </c>
      <c r="E503" s="9" t="str">
        <f t="shared" si="95"/>
        <v>PND'!</v>
      </c>
      <c r="F503" s="5" t="str">
        <f t="shared" si="88"/>
        <v>C:\Users\jaime.benazar\Quorum Business Solutions\Ecopetrol Prometeo - Documents\Planning Space Implementation\3. Analysis &amp; Design\Design\FC22\DRR Jaime\Neiva CPI\[VAO_DINA TERCIARIOS_CF_SEC_20230117.xlsx]CF PND'!</v>
      </c>
      <c r="G503" s="6" t="s">
        <v>101</v>
      </c>
      <c r="H503" s="1">
        <f t="shared" si="98"/>
        <v>43</v>
      </c>
      <c r="I503" s="1" t="str">
        <f t="shared" si="96"/>
        <v>='C:\Users\jaime.benazar\Quorum Business Solutions\Ecopetrol Prometeo - Documents\Planning Space Implementation\3. Analysis &amp; Design\Design\FC22\DRR Jaime\Neiva CPI\[VAO_DINA TERCIARIOS_CF_SEC_20230117.xlsx]CF PND'!$BT$43</v>
      </c>
      <c r="J503" s="1" t="s">
        <v>398</v>
      </c>
    </row>
    <row r="504" spans="1:10" x14ac:dyDescent="0.3">
      <c r="A504" s="6" t="s">
        <v>16</v>
      </c>
      <c r="B504" s="6">
        <f t="shared" si="114"/>
        <v>2031</v>
      </c>
      <c r="C504" s="1" t="s">
        <v>34</v>
      </c>
      <c r="D504" s="2" t="s">
        <v>131</v>
      </c>
      <c r="E504" s="9" t="str">
        <f t="shared" si="95"/>
        <v>PND'!</v>
      </c>
      <c r="F504" s="5" t="str">
        <f t="shared" si="88"/>
        <v>C:\Users\jaime.benazar\Quorum Business Solutions\Ecopetrol Prometeo - Documents\Planning Space Implementation\3. Analysis &amp; Design\Design\FC22\DRR Jaime\Neiva CPI\[VAO_DINA TERCIARIOS_CF_SEC_20230117.xlsx]CF PND'!</v>
      </c>
      <c r="G504" s="6" t="s">
        <v>101</v>
      </c>
      <c r="H504" s="1">
        <f t="shared" si="98"/>
        <v>44</v>
      </c>
      <c r="I504" s="1" t="str">
        <f t="shared" si="96"/>
        <v>='C:\Users\jaime.benazar\Quorum Business Solutions\Ecopetrol Prometeo - Documents\Planning Space Implementation\3. Analysis &amp; Design\Design\FC22\DRR Jaime\Neiva CPI\[VAO_DINA TERCIARIOS_CF_SEC_20230117.xlsx]CF PND'!$BT$44</v>
      </c>
      <c r="J504" s="1" t="s">
        <v>399</v>
      </c>
    </row>
    <row r="505" spans="1:10" x14ac:dyDescent="0.3">
      <c r="A505" s="6" t="s">
        <v>16</v>
      </c>
      <c r="B505" s="6">
        <f t="shared" si="114"/>
        <v>2032</v>
      </c>
      <c r="C505" s="1" t="s">
        <v>34</v>
      </c>
      <c r="D505" s="2" t="s">
        <v>131</v>
      </c>
      <c r="E505" s="9" t="str">
        <f t="shared" si="95"/>
        <v>PND'!</v>
      </c>
      <c r="F505" s="5" t="str">
        <f t="shared" ref="F505:F516" si="115">_xlfn.CONCAT(D505," ",E505)</f>
        <v>C:\Users\jaime.benazar\Quorum Business Solutions\Ecopetrol Prometeo - Documents\Planning Space Implementation\3. Analysis &amp; Design\Design\FC22\DRR Jaime\Neiva CPI\[VAO_DINA TERCIARIOS_CF_SEC_20230117.xlsx]CF PND'!</v>
      </c>
      <c r="G505" s="6" t="s">
        <v>101</v>
      </c>
      <c r="H505" s="1">
        <f t="shared" si="98"/>
        <v>45</v>
      </c>
      <c r="I505" s="1" t="str">
        <f t="shared" si="96"/>
        <v>='C:\Users\jaime.benazar\Quorum Business Solutions\Ecopetrol Prometeo - Documents\Planning Space Implementation\3. Analysis &amp; Design\Design\FC22\DRR Jaime\Neiva CPI\[VAO_DINA TERCIARIOS_CF_SEC_20230117.xlsx]CF PND'!$BT$45</v>
      </c>
      <c r="J505" s="1" t="s">
        <v>400</v>
      </c>
    </row>
    <row r="506" spans="1:10" x14ac:dyDescent="0.3">
      <c r="A506" s="6" t="s">
        <v>16</v>
      </c>
      <c r="B506" s="6">
        <f t="shared" si="114"/>
        <v>2033</v>
      </c>
      <c r="C506" s="1" t="s">
        <v>34</v>
      </c>
      <c r="D506" s="2" t="s">
        <v>131</v>
      </c>
      <c r="E506" s="9" t="str">
        <f t="shared" si="95"/>
        <v>PND'!</v>
      </c>
      <c r="F506" s="5" t="str">
        <f t="shared" si="115"/>
        <v>C:\Users\jaime.benazar\Quorum Business Solutions\Ecopetrol Prometeo - Documents\Planning Space Implementation\3. Analysis &amp; Design\Design\FC22\DRR Jaime\Neiva CPI\[VAO_DINA TERCIARIOS_CF_SEC_20230117.xlsx]CF PND'!</v>
      </c>
      <c r="G506" s="6" t="s">
        <v>101</v>
      </c>
      <c r="H506" s="1">
        <f t="shared" si="98"/>
        <v>46</v>
      </c>
      <c r="I506" s="1" t="str">
        <f t="shared" si="96"/>
        <v>='C:\Users\jaime.benazar\Quorum Business Solutions\Ecopetrol Prometeo - Documents\Planning Space Implementation\3. Analysis &amp; Design\Design\FC22\DRR Jaime\Neiva CPI\[VAO_DINA TERCIARIOS_CF_SEC_20230117.xlsx]CF PND'!$BT$46</v>
      </c>
      <c r="J506" s="1" t="s">
        <v>401</v>
      </c>
    </row>
    <row r="507" spans="1:10" x14ac:dyDescent="0.3">
      <c r="A507" s="6" t="s">
        <v>16</v>
      </c>
      <c r="B507" s="6">
        <f t="shared" si="114"/>
        <v>2034</v>
      </c>
      <c r="C507" s="1" t="s">
        <v>34</v>
      </c>
      <c r="D507" s="2" t="s">
        <v>131</v>
      </c>
      <c r="E507" s="9" t="str">
        <f t="shared" si="95"/>
        <v>PND'!</v>
      </c>
      <c r="F507" s="5" t="str">
        <f t="shared" si="115"/>
        <v>C:\Users\jaime.benazar\Quorum Business Solutions\Ecopetrol Prometeo - Documents\Planning Space Implementation\3. Analysis &amp; Design\Design\FC22\DRR Jaime\Neiva CPI\[VAO_DINA TERCIARIOS_CF_SEC_20230117.xlsx]CF PND'!</v>
      </c>
      <c r="G507" s="6" t="s">
        <v>101</v>
      </c>
      <c r="H507" s="1">
        <f t="shared" si="98"/>
        <v>47</v>
      </c>
      <c r="I507" s="1" t="str">
        <f t="shared" si="96"/>
        <v>='C:\Users\jaime.benazar\Quorum Business Solutions\Ecopetrol Prometeo - Documents\Planning Space Implementation\3. Analysis &amp; Design\Design\FC22\DRR Jaime\Neiva CPI\[VAO_DINA TERCIARIOS_CF_SEC_20230117.xlsx]CF PND'!$BT$47</v>
      </c>
      <c r="J507" s="1" t="s">
        <v>402</v>
      </c>
    </row>
    <row r="508" spans="1:10" x14ac:dyDescent="0.3">
      <c r="A508" s="6" t="s">
        <v>16</v>
      </c>
      <c r="B508" s="6">
        <f t="shared" si="114"/>
        <v>2035</v>
      </c>
      <c r="C508" s="1" t="s">
        <v>34</v>
      </c>
      <c r="D508" s="2" t="s">
        <v>131</v>
      </c>
      <c r="E508" s="9" t="str">
        <f t="shared" si="95"/>
        <v>PND'!</v>
      </c>
      <c r="F508" s="5" t="str">
        <f t="shared" si="115"/>
        <v>C:\Users\jaime.benazar\Quorum Business Solutions\Ecopetrol Prometeo - Documents\Planning Space Implementation\3. Analysis &amp; Design\Design\FC22\DRR Jaime\Neiva CPI\[VAO_DINA TERCIARIOS_CF_SEC_20230117.xlsx]CF PND'!</v>
      </c>
      <c r="G508" s="6" t="s">
        <v>101</v>
      </c>
      <c r="H508" s="1">
        <f t="shared" si="98"/>
        <v>48</v>
      </c>
      <c r="I508" s="1" t="str">
        <f t="shared" si="96"/>
        <v>='C:\Users\jaime.benazar\Quorum Business Solutions\Ecopetrol Prometeo - Documents\Planning Space Implementation\3. Analysis &amp; Design\Design\FC22\DRR Jaime\Neiva CPI\[VAO_DINA TERCIARIOS_CF_SEC_20230117.xlsx]CF PND'!$BT$48</v>
      </c>
      <c r="J508" s="1" t="s">
        <v>403</v>
      </c>
    </row>
    <row r="509" spans="1:10" x14ac:dyDescent="0.3">
      <c r="A509" s="6" t="s">
        <v>16</v>
      </c>
      <c r="B509" s="6">
        <f t="shared" si="114"/>
        <v>2036</v>
      </c>
      <c r="C509" s="1" t="s">
        <v>34</v>
      </c>
      <c r="D509" s="2" t="s">
        <v>131</v>
      </c>
      <c r="E509" s="9" t="str">
        <f t="shared" si="95"/>
        <v>PND'!</v>
      </c>
      <c r="F509" s="5" t="str">
        <f t="shared" si="115"/>
        <v>C:\Users\jaime.benazar\Quorum Business Solutions\Ecopetrol Prometeo - Documents\Planning Space Implementation\3. Analysis &amp; Design\Design\FC22\DRR Jaime\Neiva CPI\[VAO_DINA TERCIARIOS_CF_SEC_20230117.xlsx]CF PND'!</v>
      </c>
      <c r="G509" s="6" t="s">
        <v>101</v>
      </c>
      <c r="H509" s="1">
        <f t="shared" si="98"/>
        <v>49</v>
      </c>
      <c r="I509" s="1" t="str">
        <f t="shared" si="96"/>
        <v>='C:\Users\jaime.benazar\Quorum Business Solutions\Ecopetrol Prometeo - Documents\Planning Space Implementation\3. Analysis &amp; Design\Design\FC22\DRR Jaime\Neiva CPI\[VAO_DINA TERCIARIOS_CF_SEC_20230117.xlsx]CF PND'!$BT$49</v>
      </c>
      <c r="J509" s="1" t="s">
        <v>404</v>
      </c>
    </row>
    <row r="510" spans="1:10" x14ac:dyDescent="0.3">
      <c r="A510" s="6" t="s">
        <v>16</v>
      </c>
      <c r="B510" s="6">
        <f>+B509+1</f>
        <v>2037</v>
      </c>
      <c r="C510" s="1" t="s">
        <v>34</v>
      </c>
      <c r="D510" s="2" t="s">
        <v>131</v>
      </c>
      <c r="E510" s="9" t="str">
        <f t="shared" si="95"/>
        <v>PND'!</v>
      </c>
      <c r="F510" s="5" t="str">
        <f t="shared" si="115"/>
        <v>C:\Users\jaime.benazar\Quorum Business Solutions\Ecopetrol Prometeo - Documents\Planning Space Implementation\3. Analysis &amp; Design\Design\FC22\DRR Jaime\Neiva CPI\[VAO_DINA TERCIARIOS_CF_SEC_20230117.xlsx]CF PND'!</v>
      </c>
      <c r="G510" s="6" t="s">
        <v>101</v>
      </c>
      <c r="H510" s="1">
        <f t="shared" si="98"/>
        <v>50</v>
      </c>
      <c r="I510" s="1" t="str">
        <f t="shared" si="96"/>
        <v>='C:\Users\jaime.benazar\Quorum Business Solutions\Ecopetrol Prometeo - Documents\Planning Space Implementation\3. Analysis &amp; Design\Design\FC22\DRR Jaime\Neiva CPI\[VAO_DINA TERCIARIOS_CF_SEC_20230117.xlsx]CF PND'!$BT$50</v>
      </c>
      <c r="J510" s="1" t="s">
        <v>405</v>
      </c>
    </row>
    <row r="511" spans="1:10" x14ac:dyDescent="0.3">
      <c r="A511" s="6" t="s">
        <v>16</v>
      </c>
      <c r="B511" s="6">
        <f t="shared" ref="B511:B513" si="116">+B510+1</f>
        <v>2038</v>
      </c>
      <c r="C511" s="1" t="s">
        <v>34</v>
      </c>
      <c r="D511" s="2" t="s">
        <v>131</v>
      </c>
      <c r="E511" s="9" t="str">
        <f t="shared" si="95"/>
        <v>PND'!</v>
      </c>
      <c r="F511" s="5" t="str">
        <f t="shared" si="115"/>
        <v>C:\Users\jaime.benazar\Quorum Business Solutions\Ecopetrol Prometeo - Documents\Planning Space Implementation\3. Analysis &amp; Design\Design\FC22\DRR Jaime\Neiva CPI\[VAO_DINA TERCIARIOS_CF_SEC_20230117.xlsx]CF PND'!</v>
      </c>
      <c r="G511" s="6" t="s">
        <v>101</v>
      </c>
      <c r="H511" s="1">
        <f t="shared" si="98"/>
        <v>51</v>
      </c>
      <c r="I511" s="1" t="str">
        <f t="shared" si="96"/>
        <v>='C:\Users\jaime.benazar\Quorum Business Solutions\Ecopetrol Prometeo - Documents\Planning Space Implementation\3. Analysis &amp; Design\Design\FC22\DRR Jaime\Neiva CPI\[VAO_DINA TERCIARIOS_CF_SEC_20230117.xlsx]CF PND'!$BT$51</v>
      </c>
      <c r="J511" s="1" t="s">
        <v>406</v>
      </c>
    </row>
    <row r="512" spans="1:10" x14ac:dyDescent="0.3">
      <c r="A512" s="6" t="s">
        <v>16</v>
      </c>
      <c r="B512" s="6">
        <f t="shared" si="116"/>
        <v>2039</v>
      </c>
      <c r="C512" s="1" t="s">
        <v>34</v>
      </c>
      <c r="D512" s="2" t="s">
        <v>131</v>
      </c>
      <c r="E512" s="9" t="str">
        <f t="shared" si="95"/>
        <v>PND'!</v>
      </c>
      <c r="F512" s="5" t="str">
        <f t="shared" si="115"/>
        <v>C:\Users\jaime.benazar\Quorum Business Solutions\Ecopetrol Prometeo - Documents\Planning Space Implementation\3. Analysis &amp; Design\Design\FC22\DRR Jaime\Neiva CPI\[VAO_DINA TERCIARIOS_CF_SEC_20230117.xlsx]CF PND'!</v>
      </c>
      <c r="G512" s="6" t="s">
        <v>101</v>
      </c>
      <c r="H512" s="1">
        <f t="shared" si="98"/>
        <v>52</v>
      </c>
      <c r="I512" s="1" t="str">
        <f t="shared" si="96"/>
        <v>='C:\Users\jaime.benazar\Quorum Business Solutions\Ecopetrol Prometeo - Documents\Planning Space Implementation\3. Analysis &amp; Design\Design\FC22\DRR Jaime\Neiva CPI\[VAO_DINA TERCIARIOS_CF_SEC_20230117.xlsx]CF PND'!$BT$52</v>
      </c>
      <c r="J512" s="1" t="s">
        <v>407</v>
      </c>
    </row>
    <row r="513" spans="1:10" x14ac:dyDescent="0.3">
      <c r="A513" s="6" t="s">
        <v>16</v>
      </c>
      <c r="B513" s="6">
        <f t="shared" si="116"/>
        <v>2040</v>
      </c>
      <c r="C513" s="1" t="s">
        <v>34</v>
      </c>
      <c r="D513" s="2" t="s">
        <v>131</v>
      </c>
      <c r="E513" s="9" t="str">
        <f t="shared" si="95"/>
        <v>PND'!</v>
      </c>
      <c r="F513" s="5" t="str">
        <f t="shared" si="115"/>
        <v>C:\Users\jaime.benazar\Quorum Business Solutions\Ecopetrol Prometeo - Documents\Planning Space Implementation\3. Analysis &amp; Design\Design\FC22\DRR Jaime\Neiva CPI\[VAO_DINA TERCIARIOS_CF_SEC_20230117.xlsx]CF PND'!</v>
      </c>
      <c r="G513" s="6" t="s">
        <v>101</v>
      </c>
      <c r="H513" s="1">
        <f t="shared" si="98"/>
        <v>53</v>
      </c>
      <c r="I513" s="1" t="str">
        <f t="shared" si="96"/>
        <v>='C:\Users\jaime.benazar\Quorum Business Solutions\Ecopetrol Prometeo - Documents\Planning Space Implementation\3. Analysis &amp; Design\Design\FC22\DRR Jaime\Neiva CPI\[VAO_DINA TERCIARIOS_CF_SEC_20230117.xlsx]CF PND'!$BT$53</v>
      </c>
      <c r="J513" s="1" t="s">
        <v>408</v>
      </c>
    </row>
    <row r="514" spans="1:10" x14ac:dyDescent="0.3">
      <c r="A514" s="6" t="s">
        <v>16</v>
      </c>
      <c r="B514" s="6">
        <f>+B513+1</f>
        <v>2041</v>
      </c>
      <c r="C514" s="1" t="s">
        <v>34</v>
      </c>
      <c r="D514" s="2" t="s">
        <v>131</v>
      </c>
      <c r="E514" s="9" t="str">
        <f t="shared" si="95"/>
        <v>PND'!</v>
      </c>
      <c r="F514" s="5" t="str">
        <f t="shared" si="115"/>
        <v>C:\Users\jaime.benazar\Quorum Business Solutions\Ecopetrol Prometeo - Documents\Planning Space Implementation\3. Analysis &amp; Design\Design\FC22\DRR Jaime\Neiva CPI\[VAO_DINA TERCIARIOS_CF_SEC_20230117.xlsx]CF PND'!</v>
      </c>
      <c r="G514" s="6" t="s">
        <v>101</v>
      </c>
      <c r="H514" s="1">
        <f t="shared" si="98"/>
        <v>54</v>
      </c>
      <c r="I514" s="1" t="str">
        <f t="shared" si="96"/>
        <v>='C:\Users\jaime.benazar\Quorum Business Solutions\Ecopetrol Prometeo - Documents\Planning Space Implementation\3. Analysis &amp; Design\Design\FC22\DRR Jaime\Neiva CPI\[VAO_DINA TERCIARIOS_CF_SEC_20230117.xlsx]CF PND'!$BT$54</v>
      </c>
      <c r="J514" s="1" t="s">
        <v>409</v>
      </c>
    </row>
    <row r="515" spans="1:10" x14ac:dyDescent="0.3">
      <c r="A515" s="6" t="s">
        <v>16</v>
      </c>
      <c r="B515" s="6">
        <f t="shared" ref="B515:B516" si="117">+B514+1</f>
        <v>2042</v>
      </c>
      <c r="C515" s="1" t="s">
        <v>34</v>
      </c>
      <c r="D515" s="2" t="s">
        <v>131</v>
      </c>
      <c r="E515" s="9" t="str">
        <f t="shared" ref="E515:E820" si="118">_xlfn.CONCAT(A515,"'!")</f>
        <v>PND'!</v>
      </c>
      <c r="F515" s="5" t="str">
        <f t="shared" si="115"/>
        <v>C:\Users\jaime.benazar\Quorum Business Solutions\Ecopetrol Prometeo - Documents\Planning Space Implementation\3. Analysis &amp; Design\Design\FC22\DRR Jaime\Neiva CPI\[VAO_DINA TERCIARIOS_CF_SEC_20230117.xlsx]CF PND'!</v>
      </c>
      <c r="G515" s="6" t="s">
        <v>101</v>
      </c>
      <c r="H515" s="1">
        <f t="shared" si="98"/>
        <v>55</v>
      </c>
      <c r="I515" s="1" t="str">
        <f t="shared" ref="I515:I820" si="119">_xlfn.CONCAT("='",F515:H515)</f>
        <v>='C:\Users\jaime.benazar\Quorum Business Solutions\Ecopetrol Prometeo - Documents\Planning Space Implementation\3. Analysis &amp; Design\Design\FC22\DRR Jaime\Neiva CPI\[VAO_DINA TERCIARIOS_CF_SEC_20230117.xlsx]CF PND'!$BT$55</v>
      </c>
      <c r="J515" s="1" t="s">
        <v>410</v>
      </c>
    </row>
    <row r="516" spans="1:10" x14ac:dyDescent="0.3">
      <c r="A516" s="6" t="s">
        <v>16</v>
      </c>
      <c r="B516" s="6">
        <f t="shared" si="117"/>
        <v>2043</v>
      </c>
      <c r="C516" s="1" t="s">
        <v>34</v>
      </c>
      <c r="D516" s="2" t="s">
        <v>131</v>
      </c>
      <c r="E516" s="9" t="str">
        <f t="shared" si="118"/>
        <v>PND'!</v>
      </c>
      <c r="F516" s="5" t="str">
        <f t="shared" si="115"/>
        <v>C:\Users\jaime.benazar\Quorum Business Solutions\Ecopetrol Prometeo - Documents\Planning Space Implementation\3. Analysis &amp; Design\Design\FC22\DRR Jaime\Neiva CPI\[VAO_DINA TERCIARIOS_CF_SEC_20230117.xlsx]CF PND'!</v>
      </c>
      <c r="G516" s="6" t="s">
        <v>101</v>
      </c>
      <c r="H516" s="1">
        <f t="shared" ref="H516:H820" si="120">IF(A516&lt;&gt;A515,36,H515+1)</f>
        <v>56</v>
      </c>
      <c r="I516" s="1" t="str">
        <f t="shared" si="119"/>
        <v>='C:\Users\jaime.benazar\Quorum Business Solutions\Ecopetrol Prometeo - Documents\Planning Space Implementation\3. Analysis &amp; Design\Design\FC22\DRR Jaime\Neiva CPI\[VAO_DINA TERCIARIOS_CF_SEC_20230117.xlsx]CF PND'!$BT$56</v>
      </c>
      <c r="J516" s="1" t="s">
        <v>411</v>
      </c>
    </row>
    <row r="517" spans="1:10" x14ac:dyDescent="0.3">
      <c r="A517" s="6" t="s">
        <v>16</v>
      </c>
      <c r="B517" s="6">
        <f>+B516+1</f>
        <v>2044</v>
      </c>
      <c r="C517" s="1" t="s">
        <v>34</v>
      </c>
      <c r="D517" s="2" t="s">
        <v>131</v>
      </c>
      <c r="E517" s="9" t="str">
        <f t="shared" ref="E517:E532" si="121">_xlfn.CONCAT(A517,"'!")</f>
        <v>PND'!</v>
      </c>
      <c r="F517" s="5" t="str">
        <f t="shared" ref="F517:F532" si="122">_xlfn.CONCAT(D517," ",E517)</f>
        <v>C:\Users\jaime.benazar\Quorum Business Solutions\Ecopetrol Prometeo - Documents\Planning Space Implementation\3. Analysis &amp; Design\Design\FC22\DRR Jaime\Neiva CPI\[VAO_DINA TERCIARIOS_CF_SEC_20230117.xlsx]CF PND'!</v>
      </c>
      <c r="G517" s="6" t="s">
        <v>101</v>
      </c>
      <c r="H517" s="1">
        <f t="shared" ref="H517:H532" si="123">IF(A517&lt;&gt;A516,36,H516+1)</f>
        <v>57</v>
      </c>
      <c r="I517" s="1" t="str">
        <f t="shared" ref="I517:I532" si="124">_xlfn.CONCAT("='",F517:H517)</f>
        <v>='C:\Users\jaime.benazar\Quorum Business Solutions\Ecopetrol Prometeo - Documents\Planning Space Implementation\3. Analysis &amp; Design\Design\FC22\DRR Jaime\Neiva CPI\[VAO_DINA TERCIARIOS_CF_SEC_20230117.xlsx]CF PND'!$BT$57</v>
      </c>
      <c r="J517" s="1" t="s">
        <v>412</v>
      </c>
    </row>
    <row r="518" spans="1:10" x14ac:dyDescent="0.3">
      <c r="A518" s="6" t="s">
        <v>16</v>
      </c>
      <c r="B518" s="6">
        <f t="shared" ref="B518:B532" si="125">+B517+1</f>
        <v>2045</v>
      </c>
      <c r="C518" s="1" t="s">
        <v>34</v>
      </c>
      <c r="D518" s="2" t="s">
        <v>131</v>
      </c>
      <c r="E518" s="9" t="str">
        <f t="shared" si="121"/>
        <v>PND'!</v>
      </c>
      <c r="F518" s="5" t="str">
        <f t="shared" si="122"/>
        <v>C:\Users\jaime.benazar\Quorum Business Solutions\Ecopetrol Prometeo - Documents\Planning Space Implementation\3. Analysis &amp; Design\Design\FC22\DRR Jaime\Neiva CPI\[VAO_DINA TERCIARIOS_CF_SEC_20230117.xlsx]CF PND'!</v>
      </c>
      <c r="G518" s="6" t="s">
        <v>101</v>
      </c>
      <c r="H518" s="1">
        <f t="shared" si="123"/>
        <v>58</v>
      </c>
      <c r="I518" s="1" t="str">
        <f t="shared" si="124"/>
        <v>='C:\Users\jaime.benazar\Quorum Business Solutions\Ecopetrol Prometeo - Documents\Planning Space Implementation\3. Analysis &amp; Design\Design\FC22\DRR Jaime\Neiva CPI\[VAO_DINA TERCIARIOS_CF_SEC_20230117.xlsx]CF PND'!$BT$58</v>
      </c>
      <c r="J518" s="1" t="s">
        <v>413</v>
      </c>
    </row>
    <row r="519" spans="1:10" x14ac:dyDescent="0.3">
      <c r="A519" s="6" t="s">
        <v>16</v>
      </c>
      <c r="B519" s="6">
        <f t="shared" si="125"/>
        <v>2046</v>
      </c>
      <c r="C519" s="1" t="s">
        <v>34</v>
      </c>
      <c r="D519" s="2" t="s">
        <v>131</v>
      </c>
      <c r="E519" s="9" t="str">
        <f t="shared" si="121"/>
        <v>PND'!</v>
      </c>
      <c r="F519" s="5" t="str">
        <f t="shared" si="122"/>
        <v>C:\Users\jaime.benazar\Quorum Business Solutions\Ecopetrol Prometeo - Documents\Planning Space Implementation\3. Analysis &amp; Design\Design\FC22\DRR Jaime\Neiva CPI\[VAO_DINA TERCIARIOS_CF_SEC_20230117.xlsx]CF PND'!</v>
      </c>
      <c r="G519" s="6" t="s">
        <v>101</v>
      </c>
      <c r="H519" s="1">
        <f t="shared" si="123"/>
        <v>59</v>
      </c>
      <c r="I519" s="1" t="str">
        <f t="shared" si="124"/>
        <v>='C:\Users\jaime.benazar\Quorum Business Solutions\Ecopetrol Prometeo - Documents\Planning Space Implementation\3. Analysis &amp; Design\Design\FC22\DRR Jaime\Neiva CPI\[VAO_DINA TERCIARIOS_CF_SEC_20230117.xlsx]CF PND'!$BT$59</v>
      </c>
      <c r="J519" s="1" t="s">
        <v>414</v>
      </c>
    </row>
    <row r="520" spans="1:10" x14ac:dyDescent="0.3">
      <c r="A520" s="6" t="s">
        <v>16</v>
      </c>
      <c r="B520" s="6">
        <f t="shared" si="125"/>
        <v>2047</v>
      </c>
      <c r="C520" s="1" t="s">
        <v>34</v>
      </c>
      <c r="D520" s="2" t="s">
        <v>131</v>
      </c>
      <c r="E520" s="9" t="str">
        <f t="shared" si="121"/>
        <v>PND'!</v>
      </c>
      <c r="F520" s="5" t="str">
        <f t="shared" si="122"/>
        <v>C:\Users\jaime.benazar\Quorum Business Solutions\Ecopetrol Prometeo - Documents\Planning Space Implementation\3. Analysis &amp; Design\Design\FC22\DRR Jaime\Neiva CPI\[VAO_DINA TERCIARIOS_CF_SEC_20230117.xlsx]CF PND'!</v>
      </c>
      <c r="G520" s="6" t="s">
        <v>101</v>
      </c>
      <c r="H520" s="1">
        <f t="shared" si="123"/>
        <v>60</v>
      </c>
      <c r="I520" s="1" t="str">
        <f t="shared" si="124"/>
        <v>='C:\Users\jaime.benazar\Quorum Business Solutions\Ecopetrol Prometeo - Documents\Planning Space Implementation\3. Analysis &amp; Design\Design\FC22\DRR Jaime\Neiva CPI\[VAO_DINA TERCIARIOS_CF_SEC_20230117.xlsx]CF PND'!$BT$60</v>
      </c>
      <c r="J520" s="1" t="s">
        <v>415</v>
      </c>
    </row>
    <row r="521" spans="1:10" x14ac:dyDescent="0.3">
      <c r="A521" s="6" t="s">
        <v>16</v>
      </c>
      <c r="B521" s="6">
        <f t="shared" si="125"/>
        <v>2048</v>
      </c>
      <c r="C521" s="1" t="s">
        <v>34</v>
      </c>
      <c r="D521" s="2" t="s">
        <v>131</v>
      </c>
      <c r="E521" s="9" t="str">
        <f t="shared" si="121"/>
        <v>PND'!</v>
      </c>
      <c r="F521" s="5" t="str">
        <f t="shared" si="122"/>
        <v>C:\Users\jaime.benazar\Quorum Business Solutions\Ecopetrol Prometeo - Documents\Planning Space Implementation\3. Analysis &amp; Design\Design\FC22\DRR Jaime\Neiva CPI\[VAO_DINA TERCIARIOS_CF_SEC_20230117.xlsx]CF PND'!</v>
      </c>
      <c r="G521" s="6" t="s">
        <v>101</v>
      </c>
      <c r="H521" s="1">
        <f t="shared" si="123"/>
        <v>61</v>
      </c>
      <c r="I521" s="1" t="str">
        <f t="shared" si="124"/>
        <v>='C:\Users\jaime.benazar\Quorum Business Solutions\Ecopetrol Prometeo - Documents\Planning Space Implementation\3. Analysis &amp; Design\Design\FC22\DRR Jaime\Neiva CPI\[VAO_DINA TERCIARIOS_CF_SEC_20230117.xlsx]CF PND'!$BT$61</v>
      </c>
      <c r="J521" s="1" t="s">
        <v>416</v>
      </c>
    </row>
    <row r="522" spans="1:10" x14ac:dyDescent="0.3">
      <c r="A522" s="6" t="s">
        <v>16</v>
      </c>
      <c r="B522" s="6">
        <f t="shared" si="125"/>
        <v>2049</v>
      </c>
      <c r="C522" s="1" t="s">
        <v>34</v>
      </c>
      <c r="D522" s="2" t="s">
        <v>131</v>
      </c>
      <c r="E522" s="9" t="str">
        <f t="shared" si="121"/>
        <v>PND'!</v>
      </c>
      <c r="F522" s="5" t="str">
        <f t="shared" si="122"/>
        <v>C:\Users\jaime.benazar\Quorum Business Solutions\Ecopetrol Prometeo - Documents\Planning Space Implementation\3. Analysis &amp; Design\Design\FC22\DRR Jaime\Neiva CPI\[VAO_DINA TERCIARIOS_CF_SEC_20230117.xlsx]CF PND'!</v>
      </c>
      <c r="G522" s="6" t="s">
        <v>101</v>
      </c>
      <c r="H522" s="1">
        <f t="shared" si="123"/>
        <v>62</v>
      </c>
      <c r="I522" s="1" t="str">
        <f t="shared" si="124"/>
        <v>='C:\Users\jaime.benazar\Quorum Business Solutions\Ecopetrol Prometeo - Documents\Planning Space Implementation\3. Analysis &amp; Design\Design\FC22\DRR Jaime\Neiva CPI\[VAO_DINA TERCIARIOS_CF_SEC_20230117.xlsx]CF PND'!$BT$62</v>
      </c>
      <c r="J522" s="1" t="s">
        <v>417</v>
      </c>
    </row>
    <row r="523" spans="1:10" x14ac:dyDescent="0.3">
      <c r="A523" s="6" t="s">
        <v>16</v>
      </c>
      <c r="B523" s="6">
        <f t="shared" si="125"/>
        <v>2050</v>
      </c>
      <c r="C523" s="1" t="s">
        <v>34</v>
      </c>
      <c r="D523" s="2" t="s">
        <v>131</v>
      </c>
      <c r="E523" s="9" t="str">
        <f t="shared" si="121"/>
        <v>PND'!</v>
      </c>
      <c r="F523" s="5" t="str">
        <f t="shared" si="122"/>
        <v>C:\Users\jaime.benazar\Quorum Business Solutions\Ecopetrol Prometeo - Documents\Planning Space Implementation\3. Analysis &amp; Design\Design\FC22\DRR Jaime\Neiva CPI\[VAO_DINA TERCIARIOS_CF_SEC_20230117.xlsx]CF PND'!</v>
      </c>
      <c r="G523" s="6" t="s">
        <v>101</v>
      </c>
      <c r="H523" s="1">
        <f t="shared" si="123"/>
        <v>63</v>
      </c>
      <c r="I523" s="1" t="str">
        <f t="shared" si="124"/>
        <v>='C:\Users\jaime.benazar\Quorum Business Solutions\Ecopetrol Prometeo - Documents\Planning Space Implementation\3. Analysis &amp; Design\Design\FC22\DRR Jaime\Neiva CPI\[VAO_DINA TERCIARIOS_CF_SEC_20230117.xlsx]CF PND'!$BT$63</v>
      </c>
      <c r="J523" s="1" t="s">
        <v>418</v>
      </c>
    </row>
    <row r="524" spans="1:10" x14ac:dyDescent="0.3">
      <c r="A524" s="6" t="s">
        <v>16</v>
      </c>
      <c r="B524" s="6">
        <f t="shared" si="125"/>
        <v>2051</v>
      </c>
      <c r="C524" s="1" t="s">
        <v>34</v>
      </c>
      <c r="D524" s="2" t="s">
        <v>131</v>
      </c>
      <c r="E524" s="9" t="str">
        <f t="shared" si="121"/>
        <v>PND'!</v>
      </c>
      <c r="F524" s="5" t="str">
        <f t="shared" si="122"/>
        <v>C:\Users\jaime.benazar\Quorum Business Solutions\Ecopetrol Prometeo - Documents\Planning Space Implementation\3. Analysis &amp; Design\Design\FC22\DRR Jaime\Neiva CPI\[VAO_DINA TERCIARIOS_CF_SEC_20230117.xlsx]CF PND'!</v>
      </c>
      <c r="G524" s="6" t="s">
        <v>101</v>
      </c>
      <c r="H524" s="1">
        <f t="shared" si="123"/>
        <v>64</v>
      </c>
      <c r="I524" s="1" t="str">
        <f t="shared" si="124"/>
        <v>='C:\Users\jaime.benazar\Quorum Business Solutions\Ecopetrol Prometeo - Documents\Planning Space Implementation\3. Analysis &amp; Design\Design\FC22\DRR Jaime\Neiva CPI\[VAO_DINA TERCIARIOS_CF_SEC_20230117.xlsx]CF PND'!$BT$64</v>
      </c>
      <c r="J524" s="1" t="s">
        <v>419</v>
      </c>
    </row>
    <row r="525" spans="1:10" x14ac:dyDescent="0.3">
      <c r="A525" s="6" t="s">
        <v>16</v>
      </c>
      <c r="B525" s="6">
        <f t="shared" si="125"/>
        <v>2052</v>
      </c>
      <c r="C525" s="1" t="s">
        <v>34</v>
      </c>
      <c r="D525" s="2" t="s">
        <v>131</v>
      </c>
      <c r="E525" s="9" t="str">
        <f t="shared" si="121"/>
        <v>PND'!</v>
      </c>
      <c r="F525" s="5" t="str">
        <f t="shared" si="122"/>
        <v>C:\Users\jaime.benazar\Quorum Business Solutions\Ecopetrol Prometeo - Documents\Planning Space Implementation\3. Analysis &amp; Design\Design\FC22\DRR Jaime\Neiva CPI\[VAO_DINA TERCIARIOS_CF_SEC_20230117.xlsx]CF PND'!</v>
      </c>
      <c r="G525" s="6" t="s">
        <v>101</v>
      </c>
      <c r="H525" s="1">
        <f t="shared" si="123"/>
        <v>65</v>
      </c>
      <c r="I525" s="1" t="str">
        <f t="shared" si="124"/>
        <v>='C:\Users\jaime.benazar\Quorum Business Solutions\Ecopetrol Prometeo - Documents\Planning Space Implementation\3. Analysis &amp; Design\Design\FC22\DRR Jaime\Neiva CPI\[VAO_DINA TERCIARIOS_CF_SEC_20230117.xlsx]CF PND'!$BT$65</v>
      </c>
      <c r="J525" s="1" t="s">
        <v>420</v>
      </c>
    </row>
    <row r="526" spans="1:10" x14ac:dyDescent="0.3">
      <c r="A526" s="6" t="s">
        <v>16</v>
      </c>
      <c r="B526" s="6">
        <f t="shared" si="125"/>
        <v>2053</v>
      </c>
      <c r="C526" s="1" t="s">
        <v>34</v>
      </c>
      <c r="D526" s="2" t="s">
        <v>131</v>
      </c>
      <c r="E526" s="9" t="str">
        <f t="shared" si="121"/>
        <v>PND'!</v>
      </c>
      <c r="F526" s="5" t="str">
        <f t="shared" si="122"/>
        <v>C:\Users\jaime.benazar\Quorum Business Solutions\Ecopetrol Prometeo - Documents\Planning Space Implementation\3. Analysis &amp; Design\Design\FC22\DRR Jaime\Neiva CPI\[VAO_DINA TERCIARIOS_CF_SEC_20230117.xlsx]CF PND'!</v>
      </c>
      <c r="G526" s="6" t="s">
        <v>101</v>
      </c>
      <c r="H526" s="1">
        <f t="shared" si="123"/>
        <v>66</v>
      </c>
      <c r="I526" s="1" t="str">
        <f t="shared" si="124"/>
        <v>='C:\Users\jaime.benazar\Quorum Business Solutions\Ecopetrol Prometeo - Documents\Planning Space Implementation\3. Analysis &amp; Design\Design\FC22\DRR Jaime\Neiva CPI\[VAO_DINA TERCIARIOS_CF_SEC_20230117.xlsx]CF PND'!$BT$66</v>
      </c>
      <c r="J526" s="1" t="s">
        <v>421</v>
      </c>
    </row>
    <row r="527" spans="1:10" x14ac:dyDescent="0.3">
      <c r="A527" s="6" t="s">
        <v>16</v>
      </c>
      <c r="B527" s="6">
        <f t="shared" si="125"/>
        <v>2054</v>
      </c>
      <c r="C527" s="1" t="s">
        <v>34</v>
      </c>
      <c r="D527" s="2" t="s">
        <v>131</v>
      </c>
      <c r="E527" s="9" t="str">
        <f t="shared" si="121"/>
        <v>PND'!</v>
      </c>
      <c r="F527" s="5" t="str">
        <f t="shared" si="122"/>
        <v>C:\Users\jaime.benazar\Quorum Business Solutions\Ecopetrol Prometeo - Documents\Planning Space Implementation\3. Analysis &amp; Design\Design\FC22\DRR Jaime\Neiva CPI\[VAO_DINA TERCIARIOS_CF_SEC_20230117.xlsx]CF PND'!</v>
      </c>
      <c r="G527" s="6" t="s">
        <v>101</v>
      </c>
      <c r="H527" s="1">
        <f t="shared" si="123"/>
        <v>67</v>
      </c>
      <c r="I527" s="1" t="str">
        <f t="shared" si="124"/>
        <v>='C:\Users\jaime.benazar\Quorum Business Solutions\Ecopetrol Prometeo - Documents\Planning Space Implementation\3. Analysis &amp; Design\Design\FC22\DRR Jaime\Neiva CPI\[VAO_DINA TERCIARIOS_CF_SEC_20230117.xlsx]CF PND'!$BT$67</v>
      </c>
      <c r="J527" s="1" t="s">
        <v>422</v>
      </c>
    </row>
    <row r="528" spans="1:10" x14ac:dyDescent="0.3">
      <c r="A528" s="6" t="s">
        <v>16</v>
      </c>
      <c r="B528" s="6">
        <f t="shared" si="125"/>
        <v>2055</v>
      </c>
      <c r="C528" s="1" t="s">
        <v>34</v>
      </c>
      <c r="D528" s="2" t="s">
        <v>131</v>
      </c>
      <c r="E528" s="9" t="str">
        <f t="shared" si="121"/>
        <v>PND'!</v>
      </c>
      <c r="F528" s="5" t="str">
        <f t="shared" si="122"/>
        <v>C:\Users\jaime.benazar\Quorum Business Solutions\Ecopetrol Prometeo - Documents\Planning Space Implementation\3. Analysis &amp; Design\Design\FC22\DRR Jaime\Neiva CPI\[VAO_DINA TERCIARIOS_CF_SEC_20230117.xlsx]CF PND'!</v>
      </c>
      <c r="G528" s="6" t="s">
        <v>101</v>
      </c>
      <c r="H528" s="1">
        <f t="shared" si="123"/>
        <v>68</v>
      </c>
      <c r="I528" s="1" t="str">
        <f t="shared" si="124"/>
        <v>='C:\Users\jaime.benazar\Quorum Business Solutions\Ecopetrol Prometeo - Documents\Planning Space Implementation\3. Analysis &amp; Design\Design\FC22\DRR Jaime\Neiva CPI\[VAO_DINA TERCIARIOS_CF_SEC_20230117.xlsx]CF PND'!$BT$68</v>
      </c>
      <c r="J528" s="1" t="s">
        <v>423</v>
      </c>
    </row>
    <row r="529" spans="1:10" x14ac:dyDescent="0.3">
      <c r="A529" s="6" t="s">
        <v>16</v>
      </c>
      <c r="B529" s="6">
        <f t="shared" si="125"/>
        <v>2056</v>
      </c>
      <c r="C529" s="1" t="s">
        <v>34</v>
      </c>
      <c r="D529" s="2" t="s">
        <v>131</v>
      </c>
      <c r="E529" s="9" t="str">
        <f t="shared" si="121"/>
        <v>PND'!</v>
      </c>
      <c r="F529" s="5" t="str">
        <f t="shared" si="122"/>
        <v>C:\Users\jaime.benazar\Quorum Business Solutions\Ecopetrol Prometeo - Documents\Planning Space Implementation\3. Analysis &amp; Design\Design\FC22\DRR Jaime\Neiva CPI\[VAO_DINA TERCIARIOS_CF_SEC_20230117.xlsx]CF PND'!</v>
      </c>
      <c r="G529" s="6" t="s">
        <v>101</v>
      </c>
      <c r="H529" s="1">
        <f t="shared" si="123"/>
        <v>69</v>
      </c>
      <c r="I529" s="1" t="str">
        <f t="shared" si="124"/>
        <v>='C:\Users\jaime.benazar\Quorum Business Solutions\Ecopetrol Prometeo - Documents\Planning Space Implementation\3. Analysis &amp; Design\Design\FC22\DRR Jaime\Neiva CPI\[VAO_DINA TERCIARIOS_CF_SEC_20230117.xlsx]CF PND'!$BT$69</v>
      </c>
      <c r="J529" s="1" t="s">
        <v>424</v>
      </c>
    </row>
    <row r="530" spans="1:10" x14ac:dyDescent="0.3">
      <c r="A530" s="6" t="s">
        <v>16</v>
      </c>
      <c r="B530" s="6">
        <f t="shared" si="125"/>
        <v>2057</v>
      </c>
      <c r="C530" s="1" t="s">
        <v>34</v>
      </c>
      <c r="D530" s="2" t="s">
        <v>131</v>
      </c>
      <c r="E530" s="9" t="str">
        <f t="shared" si="121"/>
        <v>PND'!</v>
      </c>
      <c r="F530" s="5" t="str">
        <f t="shared" si="122"/>
        <v>C:\Users\jaime.benazar\Quorum Business Solutions\Ecopetrol Prometeo - Documents\Planning Space Implementation\3. Analysis &amp; Design\Design\FC22\DRR Jaime\Neiva CPI\[VAO_DINA TERCIARIOS_CF_SEC_20230117.xlsx]CF PND'!</v>
      </c>
      <c r="G530" s="6" t="s">
        <v>101</v>
      </c>
      <c r="H530" s="1">
        <f t="shared" si="123"/>
        <v>70</v>
      </c>
      <c r="I530" s="1" t="str">
        <f t="shared" si="124"/>
        <v>='C:\Users\jaime.benazar\Quorum Business Solutions\Ecopetrol Prometeo - Documents\Planning Space Implementation\3. Analysis &amp; Design\Design\FC22\DRR Jaime\Neiva CPI\[VAO_DINA TERCIARIOS_CF_SEC_20230117.xlsx]CF PND'!$BT$70</v>
      </c>
      <c r="J530" s="1" t="s">
        <v>425</v>
      </c>
    </row>
    <row r="531" spans="1:10" x14ac:dyDescent="0.3">
      <c r="A531" s="6" t="s">
        <v>16</v>
      </c>
      <c r="B531" s="6">
        <f t="shared" si="125"/>
        <v>2058</v>
      </c>
      <c r="C531" s="1" t="s">
        <v>34</v>
      </c>
      <c r="D531" s="2" t="s">
        <v>131</v>
      </c>
      <c r="E531" s="9" t="str">
        <f t="shared" si="121"/>
        <v>PND'!</v>
      </c>
      <c r="F531" s="5" t="str">
        <f t="shared" si="122"/>
        <v>C:\Users\jaime.benazar\Quorum Business Solutions\Ecopetrol Prometeo - Documents\Planning Space Implementation\3. Analysis &amp; Design\Design\FC22\DRR Jaime\Neiva CPI\[VAO_DINA TERCIARIOS_CF_SEC_20230117.xlsx]CF PND'!</v>
      </c>
      <c r="G531" s="6" t="s">
        <v>101</v>
      </c>
      <c r="H531" s="1">
        <f t="shared" si="123"/>
        <v>71</v>
      </c>
      <c r="I531" s="1" t="str">
        <f t="shared" si="124"/>
        <v>='C:\Users\jaime.benazar\Quorum Business Solutions\Ecopetrol Prometeo - Documents\Planning Space Implementation\3. Analysis &amp; Design\Design\FC22\DRR Jaime\Neiva CPI\[VAO_DINA TERCIARIOS_CF_SEC_20230117.xlsx]CF PND'!$BT$71</v>
      </c>
      <c r="J531" s="1" t="s">
        <v>426</v>
      </c>
    </row>
    <row r="532" spans="1:10" x14ac:dyDescent="0.3">
      <c r="A532" s="6" t="s">
        <v>16</v>
      </c>
      <c r="B532" s="6">
        <f t="shared" si="125"/>
        <v>2059</v>
      </c>
      <c r="C532" s="1" t="s">
        <v>34</v>
      </c>
      <c r="D532" s="2" t="s">
        <v>131</v>
      </c>
      <c r="E532" s="9" t="str">
        <f t="shared" si="121"/>
        <v>PND'!</v>
      </c>
      <c r="F532" s="5" t="str">
        <f t="shared" si="122"/>
        <v>C:\Users\jaime.benazar\Quorum Business Solutions\Ecopetrol Prometeo - Documents\Planning Space Implementation\3. Analysis &amp; Design\Design\FC22\DRR Jaime\Neiva CPI\[VAO_DINA TERCIARIOS_CF_SEC_20230117.xlsx]CF PND'!</v>
      </c>
      <c r="G532" s="6" t="s">
        <v>101</v>
      </c>
      <c r="H532" s="1">
        <f t="shared" si="123"/>
        <v>72</v>
      </c>
      <c r="I532" s="1" t="str">
        <f t="shared" si="124"/>
        <v>='C:\Users\jaime.benazar\Quorum Business Solutions\Ecopetrol Prometeo - Documents\Planning Space Implementation\3. Analysis &amp; Design\Design\FC22\DRR Jaime\Neiva CPI\[VAO_DINA TERCIARIOS_CF_SEC_20230117.xlsx]CF PND'!$BT$72</v>
      </c>
      <c r="J532" s="1" t="s">
        <v>427</v>
      </c>
    </row>
    <row r="533" spans="1:10" x14ac:dyDescent="0.3">
      <c r="A533" s="6" t="s">
        <v>26</v>
      </c>
      <c r="B533" s="6"/>
      <c r="C533" s="1" t="s">
        <v>34</v>
      </c>
      <c r="D533" s="2"/>
      <c r="E533" s="9"/>
      <c r="F533" s="2"/>
      <c r="G533" s="6"/>
      <c r="H533" s="1"/>
      <c r="I533" s="1"/>
      <c r="J533" s="4"/>
    </row>
    <row r="534" spans="1:10" x14ac:dyDescent="0.3">
      <c r="A534" s="6" t="s">
        <v>17</v>
      </c>
      <c r="B534" s="6">
        <v>2023</v>
      </c>
      <c r="C534" s="1" t="s">
        <v>34</v>
      </c>
      <c r="D534" s="2" t="s">
        <v>131</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Jaime\Neiva CPI\[VAO_DINA TERCIARIOS_CF_SEC_20230117.xlsx]CF PRBDP'!</v>
      </c>
      <c r="G534" s="6" t="s">
        <v>101</v>
      </c>
      <c r="H534" s="1"/>
      <c r="I534" s="1"/>
      <c r="J534" s="1"/>
    </row>
    <row r="535" spans="1:10" x14ac:dyDescent="0.3">
      <c r="A535" s="6" t="s">
        <v>17</v>
      </c>
      <c r="B535" s="6">
        <f>+B534+1</f>
        <v>2024</v>
      </c>
      <c r="C535" s="1" t="s">
        <v>34</v>
      </c>
      <c r="D535" s="2" t="s">
        <v>131</v>
      </c>
      <c r="E535" s="9" t="str">
        <f t="shared" si="126"/>
        <v>PRBDP'!</v>
      </c>
      <c r="F535" s="5" t="str">
        <f t="shared" si="127"/>
        <v>C:\Users\jaime.benazar\Quorum Business Solutions\Ecopetrol Prometeo - Documents\Planning Space Implementation\3. Analysis &amp; Design\Design\FC22\DRR Jaime\Neiva CPI\[VAO_DINA TERCIARIOS_CF_SEC_20230117.xlsx]CF PRBDP'!</v>
      </c>
      <c r="G535" s="6" t="s">
        <v>101</v>
      </c>
      <c r="H535" s="1"/>
      <c r="I535" s="1"/>
      <c r="J535" s="1"/>
    </row>
    <row r="536" spans="1:10" x14ac:dyDescent="0.3">
      <c r="A536" s="6" t="s">
        <v>17</v>
      </c>
      <c r="B536" s="6">
        <f t="shared" ref="B536:B547" si="128">+B535+1</f>
        <v>2025</v>
      </c>
      <c r="C536" s="1" t="s">
        <v>34</v>
      </c>
      <c r="D536" s="2" t="s">
        <v>131</v>
      </c>
      <c r="E536" s="9" t="str">
        <f t="shared" si="126"/>
        <v>PRBDP'!</v>
      </c>
      <c r="F536" s="5" t="str">
        <f t="shared" si="127"/>
        <v>C:\Users\jaime.benazar\Quorum Business Solutions\Ecopetrol Prometeo - Documents\Planning Space Implementation\3. Analysis &amp; Design\Design\FC22\DRR Jaime\Neiva CPI\[VAO_DINA TERCIARIOS_CF_SEC_20230117.xlsx]CF PRBDP'!</v>
      </c>
      <c r="G536" s="6" t="s">
        <v>101</v>
      </c>
      <c r="H536" s="1"/>
      <c r="I536" s="1"/>
      <c r="J536" s="1"/>
    </row>
    <row r="537" spans="1:10" x14ac:dyDescent="0.3">
      <c r="A537" s="6" t="s">
        <v>17</v>
      </c>
      <c r="B537" s="6">
        <f t="shared" si="128"/>
        <v>2026</v>
      </c>
      <c r="C537" s="1" t="s">
        <v>34</v>
      </c>
      <c r="D537" s="2" t="s">
        <v>131</v>
      </c>
      <c r="E537" s="9" t="str">
        <f t="shared" si="126"/>
        <v>PRBDP'!</v>
      </c>
      <c r="F537" s="5" t="str">
        <f t="shared" si="127"/>
        <v>C:\Users\jaime.benazar\Quorum Business Solutions\Ecopetrol Prometeo - Documents\Planning Space Implementation\3. Analysis &amp; Design\Design\FC22\DRR Jaime\Neiva CPI\[VAO_DINA TERCIARIOS_CF_SEC_20230117.xlsx]CF PRBDP'!</v>
      </c>
      <c r="G537" s="6" t="s">
        <v>101</v>
      </c>
      <c r="H537" s="1"/>
      <c r="I537" s="1"/>
      <c r="J537" s="1"/>
    </row>
    <row r="538" spans="1:10" x14ac:dyDescent="0.3">
      <c r="A538" s="6" t="s">
        <v>17</v>
      </c>
      <c r="B538" s="6">
        <f t="shared" si="128"/>
        <v>2027</v>
      </c>
      <c r="C538" s="1" t="s">
        <v>34</v>
      </c>
      <c r="D538" s="2" t="s">
        <v>131</v>
      </c>
      <c r="E538" s="9" t="str">
        <f t="shared" si="126"/>
        <v>PRBDP'!</v>
      </c>
      <c r="F538" s="5" t="str">
        <f t="shared" si="127"/>
        <v>C:\Users\jaime.benazar\Quorum Business Solutions\Ecopetrol Prometeo - Documents\Planning Space Implementation\3. Analysis &amp; Design\Design\FC22\DRR Jaime\Neiva CPI\[VAO_DINA TERCIARIOS_CF_SEC_20230117.xlsx]CF PRBDP'!</v>
      </c>
      <c r="G538" s="6" t="s">
        <v>101</v>
      </c>
      <c r="H538" s="1"/>
      <c r="I538" s="1"/>
      <c r="J538" s="1"/>
    </row>
    <row r="539" spans="1:10" x14ac:dyDescent="0.3">
      <c r="A539" s="6" t="s">
        <v>17</v>
      </c>
      <c r="B539" s="6">
        <f t="shared" si="128"/>
        <v>2028</v>
      </c>
      <c r="C539" s="1" t="s">
        <v>34</v>
      </c>
      <c r="D539" s="2" t="s">
        <v>131</v>
      </c>
      <c r="E539" s="9" t="str">
        <f t="shared" si="126"/>
        <v>PRBDP'!</v>
      </c>
      <c r="F539" s="5" t="str">
        <f t="shared" si="127"/>
        <v>C:\Users\jaime.benazar\Quorum Business Solutions\Ecopetrol Prometeo - Documents\Planning Space Implementation\3. Analysis &amp; Design\Design\FC22\DRR Jaime\Neiva CPI\[VAO_DINA TERCIARIOS_CF_SEC_20230117.xlsx]CF PRBDP'!</v>
      </c>
      <c r="G539" s="6" t="s">
        <v>101</v>
      </c>
      <c r="H539" s="1"/>
      <c r="I539" s="1"/>
      <c r="J539" s="1"/>
    </row>
    <row r="540" spans="1:10" x14ac:dyDescent="0.3">
      <c r="A540" s="6" t="s">
        <v>17</v>
      </c>
      <c r="B540" s="6">
        <f t="shared" si="128"/>
        <v>2029</v>
      </c>
      <c r="C540" s="1" t="s">
        <v>34</v>
      </c>
      <c r="D540" s="2" t="s">
        <v>131</v>
      </c>
      <c r="E540" s="9" t="str">
        <f t="shared" si="126"/>
        <v>PRBDP'!</v>
      </c>
      <c r="F540" s="5" t="str">
        <f t="shared" si="127"/>
        <v>C:\Users\jaime.benazar\Quorum Business Solutions\Ecopetrol Prometeo - Documents\Planning Space Implementation\3. Analysis &amp; Design\Design\FC22\DRR Jaime\Neiva CPI\[VAO_DINA TERCIARIOS_CF_SEC_20230117.xlsx]CF PRBDP'!</v>
      </c>
      <c r="G540" s="6" t="s">
        <v>101</v>
      </c>
      <c r="H540" s="1"/>
      <c r="I540" s="1"/>
      <c r="J540" s="1"/>
    </row>
    <row r="541" spans="1:10" x14ac:dyDescent="0.3">
      <c r="A541" s="6" t="s">
        <v>17</v>
      </c>
      <c r="B541" s="6">
        <f t="shared" si="128"/>
        <v>2030</v>
      </c>
      <c r="C541" s="1" t="s">
        <v>34</v>
      </c>
      <c r="D541" s="2" t="s">
        <v>131</v>
      </c>
      <c r="E541" s="9" t="str">
        <f t="shared" si="126"/>
        <v>PRBDP'!</v>
      </c>
      <c r="F541" s="5" t="str">
        <f t="shared" si="127"/>
        <v>C:\Users\jaime.benazar\Quorum Business Solutions\Ecopetrol Prometeo - Documents\Planning Space Implementation\3. Analysis &amp; Design\Design\FC22\DRR Jaime\Neiva CPI\[VAO_DINA TERCIARIOS_CF_SEC_20230117.xlsx]CF PRBDP'!</v>
      </c>
      <c r="G541" s="6" t="s">
        <v>101</v>
      </c>
      <c r="H541" s="1"/>
      <c r="I541" s="1"/>
      <c r="J541" s="1"/>
    </row>
    <row r="542" spans="1:10" x14ac:dyDescent="0.3">
      <c r="A542" s="6" t="s">
        <v>17</v>
      </c>
      <c r="B542" s="6">
        <f t="shared" si="128"/>
        <v>2031</v>
      </c>
      <c r="C542" s="1" t="s">
        <v>34</v>
      </c>
      <c r="D542" s="2" t="s">
        <v>131</v>
      </c>
      <c r="E542" s="9" t="str">
        <f t="shared" si="126"/>
        <v>PRBDP'!</v>
      </c>
      <c r="F542" s="5" t="str">
        <f t="shared" si="127"/>
        <v>C:\Users\jaime.benazar\Quorum Business Solutions\Ecopetrol Prometeo - Documents\Planning Space Implementation\3. Analysis &amp; Design\Design\FC22\DRR Jaime\Neiva CPI\[VAO_DINA TERCIARIOS_CF_SEC_20230117.xlsx]CF PRBDP'!</v>
      </c>
      <c r="G542" s="6" t="s">
        <v>101</v>
      </c>
      <c r="H542" s="1"/>
      <c r="I542" s="1"/>
      <c r="J542" s="1"/>
    </row>
    <row r="543" spans="1:10" x14ac:dyDescent="0.3">
      <c r="A543" s="6" t="s">
        <v>17</v>
      </c>
      <c r="B543" s="6">
        <f t="shared" si="128"/>
        <v>2032</v>
      </c>
      <c r="C543" s="1" t="s">
        <v>34</v>
      </c>
      <c r="D543" s="2" t="s">
        <v>131</v>
      </c>
      <c r="E543" s="9" t="str">
        <f t="shared" si="126"/>
        <v>PRBDP'!</v>
      </c>
      <c r="F543" s="5" t="str">
        <f t="shared" si="127"/>
        <v>C:\Users\jaime.benazar\Quorum Business Solutions\Ecopetrol Prometeo - Documents\Planning Space Implementation\3. Analysis &amp; Design\Design\FC22\DRR Jaime\Neiva CPI\[VAO_DINA TERCIARIOS_CF_SEC_20230117.xlsx]CF PRBDP'!</v>
      </c>
      <c r="G543" s="6" t="s">
        <v>101</v>
      </c>
      <c r="H543" s="1"/>
      <c r="I543" s="1"/>
      <c r="J543" s="1"/>
    </row>
    <row r="544" spans="1:10" x14ac:dyDescent="0.3">
      <c r="A544" s="6" t="s">
        <v>17</v>
      </c>
      <c r="B544" s="6">
        <f t="shared" si="128"/>
        <v>2033</v>
      </c>
      <c r="C544" s="1" t="s">
        <v>34</v>
      </c>
      <c r="D544" s="2" t="s">
        <v>131</v>
      </c>
      <c r="E544" s="9" t="str">
        <f t="shared" si="126"/>
        <v>PRBDP'!</v>
      </c>
      <c r="F544" s="5" t="str">
        <f t="shared" si="127"/>
        <v>C:\Users\jaime.benazar\Quorum Business Solutions\Ecopetrol Prometeo - Documents\Planning Space Implementation\3. Analysis &amp; Design\Design\FC22\DRR Jaime\Neiva CPI\[VAO_DINA TERCIARIOS_CF_SEC_20230117.xlsx]CF PRBDP'!</v>
      </c>
      <c r="G544" s="6" t="s">
        <v>101</v>
      </c>
      <c r="H544" s="1"/>
      <c r="I544" s="1"/>
      <c r="J544" s="1"/>
    </row>
    <row r="545" spans="1:10" x14ac:dyDescent="0.3">
      <c r="A545" s="6" t="s">
        <v>17</v>
      </c>
      <c r="B545" s="6">
        <f t="shared" si="128"/>
        <v>2034</v>
      </c>
      <c r="C545" s="1" t="s">
        <v>34</v>
      </c>
      <c r="D545" s="2" t="s">
        <v>131</v>
      </c>
      <c r="E545" s="9" t="str">
        <f t="shared" si="126"/>
        <v>PRBDP'!</v>
      </c>
      <c r="F545" s="5" t="str">
        <f t="shared" si="127"/>
        <v>C:\Users\jaime.benazar\Quorum Business Solutions\Ecopetrol Prometeo - Documents\Planning Space Implementation\3. Analysis &amp; Design\Design\FC22\DRR Jaime\Neiva CPI\[VAO_DINA TERCIARIOS_CF_SEC_20230117.xlsx]CF PRBDP'!</v>
      </c>
      <c r="G545" s="6" t="s">
        <v>101</v>
      </c>
      <c r="H545" s="1"/>
      <c r="I545" s="1"/>
      <c r="J545" s="1"/>
    </row>
    <row r="546" spans="1:10" x14ac:dyDescent="0.3">
      <c r="A546" s="6" t="s">
        <v>17</v>
      </c>
      <c r="B546" s="6">
        <f t="shared" si="128"/>
        <v>2035</v>
      </c>
      <c r="C546" s="1" t="s">
        <v>34</v>
      </c>
      <c r="D546" s="2" t="s">
        <v>131</v>
      </c>
      <c r="E546" s="9" t="str">
        <f t="shared" si="126"/>
        <v>PRBDP'!</v>
      </c>
      <c r="F546" s="5" t="str">
        <f t="shared" si="127"/>
        <v>C:\Users\jaime.benazar\Quorum Business Solutions\Ecopetrol Prometeo - Documents\Planning Space Implementation\3. Analysis &amp; Design\Design\FC22\DRR Jaime\Neiva CPI\[VAO_DINA TERCIARIOS_CF_SEC_20230117.xlsx]CF PRBDP'!</v>
      </c>
      <c r="G546" s="6" t="s">
        <v>101</v>
      </c>
      <c r="H546" s="1"/>
      <c r="I546" s="1"/>
      <c r="J546" s="1"/>
    </row>
    <row r="547" spans="1:10" x14ac:dyDescent="0.3">
      <c r="A547" s="6" t="s">
        <v>17</v>
      </c>
      <c r="B547" s="6">
        <f t="shared" si="128"/>
        <v>2036</v>
      </c>
      <c r="C547" s="1" t="s">
        <v>34</v>
      </c>
      <c r="D547" s="2" t="s">
        <v>131</v>
      </c>
      <c r="E547" s="9" t="str">
        <f t="shared" si="126"/>
        <v>PRBDP'!</v>
      </c>
      <c r="F547" s="5" t="str">
        <f t="shared" si="127"/>
        <v>C:\Users\jaime.benazar\Quorum Business Solutions\Ecopetrol Prometeo - Documents\Planning Space Implementation\3. Analysis &amp; Design\Design\FC22\DRR Jaime\Neiva CPI\[VAO_DINA TERCIARIOS_CF_SEC_20230117.xlsx]CF PRBDP'!</v>
      </c>
      <c r="G547" s="6" t="s">
        <v>101</v>
      </c>
      <c r="H547" s="1"/>
      <c r="I547" s="1"/>
      <c r="J547" s="1"/>
    </row>
    <row r="548" spans="1:10" x14ac:dyDescent="0.3">
      <c r="A548" s="6" t="s">
        <v>17</v>
      </c>
      <c r="B548" s="6">
        <f>+B547+1</f>
        <v>2037</v>
      </c>
      <c r="C548" s="1" t="s">
        <v>34</v>
      </c>
      <c r="D548" s="2" t="s">
        <v>131</v>
      </c>
      <c r="E548" s="9" t="str">
        <f t="shared" si="126"/>
        <v>PRBDP'!</v>
      </c>
      <c r="F548" s="5" t="str">
        <f t="shared" si="127"/>
        <v>C:\Users\jaime.benazar\Quorum Business Solutions\Ecopetrol Prometeo - Documents\Planning Space Implementation\3. Analysis &amp; Design\Design\FC22\DRR Jaime\Neiva CPI\[VAO_DINA TERCIARIOS_CF_SEC_20230117.xlsx]CF PRBDP'!</v>
      </c>
      <c r="G548" s="6" t="s">
        <v>101</v>
      </c>
      <c r="H548" s="1"/>
      <c r="I548" s="1"/>
      <c r="J548" s="1"/>
    </row>
    <row r="549" spans="1:10" x14ac:dyDescent="0.3">
      <c r="A549" s="6" t="s">
        <v>17</v>
      </c>
      <c r="B549" s="6">
        <f t="shared" ref="B549:B551" si="129">+B548+1</f>
        <v>2038</v>
      </c>
      <c r="C549" s="1" t="s">
        <v>34</v>
      </c>
      <c r="D549" s="2" t="s">
        <v>131</v>
      </c>
      <c r="E549" s="9" t="str">
        <f t="shared" si="126"/>
        <v>PRBDP'!</v>
      </c>
      <c r="F549" s="5" t="str">
        <f t="shared" si="127"/>
        <v>C:\Users\jaime.benazar\Quorum Business Solutions\Ecopetrol Prometeo - Documents\Planning Space Implementation\3. Analysis &amp; Design\Design\FC22\DRR Jaime\Neiva CPI\[VAO_DINA TERCIARIOS_CF_SEC_20230117.xlsx]CF PRBDP'!</v>
      </c>
      <c r="G549" s="6" t="s">
        <v>101</v>
      </c>
      <c r="H549" s="1"/>
      <c r="I549" s="1"/>
      <c r="J549" s="1"/>
    </row>
    <row r="550" spans="1:10" x14ac:dyDescent="0.3">
      <c r="A550" s="6" t="s">
        <v>17</v>
      </c>
      <c r="B550" s="6">
        <f t="shared" si="129"/>
        <v>2039</v>
      </c>
      <c r="C550" s="1" t="s">
        <v>34</v>
      </c>
      <c r="D550" s="2" t="s">
        <v>131</v>
      </c>
      <c r="E550" s="9" t="str">
        <f t="shared" si="126"/>
        <v>PRBDP'!</v>
      </c>
      <c r="F550" s="5" t="str">
        <f t="shared" si="127"/>
        <v>C:\Users\jaime.benazar\Quorum Business Solutions\Ecopetrol Prometeo - Documents\Planning Space Implementation\3. Analysis &amp; Design\Design\FC22\DRR Jaime\Neiva CPI\[VAO_DINA TERCIARIOS_CF_SEC_20230117.xlsx]CF PRBDP'!</v>
      </c>
      <c r="G550" s="6" t="s">
        <v>101</v>
      </c>
      <c r="H550" s="1"/>
      <c r="I550" s="1"/>
      <c r="J550" s="1"/>
    </row>
    <row r="551" spans="1:10" x14ac:dyDescent="0.3">
      <c r="A551" s="6" t="s">
        <v>17</v>
      </c>
      <c r="B551" s="6">
        <f t="shared" si="129"/>
        <v>2040</v>
      </c>
      <c r="C551" s="1" t="s">
        <v>34</v>
      </c>
      <c r="D551" s="2" t="s">
        <v>131</v>
      </c>
      <c r="E551" s="9" t="str">
        <f t="shared" si="126"/>
        <v>PRBDP'!</v>
      </c>
      <c r="F551" s="5" t="str">
        <f t="shared" si="127"/>
        <v>C:\Users\jaime.benazar\Quorum Business Solutions\Ecopetrol Prometeo - Documents\Planning Space Implementation\3. Analysis &amp; Design\Design\FC22\DRR Jaime\Neiva CPI\[VAO_DINA TERCIARIOS_CF_SEC_20230117.xlsx]CF PRBDP'!</v>
      </c>
      <c r="G551" s="6" t="s">
        <v>101</v>
      </c>
      <c r="H551" s="1"/>
      <c r="I551" s="1"/>
      <c r="J551" s="1"/>
    </row>
    <row r="552" spans="1:10" x14ac:dyDescent="0.3">
      <c r="A552" s="6" t="s">
        <v>17</v>
      </c>
      <c r="B552" s="6">
        <f>+B551+1</f>
        <v>2041</v>
      </c>
      <c r="C552" s="1" t="s">
        <v>34</v>
      </c>
      <c r="D552" s="2" t="s">
        <v>131</v>
      </c>
      <c r="E552" s="9" t="str">
        <f t="shared" si="126"/>
        <v>PRBDP'!</v>
      </c>
      <c r="F552" s="5" t="str">
        <f t="shared" si="127"/>
        <v>C:\Users\jaime.benazar\Quorum Business Solutions\Ecopetrol Prometeo - Documents\Planning Space Implementation\3. Analysis &amp; Design\Design\FC22\DRR Jaime\Neiva CPI\[VAO_DINA TERCIARIOS_CF_SEC_20230117.xlsx]CF PRBDP'!</v>
      </c>
      <c r="G552" s="6" t="s">
        <v>101</v>
      </c>
      <c r="H552" s="1"/>
      <c r="I552" s="1"/>
      <c r="J552" s="1"/>
    </row>
    <row r="553" spans="1:10" x14ac:dyDescent="0.3">
      <c r="A553" s="6" t="s">
        <v>17</v>
      </c>
      <c r="B553" s="6">
        <f t="shared" ref="B553:B554" si="130">+B552+1</f>
        <v>2042</v>
      </c>
      <c r="C553" s="1" t="s">
        <v>34</v>
      </c>
      <c r="D553" s="2" t="s">
        <v>131</v>
      </c>
      <c r="E553" s="9" t="str">
        <f t="shared" si="126"/>
        <v>PRBDP'!</v>
      </c>
      <c r="F553" s="5" t="str">
        <f t="shared" si="127"/>
        <v>C:\Users\jaime.benazar\Quorum Business Solutions\Ecopetrol Prometeo - Documents\Planning Space Implementation\3. Analysis &amp; Design\Design\FC22\DRR Jaime\Neiva CPI\[VAO_DINA TERCIARIOS_CF_SEC_20230117.xlsx]CF PRBDP'!</v>
      </c>
      <c r="G553" s="6" t="s">
        <v>101</v>
      </c>
      <c r="H553" s="1"/>
      <c r="I553" s="1"/>
      <c r="J553" s="1"/>
    </row>
    <row r="554" spans="1:10" x14ac:dyDescent="0.3">
      <c r="A554" s="6" t="s">
        <v>17</v>
      </c>
      <c r="B554" s="6">
        <f t="shared" si="130"/>
        <v>2043</v>
      </c>
      <c r="C554" s="1" t="s">
        <v>34</v>
      </c>
      <c r="D554" s="2" t="s">
        <v>131</v>
      </c>
      <c r="E554" s="9" t="str">
        <f t="shared" si="126"/>
        <v>PRBDP'!</v>
      </c>
      <c r="F554" s="5" t="str">
        <f t="shared" si="127"/>
        <v>C:\Users\jaime.benazar\Quorum Business Solutions\Ecopetrol Prometeo - Documents\Planning Space Implementation\3. Analysis &amp; Design\Design\FC22\DRR Jaime\Neiva CPI\[VAO_DINA TERCIARIOS_CF_SEC_20230117.xlsx]CF PRBDP'!</v>
      </c>
      <c r="G554" s="6" t="s">
        <v>101</v>
      </c>
      <c r="H554" s="1"/>
      <c r="I554" s="1"/>
      <c r="J554" s="1"/>
    </row>
    <row r="555" spans="1:10" x14ac:dyDescent="0.3">
      <c r="A555" s="6" t="s">
        <v>17</v>
      </c>
      <c r="B555" s="6">
        <f>+B554+1</f>
        <v>2044</v>
      </c>
      <c r="C555" s="1" t="s">
        <v>34</v>
      </c>
      <c r="D555" s="2" t="s">
        <v>131</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Jaime\Neiva CPI\[VAO_DINA TERCIARIOS_CF_SEC_20230117.xlsx]CF PRBDP'!</v>
      </c>
      <c r="G555" s="6" t="s">
        <v>101</v>
      </c>
      <c r="H555" s="1"/>
      <c r="I555" s="1"/>
      <c r="J555" s="1"/>
    </row>
    <row r="556" spans="1:10" x14ac:dyDescent="0.3">
      <c r="A556" s="6" t="s">
        <v>17</v>
      </c>
      <c r="B556" s="6">
        <f t="shared" ref="B556:B570" si="133">+B555+1</f>
        <v>2045</v>
      </c>
      <c r="C556" s="1" t="s">
        <v>34</v>
      </c>
      <c r="D556" s="2" t="s">
        <v>131</v>
      </c>
      <c r="E556" s="9" t="str">
        <f t="shared" si="131"/>
        <v>PRBDP'!</v>
      </c>
      <c r="F556" s="5" t="str">
        <f t="shared" si="132"/>
        <v>C:\Users\jaime.benazar\Quorum Business Solutions\Ecopetrol Prometeo - Documents\Planning Space Implementation\3. Analysis &amp; Design\Design\FC22\DRR Jaime\Neiva CPI\[VAO_DINA TERCIARIOS_CF_SEC_20230117.xlsx]CF PRBDP'!</v>
      </c>
      <c r="G556" s="6" t="s">
        <v>101</v>
      </c>
      <c r="H556" s="1"/>
      <c r="I556" s="1"/>
      <c r="J556" s="1"/>
    </row>
    <row r="557" spans="1:10" x14ac:dyDescent="0.3">
      <c r="A557" s="6" t="s">
        <v>17</v>
      </c>
      <c r="B557" s="6">
        <f t="shared" si="133"/>
        <v>2046</v>
      </c>
      <c r="C557" s="1" t="s">
        <v>34</v>
      </c>
      <c r="D557" s="2" t="s">
        <v>131</v>
      </c>
      <c r="E557" s="9" t="str">
        <f t="shared" si="131"/>
        <v>PRBDP'!</v>
      </c>
      <c r="F557" s="5" t="str">
        <f t="shared" si="132"/>
        <v>C:\Users\jaime.benazar\Quorum Business Solutions\Ecopetrol Prometeo - Documents\Planning Space Implementation\3. Analysis &amp; Design\Design\FC22\DRR Jaime\Neiva CPI\[VAO_DINA TERCIARIOS_CF_SEC_20230117.xlsx]CF PRBDP'!</v>
      </c>
      <c r="G557" s="6" t="s">
        <v>101</v>
      </c>
      <c r="H557" s="1"/>
      <c r="I557" s="1"/>
      <c r="J557" s="1"/>
    </row>
    <row r="558" spans="1:10" x14ac:dyDescent="0.3">
      <c r="A558" s="6" t="s">
        <v>17</v>
      </c>
      <c r="B558" s="6">
        <f t="shared" si="133"/>
        <v>2047</v>
      </c>
      <c r="C558" s="1" t="s">
        <v>34</v>
      </c>
      <c r="D558" s="2" t="s">
        <v>131</v>
      </c>
      <c r="E558" s="9" t="str">
        <f t="shared" si="131"/>
        <v>PRBDP'!</v>
      </c>
      <c r="F558" s="5" t="str">
        <f t="shared" si="132"/>
        <v>C:\Users\jaime.benazar\Quorum Business Solutions\Ecopetrol Prometeo - Documents\Planning Space Implementation\3. Analysis &amp; Design\Design\FC22\DRR Jaime\Neiva CPI\[VAO_DINA TERCIARIOS_CF_SEC_20230117.xlsx]CF PRBDP'!</v>
      </c>
      <c r="G558" s="6" t="s">
        <v>101</v>
      </c>
      <c r="H558" s="1"/>
      <c r="I558" s="1"/>
      <c r="J558" s="1"/>
    </row>
    <row r="559" spans="1:10" x14ac:dyDescent="0.3">
      <c r="A559" s="6" t="s">
        <v>17</v>
      </c>
      <c r="B559" s="6">
        <f t="shared" si="133"/>
        <v>2048</v>
      </c>
      <c r="C559" s="1" t="s">
        <v>34</v>
      </c>
      <c r="D559" s="2" t="s">
        <v>131</v>
      </c>
      <c r="E559" s="9" t="str">
        <f t="shared" si="131"/>
        <v>PRBDP'!</v>
      </c>
      <c r="F559" s="5" t="str">
        <f t="shared" si="132"/>
        <v>C:\Users\jaime.benazar\Quorum Business Solutions\Ecopetrol Prometeo - Documents\Planning Space Implementation\3. Analysis &amp; Design\Design\FC22\DRR Jaime\Neiva CPI\[VAO_DINA TERCIARIOS_CF_SEC_20230117.xlsx]CF PRBDP'!</v>
      </c>
      <c r="G559" s="6" t="s">
        <v>101</v>
      </c>
      <c r="H559" s="1"/>
      <c r="I559" s="1"/>
      <c r="J559" s="1"/>
    </row>
    <row r="560" spans="1:10" x14ac:dyDescent="0.3">
      <c r="A560" s="6" t="s">
        <v>17</v>
      </c>
      <c r="B560" s="6">
        <f t="shared" si="133"/>
        <v>2049</v>
      </c>
      <c r="C560" s="1" t="s">
        <v>34</v>
      </c>
      <c r="D560" s="2" t="s">
        <v>131</v>
      </c>
      <c r="E560" s="9" t="str">
        <f t="shared" si="131"/>
        <v>PRBDP'!</v>
      </c>
      <c r="F560" s="5" t="str">
        <f t="shared" si="132"/>
        <v>C:\Users\jaime.benazar\Quorum Business Solutions\Ecopetrol Prometeo - Documents\Planning Space Implementation\3. Analysis &amp; Design\Design\FC22\DRR Jaime\Neiva CPI\[VAO_DINA TERCIARIOS_CF_SEC_20230117.xlsx]CF PRBDP'!</v>
      </c>
      <c r="G560" s="6" t="s">
        <v>101</v>
      </c>
      <c r="H560" s="1"/>
      <c r="I560" s="1"/>
      <c r="J560" s="1"/>
    </row>
    <row r="561" spans="1:10" x14ac:dyDescent="0.3">
      <c r="A561" s="6" t="s">
        <v>17</v>
      </c>
      <c r="B561" s="6">
        <f t="shared" si="133"/>
        <v>2050</v>
      </c>
      <c r="C561" s="1" t="s">
        <v>34</v>
      </c>
      <c r="D561" s="2" t="s">
        <v>131</v>
      </c>
      <c r="E561" s="9" t="str">
        <f t="shared" si="131"/>
        <v>PRBDP'!</v>
      </c>
      <c r="F561" s="5" t="str">
        <f t="shared" si="132"/>
        <v>C:\Users\jaime.benazar\Quorum Business Solutions\Ecopetrol Prometeo - Documents\Planning Space Implementation\3. Analysis &amp; Design\Design\FC22\DRR Jaime\Neiva CPI\[VAO_DINA TERCIARIOS_CF_SEC_20230117.xlsx]CF PRBDP'!</v>
      </c>
      <c r="G561" s="6" t="s">
        <v>101</v>
      </c>
      <c r="H561" s="1"/>
      <c r="I561" s="1"/>
      <c r="J561" s="1"/>
    </row>
    <row r="562" spans="1:10" x14ac:dyDescent="0.3">
      <c r="A562" s="6" t="s">
        <v>17</v>
      </c>
      <c r="B562" s="6">
        <f t="shared" si="133"/>
        <v>2051</v>
      </c>
      <c r="C562" s="1" t="s">
        <v>34</v>
      </c>
      <c r="D562" s="2" t="s">
        <v>131</v>
      </c>
      <c r="E562" s="9" t="str">
        <f t="shared" si="131"/>
        <v>PRBDP'!</v>
      </c>
      <c r="F562" s="5" t="str">
        <f t="shared" si="132"/>
        <v>C:\Users\jaime.benazar\Quorum Business Solutions\Ecopetrol Prometeo - Documents\Planning Space Implementation\3. Analysis &amp; Design\Design\FC22\DRR Jaime\Neiva CPI\[VAO_DINA TERCIARIOS_CF_SEC_20230117.xlsx]CF PRBDP'!</v>
      </c>
      <c r="G562" s="6" t="s">
        <v>101</v>
      </c>
      <c r="H562" s="1"/>
      <c r="I562" s="1"/>
      <c r="J562" s="1"/>
    </row>
    <row r="563" spans="1:10" x14ac:dyDescent="0.3">
      <c r="A563" s="6" t="s">
        <v>17</v>
      </c>
      <c r="B563" s="6">
        <f t="shared" si="133"/>
        <v>2052</v>
      </c>
      <c r="C563" s="1" t="s">
        <v>34</v>
      </c>
      <c r="D563" s="2" t="s">
        <v>131</v>
      </c>
      <c r="E563" s="9" t="str">
        <f t="shared" si="131"/>
        <v>PRBDP'!</v>
      </c>
      <c r="F563" s="5" t="str">
        <f t="shared" si="132"/>
        <v>C:\Users\jaime.benazar\Quorum Business Solutions\Ecopetrol Prometeo - Documents\Planning Space Implementation\3. Analysis &amp; Design\Design\FC22\DRR Jaime\Neiva CPI\[VAO_DINA TERCIARIOS_CF_SEC_20230117.xlsx]CF PRBDP'!</v>
      </c>
      <c r="G563" s="6" t="s">
        <v>101</v>
      </c>
      <c r="H563" s="1"/>
      <c r="I563" s="1"/>
      <c r="J563" s="1"/>
    </row>
    <row r="564" spans="1:10" x14ac:dyDescent="0.3">
      <c r="A564" s="6" t="s">
        <v>17</v>
      </c>
      <c r="B564" s="6">
        <f t="shared" si="133"/>
        <v>2053</v>
      </c>
      <c r="C564" s="1" t="s">
        <v>34</v>
      </c>
      <c r="D564" s="2" t="s">
        <v>131</v>
      </c>
      <c r="E564" s="9" t="str">
        <f t="shared" si="131"/>
        <v>PRBDP'!</v>
      </c>
      <c r="F564" s="5" t="str">
        <f t="shared" si="132"/>
        <v>C:\Users\jaime.benazar\Quorum Business Solutions\Ecopetrol Prometeo - Documents\Planning Space Implementation\3. Analysis &amp; Design\Design\FC22\DRR Jaime\Neiva CPI\[VAO_DINA TERCIARIOS_CF_SEC_20230117.xlsx]CF PRBDP'!</v>
      </c>
      <c r="G564" s="6" t="s">
        <v>101</v>
      </c>
      <c r="H564" s="1"/>
      <c r="I564" s="1"/>
      <c r="J564" s="1"/>
    </row>
    <row r="565" spans="1:10" x14ac:dyDescent="0.3">
      <c r="A565" s="6" t="s">
        <v>17</v>
      </c>
      <c r="B565" s="6">
        <f t="shared" si="133"/>
        <v>2054</v>
      </c>
      <c r="C565" s="1" t="s">
        <v>34</v>
      </c>
      <c r="D565" s="2" t="s">
        <v>131</v>
      </c>
      <c r="E565" s="9" t="str">
        <f t="shared" si="131"/>
        <v>PRBDP'!</v>
      </c>
      <c r="F565" s="5" t="str">
        <f t="shared" si="132"/>
        <v>C:\Users\jaime.benazar\Quorum Business Solutions\Ecopetrol Prometeo - Documents\Planning Space Implementation\3. Analysis &amp; Design\Design\FC22\DRR Jaime\Neiva CPI\[VAO_DINA TERCIARIOS_CF_SEC_20230117.xlsx]CF PRBDP'!</v>
      </c>
      <c r="G565" s="6" t="s">
        <v>101</v>
      </c>
      <c r="H565" s="1"/>
      <c r="I565" s="1"/>
      <c r="J565" s="1"/>
    </row>
    <row r="566" spans="1:10" x14ac:dyDescent="0.3">
      <c r="A566" s="6" t="s">
        <v>17</v>
      </c>
      <c r="B566" s="6">
        <f t="shared" si="133"/>
        <v>2055</v>
      </c>
      <c r="C566" s="1" t="s">
        <v>34</v>
      </c>
      <c r="D566" s="2" t="s">
        <v>131</v>
      </c>
      <c r="E566" s="9" t="str">
        <f t="shared" si="131"/>
        <v>PRBDP'!</v>
      </c>
      <c r="F566" s="5" t="str">
        <f t="shared" si="132"/>
        <v>C:\Users\jaime.benazar\Quorum Business Solutions\Ecopetrol Prometeo - Documents\Planning Space Implementation\3. Analysis &amp; Design\Design\FC22\DRR Jaime\Neiva CPI\[VAO_DINA TERCIARIOS_CF_SEC_20230117.xlsx]CF PRBDP'!</v>
      </c>
      <c r="G566" s="6" t="s">
        <v>101</v>
      </c>
      <c r="H566" s="1"/>
      <c r="I566" s="1"/>
      <c r="J566" s="1"/>
    </row>
    <row r="567" spans="1:10" x14ac:dyDescent="0.3">
      <c r="A567" s="6" t="s">
        <v>17</v>
      </c>
      <c r="B567" s="6">
        <f t="shared" si="133"/>
        <v>2056</v>
      </c>
      <c r="C567" s="1" t="s">
        <v>34</v>
      </c>
      <c r="D567" s="2" t="s">
        <v>131</v>
      </c>
      <c r="E567" s="9" t="str">
        <f t="shared" si="131"/>
        <v>PRBDP'!</v>
      </c>
      <c r="F567" s="5" t="str">
        <f t="shared" si="132"/>
        <v>C:\Users\jaime.benazar\Quorum Business Solutions\Ecopetrol Prometeo - Documents\Planning Space Implementation\3. Analysis &amp; Design\Design\FC22\DRR Jaime\Neiva CPI\[VAO_DINA TERCIARIOS_CF_SEC_20230117.xlsx]CF PRBDP'!</v>
      </c>
      <c r="G567" s="6" t="s">
        <v>101</v>
      </c>
      <c r="H567" s="1"/>
      <c r="I567" s="1"/>
      <c r="J567" s="1"/>
    </row>
    <row r="568" spans="1:10" x14ac:dyDescent="0.3">
      <c r="A568" s="6" t="s">
        <v>17</v>
      </c>
      <c r="B568" s="6">
        <f t="shared" si="133"/>
        <v>2057</v>
      </c>
      <c r="C568" s="1" t="s">
        <v>34</v>
      </c>
      <c r="D568" s="2" t="s">
        <v>131</v>
      </c>
      <c r="E568" s="9" t="str">
        <f t="shared" si="131"/>
        <v>PRBDP'!</v>
      </c>
      <c r="F568" s="5" t="str">
        <f t="shared" si="132"/>
        <v>C:\Users\jaime.benazar\Quorum Business Solutions\Ecopetrol Prometeo - Documents\Planning Space Implementation\3. Analysis &amp; Design\Design\FC22\DRR Jaime\Neiva CPI\[VAO_DINA TERCIARIOS_CF_SEC_20230117.xlsx]CF PRBDP'!</v>
      </c>
      <c r="G568" s="6" t="s">
        <v>101</v>
      </c>
      <c r="H568" s="1"/>
      <c r="I568" s="1"/>
      <c r="J568" s="1"/>
    </row>
    <row r="569" spans="1:10" x14ac:dyDescent="0.3">
      <c r="A569" s="6" t="s">
        <v>17</v>
      </c>
      <c r="B569" s="6">
        <f t="shared" si="133"/>
        <v>2058</v>
      </c>
      <c r="C569" s="1" t="s">
        <v>34</v>
      </c>
      <c r="D569" s="2" t="s">
        <v>131</v>
      </c>
      <c r="E569" s="9" t="str">
        <f t="shared" si="131"/>
        <v>PRBDP'!</v>
      </c>
      <c r="F569" s="5" t="str">
        <f t="shared" si="132"/>
        <v>C:\Users\jaime.benazar\Quorum Business Solutions\Ecopetrol Prometeo - Documents\Planning Space Implementation\3. Analysis &amp; Design\Design\FC22\DRR Jaime\Neiva CPI\[VAO_DINA TERCIARIOS_CF_SEC_20230117.xlsx]CF PRBDP'!</v>
      </c>
      <c r="G569" s="6" t="s">
        <v>101</v>
      </c>
      <c r="H569" s="1"/>
      <c r="I569" s="1"/>
      <c r="J569" s="1"/>
    </row>
    <row r="570" spans="1:10" x14ac:dyDescent="0.3">
      <c r="A570" s="6" t="s">
        <v>17</v>
      </c>
      <c r="B570" s="6">
        <f t="shared" si="133"/>
        <v>2059</v>
      </c>
      <c r="C570" s="1" t="s">
        <v>34</v>
      </c>
      <c r="D570" s="2" t="s">
        <v>131</v>
      </c>
      <c r="E570" s="9" t="str">
        <f t="shared" si="131"/>
        <v>PRBDP'!</v>
      </c>
      <c r="F570" s="5" t="str">
        <f t="shared" si="132"/>
        <v>C:\Users\jaime.benazar\Quorum Business Solutions\Ecopetrol Prometeo - Documents\Planning Space Implementation\3. Analysis &amp; Design\Design\FC22\DRR Jaime\Neiva CPI\[VAO_DINA TERCIARIOS_CF_SEC_20230117.xlsx]CF PRBDP'!</v>
      </c>
      <c r="G570" s="6" t="s">
        <v>101</v>
      </c>
      <c r="H570" s="1"/>
      <c r="I570" s="1"/>
      <c r="J570" s="1"/>
    </row>
    <row r="571" spans="1:10" x14ac:dyDescent="0.3">
      <c r="A571" s="6" t="s">
        <v>26</v>
      </c>
      <c r="B571" s="6"/>
      <c r="C571" s="1" t="s">
        <v>34</v>
      </c>
      <c r="D571" s="2"/>
      <c r="E571" s="9"/>
      <c r="F571" s="2"/>
      <c r="G571" s="6"/>
      <c r="H571" s="1"/>
      <c r="I571" s="1"/>
      <c r="J571" s="1"/>
    </row>
    <row r="572" spans="1:10" x14ac:dyDescent="0.3">
      <c r="A572" s="6" t="s">
        <v>18</v>
      </c>
      <c r="B572" s="6">
        <v>2023</v>
      </c>
      <c r="C572" s="1" t="s">
        <v>34</v>
      </c>
      <c r="D572" s="2" t="s">
        <v>131</v>
      </c>
      <c r="E572" s="9" t="str">
        <f t="shared" ref="E572:E592" si="134">_xlfn.CONCAT(A572,"'!")</f>
        <v>PRBNP'!</v>
      </c>
      <c r="F572" s="5" t="str">
        <f t="shared" si="127"/>
        <v>C:\Users\jaime.benazar\Quorum Business Solutions\Ecopetrol Prometeo - Documents\Planning Space Implementation\3. Analysis &amp; Design\Design\FC22\DRR Jaime\Neiva CPI\[VAO_DINA TERCIARIOS_CF_SEC_20230117.xlsx]CF PRBNP'!</v>
      </c>
      <c r="G572" s="6" t="s">
        <v>101</v>
      </c>
      <c r="H572" s="1"/>
      <c r="I572" s="1"/>
      <c r="J572" s="1"/>
    </row>
    <row r="573" spans="1:10" x14ac:dyDescent="0.3">
      <c r="A573" s="6" t="s">
        <v>18</v>
      </c>
      <c r="B573" s="6">
        <f>+B572+1</f>
        <v>2024</v>
      </c>
      <c r="C573" s="1" t="s">
        <v>34</v>
      </c>
      <c r="D573" s="2" t="s">
        <v>131</v>
      </c>
      <c r="E573" s="9" t="str">
        <f t="shared" si="134"/>
        <v>PRBNP'!</v>
      </c>
      <c r="F573" s="5" t="str">
        <f t="shared" si="127"/>
        <v>C:\Users\jaime.benazar\Quorum Business Solutions\Ecopetrol Prometeo - Documents\Planning Space Implementation\3. Analysis &amp; Design\Design\FC22\DRR Jaime\Neiva CPI\[VAO_DINA TERCIARIOS_CF_SEC_20230117.xlsx]CF PRBNP'!</v>
      </c>
      <c r="G573" s="6" t="s">
        <v>101</v>
      </c>
      <c r="H573" s="1"/>
      <c r="I573" s="1"/>
      <c r="J573" s="1"/>
    </row>
    <row r="574" spans="1:10" x14ac:dyDescent="0.3">
      <c r="A574" s="6" t="s">
        <v>18</v>
      </c>
      <c r="B574" s="6">
        <f t="shared" ref="B574:B585" si="135">+B573+1</f>
        <v>2025</v>
      </c>
      <c r="C574" s="1" t="s">
        <v>34</v>
      </c>
      <c r="D574" s="2" t="s">
        <v>131</v>
      </c>
      <c r="E574" s="9" t="str">
        <f t="shared" si="134"/>
        <v>PRBNP'!</v>
      </c>
      <c r="F574" s="5" t="str">
        <f t="shared" si="127"/>
        <v>C:\Users\jaime.benazar\Quorum Business Solutions\Ecopetrol Prometeo - Documents\Planning Space Implementation\3. Analysis &amp; Design\Design\FC22\DRR Jaime\Neiva CPI\[VAO_DINA TERCIARIOS_CF_SEC_20230117.xlsx]CF PRBNP'!</v>
      </c>
      <c r="G574" s="6" t="s">
        <v>101</v>
      </c>
      <c r="H574" s="1"/>
      <c r="I574" s="1"/>
      <c r="J574" s="1"/>
    </row>
    <row r="575" spans="1:10" x14ac:dyDescent="0.3">
      <c r="A575" s="6" t="s">
        <v>18</v>
      </c>
      <c r="B575" s="6">
        <f t="shared" si="135"/>
        <v>2026</v>
      </c>
      <c r="C575" s="1" t="s">
        <v>34</v>
      </c>
      <c r="D575" s="2" t="s">
        <v>131</v>
      </c>
      <c r="E575" s="9" t="str">
        <f t="shared" si="134"/>
        <v>PRBNP'!</v>
      </c>
      <c r="F575" s="5" t="str">
        <f t="shared" si="127"/>
        <v>C:\Users\jaime.benazar\Quorum Business Solutions\Ecopetrol Prometeo - Documents\Planning Space Implementation\3. Analysis &amp; Design\Design\FC22\DRR Jaime\Neiva CPI\[VAO_DINA TERCIARIOS_CF_SEC_20230117.xlsx]CF PRBNP'!</v>
      </c>
      <c r="G575" s="6" t="s">
        <v>101</v>
      </c>
      <c r="H575" s="1"/>
      <c r="I575" s="1"/>
      <c r="J575" s="1"/>
    </row>
    <row r="576" spans="1:10" x14ac:dyDescent="0.3">
      <c r="A576" s="6" t="s">
        <v>18</v>
      </c>
      <c r="B576" s="6">
        <f t="shared" si="135"/>
        <v>2027</v>
      </c>
      <c r="C576" s="1" t="s">
        <v>34</v>
      </c>
      <c r="D576" s="2" t="s">
        <v>131</v>
      </c>
      <c r="E576" s="9" t="str">
        <f t="shared" si="134"/>
        <v>PRBNP'!</v>
      </c>
      <c r="F576" s="5" t="str">
        <f t="shared" si="127"/>
        <v>C:\Users\jaime.benazar\Quorum Business Solutions\Ecopetrol Prometeo - Documents\Planning Space Implementation\3. Analysis &amp; Design\Design\FC22\DRR Jaime\Neiva CPI\[VAO_DINA TERCIARIOS_CF_SEC_20230117.xlsx]CF PRBNP'!</v>
      </c>
      <c r="G576" s="6" t="s">
        <v>101</v>
      </c>
      <c r="H576" s="1"/>
      <c r="I576" s="1"/>
      <c r="J576" s="1"/>
    </row>
    <row r="577" spans="1:10" x14ac:dyDescent="0.3">
      <c r="A577" s="6" t="s">
        <v>18</v>
      </c>
      <c r="B577" s="6">
        <f t="shared" si="135"/>
        <v>2028</v>
      </c>
      <c r="C577" s="1" t="s">
        <v>34</v>
      </c>
      <c r="D577" s="2" t="s">
        <v>131</v>
      </c>
      <c r="E577" s="9" t="str">
        <f t="shared" si="134"/>
        <v>PRBNP'!</v>
      </c>
      <c r="F577" s="5" t="str">
        <f t="shared" si="127"/>
        <v>C:\Users\jaime.benazar\Quorum Business Solutions\Ecopetrol Prometeo - Documents\Planning Space Implementation\3. Analysis &amp; Design\Design\FC22\DRR Jaime\Neiva CPI\[VAO_DINA TERCIARIOS_CF_SEC_20230117.xlsx]CF PRBNP'!</v>
      </c>
      <c r="G577" s="6" t="s">
        <v>101</v>
      </c>
      <c r="H577" s="1"/>
      <c r="I577" s="1"/>
      <c r="J577" s="1"/>
    </row>
    <row r="578" spans="1:10" x14ac:dyDescent="0.3">
      <c r="A578" s="6" t="s">
        <v>18</v>
      </c>
      <c r="B578" s="6">
        <f t="shared" si="135"/>
        <v>2029</v>
      </c>
      <c r="C578" s="1" t="s">
        <v>34</v>
      </c>
      <c r="D578" s="2" t="s">
        <v>131</v>
      </c>
      <c r="E578" s="9" t="str">
        <f t="shared" si="134"/>
        <v>PRBNP'!</v>
      </c>
      <c r="F578" s="5" t="str">
        <f t="shared" si="127"/>
        <v>C:\Users\jaime.benazar\Quorum Business Solutions\Ecopetrol Prometeo - Documents\Planning Space Implementation\3. Analysis &amp; Design\Design\FC22\DRR Jaime\Neiva CPI\[VAO_DINA TERCIARIOS_CF_SEC_20230117.xlsx]CF PRBNP'!</v>
      </c>
      <c r="G578" s="6" t="s">
        <v>101</v>
      </c>
      <c r="H578" s="1"/>
      <c r="I578" s="1"/>
      <c r="J578" s="1"/>
    </row>
    <row r="579" spans="1:10" x14ac:dyDescent="0.3">
      <c r="A579" s="6" t="s">
        <v>18</v>
      </c>
      <c r="B579" s="6">
        <f t="shared" si="135"/>
        <v>2030</v>
      </c>
      <c r="C579" s="1" t="s">
        <v>34</v>
      </c>
      <c r="D579" s="2" t="s">
        <v>131</v>
      </c>
      <c r="E579" s="9" t="str">
        <f t="shared" si="134"/>
        <v>PRBNP'!</v>
      </c>
      <c r="F579" s="5" t="str">
        <f t="shared" si="127"/>
        <v>C:\Users\jaime.benazar\Quorum Business Solutions\Ecopetrol Prometeo - Documents\Planning Space Implementation\3. Analysis &amp; Design\Design\FC22\DRR Jaime\Neiva CPI\[VAO_DINA TERCIARIOS_CF_SEC_20230117.xlsx]CF PRBNP'!</v>
      </c>
      <c r="G579" s="6" t="s">
        <v>101</v>
      </c>
      <c r="H579" s="1"/>
      <c r="I579" s="1"/>
      <c r="J579" s="1"/>
    </row>
    <row r="580" spans="1:10" x14ac:dyDescent="0.3">
      <c r="A580" s="6" t="s">
        <v>18</v>
      </c>
      <c r="B580" s="6">
        <f t="shared" si="135"/>
        <v>2031</v>
      </c>
      <c r="C580" s="1" t="s">
        <v>34</v>
      </c>
      <c r="D580" s="2" t="s">
        <v>131</v>
      </c>
      <c r="E580" s="9" t="str">
        <f t="shared" si="134"/>
        <v>PRBNP'!</v>
      </c>
      <c r="F580" s="5" t="str">
        <f t="shared" si="127"/>
        <v>C:\Users\jaime.benazar\Quorum Business Solutions\Ecopetrol Prometeo - Documents\Planning Space Implementation\3. Analysis &amp; Design\Design\FC22\DRR Jaime\Neiva CPI\[VAO_DINA TERCIARIOS_CF_SEC_20230117.xlsx]CF PRBNP'!</v>
      </c>
      <c r="G580" s="6" t="s">
        <v>101</v>
      </c>
      <c r="H580" s="1"/>
      <c r="I580" s="1"/>
      <c r="J580" s="1"/>
    </row>
    <row r="581" spans="1:10" x14ac:dyDescent="0.3">
      <c r="A581" s="6" t="s">
        <v>18</v>
      </c>
      <c r="B581" s="6">
        <f t="shared" si="135"/>
        <v>2032</v>
      </c>
      <c r="C581" s="1" t="s">
        <v>34</v>
      </c>
      <c r="D581" s="2" t="s">
        <v>131</v>
      </c>
      <c r="E581" s="9" t="str">
        <f t="shared" si="134"/>
        <v>PRBNP'!</v>
      </c>
      <c r="F581" s="5" t="str">
        <f t="shared" si="127"/>
        <v>C:\Users\jaime.benazar\Quorum Business Solutions\Ecopetrol Prometeo - Documents\Planning Space Implementation\3. Analysis &amp; Design\Design\FC22\DRR Jaime\Neiva CPI\[VAO_DINA TERCIARIOS_CF_SEC_20230117.xlsx]CF PRBNP'!</v>
      </c>
      <c r="G581" s="6" t="s">
        <v>101</v>
      </c>
      <c r="H581" s="1"/>
      <c r="I581" s="1"/>
      <c r="J581" s="1"/>
    </row>
    <row r="582" spans="1:10" x14ac:dyDescent="0.3">
      <c r="A582" s="6" t="s">
        <v>18</v>
      </c>
      <c r="B582" s="6">
        <f t="shared" si="135"/>
        <v>2033</v>
      </c>
      <c r="C582" s="1" t="s">
        <v>34</v>
      </c>
      <c r="D582" s="2" t="s">
        <v>131</v>
      </c>
      <c r="E582" s="9" t="str">
        <f t="shared" si="134"/>
        <v>PRBNP'!</v>
      </c>
      <c r="F582" s="5" t="str">
        <f t="shared" si="127"/>
        <v>C:\Users\jaime.benazar\Quorum Business Solutions\Ecopetrol Prometeo - Documents\Planning Space Implementation\3. Analysis &amp; Design\Design\FC22\DRR Jaime\Neiva CPI\[VAO_DINA TERCIARIOS_CF_SEC_20230117.xlsx]CF PRBNP'!</v>
      </c>
      <c r="G582" s="6" t="s">
        <v>101</v>
      </c>
      <c r="H582" s="1"/>
      <c r="I582" s="1"/>
      <c r="J582" s="1"/>
    </row>
    <row r="583" spans="1:10" x14ac:dyDescent="0.3">
      <c r="A583" s="6" t="s">
        <v>18</v>
      </c>
      <c r="B583" s="6">
        <f t="shared" si="135"/>
        <v>2034</v>
      </c>
      <c r="C583" s="1" t="s">
        <v>34</v>
      </c>
      <c r="D583" s="2" t="s">
        <v>131</v>
      </c>
      <c r="E583" s="9" t="str">
        <f t="shared" si="134"/>
        <v>PRBNP'!</v>
      </c>
      <c r="F583" s="5" t="str">
        <f t="shared" si="127"/>
        <v>C:\Users\jaime.benazar\Quorum Business Solutions\Ecopetrol Prometeo - Documents\Planning Space Implementation\3. Analysis &amp; Design\Design\FC22\DRR Jaime\Neiva CPI\[VAO_DINA TERCIARIOS_CF_SEC_20230117.xlsx]CF PRBNP'!</v>
      </c>
      <c r="G583" s="6" t="s">
        <v>101</v>
      </c>
      <c r="H583" s="1"/>
      <c r="I583" s="1"/>
      <c r="J583" s="1"/>
    </row>
    <row r="584" spans="1:10" x14ac:dyDescent="0.3">
      <c r="A584" s="6" t="s">
        <v>18</v>
      </c>
      <c r="B584" s="6">
        <f t="shared" si="135"/>
        <v>2035</v>
      </c>
      <c r="C584" s="1" t="s">
        <v>34</v>
      </c>
      <c r="D584" s="2" t="s">
        <v>131</v>
      </c>
      <c r="E584" s="9" t="str">
        <f t="shared" si="134"/>
        <v>PRBNP'!</v>
      </c>
      <c r="F584" s="5" t="str">
        <f t="shared" si="127"/>
        <v>C:\Users\jaime.benazar\Quorum Business Solutions\Ecopetrol Prometeo - Documents\Planning Space Implementation\3. Analysis &amp; Design\Design\FC22\DRR Jaime\Neiva CPI\[VAO_DINA TERCIARIOS_CF_SEC_20230117.xlsx]CF PRBNP'!</v>
      </c>
      <c r="G584" s="6" t="s">
        <v>101</v>
      </c>
      <c r="H584" s="1"/>
      <c r="I584" s="1"/>
      <c r="J584" s="1"/>
    </row>
    <row r="585" spans="1:10" x14ac:dyDescent="0.3">
      <c r="A585" s="6" t="s">
        <v>18</v>
      </c>
      <c r="B585" s="6">
        <f t="shared" si="135"/>
        <v>2036</v>
      </c>
      <c r="C585" s="1" t="s">
        <v>34</v>
      </c>
      <c r="D585" s="2" t="s">
        <v>131</v>
      </c>
      <c r="E585" s="9" t="str">
        <f t="shared" si="134"/>
        <v>PRBNP'!</v>
      </c>
      <c r="F585" s="5" t="str">
        <f t="shared" si="127"/>
        <v>C:\Users\jaime.benazar\Quorum Business Solutions\Ecopetrol Prometeo - Documents\Planning Space Implementation\3. Analysis &amp; Design\Design\FC22\DRR Jaime\Neiva CPI\[VAO_DINA TERCIARIOS_CF_SEC_20230117.xlsx]CF PRBNP'!</v>
      </c>
      <c r="G585" s="6" t="s">
        <v>101</v>
      </c>
      <c r="H585" s="1"/>
      <c r="I585" s="1"/>
      <c r="J585" s="1"/>
    </row>
    <row r="586" spans="1:10" x14ac:dyDescent="0.3">
      <c r="A586" s="6" t="s">
        <v>18</v>
      </c>
      <c r="B586" s="6">
        <f>+B585+1</f>
        <v>2037</v>
      </c>
      <c r="C586" s="1" t="s">
        <v>34</v>
      </c>
      <c r="D586" s="2" t="s">
        <v>131</v>
      </c>
      <c r="E586" s="9" t="str">
        <f t="shared" si="134"/>
        <v>PRBNP'!</v>
      </c>
      <c r="F586" s="5" t="str">
        <f t="shared" si="127"/>
        <v>C:\Users\jaime.benazar\Quorum Business Solutions\Ecopetrol Prometeo - Documents\Planning Space Implementation\3. Analysis &amp; Design\Design\FC22\DRR Jaime\Neiva CPI\[VAO_DINA TERCIARIOS_CF_SEC_20230117.xlsx]CF PRBNP'!</v>
      </c>
      <c r="G586" s="6" t="s">
        <v>101</v>
      </c>
      <c r="H586" s="1"/>
      <c r="I586" s="1"/>
      <c r="J586" s="1"/>
    </row>
    <row r="587" spans="1:10" x14ac:dyDescent="0.3">
      <c r="A587" s="6" t="s">
        <v>18</v>
      </c>
      <c r="B587" s="6">
        <f t="shared" ref="B587:B589" si="136">+B586+1</f>
        <v>2038</v>
      </c>
      <c r="C587" s="1" t="s">
        <v>34</v>
      </c>
      <c r="D587" s="2" t="s">
        <v>131</v>
      </c>
      <c r="E587" s="9" t="str">
        <f t="shared" si="134"/>
        <v>PRBNP'!</v>
      </c>
      <c r="F587" s="5" t="str">
        <f t="shared" si="127"/>
        <v>C:\Users\jaime.benazar\Quorum Business Solutions\Ecopetrol Prometeo - Documents\Planning Space Implementation\3. Analysis &amp; Design\Design\FC22\DRR Jaime\Neiva CPI\[VAO_DINA TERCIARIOS_CF_SEC_20230117.xlsx]CF PRBNP'!</v>
      </c>
      <c r="G587" s="6" t="s">
        <v>101</v>
      </c>
      <c r="H587" s="1"/>
      <c r="I587" s="1"/>
      <c r="J587" s="1"/>
    </row>
    <row r="588" spans="1:10" x14ac:dyDescent="0.3">
      <c r="A588" s="6" t="s">
        <v>18</v>
      </c>
      <c r="B588" s="6">
        <f t="shared" si="136"/>
        <v>2039</v>
      </c>
      <c r="C588" s="1" t="s">
        <v>34</v>
      </c>
      <c r="D588" s="2" t="s">
        <v>131</v>
      </c>
      <c r="E588" s="9" t="str">
        <f t="shared" si="134"/>
        <v>PRBNP'!</v>
      </c>
      <c r="F588" s="5" t="str">
        <f t="shared" si="127"/>
        <v>C:\Users\jaime.benazar\Quorum Business Solutions\Ecopetrol Prometeo - Documents\Planning Space Implementation\3. Analysis &amp; Design\Design\FC22\DRR Jaime\Neiva CPI\[VAO_DINA TERCIARIOS_CF_SEC_20230117.xlsx]CF PRBNP'!</v>
      </c>
      <c r="G588" s="6" t="s">
        <v>101</v>
      </c>
      <c r="H588" s="1"/>
      <c r="I588" s="1"/>
      <c r="J588" s="1"/>
    </row>
    <row r="589" spans="1:10" x14ac:dyDescent="0.3">
      <c r="A589" s="6" t="s">
        <v>18</v>
      </c>
      <c r="B589" s="6">
        <f t="shared" si="136"/>
        <v>2040</v>
      </c>
      <c r="C589" s="1" t="s">
        <v>34</v>
      </c>
      <c r="D589" s="2" t="s">
        <v>131</v>
      </c>
      <c r="E589" s="9" t="str">
        <f t="shared" si="134"/>
        <v>PRBNP'!</v>
      </c>
      <c r="F589" s="5" t="str">
        <f t="shared" si="127"/>
        <v>C:\Users\jaime.benazar\Quorum Business Solutions\Ecopetrol Prometeo - Documents\Planning Space Implementation\3. Analysis &amp; Design\Design\FC22\DRR Jaime\Neiva CPI\[VAO_DINA TERCIARIOS_CF_SEC_20230117.xlsx]CF PRBNP'!</v>
      </c>
      <c r="G589" s="6" t="s">
        <v>101</v>
      </c>
      <c r="H589" s="1"/>
      <c r="I589" s="1"/>
      <c r="J589" s="1"/>
    </row>
    <row r="590" spans="1:10" x14ac:dyDescent="0.3">
      <c r="A590" s="6" t="s">
        <v>18</v>
      </c>
      <c r="B590" s="6">
        <f>+B589+1</f>
        <v>2041</v>
      </c>
      <c r="C590" s="1" t="s">
        <v>34</v>
      </c>
      <c r="D590" s="2" t="s">
        <v>131</v>
      </c>
      <c r="E590" s="9" t="str">
        <f t="shared" si="134"/>
        <v>PRBNP'!</v>
      </c>
      <c r="F590" s="5" t="str">
        <f t="shared" si="127"/>
        <v>C:\Users\jaime.benazar\Quorum Business Solutions\Ecopetrol Prometeo - Documents\Planning Space Implementation\3. Analysis &amp; Design\Design\FC22\DRR Jaime\Neiva CPI\[VAO_DINA TERCIARIOS_CF_SEC_20230117.xlsx]CF PRBNP'!</v>
      </c>
      <c r="G590" s="6" t="s">
        <v>101</v>
      </c>
      <c r="H590" s="1"/>
      <c r="I590" s="1"/>
      <c r="J590" s="1"/>
    </row>
    <row r="591" spans="1:10" x14ac:dyDescent="0.3">
      <c r="A591" s="6" t="s">
        <v>18</v>
      </c>
      <c r="B591" s="6">
        <f t="shared" ref="B591:B592" si="137">+B590+1</f>
        <v>2042</v>
      </c>
      <c r="C591" s="1" t="s">
        <v>34</v>
      </c>
      <c r="D591" s="2" t="s">
        <v>131</v>
      </c>
      <c r="E591" s="9" t="str">
        <f t="shared" si="134"/>
        <v>PRBNP'!</v>
      </c>
      <c r="F591" s="5" t="str">
        <f t="shared" si="127"/>
        <v>C:\Users\jaime.benazar\Quorum Business Solutions\Ecopetrol Prometeo - Documents\Planning Space Implementation\3. Analysis &amp; Design\Design\FC22\DRR Jaime\Neiva CPI\[VAO_DINA TERCIARIOS_CF_SEC_20230117.xlsx]CF PRBNP'!</v>
      </c>
      <c r="G591" s="6" t="s">
        <v>101</v>
      </c>
      <c r="H591" s="1"/>
      <c r="I591" s="1"/>
      <c r="J591" s="1"/>
    </row>
    <row r="592" spans="1:10" x14ac:dyDescent="0.3">
      <c r="A592" s="6" t="s">
        <v>18</v>
      </c>
      <c r="B592" s="6">
        <f t="shared" si="137"/>
        <v>2043</v>
      </c>
      <c r="C592" s="1" t="s">
        <v>34</v>
      </c>
      <c r="D592" s="2" t="s">
        <v>131</v>
      </c>
      <c r="E592" s="9" t="str">
        <f t="shared" si="134"/>
        <v>PRBNP'!</v>
      </c>
      <c r="F592" s="5" t="str">
        <f t="shared" si="127"/>
        <v>C:\Users\jaime.benazar\Quorum Business Solutions\Ecopetrol Prometeo - Documents\Planning Space Implementation\3. Analysis &amp; Design\Design\FC22\DRR Jaime\Neiva CPI\[VAO_DINA TERCIARIOS_CF_SEC_20230117.xlsx]CF PRBNP'!</v>
      </c>
      <c r="G592" s="6" t="s">
        <v>101</v>
      </c>
      <c r="H592" s="1"/>
      <c r="I592" s="1"/>
      <c r="J592" s="1"/>
    </row>
    <row r="593" spans="1:10" x14ac:dyDescent="0.3">
      <c r="A593" s="6" t="s">
        <v>18</v>
      </c>
      <c r="B593" s="6">
        <f>+B592+1</f>
        <v>2044</v>
      </c>
      <c r="C593" s="1" t="s">
        <v>34</v>
      </c>
      <c r="D593" s="2" t="s">
        <v>131</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Jaime\Neiva CPI\[VAO_DINA TERCIARIOS_CF_SEC_20230117.xlsx]CF PRBNP'!</v>
      </c>
      <c r="G593" s="6" t="s">
        <v>101</v>
      </c>
      <c r="H593" s="1"/>
      <c r="I593" s="1"/>
      <c r="J593" s="1"/>
    </row>
    <row r="594" spans="1:10" x14ac:dyDescent="0.3">
      <c r="A594" s="6" t="s">
        <v>18</v>
      </c>
      <c r="B594" s="6">
        <f t="shared" ref="B594:B608" si="140">+B593+1</f>
        <v>2045</v>
      </c>
      <c r="C594" s="1" t="s">
        <v>34</v>
      </c>
      <c r="D594" s="2" t="s">
        <v>131</v>
      </c>
      <c r="E594" s="9" t="str">
        <f t="shared" si="138"/>
        <v>PRBNP'!</v>
      </c>
      <c r="F594" s="5" t="str">
        <f t="shared" si="139"/>
        <v>C:\Users\jaime.benazar\Quorum Business Solutions\Ecopetrol Prometeo - Documents\Planning Space Implementation\3. Analysis &amp; Design\Design\FC22\DRR Jaime\Neiva CPI\[VAO_DINA TERCIARIOS_CF_SEC_20230117.xlsx]CF PRBNP'!</v>
      </c>
      <c r="G594" s="6" t="s">
        <v>101</v>
      </c>
      <c r="H594" s="1"/>
      <c r="I594" s="1"/>
      <c r="J594" s="1"/>
    </row>
    <row r="595" spans="1:10" x14ac:dyDescent="0.3">
      <c r="A595" s="6" t="s">
        <v>18</v>
      </c>
      <c r="B595" s="6">
        <f t="shared" si="140"/>
        <v>2046</v>
      </c>
      <c r="C595" s="1" t="s">
        <v>34</v>
      </c>
      <c r="D595" s="2" t="s">
        <v>131</v>
      </c>
      <c r="E595" s="9" t="str">
        <f t="shared" si="138"/>
        <v>PRBNP'!</v>
      </c>
      <c r="F595" s="5" t="str">
        <f t="shared" si="139"/>
        <v>C:\Users\jaime.benazar\Quorum Business Solutions\Ecopetrol Prometeo - Documents\Planning Space Implementation\3. Analysis &amp; Design\Design\FC22\DRR Jaime\Neiva CPI\[VAO_DINA TERCIARIOS_CF_SEC_20230117.xlsx]CF PRBNP'!</v>
      </c>
      <c r="G595" s="6" t="s">
        <v>101</v>
      </c>
      <c r="H595" s="1"/>
      <c r="I595" s="1"/>
      <c r="J595" s="1"/>
    </row>
    <row r="596" spans="1:10" x14ac:dyDescent="0.3">
      <c r="A596" s="6" t="s">
        <v>18</v>
      </c>
      <c r="B596" s="6">
        <f t="shared" si="140"/>
        <v>2047</v>
      </c>
      <c r="C596" s="1" t="s">
        <v>34</v>
      </c>
      <c r="D596" s="2" t="s">
        <v>131</v>
      </c>
      <c r="E596" s="9" t="str">
        <f t="shared" si="138"/>
        <v>PRBNP'!</v>
      </c>
      <c r="F596" s="5" t="str">
        <f t="shared" si="139"/>
        <v>C:\Users\jaime.benazar\Quorum Business Solutions\Ecopetrol Prometeo - Documents\Planning Space Implementation\3. Analysis &amp; Design\Design\FC22\DRR Jaime\Neiva CPI\[VAO_DINA TERCIARIOS_CF_SEC_20230117.xlsx]CF PRBNP'!</v>
      </c>
      <c r="G596" s="6" t="s">
        <v>101</v>
      </c>
      <c r="H596" s="1"/>
      <c r="I596" s="1"/>
      <c r="J596" s="1"/>
    </row>
    <row r="597" spans="1:10" x14ac:dyDescent="0.3">
      <c r="A597" s="6" t="s">
        <v>18</v>
      </c>
      <c r="B597" s="6">
        <f t="shared" si="140"/>
        <v>2048</v>
      </c>
      <c r="C597" s="1" t="s">
        <v>34</v>
      </c>
      <c r="D597" s="2" t="s">
        <v>131</v>
      </c>
      <c r="E597" s="9" t="str">
        <f t="shared" si="138"/>
        <v>PRBNP'!</v>
      </c>
      <c r="F597" s="5" t="str">
        <f t="shared" si="139"/>
        <v>C:\Users\jaime.benazar\Quorum Business Solutions\Ecopetrol Prometeo - Documents\Planning Space Implementation\3. Analysis &amp; Design\Design\FC22\DRR Jaime\Neiva CPI\[VAO_DINA TERCIARIOS_CF_SEC_20230117.xlsx]CF PRBNP'!</v>
      </c>
      <c r="G597" s="6" t="s">
        <v>101</v>
      </c>
      <c r="H597" s="1"/>
      <c r="I597" s="1"/>
      <c r="J597" s="1"/>
    </row>
    <row r="598" spans="1:10" x14ac:dyDescent="0.3">
      <c r="A598" s="6" t="s">
        <v>18</v>
      </c>
      <c r="B598" s="6">
        <f t="shared" si="140"/>
        <v>2049</v>
      </c>
      <c r="C598" s="1" t="s">
        <v>34</v>
      </c>
      <c r="D598" s="2" t="s">
        <v>131</v>
      </c>
      <c r="E598" s="9" t="str">
        <f t="shared" si="138"/>
        <v>PRBNP'!</v>
      </c>
      <c r="F598" s="5" t="str">
        <f t="shared" si="139"/>
        <v>C:\Users\jaime.benazar\Quorum Business Solutions\Ecopetrol Prometeo - Documents\Planning Space Implementation\3. Analysis &amp; Design\Design\FC22\DRR Jaime\Neiva CPI\[VAO_DINA TERCIARIOS_CF_SEC_20230117.xlsx]CF PRBNP'!</v>
      </c>
      <c r="G598" s="6" t="s">
        <v>101</v>
      </c>
      <c r="H598" s="1"/>
      <c r="I598" s="1"/>
      <c r="J598" s="1"/>
    </row>
    <row r="599" spans="1:10" x14ac:dyDescent="0.3">
      <c r="A599" s="6" t="s">
        <v>18</v>
      </c>
      <c r="B599" s="6">
        <f t="shared" si="140"/>
        <v>2050</v>
      </c>
      <c r="C599" s="1" t="s">
        <v>34</v>
      </c>
      <c r="D599" s="2" t="s">
        <v>131</v>
      </c>
      <c r="E599" s="9" t="str">
        <f t="shared" si="138"/>
        <v>PRBNP'!</v>
      </c>
      <c r="F599" s="5" t="str">
        <f t="shared" si="139"/>
        <v>C:\Users\jaime.benazar\Quorum Business Solutions\Ecopetrol Prometeo - Documents\Planning Space Implementation\3. Analysis &amp; Design\Design\FC22\DRR Jaime\Neiva CPI\[VAO_DINA TERCIARIOS_CF_SEC_20230117.xlsx]CF PRBNP'!</v>
      </c>
      <c r="G599" s="6" t="s">
        <v>101</v>
      </c>
      <c r="H599" s="1"/>
      <c r="I599" s="1"/>
      <c r="J599" s="1"/>
    </row>
    <row r="600" spans="1:10" x14ac:dyDescent="0.3">
      <c r="A600" s="6" t="s">
        <v>18</v>
      </c>
      <c r="B600" s="6">
        <f t="shared" si="140"/>
        <v>2051</v>
      </c>
      <c r="C600" s="1" t="s">
        <v>34</v>
      </c>
      <c r="D600" s="2" t="s">
        <v>131</v>
      </c>
      <c r="E600" s="9" t="str">
        <f t="shared" si="138"/>
        <v>PRBNP'!</v>
      </c>
      <c r="F600" s="5" t="str">
        <f t="shared" si="139"/>
        <v>C:\Users\jaime.benazar\Quorum Business Solutions\Ecopetrol Prometeo - Documents\Planning Space Implementation\3. Analysis &amp; Design\Design\FC22\DRR Jaime\Neiva CPI\[VAO_DINA TERCIARIOS_CF_SEC_20230117.xlsx]CF PRBNP'!</v>
      </c>
      <c r="G600" s="6" t="s">
        <v>101</v>
      </c>
      <c r="H600" s="1"/>
      <c r="I600" s="1"/>
      <c r="J600" s="1"/>
    </row>
    <row r="601" spans="1:10" x14ac:dyDescent="0.3">
      <c r="A601" s="6" t="s">
        <v>18</v>
      </c>
      <c r="B601" s="6">
        <f t="shared" si="140"/>
        <v>2052</v>
      </c>
      <c r="C601" s="1" t="s">
        <v>34</v>
      </c>
      <c r="D601" s="2" t="s">
        <v>131</v>
      </c>
      <c r="E601" s="9" t="str">
        <f t="shared" si="138"/>
        <v>PRBNP'!</v>
      </c>
      <c r="F601" s="5" t="str">
        <f t="shared" si="139"/>
        <v>C:\Users\jaime.benazar\Quorum Business Solutions\Ecopetrol Prometeo - Documents\Planning Space Implementation\3. Analysis &amp; Design\Design\FC22\DRR Jaime\Neiva CPI\[VAO_DINA TERCIARIOS_CF_SEC_20230117.xlsx]CF PRBNP'!</v>
      </c>
      <c r="G601" s="6" t="s">
        <v>101</v>
      </c>
      <c r="H601" s="1"/>
      <c r="I601" s="1"/>
      <c r="J601" s="1"/>
    </row>
    <row r="602" spans="1:10" x14ac:dyDescent="0.3">
      <c r="A602" s="6" t="s">
        <v>18</v>
      </c>
      <c r="B602" s="6">
        <f t="shared" si="140"/>
        <v>2053</v>
      </c>
      <c r="C602" s="1" t="s">
        <v>34</v>
      </c>
      <c r="D602" s="2" t="s">
        <v>131</v>
      </c>
      <c r="E602" s="9" t="str">
        <f t="shared" si="138"/>
        <v>PRBNP'!</v>
      </c>
      <c r="F602" s="5" t="str">
        <f t="shared" si="139"/>
        <v>C:\Users\jaime.benazar\Quorum Business Solutions\Ecopetrol Prometeo - Documents\Planning Space Implementation\3. Analysis &amp; Design\Design\FC22\DRR Jaime\Neiva CPI\[VAO_DINA TERCIARIOS_CF_SEC_20230117.xlsx]CF PRBNP'!</v>
      </c>
      <c r="G602" s="6" t="s">
        <v>101</v>
      </c>
      <c r="H602" s="1"/>
      <c r="I602" s="1"/>
      <c r="J602" s="1"/>
    </row>
    <row r="603" spans="1:10" x14ac:dyDescent="0.3">
      <c r="A603" s="6" t="s">
        <v>18</v>
      </c>
      <c r="B603" s="6">
        <f t="shared" si="140"/>
        <v>2054</v>
      </c>
      <c r="C603" s="1" t="s">
        <v>34</v>
      </c>
      <c r="D603" s="2" t="s">
        <v>131</v>
      </c>
      <c r="E603" s="9" t="str">
        <f t="shared" si="138"/>
        <v>PRBNP'!</v>
      </c>
      <c r="F603" s="5" t="str">
        <f t="shared" si="139"/>
        <v>C:\Users\jaime.benazar\Quorum Business Solutions\Ecopetrol Prometeo - Documents\Planning Space Implementation\3. Analysis &amp; Design\Design\FC22\DRR Jaime\Neiva CPI\[VAO_DINA TERCIARIOS_CF_SEC_20230117.xlsx]CF PRBNP'!</v>
      </c>
      <c r="G603" s="6" t="s">
        <v>101</v>
      </c>
      <c r="H603" s="1"/>
      <c r="I603" s="1"/>
      <c r="J603" s="1"/>
    </row>
    <row r="604" spans="1:10" x14ac:dyDescent="0.3">
      <c r="A604" s="6" t="s">
        <v>18</v>
      </c>
      <c r="B604" s="6">
        <f t="shared" si="140"/>
        <v>2055</v>
      </c>
      <c r="C604" s="1" t="s">
        <v>34</v>
      </c>
      <c r="D604" s="2" t="s">
        <v>131</v>
      </c>
      <c r="E604" s="9" t="str">
        <f t="shared" si="138"/>
        <v>PRBNP'!</v>
      </c>
      <c r="F604" s="5" t="str">
        <f t="shared" si="139"/>
        <v>C:\Users\jaime.benazar\Quorum Business Solutions\Ecopetrol Prometeo - Documents\Planning Space Implementation\3. Analysis &amp; Design\Design\FC22\DRR Jaime\Neiva CPI\[VAO_DINA TERCIARIOS_CF_SEC_20230117.xlsx]CF PRBNP'!</v>
      </c>
      <c r="G604" s="6" t="s">
        <v>101</v>
      </c>
      <c r="H604" s="1"/>
      <c r="I604" s="1"/>
      <c r="J604" s="1"/>
    </row>
    <row r="605" spans="1:10" x14ac:dyDescent="0.3">
      <c r="A605" s="6" t="s">
        <v>18</v>
      </c>
      <c r="B605" s="6">
        <f t="shared" si="140"/>
        <v>2056</v>
      </c>
      <c r="C605" s="1" t="s">
        <v>34</v>
      </c>
      <c r="D605" s="2" t="s">
        <v>131</v>
      </c>
      <c r="E605" s="9" t="str">
        <f t="shared" si="138"/>
        <v>PRBNP'!</v>
      </c>
      <c r="F605" s="5" t="str">
        <f t="shared" si="139"/>
        <v>C:\Users\jaime.benazar\Quorum Business Solutions\Ecopetrol Prometeo - Documents\Planning Space Implementation\3. Analysis &amp; Design\Design\FC22\DRR Jaime\Neiva CPI\[VAO_DINA TERCIARIOS_CF_SEC_20230117.xlsx]CF PRBNP'!</v>
      </c>
      <c r="G605" s="6" t="s">
        <v>101</v>
      </c>
      <c r="H605" s="1"/>
      <c r="I605" s="1"/>
      <c r="J605" s="1"/>
    </row>
    <row r="606" spans="1:10" x14ac:dyDescent="0.3">
      <c r="A606" s="6" t="s">
        <v>18</v>
      </c>
      <c r="B606" s="6">
        <f t="shared" si="140"/>
        <v>2057</v>
      </c>
      <c r="C606" s="1" t="s">
        <v>34</v>
      </c>
      <c r="D606" s="2" t="s">
        <v>131</v>
      </c>
      <c r="E606" s="9" t="str">
        <f t="shared" si="138"/>
        <v>PRBNP'!</v>
      </c>
      <c r="F606" s="5" t="str">
        <f t="shared" si="139"/>
        <v>C:\Users\jaime.benazar\Quorum Business Solutions\Ecopetrol Prometeo - Documents\Planning Space Implementation\3. Analysis &amp; Design\Design\FC22\DRR Jaime\Neiva CPI\[VAO_DINA TERCIARIOS_CF_SEC_20230117.xlsx]CF PRBNP'!</v>
      </c>
      <c r="G606" s="6" t="s">
        <v>101</v>
      </c>
      <c r="H606" s="1"/>
      <c r="I606" s="1"/>
      <c r="J606" s="1"/>
    </row>
    <row r="607" spans="1:10" x14ac:dyDescent="0.3">
      <c r="A607" s="6" t="s">
        <v>18</v>
      </c>
      <c r="B607" s="6">
        <f t="shared" si="140"/>
        <v>2058</v>
      </c>
      <c r="C607" s="1" t="s">
        <v>34</v>
      </c>
      <c r="D607" s="2" t="s">
        <v>131</v>
      </c>
      <c r="E607" s="9" t="str">
        <f t="shared" si="138"/>
        <v>PRBNP'!</v>
      </c>
      <c r="F607" s="5" t="str">
        <f t="shared" si="139"/>
        <v>C:\Users\jaime.benazar\Quorum Business Solutions\Ecopetrol Prometeo - Documents\Planning Space Implementation\3. Analysis &amp; Design\Design\FC22\DRR Jaime\Neiva CPI\[VAO_DINA TERCIARIOS_CF_SEC_20230117.xlsx]CF PRBNP'!</v>
      </c>
      <c r="G607" s="6" t="s">
        <v>101</v>
      </c>
      <c r="H607" s="1"/>
      <c r="I607" s="1"/>
      <c r="J607" s="1"/>
    </row>
    <row r="608" spans="1:10" x14ac:dyDescent="0.3">
      <c r="A608" s="6" t="s">
        <v>18</v>
      </c>
      <c r="B608" s="6">
        <f t="shared" si="140"/>
        <v>2059</v>
      </c>
      <c r="C608" s="1" t="s">
        <v>34</v>
      </c>
      <c r="D608" s="2" t="s">
        <v>131</v>
      </c>
      <c r="E608" s="9" t="str">
        <f t="shared" si="138"/>
        <v>PRBNP'!</v>
      </c>
      <c r="F608" s="5" t="str">
        <f t="shared" si="139"/>
        <v>C:\Users\jaime.benazar\Quorum Business Solutions\Ecopetrol Prometeo - Documents\Planning Space Implementation\3. Analysis &amp; Design\Design\FC22\DRR Jaime\Neiva CPI\[VAO_DINA TERCIARIOS_CF_SEC_20230117.xlsx]CF PRBNP'!</v>
      </c>
      <c r="G608" s="6" t="s">
        <v>101</v>
      </c>
      <c r="H608" s="1"/>
      <c r="I608" s="1"/>
      <c r="J608" s="1"/>
    </row>
    <row r="609" spans="1:10" x14ac:dyDescent="0.3">
      <c r="A609" s="6" t="s">
        <v>26</v>
      </c>
      <c r="B609" s="6"/>
      <c r="C609" s="1" t="s">
        <v>34</v>
      </c>
      <c r="D609" s="2"/>
      <c r="E609" s="9"/>
      <c r="F609" s="2"/>
      <c r="G609" s="6"/>
      <c r="H609" s="1"/>
      <c r="I609" s="1"/>
      <c r="J609" s="1"/>
    </row>
    <row r="610" spans="1:10" x14ac:dyDescent="0.3">
      <c r="A610" s="6" t="s">
        <v>19</v>
      </c>
      <c r="B610" s="6">
        <v>2023</v>
      </c>
      <c r="C610" s="1" t="s">
        <v>34</v>
      </c>
      <c r="D610" s="2" t="s">
        <v>131</v>
      </c>
      <c r="E610" s="9" t="str">
        <f t="shared" ref="E610:E630" si="141">_xlfn.CONCAT(A610,"'!")</f>
        <v>PRBND'!</v>
      </c>
      <c r="F610" s="5" t="str">
        <f t="shared" si="127"/>
        <v>C:\Users\jaime.benazar\Quorum Business Solutions\Ecopetrol Prometeo - Documents\Planning Space Implementation\3. Analysis &amp; Design\Design\FC22\DRR Jaime\Neiva CPI\[VAO_DINA TERCIARIOS_CF_SEC_20230117.xlsx]CF PRBND'!</v>
      </c>
      <c r="G610" s="6" t="s">
        <v>101</v>
      </c>
      <c r="H610" s="1"/>
      <c r="I610" s="1"/>
      <c r="J610" s="1"/>
    </row>
    <row r="611" spans="1:10" x14ac:dyDescent="0.3">
      <c r="A611" s="6" t="s">
        <v>19</v>
      </c>
      <c r="B611" s="6">
        <f>+B610+1</f>
        <v>2024</v>
      </c>
      <c r="C611" s="1" t="s">
        <v>34</v>
      </c>
      <c r="D611" s="2" t="s">
        <v>131</v>
      </c>
      <c r="E611" s="9" t="str">
        <f t="shared" si="141"/>
        <v>PRBND'!</v>
      </c>
      <c r="F611" s="5" t="str">
        <f t="shared" si="127"/>
        <v>C:\Users\jaime.benazar\Quorum Business Solutions\Ecopetrol Prometeo - Documents\Planning Space Implementation\3. Analysis &amp; Design\Design\FC22\DRR Jaime\Neiva CPI\[VAO_DINA TERCIARIOS_CF_SEC_20230117.xlsx]CF PRBND'!</v>
      </c>
      <c r="G611" s="6" t="s">
        <v>101</v>
      </c>
      <c r="H611" s="1"/>
      <c r="I611" s="1"/>
      <c r="J611" s="1"/>
    </row>
    <row r="612" spans="1:10" x14ac:dyDescent="0.3">
      <c r="A612" s="6" t="s">
        <v>19</v>
      </c>
      <c r="B612" s="6">
        <f t="shared" ref="B612:B623" si="142">+B611+1</f>
        <v>2025</v>
      </c>
      <c r="C612" s="1" t="s">
        <v>34</v>
      </c>
      <c r="D612" s="2" t="s">
        <v>131</v>
      </c>
      <c r="E612" s="9" t="str">
        <f t="shared" si="141"/>
        <v>PRBND'!</v>
      </c>
      <c r="F612" s="5" t="str">
        <f t="shared" si="127"/>
        <v>C:\Users\jaime.benazar\Quorum Business Solutions\Ecopetrol Prometeo - Documents\Planning Space Implementation\3. Analysis &amp; Design\Design\FC22\DRR Jaime\Neiva CPI\[VAO_DINA TERCIARIOS_CF_SEC_20230117.xlsx]CF PRBND'!</v>
      </c>
      <c r="G612" s="6" t="s">
        <v>101</v>
      </c>
      <c r="H612" s="1"/>
      <c r="I612" s="1"/>
      <c r="J612" s="1"/>
    </row>
    <row r="613" spans="1:10" x14ac:dyDescent="0.3">
      <c r="A613" s="6" t="s">
        <v>19</v>
      </c>
      <c r="B613" s="6">
        <f t="shared" si="142"/>
        <v>2026</v>
      </c>
      <c r="C613" s="1" t="s">
        <v>34</v>
      </c>
      <c r="D613" s="2" t="s">
        <v>131</v>
      </c>
      <c r="E613" s="9" t="str">
        <f t="shared" si="141"/>
        <v>PRBND'!</v>
      </c>
      <c r="F613" s="5" t="str">
        <f t="shared" si="127"/>
        <v>C:\Users\jaime.benazar\Quorum Business Solutions\Ecopetrol Prometeo - Documents\Planning Space Implementation\3. Analysis &amp; Design\Design\FC22\DRR Jaime\Neiva CPI\[VAO_DINA TERCIARIOS_CF_SEC_20230117.xlsx]CF PRBND'!</v>
      </c>
      <c r="G613" s="6" t="s">
        <v>101</v>
      </c>
      <c r="H613" s="1"/>
      <c r="I613" s="1"/>
      <c r="J613" s="1"/>
    </row>
    <row r="614" spans="1:10" x14ac:dyDescent="0.3">
      <c r="A614" s="6" t="s">
        <v>19</v>
      </c>
      <c r="B614" s="6">
        <f t="shared" si="142"/>
        <v>2027</v>
      </c>
      <c r="C614" s="1" t="s">
        <v>34</v>
      </c>
      <c r="D614" s="2" t="s">
        <v>131</v>
      </c>
      <c r="E614" s="9" t="str">
        <f t="shared" si="141"/>
        <v>PRBND'!</v>
      </c>
      <c r="F614" s="5" t="str">
        <f t="shared" si="127"/>
        <v>C:\Users\jaime.benazar\Quorum Business Solutions\Ecopetrol Prometeo - Documents\Planning Space Implementation\3. Analysis &amp; Design\Design\FC22\DRR Jaime\Neiva CPI\[VAO_DINA TERCIARIOS_CF_SEC_20230117.xlsx]CF PRBND'!</v>
      </c>
      <c r="G614" s="6" t="s">
        <v>101</v>
      </c>
      <c r="H614" s="1"/>
      <c r="I614" s="1"/>
      <c r="J614" s="1"/>
    </row>
    <row r="615" spans="1:10" x14ac:dyDescent="0.3">
      <c r="A615" s="6" t="s">
        <v>19</v>
      </c>
      <c r="B615" s="6">
        <f t="shared" si="142"/>
        <v>2028</v>
      </c>
      <c r="C615" s="1" t="s">
        <v>34</v>
      </c>
      <c r="D615" s="2" t="s">
        <v>131</v>
      </c>
      <c r="E615" s="9" t="str">
        <f t="shared" si="141"/>
        <v>PRBND'!</v>
      </c>
      <c r="F615" s="5" t="str">
        <f t="shared" si="127"/>
        <v>C:\Users\jaime.benazar\Quorum Business Solutions\Ecopetrol Prometeo - Documents\Planning Space Implementation\3. Analysis &amp; Design\Design\FC22\DRR Jaime\Neiva CPI\[VAO_DINA TERCIARIOS_CF_SEC_20230117.xlsx]CF PRBND'!</v>
      </c>
      <c r="G615" s="6" t="s">
        <v>101</v>
      </c>
      <c r="H615" s="1"/>
      <c r="I615" s="1"/>
      <c r="J615" s="1"/>
    </row>
    <row r="616" spans="1:10" x14ac:dyDescent="0.3">
      <c r="A616" s="6" t="s">
        <v>19</v>
      </c>
      <c r="B616" s="6">
        <f t="shared" si="142"/>
        <v>2029</v>
      </c>
      <c r="C616" s="1" t="s">
        <v>34</v>
      </c>
      <c r="D616" s="2" t="s">
        <v>131</v>
      </c>
      <c r="E616" s="9" t="str">
        <f t="shared" si="141"/>
        <v>PRBND'!</v>
      </c>
      <c r="F616" s="5" t="str">
        <f t="shared" si="127"/>
        <v>C:\Users\jaime.benazar\Quorum Business Solutions\Ecopetrol Prometeo - Documents\Planning Space Implementation\3. Analysis &amp; Design\Design\FC22\DRR Jaime\Neiva CPI\[VAO_DINA TERCIARIOS_CF_SEC_20230117.xlsx]CF PRBND'!</v>
      </c>
      <c r="G616" s="6" t="s">
        <v>101</v>
      </c>
      <c r="H616" s="1"/>
      <c r="I616" s="1"/>
      <c r="J616" s="1"/>
    </row>
    <row r="617" spans="1:10" x14ac:dyDescent="0.3">
      <c r="A617" s="6" t="s">
        <v>19</v>
      </c>
      <c r="B617" s="6">
        <f t="shared" si="142"/>
        <v>2030</v>
      </c>
      <c r="C617" s="1" t="s">
        <v>34</v>
      </c>
      <c r="D617" s="2" t="s">
        <v>131</v>
      </c>
      <c r="E617" s="9" t="str">
        <f t="shared" si="141"/>
        <v>PRBND'!</v>
      </c>
      <c r="F617" s="5" t="str">
        <f t="shared" si="127"/>
        <v>C:\Users\jaime.benazar\Quorum Business Solutions\Ecopetrol Prometeo - Documents\Planning Space Implementation\3. Analysis &amp; Design\Design\FC22\DRR Jaime\Neiva CPI\[VAO_DINA TERCIARIOS_CF_SEC_20230117.xlsx]CF PRBND'!</v>
      </c>
      <c r="G617" s="6" t="s">
        <v>101</v>
      </c>
      <c r="H617" s="1"/>
      <c r="I617" s="1"/>
      <c r="J617" s="1"/>
    </row>
    <row r="618" spans="1:10" x14ac:dyDescent="0.3">
      <c r="A618" s="6" t="s">
        <v>19</v>
      </c>
      <c r="B618" s="6">
        <f t="shared" si="142"/>
        <v>2031</v>
      </c>
      <c r="C618" s="1" t="s">
        <v>34</v>
      </c>
      <c r="D618" s="2" t="s">
        <v>131</v>
      </c>
      <c r="E618" s="9" t="str">
        <f t="shared" si="141"/>
        <v>PRBND'!</v>
      </c>
      <c r="F618" s="5" t="str">
        <f t="shared" si="127"/>
        <v>C:\Users\jaime.benazar\Quorum Business Solutions\Ecopetrol Prometeo - Documents\Planning Space Implementation\3. Analysis &amp; Design\Design\FC22\DRR Jaime\Neiva CPI\[VAO_DINA TERCIARIOS_CF_SEC_20230117.xlsx]CF PRBND'!</v>
      </c>
      <c r="G618" s="6" t="s">
        <v>101</v>
      </c>
      <c r="H618" s="1"/>
      <c r="I618" s="1"/>
      <c r="J618" s="1"/>
    </row>
    <row r="619" spans="1:10" x14ac:dyDescent="0.3">
      <c r="A619" s="6" t="s">
        <v>19</v>
      </c>
      <c r="B619" s="6">
        <f t="shared" si="142"/>
        <v>2032</v>
      </c>
      <c r="C619" s="1" t="s">
        <v>34</v>
      </c>
      <c r="D619" s="2" t="s">
        <v>131</v>
      </c>
      <c r="E619" s="9" t="str">
        <f t="shared" si="141"/>
        <v>PRBND'!</v>
      </c>
      <c r="F619" s="5" t="str">
        <f t="shared" si="127"/>
        <v>C:\Users\jaime.benazar\Quorum Business Solutions\Ecopetrol Prometeo - Documents\Planning Space Implementation\3. Analysis &amp; Design\Design\FC22\DRR Jaime\Neiva CPI\[VAO_DINA TERCIARIOS_CF_SEC_20230117.xlsx]CF PRBND'!</v>
      </c>
      <c r="G619" s="6" t="s">
        <v>101</v>
      </c>
      <c r="H619" s="1"/>
      <c r="I619" s="1"/>
      <c r="J619" s="1"/>
    </row>
    <row r="620" spans="1:10" x14ac:dyDescent="0.3">
      <c r="A620" s="6" t="s">
        <v>19</v>
      </c>
      <c r="B620" s="6">
        <f t="shared" si="142"/>
        <v>2033</v>
      </c>
      <c r="C620" s="1" t="s">
        <v>34</v>
      </c>
      <c r="D620" s="2" t="s">
        <v>131</v>
      </c>
      <c r="E620" s="9" t="str">
        <f t="shared" si="141"/>
        <v>PRBND'!</v>
      </c>
      <c r="F620" s="5" t="str">
        <f t="shared" si="127"/>
        <v>C:\Users\jaime.benazar\Quorum Business Solutions\Ecopetrol Prometeo - Documents\Planning Space Implementation\3. Analysis &amp; Design\Design\FC22\DRR Jaime\Neiva CPI\[VAO_DINA TERCIARIOS_CF_SEC_20230117.xlsx]CF PRBND'!</v>
      </c>
      <c r="G620" s="6" t="s">
        <v>101</v>
      </c>
      <c r="H620" s="1"/>
      <c r="I620" s="1"/>
      <c r="J620" s="1"/>
    </row>
    <row r="621" spans="1:10" x14ac:dyDescent="0.3">
      <c r="A621" s="6" t="s">
        <v>19</v>
      </c>
      <c r="B621" s="6">
        <f t="shared" si="142"/>
        <v>2034</v>
      </c>
      <c r="C621" s="1" t="s">
        <v>34</v>
      </c>
      <c r="D621" s="2" t="s">
        <v>131</v>
      </c>
      <c r="E621" s="9" t="str">
        <f t="shared" si="141"/>
        <v>PRBND'!</v>
      </c>
      <c r="F621" s="5" t="str">
        <f t="shared" si="127"/>
        <v>C:\Users\jaime.benazar\Quorum Business Solutions\Ecopetrol Prometeo - Documents\Planning Space Implementation\3. Analysis &amp; Design\Design\FC22\DRR Jaime\Neiva CPI\[VAO_DINA TERCIARIOS_CF_SEC_20230117.xlsx]CF PRBND'!</v>
      </c>
      <c r="G621" s="6" t="s">
        <v>101</v>
      </c>
      <c r="H621" s="1"/>
      <c r="I621" s="1"/>
      <c r="J621" s="1"/>
    </row>
    <row r="622" spans="1:10" x14ac:dyDescent="0.3">
      <c r="A622" s="6" t="s">
        <v>19</v>
      </c>
      <c r="B622" s="6">
        <f t="shared" si="142"/>
        <v>2035</v>
      </c>
      <c r="C622" s="1" t="s">
        <v>34</v>
      </c>
      <c r="D622" s="2" t="s">
        <v>131</v>
      </c>
      <c r="E622" s="9" t="str">
        <f t="shared" si="141"/>
        <v>PRBND'!</v>
      </c>
      <c r="F622" s="5" t="str">
        <f t="shared" si="127"/>
        <v>C:\Users\jaime.benazar\Quorum Business Solutions\Ecopetrol Prometeo - Documents\Planning Space Implementation\3. Analysis &amp; Design\Design\FC22\DRR Jaime\Neiva CPI\[VAO_DINA TERCIARIOS_CF_SEC_20230117.xlsx]CF PRBND'!</v>
      </c>
      <c r="G622" s="6" t="s">
        <v>101</v>
      </c>
      <c r="H622" s="1"/>
      <c r="I622" s="1"/>
      <c r="J622" s="1"/>
    </row>
    <row r="623" spans="1:10" x14ac:dyDescent="0.3">
      <c r="A623" s="6" t="s">
        <v>19</v>
      </c>
      <c r="B623" s="6">
        <f t="shared" si="142"/>
        <v>2036</v>
      </c>
      <c r="C623" s="1" t="s">
        <v>34</v>
      </c>
      <c r="D623" s="2" t="s">
        <v>131</v>
      </c>
      <c r="E623" s="9" t="str">
        <f t="shared" si="141"/>
        <v>PRBND'!</v>
      </c>
      <c r="F623" s="5" t="str">
        <f t="shared" si="127"/>
        <v>C:\Users\jaime.benazar\Quorum Business Solutions\Ecopetrol Prometeo - Documents\Planning Space Implementation\3. Analysis &amp; Design\Design\FC22\DRR Jaime\Neiva CPI\[VAO_DINA TERCIARIOS_CF_SEC_20230117.xlsx]CF PRBND'!</v>
      </c>
      <c r="G623" s="6" t="s">
        <v>101</v>
      </c>
      <c r="H623" s="1"/>
      <c r="I623" s="1"/>
      <c r="J623" s="1"/>
    </row>
    <row r="624" spans="1:10" x14ac:dyDescent="0.3">
      <c r="A624" s="6" t="s">
        <v>19</v>
      </c>
      <c r="B624" s="6">
        <f>+B623+1</f>
        <v>2037</v>
      </c>
      <c r="C624" s="1" t="s">
        <v>34</v>
      </c>
      <c r="D624" s="2" t="s">
        <v>131</v>
      </c>
      <c r="E624" s="9" t="str">
        <f t="shared" si="141"/>
        <v>PRBND'!</v>
      </c>
      <c r="F624" s="5" t="str">
        <f t="shared" si="127"/>
        <v>C:\Users\jaime.benazar\Quorum Business Solutions\Ecopetrol Prometeo - Documents\Planning Space Implementation\3. Analysis &amp; Design\Design\FC22\DRR Jaime\Neiva CPI\[VAO_DINA TERCIARIOS_CF_SEC_20230117.xlsx]CF PRBND'!</v>
      </c>
      <c r="G624" s="6" t="s">
        <v>101</v>
      </c>
      <c r="H624" s="1"/>
      <c r="I624" s="1"/>
      <c r="J624" s="1"/>
    </row>
    <row r="625" spans="1:10" x14ac:dyDescent="0.3">
      <c r="A625" s="6" t="s">
        <v>19</v>
      </c>
      <c r="B625" s="6">
        <f t="shared" ref="B625:B627" si="143">+B624+1</f>
        <v>2038</v>
      </c>
      <c r="C625" s="1" t="s">
        <v>34</v>
      </c>
      <c r="D625" s="2" t="s">
        <v>131</v>
      </c>
      <c r="E625" s="9" t="str">
        <f t="shared" si="141"/>
        <v>PRBND'!</v>
      </c>
      <c r="F625" s="5" t="str">
        <f t="shared" si="127"/>
        <v>C:\Users\jaime.benazar\Quorum Business Solutions\Ecopetrol Prometeo - Documents\Planning Space Implementation\3. Analysis &amp; Design\Design\FC22\DRR Jaime\Neiva CPI\[VAO_DINA TERCIARIOS_CF_SEC_20230117.xlsx]CF PRBND'!</v>
      </c>
      <c r="G625" s="6" t="s">
        <v>101</v>
      </c>
      <c r="H625" s="1"/>
      <c r="I625" s="1"/>
      <c r="J625" s="1"/>
    </row>
    <row r="626" spans="1:10" x14ac:dyDescent="0.3">
      <c r="A626" s="6" t="s">
        <v>19</v>
      </c>
      <c r="B626" s="6">
        <f t="shared" si="143"/>
        <v>2039</v>
      </c>
      <c r="C626" s="1" t="s">
        <v>34</v>
      </c>
      <c r="D626" s="2" t="s">
        <v>131</v>
      </c>
      <c r="E626" s="9" t="str">
        <f t="shared" si="141"/>
        <v>PRBND'!</v>
      </c>
      <c r="F626" s="5" t="str">
        <f t="shared" ref="F626:F630" si="144">_xlfn.CONCAT(D626," ",E626)</f>
        <v>C:\Users\jaime.benazar\Quorum Business Solutions\Ecopetrol Prometeo - Documents\Planning Space Implementation\3. Analysis &amp; Design\Design\FC22\DRR Jaime\Neiva CPI\[VAO_DINA TERCIARIOS_CF_SEC_20230117.xlsx]CF PRBND'!</v>
      </c>
      <c r="G626" s="6" t="s">
        <v>101</v>
      </c>
      <c r="H626" s="1"/>
      <c r="I626" s="1"/>
      <c r="J626" s="1"/>
    </row>
    <row r="627" spans="1:10" x14ac:dyDescent="0.3">
      <c r="A627" s="6" t="s">
        <v>19</v>
      </c>
      <c r="B627" s="6">
        <f t="shared" si="143"/>
        <v>2040</v>
      </c>
      <c r="C627" s="1" t="s">
        <v>34</v>
      </c>
      <c r="D627" s="2" t="s">
        <v>131</v>
      </c>
      <c r="E627" s="9" t="str">
        <f t="shared" si="141"/>
        <v>PRBND'!</v>
      </c>
      <c r="F627" s="5" t="str">
        <f t="shared" si="144"/>
        <v>C:\Users\jaime.benazar\Quorum Business Solutions\Ecopetrol Prometeo - Documents\Planning Space Implementation\3. Analysis &amp; Design\Design\FC22\DRR Jaime\Neiva CPI\[VAO_DINA TERCIARIOS_CF_SEC_20230117.xlsx]CF PRBND'!</v>
      </c>
      <c r="G627" s="6" t="s">
        <v>101</v>
      </c>
      <c r="H627" s="1"/>
      <c r="I627" s="1"/>
      <c r="J627" s="1"/>
    </row>
    <row r="628" spans="1:10" x14ac:dyDescent="0.3">
      <c r="A628" s="6" t="s">
        <v>19</v>
      </c>
      <c r="B628" s="6">
        <f>+B627+1</f>
        <v>2041</v>
      </c>
      <c r="C628" s="1" t="s">
        <v>34</v>
      </c>
      <c r="D628" s="2" t="s">
        <v>131</v>
      </c>
      <c r="E628" s="9" t="str">
        <f t="shared" si="141"/>
        <v>PRBND'!</v>
      </c>
      <c r="F628" s="5" t="str">
        <f t="shared" si="144"/>
        <v>C:\Users\jaime.benazar\Quorum Business Solutions\Ecopetrol Prometeo - Documents\Planning Space Implementation\3. Analysis &amp; Design\Design\FC22\DRR Jaime\Neiva CPI\[VAO_DINA TERCIARIOS_CF_SEC_20230117.xlsx]CF PRBND'!</v>
      </c>
      <c r="G628" s="6" t="s">
        <v>101</v>
      </c>
      <c r="H628" s="1"/>
      <c r="I628" s="1"/>
      <c r="J628" s="1"/>
    </row>
    <row r="629" spans="1:10" x14ac:dyDescent="0.3">
      <c r="A629" s="6" t="s">
        <v>19</v>
      </c>
      <c r="B629" s="6">
        <f t="shared" ref="B629:B630" si="145">+B628+1</f>
        <v>2042</v>
      </c>
      <c r="C629" s="1" t="s">
        <v>34</v>
      </c>
      <c r="D629" s="2" t="s">
        <v>131</v>
      </c>
      <c r="E629" s="9" t="str">
        <f t="shared" si="141"/>
        <v>PRBND'!</v>
      </c>
      <c r="F629" s="5" t="str">
        <f t="shared" si="144"/>
        <v>C:\Users\jaime.benazar\Quorum Business Solutions\Ecopetrol Prometeo - Documents\Planning Space Implementation\3. Analysis &amp; Design\Design\FC22\DRR Jaime\Neiva CPI\[VAO_DINA TERCIARIOS_CF_SEC_20230117.xlsx]CF PRBND'!</v>
      </c>
      <c r="G629" s="6" t="s">
        <v>101</v>
      </c>
      <c r="H629" s="1"/>
      <c r="I629" s="1"/>
      <c r="J629" s="1"/>
    </row>
    <row r="630" spans="1:10" x14ac:dyDescent="0.3">
      <c r="A630" s="6" t="s">
        <v>19</v>
      </c>
      <c r="B630" s="6">
        <f t="shared" si="145"/>
        <v>2043</v>
      </c>
      <c r="C630" s="1" t="s">
        <v>34</v>
      </c>
      <c r="D630" s="2" t="s">
        <v>131</v>
      </c>
      <c r="E630" s="9" t="str">
        <f t="shared" si="141"/>
        <v>PRBND'!</v>
      </c>
      <c r="F630" s="5" t="str">
        <f t="shared" si="144"/>
        <v>C:\Users\jaime.benazar\Quorum Business Solutions\Ecopetrol Prometeo - Documents\Planning Space Implementation\3. Analysis &amp; Design\Design\FC22\DRR Jaime\Neiva CPI\[VAO_DINA TERCIARIOS_CF_SEC_20230117.xlsx]CF PRBND'!</v>
      </c>
      <c r="G630" s="6" t="s">
        <v>101</v>
      </c>
      <c r="H630" s="1"/>
      <c r="I630" s="1"/>
      <c r="J630" s="1"/>
    </row>
    <row r="631" spans="1:10" x14ac:dyDescent="0.3">
      <c r="A631" s="6" t="s">
        <v>19</v>
      </c>
      <c r="B631" s="6">
        <f>+B630+1</f>
        <v>2044</v>
      </c>
      <c r="C631" s="1" t="s">
        <v>34</v>
      </c>
      <c r="D631" s="2" t="s">
        <v>131</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Jaime\Neiva CPI\[VAO_DINA TERCIARIOS_CF_SEC_20230117.xlsx]CF PRBND'!</v>
      </c>
      <c r="G631" s="6" t="s">
        <v>101</v>
      </c>
      <c r="H631" s="1"/>
      <c r="I631" s="1"/>
      <c r="J631" s="1"/>
    </row>
    <row r="632" spans="1:10" x14ac:dyDescent="0.3">
      <c r="A632" s="6" t="s">
        <v>19</v>
      </c>
      <c r="B632" s="6">
        <f t="shared" ref="B632:B646" si="148">+B631+1</f>
        <v>2045</v>
      </c>
      <c r="C632" s="1" t="s">
        <v>34</v>
      </c>
      <c r="D632" s="2" t="s">
        <v>131</v>
      </c>
      <c r="E632" s="9" t="str">
        <f t="shared" si="146"/>
        <v>PRBND'!</v>
      </c>
      <c r="F632" s="5" t="str">
        <f t="shared" si="147"/>
        <v>C:\Users\jaime.benazar\Quorum Business Solutions\Ecopetrol Prometeo - Documents\Planning Space Implementation\3. Analysis &amp; Design\Design\FC22\DRR Jaime\Neiva CPI\[VAO_DINA TERCIARIOS_CF_SEC_20230117.xlsx]CF PRBND'!</v>
      </c>
      <c r="G632" s="6" t="s">
        <v>101</v>
      </c>
      <c r="H632" s="1"/>
      <c r="I632" s="1"/>
      <c r="J632" s="1"/>
    </row>
    <row r="633" spans="1:10" x14ac:dyDescent="0.3">
      <c r="A633" s="6" t="s">
        <v>19</v>
      </c>
      <c r="B633" s="6">
        <f t="shared" si="148"/>
        <v>2046</v>
      </c>
      <c r="C633" s="1" t="s">
        <v>34</v>
      </c>
      <c r="D633" s="2" t="s">
        <v>131</v>
      </c>
      <c r="E633" s="9" t="str">
        <f t="shared" si="146"/>
        <v>PRBND'!</v>
      </c>
      <c r="F633" s="5" t="str">
        <f t="shared" si="147"/>
        <v>C:\Users\jaime.benazar\Quorum Business Solutions\Ecopetrol Prometeo - Documents\Planning Space Implementation\3. Analysis &amp; Design\Design\FC22\DRR Jaime\Neiva CPI\[VAO_DINA TERCIARIOS_CF_SEC_20230117.xlsx]CF PRBND'!</v>
      </c>
      <c r="G633" s="6" t="s">
        <v>101</v>
      </c>
      <c r="H633" s="1"/>
      <c r="I633" s="1"/>
      <c r="J633" s="1"/>
    </row>
    <row r="634" spans="1:10" x14ac:dyDescent="0.3">
      <c r="A634" s="6" t="s">
        <v>19</v>
      </c>
      <c r="B634" s="6">
        <f t="shared" si="148"/>
        <v>2047</v>
      </c>
      <c r="C634" s="1" t="s">
        <v>34</v>
      </c>
      <c r="D634" s="2" t="s">
        <v>131</v>
      </c>
      <c r="E634" s="9" t="str">
        <f t="shared" si="146"/>
        <v>PRBND'!</v>
      </c>
      <c r="F634" s="5" t="str">
        <f t="shared" si="147"/>
        <v>C:\Users\jaime.benazar\Quorum Business Solutions\Ecopetrol Prometeo - Documents\Planning Space Implementation\3. Analysis &amp; Design\Design\FC22\DRR Jaime\Neiva CPI\[VAO_DINA TERCIARIOS_CF_SEC_20230117.xlsx]CF PRBND'!</v>
      </c>
      <c r="G634" s="6" t="s">
        <v>101</v>
      </c>
      <c r="H634" s="1"/>
      <c r="I634" s="1"/>
      <c r="J634" s="1"/>
    </row>
    <row r="635" spans="1:10" x14ac:dyDescent="0.3">
      <c r="A635" s="6" t="s">
        <v>19</v>
      </c>
      <c r="B635" s="6">
        <f t="shared" si="148"/>
        <v>2048</v>
      </c>
      <c r="C635" s="1" t="s">
        <v>34</v>
      </c>
      <c r="D635" s="2" t="s">
        <v>131</v>
      </c>
      <c r="E635" s="9" t="str">
        <f t="shared" si="146"/>
        <v>PRBND'!</v>
      </c>
      <c r="F635" s="5" t="str">
        <f t="shared" si="147"/>
        <v>C:\Users\jaime.benazar\Quorum Business Solutions\Ecopetrol Prometeo - Documents\Planning Space Implementation\3. Analysis &amp; Design\Design\FC22\DRR Jaime\Neiva CPI\[VAO_DINA TERCIARIOS_CF_SEC_20230117.xlsx]CF PRBND'!</v>
      </c>
      <c r="G635" s="6" t="s">
        <v>101</v>
      </c>
      <c r="H635" s="1"/>
      <c r="I635" s="1"/>
      <c r="J635" s="1"/>
    </row>
    <row r="636" spans="1:10" x14ac:dyDescent="0.3">
      <c r="A636" s="6" t="s">
        <v>19</v>
      </c>
      <c r="B636" s="6">
        <f t="shared" si="148"/>
        <v>2049</v>
      </c>
      <c r="C636" s="1" t="s">
        <v>34</v>
      </c>
      <c r="D636" s="2" t="s">
        <v>131</v>
      </c>
      <c r="E636" s="9" t="str">
        <f t="shared" si="146"/>
        <v>PRBND'!</v>
      </c>
      <c r="F636" s="5" t="str">
        <f t="shared" si="147"/>
        <v>C:\Users\jaime.benazar\Quorum Business Solutions\Ecopetrol Prometeo - Documents\Planning Space Implementation\3. Analysis &amp; Design\Design\FC22\DRR Jaime\Neiva CPI\[VAO_DINA TERCIARIOS_CF_SEC_20230117.xlsx]CF PRBND'!</v>
      </c>
      <c r="G636" s="6" t="s">
        <v>101</v>
      </c>
      <c r="H636" s="1"/>
      <c r="I636" s="1"/>
      <c r="J636" s="1"/>
    </row>
    <row r="637" spans="1:10" x14ac:dyDescent="0.3">
      <c r="A637" s="6" t="s">
        <v>19</v>
      </c>
      <c r="B637" s="6">
        <f t="shared" si="148"/>
        <v>2050</v>
      </c>
      <c r="C637" s="1" t="s">
        <v>34</v>
      </c>
      <c r="D637" s="2" t="s">
        <v>131</v>
      </c>
      <c r="E637" s="9" t="str">
        <f t="shared" si="146"/>
        <v>PRBND'!</v>
      </c>
      <c r="F637" s="5" t="str">
        <f t="shared" si="147"/>
        <v>C:\Users\jaime.benazar\Quorum Business Solutions\Ecopetrol Prometeo - Documents\Planning Space Implementation\3. Analysis &amp; Design\Design\FC22\DRR Jaime\Neiva CPI\[VAO_DINA TERCIARIOS_CF_SEC_20230117.xlsx]CF PRBND'!</v>
      </c>
      <c r="G637" s="6" t="s">
        <v>101</v>
      </c>
      <c r="H637" s="1"/>
      <c r="I637" s="1"/>
      <c r="J637" s="1"/>
    </row>
    <row r="638" spans="1:10" x14ac:dyDescent="0.3">
      <c r="A638" s="6" t="s">
        <v>19</v>
      </c>
      <c r="B638" s="6">
        <f t="shared" si="148"/>
        <v>2051</v>
      </c>
      <c r="C638" s="1" t="s">
        <v>34</v>
      </c>
      <c r="D638" s="2" t="s">
        <v>131</v>
      </c>
      <c r="E638" s="9" t="str">
        <f t="shared" si="146"/>
        <v>PRBND'!</v>
      </c>
      <c r="F638" s="5" t="str">
        <f t="shared" si="147"/>
        <v>C:\Users\jaime.benazar\Quorum Business Solutions\Ecopetrol Prometeo - Documents\Planning Space Implementation\3. Analysis &amp; Design\Design\FC22\DRR Jaime\Neiva CPI\[VAO_DINA TERCIARIOS_CF_SEC_20230117.xlsx]CF PRBND'!</v>
      </c>
      <c r="G638" s="6" t="s">
        <v>101</v>
      </c>
      <c r="H638" s="1"/>
      <c r="I638" s="1"/>
      <c r="J638" s="1"/>
    </row>
    <row r="639" spans="1:10" x14ac:dyDescent="0.3">
      <c r="A639" s="6" t="s">
        <v>19</v>
      </c>
      <c r="B639" s="6">
        <f t="shared" si="148"/>
        <v>2052</v>
      </c>
      <c r="C639" s="1" t="s">
        <v>34</v>
      </c>
      <c r="D639" s="2" t="s">
        <v>131</v>
      </c>
      <c r="E639" s="9" t="str">
        <f t="shared" si="146"/>
        <v>PRBND'!</v>
      </c>
      <c r="F639" s="5" t="str">
        <f t="shared" si="147"/>
        <v>C:\Users\jaime.benazar\Quorum Business Solutions\Ecopetrol Prometeo - Documents\Planning Space Implementation\3. Analysis &amp; Design\Design\FC22\DRR Jaime\Neiva CPI\[VAO_DINA TERCIARIOS_CF_SEC_20230117.xlsx]CF PRBND'!</v>
      </c>
      <c r="G639" s="6" t="s">
        <v>101</v>
      </c>
      <c r="H639" s="1"/>
      <c r="I639" s="1"/>
      <c r="J639" s="1"/>
    </row>
    <row r="640" spans="1:10" x14ac:dyDescent="0.3">
      <c r="A640" s="6" t="s">
        <v>19</v>
      </c>
      <c r="B640" s="6">
        <f t="shared" si="148"/>
        <v>2053</v>
      </c>
      <c r="C640" s="1" t="s">
        <v>34</v>
      </c>
      <c r="D640" s="2" t="s">
        <v>131</v>
      </c>
      <c r="E640" s="9" t="str">
        <f t="shared" si="146"/>
        <v>PRBND'!</v>
      </c>
      <c r="F640" s="5" t="str">
        <f t="shared" si="147"/>
        <v>C:\Users\jaime.benazar\Quorum Business Solutions\Ecopetrol Prometeo - Documents\Planning Space Implementation\3. Analysis &amp; Design\Design\FC22\DRR Jaime\Neiva CPI\[VAO_DINA TERCIARIOS_CF_SEC_20230117.xlsx]CF PRBND'!</v>
      </c>
      <c r="G640" s="6" t="s">
        <v>101</v>
      </c>
      <c r="H640" s="1"/>
      <c r="I640" s="1"/>
      <c r="J640" s="1"/>
    </row>
    <row r="641" spans="1:10" x14ac:dyDescent="0.3">
      <c r="A641" s="6" t="s">
        <v>19</v>
      </c>
      <c r="B641" s="6">
        <f t="shared" si="148"/>
        <v>2054</v>
      </c>
      <c r="C641" s="1" t="s">
        <v>34</v>
      </c>
      <c r="D641" s="2" t="s">
        <v>131</v>
      </c>
      <c r="E641" s="9" t="str">
        <f t="shared" si="146"/>
        <v>PRBND'!</v>
      </c>
      <c r="F641" s="5" t="str">
        <f t="shared" si="147"/>
        <v>C:\Users\jaime.benazar\Quorum Business Solutions\Ecopetrol Prometeo - Documents\Planning Space Implementation\3. Analysis &amp; Design\Design\FC22\DRR Jaime\Neiva CPI\[VAO_DINA TERCIARIOS_CF_SEC_20230117.xlsx]CF PRBND'!</v>
      </c>
      <c r="G641" s="6" t="s">
        <v>101</v>
      </c>
      <c r="H641" s="1"/>
      <c r="I641" s="1"/>
      <c r="J641" s="1"/>
    </row>
    <row r="642" spans="1:10" x14ac:dyDescent="0.3">
      <c r="A642" s="6" t="s">
        <v>19</v>
      </c>
      <c r="B642" s="6">
        <f t="shared" si="148"/>
        <v>2055</v>
      </c>
      <c r="C642" s="1" t="s">
        <v>34</v>
      </c>
      <c r="D642" s="2" t="s">
        <v>131</v>
      </c>
      <c r="E642" s="9" t="str">
        <f t="shared" si="146"/>
        <v>PRBND'!</v>
      </c>
      <c r="F642" s="5" t="str">
        <f t="shared" si="147"/>
        <v>C:\Users\jaime.benazar\Quorum Business Solutions\Ecopetrol Prometeo - Documents\Planning Space Implementation\3. Analysis &amp; Design\Design\FC22\DRR Jaime\Neiva CPI\[VAO_DINA TERCIARIOS_CF_SEC_20230117.xlsx]CF PRBND'!</v>
      </c>
      <c r="G642" s="6" t="s">
        <v>101</v>
      </c>
      <c r="H642" s="1"/>
      <c r="I642" s="1"/>
      <c r="J642" s="1"/>
    </row>
    <row r="643" spans="1:10" x14ac:dyDescent="0.3">
      <c r="A643" s="6" t="s">
        <v>19</v>
      </c>
      <c r="B643" s="6">
        <f t="shared" si="148"/>
        <v>2056</v>
      </c>
      <c r="C643" s="1" t="s">
        <v>34</v>
      </c>
      <c r="D643" s="2" t="s">
        <v>131</v>
      </c>
      <c r="E643" s="9" t="str">
        <f t="shared" si="146"/>
        <v>PRBND'!</v>
      </c>
      <c r="F643" s="5" t="str">
        <f t="shared" si="147"/>
        <v>C:\Users\jaime.benazar\Quorum Business Solutions\Ecopetrol Prometeo - Documents\Planning Space Implementation\3. Analysis &amp; Design\Design\FC22\DRR Jaime\Neiva CPI\[VAO_DINA TERCIARIOS_CF_SEC_20230117.xlsx]CF PRBND'!</v>
      </c>
      <c r="G643" s="6" t="s">
        <v>101</v>
      </c>
      <c r="H643" s="1"/>
      <c r="I643" s="1"/>
      <c r="J643" s="1"/>
    </row>
    <row r="644" spans="1:10" x14ac:dyDescent="0.3">
      <c r="A644" s="6" t="s">
        <v>19</v>
      </c>
      <c r="B644" s="6">
        <f t="shared" si="148"/>
        <v>2057</v>
      </c>
      <c r="C644" s="1" t="s">
        <v>34</v>
      </c>
      <c r="D644" s="2" t="s">
        <v>131</v>
      </c>
      <c r="E644" s="9" t="str">
        <f t="shared" si="146"/>
        <v>PRBND'!</v>
      </c>
      <c r="F644" s="5" t="str">
        <f t="shared" si="147"/>
        <v>C:\Users\jaime.benazar\Quorum Business Solutions\Ecopetrol Prometeo - Documents\Planning Space Implementation\3. Analysis &amp; Design\Design\FC22\DRR Jaime\Neiva CPI\[VAO_DINA TERCIARIOS_CF_SEC_20230117.xlsx]CF PRBND'!</v>
      </c>
      <c r="G644" s="6" t="s">
        <v>101</v>
      </c>
      <c r="H644" s="1"/>
      <c r="I644" s="1"/>
      <c r="J644" s="1"/>
    </row>
    <row r="645" spans="1:10" x14ac:dyDescent="0.3">
      <c r="A645" s="6" t="s">
        <v>19</v>
      </c>
      <c r="B645" s="6">
        <f t="shared" si="148"/>
        <v>2058</v>
      </c>
      <c r="C645" s="1" t="s">
        <v>34</v>
      </c>
      <c r="D645" s="2" t="s">
        <v>131</v>
      </c>
      <c r="E645" s="9" t="str">
        <f t="shared" si="146"/>
        <v>PRBND'!</v>
      </c>
      <c r="F645" s="5" t="str">
        <f t="shared" si="147"/>
        <v>C:\Users\jaime.benazar\Quorum Business Solutions\Ecopetrol Prometeo - Documents\Planning Space Implementation\3. Analysis &amp; Design\Design\FC22\DRR Jaime\Neiva CPI\[VAO_DINA TERCIARIOS_CF_SEC_20230117.xlsx]CF PRBND'!</v>
      </c>
      <c r="G645" s="6" t="s">
        <v>101</v>
      </c>
      <c r="H645" s="1"/>
      <c r="I645" s="1"/>
      <c r="J645" s="1"/>
    </row>
    <row r="646" spans="1:10" x14ac:dyDescent="0.3">
      <c r="A646" s="6" t="s">
        <v>19</v>
      </c>
      <c r="B646" s="6">
        <f t="shared" si="148"/>
        <v>2059</v>
      </c>
      <c r="C646" s="1" t="s">
        <v>34</v>
      </c>
      <c r="D646" s="2" t="s">
        <v>131</v>
      </c>
      <c r="E646" s="9" t="str">
        <f t="shared" si="146"/>
        <v>PRBND'!</v>
      </c>
      <c r="F646" s="5" t="str">
        <f t="shared" si="147"/>
        <v>C:\Users\jaime.benazar\Quorum Business Solutions\Ecopetrol Prometeo - Documents\Planning Space Implementation\3. Analysis &amp; Design\Design\FC22\DRR Jaime\Neiva CPI\[VAO_DINA TERCIARIOS_CF_SEC_20230117.xlsx]CF PRBND'!</v>
      </c>
      <c r="G646" s="6" t="s">
        <v>101</v>
      </c>
      <c r="H646" s="1"/>
      <c r="I646" s="1"/>
      <c r="J646" s="1"/>
    </row>
    <row r="647" spans="1:10" x14ac:dyDescent="0.3">
      <c r="A647" s="6" t="s">
        <v>26</v>
      </c>
      <c r="B647" s="6"/>
      <c r="C647" s="1" t="s">
        <v>34</v>
      </c>
      <c r="D647" s="2"/>
      <c r="E647" s="9"/>
      <c r="F647" s="2"/>
      <c r="G647" s="6"/>
      <c r="H647" s="1"/>
      <c r="I647" s="1"/>
      <c r="J647" s="1"/>
    </row>
    <row r="648" spans="1:10" x14ac:dyDescent="0.3">
      <c r="A648" s="6" t="s">
        <v>20</v>
      </c>
      <c r="B648" s="6">
        <v>2023</v>
      </c>
      <c r="C648" s="1" t="s">
        <v>34</v>
      </c>
      <c r="D648" s="2" t="s">
        <v>131</v>
      </c>
      <c r="E648" s="9" t="str">
        <f t="shared" si="118"/>
        <v>PRB'!</v>
      </c>
      <c r="F648" s="5" t="str">
        <f t="shared" ref="F648:F668" si="149">_xlfn.CONCAT(D648," ",E648)</f>
        <v>C:\Users\jaime.benazar\Quorum Business Solutions\Ecopetrol Prometeo - Documents\Planning Space Implementation\3. Analysis &amp; Design\Design\FC22\DRR Jaime\Neiva CPI\[VAO_DINA TERCIARIOS_CF_SEC_20230117.xlsx]CF PRB'!</v>
      </c>
      <c r="G648" s="6" t="s">
        <v>101</v>
      </c>
      <c r="H648" s="1">
        <f>IF(A648&lt;&gt;A518,36,H518+1)</f>
        <v>36</v>
      </c>
      <c r="I648" s="1" t="str">
        <f t="shared" si="119"/>
        <v>='C:\Users\jaime.benazar\Quorum Business Solutions\Ecopetrol Prometeo - Documents\Planning Space Implementation\3. Analysis &amp; Design\Design\FC22\DRR Jaime\Neiva CPI\[VAO_DINA TERCIARIOS_CF_SEC_20230117.xlsx]CF PRB'!$BT$36</v>
      </c>
      <c r="J648" s="1" t="s">
        <v>428</v>
      </c>
    </row>
    <row r="649" spans="1:10" x14ac:dyDescent="0.3">
      <c r="A649" s="6" t="s">
        <v>20</v>
      </c>
      <c r="B649" s="6">
        <f>+B648+1</f>
        <v>2024</v>
      </c>
      <c r="C649" s="1" t="s">
        <v>34</v>
      </c>
      <c r="D649" s="2" t="s">
        <v>131</v>
      </c>
      <c r="E649" s="9" t="str">
        <f t="shared" si="118"/>
        <v>PRB'!</v>
      </c>
      <c r="F649" s="5" t="str">
        <f t="shared" si="149"/>
        <v>C:\Users\jaime.benazar\Quorum Business Solutions\Ecopetrol Prometeo - Documents\Planning Space Implementation\3. Analysis &amp; Design\Design\FC22\DRR Jaime\Neiva CPI\[VAO_DINA TERCIARIOS_CF_SEC_20230117.xlsx]CF PRB'!</v>
      </c>
      <c r="G649" s="6" t="s">
        <v>101</v>
      </c>
      <c r="H649" s="1">
        <f t="shared" si="120"/>
        <v>37</v>
      </c>
      <c r="I649" s="1" t="str">
        <f t="shared" si="119"/>
        <v>='C:\Users\jaime.benazar\Quorum Business Solutions\Ecopetrol Prometeo - Documents\Planning Space Implementation\3. Analysis &amp; Design\Design\FC22\DRR Jaime\Neiva CPI\[VAO_DINA TERCIARIOS_CF_SEC_20230117.xlsx]CF PRB'!$BT$37</v>
      </c>
      <c r="J649" s="1" t="s">
        <v>429</v>
      </c>
    </row>
    <row r="650" spans="1:10" x14ac:dyDescent="0.3">
      <c r="A650" s="6" t="s">
        <v>20</v>
      </c>
      <c r="B650" s="6">
        <f t="shared" ref="B650:B661" si="150">+B649+1</f>
        <v>2025</v>
      </c>
      <c r="C650" s="1" t="s">
        <v>34</v>
      </c>
      <c r="D650" s="2" t="s">
        <v>131</v>
      </c>
      <c r="E650" s="9" t="str">
        <f t="shared" si="118"/>
        <v>PRB'!</v>
      </c>
      <c r="F650" s="5" t="str">
        <f t="shared" si="149"/>
        <v>C:\Users\jaime.benazar\Quorum Business Solutions\Ecopetrol Prometeo - Documents\Planning Space Implementation\3. Analysis &amp; Design\Design\FC22\DRR Jaime\Neiva CPI\[VAO_DINA TERCIARIOS_CF_SEC_20230117.xlsx]CF PRB'!</v>
      </c>
      <c r="G650" s="6" t="s">
        <v>101</v>
      </c>
      <c r="H650" s="1">
        <f t="shared" si="120"/>
        <v>38</v>
      </c>
      <c r="I650" s="1" t="str">
        <f t="shared" si="119"/>
        <v>='C:\Users\jaime.benazar\Quorum Business Solutions\Ecopetrol Prometeo - Documents\Planning Space Implementation\3. Analysis &amp; Design\Design\FC22\DRR Jaime\Neiva CPI\[VAO_DINA TERCIARIOS_CF_SEC_20230117.xlsx]CF PRB'!$BT$38</v>
      </c>
      <c r="J650" s="1" t="s">
        <v>430</v>
      </c>
    </row>
    <row r="651" spans="1:10" x14ac:dyDescent="0.3">
      <c r="A651" s="6" t="s">
        <v>20</v>
      </c>
      <c r="B651" s="6">
        <f t="shared" si="150"/>
        <v>2026</v>
      </c>
      <c r="C651" s="1" t="s">
        <v>34</v>
      </c>
      <c r="D651" s="2" t="s">
        <v>131</v>
      </c>
      <c r="E651" s="9" t="str">
        <f t="shared" si="118"/>
        <v>PRB'!</v>
      </c>
      <c r="F651" s="5" t="str">
        <f t="shared" si="149"/>
        <v>C:\Users\jaime.benazar\Quorum Business Solutions\Ecopetrol Prometeo - Documents\Planning Space Implementation\3. Analysis &amp; Design\Design\FC22\DRR Jaime\Neiva CPI\[VAO_DINA TERCIARIOS_CF_SEC_20230117.xlsx]CF PRB'!</v>
      </c>
      <c r="G651" s="6" t="s">
        <v>101</v>
      </c>
      <c r="H651" s="1">
        <f t="shared" si="120"/>
        <v>39</v>
      </c>
      <c r="I651" s="1" t="str">
        <f t="shared" si="119"/>
        <v>='C:\Users\jaime.benazar\Quorum Business Solutions\Ecopetrol Prometeo - Documents\Planning Space Implementation\3. Analysis &amp; Design\Design\FC22\DRR Jaime\Neiva CPI\[VAO_DINA TERCIARIOS_CF_SEC_20230117.xlsx]CF PRB'!$BT$39</v>
      </c>
      <c r="J651" s="1" t="s">
        <v>431</v>
      </c>
    </row>
    <row r="652" spans="1:10" x14ac:dyDescent="0.3">
      <c r="A652" s="6" t="s">
        <v>20</v>
      </c>
      <c r="B652" s="6">
        <f t="shared" si="150"/>
        <v>2027</v>
      </c>
      <c r="C652" s="1" t="s">
        <v>34</v>
      </c>
      <c r="D652" s="2" t="s">
        <v>131</v>
      </c>
      <c r="E652" s="9" t="str">
        <f t="shared" si="118"/>
        <v>PRB'!</v>
      </c>
      <c r="F652" s="5" t="str">
        <f t="shared" si="149"/>
        <v>C:\Users\jaime.benazar\Quorum Business Solutions\Ecopetrol Prometeo - Documents\Planning Space Implementation\3. Analysis &amp; Design\Design\FC22\DRR Jaime\Neiva CPI\[VAO_DINA TERCIARIOS_CF_SEC_20230117.xlsx]CF PRB'!</v>
      </c>
      <c r="G652" s="6" t="s">
        <v>101</v>
      </c>
      <c r="H652" s="1">
        <f t="shared" si="120"/>
        <v>40</v>
      </c>
      <c r="I652" s="1" t="str">
        <f t="shared" si="119"/>
        <v>='C:\Users\jaime.benazar\Quorum Business Solutions\Ecopetrol Prometeo - Documents\Planning Space Implementation\3. Analysis &amp; Design\Design\FC22\DRR Jaime\Neiva CPI\[VAO_DINA TERCIARIOS_CF_SEC_20230117.xlsx]CF PRB'!$BT$40</v>
      </c>
      <c r="J652" s="1" t="s">
        <v>432</v>
      </c>
    </row>
    <row r="653" spans="1:10" x14ac:dyDescent="0.3">
      <c r="A653" s="6" t="s">
        <v>20</v>
      </c>
      <c r="B653" s="6">
        <f t="shared" si="150"/>
        <v>2028</v>
      </c>
      <c r="C653" s="1" t="s">
        <v>34</v>
      </c>
      <c r="D653" s="2" t="s">
        <v>131</v>
      </c>
      <c r="E653" s="9" t="str">
        <f t="shared" si="118"/>
        <v>PRB'!</v>
      </c>
      <c r="F653" s="5" t="str">
        <f t="shared" si="149"/>
        <v>C:\Users\jaime.benazar\Quorum Business Solutions\Ecopetrol Prometeo - Documents\Planning Space Implementation\3. Analysis &amp; Design\Design\FC22\DRR Jaime\Neiva CPI\[VAO_DINA TERCIARIOS_CF_SEC_20230117.xlsx]CF PRB'!</v>
      </c>
      <c r="G653" s="6" t="s">
        <v>101</v>
      </c>
      <c r="H653" s="1">
        <f t="shared" si="120"/>
        <v>41</v>
      </c>
      <c r="I653" s="1" t="str">
        <f t="shared" si="119"/>
        <v>='C:\Users\jaime.benazar\Quorum Business Solutions\Ecopetrol Prometeo - Documents\Planning Space Implementation\3. Analysis &amp; Design\Design\FC22\DRR Jaime\Neiva CPI\[VAO_DINA TERCIARIOS_CF_SEC_20230117.xlsx]CF PRB'!$BT$41</v>
      </c>
      <c r="J653" s="1" t="s">
        <v>433</v>
      </c>
    </row>
    <row r="654" spans="1:10" x14ac:dyDescent="0.3">
      <c r="A654" s="6" t="s">
        <v>20</v>
      </c>
      <c r="B654" s="6">
        <f t="shared" si="150"/>
        <v>2029</v>
      </c>
      <c r="C654" s="1" t="s">
        <v>34</v>
      </c>
      <c r="D654" s="2" t="s">
        <v>131</v>
      </c>
      <c r="E654" s="9" t="str">
        <f t="shared" si="118"/>
        <v>PRB'!</v>
      </c>
      <c r="F654" s="5" t="str">
        <f t="shared" si="149"/>
        <v>C:\Users\jaime.benazar\Quorum Business Solutions\Ecopetrol Prometeo - Documents\Planning Space Implementation\3. Analysis &amp; Design\Design\FC22\DRR Jaime\Neiva CPI\[VAO_DINA TERCIARIOS_CF_SEC_20230117.xlsx]CF PRB'!</v>
      </c>
      <c r="G654" s="6" t="s">
        <v>101</v>
      </c>
      <c r="H654" s="1">
        <f t="shared" si="120"/>
        <v>42</v>
      </c>
      <c r="I654" s="1" t="str">
        <f t="shared" si="119"/>
        <v>='C:\Users\jaime.benazar\Quorum Business Solutions\Ecopetrol Prometeo - Documents\Planning Space Implementation\3. Analysis &amp; Design\Design\FC22\DRR Jaime\Neiva CPI\[VAO_DINA TERCIARIOS_CF_SEC_20230117.xlsx]CF PRB'!$BT$42</v>
      </c>
      <c r="J654" s="1" t="s">
        <v>434</v>
      </c>
    </row>
    <row r="655" spans="1:10" x14ac:dyDescent="0.3">
      <c r="A655" s="6" t="s">
        <v>20</v>
      </c>
      <c r="B655" s="6">
        <f t="shared" si="150"/>
        <v>2030</v>
      </c>
      <c r="C655" s="1" t="s">
        <v>34</v>
      </c>
      <c r="D655" s="2" t="s">
        <v>131</v>
      </c>
      <c r="E655" s="9" t="str">
        <f t="shared" si="118"/>
        <v>PRB'!</v>
      </c>
      <c r="F655" s="5" t="str">
        <f t="shared" si="149"/>
        <v>C:\Users\jaime.benazar\Quorum Business Solutions\Ecopetrol Prometeo - Documents\Planning Space Implementation\3. Analysis &amp; Design\Design\FC22\DRR Jaime\Neiva CPI\[VAO_DINA TERCIARIOS_CF_SEC_20230117.xlsx]CF PRB'!</v>
      </c>
      <c r="G655" s="6" t="s">
        <v>101</v>
      </c>
      <c r="H655" s="1">
        <f t="shared" si="120"/>
        <v>43</v>
      </c>
      <c r="I655" s="1" t="str">
        <f t="shared" si="119"/>
        <v>='C:\Users\jaime.benazar\Quorum Business Solutions\Ecopetrol Prometeo - Documents\Planning Space Implementation\3. Analysis &amp; Design\Design\FC22\DRR Jaime\Neiva CPI\[VAO_DINA TERCIARIOS_CF_SEC_20230117.xlsx]CF PRB'!$BT$43</v>
      </c>
      <c r="J655" s="1" t="s">
        <v>435</v>
      </c>
    </row>
    <row r="656" spans="1:10" x14ac:dyDescent="0.3">
      <c r="A656" s="6" t="s">
        <v>20</v>
      </c>
      <c r="B656" s="6">
        <f t="shared" si="150"/>
        <v>2031</v>
      </c>
      <c r="C656" s="1" t="s">
        <v>34</v>
      </c>
      <c r="D656" s="2" t="s">
        <v>131</v>
      </c>
      <c r="E656" s="9" t="str">
        <f t="shared" si="118"/>
        <v>PRB'!</v>
      </c>
      <c r="F656" s="5" t="str">
        <f t="shared" si="149"/>
        <v>C:\Users\jaime.benazar\Quorum Business Solutions\Ecopetrol Prometeo - Documents\Planning Space Implementation\3. Analysis &amp; Design\Design\FC22\DRR Jaime\Neiva CPI\[VAO_DINA TERCIARIOS_CF_SEC_20230117.xlsx]CF PRB'!</v>
      </c>
      <c r="G656" s="6" t="s">
        <v>101</v>
      </c>
      <c r="H656" s="1">
        <f t="shared" si="120"/>
        <v>44</v>
      </c>
      <c r="I656" s="1" t="str">
        <f t="shared" si="119"/>
        <v>='C:\Users\jaime.benazar\Quorum Business Solutions\Ecopetrol Prometeo - Documents\Planning Space Implementation\3. Analysis &amp; Design\Design\FC22\DRR Jaime\Neiva CPI\[VAO_DINA TERCIARIOS_CF_SEC_20230117.xlsx]CF PRB'!$BT$44</v>
      </c>
      <c r="J656" s="1" t="s">
        <v>436</v>
      </c>
    </row>
    <row r="657" spans="1:10" x14ac:dyDescent="0.3">
      <c r="A657" s="6" t="s">
        <v>20</v>
      </c>
      <c r="B657" s="6">
        <f t="shared" si="150"/>
        <v>2032</v>
      </c>
      <c r="C657" s="1" t="s">
        <v>34</v>
      </c>
      <c r="D657" s="2" t="s">
        <v>131</v>
      </c>
      <c r="E657" s="9" t="str">
        <f t="shared" si="118"/>
        <v>PRB'!</v>
      </c>
      <c r="F657" s="5" t="str">
        <f t="shared" si="149"/>
        <v>C:\Users\jaime.benazar\Quorum Business Solutions\Ecopetrol Prometeo - Documents\Planning Space Implementation\3. Analysis &amp; Design\Design\FC22\DRR Jaime\Neiva CPI\[VAO_DINA TERCIARIOS_CF_SEC_20230117.xlsx]CF PRB'!</v>
      </c>
      <c r="G657" s="6" t="s">
        <v>101</v>
      </c>
      <c r="H657" s="1">
        <f t="shared" si="120"/>
        <v>45</v>
      </c>
      <c r="I657" s="1" t="str">
        <f t="shared" si="119"/>
        <v>='C:\Users\jaime.benazar\Quorum Business Solutions\Ecopetrol Prometeo - Documents\Planning Space Implementation\3. Analysis &amp; Design\Design\FC22\DRR Jaime\Neiva CPI\[VAO_DINA TERCIARIOS_CF_SEC_20230117.xlsx]CF PRB'!$BT$45</v>
      </c>
      <c r="J657" s="1" t="s">
        <v>437</v>
      </c>
    </row>
    <row r="658" spans="1:10" x14ac:dyDescent="0.3">
      <c r="A658" s="6" t="s">
        <v>20</v>
      </c>
      <c r="B658" s="6">
        <f t="shared" si="150"/>
        <v>2033</v>
      </c>
      <c r="C658" s="1" t="s">
        <v>34</v>
      </c>
      <c r="D658" s="2" t="s">
        <v>131</v>
      </c>
      <c r="E658" s="9" t="str">
        <f t="shared" si="118"/>
        <v>PRB'!</v>
      </c>
      <c r="F658" s="5" t="str">
        <f t="shared" si="149"/>
        <v>C:\Users\jaime.benazar\Quorum Business Solutions\Ecopetrol Prometeo - Documents\Planning Space Implementation\3. Analysis &amp; Design\Design\FC22\DRR Jaime\Neiva CPI\[VAO_DINA TERCIARIOS_CF_SEC_20230117.xlsx]CF PRB'!</v>
      </c>
      <c r="G658" s="6" t="s">
        <v>101</v>
      </c>
      <c r="H658" s="1">
        <f t="shared" si="120"/>
        <v>46</v>
      </c>
      <c r="I658" s="1" t="str">
        <f t="shared" si="119"/>
        <v>='C:\Users\jaime.benazar\Quorum Business Solutions\Ecopetrol Prometeo - Documents\Planning Space Implementation\3. Analysis &amp; Design\Design\FC22\DRR Jaime\Neiva CPI\[VAO_DINA TERCIARIOS_CF_SEC_20230117.xlsx]CF PRB'!$BT$46</v>
      </c>
      <c r="J658" s="1" t="s">
        <v>438</v>
      </c>
    </row>
    <row r="659" spans="1:10" x14ac:dyDescent="0.3">
      <c r="A659" s="6" t="s">
        <v>20</v>
      </c>
      <c r="B659" s="6">
        <f t="shared" si="150"/>
        <v>2034</v>
      </c>
      <c r="C659" s="1" t="s">
        <v>34</v>
      </c>
      <c r="D659" s="2" t="s">
        <v>131</v>
      </c>
      <c r="E659" s="9" t="str">
        <f t="shared" si="118"/>
        <v>PRB'!</v>
      </c>
      <c r="F659" s="5" t="str">
        <f t="shared" si="149"/>
        <v>C:\Users\jaime.benazar\Quorum Business Solutions\Ecopetrol Prometeo - Documents\Planning Space Implementation\3. Analysis &amp; Design\Design\FC22\DRR Jaime\Neiva CPI\[VAO_DINA TERCIARIOS_CF_SEC_20230117.xlsx]CF PRB'!</v>
      </c>
      <c r="G659" s="6" t="s">
        <v>101</v>
      </c>
      <c r="H659" s="1">
        <f t="shared" si="120"/>
        <v>47</v>
      </c>
      <c r="I659" s="1" t="str">
        <f t="shared" si="119"/>
        <v>='C:\Users\jaime.benazar\Quorum Business Solutions\Ecopetrol Prometeo - Documents\Planning Space Implementation\3. Analysis &amp; Design\Design\FC22\DRR Jaime\Neiva CPI\[VAO_DINA TERCIARIOS_CF_SEC_20230117.xlsx]CF PRB'!$BT$47</v>
      </c>
      <c r="J659" s="1" t="s">
        <v>439</v>
      </c>
    </row>
    <row r="660" spans="1:10" x14ac:dyDescent="0.3">
      <c r="A660" s="6" t="s">
        <v>20</v>
      </c>
      <c r="B660" s="6">
        <f t="shared" si="150"/>
        <v>2035</v>
      </c>
      <c r="C660" s="1" t="s">
        <v>34</v>
      </c>
      <c r="D660" s="2" t="s">
        <v>131</v>
      </c>
      <c r="E660" s="9" t="str">
        <f t="shared" si="118"/>
        <v>PRB'!</v>
      </c>
      <c r="F660" s="5" t="str">
        <f t="shared" si="149"/>
        <v>C:\Users\jaime.benazar\Quorum Business Solutions\Ecopetrol Prometeo - Documents\Planning Space Implementation\3. Analysis &amp; Design\Design\FC22\DRR Jaime\Neiva CPI\[VAO_DINA TERCIARIOS_CF_SEC_20230117.xlsx]CF PRB'!</v>
      </c>
      <c r="G660" s="6" t="s">
        <v>101</v>
      </c>
      <c r="H660" s="1">
        <f t="shared" si="120"/>
        <v>48</v>
      </c>
      <c r="I660" s="1" t="str">
        <f t="shared" si="119"/>
        <v>='C:\Users\jaime.benazar\Quorum Business Solutions\Ecopetrol Prometeo - Documents\Planning Space Implementation\3. Analysis &amp; Design\Design\FC22\DRR Jaime\Neiva CPI\[VAO_DINA TERCIARIOS_CF_SEC_20230117.xlsx]CF PRB'!$BT$48</v>
      </c>
      <c r="J660" s="1" t="s">
        <v>440</v>
      </c>
    </row>
    <row r="661" spans="1:10" x14ac:dyDescent="0.3">
      <c r="A661" s="6" t="s">
        <v>20</v>
      </c>
      <c r="B661" s="6">
        <f t="shared" si="150"/>
        <v>2036</v>
      </c>
      <c r="C661" s="1" t="s">
        <v>34</v>
      </c>
      <c r="D661" s="2" t="s">
        <v>131</v>
      </c>
      <c r="E661" s="9" t="str">
        <f t="shared" si="118"/>
        <v>PRB'!</v>
      </c>
      <c r="F661" s="5" t="str">
        <f t="shared" si="149"/>
        <v>C:\Users\jaime.benazar\Quorum Business Solutions\Ecopetrol Prometeo - Documents\Planning Space Implementation\3. Analysis &amp; Design\Design\FC22\DRR Jaime\Neiva CPI\[VAO_DINA TERCIARIOS_CF_SEC_20230117.xlsx]CF PRB'!</v>
      </c>
      <c r="G661" s="6" t="s">
        <v>101</v>
      </c>
      <c r="H661" s="1">
        <f t="shared" si="120"/>
        <v>49</v>
      </c>
      <c r="I661" s="1" t="str">
        <f t="shared" si="119"/>
        <v>='C:\Users\jaime.benazar\Quorum Business Solutions\Ecopetrol Prometeo - Documents\Planning Space Implementation\3. Analysis &amp; Design\Design\FC22\DRR Jaime\Neiva CPI\[VAO_DINA TERCIARIOS_CF_SEC_20230117.xlsx]CF PRB'!$BT$49</v>
      </c>
      <c r="J661" s="1" t="s">
        <v>441</v>
      </c>
    </row>
    <row r="662" spans="1:10" x14ac:dyDescent="0.3">
      <c r="A662" s="6" t="s">
        <v>20</v>
      </c>
      <c r="B662" s="6">
        <f>+B661+1</f>
        <v>2037</v>
      </c>
      <c r="C662" s="1" t="s">
        <v>34</v>
      </c>
      <c r="D662" s="2" t="s">
        <v>131</v>
      </c>
      <c r="E662" s="9" t="str">
        <f t="shared" si="118"/>
        <v>PRB'!</v>
      </c>
      <c r="F662" s="5" t="str">
        <f t="shared" si="149"/>
        <v>C:\Users\jaime.benazar\Quorum Business Solutions\Ecopetrol Prometeo - Documents\Planning Space Implementation\3. Analysis &amp; Design\Design\FC22\DRR Jaime\Neiva CPI\[VAO_DINA TERCIARIOS_CF_SEC_20230117.xlsx]CF PRB'!</v>
      </c>
      <c r="G662" s="6" t="s">
        <v>101</v>
      </c>
      <c r="H662" s="1">
        <f t="shared" si="120"/>
        <v>50</v>
      </c>
      <c r="I662" s="1" t="str">
        <f t="shared" si="119"/>
        <v>='C:\Users\jaime.benazar\Quorum Business Solutions\Ecopetrol Prometeo - Documents\Planning Space Implementation\3. Analysis &amp; Design\Design\FC22\DRR Jaime\Neiva CPI\[VAO_DINA TERCIARIOS_CF_SEC_20230117.xlsx]CF PRB'!$BT$50</v>
      </c>
      <c r="J662" s="1" t="s">
        <v>442</v>
      </c>
    </row>
    <row r="663" spans="1:10" x14ac:dyDescent="0.3">
      <c r="A663" s="6" t="s">
        <v>20</v>
      </c>
      <c r="B663" s="6">
        <f t="shared" ref="B663:B665" si="151">+B662+1</f>
        <v>2038</v>
      </c>
      <c r="C663" s="1" t="s">
        <v>34</v>
      </c>
      <c r="D663" s="2" t="s">
        <v>131</v>
      </c>
      <c r="E663" s="9" t="str">
        <f t="shared" si="118"/>
        <v>PRB'!</v>
      </c>
      <c r="F663" s="5" t="str">
        <f t="shared" si="149"/>
        <v>C:\Users\jaime.benazar\Quorum Business Solutions\Ecopetrol Prometeo - Documents\Planning Space Implementation\3. Analysis &amp; Design\Design\FC22\DRR Jaime\Neiva CPI\[VAO_DINA TERCIARIOS_CF_SEC_20230117.xlsx]CF PRB'!</v>
      </c>
      <c r="G663" s="6" t="s">
        <v>101</v>
      </c>
      <c r="H663" s="1">
        <f t="shared" si="120"/>
        <v>51</v>
      </c>
      <c r="I663" s="1" t="str">
        <f t="shared" si="119"/>
        <v>='C:\Users\jaime.benazar\Quorum Business Solutions\Ecopetrol Prometeo - Documents\Planning Space Implementation\3. Analysis &amp; Design\Design\FC22\DRR Jaime\Neiva CPI\[VAO_DINA TERCIARIOS_CF_SEC_20230117.xlsx]CF PRB'!$BT$51</v>
      </c>
      <c r="J663" s="1" t="s">
        <v>443</v>
      </c>
    </row>
    <row r="664" spans="1:10" x14ac:dyDescent="0.3">
      <c r="A664" s="6" t="s">
        <v>20</v>
      </c>
      <c r="B664" s="6">
        <f t="shared" si="151"/>
        <v>2039</v>
      </c>
      <c r="C664" s="1" t="s">
        <v>34</v>
      </c>
      <c r="D664" s="2" t="s">
        <v>131</v>
      </c>
      <c r="E664" s="9" t="str">
        <f t="shared" si="118"/>
        <v>PRB'!</v>
      </c>
      <c r="F664" s="5" t="str">
        <f t="shared" si="149"/>
        <v>C:\Users\jaime.benazar\Quorum Business Solutions\Ecopetrol Prometeo - Documents\Planning Space Implementation\3. Analysis &amp; Design\Design\FC22\DRR Jaime\Neiva CPI\[VAO_DINA TERCIARIOS_CF_SEC_20230117.xlsx]CF PRB'!</v>
      </c>
      <c r="G664" s="6" t="s">
        <v>101</v>
      </c>
      <c r="H664" s="1">
        <f t="shared" si="120"/>
        <v>52</v>
      </c>
      <c r="I664" s="1" t="str">
        <f t="shared" si="119"/>
        <v>='C:\Users\jaime.benazar\Quorum Business Solutions\Ecopetrol Prometeo - Documents\Planning Space Implementation\3. Analysis &amp; Design\Design\FC22\DRR Jaime\Neiva CPI\[VAO_DINA TERCIARIOS_CF_SEC_20230117.xlsx]CF PRB'!$BT$52</v>
      </c>
      <c r="J664" s="1" t="s">
        <v>444</v>
      </c>
    </row>
    <row r="665" spans="1:10" x14ac:dyDescent="0.3">
      <c r="A665" s="6" t="s">
        <v>20</v>
      </c>
      <c r="B665" s="6">
        <f t="shared" si="151"/>
        <v>2040</v>
      </c>
      <c r="C665" s="1" t="s">
        <v>34</v>
      </c>
      <c r="D665" s="2" t="s">
        <v>131</v>
      </c>
      <c r="E665" s="9" t="str">
        <f t="shared" si="118"/>
        <v>PRB'!</v>
      </c>
      <c r="F665" s="5" t="str">
        <f t="shared" si="149"/>
        <v>C:\Users\jaime.benazar\Quorum Business Solutions\Ecopetrol Prometeo - Documents\Planning Space Implementation\3. Analysis &amp; Design\Design\FC22\DRR Jaime\Neiva CPI\[VAO_DINA TERCIARIOS_CF_SEC_20230117.xlsx]CF PRB'!</v>
      </c>
      <c r="G665" s="6" t="s">
        <v>101</v>
      </c>
      <c r="H665" s="1">
        <f t="shared" si="120"/>
        <v>53</v>
      </c>
      <c r="I665" s="1" t="str">
        <f t="shared" si="119"/>
        <v>='C:\Users\jaime.benazar\Quorum Business Solutions\Ecopetrol Prometeo - Documents\Planning Space Implementation\3. Analysis &amp; Design\Design\FC22\DRR Jaime\Neiva CPI\[VAO_DINA TERCIARIOS_CF_SEC_20230117.xlsx]CF PRB'!$BT$53</v>
      </c>
      <c r="J665" s="1" t="s">
        <v>445</v>
      </c>
    </row>
    <row r="666" spans="1:10" x14ac:dyDescent="0.3">
      <c r="A666" s="6" t="s">
        <v>20</v>
      </c>
      <c r="B666" s="6">
        <f>+B665+1</f>
        <v>2041</v>
      </c>
      <c r="C666" s="1" t="s">
        <v>34</v>
      </c>
      <c r="D666" s="2" t="s">
        <v>131</v>
      </c>
      <c r="E666" s="9" t="str">
        <f t="shared" si="118"/>
        <v>PRB'!</v>
      </c>
      <c r="F666" s="5" t="str">
        <f t="shared" si="149"/>
        <v>C:\Users\jaime.benazar\Quorum Business Solutions\Ecopetrol Prometeo - Documents\Planning Space Implementation\3. Analysis &amp; Design\Design\FC22\DRR Jaime\Neiva CPI\[VAO_DINA TERCIARIOS_CF_SEC_20230117.xlsx]CF PRB'!</v>
      </c>
      <c r="G666" s="6" t="s">
        <v>101</v>
      </c>
      <c r="H666" s="1">
        <f t="shared" si="120"/>
        <v>54</v>
      </c>
      <c r="I666" s="1" t="str">
        <f t="shared" si="119"/>
        <v>='C:\Users\jaime.benazar\Quorum Business Solutions\Ecopetrol Prometeo - Documents\Planning Space Implementation\3. Analysis &amp; Design\Design\FC22\DRR Jaime\Neiva CPI\[VAO_DINA TERCIARIOS_CF_SEC_20230117.xlsx]CF PRB'!$BT$54</v>
      </c>
      <c r="J666" s="1" t="s">
        <v>446</v>
      </c>
    </row>
    <row r="667" spans="1:10" x14ac:dyDescent="0.3">
      <c r="A667" s="6" t="s">
        <v>20</v>
      </c>
      <c r="B667" s="6">
        <f t="shared" ref="B667:B668" si="152">+B666+1</f>
        <v>2042</v>
      </c>
      <c r="C667" s="1" t="s">
        <v>34</v>
      </c>
      <c r="D667" s="2" t="s">
        <v>131</v>
      </c>
      <c r="E667" s="9" t="str">
        <f t="shared" si="118"/>
        <v>PRB'!</v>
      </c>
      <c r="F667" s="5" t="str">
        <f t="shared" si="149"/>
        <v>C:\Users\jaime.benazar\Quorum Business Solutions\Ecopetrol Prometeo - Documents\Planning Space Implementation\3. Analysis &amp; Design\Design\FC22\DRR Jaime\Neiva CPI\[VAO_DINA TERCIARIOS_CF_SEC_20230117.xlsx]CF PRB'!</v>
      </c>
      <c r="G667" s="6" t="s">
        <v>101</v>
      </c>
      <c r="H667" s="1">
        <f t="shared" si="120"/>
        <v>55</v>
      </c>
      <c r="I667" s="1" t="str">
        <f t="shared" si="119"/>
        <v>='C:\Users\jaime.benazar\Quorum Business Solutions\Ecopetrol Prometeo - Documents\Planning Space Implementation\3. Analysis &amp; Design\Design\FC22\DRR Jaime\Neiva CPI\[VAO_DINA TERCIARIOS_CF_SEC_20230117.xlsx]CF PRB'!$BT$55</v>
      </c>
      <c r="J667" s="1" t="s">
        <v>447</v>
      </c>
    </row>
    <row r="668" spans="1:10" x14ac:dyDescent="0.3">
      <c r="A668" s="6" t="s">
        <v>20</v>
      </c>
      <c r="B668" s="6">
        <f t="shared" si="152"/>
        <v>2043</v>
      </c>
      <c r="C668" s="1" t="s">
        <v>34</v>
      </c>
      <c r="D668" s="2" t="s">
        <v>131</v>
      </c>
      <c r="E668" s="9" t="str">
        <f t="shared" si="118"/>
        <v>PRB'!</v>
      </c>
      <c r="F668" s="5" t="str">
        <f t="shared" si="149"/>
        <v>C:\Users\jaime.benazar\Quorum Business Solutions\Ecopetrol Prometeo - Documents\Planning Space Implementation\3. Analysis &amp; Design\Design\FC22\DRR Jaime\Neiva CPI\[VAO_DINA TERCIARIOS_CF_SEC_20230117.xlsx]CF PRB'!</v>
      </c>
      <c r="G668" s="6" t="s">
        <v>101</v>
      </c>
      <c r="H668" s="1">
        <f t="shared" si="120"/>
        <v>56</v>
      </c>
      <c r="I668" s="1" t="str">
        <f t="shared" si="119"/>
        <v>='C:\Users\jaime.benazar\Quorum Business Solutions\Ecopetrol Prometeo - Documents\Planning Space Implementation\3. Analysis &amp; Design\Design\FC22\DRR Jaime\Neiva CPI\[VAO_DINA TERCIARIOS_CF_SEC_20230117.xlsx]CF PRB'!$BT$56</v>
      </c>
      <c r="J668" s="1" t="s">
        <v>448</v>
      </c>
    </row>
    <row r="669" spans="1:10" x14ac:dyDescent="0.3">
      <c r="A669" s="6" t="s">
        <v>20</v>
      </c>
      <c r="B669" s="6">
        <f>+B668+1</f>
        <v>2044</v>
      </c>
      <c r="C669" s="1" t="s">
        <v>34</v>
      </c>
      <c r="D669" s="2" t="s">
        <v>131</v>
      </c>
      <c r="E669" s="9" t="str">
        <f t="shared" ref="E669:E684" si="153">_xlfn.CONCAT(A669,"'!")</f>
        <v>PRB'!</v>
      </c>
      <c r="F669" s="5" t="str">
        <f t="shared" ref="F669:F684" si="154">_xlfn.CONCAT(D669," ",E669)</f>
        <v>C:\Users\jaime.benazar\Quorum Business Solutions\Ecopetrol Prometeo - Documents\Planning Space Implementation\3. Analysis &amp; Design\Design\FC22\DRR Jaime\Neiva CPI\[VAO_DINA TERCIARIOS_CF_SEC_20230117.xlsx]CF PRB'!</v>
      </c>
      <c r="G669" s="6" t="s">
        <v>101</v>
      </c>
      <c r="H669" s="1">
        <f t="shared" ref="H669:H684" si="155">IF(A669&lt;&gt;A668,36,H668+1)</f>
        <v>57</v>
      </c>
      <c r="I669" s="1" t="str">
        <f t="shared" ref="I669:I684" si="156">_xlfn.CONCAT("='",F669:H669)</f>
        <v>='C:\Users\jaime.benazar\Quorum Business Solutions\Ecopetrol Prometeo - Documents\Planning Space Implementation\3. Analysis &amp; Design\Design\FC22\DRR Jaime\Neiva CPI\[VAO_DINA TERCIARIOS_CF_SEC_20230117.xlsx]CF PRB'!$BT$57</v>
      </c>
      <c r="J669" s="1" t="s">
        <v>449</v>
      </c>
    </row>
    <row r="670" spans="1:10" x14ac:dyDescent="0.3">
      <c r="A670" s="6" t="s">
        <v>20</v>
      </c>
      <c r="B670" s="6">
        <f t="shared" ref="B670:B684" si="157">+B669+1</f>
        <v>2045</v>
      </c>
      <c r="C670" s="1" t="s">
        <v>34</v>
      </c>
      <c r="D670" s="2" t="s">
        <v>131</v>
      </c>
      <c r="E670" s="9" t="str">
        <f t="shared" si="153"/>
        <v>PRB'!</v>
      </c>
      <c r="F670" s="5" t="str">
        <f t="shared" si="154"/>
        <v>C:\Users\jaime.benazar\Quorum Business Solutions\Ecopetrol Prometeo - Documents\Planning Space Implementation\3. Analysis &amp; Design\Design\FC22\DRR Jaime\Neiva CPI\[VAO_DINA TERCIARIOS_CF_SEC_20230117.xlsx]CF PRB'!</v>
      </c>
      <c r="G670" s="6" t="s">
        <v>101</v>
      </c>
      <c r="H670" s="1">
        <f t="shared" si="155"/>
        <v>58</v>
      </c>
      <c r="I670" s="1" t="str">
        <f t="shared" si="156"/>
        <v>='C:\Users\jaime.benazar\Quorum Business Solutions\Ecopetrol Prometeo - Documents\Planning Space Implementation\3. Analysis &amp; Design\Design\FC22\DRR Jaime\Neiva CPI\[VAO_DINA TERCIARIOS_CF_SEC_20230117.xlsx]CF PRB'!$BT$58</v>
      </c>
      <c r="J670" s="1" t="s">
        <v>450</v>
      </c>
    </row>
    <row r="671" spans="1:10" x14ac:dyDescent="0.3">
      <c r="A671" s="6" t="s">
        <v>20</v>
      </c>
      <c r="B671" s="6">
        <f t="shared" si="157"/>
        <v>2046</v>
      </c>
      <c r="C671" s="1" t="s">
        <v>34</v>
      </c>
      <c r="D671" s="2" t="s">
        <v>131</v>
      </c>
      <c r="E671" s="9" t="str">
        <f t="shared" si="153"/>
        <v>PRB'!</v>
      </c>
      <c r="F671" s="5" t="str">
        <f t="shared" si="154"/>
        <v>C:\Users\jaime.benazar\Quorum Business Solutions\Ecopetrol Prometeo - Documents\Planning Space Implementation\3. Analysis &amp; Design\Design\FC22\DRR Jaime\Neiva CPI\[VAO_DINA TERCIARIOS_CF_SEC_20230117.xlsx]CF PRB'!</v>
      </c>
      <c r="G671" s="6" t="s">
        <v>101</v>
      </c>
      <c r="H671" s="1">
        <f t="shared" si="155"/>
        <v>59</v>
      </c>
      <c r="I671" s="1" t="str">
        <f t="shared" si="156"/>
        <v>='C:\Users\jaime.benazar\Quorum Business Solutions\Ecopetrol Prometeo - Documents\Planning Space Implementation\3. Analysis &amp; Design\Design\FC22\DRR Jaime\Neiva CPI\[VAO_DINA TERCIARIOS_CF_SEC_20230117.xlsx]CF PRB'!$BT$59</v>
      </c>
      <c r="J671" s="1" t="s">
        <v>451</v>
      </c>
    </row>
    <row r="672" spans="1:10" x14ac:dyDescent="0.3">
      <c r="A672" s="6" t="s">
        <v>20</v>
      </c>
      <c r="B672" s="6">
        <f t="shared" si="157"/>
        <v>2047</v>
      </c>
      <c r="C672" s="1" t="s">
        <v>34</v>
      </c>
      <c r="D672" s="2" t="s">
        <v>131</v>
      </c>
      <c r="E672" s="9" t="str">
        <f t="shared" si="153"/>
        <v>PRB'!</v>
      </c>
      <c r="F672" s="5" t="str">
        <f t="shared" si="154"/>
        <v>C:\Users\jaime.benazar\Quorum Business Solutions\Ecopetrol Prometeo - Documents\Planning Space Implementation\3. Analysis &amp; Design\Design\FC22\DRR Jaime\Neiva CPI\[VAO_DINA TERCIARIOS_CF_SEC_20230117.xlsx]CF PRB'!</v>
      </c>
      <c r="G672" s="6" t="s">
        <v>101</v>
      </c>
      <c r="H672" s="1">
        <f t="shared" si="155"/>
        <v>60</v>
      </c>
      <c r="I672" s="1" t="str">
        <f t="shared" si="156"/>
        <v>='C:\Users\jaime.benazar\Quorum Business Solutions\Ecopetrol Prometeo - Documents\Planning Space Implementation\3. Analysis &amp; Design\Design\FC22\DRR Jaime\Neiva CPI\[VAO_DINA TERCIARIOS_CF_SEC_20230117.xlsx]CF PRB'!$BT$60</v>
      </c>
      <c r="J672" s="1" t="s">
        <v>452</v>
      </c>
    </row>
    <row r="673" spans="1:10" x14ac:dyDescent="0.3">
      <c r="A673" s="6" t="s">
        <v>20</v>
      </c>
      <c r="B673" s="6">
        <f t="shared" si="157"/>
        <v>2048</v>
      </c>
      <c r="C673" s="1" t="s">
        <v>34</v>
      </c>
      <c r="D673" s="2" t="s">
        <v>131</v>
      </c>
      <c r="E673" s="9" t="str">
        <f t="shared" si="153"/>
        <v>PRB'!</v>
      </c>
      <c r="F673" s="5" t="str">
        <f t="shared" si="154"/>
        <v>C:\Users\jaime.benazar\Quorum Business Solutions\Ecopetrol Prometeo - Documents\Planning Space Implementation\3. Analysis &amp; Design\Design\FC22\DRR Jaime\Neiva CPI\[VAO_DINA TERCIARIOS_CF_SEC_20230117.xlsx]CF PRB'!</v>
      </c>
      <c r="G673" s="6" t="s">
        <v>101</v>
      </c>
      <c r="H673" s="1">
        <f t="shared" si="155"/>
        <v>61</v>
      </c>
      <c r="I673" s="1" t="str">
        <f t="shared" si="156"/>
        <v>='C:\Users\jaime.benazar\Quorum Business Solutions\Ecopetrol Prometeo - Documents\Planning Space Implementation\3. Analysis &amp; Design\Design\FC22\DRR Jaime\Neiva CPI\[VAO_DINA TERCIARIOS_CF_SEC_20230117.xlsx]CF PRB'!$BT$61</v>
      </c>
      <c r="J673" s="1" t="s">
        <v>453</v>
      </c>
    </row>
    <row r="674" spans="1:10" x14ac:dyDescent="0.3">
      <c r="A674" s="6" t="s">
        <v>20</v>
      </c>
      <c r="B674" s="6">
        <f t="shared" si="157"/>
        <v>2049</v>
      </c>
      <c r="C674" s="1" t="s">
        <v>34</v>
      </c>
      <c r="D674" s="2" t="s">
        <v>131</v>
      </c>
      <c r="E674" s="9" t="str">
        <f t="shared" si="153"/>
        <v>PRB'!</v>
      </c>
      <c r="F674" s="5" t="str">
        <f t="shared" si="154"/>
        <v>C:\Users\jaime.benazar\Quorum Business Solutions\Ecopetrol Prometeo - Documents\Planning Space Implementation\3. Analysis &amp; Design\Design\FC22\DRR Jaime\Neiva CPI\[VAO_DINA TERCIARIOS_CF_SEC_20230117.xlsx]CF PRB'!</v>
      </c>
      <c r="G674" s="6" t="s">
        <v>101</v>
      </c>
      <c r="H674" s="1">
        <f t="shared" si="155"/>
        <v>62</v>
      </c>
      <c r="I674" s="1" t="str">
        <f t="shared" si="156"/>
        <v>='C:\Users\jaime.benazar\Quorum Business Solutions\Ecopetrol Prometeo - Documents\Planning Space Implementation\3. Analysis &amp; Design\Design\FC22\DRR Jaime\Neiva CPI\[VAO_DINA TERCIARIOS_CF_SEC_20230117.xlsx]CF PRB'!$BT$62</v>
      </c>
      <c r="J674" s="1" t="s">
        <v>454</v>
      </c>
    </row>
    <row r="675" spans="1:10" x14ac:dyDescent="0.3">
      <c r="A675" s="6" t="s">
        <v>20</v>
      </c>
      <c r="B675" s="6">
        <f t="shared" si="157"/>
        <v>2050</v>
      </c>
      <c r="C675" s="1" t="s">
        <v>34</v>
      </c>
      <c r="D675" s="2" t="s">
        <v>131</v>
      </c>
      <c r="E675" s="9" t="str">
        <f t="shared" si="153"/>
        <v>PRB'!</v>
      </c>
      <c r="F675" s="5" t="str">
        <f t="shared" si="154"/>
        <v>C:\Users\jaime.benazar\Quorum Business Solutions\Ecopetrol Prometeo - Documents\Planning Space Implementation\3. Analysis &amp; Design\Design\FC22\DRR Jaime\Neiva CPI\[VAO_DINA TERCIARIOS_CF_SEC_20230117.xlsx]CF PRB'!</v>
      </c>
      <c r="G675" s="6" t="s">
        <v>101</v>
      </c>
      <c r="H675" s="1">
        <f t="shared" si="155"/>
        <v>63</v>
      </c>
      <c r="I675" s="1" t="str">
        <f t="shared" si="156"/>
        <v>='C:\Users\jaime.benazar\Quorum Business Solutions\Ecopetrol Prometeo - Documents\Planning Space Implementation\3. Analysis &amp; Design\Design\FC22\DRR Jaime\Neiva CPI\[VAO_DINA TERCIARIOS_CF_SEC_20230117.xlsx]CF PRB'!$BT$63</v>
      </c>
      <c r="J675" s="1" t="s">
        <v>455</v>
      </c>
    </row>
    <row r="676" spans="1:10" x14ac:dyDescent="0.3">
      <c r="A676" s="6" t="s">
        <v>20</v>
      </c>
      <c r="B676" s="6">
        <f t="shared" si="157"/>
        <v>2051</v>
      </c>
      <c r="C676" s="1" t="s">
        <v>34</v>
      </c>
      <c r="D676" s="2" t="s">
        <v>131</v>
      </c>
      <c r="E676" s="9" t="str">
        <f t="shared" si="153"/>
        <v>PRB'!</v>
      </c>
      <c r="F676" s="5" t="str">
        <f t="shared" si="154"/>
        <v>C:\Users\jaime.benazar\Quorum Business Solutions\Ecopetrol Prometeo - Documents\Planning Space Implementation\3. Analysis &amp; Design\Design\FC22\DRR Jaime\Neiva CPI\[VAO_DINA TERCIARIOS_CF_SEC_20230117.xlsx]CF PRB'!</v>
      </c>
      <c r="G676" s="6" t="s">
        <v>101</v>
      </c>
      <c r="H676" s="1">
        <f t="shared" si="155"/>
        <v>64</v>
      </c>
      <c r="I676" s="1" t="str">
        <f t="shared" si="156"/>
        <v>='C:\Users\jaime.benazar\Quorum Business Solutions\Ecopetrol Prometeo - Documents\Planning Space Implementation\3. Analysis &amp; Design\Design\FC22\DRR Jaime\Neiva CPI\[VAO_DINA TERCIARIOS_CF_SEC_20230117.xlsx]CF PRB'!$BT$64</v>
      </c>
      <c r="J676" s="1" t="s">
        <v>456</v>
      </c>
    </row>
    <row r="677" spans="1:10" x14ac:dyDescent="0.3">
      <c r="A677" s="6" t="s">
        <v>20</v>
      </c>
      <c r="B677" s="6">
        <f t="shared" si="157"/>
        <v>2052</v>
      </c>
      <c r="C677" s="1" t="s">
        <v>34</v>
      </c>
      <c r="D677" s="2" t="s">
        <v>131</v>
      </c>
      <c r="E677" s="9" t="str">
        <f t="shared" si="153"/>
        <v>PRB'!</v>
      </c>
      <c r="F677" s="5" t="str">
        <f t="shared" si="154"/>
        <v>C:\Users\jaime.benazar\Quorum Business Solutions\Ecopetrol Prometeo - Documents\Planning Space Implementation\3. Analysis &amp; Design\Design\FC22\DRR Jaime\Neiva CPI\[VAO_DINA TERCIARIOS_CF_SEC_20230117.xlsx]CF PRB'!</v>
      </c>
      <c r="G677" s="6" t="s">
        <v>101</v>
      </c>
      <c r="H677" s="1">
        <f t="shared" si="155"/>
        <v>65</v>
      </c>
      <c r="I677" s="1" t="str">
        <f t="shared" si="156"/>
        <v>='C:\Users\jaime.benazar\Quorum Business Solutions\Ecopetrol Prometeo - Documents\Planning Space Implementation\3. Analysis &amp; Design\Design\FC22\DRR Jaime\Neiva CPI\[VAO_DINA TERCIARIOS_CF_SEC_20230117.xlsx]CF PRB'!$BT$65</v>
      </c>
      <c r="J677" s="1" t="s">
        <v>457</v>
      </c>
    </row>
    <row r="678" spans="1:10" x14ac:dyDescent="0.3">
      <c r="A678" s="6" t="s">
        <v>20</v>
      </c>
      <c r="B678" s="6">
        <f t="shared" si="157"/>
        <v>2053</v>
      </c>
      <c r="C678" s="1" t="s">
        <v>34</v>
      </c>
      <c r="D678" s="2" t="s">
        <v>131</v>
      </c>
      <c r="E678" s="9" t="str">
        <f t="shared" si="153"/>
        <v>PRB'!</v>
      </c>
      <c r="F678" s="5" t="str">
        <f t="shared" si="154"/>
        <v>C:\Users\jaime.benazar\Quorum Business Solutions\Ecopetrol Prometeo - Documents\Planning Space Implementation\3. Analysis &amp; Design\Design\FC22\DRR Jaime\Neiva CPI\[VAO_DINA TERCIARIOS_CF_SEC_20230117.xlsx]CF PRB'!</v>
      </c>
      <c r="G678" s="6" t="s">
        <v>101</v>
      </c>
      <c r="H678" s="1">
        <f t="shared" si="155"/>
        <v>66</v>
      </c>
      <c r="I678" s="1" t="str">
        <f t="shared" si="156"/>
        <v>='C:\Users\jaime.benazar\Quorum Business Solutions\Ecopetrol Prometeo - Documents\Planning Space Implementation\3. Analysis &amp; Design\Design\FC22\DRR Jaime\Neiva CPI\[VAO_DINA TERCIARIOS_CF_SEC_20230117.xlsx]CF PRB'!$BT$66</v>
      </c>
      <c r="J678" s="1" t="s">
        <v>458</v>
      </c>
    </row>
    <row r="679" spans="1:10" x14ac:dyDescent="0.3">
      <c r="A679" s="6" t="s">
        <v>20</v>
      </c>
      <c r="B679" s="6">
        <f t="shared" si="157"/>
        <v>2054</v>
      </c>
      <c r="C679" s="1" t="s">
        <v>34</v>
      </c>
      <c r="D679" s="2" t="s">
        <v>131</v>
      </c>
      <c r="E679" s="9" t="str">
        <f t="shared" si="153"/>
        <v>PRB'!</v>
      </c>
      <c r="F679" s="5" t="str">
        <f t="shared" si="154"/>
        <v>C:\Users\jaime.benazar\Quorum Business Solutions\Ecopetrol Prometeo - Documents\Planning Space Implementation\3. Analysis &amp; Design\Design\FC22\DRR Jaime\Neiva CPI\[VAO_DINA TERCIARIOS_CF_SEC_20230117.xlsx]CF PRB'!</v>
      </c>
      <c r="G679" s="6" t="s">
        <v>101</v>
      </c>
      <c r="H679" s="1">
        <f t="shared" si="155"/>
        <v>67</v>
      </c>
      <c r="I679" s="1" t="str">
        <f t="shared" si="156"/>
        <v>='C:\Users\jaime.benazar\Quorum Business Solutions\Ecopetrol Prometeo - Documents\Planning Space Implementation\3. Analysis &amp; Design\Design\FC22\DRR Jaime\Neiva CPI\[VAO_DINA TERCIARIOS_CF_SEC_20230117.xlsx]CF PRB'!$BT$67</v>
      </c>
      <c r="J679" s="1" t="s">
        <v>459</v>
      </c>
    </row>
    <row r="680" spans="1:10" x14ac:dyDescent="0.3">
      <c r="A680" s="6" t="s">
        <v>20</v>
      </c>
      <c r="B680" s="6">
        <f t="shared" si="157"/>
        <v>2055</v>
      </c>
      <c r="C680" s="1" t="s">
        <v>34</v>
      </c>
      <c r="D680" s="2" t="s">
        <v>131</v>
      </c>
      <c r="E680" s="9" t="str">
        <f t="shared" si="153"/>
        <v>PRB'!</v>
      </c>
      <c r="F680" s="5" t="str">
        <f t="shared" si="154"/>
        <v>C:\Users\jaime.benazar\Quorum Business Solutions\Ecopetrol Prometeo - Documents\Planning Space Implementation\3. Analysis &amp; Design\Design\FC22\DRR Jaime\Neiva CPI\[VAO_DINA TERCIARIOS_CF_SEC_20230117.xlsx]CF PRB'!</v>
      </c>
      <c r="G680" s="6" t="s">
        <v>101</v>
      </c>
      <c r="H680" s="1">
        <f t="shared" si="155"/>
        <v>68</v>
      </c>
      <c r="I680" s="1" t="str">
        <f t="shared" si="156"/>
        <v>='C:\Users\jaime.benazar\Quorum Business Solutions\Ecopetrol Prometeo - Documents\Planning Space Implementation\3. Analysis &amp; Design\Design\FC22\DRR Jaime\Neiva CPI\[VAO_DINA TERCIARIOS_CF_SEC_20230117.xlsx]CF PRB'!$BT$68</v>
      </c>
      <c r="J680" s="1" t="s">
        <v>460</v>
      </c>
    </row>
    <row r="681" spans="1:10" x14ac:dyDescent="0.3">
      <c r="A681" s="6" t="s">
        <v>20</v>
      </c>
      <c r="B681" s="6">
        <f t="shared" si="157"/>
        <v>2056</v>
      </c>
      <c r="C681" s="1" t="s">
        <v>34</v>
      </c>
      <c r="D681" s="2" t="s">
        <v>131</v>
      </c>
      <c r="E681" s="9" t="str">
        <f t="shared" si="153"/>
        <v>PRB'!</v>
      </c>
      <c r="F681" s="5" t="str">
        <f t="shared" si="154"/>
        <v>C:\Users\jaime.benazar\Quorum Business Solutions\Ecopetrol Prometeo - Documents\Planning Space Implementation\3. Analysis &amp; Design\Design\FC22\DRR Jaime\Neiva CPI\[VAO_DINA TERCIARIOS_CF_SEC_20230117.xlsx]CF PRB'!</v>
      </c>
      <c r="G681" s="6" t="s">
        <v>101</v>
      </c>
      <c r="H681" s="1">
        <f t="shared" si="155"/>
        <v>69</v>
      </c>
      <c r="I681" s="1" t="str">
        <f t="shared" si="156"/>
        <v>='C:\Users\jaime.benazar\Quorum Business Solutions\Ecopetrol Prometeo - Documents\Planning Space Implementation\3. Analysis &amp; Design\Design\FC22\DRR Jaime\Neiva CPI\[VAO_DINA TERCIARIOS_CF_SEC_20230117.xlsx]CF PRB'!$BT$69</v>
      </c>
      <c r="J681" s="1" t="s">
        <v>461</v>
      </c>
    </row>
    <row r="682" spans="1:10" x14ac:dyDescent="0.3">
      <c r="A682" s="6" t="s">
        <v>20</v>
      </c>
      <c r="B682" s="6">
        <f t="shared" si="157"/>
        <v>2057</v>
      </c>
      <c r="C682" s="1" t="s">
        <v>34</v>
      </c>
      <c r="D682" s="2" t="s">
        <v>131</v>
      </c>
      <c r="E682" s="9" t="str">
        <f t="shared" si="153"/>
        <v>PRB'!</v>
      </c>
      <c r="F682" s="5" t="str">
        <f t="shared" si="154"/>
        <v>C:\Users\jaime.benazar\Quorum Business Solutions\Ecopetrol Prometeo - Documents\Planning Space Implementation\3. Analysis &amp; Design\Design\FC22\DRR Jaime\Neiva CPI\[VAO_DINA TERCIARIOS_CF_SEC_20230117.xlsx]CF PRB'!</v>
      </c>
      <c r="G682" s="6" t="s">
        <v>101</v>
      </c>
      <c r="H682" s="1">
        <f t="shared" si="155"/>
        <v>70</v>
      </c>
      <c r="I682" s="1" t="str">
        <f t="shared" si="156"/>
        <v>='C:\Users\jaime.benazar\Quorum Business Solutions\Ecopetrol Prometeo - Documents\Planning Space Implementation\3. Analysis &amp; Design\Design\FC22\DRR Jaime\Neiva CPI\[VAO_DINA TERCIARIOS_CF_SEC_20230117.xlsx]CF PRB'!$BT$70</v>
      </c>
      <c r="J682" s="1" t="s">
        <v>462</v>
      </c>
    </row>
    <row r="683" spans="1:10" x14ac:dyDescent="0.3">
      <c r="A683" s="6" t="s">
        <v>20</v>
      </c>
      <c r="B683" s="6">
        <f t="shared" si="157"/>
        <v>2058</v>
      </c>
      <c r="C683" s="1" t="s">
        <v>34</v>
      </c>
      <c r="D683" s="2" t="s">
        <v>131</v>
      </c>
      <c r="E683" s="9" t="str">
        <f t="shared" si="153"/>
        <v>PRB'!</v>
      </c>
      <c r="F683" s="5" t="str">
        <f t="shared" si="154"/>
        <v>C:\Users\jaime.benazar\Quorum Business Solutions\Ecopetrol Prometeo - Documents\Planning Space Implementation\3. Analysis &amp; Design\Design\FC22\DRR Jaime\Neiva CPI\[VAO_DINA TERCIARIOS_CF_SEC_20230117.xlsx]CF PRB'!</v>
      </c>
      <c r="G683" s="6" t="s">
        <v>101</v>
      </c>
      <c r="H683" s="1">
        <f t="shared" si="155"/>
        <v>71</v>
      </c>
      <c r="I683" s="1" t="str">
        <f t="shared" si="156"/>
        <v>='C:\Users\jaime.benazar\Quorum Business Solutions\Ecopetrol Prometeo - Documents\Planning Space Implementation\3. Analysis &amp; Design\Design\FC22\DRR Jaime\Neiva CPI\[VAO_DINA TERCIARIOS_CF_SEC_20230117.xlsx]CF PRB'!$BT$71</v>
      </c>
      <c r="J683" s="1" t="s">
        <v>463</v>
      </c>
    </row>
    <row r="684" spans="1:10" x14ac:dyDescent="0.3">
      <c r="A684" s="6" t="s">
        <v>20</v>
      </c>
      <c r="B684" s="6">
        <f t="shared" si="157"/>
        <v>2059</v>
      </c>
      <c r="C684" s="1" t="s">
        <v>34</v>
      </c>
      <c r="D684" s="2" t="s">
        <v>131</v>
      </c>
      <c r="E684" s="9" t="str">
        <f t="shared" si="153"/>
        <v>PRB'!</v>
      </c>
      <c r="F684" s="5" t="str">
        <f t="shared" si="154"/>
        <v>C:\Users\jaime.benazar\Quorum Business Solutions\Ecopetrol Prometeo - Documents\Planning Space Implementation\3. Analysis &amp; Design\Design\FC22\DRR Jaime\Neiva CPI\[VAO_DINA TERCIARIOS_CF_SEC_20230117.xlsx]CF PRB'!</v>
      </c>
      <c r="G684" s="6" t="s">
        <v>101</v>
      </c>
      <c r="H684" s="1">
        <f t="shared" si="155"/>
        <v>72</v>
      </c>
      <c r="I684" s="1" t="str">
        <f t="shared" si="156"/>
        <v>='C:\Users\jaime.benazar\Quorum Business Solutions\Ecopetrol Prometeo - Documents\Planning Space Implementation\3. Analysis &amp; Design\Design\FC22\DRR Jaime\Neiva CPI\[VAO_DINA TERCIARIOS_CF_SEC_20230117.xlsx]CF PRB'!$BT$72</v>
      </c>
      <c r="J684" s="1" t="s">
        <v>464</v>
      </c>
    </row>
    <row r="685" spans="1:10" x14ac:dyDescent="0.3">
      <c r="A685" s="6" t="s">
        <v>26</v>
      </c>
      <c r="B685" s="6"/>
      <c r="C685" s="1" t="s">
        <v>34</v>
      </c>
      <c r="D685" s="2"/>
      <c r="E685" s="9"/>
      <c r="F685" s="2"/>
      <c r="G685" s="6"/>
      <c r="H685" s="1"/>
      <c r="I685" s="1"/>
      <c r="J685" s="4"/>
    </row>
    <row r="686" spans="1:10" x14ac:dyDescent="0.3">
      <c r="A686" s="6" t="s">
        <v>21</v>
      </c>
      <c r="B686" s="6">
        <v>2023</v>
      </c>
      <c r="C686" s="1" t="s">
        <v>34</v>
      </c>
      <c r="D686" s="2" t="s">
        <v>131</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Jaime\Neiva CPI\[VAO_DINA TERCIARIOS_CF_SEC_20230117.xlsx]CF PSDP'!</v>
      </c>
      <c r="G686" s="6" t="s">
        <v>101</v>
      </c>
      <c r="H686" s="1"/>
      <c r="I686" s="1"/>
      <c r="J686" s="1"/>
    </row>
    <row r="687" spans="1:10" x14ac:dyDescent="0.3">
      <c r="A687" s="6" t="s">
        <v>21</v>
      </c>
      <c r="B687" s="6">
        <f>+B686+1</f>
        <v>2024</v>
      </c>
      <c r="C687" s="1" t="s">
        <v>34</v>
      </c>
      <c r="D687" s="2" t="s">
        <v>131</v>
      </c>
      <c r="E687" s="9" t="str">
        <f t="shared" si="158"/>
        <v>PSDP'!</v>
      </c>
      <c r="F687" s="5" t="str">
        <f t="shared" si="159"/>
        <v>C:\Users\jaime.benazar\Quorum Business Solutions\Ecopetrol Prometeo - Documents\Planning Space Implementation\3. Analysis &amp; Design\Design\FC22\DRR Jaime\Neiva CPI\[VAO_DINA TERCIARIOS_CF_SEC_20230117.xlsx]CF PSDP'!</v>
      </c>
      <c r="G687" s="6" t="s">
        <v>101</v>
      </c>
      <c r="H687" s="1"/>
      <c r="I687" s="1"/>
      <c r="J687" s="1"/>
    </row>
    <row r="688" spans="1:10" x14ac:dyDescent="0.3">
      <c r="A688" s="6" t="s">
        <v>21</v>
      </c>
      <c r="B688" s="6">
        <f t="shared" ref="B688:B699" si="160">+B687+1</f>
        <v>2025</v>
      </c>
      <c r="C688" s="1" t="s">
        <v>34</v>
      </c>
      <c r="D688" s="2" t="s">
        <v>131</v>
      </c>
      <c r="E688" s="9" t="str">
        <f t="shared" si="158"/>
        <v>PSDP'!</v>
      </c>
      <c r="F688" s="5" t="str">
        <f t="shared" si="159"/>
        <v>C:\Users\jaime.benazar\Quorum Business Solutions\Ecopetrol Prometeo - Documents\Planning Space Implementation\3. Analysis &amp; Design\Design\FC22\DRR Jaime\Neiva CPI\[VAO_DINA TERCIARIOS_CF_SEC_20230117.xlsx]CF PSDP'!</v>
      </c>
      <c r="G688" s="6" t="s">
        <v>101</v>
      </c>
      <c r="H688" s="1"/>
      <c r="I688" s="1"/>
      <c r="J688" s="1"/>
    </row>
    <row r="689" spans="1:10" x14ac:dyDescent="0.3">
      <c r="A689" s="6" t="s">
        <v>21</v>
      </c>
      <c r="B689" s="6">
        <f t="shared" si="160"/>
        <v>2026</v>
      </c>
      <c r="C689" s="1" t="s">
        <v>34</v>
      </c>
      <c r="D689" s="2" t="s">
        <v>131</v>
      </c>
      <c r="E689" s="9" t="str">
        <f t="shared" si="158"/>
        <v>PSDP'!</v>
      </c>
      <c r="F689" s="5" t="str">
        <f t="shared" si="159"/>
        <v>C:\Users\jaime.benazar\Quorum Business Solutions\Ecopetrol Prometeo - Documents\Planning Space Implementation\3. Analysis &amp; Design\Design\FC22\DRR Jaime\Neiva CPI\[VAO_DINA TERCIARIOS_CF_SEC_20230117.xlsx]CF PSDP'!</v>
      </c>
      <c r="G689" s="6" t="s">
        <v>101</v>
      </c>
      <c r="H689" s="1"/>
      <c r="I689" s="1"/>
      <c r="J689" s="1"/>
    </row>
    <row r="690" spans="1:10" x14ac:dyDescent="0.3">
      <c r="A690" s="6" t="s">
        <v>21</v>
      </c>
      <c r="B690" s="6">
        <f t="shared" si="160"/>
        <v>2027</v>
      </c>
      <c r="C690" s="1" t="s">
        <v>34</v>
      </c>
      <c r="D690" s="2" t="s">
        <v>131</v>
      </c>
      <c r="E690" s="9" t="str">
        <f t="shared" si="158"/>
        <v>PSDP'!</v>
      </c>
      <c r="F690" s="5" t="str">
        <f t="shared" si="159"/>
        <v>C:\Users\jaime.benazar\Quorum Business Solutions\Ecopetrol Prometeo - Documents\Planning Space Implementation\3. Analysis &amp; Design\Design\FC22\DRR Jaime\Neiva CPI\[VAO_DINA TERCIARIOS_CF_SEC_20230117.xlsx]CF PSDP'!</v>
      </c>
      <c r="G690" s="6" t="s">
        <v>101</v>
      </c>
      <c r="H690" s="1"/>
      <c r="I690" s="1"/>
      <c r="J690" s="1"/>
    </row>
    <row r="691" spans="1:10" x14ac:dyDescent="0.3">
      <c r="A691" s="6" t="s">
        <v>21</v>
      </c>
      <c r="B691" s="6">
        <f t="shared" si="160"/>
        <v>2028</v>
      </c>
      <c r="C691" s="1" t="s">
        <v>34</v>
      </c>
      <c r="D691" s="2" t="s">
        <v>131</v>
      </c>
      <c r="E691" s="9" t="str">
        <f t="shared" si="158"/>
        <v>PSDP'!</v>
      </c>
      <c r="F691" s="5" t="str">
        <f t="shared" si="159"/>
        <v>C:\Users\jaime.benazar\Quorum Business Solutions\Ecopetrol Prometeo - Documents\Planning Space Implementation\3. Analysis &amp; Design\Design\FC22\DRR Jaime\Neiva CPI\[VAO_DINA TERCIARIOS_CF_SEC_20230117.xlsx]CF PSDP'!</v>
      </c>
      <c r="G691" s="6" t="s">
        <v>101</v>
      </c>
      <c r="H691" s="1"/>
      <c r="I691" s="1"/>
      <c r="J691" s="1"/>
    </row>
    <row r="692" spans="1:10" x14ac:dyDescent="0.3">
      <c r="A692" s="6" t="s">
        <v>21</v>
      </c>
      <c r="B692" s="6">
        <f t="shared" si="160"/>
        <v>2029</v>
      </c>
      <c r="C692" s="1" t="s">
        <v>34</v>
      </c>
      <c r="D692" s="2" t="s">
        <v>131</v>
      </c>
      <c r="E692" s="9" t="str">
        <f t="shared" si="158"/>
        <v>PSDP'!</v>
      </c>
      <c r="F692" s="5" t="str">
        <f t="shared" si="159"/>
        <v>C:\Users\jaime.benazar\Quorum Business Solutions\Ecopetrol Prometeo - Documents\Planning Space Implementation\3. Analysis &amp; Design\Design\FC22\DRR Jaime\Neiva CPI\[VAO_DINA TERCIARIOS_CF_SEC_20230117.xlsx]CF PSDP'!</v>
      </c>
      <c r="G692" s="6" t="s">
        <v>101</v>
      </c>
      <c r="H692" s="1"/>
      <c r="I692" s="1"/>
      <c r="J692" s="1"/>
    </row>
    <row r="693" spans="1:10" x14ac:dyDescent="0.3">
      <c r="A693" s="6" t="s">
        <v>21</v>
      </c>
      <c r="B693" s="6">
        <f t="shared" si="160"/>
        <v>2030</v>
      </c>
      <c r="C693" s="1" t="s">
        <v>34</v>
      </c>
      <c r="D693" s="2" t="s">
        <v>131</v>
      </c>
      <c r="E693" s="9" t="str">
        <f t="shared" si="158"/>
        <v>PSDP'!</v>
      </c>
      <c r="F693" s="5" t="str">
        <f t="shared" si="159"/>
        <v>C:\Users\jaime.benazar\Quorum Business Solutions\Ecopetrol Prometeo - Documents\Planning Space Implementation\3. Analysis &amp; Design\Design\FC22\DRR Jaime\Neiva CPI\[VAO_DINA TERCIARIOS_CF_SEC_20230117.xlsx]CF PSDP'!</v>
      </c>
      <c r="G693" s="6" t="s">
        <v>101</v>
      </c>
      <c r="H693" s="1"/>
      <c r="I693" s="1"/>
      <c r="J693" s="1"/>
    </row>
    <row r="694" spans="1:10" x14ac:dyDescent="0.3">
      <c r="A694" s="6" t="s">
        <v>21</v>
      </c>
      <c r="B694" s="6">
        <f t="shared" si="160"/>
        <v>2031</v>
      </c>
      <c r="C694" s="1" t="s">
        <v>34</v>
      </c>
      <c r="D694" s="2" t="s">
        <v>131</v>
      </c>
      <c r="E694" s="9" t="str">
        <f t="shared" si="158"/>
        <v>PSDP'!</v>
      </c>
      <c r="F694" s="5" t="str">
        <f t="shared" si="159"/>
        <v>C:\Users\jaime.benazar\Quorum Business Solutions\Ecopetrol Prometeo - Documents\Planning Space Implementation\3. Analysis &amp; Design\Design\FC22\DRR Jaime\Neiva CPI\[VAO_DINA TERCIARIOS_CF_SEC_20230117.xlsx]CF PSDP'!</v>
      </c>
      <c r="G694" s="6" t="s">
        <v>101</v>
      </c>
      <c r="H694" s="1"/>
      <c r="I694" s="1"/>
      <c r="J694" s="1"/>
    </row>
    <row r="695" spans="1:10" x14ac:dyDescent="0.3">
      <c r="A695" s="6" t="s">
        <v>21</v>
      </c>
      <c r="B695" s="6">
        <f t="shared" si="160"/>
        <v>2032</v>
      </c>
      <c r="C695" s="1" t="s">
        <v>34</v>
      </c>
      <c r="D695" s="2" t="s">
        <v>131</v>
      </c>
      <c r="E695" s="9" t="str">
        <f t="shared" si="158"/>
        <v>PSDP'!</v>
      </c>
      <c r="F695" s="5" t="str">
        <f t="shared" si="159"/>
        <v>C:\Users\jaime.benazar\Quorum Business Solutions\Ecopetrol Prometeo - Documents\Planning Space Implementation\3. Analysis &amp; Design\Design\FC22\DRR Jaime\Neiva CPI\[VAO_DINA TERCIARIOS_CF_SEC_20230117.xlsx]CF PSDP'!</v>
      </c>
      <c r="G695" s="6" t="s">
        <v>101</v>
      </c>
      <c r="H695" s="1"/>
      <c r="I695" s="1"/>
      <c r="J695" s="1"/>
    </row>
    <row r="696" spans="1:10" x14ac:dyDescent="0.3">
      <c r="A696" s="6" t="s">
        <v>21</v>
      </c>
      <c r="B696" s="6">
        <f t="shared" si="160"/>
        <v>2033</v>
      </c>
      <c r="C696" s="1" t="s">
        <v>34</v>
      </c>
      <c r="D696" s="2" t="s">
        <v>131</v>
      </c>
      <c r="E696" s="9" t="str">
        <f t="shared" si="158"/>
        <v>PSDP'!</v>
      </c>
      <c r="F696" s="5" t="str">
        <f t="shared" si="159"/>
        <v>C:\Users\jaime.benazar\Quorum Business Solutions\Ecopetrol Prometeo - Documents\Planning Space Implementation\3. Analysis &amp; Design\Design\FC22\DRR Jaime\Neiva CPI\[VAO_DINA TERCIARIOS_CF_SEC_20230117.xlsx]CF PSDP'!</v>
      </c>
      <c r="G696" s="6" t="s">
        <v>101</v>
      </c>
      <c r="H696" s="1"/>
      <c r="I696" s="1"/>
      <c r="J696" s="1"/>
    </row>
    <row r="697" spans="1:10" x14ac:dyDescent="0.3">
      <c r="A697" s="6" t="s">
        <v>21</v>
      </c>
      <c r="B697" s="6">
        <f t="shared" si="160"/>
        <v>2034</v>
      </c>
      <c r="C697" s="1" t="s">
        <v>34</v>
      </c>
      <c r="D697" s="2" t="s">
        <v>131</v>
      </c>
      <c r="E697" s="9" t="str">
        <f t="shared" si="158"/>
        <v>PSDP'!</v>
      </c>
      <c r="F697" s="5" t="str">
        <f t="shared" si="159"/>
        <v>C:\Users\jaime.benazar\Quorum Business Solutions\Ecopetrol Prometeo - Documents\Planning Space Implementation\3. Analysis &amp; Design\Design\FC22\DRR Jaime\Neiva CPI\[VAO_DINA TERCIARIOS_CF_SEC_20230117.xlsx]CF PSDP'!</v>
      </c>
      <c r="G697" s="6" t="s">
        <v>101</v>
      </c>
      <c r="H697" s="1"/>
      <c r="I697" s="1"/>
      <c r="J697" s="1"/>
    </row>
    <row r="698" spans="1:10" x14ac:dyDescent="0.3">
      <c r="A698" s="6" t="s">
        <v>21</v>
      </c>
      <c r="B698" s="6">
        <f t="shared" si="160"/>
        <v>2035</v>
      </c>
      <c r="C698" s="1" t="s">
        <v>34</v>
      </c>
      <c r="D698" s="2" t="s">
        <v>131</v>
      </c>
      <c r="E698" s="9" t="str">
        <f t="shared" si="158"/>
        <v>PSDP'!</v>
      </c>
      <c r="F698" s="5" t="str">
        <f t="shared" si="159"/>
        <v>C:\Users\jaime.benazar\Quorum Business Solutions\Ecopetrol Prometeo - Documents\Planning Space Implementation\3. Analysis &amp; Design\Design\FC22\DRR Jaime\Neiva CPI\[VAO_DINA TERCIARIOS_CF_SEC_20230117.xlsx]CF PSDP'!</v>
      </c>
      <c r="G698" s="6" t="s">
        <v>101</v>
      </c>
      <c r="H698" s="1"/>
      <c r="I698" s="1"/>
      <c r="J698" s="1"/>
    </row>
    <row r="699" spans="1:10" x14ac:dyDescent="0.3">
      <c r="A699" s="6" t="s">
        <v>21</v>
      </c>
      <c r="B699" s="6">
        <f t="shared" si="160"/>
        <v>2036</v>
      </c>
      <c r="C699" s="1" t="s">
        <v>34</v>
      </c>
      <c r="D699" s="2" t="s">
        <v>131</v>
      </c>
      <c r="E699" s="9" t="str">
        <f t="shared" si="158"/>
        <v>PSDP'!</v>
      </c>
      <c r="F699" s="5" t="str">
        <f t="shared" si="159"/>
        <v>C:\Users\jaime.benazar\Quorum Business Solutions\Ecopetrol Prometeo - Documents\Planning Space Implementation\3. Analysis &amp; Design\Design\FC22\DRR Jaime\Neiva CPI\[VAO_DINA TERCIARIOS_CF_SEC_20230117.xlsx]CF PSDP'!</v>
      </c>
      <c r="G699" s="6" t="s">
        <v>101</v>
      </c>
      <c r="H699" s="1"/>
      <c r="I699" s="1"/>
      <c r="J699" s="1"/>
    </row>
    <row r="700" spans="1:10" x14ac:dyDescent="0.3">
      <c r="A700" s="6" t="s">
        <v>21</v>
      </c>
      <c r="B700" s="6">
        <f>+B699+1</f>
        <v>2037</v>
      </c>
      <c r="C700" s="1" t="s">
        <v>34</v>
      </c>
      <c r="D700" s="2" t="s">
        <v>131</v>
      </c>
      <c r="E700" s="9" t="str">
        <f t="shared" si="158"/>
        <v>PSDP'!</v>
      </c>
      <c r="F700" s="5" t="str">
        <f t="shared" si="159"/>
        <v>C:\Users\jaime.benazar\Quorum Business Solutions\Ecopetrol Prometeo - Documents\Planning Space Implementation\3. Analysis &amp; Design\Design\FC22\DRR Jaime\Neiva CPI\[VAO_DINA TERCIARIOS_CF_SEC_20230117.xlsx]CF PSDP'!</v>
      </c>
      <c r="G700" s="6" t="s">
        <v>101</v>
      </c>
      <c r="H700" s="1"/>
      <c r="I700" s="1"/>
      <c r="J700" s="1"/>
    </row>
    <row r="701" spans="1:10" x14ac:dyDescent="0.3">
      <c r="A701" s="6" t="s">
        <v>21</v>
      </c>
      <c r="B701" s="6">
        <f t="shared" ref="B701:B703" si="161">+B700+1</f>
        <v>2038</v>
      </c>
      <c r="C701" s="1" t="s">
        <v>34</v>
      </c>
      <c r="D701" s="2" t="s">
        <v>131</v>
      </c>
      <c r="E701" s="9" t="str">
        <f t="shared" si="158"/>
        <v>PSDP'!</v>
      </c>
      <c r="F701" s="5" t="str">
        <f t="shared" si="159"/>
        <v>C:\Users\jaime.benazar\Quorum Business Solutions\Ecopetrol Prometeo - Documents\Planning Space Implementation\3. Analysis &amp; Design\Design\FC22\DRR Jaime\Neiva CPI\[VAO_DINA TERCIARIOS_CF_SEC_20230117.xlsx]CF PSDP'!</v>
      </c>
      <c r="G701" s="6" t="s">
        <v>101</v>
      </c>
      <c r="H701" s="1"/>
      <c r="I701" s="1"/>
      <c r="J701" s="1"/>
    </row>
    <row r="702" spans="1:10" x14ac:dyDescent="0.3">
      <c r="A702" s="6" t="s">
        <v>21</v>
      </c>
      <c r="B702" s="6">
        <f t="shared" si="161"/>
        <v>2039</v>
      </c>
      <c r="C702" s="1" t="s">
        <v>34</v>
      </c>
      <c r="D702" s="2" t="s">
        <v>131</v>
      </c>
      <c r="E702" s="9" t="str">
        <f t="shared" si="158"/>
        <v>PSDP'!</v>
      </c>
      <c r="F702" s="5" t="str">
        <f t="shared" si="159"/>
        <v>C:\Users\jaime.benazar\Quorum Business Solutions\Ecopetrol Prometeo - Documents\Planning Space Implementation\3. Analysis &amp; Design\Design\FC22\DRR Jaime\Neiva CPI\[VAO_DINA TERCIARIOS_CF_SEC_20230117.xlsx]CF PSDP'!</v>
      </c>
      <c r="G702" s="6" t="s">
        <v>101</v>
      </c>
      <c r="H702" s="1"/>
      <c r="I702" s="1"/>
      <c r="J702" s="1"/>
    </row>
    <row r="703" spans="1:10" x14ac:dyDescent="0.3">
      <c r="A703" s="6" t="s">
        <v>21</v>
      </c>
      <c r="B703" s="6">
        <f t="shared" si="161"/>
        <v>2040</v>
      </c>
      <c r="C703" s="1" t="s">
        <v>34</v>
      </c>
      <c r="D703" s="2" t="s">
        <v>131</v>
      </c>
      <c r="E703" s="9" t="str">
        <f t="shared" si="158"/>
        <v>PSDP'!</v>
      </c>
      <c r="F703" s="5" t="str">
        <f t="shared" si="159"/>
        <v>C:\Users\jaime.benazar\Quorum Business Solutions\Ecopetrol Prometeo - Documents\Planning Space Implementation\3. Analysis &amp; Design\Design\FC22\DRR Jaime\Neiva CPI\[VAO_DINA TERCIARIOS_CF_SEC_20230117.xlsx]CF PSDP'!</v>
      </c>
      <c r="G703" s="6" t="s">
        <v>101</v>
      </c>
      <c r="H703" s="1"/>
      <c r="I703" s="1"/>
      <c r="J703" s="1"/>
    </row>
    <row r="704" spans="1:10" x14ac:dyDescent="0.3">
      <c r="A704" s="6" t="s">
        <v>21</v>
      </c>
      <c r="B704" s="6">
        <f>+B703+1</f>
        <v>2041</v>
      </c>
      <c r="C704" s="1" t="s">
        <v>34</v>
      </c>
      <c r="D704" s="2" t="s">
        <v>131</v>
      </c>
      <c r="E704" s="9" t="str">
        <f t="shared" si="158"/>
        <v>PSDP'!</v>
      </c>
      <c r="F704" s="5" t="str">
        <f t="shared" si="159"/>
        <v>C:\Users\jaime.benazar\Quorum Business Solutions\Ecopetrol Prometeo - Documents\Planning Space Implementation\3. Analysis &amp; Design\Design\FC22\DRR Jaime\Neiva CPI\[VAO_DINA TERCIARIOS_CF_SEC_20230117.xlsx]CF PSDP'!</v>
      </c>
      <c r="G704" s="6" t="s">
        <v>101</v>
      </c>
      <c r="H704" s="1"/>
      <c r="I704" s="1"/>
      <c r="J704" s="1"/>
    </row>
    <row r="705" spans="1:10" x14ac:dyDescent="0.3">
      <c r="A705" s="6" t="s">
        <v>21</v>
      </c>
      <c r="B705" s="6">
        <f t="shared" ref="B705:B706" si="162">+B704+1</f>
        <v>2042</v>
      </c>
      <c r="C705" s="1" t="s">
        <v>34</v>
      </c>
      <c r="D705" s="2" t="s">
        <v>131</v>
      </c>
      <c r="E705" s="9" t="str">
        <f t="shared" si="158"/>
        <v>PSDP'!</v>
      </c>
      <c r="F705" s="5" t="str">
        <f t="shared" si="159"/>
        <v>C:\Users\jaime.benazar\Quorum Business Solutions\Ecopetrol Prometeo - Documents\Planning Space Implementation\3. Analysis &amp; Design\Design\FC22\DRR Jaime\Neiva CPI\[VAO_DINA TERCIARIOS_CF_SEC_20230117.xlsx]CF PSDP'!</v>
      </c>
      <c r="G705" s="6" t="s">
        <v>101</v>
      </c>
      <c r="H705" s="1"/>
      <c r="I705" s="1"/>
      <c r="J705" s="1"/>
    </row>
    <row r="706" spans="1:10" x14ac:dyDescent="0.3">
      <c r="A706" s="6" t="s">
        <v>21</v>
      </c>
      <c r="B706" s="6">
        <f t="shared" si="162"/>
        <v>2043</v>
      </c>
      <c r="C706" s="1" t="s">
        <v>34</v>
      </c>
      <c r="D706" s="2" t="s">
        <v>131</v>
      </c>
      <c r="E706" s="9" t="str">
        <f t="shared" si="158"/>
        <v>PSDP'!</v>
      </c>
      <c r="F706" s="5" t="str">
        <f t="shared" si="159"/>
        <v>C:\Users\jaime.benazar\Quorum Business Solutions\Ecopetrol Prometeo - Documents\Planning Space Implementation\3. Analysis &amp; Design\Design\FC22\DRR Jaime\Neiva CPI\[VAO_DINA TERCIARIOS_CF_SEC_20230117.xlsx]CF PSDP'!</v>
      </c>
      <c r="G706" s="6" t="s">
        <v>101</v>
      </c>
      <c r="H706" s="1"/>
      <c r="I706" s="1"/>
      <c r="J706" s="1"/>
    </row>
    <row r="707" spans="1:10" x14ac:dyDescent="0.3">
      <c r="A707" s="6" t="s">
        <v>21</v>
      </c>
      <c r="B707" s="6">
        <f>+B706+1</f>
        <v>2044</v>
      </c>
      <c r="C707" s="1" t="s">
        <v>34</v>
      </c>
      <c r="D707" s="2" t="s">
        <v>131</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Jaime\Neiva CPI\[VAO_DINA TERCIARIOS_CF_SEC_20230117.xlsx]CF PSDP'!</v>
      </c>
      <c r="G707" s="6" t="s">
        <v>101</v>
      </c>
      <c r="H707" s="1"/>
      <c r="I707" s="1"/>
      <c r="J707" s="1"/>
    </row>
    <row r="708" spans="1:10" x14ac:dyDescent="0.3">
      <c r="A708" s="6" t="s">
        <v>21</v>
      </c>
      <c r="B708" s="6">
        <f t="shared" ref="B708:B722" si="165">+B707+1</f>
        <v>2045</v>
      </c>
      <c r="C708" s="1" t="s">
        <v>34</v>
      </c>
      <c r="D708" s="2" t="s">
        <v>131</v>
      </c>
      <c r="E708" s="9" t="str">
        <f t="shared" si="163"/>
        <v>PSDP'!</v>
      </c>
      <c r="F708" s="5" t="str">
        <f t="shared" si="164"/>
        <v>C:\Users\jaime.benazar\Quorum Business Solutions\Ecopetrol Prometeo - Documents\Planning Space Implementation\3. Analysis &amp; Design\Design\FC22\DRR Jaime\Neiva CPI\[VAO_DINA TERCIARIOS_CF_SEC_20230117.xlsx]CF PSDP'!</v>
      </c>
      <c r="G708" s="6" t="s">
        <v>101</v>
      </c>
      <c r="H708" s="1"/>
      <c r="I708" s="1"/>
      <c r="J708" s="1"/>
    </row>
    <row r="709" spans="1:10" x14ac:dyDescent="0.3">
      <c r="A709" s="6" t="s">
        <v>21</v>
      </c>
      <c r="B709" s="6">
        <f t="shared" si="165"/>
        <v>2046</v>
      </c>
      <c r="C709" s="1" t="s">
        <v>34</v>
      </c>
      <c r="D709" s="2" t="s">
        <v>131</v>
      </c>
      <c r="E709" s="9" t="str">
        <f t="shared" si="163"/>
        <v>PSDP'!</v>
      </c>
      <c r="F709" s="5" t="str">
        <f t="shared" si="164"/>
        <v>C:\Users\jaime.benazar\Quorum Business Solutions\Ecopetrol Prometeo - Documents\Planning Space Implementation\3. Analysis &amp; Design\Design\FC22\DRR Jaime\Neiva CPI\[VAO_DINA TERCIARIOS_CF_SEC_20230117.xlsx]CF PSDP'!</v>
      </c>
      <c r="G709" s="6" t="s">
        <v>101</v>
      </c>
      <c r="H709" s="1"/>
      <c r="I709" s="1"/>
      <c r="J709" s="1"/>
    </row>
    <row r="710" spans="1:10" x14ac:dyDescent="0.3">
      <c r="A710" s="6" t="s">
        <v>21</v>
      </c>
      <c r="B710" s="6">
        <f t="shared" si="165"/>
        <v>2047</v>
      </c>
      <c r="C710" s="1" t="s">
        <v>34</v>
      </c>
      <c r="D710" s="2" t="s">
        <v>131</v>
      </c>
      <c r="E710" s="9" t="str">
        <f t="shared" si="163"/>
        <v>PSDP'!</v>
      </c>
      <c r="F710" s="5" t="str">
        <f t="shared" si="164"/>
        <v>C:\Users\jaime.benazar\Quorum Business Solutions\Ecopetrol Prometeo - Documents\Planning Space Implementation\3. Analysis &amp; Design\Design\FC22\DRR Jaime\Neiva CPI\[VAO_DINA TERCIARIOS_CF_SEC_20230117.xlsx]CF PSDP'!</v>
      </c>
      <c r="G710" s="6" t="s">
        <v>101</v>
      </c>
      <c r="H710" s="1"/>
      <c r="I710" s="1"/>
      <c r="J710" s="1"/>
    </row>
    <row r="711" spans="1:10" x14ac:dyDescent="0.3">
      <c r="A711" s="6" t="s">
        <v>21</v>
      </c>
      <c r="B711" s="6">
        <f t="shared" si="165"/>
        <v>2048</v>
      </c>
      <c r="C711" s="1" t="s">
        <v>34</v>
      </c>
      <c r="D711" s="2" t="s">
        <v>131</v>
      </c>
      <c r="E711" s="9" t="str">
        <f t="shared" si="163"/>
        <v>PSDP'!</v>
      </c>
      <c r="F711" s="5" t="str">
        <f t="shared" si="164"/>
        <v>C:\Users\jaime.benazar\Quorum Business Solutions\Ecopetrol Prometeo - Documents\Planning Space Implementation\3. Analysis &amp; Design\Design\FC22\DRR Jaime\Neiva CPI\[VAO_DINA TERCIARIOS_CF_SEC_20230117.xlsx]CF PSDP'!</v>
      </c>
      <c r="G711" s="6" t="s">
        <v>101</v>
      </c>
      <c r="H711" s="1"/>
      <c r="I711" s="1"/>
      <c r="J711" s="1"/>
    </row>
    <row r="712" spans="1:10" x14ac:dyDescent="0.3">
      <c r="A712" s="6" t="s">
        <v>21</v>
      </c>
      <c r="B712" s="6">
        <f t="shared" si="165"/>
        <v>2049</v>
      </c>
      <c r="C712" s="1" t="s">
        <v>34</v>
      </c>
      <c r="D712" s="2" t="s">
        <v>131</v>
      </c>
      <c r="E712" s="9" t="str">
        <f t="shared" si="163"/>
        <v>PSDP'!</v>
      </c>
      <c r="F712" s="5" t="str">
        <f t="shared" si="164"/>
        <v>C:\Users\jaime.benazar\Quorum Business Solutions\Ecopetrol Prometeo - Documents\Planning Space Implementation\3. Analysis &amp; Design\Design\FC22\DRR Jaime\Neiva CPI\[VAO_DINA TERCIARIOS_CF_SEC_20230117.xlsx]CF PSDP'!</v>
      </c>
      <c r="G712" s="6" t="s">
        <v>101</v>
      </c>
      <c r="H712" s="1"/>
      <c r="I712" s="1"/>
      <c r="J712" s="1"/>
    </row>
    <row r="713" spans="1:10" x14ac:dyDescent="0.3">
      <c r="A713" s="6" t="s">
        <v>21</v>
      </c>
      <c r="B713" s="6">
        <f t="shared" si="165"/>
        <v>2050</v>
      </c>
      <c r="C713" s="1" t="s">
        <v>34</v>
      </c>
      <c r="D713" s="2" t="s">
        <v>131</v>
      </c>
      <c r="E713" s="9" t="str">
        <f t="shared" si="163"/>
        <v>PSDP'!</v>
      </c>
      <c r="F713" s="5" t="str">
        <f t="shared" si="164"/>
        <v>C:\Users\jaime.benazar\Quorum Business Solutions\Ecopetrol Prometeo - Documents\Planning Space Implementation\3. Analysis &amp; Design\Design\FC22\DRR Jaime\Neiva CPI\[VAO_DINA TERCIARIOS_CF_SEC_20230117.xlsx]CF PSDP'!</v>
      </c>
      <c r="G713" s="6" t="s">
        <v>101</v>
      </c>
      <c r="H713" s="1"/>
      <c r="I713" s="1"/>
      <c r="J713" s="1"/>
    </row>
    <row r="714" spans="1:10" x14ac:dyDescent="0.3">
      <c r="A714" s="6" t="s">
        <v>21</v>
      </c>
      <c r="B714" s="6">
        <f t="shared" si="165"/>
        <v>2051</v>
      </c>
      <c r="C714" s="1" t="s">
        <v>34</v>
      </c>
      <c r="D714" s="2" t="s">
        <v>131</v>
      </c>
      <c r="E714" s="9" t="str">
        <f t="shared" si="163"/>
        <v>PSDP'!</v>
      </c>
      <c r="F714" s="5" t="str">
        <f t="shared" si="164"/>
        <v>C:\Users\jaime.benazar\Quorum Business Solutions\Ecopetrol Prometeo - Documents\Planning Space Implementation\3. Analysis &amp; Design\Design\FC22\DRR Jaime\Neiva CPI\[VAO_DINA TERCIARIOS_CF_SEC_20230117.xlsx]CF PSDP'!</v>
      </c>
      <c r="G714" s="6" t="s">
        <v>101</v>
      </c>
      <c r="H714" s="1"/>
      <c r="I714" s="1"/>
      <c r="J714" s="1"/>
    </row>
    <row r="715" spans="1:10" x14ac:dyDescent="0.3">
      <c r="A715" s="6" t="s">
        <v>21</v>
      </c>
      <c r="B715" s="6">
        <f t="shared" si="165"/>
        <v>2052</v>
      </c>
      <c r="C715" s="1" t="s">
        <v>34</v>
      </c>
      <c r="D715" s="2" t="s">
        <v>131</v>
      </c>
      <c r="E715" s="9" t="str">
        <f t="shared" si="163"/>
        <v>PSDP'!</v>
      </c>
      <c r="F715" s="5" t="str">
        <f t="shared" si="164"/>
        <v>C:\Users\jaime.benazar\Quorum Business Solutions\Ecopetrol Prometeo - Documents\Planning Space Implementation\3. Analysis &amp; Design\Design\FC22\DRR Jaime\Neiva CPI\[VAO_DINA TERCIARIOS_CF_SEC_20230117.xlsx]CF PSDP'!</v>
      </c>
      <c r="G715" s="6" t="s">
        <v>101</v>
      </c>
      <c r="H715" s="1"/>
      <c r="I715" s="1"/>
      <c r="J715" s="1"/>
    </row>
    <row r="716" spans="1:10" x14ac:dyDescent="0.3">
      <c r="A716" s="6" t="s">
        <v>21</v>
      </c>
      <c r="B716" s="6">
        <f t="shared" si="165"/>
        <v>2053</v>
      </c>
      <c r="C716" s="1" t="s">
        <v>34</v>
      </c>
      <c r="D716" s="2" t="s">
        <v>131</v>
      </c>
      <c r="E716" s="9" t="str">
        <f t="shared" si="163"/>
        <v>PSDP'!</v>
      </c>
      <c r="F716" s="5" t="str">
        <f t="shared" si="164"/>
        <v>C:\Users\jaime.benazar\Quorum Business Solutions\Ecopetrol Prometeo - Documents\Planning Space Implementation\3. Analysis &amp; Design\Design\FC22\DRR Jaime\Neiva CPI\[VAO_DINA TERCIARIOS_CF_SEC_20230117.xlsx]CF PSDP'!</v>
      </c>
      <c r="G716" s="6" t="s">
        <v>101</v>
      </c>
      <c r="H716" s="1"/>
      <c r="I716" s="1"/>
      <c r="J716" s="1"/>
    </row>
    <row r="717" spans="1:10" x14ac:dyDescent="0.3">
      <c r="A717" s="6" t="s">
        <v>21</v>
      </c>
      <c r="B717" s="6">
        <f t="shared" si="165"/>
        <v>2054</v>
      </c>
      <c r="C717" s="1" t="s">
        <v>34</v>
      </c>
      <c r="D717" s="2" t="s">
        <v>131</v>
      </c>
      <c r="E717" s="9" t="str">
        <f t="shared" si="163"/>
        <v>PSDP'!</v>
      </c>
      <c r="F717" s="5" t="str">
        <f t="shared" si="164"/>
        <v>C:\Users\jaime.benazar\Quorum Business Solutions\Ecopetrol Prometeo - Documents\Planning Space Implementation\3. Analysis &amp; Design\Design\FC22\DRR Jaime\Neiva CPI\[VAO_DINA TERCIARIOS_CF_SEC_20230117.xlsx]CF PSDP'!</v>
      </c>
      <c r="G717" s="6" t="s">
        <v>101</v>
      </c>
      <c r="H717" s="1"/>
      <c r="I717" s="1"/>
      <c r="J717" s="1"/>
    </row>
    <row r="718" spans="1:10" x14ac:dyDescent="0.3">
      <c r="A718" s="6" t="s">
        <v>21</v>
      </c>
      <c r="B718" s="6">
        <f t="shared" si="165"/>
        <v>2055</v>
      </c>
      <c r="C718" s="1" t="s">
        <v>34</v>
      </c>
      <c r="D718" s="2" t="s">
        <v>131</v>
      </c>
      <c r="E718" s="9" t="str">
        <f t="shared" si="163"/>
        <v>PSDP'!</v>
      </c>
      <c r="F718" s="5" t="str">
        <f t="shared" si="164"/>
        <v>C:\Users\jaime.benazar\Quorum Business Solutions\Ecopetrol Prometeo - Documents\Planning Space Implementation\3. Analysis &amp; Design\Design\FC22\DRR Jaime\Neiva CPI\[VAO_DINA TERCIARIOS_CF_SEC_20230117.xlsx]CF PSDP'!</v>
      </c>
      <c r="G718" s="6" t="s">
        <v>101</v>
      </c>
      <c r="H718" s="1"/>
      <c r="I718" s="1"/>
      <c r="J718" s="1"/>
    </row>
    <row r="719" spans="1:10" x14ac:dyDescent="0.3">
      <c r="A719" s="6" t="s">
        <v>21</v>
      </c>
      <c r="B719" s="6">
        <f t="shared" si="165"/>
        <v>2056</v>
      </c>
      <c r="C719" s="1" t="s">
        <v>34</v>
      </c>
      <c r="D719" s="2" t="s">
        <v>131</v>
      </c>
      <c r="E719" s="9" t="str">
        <f t="shared" si="163"/>
        <v>PSDP'!</v>
      </c>
      <c r="F719" s="5" t="str">
        <f t="shared" si="164"/>
        <v>C:\Users\jaime.benazar\Quorum Business Solutions\Ecopetrol Prometeo - Documents\Planning Space Implementation\3. Analysis &amp; Design\Design\FC22\DRR Jaime\Neiva CPI\[VAO_DINA TERCIARIOS_CF_SEC_20230117.xlsx]CF PSDP'!</v>
      </c>
      <c r="G719" s="6" t="s">
        <v>101</v>
      </c>
      <c r="H719" s="1"/>
      <c r="I719" s="1"/>
      <c r="J719" s="1"/>
    </row>
    <row r="720" spans="1:10" x14ac:dyDescent="0.3">
      <c r="A720" s="6" t="s">
        <v>21</v>
      </c>
      <c r="B720" s="6">
        <f t="shared" si="165"/>
        <v>2057</v>
      </c>
      <c r="C720" s="1" t="s">
        <v>34</v>
      </c>
      <c r="D720" s="2" t="s">
        <v>131</v>
      </c>
      <c r="E720" s="9" t="str">
        <f t="shared" si="163"/>
        <v>PSDP'!</v>
      </c>
      <c r="F720" s="5" t="str">
        <f t="shared" si="164"/>
        <v>C:\Users\jaime.benazar\Quorum Business Solutions\Ecopetrol Prometeo - Documents\Planning Space Implementation\3. Analysis &amp; Design\Design\FC22\DRR Jaime\Neiva CPI\[VAO_DINA TERCIARIOS_CF_SEC_20230117.xlsx]CF PSDP'!</v>
      </c>
      <c r="G720" s="6" t="s">
        <v>101</v>
      </c>
      <c r="H720" s="1"/>
      <c r="I720" s="1"/>
      <c r="J720" s="1"/>
    </row>
    <row r="721" spans="1:10" x14ac:dyDescent="0.3">
      <c r="A721" s="6" t="s">
        <v>21</v>
      </c>
      <c r="B721" s="6">
        <f t="shared" si="165"/>
        <v>2058</v>
      </c>
      <c r="C721" s="1" t="s">
        <v>34</v>
      </c>
      <c r="D721" s="2" t="s">
        <v>131</v>
      </c>
      <c r="E721" s="9" t="str">
        <f t="shared" si="163"/>
        <v>PSDP'!</v>
      </c>
      <c r="F721" s="5" t="str">
        <f t="shared" si="164"/>
        <v>C:\Users\jaime.benazar\Quorum Business Solutions\Ecopetrol Prometeo - Documents\Planning Space Implementation\3. Analysis &amp; Design\Design\FC22\DRR Jaime\Neiva CPI\[VAO_DINA TERCIARIOS_CF_SEC_20230117.xlsx]CF PSDP'!</v>
      </c>
      <c r="G721" s="6" t="s">
        <v>101</v>
      </c>
      <c r="H721" s="1"/>
      <c r="I721" s="1"/>
      <c r="J721" s="1"/>
    </row>
    <row r="722" spans="1:10" x14ac:dyDescent="0.3">
      <c r="A722" s="6" t="s">
        <v>21</v>
      </c>
      <c r="B722" s="6">
        <f t="shared" si="165"/>
        <v>2059</v>
      </c>
      <c r="C722" s="1" t="s">
        <v>34</v>
      </c>
      <c r="D722" s="2" t="s">
        <v>131</v>
      </c>
      <c r="E722" s="9" t="str">
        <f t="shared" si="163"/>
        <v>PSDP'!</v>
      </c>
      <c r="F722" s="5" t="str">
        <f t="shared" si="164"/>
        <v>C:\Users\jaime.benazar\Quorum Business Solutions\Ecopetrol Prometeo - Documents\Planning Space Implementation\3. Analysis &amp; Design\Design\FC22\DRR Jaime\Neiva CPI\[VAO_DINA TERCIARIOS_CF_SEC_20230117.xlsx]CF PSDP'!</v>
      </c>
      <c r="G722" s="6" t="s">
        <v>101</v>
      </c>
      <c r="H722" s="1"/>
      <c r="I722" s="1"/>
      <c r="J722" s="1"/>
    </row>
    <row r="723" spans="1:10" x14ac:dyDescent="0.3">
      <c r="A723" s="6" t="s">
        <v>26</v>
      </c>
      <c r="B723" s="6"/>
      <c r="C723" s="1" t="s">
        <v>34</v>
      </c>
      <c r="D723" s="2"/>
      <c r="E723" s="9"/>
      <c r="F723" s="2"/>
      <c r="G723" s="6"/>
      <c r="H723" s="1"/>
      <c r="I723" s="1"/>
      <c r="J723" s="1"/>
    </row>
    <row r="724" spans="1:10" x14ac:dyDescent="0.3">
      <c r="A724" s="6" t="s">
        <v>22</v>
      </c>
      <c r="B724" s="6">
        <v>2023</v>
      </c>
      <c r="C724" s="1" t="s">
        <v>34</v>
      </c>
      <c r="D724" s="2" t="s">
        <v>131</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Jaime\Neiva CPI\[VAO_DINA TERCIARIOS_CF_SEC_20230117.xlsx]CF PSNP'!</v>
      </c>
      <c r="G724" s="6" t="s">
        <v>101</v>
      </c>
      <c r="H724" s="1"/>
      <c r="I724" s="1"/>
      <c r="J724" s="1"/>
    </row>
    <row r="725" spans="1:10" x14ac:dyDescent="0.3">
      <c r="A725" s="6" t="s">
        <v>22</v>
      </c>
      <c r="B725" s="6">
        <f>+B724+1</f>
        <v>2024</v>
      </c>
      <c r="C725" s="1" t="s">
        <v>34</v>
      </c>
      <c r="D725" s="2" t="s">
        <v>131</v>
      </c>
      <c r="E725" s="9" t="str">
        <f t="shared" si="166"/>
        <v>PSNP'!</v>
      </c>
      <c r="F725" s="5" t="str">
        <f t="shared" si="167"/>
        <v>C:\Users\jaime.benazar\Quorum Business Solutions\Ecopetrol Prometeo - Documents\Planning Space Implementation\3. Analysis &amp; Design\Design\FC22\DRR Jaime\Neiva CPI\[VAO_DINA TERCIARIOS_CF_SEC_20230117.xlsx]CF PSNP'!</v>
      </c>
      <c r="G725" s="6" t="s">
        <v>101</v>
      </c>
      <c r="H725" s="1"/>
      <c r="I725" s="1"/>
      <c r="J725" s="1"/>
    </row>
    <row r="726" spans="1:10" x14ac:dyDescent="0.3">
      <c r="A726" s="6" t="s">
        <v>22</v>
      </c>
      <c r="B726" s="6">
        <f t="shared" ref="B726:B737" si="168">+B725+1</f>
        <v>2025</v>
      </c>
      <c r="C726" s="1" t="s">
        <v>34</v>
      </c>
      <c r="D726" s="2" t="s">
        <v>131</v>
      </c>
      <c r="E726" s="9" t="str">
        <f t="shared" si="166"/>
        <v>PSNP'!</v>
      </c>
      <c r="F726" s="5" t="str">
        <f t="shared" si="167"/>
        <v>C:\Users\jaime.benazar\Quorum Business Solutions\Ecopetrol Prometeo - Documents\Planning Space Implementation\3. Analysis &amp; Design\Design\FC22\DRR Jaime\Neiva CPI\[VAO_DINA TERCIARIOS_CF_SEC_20230117.xlsx]CF PSNP'!</v>
      </c>
      <c r="G726" s="6" t="s">
        <v>101</v>
      </c>
      <c r="H726" s="1"/>
      <c r="I726" s="1"/>
      <c r="J726" s="1"/>
    </row>
    <row r="727" spans="1:10" x14ac:dyDescent="0.3">
      <c r="A727" s="6" t="s">
        <v>22</v>
      </c>
      <c r="B727" s="6">
        <f t="shared" si="168"/>
        <v>2026</v>
      </c>
      <c r="C727" s="1" t="s">
        <v>34</v>
      </c>
      <c r="D727" s="2" t="s">
        <v>131</v>
      </c>
      <c r="E727" s="9" t="str">
        <f t="shared" si="166"/>
        <v>PSNP'!</v>
      </c>
      <c r="F727" s="5" t="str">
        <f t="shared" si="167"/>
        <v>C:\Users\jaime.benazar\Quorum Business Solutions\Ecopetrol Prometeo - Documents\Planning Space Implementation\3. Analysis &amp; Design\Design\FC22\DRR Jaime\Neiva CPI\[VAO_DINA TERCIARIOS_CF_SEC_20230117.xlsx]CF PSNP'!</v>
      </c>
      <c r="G727" s="6" t="s">
        <v>101</v>
      </c>
      <c r="H727" s="1"/>
      <c r="I727" s="1"/>
      <c r="J727" s="1"/>
    </row>
    <row r="728" spans="1:10" x14ac:dyDescent="0.3">
      <c r="A728" s="6" t="s">
        <v>22</v>
      </c>
      <c r="B728" s="6">
        <f t="shared" si="168"/>
        <v>2027</v>
      </c>
      <c r="C728" s="1" t="s">
        <v>34</v>
      </c>
      <c r="D728" s="2" t="s">
        <v>131</v>
      </c>
      <c r="E728" s="9" t="str">
        <f t="shared" si="166"/>
        <v>PSNP'!</v>
      </c>
      <c r="F728" s="5" t="str">
        <f t="shared" si="167"/>
        <v>C:\Users\jaime.benazar\Quorum Business Solutions\Ecopetrol Prometeo - Documents\Planning Space Implementation\3. Analysis &amp; Design\Design\FC22\DRR Jaime\Neiva CPI\[VAO_DINA TERCIARIOS_CF_SEC_20230117.xlsx]CF PSNP'!</v>
      </c>
      <c r="G728" s="6" t="s">
        <v>101</v>
      </c>
      <c r="H728" s="1"/>
      <c r="I728" s="1"/>
      <c r="J728" s="1"/>
    </row>
    <row r="729" spans="1:10" x14ac:dyDescent="0.3">
      <c r="A729" s="6" t="s">
        <v>22</v>
      </c>
      <c r="B729" s="6">
        <f t="shared" si="168"/>
        <v>2028</v>
      </c>
      <c r="C729" s="1" t="s">
        <v>34</v>
      </c>
      <c r="D729" s="2" t="s">
        <v>131</v>
      </c>
      <c r="E729" s="9" t="str">
        <f t="shared" si="166"/>
        <v>PSNP'!</v>
      </c>
      <c r="F729" s="5" t="str">
        <f t="shared" si="167"/>
        <v>C:\Users\jaime.benazar\Quorum Business Solutions\Ecopetrol Prometeo - Documents\Planning Space Implementation\3. Analysis &amp; Design\Design\FC22\DRR Jaime\Neiva CPI\[VAO_DINA TERCIARIOS_CF_SEC_20230117.xlsx]CF PSNP'!</v>
      </c>
      <c r="G729" s="6" t="s">
        <v>101</v>
      </c>
      <c r="H729" s="1"/>
      <c r="I729" s="1"/>
      <c r="J729" s="1"/>
    </row>
    <row r="730" spans="1:10" x14ac:dyDescent="0.3">
      <c r="A730" s="6" t="s">
        <v>22</v>
      </c>
      <c r="B730" s="6">
        <f t="shared" si="168"/>
        <v>2029</v>
      </c>
      <c r="C730" s="1" t="s">
        <v>34</v>
      </c>
      <c r="D730" s="2" t="s">
        <v>131</v>
      </c>
      <c r="E730" s="9" t="str">
        <f t="shared" si="166"/>
        <v>PSNP'!</v>
      </c>
      <c r="F730" s="5" t="str">
        <f t="shared" si="167"/>
        <v>C:\Users\jaime.benazar\Quorum Business Solutions\Ecopetrol Prometeo - Documents\Planning Space Implementation\3. Analysis &amp; Design\Design\FC22\DRR Jaime\Neiva CPI\[VAO_DINA TERCIARIOS_CF_SEC_20230117.xlsx]CF PSNP'!</v>
      </c>
      <c r="G730" s="6" t="s">
        <v>101</v>
      </c>
      <c r="H730" s="1"/>
      <c r="I730" s="1"/>
      <c r="J730" s="1"/>
    </row>
    <row r="731" spans="1:10" x14ac:dyDescent="0.3">
      <c r="A731" s="6" t="s">
        <v>22</v>
      </c>
      <c r="B731" s="6">
        <f t="shared" si="168"/>
        <v>2030</v>
      </c>
      <c r="C731" s="1" t="s">
        <v>34</v>
      </c>
      <c r="D731" s="2" t="s">
        <v>131</v>
      </c>
      <c r="E731" s="9" t="str">
        <f t="shared" si="166"/>
        <v>PSNP'!</v>
      </c>
      <c r="F731" s="5" t="str">
        <f t="shared" si="167"/>
        <v>C:\Users\jaime.benazar\Quorum Business Solutions\Ecopetrol Prometeo - Documents\Planning Space Implementation\3. Analysis &amp; Design\Design\FC22\DRR Jaime\Neiva CPI\[VAO_DINA TERCIARIOS_CF_SEC_20230117.xlsx]CF PSNP'!</v>
      </c>
      <c r="G731" s="6" t="s">
        <v>101</v>
      </c>
      <c r="H731" s="1"/>
      <c r="I731" s="1"/>
      <c r="J731" s="1"/>
    </row>
    <row r="732" spans="1:10" x14ac:dyDescent="0.3">
      <c r="A732" s="6" t="s">
        <v>22</v>
      </c>
      <c r="B732" s="6">
        <f t="shared" si="168"/>
        <v>2031</v>
      </c>
      <c r="C732" s="1" t="s">
        <v>34</v>
      </c>
      <c r="D732" s="2" t="s">
        <v>131</v>
      </c>
      <c r="E732" s="9" t="str">
        <f t="shared" si="166"/>
        <v>PSNP'!</v>
      </c>
      <c r="F732" s="5" t="str">
        <f t="shared" si="167"/>
        <v>C:\Users\jaime.benazar\Quorum Business Solutions\Ecopetrol Prometeo - Documents\Planning Space Implementation\3. Analysis &amp; Design\Design\FC22\DRR Jaime\Neiva CPI\[VAO_DINA TERCIARIOS_CF_SEC_20230117.xlsx]CF PSNP'!</v>
      </c>
      <c r="G732" s="6" t="s">
        <v>101</v>
      </c>
      <c r="H732" s="1"/>
      <c r="I732" s="1"/>
      <c r="J732" s="1"/>
    </row>
    <row r="733" spans="1:10" x14ac:dyDescent="0.3">
      <c r="A733" s="6" t="s">
        <v>22</v>
      </c>
      <c r="B733" s="6">
        <f t="shared" si="168"/>
        <v>2032</v>
      </c>
      <c r="C733" s="1" t="s">
        <v>34</v>
      </c>
      <c r="D733" s="2" t="s">
        <v>131</v>
      </c>
      <c r="E733" s="9" t="str">
        <f t="shared" si="166"/>
        <v>PSNP'!</v>
      </c>
      <c r="F733" s="5" t="str">
        <f t="shared" si="167"/>
        <v>C:\Users\jaime.benazar\Quorum Business Solutions\Ecopetrol Prometeo - Documents\Planning Space Implementation\3. Analysis &amp; Design\Design\FC22\DRR Jaime\Neiva CPI\[VAO_DINA TERCIARIOS_CF_SEC_20230117.xlsx]CF PSNP'!</v>
      </c>
      <c r="G733" s="6" t="s">
        <v>101</v>
      </c>
      <c r="H733" s="1"/>
      <c r="I733" s="1"/>
      <c r="J733" s="1"/>
    </row>
    <row r="734" spans="1:10" x14ac:dyDescent="0.3">
      <c r="A734" s="6" t="s">
        <v>22</v>
      </c>
      <c r="B734" s="6">
        <f t="shared" si="168"/>
        <v>2033</v>
      </c>
      <c r="C734" s="1" t="s">
        <v>34</v>
      </c>
      <c r="D734" s="2" t="s">
        <v>131</v>
      </c>
      <c r="E734" s="9" t="str">
        <f t="shared" si="166"/>
        <v>PSNP'!</v>
      </c>
      <c r="F734" s="5" t="str">
        <f t="shared" si="167"/>
        <v>C:\Users\jaime.benazar\Quorum Business Solutions\Ecopetrol Prometeo - Documents\Planning Space Implementation\3. Analysis &amp; Design\Design\FC22\DRR Jaime\Neiva CPI\[VAO_DINA TERCIARIOS_CF_SEC_20230117.xlsx]CF PSNP'!</v>
      </c>
      <c r="G734" s="6" t="s">
        <v>101</v>
      </c>
      <c r="H734" s="1"/>
      <c r="I734" s="1"/>
      <c r="J734" s="1"/>
    </row>
    <row r="735" spans="1:10" x14ac:dyDescent="0.3">
      <c r="A735" s="6" t="s">
        <v>22</v>
      </c>
      <c r="B735" s="6">
        <f t="shared" si="168"/>
        <v>2034</v>
      </c>
      <c r="C735" s="1" t="s">
        <v>34</v>
      </c>
      <c r="D735" s="2" t="s">
        <v>131</v>
      </c>
      <c r="E735" s="9" t="str">
        <f t="shared" si="166"/>
        <v>PSNP'!</v>
      </c>
      <c r="F735" s="5" t="str">
        <f t="shared" si="167"/>
        <v>C:\Users\jaime.benazar\Quorum Business Solutions\Ecopetrol Prometeo - Documents\Planning Space Implementation\3. Analysis &amp; Design\Design\FC22\DRR Jaime\Neiva CPI\[VAO_DINA TERCIARIOS_CF_SEC_20230117.xlsx]CF PSNP'!</v>
      </c>
      <c r="G735" s="6" t="s">
        <v>101</v>
      </c>
      <c r="H735" s="1"/>
      <c r="I735" s="1"/>
      <c r="J735" s="1"/>
    </row>
    <row r="736" spans="1:10" x14ac:dyDescent="0.3">
      <c r="A736" s="6" t="s">
        <v>22</v>
      </c>
      <c r="B736" s="6">
        <f t="shared" si="168"/>
        <v>2035</v>
      </c>
      <c r="C736" s="1" t="s">
        <v>34</v>
      </c>
      <c r="D736" s="2" t="s">
        <v>131</v>
      </c>
      <c r="E736" s="9" t="str">
        <f t="shared" si="166"/>
        <v>PSNP'!</v>
      </c>
      <c r="F736" s="5" t="str">
        <f t="shared" si="167"/>
        <v>C:\Users\jaime.benazar\Quorum Business Solutions\Ecopetrol Prometeo - Documents\Planning Space Implementation\3. Analysis &amp; Design\Design\FC22\DRR Jaime\Neiva CPI\[VAO_DINA TERCIARIOS_CF_SEC_20230117.xlsx]CF PSNP'!</v>
      </c>
      <c r="G736" s="6" t="s">
        <v>101</v>
      </c>
      <c r="H736" s="1"/>
      <c r="I736" s="1"/>
      <c r="J736" s="1"/>
    </row>
    <row r="737" spans="1:10" x14ac:dyDescent="0.3">
      <c r="A737" s="6" t="s">
        <v>22</v>
      </c>
      <c r="B737" s="6">
        <f t="shared" si="168"/>
        <v>2036</v>
      </c>
      <c r="C737" s="1" t="s">
        <v>34</v>
      </c>
      <c r="D737" s="2" t="s">
        <v>131</v>
      </c>
      <c r="E737" s="9" t="str">
        <f t="shared" si="166"/>
        <v>PSNP'!</v>
      </c>
      <c r="F737" s="5" t="str">
        <f t="shared" si="167"/>
        <v>C:\Users\jaime.benazar\Quorum Business Solutions\Ecopetrol Prometeo - Documents\Planning Space Implementation\3. Analysis &amp; Design\Design\FC22\DRR Jaime\Neiva CPI\[VAO_DINA TERCIARIOS_CF_SEC_20230117.xlsx]CF PSNP'!</v>
      </c>
      <c r="G737" s="6" t="s">
        <v>101</v>
      </c>
      <c r="H737" s="1"/>
      <c r="I737" s="1"/>
      <c r="J737" s="1"/>
    </row>
    <row r="738" spans="1:10" x14ac:dyDescent="0.3">
      <c r="A738" s="6" t="s">
        <v>22</v>
      </c>
      <c r="B738" s="6">
        <f>+B737+1</f>
        <v>2037</v>
      </c>
      <c r="C738" s="1" t="s">
        <v>34</v>
      </c>
      <c r="D738" s="2" t="s">
        <v>131</v>
      </c>
      <c r="E738" s="9" t="str">
        <f t="shared" si="166"/>
        <v>PSNP'!</v>
      </c>
      <c r="F738" s="5" t="str">
        <f t="shared" si="167"/>
        <v>C:\Users\jaime.benazar\Quorum Business Solutions\Ecopetrol Prometeo - Documents\Planning Space Implementation\3. Analysis &amp; Design\Design\FC22\DRR Jaime\Neiva CPI\[VAO_DINA TERCIARIOS_CF_SEC_20230117.xlsx]CF PSNP'!</v>
      </c>
      <c r="G738" s="6" t="s">
        <v>101</v>
      </c>
      <c r="H738" s="1"/>
      <c r="I738" s="1"/>
      <c r="J738" s="1"/>
    </row>
    <row r="739" spans="1:10" x14ac:dyDescent="0.3">
      <c r="A739" s="6" t="s">
        <v>22</v>
      </c>
      <c r="B739" s="6">
        <f t="shared" ref="B739:B741" si="169">+B738+1</f>
        <v>2038</v>
      </c>
      <c r="C739" s="1" t="s">
        <v>34</v>
      </c>
      <c r="D739" s="2" t="s">
        <v>131</v>
      </c>
      <c r="E739" s="9" t="str">
        <f t="shared" si="166"/>
        <v>PSNP'!</v>
      </c>
      <c r="F739" s="5" t="str">
        <f t="shared" si="167"/>
        <v>C:\Users\jaime.benazar\Quorum Business Solutions\Ecopetrol Prometeo - Documents\Planning Space Implementation\3. Analysis &amp; Design\Design\FC22\DRR Jaime\Neiva CPI\[VAO_DINA TERCIARIOS_CF_SEC_20230117.xlsx]CF PSNP'!</v>
      </c>
      <c r="G739" s="6" t="s">
        <v>101</v>
      </c>
      <c r="H739" s="1"/>
      <c r="I739" s="1"/>
      <c r="J739" s="1"/>
    </row>
    <row r="740" spans="1:10" x14ac:dyDescent="0.3">
      <c r="A740" s="6" t="s">
        <v>22</v>
      </c>
      <c r="B740" s="6">
        <f t="shared" si="169"/>
        <v>2039</v>
      </c>
      <c r="C740" s="1" t="s">
        <v>34</v>
      </c>
      <c r="D740" s="2" t="s">
        <v>131</v>
      </c>
      <c r="E740" s="9" t="str">
        <f t="shared" si="166"/>
        <v>PSNP'!</v>
      </c>
      <c r="F740" s="5" t="str">
        <f t="shared" si="167"/>
        <v>C:\Users\jaime.benazar\Quorum Business Solutions\Ecopetrol Prometeo - Documents\Planning Space Implementation\3. Analysis &amp; Design\Design\FC22\DRR Jaime\Neiva CPI\[VAO_DINA TERCIARIOS_CF_SEC_20230117.xlsx]CF PSNP'!</v>
      </c>
      <c r="G740" s="6" t="s">
        <v>101</v>
      </c>
      <c r="H740" s="1"/>
      <c r="I740" s="1"/>
      <c r="J740" s="1"/>
    </row>
    <row r="741" spans="1:10" x14ac:dyDescent="0.3">
      <c r="A741" s="6" t="s">
        <v>22</v>
      </c>
      <c r="B741" s="6">
        <f t="shared" si="169"/>
        <v>2040</v>
      </c>
      <c r="C741" s="1" t="s">
        <v>34</v>
      </c>
      <c r="D741" s="2" t="s">
        <v>131</v>
      </c>
      <c r="E741" s="9" t="str">
        <f t="shared" si="166"/>
        <v>PSNP'!</v>
      </c>
      <c r="F741" s="5" t="str">
        <f t="shared" si="167"/>
        <v>C:\Users\jaime.benazar\Quorum Business Solutions\Ecopetrol Prometeo - Documents\Planning Space Implementation\3. Analysis &amp; Design\Design\FC22\DRR Jaime\Neiva CPI\[VAO_DINA TERCIARIOS_CF_SEC_20230117.xlsx]CF PSNP'!</v>
      </c>
      <c r="G741" s="6" t="s">
        <v>101</v>
      </c>
      <c r="H741" s="1"/>
      <c r="I741" s="1"/>
      <c r="J741" s="1"/>
    </row>
    <row r="742" spans="1:10" x14ac:dyDescent="0.3">
      <c r="A742" s="6" t="s">
        <v>22</v>
      </c>
      <c r="B742" s="6">
        <f>+B741+1</f>
        <v>2041</v>
      </c>
      <c r="C742" s="1" t="s">
        <v>34</v>
      </c>
      <c r="D742" s="2" t="s">
        <v>131</v>
      </c>
      <c r="E742" s="9" t="str">
        <f t="shared" si="166"/>
        <v>PSNP'!</v>
      </c>
      <c r="F742" s="5" t="str">
        <f t="shared" si="167"/>
        <v>C:\Users\jaime.benazar\Quorum Business Solutions\Ecopetrol Prometeo - Documents\Planning Space Implementation\3. Analysis &amp; Design\Design\FC22\DRR Jaime\Neiva CPI\[VAO_DINA TERCIARIOS_CF_SEC_20230117.xlsx]CF PSNP'!</v>
      </c>
      <c r="G742" s="6" t="s">
        <v>101</v>
      </c>
      <c r="H742" s="1"/>
      <c r="I742" s="1"/>
      <c r="J742" s="1"/>
    </row>
    <row r="743" spans="1:10" x14ac:dyDescent="0.3">
      <c r="A743" s="6" t="s">
        <v>22</v>
      </c>
      <c r="B743" s="6">
        <f t="shared" ref="B743:B744" si="170">+B742+1</f>
        <v>2042</v>
      </c>
      <c r="C743" s="1" t="s">
        <v>34</v>
      </c>
      <c r="D743" s="2" t="s">
        <v>131</v>
      </c>
      <c r="E743" s="9" t="str">
        <f t="shared" si="166"/>
        <v>PSNP'!</v>
      </c>
      <c r="F743" s="5" t="str">
        <f t="shared" si="167"/>
        <v>C:\Users\jaime.benazar\Quorum Business Solutions\Ecopetrol Prometeo - Documents\Planning Space Implementation\3. Analysis &amp; Design\Design\FC22\DRR Jaime\Neiva CPI\[VAO_DINA TERCIARIOS_CF_SEC_20230117.xlsx]CF PSNP'!</v>
      </c>
      <c r="G743" s="6" t="s">
        <v>101</v>
      </c>
      <c r="H743" s="1"/>
      <c r="I743" s="1"/>
      <c r="J743" s="1"/>
    </row>
    <row r="744" spans="1:10" x14ac:dyDescent="0.3">
      <c r="A744" s="6" t="s">
        <v>22</v>
      </c>
      <c r="B744" s="6">
        <f t="shared" si="170"/>
        <v>2043</v>
      </c>
      <c r="C744" s="1" t="s">
        <v>34</v>
      </c>
      <c r="D744" s="2" t="s">
        <v>131</v>
      </c>
      <c r="E744" s="9" t="str">
        <f t="shared" si="166"/>
        <v>PSNP'!</v>
      </c>
      <c r="F744" s="5" t="str">
        <f t="shared" si="167"/>
        <v>C:\Users\jaime.benazar\Quorum Business Solutions\Ecopetrol Prometeo - Documents\Planning Space Implementation\3. Analysis &amp; Design\Design\FC22\DRR Jaime\Neiva CPI\[VAO_DINA TERCIARIOS_CF_SEC_20230117.xlsx]CF PSNP'!</v>
      </c>
      <c r="G744" s="6" t="s">
        <v>101</v>
      </c>
      <c r="H744" s="1"/>
      <c r="I744" s="1"/>
      <c r="J744" s="1"/>
    </row>
    <row r="745" spans="1:10" x14ac:dyDescent="0.3">
      <c r="A745" s="6" t="s">
        <v>22</v>
      </c>
      <c r="B745" s="6">
        <f>+B744+1</f>
        <v>2044</v>
      </c>
      <c r="C745" s="1" t="s">
        <v>34</v>
      </c>
      <c r="D745" s="2" t="s">
        <v>131</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Jaime\Neiva CPI\[VAO_DINA TERCIARIOS_CF_SEC_20230117.xlsx]CF PSNP'!</v>
      </c>
      <c r="G745" s="6" t="s">
        <v>101</v>
      </c>
      <c r="H745" s="1"/>
      <c r="I745" s="1"/>
      <c r="J745" s="1"/>
    </row>
    <row r="746" spans="1:10" x14ac:dyDescent="0.3">
      <c r="A746" s="6" t="s">
        <v>22</v>
      </c>
      <c r="B746" s="6">
        <f t="shared" ref="B746:B760" si="173">+B745+1</f>
        <v>2045</v>
      </c>
      <c r="C746" s="1" t="s">
        <v>34</v>
      </c>
      <c r="D746" s="2" t="s">
        <v>131</v>
      </c>
      <c r="E746" s="9" t="str">
        <f t="shared" si="171"/>
        <v>PSNP'!</v>
      </c>
      <c r="F746" s="5" t="str">
        <f t="shared" si="172"/>
        <v>C:\Users\jaime.benazar\Quorum Business Solutions\Ecopetrol Prometeo - Documents\Planning Space Implementation\3. Analysis &amp; Design\Design\FC22\DRR Jaime\Neiva CPI\[VAO_DINA TERCIARIOS_CF_SEC_20230117.xlsx]CF PSNP'!</v>
      </c>
      <c r="G746" s="6" t="s">
        <v>101</v>
      </c>
      <c r="H746" s="1"/>
      <c r="I746" s="1"/>
      <c r="J746" s="1"/>
    </row>
    <row r="747" spans="1:10" x14ac:dyDescent="0.3">
      <c r="A747" s="6" t="s">
        <v>22</v>
      </c>
      <c r="B747" s="6">
        <f t="shared" si="173"/>
        <v>2046</v>
      </c>
      <c r="C747" s="1" t="s">
        <v>34</v>
      </c>
      <c r="D747" s="2" t="s">
        <v>131</v>
      </c>
      <c r="E747" s="9" t="str">
        <f t="shared" si="171"/>
        <v>PSNP'!</v>
      </c>
      <c r="F747" s="5" t="str">
        <f t="shared" si="172"/>
        <v>C:\Users\jaime.benazar\Quorum Business Solutions\Ecopetrol Prometeo - Documents\Planning Space Implementation\3. Analysis &amp; Design\Design\FC22\DRR Jaime\Neiva CPI\[VAO_DINA TERCIARIOS_CF_SEC_20230117.xlsx]CF PSNP'!</v>
      </c>
      <c r="G747" s="6" t="s">
        <v>101</v>
      </c>
      <c r="H747" s="1"/>
      <c r="I747" s="1"/>
      <c r="J747" s="1"/>
    </row>
    <row r="748" spans="1:10" x14ac:dyDescent="0.3">
      <c r="A748" s="6" t="s">
        <v>22</v>
      </c>
      <c r="B748" s="6">
        <f t="shared" si="173"/>
        <v>2047</v>
      </c>
      <c r="C748" s="1" t="s">
        <v>34</v>
      </c>
      <c r="D748" s="2" t="s">
        <v>131</v>
      </c>
      <c r="E748" s="9" t="str">
        <f t="shared" si="171"/>
        <v>PSNP'!</v>
      </c>
      <c r="F748" s="5" t="str">
        <f t="shared" si="172"/>
        <v>C:\Users\jaime.benazar\Quorum Business Solutions\Ecopetrol Prometeo - Documents\Planning Space Implementation\3. Analysis &amp; Design\Design\FC22\DRR Jaime\Neiva CPI\[VAO_DINA TERCIARIOS_CF_SEC_20230117.xlsx]CF PSNP'!</v>
      </c>
      <c r="G748" s="6" t="s">
        <v>101</v>
      </c>
      <c r="H748" s="1"/>
      <c r="I748" s="1"/>
      <c r="J748" s="1"/>
    </row>
    <row r="749" spans="1:10" x14ac:dyDescent="0.3">
      <c r="A749" s="6" t="s">
        <v>22</v>
      </c>
      <c r="B749" s="6">
        <f t="shared" si="173"/>
        <v>2048</v>
      </c>
      <c r="C749" s="1" t="s">
        <v>34</v>
      </c>
      <c r="D749" s="2" t="s">
        <v>131</v>
      </c>
      <c r="E749" s="9" t="str">
        <f t="shared" si="171"/>
        <v>PSNP'!</v>
      </c>
      <c r="F749" s="5" t="str">
        <f t="shared" si="172"/>
        <v>C:\Users\jaime.benazar\Quorum Business Solutions\Ecopetrol Prometeo - Documents\Planning Space Implementation\3. Analysis &amp; Design\Design\FC22\DRR Jaime\Neiva CPI\[VAO_DINA TERCIARIOS_CF_SEC_20230117.xlsx]CF PSNP'!</v>
      </c>
      <c r="G749" s="6" t="s">
        <v>101</v>
      </c>
      <c r="H749" s="1"/>
      <c r="I749" s="1"/>
      <c r="J749" s="1"/>
    </row>
    <row r="750" spans="1:10" x14ac:dyDescent="0.3">
      <c r="A750" s="6" t="s">
        <v>22</v>
      </c>
      <c r="B750" s="6">
        <f t="shared" si="173"/>
        <v>2049</v>
      </c>
      <c r="C750" s="1" t="s">
        <v>34</v>
      </c>
      <c r="D750" s="2" t="s">
        <v>131</v>
      </c>
      <c r="E750" s="9" t="str">
        <f t="shared" si="171"/>
        <v>PSNP'!</v>
      </c>
      <c r="F750" s="5" t="str">
        <f t="shared" si="172"/>
        <v>C:\Users\jaime.benazar\Quorum Business Solutions\Ecopetrol Prometeo - Documents\Planning Space Implementation\3. Analysis &amp; Design\Design\FC22\DRR Jaime\Neiva CPI\[VAO_DINA TERCIARIOS_CF_SEC_20230117.xlsx]CF PSNP'!</v>
      </c>
      <c r="G750" s="6" t="s">
        <v>101</v>
      </c>
      <c r="H750" s="1"/>
      <c r="I750" s="1"/>
      <c r="J750" s="1"/>
    </row>
    <row r="751" spans="1:10" x14ac:dyDescent="0.3">
      <c r="A751" s="6" t="s">
        <v>22</v>
      </c>
      <c r="B751" s="6">
        <f t="shared" si="173"/>
        <v>2050</v>
      </c>
      <c r="C751" s="1" t="s">
        <v>34</v>
      </c>
      <c r="D751" s="2" t="s">
        <v>131</v>
      </c>
      <c r="E751" s="9" t="str">
        <f t="shared" si="171"/>
        <v>PSNP'!</v>
      </c>
      <c r="F751" s="5" t="str">
        <f t="shared" si="172"/>
        <v>C:\Users\jaime.benazar\Quorum Business Solutions\Ecopetrol Prometeo - Documents\Planning Space Implementation\3. Analysis &amp; Design\Design\FC22\DRR Jaime\Neiva CPI\[VAO_DINA TERCIARIOS_CF_SEC_20230117.xlsx]CF PSNP'!</v>
      </c>
      <c r="G751" s="6" t="s">
        <v>101</v>
      </c>
      <c r="H751" s="1"/>
      <c r="I751" s="1"/>
      <c r="J751" s="1"/>
    </row>
    <row r="752" spans="1:10" x14ac:dyDescent="0.3">
      <c r="A752" s="6" t="s">
        <v>22</v>
      </c>
      <c r="B752" s="6">
        <f t="shared" si="173"/>
        <v>2051</v>
      </c>
      <c r="C752" s="1" t="s">
        <v>34</v>
      </c>
      <c r="D752" s="2" t="s">
        <v>131</v>
      </c>
      <c r="E752" s="9" t="str">
        <f t="shared" si="171"/>
        <v>PSNP'!</v>
      </c>
      <c r="F752" s="5" t="str">
        <f t="shared" si="172"/>
        <v>C:\Users\jaime.benazar\Quorum Business Solutions\Ecopetrol Prometeo - Documents\Planning Space Implementation\3. Analysis &amp; Design\Design\FC22\DRR Jaime\Neiva CPI\[VAO_DINA TERCIARIOS_CF_SEC_20230117.xlsx]CF PSNP'!</v>
      </c>
      <c r="G752" s="6" t="s">
        <v>101</v>
      </c>
      <c r="H752" s="1"/>
      <c r="I752" s="1"/>
      <c r="J752" s="1"/>
    </row>
    <row r="753" spans="1:10" x14ac:dyDescent="0.3">
      <c r="A753" s="6" t="s">
        <v>22</v>
      </c>
      <c r="B753" s="6">
        <f t="shared" si="173"/>
        <v>2052</v>
      </c>
      <c r="C753" s="1" t="s">
        <v>34</v>
      </c>
      <c r="D753" s="2" t="s">
        <v>131</v>
      </c>
      <c r="E753" s="9" t="str">
        <f t="shared" si="171"/>
        <v>PSNP'!</v>
      </c>
      <c r="F753" s="5" t="str">
        <f t="shared" si="172"/>
        <v>C:\Users\jaime.benazar\Quorum Business Solutions\Ecopetrol Prometeo - Documents\Planning Space Implementation\3. Analysis &amp; Design\Design\FC22\DRR Jaime\Neiva CPI\[VAO_DINA TERCIARIOS_CF_SEC_20230117.xlsx]CF PSNP'!</v>
      </c>
      <c r="G753" s="6" t="s">
        <v>101</v>
      </c>
      <c r="H753" s="1"/>
      <c r="I753" s="1"/>
      <c r="J753" s="1"/>
    </row>
    <row r="754" spans="1:10" x14ac:dyDescent="0.3">
      <c r="A754" s="6" t="s">
        <v>22</v>
      </c>
      <c r="B754" s="6">
        <f t="shared" si="173"/>
        <v>2053</v>
      </c>
      <c r="C754" s="1" t="s">
        <v>34</v>
      </c>
      <c r="D754" s="2" t="s">
        <v>131</v>
      </c>
      <c r="E754" s="9" t="str">
        <f t="shared" si="171"/>
        <v>PSNP'!</v>
      </c>
      <c r="F754" s="5" t="str">
        <f t="shared" si="172"/>
        <v>C:\Users\jaime.benazar\Quorum Business Solutions\Ecopetrol Prometeo - Documents\Planning Space Implementation\3. Analysis &amp; Design\Design\FC22\DRR Jaime\Neiva CPI\[VAO_DINA TERCIARIOS_CF_SEC_20230117.xlsx]CF PSNP'!</v>
      </c>
      <c r="G754" s="6" t="s">
        <v>101</v>
      </c>
      <c r="H754" s="1"/>
      <c r="I754" s="1"/>
      <c r="J754" s="1"/>
    </row>
    <row r="755" spans="1:10" x14ac:dyDescent="0.3">
      <c r="A755" s="6" t="s">
        <v>22</v>
      </c>
      <c r="B755" s="6">
        <f t="shared" si="173"/>
        <v>2054</v>
      </c>
      <c r="C755" s="1" t="s">
        <v>34</v>
      </c>
      <c r="D755" s="2" t="s">
        <v>131</v>
      </c>
      <c r="E755" s="9" t="str">
        <f t="shared" si="171"/>
        <v>PSNP'!</v>
      </c>
      <c r="F755" s="5" t="str">
        <f t="shared" si="172"/>
        <v>C:\Users\jaime.benazar\Quorum Business Solutions\Ecopetrol Prometeo - Documents\Planning Space Implementation\3. Analysis &amp; Design\Design\FC22\DRR Jaime\Neiva CPI\[VAO_DINA TERCIARIOS_CF_SEC_20230117.xlsx]CF PSNP'!</v>
      </c>
      <c r="G755" s="6" t="s">
        <v>101</v>
      </c>
      <c r="H755" s="1"/>
      <c r="I755" s="1"/>
      <c r="J755" s="1"/>
    </row>
    <row r="756" spans="1:10" x14ac:dyDescent="0.3">
      <c r="A756" s="6" t="s">
        <v>22</v>
      </c>
      <c r="B756" s="6">
        <f t="shared" si="173"/>
        <v>2055</v>
      </c>
      <c r="C756" s="1" t="s">
        <v>34</v>
      </c>
      <c r="D756" s="2" t="s">
        <v>131</v>
      </c>
      <c r="E756" s="9" t="str">
        <f t="shared" si="171"/>
        <v>PSNP'!</v>
      </c>
      <c r="F756" s="5" t="str">
        <f t="shared" si="172"/>
        <v>C:\Users\jaime.benazar\Quorum Business Solutions\Ecopetrol Prometeo - Documents\Planning Space Implementation\3. Analysis &amp; Design\Design\FC22\DRR Jaime\Neiva CPI\[VAO_DINA TERCIARIOS_CF_SEC_20230117.xlsx]CF PSNP'!</v>
      </c>
      <c r="G756" s="6" t="s">
        <v>101</v>
      </c>
      <c r="H756" s="1"/>
      <c r="I756" s="1"/>
      <c r="J756" s="1"/>
    </row>
    <row r="757" spans="1:10" x14ac:dyDescent="0.3">
      <c r="A757" s="6" t="s">
        <v>22</v>
      </c>
      <c r="B757" s="6">
        <f t="shared" si="173"/>
        <v>2056</v>
      </c>
      <c r="C757" s="1" t="s">
        <v>34</v>
      </c>
      <c r="D757" s="2" t="s">
        <v>131</v>
      </c>
      <c r="E757" s="9" t="str">
        <f t="shared" si="171"/>
        <v>PSNP'!</v>
      </c>
      <c r="F757" s="5" t="str">
        <f t="shared" si="172"/>
        <v>C:\Users\jaime.benazar\Quorum Business Solutions\Ecopetrol Prometeo - Documents\Planning Space Implementation\3. Analysis &amp; Design\Design\FC22\DRR Jaime\Neiva CPI\[VAO_DINA TERCIARIOS_CF_SEC_20230117.xlsx]CF PSNP'!</v>
      </c>
      <c r="G757" s="6" t="s">
        <v>101</v>
      </c>
      <c r="H757" s="1"/>
      <c r="I757" s="1"/>
      <c r="J757" s="1"/>
    </row>
    <row r="758" spans="1:10" x14ac:dyDescent="0.3">
      <c r="A758" s="6" t="s">
        <v>22</v>
      </c>
      <c r="B758" s="6">
        <f t="shared" si="173"/>
        <v>2057</v>
      </c>
      <c r="C758" s="1" t="s">
        <v>34</v>
      </c>
      <c r="D758" s="2" t="s">
        <v>131</v>
      </c>
      <c r="E758" s="9" t="str">
        <f t="shared" si="171"/>
        <v>PSNP'!</v>
      </c>
      <c r="F758" s="5" t="str">
        <f t="shared" si="172"/>
        <v>C:\Users\jaime.benazar\Quorum Business Solutions\Ecopetrol Prometeo - Documents\Planning Space Implementation\3. Analysis &amp; Design\Design\FC22\DRR Jaime\Neiva CPI\[VAO_DINA TERCIARIOS_CF_SEC_20230117.xlsx]CF PSNP'!</v>
      </c>
      <c r="G758" s="6" t="s">
        <v>101</v>
      </c>
      <c r="H758" s="1"/>
      <c r="I758" s="1"/>
      <c r="J758" s="1"/>
    </row>
    <row r="759" spans="1:10" x14ac:dyDescent="0.3">
      <c r="A759" s="6" t="s">
        <v>22</v>
      </c>
      <c r="B759" s="6">
        <f t="shared" si="173"/>
        <v>2058</v>
      </c>
      <c r="C759" s="1" t="s">
        <v>34</v>
      </c>
      <c r="D759" s="2" t="s">
        <v>131</v>
      </c>
      <c r="E759" s="9" t="str">
        <f t="shared" si="171"/>
        <v>PSNP'!</v>
      </c>
      <c r="F759" s="5" t="str">
        <f t="shared" si="172"/>
        <v>C:\Users\jaime.benazar\Quorum Business Solutions\Ecopetrol Prometeo - Documents\Planning Space Implementation\3. Analysis &amp; Design\Design\FC22\DRR Jaime\Neiva CPI\[VAO_DINA TERCIARIOS_CF_SEC_20230117.xlsx]CF PSNP'!</v>
      </c>
      <c r="G759" s="6" t="s">
        <v>101</v>
      </c>
      <c r="H759" s="1"/>
      <c r="I759" s="1"/>
      <c r="J759" s="1"/>
    </row>
    <row r="760" spans="1:10" x14ac:dyDescent="0.3">
      <c r="A760" s="6" t="s">
        <v>22</v>
      </c>
      <c r="B760" s="6">
        <f t="shared" si="173"/>
        <v>2059</v>
      </c>
      <c r="C760" s="1" t="s">
        <v>34</v>
      </c>
      <c r="D760" s="2" t="s">
        <v>131</v>
      </c>
      <c r="E760" s="9" t="str">
        <f t="shared" si="171"/>
        <v>PSNP'!</v>
      </c>
      <c r="F760" s="5" t="str">
        <f t="shared" si="172"/>
        <v>C:\Users\jaime.benazar\Quorum Business Solutions\Ecopetrol Prometeo - Documents\Planning Space Implementation\3. Analysis &amp; Design\Design\FC22\DRR Jaime\Neiva CPI\[VAO_DINA TERCIARIOS_CF_SEC_20230117.xlsx]CF PSNP'!</v>
      </c>
      <c r="G760" s="6" t="s">
        <v>101</v>
      </c>
      <c r="H760" s="1"/>
      <c r="I760" s="1"/>
      <c r="J760" s="1"/>
    </row>
    <row r="761" spans="1:10" x14ac:dyDescent="0.3">
      <c r="A761" s="6" t="s">
        <v>26</v>
      </c>
      <c r="B761" s="6"/>
      <c r="C761" s="1" t="s">
        <v>34</v>
      </c>
      <c r="D761" s="2"/>
      <c r="E761" s="9"/>
      <c r="F761" s="2"/>
      <c r="G761" s="6"/>
      <c r="H761" s="1"/>
      <c r="I761" s="1"/>
      <c r="J761" s="1"/>
    </row>
    <row r="762" spans="1:10" x14ac:dyDescent="0.3">
      <c r="A762" s="6" t="s">
        <v>23</v>
      </c>
      <c r="B762" s="6">
        <v>2023</v>
      </c>
      <c r="C762" s="1" t="s">
        <v>34</v>
      </c>
      <c r="D762" s="2" t="s">
        <v>131</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Jaime\Neiva CPI\[VAO_DINA TERCIARIOS_CF_SEC_20230117.xlsx]CF PSND'!</v>
      </c>
      <c r="G762" s="6" t="s">
        <v>101</v>
      </c>
      <c r="H762" s="1"/>
      <c r="I762" s="1"/>
      <c r="J762" s="1"/>
    </row>
    <row r="763" spans="1:10" x14ac:dyDescent="0.3">
      <c r="A763" s="6" t="s">
        <v>23</v>
      </c>
      <c r="B763" s="6">
        <f>+B762+1</f>
        <v>2024</v>
      </c>
      <c r="C763" s="1" t="s">
        <v>34</v>
      </c>
      <c r="D763" s="2" t="s">
        <v>131</v>
      </c>
      <c r="E763" s="9" t="str">
        <f t="shared" si="174"/>
        <v>PSND'!</v>
      </c>
      <c r="F763" s="5" t="str">
        <f t="shared" si="175"/>
        <v>C:\Users\jaime.benazar\Quorum Business Solutions\Ecopetrol Prometeo - Documents\Planning Space Implementation\3. Analysis &amp; Design\Design\FC22\DRR Jaime\Neiva CPI\[VAO_DINA TERCIARIOS_CF_SEC_20230117.xlsx]CF PSND'!</v>
      </c>
      <c r="G763" s="6" t="s">
        <v>101</v>
      </c>
      <c r="H763" s="1"/>
      <c r="I763" s="1"/>
      <c r="J763" s="1"/>
    </row>
    <row r="764" spans="1:10" x14ac:dyDescent="0.3">
      <c r="A764" s="6" t="s">
        <v>23</v>
      </c>
      <c r="B764" s="6">
        <f t="shared" ref="B764:B775" si="176">+B763+1</f>
        <v>2025</v>
      </c>
      <c r="C764" s="1" t="s">
        <v>34</v>
      </c>
      <c r="D764" s="2" t="s">
        <v>131</v>
      </c>
      <c r="E764" s="9" t="str">
        <f t="shared" si="174"/>
        <v>PSND'!</v>
      </c>
      <c r="F764" s="5" t="str">
        <f t="shared" si="175"/>
        <v>C:\Users\jaime.benazar\Quorum Business Solutions\Ecopetrol Prometeo - Documents\Planning Space Implementation\3. Analysis &amp; Design\Design\FC22\DRR Jaime\Neiva CPI\[VAO_DINA TERCIARIOS_CF_SEC_20230117.xlsx]CF PSND'!</v>
      </c>
      <c r="G764" s="6" t="s">
        <v>101</v>
      </c>
      <c r="H764" s="1"/>
      <c r="I764" s="1"/>
      <c r="J764" s="1"/>
    </row>
    <row r="765" spans="1:10" x14ac:dyDescent="0.3">
      <c r="A765" s="6" t="s">
        <v>23</v>
      </c>
      <c r="B765" s="6">
        <f t="shared" si="176"/>
        <v>2026</v>
      </c>
      <c r="C765" s="1" t="s">
        <v>34</v>
      </c>
      <c r="D765" s="2" t="s">
        <v>131</v>
      </c>
      <c r="E765" s="9" t="str">
        <f t="shared" si="174"/>
        <v>PSND'!</v>
      </c>
      <c r="F765" s="5" t="str">
        <f t="shared" si="175"/>
        <v>C:\Users\jaime.benazar\Quorum Business Solutions\Ecopetrol Prometeo - Documents\Planning Space Implementation\3. Analysis &amp; Design\Design\FC22\DRR Jaime\Neiva CPI\[VAO_DINA TERCIARIOS_CF_SEC_20230117.xlsx]CF PSND'!</v>
      </c>
      <c r="G765" s="6" t="s">
        <v>101</v>
      </c>
      <c r="H765" s="1"/>
      <c r="I765" s="1"/>
      <c r="J765" s="1"/>
    </row>
    <row r="766" spans="1:10" x14ac:dyDescent="0.3">
      <c r="A766" s="6" t="s">
        <v>23</v>
      </c>
      <c r="B766" s="6">
        <f t="shared" si="176"/>
        <v>2027</v>
      </c>
      <c r="C766" s="1" t="s">
        <v>34</v>
      </c>
      <c r="D766" s="2" t="s">
        <v>131</v>
      </c>
      <c r="E766" s="9" t="str">
        <f t="shared" si="174"/>
        <v>PSND'!</v>
      </c>
      <c r="F766" s="5" t="str">
        <f t="shared" si="175"/>
        <v>C:\Users\jaime.benazar\Quorum Business Solutions\Ecopetrol Prometeo - Documents\Planning Space Implementation\3. Analysis &amp; Design\Design\FC22\DRR Jaime\Neiva CPI\[VAO_DINA TERCIARIOS_CF_SEC_20230117.xlsx]CF PSND'!</v>
      </c>
      <c r="G766" s="6" t="s">
        <v>101</v>
      </c>
      <c r="H766" s="1"/>
      <c r="I766" s="1"/>
      <c r="J766" s="1"/>
    </row>
    <row r="767" spans="1:10" x14ac:dyDescent="0.3">
      <c r="A767" s="6" t="s">
        <v>23</v>
      </c>
      <c r="B767" s="6">
        <f t="shared" si="176"/>
        <v>2028</v>
      </c>
      <c r="C767" s="1" t="s">
        <v>34</v>
      </c>
      <c r="D767" s="2" t="s">
        <v>131</v>
      </c>
      <c r="E767" s="9" t="str">
        <f t="shared" si="174"/>
        <v>PSND'!</v>
      </c>
      <c r="F767" s="5" t="str">
        <f t="shared" si="175"/>
        <v>C:\Users\jaime.benazar\Quorum Business Solutions\Ecopetrol Prometeo - Documents\Planning Space Implementation\3. Analysis &amp; Design\Design\FC22\DRR Jaime\Neiva CPI\[VAO_DINA TERCIARIOS_CF_SEC_20230117.xlsx]CF PSND'!</v>
      </c>
      <c r="G767" s="6" t="s">
        <v>101</v>
      </c>
      <c r="H767" s="1"/>
      <c r="I767" s="1"/>
      <c r="J767" s="1"/>
    </row>
    <row r="768" spans="1:10" x14ac:dyDescent="0.3">
      <c r="A768" s="6" t="s">
        <v>23</v>
      </c>
      <c r="B768" s="6">
        <f t="shared" si="176"/>
        <v>2029</v>
      </c>
      <c r="C768" s="1" t="s">
        <v>34</v>
      </c>
      <c r="D768" s="2" t="s">
        <v>131</v>
      </c>
      <c r="E768" s="9" t="str">
        <f t="shared" si="174"/>
        <v>PSND'!</v>
      </c>
      <c r="F768" s="5" t="str">
        <f t="shared" si="175"/>
        <v>C:\Users\jaime.benazar\Quorum Business Solutions\Ecopetrol Prometeo - Documents\Planning Space Implementation\3. Analysis &amp; Design\Design\FC22\DRR Jaime\Neiva CPI\[VAO_DINA TERCIARIOS_CF_SEC_20230117.xlsx]CF PSND'!</v>
      </c>
      <c r="G768" s="6" t="s">
        <v>101</v>
      </c>
      <c r="H768" s="1"/>
      <c r="I768" s="1"/>
      <c r="J768" s="1"/>
    </row>
    <row r="769" spans="1:10" x14ac:dyDescent="0.3">
      <c r="A769" s="6" t="s">
        <v>23</v>
      </c>
      <c r="B769" s="6">
        <f t="shared" si="176"/>
        <v>2030</v>
      </c>
      <c r="C769" s="1" t="s">
        <v>34</v>
      </c>
      <c r="D769" s="2" t="s">
        <v>131</v>
      </c>
      <c r="E769" s="9" t="str">
        <f t="shared" si="174"/>
        <v>PSND'!</v>
      </c>
      <c r="F769" s="5" t="str">
        <f t="shared" si="175"/>
        <v>C:\Users\jaime.benazar\Quorum Business Solutions\Ecopetrol Prometeo - Documents\Planning Space Implementation\3. Analysis &amp; Design\Design\FC22\DRR Jaime\Neiva CPI\[VAO_DINA TERCIARIOS_CF_SEC_20230117.xlsx]CF PSND'!</v>
      </c>
      <c r="G769" s="6" t="s">
        <v>101</v>
      </c>
      <c r="H769" s="1"/>
      <c r="I769" s="1"/>
      <c r="J769" s="1"/>
    </row>
    <row r="770" spans="1:10" x14ac:dyDescent="0.3">
      <c r="A770" s="6" t="s">
        <v>23</v>
      </c>
      <c r="B770" s="6">
        <f t="shared" si="176"/>
        <v>2031</v>
      </c>
      <c r="C770" s="1" t="s">
        <v>34</v>
      </c>
      <c r="D770" s="2" t="s">
        <v>131</v>
      </c>
      <c r="E770" s="9" t="str">
        <f t="shared" si="174"/>
        <v>PSND'!</v>
      </c>
      <c r="F770" s="5" t="str">
        <f t="shared" si="175"/>
        <v>C:\Users\jaime.benazar\Quorum Business Solutions\Ecopetrol Prometeo - Documents\Planning Space Implementation\3. Analysis &amp; Design\Design\FC22\DRR Jaime\Neiva CPI\[VAO_DINA TERCIARIOS_CF_SEC_20230117.xlsx]CF PSND'!</v>
      </c>
      <c r="G770" s="6" t="s">
        <v>101</v>
      </c>
      <c r="H770" s="1"/>
      <c r="I770" s="1"/>
      <c r="J770" s="1"/>
    </row>
    <row r="771" spans="1:10" x14ac:dyDescent="0.3">
      <c r="A771" s="6" t="s">
        <v>23</v>
      </c>
      <c r="B771" s="6">
        <f t="shared" si="176"/>
        <v>2032</v>
      </c>
      <c r="C771" s="1" t="s">
        <v>34</v>
      </c>
      <c r="D771" s="2" t="s">
        <v>131</v>
      </c>
      <c r="E771" s="9" t="str">
        <f t="shared" si="174"/>
        <v>PSND'!</v>
      </c>
      <c r="F771" s="5" t="str">
        <f t="shared" si="175"/>
        <v>C:\Users\jaime.benazar\Quorum Business Solutions\Ecopetrol Prometeo - Documents\Planning Space Implementation\3. Analysis &amp; Design\Design\FC22\DRR Jaime\Neiva CPI\[VAO_DINA TERCIARIOS_CF_SEC_20230117.xlsx]CF PSND'!</v>
      </c>
      <c r="G771" s="6" t="s">
        <v>101</v>
      </c>
      <c r="H771" s="1"/>
      <c r="I771" s="1"/>
      <c r="J771" s="1"/>
    </row>
    <row r="772" spans="1:10" x14ac:dyDescent="0.3">
      <c r="A772" s="6" t="s">
        <v>23</v>
      </c>
      <c r="B772" s="6">
        <f t="shared" si="176"/>
        <v>2033</v>
      </c>
      <c r="C772" s="1" t="s">
        <v>34</v>
      </c>
      <c r="D772" s="2" t="s">
        <v>131</v>
      </c>
      <c r="E772" s="9" t="str">
        <f t="shared" si="174"/>
        <v>PSND'!</v>
      </c>
      <c r="F772" s="5" t="str">
        <f t="shared" si="175"/>
        <v>C:\Users\jaime.benazar\Quorum Business Solutions\Ecopetrol Prometeo - Documents\Planning Space Implementation\3. Analysis &amp; Design\Design\FC22\DRR Jaime\Neiva CPI\[VAO_DINA TERCIARIOS_CF_SEC_20230117.xlsx]CF PSND'!</v>
      </c>
      <c r="G772" s="6" t="s">
        <v>101</v>
      </c>
      <c r="H772" s="1"/>
      <c r="I772" s="1"/>
      <c r="J772" s="1"/>
    </row>
    <row r="773" spans="1:10" x14ac:dyDescent="0.3">
      <c r="A773" s="6" t="s">
        <v>23</v>
      </c>
      <c r="B773" s="6">
        <f t="shared" si="176"/>
        <v>2034</v>
      </c>
      <c r="C773" s="1" t="s">
        <v>34</v>
      </c>
      <c r="D773" s="2" t="s">
        <v>131</v>
      </c>
      <c r="E773" s="9" t="str">
        <f t="shared" si="174"/>
        <v>PSND'!</v>
      </c>
      <c r="F773" s="5" t="str">
        <f t="shared" si="175"/>
        <v>C:\Users\jaime.benazar\Quorum Business Solutions\Ecopetrol Prometeo - Documents\Planning Space Implementation\3. Analysis &amp; Design\Design\FC22\DRR Jaime\Neiva CPI\[VAO_DINA TERCIARIOS_CF_SEC_20230117.xlsx]CF PSND'!</v>
      </c>
      <c r="G773" s="6" t="s">
        <v>101</v>
      </c>
      <c r="H773" s="1"/>
      <c r="I773" s="1"/>
      <c r="J773" s="1"/>
    </row>
    <row r="774" spans="1:10" x14ac:dyDescent="0.3">
      <c r="A774" s="6" t="s">
        <v>23</v>
      </c>
      <c r="B774" s="6">
        <f t="shared" si="176"/>
        <v>2035</v>
      </c>
      <c r="C774" s="1" t="s">
        <v>34</v>
      </c>
      <c r="D774" s="2" t="s">
        <v>131</v>
      </c>
      <c r="E774" s="9" t="str">
        <f t="shared" si="174"/>
        <v>PSND'!</v>
      </c>
      <c r="F774" s="5" t="str">
        <f t="shared" si="175"/>
        <v>C:\Users\jaime.benazar\Quorum Business Solutions\Ecopetrol Prometeo - Documents\Planning Space Implementation\3. Analysis &amp; Design\Design\FC22\DRR Jaime\Neiva CPI\[VAO_DINA TERCIARIOS_CF_SEC_20230117.xlsx]CF PSND'!</v>
      </c>
      <c r="G774" s="6" t="s">
        <v>101</v>
      </c>
      <c r="H774" s="1"/>
      <c r="I774" s="1"/>
      <c r="J774" s="1"/>
    </row>
    <row r="775" spans="1:10" x14ac:dyDescent="0.3">
      <c r="A775" s="6" t="s">
        <v>23</v>
      </c>
      <c r="B775" s="6">
        <f t="shared" si="176"/>
        <v>2036</v>
      </c>
      <c r="C775" s="1" t="s">
        <v>34</v>
      </c>
      <c r="D775" s="2" t="s">
        <v>131</v>
      </c>
      <c r="E775" s="9" t="str">
        <f t="shared" si="174"/>
        <v>PSND'!</v>
      </c>
      <c r="F775" s="5" t="str">
        <f t="shared" si="175"/>
        <v>C:\Users\jaime.benazar\Quorum Business Solutions\Ecopetrol Prometeo - Documents\Planning Space Implementation\3. Analysis &amp; Design\Design\FC22\DRR Jaime\Neiva CPI\[VAO_DINA TERCIARIOS_CF_SEC_20230117.xlsx]CF PSND'!</v>
      </c>
      <c r="G775" s="6" t="s">
        <v>101</v>
      </c>
      <c r="H775" s="1"/>
      <c r="I775" s="1"/>
      <c r="J775" s="1"/>
    </row>
    <row r="776" spans="1:10" x14ac:dyDescent="0.3">
      <c r="A776" s="6" t="s">
        <v>23</v>
      </c>
      <c r="B776" s="6">
        <f>+B775+1</f>
        <v>2037</v>
      </c>
      <c r="C776" s="1" t="s">
        <v>34</v>
      </c>
      <c r="D776" s="2" t="s">
        <v>131</v>
      </c>
      <c r="E776" s="9" t="str">
        <f t="shared" si="174"/>
        <v>PSND'!</v>
      </c>
      <c r="F776" s="5" t="str">
        <f t="shared" si="175"/>
        <v>C:\Users\jaime.benazar\Quorum Business Solutions\Ecopetrol Prometeo - Documents\Planning Space Implementation\3. Analysis &amp; Design\Design\FC22\DRR Jaime\Neiva CPI\[VAO_DINA TERCIARIOS_CF_SEC_20230117.xlsx]CF PSND'!</v>
      </c>
      <c r="G776" s="6" t="s">
        <v>101</v>
      </c>
      <c r="H776" s="1"/>
      <c r="I776" s="1"/>
      <c r="J776" s="1"/>
    </row>
    <row r="777" spans="1:10" x14ac:dyDescent="0.3">
      <c r="A777" s="6" t="s">
        <v>23</v>
      </c>
      <c r="B777" s="6">
        <f t="shared" ref="B777:B779" si="177">+B776+1</f>
        <v>2038</v>
      </c>
      <c r="C777" s="1" t="s">
        <v>34</v>
      </c>
      <c r="D777" s="2" t="s">
        <v>131</v>
      </c>
      <c r="E777" s="9" t="str">
        <f t="shared" si="174"/>
        <v>PSND'!</v>
      </c>
      <c r="F777" s="5" t="str">
        <f t="shared" si="175"/>
        <v>C:\Users\jaime.benazar\Quorum Business Solutions\Ecopetrol Prometeo - Documents\Planning Space Implementation\3. Analysis &amp; Design\Design\FC22\DRR Jaime\Neiva CPI\[VAO_DINA TERCIARIOS_CF_SEC_20230117.xlsx]CF PSND'!</v>
      </c>
      <c r="G777" s="6" t="s">
        <v>101</v>
      </c>
      <c r="H777" s="1"/>
      <c r="I777" s="1"/>
      <c r="J777" s="1"/>
    </row>
    <row r="778" spans="1:10" x14ac:dyDescent="0.3">
      <c r="A778" s="6" t="s">
        <v>23</v>
      </c>
      <c r="B778" s="6">
        <f t="shared" si="177"/>
        <v>2039</v>
      </c>
      <c r="C778" s="1" t="s">
        <v>34</v>
      </c>
      <c r="D778" s="2" t="s">
        <v>131</v>
      </c>
      <c r="E778" s="9" t="str">
        <f t="shared" si="174"/>
        <v>PSND'!</v>
      </c>
      <c r="F778" s="5" t="str">
        <f t="shared" si="175"/>
        <v>C:\Users\jaime.benazar\Quorum Business Solutions\Ecopetrol Prometeo - Documents\Planning Space Implementation\3. Analysis &amp; Design\Design\FC22\DRR Jaime\Neiva CPI\[VAO_DINA TERCIARIOS_CF_SEC_20230117.xlsx]CF PSND'!</v>
      </c>
      <c r="G778" s="6" t="s">
        <v>101</v>
      </c>
      <c r="H778" s="1"/>
      <c r="I778" s="1"/>
      <c r="J778" s="1"/>
    </row>
    <row r="779" spans="1:10" x14ac:dyDescent="0.3">
      <c r="A779" s="6" t="s">
        <v>23</v>
      </c>
      <c r="B779" s="6">
        <f t="shared" si="177"/>
        <v>2040</v>
      </c>
      <c r="C779" s="1" t="s">
        <v>34</v>
      </c>
      <c r="D779" s="2" t="s">
        <v>131</v>
      </c>
      <c r="E779" s="9" t="str">
        <f t="shared" si="174"/>
        <v>PSND'!</v>
      </c>
      <c r="F779" s="5" t="str">
        <f t="shared" si="175"/>
        <v>C:\Users\jaime.benazar\Quorum Business Solutions\Ecopetrol Prometeo - Documents\Planning Space Implementation\3. Analysis &amp; Design\Design\FC22\DRR Jaime\Neiva CPI\[VAO_DINA TERCIARIOS_CF_SEC_20230117.xlsx]CF PSND'!</v>
      </c>
      <c r="G779" s="6" t="s">
        <v>101</v>
      </c>
      <c r="H779" s="1"/>
      <c r="I779" s="1"/>
      <c r="J779" s="1"/>
    </row>
    <row r="780" spans="1:10" x14ac:dyDescent="0.3">
      <c r="A780" s="6" t="s">
        <v>23</v>
      </c>
      <c r="B780" s="6">
        <f>+B779+1</f>
        <v>2041</v>
      </c>
      <c r="C780" s="1" t="s">
        <v>34</v>
      </c>
      <c r="D780" s="2" t="s">
        <v>131</v>
      </c>
      <c r="E780" s="9" t="str">
        <f t="shared" si="174"/>
        <v>PSND'!</v>
      </c>
      <c r="F780" s="5" t="str">
        <f t="shared" si="175"/>
        <v>C:\Users\jaime.benazar\Quorum Business Solutions\Ecopetrol Prometeo - Documents\Planning Space Implementation\3. Analysis &amp; Design\Design\FC22\DRR Jaime\Neiva CPI\[VAO_DINA TERCIARIOS_CF_SEC_20230117.xlsx]CF PSND'!</v>
      </c>
      <c r="G780" s="6" t="s">
        <v>101</v>
      </c>
      <c r="H780" s="1"/>
      <c r="I780" s="1"/>
      <c r="J780" s="1"/>
    </row>
    <row r="781" spans="1:10" x14ac:dyDescent="0.3">
      <c r="A781" s="6" t="s">
        <v>23</v>
      </c>
      <c r="B781" s="6">
        <f t="shared" ref="B781:B782" si="178">+B780+1</f>
        <v>2042</v>
      </c>
      <c r="C781" s="1" t="s">
        <v>34</v>
      </c>
      <c r="D781" s="2" t="s">
        <v>131</v>
      </c>
      <c r="E781" s="9" t="str">
        <f t="shared" si="174"/>
        <v>PSND'!</v>
      </c>
      <c r="F781" s="5" t="str">
        <f t="shared" si="175"/>
        <v>C:\Users\jaime.benazar\Quorum Business Solutions\Ecopetrol Prometeo - Documents\Planning Space Implementation\3. Analysis &amp; Design\Design\FC22\DRR Jaime\Neiva CPI\[VAO_DINA TERCIARIOS_CF_SEC_20230117.xlsx]CF PSND'!</v>
      </c>
      <c r="G781" s="6" t="s">
        <v>101</v>
      </c>
      <c r="H781" s="1"/>
      <c r="I781" s="1"/>
      <c r="J781" s="1"/>
    </row>
    <row r="782" spans="1:10" x14ac:dyDescent="0.3">
      <c r="A782" s="6" t="s">
        <v>23</v>
      </c>
      <c r="B782" s="6">
        <f t="shared" si="178"/>
        <v>2043</v>
      </c>
      <c r="C782" s="1" t="s">
        <v>34</v>
      </c>
      <c r="D782" s="2" t="s">
        <v>131</v>
      </c>
      <c r="E782" s="9" t="str">
        <f t="shared" si="174"/>
        <v>PSND'!</v>
      </c>
      <c r="F782" s="5" t="str">
        <f t="shared" si="175"/>
        <v>C:\Users\jaime.benazar\Quorum Business Solutions\Ecopetrol Prometeo - Documents\Planning Space Implementation\3. Analysis &amp; Design\Design\FC22\DRR Jaime\Neiva CPI\[VAO_DINA TERCIARIOS_CF_SEC_20230117.xlsx]CF PSND'!</v>
      </c>
      <c r="G782" s="6" t="s">
        <v>101</v>
      </c>
      <c r="H782" s="1"/>
      <c r="I782" s="1"/>
      <c r="J782" s="1"/>
    </row>
    <row r="783" spans="1:10" x14ac:dyDescent="0.3">
      <c r="A783" s="6" t="s">
        <v>23</v>
      </c>
      <c r="B783" s="6">
        <f>+B782+1</f>
        <v>2044</v>
      </c>
      <c r="C783" s="1" t="s">
        <v>34</v>
      </c>
      <c r="D783" s="2" t="s">
        <v>131</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Jaime\Neiva CPI\[VAO_DINA TERCIARIOS_CF_SEC_20230117.xlsx]CF PSND'!</v>
      </c>
      <c r="G783" s="6" t="s">
        <v>101</v>
      </c>
      <c r="H783" s="1"/>
      <c r="I783" s="1"/>
      <c r="J783" s="1"/>
    </row>
    <row r="784" spans="1:10" x14ac:dyDescent="0.3">
      <c r="A784" s="6" t="s">
        <v>23</v>
      </c>
      <c r="B784" s="6">
        <f t="shared" ref="B784:B798" si="181">+B783+1</f>
        <v>2045</v>
      </c>
      <c r="C784" s="1" t="s">
        <v>34</v>
      </c>
      <c r="D784" s="2" t="s">
        <v>131</v>
      </c>
      <c r="E784" s="9" t="str">
        <f t="shared" si="179"/>
        <v>PSND'!</v>
      </c>
      <c r="F784" s="5" t="str">
        <f t="shared" si="180"/>
        <v>C:\Users\jaime.benazar\Quorum Business Solutions\Ecopetrol Prometeo - Documents\Planning Space Implementation\3. Analysis &amp; Design\Design\FC22\DRR Jaime\Neiva CPI\[VAO_DINA TERCIARIOS_CF_SEC_20230117.xlsx]CF PSND'!</v>
      </c>
      <c r="G784" s="6" t="s">
        <v>101</v>
      </c>
      <c r="H784" s="1"/>
      <c r="I784" s="1"/>
      <c r="J784" s="1"/>
    </row>
    <row r="785" spans="1:10" x14ac:dyDescent="0.3">
      <c r="A785" s="6" t="s">
        <v>23</v>
      </c>
      <c r="B785" s="6">
        <f t="shared" si="181"/>
        <v>2046</v>
      </c>
      <c r="C785" s="1" t="s">
        <v>34</v>
      </c>
      <c r="D785" s="2" t="s">
        <v>131</v>
      </c>
      <c r="E785" s="9" t="str">
        <f t="shared" si="179"/>
        <v>PSND'!</v>
      </c>
      <c r="F785" s="5" t="str">
        <f t="shared" si="180"/>
        <v>C:\Users\jaime.benazar\Quorum Business Solutions\Ecopetrol Prometeo - Documents\Planning Space Implementation\3. Analysis &amp; Design\Design\FC22\DRR Jaime\Neiva CPI\[VAO_DINA TERCIARIOS_CF_SEC_20230117.xlsx]CF PSND'!</v>
      </c>
      <c r="G785" s="6" t="s">
        <v>101</v>
      </c>
      <c r="H785" s="1"/>
      <c r="I785" s="1"/>
      <c r="J785" s="1"/>
    </row>
    <row r="786" spans="1:10" x14ac:dyDescent="0.3">
      <c r="A786" s="6" t="s">
        <v>23</v>
      </c>
      <c r="B786" s="6">
        <f t="shared" si="181"/>
        <v>2047</v>
      </c>
      <c r="C786" s="1" t="s">
        <v>34</v>
      </c>
      <c r="D786" s="2" t="s">
        <v>131</v>
      </c>
      <c r="E786" s="9" t="str">
        <f t="shared" si="179"/>
        <v>PSND'!</v>
      </c>
      <c r="F786" s="5" t="str">
        <f t="shared" si="180"/>
        <v>C:\Users\jaime.benazar\Quorum Business Solutions\Ecopetrol Prometeo - Documents\Planning Space Implementation\3. Analysis &amp; Design\Design\FC22\DRR Jaime\Neiva CPI\[VAO_DINA TERCIARIOS_CF_SEC_20230117.xlsx]CF PSND'!</v>
      </c>
      <c r="G786" s="6" t="s">
        <v>101</v>
      </c>
      <c r="H786" s="1"/>
      <c r="I786" s="1"/>
      <c r="J786" s="1"/>
    </row>
    <row r="787" spans="1:10" x14ac:dyDescent="0.3">
      <c r="A787" s="6" t="s">
        <v>23</v>
      </c>
      <c r="B787" s="6">
        <f t="shared" si="181"/>
        <v>2048</v>
      </c>
      <c r="C787" s="1" t="s">
        <v>34</v>
      </c>
      <c r="D787" s="2" t="s">
        <v>131</v>
      </c>
      <c r="E787" s="9" t="str">
        <f t="shared" si="179"/>
        <v>PSND'!</v>
      </c>
      <c r="F787" s="5" t="str">
        <f t="shared" si="180"/>
        <v>C:\Users\jaime.benazar\Quorum Business Solutions\Ecopetrol Prometeo - Documents\Planning Space Implementation\3. Analysis &amp; Design\Design\FC22\DRR Jaime\Neiva CPI\[VAO_DINA TERCIARIOS_CF_SEC_20230117.xlsx]CF PSND'!</v>
      </c>
      <c r="G787" s="6" t="s">
        <v>101</v>
      </c>
      <c r="H787" s="1"/>
      <c r="I787" s="1"/>
      <c r="J787" s="1"/>
    </row>
    <row r="788" spans="1:10" x14ac:dyDescent="0.3">
      <c r="A788" s="6" t="s">
        <v>23</v>
      </c>
      <c r="B788" s="6">
        <f t="shared" si="181"/>
        <v>2049</v>
      </c>
      <c r="C788" s="1" t="s">
        <v>34</v>
      </c>
      <c r="D788" s="2" t="s">
        <v>131</v>
      </c>
      <c r="E788" s="9" t="str">
        <f t="shared" si="179"/>
        <v>PSND'!</v>
      </c>
      <c r="F788" s="5" t="str">
        <f t="shared" si="180"/>
        <v>C:\Users\jaime.benazar\Quorum Business Solutions\Ecopetrol Prometeo - Documents\Planning Space Implementation\3. Analysis &amp; Design\Design\FC22\DRR Jaime\Neiva CPI\[VAO_DINA TERCIARIOS_CF_SEC_20230117.xlsx]CF PSND'!</v>
      </c>
      <c r="G788" s="6" t="s">
        <v>101</v>
      </c>
      <c r="H788" s="1"/>
      <c r="I788" s="1"/>
      <c r="J788" s="1"/>
    </row>
    <row r="789" spans="1:10" x14ac:dyDescent="0.3">
      <c r="A789" s="6" t="s">
        <v>23</v>
      </c>
      <c r="B789" s="6">
        <f t="shared" si="181"/>
        <v>2050</v>
      </c>
      <c r="C789" s="1" t="s">
        <v>34</v>
      </c>
      <c r="D789" s="2" t="s">
        <v>131</v>
      </c>
      <c r="E789" s="9" t="str">
        <f t="shared" si="179"/>
        <v>PSND'!</v>
      </c>
      <c r="F789" s="5" t="str">
        <f t="shared" si="180"/>
        <v>C:\Users\jaime.benazar\Quorum Business Solutions\Ecopetrol Prometeo - Documents\Planning Space Implementation\3. Analysis &amp; Design\Design\FC22\DRR Jaime\Neiva CPI\[VAO_DINA TERCIARIOS_CF_SEC_20230117.xlsx]CF PSND'!</v>
      </c>
      <c r="G789" s="6" t="s">
        <v>101</v>
      </c>
      <c r="H789" s="1"/>
      <c r="I789" s="1"/>
      <c r="J789" s="1"/>
    </row>
    <row r="790" spans="1:10" x14ac:dyDescent="0.3">
      <c r="A790" s="6" t="s">
        <v>23</v>
      </c>
      <c r="B790" s="6">
        <f t="shared" si="181"/>
        <v>2051</v>
      </c>
      <c r="C790" s="1" t="s">
        <v>34</v>
      </c>
      <c r="D790" s="2" t="s">
        <v>131</v>
      </c>
      <c r="E790" s="9" t="str">
        <f t="shared" si="179"/>
        <v>PSND'!</v>
      </c>
      <c r="F790" s="5" t="str">
        <f t="shared" si="180"/>
        <v>C:\Users\jaime.benazar\Quorum Business Solutions\Ecopetrol Prometeo - Documents\Planning Space Implementation\3. Analysis &amp; Design\Design\FC22\DRR Jaime\Neiva CPI\[VAO_DINA TERCIARIOS_CF_SEC_20230117.xlsx]CF PSND'!</v>
      </c>
      <c r="G790" s="6" t="s">
        <v>101</v>
      </c>
      <c r="H790" s="1"/>
      <c r="I790" s="1"/>
      <c r="J790" s="1"/>
    </row>
    <row r="791" spans="1:10" x14ac:dyDescent="0.3">
      <c r="A791" s="6" t="s">
        <v>23</v>
      </c>
      <c r="B791" s="6">
        <f t="shared" si="181"/>
        <v>2052</v>
      </c>
      <c r="C791" s="1" t="s">
        <v>34</v>
      </c>
      <c r="D791" s="2" t="s">
        <v>131</v>
      </c>
      <c r="E791" s="9" t="str">
        <f t="shared" si="179"/>
        <v>PSND'!</v>
      </c>
      <c r="F791" s="5" t="str">
        <f t="shared" si="180"/>
        <v>C:\Users\jaime.benazar\Quorum Business Solutions\Ecopetrol Prometeo - Documents\Planning Space Implementation\3. Analysis &amp; Design\Design\FC22\DRR Jaime\Neiva CPI\[VAO_DINA TERCIARIOS_CF_SEC_20230117.xlsx]CF PSND'!</v>
      </c>
      <c r="G791" s="6" t="s">
        <v>101</v>
      </c>
      <c r="H791" s="1"/>
      <c r="I791" s="1"/>
      <c r="J791" s="1"/>
    </row>
    <row r="792" spans="1:10" x14ac:dyDescent="0.3">
      <c r="A792" s="6" t="s">
        <v>23</v>
      </c>
      <c r="B792" s="6">
        <f t="shared" si="181"/>
        <v>2053</v>
      </c>
      <c r="C792" s="1" t="s">
        <v>34</v>
      </c>
      <c r="D792" s="2" t="s">
        <v>131</v>
      </c>
      <c r="E792" s="9" t="str">
        <f t="shared" si="179"/>
        <v>PSND'!</v>
      </c>
      <c r="F792" s="5" t="str">
        <f t="shared" si="180"/>
        <v>C:\Users\jaime.benazar\Quorum Business Solutions\Ecopetrol Prometeo - Documents\Planning Space Implementation\3. Analysis &amp; Design\Design\FC22\DRR Jaime\Neiva CPI\[VAO_DINA TERCIARIOS_CF_SEC_20230117.xlsx]CF PSND'!</v>
      </c>
      <c r="G792" s="6" t="s">
        <v>101</v>
      </c>
      <c r="H792" s="1"/>
      <c r="I792" s="1"/>
      <c r="J792" s="1"/>
    </row>
    <row r="793" spans="1:10" x14ac:dyDescent="0.3">
      <c r="A793" s="6" t="s">
        <v>23</v>
      </c>
      <c r="B793" s="6">
        <f t="shared" si="181"/>
        <v>2054</v>
      </c>
      <c r="C793" s="1" t="s">
        <v>34</v>
      </c>
      <c r="D793" s="2" t="s">
        <v>131</v>
      </c>
      <c r="E793" s="9" t="str">
        <f t="shared" si="179"/>
        <v>PSND'!</v>
      </c>
      <c r="F793" s="5" t="str">
        <f t="shared" si="180"/>
        <v>C:\Users\jaime.benazar\Quorum Business Solutions\Ecopetrol Prometeo - Documents\Planning Space Implementation\3. Analysis &amp; Design\Design\FC22\DRR Jaime\Neiva CPI\[VAO_DINA TERCIARIOS_CF_SEC_20230117.xlsx]CF PSND'!</v>
      </c>
      <c r="G793" s="6" t="s">
        <v>101</v>
      </c>
      <c r="H793" s="1"/>
      <c r="I793" s="1"/>
      <c r="J793" s="1"/>
    </row>
    <row r="794" spans="1:10" x14ac:dyDescent="0.3">
      <c r="A794" s="6" t="s">
        <v>23</v>
      </c>
      <c r="B794" s="6">
        <f t="shared" si="181"/>
        <v>2055</v>
      </c>
      <c r="C794" s="1" t="s">
        <v>34</v>
      </c>
      <c r="D794" s="2" t="s">
        <v>131</v>
      </c>
      <c r="E794" s="9" t="str">
        <f t="shared" si="179"/>
        <v>PSND'!</v>
      </c>
      <c r="F794" s="5" t="str">
        <f t="shared" si="180"/>
        <v>C:\Users\jaime.benazar\Quorum Business Solutions\Ecopetrol Prometeo - Documents\Planning Space Implementation\3. Analysis &amp; Design\Design\FC22\DRR Jaime\Neiva CPI\[VAO_DINA TERCIARIOS_CF_SEC_20230117.xlsx]CF PSND'!</v>
      </c>
      <c r="G794" s="6" t="s">
        <v>101</v>
      </c>
      <c r="H794" s="1"/>
      <c r="I794" s="1"/>
      <c r="J794" s="1"/>
    </row>
    <row r="795" spans="1:10" x14ac:dyDescent="0.3">
      <c r="A795" s="6" t="s">
        <v>23</v>
      </c>
      <c r="B795" s="6">
        <f t="shared" si="181"/>
        <v>2056</v>
      </c>
      <c r="C795" s="1" t="s">
        <v>34</v>
      </c>
      <c r="D795" s="2" t="s">
        <v>131</v>
      </c>
      <c r="E795" s="9" t="str">
        <f t="shared" si="179"/>
        <v>PSND'!</v>
      </c>
      <c r="F795" s="5" t="str">
        <f t="shared" si="180"/>
        <v>C:\Users\jaime.benazar\Quorum Business Solutions\Ecopetrol Prometeo - Documents\Planning Space Implementation\3. Analysis &amp; Design\Design\FC22\DRR Jaime\Neiva CPI\[VAO_DINA TERCIARIOS_CF_SEC_20230117.xlsx]CF PSND'!</v>
      </c>
      <c r="G795" s="6" t="s">
        <v>101</v>
      </c>
      <c r="H795" s="1"/>
      <c r="I795" s="1"/>
      <c r="J795" s="1"/>
    </row>
    <row r="796" spans="1:10" x14ac:dyDescent="0.3">
      <c r="A796" s="6" t="s">
        <v>23</v>
      </c>
      <c r="B796" s="6">
        <f t="shared" si="181"/>
        <v>2057</v>
      </c>
      <c r="C796" s="1" t="s">
        <v>34</v>
      </c>
      <c r="D796" s="2" t="s">
        <v>131</v>
      </c>
      <c r="E796" s="9" t="str">
        <f t="shared" si="179"/>
        <v>PSND'!</v>
      </c>
      <c r="F796" s="5" t="str">
        <f t="shared" si="180"/>
        <v>C:\Users\jaime.benazar\Quorum Business Solutions\Ecopetrol Prometeo - Documents\Planning Space Implementation\3. Analysis &amp; Design\Design\FC22\DRR Jaime\Neiva CPI\[VAO_DINA TERCIARIOS_CF_SEC_20230117.xlsx]CF PSND'!</v>
      </c>
      <c r="G796" s="6" t="s">
        <v>101</v>
      </c>
      <c r="H796" s="1"/>
      <c r="I796" s="1"/>
      <c r="J796" s="1"/>
    </row>
    <row r="797" spans="1:10" x14ac:dyDescent="0.3">
      <c r="A797" s="6" t="s">
        <v>23</v>
      </c>
      <c r="B797" s="6">
        <f t="shared" si="181"/>
        <v>2058</v>
      </c>
      <c r="C797" s="1" t="s">
        <v>34</v>
      </c>
      <c r="D797" s="2" t="s">
        <v>131</v>
      </c>
      <c r="E797" s="9" t="str">
        <f t="shared" si="179"/>
        <v>PSND'!</v>
      </c>
      <c r="F797" s="5" t="str">
        <f t="shared" si="180"/>
        <v>C:\Users\jaime.benazar\Quorum Business Solutions\Ecopetrol Prometeo - Documents\Planning Space Implementation\3. Analysis &amp; Design\Design\FC22\DRR Jaime\Neiva CPI\[VAO_DINA TERCIARIOS_CF_SEC_20230117.xlsx]CF PSND'!</v>
      </c>
      <c r="G797" s="6" t="s">
        <v>101</v>
      </c>
      <c r="H797" s="1"/>
      <c r="I797" s="1"/>
      <c r="J797" s="1"/>
    </row>
    <row r="798" spans="1:10" x14ac:dyDescent="0.3">
      <c r="A798" s="6" t="s">
        <v>23</v>
      </c>
      <c r="B798" s="6">
        <f t="shared" si="181"/>
        <v>2059</v>
      </c>
      <c r="C798" s="1" t="s">
        <v>34</v>
      </c>
      <c r="D798" s="2" t="s">
        <v>131</v>
      </c>
      <c r="E798" s="9" t="str">
        <f t="shared" si="179"/>
        <v>PSND'!</v>
      </c>
      <c r="F798" s="5" t="str">
        <f t="shared" si="180"/>
        <v>C:\Users\jaime.benazar\Quorum Business Solutions\Ecopetrol Prometeo - Documents\Planning Space Implementation\3. Analysis &amp; Design\Design\FC22\DRR Jaime\Neiva CPI\[VAO_DINA TERCIARIOS_CF_SEC_20230117.xlsx]CF PSND'!</v>
      </c>
      <c r="G798" s="6" t="s">
        <v>101</v>
      </c>
      <c r="H798" s="1"/>
      <c r="I798" s="1"/>
      <c r="J798" s="1"/>
    </row>
    <row r="799" spans="1:10" x14ac:dyDescent="0.3">
      <c r="A799" s="6" t="s">
        <v>26</v>
      </c>
      <c r="B799" s="6"/>
      <c r="C799" s="1" t="s">
        <v>34</v>
      </c>
      <c r="D799" s="2"/>
      <c r="E799" s="9"/>
      <c r="F799" s="2"/>
      <c r="G799" s="6"/>
      <c r="H799" s="1"/>
      <c r="I799" s="1"/>
      <c r="J799" s="1"/>
    </row>
    <row r="800" spans="1:10" x14ac:dyDescent="0.3">
      <c r="A800" s="6" t="s">
        <v>24</v>
      </c>
      <c r="B800" s="6">
        <v>2023</v>
      </c>
      <c r="C800" s="1" t="s">
        <v>34</v>
      </c>
      <c r="D800" s="2" t="s">
        <v>131</v>
      </c>
      <c r="E800" s="9" t="str">
        <f t="shared" si="118"/>
        <v>PS'!</v>
      </c>
      <c r="F800" s="5" t="str">
        <f t="shared" ref="F800:F820" si="182">_xlfn.CONCAT(D800," ",E800)</f>
        <v>C:\Users\jaime.benazar\Quorum Business Solutions\Ecopetrol Prometeo - Documents\Planning Space Implementation\3. Analysis &amp; Design\Design\FC22\DRR Jaime\Neiva CPI\[VAO_DINA TERCIARIOS_CF_SEC_20230117.xlsx]CF PS'!</v>
      </c>
      <c r="G800" s="6" t="s">
        <v>101</v>
      </c>
      <c r="H800" s="1">
        <f>IF(A800&lt;&gt;A670,36,H670+1)</f>
        <v>36</v>
      </c>
      <c r="I800" s="1" t="str">
        <f t="shared" si="119"/>
        <v>='C:\Users\jaime.benazar\Quorum Business Solutions\Ecopetrol Prometeo - Documents\Planning Space Implementation\3. Analysis &amp; Design\Design\FC22\DRR Jaime\Neiva CPI\[VAO_DINA TERCIARIOS_CF_SEC_20230117.xlsx]CF PS'!$BT$36</v>
      </c>
      <c r="J800" s="1" t="s">
        <v>465</v>
      </c>
    </row>
    <row r="801" spans="1:10" x14ac:dyDescent="0.3">
      <c r="A801" s="6" t="s">
        <v>24</v>
      </c>
      <c r="B801" s="6">
        <f>+B800+1</f>
        <v>2024</v>
      </c>
      <c r="C801" s="1" t="s">
        <v>34</v>
      </c>
      <c r="D801" s="2" t="s">
        <v>131</v>
      </c>
      <c r="E801" s="9" t="str">
        <f t="shared" si="118"/>
        <v>PS'!</v>
      </c>
      <c r="F801" s="5" t="str">
        <f t="shared" si="182"/>
        <v>C:\Users\jaime.benazar\Quorum Business Solutions\Ecopetrol Prometeo - Documents\Planning Space Implementation\3. Analysis &amp; Design\Design\FC22\DRR Jaime\Neiva CPI\[VAO_DINA TERCIARIOS_CF_SEC_20230117.xlsx]CF PS'!</v>
      </c>
      <c r="G801" s="6" t="s">
        <v>101</v>
      </c>
      <c r="H801" s="1">
        <f t="shared" si="120"/>
        <v>37</v>
      </c>
      <c r="I801" s="1" t="str">
        <f t="shared" si="119"/>
        <v>='C:\Users\jaime.benazar\Quorum Business Solutions\Ecopetrol Prometeo - Documents\Planning Space Implementation\3. Analysis &amp; Design\Design\FC22\DRR Jaime\Neiva CPI\[VAO_DINA TERCIARIOS_CF_SEC_20230117.xlsx]CF PS'!$BT$37</v>
      </c>
      <c r="J801" s="1" t="s">
        <v>466</v>
      </c>
    </row>
    <row r="802" spans="1:10" x14ac:dyDescent="0.3">
      <c r="A802" s="6" t="s">
        <v>24</v>
      </c>
      <c r="B802" s="6">
        <f t="shared" ref="B802:B813" si="183">+B801+1</f>
        <v>2025</v>
      </c>
      <c r="C802" s="1" t="s">
        <v>34</v>
      </c>
      <c r="D802" s="2" t="s">
        <v>131</v>
      </c>
      <c r="E802" s="9" t="str">
        <f t="shared" si="118"/>
        <v>PS'!</v>
      </c>
      <c r="F802" s="5" t="str">
        <f t="shared" si="182"/>
        <v>C:\Users\jaime.benazar\Quorum Business Solutions\Ecopetrol Prometeo - Documents\Planning Space Implementation\3. Analysis &amp; Design\Design\FC22\DRR Jaime\Neiva CPI\[VAO_DINA TERCIARIOS_CF_SEC_20230117.xlsx]CF PS'!</v>
      </c>
      <c r="G802" s="6" t="s">
        <v>101</v>
      </c>
      <c r="H802" s="1">
        <f t="shared" si="120"/>
        <v>38</v>
      </c>
      <c r="I802" s="1" t="str">
        <f t="shared" si="119"/>
        <v>='C:\Users\jaime.benazar\Quorum Business Solutions\Ecopetrol Prometeo - Documents\Planning Space Implementation\3. Analysis &amp; Design\Design\FC22\DRR Jaime\Neiva CPI\[VAO_DINA TERCIARIOS_CF_SEC_20230117.xlsx]CF PS'!$BT$38</v>
      </c>
      <c r="J802" s="1" t="s">
        <v>467</v>
      </c>
    </row>
    <row r="803" spans="1:10" x14ac:dyDescent="0.3">
      <c r="A803" s="6" t="s">
        <v>24</v>
      </c>
      <c r="B803" s="6">
        <f t="shared" si="183"/>
        <v>2026</v>
      </c>
      <c r="C803" s="1" t="s">
        <v>34</v>
      </c>
      <c r="D803" s="2" t="s">
        <v>131</v>
      </c>
      <c r="E803" s="9" t="str">
        <f t="shared" si="118"/>
        <v>PS'!</v>
      </c>
      <c r="F803" s="5" t="str">
        <f t="shared" si="182"/>
        <v>C:\Users\jaime.benazar\Quorum Business Solutions\Ecopetrol Prometeo - Documents\Planning Space Implementation\3. Analysis &amp; Design\Design\FC22\DRR Jaime\Neiva CPI\[VAO_DINA TERCIARIOS_CF_SEC_20230117.xlsx]CF PS'!</v>
      </c>
      <c r="G803" s="6" t="s">
        <v>101</v>
      </c>
      <c r="H803" s="1">
        <f t="shared" si="120"/>
        <v>39</v>
      </c>
      <c r="I803" s="1" t="str">
        <f t="shared" si="119"/>
        <v>='C:\Users\jaime.benazar\Quorum Business Solutions\Ecopetrol Prometeo - Documents\Planning Space Implementation\3. Analysis &amp; Design\Design\FC22\DRR Jaime\Neiva CPI\[VAO_DINA TERCIARIOS_CF_SEC_20230117.xlsx]CF PS'!$BT$39</v>
      </c>
      <c r="J803" s="1" t="s">
        <v>468</v>
      </c>
    </row>
    <row r="804" spans="1:10" x14ac:dyDescent="0.3">
      <c r="A804" s="6" t="s">
        <v>24</v>
      </c>
      <c r="B804" s="6">
        <f t="shared" si="183"/>
        <v>2027</v>
      </c>
      <c r="C804" s="1" t="s">
        <v>34</v>
      </c>
      <c r="D804" s="2" t="s">
        <v>131</v>
      </c>
      <c r="E804" s="9" t="str">
        <f t="shared" si="118"/>
        <v>PS'!</v>
      </c>
      <c r="F804" s="5" t="str">
        <f t="shared" si="182"/>
        <v>C:\Users\jaime.benazar\Quorum Business Solutions\Ecopetrol Prometeo - Documents\Planning Space Implementation\3. Analysis &amp; Design\Design\FC22\DRR Jaime\Neiva CPI\[VAO_DINA TERCIARIOS_CF_SEC_20230117.xlsx]CF PS'!</v>
      </c>
      <c r="G804" s="6" t="s">
        <v>101</v>
      </c>
      <c r="H804" s="1">
        <f t="shared" si="120"/>
        <v>40</v>
      </c>
      <c r="I804" s="1" t="str">
        <f t="shared" si="119"/>
        <v>='C:\Users\jaime.benazar\Quorum Business Solutions\Ecopetrol Prometeo - Documents\Planning Space Implementation\3. Analysis &amp; Design\Design\FC22\DRR Jaime\Neiva CPI\[VAO_DINA TERCIARIOS_CF_SEC_20230117.xlsx]CF PS'!$BT$40</v>
      </c>
      <c r="J804" s="1" t="s">
        <v>469</v>
      </c>
    </row>
    <row r="805" spans="1:10" x14ac:dyDescent="0.3">
      <c r="A805" s="6" t="s">
        <v>24</v>
      </c>
      <c r="B805" s="6">
        <f t="shared" si="183"/>
        <v>2028</v>
      </c>
      <c r="C805" s="1" t="s">
        <v>34</v>
      </c>
      <c r="D805" s="2" t="s">
        <v>131</v>
      </c>
      <c r="E805" s="9" t="str">
        <f t="shared" si="118"/>
        <v>PS'!</v>
      </c>
      <c r="F805" s="5" t="str">
        <f t="shared" si="182"/>
        <v>C:\Users\jaime.benazar\Quorum Business Solutions\Ecopetrol Prometeo - Documents\Planning Space Implementation\3. Analysis &amp; Design\Design\FC22\DRR Jaime\Neiva CPI\[VAO_DINA TERCIARIOS_CF_SEC_20230117.xlsx]CF PS'!</v>
      </c>
      <c r="G805" s="6" t="s">
        <v>101</v>
      </c>
      <c r="H805" s="1">
        <f t="shared" si="120"/>
        <v>41</v>
      </c>
      <c r="I805" s="1" t="str">
        <f t="shared" si="119"/>
        <v>='C:\Users\jaime.benazar\Quorum Business Solutions\Ecopetrol Prometeo - Documents\Planning Space Implementation\3. Analysis &amp; Design\Design\FC22\DRR Jaime\Neiva CPI\[VAO_DINA TERCIARIOS_CF_SEC_20230117.xlsx]CF PS'!$BT$41</v>
      </c>
      <c r="J805" s="1" t="s">
        <v>470</v>
      </c>
    </row>
    <row r="806" spans="1:10" x14ac:dyDescent="0.3">
      <c r="A806" s="6" t="s">
        <v>24</v>
      </c>
      <c r="B806" s="6">
        <f t="shared" si="183"/>
        <v>2029</v>
      </c>
      <c r="C806" s="1" t="s">
        <v>34</v>
      </c>
      <c r="D806" s="2" t="s">
        <v>131</v>
      </c>
      <c r="E806" s="9" t="str">
        <f t="shared" si="118"/>
        <v>PS'!</v>
      </c>
      <c r="F806" s="5" t="str">
        <f t="shared" si="182"/>
        <v>C:\Users\jaime.benazar\Quorum Business Solutions\Ecopetrol Prometeo - Documents\Planning Space Implementation\3. Analysis &amp; Design\Design\FC22\DRR Jaime\Neiva CPI\[VAO_DINA TERCIARIOS_CF_SEC_20230117.xlsx]CF PS'!</v>
      </c>
      <c r="G806" s="6" t="s">
        <v>101</v>
      </c>
      <c r="H806" s="1">
        <f t="shared" si="120"/>
        <v>42</v>
      </c>
      <c r="I806" s="1" t="str">
        <f t="shared" si="119"/>
        <v>='C:\Users\jaime.benazar\Quorum Business Solutions\Ecopetrol Prometeo - Documents\Planning Space Implementation\3. Analysis &amp; Design\Design\FC22\DRR Jaime\Neiva CPI\[VAO_DINA TERCIARIOS_CF_SEC_20230117.xlsx]CF PS'!$BT$42</v>
      </c>
      <c r="J806" s="1" t="s">
        <v>471</v>
      </c>
    </row>
    <row r="807" spans="1:10" x14ac:dyDescent="0.3">
      <c r="A807" s="6" t="s">
        <v>24</v>
      </c>
      <c r="B807" s="6">
        <f t="shared" si="183"/>
        <v>2030</v>
      </c>
      <c r="C807" s="1" t="s">
        <v>34</v>
      </c>
      <c r="D807" s="2" t="s">
        <v>131</v>
      </c>
      <c r="E807" s="9" t="str">
        <f t="shared" si="118"/>
        <v>PS'!</v>
      </c>
      <c r="F807" s="5" t="str">
        <f t="shared" si="182"/>
        <v>C:\Users\jaime.benazar\Quorum Business Solutions\Ecopetrol Prometeo - Documents\Planning Space Implementation\3. Analysis &amp; Design\Design\FC22\DRR Jaime\Neiva CPI\[VAO_DINA TERCIARIOS_CF_SEC_20230117.xlsx]CF PS'!</v>
      </c>
      <c r="G807" s="6" t="s">
        <v>101</v>
      </c>
      <c r="H807" s="1">
        <f t="shared" si="120"/>
        <v>43</v>
      </c>
      <c r="I807" s="1" t="str">
        <f t="shared" si="119"/>
        <v>='C:\Users\jaime.benazar\Quorum Business Solutions\Ecopetrol Prometeo - Documents\Planning Space Implementation\3. Analysis &amp; Design\Design\FC22\DRR Jaime\Neiva CPI\[VAO_DINA TERCIARIOS_CF_SEC_20230117.xlsx]CF PS'!$BT$43</v>
      </c>
      <c r="J807" s="1" t="s">
        <v>472</v>
      </c>
    </row>
    <row r="808" spans="1:10" x14ac:dyDescent="0.3">
      <c r="A808" s="6" t="s">
        <v>24</v>
      </c>
      <c r="B808" s="6">
        <f t="shared" si="183"/>
        <v>2031</v>
      </c>
      <c r="C808" s="1" t="s">
        <v>34</v>
      </c>
      <c r="D808" s="2" t="s">
        <v>131</v>
      </c>
      <c r="E808" s="9" t="str">
        <f t="shared" si="118"/>
        <v>PS'!</v>
      </c>
      <c r="F808" s="5" t="str">
        <f t="shared" si="182"/>
        <v>C:\Users\jaime.benazar\Quorum Business Solutions\Ecopetrol Prometeo - Documents\Planning Space Implementation\3. Analysis &amp; Design\Design\FC22\DRR Jaime\Neiva CPI\[VAO_DINA TERCIARIOS_CF_SEC_20230117.xlsx]CF PS'!</v>
      </c>
      <c r="G808" s="6" t="s">
        <v>101</v>
      </c>
      <c r="H808" s="1">
        <f t="shared" si="120"/>
        <v>44</v>
      </c>
      <c r="I808" s="1" t="str">
        <f t="shared" si="119"/>
        <v>='C:\Users\jaime.benazar\Quorum Business Solutions\Ecopetrol Prometeo - Documents\Planning Space Implementation\3. Analysis &amp; Design\Design\FC22\DRR Jaime\Neiva CPI\[VAO_DINA TERCIARIOS_CF_SEC_20230117.xlsx]CF PS'!$BT$44</v>
      </c>
      <c r="J808" s="1" t="s">
        <v>473</v>
      </c>
    </row>
    <row r="809" spans="1:10" x14ac:dyDescent="0.3">
      <c r="A809" s="6" t="s">
        <v>24</v>
      </c>
      <c r="B809" s="6">
        <f t="shared" si="183"/>
        <v>2032</v>
      </c>
      <c r="C809" s="1" t="s">
        <v>34</v>
      </c>
      <c r="D809" s="2" t="s">
        <v>131</v>
      </c>
      <c r="E809" s="9" t="str">
        <f t="shared" si="118"/>
        <v>PS'!</v>
      </c>
      <c r="F809" s="5" t="str">
        <f t="shared" si="182"/>
        <v>C:\Users\jaime.benazar\Quorum Business Solutions\Ecopetrol Prometeo - Documents\Planning Space Implementation\3. Analysis &amp; Design\Design\FC22\DRR Jaime\Neiva CPI\[VAO_DINA TERCIARIOS_CF_SEC_20230117.xlsx]CF PS'!</v>
      </c>
      <c r="G809" s="6" t="s">
        <v>101</v>
      </c>
      <c r="H809" s="1">
        <f t="shared" si="120"/>
        <v>45</v>
      </c>
      <c r="I809" s="1" t="str">
        <f t="shared" si="119"/>
        <v>='C:\Users\jaime.benazar\Quorum Business Solutions\Ecopetrol Prometeo - Documents\Planning Space Implementation\3. Analysis &amp; Design\Design\FC22\DRR Jaime\Neiva CPI\[VAO_DINA TERCIARIOS_CF_SEC_20230117.xlsx]CF PS'!$BT$45</v>
      </c>
      <c r="J809" s="1" t="s">
        <v>474</v>
      </c>
    </row>
    <row r="810" spans="1:10" x14ac:dyDescent="0.3">
      <c r="A810" s="6" t="s">
        <v>24</v>
      </c>
      <c r="B810" s="6">
        <f t="shared" si="183"/>
        <v>2033</v>
      </c>
      <c r="C810" s="1" t="s">
        <v>34</v>
      </c>
      <c r="D810" s="2" t="s">
        <v>131</v>
      </c>
      <c r="E810" s="9" t="str">
        <f t="shared" si="118"/>
        <v>PS'!</v>
      </c>
      <c r="F810" s="5" t="str">
        <f t="shared" si="182"/>
        <v>C:\Users\jaime.benazar\Quorum Business Solutions\Ecopetrol Prometeo - Documents\Planning Space Implementation\3. Analysis &amp; Design\Design\FC22\DRR Jaime\Neiva CPI\[VAO_DINA TERCIARIOS_CF_SEC_20230117.xlsx]CF PS'!</v>
      </c>
      <c r="G810" s="6" t="s">
        <v>101</v>
      </c>
      <c r="H810" s="1">
        <f t="shared" si="120"/>
        <v>46</v>
      </c>
      <c r="I810" s="1" t="str">
        <f t="shared" si="119"/>
        <v>='C:\Users\jaime.benazar\Quorum Business Solutions\Ecopetrol Prometeo - Documents\Planning Space Implementation\3. Analysis &amp; Design\Design\FC22\DRR Jaime\Neiva CPI\[VAO_DINA TERCIARIOS_CF_SEC_20230117.xlsx]CF PS'!$BT$46</v>
      </c>
      <c r="J810" s="1" t="s">
        <v>475</v>
      </c>
    </row>
    <row r="811" spans="1:10" x14ac:dyDescent="0.3">
      <c r="A811" s="6" t="s">
        <v>24</v>
      </c>
      <c r="B811" s="6">
        <f t="shared" si="183"/>
        <v>2034</v>
      </c>
      <c r="C811" s="1" t="s">
        <v>34</v>
      </c>
      <c r="D811" s="2" t="s">
        <v>131</v>
      </c>
      <c r="E811" s="9" t="str">
        <f t="shared" si="118"/>
        <v>PS'!</v>
      </c>
      <c r="F811" s="5" t="str">
        <f t="shared" si="182"/>
        <v>C:\Users\jaime.benazar\Quorum Business Solutions\Ecopetrol Prometeo - Documents\Planning Space Implementation\3. Analysis &amp; Design\Design\FC22\DRR Jaime\Neiva CPI\[VAO_DINA TERCIARIOS_CF_SEC_20230117.xlsx]CF PS'!</v>
      </c>
      <c r="G811" s="6" t="s">
        <v>101</v>
      </c>
      <c r="H811" s="1">
        <f t="shared" si="120"/>
        <v>47</v>
      </c>
      <c r="I811" s="1" t="str">
        <f t="shared" si="119"/>
        <v>='C:\Users\jaime.benazar\Quorum Business Solutions\Ecopetrol Prometeo - Documents\Planning Space Implementation\3. Analysis &amp; Design\Design\FC22\DRR Jaime\Neiva CPI\[VAO_DINA TERCIARIOS_CF_SEC_20230117.xlsx]CF PS'!$BT$47</v>
      </c>
      <c r="J811" s="1" t="s">
        <v>476</v>
      </c>
    </row>
    <row r="812" spans="1:10" x14ac:dyDescent="0.3">
      <c r="A812" s="6" t="s">
        <v>24</v>
      </c>
      <c r="B812" s="6">
        <f t="shared" si="183"/>
        <v>2035</v>
      </c>
      <c r="C812" s="1" t="s">
        <v>34</v>
      </c>
      <c r="D812" s="2" t="s">
        <v>131</v>
      </c>
      <c r="E812" s="9" t="str">
        <f t="shared" si="118"/>
        <v>PS'!</v>
      </c>
      <c r="F812" s="5" t="str">
        <f t="shared" si="182"/>
        <v>C:\Users\jaime.benazar\Quorum Business Solutions\Ecopetrol Prometeo - Documents\Planning Space Implementation\3. Analysis &amp; Design\Design\FC22\DRR Jaime\Neiva CPI\[VAO_DINA TERCIARIOS_CF_SEC_20230117.xlsx]CF PS'!</v>
      </c>
      <c r="G812" s="6" t="s">
        <v>101</v>
      </c>
      <c r="H812" s="1">
        <f t="shared" si="120"/>
        <v>48</v>
      </c>
      <c r="I812" s="1" t="str">
        <f t="shared" si="119"/>
        <v>='C:\Users\jaime.benazar\Quorum Business Solutions\Ecopetrol Prometeo - Documents\Planning Space Implementation\3. Analysis &amp; Design\Design\FC22\DRR Jaime\Neiva CPI\[VAO_DINA TERCIARIOS_CF_SEC_20230117.xlsx]CF PS'!$BT$48</v>
      </c>
      <c r="J812" s="1" t="s">
        <v>477</v>
      </c>
    </row>
    <row r="813" spans="1:10" x14ac:dyDescent="0.3">
      <c r="A813" s="6" t="s">
        <v>24</v>
      </c>
      <c r="B813" s="6">
        <f t="shared" si="183"/>
        <v>2036</v>
      </c>
      <c r="C813" s="1" t="s">
        <v>34</v>
      </c>
      <c r="D813" s="2" t="s">
        <v>131</v>
      </c>
      <c r="E813" s="9" t="str">
        <f t="shared" si="118"/>
        <v>PS'!</v>
      </c>
      <c r="F813" s="5" t="str">
        <f t="shared" si="182"/>
        <v>C:\Users\jaime.benazar\Quorum Business Solutions\Ecopetrol Prometeo - Documents\Planning Space Implementation\3. Analysis &amp; Design\Design\FC22\DRR Jaime\Neiva CPI\[VAO_DINA TERCIARIOS_CF_SEC_20230117.xlsx]CF PS'!</v>
      </c>
      <c r="G813" s="6" t="s">
        <v>101</v>
      </c>
      <c r="H813" s="1">
        <f t="shared" si="120"/>
        <v>49</v>
      </c>
      <c r="I813" s="1" t="str">
        <f t="shared" si="119"/>
        <v>='C:\Users\jaime.benazar\Quorum Business Solutions\Ecopetrol Prometeo - Documents\Planning Space Implementation\3. Analysis &amp; Design\Design\FC22\DRR Jaime\Neiva CPI\[VAO_DINA TERCIARIOS_CF_SEC_20230117.xlsx]CF PS'!$BT$49</v>
      </c>
      <c r="J813" s="1" t="s">
        <v>478</v>
      </c>
    </row>
    <row r="814" spans="1:10" x14ac:dyDescent="0.3">
      <c r="A814" s="6" t="s">
        <v>24</v>
      </c>
      <c r="B814" s="6">
        <f>+B813+1</f>
        <v>2037</v>
      </c>
      <c r="C814" s="1" t="s">
        <v>34</v>
      </c>
      <c r="D814" s="2" t="s">
        <v>131</v>
      </c>
      <c r="E814" s="9" t="str">
        <f t="shared" si="118"/>
        <v>PS'!</v>
      </c>
      <c r="F814" s="5" t="str">
        <f t="shared" si="182"/>
        <v>C:\Users\jaime.benazar\Quorum Business Solutions\Ecopetrol Prometeo - Documents\Planning Space Implementation\3. Analysis &amp; Design\Design\FC22\DRR Jaime\Neiva CPI\[VAO_DINA TERCIARIOS_CF_SEC_20230117.xlsx]CF PS'!</v>
      </c>
      <c r="G814" s="6" t="s">
        <v>101</v>
      </c>
      <c r="H814" s="1">
        <f t="shared" si="120"/>
        <v>50</v>
      </c>
      <c r="I814" s="1" t="str">
        <f t="shared" si="119"/>
        <v>='C:\Users\jaime.benazar\Quorum Business Solutions\Ecopetrol Prometeo - Documents\Planning Space Implementation\3. Analysis &amp; Design\Design\FC22\DRR Jaime\Neiva CPI\[VAO_DINA TERCIARIOS_CF_SEC_20230117.xlsx]CF PS'!$BT$50</v>
      </c>
      <c r="J814" s="1" t="s">
        <v>479</v>
      </c>
    </row>
    <row r="815" spans="1:10" x14ac:dyDescent="0.3">
      <c r="A815" s="6" t="s">
        <v>24</v>
      </c>
      <c r="B815" s="6">
        <f t="shared" ref="B815:B817" si="184">+B814+1</f>
        <v>2038</v>
      </c>
      <c r="C815" s="1" t="s">
        <v>34</v>
      </c>
      <c r="D815" s="2" t="s">
        <v>131</v>
      </c>
      <c r="E815" s="9" t="str">
        <f t="shared" si="118"/>
        <v>PS'!</v>
      </c>
      <c r="F815" s="5" t="str">
        <f t="shared" si="182"/>
        <v>C:\Users\jaime.benazar\Quorum Business Solutions\Ecopetrol Prometeo - Documents\Planning Space Implementation\3. Analysis &amp; Design\Design\FC22\DRR Jaime\Neiva CPI\[VAO_DINA TERCIARIOS_CF_SEC_20230117.xlsx]CF PS'!</v>
      </c>
      <c r="G815" s="6" t="s">
        <v>101</v>
      </c>
      <c r="H815" s="1">
        <f t="shared" si="120"/>
        <v>51</v>
      </c>
      <c r="I815" s="1" t="str">
        <f t="shared" si="119"/>
        <v>='C:\Users\jaime.benazar\Quorum Business Solutions\Ecopetrol Prometeo - Documents\Planning Space Implementation\3. Analysis &amp; Design\Design\FC22\DRR Jaime\Neiva CPI\[VAO_DINA TERCIARIOS_CF_SEC_20230117.xlsx]CF PS'!$BT$51</v>
      </c>
      <c r="J815" s="1" t="s">
        <v>480</v>
      </c>
    </row>
    <row r="816" spans="1:10" x14ac:dyDescent="0.3">
      <c r="A816" s="6" t="s">
        <v>24</v>
      </c>
      <c r="B816" s="6">
        <f t="shared" si="184"/>
        <v>2039</v>
      </c>
      <c r="C816" s="1" t="s">
        <v>34</v>
      </c>
      <c r="D816" s="2" t="s">
        <v>131</v>
      </c>
      <c r="E816" s="9" t="str">
        <f t="shared" si="118"/>
        <v>PS'!</v>
      </c>
      <c r="F816" s="5" t="str">
        <f t="shared" si="182"/>
        <v>C:\Users\jaime.benazar\Quorum Business Solutions\Ecopetrol Prometeo - Documents\Planning Space Implementation\3. Analysis &amp; Design\Design\FC22\DRR Jaime\Neiva CPI\[VAO_DINA TERCIARIOS_CF_SEC_20230117.xlsx]CF PS'!</v>
      </c>
      <c r="G816" s="6" t="s">
        <v>101</v>
      </c>
      <c r="H816" s="1">
        <f t="shared" si="120"/>
        <v>52</v>
      </c>
      <c r="I816" s="1" t="str">
        <f t="shared" si="119"/>
        <v>='C:\Users\jaime.benazar\Quorum Business Solutions\Ecopetrol Prometeo - Documents\Planning Space Implementation\3. Analysis &amp; Design\Design\FC22\DRR Jaime\Neiva CPI\[VAO_DINA TERCIARIOS_CF_SEC_20230117.xlsx]CF PS'!$BT$52</v>
      </c>
      <c r="J816" s="1" t="s">
        <v>481</v>
      </c>
    </row>
    <row r="817" spans="1:10" x14ac:dyDescent="0.3">
      <c r="A817" s="6" t="s">
        <v>24</v>
      </c>
      <c r="B817" s="6">
        <f t="shared" si="184"/>
        <v>2040</v>
      </c>
      <c r="C817" s="1" t="s">
        <v>34</v>
      </c>
      <c r="D817" s="2" t="s">
        <v>131</v>
      </c>
      <c r="E817" s="9" t="str">
        <f t="shared" si="118"/>
        <v>PS'!</v>
      </c>
      <c r="F817" s="5" t="str">
        <f t="shared" si="182"/>
        <v>C:\Users\jaime.benazar\Quorum Business Solutions\Ecopetrol Prometeo - Documents\Planning Space Implementation\3. Analysis &amp; Design\Design\FC22\DRR Jaime\Neiva CPI\[VAO_DINA TERCIARIOS_CF_SEC_20230117.xlsx]CF PS'!</v>
      </c>
      <c r="G817" s="6" t="s">
        <v>101</v>
      </c>
      <c r="H817" s="1">
        <f t="shared" si="120"/>
        <v>53</v>
      </c>
      <c r="I817" s="1" t="str">
        <f t="shared" si="119"/>
        <v>='C:\Users\jaime.benazar\Quorum Business Solutions\Ecopetrol Prometeo - Documents\Planning Space Implementation\3. Analysis &amp; Design\Design\FC22\DRR Jaime\Neiva CPI\[VAO_DINA TERCIARIOS_CF_SEC_20230117.xlsx]CF PS'!$BT$53</v>
      </c>
      <c r="J817" s="1" t="s">
        <v>482</v>
      </c>
    </row>
    <row r="818" spans="1:10" x14ac:dyDescent="0.3">
      <c r="A818" s="6" t="s">
        <v>24</v>
      </c>
      <c r="B818" s="6">
        <f>+B817+1</f>
        <v>2041</v>
      </c>
      <c r="C818" s="1" t="s">
        <v>34</v>
      </c>
      <c r="D818" s="2" t="s">
        <v>131</v>
      </c>
      <c r="E818" s="9" t="str">
        <f t="shared" si="118"/>
        <v>PS'!</v>
      </c>
      <c r="F818" s="5" t="str">
        <f t="shared" si="182"/>
        <v>C:\Users\jaime.benazar\Quorum Business Solutions\Ecopetrol Prometeo - Documents\Planning Space Implementation\3. Analysis &amp; Design\Design\FC22\DRR Jaime\Neiva CPI\[VAO_DINA TERCIARIOS_CF_SEC_20230117.xlsx]CF PS'!</v>
      </c>
      <c r="G818" s="6" t="s">
        <v>101</v>
      </c>
      <c r="H818" s="1">
        <f t="shared" si="120"/>
        <v>54</v>
      </c>
      <c r="I818" s="1" t="str">
        <f t="shared" si="119"/>
        <v>='C:\Users\jaime.benazar\Quorum Business Solutions\Ecopetrol Prometeo - Documents\Planning Space Implementation\3. Analysis &amp; Design\Design\FC22\DRR Jaime\Neiva CPI\[VAO_DINA TERCIARIOS_CF_SEC_20230117.xlsx]CF PS'!$BT$54</v>
      </c>
      <c r="J818" s="1" t="s">
        <v>483</v>
      </c>
    </row>
    <row r="819" spans="1:10" x14ac:dyDescent="0.3">
      <c r="A819" s="6" t="s">
        <v>24</v>
      </c>
      <c r="B819" s="6">
        <f t="shared" ref="B819:B820" si="185">+B818+1</f>
        <v>2042</v>
      </c>
      <c r="C819" s="1" t="s">
        <v>34</v>
      </c>
      <c r="D819" s="2" t="s">
        <v>131</v>
      </c>
      <c r="E819" s="9" t="str">
        <f t="shared" si="118"/>
        <v>PS'!</v>
      </c>
      <c r="F819" s="5" t="str">
        <f t="shared" si="182"/>
        <v>C:\Users\jaime.benazar\Quorum Business Solutions\Ecopetrol Prometeo - Documents\Planning Space Implementation\3. Analysis &amp; Design\Design\FC22\DRR Jaime\Neiva CPI\[VAO_DINA TERCIARIOS_CF_SEC_20230117.xlsx]CF PS'!</v>
      </c>
      <c r="G819" s="6" t="s">
        <v>101</v>
      </c>
      <c r="H819" s="1">
        <f t="shared" si="120"/>
        <v>55</v>
      </c>
      <c r="I819" s="1" t="str">
        <f t="shared" si="119"/>
        <v>='C:\Users\jaime.benazar\Quorum Business Solutions\Ecopetrol Prometeo - Documents\Planning Space Implementation\3. Analysis &amp; Design\Design\FC22\DRR Jaime\Neiva CPI\[VAO_DINA TERCIARIOS_CF_SEC_20230117.xlsx]CF PS'!$BT$55</v>
      </c>
      <c r="J819" s="1" t="s">
        <v>484</v>
      </c>
    </row>
    <row r="820" spans="1:10" x14ac:dyDescent="0.3">
      <c r="A820" s="6" t="s">
        <v>24</v>
      </c>
      <c r="B820" s="6">
        <f t="shared" si="185"/>
        <v>2043</v>
      </c>
      <c r="C820" s="1" t="s">
        <v>34</v>
      </c>
      <c r="D820" s="2" t="s">
        <v>131</v>
      </c>
      <c r="E820" s="9" t="str">
        <f t="shared" si="118"/>
        <v>PS'!</v>
      </c>
      <c r="F820" s="5" t="str">
        <f t="shared" si="182"/>
        <v>C:\Users\jaime.benazar\Quorum Business Solutions\Ecopetrol Prometeo - Documents\Planning Space Implementation\3. Analysis &amp; Design\Design\FC22\DRR Jaime\Neiva CPI\[VAO_DINA TERCIARIOS_CF_SEC_20230117.xlsx]CF PS'!</v>
      </c>
      <c r="G820" s="6" t="s">
        <v>101</v>
      </c>
      <c r="H820" s="1">
        <f t="shared" si="120"/>
        <v>56</v>
      </c>
      <c r="I820" s="1" t="str">
        <f t="shared" si="119"/>
        <v>='C:\Users\jaime.benazar\Quorum Business Solutions\Ecopetrol Prometeo - Documents\Planning Space Implementation\3. Analysis &amp; Design\Design\FC22\DRR Jaime\Neiva CPI\[VAO_DINA TERCIARIOS_CF_SEC_20230117.xlsx]CF PS'!$BT$56</v>
      </c>
      <c r="J820" s="1" t="s">
        <v>485</v>
      </c>
    </row>
    <row r="821" spans="1:10" x14ac:dyDescent="0.3">
      <c r="A821" s="6" t="s">
        <v>24</v>
      </c>
      <c r="B821" s="6">
        <f>+B820+1</f>
        <v>2044</v>
      </c>
      <c r="C821" s="1" t="s">
        <v>34</v>
      </c>
      <c r="D821" s="2" t="s">
        <v>131</v>
      </c>
      <c r="E821" s="9" t="str">
        <f t="shared" ref="E821:E836" si="186">_xlfn.CONCAT(A821,"'!")</f>
        <v>PS'!</v>
      </c>
      <c r="F821" s="5" t="str">
        <f t="shared" ref="F821:F836" si="187">_xlfn.CONCAT(D821," ",E821)</f>
        <v>C:\Users\jaime.benazar\Quorum Business Solutions\Ecopetrol Prometeo - Documents\Planning Space Implementation\3. Analysis &amp; Design\Design\FC22\DRR Jaime\Neiva CPI\[VAO_DINA TERCIARIOS_CF_SEC_20230117.xlsx]CF PS'!</v>
      </c>
      <c r="G821" s="6" t="s">
        <v>101</v>
      </c>
      <c r="H821" s="1">
        <f t="shared" ref="H821:H836" si="188">IF(A821&lt;&gt;A820,36,H820+1)</f>
        <v>57</v>
      </c>
      <c r="I821" s="1" t="str">
        <f t="shared" ref="I821:I836" si="189">_xlfn.CONCAT("='",F821:H821)</f>
        <v>='C:\Users\jaime.benazar\Quorum Business Solutions\Ecopetrol Prometeo - Documents\Planning Space Implementation\3. Analysis &amp; Design\Design\FC22\DRR Jaime\Neiva CPI\[VAO_DINA TERCIARIOS_CF_SEC_20230117.xlsx]CF PS'!$BT$57</v>
      </c>
      <c r="J821" s="1" t="s">
        <v>486</v>
      </c>
    </row>
    <row r="822" spans="1:10" x14ac:dyDescent="0.3">
      <c r="A822" s="6" t="s">
        <v>24</v>
      </c>
      <c r="B822" s="6">
        <f t="shared" ref="B822:B836" si="190">+B821+1</f>
        <v>2045</v>
      </c>
      <c r="C822" s="1" t="s">
        <v>34</v>
      </c>
      <c r="D822" s="2" t="s">
        <v>131</v>
      </c>
      <c r="E822" s="9" t="str">
        <f t="shared" si="186"/>
        <v>PS'!</v>
      </c>
      <c r="F822" s="5" t="str">
        <f t="shared" si="187"/>
        <v>C:\Users\jaime.benazar\Quorum Business Solutions\Ecopetrol Prometeo - Documents\Planning Space Implementation\3. Analysis &amp; Design\Design\FC22\DRR Jaime\Neiva CPI\[VAO_DINA TERCIARIOS_CF_SEC_20230117.xlsx]CF PS'!</v>
      </c>
      <c r="G822" s="6" t="s">
        <v>101</v>
      </c>
      <c r="H822" s="1">
        <f t="shared" si="188"/>
        <v>58</v>
      </c>
      <c r="I822" s="1" t="str">
        <f t="shared" si="189"/>
        <v>='C:\Users\jaime.benazar\Quorum Business Solutions\Ecopetrol Prometeo - Documents\Planning Space Implementation\3. Analysis &amp; Design\Design\FC22\DRR Jaime\Neiva CPI\[VAO_DINA TERCIARIOS_CF_SEC_20230117.xlsx]CF PS'!$BT$58</v>
      </c>
      <c r="J822" s="1" t="s">
        <v>487</v>
      </c>
    </row>
    <row r="823" spans="1:10" x14ac:dyDescent="0.3">
      <c r="A823" s="6" t="s">
        <v>24</v>
      </c>
      <c r="B823" s="6">
        <f t="shared" si="190"/>
        <v>2046</v>
      </c>
      <c r="C823" s="1" t="s">
        <v>34</v>
      </c>
      <c r="D823" s="2" t="s">
        <v>131</v>
      </c>
      <c r="E823" s="9" t="str">
        <f t="shared" si="186"/>
        <v>PS'!</v>
      </c>
      <c r="F823" s="5" t="str">
        <f t="shared" si="187"/>
        <v>C:\Users\jaime.benazar\Quorum Business Solutions\Ecopetrol Prometeo - Documents\Planning Space Implementation\3. Analysis &amp; Design\Design\FC22\DRR Jaime\Neiva CPI\[VAO_DINA TERCIARIOS_CF_SEC_20230117.xlsx]CF PS'!</v>
      </c>
      <c r="G823" s="6" t="s">
        <v>101</v>
      </c>
      <c r="H823" s="1">
        <f t="shared" si="188"/>
        <v>59</v>
      </c>
      <c r="I823" s="1" t="str">
        <f t="shared" si="189"/>
        <v>='C:\Users\jaime.benazar\Quorum Business Solutions\Ecopetrol Prometeo - Documents\Planning Space Implementation\3. Analysis &amp; Design\Design\FC22\DRR Jaime\Neiva CPI\[VAO_DINA TERCIARIOS_CF_SEC_20230117.xlsx]CF PS'!$BT$59</v>
      </c>
      <c r="J823" s="1" t="s">
        <v>488</v>
      </c>
    </row>
    <row r="824" spans="1:10" x14ac:dyDescent="0.3">
      <c r="A824" s="6" t="s">
        <v>24</v>
      </c>
      <c r="B824" s="6">
        <f t="shared" si="190"/>
        <v>2047</v>
      </c>
      <c r="C824" s="1" t="s">
        <v>34</v>
      </c>
      <c r="D824" s="2" t="s">
        <v>131</v>
      </c>
      <c r="E824" s="9" t="str">
        <f t="shared" si="186"/>
        <v>PS'!</v>
      </c>
      <c r="F824" s="5" t="str">
        <f t="shared" si="187"/>
        <v>C:\Users\jaime.benazar\Quorum Business Solutions\Ecopetrol Prometeo - Documents\Planning Space Implementation\3. Analysis &amp; Design\Design\FC22\DRR Jaime\Neiva CPI\[VAO_DINA TERCIARIOS_CF_SEC_20230117.xlsx]CF PS'!</v>
      </c>
      <c r="G824" s="6" t="s">
        <v>101</v>
      </c>
      <c r="H824" s="1">
        <f t="shared" si="188"/>
        <v>60</v>
      </c>
      <c r="I824" s="1" t="str">
        <f t="shared" si="189"/>
        <v>='C:\Users\jaime.benazar\Quorum Business Solutions\Ecopetrol Prometeo - Documents\Planning Space Implementation\3. Analysis &amp; Design\Design\FC22\DRR Jaime\Neiva CPI\[VAO_DINA TERCIARIOS_CF_SEC_20230117.xlsx]CF PS'!$BT$60</v>
      </c>
      <c r="J824" s="1" t="s">
        <v>489</v>
      </c>
    </row>
    <row r="825" spans="1:10" x14ac:dyDescent="0.3">
      <c r="A825" s="6" t="s">
        <v>24</v>
      </c>
      <c r="B825" s="6">
        <f t="shared" si="190"/>
        <v>2048</v>
      </c>
      <c r="C825" s="1" t="s">
        <v>34</v>
      </c>
      <c r="D825" s="2" t="s">
        <v>131</v>
      </c>
      <c r="E825" s="9" t="str">
        <f t="shared" si="186"/>
        <v>PS'!</v>
      </c>
      <c r="F825" s="5" t="str">
        <f t="shared" si="187"/>
        <v>C:\Users\jaime.benazar\Quorum Business Solutions\Ecopetrol Prometeo - Documents\Planning Space Implementation\3. Analysis &amp; Design\Design\FC22\DRR Jaime\Neiva CPI\[VAO_DINA TERCIARIOS_CF_SEC_20230117.xlsx]CF PS'!</v>
      </c>
      <c r="G825" s="6" t="s">
        <v>101</v>
      </c>
      <c r="H825" s="1">
        <f t="shared" si="188"/>
        <v>61</v>
      </c>
      <c r="I825" s="1" t="str">
        <f t="shared" si="189"/>
        <v>='C:\Users\jaime.benazar\Quorum Business Solutions\Ecopetrol Prometeo - Documents\Planning Space Implementation\3. Analysis &amp; Design\Design\FC22\DRR Jaime\Neiva CPI\[VAO_DINA TERCIARIOS_CF_SEC_20230117.xlsx]CF PS'!$BT$61</v>
      </c>
      <c r="J825" s="1" t="s">
        <v>490</v>
      </c>
    </row>
    <row r="826" spans="1:10" x14ac:dyDescent="0.3">
      <c r="A826" s="6" t="s">
        <v>24</v>
      </c>
      <c r="B826" s="6">
        <f t="shared" si="190"/>
        <v>2049</v>
      </c>
      <c r="C826" s="1" t="s">
        <v>34</v>
      </c>
      <c r="D826" s="2" t="s">
        <v>131</v>
      </c>
      <c r="E826" s="9" t="str">
        <f t="shared" si="186"/>
        <v>PS'!</v>
      </c>
      <c r="F826" s="5" t="str">
        <f t="shared" si="187"/>
        <v>C:\Users\jaime.benazar\Quorum Business Solutions\Ecopetrol Prometeo - Documents\Planning Space Implementation\3. Analysis &amp; Design\Design\FC22\DRR Jaime\Neiva CPI\[VAO_DINA TERCIARIOS_CF_SEC_20230117.xlsx]CF PS'!</v>
      </c>
      <c r="G826" s="6" t="s">
        <v>101</v>
      </c>
      <c r="H826" s="1">
        <f t="shared" si="188"/>
        <v>62</v>
      </c>
      <c r="I826" s="1" t="str">
        <f t="shared" si="189"/>
        <v>='C:\Users\jaime.benazar\Quorum Business Solutions\Ecopetrol Prometeo - Documents\Planning Space Implementation\3. Analysis &amp; Design\Design\FC22\DRR Jaime\Neiva CPI\[VAO_DINA TERCIARIOS_CF_SEC_20230117.xlsx]CF PS'!$BT$62</v>
      </c>
      <c r="J826" s="1" t="s">
        <v>491</v>
      </c>
    </row>
    <row r="827" spans="1:10" x14ac:dyDescent="0.3">
      <c r="A827" s="6" t="s">
        <v>24</v>
      </c>
      <c r="B827" s="6">
        <f t="shared" si="190"/>
        <v>2050</v>
      </c>
      <c r="C827" s="1" t="s">
        <v>34</v>
      </c>
      <c r="D827" s="2" t="s">
        <v>131</v>
      </c>
      <c r="E827" s="9" t="str">
        <f t="shared" si="186"/>
        <v>PS'!</v>
      </c>
      <c r="F827" s="5" t="str">
        <f t="shared" si="187"/>
        <v>C:\Users\jaime.benazar\Quorum Business Solutions\Ecopetrol Prometeo - Documents\Planning Space Implementation\3. Analysis &amp; Design\Design\FC22\DRR Jaime\Neiva CPI\[VAO_DINA TERCIARIOS_CF_SEC_20230117.xlsx]CF PS'!</v>
      </c>
      <c r="G827" s="6" t="s">
        <v>101</v>
      </c>
      <c r="H827" s="1">
        <f t="shared" si="188"/>
        <v>63</v>
      </c>
      <c r="I827" s="1" t="str">
        <f t="shared" si="189"/>
        <v>='C:\Users\jaime.benazar\Quorum Business Solutions\Ecopetrol Prometeo - Documents\Planning Space Implementation\3. Analysis &amp; Design\Design\FC22\DRR Jaime\Neiva CPI\[VAO_DINA TERCIARIOS_CF_SEC_20230117.xlsx]CF PS'!$BT$63</v>
      </c>
      <c r="J827" s="1" t="s">
        <v>492</v>
      </c>
    </row>
    <row r="828" spans="1:10" x14ac:dyDescent="0.3">
      <c r="A828" s="6" t="s">
        <v>24</v>
      </c>
      <c r="B828" s="6">
        <f t="shared" si="190"/>
        <v>2051</v>
      </c>
      <c r="C828" s="1" t="s">
        <v>34</v>
      </c>
      <c r="D828" s="2" t="s">
        <v>131</v>
      </c>
      <c r="E828" s="9" t="str">
        <f t="shared" si="186"/>
        <v>PS'!</v>
      </c>
      <c r="F828" s="5" t="str">
        <f t="shared" si="187"/>
        <v>C:\Users\jaime.benazar\Quorum Business Solutions\Ecopetrol Prometeo - Documents\Planning Space Implementation\3. Analysis &amp; Design\Design\FC22\DRR Jaime\Neiva CPI\[VAO_DINA TERCIARIOS_CF_SEC_20230117.xlsx]CF PS'!</v>
      </c>
      <c r="G828" s="6" t="s">
        <v>101</v>
      </c>
      <c r="H828" s="1">
        <f t="shared" si="188"/>
        <v>64</v>
      </c>
      <c r="I828" s="1" t="str">
        <f t="shared" si="189"/>
        <v>='C:\Users\jaime.benazar\Quorum Business Solutions\Ecopetrol Prometeo - Documents\Planning Space Implementation\3. Analysis &amp; Design\Design\FC22\DRR Jaime\Neiva CPI\[VAO_DINA TERCIARIOS_CF_SEC_20230117.xlsx]CF PS'!$BT$64</v>
      </c>
      <c r="J828" s="1" t="s">
        <v>493</v>
      </c>
    </row>
    <row r="829" spans="1:10" x14ac:dyDescent="0.3">
      <c r="A829" s="6" t="s">
        <v>24</v>
      </c>
      <c r="B829" s="6">
        <f t="shared" si="190"/>
        <v>2052</v>
      </c>
      <c r="C829" s="1" t="s">
        <v>34</v>
      </c>
      <c r="D829" s="2" t="s">
        <v>131</v>
      </c>
      <c r="E829" s="9" t="str">
        <f t="shared" si="186"/>
        <v>PS'!</v>
      </c>
      <c r="F829" s="5" t="str">
        <f t="shared" si="187"/>
        <v>C:\Users\jaime.benazar\Quorum Business Solutions\Ecopetrol Prometeo - Documents\Planning Space Implementation\3. Analysis &amp; Design\Design\FC22\DRR Jaime\Neiva CPI\[VAO_DINA TERCIARIOS_CF_SEC_20230117.xlsx]CF PS'!</v>
      </c>
      <c r="G829" s="6" t="s">
        <v>101</v>
      </c>
      <c r="H829" s="1">
        <f t="shared" si="188"/>
        <v>65</v>
      </c>
      <c r="I829" s="1" t="str">
        <f t="shared" si="189"/>
        <v>='C:\Users\jaime.benazar\Quorum Business Solutions\Ecopetrol Prometeo - Documents\Planning Space Implementation\3. Analysis &amp; Design\Design\FC22\DRR Jaime\Neiva CPI\[VAO_DINA TERCIARIOS_CF_SEC_20230117.xlsx]CF PS'!$BT$65</v>
      </c>
      <c r="J829" s="1" t="s">
        <v>494</v>
      </c>
    </row>
    <row r="830" spans="1:10" x14ac:dyDescent="0.3">
      <c r="A830" s="6" t="s">
        <v>24</v>
      </c>
      <c r="B830" s="6">
        <f t="shared" si="190"/>
        <v>2053</v>
      </c>
      <c r="C830" s="1" t="s">
        <v>34</v>
      </c>
      <c r="D830" s="2" t="s">
        <v>131</v>
      </c>
      <c r="E830" s="9" t="str">
        <f t="shared" si="186"/>
        <v>PS'!</v>
      </c>
      <c r="F830" s="5" t="str">
        <f t="shared" si="187"/>
        <v>C:\Users\jaime.benazar\Quorum Business Solutions\Ecopetrol Prometeo - Documents\Planning Space Implementation\3. Analysis &amp; Design\Design\FC22\DRR Jaime\Neiva CPI\[VAO_DINA TERCIARIOS_CF_SEC_20230117.xlsx]CF PS'!</v>
      </c>
      <c r="G830" s="6" t="s">
        <v>101</v>
      </c>
      <c r="H830" s="1">
        <f t="shared" si="188"/>
        <v>66</v>
      </c>
      <c r="I830" s="1" t="str">
        <f t="shared" si="189"/>
        <v>='C:\Users\jaime.benazar\Quorum Business Solutions\Ecopetrol Prometeo - Documents\Planning Space Implementation\3. Analysis &amp; Design\Design\FC22\DRR Jaime\Neiva CPI\[VAO_DINA TERCIARIOS_CF_SEC_20230117.xlsx]CF PS'!$BT$66</v>
      </c>
      <c r="J830" s="1" t="s">
        <v>495</v>
      </c>
    </row>
    <row r="831" spans="1:10" x14ac:dyDescent="0.3">
      <c r="A831" s="6" t="s">
        <v>24</v>
      </c>
      <c r="B831" s="6">
        <f t="shared" si="190"/>
        <v>2054</v>
      </c>
      <c r="C831" s="1" t="s">
        <v>34</v>
      </c>
      <c r="D831" s="2" t="s">
        <v>131</v>
      </c>
      <c r="E831" s="9" t="str">
        <f t="shared" si="186"/>
        <v>PS'!</v>
      </c>
      <c r="F831" s="5" t="str">
        <f t="shared" si="187"/>
        <v>C:\Users\jaime.benazar\Quorum Business Solutions\Ecopetrol Prometeo - Documents\Planning Space Implementation\3. Analysis &amp; Design\Design\FC22\DRR Jaime\Neiva CPI\[VAO_DINA TERCIARIOS_CF_SEC_20230117.xlsx]CF PS'!</v>
      </c>
      <c r="G831" s="6" t="s">
        <v>101</v>
      </c>
      <c r="H831" s="1">
        <f t="shared" si="188"/>
        <v>67</v>
      </c>
      <c r="I831" s="1" t="str">
        <f t="shared" si="189"/>
        <v>='C:\Users\jaime.benazar\Quorum Business Solutions\Ecopetrol Prometeo - Documents\Planning Space Implementation\3. Analysis &amp; Design\Design\FC22\DRR Jaime\Neiva CPI\[VAO_DINA TERCIARIOS_CF_SEC_20230117.xlsx]CF PS'!$BT$67</v>
      </c>
      <c r="J831" s="1" t="s">
        <v>496</v>
      </c>
    </row>
    <row r="832" spans="1:10" x14ac:dyDescent="0.3">
      <c r="A832" s="6" t="s">
        <v>24</v>
      </c>
      <c r="B832" s="6">
        <f t="shared" si="190"/>
        <v>2055</v>
      </c>
      <c r="C832" s="1" t="s">
        <v>34</v>
      </c>
      <c r="D832" s="2" t="s">
        <v>131</v>
      </c>
      <c r="E832" s="9" t="str">
        <f t="shared" si="186"/>
        <v>PS'!</v>
      </c>
      <c r="F832" s="5" t="str">
        <f t="shared" si="187"/>
        <v>C:\Users\jaime.benazar\Quorum Business Solutions\Ecopetrol Prometeo - Documents\Planning Space Implementation\3. Analysis &amp; Design\Design\FC22\DRR Jaime\Neiva CPI\[VAO_DINA TERCIARIOS_CF_SEC_20230117.xlsx]CF PS'!</v>
      </c>
      <c r="G832" s="6" t="s">
        <v>101</v>
      </c>
      <c r="H832" s="1">
        <f t="shared" si="188"/>
        <v>68</v>
      </c>
      <c r="I832" s="1" t="str">
        <f t="shared" si="189"/>
        <v>='C:\Users\jaime.benazar\Quorum Business Solutions\Ecopetrol Prometeo - Documents\Planning Space Implementation\3. Analysis &amp; Design\Design\FC22\DRR Jaime\Neiva CPI\[VAO_DINA TERCIARIOS_CF_SEC_20230117.xlsx]CF PS'!$BT$68</v>
      </c>
      <c r="J832" s="1" t="s">
        <v>497</v>
      </c>
    </row>
    <row r="833" spans="1:10" x14ac:dyDescent="0.3">
      <c r="A833" s="6" t="s">
        <v>24</v>
      </c>
      <c r="B833" s="6">
        <f t="shared" si="190"/>
        <v>2056</v>
      </c>
      <c r="C833" s="1" t="s">
        <v>34</v>
      </c>
      <c r="D833" s="2" t="s">
        <v>131</v>
      </c>
      <c r="E833" s="9" t="str">
        <f t="shared" si="186"/>
        <v>PS'!</v>
      </c>
      <c r="F833" s="5" t="str">
        <f t="shared" si="187"/>
        <v>C:\Users\jaime.benazar\Quorum Business Solutions\Ecopetrol Prometeo - Documents\Planning Space Implementation\3. Analysis &amp; Design\Design\FC22\DRR Jaime\Neiva CPI\[VAO_DINA TERCIARIOS_CF_SEC_20230117.xlsx]CF PS'!</v>
      </c>
      <c r="G833" s="6" t="s">
        <v>101</v>
      </c>
      <c r="H833" s="1">
        <f t="shared" si="188"/>
        <v>69</v>
      </c>
      <c r="I833" s="1" t="str">
        <f t="shared" si="189"/>
        <v>='C:\Users\jaime.benazar\Quorum Business Solutions\Ecopetrol Prometeo - Documents\Planning Space Implementation\3. Analysis &amp; Design\Design\FC22\DRR Jaime\Neiva CPI\[VAO_DINA TERCIARIOS_CF_SEC_20230117.xlsx]CF PS'!$BT$69</v>
      </c>
      <c r="J833" s="1" t="s">
        <v>498</v>
      </c>
    </row>
    <row r="834" spans="1:10" x14ac:dyDescent="0.3">
      <c r="A834" s="6" t="s">
        <v>24</v>
      </c>
      <c r="B834" s="6">
        <f t="shared" si="190"/>
        <v>2057</v>
      </c>
      <c r="C834" s="1" t="s">
        <v>34</v>
      </c>
      <c r="D834" s="2" t="s">
        <v>131</v>
      </c>
      <c r="E834" s="9" t="str">
        <f t="shared" si="186"/>
        <v>PS'!</v>
      </c>
      <c r="F834" s="5" t="str">
        <f t="shared" si="187"/>
        <v>C:\Users\jaime.benazar\Quorum Business Solutions\Ecopetrol Prometeo - Documents\Planning Space Implementation\3. Analysis &amp; Design\Design\FC22\DRR Jaime\Neiva CPI\[VAO_DINA TERCIARIOS_CF_SEC_20230117.xlsx]CF PS'!</v>
      </c>
      <c r="G834" s="6" t="s">
        <v>101</v>
      </c>
      <c r="H834" s="1">
        <f t="shared" si="188"/>
        <v>70</v>
      </c>
      <c r="I834" s="1" t="str">
        <f t="shared" si="189"/>
        <v>='C:\Users\jaime.benazar\Quorum Business Solutions\Ecopetrol Prometeo - Documents\Planning Space Implementation\3. Analysis &amp; Design\Design\FC22\DRR Jaime\Neiva CPI\[VAO_DINA TERCIARIOS_CF_SEC_20230117.xlsx]CF PS'!$BT$70</v>
      </c>
      <c r="J834" s="1" t="s">
        <v>499</v>
      </c>
    </row>
    <row r="835" spans="1:10" x14ac:dyDescent="0.3">
      <c r="A835" s="6" t="s">
        <v>24</v>
      </c>
      <c r="B835" s="6">
        <f t="shared" si="190"/>
        <v>2058</v>
      </c>
      <c r="C835" s="1" t="s">
        <v>34</v>
      </c>
      <c r="D835" s="2" t="s">
        <v>131</v>
      </c>
      <c r="E835" s="9" t="str">
        <f t="shared" si="186"/>
        <v>PS'!</v>
      </c>
      <c r="F835" s="5" t="str">
        <f t="shared" si="187"/>
        <v>C:\Users\jaime.benazar\Quorum Business Solutions\Ecopetrol Prometeo - Documents\Planning Space Implementation\3. Analysis &amp; Design\Design\FC22\DRR Jaime\Neiva CPI\[VAO_DINA TERCIARIOS_CF_SEC_20230117.xlsx]CF PS'!</v>
      </c>
      <c r="G835" s="6" t="s">
        <v>101</v>
      </c>
      <c r="H835" s="1">
        <f t="shared" si="188"/>
        <v>71</v>
      </c>
      <c r="I835" s="1" t="str">
        <f t="shared" si="189"/>
        <v>='C:\Users\jaime.benazar\Quorum Business Solutions\Ecopetrol Prometeo - Documents\Planning Space Implementation\3. Analysis &amp; Design\Design\FC22\DRR Jaime\Neiva CPI\[VAO_DINA TERCIARIOS_CF_SEC_20230117.xlsx]CF PS'!$BT$71</v>
      </c>
      <c r="J835" s="1" t="s">
        <v>500</v>
      </c>
    </row>
    <row r="836" spans="1:10" x14ac:dyDescent="0.3">
      <c r="A836" s="6" t="s">
        <v>24</v>
      </c>
      <c r="B836" s="6">
        <f t="shared" si="190"/>
        <v>2059</v>
      </c>
      <c r="C836" s="1" t="s">
        <v>34</v>
      </c>
      <c r="D836" s="2" t="s">
        <v>131</v>
      </c>
      <c r="E836" s="9" t="str">
        <f t="shared" si="186"/>
        <v>PS'!</v>
      </c>
      <c r="F836" s="5" t="str">
        <f t="shared" si="187"/>
        <v>C:\Users\jaime.benazar\Quorum Business Solutions\Ecopetrol Prometeo - Documents\Planning Space Implementation\3. Analysis &amp; Design\Design\FC22\DRR Jaime\Neiva CPI\[VAO_DINA TERCIARIOS_CF_SEC_20230117.xlsx]CF PS'!</v>
      </c>
      <c r="G836" s="6" t="s">
        <v>101</v>
      </c>
      <c r="H836" s="1">
        <f t="shared" si="188"/>
        <v>72</v>
      </c>
      <c r="I836" s="1" t="str">
        <f t="shared" si="189"/>
        <v>='C:\Users\jaime.benazar\Quorum Business Solutions\Ecopetrol Prometeo - Documents\Planning Space Implementation\3. Analysis &amp; Design\Design\FC22\DRR Jaime\Neiva CPI\[VAO_DINA TERCIARIOS_CF_SEC_20230117.xlsx]CF PS'!$BT$72</v>
      </c>
      <c r="J836" s="1" t="s">
        <v>501</v>
      </c>
    </row>
    <row r="837" spans="1:10" x14ac:dyDescent="0.3">
      <c r="A837" s="6" t="s">
        <v>26</v>
      </c>
      <c r="B837" s="6"/>
      <c r="C837" s="1" t="s">
        <v>34</v>
      </c>
      <c r="D837" s="2"/>
      <c r="E837" s="9"/>
      <c r="F837" s="2"/>
      <c r="G837" s="6"/>
      <c r="H837" s="1"/>
      <c r="I837" s="1"/>
      <c r="J837" s="4"/>
    </row>
    <row r="838" spans="1:10" x14ac:dyDescent="0.3">
      <c r="A838" s="7" t="s">
        <v>14</v>
      </c>
      <c r="B838" s="7">
        <v>2023</v>
      </c>
      <c r="C838" s="4" t="s">
        <v>37</v>
      </c>
      <c r="D838" s="5" t="s">
        <v>131</v>
      </c>
      <c r="E838" s="10" t="str">
        <f>_xlfn.CONCAT(A838,"'!")</f>
        <v>PDP'!</v>
      </c>
      <c r="F838" s="5" t="str">
        <f t="shared" ref="F838:F858" si="191">_xlfn.CONCAT(D838," ",E838)</f>
        <v>C:\Users\jaime.benazar\Quorum Business Solutions\Ecopetrol Prometeo - Documents\Planning Space Implementation\3. Analysis &amp; Design\Design\FC22\DRR Jaime\Neiva CPI\[VAO_DINA TERCIARIOS_CF_SEC_20230117.xlsx]CF PDP'!</v>
      </c>
      <c r="G838" s="7" t="s">
        <v>102</v>
      </c>
      <c r="H838" s="4">
        <f>IF(A838&lt;&gt;A822,36,H822+1)</f>
        <v>36</v>
      </c>
      <c r="I838" s="4" t="str">
        <f>_xlfn.CONCAT("='",F838:H838)</f>
        <v>='C:\Users\jaime.benazar\Quorum Business Solutions\Ecopetrol Prometeo - Documents\Planning Space Implementation\3. Analysis &amp; Design\Design\FC22\DRR Jaime\Neiva CPI\[VAO_DINA TERCIARIOS_CF_SEC_20230117.xlsx]CF PDP'!$BW$36</v>
      </c>
      <c r="J838" s="4" t="s">
        <v>502</v>
      </c>
    </row>
    <row r="839" spans="1:10" x14ac:dyDescent="0.3">
      <c r="A839" s="7" t="s">
        <v>14</v>
      </c>
      <c r="B839" s="7">
        <f>+B838+1</f>
        <v>2024</v>
      </c>
      <c r="C839" s="4" t="s">
        <v>37</v>
      </c>
      <c r="D839" s="5" t="s">
        <v>131</v>
      </c>
      <c r="E839" s="10" t="str">
        <f t="shared" ref="E839:E932" si="192">_xlfn.CONCAT(A839,"'!")</f>
        <v>PDP'!</v>
      </c>
      <c r="F839" s="5" t="str">
        <f t="shared" si="191"/>
        <v>C:\Users\jaime.benazar\Quorum Business Solutions\Ecopetrol Prometeo - Documents\Planning Space Implementation\3. Analysis &amp; Design\Design\FC22\DRR Jaime\Neiva CPI\[VAO_DINA TERCIARIOS_CF_SEC_20230117.xlsx]CF PDP'!</v>
      </c>
      <c r="G839" s="7" t="s">
        <v>102</v>
      </c>
      <c r="H839" s="4">
        <f>IF(A839&lt;&gt;A838,36,H838+1)</f>
        <v>37</v>
      </c>
      <c r="I839" s="4" t="str">
        <f t="shared" ref="I839:I932" si="193">_xlfn.CONCAT("='",F839:H839)</f>
        <v>='C:\Users\jaime.benazar\Quorum Business Solutions\Ecopetrol Prometeo - Documents\Planning Space Implementation\3. Analysis &amp; Design\Design\FC22\DRR Jaime\Neiva CPI\[VAO_DINA TERCIARIOS_CF_SEC_20230117.xlsx]CF PDP'!$BW$37</v>
      </c>
      <c r="J839" s="4" t="s">
        <v>503</v>
      </c>
    </row>
    <row r="840" spans="1:10" x14ac:dyDescent="0.3">
      <c r="A840" s="7" t="s">
        <v>14</v>
      </c>
      <c r="B840" s="7">
        <f t="shared" ref="B840:B851" si="194">+B839+1</f>
        <v>2025</v>
      </c>
      <c r="C840" s="4" t="s">
        <v>37</v>
      </c>
      <c r="D840" s="5" t="s">
        <v>131</v>
      </c>
      <c r="E840" s="10" t="str">
        <f t="shared" si="192"/>
        <v>PDP'!</v>
      </c>
      <c r="F840" s="5" t="str">
        <f t="shared" si="191"/>
        <v>C:\Users\jaime.benazar\Quorum Business Solutions\Ecopetrol Prometeo - Documents\Planning Space Implementation\3. Analysis &amp; Design\Design\FC22\DRR Jaime\Neiva CPI\[VAO_DINA TERCIARIOS_CF_SEC_20230117.xlsx]CF PDP'!</v>
      </c>
      <c r="G840" s="7" t="s">
        <v>102</v>
      </c>
      <c r="H840" s="4">
        <f t="shared" ref="H840:H933" si="195">IF(A840&lt;&gt;A839,36,H839+1)</f>
        <v>38</v>
      </c>
      <c r="I840" s="4" t="str">
        <f t="shared" si="193"/>
        <v>='C:\Users\jaime.benazar\Quorum Business Solutions\Ecopetrol Prometeo - Documents\Planning Space Implementation\3. Analysis &amp; Design\Design\FC22\DRR Jaime\Neiva CPI\[VAO_DINA TERCIARIOS_CF_SEC_20230117.xlsx]CF PDP'!$BW$38</v>
      </c>
      <c r="J840" s="4" t="s">
        <v>504</v>
      </c>
    </row>
    <row r="841" spans="1:10" x14ac:dyDescent="0.3">
      <c r="A841" s="7" t="s">
        <v>14</v>
      </c>
      <c r="B841" s="7">
        <f t="shared" si="194"/>
        <v>2026</v>
      </c>
      <c r="C841" s="4" t="s">
        <v>37</v>
      </c>
      <c r="D841" s="5" t="s">
        <v>131</v>
      </c>
      <c r="E841" s="10" t="str">
        <f t="shared" si="192"/>
        <v>PDP'!</v>
      </c>
      <c r="F841" s="5" t="str">
        <f t="shared" si="191"/>
        <v>C:\Users\jaime.benazar\Quorum Business Solutions\Ecopetrol Prometeo - Documents\Planning Space Implementation\3. Analysis &amp; Design\Design\FC22\DRR Jaime\Neiva CPI\[VAO_DINA TERCIARIOS_CF_SEC_20230117.xlsx]CF PDP'!</v>
      </c>
      <c r="G841" s="7" t="s">
        <v>102</v>
      </c>
      <c r="H841" s="4">
        <f t="shared" si="195"/>
        <v>39</v>
      </c>
      <c r="I841" s="4" t="str">
        <f t="shared" si="193"/>
        <v>='C:\Users\jaime.benazar\Quorum Business Solutions\Ecopetrol Prometeo - Documents\Planning Space Implementation\3. Analysis &amp; Design\Design\FC22\DRR Jaime\Neiva CPI\[VAO_DINA TERCIARIOS_CF_SEC_20230117.xlsx]CF PDP'!$BW$39</v>
      </c>
      <c r="J841" s="4" t="s">
        <v>505</v>
      </c>
    </row>
    <row r="842" spans="1:10" x14ac:dyDescent="0.3">
      <c r="A842" s="7" t="s">
        <v>14</v>
      </c>
      <c r="B842" s="7">
        <f t="shared" si="194"/>
        <v>2027</v>
      </c>
      <c r="C842" s="4" t="s">
        <v>37</v>
      </c>
      <c r="D842" s="5" t="s">
        <v>131</v>
      </c>
      <c r="E842" s="10" t="str">
        <f t="shared" si="192"/>
        <v>PDP'!</v>
      </c>
      <c r="F842" s="5" t="str">
        <f t="shared" si="191"/>
        <v>C:\Users\jaime.benazar\Quorum Business Solutions\Ecopetrol Prometeo - Documents\Planning Space Implementation\3. Analysis &amp; Design\Design\FC22\DRR Jaime\Neiva CPI\[VAO_DINA TERCIARIOS_CF_SEC_20230117.xlsx]CF PDP'!</v>
      </c>
      <c r="G842" s="7" t="s">
        <v>102</v>
      </c>
      <c r="H842" s="4">
        <f t="shared" si="195"/>
        <v>40</v>
      </c>
      <c r="I842" s="4" t="str">
        <f t="shared" si="193"/>
        <v>='C:\Users\jaime.benazar\Quorum Business Solutions\Ecopetrol Prometeo - Documents\Planning Space Implementation\3. Analysis &amp; Design\Design\FC22\DRR Jaime\Neiva CPI\[VAO_DINA TERCIARIOS_CF_SEC_20230117.xlsx]CF PDP'!$BW$40</v>
      </c>
      <c r="J842" s="4" t="s">
        <v>506</v>
      </c>
    </row>
    <row r="843" spans="1:10" x14ac:dyDescent="0.3">
      <c r="A843" s="7" t="s">
        <v>14</v>
      </c>
      <c r="B843" s="7">
        <f t="shared" si="194"/>
        <v>2028</v>
      </c>
      <c r="C843" s="4" t="s">
        <v>37</v>
      </c>
      <c r="D843" s="5" t="s">
        <v>131</v>
      </c>
      <c r="E843" s="10" t="str">
        <f t="shared" si="192"/>
        <v>PDP'!</v>
      </c>
      <c r="F843" s="5" t="str">
        <f t="shared" si="191"/>
        <v>C:\Users\jaime.benazar\Quorum Business Solutions\Ecopetrol Prometeo - Documents\Planning Space Implementation\3. Analysis &amp; Design\Design\FC22\DRR Jaime\Neiva CPI\[VAO_DINA TERCIARIOS_CF_SEC_20230117.xlsx]CF PDP'!</v>
      </c>
      <c r="G843" s="7" t="s">
        <v>102</v>
      </c>
      <c r="H843" s="4">
        <f t="shared" si="195"/>
        <v>41</v>
      </c>
      <c r="I843" s="4" t="str">
        <f t="shared" si="193"/>
        <v>='C:\Users\jaime.benazar\Quorum Business Solutions\Ecopetrol Prometeo - Documents\Planning Space Implementation\3. Analysis &amp; Design\Design\FC22\DRR Jaime\Neiva CPI\[VAO_DINA TERCIARIOS_CF_SEC_20230117.xlsx]CF PDP'!$BW$41</v>
      </c>
      <c r="J843" s="4" t="s">
        <v>507</v>
      </c>
    </row>
    <row r="844" spans="1:10" x14ac:dyDescent="0.3">
      <c r="A844" s="7" t="s">
        <v>14</v>
      </c>
      <c r="B844" s="7">
        <f t="shared" si="194"/>
        <v>2029</v>
      </c>
      <c r="C844" s="4" t="s">
        <v>37</v>
      </c>
      <c r="D844" s="5" t="s">
        <v>131</v>
      </c>
      <c r="E844" s="10" t="str">
        <f t="shared" si="192"/>
        <v>PDP'!</v>
      </c>
      <c r="F844" s="5" t="str">
        <f t="shared" si="191"/>
        <v>C:\Users\jaime.benazar\Quorum Business Solutions\Ecopetrol Prometeo - Documents\Planning Space Implementation\3. Analysis &amp; Design\Design\FC22\DRR Jaime\Neiva CPI\[VAO_DINA TERCIARIOS_CF_SEC_20230117.xlsx]CF PDP'!</v>
      </c>
      <c r="G844" s="7" t="s">
        <v>102</v>
      </c>
      <c r="H844" s="4">
        <f t="shared" si="195"/>
        <v>42</v>
      </c>
      <c r="I844" s="4" t="str">
        <f t="shared" si="193"/>
        <v>='C:\Users\jaime.benazar\Quorum Business Solutions\Ecopetrol Prometeo - Documents\Planning Space Implementation\3. Analysis &amp; Design\Design\FC22\DRR Jaime\Neiva CPI\[VAO_DINA TERCIARIOS_CF_SEC_20230117.xlsx]CF PDP'!$BW$42</v>
      </c>
      <c r="J844" s="4" t="s">
        <v>508</v>
      </c>
    </row>
    <row r="845" spans="1:10" x14ac:dyDescent="0.3">
      <c r="A845" s="7" t="s">
        <v>14</v>
      </c>
      <c r="B845" s="7">
        <f t="shared" si="194"/>
        <v>2030</v>
      </c>
      <c r="C845" s="4" t="s">
        <v>37</v>
      </c>
      <c r="D845" s="5" t="s">
        <v>131</v>
      </c>
      <c r="E845" s="10" t="str">
        <f t="shared" si="192"/>
        <v>PDP'!</v>
      </c>
      <c r="F845" s="5" t="str">
        <f t="shared" si="191"/>
        <v>C:\Users\jaime.benazar\Quorum Business Solutions\Ecopetrol Prometeo - Documents\Planning Space Implementation\3. Analysis &amp; Design\Design\FC22\DRR Jaime\Neiva CPI\[VAO_DINA TERCIARIOS_CF_SEC_20230117.xlsx]CF PDP'!</v>
      </c>
      <c r="G845" s="7" t="s">
        <v>102</v>
      </c>
      <c r="H845" s="4">
        <f t="shared" si="195"/>
        <v>43</v>
      </c>
      <c r="I845" s="4" t="str">
        <f t="shared" si="193"/>
        <v>='C:\Users\jaime.benazar\Quorum Business Solutions\Ecopetrol Prometeo - Documents\Planning Space Implementation\3. Analysis &amp; Design\Design\FC22\DRR Jaime\Neiva CPI\[VAO_DINA TERCIARIOS_CF_SEC_20230117.xlsx]CF PDP'!$BW$43</v>
      </c>
      <c r="J845" s="4" t="s">
        <v>509</v>
      </c>
    </row>
    <row r="846" spans="1:10" x14ac:dyDescent="0.3">
      <c r="A846" s="7" t="s">
        <v>14</v>
      </c>
      <c r="B846" s="7">
        <f t="shared" si="194"/>
        <v>2031</v>
      </c>
      <c r="C846" s="4" t="s">
        <v>37</v>
      </c>
      <c r="D846" s="5" t="s">
        <v>131</v>
      </c>
      <c r="E846" s="10" t="str">
        <f t="shared" si="192"/>
        <v>PDP'!</v>
      </c>
      <c r="F846" s="5" t="str">
        <f t="shared" si="191"/>
        <v>C:\Users\jaime.benazar\Quorum Business Solutions\Ecopetrol Prometeo - Documents\Planning Space Implementation\3. Analysis &amp; Design\Design\FC22\DRR Jaime\Neiva CPI\[VAO_DINA TERCIARIOS_CF_SEC_20230117.xlsx]CF PDP'!</v>
      </c>
      <c r="G846" s="7" t="s">
        <v>102</v>
      </c>
      <c r="H846" s="4">
        <f t="shared" si="195"/>
        <v>44</v>
      </c>
      <c r="I846" s="4" t="str">
        <f t="shared" si="193"/>
        <v>='C:\Users\jaime.benazar\Quorum Business Solutions\Ecopetrol Prometeo - Documents\Planning Space Implementation\3. Analysis &amp; Design\Design\FC22\DRR Jaime\Neiva CPI\[VAO_DINA TERCIARIOS_CF_SEC_20230117.xlsx]CF PDP'!$BW$44</v>
      </c>
      <c r="J846" s="4" t="s">
        <v>510</v>
      </c>
    </row>
    <row r="847" spans="1:10" x14ac:dyDescent="0.3">
      <c r="A847" s="7" t="s">
        <v>14</v>
      </c>
      <c r="B847" s="7">
        <f t="shared" si="194"/>
        <v>2032</v>
      </c>
      <c r="C847" s="4" t="s">
        <v>37</v>
      </c>
      <c r="D847" s="5" t="s">
        <v>131</v>
      </c>
      <c r="E847" s="10" t="str">
        <f t="shared" si="192"/>
        <v>PDP'!</v>
      </c>
      <c r="F847" s="5" t="str">
        <f t="shared" si="191"/>
        <v>C:\Users\jaime.benazar\Quorum Business Solutions\Ecopetrol Prometeo - Documents\Planning Space Implementation\3. Analysis &amp; Design\Design\FC22\DRR Jaime\Neiva CPI\[VAO_DINA TERCIARIOS_CF_SEC_20230117.xlsx]CF PDP'!</v>
      </c>
      <c r="G847" s="7" t="s">
        <v>102</v>
      </c>
      <c r="H847" s="4">
        <f t="shared" si="195"/>
        <v>45</v>
      </c>
      <c r="I847" s="4" t="str">
        <f t="shared" si="193"/>
        <v>='C:\Users\jaime.benazar\Quorum Business Solutions\Ecopetrol Prometeo - Documents\Planning Space Implementation\3. Analysis &amp; Design\Design\FC22\DRR Jaime\Neiva CPI\[VAO_DINA TERCIARIOS_CF_SEC_20230117.xlsx]CF PDP'!$BW$45</v>
      </c>
      <c r="J847" s="4" t="s">
        <v>511</v>
      </c>
    </row>
    <row r="848" spans="1:10" x14ac:dyDescent="0.3">
      <c r="A848" s="7" t="s">
        <v>14</v>
      </c>
      <c r="B848" s="7">
        <f t="shared" si="194"/>
        <v>2033</v>
      </c>
      <c r="C848" s="4" t="s">
        <v>37</v>
      </c>
      <c r="D848" s="5" t="s">
        <v>131</v>
      </c>
      <c r="E848" s="10" t="str">
        <f t="shared" si="192"/>
        <v>PDP'!</v>
      </c>
      <c r="F848" s="5" t="str">
        <f t="shared" si="191"/>
        <v>C:\Users\jaime.benazar\Quorum Business Solutions\Ecopetrol Prometeo - Documents\Planning Space Implementation\3. Analysis &amp; Design\Design\FC22\DRR Jaime\Neiva CPI\[VAO_DINA TERCIARIOS_CF_SEC_20230117.xlsx]CF PDP'!</v>
      </c>
      <c r="G848" s="7" t="s">
        <v>102</v>
      </c>
      <c r="H848" s="4">
        <f t="shared" si="195"/>
        <v>46</v>
      </c>
      <c r="I848" s="4" t="str">
        <f t="shared" si="193"/>
        <v>='C:\Users\jaime.benazar\Quorum Business Solutions\Ecopetrol Prometeo - Documents\Planning Space Implementation\3. Analysis &amp; Design\Design\FC22\DRR Jaime\Neiva CPI\[VAO_DINA TERCIARIOS_CF_SEC_20230117.xlsx]CF PDP'!$BW$46</v>
      </c>
      <c r="J848" s="4" t="s">
        <v>512</v>
      </c>
    </row>
    <row r="849" spans="1:10" x14ac:dyDescent="0.3">
      <c r="A849" s="7" t="s">
        <v>14</v>
      </c>
      <c r="B849" s="7">
        <f t="shared" si="194"/>
        <v>2034</v>
      </c>
      <c r="C849" s="4" t="s">
        <v>37</v>
      </c>
      <c r="D849" s="5" t="s">
        <v>131</v>
      </c>
      <c r="E849" s="10" t="str">
        <f t="shared" si="192"/>
        <v>PDP'!</v>
      </c>
      <c r="F849" s="5" t="str">
        <f t="shared" si="191"/>
        <v>C:\Users\jaime.benazar\Quorum Business Solutions\Ecopetrol Prometeo - Documents\Planning Space Implementation\3. Analysis &amp; Design\Design\FC22\DRR Jaime\Neiva CPI\[VAO_DINA TERCIARIOS_CF_SEC_20230117.xlsx]CF PDP'!</v>
      </c>
      <c r="G849" s="7" t="s">
        <v>102</v>
      </c>
      <c r="H849" s="4">
        <f t="shared" si="195"/>
        <v>47</v>
      </c>
      <c r="I849" s="4" t="str">
        <f t="shared" si="193"/>
        <v>='C:\Users\jaime.benazar\Quorum Business Solutions\Ecopetrol Prometeo - Documents\Planning Space Implementation\3. Analysis &amp; Design\Design\FC22\DRR Jaime\Neiva CPI\[VAO_DINA TERCIARIOS_CF_SEC_20230117.xlsx]CF PDP'!$BW$47</v>
      </c>
      <c r="J849" s="4" t="s">
        <v>513</v>
      </c>
    </row>
    <row r="850" spans="1:10" x14ac:dyDescent="0.3">
      <c r="A850" s="7" t="s">
        <v>14</v>
      </c>
      <c r="B850" s="7">
        <f t="shared" si="194"/>
        <v>2035</v>
      </c>
      <c r="C850" s="4" t="s">
        <v>37</v>
      </c>
      <c r="D850" s="5" t="s">
        <v>131</v>
      </c>
      <c r="E850" s="10" t="str">
        <f t="shared" si="192"/>
        <v>PDP'!</v>
      </c>
      <c r="F850" s="5" t="str">
        <f t="shared" si="191"/>
        <v>C:\Users\jaime.benazar\Quorum Business Solutions\Ecopetrol Prometeo - Documents\Planning Space Implementation\3. Analysis &amp; Design\Design\FC22\DRR Jaime\Neiva CPI\[VAO_DINA TERCIARIOS_CF_SEC_20230117.xlsx]CF PDP'!</v>
      </c>
      <c r="G850" s="7" t="s">
        <v>102</v>
      </c>
      <c r="H850" s="4">
        <f t="shared" si="195"/>
        <v>48</v>
      </c>
      <c r="I850" s="4" t="str">
        <f t="shared" si="193"/>
        <v>='C:\Users\jaime.benazar\Quorum Business Solutions\Ecopetrol Prometeo - Documents\Planning Space Implementation\3. Analysis &amp; Design\Design\FC22\DRR Jaime\Neiva CPI\[VAO_DINA TERCIARIOS_CF_SEC_20230117.xlsx]CF PDP'!$BW$48</v>
      </c>
      <c r="J850" s="4" t="s">
        <v>514</v>
      </c>
    </row>
    <row r="851" spans="1:10" x14ac:dyDescent="0.3">
      <c r="A851" s="7" t="s">
        <v>14</v>
      </c>
      <c r="B851" s="7">
        <f t="shared" si="194"/>
        <v>2036</v>
      </c>
      <c r="C851" s="4" t="s">
        <v>37</v>
      </c>
      <c r="D851" s="5" t="s">
        <v>131</v>
      </c>
      <c r="E851" s="10" t="str">
        <f t="shared" si="192"/>
        <v>PDP'!</v>
      </c>
      <c r="F851" s="5" t="str">
        <f t="shared" si="191"/>
        <v>C:\Users\jaime.benazar\Quorum Business Solutions\Ecopetrol Prometeo - Documents\Planning Space Implementation\3. Analysis &amp; Design\Design\FC22\DRR Jaime\Neiva CPI\[VAO_DINA TERCIARIOS_CF_SEC_20230117.xlsx]CF PDP'!</v>
      </c>
      <c r="G851" s="7" t="s">
        <v>102</v>
      </c>
      <c r="H851" s="4">
        <f t="shared" si="195"/>
        <v>49</v>
      </c>
      <c r="I851" s="4" t="str">
        <f t="shared" si="193"/>
        <v>='C:\Users\jaime.benazar\Quorum Business Solutions\Ecopetrol Prometeo - Documents\Planning Space Implementation\3. Analysis &amp; Design\Design\FC22\DRR Jaime\Neiva CPI\[VAO_DINA TERCIARIOS_CF_SEC_20230117.xlsx]CF PDP'!$BW$49</v>
      </c>
      <c r="J851" s="4" t="s">
        <v>515</v>
      </c>
    </row>
    <row r="852" spans="1:10" x14ac:dyDescent="0.3">
      <c r="A852" s="7" t="s">
        <v>14</v>
      </c>
      <c r="B852" s="7">
        <f>+B851+1</f>
        <v>2037</v>
      </c>
      <c r="C852" s="4" t="s">
        <v>37</v>
      </c>
      <c r="D852" s="5" t="s">
        <v>131</v>
      </c>
      <c r="E852" s="10" t="str">
        <f t="shared" si="192"/>
        <v>PDP'!</v>
      </c>
      <c r="F852" s="5" t="str">
        <f t="shared" si="191"/>
        <v>C:\Users\jaime.benazar\Quorum Business Solutions\Ecopetrol Prometeo - Documents\Planning Space Implementation\3. Analysis &amp; Design\Design\FC22\DRR Jaime\Neiva CPI\[VAO_DINA TERCIARIOS_CF_SEC_20230117.xlsx]CF PDP'!</v>
      </c>
      <c r="G852" s="7" t="s">
        <v>102</v>
      </c>
      <c r="H852" s="4">
        <f t="shared" si="195"/>
        <v>50</v>
      </c>
      <c r="I852" s="4" t="str">
        <f t="shared" si="193"/>
        <v>='C:\Users\jaime.benazar\Quorum Business Solutions\Ecopetrol Prometeo - Documents\Planning Space Implementation\3. Analysis &amp; Design\Design\FC22\DRR Jaime\Neiva CPI\[VAO_DINA TERCIARIOS_CF_SEC_20230117.xlsx]CF PDP'!$BW$50</v>
      </c>
      <c r="J852" s="4" t="s">
        <v>516</v>
      </c>
    </row>
    <row r="853" spans="1:10" x14ac:dyDescent="0.3">
      <c r="A853" s="7" t="s">
        <v>14</v>
      </c>
      <c r="B853" s="7">
        <f t="shared" ref="B853:B855" si="196">+B852+1</f>
        <v>2038</v>
      </c>
      <c r="C853" s="4" t="s">
        <v>37</v>
      </c>
      <c r="D853" s="5" t="s">
        <v>131</v>
      </c>
      <c r="E853" s="10" t="str">
        <f t="shared" si="192"/>
        <v>PDP'!</v>
      </c>
      <c r="F853" s="5" t="str">
        <f t="shared" si="191"/>
        <v>C:\Users\jaime.benazar\Quorum Business Solutions\Ecopetrol Prometeo - Documents\Planning Space Implementation\3. Analysis &amp; Design\Design\FC22\DRR Jaime\Neiva CPI\[VAO_DINA TERCIARIOS_CF_SEC_20230117.xlsx]CF PDP'!</v>
      </c>
      <c r="G853" s="7" t="s">
        <v>102</v>
      </c>
      <c r="H853" s="4">
        <f t="shared" si="195"/>
        <v>51</v>
      </c>
      <c r="I853" s="4" t="str">
        <f t="shared" si="193"/>
        <v>='C:\Users\jaime.benazar\Quorum Business Solutions\Ecopetrol Prometeo - Documents\Planning Space Implementation\3. Analysis &amp; Design\Design\FC22\DRR Jaime\Neiva CPI\[VAO_DINA TERCIARIOS_CF_SEC_20230117.xlsx]CF PDP'!$BW$51</v>
      </c>
      <c r="J853" s="4" t="s">
        <v>517</v>
      </c>
    </row>
    <row r="854" spans="1:10" x14ac:dyDescent="0.3">
      <c r="A854" s="7" t="s">
        <v>14</v>
      </c>
      <c r="B854" s="7">
        <f t="shared" si="196"/>
        <v>2039</v>
      </c>
      <c r="C854" s="4" t="s">
        <v>37</v>
      </c>
      <c r="D854" s="5" t="s">
        <v>131</v>
      </c>
      <c r="E854" s="10" t="str">
        <f t="shared" si="192"/>
        <v>PDP'!</v>
      </c>
      <c r="F854" s="5" t="str">
        <f t="shared" si="191"/>
        <v>C:\Users\jaime.benazar\Quorum Business Solutions\Ecopetrol Prometeo - Documents\Planning Space Implementation\3. Analysis &amp; Design\Design\FC22\DRR Jaime\Neiva CPI\[VAO_DINA TERCIARIOS_CF_SEC_20230117.xlsx]CF PDP'!</v>
      </c>
      <c r="G854" s="7" t="s">
        <v>102</v>
      </c>
      <c r="H854" s="4">
        <f t="shared" si="195"/>
        <v>52</v>
      </c>
      <c r="I854" s="4" t="str">
        <f t="shared" si="193"/>
        <v>='C:\Users\jaime.benazar\Quorum Business Solutions\Ecopetrol Prometeo - Documents\Planning Space Implementation\3. Analysis &amp; Design\Design\FC22\DRR Jaime\Neiva CPI\[VAO_DINA TERCIARIOS_CF_SEC_20230117.xlsx]CF PDP'!$BW$52</v>
      </c>
      <c r="J854" s="4" t="s">
        <v>518</v>
      </c>
    </row>
    <row r="855" spans="1:10" x14ac:dyDescent="0.3">
      <c r="A855" s="7" t="s">
        <v>14</v>
      </c>
      <c r="B855" s="7">
        <f t="shared" si="196"/>
        <v>2040</v>
      </c>
      <c r="C855" s="4" t="s">
        <v>37</v>
      </c>
      <c r="D855" s="5" t="s">
        <v>131</v>
      </c>
      <c r="E855" s="10" t="str">
        <f t="shared" si="192"/>
        <v>PDP'!</v>
      </c>
      <c r="F855" s="5" t="str">
        <f t="shared" si="191"/>
        <v>C:\Users\jaime.benazar\Quorum Business Solutions\Ecopetrol Prometeo - Documents\Planning Space Implementation\3. Analysis &amp; Design\Design\FC22\DRR Jaime\Neiva CPI\[VAO_DINA TERCIARIOS_CF_SEC_20230117.xlsx]CF PDP'!</v>
      </c>
      <c r="G855" s="7" t="s">
        <v>102</v>
      </c>
      <c r="H855" s="4">
        <f t="shared" si="195"/>
        <v>53</v>
      </c>
      <c r="I855" s="4" t="str">
        <f t="shared" si="193"/>
        <v>='C:\Users\jaime.benazar\Quorum Business Solutions\Ecopetrol Prometeo - Documents\Planning Space Implementation\3. Analysis &amp; Design\Design\FC22\DRR Jaime\Neiva CPI\[VAO_DINA TERCIARIOS_CF_SEC_20230117.xlsx]CF PDP'!$BW$53</v>
      </c>
      <c r="J855" s="4" t="s">
        <v>519</v>
      </c>
    </row>
    <row r="856" spans="1:10" x14ac:dyDescent="0.3">
      <c r="A856" s="7" t="s">
        <v>14</v>
      </c>
      <c r="B856" s="7">
        <f>+B855+1</f>
        <v>2041</v>
      </c>
      <c r="C856" s="4" t="s">
        <v>37</v>
      </c>
      <c r="D856" s="5" t="s">
        <v>131</v>
      </c>
      <c r="E856" s="10" t="str">
        <f t="shared" si="192"/>
        <v>PDP'!</v>
      </c>
      <c r="F856" s="5" t="str">
        <f t="shared" si="191"/>
        <v>C:\Users\jaime.benazar\Quorum Business Solutions\Ecopetrol Prometeo - Documents\Planning Space Implementation\3. Analysis &amp; Design\Design\FC22\DRR Jaime\Neiva CPI\[VAO_DINA TERCIARIOS_CF_SEC_20230117.xlsx]CF PDP'!</v>
      </c>
      <c r="G856" s="7" t="s">
        <v>102</v>
      </c>
      <c r="H856" s="4">
        <f t="shared" si="195"/>
        <v>54</v>
      </c>
      <c r="I856" s="4" t="str">
        <f t="shared" si="193"/>
        <v>='C:\Users\jaime.benazar\Quorum Business Solutions\Ecopetrol Prometeo - Documents\Planning Space Implementation\3. Analysis &amp; Design\Design\FC22\DRR Jaime\Neiva CPI\[VAO_DINA TERCIARIOS_CF_SEC_20230117.xlsx]CF PDP'!$BW$54</v>
      </c>
      <c r="J856" s="4" t="s">
        <v>520</v>
      </c>
    </row>
    <row r="857" spans="1:10" x14ac:dyDescent="0.3">
      <c r="A857" s="7" t="s">
        <v>14</v>
      </c>
      <c r="B857" s="7">
        <f t="shared" ref="B857:B858" si="197">+B856+1</f>
        <v>2042</v>
      </c>
      <c r="C857" s="4" t="s">
        <v>37</v>
      </c>
      <c r="D857" s="5" t="s">
        <v>131</v>
      </c>
      <c r="E857" s="10" t="str">
        <f t="shared" si="192"/>
        <v>PDP'!</v>
      </c>
      <c r="F857" s="5" t="str">
        <f t="shared" si="191"/>
        <v>C:\Users\jaime.benazar\Quorum Business Solutions\Ecopetrol Prometeo - Documents\Planning Space Implementation\3. Analysis &amp; Design\Design\FC22\DRR Jaime\Neiva CPI\[VAO_DINA TERCIARIOS_CF_SEC_20230117.xlsx]CF PDP'!</v>
      </c>
      <c r="G857" s="7" t="s">
        <v>102</v>
      </c>
      <c r="H857" s="4">
        <f t="shared" si="195"/>
        <v>55</v>
      </c>
      <c r="I857" s="4" t="str">
        <f t="shared" si="193"/>
        <v>='C:\Users\jaime.benazar\Quorum Business Solutions\Ecopetrol Prometeo - Documents\Planning Space Implementation\3. Analysis &amp; Design\Design\FC22\DRR Jaime\Neiva CPI\[VAO_DINA TERCIARIOS_CF_SEC_20230117.xlsx]CF PDP'!$BW$55</v>
      </c>
      <c r="J857" s="4" t="s">
        <v>521</v>
      </c>
    </row>
    <row r="858" spans="1:10" x14ac:dyDescent="0.3">
      <c r="A858" s="7" t="s">
        <v>14</v>
      </c>
      <c r="B858" s="7">
        <f t="shared" si="197"/>
        <v>2043</v>
      </c>
      <c r="C858" s="4" t="s">
        <v>37</v>
      </c>
      <c r="D858" s="5" t="s">
        <v>131</v>
      </c>
      <c r="E858" s="10" t="str">
        <f t="shared" si="192"/>
        <v>PDP'!</v>
      </c>
      <c r="F858" s="5" t="str">
        <f t="shared" si="191"/>
        <v>C:\Users\jaime.benazar\Quorum Business Solutions\Ecopetrol Prometeo - Documents\Planning Space Implementation\3. Analysis &amp; Design\Design\FC22\DRR Jaime\Neiva CPI\[VAO_DINA TERCIARIOS_CF_SEC_20230117.xlsx]CF PDP'!</v>
      </c>
      <c r="G858" s="7" t="s">
        <v>102</v>
      </c>
      <c r="H858" s="4">
        <f t="shared" si="195"/>
        <v>56</v>
      </c>
      <c r="I858" s="4" t="str">
        <f t="shared" si="193"/>
        <v>='C:\Users\jaime.benazar\Quorum Business Solutions\Ecopetrol Prometeo - Documents\Planning Space Implementation\3. Analysis &amp; Design\Design\FC22\DRR Jaime\Neiva CPI\[VAO_DINA TERCIARIOS_CF_SEC_20230117.xlsx]CF PDP'!$BW$56</v>
      </c>
      <c r="J858" s="4" t="s">
        <v>522</v>
      </c>
    </row>
    <row r="859" spans="1:10" x14ac:dyDescent="0.3">
      <c r="A859" s="7" t="s">
        <v>14</v>
      </c>
      <c r="B859" s="7">
        <f>+B858+1</f>
        <v>2044</v>
      </c>
      <c r="C859" s="4" t="s">
        <v>37</v>
      </c>
      <c r="D859" s="5" t="s">
        <v>131</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Jaime\Neiva CPI\[VAO_DINA TERCIARIOS_CF_SEC_20230117.xlsx]CF PDP'!</v>
      </c>
      <c r="G859" s="7" t="s">
        <v>102</v>
      </c>
      <c r="H859" s="4">
        <f t="shared" ref="H859:H874" si="200">IF(A859&lt;&gt;A858,36,H858+1)</f>
        <v>57</v>
      </c>
      <c r="I859" s="4" t="str">
        <f t="shared" ref="I859:I874" si="201">_xlfn.CONCAT("='",F859:H859)</f>
        <v>='C:\Users\jaime.benazar\Quorum Business Solutions\Ecopetrol Prometeo - Documents\Planning Space Implementation\3. Analysis &amp; Design\Design\FC22\DRR Jaime\Neiva CPI\[VAO_DINA TERCIARIOS_CF_SEC_20230117.xlsx]CF PDP'!$BW$57</v>
      </c>
      <c r="J859" s="4" t="s">
        <v>523</v>
      </c>
    </row>
    <row r="860" spans="1:10" x14ac:dyDescent="0.3">
      <c r="A860" s="7" t="s">
        <v>14</v>
      </c>
      <c r="B860" s="7">
        <f t="shared" ref="B860:B874" si="202">+B859+1</f>
        <v>2045</v>
      </c>
      <c r="C860" s="4" t="s">
        <v>37</v>
      </c>
      <c r="D860" s="5" t="s">
        <v>131</v>
      </c>
      <c r="E860" s="10" t="str">
        <f t="shared" si="198"/>
        <v>PDP'!</v>
      </c>
      <c r="F860" s="5" t="str">
        <f t="shared" si="199"/>
        <v>C:\Users\jaime.benazar\Quorum Business Solutions\Ecopetrol Prometeo - Documents\Planning Space Implementation\3. Analysis &amp; Design\Design\FC22\DRR Jaime\Neiva CPI\[VAO_DINA TERCIARIOS_CF_SEC_20230117.xlsx]CF PDP'!</v>
      </c>
      <c r="G860" s="7" t="s">
        <v>102</v>
      </c>
      <c r="H860" s="4">
        <f t="shared" si="200"/>
        <v>58</v>
      </c>
      <c r="I860" s="4" t="str">
        <f t="shared" si="201"/>
        <v>='C:\Users\jaime.benazar\Quorum Business Solutions\Ecopetrol Prometeo - Documents\Planning Space Implementation\3. Analysis &amp; Design\Design\FC22\DRR Jaime\Neiva CPI\[VAO_DINA TERCIARIOS_CF_SEC_20230117.xlsx]CF PDP'!$BW$58</v>
      </c>
      <c r="J860" s="4" t="s">
        <v>524</v>
      </c>
    </row>
    <row r="861" spans="1:10" x14ac:dyDescent="0.3">
      <c r="A861" s="7" t="s">
        <v>14</v>
      </c>
      <c r="B861" s="7">
        <f t="shared" si="202"/>
        <v>2046</v>
      </c>
      <c r="C861" s="4" t="s">
        <v>37</v>
      </c>
      <c r="D861" s="5" t="s">
        <v>131</v>
      </c>
      <c r="E861" s="10" t="str">
        <f t="shared" si="198"/>
        <v>PDP'!</v>
      </c>
      <c r="F861" s="5" t="str">
        <f t="shared" si="199"/>
        <v>C:\Users\jaime.benazar\Quorum Business Solutions\Ecopetrol Prometeo - Documents\Planning Space Implementation\3. Analysis &amp; Design\Design\FC22\DRR Jaime\Neiva CPI\[VAO_DINA TERCIARIOS_CF_SEC_20230117.xlsx]CF PDP'!</v>
      </c>
      <c r="G861" s="7" t="s">
        <v>102</v>
      </c>
      <c r="H861" s="4">
        <f t="shared" si="200"/>
        <v>59</v>
      </c>
      <c r="I861" s="4" t="str">
        <f t="shared" si="201"/>
        <v>='C:\Users\jaime.benazar\Quorum Business Solutions\Ecopetrol Prometeo - Documents\Planning Space Implementation\3. Analysis &amp; Design\Design\FC22\DRR Jaime\Neiva CPI\[VAO_DINA TERCIARIOS_CF_SEC_20230117.xlsx]CF PDP'!$BW$59</v>
      </c>
      <c r="J861" s="4" t="s">
        <v>525</v>
      </c>
    </row>
    <row r="862" spans="1:10" x14ac:dyDescent="0.3">
      <c r="A862" s="7" t="s">
        <v>14</v>
      </c>
      <c r="B862" s="7">
        <f t="shared" si="202"/>
        <v>2047</v>
      </c>
      <c r="C862" s="4" t="s">
        <v>37</v>
      </c>
      <c r="D862" s="5" t="s">
        <v>131</v>
      </c>
      <c r="E862" s="10" t="str">
        <f t="shared" si="198"/>
        <v>PDP'!</v>
      </c>
      <c r="F862" s="5" t="str">
        <f t="shared" si="199"/>
        <v>C:\Users\jaime.benazar\Quorum Business Solutions\Ecopetrol Prometeo - Documents\Planning Space Implementation\3. Analysis &amp; Design\Design\FC22\DRR Jaime\Neiva CPI\[VAO_DINA TERCIARIOS_CF_SEC_20230117.xlsx]CF PDP'!</v>
      </c>
      <c r="G862" s="7" t="s">
        <v>102</v>
      </c>
      <c r="H862" s="4">
        <f t="shared" si="200"/>
        <v>60</v>
      </c>
      <c r="I862" s="4" t="str">
        <f t="shared" si="201"/>
        <v>='C:\Users\jaime.benazar\Quorum Business Solutions\Ecopetrol Prometeo - Documents\Planning Space Implementation\3. Analysis &amp; Design\Design\FC22\DRR Jaime\Neiva CPI\[VAO_DINA TERCIARIOS_CF_SEC_20230117.xlsx]CF PDP'!$BW$60</v>
      </c>
      <c r="J862" s="4" t="s">
        <v>526</v>
      </c>
    </row>
    <row r="863" spans="1:10" x14ac:dyDescent="0.3">
      <c r="A863" s="7" t="s">
        <v>14</v>
      </c>
      <c r="B863" s="7">
        <f t="shared" si="202"/>
        <v>2048</v>
      </c>
      <c r="C863" s="4" t="s">
        <v>37</v>
      </c>
      <c r="D863" s="5" t="s">
        <v>131</v>
      </c>
      <c r="E863" s="10" t="str">
        <f t="shared" si="198"/>
        <v>PDP'!</v>
      </c>
      <c r="F863" s="5" t="str">
        <f t="shared" si="199"/>
        <v>C:\Users\jaime.benazar\Quorum Business Solutions\Ecopetrol Prometeo - Documents\Planning Space Implementation\3. Analysis &amp; Design\Design\FC22\DRR Jaime\Neiva CPI\[VAO_DINA TERCIARIOS_CF_SEC_20230117.xlsx]CF PDP'!</v>
      </c>
      <c r="G863" s="7" t="s">
        <v>102</v>
      </c>
      <c r="H863" s="4">
        <f t="shared" si="200"/>
        <v>61</v>
      </c>
      <c r="I863" s="4" t="str">
        <f t="shared" si="201"/>
        <v>='C:\Users\jaime.benazar\Quorum Business Solutions\Ecopetrol Prometeo - Documents\Planning Space Implementation\3. Analysis &amp; Design\Design\FC22\DRR Jaime\Neiva CPI\[VAO_DINA TERCIARIOS_CF_SEC_20230117.xlsx]CF PDP'!$BW$61</v>
      </c>
      <c r="J863" s="4" t="s">
        <v>527</v>
      </c>
    </row>
    <row r="864" spans="1:10" x14ac:dyDescent="0.3">
      <c r="A864" s="7" t="s">
        <v>14</v>
      </c>
      <c r="B864" s="7">
        <f t="shared" si="202"/>
        <v>2049</v>
      </c>
      <c r="C864" s="4" t="s">
        <v>37</v>
      </c>
      <c r="D864" s="5" t="s">
        <v>131</v>
      </c>
      <c r="E864" s="10" t="str">
        <f t="shared" si="198"/>
        <v>PDP'!</v>
      </c>
      <c r="F864" s="5" t="str">
        <f t="shared" si="199"/>
        <v>C:\Users\jaime.benazar\Quorum Business Solutions\Ecopetrol Prometeo - Documents\Planning Space Implementation\3. Analysis &amp; Design\Design\FC22\DRR Jaime\Neiva CPI\[VAO_DINA TERCIARIOS_CF_SEC_20230117.xlsx]CF PDP'!</v>
      </c>
      <c r="G864" s="7" t="s">
        <v>102</v>
      </c>
      <c r="H864" s="4">
        <f t="shared" si="200"/>
        <v>62</v>
      </c>
      <c r="I864" s="4" t="str">
        <f t="shared" si="201"/>
        <v>='C:\Users\jaime.benazar\Quorum Business Solutions\Ecopetrol Prometeo - Documents\Planning Space Implementation\3. Analysis &amp; Design\Design\FC22\DRR Jaime\Neiva CPI\[VAO_DINA TERCIARIOS_CF_SEC_20230117.xlsx]CF PDP'!$BW$62</v>
      </c>
      <c r="J864" s="4" t="s">
        <v>528</v>
      </c>
    </row>
    <row r="865" spans="1:10" x14ac:dyDescent="0.3">
      <c r="A865" s="7" t="s">
        <v>14</v>
      </c>
      <c r="B865" s="7">
        <f t="shared" si="202"/>
        <v>2050</v>
      </c>
      <c r="C865" s="4" t="s">
        <v>37</v>
      </c>
      <c r="D865" s="5" t="s">
        <v>131</v>
      </c>
      <c r="E865" s="10" t="str">
        <f t="shared" si="198"/>
        <v>PDP'!</v>
      </c>
      <c r="F865" s="5" t="str">
        <f t="shared" si="199"/>
        <v>C:\Users\jaime.benazar\Quorum Business Solutions\Ecopetrol Prometeo - Documents\Planning Space Implementation\3. Analysis &amp; Design\Design\FC22\DRR Jaime\Neiva CPI\[VAO_DINA TERCIARIOS_CF_SEC_20230117.xlsx]CF PDP'!</v>
      </c>
      <c r="G865" s="7" t="s">
        <v>102</v>
      </c>
      <c r="H865" s="4">
        <f t="shared" si="200"/>
        <v>63</v>
      </c>
      <c r="I865" s="4" t="str">
        <f t="shared" si="201"/>
        <v>='C:\Users\jaime.benazar\Quorum Business Solutions\Ecopetrol Prometeo - Documents\Planning Space Implementation\3. Analysis &amp; Design\Design\FC22\DRR Jaime\Neiva CPI\[VAO_DINA TERCIARIOS_CF_SEC_20230117.xlsx]CF PDP'!$BW$63</v>
      </c>
      <c r="J865" s="4" t="s">
        <v>529</v>
      </c>
    </row>
    <row r="866" spans="1:10" x14ac:dyDescent="0.3">
      <c r="A866" s="7" t="s">
        <v>14</v>
      </c>
      <c r="B866" s="7">
        <f t="shared" si="202"/>
        <v>2051</v>
      </c>
      <c r="C866" s="4" t="s">
        <v>37</v>
      </c>
      <c r="D866" s="5" t="s">
        <v>131</v>
      </c>
      <c r="E866" s="10" t="str">
        <f t="shared" si="198"/>
        <v>PDP'!</v>
      </c>
      <c r="F866" s="5" t="str">
        <f t="shared" si="199"/>
        <v>C:\Users\jaime.benazar\Quorum Business Solutions\Ecopetrol Prometeo - Documents\Planning Space Implementation\3. Analysis &amp; Design\Design\FC22\DRR Jaime\Neiva CPI\[VAO_DINA TERCIARIOS_CF_SEC_20230117.xlsx]CF PDP'!</v>
      </c>
      <c r="G866" s="7" t="s">
        <v>102</v>
      </c>
      <c r="H866" s="4">
        <f t="shared" si="200"/>
        <v>64</v>
      </c>
      <c r="I866" s="4" t="str">
        <f t="shared" si="201"/>
        <v>='C:\Users\jaime.benazar\Quorum Business Solutions\Ecopetrol Prometeo - Documents\Planning Space Implementation\3. Analysis &amp; Design\Design\FC22\DRR Jaime\Neiva CPI\[VAO_DINA TERCIARIOS_CF_SEC_20230117.xlsx]CF PDP'!$BW$64</v>
      </c>
      <c r="J866" s="4" t="s">
        <v>530</v>
      </c>
    </row>
    <row r="867" spans="1:10" x14ac:dyDescent="0.3">
      <c r="A867" s="7" t="s">
        <v>14</v>
      </c>
      <c r="B867" s="7">
        <f t="shared" si="202"/>
        <v>2052</v>
      </c>
      <c r="C867" s="4" t="s">
        <v>37</v>
      </c>
      <c r="D867" s="5" t="s">
        <v>131</v>
      </c>
      <c r="E867" s="10" t="str">
        <f t="shared" si="198"/>
        <v>PDP'!</v>
      </c>
      <c r="F867" s="5" t="str">
        <f t="shared" si="199"/>
        <v>C:\Users\jaime.benazar\Quorum Business Solutions\Ecopetrol Prometeo - Documents\Planning Space Implementation\3. Analysis &amp; Design\Design\FC22\DRR Jaime\Neiva CPI\[VAO_DINA TERCIARIOS_CF_SEC_20230117.xlsx]CF PDP'!</v>
      </c>
      <c r="G867" s="7" t="s">
        <v>102</v>
      </c>
      <c r="H867" s="4">
        <f t="shared" si="200"/>
        <v>65</v>
      </c>
      <c r="I867" s="4" t="str">
        <f t="shared" si="201"/>
        <v>='C:\Users\jaime.benazar\Quorum Business Solutions\Ecopetrol Prometeo - Documents\Planning Space Implementation\3. Analysis &amp; Design\Design\FC22\DRR Jaime\Neiva CPI\[VAO_DINA TERCIARIOS_CF_SEC_20230117.xlsx]CF PDP'!$BW$65</v>
      </c>
      <c r="J867" s="4" t="s">
        <v>531</v>
      </c>
    </row>
    <row r="868" spans="1:10" x14ac:dyDescent="0.3">
      <c r="A868" s="7" t="s">
        <v>14</v>
      </c>
      <c r="B868" s="7">
        <f t="shared" si="202"/>
        <v>2053</v>
      </c>
      <c r="C868" s="4" t="s">
        <v>37</v>
      </c>
      <c r="D868" s="5" t="s">
        <v>131</v>
      </c>
      <c r="E868" s="10" t="str">
        <f t="shared" si="198"/>
        <v>PDP'!</v>
      </c>
      <c r="F868" s="5" t="str">
        <f t="shared" si="199"/>
        <v>C:\Users\jaime.benazar\Quorum Business Solutions\Ecopetrol Prometeo - Documents\Planning Space Implementation\3. Analysis &amp; Design\Design\FC22\DRR Jaime\Neiva CPI\[VAO_DINA TERCIARIOS_CF_SEC_20230117.xlsx]CF PDP'!</v>
      </c>
      <c r="G868" s="7" t="s">
        <v>102</v>
      </c>
      <c r="H868" s="4">
        <f t="shared" si="200"/>
        <v>66</v>
      </c>
      <c r="I868" s="4" t="str">
        <f t="shared" si="201"/>
        <v>='C:\Users\jaime.benazar\Quorum Business Solutions\Ecopetrol Prometeo - Documents\Planning Space Implementation\3. Analysis &amp; Design\Design\FC22\DRR Jaime\Neiva CPI\[VAO_DINA TERCIARIOS_CF_SEC_20230117.xlsx]CF PDP'!$BW$66</v>
      </c>
      <c r="J868" s="4" t="s">
        <v>532</v>
      </c>
    </row>
    <row r="869" spans="1:10" x14ac:dyDescent="0.3">
      <c r="A869" s="7" t="s">
        <v>14</v>
      </c>
      <c r="B869" s="7">
        <f t="shared" si="202"/>
        <v>2054</v>
      </c>
      <c r="C869" s="4" t="s">
        <v>37</v>
      </c>
      <c r="D869" s="5" t="s">
        <v>131</v>
      </c>
      <c r="E869" s="10" t="str">
        <f t="shared" si="198"/>
        <v>PDP'!</v>
      </c>
      <c r="F869" s="5" t="str">
        <f t="shared" si="199"/>
        <v>C:\Users\jaime.benazar\Quorum Business Solutions\Ecopetrol Prometeo - Documents\Planning Space Implementation\3. Analysis &amp; Design\Design\FC22\DRR Jaime\Neiva CPI\[VAO_DINA TERCIARIOS_CF_SEC_20230117.xlsx]CF PDP'!</v>
      </c>
      <c r="G869" s="7" t="s">
        <v>102</v>
      </c>
      <c r="H869" s="4">
        <f t="shared" si="200"/>
        <v>67</v>
      </c>
      <c r="I869" s="4" t="str">
        <f t="shared" si="201"/>
        <v>='C:\Users\jaime.benazar\Quorum Business Solutions\Ecopetrol Prometeo - Documents\Planning Space Implementation\3. Analysis &amp; Design\Design\FC22\DRR Jaime\Neiva CPI\[VAO_DINA TERCIARIOS_CF_SEC_20230117.xlsx]CF PDP'!$BW$67</v>
      </c>
      <c r="J869" s="4" t="s">
        <v>533</v>
      </c>
    </row>
    <row r="870" spans="1:10" x14ac:dyDescent="0.3">
      <c r="A870" s="7" t="s">
        <v>14</v>
      </c>
      <c r="B870" s="7">
        <f t="shared" si="202"/>
        <v>2055</v>
      </c>
      <c r="C870" s="4" t="s">
        <v>37</v>
      </c>
      <c r="D870" s="5" t="s">
        <v>131</v>
      </c>
      <c r="E870" s="10" t="str">
        <f t="shared" si="198"/>
        <v>PDP'!</v>
      </c>
      <c r="F870" s="5" t="str">
        <f t="shared" si="199"/>
        <v>C:\Users\jaime.benazar\Quorum Business Solutions\Ecopetrol Prometeo - Documents\Planning Space Implementation\3. Analysis &amp; Design\Design\FC22\DRR Jaime\Neiva CPI\[VAO_DINA TERCIARIOS_CF_SEC_20230117.xlsx]CF PDP'!</v>
      </c>
      <c r="G870" s="7" t="s">
        <v>102</v>
      </c>
      <c r="H870" s="4">
        <f t="shared" si="200"/>
        <v>68</v>
      </c>
      <c r="I870" s="4" t="str">
        <f t="shared" si="201"/>
        <v>='C:\Users\jaime.benazar\Quorum Business Solutions\Ecopetrol Prometeo - Documents\Planning Space Implementation\3. Analysis &amp; Design\Design\FC22\DRR Jaime\Neiva CPI\[VAO_DINA TERCIARIOS_CF_SEC_20230117.xlsx]CF PDP'!$BW$68</v>
      </c>
      <c r="J870" s="4" t="s">
        <v>534</v>
      </c>
    </row>
    <row r="871" spans="1:10" x14ac:dyDescent="0.3">
      <c r="A871" s="7" t="s">
        <v>14</v>
      </c>
      <c r="B871" s="7">
        <f t="shared" si="202"/>
        <v>2056</v>
      </c>
      <c r="C871" s="4" t="s">
        <v>37</v>
      </c>
      <c r="D871" s="5" t="s">
        <v>131</v>
      </c>
      <c r="E871" s="10" t="str">
        <f t="shared" si="198"/>
        <v>PDP'!</v>
      </c>
      <c r="F871" s="5" t="str">
        <f t="shared" si="199"/>
        <v>C:\Users\jaime.benazar\Quorum Business Solutions\Ecopetrol Prometeo - Documents\Planning Space Implementation\3. Analysis &amp; Design\Design\FC22\DRR Jaime\Neiva CPI\[VAO_DINA TERCIARIOS_CF_SEC_20230117.xlsx]CF PDP'!</v>
      </c>
      <c r="G871" s="7" t="s">
        <v>102</v>
      </c>
      <c r="H871" s="4">
        <f t="shared" si="200"/>
        <v>69</v>
      </c>
      <c r="I871" s="4" t="str">
        <f t="shared" si="201"/>
        <v>='C:\Users\jaime.benazar\Quorum Business Solutions\Ecopetrol Prometeo - Documents\Planning Space Implementation\3. Analysis &amp; Design\Design\FC22\DRR Jaime\Neiva CPI\[VAO_DINA TERCIARIOS_CF_SEC_20230117.xlsx]CF PDP'!$BW$69</v>
      </c>
      <c r="J871" s="4" t="s">
        <v>535</v>
      </c>
    </row>
    <row r="872" spans="1:10" x14ac:dyDescent="0.3">
      <c r="A872" s="7" t="s">
        <v>14</v>
      </c>
      <c r="B872" s="7">
        <f t="shared" si="202"/>
        <v>2057</v>
      </c>
      <c r="C872" s="4" t="s">
        <v>37</v>
      </c>
      <c r="D872" s="5" t="s">
        <v>131</v>
      </c>
      <c r="E872" s="10" t="str">
        <f t="shared" si="198"/>
        <v>PDP'!</v>
      </c>
      <c r="F872" s="5" t="str">
        <f t="shared" si="199"/>
        <v>C:\Users\jaime.benazar\Quorum Business Solutions\Ecopetrol Prometeo - Documents\Planning Space Implementation\3. Analysis &amp; Design\Design\FC22\DRR Jaime\Neiva CPI\[VAO_DINA TERCIARIOS_CF_SEC_20230117.xlsx]CF PDP'!</v>
      </c>
      <c r="G872" s="7" t="s">
        <v>102</v>
      </c>
      <c r="H872" s="4">
        <f t="shared" si="200"/>
        <v>70</v>
      </c>
      <c r="I872" s="4" t="str">
        <f t="shared" si="201"/>
        <v>='C:\Users\jaime.benazar\Quorum Business Solutions\Ecopetrol Prometeo - Documents\Planning Space Implementation\3. Analysis &amp; Design\Design\FC22\DRR Jaime\Neiva CPI\[VAO_DINA TERCIARIOS_CF_SEC_20230117.xlsx]CF PDP'!$BW$70</v>
      </c>
      <c r="J872" s="4" t="s">
        <v>536</v>
      </c>
    </row>
    <row r="873" spans="1:10" x14ac:dyDescent="0.3">
      <c r="A873" s="7" t="s">
        <v>14</v>
      </c>
      <c r="B873" s="7">
        <f t="shared" si="202"/>
        <v>2058</v>
      </c>
      <c r="C873" s="4" t="s">
        <v>37</v>
      </c>
      <c r="D873" s="5" t="s">
        <v>131</v>
      </c>
      <c r="E873" s="10" t="str">
        <f t="shared" si="198"/>
        <v>PDP'!</v>
      </c>
      <c r="F873" s="5" t="str">
        <f t="shared" si="199"/>
        <v>C:\Users\jaime.benazar\Quorum Business Solutions\Ecopetrol Prometeo - Documents\Planning Space Implementation\3. Analysis &amp; Design\Design\FC22\DRR Jaime\Neiva CPI\[VAO_DINA TERCIARIOS_CF_SEC_20230117.xlsx]CF PDP'!</v>
      </c>
      <c r="G873" s="7" t="s">
        <v>102</v>
      </c>
      <c r="H873" s="4">
        <f t="shared" si="200"/>
        <v>71</v>
      </c>
      <c r="I873" s="4" t="str">
        <f t="shared" si="201"/>
        <v>='C:\Users\jaime.benazar\Quorum Business Solutions\Ecopetrol Prometeo - Documents\Planning Space Implementation\3. Analysis &amp; Design\Design\FC22\DRR Jaime\Neiva CPI\[VAO_DINA TERCIARIOS_CF_SEC_20230117.xlsx]CF PDP'!$BW$71</v>
      </c>
      <c r="J873" s="4" t="s">
        <v>537</v>
      </c>
    </row>
    <row r="874" spans="1:10" x14ac:dyDescent="0.3">
      <c r="A874" s="7" t="s">
        <v>14</v>
      </c>
      <c r="B874" s="7">
        <f t="shared" si="202"/>
        <v>2059</v>
      </c>
      <c r="C874" s="4" t="s">
        <v>37</v>
      </c>
      <c r="D874" s="5" t="s">
        <v>131</v>
      </c>
      <c r="E874" s="10" t="str">
        <f t="shared" si="198"/>
        <v>PDP'!</v>
      </c>
      <c r="F874" s="5" t="str">
        <f t="shared" si="199"/>
        <v>C:\Users\jaime.benazar\Quorum Business Solutions\Ecopetrol Prometeo - Documents\Planning Space Implementation\3. Analysis &amp; Design\Design\FC22\DRR Jaime\Neiva CPI\[VAO_DINA TERCIARIOS_CF_SEC_20230117.xlsx]CF PDP'!</v>
      </c>
      <c r="G874" s="7" t="s">
        <v>102</v>
      </c>
      <c r="H874" s="4">
        <f t="shared" si="200"/>
        <v>72</v>
      </c>
      <c r="I874" s="4" t="str">
        <f t="shared" si="201"/>
        <v>='C:\Users\jaime.benazar\Quorum Business Solutions\Ecopetrol Prometeo - Documents\Planning Space Implementation\3. Analysis &amp; Design\Design\FC22\DRR Jaime\Neiva CPI\[VAO_DINA TERCIARIOS_CF_SEC_20230117.xlsx]CF PDP'!$BW$72</v>
      </c>
      <c r="J874" s="4" t="s">
        <v>538</v>
      </c>
    </row>
    <row r="875" spans="1:10" x14ac:dyDescent="0.3">
      <c r="A875" s="7" t="s">
        <v>26</v>
      </c>
      <c r="B875" s="7"/>
      <c r="C875" s="4" t="s">
        <v>37</v>
      </c>
      <c r="D875" s="5"/>
      <c r="E875" s="10"/>
      <c r="F875" s="5"/>
      <c r="G875" s="7"/>
      <c r="H875" s="4"/>
      <c r="I875" s="4"/>
      <c r="J875" s="4"/>
    </row>
    <row r="876" spans="1:10" x14ac:dyDescent="0.3">
      <c r="A876" s="7" t="s">
        <v>15</v>
      </c>
      <c r="B876" s="7">
        <v>2023</v>
      </c>
      <c r="C876" s="4" t="s">
        <v>37</v>
      </c>
      <c r="D876" s="5" t="s">
        <v>131</v>
      </c>
      <c r="E876" s="10" t="str">
        <f t="shared" si="192"/>
        <v>PNP'!</v>
      </c>
      <c r="F876" s="5" t="str">
        <f t="shared" ref="F876:F896" si="203">_xlfn.CONCAT(D876," ",E876)</f>
        <v>C:\Users\jaime.benazar\Quorum Business Solutions\Ecopetrol Prometeo - Documents\Planning Space Implementation\3. Analysis &amp; Design\Design\FC22\DRR Jaime\Neiva CPI\[VAO_DINA TERCIARIOS_CF_SEC_20230117.xlsx]CF PNP'!</v>
      </c>
      <c r="G876" s="7" t="s">
        <v>102</v>
      </c>
      <c r="H876" s="4">
        <f>IF(A876&lt;&gt;A860,36,H860+1)</f>
        <v>36</v>
      </c>
      <c r="I876" s="4" t="str">
        <f t="shared" si="193"/>
        <v>='C:\Users\jaime.benazar\Quorum Business Solutions\Ecopetrol Prometeo - Documents\Planning Space Implementation\3. Analysis &amp; Design\Design\FC22\DRR Jaime\Neiva CPI\[VAO_DINA TERCIARIOS_CF_SEC_20230117.xlsx]CF PNP'!$BW$36</v>
      </c>
      <c r="J876" s="4" t="s">
        <v>539</v>
      </c>
    </row>
    <row r="877" spans="1:10" x14ac:dyDescent="0.3">
      <c r="A877" s="7" t="s">
        <v>15</v>
      </c>
      <c r="B877" s="7">
        <f>+B876+1</f>
        <v>2024</v>
      </c>
      <c r="C877" s="4" t="s">
        <v>37</v>
      </c>
      <c r="D877" s="5" t="s">
        <v>131</v>
      </c>
      <c r="E877" s="10" t="str">
        <f t="shared" si="192"/>
        <v>PNP'!</v>
      </c>
      <c r="F877" s="5" t="str">
        <f t="shared" si="203"/>
        <v>C:\Users\jaime.benazar\Quorum Business Solutions\Ecopetrol Prometeo - Documents\Planning Space Implementation\3. Analysis &amp; Design\Design\FC22\DRR Jaime\Neiva CPI\[VAO_DINA TERCIARIOS_CF_SEC_20230117.xlsx]CF PNP'!</v>
      </c>
      <c r="G877" s="7" t="s">
        <v>102</v>
      </c>
      <c r="H877" s="4">
        <f t="shared" si="195"/>
        <v>37</v>
      </c>
      <c r="I877" s="4" t="str">
        <f t="shared" si="193"/>
        <v>='C:\Users\jaime.benazar\Quorum Business Solutions\Ecopetrol Prometeo - Documents\Planning Space Implementation\3. Analysis &amp; Design\Design\FC22\DRR Jaime\Neiva CPI\[VAO_DINA TERCIARIOS_CF_SEC_20230117.xlsx]CF PNP'!$BW$37</v>
      </c>
      <c r="J877" s="4" t="s">
        <v>540</v>
      </c>
    </row>
    <row r="878" spans="1:10" x14ac:dyDescent="0.3">
      <c r="A878" s="7" t="s">
        <v>15</v>
      </c>
      <c r="B878" s="7">
        <f t="shared" ref="B878:B889" si="204">+B877+1</f>
        <v>2025</v>
      </c>
      <c r="C878" s="4" t="s">
        <v>37</v>
      </c>
      <c r="D878" s="5" t="s">
        <v>131</v>
      </c>
      <c r="E878" s="10" t="str">
        <f t="shared" si="192"/>
        <v>PNP'!</v>
      </c>
      <c r="F878" s="5" t="str">
        <f t="shared" si="203"/>
        <v>C:\Users\jaime.benazar\Quorum Business Solutions\Ecopetrol Prometeo - Documents\Planning Space Implementation\3. Analysis &amp; Design\Design\FC22\DRR Jaime\Neiva CPI\[VAO_DINA TERCIARIOS_CF_SEC_20230117.xlsx]CF PNP'!</v>
      </c>
      <c r="G878" s="7" t="s">
        <v>102</v>
      </c>
      <c r="H878" s="4">
        <f t="shared" si="195"/>
        <v>38</v>
      </c>
      <c r="I878" s="4" t="str">
        <f t="shared" si="193"/>
        <v>='C:\Users\jaime.benazar\Quorum Business Solutions\Ecopetrol Prometeo - Documents\Planning Space Implementation\3. Analysis &amp; Design\Design\FC22\DRR Jaime\Neiva CPI\[VAO_DINA TERCIARIOS_CF_SEC_20230117.xlsx]CF PNP'!$BW$38</v>
      </c>
      <c r="J878" s="4" t="s">
        <v>541</v>
      </c>
    </row>
    <row r="879" spans="1:10" x14ac:dyDescent="0.3">
      <c r="A879" s="7" t="s">
        <v>15</v>
      </c>
      <c r="B879" s="7">
        <f t="shared" si="204"/>
        <v>2026</v>
      </c>
      <c r="C879" s="4" t="s">
        <v>37</v>
      </c>
      <c r="D879" s="5" t="s">
        <v>131</v>
      </c>
      <c r="E879" s="10" t="str">
        <f t="shared" si="192"/>
        <v>PNP'!</v>
      </c>
      <c r="F879" s="5" t="str">
        <f t="shared" si="203"/>
        <v>C:\Users\jaime.benazar\Quorum Business Solutions\Ecopetrol Prometeo - Documents\Planning Space Implementation\3. Analysis &amp; Design\Design\FC22\DRR Jaime\Neiva CPI\[VAO_DINA TERCIARIOS_CF_SEC_20230117.xlsx]CF PNP'!</v>
      </c>
      <c r="G879" s="7" t="s">
        <v>102</v>
      </c>
      <c r="H879" s="4">
        <f t="shared" si="195"/>
        <v>39</v>
      </c>
      <c r="I879" s="4" t="str">
        <f t="shared" si="193"/>
        <v>='C:\Users\jaime.benazar\Quorum Business Solutions\Ecopetrol Prometeo - Documents\Planning Space Implementation\3. Analysis &amp; Design\Design\FC22\DRR Jaime\Neiva CPI\[VAO_DINA TERCIARIOS_CF_SEC_20230117.xlsx]CF PNP'!$BW$39</v>
      </c>
      <c r="J879" s="4" t="s">
        <v>542</v>
      </c>
    </row>
    <row r="880" spans="1:10" x14ac:dyDescent="0.3">
      <c r="A880" s="7" t="s">
        <v>15</v>
      </c>
      <c r="B880" s="7">
        <f t="shared" si="204"/>
        <v>2027</v>
      </c>
      <c r="C880" s="4" t="s">
        <v>37</v>
      </c>
      <c r="D880" s="5" t="s">
        <v>131</v>
      </c>
      <c r="E880" s="10" t="str">
        <f t="shared" si="192"/>
        <v>PNP'!</v>
      </c>
      <c r="F880" s="5" t="str">
        <f t="shared" si="203"/>
        <v>C:\Users\jaime.benazar\Quorum Business Solutions\Ecopetrol Prometeo - Documents\Planning Space Implementation\3. Analysis &amp; Design\Design\FC22\DRR Jaime\Neiva CPI\[VAO_DINA TERCIARIOS_CF_SEC_20230117.xlsx]CF PNP'!</v>
      </c>
      <c r="G880" s="7" t="s">
        <v>102</v>
      </c>
      <c r="H880" s="4">
        <f t="shared" si="195"/>
        <v>40</v>
      </c>
      <c r="I880" s="4" t="str">
        <f t="shared" si="193"/>
        <v>='C:\Users\jaime.benazar\Quorum Business Solutions\Ecopetrol Prometeo - Documents\Planning Space Implementation\3. Analysis &amp; Design\Design\FC22\DRR Jaime\Neiva CPI\[VAO_DINA TERCIARIOS_CF_SEC_20230117.xlsx]CF PNP'!$BW$40</v>
      </c>
      <c r="J880" s="4" t="s">
        <v>543</v>
      </c>
    </row>
    <row r="881" spans="1:10" x14ac:dyDescent="0.3">
      <c r="A881" s="7" t="s">
        <v>15</v>
      </c>
      <c r="B881" s="7">
        <f t="shared" si="204"/>
        <v>2028</v>
      </c>
      <c r="C881" s="4" t="s">
        <v>37</v>
      </c>
      <c r="D881" s="5" t="s">
        <v>131</v>
      </c>
      <c r="E881" s="10" t="str">
        <f t="shared" si="192"/>
        <v>PNP'!</v>
      </c>
      <c r="F881" s="5" t="str">
        <f t="shared" si="203"/>
        <v>C:\Users\jaime.benazar\Quorum Business Solutions\Ecopetrol Prometeo - Documents\Planning Space Implementation\3. Analysis &amp; Design\Design\FC22\DRR Jaime\Neiva CPI\[VAO_DINA TERCIARIOS_CF_SEC_20230117.xlsx]CF PNP'!</v>
      </c>
      <c r="G881" s="7" t="s">
        <v>102</v>
      </c>
      <c r="H881" s="4">
        <f t="shared" si="195"/>
        <v>41</v>
      </c>
      <c r="I881" s="4" t="str">
        <f t="shared" si="193"/>
        <v>='C:\Users\jaime.benazar\Quorum Business Solutions\Ecopetrol Prometeo - Documents\Planning Space Implementation\3. Analysis &amp; Design\Design\FC22\DRR Jaime\Neiva CPI\[VAO_DINA TERCIARIOS_CF_SEC_20230117.xlsx]CF PNP'!$BW$41</v>
      </c>
      <c r="J881" s="4" t="s">
        <v>544</v>
      </c>
    </row>
    <row r="882" spans="1:10" x14ac:dyDescent="0.3">
      <c r="A882" s="7" t="s">
        <v>15</v>
      </c>
      <c r="B882" s="7">
        <f t="shared" si="204"/>
        <v>2029</v>
      </c>
      <c r="C882" s="4" t="s">
        <v>37</v>
      </c>
      <c r="D882" s="5" t="s">
        <v>131</v>
      </c>
      <c r="E882" s="10" t="str">
        <f t="shared" si="192"/>
        <v>PNP'!</v>
      </c>
      <c r="F882" s="5" t="str">
        <f t="shared" si="203"/>
        <v>C:\Users\jaime.benazar\Quorum Business Solutions\Ecopetrol Prometeo - Documents\Planning Space Implementation\3. Analysis &amp; Design\Design\FC22\DRR Jaime\Neiva CPI\[VAO_DINA TERCIARIOS_CF_SEC_20230117.xlsx]CF PNP'!</v>
      </c>
      <c r="G882" s="7" t="s">
        <v>102</v>
      </c>
      <c r="H882" s="4">
        <f t="shared" si="195"/>
        <v>42</v>
      </c>
      <c r="I882" s="4" t="str">
        <f t="shared" si="193"/>
        <v>='C:\Users\jaime.benazar\Quorum Business Solutions\Ecopetrol Prometeo - Documents\Planning Space Implementation\3. Analysis &amp; Design\Design\FC22\DRR Jaime\Neiva CPI\[VAO_DINA TERCIARIOS_CF_SEC_20230117.xlsx]CF PNP'!$BW$42</v>
      </c>
      <c r="J882" s="4" t="s">
        <v>545</v>
      </c>
    </row>
    <row r="883" spans="1:10" x14ac:dyDescent="0.3">
      <c r="A883" s="7" t="s">
        <v>15</v>
      </c>
      <c r="B883" s="7">
        <f t="shared" si="204"/>
        <v>2030</v>
      </c>
      <c r="C883" s="4" t="s">
        <v>37</v>
      </c>
      <c r="D883" s="5" t="s">
        <v>131</v>
      </c>
      <c r="E883" s="10" t="str">
        <f t="shared" si="192"/>
        <v>PNP'!</v>
      </c>
      <c r="F883" s="5" t="str">
        <f t="shared" si="203"/>
        <v>C:\Users\jaime.benazar\Quorum Business Solutions\Ecopetrol Prometeo - Documents\Planning Space Implementation\3. Analysis &amp; Design\Design\FC22\DRR Jaime\Neiva CPI\[VAO_DINA TERCIARIOS_CF_SEC_20230117.xlsx]CF PNP'!</v>
      </c>
      <c r="G883" s="7" t="s">
        <v>102</v>
      </c>
      <c r="H883" s="4">
        <f t="shared" si="195"/>
        <v>43</v>
      </c>
      <c r="I883" s="4" t="str">
        <f t="shared" si="193"/>
        <v>='C:\Users\jaime.benazar\Quorum Business Solutions\Ecopetrol Prometeo - Documents\Planning Space Implementation\3. Analysis &amp; Design\Design\FC22\DRR Jaime\Neiva CPI\[VAO_DINA TERCIARIOS_CF_SEC_20230117.xlsx]CF PNP'!$BW$43</v>
      </c>
      <c r="J883" s="4" t="s">
        <v>546</v>
      </c>
    </row>
    <row r="884" spans="1:10" x14ac:dyDescent="0.3">
      <c r="A884" s="7" t="s">
        <v>15</v>
      </c>
      <c r="B884" s="7">
        <f t="shared" si="204"/>
        <v>2031</v>
      </c>
      <c r="C884" s="4" t="s">
        <v>37</v>
      </c>
      <c r="D884" s="5" t="s">
        <v>131</v>
      </c>
      <c r="E884" s="10" t="str">
        <f t="shared" si="192"/>
        <v>PNP'!</v>
      </c>
      <c r="F884" s="5" t="str">
        <f t="shared" si="203"/>
        <v>C:\Users\jaime.benazar\Quorum Business Solutions\Ecopetrol Prometeo - Documents\Planning Space Implementation\3. Analysis &amp; Design\Design\FC22\DRR Jaime\Neiva CPI\[VAO_DINA TERCIARIOS_CF_SEC_20230117.xlsx]CF PNP'!</v>
      </c>
      <c r="G884" s="7" t="s">
        <v>102</v>
      </c>
      <c r="H884" s="4">
        <f t="shared" si="195"/>
        <v>44</v>
      </c>
      <c r="I884" s="4" t="str">
        <f t="shared" si="193"/>
        <v>='C:\Users\jaime.benazar\Quorum Business Solutions\Ecopetrol Prometeo - Documents\Planning Space Implementation\3. Analysis &amp; Design\Design\FC22\DRR Jaime\Neiva CPI\[VAO_DINA TERCIARIOS_CF_SEC_20230117.xlsx]CF PNP'!$BW$44</v>
      </c>
      <c r="J884" s="4" t="s">
        <v>547</v>
      </c>
    </row>
    <row r="885" spans="1:10" x14ac:dyDescent="0.3">
      <c r="A885" s="7" t="s">
        <v>15</v>
      </c>
      <c r="B885" s="7">
        <f t="shared" si="204"/>
        <v>2032</v>
      </c>
      <c r="C885" s="4" t="s">
        <v>37</v>
      </c>
      <c r="D885" s="5" t="s">
        <v>131</v>
      </c>
      <c r="E885" s="10" t="str">
        <f t="shared" si="192"/>
        <v>PNP'!</v>
      </c>
      <c r="F885" s="5" t="str">
        <f t="shared" si="203"/>
        <v>C:\Users\jaime.benazar\Quorum Business Solutions\Ecopetrol Prometeo - Documents\Planning Space Implementation\3. Analysis &amp; Design\Design\FC22\DRR Jaime\Neiva CPI\[VAO_DINA TERCIARIOS_CF_SEC_20230117.xlsx]CF PNP'!</v>
      </c>
      <c r="G885" s="7" t="s">
        <v>102</v>
      </c>
      <c r="H885" s="4">
        <f t="shared" si="195"/>
        <v>45</v>
      </c>
      <c r="I885" s="4" t="str">
        <f t="shared" si="193"/>
        <v>='C:\Users\jaime.benazar\Quorum Business Solutions\Ecopetrol Prometeo - Documents\Planning Space Implementation\3. Analysis &amp; Design\Design\FC22\DRR Jaime\Neiva CPI\[VAO_DINA TERCIARIOS_CF_SEC_20230117.xlsx]CF PNP'!$BW$45</v>
      </c>
      <c r="J885" s="4" t="s">
        <v>548</v>
      </c>
    </row>
    <row r="886" spans="1:10" x14ac:dyDescent="0.3">
      <c r="A886" s="7" t="s">
        <v>15</v>
      </c>
      <c r="B886" s="7">
        <f t="shared" si="204"/>
        <v>2033</v>
      </c>
      <c r="C886" s="4" t="s">
        <v>37</v>
      </c>
      <c r="D886" s="5" t="s">
        <v>131</v>
      </c>
      <c r="E886" s="10" t="str">
        <f t="shared" si="192"/>
        <v>PNP'!</v>
      </c>
      <c r="F886" s="5" t="str">
        <f t="shared" si="203"/>
        <v>C:\Users\jaime.benazar\Quorum Business Solutions\Ecopetrol Prometeo - Documents\Planning Space Implementation\3. Analysis &amp; Design\Design\FC22\DRR Jaime\Neiva CPI\[VAO_DINA TERCIARIOS_CF_SEC_20230117.xlsx]CF PNP'!</v>
      </c>
      <c r="G886" s="7" t="s">
        <v>102</v>
      </c>
      <c r="H886" s="4">
        <f t="shared" si="195"/>
        <v>46</v>
      </c>
      <c r="I886" s="4" t="str">
        <f t="shared" si="193"/>
        <v>='C:\Users\jaime.benazar\Quorum Business Solutions\Ecopetrol Prometeo - Documents\Planning Space Implementation\3. Analysis &amp; Design\Design\FC22\DRR Jaime\Neiva CPI\[VAO_DINA TERCIARIOS_CF_SEC_20230117.xlsx]CF PNP'!$BW$46</v>
      </c>
      <c r="J886" s="4" t="s">
        <v>549</v>
      </c>
    </row>
    <row r="887" spans="1:10" x14ac:dyDescent="0.3">
      <c r="A887" s="7" t="s">
        <v>15</v>
      </c>
      <c r="B887" s="7">
        <f t="shared" si="204"/>
        <v>2034</v>
      </c>
      <c r="C887" s="4" t="s">
        <v>37</v>
      </c>
      <c r="D887" s="5" t="s">
        <v>131</v>
      </c>
      <c r="E887" s="10" t="str">
        <f t="shared" si="192"/>
        <v>PNP'!</v>
      </c>
      <c r="F887" s="5" t="str">
        <f t="shared" si="203"/>
        <v>C:\Users\jaime.benazar\Quorum Business Solutions\Ecopetrol Prometeo - Documents\Planning Space Implementation\3. Analysis &amp; Design\Design\FC22\DRR Jaime\Neiva CPI\[VAO_DINA TERCIARIOS_CF_SEC_20230117.xlsx]CF PNP'!</v>
      </c>
      <c r="G887" s="7" t="s">
        <v>102</v>
      </c>
      <c r="H887" s="4">
        <f t="shared" si="195"/>
        <v>47</v>
      </c>
      <c r="I887" s="4" t="str">
        <f t="shared" si="193"/>
        <v>='C:\Users\jaime.benazar\Quorum Business Solutions\Ecopetrol Prometeo - Documents\Planning Space Implementation\3. Analysis &amp; Design\Design\FC22\DRR Jaime\Neiva CPI\[VAO_DINA TERCIARIOS_CF_SEC_20230117.xlsx]CF PNP'!$BW$47</v>
      </c>
      <c r="J887" s="4" t="s">
        <v>550</v>
      </c>
    </row>
    <row r="888" spans="1:10" x14ac:dyDescent="0.3">
      <c r="A888" s="7" t="s">
        <v>15</v>
      </c>
      <c r="B888" s="7">
        <f t="shared" si="204"/>
        <v>2035</v>
      </c>
      <c r="C888" s="4" t="s">
        <v>37</v>
      </c>
      <c r="D888" s="5" t="s">
        <v>131</v>
      </c>
      <c r="E888" s="10" t="str">
        <f t="shared" si="192"/>
        <v>PNP'!</v>
      </c>
      <c r="F888" s="5" t="str">
        <f t="shared" si="203"/>
        <v>C:\Users\jaime.benazar\Quorum Business Solutions\Ecopetrol Prometeo - Documents\Planning Space Implementation\3. Analysis &amp; Design\Design\FC22\DRR Jaime\Neiva CPI\[VAO_DINA TERCIARIOS_CF_SEC_20230117.xlsx]CF PNP'!</v>
      </c>
      <c r="G888" s="7" t="s">
        <v>102</v>
      </c>
      <c r="H888" s="4">
        <f t="shared" si="195"/>
        <v>48</v>
      </c>
      <c r="I888" s="4" t="str">
        <f t="shared" si="193"/>
        <v>='C:\Users\jaime.benazar\Quorum Business Solutions\Ecopetrol Prometeo - Documents\Planning Space Implementation\3. Analysis &amp; Design\Design\FC22\DRR Jaime\Neiva CPI\[VAO_DINA TERCIARIOS_CF_SEC_20230117.xlsx]CF PNP'!$BW$48</v>
      </c>
      <c r="J888" s="4" t="s">
        <v>551</v>
      </c>
    </row>
    <row r="889" spans="1:10" x14ac:dyDescent="0.3">
      <c r="A889" s="7" t="s">
        <v>15</v>
      </c>
      <c r="B889" s="7">
        <f t="shared" si="204"/>
        <v>2036</v>
      </c>
      <c r="C889" s="4" t="s">
        <v>37</v>
      </c>
      <c r="D889" s="5" t="s">
        <v>131</v>
      </c>
      <c r="E889" s="10" t="str">
        <f t="shared" si="192"/>
        <v>PNP'!</v>
      </c>
      <c r="F889" s="5" t="str">
        <f t="shared" si="203"/>
        <v>C:\Users\jaime.benazar\Quorum Business Solutions\Ecopetrol Prometeo - Documents\Planning Space Implementation\3. Analysis &amp; Design\Design\FC22\DRR Jaime\Neiva CPI\[VAO_DINA TERCIARIOS_CF_SEC_20230117.xlsx]CF PNP'!</v>
      </c>
      <c r="G889" s="7" t="s">
        <v>102</v>
      </c>
      <c r="H889" s="4">
        <f t="shared" si="195"/>
        <v>49</v>
      </c>
      <c r="I889" s="4" t="str">
        <f t="shared" si="193"/>
        <v>='C:\Users\jaime.benazar\Quorum Business Solutions\Ecopetrol Prometeo - Documents\Planning Space Implementation\3. Analysis &amp; Design\Design\FC22\DRR Jaime\Neiva CPI\[VAO_DINA TERCIARIOS_CF_SEC_20230117.xlsx]CF PNP'!$BW$49</v>
      </c>
      <c r="J889" s="4" t="s">
        <v>552</v>
      </c>
    </row>
    <row r="890" spans="1:10" x14ac:dyDescent="0.3">
      <c r="A890" s="7" t="s">
        <v>15</v>
      </c>
      <c r="B890" s="7">
        <f>+B889+1</f>
        <v>2037</v>
      </c>
      <c r="C890" s="4" t="s">
        <v>37</v>
      </c>
      <c r="D890" s="5" t="s">
        <v>131</v>
      </c>
      <c r="E890" s="10" t="str">
        <f t="shared" si="192"/>
        <v>PNP'!</v>
      </c>
      <c r="F890" s="5" t="str">
        <f t="shared" si="203"/>
        <v>C:\Users\jaime.benazar\Quorum Business Solutions\Ecopetrol Prometeo - Documents\Planning Space Implementation\3. Analysis &amp; Design\Design\FC22\DRR Jaime\Neiva CPI\[VAO_DINA TERCIARIOS_CF_SEC_20230117.xlsx]CF PNP'!</v>
      </c>
      <c r="G890" s="7" t="s">
        <v>102</v>
      </c>
      <c r="H890" s="4">
        <f t="shared" si="195"/>
        <v>50</v>
      </c>
      <c r="I890" s="4" t="str">
        <f t="shared" si="193"/>
        <v>='C:\Users\jaime.benazar\Quorum Business Solutions\Ecopetrol Prometeo - Documents\Planning Space Implementation\3. Analysis &amp; Design\Design\FC22\DRR Jaime\Neiva CPI\[VAO_DINA TERCIARIOS_CF_SEC_20230117.xlsx]CF PNP'!$BW$50</v>
      </c>
      <c r="J890" s="4" t="s">
        <v>553</v>
      </c>
    </row>
    <row r="891" spans="1:10" x14ac:dyDescent="0.3">
      <c r="A891" s="7" t="s">
        <v>15</v>
      </c>
      <c r="B891" s="7">
        <f t="shared" ref="B891:B893" si="205">+B890+1</f>
        <v>2038</v>
      </c>
      <c r="C891" s="4" t="s">
        <v>37</v>
      </c>
      <c r="D891" s="5" t="s">
        <v>131</v>
      </c>
      <c r="E891" s="10" t="str">
        <f t="shared" si="192"/>
        <v>PNP'!</v>
      </c>
      <c r="F891" s="5" t="str">
        <f t="shared" si="203"/>
        <v>C:\Users\jaime.benazar\Quorum Business Solutions\Ecopetrol Prometeo - Documents\Planning Space Implementation\3. Analysis &amp; Design\Design\FC22\DRR Jaime\Neiva CPI\[VAO_DINA TERCIARIOS_CF_SEC_20230117.xlsx]CF PNP'!</v>
      </c>
      <c r="G891" s="7" t="s">
        <v>102</v>
      </c>
      <c r="H891" s="4">
        <f t="shared" si="195"/>
        <v>51</v>
      </c>
      <c r="I891" s="4" t="str">
        <f t="shared" si="193"/>
        <v>='C:\Users\jaime.benazar\Quorum Business Solutions\Ecopetrol Prometeo - Documents\Planning Space Implementation\3. Analysis &amp; Design\Design\FC22\DRR Jaime\Neiva CPI\[VAO_DINA TERCIARIOS_CF_SEC_20230117.xlsx]CF PNP'!$BW$51</v>
      </c>
      <c r="J891" s="4" t="s">
        <v>554</v>
      </c>
    </row>
    <row r="892" spans="1:10" x14ac:dyDescent="0.3">
      <c r="A892" s="7" t="s">
        <v>15</v>
      </c>
      <c r="B892" s="7">
        <f t="shared" si="205"/>
        <v>2039</v>
      </c>
      <c r="C892" s="4" t="s">
        <v>37</v>
      </c>
      <c r="D892" s="5" t="s">
        <v>131</v>
      </c>
      <c r="E892" s="10" t="str">
        <f t="shared" si="192"/>
        <v>PNP'!</v>
      </c>
      <c r="F892" s="5" t="str">
        <f t="shared" si="203"/>
        <v>C:\Users\jaime.benazar\Quorum Business Solutions\Ecopetrol Prometeo - Documents\Planning Space Implementation\3. Analysis &amp; Design\Design\FC22\DRR Jaime\Neiva CPI\[VAO_DINA TERCIARIOS_CF_SEC_20230117.xlsx]CF PNP'!</v>
      </c>
      <c r="G892" s="7" t="s">
        <v>102</v>
      </c>
      <c r="H892" s="4">
        <f t="shared" si="195"/>
        <v>52</v>
      </c>
      <c r="I892" s="4" t="str">
        <f t="shared" si="193"/>
        <v>='C:\Users\jaime.benazar\Quorum Business Solutions\Ecopetrol Prometeo - Documents\Planning Space Implementation\3. Analysis &amp; Design\Design\FC22\DRR Jaime\Neiva CPI\[VAO_DINA TERCIARIOS_CF_SEC_20230117.xlsx]CF PNP'!$BW$52</v>
      </c>
      <c r="J892" s="4" t="s">
        <v>555</v>
      </c>
    </row>
    <row r="893" spans="1:10" x14ac:dyDescent="0.3">
      <c r="A893" s="7" t="s">
        <v>15</v>
      </c>
      <c r="B893" s="7">
        <f t="shared" si="205"/>
        <v>2040</v>
      </c>
      <c r="C893" s="4" t="s">
        <v>37</v>
      </c>
      <c r="D893" s="5" t="s">
        <v>131</v>
      </c>
      <c r="E893" s="10" t="str">
        <f t="shared" si="192"/>
        <v>PNP'!</v>
      </c>
      <c r="F893" s="5" t="str">
        <f t="shared" si="203"/>
        <v>C:\Users\jaime.benazar\Quorum Business Solutions\Ecopetrol Prometeo - Documents\Planning Space Implementation\3. Analysis &amp; Design\Design\FC22\DRR Jaime\Neiva CPI\[VAO_DINA TERCIARIOS_CF_SEC_20230117.xlsx]CF PNP'!</v>
      </c>
      <c r="G893" s="7" t="s">
        <v>102</v>
      </c>
      <c r="H893" s="4">
        <f t="shared" si="195"/>
        <v>53</v>
      </c>
      <c r="I893" s="4" t="str">
        <f t="shared" si="193"/>
        <v>='C:\Users\jaime.benazar\Quorum Business Solutions\Ecopetrol Prometeo - Documents\Planning Space Implementation\3. Analysis &amp; Design\Design\FC22\DRR Jaime\Neiva CPI\[VAO_DINA TERCIARIOS_CF_SEC_20230117.xlsx]CF PNP'!$BW$53</v>
      </c>
      <c r="J893" s="4" t="s">
        <v>556</v>
      </c>
    </row>
    <row r="894" spans="1:10" x14ac:dyDescent="0.3">
      <c r="A894" s="7" t="s">
        <v>15</v>
      </c>
      <c r="B894" s="7">
        <f>+B893+1</f>
        <v>2041</v>
      </c>
      <c r="C894" s="4" t="s">
        <v>37</v>
      </c>
      <c r="D894" s="5" t="s">
        <v>131</v>
      </c>
      <c r="E894" s="10" t="str">
        <f t="shared" si="192"/>
        <v>PNP'!</v>
      </c>
      <c r="F894" s="5" t="str">
        <f t="shared" si="203"/>
        <v>C:\Users\jaime.benazar\Quorum Business Solutions\Ecopetrol Prometeo - Documents\Planning Space Implementation\3. Analysis &amp; Design\Design\FC22\DRR Jaime\Neiva CPI\[VAO_DINA TERCIARIOS_CF_SEC_20230117.xlsx]CF PNP'!</v>
      </c>
      <c r="G894" s="7" t="s">
        <v>102</v>
      </c>
      <c r="H894" s="4">
        <f t="shared" si="195"/>
        <v>54</v>
      </c>
      <c r="I894" s="4" t="str">
        <f t="shared" si="193"/>
        <v>='C:\Users\jaime.benazar\Quorum Business Solutions\Ecopetrol Prometeo - Documents\Planning Space Implementation\3. Analysis &amp; Design\Design\FC22\DRR Jaime\Neiva CPI\[VAO_DINA TERCIARIOS_CF_SEC_20230117.xlsx]CF PNP'!$BW$54</v>
      </c>
      <c r="J894" s="4" t="s">
        <v>557</v>
      </c>
    </row>
    <row r="895" spans="1:10" x14ac:dyDescent="0.3">
      <c r="A895" s="7" t="s">
        <v>15</v>
      </c>
      <c r="B895" s="7">
        <f t="shared" ref="B895:B896" si="206">+B894+1</f>
        <v>2042</v>
      </c>
      <c r="C895" s="4" t="s">
        <v>37</v>
      </c>
      <c r="D895" s="5" t="s">
        <v>131</v>
      </c>
      <c r="E895" s="10" t="str">
        <f t="shared" si="192"/>
        <v>PNP'!</v>
      </c>
      <c r="F895" s="5" t="str">
        <f t="shared" si="203"/>
        <v>C:\Users\jaime.benazar\Quorum Business Solutions\Ecopetrol Prometeo - Documents\Planning Space Implementation\3. Analysis &amp; Design\Design\FC22\DRR Jaime\Neiva CPI\[VAO_DINA TERCIARIOS_CF_SEC_20230117.xlsx]CF PNP'!</v>
      </c>
      <c r="G895" s="7" t="s">
        <v>102</v>
      </c>
      <c r="H895" s="4">
        <f t="shared" si="195"/>
        <v>55</v>
      </c>
      <c r="I895" s="4" t="str">
        <f t="shared" si="193"/>
        <v>='C:\Users\jaime.benazar\Quorum Business Solutions\Ecopetrol Prometeo - Documents\Planning Space Implementation\3. Analysis &amp; Design\Design\FC22\DRR Jaime\Neiva CPI\[VAO_DINA TERCIARIOS_CF_SEC_20230117.xlsx]CF PNP'!$BW$55</v>
      </c>
      <c r="J895" s="4" t="s">
        <v>558</v>
      </c>
    </row>
    <row r="896" spans="1:10" x14ac:dyDescent="0.3">
      <c r="A896" s="7" t="s">
        <v>15</v>
      </c>
      <c r="B896" s="7">
        <f t="shared" si="206"/>
        <v>2043</v>
      </c>
      <c r="C896" s="4" t="s">
        <v>37</v>
      </c>
      <c r="D896" s="5" t="s">
        <v>131</v>
      </c>
      <c r="E896" s="10" t="str">
        <f t="shared" si="192"/>
        <v>PNP'!</v>
      </c>
      <c r="F896" s="5" t="str">
        <f t="shared" si="203"/>
        <v>C:\Users\jaime.benazar\Quorum Business Solutions\Ecopetrol Prometeo - Documents\Planning Space Implementation\3. Analysis &amp; Design\Design\FC22\DRR Jaime\Neiva CPI\[VAO_DINA TERCIARIOS_CF_SEC_20230117.xlsx]CF PNP'!</v>
      </c>
      <c r="G896" s="7" t="s">
        <v>102</v>
      </c>
      <c r="H896" s="4">
        <f t="shared" si="195"/>
        <v>56</v>
      </c>
      <c r="I896" s="4" t="str">
        <f t="shared" si="193"/>
        <v>='C:\Users\jaime.benazar\Quorum Business Solutions\Ecopetrol Prometeo - Documents\Planning Space Implementation\3. Analysis &amp; Design\Design\FC22\DRR Jaime\Neiva CPI\[VAO_DINA TERCIARIOS_CF_SEC_20230117.xlsx]CF PNP'!$BW$56</v>
      </c>
      <c r="J896" s="4" t="s">
        <v>559</v>
      </c>
    </row>
    <row r="897" spans="1:10" x14ac:dyDescent="0.3">
      <c r="A897" s="7" t="s">
        <v>15</v>
      </c>
      <c r="B897" s="7">
        <f>+B896+1</f>
        <v>2044</v>
      </c>
      <c r="C897" s="4" t="s">
        <v>37</v>
      </c>
      <c r="D897" s="5" t="s">
        <v>131</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Jaime\Neiva CPI\[VAO_DINA TERCIARIOS_CF_SEC_20230117.xlsx]CF PNP'!</v>
      </c>
      <c r="G897" s="7" t="s">
        <v>102</v>
      </c>
      <c r="H897" s="4">
        <f t="shared" ref="H897:H912" si="209">IF(A897&lt;&gt;A896,36,H896+1)</f>
        <v>57</v>
      </c>
      <c r="I897" s="4" t="str">
        <f t="shared" ref="I897:I912" si="210">_xlfn.CONCAT("='",F897:H897)</f>
        <v>='C:\Users\jaime.benazar\Quorum Business Solutions\Ecopetrol Prometeo - Documents\Planning Space Implementation\3. Analysis &amp; Design\Design\FC22\DRR Jaime\Neiva CPI\[VAO_DINA TERCIARIOS_CF_SEC_20230117.xlsx]CF PNP'!$BW$57</v>
      </c>
      <c r="J897" s="4" t="s">
        <v>560</v>
      </c>
    </row>
    <row r="898" spans="1:10" x14ac:dyDescent="0.3">
      <c r="A898" s="7" t="s">
        <v>15</v>
      </c>
      <c r="B898" s="7">
        <f t="shared" ref="B898:B912" si="211">+B897+1</f>
        <v>2045</v>
      </c>
      <c r="C898" s="4" t="s">
        <v>37</v>
      </c>
      <c r="D898" s="5" t="s">
        <v>131</v>
      </c>
      <c r="E898" s="10" t="str">
        <f t="shared" si="207"/>
        <v>PNP'!</v>
      </c>
      <c r="F898" s="5" t="str">
        <f t="shared" si="208"/>
        <v>C:\Users\jaime.benazar\Quorum Business Solutions\Ecopetrol Prometeo - Documents\Planning Space Implementation\3. Analysis &amp; Design\Design\FC22\DRR Jaime\Neiva CPI\[VAO_DINA TERCIARIOS_CF_SEC_20230117.xlsx]CF PNP'!</v>
      </c>
      <c r="G898" s="7" t="s">
        <v>102</v>
      </c>
      <c r="H898" s="4">
        <f t="shared" si="209"/>
        <v>58</v>
      </c>
      <c r="I898" s="4" t="str">
        <f t="shared" si="210"/>
        <v>='C:\Users\jaime.benazar\Quorum Business Solutions\Ecopetrol Prometeo - Documents\Planning Space Implementation\3. Analysis &amp; Design\Design\FC22\DRR Jaime\Neiva CPI\[VAO_DINA TERCIARIOS_CF_SEC_20230117.xlsx]CF PNP'!$BW$58</v>
      </c>
      <c r="J898" s="4" t="s">
        <v>561</v>
      </c>
    </row>
    <row r="899" spans="1:10" x14ac:dyDescent="0.3">
      <c r="A899" s="7" t="s">
        <v>15</v>
      </c>
      <c r="B899" s="7">
        <f t="shared" si="211"/>
        <v>2046</v>
      </c>
      <c r="C899" s="4" t="s">
        <v>37</v>
      </c>
      <c r="D899" s="5" t="s">
        <v>131</v>
      </c>
      <c r="E899" s="10" t="str">
        <f t="shared" si="207"/>
        <v>PNP'!</v>
      </c>
      <c r="F899" s="5" t="str">
        <f t="shared" si="208"/>
        <v>C:\Users\jaime.benazar\Quorum Business Solutions\Ecopetrol Prometeo - Documents\Planning Space Implementation\3. Analysis &amp; Design\Design\FC22\DRR Jaime\Neiva CPI\[VAO_DINA TERCIARIOS_CF_SEC_20230117.xlsx]CF PNP'!</v>
      </c>
      <c r="G899" s="7" t="s">
        <v>102</v>
      </c>
      <c r="H899" s="4">
        <f t="shared" si="209"/>
        <v>59</v>
      </c>
      <c r="I899" s="4" t="str">
        <f t="shared" si="210"/>
        <v>='C:\Users\jaime.benazar\Quorum Business Solutions\Ecopetrol Prometeo - Documents\Planning Space Implementation\3. Analysis &amp; Design\Design\FC22\DRR Jaime\Neiva CPI\[VAO_DINA TERCIARIOS_CF_SEC_20230117.xlsx]CF PNP'!$BW$59</v>
      </c>
      <c r="J899" s="4" t="s">
        <v>562</v>
      </c>
    </row>
    <row r="900" spans="1:10" x14ac:dyDescent="0.3">
      <c r="A900" s="7" t="s">
        <v>15</v>
      </c>
      <c r="B900" s="7">
        <f t="shared" si="211"/>
        <v>2047</v>
      </c>
      <c r="C900" s="4" t="s">
        <v>37</v>
      </c>
      <c r="D900" s="5" t="s">
        <v>131</v>
      </c>
      <c r="E900" s="10" t="str">
        <f t="shared" si="207"/>
        <v>PNP'!</v>
      </c>
      <c r="F900" s="5" t="str">
        <f t="shared" si="208"/>
        <v>C:\Users\jaime.benazar\Quorum Business Solutions\Ecopetrol Prometeo - Documents\Planning Space Implementation\3. Analysis &amp; Design\Design\FC22\DRR Jaime\Neiva CPI\[VAO_DINA TERCIARIOS_CF_SEC_20230117.xlsx]CF PNP'!</v>
      </c>
      <c r="G900" s="7" t="s">
        <v>102</v>
      </c>
      <c r="H900" s="4">
        <f t="shared" si="209"/>
        <v>60</v>
      </c>
      <c r="I900" s="4" t="str">
        <f t="shared" si="210"/>
        <v>='C:\Users\jaime.benazar\Quorum Business Solutions\Ecopetrol Prometeo - Documents\Planning Space Implementation\3. Analysis &amp; Design\Design\FC22\DRR Jaime\Neiva CPI\[VAO_DINA TERCIARIOS_CF_SEC_20230117.xlsx]CF PNP'!$BW$60</v>
      </c>
      <c r="J900" s="4" t="s">
        <v>563</v>
      </c>
    </row>
    <row r="901" spans="1:10" x14ac:dyDescent="0.3">
      <c r="A901" s="7" t="s">
        <v>15</v>
      </c>
      <c r="B901" s="7">
        <f t="shared" si="211"/>
        <v>2048</v>
      </c>
      <c r="C901" s="4" t="s">
        <v>37</v>
      </c>
      <c r="D901" s="5" t="s">
        <v>131</v>
      </c>
      <c r="E901" s="10" t="str">
        <f t="shared" si="207"/>
        <v>PNP'!</v>
      </c>
      <c r="F901" s="5" t="str">
        <f t="shared" si="208"/>
        <v>C:\Users\jaime.benazar\Quorum Business Solutions\Ecopetrol Prometeo - Documents\Planning Space Implementation\3. Analysis &amp; Design\Design\FC22\DRR Jaime\Neiva CPI\[VAO_DINA TERCIARIOS_CF_SEC_20230117.xlsx]CF PNP'!</v>
      </c>
      <c r="G901" s="7" t="s">
        <v>102</v>
      </c>
      <c r="H901" s="4">
        <f t="shared" si="209"/>
        <v>61</v>
      </c>
      <c r="I901" s="4" t="str">
        <f t="shared" si="210"/>
        <v>='C:\Users\jaime.benazar\Quorum Business Solutions\Ecopetrol Prometeo - Documents\Planning Space Implementation\3. Analysis &amp; Design\Design\FC22\DRR Jaime\Neiva CPI\[VAO_DINA TERCIARIOS_CF_SEC_20230117.xlsx]CF PNP'!$BW$61</v>
      </c>
      <c r="J901" s="4" t="s">
        <v>564</v>
      </c>
    </row>
    <row r="902" spans="1:10" x14ac:dyDescent="0.3">
      <c r="A902" s="7" t="s">
        <v>15</v>
      </c>
      <c r="B902" s="7">
        <f t="shared" si="211"/>
        <v>2049</v>
      </c>
      <c r="C902" s="4" t="s">
        <v>37</v>
      </c>
      <c r="D902" s="5" t="s">
        <v>131</v>
      </c>
      <c r="E902" s="10" t="str">
        <f t="shared" si="207"/>
        <v>PNP'!</v>
      </c>
      <c r="F902" s="5" t="str">
        <f t="shared" si="208"/>
        <v>C:\Users\jaime.benazar\Quorum Business Solutions\Ecopetrol Prometeo - Documents\Planning Space Implementation\3. Analysis &amp; Design\Design\FC22\DRR Jaime\Neiva CPI\[VAO_DINA TERCIARIOS_CF_SEC_20230117.xlsx]CF PNP'!</v>
      </c>
      <c r="G902" s="7" t="s">
        <v>102</v>
      </c>
      <c r="H902" s="4">
        <f t="shared" si="209"/>
        <v>62</v>
      </c>
      <c r="I902" s="4" t="str">
        <f t="shared" si="210"/>
        <v>='C:\Users\jaime.benazar\Quorum Business Solutions\Ecopetrol Prometeo - Documents\Planning Space Implementation\3. Analysis &amp; Design\Design\FC22\DRR Jaime\Neiva CPI\[VAO_DINA TERCIARIOS_CF_SEC_20230117.xlsx]CF PNP'!$BW$62</v>
      </c>
      <c r="J902" s="4" t="s">
        <v>565</v>
      </c>
    </row>
    <row r="903" spans="1:10" x14ac:dyDescent="0.3">
      <c r="A903" s="7" t="s">
        <v>15</v>
      </c>
      <c r="B903" s="7">
        <f t="shared" si="211"/>
        <v>2050</v>
      </c>
      <c r="C903" s="4" t="s">
        <v>37</v>
      </c>
      <c r="D903" s="5" t="s">
        <v>131</v>
      </c>
      <c r="E903" s="10" t="str">
        <f t="shared" si="207"/>
        <v>PNP'!</v>
      </c>
      <c r="F903" s="5" t="str">
        <f t="shared" si="208"/>
        <v>C:\Users\jaime.benazar\Quorum Business Solutions\Ecopetrol Prometeo - Documents\Planning Space Implementation\3. Analysis &amp; Design\Design\FC22\DRR Jaime\Neiva CPI\[VAO_DINA TERCIARIOS_CF_SEC_20230117.xlsx]CF PNP'!</v>
      </c>
      <c r="G903" s="7" t="s">
        <v>102</v>
      </c>
      <c r="H903" s="4">
        <f t="shared" si="209"/>
        <v>63</v>
      </c>
      <c r="I903" s="4" t="str">
        <f t="shared" si="210"/>
        <v>='C:\Users\jaime.benazar\Quorum Business Solutions\Ecopetrol Prometeo - Documents\Planning Space Implementation\3. Analysis &amp; Design\Design\FC22\DRR Jaime\Neiva CPI\[VAO_DINA TERCIARIOS_CF_SEC_20230117.xlsx]CF PNP'!$BW$63</v>
      </c>
      <c r="J903" s="4" t="s">
        <v>566</v>
      </c>
    </row>
    <row r="904" spans="1:10" x14ac:dyDescent="0.3">
      <c r="A904" s="7" t="s">
        <v>15</v>
      </c>
      <c r="B904" s="7">
        <f t="shared" si="211"/>
        <v>2051</v>
      </c>
      <c r="C904" s="4" t="s">
        <v>37</v>
      </c>
      <c r="D904" s="5" t="s">
        <v>131</v>
      </c>
      <c r="E904" s="10" t="str">
        <f t="shared" si="207"/>
        <v>PNP'!</v>
      </c>
      <c r="F904" s="5" t="str">
        <f t="shared" si="208"/>
        <v>C:\Users\jaime.benazar\Quorum Business Solutions\Ecopetrol Prometeo - Documents\Planning Space Implementation\3. Analysis &amp; Design\Design\FC22\DRR Jaime\Neiva CPI\[VAO_DINA TERCIARIOS_CF_SEC_20230117.xlsx]CF PNP'!</v>
      </c>
      <c r="G904" s="7" t="s">
        <v>102</v>
      </c>
      <c r="H904" s="4">
        <f t="shared" si="209"/>
        <v>64</v>
      </c>
      <c r="I904" s="4" t="str">
        <f t="shared" si="210"/>
        <v>='C:\Users\jaime.benazar\Quorum Business Solutions\Ecopetrol Prometeo - Documents\Planning Space Implementation\3. Analysis &amp; Design\Design\FC22\DRR Jaime\Neiva CPI\[VAO_DINA TERCIARIOS_CF_SEC_20230117.xlsx]CF PNP'!$BW$64</v>
      </c>
      <c r="J904" s="4" t="s">
        <v>567</v>
      </c>
    </row>
    <row r="905" spans="1:10" x14ac:dyDescent="0.3">
      <c r="A905" s="7" t="s">
        <v>15</v>
      </c>
      <c r="B905" s="7">
        <f t="shared" si="211"/>
        <v>2052</v>
      </c>
      <c r="C905" s="4" t="s">
        <v>37</v>
      </c>
      <c r="D905" s="5" t="s">
        <v>131</v>
      </c>
      <c r="E905" s="10" t="str">
        <f t="shared" si="207"/>
        <v>PNP'!</v>
      </c>
      <c r="F905" s="5" t="str">
        <f t="shared" si="208"/>
        <v>C:\Users\jaime.benazar\Quorum Business Solutions\Ecopetrol Prometeo - Documents\Planning Space Implementation\3. Analysis &amp; Design\Design\FC22\DRR Jaime\Neiva CPI\[VAO_DINA TERCIARIOS_CF_SEC_20230117.xlsx]CF PNP'!</v>
      </c>
      <c r="G905" s="7" t="s">
        <v>102</v>
      </c>
      <c r="H905" s="4">
        <f t="shared" si="209"/>
        <v>65</v>
      </c>
      <c r="I905" s="4" t="str">
        <f t="shared" si="210"/>
        <v>='C:\Users\jaime.benazar\Quorum Business Solutions\Ecopetrol Prometeo - Documents\Planning Space Implementation\3. Analysis &amp; Design\Design\FC22\DRR Jaime\Neiva CPI\[VAO_DINA TERCIARIOS_CF_SEC_20230117.xlsx]CF PNP'!$BW$65</v>
      </c>
      <c r="J905" s="4" t="s">
        <v>568</v>
      </c>
    </row>
    <row r="906" spans="1:10" x14ac:dyDescent="0.3">
      <c r="A906" s="7" t="s">
        <v>15</v>
      </c>
      <c r="B906" s="7">
        <f t="shared" si="211"/>
        <v>2053</v>
      </c>
      <c r="C906" s="4" t="s">
        <v>37</v>
      </c>
      <c r="D906" s="5" t="s">
        <v>131</v>
      </c>
      <c r="E906" s="10" t="str">
        <f t="shared" si="207"/>
        <v>PNP'!</v>
      </c>
      <c r="F906" s="5" t="str">
        <f t="shared" si="208"/>
        <v>C:\Users\jaime.benazar\Quorum Business Solutions\Ecopetrol Prometeo - Documents\Planning Space Implementation\3. Analysis &amp; Design\Design\FC22\DRR Jaime\Neiva CPI\[VAO_DINA TERCIARIOS_CF_SEC_20230117.xlsx]CF PNP'!</v>
      </c>
      <c r="G906" s="7" t="s">
        <v>102</v>
      </c>
      <c r="H906" s="4">
        <f t="shared" si="209"/>
        <v>66</v>
      </c>
      <c r="I906" s="4" t="str">
        <f t="shared" si="210"/>
        <v>='C:\Users\jaime.benazar\Quorum Business Solutions\Ecopetrol Prometeo - Documents\Planning Space Implementation\3. Analysis &amp; Design\Design\FC22\DRR Jaime\Neiva CPI\[VAO_DINA TERCIARIOS_CF_SEC_20230117.xlsx]CF PNP'!$BW$66</v>
      </c>
      <c r="J906" s="4" t="s">
        <v>569</v>
      </c>
    </row>
    <row r="907" spans="1:10" x14ac:dyDescent="0.3">
      <c r="A907" s="7" t="s">
        <v>15</v>
      </c>
      <c r="B907" s="7">
        <f t="shared" si="211"/>
        <v>2054</v>
      </c>
      <c r="C907" s="4" t="s">
        <v>37</v>
      </c>
      <c r="D907" s="5" t="s">
        <v>131</v>
      </c>
      <c r="E907" s="10" t="str">
        <f t="shared" si="207"/>
        <v>PNP'!</v>
      </c>
      <c r="F907" s="5" t="str">
        <f t="shared" si="208"/>
        <v>C:\Users\jaime.benazar\Quorum Business Solutions\Ecopetrol Prometeo - Documents\Planning Space Implementation\3. Analysis &amp; Design\Design\FC22\DRR Jaime\Neiva CPI\[VAO_DINA TERCIARIOS_CF_SEC_20230117.xlsx]CF PNP'!</v>
      </c>
      <c r="G907" s="7" t="s">
        <v>102</v>
      </c>
      <c r="H907" s="4">
        <f t="shared" si="209"/>
        <v>67</v>
      </c>
      <c r="I907" s="4" t="str">
        <f t="shared" si="210"/>
        <v>='C:\Users\jaime.benazar\Quorum Business Solutions\Ecopetrol Prometeo - Documents\Planning Space Implementation\3. Analysis &amp; Design\Design\FC22\DRR Jaime\Neiva CPI\[VAO_DINA TERCIARIOS_CF_SEC_20230117.xlsx]CF PNP'!$BW$67</v>
      </c>
      <c r="J907" s="4" t="s">
        <v>570</v>
      </c>
    </row>
    <row r="908" spans="1:10" x14ac:dyDescent="0.3">
      <c r="A908" s="7" t="s">
        <v>15</v>
      </c>
      <c r="B908" s="7">
        <f t="shared" si="211"/>
        <v>2055</v>
      </c>
      <c r="C908" s="4" t="s">
        <v>37</v>
      </c>
      <c r="D908" s="5" t="s">
        <v>131</v>
      </c>
      <c r="E908" s="10" t="str">
        <f t="shared" si="207"/>
        <v>PNP'!</v>
      </c>
      <c r="F908" s="5" t="str">
        <f t="shared" si="208"/>
        <v>C:\Users\jaime.benazar\Quorum Business Solutions\Ecopetrol Prometeo - Documents\Planning Space Implementation\3. Analysis &amp; Design\Design\FC22\DRR Jaime\Neiva CPI\[VAO_DINA TERCIARIOS_CF_SEC_20230117.xlsx]CF PNP'!</v>
      </c>
      <c r="G908" s="7" t="s">
        <v>102</v>
      </c>
      <c r="H908" s="4">
        <f t="shared" si="209"/>
        <v>68</v>
      </c>
      <c r="I908" s="4" t="str">
        <f t="shared" si="210"/>
        <v>='C:\Users\jaime.benazar\Quorum Business Solutions\Ecopetrol Prometeo - Documents\Planning Space Implementation\3. Analysis &amp; Design\Design\FC22\DRR Jaime\Neiva CPI\[VAO_DINA TERCIARIOS_CF_SEC_20230117.xlsx]CF PNP'!$BW$68</v>
      </c>
      <c r="J908" s="4" t="s">
        <v>571</v>
      </c>
    </row>
    <row r="909" spans="1:10" x14ac:dyDescent="0.3">
      <c r="A909" s="7" t="s">
        <v>15</v>
      </c>
      <c r="B909" s="7">
        <f t="shared" si="211"/>
        <v>2056</v>
      </c>
      <c r="C909" s="4" t="s">
        <v>37</v>
      </c>
      <c r="D909" s="5" t="s">
        <v>131</v>
      </c>
      <c r="E909" s="10" t="str">
        <f t="shared" si="207"/>
        <v>PNP'!</v>
      </c>
      <c r="F909" s="5" t="str">
        <f t="shared" si="208"/>
        <v>C:\Users\jaime.benazar\Quorum Business Solutions\Ecopetrol Prometeo - Documents\Planning Space Implementation\3. Analysis &amp; Design\Design\FC22\DRR Jaime\Neiva CPI\[VAO_DINA TERCIARIOS_CF_SEC_20230117.xlsx]CF PNP'!</v>
      </c>
      <c r="G909" s="7" t="s">
        <v>102</v>
      </c>
      <c r="H909" s="4">
        <f t="shared" si="209"/>
        <v>69</v>
      </c>
      <c r="I909" s="4" t="str">
        <f t="shared" si="210"/>
        <v>='C:\Users\jaime.benazar\Quorum Business Solutions\Ecopetrol Prometeo - Documents\Planning Space Implementation\3. Analysis &amp; Design\Design\FC22\DRR Jaime\Neiva CPI\[VAO_DINA TERCIARIOS_CF_SEC_20230117.xlsx]CF PNP'!$BW$69</v>
      </c>
      <c r="J909" s="4" t="s">
        <v>572</v>
      </c>
    </row>
    <row r="910" spans="1:10" x14ac:dyDescent="0.3">
      <c r="A910" s="7" t="s">
        <v>15</v>
      </c>
      <c r="B910" s="7">
        <f t="shared" si="211"/>
        <v>2057</v>
      </c>
      <c r="C910" s="4" t="s">
        <v>37</v>
      </c>
      <c r="D910" s="5" t="s">
        <v>131</v>
      </c>
      <c r="E910" s="10" t="str">
        <f t="shared" si="207"/>
        <v>PNP'!</v>
      </c>
      <c r="F910" s="5" t="str">
        <f t="shared" si="208"/>
        <v>C:\Users\jaime.benazar\Quorum Business Solutions\Ecopetrol Prometeo - Documents\Planning Space Implementation\3. Analysis &amp; Design\Design\FC22\DRR Jaime\Neiva CPI\[VAO_DINA TERCIARIOS_CF_SEC_20230117.xlsx]CF PNP'!</v>
      </c>
      <c r="G910" s="7" t="s">
        <v>102</v>
      </c>
      <c r="H910" s="4">
        <f t="shared" si="209"/>
        <v>70</v>
      </c>
      <c r="I910" s="4" t="str">
        <f t="shared" si="210"/>
        <v>='C:\Users\jaime.benazar\Quorum Business Solutions\Ecopetrol Prometeo - Documents\Planning Space Implementation\3. Analysis &amp; Design\Design\FC22\DRR Jaime\Neiva CPI\[VAO_DINA TERCIARIOS_CF_SEC_20230117.xlsx]CF PNP'!$BW$70</v>
      </c>
      <c r="J910" s="4" t="s">
        <v>573</v>
      </c>
    </row>
    <row r="911" spans="1:10" x14ac:dyDescent="0.3">
      <c r="A911" s="7" t="s">
        <v>15</v>
      </c>
      <c r="B911" s="7">
        <f t="shared" si="211"/>
        <v>2058</v>
      </c>
      <c r="C911" s="4" t="s">
        <v>37</v>
      </c>
      <c r="D911" s="5" t="s">
        <v>131</v>
      </c>
      <c r="E911" s="10" t="str">
        <f t="shared" si="207"/>
        <v>PNP'!</v>
      </c>
      <c r="F911" s="5" t="str">
        <f t="shared" si="208"/>
        <v>C:\Users\jaime.benazar\Quorum Business Solutions\Ecopetrol Prometeo - Documents\Planning Space Implementation\3. Analysis &amp; Design\Design\FC22\DRR Jaime\Neiva CPI\[VAO_DINA TERCIARIOS_CF_SEC_20230117.xlsx]CF PNP'!</v>
      </c>
      <c r="G911" s="7" t="s">
        <v>102</v>
      </c>
      <c r="H911" s="4">
        <f t="shared" si="209"/>
        <v>71</v>
      </c>
      <c r="I911" s="4" t="str">
        <f t="shared" si="210"/>
        <v>='C:\Users\jaime.benazar\Quorum Business Solutions\Ecopetrol Prometeo - Documents\Planning Space Implementation\3. Analysis &amp; Design\Design\FC22\DRR Jaime\Neiva CPI\[VAO_DINA TERCIARIOS_CF_SEC_20230117.xlsx]CF PNP'!$BW$71</v>
      </c>
      <c r="J911" s="4" t="s">
        <v>574</v>
      </c>
    </row>
    <row r="912" spans="1:10" x14ac:dyDescent="0.3">
      <c r="A912" s="7" t="s">
        <v>15</v>
      </c>
      <c r="B912" s="7">
        <f t="shared" si="211"/>
        <v>2059</v>
      </c>
      <c r="C912" s="4" t="s">
        <v>37</v>
      </c>
      <c r="D912" s="5" t="s">
        <v>131</v>
      </c>
      <c r="E912" s="10" t="str">
        <f t="shared" si="207"/>
        <v>PNP'!</v>
      </c>
      <c r="F912" s="5" t="str">
        <f t="shared" si="208"/>
        <v>C:\Users\jaime.benazar\Quorum Business Solutions\Ecopetrol Prometeo - Documents\Planning Space Implementation\3. Analysis &amp; Design\Design\FC22\DRR Jaime\Neiva CPI\[VAO_DINA TERCIARIOS_CF_SEC_20230117.xlsx]CF PNP'!</v>
      </c>
      <c r="G912" s="7" t="s">
        <v>102</v>
      </c>
      <c r="H912" s="4">
        <f t="shared" si="209"/>
        <v>72</v>
      </c>
      <c r="I912" s="4" t="str">
        <f t="shared" si="210"/>
        <v>='C:\Users\jaime.benazar\Quorum Business Solutions\Ecopetrol Prometeo - Documents\Planning Space Implementation\3. Analysis &amp; Design\Design\FC22\DRR Jaime\Neiva CPI\[VAO_DINA TERCIARIOS_CF_SEC_20230117.xlsx]CF PNP'!$BW$72</v>
      </c>
      <c r="J912" s="4" t="s">
        <v>575</v>
      </c>
    </row>
    <row r="913" spans="1:10" x14ac:dyDescent="0.3">
      <c r="A913" s="7" t="s">
        <v>26</v>
      </c>
      <c r="B913" s="7"/>
      <c r="C913" s="4" t="s">
        <v>37</v>
      </c>
      <c r="D913" s="5"/>
      <c r="E913" s="10"/>
      <c r="F913" s="5"/>
      <c r="G913" s="7"/>
      <c r="H913" s="4"/>
      <c r="I913" s="4"/>
      <c r="J913" s="4"/>
    </row>
    <row r="914" spans="1:10" x14ac:dyDescent="0.3">
      <c r="A914" s="7" t="s">
        <v>16</v>
      </c>
      <c r="B914" s="7">
        <v>2023</v>
      </c>
      <c r="C914" s="4" t="s">
        <v>37</v>
      </c>
      <c r="D914" s="5" t="s">
        <v>131</v>
      </c>
      <c r="E914" s="10" t="str">
        <f t="shared" si="192"/>
        <v>PND'!</v>
      </c>
      <c r="F914" s="5" t="str">
        <f>_xlfn.CONCAT(D914," ",E914)</f>
        <v>C:\Users\jaime.benazar\Quorum Business Solutions\Ecopetrol Prometeo - Documents\Planning Space Implementation\3. Analysis &amp; Design\Design\FC22\DRR Jaime\Neiva CPI\[VAO_DINA TERCIARIOS_CF_SEC_20230117.xlsx]CF PND'!</v>
      </c>
      <c r="G914" s="7" t="s">
        <v>102</v>
      </c>
      <c r="H914" s="4">
        <f>IF(A914&lt;&gt;A898,36,H898+1)</f>
        <v>36</v>
      </c>
      <c r="I914" s="4" t="str">
        <f t="shared" si="193"/>
        <v>='C:\Users\jaime.benazar\Quorum Business Solutions\Ecopetrol Prometeo - Documents\Planning Space Implementation\3. Analysis &amp; Design\Design\FC22\DRR Jaime\Neiva CPI\[VAO_DINA TERCIARIOS_CF_SEC_20230117.xlsx]CF PND'!$BW$36</v>
      </c>
      <c r="J914" s="4" t="s">
        <v>576</v>
      </c>
    </row>
    <row r="915" spans="1:10" x14ac:dyDescent="0.3">
      <c r="A915" s="7" t="s">
        <v>16</v>
      </c>
      <c r="B915" s="7">
        <f>+B914+1</f>
        <v>2024</v>
      </c>
      <c r="C915" s="4" t="s">
        <v>37</v>
      </c>
      <c r="D915" s="5" t="s">
        <v>131</v>
      </c>
      <c r="E915" s="10" t="str">
        <f t="shared" si="192"/>
        <v>PND'!</v>
      </c>
      <c r="F915" s="5" t="str">
        <f t="shared" ref="F915:F1006" si="212">_xlfn.CONCAT(D915," ",E915)</f>
        <v>C:\Users\jaime.benazar\Quorum Business Solutions\Ecopetrol Prometeo - Documents\Planning Space Implementation\3. Analysis &amp; Design\Design\FC22\DRR Jaime\Neiva CPI\[VAO_DINA TERCIARIOS_CF_SEC_20230117.xlsx]CF PND'!</v>
      </c>
      <c r="G915" s="7" t="s">
        <v>102</v>
      </c>
      <c r="H915" s="4">
        <f t="shared" si="195"/>
        <v>37</v>
      </c>
      <c r="I915" s="4" t="str">
        <f t="shared" si="193"/>
        <v>='C:\Users\jaime.benazar\Quorum Business Solutions\Ecopetrol Prometeo - Documents\Planning Space Implementation\3. Analysis &amp; Design\Design\FC22\DRR Jaime\Neiva CPI\[VAO_DINA TERCIARIOS_CF_SEC_20230117.xlsx]CF PND'!$BW$37</v>
      </c>
      <c r="J915" s="4" t="s">
        <v>577</v>
      </c>
    </row>
    <row r="916" spans="1:10" x14ac:dyDescent="0.3">
      <c r="A916" s="7" t="s">
        <v>16</v>
      </c>
      <c r="B916" s="7">
        <f t="shared" ref="B916:B927" si="213">+B915+1</f>
        <v>2025</v>
      </c>
      <c r="C916" s="4" t="s">
        <v>37</v>
      </c>
      <c r="D916" s="5" t="s">
        <v>131</v>
      </c>
      <c r="E916" s="10" t="str">
        <f t="shared" si="192"/>
        <v>PND'!</v>
      </c>
      <c r="F916" s="5" t="str">
        <f t="shared" si="212"/>
        <v>C:\Users\jaime.benazar\Quorum Business Solutions\Ecopetrol Prometeo - Documents\Planning Space Implementation\3. Analysis &amp; Design\Design\FC22\DRR Jaime\Neiva CPI\[VAO_DINA TERCIARIOS_CF_SEC_20230117.xlsx]CF PND'!</v>
      </c>
      <c r="G916" s="7" t="s">
        <v>102</v>
      </c>
      <c r="H916" s="4">
        <f t="shared" si="195"/>
        <v>38</v>
      </c>
      <c r="I916" s="4" t="str">
        <f t="shared" si="193"/>
        <v>='C:\Users\jaime.benazar\Quorum Business Solutions\Ecopetrol Prometeo - Documents\Planning Space Implementation\3. Analysis &amp; Design\Design\FC22\DRR Jaime\Neiva CPI\[VAO_DINA TERCIARIOS_CF_SEC_20230117.xlsx]CF PND'!$BW$38</v>
      </c>
      <c r="J916" s="4" t="s">
        <v>578</v>
      </c>
    </row>
    <row r="917" spans="1:10" x14ac:dyDescent="0.3">
      <c r="A917" s="7" t="s">
        <v>16</v>
      </c>
      <c r="B917" s="7">
        <f t="shared" si="213"/>
        <v>2026</v>
      </c>
      <c r="C917" s="4" t="s">
        <v>37</v>
      </c>
      <c r="D917" s="5" t="s">
        <v>131</v>
      </c>
      <c r="E917" s="10" t="str">
        <f t="shared" si="192"/>
        <v>PND'!</v>
      </c>
      <c r="F917" s="5" t="str">
        <f t="shared" si="212"/>
        <v>C:\Users\jaime.benazar\Quorum Business Solutions\Ecopetrol Prometeo - Documents\Planning Space Implementation\3. Analysis &amp; Design\Design\FC22\DRR Jaime\Neiva CPI\[VAO_DINA TERCIARIOS_CF_SEC_20230117.xlsx]CF PND'!</v>
      </c>
      <c r="G917" s="7" t="s">
        <v>102</v>
      </c>
      <c r="H917" s="4">
        <f t="shared" si="195"/>
        <v>39</v>
      </c>
      <c r="I917" s="4" t="str">
        <f t="shared" si="193"/>
        <v>='C:\Users\jaime.benazar\Quorum Business Solutions\Ecopetrol Prometeo - Documents\Planning Space Implementation\3. Analysis &amp; Design\Design\FC22\DRR Jaime\Neiva CPI\[VAO_DINA TERCIARIOS_CF_SEC_20230117.xlsx]CF PND'!$BW$39</v>
      </c>
      <c r="J917" s="4" t="s">
        <v>579</v>
      </c>
    </row>
    <row r="918" spans="1:10" x14ac:dyDescent="0.3">
      <c r="A918" s="7" t="s">
        <v>16</v>
      </c>
      <c r="B918" s="7">
        <f t="shared" si="213"/>
        <v>2027</v>
      </c>
      <c r="C918" s="4" t="s">
        <v>37</v>
      </c>
      <c r="D918" s="5" t="s">
        <v>131</v>
      </c>
      <c r="E918" s="10" t="str">
        <f t="shared" si="192"/>
        <v>PND'!</v>
      </c>
      <c r="F918" s="5" t="str">
        <f t="shared" si="212"/>
        <v>C:\Users\jaime.benazar\Quorum Business Solutions\Ecopetrol Prometeo - Documents\Planning Space Implementation\3. Analysis &amp; Design\Design\FC22\DRR Jaime\Neiva CPI\[VAO_DINA TERCIARIOS_CF_SEC_20230117.xlsx]CF PND'!</v>
      </c>
      <c r="G918" s="7" t="s">
        <v>102</v>
      </c>
      <c r="H918" s="4">
        <f t="shared" si="195"/>
        <v>40</v>
      </c>
      <c r="I918" s="4" t="str">
        <f t="shared" si="193"/>
        <v>='C:\Users\jaime.benazar\Quorum Business Solutions\Ecopetrol Prometeo - Documents\Planning Space Implementation\3. Analysis &amp; Design\Design\FC22\DRR Jaime\Neiva CPI\[VAO_DINA TERCIARIOS_CF_SEC_20230117.xlsx]CF PND'!$BW$40</v>
      </c>
      <c r="J918" s="4" t="s">
        <v>580</v>
      </c>
    </row>
    <row r="919" spans="1:10" x14ac:dyDescent="0.3">
      <c r="A919" s="7" t="s">
        <v>16</v>
      </c>
      <c r="B919" s="7">
        <f t="shared" si="213"/>
        <v>2028</v>
      </c>
      <c r="C919" s="4" t="s">
        <v>37</v>
      </c>
      <c r="D919" s="5" t="s">
        <v>131</v>
      </c>
      <c r="E919" s="10" t="str">
        <f t="shared" si="192"/>
        <v>PND'!</v>
      </c>
      <c r="F919" s="5" t="str">
        <f t="shared" si="212"/>
        <v>C:\Users\jaime.benazar\Quorum Business Solutions\Ecopetrol Prometeo - Documents\Planning Space Implementation\3. Analysis &amp; Design\Design\FC22\DRR Jaime\Neiva CPI\[VAO_DINA TERCIARIOS_CF_SEC_20230117.xlsx]CF PND'!</v>
      </c>
      <c r="G919" s="7" t="s">
        <v>102</v>
      </c>
      <c r="H919" s="4">
        <f t="shared" si="195"/>
        <v>41</v>
      </c>
      <c r="I919" s="4" t="str">
        <f t="shared" si="193"/>
        <v>='C:\Users\jaime.benazar\Quorum Business Solutions\Ecopetrol Prometeo - Documents\Planning Space Implementation\3. Analysis &amp; Design\Design\FC22\DRR Jaime\Neiva CPI\[VAO_DINA TERCIARIOS_CF_SEC_20230117.xlsx]CF PND'!$BW$41</v>
      </c>
      <c r="J919" s="4" t="s">
        <v>581</v>
      </c>
    </row>
    <row r="920" spans="1:10" x14ac:dyDescent="0.3">
      <c r="A920" s="7" t="s">
        <v>16</v>
      </c>
      <c r="B920" s="7">
        <f t="shared" si="213"/>
        <v>2029</v>
      </c>
      <c r="C920" s="4" t="s">
        <v>37</v>
      </c>
      <c r="D920" s="5" t="s">
        <v>131</v>
      </c>
      <c r="E920" s="10" t="str">
        <f t="shared" si="192"/>
        <v>PND'!</v>
      </c>
      <c r="F920" s="5" t="str">
        <f t="shared" si="212"/>
        <v>C:\Users\jaime.benazar\Quorum Business Solutions\Ecopetrol Prometeo - Documents\Planning Space Implementation\3. Analysis &amp; Design\Design\FC22\DRR Jaime\Neiva CPI\[VAO_DINA TERCIARIOS_CF_SEC_20230117.xlsx]CF PND'!</v>
      </c>
      <c r="G920" s="7" t="s">
        <v>102</v>
      </c>
      <c r="H920" s="4">
        <f t="shared" si="195"/>
        <v>42</v>
      </c>
      <c r="I920" s="4" t="str">
        <f t="shared" si="193"/>
        <v>='C:\Users\jaime.benazar\Quorum Business Solutions\Ecopetrol Prometeo - Documents\Planning Space Implementation\3. Analysis &amp; Design\Design\FC22\DRR Jaime\Neiva CPI\[VAO_DINA TERCIARIOS_CF_SEC_20230117.xlsx]CF PND'!$BW$42</v>
      </c>
      <c r="J920" s="4" t="s">
        <v>582</v>
      </c>
    </row>
    <row r="921" spans="1:10" x14ac:dyDescent="0.3">
      <c r="A921" s="7" t="s">
        <v>16</v>
      </c>
      <c r="B921" s="7">
        <f t="shared" si="213"/>
        <v>2030</v>
      </c>
      <c r="C921" s="4" t="s">
        <v>37</v>
      </c>
      <c r="D921" s="5" t="s">
        <v>131</v>
      </c>
      <c r="E921" s="10" t="str">
        <f t="shared" si="192"/>
        <v>PND'!</v>
      </c>
      <c r="F921" s="5" t="str">
        <f t="shared" si="212"/>
        <v>C:\Users\jaime.benazar\Quorum Business Solutions\Ecopetrol Prometeo - Documents\Planning Space Implementation\3. Analysis &amp; Design\Design\FC22\DRR Jaime\Neiva CPI\[VAO_DINA TERCIARIOS_CF_SEC_20230117.xlsx]CF PND'!</v>
      </c>
      <c r="G921" s="7" t="s">
        <v>102</v>
      </c>
      <c r="H921" s="4">
        <f t="shared" si="195"/>
        <v>43</v>
      </c>
      <c r="I921" s="4" t="str">
        <f t="shared" si="193"/>
        <v>='C:\Users\jaime.benazar\Quorum Business Solutions\Ecopetrol Prometeo - Documents\Planning Space Implementation\3. Analysis &amp; Design\Design\FC22\DRR Jaime\Neiva CPI\[VAO_DINA TERCIARIOS_CF_SEC_20230117.xlsx]CF PND'!$BW$43</v>
      </c>
      <c r="J921" s="4" t="s">
        <v>583</v>
      </c>
    </row>
    <row r="922" spans="1:10" x14ac:dyDescent="0.3">
      <c r="A922" s="7" t="s">
        <v>16</v>
      </c>
      <c r="B922" s="7">
        <f t="shared" si="213"/>
        <v>2031</v>
      </c>
      <c r="C922" s="4" t="s">
        <v>37</v>
      </c>
      <c r="D922" s="5" t="s">
        <v>131</v>
      </c>
      <c r="E922" s="10" t="str">
        <f t="shared" si="192"/>
        <v>PND'!</v>
      </c>
      <c r="F922" s="5" t="str">
        <f t="shared" si="212"/>
        <v>C:\Users\jaime.benazar\Quorum Business Solutions\Ecopetrol Prometeo - Documents\Planning Space Implementation\3. Analysis &amp; Design\Design\FC22\DRR Jaime\Neiva CPI\[VAO_DINA TERCIARIOS_CF_SEC_20230117.xlsx]CF PND'!</v>
      </c>
      <c r="G922" s="7" t="s">
        <v>102</v>
      </c>
      <c r="H922" s="4">
        <f t="shared" si="195"/>
        <v>44</v>
      </c>
      <c r="I922" s="4" t="str">
        <f t="shared" si="193"/>
        <v>='C:\Users\jaime.benazar\Quorum Business Solutions\Ecopetrol Prometeo - Documents\Planning Space Implementation\3. Analysis &amp; Design\Design\FC22\DRR Jaime\Neiva CPI\[VAO_DINA TERCIARIOS_CF_SEC_20230117.xlsx]CF PND'!$BW$44</v>
      </c>
      <c r="J922" s="4" t="s">
        <v>584</v>
      </c>
    </row>
    <row r="923" spans="1:10" x14ac:dyDescent="0.3">
      <c r="A923" s="7" t="s">
        <v>16</v>
      </c>
      <c r="B923" s="7">
        <f t="shared" si="213"/>
        <v>2032</v>
      </c>
      <c r="C923" s="4" t="s">
        <v>37</v>
      </c>
      <c r="D923" s="5" t="s">
        <v>131</v>
      </c>
      <c r="E923" s="10" t="str">
        <f t="shared" si="192"/>
        <v>PND'!</v>
      </c>
      <c r="F923" s="5" t="str">
        <f t="shared" si="212"/>
        <v>C:\Users\jaime.benazar\Quorum Business Solutions\Ecopetrol Prometeo - Documents\Planning Space Implementation\3. Analysis &amp; Design\Design\FC22\DRR Jaime\Neiva CPI\[VAO_DINA TERCIARIOS_CF_SEC_20230117.xlsx]CF PND'!</v>
      </c>
      <c r="G923" s="7" t="s">
        <v>102</v>
      </c>
      <c r="H923" s="4">
        <f t="shared" si="195"/>
        <v>45</v>
      </c>
      <c r="I923" s="4" t="str">
        <f t="shared" si="193"/>
        <v>='C:\Users\jaime.benazar\Quorum Business Solutions\Ecopetrol Prometeo - Documents\Planning Space Implementation\3. Analysis &amp; Design\Design\FC22\DRR Jaime\Neiva CPI\[VAO_DINA TERCIARIOS_CF_SEC_20230117.xlsx]CF PND'!$BW$45</v>
      </c>
      <c r="J923" s="4" t="s">
        <v>585</v>
      </c>
    </row>
    <row r="924" spans="1:10" x14ac:dyDescent="0.3">
      <c r="A924" s="7" t="s">
        <v>16</v>
      </c>
      <c r="B924" s="7">
        <f t="shared" si="213"/>
        <v>2033</v>
      </c>
      <c r="C924" s="4" t="s">
        <v>37</v>
      </c>
      <c r="D924" s="5" t="s">
        <v>131</v>
      </c>
      <c r="E924" s="10" t="str">
        <f t="shared" si="192"/>
        <v>PND'!</v>
      </c>
      <c r="F924" s="5" t="str">
        <f t="shared" si="212"/>
        <v>C:\Users\jaime.benazar\Quorum Business Solutions\Ecopetrol Prometeo - Documents\Planning Space Implementation\3. Analysis &amp; Design\Design\FC22\DRR Jaime\Neiva CPI\[VAO_DINA TERCIARIOS_CF_SEC_20230117.xlsx]CF PND'!</v>
      </c>
      <c r="G924" s="7" t="s">
        <v>102</v>
      </c>
      <c r="H924" s="4">
        <f t="shared" si="195"/>
        <v>46</v>
      </c>
      <c r="I924" s="4" t="str">
        <f t="shared" si="193"/>
        <v>='C:\Users\jaime.benazar\Quorum Business Solutions\Ecopetrol Prometeo - Documents\Planning Space Implementation\3. Analysis &amp; Design\Design\FC22\DRR Jaime\Neiva CPI\[VAO_DINA TERCIARIOS_CF_SEC_20230117.xlsx]CF PND'!$BW$46</v>
      </c>
      <c r="J924" s="4" t="s">
        <v>586</v>
      </c>
    </row>
    <row r="925" spans="1:10" x14ac:dyDescent="0.3">
      <c r="A925" s="7" t="s">
        <v>16</v>
      </c>
      <c r="B925" s="7">
        <f t="shared" si="213"/>
        <v>2034</v>
      </c>
      <c r="C925" s="4" t="s">
        <v>37</v>
      </c>
      <c r="D925" s="5" t="s">
        <v>131</v>
      </c>
      <c r="E925" s="10" t="str">
        <f t="shared" si="192"/>
        <v>PND'!</v>
      </c>
      <c r="F925" s="5" t="str">
        <f t="shared" si="212"/>
        <v>C:\Users\jaime.benazar\Quorum Business Solutions\Ecopetrol Prometeo - Documents\Planning Space Implementation\3. Analysis &amp; Design\Design\FC22\DRR Jaime\Neiva CPI\[VAO_DINA TERCIARIOS_CF_SEC_20230117.xlsx]CF PND'!</v>
      </c>
      <c r="G925" s="7" t="s">
        <v>102</v>
      </c>
      <c r="H925" s="4">
        <f t="shared" si="195"/>
        <v>47</v>
      </c>
      <c r="I925" s="4" t="str">
        <f t="shared" si="193"/>
        <v>='C:\Users\jaime.benazar\Quorum Business Solutions\Ecopetrol Prometeo - Documents\Planning Space Implementation\3. Analysis &amp; Design\Design\FC22\DRR Jaime\Neiva CPI\[VAO_DINA TERCIARIOS_CF_SEC_20230117.xlsx]CF PND'!$BW$47</v>
      </c>
      <c r="J925" s="4" t="s">
        <v>587</v>
      </c>
    </row>
    <row r="926" spans="1:10" x14ac:dyDescent="0.3">
      <c r="A926" s="7" t="s">
        <v>16</v>
      </c>
      <c r="B926" s="7">
        <f t="shared" si="213"/>
        <v>2035</v>
      </c>
      <c r="C926" s="4" t="s">
        <v>37</v>
      </c>
      <c r="D926" s="5" t="s">
        <v>131</v>
      </c>
      <c r="E926" s="10" t="str">
        <f t="shared" si="192"/>
        <v>PND'!</v>
      </c>
      <c r="F926" s="5" t="str">
        <f t="shared" si="212"/>
        <v>C:\Users\jaime.benazar\Quorum Business Solutions\Ecopetrol Prometeo - Documents\Planning Space Implementation\3. Analysis &amp; Design\Design\FC22\DRR Jaime\Neiva CPI\[VAO_DINA TERCIARIOS_CF_SEC_20230117.xlsx]CF PND'!</v>
      </c>
      <c r="G926" s="7" t="s">
        <v>102</v>
      </c>
      <c r="H926" s="4">
        <f t="shared" si="195"/>
        <v>48</v>
      </c>
      <c r="I926" s="4" t="str">
        <f t="shared" si="193"/>
        <v>='C:\Users\jaime.benazar\Quorum Business Solutions\Ecopetrol Prometeo - Documents\Planning Space Implementation\3. Analysis &amp; Design\Design\FC22\DRR Jaime\Neiva CPI\[VAO_DINA TERCIARIOS_CF_SEC_20230117.xlsx]CF PND'!$BW$48</v>
      </c>
      <c r="J926" s="4" t="s">
        <v>588</v>
      </c>
    </row>
    <row r="927" spans="1:10" x14ac:dyDescent="0.3">
      <c r="A927" s="7" t="s">
        <v>16</v>
      </c>
      <c r="B927" s="7">
        <f t="shared" si="213"/>
        <v>2036</v>
      </c>
      <c r="C927" s="4" t="s">
        <v>37</v>
      </c>
      <c r="D927" s="5" t="s">
        <v>131</v>
      </c>
      <c r="E927" s="10" t="str">
        <f t="shared" si="192"/>
        <v>PND'!</v>
      </c>
      <c r="F927" s="5" t="str">
        <f t="shared" si="212"/>
        <v>C:\Users\jaime.benazar\Quorum Business Solutions\Ecopetrol Prometeo - Documents\Planning Space Implementation\3. Analysis &amp; Design\Design\FC22\DRR Jaime\Neiva CPI\[VAO_DINA TERCIARIOS_CF_SEC_20230117.xlsx]CF PND'!</v>
      </c>
      <c r="G927" s="7" t="s">
        <v>102</v>
      </c>
      <c r="H927" s="4">
        <f t="shared" si="195"/>
        <v>49</v>
      </c>
      <c r="I927" s="4" t="str">
        <f t="shared" si="193"/>
        <v>='C:\Users\jaime.benazar\Quorum Business Solutions\Ecopetrol Prometeo - Documents\Planning Space Implementation\3. Analysis &amp; Design\Design\FC22\DRR Jaime\Neiva CPI\[VAO_DINA TERCIARIOS_CF_SEC_20230117.xlsx]CF PND'!$BW$49</v>
      </c>
      <c r="J927" s="4" t="s">
        <v>589</v>
      </c>
    </row>
    <row r="928" spans="1:10" x14ac:dyDescent="0.3">
      <c r="A928" s="7" t="s">
        <v>16</v>
      </c>
      <c r="B928" s="7">
        <f>+B927+1</f>
        <v>2037</v>
      </c>
      <c r="C928" s="4" t="s">
        <v>37</v>
      </c>
      <c r="D928" s="5" t="s">
        <v>131</v>
      </c>
      <c r="E928" s="10" t="str">
        <f t="shared" si="192"/>
        <v>PND'!</v>
      </c>
      <c r="F928" s="5" t="str">
        <f t="shared" si="212"/>
        <v>C:\Users\jaime.benazar\Quorum Business Solutions\Ecopetrol Prometeo - Documents\Planning Space Implementation\3. Analysis &amp; Design\Design\FC22\DRR Jaime\Neiva CPI\[VAO_DINA TERCIARIOS_CF_SEC_20230117.xlsx]CF PND'!</v>
      </c>
      <c r="G928" s="7" t="s">
        <v>102</v>
      </c>
      <c r="H928" s="4">
        <f t="shared" si="195"/>
        <v>50</v>
      </c>
      <c r="I928" s="4" t="str">
        <f t="shared" si="193"/>
        <v>='C:\Users\jaime.benazar\Quorum Business Solutions\Ecopetrol Prometeo - Documents\Planning Space Implementation\3. Analysis &amp; Design\Design\FC22\DRR Jaime\Neiva CPI\[VAO_DINA TERCIARIOS_CF_SEC_20230117.xlsx]CF PND'!$BW$50</v>
      </c>
      <c r="J928" s="4" t="s">
        <v>590</v>
      </c>
    </row>
    <row r="929" spans="1:10" x14ac:dyDescent="0.3">
      <c r="A929" s="7" t="s">
        <v>16</v>
      </c>
      <c r="B929" s="7">
        <f t="shared" ref="B929:B931" si="214">+B928+1</f>
        <v>2038</v>
      </c>
      <c r="C929" s="4" t="s">
        <v>37</v>
      </c>
      <c r="D929" s="5" t="s">
        <v>131</v>
      </c>
      <c r="E929" s="10" t="str">
        <f t="shared" si="192"/>
        <v>PND'!</v>
      </c>
      <c r="F929" s="5" t="str">
        <f t="shared" si="212"/>
        <v>C:\Users\jaime.benazar\Quorum Business Solutions\Ecopetrol Prometeo - Documents\Planning Space Implementation\3. Analysis &amp; Design\Design\FC22\DRR Jaime\Neiva CPI\[VAO_DINA TERCIARIOS_CF_SEC_20230117.xlsx]CF PND'!</v>
      </c>
      <c r="G929" s="7" t="s">
        <v>102</v>
      </c>
      <c r="H929" s="4">
        <f t="shared" si="195"/>
        <v>51</v>
      </c>
      <c r="I929" s="4" t="str">
        <f t="shared" si="193"/>
        <v>='C:\Users\jaime.benazar\Quorum Business Solutions\Ecopetrol Prometeo - Documents\Planning Space Implementation\3. Analysis &amp; Design\Design\FC22\DRR Jaime\Neiva CPI\[VAO_DINA TERCIARIOS_CF_SEC_20230117.xlsx]CF PND'!$BW$51</v>
      </c>
      <c r="J929" s="4" t="s">
        <v>591</v>
      </c>
    </row>
    <row r="930" spans="1:10" x14ac:dyDescent="0.3">
      <c r="A930" s="7" t="s">
        <v>16</v>
      </c>
      <c r="B930" s="7">
        <f t="shared" si="214"/>
        <v>2039</v>
      </c>
      <c r="C930" s="4" t="s">
        <v>37</v>
      </c>
      <c r="D930" s="5" t="s">
        <v>131</v>
      </c>
      <c r="E930" s="10" t="str">
        <f t="shared" si="192"/>
        <v>PND'!</v>
      </c>
      <c r="F930" s="5" t="str">
        <f t="shared" si="212"/>
        <v>C:\Users\jaime.benazar\Quorum Business Solutions\Ecopetrol Prometeo - Documents\Planning Space Implementation\3. Analysis &amp; Design\Design\FC22\DRR Jaime\Neiva CPI\[VAO_DINA TERCIARIOS_CF_SEC_20230117.xlsx]CF PND'!</v>
      </c>
      <c r="G930" s="7" t="s">
        <v>102</v>
      </c>
      <c r="H930" s="4">
        <f t="shared" si="195"/>
        <v>52</v>
      </c>
      <c r="I930" s="4" t="str">
        <f t="shared" si="193"/>
        <v>='C:\Users\jaime.benazar\Quorum Business Solutions\Ecopetrol Prometeo - Documents\Planning Space Implementation\3. Analysis &amp; Design\Design\FC22\DRR Jaime\Neiva CPI\[VAO_DINA TERCIARIOS_CF_SEC_20230117.xlsx]CF PND'!$BW$52</v>
      </c>
      <c r="J930" s="4" t="s">
        <v>592</v>
      </c>
    </row>
    <row r="931" spans="1:10" x14ac:dyDescent="0.3">
      <c r="A931" s="7" t="s">
        <v>16</v>
      </c>
      <c r="B931" s="7">
        <f t="shared" si="214"/>
        <v>2040</v>
      </c>
      <c r="C931" s="4" t="s">
        <v>37</v>
      </c>
      <c r="D931" s="5" t="s">
        <v>131</v>
      </c>
      <c r="E931" s="10" t="str">
        <f t="shared" si="192"/>
        <v>PND'!</v>
      </c>
      <c r="F931" s="5" t="str">
        <f t="shared" si="212"/>
        <v>C:\Users\jaime.benazar\Quorum Business Solutions\Ecopetrol Prometeo - Documents\Planning Space Implementation\3. Analysis &amp; Design\Design\FC22\DRR Jaime\Neiva CPI\[VAO_DINA TERCIARIOS_CF_SEC_20230117.xlsx]CF PND'!</v>
      </c>
      <c r="G931" s="7" t="s">
        <v>102</v>
      </c>
      <c r="H931" s="4">
        <f t="shared" si="195"/>
        <v>53</v>
      </c>
      <c r="I931" s="4" t="str">
        <f t="shared" si="193"/>
        <v>='C:\Users\jaime.benazar\Quorum Business Solutions\Ecopetrol Prometeo - Documents\Planning Space Implementation\3. Analysis &amp; Design\Design\FC22\DRR Jaime\Neiva CPI\[VAO_DINA TERCIARIOS_CF_SEC_20230117.xlsx]CF PND'!$BW$53</v>
      </c>
      <c r="J931" s="4" t="s">
        <v>593</v>
      </c>
    </row>
    <row r="932" spans="1:10" x14ac:dyDescent="0.3">
      <c r="A932" s="7" t="s">
        <v>16</v>
      </c>
      <c r="B932" s="7">
        <f>+B931+1</f>
        <v>2041</v>
      </c>
      <c r="C932" s="4" t="s">
        <v>37</v>
      </c>
      <c r="D932" s="5" t="s">
        <v>131</v>
      </c>
      <c r="E932" s="10" t="str">
        <f t="shared" si="192"/>
        <v>PND'!</v>
      </c>
      <c r="F932" s="5" t="str">
        <f t="shared" si="212"/>
        <v>C:\Users\jaime.benazar\Quorum Business Solutions\Ecopetrol Prometeo - Documents\Planning Space Implementation\3. Analysis &amp; Design\Design\FC22\DRR Jaime\Neiva CPI\[VAO_DINA TERCIARIOS_CF_SEC_20230117.xlsx]CF PND'!</v>
      </c>
      <c r="G932" s="7" t="s">
        <v>102</v>
      </c>
      <c r="H932" s="4">
        <f t="shared" si="195"/>
        <v>54</v>
      </c>
      <c r="I932" s="4" t="str">
        <f t="shared" si="193"/>
        <v>='C:\Users\jaime.benazar\Quorum Business Solutions\Ecopetrol Prometeo - Documents\Planning Space Implementation\3. Analysis &amp; Design\Design\FC22\DRR Jaime\Neiva CPI\[VAO_DINA TERCIARIOS_CF_SEC_20230117.xlsx]CF PND'!$BW$54</v>
      </c>
      <c r="J932" s="4" t="s">
        <v>594</v>
      </c>
    </row>
    <row r="933" spans="1:10" x14ac:dyDescent="0.3">
      <c r="A933" s="7" t="s">
        <v>16</v>
      </c>
      <c r="B933" s="7">
        <f t="shared" ref="B933:B934" si="215">+B932+1</f>
        <v>2042</v>
      </c>
      <c r="C933" s="4" t="s">
        <v>37</v>
      </c>
      <c r="D933" s="5" t="s">
        <v>131</v>
      </c>
      <c r="E933" s="10" t="str">
        <f t="shared" ref="E933:E1238" si="216">_xlfn.CONCAT(A933,"'!")</f>
        <v>PND'!</v>
      </c>
      <c r="F933" s="5" t="str">
        <f t="shared" si="212"/>
        <v>C:\Users\jaime.benazar\Quorum Business Solutions\Ecopetrol Prometeo - Documents\Planning Space Implementation\3. Analysis &amp; Design\Design\FC22\DRR Jaime\Neiva CPI\[VAO_DINA TERCIARIOS_CF_SEC_20230117.xlsx]CF PND'!</v>
      </c>
      <c r="G933" s="7" t="s">
        <v>102</v>
      </c>
      <c r="H933" s="4">
        <f t="shared" si="195"/>
        <v>55</v>
      </c>
      <c r="I933" s="4" t="str">
        <f t="shared" ref="I933:I1238" si="217">_xlfn.CONCAT("='",F933:H933)</f>
        <v>='C:\Users\jaime.benazar\Quorum Business Solutions\Ecopetrol Prometeo - Documents\Planning Space Implementation\3. Analysis &amp; Design\Design\FC22\DRR Jaime\Neiva CPI\[VAO_DINA TERCIARIOS_CF_SEC_20230117.xlsx]CF PND'!$BW$55</v>
      </c>
      <c r="J933" s="4" t="s">
        <v>595</v>
      </c>
    </row>
    <row r="934" spans="1:10" x14ac:dyDescent="0.3">
      <c r="A934" s="7" t="s">
        <v>16</v>
      </c>
      <c r="B934" s="7">
        <f t="shared" si="215"/>
        <v>2043</v>
      </c>
      <c r="C934" s="4" t="s">
        <v>37</v>
      </c>
      <c r="D934" s="5" t="s">
        <v>131</v>
      </c>
      <c r="E934" s="10" t="str">
        <f t="shared" si="216"/>
        <v>PND'!</v>
      </c>
      <c r="F934" s="5" t="str">
        <f t="shared" si="212"/>
        <v>C:\Users\jaime.benazar\Quorum Business Solutions\Ecopetrol Prometeo - Documents\Planning Space Implementation\3. Analysis &amp; Design\Design\FC22\DRR Jaime\Neiva CPI\[VAO_DINA TERCIARIOS_CF_SEC_20230117.xlsx]CF PND'!</v>
      </c>
      <c r="G934" s="7" t="s">
        <v>102</v>
      </c>
      <c r="H934" s="4">
        <f t="shared" ref="H934:H1238" si="218">IF(A934&lt;&gt;A933,36,H933+1)</f>
        <v>56</v>
      </c>
      <c r="I934" s="4" t="str">
        <f t="shared" si="217"/>
        <v>='C:\Users\jaime.benazar\Quorum Business Solutions\Ecopetrol Prometeo - Documents\Planning Space Implementation\3. Analysis &amp; Design\Design\FC22\DRR Jaime\Neiva CPI\[VAO_DINA TERCIARIOS_CF_SEC_20230117.xlsx]CF PND'!$BW$56</v>
      </c>
      <c r="J934" s="4" t="s">
        <v>596</v>
      </c>
    </row>
    <row r="935" spans="1:10" x14ac:dyDescent="0.3">
      <c r="A935" s="7" t="s">
        <v>16</v>
      </c>
      <c r="B935" s="7">
        <f>+B934+1</f>
        <v>2044</v>
      </c>
      <c r="C935" s="4" t="s">
        <v>37</v>
      </c>
      <c r="D935" s="5" t="s">
        <v>131</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Jaime\Neiva CPI\[VAO_DINA TERCIARIOS_CF_SEC_20230117.xlsx]CF PND'!</v>
      </c>
      <c r="G935" s="7" t="s">
        <v>102</v>
      </c>
      <c r="H935" s="4">
        <f t="shared" ref="H935:H950" si="221">IF(A935&lt;&gt;A934,36,H934+1)</f>
        <v>57</v>
      </c>
      <c r="I935" s="4" t="str">
        <f t="shared" ref="I935:I950" si="222">_xlfn.CONCAT("='",F935:H935)</f>
        <v>='C:\Users\jaime.benazar\Quorum Business Solutions\Ecopetrol Prometeo - Documents\Planning Space Implementation\3. Analysis &amp; Design\Design\FC22\DRR Jaime\Neiva CPI\[VAO_DINA TERCIARIOS_CF_SEC_20230117.xlsx]CF PND'!$BW$57</v>
      </c>
      <c r="J935" s="4" t="s">
        <v>597</v>
      </c>
    </row>
    <row r="936" spans="1:10" x14ac:dyDescent="0.3">
      <c r="A936" s="7" t="s">
        <v>16</v>
      </c>
      <c r="B936" s="7">
        <f t="shared" ref="B936:B950" si="223">+B935+1</f>
        <v>2045</v>
      </c>
      <c r="C936" s="4" t="s">
        <v>37</v>
      </c>
      <c r="D936" s="5" t="s">
        <v>131</v>
      </c>
      <c r="E936" s="10" t="str">
        <f t="shared" si="219"/>
        <v>PND'!</v>
      </c>
      <c r="F936" s="5" t="str">
        <f t="shared" si="220"/>
        <v>C:\Users\jaime.benazar\Quorum Business Solutions\Ecopetrol Prometeo - Documents\Planning Space Implementation\3. Analysis &amp; Design\Design\FC22\DRR Jaime\Neiva CPI\[VAO_DINA TERCIARIOS_CF_SEC_20230117.xlsx]CF PND'!</v>
      </c>
      <c r="G936" s="7" t="s">
        <v>102</v>
      </c>
      <c r="H936" s="4">
        <f t="shared" si="221"/>
        <v>58</v>
      </c>
      <c r="I936" s="4" t="str">
        <f t="shared" si="222"/>
        <v>='C:\Users\jaime.benazar\Quorum Business Solutions\Ecopetrol Prometeo - Documents\Planning Space Implementation\3. Analysis &amp; Design\Design\FC22\DRR Jaime\Neiva CPI\[VAO_DINA TERCIARIOS_CF_SEC_20230117.xlsx]CF PND'!$BW$58</v>
      </c>
      <c r="J936" s="4" t="s">
        <v>598</v>
      </c>
    </row>
    <row r="937" spans="1:10" x14ac:dyDescent="0.3">
      <c r="A937" s="7" t="s">
        <v>16</v>
      </c>
      <c r="B937" s="7">
        <f t="shared" si="223"/>
        <v>2046</v>
      </c>
      <c r="C937" s="4" t="s">
        <v>37</v>
      </c>
      <c r="D937" s="5" t="s">
        <v>131</v>
      </c>
      <c r="E937" s="10" t="str">
        <f t="shared" si="219"/>
        <v>PND'!</v>
      </c>
      <c r="F937" s="5" t="str">
        <f t="shared" si="220"/>
        <v>C:\Users\jaime.benazar\Quorum Business Solutions\Ecopetrol Prometeo - Documents\Planning Space Implementation\3. Analysis &amp; Design\Design\FC22\DRR Jaime\Neiva CPI\[VAO_DINA TERCIARIOS_CF_SEC_20230117.xlsx]CF PND'!</v>
      </c>
      <c r="G937" s="7" t="s">
        <v>102</v>
      </c>
      <c r="H937" s="4">
        <f t="shared" si="221"/>
        <v>59</v>
      </c>
      <c r="I937" s="4" t="str">
        <f t="shared" si="222"/>
        <v>='C:\Users\jaime.benazar\Quorum Business Solutions\Ecopetrol Prometeo - Documents\Planning Space Implementation\3. Analysis &amp; Design\Design\FC22\DRR Jaime\Neiva CPI\[VAO_DINA TERCIARIOS_CF_SEC_20230117.xlsx]CF PND'!$BW$59</v>
      </c>
      <c r="J937" s="4" t="s">
        <v>599</v>
      </c>
    </row>
    <row r="938" spans="1:10" x14ac:dyDescent="0.3">
      <c r="A938" s="7" t="s">
        <v>16</v>
      </c>
      <c r="B938" s="7">
        <f t="shared" si="223"/>
        <v>2047</v>
      </c>
      <c r="C938" s="4" t="s">
        <v>37</v>
      </c>
      <c r="D938" s="5" t="s">
        <v>131</v>
      </c>
      <c r="E938" s="10" t="str">
        <f t="shared" si="219"/>
        <v>PND'!</v>
      </c>
      <c r="F938" s="5" t="str">
        <f t="shared" si="220"/>
        <v>C:\Users\jaime.benazar\Quorum Business Solutions\Ecopetrol Prometeo - Documents\Planning Space Implementation\3. Analysis &amp; Design\Design\FC22\DRR Jaime\Neiva CPI\[VAO_DINA TERCIARIOS_CF_SEC_20230117.xlsx]CF PND'!</v>
      </c>
      <c r="G938" s="7" t="s">
        <v>102</v>
      </c>
      <c r="H938" s="4">
        <f t="shared" si="221"/>
        <v>60</v>
      </c>
      <c r="I938" s="4" t="str">
        <f t="shared" si="222"/>
        <v>='C:\Users\jaime.benazar\Quorum Business Solutions\Ecopetrol Prometeo - Documents\Planning Space Implementation\3. Analysis &amp; Design\Design\FC22\DRR Jaime\Neiva CPI\[VAO_DINA TERCIARIOS_CF_SEC_20230117.xlsx]CF PND'!$BW$60</v>
      </c>
      <c r="J938" s="4" t="s">
        <v>600</v>
      </c>
    </row>
    <row r="939" spans="1:10" x14ac:dyDescent="0.3">
      <c r="A939" s="7" t="s">
        <v>16</v>
      </c>
      <c r="B939" s="7">
        <f t="shared" si="223"/>
        <v>2048</v>
      </c>
      <c r="C939" s="4" t="s">
        <v>37</v>
      </c>
      <c r="D939" s="5" t="s">
        <v>131</v>
      </c>
      <c r="E939" s="10" t="str">
        <f t="shared" si="219"/>
        <v>PND'!</v>
      </c>
      <c r="F939" s="5" t="str">
        <f t="shared" si="220"/>
        <v>C:\Users\jaime.benazar\Quorum Business Solutions\Ecopetrol Prometeo - Documents\Planning Space Implementation\3. Analysis &amp; Design\Design\FC22\DRR Jaime\Neiva CPI\[VAO_DINA TERCIARIOS_CF_SEC_20230117.xlsx]CF PND'!</v>
      </c>
      <c r="G939" s="7" t="s">
        <v>102</v>
      </c>
      <c r="H939" s="4">
        <f t="shared" si="221"/>
        <v>61</v>
      </c>
      <c r="I939" s="4" t="str">
        <f t="shared" si="222"/>
        <v>='C:\Users\jaime.benazar\Quorum Business Solutions\Ecopetrol Prometeo - Documents\Planning Space Implementation\3. Analysis &amp; Design\Design\FC22\DRR Jaime\Neiva CPI\[VAO_DINA TERCIARIOS_CF_SEC_20230117.xlsx]CF PND'!$BW$61</v>
      </c>
      <c r="J939" s="4" t="s">
        <v>601</v>
      </c>
    </row>
    <row r="940" spans="1:10" x14ac:dyDescent="0.3">
      <c r="A940" s="7" t="s">
        <v>16</v>
      </c>
      <c r="B940" s="7">
        <f t="shared" si="223"/>
        <v>2049</v>
      </c>
      <c r="C940" s="4" t="s">
        <v>37</v>
      </c>
      <c r="D940" s="5" t="s">
        <v>131</v>
      </c>
      <c r="E940" s="10" t="str">
        <f t="shared" si="219"/>
        <v>PND'!</v>
      </c>
      <c r="F940" s="5" t="str">
        <f t="shared" si="220"/>
        <v>C:\Users\jaime.benazar\Quorum Business Solutions\Ecopetrol Prometeo - Documents\Planning Space Implementation\3. Analysis &amp; Design\Design\FC22\DRR Jaime\Neiva CPI\[VAO_DINA TERCIARIOS_CF_SEC_20230117.xlsx]CF PND'!</v>
      </c>
      <c r="G940" s="7" t="s">
        <v>102</v>
      </c>
      <c r="H940" s="4">
        <f t="shared" si="221"/>
        <v>62</v>
      </c>
      <c r="I940" s="4" t="str">
        <f t="shared" si="222"/>
        <v>='C:\Users\jaime.benazar\Quorum Business Solutions\Ecopetrol Prometeo - Documents\Planning Space Implementation\3. Analysis &amp; Design\Design\FC22\DRR Jaime\Neiva CPI\[VAO_DINA TERCIARIOS_CF_SEC_20230117.xlsx]CF PND'!$BW$62</v>
      </c>
      <c r="J940" s="4" t="s">
        <v>602</v>
      </c>
    </row>
    <row r="941" spans="1:10" x14ac:dyDescent="0.3">
      <c r="A941" s="7" t="s">
        <v>16</v>
      </c>
      <c r="B941" s="7">
        <f t="shared" si="223"/>
        <v>2050</v>
      </c>
      <c r="C941" s="4" t="s">
        <v>37</v>
      </c>
      <c r="D941" s="5" t="s">
        <v>131</v>
      </c>
      <c r="E941" s="10" t="str">
        <f t="shared" si="219"/>
        <v>PND'!</v>
      </c>
      <c r="F941" s="5" t="str">
        <f t="shared" si="220"/>
        <v>C:\Users\jaime.benazar\Quorum Business Solutions\Ecopetrol Prometeo - Documents\Planning Space Implementation\3. Analysis &amp; Design\Design\FC22\DRR Jaime\Neiva CPI\[VAO_DINA TERCIARIOS_CF_SEC_20230117.xlsx]CF PND'!</v>
      </c>
      <c r="G941" s="7" t="s">
        <v>102</v>
      </c>
      <c r="H941" s="4">
        <f t="shared" si="221"/>
        <v>63</v>
      </c>
      <c r="I941" s="4" t="str">
        <f t="shared" si="222"/>
        <v>='C:\Users\jaime.benazar\Quorum Business Solutions\Ecopetrol Prometeo - Documents\Planning Space Implementation\3. Analysis &amp; Design\Design\FC22\DRR Jaime\Neiva CPI\[VAO_DINA TERCIARIOS_CF_SEC_20230117.xlsx]CF PND'!$BW$63</v>
      </c>
      <c r="J941" s="4" t="s">
        <v>603</v>
      </c>
    </row>
    <row r="942" spans="1:10" x14ac:dyDescent="0.3">
      <c r="A942" s="7" t="s">
        <v>16</v>
      </c>
      <c r="B942" s="7">
        <f t="shared" si="223"/>
        <v>2051</v>
      </c>
      <c r="C942" s="4" t="s">
        <v>37</v>
      </c>
      <c r="D942" s="5" t="s">
        <v>131</v>
      </c>
      <c r="E942" s="10" t="str">
        <f t="shared" si="219"/>
        <v>PND'!</v>
      </c>
      <c r="F942" s="5" t="str">
        <f t="shared" si="220"/>
        <v>C:\Users\jaime.benazar\Quorum Business Solutions\Ecopetrol Prometeo - Documents\Planning Space Implementation\3. Analysis &amp; Design\Design\FC22\DRR Jaime\Neiva CPI\[VAO_DINA TERCIARIOS_CF_SEC_20230117.xlsx]CF PND'!</v>
      </c>
      <c r="G942" s="7" t="s">
        <v>102</v>
      </c>
      <c r="H942" s="4">
        <f t="shared" si="221"/>
        <v>64</v>
      </c>
      <c r="I942" s="4" t="str">
        <f t="shared" si="222"/>
        <v>='C:\Users\jaime.benazar\Quorum Business Solutions\Ecopetrol Prometeo - Documents\Planning Space Implementation\3. Analysis &amp; Design\Design\FC22\DRR Jaime\Neiva CPI\[VAO_DINA TERCIARIOS_CF_SEC_20230117.xlsx]CF PND'!$BW$64</v>
      </c>
      <c r="J942" s="4" t="s">
        <v>604</v>
      </c>
    </row>
    <row r="943" spans="1:10" x14ac:dyDescent="0.3">
      <c r="A943" s="7" t="s">
        <v>16</v>
      </c>
      <c r="B943" s="7">
        <f t="shared" si="223"/>
        <v>2052</v>
      </c>
      <c r="C943" s="4" t="s">
        <v>37</v>
      </c>
      <c r="D943" s="5" t="s">
        <v>131</v>
      </c>
      <c r="E943" s="10" t="str">
        <f t="shared" si="219"/>
        <v>PND'!</v>
      </c>
      <c r="F943" s="5" t="str">
        <f t="shared" si="220"/>
        <v>C:\Users\jaime.benazar\Quorum Business Solutions\Ecopetrol Prometeo - Documents\Planning Space Implementation\3. Analysis &amp; Design\Design\FC22\DRR Jaime\Neiva CPI\[VAO_DINA TERCIARIOS_CF_SEC_20230117.xlsx]CF PND'!</v>
      </c>
      <c r="G943" s="7" t="s">
        <v>102</v>
      </c>
      <c r="H943" s="4">
        <f t="shared" si="221"/>
        <v>65</v>
      </c>
      <c r="I943" s="4" t="str">
        <f t="shared" si="222"/>
        <v>='C:\Users\jaime.benazar\Quorum Business Solutions\Ecopetrol Prometeo - Documents\Planning Space Implementation\3. Analysis &amp; Design\Design\FC22\DRR Jaime\Neiva CPI\[VAO_DINA TERCIARIOS_CF_SEC_20230117.xlsx]CF PND'!$BW$65</v>
      </c>
      <c r="J943" s="4" t="s">
        <v>605</v>
      </c>
    </row>
    <row r="944" spans="1:10" x14ac:dyDescent="0.3">
      <c r="A944" s="7" t="s">
        <v>16</v>
      </c>
      <c r="B944" s="7">
        <f t="shared" si="223"/>
        <v>2053</v>
      </c>
      <c r="C944" s="4" t="s">
        <v>37</v>
      </c>
      <c r="D944" s="5" t="s">
        <v>131</v>
      </c>
      <c r="E944" s="10" t="str">
        <f t="shared" si="219"/>
        <v>PND'!</v>
      </c>
      <c r="F944" s="5" t="str">
        <f t="shared" si="220"/>
        <v>C:\Users\jaime.benazar\Quorum Business Solutions\Ecopetrol Prometeo - Documents\Planning Space Implementation\3. Analysis &amp; Design\Design\FC22\DRR Jaime\Neiva CPI\[VAO_DINA TERCIARIOS_CF_SEC_20230117.xlsx]CF PND'!</v>
      </c>
      <c r="G944" s="7" t="s">
        <v>102</v>
      </c>
      <c r="H944" s="4">
        <f t="shared" si="221"/>
        <v>66</v>
      </c>
      <c r="I944" s="4" t="str">
        <f t="shared" si="222"/>
        <v>='C:\Users\jaime.benazar\Quorum Business Solutions\Ecopetrol Prometeo - Documents\Planning Space Implementation\3. Analysis &amp; Design\Design\FC22\DRR Jaime\Neiva CPI\[VAO_DINA TERCIARIOS_CF_SEC_20230117.xlsx]CF PND'!$BW$66</v>
      </c>
      <c r="J944" s="4" t="s">
        <v>606</v>
      </c>
    </row>
    <row r="945" spans="1:10" x14ac:dyDescent="0.3">
      <c r="A945" s="7" t="s">
        <v>16</v>
      </c>
      <c r="B945" s="7">
        <f t="shared" si="223"/>
        <v>2054</v>
      </c>
      <c r="C945" s="4" t="s">
        <v>37</v>
      </c>
      <c r="D945" s="5" t="s">
        <v>131</v>
      </c>
      <c r="E945" s="10" t="str">
        <f t="shared" si="219"/>
        <v>PND'!</v>
      </c>
      <c r="F945" s="5" t="str">
        <f t="shared" si="220"/>
        <v>C:\Users\jaime.benazar\Quorum Business Solutions\Ecopetrol Prometeo - Documents\Planning Space Implementation\3. Analysis &amp; Design\Design\FC22\DRR Jaime\Neiva CPI\[VAO_DINA TERCIARIOS_CF_SEC_20230117.xlsx]CF PND'!</v>
      </c>
      <c r="G945" s="7" t="s">
        <v>102</v>
      </c>
      <c r="H945" s="4">
        <f t="shared" si="221"/>
        <v>67</v>
      </c>
      <c r="I945" s="4" t="str">
        <f t="shared" si="222"/>
        <v>='C:\Users\jaime.benazar\Quorum Business Solutions\Ecopetrol Prometeo - Documents\Planning Space Implementation\3. Analysis &amp; Design\Design\FC22\DRR Jaime\Neiva CPI\[VAO_DINA TERCIARIOS_CF_SEC_20230117.xlsx]CF PND'!$BW$67</v>
      </c>
      <c r="J945" s="4" t="s">
        <v>607</v>
      </c>
    </row>
    <row r="946" spans="1:10" x14ac:dyDescent="0.3">
      <c r="A946" s="7" t="s">
        <v>16</v>
      </c>
      <c r="B946" s="7">
        <f t="shared" si="223"/>
        <v>2055</v>
      </c>
      <c r="C946" s="4" t="s">
        <v>37</v>
      </c>
      <c r="D946" s="5" t="s">
        <v>131</v>
      </c>
      <c r="E946" s="10" t="str">
        <f t="shared" si="219"/>
        <v>PND'!</v>
      </c>
      <c r="F946" s="5" t="str">
        <f t="shared" si="220"/>
        <v>C:\Users\jaime.benazar\Quorum Business Solutions\Ecopetrol Prometeo - Documents\Planning Space Implementation\3. Analysis &amp; Design\Design\FC22\DRR Jaime\Neiva CPI\[VAO_DINA TERCIARIOS_CF_SEC_20230117.xlsx]CF PND'!</v>
      </c>
      <c r="G946" s="7" t="s">
        <v>102</v>
      </c>
      <c r="H946" s="4">
        <f t="shared" si="221"/>
        <v>68</v>
      </c>
      <c r="I946" s="4" t="str">
        <f t="shared" si="222"/>
        <v>='C:\Users\jaime.benazar\Quorum Business Solutions\Ecopetrol Prometeo - Documents\Planning Space Implementation\3. Analysis &amp; Design\Design\FC22\DRR Jaime\Neiva CPI\[VAO_DINA TERCIARIOS_CF_SEC_20230117.xlsx]CF PND'!$BW$68</v>
      </c>
      <c r="J946" s="4" t="s">
        <v>608</v>
      </c>
    </row>
    <row r="947" spans="1:10" x14ac:dyDescent="0.3">
      <c r="A947" s="7" t="s">
        <v>16</v>
      </c>
      <c r="B947" s="7">
        <f t="shared" si="223"/>
        <v>2056</v>
      </c>
      <c r="C947" s="4" t="s">
        <v>37</v>
      </c>
      <c r="D947" s="5" t="s">
        <v>131</v>
      </c>
      <c r="E947" s="10" t="str">
        <f t="shared" si="219"/>
        <v>PND'!</v>
      </c>
      <c r="F947" s="5" t="str">
        <f t="shared" si="220"/>
        <v>C:\Users\jaime.benazar\Quorum Business Solutions\Ecopetrol Prometeo - Documents\Planning Space Implementation\3. Analysis &amp; Design\Design\FC22\DRR Jaime\Neiva CPI\[VAO_DINA TERCIARIOS_CF_SEC_20230117.xlsx]CF PND'!</v>
      </c>
      <c r="G947" s="7" t="s">
        <v>102</v>
      </c>
      <c r="H947" s="4">
        <f t="shared" si="221"/>
        <v>69</v>
      </c>
      <c r="I947" s="4" t="str">
        <f t="shared" si="222"/>
        <v>='C:\Users\jaime.benazar\Quorum Business Solutions\Ecopetrol Prometeo - Documents\Planning Space Implementation\3. Analysis &amp; Design\Design\FC22\DRR Jaime\Neiva CPI\[VAO_DINA TERCIARIOS_CF_SEC_20230117.xlsx]CF PND'!$BW$69</v>
      </c>
      <c r="J947" s="4" t="s">
        <v>609</v>
      </c>
    </row>
    <row r="948" spans="1:10" x14ac:dyDescent="0.3">
      <c r="A948" s="7" t="s">
        <v>16</v>
      </c>
      <c r="B948" s="7">
        <f t="shared" si="223"/>
        <v>2057</v>
      </c>
      <c r="C948" s="4" t="s">
        <v>37</v>
      </c>
      <c r="D948" s="5" t="s">
        <v>131</v>
      </c>
      <c r="E948" s="10" t="str">
        <f t="shared" si="219"/>
        <v>PND'!</v>
      </c>
      <c r="F948" s="5" t="str">
        <f t="shared" si="220"/>
        <v>C:\Users\jaime.benazar\Quorum Business Solutions\Ecopetrol Prometeo - Documents\Planning Space Implementation\3. Analysis &amp; Design\Design\FC22\DRR Jaime\Neiva CPI\[VAO_DINA TERCIARIOS_CF_SEC_20230117.xlsx]CF PND'!</v>
      </c>
      <c r="G948" s="7" t="s">
        <v>102</v>
      </c>
      <c r="H948" s="4">
        <f t="shared" si="221"/>
        <v>70</v>
      </c>
      <c r="I948" s="4" t="str">
        <f t="shared" si="222"/>
        <v>='C:\Users\jaime.benazar\Quorum Business Solutions\Ecopetrol Prometeo - Documents\Planning Space Implementation\3. Analysis &amp; Design\Design\FC22\DRR Jaime\Neiva CPI\[VAO_DINA TERCIARIOS_CF_SEC_20230117.xlsx]CF PND'!$BW$70</v>
      </c>
      <c r="J948" s="4" t="s">
        <v>610</v>
      </c>
    </row>
    <row r="949" spans="1:10" x14ac:dyDescent="0.3">
      <c r="A949" s="7" t="s">
        <v>16</v>
      </c>
      <c r="B949" s="7">
        <f t="shared" si="223"/>
        <v>2058</v>
      </c>
      <c r="C949" s="4" t="s">
        <v>37</v>
      </c>
      <c r="D949" s="5" t="s">
        <v>131</v>
      </c>
      <c r="E949" s="10" t="str">
        <f t="shared" si="219"/>
        <v>PND'!</v>
      </c>
      <c r="F949" s="5" t="str">
        <f t="shared" si="220"/>
        <v>C:\Users\jaime.benazar\Quorum Business Solutions\Ecopetrol Prometeo - Documents\Planning Space Implementation\3. Analysis &amp; Design\Design\FC22\DRR Jaime\Neiva CPI\[VAO_DINA TERCIARIOS_CF_SEC_20230117.xlsx]CF PND'!</v>
      </c>
      <c r="G949" s="7" t="s">
        <v>102</v>
      </c>
      <c r="H949" s="4">
        <f t="shared" si="221"/>
        <v>71</v>
      </c>
      <c r="I949" s="4" t="str">
        <f t="shared" si="222"/>
        <v>='C:\Users\jaime.benazar\Quorum Business Solutions\Ecopetrol Prometeo - Documents\Planning Space Implementation\3. Analysis &amp; Design\Design\FC22\DRR Jaime\Neiva CPI\[VAO_DINA TERCIARIOS_CF_SEC_20230117.xlsx]CF PND'!$BW$71</v>
      </c>
      <c r="J949" s="4" t="s">
        <v>611</v>
      </c>
    </row>
    <row r="950" spans="1:10" x14ac:dyDescent="0.3">
      <c r="A950" s="7" t="s">
        <v>16</v>
      </c>
      <c r="B950" s="7">
        <f t="shared" si="223"/>
        <v>2059</v>
      </c>
      <c r="C950" s="4" t="s">
        <v>37</v>
      </c>
      <c r="D950" s="5" t="s">
        <v>131</v>
      </c>
      <c r="E950" s="10" t="str">
        <f t="shared" si="219"/>
        <v>PND'!</v>
      </c>
      <c r="F950" s="5" t="str">
        <f t="shared" si="220"/>
        <v>C:\Users\jaime.benazar\Quorum Business Solutions\Ecopetrol Prometeo - Documents\Planning Space Implementation\3. Analysis &amp; Design\Design\FC22\DRR Jaime\Neiva CPI\[VAO_DINA TERCIARIOS_CF_SEC_20230117.xlsx]CF PND'!</v>
      </c>
      <c r="G950" s="7" t="s">
        <v>102</v>
      </c>
      <c r="H950" s="4">
        <f t="shared" si="221"/>
        <v>72</v>
      </c>
      <c r="I950" s="4" t="str">
        <f t="shared" si="222"/>
        <v>='C:\Users\jaime.benazar\Quorum Business Solutions\Ecopetrol Prometeo - Documents\Planning Space Implementation\3. Analysis &amp; Design\Design\FC22\DRR Jaime\Neiva CPI\[VAO_DINA TERCIARIOS_CF_SEC_20230117.xlsx]CF PND'!$BW$72</v>
      </c>
      <c r="J950" s="4" t="s">
        <v>612</v>
      </c>
    </row>
    <row r="951" spans="1:10" x14ac:dyDescent="0.3">
      <c r="A951" s="7" t="s">
        <v>26</v>
      </c>
      <c r="B951" s="7"/>
      <c r="C951" s="4" t="s">
        <v>37</v>
      </c>
      <c r="D951" s="5"/>
      <c r="E951" s="10"/>
      <c r="F951" s="5" t="str">
        <f t="shared" si="212"/>
        <v xml:space="preserve"> </v>
      </c>
      <c r="G951" s="7"/>
      <c r="H951" s="4"/>
      <c r="I951" s="4"/>
      <c r="J951" s="4"/>
    </row>
    <row r="952" spans="1:10" x14ac:dyDescent="0.3">
      <c r="A952" s="7" t="s">
        <v>17</v>
      </c>
      <c r="B952" s="7">
        <v>2023</v>
      </c>
      <c r="C952" s="4" t="s">
        <v>37</v>
      </c>
      <c r="D952" s="5" t="s">
        <v>131</v>
      </c>
      <c r="E952" s="10" t="str">
        <f t="shared" ref="E952:E972" si="224">_xlfn.CONCAT(A952,"'!")</f>
        <v>PRBDP'!</v>
      </c>
      <c r="F952" s="5" t="str">
        <f t="shared" si="212"/>
        <v>C:\Users\jaime.benazar\Quorum Business Solutions\Ecopetrol Prometeo - Documents\Planning Space Implementation\3. Analysis &amp; Design\Design\FC22\DRR Jaime\Neiva CPI\[VAO_DINA TERCIARIOS_CF_SEC_20230117.xlsx]CF PRBDP'!</v>
      </c>
      <c r="G952" s="7" t="s">
        <v>102</v>
      </c>
      <c r="H952" s="4"/>
      <c r="I952" s="4"/>
      <c r="J952" s="4"/>
    </row>
    <row r="953" spans="1:10" x14ac:dyDescent="0.3">
      <c r="A953" s="7" t="s">
        <v>17</v>
      </c>
      <c r="B953" s="7">
        <f>+B952+1</f>
        <v>2024</v>
      </c>
      <c r="C953" s="4" t="s">
        <v>37</v>
      </c>
      <c r="D953" s="5" t="s">
        <v>131</v>
      </c>
      <c r="E953" s="10" t="str">
        <f t="shared" si="224"/>
        <v>PRBDP'!</v>
      </c>
      <c r="F953" s="5" t="str">
        <f t="shared" si="212"/>
        <v>C:\Users\jaime.benazar\Quorum Business Solutions\Ecopetrol Prometeo - Documents\Planning Space Implementation\3. Analysis &amp; Design\Design\FC22\DRR Jaime\Neiva CPI\[VAO_DINA TERCIARIOS_CF_SEC_20230117.xlsx]CF PRBDP'!</v>
      </c>
      <c r="G953" s="7" t="s">
        <v>102</v>
      </c>
      <c r="H953" s="4"/>
      <c r="I953" s="4"/>
      <c r="J953" s="4"/>
    </row>
    <row r="954" spans="1:10" x14ac:dyDescent="0.3">
      <c r="A954" s="7" t="s">
        <v>17</v>
      </c>
      <c r="B954" s="7">
        <f t="shared" ref="B954:B965" si="225">+B953+1</f>
        <v>2025</v>
      </c>
      <c r="C954" s="4" t="s">
        <v>37</v>
      </c>
      <c r="D954" s="5" t="s">
        <v>131</v>
      </c>
      <c r="E954" s="10" t="str">
        <f t="shared" si="224"/>
        <v>PRBDP'!</v>
      </c>
      <c r="F954" s="5" t="str">
        <f t="shared" si="212"/>
        <v>C:\Users\jaime.benazar\Quorum Business Solutions\Ecopetrol Prometeo - Documents\Planning Space Implementation\3. Analysis &amp; Design\Design\FC22\DRR Jaime\Neiva CPI\[VAO_DINA TERCIARIOS_CF_SEC_20230117.xlsx]CF PRBDP'!</v>
      </c>
      <c r="G954" s="7" t="s">
        <v>102</v>
      </c>
      <c r="H954" s="4"/>
      <c r="I954" s="4"/>
      <c r="J954" s="4"/>
    </row>
    <row r="955" spans="1:10" x14ac:dyDescent="0.3">
      <c r="A955" s="7" t="s">
        <v>17</v>
      </c>
      <c r="B955" s="7">
        <f t="shared" si="225"/>
        <v>2026</v>
      </c>
      <c r="C955" s="4" t="s">
        <v>37</v>
      </c>
      <c r="D955" s="5" t="s">
        <v>131</v>
      </c>
      <c r="E955" s="10" t="str">
        <f t="shared" si="224"/>
        <v>PRBDP'!</v>
      </c>
      <c r="F955" s="5" t="str">
        <f t="shared" si="212"/>
        <v>C:\Users\jaime.benazar\Quorum Business Solutions\Ecopetrol Prometeo - Documents\Planning Space Implementation\3. Analysis &amp; Design\Design\FC22\DRR Jaime\Neiva CPI\[VAO_DINA TERCIARIOS_CF_SEC_20230117.xlsx]CF PRBDP'!</v>
      </c>
      <c r="G955" s="7" t="s">
        <v>102</v>
      </c>
      <c r="H955" s="4"/>
      <c r="I955" s="4"/>
      <c r="J955" s="4"/>
    </row>
    <row r="956" spans="1:10" x14ac:dyDescent="0.3">
      <c r="A956" s="7" t="s">
        <v>17</v>
      </c>
      <c r="B956" s="7">
        <f t="shared" si="225"/>
        <v>2027</v>
      </c>
      <c r="C956" s="4" t="s">
        <v>37</v>
      </c>
      <c r="D956" s="5" t="s">
        <v>131</v>
      </c>
      <c r="E956" s="10" t="str">
        <f t="shared" si="224"/>
        <v>PRBDP'!</v>
      </c>
      <c r="F956" s="5" t="str">
        <f t="shared" si="212"/>
        <v>C:\Users\jaime.benazar\Quorum Business Solutions\Ecopetrol Prometeo - Documents\Planning Space Implementation\3. Analysis &amp; Design\Design\FC22\DRR Jaime\Neiva CPI\[VAO_DINA TERCIARIOS_CF_SEC_20230117.xlsx]CF PRBDP'!</v>
      </c>
      <c r="G956" s="7" t="s">
        <v>102</v>
      </c>
      <c r="H956" s="4"/>
      <c r="I956" s="4"/>
      <c r="J956" s="4"/>
    </row>
    <row r="957" spans="1:10" x14ac:dyDescent="0.3">
      <c r="A957" s="7" t="s">
        <v>17</v>
      </c>
      <c r="B957" s="7">
        <f t="shared" si="225"/>
        <v>2028</v>
      </c>
      <c r="C957" s="4" t="s">
        <v>37</v>
      </c>
      <c r="D957" s="5" t="s">
        <v>131</v>
      </c>
      <c r="E957" s="10" t="str">
        <f t="shared" si="224"/>
        <v>PRBDP'!</v>
      </c>
      <c r="F957" s="5" t="str">
        <f t="shared" si="212"/>
        <v>C:\Users\jaime.benazar\Quorum Business Solutions\Ecopetrol Prometeo - Documents\Planning Space Implementation\3. Analysis &amp; Design\Design\FC22\DRR Jaime\Neiva CPI\[VAO_DINA TERCIARIOS_CF_SEC_20230117.xlsx]CF PRBDP'!</v>
      </c>
      <c r="G957" s="7" t="s">
        <v>102</v>
      </c>
      <c r="H957" s="4"/>
      <c r="I957" s="4"/>
      <c r="J957" s="4"/>
    </row>
    <row r="958" spans="1:10" x14ac:dyDescent="0.3">
      <c r="A958" s="7" t="s">
        <v>17</v>
      </c>
      <c r="B958" s="7">
        <f t="shared" si="225"/>
        <v>2029</v>
      </c>
      <c r="C958" s="4" t="s">
        <v>37</v>
      </c>
      <c r="D958" s="5" t="s">
        <v>131</v>
      </c>
      <c r="E958" s="10" t="str">
        <f t="shared" si="224"/>
        <v>PRBDP'!</v>
      </c>
      <c r="F958" s="5" t="str">
        <f t="shared" si="212"/>
        <v>C:\Users\jaime.benazar\Quorum Business Solutions\Ecopetrol Prometeo - Documents\Planning Space Implementation\3. Analysis &amp; Design\Design\FC22\DRR Jaime\Neiva CPI\[VAO_DINA TERCIARIOS_CF_SEC_20230117.xlsx]CF PRBDP'!</v>
      </c>
      <c r="G958" s="7" t="s">
        <v>102</v>
      </c>
      <c r="H958" s="4"/>
      <c r="I958" s="4"/>
      <c r="J958" s="4"/>
    </row>
    <row r="959" spans="1:10" x14ac:dyDescent="0.3">
      <c r="A959" s="7" t="s">
        <v>17</v>
      </c>
      <c r="B959" s="7">
        <f t="shared" si="225"/>
        <v>2030</v>
      </c>
      <c r="C959" s="4" t="s">
        <v>37</v>
      </c>
      <c r="D959" s="5" t="s">
        <v>131</v>
      </c>
      <c r="E959" s="10" t="str">
        <f t="shared" si="224"/>
        <v>PRBDP'!</v>
      </c>
      <c r="F959" s="5" t="str">
        <f t="shared" si="212"/>
        <v>C:\Users\jaime.benazar\Quorum Business Solutions\Ecopetrol Prometeo - Documents\Planning Space Implementation\3. Analysis &amp; Design\Design\FC22\DRR Jaime\Neiva CPI\[VAO_DINA TERCIARIOS_CF_SEC_20230117.xlsx]CF PRBDP'!</v>
      </c>
      <c r="G959" s="7" t="s">
        <v>102</v>
      </c>
      <c r="H959" s="4"/>
      <c r="I959" s="4"/>
      <c r="J959" s="4"/>
    </row>
    <row r="960" spans="1:10" x14ac:dyDescent="0.3">
      <c r="A960" s="7" t="s">
        <v>17</v>
      </c>
      <c r="B960" s="7">
        <f t="shared" si="225"/>
        <v>2031</v>
      </c>
      <c r="C960" s="4" t="s">
        <v>37</v>
      </c>
      <c r="D960" s="5" t="s">
        <v>131</v>
      </c>
      <c r="E960" s="10" t="str">
        <f t="shared" si="224"/>
        <v>PRBDP'!</v>
      </c>
      <c r="F960" s="5" t="str">
        <f t="shared" si="212"/>
        <v>C:\Users\jaime.benazar\Quorum Business Solutions\Ecopetrol Prometeo - Documents\Planning Space Implementation\3. Analysis &amp; Design\Design\FC22\DRR Jaime\Neiva CPI\[VAO_DINA TERCIARIOS_CF_SEC_20230117.xlsx]CF PRBDP'!</v>
      </c>
      <c r="G960" s="7" t="s">
        <v>102</v>
      </c>
      <c r="H960" s="4"/>
      <c r="I960" s="4"/>
      <c r="J960" s="4"/>
    </row>
    <row r="961" spans="1:10" x14ac:dyDescent="0.3">
      <c r="A961" s="7" t="s">
        <v>17</v>
      </c>
      <c r="B961" s="7">
        <f t="shared" si="225"/>
        <v>2032</v>
      </c>
      <c r="C961" s="4" t="s">
        <v>37</v>
      </c>
      <c r="D961" s="5" t="s">
        <v>131</v>
      </c>
      <c r="E961" s="10" t="str">
        <f t="shared" si="224"/>
        <v>PRBDP'!</v>
      </c>
      <c r="F961" s="5" t="str">
        <f t="shared" si="212"/>
        <v>C:\Users\jaime.benazar\Quorum Business Solutions\Ecopetrol Prometeo - Documents\Planning Space Implementation\3. Analysis &amp; Design\Design\FC22\DRR Jaime\Neiva CPI\[VAO_DINA TERCIARIOS_CF_SEC_20230117.xlsx]CF PRBDP'!</v>
      </c>
      <c r="G961" s="7" t="s">
        <v>102</v>
      </c>
      <c r="H961" s="4"/>
      <c r="I961" s="4"/>
      <c r="J961" s="4"/>
    </row>
    <row r="962" spans="1:10" x14ac:dyDescent="0.3">
      <c r="A962" s="7" t="s">
        <v>17</v>
      </c>
      <c r="B962" s="7">
        <f t="shared" si="225"/>
        <v>2033</v>
      </c>
      <c r="C962" s="4" t="s">
        <v>37</v>
      </c>
      <c r="D962" s="5" t="s">
        <v>131</v>
      </c>
      <c r="E962" s="10" t="str">
        <f t="shared" si="224"/>
        <v>PRBDP'!</v>
      </c>
      <c r="F962" s="5" t="str">
        <f t="shared" si="212"/>
        <v>C:\Users\jaime.benazar\Quorum Business Solutions\Ecopetrol Prometeo - Documents\Planning Space Implementation\3. Analysis &amp; Design\Design\FC22\DRR Jaime\Neiva CPI\[VAO_DINA TERCIARIOS_CF_SEC_20230117.xlsx]CF PRBDP'!</v>
      </c>
      <c r="G962" s="7" t="s">
        <v>102</v>
      </c>
      <c r="H962" s="4"/>
      <c r="I962" s="4"/>
      <c r="J962" s="4"/>
    </row>
    <row r="963" spans="1:10" x14ac:dyDescent="0.3">
      <c r="A963" s="7" t="s">
        <v>17</v>
      </c>
      <c r="B963" s="7">
        <f t="shared" si="225"/>
        <v>2034</v>
      </c>
      <c r="C963" s="4" t="s">
        <v>37</v>
      </c>
      <c r="D963" s="5" t="s">
        <v>131</v>
      </c>
      <c r="E963" s="10" t="str">
        <f t="shared" si="224"/>
        <v>PRBDP'!</v>
      </c>
      <c r="F963" s="5" t="str">
        <f t="shared" si="212"/>
        <v>C:\Users\jaime.benazar\Quorum Business Solutions\Ecopetrol Prometeo - Documents\Planning Space Implementation\3. Analysis &amp; Design\Design\FC22\DRR Jaime\Neiva CPI\[VAO_DINA TERCIARIOS_CF_SEC_20230117.xlsx]CF PRBDP'!</v>
      </c>
      <c r="G963" s="7" t="s">
        <v>102</v>
      </c>
      <c r="H963" s="4"/>
      <c r="I963" s="4"/>
      <c r="J963" s="4"/>
    </row>
    <row r="964" spans="1:10" x14ac:dyDescent="0.3">
      <c r="A964" s="7" t="s">
        <v>17</v>
      </c>
      <c r="B964" s="7">
        <f t="shared" si="225"/>
        <v>2035</v>
      </c>
      <c r="C964" s="4" t="s">
        <v>37</v>
      </c>
      <c r="D964" s="5" t="s">
        <v>131</v>
      </c>
      <c r="E964" s="10" t="str">
        <f t="shared" si="224"/>
        <v>PRBDP'!</v>
      </c>
      <c r="F964" s="5" t="str">
        <f t="shared" si="212"/>
        <v>C:\Users\jaime.benazar\Quorum Business Solutions\Ecopetrol Prometeo - Documents\Planning Space Implementation\3. Analysis &amp; Design\Design\FC22\DRR Jaime\Neiva CPI\[VAO_DINA TERCIARIOS_CF_SEC_20230117.xlsx]CF PRBDP'!</v>
      </c>
      <c r="G964" s="7" t="s">
        <v>102</v>
      </c>
      <c r="H964" s="4"/>
      <c r="I964" s="4"/>
      <c r="J964" s="4"/>
    </row>
    <row r="965" spans="1:10" x14ac:dyDescent="0.3">
      <c r="A965" s="7" t="s">
        <v>17</v>
      </c>
      <c r="B965" s="7">
        <f t="shared" si="225"/>
        <v>2036</v>
      </c>
      <c r="C965" s="4" t="s">
        <v>37</v>
      </c>
      <c r="D965" s="5" t="s">
        <v>131</v>
      </c>
      <c r="E965" s="10" t="str">
        <f t="shared" si="224"/>
        <v>PRBDP'!</v>
      </c>
      <c r="F965" s="5" t="str">
        <f t="shared" si="212"/>
        <v>C:\Users\jaime.benazar\Quorum Business Solutions\Ecopetrol Prometeo - Documents\Planning Space Implementation\3. Analysis &amp; Design\Design\FC22\DRR Jaime\Neiva CPI\[VAO_DINA TERCIARIOS_CF_SEC_20230117.xlsx]CF PRBDP'!</v>
      </c>
      <c r="G965" s="7" t="s">
        <v>102</v>
      </c>
      <c r="H965" s="4"/>
      <c r="I965" s="4"/>
      <c r="J965" s="4"/>
    </row>
    <row r="966" spans="1:10" x14ac:dyDescent="0.3">
      <c r="A966" s="7" t="s">
        <v>17</v>
      </c>
      <c r="B966" s="7">
        <f>+B965+1</f>
        <v>2037</v>
      </c>
      <c r="C966" s="4" t="s">
        <v>37</v>
      </c>
      <c r="D966" s="5" t="s">
        <v>131</v>
      </c>
      <c r="E966" s="10" t="str">
        <f t="shared" si="224"/>
        <v>PRBDP'!</v>
      </c>
      <c r="F966" s="5" t="str">
        <f t="shared" si="212"/>
        <v>C:\Users\jaime.benazar\Quorum Business Solutions\Ecopetrol Prometeo - Documents\Planning Space Implementation\3. Analysis &amp; Design\Design\FC22\DRR Jaime\Neiva CPI\[VAO_DINA TERCIARIOS_CF_SEC_20230117.xlsx]CF PRBDP'!</v>
      </c>
      <c r="G966" s="7" t="s">
        <v>102</v>
      </c>
      <c r="H966" s="4"/>
      <c r="I966" s="4"/>
      <c r="J966" s="4"/>
    </row>
    <row r="967" spans="1:10" x14ac:dyDescent="0.3">
      <c r="A967" s="7" t="s">
        <v>17</v>
      </c>
      <c r="B967" s="7">
        <f t="shared" ref="B967:B969" si="226">+B966+1</f>
        <v>2038</v>
      </c>
      <c r="C967" s="4" t="s">
        <v>37</v>
      </c>
      <c r="D967" s="5" t="s">
        <v>131</v>
      </c>
      <c r="E967" s="10" t="str">
        <f t="shared" si="224"/>
        <v>PRBDP'!</v>
      </c>
      <c r="F967" s="5" t="str">
        <f t="shared" si="212"/>
        <v>C:\Users\jaime.benazar\Quorum Business Solutions\Ecopetrol Prometeo - Documents\Planning Space Implementation\3. Analysis &amp; Design\Design\FC22\DRR Jaime\Neiva CPI\[VAO_DINA TERCIARIOS_CF_SEC_20230117.xlsx]CF PRBDP'!</v>
      </c>
      <c r="G967" s="7" t="s">
        <v>102</v>
      </c>
      <c r="H967" s="4"/>
      <c r="I967" s="4"/>
      <c r="J967" s="4"/>
    </row>
    <row r="968" spans="1:10" x14ac:dyDescent="0.3">
      <c r="A968" s="7" t="s">
        <v>17</v>
      </c>
      <c r="B968" s="7">
        <f t="shared" si="226"/>
        <v>2039</v>
      </c>
      <c r="C968" s="4" t="s">
        <v>37</v>
      </c>
      <c r="D968" s="5" t="s">
        <v>131</v>
      </c>
      <c r="E968" s="10" t="str">
        <f t="shared" si="224"/>
        <v>PRBDP'!</v>
      </c>
      <c r="F968" s="5" t="str">
        <f t="shared" si="212"/>
        <v>C:\Users\jaime.benazar\Quorum Business Solutions\Ecopetrol Prometeo - Documents\Planning Space Implementation\3. Analysis &amp; Design\Design\FC22\DRR Jaime\Neiva CPI\[VAO_DINA TERCIARIOS_CF_SEC_20230117.xlsx]CF PRBDP'!</v>
      </c>
      <c r="G968" s="7" t="s">
        <v>102</v>
      </c>
      <c r="H968" s="4"/>
      <c r="I968" s="4"/>
      <c r="J968" s="4"/>
    </row>
    <row r="969" spans="1:10" x14ac:dyDescent="0.3">
      <c r="A969" s="7" t="s">
        <v>17</v>
      </c>
      <c r="B969" s="7">
        <f t="shared" si="226"/>
        <v>2040</v>
      </c>
      <c r="C969" s="4" t="s">
        <v>37</v>
      </c>
      <c r="D969" s="5" t="s">
        <v>131</v>
      </c>
      <c r="E969" s="10" t="str">
        <f t="shared" si="224"/>
        <v>PRBDP'!</v>
      </c>
      <c r="F969" s="5" t="str">
        <f t="shared" si="212"/>
        <v>C:\Users\jaime.benazar\Quorum Business Solutions\Ecopetrol Prometeo - Documents\Planning Space Implementation\3. Analysis &amp; Design\Design\FC22\DRR Jaime\Neiva CPI\[VAO_DINA TERCIARIOS_CF_SEC_20230117.xlsx]CF PRBDP'!</v>
      </c>
      <c r="G969" s="7" t="s">
        <v>102</v>
      </c>
      <c r="H969" s="4"/>
      <c r="I969" s="4"/>
      <c r="J969" s="4"/>
    </row>
    <row r="970" spans="1:10" x14ac:dyDescent="0.3">
      <c r="A970" s="7" t="s">
        <v>17</v>
      </c>
      <c r="B970" s="7">
        <f>+B969+1</f>
        <v>2041</v>
      </c>
      <c r="C970" s="4" t="s">
        <v>37</v>
      </c>
      <c r="D970" s="5" t="s">
        <v>131</v>
      </c>
      <c r="E970" s="10" t="str">
        <f t="shared" si="224"/>
        <v>PRBDP'!</v>
      </c>
      <c r="F970" s="5" t="str">
        <f t="shared" si="212"/>
        <v>C:\Users\jaime.benazar\Quorum Business Solutions\Ecopetrol Prometeo - Documents\Planning Space Implementation\3. Analysis &amp; Design\Design\FC22\DRR Jaime\Neiva CPI\[VAO_DINA TERCIARIOS_CF_SEC_20230117.xlsx]CF PRBDP'!</v>
      </c>
      <c r="G970" s="7" t="s">
        <v>102</v>
      </c>
      <c r="H970" s="4"/>
      <c r="I970" s="4"/>
      <c r="J970" s="4"/>
    </row>
    <row r="971" spans="1:10" x14ac:dyDescent="0.3">
      <c r="A971" s="7" t="s">
        <v>17</v>
      </c>
      <c r="B971" s="7">
        <f t="shared" ref="B971:B972" si="227">+B970+1</f>
        <v>2042</v>
      </c>
      <c r="C971" s="4" t="s">
        <v>37</v>
      </c>
      <c r="D971" s="5" t="s">
        <v>131</v>
      </c>
      <c r="E971" s="10" t="str">
        <f t="shared" si="224"/>
        <v>PRBDP'!</v>
      </c>
      <c r="F971" s="5" t="str">
        <f t="shared" si="212"/>
        <v>C:\Users\jaime.benazar\Quorum Business Solutions\Ecopetrol Prometeo - Documents\Planning Space Implementation\3. Analysis &amp; Design\Design\FC22\DRR Jaime\Neiva CPI\[VAO_DINA TERCIARIOS_CF_SEC_20230117.xlsx]CF PRBDP'!</v>
      </c>
      <c r="G971" s="7" t="s">
        <v>102</v>
      </c>
      <c r="H971" s="4"/>
      <c r="I971" s="4"/>
      <c r="J971" s="4"/>
    </row>
    <row r="972" spans="1:10" x14ac:dyDescent="0.3">
      <c r="A972" s="7" t="s">
        <v>17</v>
      </c>
      <c r="B972" s="7">
        <f t="shared" si="227"/>
        <v>2043</v>
      </c>
      <c r="C972" s="4" t="s">
        <v>37</v>
      </c>
      <c r="D972" s="5" t="s">
        <v>131</v>
      </c>
      <c r="E972" s="10" t="str">
        <f t="shared" si="224"/>
        <v>PRBDP'!</v>
      </c>
      <c r="F972" s="5" t="str">
        <f t="shared" si="212"/>
        <v>C:\Users\jaime.benazar\Quorum Business Solutions\Ecopetrol Prometeo - Documents\Planning Space Implementation\3. Analysis &amp; Design\Design\FC22\DRR Jaime\Neiva CPI\[VAO_DINA TERCIARIOS_CF_SEC_20230117.xlsx]CF PRBDP'!</v>
      </c>
      <c r="G972" s="7" t="s">
        <v>102</v>
      </c>
      <c r="H972" s="4"/>
      <c r="I972" s="4"/>
      <c r="J972" s="4"/>
    </row>
    <row r="973" spans="1:10" x14ac:dyDescent="0.3">
      <c r="A973" s="7" t="s">
        <v>17</v>
      </c>
      <c r="B973" s="7">
        <f>+B972+1</f>
        <v>2044</v>
      </c>
      <c r="C973" s="4" t="s">
        <v>37</v>
      </c>
      <c r="D973" s="5" t="s">
        <v>131</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Jaime\Neiva CPI\[VAO_DINA TERCIARIOS_CF_SEC_20230117.xlsx]CF PRBDP'!</v>
      </c>
      <c r="G973" s="7" t="s">
        <v>102</v>
      </c>
      <c r="H973" s="4"/>
      <c r="I973" s="4"/>
      <c r="J973" s="4"/>
    </row>
    <row r="974" spans="1:10" x14ac:dyDescent="0.3">
      <c r="A974" s="7" t="s">
        <v>17</v>
      </c>
      <c r="B974" s="7">
        <f t="shared" ref="B974:B988" si="230">+B973+1</f>
        <v>2045</v>
      </c>
      <c r="C974" s="4" t="s">
        <v>37</v>
      </c>
      <c r="D974" s="5" t="s">
        <v>131</v>
      </c>
      <c r="E974" s="10" t="str">
        <f t="shared" si="228"/>
        <v>PRBDP'!</v>
      </c>
      <c r="F974" s="5" t="str">
        <f t="shared" si="229"/>
        <v>C:\Users\jaime.benazar\Quorum Business Solutions\Ecopetrol Prometeo - Documents\Planning Space Implementation\3. Analysis &amp; Design\Design\FC22\DRR Jaime\Neiva CPI\[VAO_DINA TERCIARIOS_CF_SEC_20230117.xlsx]CF PRBDP'!</v>
      </c>
      <c r="G974" s="7" t="s">
        <v>102</v>
      </c>
      <c r="H974" s="4"/>
      <c r="I974" s="4"/>
      <c r="J974" s="4"/>
    </row>
    <row r="975" spans="1:10" x14ac:dyDescent="0.3">
      <c r="A975" s="7" t="s">
        <v>17</v>
      </c>
      <c r="B975" s="7">
        <f t="shared" si="230"/>
        <v>2046</v>
      </c>
      <c r="C975" s="4" t="s">
        <v>37</v>
      </c>
      <c r="D975" s="5" t="s">
        <v>131</v>
      </c>
      <c r="E975" s="10" t="str">
        <f t="shared" si="228"/>
        <v>PRBDP'!</v>
      </c>
      <c r="F975" s="5" t="str">
        <f t="shared" si="229"/>
        <v>C:\Users\jaime.benazar\Quorum Business Solutions\Ecopetrol Prometeo - Documents\Planning Space Implementation\3. Analysis &amp; Design\Design\FC22\DRR Jaime\Neiva CPI\[VAO_DINA TERCIARIOS_CF_SEC_20230117.xlsx]CF PRBDP'!</v>
      </c>
      <c r="G975" s="7" t="s">
        <v>102</v>
      </c>
      <c r="H975" s="4"/>
      <c r="I975" s="4"/>
      <c r="J975" s="4"/>
    </row>
    <row r="976" spans="1:10" x14ac:dyDescent="0.3">
      <c r="A976" s="7" t="s">
        <v>17</v>
      </c>
      <c r="B976" s="7">
        <f t="shared" si="230"/>
        <v>2047</v>
      </c>
      <c r="C976" s="4" t="s">
        <v>37</v>
      </c>
      <c r="D976" s="5" t="s">
        <v>131</v>
      </c>
      <c r="E976" s="10" t="str">
        <f t="shared" si="228"/>
        <v>PRBDP'!</v>
      </c>
      <c r="F976" s="5" t="str">
        <f t="shared" si="229"/>
        <v>C:\Users\jaime.benazar\Quorum Business Solutions\Ecopetrol Prometeo - Documents\Planning Space Implementation\3. Analysis &amp; Design\Design\FC22\DRR Jaime\Neiva CPI\[VAO_DINA TERCIARIOS_CF_SEC_20230117.xlsx]CF PRBDP'!</v>
      </c>
      <c r="G976" s="7" t="s">
        <v>102</v>
      </c>
      <c r="H976" s="4"/>
      <c r="I976" s="4"/>
      <c r="J976" s="4"/>
    </row>
    <row r="977" spans="1:10" x14ac:dyDescent="0.3">
      <c r="A977" s="7" t="s">
        <v>17</v>
      </c>
      <c r="B977" s="7">
        <f t="shared" si="230"/>
        <v>2048</v>
      </c>
      <c r="C977" s="4" t="s">
        <v>37</v>
      </c>
      <c r="D977" s="5" t="s">
        <v>131</v>
      </c>
      <c r="E977" s="10" t="str">
        <f t="shared" si="228"/>
        <v>PRBDP'!</v>
      </c>
      <c r="F977" s="5" t="str">
        <f t="shared" si="229"/>
        <v>C:\Users\jaime.benazar\Quorum Business Solutions\Ecopetrol Prometeo - Documents\Planning Space Implementation\3. Analysis &amp; Design\Design\FC22\DRR Jaime\Neiva CPI\[VAO_DINA TERCIARIOS_CF_SEC_20230117.xlsx]CF PRBDP'!</v>
      </c>
      <c r="G977" s="7" t="s">
        <v>102</v>
      </c>
      <c r="H977" s="4"/>
      <c r="I977" s="4"/>
      <c r="J977" s="4"/>
    </row>
    <row r="978" spans="1:10" x14ac:dyDescent="0.3">
      <c r="A978" s="7" t="s">
        <v>17</v>
      </c>
      <c r="B978" s="7">
        <f t="shared" si="230"/>
        <v>2049</v>
      </c>
      <c r="C978" s="4" t="s">
        <v>37</v>
      </c>
      <c r="D978" s="5" t="s">
        <v>131</v>
      </c>
      <c r="E978" s="10" t="str">
        <f t="shared" si="228"/>
        <v>PRBDP'!</v>
      </c>
      <c r="F978" s="5" t="str">
        <f t="shared" si="229"/>
        <v>C:\Users\jaime.benazar\Quorum Business Solutions\Ecopetrol Prometeo - Documents\Planning Space Implementation\3. Analysis &amp; Design\Design\FC22\DRR Jaime\Neiva CPI\[VAO_DINA TERCIARIOS_CF_SEC_20230117.xlsx]CF PRBDP'!</v>
      </c>
      <c r="G978" s="7" t="s">
        <v>102</v>
      </c>
      <c r="H978" s="4"/>
      <c r="I978" s="4"/>
      <c r="J978" s="4"/>
    </row>
    <row r="979" spans="1:10" x14ac:dyDescent="0.3">
      <c r="A979" s="7" t="s">
        <v>17</v>
      </c>
      <c r="B979" s="7">
        <f t="shared" si="230"/>
        <v>2050</v>
      </c>
      <c r="C979" s="4" t="s">
        <v>37</v>
      </c>
      <c r="D979" s="5" t="s">
        <v>131</v>
      </c>
      <c r="E979" s="10" t="str">
        <f t="shared" si="228"/>
        <v>PRBDP'!</v>
      </c>
      <c r="F979" s="5" t="str">
        <f t="shared" si="229"/>
        <v>C:\Users\jaime.benazar\Quorum Business Solutions\Ecopetrol Prometeo - Documents\Planning Space Implementation\3. Analysis &amp; Design\Design\FC22\DRR Jaime\Neiva CPI\[VAO_DINA TERCIARIOS_CF_SEC_20230117.xlsx]CF PRBDP'!</v>
      </c>
      <c r="G979" s="7" t="s">
        <v>102</v>
      </c>
      <c r="H979" s="4"/>
      <c r="I979" s="4"/>
      <c r="J979" s="4"/>
    </row>
    <row r="980" spans="1:10" x14ac:dyDescent="0.3">
      <c r="A980" s="7" t="s">
        <v>17</v>
      </c>
      <c r="B980" s="7">
        <f t="shared" si="230"/>
        <v>2051</v>
      </c>
      <c r="C980" s="4" t="s">
        <v>37</v>
      </c>
      <c r="D980" s="5" t="s">
        <v>131</v>
      </c>
      <c r="E980" s="10" t="str">
        <f t="shared" si="228"/>
        <v>PRBDP'!</v>
      </c>
      <c r="F980" s="5" t="str">
        <f t="shared" si="229"/>
        <v>C:\Users\jaime.benazar\Quorum Business Solutions\Ecopetrol Prometeo - Documents\Planning Space Implementation\3. Analysis &amp; Design\Design\FC22\DRR Jaime\Neiva CPI\[VAO_DINA TERCIARIOS_CF_SEC_20230117.xlsx]CF PRBDP'!</v>
      </c>
      <c r="G980" s="7" t="s">
        <v>102</v>
      </c>
      <c r="H980" s="4"/>
      <c r="I980" s="4"/>
      <c r="J980" s="4"/>
    </row>
    <row r="981" spans="1:10" x14ac:dyDescent="0.3">
      <c r="A981" s="7" t="s">
        <v>17</v>
      </c>
      <c r="B981" s="7">
        <f t="shared" si="230"/>
        <v>2052</v>
      </c>
      <c r="C981" s="4" t="s">
        <v>37</v>
      </c>
      <c r="D981" s="5" t="s">
        <v>131</v>
      </c>
      <c r="E981" s="10" t="str">
        <f t="shared" si="228"/>
        <v>PRBDP'!</v>
      </c>
      <c r="F981" s="5" t="str">
        <f t="shared" si="229"/>
        <v>C:\Users\jaime.benazar\Quorum Business Solutions\Ecopetrol Prometeo - Documents\Planning Space Implementation\3. Analysis &amp; Design\Design\FC22\DRR Jaime\Neiva CPI\[VAO_DINA TERCIARIOS_CF_SEC_20230117.xlsx]CF PRBDP'!</v>
      </c>
      <c r="G981" s="7" t="s">
        <v>102</v>
      </c>
      <c r="H981" s="4"/>
      <c r="I981" s="4"/>
      <c r="J981" s="4"/>
    </row>
    <row r="982" spans="1:10" x14ac:dyDescent="0.3">
      <c r="A982" s="7" t="s">
        <v>17</v>
      </c>
      <c r="B982" s="7">
        <f t="shared" si="230"/>
        <v>2053</v>
      </c>
      <c r="C982" s="4" t="s">
        <v>37</v>
      </c>
      <c r="D982" s="5" t="s">
        <v>131</v>
      </c>
      <c r="E982" s="10" t="str">
        <f t="shared" si="228"/>
        <v>PRBDP'!</v>
      </c>
      <c r="F982" s="5" t="str">
        <f t="shared" si="229"/>
        <v>C:\Users\jaime.benazar\Quorum Business Solutions\Ecopetrol Prometeo - Documents\Planning Space Implementation\3. Analysis &amp; Design\Design\FC22\DRR Jaime\Neiva CPI\[VAO_DINA TERCIARIOS_CF_SEC_20230117.xlsx]CF PRBDP'!</v>
      </c>
      <c r="G982" s="7" t="s">
        <v>102</v>
      </c>
      <c r="H982" s="4"/>
      <c r="I982" s="4"/>
      <c r="J982" s="4"/>
    </row>
    <row r="983" spans="1:10" x14ac:dyDescent="0.3">
      <c r="A983" s="7" t="s">
        <v>17</v>
      </c>
      <c r="B983" s="7">
        <f t="shared" si="230"/>
        <v>2054</v>
      </c>
      <c r="C983" s="4" t="s">
        <v>37</v>
      </c>
      <c r="D983" s="5" t="s">
        <v>131</v>
      </c>
      <c r="E983" s="10" t="str">
        <f t="shared" si="228"/>
        <v>PRBDP'!</v>
      </c>
      <c r="F983" s="5" t="str">
        <f t="shared" si="229"/>
        <v>C:\Users\jaime.benazar\Quorum Business Solutions\Ecopetrol Prometeo - Documents\Planning Space Implementation\3. Analysis &amp; Design\Design\FC22\DRR Jaime\Neiva CPI\[VAO_DINA TERCIARIOS_CF_SEC_20230117.xlsx]CF PRBDP'!</v>
      </c>
      <c r="G983" s="7" t="s">
        <v>102</v>
      </c>
      <c r="H983" s="4"/>
      <c r="I983" s="4"/>
      <c r="J983" s="4"/>
    </row>
    <row r="984" spans="1:10" x14ac:dyDescent="0.3">
      <c r="A984" s="7" t="s">
        <v>17</v>
      </c>
      <c r="B984" s="7">
        <f t="shared" si="230"/>
        <v>2055</v>
      </c>
      <c r="C984" s="4" t="s">
        <v>37</v>
      </c>
      <c r="D984" s="5" t="s">
        <v>131</v>
      </c>
      <c r="E984" s="10" t="str">
        <f t="shared" si="228"/>
        <v>PRBDP'!</v>
      </c>
      <c r="F984" s="5" t="str">
        <f t="shared" si="229"/>
        <v>C:\Users\jaime.benazar\Quorum Business Solutions\Ecopetrol Prometeo - Documents\Planning Space Implementation\3. Analysis &amp; Design\Design\FC22\DRR Jaime\Neiva CPI\[VAO_DINA TERCIARIOS_CF_SEC_20230117.xlsx]CF PRBDP'!</v>
      </c>
      <c r="G984" s="7" t="s">
        <v>102</v>
      </c>
      <c r="H984" s="4"/>
      <c r="I984" s="4"/>
      <c r="J984" s="4"/>
    </row>
    <row r="985" spans="1:10" x14ac:dyDescent="0.3">
      <c r="A985" s="7" t="s">
        <v>17</v>
      </c>
      <c r="B985" s="7">
        <f t="shared" si="230"/>
        <v>2056</v>
      </c>
      <c r="C985" s="4" t="s">
        <v>37</v>
      </c>
      <c r="D985" s="5" t="s">
        <v>131</v>
      </c>
      <c r="E985" s="10" t="str">
        <f t="shared" si="228"/>
        <v>PRBDP'!</v>
      </c>
      <c r="F985" s="5" t="str">
        <f t="shared" si="229"/>
        <v>C:\Users\jaime.benazar\Quorum Business Solutions\Ecopetrol Prometeo - Documents\Planning Space Implementation\3. Analysis &amp; Design\Design\FC22\DRR Jaime\Neiva CPI\[VAO_DINA TERCIARIOS_CF_SEC_20230117.xlsx]CF PRBDP'!</v>
      </c>
      <c r="G985" s="7" t="s">
        <v>102</v>
      </c>
      <c r="H985" s="4"/>
      <c r="I985" s="4"/>
      <c r="J985" s="4"/>
    </row>
    <row r="986" spans="1:10" x14ac:dyDescent="0.3">
      <c r="A986" s="7" t="s">
        <v>17</v>
      </c>
      <c r="B986" s="7">
        <f t="shared" si="230"/>
        <v>2057</v>
      </c>
      <c r="C986" s="4" t="s">
        <v>37</v>
      </c>
      <c r="D986" s="5" t="s">
        <v>131</v>
      </c>
      <c r="E986" s="10" t="str">
        <f t="shared" si="228"/>
        <v>PRBDP'!</v>
      </c>
      <c r="F986" s="5" t="str">
        <f t="shared" si="229"/>
        <v>C:\Users\jaime.benazar\Quorum Business Solutions\Ecopetrol Prometeo - Documents\Planning Space Implementation\3. Analysis &amp; Design\Design\FC22\DRR Jaime\Neiva CPI\[VAO_DINA TERCIARIOS_CF_SEC_20230117.xlsx]CF PRBDP'!</v>
      </c>
      <c r="G986" s="7" t="s">
        <v>102</v>
      </c>
      <c r="H986" s="4"/>
      <c r="I986" s="4"/>
      <c r="J986" s="4"/>
    </row>
    <row r="987" spans="1:10" x14ac:dyDescent="0.3">
      <c r="A987" s="7" t="s">
        <v>17</v>
      </c>
      <c r="B987" s="7">
        <f t="shared" si="230"/>
        <v>2058</v>
      </c>
      <c r="C987" s="4" t="s">
        <v>37</v>
      </c>
      <c r="D987" s="5" t="s">
        <v>131</v>
      </c>
      <c r="E987" s="10" t="str">
        <f t="shared" si="228"/>
        <v>PRBDP'!</v>
      </c>
      <c r="F987" s="5" t="str">
        <f t="shared" si="229"/>
        <v>C:\Users\jaime.benazar\Quorum Business Solutions\Ecopetrol Prometeo - Documents\Planning Space Implementation\3. Analysis &amp; Design\Design\FC22\DRR Jaime\Neiva CPI\[VAO_DINA TERCIARIOS_CF_SEC_20230117.xlsx]CF PRBDP'!</v>
      </c>
      <c r="G987" s="7" t="s">
        <v>102</v>
      </c>
      <c r="H987" s="4"/>
      <c r="I987" s="4"/>
      <c r="J987" s="4"/>
    </row>
    <row r="988" spans="1:10" x14ac:dyDescent="0.3">
      <c r="A988" s="7" t="s">
        <v>17</v>
      </c>
      <c r="B988" s="7">
        <f t="shared" si="230"/>
        <v>2059</v>
      </c>
      <c r="C988" s="4" t="s">
        <v>37</v>
      </c>
      <c r="D988" s="5" t="s">
        <v>131</v>
      </c>
      <c r="E988" s="10" t="str">
        <f t="shared" si="228"/>
        <v>PRBDP'!</v>
      </c>
      <c r="F988" s="5" t="str">
        <f t="shared" si="229"/>
        <v>C:\Users\jaime.benazar\Quorum Business Solutions\Ecopetrol Prometeo - Documents\Planning Space Implementation\3. Analysis &amp; Design\Design\FC22\DRR Jaime\Neiva CPI\[VAO_DINA TERCIARIOS_CF_SEC_20230117.xlsx]CF PRBDP'!</v>
      </c>
      <c r="G988" s="7" t="s">
        <v>102</v>
      </c>
      <c r="H988" s="4"/>
      <c r="I988" s="4"/>
      <c r="J988" s="4"/>
    </row>
    <row r="989" spans="1:10" x14ac:dyDescent="0.3">
      <c r="A989" s="7" t="s">
        <v>26</v>
      </c>
      <c r="B989" s="7"/>
      <c r="C989" s="4" t="s">
        <v>37</v>
      </c>
      <c r="D989" s="5"/>
      <c r="E989" s="10"/>
      <c r="F989" s="5" t="str">
        <f t="shared" si="212"/>
        <v xml:space="preserve"> </v>
      </c>
      <c r="G989" s="7"/>
      <c r="H989" s="4"/>
      <c r="I989" s="4"/>
      <c r="J989" s="4"/>
    </row>
    <row r="990" spans="1:10" x14ac:dyDescent="0.3">
      <c r="A990" s="7" t="s">
        <v>18</v>
      </c>
      <c r="B990" s="7">
        <v>2023</v>
      </c>
      <c r="C990" s="4" t="s">
        <v>37</v>
      </c>
      <c r="D990" s="5" t="s">
        <v>131</v>
      </c>
      <c r="E990" s="10" t="str">
        <f t="shared" ref="E990:E1010" si="231">_xlfn.CONCAT(A990,"'!")</f>
        <v>PRBNP'!</v>
      </c>
      <c r="F990" s="5" t="str">
        <f t="shared" si="212"/>
        <v>C:\Users\jaime.benazar\Quorum Business Solutions\Ecopetrol Prometeo - Documents\Planning Space Implementation\3. Analysis &amp; Design\Design\FC22\DRR Jaime\Neiva CPI\[VAO_DINA TERCIARIOS_CF_SEC_20230117.xlsx]CF PRBNP'!</v>
      </c>
      <c r="G990" s="7" t="s">
        <v>102</v>
      </c>
      <c r="H990" s="4"/>
      <c r="I990" s="4"/>
      <c r="J990" s="4"/>
    </row>
    <row r="991" spans="1:10" x14ac:dyDescent="0.3">
      <c r="A991" s="7" t="s">
        <v>18</v>
      </c>
      <c r="B991" s="7">
        <f>+B990+1</f>
        <v>2024</v>
      </c>
      <c r="C991" s="4" t="s">
        <v>37</v>
      </c>
      <c r="D991" s="5" t="s">
        <v>131</v>
      </c>
      <c r="E991" s="10" t="str">
        <f t="shared" si="231"/>
        <v>PRBNP'!</v>
      </c>
      <c r="F991" s="5" t="str">
        <f t="shared" si="212"/>
        <v>C:\Users\jaime.benazar\Quorum Business Solutions\Ecopetrol Prometeo - Documents\Planning Space Implementation\3. Analysis &amp; Design\Design\FC22\DRR Jaime\Neiva CPI\[VAO_DINA TERCIARIOS_CF_SEC_20230117.xlsx]CF PRBNP'!</v>
      </c>
      <c r="G991" s="7" t="s">
        <v>102</v>
      </c>
      <c r="H991" s="4"/>
      <c r="I991" s="4"/>
      <c r="J991" s="4"/>
    </row>
    <row r="992" spans="1:10" x14ac:dyDescent="0.3">
      <c r="A992" s="7" t="s">
        <v>18</v>
      </c>
      <c r="B992" s="7">
        <f t="shared" ref="B992:B1003" si="232">+B991+1</f>
        <v>2025</v>
      </c>
      <c r="C992" s="4" t="s">
        <v>37</v>
      </c>
      <c r="D992" s="5" t="s">
        <v>131</v>
      </c>
      <c r="E992" s="10" t="str">
        <f t="shared" si="231"/>
        <v>PRBNP'!</v>
      </c>
      <c r="F992" s="5" t="str">
        <f t="shared" si="212"/>
        <v>C:\Users\jaime.benazar\Quorum Business Solutions\Ecopetrol Prometeo - Documents\Planning Space Implementation\3. Analysis &amp; Design\Design\FC22\DRR Jaime\Neiva CPI\[VAO_DINA TERCIARIOS_CF_SEC_20230117.xlsx]CF PRBNP'!</v>
      </c>
      <c r="G992" s="7" t="s">
        <v>102</v>
      </c>
      <c r="H992" s="4"/>
      <c r="I992" s="4"/>
      <c r="J992" s="4"/>
    </row>
    <row r="993" spans="1:10" x14ac:dyDescent="0.3">
      <c r="A993" s="7" t="s">
        <v>18</v>
      </c>
      <c r="B993" s="7">
        <f t="shared" si="232"/>
        <v>2026</v>
      </c>
      <c r="C993" s="4" t="s">
        <v>37</v>
      </c>
      <c r="D993" s="5" t="s">
        <v>131</v>
      </c>
      <c r="E993" s="10" t="str">
        <f t="shared" si="231"/>
        <v>PRBNP'!</v>
      </c>
      <c r="F993" s="5" t="str">
        <f t="shared" si="212"/>
        <v>C:\Users\jaime.benazar\Quorum Business Solutions\Ecopetrol Prometeo - Documents\Planning Space Implementation\3. Analysis &amp; Design\Design\FC22\DRR Jaime\Neiva CPI\[VAO_DINA TERCIARIOS_CF_SEC_20230117.xlsx]CF PRBNP'!</v>
      </c>
      <c r="G993" s="7" t="s">
        <v>102</v>
      </c>
      <c r="H993" s="4"/>
      <c r="I993" s="4"/>
      <c r="J993" s="4"/>
    </row>
    <row r="994" spans="1:10" x14ac:dyDescent="0.3">
      <c r="A994" s="7" t="s">
        <v>18</v>
      </c>
      <c r="B994" s="7">
        <f t="shared" si="232"/>
        <v>2027</v>
      </c>
      <c r="C994" s="4" t="s">
        <v>37</v>
      </c>
      <c r="D994" s="5" t="s">
        <v>131</v>
      </c>
      <c r="E994" s="10" t="str">
        <f t="shared" si="231"/>
        <v>PRBNP'!</v>
      </c>
      <c r="F994" s="5" t="str">
        <f t="shared" si="212"/>
        <v>C:\Users\jaime.benazar\Quorum Business Solutions\Ecopetrol Prometeo - Documents\Planning Space Implementation\3. Analysis &amp; Design\Design\FC22\DRR Jaime\Neiva CPI\[VAO_DINA TERCIARIOS_CF_SEC_20230117.xlsx]CF PRBNP'!</v>
      </c>
      <c r="G994" s="7" t="s">
        <v>102</v>
      </c>
      <c r="H994" s="4"/>
      <c r="I994" s="4"/>
      <c r="J994" s="4"/>
    </row>
    <row r="995" spans="1:10" x14ac:dyDescent="0.3">
      <c r="A995" s="7" t="s">
        <v>18</v>
      </c>
      <c r="B995" s="7">
        <f t="shared" si="232"/>
        <v>2028</v>
      </c>
      <c r="C995" s="4" t="s">
        <v>37</v>
      </c>
      <c r="D995" s="5" t="s">
        <v>131</v>
      </c>
      <c r="E995" s="10" t="str">
        <f t="shared" si="231"/>
        <v>PRBNP'!</v>
      </c>
      <c r="F995" s="5" t="str">
        <f t="shared" si="212"/>
        <v>C:\Users\jaime.benazar\Quorum Business Solutions\Ecopetrol Prometeo - Documents\Planning Space Implementation\3. Analysis &amp; Design\Design\FC22\DRR Jaime\Neiva CPI\[VAO_DINA TERCIARIOS_CF_SEC_20230117.xlsx]CF PRBNP'!</v>
      </c>
      <c r="G995" s="7" t="s">
        <v>102</v>
      </c>
      <c r="H995" s="4"/>
      <c r="I995" s="4"/>
      <c r="J995" s="4"/>
    </row>
    <row r="996" spans="1:10" x14ac:dyDescent="0.3">
      <c r="A996" s="7" t="s">
        <v>18</v>
      </c>
      <c r="B996" s="7">
        <f t="shared" si="232"/>
        <v>2029</v>
      </c>
      <c r="C996" s="4" t="s">
        <v>37</v>
      </c>
      <c r="D996" s="5" t="s">
        <v>131</v>
      </c>
      <c r="E996" s="10" t="str">
        <f t="shared" si="231"/>
        <v>PRBNP'!</v>
      </c>
      <c r="F996" s="5" t="str">
        <f t="shared" si="212"/>
        <v>C:\Users\jaime.benazar\Quorum Business Solutions\Ecopetrol Prometeo - Documents\Planning Space Implementation\3. Analysis &amp; Design\Design\FC22\DRR Jaime\Neiva CPI\[VAO_DINA TERCIARIOS_CF_SEC_20230117.xlsx]CF PRBNP'!</v>
      </c>
      <c r="G996" s="7" t="s">
        <v>102</v>
      </c>
      <c r="H996" s="4"/>
      <c r="I996" s="4"/>
      <c r="J996" s="4"/>
    </row>
    <row r="997" spans="1:10" x14ac:dyDescent="0.3">
      <c r="A997" s="7" t="s">
        <v>18</v>
      </c>
      <c r="B997" s="7">
        <f t="shared" si="232"/>
        <v>2030</v>
      </c>
      <c r="C997" s="4" t="s">
        <v>37</v>
      </c>
      <c r="D997" s="5" t="s">
        <v>131</v>
      </c>
      <c r="E997" s="10" t="str">
        <f t="shared" si="231"/>
        <v>PRBNP'!</v>
      </c>
      <c r="F997" s="5" t="str">
        <f t="shared" si="212"/>
        <v>C:\Users\jaime.benazar\Quorum Business Solutions\Ecopetrol Prometeo - Documents\Planning Space Implementation\3. Analysis &amp; Design\Design\FC22\DRR Jaime\Neiva CPI\[VAO_DINA TERCIARIOS_CF_SEC_20230117.xlsx]CF PRBNP'!</v>
      </c>
      <c r="G997" s="7" t="s">
        <v>102</v>
      </c>
      <c r="H997" s="4"/>
      <c r="I997" s="4"/>
      <c r="J997" s="4"/>
    </row>
    <row r="998" spans="1:10" x14ac:dyDescent="0.3">
      <c r="A998" s="7" t="s">
        <v>18</v>
      </c>
      <c r="B998" s="7">
        <f t="shared" si="232"/>
        <v>2031</v>
      </c>
      <c r="C998" s="4" t="s">
        <v>37</v>
      </c>
      <c r="D998" s="5" t="s">
        <v>131</v>
      </c>
      <c r="E998" s="10" t="str">
        <f t="shared" si="231"/>
        <v>PRBNP'!</v>
      </c>
      <c r="F998" s="5" t="str">
        <f t="shared" si="212"/>
        <v>C:\Users\jaime.benazar\Quorum Business Solutions\Ecopetrol Prometeo - Documents\Planning Space Implementation\3. Analysis &amp; Design\Design\FC22\DRR Jaime\Neiva CPI\[VAO_DINA TERCIARIOS_CF_SEC_20230117.xlsx]CF PRBNP'!</v>
      </c>
      <c r="G998" s="7" t="s">
        <v>102</v>
      </c>
      <c r="H998" s="4"/>
      <c r="I998" s="4"/>
      <c r="J998" s="4"/>
    </row>
    <row r="999" spans="1:10" x14ac:dyDescent="0.3">
      <c r="A999" s="7" t="s">
        <v>18</v>
      </c>
      <c r="B999" s="7">
        <f t="shared" si="232"/>
        <v>2032</v>
      </c>
      <c r="C999" s="4" t="s">
        <v>37</v>
      </c>
      <c r="D999" s="5" t="s">
        <v>131</v>
      </c>
      <c r="E999" s="10" t="str">
        <f t="shared" si="231"/>
        <v>PRBNP'!</v>
      </c>
      <c r="F999" s="5" t="str">
        <f t="shared" si="212"/>
        <v>C:\Users\jaime.benazar\Quorum Business Solutions\Ecopetrol Prometeo - Documents\Planning Space Implementation\3. Analysis &amp; Design\Design\FC22\DRR Jaime\Neiva CPI\[VAO_DINA TERCIARIOS_CF_SEC_20230117.xlsx]CF PRBNP'!</v>
      </c>
      <c r="G999" s="7" t="s">
        <v>102</v>
      </c>
      <c r="H999" s="4"/>
      <c r="I999" s="4"/>
      <c r="J999" s="4"/>
    </row>
    <row r="1000" spans="1:10" x14ac:dyDescent="0.3">
      <c r="A1000" s="7" t="s">
        <v>18</v>
      </c>
      <c r="B1000" s="7">
        <f t="shared" si="232"/>
        <v>2033</v>
      </c>
      <c r="C1000" s="4" t="s">
        <v>37</v>
      </c>
      <c r="D1000" s="5" t="s">
        <v>131</v>
      </c>
      <c r="E1000" s="10" t="str">
        <f t="shared" si="231"/>
        <v>PRBNP'!</v>
      </c>
      <c r="F1000" s="5" t="str">
        <f t="shared" si="212"/>
        <v>C:\Users\jaime.benazar\Quorum Business Solutions\Ecopetrol Prometeo - Documents\Planning Space Implementation\3. Analysis &amp; Design\Design\FC22\DRR Jaime\Neiva CPI\[VAO_DINA TERCIARIOS_CF_SEC_20230117.xlsx]CF PRBNP'!</v>
      </c>
      <c r="G1000" s="7" t="s">
        <v>102</v>
      </c>
      <c r="H1000" s="4"/>
      <c r="I1000" s="4"/>
      <c r="J1000" s="4"/>
    </row>
    <row r="1001" spans="1:10" x14ac:dyDescent="0.3">
      <c r="A1001" s="7" t="s">
        <v>18</v>
      </c>
      <c r="B1001" s="7">
        <f t="shared" si="232"/>
        <v>2034</v>
      </c>
      <c r="C1001" s="4" t="s">
        <v>37</v>
      </c>
      <c r="D1001" s="5" t="s">
        <v>131</v>
      </c>
      <c r="E1001" s="10" t="str">
        <f t="shared" si="231"/>
        <v>PRBNP'!</v>
      </c>
      <c r="F1001" s="5" t="str">
        <f t="shared" si="212"/>
        <v>C:\Users\jaime.benazar\Quorum Business Solutions\Ecopetrol Prometeo - Documents\Planning Space Implementation\3. Analysis &amp; Design\Design\FC22\DRR Jaime\Neiva CPI\[VAO_DINA TERCIARIOS_CF_SEC_20230117.xlsx]CF PRBNP'!</v>
      </c>
      <c r="G1001" s="7" t="s">
        <v>102</v>
      </c>
      <c r="H1001" s="4"/>
      <c r="I1001" s="4"/>
      <c r="J1001" s="4"/>
    </row>
    <row r="1002" spans="1:10" x14ac:dyDescent="0.3">
      <c r="A1002" s="7" t="s">
        <v>18</v>
      </c>
      <c r="B1002" s="7">
        <f t="shared" si="232"/>
        <v>2035</v>
      </c>
      <c r="C1002" s="4" t="s">
        <v>37</v>
      </c>
      <c r="D1002" s="5" t="s">
        <v>131</v>
      </c>
      <c r="E1002" s="10" t="str">
        <f t="shared" si="231"/>
        <v>PRBNP'!</v>
      </c>
      <c r="F1002" s="5" t="str">
        <f t="shared" si="212"/>
        <v>C:\Users\jaime.benazar\Quorum Business Solutions\Ecopetrol Prometeo - Documents\Planning Space Implementation\3. Analysis &amp; Design\Design\FC22\DRR Jaime\Neiva CPI\[VAO_DINA TERCIARIOS_CF_SEC_20230117.xlsx]CF PRBNP'!</v>
      </c>
      <c r="G1002" s="7" t="s">
        <v>102</v>
      </c>
      <c r="H1002" s="4"/>
      <c r="I1002" s="4"/>
      <c r="J1002" s="4"/>
    </row>
    <row r="1003" spans="1:10" x14ac:dyDescent="0.3">
      <c r="A1003" s="7" t="s">
        <v>18</v>
      </c>
      <c r="B1003" s="7">
        <f t="shared" si="232"/>
        <v>2036</v>
      </c>
      <c r="C1003" s="4" t="s">
        <v>37</v>
      </c>
      <c r="D1003" s="5" t="s">
        <v>131</v>
      </c>
      <c r="E1003" s="10" t="str">
        <f t="shared" si="231"/>
        <v>PRBNP'!</v>
      </c>
      <c r="F1003" s="5" t="str">
        <f t="shared" si="212"/>
        <v>C:\Users\jaime.benazar\Quorum Business Solutions\Ecopetrol Prometeo - Documents\Planning Space Implementation\3. Analysis &amp; Design\Design\FC22\DRR Jaime\Neiva CPI\[VAO_DINA TERCIARIOS_CF_SEC_20230117.xlsx]CF PRBNP'!</v>
      </c>
      <c r="G1003" s="7" t="s">
        <v>102</v>
      </c>
      <c r="H1003" s="4"/>
      <c r="I1003" s="4"/>
      <c r="J1003" s="4"/>
    </row>
    <row r="1004" spans="1:10" x14ac:dyDescent="0.3">
      <c r="A1004" s="7" t="s">
        <v>18</v>
      </c>
      <c r="B1004" s="7">
        <f>+B1003+1</f>
        <v>2037</v>
      </c>
      <c r="C1004" s="4" t="s">
        <v>37</v>
      </c>
      <c r="D1004" s="5" t="s">
        <v>131</v>
      </c>
      <c r="E1004" s="10" t="str">
        <f t="shared" si="231"/>
        <v>PRBNP'!</v>
      </c>
      <c r="F1004" s="5" t="str">
        <f t="shared" si="212"/>
        <v>C:\Users\jaime.benazar\Quorum Business Solutions\Ecopetrol Prometeo - Documents\Planning Space Implementation\3. Analysis &amp; Design\Design\FC22\DRR Jaime\Neiva CPI\[VAO_DINA TERCIARIOS_CF_SEC_20230117.xlsx]CF PRBNP'!</v>
      </c>
      <c r="G1004" s="7" t="s">
        <v>102</v>
      </c>
      <c r="H1004" s="4"/>
      <c r="I1004" s="4"/>
      <c r="J1004" s="4"/>
    </row>
    <row r="1005" spans="1:10" x14ac:dyDescent="0.3">
      <c r="A1005" s="7" t="s">
        <v>18</v>
      </c>
      <c r="B1005" s="7">
        <f t="shared" ref="B1005:B1007" si="233">+B1004+1</f>
        <v>2038</v>
      </c>
      <c r="C1005" s="4" t="s">
        <v>37</v>
      </c>
      <c r="D1005" s="5" t="s">
        <v>131</v>
      </c>
      <c r="E1005" s="10" t="str">
        <f t="shared" si="231"/>
        <v>PRBNP'!</v>
      </c>
      <c r="F1005" s="5" t="str">
        <f t="shared" si="212"/>
        <v>C:\Users\jaime.benazar\Quorum Business Solutions\Ecopetrol Prometeo - Documents\Planning Space Implementation\3. Analysis &amp; Design\Design\FC22\DRR Jaime\Neiva CPI\[VAO_DINA TERCIARIOS_CF_SEC_20230117.xlsx]CF PRBNP'!</v>
      </c>
      <c r="G1005" s="7" t="s">
        <v>102</v>
      </c>
      <c r="H1005" s="4"/>
      <c r="I1005" s="4"/>
      <c r="J1005" s="4"/>
    </row>
    <row r="1006" spans="1:10" x14ac:dyDescent="0.3">
      <c r="A1006" s="7" t="s">
        <v>18</v>
      </c>
      <c r="B1006" s="7">
        <f t="shared" si="233"/>
        <v>2039</v>
      </c>
      <c r="C1006" s="4" t="s">
        <v>37</v>
      </c>
      <c r="D1006" s="5" t="s">
        <v>131</v>
      </c>
      <c r="E1006" s="10" t="str">
        <f t="shared" si="231"/>
        <v>PRBNP'!</v>
      </c>
      <c r="F1006" s="5" t="str">
        <f t="shared" si="212"/>
        <v>C:\Users\jaime.benazar\Quorum Business Solutions\Ecopetrol Prometeo - Documents\Planning Space Implementation\3. Analysis &amp; Design\Design\FC22\DRR Jaime\Neiva CPI\[VAO_DINA TERCIARIOS_CF_SEC_20230117.xlsx]CF PRBNP'!</v>
      </c>
      <c r="G1006" s="7" t="s">
        <v>102</v>
      </c>
      <c r="H1006" s="4"/>
      <c r="I1006" s="4"/>
      <c r="J1006" s="4"/>
    </row>
    <row r="1007" spans="1:10" x14ac:dyDescent="0.3">
      <c r="A1007" s="7" t="s">
        <v>18</v>
      </c>
      <c r="B1007" s="7">
        <f t="shared" si="233"/>
        <v>2040</v>
      </c>
      <c r="C1007" s="4" t="s">
        <v>37</v>
      </c>
      <c r="D1007" s="5" t="s">
        <v>131</v>
      </c>
      <c r="E1007" s="10" t="str">
        <f t="shared" si="231"/>
        <v>PRBNP'!</v>
      </c>
      <c r="F1007" s="5" t="str">
        <f t="shared" ref="F1007:F1112" si="234">_xlfn.CONCAT(D1007," ",E1007)</f>
        <v>C:\Users\jaime.benazar\Quorum Business Solutions\Ecopetrol Prometeo - Documents\Planning Space Implementation\3. Analysis &amp; Design\Design\FC22\DRR Jaime\Neiva CPI\[VAO_DINA TERCIARIOS_CF_SEC_20230117.xlsx]CF PRBNP'!</v>
      </c>
      <c r="G1007" s="7" t="s">
        <v>102</v>
      </c>
      <c r="H1007" s="4"/>
      <c r="I1007" s="4"/>
      <c r="J1007" s="4"/>
    </row>
    <row r="1008" spans="1:10" x14ac:dyDescent="0.3">
      <c r="A1008" s="7" t="s">
        <v>18</v>
      </c>
      <c r="B1008" s="7">
        <f>+B1007+1</f>
        <v>2041</v>
      </c>
      <c r="C1008" s="4" t="s">
        <v>37</v>
      </c>
      <c r="D1008" s="5" t="s">
        <v>131</v>
      </c>
      <c r="E1008" s="10" t="str">
        <f t="shared" si="231"/>
        <v>PRBNP'!</v>
      </c>
      <c r="F1008" s="5" t="str">
        <f t="shared" si="234"/>
        <v>C:\Users\jaime.benazar\Quorum Business Solutions\Ecopetrol Prometeo - Documents\Planning Space Implementation\3. Analysis &amp; Design\Design\FC22\DRR Jaime\Neiva CPI\[VAO_DINA TERCIARIOS_CF_SEC_20230117.xlsx]CF PRBNP'!</v>
      </c>
      <c r="G1008" s="7" t="s">
        <v>102</v>
      </c>
      <c r="H1008" s="4"/>
      <c r="I1008" s="4"/>
      <c r="J1008" s="4"/>
    </row>
    <row r="1009" spans="1:10" x14ac:dyDescent="0.3">
      <c r="A1009" s="7" t="s">
        <v>18</v>
      </c>
      <c r="B1009" s="7">
        <f t="shared" ref="B1009:B1010" si="235">+B1008+1</f>
        <v>2042</v>
      </c>
      <c r="C1009" s="4" t="s">
        <v>37</v>
      </c>
      <c r="D1009" s="5" t="s">
        <v>131</v>
      </c>
      <c r="E1009" s="10" t="str">
        <f t="shared" si="231"/>
        <v>PRBNP'!</v>
      </c>
      <c r="F1009" s="5" t="str">
        <f t="shared" si="234"/>
        <v>C:\Users\jaime.benazar\Quorum Business Solutions\Ecopetrol Prometeo - Documents\Planning Space Implementation\3. Analysis &amp; Design\Design\FC22\DRR Jaime\Neiva CPI\[VAO_DINA TERCIARIOS_CF_SEC_20230117.xlsx]CF PRBNP'!</v>
      </c>
      <c r="G1009" s="7" t="s">
        <v>102</v>
      </c>
      <c r="H1009" s="4"/>
      <c r="I1009" s="4"/>
      <c r="J1009" s="4"/>
    </row>
    <row r="1010" spans="1:10" x14ac:dyDescent="0.3">
      <c r="A1010" s="7" t="s">
        <v>18</v>
      </c>
      <c r="B1010" s="7">
        <f t="shared" si="235"/>
        <v>2043</v>
      </c>
      <c r="C1010" s="4" t="s">
        <v>37</v>
      </c>
      <c r="D1010" s="5" t="s">
        <v>131</v>
      </c>
      <c r="E1010" s="10" t="str">
        <f t="shared" si="231"/>
        <v>PRBNP'!</v>
      </c>
      <c r="F1010" s="5" t="str">
        <f t="shared" si="234"/>
        <v>C:\Users\jaime.benazar\Quorum Business Solutions\Ecopetrol Prometeo - Documents\Planning Space Implementation\3. Analysis &amp; Design\Design\FC22\DRR Jaime\Neiva CPI\[VAO_DINA TERCIARIOS_CF_SEC_20230117.xlsx]CF PRBNP'!</v>
      </c>
      <c r="G1010" s="7" t="s">
        <v>102</v>
      </c>
      <c r="H1010" s="4"/>
      <c r="I1010" s="4"/>
      <c r="J1010" s="4"/>
    </row>
    <row r="1011" spans="1:10" x14ac:dyDescent="0.3">
      <c r="A1011" s="7" t="s">
        <v>18</v>
      </c>
      <c r="B1011" s="7">
        <f>+B1010+1</f>
        <v>2044</v>
      </c>
      <c r="C1011" s="4" t="s">
        <v>37</v>
      </c>
      <c r="D1011" s="5" t="s">
        <v>131</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Jaime\Neiva CPI\[VAO_DINA TERCIARIOS_CF_SEC_20230117.xlsx]CF PRBNP'!</v>
      </c>
      <c r="G1011" s="7" t="s">
        <v>102</v>
      </c>
      <c r="H1011" s="4"/>
      <c r="I1011" s="4"/>
      <c r="J1011" s="4"/>
    </row>
    <row r="1012" spans="1:10" x14ac:dyDescent="0.3">
      <c r="A1012" s="7" t="s">
        <v>18</v>
      </c>
      <c r="B1012" s="7">
        <f t="shared" ref="B1012:B1026" si="238">+B1011+1</f>
        <v>2045</v>
      </c>
      <c r="C1012" s="4" t="s">
        <v>37</v>
      </c>
      <c r="D1012" s="5" t="s">
        <v>131</v>
      </c>
      <c r="E1012" s="10" t="str">
        <f t="shared" si="236"/>
        <v>PRBNP'!</v>
      </c>
      <c r="F1012" s="5" t="str">
        <f t="shared" si="237"/>
        <v>C:\Users\jaime.benazar\Quorum Business Solutions\Ecopetrol Prometeo - Documents\Planning Space Implementation\3. Analysis &amp; Design\Design\FC22\DRR Jaime\Neiva CPI\[VAO_DINA TERCIARIOS_CF_SEC_20230117.xlsx]CF PRBNP'!</v>
      </c>
      <c r="G1012" s="7" t="s">
        <v>102</v>
      </c>
      <c r="H1012" s="4"/>
      <c r="I1012" s="4"/>
      <c r="J1012" s="4"/>
    </row>
    <row r="1013" spans="1:10" x14ac:dyDescent="0.3">
      <c r="A1013" s="7" t="s">
        <v>18</v>
      </c>
      <c r="B1013" s="7">
        <f t="shared" si="238"/>
        <v>2046</v>
      </c>
      <c r="C1013" s="4" t="s">
        <v>37</v>
      </c>
      <c r="D1013" s="5" t="s">
        <v>131</v>
      </c>
      <c r="E1013" s="10" t="str">
        <f t="shared" si="236"/>
        <v>PRBNP'!</v>
      </c>
      <c r="F1013" s="5" t="str">
        <f t="shared" si="237"/>
        <v>C:\Users\jaime.benazar\Quorum Business Solutions\Ecopetrol Prometeo - Documents\Planning Space Implementation\3. Analysis &amp; Design\Design\FC22\DRR Jaime\Neiva CPI\[VAO_DINA TERCIARIOS_CF_SEC_20230117.xlsx]CF PRBNP'!</v>
      </c>
      <c r="G1013" s="7" t="s">
        <v>102</v>
      </c>
      <c r="H1013" s="4"/>
      <c r="I1013" s="4"/>
      <c r="J1013" s="4"/>
    </row>
    <row r="1014" spans="1:10" x14ac:dyDescent="0.3">
      <c r="A1014" s="7" t="s">
        <v>18</v>
      </c>
      <c r="B1014" s="7">
        <f t="shared" si="238"/>
        <v>2047</v>
      </c>
      <c r="C1014" s="4" t="s">
        <v>37</v>
      </c>
      <c r="D1014" s="5" t="s">
        <v>131</v>
      </c>
      <c r="E1014" s="10" t="str">
        <f t="shared" si="236"/>
        <v>PRBNP'!</v>
      </c>
      <c r="F1014" s="5" t="str">
        <f t="shared" si="237"/>
        <v>C:\Users\jaime.benazar\Quorum Business Solutions\Ecopetrol Prometeo - Documents\Planning Space Implementation\3. Analysis &amp; Design\Design\FC22\DRR Jaime\Neiva CPI\[VAO_DINA TERCIARIOS_CF_SEC_20230117.xlsx]CF PRBNP'!</v>
      </c>
      <c r="G1014" s="7" t="s">
        <v>102</v>
      </c>
      <c r="H1014" s="4"/>
      <c r="I1014" s="4"/>
      <c r="J1014" s="4"/>
    </row>
    <row r="1015" spans="1:10" x14ac:dyDescent="0.3">
      <c r="A1015" s="7" t="s">
        <v>18</v>
      </c>
      <c r="B1015" s="7">
        <f t="shared" si="238"/>
        <v>2048</v>
      </c>
      <c r="C1015" s="4" t="s">
        <v>37</v>
      </c>
      <c r="D1015" s="5" t="s">
        <v>131</v>
      </c>
      <c r="E1015" s="10" t="str">
        <f t="shared" si="236"/>
        <v>PRBNP'!</v>
      </c>
      <c r="F1015" s="5" t="str">
        <f t="shared" si="237"/>
        <v>C:\Users\jaime.benazar\Quorum Business Solutions\Ecopetrol Prometeo - Documents\Planning Space Implementation\3. Analysis &amp; Design\Design\FC22\DRR Jaime\Neiva CPI\[VAO_DINA TERCIARIOS_CF_SEC_20230117.xlsx]CF PRBNP'!</v>
      </c>
      <c r="G1015" s="7" t="s">
        <v>102</v>
      </c>
      <c r="H1015" s="4"/>
      <c r="I1015" s="4"/>
      <c r="J1015" s="4"/>
    </row>
    <row r="1016" spans="1:10" x14ac:dyDescent="0.3">
      <c r="A1016" s="7" t="s">
        <v>18</v>
      </c>
      <c r="B1016" s="7">
        <f t="shared" si="238"/>
        <v>2049</v>
      </c>
      <c r="C1016" s="4" t="s">
        <v>37</v>
      </c>
      <c r="D1016" s="5" t="s">
        <v>131</v>
      </c>
      <c r="E1016" s="10" t="str">
        <f t="shared" si="236"/>
        <v>PRBNP'!</v>
      </c>
      <c r="F1016" s="5" t="str">
        <f t="shared" si="237"/>
        <v>C:\Users\jaime.benazar\Quorum Business Solutions\Ecopetrol Prometeo - Documents\Planning Space Implementation\3. Analysis &amp; Design\Design\FC22\DRR Jaime\Neiva CPI\[VAO_DINA TERCIARIOS_CF_SEC_20230117.xlsx]CF PRBNP'!</v>
      </c>
      <c r="G1016" s="7" t="s">
        <v>102</v>
      </c>
      <c r="H1016" s="4"/>
      <c r="I1016" s="4"/>
      <c r="J1016" s="4"/>
    </row>
    <row r="1017" spans="1:10" x14ac:dyDescent="0.3">
      <c r="A1017" s="7" t="s">
        <v>18</v>
      </c>
      <c r="B1017" s="7">
        <f t="shared" si="238"/>
        <v>2050</v>
      </c>
      <c r="C1017" s="4" t="s">
        <v>37</v>
      </c>
      <c r="D1017" s="5" t="s">
        <v>131</v>
      </c>
      <c r="E1017" s="10" t="str">
        <f t="shared" si="236"/>
        <v>PRBNP'!</v>
      </c>
      <c r="F1017" s="5" t="str">
        <f t="shared" si="237"/>
        <v>C:\Users\jaime.benazar\Quorum Business Solutions\Ecopetrol Prometeo - Documents\Planning Space Implementation\3. Analysis &amp; Design\Design\FC22\DRR Jaime\Neiva CPI\[VAO_DINA TERCIARIOS_CF_SEC_20230117.xlsx]CF PRBNP'!</v>
      </c>
      <c r="G1017" s="7" t="s">
        <v>102</v>
      </c>
      <c r="H1017" s="4"/>
      <c r="I1017" s="4"/>
      <c r="J1017" s="4"/>
    </row>
    <row r="1018" spans="1:10" x14ac:dyDescent="0.3">
      <c r="A1018" s="7" t="s">
        <v>18</v>
      </c>
      <c r="B1018" s="7">
        <f t="shared" si="238"/>
        <v>2051</v>
      </c>
      <c r="C1018" s="4" t="s">
        <v>37</v>
      </c>
      <c r="D1018" s="5" t="s">
        <v>131</v>
      </c>
      <c r="E1018" s="10" t="str">
        <f t="shared" si="236"/>
        <v>PRBNP'!</v>
      </c>
      <c r="F1018" s="5" t="str">
        <f t="shared" si="237"/>
        <v>C:\Users\jaime.benazar\Quorum Business Solutions\Ecopetrol Prometeo - Documents\Planning Space Implementation\3. Analysis &amp; Design\Design\FC22\DRR Jaime\Neiva CPI\[VAO_DINA TERCIARIOS_CF_SEC_20230117.xlsx]CF PRBNP'!</v>
      </c>
      <c r="G1018" s="7" t="s">
        <v>102</v>
      </c>
      <c r="H1018" s="4"/>
      <c r="I1018" s="4"/>
      <c r="J1018" s="4"/>
    </row>
    <row r="1019" spans="1:10" x14ac:dyDescent="0.3">
      <c r="A1019" s="7" t="s">
        <v>18</v>
      </c>
      <c r="B1019" s="7">
        <f t="shared" si="238"/>
        <v>2052</v>
      </c>
      <c r="C1019" s="4" t="s">
        <v>37</v>
      </c>
      <c r="D1019" s="5" t="s">
        <v>131</v>
      </c>
      <c r="E1019" s="10" t="str">
        <f t="shared" si="236"/>
        <v>PRBNP'!</v>
      </c>
      <c r="F1019" s="5" t="str">
        <f t="shared" si="237"/>
        <v>C:\Users\jaime.benazar\Quorum Business Solutions\Ecopetrol Prometeo - Documents\Planning Space Implementation\3. Analysis &amp; Design\Design\FC22\DRR Jaime\Neiva CPI\[VAO_DINA TERCIARIOS_CF_SEC_20230117.xlsx]CF PRBNP'!</v>
      </c>
      <c r="G1019" s="7" t="s">
        <v>102</v>
      </c>
      <c r="H1019" s="4"/>
      <c r="I1019" s="4"/>
      <c r="J1019" s="4"/>
    </row>
    <row r="1020" spans="1:10" x14ac:dyDescent="0.3">
      <c r="A1020" s="7" t="s">
        <v>18</v>
      </c>
      <c r="B1020" s="7">
        <f t="shared" si="238"/>
        <v>2053</v>
      </c>
      <c r="C1020" s="4" t="s">
        <v>37</v>
      </c>
      <c r="D1020" s="5" t="s">
        <v>131</v>
      </c>
      <c r="E1020" s="10" t="str">
        <f t="shared" si="236"/>
        <v>PRBNP'!</v>
      </c>
      <c r="F1020" s="5" t="str">
        <f t="shared" si="237"/>
        <v>C:\Users\jaime.benazar\Quorum Business Solutions\Ecopetrol Prometeo - Documents\Planning Space Implementation\3. Analysis &amp; Design\Design\FC22\DRR Jaime\Neiva CPI\[VAO_DINA TERCIARIOS_CF_SEC_20230117.xlsx]CF PRBNP'!</v>
      </c>
      <c r="G1020" s="7" t="s">
        <v>102</v>
      </c>
      <c r="H1020" s="4"/>
      <c r="I1020" s="4"/>
      <c r="J1020" s="4"/>
    </row>
    <row r="1021" spans="1:10" x14ac:dyDescent="0.3">
      <c r="A1021" s="7" t="s">
        <v>18</v>
      </c>
      <c r="B1021" s="7">
        <f t="shared" si="238"/>
        <v>2054</v>
      </c>
      <c r="C1021" s="4" t="s">
        <v>37</v>
      </c>
      <c r="D1021" s="5" t="s">
        <v>131</v>
      </c>
      <c r="E1021" s="10" t="str">
        <f t="shared" si="236"/>
        <v>PRBNP'!</v>
      </c>
      <c r="F1021" s="5" t="str">
        <f t="shared" si="237"/>
        <v>C:\Users\jaime.benazar\Quorum Business Solutions\Ecopetrol Prometeo - Documents\Planning Space Implementation\3. Analysis &amp; Design\Design\FC22\DRR Jaime\Neiva CPI\[VAO_DINA TERCIARIOS_CF_SEC_20230117.xlsx]CF PRBNP'!</v>
      </c>
      <c r="G1021" s="7" t="s">
        <v>102</v>
      </c>
      <c r="H1021" s="4"/>
      <c r="I1021" s="4"/>
      <c r="J1021" s="4"/>
    </row>
    <row r="1022" spans="1:10" x14ac:dyDescent="0.3">
      <c r="A1022" s="7" t="s">
        <v>18</v>
      </c>
      <c r="B1022" s="7">
        <f t="shared" si="238"/>
        <v>2055</v>
      </c>
      <c r="C1022" s="4" t="s">
        <v>37</v>
      </c>
      <c r="D1022" s="5" t="s">
        <v>131</v>
      </c>
      <c r="E1022" s="10" t="str">
        <f t="shared" si="236"/>
        <v>PRBNP'!</v>
      </c>
      <c r="F1022" s="5" t="str">
        <f t="shared" si="237"/>
        <v>C:\Users\jaime.benazar\Quorum Business Solutions\Ecopetrol Prometeo - Documents\Planning Space Implementation\3. Analysis &amp; Design\Design\FC22\DRR Jaime\Neiva CPI\[VAO_DINA TERCIARIOS_CF_SEC_20230117.xlsx]CF PRBNP'!</v>
      </c>
      <c r="G1022" s="7" t="s">
        <v>102</v>
      </c>
      <c r="H1022" s="4"/>
      <c r="I1022" s="4"/>
      <c r="J1022" s="4"/>
    </row>
    <row r="1023" spans="1:10" x14ac:dyDescent="0.3">
      <c r="A1023" s="7" t="s">
        <v>18</v>
      </c>
      <c r="B1023" s="7">
        <f t="shared" si="238"/>
        <v>2056</v>
      </c>
      <c r="C1023" s="4" t="s">
        <v>37</v>
      </c>
      <c r="D1023" s="5" t="s">
        <v>131</v>
      </c>
      <c r="E1023" s="10" t="str">
        <f t="shared" si="236"/>
        <v>PRBNP'!</v>
      </c>
      <c r="F1023" s="5" t="str">
        <f t="shared" si="237"/>
        <v>C:\Users\jaime.benazar\Quorum Business Solutions\Ecopetrol Prometeo - Documents\Planning Space Implementation\3. Analysis &amp; Design\Design\FC22\DRR Jaime\Neiva CPI\[VAO_DINA TERCIARIOS_CF_SEC_20230117.xlsx]CF PRBNP'!</v>
      </c>
      <c r="G1023" s="7" t="s">
        <v>102</v>
      </c>
      <c r="H1023" s="4"/>
      <c r="I1023" s="4"/>
      <c r="J1023" s="4"/>
    </row>
    <row r="1024" spans="1:10" x14ac:dyDescent="0.3">
      <c r="A1024" s="7" t="s">
        <v>18</v>
      </c>
      <c r="B1024" s="7">
        <f t="shared" si="238"/>
        <v>2057</v>
      </c>
      <c r="C1024" s="4" t="s">
        <v>37</v>
      </c>
      <c r="D1024" s="5" t="s">
        <v>131</v>
      </c>
      <c r="E1024" s="10" t="str">
        <f t="shared" si="236"/>
        <v>PRBNP'!</v>
      </c>
      <c r="F1024" s="5" t="str">
        <f t="shared" si="237"/>
        <v>C:\Users\jaime.benazar\Quorum Business Solutions\Ecopetrol Prometeo - Documents\Planning Space Implementation\3. Analysis &amp; Design\Design\FC22\DRR Jaime\Neiva CPI\[VAO_DINA TERCIARIOS_CF_SEC_20230117.xlsx]CF PRBNP'!</v>
      </c>
      <c r="G1024" s="7" t="s">
        <v>102</v>
      </c>
      <c r="H1024" s="4"/>
      <c r="I1024" s="4"/>
      <c r="J1024" s="4"/>
    </row>
    <row r="1025" spans="1:10" x14ac:dyDescent="0.3">
      <c r="A1025" s="7" t="s">
        <v>18</v>
      </c>
      <c r="B1025" s="7">
        <f t="shared" si="238"/>
        <v>2058</v>
      </c>
      <c r="C1025" s="4" t="s">
        <v>37</v>
      </c>
      <c r="D1025" s="5" t="s">
        <v>131</v>
      </c>
      <c r="E1025" s="10" t="str">
        <f t="shared" si="236"/>
        <v>PRBNP'!</v>
      </c>
      <c r="F1025" s="5" t="str">
        <f t="shared" si="237"/>
        <v>C:\Users\jaime.benazar\Quorum Business Solutions\Ecopetrol Prometeo - Documents\Planning Space Implementation\3. Analysis &amp; Design\Design\FC22\DRR Jaime\Neiva CPI\[VAO_DINA TERCIARIOS_CF_SEC_20230117.xlsx]CF PRBNP'!</v>
      </c>
      <c r="G1025" s="7" t="s">
        <v>102</v>
      </c>
      <c r="H1025" s="4"/>
      <c r="I1025" s="4"/>
      <c r="J1025" s="4"/>
    </row>
    <row r="1026" spans="1:10" x14ac:dyDescent="0.3">
      <c r="A1026" s="7" t="s">
        <v>18</v>
      </c>
      <c r="B1026" s="7">
        <f t="shared" si="238"/>
        <v>2059</v>
      </c>
      <c r="C1026" s="4" t="s">
        <v>37</v>
      </c>
      <c r="D1026" s="5" t="s">
        <v>131</v>
      </c>
      <c r="E1026" s="10" t="str">
        <f t="shared" si="236"/>
        <v>PRBNP'!</v>
      </c>
      <c r="F1026" s="5" t="str">
        <f t="shared" si="237"/>
        <v>C:\Users\jaime.benazar\Quorum Business Solutions\Ecopetrol Prometeo - Documents\Planning Space Implementation\3. Analysis &amp; Design\Design\FC22\DRR Jaime\Neiva CPI\[VAO_DINA TERCIARIOS_CF_SEC_20230117.xlsx]CF PRBNP'!</v>
      </c>
      <c r="G1026" s="7" t="s">
        <v>102</v>
      </c>
      <c r="H1026" s="4"/>
      <c r="I1026" s="4"/>
      <c r="J1026" s="4"/>
    </row>
    <row r="1027" spans="1:10" x14ac:dyDescent="0.3">
      <c r="A1027" s="7" t="s">
        <v>26</v>
      </c>
      <c r="B1027" s="7"/>
      <c r="C1027" s="4" t="s">
        <v>37</v>
      </c>
      <c r="D1027" s="5"/>
      <c r="E1027" s="10"/>
      <c r="F1027" s="5" t="str">
        <f t="shared" si="234"/>
        <v xml:space="preserve"> </v>
      </c>
      <c r="G1027" s="7"/>
      <c r="H1027" s="4"/>
      <c r="I1027" s="4"/>
      <c r="J1027" s="4"/>
    </row>
    <row r="1028" spans="1:10" x14ac:dyDescent="0.3">
      <c r="A1028" s="7" t="s">
        <v>19</v>
      </c>
      <c r="B1028" s="7">
        <v>2023</v>
      </c>
      <c r="C1028" s="4" t="s">
        <v>37</v>
      </c>
      <c r="D1028" s="5" t="s">
        <v>131</v>
      </c>
      <c r="E1028" s="10" t="str">
        <f t="shared" ref="E1028:E1048" si="239">_xlfn.CONCAT(A1028,"'!")</f>
        <v>PRBND'!</v>
      </c>
      <c r="F1028" s="5" t="str">
        <f t="shared" si="234"/>
        <v>C:\Users\jaime.benazar\Quorum Business Solutions\Ecopetrol Prometeo - Documents\Planning Space Implementation\3. Analysis &amp; Design\Design\FC22\DRR Jaime\Neiva CPI\[VAO_DINA TERCIARIOS_CF_SEC_20230117.xlsx]CF PRBND'!</v>
      </c>
      <c r="G1028" s="7" t="s">
        <v>102</v>
      </c>
      <c r="H1028" s="4"/>
      <c r="I1028" s="4"/>
      <c r="J1028" s="4"/>
    </row>
    <row r="1029" spans="1:10" x14ac:dyDescent="0.3">
      <c r="A1029" s="7" t="s">
        <v>19</v>
      </c>
      <c r="B1029" s="7">
        <f>+B1028+1</f>
        <v>2024</v>
      </c>
      <c r="C1029" s="4" t="s">
        <v>37</v>
      </c>
      <c r="D1029" s="5" t="s">
        <v>131</v>
      </c>
      <c r="E1029" s="10" t="str">
        <f t="shared" si="239"/>
        <v>PRBND'!</v>
      </c>
      <c r="F1029" s="5" t="str">
        <f t="shared" si="234"/>
        <v>C:\Users\jaime.benazar\Quorum Business Solutions\Ecopetrol Prometeo - Documents\Planning Space Implementation\3. Analysis &amp; Design\Design\FC22\DRR Jaime\Neiva CPI\[VAO_DINA TERCIARIOS_CF_SEC_20230117.xlsx]CF PRBND'!</v>
      </c>
      <c r="G1029" s="7" t="s">
        <v>102</v>
      </c>
      <c r="H1029" s="4"/>
      <c r="I1029" s="4"/>
      <c r="J1029" s="4"/>
    </row>
    <row r="1030" spans="1:10" x14ac:dyDescent="0.3">
      <c r="A1030" s="7" t="s">
        <v>19</v>
      </c>
      <c r="B1030" s="7">
        <f t="shared" ref="B1030:B1041" si="240">+B1029+1</f>
        <v>2025</v>
      </c>
      <c r="C1030" s="4" t="s">
        <v>37</v>
      </c>
      <c r="D1030" s="5" t="s">
        <v>131</v>
      </c>
      <c r="E1030" s="10" t="str">
        <f t="shared" si="239"/>
        <v>PRBND'!</v>
      </c>
      <c r="F1030" s="5" t="str">
        <f t="shared" si="234"/>
        <v>C:\Users\jaime.benazar\Quorum Business Solutions\Ecopetrol Prometeo - Documents\Planning Space Implementation\3. Analysis &amp; Design\Design\FC22\DRR Jaime\Neiva CPI\[VAO_DINA TERCIARIOS_CF_SEC_20230117.xlsx]CF PRBND'!</v>
      </c>
      <c r="G1030" s="7" t="s">
        <v>102</v>
      </c>
      <c r="H1030" s="4"/>
      <c r="I1030" s="4"/>
      <c r="J1030" s="4"/>
    </row>
    <row r="1031" spans="1:10" x14ac:dyDescent="0.3">
      <c r="A1031" s="7" t="s">
        <v>19</v>
      </c>
      <c r="B1031" s="7">
        <f t="shared" si="240"/>
        <v>2026</v>
      </c>
      <c r="C1031" s="4" t="s">
        <v>37</v>
      </c>
      <c r="D1031" s="5" t="s">
        <v>131</v>
      </c>
      <c r="E1031" s="10" t="str">
        <f t="shared" si="239"/>
        <v>PRBND'!</v>
      </c>
      <c r="F1031" s="5" t="str">
        <f t="shared" si="234"/>
        <v>C:\Users\jaime.benazar\Quorum Business Solutions\Ecopetrol Prometeo - Documents\Planning Space Implementation\3. Analysis &amp; Design\Design\FC22\DRR Jaime\Neiva CPI\[VAO_DINA TERCIARIOS_CF_SEC_20230117.xlsx]CF PRBND'!</v>
      </c>
      <c r="G1031" s="7" t="s">
        <v>102</v>
      </c>
      <c r="H1031" s="4"/>
      <c r="I1031" s="4"/>
      <c r="J1031" s="4"/>
    </row>
    <row r="1032" spans="1:10" x14ac:dyDescent="0.3">
      <c r="A1032" s="7" t="s">
        <v>19</v>
      </c>
      <c r="B1032" s="7">
        <f t="shared" si="240"/>
        <v>2027</v>
      </c>
      <c r="C1032" s="4" t="s">
        <v>37</v>
      </c>
      <c r="D1032" s="5" t="s">
        <v>131</v>
      </c>
      <c r="E1032" s="10" t="str">
        <f t="shared" si="239"/>
        <v>PRBND'!</v>
      </c>
      <c r="F1032" s="5" t="str">
        <f t="shared" si="234"/>
        <v>C:\Users\jaime.benazar\Quorum Business Solutions\Ecopetrol Prometeo - Documents\Planning Space Implementation\3. Analysis &amp; Design\Design\FC22\DRR Jaime\Neiva CPI\[VAO_DINA TERCIARIOS_CF_SEC_20230117.xlsx]CF PRBND'!</v>
      </c>
      <c r="G1032" s="7" t="s">
        <v>102</v>
      </c>
      <c r="H1032" s="4"/>
      <c r="I1032" s="4"/>
      <c r="J1032" s="4"/>
    </row>
    <row r="1033" spans="1:10" x14ac:dyDescent="0.3">
      <c r="A1033" s="7" t="s">
        <v>19</v>
      </c>
      <c r="B1033" s="7">
        <f t="shared" si="240"/>
        <v>2028</v>
      </c>
      <c r="C1033" s="4" t="s">
        <v>37</v>
      </c>
      <c r="D1033" s="5" t="s">
        <v>131</v>
      </c>
      <c r="E1033" s="10" t="str">
        <f t="shared" si="239"/>
        <v>PRBND'!</v>
      </c>
      <c r="F1033" s="5" t="str">
        <f t="shared" si="234"/>
        <v>C:\Users\jaime.benazar\Quorum Business Solutions\Ecopetrol Prometeo - Documents\Planning Space Implementation\3. Analysis &amp; Design\Design\FC22\DRR Jaime\Neiva CPI\[VAO_DINA TERCIARIOS_CF_SEC_20230117.xlsx]CF PRBND'!</v>
      </c>
      <c r="G1033" s="7" t="s">
        <v>102</v>
      </c>
      <c r="H1033" s="4"/>
      <c r="I1033" s="4"/>
      <c r="J1033" s="4"/>
    </row>
    <row r="1034" spans="1:10" x14ac:dyDescent="0.3">
      <c r="A1034" s="7" t="s">
        <v>19</v>
      </c>
      <c r="B1034" s="7">
        <f t="shared" si="240"/>
        <v>2029</v>
      </c>
      <c r="C1034" s="4" t="s">
        <v>37</v>
      </c>
      <c r="D1034" s="5" t="s">
        <v>131</v>
      </c>
      <c r="E1034" s="10" t="str">
        <f t="shared" si="239"/>
        <v>PRBND'!</v>
      </c>
      <c r="F1034" s="5" t="str">
        <f t="shared" si="234"/>
        <v>C:\Users\jaime.benazar\Quorum Business Solutions\Ecopetrol Prometeo - Documents\Planning Space Implementation\3. Analysis &amp; Design\Design\FC22\DRR Jaime\Neiva CPI\[VAO_DINA TERCIARIOS_CF_SEC_20230117.xlsx]CF PRBND'!</v>
      </c>
      <c r="G1034" s="7" t="s">
        <v>102</v>
      </c>
      <c r="H1034" s="4"/>
      <c r="I1034" s="4"/>
      <c r="J1034" s="4"/>
    </row>
    <row r="1035" spans="1:10" x14ac:dyDescent="0.3">
      <c r="A1035" s="7" t="s">
        <v>19</v>
      </c>
      <c r="B1035" s="7">
        <f t="shared" si="240"/>
        <v>2030</v>
      </c>
      <c r="C1035" s="4" t="s">
        <v>37</v>
      </c>
      <c r="D1035" s="5" t="s">
        <v>131</v>
      </c>
      <c r="E1035" s="10" t="str">
        <f t="shared" si="239"/>
        <v>PRBND'!</v>
      </c>
      <c r="F1035" s="5" t="str">
        <f t="shared" si="234"/>
        <v>C:\Users\jaime.benazar\Quorum Business Solutions\Ecopetrol Prometeo - Documents\Planning Space Implementation\3. Analysis &amp; Design\Design\FC22\DRR Jaime\Neiva CPI\[VAO_DINA TERCIARIOS_CF_SEC_20230117.xlsx]CF PRBND'!</v>
      </c>
      <c r="G1035" s="7" t="s">
        <v>102</v>
      </c>
      <c r="H1035" s="4"/>
      <c r="I1035" s="4"/>
      <c r="J1035" s="4"/>
    </row>
    <row r="1036" spans="1:10" x14ac:dyDescent="0.3">
      <c r="A1036" s="7" t="s">
        <v>19</v>
      </c>
      <c r="B1036" s="7">
        <f t="shared" si="240"/>
        <v>2031</v>
      </c>
      <c r="C1036" s="4" t="s">
        <v>37</v>
      </c>
      <c r="D1036" s="5" t="s">
        <v>131</v>
      </c>
      <c r="E1036" s="10" t="str">
        <f t="shared" si="239"/>
        <v>PRBND'!</v>
      </c>
      <c r="F1036" s="5" t="str">
        <f t="shared" si="234"/>
        <v>C:\Users\jaime.benazar\Quorum Business Solutions\Ecopetrol Prometeo - Documents\Planning Space Implementation\3. Analysis &amp; Design\Design\FC22\DRR Jaime\Neiva CPI\[VAO_DINA TERCIARIOS_CF_SEC_20230117.xlsx]CF PRBND'!</v>
      </c>
      <c r="G1036" s="7" t="s">
        <v>102</v>
      </c>
      <c r="H1036" s="4"/>
      <c r="I1036" s="4"/>
      <c r="J1036" s="4"/>
    </row>
    <row r="1037" spans="1:10" x14ac:dyDescent="0.3">
      <c r="A1037" s="7" t="s">
        <v>19</v>
      </c>
      <c r="B1037" s="7">
        <f t="shared" si="240"/>
        <v>2032</v>
      </c>
      <c r="C1037" s="4" t="s">
        <v>37</v>
      </c>
      <c r="D1037" s="5" t="s">
        <v>131</v>
      </c>
      <c r="E1037" s="10" t="str">
        <f t="shared" si="239"/>
        <v>PRBND'!</v>
      </c>
      <c r="F1037" s="5" t="str">
        <f t="shared" si="234"/>
        <v>C:\Users\jaime.benazar\Quorum Business Solutions\Ecopetrol Prometeo - Documents\Planning Space Implementation\3. Analysis &amp; Design\Design\FC22\DRR Jaime\Neiva CPI\[VAO_DINA TERCIARIOS_CF_SEC_20230117.xlsx]CF PRBND'!</v>
      </c>
      <c r="G1037" s="7" t="s">
        <v>102</v>
      </c>
      <c r="H1037" s="4"/>
      <c r="I1037" s="4"/>
      <c r="J1037" s="4"/>
    </row>
    <row r="1038" spans="1:10" x14ac:dyDescent="0.3">
      <c r="A1038" s="7" t="s">
        <v>19</v>
      </c>
      <c r="B1038" s="7">
        <f t="shared" si="240"/>
        <v>2033</v>
      </c>
      <c r="C1038" s="4" t="s">
        <v>37</v>
      </c>
      <c r="D1038" s="5" t="s">
        <v>131</v>
      </c>
      <c r="E1038" s="10" t="str">
        <f t="shared" si="239"/>
        <v>PRBND'!</v>
      </c>
      <c r="F1038" s="5" t="str">
        <f t="shared" si="234"/>
        <v>C:\Users\jaime.benazar\Quorum Business Solutions\Ecopetrol Prometeo - Documents\Planning Space Implementation\3. Analysis &amp; Design\Design\FC22\DRR Jaime\Neiva CPI\[VAO_DINA TERCIARIOS_CF_SEC_20230117.xlsx]CF PRBND'!</v>
      </c>
      <c r="G1038" s="7" t="s">
        <v>102</v>
      </c>
      <c r="H1038" s="4"/>
      <c r="I1038" s="4"/>
      <c r="J1038" s="4"/>
    </row>
    <row r="1039" spans="1:10" x14ac:dyDescent="0.3">
      <c r="A1039" s="7" t="s">
        <v>19</v>
      </c>
      <c r="B1039" s="7">
        <f t="shared" si="240"/>
        <v>2034</v>
      </c>
      <c r="C1039" s="4" t="s">
        <v>37</v>
      </c>
      <c r="D1039" s="5" t="s">
        <v>131</v>
      </c>
      <c r="E1039" s="10" t="str">
        <f t="shared" si="239"/>
        <v>PRBND'!</v>
      </c>
      <c r="F1039" s="5" t="str">
        <f t="shared" si="234"/>
        <v>C:\Users\jaime.benazar\Quorum Business Solutions\Ecopetrol Prometeo - Documents\Planning Space Implementation\3. Analysis &amp; Design\Design\FC22\DRR Jaime\Neiva CPI\[VAO_DINA TERCIARIOS_CF_SEC_20230117.xlsx]CF PRBND'!</v>
      </c>
      <c r="G1039" s="7" t="s">
        <v>102</v>
      </c>
      <c r="H1039" s="4"/>
      <c r="I1039" s="4"/>
      <c r="J1039" s="4"/>
    </row>
    <row r="1040" spans="1:10" x14ac:dyDescent="0.3">
      <c r="A1040" s="7" t="s">
        <v>19</v>
      </c>
      <c r="B1040" s="7">
        <f t="shared" si="240"/>
        <v>2035</v>
      </c>
      <c r="C1040" s="4" t="s">
        <v>37</v>
      </c>
      <c r="D1040" s="5" t="s">
        <v>131</v>
      </c>
      <c r="E1040" s="10" t="str">
        <f t="shared" si="239"/>
        <v>PRBND'!</v>
      </c>
      <c r="F1040" s="5" t="str">
        <f t="shared" si="234"/>
        <v>C:\Users\jaime.benazar\Quorum Business Solutions\Ecopetrol Prometeo - Documents\Planning Space Implementation\3. Analysis &amp; Design\Design\FC22\DRR Jaime\Neiva CPI\[VAO_DINA TERCIARIOS_CF_SEC_20230117.xlsx]CF PRBND'!</v>
      </c>
      <c r="G1040" s="7" t="s">
        <v>102</v>
      </c>
      <c r="H1040" s="4"/>
      <c r="I1040" s="4"/>
      <c r="J1040" s="4"/>
    </row>
    <row r="1041" spans="1:10" x14ac:dyDescent="0.3">
      <c r="A1041" s="7" t="s">
        <v>19</v>
      </c>
      <c r="B1041" s="7">
        <f t="shared" si="240"/>
        <v>2036</v>
      </c>
      <c r="C1041" s="4" t="s">
        <v>37</v>
      </c>
      <c r="D1041" s="5" t="s">
        <v>131</v>
      </c>
      <c r="E1041" s="10" t="str">
        <f t="shared" si="239"/>
        <v>PRBND'!</v>
      </c>
      <c r="F1041" s="5" t="str">
        <f t="shared" si="234"/>
        <v>C:\Users\jaime.benazar\Quorum Business Solutions\Ecopetrol Prometeo - Documents\Planning Space Implementation\3. Analysis &amp; Design\Design\FC22\DRR Jaime\Neiva CPI\[VAO_DINA TERCIARIOS_CF_SEC_20230117.xlsx]CF PRBND'!</v>
      </c>
      <c r="G1041" s="7" t="s">
        <v>102</v>
      </c>
      <c r="H1041" s="4"/>
      <c r="I1041" s="4"/>
      <c r="J1041" s="4"/>
    </row>
    <row r="1042" spans="1:10" x14ac:dyDescent="0.3">
      <c r="A1042" s="7" t="s">
        <v>19</v>
      </c>
      <c r="B1042" s="7">
        <f>+B1041+1</f>
        <v>2037</v>
      </c>
      <c r="C1042" s="4" t="s">
        <v>37</v>
      </c>
      <c r="D1042" s="5" t="s">
        <v>131</v>
      </c>
      <c r="E1042" s="10" t="str">
        <f t="shared" si="239"/>
        <v>PRBND'!</v>
      </c>
      <c r="F1042" s="5" t="str">
        <f t="shared" si="234"/>
        <v>C:\Users\jaime.benazar\Quorum Business Solutions\Ecopetrol Prometeo - Documents\Planning Space Implementation\3. Analysis &amp; Design\Design\FC22\DRR Jaime\Neiva CPI\[VAO_DINA TERCIARIOS_CF_SEC_20230117.xlsx]CF PRBND'!</v>
      </c>
      <c r="G1042" s="7" t="s">
        <v>102</v>
      </c>
      <c r="H1042" s="4"/>
      <c r="I1042" s="4"/>
      <c r="J1042" s="4"/>
    </row>
    <row r="1043" spans="1:10" x14ac:dyDescent="0.3">
      <c r="A1043" s="7" t="s">
        <v>19</v>
      </c>
      <c r="B1043" s="7">
        <f t="shared" ref="B1043:B1045" si="241">+B1042+1</f>
        <v>2038</v>
      </c>
      <c r="C1043" s="4" t="s">
        <v>37</v>
      </c>
      <c r="D1043" s="5" t="s">
        <v>131</v>
      </c>
      <c r="E1043" s="10" t="str">
        <f t="shared" si="239"/>
        <v>PRBND'!</v>
      </c>
      <c r="F1043" s="5" t="str">
        <f t="shared" si="234"/>
        <v>C:\Users\jaime.benazar\Quorum Business Solutions\Ecopetrol Prometeo - Documents\Planning Space Implementation\3. Analysis &amp; Design\Design\FC22\DRR Jaime\Neiva CPI\[VAO_DINA TERCIARIOS_CF_SEC_20230117.xlsx]CF PRBND'!</v>
      </c>
      <c r="G1043" s="7" t="s">
        <v>102</v>
      </c>
      <c r="H1043" s="4"/>
      <c r="I1043" s="4"/>
      <c r="J1043" s="4"/>
    </row>
    <row r="1044" spans="1:10" x14ac:dyDescent="0.3">
      <c r="A1044" s="7" t="s">
        <v>19</v>
      </c>
      <c r="B1044" s="7">
        <f t="shared" si="241"/>
        <v>2039</v>
      </c>
      <c r="C1044" s="4" t="s">
        <v>37</v>
      </c>
      <c r="D1044" s="5" t="s">
        <v>131</v>
      </c>
      <c r="E1044" s="10" t="str">
        <f t="shared" si="239"/>
        <v>PRBND'!</v>
      </c>
      <c r="F1044" s="5" t="str">
        <f t="shared" si="234"/>
        <v>C:\Users\jaime.benazar\Quorum Business Solutions\Ecopetrol Prometeo - Documents\Planning Space Implementation\3. Analysis &amp; Design\Design\FC22\DRR Jaime\Neiva CPI\[VAO_DINA TERCIARIOS_CF_SEC_20230117.xlsx]CF PRBND'!</v>
      </c>
      <c r="G1044" s="7" t="s">
        <v>102</v>
      </c>
      <c r="H1044" s="4"/>
      <c r="I1044" s="4"/>
      <c r="J1044" s="4"/>
    </row>
    <row r="1045" spans="1:10" x14ac:dyDescent="0.3">
      <c r="A1045" s="7" t="s">
        <v>19</v>
      </c>
      <c r="B1045" s="7">
        <f t="shared" si="241"/>
        <v>2040</v>
      </c>
      <c r="C1045" s="4" t="s">
        <v>37</v>
      </c>
      <c r="D1045" s="5" t="s">
        <v>131</v>
      </c>
      <c r="E1045" s="10" t="str">
        <f t="shared" si="239"/>
        <v>PRBND'!</v>
      </c>
      <c r="F1045" s="5" t="str">
        <f t="shared" si="234"/>
        <v>C:\Users\jaime.benazar\Quorum Business Solutions\Ecopetrol Prometeo - Documents\Planning Space Implementation\3. Analysis &amp; Design\Design\FC22\DRR Jaime\Neiva CPI\[VAO_DINA TERCIARIOS_CF_SEC_20230117.xlsx]CF PRBND'!</v>
      </c>
      <c r="G1045" s="7" t="s">
        <v>102</v>
      </c>
      <c r="H1045" s="4"/>
      <c r="I1045" s="4"/>
      <c r="J1045" s="4"/>
    </row>
    <row r="1046" spans="1:10" x14ac:dyDescent="0.3">
      <c r="A1046" s="7" t="s">
        <v>19</v>
      </c>
      <c r="B1046" s="7">
        <f>+B1045+1</f>
        <v>2041</v>
      </c>
      <c r="C1046" s="4" t="s">
        <v>37</v>
      </c>
      <c r="D1046" s="5" t="s">
        <v>131</v>
      </c>
      <c r="E1046" s="10" t="str">
        <f t="shared" si="239"/>
        <v>PRBND'!</v>
      </c>
      <c r="F1046" s="5" t="str">
        <f t="shared" si="234"/>
        <v>C:\Users\jaime.benazar\Quorum Business Solutions\Ecopetrol Prometeo - Documents\Planning Space Implementation\3. Analysis &amp; Design\Design\FC22\DRR Jaime\Neiva CPI\[VAO_DINA TERCIARIOS_CF_SEC_20230117.xlsx]CF PRBND'!</v>
      </c>
      <c r="G1046" s="7" t="s">
        <v>102</v>
      </c>
      <c r="H1046" s="4"/>
      <c r="I1046" s="4"/>
      <c r="J1046" s="4"/>
    </row>
    <row r="1047" spans="1:10" x14ac:dyDescent="0.3">
      <c r="A1047" s="7" t="s">
        <v>19</v>
      </c>
      <c r="B1047" s="7">
        <f t="shared" ref="B1047:B1048" si="242">+B1046+1</f>
        <v>2042</v>
      </c>
      <c r="C1047" s="4" t="s">
        <v>37</v>
      </c>
      <c r="D1047" s="5" t="s">
        <v>131</v>
      </c>
      <c r="E1047" s="10" t="str">
        <f t="shared" si="239"/>
        <v>PRBND'!</v>
      </c>
      <c r="F1047" s="5" t="str">
        <f t="shared" si="234"/>
        <v>C:\Users\jaime.benazar\Quorum Business Solutions\Ecopetrol Prometeo - Documents\Planning Space Implementation\3. Analysis &amp; Design\Design\FC22\DRR Jaime\Neiva CPI\[VAO_DINA TERCIARIOS_CF_SEC_20230117.xlsx]CF PRBND'!</v>
      </c>
      <c r="G1047" s="7" t="s">
        <v>102</v>
      </c>
      <c r="H1047" s="4"/>
      <c r="I1047" s="4"/>
      <c r="J1047" s="4"/>
    </row>
    <row r="1048" spans="1:10" x14ac:dyDescent="0.3">
      <c r="A1048" s="7" t="s">
        <v>19</v>
      </c>
      <c r="B1048" s="7">
        <f t="shared" si="242"/>
        <v>2043</v>
      </c>
      <c r="C1048" s="4" t="s">
        <v>37</v>
      </c>
      <c r="D1048" s="5" t="s">
        <v>131</v>
      </c>
      <c r="E1048" s="10" t="str">
        <f t="shared" si="239"/>
        <v>PRBND'!</v>
      </c>
      <c r="F1048" s="5" t="str">
        <f t="shared" si="234"/>
        <v>C:\Users\jaime.benazar\Quorum Business Solutions\Ecopetrol Prometeo - Documents\Planning Space Implementation\3. Analysis &amp; Design\Design\FC22\DRR Jaime\Neiva CPI\[VAO_DINA TERCIARIOS_CF_SEC_20230117.xlsx]CF PRBND'!</v>
      </c>
      <c r="G1048" s="7" t="s">
        <v>102</v>
      </c>
      <c r="H1048" s="4"/>
      <c r="I1048" s="4"/>
      <c r="J1048" s="4"/>
    </row>
    <row r="1049" spans="1:10" x14ac:dyDescent="0.3">
      <c r="A1049" s="7" t="s">
        <v>19</v>
      </c>
      <c r="B1049" s="7">
        <f>+B1048+1</f>
        <v>2044</v>
      </c>
      <c r="C1049" s="4" t="s">
        <v>37</v>
      </c>
      <c r="D1049" s="5" t="s">
        <v>131</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Jaime\Neiva CPI\[VAO_DINA TERCIARIOS_CF_SEC_20230117.xlsx]CF PRBND'!</v>
      </c>
      <c r="G1049" s="7" t="s">
        <v>102</v>
      </c>
      <c r="H1049" s="4"/>
      <c r="I1049" s="4"/>
      <c r="J1049" s="4"/>
    </row>
    <row r="1050" spans="1:10" x14ac:dyDescent="0.3">
      <c r="A1050" s="7" t="s">
        <v>19</v>
      </c>
      <c r="B1050" s="7">
        <f t="shared" ref="B1050:B1064" si="245">+B1049+1</f>
        <v>2045</v>
      </c>
      <c r="C1050" s="4" t="s">
        <v>37</v>
      </c>
      <c r="D1050" s="5" t="s">
        <v>131</v>
      </c>
      <c r="E1050" s="10" t="str">
        <f t="shared" si="243"/>
        <v>PRBND'!</v>
      </c>
      <c r="F1050" s="5" t="str">
        <f t="shared" si="244"/>
        <v>C:\Users\jaime.benazar\Quorum Business Solutions\Ecopetrol Prometeo - Documents\Planning Space Implementation\3. Analysis &amp; Design\Design\FC22\DRR Jaime\Neiva CPI\[VAO_DINA TERCIARIOS_CF_SEC_20230117.xlsx]CF PRBND'!</v>
      </c>
      <c r="G1050" s="7" t="s">
        <v>102</v>
      </c>
      <c r="H1050" s="4"/>
      <c r="I1050" s="4"/>
      <c r="J1050" s="4"/>
    </row>
    <row r="1051" spans="1:10" x14ac:dyDescent="0.3">
      <c r="A1051" s="7" t="s">
        <v>19</v>
      </c>
      <c r="B1051" s="7">
        <f t="shared" si="245"/>
        <v>2046</v>
      </c>
      <c r="C1051" s="4" t="s">
        <v>37</v>
      </c>
      <c r="D1051" s="5" t="s">
        <v>131</v>
      </c>
      <c r="E1051" s="10" t="str">
        <f t="shared" si="243"/>
        <v>PRBND'!</v>
      </c>
      <c r="F1051" s="5" t="str">
        <f t="shared" si="244"/>
        <v>C:\Users\jaime.benazar\Quorum Business Solutions\Ecopetrol Prometeo - Documents\Planning Space Implementation\3. Analysis &amp; Design\Design\FC22\DRR Jaime\Neiva CPI\[VAO_DINA TERCIARIOS_CF_SEC_20230117.xlsx]CF PRBND'!</v>
      </c>
      <c r="G1051" s="7" t="s">
        <v>102</v>
      </c>
      <c r="H1051" s="4"/>
      <c r="I1051" s="4"/>
      <c r="J1051" s="4"/>
    </row>
    <row r="1052" spans="1:10" x14ac:dyDescent="0.3">
      <c r="A1052" s="7" t="s">
        <v>19</v>
      </c>
      <c r="B1052" s="7">
        <f t="shared" si="245"/>
        <v>2047</v>
      </c>
      <c r="C1052" s="4" t="s">
        <v>37</v>
      </c>
      <c r="D1052" s="5" t="s">
        <v>131</v>
      </c>
      <c r="E1052" s="10" t="str">
        <f t="shared" si="243"/>
        <v>PRBND'!</v>
      </c>
      <c r="F1052" s="5" t="str">
        <f t="shared" si="244"/>
        <v>C:\Users\jaime.benazar\Quorum Business Solutions\Ecopetrol Prometeo - Documents\Planning Space Implementation\3. Analysis &amp; Design\Design\FC22\DRR Jaime\Neiva CPI\[VAO_DINA TERCIARIOS_CF_SEC_20230117.xlsx]CF PRBND'!</v>
      </c>
      <c r="G1052" s="7" t="s">
        <v>102</v>
      </c>
      <c r="H1052" s="4"/>
      <c r="I1052" s="4"/>
      <c r="J1052" s="4"/>
    </row>
    <row r="1053" spans="1:10" x14ac:dyDescent="0.3">
      <c r="A1053" s="7" t="s">
        <v>19</v>
      </c>
      <c r="B1053" s="7">
        <f t="shared" si="245"/>
        <v>2048</v>
      </c>
      <c r="C1053" s="4" t="s">
        <v>37</v>
      </c>
      <c r="D1053" s="5" t="s">
        <v>131</v>
      </c>
      <c r="E1053" s="10" t="str">
        <f t="shared" si="243"/>
        <v>PRBND'!</v>
      </c>
      <c r="F1053" s="5" t="str">
        <f t="shared" si="244"/>
        <v>C:\Users\jaime.benazar\Quorum Business Solutions\Ecopetrol Prometeo - Documents\Planning Space Implementation\3. Analysis &amp; Design\Design\FC22\DRR Jaime\Neiva CPI\[VAO_DINA TERCIARIOS_CF_SEC_20230117.xlsx]CF PRBND'!</v>
      </c>
      <c r="G1053" s="7" t="s">
        <v>102</v>
      </c>
      <c r="H1053" s="4"/>
      <c r="I1053" s="4"/>
      <c r="J1053" s="4"/>
    </row>
    <row r="1054" spans="1:10" x14ac:dyDescent="0.3">
      <c r="A1054" s="7" t="s">
        <v>19</v>
      </c>
      <c r="B1054" s="7">
        <f t="shared" si="245"/>
        <v>2049</v>
      </c>
      <c r="C1054" s="4" t="s">
        <v>37</v>
      </c>
      <c r="D1054" s="5" t="s">
        <v>131</v>
      </c>
      <c r="E1054" s="10" t="str">
        <f t="shared" si="243"/>
        <v>PRBND'!</v>
      </c>
      <c r="F1054" s="5" t="str">
        <f t="shared" si="244"/>
        <v>C:\Users\jaime.benazar\Quorum Business Solutions\Ecopetrol Prometeo - Documents\Planning Space Implementation\3. Analysis &amp; Design\Design\FC22\DRR Jaime\Neiva CPI\[VAO_DINA TERCIARIOS_CF_SEC_20230117.xlsx]CF PRBND'!</v>
      </c>
      <c r="G1054" s="7" t="s">
        <v>102</v>
      </c>
      <c r="H1054" s="4"/>
      <c r="I1054" s="4"/>
      <c r="J1054" s="4"/>
    </row>
    <row r="1055" spans="1:10" x14ac:dyDescent="0.3">
      <c r="A1055" s="7" t="s">
        <v>19</v>
      </c>
      <c r="B1055" s="7">
        <f t="shared" si="245"/>
        <v>2050</v>
      </c>
      <c r="C1055" s="4" t="s">
        <v>37</v>
      </c>
      <c r="D1055" s="5" t="s">
        <v>131</v>
      </c>
      <c r="E1055" s="10" t="str">
        <f t="shared" si="243"/>
        <v>PRBND'!</v>
      </c>
      <c r="F1055" s="5" t="str">
        <f t="shared" si="244"/>
        <v>C:\Users\jaime.benazar\Quorum Business Solutions\Ecopetrol Prometeo - Documents\Planning Space Implementation\3. Analysis &amp; Design\Design\FC22\DRR Jaime\Neiva CPI\[VAO_DINA TERCIARIOS_CF_SEC_20230117.xlsx]CF PRBND'!</v>
      </c>
      <c r="G1055" s="7" t="s">
        <v>102</v>
      </c>
      <c r="H1055" s="4"/>
      <c r="I1055" s="4"/>
      <c r="J1055" s="4"/>
    </row>
    <row r="1056" spans="1:10" x14ac:dyDescent="0.3">
      <c r="A1056" s="7" t="s">
        <v>19</v>
      </c>
      <c r="B1056" s="7">
        <f t="shared" si="245"/>
        <v>2051</v>
      </c>
      <c r="C1056" s="4" t="s">
        <v>37</v>
      </c>
      <c r="D1056" s="5" t="s">
        <v>131</v>
      </c>
      <c r="E1056" s="10" t="str">
        <f t="shared" si="243"/>
        <v>PRBND'!</v>
      </c>
      <c r="F1056" s="5" t="str">
        <f t="shared" si="244"/>
        <v>C:\Users\jaime.benazar\Quorum Business Solutions\Ecopetrol Prometeo - Documents\Planning Space Implementation\3. Analysis &amp; Design\Design\FC22\DRR Jaime\Neiva CPI\[VAO_DINA TERCIARIOS_CF_SEC_20230117.xlsx]CF PRBND'!</v>
      </c>
      <c r="G1056" s="7" t="s">
        <v>102</v>
      </c>
      <c r="H1056" s="4"/>
      <c r="I1056" s="4"/>
      <c r="J1056" s="4"/>
    </row>
    <row r="1057" spans="1:10" x14ac:dyDescent="0.3">
      <c r="A1057" s="7" t="s">
        <v>19</v>
      </c>
      <c r="B1057" s="7">
        <f t="shared" si="245"/>
        <v>2052</v>
      </c>
      <c r="C1057" s="4" t="s">
        <v>37</v>
      </c>
      <c r="D1057" s="5" t="s">
        <v>131</v>
      </c>
      <c r="E1057" s="10" t="str">
        <f t="shared" si="243"/>
        <v>PRBND'!</v>
      </c>
      <c r="F1057" s="5" t="str">
        <f t="shared" si="244"/>
        <v>C:\Users\jaime.benazar\Quorum Business Solutions\Ecopetrol Prometeo - Documents\Planning Space Implementation\3. Analysis &amp; Design\Design\FC22\DRR Jaime\Neiva CPI\[VAO_DINA TERCIARIOS_CF_SEC_20230117.xlsx]CF PRBND'!</v>
      </c>
      <c r="G1057" s="7" t="s">
        <v>102</v>
      </c>
      <c r="H1057" s="4"/>
      <c r="I1057" s="4"/>
      <c r="J1057" s="4"/>
    </row>
    <row r="1058" spans="1:10" x14ac:dyDescent="0.3">
      <c r="A1058" s="7" t="s">
        <v>19</v>
      </c>
      <c r="B1058" s="7">
        <f t="shared" si="245"/>
        <v>2053</v>
      </c>
      <c r="C1058" s="4" t="s">
        <v>37</v>
      </c>
      <c r="D1058" s="5" t="s">
        <v>131</v>
      </c>
      <c r="E1058" s="10" t="str">
        <f t="shared" si="243"/>
        <v>PRBND'!</v>
      </c>
      <c r="F1058" s="5" t="str">
        <f t="shared" si="244"/>
        <v>C:\Users\jaime.benazar\Quorum Business Solutions\Ecopetrol Prometeo - Documents\Planning Space Implementation\3. Analysis &amp; Design\Design\FC22\DRR Jaime\Neiva CPI\[VAO_DINA TERCIARIOS_CF_SEC_20230117.xlsx]CF PRBND'!</v>
      </c>
      <c r="G1058" s="7" t="s">
        <v>102</v>
      </c>
      <c r="H1058" s="4"/>
      <c r="I1058" s="4"/>
      <c r="J1058" s="4"/>
    </row>
    <row r="1059" spans="1:10" x14ac:dyDescent="0.3">
      <c r="A1059" s="7" t="s">
        <v>19</v>
      </c>
      <c r="B1059" s="7">
        <f t="shared" si="245"/>
        <v>2054</v>
      </c>
      <c r="C1059" s="4" t="s">
        <v>37</v>
      </c>
      <c r="D1059" s="5" t="s">
        <v>131</v>
      </c>
      <c r="E1059" s="10" t="str">
        <f t="shared" si="243"/>
        <v>PRBND'!</v>
      </c>
      <c r="F1059" s="5" t="str">
        <f t="shared" si="244"/>
        <v>C:\Users\jaime.benazar\Quorum Business Solutions\Ecopetrol Prometeo - Documents\Planning Space Implementation\3. Analysis &amp; Design\Design\FC22\DRR Jaime\Neiva CPI\[VAO_DINA TERCIARIOS_CF_SEC_20230117.xlsx]CF PRBND'!</v>
      </c>
      <c r="G1059" s="7" t="s">
        <v>102</v>
      </c>
      <c r="H1059" s="4"/>
      <c r="I1059" s="4"/>
      <c r="J1059" s="4"/>
    </row>
    <row r="1060" spans="1:10" x14ac:dyDescent="0.3">
      <c r="A1060" s="7" t="s">
        <v>19</v>
      </c>
      <c r="B1060" s="7">
        <f t="shared" si="245"/>
        <v>2055</v>
      </c>
      <c r="C1060" s="4" t="s">
        <v>37</v>
      </c>
      <c r="D1060" s="5" t="s">
        <v>131</v>
      </c>
      <c r="E1060" s="10" t="str">
        <f t="shared" si="243"/>
        <v>PRBND'!</v>
      </c>
      <c r="F1060" s="5" t="str">
        <f t="shared" si="244"/>
        <v>C:\Users\jaime.benazar\Quorum Business Solutions\Ecopetrol Prometeo - Documents\Planning Space Implementation\3. Analysis &amp; Design\Design\FC22\DRR Jaime\Neiva CPI\[VAO_DINA TERCIARIOS_CF_SEC_20230117.xlsx]CF PRBND'!</v>
      </c>
      <c r="G1060" s="7" t="s">
        <v>102</v>
      </c>
      <c r="H1060" s="4"/>
      <c r="I1060" s="4"/>
      <c r="J1060" s="4"/>
    </row>
    <row r="1061" spans="1:10" x14ac:dyDescent="0.3">
      <c r="A1061" s="7" t="s">
        <v>19</v>
      </c>
      <c r="B1061" s="7">
        <f t="shared" si="245"/>
        <v>2056</v>
      </c>
      <c r="C1061" s="4" t="s">
        <v>37</v>
      </c>
      <c r="D1061" s="5" t="s">
        <v>131</v>
      </c>
      <c r="E1061" s="10" t="str">
        <f t="shared" si="243"/>
        <v>PRBND'!</v>
      </c>
      <c r="F1061" s="5" t="str">
        <f t="shared" si="244"/>
        <v>C:\Users\jaime.benazar\Quorum Business Solutions\Ecopetrol Prometeo - Documents\Planning Space Implementation\3. Analysis &amp; Design\Design\FC22\DRR Jaime\Neiva CPI\[VAO_DINA TERCIARIOS_CF_SEC_20230117.xlsx]CF PRBND'!</v>
      </c>
      <c r="G1061" s="7" t="s">
        <v>102</v>
      </c>
      <c r="H1061" s="4"/>
      <c r="I1061" s="4"/>
      <c r="J1061" s="4"/>
    </row>
    <row r="1062" spans="1:10" x14ac:dyDescent="0.3">
      <c r="A1062" s="7" t="s">
        <v>19</v>
      </c>
      <c r="B1062" s="7">
        <f t="shared" si="245"/>
        <v>2057</v>
      </c>
      <c r="C1062" s="4" t="s">
        <v>37</v>
      </c>
      <c r="D1062" s="5" t="s">
        <v>131</v>
      </c>
      <c r="E1062" s="10" t="str">
        <f t="shared" si="243"/>
        <v>PRBND'!</v>
      </c>
      <c r="F1062" s="5" t="str">
        <f t="shared" si="244"/>
        <v>C:\Users\jaime.benazar\Quorum Business Solutions\Ecopetrol Prometeo - Documents\Planning Space Implementation\3. Analysis &amp; Design\Design\FC22\DRR Jaime\Neiva CPI\[VAO_DINA TERCIARIOS_CF_SEC_20230117.xlsx]CF PRBND'!</v>
      </c>
      <c r="G1062" s="7" t="s">
        <v>102</v>
      </c>
      <c r="H1062" s="4"/>
      <c r="I1062" s="4"/>
      <c r="J1062" s="4"/>
    </row>
    <row r="1063" spans="1:10" x14ac:dyDescent="0.3">
      <c r="A1063" s="7" t="s">
        <v>19</v>
      </c>
      <c r="B1063" s="7">
        <f t="shared" si="245"/>
        <v>2058</v>
      </c>
      <c r="C1063" s="4" t="s">
        <v>37</v>
      </c>
      <c r="D1063" s="5" t="s">
        <v>131</v>
      </c>
      <c r="E1063" s="10" t="str">
        <f t="shared" si="243"/>
        <v>PRBND'!</v>
      </c>
      <c r="F1063" s="5" t="str">
        <f t="shared" si="244"/>
        <v>C:\Users\jaime.benazar\Quorum Business Solutions\Ecopetrol Prometeo - Documents\Planning Space Implementation\3. Analysis &amp; Design\Design\FC22\DRR Jaime\Neiva CPI\[VAO_DINA TERCIARIOS_CF_SEC_20230117.xlsx]CF PRBND'!</v>
      </c>
      <c r="G1063" s="7" t="s">
        <v>102</v>
      </c>
      <c r="H1063" s="4"/>
      <c r="I1063" s="4"/>
      <c r="J1063" s="4"/>
    </row>
    <row r="1064" spans="1:10" x14ac:dyDescent="0.3">
      <c r="A1064" s="7" t="s">
        <v>19</v>
      </c>
      <c r="B1064" s="7">
        <f t="shared" si="245"/>
        <v>2059</v>
      </c>
      <c r="C1064" s="4" t="s">
        <v>37</v>
      </c>
      <c r="D1064" s="5" t="s">
        <v>131</v>
      </c>
      <c r="E1064" s="10" t="str">
        <f t="shared" si="243"/>
        <v>PRBND'!</v>
      </c>
      <c r="F1064" s="5" t="str">
        <f t="shared" si="244"/>
        <v>C:\Users\jaime.benazar\Quorum Business Solutions\Ecopetrol Prometeo - Documents\Planning Space Implementation\3. Analysis &amp; Design\Design\FC22\DRR Jaime\Neiva CPI\[VAO_DINA TERCIARIOS_CF_SEC_20230117.xlsx]CF PRBND'!</v>
      </c>
      <c r="G1064" s="7" t="s">
        <v>102</v>
      </c>
      <c r="H1064" s="4"/>
      <c r="I1064" s="4"/>
      <c r="J1064" s="4"/>
    </row>
    <row r="1065" spans="1:10" x14ac:dyDescent="0.3">
      <c r="A1065" s="7" t="s">
        <v>26</v>
      </c>
      <c r="B1065" s="7"/>
      <c r="C1065" s="4" t="s">
        <v>37</v>
      </c>
      <c r="D1065" s="5"/>
      <c r="E1065" s="10"/>
      <c r="F1065" s="5" t="str">
        <f t="shared" si="234"/>
        <v xml:space="preserve"> </v>
      </c>
      <c r="G1065" s="7"/>
      <c r="H1065" s="4"/>
      <c r="I1065" s="4"/>
      <c r="J1065" s="4"/>
    </row>
    <row r="1066" spans="1:10" x14ac:dyDescent="0.3">
      <c r="A1066" s="7" t="s">
        <v>20</v>
      </c>
      <c r="B1066" s="7">
        <v>2023</v>
      </c>
      <c r="C1066" s="4" t="s">
        <v>37</v>
      </c>
      <c r="D1066" s="5" t="s">
        <v>131</v>
      </c>
      <c r="E1066" s="10" t="str">
        <f t="shared" si="216"/>
        <v>PRB'!</v>
      </c>
      <c r="F1066" s="5" t="str">
        <f t="shared" si="234"/>
        <v>C:\Users\jaime.benazar\Quorum Business Solutions\Ecopetrol Prometeo - Documents\Planning Space Implementation\3. Analysis &amp; Design\Design\FC22\DRR Jaime\Neiva CPI\[VAO_DINA TERCIARIOS_CF_SEC_20230117.xlsx]CF PRB'!</v>
      </c>
      <c r="G1066" s="7" t="s">
        <v>102</v>
      </c>
      <c r="H1066" s="4">
        <f>IF(A1066&lt;&gt;A936,36,H936+1)</f>
        <v>36</v>
      </c>
      <c r="I1066" s="4" t="str">
        <f t="shared" si="217"/>
        <v>='C:\Users\jaime.benazar\Quorum Business Solutions\Ecopetrol Prometeo - Documents\Planning Space Implementation\3. Analysis &amp; Design\Design\FC22\DRR Jaime\Neiva CPI\[VAO_DINA TERCIARIOS_CF_SEC_20230117.xlsx]CF PRB'!$BW$36</v>
      </c>
      <c r="J1066" s="4" t="s">
        <v>613</v>
      </c>
    </row>
    <row r="1067" spans="1:10" x14ac:dyDescent="0.3">
      <c r="A1067" s="7" t="s">
        <v>20</v>
      </c>
      <c r="B1067" s="7">
        <f>+B1066+1</f>
        <v>2024</v>
      </c>
      <c r="C1067" s="4" t="s">
        <v>37</v>
      </c>
      <c r="D1067" s="5" t="s">
        <v>131</v>
      </c>
      <c r="E1067" s="10" t="str">
        <f t="shared" si="216"/>
        <v>PRB'!</v>
      </c>
      <c r="F1067" s="5" t="str">
        <f t="shared" si="234"/>
        <v>C:\Users\jaime.benazar\Quorum Business Solutions\Ecopetrol Prometeo - Documents\Planning Space Implementation\3. Analysis &amp; Design\Design\FC22\DRR Jaime\Neiva CPI\[VAO_DINA TERCIARIOS_CF_SEC_20230117.xlsx]CF PRB'!</v>
      </c>
      <c r="G1067" s="7" t="s">
        <v>102</v>
      </c>
      <c r="H1067" s="4">
        <f t="shared" si="218"/>
        <v>37</v>
      </c>
      <c r="I1067" s="4" t="str">
        <f t="shared" si="217"/>
        <v>='C:\Users\jaime.benazar\Quorum Business Solutions\Ecopetrol Prometeo - Documents\Planning Space Implementation\3. Analysis &amp; Design\Design\FC22\DRR Jaime\Neiva CPI\[VAO_DINA TERCIARIOS_CF_SEC_20230117.xlsx]CF PRB'!$BW$37</v>
      </c>
      <c r="J1067" s="4" t="s">
        <v>614</v>
      </c>
    </row>
    <row r="1068" spans="1:10" x14ac:dyDescent="0.3">
      <c r="A1068" s="7" t="s">
        <v>20</v>
      </c>
      <c r="B1068" s="7">
        <f t="shared" ref="B1068:B1079" si="246">+B1067+1</f>
        <v>2025</v>
      </c>
      <c r="C1068" s="4" t="s">
        <v>37</v>
      </c>
      <c r="D1068" s="5" t="s">
        <v>131</v>
      </c>
      <c r="E1068" s="10" t="str">
        <f t="shared" si="216"/>
        <v>PRB'!</v>
      </c>
      <c r="F1068" s="5" t="str">
        <f t="shared" si="234"/>
        <v>C:\Users\jaime.benazar\Quorum Business Solutions\Ecopetrol Prometeo - Documents\Planning Space Implementation\3. Analysis &amp; Design\Design\FC22\DRR Jaime\Neiva CPI\[VAO_DINA TERCIARIOS_CF_SEC_20230117.xlsx]CF PRB'!</v>
      </c>
      <c r="G1068" s="7" t="s">
        <v>102</v>
      </c>
      <c r="H1068" s="4">
        <f t="shared" si="218"/>
        <v>38</v>
      </c>
      <c r="I1068" s="4" t="str">
        <f t="shared" si="217"/>
        <v>='C:\Users\jaime.benazar\Quorum Business Solutions\Ecopetrol Prometeo - Documents\Planning Space Implementation\3. Analysis &amp; Design\Design\FC22\DRR Jaime\Neiva CPI\[VAO_DINA TERCIARIOS_CF_SEC_20230117.xlsx]CF PRB'!$BW$38</v>
      </c>
      <c r="J1068" s="4" t="s">
        <v>615</v>
      </c>
    </row>
    <row r="1069" spans="1:10" x14ac:dyDescent="0.3">
      <c r="A1069" s="7" t="s">
        <v>20</v>
      </c>
      <c r="B1069" s="7">
        <f t="shared" si="246"/>
        <v>2026</v>
      </c>
      <c r="C1069" s="4" t="s">
        <v>37</v>
      </c>
      <c r="D1069" s="5" t="s">
        <v>131</v>
      </c>
      <c r="E1069" s="10" t="str">
        <f t="shared" si="216"/>
        <v>PRB'!</v>
      </c>
      <c r="F1069" s="5" t="str">
        <f t="shared" si="234"/>
        <v>C:\Users\jaime.benazar\Quorum Business Solutions\Ecopetrol Prometeo - Documents\Planning Space Implementation\3. Analysis &amp; Design\Design\FC22\DRR Jaime\Neiva CPI\[VAO_DINA TERCIARIOS_CF_SEC_20230117.xlsx]CF PRB'!</v>
      </c>
      <c r="G1069" s="7" t="s">
        <v>102</v>
      </c>
      <c r="H1069" s="4">
        <f t="shared" si="218"/>
        <v>39</v>
      </c>
      <c r="I1069" s="4" t="str">
        <f t="shared" si="217"/>
        <v>='C:\Users\jaime.benazar\Quorum Business Solutions\Ecopetrol Prometeo - Documents\Planning Space Implementation\3. Analysis &amp; Design\Design\FC22\DRR Jaime\Neiva CPI\[VAO_DINA TERCIARIOS_CF_SEC_20230117.xlsx]CF PRB'!$BW$39</v>
      </c>
      <c r="J1069" s="4" t="s">
        <v>616</v>
      </c>
    </row>
    <row r="1070" spans="1:10" x14ac:dyDescent="0.3">
      <c r="A1070" s="7" t="s">
        <v>20</v>
      </c>
      <c r="B1070" s="7">
        <f t="shared" si="246"/>
        <v>2027</v>
      </c>
      <c r="C1070" s="4" t="s">
        <v>37</v>
      </c>
      <c r="D1070" s="5" t="s">
        <v>131</v>
      </c>
      <c r="E1070" s="10" t="str">
        <f t="shared" si="216"/>
        <v>PRB'!</v>
      </c>
      <c r="F1070" s="5" t="str">
        <f t="shared" si="234"/>
        <v>C:\Users\jaime.benazar\Quorum Business Solutions\Ecopetrol Prometeo - Documents\Planning Space Implementation\3. Analysis &amp; Design\Design\FC22\DRR Jaime\Neiva CPI\[VAO_DINA TERCIARIOS_CF_SEC_20230117.xlsx]CF PRB'!</v>
      </c>
      <c r="G1070" s="7" t="s">
        <v>102</v>
      </c>
      <c r="H1070" s="4">
        <f t="shared" si="218"/>
        <v>40</v>
      </c>
      <c r="I1070" s="4" t="str">
        <f t="shared" si="217"/>
        <v>='C:\Users\jaime.benazar\Quorum Business Solutions\Ecopetrol Prometeo - Documents\Planning Space Implementation\3. Analysis &amp; Design\Design\FC22\DRR Jaime\Neiva CPI\[VAO_DINA TERCIARIOS_CF_SEC_20230117.xlsx]CF PRB'!$BW$40</v>
      </c>
      <c r="J1070" s="4" t="s">
        <v>617</v>
      </c>
    </row>
    <row r="1071" spans="1:10" x14ac:dyDescent="0.3">
      <c r="A1071" s="7" t="s">
        <v>20</v>
      </c>
      <c r="B1071" s="7">
        <f t="shared" si="246"/>
        <v>2028</v>
      </c>
      <c r="C1071" s="4" t="s">
        <v>37</v>
      </c>
      <c r="D1071" s="5" t="s">
        <v>131</v>
      </c>
      <c r="E1071" s="10" t="str">
        <f t="shared" si="216"/>
        <v>PRB'!</v>
      </c>
      <c r="F1071" s="5" t="str">
        <f t="shared" si="234"/>
        <v>C:\Users\jaime.benazar\Quorum Business Solutions\Ecopetrol Prometeo - Documents\Planning Space Implementation\3. Analysis &amp; Design\Design\FC22\DRR Jaime\Neiva CPI\[VAO_DINA TERCIARIOS_CF_SEC_20230117.xlsx]CF PRB'!</v>
      </c>
      <c r="G1071" s="7" t="s">
        <v>102</v>
      </c>
      <c r="H1071" s="4">
        <f t="shared" si="218"/>
        <v>41</v>
      </c>
      <c r="I1071" s="4" t="str">
        <f t="shared" si="217"/>
        <v>='C:\Users\jaime.benazar\Quorum Business Solutions\Ecopetrol Prometeo - Documents\Planning Space Implementation\3. Analysis &amp; Design\Design\FC22\DRR Jaime\Neiva CPI\[VAO_DINA TERCIARIOS_CF_SEC_20230117.xlsx]CF PRB'!$BW$41</v>
      </c>
      <c r="J1071" s="4" t="s">
        <v>618</v>
      </c>
    </row>
    <row r="1072" spans="1:10" x14ac:dyDescent="0.3">
      <c r="A1072" s="7" t="s">
        <v>20</v>
      </c>
      <c r="B1072" s="7">
        <f t="shared" si="246"/>
        <v>2029</v>
      </c>
      <c r="C1072" s="4" t="s">
        <v>37</v>
      </c>
      <c r="D1072" s="5" t="s">
        <v>131</v>
      </c>
      <c r="E1072" s="10" t="str">
        <f t="shared" si="216"/>
        <v>PRB'!</v>
      </c>
      <c r="F1072" s="5" t="str">
        <f t="shared" si="234"/>
        <v>C:\Users\jaime.benazar\Quorum Business Solutions\Ecopetrol Prometeo - Documents\Planning Space Implementation\3. Analysis &amp; Design\Design\FC22\DRR Jaime\Neiva CPI\[VAO_DINA TERCIARIOS_CF_SEC_20230117.xlsx]CF PRB'!</v>
      </c>
      <c r="G1072" s="7" t="s">
        <v>102</v>
      </c>
      <c r="H1072" s="4">
        <f t="shared" si="218"/>
        <v>42</v>
      </c>
      <c r="I1072" s="4" t="str">
        <f t="shared" si="217"/>
        <v>='C:\Users\jaime.benazar\Quorum Business Solutions\Ecopetrol Prometeo - Documents\Planning Space Implementation\3. Analysis &amp; Design\Design\FC22\DRR Jaime\Neiva CPI\[VAO_DINA TERCIARIOS_CF_SEC_20230117.xlsx]CF PRB'!$BW$42</v>
      </c>
      <c r="J1072" s="4" t="s">
        <v>619</v>
      </c>
    </row>
    <row r="1073" spans="1:10" x14ac:dyDescent="0.3">
      <c r="A1073" s="7" t="s">
        <v>20</v>
      </c>
      <c r="B1073" s="7">
        <f t="shared" si="246"/>
        <v>2030</v>
      </c>
      <c r="C1073" s="4" t="s">
        <v>37</v>
      </c>
      <c r="D1073" s="5" t="s">
        <v>131</v>
      </c>
      <c r="E1073" s="10" t="str">
        <f t="shared" si="216"/>
        <v>PRB'!</v>
      </c>
      <c r="F1073" s="5" t="str">
        <f t="shared" si="234"/>
        <v>C:\Users\jaime.benazar\Quorum Business Solutions\Ecopetrol Prometeo - Documents\Planning Space Implementation\3. Analysis &amp; Design\Design\FC22\DRR Jaime\Neiva CPI\[VAO_DINA TERCIARIOS_CF_SEC_20230117.xlsx]CF PRB'!</v>
      </c>
      <c r="G1073" s="7" t="s">
        <v>102</v>
      </c>
      <c r="H1073" s="4">
        <f t="shared" si="218"/>
        <v>43</v>
      </c>
      <c r="I1073" s="4" t="str">
        <f t="shared" si="217"/>
        <v>='C:\Users\jaime.benazar\Quorum Business Solutions\Ecopetrol Prometeo - Documents\Planning Space Implementation\3. Analysis &amp; Design\Design\FC22\DRR Jaime\Neiva CPI\[VAO_DINA TERCIARIOS_CF_SEC_20230117.xlsx]CF PRB'!$BW$43</v>
      </c>
      <c r="J1073" s="4" t="s">
        <v>620</v>
      </c>
    </row>
    <row r="1074" spans="1:10" x14ac:dyDescent="0.3">
      <c r="A1074" s="7" t="s">
        <v>20</v>
      </c>
      <c r="B1074" s="7">
        <f t="shared" si="246"/>
        <v>2031</v>
      </c>
      <c r="C1074" s="4" t="s">
        <v>37</v>
      </c>
      <c r="D1074" s="5" t="s">
        <v>131</v>
      </c>
      <c r="E1074" s="10" t="str">
        <f t="shared" si="216"/>
        <v>PRB'!</v>
      </c>
      <c r="F1074" s="5" t="str">
        <f t="shared" si="234"/>
        <v>C:\Users\jaime.benazar\Quorum Business Solutions\Ecopetrol Prometeo - Documents\Planning Space Implementation\3. Analysis &amp; Design\Design\FC22\DRR Jaime\Neiva CPI\[VAO_DINA TERCIARIOS_CF_SEC_20230117.xlsx]CF PRB'!</v>
      </c>
      <c r="G1074" s="7" t="s">
        <v>102</v>
      </c>
      <c r="H1074" s="4">
        <f t="shared" si="218"/>
        <v>44</v>
      </c>
      <c r="I1074" s="4" t="str">
        <f t="shared" si="217"/>
        <v>='C:\Users\jaime.benazar\Quorum Business Solutions\Ecopetrol Prometeo - Documents\Planning Space Implementation\3. Analysis &amp; Design\Design\FC22\DRR Jaime\Neiva CPI\[VAO_DINA TERCIARIOS_CF_SEC_20230117.xlsx]CF PRB'!$BW$44</v>
      </c>
      <c r="J1074" s="4" t="s">
        <v>621</v>
      </c>
    </row>
    <row r="1075" spans="1:10" x14ac:dyDescent="0.3">
      <c r="A1075" s="7" t="s">
        <v>20</v>
      </c>
      <c r="B1075" s="7">
        <f t="shared" si="246"/>
        <v>2032</v>
      </c>
      <c r="C1075" s="4" t="s">
        <v>37</v>
      </c>
      <c r="D1075" s="5" t="s">
        <v>131</v>
      </c>
      <c r="E1075" s="10" t="str">
        <f t="shared" si="216"/>
        <v>PRB'!</v>
      </c>
      <c r="F1075" s="5" t="str">
        <f t="shared" si="234"/>
        <v>C:\Users\jaime.benazar\Quorum Business Solutions\Ecopetrol Prometeo - Documents\Planning Space Implementation\3. Analysis &amp; Design\Design\FC22\DRR Jaime\Neiva CPI\[VAO_DINA TERCIARIOS_CF_SEC_20230117.xlsx]CF PRB'!</v>
      </c>
      <c r="G1075" s="7" t="s">
        <v>102</v>
      </c>
      <c r="H1075" s="4">
        <f t="shared" si="218"/>
        <v>45</v>
      </c>
      <c r="I1075" s="4" t="str">
        <f t="shared" si="217"/>
        <v>='C:\Users\jaime.benazar\Quorum Business Solutions\Ecopetrol Prometeo - Documents\Planning Space Implementation\3. Analysis &amp; Design\Design\FC22\DRR Jaime\Neiva CPI\[VAO_DINA TERCIARIOS_CF_SEC_20230117.xlsx]CF PRB'!$BW$45</v>
      </c>
      <c r="J1075" s="4" t="s">
        <v>622</v>
      </c>
    </row>
    <row r="1076" spans="1:10" x14ac:dyDescent="0.3">
      <c r="A1076" s="7" t="s">
        <v>20</v>
      </c>
      <c r="B1076" s="7">
        <f t="shared" si="246"/>
        <v>2033</v>
      </c>
      <c r="C1076" s="4" t="s">
        <v>37</v>
      </c>
      <c r="D1076" s="5" t="s">
        <v>131</v>
      </c>
      <c r="E1076" s="10" t="str">
        <f t="shared" si="216"/>
        <v>PRB'!</v>
      </c>
      <c r="F1076" s="5" t="str">
        <f t="shared" si="234"/>
        <v>C:\Users\jaime.benazar\Quorum Business Solutions\Ecopetrol Prometeo - Documents\Planning Space Implementation\3. Analysis &amp; Design\Design\FC22\DRR Jaime\Neiva CPI\[VAO_DINA TERCIARIOS_CF_SEC_20230117.xlsx]CF PRB'!</v>
      </c>
      <c r="G1076" s="7" t="s">
        <v>102</v>
      </c>
      <c r="H1076" s="4">
        <f t="shared" si="218"/>
        <v>46</v>
      </c>
      <c r="I1076" s="4" t="str">
        <f t="shared" si="217"/>
        <v>='C:\Users\jaime.benazar\Quorum Business Solutions\Ecopetrol Prometeo - Documents\Planning Space Implementation\3. Analysis &amp; Design\Design\FC22\DRR Jaime\Neiva CPI\[VAO_DINA TERCIARIOS_CF_SEC_20230117.xlsx]CF PRB'!$BW$46</v>
      </c>
      <c r="J1076" s="4" t="s">
        <v>623</v>
      </c>
    </row>
    <row r="1077" spans="1:10" x14ac:dyDescent="0.3">
      <c r="A1077" s="7" t="s">
        <v>20</v>
      </c>
      <c r="B1077" s="7">
        <f t="shared" si="246"/>
        <v>2034</v>
      </c>
      <c r="C1077" s="4" t="s">
        <v>37</v>
      </c>
      <c r="D1077" s="5" t="s">
        <v>131</v>
      </c>
      <c r="E1077" s="10" t="str">
        <f t="shared" si="216"/>
        <v>PRB'!</v>
      </c>
      <c r="F1077" s="5" t="str">
        <f t="shared" si="234"/>
        <v>C:\Users\jaime.benazar\Quorum Business Solutions\Ecopetrol Prometeo - Documents\Planning Space Implementation\3. Analysis &amp; Design\Design\FC22\DRR Jaime\Neiva CPI\[VAO_DINA TERCIARIOS_CF_SEC_20230117.xlsx]CF PRB'!</v>
      </c>
      <c r="G1077" s="7" t="s">
        <v>102</v>
      </c>
      <c r="H1077" s="4">
        <f t="shared" si="218"/>
        <v>47</v>
      </c>
      <c r="I1077" s="4" t="str">
        <f t="shared" si="217"/>
        <v>='C:\Users\jaime.benazar\Quorum Business Solutions\Ecopetrol Prometeo - Documents\Planning Space Implementation\3. Analysis &amp; Design\Design\FC22\DRR Jaime\Neiva CPI\[VAO_DINA TERCIARIOS_CF_SEC_20230117.xlsx]CF PRB'!$BW$47</v>
      </c>
      <c r="J1077" s="4" t="s">
        <v>624</v>
      </c>
    </row>
    <row r="1078" spans="1:10" x14ac:dyDescent="0.3">
      <c r="A1078" s="7" t="s">
        <v>20</v>
      </c>
      <c r="B1078" s="7">
        <f t="shared" si="246"/>
        <v>2035</v>
      </c>
      <c r="C1078" s="4" t="s">
        <v>37</v>
      </c>
      <c r="D1078" s="5" t="s">
        <v>131</v>
      </c>
      <c r="E1078" s="10" t="str">
        <f t="shared" si="216"/>
        <v>PRB'!</v>
      </c>
      <c r="F1078" s="5" t="str">
        <f t="shared" si="234"/>
        <v>C:\Users\jaime.benazar\Quorum Business Solutions\Ecopetrol Prometeo - Documents\Planning Space Implementation\3. Analysis &amp; Design\Design\FC22\DRR Jaime\Neiva CPI\[VAO_DINA TERCIARIOS_CF_SEC_20230117.xlsx]CF PRB'!</v>
      </c>
      <c r="G1078" s="7" t="s">
        <v>102</v>
      </c>
      <c r="H1078" s="4">
        <f t="shared" si="218"/>
        <v>48</v>
      </c>
      <c r="I1078" s="4" t="str">
        <f t="shared" si="217"/>
        <v>='C:\Users\jaime.benazar\Quorum Business Solutions\Ecopetrol Prometeo - Documents\Planning Space Implementation\3. Analysis &amp; Design\Design\FC22\DRR Jaime\Neiva CPI\[VAO_DINA TERCIARIOS_CF_SEC_20230117.xlsx]CF PRB'!$BW$48</v>
      </c>
      <c r="J1078" s="4" t="s">
        <v>625</v>
      </c>
    </row>
    <row r="1079" spans="1:10" x14ac:dyDescent="0.3">
      <c r="A1079" s="7" t="s">
        <v>20</v>
      </c>
      <c r="B1079" s="7">
        <f t="shared" si="246"/>
        <v>2036</v>
      </c>
      <c r="C1079" s="4" t="s">
        <v>37</v>
      </c>
      <c r="D1079" s="5" t="s">
        <v>131</v>
      </c>
      <c r="E1079" s="10" t="str">
        <f t="shared" si="216"/>
        <v>PRB'!</v>
      </c>
      <c r="F1079" s="5" t="str">
        <f t="shared" si="234"/>
        <v>C:\Users\jaime.benazar\Quorum Business Solutions\Ecopetrol Prometeo - Documents\Planning Space Implementation\3. Analysis &amp; Design\Design\FC22\DRR Jaime\Neiva CPI\[VAO_DINA TERCIARIOS_CF_SEC_20230117.xlsx]CF PRB'!</v>
      </c>
      <c r="G1079" s="7" t="s">
        <v>102</v>
      </c>
      <c r="H1079" s="4">
        <f t="shared" si="218"/>
        <v>49</v>
      </c>
      <c r="I1079" s="4" t="str">
        <f t="shared" si="217"/>
        <v>='C:\Users\jaime.benazar\Quorum Business Solutions\Ecopetrol Prometeo - Documents\Planning Space Implementation\3. Analysis &amp; Design\Design\FC22\DRR Jaime\Neiva CPI\[VAO_DINA TERCIARIOS_CF_SEC_20230117.xlsx]CF PRB'!$BW$49</v>
      </c>
      <c r="J1079" s="4" t="s">
        <v>626</v>
      </c>
    </row>
    <row r="1080" spans="1:10" x14ac:dyDescent="0.3">
      <c r="A1080" s="7" t="s">
        <v>20</v>
      </c>
      <c r="B1080" s="7">
        <f>+B1079+1</f>
        <v>2037</v>
      </c>
      <c r="C1080" s="4" t="s">
        <v>37</v>
      </c>
      <c r="D1080" s="5" t="s">
        <v>131</v>
      </c>
      <c r="E1080" s="10" t="str">
        <f t="shared" si="216"/>
        <v>PRB'!</v>
      </c>
      <c r="F1080" s="5" t="str">
        <f t="shared" si="234"/>
        <v>C:\Users\jaime.benazar\Quorum Business Solutions\Ecopetrol Prometeo - Documents\Planning Space Implementation\3. Analysis &amp; Design\Design\FC22\DRR Jaime\Neiva CPI\[VAO_DINA TERCIARIOS_CF_SEC_20230117.xlsx]CF PRB'!</v>
      </c>
      <c r="G1080" s="7" t="s">
        <v>102</v>
      </c>
      <c r="H1080" s="4">
        <f t="shared" si="218"/>
        <v>50</v>
      </c>
      <c r="I1080" s="4" t="str">
        <f t="shared" si="217"/>
        <v>='C:\Users\jaime.benazar\Quorum Business Solutions\Ecopetrol Prometeo - Documents\Planning Space Implementation\3. Analysis &amp; Design\Design\FC22\DRR Jaime\Neiva CPI\[VAO_DINA TERCIARIOS_CF_SEC_20230117.xlsx]CF PRB'!$BW$50</v>
      </c>
      <c r="J1080" s="4" t="s">
        <v>627</v>
      </c>
    </row>
    <row r="1081" spans="1:10" x14ac:dyDescent="0.3">
      <c r="A1081" s="7" t="s">
        <v>20</v>
      </c>
      <c r="B1081" s="7">
        <f t="shared" ref="B1081:B1083" si="247">+B1080+1</f>
        <v>2038</v>
      </c>
      <c r="C1081" s="4" t="s">
        <v>37</v>
      </c>
      <c r="D1081" s="5" t="s">
        <v>131</v>
      </c>
      <c r="E1081" s="10" t="str">
        <f t="shared" si="216"/>
        <v>PRB'!</v>
      </c>
      <c r="F1081" s="5" t="str">
        <f t="shared" si="234"/>
        <v>C:\Users\jaime.benazar\Quorum Business Solutions\Ecopetrol Prometeo - Documents\Planning Space Implementation\3. Analysis &amp; Design\Design\FC22\DRR Jaime\Neiva CPI\[VAO_DINA TERCIARIOS_CF_SEC_20230117.xlsx]CF PRB'!</v>
      </c>
      <c r="G1081" s="7" t="s">
        <v>102</v>
      </c>
      <c r="H1081" s="4">
        <f t="shared" si="218"/>
        <v>51</v>
      </c>
      <c r="I1081" s="4" t="str">
        <f t="shared" si="217"/>
        <v>='C:\Users\jaime.benazar\Quorum Business Solutions\Ecopetrol Prometeo - Documents\Planning Space Implementation\3. Analysis &amp; Design\Design\FC22\DRR Jaime\Neiva CPI\[VAO_DINA TERCIARIOS_CF_SEC_20230117.xlsx]CF PRB'!$BW$51</v>
      </c>
      <c r="J1081" s="4" t="s">
        <v>628</v>
      </c>
    </row>
    <row r="1082" spans="1:10" x14ac:dyDescent="0.3">
      <c r="A1082" s="7" t="s">
        <v>20</v>
      </c>
      <c r="B1082" s="7">
        <f t="shared" si="247"/>
        <v>2039</v>
      </c>
      <c r="C1082" s="4" t="s">
        <v>37</v>
      </c>
      <c r="D1082" s="5" t="s">
        <v>131</v>
      </c>
      <c r="E1082" s="10" t="str">
        <f t="shared" si="216"/>
        <v>PRB'!</v>
      </c>
      <c r="F1082" s="5" t="str">
        <f t="shared" si="234"/>
        <v>C:\Users\jaime.benazar\Quorum Business Solutions\Ecopetrol Prometeo - Documents\Planning Space Implementation\3. Analysis &amp; Design\Design\FC22\DRR Jaime\Neiva CPI\[VAO_DINA TERCIARIOS_CF_SEC_20230117.xlsx]CF PRB'!</v>
      </c>
      <c r="G1082" s="7" t="s">
        <v>102</v>
      </c>
      <c r="H1082" s="4">
        <f t="shared" si="218"/>
        <v>52</v>
      </c>
      <c r="I1082" s="4" t="str">
        <f t="shared" si="217"/>
        <v>='C:\Users\jaime.benazar\Quorum Business Solutions\Ecopetrol Prometeo - Documents\Planning Space Implementation\3. Analysis &amp; Design\Design\FC22\DRR Jaime\Neiva CPI\[VAO_DINA TERCIARIOS_CF_SEC_20230117.xlsx]CF PRB'!$BW$52</v>
      </c>
      <c r="J1082" s="4" t="s">
        <v>629</v>
      </c>
    </row>
    <row r="1083" spans="1:10" x14ac:dyDescent="0.3">
      <c r="A1083" s="7" t="s">
        <v>20</v>
      </c>
      <c r="B1083" s="7">
        <f t="shared" si="247"/>
        <v>2040</v>
      </c>
      <c r="C1083" s="4" t="s">
        <v>37</v>
      </c>
      <c r="D1083" s="5" t="s">
        <v>131</v>
      </c>
      <c r="E1083" s="10" t="str">
        <f t="shared" si="216"/>
        <v>PRB'!</v>
      </c>
      <c r="F1083" s="5" t="str">
        <f t="shared" si="234"/>
        <v>C:\Users\jaime.benazar\Quorum Business Solutions\Ecopetrol Prometeo - Documents\Planning Space Implementation\3. Analysis &amp; Design\Design\FC22\DRR Jaime\Neiva CPI\[VAO_DINA TERCIARIOS_CF_SEC_20230117.xlsx]CF PRB'!</v>
      </c>
      <c r="G1083" s="7" t="s">
        <v>102</v>
      </c>
      <c r="H1083" s="4">
        <f t="shared" si="218"/>
        <v>53</v>
      </c>
      <c r="I1083" s="4" t="str">
        <f t="shared" si="217"/>
        <v>='C:\Users\jaime.benazar\Quorum Business Solutions\Ecopetrol Prometeo - Documents\Planning Space Implementation\3. Analysis &amp; Design\Design\FC22\DRR Jaime\Neiva CPI\[VAO_DINA TERCIARIOS_CF_SEC_20230117.xlsx]CF PRB'!$BW$53</v>
      </c>
      <c r="J1083" s="4" t="s">
        <v>630</v>
      </c>
    </row>
    <row r="1084" spans="1:10" x14ac:dyDescent="0.3">
      <c r="A1084" s="7" t="s">
        <v>20</v>
      </c>
      <c r="B1084" s="7">
        <f>+B1083+1</f>
        <v>2041</v>
      </c>
      <c r="C1084" s="4" t="s">
        <v>37</v>
      </c>
      <c r="D1084" s="5" t="s">
        <v>131</v>
      </c>
      <c r="E1084" s="10" t="str">
        <f t="shared" si="216"/>
        <v>PRB'!</v>
      </c>
      <c r="F1084" s="5" t="str">
        <f t="shared" si="234"/>
        <v>C:\Users\jaime.benazar\Quorum Business Solutions\Ecopetrol Prometeo - Documents\Planning Space Implementation\3. Analysis &amp; Design\Design\FC22\DRR Jaime\Neiva CPI\[VAO_DINA TERCIARIOS_CF_SEC_20230117.xlsx]CF PRB'!</v>
      </c>
      <c r="G1084" s="7" t="s">
        <v>102</v>
      </c>
      <c r="H1084" s="4">
        <f t="shared" si="218"/>
        <v>54</v>
      </c>
      <c r="I1084" s="4" t="str">
        <f t="shared" si="217"/>
        <v>='C:\Users\jaime.benazar\Quorum Business Solutions\Ecopetrol Prometeo - Documents\Planning Space Implementation\3. Analysis &amp; Design\Design\FC22\DRR Jaime\Neiva CPI\[VAO_DINA TERCIARIOS_CF_SEC_20230117.xlsx]CF PRB'!$BW$54</v>
      </c>
      <c r="J1084" s="4" t="s">
        <v>631</v>
      </c>
    </row>
    <row r="1085" spans="1:10" x14ac:dyDescent="0.3">
      <c r="A1085" s="7" t="s">
        <v>20</v>
      </c>
      <c r="B1085" s="7">
        <f t="shared" ref="B1085:B1086" si="248">+B1084+1</f>
        <v>2042</v>
      </c>
      <c r="C1085" s="4" t="s">
        <v>37</v>
      </c>
      <c r="D1085" s="5" t="s">
        <v>131</v>
      </c>
      <c r="E1085" s="10" t="str">
        <f t="shared" si="216"/>
        <v>PRB'!</v>
      </c>
      <c r="F1085" s="5" t="str">
        <f t="shared" si="234"/>
        <v>C:\Users\jaime.benazar\Quorum Business Solutions\Ecopetrol Prometeo - Documents\Planning Space Implementation\3. Analysis &amp; Design\Design\FC22\DRR Jaime\Neiva CPI\[VAO_DINA TERCIARIOS_CF_SEC_20230117.xlsx]CF PRB'!</v>
      </c>
      <c r="G1085" s="7" t="s">
        <v>102</v>
      </c>
      <c r="H1085" s="4">
        <f t="shared" si="218"/>
        <v>55</v>
      </c>
      <c r="I1085" s="4" t="str">
        <f t="shared" si="217"/>
        <v>='C:\Users\jaime.benazar\Quorum Business Solutions\Ecopetrol Prometeo - Documents\Planning Space Implementation\3. Analysis &amp; Design\Design\FC22\DRR Jaime\Neiva CPI\[VAO_DINA TERCIARIOS_CF_SEC_20230117.xlsx]CF PRB'!$BW$55</v>
      </c>
      <c r="J1085" s="4" t="s">
        <v>632</v>
      </c>
    </row>
    <row r="1086" spans="1:10" x14ac:dyDescent="0.3">
      <c r="A1086" s="7" t="s">
        <v>20</v>
      </c>
      <c r="B1086" s="7">
        <f t="shared" si="248"/>
        <v>2043</v>
      </c>
      <c r="C1086" s="4" t="s">
        <v>37</v>
      </c>
      <c r="D1086" s="5" t="s">
        <v>131</v>
      </c>
      <c r="E1086" s="10" t="str">
        <f t="shared" si="216"/>
        <v>PRB'!</v>
      </c>
      <c r="F1086" s="5" t="str">
        <f t="shared" si="234"/>
        <v>C:\Users\jaime.benazar\Quorum Business Solutions\Ecopetrol Prometeo - Documents\Planning Space Implementation\3. Analysis &amp; Design\Design\FC22\DRR Jaime\Neiva CPI\[VAO_DINA TERCIARIOS_CF_SEC_20230117.xlsx]CF PRB'!</v>
      </c>
      <c r="G1086" s="7" t="s">
        <v>102</v>
      </c>
      <c r="H1086" s="4">
        <f t="shared" si="218"/>
        <v>56</v>
      </c>
      <c r="I1086" s="4" t="str">
        <f t="shared" si="217"/>
        <v>='C:\Users\jaime.benazar\Quorum Business Solutions\Ecopetrol Prometeo - Documents\Planning Space Implementation\3. Analysis &amp; Design\Design\FC22\DRR Jaime\Neiva CPI\[VAO_DINA TERCIARIOS_CF_SEC_20230117.xlsx]CF PRB'!$BW$56</v>
      </c>
      <c r="J1086" s="4" t="s">
        <v>633</v>
      </c>
    </row>
    <row r="1087" spans="1:10" x14ac:dyDescent="0.3">
      <c r="A1087" s="7" t="s">
        <v>20</v>
      </c>
      <c r="B1087" s="7">
        <f>+B1086+1</f>
        <v>2044</v>
      </c>
      <c r="C1087" s="4" t="s">
        <v>37</v>
      </c>
      <c r="D1087" s="5" t="s">
        <v>131</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Jaime\Neiva CPI\[VAO_DINA TERCIARIOS_CF_SEC_20230117.xlsx]CF PRB'!</v>
      </c>
      <c r="G1087" s="7" t="s">
        <v>102</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Jaime\Neiva CPI\[VAO_DINA TERCIARIOS_CF_SEC_20230117.xlsx]CF PRB'!$BW$57</v>
      </c>
      <c r="J1087" s="4" t="s">
        <v>634</v>
      </c>
    </row>
    <row r="1088" spans="1:10" x14ac:dyDescent="0.3">
      <c r="A1088" s="7" t="s">
        <v>20</v>
      </c>
      <c r="B1088" s="7">
        <f t="shared" ref="B1088:B1102" si="253">+B1087+1</f>
        <v>2045</v>
      </c>
      <c r="C1088" s="4" t="s">
        <v>37</v>
      </c>
      <c r="D1088" s="5" t="s">
        <v>131</v>
      </c>
      <c r="E1088" s="10" t="str">
        <f t="shared" si="249"/>
        <v>PRB'!</v>
      </c>
      <c r="F1088" s="5" t="str">
        <f t="shared" si="250"/>
        <v>C:\Users\jaime.benazar\Quorum Business Solutions\Ecopetrol Prometeo - Documents\Planning Space Implementation\3. Analysis &amp; Design\Design\FC22\DRR Jaime\Neiva CPI\[VAO_DINA TERCIARIOS_CF_SEC_20230117.xlsx]CF PRB'!</v>
      </c>
      <c r="G1088" s="7" t="s">
        <v>102</v>
      </c>
      <c r="H1088" s="4">
        <f t="shared" si="251"/>
        <v>58</v>
      </c>
      <c r="I1088" s="4" t="str">
        <f t="shared" si="252"/>
        <v>='C:\Users\jaime.benazar\Quorum Business Solutions\Ecopetrol Prometeo - Documents\Planning Space Implementation\3. Analysis &amp; Design\Design\FC22\DRR Jaime\Neiva CPI\[VAO_DINA TERCIARIOS_CF_SEC_20230117.xlsx]CF PRB'!$BW$58</v>
      </c>
      <c r="J1088" s="4" t="s">
        <v>635</v>
      </c>
    </row>
    <row r="1089" spans="1:10" x14ac:dyDescent="0.3">
      <c r="A1089" s="7" t="s">
        <v>20</v>
      </c>
      <c r="B1089" s="7">
        <f t="shared" si="253"/>
        <v>2046</v>
      </c>
      <c r="C1089" s="4" t="s">
        <v>37</v>
      </c>
      <c r="D1089" s="5" t="s">
        <v>131</v>
      </c>
      <c r="E1089" s="10" t="str">
        <f t="shared" si="249"/>
        <v>PRB'!</v>
      </c>
      <c r="F1089" s="5" t="str">
        <f t="shared" si="250"/>
        <v>C:\Users\jaime.benazar\Quorum Business Solutions\Ecopetrol Prometeo - Documents\Planning Space Implementation\3. Analysis &amp; Design\Design\FC22\DRR Jaime\Neiva CPI\[VAO_DINA TERCIARIOS_CF_SEC_20230117.xlsx]CF PRB'!</v>
      </c>
      <c r="G1089" s="7" t="s">
        <v>102</v>
      </c>
      <c r="H1089" s="4">
        <f t="shared" si="251"/>
        <v>59</v>
      </c>
      <c r="I1089" s="4" t="str">
        <f t="shared" si="252"/>
        <v>='C:\Users\jaime.benazar\Quorum Business Solutions\Ecopetrol Prometeo - Documents\Planning Space Implementation\3. Analysis &amp; Design\Design\FC22\DRR Jaime\Neiva CPI\[VAO_DINA TERCIARIOS_CF_SEC_20230117.xlsx]CF PRB'!$BW$59</v>
      </c>
      <c r="J1089" s="4" t="s">
        <v>636</v>
      </c>
    </row>
    <row r="1090" spans="1:10" x14ac:dyDescent="0.3">
      <c r="A1090" s="7" t="s">
        <v>20</v>
      </c>
      <c r="B1090" s="7">
        <f t="shared" si="253"/>
        <v>2047</v>
      </c>
      <c r="C1090" s="4" t="s">
        <v>37</v>
      </c>
      <c r="D1090" s="5" t="s">
        <v>131</v>
      </c>
      <c r="E1090" s="10" t="str">
        <f t="shared" si="249"/>
        <v>PRB'!</v>
      </c>
      <c r="F1090" s="5" t="str">
        <f t="shared" si="250"/>
        <v>C:\Users\jaime.benazar\Quorum Business Solutions\Ecopetrol Prometeo - Documents\Planning Space Implementation\3. Analysis &amp; Design\Design\FC22\DRR Jaime\Neiva CPI\[VAO_DINA TERCIARIOS_CF_SEC_20230117.xlsx]CF PRB'!</v>
      </c>
      <c r="G1090" s="7" t="s">
        <v>102</v>
      </c>
      <c r="H1090" s="4">
        <f t="shared" si="251"/>
        <v>60</v>
      </c>
      <c r="I1090" s="4" t="str">
        <f t="shared" si="252"/>
        <v>='C:\Users\jaime.benazar\Quorum Business Solutions\Ecopetrol Prometeo - Documents\Planning Space Implementation\3. Analysis &amp; Design\Design\FC22\DRR Jaime\Neiva CPI\[VAO_DINA TERCIARIOS_CF_SEC_20230117.xlsx]CF PRB'!$BW$60</v>
      </c>
      <c r="J1090" s="4" t="s">
        <v>637</v>
      </c>
    </row>
    <row r="1091" spans="1:10" x14ac:dyDescent="0.3">
      <c r="A1091" s="7" t="s">
        <v>20</v>
      </c>
      <c r="B1091" s="7">
        <f t="shared" si="253"/>
        <v>2048</v>
      </c>
      <c r="C1091" s="4" t="s">
        <v>37</v>
      </c>
      <c r="D1091" s="5" t="s">
        <v>131</v>
      </c>
      <c r="E1091" s="10" t="str">
        <f t="shared" si="249"/>
        <v>PRB'!</v>
      </c>
      <c r="F1091" s="5" t="str">
        <f t="shared" si="250"/>
        <v>C:\Users\jaime.benazar\Quorum Business Solutions\Ecopetrol Prometeo - Documents\Planning Space Implementation\3. Analysis &amp; Design\Design\FC22\DRR Jaime\Neiva CPI\[VAO_DINA TERCIARIOS_CF_SEC_20230117.xlsx]CF PRB'!</v>
      </c>
      <c r="G1091" s="7" t="s">
        <v>102</v>
      </c>
      <c r="H1091" s="4">
        <f t="shared" si="251"/>
        <v>61</v>
      </c>
      <c r="I1091" s="4" t="str">
        <f t="shared" si="252"/>
        <v>='C:\Users\jaime.benazar\Quorum Business Solutions\Ecopetrol Prometeo - Documents\Planning Space Implementation\3. Analysis &amp; Design\Design\FC22\DRR Jaime\Neiva CPI\[VAO_DINA TERCIARIOS_CF_SEC_20230117.xlsx]CF PRB'!$BW$61</v>
      </c>
      <c r="J1091" s="4" t="s">
        <v>638</v>
      </c>
    </row>
    <row r="1092" spans="1:10" x14ac:dyDescent="0.3">
      <c r="A1092" s="7" t="s">
        <v>20</v>
      </c>
      <c r="B1092" s="7">
        <f t="shared" si="253"/>
        <v>2049</v>
      </c>
      <c r="C1092" s="4" t="s">
        <v>37</v>
      </c>
      <c r="D1092" s="5" t="s">
        <v>131</v>
      </c>
      <c r="E1092" s="10" t="str">
        <f t="shared" si="249"/>
        <v>PRB'!</v>
      </c>
      <c r="F1092" s="5" t="str">
        <f t="shared" si="250"/>
        <v>C:\Users\jaime.benazar\Quorum Business Solutions\Ecopetrol Prometeo - Documents\Planning Space Implementation\3. Analysis &amp; Design\Design\FC22\DRR Jaime\Neiva CPI\[VAO_DINA TERCIARIOS_CF_SEC_20230117.xlsx]CF PRB'!</v>
      </c>
      <c r="G1092" s="7" t="s">
        <v>102</v>
      </c>
      <c r="H1092" s="4">
        <f t="shared" si="251"/>
        <v>62</v>
      </c>
      <c r="I1092" s="4" t="str">
        <f t="shared" si="252"/>
        <v>='C:\Users\jaime.benazar\Quorum Business Solutions\Ecopetrol Prometeo - Documents\Planning Space Implementation\3. Analysis &amp; Design\Design\FC22\DRR Jaime\Neiva CPI\[VAO_DINA TERCIARIOS_CF_SEC_20230117.xlsx]CF PRB'!$BW$62</v>
      </c>
      <c r="J1092" s="4" t="s">
        <v>639</v>
      </c>
    </row>
    <row r="1093" spans="1:10" x14ac:dyDescent="0.3">
      <c r="A1093" s="7" t="s">
        <v>20</v>
      </c>
      <c r="B1093" s="7">
        <f t="shared" si="253"/>
        <v>2050</v>
      </c>
      <c r="C1093" s="4" t="s">
        <v>37</v>
      </c>
      <c r="D1093" s="5" t="s">
        <v>131</v>
      </c>
      <c r="E1093" s="10" t="str">
        <f t="shared" si="249"/>
        <v>PRB'!</v>
      </c>
      <c r="F1093" s="5" t="str">
        <f t="shared" si="250"/>
        <v>C:\Users\jaime.benazar\Quorum Business Solutions\Ecopetrol Prometeo - Documents\Planning Space Implementation\3. Analysis &amp; Design\Design\FC22\DRR Jaime\Neiva CPI\[VAO_DINA TERCIARIOS_CF_SEC_20230117.xlsx]CF PRB'!</v>
      </c>
      <c r="G1093" s="7" t="s">
        <v>102</v>
      </c>
      <c r="H1093" s="4">
        <f t="shared" si="251"/>
        <v>63</v>
      </c>
      <c r="I1093" s="4" t="str">
        <f t="shared" si="252"/>
        <v>='C:\Users\jaime.benazar\Quorum Business Solutions\Ecopetrol Prometeo - Documents\Planning Space Implementation\3. Analysis &amp; Design\Design\FC22\DRR Jaime\Neiva CPI\[VAO_DINA TERCIARIOS_CF_SEC_20230117.xlsx]CF PRB'!$BW$63</v>
      </c>
      <c r="J1093" s="4" t="s">
        <v>640</v>
      </c>
    </row>
    <row r="1094" spans="1:10" x14ac:dyDescent="0.3">
      <c r="A1094" s="7" t="s">
        <v>20</v>
      </c>
      <c r="B1094" s="7">
        <f t="shared" si="253"/>
        <v>2051</v>
      </c>
      <c r="C1094" s="4" t="s">
        <v>37</v>
      </c>
      <c r="D1094" s="5" t="s">
        <v>131</v>
      </c>
      <c r="E1094" s="10" t="str">
        <f t="shared" si="249"/>
        <v>PRB'!</v>
      </c>
      <c r="F1094" s="5" t="str">
        <f t="shared" si="250"/>
        <v>C:\Users\jaime.benazar\Quorum Business Solutions\Ecopetrol Prometeo - Documents\Planning Space Implementation\3. Analysis &amp; Design\Design\FC22\DRR Jaime\Neiva CPI\[VAO_DINA TERCIARIOS_CF_SEC_20230117.xlsx]CF PRB'!</v>
      </c>
      <c r="G1094" s="7" t="s">
        <v>102</v>
      </c>
      <c r="H1094" s="4">
        <f t="shared" si="251"/>
        <v>64</v>
      </c>
      <c r="I1094" s="4" t="str">
        <f t="shared" si="252"/>
        <v>='C:\Users\jaime.benazar\Quorum Business Solutions\Ecopetrol Prometeo - Documents\Planning Space Implementation\3. Analysis &amp; Design\Design\FC22\DRR Jaime\Neiva CPI\[VAO_DINA TERCIARIOS_CF_SEC_20230117.xlsx]CF PRB'!$BW$64</v>
      </c>
      <c r="J1094" s="4" t="s">
        <v>641</v>
      </c>
    </row>
    <row r="1095" spans="1:10" x14ac:dyDescent="0.3">
      <c r="A1095" s="7" t="s">
        <v>20</v>
      </c>
      <c r="B1095" s="7">
        <f t="shared" si="253"/>
        <v>2052</v>
      </c>
      <c r="C1095" s="4" t="s">
        <v>37</v>
      </c>
      <c r="D1095" s="5" t="s">
        <v>131</v>
      </c>
      <c r="E1095" s="10" t="str">
        <f t="shared" si="249"/>
        <v>PRB'!</v>
      </c>
      <c r="F1095" s="5" t="str">
        <f t="shared" si="250"/>
        <v>C:\Users\jaime.benazar\Quorum Business Solutions\Ecopetrol Prometeo - Documents\Planning Space Implementation\3. Analysis &amp; Design\Design\FC22\DRR Jaime\Neiva CPI\[VAO_DINA TERCIARIOS_CF_SEC_20230117.xlsx]CF PRB'!</v>
      </c>
      <c r="G1095" s="7" t="s">
        <v>102</v>
      </c>
      <c r="H1095" s="4">
        <f t="shared" si="251"/>
        <v>65</v>
      </c>
      <c r="I1095" s="4" t="str">
        <f t="shared" si="252"/>
        <v>='C:\Users\jaime.benazar\Quorum Business Solutions\Ecopetrol Prometeo - Documents\Planning Space Implementation\3. Analysis &amp; Design\Design\FC22\DRR Jaime\Neiva CPI\[VAO_DINA TERCIARIOS_CF_SEC_20230117.xlsx]CF PRB'!$BW$65</v>
      </c>
      <c r="J1095" s="4" t="s">
        <v>642</v>
      </c>
    </row>
    <row r="1096" spans="1:10" x14ac:dyDescent="0.3">
      <c r="A1096" s="7" t="s">
        <v>20</v>
      </c>
      <c r="B1096" s="7">
        <f t="shared" si="253"/>
        <v>2053</v>
      </c>
      <c r="C1096" s="4" t="s">
        <v>37</v>
      </c>
      <c r="D1096" s="5" t="s">
        <v>131</v>
      </c>
      <c r="E1096" s="10" t="str">
        <f t="shared" si="249"/>
        <v>PRB'!</v>
      </c>
      <c r="F1096" s="5" t="str">
        <f t="shared" si="250"/>
        <v>C:\Users\jaime.benazar\Quorum Business Solutions\Ecopetrol Prometeo - Documents\Planning Space Implementation\3. Analysis &amp; Design\Design\FC22\DRR Jaime\Neiva CPI\[VAO_DINA TERCIARIOS_CF_SEC_20230117.xlsx]CF PRB'!</v>
      </c>
      <c r="G1096" s="7" t="s">
        <v>102</v>
      </c>
      <c r="H1096" s="4">
        <f t="shared" si="251"/>
        <v>66</v>
      </c>
      <c r="I1096" s="4" t="str">
        <f t="shared" si="252"/>
        <v>='C:\Users\jaime.benazar\Quorum Business Solutions\Ecopetrol Prometeo - Documents\Planning Space Implementation\3. Analysis &amp; Design\Design\FC22\DRR Jaime\Neiva CPI\[VAO_DINA TERCIARIOS_CF_SEC_20230117.xlsx]CF PRB'!$BW$66</v>
      </c>
      <c r="J1096" s="4" t="s">
        <v>643</v>
      </c>
    </row>
    <row r="1097" spans="1:10" x14ac:dyDescent="0.3">
      <c r="A1097" s="7" t="s">
        <v>20</v>
      </c>
      <c r="B1097" s="7">
        <f t="shared" si="253"/>
        <v>2054</v>
      </c>
      <c r="C1097" s="4" t="s">
        <v>37</v>
      </c>
      <c r="D1097" s="5" t="s">
        <v>131</v>
      </c>
      <c r="E1097" s="10" t="str">
        <f t="shared" si="249"/>
        <v>PRB'!</v>
      </c>
      <c r="F1097" s="5" t="str">
        <f t="shared" si="250"/>
        <v>C:\Users\jaime.benazar\Quorum Business Solutions\Ecopetrol Prometeo - Documents\Planning Space Implementation\3. Analysis &amp; Design\Design\FC22\DRR Jaime\Neiva CPI\[VAO_DINA TERCIARIOS_CF_SEC_20230117.xlsx]CF PRB'!</v>
      </c>
      <c r="G1097" s="7" t="s">
        <v>102</v>
      </c>
      <c r="H1097" s="4">
        <f t="shared" si="251"/>
        <v>67</v>
      </c>
      <c r="I1097" s="4" t="str">
        <f t="shared" si="252"/>
        <v>='C:\Users\jaime.benazar\Quorum Business Solutions\Ecopetrol Prometeo - Documents\Planning Space Implementation\3. Analysis &amp; Design\Design\FC22\DRR Jaime\Neiva CPI\[VAO_DINA TERCIARIOS_CF_SEC_20230117.xlsx]CF PRB'!$BW$67</v>
      </c>
      <c r="J1097" s="4" t="s">
        <v>644</v>
      </c>
    </row>
    <row r="1098" spans="1:10" x14ac:dyDescent="0.3">
      <c r="A1098" s="7" t="s">
        <v>20</v>
      </c>
      <c r="B1098" s="7">
        <f t="shared" si="253"/>
        <v>2055</v>
      </c>
      <c r="C1098" s="4" t="s">
        <v>37</v>
      </c>
      <c r="D1098" s="5" t="s">
        <v>131</v>
      </c>
      <c r="E1098" s="10" t="str">
        <f t="shared" si="249"/>
        <v>PRB'!</v>
      </c>
      <c r="F1098" s="5" t="str">
        <f t="shared" si="250"/>
        <v>C:\Users\jaime.benazar\Quorum Business Solutions\Ecopetrol Prometeo - Documents\Planning Space Implementation\3. Analysis &amp; Design\Design\FC22\DRR Jaime\Neiva CPI\[VAO_DINA TERCIARIOS_CF_SEC_20230117.xlsx]CF PRB'!</v>
      </c>
      <c r="G1098" s="7" t="s">
        <v>102</v>
      </c>
      <c r="H1098" s="4">
        <f t="shared" si="251"/>
        <v>68</v>
      </c>
      <c r="I1098" s="4" t="str">
        <f t="shared" si="252"/>
        <v>='C:\Users\jaime.benazar\Quorum Business Solutions\Ecopetrol Prometeo - Documents\Planning Space Implementation\3. Analysis &amp; Design\Design\FC22\DRR Jaime\Neiva CPI\[VAO_DINA TERCIARIOS_CF_SEC_20230117.xlsx]CF PRB'!$BW$68</v>
      </c>
      <c r="J1098" s="4" t="s">
        <v>645</v>
      </c>
    </row>
    <row r="1099" spans="1:10" x14ac:dyDescent="0.3">
      <c r="A1099" s="7" t="s">
        <v>20</v>
      </c>
      <c r="B1099" s="7">
        <f t="shared" si="253"/>
        <v>2056</v>
      </c>
      <c r="C1099" s="4" t="s">
        <v>37</v>
      </c>
      <c r="D1099" s="5" t="s">
        <v>131</v>
      </c>
      <c r="E1099" s="10" t="str">
        <f t="shared" si="249"/>
        <v>PRB'!</v>
      </c>
      <c r="F1099" s="5" t="str">
        <f t="shared" si="250"/>
        <v>C:\Users\jaime.benazar\Quorum Business Solutions\Ecopetrol Prometeo - Documents\Planning Space Implementation\3. Analysis &amp; Design\Design\FC22\DRR Jaime\Neiva CPI\[VAO_DINA TERCIARIOS_CF_SEC_20230117.xlsx]CF PRB'!</v>
      </c>
      <c r="G1099" s="7" t="s">
        <v>102</v>
      </c>
      <c r="H1099" s="4">
        <f t="shared" si="251"/>
        <v>69</v>
      </c>
      <c r="I1099" s="4" t="str">
        <f t="shared" si="252"/>
        <v>='C:\Users\jaime.benazar\Quorum Business Solutions\Ecopetrol Prometeo - Documents\Planning Space Implementation\3. Analysis &amp; Design\Design\FC22\DRR Jaime\Neiva CPI\[VAO_DINA TERCIARIOS_CF_SEC_20230117.xlsx]CF PRB'!$BW$69</v>
      </c>
      <c r="J1099" s="4" t="s">
        <v>646</v>
      </c>
    </row>
    <row r="1100" spans="1:10" x14ac:dyDescent="0.3">
      <c r="A1100" s="7" t="s">
        <v>20</v>
      </c>
      <c r="B1100" s="7">
        <f t="shared" si="253"/>
        <v>2057</v>
      </c>
      <c r="C1100" s="4" t="s">
        <v>37</v>
      </c>
      <c r="D1100" s="5" t="s">
        <v>131</v>
      </c>
      <c r="E1100" s="10" t="str">
        <f t="shared" si="249"/>
        <v>PRB'!</v>
      </c>
      <c r="F1100" s="5" t="str">
        <f t="shared" si="250"/>
        <v>C:\Users\jaime.benazar\Quorum Business Solutions\Ecopetrol Prometeo - Documents\Planning Space Implementation\3. Analysis &amp; Design\Design\FC22\DRR Jaime\Neiva CPI\[VAO_DINA TERCIARIOS_CF_SEC_20230117.xlsx]CF PRB'!</v>
      </c>
      <c r="G1100" s="7" t="s">
        <v>102</v>
      </c>
      <c r="H1100" s="4">
        <f t="shared" si="251"/>
        <v>70</v>
      </c>
      <c r="I1100" s="4" t="str">
        <f t="shared" si="252"/>
        <v>='C:\Users\jaime.benazar\Quorum Business Solutions\Ecopetrol Prometeo - Documents\Planning Space Implementation\3. Analysis &amp; Design\Design\FC22\DRR Jaime\Neiva CPI\[VAO_DINA TERCIARIOS_CF_SEC_20230117.xlsx]CF PRB'!$BW$70</v>
      </c>
      <c r="J1100" s="4" t="s">
        <v>647</v>
      </c>
    </row>
    <row r="1101" spans="1:10" x14ac:dyDescent="0.3">
      <c r="A1101" s="7" t="s">
        <v>20</v>
      </c>
      <c r="B1101" s="7">
        <f t="shared" si="253"/>
        <v>2058</v>
      </c>
      <c r="C1101" s="4" t="s">
        <v>37</v>
      </c>
      <c r="D1101" s="5" t="s">
        <v>131</v>
      </c>
      <c r="E1101" s="10" t="str">
        <f t="shared" si="249"/>
        <v>PRB'!</v>
      </c>
      <c r="F1101" s="5" t="str">
        <f t="shared" si="250"/>
        <v>C:\Users\jaime.benazar\Quorum Business Solutions\Ecopetrol Prometeo - Documents\Planning Space Implementation\3. Analysis &amp; Design\Design\FC22\DRR Jaime\Neiva CPI\[VAO_DINA TERCIARIOS_CF_SEC_20230117.xlsx]CF PRB'!</v>
      </c>
      <c r="G1101" s="7" t="s">
        <v>102</v>
      </c>
      <c r="H1101" s="4">
        <f t="shared" si="251"/>
        <v>71</v>
      </c>
      <c r="I1101" s="4" t="str">
        <f t="shared" si="252"/>
        <v>='C:\Users\jaime.benazar\Quorum Business Solutions\Ecopetrol Prometeo - Documents\Planning Space Implementation\3. Analysis &amp; Design\Design\FC22\DRR Jaime\Neiva CPI\[VAO_DINA TERCIARIOS_CF_SEC_20230117.xlsx]CF PRB'!$BW$71</v>
      </c>
      <c r="J1101" s="4" t="s">
        <v>648</v>
      </c>
    </row>
    <row r="1102" spans="1:10" x14ac:dyDescent="0.3">
      <c r="A1102" s="7" t="s">
        <v>20</v>
      </c>
      <c r="B1102" s="7">
        <f t="shared" si="253"/>
        <v>2059</v>
      </c>
      <c r="C1102" s="4" t="s">
        <v>37</v>
      </c>
      <c r="D1102" s="5" t="s">
        <v>131</v>
      </c>
      <c r="E1102" s="10" t="str">
        <f t="shared" si="249"/>
        <v>PRB'!</v>
      </c>
      <c r="F1102" s="5" t="str">
        <f t="shared" si="250"/>
        <v>C:\Users\jaime.benazar\Quorum Business Solutions\Ecopetrol Prometeo - Documents\Planning Space Implementation\3. Analysis &amp; Design\Design\FC22\DRR Jaime\Neiva CPI\[VAO_DINA TERCIARIOS_CF_SEC_20230117.xlsx]CF PRB'!</v>
      </c>
      <c r="G1102" s="7" t="s">
        <v>102</v>
      </c>
      <c r="H1102" s="4">
        <f t="shared" si="251"/>
        <v>72</v>
      </c>
      <c r="I1102" s="4" t="str">
        <f t="shared" si="252"/>
        <v>='C:\Users\jaime.benazar\Quorum Business Solutions\Ecopetrol Prometeo - Documents\Planning Space Implementation\3. Analysis &amp; Design\Design\FC22\DRR Jaime\Neiva CPI\[VAO_DINA TERCIARIOS_CF_SEC_20230117.xlsx]CF PRB'!$BW$72</v>
      </c>
      <c r="J1102" s="4" t="s">
        <v>649</v>
      </c>
    </row>
    <row r="1103" spans="1:10" x14ac:dyDescent="0.3">
      <c r="A1103" s="7" t="s">
        <v>26</v>
      </c>
      <c r="B1103" s="7"/>
      <c r="C1103" s="4" t="s">
        <v>37</v>
      </c>
      <c r="D1103" s="5"/>
      <c r="E1103" s="10"/>
      <c r="F1103" s="5" t="str">
        <f t="shared" si="234"/>
        <v xml:space="preserve"> </v>
      </c>
      <c r="G1103" s="7"/>
      <c r="H1103" s="4"/>
      <c r="I1103" s="4"/>
      <c r="J1103" s="4"/>
    </row>
    <row r="1104" spans="1:10" x14ac:dyDescent="0.3">
      <c r="A1104" s="7" t="s">
        <v>21</v>
      </c>
      <c r="B1104" s="7">
        <v>2023</v>
      </c>
      <c r="C1104" s="4" t="s">
        <v>37</v>
      </c>
      <c r="D1104" s="5" t="s">
        <v>131</v>
      </c>
      <c r="E1104" s="10" t="str">
        <f t="shared" ref="E1104:E1124" si="254">_xlfn.CONCAT(A1104,"'!")</f>
        <v>PSDP'!</v>
      </c>
      <c r="F1104" s="5" t="str">
        <f t="shared" si="234"/>
        <v>C:\Users\jaime.benazar\Quorum Business Solutions\Ecopetrol Prometeo - Documents\Planning Space Implementation\3. Analysis &amp; Design\Design\FC22\DRR Jaime\Neiva CPI\[VAO_DINA TERCIARIOS_CF_SEC_20230117.xlsx]CF PSDP'!</v>
      </c>
      <c r="G1104" s="7" t="s">
        <v>102</v>
      </c>
      <c r="H1104" s="4"/>
      <c r="I1104" s="4"/>
      <c r="J1104" s="4"/>
    </row>
    <row r="1105" spans="1:10" x14ac:dyDescent="0.3">
      <c r="A1105" s="7" t="s">
        <v>21</v>
      </c>
      <c r="B1105" s="7">
        <f>+B1104+1</f>
        <v>2024</v>
      </c>
      <c r="C1105" s="4" t="s">
        <v>37</v>
      </c>
      <c r="D1105" s="5" t="s">
        <v>131</v>
      </c>
      <c r="E1105" s="10" t="str">
        <f t="shared" si="254"/>
        <v>PSDP'!</v>
      </c>
      <c r="F1105" s="5" t="str">
        <f t="shared" si="234"/>
        <v>C:\Users\jaime.benazar\Quorum Business Solutions\Ecopetrol Prometeo - Documents\Planning Space Implementation\3. Analysis &amp; Design\Design\FC22\DRR Jaime\Neiva CPI\[VAO_DINA TERCIARIOS_CF_SEC_20230117.xlsx]CF PSDP'!</v>
      </c>
      <c r="G1105" s="7" t="s">
        <v>102</v>
      </c>
      <c r="H1105" s="4"/>
      <c r="I1105" s="4"/>
      <c r="J1105" s="4"/>
    </row>
    <row r="1106" spans="1:10" x14ac:dyDescent="0.3">
      <c r="A1106" s="7" t="s">
        <v>21</v>
      </c>
      <c r="B1106" s="7">
        <f t="shared" ref="B1106:B1117" si="255">+B1105+1</f>
        <v>2025</v>
      </c>
      <c r="C1106" s="4" t="s">
        <v>37</v>
      </c>
      <c r="D1106" s="5" t="s">
        <v>131</v>
      </c>
      <c r="E1106" s="10" t="str">
        <f t="shared" si="254"/>
        <v>PSDP'!</v>
      </c>
      <c r="F1106" s="5" t="str">
        <f t="shared" si="234"/>
        <v>C:\Users\jaime.benazar\Quorum Business Solutions\Ecopetrol Prometeo - Documents\Planning Space Implementation\3. Analysis &amp; Design\Design\FC22\DRR Jaime\Neiva CPI\[VAO_DINA TERCIARIOS_CF_SEC_20230117.xlsx]CF PSDP'!</v>
      </c>
      <c r="G1106" s="7" t="s">
        <v>102</v>
      </c>
      <c r="H1106" s="4"/>
      <c r="I1106" s="4"/>
      <c r="J1106" s="4"/>
    </row>
    <row r="1107" spans="1:10" x14ac:dyDescent="0.3">
      <c r="A1107" s="7" t="s">
        <v>21</v>
      </c>
      <c r="B1107" s="7">
        <f t="shared" si="255"/>
        <v>2026</v>
      </c>
      <c r="C1107" s="4" t="s">
        <v>37</v>
      </c>
      <c r="D1107" s="5" t="s">
        <v>131</v>
      </c>
      <c r="E1107" s="10" t="str">
        <f t="shared" si="254"/>
        <v>PSDP'!</v>
      </c>
      <c r="F1107" s="5" t="str">
        <f t="shared" si="234"/>
        <v>C:\Users\jaime.benazar\Quorum Business Solutions\Ecopetrol Prometeo - Documents\Planning Space Implementation\3. Analysis &amp; Design\Design\FC22\DRR Jaime\Neiva CPI\[VAO_DINA TERCIARIOS_CF_SEC_20230117.xlsx]CF PSDP'!</v>
      </c>
      <c r="G1107" s="7" t="s">
        <v>102</v>
      </c>
      <c r="H1107" s="4"/>
      <c r="I1107" s="4"/>
      <c r="J1107" s="4"/>
    </row>
    <row r="1108" spans="1:10" x14ac:dyDescent="0.3">
      <c r="A1108" s="7" t="s">
        <v>21</v>
      </c>
      <c r="B1108" s="7">
        <f t="shared" si="255"/>
        <v>2027</v>
      </c>
      <c r="C1108" s="4" t="s">
        <v>37</v>
      </c>
      <c r="D1108" s="5" t="s">
        <v>131</v>
      </c>
      <c r="E1108" s="10" t="str">
        <f t="shared" si="254"/>
        <v>PSDP'!</v>
      </c>
      <c r="F1108" s="5" t="str">
        <f t="shared" si="234"/>
        <v>C:\Users\jaime.benazar\Quorum Business Solutions\Ecopetrol Prometeo - Documents\Planning Space Implementation\3. Analysis &amp; Design\Design\FC22\DRR Jaime\Neiva CPI\[VAO_DINA TERCIARIOS_CF_SEC_20230117.xlsx]CF PSDP'!</v>
      </c>
      <c r="G1108" s="7" t="s">
        <v>102</v>
      </c>
      <c r="H1108" s="4"/>
      <c r="I1108" s="4"/>
      <c r="J1108" s="4"/>
    </row>
    <row r="1109" spans="1:10" x14ac:dyDescent="0.3">
      <c r="A1109" s="7" t="s">
        <v>21</v>
      </c>
      <c r="B1109" s="7">
        <f t="shared" si="255"/>
        <v>2028</v>
      </c>
      <c r="C1109" s="4" t="s">
        <v>37</v>
      </c>
      <c r="D1109" s="5" t="s">
        <v>131</v>
      </c>
      <c r="E1109" s="10" t="str">
        <f t="shared" si="254"/>
        <v>PSDP'!</v>
      </c>
      <c r="F1109" s="5" t="str">
        <f t="shared" si="234"/>
        <v>C:\Users\jaime.benazar\Quorum Business Solutions\Ecopetrol Prometeo - Documents\Planning Space Implementation\3. Analysis &amp; Design\Design\FC22\DRR Jaime\Neiva CPI\[VAO_DINA TERCIARIOS_CF_SEC_20230117.xlsx]CF PSDP'!</v>
      </c>
      <c r="G1109" s="7" t="s">
        <v>102</v>
      </c>
      <c r="H1109" s="4"/>
      <c r="I1109" s="4"/>
      <c r="J1109" s="4"/>
    </row>
    <row r="1110" spans="1:10" x14ac:dyDescent="0.3">
      <c r="A1110" s="7" t="s">
        <v>21</v>
      </c>
      <c r="B1110" s="7">
        <f t="shared" si="255"/>
        <v>2029</v>
      </c>
      <c r="C1110" s="4" t="s">
        <v>37</v>
      </c>
      <c r="D1110" s="5" t="s">
        <v>131</v>
      </c>
      <c r="E1110" s="10" t="str">
        <f t="shared" si="254"/>
        <v>PSDP'!</v>
      </c>
      <c r="F1110" s="5" t="str">
        <f t="shared" si="234"/>
        <v>C:\Users\jaime.benazar\Quorum Business Solutions\Ecopetrol Prometeo - Documents\Planning Space Implementation\3. Analysis &amp; Design\Design\FC22\DRR Jaime\Neiva CPI\[VAO_DINA TERCIARIOS_CF_SEC_20230117.xlsx]CF PSDP'!</v>
      </c>
      <c r="G1110" s="7" t="s">
        <v>102</v>
      </c>
      <c r="H1110" s="4"/>
      <c r="I1110" s="4"/>
      <c r="J1110" s="4"/>
    </row>
    <row r="1111" spans="1:10" x14ac:dyDescent="0.3">
      <c r="A1111" s="7" t="s">
        <v>21</v>
      </c>
      <c r="B1111" s="7">
        <f t="shared" si="255"/>
        <v>2030</v>
      </c>
      <c r="C1111" s="4" t="s">
        <v>37</v>
      </c>
      <c r="D1111" s="5" t="s">
        <v>131</v>
      </c>
      <c r="E1111" s="10" t="str">
        <f t="shared" si="254"/>
        <v>PSDP'!</v>
      </c>
      <c r="F1111" s="5" t="str">
        <f t="shared" si="234"/>
        <v>C:\Users\jaime.benazar\Quorum Business Solutions\Ecopetrol Prometeo - Documents\Planning Space Implementation\3. Analysis &amp; Design\Design\FC22\DRR Jaime\Neiva CPI\[VAO_DINA TERCIARIOS_CF_SEC_20230117.xlsx]CF PSDP'!</v>
      </c>
      <c r="G1111" s="7" t="s">
        <v>102</v>
      </c>
      <c r="H1111" s="4"/>
      <c r="I1111" s="4"/>
      <c r="J1111" s="4"/>
    </row>
    <row r="1112" spans="1:10" x14ac:dyDescent="0.3">
      <c r="A1112" s="7" t="s">
        <v>21</v>
      </c>
      <c r="B1112" s="7">
        <f t="shared" si="255"/>
        <v>2031</v>
      </c>
      <c r="C1112" s="4" t="s">
        <v>37</v>
      </c>
      <c r="D1112" s="5" t="s">
        <v>131</v>
      </c>
      <c r="E1112" s="10" t="str">
        <f t="shared" si="254"/>
        <v>PSDP'!</v>
      </c>
      <c r="F1112" s="5" t="str">
        <f t="shared" si="234"/>
        <v>C:\Users\jaime.benazar\Quorum Business Solutions\Ecopetrol Prometeo - Documents\Planning Space Implementation\3. Analysis &amp; Design\Design\FC22\DRR Jaime\Neiva CPI\[VAO_DINA TERCIARIOS_CF_SEC_20230117.xlsx]CF PSDP'!</v>
      </c>
      <c r="G1112" s="7" t="s">
        <v>102</v>
      </c>
      <c r="H1112" s="4"/>
      <c r="I1112" s="4"/>
      <c r="J1112" s="4"/>
    </row>
    <row r="1113" spans="1:10" x14ac:dyDescent="0.3">
      <c r="A1113" s="7" t="s">
        <v>21</v>
      </c>
      <c r="B1113" s="7">
        <f t="shared" si="255"/>
        <v>2032</v>
      </c>
      <c r="C1113" s="4" t="s">
        <v>37</v>
      </c>
      <c r="D1113" s="5" t="s">
        <v>131</v>
      </c>
      <c r="E1113" s="10" t="str">
        <f t="shared" si="254"/>
        <v>PSDP'!</v>
      </c>
      <c r="F1113" s="5" t="str">
        <f t="shared" ref="F1113:F1218" si="256">_xlfn.CONCAT(D1113," ",E1113)</f>
        <v>C:\Users\jaime.benazar\Quorum Business Solutions\Ecopetrol Prometeo - Documents\Planning Space Implementation\3. Analysis &amp; Design\Design\FC22\DRR Jaime\Neiva CPI\[VAO_DINA TERCIARIOS_CF_SEC_20230117.xlsx]CF PSDP'!</v>
      </c>
      <c r="G1113" s="7" t="s">
        <v>102</v>
      </c>
      <c r="H1113" s="4"/>
      <c r="I1113" s="4"/>
      <c r="J1113" s="4"/>
    </row>
    <row r="1114" spans="1:10" x14ac:dyDescent="0.3">
      <c r="A1114" s="7" t="s">
        <v>21</v>
      </c>
      <c r="B1114" s="7">
        <f t="shared" si="255"/>
        <v>2033</v>
      </c>
      <c r="C1114" s="4" t="s">
        <v>37</v>
      </c>
      <c r="D1114" s="5" t="s">
        <v>131</v>
      </c>
      <c r="E1114" s="10" t="str">
        <f t="shared" si="254"/>
        <v>PSDP'!</v>
      </c>
      <c r="F1114" s="5" t="str">
        <f t="shared" si="256"/>
        <v>C:\Users\jaime.benazar\Quorum Business Solutions\Ecopetrol Prometeo - Documents\Planning Space Implementation\3. Analysis &amp; Design\Design\FC22\DRR Jaime\Neiva CPI\[VAO_DINA TERCIARIOS_CF_SEC_20230117.xlsx]CF PSDP'!</v>
      </c>
      <c r="G1114" s="7" t="s">
        <v>102</v>
      </c>
      <c r="H1114" s="4"/>
      <c r="I1114" s="4"/>
      <c r="J1114" s="4"/>
    </row>
    <row r="1115" spans="1:10" x14ac:dyDescent="0.3">
      <c r="A1115" s="7" t="s">
        <v>21</v>
      </c>
      <c r="B1115" s="7">
        <f t="shared" si="255"/>
        <v>2034</v>
      </c>
      <c r="C1115" s="4" t="s">
        <v>37</v>
      </c>
      <c r="D1115" s="5" t="s">
        <v>131</v>
      </c>
      <c r="E1115" s="10" t="str">
        <f t="shared" si="254"/>
        <v>PSDP'!</v>
      </c>
      <c r="F1115" s="5" t="str">
        <f t="shared" si="256"/>
        <v>C:\Users\jaime.benazar\Quorum Business Solutions\Ecopetrol Prometeo - Documents\Planning Space Implementation\3. Analysis &amp; Design\Design\FC22\DRR Jaime\Neiva CPI\[VAO_DINA TERCIARIOS_CF_SEC_20230117.xlsx]CF PSDP'!</v>
      </c>
      <c r="G1115" s="7" t="s">
        <v>102</v>
      </c>
      <c r="H1115" s="4"/>
      <c r="I1115" s="4"/>
      <c r="J1115" s="4"/>
    </row>
    <row r="1116" spans="1:10" x14ac:dyDescent="0.3">
      <c r="A1116" s="7" t="s">
        <v>21</v>
      </c>
      <c r="B1116" s="7">
        <f t="shared" si="255"/>
        <v>2035</v>
      </c>
      <c r="C1116" s="4" t="s">
        <v>37</v>
      </c>
      <c r="D1116" s="5" t="s">
        <v>131</v>
      </c>
      <c r="E1116" s="10" t="str">
        <f t="shared" si="254"/>
        <v>PSDP'!</v>
      </c>
      <c r="F1116" s="5" t="str">
        <f t="shared" si="256"/>
        <v>C:\Users\jaime.benazar\Quorum Business Solutions\Ecopetrol Prometeo - Documents\Planning Space Implementation\3. Analysis &amp; Design\Design\FC22\DRR Jaime\Neiva CPI\[VAO_DINA TERCIARIOS_CF_SEC_20230117.xlsx]CF PSDP'!</v>
      </c>
      <c r="G1116" s="7" t="s">
        <v>102</v>
      </c>
      <c r="H1116" s="4"/>
      <c r="I1116" s="4"/>
      <c r="J1116" s="4"/>
    </row>
    <row r="1117" spans="1:10" x14ac:dyDescent="0.3">
      <c r="A1117" s="7" t="s">
        <v>21</v>
      </c>
      <c r="B1117" s="7">
        <f t="shared" si="255"/>
        <v>2036</v>
      </c>
      <c r="C1117" s="4" t="s">
        <v>37</v>
      </c>
      <c r="D1117" s="5" t="s">
        <v>131</v>
      </c>
      <c r="E1117" s="10" t="str">
        <f t="shared" si="254"/>
        <v>PSDP'!</v>
      </c>
      <c r="F1117" s="5" t="str">
        <f t="shared" si="256"/>
        <v>C:\Users\jaime.benazar\Quorum Business Solutions\Ecopetrol Prometeo - Documents\Planning Space Implementation\3. Analysis &amp; Design\Design\FC22\DRR Jaime\Neiva CPI\[VAO_DINA TERCIARIOS_CF_SEC_20230117.xlsx]CF PSDP'!</v>
      </c>
      <c r="G1117" s="7" t="s">
        <v>102</v>
      </c>
      <c r="H1117" s="4"/>
      <c r="I1117" s="4"/>
      <c r="J1117" s="4"/>
    </row>
    <row r="1118" spans="1:10" x14ac:dyDescent="0.3">
      <c r="A1118" s="7" t="s">
        <v>21</v>
      </c>
      <c r="B1118" s="7">
        <f>+B1117+1</f>
        <v>2037</v>
      </c>
      <c r="C1118" s="4" t="s">
        <v>37</v>
      </c>
      <c r="D1118" s="5" t="s">
        <v>131</v>
      </c>
      <c r="E1118" s="10" t="str">
        <f t="shared" si="254"/>
        <v>PSDP'!</v>
      </c>
      <c r="F1118" s="5" t="str">
        <f t="shared" si="256"/>
        <v>C:\Users\jaime.benazar\Quorum Business Solutions\Ecopetrol Prometeo - Documents\Planning Space Implementation\3. Analysis &amp; Design\Design\FC22\DRR Jaime\Neiva CPI\[VAO_DINA TERCIARIOS_CF_SEC_20230117.xlsx]CF PSDP'!</v>
      </c>
      <c r="G1118" s="7" t="s">
        <v>102</v>
      </c>
      <c r="H1118" s="4"/>
      <c r="I1118" s="4"/>
      <c r="J1118" s="4"/>
    </row>
    <row r="1119" spans="1:10" x14ac:dyDescent="0.3">
      <c r="A1119" s="7" t="s">
        <v>21</v>
      </c>
      <c r="B1119" s="7">
        <f t="shared" ref="B1119:B1121" si="257">+B1118+1</f>
        <v>2038</v>
      </c>
      <c r="C1119" s="4" t="s">
        <v>37</v>
      </c>
      <c r="D1119" s="5" t="s">
        <v>131</v>
      </c>
      <c r="E1119" s="10" t="str">
        <f t="shared" si="254"/>
        <v>PSDP'!</v>
      </c>
      <c r="F1119" s="5" t="str">
        <f t="shared" si="256"/>
        <v>C:\Users\jaime.benazar\Quorum Business Solutions\Ecopetrol Prometeo - Documents\Planning Space Implementation\3. Analysis &amp; Design\Design\FC22\DRR Jaime\Neiva CPI\[VAO_DINA TERCIARIOS_CF_SEC_20230117.xlsx]CF PSDP'!</v>
      </c>
      <c r="G1119" s="7" t="s">
        <v>102</v>
      </c>
      <c r="H1119" s="4"/>
      <c r="I1119" s="4"/>
      <c r="J1119" s="4"/>
    </row>
    <row r="1120" spans="1:10" x14ac:dyDescent="0.3">
      <c r="A1120" s="7" t="s">
        <v>21</v>
      </c>
      <c r="B1120" s="7">
        <f t="shared" si="257"/>
        <v>2039</v>
      </c>
      <c r="C1120" s="4" t="s">
        <v>37</v>
      </c>
      <c r="D1120" s="5" t="s">
        <v>131</v>
      </c>
      <c r="E1120" s="10" t="str">
        <f t="shared" si="254"/>
        <v>PSDP'!</v>
      </c>
      <c r="F1120" s="5" t="str">
        <f t="shared" si="256"/>
        <v>C:\Users\jaime.benazar\Quorum Business Solutions\Ecopetrol Prometeo - Documents\Planning Space Implementation\3. Analysis &amp; Design\Design\FC22\DRR Jaime\Neiva CPI\[VAO_DINA TERCIARIOS_CF_SEC_20230117.xlsx]CF PSDP'!</v>
      </c>
      <c r="G1120" s="7" t="s">
        <v>102</v>
      </c>
      <c r="H1120" s="4"/>
      <c r="I1120" s="4"/>
      <c r="J1120" s="4"/>
    </row>
    <row r="1121" spans="1:10" x14ac:dyDescent="0.3">
      <c r="A1121" s="7" t="s">
        <v>21</v>
      </c>
      <c r="B1121" s="7">
        <f t="shared" si="257"/>
        <v>2040</v>
      </c>
      <c r="C1121" s="4" t="s">
        <v>37</v>
      </c>
      <c r="D1121" s="5" t="s">
        <v>131</v>
      </c>
      <c r="E1121" s="10" t="str">
        <f t="shared" si="254"/>
        <v>PSDP'!</v>
      </c>
      <c r="F1121" s="5" t="str">
        <f t="shared" si="256"/>
        <v>C:\Users\jaime.benazar\Quorum Business Solutions\Ecopetrol Prometeo - Documents\Planning Space Implementation\3. Analysis &amp; Design\Design\FC22\DRR Jaime\Neiva CPI\[VAO_DINA TERCIARIOS_CF_SEC_20230117.xlsx]CF PSDP'!</v>
      </c>
      <c r="G1121" s="7" t="s">
        <v>102</v>
      </c>
      <c r="H1121" s="4"/>
      <c r="I1121" s="4"/>
      <c r="J1121" s="4"/>
    </row>
    <row r="1122" spans="1:10" x14ac:dyDescent="0.3">
      <c r="A1122" s="7" t="s">
        <v>21</v>
      </c>
      <c r="B1122" s="7">
        <f>+B1121+1</f>
        <v>2041</v>
      </c>
      <c r="C1122" s="4" t="s">
        <v>37</v>
      </c>
      <c r="D1122" s="5" t="s">
        <v>131</v>
      </c>
      <c r="E1122" s="10" t="str">
        <f t="shared" si="254"/>
        <v>PSDP'!</v>
      </c>
      <c r="F1122" s="5" t="str">
        <f t="shared" si="256"/>
        <v>C:\Users\jaime.benazar\Quorum Business Solutions\Ecopetrol Prometeo - Documents\Planning Space Implementation\3. Analysis &amp; Design\Design\FC22\DRR Jaime\Neiva CPI\[VAO_DINA TERCIARIOS_CF_SEC_20230117.xlsx]CF PSDP'!</v>
      </c>
      <c r="G1122" s="7" t="s">
        <v>102</v>
      </c>
      <c r="H1122" s="4"/>
      <c r="I1122" s="4"/>
      <c r="J1122" s="4"/>
    </row>
    <row r="1123" spans="1:10" x14ac:dyDescent="0.3">
      <c r="A1123" s="7" t="s">
        <v>21</v>
      </c>
      <c r="B1123" s="7">
        <f t="shared" ref="B1123:B1124" si="258">+B1122+1</f>
        <v>2042</v>
      </c>
      <c r="C1123" s="4" t="s">
        <v>37</v>
      </c>
      <c r="D1123" s="5" t="s">
        <v>131</v>
      </c>
      <c r="E1123" s="10" t="str">
        <f t="shared" si="254"/>
        <v>PSDP'!</v>
      </c>
      <c r="F1123" s="5" t="str">
        <f t="shared" si="256"/>
        <v>C:\Users\jaime.benazar\Quorum Business Solutions\Ecopetrol Prometeo - Documents\Planning Space Implementation\3. Analysis &amp; Design\Design\FC22\DRR Jaime\Neiva CPI\[VAO_DINA TERCIARIOS_CF_SEC_20230117.xlsx]CF PSDP'!</v>
      </c>
      <c r="G1123" s="7" t="s">
        <v>102</v>
      </c>
      <c r="H1123" s="4"/>
      <c r="I1123" s="4"/>
      <c r="J1123" s="4"/>
    </row>
    <row r="1124" spans="1:10" x14ac:dyDescent="0.3">
      <c r="A1124" s="7" t="s">
        <v>21</v>
      </c>
      <c r="B1124" s="7">
        <f t="shared" si="258"/>
        <v>2043</v>
      </c>
      <c r="C1124" s="4" t="s">
        <v>37</v>
      </c>
      <c r="D1124" s="5" t="s">
        <v>131</v>
      </c>
      <c r="E1124" s="10" t="str">
        <f t="shared" si="254"/>
        <v>PSDP'!</v>
      </c>
      <c r="F1124" s="5" t="str">
        <f t="shared" si="256"/>
        <v>C:\Users\jaime.benazar\Quorum Business Solutions\Ecopetrol Prometeo - Documents\Planning Space Implementation\3. Analysis &amp; Design\Design\FC22\DRR Jaime\Neiva CPI\[VAO_DINA TERCIARIOS_CF_SEC_20230117.xlsx]CF PSDP'!</v>
      </c>
      <c r="G1124" s="7" t="s">
        <v>102</v>
      </c>
      <c r="H1124" s="4"/>
      <c r="I1124" s="4"/>
      <c r="J1124" s="4"/>
    </row>
    <row r="1125" spans="1:10" x14ac:dyDescent="0.3">
      <c r="A1125" s="7" t="s">
        <v>21</v>
      </c>
      <c r="B1125" s="7">
        <f>+B1124+1</f>
        <v>2044</v>
      </c>
      <c r="C1125" s="4" t="s">
        <v>37</v>
      </c>
      <c r="D1125" s="5" t="s">
        <v>131</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Jaime\Neiva CPI\[VAO_DINA TERCIARIOS_CF_SEC_20230117.xlsx]CF PSDP'!</v>
      </c>
      <c r="G1125" s="7" t="s">
        <v>102</v>
      </c>
      <c r="H1125" s="4"/>
      <c r="I1125" s="4"/>
      <c r="J1125" s="4"/>
    </row>
    <row r="1126" spans="1:10" x14ac:dyDescent="0.3">
      <c r="A1126" s="7" t="s">
        <v>21</v>
      </c>
      <c r="B1126" s="7">
        <f t="shared" ref="B1126:B1140" si="261">+B1125+1</f>
        <v>2045</v>
      </c>
      <c r="C1126" s="4" t="s">
        <v>37</v>
      </c>
      <c r="D1126" s="5" t="s">
        <v>131</v>
      </c>
      <c r="E1126" s="10" t="str">
        <f t="shared" si="259"/>
        <v>PSDP'!</v>
      </c>
      <c r="F1126" s="5" t="str">
        <f t="shared" si="260"/>
        <v>C:\Users\jaime.benazar\Quorum Business Solutions\Ecopetrol Prometeo - Documents\Planning Space Implementation\3. Analysis &amp; Design\Design\FC22\DRR Jaime\Neiva CPI\[VAO_DINA TERCIARIOS_CF_SEC_20230117.xlsx]CF PSDP'!</v>
      </c>
      <c r="G1126" s="7" t="s">
        <v>102</v>
      </c>
      <c r="H1126" s="4"/>
      <c r="I1126" s="4"/>
      <c r="J1126" s="4"/>
    </row>
    <row r="1127" spans="1:10" x14ac:dyDescent="0.3">
      <c r="A1127" s="7" t="s">
        <v>21</v>
      </c>
      <c r="B1127" s="7">
        <f t="shared" si="261"/>
        <v>2046</v>
      </c>
      <c r="C1127" s="4" t="s">
        <v>37</v>
      </c>
      <c r="D1127" s="5" t="s">
        <v>131</v>
      </c>
      <c r="E1127" s="10" t="str">
        <f t="shared" si="259"/>
        <v>PSDP'!</v>
      </c>
      <c r="F1127" s="5" t="str">
        <f t="shared" si="260"/>
        <v>C:\Users\jaime.benazar\Quorum Business Solutions\Ecopetrol Prometeo - Documents\Planning Space Implementation\3. Analysis &amp; Design\Design\FC22\DRR Jaime\Neiva CPI\[VAO_DINA TERCIARIOS_CF_SEC_20230117.xlsx]CF PSDP'!</v>
      </c>
      <c r="G1127" s="7" t="s">
        <v>102</v>
      </c>
      <c r="H1127" s="4"/>
      <c r="I1127" s="4"/>
      <c r="J1127" s="4"/>
    </row>
    <row r="1128" spans="1:10" x14ac:dyDescent="0.3">
      <c r="A1128" s="7" t="s">
        <v>21</v>
      </c>
      <c r="B1128" s="7">
        <f t="shared" si="261"/>
        <v>2047</v>
      </c>
      <c r="C1128" s="4" t="s">
        <v>37</v>
      </c>
      <c r="D1128" s="5" t="s">
        <v>131</v>
      </c>
      <c r="E1128" s="10" t="str">
        <f t="shared" si="259"/>
        <v>PSDP'!</v>
      </c>
      <c r="F1128" s="5" t="str">
        <f t="shared" si="260"/>
        <v>C:\Users\jaime.benazar\Quorum Business Solutions\Ecopetrol Prometeo - Documents\Planning Space Implementation\3. Analysis &amp; Design\Design\FC22\DRR Jaime\Neiva CPI\[VAO_DINA TERCIARIOS_CF_SEC_20230117.xlsx]CF PSDP'!</v>
      </c>
      <c r="G1128" s="7" t="s">
        <v>102</v>
      </c>
      <c r="H1128" s="4"/>
      <c r="I1128" s="4"/>
      <c r="J1128" s="4"/>
    </row>
    <row r="1129" spans="1:10" x14ac:dyDescent="0.3">
      <c r="A1129" s="7" t="s">
        <v>21</v>
      </c>
      <c r="B1129" s="7">
        <f t="shared" si="261"/>
        <v>2048</v>
      </c>
      <c r="C1129" s="4" t="s">
        <v>37</v>
      </c>
      <c r="D1129" s="5" t="s">
        <v>131</v>
      </c>
      <c r="E1129" s="10" t="str">
        <f t="shared" si="259"/>
        <v>PSDP'!</v>
      </c>
      <c r="F1129" s="5" t="str">
        <f t="shared" si="260"/>
        <v>C:\Users\jaime.benazar\Quorum Business Solutions\Ecopetrol Prometeo - Documents\Planning Space Implementation\3. Analysis &amp; Design\Design\FC22\DRR Jaime\Neiva CPI\[VAO_DINA TERCIARIOS_CF_SEC_20230117.xlsx]CF PSDP'!</v>
      </c>
      <c r="G1129" s="7" t="s">
        <v>102</v>
      </c>
      <c r="H1129" s="4"/>
      <c r="I1129" s="4"/>
      <c r="J1129" s="4"/>
    </row>
    <row r="1130" spans="1:10" x14ac:dyDescent="0.3">
      <c r="A1130" s="7" t="s">
        <v>21</v>
      </c>
      <c r="B1130" s="7">
        <f t="shared" si="261"/>
        <v>2049</v>
      </c>
      <c r="C1130" s="4" t="s">
        <v>37</v>
      </c>
      <c r="D1130" s="5" t="s">
        <v>131</v>
      </c>
      <c r="E1130" s="10" t="str">
        <f t="shared" si="259"/>
        <v>PSDP'!</v>
      </c>
      <c r="F1130" s="5" t="str">
        <f t="shared" si="260"/>
        <v>C:\Users\jaime.benazar\Quorum Business Solutions\Ecopetrol Prometeo - Documents\Planning Space Implementation\3. Analysis &amp; Design\Design\FC22\DRR Jaime\Neiva CPI\[VAO_DINA TERCIARIOS_CF_SEC_20230117.xlsx]CF PSDP'!</v>
      </c>
      <c r="G1130" s="7" t="s">
        <v>102</v>
      </c>
      <c r="H1130" s="4"/>
      <c r="I1130" s="4"/>
      <c r="J1130" s="4"/>
    </row>
    <row r="1131" spans="1:10" x14ac:dyDescent="0.3">
      <c r="A1131" s="7" t="s">
        <v>21</v>
      </c>
      <c r="B1131" s="7">
        <f t="shared" si="261"/>
        <v>2050</v>
      </c>
      <c r="C1131" s="4" t="s">
        <v>37</v>
      </c>
      <c r="D1131" s="5" t="s">
        <v>131</v>
      </c>
      <c r="E1131" s="10" t="str">
        <f t="shared" si="259"/>
        <v>PSDP'!</v>
      </c>
      <c r="F1131" s="5" t="str">
        <f t="shared" si="260"/>
        <v>C:\Users\jaime.benazar\Quorum Business Solutions\Ecopetrol Prometeo - Documents\Planning Space Implementation\3. Analysis &amp; Design\Design\FC22\DRR Jaime\Neiva CPI\[VAO_DINA TERCIARIOS_CF_SEC_20230117.xlsx]CF PSDP'!</v>
      </c>
      <c r="G1131" s="7" t="s">
        <v>102</v>
      </c>
      <c r="H1131" s="4"/>
      <c r="I1131" s="4"/>
      <c r="J1131" s="4"/>
    </row>
    <row r="1132" spans="1:10" x14ac:dyDescent="0.3">
      <c r="A1132" s="7" t="s">
        <v>21</v>
      </c>
      <c r="B1132" s="7">
        <f t="shared" si="261"/>
        <v>2051</v>
      </c>
      <c r="C1132" s="4" t="s">
        <v>37</v>
      </c>
      <c r="D1132" s="5" t="s">
        <v>131</v>
      </c>
      <c r="E1132" s="10" t="str">
        <f t="shared" si="259"/>
        <v>PSDP'!</v>
      </c>
      <c r="F1132" s="5" t="str">
        <f t="shared" si="260"/>
        <v>C:\Users\jaime.benazar\Quorum Business Solutions\Ecopetrol Prometeo - Documents\Planning Space Implementation\3. Analysis &amp; Design\Design\FC22\DRR Jaime\Neiva CPI\[VAO_DINA TERCIARIOS_CF_SEC_20230117.xlsx]CF PSDP'!</v>
      </c>
      <c r="G1132" s="7" t="s">
        <v>102</v>
      </c>
      <c r="H1132" s="4"/>
      <c r="I1132" s="4"/>
      <c r="J1132" s="4"/>
    </row>
    <row r="1133" spans="1:10" x14ac:dyDescent="0.3">
      <c r="A1133" s="7" t="s">
        <v>21</v>
      </c>
      <c r="B1133" s="7">
        <f t="shared" si="261"/>
        <v>2052</v>
      </c>
      <c r="C1133" s="4" t="s">
        <v>37</v>
      </c>
      <c r="D1133" s="5" t="s">
        <v>131</v>
      </c>
      <c r="E1133" s="10" t="str">
        <f t="shared" si="259"/>
        <v>PSDP'!</v>
      </c>
      <c r="F1133" s="5" t="str">
        <f t="shared" si="260"/>
        <v>C:\Users\jaime.benazar\Quorum Business Solutions\Ecopetrol Prometeo - Documents\Planning Space Implementation\3. Analysis &amp; Design\Design\FC22\DRR Jaime\Neiva CPI\[VAO_DINA TERCIARIOS_CF_SEC_20230117.xlsx]CF PSDP'!</v>
      </c>
      <c r="G1133" s="7" t="s">
        <v>102</v>
      </c>
      <c r="H1133" s="4"/>
      <c r="I1133" s="4"/>
      <c r="J1133" s="4"/>
    </row>
    <row r="1134" spans="1:10" x14ac:dyDescent="0.3">
      <c r="A1134" s="7" t="s">
        <v>21</v>
      </c>
      <c r="B1134" s="7">
        <f t="shared" si="261"/>
        <v>2053</v>
      </c>
      <c r="C1134" s="4" t="s">
        <v>37</v>
      </c>
      <c r="D1134" s="5" t="s">
        <v>131</v>
      </c>
      <c r="E1134" s="10" t="str">
        <f t="shared" si="259"/>
        <v>PSDP'!</v>
      </c>
      <c r="F1134" s="5" t="str">
        <f t="shared" si="260"/>
        <v>C:\Users\jaime.benazar\Quorum Business Solutions\Ecopetrol Prometeo - Documents\Planning Space Implementation\3. Analysis &amp; Design\Design\FC22\DRR Jaime\Neiva CPI\[VAO_DINA TERCIARIOS_CF_SEC_20230117.xlsx]CF PSDP'!</v>
      </c>
      <c r="G1134" s="7" t="s">
        <v>102</v>
      </c>
      <c r="H1134" s="4"/>
      <c r="I1134" s="4"/>
      <c r="J1134" s="4"/>
    </row>
    <row r="1135" spans="1:10" x14ac:dyDescent="0.3">
      <c r="A1135" s="7" t="s">
        <v>21</v>
      </c>
      <c r="B1135" s="7">
        <f t="shared" si="261"/>
        <v>2054</v>
      </c>
      <c r="C1135" s="4" t="s">
        <v>37</v>
      </c>
      <c r="D1135" s="5" t="s">
        <v>131</v>
      </c>
      <c r="E1135" s="10" t="str">
        <f t="shared" si="259"/>
        <v>PSDP'!</v>
      </c>
      <c r="F1135" s="5" t="str">
        <f t="shared" si="260"/>
        <v>C:\Users\jaime.benazar\Quorum Business Solutions\Ecopetrol Prometeo - Documents\Planning Space Implementation\3. Analysis &amp; Design\Design\FC22\DRR Jaime\Neiva CPI\[VAO_DINA TERCIARIOS_CF_SEC_20230117.xlsx]CF PSDP'!</v>
      </c>
      <c r="G1135" s="7" t="s">
        <v>102</v>
      </c>
      <c r="H1135" s="4"/>
      <c r="I1135" s="4"/>
      <c r="J1135" s="4"/>
    </row>
    <row r="1136" spans="1:10" x14ac:dyDescent="0.3">
      <c r="A1136" s="7" t="s">
        <v>21</v>
      </c>
      <c r="B1136" s="7">
        <f t="shared" si="261"/>
        <v>2055</v>
      </c>
      <c r="C1136" s="4" t="s">
        <v>37</v>
      </c>
      <c r="D1136" s="5" t="s">
        <v>131</v>
      </c>
      <c r="E1136" s="10" t="str">
        <f t="shared" si="259"/>
        <v>PSDP'!</v>
      </c>
      <c r="F1136" s="5" t="str">
        <f t="shared" si="260"/>
        <v>C:\Users\jaime.benazar\Quorum Business Solutions\Ecopetrol Prometeo - Documents\Planning Space Implementation\3. Analysis &amp; Design\Design\FC22\DRR Jaime\Neiva CPI\[VAO_DINA TERCIARIOS_CF_SEC_20230117.xlsx]CF PSDP'!</v>
      </c>
      <c r="G1136" s="7" t="s">
        <v>102</v>
      </c>
      <c r="H1136" s="4"/>
      <c r="I1136" s="4"/>
      <c r="J1136" s="4"/>
    </row>
    <row r="1137" spans="1:10" x14ac:dyDescent="0.3">
      <c r="A1137" s="7" t="s">
        <v>21</v>
      </c>
      <c r="B1137" s="7">
        <f t="shared" si="261"/>
        <v>2056</v>
      </c>
      <c r="C1137" s="4" t="s">
        <v>37</v>
      </c>
      <c r="D1137" s="5" t="s">
        <v>131</v>
      </c>
      <c r="E1137" s="10" t="str">
        <f t="shared" si="259"/>
        <v>PSDP'!</v>
      </c>
      <c r="F1137" s="5" t="str">
        <f t="shared" si="260"/>
        <v>C:\Users\jaime.benazar\Quorum Business Solutions\Ecopetrol Prometeo - Documents\Planning Space Implementation\3. Analysis &amp; Design\Design\FC22\DRR Jaime\Neiva CPI\[VAO_DINA TERCIARIOS_CF_SEC_20230117.xlsx]CF PSDP'!</v>
      </c>
      <c r="G1137" s="7" t="s">
        <v>102</v>
      </c>
      <c r="H1137" s="4"/>
      <c r="I1137" s="4"/>
      <c r="J1137" s="4"/>
    </row>
    <row r="1138" spans="1:10" x14ac:dyDescent="0.3">
      <c r="A1138" s="7" t="s">
        <v>21</v>
      </c>
      <c r="B1138" s="7">
        <f t="shared" si="261"/>
        <v>2057</v>
      </c>
      <c r="C1138" s="4" t="s">
        <v>37</v>
      </c>
      <c r="D1138" s="5" t="s">
        <v>131</v>
      </c>
      <c r="E1138" s="10" t="str">
        <f t="shared" si="259"/>
        <v>PSDP'!</v>
      </c>
      <c r="F1138" s="5" t="str">
        <f t="shared" si="260"/>
        <v>C:\Users\jaime.benazar\Quorum Business Solutions\Ecopetrol Prometeo - Documents\Planning Space Implementation\3. Analysis &amp; Design\Design\FC22\DRR Jaime\Neiva CPI\[VAO_DINA TERCIARIOS_CF_SEC_20230117.xlsx]CF PSDP'!</v>
      </c>
      <c r="G1138" s="7" t="s">
        <v>102</v>
      </c>
      <c r="H1138" s="4"/>
      <c r="I1138" s="4"/>
      <c r="J1138" s="4"/>
    </row>
    <row r="1139" spans="1:10" x14ac:dyDescent="0.3">
      <c r="A1139" s="7" t="s">
        <v>21</v>
      </c>
      <c r="B1139" s="7">
        <f t="shared" si="261"/>
        <v>2058</v>
      </c>
      <c r="C1139" s="4" t="s">
        <v>37</v>
      </c>
      <c r="D1139" s="5" t="s">
        <v>131</v>
      </c>
      <c r="E1139" s="10" t="str">
        <f t="shared" si="259"/>
        <v>PSDP'!</v>
      </c>
      <c r="F1139" s="5" t="str">
        <f t="shared" si="260"/>
        <v>C:\Users\jaime.benazar\Quorum Business Solutions\Ecopetrol Prometeo - Documents\Planning Space Implementation\3. Analysis &amp; Design\Design\FC22\DRR Jaime\Neiva CPI\[VAO_DINA TERCIARIOS_CF_SEC_20230117.xlsx]CF PSDP'!</v>
      </c>
      <c r="G1139" s="7" t="s">
        <v>102</v>
      </c>
      <c r="H1139" s="4"/>
      <c r="I1139" s="4"/>
      <c r="J1139" s="4"/>
    </row>
    <row r="1140" spans="1:10" x14ac:dyDescent="0.3">
      <c r="A1140" s="7" t="s">
        <v>21</v>
      </c>
      <c r="B1140" s="7">
        <f t="shared" si="261"/>
        <v>2059</v>
      </c>
      <c r="C1140" s="4" t="s">
        <v>37</v>
      </c>
      <c r="D1140" s="5" t="s">
        <v>131</v>
      </c>
      <c r="E1140" s="10" t="str">
        <f t="shared" si="259"/>
        <v>PSDP'!</v>
      </c>
      <c r="F1140" s="5" t="str">
        <f t="shared" si="260"/>
        <v>C:\Users\jaime.benazar\Quorum Business Solutions\Ecopetrol Prometeo - Documents\Planning Space Implementation\3. Analysis &amp; Design\Design\FC22\DRR Jaime\Neiva CPI\[VAO_DINA TERCIARIOS_CF_SEC_20230117.xlsx]CF PSDP'!</v>
      </c>
      <c r="G1140" s="7" t="s">
        <v>102</v>
      </c>
      <c r="H1140" s="4"/>
      <c r="I1140" s="4"/>
      <c r="J1140" s="4"/>
    </row>
    <row r="1141" spans="1:10" x14ac:dyDescent="0.3">
      <c r="A1141" s="7" t="s">
        <v>26</v>
      </c>
      <c r="B1141" s="7"/>
      <c r="C1141" s="4" t="s">
        <v>37</v>
      </c>
      <c r="D1141" s="5"/>
      <c r="E1141" s="10"/>
      <c r="F1141" s="5" t="str">
        <f t="shared" si="256"/>
        <v xml:space="preserve"> </v>
      </c>
      <c r="G1141" s="7"/>
      <c r="H1141" s="4"/>
      <c r="I1141" s="4"/>
      <c r="J1141" s="4"/>
    </row>
    <row r="1142" spans="1:10" x14ac:dyDescent="0.3">
      <c r="A1142" s="7" t="s">
        <v>22</v>
      </c>
      <c r="B1142" s="7">
        <v>2023</v>
      </c>
      <c r="C1142" s="4" t="s">
        <v>37</v>
      </c>
      <c r="D1142" s="5" t="s">
        <v>131</v>
      </c>
      <c r="E1142" s="10" t="str">
        <f t="shared" ref="E1142:E1162" si="262">_xlfn.CONCAT(A1142,"'!")</f>
        <v>PSNP'!</v>
      </c>
      <c r="F1142" s="5" t="str">
        <f t="shared" si="256"/>
        <v>C:\Users\jaime.benazar\Quorum Business Solutions\Ecopetrol Prometeo - Documents\Planning Space Implementation\3. Analysis &amp; Design\Design\FC22\DRR Jaime\Neiva CPI\[VAO_DINA TERCIARIOS_CF_SEC_20230117.xlsx]CF PSNP'!</v>
      </c>
      <c r="G1142" s="7" t="s">
        <v>102</v>
      </c>
      <c r="H1142" s="4"/>
      <c r="I1142" s="4"/>
      <c r="J1142" s="4"/>
    </row>
    <row r="1143" spans="1:10" x14ac:dyDescent="0.3">
      <c r="A1143" s="7" t="s">
        <v>22</v>
      </c>
      <c r="B1143" s="7">
        <f>+B1142+1</f>
        <v>2024</v>
      </c>
      <c r="C1143" s="4" t="s">
        <v>37</v>
      </c>
      <c r="D1143" s="5" t="s">
        <v>131</v>
      </c>
      <c r="E1143" s="10" t="str">
        <f t="shared" si="262"/>
        <v>PSNP'!</v>
      </c>
      <c r="F1143" s="5" t="str">
        <f t="shared" si="256"/>
        <v>C:\Users\jaime.benazar\Quorum Business Solutions\Ecopetrol Prometeo - Documents\Planning Space Implementation\3. Analysis &amp; Design\Design\FC22\DRR Jaime\Neiva CPI\[VAO_DINA TERCIARIOS_CF_SEC_20230117.xlsx]CF PSNP'!</v>
      </c>
      <c r="G1143" s="7" t="s">
        <v>102</v>
      </c>
      <c r="H1143" s="4"/>
      <c r="I1143" s="4"/>
      <c r="J1143" s="4"/>
    </row>
    <row r="1144" spans="1:10" x14ac:dyDescent="0.3">
      <c r="A1144" s="7" t="s">
        <v>22</v>
      </c>
      <c r="B1144" s="7">
        <f t="shared" ref="B1144:B1155" si="263">+B1143+1</f>
        <v>2025</v>
      </c>
      <c r="C1144" s="4" t="s">
        <v>37</v>
      </c>
      <c r="D1144" s="5" t="s">
        <v>131</v>
      </c>
      <c r="E1144" s="10" t="str">
        <f t="shared" si="262"/>
        <v>PSNP'!</v>
      </c>
      <c r="F1144" s="5" t="str">
        <f t="shared" si="256"/>
        <v>C:\Users\jaime.benazar\Quorum Business Solutions\Ecopetrol Prometeo - Documents\Planning Space Implementation\3. Analysis &amp; Design\Design\FC22\DRR Jaime\Neiva CPI\[VAO_DINA TERCIARIOS_CF_SEC_20230117.xlsx]CF PSNP'!</v>
      </c>
      <c r="G1144" s="7" t="s">
        <v>102</v>
      </c>
      <c r="H1144" s="4"/>
      <c r="I1144" s="4"/>
      <c r="J1144" s="4"/>
    </row>
    <row r="1145" spans="1:10" x14ac:dyDescent="0.3">
      <c r="A1145" s="7" t="s">
        <v>22</v>
      </c>
      <c r="B1145" s="7">
        <f t="shared" si="263"/>
        <v>2026</v>
      </c>
      <c r="C1145" s="4" t="s">
        <v>37</v>
      </c>
      <c r="D1145" s="5" t="s">
        <v>131</v>
      </c>
      <c r="E1145" s="10" t="str">
        <f t="shared" si="262"/>
        <v>PSNP'!</v>
      </c>
      <c r="F1145" s="5" t="str">
        <f t="shared" si="256"/>
        <v>C:\Users\jaime.benazar\Quorum Business Solutions\Ecopetrol Prometeo - Documents\Planning Space Implementation\3. Analysis &amp; Design\Design\FC22\DRR Jaime\Neiva CPI\[VAO_DINA TERCIARIOS_CF_SEC_20230117.xlsx]CF PSNP'!</v>
      </c>
      <c r="G1145" s="7" t="s">
        <v>102</v>
      </c>
      <c r="H1145" s="4"/>
      <c r="I1145" s="4"/>
      <c r="J1145" s="4"/>
    </row>
    <row r="1146" spans="1:10" x14ac:dyDescent="0.3">
      <c r="A1146" s="7" t="s">
        <v>22</v>
      </c>
      <c r="B1146" s="7">
        <f t="shared" si="263"/>
        <v>2027</v>
      </c>
      <c r="C1146" s="4" t="s">
        <v>37</v>
      </c>
      <c r="D1146" s="5" t="s">
        <v>131</v>
      </c>
      <c r="E1146" s="10" t="str">
        <f t="shared" si="262"/>
        <v>PSNP'!</v>
      </c>
      <c r="F1146" s="5" t="str">
        <f t="shared" si="256"/>
        <v>C:\Users\jaime.benazar\Quorum Business Solutions\Ecopetrol Prometeo - Documents\Planning Space Implementation\3. Analysis &amp; Design\Design\FC22\DRR Jaime\Neiva CPI\[VAO_DINA TERCIARIOS_CF_SEC_20230117.xlsx]CF PSNP'!</v>
      </c>
      <c r="G1146" s="7" t="s">
        <v>102</v>
      </c>
      <c r="H1146" s="4"/>
      <c r="I1146" s="4"/>
      <c r="J1146" s="4"/>
    </row>
    <row r="1147" spans="1:10" x14ac:dyDescent="0.3">
      <c r="A1147" s="7" t="s">
        <v>22</v>
      </c>
      <c r="B1147" s="7">
        <f t="shared" si="263"/>
        <v>2028</v>
      </c>
      <c r="C1147" s="4" t="s">
        <v>37</v>
      </c>
      <c r="D1147" s="5" t="s">
        <v>131</v>
      </c>
      <c r="E1147" s="10" t="str">
        <f t="shared" si="262"/>
        <v>PSNP'!</v>
      </c>
      <c r="F1147" s="5" t="str">
        <f t="shared" si="256"/>
        <v>C:\Users\jaime.benazar\Quorum Business Solutions\Ecopetrol Prometeo - Documents\Planning Space Implementation\3. Analysis &amp; Design\Design\FC22\DRR Jaime\Neiva CPI\[VAO_DINA TERCIARIOS_CF_SEC_20230117.xlsx]CF PSNP'!</v>
      </c>
      <c r="G1147" s="7" t="s">
        <v>102</v>
      </c>
      <c r="H1147" s="4"/>
      <c r="I1147" s="4"/>
      <c r="J1147" s="4"/>
    </row>
    <row r="1148" spans="1:10" x14ac:dyDescent="0.3">
      <c r="A1148" s="7" t="s">
        <v>22</v>
      </c>
      <c r="B1148" s="7">
        <f t="shared" si="263"/>
        <v>2029</v>
      </c>
      <c r="C1148" s="4" t="s">
        <v>37</v>
      </c>
      <c r="D1148" s="5" t="s">
        <v>131</v>
      </c>
      <c r="E1148" s="10" t="str">
        <f t="shared" si="262"/>
        <v>PSNP'!</v>
      </c>
      <c r="F1148" s="5" t="str">
        <f t="shared" si="256"/>
        <v>C:\Users\jaime.benazar\Quorum Business Solutions\Ecopetrol Prometeo - Documents\Planning Space Implementation\3. Analysis &amp; Design\Design\FC22\DRR Jaime\Neiva CPI\[VAO_DINA TERCIARIOS_CF_SEC_20230117.xlsx]CF PSNP'!</v>
      </c>
      <c r="G1148" s="7" t="s">
        <v>102</v>
      </c>
      <c r="H1148" s="4"/>
      <c r="I1148" s="4"/>
      <c r="J1148" s="4"/>
    </row>
    <row r="1149" spans="1:10" x14ac:dyDescent="0.3">
      <c r="A1149" s="7" t="s">
        <v>22</v>
      </c>
      <c r="B1149" s="7">
        <f t="shared" si="263"/>
        <v>2030</v>
      </c>
      <c r="C1149" s="4" t="s">
        <v>37</v>
      </c>
      <c r="D1149" s="5" t="s">
        <v>131</v>
      </c>
      <c r="E1149" s="10" t="str">
        <f t="shared" si="262"/>
        <v>PSNP'!</v>
      </c>
      <c r="F1149" s="5" t="str">
        <f t="shared" si="256"/>
        <v>C:\Users\jaime.benazar\Quorum Business Solutions\Ecopetrol Prometeo - Documents\Planning Space Implementation\3. Analysis &amp; Design\Design\FC22\DRR Jaime\Neiva CPI\[VAO_DINA TERCIARIOS_CF_SEC_20230117.xlsx]CF PSNP'!</v>
      </c>
      <c r="G1149" s="7" t="s">
        <v>102</v>
      </c>
      <c r="H1149" s="4"/>
      <c r="I1149" s="4"/>
      <c r="J1149" s="4"/>
    </row>
    <row r="1150" spans="1:10" x14ac:dyDescent="0.3">
      <c r="A1150" s="7" t="s">
        <v>22</v>
      </c>
      <c r="B1150" s="7">
        <f t="shared" si="263"/>
        <v>2031</v>
      </c>
      <c r="C1150" s="4" t="s">
        <v>37</v>
      </c>
      <c r="D1150" s="5" t="s">
        <v>131</v>
      </c>
      <c r="E1150" s="10" t="str">
        <f t="shared" si="262"/>
        <v>PSNP'!</v>
      </c>
      <c r="F1150" s="5" t="str">
        <f t="shared" si="256"/>
        <v>C:\Users\jaime.benazar\Quorum Business Solutions\Ecopetrol Prometeo - Documents\Planning Space Implementation\3. Analysis &amp; Design\Design\FC22\DRR Jaime\Neiva CPI\[VAO_DINA TERCIARIOS_CF_SEC_20230117.xlsx]CF PSNP'!</v>
      </c>
      <c r="G1150" s="7" t="s">
        <v>102</v>
      </c>
      <c r="H1150" s="4"/>
      <c r="I1150" s="4"/>
      <c r="J1150" s="4"/>
    </row>
    <row r="1151" spans="1:10" x14ac:dyDescent="0.3">
      <c r="A1151" s="7" t="s">
        <v>22</v>
      </c>
      <c r="B1151" s="7">
        <f t="shared" si="263"/>
        <v>2032</v>
      </c>
      <c r="C1151" s="4" t="s">
        <v>37</v>
      </c>
      <c r="D1151" s="5" t="s">
        <v>131</v>
      </c>
      <c r="E1151" s="10" t="str">
        <f t="shared" si="262"/>
        <v>PSNP'!</v>
      </c>
      <c r="F1151" s="5" t="str">
        <f t="shared" si="256"/>
        <v>C:\Users\jaime.benazar\Quorum Business Solutions\Ecopetrol Prometeo - Documents\Planning Space Implementation\3. Analysis &amp; Design\Design\FC22\DRR Jaime\Neiva CPI\[VAO_DINA TERCIARIOS_CF_SEC_20230117.xlsx]CF PSNP'!</v>
      </c>
      <c r="G1151" s="7" t="s">
        <v>102</v>
      </c>
      <c r="H1151" s="4"/>
      <c r="I1151" s="4"/>
      <c r="J1151" s="4"/>
    </row>
    <row r="1152" spans="1:10" x14ac:dyDescent="0.3">
      <c r="A1152" s="7" t="s">
        <v>22</v>
      </c>
      <c r="B1152" s="7">
        <f t="shared" si="263"/>
        <v>2033</v>
      </c>
      <c r="C1152" s="4" t="s">
        <v>37</v>
      </c>
      <c r="D1152" s="5" t="s">
        <v>131</v>
      </c>
      <c r="E1152" s="10" t="str">
        <f t="shared" si="262"/>
        <v>PSNP'!</v>
      </c>
      <c r="F1152" s="5" t="str">
        <f t="shared" si="256"/>
        <v>C:\Users\jaime.benazar\Quorum Business Solutions\Ecopetrol Prometeo - Documents\Planning Space Implementation\3. Analysis &amp; Design\Design\FC22\DRR Jaime\Neiva CPI\[VAO_DINA TERCIARIOS_CF_SEC_20230117.xlsx]CF PSNP'!</v>
      </c>
      <c r="G1152" s="7" t="s">
        <v>102</v>
      </c>
      <c r="H1152" s="4"/>
      <c r="I1152" s="4"/>
      <c r="J1152" s="4"/>
    </row>
    <row r="1153" spans="1:10" x14ac:dyDescent="0.3">
      <c r="A1153" s="7" t="s">
        <v>22</v>
      </c>
      <c r="B1153" s="7">
        <f t="shared" si="263"/>
        <v>2034</v>
      </c>
      <c r="C1153" s="4" t="s">
        <v>37</v>
      </c>
      <c r="D1153" s="5" t="s">
        <v>131</v>
      </c>
      <c r="E1153" s="10" t="str">
        <f t="shared" si="262"/>
        <v>PSNP'!</v>
      </c>
      <c r="F1153" s="5" t="str">
        <f t="shared" si="256"/>
        <v>C:\Users\jaime.benazar\Quorum Business Solutions\Ecopetrol Prometeo - Documents\Planning Space Implementation\3. Analysis &amp; Design\Design\FC22\DRR Jaime\Neiva CPI\[VAO_DINA TERCIARIOS_CF_SEC_20230117.xlsx]CF PSNP'!</v>
      </c>
      <c r="G1153" s="7" t="s">
        <v>102</v>
      </c>
      <c r="H1153" s="4"/>
      <c r="I1153" s="4"/>
      <c r="J1153" s="4"/>
    </row>
    <row r="1154" spans="1:10" x14ac:dyDescent="0.3">
      <c r="A1154" s="7" t="s">
        <v>22</v>
      </c>
      <c r="B1154" s="7">
        <f t="shared" si="263"/>
        <v>2035</v>
      </c>
      <c r="C1154" s="4" t="s">
        <v>37</v>
      </c>
      <c r="D1154" s="5" t="s">
        <v>131</v>
      </c>
      <c r="E1154" s="10" t="str">
        <f t="shared" si="262"/>
        <v>PSNP'!</v>
      </c>
      <c r="F1154" s="5" t="str">
        <f t="shared" si="256"/>
        <v>C:\Users\jaime.benazar\Quorum Business Solutions\Ecopetrol Prometeo - Documents\Planning Space Implementation\3. Analysis &amp; Design\Design\FC22\DRR Jaime\Neiva CPI\[VAO_DINA TERCIARIOS_CF_SEC_20230117.xlsx]CF PSNP'!</v>
      </c>
      <c r="G1154" s="7" t="s">
        <v>102</v>
      </c>
      <c r="H1154" s="4"/>
      <c r="I1154" s="4"/>
      <c r="J1154" s="4"/>
    </row>
    <row r="1155" spans="1:10" x14ac:dyDescent="0.3">
      <c r="A1155" s="7" t="s">
        <v>22</v>
      </c>
      <c r="B1155" s="7">
        <f t="shared" si="263"/>
        <v>2036</v>
      </c>
      <c r="C1155" s="4" t="s">
        <v>37</v>
      </c>
      <c r="D1155" s="5" t="s">
        <v>131</v>
      </c>
      <c r="E1155" s="10" t="str">
        <f t="shared" si="262"/>
        <v>PSNP'!</v>
      </c>
      <c r="F1155" s="5" t="str">
        <f t="shared" si="256"/>
        <v>C:\Users\jaime.benazar\Quorum Business Solutions\Ecopetrol Prometeo - Documents\Planning Space Implementation\3. Analysis &amp; Design\Design\FC22\DRR Jaime\Neiva CPI\[VAO_DINA TERCIARIOS_CF_SEC_20230117.xlsx]CF PSNP'!</v>
      </c>
      <c r="G1155" s="7" t="s">
        <v>102</v>
      </c>
      <c r="H1155" s="4"/>
      <c r="I1155" s="4"/>
      <c r="J1155" s="4"/>
    </row>
    <row r="1156" spans="1:10" x14ac:dyDescent="0.3">
      <c r="A1156" s="7" t="s">
        <v>22</v>
      </c>
      <c r="B1156" s="7">
        <f>+B1155+1</f>
        <v>2037</v>
      </c>
      <c r="C1156" s="4" t="s">
        <v>37</v>
      </c>
      <c r="D1156" s="5" t="s">
        <v>131</v>
      </c>
      <c r="E1156" s="10" t="str">
        <f t="shared" si="262"/>
        <v>PSNP'!</v>
      </c>
      <c r="F1156" s="5" t="str">
        <f t="shared" si="256"/>
        <v>C:\Users\jaime.benazar\Quorum Business Solutions\Ecopetrol Prometeo - Documents\Planning Space Implementation\3. Analysis &amp; Design\Design\FC22\DRR Jaime\Neiva CPI\[VAO_DINA TERCIARIOS_CF_SEC_20230117.xlsx]CF PSNP'!</v>
      </c>
      <c r="G1156" s="7" t="s">
        <v>102</v>
      </c>
      <c r="H1156" s="4"/>
      <c r="I1156" s="4"/>
      <c r="J1156" s="4"/>
    </row>
    <row r="1157" spans="1:10" x14ac:dyDescent="0.3">
      <c r="A1157" s="7" t="s">
        <v>22</v>
      </c>
      <c r="B1157" s="7">
        <f t="shared" ref="B1157:B1159" si="264">+B1156+1</f>
        <v>2038</v>
      </c>
      <c r="C1157" s="4" t="s">
        <v>37</v>
      </c>
      <c r="D1157" s="5" t="s">
        <v>131</v>
      </c>
      <c r="E1157" s="10" t="str">
        <f t="shared" si="262"/>
        <v>PSNP'!</v>
      </c>
      <c r="F1157" s="5" t="str">
        <f t="shared" si="256"/>
        <v>C:\Users\jaime.benazar\Quorum Business Solutions\Ecopetrol Prometeo - Documents\Planning Space Implementation\3. Analysis &amp; Design\Design\FC22\DRR Jaime\Neiva CPI\[VAO_DINA TERCIARIOS_CF_SEC_20230117.xlsx]CF PSNP'!</v>
      </c>
      <c r="G1157" s="7" t="s">
        <v>102</v>
      </c>
      <c r="H1157" s="4"/>
      <c r="I1157" s="4"/>
      <c r="J1157" s="4"/>
    </row>
    <row r="1158" spans="1:10" x14ac:dyDescent="0.3">
      <c r="A1158" s="7" t="s">
        <v>22</v>
      </c>
      <c r="B1158" s="7">
        <f t="shared" si="264"/>
        <v>2039</v>
      </c>
      <c r="C1158" s="4" t="s">
        <v>37</v>
      </c>
      <c r="D1158" s="5" t="s">
        <v>131</v>
      </c>
      <c r="E1158" s="10" t="str">
        <f t="shared" si="262"/>
        <v>PSNP'!</v>
      </c>
      <c r="F1158" s="5" t="str">
        <f t="shared" si="256"/>
        <v>C:\Users\jaime.benazar\Quorum Business Solutions\Ecopetrol Prometeo - Documents\Planning Space Implementation\3. Analysis &amp; Design\Design\FC22\DRR Jaime\Neiva CPI\[VAO_DINA TERCIARIOS_CF_SEC_20230117.xlsx]CF PSNP'!</v>
      </c>
      <c r="G1158" s="7" t="s">
        <v>102</v>
      </c>
      <c r="H1158" s="4"/>
      <c r="I1158" s="4"/>
      <c r="J1158" s="4"/>
    </row>
    <row r="1159" spans="1:10" x14ac:dyDescent="0.3">
      <c r="A1159" s="7" t="s">
        <v>22</v>
      </c>
      <c r="B1159" s="7">
        <f t="shared" si="264"/>
        <v>2040</v>
      </c>
      <c r="C1159" s="4" t="s">
        <v>37</v>
      </c>
      <c r="D1159" s="5" t="s">
        <v>131</v>
      </c>
      <c r="E1159" s="10" t="str">
        <f t="shared" si="262"/>
        <v>PSNP'!</v>
      </c>
      <c r="F1159" s="5" t="str">
        <f t="shared" si="256"/>
        <v>C:\Users\jaime.benazar\Quorum Business Solutions\Ecopetrol Prometeo - Documents\Planning Space Implementation\3. Analysis &amp; Design\Design\FC22\DRR Jaime\Neiva CPI\[VAO_DINA TERCIARIOS_CF_SEC_20230117.xlsx]CF PSNP'!</v>
      </c>
      <c r="G1159" s="7" t="s">
        <v>102</v>
      </c>
      <c r="H1159" s="4"/>
      <c r="I1159" s="4"/>
      <c r="J1159" s="4"/>
    </row>
    <row r="1160" spans="1:10" x14ac:dyDescent="0.3">
      <c r="A1160" s="7" t="s">
        <v>22</v>
      </c>
      <c r="B1160" s="7">
        <f>+B1159+1</f>
        <v>2041</v>
      </c>
      <c r="C1160" s="4" t="s">
        <v>37</v>
      </c>
      <c r="D1160" s="5" t="s">
        <v>131</v>
      </c>
      <c r="E1160" s="10" t="str">
        <f t="shared" si="262"/>
        <v>PSNP'!</v>
      </c>
      <c r="F1160" s="5" t="str">
        <f t="shared" si="256"/>
        <v>C:\Users\jaime.benazar\Quorum Business Solutions\Ecopetrol Prometeo - Documents\Planning Space Implementation\3. Analysis &amp; Design\Design\FC22\DRR Jaime\Neiva CPI\[VAO_DINA TERCIARIOS_CF_SEC_20230117.xlsx]CF PSNP'!</v>
      </c>
      <c r="G1160" s="7" t="s">
        <v>102</v>
      </c>
      <c r="H1160" s="4"/>
      <c r="I1160" s="4"/>
      <c r="J1160" s="4"/>
    </row>
    <row r="1161" spans="1:10" x14ac:dyDescent="0.3">
      <c r="A1161" s="7" t="s">
        <v>22</v>
      </c>
      <c r="B1161" s="7">
        <f t="shared" ref="B1161:B1162" si="265">+B1160+1</f>
        <v>2042</v>
      </c>
      <c r="C1161" s="4" t="s">
        <v>37</v>
      </c>
      <c r="D1161" s="5" t="s">
        <v>131</v>
      </c>
      <c r="E1161" s="10" t="str">
        <f t="shared" si="262"/>
        <v>PSNP'!</v>
      </c>
      <c r="F1161" s="5" t="str">
        <f t="shared" si="256"/>
        <v>C:\Users\jaime.benazar\Quorum Business Solutions\Ecopetrol Prometeo - Documents\Planning Space Implementation\3. Analysis &amp; Design\Design\FC22\DRR Jaime\Neiva CPI\[VAO_DINA TERCIARIOS_CF_SEC_20230117.xlsx]CF PSNP'!</v>
      </c>
      <c r="G1161" s="7" t="s">
        <v>102</v>
      </c>
      <c r="H1161" s="4"/>
      <c r="I1161" s="4"/>
      <c r="J1161" s="4"/>
    </row>
    <row r="1162" spans="1:10" x14ac:dyDescent="0.3">
      <c r="A1162" s="7" t="s">
        <v>22</v>
      </c>
      <c r="B1162" s="7">
        <f t="shared" si="265"/>
        <v>2043</v>
      </c>
      <c r="C1162" s="4" t="s">
        <v>37</v>
      </c>
      <c r="D1162" s="5" t="s">
        <v>131</v>
      </c>
      <c r="E1162" s="10" t="str">
        <f t="shared" si="262"/>
        <v>PSNP'!</v>
      </c>
      <c r="F1162" s="5" t="str">
        <f t="shared" si="256"/>
        <v>C:\Users\jaime.benazar\Quorum Business Solutions\Ecopetrol Prometeo - Documents\Planning Space Implementation\3. Analysis &amp; Design\Design\FC22\DRR Jaime\Neiva CPI\[VAO_DINA TERCIARIOS_CF_SEC_20230117.xlsx]CF PSNP'!</v>
      </c>
      <c r="G1162" s="7" t="s">
        <v>102</v>
      </c>
      <c r="H1162" s="4"/>
      <c r="I1162" s="4"/>
      <c r="J1162" s="4"/>
    </row>
    <row r="1163" spans="1:10" x14ac:dyDescent="0.3">
      <c r="A1163" s="7" t="s">
        <v>22</v>
      </c>
      <c r="B1163" s="7">
        <f>+B1162+1</f>
        <v>2044</v>
      </c>
      <c r="C1163" s="4" t="s">
        <v>37</v>
      </c>
      <c r="D1163" s="5" t="s">
        <v>131</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Jaime\Neiva CPI\[VAO_DINA TERCIARIOS_CF_SEC_20230117.xlsx]CF PSNP'!</v>
      </c>
      <c r="G1163" s="7" t="s">
        <v>102</v>
      </c>
      <c r="H1163" s="4"/>
      <c r="I1163" s="4"/>
      <c r="J1163" s="4"/>
    </row>
    <row r="1164" spans="1:10" x14ac:dyDescent="0.3">
      <c r="A1164" s="7" t="s">
        <v>22</v>
      </c>
      <c r="B1164" s="7">
        <f t="shared" ref="B1164:B1178" si="268">+B1163+1</f>
        <v>2045</v>
      </c>
      <c r="C1164" s="4" t="s">
        <v>37</v>
      </c>
      <c r="D1164" s="5" t="s">
        <v>131</v>
      </c>
      <c r="E1164" s="10" t="str">
        <f t="shared" si="266"/>
        <v>PSNP'!</v>
      </c>
      <c r="F1164" s="5" t="str">
        <f t="shared" si="267"/>
        <v>C:\Users\jaime.benazar\Quorum Business Solutions\Ecopetrol Prometeo - Documents\Planning Space Implementation\3. Analysis &amp; Design\Design\FC22\DRR Jaime\Neiva CPI\[VAO_DINA TERCIARIOS_CF_SEC_20230117.xlsx]CF PSNP'!</v>
      </c>
      <c r="G1164" s="7" t="s">
        <v>102</v>
      </c>
      <c r="H1164" s="4"/>
      <c r="I1164" s="4"/>
      <c r="J1164" s="4"/>
    </row>
    <row r="1165" spans="1:10" x14ac:dyDescent="0.3">
      <c r="A1165" s="7" t="s">
        <v>22</v>
      </c>
      <c r="B1165" s="7">
        <f t="shared" si="268"/>
        <v>2046</v>
      </c>
      <c r="C1165" s="4" t="s">
        <v>37</v>
      </c>
      <c r="D1165" s="5" t="s">
        <v>131</v>
      </c>
      <c r="E1165" s="10" t="str">
        <f t="shared" si="266"/>
        <v>PSNP'!</v>
      </c>
      <c r="F1165" s="5" t="str">
        <f t="shared" si="267"/>
        <v>C:\Users\jaime.benazar\Quorum Business Solutions\Ecopetrol Prometeo - Documents\Planning Space Implementation\3. Analysis &amp; Design\Design\FC22\DRR Jaime\Neiva CPI\[VAO_DINA TERCIARIOS_CF_SEC_20230117.xlsx]CF PSNP'!</v>
      </c>
      <c r="G1165" s="7" t="s">
        <v>102</v>
      </c>
      <c r="H1165" s="4"/>
      <c r="I1165" s="4"/>
      <c r="J1165" s="4"/>
    </row>
    <row r="1166" spans="1:10" x14ac:dyDescent="0.3">
      <c r="A1166" s="7" t="s">
        <v>22</v>
      </c>
      <c r="B1166" s="7">
        <f t="shared" si="268"/>
        <v>2047</v>
      </c>
      <c r="C1166" s="4" t="s">
        <v>37</v>
      </c>
      <c r="D1166" s="5" t="s">
        <v>131</v>
      </c>
      <c r="E1166" s="10" t="str">
        <f t="shared" si="266"/>
        <v>PSNP'!</v>
      </c>
      <c r="F1166" s="5" t="str">
        <f t="shared" si="267"/>
        <v>C:\Users\jaime.benazar\Quorum Business Solutions\Ecopetrol Prometeo - Documents\Planning Space Implementation\3. Analysis &amp; Design\Design\FC22\DRR Jaime\Neiva CPI\[VAO_DINA TERCIARIOS_CF_SEC_20230117.xlsx]CF PSNP'!</v>
      </c>
      <c r="G1166" s="7" t="s">
        <v>102</v>
      </c>
      <c r="H1166" s="4"/>
      <c r="I1166" s="4"/>
      <c r="J1166" s="4"/>
    </row>
    <row r="1167" spans="1:10" x14ac:dyDescent="0.3">
      <c r="A1167" s="7" t="s">
        <v>22</v>
      </c>
      <c r="B1167" s="7">
        <f t="shared" si="268"/>
        <v>2048</v>
      </c>
      <c r="C1167" s="4" t="s">
        <v>37</v>
      </c>
      <c r="D1167" s="5" t="s">
        <v>131</v>
      </c>
      <c r="E1167" s="10" t="str">
        <f t="shared" si="266"/>
        <v>PSNP'!</v>
      </c>
      <c r="F1167" s="5" t="str">
        <f t="shared" si="267"/>
        <v>C:\Users\jaime.benazar\Quorum Business Solutions\Ecopetrol Prometeo - Documents\Planning Space Implementation\3. Analysis &amp; Design\Design\FC22\DRR Jaime\Neiva CPI\[VAO_DINA TERCIARIOS_CF_SEC_20230117.xlsx]CF PSNP'!</v>
      </c>
      <c r="G1167" s="7" t="s">
        <v>102</v>
      </c>
      <c r="H1167" s="4"/>
      <c r="I1167" s="4"/>
      <c r="J1167" s="4"/>
    </row>
    <row r="1168" spans="1:10" x14ac:dyDescent="0.3">
      <c r="A1168" s="7" t="s">
        <v>22</v>
      </c>
      <c r="B1168" s="7">
        <f t="shared" si="268"/>
        <v>2049</v>
      </c>
      <c r="C1168" s="4" t="s">
        <v>37</v>
      </c>
      <c r="D1168" s="5" t="s">
        <v>131</v>
      </c>
      <c r="E1168" s="10" t="str">
        <f t="shared" si="266"/>
        <v>PSNP'!</v>
      </c>
      <c r="F1168" s="5" t="str">
        <f t="shared" si="267"/>
        <v>C:\Users\jaime.benazar\Quorum Business Solutions\Ecopetrol Prometeo - Documents\Planning Space Implementation\3. Analysis &amp; Design\Design\FC22\DRR Jaime\Neiva CPI\[VAO_DINA TERCIARIOS_CF_SEC_20230117.xlsx]CF PSNP'!</v>
      </c>
      <c r="G1168" s="7" t="s">
        <v>102</v>
      </c>
      <c r="H1168" s="4"/>
      <c r="I1168" s="4"/>
      <c r="J1168" s="4"/>
    </row>
    <row r="1169" spans="1:10" x14ac:dyDescent="0.3">
      <c r="A1169" s="7" t="s">
        <v>22</v>
      </c>
      <c r="B1169" s="7">
        <f t="shared" si="268"/>
        <v>2050</v>
      </c>
      <c r="C1169" s="4" t="s">
        <v>37</v>
      </c>
      <c r="D1169" s="5" t="s">
        <v>131</v>
      </c>
      <c r="E1169" s="10" t="str">
        <f t="shared" si="266"/>
        <v>PSNP'!</v>
      </c>
      <c r="F1169" s="5" t="str">
        <f t="shared" si="267"/>
        <v>C:\Users\jaime.benazar\Quorum Business Solutions\Ecopetrol Prometeo - Documents\Planning Space Implementation\3. Analysis &amp; Design\Design\FC22\DRR Jaime\Neiva CPI\[VAO_DINA TERCIARIOS_CF_SEC_20230117.xlsx]CF PSNP'!</v>
      </c>
      <c r="G1169" s="7" t="s">
        <v>102</v>
      </c>
      <c r="H1169" s="4"/>
      <c r="I1169" s="4"/>
      <c r="J1169" s="4"/>
    </row>
    <row r="1170" spans="1:10" x14ac:dyDescent="0.3">
      <c r="A1170" s="7" t="s">
        <v>22</v>
      </c>
      <c r="B1170" s="7">
        <f t="shared" si="268"/>
        <v>2051</v>
      </c>
      <c r="C1170" s="4" t="s">
        <v>37</v>
      </c>
      <c r="D1170" s="5" t="s">
        <v>131</v>
      </c>
      <c r="E1170" s="10" t="str">
        <f t="shared" si="266"/>
        <v>PSNP'!</v>
      </c>
      <c r="F1170" s="5" t="str">
        <f t="shared" si="267"/>
        <v>C:\Users\jaime.benazar\Quorum Business Solutions\Ecopetrol Prometeo - Documents\Planning Space Implementation\3. Analysis &amp; Design\Design\FC22\DRR Jaime\Neiva CPI\[VAO_DINA TERCIARIOS_CF_SEC_20230117.xlsx]CF PSNP'!</v>
      </c>
      <c r="G1170" s="7" t="s">
        <v>102</v>
      </c>
      <c r="H1170" s="4"/>
      <c r="I1170" s="4"/>
      <c r="J1170" s="4"/>
    </row>
    <row r="1171" spans="1:10" x14ac:dyDescent="0.3">
      <c r="A1171" s="7" t="s">
        <v>22</v>
      </c>
      <c r="B1171" s="7">
        <f t="shared" si="268"/>
        <v>2052</v>
      </c>
      <c r="C1171" s="4" t="s">
        <v>37</v>
      </c>
      <c r="D1171" s="5" t="s">
        <v>131</v>
      </c>
      <c r="E1171" s="10" t="str">
        <f t="shared" si="266"/>
        <v>PSNP'!</v>
      </c>
      <c r="F1171" s="5" t="str">
        <f t="shared" si="267"/>
        <v>C:\Users\jaime.benazar\Quorum Business Solutions\Ecopetrol Prometeo - Documents\Planning Space Implementation\3. Analysis &amp; Design\Design\FC22\DRR Jaime\Neiva CPI\[VAO_DINA TERCIARIOS_CF_SEC_20230117.xlsx]CF PSNP'!</v>
      </c>
      <c r="G1171" s="7" t="s">
        <v>102</v>
      </c>
      <c r="H1171" s="4"/>
      <c r="I1171" s="4"/>
      <c r="J1171" s="4"/>
    </row>
    <row r="1172" spans="1:10" x14ac:dyDescent="0.3">
      <c r="A1172" s="7" t="s">
        <v>22</v>
      </c>
      <c r="B1172" s="7">
        <f t="shared" si="268"/>
        <v>2053</v>
      </c>
      <c r="C1172" s="4" t="s">
        <v>37</v>
      </c>
      <c r="D1172" s="5" t="s">
        <v>131</v>
      </c>
      <c r="E1172" s="10" t="str">
        <f t="shared" si="266"/>
        <v>PSNP'!</v>
      </c>
      <c r="F1172" s="5" t="str">
        <f t="shared" si="267"/>
        <v>C:\Users\jaime.benazar\Quorum Business Solutions\Ecopetrol Prometeo - Documents\Planning Space Implementation\3. Analysis &amp; Design\Design\FC22\DRR Jaime\Neiva CPI\[VAO_DINA TERCIARIOS_CF_SEC_20230117.xlsx]CF PSNP'!</v>
      </c>
      <c r="G1172" s="7" t="s">
        <v>102</v>
      </c>
      <c r="H1172" s="4"/>
      <c r="I1172" s="4"/>
      <c r="J1172" s="4"/>
    </row>
    <row r="1173" spans="1:10" x14ac:dyDescent="0.3">
      <c r="A1173" s="7" t="s">
        <v>22</v>
      </c>
      <c r="B1173" s="7">
        <f t="shared" si="268"/>
        <v>2054</v>
      </c>
      <c r="C1173" s="4" t="s">
        <v>37</v>
      </c>
      <c r="D1173" s="5" t="s">
        <v>131</v>
      </c>
      <c r="E1173" s="10" t="str">
        <f t="shared" si="266"/>
        <v>PSNP'!</v>
      </c>
      <c r="F1173" s="5" t="str">
        <f t="shared" si="267"/>
        <v>C:\Users\jaime.benazar\Quorum Business Solutions\Ecopetrol Prometeo - Documents\Planning Space Implementation\3. Analysis &amp; Design\Design\FC22\DRR Jaime\Neiva CPI\[VAO_DINA TERCIARIOS_CF_SEC_20230117.xlsx]CF PSNP'!</v>
      </c>
      <c r="G1173" s="7" t="s">
        <v>102</v>
      </c>
      <c r="H1173" s="4"/>
      <c r="I1173" s="4"/>
      <c r="J1173" s="4"/>
    </row>
    <row r="1174" spans="1:10" x14ac:dyDescent="0.3">
      <c r="A1174" s="7" t="s">
        <v>22</v>
      </c>
      <c r="B1174" s="7">
        <f t="shared" si="268"/>
        <v>2055</v>
      </c>
      <c r="C1174" s="4" t="s">
        <v>37</v>
      </c>
      <c r="D1174" s="5" t="s">
        <v>131</v>
      </c>
      <c r="E1174" s="10" t="str">
        <f t="shared" si="266"/>
        <v>PSNP'!</v>
      </c>
      <c r="F1174" s="5" t="str">
        <f t="shared" si="267"/>
        <v>C:\Users\jaime.benazar\Quorum Business Solutions\Ecopetrol Prometeo - Documents\Planning Space Implementation\3. Analysis &amp; Design\Design\FC22\DRR Jaime\Neiva CPI\[VAO_DINA TERCIARIOS_CF_SEC_20230117.xlsx]CF PSNP'!</v>
      </c>
      <c r="G1174" s="7" t="s">
        <v>102</v>
      </c>
      <c r="H1174" s="4"/>
      <c r="I1174" s="4"/>
      <c r="J1174" s="4"/>
    </row>
    <row r="1175" spans="1:10" x14ac:dyDescent="0.3">
      <c r="A1175" s="7" t="s">
        <v>22</v>
      </c>
      <c r="B1175" s="7">
        <f t="shared" si="268"/>
        <v>2056</v>
      </c>
      <c r="C1175" s="4" t="s">
        <v>37</v>
      </c>
      <c r="D1175" s="5" t="s">
        <v>131</v>
      </c>
      <c r="E1175" s="10" t="str">
        <f t="shared" si="266"/>
        <v>PSNP'!</v>
      </c>
      <c r="F1175" s="5" t="str">
        <f t="shared" si="267"/>
        <v>C:\Users\jaime.benazar\Quorum Business Solutions\Ecopetrol Prometeo - Documents\Planning Space Implementation\3. Analysis &amp; Design\Design\FC22\DRR Jaime\Neiva CPI\[VAO_DINA TERCIARIOS_CF_SEC_20230117.xlsx]CF PSNP'!</v>
      </c>
      <c r="G1175" s="7" t="s">
        <v>102</v>
      </c>
      <c r="H1175" s="4"/>
      <c r="I1175" s="4"/>
      <c r="J1175" s="4"/>
    </row>
    <row r="1176" spans="1:10" x14ac:dyDescent="0.3">
      <c r="A1176" s="7" t="s">
        <v>22</v>
      </c>
      <c r="B1176" s="7">
        <f t="shared" si="268"/>
        <v>2057</v>
      </c>
      <c r="C1176" s="4" t="s">
        <v>37</v>
      </c>
      <c r="D1176" s="5" t="s">
        <v>131</v>
      </c>
      <c r="E1176" s="10" t="str">
        <f t="shared" si="266"/>
        <v>PSNP'!</v>
      </c>
      <c r="F1176" s="5" t="str">
        <f t="shared" si="267"/>
        <v>C:\Users\jaime.benazar\Quorum Business Solutions\Ecopetrol Prometeo - Documents\Planning Space Implementation\3. Analysis &amp; Design\Design\FC22\DRR Jaime\Neiva CPI\[VAO_DINA TERCIARIOS_CF_SEC_20230117.xlsx]CF PSNP'!</v>
      </c>
      <c r="G1176" s="7" t="s">
        <v>102</v>
      </c>
      <c r="H1176" s="4"/>
      <c r="I1176" s="4"/>
      <c r="J1176" s="4"/>
    </row>
    <row r="1177" spans="1:10" x14ac:dyDescent="0.3">
      <c r="A1177" s="7" t="s">
        <v>22</v>
      </c>
      <c r="B1177" s="7">
        <f t="shared" si="268"/>
        <v>2058</v>
      </c>
      <c r="C1177" s="4" t="s">
        <v>37</v>
      </c>
      <c r="D1177" s="5" t="s">
        <v>131</v>
      </c>
      <c r="E1177" s="10" t="str">
        <f t="shared" si="266"/>
        <v>PSNP'!</v>
      </c>
      <c r="F1177" s="5" t="str">
        <f t="shared" si="267"/>
        <v>C:\Users\jaime.benazar\Quorum Business Solutions\Ecopetrol Prometeo - Documents\Planning Space Implementation\3. Analysis &amp; Design\Design\FC22\DRR Jaime\Neiva CPI\[VAO_DINA TERCIARIOS_CF_SEC_20230117.xlsx]CF PSNP'!</v>
      </c>
      <c r="G1177" s="7" t="s">
        <v>102</v>
      </c>
      <c r="H1177" s="4"/>
      <c r="I1177" s="4"/>
      <c r="J1177" s="4"/>
    </row>
    <row r="1178" spans="1:10" x14ac:dyDescent="0.3">
      <c r="A1178" s="7" t="s">
        <v>22</v>
      </c>
      <c r="B1178" s="7">
        <f t="shared" si="268"/>
        <v>2059</v>
      </c>
      <c r="C1178" s="4" t="s">
        <v>37</v>
      </c>
      <c r="D1178" s="5" t="s">
        <v>131</v>
      </c>
      <c r="E1178" s="10" t="str">
        <f t="shared" si="266"/>
        <v>PSNP'!</v>
      </c>
      <c r="F1178" s="5" t="str">
        <f t="shared" si="267"/>
        <v>C:\Users\jaime.benazar\Quorum Business Solutions\Ecopetrol Prometeo - Documents\Planning Space Implementation\3. Analysis &amp; Design\Design\FC22\DRR Jaime\Neiva CPI\[VAO_DINA TERCIARIOS_CF_SEC_20230117.xlsx]CF PSNP'!</v>
      </c>
      <c r="G1178" s="7" t="s">
        <v>102</v>
      </c>
      <c r="H1178" s="4"/>
      <c r="I1178" s="4"/>
      <c r="J1178" s="4"/>
    </row>
    <row r="1179" spans="1:10" x14ac:dyDescent="0.3">
      <c r="A1179" s="7" t="s">
        <v>26</v>
      </c>
      <c r="B1179" s="7"/>
      <c r="C1179" s="4" t="s">
        <v>37</v>
      </c>
      <c r="D1179" s="5"/>
      <c r="E1179" s="10"/>
      <c r="F1179" s="5" t="str">
        <f t="shared" si="256"/>
        <v xml:space="preserve"> </v>
      </c>
      <c r="G1179" s="7"/>
      <c r="H1179" s="4"/>
      <c r="I1179" s="4"/>
      <c r="J1179" s="4"/>
    </row>
    <row r="1180" spans="1:10" x14ac:dyDescent="0.3">
      <c r="A1180" s="7" t="s">
        <v>23</v>
      </c>
      <c r="B1180" s="7">
        <v>2023</v>
      </c>
      <c r="C1180" s="4" t="s">
        <v>37</v>
      </c>
      <c r="D1180" s="5" t="s">
        <v>131</v>
      </c>
      <c r="E1180" s="10" t="str">
        <f t="shared" ref="E1180:E1200" si="269">_xlfn.CONCAT(A1180,"'!")</f>
        <v>PSND'!</v>
      </c>
      <c r="F1180" s="5" t="str">
        <f t="shared" si="256"/>
        <v>C:\Users\jaime.benazar\Quorum Business Solutions\Ecopetrol Prometeo - Documents\Planning Space Implementation\3. Analysis &amp; Design\Design\FC22\DRR Jaime\Neiva CPI\[VAO_DINA TERCIARIOS_CF_SEC_20230117.xlsx]CF PSND'!</v>
      </c>
      <c r="G1180" s="7" t="s">
        <v>102</v>
      </c>
      <c r="H1180" s="4"/>
      <c r="I1180" s="4"/>
      <c r="J1180" s="4"/>
    </row>
    <row r="1181" spans="1:10" x14ac:dyDescent="0.3">
      <c r="A1181" s="7" t="s">
        <v>23</v>
      </c>
      <c r="B1181" s="7">
        <f>+B1180+1</f>
        <v>2024</v>
      </c>
      <c r="C1181" s="4" t="s">
        <v>37</v>
      </c>
      <c r="D1181" s="5" t="s">
        <v>131</v>
      </c>
      <c r="E1181" s="10" t="str">
        <f t="shared" si="269"/>
        <v>PSND'!</v>
      </c>
      <c r="F1181" s="5" t="str">
        <f t="shared" si="256"/>
        <v>C:\Users\jaime.benazar\Quorum Business Solutions\Ecopetrol Prometeo - Documents\Planning Space Implementation\3. Analysis &amp; Design\Design\FC22\DRR Jaime\Neiva CPI\[VAO_DINA TERCIARIOS_CF_SEC_20230117.xlsx]CF PSND'!</v>
      </c>
      <c r="G1181" s="7" t="s">
        <v>102</v>
      </c>
      <c r="H1181" s="4"/>
      <c r="I1181" s="4"/>
      <c r="J1181" s="4"/>
    </row>
    <row r="1182" spans="1:10" x14ac:dyDescent="0.3">
      <c r="A1182" s="7" t="s">
        <v>23</v>
      </c>
      <c r="B1182" s="7">
        <f t="shared" ref="B1182:B1193" si="270">+B1181+1</f>
        <v>2025</v>
      </c>
      <c r="C1182" s="4" t="s">
        <v>37</v>
      </c>
      <c r="D1182" s="5" t="s">
        <v>131</v>
      </c>
      <c r="E1182" s="10" t="str">
        <f t="shared" si="269"/>
        <v>PSND'!</v>
      </c>
      <c r="F1182" s="5" t="str">
        <f t="shared" si="256"/>
        <v>C:\Users\jaime.benazar\Quorum Business Solutions\Ecopetrol Prometeo - Documents\Planning Space Implementation\3. Analysis &amp; Design\Design\FC22\DRR Jaime\Neiva CPI\[VAO_DINA TERCIARIOS_CF_SEC_20230117.xlsx]CF PSND'!</v>
      </c>
      <c r="G1182" s="7" t="s">
        <v>102</v>
      </c>
      <c r="H1182" s="4"/>
      <c r="I1182" s="4"/>
      <c r="J1182" s="4"/>
    </row>
    <row r="1183" spans="1:10" x14ac:dyDescent="0.3">
      <c r="A1183" s="7" t="s">
        <v>23</v>
      </c>
      <c r="B1183" s="7">
        <f t="shared" si="270"/>
        <v>2026</v>
      </c>
      <c r="C1183" s="4" t="s">
        <v>37</v>
      </c>
      <c r="D1183" s="5" t="s">
        <v>131</v>
      </c>
      <c r="E1183" s="10" t="str">
        <f t="shared" si="269"/>
        <v>PSND'!</v>
      </c>
      <c r="F1183" s="5" t="str">
        <f t="shared" si="256"/>
        <v>C:\Users\jaime.benazar\Quorum Business Solutions\Ecopetrol Prometeo - Documents\Planning Space Implementation\3. Analysis &amp; Design\Design\FC22\DRR Jaime\Neiva CPI\[VAO_DINA TERCIARIOS_CF_SEC_20230117.xlsx]CF PSND'!</v>
      </c>
      <c r="G1183" s="7" t="s">
        <v>102</v>
      </c>
      <c r="H1183" s="4"/>
      <c r="I1183" s="4"/>
      <c r="J1183" s="4"/>
    </row>
    <row r="1184" spans="1:10" x14ac:dyDescent="0.3">
      <c r="A1184" s="7" t="s">
        <v>23</v>
      </c>
      <c r="B1184" s="7">
        <f t="shared" si="270"/>
        <v>2027</v>
      </c>
      <c r="C1184" s="4" t="s">
        <v>37</v>
      </c>
      <c r="D1184" s="5" t="s">
        <v>131</v>
      </c>
      <c r="E1184" s="10" t="str">
        <f t="shared" si="269"/>
        <v>PSND'!</v>
      </c>
      <c r="F1184" s="5" t="str">
        <f t="shared" si="256"/>
        <v>C:\Users\jaime.benazar\Quorum Business Solutions\Ecopetrol Prometeo - Documents\Planning Space Implementation\3. Analysis &amp; Design\Design\FC22\DRR Jaime\Neiva CPI\[VAO_DINA TERCIARIOS_CF_SEC_20230117.xlsx]CF PSND'!</v>
      </c>
      <c r="G1184" s="7" t="s">
        <v>102</v>
      </c>
      <c r="H1184" s="4"/>
      <c r="I1184" s="4"/>
      <c r="J1184" s="4"/>
    </row>
    <row r="1185" spans="1:10" x14ac:dyDescent="0.3">
      <c r="A1185" s="7" t="s">
        <v>23</v>
      </c>
      <c r="B1185" s="7">
        <f t="shared" si="270"/>
        <v>2028</v>
      </c>
      <c r="C1185" s="4" t="s">
        <v>37</v>
      </c>
      <c r="D1185" s="5" t="s">
        <v>131</v>
      </c>
      <c r="E1185" s="10" t="str">
        <f t="shared" si="269"/>
        <v>PSND'!</v>
      </c>
      <c r="F1185" s="5" t="str">
        <f t="shared" si="256"/>
        <v>C:\Users\jaime.benazar\Quorum Business Solutions\Ecopetrol Prometeo - Documents\Planning Space Implementation\3. Analysis &amp; Design\Design\FC22\DRR Jaime\Neiva CPI\[VAO_DINA TERCIARIOS_CF_SEC_20230117.xlsx]CF PSND'!</v>
      </c>
      <c r="G1185" s="7" t="s">
        <v>102</v>
      </c>
      <c r="H1185" s="4"/>
      <c r="I1185" s="4"/>
      <c r="J1185" s="4"/>
    </row>
    <row r="1186" spans="1:10" x14ac:dyDescent="0.3">
      <c r="A1186" s="7" t="s">
        <v>23</v>
      </c>
      <c r="B1186" s="7">
        <f t="shared" si="270"/>
        <v>2029</v>
      </c>
      <c r="C1186" s="4" t="s">
        <v>37</v>
      </c>
      <c r="D1186" s="5" t="s">
        <v>131</v>
      </c>
      <c r="E1186" s="10" t="str">
        <f t="shared" si="269"/>
        <v>PSND'!</v>
      </c>
      <c r="F1186" s="5" t="str">
        <f t="shared" si="256"/>
        <v>C:\Users\jaime.benazar\Quorum Business Solutions\Ecopetrol Prometeo - Documents\Planning Space Implementation\3. Analysis &amp; Design\Design\FC22\DRR Jaime\Neiva CPI\[VAO_DINA TERCIARIOS_CF_SEC_20230117.xlsx]CF PSND'!</v>
      </c>
      <c r="G1186" s="7" t="s">
        <v>102</v>
      </c>
      <c r="H1186" s="4"/>
      <c r="I1186" s="4"/>
      <c r="J1186" s="4"/>
    </row>
    <row r="1187" spans="1:10" x14ac:dyDescent="0.3">
      <c r="A1187" s="7" t="s">
        <v>23</v>
      </c>
      <c r="B1187" s="7">
        <f t="shared" si="270"/>
        <v>2030</v>
      </c>
      <c r="C1187" s="4" t="s">
        <v>37</v>
      </c>
      <c r="D1187" s="5" t="s">
        <v>131</v>
      </c>
      <c r="E1187" s="10" t="str">
        <f t="shared" si="269"/>
        <v>PSND'!</v>
      </c>
      <c r="F1187" s="5" t="str">
        <f t="shared" si="256"/>
        <v>C:\Users\jaime.benazar\Quorum Business Solutions\Ecopetrol Prometeo - Documents\Planning Space Implementation\3. Analysis &amp; Design\Design\FC22\DRR Jaime\Neiva CPI\[VAO_DINA TERCIARIOS_CF_SEC_20230117.xlsx]CF PSND'!</v>
      </c>
      <c r="G1187" s="7" t="s">
        <v>102</v>
      </c>
      <c r="H1187" s="4"/>
      <c r="I1187" s="4"/>
      <c r="J1187" s="4"/>
    </row>
    <row r="1188" spans="1:10" x14ac:dyDescent="0.3">
      <c r="A1188" s="7" t="s">
        <v>23</v>
      </c>
      <c r="B1188" s="7">
        <f t="shared" si="270"/>
        <v>2031</v>
      </c>
      <c r="C1188" s="4" t="s">
        <v>37</v>
      </c>
      <c r="D1188" s="5" t="s">
        <v>131</v>
      </c>
      <c r="E1188" s="10" t="str">
        <f t="shared" si="269"/>
        <v>PSND'!</v>
      </c>
      <c r="F1188" s="5" t="str">
        <f t="shared" si="256"/>
        <v>C:\Users\jaime.benazar\Quorum Business Solutions\Ecopetrol Prometeo - Documents\Planning Space Implementation\3. Analysis &amp; Design\Design\FC22\DRR Jaime\Neiva CPI\[VAO_DINA TERCIARIOS_CF_SEC_20230117.xlsx]CF PSND'!</v>
      </c>
      <c r="G1188" s="7" t="s">
        <v>102</v>
      </c>
      <c r="H1188" s="4"/>
      <c r="I1188" s="4"/>
      <c r="J1188" s="4"/>
    </row>
    <row r="1189" spans="1:10" x14ac:dyDescent="0.3">
      <c r="A1189" s="7" t="s">
        <v>23</v>
      </c>
      <c r="B1189" s="7">
        <f t="shared" si="270"/>
        <v>2032</v>
      </c>
      <c r="C1189" s="4" t="s">
        <v>37</v>
      </c>
      <c r="D1189" s="5" t="s">
        <v>131</v>
      </c>
      <c r="E1189" s="10" t="str">
        <f t="shared" si="269"/>
        <v>PSND'!</v>
      </c>
      <c r="F1189" s="5" t="str">
        <f t="shared" si="256"/>
        <v>C:\Users\jaime.benazar\Quorum Business Solutions\Ecopetrol Prometeo - Documents\Planning Space Implementation\3. Analysis &amp; Design\Design\FC22\DRR Jaime\Neiva CPI\[VAO_DINA TERCIARIOS_CF_SEC_20230117.xlsx]CF PSND'!</v>
      </c>
      <c r="G1189" s="7" t="s">
        <v>102</v>
      </c>
      <c r="H1189" s="4"/>
      <c r="I1189" s="4"/>
      <c r="J1189" s="4"/>
    </row>
    <row r="1190" spans="1:10" x14ac:dyDescent="0.3">
      <c r="A1190" s="7" t="s">
        <v>23</v>
      </c>
      <c r="B1190" s="7">
        <f t="shared" si="270"/>
        <v>2033</v>
      </c>
      <c r="C1190" s="4" t="s">
        <v>37</v>
      </c>
      <c r="D1190" s="5" t="s">
        <v>131</v>
      </c>
      <c r="E1190" s="10" t="str">
        <f t="shared" si="269"/>
        <v>PSND'!</v>
      </c>
      <c r="F1190" s="5" t="str">
        <f t="shared" si="256"/>
        <v>C:\Users\jaime.benazar\Quorum Business Solutions\Ecopetrol Prometeo - Documents\Planning Space Implementation\3. Analysis &amp; Design\Design\FC22\DRR Jaime\Neiva CPI\[VAO_DINA TERCIARIOS_CF_SEC_20230117.xlsx]CF PSND'!</v>
      </c>
      <c r="G1190" s="7" t="s">
        <v>102</v>
      </c>
      <c r="H1190" s="4"/>
      <c r="I1190" s="4"/>
      <c r="J1190" s="4"/>
    </row>
    <row r="1191" spans="1:10" x14ac:dyDescent="0.3">
      <c r="A1191" s="7" t="s">
        <v>23</v>
      </c>
      <c r="B1191" s="7">
        <f t="shared" si="270"/>
        <v>2034</v>
      </c>
      <c r="C1191" s="4" t="s">
        <v>37</v>
      </c>
      <c r="D1191" s="5" t="s">
        <v>131</v>
      </c>
      <c r="E1191" s="10" t="str">
        <f t="shared" si="269"/>
        <v>PSND'!</v>
      </c>
      <c r="F1191" s="5" t="str">
        <f t="shared" si="256"/>
        <v>C:\Users\jaime.benazar\Quorum Business Solutions\Ecopetrol Prometeo - Documents\Planning Space Implementation\3. Analysis &amp; Design\Design\FC22\DRR Jaime\Neiva CPI\[VAO_DINA TERCIARIOS_CF_SEC_20230117.xlsx]CF PSND'!</v>
      </c>
      <c r="G1191" s="7" t="s">
        <v>102</v>
      </c>
      <c r="H1191" s="4"/>
      <c r="I1191" s="4"/>
      <c r="J1191" s="4"/>
    </row>
    <row r="1192" spans="1:10" x14ac:dyDescent="0.3">
      <c r="A1192" s="7" t="s">
        <v>23</v>
      </c>
      <c r="B1192" s="7">
        <f t="shared" si="270"/>
        <v>2035</v>
      </c>
      <c r="C1192" s="4" t="s">
        <v>37</v>
      </c>
      <c r="D1192" s="5" t="s">
        <v>131</v>
      </c>
      <c r="E1192" s="10" t="str">
        <f t="shared" si="269"/>
        <v>PSND'!</v>
      </c>
      <c r="F1192" s="5" t="str">
        <f t="shared" si="256"/>
        <v>C:\Users\jaime.benazar\Quorum Business Solutions\Ecopetrol Prometeo - Documents\Planning Space Implementation\3. Analysis &amp; Design\Design\FC22\DRR Jaime\Neiva CPI\[VAO_DINA TERCIARIOS_CF_SEC_20230117.xlsx]CF PSND'!</v>
      </c>
      <c r="G1192" s="7" t="s">
        <v>102</v>
      </c>
      <c r="H1192" s="4"/>
      <c r="I1192" s="4"/>
      <c r="J1192" s="4"/>
    </row>
    <row r="1193" spans="1:10" x14ac:dyDescent="0.3">
      <c r="A1193" s="7" t="s">
        <v>23</v>
      </c>
      <c r="B1193" s="7">
        <f t="shared" si="270"/>
        <v>2036</v>
      </c>
      <c r="C1193" s="4" t="s">
        <v>37</v>
      </c>
      <c r="D1193" s="5" t="s">
        <v>131</v>
      </c>
      <c r="E1193" s="10" t="str">
        <f t="shared" si="269"/>
        <v>PSND'!</v>
      </c>
      <c r="F1193" s="5" t="str">
        <f t="shared" si="256"/>
        <v>C:\Users\jaime.benazar\Quorum Business Solutions\Ecopetrol Prometeo - Documents\Planning Space Implementation\3. Analysis &amp; Design\Design\FC22\DRR Jaime\Neiva CPI\[VAO_DINA TERCIARIOS_CF_SEC_20230117.xlsx]CF PSND'!</v>
      </c>
      <c r="G1193" s="7" t="s">
        <v>102</v>
      </c>
      <c r="H1193" s="4"/>
      <c r="I1193" s="4"/>
      <c r="J1193" s="4"/>
    </row>
    <row r="1194" spans="1:10" x14ac:dyDescent="0.3">
      <c r="A1194" s="7" t="s">
        <v>23</v>
      </c>
      <c r="B1194" s="7">
        <f>+B1193+1</f>
        <v>2037</v>
      </c>
      <c r="C1194" s="4" t="s">
        <v>37</v>
      </c>
      <c r="D1194" s="5" t="s">
        <v>131</v>
      </c>
      <c r="E1194" s="10" t="str">
        <f t="shared" si="269"/>
        <v>PSND'!</v>
      </c>
      <c r="F1194" s="5" t="str">
        <f t="shared" si="256"/>
        <v>C:\Users\jaime.benazar\Quorum Business Solutions\Ecopetrol Prometeo - Documents\Planning Space Implementation\3. Analysis &amp; Design\Design\FC22\DRR Jaime\Neiva CPI\[VAO_DINA TERCIARIOS_CF_SEC_20230117.xlsx]CF PSND'!</v>
      </c>
      <c r="G1194" s="7" t="s">
        <v>102</v>
      </c>
      <c r="H1194" s="4"/>
      <c r="I1194" s="4"/>
      <c r="J1194" s="4"/>
    </row>
    <row r="1195" spans="1:10" x14ac:dyDescent="0.3">
      <c r="A1195" s="7" t="s">
        <v>23</v>
      </c>
      <c r="B1195" s="7">
        <f t="shared" ref="B1195:B1197" si="271">+B1194+1</f>
        <v>2038</v>
      </c>
      <c r="C1195" s="4" t="s">
        <v>37</v>
      </c>
      <c r="D1195" s="5" t="s">
        <v>131</v>
      </c>
      <c r="E1195" s="10" t="str">
        <f t="shared" si="269"/>
        <v>PSND'!</v>
      </c>
      <c r="F1195" s="5" t="str">
        <f t="shared" si="256"/>
        <v>C:\Users\jaime.benazar\Quorum Business Solutions\Ecopetrol Prometeo - Documents\Planning Space Implementation\3. Analysis &amp; Design\Design\FC22\DRR Jaime\Neiva CPI\[VAO_DINA TERCIARIOS_CF_SEC_20230117.xlsx]CF PSND'!</v>
      </c>
      <c r="G1195" s="7" t="s">
        <v>102</v>
      </c>
      <c r="H1195" s="4"/>
      <c r="I1195" s="4"/>
      <c r="J1195" s="4"/>
    </row>
    <row r="1196" spans="1:10" x14ac:dyDescent="0.3">
      <c r="A1196" s="7" t="s">
        <v>23</v>
      </c>
      <c r="B1196" s="7">
        <f t="shared" si="271"/>
        <v>2039</v>
      </c>
      <c r="C1196" s="4" t="s">
        <v>37</v>
      </c>
      <c r="D1196" s="5" t="s">
        <v>131</v>
      </c>
      <c r="E1196" s="10" t="str">
        <f t="shared" si="269"/>
        <v>PSND'!</v>
      </c>
      <c r="F1196" s="5" t="str">
        <f t="shared" si="256"/>
        <v>C:\Users\jaime.benazar\Quorum Business Solutions\Ecopetrol Prometeo - Documents\Planning Space Implementation\3. Analysis &amp; Design\Design\FC22\DRR Jaime\Neiva CPI\[VAO_DINA TERCIARIOS_CF_SEC_20230117.xlsx]CF PSND'!</v>
      </c>
      <c r="G1196" s="7" t="s">
        <v>102</v>
      </c>
      <c r="H1196" s="4"/>
      <c r="I1196" s="4"/>
      <c r="J1196" s="4"/>
    </row>
    <row r="1197" spans="1:10" x14ac:dyDescent="0.3">
      <c r="A1197" s="7" t="s">
        <v>23</v>
      </c>
      <c r="B1197" s="7">
        <f t="shared" si="271"/>
        <v>2040</v>
      </c>
      <c r="C1197" s="4" t="s">
        <v>37</v>
      </c>
      <c r="D1197" s="5" t="s">
        <v>131</v>
      </c>
      <c r="E1197" s="10" t="str">
        <f t="shared" si="269"/>
        <v>PSND'!</v>
      </c>
      <c r="F1197" s="5" t="str">
        <f t="shared" si="256"/>
        <v>C:\Users\jaime.benazar\Quorum Business Solutions\Ecopetrol Prometeo - Documents\Planning Space Implementation\3. Analysis &amp; Design\Design\FC22\DRR Jaime\Neiva CPI\[VAO_DINA TERCIARIOS_CF_SEC_20230117.xlsx]CF PSND'!</v>
      </c>
      <c r="G1197" s="7" t="s">
        <v>102</v>
      </c>
      <c r="H1197" s="4"/>
      <c r="I1197" s="4"/>
      <c r="J1197" s="4"/>
    </row>
    <row r="1198" spans="1:10" x14ac:dyDescent="0.3">
      <c r="A1198" s="7" t="s">
        <v>23</v>
      </c>
      <c r="B1198" s="7">
        <f>+B1197+1</f>
        <v>2041</v>
      </c>
      <c r="C1198" s="4" t="s">
        <v>37</v>
      </c>
      <c r="D1198" s="5" t="s">
        <v>131</v>
      </c>
      <c r="E1198" s="10" t="str">
        <f t="shared" si="269"/>
        <v>PSND'!</v>
      </c>
      <c r="F1198" s="5" t="str">
        <f t="shared" si="256"/>
        <v>C:\Users\jaime.benazar\Quorum Business Solutions\Ecopetrol Prometeo - Documents\Planning Space Implementation\3. Analysis &amp; Design\Design\FC22\DRR Jaime\Neiva CPI\[VAO_DINA TERCIARIOS_CF_SEC_20230117.xlsx]CF PSND'!</v>
      </c>
      <c r="G1198" s="7" t="s">
        <v>102</v>
      </c>
      <c r="H1198" s="4"/>
      <c r="I1198" s="4"/>
      <c r="J1198" s="4"/>
    </row>
    <row r="1199" spans="1:10" x14ac:dyDescent="0.3">
      <c r="A1199" s="7" t="s">
        <v>23</v>
      </c>
      <c r="B1199" s="7">
        <f t="shared" ref="B1199:B1200" si="272">+B1198+1</f>
        <v>2042</v>
      </c>
      <c r="C1199" s="4" t="s">
        <v>37</v>
      </c>
      <c r="D1199" s="5" t="s">
        <v>131</v>
      </c>
      <c r="E1199" s="10" t="str">
        <f t="shared" si="269"/>
        <v>PSND'!</v>
      </c>
      <c r="F1199" s="5" t="str">
        <f t="shared" si="256"/>
        <v>C:\Users\jaime.benazar\Quorum Business Solutions\Ecopetrol Prometeo - Documents\Planning Space Implementation\3. Analysis &amp; Design\Design\FC22\DRR Jaime\Neiva CPI\[VAO_DINA TERCIARIOS_CF_SEC_20230117.xlsx]CF PSND'!</v>
      </c>
      <c r="G1199" s="7" t="s">
        <v>102</v>
      </c>
      <c r="H1199" s="4"/>
      <c r="I1199" s="4"/>
      <c r="J1199" s="4"/>
    </row>
    <row r="1200" spans="1:10" x14ac:dyDescent="0.3">
      <c r="A1200" s="7" t="s">
        <v>23</v>
      </c>
      <c r="B1200" s="7">
        <f t="shared" si="272"/>
        <v>2043</v>
      </c>
      <c r="C1200" s="4" t="s">
        <v>37</v>
      </c>
      <c r="D1200" s="5" t="s">
        <v>131</v>
      </c>
      <c r="E1200" s="10" t="str">
        <f t="shared" si="269"/>
        <v>PSND'!</v>
      </c>
      <c r="F1200" s="5" t="str">
        <f t="shared" si="256"/>
        <v>C:\Users\jaime.benazar\Quorum Business Solutions\Ecopetrol Prometeo - Documents\Planning Space Implementation\3. Analysis &amp; Design\Design\FC22\DRR Jaime\Neiva CPI\[VAO_DINA TERCIARIOS_CF_SEC_20230117.xlsx]CF PSND'!</v>
      </c>
      <c r="G1200" s="7" t="s">
        <v>102</v>
      </c>
      <c r="H1200" s="4"/>
      <c r="I1200" s="4"/>
      <c r="J1200" s="4"/>
    </row>
    <row r="1201" spans="1:10" x14ac:dyDescent="0.3">
      <c r="A1201" s="7" t="s">
        <v>23</v>
      </c>
      <c r="B1201" s="7">
        <f>+B1200+1</f>
        <v>2044</v>
      </c>
      <c r="C1201" s="4" t="s">
        <v>37</v>
      </c>
      <c r="D1201" s="5" t="s">
        <v>131</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Jaime\Neiva CPI\[VAO_DINA TERCIARIOS_CF_SEC_20230117.xlsx]CF PSND'!</v>
      </c>
      <c r="G1201" s="7" t="s">
        <v>102</v>
      </c>
      <c r="H1201" s="4"/>
      <c r="I1201" s="4"/>
      <c r="J1201" s="4"/>
    </row>
    <row r="1202" spans="1:10" x14ac:dyDescent="0.3">
      <c r="A1202" s="7" t="s">
        <v>23</v>
      </c>
      <c r="B1202" s="7">
        <f t="shared" ref="B1202:B1216" si="275">+B1201+1</f>
        <v>2045</v>
      </c>
      <c r="C1202" s="4" t="s">
        <v>37</v>
      </c>
      <c r="D1202" s="5" t="s">
        <v>131</v>
      </c>
      <c r="E1202" s="10" t="str">
        <f t="shared" si="273"/>
        <v>PSND'!</v>
      </c>
      <c r="F1202" s="5" t="str">
        <f t="shared" si="274"/>
        <v>C:\Users\jaime.benazar\Quorum Business Solutions\Ecopetrol Prometeo - Documents\Planning Space Implementation\3. Analysis &amp; Design\Design\FC22\DRR Jaime\Neiva CPI\[VAO_DINA TERCIARIOS_CF_SEC_20230117.xlsx]CF PSND'!</v>
      </c>
      <c r="G1202" s="7" t="s">
        <v>102</v>
      </c>
      <c r="H1202" s="4"/>
      <c r="I1202" s="4"/>
      <c r="J1202" s="4"/>
    </row>
    <row r="1203" spans="1:10" x14ac:dyDescent="0.3">
      <c r="A1203" s="7" t="s">
        <v>23</v>
      </c>
      <c r="B1203" s="7">
        <f t="shared" si="275"/>
        <v>2046</v>
      </c>
      <c r="C1203" s="4" t="s">
        <v>37</v>
      </c>
      <c r="D1203" s="5" t="s">
        <v>131</v>
      </c>
      <c r="E1203" s="10" t="str">
        <f t="shared" si="273"/>
        <v>PSND'!</v>
      </c>
      <c r="F1203" s="5" t="str">
        <f t="shared" si="274"/>
        <v>C:\Users\jaime.benazar\Quorum Business Solutions\Ecopetrol Prometeo - Documents\Planning Space Implementation\3. Analysis &amp; Design\Design\FC22\DRR Jaime\Neiva CPI\[VAO_DINA TERCIARIOS_CF_SEC_20230117.xlsx]CF PSND'!</v>
      </c>
      <c r="G1203" s="7" t="s">
        <v>102</v>
      </c>
      <c r="H1203" s="4"/>
      <c r="I1203" s="4"/>
      <c r="J1203" s="4"/>
    </row>
    <row r="1204" spans="1:10" x14ac:dyDescent="0.3">
      <c r="A1204" s="7" t="s">
        <v>23</v>
      </c>
      <c r="B1204" s="7">
        <f t="shared" si="275"/>
        <v>2047</v>
      </c>
      <c r="C1204" s="4" t="s">
        <v>37</v>
      </c>
      <c r="D1204" s="5" t="s">
        <v>131</v>
      </c>
      <c r="E1204" s="10" t="str">
        <f t="shared" si="273"/>
        <v>PSND'!</v>
      </c>
      <c r="F1204" s="5" t="str">
        <f t="shared" si="274"/>
        <v>C:\Users\jaime.benazar\Quorum Business Solutions\Ecopetrol Prometeo - Documents\Planning Space Implementation\3. Analysis &amp; Design\Design\FC22\DRR Jaime\Neiva CPI\[VAO_DINA TERCIARIOS_CF_SEC_20230117.xlsx]CF PSND'!</v>
      </c>
      <c r="G1204" s="7" t="s">
        <v>102</v>
      </c>
      <c r="H1204" s="4"/>
      <c r="I1204" s="4"/>
      <c r="J1204" s="4"/>
    </row>
    <row r="1205" spans="1:10" x14ac:dyDescent="0.3">
      <c r="A1205" s="7" t="s">
        <v>23</v>
      </c>
      <c r="B1205" s="7">
        <f t="shared" si="275"/>
        <v>2048</v>
      </c>
      <c r="C1205" s="4" t="s">
        <v>37</v>
      </c>
      <c r="D1205" s="5" t="s">
        <v>131</v>
      </c>
      <c r="E1205" s="10" t="str">
        <f t="shared" si="273"/>
        <v>PSND'!</v>
      </c>
      <c r="F1205" s="5" t="str">
        <f t="shared" si="274"/>
        <v>C:\Users\jaime.benazar\Quorum Business Solutions\Ecopetrol Prometeo - Documents\Planning Space Implementation\3. Analysis &amp; Design\Design\FC22\DRR Jaime\Neiva CPI\[VAO_DINA TERCIARIOS_CF_SEC_20230117.xlsx]CF PSND'!</v>
      </c>
      <c r="G1205" s="7" t="s">
        <v>102</v>
      </c>
      <c r="H1205" s="4"/>
      <c r="I1205" s="4"/>
      <c r="J1205" s="4"/>
    </row>
    <row r="1206" spans="1:10" x14ac:dyDescent="0.3">
      <c r="A1206" s="7" t="s">
        <v>23</v>
      </c>
      <c r="B1206" s="7">
        <f t="shared" si="275"/>
        <v>2049</v>
      </c>
      <c r="C1206" s="4" t="s">
        <v>37</v>
      </c>
      <c r="D1206" s="5" t="s">
        <v>131</v>
      </c>
      <c r="E1206" s="10" t="str">
        <f t="shared" si="273"/>
        <v>PSND'!</v>
      </c>
      <c r="F1206" s="5" t="str">
        <f t="shared" si="274"/>
        <v>C:\Users\jaime.benazar\Quorum Business Solutions\Ecopetrol Prometeo - Documents\Planning Space Implementation\3. Analysis &amp; Design\Design\FC22\DRR Jaime\Neiva CPI\[VAO_DINA TERCIARIOS_CF_SEC_20230117.xlsx]CF PSND'!</v>
      </c>
      <c r="G1206" s="7" t="s">
        <v>102</v>
      </c>
      <c r="H1206" s="4"/>
      <c r="I1206" s="4"/>
      <c r="J1206" s="4"/>
    </row>
    <row r="1207" spans="1:10" x14ac:dyDescent="0.3">
      <c r="A1207" s="7" t="s">
        <v>23</v>
      </c>
      <c r="B1207" s="7">
        <f t="shared" si="275"/>
        <v>2050</v>
      </c>
      <c r="C1207" s="4" t="s">
        <v>37</v>
      </c>
      <c r="D1207" s="5" t="s">
        <v>131</v>
      </c>
      <c r="E1207" s="10" t="str">
        <f t="shared" si="273"/>
        <v>PSND'!</v>
      </c>
      <c r="F1207" s="5" t="str">
        <f t="shared" si="274"/>
        <v>C:\Users\jaime.benazar\Quorum Business Solutions\Ecopetrol Prometeo - Documents\Planning Space Implementation\3. Analysis &amp; Design\Design\FC22\DRR Jaime\Neiva CPI\[VAO_DINA TERCIARIOS_CF_SEC_20230117.xlsx]CF PSND'!</v>
      </c>
      <c r="G1207" s="7" t="s">
        <v>102</v>
      </c>
      <c r="H1207" s="4"/>
      <c r="I1207" s="4"/>
      <c r="J1207" s="4"/>
    </row>
    <row r="1208" spans="1:10" x14ac:dyDescent="0.3">
      <c r="A1208" s="7" t="s">
        <v>23</v>
      </c>
      <c r="B1208" s="7">
        <f t="shared" si="275"/>
        <v>2051</v>
      </c>
      <c r="C1208" s="4" t="s">
        <v>37</v>
      </c>
      <c r="D1208" s="5" t="s">
        <v>131</v>
      </c>
      <c r="E1208" s="10" t="str">
        <f t="shared" si="273"/>
        <v>PSND'!</v>
      </c>
      <c r="F1208" s="5" t="str">
        <f t="shared" si="274"/>
        <v>C:\Users\jaime.benazar\Quorum Business Solutions\Ecopetrol Prometeo - Documents\Planning Space Implementation\3. Analysis &amp; Design\Design\FC22\DRR Jaime\Neiva CPI\[VAO_DINA TERCIARIOS_CF_SEC_20230117.xlsx]CF PSND'!</v>
      </c>
      <c r="G1208" s="7" t="s">
        <v>102</v>
      </c>
      <c r="H1208" s="4"/>
      <c r="I1208" s="4"/>
      <c r="J1208" s="4"/>
    </row>
    <row r="1209" spans="1:10" x14ac:dyDescent="0.3">
      <c r="A1209" s="7" t="s">
        <v>23</v>
      </c>
      <c r="B1209" s="7">
        <f t="shared" si="275"/>
        <v>2052</v>
      </c>
      <c r="C1209" s="4" t="s">
        <v>37</v>
      </c>
      <c r="D1209" s="5" t="s">
        <v>131</v>
      </c>
      <c r="E1209" s="10" t="str">
        <f t="shared" si="273"/>
        <v>PSND'!</v>
      </c>
      <c r="F1209" s="5" t="str">
        <f t="shared" si="274"/>
        <v>C:\Users\jaime.benazar\Quorum Business Solutions\Ecopetrol Prometeo - Documents\Planning Space Implementation\3. Analysis &amp; Design\Design\FC22\DRR Jaime\Neiva CPI\[VAO_DINA TERCIARIOS_CF_SEC_20230117.xlsx]CF PSND'!</v>
      </c>
      <c r="G1209" s="7" t="s">
        <v>102</v>
      </c>
      <c r="H1209" s="4"/>
      <c r="I1209" s="4"/>
      <c r="J1209" s="4"/>
    </row>
    <row r="1210" spans="1:10" x14ac:dyDescent="0.3">
      <c r="A1210" s="7" t="s">
        <v>23</v>
      </c>
      <c r="B1210" s="7">
        <f t="shared" si="275"/>
        <v>2053</v>
      </c>
      <c r="C1210" s="4" t="s">
        <v>37</v>
      </c>
      <c r="D1210" s="5" t="s">
        <v>131</v>
      </c>
      <c r="E1210" s="10" t="str">
        <f t="shared" si="273"/>
        <v>PSND'!</v>
      </c>
      <c r="F1210" s="5" t="str">
        <f t="shared" si="274"/>
        <v>C:\Users\jaime.benazar\Quorum Business Solutions\Ecopetrol Prometeo - Documents\Planning Space Implementation\3. Analysis &amp; Design\Design\FC22\DRR Jaime\Neiva CPI\[VAO_DINA TERCIARIOS_CF_SEC_20230117.xlsx]CF PSND'!</v>
      </c>
      <c r="G1210" s="7" t="s">
        <v>102</v>
      </c>
      <c r="H1210" s="4"/>
      <c r="I1210" s="4"/>
      <c r="J1210" s="4"/>
    </row>
    <row r="1211" spans="1:10" x14ac:dyDescent="0.3">
      <c r="A1211" s="7" t="s">
        <v>23</v>
      </c>
      <c r="B1211" s="7">
        <f t="shared" si="275"/>
        <v>2054</v>
      </c>
      <c r="C1211" s="4" t="s">
        <v>37</v>
      </c>
      <c r="D1211" s="5" t="s">
        <v>131</v>
      </c>
      <c r="E1211" s="10" t="str">
        <f t="shared" si="273"/>
        <v>PSND'!</v>
      </c>
      <c r="F1211" s="5" t="str">
        <f t="shared" si="274"/>
        <v>C:\Users\jaime.benazar\Quorum Business Solutions\Ecopetrol Prometeo - Documents\Planning Space Implementation\3. Analysis &amp; Design\Design\FC22\DRR Jaime\Neiva CPI\[VAO_DINA TERCIARIOS_CF_SEC_20230117.xlsx]CF PSND'!</v>
      </c>
      <c r="G1211" s="7" t="s">
        <v>102</v>
      </c>
      <c r="H1211" s="4"/>
      <c r="I1211" s="4"/>
      <c r="J1211" s="4"/>
    </row>
    <row r="1212" spans="1:10" x14ac:dyDescent="0.3">
      <c r="A1212" s="7" t="s">
        <v>23</v>
      </c>
      <c r="B1212" s="7">
        <f t="shared" si="275"/>
        <v>2055</v>
      </c>
      <c r="C1212" s="4" t="s">
        <v>37</v>
      </c>
      <c r="D1212" s="5" t="s">
        <v>131</v>
      </c>
      <c r="E1212" s="10" t="str">
        <f t="shared" si="273"/>
        <v>PSND'!</v>
      </c>
      <c r="F1212" s="5" t="str">
        <f t="shared" si="274"/>
        <v>C:\Users\jaime.benazar\Quorum Business Solutions\Ecopetrol Prometeo - Documents\Planning Space Implementation\3. Analysis &amp; Design\Design\FC22\DRR Jaime\Neiva CPI\[VAO_DINA TERCIARIOS_CF_SEC_20230117.xlsx]CF PSND'!</v>
      </c>
      <c r="G1212" s="7" t="s">
        <v>102</v>
      </c>
      <c r="H1212" s="4"/>
      <c r="I1212" s="4"/>
      <c r="J1212" s="4"/>
    </row>
    <row r="1213" spans="1:10" x14ac:dyDescent="0.3">
      <c r="A1213" s="7" t="s">
        <v>23</v>
      </c>
      <c r="B1213" s="7">
        <f t="shared" si="275"/>
        <v>2056</v>
      </c>
      <c r="C1213" s="4" t="s">
        <v>37</v>
      </c>
      <c r="D1213" s="5" t="s">
        <v>131</v>
      </c>
      <c r="E1213" s="10" t="str">
        <f t="shared" si="273"/>
        <v>PSND'!</v>
      </c>
      <c r="F1213" s="5" t="str">
        <f t="shared" si="274"/>
        <v>C:\Users\jaime.benazar\Quorum Business Solutions\Ecopetrol Prometeo - Documents\Planning Space Implementation\3. Analysis &amp; Design\Design\FC22\DRR Jaime\Neiva CPI\[VAO_DINA TERCIARIOS_CF_SEC_20230117.xlsx]CF PSND'!</v>
      </c>
      <c r="G1213" s="7" t="s">
        <v>102</v>
      </c>
      <c r="H1213" s="4"/>
      <c r="I1213" s="4"/>
      <c r="J1213" s="4"/>
    </row>
    <row r="1214" spans="1:10" x14ac:dyDescent="0.3">
      <c r="A1214" s="7" t="s">
        <v>23</v>
      </c>
      <c r="B1214" s="7">
        <f t="shared" si="275"/>
        <v>2057</v>
      </c>
      <c r="C1214" s="4" t="s">
        <v>37</v>
      </c>
      <c r="D1214" s="5" t="s">
        <v>131</v>
      </c>
      <c r="E1214" s="10" t="str">
        <f t="shared" si="273"/>
        <v>PSND'!</v>
      </c>
      <c r="F1214" s="5" t="str">
        <f t="shared" si="274"/>
        <v>C:\Users\jaime.benazar\Quorum Business Solutions\Ecopetrol Prometeo - Documents\Planning Space Implementation\3. Analysis &amp; Design\Design\FC22\DRR Jaime\Neiva CPI\[VAO_DINA TERCIARIOS_CF_SEC_20230117.xlsx]CF PSND'!</v>
      </c>
      <c r="G1214" s="7" t="s">
        <v>102</v>
      </c>
      <c r="H1214" s="4"/>
      <c r="I1214" s="4"/>
      <c r="J1214" s="4"/>
    </row>
    <row r="1215" spans="1:10" x14ac:dyDescent="0.3">
      <c r="A1215" s="7" t="s">
        <v>23</v>
      </c>
      <c r="B1215" s="7">
        <f t="shared" si="275"/>
        <v>2058</v>
      </c>
      <c r="C1215" s="4" t="s">
        <v>37</v>
      </c>
      <c r="D1215" s="5" t="s">
        <v>131</v>
      </c>
      <c r="E1215" s="10" t="str">
        <f t="shared" si="273"/>
        <v>PSND'!</v>
      </c>
      <c r="F1215" s="5" t="str">
        <f t="shared" si="274"/>
        <v>C:\Users\jaime.benazar\Quorum Business Solutions\Ecopetrol Prometeo - Documents\Planning Space Implementation\3. Analysis &amp; Design\Design\FC22\DRR Jaime\Neiva CPI\[VAO_DINA TERCIARIOS_CF_SEC_20230117.xlsx]CF PSND'!</v>
      </c>
      <c r="G1215" s="7" t="s">
        <v>102</v>
      </c>
      <c r="H1215" s="4"/>
      <c r="I1215" s="4"/>
      <c r="J1215" s="4"/>
    </row>
    <row r="1216" spans="1:10" x14ac:dyDescent="0.3">
      <c r="A1216" s="7" t="s">
        <v>23</v>
      </c>
      <c r="B1216" s="7">
        <f t="shared" si="275"/>
        <v>2059</v>
      </c>
      <c r="C1216" s="4" t="s">
        <v>37</v>
      </c>
      <c r="D1216" s="5" t="s">
        <v>131</v>
      </c>
      <c r="E1216" s="10" t="str">
        <f t="shared" si="273"/>
        <v>PSND'!</v>
      </c>
      <c r="F1216" s="5" t="str">
        <f t="shared" si="274"/>
        <v>C:\Users\jaime.benazar\Quorum Business Solutions\Ecopetrol Prometeo - Documents\Planning Space Implementation\3. Analysis &amp; Design\Design\FC22\DRR Jaime\Neiva CPI\[VAO_DINA TERCIARIOS_CF_SEC_20230117.xlsx]CF PSND'!</v>
      </c>
      <c r="G1216" s="7" t="s">
        <v>102</v>
      </c>
      <c r="H1216" s="4"/>
      <c r="I1216" s="4"/>
      <c r="J1216" s="4"/>
    </row>
    <row r="1217" spans="1:10" x14ac:dyDescent="0.3">
      <c r="A1217" s="7" t="s">
        <v>26</v>
      </c>
      <c r="B1217" s="7"/>
      <c r="C1217" s="4" t="s">
        <v>37</v>
      </c>
      <c r="D1217" s="5"/>
      <c r="E1217" s="10"/>
      <c r="F1217" s="5" t="str">
        <f t="shared" si="256"/>
        <v xml:space="preserve"> </v>
      </c>
      <c r="G1217" s="7"/>
      <c r="H1217" s="4"/>
      <c r="I1217" s="4"/>
      <c r="J1217" s="4"/>
    </row>
    <row r="1218" spans="1:10" x14ac:dyDescent="0.3">
      <c r="A1218" s="7" t="s">
        <v>24</v>
      </c>
      <c r="B1218" s="7">
        <v>2023</v>
      </c>
      <c r="C1218" s="4" t="s">
        <v>37</v>
      </c>
      <c r="D1218" s="5" t="s">
        <v>131</v>
      </c>
      <c r="E1218" s="10" t="str">
        <f t="shared" si="216"/>
        <v>PS'!</v>
      </c>
      <c r="F1218" s="5" t="str">
        <f t="shared" si="256"/>
        <v>C:\Users\jaime.benazar\Quorum Business Solutions\Ecopetrol Prometeo - Documents\Planning Space Implementation\3. Analysis &amp; Design\Design\FC22\DRR Jaime\Neiva CPI\[VAO_DINA TERCIARIOS_CF_SEC_20230117.xlsx]CF PS'!</v>
      </c>
      <c r="G1218" s="7" t="s">
        <v>102</v>
      </c>
      <c r="H1218" s="4">
        <f>IF(A1218&lt;&gt;A1088,36,H1088+1)</f>
        <v>36</v>
      </c>
      <c r="I1218" s="4" t="str">
        <f t="shared" si="217"/>
        <v>='C:\Users\jaime.benazar\Quorum Business Solutions\Ecopetrol Prometeo - Documents\Planning Space Implementation\3. Analysis &amp; Design\Design\FC22\DRR Jaime\Neiva CPI\[VAO_DINA TERCIARIOS_CF_SEC_20230117.xlsx]CF PS'!$BW$36</v>
      </c>
      <c r="J1218" s="4" t="s">
        <v>650</v>
      </c>
    </row>
    <row r="1219" spans="1:10" x14ac:dyDescent="0.3">
      <c r="A1219" s="7" t="s">
        <v>24</v>
      </c>
      <c r="B1219" s="7">
        <f>+B1218+1</f>
        <v>2024</v>
      </c>
      <c r="C1219" s="4" t="s">
        <v>37</v>
      </c>
      <c r="D1219" s="5" t="s">
        <v>131</v>
      </c>
      <c r="E1219" s="10" t="str">
        <f t="shared" si="216"/>
        <v>PS'!</v>
      </c>
      <c r="F1219" s="5" t="str">
        <f t="shared" ref="F1219:F1310" si="276">_xlfn.CONCAT(D1219," ",E1219)</f>
        <v>C:\Users\jaime.benazar\Quorum Business Solutions\Ecopetrol Prometeo - Documents\Planning Space Implementation\3. Analysis &amp; Design\Design\FC22\DRR Jaime\Neiva CPI\[VAO_DINA TERCIARIOS_CF_SEC_20230117.xlsx]CF PS'!</v>
      </c>
      <c r="G1219" s="7" t="s">
        <v>102</v>
      </c>
      <c r="H1219" s="4">
        <f t="shared" si="218"/>
        <v>37</v>
      </c>
      <c r="I1219" s="4" t="str">
        <f t="shared" si="217"/>
        <v>='C:\Users\jaime.benazar\Quorum Business Solutions\Ecopetrol Prometeo - Documents\Planning Space Implementation\3. Analysis &amp; Design\Design\FC22\DRR Jaime\Neiva CPI\[VAO_DINA TERCIARIOS_CF_SEC_20230117.xlsx]CF PS'!$BW$37</v>
      </c>
      <c r="J1219" s="4" t="s">
        <v>651</v>
      </c>
    </row>
    <row r="1220" spans="1:10" x14ac:dyDescent="0.3">
      <c r="A1220" s="7" t="s">
        <v>24</v>
      </c>
      <c r="B1220" s="7">
        <f t="shared" ref="B1220:B1231" si="277">+B1219+1</f>
        <v>2025</v>
      </c>
      <c r="C1220" s="4" t="s">
        <v>37</v>
      </c>
      <c r="D1220" s="5" t="s">
        <v>131</v>
      </c>
      <c r="E1220" s="10" t="str">
        <f t="shared" si="216"/>
        <v>PS'!</v>
      </c>
      <c r="F1220" s="5" t="str">
        <f t="shared" si="276"/>
        <v>C:\Users\jaime.benazar\Quorum Business Solutions\Ecopetrol Prometeo - Documents\Planning Space Implementation\3. Analysis &amp; Design\Design\FC22\DRR Jaime\Neiva CPI\[VAO_DINA TERCIARIOS_CF_SEC_20230117.xlsx]CF PS'!</v>
      </c>
      <c r="G1220" s="7" t="s">
        <v>102</v>
      </c>
      <c r="H1220" s="4">
        <f t="shared" si="218"/>
        <v>38</v>
      </c>
      <c r="I1220" s="4" t="str">
        <f t="shared" si="217"/>
        <v>='C:\Users\jaime.benazar\Quorum Business Solutions\Ecopetrol Prometeo - Documents\Planning Space Implementation\3. Analysis &amp; Design\Design\FC22\DRR Jaime\Neiva CPI\[VAO_DINA TERCIARIOS_CF_SEC_20230117.xlsx]CF PS'!$BW$38</v>
      </c>
      <c r="J1220" s="4" t="s">
        <v>652</v>
      </c>
    </row>
    <row r="1221" spans="1:10" x14ac:dyDescent="0.3">
      <c r="A1221" s="7" t="s">
        <v>24</v>
      </c>
      <c r="B1221" s="7">
        <f t="shared" si="277"/>
        <v>2026</v>
      </c>
      <c r="C1221" s="4" t="s">
        <v>37</v>
      </c>
      <c r="D1221" s="5" t="s">
        <v>131</v>
      </c>
      <c r="E1221" s="10" t="str">
        <f t="shared" si="216"/>
        <v>PS'!</v>
      </c>
      <c r="F1221" s="5" t="str">
        <f t="shared" si="276"/>
        <v>C:\Users\jaime.benazar\Quorum Business Solutions\Ecopetrol Prometeo - Documents\Planning Space Implementation\3. Analysis &amp; Design\Design\FC22\DRR Jaime\Neiva CPI\[VAO_DINA TERCIARIOS_CF_SEC_20230117.xlsx]CF PS'!</v>
      </c>
      <c r="G1221" s="7" t="s">
        <v>102</v>
      </c>
      <c r="H1221" s="4">
        <f t="shared" si="218"/>
        <v>39</v>
      </c>
      <c r="I1221" s="4" t="str">
        <f t="shared" si="217"/>
        <v>='C:\Users\jaime.benazar\Quorum Business Solutions\Ecopetrol Prometeo - Documents\Planning Space Implementation\3. Analysis &amp; Design\Design\FC22\DRR Jaime\Neiva CPI\[VAO_DINA TERCIARIOS_CF_SEC_20230117.xlsx]CF PS'!$BW$39</v>
      </c>
      <c r="J1221" s="4" t="s">
        <v>653</v>
      </c>
    </row>
    <row r="1222" spans="1:10" x14ac:dyDescent="0.3">
      <c r="A1222" s="7" t="s">
        <v>24</v>
      </c>
      <c r="B1222" s="7">
        <f t="shared" si="277"/>
        <v>2027</v>
      </c>
      <c r="C1222" s="4" t="s">
        <v>37</v>
      </c>
      <c r="D1222" s="5" t="s">
        <v>131</v>
      </c>
      <c r="E1222" s="10" t="str">
        <f t="shared" si="216"/>
        <v>PS'!</v>
      </c>
      <c r="F1222" s="5" t="str">
        <f t="shared" si="276"/>
        <v>C:\Users\jaime.benazar\Quorum Business Solutions\Ecopetrol Prometeo - Documents\Planning Space Implementation\3. Analysis &amp; Design\Design\FC22\DRR Jaime\Neiva CPI\[VAO_DINA TERCIARIOS_CF_SEC_20230117.xlsx]CF PS'!</v>
      </c>
      <c r="G1222" s="7" t="s">
        <v>102</v>
      </c>
      <c r="H1222" s="4">
        <f t="shared" si="218"/>
        <v>40</v>
      </c>
      <c r="I1222" s="4" t="str">
        <f t="shared" si="217"/>
        <v>='C:\Users\jaime.benazar\Quorum Business Solutions\Ecopetrol Prometeo - Documents\Planning Space Implementation\3. Analysis &amp; Design\Design\FC22\DRR Jaime\Neiva CPI\[VAO_DINA TERCIARIOS_CF_SEC_20230117.xlsx]CF PS'!$BW$40</v>
      </c>
      <c r="J1222" s="4" t="s">
        <v>654</v>
      </c>
    </row>
    <row r="1223" spans="1:10" x14ac:dyDescent="0.3">
      <c r="A1223" s="7" t="s">
        <v>24</v>
      </c>
      <c r="B1223" s="7">
        <f t="shared" si="277"/>
        <v>2028</v>
      </c>
      <c r="C1223" s="4" t="s">
        <v>37</v>
      </c>
      <c r="D1223" s="5" t="s">
        <v>131</v>
      </c>
      <c r="E1223" s="10" t="str">
        <f t="shared" si="216"/>
        <v>PS'!</v>
      </c>
      <c r="F1223" s="5" t="str">
        <f t="shared" si="276"/>
        <v>C:\Users\jaime.benazar\Quorum Business Solutions\Ecopetrol Prometeo - Documents\Planning Space Implementation\3. Analysis &amp; Design\Design\FC22\DRR Jaime\Neiva CPI\[VAO_DINA TERCIARIOS_CF_SEC_20230117.xlsx]CF PS'!</v>
      </c>
      <c r="G1223" s="7" t="s">
        <v>102</v>
      </c>
      <c r="H1223" s="4">
        <f t="shared" si="218"/>
        <v>41</v>
      </c>
      <c r="I1223" s="4" t="str">
        <f t="shared" si="217"/>
        <v>='C:\Users\jaime.benazar\Quorum Business Solutions\Ecopetrol Prometeo - Documents\Planning Space Implementation\3. Analysis &amp; Design\Design\FC22\DRR Jaime\Neiva CPI\[VAO_DINA TERCIARIOS_CF_SEC_20230117.xlsx]CF PS'!$BW$41</v>
      </c>
      <c r="J1223" s="4" t="s">
        <v>655</v>
      </c>
    </row>
    <row r="1224" spans="1:10" x14ac:dyDescent="0.3">
      <c r="A1224" s="7" t="s">
        <v>24</v>
      </c>
      <c r="B1224" s="7">
        <f t="shared" si="277"/>
        <v>2029</v>
      </c>
      <c r="C1224" s="4" t="s">
        <v>37</v>
      </c>
      <c r="D1224" s="5" t="s">
        <v>131</v>
      </c>
      <c r="E1224" s="10" t="str">
        <f t="shared" si="216"/>
        <v>PS'!</v>
      </c>
      <c r="F1224" s="5" t="str">
        <f t="shared" si="276"/>
        <v>C:\Users\jaime.benazar\Quorum Business Solutions\Ecopetrol Prometeo - Documents\Planning Space Implementation\3. Analysis &amp; Design\Design\FC22\DRR Jaime\Neiva CPI\[VAO_DINA TERCIARIOS_CF_SEC_20230117.xlsx]CF PS'!</v>
      </c>
      <c r="G1224" s="7" t="s">
        <v>102</v>
      </c>
      <c r="H1224" s="4">
        <f t="shared" si="218"/>
        <v>42</v>
      </c>
      <c r="I1224" s="4" t="str">
        <f t="shared" si="217"/>
        <v>='C:\Users\jaime.benazar\Quorum Business Solutions\Ecopetrol Prometeo - Documents\Planning Space Implementation\3. Analysis &amp; Design\Design\FC22\DRR Jaime\Neiva CPI\[VAO_DINA TERCIARIOS_CF_SEC_20230117.xlsx]CF PS'!$BW$42</v>
      </c>
      <c r="J1224" s="4" t="s">
        <v>656</v>
      </c>
    </row>
    <row r="1225" spans="1:10" x14ac:dyDescent="0.3">
      <c r="A1225" s="7" t="s">
        <v>24</v>
      </c>
      <c r="B1225" s="7">
        <f t="shared" si="277"/>
        <v>2030</v>
      </c>
      <c r="C1225" s="4" t="s">
        <v>37</v>
      </c>
      <c r="D1225" s="5" t="s">
        <v>131</v>
      </c>
      <c r="E1225" s="10" t="str">
        <f t="shared" si="216"/>
        <v>PS'!</v>
      </c>
      <c r="F1225" s="5" t="str">
        <f t="shared" si="276"/>
        <v>C:\Users\jaime.benazar\Quorum Business Solutions\Ecopetrol Prometeo - Documents\Planning Space Implementation\3. Analysis &amp; Design\Design\FC22\DRR Jaime\Neiva CPI\[VAO_DINA TERCIARIOS_CF_SEC_20230117.xlsx]CF PS'!</v>
      </c>
      <c r="G1225" s="7" t="s">
        <v>102</v>
      </c>
      <c r="H1225" s="4">
        <f t="shared" si="218"/>
        <v>43</v>
      </c>
      <c r="I1225" s="4" t="str">
        <f t="shared" si="217"/>
        <v>='C:\Users\jaime.benazar\Quorum Business Solutions\Ecopetrol Prometeo - Documents\Planning Space Implementation\3. Analysis &amp; Design\Design\FC22\DRR Jaime\Neiva CPI\[VAO_DINA TERCIARIOS_CF_SEC_20230117.xlsx]CF PS'!$BW$43</v>
      </c>
      <c r="J1225" s="4" t="s">
        <v>657</v>
      </c>
    </row>
    <row r="1226" spans="1:10" x14ac:dyDescent="0.3">
      <c r="A1226" s="7" t="s">
        <v>24</v>
      </c>
      <c r="B1226" s="7">
        <f t="shared" si="277"/>
        <v>2031</v>
      </c>
      <c r="C1226" s="4" t="s">
        <v>37</v>
      </c>
      <c r="D1226" s="5" t="s">
        <v>131</v>
      </c>
      <c r="E1226" s="10" t="str">
        <f t="shared" si="216"/>
        <v>PS'!</v>
      </c>
      <c r="F1226" s="5" t="str">
        <f t="shared" si="276"/>
        <v>C:\Users\jaime.benazar\Quorum Business Solutions\Ecopetrol Prometeo - Documents\Planning Space Implementation\3. Analysis &amp; Design\Design\FC22\DRR Jaime\Neiva CPI\[VAO_DINA TERCIARIOS_CF_SEC_20230117.xlsx]CF PS'!</v>
      </c>
      <c r="G1226" s="7" t="s">
        <v>102</v>
      </c>
      <c r="H1226" s="4">
        <f t="shared" si="218"/>
        <v>44</v>
      </c>
      <c r="I1226" s="4" t="str">
        <f t="shared" si="217"/>
        <v>='C:\Users\jaime.benazar\Quorum Business Solutions\Ecopetrol Prometeo - Documents\Planning Space Implementation\3. Analysis &amp; Design\Design\FC22\DRR Jaime\Neiva CPI\[VAO_DINA TERCIARIOS_CF_SEC_20230117.xlsx]CF PS'!$BW$44</v>
      </c>
      <c r="J1226" s="4" t="s">
        <v>658</v>
      </c>
    </row>
    <row r="1227" spans="1:10" x14ac:dyDescent="0.3">
      <c r="A1227" s="7" t="s">
        <v>24</v>
      </c>
      <c r="B1227" s="7">
        <f t="shared" si="277"/>
        <v>2032</v>
      </c>
      <c r="C1227" s="4" t="s">
        <v>37</v>
      </c>
      <c r="D1227" s="5" t="s">
        <v>131</v>
      </c>
      <c r="E1227" s="10" t="str">
        <f t="shared" si="216"/>
        <v>PS'!</v>
      </c>
      <c r="F1227" s="5" t="str">
        <f t="shared" si="276"/>
        <v>C:\Users\jaime.benazar\Quorum Business Solutions\Ecopetrol Prometeo - Documents\Planning Space Implementation\3. Analysis &amp; Design\Design\FC22\DRR Jaime\Neiva CPI\[VAO_DINA TERCIARIOS_CF_SEC_20230117.xlsx]CF PS'!</v>
      </c>
      <c r="G1227" s="7" t="s">
        <v>102</v>
      </c>
      <c r="H1227" s="4">
        <f t="shared" si="218"/>
        <v>45</v>
      </c>
      <c r="I1227" s="4" t="str">
        <f t="shared" si="217"/>
        <v>='C:\Users\jaime.benazar\Quorum Business Solutions\Ecopetrol Prometeo - Documents\Planning Space Implementation\3. Analysis &amp; Design\Design\FC22\DRR Jaime\Neiva CPI\[VAO_DINA TERCIARIOS_CF_SEC_20230117.xlsx]CF PS'!$BW$45</v>
      </c>
      <c r="J1227" s="4" t="s">
        <v>659</v>
      </c>
    </row>
    <row r="1228" spans="1:10" x14ac:dyDescent="0.3">
      <c r="A1228" s="7" t="s">
        <v>24</v>
      </c>
      <c r="B1228" s="7">
        <f t="shared" si="277"/>
        <v>2033</v>
      </c>
      <c r="C1228" s="4" t="s">
        <v>37</v>
      </c>
      <c r="D1228" s="5" t="s">
        <v>131</v>
      </c>
      <c r="E1228" s="10" t="str">
        <f t="shared" si="216"/>
        <v>PS'!</v>
      </c>
      <c r="F1228" s="5" t="str">
        <f t="shared" si="276"/>
        <v>C:\Users\jaime.benazar\Quorum Business Solutions\Ecopetrol Prometeo - Documents\Planning Space Implementation\3. Analysis &amp; Design\Design\FC22\DRR Jaime\Neiva CPI\[VAO_DINA TERCIARIOS_CF_SEC_20230117.xlsx]CF PS'!</v>
      </c>
      <c r="G1228" s="7" t="s">
        <v>102</v>
      </c>
      <c r="H1228" s="4">
        <f t="shared" si="218"/>
        <v>46</v>
      </c>
      <c r="I1228" s="4" t="str">
        <f t="shared" si="217"/>
        <v>='C:\Users\jaime.benazar\Quorum Business Solutions\Ecopetrol Prometeo - Documents\Planning Space Implementation\3. Analysis &amp; Design\Design\FC22\DRR Jaime\Neiva CPI\[VAO_DINA TERCIARIOS_CF_SEC_20230117.xlsx]CF PS'!$BW$46</v>
      </c>
      <c r="J1228" s="4" t="s">
        <v>660</v>
      </c>
    </row>
    <row r="1229" spans="1:10" x14ac:dyDescent="0.3">
      <c r="A1229" s="7" t="s">
        <v>24</v>
      </c>
      <c r="B1229" s="7">
        <f t="shared" si="277"/>
        <v>2034</v>
      </c>
      <c r="C1229" s="4" t="s">
        <v>37</v>
      </c>
      <c r="D1229" s="5" t="s">
        <v>131</v>
      </c>
      <c r="E1229" s="10" t="str">
        <f t="shared" si="216"/>
        <v>PS'!</v>
      </c>
      <c r="F1229" s="5" t="str">
        <f t="shared" si="276"/>
        <v>C:\Users\jaime.benazar\Quorum Business Solutions\Ecopetrol Prometeo - Documents\Planning Space Implementation\3. Analysis &amp; Design\Design\FC22\DRR Jaime\Neiva CPI\[VAO_DINA TERCIARIOS_CF_SEC_20230117.xlsx]CF PS'!</v>
      </c>
      <c r="G1229" s="7" t="s">
        <v>102</v>
      </c>
      <c r="H1229" s="4">
        <f t="shared" si="218"/>
        <v>47</v>
      </c>
      <c r="I1229" s="4" t="str">
        <f t="shared" si="217"/>
        <v>='C:\Users\jaime.benazar\Quorum Business Solutions\Ecopetrol Prometeo - Documents\Planning Space Implementation\3. Analysis &amp; Design\Design\FC22\DRR Jaime\Neiva CPI\[VAO_DINA TERCIARIOS_CF_SEC_20230117.xlsx]CF PS'!$BW$47</v>
      </c>
      <c r="J1229" s="4" t="s">
        <v>661</v>
      </c>
    </row>
    <row r="1230" spans="1:10" x14ac:dyDescent="0.3">
      <c r="A1230" s="7" t="s">
        <v>24</v>
      </c>
      <c r="B1230" s="7">
        <f t="shared" si="277"/>
        <v>2035</v>
      </c>
      <c r="C1230" s="4" t="s">
        <v>37</v>
      </c>
      <c r="D1230" s="5" t="s">
        <v>131</v>
      </c>
      <c r="E1230" s="10" t="str">
        <f t="shared" si="216"/>
        <v>PS'!</v>
      </c>
      <c r="F1230" s="5" t="str">
        <f t="shared" si="276"/>
        <v>C:\Users\jaime.benazar\Quorum Business Solutions\Ecopetrol Prometeo - Documents\Planning Space Implementation\3. Analysis &amp; Design\Design\FC22\DRR Jaime\Neiva CPI\[VAO_DINA TERCIARIOS_CF_SEC_20230117.xlsx]CF PS'!</v>
      </c>
      <c r="G1230" s="7" t="s">
        <v>102</v>
      </c>
      <c r="H1230" s="4">
        <f t="shared" si="218"/>
        <v>48</v>
      </c>
      <c r="I1230" s="4" t="str">
        <f t="shared" si="217"/>
        <v>='C:\Users\jaime.benazar\Quorum Business Solutions\Ecopetrol Prometeo - Documents\Planning Space Implementation\3. Analysis &amp; Design\Design\FC22\DRR Jaime\Neiva CPI\[VAO_DINA TERCIARIOS_CF_SEC_20230117.xlsx]CF PS'!$BW$48</v>
      </c>
      <c r="J1230" s="4" t="s">
        <v>662</v>
      </c>
    </row>
    <row r="1231" spans="1:10" x14ac:dyDescent="0.3">
      <c r="A1231" s="7" t="s">
        <v>24</v>
      </c>
      <c r="B1231" s="7">
        <f t="shared" si="277"/>
        <v>2036</v>
      </c>
      <c r="C1231" s="4" t="s">
        <v>37</v>
      </c>
      <c r="D1231" s="5" t="s">
        <v>131</v>
      </c>
      <c r="E1231" s="10" t="str">
        <f t="shared" si="216"/>
        <v>PS'!</v>
      </c>
      <c r="F1231" s="5" t="str">
        <f t="shared" si="276"/>
        <v>C:\Users\jaime.benazar\Quorum Business Solutions\Ecopetrol Prometeo - Documents\Planning Space Implementation\3. Analysis &amp; Design\Design\FC22\DRR Jaime\Neiva CPI\[VAO_DINA TERCIARIOS_CF_SEC_20230117.xlsx]CF PS'!</v>
      </c>
      <c r="G1231" s="7" t="s">
        <v>102</v>
      </c>
      <c r="H1231" s="4">
        <f t="shared" si="218"/>
        <v>49</v>
      </c>
      <c r="I1231" s="4" t="str">
        <f t="shared" si="217"/>
        <v>='C:\Users\jaime.benazar\Quorum Business Solutions\Ecopetrol Prometeo - Documents\Planning Space Implementation\3. Analysis &amp; Design\Design\FC22\DRR Jaime\Neiva CPI\[VAO_DINA TERCIARIOS_CF_SEC_20230117.xlsx]CF PS'!$BW$49</v>
      </c>
      <c r="J1231" s="4" t="s">
        <v>663</v>
      </c>
    </row>
    <row r="1232" spans="1:10" x14ac:dyDescent="0.3">
      <c r="A1232" s="7" t="s">
        <v>24</v>
      </c>
      <c r="B1232" s="7">
        <f>+B1231+1</f>
        <v>2037</v>
      </c>
      <c r="C1232" s="4" t="s">
        <v>37</v>
      </c>
      <c r="D1232" s="5" t="s">
        <v>131</v>
      </c>
      <c r="E1232" s="10" t="str">
        <f t="shared" si="216"/>
        <v>PS'!</v>
      </c>
      <c r="F1232" s="5" t="str">
        <f t="shared" si="276"/>
        <v>C:\Users\jaime.benazar\Quorum Business Solutions\Ecopetrol Prometeo - Documents\Planning Space Implementation\3. Analysis &amp; Design\Design\FC22\DRR Jaime\Neiva CPI\[VAO_DINA TERCIARIOS_CF_SEC_20230117.xlsx]CF PS'!</v>
      </c>
      <c r="G1232" s="7" t="s">
        <v>102</v>
      </c>
      <c r="H1232" s="4">
        <f t="shared" si="218"/>
        <v>50</v>
      </c>
      <c r="I1232" s="4" t="str">
        <f t="shared" si="217"/>
        <v>='C:\Users\jaime.benazar\Quorum Business Solutions\Ecopetrol Prometeo - Documents\Planning Space Implementation\3. Analysis &amp; Design\Design\FC22\DRR Jaime\Neiva CPI\[VAO_DINA TERCIARIOS_CF_SEC_20230117.xlsx]CF PS'!$BW$50</v>
      </c>
      <c r="J1232" s="4" t="s">
        <v>664</v>
      </c>
    </row>
    <row r="1233" spans="1:10" x14ac:dyDescent="0.3">
      <c r="A1233" s="7" t="s">
        <v>24</v>
      </c>
      <c r="B1233" s="7">
        <f t="shared" ref="B1233:B1235" si="278">+B1232+1</f>
        <v>2038</v>
      </c>
      <c r="C1233" s="4" t="s">
        <v>37</v>
      </c>
      <c r="D1233" s="5" t="s">
        <v>131</v>
      </c>
      <c r="E1233" s="10" t="str">
        <f t="shared" si="216"/>
        <v>PS'!</v>
      </c>
      <c r="F1233" s="5" t="str">
        <f t="shared" si="276"/>
        <v>C:\Users\jaime.benazar\Quorum Business Solutions\Ecopetrol Prometeo - Documents\Planning Space Implementation\3. Analysis &amp; Design\Design\FC22\DRR Jaime\Neiva CPI\[VAO_DINA TERCIARIOS_CF_SEC_20230117.xlsx]CF PS'!</v>
      </c>
      <c r="G1233" s="7" t="s">
        <v>102</v>
      </c>
      <c r="H1233" s="4">
        <f t="shared" si="218"/>
        <v>51</v>
      </c>
      <c r="I1233" s="4" t="str">
        <f t="shared" si="217"/>
        <v>='C:\Users\jaime.benazar\Quorum Business Solutions\Ecopetrol Prometeo - Documents\Planning Space Implementation\3. Analysis &amp; Design\Design\FC22\DRR Jaime\Neiva CPI\[VAO_DINA TERCIARIOS_CF_SEC_20230117.xlsx]CF PS'!$BW$51</v>
      </c>
      <c r="J1233" s="4" t="s">
        <v>665</v>
      </c>
    </row>
    <row r="1234" spans="1:10" x14ac:dyDescent="0.3">
      <c r="A1234" s="7" t="s">
        <v>24</v>
      </c>
      <c r="B1234" s="7">
        <f t="shared" si="278"/>
        <v>2039</v>
      </c>
      <c r="C1234" s="4" t="s">
        <v>37</v>
      </c>
      <c r="D1234" s="5" t="s">
        <v>131</v>
      </c>
      <c r="E1234" s="10" t="str">
        <f t="shared" si="216"/>
        <v>PS'!</v>
      </c>
      <c r="F1234" s="5" t="str">
        <f t="shared" si="276"/>
        <v>C:\Users\jaime.benazar\Quorum Business Solutions\Ecopetrol Prometeo - Documents\Planning Space Implementation\3. Analysis &amp; Design\Design\FC22\DRR Jaime\Neiva CPI\[VAO_DINA TERCIARIOS_CF_SEC_20230117.xlsx]CF PS'!</v>
      </c>
      <c r="G1234" s="7" t="s">
        <v>102</v>
      </c>
      <c r="H1234" s="4">
        <f t="shared" si="218"/>
        <v>52</v>
      </c>
      <c r="I1234" s="4" t="str">
        <f t="shared" si="217"/>
        <v>='C:\Users\jaime.benazar\Quorum Business Solutions\Ecopetrol Prometeo - Documents\Planning Space Implementation\3. Analysis &amp; Design\Design\FC22\DRR Jaime\Neiva CPI\[VAO_DINA TERCIARIOS_CF_SEC_20230117.xlsx]CF PS'!$BW$52</v>
      </c>
      <c r="J1234" s="4" t="s">
        <v>666</v>
      </c>
    </row>
    <row r="1235" spans="1:10" x14ac:dyDescent="0.3">
      <c r="A1235" s="7" t="s">
        <v>24</v>
      </c>
      <c r="B1235" s="7">
        <f t="shared" si="278"/>
        <v>2040</v>
      </c>
      <c r="C1235" s="4" t="s">
        <v>37</v>
      </c>
      <c r="D1235" s="5" t="s">
        <v>131</v>
      </c>
      <c r="E1235" s="10" t="str">
        <f t="shared" si="216"/>
        <v>PS'!</v>
      </c>
      <c r="F1235" s="5" t="str">
        <f t="shared" si="276"/>
        <v>C:\Users\jaime.benazar\Quorum Business Solutions\Ecopetrol Prometeo - Documents\Planning Space Implementation\3. Analysis &amp; Design\Design\FC22\DRR Jaime\Neiva CPI\[VAO_DINA TERCIARIOS_CF_SEC_20230117.xlsx]CF PS'!</v>
      </c>
      <c r="G1235" s="7" t="s">
        <v>102</v>
      </c>
      <c r="H1235" s="4">
        <f t="shared" si="218"/>
        <v>53</v>
      </c>
      <c r="I1235" s="4" t="str">
        <f t="shared" si="217"/>
        <v>='C:\Users\jaime.benazar\Quorum Business Solutions\Ecopetrol Prometeo - Documents\Planning Space Implementation\3. Analysis &amp; Design\Design\FC22\DRR Jaime\Neiva CPI\[VAO_DINA TERCIARIOS_CF_SEC_20230117.xlsx]CF PS'!$BW$53</v>
      </c>
      <c r="J1235" s="4" t="s">
        <v>667</v>
      </c>
    </row>
    <row r="1236" spans="1:10" x14ac:dyDescent="0.3">
      <c r="A1236" s="7" t="s">
        <v>24</v>
      </c>
      <c r="B1236" s="7">
        <f>+B1235+1</f>
        <v>2041</v>
      </c>
      <c r="C1236" s="4" t="s">
        <v>37</v>
      </c>
      <c r="D1236" s="5" t="s">
        <v>131</v>
      </c>
      <c r="E1236" s="10" t="str">
        <f t="shared" si="216"/>
        <v>PS'!</v>
      </c>
      <c r="F1236" s="5" t="str">
        <f t="shared" si="276"/>
        <v>C:\Users\jaime.benazar\Quorum Business Solutions\Ecopetrol Prometeo - Documents\Planning Space Implementation\3. Analysis &amp; Design\Design\FC22\DRR Jaime\Neiva CPI\[VAO_DINA TERCIARIOS_CF_SEC_20230117.xlsx]CF PS'!</v>
      </c>
      <c r="G1236" s="7" t="s">
        <v>102</v>
      </c>
      <c r="H1236" s="4">
        <f t="shared" si="218"/>
        <v>54</v>
      </c>
      <c r="I1236" s="4" t="str">
        <f t="shared" si="217"/>
        <v>='C:\Users\jaime.benazar\Quorum Business Solutions\Ecopetrol Prometeo - Documents\Planning Space Implementation\3. Analysis &amp; Design\Design\FC22\DRR Jaime\Neiva CPI\[VAO_DINA TERCIARIOS_CF_SEC_20230117.xlsx]CF PS'!$BW$54</v>
      </c>
      <c r="J1236" s="4" t="s">
        <v>668</v>
      </c>
    </row>
    <row r="1237" spans="1:10" x14ac:dyDescent="0.3">
      <c r="A1237" s="7" t="s">
        <v>24</v>
      </c>
      <c r="B1237" s="7">
        <f t="shared" ref="B1237:B1238" si="279">+B1236+1</f>
        <v>2042</v>
      </c>
      <c r="C1237" s="4" t="s">
        <v>37</v>
      </c>
      <c r="D1237" s="5" t="s">
        <v>131</v>
      </c>
      <c r="E1237" s="10" t="str">
        <f t="shared" si="216"/>
        <v>PS'!</v>
      </c>
      <c r="F1237" s="5" t="str">
        <f t="shared" si="276"/>
        <v>C:\Users\jaime.benazar\Quorum Business Solutions\Ecopetrol Prometeo - Documents\Planning Space Implementation\3. Analysis &amp; Design\Design\FC22\DRR Jaime\Neiva CPI\[VAO_DINA TERCIARIOS_CF_SEC_20230117.xlsx]CF PS'!</v>
      </c>
      <c r="G1237" s="7" t="s">
        <v>102</v>
      </c>
      <c r="H1237" s="4">
        <f t="shared" si="218"/>
        <v>55</v>
      </c>
      <c r="I1237" s="4" t="str">
        <f t="shared" si="217"/>
        <v>='C:\Users\jaime.benazar\Quorum Business Solutions\Ecopetrol Prometeo - Documents\Planning Space Implementation\3. Analysis &amp; Design\Design\FC22\DRR Jaime\Neiva CPI\[VAO_DINA TERCIARIOS_CF_SEC_20230117.xlsx]CF PS'!$BW$55</v>
      </c>
      <c r="J1237" s="4" t="s">
        <v>669</v>
      </c>
    </row>
    <row r="1238" spans="1:10" x14ac:dyDescent="0.3">
      <c r="A1238" s="7" t="s">
        <v>24</v>
      </c>
      <c r="B1238" s="7">
        <f t="shared" si="279"/>
        <v>2043</v>
      </c>
      <c r="C1238" s="4" t="s">
        <v>37</v>
      </c>
      <c r="D1238" s="5" t="s">
        <v>131</v>
      </c>
      <c r="E1238" s="10" t="str">
        <f t="shared" si="216"/>
        <v>PS'!</v>
      </c>
      <c r="F1238" s="5" t="str">
        <f t="shared" si="276"/>
        <v>C:\Users\jaime.benazar\Quorum Business Solutions\Ecopetrol Prometeo - Documents\Planning Space Implementation\3. Analysis &amp; Design\Design\FC22\DRR Jaime\Neiva CPI\[VAO_DINA TERCIARIOS_CF_SEC_20230117.xlsx]CF PS'!</v>
      </c>
      <c r="G1238" s="7" t="s">
        <v>102</v>
      </c>
      <c r="H1238" s="4">
        <f t="shared" si="218"/>
        <v>56</v>
      </c>
      <c r="I1238" s="4" t="str">
        <f t="shared" si="217"/>
        <v>='C:\Users\jaime.benazar\Quorum Business Solutions\Ecopetrol Prometeo - Documents\Planning Space Implementation\3. Analysis &amp; Design\Design\FC22\DRR Jaime\Neiva CPI\[VAO_DINA TERCIARIOS_CF_SEC_20230117.xlsx]CF PS'!$BW$56</v>
      </c>
      <c r="J1238" s="4" t="s">
        <v>670</v>
      </c>
    </row>
    <row r="1239" spans="1:10" x14ac:dyDescent="0.3">
      <c r="A1239" s="7" t="s">
        <v>24</v>
      </c>
      <c r="B1239" s="7">
        <f>+B1238+1</f>
        <v>2044</v>
      </c>
      <c r="C1239" s="4" t="s">
        <v>37</v>
      </c>
      <c r="D1239" s="5" t="s">
        <v>131</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Jaime\Neiva CPI\[VAO_DINA TERCIARIOS_CF_SEC_20230117.xlsx]CF PS'!</v>
      </c>
      <c r="G1239" s="7" t="s">
        <v>102</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Jaime\Neiva CPI\[VAO_DINA TERCIARIOS_CF_SEC_20230117.xlsx]CF PS'!$BW$57</v>
      </c>
      <c r="J1239" s="4" t="s">
        <v>671</v>
      </c>
    </row>
    <row r="1240" spans="1:10" x14ac:dyDescent="0.3">
      <c r="A1240" s="7" t="s">
        <v>24</v>
      </c>
      <c r="B1240" s="7">
        <f t="shared" ref="B1240:B1254" si="284">+B1239+1</f>
        <v>2045</v>
      </c>
      <c r="C1240" s="4" t="s">
        <v>37</v>
      </c>
      <c r="D1240" s="5" t="s">
        <v>131</v>
      </c>
      <c r="E1240" s="10" t="str">
        <f t="shared" si="280"/>
        <v>PS'!</v>
      </c>
      <c r="F1240" s="5" t="str">
        <f t="shared" si="281"/>
        <v>C:\Users\jaime.benazar\Quorum Business Solutions\Ecopetrol Prometeo - Documents\Planning Space Implementation\3. Analysis &amp; Design\Design\FC22\DRR Jaime\Neiva CPI\[VAO_DINA TERCIARIOS_CF_SEC_20230117.xlsx]CF PS'!</v>
      </c>
      <c r="G1240" s="7" t="s">
        <v>102</v>
      </c>
      <c r="H1240" s="4">
        <f t="shared" si="282"/>
        <v>58</v>
      </c>
      <c r="I1240" s="4" t="str">
        <f t="shared" si="283"/>
        <v>='C:\Users\jaime.benazar\Quorum Business Solutions\Ecopetrol Prometeo - Documents\Planning Space Implementation\3. Analysis &amp; Design\Design\FC22\DRR Jaime\Neiva CPI\[VAO_DINA TERCIARIOS_CF_SEC_20230117.xlsx]CF PS'!$BW$58</v>
      </c>
      <c r="J1240" s="4" t="s">
        <v>672</v>
      </c>
    </row>
    <row r="1241" spans="1:10" x14ac:dyDescent="0.3">
      <c r="A1241" s="7" t="s">
        <v>24</v>
      </c>
      <c r="B1241" s="7">
        <f t="shared" si="284"/>
        <v>2046</v>
      </c>
      <c r="C1241" s="4" t="s">
        <v>37</v>
      </c>
      <c r="D1241" s="5" t="s">
        <v>131</v>
      </c>
      <c r="E1241" s="10" t="str">
        <f t="shared" si="280"/>
        <v>PS'!</v>
      </c>
      <c r="F1241" s="5" t="str">
        <f t="shared" si="281"/>
        <v>C:\Users\jaime.benazar\Quorum Business Solutions\Ecopetrol Prometeo - Documents\Planning Space Implementation\3. Analysis &amp; Design\Design\FC22\DRR Jaime\Neiva CPI\[VAO_DINA TERCIARIOS_CF_SEC_20230117.xlsx]CF PS'!</v>
      </c>
      <c r="G1241" s="7" t="s">
        <v>102</v>
      </c>
      <c r="H1241" s="4">
        <f t="shared" si="282"/>
        <v>59</v>
      </c>
      <c r="I1241" s="4" t="str">
        <f t="shared" si="283"/>
        <v>='C:\Users\jaime.benazar\Quorum Business Solutions\Ecopetrol Prometeo - Documents\Planning Space Implementation\3. Analysis &amp; Design\Design\FC22\DRR Jaime\Neiva CPI\[VAO_DINA TERCIARIOS_CF_SEC_20230117.xlsx]CF PS'!$BW$59</v>
      </c>
      <c r="J1241" s="4" t="s">
        <v>673</v>
      </c>
    </row>
    <row r="1242" spans="1:10" x14ac:dyDescent="0.3">
      <c r="A1242" s="7" t="s">
        <v>24</v>
      </c>
      <c r="B1242" s="7">
        <f t="shared" si="284"/>
        <v>2047</v>
      </c>
      <c r="C1242" s="4" t="s">
        <v>37</v>
      </c>
      <c r="D1242" s="5" t="s">
        <v>131</v>
      </c>
      <c r="E1242" s="10" t="str">
        <f t="shared" si="280"/>
        <v>PS'!</v>
      </c>
      <c r="F1242" s="5" t="str">
        <f t="shared" si="281"/>
        <v>C:\Users\jaime.benazar\Quorum Business Solutions\Ecopetrol Prometeo - Documents\Planning Space Implementation\3. Analysis &amp; Design\Design\FC22\DRR Jaime\Neiva CPI\[VAO_DINA TERCIARIOS_CF_SEC_20230117.xlsx]CF PS'!</v>
      </c>
      <c r="G1242" s="7" t="s">
        <v>102</v>
      </c>
      <c r="H1242" s="4">
        <f t="shared" si="282"/>
        <v>60</v>
      </c>
      <c r="I1242" s="4" t="str">
        <f t="shared" si="283"/>
        <v>='C:\Users\jaime.benazar\Quorum Business Solutions\Ecopetrol Prometeo - Documents\Planning Space Implementation\3. Analysis &amp; Design\Design\FC22\DRR Jaime\Neiva CPI\[VAO_DINA TERCIARIOS_CF_SEC_20230117.xlsx]CF PS'!$BW$60</v>
      </c>
      <c r="J1242" s="4" t="s">
        <v>674</v>
      </c>
    </row>
    <row r="1243" spans="1:10" x14ac:dyDescent="0.3">
      <c r="A1243" s="7" t="s">
        <v>24</v>
      </c>
      <c r="B1243" s="7">
        <f t="shared" si="284"/>
        <v>2048</v>
      </c>
      <c r="C1243" s="4" t="s">
        <v>37</v>
      </c>
      <c r="D1243" s="5" t="s">
        <v>131</v>
      </c>
      <c r="E1243" s="10" t="str">
        <f t="shared" si="280"/>
        <v>PS'!</v>
      </c>
      <c r="F1243" s="5" t="str">
        <f t="shared" si="281"/>
        <v>C:\Users\jaime.benazar\Quorum Business Solutions\Ecopetrol Prometeo - Documents\Planning Space Implementation\3. Analysis &amp; Design\Design\FC22\DRR Jaime\Neiva CPI\[VAO_DINA TERCIARIOS_CF_SEC_20230117.xlsx]CF PS'!</v>
      </c>
      <c r="G1243" s="7" t="s">
        <v>102</v>
      </c>
      <c r="H1243" s="4">
        <f t="shared" si="282"/>
        <v>61</v>
      </c>
      <c r="I1243" s="4" t="str">
        <f t="shared" si="283"/>
        <v>='C:\Users\jaime.benazar\Quorum Business Solutions\Ecopetrol Prometeo - Documents\Planning Space Implementation\3. Analysis &amp; Design\Design\FC22\DRR Jaime\Neiva CPI\[VAO_DINA TERCIARIOS_CF_SEC_20230117.xlsx]CF PS'!$BW$61</v>
      </c>
      <c r="J1243" s="4" t="s">
        <v>675</v>
      </c>
    </row>
    <row r="1244" spans="1:10" x14ac:dyDescent="0.3">
      <c r="A1244" s="7" t="s">
        <v>24</v>
      </c>
      <c r="B1244" s="7">
        <f t="shared" si="284"/>
        <v>2049</v>
      </c>
      <c r="C1244" s="4" t="s">
        <v>37</v>
      </c>
      <c r="D1244" s="5" t="s">
        <v>131</v>
      </c>
      <c r="E1244" s="10" t="str">
        <f t="shared" si="280"/>
        <v>PS'!</v>
      </c>
      <c r="F1244" s="5" t="str">
        <f t="shared" si="281"/>
        <v>C:\Users\jaime.benazar\Quorum Business Solutions\Ecopetrol Prometeo - Documents\Planning Space Implementation\3. Analysis &amp; Design\Design\FC22\DRR Jaime\Neiva CPI\[VAO_DINA TERCIARIOS_CF_SEC_20230117.xlsx]CF PS'!</v>
      </c>
      <c r="G1244" s="7" t="s">
        <v>102</v>
      </c>
      <c r="H1244" s="4">
        <f t="shared" si="282"/>
        <v>62</v>
      </c>
      <c r="I1244" s="4" t="str">
        <f t="shared" si="283"/>
        <v>='C:\Users\jaime.benazar\Quorum Business Solutions\Ecopetrol Prometeo - Documents\Planning Space Implementation\3. Analysis &amp; Design\Design\FC22\DRR Jaime\Neiva CPI\[VAO_DINA TERCIARIOS_CF_SEC_20230117.xlsx]CF PS'!$BW$62</v>
      </c>
      <c r="J1244" s="4" t="s">
        <v>676</v>
      </c>
    </row>
    <row r="1245" spans="1:10" x14ac:dyDescent="0.3">
      <c r="A1245" s="7" t="s">
        <v>24</v>
      </c>
      <c r="B1245" s="7">
        <f t="shared" si="284"/>
        <v>2050</v>
      </c>
      <c r="C1245" s="4" t="s">
        <v>37</v>
      </c>
      <c r="D1245" s="5" t="s">
        <v>131</v>
      </c>
      <c r="E1245" s="10" t="str">
        <f t="shared" si="280"/>
        <v>PS'!</v>
      </c>
      <c r="F1245" s="5" t="str">
        <f t="shared" si="281"/>
        <v>C:\Users\jaime.benazar\Quorum Business Solutions\Ecopetrol Prometeo - Documents\Planning Space Implementation\3. Analysis &amp; Design\Design\FC22\DRR Jaime\Neiva CPI\[VAO_DINA TERCIARIOS_CF_SEC_20230117.xlsx]CF PS'!</v>
      </c>
      <c r="G1245" s="7" t="s">
        <v>102</v>
      </c>
      <c r="H1245" s="4">
        <f t="shared" si="282"/>
        <v>63</v>
      </c>
      <c r="I1245" s="4" t="str">
        <f t="shared" si="283"/>
        <v>='C:\Users\jaime.benazar\Quorum Business Solutions\Ecopetrol Prometeo - Documents\Planning Space Implementation\3. Analysis &amp; Design\Design\FC22\DRR Jaime\Neiva CPI\[VAO_DINA TERCIARIOS_CF_SEC_20230117.xlsx]CF PS'!$BW$63</v>
      </c>
      <c r="J1245" s="4" t="s">
        <v>677</v>
      </c>
    </row>
    <row r="1246" spans="1:10" x14ac:dyDescent="0.3">
      <c r="A1246" s="7" t="s">
        <v>24</v>
      </c>
      <c r="B1246" s="7">
        <f t="shared" si="284"/>
        <v>2051</v>
      </c>
      <c r="C1246" s="4" t="s">
        <v>37</v>
      </c>
      <c r="D1246" s="5" t="s">
        <v>131</v>
      </c>
      <c r="E1246" s="10" t="str">
        <f t="shared" si="280"/>
        <v>PS'!</v>
      </c>
      <c r="F1246" s="5" t="str">
        <f t="shared" si="281"/>
        <v>C:\Users\jaime.benazar\Quorum Business Solutions\Ecopetrol Prometeo - Documents\Planning Space Implementation\3. Analysis &amp; Design\Design\FC22\DRR Jaime\Neiva CPI\[VAO_DINA TERCIARIOS_CF_SEC_20230117.xlsx]CF PS'!</v>
      </c>
      <c r="G1246" s="7" t="s">
        <v>102</v>
      </c>
      <c r="H1246" s="4">
        <f t="shared" si="282"/>
        <v>64</v>
      </c>
      <c r="I1246" s="4" t="str">
        <f t="shared" si="283"/>
        <v>='C:\Users\jaime.benazar\Quorum Business Solutions\Ecopetrol Prometeo - Documents\Planning Space Implementation\3. Analysis &amp; Design\Design\FC22\DRR Jaime\Neiva CPI\[VAO_DINA TERCIARIOS_CF_SEC_20230117.xlsx]CF PS'!$BW$64</v>
      </c>
      <c r="J1246" s="4" t="s">
        <v>678</v>
      </c>
    </row>
    <row r="1247" spans="1:10" x14ac:dyDescent="0.3">
      <c r="A1247" s="7" t="s">
        <v>24</v>
      </c>
      <c r="B1247" s="7">
        <f t="shared" si="284"/>
        <v>2052</v>
      </c>
      <c r="C1247" s="4" t="s">
        <v>37</v>
      </c>
      <c r="D1247" s="5" t="s">
        <v>131</v>
      </c>
      <c r="E1247" s="10" t="str">
        <f t="shared" si="280"/>
        <v>PS'!</v>
      </c>
      <c r="F1247" s="5" t="str">
        <f t="shared" si="281"/>
        <v>C:\Users\jaime.benazar\Quorum Business Solutions\Ecopetrol Prometeo - Documents\Planning Space Implementation\3. Analysis &amp; Design\Design\FC22\DRR Jaime\Neiva CPI\[VAO_DINA TERCIARIOS_CF_SEC_20230117.xlsx]CF PS'!</v>
      </c>
      <c r="G1247" s="7" t="s">
        <v>102</v>
      </c>
      <c r="H1247" s="4">
        <f t="shared" si="282"/>
        <v>65</v>
      </c>
      <c r="I1247" s="4" t="str">
        <f t="shared" si="283"/>
        <v>='C:\Users\jaime.benazar\Quorum Business Solutions\Ecopetrol Prometeo - Documents\Planning Space Implementation\3. Analysis &amp; Design\Design\FC22\DRR Jaime\Neiva CPI\[VAO_DINA TERCIARIOS_CF_SEC_20230117.xlsx]CF PS'!$BW$65</v>
      </c>
      <c r="J1247" s="4" t="s">
        <v>679</v>
      </c>
    </row>
    <row r="1248" spans="1:10" x14ac:dyDescent="0.3">
      <c r="A1248" s="7" t="s">
        <v>24</v>
      </c>
      <c r="B1248" s="7">
        <f t="shared" si="284"/>
        <v>2053</v>
      </c>
      <c r="C1248" s="4" t="s">
        <v>37</v>
      </c>
      <c r="D1248" s="5" t="s">
        <v>131</v>
      </c>
      <c r="E1248" s="10" t="str">
        <f t="shared" si="280"/>
        <v>PS'!</v>
      </c>
      <c r="F1248" s="5" t="str">
        <f t="shared" si="281"/>
        <v>C:\Users\jaime.benazar\Quorum Business Solutions\Ecopetrol Prometeo - Documents\Planning Space Implementation\3. Analysis &amp; Design\Design\FC22\DRR Jaime\Neiva CPI\[VAO_DINA TERCIARIOS_CF_SEC_20230117.xlsx]CF PS'!</v>
      </c>
      <c r="G1248" s="7" t="s">
        <v>102</v>
      </c>
      <c r="H1248" s="4">
        <f t="shared" si="282"/>
        <v>66</v>
      </c>
      <c r="I1248" s="4" t="str">
        <f t="shared" si="283"/>
        <v>='C:\Users\jaime.benazar\Quorum Business Solutions\Ecopetrol Prometeo - Documents\Planning Space Implementation\3. Analysis &amp; Design\Design\FC22\DRR Jaime\Neiva CPI\[VAO_DINA TERCIARIOS_CF_SEC_20230117.xlsx]CF PS'!$BW$66</v>
      </c>
      <c r="J1248" s="4" t="s">
        <v>680</v>
      </c>
    </row>
    <row r="1249" spans="1:10" x14ac:dyDescent="0.3">
      <c r="A1249" s="7" t="s">
        <v>24</v>
      </c>
      <c r="B1249" s="7">
        <f t="shared" si="284"/>
        <v>2054</v>
      </c>
      <c r="C1249" s="4" t="s">
        <v>37</v>
      </c>
      <c r="D1249" s="5" t="s">
        <v>131</v>
      </c>
      <c r="E1249" s="10" t="str">
        <f t="shared" si="280"/>
        <v>PS'!</v>
      </c>
      <c r="F1249" s="5" t="str">
        <f t="shared" si="281"/>
        <v>C:\Users\jaime.benazar\Quorum Business Solutions\Ecopetrol Prometeo - Documents\Planning Space Implementation\3. Analysis &amp; Design\Design\FC22\DRR Jaime\Neiva CPI\[VAO_DINA TERCIARIOS_CF_SEC_20230117.xlsx]CF PS'!</v>
      </c>
      <c r="G1249" s="7" t="s">
        <v>102</v>
      </c>
      <c r="H1249" s="4">
        <f t="shared" si="282"/>
        <v>67</v>
      </c>
      <c r="I1249" s="4" t="str">
        <f t="shared" si="283"/>
        <v>='C:\Users\jaime.benazar\Quorum Business Solutions\Ecopetrol Prometeo - Documents\Planning Space Implementation\3. Analysis &amp; Design\Design\FC22\DRR Jaime\Neiva CPI\[VAO_DINA TERCIARIOS_CF_SEC_20230117.xlsx]CF PS'!$BW$67</v>
      </c>
      <c r="J1249" s="4" t="s">
        <v>681</v>
      </c>
    </row>
    <row r="1250" spans="1:10" x14ac:dyDescent="0.3">
      <c r="A1250" s="7" t="s">
        <v>24</v>
      </c>
      <c r="B1250" s="7">
        <f t="shared" si="284"/>
        <v>2055</v>
      </c>
      <c r="C1250" s="4" t="s">
        <v>37</v>
      </c>
      <c r="D1250" s="5" t="s">
        <v>131</v>
      </c>
      <c r="E1250" s="10" t="str">
        <f t="shared" si="280"/>
        <v>PS'!</v>
      </c>
      <c r="F1250" s="5" t="str">
        <f t="shared" si="281"/>
        <v>C:\Users\jaime.benazar\Quorum Business Solutions\Ecopetrol Prometeo - Documents\Planning Space Implementation\3. Analysis &amp; Design\Design\FC22\DRR Jaime\Neiva CPI\[VAO_DINA TERCIARIOS_CF_SEC_20230117.xlsx]CF PS'!</v>
      </c>
      <c r="G1250" s="7" t="s">
        <v>102</v>
      </c>
      <c r="H1250" s="4">
        <f t="shared" si="282"/>
        <v>68</v>
      </c>
      <c r="I1250" s="4" t="str">
        <f t="shared" si="283"/>
        <v>='C:\Users\jaime.benazar\Quorum Business Solutions\Ecopetrol Prometeo - Documents\Planning Space Implementation\3. Analysis &amp; Design\Design\FC22\DRR Jaime\Neiva CPI\[VAO_DINA TERCIARIOS_CF_SEC_20230117.xlsx]CF PS'!$BW$68</v>
      </c>
      <c r="J1250" s="4" t="s">
        <v>682</v>
      </c>
    </row>
    <row r="1251" spans="1:10" x14ac:dyDescent="0.3">
      <c r="A1251" s="7" t="s">
        <v>24</v>
      </c>
      <c r="B1251" s="7">
        <f t="shared" si="284"/>
        <v>2056</v>
      </c>
      <c r="C1251" s="4" t="s">
        <v>37</v>
      </c>
      <c r="D1251" s="5" t="s">
        <v>131</v>
      </c>
      <c r="E1251" s="10" t="str">
        <f t="shared" si="280"/>
        <v>PS'!</v>
      </c>
      <c r="F1251" s="5" t="str">
        <f t="shared" si="281"/>
        <v>C:\Users\jaime.benazar\Quorum Business Solutions\Ecopetrol Prometeo - Documents\Planning Space Implementation\3. Analysis &amp; Design\Design\FC22\DRR Jaime\Neiva CPI\[VAO_DINA TERCIARIOS_CF_SEC_20230117.xlsx]CF PS'!</v>
      </c>
      <c r="G1251" s="7" t="s">
        <v>102</v>
      </c>
      <c r="H1251" s="4">
        <f t="shared" si="282"/>
        <v>69</v>
      </c>
      <c r="I1251" s="4" t="str">
        <f t="shared" si="283"/>
        <v>='C:\Users\jaime.benazar\Quorum Business Solutions\Ecopetrol Prometeo - Documents\Planning Space Implementation\3. Analysis &amp; Design\Design\FC22\DRR Jaime\Neiva CPI\[VAO_DINA TERCIARIOS_CF_SEC_20230117.xlsx]CF PS'!$BW$69</v>
      </c>
      <c r="J1251" s="4" t="s">
        <v>683</v>
      </c>
    </row>
    <row r="1252" spans="1:10" x14ac:dyDescent="0.3">
      <c r="A1252" s="7" t="s">
        <v>24</v>
      </c>
      <c r="B1252" s="7">
        <f t="shared" si="284"/>
        <v>2057</v>
      </c>
      <c r="C1252" s="4" t="s">
        <v>37</v>
      </c>
      <c r="D1252" s="5" t="s">
        <v>131</v>
      </c>
      <c r="E1252" s="10" t="str">
        <f t="shared" si="280"/>
        <v>PS'!</v>
      </c>
      <c r="F1252" s="5" t="str">
        <f t="shared" si="281"/>
        <v>C:\Users\jaime.benazar\Quorum Business Solutions\Ecopetrol Prometeo - Documents\Planning Space Implementation\3. Analysis &amp; Design\Design\FC22\DRR Jaime\Neiva CPI\[VAO_DINA TERCIARIOS_CF_SEC_20230117.xlsx]CF PS'!</v>
      </c>
      <c r="G1252" s="7" t="s">
        <v>102</v>
      </c>
      <c r="H1252" s="4">
        <f t="shared" si="282"/>
        <v>70</v>
      </c>
      <c r="I1252" s="4" t="str">
        <f t="shared" si="283"/>
        <v>='C:\Users\jaime.benazar\Quorum Business Solutions\Ecopetrol Prometeo - Documents\Planning Space Implementation\3. Analysis &amp; Design\Design\FC22\DRR Jaime\Neiva CPI\[VAO_DINA TERCIARIOS_CF_SEC_20230117.xlsx]CF PS'!$BW$70</v>
      </c>
      <c r="J1252" s="4" t="s">
        <v>684</v>
      </c>
    </row>
    <row r="1253" spans="1:10" x14ac:dyDescent="0.3">
      <c r="A1253" s="7" t="s">
        <v>24</v>
      </c>
      <c r="B1253" s="7">
        <f t="shared" si="284"/>
        <v>2058</v>
      </c>
      <c r="C1253" s="4" t="s">
        <v>37</v>
      </c>
      <c r="D1253" s="5" t="s">
        <v>131</v>
      </c>
      <c r="E1253" s="10" t="str">
        <f t="shared" si="280"/>
        <v>PS'!</v>
      </c>
      <c r="F1253" s="5" t="str">
        <f t="shared" si="281"/>
        <v>C:\Users\jaime.benazar\Quorum Business Solutions\Ecopetrol Prometeo - Documents\Planning Space Implementation\3. Analysis &amp; Design\Design\FC22\DRR Jaime\Neiva CPI\[VAO_DINA TERCIARIOS_CF_SEC_20230117.xlsx]CF PS'!</v>
      </c>
      <c r="G1253" s="7" t="s">
        <v>102</v>
      </c>
      <c r="H1253" s="4">
        <f t="shared" si="282"/>
        <v>71</v>
      </c>
      <c r="I1253" s="4" t="str">
        <f t="shared" si="283"/>
        <v>='C:\Users\jaime.benazar\Quorum Business Solutions\Ecopetrol Prometeo - Documents\Planning Space Implementation\3. Analysis &amp; Design\Design\FC22\DRR Jaime\Neiva CPI\[VAO_DINA TERCIARIOS_CF_SEC_20230117.xlsx]CF PS'!$BW$71</v>
      </c>
      <c r="J1253" s="4" t="s">
        <v>685</v>
      </c>
    </row>
    <row r="1254" spans="1:10" x14ac:dyDescent="0.3">
      <c r="A1254" s="7" t="s">
        <v>24</v>
      </c>
      <c r="B1254" s="7">
        <f t="shared" si="284"/>
        <v>2059</v>
      </c>
      <c r="C1254" s="4" t="s">
        <v>37</v>
      </c>
      <c r="D1254" s="5" t="s">
        <v>131</v>
      </c>
      <c r="E1254" s="10" t="str">
        <f t="shared" si="280"/>
        <v>PS'!</v>
      </c>
      <c r="F1254" s="5" t="str">
        <f t="shared" si="281"/>
        <v>C:\Users\jaime.benazar\Quorum Business Solutions\Ecopetrol Prometeo - Documents\Planning Space Implementation\3. Analysis &amp; Design\Design\FC22\DRR Jaime\Neiva CPI\[VAO_DINA TERCIARIOS_CF_SEC_20230117.xlsx]CF PS'!</v>
      </c>
      <c r="G1254" s="7" t="s">
        <v>102</v>
      </c>
      <c r="H1254" s="4">
        <f t="shared" si="282"/>
        <v>72</v>
      </c>
      <c r="I1254" s="4" t="str">
        <f t="shared" si="283"/>
        <v>='C:\Users\jaime.benazar\Quorum Business Solutions\Ecopetrol Prometeo - Documents\Planning Space Implementation\3. Analysis &amp; Design\Design\FC22\DRR Jaime\Neiva CPI\[VAO_DINA TERCIARIOS_CF_SEC_20230117.xlsx]CF PS'!$BW$72</v>
      </c>
      <c r="J1254" s="4" t="s">
        <v>686</v>
      </c>
    </row>
    <row r="1255" spans="1:10" x14ac:dyDescent="0.3">
      <c r="A1255" s="7" t="s">
        <v>26</v>
      </c>
      <c r="B1255" s="7"/>
      <c r="C1255" s="4" t="s">
        <v>37</v>
      </c>
      <c r="D1255" s="5"/>
      <c r="E1255" s="10"/>
      <c r="F1255" s="5" t="str">
        <f t="shared" si="276"/>
        <v xml:space="preserve"> </v>
      </c>
      <c r="G1255" s="7"/>
      <c r="H1255" s="4"/>
      <c r="I1255" s="4"/>
      <c r="J1255" s="4"/>
    </row>
    <row r="1256" spans="1:10" x14ac:dyDescent="0.3">
      <c r="A1256" s="6" t="s">
        <v>14</v>
      </c>
      <c r="B1256" s="6">
        <v>2023</v>
      </c>
      <c r="C1256" s="1" t="s">
        <v>40</v>
      </c>
      <c r="D1256" s="2" t="s">
        <v>131</v>
      </c>
      <c r="E1256" s="9" t="str">
        <f>_xlfn.CONCAT(A1256,"'!")</f>
        <v>PDP'!</v>
      </c>
      <c r="F1256" s="5" t="str">
        <f t="shared" si="276"/>
        <v>C:\Users\jaime.benazar\Quorum Business Solutions\Ecopetrol Prometeo - Documents\Planning Space Implementation\3. Analysis &amp; Design\Design\FC22\DRR Jaime\Neiva CPI\[VAO_DINA TERCIARIOS_CF_SEC_20230117.xlsx]CF PDP'!</v>
      </c>
      <c r="G1256" s="6" t="s">
        <v>103</v>
      </c>
      <c r="H1256" s="1">
        <f>IF(A1256&lt;&gt;A1240,36,H1240+1)</f>
        <v>36</v>
      </c>
      <c r="I1256" s="1" t="str">
        <f>_xlfn.CONCAT("='",F1256:H1256)</f>
        <v>='C:\Users\jaime.benazar\Quorum Business Solutions\Ecopetrol Prometeo - Documents\Planning Space Implementation\3. Analysis &amp; Design\Design\FC22\DRR Jaime\Neiva CPI\[VAO_DINA TERCIARIOS_CF_SEC_20230117.xlsx]CF PDP'!$BX$36</v>
      </c>
      <c r="J1256" s="1" t="s">
        <v>687</v>
      </c>
    </row>
    <row r="1257" spans="1:10" x14ac:dyDescent="0.3">
      <c r="A1257" s="6" t="s">
        <v>14</v>
      </c>
      <c r="B1257" s="6">
        <f>+B1256+1</f>
        <v>2024</v>
      </c>
      <c r="C1257" s="1" t="s">
        <v>40</v>
      </c>
      <c r="D1257" s="2" t="s">
        <v>131</v>
      </c>
      <c r="E1257" s="9" t="str">
        <f t="shared" ref="E1257:E1350" si="285">_xlfn.CONCAT(A1257,"'!")</f>
        <v>PDP'!</v>
      </c>
      <c r="F1257" s="5" t="str">
        <f t="shared" si="276"/>
        <v>C:\Users\jaime.benazar\Quorum Business Solutions\Ecopetrol Prometeo - Documents\Planning Space Implementation\3. Analysis &amp; Design\Design\FC22\DRR Jaime\Neiva CPI\[VAO_DINA TERCIARIOS_CF_SEC_20230117.xlsx]CF PDP'!</v>
      </c>
      <c r="G1257" s="6" t="s">
        <v>103</v>
      </c>
      <c r="H1257" s="1">
        <f>IF(A1257&lt;&gt;A1256,36,H1256+1)</f>
        <v>37</v>
      </c>
      <c r="I1257" s="1" t="str">
        <f t="shared" ref="I1257:I1350" si="286">_xlfn.CONCAT("='",F1257:H1257)</f>
        <v>='C:\Users\jaime.benazar\Quorum Business Solutions\Ecopetrol Prometeo - Documents\Planning Space Implementation\3. Analysis &amp; Design\Design\FC22\DRR Jaime\Neiva CPI\[VAO_DINA TERCIARIOS_CF_SEC_20230117.xlsx]CF PDP'!$BX$37</v>
      </c>
      <c r="J1257" s="1" t="s">
        <v>688</v>
      </c>
    </row>
    <row r="1258" spans="1:10" x14ac:dyDescent="0.3">
      <c r="A1258" s="6" t="s">
        <v>14</v>
      </c>
      <c r="B1258" s="6">
        <f t="shared" ref="B1258:B1269" si="287">+B1257+1</f>
        <v>2025</v>
      </c>
      <c r="C1258" s="1" t="s">
        <v>40</v>
      </c>
      <c r="D1258" s="2" t="s">
        <v>131</v>
      </c>
      <c r="E1258" s="9" t="str">
        <f t="shared" si="285"/>
        <v>PDP'!</v>
      </c>
      <c r="F1258" s="5" t="str">
        <f t="shared" si="276"/>
        <v>C:\Users\jaime.benazar\Quorum Business Solutions\Ecopetrol Prometeo - Documents\Planning Space Implementation\3. Analysis &amp; Design\Design\FC22\DRR Jaime\Neiva CPI\[VAO_DINA TERCIARIOS_CF_SEC_20230117.xlsx]CF PDP'!</v>
      </c>
      <c r="G1258" s="6" t="s">
        <v>103</v>
      </c>
      <c r="H1258" s="1">
        <f t="shared" ref="H1258:H1351" si="288">IF(A1258&lt;&gt;A1257,36,H1257+1)</f>
        <v>38</v>
      </c>
      <c r="I1258" s="1" t="str">
        <f t="shared" si="286"/>
        <v>='C:\Users\jaime.benazar\Quorum Business Solutions\Ecopetrol Prometeo - Documents\Planning Space Implementation\3. Analysis &amp; Design\Design\FC22\DRR Jaime\Neiva CPI\[VAO_DINA TERCIARIOS_CF_SEC_20230117.xlsx]CF PDP'!$BX$38</v>
      </c>
      <c r="J1258" s="1" t="s">
        <v>689</v>
      </c>
    </row>
    <row r="1259" spans="1:10" x14ac:dyDescent="0.3">
      <c r="A1259" s="6" t="s">
        <v>14</v>
      </c>
      <c r="B1259" s="6">
        <f t="shared" si="287"/>
        <v>2026</v>
      </c>
      <c r="C1259" s="1" t="s">
        <v>40</v>
      </c>
      <c r="D1259" s="2" t="s">
        <v>131</v>
      </c>
      <c r="E1259" s="9" t="str">
        <f t="shared" si="285"/>
        <v>PDP'!</v>
      </c>
      <c r="F1259" s="5" t="str">
        <f t="shared" si="276"/>
        <v>C:\Users\jaime.benazar\Quorum Business Solutions\Ecopetrol Prometeo - Documents\Planning Space Implementation\3. Analysis &amp; Design\Design\FC22\DRR Jaime\Neiva CPI\[VAO_DINA TERCIARIOS_CF_SEC_20230117.xlsx]CF PDP'!</v>
      </c>
      <c r="G1259" s="6" t="s">
        <v>103</v>
      </c>
      <c r="H1259" s="1">
        <f t="shared" si="288"/>
        <v>39</v>
      </c>
      <c r="I1259" s="1" t="str">
        <f t="shared" si="286"/>
        <v>='C:\Users\jaime.benazar\Quorum Business Solutions\Ecopetrol Prometeo - Documents\Planning Space Implementation\3. Analysis &amp; Design\Design\FC22\DRR Jaime\Neiva CPI\[VAO_DINA TERCIARIOS_CF_SEC_20230117.xlsx]CF PDP'!$BX$39</v>
      </c>
      <c r="J1259" s="1" t="s">
        <v>690</v>
      </c>
    </row>
    <row r="1260" spans="1:10" x14ac:dyDescent="0.3">
      <c r="A1260" s="6" t="s">
        <v>14</v>
      </c>
      <c r="B1260" s="6">
        <f t="shared" si="287"/>
        <v>2027</v>
      </c>
      <c r="C1260" s="1" t="s">
        <v>40</v>
      </c>
      <c r="D1260" s="2" t="s">
        <v>131</v>
      </c>
      <c r="E1260" s="9" t="str">
        <f t="shared" si="285"/>
        <v>PDP'!</v>
      </c>
      <c r="F1260" s="5" t="str">
        <f t="shared" si="276"/>
        <v>C:\Users\jaime.benazar\Quorum Business Solutions\Ecopetrol Prometeo - Documents\Planning Space Implementation\3. Analysis &amp; Design\Design\FC22\DRR Jaime\Neiva CPI\[VAO_DINA TERCIARIOS_CF_SEC_20230117.xlsx]CF PDP'!</v>
      </c>
      <c r="G1260" s="6" t="s">
        <v>103</v>
      </c>
      <c r="H1260" s="1">
        <f t="shared" si="288"/>
        <v>40</v>
      </c>
      <c r="I1260" s="1" t="str">
        <f t="shared" si="286"/>
        <v>='C:\Users\jaime.benazar\Quorum Business Solutions\Ecopetrol Prometeo - Documents\Planning Space Implementation\3. Analysis &amp; Design\Design\FC22\DRR Jaime\Neiva CPI\[VAO_DINA TERCIARIOS_CF_SEC_20230117.xlsx]CF PDP'!$BX$40</v>
      </c>
      <c r="J1260" s="1" t="s">
        <v>691</v>
      </c>
    </row>
    <row r="1261" spans="1:10" x14ac:dyDescent="0.3">
      <c r="A1261" s="6" t="s">
        <v>14</v>
      </c>
      <c r="B1261" s="6">
        <f t="shared" si="287"/>
        <v>2028</v>
      </c>
      <c r="C1261" s="1" t="s">
        <v>40</v>
      </c>
      <c r="D1261" s="2" t="s">
        <v>131</v>
      </c>
      <c r="E1261" s="9" t="str">
        <f t="shared" si="285"/>
        <v>PDP'!</v>
      </c>
      <c r="F1261" s="5" t="str">
        <f t="shared" si="276"/>
        <v>C:\Users\jaime.benazar\Quorum Business Solutions\Ecopetrol Prometeo - Documents\Planning Space Implementation\3. Analysis &amp; Design\Design\FC22\DRR Jaime\Neiva CPI\[VAO_DINA TERCIARIOS_CF_SEC_20230117.xlsx]CF PDP'!</v>
      </c>
      <c r="G1261" s="6" t="s">
        <v>103</v>
      </c>
      <c r="H1261" s="1">
        <f t="shared" si="288"/>
        <v>41</v>
      </c>
      <c r="I1261" s="1" t="str">
        <f t="shared" si="286"/>
        <v>='C:\Users\jaime.benazar\Quorum Business Solutions\Ecopetrol Prometeo - Documents\Planning Space Implementation\3. Analysis &amp; Design\Design\FC22\DRR Jaime\Neiva CPI\[VAO_DINA TERCIARIOS_CF_SEC_20230117.xlsx]CF PDP'!$BX$41</v>
      </c>
      <c r="J1261" s="1" t="s">
        <v>692</v>
      </c>
    </row>
    <row r="1262" spans="1:10" x14ac:dyDescent="0.3">
      <c r="A1262" s="6" t="s">
        <v>14</v>
      </c>
      <c r="B1262" s="6">
        <f t="shared" si="287"/>
        <v>2029</v>
      </c>
      <c r="C1262" s="1" t="s">
        <v>40</v>
      </c>
      <c r="D1262" s="2" t="s">
        <v>131</v>
      </c>
      <c r="E1262" s="9" t="str">
        <f t="shared" si="285"/>
        <v>PDP'!</v>
      </c>
      <c r="F1262" s="5" t="str">
        <f t="shared" si="276"/>
        <v>C:\Users\jaime.benazar\Quorum Business Solutions\Ecopetrol Prometeo - Documents\Planning Space Implementation\3. Analysis &amp; Design\Design\FC22\DRR Jaime\Neiva CPI\[VAO_DINA TERCIARIOS_CF_SEC_20230117.xlsx]CF PDP'!</v>
      </c>
      <c r="G1262" s="6" t="s">
        <v>103</v>
      </c>
      <c r="H1262" s="1">
        <f t="shared" si="288"/>
        <v>42</v>
      </c>
      <c r="I1262" s="1" t="str">
        <f t="shared" si="286"/>
        <v>='C:\Users\jaime.benazar\Quorum Business Solutions\Ecopetrol Prometeo - Documents\Planning Space Implementation\3. Analysis &amp; Design\Design\FC22\DRR Jaime\Neiva CPI\[VAO_DINA TERCIARIOS_CF_SEC_20230117.xlsx]CF PDP'!$BX$42</v>
      </c>
      <c r="J1262" s="1" t="s">
        <v>693</v>
      </c>
    </row>
    <row r="1263" spans="1:10" x14ac:dyDescent="0.3">
      <c r="A1263" s="6" t="s">
        <v>14</v>
      </c>
      <c r="B1263" s="6">
        <f t="shared" si="287"/>
        <v>2030</v>
      </c>
      <c r="C1263" s="1" t="s">
        <v>40</v>
      </c>
      <c r="D1263" s="2" t="s">
        <v>131</v>
      </c>
      <c r="E1263" s="9" t="str">
        <f t="shared" si="285"/>
        <v>PDP'!</v>
      </c>
      <c r="F1263" s="5" t="str">
        <f t="shared" si="276"/>
        <v>C:\Users\jaime.benazar\Quorum Business Solutions\Ecopetrol Prometeo - Documents\Planning Space Implementation\3. Analysis &amp; Design\Design\FC22\DRR Jaime\Neiva CPI\[VAO_DINA TERCIARIOS_CF_SEC_20230117.xlsx]CF PDP'!</v>
      </c>
      <c r="G1263" s="6" t="s">
        <v>103</v>
      </c>
      <c r="H1263" s="1">
        <f t="shared" si="288"/>
        <v>43</v>
      </c>
      <c r="I1263" s="1" t="str">
        <f t="shared" si="286"/>
        <v>='C:\Users\jaime.benazar\Quorum Business Solutions\Ecopetrol Prometeo - Documents\Planning Space Implementation\3. Analysis &amp; Design\Design\FC22\DRR Jaime\Neiva CPI\[VAO_DINA TERCIARIOS_CF_SEC_20230117.xlsx]CF PDP'!$BX$43</v>
      </c>
      <c r="J1263" s="1" t="s">
        <v>694</v>
      </c>
    </row>
    <row r="1264" spans="1:10" x14ac:dyDescent="0.3">
      <c r="A1264" s="6" t="s">
        <v>14</v>
      </c>
      <c r="B1264" s="6">
        <f t="shared" si="287"/>
        <v>2031</v>
      </c>
      <c r="C1264" s="1" t="s">
        <v>40</v>
      </c>
      <c r="D1264" s="2" t="s">
        <v>131</v>
      </c>
      <c r="E1264" s="9" t="str">
        <f t="shared" si="285"/>
        <v>PDP'!</v>
      </c>
      <c r="F1264" s="5" t="str">
        <f t="shared" si="276"/>
        <v>C:\Users\jaime.benazar\Quorum Business Solutions\Ecopetrol Prometeo - Documents\Planning Space Implementation\3. Analysis &amp; Design\Design\FC22\DRR Jaime\Neiva CPI\[VAO_DINA TERCIARIOS_CF_SEC_20230117.xlsx]CF PDP'!</v>
      </c>
      <c r="G1264" s="6" t="s">
        <v>103</v>
      </c>
      <c r="H1264" s="1">
        <f t="shared" si="288"/>
        <v>44</v>
      </c>
      <c r="I1264" s="1" t="str">
        <f t="shared" si="286"/>
        <v>='C:\Users\jaime.benazar\Quorum Business Solutions\Ecopetrol Prometeo - Documents\Planning Space Implementation\3. Analysis &amp; Design\Design\FC22\DRR Jaime\Neiva CPI\[VAO_DINA TERCIARIOS_CF_SEC_20230117.xlsx]CF PDP'!$BX$44</v>
      </c>
      <c r="J1264" s="1" t="s">
        <v>695</v>
      </c>
    </row>
    <row r="1265" spans="1:10" x14ac:dyDescent="0.3">
      <c r="A1265" s="6" t="s">
        <v>14</v>
      </c>
      <c r="B1265" s="6">
        <f t="shared" si="287"/>
        <v>2032</v>
      </c>
      <c r="C1265" s="1" t="s">
        <v>40</v>
      </c>
      <c r="D1265" s="2" t="s">
        <v>131</v>
      </c>
      <c r="E1265" s="9" t="str">
        <f t="shared" si="285"/>
        <v>PDP'!</v>
      </c>
      <c r="F1265" s="5" t="str">
        <f t="shared" si="276"/>
        <v>C:\Users\jaime.benazar\Quorum Business Solutions\Ecopetrol Prometeo - Documents\Planning Space Implementation\3. Analysis &amp; Design\Design\FC22\DRR Jaime\Neiva CPI\[VAO_DINA TERCIARIOS_CF_SEC_20230117.xlsx]CF PDP'!</v>
      </c>
      <c r="G1265" s="6" t="s">
        <v>103</v>
      </c>
      <c r="H1265" s="1">
        <f t="shared" si="288"/>
        <v>45</v>
      </c>
      <c r="I1265" s="1" t="str">
        <f t="shared" si="286"/>
        <v>='C:\Users\jaime.benazar\Quorum Business Solutions\Ecopetrol Prometeo - Documents\Planning Space Implementation\3. Analysis &amp; Design\Design\FC22\DRR Jaime\Neiva CPI\[VAO_DINA TERCIARIOS_CF_SEC_20230117.xlsx]CF PDP'!$BX$45</v>
      </c>
      <c r="J1265" s="1" t="s">
        <v>696</v>
      </c>
    </row>
    <row r="1266" spans="1:10" x14ac:dyDescent="0.3">
      <c r="A1266" s="6" t="s">
        <v>14</v>
      </c>
      <c r="B1266" s="6">
        <f t="shared" si="287"/>
        <v>2033</v>
      </c>
      <c r="C1266" s="1" t="s">
        <v>40</v>
      </c>
      <c r="D1266" s="2" t="s">
        <v>131</v>
      </c>
      <c r="E1266" s="9" t="str">
        <f t="shared" si="285"/>
        <v>PDP'!</v>
      </c>
      <c r="F1266" s="5" t="str">
        <f t="shared" si="276"/>
        <v>C:\Users\jaime.benazar\Quorum Business Solutions\Ecopetrol Prometeo - Documents\Planning Space Implementation\3. Analysis &amp; Design\Design\FC22\DRR Jaime\Neiva CPI\[VAO_DINA TERCIARIOS_CF_SEC_20230117.xlsx]CF PDP'!</v>
      </c>
      <c r="G1266" s="6" t="s">
        <v>103</v>
      </c>
      <c r="H1266" s="1">
        <f t="shared" si="288"/>
        <v>46</v>
      </c>
      <c r="I1266" s="1" t="str">
        <f t="shared" si="286"/>
        <v>='C:\Users\jaime.benazar\Quorum Business Solutions\Ecopetrol Prometeo - Documents\Planning Space Implementation\3. Analysis &amp; Design\Design\FC22\DRR Jaime\Neiva CPI\[VAO_DINA TERCIARIOS_CF_SEC_20230117.xlsx]CF PDP'!$BX$46</v>
      </c>
      <c r="J1266" s="1" t="s">
        <v>697</v>
      </c>
    </row>
    <row r="1267" spans="1:10" x14ac:dyDescent="0.3">
      <c r="A1267" s="6" t="s">
        <v>14</v>
      </c>
      <c r="B1267" s="6">
        <f t="shared" si="287"/>
        <v>2034</v>
      </c>
      <c r="C1267" s="1" t="s">
        <v>40</v>
      </c>
      <c r="D1267" s="2" t="s">
        <v>131</v>
      </c>
      <c r="E1267" s="9" t="str">
        <f t="shared" si="285"/>
        <v>PDP'!</v>
      </c>
      <c r="F1267" s="5" t="str">
        <f t="shared" si="276"/>
        <v>C:\Users\jaime.benazar\Quorum Business Solutions\Ecopetrol Prometeo - Documents\Planning Space Implementation\3. Analysis &amp; Design\Design\FC22\DRR Jaime\Neiva CPI\[VAO_DINA TERCIARIOS_CF_SEC_20230117.xlsx]CF PDP'!</v>
      </c>
      <c r="G1267" s="6" t="s">
        <v>103</v>
      </c>
      <c r="H1267" s="1">
        <f t="shared" si="288"/>
        <v>47</v>
      </c>
      <c r="I1267" s="1" t="str">
        <f t="shared" si="286"/>
        <v>='C:\Users\jaime.benazar\Quorum Business Solutions\Ecopetrol Prometeo - Documents\Planning Space Implementation\3. Analysis &amp; Design\Design\FC22\DRR Jaime\Neiva CPI\[VAO_DINA TERCIARIOS_CF_SEC_20230117.xlsx]CF PDP'!$BX$47</v>
      </c>
      <c r="J1267" s="1" t="s">
        <v>698</v>
      </c>
    </row>
    <row r="1268" spans="1:10" x14ac:dyDescent="0.3">
      <c r="A1268" s="6" t="s">
        <v>14</v>
      </c>
      <c r="B1268" s="6">
        <f t="shared" si="287"/>
        <v>2035</v>
      </c>
      <c r="C1268" s="1" t="s">
        <v>40</v>
      </c>
      <c r="D1268" s="2" t="s">
        <v>131</v>
      </c>
      <c r="E1268" s="9" t="str">
        <f t="shared" si="285"/>
        <v>PDP'!</v>
      </c>
      <c r="F1268" s="5" t="str">
        <f t="shared" si="276"/>
        <v>C:\Users\jaime.benazar\Quorum Business Solutions\Ecopetrol Prometeo - Documents\Planning Space Implementation\3. Analysis &amp; Design\Design\FC22\DRR Jaime\Neiva CPI\[VAO_DINA TERCIARIOS_CF_SEC_20230117.xlsx]CF PDP'!</v>
      </c>
      <c r="G1268" s="6" t="s">
        <v>103</v>
      </c>
      <c r="H1268" s="1">
        <f t="shared" si="288"/>
        <v>48</v>
      </c>
      <c r="I1268" s="1" t="str">
        <f t="shared" si="286"/>
        <v>='C:\Users\jaime.benazar\Quorum Business Solutions\Ecopetrol Prometeo - Documents\Planning Space Implementation\3. Analysis &amp; Design\Design\FC22\DRR Jaime\Neiva CPI\[VAO_DINA TERCIARIOS_CF_SEC_20230117.xlsx]CF PDP'!$BX$48</v>
      </c>
      <c r="J1268" s="1" t="s">
        <v>699</v>
      </c>
    </row>
    <row r="1269" spans="1:10" x14ac:dyDescent="0.3">
      <c r="A1269" s="6" t="s">
        <v>14</v>
      </c>
      <c r="B1269" s="6">
        <f t="shared" si="287"/>
        <v>2036</v>
      </c>
      <c r="C1269" s="1" t="s">
        <v>40</v>
      </c>
      <c r="D1269" s="2" t="s">
        <v>131</v>
      </c>
      <c r="E1269" s="9" t="str">
        <f t="shared" si="285"/>
        <v>PDP'!</v>
      </c>
      <c r="F1269" s="5" t="str">
        <f t="shared" si="276"/>
        <v>C:\Users\jaime.benazar\Quorum Business Solutions\Ecopetrol Prometeo - Documents\Planning Space Implementation\3. Analysis &amp; Design\Design\FC22\DRR Jaime\Neiva CPI\[VAO_DINA TERCIARIOS_CF_SEC_20230117.xlsx]CF PDP'!</v>
      </c>
      <c r="G1269" s="6" t="s">
        <v>103</v>
      </c>
      <c r="H1269" s="1">
        <f t="shared" si="288"/>
        <v>49</v>
      </c>
      <c r="I1269" s="1" t="str">
        <f t="shared" si="286"/>
        <v>='C:\Users\jaime.benazar\Quorum Business Solutions\Ecopetrol Prometeo - Documents\Planning Space Implementation\3. Analysis &amp; Design\Design\FC22\DRR Jaime\Neiva CPI\[VAO_DINA TERCIARIOS_CF_SEC_20230117.xlsx]CF PDP'!$BX$49</v>
      </c>
      <c r="J1269" s="1" t="s">
        <v>700</v>
      </c>
    </row>
    <row r="1270" spans="1:10" x14ac:dyDescent="0.3">
      <c r="A1270" s="6" t="s">
        <v>14</v>
      </c>
      <c r="B1270" s="6">
        <f>+B1269+1</f>
        <v>2037</v>
      </c>
      <c r="C1270" s="1" t="s">
        <v>40</v>
      </c>
      <c r="D1270" s="2" t="s">
        <v>131</v>
      </c>
      <c r="E1270" s="9" t="str">
        <f t="shared" si="285"/>
        <v>PDP'!</v>
      </c>
      <c r="F1270" s="5" t="str">
        <f t="shared" si="276"/>
        <v>C:\Users\jaime.benazar\Quorum Business Solutions\Ecopetrol Prometeo - Documents\Planning Space Implementation\3. Analysis &amp; Design\Design\FC22\DRR Jaime\Neiva CPI\[VAO_DINA TERCIARIOS_CF_SEC_20230117.xlsx]CF PDP'!</v>
      </c>
      <c r="G1270" s="6" t="s">
        <v>103</v>
      </c>
      <c r="H1270" s="1">
        <f t="shared" si="288"/>
        <v>50</v>
      </c>
      <c r="I1270" s="1" t="str">
        <f t="shared" si="286"/>
        <v>='C:\Users\jaime.benazar\Quorum Business Solutions\Ecopetrol Prometeo - Documents\Planning Space Implementation\3. Analysis &amp; Design\Design\FC22\DRR Jaime\Neiva CPI\[VAO_DINA TERCIARIOS_CF_SEC_20230117.xlsx]CF PDP'!$BX$50</v>
      </c>
      <c r="J1270" s="1" t="s">
        <v>701</v>
      </c>
    </row>
    <row r="1271" spans="1:10" x14ac:dyDescent="0.3">
      <c r="A1271" s="6" t="s">
        <v>14</v>
      </c>
      <c r="B1271" s="6">
        <f t="shared" ref="B1271:B1273" si="289">+B1270+1</f>
        <v>2038</v>
      </c>
      <c r="C1271" s="1" t="s">
        <v>40</v>
      </c>
      <c r="D1271" s="2" t="s">
        <v>131</v>
      </c>
      <c r="E1271" s="9" t="str">
        <f t="shared" si="285"/>
        <v>PDP'!</v>
      </c>
      <c r="F1271" s="5" t="str">
        <f t="shared" si="276"/>
        <v>C:\Users\jaime.benazar\Quorum Business Solutions\Ecopetrol Prometeo - Documents\Planning Space Implementation\3. Analysis &amp; Design\Design\FC22\DRR Jaime\Neiva CPI\[VAO_DINA TERCIARIOS_CF_SEC_20230117.xlsx]CF PDP'!</v>
      </c>
      <c r="G1271" s="6" t="s">
        <v>103</v>
      </c>
      <c r="H1271" s="1">
        <f t="shared" si="288"/>
        <v>51</v>
      </c>
      <c r="I1271" s="1" t="str">
        <f t="shared" si="286"/>
        <v>='C:\Users\jaime.benazar\Quorum Business Solutions\Ecopetrol Prometeo - Documents\Planning Space Implementation\3. Analysis &amp; Design\Design\FC22\DRR Jaime\Neiva CPI\[VAO_DINA TERCIARIOS_CF_SEC_20230117.xlsx]CF PDP'!$BX$51</v>
      </c>
      <c r="J1271" s="1" t="s">
        <v>702</v>
      </c>
    </row>
    <row r="1272" spans="1:10" x14ac:dyDescent="0.3">
      <c r="A1272" s="6" t="s">
        <v>14</v>
      </c>
      <c r="B1272" s="6">
        <f t="shared" si="289"/>
        <v>2039</v>
      </c>
      <c r="C1272" s="1" t="s">
        <v>40</v>
      </c>
      <c r="D1272" s="2" t="s">
        <v>131</v>
      </c>
      <c r="E1272" s="9" t="str">
        <f t="shared" si="285"/>
        <v>PDP'!</v>
      </c>
      <c r="F1272" s="5" t="str">
        <f t="shared" si="276"/>
        <v>C:\Users\jaime.benazar\Quorum Business Solutions\Ecopetrol Prometeo - Documents\Planning Space Implementation\3. Analysis &amp; Design\Design\FC22\DRR Jaime\Neiva CPI\[VAO_DINA TERCIARIOS_CF_SEC_20230117.xlsx]CF PDP'!</v>
      </c>
      <c r="G1272" s="6" t="s">
        <v>103</v>
      </c>
      <c r="H1272" s="1">
        <f t="shared" si="288"/>
        <v>52</v>
      </c>
      <c r="I1272" s="1" t="str">
        <f t="shared" si="286"/>
        <v>='C:\Users\jaime.benazar\Quorum Business Solutions\Ecopetrol Prometeo - Documents\Planning Space Implementation\3. Analysis &amp; Design\Design\FC22\DRR Jaime\Neiva CPI\[VAO_DINA TERCIARIOS_CF_SEC_20230117.xlsx]CF PDP'!$BX$52</v>
      </c>
      <c r="J1272" s="1" t="s">
        <v>703</v>
      </c>
    </row>
    <row r="1273" spans="1:10" x14ac:dyDescent="0.3">
      <c r="A1273" s="6" t="s">
        <v>14</v>
      </c>
      <c r="B1273" s="6">
        <f t="shared" si="289"/>
        <v>2040</v>
      </c>
      <c r="C1273" s="1" t="s">
        <v>40</v>
      </c>
      <c r="D1273" s="2" t="s">
        <v>131</v>
      </c>
      <c r="E1273" s="9" t="str">
        <f t="shared" si="285"/>
        <v>PDP'!</v>
      </c>
      <c r="F1273" s="5" t="str">
        <f t="shared" si="276"/>
        <v>C:\Users\jaime.benazar\Quorum Business Solutions\Ecopetrol Prometeo - Documents\Planning Space Implementation\3. Analysis &amp; Design\Design\FC22\DRR Jaime\Neiva CPI\[VAO_DINA TERCIARIOS_CF_SEC_20230117.xlsx]CF PDP'!</v>
      </c>
      <c r="G1273" s="6" t="s">
        <v>103</v>
      </c>
      <c r="H1273" s="1">
        <f t="shared" si="288"/>
        <v>53</v>
      </c>
      <c r="I1273" s="1" t="str">
        <f t="shared" si="286"/>
        <v>='C:\Users\jaime.benazar\Quorum Business Solutions\Ecopetrol Prometeo - Documents\Planning Space Implementation\3. Analysis &amp; Design\Design\FC22\DRR Jaime\Neiva CPI\[VAO_DINA TERCIARIOS_CF_SEC_20230117.xlsx]CF PDP'!$BX$53</v>
      </c>
      <c r="J1273" s="1" t="s">
        <v>704</v>
      </c>
    </row>
    <row r="1274" spans="1:10" x14ac:dyDescent="0.3">
      <c r="A1274" s="6" t="s">
        <v>14</v>
      </c>
      <c r="B1274" s="6">
        <f>+B1273+1</f>
        <v>2041</v>
      </c>
      <c r="C1274" s="1" t="s">
        <v>40</v>
      </c>
      <c r="D1274" s="2" t="s">
        <v>131</v>
      </c>
      <c r="E1274" s="9" t="str">
        <f t="shared" si="285"/>
        <v>PDP'!</v>
      </c>
      <c r="F1274" s="5" t="str">
        <f t="shared" si="276"/>
        <v>C:\Users\jaime.benazar\Quorum Business Solutions\Ecopetrol Prometeo - Documents\Planning Space Implementation\3. Analysis &amp; Design\Design\FC22\DRR Jaime\Neiva CPI\[VAO_DINA TERCIARIOS_CF_SEC_20230117.xlsx]CF PDP'!</v>
      </c>
      <c r="G1274" s="6" t="s">
        <v>103</v>
      </c>
      <c r="H1274" s="1">
        <f t="shared" si="288"/>
        <v>54</v>
      </c>
      <c r="I1274" s="1" t="str">
        <f t="shared" si="286"/>
        <v>='C:\Users\jaime.benazar\Quorum Business Solutions\Ecopetrol Prometeo - Documents\Planning Space Implementation\3. Analysis &amp; Design\Design\FC22\DRR Jaime\Neiva CPI\[VAO_DINA TERCIARIOS_CF_SEC_20230117.xlsx]CF PDP'!$BX$54</v>
      </c>
      <c r="J1274" s="1" t="s">
        <v>705</v>
      </c>
    </row>
    <row r="1275" spans="1:10" x14ac:dyDescent="0.3">
      <c r="A1275" s="6" t="s">
        <v>14</v>
      </c>
      <c r="B1275" s="6">
        <f t="shared" ref="B1275:B1276" si="290">+B1274+1</f>
        <v>2042</v>
      </c>
      <c r="C1275" s="1" t="s">
        <v>40</v>
      </c>
      <c r="D1275" s="2" t="s">
        <v>131</v>
      </c>
      <c r="E1275" s="9" t="str">
        <f t="shared" si="285"/>
        <v>PDP'!</v>
      </c>
      <c r="F1275" s="5" t="str">
        <f t="shared" si="276"/>
        <v>C:\Users\jaime.benazar\Quorum Business Solutions\Ecopetrol Prometeo - Documents\Planning Space Implementation\3. Analysis &amp; Design\Design\FC22\DRR Jaime\Neiva CPI\[VAO_DINA TERCIARIOS_CF_SEC_20230117.xlsx]CF PDP'!</v>
      </c>
      <c r="G1275" s="6" t="s">
        <v>103</v>
      </c>
      <c r="H1275" s="1">
        <f t="shared" si="288"/>
        <v>55</v>
      </c>
      <c r="I1275" s="1" t="str">
        <f t="shared" si="286"/>
        <v>='C:\Users\jaime.benazar\Quorum Business Solutions\Ecopetrol Prometeo - Documents\Planning Space Implementation\3. Analysis &amp; Design\Design\FC22\DRR Jaime\Neiva CPI\[VAO_DINA TERCIARIOS_CF_SEC_20230117.xlsx]CF PDP'!$BX$55</v>
      </c>
      <c r="J1275" s="1" t="s">
        <v>706</v>
      </c>
    </row>
    <row r="1276" spans="1:10" x14ac:dyDescent="0.3">
      <c r="A1276" s="6" t="s">
        <v>14</v>
      </c>
      <c r="B1276" s="6">
        <f t="shared" si="290"/>
        <v>2043</v>
      </c>
      <c r="C1276" s="1" t="s">
        <v>40</v>
      </c>
      <c r="D1276" s="2" t="s">
        <v>131</v>
      </c>
      <c r="E1276" s="9" t="str">
        <f t="shared" si="285"/>
        <v>PDP'!</v>
      </c>
      <c r="F1276" s="5" t="str">
        <f t="shared" si="276"/>
        <v>C:\Users\jaime.benazar\Quorum Business Solutions\Ecopetrol Prometeo - Documents\Planning Space Implementation\3. Analysis &amp; Design\Design\FC22\DRR Jaime\Neiva CPI\[VAO_DINA TERCIARIOS_CF_SEC_20230117.xlsx]CF PDP'!</v>
      </c>
      <c r="G1276" s="6" t="s">
        <v>103</v>
      </c>
      <c r="H1276" s="1">
        <f t="shared" si="288"/>
        <v>56</v>
      </c>
      <c r="I1276" s="1" t="str">
        <f t="shared" si="286"/>
        <v>='C:\Users\jaime.benazar\Quorum Business Solutions\Ecopetrol Prometeo - Documents\Planning Space Implementation\3. Analysis &amp; Design\Design\FC22\DRR Jaime\Neiva CPI\[VAO_DINA TERCIARIOS_CF_SEC_20230117.xlsx]CF PDP'!$BX$56</v>
      </c>
      <c r="J1276" s="1" t="s">
        <v>707</v>
      </c>
    </row>
    <row r="1277" spans="1:10" x14ac:dyDescent="0.3">
      <c r="A1277" s="6" t="s">
        <v>14</v>
      </c>
      <c r="B1277" s="6">
        <f>+B1276+1</f>
        <v>2044</v>
      </c>
      <c r="C1277" s="1" t="s">
        <v>40</v>
      </c>
      <c r="D1277" s="2" t="s">
        <v>131</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Jaime\Neiva CPI\[VAO_DINA TERCIARIOS_CF_SEC_20230117.xlsx]CF PDP'!</v>
      </c>
      <c r="G1277" s="6" t="s">
        <v>103</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Jaime\Neiva CPI\[VAO_DINA TERCIARIOS_CF_SEC_20230117.xlsx]CF PDP'!$BX$57</v>
      </c>
      <c r="J1277" s="1" t="s">
        <v>708</v>
      </c>
    </row>
    <row r="1278" spans="1:10" x14ac:dyDescent="0.3">
      <c r="A1278" s="6" t="s">
        <v>14</v>
      </c>
      <c r="B1278" s="6">
        <f t="shared" ref="B1278:B1292" si="295">+B1277+1</f>
        <v>2045</v>
      </c>
      <c r="C1278" s="1" t="s">
        <v>40</v>
      </c>
      <c r="D1278" s="2" t="s">
        <v>131</v>
      </c>
      <c r="E1278" s="9" t="str">
        <f t="shared" si="291"/>
        <v>PDP'!</v>
      </c>
      <c r="F1278" s="5" t="str">
        <f t="shared" si="292"/>
        <v>C:\Users\jaime.benazar\Quorum Business Solutions\Ecopetrol Prometeo - Documents\Planning Space Implementation\3. Analysis &amp; Design\Design\FC22\DRR Jaime\Neiva CPI\[VAO_DINA TERCIARIOS_CF_SEC_20230117.xlsx]CF PDP'!</v>
      </c>
      <c r="G1278" s="6" t="s">
        <v>103</v>
      </c>
      <c r="H1278" s="1">
        <f t="shared" si="293"/>
        <v>58</v>
      </c>
      <c r="I1278" s="1" t="str">
        <f t="shared" si="294"/>
        <v>='C:\Users\jaime.benazar\Quorum Business Solutions\Ecopetrol Prometeo - Documents\Planning Space Implementation\3. Analysis &amp; Design\Design\FC22\DRR Jaime\Neiva CPI\[VAO_DINA TERCIARIOS_CF_SEC_20230117.xlsx]CF PDP'!$BX$58</v>
      </c>
      <c r="J1278" s="1" t="s">
        <v>709</v>
      </c>
    </row>
    <row r="1279" spans="1:10" x14ac:dyDescent="0.3">
      <c r="A1279" s="6" t="s">
        <v>14</v>
      </c>
      <c r="B1279" s="6">
        <f t="shared" si="295"/>
        <v>2046</v>
      </c>
      <c r="C1279" s="1" t="s">
        <v>40</v>
      </c>
      <c r="D1279" s="2" t="s">
        <v>131</v>
      </c>
      <c r="E1279" s="9" t="str">
        <f t="shared" si="291"/>
        <v>PDP'!</v>
      </c>
      <c r="F1279" s="5" t="str">
        <f t="shared" si="292"/>
        <v>C:\Users\jaime.benazar\Quorum Business Solutions\Ecopetrol Prometeo - Documents\Planning Space Implementation\3. Analysis &amp; Design\Design\FC22\DRR Jaime\Neiva CPI\[VAO_DINA TERCIARIOS_CF_SEC_20230117.xlsx]CF PDP'!</v>
      </c>
      <c r="G1279" s="6" t="s">
        <v>103</v>
      </c>
      <c r="H1279" s="1">
        <f t="shared" si="293"/>
        <v>59</v>
      </c>
      <c r="I1279" s="1" t="str">
        <f t="shared" si="294"/>
        <v>='C:\Users\jaime.benazar\Quorum Business Solutions\Ecopetrol Prometeo - Documents\Planning Space Implementation\3. Analysis &amp; Design\Design\FC22\DRR Jaime\Neiva CPI\[VAO_DINA TERCIARIOS_CF_SEC_20230117.xlsx]CF PDP'!$BX$59</v>
      </c>
      <c r="J1279" s="1" t="s">
        <v>710</v>
      </c>
    </row>
    <row r="1280" spans="1:10" x14ac:dyDescent="0.3">
      <c r="A1280" s="6" t="s">
        <v>14</v>
      </c>
      <c r="B1280" s="6">
        <f t="shared" si="295"/>
        <v>2047</v>
      </c>
      <c r="C1280" s="1" t="s">
        <v>40</v>
      </c>
      <c r="D1280" s="2" t="s">
        <v>131</v>
      </c>
      <c r="E1280" s="9" t="str">
        <f t="shared" si="291"/>
        <v>PDP'!</v>
      </c>
      <c r="F1280" s="5" t="str">
        <f t="shared" si="292"/>
        <v>C:\Users\jaime.benazar\Quorum Business Solutions\Ecopetrol Prometeo - Documents\Planning Space Implementation\3. Analysis &amp; Design\Design\FC22\DRR Jaime\Neiva CPI\[VAO_DINA TERCIARIOS_CF_SEC_20230117.xlsx]CF PDP'!</v>
      </c>
      <c r="G1280" s="6" t="s">
        <v>103</v>
      </c>
      <c r="H1280" s="1">
        <f t="shared" si="293"/>
        <v>60</v>
      </c>
      <c r="I1280" s="1" t="str">
        <f t="shared" si="294"/>
        <v>='C:\Users\jaime.benazar\Quorum Business Solutions\Ecopetrol Prometeo - Documents\Planning Space Implementation\3. Analysis &amp; Design\Design\FC22\DRR Jaime\Neiva CPI\[VAO_DINA TERCIARIOS_CF_SEC_20230117.xlsx]CF PDP'!$BX$60</v>
      </c>
      <c r="J1280" s="1" t="s">
        <v>711</v>
      </c>
    </row>
    <row r="1281" spans="1:10" x14ac:dyDescent="0.3">
      <c r="A1281" s="6" t="s">
        <v>14</v>
      </c>
      <c r="B1281" s="6">
        <f t="shared" si="295"/>
        <v>2048</v>
      </c>
      <c r="C1281" s="1" t="s">
        <v>40</v>
      </c>
      <c r="D1281" s="2" t="s">
        <v>131</v>
      </c>
      <c r="E1281" s="9" t="str">
        <f t="shared" si="291"/>
        <v>PDP'!</v>
      </c>
      <c r="F1281" s="5" t="str">
        <f t="shared" si="292"/>
        <v>C:\Users\jaime.benazar\Quorum Business Solutions\Ecopetrol Prometeo - Documents\Planning Space Implementation\3. Analysis &amp; Design\Design\FC22\DRR Jaime\Neiva CPI\[VAO_DINA TERCIARIOS_CF_SEC_20230117.xlsx]CF PDP'!</v>
      </c>
      <c r="G1281" s="6" t="s">
        <v>103</v>
      </c>
      <c r="H1281" s="1">
        <f t="shared" si="293"/>
        <v>61</v>
      </c>
      <c r="I1281" s="1" t="str">
        <f t="shared" si="294"/>
        <v>='C:\Users\jaime.benazar\Quorum Business Solutions\Ecopetrol Prometeo - Documents\Planning Space Implementation\3. Analysis &amp; Design\Design\FC22\DRR Jaime\Neiva CPI\[VAO_DINA TERCIARIOS_CF_SEC_20230117.xlsx]CF PDP'!$BX$61</v>
      </c>
      <c r="J1281" s="1" t="s">
        <v>712</v>
      </c>
    </row>
    <row r="1282" spans="1:10" x14ac:dyDescent="0.3">
      <c r="A1282" s="6" t="s">
        <v>14</v>
      </c>
      <c r="B1282" s="6">
        <f t="shared" si="295"/>
        <v>2049</v>
      </c>
      <c r="C1282" s="1" t="s">
        <v>40</v>
      </c>
      <c r="D1282" s="2" t="s">
        <v>131</v>
      </c>
      <c r="E1282" s="9" t="str">
        <f t="shared" si="291"/>
        <v>PDP'!</v>
      </c>
      <c r="F1282" s="5" t="str">
        <f t="shared" si="292"/>
        <v>C:\Users\jaime.benazar\Quorum Business Solutions\Ecopetrol Prometeo - Documents\Planning Space Implementation\3. Analysis &amp; Design\Design\FC22\DRR Jaime\Neiva CPI\[VAO_DINA TERCIARIOS_CF_SEC_20230117.xlsx]CF PDP'!</v>
      </c>
      <c r="G1282" s="6" t="s">
        <v>103</v>
      </c>
      <c r="H1282" s="1">
        <f t="shared" si="293"/>
        <v>62</v>
      </c>
      <c r="I1282" s="1" t="str">
        <f t="shared" si="294"/>
        <v>='C:\Users\jaime.benazar\Quorum Business Solutions\Ecopetrol Prometeo - Documents\Planning Space Implementation\3. Analysis &amp; Design\Design\FC22\DRR Jaime\Neiva CPI\[VAO_DINA TERCIARIOS_CF_SEC_20230117.xlsx]CF PDP'!$BX$62</v>
      </c>
      <c r="J1282" s="1" t="s">
        <v>713</v>
      </c>
    </row>
    <row r="1283" spans="1:10" x14ac:dyDescent="0.3">
      <c r="A1283" s="6" t="s">
        <v>14</v>
      </c>
      <c r="B1283" s="6">
        <f t="shared" si="295"/>
        <v>2050</v>
      </c>
      <c r="C1283" s="1" t="s">
        <v>40</v>
      </c>
      <c r="D1283" s="2" t="s">
        <v>131</v>
      </c>
      <c r="E1283" s="9" t="str">
        <f t="shared" si="291"/>
        <v>PDP'!</v>
      </c>
      <c r="F1283" s="5" t="str">
        <f t="shared" si="292"/>
        <v>C:\Users\jaime.benazar\Quorum Business Solutions\Ecopetrol Prometeo - Documents\Planning Space Implementation\3. Analysis &amp; Design\Design\FC22\DRR Jaime\Neiva CPI\[VAO_DINA TERCIARIOS_CF_SEC_20230117.xlsx]CF PDP'!</v>
      </c>
      <c r="G1283" s="6" t="s">
        <v>103</v>
      </c>
      <c r="H1283" s="1">
        <f t="shared" si="293"/>
        <v>63</v>
      </c>
      <c r="I1283" s="1" t="str">
        <f t="shared" si="294"/>
        <v>='C:\Users\jaime.benazar\Quorum Business Solutions\Ecopetrol Prometeo - Documents\Planning Space Implementation\3. Analysis &amp; Design\Design\FC22\DRR Jaime\Neiva CPI\[VAO_DINA TERCIARIOS_CF_SEC_20230117.xlsx]CF PDP'!$BX$63</v>
      </c>
      <c r="J1283" s="1" t="s">
        <v>714</v>
      </c>
    </row>
    <row r="1284" spans="1:10" x14ac:dyDescent="0.3">
      <c r="A1284" s="6" t="s">
        <v>14</v>
      </c>
      <c r="B1284" s="6">
        <f t="shared" si="295"/>
        <v>2051</v>
      </c>
      <c r="C1284" s="1" t="s">
        <v>40</v>
      </c>
      <c r="D1284" s="2" t="s">
        <v>131</v>
      </c>
      <c r="E1284" s="9" t="str">
        <f t="shared" si="291"/>
        <v>PDP'!</v>
      </c>
      <c r="F1284" s="5" t="str">
        <f t="shared" si="292"/>
        <v>C:\Users\jaime.benazar\Quorum Business Solutions\Ecopetrol Prometeo - Documents\Planning Space Implementation\3. Analysis &amp; Design\Design\FC22\DRR Jaime\Neiva CPI\[VAO_DINA TERCIARIOS_CF_SEC_20230117.xlsx]CF PDP'!</v>
      </c>
      <c r="G1284" s="6" t="s">
        <v>103</v>
      </c>
      <c r="H1284" s="1">
        <f t="shared" si="293"/>
        <v>64</v>
      </c>
      <c r="I1284" s="1" t="str">
        <f t="shared" si="294"/>
        <v>='C:\Users\jaime.benazar\Quorum Business Solutions\Ecopetrol Prometeo - Documents\Planning Space Implementation\3. Analysis &amp; Design\Design\FC22\DRR Jaime\Neiva CPI\[VAO_DINA TERCIARIOS_CF_SEC_20230117.xlsx]CF PDP'!$BX$64</v>
      </c>
      <c r="J1284" s="1" t="s">
        <v>715</v>
      </c>
    </row>
    <row r="1285" spans="1:10" x14ac:dyDescent="0.3">
      <c r="A1285" s="6" t="s">
        <v>14</v>
      </c>
      <c r="B1285" s="6">
        <f t="shared" si="295"/>
        <v>2052</v>
      </c>
      <c r="C1285" s="1" t="s">
        <v>40</v>
      </c>
      <c r="D1285" s="2" t="s">
        <v>131</v>
      </c>
      <c r="E1285" s="9" t="str">
        <f t="shared" si="291"/>
        <v>PDP'!</v>
      </c>
      <c r="F1285" s="5" t="str">
        <f t="shared" si="292"/>
        <v>C:\Users\jaime.benazar\Quorum Business Solutions\Ecopetrol Prometeo - Documents\Planning Space Implementation\3. Analysis &amp; Design\Design\FC22\DRR Jaime\Neiva CPI\[VAO_DINA TERCIARIOS_CF_SEC_20230117.xlsx]CF PDP'!</v>
      </c>
      <c r="G1285" s="6" t="s">
        <v>103</v>
      </c>
      <c r="H1285" s="1">
        <f t="shared" si="293"/>
        <v>65</v>
      </c>
      <c r="I1285" s="1" t="str">
        <f t="shared" si="294"/>
        <v>='C:\Users\jaime.benazar\Quorum Business Solutions\Ecopetrol Prometeo - Documents\Planning Space Implementation\3. Analysis &amp; Design\Design\FC22\DRR Jaime\Neiva CPI\[VAO_DINA TERCIARIOS_CF_SEC_20230117.xlsx]CF PDP'!$BX$65</v>
      </c>
      <c r="J1285" s="1" t="s">
        <v>716</v>
      </c>
    </row>
    <row r="1286" spans="1:10" x14ac:dyDescent="0.3">
      <c r="A1286" s="6" t="s">
        <v>14</v>
      </c>
      <c r="B1286" s="6">
        <f t="shared" si="295"/>
        <v>2053</v>
      </c>
      <c r="C1286" s="1" t="s">
        <v>40</v>
      </c>
      <c r="D1286" s="2" t="s">
        <v>131</v>
      </c>
      <c r="E1286" s="9" t="str">
        <f t="shared" si="291"/>
        <v>PDP'!</v>
      </c>
      <c r="F1286" s="5" t="str">
        <f t="shared" si="292"/>
        <v>C:\Users\jaime.benazar\Quorum Business Solutions\Ecopetrol Prometeo - Documents\Planning Space Implementation\3. Analysis &amp; Design\Design\FC22\DRR Jaime\Neiva CPI\[VAO_DINA TERCIARIOS_CF_SEC_20230117.xlsx]CF PDP'!</v>
      </c>
      <c r="G1286" s="6" t="s">
        <v>103</v>
      </c>
      <c r="H1286" s="1">
        <f t="shared" si="293"/>
        <v>66</v>
      </c>
      <c r="I1286" s="1" t="str">
        <f t="shared" si="294"/>
        <v>='C:\Users\jaime.benazar\Quorum Business Solutions\Ecopetrol Prometeo - Documents\Planning Space Implementation\3. Analysis &amp; Design\Design\FC22\DRR Jaime\Neiva CPI\[VAO_DINA TERCIARIOS_CF_SEC_20230117.xlsx]CF PDP'!$BX$66</v>
      </c>
      <c r="J1286" s="1" t="s">
        <v>717</v>
      </c>
    </row>
    <row r="1287" spans="1:10" x14ac:dyDescent="0.3">
      <c r="A1287" s="6" t="s">
        <v>14</v>
      </c>
      <c r="B1287" s="6">
        <f t="shared" si="295"/>
        <v>2054</v>
      </c>
      <c r="C1287" s="1" t="s">
        <v>40</v>
      </c>
      <c r="D1287" s="2" t="s">
        <v>131</v>
      </c>
      <c r="E1287" s="9" t="str">
        <f t="shared" si="291"/>
        <v>PDP'!</v>
      </c>
      <c r="F1287" s="5" t="str">
        <f t="shared" si="292"/>
        <v>C:\Users\jaime.benazar\Quorum Business Solutions\Ecopetrol Prometeo - Documents\Planning Space Implementation\3. Analysis &amp; Design\Design\FC22\DRR Jaime\Neiva CPI\[VAO_DINA TERCIARIOS_CF_SEC_20230117.xlsx]CF PDP'!</v>
      </c>
      <c r="G1287" s="6" t="s">
        <v>103</v>
      </c>
      <c r="H1287" s="1">
        <f t="shared" si="293"/>
        <v>67</v>
      </c>
      <c r="I1287" s="1" t="str">
        <f t="shared" si="294"/>
        <v>='C:\Users\jaime.benazar\Quorum Business Solutions\Ecopetrol Prometeo - Documents\Planning Space Implementation\3. Analysis &amp; Design\Design\FC22\DRR Jaime\Neiva CPI\[VAO_DINA TERCIARIOS_CF_SEC_20230117.xlsx]CF PDP'!$BX$67</v>
      </c>
      <c r="J1287" s="1" t="s">
        <v>718</v>
      </c>
    </row>
    <row r="1288" spans="1:10" x14ac:dyDescent="0.3">
      <c r="A1288" s="6" t="s">
        <v>14</v>
      </c>
      <c r="B1288" s="6">
        <f t="shared" si="295"/>
        <v>2055</v>
      </c>
      <c r="C1288" s="1" t="s">
        <v>40</v>
      </c>
      <c r="D1288" s="2" t="s">
        <v>131</v>
      </c>
      <c r="E1288" s="9" t="str">
        <f t="shared" si="291"/>
        <v>PDP'!</v>
      </c>
      <c r="F1288" s="5" t="str">
        <f t="shared" si="292"/>
        <v>C:\Users\jaime.benazar\Quorum Business Solutions\Ecopetrol Prometeo - Documents\Planning Space Implementation\3. Analysis &amp; Design\Design\FC22\DRR Jaime\Neiva CPI\[VAO_DINA TERCIARIOS_CF_SEC_20230117.xlsx]CF PDP'!</v>
      </c>
      <c r="G1288" s="6" t="s">
        <v>103</v>
      </c>
      <c r="H1288" s="1">
        <f t="shared" si="293"/>
        <v>68</v>
      </c>
      <c r="I1288" s="1" t="str">
        <f t="shared" si="294"/>
        <v>='C:\Users\jaime.benazar\Quorum Business Solutions\Ecopetrol Prometeo - Documents\Planning Space Implementation\3. Analysis &amp; Design\Design\FC22\DRR Jaime\Neiva CPI\[VAO_DINA TERCIARIOS_CF_SEC_20230117.xlsx]CF PDP'!$BX$68</v>
      </c>
      <c r="J1288" s="1" t="s">
        <v>719</v>
      </c>
    </row>
    <row r="1289" spans="1:10" x14ac:dyDescent="0.3">
      <c r="A1289" s="6" t="s">
        <v>14</v>
      </c>
      <c r="B1289" s="6">
        <f t="shared" si="295"/>
        <v>2056</v>
      </c>
      <c r="C1289" s="1" t="s">
        <v>40</v>
      </c>
      <c r="D1289" s="2" t="s">
        <v>131</v>
      </c>
      <c r="E1289" s="9" t="str">
        <f t="shared" si="291"/>
        <v>PDP'!</v>
      </c>
      <c r="F1289" s="5" t="str">
        <f t="shared" si="292"/>
        <v>C:\Users\jaime.benazar\Quorum Business Solutions\Ecopetrol Prometeo - Documents\Planning Space Implementation\3. Analysis &amp; Design\Design\FC22\DRR Jaime\Neiva CPI\[VAO_DINA TERCIARIOS_CF_SEC_20230117.xlsx]CF PDP'!</v>
      </c>
      <c r="G1289" s="6" t="s">
        <v>103</v>
      </c>
      <c r="H1289" s="1">
        <f t="shared" si="293"/>
        <v>69</v>
      </c>
      <c r="I1289" s="1" t="str">
        <f t="shared" si="294"/>
        <v>='C:\Users\jaime.benazar\Quorum Business Solutions\Ecopetrol Prometeo - Documents\Planning Space Implementation\3. Analysis &amp; Design\Design\FC22\DRR Jaime\Neiva CPI\[VAO_DINA TERCIARIOS_CF_SEC_20230117.xlsx]CF PDP'!$BX$69</v>
      </c>
      <c r="J1289" s="1" t="s">
        <v>720</v>
      </c>
    </row>
    <row r="1290" spans="1:10" x14ac:dyDescent="0.3">
      <c r="A1290" s="6" t="s">
        <v>14</v>
      </c>
      <c r="B1290" s="6">
        <f t="shared" si="295"/>
        <v>2057</v>
      </c>
      <c r="C1290" s="1" t="s">
        <v>40</v>
      </c>
      <c r="D1290" s="2" t="s">
        <v>131</v>
      </c>
      <c r="E1290" s="9" t="str">
        <f t="shared" si="291"/>
        <v>PDP'!</v>
      </c>
      <c r="F1290" s="5" t="str">
        <f t="shared" si="292"/>
        <v>C:\Users\jaime.benazar\Quorum Business Solutions\Ecopetrol Prometeo - Documents\Planning Space Implementation\3. Analysis &amp; Design\Design\FC22\DRR Jaime\Neiva CPI\[VAO_DINA TERCIARIOS_CF_SEC_20230117.xlsx]CF PDP'!</v>
      </c>
      <c r="G1290" s="6" t="s">
        <v>103</v>
      </c>
      <c r="H1290" s="1">
        <f t="shared" si="293"/>
        <v>70</v>
      </c>
      <c r="I1290" s="1" t="str">
        <f t="shared" si="294"/>
        <v>='C:\Users\jaime.benazar\Quorum Business Solutions\Ecopetrol Prometeo - Documents\Planning Space Implementation\3. Analysis &amp; Design\Design\FC22\DRR Jaime\Neiva CPI\[VAO_DINA TERCIARIOS_CF_SEC_20230117.xlsx]CF PDP'!$BX$70</v>
      </c>
      <c r="J1290" s="1" t="s">
        <v>721</v>
      </c>
    </row>
    <row r="1291" spans="1:10" x14ac:dyDescent="0.3">
      <c r="A1291" s="6" t="s">
        <v>14</v>
      </c>
      <c r="B1291" s="6">
        <f t="shared" si="295"/>
        <v>2058</v>
      </c>
      <c r="C1291" s="1" t="s">
        <v>40</v>
      </c>
      <c r="D1291" s="2" t="s">
        <v>131</v>
      </c>
      <c r="E1291" s="9" t="str">
        <f t="shared" si="291"/>
        <v>PDP'!</v>
      </c>
      <c r="F1291" s="5" t="str">
        <f t="shared" si="292"/>
        <v>C:\Users\jaime.benazar\Quorum Business Solutions\Ecopetrol Prometeo - Documents\Planning Space Implementation\3. Analysis &amp; Design\Design\FC22\DRR Jaime\Neiva CPI\[VAO_DINA TERCIARIOS_CF_SEC_20230117.xlsx]CF PDP'!</v>
      </c>
      <c r="G1291" s="6" t="s">
        <v>103</v>
      </c>
      <c r="H1291" s="1">
        <f t="shared" si="293"/>
        <v>71</v>
      </c>
      <c r="I1291" s="1" t="str">
        <f t="shared" si="294"/>
        <v>='C:\Users\jaime.benazar\Quorum Business Solutions\Ecopetrol Prometeo - Documents\Planning Space Implementation\3. Analysis &amp; Design\Design\FC22\DRR Jaime\Neiva CPI\[VAO_DINA TERCIARIOS_CF_SEC_20230117.xlsx]CF PDP'!$BX$71</v>
      </c>
      <c r="J1291" s="1" t="s">
        <v>722</v>
      </c>
    </row>
    <row r="1292" spans="1:10" x14ac:dyDescent="0.3">
      <c r="A1292" s="6" t="s">
        <v>14</v>
      </c>
      <c r="B1292" s="6">
        <f t="shared" si="295"/>
        <v>2059</v>
      </c>
      <c r="C1292" s="1" t="s">
        <v>40</v>
      </c>
      <c r="D1292" s="2" t="s">
        <v>131</v>
      </c>
      <c r="E1292" s="9" t="str">
        <f t="shared" si="291"/>
        <v>PDP'!</v>
      </c>
      <c r="F1292" s="5" t="str">
        <f t="shared" si="292"/>
        <v>C:\Users\jaime.benazar\Quorum Business Solutions\Ecopetrol Prometeo - Documents\Planning Space Implementation\3. Analysis &amp; Design\Design\FC22\DRR Jaime\Neiva CPI\[VAO_DINA TERCIARIOS_CF_SEC_20230117.xlsx]CF PDP'!</v>
      </c>
      <c r="G1292" s="6" t="s">
        <v>103</v>
      </c>
      <c r="H1292" s="1">
        <f t="shared" si="293"/>
        <v>72</v>
      </c>
      <c r="I1292" s="1" t="str">
        <f t="shared" si="294"/>
        <v>='C:\Users\jaime.benazar\Quorum Business Solutions\Ecopetrol Prometeo - Documents\Planning Space Implementation\3. Analysis &amp; Design\Design\FC22\DRR Jaime\Neiva CPI\[VAO_DINA TERCIARIOS_CF_SEC_20230117.xlsx]CF PDP'!$BX$72</v>
      </c>
      <c r="J1292" s="1" t="s">
        <v>723</v>
      </c>
    </row>
    <row r="1293" spans="1:10" x14ac:dyDescent="0.3">
      <c r="A1293" s="6" t="s">
        <v>26</v>
      </c>
      <c r="B1293" s="6"/>
      <c r="C1293" s="1" t="s">
        <v>40</v>
      </c>
      <c r="D1293" s="2"/>
      <c r="E1293" s="9"/>
      <c r="F1293" s="5" t="str">
        <f t="shared" si="276"/>
        <v xml:space="preserve"> </v>
      </c>
      <c r="G1293" s="6"/>
      <c r="H1293" s="1"/>
      <c r="I1293" s="1"/>
      <c r="J1293" s="4"/>
    </row>
    <row r="1294" spans="1:10" x14ac:dyDescent="0.3">
      <c r="A1294" s="6" t="s">
        <v>15</v>
      </c>
      <c r="B1294" s="6">
        <v>2023</v>
      </c>
      <c r="C1294" s="1" t="s">
        <v>40</v>
      </c>
      <c r="D1294" s="2" t="s">
        <v>131</v>
      </c>
      <c r="E1294" s="9" t="str">
        <f t="shared" si="285"/>
        <v>PNP'!</v>
      </c>
      <c r="F1294" s="5" t="str">
        <f t="shared" si="276"/>
        <v>C:\Users\jaime.benazar\Quorum Business Solutions\Ecopetrol Prometeo - Documents\Planning Space Implementation\3. Analysis &amp; Design\Design\FC22\DRR Jaime\Neiva CPI\[VAO_DINA TERCIARIOS_CF_SEC_20230117.xlsx]CF PNP'!</v>
      </c>
      <c r="G1294" s="6" t="s">
        <v>103</v>
      </c>
      <c r="H1294" s="1">
        <f>IF(A1294&lt;&gt;A1278,36,H1278+1)</f>
        <v>36</v>
      </c>
      <c r="I1294" s="1" t="str">
        <f t="shared" si="286"/>
        <v>='C:\Users\jaime.benazar\Quorum Business Solutions\Ecopetrol Prometeo - Documents\Planning Space Implementation\3. Analysis &amp; Design\Design\FC22\DRR Jaime\Neiva CPI\[VAO_DINA TERCIARIOS_CF_SEC_20230117.xlsx]CF PNP'!$BX$36</v>
      </c>
      <c r="J1294" s="1" t="s">
        <v>724</v>
      </c>
    </row>
    <row r="1295" spans="1:10" x14ac:dyDescent="0.3">
      <c r="A1295" s="6" t="s">
        <v>15</v>
      </c>
      <c r="B1295" s="6">
        <f>+B1294+1</f>
        <v>2024</v>
      </c>
      <c r="C1295" s="1" t="s">
        <v>40</v>
      </c>
      <c r="D1295" s="2" t="s">
        <v>131</v>
      </c>
      <c r="E1295" s="9" t="str">
        <f t="shared" si="285"/>
        <v>PNP'!</v>
      </c>
      <c r="F1295" s="5" t="str">
        <f t="shared" si="276"/>
        <v>C:\Users\jaime.benazar\Quorum Business Solutions\Ecopetrol Prometeo - Documents\Planning Space Implementation\3. Analysis &amp; Design\Design\FC22\DRR Jaime\Neiva CPI\[VAO_DINA TERCIARIOS_CF_SEC_20230117.xlsx]CF PNP'!</v>
      </c>
      <c r="G1295" s="6" t="s">
        <v>103</v>
      </c>
      <c r="H1295" s="1">
        <f t="shared" si="288"/>
        <v>37</v>
      </c>
      <c r="I1295" s="1" t="str">
        <f t="shared" si="286"/>
        <v>='C:\Users\jaime.benazar\Quorum Business Solutions\Ecopetrol Prometeo - Documents\Planning Space Implementation\3. Analysis &amp; Design\Design\FC22\DRR Jaime\Neiva CPI\[VAO_DINA TERCIARIOS_CF_SEC_20230117.xlsx]CF PNP'!$BX$37</v>
      </c>
      <c r="J1295" s="1" t="s">
        <v>725</v>
      </c>
    </row>
    <row r="1296" spans="1:10" x14ac:dyDescent="0.3">
      <c r="A1296" s="6" t="s">
        <v>15</v>
      </c>
      <c r="B1296" s="6">
        <f t="shared" ref="B1296:B1307" si="296">+B1295+1</f>
        <v>2025</v>
      </c>
      <c r="C1296" s="1" t="s">
        <v>40</v>
      </c>
      <c r="D1296" s="2" t="s">
        <v>131</v>
      </c>
      <c r="E1296" s="9" t="str">
        <f t="shared" si="285"/>
        <v>PNP'!</v>
      </c>
      <c r="F1296" s="5" t="str">
        <f t="shared" si="276"/>
        <v>C:\Users\jaime.benazar\Quorum Business Solutions\Ecopetrol Prometeo - Documents\Planning Space Implementation\3. Analysis &amp; Design\Design\FC22\DRR Jaime\Neiva CPI\[VAO_DINA TERCIARIOS_CF_SEC_20230117.xlsx]CF PNP'!</v>
      </c>
      <c r="G1296" s="6" t="s">
        <v>103</v>
      </c>
      <c r="H1296" s="1">
        <f t="shared" si="288"/>
        <v>38</v>
      </c>
      <c r="I1296" s="1" t="str">
        <f t="shared" si="286"/>
        <v>='C:\Users\jaime.benazar\Quorum Business Solutions\Ecopetrol Prometeo - Documents\Planning Space Implementation\3. Analysis &amp; Design\Design\FC22\DRR Jaime\Neiva CPI\[VAO_DINA TERCIARIOS_CF_SEC_20230117.xlsx]CF PNP'!$BX$38</v>
      </c>
      <c r="J1296" s="1" t="s">
        <v>726</v>
      </c>
    </row>
    <row r="1297" spans="1:10" x14ac:dyDescent="0.3">
      <c r="A1297" s="6" t="s">
        <v>15</v>
      </c>
      <c r="B1297" s="6">
        <f t="shared" si="296"/>
        <v>2026</v>
      </c>
      <c r="C1297" s="1" t="s">
        <v>40</v>
      </c>
      <c r="D1297" s="2" t="s">
        <v>131</v>
      </c>
      <c r="E1297" s="9" t="str">
        <f t="shared" si="285"/>
        <v>PNP'!</v>
      </c>
      <c r="F1297" s="5" t="str">
        <f t="shared" si="276"/>
        <v>C:\Users\jaime.benazar\Quorum Business Solutions\Ecopetrol Prometeo - Documents\Planning Space Implementation\3. Analysis &amp; Design\Design\FC22\DRR Jaime\Neiva CPI\[VAO_DINA TERCIARIOS_CF_SEC_20230117.xlsx]CF PNP'!</v>
      </c>
      <c r="G1297" s="6" t="s">
        <v>103</v>
      </c>
      <c r="H1297" s="1">
        <f t="shared" si="288"/>
        <v>39</v>
      </c>
      <c r="I1297" s="1" t="str">
        <f t="shared" si="286"/>
        <v>='C:\Users\jaime.benazar\Quorum Business Solutions\Ecopetrol Prometeo - Documents\Planning Space Implementation\3. Analysis &amp; Design\Design\FC22\DRR Jaime\Neiva CPI\[VAO_DINA TERCIARIOS_CF_SEC_20230117.xlsx]CF PNP'!$BX$39</v>
      </c>
      <c r="J1297" s="1" t="s">
        <v>727</v>
      </c>
    </row>
    <row r="1298" spans="1:10" x14ac:dyDescent="0.3">
      <c r="A1298" s="6" t="s">
        <v>15</v>
      </c>
      <c r="B1298" s="6">
        <f t="shared" si="296"/>
        <v>2027</v>
      </c>
      <c r="C1298" s="1" t="s">
        <v>40</v>
      </c>
      <c r="D1298" s="2" t="s">
        <v>131</v>
      </c>
      <c r="E1298" s="9" t="str">
        <f t="shared" si="285"/>
        <v>PNP'!</v>
      </c>
      <c r="F1298" s="5" t="str">
        <f t="shared" si="276"/>
        <v>C:\Users\jaime.benazar\Quorum Business Solutions\Ecopetrol Prometeo - Documents\Planning Space Implementation\3. Analysis &amp; Design\Design\FC22\DRR Jaime\Neiva CPI\[VAO_DINA TERCIARIOS_CF_SEC_20230117.xlsx]CF PNP'!</v>
      </c>
      <c r="G1298" s="6" t="s">
        <v>103</v>
      </c>
      <c r="H1298" s="1">
        <f t="shared" si="288"/>
        <v>40</v>
      </c>
      <c r="I1298" s="1" t="str">
        <f t="shared" si="286"/>
        <v>='C:\Users\jaime.benazar\Quorum Business Solutions\Ecopetrol Prometeo - Documents\Planning Space Implementation\3. Analysis &amp; Design\Design\FC22\DRR Jaime\Neiva CPI\[VAO_DINA TERCIARIOS_CF_SEC_20230117.xlsx]CF PNP'!$BX$40</v>
      </c>
      <c r="J1298" s="1" t="s">
        <v>728</v>
      </c>
    </row>
    <row r="1299" spans="1:10" x14ac:dyDescent="0.3">
      <c r="A1299" s="6" t="s">
        <v>15</v>
      </c>
      <c r="B1299" s="6">
        <f t="shared" si="296"/>
        <v>2028</v>
      </c>
      <c r="C1299" s="1" t="s">
        <v>40</v>
      </c>
      <c r="D1299" s="2" t="s">
        <v>131</v>
      </c>
      <c r="E1299" s="9" t="str">
        <f t="shared" si="285"/>
        <v>PNP'!</v>
      </c>
      <c r="F1299" s="5" t="str">
        <f t="shared" si="276"/>
        <v>C:\Users\jaime.benazar\Quorum Business Solutions\Ecopetrol Prometeo - Documents\Planning Space Implementation\3. Analysis &amp; Design\Design\FC22\DRR Jaime\Neiva CPI\[VAO_DINA TERCIARIOS_CF_SEC_20230117.xlsx]CF PNP'!</v>
      </c>
      <c r="G1299" s="6" t="s">
        <v>103</v>
      </c>
      <c r="H1299" s="1">
        <f t="shared" si="288"/>
        <v>41</v>
      </c>
      <c r="I1299" s="1" t="str">
        <f t="shared" si="286"/>
        <v>='C:\Users\jaime.benazar\Quorum Business Solutions\Ecopetrol Prometeo - Documents\Planning Space Implementation\3. Analysis &amp; Design\Design\FC22\DRR Jaime\Neiva CPI\[VAO_DINA TERCIARIOS_CF_SEC_20230117.xlsx]CF PNP'!$BX$41</v>
      </c>
      <c r="J1299" s="1" t="s">
        <v>729</v>
      </c>
    </row>
    <row r="1300" spans="1:10" x14ac:dyDescent="0.3">
      <c r="A1300" s="6" t="s">
        <v>15</v>
      </c>
      <c r="B1300" s="6">
        <f t="shared" si="296"/>
        <v>2029</v>
      </c>
      <c r="C1300" s="1" t="s">
        <v>40</v>
      </c>
      <c r="D1300" s="2" t="s">
        <v>131</v>
      </c>
      <c r="E1300" s="9" t="str">
        <f t="shared" si="285"/>
        <v>PNP'!</v>
      </c>
      <c r="F1300" s="5" t="str">
        <f t="shared" si="276"/>
        <v>C:\Users\jaime.benazar\Quorum Business Solutions\Ecopetrol Prometeo - Documents\Planning Space Implementation\3. Analysis &amp; Design\Design\FC22\DRR Jaime\Neiva CPI\[VAO_DINA TERCIARIOS_CF_SEC_20230117.xlsx]CF PNP'!</v>
      </c>
      <c r="G1300" s="6" t="s">
        <v>103</v>
      </c>
      <c r="H1300" s="1">
        <f t="shared" si="288"/>
        <v>42</v>
      </c>
      <c r="I1300" s="1" t="str">
        <f t="shared" si="286"/>
        <v>='C:\Users\jaime.benazar\Quorum Business Solutions\Ecopetrol Prometeo - Documents\Planning Space Implementation\3. Analysis &amp; Design\Design\FC22\DRR Jaime\Neiva CPI\[VAO_DINA TERCIARIOS_CF_SEC_20230117.xlsx]CF PNP'!$BX$42</v>
      </c>
      <c r="J1300" s="1" t="s">
        <v>730</v>
      </c>
    </row>
    <row r="1301" spans="1:10" x14ac:dyDescent="0.3">
      <c r="A1301" s="6" t="s">
        <v>15</v>
      </c>
      <c r="B1301" s="6">
        <f t="shared" si="296"/>
        <v>2030</v>
      </c>
      <c r="C1301" s="1" t="s">
        <v>40</v>
      </c>
      <c r="D1301" s="2" t="s">
        <v>131</v>
      </c>
      <c r="E1301" s="9" t="str">
        <f t="shared" si="285"/>
        <v>PNP'!</v>
      </c>
      <c r="F1301" s="5" t="str">
        <f t="shared" si="276"/>
        <v>C:\Users\jaime.benazar\Quorum Business Solutions\Ecopetrol Prometeo - Documents\Planning Space Implementation\3. Analysis &amp; Design\Design\FC22\DRR Jaime\Neiva CPI\[VAO_DINA TERCIARIOS_CF_SEC_20230117.xlsx]CF PNP'!</v>
      </c>
      <c r="G1301" s="6" t="s">
        <v>103</v>
      </c>
      <c r="H1301" s="1">
        <f t="shared" si="288"/>
        <v>43</v>
      </c>
      <c r="I1301" s="1" t="str">
        <f t="shared" si="286"/>
        <v>='C:\Users\jaime.benazar\Quorum Business Solutions\Ecopetrol Prometeo - Documents\Planning Space Implementation\3. Analysis &amp; Design\Design\FC22\DRR Jaime\Neiva CPI\[VAO_DINA TERCIARIOS_CF_SEC_20230117.xlsx]CF PNP'!$BX$43</v>
      </c>
      <c r="J1301" s="1" t="s">
        <v>731</v>
      </c>
    </row>
    <row r="1302" spans="1:10" x14ac:dyDescent="0.3">
      <c r="A1302" s="6" t="s">
        <v>15</v>
      </c>
      <c r="B1302" s="6">
        <f t="shared" si="296"/>
        <v>2031</v>
      </c>
      <c r="C1302" s="1" t="s">
        <v>40</v>
      </c>
      <c r="D1302" s="2" t="s">
        <v>131</v>
      </c>
      <c r="E1302" s="9" t="str">
        <f t="shared" si="285"/>
        <v>PNP'!</v>
      </c>
      <c r="F1302" s="5" t="str">
        <f t="shared" si="276"/>
        <v>C:\Users\jaime.benazar\Quorum Business Solutions\Ecopetrol Prometeo - Documents\Planning Space Implementation\3. Analysis &amp; Design\Design\FC22\DRR Jaime\Neiva CPI\[VAO_DINA TERCIARIOS_CF_SEC_20230117.xlsx]CF PNP'!</v>
      </c>
      <c r="G1302" s="6" t="s">
        <v>103</v>
      </c>
      <c r="H1302" s="1">
        <f t="shared" si="288"/>
        <v>44</v>
      </c>
      <c r="I1302" s="1" t="str">
        <f t="shared" si="286"/>
        <v>='C:\Users\jaime.benazar\Quorum Business Solutions\Ecopetrol Prometeo - Documents\Planning Space Implementation\3. Analysis &amp; Design\Design\FC22\DRR Jaime\Neiva CPI\[VAO_DINA TERCIARIOS_CF_SEC_20230117.xlsx]CF PNP'!$BX$44</v>
      </c>
      <c r="J1302" s="1" t="s">
        <v>732</v>
      </c>
    </row>
    <row r="1303" spans="1:10" x14ac:dyDescent="0.3">
      <c r="A1303" s="6" t="s">
        <v>15</v>
      </c>
      <c r="B1303" s="6">
        <f t="shared" si="296"/>
        <v>2032</v>
      </c>
      <c r="C1303" s="1" t="s">
        <v>40</v>
      </c>
      <c r="D1303" s="2" t="s">
        <v>131</v>
      </c>
      <c r="E1303" s="9" t="str">
        <f t="shared" si="285"/>
        <v>PNP'!</v>
      </c>
      <c r="F1303" s="5" t="str">
        <f t="shared" si="276"/>
        <v>C:\Users\jaime.benazar\Quorum Business Solutions\Ecopetrol Prometeo - Documents\Planning Space Implementation\3. Analysis &amp; Design\Design\FC22\DRR Jaime\Neiva CPI\[VAO_DINA TERCIARIOS_CF_SEC_20230117.xlsx]CF PNP'!</v>
      </c>
      <c r="G1303" s="6" t="s">
        <v>103</v>
      </c>
      <c r="H1303" s="1">
        <f t="shared" si="288"/>
        <v>45</v>
      </c>
      <c r="I1303" s="1" t="str">
        <f t="shared" si="286"/>
        <v>='C:\Users\jaime.benazar\Quorum Business Solutions\Ecopetrol Prometeo - Documents\Planning Space Implementation\3. Analysis &amp; Design\Design\FC22\DRR Jaime\Neiva CPI\[VAO_DINA TERCIARIOS_CF_SEC_20230117.xlsx]CF PNP'!$BX$45</v>
      </c>
      <c r="J1303" s="1" t="s">
        <v>733</v>
      </c>
    </row>
    <row r="1304" spans="1:10" x14ac:dyDescent="0.3">
      <c r="A1304" s="6" t="s">
        <v>15</v>
      </c>
      <c r="B1304" s="6">
        <f t="shared" si="296"/>
        <v>2033</v>
      </c>
      <c r="C1304" s="1" t="s">
        <v>40</v>
      </c>
      <c r="D1304" s="2" t="s">
        <v>131</v>
      </c>
      <c r="E1304" s="9" t="str">
        <f t="shared" si="285"/>
        <v>PNP'!</v>
      </c>
      <c r="F1304" s="5" t="str">
        <f t="shared" si="276"/>
        <v>C:\Users\jaime.benazar\Quorum Business Solutions\Ecopetrol Prometeo - Documents\Planning Space Implementation\3. Analysis &amp; Design\Design\FC22\DRR Jaime\Neiva CPI\[VAO_DINA TERCIARIOS_CF_SEC_20230117.xlsx]CF PNP'!</v>
      </c>
      <c r="G1304" s="6" t="s">
        <v>103</v>
      </c>
      <c r="H1304" s="1">
        <f t="shared" si="288"/>
        <v>46</v>
      </c>
      <c r="I1304" s="1" t="str">
        <f t="shared" si="286"/>
        <v>='C:\Users\jaime.benazar\Quorum Business Solutions\Ecopetrol Prometeo - Documents\Planning Space Implementation\3. Analysis &amp; Design\Design\FC22\DRR Jaime\Neiva CPI\[VAO_DINA TERCIARIOS_CF_SEC_20230117.xlsx]CF PNP'!$BX$46</v>
      </c>
      <c r="J1304" s="1" t="s">
        <v>734</v>
      </c>
    </row>
    <row r="1305" spans="1:10" x14ac:dyDescent="0.3">
      <c r="A1305" s="6" t="s">
        <v>15</v>
      </c>
      <c r="B1305" s="6">
        <f t="shared" si="296"/>
        <v>2034</v>
      </c>
      <c r="C1305" s="1" t="s">
        <v>40</v>
      </c>
      <c r="D1305" s="2" t="s">
        <v>131</v>
      </c>
      <c r="E1305" s="9" t="str">
        <f t="shared" si="285"/>
        <v>PNP'!</v>
      </c>
      <c r="F1305" s="5" t="str">
        <f t="shared" si="276"/>
        <v>C:\Users\jaime.benazar\Quorum Business Solutions\Ecopetrol Prometeo - Documents\Planning Space Implementation\3. Analysis &amp; Design\Design\FC22\DRR Jaime\Neiva CPI\[VAO_DINA TERCIARIOS_CF_SEC_20230117.xlsx]CF PNP'!</v>
      </c>
      <c r="G1305" s="6" t="s">
        <v>103</v>
      </c>
      <c r="H1305" s="1">
        <f t="shared" si="288"/>
        <v>47</v>
      </c>
      <c r="I1305" s="1" t="str">
        <f t="shared" si="286"/>
        <v>='C:\Users\jaime.benazar\Quorum Business Solutions\Ecopetrol Prometeo - Documents\Planning Space Implementation\3. Analysis &amp; Design\Design\FC22\DRR Jaime\Neiva CPI\[VAO_DINA TERCIARIOS_CF_SEC_20230117.xlsx]CF PNP'!$BX$47</v>
      </c>
      <c r="J1305" s="1" t="s">
        <v>735</v>
      </c>
    </row>
    <row r="1306" spans="1:10" x14ac:dyDescent="0.3">
      <c r="A1306" s="6" t="s">
        <v>15</v>
      </c>
      <c r="B1306" s="6">
        <f t="shared" si="296"/>
        <v>2035</v>
      </c>
      <c r="C1306" s="1" t="s">
        <v>40</v>
      </c>
      <c r="D1306" s="2" t="s">
        <v>131</v>
      </c>
      <c r="E1306" s="9" t="str">
        <f t="shared" si="285"/>
        <v>PNP'!</v>
      </c>
      <c r="F1306" s="5" t="str">
        <f t="shared" si="276"/>
        <v>C:\Users\jaime.benazar\Quorum Business Solutions\Ecopetrol Prometeo - Documents\Planning Space Implementation\3. Analysis &amp; Design\Design\FC22\DRR Jaime\Neiva CPI\[VAO_DINA TERCIARIOS_CF_SEC_20230117.xlsx]CF PNP'!</v>
      </c>
      <c r="G1306" s="6" t="s">
        <v>103</v>
      </c>
      <c r="H1306" s="1">
        <f t="shared" si="288"/>
        <v>48</v>
      </c>
      <c r="I1306" s="1" t="str">
        <f t="shared" si="286"/>
        <v>='C:\Users\jaime.benazar\Quorum Business Solutions\Ecopetrol Prometeo - Documents\Planning Space Implementation\3. Analysis &amp; Design\Design\FC22\DRR Jaime\Neiva CPI\[VAO_DINA TERCIARIOS_CF_SEC_20230117.xlsx]CF PNP'!$BX$48</v>
      </c>
      <c r="J1306" s="1" t="s">
        <v>736</v>
      </c>
    </row>
    <row r="1307" spans="1:10" x14ac:dyDescent="0.3">
      <c r="A1307" s="6" t="s">
        <v>15</v>
      </c>
      <c r="B1307" s="6">
        <f t="shared" si="296"/>
        <v>2036</v>
      </c>
      <c r="C1307" s="1" t="s">
        <v>40</v>
      </c>
      <c r="D1307" s="2" t="s">
        <v>131</v>
      </c>
      <c r="E1307" s="9" t="str">
        <f t="shared" si="285"/>
        <v>PNP'!</v>
      </c>
      <c r="F1307" s="5" t="str">
        <f t="shared" si="276"/>
        <v>C:\Users\jaime.benazar\Quorum Business Solutions\Ecopetrol Prometeo - Documents\Planning Space Implementation\3. Analysis &amp; Design\Design\FC22\DRR Jaime\Neiva CPI\[VAO_DINA TERCIARIOS_CF_SEC_20230117.xlsx]CF PNP'!</v>
      </c>
      <c r="G1307" s="6" t="s">
        <v>103</v>
      </c>
      <c r="H1307" s="1">
        <f t="shared" si="288"/>
        <v>49</v>
      </c>
      <c r="I1307" s="1" t="str">
        <f t="shared" si="286"/>
        <v>='C:\Users\jaime.benazar\Quorum Business Solutions\Ecopetrol Prometeo - Documents\Planning Space Implementation\3. Analysis &amp; Design\Design\FC22\DRR Jaime\Neiva CPI\[VAO_DINA TERCIARIOS_CF_SEC_20230117.xlsx]CF PNP'!$BX$49</v>
      </c>
      <c r="J1307" s="1" t="s">
        <v>737</v>
      </c>
    </row>
    <row r="1308" spans="1:10" x14ac:dyDescent="0.3">
      <c r="A1308" s="6" t="s">
        <v>15</v>
      </c>
      <c r="B1308" s="6">
        <f>+B1307+1</f>
        <v>2037</v>
      </c>
      <c r="C1308" s="1" t="s">
        <v>40</v>
      </c>
      <c r="D1308" s="2" t="s">
        <v>131</v>
      </c>
      <c r="E1308" s="9" t="str">
        <f t="shared" si="285"/>
        <v>PNP'!</v>
      </c>
      <c r="F1308" s="5" t="str">
        <f t="shared" si="276"/>
        <v>C:\Users\jaime.benazar\Quorum Business Solutions\Ecopetrol Prometeo - Documents\Planning Space Implementation\3. Analysis &amp; Design\Design\FC22\DRR Jaime\Neiva CPI\[VAO_DINA TERCIARIOS_CF_SEC_20230117.xlsx]CF PNP'!</v>
      </c>
      <c r="G1308" s="6" t="s">
        <v>103</v>
      </c>
      <c r="H1308" s="1">
        <f t="shared" si="288"/>
        <v>50</v>
      </c>
      <c r="I1308" s="1" t="str">
        <f t="shared" si="286"/>
        <v>='C:\Users\jaime.benazar\Quorum Business Solutions\Ecopetrol Prometeo - Documents\Planning Space Implementation\3. Analysis &amp; Design\Design\FC22\DRR Jaime\Neiva CPI\[VAO_DINA TERCIARIOS_CF_SEC_20230117.xlsx]CF PNP'!$BX$50</v>
      </c>
      <c r="J1308" s="1" t="s">
        <v>738</v>
      </c>
    </row>
    <row r="1309" spans="1:10" x14ac:dyDescent="0.3">
      <c r="A1309" s="6" t="s">
        <v>15</v>
      </c>
      <c r="B1309" s="6">
        <f t="shared" ref="B1309:B1311" si="297">+B1308+1</f>
        <v>2038</v>
      </c>
      <c r="C1309" s="1" t="s">
        <v>40</v>
      </c>
      <c r="D1309" s="2" t="s">
        <v>131</v>
      </c>
      <c r="E1309" s="9" t="str">
        <f t="shared" si="285"/>
        <v>PNP'!</v>
      </c>
      <c r="F1309" s="5" t="str">
        <f t="shared" si="276"/>
        <v>C:\Users\jaime.benazar\Quorum Business Solutions\Ecopetrol Prometeo - Documents\Planning Space Implementation\3. Analysis &amp; Design\Design\FC22\DRR Jaime\Neiva CPI\[VAO_DINA TERCIARIOS_CF_SEC_20230117.xlsx]CF PNP'!</v>
      </c>
      <c r="G1309" s="6" t="s">
        <v>103</v>
      </c>
      <c r="H1309" s="1">
        <f t="shared" si="288"/>
        <v>51</v>
      </c>
      <c r="I1309" s="1" t="str">
        <f t="shared" si="286"/>
        <v>='C:\Users\jaime.benazar\Quorum Business Solutions\Ecopetrol Prometeo - Documents\Planning Space Implementation\3. Analysis &amp; Design\Design\FC22\DRR Jaime\Neiva CPI\[VAO_DINA TERCIARIOS_CF_SEC_20230117.xlsx]CF PNP'!$BX$51</v>
      </c>
      <c r="J1309" s="1" t="s">
        <v>739</v>
      </c>
    </row>
    <row r="1310" spans="1:10" x14ac:dyDescent="0.3">
      <c r="A1310" s="6" t="s">
        <v>15</v>
      </c>
      <c r="B1310" s="6">
        <f t="shared" si="297"/>
        <v>2039</v>
      </c>
      <c r="C1310" s="1" t="s">
        <v>40</v>
      </c>
      <c r="D1310" s="2" t="s">
        <v>131</v>
      </c>
      <c r="E1310" s="9" t="str">
        <f t="shared" si="285"/>
        <v>PNP'!</v>
      </c>
      <c r="F1310" s="5" t="str">
        <f t="shared" si="276"/>
        <v>C:\Users\jaime.benazar\Quorum Business Solutions\Ecopetrol Prometeo - Documents\Planning Space Implementation\3. Analysis &amp; Design\Design\FC22\DRR Jaime\Neiva CPI\[VAO_DINA TERCIARIOS_CF_SEC_20230117.xlsx]CF PNP'!</v>
      </c>
      <c r="G1310" s="6" t="s">
        <v>103</v>
      </c>
      <c r="H1310" s="1">
        <f t="shared" si="288"/>
        <v>52</v>
      </c>
      <c r="I1310" s="1" t="str">
        <f t="shared" si="286"/>
        <v>='C:\Users\jaime.benazar\Quorum Business Solutions\Ecopetrol Prometeo - Documents\Planning Space Implementation\3. Analysis &amp; Design\Design\FC22\DRR Jaime\Neiva CPI\[VAO_DINA TERCIARIOS_CF_SEC_20230117.xlsx]CF PNP'!$BX$52</v>
      </c>
      <c r="J1310" s="1" t="s">
        <v>740</v>
      </c>
    </row>
    <row r="1311" spans="1:10" x14ac:dyDescent="0.3">
      <c r="A1311" s="6" t="s">
        <v>15</v>
      </c>
      <c r="B1311" s="6">
        <f t="shared" si="297"/>
        <v>2040</v>
      </c>
      <c r="C1311" s="1" t="s">
        <v>40</v>
      </c>
      <c r="D1311" s="2" t="s">
        <v>131</v>
      </c>
      <c r="E1311" s="9" t="str">
        <f t="shared" si="285"/>
        <v>PNP'!</v>
      </c>
      <c r="F1311" s="5" t="str">
        <f t="shared" ref="F1311:F1416" si="298">_xlfn.CONCAT(D1311," ",E1311)</f>
        <v>C:\Users\jaime.benazar\Quorum Business Solutions\Ecopetrol Prometeo - Documents\Planning Space Implementation\3. Analysis &amp; Design\Design\FC22\DRR Jaime\Neiva CPI\[VAO_DINA TERCIARIOS_CF_SEC_20230117.xlsx]CF PNP'!</v>
      </c>
      <c r="G1311" s="6" t="s">
        <v>103</v>
      </c>
      <c r="H1311" s="1">
        <f t="shared" si="288"/>
        <v>53</v>
      </c>
      <c r="I1311" s="1" t="str">
        <f t="shared" si="286"/>
        <v>='C:\Users\jaime.benazar\Quorum Business Solutions\Ecopetrol Prometeo - Documents\Planning Space Implementation\3. Analysis &amp; Design\Design\FC22\DRR Jaime\Neiva CPI\[VAO_DINA TERCIARIOS_CF_SEC_20230117.xlsx]CF PNP'!$BX$53</v>
      </c>
      <c r="J1311" s="1" t="s">
        <v>741</v>
      </c>
    </row>
    <row r="1312" spans="1:10" x14ac:dyDescent="0.3">
      <c r="A1312" s="6" t="s">
        <v>15</v>
      </c>
      <c r="B1312" s="6">
        <f>+B1311+1</f>
        <v>2041</v>
      </c>
      <c r="C1312" s="1" t="s">
        <v>40</v>
      </c>
      <c r="D1312" s="2" t="s">
        <v>131</v>
      </c>
      <c r="E1312" s="9" t="str">
        <f t="shared" si="285"/>
        <v>PNP'!</v>
      </c>
      <c r="F1312" s="5" t="str">
        <f t="shared" si="298"/>
        <v>C:\Users\jaime.benazar\Quorum Business Solutions\Ecopetrol Prometeo - Documents\Planning Space Implementation\3. Analysis &amp; Design\Design\FC22\DRR Jaime\Neiva CPI\[VAO_DINA TERCIARIOS_CF_SEC_20230117.xlsx]CF PNP'!</v>
      </c>
      <c r="G1312" s="6" t="s">
        <v>103</v>
      </c>
      <c r="H1312" s="1">
        <f t="shared" si="288"/>
        <v>54</v>
      </c>
      <c r="I1312" s="1" t="str">
        <f t="shared" si="286"/>
        <v>='C:\Users\jaime.benazar\Quorum Business Solutions\Ecopetrol Prometeo - Documents\Planning Space Implementation\3. Analysis &amp; Design\Design\FC22\DRR Jaime\Neiva CPI\[VAO_DINA TERCIARIOS_CF_SEC_20230117.xlsx]CF PNP'!$BX$54</v>
      </c>
      <c r="J1312" s="1" t="s">
        <v>742</v>
      </c>
    </row>
    <row r="1313" spans="1:10" x14ac:dyDescent="0.3">
      <c r="A1313" s="6" t="s">
        <v>15</v>
      </c>
      <c r="B1313" s="6">
        <f t="shared" ref="B1313:B1314" si="299">+B1312+1</f>
        <v>2042</v>
      </c>
      <c r="C1313" s="1" t="s">
        <v>40</v>
      </c>
      <c r="D1313" s="2" t="s">
        <v>131</v>
      </c>
      <c r="E1313" s="9" t="str">
        <f t="shared" si="285"/>
        <v>PNP'!</v>
      </c>
      <c r="F1313" s="5" t="str">
        <f t="shared" si="298"/>
        <v>C:\Users\jaime.benazar\Quorum Business Solutions\Ecopetrol Prometeo - Documents\Planning Space Implementation\3. Analysis &amp; Design\Design\FC22\DRR Jaime\Neiva CPI\[VAO_DINA TERCIARIOS_CF_SEC_20230117.xlsx]CF PNP'!</v>
      </c>
      <c r="G1313" s="6" t="s">
        <v>103</v>
      </c>
      <c r="H1313" s="1">
        <f t="shared" si="288"/>
        <v>55</v>
      </c>
      <c r="I1313" s="1" t="str">
        <f t="shared" si="286"/>
        <v>='C:\Users\jaime.benazar\Quorum Business Solutions\Ecopetrol Prometeo - Documents\Planning Space Implementation\3. Analysis &amp; Design\Design\FC22\DRR Jaime\Neiva CPI\[VAO_DINA TERCIARIOS_CF_SEC_20230117.xlsx]CF PNP'!$BX$55</v>
      </c>
      <c r="J1313" s="1" t="s">
        <v>743</v>
      </c>
    </row>
    <row r="1314" spans="1:10" x14ac:dyDescent="0.3">
      <c r="A1314" s="6" t="s">
        <v>15</v>
      </c>
      <c r="B1314" s="6">
        <f t="shared" si="299"/>
        <v>2043</v>
      </c>
      <c r="C1314" s="1" t="s">
        <v>40</v>
      </c>
      <c r="D1314" s="2" t="s">
        <v>131</v>
      </c>
      <c r="E1314" s="9" t="str">
        <f t="shared" si="285"/>
        <v>PNP'!</v>
      </c>
      <c r="F1314" s="5" t="str">
        <f t="shared" si="298"/>
        <v>C:\Users\jaime.benazar\Quorum Business Solutions\Ecopetrol Prometeo - Documents\Planning Space Implementation\3. Analysis &amp; Design\Design\FC22\DRR Jaime\Neiva CPI\[VAO_DINA TERCIARIOS_CF_SEC_20230117.xlsx]CF PNP'!</v>
      </c>
      <c r="G1314" s="6" t="s">
        <v>103</v>
      </c>
      <c r="H1314" s="1">
        <f t="shared" si="288"/>
        <v>56</v>
      </c>
      <c r="I1314" s="1" t="str">
        <f t="shared" si="286"/>
        <v>='C:\Users\jaime.benazar\Quorum Business Solutions\Ecopetrol Prometeo - Documents\Planning Space Implementation\3. Analysis &amp; Design\Design\FC22\DRR Jaime\Neiva CPI\[VAO_DINA TERCIARIOS_CF_SEC_20230117.xlsx]CF PNP'!$BX$56</v>
      </c>
      <c r="J1314" s="1" t="s">
        <v>744</v>
      </c>
    </row>
    <row r="1315" spans="1:10" x14ac:dyDescent="0.3">
      <c r="A1315" s="6" t="s">
        <v>15</v>
      </c>
      <c r="B1315" s="6">
        <f>+B1314+1</f>
        <v>2044</v>
      </c>
      <c r="C1315" s="1" t="s">
        <v>40</v>
      </c>
      <c r="D1315" s="2" t="s">
        <v>131</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Jaime\Neiva CPI\[VAO_DINA TERCIARIOS_CF_SEC_20230117.xlsx]CF PNP'!</v>
      </c>
      <c r="G1315" s="6" t="s">
        <v>103</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Jaime\Neiva CPI\[VAO_DINA TERCIARIOS_CF_SEC_20230117.xlsx]CF PNP'!$BX$57</v>
      </c>
      <c r="J1315" s="1" t="s">
        <v>745</v>
      </c>
    </row>
    <row r="1316" spans="1:10" x14ac:dyDescent="0.3">
      <c r="A1316" s="6" t="s">
        <v>15</v>
      </c>
      <c r="B1316" s="6">
        <f t="shared" ref="B1316:B1330" si="304">+B1315+1</f>
        <v>2045</v>
      </c>
      <c r="C1316" s="1" t="s">
        <v>40</v>
      </c>
      <c r="D1316" s="2" t="s">
        <v>131</v>
      </c>
      <c r="E1316" s="9" t="str">
        <f t="shared" si="300"/>
        <v>PNP'!</v>
      </c>
      <c r="F1316" s="5" t="str">
        <f t="shared" si="301"/>
        <v>C:\Users\jaime.benazar\Quorum Business Solutions\Ecopetrol Prometeo - Documents\Planning Space Implementation\3. Analysis &amp; Design\Design\FC22\DRR Jaime\Neiva CPI\[VAO_DINA TERCIARIOS_CF_SEC_20230117.xlsx]CF PNP'!</v>
      </c>
      <c r="G1316" s="6" t="s">
        <v>103</v>
      </c>
      <c r="H1316" s="1">
        <f t="shared" si="302"/>
        <v>58</v>
      </c>
      <c r="I1316" s="1" t="str">
        <f t="shared" si="303"/>
        <v>='C:\Users\jaime.benazar\Quorum Business Solutions\Ecopetrol Prometeo - Documents\Planning Space Implementation\3. Analysis &amp; Design\Design\FC22\DRR Jaime\Neiva CPI\[VAO_DINA TERCIARIOS_CF_SEC_20230117.xlsx]CF PNP'!$BX$58</v>
      </c>
      <c r="J1316" s="1" t="s">
        <v>746</v>
      </c>
    </row>
    <row r="1317" spans="1:10" x14ac:dyDescent="0.3">
      <c r="A1317" s="6" t="s">
        <v>15</v>
      </c>
      <c r="B1317" s="6">
        <f t="shared" si="304"/>
        <v>2046</v>
      </c>
      <c r="C1317" s="1" t="s">
        <v>40</v>
      </c>
      <c r="D1317" s="2" t="s">
        <v>131</v>
      </c>
      <c r="E1317" s="9" t="str">
        <f t="shared" si="300"/>
        <v>PNP'!</v>
      </c>
      <c r="F1317" s="5" t="str">
        <f t="shared" si="301"/>
        <v>C:\Users\jaime.benazar\Quorum Business Solutions\Ecopetrol Prometeo - Documents\Planning Space Implementation\3. Analysis &amp; Design\Design\FC22\DRR Jaime\Neiva CPI\[VAO_DINA TERCIARIOS_CF_SEC_20230117.xlsx]CF PNP'!</v>
      </c>
      <c r="G1317" s="6" t="s">
        <v>103</v>
      </c>
      <c r="H1317" s="1">
        <f t="shared" si="302"/>
        <v>59</v>
      </c>
      <c r="I1317" s="1" t="str">
        <f t="shared" si="303"/>
        <v>='C:\Users\jaime.benazar\Quorum Business Solutions\Ecopetrol Prometeo - Documents\Planning Space Implementation\3. Analysis &amp; Design\Design\FC22\DRR Jaime\Neiva CPI\[VAO_DINA TERCIARIOS_CF_SEC_20230117.xlsx]CF PNP'!$BX$59</v>
      </c>
      <c r="J1317" s="1" t="s">
        <v>747</v>
      </c>
    </row>
    <row r="1318" spans="1:10" x14ac:dyDescent="0.3">
      <c r="A1318" s="6" t="s">
        <v>15</v>
      </c>
      <c r="B1318" s="6">
        <f t="shared" si="304"/>
        <v>2047</v>
      </c>
      <c r="C1318" s="1" t="s">
        <v>40</v>
      </c>
      <c r="D1318" s="2" t="s">
        <v>131</v>
      </c>
      <c r="E1318" s="9" t="str">
        <f t="shared" si="300"/>
        <v>PNP'!</v>
      </c>
      <c r="F1318" s="5" t="str">
        <f t="shared" si="301"/>
        <v>C:\Users\jaime.benazar\Quorum Business Solutions\Ecopetrol Prometeo - Documents\Planning Space Implementation\3. Analysis &amp; Design\Design\FC22\DRR Jaime\Neiva CPI\[VAO_DINA TERCIARIOS_CF_SEC_20230117.xlsx]CF PNP'!</v>
      </c>
      <c r="G1318" s="6" t="s">
        <v>103</v>
      </c>
      <c r="H1318" s="1">
        <f t="shared" si="302"/>
        <v>60</v>
      </c>
      <c r="I1318" s="1" t="str">
        <f t="shared" si="303"/>
        <v>='C:\Users\jaime.benazar\Quorum Business Solutions\Ecopetrol Prometeo - Documents\Planning Space Implementation\3. Analysis &amp; Design\Design\FC22\DRR Jaime\Neiva CPI\[VAO_DINA TERCIARIOS_CF_SEC_20230117.xlsx]CF PNP'!$BX$60</v>
      </c>
      <c r="J1318" s="1" t="s">
        <v>748</v>
      </c>
    </row>
    <row r="1319" spans="1:10" x14ac:dyDescent="0.3">
      <c r="A1319" s="6" t="s">
        <v>15</v>
      </c>
      <c r="B1319" s="6">
        <f t="shared" si="304"/>
        <v>2048</v>
      </c>
      <c r="C1319" s="1" t="s">
        <v>40</v>
      </c>
      <c r="D1319" s="2" t="s">
        <v>131</v>
      </c>
      <c r="E1319" s="9" t="str">
        <f t="shared" si="300"/>
        <v>PNP'!</v>
      </c>
      <c r="F1319" s="5" t="str">
        <f t="shared" si="301"/>
        <v>C:\Users\jaime.benazar\Quorum Business Solutions\Ecopetrol Prometeo - Documents\Planning Space Implementation\3. Analysis &amp; Design\Design\FC22\DRR Jaime\Neiva CPI\[VAO_DINA TERCIARIOS_CF_SEC_20230117.xlsx]CF PNP'!</v>
      </c>
      <c r="G1319" s="6" t="s">
        <v>103</v>
      </c>
      <c r="H1319" s="1">
        <f t="shared" si="302"/>
        <v>61</v>
      </c>
      <c r="I1319" s="1" t="str">
        <f t="shared" si="303"/>
        <v>='C:\Users\jaime.benazar\Quorum Business Solutions\Ecopetrol Prometeo - Documents\Planning Space Implementation\3. Analysis &amp; Design\Design\FC22\DRR Jaime\Neiva CPI\[VAO_DINA TERCIARIOS_CF_SEC_20230117.xlsx]CF PNP'!$BX$61</v>
      </c>
      <c r="J1319" s="1" t="s">
        <v>749</v>
      </c>
    </row>
    <row r="1320" spans="1:10" x14ac:dyDescent="0.3">
      <c r="A1320" s="6" t="s">
        <v>15</v>
      </c>
      <c r="B1320" s="6">
        <f t="shared" si="304"/>
        <v>2049</v>
      </c>
      <c r="C1320" s="1" t="s">
        <v>40</v>
      </c>
      <c r="D1320" s="2" t="s">
        <v>131</v>
      </c>
      <c r="E1320" s="9" t="str">
        <f t="shared" si="300"/>
        <v>PNP'!</v>
      </c>
      <c r="F1320" s="5" t="str">
        <f t="shared" si="301"/>
        <v>C:\Users\jaime.benazar\Quorum Business Solutions\Ecopetrol Prometeo - Documents\Planning Space Implementation\3. Analysis &amp; Design\Design\FC22\DRR Jaime\Neiva CPI\[VAO_DINA TERCIARIOS_CF_SEC_20230117.xlsx]CF PNP'!</v>
      </c>
      <c r="G1320" s="6" t="s">
        <v>103</v>
      </c>
      <c r="H1320" s="1">
        <f t="shared" si="302"/>
        <v>62</v>
      </c>
      <c r="I1320" s="1" t="str">
        <f t="shared" si="303"/>
        <v>='C:\Users\jaime.benazar\Quorum Business Solutions\Ecopetrol Prometeo - Documents\Planning Space Implementation\3. Analysis &amp; Design\Design\FC22\DRR Jaime\Neiva CPI\[VAO_DINA TERCIARIOS_CF_SEC_20230117.xlsx]CF PNP'!$BX$62</v>
      </c>
      <c r="J1320" s="1" t="s">
        <v>750</v>
      </c>
    </row>
    <row r="1321" spans="1:10" x14ac:dyDescent="0.3">
      <c r="A1321" s="6" t="s">
        <v>15</v>
      </c>
      <c r="B1321" s="6">
        <f t="shared" si="304"/>
        <v>2050</v>
      </c>
      <c r="C1321" s="1" t="s">
        <v>40</v>
      </c>
      <c r="D1321" s="2" t="s">
        <v>131</v>
      </c>
      <c r="E1321" s="9" t="str">
        <f t="shared" si="300"/>
        <v>PNP'!</v>
      </c>
      <c r="F1321" s="5" t="str">
        <f t="shared" si="301"/>
        <v>C:\Users\jaime.benazar\Quorum Business Solutions\Ecopetrol Prometeo - Documents\Planning Space Implementation\3. Analysis &amp; Design\Design\FC22\DRR Jaime\Neiva CPI\[VAO_DINA TERCIARIOS_CF_SEC_20230117.xlsx]CF PNP'!</v>
      </c>
      <c r="G1321" s="6" t="s">
        <v>103</v>
      </c>
      <c r="H1321" s="1">
        <f t="shared" si="302"/>
        <v>63</v>
      </c>
      <c r="I1321" s="1" t="str">
        <f t="shared" si="303"/>
        <v>='C:\Users\jaime.benazar\Quorum Business Solutions\Ecopetrol Prometeo - Documents\Planning Space Implementation\3. Analysis &amp; Design\Design\FC22\DRR Jaime\Neiva CPI\[VAO_DINA TERCIARIOS_CF_SEC_20230117.xlsx]CF PNP'!$BX$63</v>
      </c>
      <c r="J1321" s="1" t="s">
        <v>751</v>
      </c>
    </row>
    <row r="1322" spans="1:10" x14ac:dyDescent="0.3">
      <c r="A1322" s="6" t="s">
        <v>15</v>
      </c>
      <c r="B1322" s="6">
        <f t="shared" si="304"/>
        <v>2051</v>
      </c>
      <c r="C1322" s="1" t="s">
        <v>40</v>
      </c>
      <c r="D1322" s="2" t="s">
        <v>131</v>
      </c>
      <c r="E1322" s="9" t="str">
        <f t="shared" si="300"/>
        <v>PNP'!</v>
      </c>
      <c r="F1322" s="5" t="str">
        <f t="shared" si="301"/>
        <v>C:\Users\jaime.benazar\Quorum Business Solutions\Ecopetrol Prometeo - Documents\Planning Space Implementation\3. Analysis &amp; Design\Design\FC22\DRR Jaime\Neiva CPI\[VAO_DINA TERCIARIOS_CF_SEC_20230117.xlsx]CF PNP'!</v>
      </c>
      <c r="G1322" s="6" t="s">
        <v>103</v>
      </c>
      <c r="H1322" s="1">
        <f t="shared" si="302"/>
        <v>64</v>
      </c>
      <c r="I1322" s="1" t="str">
        <f t="shared" si="303"/>
        <v>='C:\Users\jaime.benazar\Quorum Business Solutions\Ecopetrol Prometeo - Documents\Planning Space Implementation\3. Analysis &amp; Design\Design\FC22\DRR Jaime\Neiva CPI\[VAO_DINA TERCIARIOS_CF_SEC_20230117.xlsx]CF PNP'!$BX$64</v>
      </c>
      <c r="J1322" s="1" t="s">
        <v>752</v>
      </c>
    </row>
    <row r="1323" spans="1:10" x14ac:dyDescent="0.3">
      <c r="A1323" s="6" t="s">
        <v>15</v>
      </c>
      <c r="B1323" s="6">
        <f t="shared" si="304"/>
        <v>2052</v>
      </c>
      <c r="C1323" s="1" t="s">
        <v>40</v>
      </c>
      <c r="D1323" s="2" t="s">
        <v>131</v>
      </c>
      <c r="E1323" s="9" t="str">
        <f t="shared" si="300"/>
        <v>PNP'!</v>
      </c>
      <c r="F1323" s="5" t="str">
        <f t="shared" si="301"/>
        <v>C:\Users\jaime.benazar\Quorum Business Solutions\Ecopetrol Prometeo - Documents\Planning Space Implementation\3. Analysis &amp; Design\Design\FC22\DRR Jaime\Neiva CPI\[VAO_DINA TERCIARIOS_CF_SEC_20230117.xlsx]CF PNP'!</v>
      </c>
      <c r="G1323" s="6" t="s">
        <v>103</v>
      </c>
      <c r="H1323" s="1">
        <f t="shared" si="302"/>
        <v>65</v>
      </c>
      <c r="I1323" s="1" t="str">
        <f t="shared" si="303"/>
        <v>='C:\Users\jaime.benazar\Quorum Business Solutions\Ecopetrol Prometeo - Documents\Planning Space Implementation\3. Analysis &amp; Design\Design\FC22\DRR Jaime\Neiva CPI\[VAO_DINA TERCIARIOS_CF_SEC_20230117.xlsx]CF PNP'!$BX$65</v>
      </c>
      <c r="J1323" s="1" t="s">
        <v>753</v>
      </c>
    </row>
    <row r="1324" spans="1:10" x14ac:dyDescent="0.3">
      <c r="A1324" s="6" t="s">
        <v>15</v>
      </c>
      <c r="B1324" s="6">
        <f t="shared" si="304"/>
        <v>2053</v>
      </c>
      <c r="C1324" s="1" t="s">
        <v>40</v>
      </c>
      <c r="D1324" s="2" t="s">
        <v>131</v>
      </c>
      <c r="E1324" s="9" t="str">
        <f t="shared" si="300"/>
        <v>PNP'!</v>
      </c>
      <c r="F1324" s="5" t="str">
        <f t="shared" si="301"/>
        <v>C:\Users\jaime.benazar\Quorum Business Solutions\Ecopetrol Prometeo - Documents\Planning Space Implementation\3. Analysis &amp; Design\Design\FC22\DRR Jaime\Neiva CPI\[VAO_DINA TERCIARIOS_CF_SEC_20230117.xlsx]CF PNP'!</v>
      </c>
      <c r="G1324" s="6" t="s">
        <v>103</v>
      </c>
      <c r="H1324" s="1">
        <f t="shared" si="302"/>
        <v>66</v>
      </c>
      <c r="I1324" s="1" t="str">
        <f t="shared" si="303"/>
        <v>='C:\Users\jaime.benazar\Quorum Business Solutions\Ecopetrol Prometeo - Documents\Planning Space Implementation\3. Analysis &amp; Design\Design\FC22\DRR Jaime\Neiva CPI\[VAO_DINA TERCIARIOS_CF_SEC_20230117.xlsx]CF PNP'!$BX$66</v>
      </c>
      <c r="J1324" s="1" t="s">
        <v>754</v>
      </c>
    </row>
    <row r="1325" spans="1:10" x14ac:dyDescent="0.3">
      <c r="A1325" s="6" t="s">
        <v>15</v>
      </c>
      <c r="B1325" s="6">
        <f t="shared" si="304"/>
        <v>2054</v>
      </c>
      <c r="C1325" s="1" t="s">
        <v>40</v>
      </c>
      <c r="D1325" s="2" t="s">
        <v>131</v>
      </c>
      <c r="E1325" s="9" t="str">
        <f t="shared" si="300"/>
        <v>PNP'!</v>
      </c>
      <c r="F1325" s="5" t="str">
        <f t="shared" si="301"/>
        <v>C:\Users\jaime.benazar\Quorum Business Solutions\Ecopetrol Prometeo - Documents\Planning Space Implementation\3. Analysis &amp; Design\Design\FC22\DRR Jaime\Neiva CPI\[VAO_DINA TERCIARIOS_CF_SEC_20230117.xlsx]CF PNP'!</v>
      </c>
      <c r="G1325" s="6" t="s">
        <v>103</v>
      </c>
      <c r="H1325" s="1">
        <f t="shared" si="302"/>
        <v>67</v>
      </c>
      <c r="I1325" s="1" t="str">
        <f t="shared" si="303"/>
        <v>='C:\Users\jaime.benazar\Quorum Business Solutions\Ecopetrol Prometeo - Documents\Planning Space Implementation\3. Analysis &amp; Design\Design\FC22\DRR Jaime\Neiva CPI\[VAO_DINA TERCIARIOS_CF_SEC_20230117.xlsx]CF PNP'!$BX$67</v>
      </c>
      <c r="J1325" s="1" t="s">
        <v>755</v>
      </c>
    </row>
    <row r="1326" spans="1:10" x14ac:dyDescent="0.3">
      <c r="A1326" s="6" t="s">
        <v>15</v>
      </c>
      <c r="B1326" s="6">
        <f t="shared" si="304"/>
        <v>2055</v>
      </c>
      <c r="C1326" s="1" t="s">
        <v>40</v>
      </c>
      <c r="D1326" s="2" t="s">
        <v>131</v>
      </c>
      <c r="E1326" s="9" t="str">
        <f t="shared" si="300"/>
        <v>PNP'!</v>
      </c>
      <c r="F1326" s="5" t="str">
        <f t="shared" si="301"/>
        <v>C:\Users\jaime.benazar\Quorum Business Solutions\Ecopetrol Prometeo - Documents\Planning Space Implementation\3. Analysis &amp; Design\Design\FC22\DRR Jaime\Neiva CPI\[VAO_DINA TERCIARIOS_CF_SEC_20230117.xlsx]CF PNP'!</v>
      </c>
      <c r="G1326" s="6" t="s">
        <v>103</v>
      </c>
      <c r="H1326" s="1">
        <f t="shared" si="302"/>
        <v>68</v>
      </c>
      <c r="I1326" s="1" t="str">
        <f t="shared" si="303"/>
        <v>='C:\Users\jaime.benazar\Quorum Business Solutions\Ecopetrol Prometeo - Documents\Planning Space Implementation\3. Analysis &amp; Design\Design\FC22\DRR Jaime\Neiva CPI\[VAO_DINA TERCIARIOS_CF_SEC_20230117.xlsx]CF PNP'!$BX$68</v>
      </c>
      <c r="J1326" s="1" t="s">
        <v>756</v>
      </c>
    </row>
    <row r="1327" spans="1:10" x14ac:dyDescent="0.3">
      <c r="A1327" s="6" t="s">
        <v>15</v>
      </c>
      <c r="B1327" s="6">
        <f t="shared" si="304"/>
        <v>2056</v>
      </c>
      <c r="C1327" s="1" t="s">
        <v>40</v>
      </c>
      <c r="D1327" s="2" t="s">
        <v>131</v>
      </c>
      <c r="E1327" s="9" t="str">
        <f t="shared" si="300"/>
        <v>PNP'!</v>
      </c>
      <c r="F1327" s="5" t="str">
        <f t="shared" si="301"/>
        <v>C:\Users\jaime.benazar\Quorum Business Solutions\Ecopetrol Prometeo - Documents\Planning Space Implementation\3. Analysis &amp; Design\Design\FC22\DRR Jaime\Neiva CPI\[VAO_DINA TERCIARIOS_CF_SEC_20230117.xlsx]CF PNP'!</v>
      </c>
      <c r="G1327" s="6" t="s">
        <v>103</v>
      </c>
      <c r="H1327" s="1">
        <f t="shared" si="302"/>
        <v>69</v>
      </c>
      <c r="I1327" s="1" t="str">
        <f t="shared" si="303"/>
        <v>='C:\Users\jaime.benazar\Quorum Business Solutions\Ecopetrol Prometeo - Documents\Planning Space Implementation\3. Analysis &amp; Design\Design\FC22\DRR Jaime\Neiva CPI\[VAO_DINA TERCIARIOS_CF_SEC_20230117.xlsx]CF PNP'!$BX$69</v>
      </c>
      <c r="J1327" s="1" t="s">
        <v>757</v>
      </c>
    </row>
    <row r="1328" spans="1:10" x14ac:dyDescent="0.3">
      <c r="A1328" s="6" t="s">
        <v>15</v>
      </c>
      <c r="B1328" s="6">
        <f t="shared" si="304"/>
        <v>2057</v>
      </c>
      <c r="C1328" s="1" t="s">
        <v>40</v>
      </c>
      <c r="D1328" s="2" t="s">
        <v>131</v>
      </c>
      <c r="E1328" s="9" t="str">
        <f t="shared" si="300"/>
        <v>PNP'!</v>
      </c>
      <c r="F1328" s="5" t="str">
        <f t="shared" si="301"/>
        <v>C:\Users\jaime.benazar\Quorum Business Solutions\Ecopetrol Prometeo - Documents\Planning Space Implementation\3. Analysis &amp; Design\Design\FC22\DRR Jaime\Neiva CPI\[VAO_DINA TERCIARIOS_CF_SEC_20230117.xlsx]CF PNP'!</v>
      </c>
      <c r="G1328" s="6" t="s">
        <v>103</v>
      </c>
      <c r="H1328" s="1">
        <f t="shared" si="302"/>
        <v>70</v>
      </c>
      <c r="I1328" s="1" t="str">
        <f t="shared" si="303"/>
        <v>='C:\Users\jaime.benazar\Quorum Business Solutions\Ecopetrol Prometeo - Documents\Planning Space Implementation\3. Analysis &amp; Design\Design\FC22\DRR Jaime\Neiva CPI\[VAO_DINA TERCIARIOS_CF_SEC_20230117.xlsx]CF PNP'!$BX$70</v>
      </c>
      <c r="J1328" s="1" t="s">
        <v>758</v>
      </c>
    </row>
    <row r="1329" spans="1:10" x14ac:dyDescent="0.3">
      <c r="A1329" s="6" t="s">
        <v>15</v>
      </c>
      <c r="B1329" s="6">
        <f t="shared" si="304"/>
        <v>2058</v>
      </c>
      <c r="C1329" s="1" t="s">
        <v>40</v>
      </c>
      <c r="D1329" s="2" t="s">
        <v>131</v>
      </c>
      <c r="E1329" s="9" t="str">
        <f t="shared" si="300"/>
        <v>PNP'!</v>
      </c>
      <c r="F1329" s="5" t="str">
        <f t="shared" si="301"/>
        <v>C:\Users\jaime.benazar\Quorum Business Solutions\Ecopetrol Prometeo - Documents\Planning Space Implementation\3. Analysis &amp; Design\Design\FC22\DRR Jaime\Neiva CPI\[VAO_DINA TERCIARIOS_CF_SEC_20230117.xlsx]CF PNP'!</v>
      </c>
      <c r="G1329" s="6" t="s">
        <v>103</v>
      </c>
      <c r="H1329" s="1">
        <f t="shared" si="302"/>
        <v>71</v>
      </c>
      <c r="I1329" s="1" t="str">
        <f t="shared" si="303"/>
        <v>='C:\Users\jaime.benazar\Quorum Business Solutions\Ecopetrol Prometeo - Documents\Planning Space Implementation\3. Analysis &amp; Design\Design\FC22\DRR Jaime\Neiva CPI\[VAO_DINA TERCIARIOS_CF_SEC_20230117.xlsx]CF PNP'!$BX$71</v>
      </c>
      <c r="J1329" s="1" t="s">
        <v>759</v>
      </c>
    </row>
    <row r="1330" spans="1:10" x14ac:dyDescent="0.3">
      <c r="A1330" s="6" t="s">
        <v>15</v>
      </c>
      <c r="B1330" s="6">
        <f t="shared" si="304"/>
        <v>2059</v>
      </c>
      <c r="C1330" s="1" t="s">
        <v>40</v>
      </c>
      <c r="D1330" s="2" t="s">
        <v>131</v>
      </c>
      <c r="E1330" s="9" t="str">
        <f t="shared" si="300"/>
        <v>PNP'!</v>
      </c>
      <c r="F1330" s="5" t="str">
        <f t="shared" si="301"/>
        <v>C:\Users\jaime.benazar\Quorum Business Solutions\Ecopetrol Prometeo - Documents\Planning Space Implementation\3. Analysis &amp; Design\Design\FC22\DRR Jaime\Neiva CPI\[VAO_DINA TERCIARIOS_CF_SEC_20230117.xlsx]CF PNP'!</v>
      </c>
      <c r="G1330" s="6" t="s">
        <v>103</v>
      </c>
      <c r="H1330" s="1">
        <f t="shared" si="302"/>
        <v>72</v>
      </c>
      <c r="I1330" s="1" t="str">
        <f t="shared" si="303"/>
        <v>='C:\Users\jaime.benazar\Quorum Business Solutions\Ecopetrol Prometeo - Documents\Planning Space Implementation\3. Analysis &amp; Design\Design\FC22\DRR Jaime\Neiva CPI\[VAO_DINA TERCIARIOS_CF_SEC_20230117.xlsx]CF PNP'!$BX$72</v>
      </c>
      <c r="J1330" s="1" t="s">
        <v>760</v>
      </c>
    </row>
    <row r="1331" spans="1:10" x14ac:dyDescent="0.3">
      <c r="A1331" s="6" t="s">
        <v>26</v>
      </c>
      <c r="B1331" s="6"/>
      <c r="C1331" s="1" t="s">
        <v>40</v>
      </c>
      <c r="D1331" s="2"/>
      <c r="E1331" s="9"/>
      <c r="F1331" s="5" t="str">
        <f t="shared" si="298"/>
        <v xml:space="preserve"> </v>
      </c>
      <c r="G1331" s="6"/>
      <c r="H1331" s="1"/>
      <c r="I1331" s="1"/>
      <c r="J1331" s="4"/>
    </row>
    <row r="1332" spans="1:10" x14ac:dyDescent="0.3">
      <c r="A1332" s="6" t="s">
        <v>16</v>
      </c>
      <c r="B1332" s="6">
        <v>2023</v>
      </c>
      <c r="C1332" s="1" t="s">
        <v>40</v>
      </c>
      <c r="D1332" s="2" t="s">
        <v>131</v>
      </c>
      <c r="E1332" s="9" t="str">
        <f t="shared" si="285"/>
        <v>PND'!</v>
      </c>
      <c r="F1332" s="5" t="str">
        <f t="shared" si="298"/>
        <v>C:\Users\jaime.benazar\Quorum Business Solutions\Ecopetrol Prometeo - Documents\Planning Space Implementation\3. Analysis &amp; Design\Design\FC22\DRR Jaime\Neiva CPI\[VAO_DINA TERCIARIOS_CF_SEC_20230117.xlsx]CF PND'!</v>
      </c>
      <c r="G1332" s="6" t="s">
        <v>103</v>
      </c>
      <c r="H1332" s="1">
        <f>IF(A1332&lt;&gt;A1316,36,H1316+1)</f>
        <v>36</v>
      </c>
      <c r="I1332" s="1" t="str">
        <f t="shared" si="286"/>
        <v>='C:\Users\jaime.benazar\Quorum Business Solutions\Ecopetrol Prometeo - Documents\Planning Space Implementation\3. Analysis &amp; Design\Design\FC22\DRR Jaime\Neiva CPI\[VAO_DINA TERCIARIOS_CF_SEC_20230117.xlsx]CF PND'!$BX$36</v>
      </c>
      <c r="J1332" s="1" t="s">
        <v>761</v>
      </c>
    </row>
    <row r="1333" spans="1:10" x14ac:dyDescent="0.3">
      <c r="A1333" s="6" t="s">
        <v>16</v>
      </c>
      <c r="B1333" s="6">
        <f>+B1332+1</f>
        <v>2024</v>
      </c>
      <c r="C1333" s="1" t="s">
        <v>40</v>
      </c>
      <c r="D1333" s="2" t="s">
        <v>131</v>
      </c>
      <c r="E1333" s="9" t="str">
        <f t="shared" si="285"/>
        <v>PND'!</v>
      </c>
      <c r="F1333" s="5" t="str">
        <f t="shared" si="298"/>
        <v>C:\Users\jaime.benazar\Quorum Business Solutions\Ecopetrol Prometeo - Documents\Planning Space Implementation\3. Analysis &amp; Design\Design\FC22\DRR Jaime\Neiva CPI\[VAO_DINA TERCIARIOS_CF_SEC_20230117.xlsx]CF PND'!</v>
      </c>
      <c r="G1333" s="6" t="s">
        <v>103</v>
      </c>
      <c r="H1333" s="1">
        <f t="shared" si="288"/>
        <v>37</v>
      </c>
      <c r="I1333" s="1" t="str">
        <f t="shared" si="286"/>
        <v>='C:\Users\jaime.benazar\Quorum Business Solutions\Ecopetrol Prometeo - Documents\Planning Space Implementation\3. Analysis &amp; Design\Design\FC22\DRR Jaime\Neiva CPI\[VAO_DINA TERCIARIOS_CF_SEC_20230117.xlsx]CF PND'!$BX$37</v>
      </c>
      <c r="J1333" s="1" t="s">
        <v>762</v>
      </c>
    </row>
    <row r="1334" spans="1:10" x14ac:dyDescent="0.3">
      <c r="A1334" s="6" t="s">
        <v>16</v>
      </c>
      <c r="B1334" s="6">
        <f t="shared" ref="B1334:B1345" si="305">+B1333+1</f>
        <v>2025</v>
      </c>
      <c r="C1334" s="1" t="s">
        <v>40</v>
      </c>
      <c r="D1334" s="2" t="s">
        <v>131</v>
      </c>
      <c r="E1334" s="9" t="str">
        <f t="shared" si="285"/>
        <v>PND'!</v>
      </c>
      <c r="F1334" s="5" t="str">
        <f t="shared" si="298"/>
        <v>C:\Users\jaime.benazar\Quorum Business Solutions\Ecopetrol Prometeo - Documents\Planning Space Implementation\3. Analysis &amp; Design\Design\FC22\DRR Jaime\Neiva CPI\[VAO_DINA TERCIARIOS_CF_SEC_20230117.xlsx]CF PND'!</v>
      </c>
      <c r="G1334" s="6" t="s">
        <v>103</v>
      </c>
      <c r="H1334" s="1">
        <f t="shared" si="288"/>
        <v>38</v>
      </c>
      <c r="I1334" s="1" t="str">
        <f t="shared" si="286"/>
        <v>='C:\Users\jaime.benazar\Quorum Business Solutions\Ecopetrol Prometeo - Documents\Planning Space Implementation\3. Analysis &amp; Design\Design\FC22\DRR Jaime\Neiva CPI\[VAO_DINA TERCIARIOS_CF_SEC_20230117.xlsx]CF PND'!$BX$38</v>
      </c>
      <c r="J1334" s="1" t="s">
        <v>763</v>
      </c>
    </row>
    <row r="1335" spans="1:10" x14ac:dyDescent="0.3">
      <c r="A1335" s="6" t="s">
        <v>16</v>
      </c>
      <c r="B1335" s="6">
        <f t="shared" si="305"/>
        <v>2026</v>
      </c>
      <c r="C1335" s="1" t="s">
        <v>40</v>
      </c>
      <c r="D1335" s="2" t="s">
        <v>131</v>
      </c>
      <c r="E1335" s="9" t="str">
        <f t="shared" si="285"/>
        <v>PND'!</v>
      </c>
      <c r="F1335" s="5" t="str">
        <f t="shared" si="298"/>
        <v>C:\Users\jaime.benazar\Quorum Business Solutions\Ecopetrol Prometeo - Documents\Planning Space Implementation\3. Analysis &amp; Design\Design\FC22\DRR Jaime\Neiva CPI\[VAO_DINA TERCIARIOS_CF_SEC_20230117.xlsx]CF PND'!</v>
      </c>
      <c r="G1335" s="6" t="s">
        <v>103</v>
      </c>
      <c r="H1335" s="1">
        <f t="shared" si="288"/>
        <v>39</v>
      </c>
      <c r="I1335" s="1" t="str">
        <f t="shared" si="286"/>
        <v>='C:\Users\jaime.benazar\Quorum Business Solutions\Ecopetrol Prometeo - Documents\Planning Space Implementation\3. Analysis &amp; Design\Design\FC22\DRR Jaime\Neiva CPI\[VAO_DINA TERCIARIOS_CF_SEC_20230117.xlsx]CF PND'!$BX$39</v>
      </c>
      <c r="J1335" s="1" t="s">
        <v>764</v>
      </c>
    </row>
    <row r="1336" spans="1:10" x14ac:dyDescent="0.3">
      <c r="A1336" s="6" t="s">
        <v>16</v>
      </c>
      <c r="B1336" s="6">
        <f t="shared" si="305"/>
        <v>2027</v>
      </c>
      <c r="C1336" s="1" t="s">
        <v>40</v>
      </c>
      <c r="D1336" s="2" t="s">
        <v>131</v>
      </c>
      <c r="E1336" s="9" t="str">
        <f t="shared" si="285"/>
        <v>PND'!</v>
      </c>
      <c r="F1336" s="5" t="str">
        <f t="shared" si="298"/>
        <v>C:\Users\jaime.benazar\Quorum Business Solutions\Ecopetrol Prometeo - Documents\Planning Space Implementation\3. Analysis &amp; Design\Design\FC22\DRR Jaime\Neiva CPI\[VAO_DINA TERCIARIOS_CF_SEC_20230117.xlsx]CF PND'!</v>
      </c>
      <c r="G1336" s="6" t="s">
        <v>103</v>
      </c>
      <c r="H1336" s="1">
        <f t="shared" si="288"/>
        <v>40</v>
      </c>
      <c r="I1336" s="1" t="str">
        <f t="shared" si="286"/>
        <v>='C:\Users\jaime.benazar\Quorum Business Solutions\Ecopetrol Prometeo - Documents\Planning Space Implementation\3. Analysis &amp; Design\Design\FC22\DRR Jaime\Neiva CPI\[VAO_DINA TERCIARIOS_CF_SEC_20230117.xlsx]CF PND'!$BX$40</v>
      </c>
      <c r="J1336" s="1" t="s">
        <v>765</v>
      </c>
    </row>
    <row r="1337" spans="1:10" x14ac:dyDescent="0.3">
      <c r="A1337" s="6" t="s">
        <v>16</v>
      </c>
      <c r="B1337" s="6">
        <f t="shared" si="305"/>
        <v>2028</v>
      </c>
      <c r="C1337" s="1" t="s">
        <v>40</v>
      </c>
      <c r="D1337" s="2" t="s">
        <v>131</v>
      </c>
      <c r="E1337" s="9" t="str">
        <f t="shared" si="285"/>
        <v>PND'!</v>
      </c>
      <c r="F1337" s="5" t="str">
        <f t="shared" si="298"/>
        <v>C:\Users\jaime.benazar\Quorum Business Solutions\Ecopetrol Prometeo - Documents\Planning Space Implementation\3. Analysis &amp; Design\Design\FC22\DRR Jaime\Neiva CPI\[VAO_DINA TERCIARIOS_CF_SEC_20230117.xlsx]CF PND'!</v>
      </c>
      <c r="G1337" s="6" t="s">
        <v>103</v>
      </c>
      <c r="H1337" s="1">
        <f t="shared" si="288"/>
        <v>41</v>
      </c>
      <c r="I1337" s="1" t="str">
        <f t="shared" si="286"/>
        <v>='C:\Users\jaime.benazar\Quorum Business Solutions\Ecopetrol Prometeo - Documents\Planning Space Implementation\3. Analysis &amp; Design\Design\FC22\DRR Jaime\Neiva CPI\[VAO_DINA TERCIARIOS_CF_SEC_20230117.xlsx]CF PND'!$BX$41</v>
      </c>
      <c r="J1337" s="1" t="s">
        <v>766</v>
      </c>
    </row>
    <row r="1338" spans="1:10" x14ac:dyDescent="0.3">
      <c r="A1338" s="6" t="s">
        <v>16</v>
      </c>
      <c r="B1338" s="6">
        <f t="shared" si="305"/>
        <v>2029</v>
      </c>
      <c r="C1338" s="1" t="s">
        <v>40</v>
      </c>
      <c r="D1338" s="2" t="s">
        <v>131</v>
      </c>
      <c r="E1338" s="9" t="str">
        <f t="shared" si="285"/>
        <v>PND'!</v>
      </c>
      <c r="F1338" s="5" t="str">
        <f t="shared" si="298"/>
        <v>C:\Users\jaime.benazar\Quorum Business Solutions\Ecopetrol Prometeo - Documents\Planning Space Implementation\3. Analysis &amp; Design\Design\FC22\DRR Jaime\Neiva CPI\[VAO_DINA TERCIARIOS_CF_SEC_20230117.xlsx]CF PND'!</v>
      </c>
      <c r="G1338" s="6" t="s">
        <v>103</v>
      </c>
      <c r="H1338" s="1">
        <f t="shared" si="288"/>
        <v>42</v>
      </c>
      <c r="I1338" s="1" t="str">
        <f t="shared" si="286"/>
        <v>='C:\Users\jaime.benazar\Quorum Business Solutions\Ecopetrol Prometeo - Documents\Planning Space Implementation\3. Analysis &amp; Design\Design\FC22\DRR Jaime\Neiva CPI\[VAO_DINA TERCIARIOS_CF_SEC_20230117.xlsx]CF PND'!$BX$42</v>
      </c>
      <c r="J1338" s="1" t="s">
        <v>767</v>
      </c>
    </row>
    <row r="1339" spans="1:10" x14ac:dyDescent="0.3">
      <c r="A1339" s="6" t="s">
        <v>16</v>
      </c>
      <c r="B1339" s="6">
        <f t="shared" si="305"/>
        <v>2030</v>
      </c>
      <c r="C1339" s="1" t="s">
        <v>40</v>
      </c>
      <c r="D1339" s="2" t="s">
        <v>131</v>
      </c>
      <c r="E1339" s="9" t="str">
        <f t="shared" si="285"/>
        <v>PND'!</v>
      </c>
      <c r="F1339" s="5" t="str">
        <f t="shared" si="298"/>
        <v>C:\Users\jaime.benazar\Quorum Business Solutions\Ecopetrol Prometeo - Documents\Planning Space Implementation\3. Analysis &amp; Design\Design\FC22\DRR Jaime\Neiva CPI\[VAO_DINA TERCIARIOS_CF_SEC_20230117.xlsx]CF PND'!</v>
      </c>
      <c r="G1339" s="6" t="s">
        <v>103</v>
      </c>
      <c r="H1339" s="1">
        <f t="shared" si="288"/>
        <v>43</v>
      </c>
      <c r="I1339" s="1" t="str">
        <f t="shared" si="286"/>
        <v>='C:\Users\jaime.benazar\Quorum Business Solutions\Ecopetrol Prometeo - Documents\Planning Space Implementation\3. Analysis &amp; Design\Design\FC22\DRR Jaime\Neiva CPI\[VAO_DINA TERCIARIOS_CF_SEC_20230117.xlsx]CF PND'!$BX$43</v>
      </c>
      <c r="J1339" s="1" t="s">
        <v>768</v>
      </c>
    </row>
    <row r="1340" spans="1:10" x14ac:dyDescent="0.3">
      <c r="A1340" s="6" t="s">
        <v>16</v>
      </c>
      <c r="B1340" s="6">
        <f t="shared" si="305"/>
        <v>2031</v>
      </c>
      <c r="C1340" s="1" t="s">
        <v>40</v>
      </c>
      <c r="D1340" s="2" t="s">
        <v>131</v>
      </c>
      <c r="E1340" s="9" t="str">
        <f t="shared" si="285"/>
        <v>PND'!</v>
      </c>
      <c r="F1340" s="5" t="str">
        <f t="shared" si="298"/>
        <v>C:\Users\jaime.benazar\Quorum Business Solutions\Ecopetrol Prometeo - Documents\Planning Space Implementation\3. Analysis &amp; Design\Design\FC22\DRR Jaime\Neiva CPI\[VAO_DINA TERCIARIOS_CF_SEC_20230117.xlsx]CF PND'!</v>
      </c>
      <c r="G1340" s="6" t="s">
        <v>103</v>
      </c>
      <c r="H1340" s="1">
        <f t="shared" si="288"/>
        <v>44</v>
      </c>
      <c r="I1340" s="1" t="str">
        <f t="shared" si="286"/>
        <v>='C:\Users\jaime.benazar\Quorum Business Solutions\Ecopetrol Prometeo - Documents\Planning Space Implementation\3. Analysis &amp; Design\Design\FC22\DRR Jaime\Neiva CPI\[VAO_DINA TERCIARIOS_CF_SEC_20230117.xlsx]CF PND'!$BX$44</v>
      </c>
      <c r="J1340" s="1" t="s">
        <v>769</v>
      </c>
    </row>
    <row r="1341" spans="1:10" x14ac:dyDescent="0.3">
      <c r="A1341" s="6" t="s">
        <v>16</v>
      </c>
      <c r="B1341" s="6">
        <f t="shared" si="305"/>
        <v>2032</v>
      </c>
      <c r="C1341" s="1" t="s">
        <v>40</v>
      </c>
      <c r="D1341" s="2" t="s">
        <v>131</v>
      </c>
      <c r="E1341" s="9" t="str">
        <f t="shared" si="285"/>
        <v>PND'!</v>
      </c>
      <c r="F1341" s="5" t="str">
        <f t="shared" si="298"/>
        <v>C:\Users\jaime.benazar\Quorum Business Solutions\Ecopetrol Prometeo - Documents\Planning Space Implementation\3. Analysis &amp; Design\Design\FC22\DRR Jaime\Neiva CPI\[VAO_DINA TERCIARIOS_CF_SEC_20230117.xlsx]CF PND'!</v>
      </c>
      <c r="G1341" s="6" t="s">
        <v>103</v>
      </c>
      <c r="H1341" s="1">
        <f t="shared" si="288"/>
        <v>45</v>
      </c>
      <c r="I1341" s="1" t="str">
        <f t="shared" si="286"/>
        <v>='C:\Users\jaime.benazar\Quorum Business Solutions\Ecopetrol Prometeo - Documents\Planning Space Implementation\3. Analysis &amp; Design\Design\FC22\DRR Jaime\Neiva CPI\[VAO_DINA TERCIARIOS_CF_SEC_20230117.xlsx]CF PND'!$BX$45</v>
      </c>
      <c r="J1341" s="1" t="s">
        <v>770</v>
      </c>
    </row>
    <row r="1342" spans="1:10" x14ac:dyDescent="0.3">
      <c r="A1342" s="6" t="s">
        <v>16</v>
      </c>
      <c r="B1342" s="6">
        <f t="shared" si="305"/>
        <v>2033</v>
      </c>
      <c r="C1342" s="1" t="s">
        <v>40</v>
      </c>
      <c r="D1342" s="2" t="s">
        <v>131</v>
      </c>
      <c r="E1342" s="9" t="str">
        <f t="shared" si="285"/>
        <v>PND'!</v>
      </c>
      <c r="F1342" s="5" t="str">
        <f t="shared" si="298"/>
        <v>C:\Users\jaime.benazar\Quorum Business Solutions\Ecopetrol Prometeo - Documents\Planning Space Implementation\3. Analysis &amp; Design\Design\FC22\DRR Jaime\Neiva CPI\[VAO_DINA TERCIARIOS_CF_SEC_20230117.xlsx]CF PND'!</v>
      </c>
      <c r="G1342" s="6" t="s">
        <v>103</v>
      </c>
      <c r="H1342" s="1">
        <f t="shared" si="288"/>
        <v>46</v>
      </c>
      <c r="I1342" s="1" t="str">
        <f t="shared" si="286"/>
        <v>='C:\Users\jaime.benazar\Quorum Business Solutions\Ecopetrol Prometeo - Documents\Planning Space Implementation\3. Analysis &amp; Design\Design\FC22\DRR Jaime\Neiva CPI\[VAO_DINA TERCIARIOS_CF_SEC_20230117.xlsx]CF PND'!$BX$46</v>
      </c>
      <c r="J1342" s="1" t="s">
        <v>771</v>
      </c>
    </row>
    <row r="1343" spans="1:10" x14ac:dyDescent="0.3">
      <c r="A1343" s="6" t="s">
        <v>16</v>
      </c>
      <c r="B1343" s="6">
        <f t="shared" si="305"/>
        <v>2034</v>
      </c>
      <c r="C1343" s="1" t="s">
        <v>40</v>
      </c>
      <c r="D1343" s="2" t="s">
        <v>131</v>
      </c>
      <c r="E1343" s="9" t="str">
        <f t="shared" si="285"/>
        <v>PND'!</v>
      </c>
      <c r="F1343" s="5" t="str">
        <f t="shared" si="298"/>
        <v>C:\Users\jaime.benazar\Quorum Business Solutions\Ecopetrol Prometeo - Documents\Planning Space Implementation\3. Analysis &amp; Design\Design\FC22\DRR Jaime\Neiva CPI\[VAO_DINA TERCIARIOS_CF_SEC_20230117.xlsx]CF PND'!</v>
      </c>
      <c r="G1343" s="6" t="s">
        <v>103</v>
      </c>
      <c r="H1343" s="1">
        <f t="shared" si="288"/>
        <v>47</v>
      </c>
      <c r="I1343" s="1" t="str">
        <f t="shared" si="286"/>
        <v>='C:\Users\jaime.benazar\Quorum Business Solutions\Ecopetrol Prometeo - Documents\Planning Space Implementation\3. Analysis &amp; Design\Design\FC22\DRR Jaime\Neiva CPI\[VAO_DINA TERCIARIOS_CF_SEC_20230117.xlsx]CF PND'!$BX$47</v>
      </c>
      <c r="J1343" s="1" t="s">
        <v>772</v>
      </c>
    </row>
    <row r="1344" spans="1:10" x14ac:dyDescent="0.3">
      <c r="A1344" s="6" t="s">
        <v>16</v>
      </c>
      <c r="B1344" s="6">
        <f t="shared" si="305"/>
        <v>2035</v>
      </c>
      <c r="C1344" s="1" t="s">
        <v>40</v>
      </c>
      <c r="D1344" s="2" t="s">
        <v>131</v>
      </c>
      <c r="E1344" s="9" t="str">
        <f t="shared" si="285"/>
        <v>PND'!</v>
      </c>
      <c r="F1344" s="5" t="str">
        <f t="shared" si="298"/>
        <v>C:\Users\jaime.benazar\Quorum Business Solutions\Ecopetrol Prometeo - Documents\Planning Space Implementation\3. Analysis &amp; Design\Design\FC22\DRR Jaime\Neiva CPI\[VAO_DINA TERCIARIOS_CF_SEC_20230117.xlsx]CF PND'!</v>
      </c>
      <c r="G1344" s="6" t="s">
        <v>103</v>
      </c>
      <c r="H1344" s="1">
        <f t="shared" si="288"/>
        <v>48</v>
      </c>
      <c r="I1344" s="1" t="str">
        <f t="shared" si="286"/>
        <v>='C:\Users\jaime.benazar\Quorum Business Solutions\Ecopetrol Prometeo - Documents\Planning Space Implementation\3. Analysis &amp; Design\Design\FC22\DRR Jaime\Neiva CPI\[VAO_DINA TERCIARIOS_CF_SEC_20230117.xlsx]CF PND'!$BX$48</v>
      </c>
      <c r="J1344" s="1" t="s">
        <v>773</v>
      </c>
    </row>
    <row r="1345" spans="1:10" x14ac:dyDescent="0.3">
      <c r="A1345" s="6" t="s">
        <v>16</v>
      </c>
      <c r="B1345" s="6">
        <f t="shared" si="305"/>
        <v>2036</v>
      </c>
      <c r="C1345" s="1" t="s">
        <v>40</v>
      </c>
      <c r="D1345" s="2" t="s">
        <v>131</v>
      </c>
      <c r="E1345" s="9" t="str">
        <f t="shared" si="285"/>
        <v>PND'!</v>
      </c>
      <c r="F1345" s="5" t="str">
        <f t="shared" si="298"/>
        <v>C:\Users\jaime.benazar\Quorum Business Solutions\Ecopetrol Prometeo - Documents\Planning Space Implementation\3. Analysis &amp; Design\Design\FC22\DRR Jaime\Neiva CPI\[VAO_DINA TERCIARIOS_CF_SEC_20230117.xlsx]CF PND'!</v>
      </c>
      <c r="G1345" s="6" t="s">
        <v>103</v>
      </c>
      <c r="H1345" s="1">
        <f t="shared" si="288"/>
        <v>49</v>
      </c>
      <c r="I1345" s="1" t="str">
        <f t="shared" si="286"/>
        <v>='C:\Users\jaime.benazar\Quorum Business Solutions\Ecopetrol Prometeo - Documents\Planning Space Implementation\3. Analysis &amp; Design\Design\FC22\DRR Jaime\Neiva CPI\[VAO_DINA TERCIARIOS_CF_SEC_20230117.xlsx]CF PND'!$BX$49</v>
      </c>
      <c r="J1345" s="1" t="s">
        <v>774</v>
      </c>
    </row>
    <row r="1346" spans="1:10" x14ac:dyDescent="0.3">
      <c r="A1346" s="6" t="s">
        <v>16</v>
      </c>
      <c r="B1346" s="6">
        <f>+B1345+1</f>
        <v>2037</v>
      </c>
      <c r="C1346" s="1" t="s">
        <v>40</v>
      </c>
      <c r="D1346" s="2" t="s">
        <v>131</v>
      </c>
      <c r="E1346" s="9" t="str">
        <f t="shared" si="285"/>
        <v>PND'!</v>
      </c>
      <c r="F1346" s="5" t="str">
        <f t="shared" si="298"/>
        <v>C:\Users\jaime.benazar\Quorum Business Solutions\Ecopetrol Prometeo - Documents\Planning Space Implementation\3. Analysis &amp; Design\Design\FC22\DRR Jaime\Neiva CPI\[VAO_DINA TERCIARIOS_CF_SEC_20230117.xlsx]CF PND'!</v>
      </c>
      <c r="G1346" s="6" t="s">
        <v>103</v>
      </c>
      <c r="H1346" s="1">
        <f t="shared" si="288"/>
        <v>50</v>
      </c>
      <c r="I1346" s="1" t="str">
        <f t="shared" si="286"/>
        <v>='C:\Users\jaime.benazar\Quorum Business Solutions\Ecopetrol Prometeo - Documents\Planning Space Implementation\3. Analysis &amp; Design\Design\FC22\DRR Jaime\Neiva CPI\[VAO_DINA TERCIARIOS_CF_SEC_20230117.xlsx]CF PND'!$BX$50</v>
      </c>
      <c r="J1346" s="1" t="s">
        <v>775</v>
      </c>
    </row>
    <row r="1347" spans="1:10" x14ac:dyDescent="0.3">
      <c r="A1347" s="6" t="s">
        <v>16</v>
      </c>
      <c r="B1347" s="6">
        <f t="shared" ref="B1347:B1349" si="306">+B1346+1</f>
        <v>2038</v>
      </c>
      <c r="C1347" s="1" t="s">
        <v>40</v>
      </c>
      <c r="D1347" s="2" t="s">
        <v>131</v>
      </c>
      <c r="E1347" s="9" t="str">
        <f t="shared" si="285"/>
        <v>PND'!</v>
      </c>
      <c r="F1347" s="5" t="str">
        <f t="shared" si="298"/>
        <v>C:\Users\jaime.benazar\Quorum Business Solutions\Ecopetrol Prometeo - Documents\Planning Space Implementation\3. Analysis &amp; Design\Design\FC22\DRR Jaime\Neiva CPI\[VAO_DINA TERCIARIOS_CF_SEC_20230117.xlsx]CF PND'!</v>
      </c>
      <c r="G1347" s="6" t="s">
        <v>103</v>
      </c>
      <c r="H1347" s="1">
        <f t="shared" si="288"/>
        <v>51</v>
      </c>
      <c r="I1347" s="1" t="str">
        <f t="shared" si="286"/>
        <v>='C:\Users\jaime.benazar\Quorum Business Solutions\Ecopetrol Prometeo - Documents\Planning Space Implementation\3. Analysis &amp; Design\Design\FC22\DRR Jaime\Neiva CPI\[VAO_DINA TERCIARIOS_CF_SEC_20230117.xlsx]CF PND'!$BX$51</v>
      </c>
      <c r="J1347" s="1" t="s">
        <v>776</v>
      </c>
    </row>
    <row r="1348" spans="1:10" x14ac:dyDescent="0.3">
      <c r="A1348" s="6" t="s">
        <v>16</v>
      </c>
      <c r="B1348" s="6">
        <f t="shared" si="306"/>
        <v>2039</v>
      </c>
      <c r="C1348" s="1" t="s">
        <v>40</v>
      </c>
      <c r="D1348" s="2" t="s">
        <v>131</v>
      </c>
      <c r="E1348" s="9" t="str">
        <f t="shared" si="285"/>
        <v>PND'!</v>
      </c>
      <c r="F1348" s="5" t="str">
        <f t="shared" si="298"/>
        <v>C:\Users\jaime.benazar\Quorum Business Solutions\Ecopetrol Prometeo - Documents\Planning Space Implementation\3. Analysis &amp; Design\Design\FC22\DRR Jaime\Neiva CPI\[VAO_DINA TERCIARIOS_CF_SEC_20230117.xlsx]CF PND'!</v>
      </c>
      <c r="G1348" s="6" t="s">
        <v>103</v>
      </c>
      <c r="H1348" s="1">
        <f t="shared" si="288"/>
        <v>52</v>
      </c>
      <c r="I1348" s="1" t="str">
        <f t="shared" si="286"/>
        <v>='C:\Users\jaime.benazar\Quorum Business Solutions\Ecopetrol Prometeo - Documents\Planning Space Implementation\3. Analysis &amp; Design\Design\FC22\DRR Jaime\Neiva CPI\[VAO_DINA TERCIARIOS_CF_SEC_20230117.xlsx]CF PND'!$BX$52</v>
      </c>
      <c r="J1348" s="1" t="s">
        <v>777</v>
      </c>
    </row>
    <row r="1349" spans="1:10" x14ac:dyDescent="0.3">
      <c r="A1349" s="6" t="s">
        <v>16</v>
      </c>
      <c r="B1349" s="6">
        <f t="shared" si="306"/>
        <v>2040</v>
      </c>
      <c r="C1349" s="1" t="s">
        <v>40</v>
      </c>
      <c r="D1349" s="2" t="s">
        <v>131</v>
      </c>
      <c r="E1349" s="9" t="str">
        <f t="shared" si="285"/>
        <v>PND'!</v>
      </c>
      <c r="F1349" s="5" t="str">
        <f t="shared" si="298"/>
        <v>C:\Users\jaime.benazar\Quorum Business Solutions\Ecopetrol Prometeo - Documents\Planning Space Implementation\3. Analysis &amp; Design\Design\FC22\DRR Jaime\Neiva CPI\[VAO_DINA TERCIARIOS_CF_SEC_20230117.xlsx]CF PND'!</v>
      </c>
      <c r="G1349" s="6" t="s">
        <v>103</v>
      </c>
      <c r="H1349" s="1">
        <f t="shared" si="288"/>
        <v>53</v>
      </c>
      <c r="I1349" s="1" t="str">
        <f t="shared" si="286"/>
        <v>='C:\Users\jaime.benazar\Quorum Business Solutions\Ecopetrol Prometeo - Documents\Planning Space Implementation\3. Analysis &amp; Design\Design\FC22\DRR Jaime\Neiva CPI\[VAO_DINA TERCIARIOS_CF_SEC_20230117.xlsx]CF PND'!$BX$53</v>
      </c>
      <c r="J1349" s="1" t="s">
        <v>778</v>
      </c>
    </row>
    <row r="1350" spans="1:10" x14ac:dyDescent="0.3">
      <c r="A1350" s="6" t="s">
        <v>16</v>
      </c>
      <c r="B1350" s="6">
        <f>+B1349+1</f>
        <v>2041</v>
      </c>
      <c r="C1350" s="1" t="s">
        <v>40</v>
      </c>
      <c r="D1350" s="2" t="s">
        <v>131</v>
      </c>
      <c r="E1350" s="9" t="str">
        <f t="shared" si="285"/>
        <v>PND'!</v>
      </c>
      <c r="F1350" s="5" t="str">
        <f t="shared" si="298"/>
        <v>C:\Users\jaime.benazar\Quorum Business Solutions\Ecopetrol Prometeo - Documents\Planning Space Implementation\3. Analysis &amp; Design\Design\FC22\DRR Jaime\Neiva CPI\[VAO_DINA TERCIARIOS_CF_SEC_20230117.xlsx]CF PND'!</v>
      </c>
      <c r="G1350" s="6" t="s">
        <v>103</v>
      </c>
      <c r="H1350" s="1">
        <f t="shared" si="288"/>
        <v>54</v>
      </c>
      <c r="I1350" s="1" t="str">
        <f t="shared" si="286"/>
        <v>='C:\Users\jaime.benazar\Quorum Business Solutions\Ecopetrol Prometeo - Documents\Planning Space Implementation\3. Analysis &amp; Design\Design\FC22\DRR Jaime\Neiva CPI\[VAO_DINA TERCIARIOS_CF_SEC_20230117.xlsx]CF PND'!$BX$54</v>
      </c>
      <c r="J1350" s="1" t="s">
        <v>779</v>
      </c>
    </row>
    <row r="1351" spans="1:10" x14ac:dyDescent="0.3">
      <c r="A1351" s="6" t="s">
        <v>16</v>
      </c>
      <c r="B1351" s="6">
        <f t="shared" ref="B1351:B1352" si="307">+B1350+1</f>
        <v>2042</v>
      </c>
      <c r="C1351" s="1" t="s">
        <v>40</v>
      </c>
      <c r="D1351" s="2" t="s">
        <v>131</v>
      </c>
      <c r="E1351" s="9" t="str">
        <f t="shared" ref="E1351:E1656" si="308">_xlfn.CONCAT(A1351,"'!")</f>
        <v>PND'!</v>
      </c>
      <c r="F1351" s="5" t="str">
        <f t="shared" si="298"/>
        <v>C:\Users\jaime.benazar\Quorum Business Solutions\Ecopetrol Prometeo - Documents\Planning Space Implementation\3. Analysis &amp; Design\Design\FC22\DRR Jaime\Neiva CPI\[VAO_DINA TERCIARIOS_CF_SEC_20230117.xlsx]CF PND'!</v>
      </c>
      <c r="G1351" s="6" t="s">
        <v>103</v>
      </c>
      <c r="H1351" s="1">
        <f t="shared" si="288"/>
        <v>55</v>
      </c>
      <c r="I1351" s="1" t="str">
        <f t="shared" ref="I1351:I1656" si="309">_xlfn.CONCAT("='",F1351:H1351)</f>
        <v>='C:\Users\jaime.benazar\Quorum Business Solutions\Ecopetrol Prometeo - Documents\Planning Space Implementation\3. Analysis &amp; Design\Design\FC22\DRR Jaime\Neiva CPI\[VAO_DINA TERCIARIOS_CF_SEC_20230117.xlsx]CF PND'!$BX$55</v>
      </c>
      <c r="J1351" s="1" t="s">
        <v>780</v>
      </c>
    </row>
    <row r="1352" spans="1:10" x14ac:dyDescent="0.3">
      <c r="A1352" s="6" t="s">
        <v>16</v>
      </c>
      <c r="B1352" s="6">
        <f t="shared" si="307"/>
        <v>2043</v>
      </c>
      <c r="C1352" s="1" t="s">
        <v>40</v>
      </c>
      <c r="D1352" s="2" t="s">
        <v>131</v>
      </c>
      <c r="E1352" s="9" t="str">
        <f t="shared" si="308"/>
        <v>PND'!</v>
      </c>
      <c r="F1352" s="5" t="str">
        <f t="shared" si="298"/>
        <v>C:\Users\jaime.benazar\Quorum Business Solutions\Ecopetrol Prometeo - Documents\Planning Space Implementation\3. Analysis &amp; Design\Design\FC22\DRR Jaime\Neiva CPI\[VAO_DINA TERCIARIOS_CF_SEC_20230117.xlsx]CF PND'!</v>
      </c>
      <c r="G1352" s="6" t="s">
        <v>103</v>
      </c>
      <c r="H1352" s="1">
        <f t="shared" ref="H1352:H1656" si="310">IF(A1352&lt;&gt;A1351,36,H1351+1)</f>
        <v>56</v>
      </c>
      <c r="I1352" s="1" t="str">
        <f t="shared" si="309"/>
        <v>='C:\Users\jaime.benazar\Quorum Business Solutions\Ecopetrol Prometeo - Documents\Planning Space Implementation\3. Analysis &amp; Design\Design\FC22\DRR Jaime\Neiva CPI\[VAO_DINA TERCIARIOS_CF_SEC_20230117.xlsx]CF PND'!$BX$56</v>
      </c>
      <c r="J1352" s="1" t="s">
        <v>781</v>
      </c>
    </row>
    <row r="1353" spans="1:10" x14ac:dyDescent="0.3">
      <c r="A1353" s="6" t="s">
        <v>16</v>
      </c>
      <c r="B1353" s="6">
        <f>+B1352+1</f>
        <v>2044</v>
      </c>
      <c r="C1353" s="1" t="s">
        <v>40</v>
      </c>
      <c r="D1353" s="2" t="s">
        <v>131</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Jaime\Neiva CPI\[VAO_DINA TERCIARIOS_CF_SEC_20230117.xlsx]CF PND'!</v>
      </c>
      <c r="G1353" s="6" t="s">
        <v>103</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Jaime\Neiva CPI\[VAO_DINA TERCIARIOS_CF_SEC_20230117.xlsx]CF PND'!$BX$57</v>
      </c>
      <c r="J1353" s="1" t="s">
        <v>782</v>
      </c>
    </row>
    <row r="1354" spans="1:10" x14ac:dyDescent="0.3">
      <c r="A1354" s="6" t="s">
        <v>16</v>
      </c>
      <c r="B1354" s="6">
        <f t="shared" ref="B1354:B1368" si="315">+B1353+1</f>
        <v>2045</v>
      </c>
      <c r="C1354" s="1" t="s">
        <v>40</v>
      </c>
      <c r="D1354" s="2" t="s">
        <v>131</v>
      </c>
      <c r="E1354" s="9" t="str">
        <f t="shared" si="311"/>
        <v>PND'!</v>
      </c>
      <c r="F1354" s="5" t="str">
        <f t="shared" si="312"/>
        <v>C:\Users\jaime.benazar\Quorum Business Solutions\Ecopetrol Prometeo - Documents\Planning Space Implementation\3. Analysis &amp; Design\Design\FC22\DRR Jaime\Neiva CPI\[VAO_DINA TERCIARIOS_CF_SEC_20230117.xlsx]CF PND'!</v>
      </c>
      <c r="G1354" s="6" t="s">
        <v>103</v>
      </c>
      <c r="H1354" s="1">
        <f t="shared" si="313"/>
        <v>58</v>
      </c>
      <c r="I1354" s="1" t="str">
        <f t="shared" si="314"/>
        <v>='C:\Users\jaime.benazar\Quorum Business Solutions\Ecopetrol Prometeo - Documents\Planning Space Implementation\3. Analysis &amp; Design\Design\FC22\DRR Jaime\Neiva CPI\[VAO_DINA TERCIARIOS_CF_SEC_20230117.xlsx]CF PND'!$BX$58</v>
      </c>
      <c r="J1354" s="1" t="s">
        <v>783</v>
      </c>
    </row>
    <row r="1355" spans="1:10" x14ac:dyDescent="0.3">
      <c r="A1355" s="6" t="s">
        <v>16</v>
      </c>
      <c r="B1355" s="6">
        <f t="shared" si="315"/>
        <v>2046</v>
      </c>
      <c r="C1355" s="1" t="s">
        <v>40</v>
      </c>
      <c r="D1355" s="2" t="s">
        <v>131</v>
      </c>
      <c r="E1355" s="9" t="str">
        <f t="shared" si="311"/>
        <v>PND'!</v>
      </c>
      <c r="F1355" s="5" t="str">
        <f t="shared" si="312"/>
        <v>C:\Users\jaime.benazar\Quorum Business Solutions\Ecopetrol Prometeo - Documents\Planning Space Implementation\3. Analysis &amp; Design\Design\FC22\DRR Jaime\Neiva CPI\[VAO_DINA TERCIARIOS_CF_SEC_20230117.xlsx]CF PND'!</v>
      </c>
      <c r="G1355" s="6" t="s">
        <v>103</v>
      </c>
      <c r="H1355" s="1">
        <f t="shared" si="313"/>
        <v>59</v>
      </c>
      <c r="I1355" s="1" t="str">
        <f t="shared" si="314"/>
        <v>='C:\Users\jaime.benazar\Quorum Business Solutions\Ecopetrol Prometeo - Documents\Planning Space Implementation\3. Analysis &amp; Design\Design\FC22\DRR Jaime\Neiva CPI\[VAO_DINA TERCIARIOS_CF_SEC_20230117.xlsx]CF PND'!$BX$59</v>
      </c>
      <c r="J1355" s="1" t="s">
        <v>784</v>
      </c>
    </row>
    <row r="1356" spans="1:10" x14ac:dyDescent="0.3">
      <c r="A1356" s="6" t="s">
        <v>16</v>
      </c>
      <c r="B1356" s="6">
        <f t="shared" si="315"/>
        <v>2047</v>
      </c>
      <c r="C1356" s="1" t="s">
        <v>40</v>
      </c>
      <c r="D1356" s="2" t="s">
        <v>131</v>
      </c>
      <c r="E1356" s="9" t="str">
        <f t="shared" si="311"/>
        <v>PND'!</v>
      </c>
      <c r="F1356" s="5" t="str">
        <f t="shared" si="312"/>
        <v>C:\Users\jaime.benazar\Quorum Business Solutions\Ecopetrol Prometeo - Documents\Planning Space Implementation\3. Analysis &amp; Design\Design\FC22\DRR Jaime\Neiva CPI\[VAO_DINA TERCIARIOS_CF_SEC_20230117.xlsx]CF PND'!</v>
      </c>
      <c r="G1356" s="6" t="s">
        <v>103</v>
      </c>
      <c r="H1356" s="1">
        <f t="shared" si="313"/>
        <v>60</v>
      </c>
      <c r="I1356" s="1" t="str">
        <f t="shared" si="314"/>
        <v>='C:\Users\jaime.benazar\Quorum Business Solutions\Ecopetrol Prometeo - Documents\Planning Space Implementation\3. Analysis &amp; Design\Design\FC22\DRR Jaime\Neiva CPI\[VAO_DINA TERCIARIOS_CF_SEC_20230117.xlsx]CF PND'!$BX$60</v>
      </c>
      <c r="J1356" s="1" t="s">
        <v>785</v>
      </c>
    </row>
    <row r="1357" spans="1:10" x14ac:dyDescent="0.3">
      <c r="A1357" s="6" t="s">
        <v>16</v>
      </c>
      <c r="B1357" s="6">
        <f t="shared" si="315"/>
        <v>2048</v>
      </c>
      <c r="C1357" s="1" t="s">
        <v>40</v>
      </c>
      <c r="D1357" s="2" t="s">
        <v>131</v>
      </c>
      <c r="E1357" s="9" t="str">
        <f t="shared" si="311"/>
        <v>PND'!</v>
      </c>
      <c r="F1357" s="5" t="str">
        <f t="shared" si="312"/>
        <v>C:\Users\jaime.benazar\Quorum Business Solutions\Ecopetrol Prometeo - Documents\Planning Space Implementation\3. Analysis &amp; Design\Design\FC22\DRR Jaime\Neiva CPI\[VAO_DINA TERCIARIOS_CF_SEC_20230117.xlsx]CF PND'!</v>
      </c>
      <c r="G1357" s="6" t="s">
        <v>103</v>
      </c>
      <c r="H1357" s="1">
        <f t="shared" si="313"/>
        <v>61</v>
      </c>
      <c r="I1357" s="1" t="str">
        <f t="shared" si="314"/>
        <v>='C:\Users\jaime.benazar\Quorum Business Solutions\Ecopetrol Prometeo - Documents\Planning Space Implementation\3. Analysis &amp; Design\Design\FC22\DRR Jaime\Neiva CPI\[VAO_DINA TERCIARIOS_CF_SEC_20230117.xlsx]CF PND'!$BX$61</v>
      </c>
      <c r="J1357" s="1" t="s">
        <v>786</v>
      </c>
    </row>
    <row r="1358" spans="1:10" x14ac:dyDescent="0.3">
      <c r="A1358" s="6" t="s">
        <v>16</v>
      </c>
      <c r="B1358" s="6">
        <f t="shared" si="315"/>
        <v>2049</v>
      </c>
      <c r="C1358" s="1" t="s">
        <v>40</v>
      </c>
      <c r="D1358" s="2" t="s">
        <v>131</v>
      </c>
      <c r="E1358" s="9" t="str">
        <f t="shared" si="311"/>
        <v>PND'!</v>
      </c>
      <c r="F1358" s="5" t="str">
        <f t="shared" si="312"/>
        <v>C:\Users\jaime.benazar\Quorum Business Solutions\Ecopetrol Prometeo - Documents\Planning Space Implementation\3. Analysis &amp; Design\Design\FC22\DRR Jaime\Neiva CPI\[VAO_DINA TERCIARIOS_CF_SEC_20230117.xlsx]CF PND'!</v>
      </c>
      <c r="G1358" s="6" t="s">
        <v>103</v>
      </c>
      <c r="H1358" s="1">
        <f t="shared" si="313"/>
        <v>62</v>
      </c>
      <c r="I1358" s="1" t="str">
        <f t="shared" si="314"/>
        <v>='C:\Users\jaime.benazar\Quorum Business Solutions\Ecopetrol Prometeo - Documents\Planning Space Implementation\3. Analysis &amp; Design\Design\FC22\DRR Jaime\Neiva CPI\[VAO_DINA TERCIARIOS_CF_SEC_20230117.xlsx]CF PND'!$BX$62</v>
      </c>
      <c r="J1358" s="1" t="s">
        <v>787</v>
      </c>
    </row>
    <row r="1359" spans="1:10" x14ac:dyDescent="0.3">
      <c r="A1359" s="6" t="s">
        <v>16</v>
      </c>
      <c r="B1359" s="6">
        <f t="shared" si="315"/>
        <v>2050</v>
      </c>
      <c r="C1359" s="1" t="s">
        <v>40</v>
      </c>
      <c r="D1359" s="2" t="s">
        <v>131</v>
      </c>
      <c r="E1359" s="9" t="str">
        <f t="shared" si="311"/>
        <v>PND'!</v>
      </c>
      <c r="F1359" s="5" t="str">
        <f t="shared" si="312"/>
        <v>C:\Users\jaime.benazar\Quorum Business Solutions\Ecopetrol Prometeo - Documents\Planning Space Implementation\3. Analysis &amp; Design\Design\FC22\DRR Jaime\Neiva CPI\[VAO_DINA TERCIARIOS_CF_SEC_20230117.xlsx]CF PND'!</v>
      </c>
      <c r="G1359" s="6" t="s">
        <v>103</v>
      </c>
      <c r="H1359" s="1">
        <f t="shared" si="313"/>
        <v>63</v>
      </c>
      <c r="I1359" s="1" t="str">
        <f t="shared" si="314"/>
        <v>='C:\Users\jaime.benazar\Quorum Business Solutions\Ecopetrol Prometeo - Documents\Planning Space Implementation\3. Analysis &amp; Design\Design\FC22\DRR Jaime\Neiva CPI\[VAO_DINA TERCIARIOS_CF_SEC_20230117.xlsx]CF PND'!$BX$63</v>
      </c>
      <c r="J1359" s="1" t="s">
        <v>788</v>
      </c>
    </row>
    <row r="1360" spans="1:10" x14ac:dyDescent="0.3">
      <c r="A1360" s="6" t="s">
        <v>16</v>
      </c>
      <c r="B1360" s="6">
        <f t="shared" si="315"/>
        <v>2051</v>
      </c>
      <c r="C1360" s="1" t="s">
        <v>40</v>
      </c>
      <c r="D1360" s="2" t="s">
        <v>131</v>
      </c>
      <c r="E1360" s="9" t="str">
        <f t="shared" si="311"/>
        <v>PND'!</v>
      </c>
      <c r="F1360" s="5" t="str">
        <f t="shared" si="312"/>
        <v>C:\Users\jaime.benazar\Quorum Business Solutions\Ecopetrol Prometeo - Documents\Planning Space Implementation\3. Analysis &amp; Design\Design\FC22\DRR Jaime\Neiva CPI\[VAO_DINA TERCIARIOS_CF_SEC_20230117.xlsx]CF PND'!</v>
      </c>
      <c r="G1360" s="6" t="s">
        <v>103</v>
      </c>
      <c r="H1360" s="1">
        <f t="shared" si="313"/>
        <v>64</v>
      </c>
      <c r="I1360" s="1" t="str">
        <f t="shared" si="314"/>
        <v>='C:\Users\jaime.benazar\Quorum Business Solutions\Ecopetrol Prometeo - Documents\Planning Space Implementation\3. Analysis &amp; Design\Design\FC22\DRR Jaime\Neiva CPI\[VAO_DINA TERCIARIOS_CF_SEC_20230117.xlsx]CF PND'!$BX$64</v>
      </c>
      <c r="J1360" s="1" t="s">
        <v>789</v>
      </c>
    </row>
    <row r="1361" spans="1:10" x14ac:dyDescent="0.3">
      <c r="A1361" s="6" t="s">
        <v>16</v>
      </c>
      <c r="B1361" s="6">
        <f t="shared" si="315"/>
        <v>2052</v>
      </c>
      <c r="C1361" s="1" t="s">
        <v>40</v>
      </c>
      <c r="D1361" s="2" t="s">
        <v>131</v>
      </c>
      <c r="E1361" s="9" t="str">
        <f t="shared" si="311"/>
        <v>PND'!</v>
      </c>
      <c r="F1361" s="5" t="str">
        <f t="shared" si="312"/>
        <v>C:\Users\jaime.benazar\Quorum Business Solutions\Ecopetrol Prometeo - Documents\Planning Space Implementation\3. Analysis &amp; Design\Design\FC22\DRR Jaime\Neiva CPI\[VAO_DINA TERCIARIOS_CF_SEC_20230117.xlsx]CF PND'!</v>
      </c>
      <c r="G1361" s="6" t="s">
        <v>103</v>
      </c>
      <c r="H1361" s="1">
        <f t="shared" si="313"/>
        <v>65</v>
      </c>
      <c r="I1361" s="1" t="str">
        <f t="shared" si="314"/>
        <v>='C:\Users\jaime.benazar\Quorum Business Solutions\Ecopetrol Prometeo - Documents\Planning Space Implementation\3. Analysis &amp; Design\Design\FC22\DRR Jaime\Neiva CPI\[VAO_DINA TERCIARIOS_CF_SEC_20230117.xlsx]CF PND'!$BX$65</v>
      </c>
      <c r="J1361" s="1" t="s">
        <v>790</v>
      </c>
    </row>
    <row r="1362" spans="1:10" x14ac:dyDescent="0.3">
      <c r="A1362" s="6" t="s">
        <v>16</v>
      </c>
      <c r="B1362" s="6">
        <f t="shared" si="315"/>
        <v>2053</v>
      </c>
      <c r="C1362" s="1" t="s">
        <v>40</v>
      </c>
      <c r="D1362" s="2" t="s">
        <v>131</v>
      </c>
      <c r="E1362" s="9" t="str">
        <f t="shared" si="311"/>
        <v>PND'!</v>
      </c>
      <c r="F1362" s="5" t="str">
        <f t="shared" si="312"/>
        <v>C:\Users\jaime.benazar\Quorum Business Solutions\Ecopetrol Prometeo - Documents\Planning Space Implementation\3. Analysis &amp; Design\Design\FC22\DRR Jaime\Neiva CPI\[VAO_DINA TERCIARIOS_CF_SEC_20230117.xlsx]CF PND'!</v>
      </c>
      <c r="G1362" s="6" t="s">
        <v>103</v>
      </c>
      <c r="H1362" s="1">
        <f t="shared" si="313"/>
        <v>66</v>
      </c>
      <c r="I1362" s="1" t="str">
        <f t="shared" si="314"/>
        <v>='C:\Users\jaime.benazar\Quorum Business Solutions\Ecopetrol Prometeo - Documents\Planning Space Implementation\3. Analysis &amp; Design\Design\FC22\DRR Jaime\Neiva CPI\[VAO_DINA TERCIARIOS_CF_SEC_20230117.xlsx]CF PND'!$BX$66</v>
      </c>
      <c r="J1362" s="1" t="s">
        <v>791</v>
      </c>
    </row>
    <row r="1363" spans="1:10" x14ac:dyDescent="0.3">
      <c r="A1363" s="6" t="s">
        <v>16</v>
      </c>
      <c r="B1363" s="6">
        <f t="shared" si="315"/>
        <v>2054</v>
      </c>
      <c r="C1363" s="1" t="s">
        <v>40</v>
      </c>
      <c r="D1363" s="2" t="s">
        <v>131</v>
      </c>
      <c r="E1363" s="9" t="str">
        <f t="shared" si="311"/>
        <v>PND'!</v>
      </c>
      <c r="F1363" s="5" t="str">
        <f t="shared" si="312"/>
        <v>C:\Users\jaime.benazar\Quorum Business Solutions\Ecopetrol Prometeo - Documents\Planning Space Implementation\3. Analysis &amp; Design\Design\FC22\DRR Jaime\Neiva CPI\[VAO_DINA TERCIARIOS_CF_SEC_20230117.xlsx]CF PND'!</v>
      </c>
      <c r="G1363" s="6" t="s">
        <v>103</v>
      </c>
      <c r="H1363" s="1">
        <f t="shared" si="313"/>
        <v>67</v>
      </c>
      <c r="I1363" s="1" t="str">
        <f t="shared" si="314"/>
        <v>='C:\Users\jaime.benazar\Quorum Business Solutions\Ecopetrol Prometeo - Documents\Planning Space Implementation\3. Analysis &amp; Design\Design\FC22\DRR Jaime\Neiva CPI\[VAO_DINA TERCIARIOS_CF_SEC_20230117.xlsx]CF PND'!$BX$67</v>
      </c>
      <c r="J1363" s="1" t="s">
        <v>792</v>
      </c>
    </row>
    <row r="1364" spans="1:10" x14ac:dyDescent="0.3">
      <c r="A1364" s="6" t="s">
        <v>16</v>
      </c>
      <c r="B1364" s="6">
        <f t="shared" si="315"/>
        <v>2055</v>
      </c>
      <c r="C1364" s="1" t="s">
        <v>40</v>
      </c>
      <c r="D1364" s="2" t="s">
        <v>131</v>
      </c>
      <c r="E1364" s="9" t="str">
        <f t="shared" si="311"/>
        <v>PND'!</v>
      </c>
      <c r="F1364" s="5" t="str">
        <f t="shared" si="312"/>
        <v>C:\Users\jaime.benazar\Quorum Business Solutions\Ecopetrol Prometeo - Documents\Planning Space Implementation\3. Analysis &amp; Design\Design\FC22\DRR Jaime\Neiva CPI\[VAO_DINA TERCIARIOS_CF_SEC_20230117.xlsx]CF PND'!</v>
      </c>
      <c r="G1364" s="6" t="s">
        <v>103</v>
      </c>
      <c r="H1364" s="1">
        <f t="shared" si="313"/>
        <v>68</v>
      </c>
      <c r="I1364" s="1" t="str">
        <f t="shared" si="314"/>
        <v>='C:\Users\jaime.benazar\Quorum Business Solutions\Ecopetrol Prometeo - Documents\Planning Space Implementation\3. Analysis &amp; Design\Design\FC22\DRR Jaime\Neiva CPI\[VAO_DINA TERCIARIOS_CF_SEC_20230117.xlsx]CF PND'!$BX$68</v>
      </c>
      <c r="J1364" s="1" t="s">
        <v>793</v>
      </c>
    </row>
    <row r="1365" spans="1:10" x14ac:dyDescent="0.3">
      <c r="A1365" s="6" t="s">
        <v>16</v>
      </c>
      <c r="B1365" s="6">
        <f t="shared" si="315"/>
        <v>2056</v>
      </c>
      <c r="C1365" s="1" t="s">
        <v>40</v>
      </c>
      <c r="D1365" s="2" t="s">
        <v>131</v>
      </c>
      <c r="E1365" s="9" t="str">
        <f t="shared" si="311"/>
        <v>PND'!</v>
      </c>
      <c r="F1365" s="5" t="str">
        <f t="shared" si="312"/>
        <v>C:\Users\jaime.benazar\Quorum Business Solutions\Ecopetrol Prometeo - Documents\Planning Space Implementation\3. Analysis &amp; Design\Design\FC22\DRR Jaime\Neiva CPI\[VAO_DINA TERCIARIOS_CF_SEC_20230117.xlsx]CF PND'!</v>
      </c>
      <c r="G1365" s="6" t="s">
        <v>103</v>
      </c>
      <c r="H1365" s="1">
        <f t="shared" si="313"/>
        <v>69</v>
      </c>
      <c r="I1365" s="1" t="str">
        <f t="shared" si="314"/>
        <v>='C:\Users\jaime.benazar\Quorum Business Solutions\Ecopetrol Prometeo - Documents\Planning Space Implementation\3. Analysis &amp; Design\Design\FC22\DRR Jaime\Neiva CPI\[VAO_DINA TERCIARIOS_CF_SEC_20230117.xlsx]CF PND'!$BX$69</v>
      </c>
      <c r="J1365" s="1" t="s">
        <v>794</v>
      </c>
    </row>
    <row r="1366" spans="1:10" x14ac:dyDescent="0.3">
      <c r="A1366" s="6" t="s">
        <v>16</v>
      </c>
      <c r="B1366" s="6">
        <f t="shared" si="315"/>
        <v>2057</v>
      </c>
      <c r="C1366" s="1" t="s">
        <v>40</v>
      </c>
      <c r="D1366" s="2" t="s">
        <v>131</v>
      </c>
      <c r="E1366" s="9" t="str">
        <f t="shared" si="311"/>
        <v>PND'!</v>
      </c>
      <c r="F1366" s="5" t="str">
        <f t="shared" si="312"/>
        <v>C:\Users\jaime.benazar\Quorum Business Solutions\Ecopetrol Prometeo - Documents\Planning Space Implementation\3. Analysis &amp; Design\Design\FC22\DRR Jaime\Neiva CPI\[VAO_DINA TERCIARIOS_CF_SEC_20230117.xlsx]CF PND'!</v>
      </c>
      <c r="G1366" s="6" t="s">
        <v>103</v>
      </c>
      <c r="H1366" s="1">
        <f t="shared" si="313"/>
        <v>70</v>
      </c>
      <c r="I1366" s="1" t="str">
        <f t="shared" si="314"/>
        <v>='C:\Users\jaime.benazar\Quorum Business Solutions\Ecopetrol Prometeo - Documents\Planning Space Implementation\3. Analysis &amp; Design\Design\FC22\DRR Jaime\Neiva CPI\[VAO_DINA TERCIARIOS_CF_SEC_20230117.xlsx]CF PND'!$BX$70</v>
      </c>
      <c r="J1366" s="1" t="s">
        <v>795</v>
      </c>
    </row>
    <row r="1367" spans="1:10" x14ac:dyDescent="0.3">
      <c r="A1367" s="6" t="s">
        <v>16</v>
      </c>
      <c r="B1367" s="6">
        <f t="shared" si="315"/>
        <v>2058</v>
      </c>
      <c r="C1367" s="1" t="s">
        <v>40</v>
      </c>
      <c r="D1367" s="2" t="s">
        <v>131</v>
      </c>
      <c r="E1367" s="9" t="str">
        <f t="shared" si="311"/>
        <v>PND'!</v>
      </c>
      <c r="F1367" s="5" t="str">
        <f t="shared" si="312"/>
        <v>C:\Users\jaime.benazar\Quorum Business Solutions\Ecopetrol Prometeo - Documents\Planning Space Implementation\3. Analysis &amp; Design\Design\FC22\DRR Jaime\Neiva CPI\[VAO_DINA TERCIARIOS_CF_SEC_20230117.xlsx]CF PND'!</v>
      </c>
      <c r="G1367" s="6" t="s">
        <v>103</v>
      </c>
      <c r="H1367" s="1">
        <f t="shared" si="313"/>
        <v>71</v>
      </c>
      <c r="I1367" s="1" t="str">
        <f t="shared" si="314"/>
        <v>='C:\Users\jaime.benazar\Quorum Business Solutions\Ecopetrol Prometeo - Documents\Planning Space Implementation\3. Analysis &amp; Design\Design\FC22\DRR Jaime\Neiva CPI\[VAO_DINA TERCIARIOS_CF_SEC_20230117.xlsx]CF PND'!$BX$71</v>
      </c>
      <c r="J1367" s="1" t="s">
        <v>796</v>
      </c>
    </row>
    <row r="1368" spans="1:10" x14ac:dyDescent="0.3">
      <c r="A1368" s="6" t="s">
        <v>16</v>
      </c>
      <c r="B1368" s="6">
        <f t="shared" si="315"/>
        <v>2059</v>
      </c>
      <c r="C1368" s="1" t="s">
        <v>40</v>
      </c>
      <c r="D1368" s="2" t="s">
        <v>131</v>
      </c>
      <c r="E1368" s="9" t="str">
        <f t="shared" si="311"/>
        <v>PND'!</v>
      </c>
      <c r="F1368" s="5" t="str">
        <f t="shared" si="312"/>
        <v>C:\Users\jaime.benazar\Quorum Business Solutions\Ecopetrol Prometeo - Documents\Planning Space Implementation\3. Analysis &amp; Design\Design\FC22\DRR Jaime\Neiva CPI\[VAO_DINA TERCIARIOS_CF_SEC_20230117.xlsx]CF PND'!</v>
      </c>
      <c r="G1368" s="6" t="s">
        <v>103</v>
      </c>
      <c r="H1368" s="1">
        <f t="shared" si="313"/>
        <v>72</v>
      </c>
      <c r="I1368" s="1" t="str">
        <f t="shared" si="314"/>
        <v>='C:\Users\jaime.benazar\Quorum Business Solutions\Ecopetrol Prometeo - Documents\Planning Space Implementation\3. Analysis &amp; Design\Design\FC22\DRR Jaime\Neiva CPI\[VAO_DINA TERCIARIOS_CF_SEC_20230117.xlsx]CF PND'!$BX$72</v>
      </c>
      <c r="J1368" s="1" t="s">
        <v>797</v>
      </c>
    </row>
    <row r="1369" spans="1:10" x14ac:dyDescent="0.3">
      <c r="A1369" s="6" t="s">
        <v>26</v>
      </c>
      <c r="B1369" s="6"/>
      <c r="C1369" s="1" t="s">
        <v>40</v>
      </c>
      <c r="D1369" s="2"/>
      <c r="E1369" s="9"/>
      <c r="F1369" s="5" t="str">
        <f t="shared" si="298"/>
        <v xml:space="preserve"> </v>
      </c>
      <c r="G1369" s="6"/>
      <c r="H1369" s="1"/>
      <c r="I1369" s="1"/>
      <c r="J1369" s="4"/>
    </row>
    <row r="1370" spans="1:10" x14ac:dyDescent="0.3">
      <c r="A1370" s="6" t="s">
        <v>17</v>
      </c>
      <c r="B1370" s="6">
        <v>2023</v>
      </c>
      <c r="C1370" s="1" t="s">
        <v>40</v>
      </c>
      <c r="D1370" s="2" t="s">
        <v>131</v>
      </c>
      <c r="E1370" s="9" t="str">
        <f t="shared" ref="E1370:E1390" si="316">_xlfn.CONCAT(A1370,"'!")</f>
        <v>PRBDP'!</v>
      </c>
      <c r="F1370" s="5" t="str">
        <f t="shared" si="298"/>
        <v>C:\Users\jaime.benazar\Quorum Business Solutions\Ecopetrol Prometeo - Documents\Planning Space Implementation\3. Analysis &amp; Design\Design\FC22\DRR Jaime\Neiva CPI\[VAO_DINA TERCIARIOS_CF_SEC_20230117.xlsx]CF PRBDP'!</v>
      </c>
      <c r="G1370" s="6" t="s">
        <v>103</v>
      </c>
      <c r="H1370" s="1"/>
      <c r="I1370" s="1"/>
      <c r="J1370" s="1"/>
    </row>
    <row r="1371" spans="1:10" x14ac:dyDescent="0.3">
      <c r="A1371" s="6" t="s">
        <v>17</v>
      </c>
      <c r="B1371" s="6">
        <f>+B1370+1</f>
        <v>2024</v>
      </c>
      <c r="C1371" s="1" t="s">
        <v>40</v>
      </c>
      <c r="D1371" s="2" t="s">
        <v>131</v>
      </c>
      <c r="E1371" s="9" t="str">
        <f t="shared" si="316"/>
        <v>PRBDP'!</v>
      </c>
      <c r="F1371" s="5" t="str">
        <f t="shared" si="298"/>
        <v>C:\Users\jaime.benazar\Quorum Business Solutions\Ecopetrol Prometeo - Documents\Planning Space Implementation\3. Analysis &amp; Design\Design\FC22\DRR Jaime\Neiva CPI\[VAO_DINA TERCIARIOS_CF_SEC_20230117.xlsx]CF PRBDP'!</v>
      </c>
      <c r="G1371" s="6" t="s">
        <v>103</v>
      </c>
      <c r="H1371" s="1"/>
      <c r="I1371" s="1"/>
      <c r="J1371" s="1"/>
    </row>
    <row r="1372" spans="1:10" x14ac:dyDescent="0.3">
      <c r="A1372" s="6" t="s">
        <v>17</v>
      </c>
      <c r="B1372" s="6">
        <f t="shared" ref="B1372:B1383" si="317">+B1371+1</f>
        <v>2025</v>
      </c>
      <c r="C1372" s="1" t="s">
        <v>40</v>
      </c>
      <c r="D1372" s="2" t="s">
        <v>131</v>
      </c>
      <c r="E1372" s="9" t="str">
        <f t="shared" si="316"/>
        <v>PRBDP'!</v>
      </c>
      <c r="F1372" s="5" t="str">
        <f t="shared" si="298"/>
        <v>C:\Users\jaime.benazar\Quorum Business Solutions\Ecopetrol Prometeo - Documents\Planning Space Implementation\3. Analysis &amp; Design\Design\FC22\DRR Jaime\Neiva CPI\[VAO_DINA TERCIARIOS_CF_SEC_20230117.xlsx]CF PRBDP'!</v>
      </c>
      <c r="G1372" s="6" t="s">
        <v>103</v>
      </c>
      <c r="H1372" s="1"/>
      <c r="I1372" s="1"/>
      <c r="J1372" s="1"/>
    </row>
    <row r="1373" spans="1:10" x14ac:dyDescent="0.3">
      <c r="A1373" s="6" t="s">
        <v>17</v>
      </c>
      <c r="B1373" s="6">
        <f t="shared" si="317"/>
        <v>2026</v>
      </c>
      <c r="C1373" s="1" t="s">
        <v>40</v>
      </c>
      <c r="D1373" s="2" t="s">
        <v>131</v>
      </c>
      <c r="E1373" s="9" t="str">
        <f t="shared" si="316"/>
        <v>PRBDP'!</v>
      </c>
      <c r="F1373" s="5" t="str">
        <f t="shared" si="298"/>
        <v>C:\Users\jaime.benazar\Quorum Business Solutions\Ecopetrol Prometeo - Documents\Planning Space Implementation\3. Analysis &amp; Design\Design\FC22\DRR Jaime\Neiva CPI\[VAO_DINA TERCIARIOS_CF_SEC_20230117.xlsx]CF PRBDP'!</v>
      </c>
      <c r="G1373" s="6" t="s">
        <v>103</v>
      </c>
      <c r="H1373" s="1"/>
      <c r="I1373" s="1"/>
      <c r="J1373" s="1"/>
    </row>
    <row r="1374" spans="1:10" x14ac:dyDescent="0.3">
      <c r="A1374" s="6" t="s">
        <v>17</v>
      </c>
      <c r="B1374" s="6">
        <f t="shared" si="317"/>
        <v>2027</v>
      </c>
      <c r="C1374" s="1" t="s">
        <v>40</v>
      </c>
      <c r="D1374" s="2" t="s">
        <v>131</v>
      </c>
      <c r="E1374" s="9" t="str">
        <f t="shared" si="316"/>
        <v>PRBDP'!</v>
      </c>
      <c r="F1374" s="5" t="str">
        <f t="shared" si="298"/>
        <v>C:\Users\jaime.benazar\Quorum Business Solutions\Ecopetrol Prometeo - Documents\Planning Space Implementation\3. Analysis &amp; Design\Design\FC22\DRR Jaime\Neiva CPI\[VAO_DINA TERCIARIOS_CF_SEC_20230117.xlsx]CF PRBDP'!</v>
      </c>
      <c r="G1374" s="6" t="s">
        <v>103</v>
      </c>
      <c r="H1374" s="1"/>
      <c r="I1374" s="1"/>
      <c r="J1374" s="1"/>
    </row>
    <row r="1375" spans="1:10" x14ac:dyDescent="0.3">
      <c r="A1375" s="6" t="s">
        <v>17</v>
      </c>
      <c r="B1375" s="6">
        <f t="shared" si="317"/>
        <v>2028</v>
      </c>
      <c r="C1375" s="1" t="s">
        <v>40</v>
      </c>
      <c r="D1375" s="2" t="s">
        <v>131</v>
      </c>
      <c r="E1375" s="9" t="str">
        <f t="shared" si="316"/>
        <v>PRBDP'!</v>
      </c>
      <c r="F1375" s="5" t="str">
        <f t="shared" si="298"/>
        <v>C:\Users\jaime.benazar\Quorum Business Solutions\Ecopetrol Prometeo - Documents\Planning Space Implementation\3. Analysis &amp; Design\Design\FC22\DRR Jaime\Neiva CPI\[VAO_DINA TERCIARIOS_CF_SEC_20230117.xlsx]CF PRBDP'!</v>
      </c>
      <c r="G1375" s="6" t="s">
        <v>103</v>
      </c>
      <c r="H1375" s="1"/>
      <c r="I1375" s="1"/>
      <c r="J1375" s="1"/>
    </row>
    <row r="1376" spans="1:10" x14ac:dyDescent="0.3">
      <c r="A1376" s="6" t="s">
        <v>17</v>
      </c>
      <c r="B1376" s="6">
        <f t="shared" si="317"/>
        <v>2029</v>
      </c>
      <c r="C1376" s="1" t="s">
        <v>40</v>
      </c>
      <c r="D1376" s="2" t="s">
        <v>131</v>
      </c>
      <c r="E1376" s="9" t="str">
        <f t="shared" si="316"/>
        <v>PRBDP'!</v>
      </c>
      <c r="F1376" s="5" t="str">
        <f t="shared" si="298"/>
        <v>C:\Users\jaime.benazar\Quorum Business Solutions\Ecopetrol Prometeo - Documents\Planning Space Implementation\3. Analysis &amp; Design\Design\FC22\DRR Jaime\Neiva CPI\[VAO_DINA TERCIARIOS_CF_SEC_20230117.xlsx]CF PRBDP'!</v>
      </c>
      <c r="G1376" s="6" t="s">
        <v>103</v>
      </c>
      <c r="H1376" s="1"/>
      <c r="I1376" s="1"/>
      <c r="J1376" s="1"/>
    </row>
    <row r="1377" spans="1:10" x14ac:dyDescent="0.3">
      <c r="A1377" s="6" t="s">
        <v>17</v>
      </c>
      <c r="B1377" s="6">
        <f t="shared" si="317"/>
        <v>2030</v>
      </c>
      <c r="C1377" s="1" t="s">
        <v>40</v>
      </c>
      <c r="D1377" s="2" t="s">
        <v>131</v>
      </c>
      <c r="E1377" s="9" t="str">
        <f t="shared" si="316"/>
        <v>PRBDP'!</v>
      </c>
      <c r="F1377" s="5" t="str">
        <f t="shared" si="298"/>
        <v>C:\Users\jaime.benazar\Quorum Business Solutions\Ecopetrol Prometeo - Documents\Planning Space Implementation\3. Analysis &amp; Design\Design\FC22\DRR Jaime\Neiva CPI\[VAO_DINA TERCIARIOS_CF_SEC_20230117.xlsx]CF PRBDP'!</v>
      </c>
      <c r="G1377" s="6" t="s">
        <v>103</v>
      </c>
      <c r="H1377" s="1"/>
      <c r="I1377" s="1"/>
      <c r="J1377" s="1"/>
    </row>
    <row r="1378" spans="1:10" x14ac:dyDescent="0.3">
      <c r="A1378" s="6" t="s">
        <v>17</v>
      </c>
      <c r="B1378" s="6">
        <f t="shared" si="317"/>
        <v>2031</v>
      </c>
      <c r="C1378" s="1" t="s">
        <v>40</v>
      </c>
      <c r="D1378" s="2" t="s">
        <v>131</v>
      </c>
      <c r="E1378" s="9" t="str">
        <f t="shared" si="316"/>
        <v>PRBDP'!</v>
      </c>
      <c r="F1378" s="5" t="str">
        <f t="shared" si="298"/>
        <v>C:\Users\jaime.benazar\Quorum Business Solutions\Ecopetrol Prometeo - Documents\Planning Space Implementation\3. Analysis &amp; Design\Design\FC22\DRR Jaime\Neiva CPI\[VAO_DINA TERCIARIOS_CF_SEC_20230117.xlsx]CF PRBDP'!</v>
      </c>
      <c r="G1378" s="6" t="s">
        <v>103</v>
      </c>
      <c r="H1378" s="1"/>
      <c r="I1378" s="1"/>
      <c r="J1378" s="1"/>
    </row>
    <row r="1379" spans="1:10" x14ac:dyDescent="0.3">
      <c r="A1379" s="6" t="s">
        <v>17</v>
      </c>
      <c r="B1379" s="6">
        <f t="shared" si="317"/>
        <v>2032</v>
      </c>
      <c r="C1379" s="1" t="s">
        <v>40</v>
      </c>
      <c r="D1379" s="2" t="s">
        <v>131</v>
      </c>
      <c r="E1379" s="9" t="str">
        <f t="shared" si="316"/>
        <v>PRBDP'!</v>
      </c>
      <c r="F1379" s="5" t="str">
        <f t="shared" si="298"/>
        <v>C:\Users\jaime.benazar\Quorum Business Solutions\Ecopetrol Prometeo - Documents\Planning Space Implementation\3. Analysis &amp; Design\Design\FC22\DRR Jaime\Neiva CPI\[VAO_DINA TERCIARIOS_CF_SEC_20230117.xlsx]CF PRBDP'!</v>
      </c>
      <c r="G1379" s="6" t="s">
        <v>103</v>
      </c>
      <c r="H1379" s="1"/>
      <c r="I1379" s="1"/>
      <c r="J1379" s="1"/>
    </row>
    <row r="1380" spans="1:10" x14ac:dyDescent="0.3">
      <c r="A1380" s="6" t="s">
        <v>17</v>
      </c>
      <c r="B1380" s="6">
        <f t="shared" si="317"/>
        <v>2033</v>
      </c>
      <c r="C1380" s="1" t="s">
        <v>40</v>
      </c>
      <c r="D1380" s="2" t="s">
        <v>131</v>
      </c>
      <c r="E1380" s="9" t="str">
        <f t="shared" si="316"/>
        <v>PRBDP'!</v>
      </c>
      <c r="F1380" s="5" t="str">
        <f t="shared" si="298"/>
        <v>C:\Users\jaime.benazar\Quorum Business Solutions\Ecopetrol Prometeo - Documents\Planning Space Implementation\3. Analysis &amp; Design\Design\FC22\DRR Jaime\Neiva CPI\[VAO_DINA TERCIARIOS_CF_SEC_20230117.xlsx]CF PRBDP'!</v>
      </c>
      <c r="G1380" s="6" t="s">
        <v>103</v>
      </c>
      <c r="H1380" s="1"/>
      <c r="I1380" s="1"/>
      <c r="J1380" s="1"/>
    </row>
    <row r="1381" spans="1:10" x14ac:dyDescent="0.3">
      <c r="A1381" s="6" t="s">
        <v>17</v>
      </c>
      <c r="B1381" s="6">
        <f t="shared" si="317"/>
        <v>2034</v>
      </c>
      <c r="C1381" s="1" t="s">
        <v>40</v>
      </c>
      <c r="D1381" s="2" t="s">
        <v>131</v>
      </c>
      <c r="E1381" s="9" t="str">
        <f t="shared" si="316"/>
        <v>PRBDP'!</v>
      </c>
      <c r="F1381" s="5" t="str">
        <f t="shared" si="298"/>
        <v>C:\Users\jaime.benazar\Quorum Business Solutions\Ecopetrol Prometeo - Documents\Planning Space Implementation\3. Analysis &amp; Design\Design\FC22\DRR Jaime\Neiva CPI\[VAO_DINA TERCIARIOS_CF_SEC_20230117.xlsx]CF PRBDP'!</v>
      </c>
      <c r="G1381" s="6" t="s">
        <v>103</v>
      </c>
      <c r="H1381" s="1"/>
      <c r="I1381" s="1"/>
      <c r="J1381" s="1"/>
    </row>
    <row r="1382" spans="1:10" x14ac:dyDescent="0.3">
      <c r="A1382" s="6" t="s">
        <v>17</v>
      </c>
      <c r="B1382" s="6">
        <f t="shared" si="317"/>
        <v>2035</v>
      </c>
      <c r="C1382" s="1" t="s">
        <v>40</v>
      </c>
      <c r="D1382" s="2" t="s">
        <v>131</v>
      </c>
      <c r="E1382" s="9" t="str">
        <f t="shared" si="316"/>
        <v>PRBDP'!</v>
      </c>
      <c r="F1382" s="5" t="str">
        <f t="shared" si="298"/>
        <v>C:\Users\jaime.benazar\Quorum Business Solutions\Ecopetrol Prometeo - Documents\Planning Space Implementation\3. Analysis &amp; Design\Design\FC22\DRR Jaime\Neiva CPI\[VAO_DINA TERCIARIOS_CF_SEC_20230117.xlsx]CF PRBDP'!</v>
      </c>
      <c r="G1382" s="6" t="s">
        <v>103</v>
      </c>
      <c r="H1382" s="1"/>
      <c r="I1382" s="1"/>
      <c r="J1382" s="1"/>
    </row>
    <row r="1383" spans="1:10" x14ac:dyDescent="0.3">
      <c r="A1383" s="6" t="s">
        <v>17</v>
      </c>
      <c r="B1383" s="6">
        <f t="shared" si="317"/>
        <v>2036</v>
      </c>
      <c r="C1383" s="1" t="s">
        <v>40</v>
      </c>
      <c r="D1383" s="2" t="s">
        <v>131</v>
      </c>
      <c r="E1383" s="9" t="str">
        <f t="shared" si="316"/>
        <v>PRBDP'!</v>
      </c>
      <c r="F1383" s="5" t="str">
        <f t="shared" si="298"/>
        <v>C:\Users\jaime.benazar\Quorum Business Solutions\Ecopetrol Prometeo - Documents\Planning Space Implementation\3. Analysis &amp; Design\Design\FC22\DRR Jaime\Neiva CPI\[VAO_DINA TERCIARIOS_CF_SEC_20230117.xlsx]CF PRBDP'!</v>
      </c>
      <c r="G1383" s="6" t="s">
        <v>103</v>
      </c>
      <c r="H1383" s="1"/>
      <c r="I1383" s="1"/>
      <c r="J1383" s="1"/>
    </row>
    <row r="1384" spans="1:10" x14ac:dyDescent="0.3">
      <c r="A1384" s="6" t="s">
        <v>17</v>
      </c>
      <c r="B1384" s="6">
        <f>+B1383+1</f>
        <v>2037</v>
      </c>
      <c r="C1384" s="1" t="s">
        <v>40</v>
      </c>
      <c r="D1384" s="2" t="s">
        <v>131</v>
      </c>
      <c r="E1384" s="9" t="str">
        <f t="shared" si="316"/>
        <v>PRBDP'!</v>
      </c>
      <c r="F1384" s="5" t="str">
        <f t="shared" si="298"/>
        <v>C:\Users\jaime.benazar\Quorum Business Solutions\Ecopetrol Prometeo - Documents\Planning Space Implementation\3. Analysis &amp; Design\Design\FC22\DRR Jaime\Neiva CPI\[VAO_DINA TERCIARIOS_CF_SEC_20230117.xlsx]CF PRBDP'!</v>
      </c>
      <c r="G1384" s="6" t="s">
        <v>103</v>
      </c>
      <c r="H1384" s="1"/>
      <c r="I1384" s="1"/>
      <c r="J1384" s="1"/>
    </row>
    <row r="1385" spans="1:10" x14ac:dyDescent="0.3">
      <c r="A1385" s="6" t="s">
        <v>17</v>
      </c>
      <c r="B1385" s="6">
        <f t="shared" ref="B1385:B1387" si="318">+B1384+1</f>
        <v>2038</v>
      </c>
      <c r="C1385" s="1" t="s">
        <v>40</v>
      </c>
      <c r="D1385" s="2" t="s">
        <v>131</v>
      </c>
      <c r="E1385" s="9" t="str">
        <f t="shared" si="316"/>
        <v>PRBDP'!</v>
      </c>
      <c r="F1385" s="5" t="str">
        <f t="shared" si="298"/>
        <v>C:\Users\jaime.benazar\Quorum Business Solutions\Ecopetrol Prometeo - Documents\Planning Space Implementation\3. Analysis &amp; Design\Design\FC22\DRR Jaime\Neiva CPI\[VAO_DINA TERCIARIOS_CF_SEC_20230117.xlsx]CF PRBDP'!</v>
      </c>
      <c r="G1385" s="6" t="s">
        <v>103</v>
      </c>
      <c r="H1385" s="1"/>
      <c r="I1385" s="1"/>
      <c r="J1385" s="1"/>
    </row>
    <row r="1386" spans="1:10" x14ac:dyDescent="0.3">
      <c r="A1386" s="6" t="s">
        <v>17</v>
      </c>
      <c r="B1386" s="6">
        <f t="shared" si="318"/>
        <v>2039</v>
      </c>
      <c r="C1386" s="1" t="s">
        <v>40</v>
      </c>
      <c r="D1386" s="2" t="s">
        <v>131</v>
      </c>
      <c r="E1386" s="9" t="str">
        <f t="shared" si="316"/>
        <v>PRBDP'!</v>
      </c>
      <c r="F1386" s="5" t="str">
        <f t="shared" si="298"/>
        <v>C:\Users\jaime.benazar\Quorum Business Solutions\Ecopetrol Prometeo - Documents\Planning Space Implementation\3. Analysis &amp; Design\Design\FC22\DRR Jaime\Neiva CPI\[VAO_DINA TERCIARIOS_CF_SEC_20230117.xlsx]CF PRBDP'!</v>
      </c>
      <c r="G1386" s="6" t="s">
        <v>103</v>
      </c>
      <c r="H1386" s="1"/>
      <c r="I1386" s="1"/>
      <c r="J1386" s="1"/>
    </row>
    <row r="1387" spans="1:10" x14ac:dyDescent="0.3">
      <c r="A1387" s="6" t="s">
        <v>17</v>
      </c>
      <c r="B1387" s="6">
        <f t="shared" si="318"/>
        <v>2040</v>
      </c>
      <c r="C1387" s="1" t="s">
        <v>40</v>
      </c>
      <c r="D1387" s="2" t="s">
        <v>131</v>
      </c>
      <c r="E1387" s="9" t="str">
        <f t="shared" si="316"/>
        <v>PRBDP'!</v>
      </c>
      <c r="F1387" s="5" t="str">
        <f t="shared" si="298"/>
        <v>C:\Users\jaime.benazar\Quorum Business Solutions\Ecopetrol Prometeo - Documents\Planning Space Implementation\3. Analysis &amp; Design\Design\FC22\DRR Jaime\Neiva CPI\[VAO_DINA TERCIARIOS_CF_SEC_20230117.xlsx]CF PRBDP'!</v>
      </c>
      <c r="G1387" s="6" t="s">
        <v>103</v>
      </c>
      <c r="H1387" s="1"/>
      <c r="I1387" s="1"/>
      <c r="J1387" s="1"/>
    </row>
    <row r="1388" spans="1:10" x14ac:dyDescent="0.3">
      <c r="A1388" s="6" t="s">
        <v>17</v>
      </c>
      <c r="B1388" s="6">
        <f>+B1387+1</f>
        <v>2041</v>
      </c>
      <c r="C1388" s="1" t="s">
        <v>40</v>
      </c>
      <c r="D1388" s="2" t="s">
        <v>131</v>
      </c>
      <c r="E1388" s="9" t="str">
        <f t="shared" si="316"/>
        <v>PRBDP'!</v>
      </c>
      <c r="F1388" s="5" t="str">
        <f t="shared" si="298"/>
        <v>C:\Users\jaime.benazar\Quorum Business Solutions\Ecopetrol Prometeo - Documents\Planning Space Implementation\3. Analysis &amp; Design\Design\FC22\DRR Jaime\Neiva CPI\[VAO_DINA TERCIARIOS_CF_SEC_20230117.xlsx]CF PRBDP'!</v>
      </c>
      <c r="G1388" s="6" t="s">
        <v>103</v>
      </c>
      <c r="H1388" s="1"/>
      <c r="I1388" s="1"/>
      <c r="J1388" s="1"/>
    </row>
    <row r="1389" spans="1:10" x14ac:dyDescent="0.3">
      <c r="A1389" s="6" t="s">
        <v>17</v>
      </c>
      <c r="B1389" s="6">
        <f t="shared" ref="B1389:B1390" si="319">+B1388+1</f>
        <v>2042</v>
      </c>
      <c r="C1389" s="1" t="s">
        <v>40</v>
      </c>
      <c r="D1389" s="2" t="s">
        <v>131</v>
      </c>
      <c r="E1389" s="9" t="str">
        <f t="shared" si="316"/>
        <v>PRBDP'!</v>
      </c>
      <c r="F1389" s="5" t="str">
        <f t="shared" si="298"/>
        <v>C:\Users\jaime.benazar\Quorum Business Solutions\Ecopetrol Prometeo - Documents\Planning Space Implementation\3. Analysis &amp; Design\Design\FC22\DRR Jaime\Neiva CPI\[VAO_DINA TERCIARIOS_CF_SEC_20230117.xlsx]CF PRBDP'!</v>
      </c>
      <c r="G1389" s="6" t="s">
        <v>103</v>
      </c>
      <c r="H1389" s="1"/>
      <c r="I1389" s="1"/>
      <c r="J1389" s="1"/>
    </row>
    <row r="1390" spans="1:10" x14ac:dyDescent="0.3">
      <c r="A1390" s="6" t="s">
        <v>17</v>
      </c>
      <c r="B1390" s="6">
        <f t="shared" si="319"/>
        <v>2043</v>
      </c>
      <c r="C1390" s="1" t="s">
        <v>40</v>
      </c>
      <c r="D1390" s="2" t="s">
        <v>131</v>
      </c>
      <c r="E1390" s="9" t="str">
        <f t="shared" si="316"/>
        <v>PRBDP'!</v>
      </c>
      <c r="F1390" s="5" t="str">
        <f t="shared" si="298"/>
        <v>C:\Users\jaime.benazar\Quorum Business Solutions\Ecopetrol Prometeo - Documents\Planning Space Implementation\3. Analysis &amp; Design\Design\FC22\DRR Jaime\Neiva CPI\[VAO_DINA TERCIARIOS_CF_SEC_20230117.xlsx]CF PRBDP'!</v>
      </c>
      <c r="G1390" s="6" t="s">
        <v>103</v>
      </c>
      <c r="H1390" s="1"/>
      <c r="I1390" s="1"/>
      <c r="J1390" s="1"/>
    </row>
    <row r="1391" spans="1:10" x14ac:dyDescent="0.3">
      <c r="A1391" s="6" t="s">
        <v>17</v>
      </c>
      <c r="B1391" s="6">
        <f>+B1390+1</f>
        <v>2044</v>
      </c>
      <c r="C1391" s="1" t="s">
        <v>40</v>
      </c>
      <c r="D1391" s="2" t="s">
        <v>131</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Jaime\Neiva CPI\[VAO_DINA TERCIARIOS_CF_SEC_20230117.xlsx]CF PRBDP'!</v>
      </c>
      <c r="G1391" s="6" t="s">
        <v>103</v>
      </c>
      <c r="H1391" s="1"/>
      <c r="I1391" s="1"/>
      <c r="J1391" s="1"/>
    </row>
    <row r="1392" spans="1:10" x14ac:dyDescent="0.3">
      <c r="A1392" s="6" t="s">
        <v>17</v>
      </c>
      <c r="B1392" s="6">
        <f t="shared" ref="B1392:B1406" si="322">+B1391+1</f>
        <v>2045</v>
      </c>
      <c r="C1392" s="1" t="s">
        <v>40</v>
      </c>
      <c r="D1392" s="2" t="s">
        <v>131</v>
      </c>
      <c r="E1392" s="9" t="str">
        <f t="shared" si="320"/>
        <v>PRBDP'!</v>
      </c>
      <c r="F1392" s="5" t="str">
        <f t="shared" si="321"/>
        <v>C:\Users\jaime.benazar\Quorum Business Solutions\Ecopetrol Prometeo - Documents\Planning Space Implementation\3. Analysis &amp; Design\Design\FC22\DRR Jaime\Neiva CPI\[VAO_DINA TERCIARIOS_CF_SEC_20230117.xlsx]CF PRBDP'!</v>
      </c>
      <c r="G1392" s="6" t="s">
        <v>103</v>
      </c>
      <c r="H1392" s="1"/>
      <c r="I1392" s="1"/>
      <c r="J1392" s="1"/>
    </row>
    <row r="1393" spans="1:10" x14ac:dyDescent="0.3">
      <c r="A1393" s="6" t="s">
        <v>17</v>
      </c>
      <c r="B1393" s="6">
        <f t="shared" si="322"/>
        <v>2046</v>
      </c>
      <c r="C1393" s="1" t="s">
        <v>40</v>
      </c>
      <c r="D1393" s="2" t="s">
        <v>131</v>
      </c>
      <c r="E1393" s="9" t="str">
        <f t="shared" si="320"/>
        <v>PRBDP'!</v>
      </c>
      <c r="F1393" s="5" t="str">
        <f t="shared" si="321"/>
        <v>C:\Users\jaime.benazar\Quorum Business Solutions\Ecopetrol Prometeo - Documents\Planning Space Implementation\3. Analysis &amp; Design\Design\FC22\DRR Jaime\Neiva CPI\[VAO_DINA TERCIARIOS_CF_SEC_20230117.xlsx]CF PRBDP'!</v>
      </c>
      <c r="G1393" s="6" t="s">
        <v>103</v>
      </c>
      <c r="H1393" s="1"/>
      <c r="I1393" s="1"/>
      <c r="J1393" s="1"/>
    </row>
    <row r="1394" spans="1:10" x14ac:dyDescent="0.3">
      <c r="A1394" s="6" t="s">
        <v>17</v>
      </c>
      <c r="B1394" s="6">
        <f t="shared" si="322"/>
        <v>2047</v>
      </c>
      <c r="C1394" s="1" t="s">
        <v>40</v>
      </c>
      <c r="D1394" s="2" t="s">
        <v>131</v>
      </c>
      <c r="E1394" s="9" t="str">
        <f t="shared" si="320"/>
        <v>PRBDP'!</v>
      </c>
      <c r="F1394" s="5" t="str">
        <f t="shared" si="321"/>
        <v>C:\Users\jaime.benazar\Quorum Business Solutions\Ecopetrol Prometeo - Documents\Planning Space Implementation\3. Analysis &amp; Design\Design\FC22\DRR Jaime\Neiva CPI\[VAO_DINA TERCIARIOS_CF_SEC_20230117.xlsx]CF PRBDP'!</v>
      </c>
      <c r="G1394" s="6" t="s">
        <v>103</v>
      </c>
      <c r="H1394" s="1"/>
      <c r="I1394" s="1"/>
      <c r="J1394" s="1"/>
    </row>
    <row r="1395" spans="1:10" x14ac:dyDescent="0.3">
      <c r="A1395" s="6" t="s">
        <v>17</v>
      </c>
      <c r="B1395" s="6">
        <f t="shared" si="322"/>
        <v>2048</v>
      </c>
      <c r="C1395" s="1" t="s">
        <v>40</v>
      </c>
      <c r="D1395" s="2" t="s">
        <v>131</v>
      </c>
      <c r="E1395" s="9" t="str">
        <f t="shared" si="320"/>
        <v>PRBDP'!</v>
      </c>
      <c r="F1395" s="5" t="str">
        <f t="shared" si="321"/>
        <v>C:\Users\jaime.benazar\Quorum Business Solutions\Ecopetrol Prometeo - Documents\Planning Space Implementation\3. Analysis &amp; Design\Design\FC22\DRR Jaime\Neiva CPI\[VAO_DINA TERCIARIOS_CF_SEC_20230117.xlsx]CF PRBDP'!</v>
      </c>
      <c r="G1395" s="6" t="s">
        <v>103</v>
      </c>
      <c r="H1395" s="1"/>
      <c r="I1395" s="1"/>
      <c r="J1395" s="1"/>
    </row>
    <row r="1396" spans="1:10" x14ac:dyDescent="0.3">
      <c r="A1396" s="6" t="s">
        <v>17</v>
      </c>
      <c r="B1396" s="6">
        <f t="shared" si="322"/>
        <v>2049</v>
      </c>
      <c r="C1396" s="1" t="s">
        <v>40</v>
      </c>
      <c r="D1396" s="2" t="s">
        <v>131</v>
      </c>
      <c r="E1396" s="9" t="str">
        <f t="shared" si="320"/>
        <v>PRBDP'!</v>
      </c>
      <c r="F1396" s="5" t="str">
        <f t="shared" si="321"/>
        <v>C:\Users\jaime.benazar\Quorum Business Solutions\Ecopetrol Prometeo - Documents\Planning Space Implementation\3. Analysis &amp; Design\Design\FC22\DRR Jaime\Neiva CPI\[VAO_DINA TERCIARIOS_CF_SEC_20230117.xlsx]CF PRBDP'!</v>
      </c>
      <c r="G1396" s="6" t="s">
        <v>103</v>
      </c>
      <c r="H1396" s="1"/>
      <c r="I1396" s="1"/>
      <c r="J1396" s="1"/>
    </row>
    <row r="1397" spans="1:10" x14ac:dyDescent="0.3">
      <c r="A1397" s="6" t="s">
        <v>17</v>
      </c>
      <c r="B1397" s="6">
        <f t="shared" si="322"/>
        <v>2050</v>
      </c>
      <c r="C1397" s="1" t="s">
        <v>40</v>
      </c>
      <c r="D1397" s="2" t="s">
        <v>131</v>
      </c>
      <c r="E1397" s="9" t="str">
        <f t="shared" si="320"/>
        <v>PRBDP'!</v>
      </c>
      <c r="F1397" s="5" t="str">
        <f t="shared" si="321"/>
        <v>C:\Users\jaime.benazar\Quorum Business Solutions\Ecopetrol Prometeo - Documents\Planning Space Implementation\3. Analysis &amp; Design\Design\FC22\DRR Jaime\Neiva CPI\[VAO_DINA TERCIARIOS_CF_SEC_20230117.xlsx]CF PRBDP'!</v>
      </c>
      <c r="G1397" s="6" t="s">
        <v>103</v>
      </c>
      <c r="H1397" s="1"/>
      <c r="I1397" s="1"/>
      <c r="J1397" s="1"/>
    </row>
    <row r="1398" spans="1:10" x14ac:dyDescent="0.3">
      <c r="A1398" s="6" t="s">
        <v>17</v>
      </c>
      <c r="B1398" s="6">
        <f t="shared" si="322"/>
        <v>2051</v>
      </c>
      <c r="C1398" s="1" t="s">
        <v>40</v>
      </c>
      <c r="D1398" s="2" t="s">
        <v>131</v>
      </c>
      <c r="E1398" s="9" t="str">
        <f t="shared" si="320"/>
        <v>PRBDP'!</v>
      </c>
      <c r="F1398" s="5" t="str">
        <f t="shared" si="321"/>
        <v>C:\Users\jaime.benazar\Quorum Business Solutions\Ecopetrol Prometeo - Documents\Planning Space Implementation\3. Analysis &amp; Design\Design\FC22\DRR Jaime\Neiva CPI\[VAO_DINA TERCIARIOS_CF_SEC_20230117.xlsx]CF PRBDP'!</v>
      </c>
      <c r="G1398" s="6" t="s">
        <v>103</v>
      </c>
      <c r="H1398" s="1"/>
      <c r="I1398" s="1"/>
      <c r="J1398" s="1"/>
    </row>
    <row r="1399" spans="1:10" x14ac:dyDescent="0.3">
      <c r="A1399" s="6" t="s">
        <v>17</v>
      </c>
      <c r="B1399" s="6">
        <f t="shared" si="322"/>
        <v>2052</v>
      </c>
      <c r="C1399" s="1" t="s">
        <v>40</v>
      </c>
      <c r="D1399" s="2" t="s">
        <v>131</v>
      </c>
      <c r="E1399" s="9" t="str">
        <f t="shared" si="320"/>
        <v>PRBDP'!</v>
      </c>
      <c r="F1399" s="5" t="str">
        <f t="shared" si="321"/>
        <v>C:\Users\jaime.benazar\Quorum Business Solutions\Ecopetrol Prometeo - Documents\Planning Space Implementation\3. Analysis &amp; Design\Design\FC22\DRR Jaime\Neiva CPI\[VAO_DINA TERCIARIOS_CF_SEC_20230117.xlsx]CF PRBDP'!</v>
      </c>
      <c r="G1399" s="6" t="s">
        <v>103</v>
      </c>
      <c r="H1399" s="1"/>
      <c r="I1399" s="1"/>
      <c r="J1399" s="1"/>
    </row>
    <row r="1400" spans="1:10" x14ac:dyDescent="0.3">
      <c r="A1400" s="6" t="s">
        <v>17</v>
      </c>
      <c r="B1400" s="6">
        <f t="shared" si="322"/>
        <v>2053</v>
      </c>
      <c r="C1400" s="1" t="s">
        <v>40</v>
      </c>
      <c r="D1400" s="2" t="s">
        <v>131</v>
      </c>
      <c r="E1400" s="9" t="str">
        <f t="shared" si="320"/>
        <v>PRBDP'!</v>
      </c>
      <c r="F1400" s="5" t="str">
        <f t="shared" si="321"/>
        <v>C:\Users\jaime.benazar\Quorum Business Solutions\Ecopetrol Prometeo - Documents\Planning Space Implementation\3. Analysis &amp; Design\Design\FC22\DRR Jaime\Neiva CPI\[VAO_DINA TERCIARIOS_CF_SEC_20230117.xlsx]CF PRBDP'!</v>
      </c>
      <c r="G1400" s="6" t="s">
        <v>103</v>
      </c>
      <c r="H1400" s="1"/>
      <c r="I1400" s="1"/>
      <c r="J1400" s="1"/>
    </row>
    <row r="1401" spans="1:10" x14ac:dyDescent="0.3">
      <c r="A1401" s="6" t="s">
        <v>17</v>
      </c>
      <c r="B1401" s="6">
        <f t="shared" si="322"/>
        <v>2054</v>
      </c>
      <c r="C1401" s="1" t="s">
        <v>40</v>
      </c>
      <c r="D1401" s="2" t="s">
        <v>131</v>
      </c>
      <c r="E1401" s="9" t="str">
        <f t="shared" si="320"/>
        <v>PRBDP'!</v>
      </c>
      <c r="F1401" s="5" t="str">
        <f t="shared" si="321"/>
        <v>C:\Users\jaime.benazar\Quorum Business Solutions\Ecopetrol Prometeo - Documents\Planning Space Implementation\3. Analysis &amp; Design\Design\FC22\DRR Jaime\Neiva CPI\[VAO_DINA TERCIARIOS_CF_SEC_20230117.xlsx]CF PRBDP'!</v>
      </c>
      <c r="G1401" s="6" t="s">
        <v>103</v>
      </c>
      <c r="H1401" s="1"/>
      <c r="I1401" s="1"/>
      <c r="J1401" s="1"/>
    </row>
    <row r="1402" spans="1:10" x14ac:dyDescent="0.3">
      <c r="A1402" s="6" t="s">
        <v>17</v>
      </c>
      <c r="B1402" s="6">
        <f t="shared" si="322"/>
        <v>2055</v>
      </c>
      <c r="C1402" s="1" t="s">
        <v>40</v>
      </c>
      <c r="D1402" s="2" t="s">
        <v>131</v>
      </c>
      <c r="E1402" s="9" t="str">
        <f t="shared" si="320"/>
        <v>PRBDP'!</v>
      </c>
      <c r="F1402" s="5" t="str">
        <f t="shared" si="321"/>
        <v>C:\Users\jaime.benazar\Quorum Business Solutions\Ecopetrol Prometeo - Documents\Planning Space Implementation\3. Analysis &amp; Design\Design\FC22\DRR Jaime\Neiva CPI\[VAO_DINA TERCIARIOS_CF_SEC_20230117.xlsx]CF PRBDP'!</v>
      </c>
      <c r="G1402" s="6" t="s">
        <v>103</v>
      </c>
      <c r="H1402" s="1"/>
      <c r="I1402" s="1"/>
      <c r="J1402" s="1"/>
    </row>
    <row r="1403" spans="1:10" x14ac:dyDescent="0.3">
      <c r="A1403" s="6" t="s">
        <v>17</v>
      </c>
      <c r="B1403" s="6">
        <f t="shared" si="322"/>
        <v>2056</v>
      </c>
      <c r="C1403" s="1" t="s">
        <v>40</v>
      </c>
      <c r="D1403" s="2" t="s">
        <v>131</v>
      </c>
      <c r="E1403" s="9" t="str">
        <f t="shared" si="320"/>
        <v>PRBDP'!</v>
      </c>
      <c r="F1403" s="5" t="str">
        <f t="shared" si="321"/>
        <v>C:\Users\jaime.benazar\Quorum Business Solutions\Ecopetrol Prometeo - Documents\Planning Space Implementation\3. Analysis &amp; Design\Design\FC22\DRR Jaime\Neiva CPI\[VAO_DINA TERCIARIOS_CF_SEC_20230117.xlsx]CF PRBDP'!</v>
      </c>
      <c r="G1403" s="6" t="s">
        <v>103</v>
      </c>
      <c r="H1403" s="1"/>
      <c r="I1403" s="1"/>
      <c r="J1403" s="1"/>
    </row>
    <row r="1404" spans="1:10" x14ac:dyDescent="0.3">
      <c r="A1404" s="6" t="s">
        <v>17</v>
      </c>
      <c r="B1404" s="6">
        <f t="shared" si="322"/>
        <v>2057</v>
      </c>
      <c r="C1404" s="1" t="s">
        <v>40</v>
      </c>
      <c r="D1404" s="2" t="s">
        <v>131</v>
      </c>
      <c r="E1404" s="9" t="str">
        <f t="shared" si="320"/>
        <v>PRBDP'!</v>
      </c>
      <c r="F1404" s="5" t="str">
        <f t="shared" si="321"/>
        <v>C:\Users\jaime.benazar\Quorum Business Solutions\Ecopetrol Prometeo - Documents\Planning Space Implementation\3. Analysis &amp; Design\Design\FC22\DRR Jaime\Neiva CPI\[VAO_DINA TERCIARIOS_CF_SEC_20230117.xlsx]CF PRBDP'!</v>
      </c>
      <c r="G1404" s="6" t="s">
        <v>103</v>
      </c>
      <c r="H1404" s="1"/>
      <c r="I1404" s="1"/>
      <c r="J1404" s="1"/>
    </row>
    <row r="1405" spans="1:10" x14ac:dyDescent="0.3">
      <c r="A1405" s="6" t="s">
        <v>17</v>
      </c>
      <c r="B1405" s="6">
        <f t="shared" si="322"/>
        <v>2058</v>
      </c>
      <c r="C1405" s="1" t="s">
        <v>40</v>
      </c>
      <c r="D1405" s="2" t="s">
        <v>131</v>
      </c>
      <c r="E1405" s="9" t="str">
        <f t="shared" si="320"/>
        <v>PRBDP'!</v>
      </c>
      <c r="F1405" s="5" t="str">
        <f t="shared" si="321"/>
        <v>C:\Users\jaime.benazar\Quorum Business Solutions\Ecopetrol Prometeo - Documents\Planning Space Implementation\3. Analysis &amp; Design\Design\FC22\DRR Jaime\Neiva CPI\[VAO_DINA TERCIARIOS_CF_SEC_20230117.xlsx]CF PRBDP'!</v>
      </c>
      <c r="G1405" s="6" t="s">
        <v>103</v>
      </c>
      <c r="H1405" s="1"/>
      <c r="I1405" s="1"/>
      <c r="J1405" s="1"/>
    </row>
    <row r="1406" spans="1:10" x14ac:dyDescent="0.3">
      <c r="A1406" s="6" t="s">
        <v>17</v>
      </c>
      <c r="B1406" s="6">
        <f t="shared" si="322"/>
        <v>2059</v>
      </c>
      <c r="C1406" s="1" t="s">
        <v>40</v>
      </c>
      <c r="D1406" s="2" t="s">
        <v>131</v>
      </c>
      <c r="E1406" s="9" t="str">
        <f t="shared" si="320"/>
        <v>PRBDP'!</v>
      </c>
      <c r="F1406" s="5" t="str">
        <f t="shared" si="321"/>
        <v>C:\Users\jaime.benazar\Quorum Business Solutions\Ecopetrol Prometeo - Documents\Planning Space Implementation\3. Analysis &amp; Design\Design\FC22\DRR Jaime\Neiva CPI\[VAO_DINA TERCIARIOS_CF_SEC_20230117.xlsx]CF PRBDP'!</v>
      </c>
      <c r="G1406" s="6" t="s">
        <v>103</v>
      </c>
      <c r="H1406" s="1"/>
      <c r="I1406" s="1"/>
      <c r="J1406" s="1"/>
    </row>
    <row r="1407" spans="1:10" x14ac:dyDescent="0.3">
      <c r="A1407" s="6" t="s">
        <v>26</v>
      </c>
      <c r="B1407" s="6"/>
      <c r="C1407" s="1" t="s">
        <v>40</v>
      </c>
      <c r="D1407" s="2"/>
      <c r="E1407" s="9"/>
      <c r="F1407" s="5" t="str">
        <f t="shared" si="298"/>
        <v xml:space="preserve"> </v>
      </c>
      <c r="G1407" s="6"/>
      <c r="H1407" s="1"/>
      <c r="I1407" s="1"/>
      <c r="J1407" s="1"/>
    </row>
    <row r="1408" spans="1:10" x14ac:dyDescent="0.3">
      <c r="A1408" s="6" t="s">
        <v>18</v>
      </c>
      <c r="B1408" s="6">
        <v>2023</v>
      </c>
      <c r="C1408" s="1" t="s">
        <v>40</v>
      </c>
      <c r="D1408" s="2" t="s">
        <v>131</v>
      </c>
      <c r="E1408" s="9" t="str">
        <f t="shared" ref="E1408:E1428" si="323">_xlfn.CONCAT(A1408,"'!")</f>
        <v>PRBNP'!</v>
      </c>
      <c r="F1408" s="5" t="str">
        <f t="shared" si="298"/>
        <v>C:\Users\jaime.benazar\Quorum Business Solutions\Ecopetrol Prometeo - Documents\Planning Space Implementation\3. Analysis &amp; Design\Design\FC22\DRR Jaime\Neiva CPI\[VAO_DINA TERCIARIOS_CF_SEC_20230117.xlsx]CF PRBNP'!</v>
      </c>
      <c r="G1408" s="6" t="s">
        <v>103</v>
      </c>
      <c r="H1408" s="1"/>
      <c r="I1408" s="1"/>
      <c r="J1408" s="1"/>
    </row>
    <row r="1409" spans="1:10" x14ac:dyDescent="0.3">
      <c r="A1409" s="6" t="s">
        <v>18</v>
      </c>
      <c r="B1409" s="6">
        <f>+B1408+1</f>
        <v>2024</v>
      </c>
      <c r="C1409" s="1" t="s">
        <v>40</v>
      </c>
      <c r="D1409" s="2" t="s">
        <v>131</v>
      </c>
      <c r="E1409" s="9" t="str">
        <f t="shared" si="323"/>
        <v>PRBNP'!</v>
      </c>
      <c r="F1409" s="5" t="str">
        <f t="shared" si="298"/>
        <v>C:\Users\jaime.benazar\Quorum Business Solutions\Ecopetrol Prometeo - Documents\Planning Space Implementation\3. Analysis &amp; Design\Design\FC22\DRR Jaime\Neiva CPI\[VAO_DINA TERCIARIOS_CF_SEC_20230117.xlsx]CF PRBNP'!</v>
      </c>
      <c r="G1409" s="6" t="s">
        <v>103</v>
      </c>
      <c r="H1409" s="1"/>
      <c r="I1409" s="1"/>
      <c r="J1409" s="1"/>
    </row>
    <row r="1410" spans="1:10" x14ac:dyDescent="0.3">
      <c r="A1410" s="6" t="s">
        <v>18</v>
      </c>
      <c r="B1410" s="6">
        <f t="shared" ref="B1410:B1421" si="324">+B1409+1</f>
        <v>2025</v>
      </c>
      <c r="C1410" s="1" t="s">
        <v>40</v>
      </c>
      <c r="D1410" s="2" t="s">
        <v>131</v>
      </c>
      <c r="E1410" s="9" t="str">
        <f t="shared" si="323"/>
        <v>PRBNP'!</v>
      </c>
      <c r="F1410" s="5" t="str">
        <f t="shared" si="298"/>
        <v>C:\Users\jaime.benazar\Quorum Business Solutions\Ecopetrol Prometeo - Documents\Planning Space Implementation\3. Analysis &amp; Design\Design\FC22\DRR Jaime\Neiva CPI\[VAO_DINA TERCIARIOS_CF_SEC_20230117.xlsx]CF PRBNP'!</v>
      </c>
      <c r="G1410" s="6" t="s">
        <v>103</v>
      </c>
      <c r="H1410" s="1"/>
      <c r="I1410" s="1"/>
      <c r="J1410" s="1"/>
    </row>
    <row r="1411" spans="1:10" x14ac:dyDescent="0.3">
      <c r="A1411" s="6" t="s">
        <v>18</v>
      </c>
      <c r="B1411" s="6">
        <f t="shared" si="324"/>
        <v>2026</v>
      </c>
      <c r="C1411" s="1" t="s">
        <v>40</v>
      </c>
      <c r="D1411" s="2" t="s">
        <v>131</v>
      </c>
      <c r="E1411" s="9" t="str">
        <f t="shared" si="323"/>
        <v>PRBNP'!</v>
      </c>
      <c r="F1411" s="5" t="str">
        <f t="shared" si="298"/>
        <v>C:\Users\jaime.benazar\Quorum Business Solutions\Ecopetrol Prometeo - Documents\Planning Space Implementation\3. Analysis &amp; Design\Design\FC22\DRR Jaime\Neiva CPI\[VAO_DINA TERCIARIOS_CF_SEC_20230117.xlsx]CF PRBNP'!</v>
      </c>
      <c r="G1411" s="6" t="s">
        <v>103</v>
      </c>
      <c r="H1411" s="1"/>
      <c r="I1411" s="1"/>
      <c r="J1411" s="1"/>
    </row>
    <row r="1412" spans="1:10" x14ac:dyDescent="0.3">
      <c r="A1412" s="6" t="s">
        <v>18</v>
      </c>
      <c r="B1412" s="6">
        <f t="shared" si="324"/>
        <v>2027</v>
      </c>
      <c r="C1412" s="1" t="s">
        <v>40</v>
      </c>
      <c r="D1412" s="2" t="s">
        <v>131</v>
      </c>
      <c r="E1412" s="9" t="str">
        <f t="shared" si="323"/>
        <v>PRBNP'!</v>
      </c>
      <c r="F1412" s="5" t="str">
        <f t="shared" si="298"/>
        <v>C:\Users\jaime.benazar\Quorum Business Solutions\Ecopetrol Prometeo - Documents\Planning Space Implementation\3. Analysis &amp; Design\Design\FC22\DRR Jaime\Neiva CPI\[VAO_DINA TERCIARIOS_CF_SEC_20230117.xlsx]CF PRBNP'!</v>
      </c>
      <c r="G1412" s="6" t="s">
        <v>103</v>
      </c>
      <c r="H1412" s="1"/>
      <c r="I1412" s="1"/>
      <c r="J1412" s="1"/>
    </row>
    <row r="1413" spans="1:10" x14ac:dyDescent="0.3">
      <c r="A1413" s="6" t="s">
        <v>18</v>
      </c>
      <c r="B1413" s="6">
        <f t="shared" si="324"/>
        <v>2028</v>
      </c>
      <c r="C1413" s="1" t="s">
        <v>40</v>
      </c>
      <c r="D1413" s="2" t="s">
        <v>131</v>
      </c>
      <c r="E1413" s="9" t="str">
        <f t="shared" si="323"/>
        <v>PRBNP'!</v>
      </c>
      <c r="F1413" s="5" t="str">
        <f t="shared" si="298"/>
        <v>C:\Users\jaime.benazar\Quorum Business Solutions\Ecopetrol Prometeo - Documents\Planning Space Implementation\3. Analysis &amp; Design\Design\FC22\DRR Jaime\Neiva CPI\[VAO_DINA TERCIARIOS_CF_SEC_20230117.xlsx]CF PRBNP'!</v>
      </c>
      <c r="G1413" s="6" t="s">
        <v>103</v>
      </c>
      <c r="H1413" s="1"/>
      <c r="I1413" s="1"/>
      <c r="J1413" s="1"/>
    </row>
    <row r="1414" spans="1:10" x14ac:dyDescent="0.3">
      <c r="A1414" s="6" t="s">
        <v>18</v>
      </c>
      <c r="B1414" s="6">
        <f t="shared" si="324"/>
        <v>2029</v>
      </c>
      <c r="C1414" s="1" t="s">
        <v>40</v>
      </c>
      <c r="D1414" s="2" t="s">
        <v>131</v>
      </c>
      <c r="E1414" s="9" t="str">
        <f t="shared" si="323"/>
        <v>PRBNP'!</v>
      </c>
      <c r="F1414" s="5" t="str">
        <f t="shared" si="298"/>
        <v>C:\Users\jaime.benazar\Quorum Business Solutions\Ecopetrol Prometeo - Documents\Planning Space Implementation\3. Analysis &amp; Design\Design\FC22\DRR Jaime\Neiva CPI\[VAO_DINA TERCIARIOS_CF_SEC_20230117.xlsx]CF PRBNP'!</v>
      </c>
      <c r="G1414" s="6" t="s">
        <v>103</v>
      </c>
      <c r="H1414" s="1"/>
      <c r="I1414" s="1"/>
      <c r="J1414" s="1"/>
    </row>
    <row r="1415" spans="1:10" x14ac:dyDescent="0.3">
      <c r="A1415" s="6" t="s">
        <v>18</v>
      </c>
      <c r="B1415" s="6">
        <f t="shared" si="324"/>
        <v>2030</v>
      </c>
      <c r="C1415" s="1" t="s">
        <v>40</v>
      </c>
      <c r="D1415" s="2" t="s">
        <v>131</v>
      </c>
      <c r="E1415" s="9" t="str">
        <f t="shared" si="323"/>
        <v>PRBNP'!</v>
      </c>
      <c r="F1415" s="5" t="str">
        <f t="shared" si="298"/>
        <v>C:\Users\jaime.benazar\Quorum Business Solutions\Ecopetrol Prometeo - Documents\Planning Space Implementation\3. Analysis &amp; Design\Design\FC22\DRR Jaime\Neiva CPI\[VAO_DINA TERCIARIOS_CF_SEC_20230117.xlsx]CF PRBNP'!</v>
      </c>
      <c r="G1415" s="6" t="s">
        <v>103</v>
      </c>
      <c r="H1415" s="1"/>
      <c r="I1415" s="1"/>
      <c r="J1415" s="1"/>
    </row>
    <row r="1416" spans="1:10" x14ac:dyDescent="0.3">
      <c r="A1416" s="6" t="s">
        <v>18</v>
      </c>
      <c r="B1416" s="6">
        <f t="shared" si="324"/>
        <v>2031</v>
      </c>
      <c r="C1416" s="1" t="s">
        <v>40</v>
      </c>
      <c r="D1416" s="2" t="s">
        <v>131</v>
      </c>
      <c r="E1416" s="9" t="str">
        <f t="shared" si="323"/>
        <v>PRBNP'!</v>
      </c>
      <c r="F1416" s="5" t="str">
        <f t="shared" si="298"/>
        <v>C:\Users\jaime.benazar\Quorum Business Solutions\Ecopetrol Prometeo - Documents\Planning Space Implementation\3. Analysis &amp; Design\Design\FC22\DRR Jaime\Neiva CPI\[VAO_DINA TERCIARIOS_CF_SEC_20230117.xlsx]CF PRBNP'!</v>
      </c>
      <c r="G1416" s="6" t="s">
        <v>103</v>
      </c>
      <c r="H1416" s="1"/>
      <c r="I1416" s="1"/>
      <c r="J1416" s="1"/>
    </row>
    <row r="1417" spans="1:10" x14ac:dyDescent="0.3">
      <c r="A1417" s="6" t="s">
        <v>18</v>
      </c>
      <c r="B1417" s="6">
        <f t="shared" si="324"/>
        <v>2032</v>
      </c>
      <c r="C1417" s="1" t="s">
        <v>40</v>
      </c>
      <c r="D1417" s="2" t="s">
        <v>131</v>
      </c>
      <c r="E1417" s="9" t="str">
        <f t="shared" si="323"/>
        <v>PRBNP'!</v>
      </c>
      <c r="F1417" s="5" t="str">
        <f t="shared" ref="F1417:F1428" si="325">_xlfn.CONCAT(D1417," ",E1417)</f>
        <v>C:\Users\jaime.benazar\Quorum Business Solutions\Ecopetrol Prometeo - Documents\Planning Space Implementation\3. Analysis &amp; Design\Design\FC22\DRR Jaime\Neiva CPI\[VAO_DINA TERCIARIOS_CF_SEC_20230117.xlsx]CF PRBNP'!</v>
      </c>
      <c r="G1417" s="6" t="s">
        <v>103</v>
      </c>
      <c r="H1417" s="1"/>
      <c r="I1417" s="1"/>
      <c r="J1417" s="1"/>
    </row>
    <row r="1418" spans="1:10" x14ac:dyDescent="0.3">
      <c r="A1418" s="6" t="s">
        <v>18</v>
      </c>
      <c r="B1418" s="6">
        <f t="shared" si="324"/>
        <v>2033</v>
      </c>
      <c r="C1418" s="1" t="s">
        <v>40</v>
      </c>
      <c r="D1418" s="2" t="s">
        <v>131</v>
      </c>
      <c r="E1418" s="9" t="str">
        <f t="shared" si="323"/>
        <v>PRBNP'!</v>
      </c>
      <c r="F1418" s="5" t="str">
        <f t="shared" si="325"/>
        <v>C:\Users\jaime.benazar\Quorum Business Solutions\Ecopetrol Prometeo - Documents\Planning Space Implementation\3. Analysis &amp; Design\Design\FC22\DRR Jaime\Neiva CPI\[VAO_DINA TERCIARIOS_CF_SEC_20230117.xlsx]CF PRBNP'!</v>
      </c>
      <c r="G1418" s="6" t="s">
        <v>103</v>
      </c>
      <c r="H1418" s="1"/>
      <c r="I1418" s="1"/>
      <c r="J1418" s="1"/>
    </row>
    <row r="1419" spans="1:10" x14ac:dyDescent="0.3">
      <c r="A1419" s="6" t="s">
        <v>18</v>
      </c>
      <c r="B1419" s="6">
        <f t="shared" si="324"/>
        <v>2034</v>
      </c>
      <c r="C1419" s="1" t="s">
        <v>40</v>
      </c>
      <c r="D1419" s="2" t="s">
        <v>131</v>
      </c>
      <c r="E1419" s="9" t="str">
        <f t="shared" si="323"/>
        <v>PRBNP'!</v>
      </c>
      <c r="F1419" s="5" t="str">
        <f t="shared" si="325"/>
        <v>C:\Users\jaime.benazar\Quorum Business Solutions\Ecopetrol Prometeo - Documents\Planning Space Implementation\3. Analysis &amp; Design\Design\FC22\DRR Jaime\Neiva CPI\[VAO_DINA TERCIARIOS_CF_SEC_20230117.xlsx]CF PRBNP'!</v>
      </c>
      <c r="G1419" s="6" t="s">
        <v>103</v>
      </c>
      <c r="H1419" s="1"/>
      <c r="I1419" s="1"/>
      <c r="J1419" s="1"/>
    </row>
    <row r="1420" spans="1:10" x14ac:dyDescent="0.3">
      <c r="A1420" s="6" t="s">
        <v>18</v>
      </c>
      <c r="B1420" s="6">
        <f t="shared" si="324"/>
        <v>2035</v>
      </c>
      <c r="C1420" s="1" t="s">
        <v>40</v>
      </c>
      <c r="D1420" s="2" t="s">
        <v>131</v>
      </c>
      <c r="E1420" s="9" t="str">
        <f t="shared" si="323"/>
        <v>PRBNP'!</v>
      </c>
      <c r="F1420" s="5" t="str">
        <f t="shared" si="325"/>
        <v>C:\Users\jaime.benazar\Quorum Business Solutions\Ecopetrol Prometeo - Documents\Planning Space Implementation\3. Analysis &amp; Design\Design\FC22\DRR Jaime\Neiva CPI\[VAO_DINA TERCIARIOS_CF_SEC_20230117.xlsx]CF PRBNP'!</v>
      </c>
      <c r="G1420" s="6" t="s">
        <v>103</v>
      </c>
      <c r="H1420" s="1"/>
      <c r="I1420" s="1"/>
      <c r="J1420" s="1"/>
    </row>
    <row r="1421" spans="1:10" x14ac:dyDescent="0.3">
      <c r="A1421" s="6" t="s">
        <v>18</v>
      </c>
      <c r="B1421" s="6">
        <f t="shared" si="324"/>
        <v>2036</v>
      </c>
      <c r="C1421" s="1" t="s">
        <v>40</v>
      </c>
      <c r="D1421" s="2" t="s">
        <v>131</v>
      </c>
      <c r="E1421" s="9" t="str">
        <f t="shared" si="323"/>
        <v>PRBNP'!</v>
      </c>
      <c r="F1421" s="5" t="str">
        <f t="shared" si="325"/>
        <v>C:\Users\jaime.benazar\Quorum Business Solutions\Ecopetrol Prometeo - Documents\Planning Space Implementation\3. Analysis &amp; Design\Design\FC22\DRR Jaime\Neiva CPI\[VAO_DINA TERCIARIOS_CF_SEC_20230117.xlsx]CF PRBNP'!</v>
      </c>
      <c r="G1421" s="6" t="s">
        <v>103</v>
      </c>
      <c r="H1421" s="1"/>
      <c r="I1421" s="1"/>
      <c r="J1421" s="1"/>
    </row>
    <row r="1422" spans="1:10" x14ac:dyDescent="0.3">
      <c r="A1422" s="6" t="s">
        <v>18</v>
      </c>
      <c r="B1422" s="6">
        <f>+B1421+1</f>
        <v>2037</v>
      </c>
      <c r="C1422" s="1" t="s">
        <v>40</v>
      </c>
      <c r="D1422" s="2" t="s">
        <v>131</v>
      </c>
      <c r="E1422" s="9" t="str">
        <f t="shared" si="323"/>
        <v>PRBNP'!</v>
      </c>
      <c r="F1422" s="5" t="str">
        <f t="shared" si="325"/>
        <v>C:\Users\jaime.benazar\Quorum Business Solutions\Ecopetrol Prometeo - Documents\Planning Space Implementation\3. Analysis &amp; Design\Design\FC22\DRR Jaime\Neiva CPI\[VAO_DINA TERCIARIOS_CF_SEC_20230117.xlsx]CF PRBNP'!</v>
      </c>
      <c r="G1422" s="6" t="s">
        <v>103</v>
      </c>
      <c r="H1422" s="1"/>
      <c r="I1422" s="1"/>
      <c r="J1422" s="1"/>
    </row>
    <row r="1423" spans="1:10" x14ac:dyDescent="0.3">
      <c r="A1423" s="6" t="s">
        <v>18</v>
      </c>
      <c r="B1423" s="6">
        <f t="shared" ref="B1423:B1425" si="326">+B1422+1</f>
        <v>2038</v>
      </c>
      <c r="C1423" s="1" t="s">
        <v>40</v>
      </c>
      <c r="D1423" s="2" t="s">
        <v>131</v>
      </c>
      <c r="E1423" s="9" t="str">
        <f t="shared" si="323"/>
        <v>PRBNP'!</v>
      </c>
      <c r="F1423" s="5" t="str">
        <f t="shared" si="325"/>
        <v>C:\Users\jaime.benazar\Quorum Business Solutions\Ecopetrol Prometeo - Documents\Planning Space Implementation\3. Analysis &amp; Design\Design\FC22\DRR Jaime\Neiva CPI\[VAO_DINA TERCIARIOS_CF_SEC_20230117.xlsx]CF PRBNP'!</v>
      </c>
      <c r="G1423" s="6" t="s">
        <v>103</v>
      </c>
      <c r="H1423" s="1"/>
      <c r="I1423" s="1"/>
      <c r="J1423" s="1"/>
    </row>
    <row r="1424" spans="1:10" x14ac:dyDescent="0.3">
      <c r="A1424" s="6" t="s">
        <v>18</v>
      </c>
      <c r="B1424" s="6">
        <f t="shared" si="326"/>
        <v>2039</v>
      </c>
      <c r="C1424" s="1" t="s">
        <v>40</v>
      </c>
      <c r="D1424" s="2" t="s">
        <v>131</v>
      </c>
      <c r="E1424" s="9" t="str">
        <f t="shared" si="323"/>
        <v>PRBNP'!</v>
      </c>
      <c r="F1424" s="5" t="str">
        <f t="shared" si="325"/>
        <v>C:\Users\jaime.benazar\Quorum Business Solutions\Ecopetrol Prometeo - Documents\Planning Space Implementation\3. Analysis &amp; Design\Design\FC22\DRR Jaime\Neiva CPI\[VAO_DINA TERCIARIOS_CF_SEC_20230117.xlsx]CF PRBNP'!</v>
      </c>
      <c r="G1424" s="6" t="s">
        <v>103</v>
      </c>
      <c r="H1424" s="1"/>
      <c r="I1424" s="1"/>
      <c r="J1424" s="1"/>
    </row>
    <row r="1425" spans="1:10" x14ac:dyDescent="0.3">
      <c r="A1425" s="6" t="s">
        <v>18</v>
      </c>
      <c r="B1425" s="6">
        <f t="shared" si="326"/>
        <v>2040</v>
      </c>
      <c r="C1425" s="1" t="s">
        <v>40</v>
      </c>
      <c r="D1425" s="2" t="s">
        <v>131</v>
      </c>
      <c r="E1425" s="9" t="str">
        <f t="shared" si="323"/>
        <v>PRBNP'!</v>
      </c>
      <c r="F1425" s="5" t="str">
        <f t="shared" si="325"/>
        <v>C:\Users\jaime.benazar\Quorum Business Solutions\Ecopetrol Prometeo - Documents\Planning Space Implementation\3. Analysis &amp; Design\Design\FC22\DRR Jaime\Neiva CPI\[VAO_DINA TERCIARIOS_CF_SEC_20230117.xlsx]CF PRBNP'!</v>
      </c>
      <c r="G1425" s="6" t="s">
        <v>103</v>
      </c>
      <c r="H1425" s="1"/>
      <c r="I1425" s="1"/>
      <c r="J1425" s="1"/>
    </row>
    <row r="1426" spans="1:10" x14ac:dyDescent="0.3">
      <c r="A1426" s="6" t="s">
        <v>18</v>
      </c>
      <c r="B1426" s="6">
        <f>+B1425+1</f>
        <v>2041</v>
      </c>
      <c r="C1426" s="1" t="s">
        <v>40</v>
      </c>
      <c r="D1426" s="2" t="s">
        <v>131</v>
      </c>
      <c r="E1426" s="9" t="str">
        <f t="shared" si="323"/>
        <v>PRBNP'!</v>
      </c>
      <c r="F1426" s="5" t="str">
        <f t="shared" si="325"/>
        <v>C:\Users\jaime.benazar\Quorum Business Solutions\Ecopetrol Prometeo - Documents\Planning Space Implementation\3. Analysis &amp; Design\Design\FC22\DRR Jaime\Neiva CPI\[VAO_DINA TERCIARIOS_CF_SEC_20230117.xlsx]CF PRBNP'!</v>
      </c>
      <c r="G1426" s="6" t="s">
        <v>103</v>
      </c>
      <c r="H1426" s="1"/>
      <c r="I1426" s="1"/>
      <c r="J1426" s="1"/>
    </row>
    <row r="1427" spans="1:10" x14ac:dyDescent="0.3">
      <c r="A1427" s="6" t="s">
        <v>18</v>
      </c>
      <c r="B1427" s="6">
        <f t="shared" ref="B1427:B1428" si="327">+B1426+1</f>
        <v>2042</v>
      </c>
      <c r="C1427" s="1" t="s">
        <v>40</v>
      </c>
      <c r="D1427" s="2" t="s">
        <v>131</v>
      </c>
      <c r="E1427" s="9" t="str">
        <f t="shared" si="323"/>
        <v>PRBNP'!</v>
      </c>
      <c r="F1427" s="5" t="str">
        <f t="shared" si="325"/>
        <v>C:\Users\jaime.benazar\Quorum Business Solutions\Ecopetrol Prometeo - Documents\Planning Space Implementation\3. Analysis &amp; Design\Design\FC22\DRR Jaime\Neiva CPI\[VAO_DINA TERCIARIOS_CF_SEC_20230117.xlsx]CF PRBNP'!</v>
      </c>
      <c r="G1427" s="6" t="s">
        <v>103</v>
      </c>
      <c r="H1427" s="1"/>
      <c r="I1427" s="1"/>
      <c r="J1427" s="1"/>
    </row>
    <row r="1428" spans="1:10" x14ac:dyDescent="0.3">
      <c r="A1428" s="6" t="s">
        <v>18</v>
      </c>
      <c r="B1428" s="6">
        <f t="shared" si="327"/>
        <v>2043</v>
      </c>
      <c r="C1428" s="1" t="s">
        <v>40</v>
      </c>
      <c r="D1428" s="2" t="s">
        <v>131</v>
      </c>
      <c r="E1428" s="9" t="str">
        <f t="shared" si="323"/>
        <v>PRBNP'!</v>
      </c>
      <c r="F1428" s="5" t="str">
        <f t="shared" si="325"/>
        <v>C:\Users\jaime.benazar\Quorum Business Solutions\Ecopetrol Prometeo - Documents\Planning Space Implementation\3. Analysis &amp; Design\Design\FC22\DRR Jaime\Neiva CPI\[VAO_DINA TERCIARIOS_CF_SEC_20230117.xlsx]CF PRBNP'!</v>
      </c>
      <c r="G1428" s="6" t="s">
        <v>103</v>
      </c>
      <c r="H1428" s="1"/>
      <c r="I1428" s="1"/>
      <c r="J1428" s="1"/>
    </row>
    <row r="1429" spans="1:10" x14ac:dyDescent="0.3">
      <c r="A1429" s="6" t="s">
        <v>18</v>
      </c>
      <c r="B1429" s="6">
        <f>+B1428+1</f>
        <v>2044</v>
      </c>
      <c r="C1429" s="1" t="s">
        <v>40</v>
      </c>
      <c r="D1429" s="2" t="s">
        <v>131</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Jaime\Neiva CPI\[VAO_DINA TERCIARIOS_CF_SEC_20230117.xlsx]CF PRBNP'!</v>
      </c>
      <c r="G1429" s="6" t="s">
        <v>103</v>
      </c>
      <c r="H1429" s="1"/>
      <c r="I1429" s="1"/>
      <c r="J1429" s="1"/>
    </row>
    <row r="1430" spans="1:10" x14ac:dyDescent="0.3">
      <c r="A1430" s="6" t="s">
        <v>18</v>
      </c>
      <c r="B1430" s="6">
        <f t="shared" ref="B1430:B1444" si="330">+B1429+1</f>
        <v>2045</v>
      </c>
      <c r="C1430" s="1" t="s">
        <v>40</v>
      </c>
      <c r="D1430" s="2" t="s">
        <v>131</v>
      </c>
      <c r="E1430" s="9" t="str">
        <f t="shared" si="328"/>
        <v>PRBNP'!</v>
      </c>
      <c r="F1430" s="5" t="str">
        <f t="shared" si="329"/>
        <v>C:\Users\jaime.benazar\Quorum Business Solutions\Ecopetrol Prometeo - Documents\Planning Space Implementation\3. Analysis &amp; Design\Design\FC22\DRR Jaime\Neiva CPI\[VAO_DINA TERCIARIOS_CF_SEC_20230117.xlsx]CF PRBNP'!</v>
      </c>
      <c r="G1430" s="6" t="s">
        <v>103</v>
      </c>
      <c r="H1430" s="1"/>
      <c r="I1430" s="1"/>
      <c r="J1430" s="1"/>
    </row>
    <row r="1431" spans="1:10" x14ac:dyDescent="0.3">
      <c r="A1431" s="6" t="s">
        <v>18</v>
      </c>
      <c r="B1431" s="6">
        <f t="shared" si="330"/>
        <v>2046</v>
      </c>
      <c r="C1431" s="1" t="s">
        <v>40</v>
      </c>
      <c r="D1431" s="2" t="s">
        <v>131</v>
      </c>
      <c r="E1431" s="9" t="str">
        <f t="shared" si="328"/>
        <v>PRBNP'!</v>
      </c>
      <c r="F1431" s="5" t="str">
        <f t="shared" si="329"/>
        <v>C:\Users\jaime.benazar\Quorum Business Solutions\Ecopetrol Prometeo - Documents\Planning Space Implementation\3. Analysis &amp; Design\Design\FC22\DRR Jaime\Neiva CPI\[VAO_DINA TERCIARIOS_CF_SEC_20230117.xlsx]CF PRBNP'!</v>
      </c>
      <c r="G1431" s="6" t="s">
        <v>103</v>
      </c>
      <c r="H1431" s="1"/>
      <c r="I1431" s="1"/>
      <c r="J1431" s="1"/>
    </row>
    <row r="1432" spans="1:10" x14ac:dyDescent="0.3">
      <c r="A1432" s="6" t="s">
        <v>18</v>
      </c>
      <c r="B1432" s="6">
        <f t="shared" si="330"/>
        <v>2047</v>
      </c>
      <c r="C1432" s="1" t="s">
        <v>40</v>
      </c>
      <c r="D1432" s="2" t="s">
        <v>131</v>
      </c>
      <c r="E1432" s="9" t="str">
        <f t="shared" si="328"/>
        <v>PRBNP'!</v>
      </c>
      <c r="F1432" s="5" t="str">
        <f t="shared" si="329"/>
        <v>C:\Users\jaime.benazar\Quorum Business Solutions\Ecopetrol Prometeo - Documents\Planning Space Implementation\3. Analysis &amp; Design\Design\FC22\DRR Jaime\Neiva CPI\[VAO_DINA TERCIARIOS_CF_SEC_20230117.xlsx]CF PRBNP'!</v>
      </c>
      <c r="G1432" s="6" t="s">
        <v>103</v>
      </c>
      <c r="H1432" s="1"/>
      <c r="I1432" s="1"/>
      <c r="J1432" s="1"/>
    </row>
    <row r="1433" spans="1:10" x14ac:dyDescent="0.3">
      <c r="A1433" s="6" t="s">
        <v>18</v>
      </c>
      <c r="B1433" s="6">
        <f t="shared" si="330"/>
        <v>2048</v>
      </c>
      <c r="C1433" s="1" t="s">
        <v>40</v>
      </c>
      <c r="D1433" s="2" t="s">
        <v>131</v>
      </c>
      <c r="E1433" s="9" t="str">
        <f t="shared" si="328"/>
        <v>PRBNP'!</v>
      </c>
      <c r="F1433" s="5" t="str">
        <f t="shared" si="329"/>
        <v>C:\Users\jaime.benazar\Quorum Business Solutions\Ecopetrol Prometeo - Documents\Planning Space Implementation\3. Analysis &amp; Design\Design\FC22\DRR Jaime\Neiva CPI\[VAO_DINA TERCIARIOS_CF_SEC_20230117.xlsx]CF PRBNP'!</v>
      </c>
      <c r="G1433" s="6" t="s">
        <v>103</v>
      </c>
      <c r="H1433" s="1"/>
      <c r="I1433" s="1"/>
      <c r="J1433" s="1"/>
    </row>
    <row r="1434" spans="1:10" x14ac:dyDescent="0.3">
      <c r="A1434" s="6" t="s">
        <v>18</v>
      </c>
      <c r="B1434" s="6">
        <f t="shared" si="330"/>
        <v>2049</v>
      </c>
      <c r="C1434" s="1" t="s">
        <v>40</v>
      </c>
      <c r="D1434" s="2" t="s">
        <v>131</v>
      </c>
      <c r="E1434" s="9" t="str">
        <f t="shared" si="328"/>
        <v>PRBNP'!</v>
      </c>
      <c r="F1434" s="5" t="str">
        <f t="shared" si="329"/>
        <v>C:\Users\jaime.benazar\Quorum Business Solutions\Ecopetrol Prometeo - Documents\Planning Space Implementation\3. Analysis &amp; Design\Design\FC22\DRR Jaime\Neiva CPI\[VAO_DINA TERCIARIOS_CF_SEC_20230117.xlsx]CF PRBNP'!</v>
      </c>
      <c r="G1434" s="6" t="s">
        <v>103</v>
      </c>
      <c r="H1434" s="1"/>
      <c r="I1434" s="1"/>
      <c r="J1434" s="1"/>
    </row>
    <row r="1435" spans="1:10" x14ac:dyDescent="0.3">
      <c r="A1435" s="6" t="s">
        <v>18</v>
      </c>
      <c r="B1435" s="6">
        <f t="shared" si="330"/>
        <v>2050</v>
      </c>
      <c r="C1435" s="1" t="s">
        <v>40</v>
      </c>
      <c r="D1435" s="2" t="s">
        <v>131</v>
      </c>
      <c r="E1435" s="9" t="str">
        <f t="shared" si="328"/>
        <v>PRBNP'!</v>
      </c>
      <c r="F1435" s="5" t="str">
        <f t="shared" si="329"/>
        <v>C:\Users\jaime.benazar\Quorum Business Solutions\Ecopetrol Prometeo - Documents\Planning Space Implementation\3. Analysis &amp; Design\Design\FC22\DRR Jaime\Neiva CPI\[VAO_DINA TERCIARIOS_CF_SEC_20230117.xlsx]CF PRBNP'!</v>
      </c>
      <c r="G1435" s="6" t="s">
        <v>103</v>
      </c>
      <c r="H1435" s="1"/>
      <c r="I1435" s="1"/>
      <c r="J1435" s="1"/>
    </row>
    <row r="1436" spans="1:10" x14ac:dyDescent="0.3">
      <c r="A1436" s="6" t="s">
        <v>18</v>
      </c>
      <c r="B1436" s="6">
        <f t="shared" si="330"/>
        <v>2051</v>
      </c>
      <c r="C1436" s="1" t="s">
        <v>40</v>
      </c>
      <c r="D1436" s="2" t="s">
        <v>131</v>
      </c>
      <c r="E1436" s="9" t="str">
        <f t="shared" si="328"/>
        <v>PRBNP'!</v>
      </c>
      <c r="F1436" s="5" t="str">
        <f t="shared" si="329"/>
        <v>C:\Users\jaime.benazar\Quorum Business Solutions\Ecopetrol Prometeo - Documents\Planning Space Implementation\3. Analysis &amp; Design\Design\FC22\DRR Jaime\Neiva CPI\[VAO_DINA TERCIARIOS_CF_SEC_20230117.xlsx]CF PRBNP'!</v>
      </c>
      <c r="G1436" s="6" t="s">
        <v>103</v>
      </c>
      <c r="H1436" s="1"/>
      <c r="I1436" s="1"/>
      <c r="J1436" s="1"/>
    </row>
    <row r="1437" spans="1:10" x14ac:dyDescent="0.3">
      <c r="A1437" s="6" t="s">
        <v>18</v>
      </c>
      <c r="B1437" s="6">
        <f t="shared" si="330"/>
        <v>2052</v>
      </c>
      <c r="C1437" s="1" t="s">
        <v>40</v>
      </c>
      <c r="D1437" s="2" t="s">
        <v>131</v>
      </c>
      <c r="E1437" s="9" t="str">
        <f t="shared" si="328"/>
        <v>PRBNP'!</v>
      </c>
      <c r="F1437" s="5" t="str">
        <f t="shared" si="329"/>
        <v>C:\Users\jaime.benazar\Quorum Business Solutions\Ecopetrol Prometeo - Documents\Planning Space Implementation\3. Analysis &amp; Design\Design\FC22\DRR Jaime\Neiva CPI\[VAO_DINA TERCIARIOS_CF_SEC_20230117.xlsx]CF PRBNP'!</v>
      </c>
      <c r="G1437" s="6" t="s">
        <v>103</v>
      </c>
      <c r="H1437" s="1"/>
      <c r="I1437" s="1"/>
      <c r="J1437" s="1"/>
    </row>
    <row r="1438" spans="1:10" x14ac:dyDescent="0.3">
      <c r="A1438" s="6" t="s">
        <v>18</v>
      </c>
      <c r="B1438" s="6">
        <f t="shared" si="330"/>
        <v>2053</v>
      </c>
      <c r="C1438" s="1" t="s">
        <v>40</v>
      </c>
      <c r="D1438" s="2" t="s">
        <v>131</v>
      </c>
      <c r="E1438" s="9" t="str">
        <f t="shared" si="328"/>
        <v>PRBNP'!</v>
      </c>
      <c r="F1438" s="5" t="str">
        <f t="shared" si="329"/>
        <v>C:\Users\jaime.benazar\Quorum Business Solutions\Ecopetrol Prometeo - Documents\Planning Space Implementation\3. Analysis &amp; Design\Design\FC22\DRR Jaime\Neiva CPI\[VAO_DINA TERCIARIOS_CF_SEC_20230117.xlsx]CF PRBNP'!</v>
      </c>
      <c r="G1438" s="6" t="s">
        <v>103</v>
      </c>
      <c r="H1438" s="1"/>
      <c r="I1438" s="1"/>
      <c r="J1438" s="1"/>
    </row>
    <row r="1439" spans="1:10" x14ac:dyDescent="0.3">
      <c r="A1439" s="6" t="s">
        <v>18</v>
      </c>
      <c r="B1439" s="6">
        <f t="shared" si="330"/>
        <v>2054</v>
      </c>
      <c r="C1439" s="1" t="s">
        <v>40</v>
      </c>
      <c r="D1439" s="2" t="s">
        <v>131</v>
      </c>
      <c r="E1439" s="9" t="str">
        <f t="shared" si="328"/>
        <v>PRBNP'!</v>
      </c>
      <c r="F1439" s="5" t="str">
        <f t="shared" si="329"/>
        <v>C:\Users\jaime.benazar\Quorum Business Solutions\Ecopetrol Prometeo - Documents\Planning Space Implementation\3. Analysis &amp; Design\Design\FC22\DRR Jaime\Neiva CPI\[VAO_DINA TERCIARIOS_CF_SEC_20230117.xlsx]CF PRBNP'!</v>
      </c>
      <c r="G1439" s="6" t="s">
        <v>103</v>
      </c>
      <c r="H1439" s="1"/>
      <c r="I1439" s="1"/>
      <c r="J1439" s="1"/>
    </row>
    <row r="1440" spans="1:10" x14ac:dyDescent="0.3">
      <c r="A1440" s="6" t="s">
        <v>18</v>
      </c>
      <c r="B1440" s="6">
        <f t="shared" si="330"/>
        <v>2055</v>
      </c>
      <c r="C1440" s="1" t="s">
        <v>40</v>
      </c>
      <c r="D1440" s="2" t="s">
        <v>131</v>
      </c>
      <c r="E1440" s="9" t="str">
        <f t="shared" si="328"/>
        <v>PRBNP'!</v>
      </c>
      <c r="F1440" s="5" t="str">
        <f t="shared" si="329"/>
        <v>C:\Users\jaime.benazar\Quorum Business Solutions\Ecopetrol Prometeo - Documents\Planning Space Implementation\3. Analysis &amp; Design\Design\FC22\DRR Jaime\Neiva CPI\[VAO_DINA TERCIARIOS_CF_SEC_20230117.xlsx]CF PRBNP'!</v>
      </c>
      <c r="G1440" s="6" t="s">
        <v>103</v>
      </c>
      <c r="H1440" s="1"/>
      <c r="I1440" s="1"/>
      <c r="J1440" s="1"/>
    </row>
    <row r="1441" spans="1:10" x14ac:dyDescent="0.3">
      <c r="A1441" s="6" t="s">
        <v>18</v>
      </c>
      <c r="B1441" s="6">
        <f t="shared" si="330"/>
        <v>2056</v>
      </c>
      <c r="C1441" s="1" t="s">
        <v>40</v>
      </c>
      <c r="D1441" s="2" t="s">
        <v>131</v>
      </c>
      <c r="E1441" s="9" t="str">
        <f t="shared" si="328"/>
        <v>PRBNP'!</v>
      </c>
      <c r="F1441" s="5" t="str">
        <f t="shared" si="329"/>
        <v>C:\Users\jaime.benazar\Quorum Business Solutions\Ecopetrol Prometeo - Documents\Planning Space Implementation\3. Analysis &amp; Design\Design\FC22\DRR Jaime\Neiva CPI\[VAO_DINA TERCIARIOS_CF_SEC_20230117.xlsx]CF PRBNP'!</v>
      </c>
      <c r="G1441" s="6" t="s">
        <v>103</v>
      </c>
      <c r="H1441" s="1"/>
      <c r="I1441" s="1"/>
      <c r="J1441" s="1"/>
    </row>
    <row r="1442" spans="1:10" x14ac:dyDescent="0.3">
      <c r="A1442" s="6" t="s">
        <v>18</v>
      </c>
      <c r="B1442" s="6">
        <f t="shared" si="330"/>
        <v>2057</v>
      </c>
      <c r="C1442" s="1" t="s">
        <v>40</v>
      </c>
      <c r="D1442" s="2" t="s">
        <v>131</v>
      </c>
      <c r="E1442" s="9" t="str">
        <f t="shared" si="328"/>
        <v>PRBNP'!</v>
      </c>
      <c r="F1442" s="5" t="str">
        <f t="shared" si="329"/>
        <v>C:\Users\jaime.benazar\Quorum Business Solutions\Ecopetrol Prometeo - Documents\Planning Space Implementation\3. Analysis &amp; Design\Design\FC22\DRR Jaime\Neiva CPI\[VAO_DINA TERCIARIOS_CF_SEC_20230117.xlsx]CF PRBNP'!</v>
      </c>
      <c r="G1442" s="6" t="s">
        <v>103</v>
      </c>
      <c r="H1442" s="1"/>
      <c r="I1442" s="1"/>
      <c r="J1442" s="1"/>
    </row>
    <row r="1443" spans="1:10" x14ac:dyDescent="0.3">
      <c r="A1443" s="6" t="s">
        <v>18</v>
      </c>
      <c r="B1443" s="6">
        <f t="shared" si="330"/>
        <v>2058</v>
      </c>
      <c r="C1443" s="1" t="s">
        <v>40</v>
      </c>
      <c r="D1443" s="2" t="s">
        <v>131</v>
      </c>
      <c r="E1443" s="9" t="str">
        <f t="shared" si="328"/>
        <v>PRBNP'!</v>
      </c>
      <c r="F1443" s="5" t="str">
        <f t="shared" si="329"/>
        <v>C:\Users\jaime.benazar\Quorum Business Solutions\Ecopetrol Prometeo - Documents\Planning Space Implementation\3. Analysis &amp; Design\Design\FC22\DRR Jaime\Neiva CPI\[VAO_DINA TERCIARIOS_CF_SEC_20230117.xlsx]CF PRBNP'!</v>
      </c>
      <c r="G1443" s="6" t="s">
        <v>103</v>
      </c>
      <c r="H1443" s="1"/>
      <c r="I1443" s="1"/>
      <c r="J1443" s="1"/>
    </row>
    <row r="1444" spans="1:10" x14ac:dyDescent="0.3">
      <c r="A1444" s="6" t="s">
        <v>18</v>
      </c>
      <c r="B1444" s="6">
        <f t="shared" si="330"/>
        <v>2059</v>
      </c>
      <c r="C1444" s="1" t="s">
        <v>40</v>
      </c>
      <c r="D1444" s="2" t="s">
        <v>131</v>
      </c>
      <c r="E1444" s="9" t="str">
        <f t="shared" si="328"/>
        <v>PRBNP'!</v>
      </c>
      <c r="F1444" s="5" t="str">
        <f t="shared" si="329"/>
        <v>C:\Users\jaime.benazar\Quorum Business Solutions\Ecopetrol Prometeo - Documents\Planning Space Implementation\3. Analysis &amp; Design\Design\FC22\DRR Jaime\Neiva CPI\[VAO_DINA TERCIARIOS_CF_SEC_20230117.xlsx]CF PRBNP'!</v>
      </c>
      <c r="G1444" s="6" t="s">
        <v>103</v>
      </c>
      <c r="H1444" s="1"/>
      <c r="I1444" s="1"/>
      <c r="J1444" s="1"/>
    </row>
    <row r="1445" spans="1:10" x14ac:dyDescent="0.3">
      <c r="A1445" s="6" t="s">
        <v>26</v>
      </c>
      <c r="B1445" s="6"/>
      <c r="C1445" s="1" t="s">
        <v>40</v>
      </c>
      <c r="D1445" s="2"/>
      <c r="E1445" s="9"/>
      <c r="F1445" s="2"/>
      <c r="G1445" s="6"/>
      <c r="H1445" s="1"/>
      <c r="I1445" s="1"/>
      <c r="J1445" s="1"/>
    </row>
    <row r="1446" spans="1:10" x14ac:dyDescent="0.3">
      <c r="A1446" s="6" t="s">
        <v>19</v>
      </c>
      <c r="B1446" s="6">
        <v>2023</v>
      </c>
      <c r="C1446" s="1" t="s">
        <v>40</v>
      </c>
      <c r="D1446" s="2" t="s">
        <v>131</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Jaime\Neiva CPI\[VAO_DINA TERCIARIOS_CF_SEC_20230117.xlsx]CF PRBND'!</v>
      </c>
      <c r="G1446" s="6" t="s">
        <v>103</v>
      </c>
      <c r="H1446" s="1"/>
      <c r="I1446" s="1"/>
      <c r="J1446" s="1"/>
    </row>
    <row r="1447" spans="1:10" x14ac:dyDescent="0.3">
      <c r="A1447" s="6" t="s">
        <v>19</v>
      </c>
      <c r="B1447" s="6">
        <f>+B1446+1</f>
        <v>2024</v>
      </c>
      <c r="C1447" s="1" t="s">
        <v>40</v>
      </c>
      <c r="D1447" s="2" t="s">
        <v>131</v>
      </c>
      <c r="E1447" s="9" t="str">
        <f t="shared" si="331"/>
        <v>PRBND'!</v>
      </c>
      <c r="F1447" s="5" t="str">
        <f t="shared" si="332"/>
        <v>C:\Users\jaime.benazar\Quorum Business Solutions\Ecopetrol Prometeo - Documents\Planning Space Implementation\3. Analysis &amp; Design\Design\FC22\DRR Jaime\Neiva CPI\[VAO_DINA TERCIARIOS_CF_SEC_20230117.xlsx]CF PRBND'!</v>
      </c>
      <c r="G1447" s="6" t="s">
        <v>103</v>
      </c>
      <c r="H1447" s="1"/>
      <c r="I1447" s="1"/>
      <c r="J1447" s="1"/>
    </row>
    <row r="1448" spans="1:10" x14ac:dyDescent="0.3">
      <c r="A1448" s="6" t="s">
        <v>19</v>
      </c>
      <c r="B1448" s="6">
        <f t="shared" ref="B1448:B1459" si="333">+B1447+1</f>
        <v>2025</v>
      </c>
      <c r="C1448" s="1" t="s">
        <v>40</v>
      </c>
      <c r="D1448" s="2" t="s">
        <v>131</v>
      </c>
      <c r="E1448" s="9" t="str">
        <f t="shared" si="331"/>
        <v>PRBND'!</v>
      </c>
      <c r="F1448" s="5" t="str">
        <f t="shared" si="332"/>
        <v>C:\Users\jaime.benazar\Quorum Business Solutions\Ecopetrol Prometeo - Documents\Planning Space Implementation\3. Analysis &amp; Design\Design\FC22\DRR Jaime\Neiva CPI\[VAO_DINA TERCIARIOS_CF_SEC_20230117.xlsx]CF PRBND'!</v>
      </c>
      <c r="G1448" s="6" t="s">
        <v>103</v>
      </c>
      <c r="H1448" s="1"/>
      <c r="I1448" s="1"/>
      <c r="J1448" s="1"/>
    </row>
    <row r="1449" spans="1:10" x14ac:dyDescent="0.3">
      <c r="A1449" s="6" t="s">
        <v>19</v>
      </c>
      <c r="B1449" s="6">
        <f t="shared" si="333"/>
        <v>2026</v>
      </c>
      <c r="C1449" s="1" t="s">
        <v>40</v>
      </c>
      <c r="D1449" s="2" t="s">
        <v>131</v>
      </c>
      <c r="E1449" s="9" t="str">
        <f t="shared" si="331"/>
        <v>PRBND'!</v>
      </c>
      <c r="F1449" s="5" t="str">
        <f t="shared" si="332"/>
        <v>C:\Users\jaime.benazar\Quorum Business Solutions\Ecopetrol Prometeo - Documents\Planning Space Implementation\3. Analysis &amp; Design\Design\FC22\DRR Jaime\Neiva CPI\[VAO_DINA TERCIARIOS_CF_SEC_20230117.xlsx]CF PRBND'!</v>
      </c>
      <c r="G1449" s="6" t="s">
        <v>103</v>
      </c>
      <c r="H1449" s="1"/>
      <c r="I1449" s="1"/>
      <c r="J1449" s="1"/>
    </row>
    <row r="1450" spans="1:10" x14ac:dyDescent="0.3">
      <c r="A1450" s="6" t="s">
        <v>19</v>
      </c>
      <c r="B1450" s="6">
        <f t="shared" si="333"/>
        <v>2027</v>
      </c>
      <c r="C1450" s="1" t="s">
        <v>40</v>
      </c>
      <c r="D1450" s="2" t="s">
        <v>131</v>
      </c>
      <c r="E1450" s="9" t="str">
        <f t="shared" si="331"/>
        <v>PRBND'!</v>
      </c>
      <c r="F1450" s="5" t="str">
        <f t="shared" si="332"/>
        <v>C:\Users\jaime.benazar\Quorum Business Solutions\Ecopetrol Prometeo - Documents\Planning Space Implementation\3. Analysis &amp; Design\Design\FC22\DRR Jaime\Neiva CPI\[VAO_DINA TERCIARIOS_CF_SEC_20230117.xlsx]CF PRBND'!</v>
      </c>
      <c r="G1450" s="6" t="s">
        <v>103</v>
      </c>
      <c r="H1450" s="1"/>
      <c r="I1450" s="1"/>
      <c r="J1450" s="1"/>
    </row>
    <row r="1451" spans="1:10" x14ac:dyDescent="0.3">
      <c r="A1451" s="6" t="s">
        <v>19</v>
      </c>
      <c r="B1451" s="6">
        <f t="shared" si="333"/>
        <v>2028</v>
      </c>
      <c r="C1451" s="1" t="s">
        <v>40</v>
      </c>
      <c r="D1451" s="2" t="s">
        <v>131</v>
      </c>
      <c r="E1451" s="9" t="str">
        <f t="shared" si="331"/>
        <v>PRBND'!</v>
      </c>
      <c r="F1451" s="5" t="str">
        <f t="shared" si="332"/>
        <v>C:\Users\jaime.benazar\Quorum Business Solutions\Ecopetrol Prometeo - Documents\Planning Space Implementation\3. Analysis &amp; Design\Design\FC22\DRR Jaime\Neiva CPI\[VAO_DINA TERCIARIOS_CF_SEC_20230117.xlsx]CF PRBND'!</v>
      </c>
      <c r="G1451" s="6" t="s">
        <v>103</v>
      </c>
      <c r="H1451" s="1"/>
      <c r="I1451" s="1"/>
      <c r="J1451" s="1"/>
    </row>
    <row r="1452" spans="1:10" x14ac:dyDescent="0.3">
      <c r="A1452" s="6" t="s">
        <v>19</v>
      </c>
      <c r="B1452" s="6">
        <f t="shared" si="333"/>
        <v>2029</v>
      </c>
      <c r="C1452" s="1" t="s">
        <v>40</v>
      </c>
      <c r="D1452" s="2" t="s">
        <v>131</v>
      </c>
      <c r="E1452" s="9" t="str">
        <f t="shared" si="331"/>
        <v>PRBND'!</v>
      </c>
      <c r="F1452" s="5" t="str">
        <f t="shared" si="332"/>
        <v>C:\Users\jaime.benazar\Quorum Business Solutions\Ecopetrol Prometeo - Documents\Planning Space Implementation\3. Analysis &amp; Design\Design\FC22\DRR Jaime\Neiva CPI\[VAO_DINA TERCIARIOS_CF_SEC_20230117.xlsx]CF PRBND'!</v>
      </c>
      <c r="G1452" s="6" t="s">
        <v>103</v>
      </c>
      <c r="H1452" s="1"/>
      <c r="I1452" s="1"/>
      <c r="J1452" s="1"/>
    </row>
    <row r="1453" spans="1:10" x14ac:dyDescent="0.3">
      <c r="A1453" s="6" t="s">
        <v>19</v>
      </c>
      <c r="B1453" s="6">
        <f t="shared" si="333"/>
        <v>2030</v>
      </c>
      <c r="C1453" s="1" t="s">
        <v>40</v>
      </c>
      <c r="D1453" s="2" t="s">
        <v>131</v>
      </c>
      <c r="E1453" s="9" t="str">
        <f t="shared" si="331"/>
        <v>PRBND'!</v>
      </c>
      <c r="F1453" s="5" t="str">
        <f t="shared" si="332"/>
        <v>C:\Users\jaime.benazar\Quorum Business Solutions\Ecopetrol Prometeo - Documents\Planning Space Implementation\3. Analysis &amp; Design\Design\FC22\DRR Jaime\Neiva CPI\[VAO_DINA TERCIARIOS_CF_SEC_20230117.xlsx]CF PRBND'!</v>
      </c>
      <c r="G1453" s="6" t="s">
        <v>103</v>
      </c>
      <c r="H1453" s="1"/>
      <c r="I1453" s="1"/>
      <c r="J1453" s="1"/>
    </row>
    <row r="1454" spans="1:10" x14ac:dyDescent="0.3">
      <c r="A1454" s="6" t="s">
        <v>19</v>
      </c>
      <c r="B1454" s="6">
        <f t="shared" si="333"/>
        <v>2031</v>
      </c>
      <c r="C1454" s="1" t="s">
        <v>40</v>
      </c>
      <c r="D1454" s="2" t="s">
        <v>131</v>
      </c>
      <c r="E1454" s="9" t="str">
        <f t="shared" si="331"/>
        <v>PRBND'!</v>
      </c>
      <c r="F1454" s="5" t="str">
        <f t="shared" si="332"/>
        <v>C:\Users\jaime.benazar\Quorum Business Solutions\Ecopetrol Prometeo - Documents\Planning Space Implementation\3. Analysis &amp; Design\Design\FC22\DRR Jaime\Neiva CPI\[VAO_DINA TERCIARIOS_CF_SEC_20230117.xlsx]CF PRBND'!</v>
      </c>
      <c r="G1454" s="6" t="s">
        <v>103</v>
      </c>
      <c r="H1454" s="1"/>
      <c r="I1454" s="1"/>
      <c r="J1454" s="1"/>
    </row>
    <row r="1455" spans="1:10" x14ac:dyDescent="0.3">
      <c r="A1455" s="6" t="s">
        <v>19</v>
      </c>
      <c r="B1455" s="6">
        <f t="shared" si="333"/>
        <v>2032</v>
      </c>
      <c r="C1455" s="1" t="s">
        <v>40</v>
      </c>
      <c r="D1455" s="2" t="s">
        <v>131</v>
      </c>
      <c r="E1455" s="9" t="str">
        <f t="shared" si="331"/>
        <v>PRBND'!</v>
      </c>
      <c r="F1455" s="5" t="str">
        <f t="shared" si="332"/>
        <v>C:\Users\jaime.benazar\Quorum Business Solutions\Ecopetrol Prometeo - Documents\Planning Space Implementation\3. Analysis &amp; Design\Design\FC22\DRR Jaime\Neiva CPI\[VAO_DINA TERCIARIOS_CF_SEC_20230117.xlsx]CF PRBND'!</v>
      </c>
      <c r="G1455" s="6" t="s">
        <v>103</v>
      </c>
      <c r="H1455" s="1"/>
      <c r="I1455" s="1"/>
      <c r="J1455" s="1"/>
    </row>
    <row r="1456" spans="1:10" x14ac:dyDescent="0.3">
      <c r="A1456" s="6" t="s">
        <v>19</v>
      </c>
      <c r="B1456" s="6">
        <f t="shared" si="333"/>
        <v>2033</v>
      </c>
      <c r="C1456" s="1" t="s">
        <v>40</v>
      </c>
      <c r="D1456" s="2" t="s">
        <v>131</v>
      </c>
      <c r="E1456" s="9" t="str">
        <f t="shared" si="331"/>
        <v>PRBND'!</v>
      </c>
      <c r="F1456" s="5" t="str">
        <f t="shared" si="332"/>
        <v>C:\Users\jaime.benazar\Quorum Business Solutions\Ecopetrol Prometeo - Documents\Planning Space Implementation\3. Analysis &amp; Design\Design\FC22\DRR Jaime\Neiva CPI\[VAO_DINA TERCIARIOS_CF_SEC_20230117.xlsx]CF PRBND'!</v>
      </c>
      <c r="G1456" s="6" t="s">
        <v>103</v>
      </c>
      <c r="H1456" s="1"/>
      <c r="I1456" s="1"/>
      <c r="J1456" s="1"/>
    </row>
    <row r="1457" spans="1:10" x14ac:dyDescent="0.3">
      <c r="A1457" s="6" t="s">
        <v>19</v>
      </c>
      <c r="B1457" s="6">
        <f t="shared" si="333"/>
        <v>2034</v>
      </c>
      <c r="C1457" s="1" t="s">
        <v>40</v>
      </c>
      <c r="D1457" s="2" t="s">
        <v>131</v>
      </c>
      <c r="E1457" s="9" t="str">
        <f t="shared" si="331"/>
        <v>PRBND'!</v>
      </c>
      <c r="F1457" s="5" t="str">
        <f t="shared" si="332"/>
        <v>C:\Users\jaime.benazar\Quorum Business Solutions\Ecopetrol Prometeo - Documents\Planning Space Implementation\3. Analysis &amp; Design\Design\FC22\DRR Jaime\Neiva CPI\[VAO_DINA TERCIARIOS_CF_SEC_20230117.xlsx]CF PRBND'!</v>
      </c>
      <c r="G1457" s="6" t="s">
        <v>103</v>
      </c>
      <c r="H1457" s="1"/>
      <c r="I1457" s="1"/>
      <c r="J1457" s="1"/>
    </row>
    <row r="1458" spans="1:10" x14ac:dyDescent="0.3">
      <c r="A1458" s="6" t="s">
        <v>19</v>
      </c>
      <c r="B1458" s="6">
        <f t="shared" si="333"/>
        <v>2035</v>
      </c>
      <c r="C1458" s="1" t="s">
        <v>40</v>
      </c>
      <c r="D1458" s="2" t="s">
        <v>131</v>
      </c>
      <c r="E1458" s="9" t="str">
        <f t="shared" si="331"/>
        <v>PRBND'!</v>
      </c>
      <c r="F1458" s="5" t="str">
        <f t="shared" si="332"/>
        <v>C:\Users\jaime.benazar\Quorum Business Solutions\Ecopetrol Prometeo - Documents\Planning Space Implementation\3. Analysis &amp; Design\Design\FC22\DRR Jaime\Neiva CPI\[VAO_DINA TERCIARIOS_CF_SEC_20230117.xlsx]CF PRBND'!</v>
      </c>
      <c r="G1458" s="6" t="s">
        <v>103</v>
      </c>
      <c r="H1458" s="1"/>
      <c r="I1458" s="1"/>
      <c r="J1458" s="1"/>
    </row>
    <row r="1459" spans="1:10" x14ac:dyDescent="0.3">
      <c r="A1459" s="6" t="s">
        <v>19</v>
      </c>
      <c r="B1459" s="6">
        <f t="shared" si="333"/>
        <v>2036</v>
      </c>
      <c r="C1459" s="1" t="s">
        <v>40</v>
      </c>
      <c r="D1459" s="2" t="s">
        <v>131</v>
      </c>
      <c r="E1459" s="9" t="str">
        <f t="shared" si="331"/>
        <v>PRBND'!</v>
      </c>
      <c r="F1459" s="5" t="str">
        <f t="shared" si="332"/>
        <v>C:\Users\jaime.benazar\Quorum Business Solutions\Ecopetrol Prometeo - Documents\Planning Space Implementation\3. Analysis &amp; Design\Design\FC22\DRR Jaime\Neiva CPI\[VAO_DINA TERCIARIOS_CF_SEC_20230117.xlsx]CF PRBND'!</v>
      </c>
      <c r="G1459" s="6" t="s">
        <v>103</v>
      </c>
      <c r="H1459" s="1"/>
      <c r="I1459" s="1"/>
      <c r="J1459" s="1"/>
    </row>
    <row r="1460" spans="1:10" x14ac:dyDescent="0.3">
      <c r="A1460" s="6" t="s">
        <v>19</v>
      </c>
      <c r="B1460" s="6">
        <f>+B1459+1</f>
        <v>2037</v>
      </c>
      <c r="C1460" s="1" t="s">
        <v>40</v>
      </c>
      <c r="D1460" s="2" t="s">
        <v>131</v>
      </c>
      <c r="E1460" s="9" t="str">
        <f t="shared" si="331"/>
        <v>PRBND'!</v>
      </c>
      <c r="F1460" s="5" t="str">
        <f t="shared" si="332"/>
        <v>C:\Users\jaime.benazar\Quorum Business Solutions\Ecopetrol Prometeo - Documents\Planning Space Implementation\3. Analysis &amp; Design\Design\FC22\DRR Jaime\Neiva CPI\[VAO_DINA TERCIARIOS_CF_SEC_20230117.xlsx]CF PRBND'!</v>
      </c>
      <c r="G1460" s="6" t="s">
        <v>103</v>
      </c>
      <c r="H1460" s="1"/>
      <c r="I1460" s="1"/>
      <c r="J1460" s="1"/>
    </row>
    <row r="1461" spans="1:10" x14ac:dyDescent="0.3">
      <c r="A1461" s="6" t="s">
        <v>19</v>
      </c>
      <c r="B1461" s="6">
        <f t="shared" ref="B1461:B1463" si="334">+B1460+1</f>
        <v>2038</v>
      </c>
      <c r="C1461" s="1" t="s">
        <v>40</v>
      </c>
      <c r="D1461" s="2" t="s">
        <v>131</v>
      </c>
      <c r="E1461" s="9" t="str">
        <f t="shared" si="331"/>
        <v>PRBND'!</v>
      </c>
      <c r="F1461" s="5" t="str">
        <f t="shared" si="332"/>
        <v>C:\Users\jaime.benazar\Quorum Business Solutions\Ecopetrol Prometeo - Documents\Planning Space Implementation\3. Analysis &amp; Design\Design\FC22\DRR Jaime\Neiva CPI\[VAO_DINA TERCIARIOS_CF_SEC_20230117.xlsx]CF PRBND'!</v>
      </c>
      <c r="G1461" s="6" t="s">
        <v>103</v>
      </c>
      <c r="H1461" s="1"/>
      <c r="I1461" s="1"/>
      <c r="J1461" s="1"/>
    </row>
    <row r="1462" spans="1:10" x14ac:dyDescent="0.3">
      <c r="A1462" s="6" t="s">
        <v>19</v>
      </c>
      <c r="B1462" s="6">
        <f t="shared" si="334"/>
        <v>2039</v>
      </c>
      <c r="C1462" s="1" t="s">
        <v>40</v>
      </c>
      <c r="D1462" s="2" t="s">
        <v>131</v>
      </c>
      <c r="E1462" s="9" t="str">
        <f t="shared" si="331"/>
        <v>PRBND'!</v>
      </c>
      <c r="F1462" s="5" t="str">
        <f t="shared" si="332"/>
        <v>C:\Users\jaime.benazar\Quorum Business Solutions\Ecopetrol Prometeo - Documents\Planning Space Implementation\3. Analysis &amp; Design\Design\FC22\DRR Jaime\Neiva CPI\[VAO_DINA TERCIARIOS_CF_SEC_20230117.xlsx]CF PRBND'!</v>
      </c>
      <c r="G1462" s="6" t="s">
        <v>103</v>
      </c>
      <c r="H1462" s="1"/>
      <c r="I1462" s="1"/>
      <c r="J1462" s="1"/>
    </row>
    <row r="1463" spans="1:10" x14ac:dyDescent="0.3">
      <c r="A1463" s="6" t="s">
        <v>19</v>
      </c>
      <c r="B1463" s="6">
        <f t="shared" si="334"/>
        <v>2040</v>
      </c>
      <c r="C1463" s="1" t="s">
        <v>40</v>
      </c>
      <c r="D1463" s="2" t="s">
        <v>131</v>
      </c>
      <c r="E1463" s="9" t="str">
        <f t="shared" si="331"/>
        <v>PRBND'!</v>
      </c>
      <c r="F1463" s="5" t="str">
        <f t="shared" si="332"/>
        <v>C:\Users\jaime.benazar\Quorum Business Solutions\Ecopetrol Prometeo - Documents\Planning Space Implementation\3. Analysis &amp; Design\Design\FC22\DRR Jaime\Neiva CPI\[VAO_DINA TERCIARIOS_CF_SEC_20230117.xlsx]CF PRBND'!</v>
      </c>
      <c r="G1463" s="6" t="s">
        <v>103</v>
      </c>
      <c r="H1463" s="1"/>
      <c r="I1463" s="1"/>
      <c r="J1463" s="1"/>
    </row>
    <row r="1464" spans="1:10" x14ac:dyDescent="0.3">
      <c r="A1464" s="6" t="s">
        <v>19</v>
      </c>
      <c r="B1464" s="6">
        <f>+B1463+1</f>
        <v>2041</v>
      </c>
      <c r="C1464" s="1" t="s">
        <v>40</v>
      </c>
      <c r="D1464" s="2" t="s">
        <v>131</v>
      </c>
      <c r="E1464" s="9" t="str">
        <f t="shared" si="331"/>
        <v>PRBND'!</v>
      </c>
      <c r="F1464" s="5" t="str">
        <f t="shared" si="332"/>
        <v>C:\Users\jaime.benazar\Quorum Business Solutions\Ecopetrol Prometeo - Documents\Planning Space Implementation\3. Analysis &amp; Design\Design\FC22\DRR Jaime\Neiva CPI\[VAO_DINA TERCIARIOS_CF_SEC_20230117.xlsx]CF PRBND'!</v>
      </c>
      <c r="G1464" s="6" t="s">
        <v>103</v>
      </c>
      <c r="H1464" s="1"/>
      <c r="I1464" s="1"/>
      <c r="J1464" s="1"/>
    </row>
    <row r="1465" spans="1:10" x14ac:dyDescent="0.3">
      <c r="A1465" s="6" t="s">
        <v>19</v>
      </c>
      <c r="B1465" s="6">
        <f t="shared" ref="B1465:B1466" si="335">+B1464+1</f>
        <v>2042</v>
      </c>
      <c r="C1465" s="1" t="s">
        <v>40</v>
      </c>
      <c r="D1465" s="2" t="s">
        <v>131</v>
      </c>
      <c r="E1465" s="9" t="str">
        <f t="shared" si="331"/>
        <v>PRBND'!</v>
      </c>
      <c r="F1465" s="5" t="str">
        <f t="shared" si="332"/>
        <v>C:\Users\jaime.benazar\Quorum Business Solutions\Ecopetrol Prometeo - Documents\Planning Space Implementation\3. Analysis &amp; Design\Design\FC22\DRR Jaime\Neiva CPI\[VAO_DINA TERCIARIOS_CF_SEC_20230117.xlsx]CF PRBND'!</v>
      </c>
      <c r="G1465" s="6" t="s">
        <v>103</v>
      </c>
      <c r="H1465" s="1"/>
      <c r="I1465" s="1"/>
      <c r="J1465" s="1"/>
    </row>
    <row r="1466" spans="1:10" x14ac:dyDescent="0.3">
      <c r="A1466" s="6" t="s">
        <v>19</v>
      </c>
      <c r="B1466" s="6">
        <f t="shared" si="335"/>
        <v>2043</v>
      </c>
      <c r="C1466" s="1" t="s">
        <v>40</v>
      </c>
      <c r="D1466" s="2" t="s">
        <v>131</v>
      </c>
      <c r="E1466" s="9" t="str">
        <f t="shared" si="331"/>
        <v>PRBND'!</v>
      </c>
      <c r="F1466" s="5" t="str">
        <f t="shared" si="332"/>
        <v>C:\Users\jaime.benazar\Quorum Business Solutions\Ecopetrol Prometeo - Documents\Planning Space Implementation\3. Analysis &amp; Design\Design\FC22\DRR Jaime\Neiva CPI\[VAO_DINA TERCIARIOS_CF_SEC_20230117.xlsx]CF PRBND'!</v>
      </c>
      <c r="G1466" s="6" t="s">
        <v>103</v>
      </c>
      <c r="H1466" s="1"/>
      <c r="I1466" s="1"/>
      <c r="J1466" s="1"/>
    </row>
    <row r="1467" spans="1:10" x14ac:dyDescent="0.3">
      <c r="A1467" s="6" t="s">
        <v>19</v>
      </c>
      <c r="B1467" s="6">
        <f>+B1466+1</f>
        <v>2044</v>
      </c>
      <c r="C1467" s="1" t="s">
        <v>40</v>
      </c>
      <c r="D1467" s="2" t="s">
        <v>131</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Jaime\Neiva CPI\[VAO_DINA TERCIARIOS_CF_SEC_20230117.xlsx]CF PRBND'!</v>
      </c>
      <c r="G1467" s="6" t="s">
        <v>103</v>
      </c>
      <c r="H1467" s="1"/>
      <c r="I1467" s="1"/>
      <c r="J1467" s="1"/>
    </row>
    <row r="1468" spans="1:10" x14ac:dyDescent="0.3">
      <c r="A1468" s="6" t="s">
        <v>19</v>
      </c>
      <c r="B1468" s="6">
        <f t="shared" ref="B1468:B1482" si="338">+B1467+1</f>
        <v>2045</v>
      </c>
      <c r="C1468" s="1" t="s">
        <v>40</v>
      </c>
      <c r="D1468" s="2" t="s">
        <v>131</v>
      </c>
      <c r="E1468" s="9" t="str">
        <f t="shared" si="336"/>
        <v>PRBND'!</v>
      </c>
      <c r="F1468" s="5" t="str">
        <f t="shared" si="337"/>
        <v>C:\Users\jaime.benazar\Quorum Business Solutions\Ecopetrol Prometeo - Documents\Planning Space Implementation\3. Analysis &amp; Design\Design\FC22\DRR Jaime\Neiva CPI\[VAO_DINA TERCIARIOS_CF_SEC_20230117.xlsx]CF PRBND'!</v>
      </c>
      <c r="G1468" s="6" t="s">
        <v>103</v>
      </c>
      <c r="H1468" s="1"/>
      <c r="I1468" s="1"/>
      <c r="J1468" s="1"/>
    </row>
    <row r="1469" spans="1:10" x14ac:dyDescent="0.3">
      <c r="A1469" s="6" t="s">
        <v>19</v>
      </c>
      <c r="B1469" s="6">
        <f t="shared" si="338"/>
        <v>2046</v>
      </c>
      <c r="C1469" s="1" t="s">
        <v>40</v>
      </c>
      <c r="D1469" s="2" t="s">
        <v>131</v>
      </c>
      <c r="E1469" s="9" t="str">
        <f t="shared" si="336"/>
        <v>PRBND'!</v>
      </c>
      <c r="F1469" s="5" t="str">
        <f t="shared" si="337"/>
        <v>C:\Users\jaime.benazar\Quorum Business Solutions\Ecopetrol Prometeo - Documents\Planning Space Implementation\3. Analysis &amp; Design\Design\FC22\DRR Jaime\Neiva CPI\[VAO_DINA TERCIARIOS_CF_SEC_20230117.xlsx]CF PRBND'!</v>
      </c>
      <c r="G1469" s="6" t="s">
        <v>103</v>
      </c>
      <c r="H1469" s="1"/>
      <c r="I1469" s="1"/>
      <c r="J1469" s="1"/>
    </row>
    <row r="1470" spans="1:10" x14ac:dyDescent="0.3">
      <c r="A1470" s="6" t="s">
        <v>19</v>
      </c>
      <c r="B1470" s="6">
        <f t="shared" si="338"/>
        <v>2047</v>
      </c>
      <c r="C1470" s="1" t="s">
        <v>40</v>
      </c>
      <c r="D1470" s="2" t="s">
        <v>131</v>
      </c>
      <c r="E1470" s="9" t="str">
        <f t="shared" si="336"/>
        <v>PRBND'!</v>
      </c>
      <c r="F1470" s="5" t="str">
        <f t="shared" si="337"/>
        <v>C:\Users\jaime.benazar\Quorum Business Solutions\Ecopetrol Prometeo - Documents\Planning Space Implementation\3. Analysis &amp; Design\Design\FC22\DRR Jaime\Neiva CPI\[VAO_DINA TERCIARIOS_CF_SEC_20230117.xlsx]CF PRBND'!</v>
      </c>
      <c r="G1470" s="6" t="s">
        <v>103</v>
      </c>
      <c r="H1470" s="1"/>
      <c r="I1470" s="1"/>
      <c r="J1470" s="1"/>
    </row>
    <row r="1471" spans="1:10" x14ac:dyDescent="0.3">
      <c r="A1471" s="6" t="s">
        <v>19</v>
      </c>
      <c r="B1471" s="6">
        <f t="shared" si="338"/>
        <v>2048</v>
      </c>
      <c r="C1471" s="1" t="s">
        <v>40</v>
      </c>
      <c r="D1471" s="2" t="s">
        <v>131</v>
      </c>
      <c r="E1471" s="9" t="str">
        <f t="shared" si="336"/>
        <v>PRBND'!</v>
      </c>
      <c r="F1471" s="5" t="str">
        <f t="shared" si="337"/>
        <v>C:\Users\jaime.benazar\Quorum Business Solutions\Ecopetrol Prometeo - Documents\Planning Space Implementation\3. Analysis &amp; Design\Design\FC22\DRR Jaime\Neiva CPI\[VAO_DINA TERCIARIOS_CF_SEC_20230117.xlsx]CF PRBND'!</v>
      </c>
      <c r="G1471" s="6" t="s">
        <v>103</v>
      </c>
      <c r="H1471" s="1"/>
      <c r="I1471" s="1"/>
      <c r="J1471" s="1"/>
    </row>
    <row r="1472" spans="1:10" x14ac:dyDescent="0.3">
      <c r="A1472" s="6" t="s">
        <v>19</v>
      </c>
      <c r="B1472" s="6">
        <f t="shared" si="338"/>
        <v>2049</v>
      </c>
      <c r="C1472" s="1" t="s">
        <v>40</v>
      </c>
      <c r="D1472" s="2" t="s">
        <v>131</v>
      </c>
      <c r="E1472" s="9" t="str">
        <f t="shared" si="336"/>
        <v>PRBND'!</v>
      </c>
      <c r="F1472" s="5" t="str">
        <f t="shared" si="337"/>
        <v>C:\Users\jaime.benazar\Quorum Business Solutions\Ecopetrol Prometeo - Documents\Planning Space Implementation\3. Analysis &amp; Design\Design\FC22\DRR Jaime\Neiva CPI\[VAO_DINA TERCIARIOS_CF_SEC_20230117.xlsx]CF PRBND'!</v>
      </c>
      <c r="G1472" s="6" t="s">
        <v>103</v>
      </c>
      <c r="H1472" s="1"/>
      <c r="I1472" s="1"/>
      <c r="J1472" s="1"/>
    </row>
    <row r="1473" spans="1:10" x14ac:dyDescent="0.3">
      <c r="A1473" s="6" t="s">
        <v>19</v>
      </c>
      <c r="B1473" s="6">
        <f t="shared" si="338"/>
        <v>2050</v>
      </c>
      <c r="C1473" s="1" t="s">
        <v>40</v>
      </c>
      <c r="D1473" s="2" t="s">
        <v>131</v>
      </c>
      <c r="E1473" s="9" t="str">
        <f t="shared" si="336"/>
        <v>PRBND'!</v>
      </c>
      <c r="F1473" s="5" t="str">
        <f t="shared" si="337"/>
        <v>C:\Users\jaime.benazar\Quorum Business Solutions\Ecopetrol Prometeo - Documents\Planning Space Implementation\3. Analysis &amp; Design\Design\FC22\DRR Jaime\Neiva CPI\[VAO_DINA TERCIARIOS_CF_SEC_20230117.xlsx]CF PRBND'!</v>
      </c>
      <c r="G1473" s="6" t="s">
        <v>103</v>
      </c>
      <c r="H1473" s="1"/>
      <c r="I1473" s="1"/>
      <c r="J1473" s="1"/>
    </row>
    <row r="1474" spans="1:10" x14ac:dyDescent="0.3">
      <c r="A1474" s="6" t="s">
        <v>19</v>
      </c>
      <c r="B1474" s="6">
        <f t="shared" si="338"/>
        <v>2051</v>
      </c>
      <c r="C1474" s="1" t="s">
        <v>40</v>
      </c>
      <c r="D1474" s="2" t="s">
        <v>131</v>
      </c>
      <c r="E1474" s="9" t="str">
        <f t="shared" si="336"/>
        <v>PRBND'!</v>
      </c>
      <c r="F1474" s="5" t="str">
        <f t="shared" si="337"/>
        <v>C:\Users\jaime.benazar\Quorum Business Solutions\Ecopetrol Prometeo - Documents\Planning Space Implementation\3. Analysis &amp; Design\Design\FC22\DRR Jaime\Neiva CPI\[VAO_DINA TERCIARIOS_CF_SEC_20230117.xlsx]CF PRBND'!</v>
      </c>
      <c r="G1474" s="6" t="s">
        <v>103</v>
      </c>
      <c r="H1474" s="1"/>
      <c r="I1474" s="1"/>
      <c r="J1474" s="1"/>
    </row>
    <row r="1475" spans="1:10" x14ac:dyDescent="0.3">
      <c r="A1475" s="6" t="s">
        <v>19</v>
      </c>
      <c r="B1475" s="6">
        <f t="shared" si="338"/>
        <v>2052</v>
      </c>
      <c r="C1475" s="1" t="s">
        <v>40</v>
      </c>
      <c r="D1475" s="2" t="s">
        <v>131</v>
      </c>
      <c r="E1475" s="9" t="str">
        <f t="shared" si="336"/>
        <v>PRBND'!</v>
      </c>
      <c r="F1475" s="5" t="str">
        <f t="shared" si="337"/>
        <v>C:\Users\jaime.benazar\Quorum Business Solutions\Ecopetrol Prometeo - Documents\Planning Space Implementation\3. Analysis &amp; Design\Design\FC22\DRR Jaime\Neiva CPI\[VAO_DINA TERCIARIOS_CF_SEC_20230117.xlsx]CF PRBND'!</v>
      </c>
      <c r="G1475" s="6" t="s">
        <v>103</v>
      </c>
      <c r="H1475" s="1"/>
      <c r="I1475" s="1"/>
      <c r="J1475" s="1"/>
    </row>
    <row r="1476" spans="1:10" x14ac:dyDescent="0.3">
      <c r="A1476" s="6" t="s">
        <v>19</v>
      </c>
      <c r="B1476" s="6">
        <f t="shared" si="338"/>
        <v>2053</v>
      </c>
      <c r="C1476" s="1" t="s">
        <v>40</v>
      </c>
      <c r="D1476" s="2" t="s">
        <v>131</v>
      </c>
      <c r="E1476" s="9" t="str">
        <f t="shared" si="336"/>
        <v>PRBND'!</v>
      </c>
      <c r="F1476" s="5" t="str">
        <f t="shared" si="337"/>
        <v>C:\Users\jaime.benazar\Quorum Business Solutions\Ecopetrol Prometeo - Documents\Planning Space Implementation\3. Analysis &amp; Design\Design\FC22\DRR Jaime\Neiva CPI\[VAO_DINA TERCIARIOS_CF_SEC_20230117.xlsx]CF PRBND'!</v>
      </c>
      <c r="G1476" s="6" t="s">
        <v>103</v>
      </c>
      <c r="H1476" s="1"/>
      <c r="I1476" s="1"/>
      <c r="J1476" s="1"/>
    </row>
    <row r="1477" spans="1:10" x14ac:dyDescent="0.3">
      <c r="A1477" s="6" t="s">
        <v>19</v>
      </c>
      <c r="B1477" s="6">
        <f t="shared" si="338"/>
        <v>2054</v>
      </c>
      <c r="C1477" s="1" t="s">
        <v>40</v>
      </c>
      <c r="D1477" s="2" t="s">
        <v>131</v>
      </c>
      <c r="E1477" s="9" t="str">
        <f t="shared" si="336"/>
        <v>PRBND'!</v>
      </c>
      <c r="F1477" s="5" t="str">
        <f t="shared" si="337"/>
        <v>C:\Users\jaime.benazar\Quorum Business Solutions\Ecopetrol Prometeo - Documents\Planning Space Implementation\3. Analysis &amp; Design\Design\FC22\DRR Jaime\Neiva CPI\[VAO_DINA TERCIARIOS_CF_SEC_20230117.xlsx]CF PRBND'!</v>
      </c>
      <c r="G1477" s="6" t="s">
        <v>103</v>
      </c>
      <c r="H1477" s="1"/>
      <c r="I1477" s="1"/>
      <c r="J1477" s="1"/>
    </row>
    <row r="1478" spans="1:10" x14ac:dyDescent="0.3">
      <c r="A1478" s="6" t="s">
        <v>19</v>
      </c>
      <c r="B1478" s="6">
        <f t="shared" si="338"/>
        <v>2055</v>
      </c>
      <c r="C1478" s="1" t="s">
        <v>40</v>
      </c>
      <c r="D1478" s="2" t="s">
        <v>131</v>
      </c>
      <c r="E1478" s="9" t="str">
        <f t="shared" si="336"/>
        <v>PRBND'!</v>
      </c>
      <c r="F1478" s="5" t="str">
        <f t="shared" si="337"/>
        <v>C:\Users\jaime.benazar\Quorum Business Solutions\Ecopetrol Prometeo - Documents\Planning Space Implementation\3. Analysis &amp; Design\Design\FC22\DRR Jaime\Neiva CPI\[VAO_DINA TERCIARIOS_CF_SEC_20230117.xlsx]CF PRBND'!</v>
      </c>
      <c r="G1478" s="6" t="s">
        <v>103</v>
      </c>
      <c r="H1478" s="1"/>
      <c r="I1478" s="1"/>
      <c r="J1478" s="1"/>
    </row>
    <row r="1479" spans="1:10" x14ac:dyDescent="0.3">
      <c r="A1479" s="6" t="s">
        <v>19</v>
      </c>
      <c r="B1479" s="6">
        <f t="shared" si="338"/>
        <v>2056</v>
      </c>
      <c r="C1479" s="1" t="s">
        <v>40</v>
      </c>
      <c r="D1479" s="2" t="s">
        <v>131</v>
      </c>
      <c r="E1479" s="9" t="str">
        <f t="shared" si="336"/>
        <v>PRBND'!</v>
      </c>
      <c r="F1479" s="5" t="str">
        <f t="shared" si="337"/>
        <v>C:\Users\jaime.benazar\Quorum Business Solutions\Ecopetrol Prometeo - Documents\Planning Space Implementation\3. Analysis &amp; Design\Design\FC22\DRR Jaime\Neiva CPI\[VAO_DINA TERCIARIOS_CF_SEC_20230117.xlsx]CF PRBND'!</v>
      </c>
      <c r="G1479" s="6" t="s">
        <v>103</v>
      </c>
      <c r="H1479" s="1"/>
      <c r="I1479" s="1"/>
      <c r="J1479" s="1"/>
    </row>
    <row r="1480" spans="1:10" x14ac:dyDescent="0.3">
      <c r="A1480" s="6" t="s">
        <v>19</v>
      </c>
      <c r="B1480" s="6">
        <f t="shared" si="338"/>
        <v>2057</v>
      </c>
      <c r="C1480" s="1" t="s">
        <v>40</v>
      </c>
      <c r="D1480" s="2" t="s">
        <v>131</v>
      </c>
      <c r="E1480" s="9" t="str">
        <f t="shared" si="336"/>
        <v>PRBND'!</v>
      </c>
      <c r="F1480" s="5" t="str">
        <f t="shared" si="337"/>
        <v>C:\Users\jaime.benazar\Quorum Business Solutions\Ecopetrol Prometeo - Documents\Planning Space Implementation\3. Analysis &amp; Design\Design\FC22\DRR Jaime\Neiva CPI\[VAO_DINA TERCIARIOS_CF_SEC_20230117.xlsx]CF PRBND'!</v>
      </c>
      <c r="G1480" s="6" t="s">
        <v>103</v>
      </c>
      <c r="H1480" s="1"/>
      <c r="I1480" s="1"/>
      <c r="J1480" s="1"/>
    </row>
    <row r="1481" spans="1:10" x14ac:dyDescent="0.3">
      <c r="A1481" s="6" t="s">
        <v>19</v>
      </c>
      <c r="B1481" s="6">
        <f t="shared" si="338"/>
        <v>2058</v>
      </c>
      <c r="C1481" s="1" t="s">
        <v>40</v>
      </c>
      <c r="D1481" s="2" t="s">
        <v>131</v>
      </c>
      <c r="E1481" s="9" t="str">
        <f t="shared" si="336"/>
        <v>PRBND'!</v>
      </c>
      <c r="F1481" s="5" t="str">
        <f t="shared" si="337"/>
        <v>C:\Users\jaime.benazar\Quorum Business Solutions\Ecopetrol Prometeo - Documents\Planning Space Implementation\3. Analysis &amp; Design\Design\FC22\DRR Jaime\Neiva CPI\[VAO_DINA TERCIARIOS_CF_SEC_20230117.xlsx]CF PRBND'!</v>
      </c>
      <c r="G1481" s="6" t="s">
        <v>103</v>
      </c>
      <c r="H1481" s="1"/>
      <c r="I1481" s="1"/>
      <c r="J1481" s="1"/>
    </row>
    <row r="1482" spans="1:10" x14ac:dyDescent="0.3">
      <c r="A1482" s="6" t="s">
        <v>19</v>
      </c>
      <c r="B1482" s="6">
        <f t="shared" si="338"/>
        <v>2059</v>
      </c>
      <c r="C1482" s="1" t="s">
        <v>40</v>
      </c>
      <c r="D1482" s="2" t="s">
        <v>131</v>
      </c>
      <c r="E1482" s="9" t="str">
        <f t="shared" si="336"/>
        <v>PRBND'!</v>
      </c>
      <c r="F1482" s="5" t="str">
        <f t="shared" si="337"/>
        <v>C:\Users\jaime.benazar\Quorum Business Solutions\Ecopetrol Prometeo - Documents\Planning Space Implementation\3. Analysis &amp; Design\Design\FC22\DRR Jaime\Neiva CPI\[VAO_DINA TERCIARIOS_CF_SEC_20230117.xlsx]CF PRBND'!</v>
      </c>
      <c r="G1482" s="6" t="s">
        <v>103</v>
      </c>
      <c r="H1482" s="1"/>
      <c r="I1482" s="1"/>
      <c r="J1482" s="1"/>
    </row>
    <row r="1483" spans="1:10" x14ac:dyDescent="0.3">
      <c r="A1483" s="6" t="s">
        <v>26</v>
      </c>
      <c r="B1483" s="6"/>
      <c r="C1483" s="1" t="s">
        <v>40</v>
      </c>
      <c r="D1483" s="2"/>
      <c r="E1483" s="9"/>
      <c r="F1483" s="2"/>
      <c r="G1483" s="6"/>
      <c r="H1483" s="1"/>
      <c r="I1483" s="1"/>
      <c r="J1483" s="1"/>
    </row>
    <row r="1484" spans="1:10" x14ac:dyDescent="0.3">
      <c r="A1484" s="6" t="s">
        <v>20</v>
      </c>
      <c r="B1484" s="6">
        <v>2023</v>
      </c>
      <c r="C1484" s="1" t="s">
        <v>40</v>
      </c>
      <c r="D1484" s="2" t="s">
        <v>131</v>
      </c>
      <c r="E1484" s="9" t="str">
        <f t="shared" si="308"/>
        <v>PRB'!</v>
      </c>
      <c r="F1484" s="5" t="str">
        <f t="shared" si="332"/>
        <v>C:\Users\jaime.benazar\Quorum Business Solutions\Ecopetrol Prometeo - Documents\Planning Space Implementation\3. Analysis &amp; Design\Design\FC22\DRR Jaime\Neiva CPI\[VAO_DINA TERCIARIOS_CF_SEC_20230117.xlsx]CF PRB'!</v>
      </c>
      <c r="G1484" s="6" t="s">
        <v>103</v>
      </c>
      <c r="H1484" s="1">
        <f>IF(A1484&lt;&gt;A1354,36,H1354+1)</f>
        <v>36</v>
      </c>
      <c r="I1484" s="1" t="str">
        <f t="shared" si="309"/>
        <v>='C:\Users\jaime.benazar\Quorum Business Solutions\Ecopetrol Prometeo - Documents\Planning Space Implementation\3. Analysis &amp; Design\Design\FC22\DRR Jaime\Neiva CPI\[VAO_DINA TERCIARIOS_CF_SEC_20230117.xlsx]CF PRB'!$BX$36</v>
      </c>
      <c r="J1484" s="1" t="s">
        <v>798</v>
      </c>
    </row>
    <row r="1485" spans="1:10" x14ac:dyDescent="0.3">
      <c r="A1485" s="6" t="s">
        <v>20</v>
      </c>
      <c r="B1485" s="6">
        <f>+B1484+1</f>
        <v>2024</v>
      </c>
      <c r="C1485" s="1" t="s">
        <v>40</v>
      </c>
      <c r="D1485" s="2" t="s">
        <v>131</v>
      </c>
      <c r="E1485" s="9" t="str">
        <f t="shared" si="308"/>
        <v>PRB'!</v>
      </c>
      <c r="F1485" s="5" t="str">
        <f t="shared" si="332"/>
        <v>C:\Users\jaime.benazar\Quorum Business Solutions\Ecopetrol Prometeo - Documents\Planning Space Implementation\3. Analysis &amp; Design\Design\FC22\DRR Jaime\Neiva CPI\[VAO_DINA TERCIARIOS_CF_SEC_20230117.xlsx]CF PRB'!</v>
      </c>
      <c r="G1485" s="6" t="s">
        <v>103</v>
      </c>
      <c r="H1485" s="1">
        <f t="shared" si="310"/>
        <v>37</v>
      </c>
      <c r="I1485" s="1" t="str">
        <f t="shared" si="309"/>
        <v>='C:\Users\jaime.benazar\Quorum Business Solutions\Ecopetrol Prometeo - Documents\Planning Space Implementation\3. Analysis &amp; Design\Design\FC22\DRR Jaime\Neiva CPI\[VAO_DINA TERCIARIOS_CF_SEC_20230117.xlsx]CF PRB'!$BX$37</v>
      </c>
      <c r="J1485" s="1" t="s">
        <v>799</v>
      </c>
    </row>
    <row r="1486" spans="1:10" x14ac:dyDescent="0.3">
      <c r="A1486" s="6" t="s">
        <v>20</v>
      </c>
      <c r="B1486" s="6">
        <f t="shared" ref="B1486:B1497" si="339">+B1485+1</f>
        <v>2025</v>
      </c>
      <c r="C1486" s="1" t="s">
        <v>40</v>
      </c>
      <c r="D1486" s="2" t="s">
        <v>131</v>
      </c>
      <c r="E1486" s="9" t="str">
        <f t="shared" si="308"/>
        <v>PRB'!</v>
      </c>
      <c r="F1486" s="5" t="str">
        <f t="shared" si="332"/>
        <v>C:\Users\jaime.benazar\Quorum Business Solutions\Ecopetrol Prometeo - Documents\Planning Space Implementation\3. Analysis &amp; Design\Design\FC22\DRR Jaime\Neiva CPI\[VAO_DINA TERCIARIOS_CF_SEC_20230117.xlsx]CF PRB'!</v>
      </c>
      <c r="G1486" s="6" t="s">
        <v>103</v>
      </c>
      <c r="H1486" s="1">
        <f t="shared" si="310"/>
        <v>38</v>
      </c>
      <c r="I1486" s="1" t="str">
        <f t="shared" si="309"/>
        <v>='C:\Users\jaime.benazar\Quorum Business Solutions\Ecopetrol Prometeo - Documents\Planning Space Implementation\3. Analysis &amp; Design\Design\FC22\DRR Jaime\Neiva CPI\[VAO_DINA TERCIARIOS_CF_SEC_20230117.xlsx]CF PRB'!$BX$38</v>
      </c>
      <c r="J1486" s="1" t="s">
        <v>800</v>
      </c>
    </row>
    <row r="1487" spans="1:10" x14ac:dyDescent="0.3">
      <c r="A1487" s="6" t="s">
        <v>20</v>
      </c>
      <c r="B1487" s="6">
        <f t="shared" si="339"/>
        <v>2026</v>
      </c>
      <c r="C1487" s="1" t="s">
        <v>40</v>
      </c>
      <c r="D1487" s="2" t="s">
        <v>131</v>
      </c>
      <c r="E1487" s="9" t="str">
        <f t="shared" si="308"/>
        <v>PRB'!</v>
      </c>
      <c r="F1487" s="5" t="str">
        <f t="shared" si="332"/>
        <v>C:\Users\jaime.benazar\Quorum Business Solutions\Ecopetrol Prometeo - Documents\Planning Space Implementation\3. Analysis &amp; Design\Design\FC22\DRR Jaime\Neiva CPI\[VAO_DINA TERCIARIOS_CF_SEC_20230117.xlsx]CF PRB'!</v>
      </c>
      <c r="G1487" s="6" t="s">
        <v>103</v>
      </c>
      <c r="H1487" s="1">
        <f t="shared" si="310"/>
        <v>39</v>
      </c>
      <c r="I1487" s="1" t="str">
        <f t="shared" si="309"/>
        <v>='C:\Users\jaime.benazar\Quorum Business Solutions\Ecopetrol Prometeo - Documents\Planning Space Implementation\3. Analysis &amp; Design\Design\FC22\DRR Jaime\Neiva CPI\[VAO_DINA TERCIARIOS_CF_SEC_20230117.xlsx]CF PRB'!$BX$39</v>
      </c>
      <c r="J1487" s="1" t="s">
        <v>801</v>
      </c>
    </row>
    <row r="1488" spans="1:10" x14ac:dyDescent="0.3">
      <c r="A1488" s="6" t="s">
        <v>20</v>
      </c>
      <c r="B1488" s="6">
        <f t="shared" si="339"/>
        <v>2027</v>
      </c>
      <c r="C1488" s="1" t="s">
        <v>40</v>
      </c>
      <c r="D1488" s="2" t="s">
        <v>131</v>
      </c>
      <c r="E1488" s="9" t="str">
        <f t="shared" si="308"/>
        <v>PRB'!</v>
      </c>
      <c r="F1488" s="5" t="str">
        <f t="shared" si="332"/>
        <v>C:\Users\jaime.benazar\Quorum Business Solutions\Ecopetrol Prometeo - Documents\Planning Space Implementation\3. Analysis &amp; Design\Design\FC22\DRR Jaime\Neiva CPI\[VAO_DINA TERCIARIOS_CF_SEC_20230117.xlsx]CF PRB'!</v>
      </c>
      <c r="G1488" s="6" t="s">
        <v>103</v>
      </c>
      <c r="H1488" s="1">
        <f t="shared" si="310"/>
        <v>40</v>
      </c>
      <c r="I1488" s="1" t="str">
        <f t="shared" si="309"/>
        <v>='C:\Users\jaime.benazar\Quorum Business Solutions\Ecopetrol Prometeo - Documents\Planning Space Implementation\3. Analysis &amp; Design\Design\FC22\DRR Jaime\Neiva CPI\[VAO_DINA TERCIARIOS_CF_SEC_20230117.xlsx]CF PRB'!$BX$40</v>
      </c>
      <c r="J1488" s="1" t="s">
        <v>802</v>
      </c>
    </row>
    <row r="1489" spans="1:10" x14ac:dyDescent="0.3">
      <c r="A1489" s="6" t="s">
        <v>20</v>
      </c>
      <c r="B1489" s="6">
        <f t="shared" si="339"/>
        <v>2028</v>
      </c>
      <c r="C1489" s="1" t="s">
        <v>40</v>
      </c>
      <c r="D1489" s="2" t="s">
        <v>131</v>
      </c>
      <c r="E1489" s="9" t="str">
        <f t="shared" si="308"/>
        <v>PRB'!</v>
      </c>
      <c r="F1489" s="5" t="str">
        <f t="shared" si="332"/>
        <v>C:\Users\jaime.benazar\Quorum Business Solutions\Ecopetrol Prometeo - Documents\Planning Space Implementation\3. Analysis &amp; Design\Design\FC22\DRR Jaime\Neiva CPI\[VAO_DINA TERCIARIOS_CF_SEC_20230117.xlsx]CF PRB'!</v>
      </c>
      <c r="G1489" s="6" t="s">
        <v>103</v>
      </c>
      <c r="H1489" s="1">
        <f t="shared" si="310"/>
        <v>41</v>
      </c>
      <c r="I1489" s="1" t="str">
        <f t="shared" si="309"/>
        <v>='C:\Users\jaime.benazar\Quorum Business Solutions\Ecopetrol Prometeo - Documents\Planning Space Implementation\3. Analysis &amp; Design\Design\FC22\DRR Jaime\Neiva CPI\[VAO_DINA TERCIARIOS_CF_SEC_20230117.xlsx]CF PRB'!$BX$41</v>
      </c>
      <c r="J1489" s="1" t="s">
        <v>803</v>
      </c>
    </row>
    <row r="1490" spans="1:10" x14ac:dyDescent="0.3">
      <c r="A1490" s="6" t="s">
        <v>20</v>
      </c>
      <c r="B1490" s="6">
        <f t="shared" si="339"/>
        <v>2029</v>
      </c>
      <c r="C1490" s="1" t="s">
        <v>40</v>
      </c>
      <c r="D1490" s="2" t="s">
        <v>131</v>
      </c>
      <c r="E1490" s="9" t="str">
        <f t="shared" si="308"/>
        <v>PRB'!</v>
      </c>
      <c r="F1490" s="5" t="str">
        <f t="shared" si="332"/>
        <v>C:\Users\jaime.benazar\Quorum Business Solutions\Ecopetrol Prometeo - Documents\Planning Space Implementation\3. Analysis &amp; Design\Design\FC22\DRR Jaime\Neiva CPI\[VAO_DINA TERCIARIOS_CF_SEC_20230117.xlsx]CF PRB'!</v>
      </c>
      <c r="G1490" s="6" t="s">
        <v>103</v>
      </c>
      <c r="H1490" s="1">
        <f t="shared" si="310"/>
        <v>42</v>
      </c>
      <c r="I1490" s="1" t="str">
        <f t="shared" si="309"/>
        <v>='C:\Users\jaime.benazar\Quorum Business Solutions\Ecopetrol Prometeo - Documents\Planning Space Implementation\3. Analysis &amp; Design\Design\FC22\DRR Jaime\Neiva CPI\[VAO_DINA TERCIARIOS_CF_SEC_20230117.xlsx]CF PRB'!$BX$42</v>
      </c>
      <c r="J1490" s="1" t="s">
        <v>804</v>
      </c>
    </row>
    <row r="1491" spans="1:10" x14ac:dyDescent="0.3">
      <c r="A1491" s="6" t="s">
        <v>20</v>
      </c>
      <c r="B1491" s="6">
        <f t="shared" si="339"/>
        <v>2030</v>
      </c>
      <c r="C1491" s="1" t="s">
        <v>40</v>
      </c>
      <c r="D1491" s="2" t="s">
        <v>131</v>
      </c>
      <c r="E1491" s="9" t="str">
        <f t="shared" si="308"/>
        <v>PRB'!</v>
      </c>
      <c r="F1491" s="5" t="str">
        <f t="shared" si="332"/>
        <v>C:\Users\jaime.benazar\Quorum Business Solutions\Ecopetrol Prometeo - Documents\Planning Space Implementation\3. Analysis &amp; Design\Design\FC22\DRR Jaime\Neiva CPI\[VAO_DINA TERCIARIOS_CF_SEC_20230117.xlsx]CF PRB'!</v>
      </c>
      <c r="G1491" s="6" t="s">
        <v>103</v>
      </c>
      <c r="H1491" s="1">
        <f t="shared" si="310"/>
        <v>43</v>
      </c>
      <c r="I1491" s="1" t="str">
        <f t="shared" si="309"/>
        <v>='C:\Users\jaime.benazar\Quorum Business Solutions\Ecopetrol Prometeo - Documents\Planning Space Implementation\3. Analysis &amp; Design\Design\FC22\DRR Jaime\Neiva CPI\[VAO_DINA TERCIARIOS_CF_SEC_20230117.xlsx]CF PRB'!$BX$43</v>
      </c>
      <c r="J1491" s="1" t="s">
        <v>805</v>
      </c>
    </row>
    <row r="1492" spans="1:10" x14ac:dyDescent="0.3">
      <c r="A1492" s="6" t="s">
        <v>20</v>
      </c>
      <c r="B1492" s="6">
        <f t="shared" si="339"/>
        <v>2031</v>
      </c>
      <c r="C1492" s="1" t="s">
        <v>40</v>
      </c>
      <c r="D1492" s="2" t="s">
        <v>131</v>
      </c>
      <c r="E1492" s="9" t="str">
        <f t="shared" si="308"/>
        <v>PRB'!</v>
      </c>
      <c r="F1492" s="5" t="str">
        <f t="shared" si="332"/>
        <v>C:\Users\jaime.benazar\Quorum Business Solutions\Ecopetrol Prometeo - Documents\Planning Space Implementation\3. Analysis &amp; Design\Design\FC22\DRR Jaime\Neiva CPI\[VAO_DINA TERCIARIOS_CF_SEC_20230117.xlsx]CF PRB'!</v>
      </c>
      <c r="G1492" s="6" t="s">
        <v>103</v>
      </c>
      <c r="H1492" s="1">
        <f t="shared" si="310"/>
        <v>44</v>
      </c>
      <c r="I1492" s="1" t="str">
        <f t="shared" si="309"/>
        <v>='C:\Users\jaime.benazar\Quorum Business Solutions\Ecopetrol Prometeo - Documents\Planning Space Implementation\3. Analysis &amp; Design\Design\FC22\DRR Jaime\Neiva CPI\[VAO_DINA TERCIARIOS_CF_SEC_20230117.xlsx]CF PRB'!$BX$44</v>
      </c>
      <c r="J1492" s="1" t="s">
        <v>806</v>
      </c>
    </row>
    <row r="1493" spans="1:10" x14ac:dyDescent="0.3">
      <c r="A1493" s="6" t="s">
        <v>20</v>
      </c>
      <c r="B1493" s="6">
        <f t="shared" si="339"/>
        <v>2032</v>
      </c>
      <c r="C1493" s="1" t="s">
        <v>40</v>
      </c>
      <c r="D1493" s="2" t="s">
        <v>131</v>
      </c>
      <c r="E1493" s="9" t="str">
        <f t="shared" si="308"/>
        <v>PRB'!</v>
      </c>
      <c r="F1493" s="5" t="str">
        <f t="shared" si="332"/>
        <v>C:\Users\jaime.benazar\Quorum Business Solutions\Ecopetrol Prometeo - Documents\Planning Space Implementation\3. Analysis &amp; Design\Design\FC22\DRR Jaime\Neiva CPI\[VAO_DINA TERCIARIOS_CF_SEC_20230117.xlsx]CF PRB'!</v>
      </c>
      <c r="G1493" s="6" t="s">
        <v>103</v>
      </c>
      <c r="H1493" s="1">
        <f t="shared" si="310"/>
        <v>45</v>
      </c>
      <c r="I1493" s="1" t="str">
        <f t="shared" si="309"/>
        <v>='C:\Users\jaime.benazar\Quorum Business Solutions\Ecopetrol Prometeo - Documents\Planning Space Implementation\3. Analysis &amp; Design\Design\FC22\DRR Jaime\Neiva CPI\[VAO_DINA TERCIARIOS_CF_SEC_20230117.xlsx]CF PRB'!$BX$45</v>
      </c>
      <c r="J1493" s="1" t="s">
        <v>807</v>
      </c>
    </row>
    <row r="1494" spans="1:10" x14ac:dyDescent="0.3">
      <c r="A1494" s="6" t="s">
        <v>20</v>
      </c>
      <c r="B1494" s="6">
        <f t="shared" si="339"/>
        <v>2033</v>
      </c>
      <c r="C1494" s="1" t="s">
        <v>40</v>
      </c>
      <c r="D1494" s="2" t="s">
        <v>131</v>
      </c>
      <c r="E1494" s="9" t="str">
        <f t="shared" si="308"/>
        <v>PRB'!</v>
      </c>
      <c r="F1494" s="5" t="str">
        <f t="shared" si="332"/>
        <v>C:\Users\jaime.benazar\Quorum Business Solutions\Ecopetrol Prometeo - Documents\Planning Space Implementation\3. Analysis &amp; Design\Design\FC22\DRR Jaime\Neiva CPI\[VAO_DINA TERCIARIOS_CF_SEC_20230117.xlsx]CF PRB'!</v>
      </c>
      <c r="G1494" s="6" t="s">
        <v>103</v>
      </c>
      <c r="H1494" s="1">
        <f t="shared" si="310"/>
        <v>46</v>
      </c>
      <c r="I1494" s="1" t="str">
        <f t="shared" si="309"/>
        <v>='C:\Users\jaime.benazar\Quorum Business Solutions\Ecopetrol Prometeo - Documents\Planning Space Implementation\3. Analysis &amp; Design\Design\FC22\DRR Jaime\Neiva CPI\[VAO_DINA TERCIARIOS_CF_SEC_20230117.xlsx]CF PRB'!$BX$46</v>
      </c>
      <c r="J1494" s="1" t="s">
        <v>808</v>
      </c>
    </row>
    <row r="1495" spans="1:10" x14ac:dyDescent="0.3">
      <c r="A1495" s="6" t="s">
        <v>20</v>
      </c>
      <c r="B1495" s="6">
        <f t="shared" si="339"/>
        <v>2034</v>
      </c>
      <c r="C1495" s="1" t="s">
        <v>40</v>
      </c>
      <c r="D1495" s="2" t="s">
        <v>131</v>
      </c>
      <c r="E1495" s="9" t="str">
        <f t="shared" si="308"/>
        <v>PRB'!</v>
      </c>
      <c r="F1495" s="5" t="str">
        <f t="shared" si="332"/>
        <v>C:\Users\jaime.benazar\Quorum Business Solutions\Ecopetrol Prometeo - Documents\Planning Space Implementation\3. Analysis &amp; Design\Design\FC22\DRR Jaime\Neiva CPI\[VAO_DINA TERCIARIOS_CF_SEC_20230117.xlsx]CF PRB'!</v>
      </c>
      <c r="G1495" s="6" t="s">
        <v>103</v>
      </c>
      <c r="H1495" s="1">
        <f t="shared" si="310"/>
        <v>47</v>
      </c>
      <c r="I1495" s="1" t="str">
        <f t="shared" si="309"/>
        <v>='C:\Users\jaime.benazar\Quorum Business Solutions\Ecopetrol Prometeo - Documents\Planning Space Implementation\3. Analysis &amp; Design\Design\FC22\DRR Jaime\Neiva CPI\[VAO_DINA TERCIARIOS_CF_SEC_20230117.xlsx]CF PRB'!$BX$47</v>
      </c>
      <c r="J1495" s="1" t="s">
        <v>809</v>
      </c>
    </row>
    <row r="1496" spans="1:10" x14ac:dyDescent="0.3">
      <c r="A1496" s="6" t="s">
        <v>20</v>
      </c>
      <c r="B1496" s="6">
        <f t="shared" si="339"/>
        <v>2035</v>
      </c>
      <c r="C1496" s="1" t="s">
        <v>40</v>
      </c>
      <c r="D1496" s="2" t="s">
        <v>131</v>
      </c>
      <c r="E1496" s="9" t="str">
        <f t="shared" si="308"/>
        <v>PRB'!</v>
      </c>
      <c r="F1496" s="5" t="str">
        <f t="shared" si="332"/>
        <v>C:\Users\jaime.benazar\Quorum Business Solutions\Ecopetrol Prometeo - Documents\Planning Space Implementation\3. Analysis &amp; Design\Design\FC22\DRR Jaime\Neiva CPI\[VAO_DINA TERCIARIOS_CF_SEC_20230117.xlsx]CF PRB'!</v>
      </c>
      <c r="G1496" s="6" t="s">
        <v>103</v>
      </c>
      <c r="H1496" s="1">
        <f t="shared" si="310"/>
        <v>48</v>
      </c>
      <c r="I1496" s="1" t="str">
        <f t="shared" si="309"/>
        <v>='C:\Users\jaime.benazar\Quorum Business Solutions\Ecopetrol Prometeo - Documents\Planning Space Implementation\3. Analysis &amp; Design\Design\FC22\DRR Jaime\Neiva CPI\[VAO_DINA TERCIARIOS_CF_SEC_20230117.xlsx]CF PRB'!$BX$48</v>
      </c>
      <c r="J1496" s="1" t="s">
        <v>810</v>
      </c>
    </row>
    <row r="1497" spans="1:10" x14ac:dyDescent="0.3">
      <c r="A1497" s="6" t="s">
        <v>20</v>
      </c>
      <c r="B1497" s="6">
        <f t="shared" si="339"/>
        <v>2036</v>
      </c>
      <c r="C1497" s="1" t="s">
        <v>40</v>
      </c>
      <c r="D1497" s="2" t="s">
        <v>131</v>
      </c>
      <c r="E1497" s="9" t="str">
        <f t="shared" si="308"/>
        <v>PRB'!</v>
      </c>
      <c r="F1497" s="5" t="str">
        <f t="shared" si="332"/>
        <v>C:\Users\jaime.benazar\Quorum Business Solutions\Ecopetrol Prometeo - Documents\Planning Space Implementation\3. Analysis &amp; Design\Design\FC22\DRR Jaime\Neiva CPI\[VAO_DINA TERCIARIOS_CF_SEC_20230117.xlsx]CF PRB'!</v>
      </c>
      <c r="G1497" s="6" t="s">
        <v>103</v>
      </c>
      <c r="H1497" s="1">
        <f t="shared" si="310"/>
        <v>49</v>
      </c>
      <c r="I1497" s="1" t="str">
        <f t="shared" si="309"/>
        <v>='C:\Users\jaime.benazar\Quorum Business Solutions\Ecopetrol Prometeo - Documents\Planning Space Implementation\3. Analysis &amp; Design\Design\FC22\DRR Jaime\Neiva CPI\[VAO_DINA TERCIARIOS_CF_SEC_20230117.xlsx]CF PRB'!$BX$49</v>
      </c>
      <c r="J1497" s="1" t="s">
        <v>811</v>
      </c>
    </row>
    <row r="1498" spans="1:10" x14ac:dyDescent="0.3">
      <c r="A1498" s="6" t="s">
        <v>20</v>
      </c>
      <c r="B1498" s="6">
        <f>+B1497+1</f>
        <v>2037</v>
      </c>
      <c r="C1498" s="1" t="s">
        <v>40</v>
      </c>
      <c r="D1498" s="2" t="s">
        <v>131</v>
      </c>
      <c r="E1498" s="9" t="str">
        <f t="shared" si="308"/>
        <v>PRB'!</v>
      </c>
      <c r="F1498" s="5" t="str">
        <f t="shared" si="332"/>
        <v>C:\Users\jaime.benazar\Quorum Business Solutions\Ecopetrol Prometeo - Documents\Planning Space Implementation\3. Analysis &amp; Design\Design\FC22\DRR Jaime\Neiva CPI\[VAO_DINA TERCIARIOS_CF_SEC_20230117.xlsx]CF PRB'!</v>
      </c>
      <c r="G1498" s="6" t="s">
        <v>103</v>
      </c>
      <c r="H1498" s="1">
        <f t="shared" si="310"/>
        <v>50</v>
      </c>
      <c r="I1498" s="1" t="str">
        <f t="shared" si="309"/>
        <v>='C:\Users\jaime.benazar\Quorum Business Solutions\Ecopetrol Prometeo - Documents\Planning Space Implementation\3. Analysis &amp; Design\Design\FC22\DRR Jaime\Neiva CPI\[VAO_DINA TERCIARIOS_CF_SEC_20230117.xlsx]CF PRB'!$BX$50</v>
      </c>
      <c r="J1498" s="1" t="s">
        <v>812</v>
      </c>
    </row>
    <row r="1499" spans="1:10" x14ac:dyDescent="0.3">
      <c r="A1499" s="6" t="s">
        <v>20</v>
      </c>
      <c r="B1499" s="6">
        <f t="shared" ref="B1499:B1501" si="340">+B1498+1</f>
        <v>2038</v>
      </c>
      <c r="C1499" s="1" t="s">
        <v>40</v>
      </c>
      <c r="D1499" s="2" t="s">
        <v>131</v>
      </c>
      <c r="E1499" s="9" t="str">
        <f t="shared" si="308"/>
        <v>PRB'!</v>
      </c>
      <c r="F1499" s="5" t="str">
        <f t="shared" si="332"/>
        <v>C:\Users\jaime.benazar\Quorum Business Solutions\Ecopetrol Prometeo - Documents\Planning Space Implementation\3. Analysis &amp; Design\Design\FC22\DRR Jaime\Neiva CPI\[VAO_DINA TERCIARIOS_CF_SEC_20230117.xlsx]CF PRB'!</v>
      </c>
      <c r="G1499" s="6" t="s">
        <v>103</v>
      </c>
      <c r="H1499" s="1">
        <f t="shared" si="310"/>
        <v>51</v>
      </c>
      <c r="I1499" s="1" t="str">
        <f t="shared" si="309"/>
        <v>='C:\Users\jaime.benazar\Quorum Business Solutions\Ecopetrol Prometeo - Documents\Planning Space Implementation\3. Analysis &amp; Design\Design\FC22\DRR Jaime\Neiva CPI\[VAO_DINA TERCIARIOS_CF_SEC_20230117.xlsx]CF PRB'!$BX$51</v>
      </c>
      <c r="J1499" s="1" t="s">
        <v>813</v>
      </c>
    </row>
    <row r="1500" spans="1:10" x14ac:dyDescent="0.3">
      <c r="A1500" s="6" t="s">
        <v>20</v>
      </c>
      <c r="B1500" s="6">
        <f t="shared" si="340"/>
        <v>2039</v>
      </c>
      <c r="C1500" s="1" t="s">
        <v>40</v>
      </c>
      <c r="D1500" s="2" t="s">
        <v>131</v>
      </c>
      <c r="E1500" s="9" t="str">
        <f t="shared" si="308"/>
        <v>PRB'!</v>
      </c>
      <c r="F1500" s="5" t="str">
        <f t="shared" si="332"/>
        <v>C:\Users\jaime.benazar\Quorum Business Solutions\Ecopetrol Prometeo - Documents\Planning Space Implementation\3. Analysis &amp; Design\Design\FC22\DRR Jaime\Neiva CPI\[VAO_DINA TERCIARIOS_CF_SEC_20230117.xlsx]CF PRB'!</v>
      </c>
      <c r="G1500" s="6" t="s">
        <v>103</v>
      </c>
      <c r="H1500" s="1">
        <f t="shared" si="310"/>
        <v>52</v>
      </c>
      <c r="I1500" s="1" t="str">
        <f t="shared" si="309"/>
        <v>='C:\Users\jaime.benazar\Quorum Business Solutions\Ecopetrol Prometeo - Documents\Planning Space Implementation\3. Analysis &amp; Design\Design\FC22\DRR Jaime\Neiva CPI\[VAO_DINA TERCIARIOS_CF_SEC_20230117.xlsx]CF PRB'!$BX$52</v>
      </c>
      <c r="J1500" s="1" t="s">
        <v>814</v>
      </c>
    </row>
    <row r="1501" spans="1:10" x14ac:dyDescent="0.3">
      <c r="A1501" s="6" t="s">
        <v>20</v>
      </c>
      <c r="B1501" s="6">
        <f t="shared" si="340"/>
        <v>2040</v>
      </c>
      <c r="C1501" s="1" t="s">
        <v>40</v>
      </c>
      <c r="D1501" s="2" t="s">
        <v>131</v>
      </c>
      <c r="E1501" s="9" t="str">
        <f t="shared" si="308"/>
        <v>PRB'!</v>
      </c>
      <c r="F1501" s="5" t="str">
        <f t="shared" si="332"/>
        <v>C:\Users\jaime.benazar\Quorum Business Solutions\Ecopetrol Prometeo - Documents\Planning Space Implementation\3. Analysis &amp; Design\Design\FC22\DRR Jaime\Neiva CPI\[VAO_DINA TERCIARIOS_CF_SEC_20230117.xlsx]CF PRB'!</v>
      </c>
      <c r="G1501" s="6" t="s">
        <v>103</v>
      </c>
      <c r="H1501" s="1">
        <f t="shared" si="310"/>
        <v>53</v>
      </c>
      <c r="I1501" s="1" t="str">
        <f t="shared" si="309"/>
        <v>='C:\Users\jaime.benazar\Quorum Business Solutions\Ecopetrol Prometeo - Documents\Planning Space Implementation\3. Analysis &amp; Design\Design\FC22\DRR Jaime\Neiva CPI\[VAO_DINA TERCIARIOS_CF_SEC_20230117.xlsx]CF PRB'!$BX$53</v>
      </c>
      <c r="J1501" s="1" t="s">
        <v>815</v>
      </c>
    </row>
    <row r="1502" spans="1:10" x14ac:dyDescent="0.3">
      <c r="A1502" s="6" t="s">
        <v>20</v>
      </c>
      <c r="B1502" s="6">
        <f>+B1501+1</f>
        <v>2041</v>
      </c>
      <c r="C1502" s="1" t="s">
        <v>40</v>
      </c>
      <c r="D1502" s="2" t="s">
        <v>131</v>
      </c>
      <c r="E1502" s="9" t="str">
        <f t="shared" si="308"/>
        <v>PRB'!</v>
      </c>
      <c r="F1502" s="5" t="str">
        <f t="shared" si="332"/>
        <v>C:\Users\jaime.benazar\Quorum Business Solutions\Ecopetrol Prometeo - Documents\Planning Space Implementation\3. Analysis &amp; Design\Design\FC22\DRR Jaime\Neiva CPI\[VAO_DINA TERCIARIOS_CF_SEC_20230117.xlsx]CF PRB'!</v>
      </c>
      <c r="G1502" s="6" t="s">
        <v>103</v>
      </c>
      <c r="H1502" s="1">
        <f t="shared" si="310"/>
        <v>54</v>
      </c>
      <c r="I1502" s="1" t="str">
        <f t="shared" si="309"/>
        <v>='C:\Users\jaime.benazar\Quorum Business Solutions\Ecopetrol Prometeo - Documents\Planning Space Implementation\3. Analysis &amp; Design\Design\FC22\DRR Jaime\Neiva CPI\[VAO_DINA TERCIARIOS_CF_SEC_20230117.xlsx]CF PRB'!$BX$54</v>
      </c>
      <c r="J1502" s="1" t="s">
        <v>816</v>
      </c>
    </row>
    <row r="1503" spans="1:10" x14ac:dyDescent="0.3">
      <c r="A1503" s="6" t="s">
        <v>20</v>
      </c>
      <c r="B1503" s="6">
        <f t="shared" ref="B1503:B1504" si="341">+B1502+1</f>
        <v>2042</v>
      </c>
      <c r="C1503" s="1" t="s">
        <v>40</v>
      </c>
      <c r="D1503" s="2" t="s">
        <v>131</v>
      </c>
      <c r="E1503" s="9" t="str">
        <f t="shared" si="308"/>
        <v>PRB'!</v>
      </c>
      <c r="F1503" s="5" t="str">
        <f t="shared" si="332"/>
        <v>C:\Users\jaime.benazar\Quorum Business Solutions\Ecopetrol Prometeo - Documents\Planning Space Implementation\3. Analysis &amp; Design\Design\FC22\DRR Jaime\Neiva CPI\[VAO_DINA TERCIARIOS_CF_SEC_20230117.xlsx]CF PRB'!</v>
      </c>
      <c r="G1503" s="6" t="s">
        <v>103</v>
      </c>
      <c r="H1503" s="1">
        <f t="shared" si="310"/>
        <v>55</v>
      </c>
      <c r="I1503" s="1" t="str">
        <f t="shared" si="309"/>
        <v>='C:\Users\jaime.benazar\Quorum Business Solutions\Ecopetrol Prometeo - Documents\Planning Space Implementation\3. Analysis &amp; Design\Design\FC22\DRR Jaime\Neiva CPI\[VAO_DINA TERCIARIOS_CF_SEC_20230117.xlsx]CF PRB'!$BX$55</v>
      </c>
      <c r="J1503" s="1" t="s">
        <v>817</v>
      </c>
    </row>
    <row r="1504" spans="1:10" x14ac:dyDescent="0.3">
      <c r="A1504" s="6" t="s">
        <v>20</v>
      </c>
      <c r="B1504" s="6">
        <f t="shared" si="341"/>
        <v>2043</v>
      </c>
      <c r="C1504" s="1" t="s">
        <v>40</v>
      </c>
      <c r="D1504" s="2" t="s">
        <v>131</v>
      </c>
      <c r="E1504" s="9" t="str">
        <f t="shared" si="308"/>
        <v>PRB'!</v>
      </c>
      <c r="F1504" s="5" t="str">
        <f t="shared" si="332"/>
        <v>C:\Users\jaime.benazar\Quorum Business Solutions\Ecopetrol Prometeo - Documents\Planning Space Implementation\3. Analysis &amp; Design\Design\FC22\DRR Jaime\Neiva CPI\[VAO_DINA TERCIARIOS_CF_SEC_20230117.xlsx]CF PRB'!</v>
      </c>
      <c r="G1504" s="6" t="s">
        <v>103</v>
      </c>
      <c r="H1504" s="1">
        <f t="shared" si="310"/>
        <v>56</v>
      </c>
      <c r="I1504" s="1" t="str">
        <f t="shared" si="309"/>
        <v>='C:\Users\jaime.benazar\Quorum Business Solutions\Ecopetrol Prometeo - Documents\Planning Space Implementation\3. Analysis &amp; Design\Design\FC22\DRR Jaime\Neiva CPI\[VAO_DINA TERCIARIOS_CF_SEC_20230117.xlsx]CF PRB'!$BX$56</v>
      </c>
      <c r="J1504" s="1" t="s">
        <v>818</v>
      </c>
    </row>
    <row r="1505" spans="1:10" x14ac:dyDescent="0.3">
      <c r="A1505" s="6" t="s">
        <v>20</v>
      </c>
      <c r="B1505" s="6">
        <f>+B1504+1</f>
        <v>2044</v>
      </c>
      <c r="C1505" s="1" t="s">
        <v>40</v>
      </c>
      <c r="D1505" s="2" t="s">
        <v>131</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Jaime\Neiva CPI\[VAO_DINA TERCIARIOS_CF_SEC_20230117.xlsx]CF PRB'!</v>
      </c>
      <c r="G1505" s="6" t="s">
        <v>103</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Jaime\Neiva CPI\[VAO_DINA TERCIARIOS_CF_SEC_20230117.xlsx]CF PRB'!$BX$57</v>
      </c>
      <c r="J1505" s="1" t="s">
        <v>819</v>
      </c>
    </row>
    <row r="1506" spans="1:10" x14ac:dyDescent="0.3">
      <c r="A1506" s="6" t="s">
        <v>20</v>
      </c>
      <c r="B1506" s="6">
        <f t="shared" ref="B1506:B1520" si="346">+B1505+1</f>
        <v>2045</v>
      </c>
      <c r="C1506" s="1" t="s">
        <v>40</v>
      </c>
      <c r="D1506" s="2" t="s">
        <v>131</v>
      </c>
      <c r="E1506" s="9" t="str">
        <f t="shared" si="342"/>
        <v>PRB'!</v>
      </c>
      <c r="F1506" s="5" t="str">
        <f t="shared" si="343"/>
        <v>C:\Users\jaime.benazar\Quorum Business Solutions\Ecopetrol Prometeo - Documents\Planning Space Implementation\3. Analysis &amp; Design\Design\FC22\DRR Jaime\Neiva CPI\[VAO_DINA TERCIARIOS_CF_SEC_20230117.xlsx]CF PRB'!</v>
      </c>
      <c r="G1506" s="6" t="s">
        <v>103</v>
      </c>
      <c r="H1506" s="1">
        <f t="shared" si="344"/>
        <v>58</v>
      </c>
      <c r="I1506" s="1" t="str">
        <f t="shared" si="345"/>
        <v>='C:\Users\jaime.benazar\Quorum Business Solutions\Ecopetrol Prometeo - Documents\Planning Space Implementation\3. Analysis &amp; Design\Design\FC22\DRR Jaime\Neiva CPI\[VAO_DINA TERCIARIOS_CF_SEC_20230117.xlsx]CF PRB'!$BX$58</v>
      </c>
      <c r="J1506" s="1" t="s">
        <v>820</v>
      </c>
    </row>
    <row r="1507" spans="1:10" x14ac:dyDescent="0.3">
      <c r="A1507" s="6" t="s">
        <v>20</v>
      </c>
      <c r="B1507" s="6">
        <f t="shared" si="346"/>
        <v>2046</v>
      </c>
      <c r="C1507" s="1" t="s">
        <v>40</v>
      </c>
      <c r="D1507" s="2" t="s">
        <v>131</v>
      </c>
      <c r="E1507" s="9" t="str">
        <f t="shared" si="342"/>
        <v>PRB'!</v>
      </c>
      <c r="F1507" s="5" t="str">
        <f t="shared" si="343"/>
        <v>C:\Users\jaime.benazar\Quorum Business Solutions\Ecopetrol Prometeo - Documents\Planning Space Implementation\3. Analysis &amp; Design\Design\FC22\DRR Jaime\Neiva CPI\[VAO_DINA TERCIARIOS_CF_SEC_20230117.xlsx]CF PRB'!</v>
      </c>
      <c r="G1507" s="6" t="s">
        <v>103</v>
      </c>
      <c r="H1507" s="1">
        <f t="shared" si="344"/>
        <v>59</v>
      </c>
      <c r="I1507" s="1" t="str">
        <f t="shared" si="345"/>
        <v>='C:\Users\jaime.benazar\Quorum Business Solutions\Ecopetrol Prometeo - Documents\Planning Space Implementation\3. Analysis &amp; Design\Design\FC22\DRR Jaime\Neiva CPI\[VAO_DINA TERCIARIOS_CF_SEC_20230117.xlsx]CF PRB'!$BX$59</v>
      </c>
      <c r="J1507" s="1" t="s">
        <v>821</v>
      </c>
    </row>
    <row r="1508" spans="1:10" x14ac:dyDescent="0.3">
      <c r="A1508" s="6" t="s">
        <v>20</v>
      </c>
      <c r="B1508" s="6">
        <f t="shared" si="346"/>
        <v>2047</v>
      </c>
      <c r="C1508" s="1" t="s">
        <v>40</v>
      </c>
      <c r="D1508" s="2" t="s">
        <v>131</v>
      </c>
      <c r="E1508" s="9" t="str">
        <f t="shared" si="342"/>
        <v>PRB'!</v>
      </c>
      <c r="F1508" s="5" t="str">
        <f t="shared" si="343"/>
        <v>C:\Users\jaime.benazar\Quorum Business Solutions\Ecopetrol Prometeo - Documents\Planning Space Implementation\3. Analysis &amp; Design\Design\FC22\DRR Jaime\Neiva CPI\[VAO_DINA TERCIARIOS_CF_SEC_20230117.xlsx]CF PRB'!</v>
      </c>
      <c r="G1508" s="6" t="s">
        <v>103</v>
      </c>
      <c r="H1508" s="1">
        <f t="shared" si="344"/>
        <v>60</v>
      </c>
      <c r="I1508" s="1" t="str">
        <f t="shared" si="345"/>
        <v>='C:\Users\jaime.benazar\Quorum Business Solutions\Ecopetrol Prometeo - Documents\Planning Space Implementation\3. Analysis &amp; Design\Design\FC22\DRR Jaime\Neiva CPI\[VAO_DINA TERCIARIOS_CF_SEC_20230117.xlsx]CF PRB'!$BX$60</v>
      </c>
      <c r="J1508" s="1" t="s">
        <v>822</v>
      </c>
    </row>
    <row r="1509" spans="1:10" x14ac:dyDescent="0.3">
      <c r="A1509" s="6" t="s">
        <v>20</v>
      </c>
      <c r="B1509" s="6">
        <f t="shared" si="346"/>
        <v>2048</v>
      </c>
      <c r="C1509" s="1" t="s">
        <v>40</v>
      </c>
      <c r="D1509" s="2" t="s">
        <v>131</v>
      </c>
      <c r="E1509" s="9" t="str">
        <f t="shared" si="342"/>
        <v>PRB'!</v>
      </c>
      <c r="F1509" s="5" t="str">
        <f t="shared" si="343"/>
        <v>C:\Users\jaime.benazar\Quorum Business Solutions\Ecopetrol Prometeo - Documents\Planning Space Implementation\3. Analysis &amp; Design\Design\FC22\DRR Jaime\Neiva CPI\[VAO_DINA TERCIARIOS_CF_SEC_20230117.xlsx]CF PRB'!</v>
      </c>
      <c r="G1509" s="6" t="s">
        <v>103</v>
      </c>
      <c r="H1509" s="1">
        <f t="shared" si="344"/>
        <v>61</v>
      </c>
      <c r="I1509" s="1" t="str">
        <f t="shared" si="345"/>
        <v>='C:\Users\jaime.benazar\Quorum Business Solutions\Ecopetrol Prometeo - Documents\Planning Space Implementation\3. Analysis &amp; Design\Design\FC22\DRR Jaime\Neiva CPI\[VAO_DINA TERCIARIOS_CF_SEC_20230117.xlsx]CF PRB'!$BX$61</v>
      </c>
      <c r="J1509" s="1" t="s">
        <v>823</v>
      </c>
    </row>
    <row r="1510" spans="1:10" x14ac:dyDescent="0.3">
      <c r="A1510" s="6" t="s">
        <v>20</v>
      </c>
      <c r="B1510" s="6">
        <f t="shared" si="346"/>
        <v>2049</v>
      </c>
      <c r="C1510" s="1" t="s">
        <v>40</v>
      </c>
      <c r="D1510" s="2" t="s">
        <v>131</v>
      </c>
      <c r="E1510" s="9" t="str">
        <f t="shared" si="342"/>
        <v>PRB'!</v>
      </c>
      <c r="F1510" s="5" t="str">
        <f t="shared" si="343"/>
        <v>C:\Users\jaime.benazar\Quorum Business Solutions\Ecopetrol Prometeo - Documents\Planning Space Implementation\3. Analysis &amp; Design\Design\FC22\DRR Jaime\Neiva CPI\[VAO_DINA TERCIARIOS_CF_SEC_20230117.xlsx]CF PRB'!</v>
      </c>
      <c r="G1510" s="6" t="s">
        <v>103</v>
      </c>
      <c r="H1510" s="1">
        <f t="shared" si="344"/>
        <v>62</v>
      </c>
      <c r="I1510" s="1" t="str">
        <f t="shared" si="345"/>
        <v>='C:\Users\jaime.benazar\Quorum Business Solutions\Ecopetrol Prometeo - Documents\Planning Space Implementation\3. Analysis &amp; Design\Design\FC22\DRR Jaime\Neiva CPI\[VAO_DINA TERCIARIOS_CF_SEC_20230117.xlsx]CF PRB'!$BX$62</v>
      </c>
      <c r="J1510" s="1" t="s">
        <v>824</v>
      </c>
    </row>
    <row r="1511" spans="1:10" x14ac:dyDescent="0.3">
      <c r="A1511" s="6" t="s">
        <v>20</v>
      </c>
      <c r="B1511" s="6">
        <f t="shared" si="346"/>
        <v>2050</v>
      </c>
      <c r="C1511" s="1" t="s">
        <v>40</v>
      </c>
      <c r="D1511" s="2" t="s">
        <v>131</v>
      </c>
      <c r="E1511" s="9" t="str">
        <f t="shared" si="342"/>
        <v>PRB'!</v>
      </c>
      <c r="F1511" s="5" t="str">
        <f t="shared" si="343"/>
        <v>C:\Users\jaime.benazar\Quorum Business Solutions\Ecopetrol Prometeo - Documents\Planning Space Implementation\3. Analysis &amp; Design\Design\FC22\DRR Jaime\Neiva CPI\[VAO_DINA TERCIARIOS_CF_SEC_20230117.xlsx]CF PRB'!</v>
      </c>
      <c r="G1511" s="6" t="s">
        <v>103</v>
      </c>
      <c r="H1511" s="1">
        <f t="shared" si="344"/>
        <v>63</v>
      </c>
      <c r="I1511" s="1" t="str">
        <f t="shared" si="345"/>
        <v>='C:\Users\jaime.benazar\Quorum Business Solutions\Ecopetrol Prometeo - Documents\Planning Space Implementation\3. Analysis &amp; Design\Design\FC22\DRR Jaime\Neiva CPI\[VAO_DINA TERCIARIOS_CF_SEC_20230117.xlsx]CF PRB'!$BX$63</v>
      </c>
      <c r="J1511" s="1" t="s">
        <v>825</v>
      </c>
    </row>
    <row r="1512" spans="1:10" x14ac:dyDescent="0.3">
      <c r="A1512" s="6" t="s">
        <v>20</v>
      </c>
      <c r="B1512" s="6">
        <f t="shared" si="346"/>
        <v>2051</v>
      </c>
      <c r="C1512" s="1" t="s">
        <v>40</v>
      </c>
      <c r="D1512" s="2" t="s">
        <v>131</v>
      </c>
      <c r="E1512" s="9" t="str">
        <f t="shared" si="342"/>
        <v>PRB'!</v>
      </c>
      <c r="F1512" s="5" t="str">
        <f t="shared" si="343"/>
        <v>C:\Users\jaime.benazar\Quorum Business Solutions\Ecopetrol Prometeo - Documents\Planning Space Implementation\3. Analysis &amp; Design\Design\FC22\DRR Jaime\Neiva CPI\[VAO_DINA TERCIARIOS_CF_SEC_20230117.xlsx]CF PRB'!</v>
      </c>
      <c r="G1512" s="6" t="s">
        <v>103</v>
      </c>
      <c r="H1512" s="1">
        <f t="shared" si="344"/>
        <v>64</v>
      </c>
      <c r="I1512" s="1" t="str">
        <f t="shared" si="345"/>
        <v>='C:\Users\jaime.benazar\Quorum Business Solutions\Ecopetrol Prometeo - Documents\Planning Space Implementation\3. Analysis &amp; Design\Design\FC22\DRR Jaime\Neiva CPI\[VAO_DINA TERCIARIOS_CF_SEC_20230117.xlsx]CF PRB'!$BX$64</v>
      </c>
      <c r="J1512" s="1" t="s">
        <v>826</v>
      </c>
    </row>
    <row r="1513" spans="1:10" x14ac:dyDescent="0.3">
      <c r="A1513" s="6" t="s">
        <v>20</v>
      </c>
      <c r="B1513" s="6">
        <f t="shared" si="346"/>
        <v>2052</v>
      </c>
      <c r="C1513" s="1" t="s">
        <v>40</v>
      </c>
      <c r="D1513" s="2" t="s">
        <v>131</v>
      </c>
      <c r="E1513" s="9" t="str">
        <f t="shared" si="342"/>
        <v>PRB'!</v>
      </c>
      <c r="F1513" s="5" t="str">
        <f t="shared" si="343"/>
        <v>C:\Users\jaime.benazar\Quorum Business Solutions\Ecopetrol Prometeo - Documents\Planning Space Implementation\3. Analysis &amp; Design\Design\FC22\DRR Jaime\Neiva CPI\[VAO_DINA TERCIARIOS_CF_SEC_20230117.xlsx]CF PRB'!</v>
      </c>
      <c r="G1513" s="6" t="s">
        <v>103</v>
      </c>
      <c r="H1513" s="1">
        <f t="shared" si="344"/>
        <v>65</v>
      </c>
      <c r="I1513" s="1" t="str">
        <f t="shared" si="345"/>
        <v>='C:\Users\jaime.benazar\Quorum Business Solutions\Ecopetrol Prometeo - Documents\Planning Space Implementation\3. Analysis &amp; Design\Design\FC22\DRR Jaime\Neiva CPI\[VAO_DINA TERCIARIOS_CF_SEC_20230117.xlsx]CF PRB'!$BX$65</v>
      </c>
      <c r="J1513" s="1" t="s">
        <v>827</v>
      </c>
    </row>
    <row r="1514" spans="1:10" x14ac:dyDescent="0.3">
      <c r="A1514" s="6" t="s">
        <v>20</v>
      </c>
      <c r="B1514" s="6">
        <f t="shared" si="346"/>
        <v>2053</v>
      </c>
      <c r="C1514" s="1" t="s">
        <v>40</v>
      </c>
      <c r="D1514" s="2" t="s">
        <v>131</v>
      </c>
      <c r="E1514" s="9" t="str">
        <f t="shared" si="342"/>
        <v>PRB'!</v>
      </c>
      <c r="F1514" s="5" t="str">
        <f t="shared" si="343"/>
        <v>C:\Users\jaime.benazar\Quorum Business Solutions\Ecopetrol Prometeo - Documents\Planning Space Implementation\3. Analysis &amp; Design\Design\FC22\DRR Jaime\Neiva CPI\[VAO_DINA TERCIARIOS_CF_SEC_20230117.xlsx]CF PRB'!</v>
      </c>
      <c r="G1514" s="6" t="s">
        <v>103</v>
      </c>
      <c r="H1514" s="1">
        <f t="shared" si="344"/>
        <v>66</v>
      </c>
      <c r="I1514" s="1" t="str">
        <f t="shared" si="345"/>
        <v>='C:\Users\jaime.benazar\Quorum Business Solutions\Ecopetrol Prometeo - Documents\Planning Space Implementation\3. Analysis &amp; Design\Design\FC22\DRR Jaime\Neiva CPI\[VAO_DINA TERCIARIOS_CF_SEC_20230117.xlsx]CF PRB'!$BX$66</v>
      </c>
      <c r="J1514" s="1" t="s">
        <v>828</v>
      </c>
    </row>
    <row r="1515" spans="1:10" x14ac:dyDescent="0.3">
      <c r="A1515" s="6" t="s">
        <v>20</v>
      </c>
      <c r="B1515" s="6">
        <f t="shared" si="346"/>
        <v>2054</v>
      </c>
      <c r="C1515" s="1" t="s">
        <v>40</v>
      </c>
      <c r="D1515" s="2" t="s">
        <v>131</v>
      </c>
      <c r="E1515" s="9" t="str">
        <f t="shared" si="342"/>
        <v>PRB'!</v>
      </c>
      <c r="F1515" s="5" t="str">
        <f t="shared" si="343"/>
        <v>C:\Users\jaime.benazar\Quorum Business Solutions\Ecopetrol Prometeo - Documents\Planning Space Implementation\3. Analysis &amp; Design\Design\FC22\DRR Jaime\Neiva CPI\[VAO_DINA TERCIARIOS_CF_SEC_20230117.xlsx]CF PRB'!</v>
      </c>
      <c r="G1515" s="6" t="s">
        <v>103</v>
      </c>
      <c r="H1515" s="1">
        <f t="shared" si="344"/>
        <v>67</v>
      </c>
      <c r="I1515" s="1" t="str">
        <f t="shared" si="345"/>
        <v>='C:\Users\jaime.benazar\Quorum Business Solutions\Ecopetrol Prometeo - Documents\Planning Space Implementation\3. Analysis &amp; Design\Design\FC22\DRR Jaime\Neiva CPI\[VAO_DINA TERCIARIOS_CF_SEC_20230117.xlsx]CF PRB'!$BX$67</v>
      </c>
      <c r="J1515" s="1" t="s">
        <v>829</v>
      </c>
    </row>
    <row r="1516" spans="1:10" x14ac:dyDescent="0.3">
      <c r="A1516" s="6" t="s">
        <v>20</v>
      </c>
      <c r="B1516" s="6">
        <f t="shared" si="346"/>
        <v>2055</v>
      </c>
      <c r="C1516" s="1" t="s">
        <v>40</v>
      </c>
      <c r="D1516" s="2" t="s">
        <v>131</v>
      </c>
      <c r="E1516" s="9" t="str">
        <f t="shared" si="342"/>
        <v>PRB'!</v>
      </c>
      <c r="F1516" s="5" t="str">
        <f t="shared" si="343"/>
        <v>C:\Users\jaime.benazar\Quorum Business Solutions\Ecopetrol Prometeo - Documents\Planning Space Implementation\3. Analysis &amp; Design\Design\FC22\DRR Jaime\Neiva CPI\[VAO_DINA TERCIARIOS_CF_SEC_20230117.xlsx]CF PRB'!</v>
      </c>
      <c r="G1516" s="6" t="s">
        <v>103</v>
      </c>
      <c r="H1516" s="1">
        <f t="shared" si="344"/>
        <v>68</v>
      </c>
      <c r="I1516" s="1" t="str">
        <f t="shared" si="345"/>
        <v>='C:\Users\jaime.benazar\Quorum Business Solutions\Ecopetrol Prometeo - Documents\Planning Space Implementation\3. Analysis &amp; Design\Design\FC22\DRR Jaime\Neiva CPI\[VAO_DINA TERCIARIOS_CF_SEC_20230117.xlsx]CF PRB'!$BX$68</v>
      </c>
      <c r="J1516" s="1" t="s">
        <v>830</v>
      </c>
    </row>
    <row r="1517" spans="1:10" x14ac:dyDescent="0.3">
      <c r="A1517" s="6" t="s">
        <v>20</v>
      </c>
      <c r="B1517" s="6">
        <f t="shared" si="346"/>
        <v>2056</v>
      </c>
      <c r="C1517" s="1" t="s">
        <v>40</v>
      </c>
      <c r="D1517" s="2" t="s">
        <v>131</v>
      </c>
      <c r="E1517" s="9" t="str">
        <f t="shared" si="342"/>
        <v>PRB'!</v>
      </c>
      <c r="F1517" s="5" t="str">
        <f t="shared" si="343"/>
        <v>C:\Users\jaime.benazar\Quorum Business Solutions\Ecopetrol Prometeo - Documents\Planning Space Implementation\3. Analysis &amp; Design\Design\FC22\DRR Jaime\Neiva CPI\[VAO_DINA TERCIARIOS_CF_SEC_20230117.xlsx]CF PRB'!</v>
      </c>
      <c r="G1517" s="6" t="s">
        <v>103</v>
      </c>
      <c r="H1517" s="1">
        <f t="shared" si="344"/>
        <v>69</v>
      </c>
      <c r="I1517" s="1" t="str">
        <f t="shared" si="345"/>
        <v>='C:\Users\jaime.benazar\Quorum Business Solutions\Ecopetrol Prometeo - Documents\Planning Space Implementation\3. Analysis &amp; Design\Design\FC22\DRR Jaime\Neiva CPI\[VAO_DINA TERCIARIOS_CF_SEC_20230117.xlsx]CF PRB'!$BX$69</v>
      </c>
      <c r="J1517" s="1" t="s">
        <v>831</v>
      </c>
    </row>
    <row r="1518" spans="1:10" x14ac:dyDescent="0.3">
      <c r="A1518" s="6" t="s">
        <v>20</v>
      </c>
      <c r="B1518" s="6">
        <f t="shared" si="346"/>
        <v>2057</v>
      </c>
      <c r="C1518" s="1" t="s">
        <v>40</v>
      </c>
      <c r="D1518" s="2" t="s">
        <v>131</v>
      </c>
      <c r="E1518" s="9" t="str">
        <f t="shared" si="342"/>
        <v>PRB'!</v>
      </c>
      <c r="F1518" s="5" t="str">
        <f t="shared" si="343"/>
        <v>C:\Users\jaime.benazar\Quorum Business Solutions\Ecopetrol Prometeo - Documents\Planning Space Implementation\3. Analysis &amp; Design\Design\FC22\DRR Jaime\Neiva CPI\[VAO_DINA TERCIARIOS_CF_SEC_20230117.xlsx]CF PRB'!</v>
      </c>
      <c r="G1518" s="6" t="s">
        <v>103</v>
      </c>
      <c r="H1518" s="1">
        <f t="shared" si="344"/>
        <v>70</v>
      </c>
      <c r="I1518" s="1" t="str">
        <f t="shared" si="345"/>
        <v>='C:\Users\jaime.benazar\Quorum Business Solutions\Ecopetrol Prometeo - Documents\Planning Space Implementation\3. Analysis &amp; Design\Design\FC22\DRR Jaime\Neiva CPI\[VAO_DINA TERCIARIOS_CF_SEC_20230117.xlsx]CF PRB'!$BX$70</v>
      </c>
      <c r="J1518" s="1" t="s">
        <v>832</v>
      </c>
    </row>
    <row r="1519" spans="1:10" x14ac:dyDescent="0.3">
      <c r="A1519" s="6" t="s">
        <v>20</v>
      </c>
      <c r="B1519" s="6">
        <f t="shared" si="346"/>
        <v>2058</v>
      </c>
      <c r="C1519" s="1" t="s">
        <v>40</v>
      </c>
      <c r="D1519" s="2" t="s">
        <v>131</v>
      </c>
      <c r="E1519" s="9" t="str">
        <f t="shared" si="342"/>
        <v>PRB'!</v>
      </c>
      <c r="F1519" s="5" t="str">
        <f t="shared" si="343"/>
        <v>C:\Users\jaime.benazar\Quorum Business Solutions\Ecopetrol Prometeo - Documents\Planning Space Implementation\3. Analysis &amp; Design\Design\FC22\DRR Jaime\Neiva CPI\[VAO_DINA TERCIARIOS_CF_SEC_20230117.xlsx]CF PRB'!</v>
      </c>
      <c r="G1519" s="6" t="s">
        <v>103</v>
      </c>
      <c r="H1519" s="1">
        <f t="shared" si="344"/>
        <v>71</v>
      </c>
      <c r="I1519" s="1" t="str">
        <f t="shared" si="345"/>
        <v>='C:\Users\jaime.benazar\Quorum Business Solutions\Ecopetrol Prometeo - Documents\Planning Space Implementation\3. Analysis &amp; Design\Design\FC22\DRR Jaime\Neiva CPI\[VAO_DINA TERCIARIOS_CF_SEC_20230117.xlsx]CF PRB'!$BX$71</v>
      </c>
      <c r="J1519" s="1" t="s">
        <v>833</v>
      </c>
    </row>
    <row r="1520" spans="1:10" x14ac:dyDescent="0.3">
      <c r="A1520" s="6" t="s">
        <v>20</v>
      </c>
      <c r="B1520" s="6">
        <f t="shared" si="346"/>
        <v>2059</v>
      </c>
      <c r="C1520" s="1" t="s">
        <v>40</v>
      </c>
      <c r="D1520" s="2" t="s">
        <v>131</v>
      </c>
      <c r="E1520" s="9" t="str">
        <f t="shared" si="342"/>
        <v>PRB'!</v>
      </c>
      <c r="F1520" s="5" t="str">
        <f t="shared" si="343"/>
        <v>C:\Users\jaime.benazar\Quorum Business Solutions\Ecopetrol Prometeo - Documents\Planning Space Implementation\3. Analysis &amp; Design\Design\FC22\DRR Jaime\Neiva CPI\[VAO_DINA TERCIARIOS_CF_SEC_20230117.xlsx]CF PRB'!</v>
      </c>
      <c r="G1520" s="6" t="s">
        <v>103</v>
      </c>
      <c r="H1520" s="1">
        <f t="shared" si="344"/>
        <v>72</v>
      </c>
      <c r="I1520" s="1" t="str">
        <f t="shared" si="345"/>
        <v>='C:\Users\jaime.benazar\Quorum Business Solutions\Ecopetrol Prometeo - Documents\Planning Space Implementation\3. Analysis &amp; Design\Design\FC22\DRR Jaime\Neiva CPI\[VAO_DINA TERCIARIOS_CF_SEC_20230117.xlsx]CF PRB'!$BX$72</v>
      </c>
      <c r="J1520" s="1" t="s">
        <v>834</v>
      </c>
    </row>
    <row r="1521" spans="1:10" x14ac:dyDescent="0.3">
      <c r="A1521" s="6" t="s">
        <v>26</v>
      </c>
      <c r="B1521" s="6"/>
      <c r="C1521" s="1" t="s">
        <v>40</v>
      </c>
      <c r="D1521" s="2"/>
      <c r="E1521" s="9"/>
      <c r="F1521" s="2"/>
      <c r="G1521" s="6"/>
      <c r="H1521" s="1"/>
      <c r="I1521" s="1"/>
      <c r="J1521" s="4"/>
    </row>
    <row r="1522" spans="1:10" x14ac:dyDescent="0.3">
      <c r="A1522" s="6" t="s">
        <v>21</v>
      </c>
      <c r="B1522" s="6">
        <v>2023</v>
      </c>
      <c r="C1522" s="1" t="s">
        <v>40</v>
      </c>
      <c r="D1522" s="2" t="s">
        <v>131</v>
      </c>
      <c r="E1522" s="9" t="str">
        <f t="shared" ref="E1522:E1542" si="347">_xlfn.CONCAT(A1522,"'!")</f>
        <v>PSDP'!</v>
      </c>
      <c r="F1522" s="5" t="str">
        <f t="shared" si="332"/>
        <v>C:\Users\jaime.benazar\Quorum Business Solutions\Ecopetrol Prometeo - Documents\Planning Space Implementation\3. Analysis &amp; Design\Design\FC22\DRR Jaime\Neiva CPI\[VAO_DINA TERCIARIOS_CF_SEC_20230117.xlsx]CF PSDP'!</v>
      </c>
      <c r="G1522" s="6" t="s">
        <v>103</v>
      </c>
      <c r="H1522" s="1"/>
      <c r="I1522" s="1"/>
      <c r="J1522" s="1"/>
    </row>
    <row r="1523" spans="1:10" x14ac:dyDescent="0.3">
      <c r="A1523" s="6" t="s">
        <v>21</v>
      </c>
      <c r="B1523" s="6">
        <f>+B1522+1</f>
        <v>2024</v>
      </c>
      <c r="C1523" s="1" t="s">
        <v>40</v>
      </c>
      <c r="D1523" s="2" t="s">
        <v>131</v>
      </c>
      <c r="E1523" s="9" t="str">
        <f t="shared" si="347"/>
        <v>PSDP'!</v>
      </c>
      <c r="F1523" s="5" t="str">
        <f t="shared" si="332"/>
        <v>C:\Users\jaime.benazar\Quorum Business Solutions\Ecopetrol Prometeo - Documents\Planning Space Implementation\3. Analysis &amp; Design\Design\FC22\DRR Jaime\Neiva CPI\[VAO_DINA TERCIARIOS_CF_SEC_20230117.xlsx]CF PSDP'!</v>
      </c>
      <c r="G1523" s="6" t="s">
        <v>103</v>
      </c>
      <c r="H1523" s="1"/>
      <c r="I1523" s="1"/>
      <c r="J1523" s="1"/>
    </row>
    <row r="1524" spans="1:10" x14ac:dyDescent="0.3">
      <c r="A1524" s="6" t="s">
        <v>21</v>
      </c>
      <c r="B1524" s="6">
        <f t="shared" ref="B1524:B1535" si="348">+B1523+1</f>
        <v>2025</v>
      </c>
      <c r="C1524" s="1" t="s">
        <v>40</v>
      </c>
      <c r="D1524" s="2" t="s">
        <v>131</v>
      </c>
      <c r="E1524" s="9" t="str">
        <f t="shared" si="347"/>
        <v>PSDP'!</v>
      </c>
      <c r="F1524" s="5" t="str">
        <f t="shared" si="332"/>
        <v>C:\Users\jaime.benazar\Quorum Business Solutions\Ecopetrol Prometeo - Documents\Planning Space Implementation\3. Analysis &amp; Design\Design\FC22\DRR Jaime\Neiva CPI\[VAO_DINA TERCIARIOS_CF_SEC_20230117.xlsx]CF PSDP'!</v>
      </c>
      <c r="G1524" s="6" t="s">
        <v>103</v>
      </c>
      <c r="H1524" s="1"/>
      <c r="I1524" s="1"/>
      <c r="J1524" s="1"/>
    </row>
    <row r="1525" spans="1:10" x14ac:dyDescent="0.3">
      <c r="A1525" s="6" t="s">
        <v>21</v>
      </c>
      <c r="B1525" s="6">
        <f t="shared" si="348"/>
        <v>2026</v>
      </c>
      <c r="C1525" s="1" t="s">
        <v>40</v>
      </c>
      <c r="D1525" s="2" t="s">
        <v>131</v>
      </c>
      <c r="E1525" s="9" t="str">
        <f t="shared" si="347"/>
        <v>PSDP'!</v>
      </c>
      <c r="F1525" s="5" t="str">
        <f t="shared" si="332"/>
        <v>C:\Users\jaime.benazar\Quorum Business Solutions\Ecopetrol Prometeo - Documents\Planning Space Implementation\3. Analysis &amp; Design\Design\FC22\DRR Jaime\Neiva CPI\[VAO_DINA TERCIARIOS_CF_SEC_20230117.xlsx]CF PSDP'!</v>
      </c>
      <c r="G1525" s="6" t="s">
        <v>103</v>
      </c>
      <c r="H1525" s="1"/>
      <c r="I1525" s="1"/>
      <c r="J1525" s="1"/>
    </row>
    <row r="1526" spans="1:10" x14ac:dyDescent="0.3">
      <c r="A1526" s="6" t="s">
        <v>21</v>
      </c>
      <c r="B1526" s="6">
        <f t="shared" si="348"/>
        <v>2027</v>
      </c>
      <c r="C1526" s="1" t="s">
        <v>40</v>
      </c>
      <c r="D1526" s="2" t="s">
        <v>131</v>
      </c>
      <c r="E1526" s="9" t="str">
        <f t="shared" si="347"/>
        <v>PSDP'!</v>
      </c>
      <c r="F1526" s="5" t="str">
        <f t="shared" si="332"/>
        <v>C:\Users\jaime.benazar\Quorum Business Solutions\Ecopetrol Prometeo - Documents\Planning Space Implementation\3. Analysis &amp; Design\Design\FC22\DRR Jaime\Neiva CPI\[VAO_DINA TERCIARIOS_CF_SEC_20230117.xlsx]CF PSDP'!</v>
      </c>
      <c r="G1526" s="6" t="s">
        <v>103</v>
      </c>
      <c r="H1526" s="1"/>
      <c r="I1526" s="1"/>
      <c r="J1526" s="1"/>
    </row>
    <row r="1527" spans="1:10" x14ac:dyDescent="0.3">
      <c r="A1527" s="6" t="s">
        <v>21</v>
      </c>
      <c r="B1527" s="6">
        <f t="shared" si="348"/>
        <v>2028</v>
      </c>
      <c r="C1527" s="1" t="s">
        <v>40</v>
      </c>
      <c r="D1527" s="2" t="s">
        <v>131</v>
      </c>
      <c r="E1527" s="9" t="str">
        <f t="shared" si="347"/>
        <v>PSDP'!</v>
      </c>
      <c r="F1527" s="5" t="str">
        <f t="shared" si="332"/>
        <v>C:\Users\jaime.benazar\Quorum Business Solutions\Ecopetrol Prometeo - Documents\Planning Space Implementation\3. Analysis &amp; Design\Design\FC22\DRR Jaime\Neiva CPI\[VAO_DINA TERCIARIOS_CF_SEC_20230117.xlsx]CF PSDP'!</v>
      </c>
      <c r="G1527" s="6" t="s">
        <v>103</v>
      </c>
      <c r="H1527" s="1"/>
      <c r="I1527" s="1"/>
      <c r="J1527" s="1"/>
    </row>
    <row r="1528" spans="1:10" x14ac:dyDescent="0.3">
      <c r="A1528" s="6" t="s">
        <v>21</v>
      </c>
      <c r="B1528" s="6">
        <f t="shared" si="348"/>
        <v>2029</v>
      </c>
      <c r="C1528" s="1" t="s">
        <v>40</v>
      </c>
      <c r="D1528" s="2" t="s">
        <v>131</v>
      </c>
      <c r="E1528" s="9" t="str">
        <f t="shared" si="347"/>
        <v>PSDP'!</v>
      </c>
      <c r="F1528" s="5" t="str">
        <f t="shared" si="332"/>
        <v>C:\Users\jaime.benazar\Quorum Business Solutions\Ecopetrol Prometeo - Documents\Planning Space Implementation\3. Analysis &amp; Design\Design\FC22\DRR Jaime\Neiva CPI\[VAO_DINA TERCIARIOS_CF_SEC_20230117.xlsx]CF PSDP'!</v>
      </c>
      <c r="G1528" s="6" t="s">
        <v>103</v>
      </c>
      <c r="H1528" s="1"/>
      <c r="I1528" s="1"/>
      <c r="J1528" s="1"/>
    </row>
    <row r="1529" spans="1:10" x14ac:dyDescent="0.3">
      <c r="A1529" s="6" t="s">
        <v>21</v>
      </c>
      <c r="B1529" s="6">
        <f t="shared" si="348"/>
        <v>2030</v>
      </c>
      <c r="C1529" s="1" t="s">
        <v>40</v>
      </c>
      <c r="D1529" s="2" t="s">
        <v>131</v>
      </c>
      <c r="E1529" s="9" t="str">
        <f t="shared" si="347"/>
        <v>PSDP'!</v>
      </c>
      <c r="F1529" s="5" t="str">
        <f t="shared" si="332"/>
        <v>C:\Users\jaime.benazar\Quorum Business Solutions\Ecopetrol Prometeo - Documents\Planning Space Implementation\3. Analysis &amp; Design\Design\FC22\DRR Jaime\Neiva CPI\[VAO_DINA TERCIARIOS_CF_SEC_20230117.xlsx]CF PSDP'!</v>
      </c>
      <c r="G1529" s="6" t="s">
        <v>103</v>
      </c>
      <c r="H1529" s="1"/>
      <c r="I1529" s="1"/>
      <c r="J1529" s="1"/>
    </row>
    <row r="1530" spans="1:10" x14ac:dyDescent="0.3">
      <c r="A1530" s="6" t="s">
        <v>21</v>
      </c>
      <c r="B1530" s="6">
        <f t="shared" si="348"/>
        <v>2031</v>
      </c>
      <c r="C1530" s="1" t="s">
        <v>40</v>
      </c>
      <c r="D1530" s="2" t="s">
        <v>131</v>
      </c>
      <c r="E1530" s="9" t="str">
        <f t="shared" si="347"/>
        <v>PSDP'!</v>
      </c>
      <c r="F1530" s="5" t="str">
        <f t="shared" si="332"/>
        <v>C:\Users\jaime.benazar\Quorum Business Solutions\Ecopetrol Prometeo - Documents\Planning Space Implementation\3. Analysis &amp; Design\Design\FC22\DRR Jaime\Neiva CPI\[VAO_DINA TERCIARIOS_CF_SEC_20230117.xlsx]CF PSDP'!</v>
      </c>
      <c r="G1530" s="6" t="s">
        <v>103</v>
      </c>
      <c r="H1530" s="1"/>
      <c r="I1530" s="1"/>
      <c r="J1530" s="1"/>
    </row>
    <row r="1531" spans="1:10" x14ac:dyDescent="0.3">
      <c r="A1531" s="6" t="s">
        <v>21</v>
      </c>
      <c r="B1531" s="6">
        <f t="shared" si="348"/>
        <v>2032</v>
      </c>
      <c r="C1531" s="1" t="s">
        <v>40</v>
      </c>
      <c r="D1531" s="2" t="s">
        <v>131</v>
      </c>
      <c r="E1531" s="9" t="str">
        <f t="shared" si="347"/>
        <v>PSDP'!</v>
      </c>
      <c r="F1531" s="5" t="str">
        <f t="shared" si="332"/>
        <v>C:\Users\jaime.benazar\Quorum Business Solutions\Ecopetrol Prometeo - Documents\Planning Space Implementation\3. Analysis &amp; Design\Design\FC22\DRR Jaime\Neiva CPI\[VAO_DINA TERCIARIOS_CF_SEC_20230117.xlsx]CF PSDP'!</v>
      </c>
      <c r="G1531" s="6" t="s">
        <v>103</v>
      </c>
      <c r="H1531" s="1"/>
      <c r="I1531" s="1"/>
      <c r="J1531" s="1"/>
    </row>
    <row r="1532" spans="1:10" x14ac:dyDescent="0.3">
      <c r="A1532" s="6" t="s">
        <v>21</v>
      </c>
      <c r="B1532" s="6">
        <f t="shared" si="348"/>
        <v>2033</v>
      </c>
      <c r="C1532" s="1" t="s">
        <v>40</v>
      </c>
      <c r="D1532" s="2" t="s">
        <v>131</v>
      </c>
      <c r="E1532" s="9" t="str">
        <f t="shared" si="347"/>
        <v>PSDP'!</v>
      </c>
      <c r="F1532" s="5" t="str">
        <f t="shared" si="332"/>
        <v>C:\Users\jaime.benazar\Quorum Business Solutions\Ecopetrol Prometeo - Documents\Planning Space Implementation\3. Analysis &amp; Design\Design\FC22\DRR Jaime\Neiva CPI\[VAO_DINA TERCIARIOS_CF_SEC_20230117.xlsx]CF PSDP'!</v>
      </c>
      <c r="G1532" s="6" t="s">
        <v>103</v>
      </c>
      <c r="H1532" s="1"/>
      <c r="I1532" s="1"/>
      <c r="J1532" s="1"/>
    </row>
    <row r="1533" spans="1:10" x14ac:dyDescent="0.3">
      <c r="A1533" s="6" t="s">
        <v>21</v>
      </c>
      <c r="B1533" s="6">
        <f t="shared" si="348"/>
        <v>2034</v>
      </c>
      <c r="C1533" s="1" t="s">
        <v>40</v>
      </c>
      <c r="D1533" s="2" t="s">
        <v>131</v>
      </c>
      <c r="E1533" s="9" t="str">
        <f t="shared" si="347"/>
        <v>PSDP'!</v>
      </c>
      <c r="F1533" s="5" t="str">
        <f t="shared" si="332"/>
        <v>C:\Users\jaime.benazar\Quorum Business Solutions\Ecopetrol Prometeo - Documents\Planning Space Implementation\3. Analysis &amp; Design\Design\FC22\DRR Jaime\Neiva CPI\[VAO_DINA TERCIARIOS_CF_SEC_20230117.xlsx]CF PSDP'!</v>
      </c>
      <c r="G1533" s="6" t="s">
        <v>103</v>
      </c>
      <c r="H1533" s="1"/>
      <c r="I1533" s="1"/>
      <c r="J1533" s="1"/>
    </row>
    <row r="1534" spans="1:10" x14ac:dyDescent="0.3">
      <c r="A1534" s="6" t="s">
        <v>21</v>
      </c>
      <c r="B1534" s="6">
        <f t="shared" si="348"/>
        <v>2035</v>
      </c>
      <c r="C1534" s="1" t="s">
        <v>40</v>
      </c>
      <c r="D1534" s="2" t="s">
        <v>131</v>
      </c>
      <c r="E1534" s="9" t="str">
        <f t="shared" si="347"/>
        <v>PSDP'!</v>
      </c>
      <c r="F1534" s="5" t="str">
        <f t="shared" si="332"/>
        <v>C:\Users\jaime.benazar\Quorum Business Solutions\Ecopetrol Prometeo - Documents\Planning Space Implementation\3. Analysis &amp; Design\Design\FC22\DRR Jaime\Neiva CPI\[VAO_DINA TERCIARIOS_CF_SEC_20230117.xlsx]CF PSDP'!</v>
      </c>
      <c r="G1534" s="6" t="s">
        <v>103</v>
      </c>
      <c r="H1534" s="1"/>
      <c r="I1534" s="1"/>
      <c r="J1534" s="1"/>
    </row>
    <row r="1535" spans="1:10" x14ac:dyDescent="0.3">
      <c r="A1535" s="6" t="s">
        <v>21</v>
      </c>
      <c r="B1535" s="6">
        <f t="shared" si="348"/>
        <v>2036</v>
      </c>
      <c r="C1535" s="1" t="s">
        <v>40</v>
      </c>
      <c r="D1535" s="2" t="s">
        <v>131</v>
      </c>
      <c r="E1535" s="9" t="str">
        <f t="shared" si="347"/>
        <v>PSDP'!</v>
      </c>
      <c r="F1535" s="5" t="str">
        <f t="shared" si="332"/>
        <v>C:\Users\jaime.benazar\Quorum Business Solutions\Ecopetrol Prometeo - Documents\Planning Space Implementation\3. Analysis &amp; Design\Design\FC22\DRR Jaime\Neiva CPI\[VAO_DINA TERCIARIOS_CF_SEC_20230117.xlsx]CF PSDP'!</v>
      </c>
      <c r="G1535" s="6" t="s">
        <v>103</v>
      </c>
      <c r="H1535" s="1"/>
      <c r="I1535" s="1"/>
      <c r="J1535" s="1"/>
    </row>
    <row r="1536" spans="1:10" x14ac:dyDescent="0.3">
      <c r="A1536" s="6" t="s">
        <v>21</v>
      </c>
      <c r="B1536" s="6">
        <f>+B1535+1</f>
        <v>2037</v>
      </c>
      <c r="C1536" s="1" t="s">
        <v>40</v>
      </c>
      <c r="D1536" s="2" t="s">
        <v>131</v>
      </c>
      <c r="E1536" s="9" t="str">
        <f t="shared" si="347"/>
        <v>PSDP'!</v>
      </c>
      <c r="F1536" s="5" t="str">
        <f t="shared" si="332"/>
        <v>C:\Users\jaime.benazar\Quorum Business Solutions\Ecopetrol Prometeo - Documents\Planning Space Implementation\3. Analysis &amp; Design\Design\FC22\DRR Jaime\Neiva CPI\[VAO_DINA TERCIARIOS_CF_SEC_20230117.xlsx]CF PSDP'!</v>
      </c>
      <c r="G1536" s="6" t="s">
        <v>103</v>
      </c>
      <c r="H1536" s="1"/>
      <c r="I1536" s="1"/>
      <c r="J1536" s="1"/>
    </row>
    <row r="1537" spans="1:10" x14ac:dyDescent="0.3">
      <c r="A1537" s="6" t="s">
        <v>21</v>
      </c>
      <c r="B1537" s="6">
        <f t="shared" ref="B1537:B1539" si="349">+B1536+1</f>
        <v>2038</v>
      </c>
      <c r="C1537" s="1" t="s">
        <v>40</v>
      </c>
      <c r="D1537" s="2" t="s">
        <v>131</v>
      </c>
      <c r="E1537" s="9" t="str">
        <f t="shared" si="347"/>
        <v>PSDP'!</v>
      </c>
      <c r="F1537" s="5" t="str">
        <f t="shared" si="332"/>
        <v>C:\Users\jaime.benazar\Quorum Business Solutions\Ecopetrol Prometeo - Documents\Planning Space Implementation\3. Analysis &amp; Design\Design\FC22\DRR Jaime\Neiva CPI\[VAO_DINA TERCIARIOS_CF_SEC_20230117.xlsx]CF PSDP'!</v>
      </c>
      <c r="G1537" s="6" t="s">
        <v>103</v>
      </c>
      <c r="H1537" s="1"/>
      <c r="I1537" s="1"/>
      <c r="J1537" s="1"/>
    </row>
    <row r="1538" spans="1:10" x14ac:dyDescent="0.3">
      <c r="A1538" s="6" t="s">
        <v>21</v>
      </c>
      <c r="B1538" s="6">
        <f t="shared" si="349"/>
        <v>2039</v>
      </c>
      <c r="C1538" s="1" t="s">
        <v>40</v>
      </c>
      <c r="D1538" s="2" t="s">
        <v>131</v>
      </c>
      <c r="E1538" s="9" t="str">
        <f t="shared" si="347"/>
        <v>PSDP'!</v>
      </c>
      <c r="F1538" s="5" t="str">
        <f t="shared" ref="F1538:F1542" si="350">_xlfn.CONCAT(D1538," ",E1538)</f>
        <v>C:\Users\jaime.benazar\Quorum Business Solutions\Ecopetrol Prometeo - Documents\Planning Space Implementation\3. Analysis &amp; Design\Design\FC22\DRR Jaime\Neiva CPI\[VAO_DINA TERCIARIOS_CF_SEC_20230117.xlsx]CF PSDP'!</v>
      </c>
      <c r="G1538" s="6" t="s">
        <v>103</v>
      </c>
      <c r="H1538" s="1"/>
      <c r="I1538" s="1"/>
      <c r="J1538" s="1"/>
    </row>
    <row r="1539" spans="1:10" x14ac:dyDescent="0.3">
      <c r="A1539" s="6" t="s">
        <v>21</v>
      </c>
      <c r="B1539" s="6">
        <f t="shared" si="349"/>
        <v>2040</v>
      </c>
      <c r="C1539" s="1" t="s">
        <v>40</v>
      </c>
      <c r="D1539" s="2" t="s">
        <v>131</v>
      </c>
      <c r="E1539" s="9" t="str">
        <f t="shared" si="347"/>
        <v>PSDP'!</v>
      </c>
      <c r="F1539" s="5" t="str">
        <f t="shared" si="350"/>
        <v>C:\Users\jaime.benazar\Quorum Business Solutions\Ecopetrol Prometeo - Documents\Planning Space Implementation\3. Analysis &amp; Design\Design\FC22\DRR Jaime\Neiva CPI\[VAO_DINA TERCIARIOS_CF_SEC_20230117.xlsx]CF PSDP'!</v>
      </c>
      <c r="G1539" s="6" t="s">
        <v>103</v>
      </c>
      <c r="H1539" s="1"/>
      <c r="I1539" s="1"/>
      <c r="J1539" s="1"/>
    </row>
    <row r="1540" spans="1:10" x14ac:dyDescent="0.3">
      <c r="A1540" s="6" t="s">
        <v>21</v>
      </c>
      <c r="B1540" s="6">
        <f>+B1539+1</f>
        <v>2041</v>
      </c>
      <c r="C1540" s="1" t="s">
        <v>40</v>
      </c>
      <c r="D1540" s="2" t="s">
        <v>131</v>
      </c>
      <c r="E1540" s="9" t="str">
        <f t="shared" si="347"/>
        <v>PSDP'!</v>
      </c>
      <c r="F1540" s="5" t="str">
        <f t="shared" si="350"/>
        <v>C:\Users\jaime.benazar\Quorum Business Solutions\Ecopetrol Prometeo - Documents\Planning Space Implementation\3. Analysis &amp; Design\Design\FC22\DRR Jaime\Neiva CPI\[VAO_DINA TERCIARIOS_CF_SEC_20230117.xlsx]CF PSDP'!</v>
      </c>
      <c r="G1540" s="6" t="s">
        <v>103</v>
      </c>
      <c r="H1540" s="1"/>
      <c r="I1540" s="1"/>
      <c r="J1540" s="1"/>
    </row>
    <row r="1541" spans="1:10" x14ac:dyDescent="0.3">
      <c r="A1541" s="6" t="s">
        <v>21</v>
      </c>
      <c r="B1541" s="6">
        <f t="shared" ref="B1541:B1542" si="351">+B1540+1</f>
        <v>2042</v>
      </c>
      <c r="C1541" s="1" t="s">
        <v>40</v>
      </c>
      <c r="D1541" s="2" t="s">
        <v>131</v>
      </c>
      <c r="E1541" s="9" t="str">
        <f t="shared" si="347"/>
        <v>PSDP'!</v>
      </c>
      <c r="F1541" s="5" t="str">
        <f t="shared" si="350"/>
        <v>C:\Users\jaime.benazar\Quorum Business Solutions\Ecopetrol Prometeo - Documents\Planning Space Implementation\3. Analysis &amp; Design\Design\FC22\DRR Jaime\Neiva CPI\[VAO_DINA TERCIARIOS_CF_SEC_20230117.xlsx]CF PSDP'!</v>
      </c>
      <c r="G1541" s="6" t="s">
        <v>103</v>
      </c>
      <c r="H1541" s="1"/>
      <c r="I1541" s="1"/>
      <c r="J1541" s="1"/>
    </row>
    <row r="1542" spans="1:10" x14ac:dyDescent="0.3">
      <c r="A1542" s="6" t="s">
        <v>21</v>
      </c>
      <c r="B1542" s="6">
        <f t="shared" si="351"/>
        <v>2043</v>
      </c>
      <c r="C1542" s="1" t="s">
        <v>40</v>
      </c>
      <c r="D1542" s="2" t="s">
        <v>131</v>
      </c>
      <c r="E1542" s="9" t="str">
        <f t="shared" si="347"/>
        <v>PSDP'!</v>
      </c>
      <c r="F1542" s="5" t="str">
        <f t="shared" si="350"/>
        <v>C:\Users\jaime.benazar\Quorum Business Solutions\Ecopetrol Prometeo - Documents\Planning Space Implementation\3. Analysis &amp; Design\Design\FC22\DRR Jaime\Neiva CPI\[VAO_DINA TERCIARIOS_CF_SEC_20230117.xlsx]CF PSDP'!</v>
      </c>
      <c r="G1542" s="6" t="s">
        <v>103</v>
      </c>
      <c r="H1542" s="1"/>
      <c r="I1542" s="1"/>
      <c r="J1542" s="1"/>
    </row>
    <row r="1543" spans="1:10" x14ac:dyDescent="0.3">
      <c r="A1543" s="6" t="s">
        <v>21</v>
      </c>
      <c r="B1543" s="6">
        <f>+B1542+1</f>
        <v>2044</v>
      </c>
      <c r="C1543" s="1" t="s">
        <v>40</v>
      </c>
      <c r="D1543" s="2" t="s">
        <v>131</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Jaime\Neiva CPI\[VAO_DINA TERCIARIOS_CF_SEC_20230117.xlsx]CF PSDP'!</v>
      </c>
      <c r="G1543" s="6" t="s">
        <v>103</v>
      </c>
      <c r="H1543" s="1"/>
      <c r="I1543" s="1"/>
      <c r="J1543" s="1"/>
    </row>
    <row r="1544" spans="1:10" x14ac:dyDescent="0.3">
      <c r="A1544" s="6" t="s">
        <v>21</v>
      </c>
      <c r="B1544" s="6">
        <f t="shared" ref="B1544:B1558" si="354">+B1543+1</f>
        <v>2045</v>
      </c>
      <c r="C1544" s="1" t="s">
        <v>40</v>
      </c>
      <c r="D1544" s="2" t="s">
        <v>131</v>
      </c>
      <c r="E1544" s="9" t="str">
        <f t="shared" si="352"/>
        <v>PSDP'!</v>
      </c>
      <c r="F1544" s="5" t="str">
        <f t="shared" si="353"/>
        <v>C:\Users\jaime.benazar\Quorum Business Solutions\Ecopetrol Prometeo - Documents\Planning Space Implementation\3. Analysis &amp; Design\Design\FC22\DRR Jaime\Neiva CPI\[VAO_DINA TERCIARIOS_CF_SEC_20230117.xlsx]CF PSDP'!</v>
      </c>
      <c r="G1544" s="6" t="s">
        <v>103</v>
      </c>
      <c r="H1544" s="1"/>
      <c r="I1544" s="1"/>
      <c r="J1544" s="1"/>
    </row>
    <row r="1545" spans="1:10" x14ac:dyDescent="0.3">
      <c r="A1545" s="6" t="s">
        <v>21</v>
      </c>
      <c r="B1545" s="6">
        <f t="shared" si="354"/>
        <v>2046</v>
      </c>
      <c r="C1545" s="1" t="s">
        <v>40</v>
      </c>
      <c r="D1545" s="2" t="s">
        <v>131</v>
      </c>
      <c r="E1545" s="9" t="str">
        <f t="shared" si="352"/>
        <v>PSDP'!</v>
      </c>
      <c r="F1545" s="5" t="str">
        <f t="shared" si="353"/>
        <v>C:\Users\jaime.benazar\Quorum Business Solutions\Ecopetrol Prometeo - Documents\Planning Space Implementation\3. Analysis &amp; Design\Design\FC22\DRR Jaime\Neiva CPI\[VAO_DINA TERCIARIOS_CF_SEC_20230117.xlsx]CF PSDP'!</v>
      </c>
      <c r="G1545" s="6" t="s">
        <v>103</v>
      </c>
      <c r="H1545" s="1"/>
      <c r="I1545" s="1"/>
      <c r="J1545" s="1"/>
    </row>
    <row r="1546" spans="1:10" x14ac:dyDescent="0.3">
      <c r="A1546" s="6" t="s">
        <v>21</v>
      </c>
      <c r="B1546" s="6">
        <f t="shared" si="354"/>
        <v>2047</v>
      </c>
      <c r="C1546" s="1" t="s">
        <v>40</v>
      </c>
      <c r="D1546" s="2" t="s">
        <v>131</v>
      </c>
      <c r="E1546" s="9" t="str">
        <f t="shared" si="352"/>
        <v>PSDP'!</v>
      </c>
      <c r="F1546" s="5" t="str">
        <f t="shared" si="353"/>
        <v>C:\Users\jaime.benazar\Quorum Business Solutions\Ecopetrol Prometeo - Documents\Planning Space Implementation\3. Analysis &amp; Design\Design\FC22\DRR Jaime\Neiva CPI\[VAO_DINA TERCIARIOS_CF_SEC_20230117.xlsx]CF PSDP'!</v>
      </c>
      <c r="G1546" s="6" t="s">
        <v>103</v>
      </c>
      <c r="H1546" s="1"/>
      <c r="I1546" s="1"/>
      <c r="J1546" s="1"/>
    </row>
    <row r="1547" spans="1:10" x14ac:dyDescent="0.3">
      <c r="A1547" s="6" t="s">
        <v>21</v>
      </c>
      <c r="B1547" s="6">
        <f t="shared" si="354"/>
        <v>2048</v>
      </c>
      <c r="C1547" s="1" t="s">
        <v>40</v>
      </c>
      <c r="D1547" s="2" t="s">
        <v>131</v>
      </c>
      <c r="E1547" s="9" t="str">
        <f t="shared" si="352"/>
        <v>PSDP'!</v>
      </c>
      <c r="F1547" s="5" t="str">
        <f t="shared" si="353"/>
        <v>C:\Users\jaime.benazar\Quorum Business Solutions\Ecopetrol Prometeo - Documents\Planning Space Implementation\3. Analysis &amp; Design\Design\FC22\DRR Jaime\Neiva CPI\[VAO_DINA TERCIARIOS_CF_SEC_20230117.xlsx]CF PSDP'!</v>
      </c>
      <c r="G1547" s="6" t="s">
        <v>103</v>
      </c>
      <c r="H1547" s="1"/>
      <c r="I1547" s="1"/>
      <c r="J1547" s="1"/>
    </row>
    <row r="1548" spans="1:10" x14ac:dyDescent="0.3">
      <c r="A1548" s="6" t="s">
        <v>21</v>
      </c>
      <c r="B1548" s="6">
        <f t="shared" si="354"/>
        <v>2049</v>
      </c>
      <c r="C1548" s="1" t="s">
        <v>40</v>
      </c>
      <c r="D1548" s="2" t="s">
        <v>131</v>
      </c>
      <c r="E1548" s="9" t="str">
        <f t="shared" si="352"/>
        <v>PSDP'!</v>
      </c>
      <c r="F1548" s="5" t="str">
        <f t="shared" si="353"/>
        <v>C:\Users\jaime.benazar\Quorum Business Solutions\Ecopetrol Prometeo - Documents\Planning Space Implementation\3. Analysis &amp; Design\Design\FC22\DRR Jaime\Neiva CPI\[VAO_DINA TERCIARIOS_CF_SEC_20230117.xlsx]CF PSDP'!</v>
      </c>
      <c r="G1548" s="6" t="s">
        <v>103</v>
      </c>
      <c r="H1548" s="1"/>
      <c r="I1548" s="1"/>
      <c r="J1548" s="1"/>
    </row>
    <row r="1549" spans="1:10" x14ac:dyDescent="0.3">
      <c r="A1549" s="6" t="s">
        <v>21</v>
      </c>
      <c r="B1549" s="6">
        <f t="shared" si="354"/>
        <v>2050</v>
      </c>
      <c r="C1549" s="1" t="s">
        <v>40</v>
      </c>
      <c r="D1549" s="2" t="s">
        <v>131</v>
      </c>
      <c r="E1549" s="9" t="str">
        <f t="shared" si="352"/>
        <v>PSDP'!</v>
      </c>
      <c r="F1549" s="5" t="str">
        <f t="shared" si="353"/>
        <v>C:\Users\jaime.benazar\Quorum Business Solutions\Ecopetrol Prometeo - Documents\Planning Space Implementation\3. Analysis &amp; Design\Design\FC22\DRR Jaime\Neiva CPI\[VAO_DINA TERCIARIOS_CF_SEC_20230117.xlsx]CF PSDP'!</v>
      </c>
      <c r="G1549" s="6" t="s">
        <v>103</v>
      </c>
      <c r="H1549" s="1"/>
      <c r="I1549" s="1"/>
      <c r="J1549" s="1"/>
    </row>
    <row r="1550" spans="1:10" x14ac:dyDescent="0.3">
      <c r="A1550" s="6" t="s">
        <v>21</v>
      </c>
      <c r="B1550" s="6">
        <f t="shared" si="354"/>
        <v>2051</v>
      </c>
      <c r="C1550" s="1" t="s">
        <v>40</v>
      </c>
      <c r="D1550" s="2" t="s">
        <v>131</v>
      </c>
      <c r="E1550" s="9" t="str">
        <f t="shared" si="352"/>
        <v>PSDP'!</v>
      </c>
      <c r="F1550" s="5" t="str">
        <f t="shared" si="353"/>
        <v>C:\Users\jaime.benazar\Quorum Business Solutions\Ecopetrol Prometeo - Documents\Planning Space Implementation\3. Analysis &amp; Design\Design\FC22\DRR Jaime\Neiva CPI\[VAO_DINA TERCIARIOS_CF_SEC_20230117.xlsx]CF PSDP'!</v>
      </c>
      <c r="G1550" s="6" t="s">
        <v>103</v>
      </c>
      <c r="H1550" s="1"/>
      <c r="I1550" s="1"/>
      <c r="J1550" s="1"/>
    </row>
    <row r="1551" spans="1:10" x14ac:dyDescent="0.3">
      <c r="A1551" s="6" t="s">
        <v>21</v>
      </c>
      <c r="B1551" s="6">
        <f t="shared" si="354"/>
        <v>2052</v>
      </c>
      <c r="C1551" s="1" t="s">
        <v>40</v>
      </c>
      <c r="D1551" s="2" t="s">
        <v>131</v>
      </c>
      <c r="E1551" s="9" t="str">
        <f t="shared" si="352"/>
        <v>PSDP'!</v>
      </c>
      <c r="F1551" s="5" t="str">
        <f t="shared" si="353"/>
        <v>C:\Users\jaime.benazar\Quorum Business Solutions\Ecopetrol Prometeo - Documents\Planning Space Implementation\3. Analysis &amp; Design\Design\FC22\DRR Jaime\Neiva CPI\[VAO_DINA TERCIARIOS_CF_SEC_20230117.xlsx]CF PSDP'!</v>
      </c>
      <c r="G1551" s="6" t="s">
        <v>103</v>
      </c>
      <c r="H1551" s="1"/>
      <c r="I1551" s="1"/>
      <c r="J1551" s="1"/>
    </row>
    <row r="1552" spans="1:10" x14ac:dyDescent="0.3">
      <c r="A1552" s="6" t="s">
        <v>21</v>
      </c>
      <c r="B1552" s="6">
        <f t="shared" si="354"/>
        <v>2053</v>
      </c>
      <c r="C1552" s="1" t="s">
        <v>40</v>
      </c>
      <c r="D1552" s="2" t="s">
        <v>131</v>
      </c>
      <c r="E1552" s="9" t="str">
        <f t="shared" si="352"/>
        <v>PSDP'!</v>
      </c>
      <c r="F1552" s="5" t="str">
        <f t="shared" si="353"/>
        <v>C:\Users\jaime.benazar\Quorum Business Solutions\Ecopetrol Prometeo - Documents\Planning Space Implementation\3. Analysis &amp; Design\Design\FC22\DRR Jaime\Neiva CPI\[VAO_DINA TERCIARIOS_CF_SEC_20230117.xlsx]CF PSDP'!</v>
      </c>
      <c r="G1552" s="6" t="s">
        <v>103</v>
      </c>
      <c r="H1552" s="1"/>
      <c r="I1552" s="1"/>
      <c r="J1552" s="1"/>
    </row>
    <row r="1553" spans="1:10" x14ac:dyDescent="0.3">
      <c r="A1553" s="6" t="s">
        <v>21</v>
      </c>
      <c r="B1553" s="6">
        <f t="shared" si="354"/>
        <v>2054</v>
      </c>
      <c r="C1553" s="1" t="s">
        <v>40</v>
      </c>
      <c r="D1553" s="2" t="s">
        <v>131</v>
      </c>
      <c r="E1553" s="9" t="str">
        <f t="shared" si="352"/>
        <v>PSDP'!</v>
      </c>
      <c r="F1553" s="5" t="str">
        <f t="shared" si="353"/>
        <v>C:\Users\jaime.benazar\Quorum Business Solutions\Ecopetrol Prometeo - Documents\Planning Space Implementation\3. Analysis &amp; Design\Design\FC22\DRR Jaime\Neiva CPI\[VAO_DINA TERCIARIOS_CF_SEC_20230117.xlsx]CF PSDP'!</v>
      </c>
      <c r="G1553" s="6" t="s">
        <v>103</v>
      </c>
      <c r="H1553" s="1"/>
      <c r="I1553" s="1"/>
      <c r="J1553" s="1"/>
    </row>
    <row r="1554" spans="1:10" x14ac:dyDescent="0.3">
      <c r="A1554" s="6" t="s">
        <v>21</v>
      </c>
      <c r="B1554" s="6">
        <f t="shared" si="354"/>
        <v>2055</v>
      </c>
      <c r="C1554" s="1" t="s">
        <v>40</v>
      </c>
      <c r="D1554" s="2" t="s">
        <v>131</v>
      </c>
      <c r="E1554" s="9" t="str">
        <f t="shared" si="352"/>
        <v>PSDP'!</v>
      </c>
      <c r="F1554" s="5" t="str">
        <f t="shared" si="353"/>
        <v>C:\Users\jaime.benazar\Quorum Business Solutions\Ecopetrol Prometeo - Documents\Planning Space Implementation\3. Analysis &amp; Design\Design\FC22\DRR Jaime\Neiva CPI\[VAO_DINA TERCIARIOS_CF_SEC_20230117.xlsx]CF PSDP'!</v>
      </c>
      <c r="G1554" s="6" t="s">
        <v>103</v>
      </c>
      <c r="H1554" s="1"/>
      <c r="I1554" s="1"/>
      <c r="J1554" s="1"/>
    </row>
    <row r="1555" spans="1:10" x14ac:dyDescent="0.3">
      <c r="A1555" s="6" t="s">
        <v>21</v>
      </c>
      <c r="B1555" s="6">
        <f t="shared" si="354"/>
        <v>2056</v>
      </c>
      <c r="C1555" s="1" t="s">
        <v>40</v>
      </c>
      <c r="D1555" s="2" t="s">
        <v>131</v>
      </c>
      <c r="E1555" s="9" t="str">
        <f t="shared" si="352"/>
        <v>PSDP'!</v>
      </c>
      <c r="F1555" s="5" t="str">
        <f t="shared" si="353"/>
        <v>C:\Users\jaime.benazar\Quorum Business Solutions\Ecopetrol Prometeo - Documents\Planning Space Implementation\3. Analysis &amp; Design\Design\FC22\DRR Jaime\Neiva CPI\[VAO_DINA TERCIARIOS_CF_SEC_20230117.xlsx]CF PSDP'!</v>
      </c>
      <c r="G1555" s="6" t="s">
        <v>103</v>
      </c>
      <c r="H1555" s="1"/>
      <c r="I1555" s="1"/>
      <c r="J1555" s="1"/>
    </row>
    <row r="1556" spans="1:10" x14ac:dyDescent="0.3">
      <c r="A1556" s="6" t="s">
        <v>21</v>
      </c>
      <c r="B1556" s="6">
        <f t="shared" si="354"/>
        <v>2057</v>
      </c>
      <c r="C1556" s="1" t="s">
        <v>40</v>
      </c>
      <c r="D1556" s="2" t="s">
        <v>131</v>
      </c>
      <c r="E1556" s="9" t="str">
        <f t="shared" si="352"/>
        <v>PSDP'!</v>
      </c>
      <c r="F1556" s="5" t="str">
        <f t="shared" si="353"/>
        <v>C:\Users\jaime.benazar\Quorum Business Solutions\Ecopetrol Prometeo - Documents\Planning Space Implementation\3. Analysis &amp; Design\Design\FC22\DRR Jaime\Neiva CPI\[VAO_DINA TERCIARIOS_CF_SEC_20230117.xlsx]CF PSDP'!</v>
      </c>
      <c r="G1556" s="6" t="s">
        <v>103</v>
      </c>
      <c r="H1556" s="1"/>
      <c r="I1556" s="1"/>
      <c r="J1556" s="1"/>
    </row>
    <row r="1557" spans="1:10" x14ac:dyDescent="0.3">
      <c r="A1557" s="6" t="s">
        <v>21</v>
      </c>
      <c r="B1557" s="6">
        <f t="shared" si="354"/>
        <v>2058</v>
      </c>
      <c r="C1557" s="1" t="s">
        <v>40</v>
      </c>
      <c r="D1557" s="2" t="s">
        <v>131</v>
      </c>
      <c r="E1557" s="9" t="str">
        <f t="shared" si="352"/>
        <v>PSDP'!</v>
      </c>
      <c r="F1557" s="5" t="str">
        <f t="shared" si="353"/>
        <v>C:\Users\jaime.benazar\Quorum Business Solutions\Ecopetrol Prometeo - Documents\Planning Space Implementation\3. Analysis &amp; Design\Design\FC22\DRR Jaime\Neiva CPI\[VAO_DINA TERCIARIOS_CF_SEC_20230117.xlsx]CF PSDP'!</v>
      </c>
      <c r="G1557" s="6" t="s">
        <v>103</v>
      </c>
      <c r="H1557" s="1"/>
      <c r="I1557" s="1"/>
      <c r="J1557" s="1"/>
    </row>
    <row r="1558" spans="1:10" x14ac:dyDescent="0.3">
      <c r="A1558" s="6" t="s">
        <v>21</v>
      </c>
      <c r="B1558" s="6">
        <f t="shared" si="354"/>
        <v>2059</v>
      </c>
      <c r="C1558" s="1" t="s">
        <v>40</v>
      </c>
      <c r="D1558" s="2" t="s">
        <v>131</v>
      </c>
      <c r="E1558" s="9" t="str">
        <f t="shared" si="352"/>
        <v>PSDP'!</v>
      </c>
      <c r="F1558" s="5" t="str">
        <f t="shared" si="353"/>
        <v>C:\Users\jaime.benazar\Quorum Business Solutions\Ecopetrol Prometeo - Documents\Planning Space Implementation\3. Analysis &amp; Design\Design\FC22\DRR Jaime\Neiva CPI\[VAO_DINA TERCIARIOS_CF_SEC_20230117.xlsx]CF PSDP'!</v>
      </c>
      <c r="G1558" s="6" t="s">
        <v>103</v>
      </c>
      <c r="H1558" s="1"/>
      <c r="I1558" s="1"/>
      <c r="J1558" s="1"/>
    </row>
    <row r="1559" spans="1:10" x14ac:dyDescent="0.3">
      <c r="A1559" s="6" t="s">
        <v>26</v>
      </c>
      <c r="B1559" s="6"/>
      <c r="C1559" s="1" t="s">
        <v>40</v>
      </c>
      <c r="D1559" s="2"/>
      <c r="E1559" s="9"/>
      <c r="F1559" s="2"/>
      <c r="G1559" s="6"/>
      <c r="H1559" s="1"/>
      <c r="I1559" s="1"/>
      <c r="J1559" s="1"/>
    </row>
    <row r="1560" spans="1:10" x14ac:dyDescent="0.3">
      <c r="A1560" s="6" t="s">
        <v>22</v>
      </c>
      <c r="B1560" s="6">
        <v>2023</v>
      </c>
      <c r="C1560" s="1" t="s">
        <v>40</v>
      </c>
      <c r="D1560" s="2" t="s">
        <v>131</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Jaime\Neiva CPI\[VAO_DINA TERCIARIOS_CF_SEC_20230117.xlsx]CF PSNP'!</v>
      </c>
      <c r="G1560" s="6" t="s">
        <v>103</v>
      </c>
      <c r="H1560" s="1"/>
      <c r="I1560" s="1"/>
      <c r="J1560" s="1"/>
    </row>
    <row r="1561" spans="1:10" x14ac:dyDescent="0.3">
      <c r="A1561" s="6" t="s">
        <v>22</v>
      </c>
      <c r="B1561" s="6">
        <f>+B1560+1</f>
        <v>2024</v>
      </c>
      <c r="C1561" s="1" t="s">
        <v>40</v>
      </c>
      <c r="D1561" s="2" t="s">
        <v>131</v>
      </c>
      <c r="E1561" s="9" t="str">
        <f t="shared" si="355"/>
        <v>PSNP'!</v>
      </c>
      <c r="F1561" s="5" t="str">
        <f t="shared" si="356"/>
        <v>C:\Users\jaime.benazar\Quorum Business Solutions\Ecopetrol Prometeo - Documents\Planning Space Implementation\3. Analysis &amp; Design\Design\FC22\DRR Jaime\Neiva CPI\[VAO_DINA TERCIARIOS_CF_SEC_20230117.xlsx]CF PSNP'!</v>
      </c>
      <c r="G1561" s="6" t="s">
        <v>103</v>
      </c>
      <c r="H1561" s="1"/>
      <c r="I1561" s="1"/>
      <c r="J1561" s="1"/>
    </row>
    <row r="1562" spans="1:10" x14ac:dyDescent="0.3">
      <c r="A1562" s="6" t="s">
        <v>22</v>
      </c>
      <c r="B1562" s="6">
        <f t="shared" ref="B1562:B1573" si="357">+B1561+1</f>
        <v>2025</v>
      </c>
      <c r="C1562" s="1" t="s">
        <v>40</v>
      </c>
      <c r="D1562" s="2" t="s">
        <v>131</v>
      </c>
      <c r="E1562" s="9" t="str">
        <f t="shared" si="355"/>
        <v>PSNP'!</v>
      </c>
      <c r="F1562" s="5" t="str">
        <f t="shared" si="356"/>
        <v>C:\Users\jaime.benazar\Quorum Business Solutions\Ecopetrol Prometeo - Documents\Planning Space Implementation\3. Analysis &amp; Design\Design\FC22\DRR Jaime\Neiva CPI\[VAO_DINA TERCIARIOS_CF_SEC_20230117.xlsx]CF PSNP'!</v>
      </c>
      <c r="G1562" s="6" t="s">
        <v>103</v>
      </c>
      <c r="H1562" s="1"/>
      <c r="I1562" s="1"/>
      <c r="J1562" s="1"/>
    </row>
    <row r="1563" spans="1:10" x14ac:dyDescent="0.3">
      <c r="A1563" s="6" t="s">
        <v>22</v>
      </c>
      <c r="B1563" s="6">
        <f t="shared" si="357"/>
        <v>2026</v>
      </c>
      <c r="C1563" s="1" t="s">
        <v>40</v>
      </c>
      <c r="D1563" s="2" t="s">
        <v>131</v>
      </c>
      <c r="E1563" s="9" t="str">
        <f t="shared" si="355"/>
        <v>PSNP'!</v>
      </c>
      <c r="F1563" s="5" t="str">
        <f t="shared" si="356"/>
        <v>C:\Users\jaime.benazar\Quorum Business Solutions\Ecopetrol Prometeo - Documents\Planning Space Implementation\3. Analysis &amp; Design\Design\FC22\DRR Jaime\Neiva CPI\[VAO_DINA TERCIARIOS_CF_SEC_20230117.xlsx]CF PSNP'!</v>
      </c>
      <c r="G1563" s="6" t="s">
        <v>103</v>
      </c>
      <c r="H1563" s="1"/>
      <c r="I1563" s="1"/>
      <c r="J1563" s="1"/>
    </row>
    <row r="1564" spans="1:10" x14ac:dyDescent="0.3">
      <c r="A1564" s="6" t="s">
        <v>22</v>
      </c>
      <c r="B1564" s="6">
        <f t="shared" si="357"/>
        <v>2027</v>
      </c>
      <c r="C1564" s="1" t="s">
        <v>40</v>
      </c>
      <c r="D1564" s="2" t="s">
        <v>131</v>
      </c>
      <c r="E1564" s="9" t="str">
        <f t="shared" si="355"/>
        <v>PSNP'!</v>
      </c>
      <c r="F1564" s="5" t="str">
        <f t="shared" si="356"/>
        <v>C:\Users\jaime.benazar\Quorum Business Solutions\Ecopetrol Prometeo - Documents\Planning Space Implementation\3. Analysis &amp; Design\Design\FC22\DRR Jaime\Neiva CPI\[VAO_DINA TERCIARIOS_CF_SEC_20230117.xlsx]CF PSNP'!</v>
      </c>
      <c r="G1564" s="6" t="s">
        <v>103</v>
      </c>
      <c r="H1564" s="1"/>
      <c r="I1564" s="1"/>
      <c r="J1564" s="1"/>
    </row>
    <row r="1565" spans="1:10" x14ac:dyDescent="0.3">
      <c r="A1565" s="6" t="s">
        <v>22</v>
      </c>
      <c r="B1565" s="6">
        <f t="shared" si="357"/>
        <v>2028</v>
      </c>
      <c r="C1565" s="1" t="s">
        <v>40</v>
      </c>
      <c r="D1565" s="2" t="s">
        <v>131</v>
      </c>
      <c r="E1565" s="9" t="str">
        <f t="shared" si="355"/>
        <v>PSNP'!</v>
      </c>
      <c r="F1565" s="5" t="str">
        <f t="shared" si="356"/>
        <v>C:\Users\jaime.benazar\Quorum Business Solutions\Ecopetrol Prometeo - Documents\Planning Space Implementation\3. Analysis &amp; Design\Design\FC22\DRR Jaime\Neiva CPI\[VAO_DINA TERCIARIOS_CF_SEC_20230117.xlsx]CF PSNP'!</v>
      </c>
      <c r="G1565" s="6" t="s">
        <v>103</v>
      </c>
      <c r="H1565" s="1"/>
      <c r="I1565" s="1"/>
      <c r="J1565" s="1"/>
    </row>
    <row r="1566" spans="1:10" x14ac:dyDescent="0.3">
      <c r="A1566" s="6" t="s">
        <v>22</v>
      </c>
      <c r="B1566" s="6">
        <f t="shared" si="357"/>
        <v>2029</v>
      </c>
      <c r="C1566" s="1" t="s">
        <v>40</v>
      </c>
      <c r="D1566" s="2" t="s">
        <v>131</v>
      </c>
      <c r="E1566" s="9" t="str">
        <f t="shared" si="355"/>
        <v>PSNP'!</v>
      </c>
      <c r="F1566" s="5" t="str">
        <f t="shared" si="356"/>
        <v>C:\Users\jaime.benazar\Quorum Business Solutions\Ecopetrol Prometeo - Documents\Planning Space Implementation\3. Analysis &amp; Design\Design\FC22\DRR Jaime\Neiva CPI\[VAO_DINA TERCIARIOS_CF_SEC_20230117.xlsx]CF PSNP'!</v>
      </c>
      <c r="G1566" s="6" t="s">
        <v>103</v>
      </c>
      <c r="H1566" s="1"/>
      <c r="I1566" s="1"/>
      <c r="J1566" s="1"/>
    </row>
    <row r="1567" spans="1:10" x14ac:dyDescent="0.3">
      <c r="A1567" s="6" t="s">
        <v>22</v>
      </c>
      <c r="B1567" s="6">
        <f t="shared" si="357"/>
        <v>2030</v>
      </c>
      <c r="C1567" s="1" t="s">
        <v>40</v>
      </c>
      <c r="D1567" s="2" t="s">
        <v>131</v>
      </c>
      <c r="E1567" s="9" t="str">
        <f t="shared" si="355"/>
        <v>PSNP'!</v>
      </c>
      <c r="F1567" s="5" t="str">
        <f t="shared" si="356"/>
        <v>C:\Users\jaime.benazar\Quorum Business Solutions\Ecopetrol Prometeo - Documents\Planning Space Implementation\3. Analysis &amp; Design\Design\FC22\DRR Jaime\Neiva CPI\[VAO_DINA TERCIARIOS_CF_SEC_20230117.xlsx]CF PSNP'!</v>
      </c>
      <c r="G1567" s="6" t="s">
        <v>103</v>
      </c>
      <c r="H1567" s="1"/>
      <c r="I1567" s="1"/>
      <c r="J1567" s="1"/>
    </row>
    <row r="1568" spans="1:10" x14ac:dyDescent="0.3">
      <c r="A1568" s="6" t="s">
        <v>22</v>
      </c>
      <c r="B1568" s="6">
        <f t="shared" si="357"/>
        <v>2031</v>
      </c>
      <c r="C1568" s="1" t="s">
        <v>40</v>
      </c>
      <c r="D1568" s="2" t="s">
        <v>131</v>
      </c>
      <c r="E1568" s="9" t="str">
        <f t="shared" si="355"/>
        <v>PSNP'!</v>
      </c>
      <c r="F1568" s="5" t="str">
        <f t="shared" si="356"/>
        <v>C:\Users\jaime.benazar\Quorum Business Solutions\Ecopetrol Prometeo - Documents\Planning Space Implementation\3. Analysis &amp; Design\Design\FC22\DRR Jaime\Neiva CPI\[VAO_DINA TERCIARIOS_CF_SEC_20230117.xlsx]CF PSNP'!</v>
      </c>
      <c r="G1568" s="6" t="s">
        <v>103</v>
      </c>
      <c r="H1568" s="1"/>
      <c r="I1568" s="1"/>
      <c r="J1568" s="1"/>
    </row>
    <row r="1569" spans="1:10" x14ac:dyDescent="0.3">
      <c r="A1569" s="6" t="s">
        <v>22</v>
      </c>
      <c r="B1569" s="6">
        <f t="shared" si="357"/>
        <v>2032</v>
      </c>
      <c r="C1569" s="1" t="s">
        <v>40</v>
      </c>
      <c r="D1569" s="2" t="s">
        <v>131</v>
      </c>
      <c r="E1569" s="9" t="str">
        <f t="shared" si="355"/>
        <v>PSNP'!</v>
      </c>
      <c r="F1569" s="5" t="str">
        <f t="shared" si="356"/>
        <v>C:\Users\jaime.benazar\Quorum Business Solutions\Ecopetrol Prometeo - Documents\Planning Space Implementation\3. Analysis &amp; Design\Design\FC22\DRR Jaime\Neiva CPI\[VAO_DINA TERCIARIOS_CF_SEC_20230117.xlsx]CF PSNP'!</v>
      </c>
      <c r="G1569" s="6" t="s">
        <v>103</v>
      </c>
      <c r="H1569" s="1"/>
      <c r="I1569" s="1"/>
      <c r="J1569" s="1"/>
    </row>
    <row r="1570" spans="1:10" x14ac:dyDescent="0.3">
      <c r="A1570" s="6" t="s">
        <v>22</v>
      </c>
      <c r="B1570" s="6">
        <f t="shared" si="357"/>
        <v>2033</v>
      </c>
      <c r="C1570" s="1" t="s">
        <v>40</v>
      </c>
      <c r="D1570" s="2" t="s">
        <v>131</v>
      </c>
      <c r="E1570" s="9" t="str">
        <f t="shared" si="355"/>
        <v>PSNP'!</v>
      </c>
      <c r="F1570" s="5" t="str">
        <f t="shared" si="356"/>
        <v>C:\Users\jaime.benazar\Quorum Business Solutions\Ecopetrol Prometeo - Documents\Planning Space Implementation\3. Analysis &amp; Design\Design\FC22\DRR Jaime\Neiva CPI\[VAO_DINA TERCIARIOS_CF_SEC_20230117.xlsx]CF PSNP'!</v>
      </c>
      <c r="G1570" s="6" t="s">
        <v>103</v>
      </c>
      <c r="H1570" s="1"/>
      <c r="I1570" s="1"/>
      <c r="J1570" s="1"/>
    </row>
    <row r="1571" spans="1:10" x14ac:dyDescent="0.3">
      <c r="A1571" s="6" t="s">
        <v>22</v>
      </c>
      <c r="B1571" s="6">
        <f t="shared" si="357"/>
        <v>2034</v>
      </c>
      <c r="C1571" s="1" t="s">
        <v>40</v>
      </c>
      <c r="D1571" s="2" t="s">
        <v>131</v>
      </c>
      <c r="E1571" s="9" t="str">
        <f t="shared" si="355"/>
        <v>PSNP'!</v>
      </c>
      <c r="F1571" s="5" t="str">
        <f t="shared" si="356"/>
        <v>C:\Users\jaime.benazar\Quorum Business Solutions\Ecopetrol Prometeo - Documents\Planning Space Implementation\3. Analysis &amp; Design\Design\FC22\DRR Jaime\Neiva CPI\[VAO_DINA TERCIARIOS_CF_SEC_20230117.xlsx]CF PSNP'!</v>
      </c>
      <c r="G1571" s="6" t="s">
        <v>103</v>
      </c>
      <c r="H1571" s="1"/>
      <c r="I1571" s="1"/>
      <c r="J1571" s="1"/>
    </row>
    <row r="1572" spans="1:10" x14ac:dyDescent="0.3">
      <c r="A1572" s="6" t="s">
        <v>22</v>
      </c>
      <c r="B1572" s="6">
        <f t="shared" si="357"/>
        <v>2035</v>
      </c>
      <c r="C1572" s="1" t="s">
        <v>40</v>
      </c>
      <c r="D1572" s="2" t="s">
        <v>131</v>
      </c>
      <c r="E1572" s="9" t="str">
        <f t="shared" si="355"/>
        <v>PSNP'!</v>
      </c>
      <c r="F1572" s="5" t="str">
        <f t="shared" si="356"/>
        <v>C:\Users\jaime.benazar\Quorum Business Solutions\Ecopetrol Prometeo - Documents\Planning Space Implementation\3. Analysis &amp; Design\Design\FC22\DRR Jaime\Neiva CPI\[VAO_DINA TERCIARIOS_CF_SEC_20230117.xlsx]CF PSNP'!</v>
      </c>
      <c r="G1572" s="6" t="s">
        <v>103</v>
      </c>
      <c r="H1572" s="1"/>
      <c r="I1572" s="1"/>
      <c r="J1572" s="1"/>
    </row>
    <row r="1573" spans="1:10" x14ac:dyDescent="0.3">
      <c r="A1573" s="6" t="s">
        <v>22</v>
      </c>
      <c r="B1573" s="6">
        <f t="shared" si="357"/>
        <v>2036</v>
      </c>
      <c r="C1573" s="1" t="s">
        <v>40</v>
      </c>
      <c r="D1573" s="2" t="s">
        <v>131</v>
      </c>
      <c r="E1573" s="9" t="str">
        <f t="shared" si="355"/>
        <v>PSNP'!</v>
      </c>
      <c r="F1573" s="5" t="str">
        <f t="shared" si="356"/>
        <v>C:\Users\jaime.benazar\Quorum Business Solutions\Ecopetrol Prometeo - Documents\Planning Space Implementation\3. Analysis &amp; Design\Design\FC22\DRR Jaime\Neiva CPI\[VAO_DINA TERCIARIOS_CF_SEC_20230117.xlsx]CF PSNP'!</v>
      </c>
      <c r="G1573" s="6" t="s">
        <v>103</v>
      </c>
      <c r="H1573" s="1"/>
      <c r="I1573" s="1"/>
      <c r="J1573" s="1"/>
    </row>
    <row r="1574" spans="1:10" x14ac:dyDescent="0.3">
      <c r="A1574" s="6" t="s">
        <v>22</v>
      </c>
      <c r="B1574" s="6">
        <f>+B1573+1</f>
        <v>2037</v>
      </c>
      <c r="C1574" s="1" t="s">
        <v>40</v>
      </c>
      <c r="D1574" s="2" t="s">
        <v>131</v>
      </c>
      <c r="E1574" s="9" t="str">
        <f t="shared" si="355"/>
        <v>PSNP'!</v>
      </c>
      <c r="F1574" s="5" t="str">
        <f t="shared" si="356"/>
        <v>C:\Users\jaime.benazar\Quorum Business Solutions\Ecopetrol Prometeo - Documents\Planning Space Implementation\3. Analysis &amp; Design\Design\FC22\DRR Jaime\Neiva CPI\[VAO_DINA TERCIARIOS_CF_SEC_20230117.xlsx]CF PSNP'!</v>
      </c>
      <c r="G1574" s="6" t="s">
        <v>103</v>
      </c>
      <c r="H1574" s="1"/>
      <c r="I1574" s="1"/>
      <c r="J1574" s="1"/>
    </row>
    <row r="1575" spans="1:10" x14ac:dyDescent="0.3">
      <c r="A1575" s="6" t="s">
        <v>22</v>
      </c>
      <c r="B1575" s="6">
        <f t="shared" ref="B1575:B1577" si="358">+B1574+1</f>
        <v>2038</v>
      </c>
      <c r="C1575" s="1" t="s">
        <v>40</v>
      </c>
      <c r="D1575" s="2" t="s">
        <v>131</v>
      </c>
      <c r="E1575" s="9" t="str">
        <f t="shared" si="355"/>
        <v>PSNP'!</v>
      </c>
      <c r="F1575" s="5" t="str">
        <f t="shared" si="356"/>
        <v>C:\Users\jaime.benazar\Quorum Business Solutions\Ecopetrol Prometeo - Documents\Planning Space Implementation\3. Analysis &amp; Design\Design\FC22\DRR Jaime\Neiva CPI\[VAO_DINA TERCIARIOS_CF_SEC_20230117.xlsx]CF PSNP'!</v>
      </c>
      <c r="G1575" s="6" t="s">
        <v>103</v>
      </c>
      <c r="H1575" s="1"/>
      <c r="I1575" s="1"/>
      <c r="J1575" s="1"/>
    </row>
    <row r="1576" spans="1:10" x14ac:dyDescent="0.3">
      <c r="A1576" s="6" t="s">
        <v>22</v>
      </c>
      <c r="B1576" s="6">
        <f t="shared" si="358"/>
        <v>2039</v>
      </c>
      <c r="C1576" s="1" t="s">
        <v>40</v>
      </c>
      <c r="D1576" s="2" t="s">
        <v>131</v>
      </c>
      <c r="E1576" s="9" t="str">
        <f t="shared" si="355"/>
        <v>PSNP'!</v>
      </c>
      <c r="F1576" s="5" t="str">
        <f t="shared" si="356"/>
        <v>C:\Users\jaime.benazar\Quorum Business Solutions\Ecopetrol Prometeo - Documents\Planning Space Implementation\3. Analysis &amp; Design\Design\FC22\DRR Jaime\Neiva CPI\[VAO_DINA TERCIARIOS_CF_SEC_20230117.xlsx]CF PSNP'!</v>
      </c>
      <c r="G1576" s="6" t="s">
        <v>103</v>
      </c>
      <c r="H1576" s="1"/>
      <c r="I1576" s="1"/>
      <c r="J1576" s="1"/>
    </row>
    <row r="1577" spans="1:10" x14ac:dyDescent="0.3">
      <c r="A1577" s="6" t="s">
        <v>22</v>
      </c>
      <c r="B1577" s="6">
        <f t="shared" si="358"/>
        <v>2040</v>
      </c>
      <c r="C1577" s="1" t="s">
        <v>40</v>
      </c>
      <c r="D1577" s="2" t="s">
        <v>131</v>
      </c>
      <c r="E1577" s="9" t="str">
        <f t="shared" si="355"/>
        <v>PSNP'!</v>
      </c>
      <c r="F1577" s="5" t="str">
        <f t="shared" si="356"/>
        <v>C:\Users\jaime.benazar\Quorum Business Solutions\Ecopetrol Prometeo - Documents\Planning Space Implementation\3. Analysis &amp; Design\Design\FC22\DRR Jaime\Neiva CPI\[VAO_DINA TERCIARIOS_CF_SEC_20230117.xlsx]CF PSNP'!</v>
      </c>
      <c r="G1577" s="6" t="s">
        <v>103</v>
      </c>
      <c r="H1577" s="1"/>
      <c r="I1577" s="1"/>
      <c r="J1577" s="1"/>
    </row>
    <row r="1578" spans="1:10" x14ac:dyDescent="0.3">
      <c r="A1578" s="6" t="s">
        <v>22</v>
      </c>
      <c r="B1578" s="6">
        <f>+B1577+1</f>
        <v>2041</v>
      </c>
      <c r="C1578" s="1" t="s">
        <v>40</v>
      </c>
      <c r="D1578" s="2" t="s">
        <v>131</v>
      </c>
      <c r="E1578" s="9" t="str">
        <f t="shared" si="355"/>
        <v>PSNP'!</v>
      </c>
      <c r="F1578" s="5" t="str">
        <f t="shared" si="356"/>
        <v>C:\Users\jaime.benazar\Quorum Business Solutions\Ecopetrol Prometeo - Documents\Planning Space Implementation\3. Analysis &amp; Design\Design\FC22\DRR Jaime\Neiva CPI\[VAO_DINA TERCIARIOS_CF_SEC_20230117.xlsx]CF PSNP'!</v>
      </c>
      <c r="G1578" s="6" t="s">
        <v>103</v>
      </c>
      <c r="H1578" s="1"/>
      <c r="I1578" s="1"/>
      <c r="J1578" s="1"/>
    </row>
    <row r="1579" spans="1:10" x14ac:dyDescent="0.3">
      <c r="A1579" s="6" t="s">
        <v>22</v>
      </c>
      <c r="B1579" s="6">
        <f t="shared" ref="B1579:B1580" si="359">+B1578+1</f>
        <v>2042</v>
      </c>
      <c r="C1579" s="1" t="s">
        <v>40</v>
      </c>
      <c r="D1579" s="2" t="s">
        <v>131</v>
      </c>
      <c r="E1579" s="9" t="str">
        <f t="shared" si="355"/>
        <v>PSNP'!</v>
      </c>
      <c r="F1579" s="5" t="str">
        <f t="shared" si="356"/>
        <v>C:\Users\jaime.benazar\Quorum Business Solutions\Ecopetrol Prometeo - Documents\Planning Space Implementation\3. Analysis &amp; Design\Design\FC22\DRR Jaime\Neiva CPI\[VAO_DINA TERCIARIOS_CF_SEC_20230117.xlsx]CF PSNP'!</v>
      </c>
      <c r="G1579" s="6" t="s">
        <v>103</v>
      </c>
      <c r="H1579" s="1"/>
      <c r="I1579" s="1"/>
      <c r="J1579" s="1"/>
    </row>
    <row r="1580" spans="1:10" x14ac:dyDescent="0.3">
      <c r="A1580" s="6" t="s">
        <v>22</v>
      </c>
      <c r="B1580" s="6">
        <f t="shared" si="359"/>
        <v>2043</v>
      </c>
      <c r="C1580" s="1" t="s">
        <v>40</v>
      </c>
      <c r="D1580" s="2" t="s">
        <v>131</v>
      </c>
      <c r="E1580" s="9" t="str">
        <f t="shared" si="355"/>
        <v>PSNP'!</v>
      </c>
      <c r="F1580" s="5" t="str">
        <f t="shared" si="356"/>
        <v>C:\Users\jaime.benazar\Quorum Business Solutions\Ecopetrol Prometeo - Documents\Planning Space Implementation\3. Analysis &amp; Design\Design\FC22\DRR Jaime\Neiva CPI\[VAO_DINA TERCIARIOS_CF_SEC_20230117.xlsx]CF PSNP'!</v>
      </c>
      <c r="G1580" s="6" t="s">
        <v>103</v>
      </c>
      <c r="H1580" s="1"/>
      <c r="I1580" s="1"/>
      <c r="J1580" s="1"/>
    </row>
    <row r="1581" spans="1:10" x14ac:dyDescent="0.3">
      <c r="A1581" s="6" t="s">
        <v>22</v>
      </c>
      <c r="B1581" s="6">
        <f>+B1580+1</f>
        <v>2044</v>
      </c>
      <c r="C1581" s="1" t="s">
        <v>40</v>
      </c>
      <c r="D1581" s="2" t="s">
        <v>131</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Jaime\Neiva CPI\[VAO_DINA TERCIARIOS_CF_SEC_20230117.xlsx]CF PSNP'!</v>
      </c>
      <c r="G1581" s="6" t="s">
        <v>103</v>
      </c>
      <c r="H1581" s="1"/>
      <c r="I1581" s="1"/>
      <c r="J1581" s="1"/>
    </row>
    <row r="1582" spans="1:10" x14ac:dyDescent="0.3">
      <c r="A1582" s="6" t="s">
        <v>22</v>
      </c>
      <c r="B1582" s="6">
        <f t="shared" ref="B1582:B1596" si="362">+B1581+1</f>
        <v>2045</v>
      </c>
      <c r="C1582" s="1" t="s">
        <v>40</v>
      </c>
      <c r="D1582" s="2" t="s">
        <v>131</v>
      </c>
      <c r="E1582" s="9" t="str">
        <f t="shared" si="360"/>
        <v>PSNP'!</v>
      </c>
      <c r="F1582" s="5" t="str">
        <f t="shared" si="361"/>
        <v>C:\Users\jaime.benazar\Quorum Business Solutions\Ecopetrol Prometeo - Documents\Planning Space Implementation\3. Analysis &amp; Design\Design\FC22\DRR Jaime\Neiva CPI\[VAO_DINA TERCIARIOS_CF_SEC_20230117.xlsx]CF PSNP'!</v>
      </c>
      <c r="G1582" s="6" t="s">
        <v>103</v>
      </c>
      <c r="H1582" s="1"/>
      <c r="I1582" s="1"/>
      <c r="J1582" s="1"/>
    </row>
    <row r="1583" spans="1:10" x14ac:dyDescent="0.3">
      <c r="A1583" s="6" t="s">
        <v>22</v>
      </c>
      <c r="B1583" s="6">
        <f t="shared" si="362"/>
        <v>2046</v>
      </c>
      <c r="C1583" s="1" t="s">
        <v>40</v>
      </c>
      <c r="D1583" s="2" t="s">
        <v>131</v>
      </c>
      <c r="E1583" s="9" t="str">
        <f t="shared" si="360"/>
        <v>PSNP'!</v>
      </c>
      <c r="F1583" s="5" t="str">
        <f t="shared" si="361"/>
        <v>C:\Users\jaime.benazar\Quorum Business Solutions\Ecopetrol Prometeo - Documents\Planning Space Implementation\3. Analysis &amp; Design\Design\FC22\DRR Jaime\Neiva CPI\[VAO_DINA TERCIARIOS_CF_SEC_20230117.xlsx]CF PSNP'!</v>
      </c>
      <c r="G1583" s="6" t="s">
        <v>103</v>
      </c>
      <c r="H1583" s="1"/>
      <c r="I1583" s="1"/>
      <c r="J1583" s="1"/>
    </row>
    <row r="1584" spans="1:10" x14ac:dyDescent="0.3">
      <c r="A1584" s="6" t="s">
        <v>22</v>
      </c>
      <c r="B1584" s="6">
        <f t="shared" si="362"/>
        <v>2047</v>
      </c>
      <c r="C1584" s="1" t="s">
        <v>40</v>
      </c>
      <c r="D1584" s="2" t="s">
        <v>131</v>
      </c>
      <c r="E1584" s="9" t="str">
        <f t="shared" si="360"/>
        <v>PSNP'!</v>
      </c>
      <c r="F1584" s="5" t="str">
        <f t="shared" si="361"/>
        <v>C:\Users\jaime.benazar\Quorum Business Solutions\Ecopetrol Prometeo - Documents\Planning Space Implementation\3. Analysis &amp; Design\Design\FC22\DRR Jaime\Neiva CPI\[VAO_DINA TERCIARIOS_CF_SEC_20230117.xlsx]CF PSNP'!</v>
      </c>
      <c r="G1584" s="6" t="s">
        <v>103</v>
      </c>
      <c r="H1584" s="1"/>
      <c r="I1584" s="1"/>
      <c r="J1584" s="1"/>
    </row>
    <row r="1585" spans="1:10" x14ac:dyDescent="0.3">
      <c r="A1585" s="6" t="s">
        <v>22</v>
      </c>
      <c r="B1585" s="6">
        <f t="shared" si="362"/>
        <v>2048</v>
      </c>
      <c r="C1585" s="1" t="s">
        <v>40</v>
      </c>
      <c r="D1585" s="2" t="s">
        <v>131</v>
      </c>
      <c r="E1585" s="9" t="str">
        <f t="shared" si="360"/>
        <v>PSNP'!</v>
      </c>
      <c r="F1585" s="5" t="str">
        <f t="shared" si="361"/>
        <v>C:\Users\jaime.benazar\Quorum Business Solutions\Ecopetrol Prometeo - Documents\Planning Space Implementation\3. Analysis &amp; Design\Design\FC22\DRR Jaime\Neiva CPI\[VAO_DINA TERCIARIOS_CF_SEC_20230117.xlsx]CF PSNP'!</v>
      </c>
      <c r="G1585" s="6" t="s">
        <v>103</v>
      </c>
      <c r="H1585" s="1"/>
      <c r="I1585" s="1"/>
      <c r="J1585" s="1"/>
    </row>
    <row r="1586" spans="1:10" x14ac:dyDescent="0.3">
      <c r="A1586" s="6" t="s">
        <v>22</v>
      </c>
      <c r="B1586" s="6">
        <f t="shared" si="362"/>
        <v>2049</v>
      </c>
      <c r="C1586" s="1" t="s">
        <v>40</v>
      </c>
      <c r="D1586" s="2" t="s">
        <v>131</v>
      </c>
      <c r="E1586" s="9" t="str">
        <f t="shared" si="360"/>
        <v>PSNP'!</v>
      </c>
      <c r="F1586" s="5" t="str">
        <f t="shared" si="361"/>
        <v>C:\Users\jaime.benazar\Quorum Business Solutions\Ecopetrol Prometeo - Documents\Planning Space Implementation\3. Analysis &amp; Design\Design\FC22\DRR Jaime\Neiva CPI\[VAO_DINA TERCIARIOS_CF_SEC_20230117.xlsx]CF PSNP'!</v>
      </c>
      <c r="G1586" s="6" t="s">
        <v>103</v>
      </c>
      <c r="H1586" s="1"/>
      <c r="I1586" s="1"/>
      <c r="J1586" s="1"/>
    </row>
    <row r="1587" spans="1:10" x14ac:dyDescent="0.3">
      <c r="A1587" s="6" t="s">
        <v>22</v>
      </c>
      <c r="B1587" s="6">
        <f t="shared" si="362"/>
        <v>2050</v>
      </c>
      <c r="C1587" s="1" t="s">
        <v>40</v>
      </c>
      <c r="D1587" s="2" t="s">
        <v>131</v>
      </c>
      <c r="E1587" s="9" t="str">
        <f t="shared" si="360"/>
        <v>PSNP'!</v>
      </c>
      <c r="F1587" s="5" t="str">
        <f t="shared" si="361"/>
        <v>C:\Users\jaime.benazar\Quorum Business Solutions\Ecopetrol Prometeo - Documents\Planning Space Implementation\3. Analysis &amp; Design\Design\FC22\DRR Jaime\Neiva CPI\[VAO_DINA TERCIARIOS_CF_SEC_20230117.xlsx]CF PSNP'!</v>
      </c>
      <c r="G1587" s="6" t="s">
        <v>103</v>
      </c>
      <c r="H1587" s="1"/>
      <c r="I1587" s="1"/>
      <c r="J1587" s="1"/>
    </row>
    <row r="1588" spans="1:10" x14ac:dyDescent="0.3">
      <c r="A1588" s="6" t="s">
        <v>22</v>
      </c>
      <c r="B1588" s="6">
        <f t="shared" si="362"/>
        <v>2051</v>
      </c>
      <c r="C1588" s="1" t="s">
        <v>40</v>
      </c>
      <c r="D1588" s="2" t="s">
        <v>131</v>
      </c>
      <c r="E1588" s="9" t="str">
        <f t="shared" si="360"/>
        <v>PSNP'!</v>
      </c>
      <c r="F1588" s="5" t="str">
        <f t="shared" si="361"/>
        <v>C:\Users\jaime.benazar\Quorum Business Solutions\Ecopetrol Prometeo - Documents\Planning Space Implementation\3. Analysis &amp; Design\Design\FC22\DRR Jaime\Neiva CPI\[VAO_DINA TERCIARIOS_CF_SEC_20230117.xlsx]CF PSNP'!</v>
      </c>
      <c r="G1588" s="6" t="s">
        <v>103</v>
      </c>
      <c r="H1588" s="1"/>
      <c r="I1588" s="1"/>
      <c r="J1588" s="1"/>
    </row>
    <row r="1589" spans="1:10" x14ac:dyDescent="0.3">
      <c r="A1589" s="6" t="s">
        <v>22</v>
      </c>
      <c r="B1589" s="6">
        <f t="shared" si="362"/>
        <v>2052</v>
      </c>
      <c r="C1589" s="1" t="s">
        <v>40</v>
      </c>
      <c r="D1589" s="2" t="s">
        <v>131</v>
      </c>
      <c r="E1589" s="9" t="str">
        <f t="shared" si="360"/>
        <v>PSNP'!</v>
      </c>
      <c r="F1589" s="5" t="str">
        <f t="shared" si="361"/>
        <v>C:\Users\jaime.benazar\Quorum Business Solutions\Ecopetrol Prometeo - Documents\Planning Space Implementation\3. Analysis &amp; Design\Design\FC22\DRR Jaime\Neiva CPI\[VAO_DINA TERCIARIOS_CF_SEC_20230117.xlsx]CF PSNP'!</v>
      </c>
      <c r="G1589" s="6" t="s">
        <v>103</v>
      </c>
      <c r="H1589" s="1"/>
      <c r="I1589" s="1"/>
      <c r="J1589" s="1"/>
    </row>
    <row r="1590" spans="1:10" x14ac:dyDescent="0.3">
      <c r="A1590" s="6" t="s">
        <v>22</v>
      </c>
      <c r="B1590" s="6">
        <f t="shared" si="362"/>
        <v>2053</v>
      </c>
      <c r="C1590" s="1" t="s">
        <v>40</v>
      </c>
      <c r="D1590" s="2" t="s">
        <v>131</v>
      </c>
      <c r="E1590" s="9" t="str">
        <f t="shared" si="360"/>
        <v>PSNP'!</v>
      </c>
      <c r="F1590" s="5" t="str">
        <f t="shared" si="361"/>
        <v>C:\Users\jaime.benazar\Quorum Business Solutions\Ecopetrol Prometeo - Documents\Planning Space Implementation\3. Analysis &amp; Design\Design\FC22\DRR Jaime\Neiva CPI\[VAO_DINA TERCIARIOS_CF_SEC_20230117.xlsx]CF PSNP'!</v>
      </c>
      <c r="G1590" s="6" t="s">
        <v>103</v>
      </c>
      <c r="H1590" s="1"/>
      <c r="I1590" s="1"/>
      <c r="J1590" s="1"/>
    </row>
    <row r="1591" spans="1:10" x14ac:dyDescent="0.3">
      <c r="A1591" s="6" t="s">
        <v>22</v>
      </c>
      <c r="B1591" s="6">
        <f t="shared" si="362"/>
        <v>2054</v>
      </c>
      <c r="C1591" s="1" t="s">
        <v>40</v>
      </c>
      <c r="D1591" s="2" t="s">
        <v>131</v>
      </c>
      <c r="E1591" s="9" t="str">
        <f t="shared" si="360"/>
        <v>PSNP'!</v>
      </c>
      <c r="F1591" s="5" t="str">
        <f t="shared" si="361"/>
        <v>C:\Users\jaime.benazar\Quorum Business Solutions\Ecopetrol Prometeo - Documents\Planning Space Implementation\3. Analysis &amp; Design\Design\FC22\DRR Jaime\Neiva CPI\[VAO_DINA TERCIARIOS_CF_SEC_20230117.xlsx]CF PSNP'!</v>
      </c>
      <c r="G1591" s="6" t="s">
        <v>103</v>
      </c>
      <c r="H1591" s="1"/>
      <c r="I1591" s="1"/>
      <c r="J1591" s="1"/>
    </row>
    <row r="1592" spans="1:10" x14ac:dyDescent="0.3">
      <c r="A1592" s="6" t="s">
        <v>22</v>
      </c>
      <c r="B1592" s="6">
        <f t="shared" si="362"/>
        <v>2055</v>
      </c>
      <c r="C1592" s="1" t="s">
        <v>40</v>
      </c>
      <c r="D1592" s="2" t="s">
        <v>131</v>
      </c>
      <c r="E1592" s="9" t="str">
        <f t="shared" si="360"/>
        <v>PSNP'!</v>
      </c>
      <c r="F1592" s="5" t="str">
        <f t="shared" si="361"/>
        <v>C:\Users\jaime.benazar\Quorum Business Solutions\Ecopetrol Prometeo - Documents\Planning Space Implementation\3. Analysis &amp; Design\Design\FC22\DRR Jaime\Neiva CPI\[VAO_DINA TERCIARIOS_CF_SEC_20230117.xlsx]CF PSNP'!</v>
      </c>
      <c r="G1592" s="6" t="s">
        <v>103</v>
      </c>
      <c r="H1592" s="1"/>
      <c r="I1592" s="1"/>
      <c r="J1592" s="1"/>
    </row>
    <row r="1593" spans="1:10" x14ac:dyDescent="0.3">
      <c r="A1593" s="6" t="s">
        <v>22</v>
      </c>
      <c r="B1593" s="6">
        <f t="shared" si="362"/>
        <v>2056</v>
      </c>
      <c r="C1593" s="1" t="s">
        <v>40</v>
      </c>
      <c r="D1593" s="2" t="s">
        <v>131</v>
      </c>
      <c r="E1593" s="9" t="str">
        <f t="shared" si="360"/>
        <v>PSNP'!</v>
      </c>
      <c r="F1593" s="5" t="str">
        <f t="shared" si="361"/>
        <v>C:\Users\jaime.benazar\Quorum Business Solutions\Ecopetrol Prometeo - Documents\Planning Space Implementation\3. Analysis &amp; Design\Design\FC22\DRR Jaime\Neiva CPI\[VAO_DINA TERCIARIOS_CF_SEC_20230117.xlsx]CF PSNP'!</v>
      </c>
      <c r="G1593" s="6" t="s">
        <v>103</v>
      </c>
      <c r="H1593" s="1"/>
      <c r="I1593" s="1"/>
      <c r="J1593" s="1"/>
    </row>
    <row r="1594" spans="1:10" x14ac:dyDescent="0.3">
      <c r="A1594" s="6" t="s">
        <v>22</v>
      </c>
      <c r="B1594" s="6">
        <f t="shared" si="362"/>
        <v>2057</v>
      </c>
      <c r="C1594" s="1" t="s">
        <v>40</v>
      </c>
      <c r="D1594" s="2" t="s">
        <v>131</v>
      </c>
      <c r="E1594" s="9" t="str">
        <f t="shared" si="360"/>
        <v>PSNP'!</v>
      </c>
      <c r="F1594" s="5" t="str">
        <f t="shared" si="361"/>
        <v>C:\Users\jaime.benazar\Quorum Business Solutions\Ecopetrol Prometeo - Documents\Planning Space Implementation\3. Analysis &amp; Design\Design\FC22\DRR Jaime\Neiva CPI\[VAO_DINA TERCIARIOS_CF_SEC_20230117.xlsx]CF PSNP'!</v>
      </c>
      <c r="G1594" s="6" t="s">
        <v>103</v>
      </c>
      <c r="H1594" s="1"/>
      <c r="I1594" s="1"/>
      <c r="J1594" s="1"/>
    </row>
    <row r="1595" spans="1:10" x14ac:dyDescent="0.3">
      <c r="A1595" s="6" t="s">
        <v>22</v>
      </c>
      <c r="B1595" s="6">
        <f t="shared" si="362"/>
        <v>2058</v>
      </c>
      <c r="C1595" s="1" t="s">
        <v>40</v>
      </c>
      <c r="D1595" s="2" t="s">
        <v>131</v>
      </c>
      <c r="E1595" s="9" t="str">
        <f t="shared" si="360"/>
        <v>PSNP'!</v>
      </c>
      <c r="F1595" s="5" t="str">
        <f t="shared" si="361"/>
        <v>C:\Users\jaime.benazar\Quorum Business Solutions\Ecopetrol Prometeo - Documents\Planning Space Implementation\3. Analysis &amp; Design\Design\FC22\DRR Jaime\Neiva CPI\[VAO_DINA TERCIARIOS_CF_SEC_20230117.xlsx]CF PSNP'!</v>
      </c>
      <c r="G1595" s="6" t="s">
        <v>103</v>
      </c>
      <c r="H1595" s="1"/>
      <c r="I1595" s="1"/>
      <c r="J1595" s="1"/>
    </row>
    <row r="1596" spans="1:10" x14ac:dyDescent="0.3">
      <c r="A1596" s="6" t="s">
        <v>22</v>
      </c>
      <c r="B1596" s="6">
        <f t="shared" si="362"/>
        <v>2059</v>
      </c>
      <c r="C1596" s="1" t="s">
        <v>40</v>
      </c>
      <c r="D1596" s="2" t="s">
        <v>131</v>
      </c>
      <c r="E1596" s="9" t="str">
        <f t="shared" si="360"/>
        <v>PSNP'!</v>
      </c>
      <c r="F1596" s="5" t="str">
        <f t="shared" si="361"/>
        <v>C:\Users\jaime.benazar\Quorum Business Solutions\Ecopetrol Prometeo - Documents\Planning Space Implementation\3. Analysis &amp; Design\Design\FC22\DRR Jaime\Neiva CPI\[VAO_DINA TERCIARIOS_CF_SEC_20230117.xlsx]CF PSNP'!</v>
      </c>
      <c r="G1596" s="6" t="s">
        <v>103</v>
      </c>
      <c r="H1596" s="1"/>
      <c r="I1596" s="1"/>
      <c r="J1596" s="1"/>
    </row>
    <row r="1597" spans="1:10" x14ac:dyDescent="0.3">
      <c r="A1597" s="6" t="s">
        <v>26</v>
      </c>
      <c r="B1597" s="6"/>
      <c r="C1597" s="1" t="s">
        <v>40</v>
      </c>
      <c r="D1597" s="2"/>
      <c r="E1597" s="9"/>
      <c r="F1597" s="2"/>
      <c r="G1597" s="6"/>
      <c r="H1597" s="1"/>
      <c r="I1597" s="1"/>
      <c r="J1597" s="1"/>
    </row>
    <row r="1598" spans="1:10" x14ac:dyDescent="0.3">
      <c r="A1598" s="6" t="s">
        <v>23</v>
      </c>
      <c r="B1598" s="6">
        <v>2023</v>
      </c>
      <c r="C1598" s="1" t="s">
        <v>40</v>
      </c>
      <c r="D1598" s="2" t="s">
        <v>131</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Jaime\Neiva CPI\[VAO_DINA TERCIARIOS_CF_SEC_20230117.xlsx]CF PSND'!</v>
      </c>
      <c r="G1598" s="6" t="s">
        <v>103</v>
      </c>
      <c r="H1598" s="1"/>
      <c r="I1598" s="1"/>
      <c r="J1598" s="1"/>
    </row>
    <row r="1599" spans="1:10" x14ac:dyDescent="0.3">
      <c r="A1599" s="6" t="s">
        <v>23</v>
      </c>
      <c r="B1599" s="6">
        <f>+B1598+1</f>
        <v>2024</v>
      </c>
      <c r="C1599" s="1" t="s">
        <v>40</v>
      </c>
      <c r="D1599" s="2" t="s">
        <v>131</v>
      </c>
      <c r="E1599" s="9" t="str">
        <f t="shared" si="363"/>
        <v>PSND'!</v>
      </c>
      <c r="F1599" s="5" t="str">
        <f t="shared" si="364"/>
        <v>C:\Users\jaime.benazar\Quorum Business Solutions\Ecopetrol Prometeo - Documents\Planning Space Implementation\3. Analysis &amp; Design\Design\FC22\DRR Jaime\Neiva CPI\[VAO_DINA TERCIARIOS_CF_SEC_20230117.xlsx]CF PSND'!</v>
      </c>
      <c r="G1599" s="6" t="s">
        <v>103</v>
      </c>
      <c r="H1599" s="1"/>
      <c r="I1599" s="1"/>
      <c r="J1599" s="1"/>
    </row>
    <row r="1600" spans="1:10" x14ac:dyDescent="0.3">
      <c r="A1600" s="6" t="s">
        <v>23</v>
      </c>
      <c r="B1600" s="6">
        <f t="shared" ref="B1600:B1611" si="365">+B1599+1</f>
        <v>2025</v>
      </c>
      <c r="C1600" s="1" t="s">
        <v>40</v>
      </c>
      <c r="D1600" s="2" t="s">
        <v>131</v>
      </c>
      <c r="E1600" s="9" t="str">
        <f t="shared" si="363"/>
        <v>PSND'!</v>
      </c>
      <c r="F1600" s="5" t="str">
        <f t="shared" si="364"/>
        <v>C:\Users\jaime.benazar\Quorum Business Solutions\Ecopetrol Prometeo - Documents\Planning Space Implementation\3. Analysis &amp; Design\Design\FC22\DRR Jaime\Neiva CPI\[VAO_DINA TERCIARIOS_CF_SEC_20230117.xlsx]CF PSND'!</v>
      </c>
      <c r="G1600" s="6" t="s">
        <v>103</v>
      </c>
      <c r="H1600" s="1"/>
      <c r="I1600" s="1"/>
      <c r="J1600" s="1"/>
    </row>
    <row r="1601" spans="1:10" x14ac:dyDescent="0.3">
      <c r="A1601" s="6" t="s">
        <v>23</v>
      </c>
      <c r="B1601" s="6">
        <f t="shared" si="365"/>
        <v>2026</v>
      </c>
      <c r="C1601" s="1" t="s">
        <v>40</v>
      </c>
      <c r="D1601" s="2" t="s">
        <v>131</v>
      </c>
      <c r="E1601" s="9" t="str">
        <f t="shared" si="363"/>
        <v>PSND'!</v>
      </c>
      <c r="F1601" s="5" t="str">
        <f t="shared" si="364"/>
        <v>C:\Users\jaime.benazar\Quorum Business Solutions\Ecopetrol Prometeo - Documents\Planning Space Implementation\3. Analysis &amp; Design\Design\FC22\DRR Jaime\Neiva CPI\[VAO_DINA TERCIARIOS_CF_SEC_20230117.xlsx]CF PSND'!</v>
      </c>
      <c r="G1601" s="6" t="s">
        <v>103</v>
      </c>
      <c r="H1601" s="1"/>
      <c r="I1601" s="1"/>
      <c r="J1601" s="1"/>
    </row>
    <row r="1602" spans="1:10" x14ac:dyDescent="0.3">
      <c r="A1602" s="6" t="s">
        <v>23</v>
      </c>
      <c r="B1602" s="6">
        <f t="shared" si="365"/>
        <v>2027</v>
      </c>
      <c r="C1602" s="1" t="s">
        <v>40</v>
      </c>
      <c r="D1602" s="2" t="s">
        <v>131</v>
      </c>
      <c r="E1602" s="9" t="str">
        <f t="shared" si="363"/>
        <v>PSND'!</v>
      </c>
      <c r="F1602" s="5" t="str">
        <f t="shared" si="364"/>
        <v>C:\Users\jaime.benazar\Quorum Business Solutions\Ecopetrol Prometeo - Documents\Planning Space Implementation\3. Analysis &amp; Design\Design\FC22\DRR Jaime\Neiva CPI\[VAO_DINA TERCIARIOS_CF_SEC_20230117.xlsx]CF PSND'!</v>
      </c>
      <c r="G1602" s="6" t="s">
        <v>103</v>
      </c>
      <c r="H1602" s="1"/>
      <c r="I1602" s="1"/>
      <c r="J1602" s="1"/>
    </row>
    <row r="1603" spans="1:10" x14ac:dyDescent="0.3">
      <c r="A1603" s="6" t="s">
        <v>23</v>
      </c>
      <c r="B1603" s="6">
        <f t="shared" si="365"/>
        <v>2028</v>
      </c>
      <c r="C1603" s="1" t="s">
        <v>40</v>
      </c>
      <c r="D1603" s="2" t="s">
        <v>131</v>
      </c>
      <c r="E1603" s="9" t="str">
        <f t="shared" si="363"/>
        <v>PSND'!</v>
      </c>
      <c r="F1603" s="5" t="str">
        <f t="shared" si="364"/>
        <v>C:\Users\jaime.benazar\Quorum Business Solutions\Ecopetrol Prometeo - Documents\Planning Space Implementation\3. Analysis &amp; Design\Design\FC22\DRR Jaime\Neiva CPI\[VAO_DINA TERCIARIOS_CF_SEC_20230117.xlsx]CF PSND'!</v>
      </c>
      <c r="G1603" s="6" t="s">
        <v>103</v>
      </c>
      <c r="H1603" s="1"/>
      <c r="I1603" s="1"/>
      <c r="J1603" s="1"/>
    </row>
    <row r="1604" spans="1:10" x14ac:dyDescent="0.3">
      <c r="A1604" s="6" t="s">
        <v>23</v>
      </c>
      <c r="B1604" s="6">
        <f t="shared" si="365"/>
        <v>2029</v>
      </c>
      <c r="C1604" s="1" t="s">
        <v>40</v>
      </c>
      <c r="D1604" s="2" t="s">
        <v>131</v>
      </c>
      <c r="E1604" s="9" t="str">
        <f t="shared" si="363"/>
        <v>PSND'!</v>
      </c>
      <c r="F1604" s="5" t="str">
        <f t="shared" si="364"/>
        <v>C:\Users\jaime.benazar\Quorum Business Solutions\Ecopetrol Prometeo - Documents\Planning Space Implementation\3. Analysis &amp; Design\Design\FC22\DRR Jaime\Neiva CPI\[VAO_DINA TERCIARIOS_CF_SEC_20230117.xlsx]CF PSND'!</v>
      </c>
      <c r="G1604" s="6" t="s">
        <v>103</v>
      </c>
      <c r="H1604" s="1"/>
      <c r="I1604" s="1"/>
      <c r="J1604" s="1"/>
    </row>
    <row r="1605" spans="1:10" x14ac:dyDescent="0.3">
      <c r="A1605" s="6" t="s">
        <v>23</v>
      </c>
      <c r="B1605" s="6">
        <f t="shared" si="365"/>
        <v>2030</v>
      </c>
      <c r="C1605" s="1" t="s">
        <v>40</v>
      </c>
      <c r="D1605" s="2" t="s">
        <v>131</v>
      </c>
      <c r="E1605" s="9" t="str">
        <f t="shared" si="363"/>
        <v>PSND'!</v>
      </c>
      <c r="F1605" s="5" t="str">
        <f t="shared" si="364"/>
        <v>C:\Users\jaime.benazar\Quorum Business Solutions\Ecopetrol Prometeo - Documents\Planning Space Implementation\3. Analysis &amp; Design\Design\FC22\DRR Jaime\Neiva CPI\[VAO_DINA TERCIARIOS_CF_SEC_20230117.xlsx]CF PSND'!</v>
      </c>
      <c r="G1605" s="6" t="s">
        <v>103</v>
      </c>
      <c r="H1605" s="1"/>
      <c r="I1605" s="1"/>
      <c r="J1605" s="1"/>
    </row>
    <row r="1606" spans="1:10" x14ac:dyDescent="0.3">
      <c r="A1606" s="6" t="s">
        <v>23</v>
      </c>
      <c r="B1606" s="6">
        <f t="shared" si="365"/>
        <v>2031</v>
      </c>
      <c r="C1606" s="1" t="s">
        <v>40</v>
      </c>
      <c r="D1606" s="2" t="s">
        <v>131</v>
      </c>
      <c r="E1606" s="9" t="str">
        <f t="shared" si="363"/>
        <v>PSND'!</v>
      </c>
      <c r="F1606" s="5" t="str">
        <f t="shared" si="364"/>
        <v>C:\Users\jaime.benazar\Quorum Business Solutions\Ecopetrol Prometeo - Documents\Planning Space Implementation\3. Analysis &amp; Design\Design\FC22\DRR Jaime\Neiva CPI\[VAO_DINA TERCIARIOS_CF_SEC_20230117.xlsx]CF PSND'!</v>
      </c>
      <c r="G1606" s="6" t="s">
        <v>103</v>
      </c>
      <c r="H1606" s="1"/>
      <c r="I1606" s="1"/>
      <c r="J1606" s="1"/>
    </row>
    <row r="1607" spans="1:10" x14ac:dyDescent="0.3">
      <c r="A1607" s="6" t="s">
        <v>23</v>
      </c>
      <c r="B1607" s="6">
        <f t="shared" si="365"/>
        <v>2032</v>
      </c>
      <c r="C1607" s="1" t="s">
        <v>40</v>
      </c>
      <c r="D1607" s="2" t="s">
        <v>131</v>
      </c>
      <c r="E1607" s="9" t="str">
        <f t="shared" si="363"/>
        <v>PSND'!</v>
      </c>
      <c r="F1607" s="5" t="str">
        <f t="shared" si="364"/>
        <v>C:\Users\jaime.benazar\Quorum Business Solutions\Ecopetrol Prometeo - Documents\Planning Space Implementation\3. Analysis &amp; Design\Design\FC22\DRR Jaime\Neiva CPI\[VAO_DINA TERCIARIOS_CF_SEC_20230117.xlsx]CF PSND'!</v>
      </c>
      <c r="G1607" s="6" t="s">
        <v>103</v>
      </c>
      <c r="H1607" s="1"/>
      <c r="I1607" s="1"/>
      <c r="J1607" s="1"/>
    </row>
    <row r="1608" spans="1:10" x14ac:dyDescent="0.3">
      <c r="A1608" s="6" t="s">
        <v>23</v>
      </c>
      <c r="B1608" s="6">
        <f t="shared" si="365"/>
        <v>2033</v>
      </c>
      <c r="C1608" s="1" t="s">
        <v>40</v>
      </c>
      <c r="D1608" s="2" t="s">
        <v>131</v>
      </c>
      <c r="E1608" s="9" t="str">
        <f t="shared" si="363"/>
        <v>PSND'!</v>
      </c>
      <c r="F1608" s="5" t="str">
        <f t="shared" si="364"/>
        <v>C:\Users\jaime.benazar\Quorum Business Solutions\Ecopetrol Prometeo - Documents\Planning Space Implementation\3. Analysis &amp; Design\Design\FC22\DRR Jaime\Neiva CPI\[VAO_DINA TERCIARIOS_CF_SEC_20230117.xlsx]CF PSND'!</v>
      </c>
      <c r="G1608" s="6" t="s">
        <v>103</v>
      </c>
      <c r="H1608" s="1"/>
      <c r="I1608" s="1"/>
      <c r="J1608" s="1"/>
    </row>
    <row r="1609" spans="1:10" x14ac:dyDescent="0.3">
      <c r="A1609" s="6" t="s">
        <v>23</v>
      </c>
      <c r="B1609" s="6">
        <f t="shared" si="365"/>
        <v>2034</v>
      </c>
      <c r="C1609" s="1" t="s">
        <v>40</v>
      </c>
      <c r="D1609" s="2" t="s">
        <v>131</v>
      </c>
      <c r="E1609" s="9" t="str">
        <f t="shared" si="363"/>
        <v>PSND'!</v>
      </c>
      <c r="F1609" s="5" t="str">
        <f t="shared" si="364"/>
        <v>C:\Users\jaime.benazar\Quorum Business Solutions\Ecopetrol Prometeo - Documents\Planning Space Implementation\3. Analysis &amp; Design\Design\FC22\DRR Jaime\Neiva CPI\[VAO_DINA TERCIARIOS_CF_SEC_20230117.xlsx]CF PSND'!</v>
      </c>
      <c r="G1609" s="6" t="s">
        <v>103</v>
      </c>
      <c r="H1609" s="1"/>
      <c r="I1609" s="1"/>
      <c r="J1609" s="1"/>
    </row>
    <row r="1610" spans="1:10" x14ac:dyDescent="0.3">
      <c r="A1610" s="6" t="s">
        <v>23</v>
      </c>
      <c r="B1610" s="6">
        <f t="shared" si="365"/>
        <v>2035</v>
      </c>
      <c r="C1610" s="1" t="s">
        <v>40</v>
      </c>
      <c r="D1610" s="2" t="s">
        <v>131</v>
      </c>
      <c r="E1610" s="9" t="str">
        <f t="shared" si="363"/>
        <v>PSND'!</v>
      </c>
      <c r="F1610" s="5" t="str">
        <f t="shared" si="364"/>
        <v>C:\Users\jaime.benazar\Quorum Business Solutions\Ecopetrol Prometeo - Documents\Planning Space Implementation\3. Analysis &amp; Design\Design\FC22\DRR Jaime\Neiva CPI\[VAO_DINA TERCIARIOS_CF_SEC_20230117.xlsx]CF PSND'!</v>
      </c>
      <c r="G1610" s="6" t="s">
        <v>103</v>
      </c>
      <c r="H1610" s="1"/>
      <c r="I1610" s="1"/>
      <c r="J1610" s="1"/>
    </row>
    <row r="1611" spans="1:10" x14ac:dyDescent="0.3">
      <c r="A1611" s="6" t="s">
        <v>23</v>
      </c>
      <c r="B1611" s="6">
        <f t="shared" si="365"/>
        <v>2036</v>
      </c>
      <c r="C1611" s="1" t="s">
        <v>40</v>
      </c>
      <c r="D1611" s="2" t="s">
        <v>131</v>
      </c>
      <c r="E1611" s="9" t="str">
        <f t="shared" si="363"/>
        <v>PSND'!</v>
      </c>
      <c r="F1611" s="5" t="str">
        <f t="shared" si="364"/>
        <v>C:\Users\jaime.benazar\Quorum Business Solutions\Ecopetrol Prometeo - Documents\Planning Space Implementation\3. Analysis &amp; Design\Design\FC22\DRR Jaime\Neiva CPI\[VAO_DINA TERCIARIOS_CF_SEC_20230117.xlsx]CF PSND'!</v>
      </c>
      <c r="G1611" s="6" t="s">
        <v>103</v>
      </c>
      <c r="H1611" s="1"/>
      <c r="I1611" s="1"/>
      <c r="J1611" s="1"/>
    </row>
    <row r="1612" spans="1:10" x14ac:dyDescent="0.3">
      <c r="A1612" s="6" t="s">
        <v>23</v>
      </c>
      <c r="B1612" s="6">
        <f>+B1611+1</f>
        <v>2037</v>
      </c>
      <c r="C1612" s="1" t="s">
        <v>40</v>
      </c>
      <c r="D1612" s="2" t="s">
        <v>131</v>
      </c>
      <c r="E1612" s="9" t="str">
        <f t="shared" si="363"/>
        <v>PSND'!</v>
      </c>
      <c r="F1612" s="5" t="str">
        <f t="shared" si="364"/>
        <v>C:\Users\jaime.benazar\Quorum Business Solutions\Ecopetrol Prometeo - Documents\Planning Space Implementation\3. Analysis &amp; Design\Design\FC22\DRR Jaime\Neiva CPI\[VAO_DINA TERCIARIOS_CF_SEC_20230117.xlsx]CF PSND'!</v>
      </c>
      <c r="G1612" s="6" t="s">
        <v>103</v>
      </c>
      <c r="H1612" s="1"/>
      <c r="I1612" s="1"/>
      <c r="J1612" s="1"/>
    </row>
    <row r="1613" spans="1:10" x14ac:dyDescent="0.3">
      <c r="A1613" s="6" t="s">
        <v>23</v>
      </c>
      <c r="B1613" s="6">
        <f t="shared" ref="B1613:B1615" si="366">+B1612+1</f>
        <v>2038</v>
      </c>
      <c r="C1613" s="1" t="s">
        <v>40</v>
      </c>
      <c r="D1613" s="2" t="s">
        <v>131</v>
      </c>
      <c r="E1613" s="9" t="str">
        <f t="shared" si="363"/>
        <v>PSND'!</v>
      </c>
      <c r="F1613" s="5" t="str">
        <f t="shared" si="364"/>
        <v>C:\Users\jaime.benazar\Quorum Business Solutions\Ecopetrol Prometeo - Documents\Planning Space Implementation\3. Analysis &amp; Design\Design\FC22\DRR Jaime\Neiva CPI\[VAO_DINA TERCIARIOS_CF_SEC_20230117.xlsx]CF PSND'!</v>
      </c>
      <c r="G1613" s="6" t="s">
        <v>103</v>
      </c>
      <c r="H1613" s="1"/>
      <c r="I1613" s="1"/>
      <c r="J1613" s="1"/>
    </row>
    <row r="1614" spans="1:10" x14ac:dyDescent="0.3">
      <c r="A1614" s="6" t="s">
        <v>23</v>
      </c>
      <c r="B1614" s="6">
        <f t="shared" si="366"/>
        <v>2039</v>
      </c>
      <c r="C1614" s="1" t="s">
        <v>40</v>
      </c>
      <c r="D1614" s="2" t="s">
        <v>131</v>
      </c>
      <c r="E1614" s="9" t="str">
        <f t="shared" si="363"/>
        <v>PSND'!</v>
      </c>
      <c r="F1614" s="5" t="str">
        <f t="shared" si="364"/>
        <v>C:\Users\jaime.benazar\Quorum Business Solutions\Ecopetrol Prometeo - Documents\Planning Space Implementation\3. Analysis &amp; Design\Design\FC22\DRR Jaime\Neiva CPI\[VAO_DINA TERCIARIOS_CF_SEC_20230117.xlsx]CF PSND'!</v>
      </c>
      <c r="G1614" s="6" t="s">
        <v>103</v>
      </c>
      <c r="H1614" s="1"/>
      <c r="I1614" s="1"/>
      <c r="J1614" s="1"/>
    </row>
    <row r="1615" spans="1:10" x14ac:dyDescent="0.3">
      <c r="A1615" s="6" t="s">
        <v>23</v>
      </c>
      <c r="B1615" s="6">
        <f t="shared" si="366"/>
        <v>2040</v>
      </c>
      <c r="C1615" s="1" t="s">
        <v>40</v>
      </c>
      <c r="D1615" s="2" t="s">
        <v>131</v>
      </c>
      <c r="E1615" s="9" t="str">
        <f t="shared" si="363"/>
        <v>PSND'!</v>
      </c>
      <c r="F1615" s="5" t="str">
        <f t="shared" si="364"/>
        <v>C:\Users\jaime.benazar\Quorum Business Solutions\Ecopetrol Prometeo - Documents\Planning Space Implementation\3. Analysis &amp; Design\Design\FC22\DRR Jaime\Neiva CPI\[VAO_DINA TERCIARIOS_CF_SEC_20230117.xlsx]CF PSND'!</v>
      </c>
      <c r="G1615" s="6" t="s">
        <v>103</v>
      </c>
      <c r="H1615" s="1"/>
      <c r="I1615" s="1"/>
      <c r="J1615" s="1"/>
    </row>
    <row r="1616" spans="1:10" x14ac:dyDescent="0.3">
      <c r="A1616" s="6" t="s">
        <v>23</v>
      </c>
      <c r="B1616" s="6">
        <f>+B1615+1</f>
        <v>2041</v>
      </c>
      <c r="C1616" s="1" t="s">
        <v>40</v>
      </c>
      <c r="D1616" s="2" t="s">
        <v>131</v>
      </c>
      <c r="E1616" s="9" t="str">
        <f t="shared" si="363"/>
        <v>PSND'!</v>
      </c>
      <c r="F1616" s="5" t="str">
        <f t="shared" si="364"/>
        <v>C:\Users\jaime.benazar\Quorum Business Solutions\Ecopetrol Prometeo - Documents\Planning Space Implementation\3. Analysis &amp; Design\Design\FC22\DRR Jaime\Neiva CPI\[VAO_DINA TERCIARIOS_CF_SEC_20230117.xlsx]CF PSND'!</v>
      </c>
      <c r="G1616" s="6" t="s">
        <v>103</v>
      </c>
      <c r="H1616" s="1"/>
      <c r="I1616" s="1"/>
      <c r="J1616" s="1"/>
    </row>
    <row r="1617" spans="1:10" x14ac:dyDescent="0.3">
      <c r="A1617" s="6" t="s">
        <v>23</v>
      </c>
      <c r="B1617" s="6">
        <f t="shared" ref="B1617:B1618" si="367">+B1616+1</f>
        <v>2042</v>
      </c>
      <c r="C1617" s="1" t="s">
        <v>40</v>
      </c>
      <c r="D1617" s="2" t="s">
        <v>131</v>
      </c>
      <c r="E1617" s="9" t="str">
        <f t="shared" si="363"/>
        <v>PSND'!</v>
      </c>
      <c r="F1617" s="5" t="str">
        <f t="shared" si="364"/>
        <v>C:\Users\jaime.benazar\Quorum Business Solutions\Ecopetrol Prometeo - Documents\Planning Space Implementation\3. Analysis &amp; Design\Design\FC22\DRR Jaime\Neiva CPI\[VAO_DINA TERCIARIOS_CF_SEC_20230117.xlsx]CF PSND'!</v>
      </c>
      <c r="G1617" s="6" t="s">
        <v>103</v>
      </c>
      <c r="H1617" s="1"/>
      <c r="I1617" s="1"/>
      <c r="J1617" s="1"/>
    </row>
    <row r="1618" spans="1:10" x14ac:dyDescent="0.3">
      <c r="A1618" s="6" t="s">
        <v>23</v>
      </c>
      <c r="B1618" s="6">
        <f t="shared" si="367"/>
        <v>2043</v>
      </c>
      <c r="C1618" s="1" t="s">
        <v>40</v>
      </c>
      <c r="D1618" s="2" t="s">
        <v>131</v>
      </c>
      <c r="E1618" s="9" t="str">
        <f t="shared" si="363"/>
        <v>PSND'!</v>
      </c>
      <c r="F1618" s="5" t="str">
        <f t="shared" si="364"/>
        <v>C:\Users\jaime.benazar\Quorum Business Solutions\Ecopetrol Prometeo - Documents\Planning Space Implementation\3. Analysis &amp; Design\Design\FC22\DRR Jaime\Neiva CPI\[VAO_DINA TERCIARIOS_CF_SEC_20230117.xlsx]CF PSND'!</v>
      </c>
      <c r="G1618" s="6" t="s">
        <v>103</v>
      </c>
      <c r="H1618" s="1"/>
      <c r="I1618" s="1"/>
      <c r="J1618" s="1"/>
    </row>
    <row r="1619" spans="1:10" x14ac:dyDescent="0.3">
      <c r="A1619" s="6" t="s">
        <v>23</v>
      </c>
      <c r="B1619" s="6">
        <f>+B1618+1</f>
        <v>2044</v>
      </c>
      <c r="C1619" s="1" t="s">
        <v>40</v>
      </c>
      <c r="D1619" s="2" t="s">
        <v>131</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Jaime\Neiva CPI\[VAO_DINA TERCIARIOS_CF_SEC_20230117.xlsx]CF PSND'!</v>
      </c>
      <c r="G1619" s="6" t="s">
        <v>103</v>
      </c>
      <c r="H1619" s="1"/>
      <c r="I1619" s="1"/>
      <c r="J1619" s="1"/>
    </row>
    <row r="1620" spans="1:10" x14ac:dyDescent="0.3">
      <c r="A1620" s="6" t="s">
        <v>23</v>
      </c>
      <c r="B1620" s="6">
        <f t="shared" ref="B1620:B1634" si="370">+B1619+1</f>
        <v>2045</v>
      </c>
      <c r="C1620" s="1" t="s">
        <v>40</v>
      </c>
      <c r="D1620" s="2" t="s">
        <v>131</v>
      </c>
      <c r="E1620" s="9" t="str">
        <f t="shared" si="368"/>
        <v>PSND'!</v>
      </c>
      <c r="F1620" s="5" t="str">
        <f t="shared" si="369"/>
        <v>C:\Users\jaime.benazar\Quorum Business Solutions\Ecopetrol Prometeo - Documents\Planning Space Implementation\3. Analysis &amp; Design\Design\FC22\DRR Jaime\Neiva CPI\[VAO_DINA TERCIARIOS_CF_SEC_20230117.xlsx]CF PSND'!</v>
      </c>
      <c r="G1620" s="6" t="s">
        <v>103</v>
      </c>
      <c r="H1620" s="1"/>
      <c r="I1620" s="1"/>
      <c r="J1620" s="1"/>
    </row>
    <row r="1621" spans="1:10" x14ac:dyDescent="0.3">
      <c r="A1621" s="6" t="s">
        <v>23</v>
      </c>
      <c r="B1621" s="6">
        <f t="shared" si="370"/>
        <v>2046</v>
      </c>
      <c r="C1621" s="1" t="s">
        <v>40</v>
      </c>
      <c r="D1621" s="2" t="s">
        <v>131</v>
      </c>
      <c r="E1621" s="9" t="str">
        <f t="shared" si="368"/>
        <v>PSND'!</v>
      </c>
      <c r="F1621" s="5" t="str">
        <f t="shared" si="369"/>
        <v>C:\Users\jaime.benazar\Quorum Business Solutions\Ecopetrol Prometeo - Documents\Planning Space Implementation\3. Analysis &amp; Design\Design\FC22\DRR Jaime\Neiva CPI\[VAO_DINA TERCIARIOS_CF_SEC_20230117.xlsx]CF PSND'!</v>
      </c>
      <c r="G1621" s="6" t="s">
        <v>103</v>
      </c>
      <c r="H1621" s="1"/>
      <c r="I1621" s="1"/>
      <c r="J1621" s="1"/>
    </row>
    <row r="1622" spans="1:10" x14ac:dyDescent="0.3">
      <c r="A1622" s="6" t="s">
        <v>23</v>
      </c>
      <c r="B1622" s="6">
        <f t="shared" si="370"/>
        <v>2047</v>
      </c>
      <c r="C1622" s="1" t="s">
        <v>40</v>
      </c>
      <c r="D1622" s="2" t="s">
        <v>131</v>
      </c>
      <c r="E1622" s="9" t="str">
        <f t="shared" si="368"/>
        <v>PSND'!</v>
      </c>
      <c r="F1622" s="5" t="str">
        <f t="shared" si="369"/>
        <v>C:\Users\jaime.benazar\Quorum Business Solutions\Ecopetrol Prometeo - Documents\Planning Space Implementation\3. Analysis &amp; Design\Design\FC22\DRR Jaime\Neiva CPI\[VAO_DINA TERCIARIOS_CF_SEC_20230117.xlsx]CF PSND'!</v>
      </c>
      <c r="G1622" s="6" t="s">
        <v>103</v>
      </c>
      <c r="H1622" s="1"/>
      <c r="I1622" s="1"/>
      <c r="J1622" s="1"/>
    </row>
    <row r="1623" spans="1:10" x14ac:dyDescent="0.3">
      <c r="A1623" s="6" t="s">
        <v>23</v>
      </c>
      <c r="B1623" s="6">
        <f t="shared" si="370"/>
        <v>2048</v>
      </c>
      <c r="C1623" s="1" t="s">
        <v>40</v>
      </c>
      <c r="D1623" s="2" t="s">
        <v>131</v>
      </c>
      <c r="E1623" s="9" t="str">
        <f t="shared" si="368"/>
        <v>PSND'!</v>
      </c>
      <c r="F1623" s="5" t="str">
        <f t="shared" si="369"/>
        <v>C:\Users\jaime.benazar\Quorum Business Solutions\Ecopetrol Prometeo - Documents\Planning Space Implementation\3. Analysis &amp; Design\Design\FC22\DRR Jaime\Neiva CPI\[VAO_DINA TERCIARIOS_CF_SEC_20230117.xlsx]CF PSND'!</v>
      </c>
      <c r="G1623" s="6" t="s">
        <v>103</v>
      </c>
      <c r="H1623" s="1"/>
      <c r="I1623" s="1"/>
      <c r="J1623" s="1"/>
    </row>
    <row r="1624" spans="1:10" x14ac:dyDescent="0.3">
      <c r="A1624" s="6" t="s">
        <v>23</v>
      </c>
      <c r="B1624" s="6">
        <f t="shared" si="370"/>
        <v>2049</v>
      </c>
      <c r="C1624" s="1" t="s">
        <v>40</v>
      </c>
      <c r="D1624" s="2" t="s">
        <v>131</v>
      </c>
      <c r="E1624" s="9" t="str">
        <f t="shared" si="368"/>
        <v>PSND'!</v>
      </c>
      <c r="F1624" s="5" t="str">
        <f t="shared" si="369"/>
        <v>C:\Users\jaime.benazar\Quorum Business Solutions\Ecopetrol Prometeo - Documents\Planning Space Implementation\3. Analysis &amp; Design\Design\FC22\DRR Jaime\Neiva CPI\[VAO_DINA TERCIARIOS_CF_SEC_20230117.xlsx]CF PSND'!</v>
      </c>
      <c r="G1624" s="6" t="s">
        <v>103</v>
      </c>
      <c r="H1624" s="1"/>
      <c r="I1624" s="1"/>
      <c r="J1624" s="1"/>
    </row>
    <row r="1625" spans="1:10" x14ac:dyDescent="0.3">
      <c r="A1625" s="6" t="s">
        <v>23</v>
      </c>
      <c r="B1625" s="6">
        <f t="shared" si="370"/>
        <v>2050</v>
      </c>
      <c r="C1625" s="1" t="s">
        <v>40</v>
      </c>
      <c r="D1625" s="2" t="s">
        <v>131</v>
      </c>
      <c r="E1625" s="9" t="str">
        <f t="shared" si="368"/>
        <v>PSND'!</v>
      </c>
      <c r="F1625" s="5" t="str">
        <f t="shared" si="369"/>
        <v>C:\Users\jaime.benazar\Quorum Business Solutions\Ecopetrol Prometeo - Documents\Planning Space Implementation\3. Analysis &amp; Design\Design\FC22\DRR Jaime\Neiva CPI\[VAO_DINA TERCIARIOS_CF_SEC_20230117.xlsx]CF PSND'!</v>
      </c>
      <c r="G1625" s="6" t="s">
        <v>103</v>
      </c>
      <c r="H1625" s="1"/>
      <c r="I1625" s="1"/>
      <c r="J1625" s="1"/>
    </row>
    <row r="1626" spans="1:10" x14ac:dyDescent="0.3">
      <c r="A1626" s="6" t="s">
        <v>23</v>
      </c>
      <c r="B1626" s="6">
        <f t="shared" si="370"/>
        <v>2051</v>
      </c>
      <c r="C1626" s="1" t="s">
        <v>40</v>
      </c>
      <c r="D1626" s="2" t="s">
        <v>131</v>
      </c>
      <c r="E1626" s="9" t="str">
        <f t="shared" si="368"/>
        <v>PSND'!</v>
      </c>
      <c r="F1626" s="5" t="str">
        <f t="shared" si="369"/>
        <v>C:\Users\jaime.benazar\Quorum Business Solutions\Ecopetrol Prometeo - Documents\Planning Space Implementation\3. Analysis &amp; Design\Design\FC22\DRR Jaime\Neiva CPI\[VAO_DINA TERCIARIOS_CF_SEC_20230117.xlsx]CF PSND'!</v>
      </c>
      <c r="G1626" s="6" t="s">
        <v>103</v>
      </c>
      <c r="H1626" s="1"/>
      <c r="I1626" s="1"/>
      <c r="J1626" s="1"/>
    </row>
    <row r="1627" spans="1:10" x14ac:dyDescent="0.3">
      <c r="A1627" s="6" t="s">
        <v>23</v>
      </c>
      <c r="B1627" s="6">
        <f t="shared" si="370"/>
        <v>2052</v>
      </c>
      <c r="C1627" s="1" t="s">
        <v>40</v>
      </c>
      <c r="D1627" s="2" t="s">
        <v>131</v>
      </c>
      <c r="E1627" s="9" t="str">
        <f t="shared" si="368"/>
        <v>PSND'!</v>
      </c>
      <c r="F1627" s="5" t="str">
        <f t="shared" si="369"/>
        <v>C:\Users\jaime.benazar\Quorum Business Solutions\Ecopetrol Prometeo - Documents\Planning Space Implementation\3. Analysis &amp; Design\Design\FC22\DRR Jaime\Neiva CPI\[VAO_DINA TERCIARIOS_CF_SEC_20230117.xlsx]CF PSND'!</v>
      </c>
      <c r="G1627" s="6" t="s">
        <v>103</v>
      </c>
      <c r="H1627" s="1"/>
      <c r="I1627" s="1"/>
      <c r="J1627" s="1"/>
    </row>
    <row r="1628" spans="1:10" x14ac:dyDescent="0.3">
      <c r="A1628" s="6" t="s">
        <v>23</v>
      </c>
      <c r="B1628" s="6">
        <f t="shared" si="370"/>
        <v>2053</v>
      </c>
      <c r="C1628" s="1" t="s">
        <v>40</v>
      </c>
      <c r="D1628" s="2" t="s">
        <v>131</v>
      </c>
      <c r="E1628" s="9" t="str">
        <f t="shared" si="368"/>
        <v>PSND'!</v>
      </c>
      <c r="F1628" s="5" t="str">
        <f t="shared" si="369"/>
        <v>C:\Users\jaime.benazar\Quorum Business Solutions\Ecopetrol Prometeo - Documents\Planning Space Implementation\3. Analysis &amp; Design\Design\FC22\DRR Jaime\Neiva CPI\[VAO_DINA TERCIARIOS_CF_SEC_20230117.xlsx]CF PSND'!</v>
      </c>
      <c r="G1628" s="6" t="s">
        <v>103</v>
      </c>
      <c r="H1628" s="1"/>
      <c r="I1628" s="1"/>
      <c r="J1628" s="1"/>
    </row>
    <row r="1629" spans="1:10" x14ac:dyDescent="0.3">
      <c r="A1629" s="6" t="s">
        <v>23</v>
      </c>
      <c r="B1629" s="6">
        <f t="shared" si="370"/>
        <v>2054</v>
      </c>
      <c r="C1629" s="1" t="s">
        <v>40</v>
      </c>
      <c r="D1629" s="2" t="s">
        <v>131</v>
      </c>
      <c r="E1629" s="9" t="str">
        <f t="shared" si="368"/>
        <v>PSND'!</v>
      </c>
      <c r="F1629" s="5" t="str">
        <f t="shared" si="369"/>
        <v>C:\Users\jaime.benazar\Quorum Business Solutions\Ecopetrol Prometeo - Documents\Planning Space Implementation\3. Analysis &amp; Design\Design\FC22\DRR Jaime\Neiva CPI\[VAO_DINA TERCIARIOS_CF_SEC_20230117.xlsx]CF PSND'!</v>
      </c>
      <c r="G1629" s="6" t="s">
        <v>103</v>
      </c>
      <c r="H1629" s="1"/>
      <c r="I1629" s="1"/>
      <c r="J1629" s="1"/>
    </row>
    <row r="1630" spans="1:10" x14ac:dyDescent="0.3">
      <c r="A1630" s="6" t="s">
        <v>23</v>
      </c>
      <c r="B1630" s="6">
        <f t="shared" si="370"/>
        <v>2055</v>
      </c>
      <c r="C1630" s="1" t="s">
        <v>40</v>
      </c>
      <c r="D1630" s="2" t="s">
        <v>131</v>
      </c>
      <c r="E1630" s="9" t="str">
        <f t="shared" si="368"/>
        <v>PSND'!</v>
      </c>
      <c r="F1630" s="5" t="str">
        <f t="shared" si="369"/>
        <v>C:\Users\jaime.benazar\Quorum Business Solutions\Ecopetrol Prometeo - Documents\Planning Space Implementation\3. Analysis &amp; Design\Design\FC22\DRR Jaime\Neiva CPI\[VAO_DINA TERCIARIOS_CF_SEC_20230117.xlsx]CF PSND'!</v>
      </c>
      <c r="G1630" s="6" t="s">
        <v>103</v>
      </c>
      <c r="H1630" s="1"/>
      <c r="I1630" s="1"/>
      <c r="J1630" s="1"/>
    </row>
    <row r="1631" spans="1:10" x14ac:dyDescent="0.3">
      <c r="A1631" s="6" t="s">
        <v>23</v>
      </c>
      <c r="B1631" s="6">
        <f t="shared" si="370"/>
        <v>2056</v>
      </c>
      <c r="C1631" s="1" t="s">
        <v>40</v>
      </c>
      <c r="D1631" s="2" t="s">
        <v>131</v>
      </c>
      <c r="E1631" s="9" t="str">
        <f t="shared" si="368"/>
        <v>PSND'!</v>
      </c>
      <c r="F1631" s="5" t="str">
        <f t="shared" si="369"/>
        <v>C:\Users\jaime.benazar\Quorum Business Solutions\Ecopetrol Prometeo - Documents\Planning Space Implementation\3. Analysis &amp; Design\Design\FC22\DRR Jaime\Neiva CPI\[VAO_DINA TERCIARIOS_CF_SEC_20230117.xlsx]CF PSND'!</v>
      </c>
      <c r="G1631" s="6" t="s">
        <v>103</v>
      </c>
      <c r="H1631" s="1"/>
      <c r="I1631" s="1"/>
      <c r="J1631" s="1"/>
    </row>
    <row r="1632" spans="1:10" x14ac:dyDescent="0.3">
      <c r="A1632" s="6" t="s">
        <v>23</v>
      </c>
      <c r="B1632" s="6">
        <f t="shared" si="370"/>
        <v>2057</v>
      </c>
      <c r="C1632" s="1" t="s">
        <v>40</v>
      </c>
      <c r="D1632" s="2" t="s">
        <v>131</v>
      </c>
      <c r="E1632" s="9" t="str">
        <f t="shared" si="368"/>
        <v>PSND'!</v>
      </c>
      <c r="F1632" s="5" t="str">
        <f t="shared" si="369"/>
        <v>C:\Users\jaime.benazar\Quorum Business Solutions\Ecopetrol Prometeo - Documents\Planning Space Implementation\3. Analysis &amp; Design\Design\FC22\DRR Jaime\Neiva CPI\[VAO_DINA TERCIARIOS_CF_SEC_20230117.xlsx]CF PSND'!</v>
      </c>
      <c r="G1632" s="6" t="s">
        <v>103</v>
      </c>
      <c r="H1632" s="1"/>
      <c r="I1632" s="1"/>
      <c r="J1632" s="1"/>
    </row>
    <row r="1633" spans="1:10" x14ac:dyDescent="0.3">
      <c r="A1633" s="6" t="s">
        <v>23</v>
      </c>
      <c r="B1633" s="6">
        <f t="shared" si="370"/>
        <v>2058</v>
      </c>
      <c r="C1633" s="1" t="s">
        <v>40</v>
      </c>
      <c r="D1633" s="2" t="s">
        <v>131</v>
      </c>
      <c r="E1633" s="9" t="str">
        <f t="shared" si="368"/>
        <v>PSND'!</v>
      </c>
      <c r="F1633" s="5" t="str">
        <f t="shared" si="369"/>
        <v>C:\Users\jaime.benazar\Quorum Business Solutions\Ecopetrol Prometeo - Documents\Planning Space Implementation\3. Analysis &amp; Design\Design\FC22\DRR Jaime\Neiva CPI\[VAO_DINA TERCIARIOS_CF_SEC_20230117.xlsx]CF PSND'!</v>
      </c>
      <c r="G1633" s="6" t="s">
        <v>103</v>
      </c>
      <c r="H1633" s="1"/>
      <c r="I1633" s="1"/>
      <c r="J1633" s="1"/>
    </row>
    <row r="1634" spans="1:10" x14ac:dyDescent="0.3">
      <c r="A1634" s="6" t="s">
        <v>23</v>
      </c>
      <c r="B1634" s="6">
        <f t="shared" si="370"/>
        <v>2059</v>
      </c>
      <c r="C1634" s="1" t="s">
        <v>40</v>
      </c>
      <c r="D1634" s="2" t="s">
        <v>131</v>
      </c>
      <c r="E1634" s="9" t="str">
        <f t="shared" si="368"/>
        <v>PSND'!</v>
      </c>
      <c r="F1634" s="5" t="str">
        <f t="shared" si="369"/>
        <v>C:\Users\jaime.benazar\Quorum Business Solutions\Ecopetrol Prometeo - Documents\Planning Space Implementation\3. Analysis &amp; Design\Design\FC22\DRR Jaime\Neiva CPI\[VAO_DINA TERCIARIOS_CF_SEC_20230117.xlsx]CF PSND'!</v>
      </c>
      <c r="G1634" s="6" t="s">
        <v>103</v>
      </c>
      <c r="H1634" s="1"/>
      <c r="I1634" s="1"/>
      <c r="J1634" s="1"/>
    </row>
    <row r="1635" spans="1:10" x14ac:dyDescent="0.3">
      <c r="A1635" s="6" t="s">
        <v>26</v>
      </c>
      <c r="B1635" s="6"/>
      <c r="C1635" s="1" t="s">
        <v>40</v>
      </c>
      <c r="D1635" s="2"/>
      <c r="E1635" s="9"/>
      <c r="F1635" s="2"/>
      <c r="G1635" s="6"/>
      <c r="H1635" s="1"/>
      <c r="I1635" s="1"/>
      <c r="J1635" s="1"/>
    </row>
    <row r="1636" spans="1:10" x14ac:dyDescent="0.3">
      <c r="A1636" s="6" t="s">
        <v>24</v>
      </c>
      <c r="B1636" s="6">
        <v>2023</v>
      </c>
      <c r="C1636" s="1" t="s">
        <v>40</v>
      </c>
      <c r="D1636" s="2" t="s">
        <v>131</v>
      </c>
      <c r="E1636" s="9" t="str">
        <f t="shared" si="308"/>
        <v>PS'!</v>
      </c>
      <c r="F1636" s="5" t="str">
        <f t="shared" ref="F1636:F1656" si="371">_xlfn.CONCAT(D1636," ",E1636)</f>
        <v>C:\Users\jaime.benazar\Quorum Business Solutions\Ecopetrol Prometeo - Documents\Planning Space Implementation\3. Analysis &amp; Design\Design\FC22\DRR Jaime\Neiva CPI\[VAO_DINA TERCIARIOS_CF_SEC_20230117.xlsx]CF PS'!</v>
      </c>
      <c r="G1636" s="6" t="s">
        <v>103</v>
      </c>
      <c r="H1636" s="1">
        <f>IF(A1636&lt;&gt;A1506,36,H1506+1)</f>
        <v>36</v>
      </c>
      <c r="I1636" s="1" t="str">
        <f t="shared" si="309"/>
        <v>='C:\Users\jaime.benazar\Quorum Business Solutions\Ecopetrol Prometeo - Documents\Planning Space Implementation\3. Analysis &amp; Design\Design\FC22\DRR Jaime\Neiva CPI\[VAO_DINA TERCIARIOS_CF_SEC_20230117.xlsx]CF PS'!$BX$36</v>
      </c>
      <c r="J1636" s="1" t="s">
        <v>835</v>
      </c>
    </row>
    <row r="1637" spans="1:10" x14ac:dyDescent="0.3">
      <c r="A1637" s="6" t="s">
        <v>24</v>
      </c>
      <c r="B1637" s="6">
        <f>+B1636+1</f>
        <v>2024</v>
      </c>
      <c r="C1637" s="1" t="s">
        <v>40</v>
      </c>
      <c r="D1637" s="2" t="s">
        <v>131</v>
      </c>
      <c r="E1637" s="9" t="str">
        <f t="shared" si="308"/>
        <v>PS'!</v>
      </c>
      <c r="F1637" s="5" t="str">
        <f t="shared" si="371"/>
        <v>C:\Users\jaime.benazar\Quorum Business Solutions\Ecopetrol Prometeo - Documents\Planning Space Implementation\3. Analysis &amp; Design\Design\FC22\DRR Jaime\Neiva CPI\[VAO_DINA TERCIARIOS_CF_SEC_20230117.xlsx]CF PS'!</v>
      </c>
      <c r="G1637" s="6" t="s">
        <v>103</v>
      </c>
      <c r="H1637" s="1">
        <f t="shared" si="310"/>
        <v>37</v>
      </c>
      <c r="I1637" s="1" t="str">
        <f t="shared" si="309"/>
        <v>='C:\Users\jaime.benazar\Quorum Business Solutions\Ecopetrol Prometeo - Documents\Planning Space Implementation\3. Analysis &amp; Design\Design\FC22\DRR Jaime\Neiva CPI\[VAO_DINA TERCIARIOS_CF_SEC_20230117.xlsx]CF PS'!$BX$37</v>
      </c>
      <c r="J1637" s="1" t="s">
        <v>836</v>
      </c>
    </row>
    <row r="1638" spans="1:10" x14ac:dyDescent="0.3">
      <c r="A1638" s="6" t="s">
        <v>24</v>
      </c>
      <c r="B1638" s="6">
        <f t="shared" ref="B1638:B1649" si="372">+B1637+1</f>
        <v>2025</v>
      </c>
      <c r="C1638" s="1" t="s">
        <v>40</v>
      </c>
      <c r="D1638" s="2" t="s">
        <v>131</v>
      </c>
      <c r="E1638" s="9" t="str">
        <f t="shared" si="308"/>
        <v>PS'!</v>
      </c>
      <c r="F1638" s="5" t="str">
        <f t="shared" si="371"/>
        <v>C:\Users\jaime.benazar\Quorum Business Solutions\Ecopetrol Prometeo - Documents\Planning Space Implementation\3. Analysis &amp; Design\Design\FC22\DRR Jaime\Neiva CPI\[VAO_DINA TERCIARIOS_CF_SEC_20230117.xlsx]CF PS'!</v>
      </c>
      <c r="G1638" s="6" t="s">
        <v>103</v>
      </c>
      <c r="H1638" s="1">
        <f t="shared" si="310"/>
        <v>38</v>
      </c>
      <c r="I1638" s="1" t="str">
        <f t="shared" si="309"/>
        <v>='C:\Users\jaime.benazar\Quorum Business Solutions\Ecopetrol Prometeo - Documents\Planning Space Implementation\3. Analysis &amp; Design\Design\FC22\DRR Jaime\Neiva CPI\[VAO_DINA TERCIARIOS_CF_SEC_20230117.xlsx]CF PS'!$BX$38</v>
      </c>
      <c r="J1638" s="1" t="s">
        <v>837</v>
      </c>
    </row>
    <row r="1639" spans="1:10" x14ac:dyDescent="0.3">
      <c r="A1639" s="6" t="s">
        <v>24</v>
      </c>
      <c r="B1639" s="6">
        <f t="shared" si="372"/>
        <v>2026</v>
      </c>
      <c r="C1639" s="1" t="s">
        <v>40</v>
      </c>
      <c r="D1639" s="2" t="s">
        <v>131</v>
      </c>
      <c r="E1639" s="9" t="str">
        <f t="shared" si="308"/>
        <v>PS'!</v>
      </c>
      <c r="F1639" s="5" t="str">
        <f t="shared" si="371"/>
        <v>C:\Users\jaime.benazar\Quorum Business Solutions\Ecopetrol Prometeo - Documents\Planning Space Implementation\3. Analysis &amp; Design\Design\FC22\DRR Jaime\Neiva CPI\[VAO_DINA TERCIARIOS_CF_SEC_20230117.xlsx]CF PS'!</v>
      </c>
      <c r="G1639" s="6" t="s">
        <v>103</v>
      </c>
      <c r="H1639" s="1">
        <f t="shared" si="310"/>
        <v>39</v>
      </c>
      <c r="I1639" s="1" t="str">
        <f t="shared" si="309"/>
        <v>='C:\Users\jaime.benazar\Quorum Business Solutions\Ecopetrol Prometeo - Documents\Planning Space Implementation\3. Analysis &amp; Design\Design\FC22\DRR Jaime\Neiva CPI\[VAO_DINA TERCIARIOS_CF_SEC_20230117.xlsx]CF PS'!$BX$39</v>
      </c>
      <c r="J1639" s="1" t="s">
        <v>838</v>
      </c>
    </row>
    <row r="1640" spans="1:10" x14ac:dyDescent="0.3">
      <c r="A1640" s="6" t="s">
        <v>24</v>
      </c>
      <c r="B1640" s="6">
        <f t="shared" si="372"/>
        <v>2027</v>
      </c>
      <c r="C1640" s="1" t="s">
        <v>40</v>
      </c>
      <c r="D1640" s="2" t="s">
        <v>131</v>
      </c>
      <c r="E1640" s="9" t="str">
        <f t="shared" si="308"/>
        <v>PS'!</v>
      </c>
      <c r="F1640" s="5" t="str">
        <f t="shared" si="371"/>
        <v>C:\Users\jaime.benazar\Quorum Business Solutions\Ecopetrol Prometeo - Documents\Planning Space Implementation\3. Analysis &amp; Design\Design\FC22\DRR Jaime\Neiva CPI\[VAO_DINA TERCIARIOS_CF_SEC_20230117.xlsx]CF PS'!</v>
      </c>
      <c r="G1640" s="6" t="s">
        <v>103</v>
      </c>
      <c r="H1640" s="1">
        <f t="shared" si="310"/>
        <v>40</v>
      </c>
      <c r="I1640" s="1" t="str">
        <f t="shared" si="309"/>
        <v>='C:\Users\jaime.benazar\Quorum Business Solutions\Ecopetrol Prometeo - Documents\Planning Space Implementation\3. Analysis &amp; Design\Design\FC22\DRR Jaime\Neiva CPI\[VAO_DINA TERCIARIOS_CF_SEC_20230117.xlsx]CF PS'!$BX$40</v>
      </c>
      <c r="J1640" s="1" t="s">
        <v>839</v>
      </c>
    </row>
    <row r="1641" spans="1:10" x14ac:dyDescent="0.3">
      <c r="A1641" s="6" t="s">
        <v>24</v>
      </c>
      <c r="B1641" s="6">
        <f t="shared" si="372"/>
        <v>2028</v>
      </c>
      <c r="C1641" s="1" t="s">
        <v>40</v>
      </c>
      <c r="D1641" s="2" t="s">
        <v>131</v>
      </c>
      <c r="E1641" s="9" t="str">
        <f t="shared" si="308"/>
        <v>PS'!</v>
      </c>
      <c r="F1641" s="5" t="str">
        <f t="shared" si="371"/>
        <v>C:\Users\jaime.benazar\Quorum Business Solutions\Ecopetrol Prometeo - Documents\Planning Space Implementation\3. Analysis &amp; Design\Design\FC22\DRR Jaime\Neiva CPI\[VAO_DINA TERCIARIOS_CF_SEC_20230117.xlsx]CF PS'!</v>
      </c>
      <c r="G1641" s="6" t="s">
        <v>103</v>
      </c>
      <c r="H1641" s="1">
        <f t="shared" si="310"/>
        <v>41</v>
      </c>
      <c r="I1641" s="1" t="str">
        <f t="shared" si="309"/>
        <v>='C:\Users\jaime.benazar\Quorum Business Solutions\Ecopetrol Prometeo - Documents\Planning Space Implementation\3. Analysis &amp; Design\Design\FC22\DRR Jaime\Neiva CPI\[VAO_DINA TERCIARIOS_CF_SEC_20230117.xlsx]CF PS'!$BX$41</v>
      </c>
      <c r="J1641" s="1" t="s">
        <v>840</v>
      </c>
    </row>
    <row r="1642" spans="1:10" x14ac:dyDescent="0.3">
      <c r="A1642" s="6" t="s">
        <v>24</v>
      </c>
      <c r="B1642" s="6">
        <f t="shared" si="372"/>
        <v>2029</v>
      </c>
      <c r="C1642" s="1" t="s">
        <v>40</v>
      </c>
      <c r="D1642" s="2" t="s">
        <v>131</v>
      </c>
      <c r="E1642" s="9" t="str">
        <f t="shared" si="308"/>
        <v>PS'!</v>
      </c>
      <c r="F1642" s="5" t="str">
        <f t="shared" si="371"/>
        <v>C:\Users\jaime.benazar\Quorum Business Solutions\Ecopetrol Prometeo - Documents\Planning Space Implementation\3. Analysis &amp; Design\Design\FC22\DRR Jaime\Neiva CPI\[VAO_DINA TERCIARIOS_CF_SEC_20230117.xlsx]CF PS'!</v>
      </c>
      <c r="G1642" s="6" t="s">
        <v>103</v>
      </c>
      <c r="H1642" s="1">
        <f t="shared" si="310"/>
        <v>42</v>
      </c>
      <c r="I1642" s="1" t="str">
        <f t="shared" si="309"/>
        <v>='C:\Users\jaime.benazar\Quorum Business Solutions\Ecopetrol Prometeo - Documents\Planning Space Implementation\3. Analysis &amp; Design\Design\FC22\DRR Jaime\Neiva CPI\[VAO_DINA TERCIARIOS_CF_SEC_20230117.xlsx]CF PS'!$BX$42</v>
      </c>
      <c r="J1642" s="1" t="s">
        <v>841</v>
      </c>
    </row>
    <row r="1643" spans="1:10" x14ac:dyDescent="0.3">
      <c r="A1643" s="6" t="s">
        <v>24</v>
      </c>
      <c r="B1643" s="6">
        <f t="shared" si="372"/>
        <v>2030</v>
      </c>
      <c r="C1643" s="1" t="s">
        <v>40</v>
      </c>
      <c r="D1643" s="2" t="s">
        <v>131</v>
      </c>
      <c r="E1643" s="9" t="str">
        <f t="shared" si="308"/>
        <v>PS'!</v>
      </c>
      <c r="F1643" s="5" t="str">
        <f t="shared" si="371"/>
        <v>C:\Users\jaime.benazar\Quorum Business Solutions\Ecopetrol Prometeo - Documents\Planning Space Implementation\3. Analysis &amp; Design\Design\FC22\DRR Jaime\Neiva CPI\[VAO_DINA TERCIARIOS_CF_SEC_20230117.xlsx]CF PS'!</v>
      </c>
      <c r="G1643" s="6" t="s">
        <v>103</v>
      </c>
      <c r="H1643" s="1">
        <f t="shared" si="310"/>
        <v>43</v>
      </c>
      <c r="I1643" s="1" t="str">
        <f t="shared" si="309"/>
        <v>='C:\Users\jaime.benazar\Quorum Business Solutions\Ecopetrol Prometeo - Documents\Planning Space Implementation\3. Analysis &amp; Design\Design\FC22\DRR Jaime\Neiva CPI\[VAO_DINA TERCIARIOS_CF_SEC_20230117.xlsx]CF PS'!$BX$43</v>
      </c>
      <c r="J1643" s="1" t="s">
        <v>842</v>
      </c>
    </row>
    <row r="1644" spans="1:10" x14ac:dyDescent="0.3">
      <c r="A1644" s="6" t="s">
        <v>24</v>
      </c>
      <c r="B1644" s="6">
        <f t="shared" si="372"/>
        <v>2031</v>
      </c>
      <c r="C1644" s="1" t="s">
        <v>40</v>
      </c>
      <c r="D1644" s="2" t="s">
        <v>131</v>
      </c>
      <c r="E1644" s="9" t="str">
        <f t="shared" si="308"/>
        <v>PS'!</v>
      </c>
      <c r="F1644" s="5" t="str">
        <f t="shared" si="371"/>
        <v>C:\Users\jaime.benazar\Quorum Business Solutions\Ecopetrol Prometeo - Documents\Planning Space Implementation\3. Analysis &amp; Design\Design\FC22\DRR Jaime\Neiva CPI\[VAO_DINA TERCIARIOS_CF_SEC_20230117.xlsx]CF PS'!</v>
      </c>
      <c r="G1644" s="6" t="s">
        <v>103</v>
      </c>
      <c r="H1644" s="1">
        <f t="shared" si="310"/>
        <v>44</v>
      </c>
      <c r="I1644" s="1" t="str">
        <f t="shared" si="309"/>
        <v>='C:\Users\jaime.benazar\Quorum Business Solutions\Ecopetrol Prometeo - Documents\Planning Space Implementation\3. Analysis &amp; Design\Design\FC22\DRR Jaime\Neiva CPI\[VAO_DINA TERCIARIOS_CF_SEC_20230117.xlsx]CF PS'!$BX$44</v>
      </c>
      <c r="J1644" s="1" t="s">
        <v>843</v>
      </c>
    </row>
    <row r="1645" spans="1:10" x14ac:dyDescent="0.3">
      <c r="A1645" s="6" t="s">
        <v>24</v>
      </c>
      <c r="B1645" s="6">
        <f t="shared" si="372"/>
        <v>2032</v>
      </c>
      <c r="C1645" s="1" t="s">
        <v>40</v>
      </c>
      <c r="D1645" s="2" t="s">
        <v>131</v>
      </c>
      <c r="E1645" s="9" t="str">
        <f t="shared" si="308"/>
        <v>PS'!</v>
      </c>
      <c r="F1645" s="5" t="str">
        <f t="shared" si="371"/>
        <v>C:\Users\jaime.benazar\Quorum Business Solutions\Ecopetrol Prometeo - Documents\Planning Space Implementation\3. Analysis &amp; Design\Design\FC22\DRR Jaime\Neiva CPI\[VAO_DINA TERCIARIOS_CF_SEC_20230117.xlsx]CF PS'!</v>
      </c>
      <c r="G1645" s="6" t="s">
        <v>103</v>
      </c>
      <c r="H1645" s="1">
        <f t="shared" si="310"/>
        <v>45</v>
      </c>
      <c r="I1645" s="1" t="str">
        <f t="shared" si="309"/>
        <v>='C:\Users\jaime.benazar\Quorum Business Solutions\Ecopetrol Prometeo - Documents\Planning Space Implementation\3. Analysis &amp; Design\Design\FC22\DRR Jaime\Neiva CPI\[VAO_DINA TERCIARIOS_CF_SEC_20230117.xlsx]CF PS'!$BX$45</v>
      </c>
      <c r="J1645" s="1" t="s">
        <v>844</v>
      </c>
    </row>
    <row r="1646" spans="1:10" x14ac:dyDescent="0.3">
      <c r="A1646" s="6" t="s">
        <v>24</v>
      </c>
      <c r="B1646" s="6">
        <f t="shared" si="372"/>
        <v>2033</v>
      </c>
      <c r="C1646" s="1" t="s">
        <v>40</v>
      </c>
      <c r="D1646" s="2" t="s">
        <v>131</v>
      </c>
      <c r="E1646" s="9" t="str">
        <f t="shared" si="308"/>
        <v>PS'!</v>
      </c>
      <c r="F1646" s="5" t="str">
        <f t="shared" si="371"/>
        <v>C:\Users\jaime.benazar\Quorum Business Solutions\Ecopetrol Prometeo - Documents\Planning Space Implementation\3. Analysis &amp; Design\Design\FC22\DRR Jaime\Neiva CPI\[VAO_DINA TERCIARIOS_CF_SEC_20230117.xlsx]CF PS'!</v>
      </c>
      <c r="G1646" s="6" t="s">
        <v>103</v>
      </c>
      <c r="H1646" s="1">
        <f t="shared" si="310"/>
        <v>46</v>
      </c>
      <c r="I1646" s="1" t="str">
        <f t="shared" si="309"/>
        <v>='C:\Users\jaime.benazar\Quorum Business Solutions\Ecopetrol Prometeo - Documents\Planning Space Implementation\3. Analysis &amp; Design\Design\FC22\DRR Jaime\Neiva CPI\[VAO_DINA TERCIARIOS_CF_SEC_20230117.xlsx]CF PS'!$BX$46</v>
      </c>
      <c r="J1646" s="1" t="s">
        <v>845</v>
      </c>
    </row>
    <row r="1647" spans="1:10" x14ac:dyDescent="0.3">
      <c r="A1647" s="6" t="s">
        <v>24</v>
      </c>
      <c r="B1647" s="6">
        <f t="shared" si="372"/>
        <v>2034</v>
      </c>
      <c r="C1647" s="1" t="s">
        <v>40</v>
      </c>
      <c r="D1647" s="2" t="s">
        <v>131</v>
      </c>
      <c r="E1647" s="9" t="str">
        <f t="shared" si="308"/>
        <v>PS'!</v>
      </c>
      <c r="F1647" s="5" t="str">
        <f t="shared" si="371"/>
        <v>C:\Users\jaime.benazar\Quorum Business Solutions\Ecopetrol Prometeo - Documents\Planning Space Implementation\3. Analysis &amp; Design\Design\FC22\DRR Jaime\Neiva CPI\[VAO_DINA TERCIARIOS_CF_SEC_20230117.xlsx]CF PS'!</v>
      </c>
      <c r="G1647" s="6" t="s">
        <v>103</v>
      </c>
      <c r="H1647" s="1">
        <f t="shared" si="310"/>
        <v>47</v>
      </c>
      <c r="I1647" s="1" t="str">
        <f t="shared" si="309"/>
        <v>='C:\Users\jaime.benazar\Quorum Business Solutions\Ecopetrol Prometeo - Documents\Planning Space Implementation\3. Analysis &amp; Design\Design\FC22\DRR Jaime\Neiva CPI\[VAO_DINA TERCIARIOS_CF_SEC_20230117.xlsx]CF PS'!$BX$47</v>
      </c>
      <c r="J1647" s="1" t="s">
        <v>846</v>
      </c>
    </row>
    <row r="1648" spans="1:10" x14ac:dyDescent="0.3">
      <c r="A1648" s="6" t="s">
        <v>24</v>
      </c>
      <c r="B1648" s="6">
        <f t="shared" si="372"/>
        <v>2035</v>
      </c>
      <c r="C1648" s="1" t="s">
        <v>40</v>
      </c>
      <c r="D1648" s="2" t="s">
        <v>131</v>
      </c>
      <c r="E1648" s="9" t="str">
        <f t="shared" si="308"/>
        <v>PS'!</v>
      </c>
      <c r="F1648" s="5" t="str">
        <f t="shared" si="371"/>
        <v>C:\Users\jaime.benazar\Quorum Business Solutions\Ecopetrol Prometeo - Documents\Planning Space Implementation\3. Analysis &amp; Design\Design\FC22\DRR Jaime\Neiva CPI\[VAO_DINA TERCIARIOS_CF_SEC_20230117.xlsx]CF PS'!</v>
      </c>
      <c r="G1648" s="6" t="s">
        <v>103</v>
      </c>
      <c r="H1648" s="1">
        <f t="shared" si="310"/>
        <v>48</v>
      </c>
      <c r="I1648" s="1" t="str">
        <f t="shared" si="309"/>
        <v>='C:\Users\jaime.benazar\Quorum Business Solutions\Ecopetrol Prometeo - Documents\Planning Space Implementation\3. Analysis &amp; Design\Design\FC22\DRR Jaime\Neiva CPI\[VAO_DINA TERCIARIOS_CF_SEC_20230117.xlsx]CF PS'!$BX$48</v>
      </c>
      <c r="J1648" s="1" t="s">
        <v>847</v>
      </c>
    </row>
    <row r="1649" spans="1:10" x14ac:dyDescent="0.3">
      <c r="A1649" s="6" t="s">
        <v>24</v>
      </c>
      <c r="B1649" s="6">
        <f t="shared" si="372"/>
        <v>2036</v>
      </c>
      <c r="C1649" s="1" t="s">
        <v>40</v>
      </c>
      <c r="D1649" s="2" t="s">
        <v>131</v>
      </c>
      <c r="E1649" s="9" t="str">
        <f t="shared" si="308"/>
        <v>PS'!</v>
      </c>
      <c r="F1649" s="5" t="str">
        <f t="shared" si="371"/>
        <v>C:\Users\jaime.benazar\Quorum Business Solutions\Ecopetrol Prometeo - Documents\Planning Space Implementation\3. Analysis &amp; Design\Design\FC22\DRR Jaime\Neiva CPI\[VAO_DINA TERCIARIOS_CF_SEC_20230117.xlsx]CF PS'!</v>
      </c>
      <c r="G1649" s="6" t="s">
        <v>103</v>
      </c>
      <c r="H1649" s="1">
        <f t="shared" si="310"/>
        <v>49</v>
      </c>
      <c r="I1649" s="1" t="str">
        <f t="shared" si="309"/>
        <v>='C:\Users\jaime.benazar\Quorum Business Solutions\Ecopetrol Prometeo - Documents\Planning Space Implementation\3. Analysis &amp; Design\Design\FC22\DRR Jaime\Neiva CPI\[VAO_DINA TERCIARIOS_CF_SEC_20230117.xlsx]CF PS'!$BX$49</v>
      </c>
      <c r="J1649" s="1" t="s">
        <v>848</v>
      </c>
    </row>
    <row r="1650" spans="1:10" x14ac:dyDescent="0.3">
      <c r="A1650" s="6" t="s">
        <v>24</v>
      </c>
      <c r="B1650" s="6">
        <f>+B1649+1</f>
        <v>2037</v>
      </c>
      <c r="C1650" s="1" t="s">
        <v>40</v>
      </c>
      <c r="D1650" s="2" t="s">
        <v>131</v>
      </c>
      <c r="E1650" s="9" t="str">
        <f t="shared" si="308"/>
        <v>PS'!</v>
      </c>
      <c r="F1650" s="5" t="str">
        <f t="shared" si="371"/>
        <v>C:\Users\jaime.benazar\Quorum Business Solutions\Ecopetrol Prometeo - Documents\Planning Space Implementation\3. Analysis &amp; Design\Design\FC22\DRR Jaime\Neiva CPI\[VAO_DINA TERCIARIOS_CF_SEC_20230117.xlsx]CF PS'!</v>
      </c>
      <c r="G1650" s="6" t="s">
        <v>103</v>
      </c>
      <c r="H1650" s="1">
        <f t="shared" si="310"/>
        <v>50</v>
      </c>
      <c r="I1650" s="1" t="str">
        <f t="shared" si="309"/>
        <v>='C:\Users\jaime.benazar\Quorum Business Solutions\Ecopetrol Prometeo - Documents\Planning Space Implementation\3. Analysis &amp; Design\Design\FC22\DRR Jaime\Neiva CPI\[VAO_DINA TERCIARIOS_CF_SEC_20230117.xlsx]CF PS'!$BX$50</v>
      </c>
      <c r="J1650" s="1" t="s">
        <v>849</v>
      </c>
    </row>
    <row r="1651" spans="1:10" x14ac:dyDescent="0.3">
      <c r="A1651" s="6" t="s">
        <v>24</v>
      </c>
      <c r="B1651" s="6">
        <f t="shared" ref="B1651:B1653" si="373">+B1650+1</f>
        <v>2038</v>
      </c>
      <c r="C1651" s="1" t="s">
        <v>40</v>
      </c>
      <c r="D1651" s="2" t="s">
        <v>131</v>
      </c>
      <c r="E1651" s="9" t="str">
        <f t="shared" si="308"/>
        <v>PS'!</v>
      </c>
      <c r="F1651" s="5" t="str">
        <f t="shared" si="371"/>
        <v>C:\Users\jaime.benazar\Quorum Business Solutions\Ecopetrol Prometeo - Documents\Planning Space Implementation\3. Analysis &amp; Design\Design\FC22\DRR Jaime\Neiva CPI\[VAO_DINA TERCIARIOS_CF_SEC_20230117.xlsx]CF PS'!</v>
      </c>
      <c r="G1651" s="6" t="s">
        <v>103</v>
      </c>
      <c r="H1651" s="1">
        <f t="shared" si="310"/>
        <v>51</v>
      </c>
      <c r="I1651" s="1" t="str">
        <f t="shared" si="309"/>
        <v>='C:\Users\jaime.benazar\Quorum Business Solutions\Ecopetrol Prometeo - Documents\Planning Space Implementation\3. Analysis &amp; Design\Design\FC22\DRR Jaime\Neiva CPI\[VAO_DINA TERCIARIOS_CF_SEC_20230117.xlsx]CF PS'!$BX$51</v>
      </c>
      <c r="J1651" s="1" t="s">
        <v>850</v>
      </c>
    </row>
    <row r="1652" spans="1:10" x14ac:dyDescent="0.3">
      <c r="A1652" s="6" t="s">
        <v>24</v>
      </c>
      <c r="B1652" s="6">
        <f t="shared" si="373"/>
        <v>2039</v>
      </c>
      <c r="C1652" s="1" t="s">
        <v>40</v>
      </c>
      <c r="D1652" s="2" t="s">
        <v>131</v>
      </c>
      <c r="E1652" s="9" t="str">
        <f t="shared" si="308"/>
        <v>PS'!</v>
      </c>
      <c r="F1652" s="5" t="str">
        <f t="shared" si="371"/>
        <v>C:\Users\jaime.benazar\Quorum Business Solutions\Ecopetrol Prometeo - Documents\Planning Space Implementation\3. Analysis &amp; Design\Design\FC22\DRR Jaime\Neiva CPI\[VAO_DINA TERCIARIOS_CF_SEC_20230117.xlsx]CF PS'!</v>
      </c>
      <c r="G1652" s="6" t="s">
        <v>103</v>
      </c>
      <c r="H1652" s="1">
        <f t="shared" si="310"/>
        <v>52</v>
      </c>
      <c r="I1652" s="1" t="str">
        <f t="shared" si="309"/>
        <v>='C:\Users\jaime.benazar\Quorum Business Solutions\Ecopetrol Prometeo - Documents\Planning Space Implementation\3. Analysis &amp; Design\Design\FC22\DRR Jaime\Neiva CPI\[VAO_DINA TERCIARIOS_CF_SEC_20230117.xlsx]CF PS'!$BX$52</v>
      </c>
      <c r="J1652" s="1" t="s">
        <v>851</v>
      </c>
    </row>
    <row r="1653" spans="1:10" x14ac:dyDescent="0.3">
      <c r="A1653" s="6" t="s">
        <v>24</v>
      </c>
      <c r="B1653" s="6">
        <f t="shared" si="373"/>
        <v>2040</v>
      </c>
      <c r="C1653" s="1" t="s">
        <v>40</v>
      </c>
      <c r="D1653" s="2" t="s">
        <v>131</v>
      </c>
      <c r="E1653" s="9" t="str">
        <f t="shared" si="308"/>
        <v>PS'!</v>
      </c>
      <c r="F1653" s="5" t="str">
        <f t="shared" si="371"/>
        <v>C:\Users\jaime.benazar\Quorum Business Solutions\Ecopetrol Prometeo - Documents\Planning Space Implementation\3. Analysis &amp; Design\Design\FC22\DRR Jaime\Neiva CPI\[VAO_DINA TERCIARIOS_CF_SEC_20230117.xlsx]CF PS'!</v>
      </c>
      <c r="G1653" s="6" t="s">
        <v>103</v>
      </c>
      <c r="H1653" s="1">
        <f t="shared" si="310"/>
        <v>53</v>
      </c>
      <c r="I1653" s="1" t="str">
        <f t="shared" si="309"/>
        <v>='C:\Users\jaime.benazar\Quorum Business Solutions\Ecopetrol Prometeo - Documents\Planning Space Implementation\3. Analysis &amp; Design\Design\FC22\DRR Jaime\Neiva CPI\[VAO_DINA TERCIARIOS_CF_SEC_20230117.xlsx]CF PS'!$BX$53</v>
      </c>
      <c r="J1653" s="1" t="s">
        <v>852</v>
      </c>
    </row>
    <row r="1654" spans="1:10" x14ac:dyDescent="0.3">
      <c r="A1654" s="6" t="s">
        <v>24</v>
      </c>
      <c r="B1654" s="6">
        <f>+B1653+1</f>
        <v>2041</v>
      </c>
      <c r="C1654" s="1" t="s">
        <v>40</v>
      </c>
      <c r="D1654" s="2" t="s">
        <v>131</v>
      </c>
      <c r="E1654" s="9" t="str">
        <f t="shared" si="308"/>
        <v>PS'!</v>
      </c>
      <c r="F1654" s="5" t="str">
        <f t="shared" si="371"/>
        <v>C:\Users\jaime.benazar\Quorum Business Solutions\Ecopetrol Prometeo - Documents\Planning Space Implementation\3. Analysis &amp; Design\Design\FC22\DRR Jaime\Neiva CPI\[VAO_DINA TERCIARIOS_CF_SEC_20230117.xlsx]CF PS'!</v>
      </c>
      <c r="G1654" s="6" t="s">
        <v>103</v>
      </c>
      <c r="H1654" s="1">
        <f t="shared" si="310"/>
        <v>54</v>
      </c>
      <c r="I1654" s="1" t="str">
        <f t="shared" si="309"/>
        <v>='C:\Users\jaime.benazar\Quorum Business Solutions\Ecopetrol Prometeo - Documents\Planning Space Implementation\3. Analysis &amp; Design\Design\FC22\DRR Jaime\Neiva CPI\[VAO_DINA TERCIARIOS_CF_SEC_20230117.xlsx]CF PS'!$BX$54</v>
      </c>
      <c r="J1654" s="1" t="s">
        <v>853</v>
      </c>
    </row>
    <row r="1655" spans="1:10" x14ac:dyDescent="0.3">
      <c r="A1655" s="6" t="s">
        <v>24</v>
      </c>
      <c r="B1655" s="6">
        <f t="shared" ref="B1655:B1656" si="374">+B1654+1</f>
        <v>2042</v>
      </c>
      <c r="C1655" s="1" t="s">
        <v>40</v>
      </c>
      <c r="D1655" s="2" t="s">
        <v>131</v>
      </c>
      <c r="E1655" s="9" t="str">
        <f t="shared" si="308"/>
        <v>PS'!</v>
      </c>
      <c r="F1655" s="5" t="str">
        <f t="shared" si="371"/>
        <v>C:\Users\jaime.benazar\Quorum Business Solutions\Ecopetrol Prometeo - Documents\Planning Space Implementation\3. Analysis &amp; Design\Design\FC22\DRR Jaime\Neiva CPI\[VAO_DINA TERCIARIOS_CF_SEC_20230117.xlsx]CF PS'!</v>
      </c>
      <c r="G1655" s="6" t="s">
        <v>103</v>
      </c>
      <c r="H1655" s="1">
        <f t="shared" si="310"/>
        <v>55</v>
      </c>
      <c r="I1655" s="1" t="str">
        <f t="shared" si="309"/>
        <v>='C:\Users\jaime.benazar\Quorum Business Solutions\Ecopetrol Prometeo - Documents\Planning Space Implementation\3. Analysis &amp; Design\Design\FC22\DRR Jaime\Neiva CPI\[VAO_DINA TERCIARIOS_CF_SEC_20230117.xlsx]CF PS'!$BX$55</v>
      </c>
      <c r="J1655" s="1" t="s">
        <v>854</v>
      </c>
    </row>
    <row r="1656" spans="1:10" x14ac:dyDescent="0.3">
      <c r="A1656" s="6" t="s">
        <v>24</v>
      </c>
      <c r="B1656" s="6">
        <f t="shared" si="374"/>
        <v>2043</v>
      </c>
      <c r="C1656" s="1" t="s">
        <v>40</v>
      </c>
      <c r="D1656" s="2" t="s">
        <v>131</v>
      </c>
      <c r="E1656" s="9" t="str">
        <f t="shared" si="308"/>
        <v>PS'!</v>
      </c>
      <c r="F1656" s="5" t="str">
        <f t="shared" si="371"/>
        <v>C:\Users\jaime.benazar\Quorum Business Solutions\Ecopetrol Prometeo - Documents\Planning Space Implementation\3. Analysis &amp; Design\Design\FC22\DRR Jaime\Neiva CPI\[VAO_DINA TERCIARIOS_CF_SEC_20230117.xlsx]CF PS'!</v>
      </c>
      <c r="G1656" s="6" t="s">
        <v>103</v>
      </c>
      <c r="H1656" s="1">
        <f t="shared" si="310"/>
        <v>56</v>
      </c>
      <c r="I1656" s="1" t="str">
        <f t="shared" si="309"/>
        <v>='C:\Users\jaime.benazar\Quorum Business Solutions\Ecopetrol Prometeo - Documents\Planning Space Implementation\3. Analysis &amp; Design\Design\FC22\DRR Jaime\Neiva CPI\[VAO_DINA TERCIARIOS_CF_SEC_20230117.xlsx]CF PS'!$BX$56</v>
      </c>
      <c r="J1656" s="1" t="s">
        <v>855</v>
      </c>
    </row>
    <row r="1657" spans="1:10" x14ac:dyDescent="0.3">
      <c r="A1657" s="6" t="s">
        <v>24</v>
      </c>
      <c r="B1657" s="6">
        <f>+B1656+1</f>
        <v>2044</v>
      </c>
      <c r="C1657" s="1" t="s">
        <v>40</v>
      </c>
      <c r="D1657" s="2" t="s">
        <v>131</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Jaime\Neiva CPI\[VAO_DINA TERCIARIOS_CF_SEC_20230117.xlsx]CF PS'!</v>
      </c>
      <c r="G1657" s="6" t="s">
        <v>103</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Jaime\Neiva CPI\[VAO_DINA TERCIARIOS_CF_SEC_20230117.xlsx]CF PS'!$BX$57</v>
      </c>
      <c r="J1657" s="1" t="s">
        <v>856</v>
      </c>
    </row>
    <row r="1658" spans="1:10" x14ac:dyDescent="0.3">
      <c r="A1658" s="6" t="s">
        <v>24</v>
      </c>
      <c r="B1658" s="6">
        <f t="shared" ref="B1658:B1672" si="379">+B1657+1</f>
        <v>2045</v>
      </c>
      <c r="C1658" s="1" t="s">
        <v>40</v>
      </c>
      <c r="D1658" s="2" t="s">
        <v>131</v>
      </c>
      <c r="E1658" s="9" t="str">
        <f t="shared" si="375"/>
        <v>PS'!</v>
      </c>
      <c r="F1658" s="5" t="str">
        <f t="shared" si="376"/>
        <v>C:\Users\jaime.benazar\Quorum Business Solutions\Ecopetrol Prometeo - Documents\Planning Space Implementation\3. Analysis &amp; Design\Design\FC22\DRR Jaime\Neiva CPI\[VAO_DINA TERCIARIOS_CF_SEC_20230117.xlsx]CF PS'!</v>
      </c>
      <c r="G1658" s="6" t="s">
        <v>103</v>
      </c>
      <c r="H1658" s="1">
        <f t="shared" si="377"/>
        <v>58</v>
      </c>
      <c r="I1658" s="1" t="str">
        <f t="shared" si="378"/>
        <v>='C:\Users\jaime.benazar\Quorum Business Solutions\Ecopetrol Prometeo - Documents\Planning Space Implementation\3. Analysis &amp; Design\Design\FC22\DRR Jaime\Neiva CPI\[VAO_DINA TERCIARIOS_CF_SEC_20230117.xlsx]CF PS'!$BX$58</v>
      </c>
      <c r="J1658" s="1" t="s">
        <v>857</v>
      </c>
    </row>
    <row r="1659" spans="1:10" x14ac:dyDescent="0.3">
      <c r="A1659" s="6" t="s">
        <v>24</v>
      </c>
      <c r="B1659" s="6">
        <f t="shared" si="379"/>
        <v>2046</v>
      </c>
      <c r="C1659" s="1" t="s">
        <v>40</v>
      </c>
      <c r="D1659" s="2" t="s">
        <v>131</v>
      </c>
      <c r="E1659" s="9" t="str">
        <f t="shared" si="375"/>
        <v>PS'!</v>
      </c>
      <c r="F1659" s="5" t="str">
        <f t="shared" si="376"/>
        <v>C:\Users\jaime.benazar\Quorum Business Solutions\Ecopetrol Prometeo - Documents\Planning Space Implementation\3. Analysis &amp; Design\Design\FC22\DRR Jaime\Neiva CPI\[VAO_DINA TERCIARIOS_CF_SEC_20230117.xlsx]CF PS'!</v>
      </c>
      <c r="G1659" s="6" t="s">
        <v>103</v>
      </c>
      <c r="H1659" s="1">
        <f t="shared" si="377"/>
        <v>59</v>
      </c>
      <c r="I1659" s="1" t="str">
        <f t="shared" si="378"/>
        <v>='C:\Users\jaime.benazar\Quorum Business Solutions\Ecopetrol Prometeo - Documents\Planning Space Implementation\3. Analysis &amp; Design\Design\FC22\DRR Jaime\Neiva CPI\[VAO_DINA TERCIARIOS_CF_SEC_20230117.xlsx]CF PS'!$BX$59</v>
      </c>
      <c r="J1659" s="1" t="s">
        <v>858</v>
      </c>
    </row>
    <row r="1660" spans="1:10" x14ac:dyDescent="0.3">
      <c r="A1660" s="6" t="s">
        <v>24</v>
      </c>
      <c r="B1660" s="6">
        <f t="shared" si="379"/>
        <v>2047</v>
      </c>
      <c r="C1660" s="1" t="s">
        <v>40</v>
      </c>
      <c r="D1660" s="2" t="s">
        <v>131</v>
      </c>
      <c r="E1660" s="9" t="str">
        <f t="shared" si="375"/>
        <v>PS'!</v>
      </c>
      <c r="F1660" s="5" t="str">
        <f t="shared" si="376"/>
        <v>C:\Users\jaime.benazar\Quorum Business Solutions\Ecopetrol Prometeo - Documents\Planning Space Implementation\3. Analysis &amp; Design\Design\FC22\DRR Jaime\Neiva CPI\[VAO_DINA TERCIARIOS_CF_SEC_20230117.xlsx]CF PS'!</v>
      </c>
      <c r="G1660" s="6" t="s">
        <v>103</v>
      </c>
      <c r="H1660" s="1">
        <f t="shared" si="377"/>
        <v>60</v>
      </c>
      <c r="I1660" s="1" t="str">
        <f t="shared" si="378"/>
        <v>='C:\Users\jaime.benazar\Quorum Business Solutions\Ecopetrol Prometeo - Documents\Planning Space Implementation\3. Analysis &amp; Design\Design\FC22\DRR Jaime\Neiva CPI\[VAO_DINA TERCIARIOS_CF_SEC_20230117.xlsx]CF PS'!$BX$60</v>
      </c>
      <c r="J1660" s="1" t="s">
        <v>859</v>
      </c>
    </row>
    <row r="1661" spans="1:10" x14ac:dyDescent="0.3">
      <c r="A1661" s="6" t="s">
        <v>24</v>
      </c>
      <c r="B1661" s="6">
        <f t="shared" si="379"/>
        <v>2048</v>
      </c>
      <c r="C1661" s="1" t="s">
        <v>40</v>
      </c>
      <c r="D1661" s="2" t="s">
        <v>131</v>
      </c>
      <c r="E1661" s="9" t="str">
        <f t="shared" si="375"/>
        <v>PS'!</v>
      </c>
      <c r="F1661" s="5" t="str">
        <f t="shared" si="376"/>
        <v>C:\Users\jaime.benazar\Quorum Business Solutions\Ecopetrol Prometeo - Documents\Planning Space Implementation\3. Analysis &amp; Design\Design\FC22\DRR Jaime\Neiva CPI\[VAO_DINA TERCIARIOS_CF_SEC_20230117.xlsx]CF PS'!</v>
      </c>
      <c r="G1661" s="6" t="s">
        <v>103</v>
      </c>
      <c r="H1661" s="1">
        <f t="shared" si="377"/>
        <v>61</v>
      </c>
      <c r="I1661" s="1" t="str">
        <f t="shared" si="378"/>
        <v>='C:\Users\jaime.benazar\Quorum Business Solutions\Ecopetrol Prometeo - Documents\Planning Space Implementation\3. Analysis &amp; Design\Design\FC22\DRR Jaime\Neiva CPI\[VAO_DINA TERCIARIOS_CF_SEC_20230117.xlsx]CF PS'!$BX$61</v>
      </c>
      <c r="J1661" s="1" t="s">
        <v>860</v>
      </c>
    </row>
    <row r="1662" spans="1:10" x14ac:dyDescent="0.3">
      <c r="A1662" s="6" t="s">
        <v>24</v>
      </c>
      <c r="B1662" s="6">
        <f t="shared" si="379"/>
        <v>2049</v>
      </c>
      <c r="C1662" s="1" t="s">
        <v>40</v>
      </c>
      <c r="D1662" s="2" t="s">
        <v>131</v>
      </c>
      <c r="E1662" s="9" t="str">
        <f t="shared" si="375"/>
        <v>PS'!</v>
      </c>
      <c r="F1662" s="5" t="str">
        <f t="shared" si="376"/>
        <v>C:\Users\jaime.benazar\Quorum Business Solutions\Ecopetrol Prometeo - Documents\Planning Space Implementation\3. Analysis &amp; Design\Design\FC22\DRR Jaime\Neiva CPI\[VAO_DINA TERCIARIOS_CF_SEC_20230117.xlsx]CF PS'!</v>
      </c>
      <c r="G1662" s="6" t="s">
        <v>103</v>
      </c>
      <c r="H1662" s="1">
        <f t="shared" si="377"/>
        <v>62</v>
      </c>
      <c r="I1662" s="1" t="str">
        <f t="shared" si="378"/>
        <v>='C:\Users\jaime.benazar\Quorum Business Solutions\Ecopetrol Prometeo - Documents\Planning Space Implementation\3. Analysis &amp; Design\Design\FC22\DRR Jaime\Neiva CPI\[VAO_DINA TERCIARIOS_CF_SEC_20230117.xlsx]CF PS'!$BX$62</v>
      </c>
      <c r="J1662" s="1" t="s">
        <v>861</v>
      </c>
    </row>
    <row r="1663" spans="1:10" x14ac:dyDescent="0.3">
      <c r="A1663" s="6" t="s">
        <v>24</v>
      </c>
      <c r="B1663" s="6">
        <f t="shared" si="379"/>
        <v>2050</v>
      </c>
      <c r="C1663" s="1" t="s">
        <v>40</v>
      </c>
      <c r="D1663" s="2" t="s">
        <v>131</v>
      </c>
      <c r="E1663" s="9" t="str">
        <f t="shared" si="375"/>
        <v>PS'!</v>
      </c>
      <c r="F1663" s="5" t="str">
        <f t="shared" si="376"/>
        <v>C:\Users\jaime.benazar\Quorum Business Solutions\Ecopetrol Prometeo - Documents\Planning Space Implementation\3. Analysis &amp; Design\Design\FC22\DRR Jaime\Neiva CPI\[VAO_DINA TERCIARIOS_CF_SEC_20230117.xlsx]CF PS'!</v>
      </c>
      <c r="G1663" s="6" t="s">
        <v>103</v>
      </c>
      <c r="H1663" s="1">
        <f t="shared" si="377"/>
        <v>63</v>
      </c>
      <c r="I1663" s="1" t="str">
        <f t="shared" si="378"/>
        <v>='C:\Users\jaime.benazar\Quorum Business Solutions\Ecopetrol Prometeo - Documents\Planning Space Implementation\3. Analysis &amp; Design\Design\FC22\DRR Jaime\Neiva CPI\[VAO_DINA TERCIARIOS_CF_SEC_20230117.xlsx]CF PS'!$BX$63</v>
      </c>
      <c r="J1663" s="1" t="s">
        <v>862</v>
      </c>
    </row>
    <row r="1664" spans="1:10" x14ac:dyDescent="0.3">
      <c r="A1664" s="6" t="s">
        <v>24</v>
      </c>
      <c r="B1664" s="6">
        <f t="shared" si="379"/>
        <v>2051</v>
      </c>
      <c r="C1664" s="1" t="s">
        <v>40</v>
      </c>
      <c r="D1664" s="2" t="s">
        <v>131</v>
      </c>
      <c r="E1664" s="9" t="str">
        <f t="shared" si="375"/>
        <v>PS'!</v>
      </c>
      <c r="F1664" s="5" t="str">
        <f t="shared" si="376"/>
        <v>C:\Users\jaime.benazar\Quorum Business Solutions\Ecopetrol Prometeo - Documents\Planning Space Implementation\3. Analysis &amp; Design\Design\FC22\DRR Jaime\Neiva CPI\[VAO_DINA TERCIARIOS_CF_SEC_20230117.xlsx]CF PS'!</v>
      </c>
      <c r="G1664" s="6" t="s">
        <v>103</v>
      </c>
      <c r="H1664" s="1">
        <f t="shared" si="377"/>
        <v>64</v>
      </c>
      <c r="I1664" s="1" t="str">
        <f t="shared" si="378"/>
        <v>='C:\Users\jaime.benazar\Quorum Business Solutions\Ecopetrol Prometeo - Documents\Planning Space Implementation\3. Analysis &amp; Design\Design\FC22\DRR Jaime\Neiva CPI\[VAO_DINA TERCIARIOS_CF_SEC_20230117.xlsx]CF PS'!$BX$64</v>
      </c>
      <c r="J1664" s="1" t="s">
        <v>863</v>
      </c>
    </row>
    <row r="1665" spans="1:10" x14ac:dyDescent="0.3">
      <c r="A1665" s="6" t="s">
        <v>24</v>
      </c>
      <c r="B1665" s="6">
        <f t="shared" si="379"/>
        <v>2052</v>
      </c>
      <c r="C1665" s="1" t="s">
        <v>40</v>
      </c>
      <c r="D1665" s="2" t="s">
        <v>131</v>
      </c>
      <c r="E1665" s="9" t="str">
        <f t="shared" si="375"/>
        <v>PS'!</v>
      </c>
      <c r="F1665" s="5" t="str">
        <f t="shared" si="376"/>
        <v>C:\Users\jaime.benazar\Quorum Business Solutions\Ecopetrol Prometeo - Documents\Planning Space Implementation\3. Analysis &amp; Design\Design\FC22\DRR Jaime\Neiva CPI\[VAO_DINA TERCIARIOS_CF_SEC_20230117.xlsx]CF PS'!</v>
      </c>
      <c r="G1665" s="6" t="s">
        <v>103</v>
      </c>
      <c r="H1665" s="1">
        <f t="shared" si="377"/>
        <v>65</v>
      </c>
      <c r="I1665" s="1" t="str">
        <f t="shared" si="378"/>
        <v>='C:\Users\jaime.benazar\Quorum Business Solutions\Ecopetrol Prometeo - Documents\Planning Space Implementation\3. Analysis &amp; Design\Design\FC22\DRR Jaime\Neiva CPI\[VAO_DINA TERCIARIOS_CF_SEC_20230117.xlsx]CF PS'!$BX$65</v>
      </c>
      <c r="J1665" s="1" t="s">
        <v>864</v>
      </c>
    </row>
    <row r="1666" spans="1:10" x14ac:dyDescent="0.3">
      <c r="A1666" s="6" t="s">
        <v>24</v>
      </c>
      <c r="B1666" s="6">
        <f t="shared" si="379"/>
        <v>2053</v>
      </c>
      <c r="C1666" s="1" t="s">
        <v>40</v>
      </c>
      <c r="D1666" s="2" t="s">
        <v>131</v>
      </c>
      <c r="E1666" s="9" t="str">
        <f t="shared" si="375"/>
        <v>PS'!</v>
      </c>
      <c r="F1666" s="5" t="str">
        <f t="shared" si="376"/>
        <v>C:\Users\jaime.benazar\Quorum Business Solutions\Ecopetrol Prometeo - Documents\Planning Space Implementation\3. Analysis &amp; Design\Design\FC22\DRR Jaime\Neiva CPI\[VAO_DINA TERCIARIOS_CF_SEC_20230117.xlsx]CF PS'!</v>
      </c>
      <c r="G1666" s="6" t="s">
        <v>103</v>
      </c>
      <c r="H1666" s="1">
        <f t="shared" si="377"/>
        <v>66</v>
      </c>
      <c r="I1666" s="1" t="str">
        <f t="shared" si="378"/>
        <v>='C:\Users\jaime.benazar\Quorum Business Solutions\Ecopetrol Prometeo - Documents\Planning Space Implementation\3. Analysis &amp; Design\Design\FC22\DRR Jaime\Neiva CPI\[VAO_DINA TERCIARIOS_CF_SEC_20230117.xlsx]CF PS'!$BX$66</v>
      </c>
      <c r="J1666" s="1" t="s">
        <v>865</v>
      </c>
    </row>
    <row r="1667" spans="1:10" x14ac:dyDescent="0.3">
      <c r="A1667" s="6" t="s">
        <v>24</v>
      </c>
      <c r="B1667" s="6">
        <f t="shared" si="379"/>
        <v>2054</v>
      </c>
      <c r="C1667" s="1" t="s">
        <v>40</v>
      </c>
      <c r="D1667" s="2" t="s">
        <v>131</v>
      </c>
      <c r="E1667" s="9" t="str">
        <f t="shared" si="375"/>
        <v>PS'!</v>
      </c>
      <c r="F1667" s="5" t="str">
        <f t="shared" si="376"/>
        <v>C:\Users\jaime.benazar\Quorum Business Solutions\Ecopetrol Prometeo - Documents\Planning Space Implementation\3. Analysis &amp; Design\Design\FC22\DRR Jaime\Neiva CPI\[VAO_DINA TERCIARIOS_CF_SEC_20230117.xlsx]CF PS'!</v>
      </c>
      <c r="G1667" s="6" t="s">
        <v>103</v>
      </c>
      <c r="H1667" s="1">
        <f t="shared" si="377"/>
        <v>67</v>
      </c>
      <c r="I1667" s="1" t="str">
        <f t="shared" si="378"/>
        <v>='C:\Users\jaime.benazar\Quorum Business Solutions\Ecopetrol Prometeo - Documents\Planning Space Implementation\3. Analysis &amp; Design\Design\FC22\DRR Jaime\Neiva CPI\[VAO_DINA TERCIARIOS_CF_SEC_20230117.xlsx]CF PS'!$BX$67</v>
      </c>
      <c r="J1667" s="1" t="s">
        <v>866</v>
      </c>
    </row>
    <row r="1668" spans="1:10" x14ac:dyDescent="0.3">
      <c r="A1668" s="6" t="s">
        <v>24</v>
      </c>
      <c r="B1668" s="6">
        <f t="shared" si="379"/>
        <v>2055</v>
      </c>
      <c r="C1668" s="1" t="s">
        <v>40</v>
      </c>
      <c r="D1668" s="2" t="s">
        <v>131</v>
      </c>
      <c r="E1668" s="9" t="str">
        <f t="shared" si="375"/>
        <v>PS'!</v>
      </c>
      <c r="F1668" s="5" t="str">
        <f t="shared" si="376"/>
        <v>C:\Users\jaime.benazar\Quorum Business Solutions\Ecopetrol Prometeo - Documents\Planning Space Implementation\3. Analysis &amp; Design\Design\FC22\DRR Jaime\Neiva CPI\[VAO_DINA TERCIARIOS_CF_SEC_20230117.xlsx]CF PS'!</v>
      </c>
      <c r="G1668" s="6" t="s">
        <v>103</v>
      </c>
      <c r="H1668" s="1">
        <f t="shared" si="377"/>
        <v>68</v>
      </c>
      <c r="I1668" s="1" t="str">
        <f t="shared" si="378"/>
        <v>='C:\Users\jaime.benazar\Quorum Business Solutions\Ecopetrol Prometeo - Documents\Planning Space Implementation\3. Analysis &amp; Design\Design\FC22\DRR Jaime\Neiva CPI\[VAO_DINA TERCIARIOS_CF_SEC_20230117.xlsx]CF PS'!$BX$68</v>
      </c>
      <c r="J1668" s="1" t="s">
        <v>867</v>
      </c>
    </row>
    <row r="1669" spans="1:10" x14ac:dyDescent="0.3">
      <c r="A1669" s="6" t="s">
        <v>24</v>
      </c>
      <c r="B1669" s="6">
        <f t="shared" si="379"/>
        <v>2056</v>
      </c>
      <c r="C1669" s="1" t="s">
        <v>40</v>
      </c>
      <c r="D1669" s="2" t="s">
        <v>131</v>
      </c>
      <c r="E1669" s="9" t="str">
        <f t="shared" si="375"/>
        <v>PS'!</v>
      </c>
      <c r="F1669" s="5" t="str">
        <f t="shared" si="376"/>
        <v>C:\Users\jaime.benazar\Quorum Business Solutions\Ecopetrol Prometeo - Documents\Planning Space Implementation\3. Analysis &amp; Design\Design\FC22\DRR Jaime\Neiva CPI\[VAO_DINA TERCIARIOS_CF_SEC_20230117.xlsx]CF PS'!</v>
      </c>
      <c r="G1669" s="6" t="s">
        <v>103</v>
      </c>
      <c r="H1669" s="1">
        <f t="shared" si="377"/>
        <v>69</v>
      </c>
      <c r="I1669" s="1" t="str">
        <f t="shared" si="378"/>
        <v>='C:\Users\jaime.benazar\Quorum Business Solutions\Ecopetrol Prometeo - Documents\Planning Space Implementation\3. Analysis &amp; Design\Design\FC22\DRR Jaime\Neiva CPI\[VAO_DINA TERCIARIOS_CF_SEC_20230117.xlsx]CF PS'!$BX$69</v>
      </c>
      <c r="J1669" s="1" t="s">
        <v>868</v>
      </c>
    </row>
    <row r="1670" spans="1:10" x14ac:dyDescent="0.3">
      <c r="A1670" s="6" t="s">
        <v>24</v>
      </c>
      <c r="B1670" s="6">
        <f t="shared" si="379"/>
        <v>2057</v>
      </c>
      <c r="C1670" s="1" t="s">
        <v>40</v>
      </c>
      <c r="D1670" s="2" t="s">
        <v>131</v>
      </c>
      <c r="E1670" s="9" t="str">
        <f t="shared" si="375"/>
        <v>PS'!</v>
      </c>
      <c r="F1670" s="5" t="str">
        <f t="shared" si="376"/>
        <v>C:\Users\jaime.benazar\Quorum Business Solutions\Ecopetrol Prometeo - Documents\Planning Space Implementation\3. Analysis &amp; Design\Design\FC22\DRR Jaime\Neiva CPI\[VAO_DINA TERCIARIOS_CF_SEC_20230117.xlsx]CF PS'!</v>
      </c>
      <c r="G1670" s="6" t="s">
        <v>103</v>
      </c>
      <c r="H1670" s="1">
        <f t="shared" si="377"/>
        <v>70</v>
      </c>
      <c r="I1670" s="1" t="str">
        <f t="shared" si="378"/>
        <v>='C:\Users\jaime.benazar\Quorum Business Solutions\Ecopetrol Prometeo - Documents\Planning Space Implementation\3. Analysis &amp; Design\Design\FC22\DRR Jaime\Neiva CPI\[VAO_DINA TERCIARIOS_CF_SEC_20230117.xlsx]CF PS'!$BX$70</v>
      </c>
      <c r="J1670" s="1" t="s">
        <v>869</v>
      </c>
    </row>
    <row r="1671" spans="1:10" x14ac:dyDescent="0.3">
      <c r="A1671" s="6" t="s">
        <v>24</v>
      </c>
      <c r="B1671" s="6">
        <f t="shared" si="379"/>
        <v>2058</v>
      </c>
      <c r="C1671" s="1" t="s">
        <v>40</v>
      </c>
      <c r="D1671" s="2" t="s">
        <v>131</v>
      </c>
      <c r="E1671" s="9" t="str">
        <f t="shared" si="375"/>
        <v>PS'!</v>
      </c>
      <c r="F1671" s="5" t="str">
        <f t="shared" si="376"/>
        <v>C:\Users\jaime.benazar\Quorum Business Solutions\Ecopetrol Prometeo - Documents\Planning Space Implementation\3. Analysis &amp; Design\Design\FC22\DRR Jaime\Neiva CPI\[VAO_DINA TERCIARIOS_CF_SEC_20230117.xlsx]CF PS'!</v>
      </c>
      <c r="G1671" s="6" t="s">
        <v>103</v>
      </c>
      <c r="H1671" s="1">
        <f t="shared" si="377"/>
        <v>71</v>
      </c>
      <c r="I1671" s="1" t="str">
        <f t="shared" si="378"/>
        <v>='C:\Users\jaime.benazar\Quorum Business Solutions\Ecopetrol Prometeo - Documents\Planning Space Implementation\3. Analysis &amp; Design\Design\FC22\DRR Jaime\Neiva CPI\[VAO_DINA TERCIARIOS_CF_SEC_20230117.xlsx]CF PS'!$BX$71</v>
      </c>
      <c r="J1671" s="1" t="s">
        <v>870</v>
      </c>
    </row>
    <row r="1672" spans="1:10" x14ac:dyDescent="0.3">
      <c r="A1672" s="6" t="s">
        <v>24</v>
      </c>
      <c r="B1672" s="6">
        <f t="shared" si="379"/>
        <v>2059</v>
      </c>
      <c r="C1672" s="1" t="s">
        <v>40</v>
      </c>
      <c r="D1672" s="2" t="s">
        <v>131</v>
      </c>
      <c r="E1672" s="9" t="str">
        <f t="shared" si="375"/>
        <v>PS'!</v>
      </c>
      <c r="F1672" s="5" t="str">
        <f t="shared" si="376"/>
        <v>C:\Users\jaime.benazar\Quorum Business Solutions\Ecopetrol Prometeo - Documents\Planning Space Implementation\3. Analysis &amp; Design\Design\FC22\DRR Jaime\Neiva CPI\[VAO_DINA TERCIARIOS_CF_SEC_20230117.xlsx]CF PS'!</v>
      </c>
      <c r="G1672" s="6" t="s">
        <v>103</v>
      </c>
      <c r="H1672" s="1">
        <f t="shared" si="377"/>
        <v>72</v>
      </c>
      <c r="I1672" s="1" t="str">
        <f t="shared" si="378"/>
        <v>='C:\Users\jaime.benazar\Quorum Business Solutions\Ecopetrol Prometeo - Documents\Planning Space Implementation\3. Analysis &amp; Design\Design\FC22\DRR Jaime\Neiva CPI\[VAO_DINA TERCIARIOS_CF_SEC_20230117.xlsx]CF PS'!$BX$72</v>
      </c>
      <c r="J1672" s="1" t="s">
        <v>871</v>
      </c>
    </row>
    <row r="1673" spans="1:10" x14ac:dyDescent="0.3">
      <c r="A1673" s="6" t="s">
        <v>26</v>
      </c>
      <c r="B1673" s="6"/>
      <c r="C1673" s="1" t="s">
        <v>40</v>
      </c>
      <c r="D1673" s="2"/>
      <c r="E1673" s="9"/>
      <c r="F1673" s="2"/>
      <c r="G1673" s="6"/>
      <c r="H1673" s="1"/>
      <c r="I1673" s="1"/>
      <c r="J1673" s="4"/>
    </row>
    <row r="1674" spans="1:10" x14ac:dyDescent="0.3">
      <c r="A1674" s="7" t="s">
        <v>14</v>
      </c>
      <c r="B1674" s="7">
        <v>2023</v>
      </c>
      <c r="C1674" s="4" t="s">
        <v>46</v>
      </c>
      <c r="D1674" s="5" t="s">
        <v>131</v>
      </c>
      <c r="E1674" s="10" t="str">
        <f>_xlfn.CONCAT(A1674,"'!")</f>
        <v>PDP'!</v>
      </c>
      <c r="F1674" s="5" t="str">
        <f t="shared" ref="F1674:F1694" si="380">_xlfn.CONCAT(D1674," ",E1674)</f>
        <v>C:\Users\jaime.benazar\Quorum Business Solutions\Ecopetrol Prometeo - Documents\Planning Space Implementation\3. Analysis &amp; Design\Design\FC22\DRR Jaime\Neiva CPI\[VAO_DINA TERCIARIOS_CF_SEC_20230117.xlsx]CF PDP'!</v>
      </c>
      <c r="G1674" s="7" t="s">
        <v>104</v>
      </c>
      <c r="H1674" s="4">
        <f>IF(A1674&lt;&gt;A1658,36,H1658+1)</f>
        <v>36</v>
      </c>
      <c r="I1674" s="4" t="str">
        <f>_xlfn.CONCAT("='",F1674:H1674)</f>
        <v>='C:\Users\jaime.benazar\Quorum Business Solutions\Ecopetrol Prometeo - Documents\Planning Space Implementation\3. Analysis &amp; Design\Design\FC22\DRR Jaime\Neiva CPI\[VAO_DINA TERCIARIOS_CF_SEC_20230117.xlsx]CF PDP'!$BU$36</v>
      </c>
      <c r="J1674" s="4" t="s">
        <v>872</v>
      </c>
    </row>
    <row r="1675" spans="1:10" x14ac:dyDescent="0.3">
      <c r="A1675" s="7" t="s">
        <v>14</v>
      </c>
      <c r="B1675" s="7">
        <f>+B1674+1</f>
        <v>2024</v>
      </c>
      <c r="C1675" s="4" t="s">
        <v>46</v>
      </c>
      <c r="D1675" s="5" t="s">
        <v>131</v>
      </c>
      <c r="E1675" s="10" t="str">
        <f t="shared" ref="E1675:E1768" si="381">_xlfn.CONCAT(A1675,"'!")</f>
        <v>PDP'!</v>
      </c>
      <c r="F1675" s="5" t="str">
        <f t="shared" si="380"/>
        <v>C:\Users\jaime.benazar\Quorum Business Solutions\Ecopetrol Prometeo - Documents\Planning Space Implementation\3. Analysis &amp; Design\Design\FC22\DRR Jaime\Neiva CPI\[VAO_DINA TERCIARIOS_CF_SEC_20230117.xlsx]CF PDP'!</v>
      </c>
      <c r="G1675" s="7" t="s">
        <v>104</v>
      </c>
      <c r="H1675" s="4">
        <f>IF(A1675&lt;&gt;A1674,36,H1674+1)</f>
        <v>37</v>
      </c>
      <c r="I1675" s="4" t="str">
        <f t="shared" ref="I1675:I1768" si="382">_xlfn.CONCAT("='",F1675:H1675)</f>
        <v>='C:\Users\jaime.benazar\Quorum Business Solutions\Ecopetrol Prometeo - Documents\Planning Space Implementation\3. Analysis &amp; Design\Design\FC22\DRR Jaime\Neiva CPI\[VAO_DINA TERCIARIOS_CF_SEC_20230117.xlsx]CF PDP'!$BU$37</v>
      </c>
      <c r="J1675" s="4" t="s">
        <v>873</v>
      </c>
    </row>
    <row r="1676" spans="1:10" x14ac:dyDescent="0.3">
      <c r="A1676" s="7" t="s">
        <v>14</v>
      </c>
      <c r="B1676" s="7">
        <f t="shared" ref="B1676:B1687" si="383">+B1675+1</f>
        <v>2025</v>
      </c>
      <c r="C1676" s="4" t="s">
        <v>46</v>
      </c>
      <c r="D1676" s="5" t="s">
        <v>131</v>
      </c>
      <c r="E1676" s="10" t="str">
        <f t="shared" si="381"/>
        <v>PDP'!</v>
      </c>
      <c r="F1676" s="5" t="str">
        <f t="shared" si="380"/>
        <v>C:\Users\jaime.benazar\Quorum Business Solutions\Ecopetrol Prometeo - Documents\Planning Space Implementation\3. Analysis &amp; Design\Design\FC22\DRR Jaime\Neiva CPI\[VAO_DINA TERCIARIOS_CF_SEC_20230117.xlsx]CF PDP'!</v>
      </c>
      <c r="G1676" s="7" t="s">
        <v>104</v>
      </c>
      <c r="H1676" s="4">
        <f t="shared" ref="H1676:H1769" si="384">IF(A1676&lt;&gt;A1675,36,H1675+1)</f>
        <v>38</v>
      </c>
      <c r="I1676" s="4" t="str">
        <f t="shared" si="382"/>
        <v>='C:\Users\jaime.benazar\Quorum Business Solutions\Ecopetrol Prometeo - Documents\Planning Space Implementation\3. Analysis &amp; Design\Design\FC22\DRR Jaime\Neiva CPI\[VAO_DINA TERCIARIOS_CF_SEC_20230117.xlsx]CF PDP'!$BU$38</v>
      </c>
      <c r="J1676" s="4" t="s">
        <v>874</v>
      </c>
    </row>
    <row r="1677" spans="1:10" x14ac:dyDescent="0.3">
      <c r="A1677" s="7" t="s">
        <v>14</v>
      </c>
      <c r="B1677" s="7">
        <f t="shared" si="383"/>
        <v>2026</v>
      </c>
      <c r="C1677" s="4" t="s">
        <v>46</v>
      </c>
      <c r="D1677" s="5" t="s">
        <v>131</v>
      </c>
      <c r="E1677" s="10" t="str">
        <f t="shared" si="381"/>
        <v>PDP'!</v>
      </c>
      <c r="F1677" s="5" t="str">
        <f t="shared" si="380"/>
        <v>C:\Users\jaime.benazar\Quorum Business Solutions\Ecopetrol Prometeo - Documents\Planning Space Implementation\3. Analysis &amp; Design\Design\FC22\DRR Jaime\Neiva CPI\[VAO_DINA TERCIARIOS_CF_SEC_20230117.xlsx]CF PDP'!</v>
      </c>
      <c r="G1677" s="7" t="s">
        <v>104</v>
      </c>
      <c r="H1677" s="4">
        <f t="shared" si="384"/>
        <v>39</v>
      </c>
      <c r="I1677" s="4" t="str">
        <f t="shared" si="382"/>
        <v>='C:\Users\jaime.benazar\Quorum Business Solutions\Ecopetrol Prometeo - Documents\Planning Space Implementation\3. Analysis &amp; Design\Design\FC22\DRR Jaime\Neiva CPI\[VAO_DINA TERCIARIOS_CF_SEC_20230117.xlsx]CF PDP'!$BU$39</v>
      </c>
      <c r="J1677" s="4" t="s">
        <v>875</v>
      </c>
    </row>
    <row r="1678" spans="1:10" x14ac:dyDescent="0.3">
      <c r="A1678" s="7" t="s">
        <v>14</v>
      </c>
      <c r="B1678" s="7">
        <f t="shared" si="383"/>
        <v>2027</v>
      </c>
      <c r="C1678" s="4" t="s">
        <v>46</v>
      </c>
      <c r="D1678" s="5" t="s">
        <v>131</v>
      </c>
      <c r="E1678" s="10" t="str">
        <f t="shared" si="381"/>
        <v>PDP'!</v>
      </c>
      <c r="F1678" s="5" t="str">
        <f t="shared" si="380"/>
        <v>C:\Users\jaime.benazar\Quorum Business Solutions\Ecopetrol Prometeo - Documents\Planning Space Implementation\3. Analysis &amp; Design\Design\FC22\DRR Jaime\Neiva CPI\[VAO_DINA TERCIARIOS_CF_SEC_20230117.xlsx]CF PDP'!</v>
      </c>
      <c r="G1678" s="7" t="s">
        <v>104</v>
      </c>
      <c r="H1678" s="4">
        <f t="shared" si="384"/>
        <v>40</v>
      </c>
      <c r="I1678" s="4" t="str">
        <f t="shared" si="382"/>
        <v>='C:\Users\jaime.benazar\Quorum Business Solutions\Ecopetrol Prometeo - Documents\Planning Space Implementation\3. Analysis &amp; Design\Design\FC22\DRR Jaime\Neiva CPI\[VAO_DINA TERCIARIOS_CF_SEC_20230117.xlsx]CF PDP'!$BU$40</v>
      </c>
      <c r="J1678" s="4" t="s">
        <v>876</v>
      </c>
    </row>
    <row r="1679" spans="1:10" x14ac:dyDescent="0.3">
      <c r="A1679" s="7" t="s">
        <v>14</v>
      </c>
      <c r="B1679" s="7">
        <f t="shared" si="383"/>
        <v>2028</v>
      </c>
      <c r="C1679" s="4" t="s">
        <v>46</v>
      </c>
      <c r="D1679" s="5" t="s">
        <v>131</v>
      </c>
      <c r="E1679" s="10" t="str">
        <f t="shared" si="381"/>
        <v>PDP'!</v>
      </c>
      <c r="F1679" s="5" t="str">
        <f t="shared" si="380"/>
        <v>C:\Users\jaime.benazar\Quorum Business Solutions\Ecopetrol Prometeo - Documents\Planning Space Implementation\3. Analysis &amp; Design\Design\FC22\DRR Jaime\Neiva CPI\[VAO_DINA TERCIARIOS_CF_SEC_20230117.xlsx]CF PDP'!</v>
      </c>
      <c r="G1679" s="7" t="s">
        <v>104</v>
      </c>
      <c r="H1679" s="4">
        <f t="shared" si="384"/>
        <v>41</v>
      </c>
      <c r="I1679" s="4" t="str">
        <f t="shared" si="382"/>
        <v>='C:\Users\jaime.benazar\Quorum Business Solutions\Ecopetrol Prometeo - Documents\Planning Space Implementation\3. Analysis &amp; Design\Design\FC22\DRR Jaime\Neiva CPI\[VAO_DINA TERCIARIOS_CF_SEC_20230117.xlsx]CF PDP'!$BU$41</v>
      </c>
      <c r="J1679" s="4" t="s">
        <v>877</v>
      </c>
    </row>
    <row r="1680" spans="1:10" x14ac:dyDescent="0.3">
      <c r="A1680" s="7" t="s">
        <v>14</v>
      </c>
      <c r="B1680" s="7">
        <f t="shared" si="383"/>
        <v>2029</v>
      </c>
      <c r="C1680" s="4" t="s">
        <v>46</v>
      </c>
      <c r="D1680" s="5" t="s">
        <v>131</v>
      </c>
      <c r="E1680" s="10" t="str">
        <f t="shared" si="381"/>
        <v>PDP'!</v>
      </c>
      <c r="F1680" s="5" t="str">
        <f t="shared" si="380"/>
        <v>C:\Users\jaime.benazar\Quorum Business Solutions\Ecopetrol Prometeo - Documents\Planning Space Implementation\3. Analysis &amp; Design\Design\FC22\DRR Jaime\Neiva CPI\[VAO_DINA TERCIARIOS_CF_SEC_20230117.xlsx]CF PDP'!</v>
      </c>
      <c r="G1680" s="7" t="s">
        <v>104</v>
      </c>
      <c r="H1680" s="4">
        <f t="shared" si="384"/>
        <v>42</v>
      </c>
      <c r="I1680" s="4" t="str">
        <f t="shared" si="382"/>
        <v>='C:\Users\jaime.benazar\Quorum Business Solutions\Ecopetrol Prometeo - Documents\Planning Space Implementation\3. Analysis &amp; Design\Design\FC22\DRR Jaime\Neiva CPI\[VAO_DINA TERCIARIOS_CF_SEC_20230117.xlsx]CF PDP'!$BU$42</v>
      </c>
      <c r="J1680" s="4" t="s">
        <v>878</v>
      </c>
    </row>
    <row r="1681" spans="1:10" x14ac:dyDescent="0.3">
      <c r="A1681" s="7" t="s">
        <v>14</v>
      </c>
      <c r="B1681" s="7">
        <f t="shared" si="383"/>
        <v>2030</v>
      </c>
      <c r="C1681" s="4" t="s">
        <v>46</v>
      </c>
      <c r="D1681" s="5" t="s">
        <v>131</v>
      </c>
      <c r="E1681" s="10" t="str">
        <f t="shared" si="381"/>
        <v>PDP'!</v>
      </c>
      <c r="F1681" s="5" t="str">
        <f t="shared" si="380"/>
        <v>C:\Users\jaime.benazar\Quorum Business Solutions\Ecopetrol Prometeo - Documents\Planning Space Implementation\3. Analysis &amp; Design\Design\FC22\DRR Jaime\Neiva CPI\[VAO_DINA TERCIARIOS_CF_SEC_20230117.xlsx]CF PDP'!</v>
      </c>
      <c r="G1681" s="7" t="s">
        <v>104</v>
      </c>
      <c r="H1681" s="4">
        <f t="shared" si="384"/>
        <v>43</v>
      </c>
      <c r="I1681" s="4" t="str">
        <f t="shared" si="382"/>
        <v>='C:\Users\jaime.benazar\Quorum Business Solutions\Ecopetrol Prometeo - Documents\Planning Space Implementation\3. Analysis &amp; Design\Design\FC22\DRR Jaime\Neiva CPI\[VAO_DINA TERCIARIOS_CF_SEC_20230117.xlsx]CF PDP'!$BU$43</v>
      </c>
      <c r="J1681" s="4" t="s">
        <v>879</v>
      </c>
    </row>
    <row r="1682" spans="1:10" x14ac:dyDescent="0.3">
      <c r="A1682" s="7" t="s">
        <v>14</v>
      </c>
      <c r="B1682" s="7">
        <f t="shared" si="383"/>
        <v>2031</v>
      </c>
      <c r="C1682" s="4" t="s">
        <v>46</v>
      </c>
      <c r="D1682" s="5" t="s">
        <v>131</v>
      </c>
      <c r="E1682" s="10" t="str">
        <f t="shared" si="381"/>
        <v>PDP'!</v>
      </c>
      <c r="F1682" s="5" t="str">
        <f t="shared" si="380"/>
        <v>C:\Users\jaime.benazar\Quorum Business Solutions\Ecopetrol Prometeo - Documents\Planning Space Implementation\3. Analysis &amp; Design\Design\FC22\DRR Jaime\Neiva CPI\[VAO_DINA TERCIARIOS_CF_SEC_20230117.xlsx]CF PDP'!</v>
      </c>
      <c r="G1682" s="7" t="s">
        <v>104</v>
      </c>
      <c r="H1682" s="4">
        <f t="shared" si="384"/>
        <v>44</v>
      </c>
      <c r="I1682" s="4" t="str">
        <f t="shared" si="382"/>
        <v>='C:\Users\jaime.benazar\Quorum Business Solutions\Ecopetrol Prometeo - Documents\Planning Space Implementation\3. Analysis &amp; Design\Design\FC22\DRR Jaime\Neiva CPI\[VAO_DINA TERCIARIOS_CF_SEC_20230117.xlsx]CF PDP'!$BU$44</v>
      </c>
      <c r="J1682" s="4" t="s">
        <v>880</v>
      </c>
    </row>
    <row r="1683" spans="1:10" x14ac:dyDescent="0.3">
      <c r="A1683" s="7" t="s">
        <v>14</v>
      </c>
      <c r="B1683" s="7">
        <f t="shared" si="383"/>
        <v>2032</v>
      </c>
      <c r="C1683" s="4" t="s">
        <v>46</v>
      </c>
      <c r="D1683" s="5" t="s">
        <v>131</v>
      </c>
      <c r="E1683" s="10" t="str">
        <f t="shared" si="381"/>
        <v>PDP'!</v>
      </c>
      <c r="F1683" s="5" t="str">
        <f t="shared" si="380"/>
        <v>C:\Users\jaime.benazar\Quorum Business Solutions\Ecopetrol Prometeo - Documents\Planning Space Implementation\3. Analysis &amp; Design\Design\FC22\DRR Jaime\Neiva CPI\[VAO_DINA TERCIARIOS_CF_SEC_20230117.xlsx]CF PDP'!</v>
      </c>
      <c r="G1683" s="7" t="s">
        <v>104</v>
      </c>
      <c r="H1683" s="4">
        <f t="shared" si="384"/>
        <v>45</v>
      </c>
      <c r="I1683" s="4" t="str">
        <f t="shared" si="382"/>
        <v>='C:\Users\jaime.benazar\Quorum Business Solutions\Ecopetrol Prometeo - Documents\Planning Space Implementation\3. Analysis &amp; Design\Design\FC22\DRR Jaime\Neiva CPI\[VAO_DINA TERCIARIOS_CF_SEC_20230117.xlsx]CF PDP'!$BU$45</v>
      </c>
      <c r="J1683" s="4" t="s">
        <v>881</v>
      </c>
    </row>
    <row r="1684" spans="1:10" x14ac:dyDescent="0.3">
      <c r="A1684" s="7" t="s">
        <v>14</v>
      </c>
      <c r="B1684" s="7">
        <f t="shared" si="383"/>
        <v>2033</v>
      </c>
      <c r="C1684" s="4" t="s">
        <v>46</v>
      </c>
      <c r="D1684" s="5" t="s">
        <v>131</v>
      </c>
      <c r="E1684" s="10" t="str">
        <f t="shared" si="381"/>
        <v>PDP'!</v>
      </c>
      <c r="F1684" s="5" t="str">
        <f t="shared" si="380"/>
        <v>C:\Users\jaime.benazar\Quorum Business Solutions\Ecopetrol Prometeo - Documents\Planning Space Implementation\3. Analysis &amp; Design\Design\FC22\DRR Jaime\Neiva CPI\[VAO_DINA TERCIARIOS_CF_SEC_20230117.xlsx]CF PDP'!</v>
      </c>
      <c r="G1684" s="7" t="s">
        <v>104</v>
      </c>
      <c r="H1684" s="4">
        <f t="shared" si="384"/>
        <v>46</v>
      </c>
      <c r="I1684" s="4" t="str">
        <f t="shared" si="382"/>
        <v>='C:\Users\jaime.benazar\Quorum Business Solutions\Ecopetrol Prometeo - Documents\Planning Space Implementation\3. Analysis &amp; Design\Design\FC22\DRR Jaime\Neiva CPI\[VAO_DINA TERCIARIOS_CF_SEC_20230117.xlsx]CF PDP'!$BU$46</v>
      </c>
      <c r="J1684" s="4" t="s">
        <v>882</v>
      </c>
    </row>
    <row r="1685" spans="1:10" x14ac:dyDescent="0.3">
      <c r="A1685" s="7" t="s">
        <v>14</v>
      </c>
      <c r="B1685" s="7">
        <f t="shared" si="383"/>
        <v>2034</v>
      </c>
      <c r="C1685" s="4" t="s">
        <v>46</v>
      </c>
      <c r="D1685" s="5" t="s">
        <v>131</v>
      </c>
      <c r="E1685" s="10" t="str">
        <f t="shared" si="381"/>
        <v>PDP'!</v>
      </c>
      <c r="F1685" s="5" t="str">
        <f t="shared" si="380"/>
        <v>C:\Users\jaime.benazar\Quorum Business Solutions\Ecopetrol Prometeo - Documents\Planning Space Implementation\3. Analysis &amp; Design\Design\FC22\DRR Jaime\Neiva CPI\[VAO_DINA TERCIARIOS_CF_SEC_20230117.xlsx]CF PDP'!</v>
      </c>
      <c r="G1685" s="7" t="s">
        <v>104</v>
      </c>
      <c r="H1685" s="4">
        <f t="shared" si="384"/>
        <v>47</v>
      </c>
      <c r="I1685" s="4" t="str">
        <f t="shared" si="382"/>
        <v>='C:\Users\jaime.benazar\Quorum Business Solutions\Ecopetrol Prometeo - Documents\Planning Space Implementation\3. Analysis &amp; Design\Design\FC22\DRR Jaime\Neiva CPI\[VAO_DINA TERCIARIOS_CF_SEC_20230117.xlsx]CF PDP'!$BU$47</v>
      </c>
      <c r="J1685" s="4" t="s">
        <v>883</v>
      </c>
    </row>
    <row r="1686" spans="1:10" x14ac:dyDescent="0.3">
      <c r="A1686" s="7" t="s">
        <v>14</v>
      </c>
      <c r="B1686" s="7">
        <f t="shared" si="383"/>
        <v>2035</v>
      </c>
      <c r="C1686" s="4" t="s">
        <v>46</v>
      </c>
      <c r="D1686" s="5" t="s">
        <v>131</v>
      </c>
      <c r="E1686" s="10" t="str">
        <f t="shared" si="381"/>
        <v>PDP'!</v>
      </c>
      <c r="F1686" s="5" t="str">
        <f t="shared" si="380"/>
        <v>C:\Users\jaime.benazar\Quorum Business Solutions\Ecopetrol Prometeo - Documents\Planning Space Implementation\3. Analysis &amp; Design\Design\FC22\DRR Jaime\Neiva CPI\[VAO_DINA TERCIARIOS_CF_SEC_20230117.xlsx]CF PDP'!</v>
      </c>
      <c r="G1686" s="7" t="s">
        <v>104</v>
      </c>
      <c r="H1686" s="4">
        <f t="shared" si="384"/>
        <v>48</v>
      </c>
      <c r="I1686" s="4" t="str">
        <f t="shared" si="382"/>
        <v>='C:\Users\jaime.benazar\Quorum Business Solutions\Ecopetrol Prometeo - Documents\Planning Space Implementation\3. Analysis &amp; Design\Design\FC22\DRR Jaime\Neiva CPI\[VAO_DINA TERCIARIOS_CF_SEC_20230117.xlsx]CF PDP'!$BU$48</v>
      </c>
      <c r="J1686" s="4" t="s">
        <v>884</v>
      </c>
    </row>
    <row r="1687" spans="1:10" x14ac:dyDescent="0.3">
      <c r="A1687" s="7" t="s">
        <v>14</v>
      </c>
      <c r="B1687" s="7">
        <f t="shared" si="383"/>
        <v>2036</v>
      </c>
      <c r="C1687" s="4" t="s">
        <v>46</v>
      </c>
      <c r="D1687" s="5" t="s">
        <v>131</v>
      </c>
      <c r="E1687" s="10" t="str">
        <f t="shared" si="381"/>
        <v>PDP'!</v>
      </c>
      <c r="F1687" s="5" t="str">
        <f t="shared" si="380"/>
        <v>C:\Users\jaime.benazar\Quorum Business Solutions\Ecopetrol Prometeo - Documents\Planning Space Implementation\3. Analysis &amp; Design\Design\FC22\DRR Jaime\Neiva CPI\[VAO_DINA TERCIARIOS_CF_SEC_20230117.xlsx]CF PDP'!</v>
      </c>
      <c r="G1687" s="7" t="s">
        <v>104</v>
      </c>
      <c r="H1687" s="4">
        <f t="shared" si="384"/>
        <v>49</v>
      </c>
      <c r="I1687" s="4" t="str">
        <f t="shared" si="382"/>
        <v>='C:\Users\jaime.benazar\Quorum Business Solutions\Ecopetrol Prometeo - Documents\Planning Space Implementation\3. Analysis &amp; Design\Design\FC22\DRR Jaime\Neiva CPI\[VAO_DINA TERCIARIOS_CF_SEC_20230117.xlsx]CF PDP'!$BU$49</v>
      </c>
      <c r="J1687" s="4" t="s">
        <v>885</v>
      </c>
    </row>
    <row r="1688" spans="1:10" x14ac:dyDescent="0.3">
      <c r="A1688" s="7" t="s">
        <v>14</v>
      </c>
      <c r="B1688" s="7">
        <f>+B1687+1</f>
        <v>2037</v>
      </c>
      <c r="C1688" s="4" t="s">
        <v>46</v>
      </c>
      <c r="D1688" s="5" t="s">
        <v>131</v>
      </c>
      <c r="E1688" s="10" t="str">
        <f t="shared" si="381"/>
        <v>PDP'!</v>
      </c>
      <c r="F1688" s="5" t="str">
        <f t="shared" si="380"/>
        <v>C:\Users\jaime.benazar\Quorum Business Solutions\Ecopetrol Prometeo - Documents\Planning Space Implementation\3. Analysis &amp; Design\Design\FC22\DRR Jaime\Neiva CPI\[VAO_DINA TERCIARIOS_CF_SEC_20230117.xlsx]CF PDP'!</v>
      </c>
      <c r="G1688" s="7" t="s">
        <v>104</v>
      </c>
      <c r="H1688" s="4">
        <f t="shared" si="384"/>
        <v>50</v>
      </c>
      <c r="I1688" s="4" t="str">
        <f t="shared" si="382"/>
        <v>='C:\Users\jaime.benazar\Quorum Business Solutions\Ecopetrol Prometeo - Documents\Planning Space Implementation\3. Analysis &amp; Design\Design\FC22\DRR Jaime\Neiva CPI\[VAO_DINA TERCIARIOS_CF_SEC_20230117.xlsx]CF PDP'!$BU$50</v>
      </c>
      <c r="J1688" s="4" t="s">
        <v>886</v>
      </c>
    </row>
    <row r="1689" spans="1:10" x14ac:dyDescent="0.3">
      <c r="A1689" s="7" t="s">
        <v>14</v>
      </c>
      <c r="B1689" s="7">
        <f t="shared" ref="B1689:B1691" si="385">+B1688+1</f>
        <v>2038</v>
      </c>
      <c r="C1689" s="4" t="s">
        <v>46</v>
      </c>
      <c r="D1689" s="5" t="s">
        <v>131</v>
      </c>
      <c r="E1689" s="10" t="str">
        <f t="shared" si="381"/>
        <v>PDP'!</v>
      </c>
      <c r="F1689" s="5" t="str">
        <f t="shared" si="380"/>
        <v>C:\Users\jaime.benazar\Quorum Business Solutions\Ecopetrol Prometeo - Documents\Planning Space Implementation\3. Analysis &amp; Design\Design\FC22\DRR Jaime\Neiva CPI\[VAO_DINA TERCIARIOS_CF_SEC_20230117.xlsx]CF PDP'!</v>
      </c>
      <c r="G1689" s="7" t="s">
        <v>104</v>
      </c>
      <c r="H1689" s="4">
        <f t="shared" si="384"/>
        <v>51</v>
      </c>
      <c r="I1689" s="4" t="str">
        <f t="shared" si="382"/>
        <v>='C:\Users\jaime.benazar\Quorum Business Solutions\Ecopetrol Prometeo - Documents\Planning Space Implementation\3. Analysis &amp; Design\Design\FC22\DRR Jaime\Neiva CPI\[VAO_DINA TERCIARIOS_CF_SEC_20230117.xlsx]CF PDP'!$BU$51</v>
      </c>
      <c r="J1689" s="4" t="s">
        <v>887</v>
      </c>
    </row>
    <row r="1690" spans="1:10" x14ac:dyDescent="0.3">
      <c r="A1690" s="7" t="s">
        <v>14</v>
      </c>
      <c r="B1690" s="7">
        <f t="shared" si="385"/>
        <v>2039</v>
      </c>
      <c r="C1690" s="4" t="s">
        <v>46</v>
      </c>
      <c r="D1690" s="5" t="s">
        <v>131</v>
      </c>
      <c r="E1690" s="10" t="str">
        <f t="shared" si="381"/>
        <v>PDP'!</v>
      </c>
      <c r="F1690" s="5" t="str">
        <f t="shared" si="380"/>
        <v>C:\Users\jaime.benazar\Quorum Business Solutions\Ecopetrol Prometeo - Documents\Planning Space Implementation\3. Analysis &amp; Design\Design\FC22\DRR Jaime\Neiva CPI\[VAO_DINA TERCIARIOS_CF_SEC_20230117.xlsx]CF PDP'!</v>
      </c>
      <c r="G1690" s="7" t="s">
        <v>104</v>
      </c>
      <c r="H1690" s="4">
        <f t="shared" si="384"/>
        <v>52</v>
      </c>
      <c r="I1690" s="4" t="str">
        <f t="shared" si="382"/>
        <v>='C:\Users\jaime.benazar\Quorum Business Solutions\Ecopetrol Prometeo - Documents\Planning Space Implementation\3. Analysis &amp; Design\Design\FC22\DRR Jaime\Neiva CPI\[VAO_DINA TERCIARIOS_CF_SEC_20230117.xlsx]CF PDP'!$BU$52</v>
      </c>
      <c r="J1690" s="4" t="s">
        <v>888</v>
      </c>
    </row>
    <row r="1691" spans="1:10" x14ac:dyDescent="0.3">
      <c r="A1691" s="7" t="s">
        <v>14</v>
      </c>
      <c r="B1691" s="7">
        <f t="shared" si="385"/>
        <v>2040</v>
      </c>
      <c r="C1691" s="4" t="s">
        <v>46</v>
      </c>
      <c r="D1691" s="5" t="s">
        <v>131</v>
      </c>
      <c r="E1691" s="10" t="str">
        <f t="shared" si="381"/>
        <v>PDP'!</v>
      </c>
      <c r="F1691" s="5" t="str">
        <f t="shared" si="380"/>
        <v>C:\Users\jaime.benazar\Quorum Business Solutions\Ecopetrol Prometeo - Documents\Planning Space Implementation\3. Analysis &amp; Design\Design\FC22\DRR Jaime\Neiva CPI\[VAO_DINA TERCIARIOS_CF_SEC_20230117.xlsx]CF PDP'!</v>
      </c>
      <c r="G1691" s="7" t="s">
        <v>104</v>
      </c>
      <c r="H1691" s="4">
        <f t="shared" si="384"/>
        <v>53</v>
      </c>
      <c r="I1691" s="4" t="str">
        <f t="shared" si="382"/>
        <v>='C:\Users\jaime.benazar\Quorum Business Solutions\Ecopetrol Prometeo - Documents\Planning Space Implementation\3. Analysis &amp; Design\Design\FC22\DRR Jaime\Neiva CPI\[VAO_DINA TERCIARIOS_CF_SEC_20230117.xlsx]CF PDP'!$BU$53</v>
      </c>
      <c r="J1691" s="4" t="s">
        <v>889</v>
      </c>
    </row>
    <row r="1692" spans="1:10" x14ac:dyDescent="0.3">
      <c r="A1692" s="7" t="s">
        <v>14</v>
      </c>
      <c r="B1692" s="7">
        <f>+B1691+1</f>
        <v>2041</v>
      </c>
      <c r="C1692" s="4" t="s">
        <v>46</v>
      </c>
      <c r="D1692" s="5" t="s">
        <v>131</v>
      </c>
      <c r="E1692" s="10" t="str">
        <f t="shared" si="381"/>
        <v>PDP'!</v>
      </c>
      <c r="F1692" s="5" t="str">
        <f t="shared" si="380"/>
        <v>C:\Users\jaime.benazar\Quorum Business Solutions\Ecopetrol Prometeo - Documents\Planning Space Implementation\3. Analysis &amp; Design\Design\FC22\DRR Jaime\Neiva CPI\[VAO_DINA TERCIARIOS_CF_SEC_20230117.xlsx]CF PDP'!</v>
      </c>
      <c r="G1692" s="7" t="s">
        <v>104</v>
      </c>
      <c r="H1692" s="4">
        <f t="shared" si="384"/>
        <v>54</v>
      </c>
      <c r="I1692" s="4" t="str">
        <f t="shared" si="382"/>
        <v>='C:\Users\jaime.benazar\Quorum Business Solutions\Ecopetrol Prometeo - Documents\Planning Space Implementation\3. Analysis &amp; Design\Design\FC22\DRR Jaime\Neiva CPI\[VAO_DINA TERCIARIOS_CF_SEC_20230117.xlsx]CF PDP'!$BU$54</v>
      </c>
      <c r="J1692" s="4" t="s">
        <v>890</v>
      </c>
    </row>
    <row r="1693" spans="1:10" x14ac:dyDescent="0.3">
      <c r="A1693" s="7" t="s">
        <v>14</v>
      </c>
      <c r="B1693" s="7">
        <f t="shared" ref="B1693:B1694" si="386">+B1692+1</f>
        <v>2042</v>
      </c>
      <c r="C1693" s="4" t="s">
        <v>46</v>
      </c>
      <c r="D1693" s="5" t="s">
        <v>131</v>
      </c>
      <c r="E1693" s="10" t="str">
        <f t="shared" si="381"/>
        <v>PDP'!</v>
      </c>
      <c r="F1693" s="5" t="str">
        <f t="shared" si="380"/>
        <v>C:\Users\jaime.benazar\Quorum Business Solutions\Ecopetrol Prometeo - Documents\Planning Space Implementation\3. Analysis &amp; Design\Design\FC22\DRR Jaime\Neiva CPI\[VAO_DINA TERCIARIOS_CF_SEC_20230117.xlsx]CF PDP'!</v>
      </c>
      <c r="G1693" s="7" t="s">
        <v>104</v>
      </c>
      <c r="H1693" s="4">
        <f t="shared" si="384"/>
        <v>55</v>
      </c>
      <c r="I1693" s="4" t="str">
        <f t="shared" si="382"/>
        <v>='C:\Users\jaime.benazar\Quorum Business Solutions\Ecopetrol Prometeo - Documents\Planning Space Implementation\3. Analysis &amp; Design\Design\FC22\DRR Jaime\Neiva CPI\[VAO_DINA TERCIARIOS_CF_SEC_20230117.xlsx]CF PDP'!$BU$55</v>
      </c>
      <c r="J1693" s="4" t="s">
        <v>891</v>
      </c>
    </row>
    <row r="1694" spans="1:10" x14ac:dyDescent="0.3">
      <c r="A1694" s="7" t="s">
        <v>14</v>
      </c>
      <c r="B1694" s="7">
        <f t="shared" si="386"/>
        <v>2043</v>
      </c>
      <c r="C1694" s="4" t="s">
        <v>46</v>
      </c>
      <c r="D1694" s="5" t="s">
        <v>131</v>
      </c>
      <c r="E1694" s="10" t="str">
        <f t="shared" si="381"/>
        <v>PDP'!</v>
      </c>
      <c r="F1694" s="5" t="str">
        <f t="shared" si="380"/>
        <v>C:\Users\jaime.benazar\Quorum Business Solutions\Ecopetrol Prometeo - Documents\Planning Space Implementation\3. Analysis &amp; Design\Design\FC22\DRR Jaime\Neiva CPI\[VAO_DINA TERCIARIOS_CF_SEC_20230117.xlsx]CF PDP'!</v>
      </c>
      <c r="G1694" s="7" t="s">
        <v>104</v>
      </c>
      <c r="H1694" s="4">
        <f t="shared" si="384"/>
        <v>56</v>
      </c>
      <c r="I1694" s="4" t="str">
        <f t="shared" si="382"/>
        <v>='C:\Users\jaime.benazar\Quorum Business Solutions\Ecopetrol Prometeo - Documents\Planning Space Implementation\3. Analysis &amp; Design\Design\FC22\DRR Jaime\Neiva CPI\[VAO_DINA TERCIARIOS_CF_SEC_20230117.xlsx]CF PDP'!$BU$56</v>
      </c>
      <c r="J1694" s="4" t="s">
        <v>892</v>
      </c>
    </row>
    <row r="1695" spans="1:10" x14ac:dyDescent="0.3">
      <c r="A1695" s="7" t="s">
        <v>14</v>
      </c>
      <c r="B1695" s="7">
        <f>+B1694+1</f>
        <v>2044</v>
      </c>
      <c r="C1695" s="4" t="s">
        <v>46</v>
      </c>
      <c r="D1695" s="5" t="s">
        <v>131</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Jaime\Neiva CPI\[VAO_DINA TERCIARIOS_CF_SEC_20230117.xlsx]CF PDP'!</v>
      </c>
      <c r="G1695" s="7" t="s">
        <v>104</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Jaime\Neiva CPI\[VAO_DINA TERCIARIOS_CF_SEC_20230117.xlsx]CF PDP'!$BU$57</v>
      </c>
      <c r="J1695" s="4" t="s">
        <v>893</v>
      </c>
    </row>
    <row r="1696" spans="1:10" x14ac:dyDescent="0.3">
      <c r="A1696" s="7" t="s">
        <v>14</v>
      </c>
      <c r="B1696" s="7">
        <f t="shared" ref="B1696:B1710" si="391">+B1695+1</f>
        <v>2045</v>
      </c>
      <c r="C1696" s="4" t="s">
        <v>46</v>
      </c>
      <c r="D1696" s="5" t="s">
        <v>131</v>
      </c>
      <c r="E1696" s="10" t="str">
        <f t="shared" si="387"/>
        <v>PDP'!</v>
      </c>
      <c r="F1696" s="5" t="str">
        <f t="shared" si="388"/>
        <v>C:\Users\jaime.benazar\Quorum Business Solutions\Ecopetrol Prometeo - Documents\Planning Space Implementation\3. Analysis &amp; Design\Design\FC22\DRR Jaime\Neiva CPI\[VAO_DINA TERCIARIOS_CF_SEC_20230117.xlsx]CF PDP'!</v>
      </c>
      <c r="G1696" s="7" t="s">
        <v>104</v>
      </c>
      <c r="H1696" s="4">
        <f t="shared" si="389"/>
        <v>58</v>
      </c>
      <c r="I1696" s="4" t="str">
        <f t="shared" si="390"/>
        <v>='C:\Users\jaime.benazar\Quorum Business Solutions\Ecopetrol Prometeo - Documents\Planning Space Implementation\3. Analysis &amp; Design\Design\FC22\DRR Jaime\Neiva CPI\[VAO_DINA TERCIARIOS_CF_SEC_20230117.xlsx]CF PDP'!$BU$58</v>
      </c>
      <c r="J1696" s="4" t="s">
        <v>894</v>
      </c>
    </row>
    <row r="1697" spans="1:10" x14ac:dyDescent="0.3">
      <c r="A1697" s="7" t="s">
        <v>14</v>
      </c>
      <c r="B1697" s="7">
        <f t="shared" si="391"/>
        <v>2046</v>
      </c>
      <c r="C1697" s="4" t="s">
        <v>46</v>
      </c>
      <c r="D1697" s="5" t="s">
        <v>131</v>
      </c>
      <c r="E1697" s="10" t="str">
        <f t="shared" si="387"/>
        <v>PDP'!</v>
      </c>
      <c r="F1697" s="5" t="str">
        <f t="shared" si="388"/>
        <v>C:\Users\jaime.benazar\Quorum Business Solutions\Ecopetrol Prometeo - Documents\Planning Space Implementation\3. Analysis &amp; Design\Design\FC22\DRR Jaime\Neiva CPI\[VAO_DINA TERCIARIOS_CF_SEC_20230117.xlsx]CF PDP'!</v>
      </c>
      <c r="G1697" s="7" t="s">
        <v>104</v>
      </c>
      <c r="H1697" s="4">
        <f t="shared" si="389"/>
        <v>59</v>
      </c>
      <c r="I1697" s="4" t="str">
        <f t="shared" si="390"/>
        <v>='C:\Users\jaime.benazar\Quorum Business Solutions\Ecopetrol Prometeo - Documents\Planning Space Implementation\3. Analysis &amp; Design\Design\FC22\DRR Jaime\Neiva CPI\[VAO_DINA TERCIARIOS_CF_SEC_20230117.xlsx]CF PDP'!$BU$59</v>
      </c>
      <c r="J1697" s="4" t="s">
        <v>895</v>
      </c>
    </row>
    <row r="1698" spans="1:10" x14ac:dyDescent="0.3">
      <c r="A1698" s="7" t="s">
        <v>14</v>
      </c>
      <c r="B1698" s="7">
        <f t="shared" si="391"/>
        <v>2047</v>
      </c>
      <c r="C1698" s="4" t="s">
        <v>46</v>
      </c>
      <c r="D1698" s="5" t="s">
        <v>131</v>
      </c>
      <c r="E1698" s="10" t="str">
        <f t="shared" si="387"/>
        <v>PDP'!</v>
      </c>
      <c r="F1698" s="5" t="str">
        <f t="shared" si="388"/>
        <v>C:\Users\jaime.benazar\Quorum Business Solutions\Ecopetrol Prometeo - Documents\Planning Space Implementation\3. Analysis &amp; Design\Design\FC22\DRR Jaime\Neiva CPI\[VAO_DINA TERCIARIOS_CF_SEC_20230117.xlsx]CF PDP'!</v>
      </c>
      <c r="G1698" s="7" t="s">
        <v>104</v>
      </c>
      <c r="H1698" s="4">
        <f t="shared" si="389"/>
        <v>60</v>
      </c>
      <c r="I1698" s="4" t="str">
        <f t="shared" si="390"/>
        <v>='C:\Users\jaime.benazar\Quorum Business Solutions\Ecopetrol Prometeo - Documents\Planning Space Implementation\3. Analysis &amp; Design\Design\FC22\DRR Jaime\Neiva CPI\[VAO_DINA TERCIARIOS_CF_SEC_20230117.xlsx]CF PDP'!$BU$60</v>
      </c>
      <c r="J1698" s="4" t="s">
        <v>896</v>
      </c>
    </row>
    <row r="1699" spans="1:10" x14ac:dyDescent="0.3">
      <c r="A1699" s="7" t="s">
        <v>14</v>
      </c>
      <c r="B1699" s="7">
        <f t="shared" si="391"/>
        <v>2048</v>
      </c>
      <c r="C1699" s="4" t="s">
        <v>46</v>
      </c>
      <c r="D1699" s="5" t="s">
        <v>131</v>
      </c>
      <c r="E1699" s="10" t="str">
        <f t="shared" si="387"/>
        <v>PDP'!</v>
      </c>
      <c r="F1699" s="5" t="str">
        <f t="shared" si="388"/>
        <v>C:\Users\jaime.benazar\Quorum Business Solutions\Ecopetrol Prometeo - Documents\Planning Space Implementation\3. Analysis &amp; Design\Design\FC22\DRR Jaime\Neiva CPI\[VAO_DINA TERCIARIOS_CF_SEC_20230117.xlsx]CF PDP'!</v>
      </c>
      <c r="G1699" s="7" t="s">
        <v>104</v>
      </c>
      <c r="H1699" s="4">
        <f t="shared" si="389"/>
        <v>61</v>
      </c>
      <c r="I1699" s="4" t="str">
        <f t="shared" si="390"/>
        <v>='C:\Users\jaime.benazar\Quorum Business Solutions\Ecopetrol Prometeo - Documents\Planning Space Implementation\3. Analysis &amp; Design\Design\FC22\DRR Jaime\Neiva CPI\[VAO_DINA TERCIARIOS_CF_SEC_20230117.xlsx]CF PDP'!$BU$61</v>
      </c>
      <c r="J1699" s="4" t="s">
        <v>897</v>
      </c>
    </row>
    <row r="1700" spans="1:10" x14ac:dyDescent="0.3">
      <c r="A1700" s="7" t="s">
        <v>14</v>
      </c>
      <c r="B1700" s="7">
        <f t="shared" si="391"/>
        <v>2049</v>
      </c>
      <c r="C1700" s="4" t="s">
        <v>46</v>
      </c>
      <c r="D1700" s="5" t="s">
        <v>131</v>
      </c>
      <c r="E1700" s="10" t="str">
        <f t="shared" si="387"/>
        <v>PDP'!</v>
      </c>
      <c r="F1700" s="5" t="str">
        <f t="shared" si="388"/>
        <v>C:\Users\jaime.benazar\Quorum Business Solutions\Ecopetrol Prometeo - Documents\Planning Space Implementation\3. Analysis &amp; Design\Design\FC22\DRR Jaime\Neiva CPI\[VAO_DINA TERCIARIOS_CF_SEC_20230117.xlsx]CF PDP'!</v>
      </c>
      <c r="G1700" s="7" t="s">
        <v>104</v>
      </c>
      <c r="H1700" s="4">
        <f t="shared" si="389"/>
        <v>62</v>
      </c>
      <c r="I1700" s="4" t="str">
        <f t="shared" si="390"/>
        <v>='C:\Users\jaime.benazar\Quorum Business Solutions\Ecopetrol Prometeo - Documents\Planning Space Implementation\3. Analysis &amp; Design\Design\FC22\DRR Jaime\Neiva CPI\[VAO_DINA TERCIARIOS_CF_SEC_20230117.xlsx]CF PDP'!$BU$62</v>
      </c>
      <c r="J1700" s="4" t="s">
        <v>898</v>
      </c>
    </row>
    <row r="1701" spans="1:10" x14ac:dyDescent="0.3">
      <c r="A1701" s="7" t="s">
        <v>14</v>
      </c>
      <c r="B1701" s="7">
        <f t="shared" si="391"/>
        <v>2050</v>
      </c>
      <c r="C1701" s="4" t="s">
        <v>46</v>
      </c>
      <c r="D1701" s="5" t="s">
        <v>131</v>
      </c>
      <c r="E1701" s="10" t="str">
        <f t="shared" si="387"/>
        <v>PDP'!</v>
      </c>
      <c r="F1701" s="5" t="str">
        <f t="shared" si="388"/>
        <v>C:\Users\jaime.benazar\Quorum Business Solutions\Ecopetrol Prometeo - Documents\Planning Space Implementation\3. Analysis &amp; Design\Design\FC22\DRR Jaime\Neiva CPI\[VAO_DINA TERCIARIOS_CF_SEC_20230117.xlsx]CF PDP'!</v>
      </c>
      <c r="G1701" s="7" t="s">
        <v>104</v>
      </c>
      <c r="H1701" s="4">
        <f t="shared" si="389"/>
        <v>63</v>
      </c>
      <c r="I1701" s="4" t="str">
        <f t="shared" si="390"/>
        <v>='C:\Users\jaime.benazar\Quorum Business Solutions\Ecopetrol Prometeo - Documents\Planning Space Implementation\3. Analysis &amp; Design\Design\FC22\DRR Jaime\Neiva CPI\[VAO_DINA TERCIARIOS_CF_SEC_20230117.xlsx]CF PDP'!$BU$63</v>
      </c>
      <c r="J1701" s="4" t="s">
        <v>899</v>
      </c>
    </row>
    <row r="1702" spans="1:10" x14ac:dyDescent="0.3">
      <c r="A1702" s="7" t="s">
        <v>14</v>
      </c>
      <c r="B1702" s="7">
        <f t="shared" si="391"/>
        <v>2051</v>
      </c>
      <c r="C1702" s="4" t="s">
        <v>46</v>
      </c>
      <c r="D1702" s="5" t="s">
        <v>131</v>
      </c>
      <c r="E1702" s="10" t="str">
        <f t="shared" si="387"/>
        <v>PDP'!</v>
      </c>
      <c r="F1702" s="5" t="str">
        <f t="shared" si="388"/>
        <v>C:\Users\jaime.benazar\Quorum Business Solutions\Ecopetrol Prometeo - Documents\Planning Space Implementation\3. Analysis &amp; Design\Design\FC22\DRR Jaime\Neiva CPI\[VAO_DINA TERCIARIOS_CF_SEC_20230117.xlsx]CF PDP'!</v>
      </c>
      <c r="G1702" s="7" t="s">
        <v>104</v>
      </c>
      <c r="H1702" s="4">
        <f t="shared" si="389"/>
        <v>64</v>
      </c>
      <c r="I1702" s="4" t="str">
        <f t="shared" si="390"/>
        <v>='C:\Users\jaime.benazar\Quorum Business Solutions\Ecopetrol Prometeo - Documents\Planning Space Implementation\3. Analysis &amp; Design\Design\FC22\DRR Jaime\Neiva CPI\[VAO_DINA TERCIARIOS_CF_SEC_20230117.xlsx]CF PDP'!$BU$64</v>
      </c>
      <c r="J1702" s="4" t="s">
        <v>900</v>
      </c>
    </row>
    <row r="1703" spans="1:10" x14ac:dyDescent="0.3">
      <c r="A1703" s="7" t="s">
        <v>14</v>
      </c>
      <c r="B1703" s="7">
        <f t="shared" si="391"/>
        <v>2052</v>
      </c>
      <c r="C1703" s="4" t="s">
        <v>46</v>
      </c>
      <c r="D1703" s="5" t="s">
        <v>131</v>
      </c>
      <c r="E1703" s="10" t="str">
        <f t="shared" si="387"/>
        <v>PDP'!</v>
      </c>
      <c r="F1703" s="5" t="str">
        <f t="shared" si="388"/>
        <v>C:\Users\jaime.benazar\Quorum Business Solutions\Ecopetrol Prometeo - Documents\Planning Space Implementation\3. Analysis &amp; Design\Design\FC22\DRR Jaime\Neiva CPI\[VAO_DINA TERCIARIOS_CF_SEC_20230117.xlsx]CF PDP'!</v>
      </c>
      <c r="G1703" s="7" t="s">
        <v>104</v>
      </c>
      <c r="H1703" s="4">
        <f t="shared" si="389"/>
        <v>65</v>
      </c>
      <c r="I1703" s="4" t="str">
        <f t="shared" si="390"/>
        <v>='C:\Users\jaime.benazar\Quorum Business Solutions\Ecopetrol Prometeo - Documents\Planning Space Implementation\3. Analysis &amp; Design\Design\FC22\DRR Jaime\Neiva CPI\[VAO_DINA TERCIARIOS_CF_SEC_20230117.xlsx]CF PDP'!$BU$65</v>
      </c>
      <c r="J1703" s="4" t="s">
        <v>901</v>
      </c>
    </row>
    <row r="1704" spans="1:10" x14ac:dyDescent="0.3">
      <c r="A1704" s="7" t="s">
        <v>14</v>
      </c>
      <c r="B1704" s="7">
        <f t="shared" si="391"/>
        <v>2053</v>
      </c>
      <c r="C1704" s="4" t="s">
        <v>46</v>
      </c>
      <c r="D1704" s="5" t="s">
        <v>131</v>
      </c>
      <c r="E1704" s="10" t="str">
        <f t="shared" si="387"/>
        <v>PDP'!</v>
      </c>
      <c r="F1704" s="5" t="str">
        <f t="shared" si="388"/>
        <v>C:\Users\jaime.benazar\Quorum Business Solutions\Ecopetrol Prometeo - Documents\Planning Space Implementation\3. Analysis &amp; Design\Design\FC22\DRR Jaime\Neiva CPI\[VAO_DINA TERCIARIOS_CF_SEC_20230117.xlsx]CF PDP'!</v>
      </c>
      <c r="G1704" s="7" t="s">
        <v>104</v>
      </c>
      <c r="H1704" s="4">
        <f t="shared" si="389"/>
        <v>66</v>
      </c>
      <c r="I1704" s="4" t="str">
        <f t="shared" si="390"/>
        <v>='C:\Users\jaime.benazar\Quorum Business Solutions\Ecopetrol Prometeo - Documents\Planning Space Implementation\3. Analysis &amp; Design\Design\FC22\DRR Jaime\Neiva CPI\[VAO_DINA TERCIARIOS_CF_SEC_20230117.xlsx]CF PDP'!$BU$66</v>
      </c>
      <c r="J1704" s="4" t="s">
        <v>902</v>
      </c>
    </row>
    <row r="1705" spans="1:10" x14ac:dyDescent="0.3">
      <c r="A1705" s="7" t="s">
        <v>14</v>
      </c>
      <c r="B1705" s="7">
        <f t="shared" si="391"/>
        <v>2054</v>
      </c>
      <c r="C1705" s="4" t="s">
        <v>46</v>
      </c>
      <c r="D1705" s="5" t="s">
        <v>131</v>
      </c>
      <c r="E1705" s="10" t="str">
        <f t="shared" si="387"/>
        <v>PDP'!</v>
      </c>
      <c r="F1705" s="5" t="str">
        <f t="shared" si="388"/>
        <v>C:\Users\jaime.benazar\Quorum Business Solutions\Ecopetrol Prometeo - Documents\Planning Space Implementation\3. Analysis &amp; Design\Design\FC22\DRR Jaime\Neiva CPI\[VAO_DINA TERCIARIOS_CF_SEC_20230117.xlsx]CF PDP'!</v>
      </c>
      <c r="G1705" s="7" t="s">
        <v>104</v>
      </c>
      <c r="H1705" s="4">
        <f t="shared" si="389"/>
        <v>67</v>
      </c>
      <c r="I1705" s="4" t="str">
        <f t="shared" si="390"/>
        <v>='C:\Users\jaime.benazar\Quorum Business Solutions\Ecopetrol Prometeo - Documents\Planning Space Implementation\3. Analysis &amp; Design\Design\FC22\DRR Jaime\Neiva CPI\[VAO_DINA TERCIARIOS_CF_SEC_20230117.xlsx]CF PDP'!$BU$67</v>
      </c>
      <c r="J1705" s="4" t="s">
        <v>903</v>
      </c>
    </row>
    <row r="1706" spans="1:10" x14ac:dyDescent="0.3">
      <c r="A1706" s="7" t="s">
        <v>14</v>
      </c>
      <c r="B1706" s="7">
        <f t="shared" si="391"/>
        <v>2055</v>
      </c>
      <c r="C1706" s="4" t="s">
        <v>46</v>
      </c>
      <c r="D1706" s="5" t="s">
        <v>131</v>
      </c>
      <c r="E1706" s="10" t="str">
        <f t="shared" si="387"/>
        <v>PDP'!</v>
      </c>
      <c r="F1706" s="5" t="str">
        <f t="shared" si="388"/>
        <v>C:\Users\jaime.benazar\Quorum Business Solutions\Ecopetrol Prometeo - Documents\Planning Space Implementation\3. Analysis &amp; Design\Design\FC22\DRR Jaime\Neiva CPI\[VAO_DINA TERCIARIOS_CF_SEC_20230117.xlsx]CF PDP'!</v>
      </c>
      <c r="G1706" s="7" t="s">
        <v>104</v>
      </c>
      <c r="H1706" s="4">
        <f t="shared" si="389"/>
        <v>68</v>
      </c>
      <c r="I1706" s="4" t="str">
        <f t="shared" si="390"/>
        <v>='C:\Users\jaime.benazar\Quorum Business Solutions\Ecopetrol Prometeo - Documents\Planning Space Implementation\3. Analysis &amp; Design\Design\FC22\DRR Jaime\Neiva CPI\[VAO_DINA TERCIARIOS_CF_SEC_20230117.xlsx]CF PDP'!$BU$68</v>
      </c>
      <c r="J1706" s="4" t="s">
        <v>904</v>
      </c>
    </row>
    <row r="1707" spans="1:10" x14ac:dyDescent="0.3">
      <c r="A1707" s="7" t="s">
        <v>14</v>
      </c>
      <c r="B1707" s="7">
        <f t="shared" si="391"/>
        <v>2056</v>
      </c>
      <c r="C1707" s="4" t="s">
        <v>46</v>
      </c>
      <c r="D1707" s="5" t="s">
        <v>131</v>
      </c>
      <c r="E1707" s="10" t="str">
        <f t="shared" si="387"/>
        <v>PDP'!</v>
      </c>
      <c r="F1707" s="5" t="str">
        <f t="shared" si="388"/>
        <v>C:\Users\jaime.benazar\Quorum Business Solutions\Ecopetrol Prometeo - Documents\Planning Space Implementation\3. Analysis &amp; Design\Design\FC22\DRR Jaime\Neiva CPI\[VAO_DINA TERCIARIOS_CF_SEC_20230117.xlsx]CF PDP'!</v>
      </c>
      <c r="G1707" s="7" t="s">
        <v>104</v>
      </c>
      <c r="H1707" s="4">
        <f t="shared" si="389"/>
        <v>69</v>
      </c>
      <c r="I1707" s="4" t="str">
        <f t="shared" si="390"/>
        <v>='C:\Users\jaime.benazar\Quorum Business Solutions\Ecopetrol Prometeo - Documents\Planning Space Implementation\3. Analysis &amp; Design\Design\FC22\DRR Jaime\Neiva CPI\[VAO_DINA TERCIARIOS_CF_SEC_20230117.xlsx]CF PDP'!$BU$69</v>
      </c>
      <c r="J1707" s="4" t="s">
        <v>905</v>
      </c>
    </row>
    <row r="1708" spans="1:10" x14ac:dyDescent="0.3">
      <c r="A1708" s="7" t="s">
        <v>14</v>
      </c>
      <c r="B1708" s="7">
        <f t="shared" si="391"/>
        <v>2057</v>
      </c>
      <c r="C1708" s="4" t="s">
        <v>46</v>
      </c>
      <c r="D1708" s="5" t="s">
        <v>131</v>
      </c>
      <c r="E1708" s="10" t="str">
        <f t="shared" si="387"/>
        <v>PDP'!</v>
      </c>
      <c r="F1708" s="5" t="str">
        <f t="shared" si="388"/>
        <v>C:\Users\jaime.benazar\Quorum Business Solutions\Ecopetrol Prometeo - Documents\Planning Space Implementation\3. Analysis &amp; Design\Design\FC22\DRR Jaime\Neiva CPI\[VAO_DINA TERCIARIOS_CF_SEC_20230117.xlsx]CF PDP'!</v>
      </c>
      <c r="G1708" s="7" t="s">
        <v>104</v>
      </c>
      <c r="H1708" s="4">
        <f t="shared" si="389"/>
        <v>70</v>
      </c>
      <c r="I1708" s="4" t="str">
        <f t="shared" si="390"/>
        <v>='C:\Users\jaime.benazar\Quorum Business Solutions\Ecopetrol Prometeo - Documents\Planning Space Implementation\3. Analysis &amp; Design\Design\FC22\DRR Jaime\Neiva CPI\[VAO_DINA TERCIARIOS_CF_SEC_20230117.xlsx]CF PDP'!$BU$70</v>
      </c>
      <c r="J1708" s="4" t="s">
        <v>906</v>
      </c>
    </row>
    <row r="1709" spans="1:10" x14ac:dyDescent="0.3">
      <c r="A1709" s="7" t="s">
        <v>14</v>
      </c>
      <c r="B1709" s="7">
        <f t="shared" si="391"/>
        <v>2058</v>
      </c>
      <c r="C1709" s="4" t="s">
        <v>46</v>
      </c>
      <c r="D1709" s="5" t="s">
        <v>131</v>
      </c>
      <c r="E1709" s="10" t="str">
        <f t="shared" si="387"/>
        <v>PDP'!</v>
      </c>
      <c r="F1709" s="5" t="str">
        <f t="shared" si="388"/>
        <v>C:\Users\jaime.benazar\Quorum Business Solutions\Ecopetrol Prometeo - Documents\Planning Space Implementation\3. Analysis &amp; Design\Design\FC22\DRR Jaime\Neiva CPI\[VAO_DINA TERCIARIOS_CF_SEC_20230117.xlsx]CF PDP'!</v>
      </c>
      <c r="G1709" s="7" t="s">
        <v>104</v>
      </c>
      <c r="H1709" s="4">
        <f t="shared" si="389"/>
        <v>71</v>
      </c>
      <c r="I1709" s="4" t="str">
        <f t="shared" si="390"/>
        <v>='C:\Users\jaime.benazar\Quorum Business Solutions\Ecopetrol Prometeo - Documents\Planning Space Implementation\3. Analysis &amp; Design\Design\FC22\DRR Jaime\Neiva CPI\[VAO_DINA TERCIARIOS_CF_SEC_20230117.xlsx]CF PDP'!$BU$71</v>
      </c>
      <c r="J1709" s="4" t="s">
        <v>907</v>
      </c>
    </row>
    <row r="1710" spans="1:10" x14ac:dyDescent="0.3">
      <c r="A1710" s="7" t="s">
        <v>14</v>
      </c>
      <c r="B1710" s="7">
        <f t="shared" si="391"/>
        <v>2059</v>
      </c>
      <c r="C1710" s="4" t="s">
        <v>46</v>
      </c>
      <c r="D1710" s="5" t="s">
        <v>131</v>
      </c>
      <c r="E1710" s="10" t="str">
        <f t="shared" si="387"/>
        <v>PDP'!</v>
      </c>
      <c r="F1710" s="5" t="str">
        <f t="shared" si="388"/>
        <v>C:\Users\jaime.benazar\Quorum Business Solutions\Ecopetrol Prometeo - Documents\Planning Space Implementation\3. Analysis &amp; Design\Design\FC22\DRR Jaime\Neiva CPI\[VAO_DINA TERCIARIOS_CF_SEC_20230117.xlsx]CF PDP'!</v>
      </c>
      <c r="G1710" s="7" t="s">
        <v>104</v>
      </c>
      <c r="H1710" s="4">
        <f t="shared" si="389"/>
        <v>72</v>
      </c>
      <c r="I1710" s="4" t="str">
        <f t="shared" si="390"/>
        <v>='C:\Users\jaime.benazar\Quorum Business Solutions\Ecopetrol Prometeo - Documents\Planning Space Implementation\3. Analysis &amp; Design\Design\FC22\DRR Jaime\Neiva CPI\[VAO_DINA TERCIARIOS_CF_SEC_20230117.xlsx]CF PDP'!$BU$72</v>
      </c>
      <c r="J1710" s="4" t="s">
        <v>908</v>
      </c>
    </row>
    <row r="1711" spans="1:10" x14ac:dyDescent="0.3">
      <c r="A1711" s="7" t="s">
        <v>26</v>
      </c>
      <c r="B1711" s="7"/>
      <c r="C1711" s="4" t="s">
        <v>46</v>
      </c>
      <c r="D1711" s="5"/>
      <c r="E1711" s="10"/>
      <c r="F1711" s="2"/>
      <c r="G1711" s="7"/>
      <c r="H1711" s="4"/>
      <c r="I1711" s="4"/>
      <c r="J1711" s="4"/>
    </row>
    <row r="1712" spans="1:10" x14ac:dyDescent="0.3">
      <c r="A1712" s="7" t="s">
        <v>15</v>
      </c>
      <c r="B1712" s="7">
        <v>2023</v>
      </c>
      <c r="C1712" s="4" t="s">
        <v>46</v>
      </c>
      <c r="D1712" s="5" t="s">
        <v>131</v>
      </c>
      <c r="E1712" s="10" t="str">
        <f t="shared" si="381"/>
        <v>PNP'!</v>
      </c>
      <c r="F1712" s="5" t="str">
        <f t="shared" ref="F1712:F1732" si="392">_xlfn.CONCAT(D1712," ",E1712)</f>
        <v>C:\Users\jaime.benazar\Quorum Business Solutions\Ecopetrol Prometeo - Documents\Planning Space Implementation\3. Analysis &amp; Design\Design\FC22\DRR Jaime\Neiva CPI\[VAO_DINA TERCIARIOS_CF_SEC_20230117.xlsx]CF PNP'!</v>
      </c>
      <c r="G1712" s="7" t="s">
        <v>104</v>
      </c>
      <c r="H1712" s="4">
        <f>IF(A1712&lt;&gt;A1696,36,H1696+1)</f>
        <v>36</v>
      </c>
      <c r="I1712" s="4" t="str">
        <f t="shared" si="382"/>
        <v>='C:\Users\jaime.benazar\Quorum Business Solutions\Ecopetrol Prometeo - Documents\Planning Space Implementation\3. Analysis &amp; Design\Design\FC22\DRR Jaime\Neiva CPI\[VAO_DINA TERCIARIOS_CF_SEC_20230117.xlsx]CF PNP'!$BU$36</v>
      </c>
      <c r="J1712" s="4" t="s">
        <v>909</v>
      </c>
    </row>
    <row r="1713" spans="1:10" x14ac:dyDescent="0.3">
      <c r="A1713" s="7" t="s">
        <v>15</v>
      </c>
      <c r="B1713" s="7">
        <f>+B1712+1</f>
        <v>2024</v>
      </c>
      <c r="C1713" s="4" t="s">
        <v>46</v>
      </c>
      <c r="D1713" s="5" t="s">
        <v>131</v>
      </c>
      <c r="E1713" s="10" t="str">
        <f t="shared" si="381"/>
        <v>PNP'!</v>
      </c>
      <c r="F1713" s="5" t="str">
        <f t="shared" si="392"/>
        <v>C:\Users\jaime.benazar\Quorum Business Solutions\Ecopetrol Prometeo - Documents\Planning Space Implementation\3. Analysis &amp; Design\Design\FC22\DRR Jaime\Neiva CPI\[VAO_DINA TERCIARIOS_CF_SEC_20230117.xlsx]CF PNP'!</v>
      </c>
      <c r="G1713" s="7" t="s">
        <v>104</v>
      </c>
      <c r="H1713" s="4">
        <f t="shared" si="384"/>
        <v>37</v>
      </c>
      <c r="I1713" s="4" t="str">
        <f t="shared" si="382"/>
        <v>='C:\Users\jaime.benazar\Quorum Business Solutions\Ecopetrol Prometeo - Documents\Planning Space Implementation\3. Analysis &amp; Design\Design\FC22\DRR Jaime\Neiva CPI\[VAO_DINA TERCIARIOS_CF_SEC_20230117.xlsx]CF PNP'!$BU$37</v>
      </c>
      <c r="J1713" s="4" t="s">
        <v>910</v>
      </c>
    </row>
    <row r="1714" spans="1:10" x14ac:dyDescent="0.3">
      <c r="A1714" s="7" t="s">
        <v>15</v>
      </c>
      <c r="B1714" s="7">
        <f t="shared" ref="B1714:B1725" si="393">+B1713+1</f>
        <v>2025</v>
      </c>
      <c r="C1714" s="4" t="s">
        <v>46</v>
      </c>
      <c r="D1714" s="5" t="s">
        <v>131</v>
      </c>
      <c r="E1714" s="10" t="str">
        <f t="shared" si="381"/>
        <v>PNP'!</v>
      </c>
      <c r="F1714" s="5" t="str">
        <f t="shared" si="392"/>
        <v>C:\Users\jaime.benazar\Quorum Business Solutions\Ecopetrol Prometeo - Documents\Planning Space Implementation\3. Analysis &amp; Design\Design\FC22\DRR Jaime\Neiva CPI\[VAO_DINA TERCIARIOS_CF_SEC_20230117.xlsx]CF PNP'!</v>
      </c>
      <c r="G1714" s="7" t="s">
        <v>104</v>
      </c>
      <c r="H1714" s="4">
        <f t="shared" si="384"/>
        <v>38</v>
      </c>
      <c r="I1714" s="4" t="str">
        <f t="shared" si="382"/>
        <v>='C:\Users\jaime.benazar\Quorum Business Solutions\Ecopetrol Prometeo - Documents\Planning Space Implementation\3. Analysis &amp; Design\Design\FC22\DRR Jaime\Neiva CPI\[VAO_DINA TERCIARIOS_CF_SEC_20230117.xlsx]CF PNP'!$BU$38</v>
      </c>
      <c r="J1714" s="4" t="s">
        <v>911</v>
      </c>
    </row>
    <row r="1715" spans="1:10" x14ac:dyDescent="0.3">
      <c r="A1715" s="7" t="s">
        <v>15</v>
      </c>
      <c r="B1715" s="7">
        <f t="shared" si="393"/>
        <v>2026</v>
      </c>
      <c r="C1715" s="4" t="s">
        <v>46</v>
      </c>
      <c r="D1715" s="5" t="s">
        <v>131</v>
      </c>
      <c r="E1715" s="10" t="str">
        <f t="shared" si="381"/>
        <v>PNP'!</v>
      </c>
      <c r="F1715" s="5" t="str">
        <f t="shared" si="392"/>
        <v>C:\Users\jaime.benazar\Quorum Business Solutions\Ecopetrol Prometeo - Documents\Planning Space Implementation\3. Analysis &amp; Design\Design\FC22\DRR Jaime\Neiva CPI\[VAO_DINA TERCIARIOS_CF_SEC_20230117.xlsx]CF PNP'!</v>
      </c>
      <c r="G1715" s="7" t="s">
        <v>104</v>
      </c>
      <c r="H1715" s="4">
        <f t="shared" si="384"/>
        <v>39</v>
      </c>
      <c r="I1715" s="4" t="str">
        <f t="shared" si="382"/>
        <v>='C:\Users\jaime.benazar\Quorum Business Solutions\Ecopetrol Prometeo - Documents\Planning Space Implementation\3. Analysis &amp; Design\Design\FC22\DRR Jaime\Neiva CPI\[VAO_DINA TERCIARIOS_CF_SEC_20230117.xlsx]CF PNP'!$BU$39</v>
      </c>
      <c r="J1715" s="4" t="s">
        <v>912</v>
      </c>
    </row>
    <row r="1716" spans="1:10" x14ac:dyDescent="0.3">
      <c r="A1716" s="7" t="s">
        <v>15</v>
      </c>
      <c r="B1716" s="7">
        <f t="shared" si="393"/>
        <v>2027</v>
      </c>
      <c r="C1716" s="4" t="s">
        <v>46</v>
      </c>
      <c r="D1716" s="5" t="s">
        <v>131</v>
      </c>
      <c r="E1716" s="10" t="str">
        <f t="shared" si="381"/>
        <v>PNP'!</v>
      </c>
      <c r="F1716" s="5" t="str">
        <f t="shared" si="392"/>
        <v>C:\Users\jaime.benazar\Quorum Business Solutions\Ecopetrol Prometeo - Documents\Planning Space Implementation\3. Analysis &amp; Design\Design\FC22\DRR Jaime\Neiva CPI\[VAO_DINA TERCIARIOS_CF_SEC_20230117.xlsx]CF PNP'!</v>
      </c>
      <c r="G1716" s="7" t="s">
        <v>104</v>
      </c>
      <c r="H1716" s="4">
        <f t="shared" si="384"/>
        <v>40</v>
      </c>
      <c r="I1716" s="4" t="str">
        <f t="shared" si="382"/>
        <v>='C:\Users\jaime.benazar\Quorum Business Solutions\Ecopetrol Prometeo - Documents\Planning Space Implementation\3. Analysis &amp; Design\Design\FC22\DRR Jaime\Neiva CPI\[VAO_DINA TERCIARIOS_CF_SEC_20230117.xlsx]CF PNP'!$BU$40</v>
      </c>
      <c r="J1716" s="4" t="s">
        <v>913</v>
      </c>
    </row>
    <row r="1717" spans="1:10" x14ac:dyDescent="0.3">
      <c r="A1717" s="7" t="s">
        <v>15</v>
      </c>
      <c r="B1717" s="7">
        <f t="shared" si="393"/>
        <v>2028</v>
      </c>
      <c r="C1717" s="4" t="s">
        <v>46</v>
      </c>
      <c r="D1717" s="5" t="s">
        <v>131</v>
      </c>
      <c r="E1717" s="10" t="str">
        <f t="shared" si="381"/>
        <v>PNP'!</v>
      </c>
      <c r="F1717" s="5" t="str">
        <f t="shared" si="392"/>
        <v>C:\Users\jaime.benazar\Quorum Business Solutions\Ecopetrol Prometeo - Documents\Planning Space Implementation\3. Analysis &amp; Design\Design\FC22\DRR Jaime\Neiva CPI\[VAO_DINA TERCIARIOS_CF_SEC_20230117.xlsx]CF PNP'!</v>
      </c>
      <c r="G1717" s="7" t="s">
        <v>104</v>
      </c>
      <c r="H1717" s="4">
        <f t="shared" si="384"/>
        <v>41</v>
      </c>
      <c r="I1717" s="4" t="str">
        <f t="shared" si="382"/>
        <v>='C:\Users\jaime.benazar\Quorum Business Solutions\Ecopetrol Prometeo - Documents\Planning Space Implementation\3. Analysis &amp; Design\Design\FC22\DRR Jaime\Neiva CPI\[VAO_DINA TERCIARIOS_CF_SEC_20230117.xlsx]CF PNP'!$BU$41</v>
      </c>
      <c r="J1717" s="4" t="s">
        <v>914</v>
      </c>
    </row>
    <row r="1718" spans="1:10" x14ac:dyDescent="0.3">
      <c r="A1718" s="7" t="s">
        <v>15</v>
      </c>
      <c r="B1718" s="7">
        <f t="shared" si="393"/>
        <v>2029</v>
      </c>
      <c r="C1718" s="4" t="s">
        <v>46</v>
      </c>
      <c r="D1718" s="5" t="s">
        <v>131</v>
      </c>
      <c r="E1718" s="10" t="str">
        <f t="shared" si="381"/>
        <v>PNP'!</v>
      </c>
      <c r="F1718" s="5" t="str">
        <f t="shared" si="392"/>
        <v>C:\Users\jaime.benazar\Quorum Business Solutions\Ecopetrol Prometeo - Documents\Planning Space Implementation\3. Analysis &amp; Design\Design\FC22\DRR Jaime\Neiva CPI\[VAO_DINA TERCIARIOS_CF_SEC_20230117.xlsx]CF PNP'!</v>
      </c>
      <c r="G1718" s="7" t="s">
        <v>104</v>
      </c>
      <c r="H1718" s="4">
        <f t="shared" si="384"/>
        <v>42</v>
      </c>
      <c r="I1718" s="4" t="str">
        <f t="shared" si="382"/>
        <v>='C:\Users\jaime.benazar\Quorum Business Solutions\Ecopetrol Prometeo - Documents\Planning Space Implementation\3. Analysis &amp; Design\Design\FC22\DRR Jaime\Neiva CPI\[VAO_DINA TERCIARIOS_CF_SEC_20230117.xlsx]CF PNP'!$BU$42</v>
      </c>
      <c r="J1718" s="4" t="s">
        <v>915</v>
      </c>
    </row>
    <row r="1719" spans="1:10" x14ac:dyDescent="0.3">
      <c r="A1719" s="7" t="s">
        <v>15</v>
      </c>
      <c r="B1719" s="7">
        <f t="shared" si="393"/>
        <v>2030</v>
      </c>
      <c r="C1719" s="4" t="s">
        <v>46</v>
      </c>
      <c r="D1719" s="5" t="s">
        <v>131</v>
      </c>
      <c r="E1719" s="10" t="str">
        <f t="shared" si="381"/>
        <v>PNP'!</v>
      </c>
      <c r="F1719" s="5" t="str">
        <f t="shared" si="392"/>
        <v>C:\Users\jaime.benazar\Quorum Business Solutions\Ecopetrol Prometeo - Documents\Planning Space Implementation\3. Analysis &amp; Design\Design\FC22\DRR Jaime\Neiva CPI\[VAO_DINA TERCIARIOS_CF_SEC_20230117.xlsx]CF PNP'!</v>
      </c>
      <c r="G1719" s="7" t="s">
        <v>104</v>
      </c>
      <c r="H1719" s="4">
        <f t="shared" si="384"/>
        <v>43</v>
      </c>
      <c r="I1719" s="4" t="str">
        <f t="shared" si="382"/>
        <v>='C:\Users\jaime.benazar\Quorum Business Solutions\Ecopetrol Prometeo - Documents\Planning Space Implementation\3. Analysis &amp; Design\Design\FC22\DRR Jaime\Neiva CPI\[VAO_DINA TERCIARIOS_CF_SEC_20230117.xlsx]CF PNP'!$BU$43</v>
      </c>
      <c r="J1719" s="4" t="s">
        <v>916</v>
      </c>
    </row>
    <row r="1720" spans="1:10" x14ac:dyDescent="0.3">
      <c r="A1720" s="7" t="s">
        <v>15</v>
      </c>
      <c r="B1720" s="7">
        <f t="shared" si="393"/>
        <v>2031</v>
      </c>
      <c r="C1720" s="4" t="s">
        <v>46</v>
      </c>
      <c r="D1720" s="5" t="s">
        <v>131</v>
      </c>
      <c r="E1720" s="10" t="str">
        <f t="shared" si="381"/>
        <v>PNP'!</v>
      </c>
      <c r="F1720" s="5" t="str">
        <f t="shared" si="392"/>
        <v>C:\Users\jaime.benazar\Quorum Business Solutions\Ecopetrol Prometeo - Documents\Planning Space Implementation\3. Analysis &amp; Design\Design\FC22\DRR Jaime\Neiva CPI\[VAO_DINA TERCIARIOS_CF_SEC_20230117.xlsx]CF PNP'!</v>
      </c>
      <c r="G1720" s="7" t="s">
        <v>104</v>
      </c>
      <c r="H1720" s="4">
        <f t="shared" si="384"/>
        <v>44</v>
      </c>
      <c r="I1720" s="4" t="str">
        <f t="shared" si="382"/>
        <v>='C:\Users\jaime.benazar\Quorum Business Solutions\Ecopetrol Prometeo - Documents\Planning Space Implementation\3. Analysis &amp; Design\Design\FC22\DRR Jaime\Neiva CPI\[VAO_DINA TERCIARIOS_CF_SEC_20230117.xlsx]CF PNP'!$BU$44</v>
      </c>
      <c r="J1720" s="4" t="s">
        <v>917</v>
      </c>
    </row>
    <row r="1721" spans="1:10" x14ac:dyDescent="0.3">
      <c r="A1721" s="7" t="s">
        <v>15</v>
      </c>
      <c r="B1721" s="7">
        <f t="shared" si="393"/>
        <v>2032</v>
      </c>
      <c r="C1721" s="4" t="s">
        <v>46</v>
      </c>
      <c r="D1721" s="5" t="s">
        <v>131</v>
      </c>
      <c r="E1721" s="10" t="str">
        <f t="shared" si="381"/>
        <v>PNP'!</v>
      </c>
      <c r="F1721" s="5" t="str">
        <f t="shared" si="392"/>
        <v>C:\Users\jaime.benazar\Quorum Business Solutions\Ecopetrol Prometeo - Documents\Planning Space Implementation\3. Analysis &amp; Design\Design\FC22\DRR Jaime\Neiva CPI\[VAO_DINA TERCIARIOS_CF_SEC_20230117.xlsx]CF PNP'!</v>
      </c>
      <c r="G1721" s="7" t="s">
        <v>104</v>
      </c>
      <c r="H1721" s="4">
        <f t="shared" si="384"/>
        <v>45</v>
      </c>
      <c r="I1721" s="4" t="str">
        <f t="shared" si="382"/>
        <v>='C:\Users\jaime.benazar\Quorum Business Solutions\Ecopetrol Prometeo - Documents\Planning Space Implementation\3. Analysis &amp; Design\Design\FC22\DRR Jaime\Neiva CPI\[VAO_DINA TERCIARIOS_CF_SEC_20230117.xlsx]CF PNP'!$BU$45</v>
      </c>
      <c r="J1721" s="4" t="s">
        <v>918</v>
      </c>
    </row>
    <row r="1722" spans="1:10" x14ac:dyDescent="0.3">
      <c r="A1722" s="7" t="s">
        <v>15</v>
      </c>
      <c r="B1722" s="7">
        <f t="shared" si="393"/>
        <v>2033</v>
      </c>
      <c r="C1722" s="4" t="s">
        <v>46</v>
      </c>
      <c r="D1722" s="5" t="s">
        <v>131</v>
      </c>
      <c r="E1722" s="10" t="str">
        <f t="shared" si="381"/>
        <v>PNP'!</v>
      </c>
      <c r="F1722" s="5" t="str">
        <f t="shared" si="392"/>
        <v>C:\Users\jaime.benazar\Quorum Business Solutions\Ecopetrol Prometeo - Documents\Planning Space Implementation\3. Analysis &amp; Design\Design\FC22\DRR Jaime\Neiva CPI\[VAO_DINA TERCIARIOS_CF_SEC_20230117.xlsx]CF PNP'!</v>
      </c>
      <c r="G1722" s="7" t="s">
        <v>104</v>
      </c>
      <c r="H1722" s="4">
        <f t="shared" si="384"/>
        <v>46</v>
      </c>
      <c r="I1722" s="4" t="str">
        <f t="shared" si="382"/>
        <v>='C:\Users\jaime.benazar\Quorum Business Solutions\Ecopetrol Prometeo - Documents\Planning Space Implementation\3. Analysis &amp; Design\Design\FC22\DRR Jaime\Neiva CPI\[VAO_DINA TERCIARIOS_CF_SEC_20230117.xlsx]CF PNP'!$BU$46</v>
      </c>
      <c r="J1722" s="4" t="s">
        <v>919</v>
      </c>
    </row>
    <row r="1723" spans="1:10" x14ac:dyDescent="0.3">
      <c r="A1723" s="7" t="s">
        <v>15</v>
      </c>
      <c r="B1723" s="7">
        <f t="shared" si="393"/>
        <v>2034</v>
      </c>
      <c r="C1723" s="4" t="s">
        <v>46</v>
      </c>
      <c r="D1723" s="5" t="s">
        <v>131</v>
      </c>
      <c r="E1723" s="10" t="str">
        <f t="shared" si="381"/>
        <v>PNP'!</v>
      </c>
      <c r="F1723" s="5" t="str">
        <f t="shared" si="392"/>
        <v>C:\Users\jaime.benazar\Quorum Business Solutions\Ecopetrol Prometeo - Documents\Planning Space Implementation\3. Analysis &amp; Design\Design\FC22\DRR Jaime\Neiva CPI\[VAO_DINA TERCIARIOS_CF_SEC_20230117.xlsx]CF PNP'!</v>
      </c>
      <c r="G1723" s="7" t="s">
        <v>104</v>
      </c>
      <c r="H1723" s="4">
        <f t="shared" si="384"/>
        <v>47</v>
      </c>
      <c r="I1723" s="4" t="str">
        <f t="shared" si="382"/>
        <v>='C:\Users\jaime.benazar\Quorum Business Solutions\Ecopetrol Prometeo - Documents\Planning Space Implementation\3. Analysis &amp; Design\Design\FC22\DRR Jaime\Neiva CPI\[VAO_DINA TERCIARIOS_CF_SEC_20230117.xlsx]CF PNP'!$BU$47</v>
      </c>
      <c r="J1723" s="4" t="s">
        <v>920</v>
      </c>
    </row>
    <row r="1724" spans="1:10" x14ac:dyDescent="0.3">
      <c r="A1724" s="7" t="s">
        <v>15</v>
      </c>
      <c r="B1724" s="7">
        <f t="shared" si="393"/>
        <v>2035</v>
      </c>
      <c r="C1724" s="4" t="s">
        <v>46</v>
      </c>
      <c r="D1724" s="5" t="s">
        <v>131</v>
      </c>
      <c r="E1724" s="10" t="str">
        <f t="shared" si="381"/>
        <v>PNP'!</v>
      </c>
      <c r="F1724" s="5" t="str">
        <f t="shared" si="392"/>
        <v>C:\Users\jaime.benazar\Quorum Business Solutions\Ecopetrol Prometeo - Documents\Planning Space Implementation\3. Analysis &amp; Design\Design\FC22\DRR Jaime\Neiva CPI\[VAO_DINA TERCIARIOS_CF_SEC_20230117.xlsx]CF PNP'!</v>
      </c>
      <c r="G1724" s="7" t="s">
        <v>104</v>
      </c>
      <c r="H1724" s="4">
        <f t="shared" si="384"/>
        <v>48</v>
      </c>
      <c r="I1724" s="4" t="str">
        <f t="shared" si="382"/>
        <v>='C:\Users\jaime.benazar\Quorum Business Solutions\Ecopetrol Prometeo - Documents\Planning Space Implementation\3. Analysis &amp; Design\Design\FC22\DRR Jaime\Neiva CPI\[VAO_DINA TERCIARIOS_CF_SEC_20230117.xlsx]CF PNP'!$BU$48</v>
      </c>
      <c r="J1724" s="4" t="s">
        <v>921</v>
      </c>
    </row>
    <row r="1725" spans="1:10" x14ac:dyDescent="0.3">
      <c r="A1725" s="7" t="s">
        <v>15</v>
      </c>
      <c r="B1725" s="7">
        <f t="shared" si="393"/>
        <v>2036</v>
      </c>
      <c r="C1725" s="4" t="s">
        <v>46</v>
      </c>
      <c r="D1725" s="5" t="s">
        <v>131</v>
      </c>
      <c r="E1725" s="10" t="str">
        <f t="shared" si="381"/>
        <v>PNP'!</v>
      </c>
      <c r="F1725" s="5" t="str">
        <f t="shared" si="392"/>
        <v>C:\Users\jaime.benazar\Quorum Business Solutions\Ecopetrol Prometeo - Documents\Planning Space Implementation\3. Analysis &amp; Design\Design\FC22\DRR Jaime\Neiva CPI\[VAO_DINA TERCIARIOS_CF_SEC_20230117.xlsx]CF PNP'!</v>
      </c>
      <c r="G1725" s="7" t="s">
        <v>104</v>
      </c>
      <c r="H1725" s="4">
        <f t="shared" si="384"/>
        <v>49</v>
      </c>
      <c r="I1725" s="4" t="str">
        <f t="shared" si="382"/>
        <v>='C:\Users\jaime.benazar\Quorum Business Solutions\Ecopetrol Prometeo - Documents\Planning Space Implementation\3. Analysis &amp; Design\Design\FC22\DRR Jaime\Neiva CPI\[VAO_DINA TERCIARIOS_CF_SEC_20230117.xlsx]CF PNP'!$BU$49</v>
      </c>
      <c r="J1725" s="4" t="s">
        <v>922</v>
      </c>
    </row>
    <row r="1726" spans="1:10" x14ac:dyDescent="0.3">
      <c r="A1726" s="7" t="s">
        <v>15</v>
      </c>
      <c r="B1726" s="7">
        <f>+B1725+1</f>
        <v>2037</v>
      </c>
      <c r="C1726" s="4" t="s">
        <v>46</v>
      </c>
      <c r="D1726" s="5" t="s">
        <v>131</v>
      </c>
      <c r="E1726" s="10" t="str">
        <f t="shared" si="381"/>
        <v>PNP'!</v>
      </c>
      <c r="F1726" s="5" t="str">
        <f t="shared" si="392"/>
        <v>C:\Users\jaime.benazar\Quorum Business Solutions\Ecopetrol Prometeo - Documents\Planning Space Implementation\3. Analysis &amp; Design\Design\FC22\DRR Jaime\Neiva CPI\[VAO_DINA TERCIARIOS_CF_SEC_20230117.xlsx]CF PNP'!</v>
      </c>
      <c r="G1726" s="7" t="s">
        <v>104</v>
      </c>
      <c r="H1726" s="4">
        <f t="shared" si="384"/>
        <v>50</v>
      </c>
      <c r="I1726" s="4" t="str">
        <f t="shared" si="382"/>
        <v>='C:\Users\jaime.benazar\Quorum Business Solutions\Ecopetrol Prometeo - Documents\Planning Space Implementation\3. Analysis &amp; Design\Design\FC22\DRR Jaime\Neiva CPI\[VAO_DINA TERCIARIOS_CF_SEC_20230117.xlsx]CF PNP'!$BU$50</v>
      </c>
      <c r="J1726" s="4" t="s">
        <v>923</v>
      </c>
    </row>
    <row r="1727" spans="1:10" x14ac:dyDescent="0.3">
      <c r="A1727" s="7" t="s">
        <v>15</v>
      </c>
      <c r="B1727" s="7">
        <f t="shared" ref="B1727:B1729" si="394">+B1726+1</f>
        <v>2038</v>
      </c>
      <c r="C1727" s="4" t="s">
        <v>46</v>
      </c>
      <c r="D1727" s="5" t="s">
        <v>131</v>
      </c>
      <c r="E1727" s="10" t="str">
        <f t="shared" si="381"/>
        <v>PNP'!</v>
      </c>
      <c r="F1727" s="5" t="str">
        <f t="shared" si="392"/>
        <v>C:\Users\jaime.benazar\Quorum Business Solutions\Ecopetrol Prometeo - Documents\Planning Space Implementation\3. Analysis &amp; Design\Design\FC22\DRR Jaime\Neiva CPI\[VAO_DINA TERCIARIOS_CF_SEC_20230117.xlsx]CF PNP'!</v>
      </c>
      <c r="G1727" s="7" t="s">
        <v>104</v>
      </c>
      <c r="H1727" s="4">
        <f t="shared" si="384"/>
        <v>51</v>
      </c>
      <c r="I1727" s="4" t="str">
        <f t="shared" si="382"/>
        <v>='C:\Users\jaime.benazar\Quorum Business Solutions\Ecopetrol Prometeo - Documents\Planning Space Implementation\3. Analysis &amp; Design\Design\FC22\DRR Jaime\Neiva CPI\[VAO_DINA TERCIARIOS_CF_SEC_20230117.xlsx]CF PNP'!$BU$51</v>
      </c>
      <c r="J1727" s="4" t="s">
        <v>924</v>
      </c>
    </row>
    <row r="1728" spans="1:10" x14ac:dyDescent="0.3">
      <c r="A1728" s="7" t="s">
        <v>15</v>
      </c>
      <c r="B1728" s="7">
        <f t="shared" si="394"/>
        <v>2039</v>
      </c>
      <c r="C1728" s="4" t="s">
        <v>46</v>
      </c>
      <c r="D1728" s="5" t="s">
        <v>131</v>
      </c>
      <c r="E1728" s="10" t="str">
        <f t="shared" si="381"/>
        <v>PNP'!</v>
      </c>
      <c r="F1728" s="5" t="str">
        <f t="shared" si="392"/>
        <v>C:\Users\jaime.benazar\Quorum Business Solutions\Ecopetrol Prometeo - Documents\Planning Space Implementation\3. Analysis &amp; Design\Design\FC22\DRR Jaime\Neiva CPI\[VAO_DINA TERCIARIOS_CF_SEC_20230117.xlsx]CF PNP'!</v>
      </c>
      <c r="G1728" s="7" t="s">
        <v>104</v>
      </c>
      <c r="H1728" s="4">
        <f t="shared" si="384"/>
        <v>52</v>
      </c>
      <c r="I1728" s="4" t="str">
        <f t="shared" si="382"/>
        <v>='C:\Users\jaime.benazar\Quorum Business Solutions\Ecopetrol Prometeo - Documents\Planning Space Implementation\3. Analysis &amp; Design\Design\FC22\DRR Jaime\Neiva CPI\[VAO_DINA TERCIARIOS_CF_SEC_20230117.xlsx]CF PNP'!$BU$52</v>
      </c>
      <c r="J1728" s="4" t="s">
        <v>925</v>
      </c>
    </row>
    <row r="1729" spans="1:10" x14ac:dyDescent="0.3">
      <c r="A1729" s="7" t="s">
        <v>15</v>
      </c>
      <c r="B1729" s="7">
        <f t="shared" si="394"/>
        <v>2040</v>
      </c>
      <c r="C1729" s="4" t="s">
        <v>46</v>
      </c>
      <c r="D1729" s="5" t="s">
        <v>131</v>
      </c>
      <c r="E1729" s="10" t="str">
        <f t="shared" si="381"/>
        <v>PNP'!</v>
      </c>
      <c r="F1729" s="5" t="str">
        <f t="shared" si="392"/>
        <v>C:\Users\jaime.benazar\Quorum Business Solutions\Ecopetrol Prometeo - Documents\Planning Space Implementation\3. Analysis &amp; Design\Design\FC22\DRR Jaime\Neiva CPI\[VAO_DINA TERCIARIOS_CF_SEC_20230117.xlsx]CF PNP'!</v>
      </c>
      <c r="G1729" s="7" t="s">
        <v>104</v>
      </c>
      <c r="H1729" s="4">
        <f t="shared" si="384"/>
        <v>53</v>
      </c>
      <c r="I1729" s="4" t="str">
        <f t="shared" si="382"/>
        <v>='C:\Users\jaime.benazar\Quorum Business Solutions\Ecopetrol Prometeo - Documents\Planning Space Implementation\3. Analysis &amp; Design\Design\FC22\DRR Jaime\Neiva CPI\[VAO_DINA TERCIARIOS_CF_SEC_20230117.xlsx]CF PNP'!$BU$53</v>
      </c>
      <c r="J1729" s="4" t="s">
        <v>926</v>
      </c>
    </row>
    <row r="1730" spans="1:10" x14ac:dyDescent="0.3">
      <c r="A1730" s="7" t="s">
        <v>15</v>
      </c>
      <c r="B1730" s="7">
        <f>+B1729+1</f>
        <v>2041</v>
      </c>
      <c r="C1730" s="4" t="s">
        <v>46</v>
      </c>
      <c r="D1730" s="5" t="s">
        <v>131</v>
      </c>
      <c r="E1730" s="10" t="str">
        <f t="shared" si="381"/>
        <v>PNP'!</v>
      </c>
      <c r="F1730" s="5" t="str">
        <f t="shared" si="392"/>
        <v>C:\Users\jaime.benazar\Quorum Business Solutions\Ecopetrol Prometeo - Documents\Planning Space Implementation\3. Analysis &amp; Design\Design\FC22\DRR Jaime\Neiva CPI\[VAO_DINA TERCIARIOS_CF_SEC_20230117.xlsx]CF PNP'!</v>
      </c>
      <c r="G1730" s="7" t="s">
        <v>104</v>
      </c>
      <c r="H1730" s="4">
        <f t="shared" si="384"/>
        <v>54</v>
      </c>
      <c r="I1730" s="4" t="str">
        <f t="shared" si="382"/>
        <v>='C:\Users\jaime.benazar\Quorum Business Solutions\Ecopetrol Prometeo - Documents\Planning Space Implementation\3. Analysis &amp; Design\Design\FC22\DRR Jaime\Neiva CPI\[VAO_DINA TERCIARIOS_CF_SEC_20230117.xlsx]CF PNP'!$BU$54</v>
      </c>
      <c r="J1730" s="4" t="s">
        <v>927</v>
      </c>
    </row>
    <row r="1731" spans="1:10" x14ac:dyDescent="0.3">
      <c r="A1731" s="7" t="s">
        <v>15</v>
      </c>
      <c r="B1731" s="7">
        <f t="shared" ref="B1731:B1732" si="395">+B1730+1</f>
        <v>2042</v>
      </c>
      <c r="C1731" s="4" t="s">
        <v>46</v>
      </c>
      <c r="D1731" s="5" t="s">
        <v>131</v>
      </c>
      <c r="E1731" s="10" t="str">
        <f t="shared" si="381"/>
        <v>PNP'!</v>
      </c>
      <c r="F1731" s="5" t="str">
        <f t="shared" si="392"/>
        <v>C:\Users\jaime.benazar\Quorum Business Solutions\Ecopetrol Prometeo - Documents\Planning Space Implementation\3. Analysis &amp; Design\Design\FC22\DRR Jaime\Neiva CPI\[VAO_DINA TERCIARIOS_CF_SEC_20230117.xlsx]CF PNP'!</v>
      </c>
      <c r="G1731" s="7" t="s">
        <v>104</v>
      </c>
      <c r="H1731" s="4">
        <f t="shared" si="384"/>
        <v>55</v>
      </c>
      <c r="I1731" s="4" t="str">
        <f t="shared" si="382"/>
        <v>='C:\Users\jaime.benazar\Quorum Business Solutions\Ecopetrol Prometeo - Documents\Planning Space Implementation\3. Analysis &amp; Design\Design\FC22\DRR Jaime\Neiva CPI\[VAO_DINA TERCIARIOS_CF_SEC_20230117.xlsx]CF PNP'!$BU$55</v>
      </c>
      <c r="J1731" s="4" t="s">
        <v>928</v>
      </c>
    </row>
    <row r="1732" spans="1:10" x14ac:dyDescent="0.3">
      <c r="A1732" s="7" t="s">
        <v>15</v>
      </c>
      <c r="B1732" s="7">
        <f t="shared" si="395"/>
        <v>2043</v>
      </c>
      <c r="C1732" s="4" t="s">
        <v>46</v>
      </c>
      <c r="D1732" s="5" t="s">
        <v>131</v>
      </c>
      <c r="E1732" s="10" t="str">
        <f t="shared" si="381"/>
        <v>PNP'!</v>
      </c>
      <c r="F1732" s="5" t="str">
        <f t="shared" si="392"/>
        <v>C:\Users\jaime.benazar\Quorum Business Solutions\Ecopetrol Prometeo - Documents\Planning Space Implementation\3. Analysis &amp; Design\Design\FC22\DRR Jaime\Neiva CPI\[VAO_DINA TERCIARIOS_CF_SEC_20230117.xlsx]CF PNP'!</v>
      </c>
      <c r="G1732" s="7" t="s">
        <v>104</v>
      </c>
      <c r="H1732" s="4">
        <f t="shared" si="384"/>
        <v>56</v>
      </c>
      <c r="I1732" s="4" t="str">
        <f t="shared" si="382"/>
        <v>='C:\Users\jaime.benazar\Quorum Business Solutions\Ecopetrol Prometeo - Documents\Planning Space Implementation\3. Analysis &amp; Design\Design\FC22\DRR Jaime\Neiva CPI\[VAO_DINA TERCIARIOS_CF_SEC_20230117.xlsx]CF PNP'!$BU$56</v>
      </c>
      <c r="J1732" s="4" t="s">
        <v>929</v>
      </c>
    </row>
    <row r="1733" spans="1:10" x14ac:dyDescent="0.3">
      <c r="A1733" s="7" t="s">
        <v>15</v>
      </c>
      <c r="B1733" s="7">
        <f>+B1732+1</f>
        <v>2044</v>
      </c>
      <c r="C1733" s="4" t="s">
        <v>46</v>
      </c>
      <c r="D1733" s="5" t="s">
        <v>131</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Jaime\Neiva CPI\[VAO_DINA TERCIARIOS_CF_SEC_20230117.xlsx]CF PNP'!</v>
      </c>
      <c r="G1733" s="7" t="s">
        <v>104</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Jaime\Neiva CPI\[VAO_DINA TERCIARIOS_CF_SEC_20230117.xlsx]CF PNP'!$BU$57</v>
      </c>
      <c r="J1733" s="4" t="s">
        <v>930</v>
      </c>
    </row>
    <row r="1734" spans="1:10" x14ac:dyDescent="0.3">
      <c r="A1734" s="7" t="s">
        <v>15</v>
      </c>
      <c r="B1734" s="7">
        <f t="shared" ref="B1734:B1748" si="400">+B1733+1</f>
        <v>2045</v>
      </c>
      <c r="C1734" s="4" t="s">
        <v>46</v>
      </c>
      <c r="D1734" s="5" t="s">
        <v>131</v>
      </c>
      <c r="E1734" s="10" t="str">
        <f t="shared" si="396"/>
        <v>PNP'!</v>
      </c>
      <c r="F1734" s="5" t="str">
        <f t="shared" si="397"/>
        <v>C:\Users\jaime.benazar\Quorum Business Solutions\Ecopetrol Prometeo - Documents\Planning Space Implementation\3. Analysis &amp; Design\Design\FC22\DRR Jaime\Neiva CPI\[VAO_DINA TERCIARIOS_CF_SEC_20230117.xlsx]CF PNP'!</v>
      </c>
      <c r="G1734" s="7" t="s">
        <v>104</v>
      </c>
      <c r="H1734" s="4">
        <f t="shared" si="398"/>
        <v>58</v>
      </c>
      <c r="I1734" s="4" t="str">
        <f t="shared" si="399"/>
        <v>='C:\Users\jaime.benazar\Quorum Business Solutions\Ecopetrol Prometeo - Documents\Planning Space Implementation\3. Analysis &amp; Design\Design\FC22\DRR Jaime\Neiva CPI\[VAO_DINA TERCIARIOS_CF_SEC_20230117.xlsx]CF PNP'!$BU$58</v>
      </c>
      <c r="J1734" s="4" t="s">
        <v>931</v>
      </c>
    </row>
    <row r="1735" spans="1:10" x14ac:dyDescent="0.3">
      <c r="A1735" s="7" t="s">
        <v>15</v>
      </c>
      <c r="B1735" s="7">
        <f t="shared" si="400"/>
        <v>2046</v>
      </c>
      <c r="C1735" s="4" t="s">
        <v>46</v>
      </c>
      <c r="D1735" s="5" t="s">
        <v>131</v>
      </c>
      <c r="E1735" s="10" t="str">
        <f t="shared" si="396"/>
        <v>PNP'!</v>
      </c>
      <c r="F1735" s="5" t="str">
        <f t="shared" si="397"/>
        <v>C:\Users\jaime.benazar\Quorum Business Solutions\Ecopetrol Prometeo - Documents\Planning Space Implementation\3. Analysis &amp; Design\Design\FC22\DRR Jaime\Neiva CPI\[VAO_DINA TERCIARIOS_CF_SEC_20230117.xlsx]CF PNP'!</v>
      </c>
      <c r="G1735" s="7" t="s">
        <v>104</v>
      </c>
      <c r="H1735" s="4">
        <f t="shared" si="398"/>
        <v>59</v>
      </c>
      <c r="I1735" s="4" t="str">
        <f t="shared" si="399"/>
        <v>='C:\Users\jaime.benazar\Quorum Business Solutions\Ecopetrol Prometeo - Documents\Planning Space Implementation\3. Analysis &amp; Design\Design\FC22\DRR Jaime\Neiva CPI\[VAO_DINA TERCIARIOS_CF_SEC_20230117.xlsx]CF PNP'!$BU$59</v>
      </c>
      <c r="J1735" s="4" t="s">
        <v>932</v>
      </c>
    </row>
    <row r="1736" spans="1:10" x14ac:dyDescent="0.3">
      <c r="A1736" s="7" t="s">
        <v>15</v>
      </c>
      <c r="B1736" s="7">
        <f t="shared" si="400"/>
        <v>2047</v>
      </c>
      <c r="C1736" s="4" t="s">
        <v>46</v>
      </c>
      <c r="D1736" s="5" t="s">
        <v>131</v>
      </c>
      <c r="E1736" s="10" t="str">
        <f t="shared" si="396"/>
        <v>PNP'!</v>
      </c>
      <c r="F1736" s="5" t="str">
        <f t="shared" si="397"/>
        <v>C:\Users\jaime.benazar\Quorum Business Solutions\Ecopetrol Prometeo - Documents\Planning Space Implementation\3. Analysis &amp; Design\Design\FC22\DRR Jaime\Neiva CPI\[VAO_DINA TERCIARIOS_CF_SEC_20230117.xlsx]CF PNP'!</v>
      </c>
      <c r="G1736" s="7" t="s">
        <v>104</v>
      </c>
      <c r="H1736" s="4">
        <f t="shared" si="398"/>
        <v>60</v>
      </c>
      <c r="I1736" s="4" t="str">
        <f t="shared" si="399"/>
        <v>='C:\Users\jaime.benazar\Quorum Business Solutions\Ecopetrol Prometeo - Documents\Planning Space Implementation\3. Analysis &amp; Design\Design\FC22\DRR Jaime\Neiva CPI\[VAO_DINA TERCIARIOS_CF_SEC_20230117.xlsx]CF PNP'!$BU$60</v>
      </c>
      <c r="J1736" s="4" t="s">
        <v>933</v>
      </c>
    </row>
    <row r="1737" spans="1:10" x14ac:dyDescent="0.3">
      <c r="A1737" s="7" t="s">
        <v>15</v>
      </c>
      <c r="B1737" s="7">
        <f t="shared" si="400"/>
        <v>2048</v>
      </c>
      <c r="C1737" s="4" t="s">
        <v>46</v>
      </c>
      <c r="D1737" s="5" t="s">
        <v>131</v>
      </c>
      <c r="E1737" s="10" t="str">
        <f t="shared" si="396"/>
        <v>PNP'!</v>
      </c>
      <c r="F1737" s="5" t="str">
        <f t="shared" si="397"/>
        <v>C:\Users\jaime.benazar\Quorum Business Solutions\Ecopetrol Prometeo - Documents\Planning Space Implementation\3. Analysis &amp; Design\Design\FC22\DRR Jaime\Neiva CPI\[VAO_DINA TERCIARIOS_CF_SEC_20230117.xlsx]CF PNP'!</v>
      </c>
      <c r="G1737" s="7" t="s">
        <v>104</v>
      </c>
      <c r="H1737" s="4">
        <f t="shared" si="398"/>
        <v>61</v>
      </c>
      <c r="I1737" s="4" t="str">
        <f t="shared" si="399"/>
        <v>='C:\Users\jaime.benazar\Quorum Business Solutions\Ecopetrol Prometeo - Documents\Planning Space Implementation\3. Analysis &amp; Design\Design\FC22\DRR Jaime\Neiva CPI\[VAO_DINA TERCIARIOS_CF_SEC_20230117.xlsx]CF PNP'!$BU$61</v>
      </c>
      <c r="J1737" s="4" t="s">
        <v>934</v>
      </c>
    </row>
    <row r="1738" spans="1:10" x14ac:dyDescent="0.3">
      <c r="A1738" s="7" t="s">
        <v>15</v>
      </c>
      <c r="B1738" s="7">
        <f t="shared" si="400"/>
        <v>2049</v>
      </c>
      <c r="C1738" s="4" t="s">
        <v>46</v>
      </c>
      <c r="D1738" s="5" t="s">
        <v>131</v>
      </c>
      <c r="E1738" s="10" t="str">
        <f t="shared" si="396"/>
        <v>PNP'!</v>
      </c>
      <c r="F1738" s="5" t="str">
        <f t="shared" si="397"/>
        <v>C:\Users\jaime.benazar\Quorum Business Solutions\Ecopetrol Prometeo - Documents\Planning Space Implementation\3. Analysis &amp; Design\Design\FC22\DRR Jaime\Neiva CPI\[VAO_DINA TERCIARIOS_CF_SEC_20230117.xlsx]CF PNP'!</v>
      </c>
      <c r="G1738" s="7" t="s">
        <v>104</v>
      </c>
      <c r="H1738" s="4">
        <f t="shared" si="398"/>
        <v>62</v>
      </c>
      <c r="I1738" s="4" t="str">
        <f t="shared" si="399"/>
        <v>='C:\Users\jaime.benazar\Quorum Business Solutions\Ecopetrol Prometeo - Documents\Planning Space Implementation\3. Analysis &amp; Design\Design\FC22\DRR Jaime\Neiva CPI\[VAO_DINA TERCIARIOS_CF_SEC_20230117.xlsx]CF PNP'!$BU$62</v>
      </c>
      <c r="J1738" s="4" t="s">
        <v>935</v>
      </c>
    </row>
    <row r="1739" spans="1:10" x14ac:dyDescent="0.3">
      <c r="A1739" s="7" t="s">
        <v>15</v>
      </c>
      <c r="B1739" s="7">
        <f t="shared" si="400"/>
        <v>2050</v>
      </c>
      <c r="C1739" s="4" t="s">
        <v>46</v>
      </c>
      <c r="D1739" s="5" t="s">
        <v>131</v>
      </c>
      <c r="E1739" s="10" t="str">
        <f t="shared" si="396"/>
        <v>PNP'!</v>
      </c>
      <c r="F1739" s="5" t="str">
        <f t="shared" si="397"/>
        <v>C:\Users\jaime.benazar\Quorum Business Solutions\Ecopetrol Prometeo - Documents\Planning Space Implementation\3. Analysis &amp; Design\Design\FC22\DRR Jaime\Neiva CPI\[VAO_DINA TERCIARIOS_CF_SEC_20230117.xlsx]CF PNP'!</v>
      </c>
      <c r="G1739" s="7" t="s">
        <v>104</v>
      </c>
      <c r="H1739" s="4">
        <f t="shared" si="398"/>
        <v>63</v>
      </c>
      <c r="I1739" s="4" t="str">
        <f t="shared" si="399"/>
        <v>='C:\Users\jaime.benazar\Quorum Business Solutions\Ecopetrol Prometeo - Documents\Planning Space Implementation\3. Analysis &amp; Design\Design\FC22\DRR Jaime\Neiva CPI\[VAO_DINA TERCIARIOS_CF_SEC_20230117.xlsx]CF PNP'!$BU$63</v>
      </c>
      <c r="J1739" s="4" t="s">
        <v>936</v>
      </c>
    </row>
    <row r="1740" spans="1:10" x14ac:dyDescent="0.3">
      <c r="A1740" s="7" t="s">
        <v>15</v>
      </c>
      <c r="B1740" s="7">
        <f t="shared" si="400"/>
        <v>2051</v>
      </c>
      <c r="C1740" s="4" t="s">
        <v>46</v>
      </c>
      <c r="D1740" s="5" t="s">
        <v>131</v>
      </c>
      <c r="E1740" s="10" t="str">
        <f t="shared" si="396"/>
        <v>PNP'!</v>
      </c>
      <c r="F1740" s="5" t="str">
        <f t="shared" si="397"/>
        <v>C:\Users\jaime.benazar\Quorum Business Solutions\Ecopetrol Prometeo - Documents\Planning Space Implementation\3. Analysis &amp; Design\Design\FC22\DRR Jaime\Neiva CPI\[VAO_DINA TERCIARIOS_CF_SEC_20230117.xlsx]CF PNP'!</v>
      </c>
      <c r="G1740" s="7" t="s">
        <v>104</v>
      </c>
      <c r="H1740" s="4">
        <f t="shared" si="398"/>
        <v>64</v>
      </c>
      <c r="I1740" s="4" t="str">
        <f t="shared" si="399"/>
        <v>='C:\Users\jaime.benazar\Quorum Business Solutions\Ecopetrol Prometeo - Documents\Planning Space Implementation\3. Analysis &amp; Design\Design\FC22\DRR Jaime\Neiva CPI\[VAO_DINA TERCIARIOS_CF_SEC_20230117.xlsx]CF PNP'!$BU$64</v>
      </c>
      <c r="J1740" s="4" t="s">
        <v>937</v>
      </c>
    </row>
    <row r="1741" spans="1:10" x14ac:dyDescent="0.3">
      <c r="A1741" s="7" t="s">
        <v>15</v>
      </c>
      <c r="B1741" s="7">
        <f t="shared" si="400"/>
        <v>2052</v>
      </c>
      <c r="C1741" s="4" t="s">
        <v>46</v>
      </c>
      <c r="D1741" s="5" t="s">
        <v>131</v>
      </c>
      <c r="E1741" s="10" t="str">
        <f t="shared" si="396"/>
        <v>PNP'!</v>
      </c>
      <c r="F1741" s="5" t="str">
        <f t="shared" si="397"/>
        <v>C:\Users\jaime.benazar\Quorum Business Solutions\Ecopetrol Prometeo - Documents\Planning Space Implementation\3. Analysis &amp; Design\Design\FC22\DRR Jaime\Neiva CPI\[VAO_DINA TERCIARIOS_CF_SEC_20230117.xlsx]CF PNP'!</v>
      </c>
      <c r="G1741" s="7" t="s">
        <v>104</v>
      </c>
      <c r="H1741" s="4">
        <f t="shared" si="398"/>
        <v>65</v>
      </c>
      <c r="I1741" s="4" t="str">
        <f t="shared" si="399"/>
        <v>='C:\Users\jaime.benazar\Quorum Business Solutions\Ecopetrol Prometeo - Documents\Planning Space Implementation\3. Analysis &amp; Design\Design\FC22\DRR Jaime\Neiva CPI\[VAO_DINA TERCIARIOS_CF_SEC_20230117.xlsx]CF PNP'!$BU$65</v>
      </c>
      <c r="J1741" s="4" t="s">
        <v>938</v>
      </c>
    </row>
    <row r="1742" spans="1:10" x14ac:dyDescent="0.3">
      <c r="A1742" s="7" t="s">
        <v>15</v>
      </c>
      <c r="B1742" s="7">
        <f t="shared" si="400"/>
        <v>2053</v>
      </c>
      <c r="C1742" s="4" t="s">
        <v>46</v>
      </c>
      <c r="D1742" s="5" t="s">
        <v>131</v>
      </c>
      <c r="E1742" s="10" t="str">
        <f t="shared" si="396"/>
        <v>PNP'!</v>
      </c>
      <c r="F1742" s="5" t="str">
        <f t="shared" si="397"/>
        <v>C:\Users\jaime.benazar\Quorum Business Solutions\Ecopetrol Prometeo - Documents\Planning Space Implementation\3. Analysis &amp; Design\Design\FC22\DRR Jaime\Neiva CPI\[VAO_DINA TERCIARIOS_CF_SEC_20230117.xlsx]CF PNP'!</v>
      </c>
      <c r="G1742" s="7" t="s">
        <v>104</v>
      </c>
      <c r="H1742" s="4">
        <f t="shared" si="398"/>
        <v>66</v>
      </c>
      <c r="I1742" s="4" t="str">
        <f t="shared" si="399"/>
        <v>='C:\Users\jaime.benazar\Quorum Business Solutions\Ecopetrol Prometeo - Documents\Planning Space Implementation\3. Analysis &amp; Design\Design\FC22\DRR Jaime\Neiva CPI\[VAO_DINA TERCIARIOS_CF_SEC_20230117.xlsx]CF PNP'!$BU$66</v>
      </c>
      <c r="J1742" s="4" t="s">
        <v>939</v>
      </c>
    </row>
    <row r="1743" spans="1:10" x14ac:dyDescent="0.3">
      <c r="A1743" s="7" t="s">
        <v>15</v>
      </c>
      <c r="B1743" s="7">
        <f t="shared" si="400"/>
        <v>2054</v>
      </c>
      <c r="C1743" s="4" t="s">
        <v>46</v>
      </c>
      <c r="D1743" s="5" t="s">
        <v>131</v>
      </c>
      <c r="E1743" s="10" t="str">
        <f t="shared" si="396"/>
        <v>PNP'!</v>
      </c>
      <c r="F1743" s="5" t="str">
        <f t="shared" si="397"/>
        <v>C:\Users\jaime.benazar\Quorum Business Solutions\Ecopetrol Prometeo - Documents\Planning Space Implementation\3. Analysis &amp; Design\Design\FC22\DRR Jaime\Neiva CPI\[VAO_DINA TERCIARIOS_CF_SEC_20230117.xlsx]CF PNP'!</v>
      </c>
      <c r="G1743" s="7" t="s">
        <v>104</v>
      </c>
      <c r="H1743" s="4">
        <f t="shared" si="398"/>
        <v>67</v>
      </c>
      <c r="I1743" s="4" t="str">
        <f t="shared" si="399"/>
        <v>='C:\Users\jaime.benazar\Quorum Business Solutions\Ecopetrol Prometeo - Documents\Planning Space Implementation\3. Analysis &amp; Design\Design\FC22\DRR Jaime\Neiva CPI\[VAO_DINA TERCIARIOS_CF_SEC_20230117.xlsx]CF PNP'!$BU$67</v>
      </c>
      <c r="J1743" s="4" t="s">
        <v>940</v>
      </c>
    </row>
    <row r="1744" spans="1:10" x14ac:dyDescent="0.3">
      <c r="A1744" s="7" t="s">
        <v>15</v>
      </c>
      <c r="B1744" s="7">
        <f t="shared" si="400"/>
        <v>2055</v>
      </c>
      <c r="C1744" s="4" t="s">
        <v>46</v>
      </c>
      <c r="D1744" s="5" t="s">
        <v>131</v>
      </c>
      <c r="E1744" s="10" t="str">
        <f t="shared" si="396"/>
        <v>PNP'!</v>
      </c>
      <c r="F1744" s="5" t="str">
        <f t="shared" si="397"/>
        <v>C:\Users\jaime.benazar\Quorum Business Solutions\Ecopetrol Prometeo - Documents\Planning Space Implementation\3. Analysis &amp; Design\Design\FC22\DRR Jaime\Neiva CPI\[VAO_DINA TERCIARIOS_CF_SEC_20230117.xlsx]CF PNP'!</v>
      </c>
      <c r="G1744" s="7" t="s">
        <v>104</v>
      </c>
      <c r="H1744" s="4">
        <f t="shared" si="398"/>
        <v>68</v>
      </c>
      <c r="I1744" s="4" t="str">
        <f t="shared" si="399"/>
        <v>='C:\Users\jaime.benazar\Quorum Business Solutions\Ecopetrol Prometeo - Documents\Planning Space Implementation\3. Analysis &amp; Design\Design\FC22\DRR Jaime\Neiva CPI\[VAO_DINA TERCIARIOS_CF_SEC_20230117.xlsx]CF PNP'!$BU$68</v>
      </c>
      <c r="J1744" s="4" t="s">
        <v>941</v>
      </c>
    </row>
    <row r="1745" spans="1:10" x14ac:dyDescent="0.3">
      <c r="A1745" s="7" t="s">
        <v>15</v>
      </c>
      <c r="B1745" s="7">
        <f t="shared" si="400"/>
        <v>2056</v>
      </c>
      <c r="C1745" s="4" t="s">
        <v>46</v>
      </c>
      <c r="D1745" s="5" t="s">
        <v>131</v>
      </c>
      <c r="E1745" s="10" t="str">
        <f t="shared" si="396"/>
        <v>PNP'!</v>
      </c>
      <c r="F1745" s="5" t="str">
        <f t="shared" si="397"/>
        <v>C:\Users\jaime.benazar\Quorum Business Solutions\Ecopetrol Prometeo - Documents\Planning Space Implementation\3. Analysis &amp; Design\Design\FC22\DRR Jaime\Neiva CPI\[VAO_DINA TERCIARIOS_CF_SEC_20230117.xlsx]CF PNP'!</v>
      </c>
      <c r="G1745" s="7" t="s">
        <v>104</v>
      </c>
      <c r="H1745" s="4">
        <f t="shared" si="398"/>
        <v>69</v>
      </c>
      <c r="I1745" s="4" t="str">
        <f t="shared" si="399"/>
        <v>='C:\Users\jaime.benazar\Quorum Business Solutions\Ecopetrol Prometeo - Documents\Planning Space Implementation\3. Analysis &amp; Design\Design\FC22\DRR Jaime\Neiva CPI\[VAO_DINA TERCIARIOS_CF_SEC_20230117.xlsx]CF PNP'!$BU$69</v>
      </c>
      <c r="J1745" s="4" t="s">
        <v>942</v>
      </c>
    </row>
    <row r="1746" spans="1:10" x14ac:dyDescent="0.3">
      <c r="A1746" s="7" t="s">
        <v>15</v>
      </c>
      <c r="B1746" s="7">
        <f t="shared" si="400"/>
        <v>2057</v>
      </c>
      <c r="C1746" s="4" t="s">
        <v>46</v>
      </c>
      <c r="D1746" s="5" t="s">
        <v>131</v>
      </c>
      <c r="E1746" s="10" t="str">
        <f t="shared" si="396"/>
        <v>PNP'!</v>
      </c>
      <c r="F1746" s="5" t="str">
        <f t="shared" si="397"/>
        <v>C:\Users\jaime.benazar\Quorum Business Solutions\Ecopetrol Prometeo - Documents\Planning Space Implementation\3. Analysis &amp; Design\Design\FC22\DRR Jaime\Neiva CPI\[VAO_DINA TERCIARIOS_CF_SEC_20230117.xlsx]CF PNP'!</v>
      </c>
      <c r="G1746" s="7" t="s">
        <v>104</v>
      </c>
      <c r="H1746" s="4">
        <f t="shared" si="398"/>
        <v>70</v>
      </c>
      <c r="I1746" s="4" t="str">
        <f t="shared" si="399"/>
        <v>='C:\Users\jaime.benazar\Quorum Business Solutions\Ecopetrol Prometeo - Documents\Planning Space Implementation\3. Analysis &amp; Design\Design\FC22\DRR Jaime\Neiva CPI\[VAO_DINA TERCIARIOS_CF_SEC_20230117.xlsx]CF PNP'!$BU$70</v>
      </c>
      <c r="J1746" s="4" t="s">
        <v>943</v>
      </c>
    </row>
    <row r="1747" spans="1:10" x14ac:dyDescent="0.3">
      <c r="A1747" s="7" t="s">
        <v>15</v>
      </c>
      <c r="B1747" s="7">
        <f t="shared" si="400"/>
        <v>2058</v>
      </c>
      <c r="C1747" s="4" t="s">
        <v>46</v>
      </c>
      <c r="D1747" s="5" t="s">
        <v>131</v>
      </c>
      <c r="E1747" s="10" t="str">
        <f t="shared" si="396"/>
        <v>PNP'!</v>
      </c>
      <c r="F1747" s="5" t="str">
        <f t="shared" si="397"/>
        <v>C:\Users\jaime.benazar\Quorum Business Solutions\Ecopetrol Prometeo - Documents\Planning Space Implementation\3. Analysis &amp; Design\Design\FC22\DRR Jaime\Neiva CPI\[VAO_DINA TERCIARIOS_CF_SEC_20230117.xlsx]CF PNP'!</v>
      </c>
      <c r="G1747" s="7" t="s">
        <v>104</v>
      </c>
      <c r="H1747" s="4">
        <f t="shared" si="398"/>
        <v>71</v>
      </c>
      <c r="I1747" s="4" t="str">
        <f t="shared" si="399"/>
        <v>='C:\Users\jaime.benazar\Quorum Business Solutions\Ecopetrol Prometeo - Documents\Planning Space Implementation\3. Analysis &amp; Design\Design\FC22\DRR Jaime\Neiva CPI\[VAO_DINA TERCIARIOS_CF_SEC_20230117.xlsx]CF PNP'!$BU$71</v>
      </c>
      <c r="J1747" s="4" t="s">
        <v>944</v>
      </c>
    </row>
    <row r="1748" spans="1:10" x14ac:dyDescent="0.3">
      <c r="A1748" s="7" t="s">
        <v>15</v>
      </c>
      <c r="B1748" s="7">
        <f t="shared" si="400"/>
        <v>2059</v>
      </c>
      <c r="C1748" s="4" t="s">
        <v>46</v>
      </c>
      <c r="D1748" s="5" t="s">
        <v>131</v>
      </c>
      <c r="E1748" s="10" t="str">
        <f t="shared" si="396"/>
        <v>PNP'!</v>
      </c>
      <c r="F1748" s="5" t="str">
        <f t="shared" si="397"/>
        <v>C:\Users\jaime.benazar\Quorum Business Solutions\Ecopetrol Prometeo - Documents\Planning Space Implementation\3. Analysis &amp; Design\Design\FC22\DRR Jaime\Neiva CPI\[VAO_DINA TERCIARIOS_CF_SEC_20230117.xlsx]CF PNP'!</v>
      </c>
      <c r="G1748" s="7" t="s">
        <v>104</v>
      </c>
      <c r="H1748" s="4">
        <f t="shared" si="398"/>
        <v>72</v>
      </c>
      <c r="I1748" s="4" t="str">
        <f t="shared" si="399"/>
        <v>='C:\Users\jaime.benazar\Quorum Business Solutions\Ecopetrol Prometeo - Documents\Planning Space Implementation\3. Analysis &amp; Design\Design\FC22\DRR Jaime\Neiva CPI\[VAO_DINA TERCIARIOS_CF_SEC_20230117.xlsx]CF PNP'!$BU$72</v>
      </c>
      <c r="J1748" s="4" t="s">
        <v>945</v>
      </c>
    </row>
    <row r="1749" spans="1:10" x14ac:dyDescent="0.3">
      <c r="A1749" s="7" t="s">
        <v>26</v>
      </c>
      <c r="B1749" s="7"/>
      <c r="C1749" s="4" t="s">
        <v>46</v>
      </c>
      <c r="D1749" s="5"/>
      <c r="E1749" s="10"/>
      <c r="F1749" s="2"/>
      <c r="G1749" s="7"/>
      <c r="H1749" s="4"/>
      <c r="I1749" s="4"/>
      <c r="J1749" s="4"/>
    </row>
    <row r="1750" spans="1:10" x14ac:dyDescent="0.3">
      <c r="A1750" s="7" t="s">
        <v>16</v>
      </c>
      <c r="B1750" s="7">
        <v>2023</v>
      </c>
      <c r="C1750" s="4" t="s">
        <v>46</v>
      </c>
      <c r="D1750" s="5" t="s">
        <v>131</v>
      </c>
      <c r="E1750" s="10" t="str">
        <f t="shared" si="381"/>
        <v>PND'!</v>
      </c>
      <c r="F1750" s="5" t="str">
        <f t="shared" ref="F1750:F1770" si="401">_xlfn.CONCAT(D1750," ",E1750)</f>
        <v>C:\Users\jaime.benazar\Quorum Business Solutions\Ecopetrol Prometeo - Documents\Planning Space Implementation\3. Analysis &amp; Design\Design\FC22\DRR Jaime\Neiva CPI\[VAO_DINA TERCIARIOS_CF_SEC_20230117.xlsx]CF PND'!</v>
      </c>
      <c r="G1750" s="7" t="s">
        <v>104</v>
      </c>
      <c r="H1750" s="4">
        <f>IF(A1750&lt;&gt;A1734,36,H1734+1)</f>
        <v>36</v>
      </c>
      <c r="I1750" s="4" t="str">
        <f t="shared" si="382"/>
        <v>='C:\Users\jaime.benazar\Quorum Business Solutions\Ecopetrol Prometeo - Documents\Planning Space Implementation\3. Analysis &amp; Design\Design\FC22\DRR Jaime\Neiva CPI\[VAO_DINA TERCIARIOS_CF_SEC_20230117.xlsx]CF PND'!$BU$36</v>
      </c>
      <c r="J1750" s="4" t="s">
        <v>946</v>
      </c>
    </row>
    <row r="1751" spans="1:10" x14ac:dyDescent="0.3">
      <c r="A1751" s="7" t="s">
        <v>16</v>
      </c>
      <c r="B1751" s="7">
        <f>+B1750+1</f>
        <v>2024</v>
      </c>
      <c r="C1751" s="4" t="s">
        <v>46</v>
      </c>
      <c r="D1751" s="5" t="s">
        <v>131</v>
      </c>
      <c r="E1751" s="10" t="str">
        <f t="shared" si="381"/>
        <v>PND'!</v>
      </c>
      <c r="F1751" s="5" t="str">
        <f t="shared" si="401"/>
        <v>C:\Users\jaime.benazar\Quorum Business Solutions\Ecopetrol Prometeo - Documents\Planning Space Implementation\3. Analysis &amp; Design\Design\FC22\DRR Jaime\Neiva CPI\[VAO_DINA TERCIARIOS_CF_SEC_20230117.xlsx]CF PND'!</v>
      </c>
      <c r="G1751" s="7" t="s">
        <v>104</v>
      </c>
      <c r="H1751" s="4">
        <f t="shared" si="384"/>
        <v>37</v>
      </c>
      <c r="I1751" s="4" t="str">
        <f t="shared" si="382"/>
        <v>='C:\Users\jaime.benazar\Quorum Business Solutions\Ecopetrol Prometeo - Documents\Planning Space Implementation\3. Analysis &amp; Design\Design\FC22\DRR Jaime\Neiva CPI\[VAO_DINA TERCIARIOS_CF_SEC_20230117.xlsx]CF PND'!$BU$37</v>
      </c>
      <c r="J1751" s="4" t="s">
        <v>947</v>
      </c>
    </row>
    <row r="1752" spans="1:10" x14ac:dyDescent="0.3">
      <c r="A1752" s="7" t="s">
        <v>16</v>
      </c>
      <c r="B1752" s="7">
        <f t="shared" ref="B1752:B1763" si="402">+B1751+1</f>
        <v>2025</v>
      </c>
      <c r="C1752" s="4" t="s">
        <v>46</v>
      </c>
      <c r="D1752" s="5" t="s">
        <v>131</v>
      </c>
      <c r="E1752" s="10" t="str">
        <f t="shared" si="381"/>
        <v>PND'!</v>
      </c>
      <c r="F1752" s="5" t="str">
        <f t="shared" si="401"/>
        <v>C:\Users\jaime.benazar\Quorum Business Solutions\Ecopetrol Prometeo - Documents\Planning Space Implementation\3. Analysis &amp; Design\Design\FC22\DRR Jaime\Neiva CPI\[VAO_DINA TERCIARIOS_CF_SEC_20230117.xlsx]CF PND'!</v>
      </c>
      <c r="G1752" s="7" t="s">
        <v>104</v>
      </c>
      <c r="H1752" s="4">
        <f t="shared" si="384"/>
        <v>38</v>
      </c>
      <c r="I1752" s="4" t="str">
        <f t="shared" si="382"/>
        <v>='C:\Users\jaime.benazar\Quorum Business Solutions\Ecopetrol Prometeo - Documents\Planning Space Implementation\3. Analysis &amp; Design\Design\FC22\DRR Jaime\Neiva CPI\[VAO_DINA TERCIARIOS_CF_SEC_20230117.xlsx]CF PND'!$BU$38</v>
      </c>
      <c r="J1752" s="4" t="s">
        <v>948</v>
      </c>
    </row>
    <row r="1753" spans="1:10" x14ac:dyDescent="0.3">
      <c r="A1753" s="7" t="s">
        <v>16</v>
      </c>
      <c r="B1753" s="7">
        <f t="shared" si="402"/>
        <v>2026</v>
      </c>
      <c r="C1753" s="4" t="s">
        <v>46</v>
      </c>
      <c r="D1753" s="5" t="s">
        <v>131</v>
      </c>
      <c r="E1753" s="10" t="str">
        <f t="shared" si="381"/>
        <v>PND'!</v>
      </c>
      <c r="F1753" s="5" t="str">
        <f t="shared" si="401"/>
        <v>C:\Users\jaime.benazar\Quorum Business Solutions\Ecopetrol Prometeo - Documents\Planning Space Implementation\3. Analysis &amp; Design\Design\FC22\DRR Jaime\Neiva CPI\[VAO_DINA TERCIARIOS_CF_SEC_20230117.xlsx]CF PND'!</v>
      </c>
      <c r="G1753" s="7" t="s">
        <v>104</v>
      </c>
      <c r="H1753" s="4">
        <f t="shared" si="384"/>
        <v>39</v>
      </c>
      <c r="I1753" s="4" t="str">
        <f t="shared" si="382"/>
        <v>='C:\Users\jaime.benazar\Quorum Business Solutions\Ecopetrol Prometeo - Documents\Planning Space Implementation\3. Analysis &amp; Design\Design\FC22\DRR Jaime\Neiva CPI\[VAO_DINA TERCIARIOS_CF_SEC_20230117.xlsx]CF PND'!$BU$39</v>
      </c>
      <c r="J1753" s="4" t="s">
        <v>949</v>
      </c>
    </row>
    <row r="1754" spans="1:10" x14ac:dyDescent="0.3">
      <c r="A1754" s="7" t="s">
        <v>16</v>
      </c>
      <c r="B1754" s="7">
        <f t="shared" si="402"/>
        <v>2027</v>
      </c>
      <c r="C1754" s="4" t="s">
        <v>46</v>
      </c>
      <c r="D1754" s="5" t="s">
        <v>131</v>
      </c>
      <c r="E1754" s="10" t="str">
        <f t="shared" si="381"/>
        <v>PND'!</v>
      </c>
      <c r="F1754" s="5" t="str">
        <f t="shared" si="401"/>
        <v>C:\Users\jaime.benazar\Quorum Business Solutions\Ecopetrol Prometeo - Documents\Planning Space Implementation\3. Analysis &amp; Design\Design\FC22\DRR Jaime\Neiva CPI\[VAO_DINA TERCIARIOS_CF_SEC_20230117.xlsx]CF PND'!</v>
      </c>
      <c r="G1754" s="7" t="s">
        <v>104</v>
      </c>
      <c r="H1754" s="4">
        <f t="shared" si="384"/>
        <v>40</v>
      </c>
      <c r="I1754" s="4" t="str">
        <f t="shared" si="382"/>
        <v>='C:\Users\jaime.benazar\Quorum Business Solutions\Ecopetrol Prometeo - Documents\Planning Space Implementation\3. Analysis &amp; Design\Design\FC22\DRR Jaime\Neiva CPI\[VAO_DINA TERCIARIOS_CF_SEC_20230117.xlsx]CF PND'!$BU$40</v>
      </c>
      <c r="J1754" s="4" t="s">
        <v>950</v>
      </c>
    </row>
    <row r="1755" spans="1:10" x14ac:dyDescent="0.3">
      <c r="A1755" s="7" t="s">
        <v>16</v>
      </c>
      <c r="B1755" s="7">
        <f t="shared" si="402"/>
        <v>2028</v>
      </c>
      <c r="C1755" s="4" t="s">
        <v>46</v>
      </c>
      <c r="D1755" s="5" t="s">
        <v>131</v>
      </c>
      <c r="E1755" s="10" t="str">
        <f t="shared" si="381"/>
        <v>PND'!</v>
      </c>
      <c r="F1755" s="5" t="str">
        <f t="shared" si="401"/>
        <v>C:\Users\jaime.benazar\Quorum Business Solutions\Ecopetrol Prometeo - Documents\Planning Space Implementation\3. Analysis &amp; Design\Design\FC22\DRR Jaime\Neiva CPI\[VAO_DINA TERCIARIOS_CF_SEC_20230117.xlsx]CF PND'!</v>
      </c>
      <c r="G1755" s="7" t="s">
        <v>104</v>
      </c>
      <c r="H1755" s="4">
        <f t="shared" si="384"/>
        <v>41</v>
      </c>
      <c r="I1755" s="4" t="str">
        <f t="shared" si="382"/>
        <v>='C:\Users\jaime.benazar\Quorum Business Solutions\Ecopetrol Prometeo - Documents\Planning Space Implementation\3. Analysis &amp; Design\Design\FC22\DRR Jaime\Neiva CPI\[VAO_DINA TERCIARIOS_CF_SEC_20230117.xlsx]CF PND'!$BU$41</v>
      </c>
      <c r="J1755" s="4" t="s">
        <v>951</v>
      </c>
    </row>
    <row r="1756" spans="1:10" x14ac:dyDescent="0.3">
      <c r="A1756" s="7" t="s">
        <v>16</v>
      </c>
      <c r="B1756" s="7">
        <f t="shared" si="402"/>
        <v>2029</v>
      </c>
      <c r="C1756" s="4" t="s">
        <v>46</v>
      </c>
      <c r="D1756" s="5" t="s">
        <v>131</v>
      </c>
      <c r="E1756" s="10" t="str">
        <f t="shared" si="381"/>
        <v>PND'!</v>
      </c>
      <c r="F1756" s="5" t="str">
        <f t="shared" si="401"/>
        <v>C:\Users\jaime.benazar\Quorum Business Solutions\Ecopetrol Prometeo - Documents\Planning Space Implementation\3. Analysis &amp; Design\Design\FC22\DRR Jaime\Neiva CPI\[VAO_DINA TERCIARIOS_CF_SEC_20230117.xlsx]CF PND'!</v>
      </c>
      <c r="G1756" s="7" t="s">
        <v>104</v>
      </c>
      <c r="H1756" s="4">
        <f t="shared" si="384"/>
        <v>42</v>
      </c>
      <c r="I1756" s="4" t="str">
        <f t="shared" si="382"/>
        <v>='C:\Users\jaime.benazar\Quorum Business Solutions\Ecopetrol Prometeo - Documents\Planning Space Implementation\3. Analysis &amp; Design\Design\FC22\DRR Jaime\Neiva CPI\[VAO_DINA TERCIARIOS_CF_SEC_20230117.xlsx]CF PND'!$BU$42</v>
      </c>
      <c r="J1756" s="4" t="s">
        <v>952</v>
      </c>
    </row>
    <row r="1757" spans="1:10" x14ac:dyDescent="0.3">
      <c r="A1757" s="7" t="s">
        <v>16</v>
      </c>
      <c r="B1757" s="7">
        <f t="shared" si="402"/>
        <v>2030</v>
      </c>
      <c r="C1757" s="4" t="s">
        <v>46</v>
      </c>
      <c r="D1757" s="5" t="s">
        <v>131</v>
      </c>
      <c r="E1757" s="10" t="str">
        <f t="shared" si="381"/>
        <v>PND'!</v>
      </c>
      <c r="F1757" s="5" t="str">
        <f t="shared" si="401"/>
        <v>C:\Users\jaime.benazar\Quorum Business Solutions\Ecopetrol Prometeo - Documents\Planning Space Implementation\3. Analysis &amp; Design\Design\FC22\DRR Jaime\Neiva CPI\[VAO_DINA TERCIARIOS_CF_SEC_20230117.xlsx]CF PND'!</v>
      </c>
      <c r="G1757" s="7" t="s">
        <v>104</v>
      </c>
      <c r="H1757" s="4">
        <f t="shared" si="384"/>
        <v>43</v>
      </c>
      <c r="I1757" s="4" t="str">
        <f t="shared" si="382"/>
        <v>='C:\Users\jaime.benazar\Quorum Business Solutions\Ecopetrol Prometeo - Documents\Planning Space Implementation\3. Analysis &amp; Design\Design\FC22\DRR Jaime\Neiva CPI\[VAO_DINA TERCIARIOS_CF_SEC_20230117.xlsx]CF PND'!$BU$43</v>
      </c>
      <c r="J1757" s="4" t="s">
        <v>953</v>
      </c>
    </row>
    <row r="1758" spans="1:10" x14ac:dyDescent="0.3">
      <c r="A1758" s="7" t="s">
        <v>16</v>
      </c>
      <c r="B1758" s="7">
        <f t="shared" si="402"/>
        <v>2031</v>
      </c>
      <c r="C1758" s="4" t="s">
        <v>46</v>
      </c>
      <c r="D1758" s="5" t="s">
        <v>131</v>
      </c>
      <c r="E1758" s="10" t="str">
        <f t="shared" si="381"/>
        <v>PND'!</v>
      </c>
      <c r="F1758" s="5" t="str">
        <f t="shared" si="401"/>
        <v>C:\Users\jaime.benazar\Quorum Business Solutions\Ecopetrol Prometeo - Documents\Planning Space Implementation\3. Analysis &amp; Design\Design\FC22\DRR Jaime\Neiva CPI\[VAO_DINA TERCIARIOS_CF_SEC_20230117.xlsx]CF PND'!</v>
      </c>
      <c r="G1758" s="7" t="s">
        <v>104</v>
      </c>
      <c r="H1758" s="4">
        <f t="shared" si="384"/>
        <v>44</v>
      </c>
      <c r="I1758" s="4" t="str">
        <f t="shared" si="382"/>
        <v>='C:\Users\jaime.benazar\Quorum Business Solutions\Ecopetrol Prometeo - Documents\Planning Space Implementation\3. Analysis &amp; Design\Design\FC22\DRR Jaime\Neiva CPI\[VAO_DINA TERCIARIOS_CF_SEC_20230117.xlsx]CF PND'!$BU$44</v>
      </c>
      <c r="J1758" s="4" t="s">
        <v>954</v>
      </c>
    </row>
    <row r="1759" spans="1:10" x14ac:dyDescent="0.3">
      <c r="A1759" s="7" t="s">
        <v>16</v>
      </c>
      <c r="B1759" s="7">
        <f t="shared" si="402"/>
        <v>2032</v>
      </c>
      <c r="C1759" s="4" t="s">
        <v>46</v>
      </c>
      <c r="D1759" s="5" t="s">
        <v>131</v>
      </c>
      <c r="E1759" s="10" t="str">
        <f t="shared" si="381"/>
        <v>PND'!</v>
      </c>
      <c r="F1759" s="5" t="str">
        <f t="shared" si="401"/>
        <v>C:\Users\jaime.benazar\Quorum Business Solutions\Ecopetrol Prometeo - Documents\Planning Space Implementation\3. Analysis &amp; Design\Design\FC22\DRR Jaime\Neiva CPI\[VAO_DINA TERCIARIOS_CF_SEC_20230117.xlsx]CF PND'!</v>
      </c>
      <c r="G1759" s="7" t="s">
        <v>104</v>
      </c>
      <c r="H1759" s="4">
        <f t="shared" si="384"/>
        <v>45</v>
      </c>
      <c r="I1759" s="4" t="str">
        <f t="shared" si="382"/>
        <v>='C:\Users\jaime.benazar\Quorum Business Solutions\Ecopetrol Prometeo - Documents\Planning Space Implementation\3. Analysis &amp; Design\Design\FC22\DRR Jaime\Neiva CPI\[VAO_DINA TERCIARIOS_CF_SEC_20230117.xlsx]CF PND'!$BU$45</v>
      </c>
      <c r="J1759" s="4" t="s">
        <v>955</v>
      </c>
    </row>
    <row r="1760" spans="1:10" x14ac:dyDescent="0.3">
      <c r="A1760" s="7" t="s">
        <v>16</v>
      </c>
      <c r="B1760" s="7">
        <f t="shared" si="402"/>
        <v>2033</v>
      </c>
      <c r="C1760" s="4" t="s">
        <v>46</v>
      </c>
      <c r="D1760" s="5" t="s">
        <v>131</v>
      </c>
      <c r="E1760" s="10" t="str">
        <f t="shared" si="381"/>
        <v>PND'!</v>
      </c>
      <c r="F1760" s="5" t="str">
        <f t="shared" si="401"/>
        <v>C:\Users\jaime.benazar\Quorum Business Solutions\Ecopetrol Prometeo - Documents\Planning Space Implementation\3. Analysis &amp; Design\Design\FC22\DRR Jaime\Neiva CPI\[VAO_DINA TERCIARIOS_CF_SEC_20230117.xlsx]CF PND'!</v>
      </c>
      <c r="G1760" s="7" t="s">
        <v>104</v>
      </c>
      <c r="H1760" s="4">
        <f t="shared" si="384"/>
        <v>46</v>
      </c>
      <c r="I1760" s="4" t="str">
        <f t="shared" si="382"/>
        <v>='C:\Users\jaime.benazar\Quorum Business Solutions\Ecopetrol Prometeo - Documents\Planning Space Implementation\3. Analysis &amp; Design\Design\FC22\DRR Jaime\Neiva CPI\[VAO_DINA TERCIARIOS_CF_SEC_20230117.xlsx]CF PND'!$BU$46</v>
      </c>
      <c r="J1760" s="4" t="s">
        <v>956</v>
      </c>
    </row>
    <row r="1761" spans="1:10" x14ac:dyDescent="0.3">
      <c r="A1761" s="7" t="s">
        <v>16</v>
      </c>
      <c r="B1761" s="7">
        <f t="shared" si="402"/>
        <v>2034</v>
      </c>
      <c r="C1761" s="4" t="s">
        <v>46</v>
      </c>
      <c r="D1761" s="5" t="s">
        <v>131</v>
      </c>
      <c r="E1761" s="10" t="str">
        <f t="shared" si="381"/>
        <v>PND'!</v>
      </c>
      <c r="F1761" s="5" t="str">
        <f t="shared" si="401"/>
        <v>C:\Users\jaime.benazar\Quorum Business Solutions\Ecopetrol Prometeo - Documents\Planning Space Implementation\3. Analysis &amp; Design\Design\FC22\DRR Jaime\Neiva CPI\[VAO_DINA TERCIARIOS_CF_SEC_20230117.xlsx]CF PND'!</v>
      </c>
      <c r="G1761" s="7" t="s">
        <v>104</v>
      </c>
      <c r="H1761" s="4">
        <f t="shared" si="384"/>
        <v>47</v>
      </c>
      <c r="I1761" s="4" t="str">
        <f t="shared" si="382"/>
        <v>='C:\Users\jaime.benazar\Quorum Business Solutions\Ecopetrol Prometeo - Documents\Planning Space Implementation\3. Analysis &amp; Design\Design\FC22\DRR Jaime\Neiva CPI\[VAO_DINA TERCIARIOS_CF_SEC_20230117.xlsx]CF PND'!$BU$47</v>
      </c>
      <c r="J1761" s="4" t="s">
        <v>957</v>
      </c>
    </row>
    <row r="1762" spans="1:10" x14ac:dyDescent="0.3">
      <c r="A1762" s="7" t="s">
        <v>16</v>
      </c>
      <c r="B1762" s="7">
        <f t="shared" si="402"/>
        <v>2035</v>
      </c>
      <c r="C1762" s="4" t="s">
        <v>46</v>
      </c>
      <c r="D1762" s="5" t="s">
        <v>131</v>
      </c>
      <c r="E1762" s="10" t="str">
        <f t="shared" si="381"/>
        <v>PND'!</v>
      </c>
      <c r="F1762" s="5" t="str">
        <f t="shared" si="401"/>
        <v>C:\Users\jaime.benazar\Quorum Business Solutions\Ecopetrol Prometeo - Documents\Planning Space Implementation\3. Analysis &amp; Design\Design\FC22\DRR Jaime\Neiva CPI\[VAO_DINA TERCIARIOS_CF_SEC_20230117.xlsx]CF PND'!</v>
      </c>
      <c r="G1762" s="7" t="s">
        <v>104</v>
      </c>
      <c r="H1762" s="4">
        <f t="shared" si="384"/>
        <v>48</v>
      </c>
      <c r="I1762" s="4" t="str">
        <f t="shared" si="382"/>
        <v>='C:\Users\jaime.benazar\Quorum Business Solutions\Ecopetrol Prometeo - Documents\Planning Space Implementation\3. Analysis &amp; Design\Design\FC22\DRR Jaime\Neiva CPI\[VAO_DINA TERCIARIOS_CF_SEC_20230117.xlsx]CF PND'!$BU$48</v>
      </c>
      <c r="J1762" s="4" t="s">
        <v>958</v>
      </c>
    </row>
    <row r="1763" spans="1:10" x14ac:dyDescent="0.3">
      <c r="A1763" s="7" t="s">
        <v>16</v>
      </c>
      <c r="B1763" s="7">
        <f t="shared" si="402"/>
        <v>2036</v>
      </c>
      <c r="C1763" s="4" t="s">
        <v>46</v>
      </c>
      <c r="D1763" s="5" t="s">
        <v>131</v>
      </c>
      <c r="E1763" s="10" t="str">
        <f t="shared" si="381"/>
        <v>PND'!</v>
      </c>
      <c r="F1763" s="5" t="str">
        <f t="shared" si="401"/>
        <v>C:\Users\jaime.benazar\Quorum Business Solutions\Ecopetrol Prometeo - Documents\Planning Space Implementation\3. Analysis &amp; Design\Design\FC22\DRR Jaime\Neiva CPI\[VAO_DINA TERCIARIOS_CF_SEC_20230117.xlsx]CF PND'!</v>
      </c>
      <c r="G1763" s="7" t="s">
        <v>104</v>
      </c>
      <c r="H1763" s="4">
        <f t="shared" si="384"/>
        <v>49</v>
      </c>
      <c r="I1763" s="4" t="str">
        <f t="shared" si="382"/>
        <v>='C:\Users\jaime.benazar\Quorum Business Solutions\Ecopetrol Prometeo - Documents\Planning Space Implementation\3. Analysis &amp; Design\Design\FC22\DRR Jaime\Neiva CPI\[VAO_DINA TERCIARIOS_CF_SEC_20230117.xlsx]CF PND'!$BU$49</v>
      </c>
      <c r="J1763" s="4" t="s">
        <v>959</v>
      </c>
    </row>
    <row r="1764" spans="1:10" x14ac:dyDescent="0.3">
      <c r="A1764" s="7" t="s">
        <v>16</v>
      </c>
      <c r="B1764" s="7">
        <f>+B1763+1</f>
        <v>2037</v>
      </c>
      <c r="C1764" s="4" t="s">
        <v>46</v>
      </c>
      <c r="D1764" s="5" t="s">
        <v>131</v>
      </c>
      <c r="E1764" s="10" t="str">
        <f t="shared" si="381"/>
        <v>PND'!</v>
      </c>
      <c r="F1764" s="5" t="str">
        <f t="shared" si="401"/>
        <v>C:\Users\jaime.benazar\Quorum Business Solutions\Ecopetrol Prometeo - Documents\Planning Space Implementation\3. Analysis &amp; Design\Design\FC22\DRR Jaime\Neiva CPI\[VAO_DINA TERCIARIOS_CF_SEC_20230117.xlsx]CF PND'!</v>
      </c>
      <c r="G1764" s="7" t="s">
        <v>104</v>
      </c>
      <c r="H1764" s="4">
        <f t="shared" si="384"/>
        <v>50</v>
      </c>
      <c r="I1764" s="4" t="str">
        <f t="shared" si="382"/>
        <v>='C:\Users\jaime.benazar\Quorum Business Solutions\Ecopetrol Prometeo - Documents\Planning Space Implementation\3. Analysis &amp; Design\Design\FC22\DRR Jaime\Neiva CPI\[VAO_DINA TERCIARIOS_CF_SEC_20230117.xlsx]CF PND'!$BU$50</v>
      </c>
      <c r="J1764" s="4" t="s">
        <v>960</v>
      </c>
    </row>
    <row r="1765" spans="1:10" x14ac:dyDescent="0.3">
      <c r="A1765" s="7" t="s">
        <v>16</v>
      </c>
      <c r="B1765" s="7">
        <f t="shared" ref="B1765:B1767" si="403">+B1764+1</f>
        <v>2038</v>
      </c>
      <c r="C1765" s="4" t="s">
        <v>46</v>
      </c>
      <c r="D1765" s="5" t="s">
        <v>131</v>
      </c>
      <c r="E1765" s="10" t="str">
        <f t="shared" si="381"/>
        <v>PND'!</v>
      </c>
      <c r="F1765" s="5" t="str">
        <f t="shared" si="401"/>
        <v>C:\Users\jaime.benazar\Quorum Business Solutions\Ecopetrol Prometeo - Documents\Planning Space Implementation\3. Analysis &amp; Design\Design\FC22\DRR Jaime\Neiva CPI\[VAO_DINA TERCIARIOS_CF_SEC_20230117.xlsx]CF PND'!</v>
      </c>
      <c r="G1765" s="7" t="s">
        <v>104</v>
      </c>
      <c r="H1765" s="4">
        <f t="shared" si="384"/>
        <v>51</v>
      </c>
      <c r="I1765" s="4" t="str">
        <f t="shared" si="382"/>
        <v>='C:\Users\jaime.benazar\Quorum Business Solutions\Ecopetrol Prometeo - Documents\Planning Space Implementation\3. Analysis &amp; Design\Design\FC22\DRR Jaime\Neiva CPI\[VAO_DINA TERCIARIOS_CF_SEC_20230117.xlsx]CF PND'!$BU$51</v>
      </c>
      <c r="J1765" s="4" t="s">
        <v>961</v>
      </c>
    </row>
    <row r="1766" spans="1:10" x14ac:dyDescent="0.3">
      <c r="A1766" s="7" t="s">
        <v>16</v>
      </c>
      <c r="B1766" s="7">
        <f t="shared" si="403"/>
        <v>2039</v>
      </c>
      <c r="C1766" s="4" t="s">
        <v>46</v>
      </c>
      <c r="D1766" s="5" t="s">
        <v>131</v>
      </c>
      <c r="E1766" s="10" t="str">
        <f t="shared" si="381"/>
        <v>PND'!</v>
      </c>
      <c r="F1766" s="5" t="str">
        <f t="shared" si="401"/>
        <v>C:\Users\jaime.benazar\Quorum Business Solutions\Ecopetrol Prometeo - Documents\Planning Space Implementation\3. Analysis &amp; Design\Design\FC22\DRR Jaime\Neiva CPI\[VAO_DINA TERCIARIOS_CF_SEC_20230117.xlsx]CF PND'!</v>
      </c>
      <c r="G1766" s="7" t="s">
        <v>104</v>
      </c>
      <c r="H1766" s="4">
        <f t="shared" si="384"/>
        <v>52</v>
      </c>
      <c r="I1766" s="4" t="str">
        <f t="shared" si="382"/>
        <v>='C:\Users\jaime.benazar\Quorum Business Solutions\Ecopetrol Prometeo - Documents\Planning Space Implementation\3. Analysis &amp; Design\Design\FC22\DRR Jaime\Neiva CPI\[VAO_DINA TERCIARIOS_CF_SEC_20230117.xlsx]CF PND'!$BU$52</v>
      </c>
      <c r="J1766" s="4" t="s">
        <v>962</v>
      </c>
    </row>
    <row r="1767" spans="1:10" x14ac:dyDescent="0.3">
      <c r="A1767" s="7" t="s">
        <v>16</v>
      </c>
      <c r="B1767" s="7">
        <f t="shared" si="403"/>
        <v>2040</v>
      </c>
      <c r="C1767" s="4" t="s">
        <v>46</v>
      </c>
      <c r="D1767" s="5" t="s">
        <v>131</v>
      </c>
      <c r="E1767" s="10" t="str">
        <f t="shared" si="381"/>
        <v>PND'!</v>
      </c>
      <c r="F1767" s="5" t="str">
        <f t="shared" si="401"/>
        <v>C:\Users\jaime.benazar\Quorum Business Solutions\Ecopetrol Prometeo - Documents\Planning Space Implementation\3. Analysis &amp; Design\Design\FC22\DRR Jaime\Neiva CPI\[VAO_DINA TERCIARIOS_CF_SEC_20230117.xlsx]CF PND'!</v>
      </c>
      <c r="G1767" s="7" t="s">
        <v>104</v>
      </c>
      <c r="H1767" s="4">
        <f t="shared" si="384"/>
        <v>53</v>
      </c>
      <c r="I1767" s="4" t="str">
        <f t="shared" si="382"/>
        <v>='C:\Users\jaime.benazar\Quorum Business Solutions\Ecopetrol Prometeo - Documents\Planning Space Implementation\3. Analysis &amp; Design\Design\FC22\DRR Jaime\Neiva CPI\[VAO_DINA TERCIARIOS_CF_SEC_20230117.xlsx]CF PND'!$BU$53</v>
      </c>
      <c r="J1767" s="4" t="s">
        <v>963</v>
      </c>
    </row>
    <row r="1768" spans="1:10" x14ac:dyDescent="0.3">
      <c r="A1768" s="7" t="s">
        <v>16</v>
      </c>
      <c r="B1768" s="7">
        <f>+B1767+1</f>
        <v>2041</v>
      </c>
      <c r="C1768" s="4" t="s">
        <v>46</v>
      </c>
      <c r="D1768" s="5" t="s">
        <v>131</v>
      </c>
      <c r="E1768" s="10" t="str">
        <f t="shared" si="381"/>
        <v>PND'!</v>
      </c>
      <c r="F1768" s="5" t="str">
        <f t="shared" si="401"/>
        <v>C:\Users\jaime.benazar\Quorum Business Solutions\Ecopetrol Prometeo - Documents\Planning Space Implementation\3. Analysis &amp; Design\Design\FC22\DRR Jaime\Neiva CPI\[VAO_DINA TERCIARIOS_CF_SEC_20230117.xlsx]CF PND'!</v>
      </c>
      <c r="G1768" s="7" t="s">
        <v>104</v>
      </c>
      <c r="H1768" s="4">
        <f t="shared" si="384"/>
        <v>54</v>
      </c>
      <c r="I1768" s="4" t="str">
        <f t="shared" si="382"/>
        <v>='C:\Users\jaime.benazar\Quorum Business Solutions\Ecopetrol Prometeo - Documents\Planning Space Implementation\3. Analysis &amp; Design\Design\FC22\DRR Jaime\Neiva CPI\[VAO_DINA TERCIARIOS_CF_SEC_20230117.xlsx]CF PND'!$BU$54</v>
      </c>
      <c r="J1768" s="4" t="s">
        <v>964</v>
      </c>
    </row>
    <row r="1769" spans="1:10" x14ac:dyDescent="0.3">
      <c r="A1769" s="7" t="s">
        <v>16</v>
      </c>
      <c r="B1769" s="7">
        <f t="shared" ref="B1769:B1770" si="404">+B1768+1</f>
        <v>2042</v>
      </c>
      <c r="C1769" s="4" t="s">
        <v>46</v>
      </c>
      <c r="D1769" s="5" t="s">
        <v>131</v>
      </c>
      <c r="E1769" s="10" t="str">
        <f t="shared" ref="E1769:E2074" si="405">_xlfn.CONCAT(A1769,"'!")</f>
        <v>PND'!</v>
      </c>
      <c r="F1769" s="5" t="str">
        <f t="shared" si="401"/>
        <v>C:\Users\jaime.benazar\Quorum Business Solutions\Ecopetrol Prometeo - Documents\Planning Space Implementation\3. Analysis &amp; Design\Design\FC22\DRR Jaime\Neiva CPI\[VAO_DINA TERCIARIOS_CF_SEC_20230117.xlsx]CF PND'!</v>
      </c>
      <c r="G1769" s="7" t="s">
        <v>104</v>
      </c>
      <c r="H1769" s="4">
        <f t="shared" si="384"/>
        <v>55</v>
      </c>
      <c r="I1769" s="4" t="str">
        <f t="shared" ref="I1769:I2074" si="406">_xlfn.CONCAT("='",F1769:H1769)</f>
        <v>='C:\Users\jaime.benazar\Quorum Business Solutions\Ecopetrol Prometeo - Documents\Planning Space Implementation\3. Analysis &amp; Design\Design\FC22\DRR Jaime\Neiva CPI\[VAO_DINA TERCIARIOS_CF_SEC_20230117.xlsx]CF PND'!$BU$55</v>
      </c>
      <c r="J1769" s="4" t="s">
        <v>965</v>
      </c>
    </row>
    <row r="1770" spans="1:10" x14ac:dyDescent="0.3">
      <c r="A1770" s="7" t="s">
        <v>16</v>
      </c>
      <c r="B1770" s="7">
        <f t="shared" si="404"/>
        <v>2043</v>
      </c>
      <c r="C1770" s="4" t="s">
        <v>46</v>
      </c>
      <c r="D1770" s="5" t="s">
        <v>131</v>
      </c>
      <c r="E1770" s="10" t="str">
        <f t="shared" si="405"/>
        <v>PND'!</v>
      </c>
      <c r="F1770" s="5" t="str">
        <f t="shared" si="401"/>
        <v>C:\Users\jaime.benazar\Quorum Business Solutions\Ecopetrol Prometeo - Documents\Planning Space Implementation\3. Analysis &amp; Design\Design\FC22\DRR Jaime\Neiva CPI\[VAO_DINA TERCIARIOS_CF_SEC_20230117.xlsx]CF PND'!</v>
      </c>
      <c r="G1770" s="7" t="s">
        <v>104</v>
      </c>
      <c r="H1770" s="4">
        <f t="shared" ref="H1770:H2074" si="407">IF(A1770&lt;&gt;A1769,36,H1769+1)</f>
        <v>56</v>
      </c>
      <c r="I1770" s="4" t="str">
        <f t="shared" si="406"/>
        <v>='C:\Users\jaime.benazar\Quorum Business Solutions\Ecopetrol Prometeo - Documents\Planning Space Implementation\3. Analysis &amp; Design\Design\FC22\DRR Jaime\Neiva CPI\[VAO_DINA TERCIARIOS_CF_SEC_20230117.xlsx]CF PND'!$BU$56</v>
      </c>
      <c r="J1770" s="4" t="s">
        <v>966</v>
      </c>
    </row>
    <row r="1771" spans="1:10" x14ac:dyDescent="0.3">
      <c r="A1771" s="7" t="s">
        <v>16</v>
      </c>
      <c r="B1771" s="7">
        <f>+B1770+1</f>
        <v>2044</v>
      </c>
      <c r="C1771" s="4" t="s">
        <v>46</v>
      </c>
      <c r="D1771" s="5" t="s">
        <v>131</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Jaime\Neiva CPI\[VAO_DINA TERCIARIOS_CF_SEC_20230117.xlsx]CF PND'!</v>
      </c>
      <c r="G1771" s="7" t="s">
        <v>104</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Jaime\Neiva CPI\[VAO_DINA TERCIARIOS_CF_SEC_20230117.xlsx]CF PND'!$BU$57</v>
      </c>
      <c r="J1771" s="4" t="s">
        <v>967</v>
      </c>
    </row>
    <row r="1772" spans="1:10" x14ac:dyDescent="0.3">
      <c r="A1772" s="7" t="s">
        <v>16</v>
      </c>
      <c r="B1772" s="7">
        <f t="shared" ref="B1772:B1786" si="412">+B1771+1</f>
        <v>2045</v>
      </c>
      <c r="C1772" s="4" t="s">
        <v>46</v>
      </c>
      <c r="D1772" s="5" t="s">
        <v>131</v>
      </c>
      <c r="E1772" s="10" t="str">
        <f t="shared" si="408"/>
        <v>PND'!</v>
      </c>
      <c r="F1772" s="5" t="str">
        <f t="shared" si="409"/>
        <v>C:\Users\jaime.benazar\Quorum Business Solutions\Ecopetrol Prometeo - Documents\Planning Space Implementation\3. Analysis &amp; Design\Design\FC22\DRR Jaime\Neiva CPI\[VAO_DINA TERCIARIOS_CF_SEC_20230117.xlsx]CF PND'!</v>
      </c>
      <c r="G1772" s="7" t="s">
        <v>104</v>
      </c>
      <c r="H1772" s="4">
        <f t="shared" si="410"/>
        <v>58</v>
      </c>
      <c r="I1772" s="4" t="str">
        <f t="shared" si="411"/>
        <v>='C:\Users\jaime.benazar\Quorum Business Solutions\Ecopetrol Prometeo - Documents\Planning Space Implementation\3. Analysis &amp; Design\Design\FC22\DRR Jaime\Neiva CPI\[VAO_DINA TERCIARIOS_CF_SEC_20230117.xlsx]CF PND'!$BU$58</v>
      </c>
      <c r="J1772" s="4" t="s">
        <v>968</v>
      </c>
    </row>
    <row r="1773" spans="1:10" x14ac:dyDescent="0.3">
      <c r="A1773" s="7" t="s">
        <v>16</v>
      </c>
      <c r="B1773" s="7">
        <f t="shared" si="412"/>
        <v>2046</v>
      </c>
      <c r="C1773" s="4" t="s">
        <v>46</v>
      </c>
      <c r="D1773" s="5" t="s">
        <v>131</v>
      </c>
      <c r="E1773" s="10" t="str">
        <f t="shared" si="408"/>
        <v>PND'!</v>
      </c>
      <c r="F1773" s="5" t="str">
        <f t="shared" si="409"/>
        <v>C:\Users\jaime.benazar\Quorum Business Solutions\Ecopetrol Prometeo - Documents\Planning Space Implementation\3. Analysis &amp; Design\Design\FC22\DRR Jaime\Neiva CPI\[VAO_DINA TERCIARIOS_CF_SEC_20230117.xlsx]CF PND'!</v>
      </c>
      <c r="G1773" s="7" t="s">
        <v>104</v>
      </c>
      <c r="H1773" s="4">
        <f t="shared" si="410"/>
        <v>59</v>
      </c>
      <c r="I1773" s="4" t="str">
        <f t="shared" si="411"/>
        <v>='C:\Users\jaime.benazar\Quorum Business Solutions\Ecopetrol Prometeo - Documents\Planning Space Implementation\3. Analysis &amp; Design\Design\FC22\DRR Jaime\Neiva CPI\[VAO_DINA TERCIARIOS_CF_SEC_20230117.xlsx]CF PND'!$BU$59</v>
      </c>
      <c r="J1773" s="4" t="s">
        <v>969</v>
      </c>
    </row>
    <row r="1774" spans="1:10" x14ac:dyDescent="0.3">
      <c r="A1774" s="7" t="s">
        <v>16</v>
      </c>
      <c r="B1774" s="7">
        <f t="shared" si="412"/>
        <v>2047</v>
      </c>
      <c r="C1774" s="4" t="s">
        <v>46</v>
      </c>
      <c r="D1774" s="5" t="s">
        <v>131</v>
      </c>
      <c r="E1774" s="10" t="str">
        <f t="shared" si="408"/>
        <v>PND'!</v>
      </c>
      <c r="F1774" s="5" t="str">
        <f t="shared" si="409"/>
        <v>C:\Users\jaime.benazar\Quorum Business Solutions\Ecopetrol Prometeo - Documents\Planning Space Implementation\3. Analysis &amp; Design\Design\FC22\DRR Jaime\Neiva CPI\[VAO_DINA TERCIARIOS_CF_SEC_20230117.xlsx]CF PND'!</v>
      </c>
      <c r="G1774" s="7" t="s">
        <v>104</v>
      </c>
      <c r="H1774" s="4">
        <f t="shared" si="410"/>
        <v>60</v>
      </c>
      <c r="I1774" s="4" t="str">
        <f t="shared" si="411"/>
        <v>='C:\Users\jaime.benazar\Quorum Business Solutions\Ecopetrol Prometeo - Documents\Planning Space Implementation\3. Analysis &amp; Design\Design\FC22\DRR Jaime\Neiva CPI\[VAO_DINA TERCIARIOS_CF_SEC_20230117.xlsx]CF PND'!$BU$60</v>
      </c>
      <c r="J1774" s="4" t="s">
        <v>970</v>
      </c>
    </row>
    <row r="1775" spans="1:10" x14ac:dyDescent="0.3">
      <c r="A1775" s="7" t="s">
        <v>16</v>
      </c>
      <c r="B1775" s="7">
        <f t="shared" si="412"/>
        <v>2048</v>
      </c>
      <c r="C1775" s="4" t="s">
        <v>46</v>
      </c>
      <c r="D1775" s="5" t="s">
        <v>131</v>
      </c>
      <c r="E1775" s="10" t="str">
        <f t="shared" si="408"/>
        <v>PND'!</v>
      </c>
      <c r="F1775" s="5" t="str">
        <f t="shared" si="409"/>
        <v>C:\Users\jaime.benazar\Quorum Business Solutions\Ecopetrol Prometeo - Documents\Planning Space Implementation\3. Analysis &amp; Design\Design\FC22\DRR Jaime\Neiva CPI\[VAO_DINA TERCIARIOS_CF_SEC_20230117.xlsx]CF PND'!</v>
      </c>
      <c r="G1775" s="7" t="s">
        <v>104</v>
      </c>
      <c r="H1775" s="4">
        <f t="shared" si="410"/>
        <v>61</v>
      </c>
      <c r="I1775" s="4" t="str">
        <f t="shared" si="411"/>
        <v>='C:\Users\jaime.benazar\Quorum Business Solutions\Ecopetrol Prometeo - Documents\Planning Space Implementation\3. Analysis &amp; Design\Design\FC22\DRR Jaime\Neiva CPI\[VAO_DINA TERCIARIOS_CF_SEC_20230117.xlsx]CF PND'!$BU$61</v>
      </c>
      <c r="J1775" s="4" t="s">
        <v>971</v>
      </c>
    </row>
    <row r="1776" spans="1:10" x14ac:dyDescent="0.3">
      <c r="A1776" s="7" t="s">
        <v>16</v>
      </c>
      <c r="B1776" s="7">
        <f t="shared" si="412"/>
        <v>2049</v>
      </c>
      <c r="C1776" s="4" t="s">
        <v>46</v>
      </c>
      <c r="D1776" s="5" t="s">
        <v>131</v>
      </c>
      <c r="E1776" s="10" t="str">
        <f t="shared" si="408"/>
        <v>PND'!</v>
      </c>
      <c r="F1776" s="5" t="str">
        <f t="shared" si="409"/>
        <v>C:\Users\jaime.benazar\Quorum Business Solutions\Ecopetrol Prometeo - Documents\Planning Space Implementation\3. Analysis &amp; Design\Design\FC22\DRR Jaime\Neiva CPI\[VAO_DINA TERCIARIOS_CF_SEC_20230117.xlsx]CF PND'!</v>
      </c>
      <c r="G1776" s="7" t="s">
        <v>104</v>
      </c>
      <c r="H1776" s="4">
        <f t="shared" si="410"/>
        <v>62</v>
      </c>
      <c r="I1776" s="4" t="str">
        <f t="shared" si="411"/>
        <v>='C:\Users\jaime.benazar\Quorum Business Solutions\Ecopetrol Prometeo - Documents\Planning Space Implementation\3. Analysis &amp; Design\Design\FC22\DRR Jaime\Neiva CPI\[VAO_DINA TERCIARIOS_CF_SEC_20230117.xlsx]CF PND'!$BU$62</v>
      </c>
      <c r="J1776" s="4" t="s">
        <v>972</v>
      </c>
    </row>
    <row r="1777" spans="1:10" x14ac:dyDescent="0.3">
      <c r="A1777" s="7" t="s">
        <v>16</v>
      </c>
      <c r="B1777" s="7">
        <f t="shared" si="412"/>
        <v>2050</v>
      </c>
      <c r="C1777" s="4" t="s">
        <v>46</v>
      </c>
      <c r="D1777" s="5" t="s">
        <v>131</v>
      </c>
      <c r="E1777" s="10" t="str">
        <f t="shared" si="408"/>
        <v>PND'!</v>
      </c>
      <c r="F1777" s="5" t="str">
        <f t="shared" si="409"/>
        <v>C:\Users\jaime.benazar\Quorum Business Solutions\Ecopetrol Prometeo - Documents\Planning Space Implementation\3. Analysis &amp; Design\Design\FC22\DRR Jaime\Neiva CPI\[VAO_DINA TERCIARIOS_CF_SEC_20230117.xlsx]CF PND'!</v>
      </c>
      <c r="G1777" s="7" t="s">
        <v>104</v>
      </c>
      <c r="H1777" s="4">
        <f t="shared" si="410"/>
        <v>63</v>
      </c>
      <c r="I1777" s="4" t="str">
        <f t="shared" si="411"/>
        <v>='C:\Users\jaime.benazar\Quorum Business Solutions\Ecopetrol Prometeo - Documents\Planning Space Implementation\3. Analysis &amp; Design\Design\FC22\DRR Jaime\Neiva CPI\[VAO_DINA TERCIARIOS_CF_SEC_20230117.xlsx]CF PND'!$BU$63</v>
      </c>
      <c r="J1777" s="4" t="s">
        <v>973</v>
      </c>
    </row>
    <row r="1778" spans="1:10" x14ac:dyDescent="0.3">
      <c r="A1778" s="7" t="s">
        <v>16</v>
      </c>
      <c r="B1778" s="7">
        <f t="shared" si="412"/>
        <v>2051</v>
      </c>
      <c r="C1778" s="4" t="s">
        <v>46</v>
      </c>
      <c r="D1778" s="5" t="s">
        <v>131</v>
      </c>
      <c r="E1778" s="10" t="str">
        <f t="shared" si="408"/>
        <v>PND'!</v>
      </c>
      <c r="F1778" s="5" t="str">
        <f t="shared" si="409"/>
        <v>C:\Users\jaime.benazar\Quorum Business Solutions\Ecopetrol Prometeo - Documents\Planning Space Implementation\3. Analysis &amp; Design\Design\FC22\DRR Jaime\Neiva CPI\[VAO_DINA TERCIARIOS_CF_SEC_20230117.xlsx]CF PND'!</v>
      </c>
      <c r="G1778" s="7" t="s">
        <v>104</v>
      </c>
      <c r="H1778" s="4">
        <f t="shared" si="410"/>
        <v>64</v>
      </c>
      <c r="I1778" s="4" t="str">
        <f t="shared" si="411"/>
        <v>='C:\Users\jaime.benazar\Quorum Business Solutions\Ecopetrol Prometeo - Documents\Planning Space Implementation\3. Analysis &amp; Design\Design\FC22\DRR Jaime\Neiva CPI\[VAO_DINA TERCIARIOS_CF_SEC_20230117.xlsx]CF PND'!$BU$64</v>
      </c>
      <c r="J1778" s="4" t="s">
        <v>974</v>
      </c>
    </row>
    <row r="1779" spans="1:10" x14ac:dyDescent="0.3">
      <c r="A1779" s="7" t="s">
        <v>16</v>
      </c>
      <c r="B1779" s="7">
        <f t="shared" si="412"/>
        <v>2052</v>
      </c>
      <c r="C1779" s="4" t="s">
        <v>46</v>
      </c>
      <c r="D1779" s="5" t="s">
        <v>131</v>
      </c>
      <c r="E1779" s="10" t="str">
        <f t="shared" si="408"/>
        <v>PND'!</v>
      </c>
      <c r="F1779" s="5" t="str">
        <f t="shared" si="409"/>
        <v>C:\Users\jaime.benazar\Quorum Business Solutions\Ecopetrol Prometeo - Documents\Planning Space Implementation\3. Analysis &amp; Design\Design\FC22\DRR Jaime\Neiva CPI\[VAO_DINA TERCIARIOS_CF_SEC_20230117.xlsx]CF PND'!</v>
      </c>
      <c r="G1779" s="7" t="s">
        <v>104</v>
      </c>
      <c r="H1779" s="4">
        <f t="shared" si="410"/>
        <v>65</v>
      </c>
      <c r="I1779" s="4" t="str">
        <f t="shared" si="411"/>
        <v>='C:\Users\jaime.benazar\Quorum Business Solutions\Ecopetrol Prometeo - Documents\Planning Space Implementation\3. Analysis &amp; Design\Design\FC22\DRR Jaime\Neiva CPI\[VAO_DINA TERCIARIOS_CF_SEC_20230117.xlsx]CF PND'!$BU$65</v>
      </c>
      <c r="J1779" s="4" t="s">
        <v>975</v>
      </c>
    </row>
    <row r="1780" spans="1:10" x14ac:dyDescent="0.3">
      <c r="A1780" s="7" t="s">
        <v>16</v>
      </c>
      <c r="B1780" s="7">
        <f t="shared" si="412"/>
        <v>2053</v>
      </c>
      <c r="C1780" s="4" t="s">
        <v>46</v>
      </c>
      <c r="D1780" s="5" t="s">
        <v>131</v>
      </c>
      <c r="E1780" s="10" t="str">
        <f t="shared" si="408"/>
        <v>PND'!</v>
      </c>
      <c r="F1780" s="5" t="str">
        <f t="shared" si="409"/>
        <v>C:\Users\jaime.benazar\Quorum Business Solutions\Ecopetrol Prometeo - Documents\Planning Space Implementation\3. Analysis &amp; Design\Design\FC22\DRR Jaime\Neiva CPI\[VAO_DINA TERCIARIOS_CF_SEC_20230117.xlsx]CF PND'!</v>
      </c>
      <c r="G1780" s="7" t="s">
        <v>104</v>
      </c>
      <c r="H1780" s="4">
        <f t="shared" si="410"/>
        <v>66</v>
      </c>
      <c r="I1780" s="4" t="str">
        <f t="shared" si="411"/>
        <v>='C:\Users\jaime.benazar\Quorum Business Solutions\Ecopetrol Prometeo - Documents\Planning Space Implementation\3. Analysis &amp; Design\Design\FC22\DRR Jaime\Neiva CPI\[VAO_DINA TERCIARIOS_CF_SEC_20230117.xlsx]CF PND'!$BU$66</v>
      </c>
      <c r="J1780" s="4" t="s">
        <v>976</v>
      </c>
    </row>
    <row r="1781" spans="1:10" x14ac:dyDescent="0.3">
      <c r="A1781" s="7" t="s">
        <v>16</v>
      </c>
      <c r="B1781" s="7">
        <f t="shared" si="412"/>
        <v>2054</v>
      </c>
      <c r="C1781" s="4" t="s">
        <v>46</v>
      </c>
      <c r="D1781" s="5" t="s">
        <v>131</v>
      </c>
      <c r="E1781" s="10" t="str">
        <f t="shared" si="408"/>
        <v>PND'!</v>
      </c>
      <c r="F1781" s="5" t="str">
        <f t="shared" si="409"/>
        <v>C:\Users\jaime.benazar\Quorum Business Solutions\Ecopetrol Prometeo - Documents\Planning Space Implementation\3. Analysis &amp; Design\Design\FC22\DRR Jaime\Neiva CPI\[VAO_DINA TERCIARIOS_CF_SEC_20230117.xlsx]CF PND'!</v>
      </c>
      <c r="G1781" s="7" t="s">
        <v>104</v>
      </c>
      <c r="H1781" s="4">
        <f t="shared" si="410"/>
        <v>67</v>
      </c>
      <c r="I1781" s="4" t="str">
        <f t="shared" si="411"/>
        <v>='C:\Users\jaime.benazar\Quorum Business Solutions\Ecopetrol Prometeo - Documents\Planning Space Implementation\3. Analysis &amp; Design\Design\FC22\DRR Jaime\Neiva CPI\[VAO_DINA TERCIARIOS_CF_SEC_20230117.xlsx]CF PND'!$BU$67</v>
      </c>
      <c r="J1781" s="4" t="s">
        <v>977</v>
      </c>
    </row>
    <row r="1782" spans="1:10" x14ac:dyDescent="0.3">
      <c r="A1782" s="7" t="s">
        <v>16</v>
      </c>
      <c r="B1782" s="7">
        <f t="shared" si="412"/>
        <v>2055</v>
      </c>
      <c r="C1782" s="4" t="s">
        <v>46</v>
      </c>
      <c r="D1782" s="5" t="s">
        <v>131</v>
      </c>
      <c r="E1782" s="10" t="str">
        <f t="shared" si="408"/>
        <v>PND'!</v>
      </c>
      <c r="F1782" s="5" t="str">
        <f t="shared" si="409"/>
        <v>C:\Users\jaime.benazar\Quorum Business Solutions\Ecopetrol Prometeo - Documents\Planning Space Implementation\3. Analysis &amp; Design\Design\FC22\DRR Jaime\Neiva CPI\[VAO_DINA TERCIARIOS_CF_SEC_20230117.xlsx]CF PND'!</v>
      </c>
      <c r="G1782" s="7" t="s">
        <v>104</v>
      </c>
      <c r="H1782" s="4">
        <f t="shared" si="410"/>
        <v>68</v>
      </c>
      <c r="I1782" s="4" t="str">
        <f t="shared" si="411"/>
        <v>='C:\Users\jaime.benazar\Quorum Business Solutions\Ecopetrol Prometeo - Documents\Planning Space Implementation\3. Analysis &amp; Design\Design\FC22\DRR Jaime\Neiva CPI\[VAO_DINA TERCIARIOS_CF_SEC_20230117.xlsx]CF PND'!$BU$68</v>
      </c>
      <c r="J1782" s="4" t="s">
        <v>978</v>
      </c>
    </row>
    <row r="1783" spans="1:10" x14ac:dyDescent="0.3">
      <c r="A1783" s="7" t="s">
        <v>16</v>
      </c>
      <c r="B1783" s="7">
        <f t="shared" si="412"/>
        <v>2056</v>
      </c>
      <c r="C1783" s="4" t="s">
        <v>46</v>
      </c>
      <c r="D1783" s="5" t="s">
        <v>131</v>
      </c>
      <c r="E1783" s="10" t="str">
        <f t="shared" si="408"/>
        <v>PND'!</v>
      </c>
      <c r="F1783" s="5" t="str">
        <f t="shared" si="409"/>
        <v>C:\Users\jaime.benazar\Quorum Business Solutions\Ecopetrol Prometeo - Documents\Planning Space Implementation\3. Analysis &amp; Design\Design\FC22\DRR Jaime\Neiva CPI\[VAO_DINA TERCIARIOS_CF_SEC_20230117.xlsx]CF PND'!</v>
      </c>
      <c r="G1783" s="7" t="s">
        <v>104</v>
      </c>
      <c r="H1783" s="4">
        <f t="shared" si="410"/>
        <v>69</v>
      </c>
      <c r="I1783" s="4" t="str">
        <f t="shared" si="411"/>
        <v>='C:\Users\jaime.benazar\Quorum Business Solutions\Ecopetrol Prometeo - Documents\Planning Space Implementation\3. Analysis &amp; Design\Design\FC22\DRR Jaime\Neiva CPI\[VAO_DINA TERCIARIOS_CF_SEC_20230117.xlsx]CF PND'!$BU$69</v>
      </c>
      <c r="J1783" s="4" t="s">
        <v>979</v>
      </c>
    </row>
    <row r="1784" spans="1:10" x14ac:dyDescent="0.3">
      <c r="A1784" s="7" t="s">
        <v>16</v>
      </c>
      <c r="B1784" s="7">
        <f t="shared" si="412"/>
        <v>2057</v>
      </c>
      <c r="C1784" s="4" t="s">
        <v>46</v>
      </c>
      <c r="D1784" s="5" t="s">
        <v>131</v>
      </c>
      <c r="E1784" s="10" t="str">
        <f t="shared" si="408"/>
        <v>PND'!</v>
      </c>
      <c r="F1784" s="5" t="str">
        <f t="shared" si="409"/>
        <v>C:\Users\jaime.benazar\Quorum Business Solutions\Ecopetrol Prometeo - Documents\Planning Space Implementation\3. Analysis &amp; Design\Design\FC22\DRR Jaime\Neiva CPI\[VAO_DINA TERCIARIOS_CF_SEC_20230117.xlsx]CF PND'!</v>
      </c>
      <c r="G1784" s="7" t="s">
        <v>104</v>
      </c>
      <c r="H1784" s="4">
        <f t="shared" si="410"/>
        <v>70</v>
      </c>
      <c r="I1784" s="4" t="str">
        <f t="shared" si="411"/>
        <v>='C:\Users\jaime.benazar\Quorum Business Solutions\Ecopetrol Prometeo - Documents\Planning Space Implementation\3. Analysis &amp; Design\Design\FC22\DRR Jaime\Neiva CPI\[VAO_DINA TERCIARIOS_CF_SEC_20230117.xlsx]CF PND'!$BU$70</v>
      </c>
      <c r="J1784" s="4" t="s">
        <v>980</v>
      </c>
    </row>
    <row r="1785" spans="1:10" x14ac:dyDescent="0.3">
      <c r="A1785" s="7" t="s">
        <v>16</v>
      </c>
      <c r="B1785" s="7">
        <f t="shared" si="412"/>
        <v>2058</v>
      </c>
      <c r="C1785" s="4" t="s">
        <v>46</v>
      </c>
      <c r="D1785" s="5" t="s">
        <v>131</v>
      </c>
      <c r="E1785" s="10" t="str">
        <f t="shared" si="408"/>
        <v>PND'!</v>
      </c>
      <c r="F1785" s="5" t="str">
        <f t="shared" si="409"/>
        <v>C:\Users\jaime.benazar\Quorum Business Solutions\Ecopetrol Prometeo - Documents\Planning Space Implementation\3. Analysis &amp; Design\Design\FC22\DRR Jaime\Neiva CPI\[VAO_DINA TERCIARIOS_CF_SEC_20230117.xlsx]CF PND'!</v>
      </c>
      <c r="G1785" s="7" t="s">
        <v>104</v>
      </c>
      <c r="H1785" s="4">
        <f t="shared" si="410"/>
        <v>71</v>
      </c>
      <c r="I1785" s="4" t="str">
        <f t="shared" si="411"/>
        <v>='C:\Users\jaime.benazar\Quorum Business Solutions\Ecopetrol Prometeo - Documents\Planning Space Implementation\3. Analysis &amp; Design\Design\FC22\DRR Jaime\Neiva CPI\[VAO_DINA TERCIARIOS_CF_SEC_20230117.xlsx]CF PND'!$BU$71</v>
      </c>
      <c r="J1785" s="4" t="s">
        <v>981</v>
      </c>
    </row>
    <row r="1786" spans="1:10" x14ac:dyDescent="0.3">
      <c r="A1786" s="7" t="s">
        <v>16</v>
      </c>
      <c r="B1786" s="7">
        <f t="shared" si="412"/>
        <v>2059</v>
      </c>
      <c r="C1786" s="4" t="s">
        <v>46</v>
      </c>
      <c r="D1786" s="5" t="s">
        <v>131</v>
      </c>
      <c r="E1786" s="10" t="str">
        <f t="shared" si="408"/>
        <v>PND'!</v>
      </c>
      <c r="F1786" s="5" t="str">
        <f t="shared" si="409"/>
        <v>C:\Users\jaime.benazar\Quorum Business Solutions\Ecopetrol Prometeo - Documents\Planning Space Implementation\3. Analysis &amp; Design\Design\FC22\DRR Jaime\Neiva CPI\[VAO_DINA TERCIARIOS_CF_SEC_20230117.xlsx]CF PND'!</v>
      </c>
      <c r="G1786" s="7" t="s">
        <v>104</v>
      </c>
      <c r="H1786" s="4">
        <f t="shared" si="410"/>
        <v>72</v>
      </c>
      <c r="I1786" s="4" t="str">
        <f t="shared" si="411"/>
        <v>='C:\Users\jaime.benazar\Quorum Business Solutions\Ecopetrol Prometeo - Documents\Planning Space Implementation\3. Analysis &amp; Design\Design\FC22\DRR Jaime\Neiva CPI\[VAO_DINA TERCIARIOS_CF_SEC_20230117.xlsx]CF PND'!$BU$72</v>
      </c>
      <c r="J1786" s="4" t="s">
        <v>982</v>
      </c>
    </row>
    <row r="1787" spans="1:10" x14ac:dyDescent="0.3">
      <c r="A1787" s="7" t="s">
        <v>26</v>
      </c>
      <c r="B1787" s="7"/>
      <c r="C1787" s="4" t="s">
        <v>46</v>
      </c>
      <c r="D1787" s="5"/>
      <c r="E1787" s="10"/>
      <c r="F1787" s="5"/>
      <c r="G1787" s="7"/>
      <c r="H1787" s="4"/>
      <c r="I1787" s="4"/>
      <c r="J1787" s="4"/>
    </row>
    <row r="1788" spans="1:10" x14ac:dyDescent="0.3">
      <c r="A1788" s="7" t="s">
        <v>17</v>
      </c>
      <c r="B1788" s="7">
        <v>2023</v>
      </c>
      <c r="C1788" s="4" t="s">
        <v>46</v>
      </c>
      <c r="D1788" s="5" t="s">
        <v>131</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Jaime\Neiva CPI\[VAO_DINA TERCIARIOS_CF_SEC_20230117.xlsx]CF PRBDP'!</v>
      </c>
      <c r="G1788" s="7" t="s">
        <v>104</v>
      </c>
      <c r="H1788" s="4"/>
      <c r="I1788" s="4"/>
      <c r="J1788" s="4"/>
    </row>
    <row r="1789" spans="1:10" x14ac:dyDescent="0.3">
      <c r="A1789" s="7" t="s">
        <v>17</v>
      </c>
      <c r="B1789" s="7">
        <f>+B1788+1</f>
        <v>2024</v>
      </c>
      <c r="C1789" s="4" t="s">
        <v>46</v>
      </c>
      <c r="D1789" s="5" t="s">
        <v>131</v>
      </c>
      <c r="E1789" s="10" t="str">
        <f t="shared" si="413"/>
        <v>PRBDP'!</v>
      </c>
      <c r="F1789" s="5" t="str">
        <f t="shared" si="414"/>
        <v>C:\Users\jaime.benazar\Quorum Business Solutions\Ecopetrol Prometeo - Documents\Planning Space Implementation\3. Analysis &amp; Design\Design\FC22\DRR Jaime\Neiva CPI\[VAO_DINA TERCIARIOS_CF_SEC_20230117.xlsx]CF PRBDP'!</v>
      </c>
      <c r="G1789" s="7" t="s">
        <v>104</v>
      </c>
      <c r="H1789" s="4"/>
      <c r="I1789" s="4"/>
      <c r="J1789" s="4"/>
    </row>
    <row r="1790" spans="1:10" x14ac:dyDescent="0.3">
      <c r="A1790" s="7" t="s">
        <v>17</v>
      </c>
      <c r="B1790" s="7">
        <f t="shared" ref="B1790:B1801" si="415">+B1789+1</f>
        <v>2025</v>
      </c>
      <c r="C1790" s="4" t="s">
        <v>46</v>
      </c>
      <c r="D1790" s="5" t="s">
        <v>131</v>
      </c>
      <c r="E1790" s="10" t="str">
        <f t="shared" si="413"/>
        <v>PRBDP'!</v>
      </c>
      <c r="F1790" s="5" t="str">
        <f t="shared" si="414"/>
        <v>C:\Users\jaime.benazar\Quorum Business Solutions\Ecopetrol Prometeo - Documents\Planning Space Implementation\3. Analysis &amp; Design\Design\FC22\DRR Jaime\Neiva CPI\[VAO_DINA TERCIARIOS_CF_SEC_20230117.xlsx]CF PRBDP'!</v>
      </c>
      <c r="G1790" s="7" t="s">
        <v>104</v>
      </c>
      <c r="H1790" s="4"/>
      <c r="I1790" s="4"/>
      <c r="J1790" s="4"/>
    </row>
    <row r="1791" spans="1:10" x14ac:dyDescent="0.3">
      <c r="A1791" s="7" t="s">
        <v>17</v>
      </c>
      <c r="B1791" s="7">
        <f t="shared" si="415"/>
        <v>2026</v>
      </c>
      <c r="C1791" s="4" t="s">
        <v>46</v>
      </c>
      <c r="D1791" s="5" t="s">
        <v>131</v>
      </c>
      <c r="E1791" s="10" t="str">
        <f t="shared" si="413"/>
        <v>PRBDP'!</v>
      </c>
      <c r="F1791" s="5" t="str">
        <f t="shared" si="414"/>
        <v>C:\Users\jaime.benazar\Quorum Business Solutions\Ecopetrol Prometeo - Documents\Planning Space Implementation\3. Analysis &amp; Design\Design\FC22\DRR Jaime\Neiva CPI\[VAO_DINA TERCIARIOS_CF_SEC_20230117.xlsx]CF PRBDP'!</v>
      </c>
      <c r="G1791" s="7" t="s">
        <v>104</v>
      </c>
      <c r="H1791" s="4"/>
      <c r="I1791" s="4"/>
      <c r="J1791" s="4"/>
    </row>
    <row r="1792" spans="1:10" x14ac:dyDescent="0.3">
      <c r="A1792" s="7" t="s">
        <v>17</v>
      </c>
      <c r="B1792" s="7">
        <f t="shared" si="415"/>
        <v>2027</v>
      </c>
      <c r="C1792" s="4" t="s">
        <v>46</v>
      </c>
      <c r="D1792" s="5" t="s">
        <v>131</v>
      </c>
      <c r="E1792" s="10" t="str">
        <f t="shared" si="413"/>
        <v>PRBDP'!</v>
      </c>
      <c r="F1792" s="5" t="str">
        <f t="shared" si="414"/>
        <v>C:\Users\jaime.benazar\Quorum Business Solutions\Ecopetrol Prometeo - Documents\Planning Space Implementation\3. Analysis &amp; Design\Design\FC22\DRR Jaime\Neiva CPI\[VAO_DINA TERCIARIOS_CF_SEC_20230117.xlsx]CF PRBDP'!</v>
      </c>
      <c r="G1792" s="7" t="s">
        <v>104</v>
      </c>
      <c r="H1792" s="4"/>
      <c r="I1792" s="4"/>
      <c r="J1792" s="4"/>
    </row>
    <row r="1793" spans="1:10" x14ac:dyDescent="0.3">
      <c r="A1793" s="7" t="s">
        <v>17</v>
      </c>
      <c r="B1793" s="7">
        <f t="shared" si="415"/>
        <v>2028</v>
      </c>
      <c r="C1793" s="4" t="s">
        <v>46</v>
      </c>
      <c r="D1793" s="5" t="s">
        <v>131</v>
      </c>
      <c r="E1793" s="10" t="str">
        <f t="shared" si="413"/>
        <v>PRBDP'!</v>
      </c>
      <c r="F1793" s="5" t="str">
        <f t="shared" si="414"/>
        <v>C:\Users\jaime.benazar\Quorum Business Solutions\Ecopetrol Prometeo - Documents\Planning Space Implementation\3. Analysis &amp; Design\Design\FC22\DRR Jaime\Neiva CPI\[VAO_DINA TERCIARIOS_CF_SEC_20230117.xlsx]CF PRBDP'!</v>
      </c>
      <c r="G1793" s="7" t="s">
        <v>104</v>
      </c>
      <c r="H1793" s="4"/>
      <c r="I1793" s="4"/>
      <c r="J1793" s="4"/>
    </row>
    <row r="1794" spans="1:10" x14ac:dyDescent="0.3">
      <c r="A1794" s="7" t="s">
        <v>17</v>
      </c>
      <c r="B1794" s="7">
        <f t="shared" si="415"/>
        <v>2029</v>
      </c>
      <c r="C1794" s="4" t="s">
        <v>46</v>
      </c>
      <c r="D1794" s="5" t="s">
        <v>131</v>
      </c>
      <c r="E1794" s="10" t="str">
        <f t="shared" si="413"/>
        <v>PRBDP'!</v>
      </c>
      <c r="F1794" s="5" t="str">
        <f t="shared" si="414"/>
        <v>C:\Users\jaime.benazar\Quorum Business Solutions\Ecopetrol Prometeo - Documents\Planning Space Implementation\3. Analysis &amp; Design\Design\FC22\DRR Jaime\Neiva CPI\[VAO_DINA TERCIARIOS_CF_SEC_20230117.xlsx]CF PRBDP'!</v>
      </c>
      <c r="G1794" s="7" t="s">
        <v>104</v>
      </c>
      <c r="H1794" s="4"/>
      <c r="I1794" s="4"/>
      <c r="J1794" s="4"/>
    </row>
    <row r="1795" spans="1:10" x14ac:dyDescent="0.3">
      <c r="A1795" s="7" t="s">
        <v>17</v>
      </c>
      <c r="B1795" s="7">
        <f t="shared" si="415"/>
        <v>2030</v>
      </c>
      <c r="C1795" s="4" t="s">
        <v>46</v>
      </c>
      <c r="D1795" s="5" t="s">
        <v>131</v>
      </c>
      <c r="E1795" s="10" t="str">
        <f t="shared" si="413"/>
        <v>PRBDP'!</v>
      </c>
      <c r="F1795" s="5" t="str">
        <f t="shared" si="414"/>
        <v>C:\Users\jaime.benazar\Quorum Business Solutions\Ecopetrol Prometeo - Documents\Planning Space Implementation\3. Analysis &amp; Design\Design\FC22\DRR Jaime\Neiva CPI\[VAO_DINA TERCIARIOS_CF_SEC_20230117.xlsx]CF PRBDP'!</v>
      </c>
      <c r="G1795" s="7" t="s">
        <v>104</v>
      </c>
      <c r="H1795" s="4"/>
      <c r="I1795" s="4"/>
      <c r="J1795" s="4"/>
    </row>
    <row r="1796" spans="1:10" x14ac:dyDescent="0.3">
      <c r="A1796" s="7" t="s">
        <v>17</v>
      </c>
      <c r="B1796" s="7">
        <f t="shared" si="415"/>
        <v>2031</v>
      </c>
      <c r="C1796" s="4" t="s">
        <v>46</v>
      </c>
      <c r="D1796" s="5" t="s">
        <v>131</v>
      </c>
      <c r="E1796" s="10" t="str">
        <f t="shared" si="413"/>
        <v>PRBDP'!</v>
      </c>
      <c r="F1796" s="5" t="str">
        <f t="shared" si="414"/>
        <v>C:\Users\jaime.benazar\Quorum Business Solutions\Ecopetrol Prometeo - Documents\Planning Space Implementation\3. Analysis &amp; Design\Design\FC22\DRR Jaime\Neiva CPI\[VAO_DINA TERCIARIOS_CF_SEC_20230117.xlsx]CF PRBDP'!</v>
      </c>
      <c r="G1796" s="7" t="s">
        <v>104</v>
      </c>
      <c r="H1796" s="4"/>
      <c r="I1796" s="4"/>
      <c r="J1796" s="4"/>
    </row>
    <row r="1797" spans="1:10" x14ac:dyDescent="0.3">
      <c r="A1797" s="7" t="s">
        <v>17</v>
      </c>
      <c r="B1797" s="7">
        <f t="shared" si="415"/>
        <v>2032</v>
      </c>
      <c r="C1797" s="4" t="s">
        <v>46</v>
      </c>
      <c r="D1797" s="5" t="s">
        <v>131</v>
      </c>
      <c r="E1797" s="10" t="str">
        <f t="shared" si="413"/>
        <v>PRBDP'!</v>
      </c>
      <c r="F1797" s="5" t="str">
        <f t="shared" si="414"/>
        <v>C:\Users\jaime.benazar\Quorum Business Solutions\Ecopetrol Prometeo - Documents\Planning Space Implementation\3. Analysis &amp; Design\Design\FC22\DRR Jaime\Neiva CPI\[VAO_DINA TERCIARIOS_CF_SEC_20230117.xlsx]CF PRBDP'!</v>
      </c>
      <c r="G1797" s="7" t="s">
        <v>104</v>
      </c>
      <c r="H1797" s="4"/>
      <c r="I1797" s="4"/>
      <c r="J1797" s="4"/>
    </row>
    <row r="1798" spans="1:10" x14ac:dyDescent="0.3">
      <c r="A1798" s="7" t="s">
        <v>17</v>
      </c>
      <c r="B1798" s="7">
        <f t="shared" si="415"/>
        <v>2033</v>
      </c>
      <c r="C1798" s="4" t="s">
        <v>46</v>
      </c>
      <c r="D1798" s="5" t="s">
        <v>131</v>
      </c>
      <c r="E1798" s="10" t="str">
        <f t="shared" si="413"/>
        <v>PRBDP'!</v>
      </c>
      <c r="F1798" s="5" t="str">
        <f t="shared" si="414"/>
        <v>C:\Users\jaime.benazar\Quorum Business Solutions\Ecopetrol Prometeo - Documents\Planning Space Implementation\3. Analysis &amp; Design\Design\FC22\DRR Jaime\Neiva CPI\[VAO_DINA TERCIARIOS_CF_SEC_20230117.xlsx]CF PRBDP'!</v>
      </c>
      <c r="G1798" s="7" t="s">
        <v>104</v>
      </c>
      <c r="H1798" s="4"/>
      <c r="I1798" s="4"/>
      <c r="J1798" s="4"/>
    </row>
    <row r="1799" spans="1:10" x14ac:dyDescent="0.3">
      <c r="A1799" s="7" t="s">
        <v>17</v>
      </c>
      <c r="B1799" s="7">
        <f t="shared" si="415"/>
        <v>2034</v>
      </c>
      <c r="C1799" s="4" t="s">
        <v>46</v>
      </c>
      <c r="D1799" s="5" t="s">
        <v>131</v>
      </c>
      <c r="E1799" s="10" t="str">
        <f t="shared" si="413"/>
        <v>PRBDP'!</v>
      </c>
      <c r="F1799" s="5" t="str">
        <f t="shared" si="414"/>
        <v>C:\Users\jaime.benazar\Quorum Business Solutions\Ecopetrol Prometeo - Documents\Planning Space Implementation\3. Analysis &amp; Design\Design\FC22\DRR Jaime\Neiva CPI\[VAO_DINA TERCIARIOS_CF_SEC_20230117.xlsx]CF PRBDP'!</v>
      </c>
      <c r="G1799" s="7" t="s">
        <v>104</v>
      </c>
      <c r="H1799" s="4"/>
      <c r="I1799" s="4"/>
      <c r="J1799" s="4"/>
    </row>
    <row r="1800" spans="1:10" x14ac:dyDescent="0.3">
      <c r="A1800" s="7" t="s">
        <v>17</v>
      </c>
      <c r="B1800" s="7">
        <f t="shared" si="415"/>
        <v>2035</v>
      </c>
      <c r="C1800" s="4" t="s">
        <v>46</v>
      </c>
      <c r="D1800" s="5" t="s">
        <v>131</v>
      </c>
      <c r="E1800" s="10" t="str">
        <f t="shared" si="413"/>
        <v>PRBDP'!</v>
      </c>
      <c r="F1800" s="5" t="str">
        <f t="shared" si="414"/>
        <v>C:\Users\jaime.benazar\Quorum Business Solutions\Ecopetrol Prometeo - Documents\Planning Space Implementation\3. Analysis &amp; Design\Design\FC22\DRR Jaime\Neiva CPI\[VAO_DINA TERCIARIOS_CF_SEC_20230117.xlsx]CF PRBDP'!</v>
      </c>
      <c r="G1800" s="7" t="s">
        <v>104</v>
      </c>
      <c r="H1800" s="4"/>
      <c r="I1800" s="4"/>
      <c r="J1800" s="4"/>
    </row>
    <row r="1801" spans="1:10" x14ac:dyDescent="0.3">
      <c r="A1801" s="7" t="s">
        <v>17</v>
      </c>
      <c r="B1801" s="7">
        <f t="shared" si="415"/>
        <v>2036</v>
      </c>
      <c r="C1801" s="4" t="s">
        <v>46</v>
      </c>
      <c r="D1801" s="5" t="s">
        <v>131</v>
      </c>
      <c r="E1801" s="10" t="str">
        <f t="shared" si="413"/>
        <v>PRBDP'!</v>
      </c>
      <c r="F1801" s="5" t="str">
        <f t="shared" si="414"/>
        <v>C:\Users\jaime.benazar\Quorum Business Solutions\Ecopetrol Prometeo - Documents\Planning Space Implementation\3. Analysis &amp; Design\Design\FC22\DRR Jaime\Neiva CPI\[VAO_DINA TERCIARIOS_CF_SEC_20230117.xlsx]CF PRBDP'!</v>
      </c>
      <c r="G1801" s="7" t="s">
        <v>104</v>
      </c>
      <c r="H1801" s="4"/>
      <c r="I1801" s="4"/>
      <c r="J1801" s="4"/>
    </row>
    <row r="1802" spans="1:10" x14ac:dyDescent="0.3">
      <c r="A1802" s="7" t="s">
        <v>17</v>
      </c>
      <c r="B1802" s="7">
        <f>+B1801+1</f>
        <v>2037</v>
      </c>
      <c r="C1802" s="4" t="s">
        <v>46</v>
      </c>
      <c r="D1802" s="5" t="s">
        <v>131</v>
      </c>
      <c r="E1802" s="10" t="str">
        <f t="shared" si="413"/>
        <v>PRBDP'!</v>
      </c>
      <c r="F1802" s="5" t="str">
        <f t="shared" si="414"/>
        <v>C:\Users\jaime.benazar\Quorum Business Solutions\Ecopetrol Prometeo - Documents\Planning Space Implementation\3. Analysis &amp; Design\Design\FC22\DRR Jaime\Neiva CPI\[VAO_DINA TERCIARIOS_CF_SEC_20230117.xlsx]CF PRBDP'!</v>
      </c>
      <c r="G1802" s="7" t="s">
        <v>104</v>
      </c>
      <c r="H1802" s="4"/>
      <c r="I1802" s="4"/>
      <c r="J1802" s="4"/>
    </row>
    <row r="1803" spans="1:10" x14ac:dyDescent="0.3">
      <c r="A1803" s="7" t="s">
        <v>17</v>
      </c>
      <c r="B1803" s="7">
        <f t="shared" ref="B1803:B1805" si="416">+B1802+1</f>
        <v>2038</v>
      </c>
      <c r="C1803" s="4" t="s">
        <v>46</v>
      </c>
      <c r="D1803" s="5" t="s">
        <v>131</v>
      </c>
      <c r="E1803" s="10" t="str">
        <f t="shared" si="413"/>
        <v>PRBDP'!</v>
      </c>
      <c r="F1803" s="5" t="str">
        <f t="shared" si="414"/>
        <v>C:\Users\jaime.benazar\Quorum Business Solutions\Ecopetrol Prometeo - Documents\Planning Space Implementation\3. Analysis &amp; Design\Design\FC22\DRR Jaime\Neiva CPI\[VAO_DINA TERCIARIOS_CF_SEC_20230117.xlsx]CF PRBDP'!</v>
      </c>
      <c r="G1803" s="7" t="s">
        <v>104</v>
      </c>
      <c r="H1803" s="4"/>
      <c r="I1803" s="4"/>
      <c r="J1803" s="4"/>
    </row>
    <row r="1804" spans="1:10" x14ac:dyDescent="0.3">
      <c r="A1804" s="7" t="s">
        <v>17</v>
      </c>
      <c r="B1804" s="7">
        <f t="shared" si="416"/>
        <v>2039</v>
      </c>
      <c r="C1804" s="4" t="s">
        <v>46</v>
      </c>
      <c r="D1804" s="5" t="s">
        <v>131</v>
      </c>
      <c r="E1804" s="10" t="str">
        <f t="shared" si="413"/>
        <v>PRBDP'!</v>
      </c>
      <c r="F1804" s="5" t="str">
        <f t="shared" si="414"/>
        <v>C:\Users\jaime.benazar\Quorum Business Solutions\Ecopetrol Prometeo - Documents\Planning Space Implementation\3. Analysis &amp; Design\Design\FC22\DRR Jaime\Neiva CPI\[VAO_DINA TERCIARIOS_CF_SEC_20230117.xlsx]CF PRBDP'!</v>
      </c>
      <c r="G1804" s="7" t="s">
        <v>104</v>
      </c>
      <c r="H1804" s="4"/>
      <c r="I1804" s="4"/>
      <c r="J1804" s="4"/>
    </row>
    <row r="1805" spans="1:10" x14ac:dyDescent="0.3">
      <c r="A1805" s="7" t="s">
        <v>17</v>
      </c>
      <c r="B1805" s="7">
        <f t="shared" si="416"/>
        <v>2040</v>
      </c>
      <c r="C1805" s="4" t="s">
        <v>46</v>
      </c>
      <c r="D1805" s="5" t="s">
        <v>131</v>
      </c>
      <c r="E1805" s="10" t="str">
        <f t="shared" si="413"/>
        <v>PRBDP'!</v>
      </c>
      <c r="F1805" s="5" t="str">
        <f t="shared" si="414"/>
        <v>C:\Users\jaime.benazar\Quorum Business Solutions\Ecopetrol Prometeo - Documents\Planning Space Implementation\3. Analysis &amp; Design\Design\FC22\DRR Jaime\Neiva CPI\[VAO_DINA TERCIARIOS_CF_SEC_20230117.xlsx]CF PRBDP'!</v>
      </c>
      <c r="G1805" s="7" t="s">
        <v>104</v>
      </c>
      <c r="H1805" s="4"/>
      <c r="I1805" s="4"/>
      <c r="J1805" s="4"/>
    </row>
    <row r="1806" spans="1:10" x14ac:dyDescent="0.3">
      <c r="A1806" s="7" t="s">
        <v>17</v>
      </c>
      <c r="B1806" s="7">
        <f>+B1805+1</f>
        <v>2041</v>
      </c>
      <c r="C1806" s="4" t="s">
        <v>46</v>
      </c>
      <c r="D1806" s="5" t="s">
        <v>131</v>
      </c>
      <c r="E1806" s="10" t="str">
        <f t="shared" si="413"/>
        <v>PRBDP'!</v>
      </c>
      <c r="F1806" s="5" t="str">
        <f t="shared" si="414"/>
        <v>C:\Users\jaime.benazar\Quorum Business Solutions\Ecopetrol Prometeo - Documents\Planning Space Implementation\3. Analysis &amp; Design\Design\FC22\DRR Jaime\Neiva CPI\[VAO_DINA TERCIARIOS_CF_SEC_20230117.xlsx]CF PRBDP'!</v>
      </c>
      <c r="G1806" s="7" t="s">
        <v>104</v>
      </c>
      <c r="H1806" s="4"/>
      <c r="I1806" s="4"/>
      <c r="J1806" s="4"/>
    </row>
    <row r="1807" spans="1:10" x14ac:dyDescent="0.3">
      <c r="A1807" s="7" t="s">
        <v>17</v>
      </c>
      <c r="B1807" s="7">
        <f t="shared" ref="B1807:B1808" si="417">+B1806+1</f>
        <v>2042</v>
      </c>
      <c r="C1807" s="4" t="s">
        <v>46</v>
      </c>
      <c r="D1807" s="5" t="s">
        <v>131</v>
      </c>
      <c r="E1807" s="10" t="str">
        <f t="shared" si="413"/>
        <v>PRBDP'!</v>
      </c>
      <c r="F1807" s="5" t="str">
        <f t="shared" si="414"/>
        <v>C:\Users\jaime.benazar\Quorum Business Solutions\Ecopetrol Prometeo - Documents\Planning Space Implementation\3. Analysis &amp; Design\Design\FC22\DRR Jaime\Neiva CPI\[VAO_DINA TERCIARIOS_CF_SEC_20230117.xlsx]CF PRBDP'!</v>
      </c>
      <c r="G1807" s="7" t="s">
        <v>104</v>
      </c>
      <c r="H1807" s="4"/>
      <c r="I1807" s="4"/>
      <c r="J1807" s="4"/>
    </row>
    <row r="1808" spans="1:10" x14ac:dyDescent="0.3">
      <c r="A1808" s="7" t="s">
        <v>17</v>
      </c>
      <c r="B1808" s="7">
        <f t="shared" si="417"/>
        <v>2043</v>
      </c>
      <c r="C1808" s="4" t="s">
        <v>46</v>
      </c>
      <c r="D1808" s="5" t="s">
        <v>131</v>
      </c>
      <c r="E1808" s="10" t="str">
        <f t="shared" si="413"/>
        <v>PRBDP'!</v>
      </c>
      <c r="F1808" s="5" t="str">
        <f t="shared" si="414"/>
        <v>C:\Users\jaime.benazar\Quorum Business Solutions\Ecopetrol Prometeo - Documents\Planning Space Implementation\3. Analysis &amp; Design\Design\FC22\DRR Jaime\Neiva CPI\[VAO_DINA TERCIARIOS_CF_SEC_20230117.xlsx]CF PRBDP'!</v>
      </c>
      <c r="G1808" s="7" t="s">
        <v>104</v>
      </c>
      <c r="H1808" s="4"/>
      <c r="I1808" s="4"/>
      <c r="J1808" s="4"/>
    </row>
    <row r="1809" spans="1:10" x14ac:dyDescent="0.3">
      <c r="A1809" s="7" t="s">
        <v>17</v>
      </c>
      <c r="B1809" s="7">
        <f>+B1808+1</f>
        <v>2044</v>
      </c>
      <c r="C1809" s="4" t="s">
        <v>46</v>
      </c>
      <c r="D1809" s="5" t="s">
        <v>131</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Jaime\Neiva CPI\[VAO_DINA TERCIARIOS_CF_SEC_20230117.xlsx]CF PRBDP'!</v>
      </c>
      <c r="G1809" s="7" t="s">
        <v>104</v>
      </c>
      <c r="H1809" s="4"/>
      <c r="I1809" s="4"/>
      <c r="J1809" s="4"/>
    </row>
    <row r="1810" spans="1:10" x14ac:dyDescent="0.3">
      <c r="A1810" s="7" t="s">
        <v>17</v>
      </c>
      <c r="B1810" s="7">
        <f t="shared" ref="B1810:B1824" si="420">+B1809+1</f>
        <v>2045</v>
      </c>
      <c r="C1810" s="4" t="s">
        <v>46</v>
      </c>
      <c r="D1810" s="5" t="s">
        <v>131</v>
      </c>
      <c r="E1810" s="10" t="str">
        <f t="shared" si="418"/>
        <v>PRBDP'!</v>
      </c>
      <c r="F1810" s="5" t="str">
        <f t="shared" si="419"/>
        <v>C:\Users\jaime.benazar\Quorum Business Solutions\Ecopetrol Prometeo - Documents\Planning Space Implementation\3. Analysis &amp; Design\Design\FC22\DRR Jaime\Neiva CPI\[VAO_DINA TERCIARIOS_CF_SEC_20230117.xlsx]CF PRBDP'!</v>
      </c>
      <c r="G1810" s="7" t="s">
        <v>104</v>
      </c>
      <c r="H1810" s="4"/>
      <c r="I1810" s="4"/>
      <c r="J1810" s="4"/>
    </row>
    <row r="1811" spans="1:10" x14ac:dyDescent="0.3">
      <c r="A1811" s="7" t="s">
        <v>17</v>
      </c>
      <c r="B1811" s="7">
        <f t="shared" si="420"/>
        <v>2046</v>
      </c>
      <c r="C1811" s="4" t="s">
        <v>46</v>
      </c>
      <c r="D1811" s="5" t="s">
        <v>131</v>
      </c>
      <c r="E1811" s="10" t="str">
        <f t="shared" si="418"/>
        <v>PRBDP'!</v>
      </c>
      <c r="F1811" s="5" t="str">
        <f t="shared" si="419"/>
        <v>C:\Users\jaime.benazar\Quorum Business Solutions\Ecopetrol Prometeo - Documents\Planning Space Implementation\3. Analysis &amp; Design\Design\FC22\DRR Jaime\Neiva CPI\[VAO_DINA TERCIARIOS_CF_SEC_20230117.xlsx]CF PRBDP'!</v>
      </c>
      <c r="G1811" s="7" t="s">
        <v>104</v>
      </c>
      <c r="H1811" s="4"/>
      <c r="I1811" s="4"/>
      <c r="J1811" s="4"/>
    </row>
    <row r="1812" spans="1:10" x14ac:dyDescent="0.3">
      <c r="A1812" s="7" t="s">
        <v>17</v>
      </c>
      <c r="B1812" s="7">
        <f t="shared" si="420"/>
        <v>2047</v>
      </c>
      <c r="C1812" s="4" t="s">
        <v>46</v>
      </c>
      <c r="D1812" s="5" t="s">
        <v>131</v>
      </c>
      <c r="E1812" s="10" t="str">
        <f t="shared" si="418"/>
        <v>PRBDP'!</v>
      </c>
      <c r="F1812" s="5" t="str">
        <f t="shared" si="419"/>
        <v>C:\Users\jaime.benazar\Quorum Business Solutions\Ecopetrol Prometeo - Documents\Planning Space Implementation\3. Analysis &amp; Design\Design\FC22\DRR Jaime\Neiva CPI\[VAO_DINA TERCIARIOS_CF_SEC_20230117.xlsx]CF PRBDP'!</v>
      </c>
      <c r="G1812" s="7" t="s">
        <v>104</v>
      </c>
      <c r="H1812" s="4"/>
      <c r="I1812" s="4"/>
      <c r="J1812" s="4"/>
    </row>
    <row r="1813" spans="1:10" x14ac:dyDescent="0.3">
      <c r="A1813" s="7" t="s">
        <v>17</v>
      </c>
      <c r="B1813" s="7">
        <f t="shared" si="420"/>
        <v>2048</v>
      </c>
      <c r="C1813" s="4" t="s">
        <v>46</v>
      </c>
      <c r="D1813" s="5" t="s">
        <v>131</v>
      </c>
      <c r="E1813" s="10" t="str">
        <f t="shared" si="418"/>
        <v>PRBDP'!</v>
      </c>
      <c r="F1813" s="5" t="str">
        <f t="shared" si="419"/>
        <v>C:\Users\jaime.benazar\Quorum Business Solutions\Ecopetrol Prometeo - Documents\Planning Space Implementation\3. Analysis &amp; Design\Design\FC22\DRR Jaime\Neiva CPI\[VAO_DINA TERCIARIOS_CF_SEC_20230117.xlsx]CF PRBDP'!</v>
      </c>
      <c r="G1813" s="7" t="s">
        <v>104</v>
      </c>
      <c r="H1813" s="4"/>
      <c r="I1813" s="4"/>
      <c r="J1813" s="4"/>
    </row>
    <row r="1814" spans="1:10" x14ac:dyDescent="0.3">
      <c r="A1814" s="7" t="s">
        <v>17</v>
      </c>
      <c r="B1814" s="7">
        <f t="shared" si="420"/>
        <v>2049</v>
      </c>
      <c r="C1814" s="4" t="s">
        <v>46</v>
      </c>
      <c r="D1814" s="5" t="s">
        <v>131</v>
      </c>
      <c r="E1814" s="10" t="str">
        <f t="shared" si="418"/>
        <v>PRBDP'!</v>
      </c>
      <c r="F1814" s="5" t="str">
        <f t="shared" si="419"/>
        <v>C:\Users\jaime.benazar\Quorum Business Solutions\Ecopetrol Prometeo - Documents\Planning Space Implementation\3. Analysis &amp; Design\Design\FC22\DRR Jaime\Neiva CPI\[VAO_DINA TERCIARIOS_CF_SEC_20230117.xlsx]CF PRBDP'!</v>
      </c>
      <c r="G1814" s="7" t="s">
        <v>104</v>
      </c>
      <c r="H1814" s="4"/>
      <c r="I1814" s="4"/>
      <c r="J1814" s="4"/>
    </row>
    <row r="1815" spans="1:10" x14ac:dyDescent="0.3">
      <c r="A1815" s="7" t="s">
        <v>17</v>
      </c>
      <c r="B1815" s="7">
        <f t="shared" si="420"/>
        <v>2050</v>
      </c>
      <c r="C1815" s="4" t="s">
        <v>46</v>
      </c>
      <c r="D1815" s="5" t="s">
        <v>131</v>
      </c>
      <c r="E1815" s="10" t="str">
        <f t="shared" si="418"/>
        <v>PRBDP'!</v>
      </c>
      <c r="F1815" s="5" t="str">
        <f t="shared" si="419"/>
        <v>C:\Users\jaime.benazar\Quorum Business Solutions\Ecopetrol Prometeo - Documents\Planning Space Implementation\3. Analysis &amp; Design\Design\FC22\DRR Jaime\Neiva CPI\[VAO_DINA TERCIARIOS_CF_SEC_20230117.xlsx]CF PRBDP'!</v>
      </c>
      <c r="G1815" s="7" t="s">
        <v>104</v>
      </c>
      <c r="H1815" s="4"/>
      <c r="I1815" s="4"/>
      <c r="J1815" s="4"/>
    </row>
    <row r="1816" spans="1:10" x14ac:dyDescent="0.3">
      <c r="A1816" s="7" t="s">
        <v>17</v>
      </c>
      <c r="B1816" s="7">
        <f t="shared" si="420"/>
        <v>2051</v>
      </c>
      <c r="C1816" s="4" t="s">
        <v>46</v>
      </c>
      <c r="D1816" s="5" t="s">
        <v>131</v>
      </c>
      <c r="E1816" s="10" t="str">
        <f t="shared" si="418"/>
        <v>PRBDP'!</v>
      </c>
      <c r="F1816" s="5" t="str">
        <f t="shared" si="419"/>
        <v>C:\Users\jaime.benazar\Quorum Business Solutions\Ecopetrol Prometeo - Documents\Planning Space Implementation\3. Analysis &amp; Design\Design\FC22\DRR Jaime\Neiva CPI\[VAO_DINA TERCIARIOS_CF_SEC_20230117.xlsx]CF PRBDP'!</v>
      </c>
      <c r="G1816" s="7" t="s">
        <v>104</v>
      </c>
      <c r="H1816" s="4"/>
      <c r="I1816" s="4"/>
      <c r="J1816" s="4"/>
    </row>
    <row r="1817" spans="1:10" x14ac:dyDescent="0.3">
      <c r="A1817" s="7" t="s">
        <v>17</v>
      </c>
      <c r="B1817" s="7">
        <f t="shared" si="420"/>
        <v>2052</v>
      </c>
      <c r="C1817" s="4" t="s">
        <v>46</v>
      </c>
      <c r="D1817" s="5" t="s">
        <v>131</v>
      </c>
      <c r="E1817" s="10" t="str">
        <f t="shared" si="418"/>
        <v>PRBDP'!</v>
      </c>
      <c r="F1817" s="5" t="str">
        <f t="shared" si="419"/>
        <v>C:\Users\jaime.benazar\Quorum Business Solutions\Ecopetrol Prometeo - Documents\Planning Space Implementation\3. Analysis &amp; Design\Design\FC22\DRR Jaime\Neiva CPI\[VAO_DINA TERCIARIOS_CF_SEC_20230117.xlsx]CF PRBDP'!</v>
      </c>
      <c r="G1817" s="7" t="s">
        <v>104</v>
      </c>
      <c r="H1817" s="4"/>
      <c r="I1817" s="4"/>
      <c r="J1817" s="4"/>
    </row>
    <row r="1818" spans="1:10" x14ac:dyDescent="0.3">
      <c r="A1818" s="7" t="s">
        <v>17</v>
      </c>
      <c r="B1818" s="7">
        <f t="shared" si="420"/>
        <v>2053</v>
      </c>
      <c r="C1818" s="4" t="s">
        <v>46</v>
      </c>
      <c r="D1818" s="5" t="s">
        <v>131</v>
      </c>
      <c r="E1818" s="10" t="str">
        <f t="shared" si="418"/>
        <v>PRBDP'!</v>
      </c>
      <c r="F1818" s="5" t="str">
        <f t="shared" si="419"/>
        <v>C:\Users\jaime.benazar\Quorum Business Solutions\Ecopetrol Prometeo - Documents\Planning Space Implementation\3. Analysis &amp; Design\Design\FC22\DRR Jaime\Neiva CPI\[VAO_DINA TERCIARIOS_CF_SEC_20230117.xlsx]CF PRBDP'!</v>
      </c>
      <c r="G1818" s="7" t="s">
        <v>104</v>
      </c>
      <c r="H1818" s="4"/>
      <c r="I1818" s="4"/>
      <c r="J1818" s="4"/>
    </row>
    <row r="1819" spans="1:10" x14ac:dyDescent="0.3">
      <c r="A1819" s="7" t="s">
        <v>17</v>
      </c>
      <c r="B1819" s="7">
        <f t="shared" si="420"/>
        <v>2054</v>
      </c>
      <c r="C1819" s="4" t="s">
        <v>46</v>
      </c>
      <c r="D1819" s="5" t="s">
        <v>131</v>
      </c>
      <c r="E1819" s="10" t="str">
        <f t="shared" si="418"/>
        <v>PRBDP'!</v>
      </c>
      <c r="F1819" s="5" t="str">
        <f t="shared" si="419"/>
        <v>C:\Users\jaime.benazar\Quorum Business Solutions\Ecopetrol Prometeo - Documents\Planning Space Implementation\3. Analysis &amp; Design\Design\FC22\DRR Jaime\Neiva CPI\[VAO_DINA TERCIARIOS_CF_SEC_20230117.xlsx]CF PRBDP'!</v>
      </c>
      <c r="G1819" s="7" t="s">
        <v>104</v>
      </c>
      <c r="H1819" s="4"/>
      <c r="I1819" s="4"/>
      <c r="J1819" s="4"/>
    </row>
    <row r="1820" spans="1:10" x14ac:dyDescent="0.3">
      <c r="A1820" s="7" t="s">
        <v>17</v>
      </c>
      <c r="B1820" s="7">
        <f t="shared" si="420"/>
        <v>2055</v>
      </c>
      <c r="C1820" s="4" t="s">
        <v>46</v>
      </c>
      <c r="D1820" s="5" t="s">
        <v>131</v>
      </c>
      <c r="E1820" s="10" t="str">
        <f t="shared" si="418"/>
        <v>PRBDP'!</v>
      </c>
      <c r="F1820" s="5" t="str">
        <f t="shared" si="419"/>
        <v>C:\Users\jaime.benazar\Quorum Business Solutions\Ecopetrol Prometeo - Documents\Planning Space Implementation\3. Analysis &amp; Design\Design\FC22\DRR Jaime\Neiva CPI\[VAO_DINA TERCIARIOS_CF_SEC_20230117.xlsx]CF PRBDP'!</v>
      </c>
      <c r="G1820" s="7" t="s">
        <v>104</v>
      </c>
      <c r="H1820" s="4"/>
      <c r="I1820" s="4"/>
      <c r="J1820" s="4"/>
    </row>
    <row r="1821" spans="1:10" x14ac:dyDescent="0.3">
      <c r="A1821" s="7" t="s">
        <v>17</v>
      </c>
      <c r="B1821" s="7">
        <f t="shared" si="420"/>
        <v>2056</v>
      </c>
      <c r="C1821" s="4" t="s">
        <v>46</v>
      </c>
      <c r="D1821" s="5" t="s">
        <v>131</v>
      </c>
      <c r="E1821" s="10" t="str">
        <f t="shared" si="418"/>
        <v>PRBDP'!</v>
      </c>
      <c r="F1821" s="5" t="str">
        <f t="shared" si="419"/>
        <v>C:\Users\jaime.benazar\Quorum Business Solutions\Ecopetrol Prometeo - Documents\Planning Space Implementation\3. Analysis &amp; Design\Design\FC22\DRR Jaime\Neiva CPI\[VAO_DINA TERCIARIOS_CF_SEC_20230117.xlsx]CF PRBDP'!</v>
      </c>
      <c r="G1821" s="7" t="s">
        <v>104</v>
      </c>
      <c r="H1821" s="4"/>
      <c r="I1821" s="4"/>
      <c r="J1821" s="4"/>
    </row>
    <row r="1822" spans="1:10" x14ac:dyDescent="0.3">
      <c r="A1822" s="7" t="s">
        <v>17</v>
      </c>
      <c r="B1822" s="7">
        <f t="shared" si="420"/>
        <v>2057</v>
      </c>
      <c r="C1822" s="4" t="s">
        <v>46</v>
      </c>
      <c r="D1822" s="5" t="s">
        <v>131</v>
      </c>
      <c r="E1822" s="10" t="str">
        <f t="shared" si="418"/>
        <v>PRBDP'!</v>
      </c>
      <c r="F1822" s="5" t="str">
        <f t="shared" si="419"/>
        <v>C:\Users\jaime.benazar\Quorum Business Solutions\Ecopetrol Prometeo - Documents\Planning Space Implementation\3. Analysis &amp; Design\Design\FC22\DRR Jaime\Neiva CPI\[VAO_DINA TERCIARIOS_CF_SEC_20230117.xlsx]CF PRBDP'!</v>
      </c>
      <c r="G1822" s="7" t="s">
        <v>104</v>
      </c>
      <c r="H1822" s="4"/>
      <c r="I1822" s="4"/>
      <c r="J1822" s="4"/>
    </row>
    <row r="1823" spans="1:10" x14ac:dyDescent="0.3">
      <c r="A1823" s="7" t="s">
        <v>17</v>
      </c>
      <c r="B1823" s="7">
        <f t="shared" si="420"/>
        <v>2058</v>
      </c>
      <c r="C1823" s="4" t="s">
        <v>46</v>
      </c>
      <c r="D1823" s="5" t="s">
        <v>131</v>
      </c>
      <c r="E1823" s="10" t="str">
        <f t="shared" si="418"/>
        <v>PRBDP'!</v>
      </c>
      <c r="F1823" s="5" t="str">
        <f t="shared" si="419"/>
        <v>C:\Users\jaime.benazar\Quorum Business Solutions\Ecopetrol Prometeo - Documents\Planning Space Implementation\3. Analysis &amp; Design\Design\FC22\DRR Jaime\Neiva CPI\[VAO_DINA TERCIARIOS_CF_SEC_20230117.xlsx]CF PRBDP'!</v>
      </c>
      <c r="G1823" s="7" t="s">
        <v>104</v>
      </c>
      <c r="H1823" s="4"/>
      <c r="I1823" s="4"/>
      <c r="J1823" s="4"/>
    </row>
    <row r="1824" spans="1:10" x14ac:dyDescent="0.3">
      <c r="A1824" s="7" t="s">
        <v>17</v>
      </c>
      <c r="B1824" s="7">
        <f t="shared" si="420"/>
        <v>2059</v>
      </c>
      <c r="C1824" s="4" t="s">
        <v>46</v>
      </c>
      <c r="D1824" s="5" t="s">
        <v>131</v>
      </c>
      <c r="E1824" s="10" t="str">
        <f t="shared" si="418"/>
        <v>PRBDP'!</v>
      </c>
      <c r="F1824" s="5" t="str">
        <f t="shared" si="419"/>
        <v>C:\Users\jaime.benazar\Quorum Business Solutions\Ecopetrol Prometeo - Documents\Planning Space Implementation\3. Analysis &amp; Design\Design\FC22\DRR Jaime\Neiva CPI\[VAO_DINA TERCIARIOS_CF_SEC_20230117.xlsx]CF PRBDP'!</v>
      </c>
      <c r="G1824" s="7" t="s">
        <v>104</v>
      </c>
      <c r="H1824" s="4"/>
      <c r="I1824" s="4"/>
      <c r="J1824" s="4"/>
    </row>
    <row r="1825" spans="1:10" x14ac:dyDescent="0.3">
      <c r="A1825" s="7" t="s">
        <v>26</v>
      </c>
      <c r="B1825" s="7"/>
      <c r="C1825" s="4" t="s">
        <v>46</v>
      </c>
      <c r="D1825" s="5"/>
      <c r="E1825" s="10"/>
      <c r="F1825" s="5"/>
      <c r="G1825" s="7"/>
      <c r="H1825" s="4"/>
      <c r="I1825" s="4"/>
      <c r="J1825" s="4"/>
    </row>
    <row r="1826" spans="1:10" x14ac:dyDescent="0.3">
      <c r="A1826" s="7" t="s">
        <v>18</v>
      </c>
      <c r="B1826" s="7">
        <v>2023</v>
      </c>
      <c r="C1826" s="4" t="s">
        <v>46</v>
      </c>
      <c r="D1826" s="5" t="s">
        <v>131</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Jaime\Neiva CPI\[VAO_DINA TERCIARIOS_CF_SEC_20230117.xlsx]CF PRBNP'!</v>
      </c>
      <c r="G1826" s="7" t="s">
        <v>104</v>
      </c>
      <c r="H1826" s="4"/>
      <c r="I1826" s="4"/>
      <c r="J1826" s="4"/>
    </row>
    <row r="1827" spans="1:10" x14ac:dyDescent="0.3">
      <c r="A1827" s="7" t="s">
        <v>18</v>
      </c>
      <c r="B1827" s="7">
        <f>+B1826+1</f>
        <v>2024</v>
      </c>
      <c r="C1827" s="4" t="s">
        <v>46</v>
      </c>
      <c r="D1827" s="5" t="s">
        <v>131</v>
      </c>
      <c r="E1827" s="10" t="str">
        <f t="shared" si="421"/>
        <v>PRBNP'!</v>
      </c>
      <c r="F1827" s="5" t="str">
        <f t="shared" si="422"/>
        <v>C:\Users\jaime.benazar\Quorum Business Solutions\Ecopetrol Prometeo - Documents\Planning Space Implementation\3. Analysis &amp; Design\Design\FC22\DRR Jaime\Neiva CPI\[VAO_DINA TERCIARIOS_CF_SEC_20230117.xlsx]CF PRBNP'!</v>
      </c>
      <c r="G1827" s="7" t="s">
        <v>104</v>
      </c>
      <c r="H1827" s="4"/>
      <c r="I1827" s="4"/>
      <c r="J1827" s="4"/>
    </row>
    <row r="1828" spans="1:10" x14ac:dyDescent="0.3">
      <c r="A1828" s="7" t="s">
        <v>18</v>
      </c>
      <c r="B1828" s="7">
        <f t="shared" ref="B1828:B1839" si="423">+B1827+1</f>
        <v>2025</v>
      </c>
      <c r="C1828" s="4" t="s">
        <v>46</v>
      </c>
      <c r="D1828" s="5" t="s">
        <v>131</v>
      </c>
      <c r="E1828" s="10" t="str">
        <f t="shared" si="421"/>
        <v>PRBNP'!</v>
      </c>
      <c r="F1828" s="5" t="str">
        <f t="shared" si="422"/>
        <v>C:\Users\jaime.benazar\Quorum Business Solutions\Ecopetrol Prometeo - Documents\Planning Space Implementation\3. Analysis &amp; Design\Design\FC22\DRR Jaime\Neiva CPI\[VAO_DINA TERCIARIOS_CF_SEC_20230117.xlsx]CF PRBNP'!</v>
      </c>
      <c r="G1828" s="7" t="s">
        <v>104</v>
      </c>
      <c r="H1828" s="4"/>
      <c r="I1828" s="4"/>
      <c r="J1828" s="4"/>
    </row>
    <row r="1829" spans="1:10" x14ac:dyDescent="0.3">
      <c r="A1829" s="7" t="s">
        <v>18</v>
      </c>
      <c r="B1829" s="7">
        <f t="shared" si="423"/>
        <v>2026</v>
      </c>
      <c r="C1829" s="4" t="s">
        <v>46</v>
      </c>
      <c r="D1829" s="5" t="s">
        <v>131</v>
      </c>
      <c r="E1829" s="10" t="str">
        <f t="shared" si="421"/>
        <v>PRBNP'!</v>
      </c>
      <c r="F1829" s="5" t="str">
        <f t="shared" si="422"/>
        <v>C:\Users\jaime.benazar\Quorum Business Solutions\Ecopetrol Prometeo - Documents\Planning Space Implementation\3. Analysis &amp; Design\Design\FC22\DRR Jaime\Neiva CPI\[VAO_DINA TERCIARIOS_CF_SEC_20230117.xlsx]CF PRBNP'!</v>
      </c>
      <c r="G1829" s="7" t="s">
        <v>104</v>
      </c>
      <c r="H1829" s="4"/>
      <c r="I1829" s="4"/>
      <c r="J1829" s="4"/>
    </row>
    <row r="1830" spans="1:10" x14ac:dyDescent="0.3">
      <c r="A1830" s="7" t="s">
        <v>18</v>
      </c>
      <c r="B1830" s="7">
        <f t="shared" si="423"/>
        <v>2027</v>
      </c>
      <c r="C1830" s="4" t="s">
        <v>46</v>
      </c>
      <c r="D1830" s="5" t="s">
        <v>131</v>
      </c>
      <c r="E1830" s="10" t="str">
        <f t="shared" si="421"/>
        <v>PRBNP'!</v>
      </c>
      <c r="F1830" s="5" t="str">
        <f t="shared" si="422"/>
        <v>C:\Users\jaime.benazar\Quorum Business Solutions\Ecopetrol Prometeo - Documents\Planning Space Implementation\3. Analysis &amp; Design\Design\FC22\DRR Jaime\Neiva CPI\[VAO_DINA TERCIARIOS_CF_SEC_20230117.xlsx]CF PRBNP'!</v>
      </c>
      <c r="G1830" s="7" t="s">
        <v>104</v>
      </c>
      <c r="H1830" s="4"/>
      <c r="I1830" s="4"/>
      <c r="J1830" s="4"/>
    </row>
    <row r="1831" spans="1:10" x14ac:dyDescent="0.3">
      <c r="A1831" s="7" t="s">
        <v>18</v>
      </c>
      <c r="B1831" s="7">
        <f t="shared" si="423"/>
        <v>2028</v>
      </c>
      <c r="C1831" s="4" t="s">
        <v>46</v>
      </c>
      <c r="D1831" s="5" t="s">
        <v>131</v>
      </c>
      <c r="E1831" s="10" t="str">
        <f t="shared" si="421"/>
        <v>PRBNP'!</v>
      </c>
      <c r="F1831" s="5" t="str">
        <f t="shared" si="422"/>
        <v>C:\Users\jaime.benazar\Quorum Business Solutions\Ecopetrol Prometeo - Documents\Planning Space Implementation\3. Analysis &amp; Design\Design\FC22\DRR Jaime\Neiva CPI\[VAO_DINA TERCIARIOS_CF_SEC_20230117.xlsx]CF PRBNP'!</v>
      </c>
      <c r="G1831" s="7" t="s">
        <v>104</v>
      </c>
      <c r="H1831" s="4"/>
      <c r="I1831" s="4"/>
      <c r="J1831" s="4"/>
    </row>
    <row r="1832" spans="1:10" x14ac:dyDescent="0.3">
      <c r="A1832" s="7" t="s">
        <v>18</v>
      </c>
      <c r="B1832" s="7">
        <f t="shared" si="423"/>
        <v>2029</v>
      </c>
      <c r="C1832" s="4" t="s">
        <v>46</v>
      </c>
      <c r="D1832" s="5" t="s">
        <v>131</v>
      </c>
      <c r="E1832" s="10" t="str">
        <f t="shared" si="421"/>
        <v>PRBNP'!</v>
      </c>
      <c r="F1832" s="5" t="str">
        <f t="shared" si="422"/>
        <v>C:\Users\jaime.benazar\Quorum Business Solutions\Ecopetrol Prometeo - Documents\Planning Space Implementation\3. Analysis &amp; Design\Design\FC22\DRR Jaime\Neiva CPI\[VAO_DINA TERCIARIOS_CF_SEC_20230117.xlsx]CF PRBNP'!</v>
      </c>
      <c r="G1832" s="7" t="s">
        <v>104</v>
      </c>
      <c r="H1832" s="4"/>
      <c r="I1832" s="4"/>
      <c r="J1832" s="4"/>
    </row>
    <row r="1833" spans="1:10" x14ac:dyDescent="0.3">
      <c r="A1833" s="7" t="s">
        <v>18</v>
      </c>
      <c r="B1833" s="7">
        <f t="shared" si="423"/>
        <v>2030</v>
      </c>
      <c r="C1833" s="4" t="s">
        <v>46</v>
      </c>
      <c r="D1833" s="5" t="s">
        <v>131</v>
      </c>
      <c r="E1833" s="10" t="str">
        <f t="shared" si="421"/>
        <v>PRBNP'!</v>
      </c>
      <c r="F1833" s="5" t="str">
        <f t="shared" si="422"/>
        <v>C:\Users\jaime.benazar\Quorum Business Solutions\Ecopetrol Prometeo - Documents\Planning Space Implementation\3. Analysis &amp; Design\Design\FC22\DRR Jaime\Neiva CPI\[VAO_DINA TERCIARIOS_CF_SEC_20230117.xlsx]CF PRBNP'!</v>
      </c>
      <c r="G1833" s="7" t="s">
        <v>104</v>
      </c>
      <c r="H1833" s="4"/>
      <c r="I1833" s="4"/>
      <c r="J1833" s="4"/>
    </row>
    <row r="1834" spans="1:10" x14ac:dyDescent="0.3">
      <c r="A1834" s="7" t="s">
        <v>18</v>
      </c>
      <c r="B1834" s="7">
        <f t="shared" si="423"/>
        <v>2031</v>
      </c>
      <c r="C1834" s="4" t="s">
        <v>46</v>
      </c>
      <c r="D1834" s="5" t="s">
        <v>131</v>
      </c>
      <c r="E1834" s="10" t="str">
        <f t="shared" si="421"/>
        <v>PRBNP'!</v>
      </c>
      <c r="F1834" s="5" t="str">
        <f t="shared" si="422"/>
        <v>C:\Users\jaime.benazar\Quorum Business Solutions\Ecopetrol Prometeo - Documents\Planning Space Implementation\3. Analysis &amp; Design\Design\FC22\DRR Jaime\Neiva CPI\[VAO_DINA TERCIARIOS_CF_SEC_20230117.xlsx]CF PRBNP'!</v>
      </c>
      <c r="G1834" s="7" t="s">
        <v>104</v>
      </c>
      <c r="H1834" s="4"/>
      <c r="I1834" s="4"/>
      <c r="J1834" s="4"/>
    </row>
    <row r="1835" spans="1:10" x14ac:dyDescent="0.3">
      <c r="A1835" s="7" t="s">
        <v>18</v>
      </c>
      <c r="B1835" s="7">
        <f t="shared" si="423"/>
        <v>2032</v>
      </c>
      <c r="C1835" s="4" t="s">
        <v>46</v>
      </c>
      <c r="D1835" s="5" t="s">
        <v>131</v>
      </c>
      <c r="E1835" s="10" t="str">
        <f t="shared" si="421"/>
        <v>PRBNP'!</v>
      </c>
      <c r="F1835" s="5" t="str">
        <f t="shared" si="422"/>
        <v>C:\Users\jaime.benazar\Quorum Business Solutions\Ecopetrol Prometeo - Documents\Planning Space Implementation\3. Analysis &amp; Design\Design\FC22\DRR Jaime\Neiva CPI\[VAO_DINA TERCIARIOS_CF_SEC_20230117.xlsx]CF PRBNP'!</v>
      </c>
      <c r="G1835" s="7" t="s">
        <v>104</v>
      </c>
      <c r="H1835" s="4"/>
      <c r="I1835" s="4"/>
      <c r="J1835" s="4"/>
    </row>
    <row r="1836" spans="1:10" x14ac:dyDescent="0.3">
      <c r="A1836" s="7" t="s">
        <v>18</v>
      </c>
      <c r="B1836" s="7">
        <f t="shared" si="423"/>
        <v>2033</v>
      </c>
      <c r="C1836" s="4" t="s">
        <v>46</v>
      </c>
      <c r="D1836" s="5" t="s">
        <v>131</v>
      </c>
      <c r="E1836" s="10" t="str">
        <f t="shared" si="421"/>
        <v>PRBNP'!</v>
      </c>
      <c r="F1836" s="5" t="str">
        <f t="shared" si="422"/>
        <v>C:\Users\jaime.benazar\Quorum Business Solutions\Ecopetrol Prometeo - Documents\Planning Space Implementation\3. Analysis &amp; Design\Design\FC22\DRR Jaime\Neiva CPI\[VAO_DINA TERCIARIOS_CF_SEC_20230117.xlsx]CF PRBNP'!</v>
      </c>
      <c r="G1836" s="7" t="s">
        <v>104</v>
      </c>
      <c r="H1836" s="4"/>
      <c r="I1836" s="4"/>
      <c r="J1836" s="4"/>
    </row>
    <row r="1837" spans="1:10" x14ac:dyDescent="0.3">
      <c r="A1837" s="7" t="s">
        <v>18</v>
      </c>
      <c r="B1837" s="7">
        <f t="shared" si="423"/>
        <v>2034</v>
      </c>
      <c r="C1837" s="4" t="s">
        <v>46</v>
      </c>
      <c r="D1837" s="5" t="s">
        <v>131</v>
      </c>
      <c r="E1837" s="10" t="str">
        <f t="shared" si="421"/>
        <v>PRBNP'!</v>
      </c>
      <c r="F1837" s="5" t="str">
        <f t="shared" si="422"/>
        <v>C:\Users\jaime.benazar\Quorum Business Solutions\Ecopetrol Prometeo - Documents\Planning Space Implementation\3. Analysis &amp; Design\Design\FC22\DRR Jaime\Neiva CPI\[VAO_DINA TERCIARIOS_CF_SEC_20230117.xlsx]CF PRBNP'!</v>
      </c>
      <c r="G1837" s="7" t="s">
        <v>104</v>
      </c>
      <c r="H1837" s="4"/>
      <c r="I1837" s="4"/>
      <c r="J1837" s="4"/>
    </row>
    <row r="1838" spans="1:10" x14ac:dyDescent="0.3">
      <c r="A1838" s="7" t="s">
        <v>18</v>
      </c>
      <c r="B1838" s="7">
        <f t="shared" si="423"/>
        <v>2035</v>
      </c>
      <c r="C1838" s="4" t="s">
        <v>46</v>
      </c>
      <c r="D1838" s="5" t="s">
        <v>131</v>
      </c>
      <c r="E1838" s="10" t="str">
        <f t="shared" si="421"/>
        <v>PRBNP'!</v>
      </c>
      <c r="F1838" s="5" t="str">
        <f t="shared" si="422"/>
        <v>C:\Users\jaime.benazar\Quorum Business Solutions\Ecopetrol Prometeo - Documents\Planning Space Implementation\3. Analysis &amp; Design\Design\FC22\DRR Jaime\Neiva CPI\[VAO_DINA TERCIARIOS_CF_SEC_20230117.xlsx]CF PRBNP'!</v>
      </c>
      <c r="G1838" s="7" t="s">
        <v>104</v>
      </c>
      <c r="H1838" s="4"/>
      <c r="I1838" s="4"/>
      <c r="J1838" s="4"/>
    </row>
    <row r="1839" spans="1:10" x14ac:dyDescent="0.3">
      <c r="A1839" s="7" t="s">
        <v>18</v>
      </c>
      <c r="B1839" s="7">
        <f t="shared" si="423"/>
        <v>2036</v>
      </c>
      <c r="C1839" s="4" t="s">
        <v>46</v>
      </c>
      <c r="D1839" s="5" t="s">
        <v>131</v>
      </c>
      <c r="E1839" s="10" t="str">
        <f t="shared" si="421"/>
        <v>PRBNP'!</v>
      </c>
      <c r="F1839" s="5" t="str">
        <f t="shared" si="422"/>
        <v>C:\Users\jaime.benazar\Quorum Business Solutions\Ecopetrol Prometeo - Documents\Planning Space Implementation\3. Analysis &amp; Design\Design\FC22\DRR Jaime\Neiva CPI\[VAO_DINA TERCIARIOS_CF_SEC_20230117.xlsx]CF PRBNP'!</v>
      </c>
      <c r="G1839" s="7" t="s">
        <v>104</v>
      </c>
      <c r="H1839" s="4"/>
      <c r="I1839" s="4"/>
      <c r="J1839" s="4"/>
    </row>
    <row r="1840" spans="1:10" x14ac:dyDescent="0.3">
      <c r="A1840" s="7" t="s">
        <v>18</v>
      </c>
      <c r="B1840" s="7">
        <f>+B1839+1</f>
        <v>2037</v>
      </c>
      <c r="C1840" s="4" t="s">
        <v>46</v>
      </c>
      <c r="D1840" s="5" t="s">
        <v>131</v>
      </c>
      <c r="E1840" s="10" t="str">
        <f t="shared" si="421"/>
        <v>PRBNP'!</v>
      </c>
      <c r="F1840" s="5" t="str">
        <f t="shared" si="422"/>
        <v>C:\Users\jaime.benazar\Quorum Business Solutions\Ecopetrol Prometeo - Documents\Planning Space Implementation\3. Analysis &amp; Design\Design\FC22\DRR Jaime\Neiva CPI\[VAO_DINA TERCIARIOS_CF_SEC_20230117.xlsx]CF PRBNP'!</v>
      </c>
      <c r="G1840" s="7" t="s">
        <v>104</v>
      </c>
      <c r="H1840" s="4"/>
      <c r="I1840" s="4"/>
      <c r="J1840" s="4"/>
    </row>
    <row r="1841" spans="1:10" x14ac:dyDescent="0.3">
      <c r="A1841" s="7" t="s">
        <v>18</v>
      </c>
      <c r="B1841" s="7">
        <f t="shared" ref="B1841:B1843" si="424">+B1840+1</f>
        <v>2038</v>
      </c>
      <c r="C1841" s="4" t="s">
        <v>46</v>
      </c>
      <c r="D1841" s="5" t="s">
        <v>131</v>
      </c>
      <c r="E1841" s="10" t="str">
        <f t="shared" si="421"/>
        <v>PRBNP'!</v>
      </c>
      <c r="F1841" s="5" t="str">
        <f t="shared" si="422"/>
        <v>C:\Users\jaime.benazar\Quorum Business Solutions\Ecopetrol Prometeo - Documents\Planning Space Implementation\3. Analysis &amp; Design\Design\FC22\DRR Jaime\Neiva CPI\[VAO_DINA TERCIARIOS_CF_SEC_20230117.xlsx]CF PRBNP'!</v>
      </c>
      <c r="G1841" s="7" t="s">
        <v>104</v>
      </c>
      <c r="H1841" s="4"/>
      <c r="I1841" s="4"/>
      <c r="J1841" s="4"/>
    </row>
    <row r="1842" spans="1:10" x14ac:dyDescent="0.3">
      <c r="A1842" s="7" t="s">
        <v>18</v>
      </c>
      <c r="B1842" s="7">
        <f t="shared" si="424"/>
        <v>2039</v>
      </c>
      <c r="C1842" s="4" t="s">
        <v>46</v>
      </c>
      <c r="D1842" s="5" t="s">
        <v>131</v>
      </c>
      <c r="E1842" s="10" t="str">
        <f t="shared" si="421"/>
        <v>PRBNP'!</v>
      </c>
      <c r="F1842" s="5" t="str">
        <f t="shared" si="422"/>
        <v>C:\Users\jaime.benazar\Quorum Business Solutions\Ecopetrol Prometeo - Documents\Planning Space Implementation\3. Analysis &amp; Design\Design\FC22\DRR Jaime\Neiva CPI\[VAO_DINA TERCIARIOS_CF_SEC_20230117.xlsx]CF PRBNP'!</v>
      </c>
      <c r="G1842" s="7" t="s">
        <v>104</v>
      </c>
      <c r="H1842" s="4"/>
      <c r="I1842" s="4"/>
      <c r="J1842" s="4"/>
    </row>
    <row r="1843" spans="1:10" x14ac:dyDescent="0.3">
      <c r="A1843" s="7" t="s">
        <v>18</v>
      </c>
      <c r="B1843" s="7">
        <f t="shared" si="424"/>
        <v>2040</v>
      </c>
      <c r="C1843" s="4" t="s">
        <v>46</v>
      </c>
      <c r="D1843" s="5" t="s">
        <v>131</v>
      </c>
      <c r="E1843" s="10" t="str">
        <f t="shared" si="421"/>
        <v>PRBNP'!</v>
      </c>
      <c r="F1843" s="5" t="str">
        <f t="shared" si="422"/>
        <v>C:\Users\jaime.benazar\Quorum Business Solutions\Ecopetrol Prometeo - Documents\Planning Space Implementation\3. Analysis &amp; Design\Design\FC22\DRR Jaime\Neiva CPI\[VAO_DINA TERCIARIOS_CF_SEC_20230117.xlsx]CF PRBNP'!</v>
      </c>
      <c r="G1843" s="7" t="s">
        <v>104</v>
      </c>
      <c r="H1843" s="4"/>
      <c r="I1843" s="4"/>
      <c r="J1843" s="4"/>
    </row>
    <row r="1844" spans="1:10" x14ac:dyDescent="0.3">
      <c r="A1844" s="7" t="s">
        <v>18</v>
      </c>
      <c r="B1844" s="7">
        <f>+B1843+1</f>
        <v>2041</v>
      </c>
      <c r="C1844" s="4" t="s">
        <v>46</v>
      </c>
      <c r="D1844" s="5" t="s">
        <v>131</v>
      </c>
      <c r="E1844" s="10" t="str">
        <f t="shared" si="421"/>
        <v>PRBNP'!</v>
      </c>
      <c r="F1844" s="5" t="str">
        <f t="shared" si="422"/>
        <v>C:\Users\jaime.benazar\Quorum Business Solutions\Ecopetrol Prometeo - Documents\Planning Space Implementation\3. Analysis &amp; Design\Design\FC22\DRR Jaime\Neiva CPI\[VAO_DINA TERCIARIOS_CF_SEC_20230117.xlsx]CF PRBNP'!</v>
      </c>
      <c r="G1844" s="7" t="s">
        <v>104</v>
      </c>
      <c r="H1844" s="4"/>
      <c r="I1844" s="4"/>
      <c r="J1844" s="4"/>
    </row>
    <row r="1845" spans="1:10" x14ac:dyDescent="0.3">
      <c r="A1845" s="7" t="s">
        <v>18</v>
      </c>
      <c r="B1845" s="7">
        <f t="shared" ref="B1845:B1846" si="425">+B1844+1</f>
        <v>2042</v>
      </c>
      <c r="C1845" s="4" t="s">
        <v>46</v>
      </c>
      <c r="D1845" s="5" t="s">
        <v>131</v>
      </c>
      <c r="E1845" s="10" t="str">
        <f t="shared" si="421"/>
        <v>PRBNP'!</v>
      </c>
      <c r="F1845" s="5" t="str">
        <f t="shared" si="422"/>
        <v>C:\Users\jaime.benazar\Quorum Business Solutions\Ecopetrol Prometeo - Documents\Planning Space Implementation\3. Analysis &amp; Design\Design\FC22\DRR Jaime\Neiva CPI\[VAO_DINA TERCIARIOS_CF_SEC_20230117.xlsx]CF PRBNP'!</v>
      </c>
      <c r="G1845" s="7" t="s">
        <v>104</v>
      </c>
      <c r="H1845" s="4"/>
      <c r="I1845" s="4"/>
      <c r="J1845" s="4"/>
    </row>
    <row r="1846" spans="1:10" x14ac:dyDescent="0.3">
      <c r="A1846" s="7" t="s">
        <v>18</v>
      </c>
      <c r="B1846" s="7">
        <f t="shared" si="425"/>
        <v>2043</v>
      </c>
      <c r="C1846" s="4" t="s">
        <v>46</v>
      </c>
      <c r="D1846" s="5" t="s">
        <v>131</v>
      </c>
      <c r="E1846" s="10" t="str">
        <f t="shared" si="421"/>
        <v>PRBNP'!</v>
      </c>
      <c r="F1846" s="5" t="str">
        <f t="shared" si="422"/>
        <v>C:\Users\jaime.benazar\Quorum Business Solutions\Ecopetrol Prometeo - Documents\Planning Space Implementation\3. Analysis &amp; Design\Design\FC22\DRR Jaime\Neiva CPI\[VAO_DINA TERCIARIOS_CF_SEC_20230117.xlsx]CF PRBNP'!</v>
      </c>
      <c r="G1846" s="7" t="s">
        <v>104</v>
      </c>
      <c r="H1846" s="4"/>
      <c r="I1846" s="4"/>
      <c r="J1846" s="4"/>
    </row>
    <row r="1847" spans="1:10" x14ac:dyDescent="0.3">
      <c r="A1847" s="7" t="s">
        <v>18</v>
      </c>
      <c r="B1847" s="7">
        <f>+B1846+1</f>
        <v>2044</v>
      </c>
      <c r="C1847" s="4" t="s">
        <v>46</v>
      </c>
      <c r="D1847" s="5" t="s">
        <v>131</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Jaime\Neiva CPI\[VAO_DINA TERCIARIOS_CF_SEC_20230117.xlsx]CF PRBNP'!</v>
      </c>
      <c r="G1847" s="7" t="s">
        <v>104</v>
      </c>
      <c r="H1847" s="4"/>
      <c r="I1847" s="4"/>
      <c r="J1847" s="4"/>
    </row>
    <row r="1848" spans="1:10" x14ac:dyDescent="0.3">
      <c r="A1848" s="7" t="s">
        <v>18</v>
      </c>
      <c r="B1848" s="7">
        <f t="shared" ref="B1848:B1862" si="428">+B1847+1</f>
        <v>2045</v>
      </c>
      <c r="C1848" s="4" t="s">
        <v>46</v>
      </c>
      <c r="D1848" s="5" t="s">
        <v>131</v>
      </c>
      <c r="E1848" s="10" t="str">
        <f t="shared" si="426"/>
        <v>PRBNP'!</v>
      </c>
      <c r="F1848" s="5" t="str">
        <f t="shared" si="427"/>
        <v>C:\Users\jaime.benazar\Quorum Business Solutions\Ecopetrol Prometeo - Documents\Planning Space Implementation\3. Analysis &amp; Design\Design\FC22\DRR Jaime\Neiva CPI\[VAO_DINA TERCIARIOS_CF_SEC_20230117.xlsx]CF PRBNP'!</v>
      </c>
      <c r="G1848" s="7" t="s">
        <v>104</v>
      </c>
      <c r="H1848" s="4"/>
      <c r="I1848" s="4"/>
      <c r="J1848" s="4"/>
    </row>
    <row r="1849" spans="1:10" x14ac:dyDescent="0.3">
      <c r="A1849" s="7" t="s">
        <v>18</v>
      </c>
      <c r="B1849" s="7">
        <f t="shared" si="428"/>
        <v>2046</v>
      </c>
      <c r="C1849" s="4" t="s">
        <v>46</v>
      </c>
      <c r="D1849" s="5" t="s">
        <v>131</v>
      </c>
      <c r="E1849" s="10" t="str">
        <f t="shared" si="426"/>
        <v>PRBNP'!</v>
      </c>
      <c r="F1849" s="5" t="str">
        <f t="shared" si="427"/>
        <v>C:\Users\jaime.benazar\Quorum Business Solutions\Ecopetrol Prometeo - Documents\Planning Space Implementation\3. Analysis &amp; Design\Design\FC22\DRR Jaime\Neiva CPI\[VAO_DINA TERCIARIOS_CF_SEC_20230117.xlsx]CF PRBNP'!</v>
      </c>
      <c r="G1849" s="7" t="s">
        <v>104</v>
      </c>
      <c r="H1849" s="4"/>
      <c r="I1849" s="4"/>
      <c r="J1849" s="4"/>
    </row>
    <row r="1850" spans="1:10" x14ac:dyDescent="0.3">
      <c r="A1850" s="7" t="s">
        <v>18</v>
      </c>
      <c r="B1850" s="7">
        <f t="shared" si="428"/>
        <v>2047</v>
      </c>
      <c r="C1850" s="4" t="s">
        <v>46</v>
      </c>
      <c r="D1850" s="5" t="s">
        <v>131</v>
      </c>
      <c r="E1850" s="10" t="str">
        <f t="shared" si="426"/>
        <v>PRBNP'!</v>
      </c>
      <c r="F1850" s="5" t="str">
        <f t="shared" si="427"/>
        <v>C:\Users\jaime.benazar\Quorum Business Solutions\Ecopetrol Prometeo - Documents\Planning Space Implementation\3. Analysis &amp; Design\Design\FC22\DRR Jaime\Neiva CPI\[VAO_DINA TERCIARIOS_CF_SEC_20230117.xlsx]CF PRBNP'!</v>
      </c>
      <c r="G1850" s="7" t="s">
        <v>104</v>
      </c>
      <c r="H1850" s="4"/>
      <c r="I1850" s="4"/>
      <c r="J1850" s="4"/>
    </row>
    <row r="1851" spans="1:10" x14ac:dyDescent="0.3">
      <c r="A1851" s="7" t="s">
        <v>18</v>
      </c>
      <c r="B1851" s="7">
        <f t="shared" si="428"/>
        <v>2048</v>
      </c>
      <c r="C1851" s="4" t="s">
        <v>46</v>
      </c>
      <c r="D1851" s="5" t="s">
        <v>131</v>
      </c>
      <c r="E1851" s="10" t="str">
        <f t="shared" si="426"/>
        <v>PRBNP'!</v>
      </c>
      <c r="F1851" s="5" t="str">
        <f t="shared" si="427"/>
        <v>C:\Users\jaime.benazar\Quorum Business Solutions\Ecopetrol Prometeo - Documents\Planning Space Implementation\3. Analysis &amp; Design\Design\FC22\DRR Jaime\Neiva CPI\[VAO_DINA TERCIARIOS_CF_SEC_20230117.xlsx]CF PRBNP'!</v>
      </c>
      <c r="G1851" s="7" t="s">
        <v>104</v>
      </c>
      <c r="H1851" s="4"/>
      <c r="I1851" s="4"/>
      <c r="J1851" s="4"/>
    </row>
    <row r="1852" spans="1:10" x14ac:dyDescent="0.3">
      <c r="A1852" s="7" t="s">
        <v>18</v>
      </c>
      <c r="B1852" s="7">
        <f t="shared" si="428"/>
        <v>2049</v>
      </c>
      <c r="C1852" s="4" t="s">
        <v>46</v>
      </c>
      <c r="D1852" s="5" t="s">
        <v>131</v>
      </c>
      <c r="E1852" s="10" t="str">
        <f t="shared" si="426"/>
        <v>PRBNP'!</v>
      </c>
      <c r="F1852" s="5" t="str">
        <f t="shared" si="427"/>
        <v>C:\Users\jaime.benazar\Quorum Business Solutions\Ecopetrol Prometeo - Documents\Planning Space Implementation\3. Analysis &amp; Design\Design\FC22\DRR Jaime\Neiva CPI\[VAO_DINA TERCIARIOS_CF_SEC_20230117.xlsx]CF PRBNP'!</v>
      </c>
      <c r="G1852" s="7" t="s">
        <v>104</v>
      </c>
      <c r="H1852" s="4"/>
      <c r="I1852" s="4"/>
      <c r="J1852" s="4"/>
    </row>
    <row r="1853" spans="1:10" x14ac:dyDescent="0.3">
      <c r="A1853" s="7" t="s">
        <v>18</v>
      </c>
      <c r="B1853" s="7">
        <f t="shared" si="428"/>
        <v>2050</v>
      </c>
      <c r="C1853" s="4" t="s">
        <v>46</v>
      </c>
      <c r="D1853" s="5" t="s">
        <v>131</v>
      </c>
      <c r="E1853" s="10" t="str">
        <f t="shared" si="426"/>
        <v>PRBNP'!</v>
      </c>
      <c r="F1853" s="5" t="str">
        <f t="shared" si="427"/>
        <v>C:\Users\jaime.benazar\Quorum Business Solutions\Ecopetrol Prometeo - Documents\Planning Space Implementation\3. Analysis &amp; Design\Design\FC22\DRR Jaime\Neiva CPI\[VAO_DINA TERCIARIOS_CF_SEC_20230117.xlsx]CF PRBNP'!</v>
      </c>
      <c r="G1853" s="7" t="s">
        <v>104</v>
      </c>
      <c r="H1853" s="4"/>
      <c r="I1853" s="4"/>
      <c r="J1853" s="4"/>
    </row>
    <row r="1854" spans="1:10" x14ac:dyDescent="0.3">
      <c r="A1854" s="7" t="s">
        <v>18</v>
      </c>
      <c r="B1854" s="7">
        <f t="shared" si="428"/>
        <v>2051</v>
      </c>
      <c r="C1854" s="4" t="s">
        <v>46</v>
      </c>
      <c r="D1854" s="5" t="s">
        <v>131</v>
      </c>
      <c r="E1854" s="10" t="str">
        <f t="shared" si="426"/>
        <v>PRBNP'!</v>
      </c>
      <c r="F1854" s="5" t="str">
        <f t="shared" si="427"/>
        <v>C:\Users\jaime.benazar\Quorum Business Solutions\Ecopetrol Prometeo - Documents\Planning Space Implementation\3. Analysis &amp; Design\Design\FC22\DRR Jaime\Neiva CPI\[VAO_DINA TERCIARIOS_CF_SEC_20230117.xlsx]CF PRBNP'!</v>
      </c>
      <c r="G1854" s="7" t="s">
        <v>104</v>
      </c>
      <c r="H1854" s="4"/>
      <c r="I1854" s="4"/>
      <c r="J1854" s="4"/>
    </row>
    <row r="1855" spans="1:10" x14ac:dyDescent="0.3">
      <c r="A1855" s="7" t="s">
        <v>18</v>
      </c>
      <c r="B1855" s="7">
        <f t="shared" si="428"/>
        <v>2052</v>
      </c>
      <c r="C1855" s="4" t="s">
        <v>46</v>
      </c>
      <c r="D1855" s="5" t="s">
        <v>131</v>
      </c>
      <c r="E1855" s="10" t="str">
        <f t="shared" si="426"/>
        <v>PRBNP'!</v>
      </c>
      <c r="F1855" s="5" t="str">
        <f t="shared" si="427"/>
        <v>C:\Users\jaime.benazar\Quorum Business Solutions\Ecopetrol Prometeo - Documents\Planning Space Implementation\3. Analysis &amp; Design\Design\FC22\DRR Jaime\Neiva CPI\[VAO_DINA TERCIARIOS_CF_SEC_20230117.xlsx]CF PRBNP'!</v>
      </c>
      <c r="G1855" s="7" t="s">
        <v>104</v>
      </c>
      <c r="H1855" s="4"/>
      <c r="I1855" s="4"/>
      <c r="J1855" s="4"/>
    </row>
    <row r="1856" spans="1:10" x14ac:dyDescent="0.3">
      <c r="A1856" s="7" t="s">
        <v>18</v>
      </c>
      <c r="B1856" s="7">
        <f t="shared" si="428"/>
        <v>2053</v>
      </c>
      <c r="C1856" s="4" t="s">
        <v>46</v>
      </c>
      <c r="D1856" s="5" t="s">
        <v>131</v>
      </c>
      <c r="E1856" s="10" t="str">
        <f t="shared" si="426"/>
        <v>PRBNP'!</v>
      </c>
      <c r="F1856" s="5" t="str">
        <f t="shared" si="427"/>
        <v>C:\Users\jaime.benazar\Quorum Business Solutions\Ecopetrol Prometeo - Documents\Planning Space Implementation\3. Analysis &amp; Design\Design\FC22\DRR Jaime\Neiva CPI\[VAO_DINA TERCIARIOS_CF_SEC_20230117.xlsx]CF PRBNP'!</v>
      </c>
      <c r="G1856" s="7" t="s">
        <v>104</v>
      </c>
      <c r="H1856" s="4"/>
      <c r="I1856" s="4"/>
      <c r="J1856" s="4"/>
    </row>
    <row r="1857" spans="1:10" x14ac:dyDescent="0.3">
      <c r="A1857" s="7" t="s">
        <v>18</v>
      </c>
      <c r="B1857" s="7">
        <f t="shared" si="428"/>
        <v>2054</v>
      </c>
      <c r="C1857" s="4" t="s">
        <v>46</v>
      </c>
      <c r="D1857" s="5" t="s">
        <v>131</v>
      </c>
      <c r="E1857" s="10" t="str">
        <f t="shared" si="426"/>
        <v>PRBNP'!</v>
      </c>
      <c r="F1857" s="5" t="str">
        <f t="shared" si="427"/>
        <v>C:\Users\jaime.benazar\Quorum Business Solutions\Ecopetrol Prometeo - Documents\Planning Space Implementation\3. Analysis &amp; Design\Design\FC22\DRR Jaime\Neiva CPI\[VAO_DINA TERCIARIOS_CF_SEC_20230117.xlsx]CF PRBNP'!</v>
      </c>
      <c r="G1857" s="7" t="s">
        <v>104</v>
      </c>
      <c r="H1857" s="4"/>
      <c r="I1857" s="4"/>
      <c r="J1857" s="4"/>
    </row>
    <row r="1858" spans="1:10" x14ac:dyDescent="0.3">
      <c r="A1858" s="7" t="s">
        <v>18</v>
      </c>
      <c r="B1858" s="7">
        <f t="shared" si="428"/>
        <v>2055</v>
      </c>
      <c r="C1858" s="4" t="s">
        <v>46</v>
      </c>
      <c r="D1858" s="5" t="s">
        <v>131</v>
      </c>
      <c r="E1858" s="10" t="str">
        <f t="shared" si="426"/>
        <v>PRBNP'!</v>
      </c>
      <c r="F1858" s="5" t="str">
        <f t="shared" si="427"/>
        <v>C:\Users\jaime.benazar\Quorum Business Solutions\Ecopetrol Prometeo - Documents\Planning Space Implementation\3. Analysis &amp; Design\Design\FC22\DRR Jaime\Neiva CPI\[VAO_DINA TERCIARIOS_CF_SEC_20230117.xlsx]CF PRBNP'!</v>
      </c>
      <c r="G1858" s="7" t="s">
        <v>104</v>
      </c>
      <c r="H1858" s="4"/>
      <c r="I1858" s="4"/>
      <c r="J1858" s="4"/>
    </row>
    <row r="1859" spans="1:10" x14ac:dyDescent="0.3">
      <c r="A1859" s="7" t="s">
        <v>18</v>
      </c>
      <c r="B1859" s="7">
        <f t="shared" si="428"/>
        <v>2056</v>
      </c>
      <c r="C1859" s="4" t="s">
        <v>46</v>
      </c>
      <c r="D1859" s="5" t="s">
        <v>131</v>
      </c>
      <c r="E1859" s="10" t="str">
        <f t="shared" si="426"/>
        <v>PRBNP'!</v>
      </c>
      <c r="F1859" s="5" t="str">
        <f t="shared" si="427"/>
        <v>C:\Users\jaime.benazar\Quorum Business Solutions\Ecopetrol Prometeo - Documents\Planning Space Implementation\3. Analysis &amp; Design\Design\FC22\DRR Jaime\Neiva CPI\[VAO_DINA TERCIARIOS_CF_SEC_20230117.xlsx]CF PRBNP'!</v>
      </c>
      <c r="G1859" s="7" t="s">
        <v>104</v>
      </c>
      <c r="H1859" s="4"/>
      <c r="I1859" s="4"/>
      <c r="J1859" s="4"/>
    </row>
    <row r="1860" spans="1:10" x14ac:dyDescent="0.3">
      <c r="A1860" s="7" t="s">
        <v>18</v>
      </c>
      <c r="B1860" s="7">
        <f t="shared" si="428"/>
        <v>2057</v>
      </c>
      <c r="C1860" s="4" t="s">
        <v>46</v>
      </c>
      <c r="D1860" s="5" t="s">
        <v>131</v>
      </c>
      <c r="E1860" s="10" t="str">
        <f t="shared" si="426"/>
        <v>PRBNP'!</v>
      </c>
      <c r="F1860" s="5" t="str">
        <f t="shared" si="427"/>
        <v>C:\Users\jaime.benazar\Quorum Business Solutions\Ecopetrol Prometeo - Documents\Planning Space Implementation\3. Analysis &amp; Design\Design\FC22\DRR Jaime\Neiva CPI\[VAO_DINA TERCIARIOS_CF_SEC_20230117.xlsx]CF PRBNP'!</v>
      </c>
      <c r="G1860" s="7" t="s">
        <v>104</v>
      </c>
      <c r="H1860" s="4"/>
      <c r="I1860" s="4"/>
      <c r="J1860" s="4"/>
    </row>
    <row r="1861" spans="1:10" x14ac:dyDescent="0.3">
      <c r="A1861" s="7" t="s">
        <v>18</v>
      </c>
      <c r="B1861" s="7">
        <f t="shared" si="428"/>
        <v>2058</v>
      </c>
      <c r="C1861" s="4" t="s">
        <v>46</v>
      </c>
      <c r="D1861" s="5" t="s">
        <v>131</v>
      </c>
      <c r="E1861" s="10" t="str">
        <f t="shared" si="426"/>
        <v>PRBNP'!</v>
      </c>
      <c r="F1861" s="5" t="str">
        <f t="shared" si="427"/>
        <v>C:\Users\jaime.benazar\Quorum Business Solutions\Ecopetrol Prometeo - Documents\Planning Space Implementation\3. Analysis &amp; Design\Design\FC22\DRR Jaime\Neiva CPI\[VAO_DINA TERCIARIOS_CF_SEC_20230117.xlsx]CF PRBNP'!</v>
      </c>
      <c r="G1861" s="7" t="s">
        <v>104</v>
      </c>
      <c r="H1861" s="4"/>
      <c r="I1861" s="4"/>
      <c r="J1861" s="4"/>
    </row>
    <row r="1862" spans="1:10" x14ac:dyDescent="0.3">
      <c r="A1862" s="7" t="s">
        <v>18</v>
      </c>
      <c r="B1862" s="7">
        <f t="shared" si="428"/>
        <v>2059</v>
      </c>
      <c r="C1862" s="4" t="s">
        <v>46</v>
      </c>
      <c r="D1862" s="5" t="s">
        <v>131</v>
      </c>
      <c r="E1862" s="10" t="str">
        <f t="shared" si="426"/>
        <v>PRBNP'!</v>
      </c>
      <c r="F1862" s="5" t="str">
        <f t="shared" si="427"/>
        <v>C:\Users\jaime.benazar\Quorum Business Solutions\Ecopetrol Prometeo - Documents\Planning Space Implementation\3. Analysis &amp; Design\Design\FC22\DRR Jaime\Neiva CPI\[VAO_DINA TERCIARIOS_CF_SEC_20230117.xlsx]CF PRBNP'!</v>
      </c>
      <c r="G1862" s="7" t="s">
        <v>104</v>
      </c>
      <c r="H1862" s="4"/>
      <c r="I1862" s="4"/>
      <c r="J1862" s="4"/>
    </row>
    <row r="1863" spans="1:10" x14ac:dyDescent="0.3">
      <c r="A1863" s="7" t="s">
        <v>26</v>
      </c>
      <c r="B1863" s="7"/>
      <c r="C1863" s="4" t="s">
        <v>46</v>
      </c>
      <c r="D1863" s="5"/>
      <c r="E1863" s="10"/>
      <c r="F1863" s="5"/>
      <c r="G1863" s="7"/>
      <c r="H1863" s="4"/>
      <c r="I1863" s="4"/>
      <c r="J1863" s="4"/>
    </row>
    <row r="1864" spans="1:10" x14ac:dyDescent="0.3">
      <c r="A1864" s="7" t="s">
        <v>19</v>
      </c>
      <c r="B1864" s="7">
        <v>2023</v>
      </c>
      <c r="C1864" s="4" t="s">
        <v>46</v>
      </c>
      <c r="D1864" s="5" t="s">
        <v>131</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Jaime\Neiva CPI\[VAO_DINA TERCIARIOS_CF_SEC_20230117.xlsx]CF PRBND'!</v>
      </c>
      <c r="G1864" s="7" t="s">
        <v>104</v>
      </c>
      <c r="H1864" s="4"/>
      <c r="I1864" s="4"/>
      <c r="J1864" s="4"/>
    </row>
    <row r="1865" spans="1:10" x14ac:dyDescent="0.3">
      <c r="A1865" s="7" t="s">
        <v>19</v>
      </c>
      <c r="B1865" s="7">
        <f>+B1864+1</f>
        <v>2024</v>
      </c>
      <c r="C1865" s="4" t="s">
        <v>46</v>
      </c>
      <c r="D1865" s="5" t="s">
        <v>131</v>
      </c>
      <c r="E1865" s="10" t="str">
        <f t="shared" si="429"/>
        <v>PRBND'!</v>
      </c>
      <c r="F1865" s="5" t="str">
        <f t="shared" si="430"/>
        <v>C:\Users\jaime.benazar\Quorum Business Solutions\Ecopetrol Prometeo - Documents\Planning Space Implementation\3. Analysis &amp; Design\Design\FC22\DRR Jaime\Neiva CPI\[VAO_DINA TERCIARIOS_CF_SEC_20230117.xlsx]CF PRBND'!</v>
      </c>
      <c r="G1865" s="7" t="s">
        <v>104</v>
      </c>
      <c r="H1865" s="4"/>
      <c r="I1865" s="4"/>
      <c r="J1865" s="4"/>
    </row>
    <row r="1866" spans="1:10" x14ac:dyDescent="0.3">
      <c r="A1866" s="7" t="s">
        <v>19</v>
      </c>
      <c r="B1866" s="7">
        <f t="shared" ref="B1866:B1877" si="431">+B1865+1</f>
        <v>2025</v>
      </c>
      <c r="C1866" s="4" t="s">
        <v>46</v>
      </c>
      <c r="D1866" s="5" t="s">
        <v>131</v>
      </c>
      <c r="E1866" s="10" t="str">
        <f t="shared" si="429"/>
        <v>PRBND'!</v>
      </c>
      <c r="F1866" s="5" t="str">
        <f t="shared" si="430"/>
        <v>C:\Users\jaime.benazar\Quorum Business Solutions\Ecopetrol Prometeo - Documents\Planning Space Implementation\3. Analysis &amp; Design\Design\FC22\DRR Jaime\Neiva CPI\[VAO_DINA TERCIARIOS_CF_SEC_20230117.xlsx]CF PRBND'!</v>
      </c>
      <c r="G1866" s="7" t="s">
        <v>104</v>
      </c>
      <c r="H1866" s="4"/>
      <c r="I1866" s="4"/>
      <c r="J1866" s="4"/>
    </row>
    <row r="1867" spans="1:10" x14ac:dyDescent="0.3">
      <c r="A1867" s="7" t="s">
        <v>19</v>
      </c>
      <c r="B1867" s="7">
        <f t="shared" si="431"/>
        <v>2026</v>
      </c>
      <c r="C1867" s="4" t="s">
        <v>46</v>
      </c>
      <c r="D1867" s="5" t="s">
        <v>131</v>
      </c>
      <c r="E1867" s="10" t="str">
        <f t="shared" si="429"/>
        <v>PRBND'!</v>
      </c>
      <c r="F1867" s="5" t="str">
        <f t="shared" si="430"/>
        <v>C:\Users\jaime.benazar\Quorum Business Solutions\Ecopetrol Prometeo - Documents\Planning Space Implementation\3. Analysis &amp; Design\Design\FC22\DRR Jaime\Neiva CPI\[VAO_DINA TERCIARIOS_CF_SEC_20230117.xlsx]CF PRBND'!</v>
      </c>
      <c r="G1867" s="7" t="s">
        <v>104</v>
      </c>
      <c r="H1867" s="4"/>
      <c r="I1867" s="4"/>
      <c r="J1867" s="4"/>
    </row>
    <row r="1868" spans="1:10" x14ac:dyDescent="0.3">
      <c r="A1868" s="7" t="s">
        <v>19</v>
      </c>
      <c r="B1868" s="7">
        <f t="shared" si="431"/>
        <v>2027</v>
      </c>
      <c r="C1868" s="4" t="s">
        <v>46</v>
      </c>
      <c r="D1868" s="5" t="s">
        <v>131</v>
      </c>
      <c r="E1868" s="10" t="str">
        <f t="shared" si="429"/>
        <v>PRBND'!</v>
      </c>
      <c r="F1868" s="5" t="str">
        <f t="shared" si="430"/>
        <v>C:\Users\jaime.benazar\Quorum Business Solutions\Ecopetrol Prometeo - Documents\Planning Space Implementation\3. Analysis &amp; Design\Design\FC22\DRR Jaime\Neiva CPI\[VAO_DINA TERCIARIOS_CF_SEC_20230117.xlsx]CF PRBND'!</v>
      </c>
      <c r="G1868" s="7" t="s">
        <v>104</v>
      </c>
      <c r="H1868" s="4"/>
      <c r="I1868" s="4"/>
      <c r="J1868" s="4"/>
    </row>
    <row r="1869" spans="1:10" x14ac:dyDescent="0.3">
      <c r="A1869" s="7" t="s">
        <v>19</v>
      </c>
      <c r="B1869" s="7">
        <f t="shared" si="431"/>
        <v>2028</v>
      </c>
      <c r="C1869" s="4" t="s">
        <v>46</v>
      </c>
      <c r="D1869" s="5" t="s">
        <v>131</v>
      </c>
      <c r="E1869" s="10" t="str">
        <f t="shared" si="429"/>
        <v>PRBND'!</v>
      </c>
      <c r="F1869" s="5" t="str">
        <f t="shared" si="430"/>
        <v>C:\Users\jaime.benazar\Quorum Business Solutions\Ecopetrol Prometeo - Documents\Planning Space Implementation\3. Analysis &amp; Design\Design\FC22\DRR Jaime\Neiva CPI\[VAO_DINA TERCIARIOS_CF_SEC_20230117.xlsx]CF PRBND'!</v>
      </c>
      <c r="G1869" s="7" t="s">
        <v>104</v>
      </c>
      <c r="H1869" s="4"/>
      <c r="I1869" s="4"/>
      <c r="J1869" s="4"/>
    </row>
    <row r="1870" spans="1:10" x14ac:dyDescent="0.3">
      <c r="A1870" s="7" t="s">
        <v>19</v>
      </c>
      <c r="B1870" s="7">
        <f t="shared" si="431"/>
        <v>2029</v>
      </c>
      <c r="C1870" s="4" t="s">
        <v>46</v>
      </c>
      <c r="D1870" s="5" t="s">
        <v>131</v>
      </c>
      <c r="E1870" s="10" t="str">
        <f t="shared" si="429"/>
        <v>PRBND'!</v>
      </c>
      <c r="F1870" s="5" t="str">
        <f t="shared" si="430"/>
        <v>C:\Users\jaime.benazar\Quorum Business Solutions\Ecopetrol Prometeo - Documents\Planning Space Implementation\3. Analysis &amp; Design\Design\FC22\DRR Jaime\Neiva CPI\[VAO_DINA TERCIARIOS_CF_SEC_20230117.xlsx]CF PRBND'!</v>
      </c>
      <c r="G1870" s="7" t="s">
        <v>104</v>
      </c>
      <c r="H1870" s="4"/>
      <c r="I1870" s="4"/>
      <c r="J1870" s="4"/>
    </row>
    <row r="1871" spans="1:10" x14ac:dyDescent="0.3">
      <c r="A1871" s="7" t="s">
        <v>19</v>
      </c>
      <c r="B1871" s="7">
        <f t="shared" si="431"/>
        <v>2030</v>
      </c>
      <c r="C1871" s="4" t="s">
        <v>46</v>
      </c>
      <c r="D1871" s="5" t="s">
        <v>131</v>
      </c>
      <c r="E1871" s="10" t="str">
        <f t="shared" si="429"/>
        <v>PRBND'!</v>
      </c>
      <c r="F1871" s="5" t="str">
        <f t="shared" si="430"/>
        <v>C:\Users\jaime.benazar\Quorum Business Solutions\Ecopetrol Prometeo - Documents\Planning Space Implementation\3. Analysis &amp; Design\Design\FC22\DRR Jaime\Neiva CPI\[VAO_DINA TERCIARIOS_CF_SEC_20230117.xlsx]CF PRBND'!</v>
      </c>
      <c r="G1871" s="7" t="s">
        <v>104</v>
      </c>
      <c r="H1871" s="4"/>
      <c r="I1871" s="4"/>
      <c r="J1871" s="4"/>
    </row>
    <row r="1872" spans="1:10" x14ac:dyDescent="0.3">
      <c r="A1872" s="7" t="s">
        <v>19</v>
      </c>
      <c r="B1872" s="7">
        <f t="shared" si="431"/>
        <v>2031</v>
      </c>
      <c r="C1872" s="4" t="s">
        <v>46</v>
      </c>
      <c r="D1872" s="5" t="s">
        <v>131</v>
      </c>
      <c r="E1872" s="10" t="str">
        <f t="shared" si="429"/>
        <v>PRBND'!</v>
      </c>
      <c r="F1872" s="5" t="str">
        <f t="shared" si="430"/>
        <v>C:\Users\jaime.benazar\Quorum Business Solutions\Ecopetrol Prometeo - Documents\Planning Space Implementation\3. Analysis &amp; Design\Design\FC22\DRR Jaime\Neiva CPI\[VAO_DINA TERCIARIOS_CF_SEC_20230117.xlsx]CF PRBND'!</v>
      </c>
      <c r="G1872" s="7" t="s">
        <v>104</v>
      </c>
      <c r="H1872" s="4"/>
      <c r="I1872" s="4"/>
      <c r="J1872" s="4"/>
    </row>
    <row r="1873" spans="1:10" x14ac:dyDescent="0.3">
      <c r="A1873" s="7" t="s">
        <v>19</v>
      </c>
      <c r="B1873" s="7">
        <f t="shared" si="431"/>
        <v>2032</v>
      </c>
      <c r="C1873" s="4" t="s">
        <v>46</v>
      </c>
      <c r="D1873" s="5" t="s">
        <v>131</v>
      </c>
      <c r="E1873" s="10" t="str">
        <f t="shared" si="429"/>
        <v>PRBND'!</v>
      </c>
      <c r="F1873" s="5" t="str">
        <f t="shared" si="430"/>
        <v>C:\Users\jaime.benazar\Quorum Business Solutions\Ecopetrol Prometeo - Documents\Planning Space Implementation\3. Analysis &amp; Design\Design\FC22\DRR Jaime\Neiva CPI\[VAO_DINA TERCIARIOS_CF_SEC_20230117.xlsx]CF PRBND'!</v>
      </c>
      <c r="G1873" s="7" t="s">
        <v>104</v>
      </c>
      <c r="H1873" s="4"/>
      <c r="I1873" s="4"/>
      <c r="J1873" s="4"/>
    </row>
    <row r="1874" spans="1:10" x14ac:dyDescent="0.3">
      <c r="A1874" s="7" t="s">
        <v>19</v>
      </c>
      <c r="B1874" s="7">
        <f t="shared" si="431"/>
        <v>2033</v>
      </c>
      <c r="C1874" s="4" t="s">
        <v>46</v>
      </c>
      <c r="D1874" s="5" t="s">
        <v>131</v>
      </c>
      <c r="E1874" s="10" t="str">
        <f t="shared" si="429"/>
        <v>PRBND'!</v>
      </c>
      <c r="F1874" s="5" t="str">
        <f t="shared" si="430"/>
        <v>C:\Users\jaime.benazar\Quorum Business Solutions\Ecopetrol Prometeo - Documents\Planning Space Implementation\3. Analysis &amp; Design\Design\FC22\DRR Jaime\Neiva CPI\[VAO_DINA TERCIARIOS_CF_SEC_20230117.xlsx]CF PRBND'!</v>
      </c>
      <c r="G1874" s="7" t="s">
        <v>104</v>
      </c>
      <c r="H1874" s="4"/>
      <c r="I1874" s="4"/>
      <c r="J1874" s="4"/>
    </row>
    <row r="1875" spans="1:10" x14ac:dyDescent="0.3">
      <c r="A1875" s="7" t="s">
        <v>19</v>
      </c>
      <c r="B1875" s="7">
        <f t="shared" si="431"/>
        <v>2034</v>
      </c>
      <c r="C1875" s="4" t="s">
        <v>46</v>
      </c>
      <c r="D1875" s="5" t="s">
        <v>131</v>
      </c>
      <c r="E1875" s="10" t="str">
        <f t="shared" si="429"/>
        <v>PRBND'!</v>
      </c>
      <c r="F1875" s="5" t="str">
        <f t="shared" si="430"/>
        <v>C:\Users\jaime.benazar\Quorum Business Solutions\Ecopetrol Prometeo - Documents\Planning Space Implementation\3. Analysis &amp; Design\Design\FC22\DRR Jaime\Neiva CPI\[VAO_DINA TERCIARIOS_CF_SEC_20230117.xlsx]CF PRBND'!</v>
      </c>
      <c r="G1875" s="7" t="s">
        <v>104</v>
      </c>
      <c r="H1875" s="4"/>
      <c r="I1875" s="4"/>
      <c r="J1875" s="4"/>
    </row>
    <row r="1876" spans="1:10" x14ac:dyDescent="0.3">
      <c r="A1876" s="7" t="s">
        <v>19</v>
      </c>
      <c r="B1876" s="7">
        <f t="shared" si="431"/>
        <v>2035</v>
      </c>
      <c r="C1876" s="4" t="s">
        <v>46</v>
      </c>
      <c r="D1876" s="5" t="s">
        <v>131</v>
      </c>
      <c r="E1876" s="10" t="str">
        <f t="shared" si="429"/>
        <v>PRBND'!</v>
      </c>
      <c r="F1876" s="5" t="str">
        <f t="shared" si="430"/>
        <v>C:\Users\jaime.benazar\Quorum Business Solutions\Ecopetrol Prometeo - Documents\Planning Space Implementation\3. Analysis &amp; Design\Design\FC22\DRR Jaime\Neiva CPI\[VAO_DINA TERCIARIOS_CF_SEC_20230117.xlsx]CF PRBND'!</v>
      </c>
      <c r="G1876" s="7" t="s">
        <v>104</v>
      </c>
      <c r="H1876" s="4"/>
      <c r="I1876" s="4"/>
      <c r="J1876" s="4"/>
    </row>
    <row r="1877" spans="1:10" x14ac:dyDescent="0.3">
      <c r="A1877" s="7" t="s">
        <v>19</v>
      </c>
      <c r="B1877" s="7">
        <f t="shared" si="431"/>
        <v>2036</v>
      </c>
      <c r="C1877" s="4" t="s">
        <v>46</v>
      </c>
      <c r="D1877" s="5" t="s">
        <v>131</v>
      </c>
      <c r="E1877" s="10" t="str">
        <f t="shared" si="429"/>
        <v>PRBND'!</v>
      </c>
      <c r="F1877" s="5" t="str">
        <f t="shared" si="430"/>
        <v>C:\Users\jaime.benazar\Quorum Business Solutions\Ecopetrol Prometeo - Documents\Planning Space Implementation\3. Analysis &amp; Design\Design\FC22\DRR Jaime\Neiva CPI\[VAO_DINA TERCIARIOS_CF_SEC_20230117.xlsx]CF PRBND'!</v>
      </c>
      <c r="G1877" s="7" t="s">
        <v>104</v>
      </c>
      <c r="H1877" s="4"/>
      <c r="I1877" s="4"/>
      <c r="J1877" s="4"/>
    </row>
    <row r="1878" spans="1:10" x14ac:dyDescent="0.3">
      <c r="A1878" s="7" t="s">
        <v>19</v>
      </c>
      <c r="B1878" s="7">
        <f>+B1877+1</f>
        <v>2037</v>
      </c>
      <c r="C1878" s="4" t="s">
        <v>46</v>
      </c>
      <c r="D1878" s="5" t="s">
        <v>131</v>
      </c>
      <c r="E1878" s="10" t="str">
        <f t="shared" si="429"/>
        <v>PRBND'!</v>
      </c>
      <c r="F1878" s="5" t="str">
        <f t="shared" si="430"/>
        <v>C:\Users\jaime.benazar\Quorum Business Solutions\Ecopetrol Prometeo - Documents\Planning Space Implementation\3. Analysis &amp; Design\Design\FC22\DRR Jaime\Neiva CPI\[VAO_DINA TERCIARIOS_CF_SEC_20230117.xlsx]CF PRBND'!</v>
      </c>
      <c r="G1878" s="7" t="s">
        <v>104</v>
      </c>
      <c r="H1878" s="4"/>
      <c r="I1878" s="4"/>
      <c r="J1878" s="4"/>
    </row>
    <row r="1879" spans="1:10" x14ac:dyDescent="0.3">
      <c r="A1879" s="7" t="s">
        <v>19</v>
      </c>
      <c r="B1879" s="7">
        <f t="shared" ref="B1879:B1881" si="432">+B1878+1</f>
        <v>2038</v>
      </c>
      <c r="C1879" s="4" t="s">
        <v>46</v>
      </c>
      <c r="D1879" s="5" t="s">
        <v>131</v>
      </c>
      <c r="E1879" s="10" t="str">
        <f t="shared" si="429"/>
        <v>PRBND'!</v>
      </c>
      <c r="F1879" s="5" t="str">
        <f t="shared" si="430"/>
        <v>C:\Users\jaime.benazar\Quorum Business Solutions\Ecopetrol Prometeo - Documents\Planning Space Implementation\3. Analysis &amp; Design\Design\FC22\DRR Jaime\Neiva CPI\[VAO_DINA TERCIARIOS_CF_SEC_20230117.xlsx]CF PRBND'!</v>
      </c>
      <c r="G1879" s="7" t="s">
        <v>104</v>
      </c>
      <c r="H1879" s="4"/>
      <c r="I1879" s="4"/>
      <c r="J1879" s="4"/>
    </row>
    <row r="1880" spans="1:10" x14ac:dyDescent="0.3">
      <c r="A1880" s="7" t="s">
        <v>19</v>
      </c>
      <c r="B1880" s="7">
        <f t="shared" si="432"/>
        <v>2039</v>
      </c>
      <c r="C1880" s="4" t="s">
        <v>46</v>
      </c>
      <c r="D1880" s="5" t="s">
        <v>131</v>
      </c>
      <c r="E1880" s="10" t="str">
        <f t="shared" si="429"/>
        <v>PRBND'!</v>
      </c>
      <c r="F1880" s="5" t="str">
        <f t="shared" si="430"/>
        <v>C:\Users\jaime.benazar\Quorum Business Solutions\Ecopetrol Prometeo - Documents\Planning Space Implementation\3. Analysis &amp; Design\Design\FC22\DRR Jaime\Neiva CPI\[VAO_DINA TERCIARIOS_CF_SEC_20230117.xlsx]CF PRBND'!</v>
      </c>
      <c r="G1880" s="7" t="s">
        <v>104</v>
      </c>
      <c r="H1880" s="4"/>
      <c r="I1880" s="4"/>
      <c r="J1880" s="4"/>
    </row>
    <row r="1881" spans="1:10" x14ac:dyDescent="0.3">
      <c r="A1881" s="7" t="s">
        <v>19</v>
      </c>
      <c r="B1881" s="7">
        <f t="shared" si="432"/>
        <v>2040</v>
      </c>
      <c r="C1881" s="4" t="s">
        <v>46</v>
      </c>
      <c r="D1881" s="5" t="s">
        <v>131</v>
      </c>
      <c r="E1881" s="10" t="str">
        <f t="shared" si="429"/>
        <v>PRBND'!</v>
      </c>
      <c r="F1881" s="5" t="str">
        <f t="shared" si="430"/>
        <v>C:\Users\jaime.benazar\Quorum Business Solutions\Ecopetrol Prometeo - Documents\Planning Space Implementation\3. Analysis &amp; Design\Design\FC22\DRR Jaime\Neiva CPI\[VAO_DINA TERCIARIOS_CF_SEC_20230117.xlsx]CF PRBND'!</v>
      </c>
      <c r="G1881" s="7" t="s">
        <v>104</v>
      </c>
      <c r="H1881" s="4"/>
      <c r="I1881" s="4"/>
      <c r="J1881" s="4"/>
    </row>
    <row r="1882" spans="1:10" x14ac:dyDescent="0.3">
      <c r="A1882" s="7" t="s">
        <v>19</v>
      </c>
      <c r="B1882" s="7">
        <f>+B1881+1</f>
        <v>2041</v>
      </c>
      <c r="C1882" s="4" t="s">
        <v>46</v>
      </c>
      <c r="D1882" s="5" t="s">
        <v>131</v>
      </c>
      <c r="E1882" s="10" t="str">
        <f t="shared" si="429"/>
        <v>PRBND'!</v>
      </c>
      <c r="F1882" s="5" t="str">
        <f t="shared" si="430"/>
        <v>C:\Users\jaime.benazar\Quorum Business Solutions\Ecopetrol Prometeo - Documents\Planning Space Implementation\3. Analysis &amp; Design\Design\FC22\DRR Jaime\Neiva CPI\[VAO_DINA TERCIARIOS_CF_SEC_20230117.xlsx]CF PRBND'!</v>
      </c>
      <c r="G1882" s="7" t="s">
        <v>104</v>
      </c>
      <c r="H1882" s="4"/>
      <c r="I1882" s="4"/>
      <c r="J1882" s="4"/>
    </row>
    <row r="1883" spans="1:10" x14ac:dyDescent="0.3">
      <c r="A1883" s="7" t="s">
        <v>19</v>
      </c>
      <c r="B1883" s="7">
        <f t="shared" ref="B1883:B1884" si="433">+B1882+1</f>
        <v>2042</v>
      </c>
      <c r="C1883" s="4" t="s">
        <v>46</v>
      </c>
      <c r="D1883" s="5" t="s">
        <v>131</v>
      </c>
      <c r="E1883" s="10" t="str">
        <f t="shared" si="429"/>
        <v>PRBND'!</v>
      </c>
      <c r="F1883" s="5" t="str">
        <f t="shared" si="430"/>
        <v>C:\Users\jaime.benazar\Quorum Business Solutions\Ecopetrol Prometeo - Documents\Planning Space Implementation\3. Analysis &amp; Design\Design\FC22\DRR Jaime\Neiva CPI\[VAO_DINA TERCIARIOS_CF_SEC_20230117.xlsx]CF PRBND'!</v>
      </c>
      <c r="G1883" s="7" t="s">
        <v>104</v>
      </c>
      <c r="H1883" s="4"/>
      <c r="I1883" s="4"/>
      <c r="J1883" s="4"/>
    </row>
    <row r="1884" spans="1:10" x14ac:dyDescent="0.3">
      <c r="A1884" s="7" t="s">
        <v>19</v>
      </c>
      <c r="B1884" s="7">
        <f t="shared" si="433"/>
        <v>2043</v>
      </c>
      <c r="C1884" s="4" t="s">
        <v>46</v>
      </c>
      <c r="D1884" s="5" t="s">
        <v>131</v>
      </c>
      <c r="E1884" s="10" t="str">
        <f t="shared" si="429"/>
        <v>PRBND'!</v>
      </c>
      <c r="F1884" s="5" t="str">
        <f t="shared" si="430"/>
        <v>C:\Users\jaime.benazar\Quorum Business Solutions\Ecopetrol Prometeo - Documents\Planning Space Implementation\3. Analysis &amp; Design\Design\FC22\DRR Jaime\Neiva CPI\[VAO_DINA TERCIARIOS_CF_SEC_20230117.xlsx]CF PRBND'!</v>
      </c>
      <c r="G1884" s="7" t="s">
        <v>104</v>
      </c>
      <c r="H1884" s="4"/>
      <c r="I1884" s="4"/>
      <c r="J1884" s="4"/>
    </row>
    <row r="1885" spans="1:10" x14ac:dyDescent="0.3">
      <c r="A1885" s="7" t="s">
        <v>19</v>
      </c>
      <c r="B1885" s="7">
        <f>+B1884+1</f>
        <v>2044</v>
      </c>
      <c r="C1885" s="4" t="s">
        <v>46</v>
      </c>
      <c r="D1885" s="5" t="s">
        <v>131</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Jaime\Neiva CPI\[VAO_DINA TERCIARIOS_CF_SEC_20230117.xlsx]CF PRBND'!</v>
      </c>
      <c r="G1885" s="7" t="s">
        <v>104</v>
      </c>
      <c r="H1885" s="4"/>
      <c r="I1885" s="4"/>
      <c r="J1885" s="4"/>
    </row>
    <row r="1886" spans="1:10" x14ac:dyDescent="0.3">
      <c r="A1886" s="7" t="s">
        <v>19</v>
      </c>
      <c r="B1886" s="7">
        <f t="shared" ref="B1886:B1900" si="436">+B1885+1</f>
        <v>2045</v>
      </c>
      <c r="C1886" s="4" t="s">
        <v>46</v>
      </c>
      <c r="D1886" s="5" t="s">
        <v>131</v>
      </c>
      <c r="E1886" s="10" t="str">
        <f t="shared" si="434"/>
        <v>PRBND'!</v>
      </c>
      <c r="F1886" s="5" t="str">
        <f t="shared" si="435"/>
        <v>C:\Users\jaime.benazar\Quorum Business Solutions\Ecopetrol Prometeo - Documents\Planning Space Implementation\3. Analysis &amp; Design\Design\FC22\DRR Jaime\Neiva CPI\[VAO_DINA TERCIARIOS_CF_SEC_20230117.xlsx]CF PRBND'!</v>
      </c>
      <c r="G1886" s="7" t="s">
        <v>104</v>
      </c>
      <c r="H1886" s="4"/>
      <c r="I1886" s="4"/>
      <c r="J1886" s="4"/>
    </row>
    <row r="1887" spans="1:10" x14ac:dyDescent="0.3">
      <c r="A1887" s="7" t="s">
        <v>19</v>
      </c>
      <c r="B1887" s="7">
        <f t="shared" si="436"/>
        <v>2046</v>
      </c>
      <c r="C1887" s="4" t="s">
        <v>46</v>
      </c>
      <c r="D1887" s="5" t="s">
        <v>131</v>
      </c>
      <c r="E1887" s="10" t="str">
        <f t="shared" si="434"/>
        <v>PRBND'!</v>
      </c>
      <c r="F1887" s="5" t="str">
        <f t="shared" si="435"/>
        <v>C:\Users\jaime.benazar\Quorum Business Solutions\Ecopetrol Prometeo - Documents\Planning Space Implementation\3. Analysis &amp; Design\Design\FC22\DRR Jaime\Neiva CPI\[VAO_DINA TERCIARIOS_CF_SEC_20230117.xlsx]CF PRBND'!</v>
      </c>
      <c r="G1887" s="7" t="s">
        <v>104</v>
      </c>
      <c r="H1887" s="4"/>
      <c r="I1887" s="4"/>
      <c r="J1887" s="4"/>
    </row>
    <row r="1888" spans="1:10" x14ac:dyDescent="0.3">
      <c r="A1888" s="7" t="s">
        <v>19</v>
      </c>
      <c r="B1888" s="7">
        <f t="shared" si="436"/>
        <v>2047</v>
      </c>
      <c r="C1888" s="4" t="s">
        <v>46</v>
      </c>
      <c r="D1888" s="5" t="s">
        <v>131</v>
      </c>
      <c r="E1888" s="10" t="str">
        <f t="shared" si="434"/>
        <v>PRBND'!</v>
      </c>
      <c r="F1888" s="5" t="str">
        <f t="shared" si="435"/>
        <v>C:\Users\jaime.benazar\Quorum Business Solutions\Ecopetrol Prometeo - Documents\Planning Space Implementation\3. Analysis &amp; Design\Design\FC22\DRR Jaime\Neiva CPI\[VAO_DINA TERCIARIOS_CF_SEC_20230117.xlsx]CF PRBND'!</v>
      </c>
      <c r="G1888" s="7" t="s">
        <v>104</v>
      </c>
      <c r="H1888" s="4"/>
      <c r="I1888" s="4"/>
      <c r="J1888" s="4"/>
    </row>
    <row r="1889" spans="1:10" x14ac:dyDescent="0.3">
      <c r="A1889" s="7" t="s">
        <v>19</v>
      </c>
      <c r="B1889" s="7">
        <f t="shared" si="436"/>
        <v>2048</v>
      </c>
      <c r="C1889" s="4" t="s">
        <v>46</v>
      </c>
      <c r="D1889" s="5" t="s">
        <v>131</v>
      </c>
      <c r="E1889" s="10" t="str">
        <f t="shared" si="434"/>
        <v>PRBND'!</v>
      </c>
      <c r="F1889" s="5" t="str">
        <f t="shared" si="435"/>
        <v>C:\Users\jaime.benazar\Quorum Business Solutions\Ecopetrol Prometeo - Documents\Planning Space Implementation\3. Analysis &amp; Design\Design\FC22\DRR Jaime\Neiva CPI\[VAO_DINA TERCIARIOS_CF_SEC_20230117.xlsx]CF PRBND'!</v>
      </c>
      <c r="G1889" s="7" t="s">
        <v>104</v>
      </c>
      <c r="H1889" s="4"/>
      <c r="I1889" s="4"/>
      <c r="J1889" s="4"/>
    </row>
    <row r="1890" spans="1:10" x14ac:dyDescent="0.3">
      <c r="A1890" s="7" t="s">
        <v>19</v>
      </c>
      <c r="B1890" s="7">
        <f t="shared" si="436"/>
        <v>2049</v>
      </c>
      <c r="C1890" s="4" t="s">
        <v>46</v>
      </c>
      <c r="D1890" s="5" t="s">
        <v>131</v>
      </c>
      <c r="E1890" s="10" t="str">
        <f t="shared" si="434"/>
        <v>PRBND'!</v>
      </c>
      <c r="F1890" s="5" t="str">
        <f t="shared" si="435"/>
        <v>C:\Users\jaime.benazar\Quorum Business Solutions\Ecopetrol Prometeo - Documents\Planning Space Implementation\3. Analysis &amp; Design\Design\FC22\DRR Jaime\Neiva CPI\[VAO_DINA TERCIARIOS_CF_SEC_20230117.xlsx]CF PRBND'!</v>
      </c>
      <c r="G1890" s="7" t="s">
        <v>104</v>
      </c>
      <c r="H1890" s="4"/>
      <c r="I1890" s="4"/>
      <c r="J1890" s="4"/>
    </row>
    <row r="1891" spans="1:10" x14ac:dyDescent="0.3">
      <c r="A1891" s="7" t="s">
        <v>19</v>
      </c>
      <c r="B1891" s="7">
        <f t="shared" si="436"/>
        <v>2050</v>
      </c>
      <c r="C1891" s="4" t="s">
        <v>46</v>
      </c>
      <c r="D1891" s="5" t="s">
        <v>131</v>
      </c>
      <c r="E1891" s="10" t="str">
        <f t="shared" si="434"/>
        <v>PRBND'!</v>
      </c>
      <c r="F1891" s="5" t="str">
        <f t="shared" si="435"/>
        <v>C:\Users\jaime.benazar\Quorum Business Solutions\Ecopetrol Prometeo - Documents\Planning Space Implementation\3. Analysis &amp; Design\Design\FC22\DRR Jaime\Neiva CPI\[VAO_DINA TERCIARIOS_CF_SEC_20230117.xlsx]CF PRBND'!</v>
      </c>
      <c r="G1891" s="7" t="s">
        <v>104</v>
      </c>
      <c r="H1891" s="4"/>
      <c r="I1891" s="4"/>
      <c r="J1891" s="4"/>
    </row>
    <row r="1892" spans="1:10" x14ac:dyDescent="0.3">
      <c r="A1892" s="7" t="s">
        <v>19</v>
      </c>
      <c r="B1892" s="7">
        <f t="shared" si="436"/>
        <v>2051</v>
      </c>
      <c r="C1892" s="4" t="s">
        <v>46</v>
      </c>
      <c r="D1892" s="5" t="s">
        <v>131</v>
      </c>
      <c r="E1892" s="10" t="str">
        <f t="shared" si="434"/>
        <v>PRBND'!</v>
      </c>
      <c r="F1892" s="5" t="str">
        <f t="shared" si="435"/>
        <v>C:\Users\jaime.benazar\Quorum Business Solutions\Ecopetrol Prometeo - Documents\Planning Space Implementation\3. Analysis &amp; Design\Design\FC22\DRR Jaime\Neiva CPI\[VAO_DINA TERCIARIOS_CF_SEC_20230117.xlsx]CF PRBND'!</v>
      </c>
      <c r="G1892" s="7" t="s">
        <v>104</v>
      </c>
      <c r="H1892" s="4"/>
      <c r="I1892" s="4"/>
      <c r="J1892" s="4"/>
    </row>
    <row r="1893" spans="1:10" x14ac:dyDescent="0.3">
      <c r="A1893" s="7" t="s">
        <v>19</v>
      </c>
      <c r="B1893" s="7">
        <f t="shared" si="436"/>
        <v>2052</v>
      </c>
      <c r="C1893" s="4" t="s">
        <v>46</v>
      </c>
      <c r="D1893" s="5" t="s">
        <v>131</v>
      </c>
      <c r="E1893" s="10" t="str">
        <f t="shared" si="434"/>
        <v>PRBND'!</v>
      </c>
      <c r="F1893" s="5" t="str">
        <f t="shared" si="435"/>
        <v>C:\Users\jaime.benazar\Quorum Business Solutions\Ecopetrol Prometeo - Documents\Planning Space Implementation\3. Analysis &amp; Design\Design\FC22\DRR Jaime\Neiva CPI\[VAO_DINA TERCIARIOS_CF_SEC_20230117.xlsx]CF PRBND'!</v>
      </c>
      <c r="G1893" s="7" t="s">
        <v>104</v>
      </c>
      <c r="H1893" s="4"/>
      <c r="I1893" s="4"/>
      <c r="J1893" s="4"/>
    </row>
    <row r="1894" spans="1:10" x14ac:dyDescent="0.3">
      <c r="A1894" s="7" t="s">
        <v>19</v>
      </c>
      <c r="B1894" s="7">
        <f t="shared" si="436"/>
        <v>2053</v>
      </c>
      <c r="C1894" s="4" t="s">
        <v>46</v>
      </c>
      <c r="D1894" s="5" t="s">
        <v>131</v>
      </c>
      <c r="E1894" s="10" t="str">
        <f t="shared" si="434"/>
        <v>PRBND'!</v>
      </c>
      <c r="F1894" s="5" t="str">
        <f t="shared" si="435"/>
        <v>C:\Users\jaime.benazar\Quorum Business Solutions\Ecopetrol Prometeo - Documents\Planning Space Implementation\3. Analysis &amp; Design\Design\FC22\DRR Jaime\Neiva CPI\[VAO_DINA TERCIARIOS_CF_SEC_20230117.xlsx]CF PRBND'!</v>
      </c>
      <c r="G1894" s="7" t="s">
        <v>104</v>
      </c>
      <c r="H1894" s="4"/>
      <c r="I1894" s="4"/>
      <c r="J1894" s="4"/>
    </row>
    <row r="1895" spans="1:10" x14ac:dyDescent="0.3">
      <c r="A1895" s="7" t="s">
        <v>19</v>
      </c>
      <c r="B1895" s="7">
        <f t="shared" si="436"/>
        <v>2054</v>
      </c>
      <c r="C1895" s="4" t="s">
        <v>46</v>
      </c>
      <c r="D1895" s="5" t="s">
        <v>131</v>
      </c>
      <c r="E1895" s="10" t="str">
        <f t="shared" si="434"/>
        <v>PRBND'!</v>
      </c>
      <c r="F1895" s="5" t="str">
        <f t="shared" si="435"/>
        <v>C:\Users\jaime.benazar\Quorum Business Solutions\Ecopetrol Prometeo - Documents\Planning Space Implementation\3. Analysis &amp; Design\Design\FC22\DRR Jaime\Neiva CPI\[VAO_DINA TERCIARIOS_CF_SEC_20230117.xlsx]CF PRBND'!</v>
      </c>
      <c r="G1895" s="7" t="s">
        <v>104</v>
      </c>
      <c r="H1895" s="4"/>
      <c r="I1895" s="4"/>
      <c r="J1895" s="4"/>
    </row>
    <row r="1896" spans="1:10" x14ac:dyDescent="0.3">
      <c r="A1896" s="7" t="s">
        <v>19</v>
      </c>
      <c r="B1896" s="7">
        <f t="shared" si="436"/>
        <v>2055</v>
      </c>
      <c r="C1896" s="4" t="s">
        <v>46</v>
      </c>
      <c r="D1896" s="5" t="s">
        <v>131</v>
      </c>
      <c r="E1896" s="10" t="str">
        <f t="shared" si="434"/>
        <v>PRBND'!</v>
      </c>
      <c r="F1896" s="5" t="str">
        <f t="shared" si="435"/>
        <v>C:\Users\jaime.benazar\Quorum Business Solutions\Ecopetrol Prometeo - Documents\Planning Space Implementation\3. Analysis &amp; Design\Design\FC22\DRR Jaime\Neiva CPI\[VAO_DINA TERCIARIOS_CF_SEC_20230117.xlsx]CF PRBND'!</v>
      </c>
      <c r="G1896" s="7" t="s">
        <v>104</v>
      </c>
      <c r="H1896" s="4"/>
      <c r="I1896" s="4"/>
      <c r="J1896" s="4"/>
    </row>
    <row r="1897" spans="1:10" x14ac:dyDescent="0.3">
      <c r="A1897" s="7" t="s">
        <v>19</v>
      </c>
      <c r="B1897" s="7">
        <f t="shared" si="436"/>
        <v>2056</v>
      </c>
      <c r="C1897" s="4" t="s">
        <v>46</v>
      </c>
      <c r="D1897" s="5" t="s">
        <v>131</v>
      </c>
      <c r="E1897" s="10" t="str">
        <f t="shared" si="434"/>
        <v>PRBND'!</v>
      </c>
      <c r="F1897" s="5" t="str">
        <f t="shared" si="435"/>
        <v>C:\Users\jaime.benazar\Quorum Business Solutions\Ecopetrol Prometeo - Documents\Planning Space Implementation\3. Analysis &amp; Design\Design\FC22\DRR Jaime\Neiva CPI\[VAO_DINA TERCIARIOS_CF_SEC_20230117.xlsx]CF PRBND'!</v>
      </c>
      <c r="G1897" s="7" t="s">
        <v>104</v>
      </c>
      <c r="H1897" s="4"/>
      <c r="I1897" s="4"/>
      <c r="J1897" s="4"/>
    </row>
    <row r="1898" spans="1:10" x14ac:dyDescent="0.3">
      <c r="A1898" s="7" t="s">
        <v>19</v>
      </c>
      <c r="B1898" s="7">
        <f t="shared" si="436"/>
        <v>2057</v>
      </c>
      <c r="C1898" s="4" t="s">
        <v>46</v>
      </c>
      <c r="D1898" s="5" t="s">
        <v>131</v>
      </c>
      <c r="E1898" s="10" t="str">
        <f t="shared" si="434"/>
        <v>PRBND'!</v>
      </c>
      <c r="F1898" s="5" t="str">
        <f t="shared" si="435"/>
        <v>C:\Users\jaime.benazar\Quorum Business Solutions\Ecopetrol Prometeo - Documents\Planning Space Implementation\3. Analysis &amp; Design\Design\FC22\DRR Jaime\Neiva CPI\[VAO_DINA TERCIARIOS_CF_SEC_20230117.xlsx]CF PRBND'!</v>
      </c>
      <c r="G1898" s="7" t="s">
        <v>104</v>
      </c>
      <c r="H1898" s="4"/>
      <c r="I1898" s="4"/>
      <c r="J1898" s="4"/>
    </row>
    <row r="1899" spans="1:10" x14ac:dyDescent="0.3">
      <c r="A1899" s="7" t="s">
        <v>19</v>
      </c>
      <c r="B1899" s="7">
        <f t="shared" si="436"/>
        <v>2058</v>
      </c>
      <c r="C1899" s="4" t="s">
        <v>46</v>
      </c>
      <c r="D1899" s="5" t="s">
        <v>131</v>
      </c>
      <c r="E1899" s="10" t="str">
        <f t="shared" si="434"/>
        <v>PRBND'!</v>
      </c>
      <c r="F1899" s="5" t="str">
        <f t="shared" si="435"/>
        <v>C:\Users\jaime.benazar\Quorum Business Solutions\Ecopetrol Prometeo - Documents\Planning Space Implementation\3. Analysis &amp; Design\Design\FC22\DRR Jaime\Neiva CPI\[VAO_DINA TERCIARIOS_CF_SEC_20230117.xlsx]CF PRBND'!</v>
      </c>
      <c r="G1899" s="7" t="s">
        <v>104</v>
      </c>
      <c r="H1899" s="4"/>
      <c r="I1899" s="4"/>
      <c r="J1899" s="4"/>
    </row>
    <row r="1900" spans="1:10" x14ac:dyDescent="0.3">
      <c r="A1900" s="7" t="s">
        <v>19</v>
      </c>
      <c r="B1900" s="7">
        <f t="shared" si="436"/>
        <v>2059</v>
      </c>
      <c r="C1900" s="4" t="s">
        <v>46</v>
      </c>
      <c r="D1900" s="5" t="s">
        <v>131</v>
      </c>
      <c r="E1900" s="10" t="str">
        <f t="shared" si="434"/>
        <v>PRBND'!</v>
      </c>
      <c r="F1900" s="5" t="str">
        <f t="shared" si="435"/>
        <v>C:\Users\jaime.benazar\Quorum Business Solutions\Ecopetrol Prometeo - Documents\Planning Space Implementation\3. Analysis &amp; Design\Design\FC22\DRR Jaime\Neiva CPI\[VAO_DINA TERCIARIOS_CF_SEC_20230117.xlsx]CF PRBND'!</v>
      </c>
      <c r="G1900" s="7" t="s">
        <v>104</v>
      </c>
      <c r="H1900" s="4"/>
      <c r="I1900" s="4"/>
      <c r="J1900" s="4"/>
    </row>
    <row r="1901" spans="1:10" x14ac:dyDescent="0.3">
      <c r="A1901" s="7" t="s">
        <v>26</v>
      </c>
      <c r="B1901" s="7"/>
      <c r="C1901" s="4" t="s">
        <v>46</v>
      </c>
      <c r="D1901" s="5"/>
      <c r="E1901" s="10"/>
      <c r="F1901" s="5"/>
      <c r="G1901" s="7"/>
      <c r="H1901" s="4"/>
      <c r="I1901" s="4"/>
      <c r="J1901" s="4"/>
    </row>
    <row r="1902" spans="1:10" x14ac:dyDescent="0.3">
      <c r="A1902" s="7" t="s">
        <v>20</v>
      </c>
      <c r="B1902" s="7">
        <v>2023</v>
      </c>
      <c r="C1902" s="4" t="s">
        <v>46</v>
      </c>
      <c r="D1902" s="5" t="s">
        <v>131</v>
      </c>
      <c r="E1902" s="10" t="str">
        <f t="shared" si="405"/>
        <v>PRB'!</v>
      </c>
      <c r="F1902" s="5" t="str">
        <f t="shared" ref="F1902:F1922" si="437">_xlfn.CONCAT(D1902," ",E1902)</f>
        <v>C:\Users\jaime.benazar\Quorum Business Solutions\Ecopetrol Prometeo - Documents\Planning Space Implementation\3. Analysis &amp; Design\Design\FC22\DRR Jaime\Neiva CPI\[VAO_DINA TERCIARIOS_CF_SEC_20230117.xlsx]CF PRB'!</v>
      </c>
      <c r="G1902" s="7" t="s">
        <v>104</v>
      </c>
      <c r="H1902" s="4">
        <f>IF(A1902&lt;&gt;A1772,36,H1772+1)</f>
        <v>36</v>
      </c>
      <c r="I1902" s="4" t="str">
        <f t="shared" si="406"/>
        <v>='C:\Users\jaime.benazar\Quorum Business Solutions\Ecopetrol Prometeo - Documents\Planning Space Implementation\3. Analysis &amp; Design\Design\FC22\DRR Jaime\Neiva CPI\[VAO_DINA TERCIARIOS_CF_SEC_20230117.xlsx]CF PRB'!$BU$36</v>
      </c>
      <c r="J1902" s="4" t="s">
        <v>983</v>
      </c>
    </row>
    <row r="1903" spans="1:10" x14ac:dyDescent="0.3">
      <c r="A1903" s="7" t="s">
        <v>20</v>
      </c>
      <c r="B1903" s="7">
        <f>+B1902+1</f>
        <v>2024</v>
      </c>
      <c r="C1903" s="4" t="s">
        <v>46</v>
      </c>
      <c r="D1903" s="5" t="s">
        <v>131</v>
      </c>
      <c r="E1903" s="10" t="str">
        <f t="shared" si="405"/>
        <v>PRB'!</v>
      </c>
      <c r="F1903" s="5" t="str">
        <f t="shared" si="437"/>
        <v>C:\Users\jaime.benazar\Quorum Business Solutions\Ecopetrol Prometeo - Documents\Planning Space Implementation\3. Analysis &amp; Design\Design\FC22\DRR Jaime\Neiva CPI\[VAO_DINA TERCIARIOS_CF_SEC_20230117.xlsx]CF PRB'!</v>
      </c>
      <c r="G1903" s="7" t="s">
        <v>104</v>
      </c>
      <c r="H1903" s="4">
        <f t="shared" si="407"/>
        <v>37</v>
      </c>
      <c r="I1903" s="4" t="str">
        <f t="shared" si="406"/>
        <v>='C:\Users\jaime.benazar\Quorum Business Solutions\Ecopetrol Prometeo - Documents\Planning Space Implementation\3. Analysis &amp; Design\Design\FC22\DRR Jaime\Neiva CPI\[VAO_DINA TERCIARIOS_CF_SEC_20230117.xlsx]CF PRB'!$BU$37</v>
      </c>
      <c r="J1903" s="4" t="s">
        <v>984</v>
      </c>
    </row>
    <row r="1904" spans="1:10" x14ac:dyDescent="0.3">
      <c r="A1904" s="7" t="s">
        <v>20</v>
      </c>
      <c r="B1904" s="7">
        <f t="shared" ref="B1904:B1915" si="438">+B1903+1</f>
        <v>2025</v>
      </c>
      <c r="C1904" s="4" t="s">
        <v>46</v>
      </c>
      <c r="D1904" s="5" t="s">
        <v>131</v>
      </c>
      <c r="E1904" s="10" t="str">
        <f t="shared" si="405"/>
        <v>PRB'!</v>
      </c>
      <c r="F1904" s="5" t="str">
        <f t="shared" si="437"/>
        <v>C:\Users\jaime.benazar\Quorum Business Solutions\Ecopetrol Prometeo - Documents\Planning Space Implementation\3. Analysis &amp; Design\Design\FC22\DRR Jaime\Neiva CPI\[VAO_DINA TERCIARIOS_CF_SEC_20230117.xlsx]CF PRB'!</v>
      </c>
      <c r="G1904" s="7" t="s">
        <v>104</v>
      </c>
      <c r="H1904" s="4">
        <f t="shared" si="407"/>
        <v>38</v>
      </c>
      <c r="I1904" s="4" t="str">
        <f t="shared" si="406"/>
        <v>='C:\Users\jaime.benazar\Quorum Business Solutions\Ecopetrol Prometeo - Documents\Planning Space Implementation\3. Analysis &amp; Design\Design\FC22\DRR Jaime\Neiva CPI\[VAO_DINA TERCIARIOS_CF_SEC_20230117.xlsx]CF PRB'!$BU$38</v>
      </c>
      <c r="J1904" s="4" t="s">
        <v>985</v>
      </c>
    </row>
    <row r="1905" spans="1:10" x14ac:dyDescent="0.3">
      <c r="A1905" s="7" t="s">
        <v>20</v>
      </c>
      <c r="B1905" s="7">
        <f t="shared" si="438"/>
        <v>2026</v>
      </c>
      <c r="C1905" s="4" t="s">
        <v>46</v>
      </c>
      <c r="D1905" s="5" t="s">
        <v>131</v>
      </c>
      <c r="E1905" s="10" t="str">
        <f t="shared" si="405"/>
        <v>PRB'!</v>
      </c>
      <c r="F1905" s="5" t="str">
        <f t="shared" si="437"/>
        <v>C:\Users\jaime.benazar\Quorum Business Solutions\Ecopetrol Prometeo - Documents\Planning Space Implementation\3. Analysis &amp; Design\Design\FC22\DRR Jaime\Neiva CPI\[VAO_DINA TERCIARIOS_CF_SEC_20230117.xlsx]CF PRB'!</v>
      </c>
      <c r="G1905" s="7" t="s">
        <v>104</v>
      </c>
      <c r="H1905" s="4">
        <f t="shared" si="407"/>
        <v>39</v>
      </c>
      <c r="I1905" s="4" t="str">
        <f t="shared" si="406"/>
        <v>='C:\Users\jaime.benazar\Quorum Business Solutions\Ecopetrol Prometeo - Documents\Planning Space Implementation\3. Analysis &amp; Design\Design\FC22\DRR Jaime\Neiva CPI\[VAO_DINA TERCIARIOS_CF_SEC_20230117.xlsx]CF PRB'!$BU$39</v>
      </c>
      <c r="J1905" s="4" t="s">
        <v>986</v>
      </c>
    </row>
    <row r="1906" spans="1:10" x14ac:dyDescent="0.3">
      <c r="A1906" s="7" t="s">
        <v>20</v>
      </c>
      <c r="B1906" s="7">
        <f t="shared" si="438"/>
        <v>2027</v>
      </c>
      <c r="C1906" s="4" t="s">
        <v>46</v>
      </c>
      <c r="D1906" s="5" t="s">
        <v>131</v>
      </c>
      <c r="E1906" s="10" t="str">
        <f t="shared" si="405"/>
        <v>PRB'!</v>
      </c>
      <c r="F1906" s="5" t="str">
        <f t="shared" si="437"/>
        <v>C:\Users\jaime.benazar\Quorum Business Solutions\Ecopetrol Prometeo - Documents\Planning Space Implementation\3. Analysis &amp; Design\Design\FC22\DRR Jaime\Neiva CPI\[VAO_DINA TERCIARIOS_CF_SEC_20230117.xlsx]CF PRB'!</v>
      </c>
      <c r="G1906" s="7" t="s">
        <v>104</v>
      </c>
      <c r="H1906" s="4">
        <f t="shared" si="407"/>
        <v>40</v>
      </c>
      <c r="I1906" s="4" t="str">
        <f t="shared" si="406"/>
        <v>='C:\Users\jaime.benazar\Quorum Business Solutions\Ecopetrol Prometeo - Documents\Planning Space Implementation\3. Analysis &amp; Design\Design\FC22\DRR Jaime\Neiva CPI\[VAO_DINA TERCIARIOS_CF_SEC_20230117.xlsx]CF PRB'!$BU$40</v>
      </c>
      <c r="J1906" s="4" t="s">
        <v>987</v>
      </c>
    </row>
    <row r="1907" spans="1:10" x14ac:dyDescent="0.3">
      <c r="A1907" s="7" t="s">
        <v>20</v>
      </c>
      <c r="B1907" s="7">
        <f t="shared" si="438"/>
        <v>2028</v>
      </c>
      <c r="C1907" s="4" t="s">
        <v>46</v>
      </c>
      <c r="D1907" s="5" t="s">
        <v>131</v>
      </c>
      <c r="E1907" s="10" t="str">
        <f t="shared" si="405"/>
        <v>PRB'!</v>
      </c>
      <c r="F1907" s="5" t="str">
        <f t="shared" si="437"/>
        <v>C:\Users\jaime.benazar\Quorum Business Solutions\Ecopetrol Prometeo - Documents\Planning Space Implementation\3. Analysis &amp; Design\Design\FC22\DRR Jaime\Neiva CPI\[VAO_DINA TERCIARIOS_CF_SEC_20230117.xlsx]CF PRB'!</v>
      </c>
      <c r="G1907" s="7" t="s">
        <v>104</v>
      </c>
      <c r="H1907" s="4">
        <f t="shared" si="407"/>
        <v>41</v>
      </c>
      <c r="I1907" s="4" t="str">
        <f t="shared" si="406"/>
        <v>='C:\Users\jaime.benazar\Quorum Business Solutions\Ecopetrol Prometeo - Documents\Planning Space Implementation\3. Analysis &amp; Design\Design\FC22\DRR Jaime\Neiva CPI\[VAO_DINA TERCIARIOS_CF_SEC_20230117.xlsx]CF PRB'!$BU$41</v>
      </c>
      <c r="J1907" s="4" t="s">
        <v>988</v>
      </c>
    </row>
    <row r="1908" spans="1:10" x14ac:dyDescent="0.3">
      <c r="A1908" s="7" t="s">
        <v>20</v>
      </c>
      <c r="B1908" s="7">
        <f t="shared" si="438"/>
        <v>2029</v>
      </c>
      <c r="C1908" s="4" t="s">
        <v>46</v>
      </c>
      <c r="D1908" s="5" t="s">
        <v>131</v>
      </c>
      <c r="E1908" s="10" t="str">
        <f t="shared" si="405"/>
        <v>PRB'!</v>
      </c>
      <c r="F1908" s="5" t="str">
        <f t="shared" si="437"/>
        <v>C:\Users\jaime.benazar\Quorum Business Solutions\Ecopetrol Prometeo - Documents\Planning Space Implementation\3. Analysis &amp; Design\Design\FC22\DRR Jaime\Neiva CPI\[VAO_DINA TERCIARIOS_CF_SEC_20230117.xlsx]CF PRB'!</v>
      </c>
      <c r="G1908" s="7" t="s">
        <v>104</v>
      </c>
      <c r="H1908" s="4">
        <f t="shared" si="407"/>
        <v>42</v>
      </c>
      <c r="I1908" s="4" t="str">
        <f t="shared" si="406"/>
        <v>='C:\Users\jaime.benazar\Quorum Business Solutions\Ecopetrol Prometeo - Documents\Planning Space Implementation\3. Analysis &amp; Design\Design\FC22\DRR Jaime\Neiva CPI\[VAO_DINA TERCIARIOS_CF_SEC_20230117.xlsx]CF PRB'!$BU$42</v>
      </c>
      <c r="J1908" s="4" t="s">
        <v>989</v>
      </c>
    </row>
    <row r="1909" spans="1:10" x14ac:dyDescent="0.3">
      <c r="A1909" s="7" t="s">
        <v>20</v>
      </c>
      <c r="B1909" s="7">
        <f t="shared" si="438"/>
        <v>2030</v>
      </c>
      <c r="C1909" s="4" t="s">
        <v>46</v>
      </c>
      <c r="D1909" s="5" t="s">
        <v>131</v>
      </c>
      <c r="E1909" s="10" t="str">
        <f t="shared" si="405"/>
        <v>PRB'!</v>
      </c>
      <c r="F1909" s="5" t="str">
        <f t="shared" si="437"/>
        <v>C:\Users\jaime.benazar\Quorum Business Solutions\Ecopetrol Prometeo - Documents\Planning Space Implementation\3. Analysis &amp; Design\Design\FC22\DRR Jaime\Neiva CPI\[VAO_DINA TERCIARIOS_CF_SEC_20230117.xlsx]CF PRB'!</v>
      </c>
      <c r="G1909" s="7" t="s">
        <v>104</v>
      </c>
      <c r="H1909" s="4">
        <f t="shared" si="407"/>
        <v>43</v>
      </c>
      <c r="I1909" s="4" t="str">
        <f t="shared" si="406"/>
        <v>='C:\Users\jaime.benazar\Quorum Business Solutions\Ecopetrol Prometeo - Documents\Planning Space Implementation\3. Analysis &amp; Design\Design\FC22\DRR Jaime\Neiva CPI\[VAO_DINA TERCIARIOS_CF_SEC_20230117.xlsx]CF PRB'!$BU$43</v>
      </c>
      <c r="J1909" s="4" t="s">
        <v>990</v>
      </c>
    </row>
    <row r="1910" spans="1:10" x14ac:dyDescent="0.3">
      <c r="A1910" s="7" t="s">
        <v>20</v>
      </c>
      <c r="B1910" s="7">
        <f t="shared" si="438"/>
        <v>2031</v>
      </c>
      <c r="C1910" s="4" t="s">
        <v>46</v>
      </c>
      <c r="D1910" s="5" t="s">
        <v>131</v>
      </c>
      <c r="E1910" s="10" t="str">
        <f t="shared" si="405"/>
        <v>PRB'!</v>
      </c>
      <c r="F1910" s="5" t="str">
        <f t="shared" si="437"/>
        <v>C:\Users\jaime.benazar\Quorum Business Solutions\Ecopetrol Prometeo - Documents\Planning Space Implementation\3. Analysis &amp; Design\Design\FC22\DRR Jaime\Neiva CPI\[VAO_DINA TERCIARIOS_CF_SEC_20230117.xlsx]CF PRB'!</v>
      </c>
      <c r="G1910" s="7" t="s">
        <v>104</v>
      </c>
      <c r="H1910" s="4">
        <f t="shared" si="407"/>
        <v>44</v>
      </c>
      <c r="I1910" s="4" t="str">
        <f t="shared" si="406"/>
        <v>='C:\Users\jaime.benazar\Quorum Business Solutions\Ecopetrol Prometeo - Documents\Planning Space Implementation\3. Analysis &amp; Design\Design\FC22\DRR Jaime\Neiva CPI\[VAO_DINA TERCIARIOS_CF_SEC_20230117.xlsx]CF PRB'!$BU$44</v>
      </c>
      <c r="J1910" s="4" t="s">
        <v>991</v>
      </c>
    </row>
    <row r="1911" spans="1:10" x14ac:dyDescent="0.3">
      <c r="A1911" s="7" t="s">
        <v>20</v>
      </c>
      <c r="B1911" s="7">
        <f t="shared" si="438"/>
        <v>2032</v>
      </c>
      <c r="C1911" s="4" t="s">
        <v>46</v>
      </c>
      <c r="D1911" s="5" t="s">
        <v>131</v>
      </c>
      <c r="E1911" s="10" t="str">
        <f t="shared" si="405"/>
        <v>PRB'!</v>
      </c>
      <c r="F1911" s="5" t="str">
        <f t="shared" si="437"/>
        <v>C:\Users\jaime.benazar\Quorum Business Solutions\Ecopetrol Prometeo - Documents\Planning Space Implementation\3. Analysis &amp; Design\Design\FC22\DRR Jaime\Neiva CPI\[VAO_DINA TERCIARIOS_CF_SEC_20230117.xlsx]CF PRB'!</v>
      </c>
      <c r="G1911" s="7" t="s">
        <v>104</v>
      </c>
      <c r="H1911" s="4">
        <f t="shared" si="407"/>
        <v>45</v>
      </c>
      <c r="I1911" s="4" t="str">
        <f t="shared" si="406"/>
        <v>='C:\Users\jaime.benazar\Quorum Business Solutions\Ecopetrol Prometeo - Documents\Planning Space Implementation\3. Analysis &amp; Design\Design\FC22\DRR Jaime\Neiva CPI\[VAO_DINA TERCIARIOS_CF_SEC_20230117.xlsx]CF PRB'!$BU$45</v>
      </c>
      <c r="J1911" s="4" t="s">
        <v>992</v>
      </c>
    </row>
    <row r="1912" spans="1:10" x14ac:dyDescent="0.3">
      <c r="A1912" s="7" t="s">
        <v>20</v>
      </c>
      <c r="B1912" s="7">
        <f t="shared" si="438"/>
        <v>2033</v>
      </c>
      <c r="C1912" s="4" t="s">
        <v>46</v>
      </c>
      <c r="D1912" s="5" t="s">
        <v>131</v>
      </c>
      <c r="E1912" s="10" t="str">
        <f t="shared" si="405"/>
        <v>PRB'!</v>
      </c>
      <c r="F1912" s="5" t="str">
        <f t="shared" si="437"/>
        <v>C:\Users\jaime.benazar\Quorum Business Solutions\Ecopetrol Prometeo - Documents\Planning Space Implementation\3. Analysis &amp; Design\Design\FC22\DRR Jaime\Neiva CPI\[VAO_DINA TERCIARIOS_CF_SEC_20230117.xlsx]CF PRB'!</v>
      </c>
      <c r="G1912" s="7" t="s">
        <v>104</v>
      </c>
      <c r="H1912" s="4">
        <f t="shared" si="407"/>
        <v>46</v>
      </c>
      <c r="I1912" s="4" t="str">
        <f t="shared" si="406"/>
        <v>='C:\Users\jaime.benazar\Quorum Business Solutions\Ecopetrol Prometeo - Documents\Planning Space Implementation\3. Analysis &amp; Design\Design\FC22\DRR Jaime\Neiva CPI\[VAO_DINA TERCIARIOS_CF_SEC_20230117.xlsx]CF PRB'!$BU$46</v>
      </c>
      <c r="J1912" s="4" t="s">
        <v>993</v>
      </c>
    </row>
    <row r="1913" spans="1:10" x14ac:dyDescent="0.3">
      <c r="A1913" s="7" t="s">
        <v>20</v>
      </c>
      <c r="B1913" s="7">
        <f t="shared" si="438"/>
        <v>2034</v>
      </c>
      <c r="C1913" s="4" t="s">
        <v>46</v>
      </c>
      <c r="D1913" s="5" t="s">
        <v>131</v>
      </c>
      <c r="E1913" s="10" t="str">
        <f t="shared" si="405"/>
        <v>PRB'!</v>
      </c>
      <c r="F1913" s="5" t="str">
        <f t="shared" si="437"/>
        <v>C:\Users\jaime.benazar\Quorum Business Solutions\Ecopetrol Prometeo - Documents\Planning Space Implementation\3. Analysis &amp; Design\Design\FC22\DRR Jaime\Neiva CPI\[VAO_DINA TERCIARIOS_CF_SEC_20230117.xlsx]CF PRB'!</v>
      </c>
      <c r="G1913" s="7" t="s">
        <v>104</v>
      </c>
      <c r="H1913" s="4">
        <f t="shared" si="407"/>
        <v>47</v>
      </c>
      <c r="I1913" s="4" t="str">
        <f t="shared" si="406"/>
        <v>='C:\Users\jaime.benazar\Quorum Business Solutions\Ecopetrol Prometeo - Documents\Planning Space Implementation\3. Analysis &amp; Design\Design\FC22\DRR Jaime\Neiva CPI\[VAO_DINA TERCIARIOS_CF_SEC_20230117.xlsx]CF PRB'!$BU$47</v>
      </c>
      <c r="J1913" s="4" t="s">
        <v>994</v>
      </c>
    </row>
    <row r="1914" spans="1:10" x14ac:dyDescent="0.3">
      <c r="A1914" s="7" t="s">
        <v>20</v>
      </c>
      <c r="B1914" s="7">
        <f t="shared" si="438"/>
        <v>2035</v>
      </c>
      <c r="C1914" s="4" t="s">
        <v>46</v>
      </c>
      <c r="D1914" s="5" t="s">
        <v>131</v>
      </c>
      <c r="E1914" s="10" t="str">
        <f t="shared" si="405"/>
        <v>PRB'!</v>
      </c>
      <c r="F1914" s="5" t="str">
        <f t="shared" si="437"/>
        <v>C:\Users\jaime.benazar\Quorum Business Solutions\Ecopetrol Prometeo - Documents\Planning Space Implementation\3. Analysis &amp; Design\Design\FC22\DRR Jaime\Neiva CPI\[VAO_DINA TERCIARIOS_CF_SEC_20230117.xlsx]CF PRB'!</v>
      </c>
      <c r="G1914" s="7" t="s">
        <v>104</v>
      </c>
      <c r="H1914" s="4">
        <f t="shared" si="407"/>
        <v>48</v>
      </c>
      <c r="I1914" s="4" t="str">
        <f t="shared" si="406"/>
        <v>='C:\Users\jaime.benazar\Quorum Business Solutions\Ecopetrol Prometeo - Documents\Planning Space Implementation\3. Analysis &amp; Design\Design\FC22\DRR Jaime\Neiva CPI\[VAO_DINA TERCIARIOS_CF_SEC_20230117.xlsx]CF PRB'!$BU$48</v>
      </c>
      <c r="J1914" s="4" t="s">
        <v>995</v>
      </c>
    </row>
    <row r="1915" spans="1:10" x14ac:dyDescent="0.3">
      <c r="A1915" s="7" t="s">
        <v>20</v>
      </c>
      <c r="B1915" s="7">
        <f t="shared" si="438"/>
        <v>2036</v>
      </c>
      <c r="C1915" s="4" t="s">
        <v>46</v>
      </c>
      <c r="D1915" s="5" t="s">
        <v>131</v>
      </c>
      <c r="E1915" s="10" t="str">
        <f t="shared" si="405"/>
        <v>PRB'!</v>
      </c>
      <c r="F1915" s="5" t="str">
        <f t="shared" si="437"/>
        <v>C:\Users\jaime.benazar\Quorum Business Solutions\Ecopetrol Prometeo - Documents\Planning Space Implementation\3. Analysis &amp; Design\Design\FC22\DRR Jaime\Neiva CPI\[VAO_DINA TERCIARIOS_CF_SEC_20230117.xlsx]CF PRB'!</v>
      </c>
      <c r="G1915" s="7" t="s">
        <v>104</v>
      </c>
      <c r="H1915" s="4">
        <f t="shared" si="407"/>
        <v>49</v>
      </c>
      <c r="I1915" s="4" t="str">
        <f t="shared" si="406"/>
        <v>='C:\Users\jaime.benazar\Quorum Business Solutions\Ecopetrol Prometeo - Documents\Planning Space Implementation\3. Analysis &amp; Design\Design\FC22\DRR Jaime\Neiva CPI\[VAO_DINA TERCIARIOS_CF_SEC_20230117.xlsx]CF PRB'!$BU$49</v>
      </c>
      <c r="J1915" s="4" t="s">
        <v>996</v>
      </c>
    </row>
    <row r="1916" spans="1:10" x14ac:dyDescent="0.3">
      <c r="A1916" s="7" t="s">
        <v>20</v>
      </c>
      <c r="B1916" s="7">
        <f>+B1915+1</f>
        <v>2037</v>
      </c>
      <c r="C1916" s="4" t="s">
        <v>46</v>
      </c>
      <c r="D1916" s="5" t="s">
        <v>131</v>
      </c>
      <c r="E1916" s="10" t="str">
        <f t="shared" si="405"/>
        <v>PRB'!</v>
      </c>
      <c r="F1916" s="5" t="str">
        <f t="shared" si="437"/>
        <v>C:\Users\jaime.benazar\Quorum Business Solutions\Ecopetrol Prometeo - Documents\Planning Space Implementation\3. Analysis &amp; Design\Design\FC22\DRR Jaime\Neiva CPI\[VAO_DINA TERCIARIOS_CF_SEC_20230117.xlsx]CF PRB'!</v>
      </c>
      <c r="G1916" s="7" t="s">
        <v>104</v>
      </c>
      <c r="H1916" s="4">
        <f t="shared" si="407"/>
        <v>50</v>
      </c>
      <c r="I1916" s="4" t="str">
        <f t="shared" si="406"/>
        <v>='C:\Users\jaime.benazar\Quorum Business Solutions\Ecopetrol Prometeo - Documents\Planning Space Implementation\3. Analysis &amp; Design\Design\FC22\DRR Jaime\Neiva CPI\[VAO_DINA TERCIARIOS_CF_SEC_20230117.xlsx]CF PRB'!$BU$50</v>
      </c>
      <c r="J1916" s="4" t="s">
        <v>997</v>
      </c>
    </row>
    <row r="1917" spans="1:10" x14ac:dyDescent="0.3">
      <c r="A1917" s="7" t="s">
        <v>20</v>
      </c>
      <c r="B1917" s="7">
        <f t="shared" ref="B1917:B1919" si="439">+B1916+1</f>
        <v>2038</v>
      </c>
      <c r="C1917" s="4" t="s">
        <v>46</v>
      </c>
      <c r="D1917" s="5" t="s">
        <v>131</v>
      </c>
      <c r="E1917" s="10" t="str">
        <f t="shared" si="405"/>
        <v>PRB'!</v>
      </c>
      <c r="F1917" s="5" t="str">
        <f t="shared" si="437"/>
        <v>C:\Users\jaime.benazar\Quorum Business Solutions\Ecopetrol Prometeo - Documents\Planning Space Implementation\3. Analysis &amp; Design\Design\FC22\DRR Jaime\Neiva CPI\[VAO_DINA TERCIARIOS_CF_SEC_20230117.xlsx]CF PRB'!</v>
      </c>
      <c r="G1917" s="7" t="s">
        <v>104</v>
      </c>
      <c r="H1917" s="4">
        <f t="shared" si="407"/>
        <v>51</v>
      </c>
      <c r="I1917" s="4" t="str">
        <f t="shared" si="406"/>
        <v>='C:\Users\jaime.benazar\Quorum Business Solutions\Ecopetrol Prometeo - Documents\Planning Space Implementation\3. Analysis &amp; Design\Design\FC22\DRR Jaime\Neiva CPI\[VAO_DINA TERCIARIOS_CF_SEC_20230117.xlsx]CF PRB'!$BU$51</v>
      </c>
      <c r="J1917" s="4" t="s">
        <v>998</v>
      </c>
    </row>
    <row r="1918" spans="1:10" x14ac:dyDescent="0.3">
      <c r="A1918" s="7" t="s">
        <v>20</v>
      </c>
      <c r="B1918" s="7">
        <f t="shared" si="439"/>
        <v>2039</v>
      </c>
      <c r="C1918" s="4" t="s">
        <v>46</v>
      </c>
      <c r="D1918" s="5" t="s">
        <v>131</v>
      </c>
      <c r="E1918" s="10" t="str">
        <f t="shared" si="405"/>
        <v>PRB'!</v>
      </c>
      <c r="F1918" s="5" t="str">
        <f t="shared" si="437"/>
        <v>C:\Users\jaime.benazar\Quorum Business Solutions\Ecopetrol Prometeo - Documents\Planning Space Implementation\3. Analysis &amp; Design\Design\FC22\DRR Jaime\Neiva CPI\[VAO_DINA TERCIARIOS_CF_SEC_20230117.xlsx]CF PRB'!</v>
      </c>
      <c r="G1918" s="7" t="s">
        <v>104</v>
      </c>
      <c r="H1918" s="4">
        <f t="shared" si="407"/>
        <v>52</v>
      </c>
      <c r="I1918" s="4" t="str">
        <f t="shared" si="406"/>
        <v>='C:\Users\jaime.benazar\Quorum Business Solutions\Ecopetrol Prometeo - Documents\Planning Space Implementation\3. Analysis &amp; Design\Design\FC22\DRR Jaime\Neiva CPI\[VAO_DINA TERCIARIOS_CF_SEC_20230117.xlsx]CF PRB'!$BU$52</v>
      </c>
      <c r="J1918" s="4" t="s">
        <v>999</v>
      </c>
    </row>
    <row r="1919" spans="1:10" x14ac:dyDescent="0.3">
      <c r="A1919" s="7" t="s">
        <v>20</v>
      </c>
      <c r="B1919" s="7">
        <f t="shared" si="439"/>
        <v>2040</v>
      </c>
      <c r="C1919" s="4" t="s">
        <v>46</v>
      </c>
      <c r="D1919" s="5" t="s">
        <v>131</v>
      </c>
      <c r="E1919" s="10" t="str">
        <f t="shared" si="405"/>
        <v>PRB'!</v>
      </c>
      <c r="F1919" s="5" t="str">
        <f t="shared" si="437"/>
        <v>C:\Users\jaime.benazar\Quorum Business Solutions\Ecopetrol Prometeo - Documents\Planning Space Implementation\3. Analysis &amp; Design\Design\FC22\DRR Jaime\Neiva CPI\[VAO_DINA TERCIARIOS_CF_SEC_20230117.xlsx]CF PRB'!</v>
      </c>
      <c r="G1919" s="7" t="s">
        <v>104</v>
      </c>
      <c r="H1919" s="4">
        <f t="shared" si="407"/>
        <v>53</v>
      </c>
      <c r="I1919" s="4" t="str">
        <f t="shared" si="406"/>
        <v>='C:\Users\jaime.benazar\Quorum Business Solutions\Ecopetrol Prometeo - Documents\Planning Space Implementation\3. Analysis &amp; Design\Design\FC22\DRR Jaime\Neiva CPI\[VAO_DINA TERCIARIOS_CF_SEC_20230117.xlsx]CF PRB'!$BU$53</v>
      </c>
      <c r="J1919" s="4" t="s">
        <v>1000</v>
      </c>
    </row>
    <row r="1920" spans="1:10" x14ac:dyDescent="0.3">
      <c r="A1920" s="7" t="s">
        <v>20</v>
      </c>
      <c r="B1920" s="7">
        <f>+B1919+1</f>
        <v>2041</v>
      </c>
      <c r="C1920" s="4" t="s">
        <v>46</v>
      </c>
      <c r="D1920" s="5" t="s">
        <v>131</v>
      </c>
      <c r="E1920" s="10" t="str">
        <f t="shared" si="405"/>
        <v>PRB'!</v>
      </c>
      <c r="F1920" s="5" t="str">
        <f t="shared" si="437"/>
        <v>C:\Users\jaime.benazar\Quorum Business Solutions\Ecopetrol Prometeo - Documents\Planning Space Implementation\3. Analysis &amp; Design\Design\FC22\DRR Jaime\Neiva CPI\[VAO_DINA TERCIARIOS_CF_SEC_20230117.xlsx]CF PRB'!</v>
      </c>
      <c r="G1920" s="7" t="s">
        <v>104</v>
      </c>
      <c r="H1920" s="4">
        <f t="shared" si="407"/>
        <v>54</v>
      </c>
      <c r="I1920" s="4" t="str">
        <f t="shared" si="406"/>
        <v>='C:\Users\jaime.benazar\Quorum Business Solutions\Ecopetrol Prometeo - Documents\Planning Space Implementation\3. Analysis &amp; Design\Design\FC22\DRR Jaime\Neiva CPI\[VAO_DINA TERCIARIOS_CF_SEC_20230117.xlsx]CF PRB'!$BU$54</v>
      </c>
      <c r="J1920" s="4" t="s">
        <v>1001</v>
      </c>
    </row>
    <row r="1921" spans="1:10" x14ac:dyDescent="0.3">
      <c r="A1921" s="7" t="s">
        <v>20</v>
      </c>
      <c r="B1921" s="7">
        <f t="shared" ref="B1921:B1922" si="440">+B1920+1</f>
        <v>2042</v>
      </c>
      <c r="C1921" s="4" t="s">
        <v>46</v>
      </c>
      <c r="D1921" s="5" t="s">
        <v>131</v>
      </c>
      <c r="E1921" s="10" t="str">
        <f t="shared" si="405"/>
        <v>PRB'!</v>
      </c>
      <c r="F1921" s="5" t="str">
        <f t="shared" si="437"/>
        <v>C:\Users\jaime.benazar\Quorum Business Solutions\Ecopetrol Prometeo - Documents\Planning Space Implementation\3. Analysis &amp; Design\Design\FC22\DRR Jaime\Neiva CPI\[VAO_DINA TERCIARIOS_CF_SEC_20230117.xlsx]CF PRB'!</v>
      </c>
      <c r="G1921" s="7" t="s">
        <v>104</v>
      </c>
      <c r="H1921" s="4">
        <f t="shared" si="407"/>
        <v>55</v>
      </c>
      <c r="I1921" s="4" t="str">
        <f t="shared" si="406"/>
        <v>='C:\Users\jaime.benazar\Quorum Business Solutions\Ecopetrol Prometeo - Documents\Planning Space Implementation\3. Analysis &amp; Design\Design\FC22\DRR Jaime\Neiva CPI\[VAO_DINA TERCIARIOS_CF_SEC_20230117.xlsx]CF PRB'!$BU$55</v>
      </c>
      <c r="J1921" s="4" t="s">
        <v>1002</v>
      </c>
    </row>
    <row r="1922" spans="1:10" x14ac:dyDescent="0.3">
      <c r="A1922" s="7" t="s">
        <v>20</v>
      </c>
      <c r="B1922" s="7">
        <f t="shared" si="440"/>
        <v>2043</v>
      </c>
      <c r="C1922" s="4" t="s">
        <v>46</v>
      </c>
      <c r="D1922" s="5" t="s">
        <v>131</v>
      </c>
      <c r="E1922" s="10" t="str">
        <f t="shared" si="405"/>
        <v>PRB'!</v>
      </c>
      <c r="F1922" s="5" t="str">
        <f t="shared" si="437"/>
        <v>C:\Users\jaime.benazar\Quorum Business Solutions\Ecopetrol Prometeo - Documents\Planning Space Implementation\3. Analysis &amp; Design\Design\FC22\DRR Jaime\Neiva CPI\[VAO_DINA TERCIARIOS_CF_SEC_20230117.xlsx]CF PRB'!</v>
      </c>
      <c r="G1922" s="7" t="s">
        <v>104</v>
      </c>
      <c r="H1922" s="4">
        <f t="shared" si="407"/>
        <v>56</v>
      </c>
      <c r="I1922" s="4" t="str">
        <f t="shared" si="406"/>
        <v>='C:\Users\jaime.benazar\Quorum Business Solutions\Ecopetrol Prometeo - Documents\Planning Space Implementation\3. Analysis &amp; Design\Design\FC22\DRR Jaime\Neiva CPI\[VAO_DINA TERCIARIOS_CF_SEC_20230117.xlsx]CF PRB'!$BU$56</v>
      </c>
      <c r="J1922" s="4" t="s">
        <v>1003</v>
      </c>
    </row>
    <row r="1923" spans="1:10" x14ac:dyDescent="0.3">
      <c r="A1923" s="7" t="s">
        <v>20</v>
      </c>
      <c r="B1923" s="7">
        <f>+B1922+1</f>
        <v>2044</v>
      </c>
      <c r="C1923" s="4" t="s">
        <v>46</v>
      </c>
      <c r="D1923" s="5" t="s">
        <v>131</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Jaime\Neiva CPI\[VAO_DINA TERCIARIOS_CF_SEC_20230117.xlsx]CF PRB'!</v>
      </c>
      <c r="G1923" s="7" t="s">
        <v>104</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Jaime\Neiva CPI\[VAO_DINA TERCIARIOS_CF_SEC_20230117.xlsx]CF PRB'!$BU$57</v>
      </c>
      <c r="J1923" s="4" t="s">
        <v>1004</v>
      </c>
    </row>
    <row r="1924" spans="1:10" x14ac:dyDescent="0.3">
      <c r="A1924" s="7" t="s">
        <v>20</v>
      </c>
      <c r="B1924" s="7">
        <f t="shared" ref="B1924:B1938" si="445">+B1923+1</f>
        <v>2045</v>
      </c>
      <c r="C1924" s="4" t="s">
        <v>46</v>
      </c>
      <c r="D1924" s="5" t="s">
        <v>131</v>
      </c>
      <c r="E1924" s="10" t="str">
        <f t="shared" si="441"/>
        <v>PRB'!</v>
      </c>
      <c r="F1924" s="5" t="str">
        <f t="shared" si="442"/>
        <v>C:\Users\jaime.benazar\Quorum Business Solutions\Ecopetrol Prometeo - Documents\Planning Space Implementation\3. Analysis &amp; Design\Design\FC22\DRR Jaime\Neiva CPI\[VAO_DINA TERCIARIOS_CF_SEC_20230117.xlsx]CF PRB'!</v>
      </c>
      <c r="G1924" s="7" t="s">
        <v>104</v>
      </c>
      <c r="H1924" s="4">
        <f t="shared" si="443"/>
        <v>58</v>
      </c>
      <c r="I1924" s="4" t="str">
        <f t="shared" si="444"/>
        <v>='C:\Users\jaime.benazar\Quorum Business Solutions\Ecopetrol Prometeo - Documents\Planning Space Implementation\3. Analysis &amp; Design\Design\FC22\DRR Jaime\Neiva CPI\[VAO_DINA TERCIARIOS_CF_SEC_20230117.xlsx]CF PRB'!$BU$58</v>
      </c>
      <c r="J1924" s="4" t="s">
        <v>1005</v>
      </c>
    </row>
    <row r="1925" spans="1:10" x14ac:dyDescent="0.3">
      <c r="A1925" s="7" t="s">
        <v>20</v>
      </c>
      <c r="B1925" s="7">
        <f t="shared" si="445"/>
        <v>2046</v>
      </c>
      <c r="C1925" s="4" t="s">
        <v>46</v>
      </c>
      <c r="D1925" s="5" t="s">
        <v>131</v>
      </c>
      <c r="E1925" s="10" t="str">
        <f t="shared" si="441"/>
        <v>PRB'!</v>
      </c>
      <c r="F1925" s="5" t="str">
        <f t="shared" si="442"/>
        <v>C:\Users\jaime.benazar\Quorum Business Solutions\Ecopetrol Prometeo - Documents\Planning Space Implementation\3. Analysis &amp; Design\Design\FC22\DRR Jaime\Neiva CPI\[VAO_DINA TERCIARIOS_CF_SEC_20230117.xlsx]CF PRB'!</v>
      </c>
      <c r="G1925" s="7" t="s">
        <v>104</v>
      </c>
      <c r="H1925" s="4">
        <f t="shared" si="443"/>
        <v>59</v>
      </c>
      <c r="I1925" s="4" t="str">
        <f t="shared" si="444"/>
        <v>='C:\Users\jaime.benazar\Quorum Business Solutions\Ecopetrol Prometeo - Documents\Planning Space Implementation\3. Analysis &amp; Design\Design\FC22\DRR Jaime\Neiva CPI\[VAO_DINA TERCIARIOS_CF_SEC_20230117.xlsx]CF PRB'!$BU$59</v>
      </c>
      <c r="J1925" s="4" t="s">
        <v>1006</v>
      </c>
    </row>
    <row r="1926" spans="1:10" x14ac:dyDescent="0.3">
      <c r="A1926" s="7" t="s">
        <v>20</v>
      </c>
      <c r="B1926" s="7">
        <f t="shared" si="445"/>
        <v>2047</v>
      </c>
      <c r="C1926" s="4" t="s">
        <v>46</v>
      </c>
      <c r="D1926" s="5" t="s">
        <v>131</v>
      </c>
      <c r="E1926" s="10" t="str">
        <f t="shared" si="441"/>
        <v>PRB'!</v>
      </c>
      <c r="F1926" s="5" t="str">
        <f t="shared" si="442"/>
        <v>C:\Users\jaime.benazar\Quorum Business Solutions\Ecopetrol Prometeo - Documents\Planning Space Implementation\3. Analysis &amp; Design\Design\FC22\DRR Jaime\Neiva CPI\[VAO_DINA TERCIARIOS_CF_SEC_20230117.xlsx]CF PRB'!</v>
      </c>
      <c r="G1926" s="7" t="s">
        <v>104</v>
      </c>
      <c r="H1926" s="4">
        <f t="shared" si="443"/>
        <v>60</v>
      </c>
      <c r="I1926" s="4" t="str">
        <f t="shared" si="444"/>
        <v>='C:\Users\jaime.benazar\Quorum Business Solutions\Ecopetrol Prometeo - Documents\Planning Space Implementation\3. Analysis &amp; Design\Design\FC22\DRR Jaime\Neiva CPI\[VAO_DINA TERCIARIOS_CF_SEC_20230117.xlsx]CF PRB'!$BU$60</v>
      </c>
      <c r="J1926" s="4" t="s">
        <v>1007</v>
      </c>
    </row>
    <row r="1927" spans="1:10" x14ac:dyDescent="0.3">
      <c r="A1927" s="7" t="s">
        <v>20</v>
      </c>
      <c r="B1927" s="7">
        <f t="shared" si="445"/>
        <v>2048</v>
      </c>
      <c r="C1927" s="4" t="s">
        <v>46</v>
      </c>
      <c r="D1927" s="5" t="s">
        <v>131</v>
      </c>
      <c r="E1927" s="10" t="str">
        <f t="shared" si="441"/>
        <v>PRB'!</v>
      </c>
      <c r="F1927" s="5" t="str">
        <f t="shared" si="442"/>
        <v>C:\Users\jaime.benazar\Quorum Business Solutions\Ecopetrol Prometeo - Documents\Planning Space Implementation\3. Analysis &amp; Design\Design\FC22\DRR Jaime\Neiva CPI\[VAO_DINA TERCIARIOS_CF_SEC_20230117.xlsx]CF PRB'!</v>
      </c>
      <c r="G1927" s="7" t="s">
        <v>104</v>
      </c>
      <c r="H1927" s="4">
        <f t="shared" si="443"/>
        <v>61</v>
      </c>
      <c r="I1927" s="4" t="str">
        <f t="shared" si="444"/>
        <v>='C:\Users\jaime.benazar\Quorum Business Solutions\Ecopetrol Prometeo - Documents\Planning Space Implementation\3. Analysis &amp; Design\Design\FC22\DRR Jaime\Neiva CPI\[VAO_DINA TERCIARIOS_CF_SEC_20230117.xlsx]CF PRB'!$BU$61</v>
      </c>
      <c r="J1927" s="4" t="s">
        <v>1008</v>
      </c>
    </row>
    <row r="1928" spans="1:10" x14ac:dyDescent="0.3">
      <c r="A1928" s="7" t="s">
        <v>20</v>
      </c>
      <c r="B1928" s="7">
        <f t="shared" si="445"/>
        <v>2049</v>
      </c>
      <c r="C1928" s="4" t="s">
        <v>46</v>
      </c>
      <c r="D1928" s="5" t="s">
        <v>131</v>
      </c>
      <c r="E1928" s="10" t="str">
        <f t="shared" si="441"/>
        <v>PRB'!</v>
      </c>
      <c r="F1928" s="5" t="str">
        <f t="shared" si="442"/>
        <v>C:\Users\jaime.benazar\Quorum Business Solutions\Ecopetrol Prometeo - Documents\Planning Space Implementation\3. Analysis &amp; Design\Design\FC22\DRR Jaime\Neiva CPI\[VAO_DINA TERCIARIOS_CF_SEC_20230117.xlsx]CF PRB'!</v>
      </c>
      <c r="G1928" s="7" t="s">
        <v>104</v>
      </c>
      <c r="H1928" s="4">
        <f t="shared" si="443"/>
        <v>62</v>
      </c>
      <c r="I1928" s="4" t="str">
        <f t="shared" si="444"/>
        <v>='C:\Users\jaime.benazar\Quorum Business Solutions\Ecopetrol Prometeo - Documents\Planning Space Implementation\3. Analysis &amp; Design\Design\FC22\DRR Jaime\Neiva CPI\[VAO_DINA TERCIARIOS_CF_SEC_20230117.xlsx]CF PRB'!$BU$62</v>
      </c>
      <c r="J1928" s="4" t="s">
        <v>1009</v>
      </c>
    </row>
    <row r="1929" spans="1:10" x14ac:dyDescent="0.3">
      <c r="A1929" s="7" t="s">
        <v>20</v>
      </c>
      <c r="B1929" s="7">
        <f t="shared" si="445"/>
        <v>2050</v>
      </c>
      <c r="C1929" s="4" t="s">
        <v>46</v>
      </c>
      <c r="D1929" s="5" t="s">
        <v>131</v>
      </c>
      <c r="E1929" s="10" t="str">
        <f t="shared" si="441"/>
        <v>PRB'!</v>
      </c>
      <c r="F1929" s="5" t="str">
        <f t="shared" si="442"/>
        <v>C:\Users\jaime.benazar\Quorum Business Solutions\Ecopetrol Prometeo - Documents\Planning Space Implementation\3. Analysis &amp; Design\Design\FC22\DRR Jaime\Neiva CPI\[VAO_DINA TERCIARIOS_CF_SEC_20230117.xlsx]CF PRB'!</v>
      </c>
      <c r="G1929" s="7" t="s">
        <v>104</v>
      </c>
      <c r="H1929" s="4">
        <f t="shared" si="443"/>
        <v>63</v>
      </c>
      <c r="I1929" s="4" t="str">
        <f t="shared" si="444"/>
        <v>='C:\Users\jaime.benazar\Quorum Business Solutions\Ecopetrol Prometeo - Documents\Planning Space Implementation\3. Analysis &amp; Design\Design\FC22\DRR Jaime\Neiva CPI\[VAO_DINA TERCIARIOS_CF_SEC_20230117.xlsx]CF PRB'!$BU$63</v>
      </c>
      <c r="J1929" s="4" t="s">
        <v>1010</v>
      </c>
    </row>
    <row r="1930" spans="1:10" x14ac:dyDescent="0.3">
      <c r="A1930" s="7" t="s">
        <v>20</v>
      </c>
      <c r="B1930" s="7">
        <f t="shared" si="445"/>
        <v>2051</v>
      </c>
      <c r="C1930" s="4" t="s">
        <v>46</v>
      </c>
      <c r="D1930" s="5" t="s">
        <v>131</v>
      </c>
      <c r="E1930" s="10" t="str">
        <f t="shared" si="441"/>
        <v>PRB'!</v>
      </c>
      <c r="F1930" s="5" t="str">
        <f t="shared" si="442"/>
        <v>C:\Users\jaime.benazar\Quorum Business Solutions\Ecopetrol Prometeo - Documents\Planning Space Implementation\3. Analysis &amp; Design\Design\FC22\DRR Jaime\Neiva CPI\[VAO_DINA TERCIARIOS_CF_SEC_20230117.xlsx]CF PRB'!</v>
      </c>
      <c r="G1930" s="7" t="s">
        <v>104</v>
      </c>
      <c r="H1930" s="4">
        <f t="shared" si="443"/>
        <v>64</v>
      </c>
      <c r="I1930" s="4" t="str">
        <f t="shared" si="444"/>
        <v>='C:\Users\jaime.benazar\Quorum Business Solutions\Ecopetrol Prometeo - Documents\Planning Space Implementation\3. Analysis &amp; Design\Design\FC22\DRR Jaime\Neiva CPI\[VAO_DINA TERCIARIOS_CF_SEC_20230117.xlsx]CF PRB'!$BU$64</v>
      </c>
      <c r="J1930" s="4" t="s">
        <v>1011</v>
      </c>
    </row>
    <row r="1931" spans="1:10" x14ac:dyDescent="0.3">
      <c r="A1931" s="7" t="s">
        <v>20</v>
      </c>
      <c r="B1931" s="7">
        <f t="shared" si="445"/>
        <v>2052</v>
      </c>
      <c r="C1931" s="4" t="s">
        <v>46</v>
      </c>
      <c r="D1931" s="5" t="s">
        <v>131</v>
      </c>
      <c r="E1931" s="10" t="str">
        <f t="shared" si="441"/>
        <v>PRB'!</v>
      </c>
      <c r="F1931" s="5" t="str">
        <f t="shared" si="442"/>
        <v>C:\Users\jaime.benazar\Quorum Business Solutions\Ecopetrol Prometeo - Documents\Planning Space Implementation\3. Analysis &amp; Design\Design\FC22\DRR Jaime\Neiva CPI\[VAO_DINA TERCIARIOS_CF_SEC_20230117.xlsx]CF PRB'!</v>
      </c>
      <c r="G1931" s="7" t="s">
        <v>104</v>
      </c>
      <c r="H1931" s="4">
        <f t="shared" si="443"/>
        <v>65</v>
      </c>
      <c r="I1931" s="4" t="str">
        <f t="shared" si="444"/>
        <v>='C:\Users\jaime.benazar\Quorum Business Solutions\Ecopetrol Prometeo - Documents\Planning Space Implementation\3. Analysis &amp; Design\Design\FC22\DRR Jaime\Neiva CPI\[VAO_DINA TERCIARIOS_CF_SEC_20230117.xlsx]CF PRB'!$BU$65</v>
      </c>
      <c r="J1931" s="4" t="s">
        <v>1012</v>
      </c>
    </row>
    <row r="1932" spans="1:10" x14ac:dyDescent="0.3">
      <c r="A1932" s="7" t="s">
        <v>20</v>
      </c>
      <c r="B1932" s="7">
        <f t="shared" si="445"/>
        <v>2053</v>
      </c>
      <c r="C1932" s="4" t="s">
        <v>46</v>
      </c>
      <c r="D1932" s="5" t="s">
        <v>131</v>
      </c>
      <c r="E1932" s="10" t="str">
        <f t="shared" si="441"/>
        <v>PRB'!</v>
      </c>
      <c r="F1932" s="5" t="str">
        <f t="shared" si="442"/>
        <v>C:\Users\jaime.benazar\Quorum Business Solutions\Ecopetrol Prometeo - Documents\Planning Space Implementation\3. Analysis &amp; Design\Design\FC22\DRR Jaime\Neiva CPI\[VAO_DINA TERCIARIOS_CF_SEC_20230117.xlsx]CF PRB'!</v>
      </c>
      <c r="G1932" s="7" t="s">
        <v>104</v>
      </c>
      <c r="H1932" s="4">
        <f t="shared" si="443"/>
        <v>66</v>
      </c>
      <c r="I1932" s="4" t="str">
        <f t="shared" si="444"/>
        <v>='C:\Users\jaime.benazar\Quorum Business Solutions\Ecopetrol Prometeo - Documents\Planning Space Implementation\3. Analysis &amp; Design\Design\FC22\DRR Jaime\Neiva CPI\[VAO_DINA TERCIARIOS_CF_SEC_20230117.xlsx]CF PRB'!$BU$66</v>
      </c>
      <c r="J1932" s="4" t="s">
        <v>1013</v>
      </c>
    </row>
    <row r="1933" spans="1:10" x14ac:dyDescent="0.3">
      <c r="A1933" s="7" t="s">
        <v>20</v>
      </c>
      <c r="B1933" s="7">
        <f t="shared" si="445"/>
        <v>2054</v>
      </c>
      <c r="C1933" s="4" t="s">
        <v>46</v>
      </c>
      <c r="D1933" s="5" t="s">
        <v>131</v>
      </c>
      <c r="E1933" s="10" t="str">
        <f t="shared" si="441"/>
        <v>PRB'!</v>
      </c>
      <c r="F1933" s="5" t="str">
        <f t="shared" si="442"/>
        <v>C:\Users\jaime.benazar\Quorum Business Solutions\Ecopetrol Prometeo - Documents\Planning Space Implementation\3. Analysis &amp; Design\Design\FC22\DRR Jaime\Neiva CPI\[VAO_DINA TERCIARIOS_CF_SEC_20230117.xlsx]CF PRB'!</v>
      </c>
      <c r="G1933" s="7" t="s">
        <v>104</v>
      </c>
      <c r="H1933" s="4">
        <f t="shared" si="443"/>
        <v>67</v>
      </c>
      <c r="I1933" s="4" t="str">
        <f t="shared" si="444"/>
        <v>='C:\Users\jaime.benazar\Quorum Business Solutions\Ecopetrol Prometeo - Documents\Planning Space Implementation\3. Analysis &amp; Design\Design\FC22\DRR Jaime\Neiva CPI\[VAO_DINA TERCIARIOS_CF_SEC_20230117.xlsx]CF PRB'!$BU$67</v>
      </c>
      <c r="J1933" s="4" t="s">
        <v>1014</v>
      </c>
    </row>
    <row r="1934" spans="1:10" x14ac:dyDescent="0.3">
      <c r="A1934" s="7" t="s">
        <v>20</v>
      </c>
      <c r="B1934" s="7">
        <f t="shared" si="445"/>
        <v>2055</v>
      </c>
      <c r="C1934" s="4" t="s">
        <v>46</v>
      </c>
      <c r="D1934" s="5" t="s">
        <v>131</v>
      </c>
      <c r="E1934" s="10" t="str">
        <f t="shared" si="441"/>
        <v>PRB'!</v>
      </c>
      <c r="F1934" s="5" t="str">
        <f t="shared" si="442"/>
        <v>C:\Users\jaime.benazar\Quorum Business Solutions\Ecopetrol Prometeo - Documents\Planning Space Implementation\3. Analysis &amp; Design\Design\FC22\DRR Jaime\Neiva CPI\[VAO_DINA TERCIARIOS_CF_SEC_20230117.xlsx]CF PRB'!</v>
      </c>
      <c r="G1934" s="7" t="s">
        <v>104</v>
      </c>
      <c r="H1934" s="4">
        <f t="shared" si="443"/>
        <v>68</v>
      </c>
      <c r="I1934" s="4" t="str">
        <f t="shared" si="444"/>
        <v>='C:\Users\jaime.benazar\Quorum Business Solutions\Ecopetrol Prometeo - Documents\Planning Space Implementation\3. Analysis &amp; Design\Design\FC22\DRR Jaime\Neiva CPI\[VAO_DINA TERCIARIOS_CF_SEC_20230117.xlsx]CF PRB'!$BU$68</v>
      </c>
      <c r="J1934" s="4" t="s">
        <v>1015</v>
      </c>
    </row>
    <row r="1935" spans="1:10" x14ac:dyDescent="0.3">
      <c r="A1935" s="7" t="s">
        <v>20</v>
      </c>
      <c r="B1935" s="7">
        <f t="shared" si="445"/>
        <v>2056</v>
      </c>
      <c r="C1935" s="4" t="s">
        <v>46</v>
      </c>
      <c r="D1935" s="5" t="s">
        <v>131</v>
      </c>
      <c r="E1935" s="10" t="str">
        <f t="shared" si="441"/>
        <v>PRB'!</v>
      </c>
      <c r="F1935" s="5" t="str">
        <f t="shared" si="442"/>
        <v>C:\Users\jaime.benazar\Quorum Business Solutions\Ecopetrol Prometeo - Documents\Planning Space Implementation\3. Analysis &amp; Design\Design\FC22\DRR Jaime\Neiva CPI\[VAO_DINA TERCIARIOS_CF_SEC_20230117.xlsx]CF PRB'!</v>
      </c>
      <c r="G1935" s="7" t="s">
        <v>104</v>
      </c>
      <c r="H1935" s="4">
        <f t="shared" si="443"/>
        <v>69</v>
      </c>
      <c r="I1935" s="4" t="str">
        <f t="shared" si="444"/>
        <v>='C:\Users\jaime.benazar\Quorum Business Solutions\Ecopetrol Prometeo - Documents\Planning Space Implementation\3. Analysis &amp; Design\Design\FC22\DRR Jaime\Neiva CPI\[VAO_DINA TERCIARIOS_CF_SEC_20230117.xlsx]CF PRB'!$BU$69</v>
      </c>
      <c r="J1935" s="4" t="s">
        <v>1016</v>
      </c>
    </row>
    <row r="1936" spans="1:10" x14ac:dyDescent="0.3">
      <c r="A1936" s="7" t="s">
        <v>20</v>
      </c>
      <c r="B1936" s="7">
        <f t="shared" si="445"/>
        <v>2057</v>
      </c>
      <c r="C1936" s="4" t="s">
        <v>46</v>
      </c>
      <c r="D1936" s="5" t="s">
        <v>131</v>
      </c>
      <c r="E1936" s="10" t="str">
        <f t="shared" si="441"/>
        <v>PRB'!</v>
      </c>
      <c r="F1936" s="5" t="str">
        <f t="shared" si="442"/>
        <v>C:\Users\jaime.benazar\Quorum Business Solutions\Ecopetrol Prometeo - Documents\Planning Space Implementation\3. Analysis &amp; Design\Design\FC22\DRR Jaime\Neiva CPI\[VAO_DINA TERCIARIOS_CF_SEC_20230117.xlsx]CF PRB'!</v>
      </c>
      <c r="G1936" s="7" t="s">
        <v>104</v>
      </c>
      <c r="H1936" s="4">
        <f t="shared" si="443"/>
        <v>70</v>
      </c>
      <c r="I1936" s="4" t="str">
        <f t="shared" si="444"/>
        <v>='C:\Users\jaime.benazar\Quorum Business Solutions\Ecopetrol Prometeo - Documents\Planning Space Implementation\3. Analysis &amp; Design\Design\FC22\DRR Jaime\Neiva CPI\[VAO_DINA TERCIARIOS_CF_SEC_20230117.xlsx]CF PRB'!$BU$70</v>
      </c>
      <c r="J1936" s="4" t="s">
        <v>1017</v>
      </c>
    </row>
    <row r="1937" spans="1:10" x14ac:dyDescent="0.3">
      <c r="A1937" s="7" t="s">
        <v>20</v>
      </c>
      <c r="B1937" s="7">
        <f t="shared" si="445"/>
        <v>2058</v>
      </c>
      <c r="C1937" s="4" t="s">
        <v>46</v>
      </c>
      <c r="D1937" s="5" t="s">
        <v>131</v>
      </c>
      <c r="E1937" s="10" t="str">
        <f t="shared" si="441"/>
        <v>PRB'!</v>
      </c>
      <c r="F1937" s="5" t="str">
        <f t="shared" si="442"/>
        <v>C:\Users\jaime.benazar\Quorum Business Solutions\Ecopetrol Prometeo - Documents\Planning Space Implementation\3. Analysis &amp; Design\Design\FC22\DRR Jaime\Neiva CPI\[VAO_DINA TERCIARIOS_CF_SEC_20230117.xlsx]CF PRB'!</v>
      </c>
      <c r="G1937" s="7" t="s">
        <v>104</v>
      </c>
      <c r="H1937" s="4">
        <f t="shared" si="443"/>
        <v>71</v>
      </c>
      <c r="I1937" s="4" t="str">
        <f t="shared" si="444"/>
        <v>='C:\Users\jaime.benazar\Quorum Business Solutions\Ecopetrol Prometeo - Documents\Planning Space Implementation\3. Analysis &amp; Design\Design\FC22\DRR Jaime\Neiva CPI\[VAO_DINA TERCIARIOS_CF_SEC_20230117.xlsx]CF PRB'!$BU$71</v>
      </c>
      <c r="J1937" s="4" t="s">
        <v>1018</v>
      </c>
    </row>
    <row r="1938" spans="1:10" x14ac:dyDescent="0.3">
      <c r="A1938" s="7" t="s">
        <v>20</v>
      </c>
      <c r="B1938" s="7">
        <f t="shared" si="445"/>
        <v>2059</v>
      </c>
      <c r="C1938" s="4" t="s">
        <v>46</v>
      </c>
      <c r="D1938" s="5" t="s">
        <v>131</v>
      </c>
      <c r="E1938" s="10" t="str">
        <f t="shared" si="441"/>
        <v>PRB'!</v>
      </c>
      <c r="F1938" s="5" t="str">
        <f t="shared" si="442"/>
        <v>C:\Users\jaime.benazar\Quorum Business Solutions\Ecopetrol Prometeo - Documents\Planning Space Implementation\3. Analysis &amp; Design\Design\FC22\DRR Jaime\Neiva CPI\[VAO_DINA TERCIARIOS_CF_SEC_20230117.xlsx]CF PRB'!</v>
      </c>
      <c r="G1938" s="7" t="s">
        <v>104</v>
      </c>
      <c r="H1938" s="4">
        <f t="shared" si="443"/>
        <v>72</v>
      </c>
      <c r="I1938" s="4" t="str">
        <f t="shared" si="444"/>
        <v>='C:\Users\jaime.benazar\Quorum Business Solutions\Ecopetrol Prometeo - Documents\Planning Space Implementation\3. Analysis &amp; Design\Design\FC22\DRR Jaime\Neiva CPI\[VAO_DINA TERCIARIOS_CF_SEC_20230117.xlsx]CF PRB'!$BU$72</v>
      </c>
      <c r="J1938" s="4" t="s">
        <v>1019</v>
      </c>
    </row>
    <row r="1939" spans="1:10" x14ac:dyDescent="0.3">
      <c r="A1939" s="7" t="s">
        <v>26</v>
      </c>
      <c r="B1939" s="7"/>
      <c r="C1939" s="4" t="s">
        <v>46</v>
      </c>
      <c r="D1939" s="5"/>
      <c r="E1939" s="10"/>
      <c r="F1939" s="5"/>
      <c r="G1939" s="7"/>
      <c r="H1939" s="4"/>
      <c r="I1939" s="4"/>
      <c r="J1939" s="4"/>
    </row>
    <row r="1940" spans="1:10" x14ac:dyDescent="0.3">
      <c r="A1940" s="7" t="s">
        <v>21</v>
      </c>
      <c r="B1940" s="7">
        <v>2023</v>
      </c>
      <c r="C1940" s="4" t="s">
        <v>46</v>
      </c>
      <c r="D1940" s="5" t="s">
        <v>131</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Jaime\Neiva CPI\[VAO_DINA TERCIARIOS_CF_SEC_20230117.xlsx]CF PSDP'!</v>
      </c>
      <c r="G1940" s="7" t="s">
        <v>104</v>
      </c>
      <c r="H1940" s="4"/>
      <c r="I1940" s="4"/>
      <c r="J1940" s="4"/>
    </row>
    <row r="1941" spans="1:10" x14ac:dyDescent="0.3">
      <c r="A1941" s="7" t="s">
        <v>21</v>
      </c>
      <c r="B1941" s="7">
        <f>+B1940+1</f>
        <v>2024</v>
      </c>
      <c r="C1941" s="4" t="s">
        <v>46</v>
      </c>
      <c r="D1941" s="5" t="s">
        <v>131</v>
      </c>
      <c r="E1941" s="10" t="str">
        <f t="shared" si="446"/>
        <v>PSDP'!</v>
      </c>
      <c r="F1941" s="5" t="str">
        <f t="shared" si="447"/>
        <v>C:\Users\jaime.benazar\Quorum Business Solutions\Ecopetrol Prometeo - Documents\Planning Space Implementation\3. Analysis &amp; Design\Design\FC22\DRR Jaime\Neiva CPI\[VAO_DINA TERCIARIOS_CF_SEC_20230117.xlsx]CF PSDP'!</v>
      </c>
      <c r="G1941" s="7" t="s">
        <v>104</v>
      </c>
      <c r="H1941" s="4"/>
      <c r="I1941" s="4"/>
      <c r="J1941" s="4"/>
    </row>
    <row r="1942" spans="1:10" x14ac:dyDescent="0.3">
      <c r="A1942" s="7" t="s">
        <v>21</v>
      </c>
      <c r="B1942" s="7">
        <f t="shared" ref="B1942:B1953" si="448">+B1941+1</f>
        <v>2025</v>
      </c>
      <c r="C1942" s="4" t="s">
        <v>46</v>
      </c>
      <c r="D1942" s="5" t="s">
        <v>131</v>
      </c>
      <c r="E1942" s="10" t="str">
        <f t="shared" si="446"/>
        <v>PSDP'!</v>
      </c>
      <c r="F1942" s="5" t="str">
        <f t="shared" si="447"/>
        <v>C:\Users\jaime.benazar\Quorum Business Solutions\Ecopetrol Prometeo - Documents\Planning Space Implementation\3. Analysis &amp; Design\Design\FC22\DRR Jaime\Neiva CPI\[VAO_DINA TERCIARIOS_CF_SEC_20230117.xlsx]CF PSDP'!</v>
      </c>
      <c r="G1942" s="7" t="s">
        <v>104</v>
      </c>
      <c r="H1942" s="4"/>
      <c r="I1942" s="4"/>
      <c r="J1942" s="4"/>
    </row>
    <row r="1943" spans="1:10" x14ac:dyDescent="0.3">
      <c r="A1943" s="7" t="s">
        <v>21</v>
      </c>
      <c r="B1943" s="7">
        <f t="shared" si="448"/>
        <v>2026</v>
      </c>
      <c r="C1943" s="4" t="s">
        <v>46</v>
      </c>
      <c r="D1943" s="5" t="s">
        <v>131</v>
      </c>
      <c r="E1943" s="10" t="str">
        <f t="shared" si="446"/>
        <v>PSDP'!</v>
      </c>
      <c r="F1943" s="5" t="str">
        <f t="shared" si="447"/>
        <v>C:\Users\jaime.benazar\Quorum Business Solutions\Ecopetrol Prometeo - Documents\Planning Space Implementation\3. Analysis &amp; Design\Design\FC22\DRR Jaime\Neiva CPI\[VAO_DINA TERCIARIOS_CF_SEC_20230117.xlsx]CF PSDP'!</v>
      </c>
      <c r="G1943" s="7" t="s">
        <v>104</v>
      </c>
      <c r="H1943" s="4"/>
      <c r="I1943" s="4"/>
      <c r="J1943" s="4"/>
    </row>
    <row r="1944" spans="1:10" x14ac:dyDescent="0.3">
      <c r="A1944" s="7" t="s">
        <v>21</v>
      </c>
      <c r="B1944" s="7">
        <f t="shared" si="448"/>
        <v>2027</v>
      </c>
      <c r="C1944" s="4" t="s">
        <v>46</v>
      </c>
      <c r="D1944" s="5" t="s">
        <v>131</v>
      </c>
      <c r="E1944" s="10" t="str">
        <f t="shared" si="446"/>
        <v>PSDP'!</v>
      </c>
      <c r="F1944" s="5" t="str">
        <f t="shared" si="447"/>
        <v>C:\Users\jaime.benazar\Quorum Business Solutions\Ecopetrol Prometeo - Documents\Planning Space Implementation\3. Analysis &amp; Design\Design\FC22\DRR Jaime\Neiva CPI\[VAO_DINA TERCIARIOS_CF_SEC_20230117.xlsx]CF PSDP'!</v>
      </c>
      <c r="G1944" s="7" t="s">
        <v>104</v>
      </c>
      <c r="H1944" s="4"/>
      <c r="I1944" s="4"/>
      <c r="J1944" s="4"/>
    </row>
    <row r="1945" spans="1:10" x14ac:dyDescent="0.3">
      <c r="A1945" s="7" t="s">
        <v>21</v>
      </c>
      <c r="B1945" s="7">
        <f t="shared" si="448"/>
        <v>2028</v>
      </c>
      <c r="C1945" s="4" t="s">
        <v>46</v>
      </c>
      <c r="D1945" s="5" t="s">
        <v>131</v>
      </c>
      <c r="E1945" s="10" t="str">
        <f t="shared" si="446"/>
        <v>PSDP'!</v>
      </c>
      <c r="F1945" s="5" t="str">
        <f t="shared" si="447"/>
        <v>C:\Users\jaime.benazar\Quorum Business Solutions\Ecopetrol Prometeo - Documents\Planning Space Implementation\3. Analysis &amp; Design\Design\FC22\DRR Jaime\Neiva CPI\[VAO_DINA TERCIARIOS_CF_SEC_20230117.xlsx]CF PSDP'!</v>
      </c>
      <c r="G1945" s="7" t="s">
        <v>104</v>
      </c>
      <c r="H1945" s="4"/>
      <c r="I1945" s="4"/>
      <c r="J1945" s="4"/>
    </row>
    <row r="1946" spans="1:10" x14ac:dyDescent="0.3">
      <c r="A1946" s="7" t="s">
        <v>21</v>
      </c>
      <c r="B1946" s="7">
        <f t="shared" si="448"/>
        <v>2029</v>
      </c>
      <c r="C1946" s="4" t="s">
        <v>46</v>
      </c>
      <c r="D1946" s="5" t="s">
        <v>131</v>
      </c>
      <c r="E1946" s="10" t="str">
        <f t="shared" si="446"/>
        <v>PSDP'!</v>
      </c>
      <c r="F1946" s="5" t="str">
        <f t="shared" si="447"/>
        <v>C:\Users\jaime.benazar\Quorum Business Solutions\Ecopetrol Prometeo - Documents\Planning Space Implementation\3. Analysis &amp; Design\Design\FC22\DRR Jaime\Neiva CPI\[VAO_DINA TERCIARIOS_CF_SEC_20230117.xlsx]CF PSDP'!</v>
      </c>
      <c r="G1946" s="7" t="s">
        <v>104</v>
      </c>
      <c r="H1946" s="4"/>
      <c r="I1946" s="4"/>
      <c r="J1946" s="4"/>
    </row>
    <row r="1947" spans="1:10" x14ac:dyDescent="0.3">
      <c r="A1947" s="7" t="s">
        <v>21</v>
      </c>
      <c r="B1947" s="7">
        <f t="shared" si="448"/>
        <v>2030</v>
      </c>
      <c r="C1947" s="4" t="s">
        <v>46</v>
      </c>
      <c r="D1947" s="5" t="s">
        <v>131</v>
      </c>
      <c r="E1947" s="10" t="str">
        <f t="shared" si="446"/>
        <v>PSDP'!</v>
      </c>
      <c r="F1947" s="5" t="str">
        <f t="shared" si="447"/>
        <v>C:\Users\jaime.benazar\Quorum Business Solutions\Ecopetrol Prometeo - Documents\Planning Space Implementation\3. Analysis &amp; Design\Design\FC22\DRR Jaime\Neiva CPI\[VAO_DINA TERCIARIOS_CF_SEC_20230117.xlsx]CF PSDP'!</v>
      </c>
      <c r="G1947" s="7" t="s">
        <v>104</v>
      </c>
      <c r="H1947" s="4"/>
      <c r="I1947" s="4"/>
      <c r="J1947" s="4"/>
    </row>
    <row r="1948" spans="1:10" x14ac:dyDescent="0.3">
      <c r="A1948" s="7" t="s">
        <v>21</v>
      </c>
      <c r="B1948" s="7">
        <f t="shared" si="448"/>
        <v>2031</v>
      </c>
      <c r="C1948" s="4" t="s">
        <v>46</v>
      </c>
      <c r="D1948" s="5" t="s">
        <v>131</v>
      </c>
      <c r="E1948" s="10" t="str">
        <f t="shared" si="446"/>
        <v>PSDP'!</v>
      </c>
      <c r="F1948" s="5" t="str">
        <f t="shared" si="447"/>
        <v>C:\Users\jaime.benazar\Quorum Business Solutions\Ecopetrol Prometeo - Documents\Planning Space Implementation\3. Analysis &amp; Design\Design\FC22\DRR Jaime\Neiva CPI\[VAO_DINA TERCIARIOS_CF_SEC_20230117.xlsx]CF PSDP'!</v>
      </c>
      <c r="G1948" s="7" t="s">
        <v>104</v>
      </c>
      <c r="H1948" s="4"/>
      <c r="I1948" s="4"/>
      <c r="J1948" s="4"/>
    </row>
    <row r="1949" spans="1:10" x14ac:dyDescent="0.3">
      <c r="A1949" s="7" t="s">
        <v>21</v>
      </c>
      <c r="B1949" s="7">
        <f t="shared" si="448"/>
        <v>2032</v>
      </c>
      <c r="C1949" s="4" t="s">
        <v>46</v>
      </c>
      <c r="D1949" s="5" t="s">
        <v>131</v>
      </c>
      <c r="E1949" s="10" t="str">
        <f t="shared" si="446"/>
        <v>PSDP'!</v>
      </c>
      <c r="F1949" s="5" t="str">
        <f t="shared" si="447"/>
        <v>C:\Users\jaime.benazar\Quorum Business Solutions\Ecopetrol Prometeo - Documents\Planning Space Implementation\3. Analysis &amp; Design\Design\FC22\DRR Jaime\Neiva CPI\[VAO_DINA TERCIARIOS_CF_SEC_20230117.xlsx]CF PSDP'!</v>
      </c>
      <c r="G1949" s="7" t="s">
        <v>104</v>
      </c>
      <c r="H1949" s="4"/>
      <c r="I1949" s="4"/>
      <c r="J1949" s="4"/>
    </row>
    <row r="1950" spans="1:10" x14ac:dyDescent="0.3">
      <c r="A1950" s="7" t="s">
        <v>21</v>
      </c>
      <c r="B1950" s="7">
        <f t="shared" si="448"/>
        <v>2033</v>
      </c>
      <c r="C1950" s="4" t="s">
        <v>46</v>
      </c>
      <c r="D1950" s="5" t="s">
        <v>131</v>
      </c>
      <c r="E1950" s="10" t="str">
        <f t="shared" si="446"/>
        <v>PSDP'!</v>
      </c>
      <c r="F1950" s="5" t="str">
        <f t="shared" si="447"/>
        <v>C:\Users\jaime.benazar\Quorum Business Solutions\Ecopetrol Prometeo - Documents\Planning Space Implementation\3. Analysis &amp; Design\Design\FC22\DRR Jaime\Neiva CPI\[VAO_DINA TERCIARIOS_CF_SEC_20230117.xlsx]CF PSDP'!</v>
      </c>
      <c r="G1950" s="7" t="s">
        <v>104</v>
      </c>
      <c r="H1950" s="4"/>
      <c r="I1950" s="4"/>
      <c r="J1950" s="4"/>
    </row>
    <row r="1951" spans="1:10" x14ac:dyDescent="0.3">
      <c r="A1951" s="7" t="s">
        <v>21</v>
      </c>
      <c r="B1951" s="7">
        <f t="shared" si="448"/>
        <v>2034</v>
      </c>
      <c r="C1951" s="4" t="s">
        <v>46</v>
      </c>
      <c r="D1951" s="5" t="s">
        <v>131</v>
      </c>
      <c r="E1951" s="10" t="str">
        <f t="shared" si="446"/>
        <v>PSDP'!</v>
      </c>
      <c r="F1951" s="5" t="str">
        <f t="shared" si="447"/>
        <v>C:\Users\jaime.benazar\Quorum Business Solutions\Ecopetrol Prometeo - Documents\Planning Space Implementation\3. Analysis &amp; Design\Design\FC22\DRR Jaime\Neiva CPI\[VAO_DINA TERCIARIOS_CF_SEC_20230117.xlsx]CF PSDP'!</v>
      </c>
      <c r="G1951" s="7" t="s">
        <v>104</v>
      </c>
      <c r="H1951" s="4"/>
      <c r="I1951" s="4"/>
      <c r="J1951" s="4"/>
    </row>
    <row r="1952" spans="1:10" x14ac:dyDescent="0.3">
      <c r="A1952" s="7" t="s">
        <v>21</v>
      </c>
      <c r="B1952" s="7">
        <f t="shared" si="448"/>
        <v>2035</v>
      </c>
      <c r="C1952" s="4" t="s">
        <v>46</v>
      </c>
      <c r="D1952" s="5" t="s">
        <v>131</v>
      </c>
      <c r="E1952" s="10" t="str">
        <f t="shared" si="446"/>
        <v>PSDP'!</v>
      </c>
      <c r="F1952" s="5" t="str">
        <f t="shared" si="447"/>
        <v>C:\Users\jaime.benazar\Quorum Business Solutions\Ecopetrol Prometeo - Documents\Planning Space Implementation\3. Analysis &amp; Design\Design\FC22\DRR Jaime\Neiva CPI\[VAO_DINA TERCIARIOS_CF_SEC_20230117.xlsx]CF PSDP'!</v>
      </c>
      <c r="G1952" s="7" t="s">
        <v>104</v>
      </c>
      <c r="H1952" s="4"/>
      <c r="I1952" s="4"/>
      <c r="J1952" s="4"/>
    </row>
    <row r="1953" spans="1:10" x14ac:dyDescent="0.3">
      <c r="A1953" s="7" t="s">
        <v>21</v>
      </c>
      <c r="B1953" s="7">
        <f t="shared" si="448"/>
        <v>2036</v>
      </c>
      <c r="C1953" s="4" t="s">
        <v>46</v>
      </c>
      <c r="D1953" s="5" t="s">
        <v>131</v>
      </c>
      <c r="E1953" s="10" t="str">
        <f t="shared" si="446"/>
        <v>PSDP'!</v>
      </c>
      <c r="F1953" s="5" t="str">
        <f t="shared" si="447"/>
        <v>C:\Users\jaime.benazar\Quorum Business Solutions\Ecopetrol Prometeo - Documents\Planning Space Implementation\3. Analysis &amp; Design\Design\FC22\DRR Jaime\Neiva CPI\[VAO_DINA TERCIARIOS_CF_SEC_20230117.xlsx]CF PSDP'!</v>
      </c>
      <c r="G1953" s="7" t="s">
        <v>104</v>
      </c>
      <c r="H1953" s="4"/>
      <c r="I1953" s="4"/>
      <c r="J1953" s="4"/>
    </row>
    <row r="1954" spans="1:10" x14ac:dyDescent="0.3">
      <c r="A1954" s="7" t="s">
        <v>21</v>
      </c>
      <c r="B1954" s="7">
        <f>+B1953+1</f>
        <v>2037</v>
      </c>
      <c r="C1954" s="4" t="s">
        <v>46</v>
      </c>
      <c r="D1954" s="5" t="s">
        <v>131</v>
      </c>
      <c r="E1954" s="10" t="str">
        <f t="shared" si="446"/>
        <v>PSDP'!</v>
      </c>
      <c r="F1954" s="5" t="str">
        <f t="shared" si="447"/>
        <v>C:\Users\jaime.benazar\Quorum Business Solutions\Ecopetrol Prometeo - Documents\Planning Space Implementation\3. Analysis &amp; Design\Design\FC22\DRR Jaime\Neiva CPI\[VAO_DINA TERCIARIOS_CF_SEC_20230117.xlsx]CF PSDP'!</v>
      </c>
      <c r="G1954" s="7" t="s">
        <v>104</v>
      </c>
      <c r="H1954" s="4"/>
      <c r="I1954" s="4"/>
      <c r="J1954" s="4"/>
    </row>
    <row r="1955" spans="1:10" x14ac:dyDescent="0.3">
      <c r="A1955" s="7" t="s">
        <v>21</v>
      </c>
      <c r="B1955" s="7">
        <f t="shared" ref="B1955:B1957" si="449">+B1954+1</f>
        <v>2038</v>
      </c>
      <c r="C1955" s="4" t="s">
        <v>46</v>
      </c>
      <c r="D1955" s="5" t="s">
        <v>131</v>
      </c>
      <c r="E1955" s="10" t="str">
        <f t="shared" si="446"/>
        <v>PSDP'!</v>
      </c>
      <c r="F1955" s="5" t="str">
        <f t="shared" si="447"/>
        <v>C:\Users\jaime.benazar\Quorum Business Solutions\Ecopetrol Prometeo - Documents\Planning Space Implementation\3. Analysis &amp; Design\Design\FC22\DRR Jaime\Neiva CPI\[VAO_DINA TERCIARIOS_CF_SEC_20230117.xlsx]CF PSDP'!</v>
      </c>
      <c r="G1955" s="7" t="s">
        <v>104</v>
      </c>
      <c r="H1955" s="4"/>
      <c r="I1955" s="4"/>
      <c r="J1955" s="4"/>
    </row>
    <row r="1956" spans="1:10" x14ac:dyDescent="0.3">
      <c r="A1956" s="7" t="s">
        <v>21</v>
      </c>
      <c r="B1956" s="7">
        <f t="shared" si="449"/>
        <v>2039</v>
      </c>
      <c r="C1956" s="4" t="s">
        <v>46</v>
      </c>
      <c r="D1956" s="5" t="s">
        <v>131</v>
      </c>
      <c r="E1956" s="10" t="str">
        <f t="shared" si="446"/>
        <v>PSDP'!</v>
      </c>
      <c r="F1956" s="5" t="str">
        <f t="shared" si="447"/>
        <v>C:\Users\jaime.benazar\Quorum Business Solutions\Ecopetrol Prometeo - Documents\Planning Space Implementation\3. Analysis &amp; Design\Design\FC22\DRR Jaime\Neiva CPI\[VAO_DINA TERCIARIOS_CF_SEC_20230117.xlsx]CF PSDP'!</v>
      </c>
      <c r="G1956" s="7" t="s">
        <v>104</v>
      </c>
      <c r="H1956" s="4"/>
      <c r="I1956" s="4"/>
      <c r="J1956" s="4"/>
    </row>
    <row r="1957" spans="1:10" x14ac:dyDescent="0.3">
      <c r="A1957" s="7" t="s">
        <v>21</v>
      </c>
      <c r="B1957" s="7">
        <f t="shared" si="449"/>
        <v>2040</v>
      </c>
      <c r="C1957" s="4" t="s">
        <v>46</v>
      </c>
      <c r="D1957" s="5" t="s">
        <v>131</v>
      </c>
      <c r="E1957" s="10" t="str">
        <f t="shared" si="446"/>
        <v>PSDP'!</v>
      </c>
      <c r="F1957" s="5" t="str">
        <f t="shared" si="447"/>
        <v>C:\Users\jaime.benazar\Quorum Business Solutions\Ecopetrol Prometeo - Documents\Planning Space Implementation\3. Analysis &amp; Design\Design\FC22\DRR Jaime\Neiva CPI\[VAO_DINA TERCIARIOS_CF_SEC_20230117.xlsx]CF PSDP'!</v>
      </c>
      <c r="G1957" s="7" t="s">
        <v>104</v>
      </c>
      <c r="H1957" s="4"/>
      <c r="I1957" s="4"/>
      <c r="J1957" s="4"/>
    </row>
    <row r="1958" spans="1:10" x14ac:dyDescent="0.3">
      <c r="A1958" s="7" t="s">
        <v>21</v>
      </c>
      <c r="B1958" s="7">
        <f>+B1957+1</f>
        <v>2041</v>
      </c>
      <c r="C1958" s="4" t="s">
        <v>46</v>
      </c>
      <c r="D1958" s="5" t="s">
        <v>131</v>
      </c>
      <c r="E1958" s="10" t="str">
        <f t="shared" si="446"/>
        <v>PSDP'!</v>
      </c>
      <c r="F1958" s="5" t="str">
        <f t="shared" si="447"/>
        <v>C:\Users\jaime.benazar\Quorum Business Solutions\Ecopetrol Prometeo - Documents\Planning Space Implementation\3. Analysis &amp; Design\Design\FC22\DRR Jaime\Neiva CPI\[VAO_DINA TERCIARIOS_CF_SEC_20230117.xlsx]CF PSDP'!</v>
      </c>
      <c r="G1958" s="7" t="s">
        <v>104</v>
      </c>
      <c r="H1958" s="4"/>
      <c r="I1958" s="4"/>
      <c r="J1958" s="4"/>
    </row>
    <row r="1959" spans="1:10" x14ac:dyDescent="0.3">
      <c r="A1959" s="7" t="s">
        <v>21</v>
      </c>
      <c r="B1959" s="7">
        <f t="shared" ref="B1959:B1960" si="450">+B1958+1</f>
        <v>2042</v>
      </c>
      <c r="C1959" s="4" t="s">
        <v>46</v>
      </c>
      <c r="D1959" s="5" t="s">
        <v>131</v>
      </c>
      <c r="E1959" s="10" t="str">
        <f t="shared" si="446"/>
        <v>PSDP'!</v>
      </c>
      <c r="F1959" s="5" t="str">
        <f t="shared" si="447"/>
        <v>C:\Users\jaime.benazar\Quorum Business Solutions\Ecopetrol Prometeo - Documents\Planning Space Implementation\3. Analysis &amp; Design\Design\FC22\DRR Jaime\Neiva CPI\[VAO_DINA TERCIARIOS_CF_SEC_20230117.xlsx]CF PSDP'!</v>
      </c>
      <c r="G1959" s="7" t="s">
        <v>104</v>
      </c>
      <c r="H1959" s="4"/>
      <c r="I1959" s="4"/>
      <c r="J1959" s="4"/>
    </row>
    <row r="1960" spans="1:10" x14ac:dyDescent="0.3">
      <c r="A1960" s="7" t="s">
        <v>21</v>
      </c>
      <c r="B1960" s="7">
        <f t="shared" si="450"/>
        <v>2043</v>
      </c>
      <c r="C1960" s="4" t="s">
        <v>46</v>
      </c>
      <c r="D1960" s="5" t="s">
        <v>131</v>
      </c>
      <c r="E1960" s="10" t="str">
        <f t="shared" si="446"/>
        <v>PSDP'!</v>
      </c>
      <c r="F1960" s="5" t="str">
        <f t="shared" si="447"/>
        <v>C:\Users\jaime.benazar\Quorum Business Solutions\Ecopetrol Prometeo - Documents\Planning Space Implementation\3. Analysis &amp; Design\Design\FC22\DRR Jaime\Neiva CPI\[VAO_DINA TERCIARIOS_CF_SEC_20230117.xlsx]CF PSDP'!</v>
      </c>
      <c r="G1960" s="7" t="s">
        <v>104</v>
      </c>
      <c r="H1960" s="4"/>
      <c r="I1960" s="4"/>
      <c r="J1960" s="4"/>
    </row>
    <row r="1961" spans="1:10" x14ac:dyDescent="0.3">
      <c r="A1961" s="7" t="s">
        <v>21</v>
      </c>
      <c r="B1961" s="7">
        <f>+B1960+1</f>
        <v>2044</v>
      </c>
      <c r="C1961" s="4" t="s">
        <v>46</v>
      </c>
      <c r="D1961" s="5" t="s">
        <v>131</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Jaime\Neiva CPI\[VAO_DINA TERCIARIOS_CF_SEC_20230117.xlsx]CF PSDP'!</v>
      </c>
      <c r="G1961" s="7" t="s">
        <v>104</v>
      </c>
      <c r="H1961" s="4"/>
      <c r="I1961" s="4"/>
      <c r="J1961" s="4"/>
    </row>
    <row r="1962" spans="1:10" x14ac:dyDescent="0.3">
      <c r="A1962" s="7" t="s">
        <v>21</v>
      </c>
      <c r="B1962" s="7">
        <f t="shared" ref="B1962:B1976" si="453">+B1961+1</f>
        <v>2045</v>
      </c>
      <c r="C1962" s="4" t="s">
        <v>46</v>
      </c>
      <c r="D1962" s="5" t="s">
        <v>131</v>
      </c>
      <c r="E1962" s="10" t="str">
        <f t="shared" si="451"/>
        <v>PSDP'!</v>
      </c>
      <c r="F1962" s="5" t="str">
        <f t="shared" si="452"/>
        <v>C:\Users\jaime.benazar\Quorum Business Solutions\Ecopetrol Prometeo - Documents\Planning Space Implementation\3. Analysis &amp; Design\Design\FC22\DRR Jaime\Neiva CPI\[VAO_DINA TERCIARIOS_CF_SEC_20230117.xlsx]CF PSDP'!</v>
      </c>
      <c r="G1962" s="7" t="s">
        <v>104</v>
      </c>
      <c r="H1962" s="4"/>
      <c r="I1962" s="4"/>
      <c r="J1962" s="4"/>
    </row>
    <row r="1963" spans="1:10" x14ac:dyDescent="0.3">
      <c r="A1963" s="7" t="s">
        <v>21</v>
      </c>
      <c r="B1963" s="7">
        <f t="shared" si="453"/>
        <v>2046</v>
      </c>
      <c r="C1963" s="4" t="s">
        <v>46</v>
      </c>
      <c r="D1963" s="5" t="s">
        <v>131</v>
      </c>
      <c r="E1963" s="10" t="str">
        <f t="shared" si="451"/>
        <v>PSDP'!</v>
      </c>
      <c r="F1963" s="5" t="str">
        <f t="shared" si="452"/>
        <v>C:\Users\jaime.benazar\Quorum Business Solutions\Ecopetrol Prometeo - Documents\Planning Space Implementation\3. Analysis &amp; Design\Design\FC22\DRR Jaime\Neiva CPI\[VAO_DINA TERCIARIOS_CF_SEC_20230117.xlsx]CF PSDP'!</v>
      </c>
      <c r="G1963" s="7" t="s">
        <v>104</v>
      </c>
      <c r="H1963" s="4"/>
      <c r="I1963" s="4"/>
      <c r="J1963" s="4"/>
    </row>
    <row r="1964" spans="1:10" x14ac:dyDescent="0.3">
      <c r="A1964" s="7" t="s">
        <v>21</v>
      </c>
      <c r="B1964" s="7">
        <f t="shared" si="453"/>
        <v>2047</v>
      </c>
      <c r="C1964" s="4" t="s">
        <v>46</v>
      </c>
      <c r="D1964" s="5" t="s">
        <v>131</v>
      </c>
      <c r="E1964" s="10" t="str">
        <f t="shared" si="451"/>
        <v>PSDP'!</v>
      </c>
      <c r="F1964" s="5" t="str">
        <f t="shared" si="452"/>
        <v>C:\Users\jaime.benazar\Quorum Business Solutions\Ecopetrol Prometeo - Documents\Planning Space Implementation\3. Analysis &amp; Design\Design\FC22\DRR Jaime\Neiva CPI\[VAO_DINA TERCIARIOS_CF_SEC_20230117.xlsx]CF PSDP'!</v>
      </c>
      <c r="G1964" s="7" t="s">
        <v>104</v>
      </c>
      <c r="H1964" s="4"/>
      <c r="I1964" s="4"/>
      <c r="J1964" s="4"/>
    </row>
    <row r="1965" spans="1:10" x14ac:dyDescent="0.3">
      <c r="A1965" s="7" t="s">
        <v>21</v>
      </c>
      <c r="B1965" s="7">
        <f t="shared" si="453"/>
        <v>2048</v>
      </c>
      <c r="C1965" s="4" t="s">
        <v>46</v>
      </c>
      <c r="D1965" s="5" t="s">
        <v>131</v>
      </c>
      <c r="E1965" s="10" t="str">
        <f t="shared" si="451"/>
        <v>PSDP'!</v>
      </c>
      <c r="F1965" s="5" t="str">
        <f t="shared" si="452"/>
        <v>C:\Users\jaime.benazar\Quorum Business Solutions\Ecopetrol Prometeo - Documents\Planning Space Implementation\3. Analysis &amp; Design\Design\FC22\DRR Jaime\Neiva CPI\[VAO_DINA TERCIARIOS_CF_SEC_20230117.xlsx]CF PSDP'!</v>
      </c>
      <c r="G1965" s="7" t="s">
        <v>104</v>
      </c>
      <c r="H1965" s="4"/>
      <c r="I1965" s="4"/>
      <c r="J1965" s="4"/>
    </row>
    <row r="1966" spans="1:10" x14ac:dyDescent="0.3">
      <c r="A1966" s="7" t="s">
        <v>21</v>
      </c>
      <c r="B1966" s="7">
        <f t="shared" si="453"/>
        <v>2049</v>
      </c>
      <c r="C1966" s="4" t="s">
        <v>46</v>
      </c>
      <c r="D1966" s="5" t="s">
        <v>131</v>
      </c>
      <c r="E1966" s="10" t="str">
        <f t="shared" si="451"/>
        <v>PSDP'!</v>
      </c>
      <c r="F1966" s="5" t="str">
        <f t="shared" si="452"/>
        <v>C:\Users\jaime.benazar\Quorum Business Solutions\Ecopetrol Prometeo - Documents\Planning Space Implementation\3. Analysis &amp; Design\Design\FC22\DRR Jaime\Neiva CPI\[VAO_DINA TERCIARIOS_CF_SEC_20230117.xlsx]CF PSDP'!</v>
      </c>
      <c r="G1966" s="7" t="s">
        <v>104</v>
      </c>
      <c r="H1966" s="4"/>
      <c r="I1966" s="4"/>
      <c r="J1966" s="4"/>
    </row>
    <row r="1967" spans="1:10" x14ac:dyDescent="0.3">
      <c r="A1967" s="7" t="s">
        <v>21</v>
      </c>
      <c r="B1967" s="7">
        <f t="shared" si="453"/>
        <v>2050</v>
      </c>
      <c r="C1967" s="4" t="s">
        <v>46</v>
      </c>
      <c r="D1967" s="5" t="s">
        <v>131</v>
      </c>
      <c r="E1967" s="10" t="str">
        <f t="shared" si="451"/>
        <v>PSDP'!</v>
      </c>
      <c r="F1967" s="5" t="str">
        <f t="shared" si="452"/>
        <v>C:\Users\jaime.benazar\Quorum Business Solutions\Ecopetrol Prometeo - Documents\Planning Space Implementation\3. Analysis &amp; Design\Design\FC22\DRR Jaime\Neiva CPI\[VAO_DINA TERCIARIOS_CF_SEC_20230117.xlsx]CF PSDP'!</v>
      </c>
      <c r="G1967" s="7" t="s">
        <v>104</v>
      </c>
      <c r="H1967" s="4"/>
      <c r="I1967" s="4"/>
      <c r="J1967" s="4"/>
    </row>
    <row r="1968" spans="1:10" x14ac:dyDescent="0.3">
      <c r="A1968" s="7" t="s">
        <v>21</v>
      </c>
      <c r="B1968" s="7">
        <f t="shared" si="453"/>
        <v>2051</v>
      </c>
      <c r="C1968" s="4" t="s">
        <v>46</v>
      </c>
      <c r="D1968" s="5" t="s">
        <v>131</v>
      </c>
      <c r="E1968" s="10" t="str">
        <f t="shared" si="451"/>
        <v>PSDP'!</v>
      </c>
      <c r="F1968" s="5" t="str">
        <f t="shared" si="452"/>
        <v>C:\Users\jaime.benazar\Quorum Business Solutions\Ecopetrol Prometeo - Documents\Planning Space Implementation\3. Analysis &amp; Design\Design\FC22\DRR Jaime\Neiva CPI\[VAO_DINA TERCIARIOS_CF_SEC_20230117.xlsx]CF PSDP'!</v>
      </c>
      <c r="G1968" s="7" t="s">
        <v>104</v>
      </c>
      <c r="H1968" s="4"/>
      <c r="I1968" s="4"/>
      <c r="J1968" s="4"/>
    </row>
    <row r="1969" spans="1:10" x14ac:dyDescent="0.3">
      <c r="A1969" s="7" t="s">
        <v>21</v>
      </c>
      <c r="B1969" s="7">
        <f t="shared" si="453"/>
        <v>2052</v>
      </c>
      <c r="C1969" s="4" t="s">
        <v>46</v>
      </c>
      <c r="D1969" s="5" t="s">
        <v>131</v>
      </c>
      <c r="E1969" s="10" t="str">
        <f t="shared" si="451"/>
        <v>PSDP'!</v>
      </c>
      <c r="F1969" s="5" t="str">
        <f t="shared" si="452"/>
        <v>C:\Users\jaime.benazar\Quorum Business Solutions\Ecopetrol Prometeo - Documents\Planning Space Implementation\3. Analysis &amp; Design\Design\FC22\DRR Jaime\Neiva CPI\[VAO_DINA TERCIARIOS_CF_SEC_20230117.xlsx]CF PSDP'!</v>
      </c>
      <c r="G1969" s="7" t="s">
        <v>104</v>
      </c>
      <c r="H1969" s="4"/>
      <c r="I1969" s="4"/>
      <c r="J1969" s="4"/>
    </row>
    <row r="1970" spans="1:10" x14ac:dyDescent="0.3">
      <c r="A1970" s="7" t="s">
        <v>21</v>
      </c>
      <c r="B1970" s="7">
        <f t="shared" si="453"/>
        <v>2053</v>
      </c>
      <c r="C1970" s="4" t="s">
        <v>46</v>
      </c>
      <c r="D1970" s="5" t="s">
        <v>131</v>
      </c>
      <c r="E1970" s="10" t="str">
        <f t="shared" si="451"/>
        <v>PSDP'!</v>
      </c>
      <c r="F1970" s="5" t="str">
        <f t="shared" si="452"/>
        <v>C:\Users\jaime.benazar\Quorum Business Solutions\Ecopetrol Prometeo - Documents\Planning Space Implementation\3. Analysis &amp; Design\Design\FC22\DRR Jaime\Neiva CPI\[VAO_DINA TERCIARIOS_CF_SEC_20230117.xlsx]CF PSDP'!</v>
      </c>
      <c r="G1970" s="7" t="s">
        <v>104</v>
      </c>
      <c r="H1970" s="4"/>
      <c r="I1970" s="4"/>
      <c r="J1970" s="4"/>
    </row>
    <row r="1971" spans="1:10" x14ac:dyDescent="0.3">
      <c r="A1971" s="7" t="s">
        <v>21</v>
      </c>
      <c r="B1971" s="7">
        <f t="shared" si="453"/>
        <v>2054</v>
      </c>
      <c r="C1971" s="4" t="s">
        <v>46</v>
      </c>
      <c r="D1971" s="5" t="s">
        <v>131</v>
      </c>
      <c r="E1971" s="10" t="str">
        <f t="shared" si="451"/>
        <v>PSDP'!</v>
      </c>
      <c r="F1971" s="5" t="str">
        <f t="shared" si="452"/>
        <v>C:\Users\jaime.benazar\Quorum Business Solutions\Ecopetrol Prometeo - Documents\Planning Space Implementation\3. Analysis &amp; Design\Design\FC22\DRR Jaime\Neiva CPI\[VAO_DINA TERCIARIOS_CF_SEC_20230117.xlsx]CF PSDP'!</v>
      </c>
      <c r="G1971" s="7" t="s">
        <v>104</v>
      </c>
      <c r="H1971" s="4"/>
      <c r="I1971" s="4"/>
      <c r="J1971" s="4"/>
    </row>
    <row r="1972" spans="1:10" x14ac:dyDescent="0.3">
      <c r="A1972" s="7" t="s">
        <v>21</v>
      </c>
      <c r="B1972" s="7">
        <f t="shared" si="453"/>
        <v>2055</v>
      </c>
      <c r="C1972" s="4" t="s">
        <v>46</v>
      </c>
      <c r="D1972" s="5" t="s">
        <v>131</v>
      </c>
      <c r="E1972" s="10" t="str">
        <f t="shared" si="451"/>
        <v>PSDP'!</v>
      </c>
      <c r="F1972" s="5" t="str">
        <f t="shared" si="452"/>
        <v>C:\Users\jaime.benazar\Quorum Business Solutions\Ecopetrol Prometeo - Documents\Planning Space Implementation\3. Analysis &amp; Design\Design\FC22\DRR Jaime\Neiva CPI\[VAO_DINA TERCIARIOS_CF_SEC_20230117.xlsx]CF PSDP'!</v>
      </c>
      <c r="G1972" s="7" t="s">
        <v>104</v>
      </c>
      <c r="H1972" s="4"/>
      <c r="I1972" s="4"/>
      <c r="J1972" s="4"/>
    </row>
    <row r="1973" spans="1:10" x14ac:dyDescent="0.3">
      <c r="A1973" s="7" t="s">
        <v>21</v>
      </c>
      <c r="B1973" s="7">
        <f t="shared" si="453"/>
        <v>2056</v>
      </c>
      <c r="C1973" s="4" t="s">
        <v>46</v>
      </c>
      <c r="D1973" s="5" t="s">
        <v>131</v>
      </c>
      <c r="E1973" s="10" t="str">
        <f t="shared" si="451"/>
        <v>PSDP'!</v>
      </c>
      <c r="F1973" s="5" t="str">
        <f t="shared" si="452"/>
        <v>C:\Users\jaime.benazar\Quorum Business Solutions\Ecopetrol Prometeo - Documents\Planning Space Implementation\3. Analysis &amp; Design\Design\FC22\DRR Jaime\Neiva CPI\[VAO_DINA TERCIARIOS_CF_SEC_20230117.xlsx]CF PSDP'!</v>
      </c>
      <c r="G1973" s="7" t="s">
        <v>104</v>
      </c>
      <c r="H1973" s="4"/>
      <c r="I1973" s="4"/>
      <c r="J1973" s="4"/>
    </row>
    <row r="1974" spans="1:10" x14ac:dyDescent="0.3">
      <c r="A1974" s="7" t="s">
        <v>21</v>
      </c>
      <c r="B1974" s="7">
        <f t="shared" si="453"/>
        <v>2057</v>
      </c>
      <c r="C1974" s="4" t="s">
        <v>46</v>
      </c>
      <c r="D1974" s="5" t="s">
        <v>131</v>
      </c>
      <c r="E1974" s="10" t="str">
        <f t="shared" si="451"/>
        <v>PSDP'!</v>
      </c>
      <c r="F1974" s="5" t="str">
        <f t="shared" si="452"/>
        <v>C:\Users\jaime.benazar\Quorum Business Solutions\Ecopetrol Prometeo - Documents\Planning Space Implementation\3. Analysis &amp; Design\Design\FC22\DRR Jaime\Neiva CPI\[VAO_DINA TERCIARIOS_CF_SEC_20230117.xlsx]CF PSDP'!</v>
      </c>
      <c r="G1974" s="7" t="s">
        <v>104</v>
      </c>
      <c r="H1974" s="4"/>
      <c r="I1974" s="4"/>
      <c r="J1974" s="4"/>
    </row>
    <row r="1975" spans="1:10" x14ac:dyDescent="0.3">
      <c r="A1975" s="7" t="s">
        <v>21</v>
      </c>
      <c r="B1975" s="7">
        <f t="shared" si="453"/>
        <v>2058</v>
      </c>
      <c r="C1975" s="4" t="s">
        <v>46</v>
      </c>
      <c r="D1975" s="5" t="s">
        <v>131</v>
      </c>
      <c r="E1975" s="10" t="str">
        <f t="shared" si="451"/>
        <v>PSDP'!</v>
      </c>
      <c r="F1975" s="5" t="str">
        <f t="shared" si="452"/>
        <v>C:\Users\jaime.benazar\Quorum Business Solutions\Ecopetrol Prometeo - Documents\Planning Space Implementation\3. Analysis &amp; Design\Design\FC22\DRR Jaime\Neiva CPI\[VAO_DINA TERCIARIOS_CF_SEC_20230117.xlsx]CF PSDP'!</v>
      </c>
      <c r="G1975" s="7" t="s">
        <v>104</v>
      </c>
      <c r="H1975" s="4"/>
      <c r="I1975" s="4"/>
      <c r="J1975" s="4"/>
    </row>
    <row r="1976" spans="1:10" x14ac:dyDescent="0.3">
      <c r="A1976" s="7" t="s">
        <v>21</v>
      </c>
      <c r="B1976" s="7">
        <f t="shared" si="453"/>
        <v>2059</v>
      </c>
      <c r="C1976" s="4" t="s">
        <v>46</v>
      </c>
      <c r="D1976" s="5" t="s">
        <v>131</v>
      </c>
      <c r="E1976" s="10" t="str">
        <f t="shared" si="451"/>
        <v>PSDP'!</v>
      </c>
      <c r="F1976" s="5" t="str">
        <f t="shared" si="452"/>
        <v>C:\Users\jaime.benazar\Quorum Business Solutions\Ecopetrol Prometeo - Documents\Planning Space Implementation\3. Analysis &amp; Design\Design\FC22\DRR Jaime\Neiva CPI\[VAO_DINA TERCIARIOS_CF_SEC_20230117.xlsx]CF PSDP'!</v>
      </c>
      <c r="G1976" s="7" t="s">
        <v>104</v>
      </c>
      <c r="H1976" s="4"/>
      <c r="I1976" s="4"/>
      <c r="J1976" s="4"/>
    </row>
    <row r="1977" spans="1:10" x14ac:dyDescent="0.3">
      <c r="A1977" s="7" t="s">
        <v>26</v>
      </c>
      <c r="B1977" s="7"/>
      <c r="C1977" s="4" t="s">
        <v>46</v>
      </c>
      <c r="D1977" s="5"/>
      <c r="E1977" s="10"/>
      <c r="F1977" s="5"/>
      <c r="G1977" s="7"/>
      <c r="H1977" s="4"/>
      <c r="I1977" s="4"/>
      <c r="J1977" s="4"/>
    </row>
    <row r="1978" spans="1:10" x14ac:dyDescent="0.3">
      <c r="A1978" s="7" t="s">
        <v>22</v>
      </c>
      <c r="B1978" s="7">
        <v>2023</v>
      </c>
      <c r="C1978" s="4" t="s">
        <v>46</v>
      </c>
      <c r="D1978" s="5" t="s">
        <v>131</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Jaime\Neiva CPI\[VAO_DINA TERCIARIOS_CF_SEC_20230117.xlsx]CF PSNP'!</v>
      </c>
      <c r="G1978" s="7" t="s">
        <v>104</v>
      </c>
      <c r="H1978" s="4"/>
      <c r="I1978" s="4"/>
      <c r="J1978" s="4"/>
    </row>
    <row r="1979" spans="1:10" x14ac:dyDescent="0.3">
      <c r="A1979" s="7" t="s">
        <v>22</v>
      </c>
      <c r="B1979" s="7">
        <f>+B1978+1</f>
        <v>2024</v>
      </c>
      <c r="C1979" s="4" t="s">
        <v>46</v>
      </c>
      <c r="D1979" s="5" t="s">
        <v>131</v>
      </c>
      <c r="E1979" s="10" t="str">
        <f t="shared" si="454"/>
        <v>PSNP'!</v>
      </c>
      <c r="F1979" s="5" t="str">
        <f t="shared" si="455"/>
        <v>C:\Users\jaime.benazar\Quorum Business Solutions\Ecopetrol Prometeo - Documents\Planning Space Implementation\3. Analysis &amp; Design\Design\FC22\DRR Jaime\Neiva CPI\[VAO_DINA TERCIARIOS_CF_SEC_20230117.xlsx]CF PSNP'!</v>
      </c>
      <c r="G1979" s="7" t="s">
        <v>104</v>
      </c>
      <c r="H1979" s="4"/>
      <c r="I1979" s="4"/>
      <c r="J1979" s="4"/>
    </row>
    <row r="1980" spans="1:10" x14ac:dyDescent="0.3">
      <c r="A1980" s="7" t="s">
        <v>22</v>
      </c>
      <c r="B1980" s="7">
        <f t="shared" ref="B1980:B1991" si="456">+B1979+1</f>
        <v>2025</v>
      </c>
      <c r="C1980" s="4" t="s">
        <v>46</v>
      </c>
      <c r="D1980" s="5" t="s">
        <v>131</v>
      </c>
      <c r="E1980" s="10" t="str">
        <f t="shared" si="454"/>
        <v>PSNP'!</v>
      </c>
      <c r="F1980" s="5" t="str">
        <f t="shared" si="455"/>
        <v>C:\Users\jaime.benazar\Quorum Business Solutions\Ecopetrol Prometeo - Documents\Planning Space Implementation\3. Analysis &amp; Design\Design\FC22\DRR Jaime\Neiva CPI\[VAO_DINA TERCIARIOS_CF_SEC_20230117.xlsx]CF PSNP'!</v>
      </c>
      <c r="G1980" s="7" t="s">
        <v>104</v>
      </c>
      <c r="H1980" s="4"/>
      <c r="I1980" s="4"/>
      <c r="J1980" s="4"/>
    </row>
    <row r="1981" spans="1:10" x14ac:dyDescent="0.3">
      <c r="A1981" s="7" t="s">
        <v>22</v>
      </c>
      <c r="B1981" s="7">
        <f t="shared" si="456"/>
        <v>2026</v>
      </c>
      <c r="C1981" s="4" t="s">
        <v>46</v>
      </c>
      <c r="D1981" s="5" t="s">
        <v>131</v>
      </c>
      <c r="E1981" s="10" t="str">
        <f t="shared" si="454"/>
        <v>PSNP'!</v>
      </c>
      <c r="F1981" s="5" t="str">
        <f t="shared" si="455"/>
        <v>C:\Users\jaime.benazar\Quorum Business Solutions\Ecopetrol Prometeo - Documents\Planning Space Implementation\3. Analysis &amp; Design\Design\FC22\DRR Jaime\Neiva CPI\[VAO_DINA TERCIARIOS_CF_SEC_20230117.xlsx]CF PSNP'!</v>
      </c>
      <c r="G1981" s="7" t="s">
        <v>104</v>
      </c>
      <c r="H1981" s="4"/>
      <c r="I1981" s="4"/>
      <c r="J1981" s="4"/>
    </row>
    <row r="1982" spans="1:10" x14ac:dyDescent="0.3">
      <c r="A1982" s="7" t="s">
        <v>22</v>
      </c>
      <c r="B1982" s="7">
        <f t="shared" si="456"/>
        <v>2027</v>
      </c>
      <c r="C1982" s="4" t="s">
        <v>46</v>
      </c>
      <c r="D1982" s="5" t="s">
        <v>131</v>
      </c>
      <c r="E1982" s="10" t="str">
        <f t="shared" si="454"/>
        <v>PSNP'!</v>
      </c>
      <c r="F1982" s="5" t="str">
        <f t="shared" si="455"/>
        <v>C:\Users\jaime.benazar\Quorum Business Solutions\Ecopetrol Prometeo - Documents\Planning Space Implementation\3. Analysis &amp; Design\Design\FC22\DRR Jaime\Neiva CPI\[VAO_DINA TERCIARIOS_CF_SEC_20230117.xlsx]CF PSNP'!</v>
      </c>
      <c r="G1982" s="7" t="s">
        <v>104</v>
      </c>
      <c r="H1982" s="4"/>
      <c r="I1982" s="4"/>
      <c r="J1982" s="4"/>
    </row>
    <row r="1983" spans="1:10" x14ac:dyDescent="0.3">
      <c r="A1983" s="7" t="s">
        <v>22</v>
      </c>
      <c r="B1983" s="7">
        <f t="shared" si="456"/>
        <v>2028</v>
      </c>
      <c r="C1983" s="4" t="s">
        <v>46</v>
      </c>
      <c r="D1983" s="5" t="s">
        <v>131</v>
      </c>
      <c r="E1983" s="10" t="str">
        <f t="shared" si="454"/>
        <v>PSNP'!</v>
      </c>
      <c r="F1983" s="5" t="str">
        <f t="shared" si="455"/>
        <v>C:\Users\jaime.benazar\Quorum Business Solutions\Ecopetrol Prometeo - Documents\Planning Space Implementation\3. Analysis &amp; Design\Design\FC22\DRR Jaime\Neiva CPI\[VAO_DINA TERCIARIOS_CF_SEC_20230117.xlsx]CF PSNP'!</v>
      </c>
      <c r="G1983" s="7" t="s">
        <v>104</v>
      </c>
      <c r="H1983" s="4"/>
      <c r="I1983" s="4"/>
      <c r="J1983" s="4"/>
    </row>
    <row r="1984" spans="1:10" x14ac:dyDescent="0.3">
      <c r="A1984" s="7" t="s">
        <v>22</v>
      </c>
      <c r="B1984" s="7">
        <f t="shared" si="456"/>
        <v>2029</v>
      </c>
      <c r="C1984" s="4" t="s">
        <v>46</v>
      </c>
      <c r="D1984" s="5" t="s">
        <v>131</v>
      </c>
      <c r="E1984" s="10" t="str">
        <f t="shared" si="454"/>
        <v>PSNP'!</v>
      </c>
      <c r="F1984" s="5" t="str">
        <f t="shared" si="455"/>
        <v>C:\Users\jaime.benazar\Quorum Business Solutions\Ecopetrol Prometeo - Documents\Planning Space Implementation\3. Analysis &amp; Design\Design\FC22\DRR Jaime\Neiva CPI\[VAO_DINA TERCIARIOS_CF_SEC_20230117.xlsx]CF PSNP'!</v>
      </c>
      <c r="G1984" s="7" t="s">
        <v>104</v>
      </c>
      <c r="H1984" s="4"/>
      <c r="I1984" s="4"/>
      <c r="J1984" s="4"/>
    </row>
    <row r="1985" spans="1:10" x14ac:dyDescent="0.3">
      <c r="A1985" s="7" t="s">
        <v>22</v>
      </c>
      <c r="B1985" s="7">
        <f t="shared" si="456"/>
        <v>2030</v>
      </c>
      <c r="C1985" s="4" t="s">
        <v>46</v>
      </c>
      <c r="D1985" s="5" t="s">
        <v>131</v>
      </c>
      <c r="E1985" s="10" t="str">
        <f t="shared" si="454"/>
        <v>PSNP'!</v>
      </c>
      <c r="F1985" s="5" t="str">
        <f t="shared" si="455"/>
        <v>C:\Users\jaime.benazar\Quorum Business Solutions\Ecopetrol Prometeo - Documents\Planning Space Implementation\3. Analysis &amp; Design\Design\FC22\DRR Jaime\Neiva CPI\[VAO_DINA TERCIARIOS_CF_SEC_20230117.xlsx]CF PSNP'!</v>
      </c>
      <c r="G1985" s="7" t="s">
        <v>104</v>
      </c>
      <c r="H1985" s="4"/>
      <c r="I1985" s="4"/>
      <c r="J1985" s="4"/>
    </row>
    <row r="1986" spans="1:10" x14ac:dyDescent="0.3">
      <c r="A1986" s="7" t="s">
        <v>22</v>
      </c>
      <c r="B1986" s="7">
        <f t="shared" si="456"/>
        <v>2031</v>
      </c>
      <c r="C1986" s="4" t="s">
        <v>46</v>
      </c>
      <c r="D1986" s="5" t="s">
        <v>131</v>
      </c>
      <c r="E1986" s="10" t="str">
        <f t="shared" si="454"/>
        <v>PSNP'!</v>
      </c>
      <c r="F1986" s="5" t="str">
        <f t="shared" si="455"/>
        <v>C:\Users\jaime.benazar\Quorum Business Solutions\Ecopetrol Prometeo - Documents\Planning Space Implementation\3. Analysis &amp; Design\Design\FC22\DRR Jaime\Neiva CPI\[VAO_DINA TERCIARIOS_CF_SEC_20230117.xlsx]CF PSNP'!</v>
      </c>
      <c r="G1986" s="7" t="s">
        <v>104</v>
      </c>
      <c r="H1986" s="4"/>
      <c r="I1986" s="4"/>
      <c r="J1986" s="4"/>
    </row>
    <row r="1987" spans="1:10" x14ac:dyDescent="0.3">
      <c r="A1987" s="7" t="s">
        <v>22</v>
      </c>
      <c r="B1987" s="7">
        <f t="shared" si="456"/>
        <v>2032</v>
      </c>
      <c r="C1987" s="4" t="s">
        <v>46</v>
      </c>
      <c r="D1987" s="5" t="s">
        <v>131</v>
      </c>
      <c r="E1987" s="10" t="str">
        <f t="shared" si="454"/>
        <v>PSNP'!</v>
      </c>
      <c r="F1987" s="5" t="str">
        <f t="shared" si="455"/>
        <v>C:\Users\jaime.benazar\Quorum Business Solutions\Ecopetrol Prometeo - Documents\Planning Space Implementation\3. Analysis &amp; Design\Design\FC22\DRR Jaime\Neiva CPI\[VAO_DINA TERCIARIOS_CF_SEC_20230117.xlsx]CF PSNP'!</v>
      </c>
      <c r="G1987" s="7" t="s">
        <v>104</v>
      </c>
      <c r="H1987" s="4"/>
      <c r="I1987" s="4"/>
      <c r="J1987" s="4"/>
    </row>
    <row r="1988" spans="1:10" x14ac:dyDescent="0.3">
      <c r="A1988" s="7" t="s">
        <v>22</v>
      </c>
      <c r="B1988" s="7">
        <f t="shared" si="456"/>
        <v>2033</v>
      </c>
      <c r="C1988" s="4" t="s">
        <v>46</v>
      </c>
      <c r="D1988" s="5" t="s">
        <v>131</v>
      </c>
      <c r="E1988" s="10" t="str">
        <f t="shared" si="454"/>
        <v>PSNP'!</v>
      </c>
      <c r="F1988" s="5" t="str">
        <f t="shared" si="455"/>
        <v>C:\Users\jaime.benazar\Quorum Business Solutions\Ecopetrol Prometeo - Documents\Planning Space Implementation\3. Analysis &amp; Design\Design\FC22\DRR Jaime\Neiva CPI\[VAO_DINA TERCIARIOS_CF_SEC_20230117.xlsx]CF PSNP'!</v>
      </c>
      <c r="G1988" s="7" t="s">
        <v>104</v>
      </c>
      <c r="H1988" s="4"/>
      <c r="I1988" s="4"/>
      <c r="J1988" s="4"/>
    </row>
    <row r="1989" spans="1:10" x14ac:dyDescent="0.3">
      <c r="A1989" s="7" t="s">
        <v>22</v>
      </c>
      <c r="B1989" s="7">
        <f t="shared" si="456"/>
        <v>2034</v>
      </c>
      <c r="C1989" s="4" t="s">
        <v>46</v>
      </c>
      <c r="D1989" s="5" t="s">
        <v>131</v>
      </c>
      <c r="E1989" s="10" t="str">
        <f t="shared" si="454"/>
        <v>PSNP'!</v>
      </c>
      <c r="F1989" s="5" t="str">
        <f t="shared" si="455"/>
        <v>C:\Users\jaime.benazar\Quorum Business Solutions\Ecopetrol Prometeo - Documents\Planning Space Implementation\3. Analysis &amp; Design\Design\FC22\DRR Jaime\Neiva CPI\[VAO_DINA TERCIARIOS_CF_SEC_20230117.xlsx]CF PSNP'!</v>
      </c>
      <c r="G1989" s="7" t="s">
        <v>104</v>
      </c>
      <c r="H1989" s="4"/>
      <c r="I1989" s="4"/>
      <c r="J1989" s="4"/>
    </row>
    <row r="1990" spans="1:10" x14ac:dyDescent="0.3">
      <c r="A1990" s="7" t="s">
        <v>22</v>
      </c>
      <c r="B1990" s="7">
        <f t="shared" si="456"/>
        <v>2035</v>
      </c>
      <c r="C1990" s="4" t="s">
        <v>46</v>
      </c>
      <c r="D1990" s="5" t="s">
        <v>131</v>
      </c>
      <c r="E1990" s="10" t="str">
        <f t="shared" si="454"/>
        <v>PSNP'!</v>
      </c>
      <c r="F1990" s="5" t="str">
        <f t="shared" si="455"/>
        <v>C:\Users\jaime.benazar\Quorum Business Solutions\Ecopetrol Prometeo - Documents\Planning Space Implementation\3. Analysis &amp; Design\Design\FC22\DRR Jaime\Neiva CPI\[VAO_DINA TERCIARIOS_CF_SEC_20230117.xlsx]CF PSNP'!</v>
      </c>
      <c r="G1990" s="7" t="s">
        <v>104</v>
      </c>
      <c r="H1990" s="4"/>
      <c r="I1990" s="4"/>
      <c r="J1990" s="4"/>
    </row>
    <row r="1991" spans="1:10" x14ac:dyDescent="0.3">
      <c r="A1991" s="7" t="s">
        <v>22</v>
      </c>
      <c r="B1991" s="7">
        <f t="shared" si="456"/>
        <v>2036</v>
      </c>
      <c r="C1991" s="4" t="s">
        <v>46</v>
      </c>
      <c r="D1991" s="5" t="s">
        <v>131</v>
      </c>
      <c r="E1991" s="10" t="str">
        <f t="shared" si="454"/>
        <v>PSNP'!</v>
      </c>
      <c r="F1991" s="5" t="str">
        <f t="shared" si="455"/>
        <v>C:\Users\jaime.benazar\Quorum Business Solutions\Ecopetrol Prometeo - Documents\Planning Space Implementation\3. Analysis &amp; Design\Design\FC22\DRR Jaime\Neiva CPI\[VAO_DINA TERCIARIOS_CF_SEC_20230117.xlsx]CF PSNP'!</v>
      </c>
      <c r="G1991" s="7" t="s">
        <v>104</v>
      </c>
      <c r="H1991" s="4"/>
      <c r="I1991" s="4"/>
      <c r="J1991" s="4"/>
    </row>
    <row r="1992" spans="1:10" x14ac:dyDescent="0.3">
      <c r="A1992" s="7" t="s">
        <v>22</v>
      </c>
      <c r="B1992" s="7">
        <f>+B1991+1</f>
        <v>2037</v>
      </c>
      <c r="C1992" s="4" t="s">
        <v>46</v>
      </c>
      <c r="D1992" s="5" t="s">
        <v>131</v>
      </c>
      <c r="E1992" s="10" t="str">
        <f t="shared" si="454"/>
        <v>PSNP'!</v>
      </c>
      <c r="F1992" s="5" t="str">
        <f t="shared" si="455"/>
        <v>C:\Users\jaime.benazar\Quorum Business Solutions\Ecopetrol Prometeo - Documents\Planning Space Implementation\3. Analysis &amp; Design\Design\FC22\DRR Jaime\Neiva CPI\[VAO_DINA TERCIARIOS_CF_SEC_20230117.xlsx]CF PSNP'!</v>
      </c>
      <c r="G1992" s="7" t="s">
        <v>104</v>
      </c>
      <c r="H1992" s="4"/>
      <c r="I1992" s="4"/>
      <c r="J1992" s="4"/>
    </row>
    <row r="1993" spans="1:10" x14ac:dyDescent="0.3">
      <c r="A1993" s="7" t="s">
        <v>22</v>
      </c>
      <c r="B1993" s="7">
        <f t="shared" ref="B1993:B1995" si="457">+B1992+1</f>
        <v>2038</v>
      </c>
      <c r="C1993" s="4" t="s">
        <v>46</v>
      </c>
      <c r="D1993" s="5" t="s">
        <v>131</v>
      </c>
      <c r="E1993" s="10" t="str">
        <f t="shared" si="454"/>
        <v>PSNP'!</v>
      </c>
      <c r="F1993" s="5" t="str">
        <f t="shared" si="455"/>
        <v>C:\Users\jaime.benazar\Quorum Business Solutions\Ecopetrol Prometeo - Documents\Planning Space Implementation\3. Analysis &amp; Design\Design\FC22\DRR Jaime\Neiva CPI\[VAO_DINA TERCIARIOS_CF_SEC_20230117.xlsx]CF PSNP'!</v>
      </c>
      <c r="G1993" s="7" t="s">
        <v>104</v>
      </c>
      <c r="H1993" s="4"/>
      <c r="I1993" s="4"/>
      <c r="J1993" s="4"/>
    </row>
    <row r="1994" spans="1:10" x14ac:dyDescent="0.3">
      <c r="A1994" s="7" t="s">
        <v>22</v>
      </c>
      <c r="B1994" s="7">
        <f t="shared" si="457"/>
        <v>2039</v>
      </c>
      <c r="C1994" s="4" t="s">
        <v>46</v>
      </c>
      <c r="D1994" s="5" t="s">
        <v>131</v>
      </c>
      <c r="E1994" s="10" t="str">
        <f t="shared" si="454"/>
        <v>PSNP'!</v>
      </c>
      <c r="F1994" s="5" t="str">
        <f t="shared" si="455"/>
        <v>C:\Users\jaime.benazar\Quorum Business Solutions\Ecopetrol Prometeo - Documents\Planning Space Implementation\3. Analysis &amp; Design\Design\FC22\DRR Jaime\Neiva CPI\[VAO_DINA TERCIARIOS_CF_SEC_20230117.xlsx]CF PSNP'!</v>
      </c>
      <c r="G1994" s="7" t="s">
        <v>104</v>
      </c>
      <c r="H1994" s="4"/>
      <c r="I1994" s="4"/>
      <c r="J1994" s="4"/>
    </row>
    <row r="1995" spans="1:10" x14ac:dyDescent="0.3">
      <c r="A1995" s="7" t="s">
        <v>22</v>
      </c>
      <c r="B1995" s="7">
        <f t="shared" si="457"/>
        <v>2040</v>
      </c>
      <c r="C1995" s="4" t="s">
        <v>46</v>
      </c>
      <c r="D1995" s="5" t="s">
        <v>131</v>
      </c>
      <c r="E1995" s="10" t="str">
        <f t="shared" si="454"/>
        <v>PSNP'!</v>
      </c>
      <c r="F1995" s="5" t="str">
        <f t="shared" si="455"/>
        <v>C:\Users\jaime.benazar\Quorum Business Solutions\Ecopetrol Prometeo - Documents\Planning Space Implementation\3. Analysis &amp; Design\Design\FC22\DRR Jaime\Neiva CPI\[VAO_DINA TERCIARIOS_CF_SEC_20230117.xlsx]CF PSNP'!</v>
      </c>
      <c r="G1995" s="7" t="s">
        <v>104</v>
      </c>
      <c r="H1995" s="4"/>
      <c r="I1995" s="4"/>
      <c r="J1995" s="4"/>
    </row>
    <row r="1996" spans="1:10" x14ac:dyDescent="0.3">
      <c r="A1996" s="7" t="s">
        <v>22</v>
      </c>
      <c r="B1996" s="7">
        <f>+B1995+1</f>
        <v>2041</v>
      </c>
      <c r="C1996" s="4" t="s">
        <v>46</v>
      </c>
      <c r="D1996" s="5" t="s">
        <v>131</v>
      </c>
      <c r="E1996" s="10" t="str">
        <f t="shared" si="454"/>
        <v>PSNP'!</v>
      </c>
      <c r="F1996" s="5" t="str">
        <f t="shared" si="455"/>
        <v>C:\Users\jaime.benazar\Quorum Business Solutions\Ecopetrol Prometeo - Documents\Planning Space Implementation\3. Analysis &amp; Design\Design\FC22\DRR Jaime\Neiva CPI\[VAO_DINA TERCIARIOS_CF_SEC_20230117.xlsx]CF PSNP'!</v>
      </c>
      <c r="G1996" s="7" t="s">
        <v>104</v>
      </c>
      <c r="H1996" s="4"/>
      <c r="I1996" s="4"/>
      <c r="J1996" s="4"/>
    </row>
    <row r="1997" spans="1:10" x14ac:dyDescent="0.3">
      <c r="A1997" s="7" t="s">
        <v>22</v>
      </c>
      <c r="B1997" s="7">
        <f t="shared" ref="B1997:B1998" si="458">+B1996+1</f>
        <v>2042</v>
      </c>
      <c r="C1997" s="4" t="s">
        <v>46</v>
      </c>
      <c r="D1997" s="5" t="s">
        <v>131</v>
      </c>
      <c r="E1997" s="10" t="str">
        <f t="shared" si="454"/>
        <v>PSNP'!</v>
      </c>
      <c r="F1997" s="5" t="str">
        <f t="shared" si="455"/>
        <v>C:\Users\jaime.benazar\Quorum Business Solutions\Ecopetrol Prometeo - Documents\Planning Space Implementation\3. Analysis &amp; Design\Design\FC22\DRR Jaime\Neiva CPI\[VAO_DINA TERCIARIOS_CF_SEC_20230117.xlsx]CF PSNP'!</v>
      </c>
      <c r="G1997" s="7" t="s">
        <v>104</v>
      </c>
      <c r="H1997" s="4"/>
      <c r="I1997" s="4"/>
      <c r="J1997" s="4"/>
    </row>
    <row r="1998" spans="1:10" x14ac:dyDescent="0.3">
      <c r="A1998" s="7" t="s">
        <v>22</v>
      </c>
      <c r="B1998" s="7">
        <f t="shared" si="458"/>
        <v>2043</v>
      </c>
      <c r="C1998" s="4" t="s">
        <v>46</v>
      </c>
      <c r="D1998" s="5" t="s">
        <v>131</v>
      </c>
      <c r="E1998" s="10" t="str">
        <f t="shared" si="454"/>
        <v>PSNP'!</v>
      </c>
      <c r="F1998" s="5" t="str">
        <f t="shared" si="455"/>
        <v>C:\Users\jaime.benazar\Quorum Business Solutions\Ecopetrol Prometeo - Documents\Planning Space Implementation\3. Analysis &amp; Design\Design\FC22\DRR Jaime\Neiva CPI\[VAO_DINA TERCIARIOS_CF_SEC_20230117.xlsx]CF PSNP'!</v>
      </c>
      <c r="G1998" s="7" t="s">
        <v>104</v>
      </c>
      <c r="H1998" s="4"/>
      <c r="I1998" s="4"/>
      <c r="J1998" s="4"/>
    </row>
    <row r="1999" spans="1:10" x14ac:dyDescent="0.3">
      <c r="A1999" s="7" t="s">
        <v>22</v>
      </c>
      <c r="B1999" s="7">
        <f>+B1998+1</f>
        <v>2044</v>
      </c>
      <c r="C1999" s="4" t="s">
        <v>46</v>
      </c>
      <c r="D1999" s="5" t="s">
        <v>131</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Jaime\Neiva CPI\[VAO_DINA TERCIARIOS_CF_SEC_20230117.xlsx]CF PSNP'!</v>
      </c>
      <c r="G1999" s="7" t="s">
        <v>104</v>
      </c>
      <c r="H1999" s="4"/>
      <c r="I1999" s="4"/>
      <c r="J1999" s="4"/>
    </row>
    <row r="2000" spans="1:10" x14ac:dyDescent="0.3">
      <c r="A2000" s="7" t="s">
        <v>22</v>
      </c>
      <c r="B2000" s="7">
        <f t="shared" ref="B2000:B2014" si="461">+B1999+1</f>
        <v>2045</v>
      </c>
      <c r="C2000" s="4" t="s">
        <v>46</v>
      </c>
      <c r="D2000" s="5" t="s">
        <v>131</v>
      </c>
      <c r="E2000" s="10" t="str">
        <f t="shared" si="459"/>
        <v>PSNP'!</v>
      </c>
      <c r="F2000" s="5" t="str">
        <f t="shared" si="460"/>
        <v>C:\Users\jaime.benazar\Quorum Business Solutions\Ecopetrol Prometeo - Documents\Planning Space Implementation\3. Analysis &amp; Design\Design\FC22\DRR Jaime\Neiva CPI\[VAO_DINA TERCIARIOS_CF_SEC_20230117.xlsx]CF PSNP'!</v>
      </c>
      <c r="G2000" s="7" t="s">
        <v>104</v>
      </c>
      <c r="H2000" s="4"/>
      <c r="I2000" s="4"/>
      <c r="J2000" s="4"/>
    </row>
    <row r="2001" spans="1:10" x14ac:dyDescent="0.3">
      <c r="A2001" s="7" t="s">
        <v>22</v>
      </c>
      <c r="B2001" s="7">
        <f t="shared" si="461"/>
        <v>2046</v>
      </c>
      <c r="C2001" s="4" t="s">
        <v>46</v>
      </c>
      <c r="D2001" s="5" t="s">
        <v>131</v>
      </c>
      <c r="E2001" s="10" t="str">
        <f t="shared" si="459"/>
        <v>PSNP'!</v>
      </c>
      <c r="F2001" s="5" t="str">
        <f t="shared" si="460"/>
        <v>C:\Users\jaime.benazar\Quorum Business Solutions\Ecopetrol Prometeo - Documents\Planning Space Implementation\3. Analysis &amp; Design\Design\FC22\DRR Jaime\Neiva CPI\[VAO_DINA TERCIARIOS_CF_SEC_20230117.xlsx]CF PSNP'!</v>
      </c>
      <c r="G2001" s="7" t="s">
        <v>104</v>
      </c>
      <c r="H2001" s="4"/>
      <c r="I2001" s="4"/>
      <c r="J2001" s="4"/>
    </row>
    <row r="2002" spans="1:10" x14ac:dyDescent="0.3">
      <c r="A2002" s="7" t="s">
        <v>22</v>
      </c>
      <c r="B2002" s="7">
        <f t="shared" si="461"/>
        <v>2047</v>
      </c>
      <c r="C2002" s="4" t="s">
        <v>46</v>
      </c>
      <c r="D2002" s="5" t="s">
        <v>131</v>
      </c>
      <c r="E2002" s="10" t="str">
        <f t="shared" si="459"/>
        <v>PSNP'!</v>
      </c>
      <c r="F2002" s="5" t="str">
        <f t="shared" si="460"/>
        <v>C:\Users\jaime.benazar\Quorum Business Solutions\Ecopetrol Prometeo - Documents\Planning Space Implementation\3. Analysis &amp; Design\Design\FC22\DRR Jaime\Neiva CPI\[VAO_DINA TERCIARIOS_CF_SEC_20230117.xlsx]CF PSNP'!</v>
      </c>
      <c r="G2002" s="7" t="s">
        <v>104</v>
      </c>
      <c r="H2002" s="4"/>
      <c r="I2002" s="4"/>
      <c r="J2002" s="4"/>
    </row>
    <row r="2003" spans="1:10" x14ac:dyDescent="0.3">
      <c r="A2003" s="7" t="s">
        <v>22</v>
      </c>
      <c r="B2003" s="7">
        <f t="shared" si="461"/>
        <v>2048</v>
      </c>
      <c r="C2003" s="4" t="s">
        <v>46</v>
      </c>
      <c r="D2003" s="5" t="s">
        <v>131</v>
      </c>
      <c r="E2003" s="10" t="str">
        <f t="shared" si="459"/>
        <v>PSNP'!</v>
      </c>
      <c r="F2003" s="5" t="str">
        <f t="shared" si="460"/>
        <v>C:\Users\jaime.benazar\Quorum Business Solutions\Ecopetrol Prometeo - Documents\Planning Space Implementation\3. Analysis &amp; Design\Design\FC22\DRR Jaime\Neiva CPI\[VAO_DINA TERCIARIOS_CF_SEC_20230117.xlsx]CF PSNP'!</v>
      </c>
      <c r="G2003" s="7" t="s">
        <v>104</v>
      </c>
      <c r="H2003" s="4"/>
      <c r="I2003" s="4"/>
      <c r="J2003" s="4"/>
    </row>
    <row r="2004" spans="1:10" x14ac:dyDescent="0.3">
      <c r="A2004" s="7" t="s">
        <v>22</v>
      </c>
      <c r="B2004" s="7">
        <f t="shared" si="461"/>
        <v>2049</v>
      </c>
      <c r="C2004" s="4" t="s">
        <v>46</v>
      </c>
      <c r="D2004" s="5" t="s">
        <v>131</v>
      </c>
      <c r="E2004" s="10" t="str">
        <f t="shared" si="459"/>
        <v>PSNP'!</v>
      </c>
      <c r="F2004" s="5" t="str">
        <f t="shared" si="460"/>
        <v>C:\Users\jaime.benazar\Quorum Business Solutions\Ecopetrol Prometeo - Documents\Planning Space Implementation\3. Analysis &amp; Design\Design\FC22\DRR Jaime\Neiva CPI\[VAO_DINA TERCIARIOS_CF_SEC_20230117.xlsx]CF PSNP'!</v>
      </c>
      <c r="G2004" s="7" t="s">
        <v>104</v>
      </c>
      <c r="H2004" s="4"/>
      <c r="I2004" s="4"/>
      <c r="J2004" s="4"/>
    </row>
    <row r="2005" spans="1:10" x14ac:dyDescent="0.3">
      <c r="A2005" s="7" t="s">
        <v>22</v>
      </c>
      <c r="B2005" s="7">
        <f t="shared" si="461"/>
        <v>2050</v>
      </c>
      <c r="C2005" s="4" t="s">
        <v>46</v>
      </c>
      <c r="D2005" s="5" t="s">
        <v>131</v>
      </c>
      <c r="E2005" s="10" t="str">
        <f t="shared" si="459"/>
        <v>PSNP'!</v>
      </c>
      <c r="F2005" s="5" t="str">
        <f t="shared" si="460"/>
        <v>C:\Users\jaime.benazar\Quorum Business Solutions\Ecopetrol Prometeo - Documents\Planning Space Implementation\3. Analysis &amp; Design\Design\FC22\DRR Jaime\Neiva CPI\[VAO_DINA TERCIARIOS_CF_SEC_20230117.xlsx]CF PSNP'!</v>
      </c>
      <c r="G2005" s="7" t="s">
        <v>104</v>
      </c>
      <c r="H2005" s="4"/>
      <c r="I2005" s="4"/>
      <c r="J2005" s="4"/>
    </row>
    <row r="2006" spans="1:10" x14ac:dyDescent="0.3">
      <c r="A2006" s="7" t="s">
        <v>22</v>
      </c>
      <c r="B2006" s="7">
        <f t="shared" si="461"/>
        <v>2051</v>
      </c>
      <c r="C2006" s="4" t="s">
        <v>46</v>
      </c>
      <c r="D2006" s="5" t="s">
        <v>131</v>
      </c>
      <c r="E2006" s="10" t="str">
        <f t="shared" si="459"/>
        <v>PSNP'!</v>
      </c>
      <c r="F2006" s="5" t="str">
        <f t="shared" si="460"/>
        <v>C:\Users\jaime.benazar\Quorum Business Solutions\Ecopetrol Prometeo - Documents\Planning Space Implementation\3. Analysis &amp; Design\Design\FC22\DRR Jaime\Neiva CPI\[VAO_DINA TERCIARIOS_CF_SEC_20230117.xlsx]CF PSNP'!</v>
      </c>
      <c r="G2006" s="7" t="s">
        <v>104</v>
      </c>
      <c r="H2006" s="4"/>
      <c r="I2006" s="4"/>
      <c r="J2006" s="4"/>
    </row>
    <row r="2007" spans="1:10" x14ac:dyDescent="0.3">
      <c r="A2007" s="7" t="s">
        <v>22</v>
      </c>
      <c r="B2007" s="7">
        <f t="shared" si="461"/>
        <v>2052</v>
      </c>
      <c r="C2007" s="4" t="s">
        <v>46</v>
      </c>
      <c r="D2007" s="5" t="s">
        <v>131</v>
      </c>
      <c r="E2007" s="10" t="str">
        <f t="shared" si="459"/>
        <v>PSNP'!</v>
      </c>
      <c r="F2007" s="5" t="str">
        <f t="shared" si="460"/>
        <v>C:\Users\jaime.benazar\Quorum Business Solutions\Ecopetrol Prometeo - Documents\Planning Space Implementation\3. Analysis &amp; Design\Design\FC22\DRR Jaime\Neiva CPI\[VAO_DINA TERCIARIOS_CF_SEC_20230117.xlsx]CF PSNP'!</v>
      </c>
      <c r="G2007" s="7" t="s">
        <v>104</v>
      </c>
      <c r="H2007" s="4"/>
      <c r="I2007" s="4"/>
      <c r="J2007" s="4"/>
    </row>
    <row r="2008" spans="1:10" x14ac:dyDescent="0.3">
      <c r="A2008" s="7" t="s">
        <v>22</v>
      </c>
      <c r="B2008" s="7">
        <f t="shared" si="461"/>
        <v>2053</v>
      </c>
      <c r="C2008" s="4" t="s">
        <v>46</v>
      </c>
      <c r="D2008" s="5" t="s">
        <v>131</v>
      </c>
      <c r="E2008" s="10" t="str">
        <f t="shared" si="459"/>
        <v>PSNP'!</v>
      </c>
      <c r="F2008" s="5" t="str">
        <f t="shared" si="460"/>
        <v>C:\Users\jaime.benazar\Quorum Business Solutions\Ecopetrol Prometeo - Documents\Planning Space Implementation\3. Analysis &amp; Design\Design\FC22\DRR Jaime\Neiva CPI\[VAO_DINA TERCIARIOS_CF_SEC_20230117.xlsx]CF PSNP'!</v>
      </c>
      <c r="G2008" s="7" t="s">
        <v>104</v>
      </c>
      <c r="H2008" s="4"/>
      <c r="I2008" s="4"/>
      <c r="J2008" s="4"/>
    </row>
    <row r="2009" spans="1:10" x14ac:dyDescent="0.3">
      <c r="A2009" s="7" t="s">
        <v>22</v>
      </c>
      <c r="B2009" s="7">
        <f t="shared" si="461"/>
        <v>2054</v>
      </c>
      <c r="C2009" s="4" t="s">
        <v>46</v>
      </c>
      <c r="D2009" s="5" t="s">
        <v>131</v>
      </c>
      <c r="E2009" s="10" t="str">
        <f t="shared" si="459"/>
        <v>PSNP'!</v>
      </c>
      <c r="F2009" s="5" t="str">
        <f t="shared" si="460"/>
        <v>C:\Users\jaime.benazar\Quorum Business Solutions\Ecopetrol Prometeo - Documents\Planning Space Implementation\3. Analysis &amp; Design\Design\FC22\DRR Jaime\Neiva CPI\[VAO_DINA TERCIARIOS_CF_SEC_20230117.xlsx]CF PSNP'!</v>
      </c>
      <c r="G2009" s="7" t="s">
        <v>104</v>
      </c>
      <c r="H2009" s="4"/>
      <c r="I2009" s="4"/>
      <c r="J2009" s="4"/>
    </row>
    <row r="2010" spans="1:10" x14ac:dyDescent="0.3">
      <c r="A2010" s="7" t="s">
        <v>22</v>
      </c>
      <c r="B2010" s="7">
        <f t="shared" si="461"/>
        <v>2055</v>
      </c>
      <c r="C2010" s="4" t="s">
        <v>46</v>
      </c>
      <c r="D2010" s="5" t="s">
        <v>131</v>
      </c>
      <c r="E2010" s="10" t="str">
        <f t="shared" si="459"/>
        <v>PSNP'!</v>
      </c>
      <c r="F2010" s="5" t="str">
        <f t="shared" si="460"/>
        <v>C:\Users\jaime.benazar\Quorum Business Solutions\Ecopetrol Prometeo - Documents\Planning Space Implementation\3. Analysis &amp; Design\Design\FC22\DRR Jaime\Neiva CPI\[VAO_DINA TERCIARIOS_CF_SEC_20230117.xlsx]CF PSNP'!</v>
      </c>
      <c r="G2010" s="7" t="s">
        <v>104</v>
      </c>
      <c r="H2010" s="4"/>
      <c r="I2010" s="4"/>
      <c r="J2010" s="4"/>
    </row>
    <row r="2011" spans="1:10" x14ac:dyDescent="0.3">
      <c r="A2011" s="7" t="s">
        <v>22</v>
      </c>
      <c r="B2011" s="7">
        <f t="shared" si="461"/>
        <v>2056</v>
      </c>
      <c r="C2011" s="4" t="s">
        <v>46</v>
      </c>
      <c r="D2011" s="5" t="s">
        <v>131</v>
      </c>
      <c r="E2011" s="10" t="str">
        <f t="shared" si="459"/>
        <v>PSNP'!</v>
      </c>
      <c r="F2011" s="5" t="str">
        <f t="shared" si="460"/>
        <v>C:\Users\jaime.benazar\Quorum Business Solutions\Ecopetrol Prometeo - Documents\Planning Space Implementation\3. Analysis &amp; Design\Design\FC22\DRR Jaime\Neiva CPI\[VAO_DINA TERCIARIOS_CF_SEC_20230117.xlsx]CF PSNP'!</v>
      </c>
      <c r="G2011" s="7" t="s">
        <v>104</v>
      </c>
      <c r="H2011" s="4"/>
      <c r="I2011" s="4"/>
      <c r="J2011" s="4"/>
    </row>
    <row r="2012" spans="1:10" x14ac:dyDescent="0.3">
      <c r="A2012" s="7" t="s">
        <v>22</v>
      </c>
      <c r="B2012" s="7">
        <f t="shared" si="461"/>
        <v>2057</v>
      </c>
      <c r="C2012" s="4" t="s">
        <v>46</v>
      </c>
      <c r="D2012" s="5" t="s">
        <v>131</v>
      </c>
      <c r="E2012" s="10" t="str">
        <f t="shared" si="459"/>
        <v>PSNP'!</v>
      </c>
      <c r="F2012" s="5" t="str">
        <f t="shared" si="460"/>
        <v>C:\Users\jaime.benazar\Quorum Business Solutions\Ecopetrol Prometeo - Documents\Planning Space Implementation\3. Analysis &amp; Design\Design\FC22\DRR Jaime\Neiva CPI\[VAO_DINA TERCIARIOS_CF_SEC_20230117.xlsx]CF PSNP'!</v>
      </c>
      <c r="G2012" s="7" t="s">
        <v>104</v>
      </c>
      <c r="H2012" s="4"/>
      <c r="I2012" s="4"/>
      <c r="J2012" s="4"/>
    </row>
    <row r="2013" spans="1:10" x14ac:dyDescent="0.3">
      <c r="A2013" s="7" t="s">
        <v>22</v>
      </c>
      <c r="B2013" s="7">
        <f t="shared" si="461"/>
        <v>2058</v>
      </c>
      <c r="C2013" s="4" t="s">
        <v>46</v>
      </c>
      <c r="D2013" s="5" t="s">
        <v>131</v>
      </c>
      <c r="E2013" s="10" t="str">
        <f t="shared" si="459"/>
        <v>PSNP'!</v>
      </c>
      <c r="F2013" s="5" t="str">
        <f t="shared" si="460"/>
        <v>C:\Users\jaime.benazar\Quorum Business Solutions\Ecopetrol Prometeo - Documents\Planning Space Implementation\3. Analysis &amp; Design\Design\FC22\DRR Jaime\Neiva CPI\[VAO_DINA TERCIARIOS_CF_SEC_20230117.xlsx]CF PSNP'!</v>
      </c>
      <c r="G2013" s="7" t="s">
        <v>104</v>
      </c>
      <c r="H2013" s="4"/>
      <c r="I2013" s="4"/>
      <c r="J2013" s="4"/>
    </row>
    <row r="2014" spans="1:10" x14ac:dyDescent="0.3">
      <c r="A2014" s="7" t="s">
        <v>22</v>
      </c>
      <c r="B2014" s="7">
        <f t="shared" si="461"/>
        <v>2059</v>
      </c>
      <c r="C2014" s="4" t="s">
        <v>46</v>
      </c>
      <c r="D2014" s="5" t="s">
        <v>131</v>
      </c>
      <c r="E2014" s="10" t="str">
        <f t="shared" si="459"/>
        <v>PSNP'!</v>
      </c>
      <c r="F2014" s="5" t="str">
        <f t="shared" si="460"/>
        <v>C:\Users\jaime.benazar\Quorum Business Solutions\Ecopetrol Prometeo - Documents\Planning Space Implementation\3. Analysis &amp; Design\Design\FC22\DRR Jaime\Neiva CPI\[VAO_DINA TERCIARIOS_CF_SEC_20230117.xlsx]CF PSNP'!</v>
      </c>
      <c r="G2014" s="7" t="s">
        <v>104</v>
      </c>
      <c r="H2014" s="4"/>
      <c r="I2014" s="4"/>
      <c r="J2014" s="4"/>
    </row>
    <row r="2015" spans="1:10" x14ac:dyDescent="0.3">
      <c r="A2015" s="7" t="s">
        <v>26</v>
      </c>
      <c r="B2015" s="7"/>
      <c r="C2015" s="4" t="s">
        <v>46</v>
      </c>
      <c r="D2015" s="5"/>
      <c r="E2015" s="10"/>
      <c r="F2015" s="5"/>
      <c r="G2015" s="7"/>
      <c r="H2015" s="4"/>
      <c r="I2015" s="4"/>
      <c r="J2015" s="4"/>
    </row>
    <row r="2016" spans="1:10" x14ac:dyDescent="0.3">
      <c r="A2016" s="7" t="s">
        <v>23</v>
      </c>
      <c r="B2016" s="7">
        <v>2023</v>
      </c>
      <c r="C2016" s="4" t="s">
        <v>46</v>
      </c>
      <c r="D2016" s="5" t="s">
        <v>131</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Jaime\Neiva CPI\[VAO_DINA TERCIARIOS_CF_SEC_20230117.xlsx]CF PSND'!</v>
      </c>
      <c r="G2016" s="7" t="s">
        <v>104</v>
      </c>
      <c r="H2016" s="4"/>
      <c r="I2016" s="4"/>
      <c r="J2016" s="4"/>
    </row>
    <row r="2017" spans="1:10" x14ac:dyDescent="0.3">
      <c r="A2017" s="7" t="s">
        <v>23</v>
      </c>
      <c r="B2017" s="7">
        <f>+B2016+1</f>
        <v>2024</v>
      </c>
      <c r="C2017" s="4" t="s">
        <v>46</v>
      </c>
      <c r="D2017" s="5" t="s">
        <v>131</v>
      </c>
      <c r="E2017" s="10" t="str">
        <f t="shared" si="462"/>
        <v>PSND'!</v>
      </c>
      <c r="F2017" s="5" t="str">
        <f t="shared" si="463"/>
        <v>C:\Users\jaime.benazar\Quorum Business Solutions\Ecopetrol Prometeo - Documents\Planning Space Implementation\3. Analysis &amp; Design\Design\FC22\DRR Jaime\Neiva CPI\[VAO_DINA TERCIARIOS_CF_SEC_20230117.xlsx]CF PSND'!</v>
      </c>
      <c r="G2017" s="7" t="s">
        <v>104</v>
      </c>
      <c r="H2017" s="4"/>
      <c r="I2017" s="4"/>
      <c r="J2017" s="4"/>
    </row>
    <row r="2018" spans="1:10" x14ac:dyDescent="0.3">
      <c r="A2018" s="7" t="s">
        <v>23</v>
      </c>
      <c r="B2018" s="7">
        <f t="shared" ref="B2018:B2029" si="464">+B2017+1</f>
        <v>2025</v>
      </c>
      <c r="C2018" s="4" t="s">
        <v>46</v>
      </c>
      <c r="D2018" s="5" t="s">
        <v>131</v>
      </c>
      <c r="E2018" s="10" t="str">
        <f t="shared" si="462"/>
        <v>PSND'!</v>
      </c>
      <c r="F2018" s="5" t="str">
        <f t="shared" si="463"/>
        <v>C:\Users\jaime.benazar\Quorum Business Solutions\Ecopetrol Prometeo - Documents\Planning Space Implementation\3. Analysis &amp; Design\Design\FC22\DRR Jaime\Neiva CPI\[VAO_DINA TERCIARIOS_CF_SEC_20230117.xlsx]CF PSND'!</v>
      </c>
      <c r="G2018" s="7" t="s">
        <v>104</v>
      </c>
      <c r="H2018" s="4"/>
      <c r="I2018" s="4"/>
      <c r="J2018" s="4"/>
    </row>
    <row r="2019" spans="1:10" x14ac:dyDescent="0.3">
      <c r="A2019" s="7" t="s">
        <v>23</v>
      </c>
      <c r="B2019" s="7">
        <f t="shared" si="464"/>
        <v>2026</v>
      </c>
      <c r="C2019" s="4" t="s">
        <v>46</v>
      </c>
      <c r="D2019" s="5" t="s">
        <v>131</v>
      </c>
      <c r="E2019" s="10" t="str">
        <f t="shared" si="462"/>
        <v>PSND'!</v>
      </c>
      <c r="F2019" s="5" t="str">
        <f t="shared" si="463"/>
        <v>C:\Users\jaime.benazar\Quorum Business Solutions\Ecopetrol Prometeo - Documents\Planning Space Implementation\3. Analysis &amp; Design\Design\FC22\DRR Jaime\Neiva CPI\[VAO_DINA TERCIARIOS_CF_SEC_20230117.xlsx]CF PSND'!</v>
      </c>
      <c r="G2019" s="7" t="s">
        <v>104</v>
      </c>
      <c r="H2019" s="4"/>
      <c r="I2019" s="4"/>
      <c r="J2019" s="4"/>
    </row>
    <row r="2020" spans="1:10" x14ac:dyDescent="0.3">
      <c r="A2020" s="7" t="s">
        <v>23</v>
      </c>
      <c r="B2020" s="7">
        <f t="shared" si="464"/>
        <v>2027</v>
      </c>
      <c r="C2020" s="4" t="s">
        <v>46</v>
      </c>
      <c r="D2020" s="5" t="s">
        <v>131</v>
      </c>
      <c r="E2020" s="10" t="str">
        <f t="shared" si="462"/>
        <v>PSND'!</v>
      </c>
      <c r="F2020" s="5" t="str">
        <f t="shared" si="463"/>
        <v>C:\Users\jaime.benazar\Quorum Business Solutions\Ecopetrol Prometeo - Documents\Planning Space Implementation\3. Analysis &amp; Design\Design\FC22\DRR Jaime\Neiva CPI\[VAO_DINA TERCIARIOS_CF_SEC_20230117.xlsx]CF PSND'!</v>
      </c>
      <c r="G2020" s="7" t="s">
        <v>104</v>
      </c>
      <c r="H2020" s="4"/>
      <c r="I2020" s="4"/>
      <c r="J2020" s="4"/>
    </row>
    <row r="2021" spans="1:10" x14ac:dyDescent="0.3">
      <c r="A2021" s="7" t="s">
        <v>23</v>
      </c>
      <c r="B2021" s="7">
        <f t="shared" si="464"/>
        <v>2028</v>
      </c>
      <c r="C2021" s="4" t="s">
        <v>46</v>
      </c>
      <c r="D2021" s="5" t="s">
        <v>131</v>
      </c>
      <c r="E2021" s="10" t="str">
        <f t="shared" si="462"/>
        <v>PSND'!</v>
      </c>
      <c r="F2021" s="5" t="str">
        <f t="shared" si="463"/>
        <v>C:\Users\jaime.benazar\Quorum Business Solutions\Ecopetrol Prometeo - Documents\Planning Space Implementation\3. Analysis &amp; Design\Design\FC22\DRR Jaime\Neiva CPI\[VAO_DINA TERCIARIOS_CF_SEC_20230117.xlsx]CF PSND'!</v>
      </c>
      <c r="G2021" s="7" t="s">
        <v>104</v>
      </c>
      <c r="H2021" s="4"/>
      <c r="I2021" s="4"/>
      <c r="J2021" s="4"/>
    </row>
    <row r="2022" spans="1:10" x14ac:dyDescent="0.3">
      <c r="A2022" s="7" t="s">
        <v>23</v>
      </c>
      <c r="B2022" s="7">
        <f t="shared" si="464"/>
        <v>2029</v>
      </c>
      <c r="C2022" s="4" t="s">
        <v>46</v>
      </c>
      <c r="D2022" s="5" t="s">
        <v>131</v>
      </c>
      <c r="E2022" s="10" t="str">
        <f t="shared" si="462"/>
        <v>PSND'!</v>
      </c>
      <c r="F2022" s="5" t="str">
        <f t="shared" si="463"/>
        <v>C:\Users\jaime.benazar\Quorum Business Solutions\Ecopetrol Prometeo - Documents\Planning Space Implementation\3. Analysis &amp; Design\Design\FC22\DRR Jaime\Neiva CPI\[VAO_DINA TERCIARIOS_CF_SEC_20230117.xlsx]CF PSND'!</v>
      </c>
      <c r="G2022" s="7" t="s">
        <v>104</v>
      </c>
      <c r="H2022" s="4"/>
      <c r="I2022" s="4"/>
      <c r="J2022" s="4"/>
    </row>
    <row r="2023" spans="1:10" x14ac:dyDescent="0.3">
      <c r="A2023" s="7" t="s">
        <v>23</v>
      </c>
      <c r="B2023" s="7">
        <f t="shared" si="464"/>
        <v>2030</v>
      </c>
      <c r="C2023" s="4" t="s">
        <v>46</v>
      </c>
      <c r="D2023" s="5" t="s">
        <v>131</v>
      </c>
      <c r="E2023" s="10" t="str">
        <f t="shared" si="462"/>
        <v>PSND'!</v>
      </c>
      <c r="F2023" s="5" t="str">
        <f t="shared" si="463"/>
        <v>C:\Users\jaime.benazar\Quorum Business Solutions\Ecopetrol Prometeo - Documents\Planning Space Implementation\3. Analysis &amp; Design\Design\FC22\DRR Jaime\Neiva CPI\[VAO_DINA TERCIARIOS_CF_SEC_20230117.xlsx]CF PSND'!</v>
      </c>
      <c r="G2023" s="7" t="s">
        <v>104</v>
      </c>
      <c r="H2023" s="4"/>
      <c r="I2023" s="4"/>
      <c r="J2023" s="4"/>
    </row>
    <row r="2024" spans="1:10" x14ac:dyDescent="0.3">
      <c r="A2024" s="7" t="s">
        <v>23</v>
      </c>
      <c r="B2024" s="7">
        <f t="shared" si="464"/>
        <v>2031</v>
      </c>
      <c r="C2024" s="4" t="s">
        <v>46</v>
      </c>
      <c r="D2024" s="5" t="s">
        <v>131</v>
      </c>
      <c r="E2024" s="10" t="str">
        <f t="shared" si="462"/>
        <v>PSND'!</v>
      </c>
      <c r="F2024" s="5" t="str">
        <f t="shared" si="463"/>
        <v>C:\Users\jaime.benazar\Quorum Business Solutions\Ecopetrol Prometeo - Documents\Planning Space Implementation\3. Analysis &amp; Design\Design\FC22\DRR Jaime\Neiva CPI\[VAO_DINA TERCIARIOS_CF_SEC_20230117.xlsx]CF PSND'!</v>
      </c>
      <c r="G2024" s="7" t="s">
        <v>104</v>
      </c>
      <c r="H2024" s="4"/>
      <c r="I2024" s="4"/>
      <c r="J2024" s="4"/>
    </row>
    <row r="2025" spans="1:10" x14ac:dyDescent="0.3">
      <c r="A2025" s="7" t="s">
        <v>23</v>
      </c>
      <c r="B2025" s="7">
        <f t="shared" si="464"/>
        <v>2032</v>
      </c>
      <c r="C2025" s="4" t="s">
        <v>46</v>
      </c>
      <c r="D2025" s="5" t="s">
        <v>131</v>
      </c>
      <c r="E2025" s="10" t="str">
        <f t="shared" si="462"/>
        <v>PSND'!</v>
      </c>
      <c r="F2025" s="5" t="str">
        <f t="shared" si="463"/>
        <v>C:\Users\jaime.benazar\Quorum Business Solutions\Ecopetrol Prometeo - Documents\Planning Space Implementation\3. Analysis &amp; Design\Design\FC22\DRR Jaime\Neiva CPI\[VAO_DINA TERCIARIOS_CF_SEC_20230117.xlsx]CF PSND'!</v>
      </c>
      <c r="G2025" s="7" t="s">
        <v>104</v>
      </c>
      <c r="H2025" s="4"/>
      <c r="I2025" s="4"/>
      <c r="J2025" s="4"/>
    </row>
    <row r="2026" spans="1:10" x14ac:dyDescent="0.3">
      <c r="A2026" s="7" t="s">
        <v>23</v>
      </c>
      <c r="B2026" s="7">
        <f t="shared" si="464"/>
        <v>2033</v>
      </c>
      <c r="C2026" s="4" t="s">
        <v>46</v>
      </c>
      <c r="D2026" s="5" t="s">
        <v>131</v>
      </c>
      <c r="E2026" s="10" t="str">
        <f t="shared" si="462"/>
        <v>PSND'!</v>
      </c>
      <c r="F2026" s="5" t="str">
        <f t="shared" si="463"/>
        <v>C:\Users\jaime.benazar\Quorum Business Solutions\Ecopetrol Prometeo - Documents\Planning Space Implementation\3. Analysis &amp; Design\Design\FC22\DRR Jaime\Neiva CPI\[VAO_DINA TERCIARIOS_CF_SEC_20230117.xlsx]CF PSND'!</v>
      </c>
      <c r="G2026" s="7" t="s">
        <v>104</v>
      </c>
      <c r="H2026" s="4"/>
      <c r="I2026" s="4"/>
      <c r="J2026" s="4"/>
    </row>
    <row r="2027" spans="1:10" x14ac:dyDescent="0.3">
      <c r="A2027" s="7" t="s">
        <v>23</v>
      </c>
      <c r="B2027" s="7">
        <f t="shared" si="464"/>
        <v>2034</v>
      </c>
      <c r="C2027" s="4" t="s">
        <v>46</v>
      </c>
      <c r="D2027" s="5" t="s">
        <v>131</v>
      </c>
      <c r="E2027" s="10" t="str">
        <f t="shared" si="462"/>
        <v>PSND'!</v>
      </c>
      <c r="F2027" s="5" t="str">
        <f t="shared" si="463"/>
        <v>C:\Users\jaime.benazar\Quorum Business Solutions\Ecopetrol Prometeo - Documents\Planning Space Implementation\3. Analysis &amp; Design\Design\FC22\DRR Jaime\Neiva CPI\[VAO_DINA TERCIARIOS_CF_SEC_20230117.xlsx]CF PSND'!</v>
      </c>
      <c r="G2027" s="7" t="s">
        <v>104</v>
      </c>
      <c r="H2027" s="4"/>
      <c r="I2027" s="4"/>
      <c r="J2027" s="4"/>
    </row>
    <row r="2028" spans="1:10" x14ac:dyDescent="0.3">
      <c r="A2028" s="7" t="s">
        <v>23</v>
      </c>
      <c r="B2028" s="7">
        <f t="shared" si="464"/>
        <v>2035</v>
      </c>
      <c r="C2028" s="4" t="s">
        <v>46</v>
      </c>
      <c r="D2028" s="5" t="s">
        <v>131</v>
      </c>
      <c r="E2028" s="10" t="str">
        <f t="shared" si="462"/>
        <v>PSND'!</v>
      </c>
      <c r="F2028" s="5" t="str">
        <f t="shared" si="463"/>
        <v>C:\Users\jaime.benazar\Quorum Business Solutions\Ecopetrol Prometeo - Documents\Planning Space Implementation\3. Analysis &amp; Design\Design\FC22\DRR Jaime\Neiva CPI\[VAO_DINA TERCIARIOS_CF_SEC_20230117.xlsx]CF PSND'!</v>
      </c>
      <c r="G2028" s="7" t="s">
        <v>104</v>
      </c>
      <c r="H2028" s="4"/>
      <c r="I2028" s="4"/>
      <c r="J2028" s="4"/>
    </row>
    <row r="2029" spans="1:10" x14ac:dyDescent="0.3">
      <c r="A2029" s="7" t="s">
        <v>23</v>
      </c>
      <c r="B2029" s="7">
        <f t="shared" si="464"/>
        <v>2036</v>
      </c>
      <c r="C2029" s="4" t="s">
        <v>46</v>
      </c>
      <c r="D2029" s="5" t="s">
        <v>131</v>
      </c>
      <c r="E2029" s="10" t="str">
        <f t="shared" si="462"/>
        <v>PSND'!</v>
      </c>
      <c r="F2029" s="5" t="str">
        <f t="shared" si="463"/>
        <v>C:\Users\jaime.benazar\Quorum Business Solutions\Ecopetrol Prometeo - Documents\Planning Space Implementation\3. Analysis &amp; Design\Design\FC22\DRR Jaime\Neiva CPI\[VAO_DINA TERCIARIOS_CF_SEC_20230117.xlsx]CF PSND'!</v>
      </c>
      <c r="G2029" s="7" t="s">
        <v>104</v>
      </c>
      <c r="H2029" s="4"/>
      <c r="I2029" s="4"/>
      <c r="J2029" s="4"/>
    </row>
    <row r="2030" spans="1:10" x14ac:dyDescent="0.3">
      <c r="A2030" s="7" t="s">
        <v>23</v>
      </c>
      <c r="B2030" s="7">
        <f>+B2029+1</f>
        <v>2037</v>
      </c>
      <c r="C2030" s="4" t="s">
        <v>46</v>
      </c>
      <c r="D2030" s="5" t="s">
        <v>131</v>
      </c>
      <c r="E2030" s="10" t="str">
        <f t="shared" si="462"/>
        <v>PSND'!</v>
      </c>
      <c r="F2030" s="5" t="str">
        <f t="shared" si="463"/>
        <v>C:\Users\jaime.benazar\Quorum Business Solutions\Ecopetrol Prometeo - Documents\Planning Space Implementation\3. Analysis &amp; Design\Design\FC22\DRR Jaime\Neiva CPI\[VAO_DINA TERCIARIOS_CF_SEC_20230117.xlsx]CF PSND'!</v>
      </c>
      <c r="G2030" s="7" t="s">
        <v>104</v>
      </c>
      <c r="H2030" s="4"/>
      <c r="I2030" s="4"/>
      <c r="J2030" s="4"/>
    </row>
    <row r="2031" spans="1:10" x14ac:dyDescent="0.3">
      <c r="A2031" s="7" t="s">
        <v>23</v>
      </c>
      <c r="B2031" s="7">
        <f t="shared" ref="B2031:B2033" si="465">+B2030+1</f>
        <v>2038</v>
      </c>
      <c r="C2031" s="4" t="s">
        <v>46</v>
      </c>
      <c r="D2031" s="5" t="s">
        <v>131</v>
      </c>
      <c r="E2031" s="10" t="str">
        <f t="shared" si="462"/>
        <v>PSND'!</v>
      </c>
      <c r="F2031" s="5" t="str">
        <f t="shared" si="463"/>
        <v>C:\Users\jaime.benazar\Quorum Business Solutions\Ecopetrol Prometeo - Documents\Planning Space Implementation\3. Analysis &amp; Design\Design\FC22\DRR Jaime\Neiva CPI\[VAO_DINA TERCIARIOS_CF_SEC_20230117.xlsx]CF PSND'!</v>
      </c>
      <c r="G2031" s="7" t="s">
        <v>104</v>
      </c>
      <c r="H2031" s="4"/>
      <c r="I2031" s="4"/>
      <c r="J2031" s="4"/>
    </row>
    <row r="2032" spans="1:10" x14ac:dyDescent="0.3">
      <c r="A2032" s="7" t="s">
        <v>23</v>
      </c>
      <c r="B2032" s="7">
        <f t="shared" si="465"/>
        <v>2039</v>
      </c>
      <c r="C2032" s="4" t="s">
        <v>46</v>
      </c>
      <c r="D2032" s="5" t="s">
        <v>131</v>
      </c>
      <c r="E2032" s="10" t="str">
        <f t="shared" si="462"/>
        <v>PSND'!</v>
      </c>
      <c r="F2032" s="5" t="str">
        <f t="shared" si="463"/>
        <v>C:\Users\jaime.benazar\Quorum Business Solutions\Ecopetrol Prometeo - Documents\Planning Space Implementation\3. Analysis &amp; Design\Design\FC22\DRR Jaime\Neiva CPI\[VAO_DINA TERCIARIOS_CF_SEC_20230117.xlsx]CF PSND'!</v>
      </c>
      <c r="G2032" s="7" t="s">
        <v>104</v>
      </c>
      <c r="H2032" s="4"/>
      <c r="I2032" s="4"/>
      <c r="J2032" s="4"/>
    </row>
    <row r="2033" spans="1:10" x14ac:dyDescent="0.3">
      <c r="A2033" s="7" t="s">
        <v>23</v>
      </c>
      <c r="B2033" s="7">
        <f t="shared" si="465"/>
        <v>2040</v>
      </c>
      <c r="C2033" s="4" t="s">
        <v>46</v>
      </c>
      <c r="D2033" s="5" t="s">
        <v>131</v>
      </c>
      <c r="E2033" s="10" t="str">
        <f t="shared" si="462"/>
        <v>PSND'!</v>
      </c>
      <c r="F2033" s="5" t="str">
        <f t="shared" si="463"/>
        <v>C:\Users\jaime.benazar\Quorum Business Solutions\Ecopetrol Prometeo - Documents\Planning Space Implementation\3. Analysis &amp; Design\Design\FC22\DRR Jaime\Neiva CPI\[VAO_DINA TERCIARIOS_CF_SEC_20230117.xlsx]CF PSND'!</v>
      </c>
      <c r="G2033" s="7" t="s">
        <v>104</v>
      </c>
      <c r="H2033" s="4"/>
      <c r="I2033" s="4"/>
      <c r="J2033" s="4"/>
    </row>
    <row r="2034" spans="1:10" x14ac:dyDescent="0.3">
      <c r="A2034" s="7" t="s">
        <v>23</v>
      </c>
      <c r="B2034" s="7">
        <f>+B2033+1</f>
        <v>2041</v>
      </c>
      <c r="C2034" s="4" t="s">
        <v>46</v>
      </c>
      <c r="D2034" s="5" t="s">
        <v>131</v>
      </c>
      <c r="E2034" s="10" t="str">
        <f t="shared" si="462"/>
        <v>PSND'!</v>
      </c>
      <c r="F2034" s="5" t="str">
        <f t="shared" si="463"/>
        <v>C:\Users\jaime.benazar\Quorum Business Solutions\Ecopetrol Prometeo - Documents\Planning Space Implementation\3. Analysis &amp; Design\Design\FC22\DRR Jaime\Neiva CPI\[VAO_DINA TERCIARIOS_CF_SEC_20230117.xlsx]CF PSND'!</v>
      </c>
      <c r="G2034" s="7" t="s">
        <v>104</v>
      </c>
      <c r="H2034" s="4"/>
      <c r="I2034" s="4"/>
      <c r="J2034" s="4"/>
    </row>
    <row r="2035" spans="1:10" x14ac:dyDescent="0.3">
      <c r="A2035" s="7" t="s">
        <v>23</v>
      </c>
      <c r="B2035" s="7">
        <f t="shared" ref="B2035:B2036" si="466">+B2034+1</f>
        <v>2042</v>
      </c>
      <c r="C2035" s="4" t="s">
        <v>46</v>
      </c>
      <c r="D2035" s="5" t="s">
        <v>131</v>
      </c>
      <c r="E2035" s="10" t="str">
        <f t="shared" si="462"/>
        <v>PSND'!</v>
      </c>
      <c r="F2035" s="5" t="str">
        <f t="shared" si="463"/>
        <v>C:\Users\jaime.benazar\Quorum Business Solutions\Ecopetrol Prometeo - Documents\Planning Space Implementation\3. Analysis &amp; Design\Design\FC22\DRR Jaime\Neiva CPI\[VAO_DINA TERCIARIOS_CF_SEC_20230117.xlsx]CF PSND'!</v>
      </c>
      <c r="G2035" s="7" t="s">
        <v>104</v>
      </c>
      <c r="H2035" s="4"/>
      <c r="I2035" s="4"/>
      <c r="J2035" s="4"/>
    </row>
    <row r="2036" spans="1:10" x14ac:dyDescent="0.3">
      <c r="A2036" s="7" t="s">
        <v>23</v>
      </c>
      <c r="B2036" s="7">
        <f t="shared" si="466"/>
        <v>2043</v>
      </c>
      <c r="C2036" s="4" t="s">
        <v>46</v>
      </c>
      <c r="D2036" s="5" t="s">
        <v>131</v>
      </c>
      <c r="E2036" s="10" t="str">
        <f t="shared" si="462"/>
        <v>PSND'!</v>
      </c>
      <c r="F2036" s="5" t="str">
        <f t="shared" si="463"/>
        <v>C:\Users\jaime.benazar\Quorum Business Solutions\Ecopetrol Prometeo - Documents\Planning Space Implementation\3. Analysis &amp; Design\Design\FC22\DRR Jaime\Neiva CPI\[VAO_DINA TERCIARIOS_CF_SEC_20230117.xlsx]CF PSND'!</v>
      </c>
      <c r="G2036" s="7" t="s">
        <v>104</v>
      </c>
      <c r="H2036" s="4"/>
      <c r="I2036" s="4"/>
      <c r="J2036" s="4"/>
    </row>
    <row r="2037" spans="1:10" x14ac:dyDescent="0.3">
      <c r="A2037" s="7" t="s">
        <v>23</v>
      </c>
      <c r="B2037" s="7">
        <f>+B2036+1</f>
        <v>2044</v>
      </c>
      <c r="C2037" s="4" t="s">
        <v>46</v>
      </c>
      <c r="D2037" s="5" t="s">
        <v>131</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Jaime\Neiva CPI\[VAO_DINA TERCIARIOS_CF_SEC_20230117.xlsx]CF PSND'!</v>
      </c>
      <c r="G2037" s="7" t="s">
        <v>104</v>
      </c>
      <c r="H2037" s="4"/>
      <c r="I2037" s="4"/>
      <c r="J2037" s="4"/>
    </row>
    <row r="2038" spans="1:10" x14ac:dyDescent="0.3">
      <c r="A2038" s="7" t="s">
        <v>23</v>
      </c>
      <c r="B2038" s="7">
        <f t="shared" ref="B2038:B2052" si="469">+B2037+1</f>
        <v>2045</v>
      </c>
      <c r="C2038" s="4" t="s">
        <v>46</v>
      </c>
      <c r="D2038" s="5" t="s">
        <v>131</v>
      </c>
      <c r="E2038" s="10" t="str">
        <f t="shared" si="467"/>
        <v>PSND'!</v>
      </c>
      <c r="F2038" s="5" t="str">
        <f t="shared" si="468"/>
        <v>C:\Users\jaime.benazar\Quorum Business Solutions\Ecopetrol Prometeo - Documents\Planning Space Implementation\3. Analysis &amp; Design\Design\FC22\DRR Jaime\Neiva CPI\[VAO_DINA TERCIARIOS_CF_SEC_20230117.xlsx]CF PSND'!</v>
      </c>
      <c r="G2038" s="7" t="s">
        <v>104</v>
      </c>
      <c r="H2038" s="4"/>
      <c r="I2038" s="4"/>
      <c r="J2038" s="4"/>
    </row>
    <row r="2039" spans="1:10" x14ac:dyDescent="0.3">
      <c r="A2039" s="7" t="s">
        <v>23</v>
      </c>
      <c r="B2039" s="7">
        <f t="shared" si="469"/>
        <v>2046</v>
      </c>
      <c r="C2039" s="4" t="s">
        <v>46</v>
      </c>
      <c r="D2039" s="5" t="s">
        <v>131</v>
      </c>
      <c r="E2039" s="10" t="str">
        <f t="shared" si="467"/>
        <v>PSND'!</v>
      </c>
      <c r="F2039" s="5" t="str">
        <f t="shared" si="468"/>
        <v>C:\Users\jaime.benazar\Quorum Business Solutions\Ecopetrol Prometeo - Documents\Planning Space Implementation\3. Analysis &amp; Design\Design\FC22\DRR Jaime\Neiva CPI\[VAO_DINA TERCIARIOS_CF_SEC_20230117.xlsx]CF PSND'!</v>
      </c>
      <c r="G2039" s="7" t="s">
        <v>104</v>
      </c>
      <c r="H2039" s="4"/>
      <c r="I2039" s="4"/>
      <c r="J2039" s="4"/>
    </row>
    <row r="2040" spans="1:10" x14ac:dyDescent="0.3">
      <c r="A2040" s="7" t="s">
        <v>23</v>
      </c>
      <c r="B2040" s="7">
        <f t="shared" si="469"/>
        <v>2047</v>
      </c>
      <c r="C2040" s="4" t="s">
        <v>46</v>
      </c>
      <c r="D2040" s="5" t="s">
        <v>131</v>
      </c>
      <c r="E2040" s="10" t="str">
        <f t="shared" si="467"/>
        <v>PSND'!</v>
      </c>
      <c r="F2040" s="5" t="str">
        <f t="shared" si="468"/>
        <v>C:\Users\jaime.benazar\Quorum Business Solutions\Ecopetrol Prometeo - Documents\Planning Space Implementation\3. Analysis &amp; Design\Design\FC22\DRR Jaime\Neiva CPI\[VAO_DINA TERCIARIOS_CF_SEC_20230117.xlsx]CF PSND'!</v>
      </c>
      <c r="G2040" s="7" t="s">
        <v>104</v>
      </c>
      <c r="H2040" s="4"/>
      <c r="I2040" s="4"/>
      <c r="J2040" s="4"/>
    </row>
    <row r="2041" spans="1:10" x14ac:dyDescent="0.3">
      <c r="A2041" s="7" t="s">
        <v>23</v>
      </c>
      <c r="B2041" s="7">
        <f t="shared" si="469"/>
        <v>2048</v>
      </c>
      <c r="C2041" s="4" t="s">
        <v>46</v>
      </c>
      <c r="D2041" s="5" t="s">
        <v>131</v>
      </c>
      <c r="E2041" s="10" t="str">
        <f t="shared" si="467"/>
        <v>PSND'!</v>
      </c>
      <c r="F2041" s="5" t="str">
        <f t="shared" si="468"/>
        <v>C:\Users\jaime.benazar\Quorum Business Solutions\Ecopetrol Prometeo - Documents\Planning Space Implementation\3. Analysis &amp; Design\Design\FC22\DRR Jaime\Neiva CPI\[VAO_DINA TERCIARIOS_CF_SEC_20230117.xlsx]CF PSND'!</v>
      </c>
      <c r="G2041" s="7" t="s">
        <v>104</v>
      </c>
      <c r="H2041" s="4"/>
      <c r="I2041" s="4"/>
      <c r="J2041" s="4"/>
    </row>
    <row r="2042" spans="1:10" x14ac:dyDescent="0.3">
      <c r="A2042" s="7" t="s">
        <v>23</v>
      </c>
      <c r="B2042" s="7">
        <f t="shared" si="469"/>
        <v>2049</v>
      </c>
      <c r="C2042" s="4" t="s">
        <v>46</v>
      </c>
      <c r="D2042" s="5" t="s">
        <v>131</v>
      </c>
      <c r="E2042" s="10" t="str">
        <f t="shared" si="467"/>
        <v>PSND'!</v>
      </c>
      <c r="F2042" s="5" t="str">
        <f t="shared" si="468"/>
        <v>C:\Users\jaime.benazar\Quorum Business Solutions\Ecopetrol Prometeo - Documents\Planning Space Implementation\3. Analysis &amp; Design\Design\FC22\DRR Jaime\Neiva CPI\[VAO_DINA TERCIARIOS_CF_SEC_20230117.xlsx]CF PSND'!</v>
      </c>
      <c r="G2042" s="7" t="s">
        <v>104</v>
      </c>
      <c r="H2042" s="4"/>
      <c r="I2042" s="4"/>
      <c r="J2042" s="4"/>
    </row>
    <row r="2043" spans="1:10" x14ac:dyDescent="0.3">
      <c r="A2043" s="7" t="s">
        <v>23</v>
      </c>
      <c r="B2043" s="7">
        <f t="shared" si="469"/>
        <v>2050</v>
      </c>
      <c r="C2043" s="4" t="s">
        <v>46</v>
      </c>
      <c r="D2043" s="5" t="s">
        <v>131</v>
      </c>
      <c r="E2043" s="10" t="str">
        <f t="shared" si="467"/>
        <v>PSND'!</v>
      </c>
      <c r="F2043" s="5" t="str">
        <f t="shared" si="468"/>
        <v>C:\Users\jaime.benazar\Quorum Business Solutions\Ecopetrol Prometeo - Documents\Planning Space Implementation\3. Analysis &amp; Design\Design\FC22\DRR Jaime\Neiva CPI\[VAO_DINA TERCIARIOS_CF_SEC_20230117.xlsx]CF PSND'!</v>
      </c>
      <c r="G2043" s="7" t="s">
        <v>104</v>
      </c>
      <c r="H2043" s="4"/>
      <c r="I2043" s="4"/>
      <c r="J2043" s="4"/>
    </row>
    <row r="2044" spans="1:10" x14ac:dyDescent="0.3">
      <c r="A2044" s="7" t="s">
        <v>23</v>
      </c>
      <c r="B2044" s="7">
        <f t="shared" si="469"/>
        <v>2051</v>
      </c>
      <c r="C2044" s="4" t="s">
        <v>46</v>
      </c>
      <c r="D2044" s="5" t="s">
        <v>131</v>
      </c>
      <c r="E2044" s="10" t="str">
        <f t="shared" si="467"/>
        <v>PSND'!</v>
      </c>
      <c r="F2044" s="5" t="str">
        <f t="shared" si="468"/>
        <v>C:\Users\jaime.benazar\Quorum Business Solutions\Ecopetrol Prometeo - Documents\Planning Space Implementation\3. Analysis &amp; Design\Design\FC22\DRR Jaime\Neiva CPI\[VAO_DINA TERCIARIOS_CF_SEC_20230117.xlsx]CF PSND'!</v>
      </c>
      <c r="G2044" s="7" t="s">
        <v>104</v>
      </c>
      <c r="H2044" s="4"/>
      <c r="I2044" s="4"/>
      <c r="J2044" s="4"/>
    </row>
    <row r="2045" spans="1:10" x14ac:dyDescent="0.3">
      <c r="A2045" s="7" t="s">
        <v>23</v>
      </c>
      <c r="B2045" s="7">
        <f t="shared" si="469"/>
        <v>2052</v>
      </c>
      <c r="C2045" s="4" t="s">
        <v>46</v>
      </c>
      <c r="D2045" s="5" t="s">
        <v>131</v>
      </c>
      <c r="E2045" s="10" t="str">
        <f t="shared" si="467"/>
        <v>PSND'!</v>
      </c>
      <c r="F2045" s="5" t="str">
        <f t="shared" si="468"/>
        <v>C:\Users\jaime.benazar\Quorum Business Solutions\Ecopetrol Prometeo - Documents\Planning Space Implementation\3. Analysis &amp; Design\Design\FC22\DRR Jaime\Neiva CPI\[VAO_DINA TERCIARIOS_CF_SEC_20230117.xlsx]CF PSND'!</v>
      </c>
      <c r="G2045" s="7" t="s">
        <v>104</v>
      </c>
      <c r="H2045" s="4"/>
      <c r="I2045" s="4"/>
      <c r="J2045" s="4"/>
    </row>
    <row r="2046" spans="1:10" x14ac:dyDescent="0.3">
      <c r="A2046" s="7" t="s">
        <v>23</v>
      </c>
      <c r="B2046" s="7">
        <f t="shared" si="469"/>
        <v>2053</v>
      </c>
      <c r="C2046" s="4" t="s">
        <v>46</v>
      </c>
      <c r="D2046" s="5" t="s">
        <v>131</v>
      </c>
      <c r="E2046" s="10" t="str">
        <f t="shared" si="467"/>
        <v>PSND'!</v>
      </c>
      <c r="F2046" s="5" t="str">
        <f t="shared" si="468"/>
        <v>C:\Users\jaime.benazar\Quorum Business Solutions\Ecopetrol Prometeo - Documents\Planning Space Implementation\3. Analysis &amp; Design\Design\FC22\DRR Jaime\Neiva CPI\[VAO_DINA TERCIARIOS_CF_SEC_20230117.xlsx]CF PSND'!</v>
      </c>
      <c r="G2046" s="7" t="s">
        <v>104</v>
      </c>
      <c r="H2046" s="4"/>
      <c r="I2046" s="4"/>
      <c r="J2046" s="4"/>
    </row>
    <row r="2047" spans="1:10" x14ac:dyDescent="0.3">
      <c r="A2047" s="7" t="s">
        <v>23</v>
      </c>
      <c r="B2047" s="7">
        <f t="shared" si="469"/>
        <v>2054</v>
      </c>
      <c r="C2047" s="4" t="s">
        <v>46</v>
      </c>
      <c r="D2047" s="5" t="s">
        <v>131</v>
      </c>
      <c r="E2047" s="10" t="str">
        <f t="shared" si="467"/>
        <v>PSND'!</v>
      </c>
      <c r="F2047" s="5" t="str">
        <f t="shared" si="468"/>
        <v>C:\Users\jaime.benazar\Quorum Business Solutions\Ecopetrol Prometeo - Documents\Planning Space Implementation\3. Analysis &amp; Design\Design\FC22\DRR Jaime\Neiva CPI\[VAO_DINA TERCIARIOS_CF_SEC_20230117.xlsx]CF PSND'!</v>
      </c>
      <c r="G2047" s="7" t="s">
        <v>104</v>
      </c>
      <c r="H2047" s="4"/>
      <c r="I2047" s="4"/>
      <c r="J2047" s="4"/>
    </row>
    <row r="2048" spans="1:10" x14ac:dyDescent="0.3">
      <c r="A2048" s="7" t="s">
        <v>23</v>
      </c>
      <c r="B2048" s="7">
        <f t="shared" si="469"/>
        <v>2055</v>
      </c>
      <c r="C2048" s="4" t="s">
        <v>46</v>
      </c>
      <c r="D2048" s="5" t="s">
        <v>131</v>
      </c>
      <c r="E2048" s="10" t="str">
        <f t="shared" si="467"/>
        <v>PSND'!</v>
      </c>
      <c r="F2048" s="5" t="str">
        <f t="shared" si="468"/>
        <v>C:\Users\jaime.benazar\Quorum Business Solutions\Ecopetrol Prometeo - Documents\Planning Space Implementation\3. Analysis &amp; Design\Design\FC22\DRR Jaime\Neiva CPI\[VAO_DINA TERCIARIOS_CF_SEC_20230117.xlsx]CF PSND'!</v>
      </c>
      <c r="G2048" s="7" t="s">
        <v>104</v>
      </c>
      <c r="H2048" s="4"/>
      <c r="I2048" s="4"/>
      <c r="J2048" s="4"/>
    </row>
    <row r="2049" spans="1:10" x14ac:dyDescent="0.3">
      <c r="A2049" s="7" t="s">
        <v>23</v>
      </c>
      <c r="B2049" s="7">
        <f t="shared" si="469"/>
        <v>2056</v>
      </c>
      <c r="C2049" s="4" t="s">
        <v>46</v>
      </c>
      <c r="D2049" s="5" t="s">
        <v>131</v>
      </c>
      <c r="E2049" s="10" t="str">
        <f t="shared" si="467"/>
        <v>PSND'!</v>
      </c>
      <c r="F2049" s="5" t="str">
        <f t="shared" si="468"/>
        <v>C:\Users\jaime.benazar\Quorum Business Solutions\Ecopetrol Prometeo - Documents\Planning Space Implementation\3. Analysis &amp; Design\Design\FC22\DRR Jaime\Neiva CPI\[VAO_DINA TERCIARIOS_CF_SEC_20230117.xlsx]CF PSND'!</v>
      </c>
      <c r="G2049" s="7" t="s">
        <v>104</v>
      </c>
      <c r="H2049" s="4"/>
      <c r="I2049" s="4"/>
      <c r="J2049" s="4"/>
    </row>
    <row r="2050" spans="1:10" x14ac:dyDescent="0.3">
      <c r="A2050" s="7" t="s">
        <v>23</v>
      </c>
      <c r="B2050" s="7">
        <f t="shared" si="469"/>
        <v>2057</v>
      </c>
      <c r="C2050" s="4" t="s">
        <v>46</v>
      </c>
      <c r="D2050" s="5" t="s">
        <v>131</v>
      </c>
      <c r="E2050" s="10" t="str">
        <f t="shared" si="467"/>
        <v>PSND'!</v>
      </c>
      <c r="F2050" s="5" t="str">
        <f t="shared" si="468"/>
        <v>C:\Users\jaime.benazar\Quorum Business Solutions\Ecopetrol Prometeo - Documents\Planning Space Implementation\3. Analysis &amp; Design\Design\FC22\DRR Jaime\Neiva CPI\[VAO_DINA TERCIARIOS_CF_SEC_20230117.xlsx]CF PSND'!</v>
      </c>
      <c r="G2050" s="7" t="s">
        <v>104</v>
      </c>
      <c r="H2050" s="4"/>
      <c r="I2050" s="4"/>
      <c r="J2050" s="4"/>
    </row>
    <row r="2051" spans="1:10" x14ac:dyDescent="0.3">
      <c r="A2051" s="7" t="s">
        <v>23</v>
      </c>
      <c r="B2051" s="7">
        <f t="shared" si="469"/>
        <v>2058</v>
      </c>
      <c r="C2051" s="4" t="s">
        <v>46</v>
      </c>
      <c r="D2051" s="5" t="s">
        <v>131</v>
      </c>
      <c r="E2051" s="10" t="str">
        <f t="shared" si="467"/>
        <v>PSND'!</v>
      </c>
      <c r="F2051" s="5" t="str">
        <f t="shared" si="468"/>
        <v>C:\Users\jaime.benazar\Quorum Business Solutions\Ecopetrol Prometeo - Documents\Planning Space Implementation\3. Analysis &amp; Design\Design\FC22\DRR Jaime\Neiva CPI\[VAO_DINA TERCIARIOS_CF_SEC_20230117.xlsx]CF PSND'!</v>
      </c>
      <c r="G2051" s="7" t="s">
        <v>104</v>
      </c>
      <c r="H2051" s="4"/>
      <c r="I2051" s="4"/>
      <c r="J2051" s="4"/>
    </row>
    <row r="2052" spans="1:10" x14ac:dyDescent="0.3">
      <c r="A2052" s="7" t="s">
        <v>23</v>
      </c>
      <c r="B2052" s="7">
        <f t="shared" si="469"/>
        <v>2059</v>
      </c>
      <c r="C2052" s="4" t="s">
        <v>46</v>
      </c>
      <c r="D2052" s="5" t="s">
        <v>131</v>
      </c>
      <c r="E2052" s="10" t="str">
        <f t="shared" si="467"/>
        <v>PSND'!</v>
      </c>
      <c r="F2052" s="5" t="str">
        <f t="shared" si="468"/>
        <v>C:\Users\jaime.benazar\Quorum Business Solutions\Ecopetrol Prometeo - Documents\Planning Space Implementation\3. Analysis &amp; Design\Design\FC22\DRR Jaime\Neiva CPI\[VAO_DINA TERCIARIOS_CF_SEC_20230117.xlsx]CF PSND'!</v>
      </c>
      <c r="G2052" s="7" t="s">
        <v>104</v>
      </c>
      <c r="H2052" s="4"/>
      <c r="I2052" s="4"/>
      <c r="J2052" s="4"/>
    </row>
    <row r="2053" spans="1:10" x14ac:dyDescent="0.3">
      <c r="A2053" s="7" t="s">
        <v>26</v>
      </c>
      <c r="B2053" s="7"/>
      <c r="C2053" s="4" t="s">
        <v>46</v>
      </c>
      <c r="D2053" s="5"/>
      <c r="E2053" s="10"/>
      <c r="F2053" s="5"/>
      <c r="G2053" s="7"/>
      <c r="H2053" s="4"/>
      <c r="I2053" s="4"/>
      <c r="J2053" s="4"/>
    </row>
    <row r="2054" spans="1:10" x14ac:dyDescent="0.3">
      <c r="A2054" s="7" t="s">
        <v>24</v>
      </c>
      <c r="B2054" s="7">
        <v>2023</v>
      </c>
      <c r="C2054" s="4" t="s">
        <v>46</v>
      </c>
      <c r="D2054" s="5" t="s">
        <v>131</v>
      </c>
      <c r="E2054" s="10" t="str">
        <f t="shared" si="405"/>
        <v>PS'!</v>
      </c>
      <c r="F2054" s="5" t="str">
        <f t="shared" ref="F2054:F2074" si="470">_xlfn.CONCAT(D2054," ",E2054)</f>
        <v>C:\Users\jaime.benazar\Quorum Business Solutions\Ecopetrol Prometeo - Documents\Planning Space Implementation\3. Analysis &amp; Design\Design\FC22\DRR Jaime\Neiva CPI\[VAO_DINA TERCIARIOS_CF_SEC_20230117.xlsx]CF PS'!</v>
      </c>
      <c r="G2054" s="7" t="s">
        <v>104</v>
      </c>
      <c r="H2054" s="4">
        <f>IF(A2054&lt;&gt;A1924,36,H1924+1)</f>
        <v>36</v>
      </c>
      <c r="I2054" s="4" t="str">
        <f t="shared" si="406"/>
        <v>='C:\Users\jaime.benazar\Quorum Business Solutions\Ecopetrol Prometeo - Documents\Planning Space Implementation\3. Analysis &amp; Design\Design\FC22\DRR Jaime\Neiva CPI\[VAO_DINA TERCIARIOS_CF_SEC_20230117.xlsx]CF PS'!$BU$36</v>
      </c>
      <c r="J2054" s="4" t="s">
        <v>1020</v>
      </c>
    </row>
    <row r="2055" spans="1:10" x14ac:dyDescent="0.3">
      <c r="A2055" s="7" t="s">
        <v>24</v>
      </c>
      <c r="B2055" s="7">
        <f>+B2054+1</f>
        <v>2024</v>
      </c>
      <c r="C2055" s="4" t="s">
        <v>46</v>
      </c>
      <c r="D2055" s="5" t="s">
        <v>131</v>
      </c>
      <c r="E2055" s="10" t="str">
        <f t="shared" si="405"/>
        <v>PS'!</v>
      </c>
      <c r="F2055" s="5" t="str">
        <f t="shared" si="470"/>
        <v>C:\Users\jaime.benazar\Quorum Business Solutions\Ecopetrol Prometeo - Documents\Planning Space Implementation\3. Analysis &amp; Design\Design\FC22\DRR Jaime\Neiva CPI\[VAO_DINA TERCIARIOS_CF_SEC_20230117.xlsx]CF PS'!</v>
      </c>
      <c r="G2055" s="7" t="s">
        <v>104</v>
      </c>
      <c r="H2055" s="4">
        <f t="shared" si="407"/>
        <v>37</v>
      </c>
      <c r="I2055" s="4" t="str">
        <f t="shared" si="406"/>
        <v>='C:\Users\jaime.benazar\Quorum Business Solutions\Ecopetrol Prometeo - Documents\Planning Space Implementation\3. Analysis &amp; Design\Design\FC22\DRR Jaime\Neiva CPI\[VAO_DINA TERCIARIOS_CF_SEC_20230117.xlsx]CF PS'!$BU$37</v>
      </c>
      <c r="J2055" s="4" t="s">
        <v>1021</v>
      </c>
    </row>
    <row r="2056" spans="1:10" x14ac:dyDescent="0.3">
      <c r="A2056" s="7" t="s">
        <v>24</v>
      </c>
      <c r="B2056" s="7">
        <f t="shared" ref="B2056:B2067" si="471">+B2055+1</f>
        <v>2025</v>
      </c>
      <c r="C2056" s="4" t="s">
        <v>46</v>
      </c>
      <c r="D2056" s="5" t="s">
        <v>131</v>
      </c>
      <c r="E2056" s="10" t="str">
        <f t="shared" si="405"/>
        <v>PS'!</v>
      </c>
      <c r="F2056" s="5" t="str">
        <f t="shared" si="470"/>
        <v>C:\Users\jaime.benazar\Quorum Business Solutions\Ecopetrol Prometeo - Documents\Planning Space Implementation\3. Analysis &amp; Design\Design\FC22\DRR Jaime\Neiva CPI\[VAO_DINA TERCIARIOS_CF_SEC_20230117.xlsx]CF PS'!</v>
      </c>
      <c r="G2056" s="7" t="s">
        <v>104</v>
      </c>
      <c r="H2056" s="4">
        <f t="shared" si="407"/>
        <v>38</v>
      </c>
      <c r="I2056" s="4" t="str">
        <f t="shared" si="406"/>
        <v>='C:\Users\jaime.benazar\Quorum Business Solutions\Ecopetrol Prometeo - Documents\Planning Space Implementation\3. Analysis &amp; Design\Design\FC22\DRR Jaime\Neiva CPI\[VAO_DINA TERCIARIOS_CF_SEC_20230117.xlsx]CF PS'!$BU$38</v>
      </c>
      <c r="J2056" s="4" t="s">
        <v>1022</v>
      </c>
    </row>
    <row r="2057" spans="1:10" x14ac:dyDescent="0.3">
      <c r="A2057" s="7" t="s">
        <v>24</v>
      </c>
      <c r="B2057" s="7">
        <f t="shared" si="471"/>
        <v>2026</v>
      </c>
      <c r="C2057" s="4" t="s">
        <v>46</v>
      </c>
      <c r="D2057" s="5" t="s">
        <v>131</v>
      </c>
      <c r="E2057" s="10" t="str">
        <f t="shared" si="405"/>
        <v>PS'!</v>
      </c>
      <c r="F2057" s="5" t="str">
        <f t="shared" si="470"/>
        <v>C:\Users\jaime.benazar\Quorum Business Solutions\Ecopetrol Prometeo - Documents\Planning Space Implementation\3. Analysis &amp; Design\Design\FC22\DRR Jaime\Neiva CPI\[VAO_DINA TERCIARIOS_CF_SEC_20230117.xlsx]CF PS'!</v>
      </c>
      <c r="G2057" s="7" t="s">
        <v>104</v>
      </c>
      <c r="H2057" s="4">
        <f t="shared" si="407"/>
        <v>39</v>
      </c>
      <c r="I2057" s="4" t="str">
        <f t="shared" si="406"/>
        <v>='C:\Users\jaime.benazar\Quorum Business Solutions\Ecopetrol Prometeo - Documents\Planning Space Implementation\3. Analysis &amp; Design\Design\FC22\DRR Jaime\Neiva CPI\[VAO_DINA TERCIARIOS_CF_SEC_20230117.xlsx]CF PS'!$BU$39</v>
      </c>
      <c r="J2057" s="4" t="s">
        <v>1023</v>
      </c>
    </row>
    <row r="2058" spans="1:10" x14ac:dyDescent="0.3">
      <c r="A2058" s="7" t="s">
        <v>24</v>
      </c>
      <c r="B2058" s="7">
        <f t="shared" si="471"/>
        <v>2027</v>
      </c>
      <c r="C2058" s="4" t="s">
        <v>46</v>
      </c>
      <c r="D2058" s="5" t="s">
        <v>131</v>
      </c>
      <c r="E2058" s="10" t="str">
        <f t="shared" si="405"/>
        <v>PS'!</v>
      </c>
      <c r="F2058" s="5" t="str">
        <f t="shared" si="470"/>
        <v>C:\Users\jaime.benazar\Quorum Business Solutions\Ecopetrol Prometeo - Documents\Planning Space Implementation\3. Analysis &amp; Design\Design\FC22\DRR Jaime\Neiva CPI\[VAO_DINA TERCIARIOS_CF_SEC_20230117.xlsx]CF PS'!</v>
      </c>
      <c r="G2058" s="7" t="s">
        <v>104</v>
      </c>
      <c r="H2058" s="4">
        <f t="shared" si="407"/>
        <v>40</v>
      </c>
      <c r="I2058" s="4" t="str">
        <f t="shared" si="406"/>
        <v>='C:\Users\jaime.benazar\Quorum Business Solutions\Ecopetrol Prometeo - Documents\Planning Space Implementation\3. Analysis &amp; Design\Design\FC22\DRR Jaime\Neiva CPI\[VAO_DINA TERCIARIOS_CF_SEC_20230117.xlsx]CF PS'!$BU$40</v>
      </c>
      <c r="J2058" s="4" t="s">
        <v>1024</v>
      </c>
    </row>
    <row r="2059" spans="1:10" x14ac:dyDescent="0.3">
      <c r="A2059" s="7" t="s">
        <v>24</v>
      </c>
      <c r="B2059" s="7">
        <f t="shared" si="471"/>
        <v>2028</v>
      </c>
      <c r="C2059" s="4" t="s">
        <v>46</v>
      </c>
      <c r="D2059" s="5" t="s">
        <v>131</v>
      </c>
      <c r="E2059" s="10" t="str">
        <f t="shared" si="405"/>
        <v>PS'!</v>
      </c>
      <c r="F2059" s="5" t="str">
        <f t="shared" si="470"/>
        <v>C:\Users\jaime.benazar\Quorum Business Solutions\Ecopetrol Prometeo - Documents\Planning Space Implementation\3. Analysis &amp; Design\Design\FC22\DRR Jaime\Neiva CPI\[VAO_DINA TERCIARIOS_CF_SEC_20230117.xlsx]CF PS'!</v>
      </c>
      <c r="G2059" s="7" t="s">
        <v>104</v>
      </c>
      <c r="H2059" s="4">
        <f t="shared" si="407"/>
        <v>41</v>
      </c>
      <c r="I2059" s="4" t="str">
        <f t="shared" si="406"/>
        <v>='C:\Users\jaime.benazar\Quorum Business Solutions\Ecopetrol Prometeo - Documents\Planning Space Implementation\3. Analysis &amp; Design\Design\FC22\DRR Jaime\Neiva CPI\[VAO_DINA TERCIARIOS_CF_SEC_20230117.xlsx]CF PS'!$BU$41</v>
      </c>
      <c r="J2059" s="4" t="s">
        <v>1025</v>
      </c>
    </row>
    <row r="2060" spans="1:10" x14ac:dyDescent="0.3">
      <c r="A2060" s="7" t="s">
        <v>24</v>
      </c>
      <c r="B2060" s="7">
        <f t="shared" si="471"/>
        <v>2029</v>
      </c>
      <c r="C2060" s="4" t="s">
        <v>46</v>
      </c>
      <c r="D2060" s="5" t="s">
        <v>131</v>
      </c>
      <c r="E2060" s="10" t="str">
        <f t="shared" si="405"/>
        <v>PS'!</v>
      </c>
      <c r="F2060" s="5" t="str">
        <f t="shared" si="470"/>
        <v>C:\Users\jaime.benazar\Quorum Business Solutions\Ecopetrol Prometeo - Documents\Planning Space Implementation\3. Analysis &amp; Design\Design\FC22\DRR Jaime\Neiva CPI\[VAO_DINA TERCIARIOS_CF_SEC_20230117.xlsx]CF PS'!</v>
      </c>
      <c r="G2060" s="7" t="s">
        <v>104</v>
      </c>
      <c r="H2060" s="4">
        <f t="shared" si="407"/>
        <v>42</v>
      </c>
      <c r="I2060" s="4" t="str">
        <f t="shared" si="406"/>
        <v>='C:\Users\jaime.benazar\Quorum Business Solutions\Ecopetrol Prometeo - Documents\Planning Space Implementation\3. Analysis &amp; Design\Design\FC22\DRR Jaime\Neiva CPI\[VAO_DINA TERCIARIOS_CF_SEC_20230117.xlsx]CF PS'!$BU$42</v>
      </c>
      <c r="J2060" s="4" t="s">
        <v>1026</v>
      </c>
    </row>
    <row r="2061" spans="1:10" x14ac:dyDescent="0.3">
      <c r="A2061" s="7" t="s">
        <v>24</v>
      </c>
      <c r="B2061" s="7">
        <f t="shared" si="471"/>
        <v>2030</v>
      </c>
      <c r="C2061" s="4" t="s">
        <v>46</v>
      </c>
      <c r="D2061" s="5" t="s">
        <v>131</v>
      </c>
      <c r="E2061" s="10" t="str">
        <f t="shared" si="405"/>
        <v>PS'!</v>
      </c>
      <c r="F2061" s="5" t="str">
        <f t="shared" si="470"/>
        <v>C:\Users\jaime.benazar\Quorum Business Solutions\Ecopetrol Prometeo - Documents\Planning Space Implementation\3. Analysis &amp; Design\Design\FC22\DRR Jaime\Neiva CPI\[VAO_DINA TERCIARIOS_CF_SEC_20230117.xlsx]CF PS'!</v>
      </c>
      <c r="G2061" s="7" t="s">
        <v>104</v>
      </c>
      <c r="H2061" s="4">
        <f t="shared" si="407"/>
        <v>43</v>
      </c>
      <c r="I2061" s="4" t="str">
        <f t="shared" si="406"/>
        <v>='C:\Users\jaime.benazar\Quorum Business Solutions\Ecopetrol Prometeo - Documents\Planning Space Implementation\3. Analysis &amp; Design\Design\FC22\DRR Jaime\Neiva CPI\[VAO_DINA TERCIARIOS_CF_SEC_20230117.xlsx]CF PS'!$BU$43</v>
      </c>
      <c r="J2061" s="4" t="s">
        <v>1027</v>
      </c>
    </row>
    <row r="2062" spans="1:10" x14ac:dyDescent="0.3">
      <c r="A2062" s="7" t="s">
        <v>24</v>
      </c>
      <c r="B2062" s="7">
        <f t="shared" si="471"/>
        <v>2031</v>
      </c>
      <c r="C2062" s="4" t="s">
        <v>46</v>
      </c>
      <c r="D2062" s="5" t="s">
        <v>131</v>
      </c>
      <c r="E2062" s="10" t="str">
        <f t="shared" si="405"/>
        <v>PS'!</v>
      </c>
      <c r="F2062" s="5" t="str">
        <f t="shared" si="470"/>
        <v>C:\Users\jaime.benazar\Quorum Business Solutions\Ecopetrol Prometeo - Documents\Planning Space Implementation\3. Analysis &amp; Design\Design\FC22\DRR Jaime\Neiva CPI\[VAO_DINA TERCIARIOS_CF_SEC_20230117.xlsx]CF PS'!</v>
      </c>
      <c r="G2062" s="7" t="s">
        <v>104</v>
      </c>
      <c r="H2062" s="4">
        <f t="shared" si="407"/>
        <v>44</v>
      </c>
      <c r="I2062" s="4" t="str">
        <f t="shared" si="406"/>
        <v>='C:\Users\jaime.benazar\Quorum Business Solutions\Ecopetrol Prometeo - Documents\Planning Space Implementation\3. Analysis &amp; Design\Design\FC22\DRR Jaime\Neiva CPI\[VAO_DINA TERCIARIOS_CF_SEC_20230117.xlsx]CF PS'!$BU$44</v>
      </c>
      <c r="J2062" s="4" t="s">
        <v>1028</v>
      </c>
    </row>
    <row r="2063" spans="1:10" x14ac:dyDescent="0.3">
      <c r="A2063" s="7" t="s">
        <v>24</v>
      </c>
      <c r="B2063" s="7">
        <f t="shared" si="471"/>
        <v>2032</v>
      </c>
      <c r="C2063" s="4" t="s">
        <v>46</v>
      </c>
      <c r="D2063" s="5" t="s">
        <v>131</v>
      </c>
      <c r="E2063" s="10" t="str">
        <f t="shared" si="405"/>
        <v>PS'!</v>
      </c>
      <c r="F2063" s="5" t="str">
        <f t="shared" si="470"/>
        <v>C:\Users\jaime.benazar\Quorum Business Solutions\Ecopetrol Prometeo - Documents\Planning Space Implementation\3. Analysis &amp; Design\Design\FC22\DRR Jaime\Neiva CPI\[VAO_DINA TERCIARIOS_CF_SEC_20230117.xlsx]CF PS'!</v>
      </c>
      <c r="G2063" s="7" t="s">
        <v>104</v>
      </c>
      <c r="H2063" s="4">
        <f t="shared" si="407"/>
        <v>45</v>
      </c>
      <c r="I2063" s="4" t="str">
        <f t="shared" si="406"/>
        <v>='C:\Users\jaime.benazar\Quorum Business Solutions\Ecopetrol Prometeo - Documents\Planning Space Implementation\3. Analysis &amp; Design\Design\FC22\DRR Jaime\Neiva CPI\[VAO_DINA TERCIARIOS_CF_SEC_20230117.xlsx]CF PS'!$BU$45</v>
      </c>
      <c r="J2063" s="4" t="s">
        <v>1029</v>
      </c>
    </row>
    <row r="2064" spans="1:10" x14ac:dyDescent="0.3">
      <c r="A2064" s="7" t="s">
        <v>24</v>
      </c>
      <c r="B2064" s="7">
        <f t="shared" si="471"/>
        <v>2033</v>
      </c>
      <c r="C2064" s="4" t="s">
        <v>46</v>
      </c>
      <c r="D2064" s="5" t="s">
        <v>131</v>
      </c>
      <c r="E2064" s="10" t="str">
        <f t="shared" si="405"/>
        <v>PS'!</v>
      </c>
      <c r="F2064" s="5" t="str">
        <f t="shared" si="470"/>
        <v>C:\Users\jaime.benazar\Quorum Business Solutions\Ecopetrol Prometeo - Documents\Planning Space Implementation\3. Analysis &amp; Design\Design\FC22\DRR Jaime\Neiva CPI\[VAO_DINA TERCIARIOS_CF_SEC_20230117.xlsx]CF PS'!</v>
      </c>
      <c r="G2064" s="7" t="s">
        <v>104</v>
      </c>
      <c r="H2064" s="4">
        <f t="shared" si="407"/>
        <v>46</v>
      </c>
      <c r="I2064" s="4" t="str">
        <f t="shared" si="406"/>
        <v>='C:\Users\jaime.benazar\Quorum Business Solutions\Ecopetrol Prometeo - Documents\Planning Space Implementation\3. Analysis &amp; Design\Design\FC22\DRR Jaime\Neiva CPI\[VAO_DINA TERCIARIOS_CF_SEC_20230117.xlsx]CF PS'!$BU$46</v>
      </c>
      <c r="J2064" s="4" t="s">
        <v>1030</v>
      </c>
    </row>
    <row r="2065" spans="1:10" x14ac:dyDescent="0.3">
      <c r="A2065" s="7" t="s">
        <v>24</v>
      </c>
      <c r="B2065" s="7">
        <f t="shared" si="471"/>
        <v>2034</v>
      </c>
      <c r="C2065" s="4" t="s">
        <v>46</v>
      </c>
      <c r="D2065" s="5" t="s">
        <v>131</v>
      </c>
      <c r="E2065" s="10" t="str">
        <f t="shared" si="405"/>
        <v>PS'!</v>
      </c>
      <c r="F2065" s="5" t="str">
        <f t="shared" si="470"/>
        <v>C:\Users\jaime.benazar\Quorum Business Solutions\Ecopetrol Prometeo - Documents\Planning Space Implementation\3. Analysis &amp; Design\Design\FC22\DRR Jaime\Neiva CPI\[VAO_DINA TERCIARIOS_CF_SEC_20230117.xlsx]CF PS'!</v>
      </c>
      <c r="G2065" s="7" t="s">
        <v>104</v>
      </c>
      <c r="H2065" s="4">
        <f t="shared" si="407"/>
        <v>47</v>
      </c>
      <c r="I2065" s="4" t="str">
        <f t="shared" si="406"/>
        <v>='C:\Users\jaime.benazar\Quorum Business Solutions\Ecopetrol Prometeo - Documents\Planning Space Implementation\3. Analysis &amp; Design\Design\FC22\DRR Jaime\Neiva CPI\[VAO_DINA TERCIARIOS_CF_SEC_20230117.xlsx]CF PS'!$BU$47</v>
      </c>
      <c r="J2065" s="4" t="s">
        <v>1031</v>
      </c>
    </row>
    <row r="2066" spans="1:10" x14ac:dyDescent="0.3">
      <c r="A2066" s="7" t="s">
        <v>24</v>
      </c>
      <c r="B2066" s="7">
        <f t="shared" si="471"/>
        <v>2035</v>
      </c>
      <c r="C2066" s="4" t="s">
        <v>46</v>
      </c>
      <c r="D2066" s="5" t="s">
        <v>131</v>
      </c>
      <c r="E2066" s="10" t="str">
        <f t="shared" si="405"/>
        <v>PS'!</v>
      </c>
      <c r="F2066" s="5" t="str">
        <f t="shared" si="470"/>
        <v>C:\Users\jaime.benazar\Quorum Business Solutions\Ecopetrol Prometeo - Documents\Planning Space Implementation\3. Analysis &amp; Design\Design\FC22\DRR Jaime\Neiva CPI\[VAO_DINA TERCIARIOS_CF_SEC_20230117.xlsx]CF PS'!</v>
      </c>
      <c r="G2066" s="7" t="s">
        <v>104</v>
      </c>
      <c r="H2066" s="4">
        <f t="shared" si="407"/>
        <v>48</v>
      </c>
      <c r="I2066" s="4" t="str">
        <f t="shared" si="406"/>
        <v>='C:\Users\jaime.benazar\Quorum Business Solutions\Ecopetrol Prometeo - Documents\Planning Space Implementation\3. Analysis &amp; Design\Design\FC22\DRR Jaime\Neiva CPI\[VAO_DINA TERCIARIOS_CF_SEC_20230117.xlsx]CF PS'!$BU$48</v>
      </c>
      <c r="J2066" s="4" t="s">
        <v>1032</v>
      </c>
    </row>
    <row r="2067" spans="1:10" x14ac:dyDescent="0.3">
      <c r="A2067" s="7" t="s">
        <v>24</v>
      </c>
      <c r="B2067" s="7">
        <f t="shared" si="471"/>
        <v>2036</v>
      </c>
      <c r="C2067" s="4" t="s">
        <v>46</v>
      </c>
      <c r="D2067" s="5" t="s">
        <v>131</v>
      </c>
      <c r="E2067" s="10" t="str">
        <f t="shared" si="405"/>
        <v>PS'!</v>
      </c>
      <c r="F2067" s="5" t="str">
        <f t="shared" si="470"/>
        <v>C:\Users\jaime.benazar\Quorum Business Solutions\Ecopetrol Prometeo - Documents\Planning Space Implementation\3. Analysis &amp; Design\Design\FC22\DRR Jaime\Neiva CPI\[VAO_DINA TERCIARIOS_CF_SEC_20230117.xlsx]CF PS'!</v>
      </c>
      <c r="G2067" s="7" t="s">
        <v>104</v>
      </c>
      <c r="H2067" s="4">
        <f t="shared" si="407"/>
        <v>49</v>
      </c>
      <c r="I2067" s="4" t="str">
        <f t="shared" si="406"/>
        <v>='C:\Users\jaime.benazar\Quorum Business Solutions\Ecopetrol Prometeo - Documents\Planning Space Implementation\3. Analysis &amp; Design\Design\FC22\DRR Jaime\Neiva CPI\[VAO_DINA TERCIARIOS_CF_SEC_20230117.xlsx]CF PS'!$BU$49</v>
      </c>
      <c r="J2067" s="4" t="s">
        <v>1033</v>
      </c>
    </row>
    <row r="2068" spans="1:10" x14ac:dyDescent="0.3">
      <c r="A2068" s="7" t="s">
        <v>24</v>
      </c>
      <c r="B2068" s="7">
        <f>+B2067+1</f>
        <v>2037</v>
      </c>
      <c r="C2068" s="4" t="s">
        <v>46</v>
      </c>
      <c r="D2068" s="5" t="s">
        <v>131</v>
      </c>
      <c r="E2068" s="10" t="str">
        <f t="shared" si="405"/>
        <v>PS'!</v>
      </c>
      <c r="F2068" s="5" t="str">
        <f t="shared" si="470"/>
        <v>C:\Users\jaime.benazar\Quorum Business Solutions\Ecopetrol Prometeo - Documents\Planning Space Implementation\3. Analysis &amp; Design\Design\FC22\DRR Jaime\Neiva CPI\[VAO_DINA TERCIARIOS_CF_SEC_20230117.xlsx]CF PS'!</v>
      </c>
      <c r="G2068" s="7" t="s">
        <v>104</v>
      </c>
      <c r="H2068" s="4">
        <f t="shared" si="407"/>
        <v>50</v>
      </c>
      <c r="I2068" s="4" t="str">
        <f t="shared" si="406"/>
        <v>='C:\Users\jaime.benazar\Quorum Business Solutions\Ecopetrol Prometeo - Documents\Planning Space Implementation\3. Analysis &amp; Design\Design\FC22\DRR Jaime\Neiva CPI\[VAO_DINA TERCIARIOS_CF_SEC_20230117.xlsx]CF PS'!$BU$50</v>
      </c>
      <c r="J2068" s="4" t="s">
        <v>1034</v>
      </c>
    </row>
    <row r="2069" spans="1:10" x14ac:dyDescent="0.3">
      <c r="A2069" s="7" t="s">
        <v>24</v>
      </c>
      <c r="B2069" s="7">
        <f t="shared" ref="B2069:B2071" si="472">+B2068+1</f>
        <v>2038</v>
      </c>
      <c r="C2069" s="4" t="s">
        <v>46</v>
      </c>
      <c r="D2069" s="5" t="s">
        <v>131</v>
      </c>
      <c r="E2069" s="10" t="str">
        <f t="shared" si="405"/>
        <v>PS'!</v>
      </c>
      <c r="F2069" s="5" t="str">
        <f t="shared" si="470"/>
        <v>C:\Users\jaime.benazar\Quorum Business Solutions\Ecopetrol Prometeo - Documents\Planning Space Implementation\3. Analysis &amp; Design\Design\FC22\DRR Jaime\Neiva CPI\[VAO_DINA TERCIARIOS_CF_SEC_20230117.xlsx]CF PS'!</v>
      </c>
      <c r="G2069" s="7" t="s">
        <v>104</v>
      </c>
      <c r="H2069" s="4">
        <f t="shared" si="407"/>
        <v>51</v>
      </c>
      <c r="I2069" s="4" t="str">
        <f t="shared" si="406"/>
        <v>='C:\Users\jaime.benazar\Quorum Business Solutions\Ecopetrol Prometeo - Documents\Planning Space Implementation\3. Analysis &amp; Design\Design\FC22\DRR Jaime\Neiva CPI\[VAO_DINA TERCIARIOS_CF_SEC_20230117.xlsx]CF PS'!$BU$51</v>
      </c>
      <c r="J2069" s="4" t="s">
        <v>1035</v>
      </c>
    </row>
    <row r="2070" spans="1:10" x14ac:dyDescent="0.3">
      <c r="A2070" s="7" t="s">
        <v>24</v>
      </c>
      <c r="B2070" s="7">
        <f t="shared" si="472"/>
        <v>2039</v>
      </c>
      <c r="C2070" s="4" t="s">
        <v>46</v>
      </c>
      <c r="D2070" s="5" t="s">
        <v>131</v>
      </c>
      <c r="E2070" s="10" t="str">
        <f t="shared" si="405"/>
        <v>PS'!</v>
      </c>
      <c r="F2070" s="5" t="str">
        <f t="shared" si="470"/>
        <v>C:\Users\jaime.benazar\Quorum Business Solutions\Ecopetrol Prometeo - Documents\Planning Space Implementation\3. Analysis &amp; Design\Design\FC22\DRR Jaime\Neiva CPI\[VAO_DINA TERCIARIOS_CF_SEC_20230117.xlsx]CF PS'!</v>
      </c>
      <c r="G2070" s="7" t="s">
        <v>104</v>
      </c>
      <c r="H2070" s="4">
        <f t="shared" si="407"/>
        <v>52</v>
      </c>
      <c r="I2070" s="4" t="str">
        <f t="shared" si="406"/>
        <v>='C:\Users\jaime.benazar\Quorum Business Solutions\Ecopetrol Prometeo - Documents\Planning Space Implementation\3. Analysis &amp; Design\Design\FC22\DRR Jaime\Neiva CPI\[VAO_DINA TERCIARIOS_CF_SEC_20230117.xlsx]CF PS'!$BU$52</v>
      </c>
      <c r="J2070" s="4" t="s">
        <v>1036</v>
      </c>
    </row>
    <row r="2071" spans="1:10" x14ac:dyDescent="0.3">
      <c r="A2071" s="7" t="s">
        <v>24</v>
      </c>
      <c r="B2071" s="7">
        <f t="shared" si="472"/>
        <v>2040</v>
      </c>
      <c r="C2071" s="4" t="s">
        <v>46</v>
      </c>
      <c r="D2071" s="5" t="s">
        <v>131</v>
      </c>
      <c r="E2071" s="10" t="str">
        <f t="shared" si="405"/>
        <v>PS'!</v>
      </c>
      <c r="F2071" s="5" t="str">
        <f t="shared" si="470"/>
        <v>C:\Users\jaime.benazar\Quorum Business Solutions\Ecopetrol Prometeo - Documents\Planning Space Implementation\3. Analysis &amp; Design\Design\FC22\DRR Jaime\Neiva CPI\[VAO_DINA TERCIARIOS_CF_SEC_20230117.xlsx]CF PS'!</v>
      </c>
      <c r="G2071" s="7" t="s">
        <v>104</v>
      </c>
      <c r="H2071" s="4">
        <f t="shared" si="407"/>
        <v>53</v>
      </c>
      <c r="I2071" s="4" t="str">
        <f t="shared" si="406"/>
        <v>='C:\Users\jaime.benazar\Quorum Business Solutions\Ecopetrol Prometeo - Documents\Planning Space Implementation\3. Analysis &amp; Design\Design\FC22\DRR Jaime\Neiva CPI\[VAO_DINA TERCIARIOS_CF_SEC_20230117.xlsx]CF PS'!$BU$53</v>
      </c>
      <c r="J2071" s="4" t="s">
        <v>1037</v>
      </c>
    </row>
    <row r="2072" spans="1:10" x14ac:dyDescent="0.3">
      <c r="A2072" s="7" t="s">
        <v>24</v>
      </c>
      <c r="B2072" s="7">
        <f>+B2071+1</f>
        <v>2041</v>
      </c>
      <c r="C2072" s="4" t="s">
        <v>46</v>
      </c>
      <c r="D2072" s="5" t="s">
        <v>131</v>
      </c>
      <c r="E2072" s="10" t="str">
        <f t="shared" si="405"/>
        <v>PS'!</v>
      </c>
      <c r="F2072" s="5" t="str">
        <f t="shared" si="470"/>
        <v>C:\Users\jaime.benazar\Quorum Business Solutions\Ecopetrol Prometeo - Documents\Planning Space Implementation\3. Analysis &amp; Design\Design\FC22\DRR Jaime\Neiva CPI\[VAO_DINA TERCIARIOS_CF_SEC_20230117.xlsx]CF PS'!</v>
      </c>
      <c r="G2072" s="7" t="s">
        <v>104</v>
      </c>
      <c r="H2072" s="4">
        <f t="shared" si="407"/>
        <v>54</v>
      </c>
      <c r="I2072" s="4" t="str">
        <f t="shared" si="406"/>
        <v>='C:\Users\jaime.benazar\Quorum Business Solutions\Ecopetrol Prometeo - Documents\Planning Space Implementation\3. Analysis &amp; Design\Design\FC22\DRR Jaime\Neiva CPI\[VAO_DINA TERCIARIOS_CF_SEC_20230117.xlsx]CF PS'!$BU$54</v>
      </c>
      <c r="J2072" s="4" t="s">
        <v>1038</v>
      </c>
    </row>
    <row r="2073" spans="1:10" x14ac:dyDescent="0.3">
      <c r="A2073" s="7" t="s">
        <v>24</v>
      </c>
      <c r="B2073" s="7">
        <f t="shared" ref="B2073:B2074" si="473">+B2072+1</f>
        <v>2042</v>
      </c>
      <c r="C2073" s="4" t="s">
        <v>46</v>
      </c>
      <c r="D2073" s="5" t="s">
        <v>131</v>
      </c>
      <c r="E2073" s="10" t="str">
        <f t="shared" si="405"/>
        <v>PS'!</v>
      </c>
      <c r="F2073" s="5" t="str">
        <f t="shared" si="470"/>
        <v>C:\Users\jaime.benazar\Quorum Business Solutions\Ecopetrol Prometeo - Documents\Planning Space Implementation\3. Analysis &amp; Design\Design\FC22\DRR Jaime\Neiva CPI\[VAO_DINA TERCIARIOS_CF_SEC_20230117.xlsx]CF PS'!</v>
      </c>
      <c r="G2073" s="7" t="s">
        <v>104</v>
      </c>
      <c r="H2073" s="4">
        <f t="shared" si="407"/>
        <v>55</v>
      </c>
      <c r="I2073" s="4" t="str">
        <f t="shared" si="406"/>
        <v>='C:\Users\jaime.benazar\Quorum Business Solutions\Ecopetrol Prometeo - Documents\Planning Space Implementation\3. Analysis &amp; Design\Design\FC22\DRR Jaime\Neiva CPI\[VAO_DINA TERCIARIOS_CF_SEC_20230117.xlsx]CF PS'!$BU$55</v>
      </c>
      <c r="J2073" s="4" t="s">
        <v>1039</v>
      </c>
    </row>
    <row r="2074" spans="1:10" x14ac:dyDescent="0.3">
      <c r="A2074" s="7" t="s">
        <v>24</v>
      </c>
      <c r="B2074" s="7">
        <f t="shared" si="473"/>
        <v>2043</v>
      </c>
      <c r="C2074" s="4" t="s">
        <v>46</v>
      </c>
      <c r="D2074" s="5" t="s">
        <v>131</v>
      </c>
      <c r="E2074" s="10" t="str">
        <f t="shared" si="405"/>
        <v>PS'!</v>
      </c>
      <c r="F2074" s="5" t="str">
        <f t="shared" si="470"/>
        <v>C:\Users\jaime.benazar\Quorum Business Solutions\Ecopetrol Prometeo - Documents\Planning Space Implementation\3. Analysis &amp; Design\Design\FC22\DRR Jaime\Neiva CPI\[VAO_DINA TERCIARIOS_CF_SEC_20230117.xlsx]CF PS'!</v>
      </c>
      <c r="G2074" s="7" t="s">
        <v>104</v>
      </c>
      <c r="H2074" s="4">
        <f t="shared" si="407"/>
        <v>56</v>
      </c>
      <c r="I2074" s="4" t="str">
        <f t="shared" si="406"/>
        <v>='C:\Users\jaime.benazar\Quorum Business Solutions\Ecopetrol Prometeo - Documents\Planning Space Implementation\3. Analysis &amp; Design\Design\FC22\DRR Jaime\Neiva CPI\[VAO_DINA TERCIARIOS_CF_SEC_20230117.xlsx]CF PS'!$BU$56</v>
      </c>
      <c r="J2074" s="4" t="s">
        <v>1040</v>
      </c>
    </row>
    <row r="2075" spans="1:10" x14ac:dyDescent="0.3">
      <c r="A2075" s="7" t="s">
        <v>24</v>
      </c>
      <c r="B2075" s="7">
        <f>+B2074+1</f>
        <v>2044</v>
      </c>
      <c r="C2075" s="4" t="s">
        <v>46</v>
      </c>
      <c r="D2075" s="5" t="s">
        <v>131</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Jaime\Neiva CPI\[VAO_DINA TERCIARIOS_CF_SEC_20230117.xlsx]CF PS'!</v>
      </c>
      <c r="G2075" s="7" t="s">
        <v>104</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Jaime\Neiva CPI\[VAO_DINA TERCIARIOS_CF_SEC_20230117.xlsx]CF PS'!$BU$57</v>
      </c>
      <c r="J2075" s="4" t="s">
        <v>1041</v>
      </c>
    </row>
    <row r="2076" spans="1:10" x14ac:dyDescent="0.3">
      <c r="A2076" s="7" t="s">
        <v>24</v>
      </c>
      <c r="B2076" s="7">
        <f t="shared" ref="B2076:B2090" si="478">+B2075+1</f>
        <v>2045</v>
      </c>
      <c r="C2076" s="4" t="s">
        <v>46</v>
      </c>
      <c r="D2076" s="5" t="s">
        <v>131</v>
      </c>
      <c r="E2076" s="10" t="str">
        <f t="shared" si="474"/>
        <v>PS'!</v>
      </c>
      <c r="F2076" s="5" t="str">
        <f t="shared" si="475"/>
        <v>C:\Users\jaime.benazar\Quorum Business Solutions\Ecopetrol Prometeo - Documents\Planning Space Implementation\3. Analysis &amp; Design\Design\FC22\DRR Jaime\Neiva CPI\[VAO_DINA TERCIARIOS_CF_SEC_20230117.xlsx]CF PS'!</v>
      </c>
      <c r="G2076" s="7" t="s">
        <v>104</v>
      </c>
      <c r="H2076" s="4">
        <f t="shared" si="476"/>
        <v>58</v>
      </c>
      <c r="I2076" s="4" t="str">
        <f t="shared" si="477"/>
        <v>='C:\Users\jaime.benazar\Quorum Business Solutions\Ecopetrol Prometeo - Documents\Planning Space Implementation\3. Analysis &amp; Design\Design\FC22\DRR Jaime\Neiva CPI\[VAO_DINA TERCIARIOS_CF_SEC_20230117.xlsx]CF PS'!$BU$58</v>
      </c>
      <c r="J2076" s="4" t="s">
        <v>1042</v>
      </c>
    </row>
    <row r="2077" spans="1:10" x14ac:dyDescent="0.3">
      <c r="A2077" s="7" t="s">
        <v>24</v>
      </c>
      <c r="B2077" s="7">
        <f t="shared" si="478"/>
        <v>2046</v>
      </c>
      <c r="C2077" s="4" t="s">
        <v>46</v>
      </c>
      <c r="D2077" s="5" t="s">
        <v>131</v>
      </c>
      <c r="E2077" s="10" t="str">
        <f t="shared" si="474"/>
        <v>PS'!</v>
      </c>
      <c r="F2077" s="5" t="str">
        <f t="shared" si="475"/>
        <v>C:\Users\jaime.benazar\Quorum Business Solutions\Ecopetrol Prometeo - Documents\Planning Space Implementation\3. Analysis &amp; Design\Design\FC22\DRR Jaime\Neiva CPI\[VAO_DINA TERCIARIOS_CF_SEC_20230117.xlsx]CF PS'!</v>
      </c>
      <c r="G2077" s="7" t="s">
        <v>104</v>
      </c>
      <c r="H2077" s="4">
        <f t="shared" si="476"/>
        <v>59</v>
      </c>
      <c r="I2077" s="4" t="str">
        <f t="shared" si="477"/>
        <v>='C:\Users\jaime.benazar\Quorum Business Solutions\Ecopetrol Prometeo - Documents\Planning Space Implementation\3. Analysis &amp; Design\Design\FC22\DRR Jaime\Neiva CPI\[VAO_DINA TERCIARIOS_CF_SEC_20230117.xlsx]CF PS'!$BU$59</v>
      </c>
      <c r="J2077" s="4" t="s">
        <v>1043</v>
      </c>
    </row>
    <row r="2078" spans="1:10" x14ac:dyDescent="0.3">
      <c r="A2078" s="7" t="s">
        <v>24</v>
      </c>
      <c r="B2078" s="7">
        <f t="shared" si="478"/>
        <v>2047</v>
      </c>
      <c r="C2078" s="4" t="s">
        <v>46</v>
      </c>
      <c r="D2078" s="5" t="s">
        <v>131</v>
      </c>
      <c r="E2078" s="10" t="str">
        <f t="shared" si="474"/>
        <v>PS'!</v>
      </c>
      <c r="F2078" s="5" t="str">
        <f t="shared" si="475"/>
        <v>C:\Users\jaime.benazar\Quorum Business Solutions\Ecopetrol Prometeo - Documents\Planning Space Implementation\3. Analysis &amp; Design\Design\FC22\DRR Jaime\Neiva CPI\[VAO_DINA TERCIARIOS_CF_SEC_20230117.xlsx]CF PS'!</v>
      </c>
      <c r="G2078" s="7" t="s">
        <v>104</v>
      </c>
      <c r="H2078" s="4">
        <f t="shared" si="476"/>
        <v>60</v>
      </c>
      <c r="I2078" s="4" t="str">
        <f t="shared" si="477"/>
        <v>='C:\Users\jaime.benazar\Quorum Business Solutions\Ecopetrol Prometeo - Documents\Planning Space Implementation\3. Analysis &amp; Design\Design\FC22\DRR Jaime\Neiva CPI\[VAO_DINA TERCIARIOS_CF_SEC_20230117.xlsx]CF PS'!$BU$60</v>
      </c>
      <c r="J2078" s="4" t="s">
        <v>1044</v>
      </c>
    </row>
    <row r="2079" spans="1:10" x14ac:dyDescent="0.3">
      <c r="A2079" s="7" t="s">
        <v>24</v>
      </c>
      <c r="B2079" s="7">
        <f t="shared" si="478"/>
        <v>2048</v>
      </c>
      <c r="C2079" s="4" t="s">
        <v>46</v>
      </c>
      <c r="D2079" s="5" t="s">
        <v>131</v>
      </c>
      <c r="E2079" s="10" t="str">
        <f t="shared" si="474"/>
        <v>PS'!</v>
      </c>
      <c r="F2079" s="5" t="str">
        <f t="shared" si="475"/>
        <v>C:\Users\jaime.benazar\Quorum Business Solutions\Ecopetrol Prometeo - Documents\Planning Space Implementation\3. Analysis &amp; Design\Design\FC22\DRR Jaime\Neiva CPI\[VAO_DINA TERCIARIOS_CF_SEC_20230117.xlsx]CF PS'!</v>
      </c>
      <c r="G2079" s="7" t="s">
        <v>104</v>
      </c>
      <c r="H2079" s="4">
        <f t="shared" si="476"/>
        <v>61</v>
      </c>
      <c r="I2079" s="4" t="str">
        <f t="shared" si="477"/>
        <v>='C:\Users\jaime.benazar\Quorum Business Solutions\Ecopetrol Prometeo - Documents\Planning Space Implementation\3. Analysis &amp; Design\Design\FC22\DRR Jaime\Neiva CPI\[VAO_DINA TERCIARIOS_CF_SEC_20230117.xlsx]CF PS'!$BU$61</v>
      </c>
      <c r="J2079" s="4" t="s">
        <v>1045</v>
      </c>
    </row>
    <row r="2080" spans="1:10" x14ac:dyDescent="0.3">
      <c r="A2080" s="7" t="s">
        <v>24</v>
      </c>
      <c r="B2080" s="7">
        <f t="shared" si="478"/>
        <v>2049</v>
      </c>
      <c r="C2080" s="4" t="s">
        <v>46</v>
      </c>
      <c r="D2080" s="5" t="s">
        <v>131</v>
      </c>
      <c r="E2080" s="10" t="str">
        <f t="shared" si="474"/>
        <v>PS'!</v>
      </c>
      <c r="F2080" s="5" t="str">
        <f t="shared" si="475"/>
        <v>C:\Users\jaime.benazar\Quorum Business Solutions\Ecopetrol Prometeo - Documents\Planning Space Implementation\3. Analysis &amp; Design\Design\FC22\DRR Jaime\Neiva CPI\[VAO_DINA TERCIARIOS_CF_SEC_20230117.xlsx]CF PS'!</v>
      </c>
      <c r="G2080" s="7" t="s">
        <v>104</v>
      </c>
      <c r="H2080" s="4">
        <f t="shared" si="476"/>
        <v>62</v>
      </c>
      <c r="I2080" s="4" t="str">
        <f t="shared" si="477"/>
        <v>='C:\Users\jaime.benazar\Quorum Business Solutions\Ecopetrol Prometeo - Documents\Planning Space Implementation\3. Analysis &amp; Design\Design\FC22\DRR Jaime\Neiva CPI\[VAO_DINA TERCIARIOS_CF_SEC_20230117.xlsx]CF PS'!$BU$62</v>
      </c>
      <c r="J2080" s="4" t="s">
        <v>1046</v>
      </c>
    </row>
    <row r="2081" spans="1:10" x14ac:dyDescent="0.3">
      <c r="A2081" s="7" t="s">
        <v>24</v>
      </c>
      <c r="B2081" s="7">
        <f t="shared" si="478"/>
        <v>2050</v>
      </c>
      <c r="C2081" s="4" t="s">
        <v>46</v>
      </c>
      <c r="D2081" s="5" t="s">
        <v>131</v>
      </c>
      <c r="E2081" s="10" t="str">
        <f t="shared" si="474"/>
        <v>PS'!</v>
      </c>
      <c r="F2081" s="5" t="str">
        <f t="shared" si="475"/>
        <v>C:\Users\jaime.benazar\Quorum Business Solutions\Ecopetrol Prometeo - Documents\Planning Space Implementation\3. Analysis &amp; Design\Design\FC22\DRR Jaime\Neiva CPI\[VAO_DINA TERCIARIOS_CF_SEC_20230117.xlsx]CF PS'!</v>
      </c>
      <c r="G2081" s="7" t="s">
        <v>104</v>
      </c>
      <c r="H2081" s="4">
        <f t="shared" si="476"/>
        <v>63</v>
      </c>
      <c r="I2081" s="4" t="str">
        <f t="shared" si="477"/>
        <v>='C:\Users\jaime.benazar\Quorum Business Solutions\Ecopetrol Prometeo - Documents\Planning Space Implementation\3. Analysis &amp; Design\Design\FC22\DRR Jaime\Neiva CPI\[VAO_DINA TERCIARIOS_CF_SEC_20230117.xlsx]CF PS'!$BU$63</v>
      </c>
      <c r="J2081" s="4" t="s">
        <v>1047</v>
      </c>
    </row>
    <row r="2082" spans="1:10" x14ac:dyDescent="0.3">
      <c r="A2082" s="7" t="s">
        <v>24</v>
      </c>
      <c r="B2082" s="7">
        <f t="shared" si="478"/>
        <v>2051</v>
      </c>
      <c r="C2082" s="4" t="s">
        <v>46</v>
      </c>
      <c r="D2082" s="5" t="s">
        <v>131</v>
      </c>
      <c r="E2082" s="10" t="str">
        <f t="shared" si="474"/>
        <v>PS'!</v>
      </c>
      <c r="F2082" s="5" t="str">
        <f t="shared" si="475"/>
        <v>C:\Users\jaime.benazar\Quorum Business Solutions\Ecopetrol Prometeo - Documents\Planning Space Implementation\3. Analysis &amp; Design\Design\FC22\DRR Jaime\Neiva CPI\[VAO_DINA TERCIARIOS_CF_SEC_20230117.xlsx]CF PS'!</v>
      </c>
      <c r="G2082" s="7" t="s">
        <v>104</v>
      </c>
      <c r="H2082" s="4">
        <f t="shared" si="476"/>
        <v>64</v>
      </c>
      <c r="I2082" s="4" t="str">
        <f t="shared" si="477"/>
        <v>='C:\Users\jaime.benazar\Quorum Business Solutions\Ecopetrol Prometeo - Documents\Planning Space Implementation\3. Analysis &amp; Design\Design\FC22\DRR Jaime\Neiva CPI\[VAO_DINA TERCIARIOS_CF_SEC_20230117.xlsx]CF PS'!$BU$64</v>
      </c>
      <c r="J2082" s="4" t="s">
        <v>1048</v>
      </c>
    </row>
    <row r="2083" spans="1:10" x14ac:dyDescent="0.3">
      <c r="A2083" s="7" t="s">
        <v>24</v>
      </c>
      <c r="B2083" s="7">
        <f t="shared" si="478"/>
        <v>2052</v>
      </c>
      <c r="C2083" s="4" t="s">
        <v>46</v>
      </c>
      <c r="D2083" s="5" t="s">
        <v>131</v>
      </c>
      <c r="E2083" s="10" t="str">
        <f t="shared" si="474"/>
        <v>PS'!</v>
      </c>
      <c r="F2083" s="5" t="str">
        <f t="shared" si="475"/>
        <v>C:\Users\jaime.benazar\Quorum Business Solutions\Ecopetrol Prometeo - Documents\Planning Space Implementation\3. Analysis &amp; Design\Design\FC22\DRR Jaime\Neiva CPI\[VAO_DINA TERCIARIOS_CF_SEC_20230117.xlsx]CF PS'!</v>
      </c>
      <c r="G2083" s="7" t="s">
        <v>104</v>
      </c>
      <c r="H2083" s="4">
        <f t="shared" si="476"/>
        <v>65</v>
      </c>
      <c r="I2083" s="4" t="str">
        <f t="shared" si="477"/>
        <v>='C:\Users\jaime.benazar\Quorum Business Solutions\Ecopetrol Prometeo - Documents\Planning Space Implementation\3. Analysis &amp; Design\Design\FC22\DRR Jaime\Neiva CPI\[VAO_DINA TERCIARIOS_CF_SEC_20230117.xlsx]CF PS'!$BU$65</v>
      </c>
      <c r="J2083" s="4" t="s">
        <v>1049</v>
      </c>
    </row>
    <row r="2084" spans="1:10" x14ac:dyDescent="0.3">
      <c r="A2084" s="7" t="s">
        <v>24</v>
      </c>
      <c r="B2084" s="7">
        <f t="shared" si="478"/>
        <v>2053</v>
      </c>
      <c r="C2084" s="4" t="s">
        <v>46</v>
      </c>
      <c r="D2084" s="5" t="s">
        <v>131</v>
      </c>
      <c r="E2084" s="10" t="str">
        <f t="shared" si="474"/>
        <v>PS'!</v>
      </c>
      <c r="F2084" s="5" t="str">
        <f t="shared" si="475"/>
        <v>C:\Users\jaime.benazar\Quorum Business Solutions\Ecopetrol Prometeo - Documents\Planning Space Implementation\3. Analysis &amp; Design\Design\FC22\DRR Jaime\Neiva CPI\[VAO_DINA TERCIARIOS_CF_SEC_20230117.xlsx]CF PS'!</v>
      </c>
      <c r="G2084" s="7" t="s">
        <v>104</v>
      </c>
      <c r="H2084" s="4">
        <f t="shared" si="476"/>
        <v>66</v>
      </c>
      <c r="I2084" s="4" t="str">
        <f t="shared" si="477"/>
        <v>='C:\Users\jaime.benazar\Quorum Business Solutions\Ecopetrol Prometeo - Documents\Planning Space Implementation\3. Analysis &amp; Design\Design\FC22\DRR Jaime\Neiva CPI\[VAO_DINA TERCIARIOS_CF_SEC_20230117.xlsx]CF PS'!$BU$66</v>
      </c>
      <c r="J2084" s="4" t="s">
        <v>1050</v>
      </c>
    </row>
    <row r="2085" spans="1:10" x14ac:dyDescent="0.3">
      <c r="A2085" s="7" t="s">
        <v>24</v>
      </c>
      <c r="B2085" s="7">
        <f t="shared" si="478"/>
        <v>2054</v>
      </c>
      <c r="C2085" s="4" t="s">
        <v>46</v>
      </c>
      <c r="D2085" s="5" t="s">
        <v>131</v>
      </c>
      <c r="E2085" s="10" t="str">
        <f t="shared" si="474"/>
        <v>PS'!</v>
      </c>
      <c r="F2085" s="5" t="str">
        <f t="shared" si="475"/>
        <v>C:\Users\jaime.benazar\Quorum Business Solutions\Ecopetrol Prometeo - Documents\Planning Space Implementation\3. Analysis &amp; Design\Design\FC22\DRR Jaime\Neiva CPI\[VAO_DINA TERCIARIOS_CF_SEC_20230117.xlsx]CF PS'!</v>
      </c>
      <c r="G2085" s="7" t="s">
        <v>104</v>
      </c>
      <c r="H2085" s="4">
        <f t="shared" si="476"/>
        <v>67</v>
      </c>
      <c r="I2085" s="4" t="str">
        <f t="shared" si="477"/>
        <v>='C:\Users\jaime.benazar\Quorum Business Solutions\Ecopetrol Prometeo - Documents\Planning Space Implementation\3. Analysis &amp; Design\Design\FC22\DRR Jaime\Neiva CPI\[VAO_DINA TERCIARIOS_CF_SEC_20230117.xlsx]CF PS'!$BU$67</v>
      </c>
      <c r="J2085" s="4" t="s">
        <v>1051</v>
      </c>
    </row>
    <row r="2086" spans="1:10" x14ac:dyDescent="0.3">
      <c r="A2086" s="7" t="s">
        <v>24</v>
      </c>
      <c r="B2086" s="7">
        <f t="shared" si="478"/>
        <v>2055</v>
      </c>
      <c r="C2086" s="4" t="s">
        <v>46</v>
      </c>
      <c r="D2086" s="5" t="s">
        <v>131</v>
      </c>
      <c r="E2086" s="10" t="str">
        <f t="shared" si="474"/>
        <v>PS'!</v>
      </c>
      <c r="F2086" s="5" t="str">
        <f t="shared" si="475"/>
        <v>C:\Users\jaime.benazar\Quorum Business Solutions\Ecopetrol Prometeo - Documents\Planning Space Implementation\3. Analysis &amp; Design\Design\FC22\DRR Jaime\Neiva CPI\[VAO_DINA TERCIARIOS_CF_SEC_20230117.xlsx]CF PS'!</v>
      </c>
      <c r="G2086" s="7" t="s">
        <v>104</v>
      </c>
      <c r="H2086" s="4">
        <f t="shared" si="476"/>
        <v>68</v>
      </c>
      <c r="I2086" s="4" t="str">
        <f t="shared" si="477"/>
        <v>='C:\Users\jaime.benazar\Quorum Business Solutions\Ecopetrol Prometeo - Documents\Planning Space Implementation\3. Analysis &amp; Design\Design\FC22\DRR Jaime\Neiva CPI\[VAO_DINA TERCIARIOS_CF_SEC_20230117.xlsx]CF PS'!$BU$68</v>
      </c>
      <c r="J2086" s="4" t="s">
        <v>1052</v>
      </c>
    </row>
    <row r="2087" spans="1:10" x14ac:dyDescent="0.3">
      <c r="A2087" s="7" t="s">
        <v>24</v>
      </c>
      <c r="B2087" s="7">
        <f t="shared" si="478"/>
        <v>2056</v>
      </c>
      <c r="C2087" s="4" t="s">
        <v>46</v>
      </c>
      <c r="D2087" s="5" t="s">
        <v>131</v>
      </c>
      <c r="E2087" s="10" t="str">
        <f t="shared" si="474"/>
        <v>PS'!</v>
      </c>
      <c r="F2087" s="5" t="str">
        <f t="shared" si="475"/>
        <v>C:\Users\jaime.benazar\Quorum Business Solutions\Ecopetrol Prometeo - Documents\Planning Space Implementation\3. Analysis &amp; Design\Design\FC22\DRR Jaime\Neiva CPI\[VAO_DINA TERCIARIOS_CF_SEC_20230117.xlsx]CF PS'!</v>
      </c>
      <c r="G2087" s="7" t="s">
        <v>104</v>
      </c>
      <c r="H2087" s="4">
        <f t="shared" si="476"/>
        <v>69</v>
      </c>
      <c r="I2087" s="4" t="str">
        <f t="shared" si="477"/>
        <v>='C:\Users\jaime.benazar\Quorum Business Solutions\Ecopetrol Prometeo - Documents\Planning Space Implementation\3. Analysis &amp; Design\Design\FC22\DRR Jaime\Neiva CPI\[VAO_DINA TERCIARIOS_CF_SEC_20230117.xlsx]CF PS'!$BU$69</v>
      </c>
      <c r="J2087" s="4" t="s">
        <v>1053</v>
      </c>
    </row>
    <row r="2088" spans="1:10" x14ac:dyDescent="0.3">
      <c r="A2088" s="7" t="s">
        <v>24</v>
      </c>
      <c r="B2088" s="7">
        <f t="shared" si="478"/>
        <v>2057</v>
      </c>
      <c r="C2088" s="4" t="s">
        <v>46</v>
      </c>
      <c r="D2088" s="5" t="s">
        <v>131</v>
      </c>
      <c r="E2088" s="10" t="str">
        <f t="shared" si="474"/>
        <v>PS'!</v>
      </c>
      <c r="F2088" s="5" t="str">
        <f t="shared" si="475"/>
        <v>C:\Users\jaime.benazar\Quorum Business Solutions\Ecopetrol Prometeo - Documents\Planning Space Implementation\3. Analysis &amp; Design\Design\FC22\DRR Jaime\Neiva CPI\[VAO_DINA TERCIARIOS_CF_SEC_20230117.xlsx]CF PS'!</v>
      </c>
      <c r="G2088" s="7" t="s">
        <v>104</v>
      </c>
      <c r="H2088" s="4">
        <f t="shared" si="476"/>
        <v>70</v>
      </c>
      <c r="I2088" s="4" t="str">
        <f t="shared" si="477"/>
        <v>='C:\Users\jaime.benazar\Quorum Business Solutions\Ecopetrol Prometeo - Documents\Planning Space Implementation\3. Analysis &amp; Design\Design\FC22\DRR Jaime\Neiva CPI\[VAO_DINA TERCIARIOS_CF_SEC_20230117.xlsx]CF PS'!$BU$70</v>
      </c>
      <c r="J2088" s="4" t="s">
        <v>1054</v>
      </c>
    </row>
    <row r="2089" spans="1:10" x14ac:dyDescent="0.3">
      <c r="A2089" s="7" t="s">
        <v>24</v>
      </c>
      <c r="B2089" s="7">
        <f t="shared" si="478"/>
        <v>2058</v>
      </c>
      <c r="C2089" s="4" t="s">
        <v>46</v>
      </c>
      <c r="D2089" s="5" t="s">
        <v>131</v>
      </c>
      <c r="E2089" s="10" t="str">
        <f t="shared" si="474"/>
        <v>PS'!</v>
      </c>
      <c r="F2089" s="5" t="str">
        <f t="shared" si="475"/>
        <v>C:\Users\jaime.benazar\Quorum Business Solutions\Ecopetrol Prometeo - Documents\Planning Space Implementation\3. Analysis &amp; Design\Design\FC22\DRR Jaime\Neiva CPI\[VAO_DINA TERCIARIOS_CF_SEC_20230117.xlsx]CF PS'!</v>
      </c>
      <c r="G2089" s="7" t="s">
        <v>104</v>
      </c>
      <c r="H2089" s="4">
        <f t="shared" si="476"/>
        <v>71</v>
      </c>
      <c r="I2089" s="4" t="str">
        <f t="shared" si="477"/>
        <v>='C:\Users\jaime.benazar\Quorum Business Solutions\Ecopetrol Prometeo - Documents\Planning Space Implementation\3. Analysis &amp; Design\Design\FC22\DRR Jaime\Neiva CPI\[VAO_DINA TERCIARIOS_CF_SEC_20230117.xlsx]CF PS'!$BU$71</v>
      </c>
      <c r="J2089" s="4" t="s">
        <v>1055</v>
      </c>
    </row>
    <row r="2090" spans="1:10" x14ac:dyDescent="0.3">
      <c r="A2090" s="7" t="s">
        <v>24</v>
      </c>
      <c r="B2090" s="7">
        <f t="shared" si="478"/>
        <v>2059</v>
      </c>
      <c r="C2090" s="4" t="s">
        <v>46</v>
      </c>
      <c r="D2090" s="5" t="s">
        <v>131</v>
      </c>
      <c r="E2090" s="10" t="str">
        <f t="shared" si="474"/>
        <v>PS'!</v>
      </c>
      <c r="F2090" s="5" t="str">
        <f t="shared" si="475"/>
        <v>C:\Users\jaime.benazar\Quorum Business Solutions\Ecopetrol Prometeo - Documents\Planning Space Implementation\3. Analysis &amp; Design\Design\FC22\DRR Jaime\Neiva CPI\[VAO_DINA TERCIARIOS_CF_SEC_20230117.xlsx]CF PS'!</v>
      </c>
      <c r="G2090" s="7" t="s">
        <v>104</v>
      </c>
      <c r="H2090" s="4">
        <f t="shared" si="476"/>
        <v>72</v>
      </c>
      <c r="I2090" s="4" t="str">
        <f t="shared" si="477"/>
        <v>='C:\Users\jaime.benazar\Quorum Business Solutions\Ecopetrol Prometeo - Documents\Planning Space Implementation\3. Analysis &amp; Design\Design\FC22\DRR Jaime\Neiva CPI\[VAO_DINA TERCIARIOS_CF_SEC_20230117.xlsx]CF PS'!$BU$72</v>
      </c>
      <c r="J2090" s="4" t="s">
        <v>1056</v>
      </c>
    </row>
    <row r="2091" spans="1:10" x14ac:dyDescent="0.3">
      <c r="A2091" s="7" t="s">
        <v>26</v>
      </c>
      <c r="B2091" s="7"/>
      <c r="C2091" s="4" t="s">
        <v>46</v>
      </c>
      <c r="D2091" s="5"/>
      <c r="E2091" s="10"/>
      <c r="F2091" s="5"/>
      <c r="G2091" s="7"/>
      <c r="H2091" s="4"/>
      <c r="I2091" s="4"/>
      <c r="J2091" s="4"/>
    </row>
    <row r="2092" spans="1:10" x14ac:dyDescent="0.3">
      <c r="A2092" s="6" t="s">
        <v>14</v>
      </c>
      <c r="B2092" s="6">
        <v>2023</v>
      </c>
      <c r="C2092" s="1" t="s">
        <v>49</v>
      </c>
      <c r="D2092" s="2" t="s">
        <v>131</v>
      </c>
      <c r="E2092" s="9" t="str">
        <f>_xlfn.CONCAT(A2092,"'!")</f>
        <v>PDP'!</v>
      </c>
      <c r="F2092" s="5" t="str">
        <f t="shared" ref="F2092:F2112" si="479">_xlfn.CONCAT(D2092," ",E2092)</f>
        <v>C:\Users\jaime.benazar\Quorum Business Solutions\Ecopetrol Prometeo - Documents\Planning Space Implementation\3. Analysis &amp; Design\Design\FC22\DRR Jaime\Neiva CPI\[VAO_DINA TERCIARIOS_CF_SEC_20230117.xlsx]CF PDP'!</v>
      </c>
      <c r="G2092" s="6" t="s">
        <v>105</v>
      </c>
      <c r="H2092" s="1">
        <f>IF(A2092&lt;&gt;A2076,36,H2076+1)</f>
        <v>36</v>
      </c>
      <c r="I2092" s="1" t="str">
        <f>_xlfn.CONCAT("='",F2092:H2092)</f>
        <v>='C:\Users\jaime.benazar\Quorum Business Solutions\Ecopetrol Prometeo - Documents\Planning Space Implementation\3. Analysis &amp; Design\Design\FC22\DRR Jaime\Neiva CPI\[VAO_DINA TERCIARIOS_CF_SEC_20230117.xlsx]CF PDP'!$CT$36</v>
      </c>
      <c r="J2092" s="1" t="s">
        <v>1057</v>
      </c>
    </row>
    <row r="2093" spans="1:10" x14ac:dyDescent="0.3">
      <c r="A2093" s="6" t="s">
        <v>14</v>
      </c>
      <c r="B2093" s="6">
        <f>+B2092+1</f>
        <v>2024</v>
      </c>
      <c r="C2093" s="1" t="s">
        <v>49</v>
      </c>
      <c r="D2093" s="2" t="s">
        <v>131</v>
      </c>
      <c r="E2093" s="9" t="str">
        <f t="shared" ref="E2093:E2186" si="480">_xlfn.CONCAT(A2093,"'!")</f>
        <v>PDP'!</v>
      </c>
      <c r="F2093" s="5" t="str">
        <f t="shared" si="479"/>
        <v>C:\Users\jaime.benazar\Quorum Business Solutions\Ecopetrol Prometeo - Documents\Planning Space Implementation\3. Analysis &amp; Design\Design\FC22\DRR Jaime\Neiva CPI\[VAO_DINA TERCIARIOS_CF_SEC_20230117.xlsx]CF PDP'!</v>
      </c>
      <c r="G2093" s="6" t="s">
        <v>105</v>
      </c>
      <c r="H2093" s="1">
        <f>IF(A2093&lt;&gt;A2092,36,H2092+1)</f>
        <v>37</v>
      </c>
      <c r="I2093" s="1" t="str">
        <f t="shared" ref="I2093:I2186" si="481">_xlfn.CONCAT("='",F2093:H2093)</f>
        <v>='C:\Users\jaime.benazar\Quorum Business Solutions\Ecopetrol Prometeo - Documents\Planning Space Implementation\3. Analysis &amp; Design\Design\FC22\DRR Jaime\Neiva CPI\[VAO_DINA TERCIARIOS_CF_SEC_20230117.xlsx]CF PDP'!$CT$37</v>
      </c>
      <c r="J2093" s="1" t="s">
        <v>1058</v>
      </c>
    </row>
    <row r="2094" spans="1:10" x14ac:dyDescent="0.3">
      <c r="A2094" s="6" t="s">
        <v>14</v>
      </c>
      <c r="B2094" s="6">
        <f t="shared" ref="B2094:B2105" si="482">+B2093+1</f>
        <v>2025</v>
      </c>
      <c r="C2094" s="1" t="s">
        <v>49</v>
      </c>
      <c r="D2094" s="2" t="s">
        <v>131</v>
      </c>
      <c r="E2094" s="9" t="str">
        <f t="shared" si="480"/>
        <v>PDP'!</v>
      </c>
      <c r="F2094" s="5" t="str">
        <f t="shared" si="479"/>
        <v>C:\Users\jaime.benazar\Quorum Business Solutions\Ecopetrol Prometeo - Documents\Planning Space Implementation\3. Analysis &amp; Design\Design\FC22\DRR Jaime\Neiva CPI\[VAO_DINA TERCIARIOS_CF_SEC_20230117.xlsx]CF PDP'!</v>
      </c>
      <c r="G2094" s="6" t="s">
        <v>105</v>
      </c>
      <c r="H2094" s="1">
        <f t="shared" ref="H2094:H2187" si="483">IF(A2094&lt;&gt;A2093,36,H2093+1)</f>
        <v>38</v>
      </c>
      <c r="I2094" s="1" t="str">
        <f t="shared" si="481"/>
        <v>='C:\Users\jaime.benazar\Quorum Business Solutions\Ecopetrol Prometeo - Documents\Planning Space Implementation\3. Analysis &amp; Design\Design\FC22\DRR Jaime\Neiva CPI\[VAO_DINA TERCIARIOS_CF_SEC_20230117.xlsx]CF PDP'!$CT$38</v>
      </c>
      <c r="J2094" s="1" t="s">
        <v>1059</v>
      </c>
    </row>
    <row r="2095" spans="1:10" x14ac:dyDescent="0.3">
      <c r="A2095" s="6" t="s">
        <v>14</v>
      </c>
      <c r="B2095" s="6">
        <f t="shared" si="482"/>
        <v>2026</v>
      </c>
      <c r="C2095" s="1" t="s">
        <v>49</v>
      </c>
      <c r="D2095" s="2" t="s">
        <v>131</v>
      </c>
      <c r="E2095" s="9" t="str">
        <f t="shared" si="480"/>
        <v>PDP'!</v>
      </c>
      <c r="F2095" s="5" t="str">
        <f t="shared" si="479"/>
        <v>C:\Users\jaime.benazar\Quorum Business Solutions\Ecopetrol Prometeo - Documents\Planning Space Implementation\3. Analysis &amp; Design\Design\FC22\DRR Jaime\Neiva CPI\[VAO_DINA TERCIARIOS_CF_SEC_20230117.xlsx]CF PDP'!</v>
      </c>
      <c r="G2095" s="6" t="s">
        <v>105</v>
      </c>
      <c r="H2095" s="1">
        <f t="shared" si="483"/>
        <v>39</v>
      </c>
      <c r="I2095" s="1" t="str">
        <f t="shared" si="481"/>
        <v>='C:\Users\jaime.benazar\Quorum Business Solutions\Ecopetrol Prometeo - Documents\Planning Space Implementation\3. Analysis &amp; Design\Design\FC22\DRR Jaime\Neiva CPI\[VAO_DINA TERCIARIOS_CF_SEC_20230117.xlsx]CF PDP'!$CT$39</v>
      </c>
      <c r="J2095" s="1" t="s">
        <v>1060</v>
      </c>
    </row>
    <row r="2096" spans="1:10" x14ac:dyDescent="0.3">
      <c r="A2096" s="6" t="s">
        <v>14</v>
      </c>
      <c r="B2096" s="6">
        <f t="shared" si="482"/>
        <v>2027</v>
      </c>
      <c r="C2096" s="1" t="s">
        <v>49</v>
      </c>
      <c r="D2096" s="2" t="s">
        <v>131</v>
      </c>
      <c r="E2096" s="9" t="str">
        <f t="shared" si="480"/>
        <v>PDP'!</v>
      </c>
      <c r="F2096" s="5" t="str">
        <f t="shared" si="479"/>
        <v>C:\Users\jaime.benazar\Quorum Business Solutions\Ecopetrol Prometeo - Documents\Planning Space Implementation\3. Analysis &amp; Design\Design\FC22\DRR Jaime\Neiva CPI\[VAO_DINA TERCIARIOS_CF_SEC_20230117.xlsx]CF PDP'!</v>
      </c>
      <c r="G2096" s="6" t="s">
        <v>105</v>
      </c>
      <c r="H2096" s="1">
        <f t="shared" si="483"/>
        <v>40</v>
      </c>
      <c r="I2096" s="1" t="str">
        <f t="shared" si="481"/>
        <v>='C:\Users\jaime.benazar\Quorum Business Solutions\Ecopetrol Prometeo - Documents\Planning Space Implementation\3. Analysis &amp; Design\Design\FC22\DRR Jaime\Neiva CPI\[VAO_DINA TERCIARIOS_CF_SEC_20230117.xlsx]CF PDP'!$CT$40</v>
      </c>
      <c r="J2096" s="1" t="s">
        <v>1061</v>
      </c>
    </row>
    <row r="2097" spans="1:10" x14ac:dyDescent="0.3">
      <c r="A2097" s="6" t="s">
        <v>14</v>
      </c>
      <c r="B2097" s="6">
        <f t="shared" si="482"/>
        <v>2028</v>
      </c>
      <c r="C2097" s="1" t="s">
        <v>49</v>
      </c>
      <c r="D2097" s="2" t="s">
        <v>131</v>
      </c>
      <c r="E2097" s="9" t="str">
        <f t="shared" si="480"/>
        <v>PDP'!</v>
      </c>
      <c r="F2097" s="5" t="str">
        <f t="shared" si="479"/>
        <v>C:\Users\jaime.benazar\Quorum Business Solutions\Ecopetrol Prometeo - Documents\Planning Space Implementation\3. Analysis &amp; Design\Design\FC22\DRR Jaime\Neiva CPI\[VAO_DINA TERCIARIOS_CF_SEC_20230117.xlsx]CF PDP'!</v>
      </c>
      <c r="G2097" s="6" t="s">
        <v>105</v>
      </c>
      <c r="H2097" s="1">
        <f t="shared" si="483"/>
        <v>41</v>
      </c>
      <c r="I2097" s="1" t="str">
        <f t="shared" si="481"/>
        <v>='C:\Users\jaime.benazar\Quorum Business Solutions\Ecopetrol Prometeo - Documents\Planning Space Implementation\3. Analysis &amp; Design\Design\FC22\DRR Jaime\Neiva CPI\[VAO_DINA TERCIARIOS_CF_SEC_20230117.xlsx]CF PDP'!$CT$41</v>
      </c>
      <c r="J2097" s="1" t="s">
        <v>1062</v>
      </c>
    </row>
    <row r="2098" spans="1:10" x14ac:dyDescent="0.3">
      <c r="A2098" s="6" t="s">
        <v>14</v>
      </c>
      <c r="B2098" s="6">
        <f t="shared" si="482"/>
        <v>2029</v>
      </c>
      <c r="C2098" s="1" t="s">
        <v>49</v>
      </c>
      <c r="D2098" s="2" t="s">
        <v>131</v>
      </c>
      <c r="E2098" s="9" t="str">
        <f t="shared" si="480"/>
        <v>PDP'!</v>
      </c>
      <c r="F2098" s="5" t="str">
        <f t="shared" si="479"/>
        <v>C:\Users\jaime.benazar\Quorum Business Solutions\Ecopetrol Prometeo - Documents\Planning Space Implementation\3. Analysis &amp; Design\Design\FC22\DRR Jaime\Neiva CPI\[VAO_DINA TERCIARIOS_CF_SEC_20230117.xlsx]CF PDP'!</v>
      </c>
      <c r="G2098" s="6" t="s">
        <v>105</v>
      </c>
      <c r="H2098" s="1">
        <f t="shared" si="483"/>
        <v>42</v>
      </c>
      <c r="I2098" s="1" t="str">
        <f t="shared" si="481"/>
        <v>='C:\Users\jaime.benazar\Quorum Business Solutions\Ecopetrol Prometeo - Documents\Planning Space Implementation\3. Analysis &amp; Design\Design\FC22\DRR Jaime\Neiva CPI\[VAO_DINA TERCIARIOS_CF_SEC_20230117.xlsx]CF PDP'!$CT$42</v>
      </c>
      <c r="J2098" s="1" t="s">
        <v>1063</v>
      </c>
    </row>
    <row r="2099" spans="1:10" x14ac:dyDescent="0.3">
      <c r="A2099" s="6" t="s">
        <v>14</v>
      </c>
      <c r="B2099" s="6">
        <f t="shared" si="482"/>
        <v>2030</v>
      </c>
      <c r="C2099" s="1" t="s">
        <v>49</v>
      </c>
      <c r="D2099" s="2" t="s">
        <v>131</v>
      </c>
      <c r="E2099" s="9" t="str">
        <f t="shared" si="480"/>
        <v>PDP'!</v>
      </c>
      <c r="F2099" s="5" t="str">
        <f t="shared" si="479"/>
        <v>C:\Users\jaime.benazar\Quorum Business Solutions\Ecopetrol Prometeo - Documents\Planning Space Implementation\3. Analysis &amp; Design\Design\FC22\DRR Jaime\Neiva CPI\[VAO_DINA TERCIARIOS_CF_SEC_20230117.xlsx]CF PDP'!</v>
      </c>
      <c r="G2099" s="6" t="s">
        <v>105</v>
      </c>
      <c r="H2099" s="1">
        <f t="shared" si="483"/>
        <v>43</v>
      </c>
      <c r="I2099" s="1" t="str">
        <f t="shared" si="481"/>
        <v>='C:\Users\jaime.benazar\Quorum Business Solutions\Ecopetrol Prometeo - Documents\Planning Space Implementation\3. Analysis &amp; Design\Design\FC22\DRR Jaime\Neiva CPI\[VAO_DINA TERCIARIOS_CF_SEC_20230117.xlsx]CF PDP'!$CT$43</v>
      </c>
      <c r="J2099" s="1" t="s">
        <v>1064</v>
      </c>
    </row>
    <row r="2100" spans="1:10" x14ac:dyDescent="0.3">
      <c r="A2100" s="6" t="s">
        <v>14</v>
      </c>
      <c r="B2100" s="6">
        <f t="shared" si="482"/>
        <v>2031</v>
      </c>
      <c r="C2100" s="1" t="s">
        <v>49</v>
      </c>
      <c r="D2100" s="2" t="s">
        <v>131</v>
      </c>
      <c r="E2100" s="9" t="str">
        <f t="shared" si="480"/>
        <v>PDP'!</v>
      </c>
      <c r="F2100" s="5" t="str">
        <f t="shared" si="479"/>
        <v>C:\Users\jaime.benazar\Quorum Business Solutions\Ecopetrol Prometeo - Documents\Planning Space Implementation\3. Analysis &amp; Design\Design\FC22\DRR Jaime\Neiva CPI\[VAO_DINA TERCIARIOS_CF_SEC_20230117.xlsx]CF PDP'!</v>
      </c>
      <c r="G2100" s="6" t="s">
        <v>105</v>
      </c>
      <c r="H2100" s="1">
        <f t="shared" si="483"/>
        <v>44</v>
      </c>
      <c r="I2100" s="1" t="str">
        <f t="shared" si="481"/>
        <v>='C:\Users\jaime.benazar\Quorum Business Solutions\Ecopetrol Prometeo - Documents\Planning Space Implementation\3. Analysis &amp; Design\Design\FC22\DRR Jaime\Neiva CPI\[VAO_DINA TERCIARIOS_CF_SEC_20230117.xlsx]CF PDP'!$CT$44</v>
      </c>
      <c r="J2100" s="1" t="s">
        <v>1065</v>
      </c>
    </row>
    <row r="2101" spans="1:10" x14ac:dyDescent="0.3">
      <c r="A2101" s="6" t="s">
        <v>14</v>
      </c>
      <c r="B2101" s="6">
        <f t="shared" si="482"/>
        <v>2032</v>
      </c>
      <c r="C2101" s="1" t="s">
        <v>49</v>
      </c>
      <c r="D2101" s="2" t="s">
        <v>131</v>
      </c>
      <c r="E2101" s="9" t="str">
        <f t="shared" si="480"/>
        <v>PDP'!</v>
      </c>
      <c r="F2101" s="5" t="str">
        <f t="shared" si="479"/>
        <v>C:\Users\jaime.benazar\Quorum Business Solutions\Ecopetrol Prometeo - Documents\Planning Space Implementation\3. Analysis &amp; Design\Design\FC22\DRR Jaime\Neiva CPI\[VAO_DINA TERCIARIOS_CF_SEC_20230117.xlsx]CF PDP'!</v>
      </c>
      <c r="G2101" s="6" t="s">
        <v>105</v>
      </c>
      <c r="H2101" s="1">
        <f t="shared" si="483"/>
        <v>45</v>
      </c>
      <c r="I2101" s="1" t="str">
        <f t="shared" si="481"/>
        <v>='C:\Users\jaime.benazar\Quorum Business Solutions\Ecopetrol Prometeo - Documents\Planning Space Implementation\3. Analysis &amp; Design\Design\FC22\DRR Jaime\Neiva CPI\[VAO_DINA TERCIARIOS_CF_SEC_20230117.xlsx]CF PDP'!$CT$45</v>
      </c>
      <c r="J2101" s="1" t="s">
        <v>1066</v>
      </c>
    </row>
    <row r="2102" spans="1:10" x14ac:dyDescent="0.3">
      <c r="A2102" s="6" t="s">
        <v>14</v>
      </c>
      <c r="B2102" s="6">
        <f t="shared" si="482"/>
        <v>2033</v>
      </c>
      <c r="C2102" s="1" t="s">
        <v>49</v>
      </c>
      <c r="D2102" s="2" t="s">
        <v>131</v>
      </c>
      <c r="E2102" s="9" t="str">
        <f t="shared" si="480"/>
        <v>PDP'!</v>
      </c>
      <c r="F2102" s="5" t="str">
        <f t="shared" si="479"/>
        <v>C:\Users\jaime.benazar\Quorum Business Solutions\Ecopetrol Prometeo - Documents\Planning Space Implementation\3. Analysis &amp; Design\Design\FC22\DRR Jaime\Neiva CPI\[VAO_DINA TERCIARIOS_CF_SEC_20230117.xlsx]CF PDP'!</v>
      </c>
      <c r="G2102" s="6" t="s">
        <v>105</v>
      </c>
      <c r="H2102" s="1">
        <f t="shared" si="483"/>
        <v>46</v>
      </c>
      <c r="I2102" s="1" t="str">
        <f t="shared" si="481"/>
        <v>='C:\Users\jaime.benazar\Quorum Business Solutions\Ecopetrol Prometeo - Documents\Planning Space Implementation\3. Analysis &amp; Design\Design\FC22\DRR Jaime\Neiva CPI\[VAO_DINA TERCIARIOS_CF_SEC_20230117.xlsx]CF PDP'!$CT$46</v>
      </c>
      <c r="J2102" s="1" t="s">
        <v>1067</v>
      </c>
    </row>
    <row r="2103" spans="1:10" x14ac:dyDescent="0.3">
      <c r="A2103" s="6" t="s">
        <v>14</v>
      </c>
      <c r="B2103" s="6">
        <f t="shared" si="482"/>
        <v>2034</v>
      </c>
      <c r="C2103" s="1" t="s">
        <v>49</v>
      </c>
      <c r="D2103" s="2" t="s">
        <v>131</v>
      </c>
      <c r="E2103" s="9" t="str">
        <f t="shared" si="480"/>
        <v>PDP'!</v>
      </c>
      <c r="F2103" s="5" t="str">
        <f t="shared" si="479"/>
        <v>C:\Users\jaime.benazar\Quorum Business Solutions\Ecopetrol Prometeo - Documents\Planning Space Implementation\3. Analysis &amp; Design\Design\FC22\DRR Jaime\Neiva CPI\[VAO_DINA TERCIARIOS_CF_SEC_20230117.xlsx]CF PDP'!</v>
      </c>
      <c r="G2103" s="6" t="s">
        <v>105</v>
      </c>
      <c r="H2103" s="1">
        <f t="shared" si="483"/>
        <v>47</v>
      </c>
      <c r="I2103" s="1" t="str">
        <f t="shared" si="481"/>
        <v>='C:\Users\jaime.benazar\Quorum Business Solutions\Ecopetrol Prometeo - Documents\Planning Space Implementation\3. Analysis &amp; Design\Design\FC22\DRR Jaime\Neiva CPI\[VAO_DINA TERCIARIOS_CF_SEC_20230117.xlsx]CF PDP'!$CT$47</v>
      </c>
      <c r="J2103" s="1" t="s">
        <v>1068</v>
      </c>
    </row>
    <row r="2104" spans="1:10" x14ac:dyDescent="0.3">
      <c r="A2104" s="6" t="s">
        <v>14</v>
      </c>
      <c r="B2104" s="6">
        <f t="shared" si="482"/>
        <v>2035</v>
      </c>
      <c r="C2104" s="1" t="s">
        <v>49</v>
      </c>
      <c r="D2104" s="2" t="s">
        <v>131</v>
      </c>
      <c r="E2104" s="9" t="str">
        <f t="shared" si="480"/>
        <v>PDP'!</v>
      </c>
      <c r="F2104" s="5" t="str">
        <f t="shared" si="479"/>
        <v>C:\Users\jaime.benazar\Quorum Business Solutions\Ecopetrol Prometeo - Documents\Planning Space Implementation\3. Analysis &amp; Design\Design\FC22\DRR Jaime\Neiva CPI\[VAO_DINA TERCIARIOS_CF_SEC_20230117.xlsx]CF PDP'!</v>
      </c>
      <c r="G2104" s="6" t="s">
        <v>105</v>
      </c>
      <c r="H2104" s="1">
        <f t="shared" si="483"/>
        <v>48</v>
      </c>
      <c r="I2104" s="1" t="str">
        <f t="shared" si="481"/>
        <v>='C:\Users\jaime.benazar\Quorum Business Solutions\Ecopetrol Prometeo - Documents\Planning Space Implementation\3. Analysis &amp; Design\Design\FC22\DRR Jaime\Neiva CPI\[VAO_DINA TERCIARIOS_CF_SEC_20230117.xlsx]CF PDP'!$CT$48</v>
      </c>
      <c r="J2104" s="1" t="s">
        <v>1069</v>
      </c>
    </row>
    <row r="2105" spans="1:10" x14ac:dyDescent="0.3">
      <c r="A2105" s="6" t="s">
        <v>14</v>
      </c>
      <c r="B2105" s="6">
        <f t="shared" si="482"/>
        <v>2036</v>
      </c>
      <c r="C2105" s="1" t="s">
        <v>49</v>
      </c>
      <c r="D2105" s="2" t="s">
        <v>131</v>
      </c>
      <c r="E2105" s="9" t="str">
        <f t="shared" si="480"/>
        <v>PDP'!</v>
      </c>
      <c r="F2105" s="5" t="str">
        <f t="shared" si="479"/>
        <v>C:\Users\jaime.benazar\Quorum Business Solutions\Ecopetrol Prometeo - Documents\Planning Space Implementation\3. Analysis &amp; Design\Design\FC22\DRR Jaime\Neiva CPI\[VAO_DINA TERCIARIOS_CF_SEC_20230117.xlsx]CF PDP'!</v>
      </c>
      <c r="G2105" s="6" t="s">
        <v>105</v>
      </c>
      <c r="H2105" s="1">
        <f t="shared" si="483"/>
        <v>49</v>
      </c>
      <c r="I2105" s="1" t="str">
        <f t="shared" si="481"/>
        <v>='C:\Users\jaime.benazar\Quorum Business Solutions\Ecopetrol Prometeo - Documents\Planning Space Implementation\3. Analysis &amp; Design\Design\FC22\DRR Jaime\Neiva CPI\[VAO_DINA TERCIARIOS_CF_SEC_20230117.xlsx]CF PDP'!$CT$49</v>
      </c>
      <c r="J2105" s="1" t="s">
        <v>1070</v>
      </c>
    </row>
    <row r="2106" spans="1:10" x14ac:dyDescent="0.3">
      <c r="A2106" s="6" t="s">
        <v>14</v>
      </c>
      <c r="B2106" s="6">
        <f>+B2105+1</f>
        <v>2037</v>
      </c>
      <c r="C2106" s="1" t="s">
        <v>49</v>
      </c>
      <c r="D2106" s="2" t="s">
        <v>131</v>
      </c>
      <c r="E2106" s="9" t="str">
        <f t="shared" si="480"/>
        <v>PDP'!</v>
      </c>
      <c r="F2106" s="5" t="str">
        <f t="shared" si="479"/>
        <v>C:\Users\jaime.benazar\Quorum Business Solutions\Ecopetrol Prometeo - Documents\Planning Space Implementation\3. Analysis &amp; Design\Design\FC22\DRR Jaime\Neiva CPI\[VAO_DINA TERCIARIOS_CF_SEC_20230117.xlsx]CF PDP'!</v>
      </c>
      <c r="G2106" s="6" t="s">
        <v>105</v>
      </c>
      <c r="H2106" s="1">
        <f t="shared" si="483"/>
        <v>50</v>
      </c>
      <c r="I2106" s="1" t="str">
        <f t="shared" si="481"/>
        <v>='C:\Users\jaime.benazar\Quorum Business Solutions\Ecopetrol Prometeo - Documents\Planning Space Implementation\3. Analysis &amp; Design\Design\FC22\DRR Jaime\Neiva CPI\[VAO_DINA TERCIARIOS_CF_SEC_20230117.xlsx]CF PDP'!$CT$50</v>
      </c>
      <c r="J2106" s="1" t="s">
        <v>1071</v>
      </c>
    </row>
    <row r="2107" spans="1:10" x14ac:dyDescent="0.3">
      <c r="A2107" s="6" t="s">
        <v>14</v>
      </c>
      <c r="B2107" s="6">
        <f t="shared" ref="B2107:B2109" si="484">+B2106+1</f>
        <v>2038</v>
      </c>
      <c r="C2107" s="1" t="s">
        <v>49</v>
      </c>
      <c r="D2107" s="2" t="s">
        <v>131</v>
      </c>
      <c r="E2107" s="9" t="str">
        <f t="shared" si="480"/>
        <v>PDP'!</v>
      </c>
      <c r="F2107" s="5" t="str">
        <f t="shared" si="479"/>
        <v>C:\Users\jaime.benazar\Quorum Business Solutions\Ecopetrol Prometeo - Documents\Planning Space Implementation\3. Analysis &amp; Design\Design\FC22\DRR Jaime\Neiva CPI\[VAO_DINA TERCIARIOS_CF_SEC_20230117.xlsx]CF PDP'!</v>
      </c>
      <c r="G2107" s="6" t="s">
        <v>105</v>
      </c>
      <c r="H2107" s="1">
        <f t="shared" si="483"/>
        <v>51</v>
      </c>
      <c r="I2107" s="1" t="str">
        <f t="shared" si="481"/>
        <v>='C:\Users\jaime.benazar\Quorum Business Solutions\Ecopetrol Prometeo - Documents\Planning Space Implementation\3. Analysis &amp; Design\Design\FC22\DRR Jaime\Neiva CPI\[VAO_DINA TERCIARIOS_CF_SEC_20230117.xlsx]CF PDP'!$CT$51</v>
      </c>
      <c r="J2107" s="1" t="s">
        <v>1072</v>
      </c>
    </row>
    <row r="2108" spans="1:10" x14ac:dyDescent="0.3">
      <c r="A2108" s="6" t="s">
        <v>14</v>
      </c>
      <c r="B2108" s="6">
        <f t="shared" si="484"/>
        <v>2039</v>
      </c>
      <c r="C2108" s="1" t="s">
        <v>49</v>
      </c>
      <c r="D2108" s="2" t="s">
        <v>131</v>
      </c>
      <c r="E2108" s="9" t="str">
        <f t="shared" si="480"/>
        <v>PDP'!</v>
      </c>
      <c r="F2108" s="5" t="str">
        <f t="shared" si="479"/>
        <v>C:\Users\jaime.benazar\Quorum Business Solutions\Ecopetrol Prometeo - Documents\Planning Space Implementation\3. Analysis &amp; Design\Design\FC22\DRR Jaime\Neiva CPI\[VAO_DINA TERCIARIOS_CF_SEC_20230117.xlsx]CF PDP'!</v>
      </c>
      <c r="G2108" s="6" t="s">
        <v>105</v>
      </c>
      <c r="H2108" s="1">
        <f t="shared" si="483"/>
        <v>52</v>
      </c>
      <c r="I2108" s="1" t="str">
        <f t="shared" si="481"/>
        <v>='C:\Users\jaime.benazar\Quorum Business Solutions\Ecopetrol Prometeo - Documents\Planning Space Implementation\3. Analysis &amp; Design\Design\FC22\DRR Jaime\Neiva CPI\[VAO_DINA TERCIARIOS_CF_SEC_20230117.xlsx]CF PDP'!$CT$52</v>
      </c>
      <c r="J2108" s="1" t="s">
        <v>1073</v>
      </c>
    </row>
    <row r="2109" spans="1:10" x14ac:dyDescent="0.3">
      <c r="A2109" s="6" t="s">
        <v>14</v>
      </c>
      <c r="B2109" s="6">
        <f t="shared" si="484"/>
        <v>2040</v>
      </c>
      <c r="C2109" s="1" t="s">
        <v>49</v>
      </c>
      <c r="D2109" s="2" t="s">
        <v>131</v>
      </c>
      <c r="E2109" s="9" t="str">
        <f t="shared" si="480"/>
        <v>PDP'!</v>
      </c>
      <c r="F2109" s="5" t="str">
        <f t="shared" si="479"/>
        <v>C:\Users\jaime.benazar\Quorum Business Solutions\Ecopetrol Prometeo - Documents\Planning Space Implementation\3. Analysis &amp; Design\Design\FC22\DRR Jaime\Neiva CPI\[VAO_DINA TERCIARIOS_CF_SEC_20230117.xlsx]CF PDP'!</v>
      </c>
      <c r="G2109" s="6" t="s">
        <v>105</v>
      </c>
      <c r="H2109" s="1">
        <f t="shared" si="483"/>
        <v>53</v>
      </c>
      <c r="I2109" s="1" t="str">
        <f t="shared" si="481"/>
        <v>='C:\Users\jaime.benazar\Quorum Business Solutions\Ecopetrol Prometeo - Documents\Planning Space Implementation\3. Analysis &amp; Design\Design\FC22\DRR Jaime\Neiva CPI\[VAO_DINA TERCIARIOS_CF_SEC_20230117.xlsx]CF PDP'!$CT$53</v>
      </c>
      <c r="J2109" s="1" t="s">
        <v>1074</v>
      </c>
    </row>
    <row r="2110" spans="1:10" x14ac:dyDescent="0.3">
      <c r="A2110" s="6" t="s">
        <v>14</v>
      </c>
      <c r="B2110" s="6">
        <f>+B2109+1</f>
        <v>2041</v>
      </c>
      <c r="C2110" s="1" t="s">
        <v>49</v>
      </c>
      <c r="D2110" s="2" t="s">
        <v>131</v>
      </c>
      <c r="E2110" s="9" t="str">
        <f t="shared" si="480"/>
        <v>PDP'!</v>
      </c>
      <c r="F2110" s="5" t="str">
        <f t="shared" si="479"/>
        <v>C:\Users\jaime.benazar\Quorum Business Solutions\Ecopetrol Prometeo - Documents\Planning Space Implementation\3. Analysis &amp; Design\Design\FC22\DRR Jaime\Neiva CPI\[VAO_DINA TERCIARIOS_CF_SEC_20230117.xlsx]CF PDP'!</v>
      </c>
      <c r="G2110" s="6" t="s">
        <v>105</v>
      </c>
      <c r="H2110" s="1">
        <f t="shared" si="483"/>
        <v>54</v>
      </c>
      <c r="I2110" s="1" t="str">
        <f t="shared" si="481"/>
        <v>='C:\Users\jaime.benazar\Quorum Business Solutions\Ecopetrol Prometeo - Documents\Planning Space Implementation\3. Analysis &amp; Design\Design\FC22\DRR Jaime\Neiva CPI\[VAO_DINA TERCIARIOS_CF_SEC_20230117.xlsx]CF PDP'!$CT$54</v>
      </c>
      <c r="J2110" s="1" t="s">
        <v>1075</v>
      </c>
    </row>
    <row r="2111" spans="1:10" x14ac:dyDescent="0.3">
      <c r="A2111" s="6" t="s">
        <v>14</v>
      </c>
      <c r="B2111" s="6">
        <f t="shared" ref="B2111:B2112" si="485">+B2110+1</f>
        <v>2042</v>
      </c>
      <c r="C2111" s="1" t="s">
        <v>49</v>
      </c>
      <c r="D2111" s="2" t="s">
        <v>131</v>
      </c>
      <c r="E2111" s="9" t="str">
        <f t="shared" si="480"/>
        <v>PDP'!</v>
      </c>
      <c r="F2111" s="5" t="str">
        <f t="shared" si="479"/>
        <v>C:\Users\jaime.benazar\Quorum Business Solutions\Ecopetrol Prometeo - Documents\Planning Space Implementation\3. Analysis &amp; Design\Design\FC22\DRR Jaime\Neiva CPI\[VAO_DINA TERCIARIOS_CF_SEC_20230117.xlsx]CF PDP'!</v>
      </c>
      <c r="G2111" s="6" t="s">
        <v>105</v>
      </c>
      <c r="H2111" s="1">
        <f t="shared" si="483"/>
        <v>55</v>
      </c>
      <c r="I2111" s="1" t="str">
        <f t="shared" si="481"/>
        <v>='C:\Users\jaime.benazar\Quorum Business Solutions\Ecopetrol Prometeo - Documents\Planning Space Implementation\3. Analysis &amp; Design\Design\FC22\DRR Jaime\Neiva CPI\[VAO_DINA TERCIARIOS_CF_SEC_20230117.xlsx]CF PDP'!$CT$55</v>
      </c>
      <c r="J2111" s="1" t="s">
        <v>1076</v>
      </c>
    </row>
    <row r="2112" spans="1:10" x14ac:dyDescent="0.3">
      <c r="A2112" s="6" t="s">
        <v>14</v>
      </c>
      <c r="B2112" s="6">
        <f t="shared" si="485"/>
        <v>2043</v>
      </c>
      <c r="C2112" s="1" t="s">
        <v>49</v>
      </c>
      <c r="D2112" s="2" t="s">
        <v>131</v>
      </c>
      <c r="E2112" s="9" t="str">
        <f t="shared" si="480"/>
        <v>PDP'!</v>
      </c>
      <c r="F2112" s="5" t="str">
        <f t="shared" si="479"/>
        <v>C:\Users\jaime.benazar\Quorum Business Solutions\Ecopetrol Prometeo - Documents\Planning Space Implementation\3. Analysis &amp; Design\Design\FC22\DRR Jaime\Neiva CPI\[VAO_DINA TERCIARIOS_CF_SEC_20230117.xlsx]CF PDP'!</v>
      </c>
      <c r="G2112" s="6" t="s">
        <v>105</v>
      </c>
      <c r="H2112" s="1">
        <f t="shared" si="483"/>
        <v>56</v>
      </c>
      <c r="I2112" s="1" t="str">
        <f t="shared" si="481"/>
        <v>='C:\Users\jaime.benazar\Quorum Business Solutions\Ecopetrol Prometeo - Documents\Planning Space Implementation\3. Analysis &amp; Design\Design\FC22\DRR Jaime\Neiva CPI\[VAO_DINA TERCIARIOS_CF_SEC_20230117.xlsx]CF PDP'!$CT$56</v>
      </c>
      <c r="J2112" s="1" t="s">
        <v>1077</v>
      </c>
    </row>
    <row r="2113" spans="1:10" x14ac:dyDescent="0.3">
      <c r="A2113" s="6" t="s">
        <v>14</v>
      </c>
      <c r="B2113" s="6">
        <f>+B2112+1</f>
        <v>2044</v>
      </c>
      <c r="C2113" s="1" t="s">
        <v>49</v>
      </c>
      <c r="D2113" s="2" t="s">
        <v>131</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Jaime\Neiva CPI\[VAO_DINA TERCIARIOS_CF_SEC_20230117.xlsx]CF PDP'!</v>
      </c>
      <c r="G2113" s="6" t="s">
        <v>105</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Jaime\Neiva CPI\[VAO_DINA TERCIARIOS_CF_SEC_20230117.xlsx]CF PDP'!$CT$57</v>
      </c>
      <c r="J2113" s="1" t="s">
        <v>1078</v>
      </c>
    </row>
    <row r="2114" spans="1:10" x14ac:dyDescent="0.3">
      <c r="A2114" s="6" t="s">
        <v>14</v>
      </c>
      <c r="B2114" s="6">
        <f t="shared" ref="B2114:B2128" si="490">+B2113+1</f>
        <v>2045</v>
      </c>
      <c r="C2114" s="1" t="s">
        <v>49</v>
      </c>
      <c r="D2114" s="2" t="s">
        <v>131</v>
      </c>
      <c r="E2114" s="9" t="str">
        <f t="shared" si="486"/>
        <v>PDP'!</v>
      </c>
      <c r="F2114" s="5" t="str">
        <f t="shared" si="487"/>
        <v>C:\Users\jaime.benazar\Quorum Business Solutions\Ecopetrol Prometeo - Documents\Planning Space Implementation\3. Analysis &amp; Design\Design\FC22\DRR Jaime\Neiva CPI\[VAO_DINA TERCIARIOS_CF_SEC_20230117.xlsx]CF PDP'!</v>
      </c>
      <c r="G2114" s="6" t="s">
        <v>105</v>
      </c>
      <c r="H2114" s="1">
        <f t="shared" si="488"/>
        <v>58</v>
      </c>
      <c r="I2114" s="1" t="str">
        <f t="shared" si="489"/>
        <v>='C:\Users\jaime.benazar\Quorum Business Solutions\Ecopetrol Prometeo - Documents\Planning Space Implementation\3. Analysis &amp; Design\Design\FC22\DRR Jaime\Neiva CPI\[VAO_DINA TERCIARIOS_CF_SEC_20230117.xlsx]CF PDP'!$CT$58</v>
      </c>
      <c r="J2114" s="1" t="s">
        <v>1079</v>
      </c>
    </row>
    <row r="2115" spans="1:10" x14ac:dyDescent="0.3">
      <c r="A2115" s="6" t="s">
        <v>14</v>
      </c>
      <c r="B2115" s="6">
        <f t="shared" si="490"/>
        <v>2046</v>
      </c>
      <c r="C2115" s="1" t="s">
        <v>49</v>
      </c>
      <c r="D2115" s="2" t="s">
        <v>131</v>
      </c>
      <c r="E2115" s="9" t="str">
        <f t="shared" si="486"/>
        <v>PDP'!</v>
      </c>
      <c r="F2115" s="5" t="str">
        <f t="shared" si="487"/>
        <v>C:\Users\jaime.benazar\Quorum Business Solutions\Ecopetrol Prometeo - Documents\Planning Space Implementation\3. Analysis &amp; Design\Design\FC22\DRR Jaime\Neiva CPI\[VAO_DINA TERCIARIOS_CF_SEC_20230117.xlsx]CF PDP'!</v>
      </c>
      <c r="G2115" s="6" t="s">
        <v>105</v>
      </c>
      <c r="H2115" s="1">
        <f t="shared" si="488"/>
        <v>59</v>
      </c>
      <c r="I2115" s="1" t="str">
        <f t="shared" si="489"/>
        <v>='C:\Users\jaime.benazar\Quorum Business Solutions\Ecopetrol Prometeo - Documents\Planning Space Implementation\3. Analysis &amp; Design\Design\FC22\DRR Jaime\Neiva CPI\[VAO_DINA TERCIARIOS_CF_SEC_20230117.xlsx]CF PDP'!$CT$59</v>
      </c>
      <c r="J2115" s="1" t="s">
        <v>1080</v>
      </c>
    </row>
    <row r="2116" spans="1:10" x14ac:dyDescent="0.3">
      <c r="A2116" s="6" t="s">
        <v>14</v>
      </c>
      <c r="B2116" s="6">
        <f t="shared" si="490"/>
        <v>2047</v>
      </c>
      <c r="C2116" s="1" t="s">
        <v>49</v>
      </c>
      <c r="D2116" s="2" t="s">
        <v>131</v>
      </c>
      <c r="E2116" s="9" t="str">
        <f t="shared" si="486"/>
        <v>PDP'!</v>
      </c>
      <c r="F2116" s="5" t="str">
        <f t="shared" si="487"/>
        <v>C:\Users\jaime.benazar\Quorum Business Solutions\Ecopetrol Prometeo - Documents\Planning Space Implementation\3. Analysis &amp; Design\Design\FC22\DRR Jaime\Neiva CPI\[VAO_DINA TERCIARIOS_CF_SEC_20230117.xlsx]CF PDP'!</v>
      </c>
      <c r="G2116" s="6" t="s">
        <v>105</v>
      </c>
      <c r="H2116" s="1">
        <f t="shared" si="488"/>
        <v>60</v>
      </c>
      <c r="I2116" s="1" t="str">
        <f t="shared" si="489"/>
        <v>='C:\Users\jaime.benazar\Quorum Business Solutions\Ecopetrol Prometeo - Documents\Planning Space Implementation\3. Analysis &amp; Design\Design\FC22\DRR Jaime\Neiva CPI\[VAO_DINA TERCIARIOS_CF_SEC_20230117.xlsx]CF PDP'!$CT$60</v>
      </c>
      <c r="J2116" s="1" t="s">
        <v>1081</v>
      </c>
    </row>
    <row r="2117" spans="1:10" x14ac:dyDescent="0.3">
      <c r="A2117" s="6" t="s">
        <v>14</v>
      </c>
      <c r="B2117" s="6">
        <f t="shared" si="490"/>
        <v>2048</v>
      </c>
      <c r="C2117" s="1" t="s">
        <v>49</v>
      </c>
      <c r="D2117" s="2" t="s">
        <v>131</v>
      </c>
      <c r="E2117" s="9" t="str">
        <f t="shared" si="486"/>
        <v>PDP'!</v>
      </c>
      <c r="F2117" s="5" t="str">
        <f t="shared" si="487"/>
        <v>C:\Users\jaime.benazar\Quorum Business Solutions\Ecopetrol Prometeo - Documents\Planning Space Implementation\3. Analysis &amp; Design\Design\FC22\DRR Jaime\Neiva CPI\[VAO_DINA TERCIARIOS_CF_SEC_20230117.xlsx]CF PDP'!</v>
      </c>
      <c r="G2117" s="6" t="s">
        <v>105</v>
      </c>
      <c r="H2117" s="1">
        <f t="shared" si="488"/>
        <v>61</v>
      </c>
      <c r="I2117" s="1" t="str">
        <f t="shared" si="489"/>
        <v>='C:\Users\jaime.benazar\Quorum Business Solutions\Ecopetrol Prometeo - Documents\Planning Space Implementation\3. Analysis &amp; Design\Design\FC22\DRR Jaime\Neiva CPI\[VAO_DINA TERCIARIOS_CF_SEC_20230117.xlsx]CF PDP'!$CT$61</v>
      </c>
      <c r="J2117" s="1" t="s">
        <v>1082</v>
      </c>
    </row>
    <row r="2118" spans="1:10" x14ac:dyDescent="0.3">
      <c r="A2118" s="6" t="s">
        <v>14</v>
      </c>
      <c r="B2118" s="6">
        <f t="shared" si="490"/>
        <v>2049</v>
      </c>
      <c r="C2118" s="1" t="s">
        <v>49</v>
      </c>
      <c r="D2118" s="2" t="s">
        <v>131</v>
      </c>
      <c r="E2118" s="9" t="str">
        <f t="shared" si="486"/>
        <v>PDP'!</v>
      </c>
      <c r="F2118" s="5" t="str">
        <f t="shared" si="487"/>
        <v>C:\Users\jaime.benazar\Quorum Business Solutions\Ecopetrol Prometeo - Documents\Planning Space Implementation\3. Analysis &amp; Design\Design\FC22\DRR Jaime\Neiva CPI\[VAO_DINA TERCIARIOS_CF_SEC_20230117.xlsx]CF PDP'!</v>
      </c>
      <c r="G2118" s="6" t="s">
        <v>105</v>
      </c>
      <c r="H2118" s="1">
        <f t="shared" si="488"/>
        <v>62</v>
      </c>
      <c r="I2118" s="1" t="str">
        <f t="shared" si="489"/>
        <v>='C:\Users\jaime.benazar\Quorum Business Solutions\Ecopetrol Prometeo - Documents\Planning Space Implementation\3. Analysis &amp; Design\Design\FC22\DRR Jaime\Neiva CPI\[VAO_DINA TERCIARIOS_CF_SEC_20230117.xlsx]CF PDP'!$CT$62</v>
      </c>
      <c r="J2118" s="1" t="s">
        <v>1083</v>
      </c>
    </row>
    <row r="2119" spans="1:10" x14ac:dyDescent="0.3">
      <c r="A2119" s="6" t="s">
        <v>14</v>
      </c>
      <c r="B2119" s="6">
        <f t="shared" si="490"/>
        <v>2050</v>
      </c>
      <c r="C2119" s="1" t="s">
        <v>49</v>
      </c>
      <c r="D2119" s="2" t="s">
        <v>131</v>
      </c>
      <c r="E2119" s="9" t="str">
        <f t="shared" si="486"/>
        <v>PDP'!</v>
      </c>
      <c r="F2119" s="5" t="str">
        <f t="shared" si="487"/>
        <v>C:\Users\jaime.benazar\Quorum Business Solutions\Ecopetrol Prometeo - Documents\Planning Space Implementation\3. Analysis &amp; Design\Design\FC22\DRR Jaime\Neiva CPI\[VAO_DINA TERCIARIOS_CF_SEC_20230117.xlsx]CF PDP'!</v>
      </c>
      <c r="G2119" s="6" t="s">
        <v>105</v>
      </c>
      <c r="H2119" s="1">
        <f t="shared" si="488"/>
        <v>63</v>
      </c>
      <c r="I2119" s="1" t="str">
        <f t="shared" si="489"/>
        <v>='C:\Users\jaime.benazar\Quorum Business Solutions\Ecopetrol Prometeo - Documents\Planning Space Implementation\3. Analysis &amp; Design\Design\FC22\DRR Jaime\Neiva CPI\[VAO_DINA TERCIARIOS_CF_SEC_20230117.xlsx]CF PDP'!$CT$63</v>
      </c>
      <c r="J2119" s="1" t="s">
        <v>1084</v>
      </c>
    </row>
    <row r="2120" spans="1:10" x14ac:dyDescent="0.3">
      <c r="A2120" s="6" t="s">
        <v>14</v>
      </c>
      <c r="B2120" s="6">
        <f t="shared" si="490"/>
        <v>2051</v>
      </c>
      <c r="C2120" s="1" t="s">
        <v>49</v>
      </c>
      <c r="D2120" s="2" t="s">
        <v>131</v>
      </c>
      <c r="E2120" s="9" t="str">
        <f t="shared" si="486"/>
        <v>PDP'!</v>
      </c>
      <c r="F2120" s="5" t="str">
        <f t="shared" si="487"/>
        <v>C:\Users\jaime.benazar\Quorum Business Solutions\Ecopetrol Prometeo - Documents\Planning Space Implementation\3. Analysis &amp; Design\Design\FC22\DRR Jaime\Neiva CPI\[VAO_DINA TERCIARIOS_CF_SEC_20230117.xlsx]CF PDP'!</v>
      </c>
      <c r="G2120" s="6" t="s">
        <v>105</v>
      </c>
      <c r="H2120" s="1">
        <f t="shared" si="488"/>
        <v>64</v>
      </c>
      <c r="I2120" s="1" t="str">
        <f t="shared" si="489"/>
        <v>='C:\Users\jaime.benazar\Quorum Business Solutions\Ecopetrol Prometeo - Documents\Planning Space Implementation\3. Analysis &amp; Design\Design\FC22\DRR Jaime\Neiva CPI\[VAO_DINA TERCIARIOS_CF_SEC_20230117.xlsx]CF PDP'!$CT$64</v>
      </c>
      <c r="J2120" s="1" t="s">
        <v>1085</v>
      </c>
    </row>
    <row r="2121" spans="1:10" x14ac:dyDescent="0.3">
      <c r="A2121" s="6" t="s">
        <v>14</v>
      </c>
      <c r="B2121" s="6">
        <f t="shared" si="490"/>
        <v>2052</v>
      </c>
      <c r="C2121" s="1" t="s">
        <v>49</v>
      </c>
      <c r="D2121" s="2" t="s">
        <v>131</v>
      </c>
      <c r="E2121" s="9" t="str">
        <f t="shared" si="486"/>
        <v>PDP'!</v>
      </c>
      <c r="F2121" s="5" t="str">
        <f t="shared" si="487"/>
        <v>C:\Users\jaime.benazar\Quorum Business Solutions\Ecopetrol Prometeo - Documents\Planning Space Implementation\3. Analysis &amp; Design\Design\FC22\DRR Jaime\Neiva CPI\[VAO_DINA TERCIARIOS_CF_SEC_20230117.xlsx]CF PDP'!</v>
      </c>
      <c r="G2121" s="6" t="s">
        <v>105</v>
      </c>
      <c r="H2121" s="1">
        <f t="shared" si="488"/>
        <v>65</v>
      </c>
      <c r="I2121" s="1" t="str">
        <f t="shared" si="489"/>
        <v>='C:\Users\jaime.benazar\Quorum Business Solutions\Ecopetrol Prometeo - Documents\Planning Space Implementation\3. Analysis &amp; Design\Design\FC22\DRR Jaime\Neiva CPI\[VAO_DINA TERCIARIOS_CF_SEC_20230117.xlsx]CF PDP'!$CT$65</v>
      </c>
      <c r="J2121" s="1" t="s">
        <v>1086</v>
      </c>
    </row>
    <row r="2122" spans="1:10" x14ac:dyDescent="0.3">
      <c r="A2122" s="6" t="s">
        <v>14</v>
      </c>
      <c r="B2122" s="6">
        <f t="shared" si="490"/>
        <v>2053</v>
      </c>
      <c r="C2122" s="1" t="s">
        <v>49</v>
      </c>
      <c r="D2122" s="2" t="s">
        <v>131</v>
      </c>
      <c r="E2122" s="9" t="str">
        <f t="shared" si="486"/>
        <v>PDP'!</v>
      </c>
      <c r="F2122" s="5" t="str">
        <f t="shared" si="487"/>
        <v>C:\Users\jaime.benazar\Quorum Business Solutions\Ecopetrol Prometeo - Documents\Planning Space Implementation\3. Analysis &amp; Design\Design\FC22\DRR Jaime\Neiva CPI\[VAO_DINA TERCIARIOS_CF_SEC_20230117.xlsx]CF PDP'!</v>
      </c>
      <c r="G2122" s="6" t="s">
        <v>105</v>
      </c>
      <c r="H2122" s="1">
        <f t="shared" si="488"/>
        <v>66</v>
      </c>
      <c r="I2122" s="1" t="str">
        <f t="shared" si="489"/>
        <v>='C:\Users\jaime.benazar\Quorum Business Solutions\Ecopetrol Prometeo - Documents\Planning Space Implementation\3. Analysis &amp; Design\Design\FC22\DRR Jaime\Neiva CPI\[VAO_DINA TERCIARIOS_CF_SEC_20230117.xlsx]CF PDP'!$CT$66</v>
      </c>
      <c r="J2122" s="1" t="s">
        <v>1087</v>
      </c>
    </row>
    <row r="2123" spans="1:10" x14ac:dyDescent="0.3">
      <c r="A2123" s="6" t="s">
        <v>14</v>
      </c>
      <c r="B2123" s="6">
        <f t="shared" si="490"/>
        <v>2054</v>
      </c>
      <c r="C2123" s="1" t="s">
        <v>49</v>
      </c>
      <c r="D2123" s="2" t="s">
        <v>131</v>
      </c>
      <c r="E2123" s="9" t="str">
        <f t="shared" si="486"/>
        <v>PDP'!</v>
      </c>
      <c r="F2123" s="5" t="str">
        <f t="shared" si="487"/>
        <v>C:\Users\jaime.benazar\Quorum Business Solutions\Ecopetrol Prometeo - Documents\Planning Space Implementation\3. Analysis &amp; Design\Design\FC22\DRR Jaime\Neiva CPI\[VAO_DINA TERCIARIOS_CF_SEC_20230117.xlsx]CF PDP'!</v>
      </c>
      <c r="G2123" s="6" t="s">
        <v>105</v>
      </c>
      <c r="H2123" s="1">
        <f t="shared" si="488"/>
        <v>67</v>
      </c>
      <c r="I2123" s="1" t="str">
        <f t="shared" si="489"/>
        <v>='C:\Users\jaime.benazar\Quorum Business Solutions\Ecopetrol Prometeo - Documents\Planning Space Implementation\3. Analysis &amp; Design\Design\FC22\DRR Jaime\Neiva CPI\[VAO_DINA TERCIARIOS_CF_SEC_20230117.xlsx]CF PDP'!$CT$67</v>
      </c>
      <c r="J2123" s="1" t="s">
        <v>1088</v>
      </c>
    </row>
    <row r="2124" spans="1:10" x14ac:dyDescent="0.3">
      <c r="A2124" s="6" t="s">
        <v>14</v>
      </c>
      <c r="B2124" s="6">
        <f t="shared" si="490"/>
        <v>2055</v>
      </c>
      <c r="C2124" s="1" t="s">
        <v>49</v>
      </c>
      <c r="D2124" s="2" t="s">
        <v>131</v>
      </c>
      <c r="E2124" s="9" t="str">
        <f t="shared" si="486"/>
        <v>PDP'!</v>
      </c>
      <c r="F2124" s="5" t="str">
        <f t="shared" si="487"/>
        <v>C:\Users\jaime.benazar\Quorum Business Solutions\Ecopetrol Prometeo - Documents\Planning Space Implementation\3. Analysis &amp; Design\Design\FC22\DRR Jaime\Neiva CPI\[VAO_DINA TERCIARIOS_CF_SEC_20230117.xlsx]CF PDP'!</v>
      </c>
      <c r="G2124" s="6" t="s">
        <v>105</v>
      </c>
      <c r="H2124" s="1">
        <f t="shared" si="488"/>
        <v>68</v>
      </c>
      <c r="I2124" s="1" t="str">
        <f t="shared" si="489"/>
        <v>='C:\Users\jaime.benazar\Quorum Business Solutions\Ecopetrol Prometeo - Documents\Planning Space Implementation\3. Analysis &amp; Design\Design\FC22\DRR Jaime\Neiva CPI\[VAO_DINA TERCIARIOS_CF_SEC_20230117.xlsx]CF PDP'!$CT$68</v>
      </c>
      <c r="J2124" s="1" t="s">
        <v>1089</v>
      </c>
    </row>
    <row r="2125" spans="1:10" x14ac:dyDescent="0.3">
      <c r="A2125" s="6" t="s">
        <v>14</v>
      </c>
      <c r="B2125" s="6">
        <f t="shared" si="490"/>
        <v>2056</v>
      </c>
      <c r="C2125" s="1" t="s">
        <v>49</v>
      </c>
      <c r="D2125" s="2" t="s">
        <v>131</v>
      </c>
      <c r="E2125" s="9" t="str">
        <f t="shared" si="486"/>
        <v>PDP'!</v>
      </c>
      <c r="F2125" s="5" t="str">
        <f t="shared" si="487"/>
        <v>C:\Users\jaime.benazar\Quorum Business Solutions\Ecopetrol Prometeo - Documents\Planning Space Implementation\3. Analysis &amp; Design\Design\FC22\DRR Jaime\Neiva CPI\[VAO_DINA TERCIARIOS_CF_SEC_20230117.xlsx]CF PDP'!</v>
      </c>
      <c r="G2125" s="6" t="s">
        <v>105</v>
      </c>
      <c r="H2125" s="1">
        <f t="shared" si="488"/>
        <v>69</v>
      </c>
      <c r="I2125" s="1" t="str">
        <f t="shared" si="489"/>
        <v>='C:\Users\jaime.benazar\Quorum Business Solutions\Ecopetrol Prometeo - Documents\Planning Space Implementation\3. Analysis &amp; Design\Design\FC22\DRR Jaime\Neiva CPI\[VAO_DINA TERCIARIOS_CF_SEC_20230117.xlsx]CF PDP'!$CT$69</v>
      </c>
      <c r="J2125" s="1" t="s">
        <v>1090</v>
      </c>
    </row>
    <row r="2126" spans="1:10" x14ac:dyDescent="0.3">
      <c r="A2126" s="6" t="s">
        <v>14</v>
      </c>
      <c r="B2126" s="6">
        <f t="shared" si="490"/>
        <v>2057</v>
      </c>
      <c r="C2126" s="1" t="s">
        <v>49</v>
      </c>
      <c r="D2126" s="2" t="s">
        <v>131</v>
      </c>
      <c r="E2126" s="9" t="str">
        <f t="shared" si="486"/>
        <v>PDP'!</v>
      </c>
      <c r="F2126" s="5" t="str">
        <f t="shared" si="487"/>
        <v>C:\Users\jaime.benazar\Quorum Business Solutions\Ecopetrol Prometeo - Documents\Planning Space Implementation\3. Analysis &amp; Design\Design\FC22\DRR Jaime\Neiva CPI\[VAO_DINA TERCIARIOS_CF_SEC_20230117.xlsx]CF PDP'!</v>
      </c>
      <c r="G2126" s="6" t="s">
        <v>105</v>
      </c>
      <c r="H2126" s="1">
        <f t="shared" si="488"/>
        <v>70</v>
      </c>
      <c r="I2126" s="1" t="str">
        <f t="shared" si="489"/>
        <v>='C:\Users\jaime.benazar\Quorum Business Solutions\Ecopetrol Prometeo - Documents\Planning Space Implementation\3. Analysis &amp; Design\Design\FC22\DRR Jaime\Neiva CPI\[VAO_DINA TERCIARIOS_CF_SEC_20230117.xlsx]CF PDP'!$CT$70</v>
      </c>
      <c r="J2126" s="1" t="s">
        <v>1091</v>
      </c>
    </row>
    <row r="2127" spans="1:10" x14ac:dyDescent="0.3">
      <c r="A2127" s="6" t="s">
        <v>14</v>
      </c>
      <c r="B2127" s="6">
        <f t="shared" si="490"/>
        <v>2058</v>
      </c>
      <c r="C2127" s="1" t="s">
        <v>49</v>
      </c>
      <c r="D2127" s="2" t="s">
        <v>131</v>
      </c>
      <c r="E2127" s="9" t="str">
        <f t="shared" si="486"/>
        <v>PDP'!</v>
      </c>
      <c r="F2127" s="5" t="str">
        <f t="shared" si="487"/>
        <v>C:\Users\jaime.benazar\Quorum Business Solutions\Ecopetrol Prometeo - Documents\Planning Space Implementation\3. Analysis &amp; Design\Design\FC22\DRR Jaime\Neiva CPI\[VAO_DINA TERCIARIOS_CF_SEC_20230117.xlsx]CF PDP'!</v>
      </c>
      <c r="G2127" s="6" t="s">
        <v>105</v>
      </c>
      <c r="H2127" s="1">
        <f t="shared" si="488"/>
        <v>71</v>
      </c>
      <c r="I2127" s="1" t="str">
        <f t="shared" si="489"/>
        <v>='C:\Users\jaime.benazar\Quorum Business Solutions\Ecopetrol Prometeo - Documents\Planning Space Implementation\3. Analysis &amp; Design\Design\FC22\DRR Jaime\Neiva CPI\[VAO_DINA TERCIARIOS_CF_SEC_20230117.xlsx]CF PDP'!$CT$71</v>
      </c>
      <c r="J2127" s="1" t="s">
        <v>1092</v>
      </c>
    </row>
    <row r="2128" spans="1:10" x14ac:dyDescent="0.3">
      <c r="A2128" s="6" t="s">
        <v>14</v>
      </c>
      <c r="B2128" s="6">
        <f t="shared" si="490"/>
        <v>2059</v>
      </c>
      <c r="C2128" s="1" t="s">
        <v>49</v>
      </c>
      <c r="D2128" s="2" t="s">
        <v>131</v>
      </c>
      <c r="E2128" s="9" t="str">
        <f t="shared" si="486"/>
        <v>PDP'!</v>
      </c>
      <c r="F2128" s="5" t="str">
        <f t="shared" si="487"/>
        <v>C:\Users\jaime.benazar\Quorum Business Solutions\Ecopetrol Prometeo - Documents\Planning Space Implementation\3. Analysis &amp; Design\Design\FC22\DRR Jaime\Neiva CPI\[VAO_DINA TERCIARIOS_CF_SEC_20230117.xlsx]CF PDP'!</v>
      </c>
      <c r="G2128" s="6" t="s">
        <v>105</v>
      </c>
      <c r="H2128" s="1">
        <f t="shared" si="488"/>
        <v>72</v>
      </c>
      <c r="I2128" s="1" t="str">
        <f t="shared" si="489"/>
        <v>='C:\Users\jaime.benazar\Quorum Business Solutions\Ecopetrol Prometeo - Documents\Planning Space Implementation\3. Analysis &amp; Design\Design\FC22\DRR Jaime\Neiva CPI\[VAO_DINA TERCIARIOS_CF_SEC_20230117.xlsx]CF PDP'!$CT$72</v>
      </c>
      <c r="J2128" s="1" t="s">
        <v>1093</v>
      </c>
    </row>
    <row r="2129" spans="1:10" x14ac:dyDescent="0.3">
      <c r="A2129" s="6" t="s">
        <v>26</v>
      </c>
      <c r="B2129" s="6"/>
      <c r="C2129" s="1" t="s">
        <v>49</v>
      </c>
      <c r="D2129" s="2"/>
      <c r="E2129" s="9"/>
      <c r="F2129" s="2"/>
      <c r="G2129" s="6"/>
      <c r="H2129" s="1"/>
      <c r="I2129" s="1"/>
      <c r="J2129" s="4"/>
    </row>
    <row r="2130" spans="1:10" x14ac:dyDescent="0.3">
      <c r="A2130" s="6" t="s">
        <v>15</v>
      </c>
      <c r="B2130" s="6">
        <v>2023</v>
      </c>
      <c r="C2130" s="1" t="s">
        <v>49</v>
      </c>
      <c r="D2130" s="2" t="s">
        <v>131</v>
      </c>
      <c r="E2130" s="9" t="str">
        <f t="shared" si="480"/>
        <v>PNP'!</v>
      </c>
      <c r="F2130" s="5" t="str">
        <f t="shared" ref="F2130:F2150" si="491">_xlfn.CONCAT(D2130," ",E2130)</f>
        <v>C:\Users\jaime.benazar\Quorum Business Solutions\Ecopetrol Prometeo - Documents\Planning Space Implementation\3. Analysis &amp; Design\Design\FC22\DRR Jaime\Neiva CPI\[VAO_DINA TERCIARIOS_CF_SEC_20230117.xlsx]CF PNP'!</v>
      </c>
      <c r="G2130" s="6" t="s">
        <v>105</v>
      </c>
      <c r="H2130" s="1">
        <f>IF(A2130&lt;&gt;A2114,36,H2114+1)</f>
        <v>36</v>
      </c>
      <c r="I2130" s="1" t="str">
        <f t="shared" si="481"/>
        <v>='C:\Users\jaime.benazar\Quorum Business Solutions\Ecopetrol Prometeo - Documents\Planning Space Implementation\3. Analysis &amp; Design\Design\FC22\DRR Jaime\Neiva CPI\[VAO_DINA TERCIARIOS_CF_SEC_20230117.xlsx]CF PNP'!$CT$36</v>
      </c>
      <c r="J2130" s="1" t="s">
        <v>1094</v>
      </c>
    </row>
    <row r="2131" spans="1:10" x14ac:dyDescent="0.3">
      <c r="A2131" s="6" t="s">
        <v>15</v>
      </c>
      <c r="B2131" s="6">
        <f>+B2130+1</f>
        <v>2024</v>
      </c>
      <c r="C2131" s="1" t="s">
        <v>49</v>
      </c>
      <c r="D2131" s="2" t="s">
        <v>131</v>
      </c>
      <c r="E2131" s="9" t="str">
        <f t="shared" si="480"/>
        <v>PNP'!</v>
      </c>
      <c r="F2131" s="5" t="str">
        <f t="shared" si="491"/>
        <v>C:\Users\jaime.benazar\Quorum Business Solutions\Ecopetrol Prometeo - Documents\Planning Space Implementation\3. Analysis &amp; Design\Design\FC22\DRR Jaime\Neiva CPI\[VAO_DINA TERCIARIOS_CF_SEC_20230117.xlsx]CF PNP'!</v>
      </c>
      <c r="G2131" s="6" t="s">
        <v>105</v>
      </c>
      <c r="H2131" s="1">
        <f t="shared" si="483"/>
        <v>37</v>
      </c>
      <c r="I2131" s="1" t="str">
        <f t="shared" si="481"/>
        <v>='C:\Users\jaime.benazar\Quorum Business Solutions\Ecopetrol Prometeo - Documents\Planning Space Implementation\3. Analysis &amp; Design\Design\FC22\DRR Jaime\Neiva CPI\[VAO_DINA TERCIARIOS_CF_SEC_20230117.xlsx]CF PNP'!$CT$37</v>
      </c>
      <c r="J2131" s="1" t="s">
        <v>1095</v>
      </c>
    </row>
    <row r="2132" spans="1:10" x14ac:dyDescent="0.3">
      <c r="A2132" s="6" t="s">
        <v>15</v>
      </c>
      <c r="B2132" s="6">
        <f t="shared" ref="B2132:B2143" si="492">+B2131+1</f>
        <v>2025</v>
      </c>
      <c r="C2132" s="1" t="s">
        <v>49</v>
      </c>
      <c r="D2132" s="2" t="s">
        <v>131</v>
      </c>
      <c r="E2132" s="9" t="str">
        <f t="shared" si="480"/>
        <v>PNP'!</v>
      </c>
      <c r="F2132" s="5" t="str">
        <f t="shared" si="491"/>
        <v>C:\Users\jaime.benazar\Quorum Business Solutions\Ecopetrol Prometeo - Documents\Planning Space Implementation\3. Analysis &amp; Design\Design\FC22\DRR Jaime\Neiva CPI\[VAO_DINA TERCIARIOS_CF_SEC_20230117.xlsx]CF PNP'!</v>
      </c>
      <c r="G2132" s="6" t="s">
        <v>105</v>
      </c>
      <c r="H2132" s="1">
        <f t="shared" si="483"/>
        <v>38</v>
      </c>
      <c r="I2132" s="1" t="str">
        <f t="shared" si="481"/>
        <v>='C:\Users\jaime.benazar\Quorum Business Solutions\Ecopetrol Prometeo - Documents\Planning Space Implementation\3. Analysis &amp; Design\Design\FC22\DRR Jaime\Neiva CPI\[VAO_DINA TERCIARIOS_CF_SEC_20230117.xlsx]CF PNP'!$CT$38</v>
      </c>
      <c r="J2132" s="1" t="s">
        <v>1096</v>
      </c>
    </row>
    <row r="2133" spans="1:10" x14ac:dyDescent="0.3">
      <c r="A2133" s="6" t="s">
        <v>15</v>
      </c>
      <c r="B2133" s="6">
        <f t="shared" si="492"/>
        <v>2026</v>
      </c>
      <c r="C2133" s="1" t="s">
        <v>49</v>
      </c>
      <c r="D2133" s="2" t="s">
        <v>131</v>
      </c>
      <c r="E2133" s="9" t="str">
        <f t="shared" si="480"/>
        <v>PNP'!</v>
      </c>
      <c r="F2133" s="5" t="str">
        <f t="shared" si="491"/>
        <v>C:\Users\jaime.benazar\Quorum Business Solutions\Ecopetrol Prometeo - Documents\Planning Space Implementation\3. Analysis &amp; Design\Design\FC22\DRR Jaime\Neiva CPI\[VAO_DINA TERCIARIOS_CF_SEC_20230117.xlsx]CF PNP'!</v>
      </c>
      <c r="G2133" s="6" t="s">
        <v>105</v>
      </c>
      <c r="H2133" s="1">
        <f t="shared" si="483"/>
        <v>39</v>
      </c>
      <c r="I2133" s="1" t="str">
        <f t="shared" si="481"/>
        <v>='C:\Users\jaime.benazar\Quorum Business Solutions\Ecopetrol Prometeo - Documents\Planning Space Implementation\3. Analysis &amp; Design\Design\FC22\DRR Jaime\Neiva CPI\[VAO_DINA TERCIARIOS_CF_SEC_20230117.xlsx]CF PNP'!$CT$39</v>
      </c>
      <c r="J2133" s="1" t="s">
        <v>1097</v>
      </c>
    </row>
    <row r="2134" spans="1:10" x14ac:dyDescent="0.3">
      <c r="A2134" s="6" t="s">
        <v>15</v>
      </c>
      <c r="B2134" s="6">
        <f t="shared" si="492"/>
        <v>2027</v>
      </c>
      <c r="C2134" s="1" t="s">
        <v>49</v>
      </c>
      <c r="D2134" s="2" t="s">
        <v>131</v>
      </c>
      <c r="E2134" s="9" t="str">
        <f t="shared" si="480"/>
        <v>PNP'!</v>
      </c>
      <c r="F2134" s="5" t="str">
        <f t="shared" si="491"/>
        <v>C:\Users\jaime.benazar\Quorum Business Solutions\Ecopetrol Prometeo - Documents\Planning Space Implementation\3. Analysis &amp; Design\Design\FC22\DRR Jaime\Neiva CPI\[VAO_DINA TERCIARIOS_CF_SEC_20230117.xlsx]CF PNP'!</v>
      </c>
      <c r="G2134" s="6" t="s">
        <v>105</v>
      </c>
      <c r="H2134" s="1">
        <f t="shared" si="483"/>
        <v>40</v>
      </c>
      <c r="I2134" s="1" t="str">
        <f t="shared" si="481"/>
        <v>='C:\Users\jaime.benazar\Quorum Business Solutions\Ecopetrol Prometeo - Documents\Planning Space Implementation\3. Analysis &amp; Design\Design\FC22\DRR Jaime\Neiva CPI\[VAO_DINA TERCIARIOS_CF_SEC_20230117.xlsx]CF PNP'!$CT$40</v>
      </c>
      <c r="J2134" s="1" t="s">
        <v>1098</v>
      </c>
    </row>
    <row r="2135" spans="1:10" x14ac:dyDescent="0.3">
      <c r="A2135" s="6" t="s">
        <v>15</v>
      </c>
      <c r="B2135" s="6">
        <f t="shared" si="492"/>
        <v>2028</v>
      </c>
      <c r="C2135" s="1" t="s">
        <v>49</v>
      </c>
      <c r="D2135" s="2" t="s">
        <v>131</v>
      </c>
      <c r="E2135" s="9" t="str">
        <f t="shared" si="480"/>
        <v>PNP'!</v>
      </c>
      <c r="F2135" s="5" t="str">
        <f t="shared" si="491"/>
        <v>C:\Users\jaime.benazar\Quorum Business Solutions\Ecopetrol Prometeo - Documents\Planning Space Implementation\3. Analysis &amp; Design\Design\FC22\DRR Jaime\Neiva CPI\[VAO_DINA TERCIARIOS_CF_SEC_20230117.xlsx]CF PNP'!</v>
      </c>
      <c r="G2135" s="6" t="s">
        <v>105</v>
      </c>
      <c r="H2135" s="1">
        <f t="shared" si="483"/>
        <v>41</v>
      </c>
      <c r="I2135" s="1" t="str">
        <f t="shared" si="481"/>
        <v>='C:\Users\jaime.benazar\Quorum Business Solutions\Ecopetrol Prometeo - Documents\Planning Space Implementation\3. Analysis &amp; Design\Design\FC22\DRR Jaime\Neiva CPI\[VAO_DINA TERCIARIOS_CF_SEC_20230117.xlsx]CF PNP'!$CT$41</v>
      </c>
      <c r="J2135" s="1" t="s">
        <v>1099</v>
      </c>
    </row>
    <row r="2136" spans="1:10" x14ac:dyDescent="0.3">
      <c r="A2136" s="6" t="s">
        <v>15</v>
      </c>
      <c r="B2136" s="6">
        <f t="shared" si="492"/>
        <v>2029</v>
      </c>
      <c r="C2136" s="1" t="s">
        <v>49</v>
      </c>
      <c r="D2136" s="2" t="s">
        <v>131</v>
      </c>
      <c r="E2136" s="9" t="str">
        <f t="shared" si="480"/>
        <v>PNP'!</v>
      </c>
      <c r="F2136" s="5" t="str">
        <f t="shared" si="491"/>
        <v>C:\Users\jaime.benazar\Quorum Business Solutions\Ecopetrol Prometeo - Documents\Planning Space Implementation\3. Analysis &amp; Design\Design\FC22\DRR Jaime\Neiva CPI\[VAO_DINA TERCIARIOS_CF_SEC_20230117.xlsx]CF PNP'!</v>
      </c>
      <c r="G2136" s="6" t="s">
        <v>105</v>
      </c>
      <c r="H2136" s="1">
        <f t="shared" si="483"/>
        <v>42</v>
      </c>
      <c r="I2136" s="1" t="str">
        <f t="shared" si="481"/>
        <v>='C:\Users\jaime.benazar\Quorum Business Solutions\Ecopetrol Prometeo - Documents\Planning Space Implementation\3. Analysis &amp; Design\Design\FC22\DRR Jaime\Neiva CPI\[VAO_DINA TERCIARIOS_CF_SEC_20230117.xlsx]CF PNP'!$CT$42</v>
      </c>
      <c r="J2136" s="1" t="s">
        <v>1100</v>
      </c>
    </row>
    <row r="2137" spans="1:10" x14ac:dyDescent="0.3">
      <c r="A2137" s="6" t="s">
        <v>15</v>
      </c>
      <c r="B2137" s="6">
        <f t="shared" si="492"/>
        <v>2030</v>
      </c>
      <c r="C2137" s="1" t="s">
        <v>49</v>
      </c>
      <c r="D2137" s="2" t="s">
        <v>131</v>
      </c>
      <c r="E2137" s="9" t="str">
        <f t="shared" si="480"/>
        <v>PNP'!</v>
      </c>
      <c r="F2137" s="5" t="str">
        <f t="shared" si="491"/>
        <v>C:\Users\jaime.benazar\Quorum Business Solutions\Ecopetrol Prometeo - Documents\Planning Space Implementation\3. Analysis &amp; Design\Design\FC22\DRR Jaime\Neiva CPI\[VAO_DINA TERCIARIOS_CF_SEC_20230117.xlsx]CF PNP'!</v>
      </c>
      <c r="G2137" s="6" t="s">
        <v>105</v>
      </c>
      <c r="H2137" s="1">
        <f t="shared" si="483"/>
        <v>43</v>
      </c>
      <c r="I2137" s="1" t="str">
        <f t="shared" si="481"/>
        <v>='C:\Users\jaime.benazar\Quorum Business Solutions\Ecopetrol Prometeo - Documents\Planning Space Implementation\3. Analysis &amp; Design\Design\FC22\DRR Jaime\Neiva CPI\[VAO_DINA TERCIARIOS_CF_SEC_20230117.xlsx]CF PNP'!$CT$43</v>
      </c>
      <c r="J2137" s="1" t="s">
        <v>1101</v>
      </c>
    </row>
    <row r="2138" spans="1:10" x14ac:dyDescent="0.3">
      <c r="A2138" s="6" t="s">
        <v>15</v>
      </c>
      <c r="B2138" s="6">
        <f t="shared" si="492"/>
        <v>2031</v>
      </c>
      <c r="C2138" s="1" t="s">
        <v>49</v>
      </c>
      <c r="D2138" s="2" t="s">
        <v>131</v>
      </c>
      <c r="E2138" s="9" t="str">
        <f t="shared" si="480"/>
        <v>PNP'!</v>
      </c>
      <c r="F2138" s="5" t="str">
        <f t="shared" si="491"/>
        <v>C:\Users\jaime.benazar\Quorum Business Solutions\Ecopetrol Prometeo - Documents\Planning Space Implementation\3. Analysis &amp; Design\Design\FC22\DRR Jaime\Neiva CPI\[VAO_DINA TERCIARIOS_CF_SEC_20230117.xlsx]CF PNP'!</v>
      </c>
      <c r="G2138" s="6" t="s">
        <v>105</v>
      </c>
      <c r="H2138" s="1">
        <f t="shared" si="483"/>
        <v>44</v>
      </c>
      <c r="I2138" s="1" t="str">
        <f t="shared" si="481"/>
        <v>='C:\Users\jaime.benazar\Quorum Business Solutions\Ecopetrol Prometeo - Documents\Planning Space Implementation\3. Analysis &amp; Design\Design\FC22\DRR Jaime\Neiva CPI\[VAO_DINA TERCIARIOS_CF_SEC_20230117.xlsx]CF PNP'!$CT$44</v>
      </c>
      <c r="J2138" s="1" t="s">
        <v>1102</v>
      </c>
    </row>
    <row r="2139" spans="1:10" x14ac:dyDescent="0.3">
      <c r="A2139" s="6" t="s">
        <v>15</v>
      </c>
      <c r="B2139" s="6">
        <f t="shared" si="492"/>
        <v>2032</v>
      </c>
      <c r="C2139" s="1" t="s">
        <v>49</v>
      </c>
      <c r="D2139" s="2" t="s">
        <v>131</v>
      </c>
      <c r="E2139" s="9" t="str">
        <f t="shared" si="480"/>
        <v>PNP'!</v>
      </c>
      <c r="F2139" s="5" t="str">
        <f t="shared" si="491"/>
        <v>C:\Users\jaime.benazar\Quorum Business Solutions\Ecopetrol Prometeo - Documents\Planning Space Implementation\3. Analysis &amp; Design\Design\FC22\DRR Jaime\Neiva CPI\[VAO_DINA TERCIARIOS_CF_SEC_20230117.xlsx]CF PNP'!</v>
      </c>
      <c r="G2139" s="6" t="s">
        <v>105</v>
      </c>
      <c r="H2139" s="1">
        <f t="shared" si="483"/>
        <v>45</v>
      </c>
      <c r="I2139" s="1" t="str">
        <f t="shared" si="481"/>
        <v>='C:\Users\jaime.benazar\Quorum Business Solutions\Ecopetrol Prometeo - Documents\Planning Space Implementation\3. Analysis &amp; Design\Design\FC22\DRR Jaime\Neiva CPI\[VAO_DINA TERCIARIOS_CF_SEC_20230117.xlsx]CF PNP'!$CT$45</v>
      </c>
      <c r="J2139" s="1" t="s">
        <v>1103</v>
      </c>
    </row>
    <row r="2140" spans="1:10" x14ac:dyDescent="0.3">
      <c r="A2140" s="6" t="s">
        <v>15</v>
      </c>
      <c r="B2140" s="6">
        <f t="shared" si="492"/>
        <v>2033</v>
      </c>
      <c r="C2140" s="1" t="s">
        <v>49</v>
      </c>
      <c r="D2140" s="2" t="s">
        <v>131</v>
      </c>
      <c r="E2140" s="9" t="str">
        <f t="shared" si="480"/>
        <v>PNP'!</v>
      </c>
      <c r="F2140" s="5" t="str">
        <f t="shared" si="491"/>
        <v>C:\Users\jaime.benazar\Quorum Business Solutions\Ecopetrol Prometeo - Documents\Planning Space Implementation\3. Analysis &amp; Design\Design\FC22\DRR Jaime\Neiva CPI\[VAO_DINA TERCIARIOS_CF_SEC_20230117.xlsx]CF PNP'!</v>
      </c>
      <c r="G2140" s="6" t="s">
        <v>105</v>
      </c>
      <c r="H2140" s="1">
        <f t="shared" si="483"/>
        <v>46</v>
      </c>
      <c r="I2140" s="1" t="str">
        <f t="shared" si="481"/>
        <v>='C:\Users\jaime.benazar\Quorum Business Solutions\Ecopetrol Prometeo - Documents\Planning Space Implementation\3. Analysis &amp; Design\Design\FC22\DRR Jaime\Neiva CPI\[VAO_DINA TERCIARIOS_CF_SEC_20230117.xlsx]CF PNP'!$CT$46</v>
      </c>
      <c r="J2140" s="1" t="s">
        <v>1104</v>
      </c>
    </row>
    <row r="2141" spans="1:10" x14ac:dyDescent="0.3">
      <c r="A2141" s="6" t="s">
        <v>15</v>
      </c>
      <c r="B2141" s="6">
        <f t="shared" si="492"/>
        <v>2034</v>
      </c>
      <c r="C2141" s="1" t="s">
        <v>49</v>
      </c>
      <c r="D2141" s="2" t="s">
        <v>131</v>
      </c>
      <c r="E2141" s="9" t="str">
        <f t="shared" si="480"/>
        <v>PNP'!</v>
      </c>
      <c r="F2141" s="5" t="str">
        <f t="shared" si="491"/>
        <v>C:\Users\jaime.benazar\Quorum Business Solutions\Ecopetrol Prometeo - Documents\Planning Space Implementation\3. Analysis &amp; Design\Design\FC22\DRR Jaime\Neiva CPI\[VAO_DINA TERCIARIOS_CF_SEC_20230117.xlsx]CF PNP'!</v>
      </c>
      <c r="G2141" s="6" t="s">
        <v>105</v>
      </c>
      <c r="H2141" s="1">
        <f t="shared" si="483"/>
        <v>47</v>
      </c>
      <c r="I2141" s="1" t="str">
        <f t="shared" si="481"/>
        <v>='C:\Users\jaime.benazar\Quorum Business Solutions\Ecopetrol Prometeo - Documents\Planning Space Implementation\3. Analysis &amp; Design\Design\FC22\DRR Jaime\Neiva CPI\[VAO_DINA TERCIARIOS_CF_SEC_20230117.xlsx]CF PNP'!$CT$47</v>
      </c>
      <c r="J2141" s="1" t="s">
        <v>1105</v>
      </c>
    </row>
    <row r="2142" spans="1:10" x14ac:dyDescent="0.3">
      <c r="A2142" s="6" t="s">
        <v>15</v>
      </c>
      <c r="B2142" s="6">
        <f t="shared" si="492"/>
        <v>2035</v>
      </c>
      <c r="C2142" s="1" t="s">
        <v>49</v>
      </c>
      <c r="D2142" s="2" t="s">
        <v>131</v>
      </c>
      <c r="E2142" s="9" t="str">
        <f t="shared" si="480"/>
        <v>PNP'!</v>
      </c>
      <c r="F2142" s="5" t="str">
        <f t="shared" si="491"/>
        <v>C:\Users\jaime.benazar\Quorum Business Solutions\Ecopetrol Prometeo - Documents\Planning Space Implementation\3. Analysis &amp; Design\Design\FC22\DRR Jaime\Neiva CPI\[VAO_DINA TERCIARIOS_CF_SEC_20230117.xlsx]CF PNP'!</v>
      </c>
      <c r="G2142" s="6" t="s">
        <v>105</v>
      </c>
      <c r="H2142" s="1">
        <f t="shared" si="483"/>
        <v>48</v>
      </c>
      <c r="I2142" s="1" t="str">
        <f t="shared" si="481"/>
        <v>='C:\Users\jaime.benazar\Quorum Business Solutions\Ecopetrol Prometeo - Documents\Planning Space Implementation\3. Analysis &amp; Design\Design\FC22\DRR Jaime\Neiva CPI\[VAO_DINA TERCIARIOS_CF_SEC_20230117.xlsx]CF PNP'!$CT$48</v>
      </c>
      <c r="J2142" s="1" t="s">
        <v>1106</v>
      </c>
    </row>
    <row r="2143" spans="1:10" x14ac:dyDescent="0.3">
      <c r="A2143" s="6" t="s">
        <v>15</v>
      </c>
      <c r="B2143" s="6">
        <f t="shared" si="492"/>
        <v>2036</v>
      </c>
      <c r="C2143" s="1" t="s">
        <v>49</v>
      </c>
      <c r="D2143" s="2" t="s">
        <v>131</v>
      </c>
      <c r="E2143" s="9" t="str">
        <f t="shared" si="480"/>
        <v>PNP'!</v>
      </c>
      <c r="F2143" s="5" t="str">
        <f t="shared" si="491"/>
        <v>C:\Users\jaime.benazar\Quorum Business Solutions\Ecopetrol Prometeo - Documents\Planning Space Implementation\3. Analysis &amp; Design\Design\FC22\DRR Jaime\Neiva CPI\[VAO_DINA TERCIARIOS_CF_SEC_20230117.xlsx]CF PNP'!</v>
      </c>
      <c r="G2143" s="6" t="s">
        <v>105</v>
      </c>
      <c r="H2143" s="1">
        <f t="shared" si="483"/>
        <v>49</v>
      </c>
      <c r="I2143" s="1" t="str">
        <f t="shared" si="481"/>
        <v>='C:\Users\jaime.benazar\Quorum Business Solutions\Ecopetrol Prometeo - Documents\Planning Space Implementation\3. Analysis &amp; Design\Design\FC22\DRR Jaime\Neiva CPI\[VAO_DINA TERCIARIOS_CF_SEC_20230117.xlsx]CF PNP'!$CT$49</v>
      </c>
      <c r="J2143" s="1" t="s">
        <v>1107</v>
      </c>
    </row>
    <row r="2144" spans="1:10" x14ac:dyDescent="0.3">
      <c r="A2144" s="6" t="s">
        <v>15</v>
      </c>
      <c r="B2144" s="6">
        <f>+B2143+1</f>
        <v>2037</v>
      </c>
      <c r="C2144" s="1" t="s">
        <v>49</v>
      </c>
      <c r="D2144" s="2" t="s">
        <v>131</v>
      </c>
      <c r="E2144" s="9" t="str">
        <f t="shared" si="480"/>
        <v>PNP'!</v>
      </c>
      <c r="F2144" s="5" t="str">
        <f t="shared" si="491"/>
        <v>C:\Users\jaime.benazar\Quorum Business Solutions\Ecopetrol Prometeo - Documents\Planning Space Implementation\3. Analysis &amp; Design\Design\FC22\DRR Jaime\Neiva CPI\[VAO_DINA TERCIARIOS_CF_SEC_20230117.xlsx]CF PNP'!</v>
      </c>
      <c r="G2144" s="6" t="s">
        <v>105</v>
      </c>
      <c r="H2144" s="1">
        <f t="shared" si="483"/>
        <v>50</v>
      </c>
      <c r="I2144" s="1" t="str">
        <f t="shared" si="481"/>
        <v>='C:\Users\jaime.benazar\Quorum Business Solutions\Ecopetrol Prometeo - Documents\Planning Space Implementation\3. Analysis &amp; Design\Design\FC22\DRR Jaime\Neiva CPI\[VAO_DINA TERCIARIOS_CF_SEC_20230117.xlsx]CF PNP'!$CT$50</v>
      </c>
      <c r="J2144" s="1" t="s">
        <v>1108</v>
      </c>
    </row>
    <row r="2145" spans="1:10" x14ac:dyDescent="0.3">
      <c r="A2145" s="6" t="s">
        <v>15</v>
      </c>
      <c r="B2145" s="6">
        <f t="shared" ref="B2145:B2147" si="493">+B2144+1</f>
        <v>2038</v>
      </c>
      <c r="C2145" s="1" t="s">
        <v>49</v>
      </c>
      <c r="D2145" s="2" t="s">
        <v>131</v>
      </c>
      <c r="E2145" s="9" t="str">
        <f t="shared" si="480"/>
        <v>PNP'!</v>
      </c>
      <c r="F2145" s="5" t="str">
        <f t="shared" si="491"/>
        <v>C:\Users\jaime.benazar\Quorum Business Solutions\Ecopetrol Prometeo - Documents\Planning Space Implementation\3. Analysis &amp; Design\Design\FC22\DRR Jaime\Neiva CPI\[VAO_DINA TERCIARIOS_CF_SEC_20230117.xlsx]CF PNP'!</v>
      </c>
      <c r="G2145" s="6" t="s">
        <v>105</v>
      </c>
      <c r="H2145" s="1">
        <f t="shared" si="483"/>
        <v>51</v>
      </c>
      <c r="I2145" s="1" t="str">
        <f t="shared" si="481"/>
        <v>='C:\Users\jaime.benazar\Quorum Business Solutions\Ecopetrol Prometeo - Documents\Planning Space Implementation\3. Analysis &amp; Design\Design\FC22\DRR Jaime\Neiva CPI\[VAO_DINA TERCIARIOS_CF_SEC_20230117.xlsx]CF PNP'!$CT$51</v>
      </c>
      <c r="J2145" s="1" t="s">
        <v>1109</v>
      </c>
    </row>
    <row r="2146" spans="1:10" x14ac:dyDescent="0.3">
      <c r="A2146" s="6" t="s">
        <v>15</v>
      </c>
      <c r="B2146" s="6">
        <f t="shared" si="493"/>
        <v>2039</v>
      </c>
      <c r="C2146" s="1" t="s">
        <v>49</v>
      </c>
      <c r="D2146" s="2" t="s">
        <v>131</v>
      </c>
      <c r="E2146" s="9" t="str">
        <f t="shared" si="480"/>
        <v>PNP'!</v>
      </c>
      <c r="F2146" s="5" t="str">
        <f t="shared" si="491"/>
        <v>C:\Users\jaime.benazar\Quorum Business Solutions\Ecopetrol Prometeo - Documents\Planning Space Implementation\3. Analysis &amp; Design\Design\FC22\DRR Jaime\Neiva CPI\[VAO_DINA TERCIARIOS_CF_SEC_20230117.xlsx]CF PNP'!</v>
      </c>
      <c r="G2146" s="6" t="s">
        <v>105</v>
      </c>
      <c r="H2146" s="1">
        <f t="shared" si="483"/>
        <v>52</v>
      </c>
      <c r="I2146" s="1" t="str">
        <f t="shared" si="481"/>
        <v>='C:\Users\jaime.benazar\Quorum Business Solutions\Ecopetrol Prometeo - Documents\Planning Space Implementation\3. Analysis &amp; Design\Design\FC22\DRR Jaime\Neiva CPI\[VAO_DINA TERCIARIOS_CF_SEC_20230117.xlsx]CF PNP'!$CT$52</v>
      </c>
      <c r="J2146" s="1" t="s">
        <v>1110</v>
      </c>
    </row>
    <row r="2147" spans="1:10" x14ac:dyDescent="0.3">
      <c r="A2147" s="6" t="s">
        <v>15</v>
      </c>
      <c r="B2147" s="6">
        <f t="shared" si="493"/>
        <v>2040</v>
      </c>
      <c r="C2147" s="1" t="s">
        <v>49</v>
      </c>
      <c r="D2147" s="2" t="s">
        <v>131</v>
      </c>
      <c r="E2147" s="9" t="str">
        <f t="shared" si="480"/>
        <v>PNP'!</v>
      </c>
      <c r="F2147" s="5" t="str">
        <f t="shared" si="491"/>
        <v>C:\Users\jaime.benazar\Quorum Business Solutions\Ecopetrol Prometeo - Documents\Planning Space Implementation\3. Analysis &amp; Design\Design\FC22\DRR Jaime\Neiva CPI\[VAO_DINA TERCIARIOS_CF_SEC_20230117.xlsx]CF PNP'!</v>
      </c>
      <c r="G2147" s="6" t="s">
        <v>105</v>
      </c>
      <c r="H2147" s="1">
        <f t="shared" si="483"/>
        <v>53</v>
      </c>
      <c r="I2147" s="1" t="str">
        <f t="shared" si="481"/>
        <v>='C:\Users\jaime.benazar\Quorum Business Solutions\Ecopetrol Prometeo - Documents\Planning Space Implementation\3. Analysis &amp; Design\Design\FC22\DRR Jaime\Neiva CPI\[VAO_DINA TERCIARIOS_CF_SEC_20230117.xlsx]CF PNP'!$CT$53</v>
      </c>
      <c r="J2147" s="1" t="s">
        <v>1111</v>
      </c>
    </row>
    <row r="2148" spans="1:10" x14ac:dyDescent="0.3">
      <c r="A2148" s="6" t="s">
        <v>15</v>
      </c>
      <c r="B2148" s="6">
        <f>+B2147+1</f>
        <v>2041</v>
      </c>
      <c r="C2148" s="1" t="s">
        <v>49</v>
      </c>
      <c r="D2148" s="2" t="s">
        <v>131</v>
      </c>
      <c r="E2148" s="9" t="str">
        <f t="shared" si="480"/>
        <v>PNP'!</v>
      </c>
      <c r="F2148" s="5" t="str">
        <f t="shared" si="491"/>
        <v>C:\Users\jaime.benazar\Quorum Business Solutions\Ecopetrol Prometeo - Documents\Planning Space Implementation\3. Analysis &amp; Design\Design\FC22\DRR Jaime\Neiva CPI\[VAO_DINA TERCIARIOS_CF_SEC_20230117.xlsx]CF PNP'!</v>
      </c>
      <c r="G2148" s="6" t="s">
        <v>105</v>
      </c>
      <c r="H2148" s="1">
        <f t="shared" si="483"/>
        <v>54</v>
      </c>
      <c r="I2148" s="1" t="str">
        <f t="shared" si="481"/>
        <v>='C:\Users\jaime.benazar\Quorum Business Solutions\Ecopetrol Prometeo - Documents\Planning Space Implementation\3. Analysis &amp; Design\Design\FC22\DRR Jaime\Neiva CPI\[VAO_DINA TERCIARIOS_CF_SEC_20230117.xlsx]CF PNP'!$CT$54</v>
      </c>
      <c r="J2148" s="1" t="s">
        <v>1112</v>
      </c>
    </row>
    <row r="2149" spans="1:10" x14ac:dyDescent="0.3">
      <c r="A2149" s="6" t="s">
        <v>15</v>
      </c>
      <c r="B2149" s="6">
        <f t="shared" ref="B2149:B2150" si="494">+B2148+1</f>
        <v>2042</v>
      </c>
      <c r="C2149" s="1" t="s">
        <v>49</v>
      </c>
      <c r="D2149" s="2" t="s">
        <v>131</v>
      </c>
      <c r="E2149" s="9" t="str">
        <f t="shared" si="480"/>
        <v>PNP'!</v>
      </c>
      <c r="F2149" s="5" t="str">
        <f t="shared" si="491"/>
        <v>C:\Users\jaime.benazar\Quorum Business Solutions\Ecopetrol Prometeo - Documents\Planning Space Implementation\3. Analysis &amp; Design\Design\FC22\DRR Jaime\Neiva CPI\[VAO_DINA TERCIARIOS_CF_SEC_20230117.xlsx]CF PNP'!</v>
      </c>
      <c r="G2149" s="6" t="s">
        <v>105</v>
      </c>
      <c r="H2149" s="1">
        <f t="shared" si="483"/>
        <v>55</v>
      </c>
      <c r="I2149" s="1" t="str">
        <f t="shared" si="481"/>
        <v>='C:\Users\jaime.benazar\Quorum Business Solutions\Ecopetrol Prometeo - Documents\Planning Space Implementation\3. Analysis &amp; Design\Design\FC22\DRR Jaime\Neiva CPI\[VAO_DINA TERCIARIOS_CF_SEC_20230117.xlsx]CF PNP'!$CT$55</v>
      </c>
      <c r="J2149" s="1" t="s">
        <v>1113</v>
      </c>
    </row>
    <row r="2150" spans="1:10" x14ac:dyDescent="0.3">
      <c r="A2150" s="6" t="s">
        <v>15</v>
      </c>
      <c r="B2150" s="6">
        <f t="shared" si="494"/>
        <v>2043</v>
      </c>
      <c r="C2150" s="1" t="s">
        <v>49</v>
      </c>
      <c r="D2150" s="2" t="s">
        <v>131</v>
      </c>
      <c r="E2150" s="9" t="str">
        <f t="shared" si="480"/>
        <v>PNP'!</v>
      </c>
      <c r="F2150" s="5" t="str">
        <f t="shared" si="491"/>
        <v>C:\Users\jaime.benazar\Quorum Business Solutions\Ecopetrol Prometeo - Documents\Planning Space Implementation\3. Analysis &amp; Design\Design\FC22\DRR Jaime\Neiva CPI\[VAO_DINA TERCIARIOS_CF_SEC_20230117.xlsx]CF PNP'!</v>
      </c>
      <c r="G2150" s="6" t="s">
        <v>105</v>
      </c>
      <c r="H2150" s="1">
        <f t="shared" si="483"/>
        <v>56</v>
      </c>
      <c r="I2150" s="1" t="str">
        <f t="shared" si="481"/>
        <v>='C:\Users\jaime.benazar\Quorum Business Solutions\Ecopetrol Prometeo - Documents\Planning Space Implementation\3. Analysis &amp; Design\Design\FC22\DRR Jaime\Neiva CPI\[VAO_DINA TERCIARIOS_CF_SEC_20230117.xlsx]CF PNP'!$CT$56</v>
      </c>
      <c r="J2150" s="1" t="s">
        <v>1114</v>
      </c>
    </row>
    <row r="2151" spans="1:10" x14ac:dyDescent="0.3">
      <c r="A2151" s="6" t="s">
        <v>15</v>
      </c>
      <c r="B2151" s="6">
        <f>+B2150+1</f>
        <v>2044</v>
      </c>
      <c r="C2151" s="1" t="s">
        <v>49</v>
      </c>
      <c r="D2151" s="2" t="s">
        <v>131</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Jaime\Neiva CPI\[VAO_DINA TERCIARIOS_CF_SEC_20230117.xlsx]CF PNP'!</v>
      </c>
      <c r="G2151" s="6" t="s">
        <v>105</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Jaime\Neiva CPI\[VAO_DINA TERCIARIOS_CF_SEC_20230117.xlsx]CF PNP'!$CT$57</v>
      </c>
      <c r="J2151" s="1" t="s">
        <v>1115</v>
      </c>
    </row>
    <row r="2152" spans="1:10" x14ac:dyDescent="0.3">
      <c r="A2152" s="6" t="s">
        <v>15</v>
      </c>
      <c r="B2152" s="6">
        <f t="shared" ref="B2152:B2166" si="499">+B2151+1</f>
        <v>2045</v>
      </c>
      <c r="C2152" s="1" t="s">
        <v>49</v>
      </c>
      <c r="D2152" s="2" t="s">
        <v>131</v>
      </c>
      <c r="E2152" s="9" t="str">
        <f t="shared" si="495"/>
        <v>PNP'!</v>
      </c>
      <c r="F2152" s="5" t="str">
        <f t="shared" si="496"/>
        <v>C:\Users\jaime.benazar\Quorum Business Solutions\Ecopetrol Prometeo - Documents\Planning Space Implementation\3. Analysis &amp; Design\Design\FC22\DRR Jaime\Neiva CPI\[VAO_DINA TERCIARIOS_CF_SEC_20230117.xlsx]CF PNP'!</v>
      </c>
      <c r="G2152" s="6" t="s">
        <v>105</v>
      </c>
      <c r="H2152" s="1">
        <f t="shared" si="497"/>
        <v>58</v>
      </c>
      <c r="I2152" s="1" t="str">
        <f t="shared" si="498"/>
        <v>='C:\Users\jaime.benazar\Quorum Business Solutions\Ecopetrol Prometeo - Documents\Planning Space Implementation\3. Analysis &amp; Design\Design\FC22\DRR Jaime\Neiva CPI\[VAO_DINA TERCIARIOS_CF_SEC_20230117.xlsx]CF PNP'!$CT$58</v>
      </c>
      <c r="J2152" s="1" t="s">
        <v>1116</v>
      </c>
    </row>
    <row r="2153" spans="1:10" x14ac:dyDescent="0.3">
      <c r="A2153" s="6" t="s">
        <v>15</v>
      </c>
      <c r="B2153" s="6">
        <f t="shared" si="499"/>
        <v>2046</v>
      </c>
      <c r="C2153" s="1" t="s">
        <v>49</v>
      </c>
      <c r="D2153" s="2" t="s">
        <v>131</v>
      </c>
      <c r="E2153" s="9" t="str">
        <f t="shared" si="495"/>
        <v>PNP'!</v>
      </c>
      <c r="F2153" s="5" t="str">
        <f t="shared" si="496"/>
        <v>C:\Users\jaime.benazar\Quorum Business Solutions\Ecopetrol Prometeo - Documents\Planning Space Implementation\3. Analysis &amp; Design\Design\FC22\DRR Jaime\Neiva CPI\[VAO_DINA TERCIARIOS_CF_SEC_20230117.xlsx]CF PNP'!</v>
      </c>
      <c r="G2153" s="6" t="s">
        <v>105</v>
      </c>
      <c r="H2153" s="1">
        <f t="shared" si="497"/>
        <v>59</v>
      </c>
      <c r="I2153" s="1" t="str">
        <f t="shared" si="498"/>
        <v>='C:\Users\jaime.benazar\Quorum Business Solutions\Ecopetrol Prometeo - Documents\Planning Space Implementation\3. Analysis &amp; Design\Design\FC22\DRR Jaime\Neiva CPI\[VAO_DINA TERCIARIOS_CF_SEC_20230117.xlsx]CF PNP'!$CT$59</v>
      </c>
      <c r="J2153" s="1" t="s">
        <v>1117</v>
      </c>
    </row>
    <row r="2154" spans="1:10" x14ac:dyDescent="0.3">
      <c r="A2154" s="6" t="s">
        <v>15</v>
      </c>
      <c r="B2154" s="6">
        <f t="shared" si="499"/>
        <v>2047</v>
      </c>
      <c r="C2154" s="1" t="s">
        <v>49</v>
      </c>
      <c r="D2154" s="2" t="s">
        <v>131</v>
      </c>
      <c r="E2154" s="9" t="str">
        <f t="shared" si="495"/>
        <v>PNP'!</v>
      </c>
      <c r="F2154" s="5" t="str">
        <f t="shared" si="496"/>
        <v>C:\Users\jaime.benazar\Quorum Business Solutions\Ecopetrol Prometeo - Documents\Planning Space Implementation\3. Analysis &amp; Design\Design\FC22\DRR Jaime\Neiva CPI\[VAO_DINA TERCIARIOS_CF_SEC_20230117.xlsx]CF PNP'!</v>
      </c>
      <c r="G2154" s="6" t="s">
        <v>105</v>
      </c>
      <c r="H2154" s="1">
        <f t="shared" si="497"/>
        <v>60</v>
      </c>
      <c r="I2154" s="1" t="str">
        <f t="shared" si="498"/>
        <v>='C:\Users\jaime.benazar\Quorum Business Solutions\Ecopetrol Prometeo - Documents\Planning Space Implementation\3. Analysis &amp; Design\Design\FC22\DRR Jaime\Neiva CPI\[VAO_DINA TERCIARIOS_CF_SEC_20230117.xlsx]CF PNP'!$CT$60</v>
      </c>
      <c r="J2154" s="1" t="s">
        <v>1118</v>
      </c>
    </row>
    <row r="2155" spans="1:10" x14ac:dyDescent="0.3">
      <c r="A2155" s="6" t="s">
        <v>15</v>
      </c>
      <c r="B2155" s="6">
        <f t="shared" si="499"/>
        <v>2048</v>
      </c>
      <c r="C2155" s="1" t="s">
        <v>49</v>
      </c>
      <c r="D2155" s="2" t="s">
        <v>131</v>
      </c>
      <c r="E2155" s="9" t="str">
        <f t="shared" si="495"/>
        <v>PNP'!</v>
      </c>
      <c r="F2155" s="5" t="str">
        <f t="shared" si="496"/>
        <v>C:\Users\jaime.benazar\Quorum Business Solutions\Ecopetrol Prometeo - Documents\Planning Space Implementation\3. Analysis &amp; Design\Design\FC22\DRR Jaime\Neiva CPI\[VAO_DINA TERCIARIOS_CF_SEC_20230117.xlsx]CF PNP'!</v>
      </c>
      <c r="G2155" s="6" t="s">
        <v>105</v>
      </c>
      <c r="H2155" s="1">
        <f t="shared" si="497"/>
        <v>61</v>
      </c>
      <c r="I2155" s="1" t="str">
        <f t="shared" si="498"/>
        <v>='C:\Users\jaime.benazar\Quorum Business Solutions\Ecopetrol Prometeo - Documents\Planning Space Implementation\3. Analysis &amp; Design\Design\FC22\DRR Jaime\Neiva CPI\[VAO_DINA TERCIARIOS_CF_SEC_20230117.xlsx]CF PNP'!$CT$61</v>
      </c>
      <c r="J2155" s="1" t="s">
        <v>1119</v>
      </c>
    </row>
    <row r="2156" spans="1:10" x14ac:dyDescent="0.3">
      <c r="A2156" s="6" t="s">
        <v>15</v>
      </c>
      <c r="B2156" s="6">
        <f t="shared" si="499"/>
        <v>2049</v>
      </c>
      <c r="C2156" s="1" t="s">
        <v>49</v>
      </c>
      <c r="D2156" s="2" t="s">
        <v>131</v>
      </c>
      <c r="E2156" s="9" t="str">
        <f t="shared" si="495"/>
        <v>PNP'!</v>
      </c>
      <c r="F2156" s="5" t="str">
        <f t="shared" si="496"/>
        <v>C:\Users\jaime.benazar\Quorum Business Solutions\Ecopetrol Prometeo - Documents\Planning Space Implementation\3. Analysis &amp; Design\Design\FC22\DRR Jaime\Neiva CPI\[VAO_DINA TERCIARIOS_CF_SEC_20230117.xlsx]CF PNP'!</v>
      </c>
      <c r="G2156" s="6" t="s">
        <v>105</v>
      </c>
      <c r="H2156" s="1">
        <f t="shared" si="497"/>
        <v>62</v>
      </c>
      <c r="I2156" s="1" t="str">
        <f t="shared" si="498"/>
        <v>='C:\Users\jaime.benazar\Quorum Business Solutions\Ecopetrol Prometeo - Documents\Planning Space Implementation\3. Analysis &amp; Design\Design\FC22\DRR Jaime\Neiva CPI\[VAO_DINA TERCIARIOS_CF_SEC_20230117.xlsx]CF PNP'!$CT$62</v>
      </c>
      <c r="J2156" s="1" t="s">
        <v>1120</v>
      </c>
    </row>
    <row r="2157" spans="1:10" x14ac:dyDescent="0.3">
      <c r="A2157" s="6" t="s">
        <v>15</v>
      </c>
      <c r="B2157" s="6">
        <f t="shared" si="499"/>
        <v>2050</v>
      </c>
      <c r="C2157" s="1" t="s">
        <v>49</v>
      </c>
      <c r="D2157" s="2" t="s">
        <v>131</v>
      </c>
      <c r="E2157" s="9" t="str">
        <f t="shared" si="495"/>
        <v>PNP'!</v>
      </c>
      <c r="F2157" s="5" t="str">
        <f t="shared" si="496"/>
        <v>C:\Users\jaime.benazar\Quorum Business Solutions\Ecopetrol Prometeo - Documents\Planning Space Implementation\3. Analysis &amp; Design\Design\FC22\DRR Jaime\Neiva CPI\[VAO_DINA TERCIARIOS_CF_SEC_20230117.xlsx]CF PNP'!</v>
      </c>
      <c r="G2157" s="6" t="s">
        <v>105</v>
      </c>
      <c r="H2157" s="1">
        <f t="shared" si="497"/>
        <v>63</v>
      </c>
      <c r="I2157" s="1" t="str">
        <f t="shared" si="498"/>
        <v>='C:\Users\jaime.benazar\Quorum Business Solutions\Ecopetrol Prometeo - Documents\Planning Space Implementation\3. Analysis &amp; Design\Design\FC22\DRR Jaime\Neiva CPI\[VAO_DINA TERCIARIOS_CF_SEC_20230117.xlsx]CF PNP'!$CT$63</v>
      </c>
      <c r="J2157" s="1" t="s">
        <v>1121</v>
      </c>
    </row>
    <row r="2158" spans="1:10" x14ac:dyDescent="0.3">
      <c r="A2158" s="6" t="s">
        <v>15</v>
      </c>
      <c r="B2158" s="6">
        <f t="shared" si="499"/>
        <v>2051</v>
      </c>
      <c r="C2158" s="1" t="s">
        <v>49</v>
      </c>
      <c r="D2158" s="2" t="s">
        <v>131</v>
      </c>
      <c r="E2158" s="9" t="str">
        <f t="shared" si="495"/>
        <v>PNP'!</v>
      </c>
      <c r="F2158" s="5" t="str">
        <f t="shared" si="496"/>
        <v>C:\Users\jaime.benazar\Quorum Business Solutions\Ecopetrol Prometeo - Documents\Planning Space Implementation\3. Analysis &amp; Design\Design\FC22\DRR Jaime\Neiva CPI\[VAO_DINA TERCIARIOS_CF_SEC_20230117.xlsx]CF PNP'!</v>
      </c>
      <c r="G2158" s="6" t="s">
        <v>105</v>
      </c>
      <c r="H2158" s="1">
        <f t="shared" si="497"/>
        <v>64</v>
      </c>
      <c r="I2158" s="1" t="str">
        <f t="shared" si="498"/>
        <v>='C:\Users\jaime.benazar\Quorum Business Solutions\Ecopetrol Prometeo - Documents\Planning Space Implementation\3. Analysis &amp; Design\Design\FC22\DRR Jaime\Neiva CPI\[VAO_DINA TERCIARIOS_CF_SEC_20230117.xlsx]CF PNP'!$CT$64</v>
      </c>
      <c r="J2158" s="1" t="s">
        <v>1122</v>
      </c>
    </row>
    <row r="2159" spans="1:10" x14ac:dyDescent="0.3">
      <c r="A2159" s="6" t="s">
        <v>15</v>
      </c>
      <c r="B2159" s="6">
        <f t="shared" si="499"/>
        <v>2052</v>
      </c>
      <c r="C2159" s="1" t="s">
        <v>49</v>
      </c>
      <c r="D2159" s="2" t="s">
        <v>131</v>
      </c>
      <c r="E2159" s="9" t="str">
        <f t="shared" si="495"/>
        <v>PNP'!</v>
      </c>
      <c r="F2159" s="5" t="str">
        <f t="shared" si="496"/>
        <v>C:\Users\jaime.benazar\Quorum Business Solutions\Ecopetrol Prometeo - Documents\Planning Space Implementation\3. Analysis &amp; Design\Design\FC22\DRR Jaime\Neiva CPI\[VAO_DINA TERCIARIOS_CF_SEC_20230117.xlsx]CF PNP'!</v>
      </c>
      <c r="G2159" s="6" t="s">
        <v>105</v>
      </c>
      <c r="H2159" s="1">
        <f t="shared" si="497"/>
        <v>65</v>
      </c>
      <c r="I2159" s="1" t="str">
        <f t="shared" si="498"/>
        <v>='C:\Users\jaime.benazar\Quorum Business Solutions\Ecopetrol Prometeo - Documents\Planning Space Implementation\3. Analysis &amp; Design\Design\FC22\DRR Jaime\Neiva CPI\[VAO_DINA TERCIARIOS_CF_SEC_20230117.xlsx]CF PNP'!$CT$65</v>
      </c>
      <c r="J2159" s="1" t="s">
        <v>1123</v>
      </c>
    </row>
    <row r="2160" spans="1:10" x14ac:dyDescent="0.3">
      <c r="A2160" s="6" t="s">
        <v>15</v>
      </c>
      <c r="B2160" s="6">
        <f t="shared" si="499"/>
        <v>2053</v>
      </c>
      <c r="C2160" s="1" t="s">
        <v>49</v>
      </c>
      <c r="D2160" s="2" t="s">
        <v>131</v>
      </c>
      <c r="E2160" s="9" t="str">
        <f t="shared" si="495"/>
        <v>PNP'!</v>
      </c>
      <c r="F2160" s="5" t="str">
        <f t="shared" si="496"/>
        <v>C:\Users\jaime.benazar\Quorum Business Solutions\Ecopetrol Prometeo - Documents\Planning Space Implementation\3. Analysis &amp; Design\Design\FC22\DRR Jaime\Neiva CPI\[VAO_DINA TERCIARIOS_CF_SEC_20230117.xlsx]CF PNP'!</v>
      </c>
      <c r="G2160" s="6" t="s">
        <v>105</v>
      </c>
      <c r="H2160" s="1">
        <f t="shared" si="497"/>
        <v>66</v>
      </c>
      <c r="I2160" s="1" t="str">
        <f t="shared" si="498"/>
        <v>='C:\Users\jaime.benazar\Quorum Business Solutions\Ecopetrol Prometeo - Documents\Planning Space Implementation\3. Analysis &amp; Design\Design\FC22\DRR Jaime\Neiva CPI\[VAO_DINA TERCIARIOS_CF_SEC_20230117.xlsx]CF PNP'!$CT$66</v>
      </c>
      <c r="J2160" s="1" t="s">
        <v>1124</v>
      </c>
    </row>
    <row r="2161" spans="1:10" x14ac:dyDescent="0.3">
      <c r="A2161" s="6" t="s">
        <v>15</v>
      </c>
      <c r="B2161" s="6">
        <f t="shared" si="499"/>
        <v>2054</v>
      </c>
      <c r="C2161" s="1" t="s">
        <v>49</v>
      </c>
      <c r="D2161" s="2" t="s">
        <v>131</v>
      </c>
      <c r="E2161" s="9" t="str">
        <f t="shared" si="495"/>
        <v>PNP'!</v>
      </c>
      <c r="F2161" s="5" t="str">
        <f t="shared" si="496"/>
        <v>C:\Users\jaime.benazar\Quorum Business Solutions\Ecopetrol Prometeo - Documents\Planning Space Implementation\3. Analysis &amp; Design\Design\FC22\DRR Jaime\Neiva CPI\[VAO_DINA TERCIARIOS_CF_SEC_20230117.xlsx]CF PNP'!</v>
      </c>
      <c r="G2161" s="6" t="s">
        <v>105</v>
      </c>
      <c r="H2161" s="1">
        <f t="shared" si="497"/>
        <v>67</v>
      </c>
      <c r="I2161" s="1" t="str">
        <f t="shared" si="498"/>
        <v>='C:\Users\jaime.benazar\Quorum Business Solutions\Ecopetrol Prometeo - Documents\Planning Space Implementation\3. Analysis &amp; Design\Design\FC22\DRR Jaime\Neiva CPI\[VAO_DINA TERCIARIOS_CF_SEC_20230117.xlsx]CF PNP'!$CT$67</v>
      </c>
      <c r="J2161" s="1" t="s">
        <v>1125</v>
      </c>
    </row>
    <row r="2162" spans="1:10" x14ac:dyDescent="0.3">
      <c r="A2162" s="6" t="s">
        <v>15</v>
      </c>
      <c r="B2162" s="6">
        <f t="shared" si="499"/>
        <v>2055</v>
      </c>
      <c r="C2162" s="1" t="s">
        <v>49</v>
      </c>
      <c r="D2162" s="2" t="s">
        <v>131</v>
      </c>
      <c r="E2162" s="9" t="str">
        <f t="shared" si="495"/>
        <v>PNP'!</v>
      </c>
      <c r="F2162" s="5" t="str">
        <f t="shared" si="496"/>
        <v>C:\Users\jaime.benazar\Quorum Business Solutions\Ecopetrol Prometeo - Documents\Planning Space Implementation\3. Analysis &amp; Design\Design\FC22\DRR Jaime\Neiva CPI\[VAO_DINA TERCIARIOS_CF_SEC_20230117.xlsx]CF PNP'!</v>
      </c>
      <c r="G2162" s="6" t="s">
        <v>105</v>
      </c>
      <c r="H2162" s="1">
        <f t="shared" si="497"/>
        <v>68</v>
      </c>
      <c r="I2162" s="1" t="str">
        <f t="shared" si="498"/>
        <v>='C:\Users\jaime.benazar\Quorum Business Solutions\Ecopetrol Prometeo - Documents\Planning Space Implementation\3. Analysis &amp; Design\Design\FC22\DRR Jaime\Neiva CPI\[VAO_DINA TERCIARIOS_CF_SEC_20230117.xlsx]CF PNP'!$CT$68</v>
      </c>
      <c r="J2162" s="1" t="s">
        <v>1126</v>
      </c>
    </row>
    <row r="2163" spans="1:10" x14ac:dyDescent="0.3">
      <c r="A2163" s="6" t="s">
        <v>15</v>
      </c>
      <c r="B2163" s="6">
        <f t="shared" si="499"/>
        <v>2056</v>
      </c>
      <c r="C2163" s="1" t="s">
        <v>49</v>
      </c>
      <c r="D2163" s="2" t="s">
        <v>131</v>
      </c>
      <c r="E2163" s="9" t="str">
        <f t="shared" si="495"/>
        <v>PNP'!</v>
      </c>
      <c r="F2163" s="5" t="str">
        <f t="shared" si="496"/>
        <v>C:\Users\jaime.benazar\Quorum Business Solutions\Ecopetrol Prometeo - Documents\Planning Space Implementation\3. Analysis &amp; Design\Design\FC22\DRR Jaime\Neiva CPI\[VAO_DINA TERCIARIOS_CF_SEC_20230117.xlsx]CF PNP'!</v>
      </c>
      <c r="G2163" s="6" t="s">
        <v>105</v>
      </c>
      <c r="H2163" s="1">
        <f t="shared" si="497"/>
        <v>69</v>
      </c>
      <c r="I2163" s="1" t="str">
        <f t="shared" si="498"/>
        <v>='C:\Users\jaime.benazar\Quorum Business Solutions\Ecopetrol Prometeo - Documents\Planning Space Implementation\3. Analysis &amp; Design\Design\FC22\DRR Jaime\Neiva CPI\[VAO_DINA TERCIARIOS_CF_SEC_20230117.xlsx]CF PNP'!$CT$69</v>
      </c>
      <c r="J2163" s="1" t="s">
        <v>1127</v>
      </c>
    </row>
    <row r="2164" spans="1:10" x14ac:dyDescent="0.3">
      <c r="A2164" s="6" t="s">
        <v>15</v>
      </c>
      <c r="B2164" s="6">
        <f t="shared" si="499"/>
        <v>2057</v>
      </c>
      <c r="C2164" s="1" t="s">
        <v>49</v>
      </c>
      <c r="D2164" s="2" t="s">
        <v>131</v>
      </c>
      <c r="E2164" s="9" t="str">
        <f t="shared" si="495"/>
        <v>PNP'!</v>
      </c>
      <c r="F2164" s="5" t="str">
        <f t="shared" si="496"/>
        <v>C:\Users\jaime.benazar\Quorum Business Solutions\Ecopetrol Prometeo - Documents\Planning Space Implementation\3. Analysis &amp; Design\Design\FC22\DRR Jaime\Neiva CPI\[VAO_DINA TERCIARIOS_CF_SEC_20230117.xlsx]CF PNP'!</v>
      </c>
      <c r="G2164" s="6" t="s">
        <v>105</v>
      </c>
      <c r="H2164" s="1">
        <f t="shared" si="497"/>
        <v>70</v>
      </c>
      <c r="I2164" s="1" t="str">
        <f t="shared" si="498"/>
        <v>='C:\Users\jaime.benazar\Quorum Business Solutions\Ecopetrol Prometeo - Documents\Planning Space Implementation\3. Analysis &amp; Design\Design\FC22\DRR Jaime\Neiva CPI\[VAO_DINA TERCIARIOS_CF_SEC_20230117.xlsx]CF PNP'!$CT$70</v>
      </c>
      <c r="J2164" s="1" t="s">
        <v>1128</v>
      </c>
    </row>
    <row r="2165" spans="1:10" x14ac:dyDescent="0.3">
      <c r="A2165" s="6" t="s">
        <v>15</v>
      </c>
      <c r="B2165" s="6">
        <f t="shared" si="499"/>
        <v>2058</v>
      </c>
      <c r="C2165" s="1" t="s">
        <v>49</v>
      </c>
      <c r="D2165" s="2" t="s">
        <v>131</v>
      </c>
      <c r="E2165" s="9" t="str">
        <f t="shared" si="495"/>
        <v>PNP'!</v>
      </c>
      <c r="F2165" s="5" t="str">
        <f t="shared" si="496"/>
        <v>C:\Users\jaime.benazar\Quorum Business Solutions\Ecopetrol Prometeo - Documents\Planning Space Implementation\3. Analysis &amp; Design\Design\FC22\DRR Jaime\Neiva CPI\[VAO_DINA TERCIARIOS_CF_SEC_20230117.xlsx]CF PNP'!</v>
      </c>
      <c r="G2165" s="6" t="s">
        <v>105</v>
      </c>
      <c r="H2165" s="1">
        <f t="shared" si="497"/>
        <v>71</v>
      </c>
      <c r="I2165" s="1" t="str">
        <f t="shared" si="498"/>
        <v>='C:\Users\jaime.benazar\Quorum Business Solutions\Ecopetrol Prometeo - Documents\Planning Space Implementation\3. Analysis &amp; Design\Design\FC22\DRR Jaime\Neiva CPI\[VAO_DINA TERCIARIOS_CF_SEC_20230117.xlsx]CF PNP'!$CT$71</v>
      </c>
      <c r="J2165" s="1" t="s">
        <v>1129</v>
      </c>
    </row>
    <row r="2166" spans="1:10" x14ac:dyDescent="0.3">
      <c r="A2166" s="6" t="s">
        <v>15</v>
      </c>
      <c r="B2166" s="6">
        <f t="shared" si="499"/>
        <v>2059</v>
      </c>
      <c r="C2166" s="1" t="s">
        <v>49</v>
      </c>
      <c r="D2166" s="2" t="s">
        <v>131</v>
      </c>
      <c r="E2166" s="9" t="str">
        <f t="shared" si="495"/>
        <v>PNP'!</v>
      </c>
      <c r="F2166" s="5" t="str">
        <f t="shared" si="496"/>
        <v>C:\Users\jaime.benazar\Quorum Business Solutions\Ecopetrol Prometeo - Documents\Planning Space Implementation\3. Analysis &amp; Design\Design\FC22\DRR Jaime\Neiva CPI\[VAO_DINA TERCIARIOS_CF_SEC_20230117.xlsx]CF PNP'!</v>
      </c>
      <c r="G2166" s="6" t="s">
        <v>105</v>
      </c>
      <c r="H2166" s="1">
        <f t="shared" si="497"/>
        <v>72</v>
      </c>
      <c r="I2166" s="1" t="str">
        <f t="shared" si="498"/>
        <v>='C:\Users\jaime.benazar\Quorum Business Solutions\Ecopetrol Prometeo - Documents\Planning Space Implementation\3. Analysis &amp; Design\Design\FC22\DRR Jaime\Neiva CPI\[VAO_DINA TERCIARIOS_CF_SEC_20230117.xlsx]CF PNP'!$CT$72</v>
      </c>
      <c r="J2166" s="1" t="s">
        <v>1130</v>
      </c>
    </row>
    <row r="2167" spans="1:10" x14ac:dyDescent="0.3">
      <c r="A2167" s="6" t="s">
        <v>26</v>
      </c>
      <c r="B2167" s="6"/>
      <c r="C2167" s="1" t="s">
        <v>49</v>
      </c>
      <c r="D2167" s="2"/>
      <c r="E2167" s="9"/>
      <c r="F2167" s="5"/>
      <c r="G2167" s="6"/>
      <c r="H2167" s="1"/>
      <c r="I2167" s="1"/>
      <c r="J2167" s="4"/>
    </row>
    <row r="2168" spans="1:10" x14ac:dyDescent="0.3">
      <c r="A2168" s="6" t="s">
        <v>16</v>
      </c>
      <c r="B2168" s="6">
        <v>2023</v>
      </c>
      <c r="C2168" s="1" t="s">
        <v>49</v>
      </c>
      <c r="D2168" s="2" t="s">
        <v>131</v>
      </c>
      <c r="E2168" s="9" t="str">
        <f t="shared" si="480"/>
        <v>PND'!</v>
      </c>
      <c r="F2168" s="5" t="str">
        <f t="shared" ref="F2168:F2188" si="500">_xlfn.CONCAT(D2168," ",E2168)</f>
        <v>C:\Users\jaime.benazar\Quorum Business Solutions\Ecopetrol Prometeo - Documents\Planning Space Implementation\3. Analysis &amp; Design\Design\FC22\DRR Jaime\Neiva CPI\[VAO_DINA TERCIARIOS_CF_SEC_20230117.xlsx]CF PND'!</v>
      </c>
      <c r="G2168" s="6" t="s">
        <v>105</v>
      </c>
      <c r="H2168" s="1">
        <f>IF(A2168&lt;&gt;A2152,36,H2152+1)</f>
        <v>36</v>
      </c>
      <c r="I2168" s="1" t="str">
        <f t="shared" si="481"/>
        <v>='C:\Users\jaime.benazar\Quorum Business Solutions\Ecopetrol Prometeo - Documents\Planning Space Implementation\3. Analysis &amp; Design\Design\FC22\DRR Jaime\Neiva CPI\[VAO_DINA TERCIARIOS_CF_SEC_20230117.xlsx]CF PND'!$CT$36</v>
      </c>
      <c r="J2168" s="1" t="s">
        <v>1131</v>
      </c>
    </row>
    <row r="2169" spans="1:10" x14ac:dyDescent="0.3">
      <c r="A2169" s="6" t="s">
        <v>16</v>
      </c>
      <c r="B2169" s="6">
        <f>+B2168+1</f>
        <v>2024</v>
      </c>
      <c r="C2169" s="1" t="s">
        <v>49</v>
      </c>
      <c r="D2169" s="2" t="s">
        <v>131</v>
      </c>
      <c r="E2169" s="9" t="str">
        <f t="shared" si="480"/>
        <v>PND'!</v>
      </c>
      <c r="F2169" s="5" t="str">
        <f t="shared" si="500"/>
        <v>C:\Users\jaime.benazar\Quorum Business Solutions\Ecopetrol Prometeo - Documents\Planning Space Implementation\3. Analysis &amp; Design\Design\FC22\DRR Jaime\Neiva CPI\[VAO_DINA TERCIARIOS_CF_SEC_20230117.xlsx]CF PND'!</v>
      </c>
      <c r="G2169" s="6" t="s">
        <v>105</v>
      </c>
      <c r="H2169" s="1">
        <f t="shared" si="483"/>
        <v>37</v>
      </c>
      <c r="I2169" s="1" t="str">
        <f t="shared" si="481"/>
        <v>='C:\Users\jaime.benazar\Quorum Business Solutions\Ecopetrol Prometeo - Documents\Planning Space Implementation\3. Analysis &amp; Design\Design\FC22\DRR Jaime\Neiva CPI\[VAO_DINA TERCIARIOS_CF_SEC_20230117.xlsx]CF PND'!$CT$37</v>
      </c>
      <c r="J2169" s="1" t="s">
        <v>1132</v>
      </c>
    </row>
    <row r="2170" spans="1:10" x14ac:dyDescent="0.3">
      <c r="A2170" s="6" t="s">
        <v>16</v>
      </c>
      <c r="B2170" s="6">
        <f t="shared" ref="B2170:B2181" si="501">+B2169+1</f>
        <v>2025</v>
      </c>
      <c r="C2170" s="1" t="s">
        <v>49</v>
      </c>
      <c r="D2170" s="2" t="s">
        <v>131</v>
      </c>
      <c r="E2170" s="9" t="str">
        <f t="shared" si="480"/>
        <v>PND'!</v>
      </c>
      <c r="F2170" s="5" t="str">
        <f t="shared" si="500"/>
        <v>C:\Users\jaime.benazar\Quorum Business Solutions\Ecopetrol Prometeo - Documents\Planning Space Implementation\3. Analysis &amp; Design\Design\FC22\DRR Jaime\Neiva CPI\[VAO_DINA TERCIARIOS_CF_SEC_20230117.xlsx]CF PND'!</v>
      </c>
      <c r="G2170" s="6" t="s">
        <v>105</v>
      </c>
      <c r="H2170" s="1">
        <f t="shared" si="483"/>
        <v>38</v>
      </c>
      <c r="I2170" s="1" t="str">
        <f t="shared" si="481"/>
        <v>='C:\Users\jaime.benazar\Quorum Business Solutions\Ecopetrol Prometeo - Documents\Planning Space Implementation\3. Analysis &amp; Design\Design\FC22\DRR Jaime\Neiva CPI\[VAO_DINA TERCIARIOS_CF_SEC_20230117.xlsx]CF PND'!$CT$38</v>
      </c>
      <c r="J2170" s="1" t="s">
        <v>1133</v>
      </c>
    </row>
    <row r="2171" spans="1:10" x14ac:dyDescent="0.3">
      <c r="A2171" s="6" t="s">
        <v>16</v>
      </c>
      <c r="B2171" s="6">
        <f t="shared" si="501"/>
        <v>2026</v>
      </c>
      <c r="C2171" s="1" t="s">
        <v>49</v>
      </c>
      <c r="D2171" s="2" t="s">
        <v>131</v>
      </c>
      <c r="E2171" s="9" t="str">
        <f t="shared" si="480"/>
        <v>PND'!</v>
      </c>
      <c r="F2171" s="5" t="str">
        <f t="shared" si="500"/>
        <v>C:\Users\jaime.benazar\Quorum Business Solutions\Ecopetrol Prometeo - Documents\Planning Space Implementation\3. Analysis &amp; Design\Design\FC22\DRR Jaime\Neiva CPI\[VAO_DINA TERCIARIOS_CF_SEC_20230117.xlsx]CF PND'!</v>
      </c>
      <c r="G2171" s="6" t="s">
        <v>105</v>
      </c>
      <c r="H2171" s="1">
        <f t="shared" si="483"/>
        <v>39</v>
      </c>
      <c r="I2171" s="1" t="str">
        <f t="shared" si="481"/>
        <v>='C:\Users\jaime.benazar\Quorum Business Solutions\Ecopetrol Prometeo - Documents\Planning Space Implementation\3. Analysis &amp; Design\Design\FC22\DRR Jaime\Neiva CPI\[VAO_DINA TERCIARIOS_CF_SEC_20230117.xlsx]CF PND'!$CT$39</v>
      </c>
      <c r="J2171" s="1" t="s">
        <v>1134</v>
      </c>
    </row>
    <row r="2172" spans="1:10" x14ac:dyDescent="0.3">
      <c r="A2172" s="6" t="s">
        <v>16</v>
      </c>
      <c r="B2172" s="6">
        <f t="shared" si="501"/>
        <v>2027</v>
      </c>
      <c r="C2172" s="1" t="s">
        <v>49</v>
      </c>
      <c r="D2172" s="2" t="s">
        <v>131</v>
      </c>
      <c r="E2172" s="9" t="str">
        <f t="shared" si="480"/>
        <v>PND'!</v>
      </c>
      <c r="F2172" s="5" t="str">
        <f t="shared" si="500"/>
        <v>C:\Users\jaime.benazar\Quorum Business Solutions\Ecopetrol Prometeo - Documents\Planning Space Implementation\3. Analysis &amp; Design\Design\FC22\DRR Jaime\Neiva CPI\[VAO_DINA TERCIARIOS_CF_SEC_20230117.xlsx]CF PND'!</v>
      </c>
      <c r="G2172" s="6" t="s">
        <v>105</v>
      </c>
      <c r="H2172" s="1">
        <f t="shared" si="483"/>
        <v>40</v>
      </c>
      <c r="I2172" s="1" t="str">
        <f t="shared" si="481"/>
        <v>='C:\Users\jaime.benazar\Quorum Business Solutions\Ecopetrol Prometeo - Documents\Planning Space Implementation\3. Analysis &amp; Design\Design\FC22\DRR Jaime\Neiva CPI\[VAO_DINA TERCIARIOS_CF_SEC_20230117.xlsx]CF PND'!$CT$40</v>
      </c>
      <c r="J2172" s="1" t="s">
        <v>1135</v>
      </c>
    </row>
    <row r="2173" spans="1:10" x14ac:dyDescent="0.3">
      <c r="A2173" s="6" t="s">
        <v>16</v>
      </c>
      <c r="B2173" s="6">
        <f t="shared" si="501"/>
        <v>2028</v>
      </c>
      <c r="C2173" s="1" t="s">
        <v>49</v>
      </c>
      <c r="D2173" s="2" t="s">
        <v>131</v>
      </c>
      <c r="E2173" s="9" t="str">
        <f t="shared" si="480"/>
        <v>PND'!</v>
      </c>
      <c r="F2173" s="5" t="str">
        <f t="shared" si="500"/>
        <v>C:\Users\jaime.benazar\Quorum Business Solutions\Ecopetrol Prometeo - Documents\Planning Space Implementation\3. Analysis &amp; Design\Design\FC22\DRR Jaime\Neiva CPI\[VAO_DINA TERCIARIOS_CF_SEC_20230117.xlsx]CF PND'!</v>
      </c>
      <c r="G2173" s="6" t="s">
        <v>105</v>
      </c>
      <c r="H2173" s="1">
        <f t="shared" si="483"/>
        <v>41</v>
      </c>
      <c r="I2173" s="1" t="str">
        <f t="shared" si="481"/>
        <v>='C:\Users\jaime.benazar\Quorum Business Solutions\Ecopetrol Prometeo - Documents\Planning Space Implementation\3. Analysis &amp; Design\Design\FC22\DRR Jaime\Neiva CPI\[VAO_DINA TERCIARIOS_CF_SEC_20230117.xlsx]CF PND'!$CT$41</v>
      </c>
      <c r="J2173" s="1" t="s">
        <v>1136</v>
      </c>
    </row>
    <row r="2174" spans="1:10" x14ac:dyDescent="0.3">
      <c r="A2174" s="6" t="s">
        <v>16</v>
      </c>
      <c r="B2174" s="6">
        <f t="shared" si="501"/>
        <v>2029</v>
      </c>
      <c r="C2174" s="1" t="s">
        <v>49</v>
      </c>
      <c r="D2174" s="2" t="s">
        <v>131</v>
      </c>
      <c r="E2174" s="9" t="str">
        <f t="shared" si="480"/>
        <v>PND'!</v>
      </c>
      <c r="F2174" s="5" t="str">
        <f t="shared" si="500"/>
        <v>C:\Users\jaime.benazar\Quorum Business Solutions\Ecopetrol Prometeo - Documents\Planning Space Implementation\3. Analysis &amp; Design\Design\FC22\DRR Jaime\Neiva CPI\[VAO_DINA TERCIARIOS_CF_SEC_20230117.xlsx]CF PND'!</v>
      </c>
      <c r="G2174" s="6" t="s">
        <v>105</v>
      </c>
      <c r="H2174" s="1">
        <f t="shared" si="483"/>
        <v>42</v>
      </c>
      <c r="I2174" s="1" t="str">
        <f t="shared" si="481"/>
        <v>='C:\Users\jaime.benazar\Quorum Business Solutions\Ecopetrol Prometeo - Documents\Planning Space Implementation\3. Analysis &amp; Design\Design\FC22\DRR Jaime\Neiva CPI\[VAO_DINA TERCIARIOS_CF_SEC_20230117.xlsx]CF PND'!$CT$42</v>
      </c>
      <c r="J2174" s="1" t="s">
        <v>1137</v>
      </c>
    </row>
    <row r="2175" spans="1:10" x14ac:dyDescent="0.3">
      <c r="A2175" s="6" t="s">
        <v>16</v>
      </c>
      <c r="B2175" s="6">
        <f t="shared" si="501"/>
        <v>2030</v>
      </c>
      <c r="C2175" s="1" t="s">
        <v>49</v>
      </c>
      <c r="D2175" s="2" t="s">
        <v>131</v>
      </c>
      <c r="E2175" s="9" t="str">
        <f t="shared" si="480"/>
        <v>PND'!</v>
      </c>
      <c r="F2175" s="5" t="str">
        <f t="shared" si="500"/>
        <v>C:\Users\jaime.benazar\Quorum Business Solutions\Ecopetrol Prometeo - Documents\Planning Space Implementation\3. Analysis &amp; Design\Design\FC22\DRR Jaime\Neiva CPI\[VAO_DINA TERCIARIOS_CF_SEC_20230117.xlsx]CF PND'!</v>
      </c>
      <c r="G2175" s="6" t="s">
        <v>105</v>
      </c>
      <c r="H2175" s="1">
        <f t="shared" si="483"/>
        <v>43</v>
      </c>
      <c r="I2175" s="1" t="str">
        <f t="shared" si="481"/>
        <v>='C:\Users\jaime.benazar\Quorum Business Solutions\Ecopetrol Prometeo - Documents\Planning Space Implementation\3. Analysis &amp; Design\Design\FC22\DRR Jaime\Neiva CPI\[VAO_DINA TERCIARIOS_CF_SEC_20230117.xlsx]CF PND'!$CT$43</v>
      </c>
      <c r="J2175" s="1" t="s">
        <v>1138</v>
      </c>
    </row>
    <row r="2176" spans="1:10" x14ac:dyDescent="0.3">
      <c r="A2176" s="6" t="s">
        <v>16</v>
      </c>
      <c r="B2176" s="6">
        <f t="shared" si="501"/>
        <v>2031</v>
      </c>
      <c r="C2176" s="1" t="s">
        <v>49</v>
      </c>
      <c r="D2176" s="2" t="s">
        <v>131</v>
      </c>
      <c r="E2176" s="9" t="str">
        <f t="shared" si="480"/>
        <v>PND'!</v>
      </c>
      <c r="F2176" s="5" t="str">
        <f t="shared" si="500"/>
        <v>C:\Users\jaime.benazar\Quorum Business Solutions\Ecopetrol Prometeo - Documents\Planning Space Implementation\3. Analysis &amp; Design\Design\FC22\DRR Jaime\Neiva CPI\[VAO_DINA TERCIARIOS_CF_SEC_20230117.xlsx]CF PND'!</v>
      </c>
      <c r="G2176" s="6" t="s">
        <v>105</v>
      </c>
      <c r="H2176" s="1">
        <f t="shared" si="483"/>
        <v>44</v>
      </c>
      <c r="I2176" s="1" t="str">
        <f t="shared" si="481"/>
        <v>='C:\Users\jaime.benazar\Quorum Business Solutions\Ecopetrol Prometeo - Documents\Planning Space Implementation\3. Analysis &amp; Design\Design\FC22\DRR Jaime\Neiva CPI\[VAO_DINA TERCIARIOS_CF_SEC_20230117.xlsx]CF PND'!$CT$44</v>
      </c>
      <c r="J2176" s="1" t="s">
        <v>1139</v>
      </c>
    </row>
    <row r="2177" spans="1:10" x14ac:dyDescent="0.3">
      <c r="A2177" s="6" t="s">
        <v>16</v>
      </c>
      <c r="B2177" s="6">
        <f t="shared" si="501"/>
        <v>2032</v>
      </c>
      <c r="C2177" s="1" t="s">
        <v>49</v>
      </c>
      <c r="D2177" s="2" t="s">
        <v>131</v>
      </c>
      <c r="E2177" s="9" t="str">
        <f t="shared" si="480"/>
        <v>PND'!</v>
      </c>
      <c r="F2177" s="5" t="str">
        <f t="shared" si="500"/>
        <v>C:\Users\jaime.benazar\Quorum Business Solutions\Ecopetrol Prometeo - Documents\Planning Space Implementation\3. Analysis &amp; Design\Design\FC22\DRR Jaime\Neiva CPI\[VAO_DINA TERCIARIOS_CF_SEC_20230117.xlsx]CF PND'!</v>
      </c>
      <c r="G2177" s="6" t="s">
        <v>105</v>
      </c>
      <c r="H2177" s="1">
        <f t="shared" si="483"/>
        <v>45</v>
      </c>
      <c r="I2177" s="1" t="str">
        <f t="shared" si="481"/>
        <v>='C:\Users\jaime.benazar\Quorum Business Solutions\Ecopetrol Prometeo - Documents\Planning Space Implementation\3. Analysis &amp; Design\Design\FC22\DRR Jaime\Neiva CPI\[VAO_DINA TERCIARIOS_CF_SEC_20230117.xlsx]CF PND'!$CT$45</v>
      </c>
      <c r="J2177" s="1" t="s">
        <v>1140</v>
      </c>
    </row>
    <row r="2178" spans="1:10" x14ac:dyDescent="0.3">
      <c r="A2178" s="6" t="s">
        <v>16</v>
      </c>
      <c r="B2178" s="6">
        <f t="shared" si="501"/>
        <v>2033</v>
      </c>
      <c r="C2178" s="1" t="s">
        <v>49</v>
      </c>
      <c r="D2178" s="2" t="s">
        <v>131</v>
      </c>
      <c r="E2178" s="9" t="str">
        <f t="shared" si="480"/>
        <v>PND'!</v>
      </c>
      <c r="F2178" s="5" t="str">
        <f t="shared" si="500"/>
        <v>C:\Users\jaime.benazar\Quorum Business Solutions\Ecopetrol Prometeo - Documents\Planning Space Implementation\3. Analysis &amp; Design\Design\FC22\DRR Jaime\Neiva CPI\[VAO_DINA TERCIARIOS_CF_SEC_20230117.xlsx]CF PND'!</v>
      </c>
      <c r="G2178" s="6" t="s">
        <v>105</v>
      </c>
      <c r="H2178" s="1">
        <f t="shared" si="483"/>
        <v>46</v>
      </c>
      <c r="I2178" s="1" t="str">
        <f t="shared" si="481"/>
        <v>='C:\Users\jaime.benazar\Quorum Business Solutions\Ecopetrol Prometeo - Documents\Planning Space Implementation\3. Analysis &amp; Design\Design\FC22\DRR Jaime\Neiva CPI\[VAO_DINA TERCIARIOS_CF_SEC_20230117.xlsx]CF PND'!$CT$46</v>
      </c>
      <c r="J2178" s="1" t="s">
        <v>1141</v>
      </c>
    </row>
    <row r="2179" spans="1:10" x14ac:dyDescent="0.3">
      <c r="A2179" s="6" t="s">
        <v>16</v>
      </c>
      <c r="B2179" s="6">
        <f t="shared" si="501"/>
        <v>2034</v>
      </c>
      <c r="C2179" s="1" t="s">
        <v>49</v>
      </c>
      <c r="D2179" s="2" t="s">
        <v>131</v>
      </c>
      <c r="E2179" s="9" t="str">
        <f t="shared" si="480"/>
        <v>PND'!</v>
      </c>
      <c r="F2179" s="5" t="str">
        <f t="shared" si="500"/>
        <v>C:\Users\jaime.benazar\Quorum Business Solutions\Ecopetrol Prometeo - Documents\Planning Space Implementation\3. Analysis &amp; Design\Design\FC22\DRR Jaime\Neiva CPI\[VAO_DINA TERCIARIOS_CF_SEC_20230117.xlsx]CF PND'!</v>
      </c>
      <c r="G2179" s="6" t="s">
        <v>105</v>
      </c>
      <c r="H2179" s="1">
        <f t="shared" si="483"/>
        <v>47</v>
      </c>
      <c r="I2179" s="1" t="str">
        <f t="shared" si="481"/>
        <v>='C:\Users\jaime.benazar\Quorum Business Solutions\Ecopetrol Prometeo - Documents\Planning Space Implementation\3. Analysis &amp; Design\Design\FC22\DRR Jaime\Neiva CPI\[VAO_DINA TERCIARIOS_CF_SEC_20230117.xlsx]CF PND'!$CT$47</v>
      </c>
      <c r="J2179" s="1" t="s">
        <v>1142</v>
      </c>
    </row>
    <row r="2180" spans="1:10" x14ac:dyDescent="0.3">
      <c r="A2180" s="6" t="s">
        <v>16</v>
      </c>
      <c r="B2180" s="6">
        <f t="shared" si="501"/>
        <v>2035</v>
      </c>
      <c r="C2180" s="1" t="s">
        <v>49</v>
      </c>
      <c r="D2180" s="2" t="s">
        <v>131</v>
      </c>
      <c r="E2180" s="9" t="str">
        <f t="shared" si="480"/>
        <v>PND'!</v>
      </c>
      <c r="F2180" s="5" t="str">
        <f t="shared" si="500"/>
        <v>C:\Users\jaime.benazar\Quorum Business Solutions\Ecopetrol Prometeo - Documents\Planning Space Implementation\3. Analysis &amp; Design\Design\FC22\DRR Jaime\Neiva CPI\[VAO_DINA TERCIARIOS_CF_SEC_20230117.xlsx]CF PND'!</v>
      </c>
      <c r="G2180" s="6" t="s">
        <v>105</v>
      </c>
      <c r="H2180" s="1">
        <f t="shared" si="483"/>
        <v>48</v>
      </c>
      <c r="I2180" s="1" t="str">
        <f t="shared" si="481"/>
        <v>='C:\Users\jaime.benazar\Quorum Business Solutions\Ecopetrol Prometeo - Documents\Planning Space Implementation\3. Analysis &amp; Design\Design\FC22\DRR Jaime\Neiva CPI\[VAO_DINA TERCIARIOS_CF_SEC_20230117.xlsx]CF PND'!$CT$48</v>
      </c>
      <c r="J2180" s="1" t="s">
        <v>1143</v>
      </c>
    </row>
    <row r="2181" spans="1:10" x14ac:dyDescent="0.3">
      <c r="A2181" s="6" t="s">
        <v>16</v>
      </c>
      <c r="B2181" s="6">
        <f t="shared" si="501"/>
        <v>2036</v>
      </c>
      <c r="C2181" s="1" t="s">
        <v>49</v>
      </c>
      <c r="D2181" s="2" t="s">
        <v>131</v>
      </c>
      <c r="E2181" s="9" t="str">
        <f t="shared" si="480"/>
        <v>PND'!</v>
      </c>
      <c r="F2181" s="5" t="str">
        <f t="shared" si="500"/>
        <v>C:\Users\jaime.benazar\Quorum Business Solutions\Ecopetrol Prometeo - Documents\Planning Space Implementation\3. Analysis &amp; Design\Design\FC22\DRR Jaime\Neiva CPI\[VAO_DINA TERCIARIOS_CF_SEC_20230117.xlsx]CF PND'!</v>
      </c>
      <c r="G2181" s="6" t="s">
        <v>105</v>
      </c>
      <c r="H2181" s="1">
        <f t="shared" si="483"/>
        <v>49</v>
      </c>
      <c r="I2181" s="1" t="str">
        <f t="shared" si="481"/>
        <v>='C:\Users\jaime.benazar\Quorum Business Solutions\Ecopetrol Prometeo - Documents\Planning Space Implementation\3. Analysis &amp; Design\Design\FC22\DRR Jaime\Neiva CPI\[VAO_DINA TERCIARIOS_CF_SEC_20230117.xlsx]CF PND'!$CT$49</v>
      </c>
      <c r="J2181" s="1" t="s">
        <v>1144</v>
      </c>
    </row>
    <row r="2182" spans="1:10" x14ac:dyDescent="0.3">
      <c r="A2182" s="6" t="s">
        <v>16</v>
      </c>
      <c r="B2182" s="6">
        <f>+B2181+1</f>
        <v>2037</v>
      </c>
      <c r="C2182" s="1" t="s">
        <v>49</v>
      </c>
      <c r="D2182" s="2" t="s">
        <v>131</v>
      </c>
      <c r="E2182" s="9" t="str">
        <f t="shared" si="480"/>
        <v>PND'!</v>
      </c>
      <c r="F2182" s="5" t="str">
        <f t="shared" si="500"/>
        <v>C:\Users\jaime.benazar\Quorum Business Solutions\Ecopetrol Prometeo - Documents\Planning Space Implementation\3. Analysis &amp; Design\Design\FC22\DRR Jaime\Neiva CPI\[VAO_DINA TERCIARIOS_CF_SEC_20230117.xlsx]CF PND'!</v>
      </c>
      <c r="G2182" s="6" t="s">
        <v>105</v>
      </c>
      <c r="H2182" s="1">
        <f t="shared" si="483"/>
        <v>50</v>
      </c>
      <c r="I2182" s="1" t="str">
        <f t="shared" si="481"/>
        <v>='C:\Users\jaime.benazar\Quorum Business Solutions\Ecopetrol Prometeo - Documents\Planning Space Implementation\3. Analysis &amp; Design\Design\FC22\DRR Jaime\Neiva CPI\[VAO_DINA TERCIARIOS_CF_SEC_20230117.xlsx]CF PND'!$CT$50</v>
      </c>
      <c r="J2182" s="1" t="s">
        <v>1145</v>
      </c>
    </row>
    <row r="2183" spans="1:10" x14ac:dyDescent="0.3">
      <c r="A2183" s="6" t="s">
        <v>16</v>
      </c>
      <c r="B2183" s="6">
        <f t="shared" ref="B2183:B2185" si="502">+B2182+1</f>
        <v>2038</v>
      </c>
      <c r="C2183" s="1" t="s">
        <v>49</v>
      </c>
      <c r="D2183" s="2" t="s">
        <v>131</v>
      </c>
      <c r="E2183" s="9" t="str">
        <f t="shared" si="480"/>
        <v>PND'!</v>
      </c>
      <c r="F2183" s="5" t="str">
        <f t="shared" si="500"/>
        <v>C:\Users\jaime.benazar\Quorum Business Solutions\Ecopetrol Prometeo - Documents\Planning Space Implementation\3. Analysis &amp; Design\Design\FC22\DRR Jaime\Neiva CPI\[VAO_DINA TERCIARIOS_CF_SEC_20230117.xlsx]CF PND'!</v>
      </c>
      <c r="G2183" s="6" t="s">
        <v>105</v>
      </c>
      <c r="H2183" s="1">
        <f t="shared" si="483"/>
        <v>51</v>
      </c>
      <c r="I2183" s="1" t="str">
        <f t="shared" si="481"/>
        <v>='C:\Users\jaime.benazar\Quorum Business Solutions\Ecopetrol Prometeo - Documents\Planning Space Implementation\3. Analysis &amp; Design\Design\FC22\DRR Jaime\Neiva CPI\[VAO_DINA TERCIARIOS_CF_SEC_20230117.xlsx]CF PND'!$CT$51</v>
      </c>
      <c r="J2183" s="1" t="s">
        <v>1146</v>
      </c>
    </row>
    <row r="2184" spans="1:10" x14ac:dyDescent="0.3">
      <c r="A2184" s="6" t="s">
        <v>16</v>
      </c>
      <c r="B2184" s="6">
        <f t="shared" si="502"/>
        <v>2039</v>
      </c>
      <c r="C2184" s="1" t="s">
        <v>49</v>
      </c>
      <c r="D2184" s="2" t="s">
        <v>131</v>
      </c>
      <c r="E2184" s="9" t="str">
        <f t="shared" si="480"/>
        <v>PND'!</v>
      </c>
      <c r="F2184" s="5" t="str">
        <f t="shared" si="500"/>
        <v>C:\Users\jaime.benazar\Quorum Business Solutions\Ecopetrol Prometeo - Documents\Planning Space Implementation\3. Analysis &amp; Design\Design\FC22\DRR Jaime\Neiva CPI\[VAO_DINA TERCIARIOS_CF_SEC_20230117.xlsx]CF PND'!</v>
      </c>
      <c r="G2184" s="6" t="s">
        <v>105</v>
      </c>
      <c r="H2184" s="1">
        <f t="shared" si="483"/>
        <v>52</v>
      </c>
      <c r="I2184" s="1" t="str">
        <f t="shared" si="481"/>
        <v>='C:\Users\jaime.benazar\Quorum Business Solutions\Ecopetrol Prometeo - Documents\Planning Space Implementation\3. Analysis &amp; Design\Design\FC22\DRR Jaime\Neiva CPI\[VAO_DINA TERCIARIOS_CF_SEC_20230117.xlsx]CF PND'!$CT$52</v>
      </c>
      <c r="J2184" s="1" t="s">
        <v>1147</v>
      </c>
    </row>
    <row r="2185" spans="1:10" x14ac:dyDescent="0.3">
      <c r="A2185" s="6" t="s">
        <v>16</v>
      </c>
      <c r="B2185" s="6">
        <f t="shared" si="502"/>
        <v>2040</v>
      </c>
      <c r="C2185" s="1" t="s">
        <v>49</v>
      </c>
      <c r="D2185" s="2" t="s">
        <v>131</v>
      </c>
      <c r="E2185" s="9" t="str">
        <f t="shared" si="480"/>
        <v>PND'!</v>
      </c>
      <c r="F2185" s="5" t="str">
        <f t="shared" si="500"/>
        <v>C:\Users\jaime.benazar\Quorum Business Solutions\Ecopetrol Prometeo - Documents\Planning Space Implementation\3. Analysis &amp; Design\Design\FC22\DRR Jaime\Neiva CPI\[VAO_DINA TERCIARIOS_CF_SEC_20230117.xlsx]CF PND'!</v>
      </c>
      <c r="G2185" s="6" t="s">
        <v>105</v>
      </c>
      <c r="H2185" s="1">
        <f t="shared" si="483"/>
        <v>53</v>
      </c>
      <c r="I2185" s="1" t="str">
        <f t="shared" si="481"/>
        <v>='C:\Users\jaime.benazar\Quorum Business Solutions\Ecopetrol Prometeo - Documents\Planning Space Implementation\3. Analysis &amp; Design\Design\FC22\DRR Jaime\Neiva CPI\[VAO_DINA TERCIARIOS_CF_SEC_20230117.xlsx]CF PND'!$CT$53</v>
      </c>
      <c r="J2185" s="1" t="s">
        <v>1148</v>
      </c>
    </row>
    <row r="2186" spans="1:10" x14ac:dyDescent="0.3">
      <c r="A2186" s="6" t="s">
        <v>16</v>
      </c>
      <c r="B2186" s="6">
        <f>+B2185+1</f>
        <v>2041</v>
      </c>
      <c r="C2186" s="1" t="s">
        <v>49</v>
      </c>
      <c r="D2186" s="2" t="s">
        <v>131</v>
      </c>
      <c r="E2186" s="9" t="str">
        <f t="shared" si="480"/>
        <v>PND'!</v>
      </c>
      <c r="F2186" s="5" t="str">
        <f t="shared" si="500"/>
        <v>C:\Users\jaime.benazar\Quorum Business Solutions\Ecopetrol Prometeo - Documents\Planning Space Implementation\3. Analysis &amp; Design\Design\FC22\DRR Jaime\Neiva CPI\[VAO_DINA TERCIARIOS_CF_SEC_20230117.xlsx]CF PND'!</v>
      </c>
      <c r="G2186" s="6" t="s">
        <v>105</v>
      </c>
      <c r="H2186" s="1">
        <f t="shared" si="483"/>
        <v>54</v>
      </c>
      <c r="I2186" s="1" t="str">
        <f t="shared" si="481"/>
        <v>='C:\Users\jaime.benazar\Quorum Business Solutions\Ecopetrol Prometeo - Documents\Planning Space Implementation\3. Analysis &amp; Design\Design\FC22\DRR Jaime\Neiva CPI\[VAO_DINA TERCIARIOS_CF_SEC_20230117.xlsx]CF PND'!$CT$54</v>
      </c>
      <c r="J2186" s="1" t="s">
        <v>1149</v>
      </c>
    </row>
    <row r="2187" spans="1:10" x14ac:dyDescent="0.3">
      <c r="A2187" s="6" t="s">
        <v>16</v>
      </c>
      <c r="B2187" s="6">
        <f t="shared" ref="B2187:B2188" si="503">+B2186+1</f>
        <v>2042</v>
      </c>
      <c r="C2187" s="1" t="s">
        <v>49</v>
      </c>
      <c r="D2187" s="2" t="s">
        <v>131</v>
      </c>
      <c r="E2187" s="9" t="str">
        <f t="shared" ref="E2187:E2340" si="504">_xlfn.CONCAT(A2187,"'!")</f>
        <v>PND'!</v>
      </c>
      <c r="F2187" s="5" t="str">
        <f t="shared" si="500"/>
        <v>C:\Users\jaime.benazar\Quorum Business Solutions\Ecopetrol Prometeo - Documents\Planning Space Implementation\3. Analysis &amp; Design\Design\FC22\DRR Jaime\Neiva CPI\[VAO_DINA TERCIARIOS_CF_SEC_20230117.xlsx]CF PND'!</v>
      </c>
      <c r="G2187" s="6" t="s">
        <v>105</v>
      </c>
      <c r="H2187" s="1">
        <f t="shared" si="483"/>
        <v>55</v>
      </c>
      <c r="I2187" s="1" t="str">
        <f t="shared" ref="I2187:I2340" si="505">_xlfn.CONCAT("='",F2187:H2187)</f>
        <v>='C:\Users\jaime.benazar\Quorum Business Solutions\Ecopetrol Prometeo - Documents\Planning Space Implementation\3. Analysis &amp; Design\Design\FC22\DRR Jaime\Neiva CPI\[VAO_DINA TERCIARIOS_CF_SEC_20230117.xlsx]CF PND'!$CT$55</v>
      </c>
      <c r="J2187" s="1" t="s">
        <v>1150</v>
      </c>
    </row>
    <row r="2188" spans="1:10" x14ac:dyDescent="0.3">
      <c r="A2188" s="6" t="s">
        <v>16</v>
      </c>
      <c r="B2188" s="6">
        <f t="shared" si="503"/>
        <v>2043</v>
      </c>
      <c r="C2188" s="1" t="s">
        <v>49</v>
      </c>
      <c r="D2188" s="2" t="s">
        <v>131</v>
      </c>
      <c r="E2188" s="9" t="str">
        <f t="shared" si="504"/>
        <v>PND'!</v>
      </c>
      <c r="F2188" s="5" t="str">
        <f t="shared" si="500"/>
        <v>C:\Users\jaime.benazar\Quorum Business Solutions\Ecopetrol Prometeo - Documents\Planning Space Implementation\3. Analysis &amp; Design\Design\FC22\DRR Jaime\Neiva CPI\[VAO_DINA TERCIARIOS_CF_SEC_20230117.xlsx]CF PND'!</v>
      </c>
      <c r="G2188" s="6" t="s">
        <v>105</v>
      </c>
      <c r="H2188" s="1">
        <f t="shared" ref="H2188:H2340" si="506">IF(A2188&lt;&gt;A2187,36,H2187+1)</f>
        <v>56</v>
      </c>
      <c r="I2188" s="1" t="str">
        <f t="shared" si="505"/>
        <v>='C:\Users\jaime.benazar\Quorum Business Solutions\Ecopetrol Prometeo - Documents\Planning Space Implementation\3. Analysis &amp; Design\Design\FC22\DRR Jaime\Neiva CPI\[VAO_DINA TERCIARIOS_CF_SEC_20230117.xlsx]CF PND'!$CT$56</v>
      </c>
      <c r="J2188" s="1" t="s">
        <v>1151</v>
      </c>
    </row>
    <row r="2189" spans="1:10" x14ac:dyDescent="0.3">
      <c r="A2189" s="6" t="s">
        <v>16</v>
      </c>
      <c r="B2189" s="6">
        <f>+B2188+1</f>
        <v>2044</v>
      </c>
      <c r="C2189" s="1" t="s">
        <v>49</v>
      </c>
      <c r="D2189" s="2" t="s">
        <v>131</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Jaime\Neiva CPI\[VAO_DINA TERCIARIOS_CF_SEC_20230117.xlsx]CF PND'!</v>
      </c>
      <c r="G2189" s="6" t="s">
        <v>105</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Jaime\Neiva CPI\[VAO_DINA TERCIARIOS_CF_SEC_20230117.xlsx]CF PND'!$CT$57</v>
      </c>
      <c r="J2189" s="1" t="s">
        <v>1152</v>
      </c>
    </row>
    <row r="2190" spans="1:10" x14ac:dyDescent="0.3">
      <c r="A2190" s="6" t="s">
        <v>16</v>
      </c>
      <c r="B2190" s="6">
        <f t="shared" ref="B2190:B2204" si="511">+B2189+1</f>
        <v>2045</v>
      </c>
      <c r="C2190" s="1" t="s">
        <v>49</v>
      </c>
      <c r="D2190" s="2" t="s">
        <v>131</v>
      </c>
      <c r="E2190" s="9" t="str">
        <f t="shared" si="507"/>
        <v>PND'!</v>
      </c>
      <c r="F2190" s="5" t="str">
        <f t="shared" si="508"/>
        <v>C:\Users\jaime.benazar\Quorum Business Solutions\Ecopetrol Prometeo - Documents\Planning Space Implementation\3. Analysis &amp; Design\Design\FC22\DRR Jaime\Neiva CPI\[VAO_DINA TERCIARIOS_CF_SEC_20230117.xlsx]CF PND'!</v>
      </c>
      <c r="G2190" s="6" t="s">
        <v>105</v>
      </c>
      <c r="H2190" s="1">
        <f t="shared" si="509"/>
        <v>58</v>
      </c>
      <c r="I2190" s="1" t="str">
        <f t="shared" si="510"/>
        <v>='C:\Users\jaime.benazar\Quorum Business Solutions\Ecopetrol Prometeo - Documents\Planning Space Implementation\3. Analysis &amp; Design\Design\FC22\DRR Jaime\Neiva CPI\[VAO_DINA TERCIARIOS_CF_SEC_20230117.xlsx]CF PND'!$CT$58</v>
      </c>
      <c r="J2190" s="1" t="s">
        <v>1153</v>
      </c>
    </row>
    <row r="2191" spans="1:10" x14ac:dyDescent="0.3">
      <c r="A2191" s="6" t="s">
        <v>16</v>
      </c>
      <c r="B2191" s="6">
        <f t="shared" si="511"/>
        <v>2046</v>
      </c>
      <c r="C2191" s="1" t="s">
        <v>49</v>
      </c>
      <c r="D2191" s="2" t="s">
        <v>131</v>
      </c>
      <c r="E2191" s="9" t="str">
        <f t="shared" si="507"/>
        <v>PND'!</v>
      </c>
      <c r="F2191" s="5" t="str">
        <f t="shared" si="508"/>
        <v>C:\Users\jaime.benazar\Quorum Business Solutions\Ecopetrol Prometeo - Documents\Planning Space Implementation\3. Analysis &amp; Design\Design\FC22\DRR Jaime\Neiva CPI\[VAO_DINA TERCIARIOS_CF_SEC_20230117.xlsx]CF PND'!</v>
      </c>
      <c r="G2191" s="6" t="s">
        <v>105</v>
      </c>
      <c r="H2191" s="1">
        <f t="shared" si="509"/>
        <v>59</v>
      </c>
      <c r="I2191" s="1" t="str">
        <f t="shared" si="510"/>
        <v>='C:\Users\jaime.benazar\Quorum Business Solutions\Ecopetrol Prometeo - Documents\Planning Space Implementation\3. Analysis &amp; Design\Design\FC22\DRR Jaime\Neiva CPI\[VAO_DINA TERCIARIOS_CF_SEC_20230117.xlsx]CF PND'!$CT$59</v>
      </c>
      <c r="J2191" s="1" t="s">
        <v>1154</v>
      </c>
    </row>
    <row r="2192" spans="1:10" x14ac:dyDescent="0.3">
      <c r="A2192" s="6" t="s">
        <v>16</v>
      </c>
      <c r="B2192" s="6">
        <f t="shared" si="511"/>
        <v>2047</v>
      </c>
      <c r="C2192" s="1" t="s">
        <v>49</v>
      </c>
      <c r="D2192" s="2" t="s">
        <v>131</v>
      </c>
      <c r="E2192" s="9" t="str">
        <f t="shared" si="507"/>
        <v>PND'!</v>
      </c>
      <c r="F2192" s="5" t="str">
        <f t="shared" si="508"/>
        <v>C:\Users\jaime.benazar\Quorum Business Solutions\Ecopetrol Prometeo - Documents\Planning Space Implementation\3. Analysis &amp; Design\Design\FC22\DRR Jaime\Neiva CPI\[VAO_DINA TERCIARIOS_CF_SEC_20230117.xlsx]CF PND'!</v>
      </c>
      <c r="G2192" s="6" t="s">
        <v>105</v>
      </c>
      <c r="H2192" s="1">
        <f t="shared" si="509"/>
        <v>60</v>
      </c>
      <c r="I2192" s="1" t="str">
        <f t="shared" si="510"/>
        <v>='C:\Users\jaime.benazar\Quorum Business Solutions\Ecopetrol Prometeo - Documents\Planning Space Implementation\3. Analysis &amp; Design\Design\FC22\DRR Jaime\Neiva CPI\[VAO_DINA TERCIARIOS_CF_SEC_20230117.xlsx]CF PND'!$CT$60</v>
      </c>
      <c r="J2192" s="1" t="s">
        <v>1155</v>
      </c>
    </row>
    <row r="2193" spans="1:10" x14ac:dyDescent="0.3">
      <c r="A2193" s="6" t="s">
        <v>16</v>
      </c>
      <c r="B2193" s="6">
        <f t="shared" si="511"/>
        <v>2048</v>
      </c>
      <c r="C2193" s="1" t="s">
        <v>49</v>
      </c>
      <c r="D2193" s="2" t="s">
        <v>131</v>
      </c>
      <c r="E2193" s="9" t="str">
        <f t="shared" si="507"/>
        <v>PND'!</v>
      </c>
      <c r="F2193" s="5" t="str">
        <f t="shared" si="508"/>
        <v>C:\Users\jaime.benazar\Quorum Business Solutions\Ecopetrol Prometeo - Documents\Planning Space Implementation\3. Analysis &amp; Design\Design\FC22\DRR Jaime\Neiva CPI\[VAO_DINA TERCIARIOS_CF_SEC_20230117.xlsx]CF PND'!</v>
      </c>
      <c r="G2193" s="6" t="s">
        <v>105</v>
      </c>
      <c r="H2193" s="1">
        <f t="shared" si="509"/>
        <v>61</v>
      </c>
      <c r="I2193" s="1" t="str">
        <f t="shared" si="510"/>
        <v>='C:\Users\jaime.benazar\Quorum Business Solutions\Ecopetrol Prometeo - Documents\Planning Space Implementation\3. Analysis &amp; Design\Design\FC22\DRR Jaime\Neiva CPI\[VAO_DINA TERCIARIOS_CF_SEC_20230117.xlsx]CF PND'!$CT$61</v>
      </c>
      <c r="J2193" s="1" t="s">
        <v>1156</v>
      </c>
    </row>
    <row r="2194" spans="1:10" x14ac:dyDescent="0.3">
      <c r="A2194" s="6" t="s">
        <v>16</v>
      </c>
      <c r="B2194" s="6">
        <f t="shared" si="511"/>
        <v>2049</v>
      </c>
      <c r="C2194" s="1" t="s">
        <v>49</v>
      </c>
      <c r="D2194" s="2" t="s">
        <v>131</v>
      </c>
      <c r="E2194" s="9" t="str">
        <f t="shared" si="507"/>
        <v>PND'!</v>
      </c>
      <c r="F2194" s="5" t="str">
        <f t="shared" si="508"/>
        <v>C:\Users\jaime.benazar\Quorum Business Solutions\Ecopetrol Prometeo - Documents\Planning Space Implementation\3. Analysis &amp; Design\Design\FC22\DRR Jaime\Neiva CPI\[VAO_DINA TERCIARIOS_CF_SEC_20230117.xlsx]CF PND'!</v>
      </c>
      <c r="G2194" s="6" t="s">
        <v>105</v>
      </c>
      <c r="H2194" s="1">
        <f t="shared" si="509"/>
        <v>62</v>
      </c>
      <c r="I2194" s="1" t="str">
        <f t="shared" si="510"/>
        <v>='C:\Users\jaime.benazar\Quorum Business Solutions\Ecopetrol Prometeo - Documents\Planning Space Implementation\3. Analysis &amp; Design\Design\FC22\DRR Jaime\Neiva CPI\[VAO_DINA TERCIARIOS_CF_SEC_20230117.xlsx]CF PND'!$CT$62</v>
      </c>
      <c r="J2194" s="1" t="s">
        <v>1157</v>
      </c>
    </row>
    <row r="2195" spans="1:10" x14ac:dyDescent="0.3">
      <c r="A2195" s="6" t="s">
        <v>16</v>
      </c>
      <c r="B2195" s="6">
        <f t="shared" si="511"/>
        <v>2050</v>
      </c>
      <c r="C2195" s="1" t="s">
        <v>49</v>
      </c>
      <c r="D2195" s="2" t="s">
        <v>131</v>
      </c>
      <c r="E2195" s="9" t="str">
        <f t="shared" si="507"/>
        <v>PND'!</v>
      </c>
      <c r="F2195" s="5" t="str">
        <f t="shared" si="508"/>
        <v>C:\Users\jaime.benazar\Quorum Business Solutions\Ecopetrol Prometeo - Documents\Planning Space Implementation\3. Analysis &amp; Design\Design\FC22\DRR Jaime\Neiva CPI\[VAO_DINA TERCIARIOS_CF_SEC_20230117.xlsx]CF PND'!</v>
      </c>
      <c r="G2195" s="6" t="s">
        <v>105</v>
      </c>
      <c r="H2195" s="1">
        <f t="shared" si="509"/>
        <v>63</v>
      </c>
      <c r="I2195" s="1" t="str">
        <f t="shared" si="510"/>
        <v>='C:\Users\jaime.benazar\Quorum Business Solutions\Ecopetrol Prometeo - Documents\Planning Space Implementation\3. Analysis &amp; Design\Design\FC22\DRR Jaime\Neiva CPI\[VAO_DINA TERCIARIOS_CF_SEC_20230117.xlsx]CF PND'!$CT$63</v>
      </c>
      <c r="J2195" s="1" t="s">
        <v>1158</v>
      </c>
    </row>
    <row r="2196" spans="1:10" x14ac:dyDescent="0.3">
      <c r="A2196" s="6" t="s">
        <v>16</v>
      </c>
      <c r="B2196" s="6">
        <f t="shared" si="511"/>
        <v>2051</v>
      </c>
      <c r="C2196" s="1" t="s">
        <v>49</v>
      </c>
      <c r="D2196" s="2" t="s">
        <v>131</v>
      </c>
      <c r="E2196" s="9" t="str">
        <f t="shared" si="507"/>
        <v>PND'!</v>
      </c>
      <c r="F2196" s="5" t="str">
        <f t="shared" si="508"/>
        <v>C:\Users\jaime.benazar\Quorum Business Solutions\Ecopetrol Prometeo - Documents\Planning Space Implementation\3. Analysis &amp; Design\Design\FC22\DRR Jaime\Neiva CPI\[VAO_DINA TERCIARIOS_CF_SEC_20230117.xlsx]CF PND'!</v>
      </c>
      <c r="G2196" s="6" t="s">
        <v>105</v>
      </c>
      <c r="H2196" s="1">
        <f t="shared" si="509"/>
        <v>64</v>
      </c>
      <c r="I2196" s="1" t="str">
        <f t="shared" si="510"/>
        <v>='C:\Users\jaime.benazar\Quorum Business Solutions\Ecopetrol Prometeo - Documents\Planning Space Implementation\3. Analysis &amp; Design\Design\FC22\DRR Jaime\Neiva CPI\[VAO_DINA TERCIARIOS_CF_SEC_20230117.xlsx]CF PND'!$CT$64</v>
      </c>
      <c r="J2196" s="1" t="s">
        <v>1159</v>
      </c>
    </row>
    <row r="2197" spans="1:10" x14ac:dyDescent="0.3">
      <c r="A2197" s="6" t="s">
        <v>16</v>
      </c>
      <c r="B2197" s="6">
        <f t="shared" si="511"/>
        <v>2052</v>
      </c>
      <c r="C2197" s="1" t="s">
        <v>49</v>
      </c>
      <c r="D2197" s="2" t="s">
        <v>131</v>
      </c>
      <c r="E2197" s="9" t="str">
        <f t="shared" si="507"/>
        <v>PND'!</v>
      </c>
      <c r="F2197" s="5" t="str">
        <f t="shared" si="508"/>
        <v>C:\Users\jaime.benazar\Quorum Business Solutions\Ecopetrol Prometeo - Documents\Planning Space Implementation\3. Analysis &amp; Design\Design\FC22\DRR Jaime\Neiva CPI\[VAO_DINA TERCIARIOS_CF_SEC_20230117.xlsx]CF PND'!</v>
      </c>
      <c r="G2197" s="6" t="s">
        <v>105</v>
      </c>
      <c r="H2197" s="1">
        <f t="shared" si="509"/>
        <v>65</v>
      </c>
      <c r="I2197" s="1" t="str">
        <f t="shared" si="510"/>
        <v>='C:\Users\jaime.benazar\Quorum Business Solutions\Ecopetrol Prometeo - Documents\Planning Space Implementation\3. Analysis &amp; Design\Design\FC22\DRR Jaime\Neiva CPI\[VAO_DINA TERCIARIOS_CF_SEC_20230117.xlsx]CF PND'!$CT$65</v>
      </c>
      <c r="J2197" s="1" t="s">
        <v>1160</v>
      </c>
    </row>
    <row r="2198" spans="1:10" x14ac:dyDescent="0.3">
      <c r="A2198" s="6" t="s">
        <v>16</v>
      </c>
      <c r="B2198" s="6">
        <f t="shared" si="511"/>
        <v>2053</v>
      </c>
      <c r="C2198" s="1" t="s">
        <v>49</v>
      </c>
      <c r="D2198" s="2" t="s">
        <v>131</v>
      </c>
      <c r="E2198" s="9" t="str">
        <f t="shared" si="507"/>
        <v>PND'!</v>
      </c>
      <c r="F2198" s="5" t="str">
        <f t="shared" si="508"/>
        <v>C:\Users\jaime.benazar\Quorum Business Solutions\Ecopetrol Prometeo - Documents\Planning Space Implementation\3. Analysis &amp; Design\Design\FC22\DRR Jaime\Neiva CPI\[VAO_DINA TERCIARIOS_CF_SEC_20230117.xlsx]CF PND'!</v>
      </c>
      <c r="G2198" s="6" t="s">
        <v>105</v>
      </c>
      <c r="H2198" s="1">
        <f t="shared" si="509"/>
        <v>66</v>
      </c>
      <c r="I2198" s="1" t="str">
        <f t="shared" si="510"/>
        <v>='C:\Users\jaime.benazar\Quorum Business Solutions\Ecopetrol Prometeo - Documents\Planning Space Implementation\3. Analysis &amp; Design\Design\FC22\DRR Jaime\Neiva CPI\[VAO_DINA TERCIARIOS_CF_SEC_20230117.xlsx]CF PND'!$CT$66</v>
      </c>
      <c r="J2198" s="1" t="s">
        <v>1161</v>
      </c>
    </row>
    <row r="2199" spans="1:10" x14ac:dyDescent="0.3">
      <c r="A2199" s="6" t="s">
        <v>16</v>
      </c>
      <c r="B2199" s="6">
        <f t="shared" si="511"/>
        <v>2054</v>
      </c>
      <c r="C2199" s="1" t="s">
        <v>49</v>
      </c>
      <c r="D2199" s="2" t="s">
        <v>131</v>
      </c>
      <c r="E2199" s="9" t="str">
        <f t="shared" si="507"/>
        <v>PND'!</v>
      </c>
      <c r="F2199" s="5" t="str">
        <f t="shared" si="508"/>
        <v>C:\Users\jaime.benazar\Quorum Business Solutions\Ecopetrol Prometeo - Documents\Planning Space Implementation\3. Analysis &amp; Design\Design\FC22\DRR Jaime\Neiva CPI\[VAO_DINA TERCIARIOS_CF_SEC_20230117.xlsx]CF PND'!</v>
      </c>
      <c r="G2199" s="6" t="s">
        <v>105</v>
      </c>
      <c r="H2199" s="1">
        <f t="shared" si="509"/>
        <v>67</v>
      </c>
      <c r="I2199" s="1" t="str">
        <f t="shared" si="510"/>
        <v>='C:\Users\jaime.benazar\Quorum Business Solutions\Ecopetrol Prometeo - Documents\Planning Space Implementation\3. Analysis &amp; Design\Design\FC22\DRR Jaime\Neiva CPI\[VAO_DINA TERCIARIOS_CF_SEC_20230117.xlsx]CF PND'!$CT$67</v>
      </c>
      <c r="J2199" s="1" t="s">
        <v>1162</v>
      </c>
    </row>
    <row r="2200" spans="1:10" x14ac:dyDescent="0.3">
      <c r="A2200" s="6" t="s">
        <v>16</v>
      </c>
      <c r="B2200" s="6">
        <f t="shared" si="511"/>
        <v>2055</v>
      </c>
      <c r="C2200" s="1" t="s">
        <v>49</v>
      </c>
      <c r="D2200" s="2" t="s">
        <v>131</v>
      </c>
      <c r="E2200" s="9" t="str">
        <f t="shared" si="507"/>
        <v>PND'!</v>
      </c>
      <c r="F2200" s="5" t="str">
        <f t="shared" si="508"/>
        <v>C:\Users\jaime.benazar\Quorum Business Solutions\Ecopetrol Prometeo - Documents\Planning Space Implementation\3. Analysis &amp; Design\Design\FC22\DRR Jaime\Neiva CPI\[VAO_DINA TERCIARIOS_CF_SEC_20230117.xlsx]CF PND'!</v>
      </c>
      <c r="G2200" s="6" t="s">
        <v>105</v>
      </c>
      <c r="H2200" s="1">
        <f t="shared" si="509"/>
        <v>68</v>
      </c>
      <c r="I2200" s="1" t="str">
        <f t="shared" si="510"/>
        <v>='C:\Users\jaime.benazar\Quorum Business Solutions\Ecopetrol Prometeo - Documents\Planning Space Implementation\3. Analysis &amp; Design\Design\FC22\DRR Jaime\Neiva CPI\[VAO_DINA TERCIARIOS_CF_SEC_20230117.xlsx]CF PND'!$CT$68</v>
      </c>
      <c r="J2200" s="1" t="s">
        <v>1163</v>
      </c>
    </row>
    <row r="2201" spans="1:10" x14ac:dyDescent="0.3">
      <c r="A2201" s="6" t="s">
        <v>16</v>
      </c>
      <c r="B2201" s="6">
        <f t="shared" si="511"/>
        <v>2056</v>
      </c>
      <c r="C2201" s="1" t="s">
        <v>49</v>
      </c>
      <c r="D2201" s="2" t="s">
        <v>131</v>
      </c>
      <c r="E2201" s="9" t="str">
        <f t="shared" si="507"/>
        <v>PND'!</v>
      </c>
      <c r="F2201" s="5" t="str">
        <f t="shared" si="508"/>
        <v>C:\Users\jaime.benazar\Quorum Business Solutions\Ecopetrol Prometeo - Documents\Planning Space Implementation\3. Analysis &amp; Design\Design\FC22\DRR Jaime\Neiva CPI\[VAO_DINA TERCIARIOS_CF_SEC_20230117.xlsx]CF PND'!</v>
      </c>
      <c r="G2201" s="6" t="s">
        <v>105</v>
      </c>
      <c r="H2201" s="1">
        <f t="shared" si="509"/>
        <v>69</v>
      </c>
      <c r="I2201" s="1" t="str">
        <f t="shared" si="510"/>
        <v>='C:\Users\jaime.benazar\Quorum Business Solutions\Ecopetrol Prometeo - Documents\Planning Space Implementation\3. Analysis &amp; Design\Design\FC22\DRR Jaime\Neiva CPI\[VAO_DINA TERCIARIOS_CF_SEC_20230117.xlsx]CF PND'!$CT$69</v>
      </c>
      <c r="J2201" s="1" t="s">
        <v>1164</v>
      </c>
    </row>
    <row r="2202" spans="1:10" x14ac:dyDescent="0.3">
      <c r="A2202" s="6" t="s">
        <v>16</v>
      </c>
      <c r="B2202" s="6">
        <f t="shared" si="511"/>
        <v>2057</v>
      </c>
      <c r="C2202" s="1" t="s">
        <v>49</v>
      </c>
      <c r="D2202" s="2" t="s">
        <v>131</v>
      </c>
      <c r="E2202" s="9" t="str">
        <f t="shared" si="507"/>
        <v>PND'!</v>
      </c>
      <c r="F2202" s="5" t="str">
        <f t="shared" si="508"/>
        <v>C:\Users\jaime.benazar\Quorum Business Solutions\Ecopetrol Prometeo - Documents\Planning Space Implementation\3. Analysis &amp; Design\Design\FC22\DRR Jaime\Neiva CPI\[VAO_DINA TERCIARIOS_CF_SEC_20230117.xlsx]CF PND'!</v>
      </c>
      <c r="G2202" s="6" t="s">
        <v>105</v>
      </c>
      <c r="H2202" s="1">
        <f t="shared" si="509"/>
        <v>70</v>
      </c>
      <c r="I2202" s="1" t="str">
        <f t="shared" si="510"/>
        <v>='C:\Users\jaime.benazar\Quorum Business Solutions\Ecopetrol Prometeo - Documents\Planning Space Implementation\3. Analysis &amp; Design\Design\FC22\DRR Jaime\Neiva CPI\[VAO_DINA TERCIARIOS_CF_SEC_20230117.xlsx]CF PND'!$CT$70</v>
      </c>
      <c r="J2202" s="1" t="s">
        <v>1165</v>
      </c>
    </row>
    <row r="2203" spans="1:10" x14ac:dyDescent="0.3">
      <c r="A2203" s="6" t="s">
        <v>16</v>
      </c>
      <c r="B2203" s="6">
        <f t="shared" si="511"/>
        <v>2058</v>
      </c>
      <c r="C2203" s="1" t="s">
        <v>49</v>
      </c>
      <c r="D2203" s="2" t="s">
        <v>131</v>
      </c>
      <c r="E2203" s="9" t="str">
        <f t="shared" si="507"/>
        <v>PND'!</v>
      </c>
      <c r="F2203" s="5" t="str">
        <f t="shared" si="508"/>
        <v>C:\Users\jaime.benazar\Quorum Business Solutions\Ecopetrol Prometeo - Documents\Planning Space Implementation\3. Analysis &amp; Design\Design\FC22\DRR Jaime\Neiva CPI\[VAO_DINA TERCIARIOS_CF_SEC_20230117.xlsx]CF PND'!</v>
      </c>
      <c r="G2203" s="6" t="s">
        <v>105</v>
      </c>
      <c r="H2203" s="1">
        <f t="shared" si="509"/>
        <v>71</v>
      </c>
      <c r="I2203" s="1" t="str">
        <f t="shared" si="510"/>
        <v>='C:\Users\jaime.benazar\Quorum Business Solutions\Ecopetrol Prometeo - Documents\Planning Space Implementation\3. Analysis &amp; Design\Design\FC22\DRR Jaime\Neiva CPI\[VAO_DINA TERCIARIOS_CF_SEC_20230117.xlsx]CF PND'!$CT$71</v>
      </c>
      <c r="J2203" s="1" t="s">
        <v>1166</v>
      </c>
    </row>
    <row r="2204" spans="1:10" x14ac:dyDescent="0.3">
      <c r="A2204" s="6" t="s">
        <v>16</v>
      </c>
      <c r="B2204" s="6">
        <f t="shared" si="511"/>
        <v>2059</v>
      </c>
      <c r="C2204" s="1" t="s">
        <v>49</v>
      </c>
      <c r="D2204" s="2" t="s">
        <v>131</v>
      </c>
      <c r="E2204" s="9" t="str">
        <f t="shared" si="507"/>
        <v>PND'!</v>
      </c>
      <c r="F2204" s="5" t="str">
        <f t="shared" si="508"/>
        <v>C:\Users\jaime.benazar\Quorum Business Solutions\Ecopetrol Prometeo - Documents\Planning Space Implementation\3. Analysis &amp; Design\Design\FC22\DRR Jaime\Neiva CPI\[VAO_DINA TERCIARIOS_CF_SEC_20230117.xlsx]CF PND'!</v>
      </c>
      <c r="G2204" s="6" t="s">
        <v>105</v>
      </c>
      <c r="H2204" s="1">
        <f t="shared" si="509"/>
        <v>72</v>
      </c>
      <c r="I2204" s="1" t="str">
        <f t="shared" si="510"/>
        <v>='C:\Users\jaime.benazar\Quorum Business Solutions\Ecopetrol Prometeo - Documents\Planning Space Implementation\3. Analysis &amp; Design\Design\FC22\DRR Jaime\Neiva CPI\[VAO_DINA TERCIARIOS_CF_SEC_20230117.xlsx]CF PND'!$CT$72</v>
      </c>
      <c r="J2204" s="1" t="s">
        <v>1167</v>
      </c>
    </row>
    <row r="2205" spans="1:10" x14ac:dyDescent="0.3">
      <c r="A2205" s="6" t="s">
        <v>26</v>
      </c>
      <c r="B2205" s="6"/>
      <c r="C2205" s="1" t="s">
        <v>49</v>
      </c>
      <c r="D2205" s="2"/>
      <c r="E2205" s="9"/>
      <c r="F2205" s="2"/>
      <c r="G2205" s="6"/>
      <c r="H2205" s="1"/>
      <c r="I2205" s="1"/>
      <c r="J2205" s="4"/>
    </row>
    <row r="2206" spans="1:10" x14ac:dyDescent="0.3">
      <c r="A2206" s="6" t="s">
        <v>17</v>
      </c>
      <c r="B2206" s="6">
        <v>2023</v>
      </c>
      <c r="C2206" s="1" t="s">
        <v>49</v>
      </c>
      <c r="D2206" s="2" t="s">
        <v>131</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Jaime\Neiva CPI\[VAO_DINA TERCIARIOS_CF_SEC_20230117.xlsx]CF PRBDP'!</v>
      </c>
      <c r="G2206" s="6" t="s">
        <v>105</v>
      </c>
      <c r="H2206" s="1"/>
      <c r="I2206" s="1"/>
      <c r="J2206" s="1"/>
    </row>
    <row r="2207" spans="1:10" x14ac:dyDescent="0.3">
      <c r="A2207" s="6" t="s">
        <v>17</v>
      </c>
      <c r="B2207" s="6">
        <f>+B2206+1</f>
        <v>2024</v>
      </c>
      <c r="C2207" s="1" t="s">
        <v>49</v>
      </c>
      <c r="D2207" s="2" t="s">
        <v>131</v>
      </c>
      <c r="E2207" s="9" t="str">
        <f t="shared" si="512"/>
        <v>PRBDP'!</v>
      </c>
      <c r="F2207" s="5" t="str">
        <f t="shared" si="513"/>
        <v>C:\Users\jaime.benazar\Quorum Business Solutions\Ecopetrol Prometeo - Documents\Planning Space Implementation\3. Analysis &amp; Design\Design\FC22\DRR Jaime\Neiva CPI\[VAO_DINA TERCIARIOS_CF_SEC_20230117.xlsx]CF PRBDP'!</v>
      </c>
      <c r="G2207" s="6" t="s">
        <v>105</v>
      </c>
      <c r="H2207" s="1"/>
      <c r="I2207" s="1"/>
      <c r="J2207" s="1"/>
    </row>
    <row r="2208" spans="1:10" x14ac:dyDescent="0.3">
      <c r="A2208" s="6" t="s">
        <v>17</v>
      </c>
      <c r="B2208" s="6">
        <f t="shared" ref="B2208:B2219" si="514">+B2207+1</f>
        <v>2025</v>
      </c>
      <c r="C2208" s="1" t="s">
        <v>49</v>
      </c>
      <c r="D2208" s="2" t="s">
        <v>131</v>
      </c>
      <c r="E2208" s="9" t="str">
        <f t="shared" si="512"/>
        <v>PRBDP'!</v>
      </c>
      <c r="F2208" s="5" t="str">
        <f t="shared" si="513"/>
        <v>C:\Users\jaime.benazar\Quorum Business Solutions\Ecopetrol Prometeo - Documents\Planning Space Implementation\3. Analysis &amp; Design\Design\FC22\DRR Jaime\Neiva CPI\[VAO_DINA TERCIARIOS_CF_SEC_20230117.xlsx]CF PRBDP'!</v>
      </c>
      <c r="G2208" s="6" t="s">
        <v>105</v>
      </c>
      <c r="H2208" s="1"/>
      <c r="I2208" s="1"/>
      <c r="J2208" s="1"/>
    </row>
    <row r="2209" spans="1:10" x14ac:dyDescent="0.3">
      <c r="A2209" s="6" t="s">
        <v>17</v>
      </c>
      <c r="B2209" s="6">
        <f t="shared" si="514"/>
        <v>2026</v>
      </c>
      <c r="C2209" s="1" t="s">
        <v>49</v>
      </c>
      <c r="D2209" s="2" t="s">
        <v>131</v>
      </c>
      <c r="E2209" s="9" t="str">
        <f t="shared" si="512"/>
        <v>PRBDP'!</v>
      </c>
      <c r="F2209" s="5" t="str">
        <f t="shared" si="513"/>
        <v>C:\Users\jaime.benazar\Quorum Business Solutions\Ecopetrol Prometeo - Documents\Planning Space Implementation\3. Analysis &amp; Design\Design\FC22\DRR Jaime\Neiva CPI\[VAO_DINA TERCIARIOS_CF_SEC_20230117.xlsx]CF PRBDP'!</v>
      </c>
      <c r="G2209" s="6" t="s">
        <v>105</v>
      </c>
      <c r="H2209" s="1"/>
      <c r="I2209" s="1"/>
      <c r="J2209" s="1"/>
    </row>
    <row r="2210" spans="1:10" x14ac:dyDescent="0.3">
      <c r="A2210" s="6" t="s">
        <v>17</v>
      </c>
      <c r="B2210" s="6">
        <f t="shared" si="514"/>
        <v>2027</v>
      </c>
      <c r="C2210" s="1" t="s">
        <v>49</v>
      </c>
      <c r="D2210" s="2" t="s">
        <v>131</v>
      </c>
      <c r="E2210" s="9" t="str">
        <f t="shared" si="512"/>
        <v>PRBDP'!</v>
      </c>
      <c r="F2210" s="5" t="str">
        <f t="shared" si="513"/>
        <v>C:\Users\jaime.benazar\Quorum Business Solutions\Ecopetrol Prometeo - Documents\Planning Space Implementation\3. Analysis &amp; Design\Design\FC22\DRR Jaime\Neiva CPI\[VAO_DINA TERCIARIOS_CF_SEC_20230117.xlsx]CF PRBDP'!</v>
      </c>
      <c r="G2210" s="6" t="s">
        <v>105</v>
      </c>
      <c r="H2210" s="1"/>
      <c r="I2210" s="1"/>
      <c r="J2210" s="1"/>
    </row>
    <row r="2211" spans="1:10" x14ac:dyDescent="0.3">
      <c r="A2211" s="6" t="s">
        <v>17</v>
      </c>
      <c r="B2211" s="6">
        <f t="shared" si="514"/>
        <v>2028</v>
      </c>
      <c r="C2211" s="1" t="s">
        <v>49</v>
      </c>
      <c r="D2211" s="2" t="s">
        <v>131</v>
      </c>
      <c r="E2211" s="9" t="str">
        <f t="shared" si="512"/>
        <v>PRBDP'!</v>
      </c>
      <c r="F2211" s="5" t="str">
        <f t="shared" si="513"/>
        <v>C:\Users\jaime.benazar\Quorum Business Solutions\Ecopetrol Prometeo - Documents\Planning Space Implementation\3. Analysis &amp; Design\Design\FC22\DRR Jaime\Neiva CPI\[VAO_DINA TERCIARIOS_CF_SEC_20230117.xlsx]CF PRBDP'!</v>
      </c>
      <c r="G2211" s="6" t="s">
        <v>105</v>
      </c>
      <c r="H2211" s="1"/>
      <c r="I2211" s="1"/>
      <c r="J2211" s="1"/>
    </row>
    <row r="2212" spans="1:10" x14ac:dyDescent="0.3">
      <c r="A2212" s="6" t="s">
        <v>17</v>
      </c>
      <c r="B2212" s="6">
        <f t="shared" si="514"/>
        <v>2029</v>
      </c>
      <c r="C2212" s="1" t="s">
        <v>49</v>
      </c>
      <c r="D2212" s="2" t="s">
        <v>131</v>
      </c>
      <c r="E2212" s="9" t="str">
        <f t="shared" si="512"/>
        <v>PRBDP'!</v>
      </c>
      <c r="F2212" s="5" t="str">
        <f t="shared" si="513"/>
        <v>C:\Users\jaime.benazar\Quorum Business Solutions\Ecopetrol Prometeo - Documents\Planning Space Implementation\3. Analysis &amp; Design\Design\FC22\DRR Jaime\Neiva CPI\[VAO_DINA TERCIARIOS_CF_SEC_20230117.xlsx]CF PRBDP'!</v>
      </c>
      <c r="G2212" s="6" t="s">
        <v>105</v>
      </c>
      <c r="H2212" s="1"/>
      <c r="I2212" s="1"/>
      <c r="J2212" s="1"/>
    </row>
    <row r="2213" spans="1:10" x14ac:dyDescent="0.3">
      <c r="A2213" s="6" t="s">
        <v>17</v>
      </c>
      <c r="B2213" s="6">
        <f t="shared" si="514"/>
        <v>2030</v>
      </c>
      <c r="C2213" s="1" t="s">
        <v>49</v>
      </c>
      <c r="D2213" s="2" t="s">
        <v>131</v>
      </c>
      <c r="E2213" s="9" t="str">
        <f t="shared" si="512"/>
        <v>PRBDP'!</v>
      </c>
      <c r="F2213" s="5" t="str">
        <f t="shared" si="513"/>
        <v>C:\Users\jaime.benazar\Quorum Business Solutions\Ecopetrol Prometeo - Documents\Planning Space Implementation\3. Analysis &amp; Design\Design\FC22\DRR Jaime\Neiva CPI\[VAO_DINA TERCIARIOS_CF_SEC_20230117.xlsx]CF PRBDP'!</v>
      </c>
      <c r="G2213" s="6" t="s">
        <v>105</v>
      </c>
      <c r="H2213" s="1"/>
      <c r="I2213" s="1"/>
      <c r="J2213" s="1"/>
    </row>
    <row r="2214" spans="1:10" x14ac:dyDescent="0.3">
      <c r="A2214" s="6" t="s">
        <v>17</v>
      </c>
      <c r="B2214" s="6">
        <f t="shared" si="514"/>
        <v>2031</v>
      </c>
      <c r="C2214" s="1" t="s">
        <v>49</v>
      </c>
      <c r="D2214" s="2" t="s">
        <v>131</v>
      </c>
      <c r="E2214" s="9" t="str">
        <f t="shared" si="512"/>
        <v>PRBDP'!</v>
      </c>
      <c r="F2214" s="5" t="str">
        <f t="shared" si="513"/>
        <v>C:\Users\jaime.benazar\Quorum Business Solutions\Ecopetrol Prometeo - Documents\Planning Space Implementation\3. Analysis &amp; Design\Design\FC22\DRR Jaime\Neiva CPI\[VAO_DINA TERCIARIOS_CF_SEC_20230117.xlsx]CF PRBDP'!</v>
      </c>
      <c r="G2214" s="6" t="s">
        <v>105</v>
      </c>
      <c r="H2214" s="1"/>
      <c r="I2214" s="1"/>
      <c r="J2214" s="1"/>
    </row>
    <row r="2215" spans="1:10" x14ac:dyDescent="0.3">
      <c r="A2215" s="6" t="s">
        <v>17</v>
      </c>
      <c r="B2215" s="6">
        <f t="shared" si="514"/>
        <v>2032</v>
      </c>
      <c r="C2215" s="1" t="s">
        <v>49</v>
      </c>
      <c r="D2215" s="2" t="s">
        <v>131</v>
      </c>
      <c r="E2215" s="9" t="str">
        <f t="shared" si="512"/>
        <v>PRBDP'!</v>
      </c>
      <c r="F2215" s="5" t="str">
        <f t="shared" si="513"/>
        <v>C:\Users\jaime.benazar\Quorum Business Solutions\Ecopetrol Prometeo - Documents\Planning Space Implementation\3. Analysis &amp; Design\Design\FC22\DRR Jaime\Neiva CPI\[VAO_DINA TERCIARIOS_CF_SEC_20230117.xlsx]CF PRBDP'!</v>
      </c>
      <c r="G2215" s="6" t="s">
        <v>105</v>
      </c>
      <c r="H2215" s="1"/>
      <c r="I2215" s="1"/>
      <c r="J2215" s="1"/>
    </row>
    <row r="2216" spans="1:10" x14ac:dyDescent="0.3">
      <c r="A2216" s="6" t="s">
        <v>17</v>
      </c>
      <c r="B2216" s="6">
        <f t="shared" si="514"/>
        <v>2033</v>
      </c>
      <c r="C2216" s="1" t="s">
        <v>49</v>
      </c>
      <c r="D2216" s="2" t="s">
        <v>131</v>
      </c>
      <c r="E2216" s="9" t="str">
        <f t="shared" si="512"/>
        <v>PRBDP'!</v>
      </c>
      <c r="F2216" s="5" t="str">
        <f t="shared" si="513"/>
        <v>C:\Users\jaime.benazar\Quorum Business Solutions\Ecopetrol Prometeo - Documents\Planning Space Implementation\3. Analysis &amp; Design\Design\FC22\DRR Jaime\Neiva CPI\[VAO_DINA TERCIARIOS_CF_SEC_20230117.xlsx]CF PRBDP'!</v>
      </c>
      <c r="G2216" s="6" t="s">
        <v>105</v>
      </c>
      <c r="H2216" s="1"/>
      <c r="I2216" s="1"/>
      <c r="J2216" s="1"/>
    </row>
    <row r="2217" spans="1:10" x14ac:dyDescent="0.3">
      <c r="A2217" s="6" t="s">
        <v>17</v>
      </c>
      <c r="B2217" s="6">
        <f t="shared" si="514"/>
        <v>2034</v>
      </c>
      <c r="C2217" s="1" t="s">
        <v>49</v>
      </c>
      <c r="D2217" s="2" t="s">
        <v>131</v>
      </c>
      <c r="E2217" s="9" t="str">
        <f t="shared" si="512"/>
        <v>PRBDP'!</v>
      </c>
      <c r="F2217" s="5" t="str">
        <f t="shared" si="513"/>
        <v>C:\Users\jaime.benazar\Quorum Business Solutions\Ecopetrol Prometeo - Documents\Planning Space Implementation\3. Analysis &amp; Design\Design\FC22\DRR Jaime\Neiva CPI\[VAO_DINA TERCIARIOS_CF_SEC_20230117.xlsx]CF PRBDP'!</v>
      </c>
      <c r="G2217" s="6" t="s">
        <v>105</v>
      </c>
      <c r="H2217" s="1"/>
      <c r="I2217" s="1"/>
      <c r="J2217" s="1"/>
    </row>
    <row r="2218" spans="1:10" x14ac:dyDescent="0.3">
      <c r="A2218" s="6" t="s">
        <v>17</v>
      </c>
      <c r="B2218" s="6">
        <f t="shared" si="514"/>
        <v>2035</v>
      </c>
      <c r="C2218" s="1" t="s">
        <v>49</v>
      </c>
      <c r="D2218" s="2" t="s">
        <v>131</v>
      </c>
      <c r="E2218" s="9" t="str">
        <f t="shared" si="512"/>
        <v>PRBDP'!</v>
      </c>
      <c r="F2218" s="5" t="str">
        <f t="shared" si="513"/>
        <v>C:\Users\jaime.benazar\Quorum Business Solutions\Ecopetrol Prometeo - Documents\Planning Space Implementation\3. Analysis &amp; Design\Design\FC22\DRR Jaime\Neiva CPI\[VAO_DINA TERCIARIOS_CF_SEC_20230117.xlsx]CF PRBDP'!</v>
      </c>
      <c r="G2218" s="6" t="s">
        <v>105</v>
      </c>
      <c r="H2218" s="1"/>
      <c r="I2218" s="1"/>
      <c r="J2218" s="1"/>
    </row>
    <row r="2219" spans="1:10" x14ac:dyDescent="0.3">
      <c r="A2219" s="6" t="s">
        <v>17</v>
      </c>
      <c r="B2219" s="6">
        <f t="shared" si="514"/>
        <v>2036</v>
      </c>
      <c r="C2219" s="1" t="s">
        <v>49</v>
      </c>
      <c r="D2219" s="2" t="s">
        <v>131</v>
      </c>
      <c r="E2219" s="9" t="str">
        <f t="shared" si="512"/>
        <v>PRBDP'!</v>
      </c>
      <c r="F2219" s="5" t="str">
        <f t="shared" si="513"/>
        <v>C:\Users\jaime.benazar\Quorum Business Solutions\Ecopetrol Prometeo - Documents\Planning Space Implementation\3. Analysis &amp; Design\Design\FC22\DRR Jaime\Neiva CPI\[VAO_DINA TERCIARIOS_CF_SEC_20230117.xlsx]CF PRBDP'!</v>
      </c>
      <c r="G2219" s="6" t="s">
        <v>105</v>
      </c>
      <c r="H2219" s="1"/>
      <c r="I2219" s="1"/>
      <c r="J2219" s="1"/>
    </row>
    <row r="2220" spans="1:10" x14ac:dyDescent="0.3">
      <c r="A2220" s="6" t="s">
        <v>17</v>
      </c>
      <c r="B2220" s="6">
        <f>+B2219+1</f>
        <v>2037</v>
      </c>
      <c r="C2220" s="1" t="s">
        <v>49</v>
      </c>
      <c r="D2220" s="2" t="s">
        <v>131</v>
      </c>
      <c r="E2220" s="9" t="str">
        <f t="shared" si="512"/>
        <v>PRBDP'!</v>
      </c>
      <c r="F2220" s="5" t="str">
        <f t="shared" si="513"/>
        <v>C:\Users\jaime.benazar\Quorum Business Solutions\Ecopetrol Prometeo - Documents\Planning Space Implementation\3. Analysis &amp; Design\Design\FC22\DRR Jaime\Neiva CPI\[VAO_DINA TERCIARIOS_CF_SEC_20230117.xlsx]CF PRBDP'!</v>
      </c>
      <c r="G2220" s="6" t="s">
        <v>105</v>
      </c>
      <c r="H2220" s="1"/>
      <c r="I2220" s="1"/>
      <c r="J2220" s="1"/>
    </row>
    <row r="2221" spans="1:10" x14ac:dyDescent="0.3">
      <c r="A2221" s="6" t="s">
        <v>17</v>
      </c>
      <c r="B2221" s="6">
        <f t="shared" ref="B2221:B2223" si="515">+B2220+1</f>
        <v>2038</v>
      </c>
      <c r="C2221" s="1" t="s">
        <v>49</v>
      </c>
      <c r="D2221" s="2" t="s">
        <v>131</v>
      </c>
      <c r="E2221" s="9" t="str">
        <f t="shared" si="512"/>
        <v>PRBDP'!</v>
      </c>
      <c r="F2221" s="5" t="str">
        <f t="shared" si="513"/>
        <v>C:\Users\jaime.benazar\Quorum Business Solutions\Ecopetrol Prometeo - Documents\Planning Space Implementation\3. Analysis &amp; Design\Design\FC22\DRR Jaime\Neiva CPI\[VAO_DINA TERCIARIOS_CF_SEC_20230117.xlsx]CF PRBDP'!</v>
      </c>
      <c r="G2221" s="6" t="s">
        <v>105</v>
      </c>
      <c r="H2221" s="1"/>
      <c r="I2221" s="1"/>
      <c r="J2221" s="1"/>
    </row>
    <row r="2222" spans="1:10" x14ac:dyDescent="0.3">
      <c r="A2222" s="6" t="s">
        <v>17</v>
      </c>
      <c r="B2222" s="6">
        <f t="shared" si="515"/>
        <v>2039</v>
      </c>
      <c r="C2222" s="1" t="s">
        <v>49</v>
      </c>
      <c r="D2222" s="2" t="s">
        <v>131</v>
      </c>
      <c r="E2222" s="9" t="str">
        <f t="shared" si="512"/>
        <v>PRBDP'!</v>
      </c>
      <c r="F2222" s="5" t="str">
        <f t="shared" si="513"/>
        <v>C:\Users\jaime.benazar\Quorum Business Solutions\Ecopetrol Prometeo - Documents\Planning Space Implementation\3. Analysis &amp; Design\Design\FC22\DRR Jaime\Neiva CPI\[VAO_DINA TERCIARIOS_CF_SEC_20230117.xlsx]CF PRBDP'!</v>
      </c>
      <c r="G2222" s="6" t="s">
        <v>105</v>
      </c>
      <c r="H2222" s="1"/>
      <c r="I2222" s="1"/>
      <c r="J2222" s="1"/>
    </row>
    <row r="2223" spans="1:10" x14ac:dyDescent="0.3">
      <c r="A2223" s="6" t="s">
        <v>17</v>
      </c>
      <c r="B2223" s="6">
        <f t="shared" si="515"/>
        <v>2040</v>
      </c>
      <c r="C2223" s="1" t="s">
        <v>49</v>
      </c>
      <c r="D2223" s="2" t="s">
        <v>131</v>
      </c>
      <c r="E2223" s="9" t="str">
        <f t="shared" si="512"/>
        <v>PRBDP'!</v>
      </c>
      <c r="F2223" s="5" t="str">
        <f t="shared" si="513"/>
        <v>C:\Users\jaime.benazar\Quorum Business Solutions\Ecopetrol Prometeo - Documents\Planning Space Implementation\3. Analysis &amp; Design\Design\FC22\DRR Jaime\Neiva CPI\[VAO_DINA TERCIARIOS_CF_SEC_20230117.xlsx]CF PRBDP'!</v>
      </c>
      <c r="G2223" s="6" t="s">
        <v>105</v>
      </c>
      <c r="H2223" s="1"/>
      <c r="I2223" s="1"/>
      <c r="J2223" s="1"/>
    </row>
    <row r="2224" spans="1:10" x14ac:dyDescent="0.3">
      <c r="A2224" s="6" t="s">
        <v>17</v>
      </c>
      <c r="B2224" s="6">
        <f>+B2223+1</f>
        <v>2041</v>
      </c>
      <c r="C2224" s="1" t="s">
        <v>49</v>
      </c>
      <c r="D2224" s="2" t="s">
        <v>131</v>
      </c>
      <c r="E2224" s="9" t="str">
        <f t="shared" si="512"/>
        <v>PRBDP'!</v>
      </c>
      <c r="F2224" s="5" t="str">
        <f t="shared" si="513"/>
        <v>C:\Users\jaime.benazar\Quorum Business Solutions\Ecopetrol Prometeo - Documents\Planning Space Implementation\3. Analysis &amp; Design\Design\FC22\DRR Jaime\Neiva CPI\[VAO_DINA TERCIARIOS_CF_SEC_20230117.xlsx]CF PRBDP'!</v>
      </c>
      <c r="G2224" s="6" t="s">
        <v>105</v>
      </c>
      <c r="H2224" s="1"/>
      <c r="I2224" s="1"/>
      <c r="J2224" s="1"/>
    </row>
    <row r="2225" spans="1:10" x14ac:dyDescent="0.3">
      <c r="A2225" s="6" t="s">
        <v>17</v>
      </c>
      <c r="B2225" s="6">
        <f t="shared" ref="B2225:B2226" si="516">+B2224+1</f>
        <v>2042</v>
      </c>
      <c r="C2225" s="1" t="s">
        <v>49</v>
      </c>
      <c r="D2225" s="2" t="s">
        <v>131</v>
      </c>
      <c r="E2225" s="9" t="str">
        <f t="shared" si="512"/>
        <v>PRBDP'!</v>
      </c>
      <c r="F2225" s="5" t="str">
        <f t="shared" si="513"/>
        <v>C:\Users\jaime.benazar\Quorum Business Solutions\Ecopetrol Prometeo - Documents\Planning Space Implementation\3. Analysis &amp; Design\Design\FC22\DRR Jaime\Neiva CPI\[VAO_DINA TERCIARIOS_CF_SEC_20230117.xlsx]CF PRBDP'!</v>
      </c>
      <c r="G2225" s="6" t="s">
        <v>105</v>
      </c>
      <c r="H2225" s="1"/>
      <c r="I2225" s="1"/>
      <c r="J2225" s="1"/>
    </row>
    <row r="2226" spans="1:10" x14ac:dyDescent="0.3">
      <c r="A2226" s="6" t="s">
        <v>17</v>
      </c>
      <c r="B2226" s="6">
        <f t="shared" si="516"/>
        <v>2043</v>
      </c>
      <c r="C2226" s="1" t="s">
        <v>49</v>
      </c>
      <c r="D2226" s="2" t="s">
        <v>131</v>
      </c>
      <c r="E2226" s="9" t="str">
        <f t="shared" si="512"/>
        <v>PRBDP'!</v>
      </c>
      <c r="F2226" s="5" t="str">
        <f t="shared" si="513"/>
        <v>C:\Users\jaime.benazar\Quorum Business Solutions\Ecopetrol Prometeo - Documents\Planning Space Implementation\3. Analysis &amp; Design\Design\FC22\DRR Jaime\Neiva CPI\[VAO_DINA TERCIARIOS_CF_SEC_20230117.xlsx]CF PRBDP'!</v>
      </c>
      <c r="G2226" s="6" t="s">
        <v>105</v>
      </c>
      <c r="H2226" s="1"/>
      <c r="I2226" s="1"/>
      <c r="J2226" s="1"/>
    </row>
    <row r="2227" spans="1:10" x14ac:dyDescent="0.3">
      <c r="A2227" s="6" t="s">
        <v>17</v>
      </c>
      <c r="B2227" s="6">
        <f>+B2226+1</f>
        <v>2044</v>
      </c>
      <c r="C2227" s="1" t="s">
        <v>49</v>
      </c>
      <c r="D2227" s="2" t="s">
        <v>131</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Jaime\Neiva CPI\[VAO_DINA TERCIARIOS_CF_SEC_20230117.xlsx]CF PRBDP'!</v>
      </c>
      <c r="G2227" s="6" t="s">
        <v>105</v>
      </c>
      <c r="H2227" s="1"/>
      <c r="I2227" s="1"/>
      <c r="J2227" s="1"/>
    </row>
    <row r="2228" spans="1:10" x14ac:dyDescent="0.3">
      <c r="A2228" s="6" t="s">
        <v>17</v>
      </c>
      <c r="B2228" s="6">
        <f t="shared" ref="B2228:B2242" si="519">+B2227+1</f>
        <v>2045</v>
      </c>
      <c r="C2228" s="1" t="s">
        <v>49</v>
      </c>
      <c r="D2228" s="2" t="s">
        <v>131</v>
      </c>
      <c r="E2228" s="9" t="str">
        <f t="shared" si="517"/>
        <v>PRBDP'!</v>
      </c>
      <c r="F2228" s="5" t="str">
        <f t="shared" si="518"/>
        <v>C:\Users\jaime.benazar\Quorum Business Solutions\Ecopetrol Prometeo - Documents\Planning Space Implementation\3. Analysis &amp; Design\Design\FC22\DRR Jaime\Neiva CPI\[VAO_DINA TERCIARIOS_CF_SEC_20230117.xlsx]CF PRBDP'!</v>
      </c>
      <c r="G2228" s="6" t="s">
        <v>105</v>
      </c>
      <c r="H2228" s="1"/>
      <c r="I2228" s="1"/>
      <c r="J2228" s="1"/>
    </row>
    <row r="2229" spans="1:10" x14ac:dyDescent="0.3">
      <c r="A2229" s="6" t="s">
        <v>17</v>
      </c>
      <c r="B2229" s="6">
        <f t="shared" si="519"/>
        <v>2046</v>
      </c>
      <c r="C2229" s="1" t="s">
        <v>49</v>
      </c>
      <c r="D2229" s="2" t="s">
        <v>131</v>
      </c>
      <c r="E2229" s="9" t="str">
        <f t="shared" si="517"/>
        <v>PRBDP'!</v>
      </c>
      <c r="F2229" s="5" t="str">
        <f t="shared" si="518"/>
        <v>C:\Users\jaime.benazar\Quorum Business Solutions\Ecopetrol Prometeo - Documents\Planning Space Implementation\3. Analysis &amp; Design\Design\FC22\DRR Jaime\Neiva CPI\[VAO_DINA TERCIARIOS_CF_SEC_20230117.xlsx]CF PRBDP'!</v>
      </c>
      <c r="G2229" s="6" t="s">
        <v>105</v>
      </c>
      <c r="H2229" s="1"/>
      <c r="I2229" s="1"/>
      <c r="J2229" s="1"/>
    </row>
    <row r="2230" spans="1:10" x14ac:dyDescent="0.3">
      <c r="A2230" s="6" t="s">
        <v>17</v>
      </c>
      <c r="B2230" s="6">
        <f t="shared" si="519"/>
        <v>2047</v>
      </c>
      <c r="C2230" s="1" t="s">
        <v>49</v>
      </c>
      <c r="D2230" s="2" t="s">
        <v>131</v>
      </c>
      <c r="E2230" s="9" t="str">
        <f t="shared" si="517"/>
        <v>PRBDP'!</v>
      </c>
      <c r="F2230" s="5" t="str">
        <f t="shared" si="518"/>
        <v>C:\Users\jaime.benazar\Quorum Business Solutions\Ecopetrol Prometeo - Documents\Planning Space Implementation\3. Analysis &amp; Design\Design\FC22\DRR Jaime\Neiva CPI\[VAO_DINA TERCIARIOS_CF_SEC_20230117.xlsx]CF PRBDP'!</v>
      </c>
      <c r="G2230" s="6" t="s">
        <v>105</v>
      </c>
      <c r="H2230" s="1"/>
      <c r="I2230" s="1"/>
      <c r="J2230" s="1"/>
    </row>
    <row r="2231" spans="1:10" x14ac:dyDescent="0.3">
      <c r="A2231" s="6" t="s">
        <v>17</v>
      </c>
      <c r="B2231" s="6">
        <f t="shared" si="519"/>
        <v>2048</v>
      </c>
      <c r="C2231" s="1" t="s">
        <v>49</v>
      </c>
      <c r="D2231" s="2" t="s">
        <v>131</v>
      </c>
      <c r="E2231" s="9" t="str">
        <f t="shared" si="517"/>
        <v>PRBDP'!</v>
      </c>
      <c r="F2231" s="5" t="str">
        <f t="shared" si="518"/>
        <v>C:\Users\jaime.benazar\Quorum Business Solutions\Ecopetrol Prometeo - Documents\Planning Space Implementation\3. Analysis &amp; Design\Design\FC22\DRR Jaime\Neiva CPI\[VAO_DINA TERCIARIOS_CF_SEC_20230117.xlsx]CF PRBDP'!</v>
      </c>
      <c r="G2231" s="6" t="s">
        <v>105</v>
      </c>
      <c r="H2231" s="1"/>
      <c r="I2231" s="1"/>
      <c r="J2231" s="1"/>
    </row>
    <row r="2232" spans="1:10" x14ac:dyDescent="0.3">
      <c r="A2232" s="6" t="s">
        <v>17</v>
      </c>
      <c r="B2232" s="6">
        <f t="shared" si="519"/>
        <v>2049</v>
      </c>
      <c r="C2232" s="1" t="s">
        <v>49</v>
      </c>
      <c r="D2232" s="2" t="s">
        <v>131</v>
      </c>
      <c r="E2232" s="9" t="str">
        <f t="shared" si="517"/>
        <v>PRBDP'!</v>
      </c>
      <c r="F2232" s="5" t="str">
        <f t="shared" si="518"/>
        <v>C:\Users\jaime.benazar\Quorum Business Solutions\Ecopetrol Prometeo - Documents\Planning Space Implementation\3. Analysis &amp; Design\Design\FC22\DRR Jaime\Neiva CPI\[VAO_DINA TERCIARIOS_CF_SEC_20230117.xlsx]CF PRBDP'!</v>
      </c>
      <c r="G2232" s="6" t="s">
        <v>105</v>
      </c>
      <c r="H2232" s="1"/>
      <c r="I2232" s="1"/>
      <c r="J2232" s="1"/>
    </row>
    <row r="2233" spans="1:10" x14ac:dyDescent="0.3">
      <c r="A2233" s="6" t="s">
        <v>17</v>
      </c>
      <c r="B2233" s="6">
        <f t="shared" si="519"/>
        <v>2050</v>
      </c>
      <c r="C2233" s="1" t="s">
        <v>49</v>
      </c>
      <c r="D2233" s="2" t="s">
        <v>131</v>
      </c>
      <c r="E2233" s="9" t="str">
        <f t="shared" si="517"/>
        <v>PRBDP'!</v>
      </c>
      <c r="F2233" s="5" t="str">
        <f t="shared" si="518"/>
        <v>C:\Users\jaime.benazar\Quorum Business Solutions\Ecopetrol Prometeo - Documents\Planning Space Implementation\3. Analysis &amp; Design\Design\FC22\DRR Jaime\Neiva CPI\[VAO_DINA TERCIARIOS_CF_SEC_20230117.xlsx]CF PRBDP'!</v>
      </c>
      <c r="G2233" s="6" t="s">
        <v>105</v>
      </c>
      <c r="H2233" s="1"/>
      <c r="I2233" s="1"/>
      <c r="J2233" s="1"/>
    </row>
    <row r="2234" spans="1:10" x14ac:dyDescent="0.3">
      <c r="A2234" s="6" t="s">
        <v>17</v>
      </c>
      <c r="B2234" s="6">
        <f t="shared" si="519"/>
        <v>2051</v>
      </c>
      <c r="C2234" s="1" t="s">
        <v>49</v>
      </c>
      <c r="D2234" s="2" t="s">
        <v>131</v>
      </c>
      <c r="E2234" s="9" t="str">
        <f t="shared" si="517"/>
        <v>PRBDP'!</v>
      </c>
      <c r="F2234" s="5" t="str">
        <f t="shared" si="518"/>
        <v>C:\Users\jaime.benazar\Quorum Business Solutions\Ecopetrol Prometeo - Documents\Planning Space Implementation\3. Analysis &amp; Design\Design\FC22\DRR Jaime\Neiva CPI\[VAO_DINA TERCIARIOS_CF_SEC_20230117.xlsx]CF PRBDP'!</v>
      </c>
      <c r="G2234" s="6" t="s">
        <v>105</v>
      </c>
      <c r="H2234" s="1"/>
      <c r="I2234" s="1"/>
      <c r="J2234" s="1"/>
    </row>
    <row r="2235" spans="1:10" x14ac:dyDescent="0.3">
      <c r="A2235" s="6" t="s">
        <v>17</v>
      </c>
      <c r="B2235" s="6">
        <f t="shared" si="519"/>
        <v>2052</v>
      </c>
      <c r="C2235" s="1" t="s">
        <v>49</v>
      </c>
      <c r="D2235" s="2" t="s">
        <v>131</v>
      </c>
      <c r="E2235" s="9" t="str">
        <f t="shared" si="517"/>
        <v>PRBDP'!</v>
      </c>
      <c r="F2235" s="5" t="str">
        <f t="shared" si="518"/>
        <v>C:\Users\jaime.benazar\Quorum Business Solutions\Ecopetrol Prometeo - Documents\Planning Space Implementation\3. Analysis &amp; Design\Design\FC22\DRR Jaime\Neiva CPI\[VAO_DINA TERCIARIOS_CF_SEC_20230117.xlsx]CF PRBDP'!</v>
      </c>
      <c r="G2235" s="6" t="s">
        <v>105</v>
      </c>
      <c r="H2235" s="1"/>
      <c r="I2235" s="1"/>
      <c r="J2235" s="1"/>
    </row>
    <row r="2236" spans="1:10" x14ac:dyDescent="0.3">
      <c r="A2236" s="6" t="s">
        <v>17</v>
      </c>
      <c r="B2236" s="6">
        <f t="shared" si="519"/>
        <v>2053</v>
      </c>
      <c r="C2236" s="1" t="s">
        <v>49</v>
      </c>
      <c r="D2236" s="2" t="s">
        <v>131</v>
      </c>
      <c r="E2236" s="9" t="str">
        <f t="shared" si="517"/>
        <v>PRBDP'!</v>
      </c>
      <c r="F2236" s="5" t="str">
        <f t="shared" si="518"/>
        <v>C:\Users\jaime.benazar\Quorum Business Solutions\Ecopetrol Prometeo - Documents\Planning Space Implementation\3. Analysis &amp; Design\Design\FC22\DRR Jaime\Neiva CPI\[VAO_DINA TERCIARIOS_CF_SEC_20230117.xlsx]CF PRBDP'!</v>
      </c>
      <c r="G2236" s="6" t="s">
        <v>105</v>
      </c>
      <c r="H2236" s="1"/>
      <c r="I2236" s="1"/>
      <c r="J2236" s="1"/>
    </row>
    <row r="2237" spans="1:10" x14ac:dyDescent="0.3">
      <c r="A2237" s="6" t="s">
        <v>17</v>
      </c>
      <c r="B2237" s="6">
        <f t="shared" si="519"/>
        <v>2054</v>
      </c>
      <c r="C2237" s="1" t="s">
        <v>49</v>
      </c>
      <c r="D2237" s="2" t="s">
        <v>131</v>
      </c>
      <c r="E2237" s="9" t="str">
        <f t="shared" si="517"/>
        <v>PRBDP'!</v>
      </c>
      <c r="F2237" s="5" t="str">
        <f t="shared" si="518"/>
        <v>C:\Users\jaime.benazar\Quorum Business Solutions\Ecopetrol Prometeo - Documents\Planning Space Implementation\3. Analysis &amp; Design\Design\FC22\DRR Jaime\Neiva CPI\[VAO_DINA TERCIARIOS_CF_SEC_20230117.xlsx]CF PRBDP'!</v>
      </c>
      <c r="G2237" s="6" t="s">
        <v>105</v>
      </c>
      <c r="H2237" s="1"/>
      <c r="I2237" s="1"/>
      <c r="J2237" s="1"/>
    </row>
    <row r="2238" spans="1:10" x14ac:dyDescent="0.3">
      <c r="A2238" s="6" t="s">
        <v>17</v>
      </c>
      <c r="B2238" s="6">
        <f t="shared" si="519"/>
        <v>2055</v>
      </c>
      <c r="C2238" s="1" t="s">
        <v>49</v>
      </c>
      <c r="D2238" s="2" t="s">
        <v>131</v>
      </c>
      <c r="E2238" s="9" t="str">
        <f t="shared" si="517"/>
        <v>PRBDP'!</v>
      </c>
      <c r="F2238" s="5" t="str">
        <f t="shared" si="518"/>
        <v>C:\Users\jaime.benazar\Quorum Business Solutions\Ecopetrol Prometeo - Documents\Planning Space Implementation\3. Analysis &amp; Design\Design\FC22\DRR Jaime\Neiva CPI\[VAO_DINA TERCIARIOS_CF_SEC_20230117.xlsx]CF PRBDP'!</v>
      </c>
      <c r="G2238" s="6" t="s">
        <v>105</v>
      </c>
      <c r="H2238" s="1"/>
      <c r="I2238" s="1"/>
      <c r="J2238" s="1"/>
    </row>
    <row r="2239" spans="1:10" x14ac:dyDescent="0.3">
      <c r="A2239" s="6" t="s">
        <v>17</v>
      </c>
      <c r="B2239" s="6">
        <f t="shared" si="519"/>
        <v>2056</v>
      </c>
      <c r="C2239" s="1" t="s">
        <v>49</v>
      </c>
      <c r="D2239" s="2" t="s">
        <v>131</v>
      </c>
      <c r="E2239" s="9" t="str">
        <f t="shared" si="517"/>
        <v>PRBDP'!</v>
      </c>
      <c r="F2239" s="5" t="str">
        <f t="shared" si="518"/>
        <v>C:\Users\jaime.benazar\Quorum Business Solutions\Ecopetrol Prometeo - Documents\Planning Space Implementation\3. Analysis &amp; Design\Design\FC22\DRR Jaime\Neiva CPI\[VAO_DINA TERCIARIOS_CF_SEC_20230117.xlsx]CF PRBDP'!</v>
      </c>
      <c r="G2239" s="6" t="s">
        <v>105</v>
      </c>
      <c r="H2239" s="1"/>
      <c r="I2239" s="1"/>
      <c r="J2239" s="1"/>
    </row>
    <row r="2240" spans="1:10" x14ac:dyDescent="0.3">
      <c r="A2240" s="6" t="s">
        <v>17</v>
      </c>
      <c r="B2240" s="6">
        <f t="shared" si="519"/>
        <v>2057</v>
      </c>
      <c r="C2240" s="1" t="s">
        <v>49</v>
      </c>
      <c r="D2240" s="2" t="s">
        <v>131</v>
      </c>
      <c r="E2240" s="9" t="str">
        <f t="shared" si="517"/>
        <v>PRBDP'!</v>
      </c>
      <c r="F2240" s="5" t="str">
        <f t="shared" si="518"/>
        <v>C:\Users\jaime.benazar\Quorum Business Solutions\Ecopetrol Prometeo - Documents\Planning Space Implementation\3. Analysis &amp; Design\Design\FC22\DRR Jaime\Neiva CPI\[VAO_DINA TERCIARIOS_CF_SEC_20230117.xlsx]CF PRBDP'!</v>
      </c>
      <c r="G2240" s="6" t="s">
        <v>105</v>
      </c>
      <c r="H2240" s="1"/>
      <c r="I2240" s="1"/>
      <c r="J2240" s="1"/>
    </row>
    <row r="2241" spans="1:10" x14ac:dyDescent="0.3">
      <c r="A2241" s="6" t="s">
        <v>17</v>
      </c>
      <c r="B2241" s="6">
        <f t="shared" si="519"/>
        <v>2058</v>
      </c>
      <c r="C2241" s="1" t="s">
        <v>49</v>
      </c>
      <c r="D2241" s="2" t="s">
        <v>131</v>
      </c>
      <c r="E2241" s="9" t="str">
        <f t="shared" si="517"/>
        <v>PRBDP'!</v>
      </c>
      <c r="F2241" s="5" t="str">
        <f t="shared" si="518"/>
        <v>C:\Users\jaime.benazar\Quorum Business Solutions\Ecopetrol Prometeo - Documents\Planning Space Implementation\3. Analysis &amp; Design\Design\FC22\DRR Jaime\Neiva CPI\[VAO_DINA TERCIARIOS_CF_SEC_20230117.xlsx]CF PRBDP'!</v>
      </c>
      <c r="G2241" s="6" t="s">
        <v>105</v>
      </c>
      <c r="H2241" s="1"/>
      <c r="I2241" s="1"/>
      <c r="J2241" s="1"/>
    </row>
    <row r="2242" spans="1:10" x14ac:dyDescent="0.3">
      <c r="A2242" s="6" t="s">
        <v>17</v>
      </c>
      <c r="B2242" s="6">
        <f t="shared" si="519"/>
        <v>2059</v>
      </c>
      <c r="C2242" s="1" t="s">
        <v>49</v>
      </c>
      <c r="D2242" s="2" t="s">
        <v>131</v>
      </c>
      <c r="E2242" s="9" t="str">
        <f t="shared" si="517"/>
        <v>PRBDP'!</v>
      </c>
      <c r="F2242" s="5" t="str">
        <f t="shared" si="518"/>
        <v>C:\Users\jaime.benazar\Quorum Business Solutions\Ecopetrol Prometeo - Documents\Planning Space Implementation\3. Analysis &amp; Design\Design\FC22\DRR Jaime\Neiva CPI\[VAO_DINA TERCIARIOS_CF_SEC_20230117.xlsx]CF PRBDP'!</v>
      </c>
      <c r="G2242" s="6" t="s">
        <v>105</v>
      </c>
      <c r="H2242" s="1"/>
      <c r="I2242" s="1"/>
      <c r="J2242" s="1"/>
    </row>
    <row r="2243" spans="1:10" x14ac:dyDescent="0.3">
      <c r="A2243" s="6" t="s">
        <v>26</v>
      </c>
      <c r="B2243" s="6"/>
      <c r="C2243" s="1" t="s">
        <v>49</v>
      </c>
      <c r="D2243" s="2"/>
      <c r="E2243" s="9"/>
      <c r="F2243" s="5"/>
      <c r="G2243" s="6"/>
      <c r="H2243" s="1"/>
      <c r="I2243" s="1"/>
      <c r="J2243" s="1"/>
    </row>
    <row r="2244" spans="1:10" x14ac:dyDescent="0.3">
      <c r="A2244" s="6" t="s">
        <v>18</v>
      </c>
      <c r="B2244" s="6">
        <v>2023</v>
      </c>
      <c r="C2244" s="1" t="s">
        <v>49</v>
      </c>
      <c r="D2244" s="2" t="s">
        <v>131</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Jaime\Neiva CPI\[VAO_DINA TERCIARIOS_CF_SEC_20230117.xlsx]CF PRBNP'!</v>
      </c>
      <c r="G2244" s="6" t="s">
        <v>105</v>
      </c>
      <c r="H2244" s="1"/>
      <c r="I2244" s="1"/>
      <c r="J2244" s="1"/>
    </row>
    <row r="2245" spans="1:10" x14ac:dyDescent="0.3">
      <c r="A2245" s="6" t="s">
        <v>18</v>
      </c>
      <c r="B2245" s="6">
        <f>+B2244+1</f>
        <v>2024</v>
      </c>
      <c r="C2245" s="1" t="s">
        <v>49</v>
      </c>
      <c r="D2245" s="2" t="s">
        <v>131</v>
      </c>
      <c r="E2245" s="9" t="str">
        <f t="shared" si="520"/>
        <v>PRBNP'!</v>
      </c>
      <c r="F2245" s="5" t="str">
        <f t="shared" si="521"/>
        <v>C:\Users\jaime.benazar\Quorum Business Solutions\Ecopetrol Prometeo - Documents\Planning Space Implementation\3. Analysis &amp; Design\Design\FC22\DRR Jaime\Neiva CPI\[VAO_DINA TERCIARIOS_CF_SEC_20230117.xlsx]CF PRBNP'!</v>
      </c>
      <c r="G2245" s="6" t="s">
        <v>105</v>
      </c>
      <c r="H2245" s="1"/>
      <c r="I2245" s="1"/>
      <c r="J2245" s="1"/>
    </row>
    <row r="2246" spans="1:10" x14ac:dyDescent="0.3">
      <c r="A2246" s="6" t="s">
        <v>18</v>
      </c>
      <c r="B2246" s="6">
        <f t="shared" ref="B2246:B2257" si="522">+B2245+1</f>
        <v>2025</v>
      </c>
      <c r="C2246" s="1" t="s">
        <v>49</v>
      </c>
      <c r="D2246" s="2" t="s">
        <v>131</v>
      </c>
      <c r="E2246" s="9" t="str">
        <f t="shared" si="520"/>
        <v>PRBNP'!</v>
      </c>
      <c r="F2246" s="5" t="str">
        <f t="shared" si="521"/>
        <v>C:\Users\jaime.benazar\Quorum Business Solutions\Ecopetrol Prometeo - Documents\Planning Space Implementation\3. Analysis &amp; Design\Design\FC22\DRR Jaime\Neiva CPI\[VAO_DINA TERCIARIOS_CF_SEC_20230117.xlsx]CF PRBNP'!</v>
      </c>
      <c r="G2246" s="6" t="s">
        <v>105</v>
      </c>
      <c r="H2246" s="1"/>
      <c r="I2246" s="1"/>
      <c r="J2246" s="1"/>
    </row>
    <row r="2247" spans="1:10" x14ac:dyDescent="0.3">
      <c r="A2247" s="6" t="s">
        <v>18</v>
      </c>
      <c r="B2247" s="6">
        <f t="shared" si="522"/>
        <v>2026</v>
      </c>
      <c r="C2247" s="1" t="s">
        <v>49</v>
      </c>
      <c r="D2247" s="2" t="s">
        <v>131</v>
      </c>
      <c r="E2247" s="9" t="str">
        <f t="shared" si="520"/>
        <v>PRBNP'!</v>
      </c>
      <c r="F2247" s="5" t="str">
        <f t="shared" si="521"/>
        <v>C:\Users\jaime.benazar\Quorum Business Solutions\Ecopetrol Prometeo - Documents\Planning Space Implementation\3. Analysis &amp; Design\Design\FC22\DRR Jaime\Neiva CPI\[VAO_DINA TERCIARIOS_CF_SEC_20230117.xlsx]CF PRBNP'!</v>
      </c>
      <c r="G2247" s="6" t="s">
        <v>105</v>
      </c>
      <c r="H2247" s="1"/>
      <c r="I2247" s="1"/>
      <c r="J2247" s="1"/>
    </row>
    <row r="2248" spans="1:10" x14ac:dyDescent="0.3">
      <c r="A2248" s="6" t="s">
        <v>18</v>
      </c>
      <c r="B2248" s="6">
        <f t="shared" si="522"/>
        <v>2027</v>
      </c>
      <c r="C2248" s="1" t="s">
        <v>49</v>
      </c>
      <c r="D2248" s="2" t="s">
        <v>131</v>
      </c>
      <c r="E2248" s="9" t="str">
        <f t="shared" si="520"/>
        <v>PRBNP'!</v>
      </c>
      <c r="F2248" s="5" t="str">
        <f t="shared" si="521"/>
        <v>C:\Users\jaime.benazar\Quorum Business Solutions\Ecopetrol Prometeo - Documents\Planning Space Implementation\3. Analysis &amp; Design\Design\FC22\DRR Jaime\Neiva CPI\[VAO_DINA TERCIARIOS_CF_SEC_20230117.xlsx]CF PRBNP'!</v>
      </c>
      <c r="G2248" s="6" t="s">
        <v>105</v>
      </c>
      <c r="H2248" s="1"/>
      <c r="I2248" s="1"/>
      <c r="J2248" s="1"/>
    </row>
    <row r="2249" spans="1:10" x14ac:dyDescent="0.3">
      <c r="A2249" s="6" t="s">
        <v>18</v>
      </c>
      <c r="B2249" s="6">
        <f t="shared" si="522"/>
        <v>2028</v>
      </c>
      <c r="C2249" s="1" t="s">
        <v>49</v>
      </c>
      <c r="D2249" s="2" t="s">
        <v>131</v>
      </c>
      <c r="E2249" s="9" t="str">
        <f t="shared" si="520"/>
        <v>PRBNP'!</v>
      </c>
      <c r="F2249" s="5" t="str">
        <f t="shared" si="521"/>
        <v>C:\Users\jaime.benazar\Quorum Business Solutions\Ecopetrol Prometeo - Documents\Planning Space Implementation\3. Analysis &amp; Design\Design\FC22\DRR Jaime\Neiva CPI\[VAO_DINA TERCIARIOS_CF_SEC_20230117.xlsx]CF PRBNP'!</v>
      </c>
      <c r="G2249" s="6" t="s">
        <v>105</v>
      </c>
      <c r="H2249" s="1"/>
      <c r="I2249" s="1"/>
      <c r="J2249" s="1"/>
    </row>
    <row r="2250" spans="1:10" x14ac:dyDescent="0.3">
      <c r="A2250" s="6" t="s">
        <v>18</v>
      </c>
      <c r="B2250" s="6">
        <f t="shared" si="522"/>
        <v>2029</v>
      </c>
      <c r="C2250" s="1" t="s">
        <v>49</v>
      </c>
      <c r="D2250" s="2" t="s">
        <v>131</v>
      </c>
      <c r="E2250" s="9" t="str">
        <f t="shared" si="520"/>
        <v>PRBNP'!</v>
      </c>
      <c r="F2250" s="5" t="str">
        <f t="shared" si="521"/>
        <v>C:\Users\jaime.benazar\Quorum Business Solutions\Ecopetrol Prometeo - Documents\Planning Space Implementation\3. Analysis &amp; Design\Design\FC22\DRR Jaime\Neiva CPI\[VAO_DINA TERCIARIOS_CF_SEC_20230117.xlsx]CF PRBNP'!</v>
      </c>
      <c r="G2250" s="6" t="s">
        <v>105</v>
      </c>
      <c r="H2250" s="1"/>
      <c r="I2250" s="1"/>
      <c r="J2250" s="1"/>
    </row>
    <row r="2251" spans="1:10" x14ac:dyDescent="0.3">
      <c r="A2251" s="6" t="s">
        <v>18</v>
      </c>
      <c r="B2251" s="6">
        <f t="shared" si="522"/>
        <v>2030</v>
      </c>
      <c r="C2251" s="1" t="s">
        <v>49</v>
      </c>
      <c r="D2251" s="2" t="s">
        <v>131</v>
      </c>
      <c r="E2251" s="9" t="str">
        <f t="shared" si="520"/>
        <v>PRBNP'!</v>
      </c>
      <c r="F2251" s="5" t="str">
        <f t="shared" si="521"/>
        <v>C:\Users\jaime.benazar\Quorum Business Solutions\Ecopetrol Prometeo - Documents\Planning Space Implementation\3. Analysis &amp; Design\Design\FC22\DRR Jaime\Neiva CPI\[VAO_DINA TERCIARIOS_CF_SEC_20230117.xlsx]CF PRBNP'!</v>
      </c>
      <c r="G2251" s="6" t="s">
        <v>105</v>
      </c>
      <c r="H2251" s="1"/>
      <c r="I2251" s="1"/>
      <c r="J2251" s="1"/>
    </row>
    <row r="2252" spans="1:10" x14ac:dyDescent="0.3">
      <c r="A2252" s="6" t="s">
        <v>18</v>
      </c>
      <c r="B2252" s="6">
        <f t="shared" si="522"/>
        <v>2031</v>
      </c>
      <c r="C2252" s="1" t="s">
        <v>49</v>
      </c>
      <c r="D2252" s="2" t="s">
        <v>131</v>
      </c>
      <c r="E2252" s="9" t="str">
        <f t="shared" si="520"/>
        <v>PRBNP'!</v>
      </c>
      <c r="F2252" s="5" t="str">
        <f t="shared" si="521"/>
        <v>C:\Users\jaime.benazar\Quorum Business Solutions\Ecopetrol Prometeo - Documents\Planning Space Implementation\3. Analysis &amp; Design\Design\FC22\DRR Jaime\Neiva CPI\[VAO_DINA TERCIARIOS_CF_SEC_20230117.xlsx]CF PRBNP'!</v>
      </c>
      <c r="G2252" s="6" t="s">
        <v>105</v>
      </c>
      <c r="H2252" s="1"/>
      <c r="I2252" s="1"/>
      <c r="J2252" s="1"/>
    </row>
    <row r="2253" spans="1:10" x14ac:dyDescent="0.3">
      <c r="A2253" s="6" t="s">
        <v>18</v>
      </c>
      <c r="B2253" s="6">
        <f t="shared" si="522"/>
        <v>2032</v>
      </c>
      <c r="C2253" s="1" t="s">
        <v>49</v>
      </c>
      <c r="D2253" s="2" t="s">
        <v>131</v>
      </c>
      <c r="E2253" s="9" t="str">
        <f t="shared" si="520"/>
        <v>PRBNP'!</v>
      </c>
      <c r="F2253" s="5" t="str">
        <f t="shared" si="521"/>
        <v>C:\Users\jaime.benazar\Quorum Business Solutions\Ecopetrol Prometeo - Documents\Planning Space Implementation\3. Analysis &amp; Design\Design\FC22\DRR Jaime\Neiva CPI\[VAO_DINA TERCIARIOS_CF_SEC_20230117.xlsx]CF PRBNP'!</v>
      </c>
      <c r="G2253" s="6" t="s">
        <v>105</v>
      </c>
      <c r="H2253" s="1"/>
      <c r="I2253" s="1"/>
      <c r="J2253" s="1"/>
    </row>
    <row r="2254" spans="1:10" x14ac:dyDescent="0.3">
      <c r="A2254" s="6" t="s">
        <v>18</v>
      </c>
      <c r="B2254" s="6">
        <f t="shared" si="522"/>
        <v>2033</v>
      </c>
      <c r="C2254" s="1" t="s">
        <v>49</v>
      </c>
      <c r="D2254" s="2" t="s">
        <v>131</v>
      </c>
      <c r="E2254" s="9" t="str">
        <f t="shared" si="520"/>
        <v>PRBNP'!</v>
      </c>
      <c r="F2254" s="5" t="str">
        <f t="shared" si="521"/>
        <v>C:\Users\jaime.benazar\Quorum Business Solutions\Ecopetrol Prometeo - Documents\Planning Space Implementation\3. Analysis &amp; Design\Design\FC22\DRR Jaime\Neiva CPI\[VAO_DINA TERCIARIOS_CF_SEC_20230117.xlsx]CF PRBNP'!</v>
      </c>
      <c r="G2254" s="6" t="s">
        <v>105</v>
      </c>
      <c r="H2254" s="1"/>
      <c r="I2254" s="1"/>
      <c r="J2254" s="1"/>
    </row>
    <row r="2255" spans="1:10" x14ac:dyDescent="0.3">
      <c r="A2255" s="6" t="s">
        <v>18</v>
      </c>
      <c r="B2255" s="6">
        <f t="shared" si="522"/>
        <v>2034</v>
      </c>
      <c r="C2255" s="1" t="s">
        <v>49</v>
      </c>
      <c r="D2255" s="2" t="s">
        <v>131</v>
      </c>
      <c r="E2255" s="9" t="str">
        <f t="shared" si="520"/>
        <v>PRBNP'!</v>
      </c>
      <c r="F2255" s="5" t="str">
        <f t="shared" si="521"/>
        <v>C:\Users\jaime.benazar\Quorum Business Solutions\Ecopetrol Prometeo - Documents\Planning Space Implementation\3. Analysis &amp; Design\Design\FC22\DRR Jaime\Neiva CPI\[VAO_DINA TERCIARIOS_CF_SEC_20230117.xlsx]CF PRBNP'!</v>
      </c>
      <c r="G2255" s="6" t="s">
        <v>105</v>
      </c>
      <c r="H2255" s="1"/>
      <c r="I2255" s="1"/>
      <c r="J2255" s="1"/>
    </row>
    <row r="2256" spans="1:10" x14ac:dyDescent="0.3">
      <c r="A2256" s="6" t="s">
        <v>18</v>
      </c>
      <c r="B2256" s="6">
        <f t="shared" si="522"/>
        <v>2035</v>
      </c>
      <c r="C2256" s="1" t="s">
        <v>49</v>
      </c>
      <c r="D2256" s="2" t="s">
        <v>131</v>
      </c>
      <c r="E2256" s="9" t="str">
        <f t="shared" si="520"/>
        <v>PRBNP'!</v>
      </c>
      <c r="F2256" s="5" t="str">
        <f t="shared" si="521"/>
        <v>C:\Users\jaime.benazar\Quorum Business Solutions\Ecopetrol Prometeo - Documents\Planning Space Implementation\3. Analysis &amp; Design\Design\FC22\DRR Jaime\Neiva CPI\[VAO_DINA TERCIARIOS_CF_SEC_20230117.xlsx]CF PRBNP'!</v>
      </c>
      <c r="G2256" s="6" t="s">
        <v>105</v>
      </c>
      <c r="H2256" s="1"/>
      <c r="I2256" s="1"/>
      <c r="J2256" s="1"/>
    </row>
    <row r="2257" spans="1:10" x14ac:dyDescent="0.3">
      <c r="A2257" s="6" t="s">
        <v>18</v>
      </c>
      <c r="B2257" s="6">
        <f t="shared" si="522"/>
        <v>2036</v>
      </c>
      <c r="C2257" s="1" t="s">
        <v>49</v>
      </c>
      <c r="D2257" s="2" t="s">
        <v>131</v>
      </c>
      <c r="E2257" s="9" t="str">
        <f t="shared" si="520"/>
        <v>PRBNP'!</v>
      </c>
      <c r="F2257" s="5" t="str">
        <f t="shared" si="521"/>
        <v>C:\Users\jaime.benazar\Quorum Business Solutions\Ecopetrol Prometeo - Documents\Planning Space Implementation\3. Analysis &amp; Design\Design\FC22\DRR Jaime\Neiva CPI\[VAO_DINA TERCIARIOS_CF_SEC_20230117.xlsx]CF PRBNP'!</v>
      </c>
      <c r="G2257" s="6" t="s">
        <v>105</v>
      </c>
      <c r="H2257" s="1"/>
      <c r="I2257" s="1"/>
      <c r="J2257" s="1"/>
    </row>
    <row r="2258" spans="1:10" x14ac:dyDescent="0.3">
      <c r="A2258" s="6" t="s">
        <v>18</v>
      </c>
      <c r="B2258" s="6">
        <f>+B2257+1</f>
        <v>2037</v>
      </c>
      <c r="C2258" s="1" t="s">
        <v>49</v>
      </c>
      <c r="D2258" s="2" t="s">
        <v>131</v>
      </c>
      <c r="E2258" s="9" t="str">
        <f t="shared" si="520"/>
        <v>PRBNP'!</v>
      </c>
      <c r="F2258" s="5" t="str">
        <f t="shared" si="521"/>
        <v>C:\Users\jaime.benazar\Quorum Business Solutions\Ecopetrol Prometeo - Documents\Planning Space Implementation\3. Analysis &amp; Design\Design\FC22\DRR Jaime\Neiva CPI\[VAO_DINA TERCIARIOS_CF_SEC_20230117.xlsx]CF PRBNP'!</v>
      </c>
      <c r="G2258" s="6" t="s">
        <v>105</v>
      </c>
      <c r="H2258" s="1"/>
      <c r="I2258" s="1"/>
      <c r="J2258" s="1"/>
    </row>
    <row r="2259" spans="1:10" x14ac:dyDescent="0.3">
      <c r="A2259" s="6" t="s">
        <v>18</v>
      </c>
      <c r="B2259" s="6">
        <f t="shared" ref="B2259:B2261" si="523">+B2258+1</f>
        <v>2038</v>
      </c>
      <c r="C2259" s="1" t="s">
        <v>49</v>
      </c>
      <c r="D2259" s="2" t="s">
        <v>131</v>
      </c>
      <c r="E2259" s="9" t="str">
        <f t="shared" si="520"/>
        <v>PRBNP'!</v>
      </c>
      <c r="F2259" s="5" t="str">
        <f t="shared" si="521"/>
        <v>C:\Users\jaime.benazar\Quorum Business Solutions\Ecopetrol Prometeo - Documents\Planning Space Implementation\3. Analysis &amp; Design\Design\FC22\DRR Jaime\Neiva CPI\[VAO_DINA TERCIARIOS_CF_SEC_20230117.xlsx]CF PRBNP'!</v>
      </c>
      <c r="G2259" s="6" t="s">
        <v>105</v>
      </c>
      <c r="H2259" s="1"/>
      <c r="I2259" s="1"/>
      <c r="J2259" s="1"/>
    </row>
    <row r="2260" spans="1:10" x14ac:dyDescent="0.3">
      <c r="A2260" s="6" t="s">
        <v>18</v>
      </c>
      <c r="B2260" s="6">
        <f t="shared" si="523"/>
        <v>2039</v>
      </c>
      <c r="C2260" s="1" t="s">
        <v>49</v>
      </c>
      <c r="D2260" s="2" t="s">
        <v>131</v>
      </c>
      <c r="E2260" s="9" t="str">
        <f t="shared" si="520"/>
        <v>PRBNP'!</v>
      </c>
      <c r="F2260" s="5" t="str">
        <f t="shared" si="521"/>
        <v>C:\Users\jaime.benazar\Quorum Business Solutions\Ecopetrol Prometeo - Documents\Planning Space Implementation\3. Analysis &amp; Design\Design\FC22\DRR Jaime\Neiva CPI\[VAO_DINA TERCIARIOS_CF_SEC_20230117.xlsx]CF PRBNP'!</v>
      </c>
      <c r="G2260" s="6" t="s">
        <v>105</v>
      </c>
      <c r="H2260" s="1"/>
      <c r="I2260" s="1"/>
      <c r="J2260" s="1"/>
    </row>
    <row r="2261" spans="1:10" x14ac:dyDescent="0.3">
      <c r="A2261" s="6" t="s">
        <v>18</v>
      </c>
      <c r="B2261" s="6">
        <f t="shared" si="523"/>
        <v>2040</v>
      </c>
      <c r="C2261" s="1" t="s">
        <v>49</v>
      </c>
      <c r="D2261" s="2" t="s">
        <v>131</v>
      </c>
      <c r="E2261" s="9" t="str">
        <f t="shared" si="520"/>
        <v>PRBNP'!</v>
      </c>
      <c r="F2261" s="5" t="str">
        <f t="shared" si="521"/>
        <v>C:\Users\jaime.benazar\Quorum Business Solutions\Ecopetrol Prometeo - Documents\Planning Space Implementation\3. Analysis &amp; Design\Design\FC22\DRR Jaime\Neiva CPI\[VAO_DINA TERCIARIOS_CF_SEC_20230117.xlsx]CF PRBNP'!</v>
      </c>
      <c r="G2261" s="6" t="s">
        <v>105</v>
      </c>
      <c r="H2261" s="1"/>
      <c r="I2261" s="1"/>
      <c r="J2261" s="1"/>
    </row>
    <row r="2262" spans="1:10" x14ac:dyDescent="0.3">
      <c r="A2262" s="6" t="s">
        <v>18</v>
      </c>
      <c r="B2262" s="6">
        <f>+B2261+1</f>
        <v>2041</v>
      </c>
      <c r="C2262" s="1" t="s">
        <v>49</v>
      </c>
      <c r="D2262" s="2" t="s">
        <v>131</v>
      </c>
      <c r="E2262" s="9" t="str">
        <f t="shared" si="520"/>
        <v>PRBNP'!</v>
      </c>
      <c r="F2262" s="5" t="str">
        <f t="shared" si="521"/>
        <v>C:\Users\jaime.benazar\Quorum Business Solutions\Ecopetrol Prometeo - Documents\Planning Space Implementation\3. Analysis &amp; Design\Design\FC22\DRR Jaime\Neiva CPI\[VAO_DINA TERCIARIOS_CF_SEC_20230117.xlsx]CF PRBNP'!</v>
      </c>
      <c r="G2262" s="6" t="s">
        <v>105</v>
      </c>
      <c r="H2262" s="1"/>
      <c r="I2262" s="1"/>
      <c r="J2262" s="1"/>
    </row>
    <row r="2263" spans="1:10" x14ac:dyDescent="0.3">
      <c r="A2263" s="6" t="s">
        <v>18</v>
      </c>
      <c r="B2263" s="6">
        <f t="shared" ref="B2263:B2264" si="524">+B2262+1</f>
        <v>2042</v>
      </c>
      <c r="C2263" s="1" t="s">
        <v>49</v>
      </c>
      <c r="D2263" s="2" t="s">
        <v>131</v>
      </c>
      <c r="E2263" s="9" t="str">
        <f t="shared" si="520"/>
        <v>PRBNP'!</v>
      </c>
      <c r="F2263" s="5" t="str">
        <f t="shared" si="521"/>
        <v>C:\Users\jaime.benazar\Quorum Business Solutions\Ecopetrol Prometeo - Documents\Planning Space Implementation\3. Analysis &amp; Design\Design\FC22\DRR Jaime\Neiva CPI\[VAO_DINA TERCIARIOS_CF_SEC_20230117.xlsx]CF PRBNP'!</v>
      </c>
      <c r="G2263" s="6" t="s">
        <v>105</v>
      </c>
      <c r="H2263" s="1"/>
      <c r="I2263" s="1"/>
      <c r="J2263" s="1"/>
    </row>
    <row r="2264" spans="1:10" x14ac:dyDescent="0.3">
      <c r="A2264" s="6" t="s">
        <v>18</v>
      </c>
      <c r="B2264" s="6">
        <f t="shared" si="524"/>
        <v>2043</v>
      </c>
      <c r="C2264" s="1" t="s">
        <v>49</v>
      </c>
      <c r="D2264" s="2" t="s">
        <v>131</v>
      </c>
      <c r="E2264" s="9" t="str">
        <f t="shared" si="520"/>
        <v>PRBNP'!</v>
      </c>
      <c r="F2264" s="5" t="str">
        <f t="shared" si="521"/>
        <v>C:\Users\jaime.benazar\Quorum Business Solutions\Ecopetrol Prometeo - Documents\Planning Space Implementation\3. Analysis &amp; Design\Design\FC22\DRR Jaime\Neiva CPI\[VAO_DINA TERCIARIOS_CF_SEC_20230117.xlsx]CF PRBNP'!</v>
      </c>
      <c r="G2264" s="6" t="s">
        <v>105</v>
      </c>
      <c r="H2264" s="1"/>
      <c r="I2264" s="1"/>
      <c r="J2264" s="1"/>
    </row>
    <row r="2265" spans="1:10" x14ac:dyDescent="0.3">
      <c r="A2265" s="6" t="s">
        <v>18</v>
      </c>
      <c r="B2265" s="6">
        <f>+B2264+1</f>
        <v>2044</v>
      </c>
      <c r="C2265" s="1" t="s">
        <v>49</v>
      </c>
      <c r="D2265" s="2" t="s">
        <v>131</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Jaime\Neiva CPI\[VAO_DINA TERCIARIOS_CF_SEC_20230117.xlsx]CF PRBNP'!</v>
      </c>
      <c r="G2265" s="6" t="s">
        <v>105</v>
      </c>
      <c r="H2265" s="1"/>
      <c r="I2265" s="1"/>
      <c r="J2265" s="1"/>
    </row>
    <row r="2266" spans="1:10" x14ac:dyDescent="0.3">
      <c r="A2266" s="6" t="s">
        <v>18</v>
      </c>
      <c r="B2266" s="6">
        <f t="shared" ref="B2266:B2280" si="527">+B2265+1</f>
        <v>2045</v>
      </c>
      <c r="C2266" s="1" t="s">
        <v>49</v>
      </c>
      <c r="D2266" s="2" t="s">
        <v>131</v>
      </c>
      <c r="E2266" s="9" t="str">
        <f t="shared" si="525"/>
        <v>PRBNP'!</v>
      </c>
      <c r="F2266" s="5" t="str">
        <f t="shared" si="526"/>
        <v>C:\Users\jaime.benazar\Quorum Business Solutions\Ecopetrol Prometeo - Documents\Planning Space Implementation\3. Analysis &amp; Design\Design\FC22\DRR Jaime\Neiva CPI\[VAO_DINA TERCIARIOS_CF_SEC_20230117.xlsx]CF PRBNP'!</v>
      </c>
      <c r="G2266" s="6" t="s">
        <v>105</v>
      </c>
      <c r="H2266" s="1"/>
      <c r="I2266" s="1"/>
      <c r="J2266" s="1"/>
    </row>
    <row r="2267" spans="1:10" x14ac:dyDescent="0.3">
      <c r="A2267" s="6" t="s">
        <v>18</v>
      </c>
      <c r="B2267" s="6">
        <f t="shared" si="527"/>
        <v>2046</v>
      </c>
      <c r="C2267" s="1" t="s">
        <v>49</v>
      </c>
      <c r="D2267" s="2" t="s">
        <v>131</v>
      </c>
      <c r="E2267" s="9" t="str">
        <f t="shared" si="525"/>
        <v>PRBNP'!</v>
      </c>
      <c r="F2267" s="5" t="str">
        <f t="shared" si="526"/>
        <v>C:\Users\jaime.benazar\Quorum Business Solutions\Ecopetrol Prometeo - Documents\Planning Space Implementation\3. Analysis &amp; Design\Design\FC22\DRR Jaime\Neiva CPI\[VAO_DINA TERCIARIOS_CF_SEC_20230117.xlsx]CF PRBNP'!</v>
      </c>
      <c r="G2267" s="6" t="s">
        <v>105</v>
      </c>
      <c r="H2267" s="1"/>
      <c r="I2267" s="1"/>
      <c r="J2267" s="1"/>
    </row>
    <row r="2268" spans="1:10" x14ac:dyDescent="0.3">
      <c r="A2268" s="6" t="s">
        <v>18</v>
      </c>
      <c r="B2268" s="6">
        <f t="shared" si="527"/>
        <v>2047</v>
      </c>
      <c r="C2268" s="1" t="s">
        <v>49</v>
      </c>
      <c r="D2268" s="2" t="s">
        <v>131</v>
      </c>
      <c r="E2268" s="9" t="str">
        <f t="shared" si="525"/>
        <v>PRBNP'!</v>
      </c>
      <c r="F2268" s="5" t="str">
        <f t="shared" si="526"/>
        <v>C:\Users\jaime.benazar\Quorum Business Solutions\Ecopetrol Prometeo - Documents\Planning Space Implementation\3. Analysis &amp; Design\Design\FC22\DRR Jaime\Neiva CPI\[VAO_DINA TERCIARIOS_CF_SEC_20230117.xlsx]CF PRBNP'!</v>
      </c>
      <c r="G2268" s="6" t="s">
        <v>105</v>
      </c>
      <c r="H2268" s="1"/>
      <c r="I2268" s="1"/>
      <c r="J2268" s="1"/>
    </row>
    <row r="2269" spans="1:10" x14ac:dyDescent="0.3">
      <c r="A2269" s="6" t="s">
        <v>18</v>
      </c>
      <c r="B2269" s="6">
        <f t="shared" si="527"/>
        <v>2048</v>
      </c>
      <c r="C2269" s="1" t="s">
        <v>49</v>
      </c>
      <c r="D2269" s="2" t="s">
        <v>131</v>
      </c>
      <c r="E2269" s="9" t="str">
        <f t="shared" si="525"/>
        <v>PRBNP'!</v>
      </c>
      <c r="F2269" s="5" t="str">
        <f t="shared" si="526"/>
        <v>C:\Users\jaime.benazar\Quorum Business Solutions\Ecopetrol Prometeo - Documents\Planning Space Implementation\3. Analysis &amp; Design\Design\FC22\DRR Jaime\Neiva CPI\[VAO_DINA TERCIARIOS_CF_SEC_20230117.xlsx]CF PRBNP'!</v>
      </c>
      <c r="G2269" s="6" t="s">
        <v>105</v>
      </c>
      <c r="H2269" s="1"/>
      <c r="I2269" s="1"/>
      <c r="J2269" s="1"/>
    </row>
    <row r="2270" spans="1:10" x14ac:dyDescent="0.3">
      <c r="A2270" s="6" t="s">
        <v>18</v>
      </c>
      <c r="B2270" s="6">
        <f t="shared" si="527"/>
        <v>2049</v>
      </c>
      <c r="C2270" s="1" t="s">
        <v>49</v>
      </c>
      <c r="D2270" s="2" t="s">
        <v>131</v>
      </c>
      <c r="E2270" s="9" t="str">
        <f t="shared" si="525"/>
        <v>PRBNP'!</v>
      </c>
      <c r="F2270" s="5" t="str">
        <f t="shared" si="526"/>
        <v>C:\Users\jaime.benazar\Quorum Business Solutions\Ecopetrol Prometeo - Documents\Planning Space Implementation\3. Analysis &amp; Design\Design\FC22\DRR Jaime\Neiva CPI\[VAO_DINA TERCIARIOS_CF_SEC_20230117.xlsx]CF PRBNP'!</v>
      </c>
      <c r="G2270" s="6" t="s">
        <v>105</v>
      </c>
      <c r="H2270" s="1"/>
      <c r="I2270" s="1"/>
      <c r="J2270" s="1"/>
    </row>
    <row r="2271" spans="1:10" x14ac:dyDescent="0.3">
      <c r="A2271" s="6" t="s">
        <v>18</v>
      </c>
      <c r="B2271" s="6">
        <f t="shared" si="527"/>
        <v>2050</v>
      </c>
      <c r="C2271" s="1" t="s">
        <v>49</v>
      </c>
      <c r="D2271" s="2" t="s">
        <v>131</v>
      </c>
      <c r="E2271" s="9" t="str">
        <f t="shared" si="525"/>
        <v>PRBNP'!</v>
      </c>
      <c r="F2271" s="5" t="str">
        <f t="shared" si="526"/>
        <v>C:\Users\jaime.benazar\Quorum Business Solutions\Ecopetrol Prometeo - Documents\Planning Space Implementation\3. Analysis &amp; Design\Design\FC22\DRR Jaime\Neiva CPI\[VAO_DINA TERCIARIOS_CF_SEC_20230117.xlsx]CF PRBNP'!</v>
      </c>
      <c r="G2271" s="6" t="s">
        <v>105</v>
      </c>
      <c r="H2271" s="1"/>
      <c r="I2271" s="1"/>
      <c r="J2271" s="1"/>
    </row>
    <row r="2272" spans="1:10" x14ac:dyDescent="0.3">
      <c r="A2272" s="6" t="s">
        <v>18</v>
      </c>
      <c r="B2272" s="6">
        <f t="shared" si="527"/>
        <v>2051</v>
      </c>
      <c r="C2272" s="1" t="s">
        <v>49</v>
      </c>
      <c r="D2272" s="2" t="s">
        <v>131</v>
      </c>
      <c r="E2272" s="9" t="str">
        <f t="shared" si="525"/>
        <v>PRBNP'!</v>
      </c>
      <c r="F2272" s="5" t="str">
        <f t="shared" si="526"/>
        <v>C:\Users\jaime.benazar\Quorum Business Solutions\Ecopetrol Prometeo - Documents\Planning Space Implementation\3. Analysis &amp; Design\Design\FC22\DRR Jaime\Neiva CPI\[VAO_DINA TERCIARIOS_CF_SEC_20230117.xlsx]CF PRBNP'!</v>
      </c>
      <c r="G2272" s="6" t="s">
        <v>105</v>
      </c>
      <c r="H2272" s="1"/>
      <c r="I2272" s="1"/>
      <c r="J2272" s="1"/>
    </row>
    <row r="2273" spans="1:10" x14ac:dyDescent="0.3">
      <c r="A2273" s="6" t="s">
        <v>18</v>
      </c>
      <c r="B2273" s="6">
        <f t="shared" si="527"/>
        <v>2052</v>
      </c>
      <c r="C2273" s="1" t="s">
        <v>49</v>
      </c>
      <c r="D2273" s="2" t="s">
        <v>131</v>
      </c>
      <c r="E2273" s="9" t="str">
        <f t="shared" si="525"/>
        <v>PRBNP'!</v>
      </c>
      <c r="F2273" s="5" t="str">
        <f t="shared" si="526"/>
        <v>C:\Users\jaime.benazar\Quorum Business Solutions\Ecopetrol Prometeo - Documents\Planning Space Implementation\3. Analysis &amp; Design\Design\FC22\DRR Jaime\Neiva CPI\[VAO_DINA TERCIARIOS_CF_SEC_20230117.xlsx]CF PRBNP'!</v>
      </c>
      <c r="G2273" s="6" t="s">
        <v>105</v>
      </c>
      <c r="H2273" s="1"/>
      <c r="I2273" s="1"/>
      <c r="J2273" s="1"/>
    </row>
    <row r="2274" spans="1:10" x14ac:dyDescent="0.3">
      <c r="A2274" s="6" t="s">
        <v>18</v>
      </c>
      <c r="B2274" s="6">
        <f t="shared" si="527"/>
        <v>2053</v>
      </c>
      <c r="C2274" s="1" t="s">
        <v>49</v>
      </c>
      <c r="D2274" s="2" t="s">
        <v>131</v>
      </c>
      <c r="E2274" s="9" t="str">
        <f t="shared" si="525"/>
        <v>PRBNP'!</v>
      </c>
      <c r="F2274" s="5" t="str">
        <f t="shared" si="526"/>
        <v>C:\Users\jaime.benazar\Quorum Business Solutions\Ecopetrol Prometeo - Documents\Planning Space Implementation\3. Analysis &amp; Design\Design\FC22\DRR Jaime\Neiva CPI\[VAO_DINA TERCIARIOS_CF_SEC_20230117.xlsx]CF PRBNP'!</v>
      </c>
      <c r="G2274" s="6" t="s">
        <v>105</v>
      </c>
      <c r="H2274" s="1"/>
      <c r="I2274" s="1"/>
      <c r="J2274" s="1"/>
    </row>
    <row r="2275" spans="1:10" x14ac:dyDescent="0.3">
      <c r="A2275" s="6" t="s">
        <v>18</v>
      </c>
      <c r="B2275" s="6">
        <f t="shared" si="527"/>
        <v>2054</v>
      </c>
      <c r="C2275" s="1" t="s">
        <v>49</v>
      </c>
      <c r="D2275" s="2" t="s">
        <v>131</v>
      </c>
      <c r="E2275" s="9" t="str">
        <f t="shared" si="525"/>
        <v>PRBNP'!</v>
      </c>
      <c r="F2275" s="5" t="str">
        <f t="shared" si="526"/>
        <v>C:\Users\jaime.benazar\Quorum Business Solutions\Ecopetrol Prometeo - Documents\Planning Space Implementation\3. Analysis &amp; Design\Design\FC22\DRR Jaime\Neiva CPI\[VAO_DINA TERCIARIOS_CF_SEC_20230117.xlsx]CF PRBNP'!</v>
      </c>
      <c r="G2275" s="6" t="s">
        <v>105</v>
      </c>
      <c r="H2275" s="1"/>
      <c r="I2275" s="1"/>
      <c r="J2275" s="1"/>
    </row>
    <row r="2276" spans="1:10" x14ac:dyDescent="0.3">
      <c r="A2276" s="6" t="s">
        <v>18</v>
      </c>
      <c r="B2276" s="6">
        <f t="shared" si="527"/>
        <v>2055</v>
      </c>
      <c r="C2276" s="1" t="s">
        <v>49</v>
      </c>
      <c r="D2276" s="2" t="s">
        <v>131</v>
      </c>
      <c r="E2276" s="9" t="str">
        <f t="shared" si="525"/>
        <v>PRBNP'!</v>
      </c>
      <c r="F2276" s="5" t="str">
        <f t="shared" si="526"/>
        <v>C:\Users\jaime.benazar\Quorum Business Solutions\Ecopetrol Prometeo - Documents\Planning Space Implementation\3. Analysis &amp; Design\Design\FC22\DRR Jaime\Neiva CPI\[VAO_DINA TERCIARIOS_CF_SEC_20230117.xlsx]CF PRBNP'!</v>
      </c>
      <c r="G2276" s="6" t="s">
        <v>105</v>
      </c>
      <c r="H2276" s="1"/>
      <c r="I2276" s="1"/>
      <c r="J2276" s="1"/>
    </row>
    <row r="2277" spans="1:10" x14ac:dyDescent="0.3">
      <c r="A2277" s="6" t="s">
        <v>18</v>
      </c>
      <c r="B2277" s="6">
        <f t="shared" si="527"/>
        <v>2056</v>
      </c>
      <c r="C2277" s="1" t="s">
        <v>49</v>
      </c>
      <c r="D2277" s="2" t="s">
        <v>131</v>
      </c>
      <c r="E2277" s="9" t="str">
        <f t="shared" si="525"/>
        <v>PRBNP'!</v>
      </c>
      <c r="F2277" s="5" t="str">
        <f t="shared" si="526"/>
        <v>C:\Users\jaime.benazar\Quorum Business Solutions\Ecopetrol Prometeo - Documents\Planning Space Implementation\3. Analysis &amp; Design\Design\FC22\DRR Jaime\Neiva CPI\[VAO_DINA TERCIARIOS_CF_SEC_20230117.xlsx]CF PRBNP'!</v>
      </c>
      <c r="G2277" s="6" t="s">
        <v>105</v>
      </c>
      <c r="H2277" s="1"/>
      <c r="I2277" s="1"/>
      <c r="J2277" s="1"/>
    </row>
    <row r="2278" spans="1:10" x14ac:dyDescent="0.3">
      <c r="A2278" s="6" t="s">
        <v>18</v>
      </c>
      <c r="B2278" s="6">
        <f t="shared" si="527"/>
        <v>2057</v>
      </c>
      <c r="C2278" s="1" t="s">
        <v>49</v>
      </c>
      <c r="D2278" s="2" t="s">
        <v>131</v>
      </c>
      <c r="E2278" s="9" t="str">
        <f t="shared" si="525"/>
        <v>PRBNP'!</v>
      </c>
      <c r="F2278" s="5" t="str">
        <f t="shared" si="526"/>
        <v>C:\Users\jaime.benazar\Quorum Business Solutions\Ecopetrol Prometeo - Documents\Planning Space Implementation\3. Analysis &amp; Design\Design\FC22\DRR Jaime\Neiva CPI\[VAO_DINA TERCIARIOS_CF_SEC_20230117.xlsx]CF PRBNP'!</v>
      </c>
      <c r="G2278" s="6" t="s">
        <v>105</v>
      </c>
      <c r="H2278" s="1"/>
      <c r="I2278" s="1"/>
      <c r="J2278" s="1"/>
    </row>
    <row r="2279" spans="1:10" x14ac:dyDescent="0.3">
      <c r="A2279" s="6" t="s">
        <v>18</v>
      </c>
      <c r="B2279" s="6">
        <f t="shared" si="527"/>
        <v>2058</v>
      </c>
      <c r="C2279" s="1" t="s">
        <v>49</v>
      </c>
      <c r="D2279" s="2" t="s">
        <v>131</v>
      </c>
      <c r="E2279" s="9" t="str">
        <f t="shared" si="525"/>
        <v>PRBNP'!</v>
      </c>
      <c r="F2279" s="5" t="str">
        <f t="shared" si="526"/>
        <v>C:\Users\jaime.benazar\Quorum Business Solutions\Ecopetrol Prometeo - Documents\Planning Space Implementation\3. Analysis &amp; Design\Design\FC22\DRR Jaime\Neiva CPI\[VAO_DINA TERCIARIOS_CF_SEC_20230117.xlsx]CF PRBNP'!</v>
      </c>
      <c r="G2279" s="6" t="s">
        <v>105</v>
      </c>
      <c r="H2279" s="1"/>
      <c r="I2279" s="1"/>
      <c r="J2279" s="1"/>
    </row>
    <row r="2280" spans="1:10" x14ac:dyDescent="0.3">
      <c r="A2280" s="6" t="s">
        <v>18</v>
      </c>
      <c r="B2280" s="6">
        <f t="shared" si="527"/>
        <v>2059</v>
      </c>
      <c r="C2280" s="1" t="s">
        <v>49</v>
      </c>
      <c r="D2280" s="2" t="s">
        <v>131</v>
      </c>
      <c r="E2280" s="9" t="str">
        <f t="shared" si="525"/>
        <v>PRBNP'!</v>
      </c>
      <c r="F2280" s="5" t="str">
        <f t="shared" si="526"/>
        <v>C:\Users\jaime.benazar\Quorum Business Solutions\Ecopetrol Prometeo - Documents\Planning Space Implementation\3. Analysis &amp; Design\Design\FC22\DRR Jaime\Neiva CPI\[VAO_DINA TERCIARIOS_CF_SEC_20230117.xlsx]CF PRBNP'!</v>
      </c>
      <c r="G2280" s="6" t="s">
        <v>105</v>
      </c>
      <c r="H2280" s="1"/>
      <c r="I2280" s="1"/>
      <c r="J2280" s="1"/>
    </row>
    <row r="2281" spans="1:10" x14ac:dyDescent="0.3">
      <c r="A2281" s="6" t="s">
        <v>26</v>
      </c>
      <c r="B2281" s="6"/>
      <c r="C2281" s="1" t="s">
        <v>49</v>
      </c>
      <c r="D2281" s="2"/>
      <c r="E2281" s="9"/>
      <c r="F2281" s="2"/>
      <c r="G2281" s="6"/>
      <c r="H2281" s="1"/>
      <c r="I2281" s="1"/>
      <c r="J2281" s="1"/>
    </row>
    <row r="2282" spans="1:10" x14ac:dyDescent="0.3">
      <c r="A2282" s="6" t="s">
        <v>19</v>
      </c>
      <c r="B2282" s="6">
        <v>2023</v>
      </c>
      <c r="C2282" s="1" t="s">
        <v>49</v>
      </c>
      <c r="D2282" s="2" t="s">
        <v>131</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Jaime\Neiva CPI\[VAO_DINA TERCIARIOS_CF_SEC_20230117.xlsx]CF PRBND'!</v>
      </c>
      <c r="G2282" s="6" t="s">
        <v>105</v>
      </c>
      <c r="H2282" s="1"/>
      <c r="I2282" s="1"/>
      <c r="J2282" s="1"/>
    </row>
    <row r="2283" spans="1:10" x14ac:dyDescent="0.3">
      <c r="A2283" s="6" t="s">
        <v>19</v>
      </c>
      <c r="B2283" s="6">
        <f>+B2282+1</f>
        <v>2024</v>
      </c>
      <c r="C2283" s="1" t="s">
        <v>49</v>
      </c>
      <c r="D2283" s="2" t="s">
        <v>131</v>
      </c>
      <c r="E2283" s="9" t="str">
        <f t="shared" si="528"/>
        <v>PRBND'!</v>
      </c>
      <c r="F2283" s="5" t="str">
        <f t="shared" si="529"/>
        <v>C:\Users\jaime.benazar\Quorum Business Solutions\Ecopetrol Prometeo - Documents\Planning Space Implementation\3. Analysis &amp; Design\Design\FC22\DRR Jaime\Neiva CPI\[VAO_DINA TERCIARIOS_CF_SEC_20230117.xlsx]CF PRBND'!</v>
      </c>
      <c r="G2283" s="6" t="s">
        <v>105</v>
      </c>
      <c r="H2283" s="1"/>
      <c r="I2283" s="1"/>
      <c r="J2283" s="1"/>
    </row>
    <row r="2284" spans="1:10" x14ac:dyDescent="0.3">
      <c r="A2284" s="6" t="s">
        <v>19</v>
      </c>
      <c r="B2284" s="6">
        <f t="shared" ref="B2284:B2295" si="530">+B2283+1</f>
        <v>2025</v>
      </c>
      <c r="C2284" s="1" t="s">
        <v>49</v>
      </c>
      <c r="D2284" s="2" t="s">
        <v>131</v>
      </c>
      <c r="E2284" s="9" t="str">
        <f t="shared" si="528"/>
        <v>PRBND'!</v>
      </c>
      <c r="F2284" s="5" t="str">
        <f t="shared" si="529"/>
        <v>C:\Users\jaime.benazar\Quorum Business Solutions\Ecopetrol Prometeo - Documents\Planning Space Implementation\3. Analysis &amp; Design\Design\FC22\DRR Jaime\Neiva CPI\[VAO_DINA TERCIARIOS_CF_SEC_20230117.xlsx]CF PRBND'!</v>
      </c>
      <c r="G2284" s="6" t="s">
        <v>105</v>
      </c>
      <c r="H2284" s="1"/>
      <c r="I2284" s="1"/>
      <c r="J2284" s="1"/>
    </row>
    <row r="2285" spans="1:10" x14ac:dyDescent="0.3">
      <c r="A2285" s="6" t="s">
        <v>19</v>
      </c>
      <c r="B2285" s="6">
        <f t="shared" si="530"/>
        <v>2026</v>
      </c>
      <c r="C2285" s="1" t="s">
        <v>49</v>
      </c>
      <c r="D2285" s="2" t="s">
        <v>131</v>
      </c>
      <c r="E2285" s="9" t="str">
        <f t="shared" si="528"/>
        <v>PRBND'!</v>
      </c>
      <c r="F2285" s="5" t="str">
        <f t="shared" si="529"/>
        <v>C:\Users\jaime.benazar\Quorum Business Solutions\Ecopetrol Prometeo - Documents\Planning Space Implementation\3. Analysis &amp; Design\Design\FC22\DRR Jaime\Neiva CPI\[VAO_DINA TERCIARIOS_CF_SEC_20230117.xlsx]CF PRBND'!</v>
      </c>
      <c r="G2285" s="6" t="s">
        <v>105</v>
      </c>
      <c r="H2285" s="1"/>
      <c r="I2285" s="1"/>
      <c r="J2285" s="1"/>
    </row>
    <row r="2286" spans="1:10" x14ac:dyDescent="0.3">
      <c r="A2286" s="6" t="s">
        <v>19</v>
      </c>
      <c r="B2286" s="6">
        <f t="shared" si="530"/>
        <v>2027</v>
      </c>
      <c r="C2286" s="1" t="s">
        <v>49</v>
      </c>
      <c r="D2286" s="2" t="s">
        <v>131</v>
      </c>
      <c r="E2286" s="9" t="str">
        <f t="shared" si="528"/>
        <v>PRBND'!</v>
      </c>
      <c r="F2286" s="5" t="str">
        <f t="shared" si="529"/>
        <v>C:\Users\jaime.benazar\Quorum Business Solutions\Ecopetrol Prometeo - Documents\Planning Space Implementation\3. Analysis &amp; Design\Design\FC22\DRR Jaime\Neiva CPI\[VAO_DINA TERCIARIOS_CF_SEC_20230117.xlsx]CF PRBND'!</v>
      </c>
      <c r="G2286" s="6" t="s">
        <v>105</v>
      </c>
      <c r="H2286" s="1"/>
      <c r="I2286" s="1"/>
      <c r="J2286" s="1"/>
    </row>
    <row r="2287" spans="1:10" x14ac:dyDescent="0.3">
      <c r="A2287" s="6" t="s">
        <v>19</v>
      </c>
      <c r="B2287" s="6">
        <f t="shared" si="530"/>
        <v>2028</v>
      </c>
      <c r="C2287" s="1" t="s">
        <v>49</v>
      </c>
      <c r="D2287" s="2" t="s">
        <v>131</v>
      </c>
      <c r="E2287" s="9" t="str">
        <f t="shared" si="528"/>
        <v>PRBND'!</v>
      </c>
      <c r="F2287" s="5" t="str">
        <f t="shared" si="529"/>
        <v>C:\Users\jaime.benazar\Quorum Business Solutions\Ecopetrol Prometeo - Documents\Planning Space Implementation\3. Analysis &amp; Design\Design\FC22\DRR Jaime\Neiva CPI\[VAO_DINA TERCIARIOS_CF_SEC_20230117.xlsx]CF PRBND'!</v>
      </c>
      <c r="G2287" s="6" t="s">
        <v>105</v>
      </c>
      <c r="H2287" s="1"/>
      <c r="I2287" s="1"/>
      <c r="J2287" s="1"/>
    </row>
    <row r="2288" spans="1:10" x14ac:dyDescent="0.3">
      <c r="A2288" s="6" t="s">
        <v>19</v>
      </c>
      <c r="B2288" s="6">
        <f t="shared" si="530"/>
        <v>2029</v>
      </c>
      <c r="C2288" s="1" t="s">
        <v>49</v>
      </c>
      <c r="D2288" s="2" t="s">
        <v>131</v>
      </c>
      <c r="E2288" s="9" t="str">
        <f t="shared" si="528"/>
        <v>PRBND'!</v>
      </c>
      <c r="F2288" s="5" t="str">
        <f t="shared" si="529"/>
        <v>C:\Users\jaime.benazar\Quorum Business Solutions\Ecopetrol Prometeo - Documents\Planning Space Implementation\3. Analysis &amp; Design\Design\FC22\DRR Jaime\Neiva CPI\[VAO_DINA TERCIARIOS_CF_SEC_20230117.xlsx]CF PRBND'!</v>
      </c>
      <c r="G2288" s="6" t="s">
        <v>105</v>
      </c>
      <c r="H2288" s="1"/>
      <c r="I2288" s="1"/>
      <c r="J2288" s="1"/>
    </row>
    <row r="2289" spans="1:10" x14ac:dyDescent="0.3">
      <c r="A2289" s="6" t="s">
        <v>19</v>
      </c>
      <c r="B2289" s="6">
        <f t="shared" si="530"/>
        <v>2030</v>
      </c>
      <c r="C2289" s="1" t="s">
        <v>49</v>
      </c>
      <c r="D2289" s="2" t="s">
        <v>131</v>
      </c>
      <c r="E2289" s="9" t="str">
        <f t="shared" si="528"/>
        <v>PRBND'!</v>
      </c>
      <c r="F2289" s="5" t="str">
        <f t="shared" si="529"/>
        <v>C:\Users\jaime.benazar\Quorum Business Solutions\Ecopetrol Prometeo - Documents\Planning Space Implementation\3. Analysis &amp; Design\Design\FC22\DRR Jaime\Neiva CPI\[VAO_DINA TERCIARIOS_CF_SEC_20230117.xlsx]CF PRBND'!</v>
      </c>
      <c r="G2289" s="6" t="s">
        <v>105</v>
      </c>
      <c r="H2289" s="1"/>
      <c r="I2289" s="1"/>
      <c r="J2289" s="1"/>
    </row>
    <row r="2290" spans="1:10" x14ac:dyDescent="0.3">
      <c r="A2290" s="6" t="s">
        <v>19</v>
      </c>
      <c r="B2290" s="6">
        <f t="shared" si="530"/>
        <v>2031</v>
      </c>
      <c r="C2290" s="1" t="s">
        <v>49</v>
      </c>
      <c r="D2290" s="2" t="s">
        <v>131</v>
      </c>
      <c r="E2290" s="9" t="str">
        <f t="shared" si="528"/>
        <v>PRBND'!</v>
      </c>
      <c r="F2290" s="5" t="str">
        <f t="shared" si="529"/>
        <v>C:\Users\jaime.benazar\Quorum Business Solutions\Ecopetrol Prometeo - Documents\Planning Space Implementation\3. Analysis &amp; Design\Design\FC22\DRR Jaime\Neiva CPI\[VAO_DINA TERCIARIOS_CF_SEC_20230117.xlsx]CF PRBND'!</v>
      </c>
      <c r="G2290" s="6" t="s">
        <v>105</v>
      </c>
      <c r="H2290" s="1"/>
      <c r="I2290" s="1"/>
      <c r="J2290" s="1"/>
    </row>
    <row r="2291" spans="1:10" x14ac:dyDescent="0.3">
      <c r="A2291" s="6" t="s">
        <v>19</v>
      </c>
      <c r="B2291" s="6">
        <f t="shared" si="530"/>
        <v>2032</v>
      </c>
      <c r="C2291" s="1" t="s">
        <v>49</v>
      </c>
      <c r="D2291" s="2" t="s">
        <v>131</v>
      </c>
      <c r="E2291" s="9" t="str">
        <f t="shared" si="528"/>
        <v>PRBND'!</v>
      </c>
      <c r="F2291" s="5" t="str">
        <f t="shared" si="529"/>
        <v>C:\Users\jaime.benazar\Quorum Business Solutions\Ecopetrol Prometeo - Documents\Planning Space Implementation\3. Analysis &amp; Design\Design\FC22\DRR Jaime\Neiva CPI\[VAO_DINA TERCIARIOS_CF_SEC_20230117.xlsx]CF PRBND'!</v>
      </c>
      <c r="G2291" s="6" t="s">
        <v>105</v>
      </c>
      <c r="H2291" s="1"/>
      <c r="I2291" s="1"/>
      <c r="J2291" s="1"/>
    </row>
    <row r="2292" spans="1:10" x14ac:dyDescent="0.3">
      <c r="A2292" s="6" t="s">
        <v>19</v>
      </c>
      <c r="B2292" s="6">
        <f t="shared" si="530"/>
        <v>2033</v>
      </c>
      <c r="C2292" s="1" t="s">
        <v>49</v>
      </c>
      <c r="D2292" s="2" t="s">
        <v>131</v>
      </c>
      <c r="E2292" s="9" t="str">
        <f t="shared" si="528"/>
        <v>PRBND'!</v>
      </c>
      <c r="F2292" s="5" t="str">
        <f t="shared" si="529"/>
        <v>C:\Users\jaime.benazar\Quorum Business Solutions\Ecopetrol Prometeo - Documents\Planning Space Implementation\3. Analysis &amp; Design\Design\FC22\DRR Jaime\Neiva CPI\[VAO_DINA TERCIARIOS_CF_SEC_20230117.xlsx]CF PRBND'!</v>
      </c>
      <c r="G2292" s="6" t="s">
        <v>105</v>
      </c>
      <c r="H2292" s="1"/>
      <c r="I2292" s="1"/>
      <c r="J2292" s="1"/>
    </row>
    <row r="2293" spans="1:10" x14ac:dyDescent="0.3">
      <c r="A2293" s="6" t="s">
        <v>19</v>
      </c>
      <c r="B2293" s="6">
        <f t="shared" si="530"/>
        <v>2034</v>
      </c>
      <c r="C2293" s="1" t="s">
        <v>49</v>
      </c>
      <c r="D2293" s="2" t="s">
        <v>131</v>
      </c>
      <c r="E2293" s="9" t="str">
        <f t="shared" si="528"/>
        <v>PRBND'!</v>
      </c>
      <c r="F2293" s="5" t="str">
        <f t="shared" si="529"/>
        <v>C:\Users\jaime.benazar\Quorum Business Solutions\Ecopetrol Prometeo - Documents\Planning Space Implementation\3. Analysis &amp; Design\Design\FC22\DRR Jaime\Neiva CPI\[VAO_DINA TERCIARIOS_CF_SEC_20230117.xlsx]CF PRBND'!</v>
      </c>
      <c r="G2293" s="6" t="s">
        <v>105</v>
      </c>
      <c r="H2293" s="1"/>
      <c r="I2293" s="1"/>
      <c r="J2293" s="1"/>
    </row>
    <row r="2294" spans="1:10" x14ac:dyDescent="0.3">
      <c r="A2294" s="6" t="s">
        <v>19</v>
      </c>
      <c r="B2294" s="6">
        <f t="shared" si="530"/>
        <v>2035</v>
      </c>
      <c r="C2294" s="1" t="s">
        <v>49</v>
      </c>
      <c r="D2294" s="2" t="s">
        <v>131</v>
      </c>
      <c r="E2294" s="9" t="str">
        <f t="shared" si="528"/>
        <v>PRBND'!</v>
      </c>
      <c r="F2294" s="5" t="str">
        <f t="shared" si="529"/>
        <v>C:\Users\jaime.benazar\Quorum Business Solutions\Ecopetrol Prometeo - Documents\Planning Space Implementation\3. Analysis &amp; Design\Design\FC22\DRR Jaime\Neiva CPI\[VAO_DINA TERCIARIOS_CF_SEC_20230117.xlsx]CF PRBND'!</v>
      </c>
      <c r="G2294" s="6" t="s">
        <v>105</v>
      </c>
      <c r="H2294" s="1"/>
      <c r="I2294" s="1"/>
      <c r="J2294" s="1"/>
    </row>
    <row r="2295" spans="1:10" x14ac:dyDescent="0.3">
      <c r="A2295" s="6" t="s">
        <v>19</v>
      </c>
      <c r="B2295" s="6">
        <f t="shared" si="530"/>
        <v>2036</v>
      </c>
      <c r="C2295" s="1" t="s">
        <v>49</v>
      </c>
      <c r="D2295" s="2" t="s">
        <v>131</v>
      </c>
      <c r="E2295" s="9" t="str">
        <f t="shared" si="528"/>
        <v>PRBND'!</v>
      </c>
      <c r="F2295" s="5" t="str">
        <f t="shared" si="529"/>
        <v>C:\Users\jaime.benazar\Quorum Business Solutions\Ecopetrol Prometeo - Documents\Planning Space Implementation\3. Analysis &amp; Design\Design\FC22\DRR Jaime\Neiva CPI\[VAO_DINA TERCIARIOS_CF_SEC_20230117.xlsx]CF PRBND'!</v>
      </c>
      <c r="G2295" s="6" t="s">
        <v>105</v>
      </c>
      <c r="H2295" s="1"/>
      <c r="I2295" s="1"/>
      <c r="J2295" s="1"/>
    </row>
    <row r="2296" spans="1:10" x14ac:dyDescent="0.3">
      <c r="A2296" s="6" t="s">
        <v>19</v>
      </c>
      <c r="B2296" s="6">
        <f>+B2295+1</f>
        <v>2037</v>
      </c>
      <c r="C2296" s="1" t="s">
        <v>49</v>
      </c>
      <c r="D2296" s="2" t="s">
        <v>131</v>
      </c>
      <c r="E2296" s="9" t="str">
        <f t="shared" si="528"/>
        <v>PRBND'!</v>
      </c>
      <c r="F2296" s="5" t="str">
        <f t="shared" si="529"/>
        <v>C:\Users\jaime.benazar\Quorum Business Solutions\Ecopetrol Prometeo - Documents\Planning Space Implementation\3. Analysis &amp; Design\Design\FC22\DRR Jaime\Neiva CPI\[VAO_DINA TERCIARIOS_CF_SEC_20230117.xlsx]CF PRBND'!</v>
      </c>
      <c r="G2296" s="6" t="s">
        <v>105</v>
      </c>
      <c r="H2296" s="1"/>
      <c r="I2296" s="1"/>
      <c r="J2296" s="1"/>
    </row>
    <row r="2297" spans="1:10" x14ac:dyDescent="0.3">
      <c r="A2297" s="6" t="s">
        <v>19</v>
      </c>
      <c r="B2297" s="6">
        <f t="shared" ref="B2297:B2299" si="531">+B2296+1</f>
        <v>2038</v>
      </c>
      <c r="C2297" s="1" t="s">
        <v>49</v>
      </c>
      <c r="D2297" s="2" t="s">
        <v>131</v>
      </c>
      <c r="E2297" s="9" t="str">
        <f t="shared" si="528"/>
        <v>PRBND'!</v>
      </c>
      <c r="F2297" s="5" t="str">
        <f t="shared" si="529"/>
        <v>C:\Users\jaime.benazar\Quorum Business Solutions\Ecopetrol Prometeo - Documents\Planning Space Implementation\3. Analysis &amp; Design\Design\FC22\DRR Jaime\Neiva CPI\[VAO_DINA TERCIARIOS_CF_SEC_20230117.xlsx]CF PRBND'!</v>
      </c>
      <c r="G2297" s="6" t="s">
        <v>105</v>
      </c>
      <c r="H2297" s="1"/>
      <c r="I2297" s="1"/>
      <c r="J2297" s="1"/>
    </row>
    <row r="2298" spans="1:10" x14ac:dyDescent="0.3">
      <c r="A2298" s="6" t="s">
        <v>19</v>
      </c>
      <c r="B2298" s="6">
        <f t="shared" si="531"/>
        <v>2039</v>
      </c>
      <c r="C2298" s="1" t="s">
        <v>49</v>
      </c>
      <c r="D2298" s="2" t="s">
        <v>131</v>
      </c>
      <c r="E2298" s="9" t="str">
        <f t="shared" si="528"/>
        <v>PRBND'!</v>
      </c>
      <c r="F2298" s="5" t="str">
        <f t="shared" si="529"/>
        <v>C:\Users\jaime.benazar\Quorum Business Solutions\Ecopetrol Prometeo - Documents\Planning Space Implementation\3. Analysis &amp; Design\Design\FC22\DRR Jaime\Neiva CPI\[VAO_DINA TERCIARIOS_CF_SEC_20230117.xlsx]CF PRBND'!</v>
      </c>
      <c r="G2298" s="6" t="s">
        <v>105</v>
      </c>
      <c r="H2298" s="1"/>
      <c r="I2298" s="1"/>
      <c r="J2298" s="1"/>
    </row>
    <row r="2299" spans="1:10" x14ac:dyDescent="0.3">
      <c r="A2299" s="6" t="s">
        <v>19</v>
      </c>
      <c r="B2299" s="6">
        <f t="shared" si="531"/>
        <v>2040</v>
      </c>
      <c r="C2299" s="1" t="s">
        <v>49</v>
      </c>
      <c r="D2299" s="2" t="s">
        <v>131</v>
      </c>
      <c r="E2299" s="9" t="str">
        <f t="shared" si="528"/>
        <v>PRBND'!</v>
      </c>
      <c r="F2299" s="5" t="str">
        <f t="shared" si="529"/>
        <v>C:\Users\jaime.benazar\Quorum Business Solutions\Ecopetrol Prometeo - Documents\Planning Space Implementation\3. Analysis &amp; Design\Design\FC22\DRR Jaime\Neiva CPI\[VAO_DINA TERCIARIOS_CF_SEC_20230117.xlsx]CF PRBND'!</v>
      </c>
      <c r="G2299" s="6" t="s">
        <v>105</v>
      </c>
      <c r="H2299" s="1"/>
      <c r="I2299" s="1"/>
      <c r="J2299" s="1"/>
    </row>
    <row r="2300" spans="1:10" x14ac:dyDescent="0.3">
      <c r="A2300" s="6" t="s">
        <v>19</v>
      </c>
      <c r="B2300" s="6">
        <f>+B2299+1</f>
        <v>2041</v>
      </c>
      <c r="C2300" s="1" t="s">
        <v>49</v>
      </c>
      <c r="D2300" s="2" t="s">
        <v>131</v>
      </c>
      <c r="E2300" s="9" t="str">
        <f t="shared" si="528"/>
        <v>PRBND'!</v>
      </c>
      <c r="F2300" s="5" t="str">
        <f t="shared" si="529"/>
        <v>C:\Users\jaime.benazar\Quorum Business Solutions\Ecopetrol Prometeo - Documents\Planning Space Implementation\3. Analysis &amp; Design\Design\FC22\DRR Jaime\Neiva CPI\[VAO_DINA TERCIARIOS_CF_SEC_20230117.xlsx]CF PRBND'!</v>
      </c>
      <c r="G2300" s="6" t="s">
        <v>105</v>
      </c>
      <c r="H2300" s="1"/>
      <c r="I2300" s="1"/>
      <c r="J2300" s="1"/>
    </row>
    <row r="2301" spans="1:10" x14ac:dyDescent="0.3">
      <c r="A2301" s="6" t="s">
        <v>19</v>
      </c>
      <c r="B2301" s="6">
        <f t="shared" ref="B2301:B2302" si="532">+B2300+1</f>
        <v>2042</v>
      </c>
      <c r="C2301" s="1" t="s">
        <v>49</v>
      </c>
      <c r="D2301" s="2" t="s">
        <v>131</v>
      </c>
      <c r="E2301" s="9" t="str">
        <f t="shared" si="528"/>
        <v>PRBND'!</v>
      </c>
      <c r="F2301" s="5" t="str">
        <f t="shared" si="529"/>
        <v>C:\Users\jaime.benazar\Quorum Business Solutions\Ecopetrol Prometeo - Documents\Planning Space Implementation\3. Analysis &amp; Design\Design\FC22\DRR Jaime\Neiva CPI\[VAO_DINA TERCIARIOS_CF_SEC_20230117.xlsx]CF PRBND'!</v>
      </c>
      <c r="G2301" s="6" t="s">
        <v>105</v>
      </c>
      <c r="H2301" s="1"/>
      <c r="I2301" s="1"/>
      <c r="J2301" s="1"/>
    </row>
    <row r="2302" spans="1:10" x14ac:dyDescent="0.3">
      <c r="A2302" s="6" t="s">
        <v>19</v>
      </c>
      <c r="B2302" s="6">
        <f t="shared" si="532"/>
        <v>2043</v>
      </c>
      <c r="C2302" s="1" t="s">
        <v>49</v>
      </c>
      <c r="D2302" s="2" t="s">
        <v>131</v>
      </c>
      <c r="E2302" s="9" t="str">
        <f t="shared" si="528"/>
        <v>PRBND'!</v>
      </c>
      <c r="F2302" s="5" t="str">
        <f t="shared" si="529"/>
        <v>C:\Users\jaime.benazar\Quorum Business Solutions\Ecopetrol Prometeo - Documents\Planning Space Implementation\3. Analysis &amp; Design\Design\FC22\DRR Jaime\Neiva CPI\[VAO_DINA TERCIARIOS_CF_SEC_20230117.xlsx]CF PRBND'!</v>
      </c>
      <c r="G2302" s="6" t="s">
        <v>105</v>
      </c>
      <c r="H2302" s="1"/>
      <c r="I2302" s="1"/>
      <c r="J2302" s="1"/>
    </row>
    <row r="2303" spans="1:10" x14ac:dyDescent="0.3">
      <c r="A2303" s="6" t="s">
        <v>19</v>
      </c>
      <c r="B2303" s="6">
        <f>+B2302+1</f>
        <v>2044</v>
      </c>
      <c r="C2303" s="1" t="s">
        <v>49</v>
      </c>
      <c r="D2303" s="2" t="s">
        <v>131</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Jaime\Neiva CPI\[VAO_DINA TERCIARIOS_CF_SEC_20230117.xlsx]CF PRBND'!</v>
      </c>
      <c r="G2303" s="6" t="s">
        <v>105</v>
      </c>
      <c r="H2303" s="1"/>
      <c r="I2303" s="1"/>
      <c r="J2303" s="1"/>
    </row>
    <row r="2304" spans="1:10" x14ac:dyDescent="0.3">
      <c r="A2304" s="6" t="s">
        <v>19</v>
      </c>
      <c r="B2304" s="6">
        <f t="shared" ref="B2304:B2318" si="535">+B2303+1</f>
        <v>2045</v>
      </c>
      <c r="C2304" s="1" t="s">
        <v>49</v>
      </c>
      <c r="D2304" s="2" t="s">
        <v>131</v>
      </c>
      <c r="E2304" s="9" t="str">
        <f t="shared" si="533"/>
        <v>PRBND'!</v>
      </c>
      <c r="F2304" s="5" t="str">
        <f t="shared" si="534"/>
        <v>C:\Users\jaime.benazar\Quorum Business Solutions\Ecopetrol Prometeo - Documents\Planning Space Implementation\3. Analysis &amp; Design\Design\FC22\DRR Jaime\Neiva CPI\[VAO_DINA TERCIARIOS_CF_SEC_20230117.xlsx]CF PRBND'!</v>
      </c>
      <c r="G2304" s="6" t="s">
        <v>105</v>
      </c>
      <c r="H2304" s="1"/>
      <c r="I2304" s="1"/>
      <c r="J2304" s="1"/>
    </row>
    <row r="2305" spans="1:10" x14ac:dyDescent="0.3">
      <c r="A2305" s="6" t="s">
        <v>19</v>
      </c>
      <c r="B2305" s="6">
        <f t="shared" si="535"/>
        <v>2046</v>
      </c>
      <c r="C2305" s="1" t="s">
        <v>49</v>
      </c>
      <c r="D2305" s="2" t="s">
        <v>131</v>
      </c>
      <c r="E2305" s="9" t="str">
        <f t="shared" si="533"/>
        <v>PRBND'!</v>
      </c>
      <c r="F2305" s="5" t="str">
        <f t="shared" si="534"/>
        <v>C:\Users\jaime.benazar\Quorum Business Solutions\Ecopetrol Prometeo - Documents\Planning Space Implementation\3. Analysis &amp; Design\Design\FC22\DRR Jaime\Neiva CPI\[VAO_DINA TERCIARIOS_CF_SEC_20230117.xlsx]CF PRBND'!</v>
      </c>
      <c r="G2305" s="6" t="s">
        <v>105</v>
      </c>
      <c r="H2305" s="1"/>
      <c r="I2305" s="1"/>
      <c r="J2305" s="1"/>
    </row>
    <row r="2306" spans="1:10" x14ac:dyDescent="0.3">
      <c r="A2306" s="6" t="s">
        <v>19</v>
      </c>
      <c r="B2306" s="6">
        <f t="shared" si="535"/>
        <v>2047</v>
      </c>
      <c r="C2306" s="1" t="s">
        <v>49</v>
      </c>
      <c r="D2306" s="2" t="s">
        <v>131</v>
      </c>
      <c r="E2306" s="9" t="str">
        <f t="shared" si="533"/>
        <v>PRBND'!</v>
      </c>
      <c r="F2306" s="5" t="str">
        <f t="shared" si="534"/>
        <v>C:\Users\jaime.benazar\Quorum Business Solutions\Ecopetrol Prometeo - Documents\Planning Space Implementation\3. Analysis &amp; Design\Design\FC22\DRR Jaime\Neiva CPI\[VAO_DINA TERCIARIOS_CF_SEC_20230117.xlsx]CF PRBND'!</v>
      </c>
      <c r="G2306" s="6" t="s">
        <v>105</v>
      </c>
      <c r="H2306" s="1"/>
      <c r="I2306" s="1"/>
      <c r="J2306" s="1"/>
    </row>
    <row r="2307" spans="1:10" x14ac:dyDescent="0.3">
      <c r="A2307" s="6" t="s">
        <v>19</v>
      </c>
      <c r="B2307" s="6">
        <f t="shared" si="535"/>
        <v>2048</v>
      </c>
      <c r="C2307" s="1" t="s">
        <v>49</v>
      </c>
      <c r="D2307" s="2" t="s">
        <v>131</v>
      </c>
      <c r="E2307" s="9" t="str">
        <f t="shared" si="533"/>
        <v>PRBND'!</v>
      </c>
      <c r="F2307" s="5" t="str">
        <f t="shared" si="534"/>
        <v>C:\Users\jaime.benazar\Quorum Business Solutions\Ecopetrol Prometeo - Documents\Planning Space Implementation\3. Analysis &amp; Design\Design\FC22\DRR Jaime\Neiva CPI\[VAO_DINA TERCIARIOS_CF_SEC_20230117.xlsx]CF PRBND'!</v>
      </c>
      <c r="G2307" s="6" t="s">
        <v>105</v>
      </c>
      <c r="H2307" s="1"/>
      <c r="I2307" s="1"/>
      <c r="J2307" s="1"/>
    </row>
    <row r="2308" spans="1:10" x14ac:dyDescent="0.3">
      <c r="A2308" s="6" t="s">
        <v>19</v>
      </c>
      <c r="B2308" s="6">
        <f t="shared" si="535"/>
        <v>2049</v>
      </c>
      <c r="C2308" s="1" t="s">
        <v>49</v>
      </c>
      <c r="D2308" s="2" t="s">
        <v>131</v>
      </c>
      <c r="E2308" s="9" t="str">
        <f t="shared" si="533"/>
        <v>PRBND'!</v>
      </c>
      <c r="F2308" s="5" t="str">
        <f t="shared" si="534"/>
        <v>C:\Users\jaime.benazar\Quorum Business Solutions\Ecopetrol Prometeo - Documents\Planning Space Implementation\3. Analysis &amp; Design\Design\FC22\DRR Jaime\Neiva CPI\[VAO_DINA TERCIARIOS_CF_SEC_20230117.xlsx]CF PRBND'!</v>
      </c>
      <c r="G2308" s="6" t="s">
        <v>105</v>
      </c>
      <c r="H2308" s="1"/>
      <c r="I2308" s="1"/>
      <c r="J2308" s="1"/>
    </row>
    <row r="2309" spans="1:10" x14ac:dyDescent="0.3">
      <c r="A2309" s="6" t="s">
        <v>19</v>
      </c>
      <c r="B2309" s="6">
        <f t="shared" si="535"/>
        <v>2050</v>
      </c>
      <c r="C2309" s="1" t="s">
        <v>49</v>
      </c>
      <c r="D2309" s="2" t="s">
        <v>131</v>
      </c>
      <c r="E2309" s="9" t="str">
        <f t="shared" si="533"/>
        <v>PRBND'!</v>
      </c>
      <c r="F2309" s="5" t="str">
        <f t="shared" si="534"/>
        <v>C:\Users\jaime.benazar\Quorum Business Solutions\Ecopetrol Prometeo - Documents\Planning Space Implementation\3. Analysis &amp; Design\Design\FC22\DRR Jaime\Neiva CPI\[VAO_DINA TERCIARIOS_CF_SEC_20230117.xlsx]CF PRBND'!</v>
      </c>
      <c r="G2309" s="6" t="s">
        <v>105</v>
      </c>
      <c r="H2309" s="1"/>
      <c r="I2309" s="1"/>
      <c r="J2309" s="1"/>
    </row>
    <row r="2310" spans="1:10" x14ac:dyDescent="0.3">
      <c r="A2310" s="6" t="s">
        <v>19</v>
      </c>
      <c r="B2310" s="6">
        <f t="shared" si="535"/>
        <v>2051</v>
      </c>
      <c r="C2310" s="1" t="s">
        <v>49</v>
      </c>
      <c r="D2310" s="2" t="s">
        <v>131</v>
      </c>
      <c r="E2310" s="9" t="str">
        <f t="shared" si="533"/>
        <v>PRBND'!</v>
      </c>
      <c r="F2310" s="5" t="str">
        <f t="shared" si="534"/>
        <v>C:\Users\jaime.benazar\Quorum Business Solutions\Ecopetrol Prometeo - Documents\Planning Space Implementation\3. Analysis &amp; Design\Design\FC22\DRR Jaime\Neiva CPI\[VAO_DINA TERCIARIOS_CF_SEC_20230117.xlsx]CF PRBND'!</v>
      </c>
      <c r="G2310" s="6" t="s">
        <v>105</v>
      </c>
      <c r="H2310" s="1"/>
      <c r="I2310" s="1"/>
      <c r="J2310" s="1"/>
    </row>
    <row r="2311" spans="1:10" x14ac:dyDescent="0.3">
      <c r="A2311" s="6" t="s">
        <v>19</v>
      </c>
      <c r="B2311" s="6">
        <f t="shared" si="535"/>
        <v>2052</v>
      </c>
      <c r="C2311" s="1" t="s">
        <v>49</v>
      </c>
      <c r="D2311" s="2" t="s">
        <v>131</v>
      </c>
      <c r="E2311" s="9" t="str">
        <f t="shared" si="533"/>
        <v>PRBND'!</v>
      </c>
      <c r="F2311" s="5" t="str">
        <f t="shared" si="534"/>
        <v>C:\Users\jaime.benazar\Quorum Business Solutions\Ecopetrol Prometeo - Documents\Planning Space Implementation\3. Analysis &amp; Design\Design\FC22\DRR Jaime\Neiva CPI\[VAO_DINA TERCIARIOS_CF_SEC_20230117.xlsx]CF PRBND'!</v>
      </c>
      <c r="G2311" s="6" t="s">
        <v>105</v>
      </c>
      <c r="H2311" s="1"/>
      <c r="I2311" s="1"/>
      <c r="J2311" s="1"/>
    </row>
    <row r="2312" spans="1:10" x14ac:dyDescent="0.3">
      <c r="A2312" s="6" t="s">
        <v>19</v>
      </c>
      <c r="B2312" s="6">
        <f t="shared" si="535"/>
        <v>2053</v>
      </c>
      <c r="C2312" s="1" t="s">
        <v>49</v>
      </c>
      <c r="D2312" s="2" t="s">
        <v>131</v>
      </c>
      <c r="E2312" s="9" t="str">
        <f t="shared" si="533"/>
        <v>PRBND'!</v>
      </c>
      <c r="F2312" s="5" t="str">
        <f t="shared" si="534"/>
        <v>C:\Users\jaime.benazar\Quorum Business Solutions\Ecopetrol Prometeo - Documents\Planning Space Implementation\3. Analysis &amp; Design\Design\FC22\DRR Jaime\Neiva CPI\[VAO_DINA TERCIARIOS_CF_SEC_20230117.xlsx]CF PRBND'!</v>
      </c>
      <c r="G2312" s="6" t="s">
        <v>105</v>
      </c>
      <c r="H2312" s="1"/>
      <c r="I2312" s="1"/>
      <c r="J2312" s="1"/>
    </row>
    <row r="2313" spans="1:10" x14ac:dyDescent="0.3">
      <c r="A2313" s="6" t="s">
        <v>19</v>
      </c>
      <c r="B2313" s="6">
        <f t="shared" si="535"/>
        <v>2054</v>
      </c>
      <c r="C2313" s="1" t="s">
        <v>49</v>
      </c>
      <c r="D2313" s="2" t="s">
        <v>131</v>
      </c>
      <c r="E2313" s="9" t="str">
        <f t="shared" si="533"/>
        <v>PRBND'!</v>
      </c>
      <c r="F2313" s="5" t="str">
        <f t="shared" si="534"/>
        <v>C:\Users\jaime.benazar\Quorum Business Solutions\Ecopetrol Prometeo - Documents\Planning Space Implementation\3. Analysis &amp; Design\Design\FC22\DRR Jaime\Neiva CPI\[VAO_DINA TERCIARIOS_CF_SEC_20230117.xlsx]CF PRBND'!</v>
      </c>
      <c r="G2313" s="6" t="s">
        <v>105</v>
      </c>
      <c r="H2313" s="1"/>
      <c r="I2313" s="1"/>
      <c r="J2313" s="1"/>
    </row>
    <row r="2314" spans="1:10" x14ac:dyDescent="0.3">
      <c r="A2314" s="6" t="s">
        <v>19</v>
      </c>
      <c r="B2314" s="6">
        <f t="shared" si="535"/>
        <v>2055</v>
      </c>
      <c r="C2314" s="1" t="s">
        <v>49</v>
      </c>
      <c r="D2314" s="2" t="s">
        <v>131</v>
      </c>
      <c r="E2314" s="9" t="str">
        <f t="shared" si="533"/>
        <v>PRBND'!</v>
      </c>
      <c r="F2314" s="5" t="str">
        <f t="shared" si="534"/>
        <v>C:\Users\jaime.benazar\Quorum Business Solutions\Ecopetrol Prometeo - Documents\Planning Space Implementation\3. Analysis &amp; Design\Design\FC22\DRR Jaime\Neiva CPI\[VAO_DINA TERCIARIOS_CF_SEC_20230117.xlsx]CF PRBND'!</v>
      </c>
      <c r="G2314" s="6" t="s">
        <v>105</v>
      </c>
      <c r="H2314" s="1"/>
      <c r="I2314" s="1"/>
      <c r="J2314" s="1"/>
    </row>
    <row r="2315" spans="1:10" x14ac:dyDescent="0.3">
      <c r="A2315" s="6" t="s">
        <v>19</v>
      </c>
      <c r="B2315" s="6">
        <f t="shared" si="535"/>
        <v>2056</v>
      </c>
      <c r="C2315" s="1" t="s">
        <v>49</v>
      </c>
      <c r="D2315" s="2" t="s">
        <v>131</v>
      </c>
      <c r="E2315" s="9" t="str">
        <f t="shared" si="533"/>
        <v>PRBND'!</v>
      </c>
      <c r="F2315" s="5" t="str">
        <f t="shared" si="534"/>
        <v>C:\Users\jaime.benazar\Quorum Business Solutions\Ecopetrol Prometeo - Documents\Planning Space Implementation\3. Analysis &amp; Design\Design\FC22\DRR Jaime\Neiva CPI\[VAO_DINA TERCIARIOS_CF_SEC_20230117.xlsx]CF PRBND'!</v>
      </c>
      <c r="G2315" s="6" t="s">
        <v>105</v>
      </c>
      <c r="H2315" s="1"/>
      <c r="I2315" s="1"/>
      <c r="J2315" s="1"/>
    </row>
    <row r="2316" spans="1:10" x14ac:dyDescent="0.3">
      <c r="A2316" s="6" t="s">
        <v>19</v>
      </c>
      <c r="B2316" s="6">
        <f t="shared" si="535"/>
        <v>2057</v>
      </c>
      <c r="C2316" s="1" t="s">
        <v>49</v>
      </c>
      <c r="D2316" s="2" t="s">
        <v>131</v>
      </c>
      <c r="E2316" s="9" t="str">
        <f t="shared" si="533"/>
        <v>PRBND'!</v>
      </c>
      <c r="F2316" s="5" t="str">
        <f t="shared" si="534"/>
        <v>C:\Users\jaime.benazar\Quorum Business Solutions\Ecopetrol Prometeo - Documents\Planning Space Implementation\3. Analysis &amp; Design\Design\FC22\DRR Jaime\Neiva CPI\[VAO_DINA TERCIARIOS_CF_SEC_20230117.xlsx]CF PRBND'!</v>
      </c>
      <c r="G2316" s="6" t="s">
        <v>105</v>
      </c>
      <c r="H2316" s="1"/>
      <c r="I2316" s="1"/>
      <c r="J2316" s="1"/>
    </row>
    <row r="2317" spans="1:10" x14ac:dyDescent="0.3">
      <c r="A2317" s="6" t="s">
        <v>19</v>
      </c>
      <c r="B2317" s="6">
        <f t="shared" si="535"/>
        <v>2058</v>
      </c>
      <c r="C2317" s="1" t="s">
        <v>49</v>
      </c>
      <c r="D2317" s="2" t="s">
        <v>131</v>
      </c>
      <c r="E2317" s="9" t="str">
        <f t="shared" si="533"/>
        <v>PRBND'!</v>
      </c>
      <c r="F2317" s="5" t="str">
        <f t="shared" si="534"/>
        <v>C:\Users\jaime.benazar\Quorum Business Solutions\Ecopetrol Prometeo - Documents\Planning Space Implementation\3. Analysis &amp; Design\Design\FC22\DRR Jaime\Neiva CPI\[VAO_DINA TERCIARIOS_CF_SEC_20230117.xlsx]CF PRBND'!</v>
      </c>
      <c r="G2317" s="6" t="s">
        <v>105</v>
      </c>
      <c r="H2317" s="1"/>
      <c r="I2317" s="1"/>
      <c r="J2317" s="1"/>
    </row>
    <row r="2318" spans="1:10" x14ac:dyDescent="0.3">
      <c r="A2318" s="6" t="s">
        <v>19</v>
      </c>
      <c r="B2318" s="6">
        <f t="shared" si="535"/>
        <v>2059</v>
      </c>
      <c r="C2318" s="1" t="s">
        <v>49</v>
      </c>
      <c r="D2318" s="2" t="s">
        <v>131</v>
      </c>
      <c r="E2318" s="9" t="str">
        <f t="shared" si="533"/>
        <v>PRBND'!</v>
      </c>
      <c r="F2318" s="5" t="str">
        <f t="shared" si="534"/>
        <v>C:\Users\jaime.benazar\Quorum Business Solutions\Ecopetrol Prometeo - Documents\Planning Space Implementation\3. Analysis &amp; Design\Design\FC22\DRR Jaime\Neiva CPI\[VAO_DINA TERCIARIOS_CF_SEC_20230117.xlsx]CF PRBND'!</v>
      </c>
      <c r="G2318" s="6" t="s">
        <v>105</v>
      </c>
      <c r="H2318" s="1"/>
      <c r="I2318" s="1"/>
      <c r="J2318" s="1"/>
    </row>
    <row r="2319" spans="1:10" x14ac:dyDescent="0.3">
      <c r="A2319" s="6" t="s">
        <v>26</v>
      </c>
      <c r="B2319" s="6"/>
      <c r="C2319" s="1" t="s">
        <v>49</v>
      </c>
      <c r="D2319" s="2"/>
      <c r="E2319" s="9"/>
      <c r="F2319" s="5"/>
      <c r="G2319" s="6"/>
      <c r="H2319" s="1"/>
      <c r="I2319" s="1"/>
      <c r="J2319" s="1"/>
    </row>
    <row r="2320" spans="1:10" x14ac:dyDescent="0.3">
      <c r="A2320" s="6" t="s">
        <v>20</v>
      </c>
      <c r="B2320" s="6">
        <v>2023</v>
      </c>
      <c r="C2320" s="1" t="s">
        <v>49</v>
      </c>
      <c r="D2320" s="2" t="s">
        <v>131</v>
      </c>
      <c r="E2320" s="9" t="str">
        <f t="shared" si="504"/>
        <v>PRB'!</v>
      </c>
      <c r="F2320" s="5" t="str">
        <f t="shared" ref="F2320:F2340" si="536">_xlfn.CONCAT(D2320," ",E2320)</f>
        <v>C:\Users\jaime.benazar\Quorum Business Solutions\Ecopetrol Prometeo - Documents\Planning Space Implementation\3. Analysis &amp; Design\Design\FC22\DRR Jaime\Neiva CPI\[VAO_DINA TERCIARIOS_CF_SEC_20230117.xlsx]CF PRB'!</v>
      </c>
      <c r="G2320" s="6" t="s">
        <v>105</v>
      </c>
      <c r="H2320" s="1">
        <f>IF(A2320&lt;&gt;A2190,36,H2190+1)</f>
        <v>36</v>
      </c>
      <c r="I2320" s="1" t="str">
        <f t="shared" si="505"/>
        <v>='C:\Users\jaime.benazar\Quorum Business Solutions\Ecopetrol Prometeo - Documents\Planning Space Implementation\3. Analysis &amp; Design\Design\FC22\DRR Jaime\Neiva CPI\[VAO_DINA TERCIARIOS_CF_SEC_20230117.xlsx]CF PRB'!$CT$36</v>
      </c>
      <c r="J2320" s="1" t="s">
        <v>1168</v>
      </c>
    </row>
    <row r="2321" spans="1:10" x14ac:dyDescent="0.3">
      <c r="A2321" s="6" t="s">
        <v>20</v>
      </c>
      <c r="B2321" s="6">
        <f>+B2320+1</f>
        <v>2024</v>
      </c>
      <c r="C2321" s="1" t="s">
        <v>49</v>
      </c>
      <c r="D2321" s="2" t="s">
        <v>131</v>
      </c>
      <c r="E2321" s="9" t="str">
        <f t="shared" si="504"/>
        <v>PRB'!</v>
      </c>
      <c r="F2321" s="5" t="str">
        <f t="shared" si="536"/>
        <v>C:\Users\jaime.benazar\Quorum Business Solutions\Ecopetrol Prometeo - Documents\Planning Space Implementation\3. Analysis &amp; Design\Design\FC22\DRR Jaime\Neiva CPI\[VAO_DINA TERCIARIOS_CF_SEC_20230117.xlsx]CF PRB'!</v>
      </c>
      <c r="G2321" s="6" t="s">
        <v>105</v>
      </c>
      <c r="H2321" s="1">
        <f t="shared" si="506"/>
        <v>37</v>
      </c>
      <c r="I2321" s="1" t="str">
        <f t="shared" si="505"/>
        <v>='C:\Users\jaime.benazar\Quorum Business Solutions\Ecopetrol Prometeo - Documents\Planning Space Implementation\3. Analysis &amp; Design\Design\FC22\DRR Jaime\Neiva CPI\[VAO_DINA TERCIARIOS_CF_SEC_20230117.xlsx]CF PRB'!$CT$37</v>
      </c>
      <c r="J2321" s="1" t="s">
        <v>1169</v>
      </c>
    </row>
    <row r="2322" spans="1:10" x14ac:dyDescent="0.3">
      <c r="A2322" s="6" t="s">
        <v>20</v>
      </c>
      <c r="B2322" s="6">
        <f t="shared" ref="B2322:B2333" si="537">+B2321+1</f>
        <v>2025</v>
      </c>
      <c r="C2322" s="1" t="s">
        <v>49</v>
      </c>
      <c r="D2322" s="2" t="s">
        <v>131</v>
      </c>
      <c r="E2322" s="9" t="str">
        <f t="shared" si="504"/>
        <v>PRB'!</v>
      </c>
      <c r="F2322" s="5" t="str">
        <f t="shared" si="536"/>
        <v>C:\Users\jaime.benazar\Quorum Business Solutions\Ecopetrol Prometeo - Documents\Planning Space Implementation\3. Analysis &amp; Design\Design\FC22\DRR Jaime\Neiva CPI\[VAO_DINA TERCIARIOS_CF_SEC_20230117.xlsx]CF PRB'!</v>
      </c>
      <c r="G2322" s="6" t="s">
        <v>105</v>
      </c>
      <c r="H2322" s="1">
        <f t="shared" si="506"/>
        <v>38</v>
      </c>
      <c r="I2322" s="1" t="str">
        <f t="shared" si="505"/>
        <v>='C:\Users\jaime.benazar\Quorum Business Solutions\Ecopetrol Prometeo - Documents\Planning Space Implementation\3. Analysis &amp; Design\Design\FC22\DRR Jaime\Neiva CPI\[VAO_DINA TERCIARIOS_CF_SEC_20230117.xlsx]CF PRB'!$CT$38</v>
      </c>
      <c r="J2322" s="1" t="s">
        <v>1170</v>
      </c>
    </row>
    <row r="2323" spans="1:10" x14ac:dyDescent="0.3">
      <c r="A2323" s="6" t="s">
        <v>20</v>
      </c>
      <c r="B2323" s="6">
        <f t="shared" si="537"/>
        <v>2026</v>
      </c>
      <c r="C2323" s="1" t="s">
        <v>49</v>
      </c>
      <c r="D2323" s="2" t="s">
        <v>131</v>
      </c>
      <c r="E2323" s="9" t="str">
        <f t="shared" si="504"/>
        <v>PRB'!</v>
      </c>
      <c r="F2323" s="5" t="str">
        <f t="shared" si="536"/>
        <v>C:\Users\jaime.benazar\Quorum Business Solutions\Ecopetrol Prometeo - Documents\Planning Space Implementation\3. Analysis &amp; Design\Design\FC22\DRR Jaime\Neiva CPI\[VAO_DINA TERCIARIOS_CF_SEC_20230117.xlsx]CF PRB'!</v>
      </c>
      <c r="G2323" s="6" t="s">
        <v>105</v>
      </c>
      <c r="H2323" s="1">
        <f t="shared" si="506"/>
        <v>39</v>
      </c>
      <c r="I2323" s="1" t="str">
        <f t="shared" si="505"/>
        <v>='C:\Users\jaime.benazar\Quorum Business Solutions\Ecopetrol Prometeo - Documents\Planning Space Implementation\3. Analysis &amp; Design\Design\FC22\DRR Jaime\Neiva CPI\[VAO_DINA TERCIARIOS_CF_SEC_20230117.xlsx]CF PRB'!$CT$39</v>
      </c>
      <c r="J2323" s="1" t="s">
        <v>1171</v>
      </c>
    </row>
    <row r="2324" spans="1:10" x14ac:dyDescent="0.3">
      <c r="A2324" s="6" t="s">
        <v>20</v>
      </c>
      <c r="B2324" s="6">
        <f t="shared" si="537"/>
        <v>2027</v>
      </c>
      <c r="C2324" s="1" t="s">
        <v>49</v>
      </c>
      <c r="D2324" s="2" t="s">
        <v>131</v>
      </c>
      <c r="E2324" s="9" t="str">
        <f t="shared" si="504"/>
        <v>PRB'!</v>
      </c>
      <c r="F2324" s="5" t="str">
        <f t="shared" si="536"/>
        <v>C:\Users\jaime.benazar\Quorum Business Solutions\Ecopetrol Prometeo - Documents\Planning Space Implementation\3. Analysis &amp; Design\Design\FC22\DRR Jaime\Neiva CPI\[VAO_DINA TERCIARIOS_CF_SEC_20230117.xlsx]CF PRB'!</v>
      </c>
      <c r="G2324" s="6" t="s">
        <v>105</v>
      </c>
      <c r="H2324" s="1">
        <f t="shared" si="506"/>
        <v>40</v>
      </c>
      <c r="I2324" s="1" t="str">
        <f t="shared" si="505"/>
        <v>='C:\Users\jaime.benazar\Quorum Business Solutions\Ecopetrol Prometeo - Documents\Planning Space Implementation\3. Analysis &amp; Design\Design\FC22\DRR Jaime\Neiva CPI\[VAO_DINA TERCIARIOS_CF_SEC_20230117.xlsx]CF PRB'!$CT$40</v>
      </c>
      <c r="J2324" s="1" t="s">
        <v>1172</v>
      </c>
    </row>
    <row r="2325" spans="1:10" x14ac:dyDescent="0.3">
      <c r="A2325" s="6" t="s">
        <v>20</v>
      </c>
      <c r="B2325" s="6">
        <f t="shared" si="537"/>
        <v>2028</v>
      </c>
      <c r="C2325" s="1" t="s">
        <v>49</v>
      </c>
      <c r="D2325" s="2" t="s">
        <v>131</v>
      </c>
      <c r="E2325" s="9" t="str">
        <f t="shared" si="504"/>
        <v>PRB'!</v>
      </c>
      <c r="F2325" s="5" t="str">
        <f t="shared" si="536"/>
        <v>C:\Users\jaime.benazar\Quorum Business Solutions\Ecopetrol Prometeo - Documents\Planning Space Implementation\3. Analysis &amp; Design\Design\FC22\DRR Jaime\Neiva CPI\[VAO_DINA TERCIARIOS_CF_SEC_20230117.xlsx]CF PRB'!</v>
      </c>
      <c r="G2325" s="6" t="s">
        <v>105</v>
      </c>
      <c r="H2325" s="1">
        <f t="shared" si="506"/>
        <v>41</v>
      </c>
      <c r="I2325" s="1" t="str">
        <f t="shared" si="505"/>
        <v>='C:\Users\jaime.benazar\Quorum Business Solutions\Ecopetrol Prometeo - Documents\Planning Space Implementation\3. Analysis &amp; Design\Design\FC22\DRR Jaime\Neiva CPI\[VAO_DINA TERCIARIOS_CF_SEC_20230117.xlsx]CF PRB'!$CT$41</v>
      </c>
      <c r="J2325" s="1" t="s">
        <v>1173</v>
      </c>
    </row>
    <row r="2326" spans="1:10" x14ac:dyDescent="0.3">
      <c r="A2326" s="6" t="s">
        <v>20</v>
      </c>
      <c r="B2326" s="6">
        <f t="shared" si="537"/>
        <v>2029</v>
      </c>
      <c r="C2326" s="1" t="s">
        <v>49</v>
      </c>
      <c r="D2326" s="2" t="s">
        <v>131</v>
      </c>
      <c r="E2326" s="9" t="str">
        <f t="shared" si="504"/>
        <v>PRB'!</v>
      </c>
      <c r="F2326" s="5" t="str">
        <f t="shared" si="536"/>
        <v>C:\Users\jaime.benazar\Quorum Business Solutions\Ecopetrol Prometeo - Documents\Planning Space Implementation\3. Analysis &amp; Design\Design\FC22\DRR Jaime\Neiva CPI\[VAO_DINA TERCIARIOS_CF_SEC_20230117.xlsx]CF PRB'!</v>
      </c>
      <c r="G2326" s="6" t="s">
        <v>105</v>
      </c>
      <c r="H2326" s="1">
        <f t="shared" si="506"/>
        <v>42</v>
      </c>
      <c r="I2326" s="1" t="str">
        <f t="shared" si="505"/>
        <v>='C:\Users\jaime.benazar\Quorum Business Solutions\Ecopetrol Prometeo - Documents\Planning Space Implementation\3. Analysis &amp; Design\Design\FC22\DRR Jaime\Neiva CPI\[VAO_DINA TERCIARIOS_CF_SEC_20230117.xlsx]CF PRB'!$CT$42</v>
      </c>
      <c r="J2326" s="1" t="s">
        <v>1174</v>
      </c>
    </row>
    <row r="2327" spans="1:10" x14ac:dyDescent="0.3">
      <c r="A2327" s="6" t="s">
        <v>20</v>
      </c>
      <c r="B2327" s="6">
        <f t="shared" si="537"/>
        <v>2030</v>
      </c>
      <c r="C2327" s="1" t="s">
        <v>49</v>
      </c>
      <c r="D2327" s="2" t="s">
        <v>131</v>
      </c>
      <c r="E2327" s="9" t="str">
        <f t="shared" si="504"/>
        <v>PRB'!</v>
      </c>
      <c r="F2327" s="5" t="str">
        <f t="shared" si="536"/>
        <v>C:\Users\jaime.benazar\Quorum Business Solutions\Ecopetrol Prometeo - Documents\Planning Space Implementation\3. Analysis &amp; Design\Design\FC22\DRR Jaime\Neiva CPI\[VAO_DINA TERCIARIOS_CF_SEC_20230117.xlsx]CF PRB'!</v>
      </c>
      <c r="G2327" s="6" t="s">
        <v>105</v>
      </c>
      <c r="H2327" s="1">
        <f t="shared" si="506"/>
        <v>43</v>
      </c>
      <c r="I2327" s="1" t="str">
        <f t="shared" si="505"/>
        <v>='C:\Users\jaime.benazar\Quorum Business Solutions\Ecopetrol Prometeo - Documents\Planning Space Implementation\3. Analysis &amp; Design\Design\FC22\DRR Jaime\Neiva CPI\[VAO_DINA TERCIARIOS_CF_SEC_20230117.xlsx]CF PRB'!$CT$43</v>
      </c>
      <c r="J2327" s="1" t="s">
        <v>1175</v>
      </c>
    </row>
    <row r="2328" spans="1:10" x14ac:dyDescent="0.3">
      <c r="A2328" s="6" t="s">
        <v>20</v>
      </c>
      <c r="B2328" s="6">
        <f t="shared" si="537"/>
        <v>2031</v>
      </c>
      <c r="C2328" s="1" t="s">
        <v>49</v>
      </c>
      <c r="D2328" s="2" t="s">
        <v>131</v>
      </c>
      <c r="E2328" s="9" t="str">
        <f t="shared" si="504"/>
        <v>PRB'!</v>
      </c>
      <c r="F2328" s="5" t="str">
        <f t="shared" si="536"/>
        <v>C:\Users\jaime.benazar\Quorum Business Solutions\Ecopetrol Prometeo - Documents\Planning Space Implementation\3. Analysis &amp; Design\Design\FC22\DRR Jaime\Neiva CPI\[VAO_DINA TERCIARIOS_CF_SEC_20230117.xlsx]CF PRB'!</v>
      </c>
      <c r="G2328" s="6" t="s">
        <v>105</v>
      </c>
      <c r="H2328" s="1">
        <f t="shared" si="506"/>
        <v>44</v>
      </c>
      <c r="I2328" s="1" t="str">
        <f t="shared" si="505"/>
        <v>='C:\Users\jaime.benazar\Quorum Business Solutions\Ecopetrol Prometeo - Documents\Planning Space Implementation\3. Analysis &amp; Design\Design\FC22\DRR Jaime\Neiva CPI\[VAO_DINA TERCIARIOS_CF_SEC_20230117.xlsx]CF PRB'!$CT$44</v>
      </c>
      <c r="J2328" s="1" t="s">
        <v>1176</v>
      </c>
    </row>
    <row r="2329" spans="1:10" x14ac:dyDescent="0.3">
      <c r="A2329" s="6" t="s">
        <v>20</v>
      </c>
      <c r="B2329" s="6">
        <f t="shared" si="537"/>
        <v>2032</v>
      </c>
      <c r="C2329" s="1" t="s">
        <v>49</v>
      </c>
      <c r="D2329" s="2" t="s">
        <v>131</v>
      </c>
      <c r="E2329" s="9" t="str">
        <f t="shared" si="504"/>
        <v>PRB'!</v>
      </c>
      <c r="F2329" s="5" t="str">
        <f t="shared" si="536"/>
        <v>C:\Users\jaime.benazar\Quorum Business Solutions\Ecopetrol Prometeo - Documents\Planning Space Implementation\3. Analysis &amp; Design\Design\FC22\DRR Jaime\Neiva CPI\[VAO_DINA TERCIARIOS_CF_SEC_20230117.xlsx]CF PRB'!</v>
      </c>
      <c r="G2329" s="6" t="s">
        <v>105</v>
      </c>
      <c r="H2329" s="1">
        <f t="shared" si="506"/>
        <v>45</v>
      </c>
      <c r="I2329" s="1" t="str">
        <f t="shared" si="505"/>
        <v>='C:\Users\jaime.benazar\Quorum Business Solutions\Ecopetrol Prometeo - Documents\Planning Space Implementation\3. Analysis &amp; Design\Design\FC22\DRR Jaime\Neiva CPI\[VAO_DINA TERCIARIOS_CF_SEC_20230117.xlsx]CF PRB'!$CT$45</v>
      </c>
      <c r="J2329" s="1" t="s">
        <v>1177</v>
      </c>
    </row>
    <row r="2330" spans="1:10" x14ac:dyDescent="0.3">
      <c r="A2330" s="6" t="s">
        <v>20</v>
      </c>
      <c r="B2330" s="6">
        <f t="shared" si="537"/>
        <v>2033</v>
      </c>
      <c r="C2330" s="1" t="s">
        <v>49</v>
      </c>
      <c r="D2330" s="2" t="s">
        <v>131</v>
      </c>
      <c r="E2330" s="9" t="str">
        <f t="shared" si="504"/>
        <v>PRB'!</v>
      </c>
      <c r="F2330" s="5" t="str">
        <f t="shared" si="536"/>
        <v>C:\Users\jaime.benazar\Quorum Business Solutions\Ecopetrol Prometeo - Documents\Planning Space Implementation\3. Analysis &amp; Design\Design\FC22\DRR Jaime\Neiva CPI\[VAO_DINA TERCIARIOS_CF_SEC_20230117.xlsx]CF PRB'!</v>
      </c>
      <c r="G2330" s="6" t="s">
        <v>105</v>
      </c>
      <c r="H2330" s="1">
        <f t="shared" si="506"/>
        <v>46</v>
      </c>
      <c r="I2330" s="1" t="str">
        <f t="shared" si="505"/>
        <v>='C:\Users\jaime.benazar\Quorum Business Solutions\Ecopetrol Prometeo - Documents\Planning Space Implementation\3. Analysis &amp; Design\Design\FC22\DRR Jaime\Neiva CPI\[VAO_DINA TERCIARIOS_CF_SEC_20230117.xlsx]CF PRB'!$CT$46</v>
      </c>
      <c r="J2330" s="1" t="s">
        <v>1178</v>
      </c>
    </row>
    <row r="2331" spans="1:10" x14ac:dyDescent="0.3">
      <c r="A2331" s="6" t="s">
        <v>20</v>
      </c>
      <c r="B2331" s="6">
        <f t="shared" si="537"/>
        <v>2034</v>
      </c>
      <c r="C2331" s="1" t="s">
        <v>49</v>
      </c>
      <c r="D2331" s="2" t="s">
        <v>131</v>
      </c>
      <c r="E2331" s="9" t="str">
        <f t="shared" si="504"/>
        <v>PRB'!</v>
      </c>
      <c r="F2331" s="5" t="str">
        <f t="shared" si="536"/>
        <v>C:\Users\jaime.benazar\Quorum Business Solutions\Ecopetrol Prometeo - Documents\Planning Space Implementation\3. Analysis &amp; Design\Design\FC22\DRR Jaime\Neiva CPI\[VAO_DINA TERCIARIOS_CF_SEC_20230117.xlsx]CF PRB'!</v>
      </c>
      <c r="G2331" s="6" t="s">
        <v>105</v>
      </c>
      <c r="H2331" s="1">
        <f t="shared" si="506"/>
        <v>47</v>
      </c>
      <c r="I2331" s="1" t="str">
        <f t="shared" si="505"/>
        <v>='C:\Users\jaime.benazar\Quorum Business Solutions\Ecopetrol Prometeo - Documents\Planning Space Implementation\3. Analysis &amp; Design\Design\FC22\DRR Jaime\Neiva CPI\[VAO_DINA TERCIARIOS_CF_SEC_20230117.xlsx]CF PRB'!$CT$47</v>
      </c>
      <c r="J2331" s="1" t="s">
        <v>1179</v>
      </c>
    </row>
    <row r="2332" spans="1:10" x14ac:dyDescent="0.3">
      <c r="A2332" s="6" t="s">
        <v>20</v>
      </c>
      <c r="B2332" s="6">
        <f t="shared" si="537"/>
        <v>2035</v>
      </c>
      <c r="C2332" s="1" t="s">
        <v>49</v>
      </c>
      <c r="D2332" s="2" t="s">
        <v>131</v>
      </c>
      <c r="E2332" s="9" t="str">
        <f t="shared" si="504"/>
        <v>PRB'!</v>
      </c>
      <c r="F2332" s="5" t="str">
        <f t="shared" si="536"/>
        <v>C:\Users\jaime.benazar\Quorum Business Solutions\Ecopetrol Prometeo - Documents\Planning Space Implementation\3. Analysis &amp; Design\Design\FC22\DRR Jaime\Neiva CPI\[VAO_DINA TERCIARIOS_CF_SEC_20230117.xlsx]CF PRB'!</v>
      </c>
      <c r="G2332" s="6" t="s">
        <v>105</v>
      </c>
      <c r="H2332" s="1">
        <f t="shared" si="506"/>
        <v>48</v>
      </c>
      <c r="I2332" s="1" t="str">
        <f t="shared" si="505"/>
        <v>='C:\Users\jaime.benazar\Quorum Business Solutions\Ecopetrol Prometeo - Documents\Planning Space Implementation\3. Analysis &amp; Design\Design\FC22\DRR Jaime\Neiva CPI\[VAO_DINA TERCIARIOS_CF_SEC_20230117.xlsx]CF PRB'!$CT$48</v>
      </c>
      <c r="J2332" s="1" t="s">
        <v>1180</v>
      </c>
    </row>
    <row r="2333" spans="1:10" x14ac:dyDescent="0.3">
      <c r="A2333" s="6" t="s">
        <v>20</v>
      </c>
      <c r="B2333" s="6">
        <f t="shared" si="537"/>
        <v>2036</v>
      </c>
      <c r="C2333" s="1" t="s">
        <v>49</v>
      </c>
      <c r="D2333" s="2" t="s">
        <v>131</v>
      </c>
      <c r="E2333" s="9" t="str">
        <f t="shared" si="504"/>
        <v>PRB'!</v>
      </c>
      <c r="F2333" s="5" t="str">
        <f t="shared" si="536"/>
        <v>C:\Users\jaime.benazar\Quorum Business Solutions\Ecopetrol Prometeo - Documents\Planning Space Implementation\3. Analysis &amp; Design\Design\FC22\DRR Jaime\Neiva CPI\[VAO_DINA TERCIARIOS_CF_SEC_20230117.xlsx]CF PRB'!</v>
      </c>
      <c r="G2333" s="6" t="s">
        <v>105</v>
      </c>
      <c r="H2333" s="1">
        <f t="shared" si="506"/>
        <v>49</v>
      </c>
      <c r="I2333" s="1" t="str">
        <f t="shared" si="505"/>
        <v>='C:\Users\jaime.benazar\Quorum Business Solutions\Ecopetrol Prometeo - Documents\Planning Space Implementation\3. Analysis &amp; Design\Design\FC22\DRR Jaime\Neiva CPI\[VAO_DINA TERCIARIOS_CF_SEC_20230117.xlsx]CF PRB'!$CT$49</v>
      </c>
      <c r="J2333" s="1" t="s">
        <v>1181</v>
      </c>
    </row>
    <row r="2334" spans="1:10" x14ac:dyDescent="0.3">
      <c r="A2334" s="6" t="s">
        <v>20</v>
      </c>
      <c r="B2334" s="6">
        <f>+B2333+1</f>
        <v>2037</v>
      </c>
      <c r="C2334" s="1" t="s">
        <v>49</v>
      </c>
      <c r="D2334" s="2" t="s">
        <v>131</v>
      </c>
      <c r="E2334" s="9" t="str">
        <f t="shared" si="504"/>
        <v>PRB'!</v>
      </c>
      <c r="F2334" s="5" t="str">
        <f t="shared" si="536"/>
        <v>C:\Users\jaime.benazar\Quorum Business Solutions\Ecopetrol Prometeo - Documents\Planning Space Implementation\3. Analysis &amp; Design\Design\FC22\DRR Jaime\Neiva CPI\[VAO_DINA TERCIARIOS_CF_SEC_20230117.xlsx]CF PRB'!</v>
      </c>
      <c r="G2334" s="6" t="s">
        <v>105</v>
      </c>
      <c r="H2334" s="1">
        <f t="shared" si="506"/>
        <v>50</v>
      </c>
      <c r="I2334" s="1" t="str">
        <f t="shared" si="505"/>
        <v>='C:\Users\jaime.benazar\Quorum Business Solutions\Ecopetrol Prometeo - Documents\Planning Space Implementation\3. Analysis &amp; Design\Design\FC22\DRR Jaime\Neiva CPI\[VAO_DINA TERCIARIOS_CF_SEC_20230117.xlsx]CF PRB'!$CT$50</v>
      </c>
      <c r="J2334" s="1" t="s">
        <v>1182</v>
      </c>
    </row>
    <row r="2335" spans="1:10" x14ac:dyDescent="0.3">
      <c r="A2335" s="6" t="s">
        <v>20</v>
      </c>
      <c r="B2335" s="6">
        <f t="shared" ref="B2335:B2337" si="538">+B2334+1</f>
        <v>2038</v>
      </c>
      <c r="C2335" s="1" t="s">
        <v>49</v>
      </c>
      <c r="D2335" s="2" t="s">
        <v>131</v>
      </c>
      <c r="E2335" s="9" t="str">
        <f t="shared" si="504"/>
        <v>PRB'!</v>
      </c>
      <c r="F2335" s="5" t="str">
        <f t="shared" si="536"/>
        <v>C:\Users\jaime.benazar\Quorum Business Solutions\Ecopetrol Prometeo - Documents\Planning Space Implementation\3. Analysis &amp; Design\Design\FC22\DRR Jaime\Neiva CPI\[VAO_DINA TERCIARIOS_CF_SEC_20230117.xlsx]CF PRB'!</v>
      </c>
      <c r="G2335" s="6" t="s">
        <v>105</v>
      </c>
      <c r="H2335" s="1">
        <f t="shared" si="506"/>
        <v>51</v>
      </c>
      <c r="I2335" s="1" t="str">
        <f t="shared" si="505"/>
        <v>='C:\Users\jaime.benazar\Quorum Business Solutions\Ecopetrol Prometeo - Documents\Planning Space Implementation\3. Analysis &amp; Design\Design\FC22\DRR Jaime\Neiva CPI\[VAO_DINA TERCIARIOS_CF_SEC_20230117.xlsx]CF PRB'!$CT$51</v>
      </c>
      <c r="J2335" s="1" t="s">
        <v>1183</v>
      </c>
    </row>
    <row r="2336" spans="1:10" x14ac:dyDescent="0.3">
      <c r="A2336" s="6" t="s">
        <v>20</v>
      </c>
      <c r="B2336" s="6">
        <f t="shared" si="538"/>
        <v>2039</v>
      </c>
      <c r="C2336" s="1" t="s">
        <v>49</v>
      </c>
      <c r="D2336" s="2" t="s">
        <v>131</v>
      </c>
      <c r="E2336" s="9" t="str">
        <f t="shared" si="504"/>
        <v>PRB'!</v>
      </c>
      <c r="F2336" s="5" t="str">
        <f t="shared" si="536"/>
        <v>C:\Users\jaime.benazar\Quorum Business Solutions\Ecopetrol Prometeo - Documents\Planning Space Implementation\3. Analysis &amp; Design\Design\FC22\DRR Jaime\Neiva CPI\[VAO_DINA TERCIARIOS_CF_SEC_20230117.xlsx]CF PRB'!</v>
      </c>
      <c r="G2336" s="6" t="s">
        <v>105</v>
      </c>
      <c r="H2336" s="1">
        <f t="shared" si="506"/>
        <v>52</v>
      </c>
      <c r="I2336" s="1" t="str">
        <f t="shared" si="505"/>
        <v>='C:\Users\jaime.benazar\Quorum Business Solutions\Ecopetrol Prometeo - Documents\Planning Space Implementation\3. Analysis &amp; Design\Design\FC22\DRR Jaime\Neiva CPI\[VAO_DINA TERCIARIOS_CF_SEC_20230117.xlsx]CF PRB'!$CT$52</v>
      </c>
      <c r="J2336" s="1" t="s">
        <v>1184</v>
      </c>
    </row>
    <row r="2337" spans="1:10" x14ac:dyDescent="0.3">
      <c r="A2337" s="6" t="s">
        <v>20</v>
      </c>
      <c r="B2337" s="6">
        <f t="shared" si="538"/>
        <v>2040</v>
      </c>
      <c r="C2337" s="1" t="s">
        <v>49</v>
      </c>
      <c r="D2337" s="2" t="s">
        <v>131</v>
      </c>
      <c r="E2337" s="9" t="str">
        <f t="shared" si="504"/>
        <v>PRB'!</v>
      </c>
      <c r="F2337" s="5" t="str">
        <f t="shared" si="536"/>
        <v>C:\Users\jaime.benazar\Quorum Business Solutions\Ecopetrol Prometeo - Documents\Planning Space Implementation\3. Analysis &amp; Design\Design\FC22\DRR Jaime\Neiva CPI\[VAO_DINA TERCIARIOS_CF_SEC_20230117.xlsx]CF PRB'!</v>
      </c>
      <c r="G2337" s="6" t="s">
        <v>105</v>
      </c>
      <c r="H2337" s="1">
        <f t="shared" si="506"/>
        <v>53</v>
      </c>
      <c r="I2337" s="1" t="str">
        <f t="shared" si="505"/>
        <v>='C:\Users\jaime.benazar\Quorum Business Solutions\Ecopetrol Prometeo - Documents\Planning Space Implementation\3. Analysis &amp; Design\Design\FC22\DRR Jaime\Neiva CPI\[VAO_DINA TERCIARIOS_CF_SEC_20230117.xlsx]CF PRB'!$CT$53</v>
      </c>
      <c r="J2337" s="1" t="s">
        <v>1185</v>
      </c>
    </row>
    <row r="2338" spans="1:10" x14ac:dyDescent="0.3">
      <c r="A2338" s="6" t="s">
        <v>20</v>
      </c>
      <c r="B2338" s="6">
        <f>+B2337+1</f>
        <v>2041</v>
      </c>
      <c r="C2338" s="1" t="s">
        <v>49</v>
      </c>
      <c r="D2338" s="2" t="s">
        <v>131</v>
      </c>
      <c r="E2338" s="9" t="str">
        <f t="shared" si="504"/>
        <v>PRB'!</v>
      </c>
      <c r="F2338" s="5" t="str">
        <f t="shared" si="536"/>
        <v>C:\Users\jaime.benazar\Quorum Business Solutions\Ecopetrol Prometeo - Documents\Planning Space Implementation\3. Analysis &amp; Design\Design\FC22\DRR Jaime\Neiva CPI\[VAO_DINA TERCIARIOS_CF_SEC_20230117.xlsx]CF PRB'!</v>
      </c>
      <c r="G2338" s="6" t="s">
        <v>105</v>
      </c>
      <c r="H2338" s="1">
        <f t="shared" si="506"/>
        <v>54</v>
      </c>
      <c r="I2338" s="1" t="str">
        <f t="shared" si="505"/>
        <v>='C:\Users\jaime.benazar\Quorum Business Solutions\Ecopetrol Prometeo - Documents\Planning Space Implementation\3. Analysis &amp; Design\Design\FC22\DRR Jaime\Neiva CPI\[VAO_DINA TERCIARIOS_CF_SEC_20230117.xlsx]CF PRB'!$CT$54</v>
      </c>
      <c r="J2338" s="1" t="s">
        <v>1186</v>
      </c>
    </row>
    <row r="2339" spans="1:10" x14ac:dyDescent="0.3">
      <c r="A2339" s="6" t="s">
        <v>20</v>
      </c>
      <c r="B2339" s="6">
        <f t="shared" ref="B2339:B2340" si="539">+B2338+1</f>
        <v>2042</v>
      </c>
      <c r="C2339" s="1" t="s">
        <v>49</v>
      </c>
      <c r="D2339" s="2" t="s">
        <v>131</v>
      </c>
      <c r="E2339" s="9" t="str">
        <f t="shared" si="504"/>
        <v>PRB'!</v>
      </c>
      <c r="F2339" s="5" t="str">
        <f t="shared" si="536"/>
        <v>C:\Users\jaime.benazar\Quorum Business Solutions\Ecopetrol Prometeo - Documents\Planning Space Implementation\3. Analysis &amp; Design\Design\FC22\DRR Jaime\Neiva CPI\[VAO_DINA TERCIARIOS_CF_SEC_20230117.xlsx]CF PRB'!</v>
      </c>
      <c r="G2339" s="6" t="s">
        <v>105</v>
      </c>
      <c r="H2339" s="1">
        <f t="shared" si="506"/>
        <v>55</v>
      </c>
      <c r="I2339" s="1" t="str">
        <f t="shared" si="505"/>
        <v>='C:\Users\jaime.benazar\Quorum Business Solutions\Ecopetrol Prometeo - Documents\Planning Space Implementation\3. Analysis &amp; Design\Design\FC22\DRR Jaime\Neiva CPI\[VAO_DINA TERCIARIOS_CF_SEC_20230117.xlsx]CF PRB'!$CT$55</v>
      </c>
      <c r="J2339" s="1" t="s">
        <v>1187</v>
      </c>
    </row>
    <row r="2340" spans="1:10" x14ac:dyDescent="0.3">
      <c r="A2340" s="6" t="s">
        <v>20</v>
      </c>
      <c r="B2340" s="6">
        <f t="shared" si="539"/>
        <v>2043</v>
      </c>
      <c r="C2340" s="1" t="s">
        <v>49</v>
      </c>
      <c r="D2340" s="2" t="s">
        <v>131</v>
      </c>
      <c r="E2340" s="9" t="str">
        <f t="shared" si="504"/>
        <v>PRB'!</v>
      </c>
      <c r="F2340" s="5" t="str">
        <f t="shared" si="536"/>
        <v>C:\Users\jaime.benazar\Quorum Business Solutions\Ecopetrol Prometeo - Documents\Planning Space Implementation\3. Analysis &amp; Design\Design\FC22\DRR Jaime\Neiva CPI\[VAO_DINA TERCIARIOS_CF_SEC_20230117.xlsx]CF PRB'!</v>
      </c>
      <c r="G2340" s="6" t="s">
        <v>105</v>
      </c>
      <c r="H2340" s="1">
        <f t="shared" si="506"/>
        <v>56</v>
      </c>
      <c r="I2340" s="1" t="str">
        <f t="shared" si="505"/>
        <v>='C:\Users\jaime.benazar\Quorum Business Solutions\Ecopetrol Prometeo - Documents\Planning Space Implementation\3. Analysis &amp; Design\Design\FC22\DRR Jaime\Neiva CPI\[VAO_DINA TERCIARIOS_CF_SEC_20230117.xlsx]CF PRB'!$CT$56</v>
      </c>
      <c r="J2340" s="1" t="s">
        <v>1188</v>
      </c>
    </row>
    <row r="2341" spans="1:10" x14ac:dyDescent="0.3">
      <c r="A2341" s="6" t="s">
        <v>20</v>
      </c>
      <c r="B2341" s="6">
        <f>+B2340+1</f>
        <v>2044</v>
      </c>
      <c r="C2341" s="1" t="s">
        <v>49</v>
      </c>
      <c r="D2341" s="2" t="s">
        <v>131</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Jaime\Neiva CPI\[VAO_DINA TERCIARIOS_CF_SEC_20230117.xlsx]CF PRB'!</v>
      </c>
      <c r="G2341" s="6" t="s">
        <v>105</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Jaime\Neiva CPI\[VAO_DINA TERCIARIOS_CF_SEC_20230117.xlsx]CF PRB'!$CT$57</v>
      </c>
      <c r="J2341" s="1" t="s">
        <v>1189</v>
      </c>
    </row>
    <row r="2342" spans="1:10" x14ac:dyDescent="0.3">
      <c r="A2342" s="6" t="s">
        <v>20</v>
      </c>
      <c r="B2342" s="6">
        <f t="shared" ref="B2342:B2356" si="544">+B2341+1</f>
        <v>2045</v>
      </c>
      <c r="C2342" s="1" t="s">
        <v>49</v>
      </c>
      <c r="D2342" s="2" t="s">
        <v>131</v>
      </c>
      <c r="E2342" s="9" t="str">
        <f t="shared" si="540"/>
        <v>PRB'!</v>
      </c>
      <c r="F2342" s="5" t="str">
        <f t="shared" si="541"/>
        <v>C:\Users\jaime.benazar\Quorum Business Solutions\Ecopetrol Prometeo - Documents\Planning Space Implementation\3. Analysis &amp; Design\Design\FC22\DRR Jaime\Neiva CPI\[VAO_DINA TERCIARIOS_CF_SEC_20230117.xlsx]CF PRB'!</v>
      </c>
      <c r="G2342" s="6" t="s">
        <v>105</v>
      </c>
      <c r="H2342" s="1">
        <f t="shared" si="542"/>
        <v>58</v>
      </c>
      <c r="I2342" s="1" t="str">
        <f t="shared" si="543"/>
        <v>='C:\Users\jaime.benazar\Quorum Business Solutions\Ecopetrol Prometeo - Documents\Planning Space Implementation\3. Analysis &amp; Design\Design\FC22\DRR Jaime\Neiva CPI\[VAO_DINA TERCIARIOS_CF_SEC_20230117.xlsx]CF PRB'!$CT$58</v>
      </c>
      <c r="J2342" s="1" t="s">
        <v>1190</v>
      </c>
    </row>
    <row r="2343" spans="1:10" x14ac:dyDescent="0.3">
      <c r="A2343" s="6" t="s">
        <v>20</v>
      </c>
      <c r="B2343" s="6">
        <f t="shared" si="544"/>
        <v>2046</v>
      </c>
      <c r="C2343" s="1" t="s">
        <v>49</v>
      </c>
      <c r="D2343" s="2" t="s">
        <v>131</v>
      </c>
      <c r="E2343" s="9" t="str">
        <f t="shared" si="540"/>
        <v>PRB'!</v>
      </c>
      <c r="F2343" s="5" t="str">
        <f t="shared" si="541"/>
        <v>C:\Users\jaime.benazar\Quorum Business Solutions\Ecopetrol Prometeo - Documents\Planning Space Implementation\3. Analysis &amp; Design\Design\FC22\DRR Jaime\Neiva CPI\[VAO_DINA TERCIARIOS_CF_SEC_20230117.xlsx]CF PRB'!</v>
      </c>
      <c r="G2343" s="6" t="s">
        <v>105</v>
      </c>
      <c r="H2343" s="1">
        <f t="shared" si="542"/>
        <v>59</v>
      </c>
      <c r="I2343" s="1" t="str">
        <f t="shared" si="543"/>
        <v>='C:\Users\jaime.benazar\Quorum Business Solutions\Ecopetrol Prometeo - Documents\Planning Space Implementation\3. Analysis &amp; Design\Design\FC22\DRR Jaime\Neiva CPI\[VAO_DINA TERCIARIOS_CF_SEC_20230117.xlsx]CF PRB'!$CT$59</v>
      </c>
      <c r="J2343" s="1" t="s">
        <v>1191</v>
      </c>
    </row>
    <row r="2344" spans="1:10" x14ac:dyDescent="0.3">
      <c r="A2344" s="6" t="s">
        <v>20</v>
      </c>
      <c r="B2344" s="6">
        <f t="shared" si="544"/>
        <v>2047</v>
      </c>
      <c r="C2344" s="1" t="s">
        <v>49</v>
      </c>
      <c r="D2344" s="2" t="s">
        <v>131</v>
      </c>
      <c r="E2344" s="9" t="str">
        <f t="shared" si="540"/>
        <v>PRB'!</v>
      </c>
      <c r="F2344" s="5" t="str">
        <f t="shared" si="541"/>
        <v>C:\Users\jaime.benazar\Quorum Business Solutions\Ecopetrol Prometeo - Documents\Planning Space Implementation\3. Analysis &amp; Design\Design\FC22\DRR Jaime\Neiva CPI\[VAO_DINA TERCIARIOS_CF_SEC_20230117.xlsx]CF PRB'!</v>
      </c>
      <c r="G2344" s="6" t="s">
        <v>105</v>
      </c>
      <c r="H2344" s="1">
        <f t="shared" si="542"/>
        <v>60</v>
      </c>
      <c r="I2344" s="1" t="str">
        <f t="shared" si="543"/>
        <v>='C:\Users\jaime.benazar\Quorum Business Solutions\Ecopetrol Prometeo - Documents\Planning Space Implementation\3. Analysis &amp; Design\Design\FC22\DRR Jaime\Neiva CPI\[VAO_DINA TERCIARIOS_CF_SEC_20230117.xlsx]CF PRB'!$CT$60</v>
      </c>
      <c r="J2344" s="1" t="s">
        <v>1192</v>
      </c>
    </row>
    <row r="2345" spans="1:10" x14ac:dyDescent="0.3">
      <c r="A2345" s="6" t="s">
        <v>20</v>
      </c>
      <c r="B2345" s="6">
        <f t="shared" si="544"/>
        <v>2048</v>
      </c>
      <c r="C2345" s="1" t="s">
        <v>49</v>
      </c>
      <c r="D2345" s="2" t="s">
        <v>131</v>
      </c>
      <c r="E2345" s="9" t="str">
        <f t="shared" si="540"/>
        <v>PRB'!</v>
      </c>
      <c r="F2345" s="5" t="str">
        <f t="shared" si="541"/>
        <v>C:\Users\jaime.benazar\Quorum Business Solutions\Ecopetrol Prometeo - Documents\Planning Space Implementation\3. Analysis &amp; Design\Design\FC22\DRR Jaime\Neiva CPI\[VAO_DINA TERCIARIOS_CF_SEC_20230117.xlsx]CF PRB'!</v>
      </c>
      <c r="G2345" s="6" t="s">
        <v>105</v>
      </c>
      <c r="H2345" s="1">
        <f t="shared" si="542"/>
        <v>61</v>
      </c>
      <c r="I2345" s="1" t="str">
        <f t="shared" si="543"/>
        <v>='C:\Users\jaime.benazar\Quorum Business Solutions\Ecopetrol Prometeo - Documents\Planning Space Implementation\3. Analysis &amp; Design\Design\FC22\DRR Jaime\Neiva CPI\[VAO_DINA TERCIARIOS_CF_SEC_20230117.xlsx]CF PRB'!$CT$61</v>
      </c>
      <c r="J2345" s="1" t="s">
        <v>1193</v>
      </c>
    </row>
    <row r="2346" spans="1:10" x14ac:dyDescent="0.3">
      <c r="A2346" s="6" t="s">
        <v>20</v>
      </c>
      <c r="B2346" s="6">
        <f t="shared" si="544"/>
        <v>2049</v>
      </c>
      <c r="C2346" s="1" t="s">
        <v>49</v>
      </c>
      <c r="D2346" s="2" t="s">
        <v>131</v>
      </c>
      <c r="E2346" s="9" t="str">
        <f t="shared" si="540"/>
        <v>PRB'!</v>
      </c>
      <c r="F2346" s="5" t="str">
        <f t="shared" si="541"/>
        <v>C:\Users\jaime.benazar\Quorum Business Solutions\Ecopetrol Prometeo - Documents\Planning Space Implementation\3. Analysis &amp; Design\Design\FC22\DRR Jaime\Neiva CPI\[VAO_DINA TERCIARIOS_CF_SEC_20230117.xlsx]CF PRB'!</v>
      </c>
      <c r="G2346" s="6" t="s">
        <v>105</v>
      </c>
      <c r="H2346" s="1">
        <f t="shared" si="542"/>
        <v>62</v>
      </c>
      <c r="I2346" s="1" t="str">
        <f t="shared" si="543"/>
        <v>='C:\Users\jaime.benazar\Quorum Business Solutions\Ecopetrol Prometeo - Documents\Planning Space Implementation\3. Analysis &amp; Design\Design\FC22\DRR Jaime\Neiva CPI\[VAO_DINA TERCIARIOS_CF_SEC_20230117.xlsx]CF PRB'!$CT$62</v>
      </c>
      <c r="J2346" s="1" t="s">
        <v>1194</v>
      </c>
    </row>
    <row r="2347" spans="1:10" x14ac:dyDescent="0.3">
      <c r="A2347" s="6" t="s">
        <v>20</v>
      </c>
      <c r="B2347" s="6">
        <f t="shared" si="544"/>
        <v>2050</v>
      </c>
      <c r="C2347" s="1" t="s">
        <v>49</v>
      </c>
      <c r="D2347" s="2" t="s">
        <v>131</v>
      </c>
      <c r="E2347" s="9" t="str">
        <f t="shared" si="540"/>
        <v>PRB'!</v>
      </c>
      <c r="F2347" s="5" t="str">
        <f t="shared" si="541"/>
        <v>C:\Users\jaime.benazar\Quorum Business Solutions\Ecopetrol Prometeo - Documents\Planning Space Implementation\3. Analysis &amp; Design\Design\FC22\DRR Jaime\Neiva CPI\[VAO_DINA TERCIARIOS_CF_SEC_20230117.xlsx]CF PRB'!</v>
      </c>
      <c r="G2347" s="6" t="s">
        <v>105</v>
      </c>
      <c r="H2347" s="1">
        <f t="shared" si="542"/>
        <v>63</v>
      </c>
      <c r="I2347" s="1" t="str">
        <f t="shared" si="543"/>
        <v>='C:\Users\jaime.benazar\Quorum Business Solutions\Ecopetrol Prometeo - Documents\Planning Space Implementation\3. Analysis &amp; Design\Design\FC22\DRR Jaime\Neiva CPI\[VAO_DINA TERCIARIOS_CF_SEC_20230117.xlsx]CF PRB'!$CT$63</v>
      </c>
      <c r="J2347" s="1" t="s">
        <v>1195</v>
      </c>
    </row>
    <row r="2348" spans="1:10" x14ac:dyDescent="0.3">
      <c r="A2348" s="6" t="s">
        <v>20</v>
      </c>
      <c r="B2348" s="6">
        <f t="shared" si="544"/>
        <v>2051</v>
      </c>
      <c r="C2348" s="1" t="s">
        <v>49</v>
      </c>
      <c r="D2348" s="2" t="s">
        <v>131</v>
      </c>
      <c r="E2348" s="9" t="str">
        <f t="shared" si="540"/>
        <v>PRB'!</v>
      </c>
      <c r="F2348" s="5" t="str">
        <f t="shared" si="541"/>
        <v>C:\Users\jaime.benazar\Quorum Business Solutions\Ecopetrol Prometeo - Documents\Planning Space Implementation\3. Analysis &amp; Design\Design\FC22\DRR Jaime\Neiva CPI\[VAO_DINA TERCIARIOS_CF_SEC_20230117.xlsx]CF PRB'!</v>
      </c>
      <c r="G2348" s="6" t="s">
        <v>105</v>
      </c>
      <c r="H2348" s="1">
        <f t="shared" si="542"/>
        <v>64</v>
      </c>
      <c r="I2348" s="1" t="str">
        <f t="shared" si="543"/>
        <v>='C:\Users\jaime.benazar\Quorum Business Solutions\Ecopetrol Prometeo - Documents\Planning Space Implementation\3. Analysis &amp; Design\Design\FC22\DRR Jaime\Neiva CPI\[VAO_DINA TERCIARIOS_CF_SEC_20230117.xlsx]CF PRB'!$CT$64</v>
      </c>
      <c r="J2348" s="1" t="s">
        <v>1196</v>
      </c>
    </row>
    <row r="2349" spans="1:10" x14ac:dyDescent="0.3">
      <c r="A2349" s="6" t="s">
        <v>20</v>
      </c>
      <c r="B2349" s="6">
        <f t="shared" si="544"/>
        <v>2052</v>
      </c>
      <c r="C2349" s="1" t="s">
        <v>49</v>
      </c>
      <c r="D2349" s="2" t="s">
        <v>131</v>
      </c>
      <c r="E2349" s="9" t="str">
        <f t="shared" si="540"/>
        <v>PRB'!</v>
      </c>
      <c r="F2349" s="5" t="str">
        <f t="shared" si="541"/>
        <v>C:\Users\jaime.benazar\Quorum Business Solutions\Ecopetrol Prometeo - Documents\Planning Space Implementation\3. Analysis &amp; Design\Design\FC22\DRR Jaime\Neiva CPI\[VAO_DINA TERCIARIOS_CF_SEC_20230117.xlsx]CF PRB'!</v>
      </c>
      <c r="G2349" s="6" t="s">
        <v>105</v>
      </c>
      <c r="H2349" s="1">
        <f t="shared" si="542"/>
        <v>65</v>
      </c>
      <c r="I2349" s="1" t="str">
        <f t="shared" si="543"/>
        <v>='C:\Users\jaime.benazar\Quorum Business Solutions\Ecopetrol Prometeo - Documents\Planning Space Implementation\3. Analysis &amp; Design\Design\FC22\DRR Jaime\Neiva CPI\[VAO_DINA TERCIARIOS_CF_SEC_20230117.xlsx]CF PRB'!$CT$65</v>
      </c>
      <c r="J2349" s="1" t="s">
        <v>1197</v>
      </c>
    </row>
    <row r="2350" spans="1:10" x14ac:dyDescent="0.3">
      <c r="A2350" s="6" t="s">
        <v>20</v>
      </c>
      <c r="B2350" s="6">
        <f t="shared" si="544"/>
        <v>2053</v>
      </c>
      <c r="C2350" s="1" t="s">
        <v>49</v>
      </c>
      <c r="D2350" s="2" t="s">
        <v>131</v>
      </c>
      <c r="E2350" s="9" t="str">
        <f t="shared" si="540"/>
        <v>PRB'!</v>
      </c>
      <c r="F2350" s="5" t="str">
        <f t="shared" si="541"/>
        <v>C:\Users\jaime.benazar\Quorum Business Solutions\Ecopetrol Prometeo - Documents\Planning Space Implementation\3. Analysis &amp; Design\Design\FC22\DRR Jaime\Neiva CPI\[VAO_DINA TERCIARIOS_CF_SEC_20230117.xlsx]CF PRB'!</v>
      </c>
      <c r="G2350" s="6" t="s">
        <v>105</v>
      </c>
      <c r="H2350" s="1">
        <f t="shared" si="542"/>
        <v>66</v>
      </c>
      <c r="I2350" s="1" t="str">
        <f t="shared" si="543"/>
        <v>='C:\Users\jaime.benazar\Quorum Business Solutions\Ecopetrol Prometeo - Documents\Planning Space Implementation\3. Analysis &amp; Design\Design\FC22\DRR Jaime\Neiva CPI\[VAO_DINA TERCIARIOS_CF_SEC_20230117.xlsx]CF PRB'!$CT$66</v>
      </c>
      <c r="J2350" s="1" t="s">
        <v>1198</v>
      </c>
    </row>
    <row r="2351" spans="1:10" x14ac:dyDescent="0.3">
      <c r="A2351" s="6" t="s">
        <v>20</v>
      </c>
      <c r="B2351" s="6">
        <f t="shared" si="544"/>
        <v>2054</v>
      </c>
      <c r="C2351" s="1" t="s">
        <v>49</v>
      </c>
      <c r="D2351" s="2" t="s">
        <v>131</v>
      </c>
      <c r="E2351" s="9" t="str">
        <f t="shared" si="540"/>
        <v>PRB'!</v>
      </c>
      <c r="F2351" s="5" t="str">
        <f t="shared" si="541"/>
        <v>C:\Users\jaime.benazar\Quorum Business Solutions\Ecopetrol Prometeo - Documents\Planning Space Implementation\3. Analysis &amp; Design\Design\FC22\DRR Jaime\Neiva CPI\[VAO_DINA TERCIARIOS_CF_SEC_20230117.xlsx]CF PRB'!</v>
      </c>
      <c r="G2351" s="6" t="s">
        <v>105</v>
      </c>
      <c r="H2351" s="1">
        <f t="shared" si="542"/>
        <v>67</v>
      </c>
      <c r="I2351" s="1" t="str">
        <f t="shared" si="543"/>
        <v>='C:\Users\jaime.benazar\Quorum Business Solutions\Ecopetrol Prometeo - Documents\Planning Space Implementation\3. Analysis &amp; Design\Design\FC22\DRR Jaime\Neiva CPI\[VAO_DINA TERCIARIOS_CF_SEC_20230117.xlsx]CF PRB'!$CT$67</v>
      </c>
      <c r="J2351" s="1" t="s">
        <v>1199</v>
      </c>
    </row>
    <row r="2352" spans="1:10" x14ac:dyDescent="0.3">
      <c r="A2352" s="6" t="s">
        <v>20</v>
      </c>
      <c r="B2352" s="6">
        <f t="shared" si="544"/>
        <v>2055</v>
      </c>
      <c r="C2352" s="1" t="s">
        <v>49</v>
      </c>
      <c r="D2352" s="2" t="s">
        <v>131</v>
      </c>
      <c r="E2352" s="9" t="str">
        <f t="shared" si="540"/>
        <v>PRB'!</v>
      </c>
      <c r="F2352" s="5" t="str">
        <f t="shared" si="541"/>
        <v>C:\Users\jaime.benazar\Quorum Business Solutions\Ecopetrol Prometeo - Documents\Planning Space Implementation\3. Analysis &amp; Design\Design\FC22\DRR Jaime\Neiva CPI\[VAO_DINA TERCIARIOS_CF_SEC_20230117.xlsx]CF PRB'!</v>
      </c>
      <c r="G2352" s="6" t="s">
        <v>105</v>
      </c>
      <c r="H2352" s="1">
        <f t="shared" si="542"/>
        <v>68</v>
      </c>
      <c r="I2352" s="1" t="str">
        <f t="shared" si="543"/>
        <v>='C:\Users\jaime.benazar\Quorum Business Solutions\Ecopetrol Prometeo - Documents\Planning Space Implementation\3. Analysis &amp; Design\Design\FC22\DRR Jaime\Neiva CPI\[VAO_DINA TERCIARIOS_CF_SEC_20230117.xlsx]CF PRB'!$CT$68</v>
      </c>
      <c r="J2352" s="1" t="s">
        <v>1200</v>
      </c>
    </row>
    <row r="2353" spans="1:10" x14ac:dyDescent="0.3">
      <c r="A2353" s="6" t="s">
        <v>20</v>
      </c>
      <c r="B2353" s="6">
        <f t="shared" si="544"/>
        <v>2056</v>
      </c>
      <c r="C2353" s="1" t="s">
        <v>49</v>
      </c>
      <c r="D2353" s="2" t="s">
        <v>131</v>
      </c>
      <c r="E2353" s="9" t="str">
        <f t="shared" si="540"/>
        <v>PRB'!</v>
      </c>
      <c r="F2353" s="5" t="str">
        <f t="shared" si="541"/>
        <v>C:\Users\jaime.benazar\Quorum Business Solutions\Ecopetrol Prometeo - Documents\Planning Space Implementation\3. Analysis &amp; Design\Design\FC22\DRR Jaime\Neiva CPI\[VAO_DINA TERCIARIOS_CF_SEC_20230117.xlsx]CF PRB'!</v>
      </c>
      <c r="G2353" s="6" t="s">
        <v>105</v>
      </c>
      <c r="H2353" s="1">
        <f t="shared" si="542"/>
        <v>69</v>
      </c>
      <c r="I2353" s="1" t="str">
        <f t="shared" si="543"/>
        <v>='C:\Users\jaime.benazar\Quorum Business Solutions\Ecopetrol Prometeo - Documents\Planning Space Implementation\3. Analysis &amp; Design\Design\FC22\DRR Jaime\Neiva CPI\[VAO_DINA TERCIARIOS_CF_SEC_20230117.xlsx]CF PRB'!$CT$69</v>
      </c>
      <c r="J2353" s="1" t="s">
        <v>1201</v>
      </c>
    </row>
    <row r="2354" spans="1:10" x14ac:dyDescent="0.3">
      <c r="A2354" s="6" t="s">
        <v>20</v>
      </c>
      <c r="B2354" s="6">
        <f t="shared" si="544"/>
        <v>2057</v>
      </c>
      <c r="C2354" s="1" t="s">
        <v>49</v>
      </c>
      <c r="D2354" s="2" t="s">
        <v>131</v>
      </c>
      <c r="E2354" s="9" t="str">
        <f t="shared" si="540"/>
        <v>PRB'!</v>
      </c>
      <c r="F2354" s="5" t="str">
        <f t="shared" si="541"/>
        <v>C:\Users\jaime.benazar\Quorum Business Solutions\Ecopetrol Prometeo - Documents\Planning Space Implementation\3. Analysis &amp; Design\Design\FC22\DRR Jaime\Neiva CPI\[VAO_DINA TERCIARIOS_CF_SEC_20230117.xlsx]CF PRB'!</v>
      </c>
      <c r="G2354" s="6" t="s">
        <v>105</v>
      </c>
      <c r="H2354" s="1">
        <f t="shared" si="542"/>
        <v>70</v>
      </c>
      <c r="I2354" s="1" t="str">
        <f t="shared" si="543"/>
        <v>='C:\Users\jaime.benazar\Quorum Business Solutions\Ecopetrol Prometeo - Documents\Planning Space Implementation\3. Analysis &amp; Design\Design\FC22\DRR Jaime\Neiva CPI\[VAO_DINA TERCIARIOS_CF_SEC_20230117.xlsx]CF PRB'!$CT$70</v>
      </c>
      <c r="J2354" s="1" t="s">
        <v>1202</v>
      </c>
    </row>
    <row r="2355" spans="1:10" x14ac:dyDescent="0.3">
      <c r="A2355" s="6" t="s">
        <v>20</v>
      </c>
      <c r="B2355" s="6">
        <f t="shared" si="544"/>
        <v>2058</v>
      </c>
      <c r="C2355" s="1" t="s">
        <v>49</v>
      </c>
      <c r="D2355" s="2" t="s">
        <v>131</v>
      </c>
      <c r="E2355" s="9" t="str">
        <f t="shared" si="540"/>
        <v>PRB'!</v>
      </c>
      <c r="F2355" s="5" t="str">
        <f t="shared" si="541"/>
        <v>C:\Users\jaime.benazar\Quorum Business Solutions\Ecopetrol Prometeo - Documents\Planning Space Implementation\3. Analysis &amp; Design\Design\FC22\DRR Jaime\Neiva CPI\[VAO_DINA TERCIARIOS_CF_SEC_20230117.xlsx]CF PRB'!</v>
      </c>
      <c r="G2355" s="6" t="s">
        <v>105</v>
      </c>
      <c r="H2355" s="1">
        <f t="shared" si="542"/>
        <v>71</v>
      </c>
      <c r="I2355" s="1" t="str">
        <f t="shared" si="543"/>
        <v>='C:\Users\jaime.benazar\Quorum Business Solutions\Ecopetrol Prometeo - Documents\Planning Space Implementation\3. Analysis &amp; Design\Design\FC22\DRR Jaime\Neiva CPI\[VAO_DINA TERCIARIOS_CF_SEC_20230117.xlsx]CF PRB'!$CT$71</v>
      </c>
      <c r="J2355" s="1" t="s">
        <v>1203</v>
      </c>
    </row>
    <row r="2356" spans="1:10" x14ac:dyDescent="0.3">
      <c r="A2356" s="6" t="s">
        <v>20</v>
      </c>
      <c r="B2356" s="6">
        <f t="shared" si="544"/>
        <v>2059</v>
      </c>
      <c r="C2356" s="1" t="s">
        <v>49</v>
      </c>
      <c r="D2356" s="2" t="s">
        <v>131</v>
      </c>
      <c r="E2356" s="9" t="str">
        <f t="shared" si="540"/>
        <v>PRB'!</v>
      </c>
      <c r="F2356" s="5" t="str">
        <f t="shared" si="541"/>
        <v>C:\Users\jaime.benazar\Quorum Business Solutions\Ecopetrol Prometeo - Documents\Planning Space Implementation\3. Analysis &amp; Design\Design\FC22\DRR Jaime\Neiva CPI\[VAO_DINA TERCIARIOS_CF_SEC_20230117.xlsx]CF PRB'!</v>
      </c>
      <c r="G2356" s="6" t="s">
        <v>105</v>
      </c>
      <c r="H2356" s="1">
        <f t="shared" si="542"/>
        <v>72</v>
      </c>
      <c r="I2356" s="1" t="str">
        <f t="shared" si="543"/>
        <v>='C:\Users\jaime.benazar\Quorum Business Solutions\Ecopetrol Prometeo - Documents\Planning Space Implementation\3. Analysis &amp; Design\Design\FC22\DRR Jaime\Neiva CPI\[VAO_DINA TERCIARIOS_CF_SEC_20230117.xlsx]CF PRB'!$CT$72</v>
      </c>
      <c r="J2356" s="1" t="s">
        <v>1204</v>
      </c>
    </row>
    <row r="2357" spans="1:10" x14ac:dyDescent="0.3">
      <c r="A2357" s="6" t="s">
        <v>26</v>
      </c>
      <c r="B2357" s="6"/>
      <c r="C2357" s="1" t="s">
        <v>49</v>
      </c>
      <c r="D2357" s="2"/>
      <c r="E2357" s="9"/>
      <c r="F2357" s="2"/>
      <c r="G2357" s="6"/>
      <c r="H2357" s="1"/>
      <c r="I2357" s="1"/>
      <c r="J2357" s="4"/>
    </row>
    <row r="2358" spans="1:10" x14ac:dyDescent="0.3">
      <c r="A2358" s="6" t="s">
        <v>21</v>
      </c>
      <c r="B2358" s="6">
        <v>2023</v>
      </c>
      <c r="C2358" s="1" t="s">
        <v>49</v>
      </c>
      <c r="D2358" s="2" t="s">
        <v>131</v>
      </c>
      <c r="E2358" s="9" t="s">
        <v>106</v>
      </c>
      <c r="F2358" s="5" t="str">
        <f t="shared" ref="F2358:F2378" si="545">_xlfn.CONCAT(D2358," ",E2358)</f>
        <v>C:\Users\jaime.benazar\Quorum Business Solutions\Ecopetrol Prometeo - Documents\Planning Space Implementation\3. Analysis &amp; Design\Design\FC22\DRR Jaime\Neiva CPI\[VAO_DINA TERCIARIOS_CF_SEC_20230117.xlsx]CF PSDP'!</v>
      </c>
      <c r="G2358" s="6" t="s">
        <v>105</v>
      </c>
      <c r="H2358" s="1"/>
      <c r="I2358" s="1"/>
      <c r="J2358" s="1"/>
    </row>
    <row r="2359" spans="1:10" x14ac:dyDescent="0.3">
      <c r="A2359" s="6" t="s">
        <v>21</v>
      </c>
      <c r="B2359" s="6">
        <v>2024</v>
      </c>
      <c r="C2359" s="1" t="s">
        <v>49</v>
      </c>
      <c r="D2359" s="2" t="s">
        <v>131</v>
      </c>
      <c r="E2359" s="9" t="s">
        <v>106</v>
      </c>
      <c r="F2359" s="5" t="str">
        <f t="shared" si="545"/>
        <v>C:\Users\jaime.benazar\Quorum Business Solutions\Ecopetrol Prometeo - Documents\Planning Space Implementation\3. Analysis &amp; Design\Design\FC22\DRR Jaime\Neiva CPI\[VAO_DINA TERCIARIOS_CF_SEC_20230117.xlsx]CF PSDP'!</v>
      </c>
      <c r="G2359" s="6" t="s">
        <v>105</v>
      </c>
      <c r="H2359" s="1"/>
      <c r="I2359" s="1"/>
      <c r="J2359" s="1"/>
    </row>
    <row r="2360" spans="1:10" x14ac:dyDescent="0.3">
      <c r="A2360" s="6" t="s">
        <v>21</v>
      </c>
      <c r="B2360" s="6">
        <v>2025</v>
      </c>
      <c r="C2360" s="1" t="s">
        <v>49</v>
      </c>
      <c r="D2360" s="2" t="s">
        <v>131</v>
      </c>
      <c r="E2360" s="9" t="s">
        <v>106</v>
      </c>
      <c r="F2360" s="5" t="str">
        <f t="shared" si="545"/>
        <v>C:\Users\jaime.benazar\Quorum Business Solutions\Ecopetrol Prometeo - Documents\Planning Space Implementation\3. Analysis &amp; Design\Design\FC22\DRR Jaime\Neiva CPI\[VAO_DINA TERCIARIOS_CF_SEC_20230117.xlsx]CF PSDP'!</v>
      </c>
      <c r="G2360" s="6" t="s">
        <v>105</v>
      </c>
      <c r="H2360" s="1"/>
      <c r="I2360" s="1"/>
      <c r="J2360" s="1"/>
    </row>
    <row r="2361" spans="1:10" x14ac:dyDescent="0.3">
      <c r="A2361" s="6" t="s">
        <v>21</v>
      </c>
      <c r="B2361" s="6">
        <v>2026</v>
      </c>
      <c r="C2361" s="1" t="s">
        <v>49</v>
      </c>
      <c r="D2361" s="2" t="s">
        <v>131</v>
      </c>
      <c r="E2361" s="9" t="s">
        <v>106</v>
      </c>
      <c r="F2361" s="5" t="str">
        <f t="shared" si="545"/>
        <v>C:\Users\jaime.benazar\Quorum Business Solutions\Ecopetrol Prometeo - Documents\Planning Space Implementation\3. Analysis &amp; Design\Design\FC22\DRR Jaime\Neiva CPI\[VAO_DINA TERCIARIOS_CF_SEC_20230117.xlsx]CF PSDP'!</v>
      </c>
      <c r="G2361" s="6" t="s">
        <v>105</v>
      </c>
      <c r="H2361" s="1"/>
      <c r="I2361" s="1"/>
      <c r="J2361" s="1"/>
    </row>
    <row r="2362" spans="1:10" x14ac:dyDescent="0.3">
      <c r="A2362" s="6" t="s">
        <v>21</v>
      </c>
      <c r="B2362" s="6">
        <v>2027</v>
      </c>
      <c r="C2362" s="1" t="s">
        <v>49</v>
      </c>
      <c r="D2362" s="2" t="s">
        <v>131</v>
      </c>
      <c r="E2362" s="9" t="s">
        <v>106</v>
      </c>
      <c r="F2362" s="5" t="str">
        <f t="shared" si="545"/>
        <v>C:\Users\jaime.benazar\Quorum Business Solutions\Ecopetrol Prometeo - Documents\Planning Space Implementation\3. Analysis &amp; Design\Design\FC22\DRR Jaime\Neiva CPI\[VAO_DINA TERCIARIOS_CF_SEC_20230117.xlsx]CF PSDP'!</v>
      </c>
      <c r="G2362" s="6" t="s">
        <v>105</v>
      </c>
      <c r="H2362" s="1"/>
      <c r="I2362" s="1"/>
      <c r="J2362" s="1"/>
    </row>
    <row r="2363" spans="1:10" x14ac:dyDescent="0.3">
      <c r="A2363" s="6" t="s">
        <v>21</v>
      </c>
      <c r="B2363" s="6">
        <v>2028</v>
      </c>
      <c r="C2363" s="1" t="s">
        <v>49</v>
      </c>
      <c r="D2363" s="2" t="s">
        <v>131</v>
      </c>
      <c r="E2363" s="9" t="s">
        <v>106</v>
      </c>
      <c r="F2363" s="5" t="str">
        <f t="shared" si="545"/>
        <v>C:\Users\jaime.benazar\Quorum Business Solutions\Ecopetrol Prometeo - Documents\Planning Space Implementation\3. Analysis &amp; Design\Design\FC22\DRR Jaime\Neiva CPI\[VAO_DINA TERCIARIOS_CF_SEC_20230117.xlsx]CF PSDP'!</v>
      </c>
      <c r="G2363" s="6" t="s">
        <v>105</v>
      </c>
      <c r="H2363" s="1"/>
      <c r="I2363" s="1"/>
      <c r="J2363" s="1"/>
    </row>
    <row r="2364" spans="1:10" x14ac:dyDescent="0.3">
      <c r="A2364" s="6" t="s">
        <v>21</v>
      </c>
      <c r="B2364" s="6">
        <v>2029</v>
      </c>
      <c r="C2364" s="1" t="s">
        <v>49</v>
      </c>
      <c r="D2364" s="2" t="s">
        <v>131</v>
      </c>
      <c r="E2364" s="9" t="s">
        <v>106</v>
      </c>
      <c r="F2364" s="5" t="str">
        <f t="shared" si="545"/>
        <v>C:\Users\jaime.benazar\Quorum Business Solutions\Ecopetrol Prometeo - Documents\Planning Space Implementation\3. Analysis &amp; Design\Design\FC22\DRR Jaime\Neiva CPI\[VAO_DINA TERCIARIOS_CF_SEC_20230117.xlsx]CF PSDP'!</v>
      </c>
      <c r="G2364" s="6" t="s">
        <v>105</v>
      </c>
      <c r="H2364" s="1"/>
      <c r="I2364" s="1"/>
      <c r="J2364" s="1"/>
    </row>
    <row r="2365" spans="1:10" x14ac:dyDescent="0.3">
      <c r="A2365" s="6" t="s">
        <v>21</v>
      </c>
      <c r="B2365" s="6">
        <v>2030</v>
      </c>
      <c r="C2365" s="1" t="s">
        <v>49</v>
      </c>
      <c r="D2365" s="2" t="s">
        <v>131</v>
      </c>
      <c r="E2365" s="9" t="s">
        <v>106</v>
      </c>
      <c r="F2365" s="5" t="str">
        <f t="shared" si="545"/>
        <v>C:\Users\jaime.benazar\Quorum Business Solutions\Ecopetrol Prometeo - Documents\Planning Space Implementation\3. Analysis &amp; Design\Design\FC22\DRR Jaime\Neiva CPI\[VAO_DINA TERCIARIOS_CF_SEC_20230117.xlsx]CF PSDP'!</v>
      </c>
      <c r="G2365" s="6" t="s">
        <v>105</v>
      </c>
      <c r="H2365" s="1"/>
      <c r="I2365" s="1"/>
      <c r="J2365" s="1"/>
    </row>
    <row r="2366" spans="1:10" x14ac:dyDescent="0.3">
      <c r="A2366" s="6" t="s">
        <v>21</v>
      </c>
      <c r="B2366" s="6">
        <v>2031</v>
      </c>
      <c r="C2366" s="1" t="s">
        <v>49</v>
      </c>
      <c r="D2366" s="2" t="s">
        <v>131</v>
      </c>
      <c r="E2366" s="9" t="s">
        <v>106</v>
      </c>
      <c r="F2366" s="5" t="str">
        <f t="shared" si="545"/>
        <v>C:\Users\jaime.benazar\Quorum Business Solutions\Ecopetrol Prometeo - Documents\Planning Space Implementation\3. Analysis &amp; Design\Design\FC22\DRR Jaime\Neiva CPI\[VAO_DINA TERCIARIOS_CF_SEC_20230117.xlsx]CF PSDP'!</v>
      </c>
      <c r="G2366" s="6" t="s">
        <v>105</v>
      </c>
      <c r="H2366" s="1"/>
      <c r="I2366" s="1"/>
      <c r="J2366" s="1"/>
    </row>
    <row r="2367" spans="1:10" x14ac:dyDescent="0.3">
      <c r="A2367" s="6" t="s">
        <v>21</v>
      </c>
      <c r="B2367" s="6">
        <v>2032</v>
      </c>
      <c r="C2367" s="1" t="s">
        <v>49</v>
      </c>
      <c r="D2367" s="2" t="s">
        <v>131</v>
      </c>
      <c r="E2367" s="9" t="s">
        <v>106</v>
      </c>
      <c r="F2367" s="5" t="str">
        <f t="shared" si="545"/>
        <v>C:\Users\jaime.benazar\Quorum Business Solutions\Ecopetrol Prometeo - Documents\Planning Space Implementation\3. Analysis &amp; Design\Design\FC22\DRR Jaime\Neiva CPI\[VAO_DINA TERCIARIOS_CF_SEC_20230117.xlsx]CF PSDP'!</v>
      </c>
      <c r="G2367" s="6" t="s">
        <v>105</v>
      </c>
      <c r="H2367" s="1"/>
      <c r="I2367" s="1"/>
      <c r="J2367" s="1"/>
    </row>
    <row r="2368" spans="1:10" x14ac:dyDescent="0.3">
      <c r="A2368" s="6" t="s">
        <v>21</v>
      </c>
      <c r="B2368" s="6">
        <v>2033</v>
      </c>
      <c r="C2368" s="1" t="s">
        <v>49</v>
      </c>
      <c r="D2368" s="2" t="s">
        <v>131</v>
      </c>
      <c r="E2368" s="9" t="s">
        <v>106</v>
      </c>
      <c r="F2368" s="5" t="str">
        <f t="shared" si="545"/>
        <v>C:\Users\jaime.benazar\Quorum Business Solutions\Ecopetrol Prometeo - Documents\Planning Space Implementation\3. Analysis &amp; Design\Design\FC22\DRR Jaime\Neiva CPI\[VAO_DINA TERCIARIOS_CF_SEC_20230117.xlsx]CF PSDP'!</v>
      </c>
      <c r="G2368" s="6" t="s">
        <v>105</v>
      </c>
      <c r="H2368" s="1"/>
      <c r="I2368" s="1"/>
      <c r="J2368" s="1"/>
    </row>
    <row r="2369" spans="1:10" x14ac:dyDescent="0.3">
      <c r="A2369" s="6" t="s">
        <v>21</v>
      </c>
      <c r="B2369" s="6">
        <v>2034</v>
      </c>
      <c r="C2369" s="1" t="s">
        <v>49</v>
      </c>
      <c r="D2369" s="2" t="s">
        <v>131</v>
      </c>
      <c r="E2369" s="9" t="s">
        <v>106</v>
      </c>
      <c r="F2369" s="5" t="str">
        <f t="shared" si="545"/>
        <v>C:\Users\jaime.benazar\Quorum Business Solutions\Ecopetrol Prometeo - Documents\Planning Space Implementation\3. Analysis &amp; Design\Design\FC22\DRR Jaime\Neiva CPI\[VAO_DINA TERCIARIOS_CF_SEC_20230117.xlsx]CF PSDP'!</v>
      </c>
      <c r="G2369" s="6" t="s">
        <v>105</v>
      </c>
      <c r="H2369" s="1"/>
      <c r="I2369" s="1"/>
      <c r="J2369" s="1"/>
    </row>
    <row r="2370" spans="1:10" x14ac:dyDescent="0.3">
      <c r="A2370" s="6" t="s">
        <v>21</v>
      </c>
      <c r="B2370" s="6">
        <v>2035</v>
      </c>
      <c r="C2370" s="1" t="s">
        <v>49</v>
      </c>
      <c r="D2370" s="2" t="s">
        <v>131</v>
      </c>
      <c r="E2370" s="9" t="s">
        <v>106</v>
      </c>
      <c r="F2370" s="5" t="str">
        <f t="shared" si="545"/>
        <v>C:\Users\jaime.benazar\Quorum Business Solutions\Ecopetrol Prometeo - Documents\Planning Space Implementation\3. Analysis &amp; Design\Design\FC22\DRR Jaime\Neiva CPI\[VAO_DINA TERCIARIOS_CF_SEC_20230117.xlsx]CF PSDP'!</v>
      </c>
      <c r="G2370" s="6" t="s">
        <v>105</v>
      </c>
      <c r="H2370" s="1"/>
      <c r="I2370" s="1"/>
      <c r="J2370" s="1"/>
    </row>
    <row r="2371" spans="1:10" x14ac:dyDescent="0.3">
      <c r="A2371" s="6" t="s">
        <v>21</v>
      </c>
      <c r="B2371" s="6">
        <v>2036</v>
      </c>
      <c r="C2371" s="1" t="s">
        <v>49</v>
      </c>
      <c r="D2371" s="2" t="s">
        <v>131</v>
      </c>
      <c r="E2371" s="9" t="s">
        <v>106</v>
      </c>
      <c r="F2371" s="5" t="str">
        <f t="shared" si="545"/>
        <v>C:\Users\jaime.benazar\Quorum Business Solutions\Ecopetrol Prometeo - Documents\Planning Space Implementation\3. Analysis &amp; Design\Design\FC22\DRR Jaime\Neiva CPI\[VAO_DINA TERCIARIOS_CF_SEC_20230117.xlsx]CF PSDP'!</v>
      </c>
      <c r="G2371" s="6" t="s">
        <v>105</v>
      </c>
      <c r="H2371" s="1"/>
      <c r="I2371" s="1"/>
      <c r="J2371" s="1"/>
    </row>
    <row r="2372" spans="1:10" x14ac:dyDescent="0.3">
      <c r="A2372" s="6" t="s">
        <v>21</v>
      </c>
      <c r="B2372" s="6">
        <v>2037</v>
      </c>
      <c r="C2372" s="1" t="s">
        <v>49</v>
      </c>
      <c r="D2372" s="2" t="s">
        <v>131</v>
      </c>
      <c r="E2372" s="9" t="s">
        <v>106</v>
      </c>
      <c r="F2372" s="5" t="str">
        <f t="shared" si="545"/>
        <v>C:\Users\jaime.benazar\Quorum Business Solutions\Ecopetrol Prometeo - Documents\Planning Space Implementation\3. Analysis &amp; Design\Design\FC22\DRR Jaime\Neiva CPI\[VAO_DINA TERCIARIOS_CF_SEC_20230117.xlsx]CF PSDP'!</v>
      </c>
      <c r="G2372" s="6" t="s">
        <v>105</v>
      </c>
      <c r="H2372" s="1"/>
      <c r="I2372" s="1"/>
      <c r="J2372" s="1"/>
    </row>
    <row r="2373" spans="1:10" x14ac:dyDescent="0.3">
      <c r="A2373" s="6" t="s">
        <v>21</v>
      </c>
      <c r="B2373" s="6">
        <v>2038</v>
      </c>
      <c r="C2373" s="1" t="s">
        <v>49</v>
      </c>
      <c r="D2373" s="2" t="s">
        <v>131</v>
      </c>
      <c r="E2373" s="9" t="s">
        <v>106</v>
      </c>
      <c r="F2373" s="5" t="str">
        <f t="shared" si="545"/>
        <v>C:\Users\jaime.benazar\Quorum Business Solutions\Ecopetrol Prometeo - Documents\Planning Space Implementation\3. Analysis &amp; Design\Design\FC22\DRR Jaime\Neiva CPI\[VAO_DINA TERCIARIOS_CF_SEC_20230117.xlsx]CF PSDP'!</v>
      </c>
      <c r="G2373" s="6" t="s">
        <v>105</v>
      </c>
      <c r="H2373" s="1"/>
      <c r="I2373" s="1"/>
      <c r="J2373" s="1"/>
    </row>
    <row r="2374" spans="1:10" x14ac:dyDescent="0.3">
      <c r="A2374" s="6" t="s">
        <v>21</v>
      </c>
      <c r="B2374" s="6">
        <v>2039</v>
      </c>
      <c r="C2374" s="1" t="s">
        <v>49</v>
      </c>
      <c r="D2374" s="2" t="s">
        <v>131</v>
      </c>
      <c r="E2374" s="9" t="s">
        <v>106</v>
      </c>
      <c r="F2374" s="5" t="str">
        <f t="shared" si="545"/>
        <v>C:\Users\jaime.benazar\Quorum Business Solutions\Ecopetrol Prometeo - Documents\Planning Space Implementation\3. Analysis &amp; Design\Design\FC22\DRR Jaime\Neiva CPI\[VAO_DINA TERCIARIOS_CF_SEC_20230117.xlsx]CF PSDP'!</v>
      </c>
      <c r="G2374" s="6" t="s">
        <v>105</v>
      </c>
      <c r="H2374" s="1"/>
      <c r="I2374" s="1"/>
      <c r="J2374" s="1"/>
    </row>
    <row r="2375" spans="1:10" x14ac:dyDescent="0.3">
      <c r="A2375" s="6" t="s">
        <v>21</v>
      </c>
      <c r="B2375" s="6">
        <v>2040</v>
      </c>
      <c r="C2375" s="1" t="s">
        <v>49</v>
      </c>
      <c r="D2375" s="2" t="s">
        <v>131</v>
      </c>
      <c r="E2375" s="9" t="s">
        <v>106</v>
      </c>
      <c r="F2375" s="5" t="str">
        <f t="shared" si="545"/>
        <v>C:\Users\jaime.benazar\Quorum Business Solutions\Ecopetrol Prometeo - Documents\Planning Space Implementation\3. Analysis &amp; Design\Design\FC22\DRR Jaime\Neiva CPI\[VAO_DINA TERCIARIOS_CF_SEC_20230117.xlsx]CF PSDP'!</v>
      </c>
      <c r="G2375" s="6" t="s">
        <v>105</v>
      </c>
      <c r="H2375" s="1"/>
      <c r="I2375" s="1"/>
      <c r="J2375" s="1"/>
    </row>
    <row r="2376" spans="1:10" x14ac:dyDescent="0.3">
      <c r="A2376" s="6" t="s">
        <v>21</v>
      </c>
      <c r="B2376" s="6">
        <v>2041</v>
      </c>
      <c r="C2376" s="1" t="s">
        <v>49</v>
      </c>
      <c r="D2376" s="2" t="s">
        <v>131</v>
      </c>
      <c r="E2376" s="9" t="s">
        <v>106</v>
      </c>
      <c r="F2376" s="5" t="str">
        <f t="shared" si="545"/>
        <v>C:\Users\jaime.benazar\Quorum Business Solutions\Ecopetrol Prometeo - Documents\Planning Space Implementation\3. Analysis &amp; Design\Design\FC22\DRR Jaime\Neiva CPI\[VAO_DINA TERCIARIOS_CF_SEC_20230117.xlsx]CF PSDP'!</v>
      </c>
      <c r="G2376" s="6" t="s">
        <v>105</v>
      </c>
      <c r="H2376" s="1"/>
      <c r="I2376" s="1"/>
      <c r="J2376" s="1"/>
    </row>
    <row r="2377" spans="1:10" x14ac:dyDescent="0.3">
      <c r="A2377" s="6" t="s">
        <v>21</v>
      </c>
      <c r="B2377" s="6">
        <v>2042</v>
      </c>
      <c r="C2377" s="1" t="s">
        <v>49</v>
      </c>
      <c r="D2377" s="2" t="s">
        <v>131</v>
      </c>
      <c r="E2377" s="9" t="s">
        <v>106</v>
      </c>
      <c r="F2377" s="5" t="str">
        <f t="shared" si="545"/>
        <v>C:\Users\jaime.benazar\Quorum Business Solutions\Ecopetrol Prometeo - Documents\Planning Space Implementation\3. Analysis &amp; Design\Design\FC22\DRR Jaime\Neiva CPI\[VAO_DINA TERCIARIOS_CF_SEC_20230117.xlsx]CF PSDP'!</v>
      </c>
      <c r="G2377" s="6" t="s">
        <v>105</v>
      </c>
      <c r="H2377" s="1"/>
      <c r="I2377" s="1"/>
      <c r="J2377" s="1"/>
    </row>
    <row r="2378" spans="1:10" x14ac:dyDescent="0.3">
      <c r="A2378" s="6" t="s">
        <v>21</v>
      </c>
      <c r="B2378" s="6">
        <v>2043</v>
      </c>
      <c r="C2378" s="1" t="s">
        <v>49</v>
      </c>
      <c r="D2378" s="2" t="s">
        <v>131</v>
      </c>
      <c r="E2378" s="9" t="s">
        <v>106</v>
      </c>
      <c r="F2378" s="5" t="str">
        <f t="shared" si="545"/>
        <v>C:\Users\jaime.benazar\Quorum Business Solutions\Ecopetrol Prometeo - Documents\Planning Space Implementation\3. Analysis &amp; Design\Design\FC22\DRR Jaime\Neiva CPI\[VAO_DINA TERCIARIOS_CF_SEC_20230117.xlsx]CF PSDP'!</v>
      </c>
      <c r="G2378" s="6" t="s">
        <v>105</v>
      </c>
      <c r="H2378" s="1"/>
      <c r="I2378" s="1"/>
      <c r="J2378" s="1"/>
    </row>
    <row r="2379" spans="1:10" x14ac:dyDescent="0.3">
      <c r="A2379" s="6" t="s">
        <v>21</v>
      </c>
      <c r="B2379" s="6">
        <v>2044</v>
      </c>
      <c r="C2379" s="1" t="s">
        <v>49</v>
      </c>
      <c r="D2379" s="2" t="s">
        <v>131</v>
      </c>
      <c r="E2379" s="9" t="s">
        <v>106</v>
      </c>
      <c r="F2379" s="5" t="str">
        <f t="shared" ref="F2379:F2394" si="546">_xlfn.CONCAT(D2379," ",E2379)</f>
        <v>C:\Users\jaime.benazar\Quorum Business Solutions\Ecopetrol Prometeo - Documents\Planning Space Implementation\3. Analysis &amp; Design\Design\FC22\DRR Jaime\Neiva CPI\[VAO_DINA TERCIARIOS_CF_SEC_20230117.xlsx]CF PSDP'!</v>
      </c>
      <c r="G2379" s="6" t="s">
        <v>105</v>
      </c>
      <c r="H2379" s="1"/>
      <c r="I2379" s="1"/>
      <c r="J2379" s="1"/>
    </row>
    <row r="2380" spans="1:10" x14ac:dyDescent="0.3">
      <c r="A2380" s="6" t="s">
        <v>21</v>
      </c>
      <c r="B2380" s="6">
        <v>2045</v>
      </c>
      <c r="C2380" s="1" t="s">
        <v>49</v>
      </c>
      <c r="D2380" s="2" t="s">
        <v>131</v>
      </c>
      <c r="E2380" s="9" t="s">
        <v>106</v>
      </c>
      <c r="F2380" s="5" t="str">
        <f t="shared" si="546"/>
        <v>C:\Users\jaime.benazar\Quorum Business Solutions\Ecopetrol Prometeo - Documents\Planning Space Implementation\3. Analysis &amp; Design\Design\FC22\DRR Jaime\Neiva CPI\[VAO_DINA TERCIARIOS_CF_SEC_20230117.xlsx]CF PSDP'!</v>
      </c>
      <c r="G2380" s="6" t="s">
        <v>105</v>
      </c>
      <c r="H2380" s="1"/>
      <c r="I2380" s="1"/>
      <c r="J2380" s="1"/>
    </row>
    <row r="2381" spans="1:10" x14ac:dyDescent="0.3">
      <c r="A2381" s="6" t="s">
        <v>21</v>
      </c>
      <c r="B2381" s="6">
        <v>2046</v>
      </c>
      <c r="C2381" s="1" t="s">
        <v>49</v>
      </c>
      <c r="D2381" s="2" t="s">
        <v>131</v>
      </c>
      <c r="E2381" s="9" t="s">
        <v>106</v>
      </c>
      <c r="F2381" s="5" t="str">
        <f t="shared" si="546"/>
        <v>C:\Users\jaime.benazar\Quorum Business Solutions\Ecopetrol Prometeo - Documents\Planning Space Implementation\3. Analysis &amp; Design\Design\FC22\DRR Jaime\Neiva CPI\[VAO_DINA TERCIARIOS_CF_SEC_20230117.xlsx]CF PSDP'!</v>
      </c>
      <c r="G2381" s="6" t="s">
        <v>105</v>
      </c>
      <c r="H2381" s="1"/>
      <c r="I2381" s="1"/>
      <c r="J2381" s="1"/>
    </row>
    <row r="2382" spans="1:10" x14ac:dyDescent="0.3">
      <c r="A2382" s="6" t="s">
        <v>21</v>
      </c>
      <c r="B2382" s="6">
        <v>2047</v>
      </c>
      <c r="C2382" s="1" t="s">
        <v>49</v>
      </c>
      <c r="D2382" s="2" t="s">
        <v>131</v>
      </c>
      <c r="E2382" s="9" t="s">
        <v>106</v>
      </c>
      <c r="F2382" s="5" t="str">
        <f t="shared" si="546"/>
        <v>C:\Users\jaime.benazar\Quorum Business Solutions\Ecopetrol Prometeo - Documents\Planning Space Implementation\3. Analysis &amp; Design\Design\FC22\DRR Jaime\Neiva CPI\[VAO_DINA TERCIARIOS_CF_SEC_20230117.xlsx]CF PSDP'!</v>
      </c>
      <c r="G2382" s="6" t="s">
        <v>105</v>
      </c>
      <c r="H2382" s="1"/>
      <c r="I2382" s="1"/>
      <c r="J2382" s="1"/>
    </row>
    <row r="2383" spans="1:10" x14ac:dyDescent="0.3">
      <c r="A2383" s="6" t="s">
        <v>21</v>
      </c>
      <c r="B2383" s="6">
        <v>2048</v>
      </c>
      <c r="C2383" s="1" t="s">
        <v>49</v>
      </c>
      <c r="D2383" s="2" t="s">
        <v>131</v>
      </c>
      <c r="E2383" s="9" t="s">
        <v>106</v>
      </c>
      <c r="F2383" s="5" t="str">
        <f t="shared" si="546"/>
        <v>C:\Users\jaime.benazar\Quorum Business Solutions\Ecopetrol Prometeo - Documents\Planning Space Implementation\3. Analysis &amp; Design\Design\FC22\DRR Jaime\Neiva CPI\[VAO_DINA TERCIARIOS_CF_SEC_20230117.xlsx]CF PSDP'!</v>
      </c>
      <c r="G2383" s="6" t="s">
        <v>105</v>
      </c>
      <c r="H2383" s="1"/>
      <c r="I2383" s="1"/>
      <c r="J2383" s="1"/>
    </row>
    <row r="2384" spans="1:10" x14ac:dyDescent="0.3">
      <c r="A2384" s="6" t="s">
        <v>21</v>
      </c>
      <c r="B2384" s="6">
        <v>2049</v>
      </c>
      <c r="C2384" s="1" t="s">
        <v>49</v>
      </c>
      <c r="D2384" s="2" t="s">
        <v>131</v>
      </c>
      <c r="E2384" s="9" t="s">
        <v>106</v>
      </c>
      <c r="F2384" s="5" t="str">
        <f t="shared" si="546"/>
        <v>C:\Users\jaime.benazar\Quorum Business Solutions\Ecopetrol Prometeo - Documents\Planning Space Implementation\3. Analysis &amp; Design\Design\FC22\DRR Jaime\Neiva CPI\[VAO_DINA TERCIARIOS_CF_SEC_20230117.xlsx]CF PSDP'!</v>
      </c>
      <c r="G2384" s="6" t="s">
        <v>105</v>
      </c>
      <c r="H2384" s="1"/>
      <c r="I2384" s="1"/>
      <c r="J2384" s="1"/>
    </row>
    <row r="2385" spans="1:10" x14ac:dyDescent="0.3">
      <c r="A2385" s="6" t="s">
        <v>21</v>
      </c>
      <c r="B2385" s="6">
        <v>2050</v>
      </c>
      <c r="C2385" s="1" t="s">
        <v>49</v>
      </c>
      <c r="D2385" s="2" t="s">
        <v>131</v>
      </c>
      <c r="E2385" s="9" t="s">
        <v>106</v>
      </c>
      <c r="F2385" s="5" t="str">
        <f t="shared" si="546"/>
        <v>C:\Users\jaime.benazar\Quorum Business Solutions\Ecopetrol Prometeo - Documents\Planning Space Implementation\3. Analysis &amp; Design\Design\FC22\DRR Jaime\Neiva CPI\[VAO_DINA TERCIARIOS_CF_SEC_20230117.xlsx]CF PSDP'!</v>
      </c>
      <c r="G2385" s="6" t="s">
        <v>105</v>
      </c>
      <c r="H2385" s="1"/>
      <c r="I2385" s="1"/>
      <c r="J2385" s="1"/>
    </row>
    <row r="2386" spans="1:10" x14ac:dyDescent="0.3">
      <c r="A2386" s="6" t="s">
        <v>21</v>
      </c>
      <c r="B2386" s="6">
        <v>2051</v>
      </c>
      <c r="C2386" s="1" t="s">
        <v>49</v>
      </c>
      <c r="D2386" s="2" t="s">
        <v>131</v>
      </c>
      <c r="E2386" s="9" t="s">
        <v>106</v>
      </c>
      <c r="F2386" s="5" t="str">
        <f t="shared" si="546"/>
        <v>C:\Users\jaime.benazar\Quorum Business Solutions\Ecopetrol Prometeo - Documents\Planning Space Implementation\3. Analysis &amp; Design\Design\FC22\DRR Jaime\Neiva CPI\[VAO_DINA TERCIARIOS_CF_SEC_20230117.xlsx]CF PSDP'!</v>
      </c>
      <c r="G2386" s="6" t="s">
        <v>105</v>
      </c>
      <c r="H2386" s="1"/>
      <c r="I2386" s="1"/>
      <c r="J2386" s="1"/>
    </row>
    <row r="2387" spans="1:10" x14ac:dyDescent="0.3">
      <c r="A2387" s="6" t="s">
        <v>21</v>
      </c>
      <c r="B2387" s="6">
        <v>2052</v>
      </c>
      <c r="C2387" s="1" t="s">
        <v>49</v>
      </c>
      <c r="D2387" s="2" t="s">
        <v>131</v>
      </c>
      <c r="E2387" s="9" t="s">
        <v>106</v>
      </c>
      <c r="F2387" s="5" t="str">
        <f t="shared" si="546"/>
        <v>C:\Users\jaime.benazar\Quorum Business Solutions\Ecopetrol Prometeo - Documents\Planning Space Implementation\3. Analysis &amp; Design\Design\FC22\DRR Jaime\Neiva CPI\[VAO_DINA TERCIARIOS_CF_SEC_20230117.xlsx]CF PSDP'!</v>
      </c>
      <c r="G2387" s="6" t="s">
        <v>105</v>
      </c>
      <c r="H2387" s="1"/>
      <c r="I2387" s="1"/>
      <c r="J2387" s="1"/>
    </row>
    <row r="2388" spans="1:10" x14ac:dyDescent="0.3">
      <c r="A2388" s="6" t="s">
        <v>21</v>
      </c>
      <c r="B2388" s="6">
        <v>2053</v>
      </c>
      <c r="C2388" s="1" t="s">
        <v>49</v>
      </c>
      <c r="D2388" s="2" t="s">
        <v>131</v>
      </c>
      <c r="E2388" s="9" t="s">
        <v>106</v>
      </c>
      <c r="F2388" s="5" t="str">
        <f t="shared" si="546"/>
        <v>C:\Users\jaime.benazar\Quorum Business Solutions\Ecopetrol Prometeo - Documents\Planning Space Implementation\3. Analysis &amp; Design\Design\FC22\DRR Jaime\Neiva CPI\[VAO_DINA TERCIARIOS_CF_SEC_20230117.xlsx]CF PSDP'!</v>
      </c>
      <c r="G2388" s="6" t="s">
        <v>105</v>
      </c>
      <c r="H2388" s="1"/>
      <c r="I2388" s="1"/>
      <c r="J2388" s="1"/>
    </row>
    <row r="2389" spans="1:10" x14ac:dyDescent="0.3">
      <c r="A2389" s="6" t="s">
        <v>21</v>
      </c>
      <c r="B2389" s="6">
        <v>2054</v>
      </c>
      <c r="C2389" s="1" t="s">
        <v>49</v>
      </c>
      <c r="D2389" s="2" t="s">
        <v>131</v>
      </c>
      <c r="E2389" s="9" t="s">
        <v>106</v>
      </c>
      <c r="F2389" s="5" t="str">
        <f t="shared" si="546"/>
        <v>C:\Users\jaime.benazar\Quorum Business Solutions\Ecopetrol Prometeo - Documents\Planning Space Implementation\3. Analysis &amp; Design\Design\FC22\DRR Jaime\Neiva CPI\[VAO_DINA TERCIARIOS_CF_SEC_20230117.xlsx]CF PSDP'!</v>
      </c>
      <c r="G2389" s="6" t="s">
        <v>105</v>
      </c>
      <c r="H2389" s="1"/>
      <c r="I2389" s="1"/>
      <c r="J2389" s="1"/>
    </row>
    <row r="2390" spans="1:10" x14ac:dyDescent="0.3">
      <c r="A2390" s="6" t="s">
        <v>21</v>
      </c>
      <c r="B2390" s="6">
        <v>2055</v>
      </c>
      <c r="C2390" s="1" t="s">
        <v>49</v>
      </c>
      <c r="D2390" s="2" t="s">
        <v>131</v>
      </c>
      <c r="E2390" s="9" t="s">
        <v>106</v>
      </c>
      <c r="F2390" s="5" t="str">
        <f t="shared" si="546"/>
        <v>C:\Users\jaime.benazar\Quorum Business Solutions\Ecopetrol Prometeo - Documents\Planning Space Implementation\3. Analysis &amp; Design\Design\FC22\DRR Jaime\Neiva CPI\[VAO_DINA TERCIARIOS_CF_SEC_20230117.xlsx]CF PSDP'!</v>
      </c>
      <c r="G2390" s="6" t="s">
        <v>105</v>
      </c>
      <c r="H2390" s="1"/>
      <c r="I2390" s="1"/>
      <c r="J2390" s="1"/>
    </row>
    <row r="2391" spans="1:10" x14ac:dyDescent="0.3">
      <c r="A2391" s="6" t="s">
        <v>21</v>
      </c>
      <c r="B2391" s="6">
        <v>2056</v>
      </c>
      <c r="C2391" s="1" t="s">
        <v>49</v>
      </c>
      <c r="D2391" s="2" t="s">
        <v>131</v>
      </c>
      <c r="E2391" s="9" t="s">
        <v>106</v>
      </c>
      <c r="F2391" s="5" t="str">
        <f t="shared" si="546"/>
        <v>C:\Users\jaime.benazar\Quorum Business Solutions\Ecopetrol Prometeo - Documents\Planning Space Implementation\3. Analysis &amp; Design\Design\FC22\DRR Jaime\Neiva CPI\[VAO_DINA TERCIARIOS_CF_SEC_20230117.xlsx]CF PSDP'!</v>
      </c>
      <c r="G2391" s="6" t="s">
        <v>105</v>
      </c>
      <c r="H2391" s="1"/>
      <c r="I2391" s="1"/>
      <c r="J2391" s="1"/>
    </row>
    <row r="2392" spans="1:10" x14ac:dyDescent="0.3">
      <c r="A2392" s="6" t="s">
        <v>21</v>
      </c>
      <c r="B2392" s="6">
        <v>2057</v>
      </c>
      <c r="C2392" s="1" t="s">
        <v>49</v>
      </c>
      <c r="D2392" s="2" t="s">
        <v>131</v>
      </c>
      <c r="E2392" s="9" t="s">
        <v>106</v>
      </c>
      <c r="F2392" s="5" t="str">
        <f t="shared" si="546"/>
        <v>C:\Users\jaime.benazar\Quorum Business Solutions\Ecopetrol Prometeo - Documents\Planning Space Implementation\3. Analysis &amp; Design\Design\FC22\DRR Jaime\Neiva CPI\[VAO_DINA TERCIARIOS_CF_SEC_20230117.xlsx]CF PSDP'!</v>
      </c>
      <c r="G2392" s="6" t="s">
        <v>105</v>
      </c>
      <c r="H2392" s="1"/>
      <c r="I2392" s="1"/>
      <c r="J2392" s="1"/>
    </row>
    <row r="2393" spans="1:10" x14ac:dyDescent="0.3">
      <c r="A2393" s="6" t="s">
        <v>21</v>
      </c>
      <c r="B2393" s="6">
        <v>2058</v>
      </c>
      <c r="C2393" s="1" t="s">
        <v>49</v>
      </c>
      <c r="D2393" s="2" t="s">
        <v>131</v>
      </c>
      <c r="E2393" s="9" t="s">
        <v>106</v>
      </c>
      <c r="F2393" s="5" t="str">
        <f t="shared" si="546"/>
        <v>C:\Users\jaime.benazar\Quorum Business Solutions\Ecopetrol Prometeo - Documents\Planning Space Implementation\3. Analysis &amp; Design\Design\FC22\DRR Jaime\Neiva CPI\[VAO_DINA TERCIARIOS_CF_SEC_20230117.xlsx]CF PSDP'!</v>
      </c>
      <c r="G2393" s="6" t="s">
        <v>105</v>
      </c>
      <c r="H2393" s="1"/>
      <c r="I2393" s="1"/>
      <c r="J2393" s="1"/>
    </row>
    <row r="2394" spans="1:10" x14ac:dyDescent="0.3">
      <c r="A2394" s="6" t="s">
        <v>21</v>
      </c>
      <c r="B2394" s="6">
        <v>2059</v>
      </c>
      <c r="C2394" s="1" t="s">
        <v>49</v>
      </c>
      <c r="D2394" s="2" t="s">
        <v>131</v>
      </c>
      <c r="E2394" s="9" t="s">
        <v>106</v>
      </c>
      <c r="F2394" s="5" t="str">
        <f t="shared" si="546"/>
        <v>C:\Users\jaime.benazar\Quorum Business Solutions\Ecopetrol Prometeo - Documents\Planning Space Implementation\3. Analysis &amp; Design\Design\FC22\DRR Jaime\Neiva CPI\[VAO_DINA TERCIARIOS_CF_SEC_20230117.xlsx]CF PSDP'!</v>
      </c>
      <c r="G2394" s="6" t="s">
        <v>105</v>
      </c>
      <c r="H2394" s="1"/>
      <c r="I2394" s="1"/>
      <c r="J2394" s="1"/>
    </row>
    <row r="2395" spans="1:10" x14ac:dyDescent="0.3">
      <c r="A2395" s="6" t="s">
        <v>26</v>
      </c>
      <c r="B2395" s="6"/>
      <c r="C2395" s="1" t="s">
        <v>49</v>
      </c>
      <c r="D2395" s="2"/>
      <c r="E2395" s="9"/>
      <c r="F2395" s="5"/>
      <c r="G2395" s="6"/>
      <c r="H2395" s="1"/>
      <c r="I2395" s="1"/>
      <c r="J2395" s="1"/>
    </row>
    <row r="2396" spans="1:10" x14ac:dyDescent="0.3">
      <c r="A2396" s="6" t="s">
        <v>22</v>
      </c>
      <c r="B2396" s="6">
        <v>2023</v>
      </c>
      <c r="C2396" s="1" t="s">
        <v>49</v>
      </c>
      <c r="D2396" s="2" t="s">
        <v>131</v>
      </c>
      <c r="E2396" s="9" t="s">
        <v>107</v>
      </c>
      <c r="F2396" s="5" t="str">
        <f t="shared" ref="F2396:F2487" si="547">_xlfn.CONCAT(D2396," ",E2396)</f>
        <v>C:\Users\jaime.benazar\Quorum Business Solutions\Ecopetrol Prometeo - Documents\Planning Space Implementation\3. Analysis &amp; Design\Design\FC22\DRR Jaime\Neiva CPI\[VAO_DINA TERCIARIOS_CF_SEC_20230117.xlsx]CF PSNP'!</v>
      </c>
      <c r="G2396" s="6" t="s">
        <v>105</v>
      </c>
      <c r="H2396" s="1"/>
      <c r="I2396" s="1"/>
      <c r="J2396" s="1"/>
    </row>
    <row r="2397" spans="1:10" x14ac:dyDescent="0.3">
      <c r="A2397" s="6" t="s">
        <v>22</v>
      </c>
      <c r="B2397" s="6">
        <v>2024</v>
      </c>
      <c r="C2397" s="1" t="s">
        <v>49</v>
      </c>
      <c r="D2397" s="2" t="s">
        <v>131</v>
      </c>
      <c r="E2397" s="9" t="s">
        <v>107</v>
      </c>
      <c r="F2397" s="5" t="str">
        <f t="shared" si="547"/>
        <v>C:\Users\jaime.benazar\Quorum Business Solutions\Ecopetrol Prometeo - Documents\Planning Space Implementation\3. Analysis &amp; Design\Design\FC22\DRR Jaime\Neiva CPI\[VAO_DINA TERCIARIOS_CF_SEC_20230117.xlsx]CF PSNP'!</v>
      </c>
      <c r="G2397" s="6" t="s">
        <v>105</v>
      </c>
      <c r="H2397" s="1"/>
      <c r="I2397" s="1"/>
      <c r="J2397" s="1"/>
    </row>
    <row r="2398" spans="1:10" x14ac:dyDescent="0.3">
      <c r="A2398" s="6" t="s">
        <v>22</v>
      </c>
      <c r="B2398" s="6">
        <v>2025</v>
      </c>
      <c r="C2398" s="1" t="s">
        <v>49</v>
      </c>
      <c r="D2398" s="2" t="s">
        <v>131</v>
      </c>
      <c r="E2398" s="9" t="s">
        <v>107</v>
      </c>
      <c r="F2398" s="5" t="str">
        <f t="shared" si="547"/>
        <v>C:\Users\jaime.benazar\Quorum Business Solutions\Ecopetrol Prometeo - Documents\Planning Space Implementation\3. Analysis &amp; Design\Design\FC22\DRR Jaime\Neiva CPI\[VAO_DINA TERCIARIOS_CF_SEC_20230117.xlsx]CF PSNP'!</v>
      </c>
      <c r="G2398" s="6" t="s">
        <v>105</v>
      </c>
      <c r="H2398" s="1"/>
      <c r="I2398" s="1"/>
      <c r="J2398" s="1"/>
    </row>
    <row r="2399" spans="1:10" x14ac:dyDescent="0.3">
      <c r="A2399" s="6" t="s">
        <v>22</v>
      </c>
      <c r="B2399" s="6">
        <v>2026</v>
      </c>
      <c r="C2399" s="1" t="s">
        <v>49</v>
      </c>
      <c r="D2399" s="2" t="s">
        <v>131</v>
      </c>
      <c r="E2399" s="9" t="s">
        <v>107</v>
      </c>
      <c r="F2399" s="5" t="str">
        <f t="shared" si="547"/>
        <v>C:\Users\jaime.benazar\Quorum Business Solutions\Ecopetrol Prometeo - Documents\Planning Space Implementation\3. Analysis &amp; Design\Design\FC22\DRR Jaime\Neiva CPI\[VAO_DINA TERCIARIOS_CF_SEC_20230117.xlsx]CF PSNP'!</v>
      </c>
      <c r="G2399" s="6" t="s">
        <v>105</v>
      </c>
      <c r="H2399" s="1"/>
      <c r="I2399" s="1"/>
      <c r="J2399" s="1"/>
    </row>
    <row r="2400" spans="1:10" x14ac:dyDescent="0.3">
      <c r="A2400" s="6" t="s">
        <v>22</v>
      </c>
      <c r="B2400" s="6">
        <v>2027</v>
      </c>
      <c r="C2400" s="1" t="s">
        <v>49</v>
      </c>
      <c r="D2400" s="2" t="s">
        <v>131</v>
      </c>
      <c r="E2400" s="9" t="s">
        <v>107</v>
      </c>
      <c r="F2400" s="5" t="str">
        <f t="shared" si="547"/>
        <v>C:\Users\jaime.benazar\Quorum Business Solutions\Ecopetrol Prometeo - Documents\Planning Space Implementation\3. Analysis &amp; Design\Design\FC22\DRR Jaime\Neiva CPI\[VAO_DINA TERCIARIOS_CF_SEC_20230117.xlsx]CF PSNP'!</v>
      </c>
      <c r="G2400" s="6" t="s">
        <v>105</v>
      </c>
      <c r="H2400" s="1"/>
      <c r="I2400" s="1"/>
      <c r="J2400" s="1"/>
    </row>
    <row r="2401" spans="1:10" x14ac:dyDescent="0.3">
      <c r="A2401" s="6" t="s">
        <v>22</v>
      </c>
      <c r="B2401" s="6">
        <v>2028</v>
      </c>
      <c r="C2401" s="1" t="s">
        <v>49</v>
      </c>
      <c r="D2401" s="2" t="s">
        <v>131</v>
      </c>
      <c r="E2401" s="9" t="s">
        <v>107</v>
      </c>
      <c r="F2401" s="5" t="str">
        <f t="shared" si="547"/>
        <v>C:\Users\jaime.benazar\Quorum Business Solutions\Ecopetrol Prometeo - Documents\Planning Space Implementation\3. Analysis &amp; Design\Design\FC22\DRR Jaime\Neiva CPI\[VAO_DINA TERCIARIOS_CF_SEC_20230117.xlsx]CF PSNP'!</v>
      </c>
      <c r="G2401" s="6" t="s">
        <v>105</v>
      </c>
      <c r="H2401" s="1"/>
      <c r="I2401" s="1"/>
      <c r="J2401" s="1"/>
    </row>
    <row r="2402" spans="1:10" x14ac:dyDescent="0.3">
      <c r="A2402" s="6" t="s">
        <v>22</v>
      </c>
      <c r="B2402" s="6">
        <v>2029</v>
      </c>
      <c r="C2402" s="1" t="s">
        <v>49</v>
      </c>
      <c r="D2402" s="2" t="s">
        <v>131</v>
      </c>
      <c r="E2402" s="9" t="s">
        <v>107</v>
      </c>
      <c r="F2402" s="5" t="str">
        <f t="shared" si="547"/>
        <v>C:\Users\jaime.benazar\Quorum Business Solutions\Ecopetrol Prometeo - Documents\Planning Space Implementation\3. Analysis &amp; Design\Design\FC22\DRR Jaime\Neiva CPI\[VAO_DINA TERCIARIOS_CF_SEC_20230117.xlsx]CF PSNP'!</v>
      </c>
      <c r="G2402" s="6" t="s">
        <v>105</v>
      </c>
      <c r="H2402" s="1"/>
      <c r="I2402" s="1"/>
      <c r="J2402" s="1"/>
    </row>
    <row r="2403" spans="1:10" x14ac:dyDescent="0.3">
      <c r="A2403" s="6" t="s">
        <v>22</v>
      </c>
      <c r="B2403" s="6">
        <v>2030</v>
      </c>
      <c r="C2403" s="1" t="s">
        <v>49</v>
      </c>
      <c r="D2403" s="2" t="s">
        <v>131</v>
      </c>
      <c r="E2403" s="9" t="s">
        <v>107</v>
      </c>
      <c r="F2403" s="5" t="str">
        <f t="shared" si="547"/>
        <v>C:\Users\jaime.benazar\Quorum Business Solutions\Ecopetrol Prometeo - Documents\Planning Space Implementation\3. Analysis &amp; Design\Design\FC22\DRR Jaime\Neiva CPI\[VAO_DINA TERCIARIOS_CF_SEC_20230117.xlsx]CF PSNP'!</v>
      </c>
      <c r="G2403" s="6" t="s">
        <v>105</v>
      </c>
      <c r="H2403" s="1"/>
      <c r="I2403" s="1"/>
      <c r="J2403" s="1"/>
    </row>
    <row r="2404" spans="1:10" x14ac:dyDescent="0.3">
      <c r="A2404" s="6" t="s">
        <v>22</v>
      </c>
      <c r="B2404" s="6">
        <v>2031</v>
      </c>
      <c r="C2404" s="1" t="s">
        <v>49</v>
      </c>
      <c r="D2404" s="2" t="s">
        <v>131</v>
      </c>
      <c r="E2404" s="9" t="s">
        <v>107</v>
      </c>
      <c r="F2404" s="5" t="str">
        <f t="shared" si="547"/>
        <v>C:\Users\jaime.benazar\Quorum Business Solutions\Ecopetrol Prometeo - Documents\Planning Space Implementation\3. Analysis &amp; Design\Design\FC22\DRR Jaime\Neiva CPI\[VAO_DINA TERCIARIOS_CF_SEC_20230117.xlsx]CF PSNP'!</v>
      </c>
      <c r="G2404" s="6" t="s">
        <v>105</v>
      </c>
      <c r="H2404" s="1"/>
      <c r="I2404" s="1"/>
      <c r="J2404" s="1"/>
    </row>
    <row r="2405" spans="1:10" x14ac:dyDescent="0.3">
      <c r="A2405" s="6" t="s">
        <v>22</v>
      </c>
      <c r="B2405" s="6">
        <v>2032</v>
      </c>
      <c r="C2405" s="1" t="s">
        <v>49</v>
      </c>
      <c r="D2405" s="2" t="s">
        <v>131</v>
      </c>
      <c r="E2405" s="9" t="s">
        <v>107</v>
      </c>
      <c r="F2405" s="5" t="str">
        <f t="shared" si="547"/>
        <v>C:\Users\jaime.benazar\Quorum Business Solutions\Ecopetrol Prometeo - Documents\Planning Space Implementation\3. Analysis &amp; Design\Design\FC22\DRR Jaime\Neiva CPI\[VAO_DINA TERCIARIOS_CF_SEC_20230117.xlsx]CF PSNP'!</v>
      </c>
      <c r="G2405" s="6" t="s">
        <v>105</v>
      </c>
      <c r="H2405" s="1"/>
      <c r="I2405" s="1"/>
      <c r="J2405" s="1"/>
    </row>
    <row r="2406" spans="1:10" x14ac:dyDescent="0.3">
      <c r="A2406" s="6" t="s">
        <v>22</v>
      </c>
      <c r="B2406" s="6">
        <v>2033</v>
      </c>
      <c r="C2406" s="1" t="s">
        <v>49</v>
      </c>
      <c r="D2406" s="2" t="s">
        <v>131</v>
      </c>
      <c r="E2406" s="9" t="s">
        <v>107</v>
      </c>
      <c r="F2406" s="5" t="str">
        <f t="shared" si="547"/>
        <v>C:\Users\jaime.benazar\Quorum Business Solutions\Ecopetrol Prometeo - Documents\Planning Space Implementation\3. Analysis &amp; Design\Design\FC22\DRR Jaime\Neiva CPI\[VAO_DINA TERCIARIOS_CF_SEC_20230117.xlsx]CF PSNP'!</v>
      </c>
      <c r="G2406" s="6" t="s">
        <v>105</v>
      </c>
      <c r="H2406" s="1"/>
      <c r="I2406" s="1"/>
      <c r="J2406" s="1"/>
    </row>
    <row r="2407" spans="1:10" x14ac:dyDescent="0.3">
      <c r="A2407" s="6" t="s">
        <v>22</v>
      </c>
      <c r="B2407" s="6">
        <v>2034</v>
      </c>
      <c r="C2407" s="1" t="s">
        <v>49</v>
      </c>
      <c r="D2407" s="2" t="s">
        <v>131</v>
      </c>
      <c r="E2407" s="9" t="s">
        <v>107</v>
      </c>
      <c r="F2407" s="5" t="str">
        <f t="shared" si="547"/>
        <v>C:\Users\jaime.benazar\Quorum Business Solutions\Ecopetrol Prometeo - Documents\Planning Space Implementation\3. Analysis &amp; Design\Design\FC22\DRR Jaime\Neiva CPI\[VAO_DINA TERCIARIOS_CF_SEC_20230117.xlsx]CF PSNP'!</v>
      </c>
      <c r="G2407" s="6" t="s">
        <v>105</v>
      </c>
      <c r="H2407" s="1"/>
      <c r="I2407" s="1"/>
      <c r="J2407" s="1"/>
    </row>
    <row r="2408" spans="1:10" x14ac:dyDescent="0.3">
      <c r="A2408" s="6" t="s">
        <v>22</v>
      </c>
      <c r="B2408" s="6">
        <v>2035</v>
      </c>
      <c r="C2408" s="1" t="s">
        <v>49</v>
      </c>
      <c r="D2408" s="2" t="s">
        <v>131</v>
      </c>
      <c r="E2408" s="9" t="s">
        <v>107</v>
      </c>
      <c r="F2408" s="5" t="str">
        <f t="shared" si="547"/>
        <v>C:\Users\jaime.benazar\Quorum Business Solutions\Ecopetrol Prometeo - Documents\Planning Space Implementation\3. Analysis &amp; Design\Design\FC22\DRR Jaime\Neiva CPI\[VAO_DINA TERCIARIOS_CF_SEC_20230117.xlsx]CF PSNP'!</v>
      </c>
      <c r="G2408" s="6" t="s">
        <v>105</v>
      </c>
      <c r="H2408" s="1"/>
      <c r="I2408" s="1"/>
      <c r="J2408" s="1"/>
    </row>
    <row r="2409" spans="1:10" x14ac:dyDescent="0.3">
      <c r="A2409" s="6" t="s">
        <v>22</v>
      </c>
      <c r="B2409" s="6">
        <v>2036</v>
      </c>
      <c r="C2409" s="1" t="s">
        <v>49</v>
      </c>
      <c r="D2409" s="2" t="s">
        <v>131</v>
      </c>
      <c r="E2409" s="9" t="s">
        <v>107</v>
      </c>
      <c r="F2409" s="5" t="str">
        <f t="shared" si="547"/>
        <v>C:\Users\jaime.benazar\Quorum Business Solutions\Ecopetrol Prometeo - Documents\Planning Space Implementation\3. Analysis &amp; Design\Design\FC22\DRR Jaime\Neiva CPI\[VAO_DINA TERCIARIOS_CF_SEC_20230117.xlsx]CF PSNP'!</v>
      </c>
      <c r="G2409" s="6" t="s">
        <v>105</v>
      </c>
      <c r="H2409" s="1"/>
      <c r="I2409" s="1"/>
      <c r="J2409" s="1"/>
    </row>
    <row r="2410" spans="1:10" x14ac:dyDescent="0.3">
      <c r="A2410" s="6" t="s">
        <v>22</v>
      </c>
      <c r="B2410" s="6">
        <v>2037</v>
      </c>
      <c r="C2410" s="1" t="s">
        <v>49</v>
      </c>
      <c r="D2410" s="2" t="s">
        <v>131</v>
      </c>
      <c r="E2410" s="9" t="s">
        <v>107</v>
      </c>
      <c r="F2410" s="5" t="str">
        <f t="shared" si="547"/>
        <v>C:\Users\jaime.benazar\Quorum Business Solutions\Ecopetrol Prometeo - Documents\Planning Space Implementation\3. Analysis &amp; Design\Design\FC22\DRR Jaime\Neiva CPI\[VAO_DINA TERCIARIOS_CF_SEC_20230117.xlsx]CF PSNP'!</v>
      </c>
      <c r="G2410" s="6" t="s">
        <v>105</v>
      </c>
      <c r="H2410" s="1"/>
      <c r="I2410" s="1"/>
      <c r="J2410" s="1"/>
    </row>
    <row r="2411" spans="1:10" x14ac:dyDescent="0.3">
      <c r="A2411" s="6" t="s">
        <v>22</v>
      </c>
      <c r="B2411" s="6">
        <v>2038</v>
      </c>
      <c r="C2411" s="1" t="s">
        <v>49</v>
      </c>
      <c r="D2411" s="2" t="s">
        <v>131</v>
      </c>
      <c r="E2411" s="9" t="s">
        <v>107</v>
      </c>
      <c r="F2411" s="5" t="str">
        <f t="shared" si="547"/>
        <v>C:\Users\jaime.benazar\Quorum Business Solutions\Ecopetrol Prometeo - Documents\Planning Space Implementation\3. Analysis &amp; Design\Design\FC22\DRR Jaime\Neiva CPI\[VAO_DINA TERCIARIOS_CF_SEC_20230117.xlsx]CF PSNP'!</v>
      </c>
      <c r="G2411" s="6" t="s">
        <v>105</v>
      </c>
      <c r="H2411" s="1"/>
      <c r="I2411" s="1"/>
      <c r="J2411" s="1"/>
    </row>
    <row r="2412" spans="1:10" x14ac:dyDescent="0.3">
      <c r="A2412" s="6" t="s">
        <v>22</v>
      </c>
      <c r="B2412" s="6">
        <v>2039</v>
      </c>
      <c r="C2412" s="1" t="s">
        <v>49</v>
      </c>
      <c r="D2412" s="2" t="s">
        <v>131</v>
      </c>
      <c r="E2412" s="9" t="s">
        <v>107</v>
      </c>
      <c r="F2412" s="5" t="str">
        <f t="shared" si="547"/>
        <v>C:\Users\jaime.benazar\Quorum Business Solutions\Ecopetrol Prometeo - Documents\Planning Space Implementation\3. Analysis &amp; Design\Design\FC22\DRR Jaime\Neiva CPI\[VAO_DINA TERCIARIOS_CF_SEC_20230117.xlsx]CF PSNP'!</v>
      </c>
      <c r="G2412" s="6" t="s">
        <v>105</v>
      </c>
      <c r="H2412" s="1"/>
      <c r="I2412" s="1"/>
      <c r="J2412" s="1"/>
    </row>
    <row r="2413" spans="1:10" x14ac:dyDescent="0.3">
      <c r="A2413" s="6" t="s">
        <v>22</v>
      </c>
      <c r="B2413" s="6">
        <v>2040</v>
      </c>
      <c r="C2413" s="1" t="s">
        <v>49</v>
      </c>
      <c r="D2413" s="2" t="s">
        <v>131</v>
      </c>
      <c r="E2413" s="9" t="s">
        <v>107</v>
      </c>
      <c r="F2413" s="5" t="str">
        <f t="shared" si="547"/>
        <v>C:\Users\jaime.benazar\Quorum Business Solutions\Ecopetrol Prometeo - Documents\Planning Space Implementation\3. Analysis &amp; Design\Design\FC22\DRR Jaime\Neiva CPI\[VAO_DINA TERCIARIOS_CF_SEC_20230117.xlsx]CF PSNP'!</v>
      </c>
      <c r="G2413" s="6" t="s">
        <v>105</v>
      </c>
      <c r="H2413" s="1"/>
      <c r="I2413" s="1"/>
      <c r="J2413" s="1"/>
    </row>
    <row r="2414" spans="1:10" x14ac:dyDescent="0.3">
      <c r="A2414" s="6" t="s">
        <v>22</v>
      </c>
      <c r="B2414" s="6">
        <v>2041</v>
      </c>
      <c r="C2414" s="1" t="s">
        <v>49</v>
      </c>
      <c r="D2414" s="2" t="s">
        <v>131</v>
      </c>
      <c r="E2414" s="9" t="s">
        <v>107</v>
      </c>
      <c r="F2414" s="5" t="str">
        <f t="shared" si="547"/>
        <v>C:\Users\jaime.benazar\Quorum Business Solutions\Ecopetrol Prometeo - Documents\Planning Space Implementation\3. Analysis &amp; Design\Design\FC22\DRR Jaime\Neiva CPI\[VAO_DINA TERCIARIOS_CF_SEC_20230117.xlsx]CF PSNP'!</v>
      </c>
      <c r="G2414" s="6" t="s">
        <v>105</v>
      </c>
      <c r="H2414" s="1"/>
      <c r="I2414" s="1"/>
      <c r="J2414" s="1"/>
    </row>
    <row r="2415" spans="1:10" x14ac:dyDescent="0.3">
      <c r="A2415" s="6" t="s">
        <v>22</v>
      </c>
      <c r="B2415" s="6">
        <v>2042</v>
      </c>
      <c r="C2415" s="1" t="s">
        <v>49</v>
      </c>
      <c r="D2415" s="2" t="s">
        <v>131</v>
      </c>
      <c r="E2415" s="9" t="s">
        <v>107</v>
      </c>
      <c r="F2415" s="5" t="str">
        <f t="shared" si="547"/>
        <v>C:\Users\jaime.benazar\Quorum Business Solutions\Ecopetrol Prometeo - Documents\Planning Space Implementation\3. Analysis &amp; Design\Design\FC22\DRR Jaime\Neiva CPI\[VAO_DINA TERCIARIOS_CF_SEC_20230117.xlsx]CF PSNP'!</v>
      </c>
      <c r="G2415" s="6" t="s">
        <v>105</v>
      </c>
      <c r="H2415" s="1"/>
      <c r="I2415" s="1"/>
      <c r="J2415" s="1"/>
    </row>
    <row r="2416" spans="1:10" x14ac:dyDescent="0.3">
      <c r="A2416" s="6" t="s">
        <v>22</v>
      </c>
      <c r="B2416" s="6">
        <v>2043</v>
      </c>
      <c r="C2416" s="1" t="s">
        <v>49</v>
      </c>
      <c r="D2416" s="2" t="s">
        <v>131</v>
      </c>
      <c r="E2416" s="9" t="s">
        <v>107</v>
      </c>
      <c r="F2416" s="5" t="str">
        <f t="shared" si="547"/>
        <v>C:\Users\jaime.benazar\Quorum Business Solutions\Ecopetrol Prometeo - Documents\Planning Space Implementation\3. Analysis &amp; Design\Design\FC22\DRR Jaime\Neiva CPI\[VAO_DINA TERCIARIOS_CF_SEC_20230117.xlsx]CF PSNP'!</v>
      </c>
      <c r="G2416" s="6" t="s">
        <v>105</v>
      </c>
      <c r="H2416" s="1"/>
      <c r="I2416" s="1"/>
      <c r="J2416" s="1"/>
    </row>
    <row r="2417" spans="1:10" x14ac:dyDescent="0.3">
      <c r="A2417" s="6" t="s">
        <v>22</v>
      </c>
      <c r="B2417" s="6">
        <v>2044</v>
      </c>
      <c r="C2417" s="1" t="s">
        <v>49</v>
      </c>
      <c r="D2417" s="2" t="s">
        <v>131</v>
      </c>
      <c r="E2417" s="9" t="s">
        <v>107</v>
      </c>
      <c r="F2417" s="5" t="str">
        <f t="shared" ref="F2417:F2432" si="548">_xlfn.CONCAT(D2417," ",E2417)</f>
        <v>C:\Users\jaime.benazar\Quorum Business Solutions\Ecopetrol Prometeo - Documents\Planning Space Implementation\3. Analysis &amp; Design\Design\FC22\DRR Jaime\Neiva CPI\[VAO_DINA TERCIARIOS_CF_SEC_20230117.xlsx]CF PSNP'!</v>
      </c>
      <c r="G2417" s="6" t="s">
        <v>105</v>
      </c>
      <c r="H2417" s="1"/>
      <c r="I2417" s="1"/>
      <c r="J2417" s="1"/>
    </row>
    <row r="2418" spans="1:10" x14ac:dyDescent="0.3">
      <c r="A2418" s="6" t="s">
        <v>22</v>
      </c>
      <c r="B2418" s="6">
        <v>2045</v>
      </c>
      <c r="C2418" s="1" t="s">
        <v>49</v>
      </c>
      <c r="D2418" s="2" t="s">
        <v>131</v>
      </c>
      <c r="E2418" s="9" t="s">
        <v>107</v>
      </c>
      <c r="F2418" s="5" t="str">
        <f t="shared" si="548"/>
        <v>C:\Users\jaime.benazar\Quorum Business Solutions\Ecopetrol Prometeo - Documents\Planning Space Implementation\3. Analysis &amp; Design\Design\FC22\DRR Jaime\Neiva CPI\[VAO_DINA TERCIARIOS_CF_SEC_20230117.xlsx]CF PSNP'!</v>
      </c>
      <c r="G2418" s="6" t="s">
        <v>105</v>
      </c>
      <c r="H2418" s="1"/>
      <c r="I2418" s="1"/>
      <c r="J2418" s="1"/>
    </row>
    <row r="2419" spans="1:10" x14ac:dyDescent="0.3">
      <c r="A2419" s="6" t="s">
        <v>22</v>
      </c>
      <c r="B2419" s="6">
        <v>2046</v>
      </c>
      <c r="C2419" s="1" t="s">
        <v>49</v>
      </c>
      <c r="D2419" s="2" t="s">
        <v>131</v>
      </c>
      <c r="E2419" s="9" t="s">
        <v>107</v>
      </c>
      <c r="F2419" s="5" t="str">
        <f t="shared" si="548"/>
        <v>C:\Users\jaime.benazar\Quorum Business Solutions\Ecopetrol Prometeo - Documents\Planning Space Implementation\3. Analysis &amp; Design\Design\FC22\DRR Jaime\Neiva CPI\[VAO_DINA TERCIARIOS_CF_SEC_20230117.xlsx]CF PSNP'!</v>
      </c>
      <c r="G2419" s="6" t="s">
        <v>105</v>
      </c>
      <c r="H2419" s="1"/>
      <c r="I2419" s="1"/>
      <c r="J2419" s="1"/>
    </row>
    <row r="2420" spans="1:10" x14ac:dyDescent="0.3">
      <c r="A2420" s="6" t="s">
        <v>22</v>
      </c>
      <c r="B2420" s="6">
        <v>2047</v>
      </c>
      <c r="C2420" s="1" t="s">
        <v>49</v>
      </c>
      <c r="D2420" s="2" t="s">
        <v>131</v>
      </c>
      <c r="E2420" s="9" t="s">
        <v>107</v>
      </c>
      <c r="F2420" s="5" t="str">
        <f t="shared" si="548"/>
        <v>C:\Users\jaime.benazar\Quorum Business Solutions\Ecopetrol Prometeo - Documents\Planning Space Implementation\3. Analysis &amp; Design\Design\FC22\DRR Jaime\Neiva CPI\[VAO_DINA TERCIARIOS_CF_SEC_20230117.xlsx]CF PSNP'!</v>
      </c>
      <c r="G2420" s="6" t="s">
        <v>105</v>
      </c>
      <c r="H2420" s="1"/>
      <c r="I2420" s="1"/>
      <c r="J2420" s="1"/>
    </row>
    <row r="2421" spans="1:10" x14ac:dyDescent="0.3">
      <c r="A2421" s="6" t="s">
        <v>22</v>
      </c>
      <c r="B2421" s="6">
        <v>2048</v>
      </c>
      <c r="C2421" s="1" t="s">
        <v>49</v>
      </c>
      <c r="D2421" s="2" t="s">
        <v>131</v>
      </c>
      <c r="E2421" s="9" t="s">
        <v>107</v>
      </c>
      <c r="F2421" s="5" t="str">
        <f t="shared" si="548"/>
        <v>C:\Users\jaime.benazar\Quorum Business Solutions\Ecopetrol Prometeo - Documents\Planning Space Implementation\3. Analysis &amp; Design\Design\FC22\DRR Jaime\Neiva CPI\[VAO_DINA TERCIARIOS_CF_SEC_20230117.xlsx]CF PSNP'!</v>
      </c>
      <c r="G2421" s="6" t="s">
        <v>105</v>
      </c>
      <c r="H2421" s="1"/>
      <c r="I2421" s="1"/>
      <c r="J2421" s="1"/>
    </row>
    <row r="2422" spans="1:10" x14ac:dyDescent="0.3">
      <c r="A2422" s="6" t="s">
        <v>22</v>
      </c>
      <c r="B2422" s="6">
        <v>2049</v>
      </c>
      <c r="C2422" s="1" t="s">
        <v>49</v>
      </c>
      <c r="D2422" s="2" t="s">
        <v>131</v>
      </c>
      <c r="E2422" s="9" t="s">
        <v>107</v>
      </c>
      <c r="F2422" s="5" t="str">
        <f t="shared" si="548"/>
        <v>C:\Users\jaime.benazar\Quorum Business Solutions\Ecopetrol Prometeo - Documents\Planning Space Implementation\3. Analysis &amp; Design\Design\FC22\DRR Jaime\Neiva CPI\[VAO_DINA TERCIARIOS_CF_SEC_20230117.xlsx]CF PSNP'!</v>
      </c>
      <c r="G2422" s="6" t="s">
        <v>105</v>
      </c>
      <c r="H2422" s="1"/>
      <c r="I2422" s="1"/>
      <c r="J2422" s="1"/>
    </row>
    <row r="2423" spans="1:10" x14ac:dyDescent="0.3">
      <c r="A2423" s="6" t="s">
        <v>22</v>
      </c>
      <c r="B2423" s="6">
        <v>2050</v>
      </c>
      <c r="C2423" s="1" t="s">
        <v>49</v>
      </c>
      <c r="D2423" s="2" t="s">
        <v>131</v>
      </c>
      <c r="E2423" s="9" t="s">
        <v>107</v>
      </c>
      <c r="F2423" s="5" t="str">
        <f t="shared" si="548"/>
        <v>C:\Users\jaime.benazar\Quorum Business Solutions\Ecopetrol Prometeo - Documents\Planning Space Implementation\3. Analysis &amp; Design\Design\FC22\DRR Jaime\Neiva CPI\[VAO_DINA TERCIARIOS_CF_SEC_20230117.xlsx]CF PSNP'!</v>
      </c>
      <c r="G2423" s="6" t="s">
        <v>105</v>
      </c>
      <c r="H2423" s="1"/>
      <c r="I2423" s="1"/>
      <c r="J2423" s="1"/>
    </row>
    <row r="2424" spans="1:10" x14ac:dyDescent="0.3">
      <c r="A2424" s="6" t="s">
        <v>22</v>
      </c>
      <c r="B2424" s="6">
        <v>2051</v>
      </c>
      <c r="C2424" s="1" t="s">
        <v>49</v>
      </c>
      <c r="D2424" s="2" t="s">
        <v>131</v>
      </c>
      <c r="E2424" s="9" t="s">
        <v>107</v>
      </c>
      <c r="F2424" s="5" t="str">
        <f t="shared" si="548"/>
        <v>C:\Users\jaime.benazar\Quorum Business Solutions\Ecopetrol Prometeo - Documents\Planning Space Implementation\3. Analysis &amp; Design\Design\FC22\DRR Jaime\Neiva CPI\[VAO_DINA TERCIARIOS_CF_SEC_20230117.xlsx]CF PSNP'!</v>
      </c>
      <c r="G2424" s="6" t="s">
        <v>105</v>
      </c>
      <c r="H2424" s="1"/>
      <c r="I2424" s="1"/>
      <c r="J2424" s="1"/>
    </row>
    <row r="2425" spans="1:10" x14ac:dyDescent="0.3">
      <c r="A2425" s="6" t="s">
        <v>22</v>
      </c>
      <c r="B2425" s="6">
        <v>2052</v>
      </c>
      <c r="C2425" s="1" t="s">
        <v>49</v>
      </c>
      <c r="D2425" s="2" t="s">
        <v>131</v>
      </c>
      <c r="E2425" s="9" t="s">
        <v>107</v>
      </c>
      <c r="F2425" s="5" t="str">
        <f t="shared" si="548"/>
        <v>C:\Users\jaime.benazar\Quorum Business Solutions\Ecopetrol Prometeo - Documents\Planning Space Implementation\3. Analysis &amp; Design\Design\FC22\DRR Jaime\Neiva CPI\[VAO_DINA TERCIARIOS_CF_SEC_20230117.xlsx]CF PSNP'!</v>
      </c>
      <c r="G2425" s="6" t="s">
        <v>105</v>
      </c>
      <c r="H2425" s="1"/>
      <c r="I2425" s="1"/>
      <c r="J2425" s="1"/>
    </row>
    <row r="2426" spans="1:10" x14ac:dyDescent="0.3">
      <c r="A2426" s="6" t="s">
        <v>22</v>
      </c>
      <c r="B2426" s="6">
        <v>2053</v>
      </c>
      <c r="C2426" s="1" t="s">
        <v>49</v>
      </c>
      <c r="D2426" s="2" t="s">
        <v>131</v>
      </c>
      <c r="E2426" s="9" t="s">
        <v>107</v>
      </c>
      <c r="F2426" s="5" t="str">
        <f t="shared" si="548"/>
        <v>C:\Users\jaime.benazar\Quorum Business Solutions\Ecopetrol Prometeo - Documents\Planning Space Implementation\3. Analysis &amp; Design\Design\FC22\DRR Jaime\Neiva CPI\[VAO_DINA TERCIARIOS_CF_SEC_20230117.xlsx]CF PSNP'!</v>
      </c>
      <c r="G2426" s="6" t="s">
        <v>105</v>
      </c>
      <c r="H2426" s="1"/>
      <c r="I2426" s="1"/>
      <c r="J2426" s="1"/>
    </row>
    <row r="2427" spans="1:10" x14ac:dyDescent="0.3">
      <c r="A2427" s="6" t="s">
        <v>22</v>
      </c>
      <c r="B2427" s="6">
        <v>2054</v>
      </c>
      <c r="C2427" s="1" t="s">
        <v>49</v>
      </c>
      <c r="D2427" s="2" t="s">
        <v>131</v>
      </c>
      <c r="E2427" s="9" t="s">
        <v>107</v>
      </c>
      <c r="F2427" s="5" t="str">
        <f t="shared" si="548"/>
        <v>C:\Users\jaime.benazar\Quorum Business Solutions\Ecopetrol Prometeo - Documents\Planning Space Implementation\3. Analysis &amp; Design\Design\FC22\DRR Jaime\Neiva CPI\[VAO_DINA TERCIARIOS_CF_SEC_20230117.xlsx]CF PSNP'!</v>
      </c>
      <c r="G2427" s="6" t="s">
        <v>105</v>
      </c>
      <c r="H2427" s="1"/>
      <c r="I2427" s="1"/>
      <c r="J2427" s="1"/>
    </row>
    <row r="2428" spans="1:10" x14ac:dyDescent="0.3">
      <c r="A2428" s="6" t="s">
        <v>22</v>
      </c>
      <c r="B2428" s="6">
        <v>2055</v>
      </c>
      <c r="C2428" s="1" t="s">
        <v>49</v>
      </c>
      <c r="D2428" s="2" t="s">
        <v>131</v>
      </c>
      <c r="E2428" s="9" t="s">
        <v>107</v>
      </c>
      <c r="F2428" s="5" t="str">
        <f t="shared" si="548"/>
        <v>C:\Users\jaime.benazar\Quorum Business Solutions\Ecopetrol Prometeo - Documents\Planning Space Implementation\3. Analysis &amp; Design\Design\FC22\DRR Jaime\Neiva CPI\[VAO_DINA TERCIARIOS_CF_SEC_20230117.xlsx]CF PSNP'!</v>
      </c>
      <c r="G2428" s="6" t="s">
        <v>105</v>
      </c>
      <c r="H2428" s="1"/>
      <c r="I2428" s="1"/>
      <c r="J2428" s="1"/>
    </row>
    <row r="2429" spans="1:10" x14ac:dyDescent="0.3">
      <c r="A2429" s="6" t="s">
        <v>22</v>
      </c>
      <c r="B2429" s="6">
        <v>2056</v>
      </c>
      <c r="C2429" s="1" t="s">
        <v>49</v>
      </c>
      <c r="D2429" s="2" t="s">
        <v>131</v>
      </c>
      <c r="E2429" s="9" t="s">
        <v>107</v>
      </c>
      <c r="F2429" s="5" t="str">
        <f t="shared" si="548"/>
        <v>C:\Users\jaime.benazar\Quorum Business Solutions\Ecopetrol Prometeo - Documents\Planning Space Implementation\3. Analysis &amp; Design\Design\FC22\DRR Jaime\Neiva CPI\[VAO_DINA TERCIARIOS_CF_SEC_20230117.xlsx]CF PSNP'!</v>
      </c>
      <c r="G2429" s="6" t="s">
        <v>105</v>
      </c>
      <c r="H2429" s="1"/>
      <c r="I2429" s="1"/>
      <c r="J2429" s="1"/>
    </row>
    <row r="2430" spans="1:10" x14ac:dyDescent="0.3">
      <c r="A2430" s="6" t="s">
        <v>22</v>
      </c>
      <c r="B2430" s="6">
        <v>2057</v>
      </c>
      <c r="C2430" s="1" t="s">
        <v>49</v>
      </c>
      <c r="D2430" s="2" t="s">
        <v>131</v>
      </c>
      <c r="E2430" s="9" t="s">
        <v>107</v>
      </c>
      <c r="F2430" s="5" t="str">
        <f t="shared" si="548"/>
        <v>C:\Users\jaime.benazar\Quorum Business Solutions\Ecopetrol Prometeo - Documents\Planning Space Implementation\3. Analysis &amp; Design\Design\FC22\DRR Jaime\Neiva CPI\[VAO_DINA TERCIARIOS_CF_SEC_20230117.xlsx]CF PSNP'!</v>
      </c>
      <c r="G2430" s="6" t="s">
        <v>105</v>
      </c>
      <c r="H2430" s="1"/>
      <c r="I2430" s="1"/>
      <c r="J2430" s="1"/>
    </row>
    <row r="2431" spans="1:10" x14ac:dyDescent="0.3">
      <c r="A2431" s="6" t="s">
        <v>22</v>
      </c>
      <c r="B2431" s="6">
        <v>2058</v>
      </c>
      <c r="C2431" s="1" t="s">
        <v>49</v>
      </c>
      <c r="D2431" s="2" t="s">
        <v>131</v>
      </c>
      <c r="E2431" s="9" t="s">
        <v>107</v>
      </c>
      <c r="F2431" s="5" t="str">
        <f t="shared" si="548"/>
        <v>C:\Users\jaime.benazar\Quorum Business Solutions\Ecopetrol Prometeo - Documents\Planning Space Implementation\3. Analysis &amp; Design\Design\FC22\DRR Jaime\Neiva CPI\[VAO_DINA TERCIARIOS_CF_SEC_20230117.xlsx]CF PSNP'!</v>
      </c>
      <c r="G2431" s="6" t="s">
        <v>105</v>
      </c>
      <c r="H2431" s="1"/>
      <c r="I2431" s="1"/>
      <c r="J2431" s="1"/>
    </row>
    <row r="2432" spans="1:10" x14ac:dyDescent="0.3">
      <c r="A2432" s="6" t="s">
        <v>22</v>
      </c>
      <c r="B2432" s="6">
        <v>2059</v>
      </c>
      <c r="C2432" s="1" t="s">
        <v>49</v>
      </c>
      <c r="D2432" s="2" t="s">
        <v>131</v>
      </c>
      <c r="E2432" s="9" t="s">
        <v>107</v>
      </c>
      <c r="F2432" s="5" t="str">
        <f t="shared" si="548"/>
        <v>C:\Users\jaime.benazar\Quorum Business Solutions\Ecopetrol Prometeo - Documents\Planning Space Implementation\3. Analysis &amp; Design\Design\FC22\DRR Jaime\Neiva CPI\[VAO_DINA TERCIARIOS_CF_SEC_20230117.xlsx]CF PSNP'!</v>
      </c>
      <c r="G2432" s="6" t="s">
        <v>105</v>
      </c>
      <c r="H2432" s="1"/>
      <c r="I2432" s="1"/>
      <c r="J2432" s="1"/>
    </row>
    <row r="2433" spans="1:10" x14ac:dyDescent="0.3">
      <c r="A2433" s="6" t="s">
        <v>26</v>
      </c>
      <c r="B2433" s="6"/>
      <c r="C2433" s="1" t="s">
        <v>49</v>
      </c>
      <c r="D2433" s="2"/>
      <c r="E2433" s="9"/>
      <c r="F2433" s="2"/>
      <c r="G2433" s="6"/>
      <c r="H2433" s="1"/>
      <c r="I2433" s="1"/>
      <c r="J2433" s="1"/>
    </row>
    <row r="2434" spans="1:10" x14ac:dyDescent="0.3">
      <c r="A2434" s="6" t="s">
        <v>23</v>
      </c>
      <c r="B2434" s="6">
        <v>2023</v>
      </c>
      <c r="C2434" s="1" t="s">
        <v>49</v>
      </c>
      <c r="D2434" s="2" t="s">
        <v>131</v>
      </c>
      <c r="E2434" s="9" t="s">
        <v>108</v>
      </c>
      <c r="F2434" s="5" t="str">
        <f t="shared" si="547"/>
        <v>C:\Users\jaime.benazar\Quorum Business Solutions\Ecopetrol Prometeo - Documents\Planning Space Implementation\3. Analysis &amp; Design\Design\FC22\DRR Jaime\Neiva CPI\[VAO_DINA TERCIARIOS_CF_SEC_20230117.xlsx]CF PSND'!</v>
      </c>
      <c r="G2434" s="6" t="s">
        <v>105</v>
      </c>
      <c r="H2434" s="1"/>
      <c r="I2434" s="1"/>
      <c r="J2434" s="1"/>
    </row>
    <row r="2435" spans="1:10" x14ac:dyDescent="0.3">
      <c r="A2435" s="6" t="s">
        <v>23</v>
      </c>
      <c r="B2435" s="6">
        <v>2024</v>
      </c>
      <c r="C2435" s="1" t="s">
        <v>49</v>
      </c>
      <c r="D2435" s="2" t="s">
        <v>131</v>
      </c>
      <c r="E2435" s="9" t="s">
        <v>108</v>
      </c>
      <c r="F2435" s="5" t="str">
        <f t="shared" si="547"/>
        <v>C:\Users\jaime.benazar\Quorum Business Solutions\Ecopetrol Prometeo - Documents\Planning Space Implementation\3. Analysis &amp; Design\Design\FC22\DRR Jaime\Neiva CPI\[VAO_DINA TERCIARIOS_CF_SEC_20230117.xlsx]CF PSND'!</v>
      </c>
      <c r="G2435" s="6" t="s">
        <v>105</v>
      </c>
      <c r="H2435" s="1"/>
      <c r="I2435" s="1"/>
      <c r="J2435" s="1"/>
    </row>
    <row r="2436" spans="1:10" x14ac:dyDescent="0.3">
      <c r="A2436" s="6" t="s">
        <v>23</v>
      </c>
      <c r="B2436" s="6">
        <v>2025</v>
      </c>
      <c r="C2436" s="1" t="s">
        <v>49</v>
      </c>
      <c r="D2436" s="2" t="s">
        <v>131</v>
      </c>
      <c r="E2436" s="9" t="s">
        <v>108</v>
      </c>
      <c r="F2436" s="5" t="str">
        <f t="shared" si="547"/>
        <v>C:\Users\jaime.benazar\Quorum Business Solutions\Ecopetrol Prometeo - Documents\Planning Space Implementation\3. Analysis &amp; Design\Design\FC22\DRR Jaime\Neiva CPI\[VAO_DINA TERCIARIOS_CF_SEC_20230117.xlsx]CF PSND'!</v>
      </c>
      <c r="G2436" s="6" t="s">
        <v>105</v>
      </c>
      <c r="H2436" s="1"/>
      <c r="I2436" s="1"/>
      <c r="J2436" s="1"/>
    </row>
    <row r="2437" spans="1:10" x14ac:dyDescent="0.3">
      <c r="A2437" s="6" t="s">
        <v>23</v>
      </c>
      <c r="B2437" s="6">
        <v>2026</v>
      </c>
      <c r="C2437" s="1" t="s">
        <v>49</v>
      </c>
      <c r="D2437" s="2" t="s">
        <v>131</v>
      </c>
      <c r="E2437" s="9" t="s">
        <v>108</v>
      </c>
      <c r="F2437" s="5" t="str">
        <f t="shared" si="547"/>
        <v>C:\Users\jaime.benazar\Quorum Business Solutions\Ecopetrol Prometeo - Documents\Planning Space Implementation\3. Analysis &amp; Design\Design\FC22\DRR Jaime\Neiva CPI\[VAO_DINA TERCIARIOS_CF_SEC_20230117.xlsx]CF PSND'!</v>
      </c>
      <c r="G2437" s="6" t="s">
        <v>105</v>
      </c>
      <c r="H2437" s="1"/>
      <c r="I2437" s="1"/>
      <c r="J2437" s="1"/>
    </row>
    <row r="2438" spans="1:10" x14ac:dyDescent="0.3">
      <c r="A2438" s="6" t="s">
        <v>23</v>
      </c>
      <c r="B2438" s="6">
        <v>2027</v>
      </c>
      <c r="C2438" s="1" t="s">
        <v>49</v>
      </c>
      <c r="D2438" s="2" t="s">
        <v>131</v>
      </c>
      <c r="E2438" s="9" t="s">
        <v>108</v>
      </c>
      <c r="F2438" s="5" t="str">
        <f t="shared" si="547"/>
        <v>C:\Users\jaime.benazar\Quorum Business Solutions\Ecopetrol Prometeo - Documents\Planning Space Implementation\3. Analysis &amp; Design\Design\FC22\DRR Jaime\Neiva CPI\[VAO_DINA TERCIARIOS_CF_SEC_20230117.xlsx]CF PSND'!</v>
      </c>
      <c r="G2438" s="6" t="s">
        <v>105</v>
      </c>
      <c r="H2438" s="1"/>
      <c r="I2438" s="1"/>
      <c r="J2438" s="1"/>
    </row>
    <row r="2439" spans="1:10" x14ac:dyDescent="0.3">
      <c r="A2439" s="6" t="s">
        <v>23</v>
      </c>
      <c r="B2439" s="6">
        <v>2028</v>
      </c>
      <c r="C2439" s="1" t="s">
        <v>49</v>
      </c>
      <c r="D2439" s="2" t="s">
        <v>131</v>
      </c>
      <c r="E2439" s="9" t="s">
        <v>108</v>
      </c>
      <c r="F2439" s="5" t="str">
        <f t="shared" si="547"/>
        <v>C:\Users\jaime.benazar\Quorum Business Solutions\Ecopetrol Prometeo - Documents\Planning Space Implementation\3. Analysis &amp; Design\Design\FC22\DRR Jaime\Neiva CPI\[VAO_DINA TERCIARIOS_CF_SEC_20230117.xlsx]CF PSND'!</v>
      </c>
      <c r="G2439" s="6" t="s">
        <v>105</v>
      </c>
      <c r="H2439" s="1"/>
      <c r="I2439" s="1"/>
      <c r="J2439" s="1"/>
    </row>
    <row r="2440" spans="1:10" x14ac:dyDescent="0.3">
      <c r="A2440" s="6" t="s">
        <v>23</v>
      </c>
      <c r="B2440" s="6">
        <v>2029</v>
      </c>
      <c r="C2440" s="1" t="s">
        <v>49</v>
      </c>
      <c r="D2440" s="2" t="s">
        <v>131</v>
      </c>
      <c r="E2440" s="9" t="s">
        <v>108</v>
      </c>
      <c r="F2440" s="5" t="str">
        <f t="shared" si="547"/>
        <v>C:\Users\jaime.benazar\Quorum Business Solutions\Ecopetrol Prometeo - Documents\Planning Space Implementation\3. Analysis &amp; Design\Design\FC22\DRR Jaime\Neiva CPI\[VAO_DINA TERCIARIOS_CF_SEC_20230117.xlsx]CF PSND'!</v>
      </c>
      <c r="G2440" s="6" t="s">
        <v>105</v>
      </c>
      <c r="H2440" s="1"/>
      <c r="I2440" s="1"/>
      <c r="J2440" s="1"/>
    </row>
    <row r="2441" spans="1:10" x14ac:dyDescent="0.3">
      <c r="A2441" s="6" t="s">
        <v>23</v>
      </c>
      <c r="B2441" s="6">
        <v>2030</v>
      </c>
      <c r="C2441" s="1" t="s">
        <v>49</v>
      </c>
      <c r="D2441" s="2" t="s">
        <v>131</v>
      </c>
      <c r="E2441" s="9" t="s">
        <v>108</v>
      </c>
      <c r="F2441" s="5" t="str">
        <f t="shared" si="547"/>
        <v>C:\Users\jaime.benazar\Quorum Business Solutions\Ecopetrol Prometeo - Documents\Planning Space Implementation\3. Analysis &amp; Design\Design\FC22\DRR Jaime\Neiva CPI\[VAO_DINA TERCIARIOS_CF_SEC_20230117.xlsx]CF PSND'!</v>
      </c>
      <c r="G2441" s="6" t="s">
        <v>105</v>
      </c>
      <c r="H2441" s="1"/>
      <c r="I2441" s="1"/>
      <c r="J2441" s="1"/>
    </row>
    <row r="2442" spans="1:10" x14ac:dyDescent="0.3">
      <c r="A2442" s="6" t="s">
        <v>23</v>
      </c>
      <c r="B2442" s="6">
        <v>2031</v>
      </c>
      <c r="C2442" s="1" t="s">
        <v>49</v>
      </c>
      <c r="D2442" s="2" t="s">
        <v>131</v>
      </c>
      <c r="E2442" s="9" t="s">
        <v>108</v>
      </c>
      <c r="F2442" s="5" t="str">
        <f t="shared" si="547"/>
        <v>C:\Users\jaime.benazar\Quorum Business Solutions\Ecopetrol Prometeo - Documents\Planning Space Implementation\3. Analysis &amp; Design\Design\FC22\DRR Jaime\Neiva CPI\[VAO_DINA TERCIARIOS_CF_SEC_20230117.xlsx]CF PSND'!</v>
      </c>
      <c r="G2442" s="6" t="s">
        <v>105</v>
      </c>
      <c r="H2442" s="1"/>
      <c r="I2442" s="1"/>
      <c r="J2442" s="1"/>
    </row>
    <row r="2443" spans="1:10" x14ac:dyDescent="0.3">
      <c r="A2443" s="6" t="s">
        <v>23</v>
      </c>
      <c r="B2443" s="6">
        <v>2032</v>
      </c>
      <c r="C2443" s="1" t="s">
        <v>49</v>
      </c>
      <c r="D2443" s="2" t="s">
        <v>131</v>
      </c>
      <c r="E2443" s="9" t="s">
        <v>108</v>
      </c>
      <c r="F2443" s="5" t="str">
        <f t="shared" si="547"/>
        <v>C:\Users\jaime.benazar\Quorum Business Solutions\Ecopetrol Prometeo - Documents\Planning Space Implementation\3. Analysis &amp; Design\Design\FC22\DRR Jaime\Neiva CPI\[VAO_DINA TERCIARIOS_CF_SEC_20230117.xlsx]CF PSND'!</v>
      </c>
      <c r="G2443" s="6" t="s">
        <v>105</v>
      </c>
      <c r="H2443" s="1"/>
      <c r="I2443" s="1"/>
      <c r="J2443" s="1"/>
    </row>
    <row r="2444" spans="1:10" x14ac:dyDescent="0.3">
      <c r="A2444" s="6" t="s">
        <v>23</v>
      </c>
      <c r="B2444" s="6">
        <v>2033</v>
      </c>
      <c r="C2444" s="1" t="s">
        <v>49</v>
      </c>
      <c r="D2444" s="2" t="s">
        <v>131</v>
      </c>
      <c r="E2444" s="9" t="s">
        <v>108</v>
      </c>
      <c r="F2444" s="5" t="str">
        <f t="shared" si="547"/>
        <v>C:\Users\jaime.benazar\Quorum Business Solutions\Ecopetrol Prometeo - Documents\Planning Space Implementation\3. Analysis &amp; Design\Design\FC22\DRR Jaime\Neiva CPI\[VAO_DINA TERCIARIOS_CF_SEC_20230117.xlsx]CF PSND'!</v>
      </c>
      <c r="G2444" s="6" t="s">
        <v>105</v>
      </c>
      <c r="H2444" s="1"/>
      <c r="I2444" s="1"/>
      <c r="J2444" s="1"/>
    </row>
    <row r="2445" spans="1:10" x14ac:dyDescent="0.3">
      <c r="A2445" s="6" t="s">
        <v>23</v>
      </c>
      <c r="B2445" s="6">
        <v>2034</v>
      </c>
      <c r="C2445" s="1" t="s">
        <v>49</v>
      </c>
      <c r="D2445" s="2" t="s">
        <v>131</v>
      </c>
      <c r="E2445" s="9" t="s">
        <v>108</v>
      </c>
      <c r="F2445" s="5" t="str">
        <f t="shared" si="547"/>
        <v>C:\Users\jaime.benazar\Quorum Business Solutions\Ecopetrol Prometeo - Documents\Planning Space Implementation\3. Analysis &amp; Design\Design\FC22\DRR Jaime\Neiva CPI\[VAO_DINA TERCIARIOS_CF_SEC_20230117.xlsx]CF PSND'!</v>
      </c>
      <c r="G2445" s="6" t="s">
        <v>105</v>
      </c>
      <c r="H2445" s="1"/>
      <c r="I2445" s="1"/>
      <c r="J2445" s="1"/>
    </row>
    <row r="2446" spans="1:10" x14ac:dyDescent="0.3">
      <c r="A2446" s="6" t="s">
        <v>23</v>
      </c>
      <c r="B2446" s="6">
        <v>2035</v>
      </c>
      <c r="C2446" s="1" t="s">
        <v>49</v>
      </c>
      <c r="D2446" s="2" t="s">
        <v>131</v>
      </c>
      <c r="E2446" s="9" t="s">
        <v>108</v>
      </c>
      <c r="F2446" s="5" t="str">
        <f t="shared" si="547"/>
        <v>C:\Users\jaime.benazar\Quorum Business Solutions\Ecopetrol Prometeo - Documents\Planning Space Implementation\3. Analysis &amp; Design\Design\FC22\DRR Jaime\Neiva CPI\[VAO_DINA TERCIARIOS_CF_SEC_20230117.xlsx]CF PSND'!</v>
      </c>
      <c r="G2446" s="6" t="s">
        <v>105</v>
      </c>
      <c r="H2446" s="1"/>
      <c r="I2446" s="1"/>
      <c r="J2446" s="1"/>
    </row>
    <row r="2447" spans="1:10" x14ac:dyDescent="0.3">
      <c r="A2447" s="6" t="s">
        <v>23</v>
      </c>
      <c r="B2447" s="6">
        <v>2036</v>
      </c>
      <c r="C2447" s="1" t="s">
        <v>49</v>
      </c>
      <c r="D2447" s="2" t="s">
        <v>131</v>
      </c>
      <c r="E2447" s="9" t="s">
        <v>108</v>
      </c>
      <c r="F2447" s="5" t="str">
        <f t="shared" si="547"/>
        <v>C:\Users\jaime.benazar\Quorum Business Solutions\Ecopetrol Prometeo - Documents\Planning Space Implementation\3. Analysis &amp; Design\Design\FC22\DRR Jaime\Neiva CPI\[VAO_DINA TERCIARIOS_CF_SEC_20230117.xlsx]CF PSND'!</v>
      </c>
      <c r="G2447" s="6" t="s">
        <v>105</v>
      </c>
      <c r="H2447" s="1"/>
      <c r="I2447" s="1"/>
      <c r="J2447" s="1"/>
    </row>
    <row r="2448" spans="1:10" x14ac:dyDescent="0.3">
      <c r="A2448" s="6" t="s">
        <v>23</v>
      </c>
      <c r="B2448" s="6">
        <v>2037</v>
      </c>
      <c r="C2448" s="1" t="s">
        <v>49</v>
      </c>
      <c r="D2448" s="2" t="s">
        <v>131</v>
      </c>
      <c r="E2448" s="9" t="s">
        <v>108</v>
      </c>
      <c r="F2448" s="5" t="str">
        <f t="shared" si="547"/>
        <v>C:\Users\jaime.benazar\Quorum Business Solutions\Ecopetrol Prometeo - Documents\Planning Space Implementation\3. Analysis &amp; Design\Design\FC22\DRR Jaime\Neiva CPI\[VAO_DINA TERCIARIOS_CF_SEC_20230117.xlsx]CF PSND'!</v>
      </c>
      <c r="G2448" s="6" t="s">
        <v>105</v>
      </c>
      <c r="H2448" s="1"/>
      <c r="I2448" s="1"/>
      <c r="J2448" s="1"/>
    </row>
    <row r="2449" spans="1:10" x14ac:dyDescent="0.3">
      <c r="A2449" s="6" t="s">
        <v>23</v>
      </c>
      <c r="B2449" s="6">
        <v>2038</v>
      </c>
      <c r="C2449" s="1" t="s">
        <v>49</v>
      </c>
      <c r="D2449" s="2" t="s">
        <v>131</v>
      </c>
      <c r="E2449" s="9" t="s">
        <v>108</v>
      </c>
      <c r="F2449" s="5" t="str">
        <f t="shared" si="547"/>
        <v>C:\Users\jaime.benazar\Quorum Business Solutions\Ecopetrol Prometeo - Documents\Planning Space Implementation\3. Analysis &amp; Design\Design\FC22\DRR Jaime\Neiva CPI\[VAO_DINA TERCIARIOS_CF_SEC_20230117.xlsx]CF PSND'!</v>
      </c>
      <c r="G2449" s="6" t="s">
        <v>105</v>
      </c>
      <c r="H2449" s="1"/>
      <c r="I2449" s="1"/>
      <c r="J2449" s="1"/>
    </row>
    <row r="2450" spans="1:10" x14ac:dyDescent="0.3">
      <c r="A2450" s="6" t="s">
        <v>23</v>
      </c>
      <c r="B2450" s="6">
        <v>2039</v>
      </c>
      <c r="C2450" s="1" t="s">
        <v>49</v>
      </c>
      <c r="D2450" s="2" t="s">
        <v>131</v>
      </c>
      <c r="E2450" s="9" t="s">
        <v>108</v>
      </c>
      <c r="F2450" s="5" t="str">
        <f t="shared" si="547"/>
        <v>C:\Users\jaime.benazar\Quorum Business Solutions\Ecopetrol Prometeo - Documents\Planning Space Implementation\3. Analysis &amp; Design\Design\FC22\DRR Jaime\Neiva CPI\[VAO_DINA TERCIARIOS_CF_SEC_20230117.xlsx]CF PSND'!</v>
      </c>
      <c r="G2450" s="6" t="s">
        <v>105</v>
      </c>
      <c r="H2450" s="1"/>
      <c r="I2450" s="1"/>
      <c r="J2450" s="1"/>
    </row>
    <row r="2451" spans="1:10" x14ac:dyDescent="0.3">
      <c r="A2451" s="6" t="s">
        <v>23</v>
      </c>
      <c r="B2451" s="6">
        <v>2040</v>
      </c>
      <c r="C2451" s="1" t="s">
        <v>49</v>
      </c>
      <c r="D2451" s="2" t="s">
        <v>131</v>
      </c>
      <c r="E2451" s="9" t="s">
        <v>108</v>
      </c>
      <c r="F2451" s="5" t="str">
        <f t="shared" si="547"/>
        <v>C:\Users\jaime.benazar\Quorum Business Solutions\Ecopetrol Prometeo - Documents\Planning Space Implementation\3. Analysis &amp; Design\Design\FC22\DRR Jaime\Neiva CPI\[VAO_DINA TERCIARIOS_CF_SEC_20230117.xlsx]CF PSND'!</v>
      </c>
      <c r="G2451" s="6" t="s">
        <v>105</v>
      </c>
      <c r="H2451" s="1"/>
      <c r="I2451" s="1"/>
      <c r="J2451" s="1"/>
    </row>
    <row r="2452" spans="1:10" x14ac:dyDescent="0.3">
      <c r="A2452" s="6" t="s">
        <v>23</v>
      </c>
      <c r="B2452" s="6">
        <v>2041</v>
      </c>
      <c r="C2452" s="1" t="s">
        <v>49</v>
      </c>
      <c r="D2452" s="2" t="s">
        <v>131</v>
      </c>
      <c r="E2452" s="9" t="s">
        <v>108</v>
      </c>
      <c r="F2452" s="5" t="str">
        <f t="shared" si="547"/>
        <v>C:\Users\jaime.benazar\Quorum Business Solutions\Ecopetrol Prometeo - Documents\Planning Space Implementation\3. Analysis &amp; Design\Design\FC22\DRR Jaime\Neiva CPI\[VAO_DINA TERCIARIOS_CF_SEC_20230117.xlsx]CF PSND'!</v>
      </c>
      <c r="G2452" s="6" t="s">
        <v>105</v>
      </c>
      <c r="H2452" s="1"/>
      <c r="I2452" s="1"/>
      <c r="J2452" s="1"/>
    </row>
    <row r="2453" spans="1:10" x14ac:dyDescent="0.3">
      <c r="A2453" s="6" t="s">
        <v>23</v>
      </c>
      <c r="B2453" s="6">
        <v>2042</v>
      </c>
      <c r="C2453" s="1" t="s">
        <v>49</v>
      </c>
      <c r="D2453" s="2" t="s">
        <v>131</v>
      </c>
      <c r="E2453" s="9" t="s">
        <v>108</v>
      </c>
      <c r="F2453" s="5" t="str">
        <f t="shared" si="547"/>
        <v>C:\Users\jaime.benazar\Quorum Business Solutions\Ecopetrol Prometeo - Documents\Planning Space Implementation\3. Analysis &amp; Design\Design\FC22\DRR Jaime\Neiva CPI\[VAO_DINA TERCIARIOS_CF_SEC_20230117.xlsx]CF PSND'!</v>
      </c>
      <c r="G2453" s="6" t="s">
        <v>105</v>
      </c>
      <c r="H2453" s="1"/>
      <c r="I2453" s="1"/>
      <c r="J2453" s="1"/>
    </row>
    <row r="2454" spans="1:10" x14ac:dyDescent="0.3">
      <c r="A2454" s="6" t="s">
        <v>23</v>
      </c>
      <c r="B2454" s="6">
        <v>2043</v>
      </c>
      <c r="C2454" s="1" t="s">
        <v>49</v>
      </c>
      <c r="D2454" s="2" t="s">
        <v>131</v>
      </c>
      <c r="E2454" s="9" t="s">
        <v>108</v>
      </c>
      <c r="F2454" s="5" t="str">
        <f t="shared" si="547"/>
        <v>C:\Users\jaime.benazar\Quorum Business Solutions\Ecopetrol Prometeo - Documents\Planning Space Implementation\3. Analysis &amp; Design\Design\FC22\DRR Jaime\Neiva CPI\[VAO_DINA TERCIARIOS_CF_SEC_20230117.xlsx]CF PSND'!</v>
      </c>
      <c r="G2454" s="6" t="s">
        <v>105</v>
      </c>
      <c r="H2454" s="1"/>
      <c r="I2454" s="1"/>
      <c r="J2454" s="1"/>
    </row>
    <row r="2455" spans="1:10" x14ac:dyDescent="0.3">
      <c r="A2455" s="6" t="s">
        <v>23</v>
      </c>
      <c r="B2455" s="6">
        <v>2044</v>
      </c>
      <c r="C2455" s="1" t="s">
        <v>49</v>
      </c>
      <c r="D2455" s="2" t="s">
        <v>131</v>
      </c>
      <c r="E2455" s="9" t="s">
        <v>108</v>
      </c>
      <c r="F2455" s="5" t="str">
        <f t="shared" ref="F2455:F2470" si="549">_xlfn.CONCAT(D2455," ",E2455)</f>
        <v>C:\Users\jaime.benazar\Quorum Business Solutions\Ecopetrol Prometeo - Documents\Planning Space Implementation\3. Analysis &amp; Design\Design\FC22\DRR Jaime\Neiva CPI\[VAO_DINA TERCIARIOS_CF_SEC_20230117.xlsx]CF PSND'!</v>
      </c>
      <c r="G2455" s="6" t="s">
        <v>105</v>
      </c>
      <c r="H2455" s="1"/>
      <c r="I2455" s="1"/>
      <c r="J2455" s="1"/>
    </row>
    <row r="2456" spans="1:10" x14ac:dyDescent="0.3">
      <c r="A2456" s="6" t="s">
        <v>23</v>
      </c>
      <c r="B2456" s="6">
        <v>2045</v>
      </c>
      <c r="C2456" s="1" t="s">
        <v>49</v>
      </c>
      <c r="D2456" s="2" t="s">
        <v>131</v>
      </c>
      <c r="E2456" s="9" t="s">
        <v>108</v>
      </c>
      <c r="F2456" s="5" t="str">
        <f t="shared" si="549"/>
        <v>C:\Users\jaime.benazar\Quorum Business Solutions\Ecopetrol Prometeo - Documents\Planning Space Implementation\3. Analysis &amp; Design\Design\FC22\DRR Jaime\Neiva CPI\[VAO_DINA TERCIARIOS_CF_SEC_20230117.xlsx]CF PSND'!</v>
      </c>
      <c r="G2456" s="6" t="s">
        <v>105</v>
      </c>
      <c r="H2456" s="1"/>
      <c r="I2456" s="1"/>
      <c r="J2456" s="1"/>
    </row>
    <row r="2457" spans="1:10" x14ac:dyDescent="0.3">
      <c r="A2457" s="6" t="s">
        <v>23</v>
      </c>
      <c r="B2457" s="6">
        <v>2046</v>
      </c>
      <c r="C2457" s="1" t="s">
        <v>49</v>
      </c>
      <c r="D2457" s="2" t="s">
        <v>131</v>
      </c>
      <c r="E2457" s="9" t="s">
        <v>108</v>
      </c>
      <c r="F2457" s="5" t="str">
        <f t="shared" si="549"/>
        <v>C:\Users\jaime.benazar\Quorum Business Solutions\Ecopetrol Prometeo - Documents\Planning Space Implementation\3. Analysis &amp; Design\Design\FC22\DRR Jaime\Neiva CPI\[VAO_DINA TERCIARIOS_CF_SEC_20230117.xlsx]CF PSND'!</v>
      </c>
      <c r="G2457" s="6" t="s">
        <v>105</v>
      </c>
      <c r="H2457" s="1"/>
      <c r="I2457" s="1"/>
      <c r="J2457" s="1"/>
    </row>
    <row r="2458" spans="1:10" x14ac:dyDescent="0.3">
      <c r="A2458" s="6" t="s">
        <v>23</v>
      </c>
      <c r="B2458" s="6">
        <v>2047</v>
      </c>
      <c r="C2458" s="1" t="s">
        <v>49</v>
      </c>
      <c r="D2458" s="2" t="s">
        <v>131</v>
      </c>
      <c r="E2458" s="9" t="s">
        <v>108</v>
      </c>
      <c r="F2458" s="5" t="str">
        <f t="shared" si="549"/>
        <v>C:\Users\jaime.benazar\Quorum Business Solutions\Ecopetrol Prometeo - Documents\Planning Space Implementation\3. Analysis &amp; Design\Design\FC22\DRR Jaime\Neiva CPI\[VAO_DINA TERCIARIOS_CF_SEC_20230117.xlsx]CF PSND'!</v>
      </c>
      <c r="G2458" s="6" t="s">
        <v>105</v>
      </c>
      <c r="H2458" s="1"/>
      <c r="I2458" s="1"/>
      <c r="J2458" s="1"/>
    </row>
    <row r="2459" spans="1:10" x14ac:dyDescent="0.3">
      <c r="A2459" s="6" t="s">
        <v>23</v>
      </c>
      <c r="B2459" s="6">
        <v>2048</v>
      </c>
      <c r="C2459" s="1" t="s">
        <v>49</v>
      </c>
      <c r="D2459" s="2" t="s">
        <v>131</v>
      </c>
      <c r="E2459" s="9" t="s">
        <v>108</v>
      </c>
      <c r="F2459" s="5" t="str">
        <f t="shared" si="549"/>
        <v>C:\Users\jaime.benazar\Quorum Business Solutions\Ecopetrol Prometeo - Documents\Planning Space Implementation\3. Analysis &amp; Design\Design\FC22\DRR Jaime\Neiva CPI\[VAO_DINA TERCIARIOS_CF_SEC_20230117.xlsx]CF PSND'!</v>
      </c>
      <c r="G2459" s="6" t="s">
        <v>105</v>
      </c>
      <c r="H2459" s="1"/>
      <c r="I2459" s="1"/>
      <c r="J2459" s="1"/>
    </row>
    <row r="2460" spans="1:10" x14ac:dyDescent="0.3">
      <c r="A2460" s="6" t="s">
        <v>23</v>
      </c>
      <c r="B2460" s="6">
        <v>2049</v>
      </c>
      <c r="C2460" s="1" t="s">
        <v>49</v>
      </c>
      <c r="D2460" s="2" t="s">
        <v>131</v>
      </c>
      <c r="E2460" s="9" t="s">
        <v>108</v>
      </c>
      <c r="F2460" s="5" t="str">
        <f t="shared" si="549"/>
        <v>C:\Users\jaime.benazar\Quorum Business Solutions\Ecopetrol Prometeo - Documents\Planning Space Implementation\3. Analysis &amp; Design\Design\FC22\DRR Jaime\Neiva CPI\[VAO_DINA TERCIARIOS_CF_SEC_20230117.xlsx]CF PSND'!</v>
      </c>
      <c r="G2460" s="6" t="s">
        <v>105</v>
      </c>
      <c r="H2460" s="1"/>
      <c r="I2460" s="1"/>
      <c r="J2460" s="1"/>
    </row>
    <row r="2461" spans="1:10" x14ac:dyDescent="0.3">
      <c r="A2461" s="6" t="s">
        <v>23</v>
      </c>
      <c r="B2461" s="6">
        <v>2050</v>
      </c>
      <c r="C2461" s="1" t="s">
        <v>49</v>
      </c>
      <c r="D2461" s="2" t="s">
        <v>131</v>
      </c>
      <c r="E2461" s="9" t="s">
        <v>108</v>
      </c>
      <c r="F2461" s="5" t="str">
        <f t="shared" si="549"/>
        <v>C:\Users\jaime.benazar\Quorum Business Solutions\Ecopetrol Prometeo - Documents\Planning Space Implementation\3. Analysis &amp; Design\Design\FC22\DRR Jaime\Neiva CPI\[VAO_DINA TERCIARIOS_CF_SEC_20230117.xlsx]CF PSND'!</v>
      </c>
      <c r="G2461" s="6" t="s">
        <v>105</v>
      </c>
      <c r="H2461" s="1"/>
      <c r="I2461" s="1"/>
      <c r="J2461" s="1"/>
    </row>
    <row r="2462" spans="1:10" x14ac:dyDescent="0.3">
      <c r="A2462" s="6" t="s">
        <v>23</v>
      </c>
      <c r="B2462" s="6">
        <v>2051</v>
      </c>
      <c r="C2462" s="1" t="s">
        <v>49</v>
      </c>
      <c r="D2462" s="2" t="s">
        <v>131</v>
      </c>
      <c r="E2462" s="9" t="s">
        <v>108</v>
      </c>
      <c r="F2462" s="5" t="str">
        <f t="shared" si="549"/>
        <v>C:\Users\jaime.benazar\Quorum Business Solutions\Ecopetrol Prometeo - Documents\Planning Space Implementation\3. Analysis &amp; Design\Design\FC22\DRR Jaime\Neiva CPI\[VAO_DINA TERCIARIOS_CF_SEC_20230117.xlsx]CF PSND'!</v>
      </c>
      <c r="G2462" s="6" t="s">
        <v>105</v>
      </c>
      <c r="H2462" s="1"/>
      <c r="I2462" s="1"/>
      <c r="J2462" s="1"/>
    </row>
    <row r="2463" spans="1:10" x14ac:dyDescent="0.3">
      <c r="A2463" s="6" t="s">
        <v>23</v>
      </c>
      <c r="B2463" s="6">
        <v>2052</v>
      </c>
      <c r="C2463" s="1" t="s">
        <v>49</v>
      </c>
      <c r="D2463" s="2" t="s">
        <v>131</v>
      </c>
      <c r="E2463" s="9" t="s">
        <v>108</v>
      </c>
      <c r="F2463" s="5" t="str">
        <f t="shared" si="549"/>
        <v>C:\Users\jaime.benazar\Quorum Business Solutions\Ecopetrol Prometeo - Documents\Planning Space Implementation\3. Analysis &amp; Design\Design\FC22\DRR Jaime\Neiva CPI\[VAO_DINA TERCIARIOS_CF_SEC_20230117.xlsx]CF PSND'!</v>
      </c>
      <c r="G2463" s="6" t="s">
        <v>105</v>
      </c>
      <c r="H2463" s="1"/>
      <c r="I2463" s="1"/>
      <c r="J2463" s="1"/>
    </row>
    <row r="2464" spans="1:10" x14ac:dyDescent="0.3">
      <c r="A2464" s="6" t="s">
        <v>23</v>
      </c>
      <c r="B2464" s="6">
        <v>2053</v>
      </c>
      <c r="C2464" s="1" t="s">
        <v>49</v>
      </c>
      <c r="D2464" s="2" t="s">
        <v>131</v>
      </c>
      <c r="E2464" s="9" t="s">
        <v>108</v>
      </c>
      <c r="F2464" s="5" t="str">
        <f t="shared" si="549"/>
        <v>C:\Users\jaime.benazar\Quorum Business Solutions\Ecopetrol Prometeo - Documents\Planning Space Implementation\3. Analysis &amp; Design\Design\FC22\DRR Jaime\Neiva CPI\[VAO_DINA TERCIARIOS_CF_SEC_20230117.xlsx]CF PSND'!</v>
      </c>
      <c r="G2464" s="6" t="s">
        <v>105</v>
      </c>
      <c r="H2464" s="1"/>
      <c r="I2464" s="1"/>
      <c r="J2464" s="1"/>
    </row>
    <row r="2465" spans="1:10" x14ac:dyDescent="0.3">
      <c r="A2465" s="6" t="s">
        <v>23</v>
      </c>
      <c r="B2465" s="6">
        <v>2054</v>
      </c>
      <c r="C2465" s="1" t="s">
        <v>49</v>
      </c>
      <c r="D2465" s="2" t="s">
        <v>131</v>
      </c>
      <c r="E2465" s="9" t="s">
        <v>108</v>
      </c>
      <c r="F2465" s="5" t="str">
        <f t="shared" si="549"/>
        <v>C:\Users\jaime.benazar\Quorum Business Solutions\Ecopetrol Prometeo - Documents\Planning Space Implementation\3. Analysis &amp; Design\Design\FC22\DRR Jaime\Neiva CPI\[VAO_DINA TERCIARIOS_CF_SEC_20230117.xlsx]CF PSND'!</v>
      </c>
      <c r="G2465" s="6" t="s">
        <v>105</v>
      </c>
      <c r="H2465" s="1"/>
      <c r="I2465" s="1"/>
      <c r="J2465" s="1"/>
    </row>
    <row r="2466" spans="1:10" x14ac:dyDescent="0.3">
      <c r="A2466" s="6" t="s">
        <v>23</v>
      </c>
      <c r="B2466" s="6">
        <v>2055</v>
      </c>
      <c r="C2466" s="1" t="s">
        <v>49</v>
      </c>
      <c r="D2466" s="2" t="s">
        <v>131</v>
      </c>
      <c r="E2466" s="9" t="s">
        <v>108</v>
      </c>
      <c r="F2466" s="5" t="str">
        <f t="shared" si="549"/>
        <v>C:\Users\jaime.benazar\Quorum Business Solutions\Ecopetrol Prometeo - Documents\Planning Space Implementation\3. Analysis &amp; Design\Design\FC22\DRR Jaime\Neiva CPI\[VAO_DINA TERCIARIOS_CF_SEC_20230117.xlsx]CF PSND'!</v>
      </c>
      <c r="G2466" s="6" t="s">
        <v>105</v>
      </c>
      <c r="H2466" s="1"/>
      <c r="I2466" s="1"/>
      <c r="J2466" s="1"/>
    </row>
    <row r="2467" spans="1:10" x14ac:dyDescent="0.3">
      <c r="A2467" s="6" t="s">
        <v>23</v>
      </c>
      <c r="B2467" s="6">
        <v>2056</v>
      </c>
      <c r="C2467" s="1" t="s">
        <v>49</v>
      </c>
      <c r="D2467" s="2" t="s">
        <v>131</v>
      </c>
      <c r="E2467" s="9" t="s">
        <v>108</v>
      </c>
      <c r="F2467" s="5" t="str">
        <f t="shared" si="549"/>
        <v>C:\Users\jaime.benazar\Quorum Business Solutions\Ecopetrol Prometeo - Documents\Planning Space Implementation\3. Analysis &amp; Design\Design\FC22\DRR Jaime\Neiva CPI\[VAO_DINA TERCIARIOS_CF_SEC_20230117.xlsx]CF PSND'!</v>
      </c>
      <c r="G2467" s="6" t="s">
        <v>105</v>
      </c>
      <c r="H2467" s="1"/>
      <c r="I2467" s="1"/>
      <c r="J2467" s="1"/>
    </row>
    <row r="2468" spans="1:10" x14ac:dyDescent="0.3">
      <c r="A2468" s="6" t="s">
        <v>23</v>
      </c>
      <c r="B2468" s="6">
        <v>2057</v>
      </c>
      <c r="C2468" s="1" t="s">
        <v>49</v>
      </c>
      <c r="D2468" s="2" t="s">
        <v>131</v>
      </c>
      <c r="E2468" s="9" t="s">
        <v>108</v>
      </c>
      <c r="F2468" s="5" t="str">
        <f t="shared" si="549"/>
        <v>C:\Users\jaime.benazar\Quorum Business Solutions\Ecopetrol Prometeo - Documents\Planning Space Implementation\3. Analysis &amp; Design\Design\FC22\DRR Jaime\Neiva CPI\[VAO_DINA TERCIARIOS_CF_SEC_20230117.xlsx]CF PSND'!</v>
      </c>
      <c r="G2468" s="6" t="s">
        <v>105</v>
      </c>
      <c r="H2468" s="1"/>
      <c r="I2468" s="1"/>
      <c r="J2468" s="1"/>
    </row>
    <row r="2469" spans="1:10" x14ac:dyDescent="0.3">
      <c r="A2469" s="6" t="s">
        <v>23</v>
      </c>
      <c r="B2469" s="6">
        <v>2058</v>
      </c>
      <c r="C2469" s="1" t="s">
        <v>49</v>
      </c>
      <c r="D2469" s="2" t="s">
        <v>131</v>
      </c>
      <c r="E2469" s="9" t="s">
        <v>108</v>
      </c>
      <c r="F2469" s="5" t="str">
        <f t="shared" si="549"/>
        <v>C:\Users\jaime.benazar\Quorum Business Solutions\Ecopetrol Prometeo - Documents\Planning Space Implementation\3. Analysis &amp; Design\Design\FC22\DRR Jaime\Neiva CPI\[VAO_DINA TERCIARIOS_CF_SEC_20230117.xlsx]CF PSND'!</v>
      </c>
      <c r="G2469" s="6" t="s">
        <v>105</v>
      </c>
      <c r="H2469" s="1"/>
      <c r="I2469" s="1"/>
      <c r="J2469" s="1"/>
    </row>
    <row r="2470" spans="1:10" x14ac:dyDescent="0.3">
      <c r="A2470" s="6" t="s">
        <v>23</v>
      </c>
      <c r="B2470" s="6">
        <v>2059</v>
      </c>
      <c r="C2470" s="1" t="s">
        <v>49</v>
      </c>
      <c r="D2470" s="2" t="s">
        <v>131</v>
      </c>
      <c r="E2470" s="9" t="s">
        <v>108</v>
      </c>
      <c r="F2470" s="5" t="str">
        <f t="shared" si="549"/>
        <v>C:\Users\jaime.benazar\Quorum Business Solutions\Ecopetrol Prometeo - Documents\Planning Space Implementation\3. Analysis &amp; Design\Design\FC22\DRR Jaime\Neiva CPI\[VAO_DINA TERCIARIOS_CF_SEC_20230117.xlsx]CF PSND'!</v>
      </c>
      <c r="G2470" s="6" t="s">
        <v>105</v>
      </c>
      <c r="H2470" s="1"/>
      <c r="I2470" s="1"/>
      <c r="J2470" s="1"/>
    </row>
    <row r="2471" spans="1:10" x14ac:dyDescent="0.3">
      <c r="A2471" s="6" t="s">
        <v>26</v>
      </c>
      <c r="B2471" s="6"/>
      <c r="C2471" s="1" t="s">
        <v>49</v>
      </c>
      <c r="D2471" s="2"/>
      <c r="E2471" s="9"/>
      <c r="F2471" s="2"/>
      <c r="G2471" s="6"/>
      <c r="H2471" s="1"/>
      <c r="I2471" s="1"/>
      <c r="J2471" s="1"/>
    </row>
    <row r="2472" spans="1:10" x14ac:dyDescent="0.3">
      <c r="A2472" s="6" t="s">
        <v>24</v>
      </c>
      <c r="B2472" s="6">
        <v>2023</v>
      </c>
      <c r="C2472" s="1" t="s">
        <v>49</v>
      </c>
      <c r="D2472" s="2" t="s">
        <v>131</v>
      </c>
      <c r="E2472" s="9" t="str">
        <f t="shared" ref="E2472:E2492" si="550">_xlfn.CONCAT(A2472,"'!")</f>
        <v>PS'!</v>
      </c>
      <c r="F2472" s="5" t="str">
        <f t="shared" si="547"/>
        <v>C:\Users\jaime.benazar\Quorum Business Solutions\Ecopetrol Prometeo - Documents\Planning Space Implementation\3. Analysis &amp; Design\Design\FC22\DRR Jaime\Neiva CPI\[VAO_DINA TERCIARIOS_CF_SEC_20230117.xlsx]CF PS'!</v>
      </c>
      <c r="G2472" s="6" t="s">
        <v>105</v>
      </c>
      <c r="H2472" s="1">
        <f>IF(A2472&lt;&gt;A2342,36,H2342+1)</f>
        <v>36</v>
      </c>
      <c r="I2472" s="1" t="str">
        <f t="shared" ref="I2472:I2492" si="551">_xlfn.CONCAT("='",F2472:H2472)</f>
        <v>='C:\Users\jaime.benazar\Quorum Business Solutions\Ecopetrol Prometeo - Documents\Planning Space Implementation\3. Analysis &amp; Design\Design\FC22\DRR Jaime\Neiva CPI\[VAO_DINA TERCIARIOS_CF_SEC_20230117.xlsx]CF PS'!$CT$36</v>
      </c>
      <c r="J2472" s="1" t="s">
        <v>1205</v>
      </c>
    </row>
    <row r="2473" spans="1:10" x14ac:dyDescent="0.3">
      <c r="A2473" s="6" t="s">
        <v>24</v>
      </c>
      <c r="B2473" s="6">
        <f>+B2472+1</f>
        <v>2024</v>
      </c>
      <c r="C2473" s="1" t="s">
        <v>49</v>
      </c>
      <c r="D2473" s="2" t="s">
        <v>131</v>
      </c>
      <c r="E2473" s="9" t="str">
        <f t="shared" si="550"/>
        <v>PS'!</v>
      </c>
      <c r="F2473" s="5" t="str">
        <f t="shared" si="547"/>
        <v>C:\Users\jaime.benazar\Quorum Business Solutions\Ecopetrol Prometeo - Documents\Planning Space Implementation\3. Analysis &amp; Design\Design\FC22\DRR Jaime\Neiva CPI\[VAO_DINA TERCIARIOS_CF_SEC_20230117.xlsx]CF PS'!</v>
      </c>
      <c r="G2473" s="6" t="s">
        <v>105</v>
      </c>
      <c r="H2473" s="1">
        <f t="shared" ref="H2473:H2492" si="552">IF(A2473&lt;&gt;A2472,36,H2472+1)</f>
        <v>37</v>
      </c>
      <c r="I2473" s="1" t="str">
        <f t="shared" si="551"/>
        <v>='C:\Users\jaime.benazar\Quorum Business Solutions\Ecopetrol Prometeo - Documents\Planning Space Implementation\3. Analysis &amp; Design\Design\FC22\DRR Jaime\Neiva CPI\[VAO_DINA TERCIARIOS_CF_SEC_20230117.xlsx]CF PS'!$CT$37</v>
      </c>
      <c r="J2473" s="1" t="s">
        <v>1206</v>
      </c>
    </row>
    <row r="2474" spans="1:10" x14ac:dyDescent="0.3">
      <c r="A2474" s="6" t="s">
        <v>24</v>
      </c>
      <c r="B2474" s="6">
        <f t="shared" ref="B2474:B2485" si="553">+B2473+1</f>
        <v>2025</v>
      </c>
      <c r="C2474" s="1" t="s">
        <v>49</v>
      </c>
      <c r="D2474" s="2" t="s">
        <v>131</v>
      </c>
      <c r="E2474" s="9" t="str">
        <f t="shared" si="550"/>
        <v>PS'!</v>
      </c>
      <c r="F2474" s="5" t="str">
        <f t="shared" si="547"/>
        <v>C:\Users\jaime.benazar\Quorum Business Solutions\Ecopetrol Prometeo - Documents\Planning Space Implementation\3. Analysis &amp; Design\Design\FC22\DRR Jaime\Neiva CPI\[VAO_DINA TERCIARIOS_CF_SEC_20230117.xlsx]CF PS'!</v>
      </c>
      <c r="G2474" s="6" t="s">
        <v>105</v>
      </c>
      <c r="H2474" s="1">
        <f t="shared" si="552"/>
        <v>38</v>
      </c>
      <c r="I2474" s="1" t="str">
        <f t="shared" si="551"/>
        <v>='C:\Users\jaime.benazar\Quorum Business Solutions\Ecopetrol Prometeo - Documents\Planning Space Implementation\3. Analysis &amp; Design\Design\FC22\DRR Jaime\Neiva CPI\[VAO_DINA TERCIARIOS_CF_SEC_20230117.xlsx]CF PS'!$CT$38</v>
      </c>
      <c r="J2474" s="1" t="s">
        <v>1207</v>
      </c>
    </row>
    <row r="2475" spans="1:10" x14ac:dyDescent="0.3">
      <c r="A2475" s="6" t="s">
        <v>24</v>
      </c>
      <c r="B2475" s="6">
        <f t="shared" si="553"/>
        <v>2026</v>
      </c>
      <c r="C2475" s="1" t="s">
        <v>49</v>
      </c>
      <c r="D2475" s="2" t="s">
        <v>131</v>
      </c>
      <c r="E2475" s="9" t="str">
        <f t="shared" si="550"/>
        <v>PS'!</v>
      </c>
      <c r="F2475" s="5" t="str">
        <f t="shared" si="547"/>
        <v>C:\Users\jaime.benazar\Quorum Business Solutions\Ecopetrol Prometeo - Documents\Planning Space Implementation\3. Analysis &amp; Design\Design\FC22\DRR Jaime\Neiva CPI\[VAO_DINA TERCIARIOS_CF_SEC_20230117.xlsx]CF PS'!</v>
      </c>
      <c r="G2475" s="6" t="s">
        <v>105</v>
      </c>
      <c r="H2475" s="1">
        <f t="shared" si="552"/>
        <v>39</v>
      </c>
      <c r="I2475" s="1" t="str">
        <f t="shared" si="551"/>
        <v>='C:\Users\jaime.benazar\Quorum Business Solutions\Ecopetrol Prometeo - Documents\Planning Space Implementation\3. Analysis &amp; Design\Design\FC22\DRR Jaime\Neiva CPI\[VAO_DINA TERCIARIOS_CF_SEC_20230117.xlsx]CF PS'!$CT$39</v>
      </c>
      <c r="J2475" s="1" t="s">
        <v>1208</v>
      </c>
    </row>
    <row r="2476" spans="1:10" x14ac:dyDescent="0.3">
      <c r="A2476" s="6" t="s">
        <v>24</v>
      </c>
      <c r="B2476" s="6">
        <f t="shared" si="553"/>
        <v>2027</v>
      </c>
      <c r="C2476" s="1" t="s">
        <v>49</v>
      </c>
      <c r="D2476" s="2" t="s">
        <v>131</v>
      </c>
      <c r="E2476" s="9" t="str">
        <f t="shared" si="550"/>
        <v>PS'!</v>
      </c>
      <c r="F2476" s="5" t="str">
        <f t="shared" si="547"/>
        <v>C:\Users\jaime.benazar\Quorum Business Solutions\Ecopetrol Prometeo - Documents\Planning Space Implementation\3. Analysis &amp; Design\Design\FC22\DRR Jaime\Neiva CPI\[VAO_DINA TERCIARIOS_CF_SEC_20230117.xlsx]CF PS'!</v>
      </c>
      <c r="G2476" s="6" t="s">
        <v>105</v>
      </c>
      <c r="H2476" s="1">
        <f t="shared" si="552"/>
        <v>40</v>
      </c>
      <c r="I2476" s="1" t="str">
        <f t="shared" si="551"/>
        <v>='C:\Users\jaime.benazar\Quorum Business Solutions\Ecopetrol Prometeo - Documents\Planning Space Implementation\3. Analysis &amp; Design\Design\FC22\DRR Jaime\Neiva CPI\[VAO_DINA TERCIARIOS_CF_SEC_20230117.xlsx]CF PS'!$CT$40</v>
      </c>
      <c r="J2476" s="1" t="s">
        <v>1209</v>
      </c>
    </row>
    <row r="2477" spans="1:10" x14ac:dyDescent="0.3">
      <c r="A2477" s="6" t="s">
        <v>24</v>
      </c>
      <c r="B2477" s="6">
        <f t="shared" si="553"/>
        <v>2028</v>
      </c>
      <c r="C2477" s="1" t="s">
        <v>49</v>
      </c>
      <c r="D2477" s="2" t="s">
        <v>131</v>
      </c>
      <c r="E2477" s="9" t="str">
        <f t="shared" si="550"/>
        <v>PS'!</v>
      </c>
      <c r="F2477" s="5" t="str">
        <f t="shared" si="547"/>
        <v>C:\Users\jaime.benazar\Quorum Business Solutions\Ecopetrol Prometeo - Documents\Planning Space Implementation\3. Analysis &amp; Design\Design\FC22\DRR Jaime\Neiva CPI\[VAO_DINA TERCIARIOS_CF_SEC_20230117.xlsx]CF PS'!</v>
      </c>
      <c r="G2477" s="6" t="s">
        <v>105</v>
      </c>
      <c r="H2477" s="1">
        <f t="shared" si="552"/>
        <v>41</v>
      </c>
      <c r="I2477" s="1" t="str">
        <f t="shared" si="551"/>
        <v>='C:\Users\jaime.benazar\Quorum Business Solutions\Ecopetrol Prometeo - Documents\Planning Space Implementation\3. Analysis &amp; Design\Design\FC22\DRR Jaime\Neiva CPI\[VAO_DINA TERCIARIOS_CF_SEC_20230117.xlsx]CF PS'!$CT$41</v>
      </c>
      <c r="J2477" s="1" t="s">
        <v>1210</v>
      </c>
    </row>
    <row r="2478" spans="1:10" x14ac:dyDescent="0.3">
      <c r="A2478" s="6" t="s">
        <v>24</v>
      </c>
      <c r="B2478" s="6">
        <f t="shared" si="553"/>
        <v>2029</v>
      </c>
      <c r="C2478" s="1" t="s">
        <v>49</v>
      </c>
      <c r="D2478" s="2" t="s">
        <v>131</v>
      </c>
      <c r="E2478" s="9" t="str">
        <f t="shared" si="550"/>
        <v>PS'!</v>
      </c>
      <c r="F2478" s="5" t="str">
        <f t="shared" si="547"/>
        <v>C:\Users\jaime.benazar\Quorum Business Solutions\Ecopetrol Prometeo - Documents\Planning Space Implementation\3. Analysis &amp; Design\Design\FC22\DRR Jaime\Neiva CPI\[VAO_DINA TERCIARIOS_CF_SEC_20230117.xlsx]CF PS'!</v>
      </c>
      <c r="G2478" s="6" t="s">
        <v>105</v>
      </c>
      <c r="H2478" s="1">
        <f t="shared" si="552"/>
        <v>42</v>
      </c>
      <c r="I2478" s="1" t="str">
        <f t="shared" si="551"/>
        <v>='C:\Users\jaime.benazar\Quorum Business Solutions\Ecopetrol Prometeo - Documents\Planning Space Implementation\3. Analysis &amp; Design\Design\FC22\DRR Jaime\Neiva CPI\[VAO_DINA TERCIARIOS_CF_SEC_20230117.xlsx]CF PS'!$CT$42</v>
      </c>
      <c r="J2478" s="1" t="s">
        <v>1211</v>
      </c>
    </row>
    <row r="2479" spans="1:10" x14ac:dyDescent="0.3">
      <c r="A2479" s="6" t="s">
        <v>24</v>
      </c>
      <c r="B2479" s="6">
        <f t="shared" si="553"/>
        <v>2030</v>
      </c>
      <c r="C2479" s="1" t="s">
        <v>49</v>
      </c>
      <c r="D2479" s="2" t="s">
        <v>131</v>
      </c>
      <c r="E2479" s="9" t="str">
        <f t="shared" si="550"/>
        <v>PS'!</v>
      </c>
      <c r="F2479" s="5" t="str">
        <f t="shared" si="547"/>
        <v>C:\Users\jaime.benazar\Quorum Business Solutions\Ecopetrol Prometeo - Documents\Planning Space Implementation\3. Analysis &amp; Design\Design\FC22\DRR Jaime\Neiva CPI\[VAO_DINA TERCIARIOS_CF_SEC_20230117.xlsx]CF PS'!</v>
      </c>
      <c r="G2479" s="6" t="s">
        <v>105</v>
      </c>
      <c r="H2479" s="1">
        <f t="shared" si="552"/>
        <v>43</v>
      </c>
      <c r="I2479" s="1" t="str">
        <f t="shared" si="551"/>
        <v>='C:\Users\jaime.benazar\Quorum Business Solutions\Ecopetrol Prometeo - Documents\Planning Space Implementation\3. Analysis &amp; Design\Design\FC22\DRR Jaime\Neiva CPI\[VAO_DINA TERCIARIOS_CF_SEC_20230117.xlsx]CF PS'!$CT$43</v>
      </c>
      <c r="J2479" s="1" t="s">
        <v>1212</v>
      </c>
    </row>
    <row r="2480" spans="1:10" x14ac:dyDescent="0.3">
      <c r="A2480" s="6" t="s">
        <v>24</v>
      </c>
      <c r="B2480" s="6">
        <f t="shared" si="553"/>
        <v>2031</v>
      </c>
      <c r="C2480" s="1" t="s">
        <v>49</v>
      </c>
      <c r="D2480" s="2" t="s">
        <v>131</v>
      </c>
      <c r="E2480" s="9" t="str">
        <f t="shared" si="550"/>
        <v>PS'!</v>
      </c>
      <c r="F2480" s="5" t="str">
        <f t="shared" si="547"/>
        <v>C:\Users\jaime.benazar\Quorum Business Solutions\Ecopetrol Prometeo - Documents\Planning Space Implementation\3. Analysis &amp; Design\Design\FC22\DRR Jaime\Neiva CPI\[VAO_DINA TERCIARIOS_CF_SEC_20230117.xlsx]CF PS'!</v>
      </c>
      <c r="G2480" s="6" t="s">
        <v>105</v>
      </c>
      <c r="H2480" s="1">
        <f t="shared" si="552"/>
        <v>44</v>
      </c>
      <c r="I2480" s="1" t="str">
        <f t="shared" si="551"/>
        <v>='C:\Users\jaime.benazar\Quorum Business Solutions\Ecopetrol Prometeo - Documents\Planning Space Implementation\3. Analysis &amp; Design\Design\FC22\DRR Jaime\Neiva CPI\[VAO_DINA TERCIARIOS_CF_SEC_20230117.xlsx]CF PS'!$CT$44</v>
      </c>
      <c r="J2480" s="1" t="s">
        <v>1213</v>
      </c>
    </row>
    <row r="2481" spans="1:10" x14ac:dyDescent="0.3">
      <c r="A2481" s="6" t="s">
        <v>24</v>
      </c>
      <c r="B2481" s="6">
        <f t="shared" si="553"/>
        <v>2032</v>
      </c>
      <c r="C2481" s="1" t="s">
        <v>49</v>
      </c>
      <c r="D2481" s="2" t="s">
        <v>131</v>
      </c>
      <c r="E2481" s="9" t="str">
        <f t="shared" si="550"/>
        <v>PS'!</v>
      </c>
      <c r="F2481" s="5" t="str">
        <f t="shared" si="547"/>
        <v>C:\Users\jaime.benazar\Quorum Business Solutions\Ecopetrol Prometeo - Documents\Planning Space Implementation\3. Analysis &amp; Design\Design\FC22\DRR Jaime\Neiva CPI\[VAO_DINA TERCIARIOS_CF_SEC_20230117.xlsx]CF PS'!</v>
      </c>
      <c r="G2481" s="6" t="s">
        <v>105</v>
      </c>
      <c r="H2481" s="1">
        <f t="shared" si="552"/>
        <v>45</v>
      </c>
      <c r="I2481" s="1" t="str">
        <f t="shared" si="551"/>
        <v>='C:\Users\jaime.benazar\Quorum Business Solutions\Ecopetrol Prometeo - Documents\Planning Space Implementation\3. Analysis &amp; Design\Design\FC22\DRR Jaime\Neiva CPI\[VAO_DINA TERCIARIOS_CF_SEC_20230117.xlsx]CF PS'!$CT$45</v>
      </c>
      <c r="J2481" s="1" t="s">
        <v>1214</v>
      </c>
    </row>
    <row r="2482" spans="1:10" x14ac:dyDescent="0.3">
      <c r="A2482" s="6" t="s">
        <v>24</v>
      </c>
      <c r="B2482" s="6">
        <f t="shared" si="553"/>
        <v>2033</v>
      </c>
      <c r="C2482" s="1" t="s">
        <v>49</v>
      </c>
      <c r="D2482" s="2" t="s">
        <v>131</v>
      </c>
      <c r="E2482" s="9" t="str">
        <f t="shared" si="550"/>
        <v>PS'!</v>
      </c>
      <c r="F2482" s="5" t="str">
        <f t="shared" si="547"/>
        <v>C:\Users\jaime.benazar\Quorum Business Solutions\Ecopetrol Prometeo - Documents\Planning Space Implementation\3. Analysis &amp; Design\Design\FC22\DRR Jaime\Neiva CPI\[VAO_DINA TERCIARIOS_CF_SEC_20230117.xlsx]CF PS'!</v>
      </c>
      <c r="G2482" s="6" t="s">
        <v>105</v>
      </c>
      <c r="H2482" s="1">
        <f t="shared" si="552"/>
        <v>46</v>
      </c>
      <c r="I2482" s="1" t="str">
        <f t="shared" si="551"/>
        <v>='C:\Users\jaime.benazar\Quorum Business Solutions\Ecopetrol Prometeo - Documents\Planning Space Implementation\3. Analysis &amp; Design\Design\FC22\DRR Jaime\Neiva CPI\[VAO_DINA TERCIARIOS_CF_SEC_20230117.xlsx]CF PS'!$CT$46</v>
      </c>
      <c r="J2482" s="1" t="s">
        <v>1215</v>
      </c>
    </row>
    <row r="2483" spans="1:10" x14ac:dyDescent="0.3">
      <c r="A2483" s="6" t="s">
        <v>24</v>
      </c>
      <c r="B2483" s="6">
        <f t="shared" si="553"/>
        <v>2034</v>
      </c>
      <c r="C2483" s="1" t="s">
        <v>49</v>
      </c>
      <c r="D2483" s="2" t="s">
        <v>131</v>
      </c>
      <c r="E2483" s="9" t="str">
        <f t="shared" si="550"/>
        <v>PS'!</v>
      </c>
      <c r="F2483" s="5" t="str">
        <f t="shared" si="547"/>
        <v>C:\Users\jaime.benazar\Quorum Business Solutions\Ecopetrol Prometeo - Documents\Planning Space Implementation\3. Analysis &amp; Design\Design\FC22\DRR Jaime\Neiva CPI\[VAO_DINA TERCIARIOS_CF_SEC_20230117.xlsx]CF PS'!</v>
      </c>
      <c r="G2483" s="6" t="s">
        <v>105</v>
      </c>
      <c r="H2483" s="1">
        <f t="shared" si="552"/>
        <v>47</v>
      </c>
      <c r="I2483" s="1" t="str">
        <f t="shared" si="551"/>
        <v>='C:\Users\jaime.benazar\Quorum Business Solutions\Ecopetrol Prometeo - Documents\Planning Space Implementation\3. Analysis &amp; Design\Design\FC22\DRR Jaime\Neiva CPI\[VAO_DINA TERCIARIOS_CF_SEC_20230117.xlsx]CF PS'!$CT$47</v>
      </c>
      <c r="J2483" s="1" t="s">
        <v>1216</v>
      </c>
    </row>
    <row r="2484" spans="1:10" x14ac:dyDescent="0.3">
      <c r="A2484" s="6" t="s">
        <v>24</v>
      </c>
      <c r="B2484" s="6">
        <f t="shared" si="553"/>
        <v>2035</v>
      </c>
      <c r="C2484" s="1" t="s">
        <v>49</v>
      </c>
      <c r="D2484" s="2" t="s">
        <v>131</v>
      </c>
      <c r="E2484" s="9" t="str">
        <f t="shared" si="550"/>
        <v>PS'!</v>
      </c>
      <c r="F2484" s="5" t="str">
        <f t="shared" si="547"/>
        <v>C:\Users\jaime.benazar\Quorum Business Solutions\Ecopetrol Prometeo - Documents\Planning Space Implementation\3. Analysis &amp; Design\Design\FC22\DRR Jaime\Neiva CPI\[VAO_DINA TERCIARIOS_CF_SEC_20230117.xlsx]CF PS'!</v>
      </c>
      <c r="G2484" s="6" t="s">
        <v>105</v>
      </c>
      <c r="H2484" s="1">
        <f t="shared" si="552"/>
        <v>48</v>
      </c>
      <c r="I2484" s="1" t="str">
        <f t="shared" si="551"/>
        <v>='C:\Users\jaime.benazar\Quorum Business Solutions\Ecopetrol Prometeo - Documents\Planning Space Implementation\3. Analysis &amp; Design\Design\FC22\DRR Jaime\Neiva CPI\[VAO_DINA TERCIARIOS_CF_SEC_20230117.xlsx]CF PS'!$CT$48</v>
      </c>
      <c r="J2484" s="1" t="s">
        <v>1217</v>
      </c>
    </row>
    <row r="2485" spans="1:10" x14ac:dyDescent="0.3">
      <c r="A2485" s="6" t="s">
        <v>24</v>
      </c>
      <c r="B2485" s="6">
        <f t="shared" si="553"/>
        <v>2036</v>
      </c>
      <c r="C2485" s="1" t="s">
        <v>49</v>
      </c>
      <c r="D2485" s="2" t="s">
        <v>131</v>
      </c>
      <c r="E2485" s="9" t="str">
        <f t="shared" si="550"/>
        <v>PS'!</v>
      </c>
      <c r="F2485" s="5" t="str">
        <f t="shared" si="547"/>
        <v>C:\Users\jaime.benazar\Quorum Business Solutions\Ecopetrol Prometeo - Documents\Planning Space Implementation\3. Analysis &amp; Design\Design\FC22\DRR Jaime\Neiva CPI\[VAO_DINA TERCIARIOS_CF_SEC_20230117.xlsx]CF PS'!</v>
      </c>
      <c r="G2485" s="6" t="s">
        <v>105</v>
      </c>
      <c r="H2485" s="1">
        <f t="shared" si="552"/>
        <v>49</v>
      </c>
      <c r="I2485" s="1" t="str">
        <f t="shared" si="551"/>
        <v>='C:\Users\jaime.benazar\Quorum Business Solutions\Ecopetrol Prometeo - Documents\Planning Space Implementation\3. Analysis &amp; Design\Design\FC22\DRR Jaime\Neiva CPI\[VAO_DINA TERCIARIOS_CF_SEC_20230117.xlsx]CF PS'!$CT$49</v>
      </c>
      <c r="J2485" s="1" t="s">
        <v>1218</v>
      </c>
    </row>
    <row r="2486" spans="1:10" x14ac:dyDescent="0.3">
      <c r="A2486" s="6" t="s">
        <v>24</v>
      </c>
      <c r="B2486" s="6">
        <f>+B2485+1</f>
        <v>2037</v>
      </c>
      <c r="C2486" s="1" t="s">
        <v>49</v>
      </c>
      <c r="D2486" s="2" t="s">
        <v>131</v>
      </c>
      <c r="E2486" s="9" t="str">
        <f t="shared" si="550"/>
        <v>PS'!</v>
      </c>
      <c r="F2486" s="5" t="str">
        <f t="shared" si="547"/>
        <v>C:\Users\jaime.benazar\Quorum Business Solutions\Ecopetrol Prometeo - Documents\Planning Space Implementation\3. Analysis &amp; Design\Design\FC22\DRR Jaime\Neiva CPI\[VAO_DINA TERCIARIOS_CF_SEC_20230117.xlsx]CF PS'!</v>
      </c>
      <c r="G2486" s="6" t="s">
        <v>105</v>
      </c>
      <c r="H2486" s="1">
        <f t="shared" si="552"/>
        <v>50</v>
      </c>
      <c r="I2486" s="1" t="str">
        <f t="shared" si="551"/>
        <v>='C:\Users\jaime.benazar\Quorum Business Solutions\Ecopetrol Prometeo - Documents\Planning Space Implementation\3. Analysis &amp; Design\Design\FC22\DRR Jaime\Neiva CPI\[VAO_DINA TERCIARIOS_CF_SEC_20230117.xlsx]CF PS'!$CT$50</v>
      </c>
      <c r="J2486" s="1" t="s">
        <v>1219</v>
      </c>
    </row>
    <row r="2487" spans="1:10" x14ac:dyDescent="0.3">
      <c r="A2487" s="6" t="s">
        <v>24</v>
      </c>
      <c r="B2487" s="6">
        <f t="shared" ref="B2487:B2489" si="554">+B2486+1</f>
        <v>2038</v>
      </c>
      <c r="C2487" s="1" t="s">
        <v>49</v>
      </c>
      <c r="D2487" s="2" t="s">
        <v>131</v>
      </c>
      <c r="E2487" s="9" t="str">
        <f t="shared" si="550"/>
        <v>PS'!</v>
      </c>
      <c r="F2487" s="5" t="str">
        <f t="shared" si="547"/>
        <v>C:\Users\jaime.benazar\Quorum Business Solutions\Ecopetrol Prometeo - Documents\Planning Space Implementation\3. Analysis &amp; Design\Design\FC22\DRR Jaime\Neiva CPI\[VAO_DINA TERCIARIOS_CF_SEC_20230117.xlsx]CF PS'!</v>
      </c>
      <c r="G2487" s="6" t="s">
        <v>105</v>
      </c>
      <c r="H2487" s="1">
        <f t="shared" si="552"/>
        <v>51</v>
      </c>
      <c r="I2487" s="1" t="str">
        <f t="shared" si="551"/>
        <v>='C:\Users\jaime.benazar\Quorum Business Solutions\Ecopetrol Prometeo - Documents\Planning Space Implementation\3. Analysis &amp; Design\Design\FC22\DRR Jaime\Neiva CPI\[VAO_DINA TERCIARIOS_CF_SEC_20230117.xlsx]CF PS'!$CT$51</v>
      </c>
      <c r="J2487" s="1" t="s">
        <v>1220</v>
      </c>
    </row>
    <row r="2488" spans="1:10" x14ac:dyDescent="0.3">
      <c r="A2488" s="6" t="s">
        <v>24</v>
      </c>
      <c r="B2488" s="6">
        <f t="shared" si="554"/>
        <v>2039</v>
      </c>
      <c r="C2488" s="1" t="s">
        <v>49</v>
      </c>
      <c r="D2488" s="2" t="s">
        <v>131</v>
      </c>
      <c r="E2488" s="9" t="str">
        <f t="shared" si="550"/>
        <v>PS'!</v>
      </c>
      <c r="F2488" s="5" t="str">
        <f t="shared" ref="F2488:F2492" si="555">_xlfn.CONCAT(D2488," ",E2488)</f>
        <v>C:\Users\jaime.benazar\Quorum Business Solutions\Ecopetrol Prometeo - Documents\Planning Space Implementation\3. Analysis &amp; Design\Design\FC22\DRR Jaime\Neiva CPI\[VAO_DINA TERCIARIOS_CF_SEC_20230117.xlsx]CF PS'!</v>
      </c>
      <c r="G2488" s="6" t="s">
        <v>105</v>
      </c>
      <c r="H2488" s="1">
        <f t="shared" si="552"/>
        <v>52</v>
      </c>
      <c r="I2488" s="1" t="str">
        <f t="shared" si="551"/>
        <v>='C:\Users\jaime.benazar\Quorum Business Solutions\Ecopetrol Prometeo - Documents\Planning Space Implementation\3. Analysis &amp; Design\Design\FC22\DRR Jaime\Neiva CPI\[VAO_DINA TERCIARIOS_CF_SEC_20230117.xlsx]CF PS'!$CT$52</v>
      </c>
      <c r="J2488" s="1" t="s">
        <v>1221</v>
      </c>
    </row>
    <row r="2489" spans="1:10" x14ac:dyDescent="0.3">
      <c r="A2489" s="6" t="s">
        <v>24</v>
      </c>
      <c r="B2489" s="6">
        <f t="shared" si="554"/>
        <v>2040</v>
      </c>
      <c r="C2489" s="1" t="s">
        <v>49</v>
      </c>
      <c r="D2489" s="2" t="s">
        <v>131</v>
      </c>
      <c r="E2489" s="9" t="str">
        <f t="shared" si="550"/>
        <v>PS'!</v>
      </c>
      <c r="F2489" s="5" t="str">
        <f t="shared" si="555"/>
        <v>C:\Users\jaime.benazar\Quorum Business Solutions\Ecopetrol Prometeo - Documents\Planning Space Implementation\3. Analysis &amp; Design\Design\FC22\DRR Jaime\Neiva CPI\[VAO_DINA TERCIARIOS_CF_SEC_20230117.xlsx]CF PS'!</v>
      </c>
      <c r="G2489" s="6" t="s">
        <v>105</v>
      </c>
      <c r="H2489" s="1">
        <f t="shared" si="552"/>
        <v>53</v>
      </c>
      <c r="I2489" s="1" t="str">
        <f t="shared" si="551"/>
        <v>='C:\Users\jaime.benazar\Quorum Business Solutions\Ecopetrol Prometeo - Documents\Planning Space Implementation\3. Analysis &amp; Design\Design\FC22\DRR Jaime\Neiva CPI\[VAO_DINA TERCIARIOS_CF_SEC_20230117.xlsx]CF PS'!$CT$53</v>
      </c>
      <c r="J2489" s="1" t="s">
        <v>1222</v>
      </c>
    </row>
    <row r="2490" spans="1:10" x14ac:dyDescent="0.3">
      <c r="A2490" s="6" t="s">
        <v>24</v>
      </c>
      <c r="B2490" s="6">
        <f>+B2489+1</f>
        <v>2041</v>
      </c>
      <c r="C2490" s="1" t="s">
        <v>49</v>
      </c>
      <c r="D2490" s="2" t="s">
        <v>131</v>
      </c>
      <c r="E2490" s="9" t="str">
        <f t="shared" si="550"/>
        <v>PS'!</v>
      </c>
      <c r="F2490" s="5" t="str">
        <f t="shared" si="555"/>
        <v>C:\Users\jaime.benazar\Quorum Business Solutions\Ecopetrol Prometeo - Documents\Planning Space Implementation\3. Analysis &amp; Design\Design\FC22\DRR Jaime\Neiva CPI\[VAO_DINA TERCIARIOS_CF_SEC_20230117.xlsx]CF PS'!</v>
      </c>
      <c r="G2490" s="6" t="s">
        <v>105</v>
      </c>
      <c r="H2490" s="1">
        <f t="shared" si="552"/>
        <v>54</v>
      </c>
      <c r="I2490" s="1" t="str">
        <f t="shared" si="551"/>
        <v>='C:\Users\jaime.benazar\Quorum Business Solutions\Ecopetrol Prometeo - Documents\Planning Space Implementation\3. Analysis &amp; Design\Design\FC22\DRR Jaime\Neiva CPI\[VAO_DINA TERCIARIOS_CF_SEC_20230117.xlsx]CF PS'!$CT$54</v>
      </c>
      <c r="J2490" s="1" t="s">
        <v>1223</v>
      </c>
    </row>
    <row r="2491" spans="1:10" x14ac:dyDescent="0.3">
      <c r="A2491" s="6" t="s">
        <v>24</v>
      </c>
      <c r="B2491" s="6">
        <f t="shared" ref="B2491:B2492" si="556">+B2490+1</f>
        <v>2042</v>
      </c>
      <c r="C2491" s="1" t="s">
        <v>49</v>
      </c>
      <c r="D2491" s="2" t="s">
        <v>131</v>
      </c>
      <c r="E2491" s="9" t="str">
        <f t="shared" si="550"/>
        <v>PS'!</v>
      </c>
      <c r="F2491" s="5" t="str">
        <f t="shared" si="555"/>
        <v>C:\Users\jaime.benazar\Quorum Business Solutions\Ecopetrol Prometeo - Documents\Planning Space Implementation\3. Analysis &amp; Design\Design\FC22\DRR Jaime\Neiva CPI\[VAO_DINA TERCIARIOS_CF_SEC_20230117.xlsx]CF PS'!</v>
      </c>
      <c r="G2491" s="6" t="s">
        <v>105</v>
      </c>
      <c r="H2491" s="1">
        <f t="shared" si="552"/>
        <v>55</v>
      </c>
      <c r="I2491" s="1" t="str">
        <f t="shared" si="551"/>
        <v>='C:\Users\jaime.benazar\Quorum Business Solutions\Ecopetrol Prometeo - Documents\Planning Space Implementation\3. Analysis &amp; Design\Design\FC22\DRR Jaime\Neiva CPI\[VAO_DINA TERCIARIOS_CF_SEC_20230117.xlsx]CF PS'!$CT$55</v>
      </c>
      <c r="J2491" s="1" t="s">
        <v>1224</v>
      </c>
    </row>
    <row r="2492" spans="1:10" x14ac:dyDescent="0.3">
      <c r="A2492" s="6" t="s">
        <v>24</v>
      </c>
      <c r="B2492" s="6">
        <f t="shared" si="556"/>
        <v>2043</v>
      </c>
      <c r="C2492" s="1" t="s">
        <v>49</v>
      </c>
      <c r="D2492" s="2" t="s">
        <v>131</v>
      </c>
      <c r="E2492" s="9" t="str">
        <f t="shared" si="550"/>
        <v>PS'!</v>
      </c>
      <c r="F2492" s="5" t="str">
        <f t="shared" si="555"/>
        <v>C:\Users\jaime.benazar\Quorum Business Solutions\Ecopetrol Prometeo - Documents\Planning Space Implementation\3. Analysis &amp; Design\Design\FC22\DRR Jaime\Neiva CPI\[VAO_DINA TERCIARIOS_CF_SEC_20230117.xlsx]CF PS'!</v>
      </c>
      <c r="G2492" s="6" t="s">
        <v>105</v>
      </c>
      <c r="H2492" s="1">
        <f t="shared" si="552"/>
        <v>56</v>
      </c>
      <c r="I2492" s="1" t="str">
        <f t="shared" si="551"/>
        <v>='C:\Users\jaime.benazar\Quorum Business Solutions\Ecopetrol Prometeo - Documents\Planning Space Implementation\3. Analysis &amp; Design\Design\FC22\DRR Jaime\Neiva CPI\[VAO_DINA TERCIARIOS_CF_SEC_20230117.xlsx]CF PS'!$CT$56</v>
      </c>
      <c r="J2492" s="1" t="s">
        <v>1225</v>
      </c>
    </row>
    <row r="2493" spans="1:10" x14ac:dyDescent="0.3">
      <c r="A2493" s="6" t="s">
        <v>24</v>
      </c>
      <c r="B2493" s="6">
        <f>+B2492+1</f>
        <v>2044</v>
      </c>
      <c r="C2493" s="1" t="s">
        <v>49</v>
      </c>
      <c r="D2493" s="2" t="s">
        <v>131</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Jaime\Neiva CPI\[VAO_DINA TERCIARIOS_CF_SEC_20230117.xlsx]CF PS'!</v>
      </c>
      <c r="G2493" s="6" t="s">
        <v>105</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Jaime\Neiva CPI\[VAO_DINA TERCIARIOS_CF_SEC_20230117.xlsx]CF PS'!$CT$57</v>
      </c>
      <c r="J2493" s="1" t="s">
        <v>1226</v>
      </c>
    </row>
    <row r="2494" spans="1:10" x14ac:dyDescent="0.3">
      <c r="A2494" s="6" t="s">
        <v>24</v>
      </c>
      <c r="B2494" s="6">
        <f t="shared" ref="B2494:B2508" si="561">+B2493+1</f>
        <v>2045</v>
      </c>
      <c r="C2494" s="1" t="s">
        <v>49</v>
      </c>
      <c r="D2494" s="2" t="s">
        <v>131</v>
      </c>
      <c r="E2494" s="9" t="str">
        <f t="shared" si="557"/>
        <v>PS'!</v>
      </c>
      <c r="F2494" s="5" t="str">
        <f t="shared" si="558"/>
        <v>C:\Users\jaime.benazar\Quorum Business Solutions\Ecopetrol Prometeo - Documents\Planning Space Implementation\3. Analysis &amp; Design\Design\FC22\DRR Jaime\Neiva CPI\[VAO_DINA TERCIARIOS_CF_SEC_20230117.xlsx]CF PS'!</v>
      </c>
      <c r="G2494" s="6" t="s">
        <v>105</v>
      </c>
      <c r="H2494" s="1">
        <f t="shared" si="559"/>
        <v>58</v>
      </c>
      <c r="I2494" s="1" t="str">
        <f t="shared" si="560"/>
        <v>='C:\Users\jaime.benazar\Quorum Business Solutions\Ecopetrol Prometeo - Documents\Planning Space Implementation\3. Analysis &amp; Design\Design\FC22\DRR Jaime\Neiva CPI\[VAO_DINA TERCIARIOS_CF_SEC_20230117.xlsx]CF PS'!$CT$58</v>
      </c>
      <c r="J2494" s="1" t="s">
        <v>1227</v>
      </c>
    </row>
    <row r="2495" spans="1:10" x14ac:dyDescent="0.3">
      <c r="A2495" s="6" t="s">
        <v>24</v>
      </c>
      <c r="B2495" s="6">
        <f t="shared" si="561"/>
        <v>2046</v>
      </c>
      <c r="C2495" s="1" t="s">
        <v>49</v>
      </c>
      <c r="D2495" s="2" t="s">
        <v>131</v>
      </c>
      <c r="E2495" s="9" t="str">
        <f t="shared" si="557"/>
        <v>PS'!</v>
      </c>
      <c r="F2495" s="5" t="str">
        <f t="shared" si="558"/>
        <v>C:\Users\jaime.benazar\Quorum Business Solutions\Ecopetrol Prometeo - Documents\Planning Space Implementation\3. Analysis &amp; Design\Design\FC22\DRR Jaime\Neiva CPI\[VAO_DINA TERCIARIOS_CF_SEC_20230117.xlsx]CF PS'!</v>
      </c>
      <c r="G2495" s="6" t="s">
        <v>105</v>
      </c>
      <c r="H2495" s="1">
        <f t="shared" si="559"/>
        <v>59</v>
      </c>
      <c r="I2495" s="1" t="str">
        <f t="shared" si="560"/>
        <v>='C:\Users\jaime.benazar\Quorum Business Solutions\Ecopetrol Prometeo - Documents\Planning Space Implementation\3. Analysis &amp; Design\Design\FC22\DRR Jaime\Neiva CPI\[VAO_DINA TERCIARIOS_CF_SEC_20230117.xlsx]CF PS'!$CT$59</v>
      </c>
      <c r="J2495" s="1" t="s">
        <v>1228</v>
      </c>
    </row>
    <row r="2496" spans="1:10" x14ac:dyDescent="0.3">
      <c r="A2496" s="6" t="s">
        <v>24</v>
      </c>
      <c r="B2496" s="6">
        <f t="shared" si="561"/>
        <v>2047</v>
      </c>
      <c r="C2496" s="1" t="s">
        <v>49</v>
      </c>
      <c r="D2496" s="2" t="s">
        <v>131</v>
      </c>
      <c r="E2496" s="9" t="str">
        <f t="shared" si="557"/>
        <v>PS'!</v>
      </c>
      <c r="F2496" s="5" t="str">
        <f t="shared" si="558"/>
        <v>C:\Users\jaime.benazar\Quorum Business Solutions\Ecopetrol Prometeo - Documents\Planning Space Implementation\3. Analysis &amp; Design\Design\FC22\DRR Jaime\Neiva CPI\[VAO_DINA TERCIARIOS_CF_SEC_20230117.xlsx]CF PS'!</v>
      </c>
      <c r="G2496" s="6" t="s">
        <v>105</v>
      </c>
      <c r="H2496" s="1">
        <f t="shared" si="559"/>
        <v>60</v>
      </c>
      <c r="I2496" s="1" t="str">
        <f t="shared" si="560"/>
        <v>='C:\Users\jaime.benazar\Quorum Business Solutions\Ecopetrol Prometeo - Documents\Planning Space Implementation\3. Analysis &amp; Design\Design\FC22\DRR Jaime\Neiva CPI\[VAO_DINA TERCIARIOS_CF_SEC_20230117.xlsx]CF PS'!$CT$60</v>
      </c>
      <c r="J2496" s="1" t="s">
        <v>1229</v>
      </c>
    </row>
    <row r="2497" spans="1:10" x14ac:dyDescent="0.3">
      <c r="A2497" s="6" t="s">
        <v>24</v>
      </c>
      <c r="B2497" s="6">
        <f t="shared" si="561"/>
        <v>2048</v>
      </c>
      <c r="C2497" s="1" t="s">
        <v>49</v>
      </c>
      <c r="D2497" s="2" t="s">
        <v>131</v>
      </c>
      <c r="E2497" s="9" t="str">
        <f t="shared" si="557"/>
        <v>PS'!</v>
      </c>
      <c r="F2497" s="5" t="str">
        <f t="shared" si="558"/>
        <v>C:\Users\jaime.benazar\Quorum Business Solutions\Ecopetrol Prometeo - Documents\Planning Space Implementation\3. Analysis &amp; Design\Design\FC22\DRR Jaime\Neiva CPI\[VAO_DINA TERCIARIOS_CF_SEC_20230117.xlsx]CF PS'!</v>
      </c>
      <c r="G2497" s="6" t="s">
        <v>105</v>
      </c>
      <c r="H2497" s="1">
        <f t="shared" si="559"/>
        <v>61</v>
      </c>
      <c r="I2497" s="1" t="str">
        <f t="shared" si="560"/>
        <v>='C:\Users\jaime.benazar\Quorum Business Solutions\Ecopetrol Prometeo - Documents\Planning Space Implementation\3. Analysis &amp; Design\Design\FC22\DRR Jaime\Neiva CPI\[VAO_DINA TERCIARIOS_CF_SEC_20230117.xlsx]CF PS'!$CT$61</v>
      </c>
      <c r="J2497" s="1" t="s">
        <v>1230</v>
      </c>
    </row>
    <row r="2498" spans="1:10" x14ac:dyDescent="0.3">
      <c r="A2498" s="6" t="s">
        <v>24</v>
      </c>
      <c r="B2498" s="6">
        <f t="shared" si="561"/>
        <v>2049</v>
      </c>
      <c r="C2498" s="1" t="s">
        <v>49</v>
      </c>
      <c r="D2498" s="2" t="s">
        <v>131</v>
      </c>
      <c r="E2498" s="9" t="str">
        <f t="shared" si="557"/>
        <v>PS'!</v>
      </c>
      <c r="F2498" s="5" t="str">
        <f t="shared" si="558"/>
        <v>C:\Users\jaime.benazar\Quorum Business Solutions\Ecopetrol Prometeo - Documents\Planning Space Implementation\3. Analysis &amp; Design\Design\FC22\DRR Jaime\Neiva CPI\[VAO_DINA TERCIARIOS_CF_SEC_20230117.xlsx]CF PS'!</v>
      </c>
      <c r="G2498" s="6" t="s">
        <v>105</v>
      </c>
      <c r="H2498" s="1">
        <f t="shared" si="559"/>
        <v>62</v>
      </c>
      <c r="I2498" s="1" t="str">
        <f t="shared" si="560"/>
        <v>='C:\Users\jaime.benazar\Quorum Business Solutions\Ecopetrol Prometeo - Documents\Planning Space Implementation\3. Analysis &amp; Design\Design\FC22\DRR Jaime\Neiva CPI\[VAO_DINA TERCIARIOS_CF_SEC_20230117.xlsx]CF PS'!$CT$62</v>
      </c>
      <c r="J2498" s="1" t="s">
        <v>1231</v>
      </c>
    </row>
    <row r="2499" spans="1:10" x14ac:dyDescent="0.3">
      <c r="A2499" s="6" t="s">
        <v>24</v>
      </c>
      <c r="B2499" s="6">
        <f t="shared" si="561"/>
        <v>2050</v>
      </c>
      <c r="C2499" s="1" t="s">
        <v>49</v>
      </c>
      <c r="D2499" s="2" t="s">
        <v>131</v>
      </c>
      <c r="E2499" s="9" t="str">
        <f t="shared" si="557"/>
        <v>PS'!</v>
      </c>
      <c r="F2499" s="5" t="str">
        <f t="shared" si="558"/>
        <v>C:\Users\jaime.benazar\Quorum Business Solutions\Ecopetrol Prometeo - Documents\Planning Space Implementation\3. Analysis &amp; Design\Design\FC22\DRR Jaime\Neiva CPI\[VAO_DINA TERCIARIOS_CF_SEC_20230117.xlsx]CF PS'!</v>
      </c>
      <c r="G2499" s="6" t="s">
        <v>105</v>
      </c>
      <c r="H2499" s="1">
        <f t="shared" si="559"/>
        <v>63</v>
      </c>
      <c r="I2499" s="1" t="str">
        <f t="shared" si="560"/>
        <v>='C:\Users\jaime.benazar\Quorum Business Solutions\Ecopetrol Prometeo - Documents\Planning Space Implementation\3. Analysis &amp; Design\Design\FC22\DRR Jaime\Neiva CPI\[VAO_DINA TERCIARIOS_CF_SEC_20230117.xlsx]CF PS'!$CT$63</v>
      </c>
      <c r="J2499" s="1" t="s">
        <v>1232</v>
      </c>
    </row>
    <row r="2500" spans="1:10" x14ac:dyDescent="0.3">
      <c r="A2500" s="6" t="s">
        <v>24</v>
      </c>
      <c r="B2500" s="6">
        <f t="shared" si="561"/>
        <v>2051</v>
      </c>
      <c r="C2500" s="1" t="s">
        <v>49</v>
      </c>
      <c r="D2500" s="2" t="s">
        <v>131</v>
      </c>
      <c r="E2500" s="9" t="str">
        <f t="shared" si="557"/>
        <v>PS'!</v>
      </c>
      <c r="F2500" s="5" t="str">
        <f t="shared" si="558"/>
        <v>C:\Users\jaime.benazar\Quorum Business Solutions\Ecopetrol Prometeo - Documents\Planning Space Implementation\3. Analysis &amp; Design\Design\FC22\DRR Jaime\Neiva CPI\[VAO_DINA TERCIARIOS_CF_SEC_20230117.xlsx]CF PS'!</v>
      </c>
      <c r="G2500" s="6" t="s">
        <v>105</v>
      </c>
      <c r="H2500" s="1">
        <f t="shared" si="559"/>
        <v>64</v>
      </c>
      <c r="I2500" s="1" t="str">
        <f t="shared" si="560"/>
        <v>='C:\Users\jaime.benazar\Quorum Business Solutions\Ecopetrol Prometeo - Documents\Planning Space Implementation\3. Analysis &amp; Design\Design\FC22\DRR Jaime\Neiva CPI\[VAO_DINA TERCIARIOS_CF_SEC_20230117.xlsx]CF PS'!$CT$64</v>
      </c>
      <c r="J2500" s="1" t="s">
        <v>1233</v>
      </c>
    </row>
    <row r="2501" spans="1:10" x14ac:dyDescent="0.3">
      <c r="A2501" s="6" t="s">
        <v>24</v>
      </c>
      <c r="B2501" s="6">
        <f t="shared" si="561"/>
        <v>2052</v>
      </c>
      <c r="C2501" s="1" t="s">
        <v>49</v>
      </c>
      <c r="D2501" s="2" t="s">
        <v>131</v>
      </c>
      <c r="E2501" s="9" t="str">
        <f t="shared" si="557"/>
        <v>PS'!</v>
      </c>
      <c r="F2501" s="5" t="str">
        <f t="shared" si="558"/>
        <v>C:\Users\jaime.benazar\Quorum Business Solutions\Ecopetrol Prometeo - Documents\Planning Space Implementation\3. Analysis &amp; Design\Design\FC22\DRR Jaime\Neiva CPI\[VAO_DINA TERCIARIOS_CF_SEC_20230117.xlsx]CF PS'!</v>
      </c>
      <c r="G2501" s="6" t="s">
        <v>105</v>
      </c>
      <c r="H2501" s="1">
        <f t="shared" si="559"/>
        <v>65</v>
      </c>
      <c r="I2501" s="1" t="str">
        <f t="shared" si="560"/>
        <v>='C:\Users\jaime.benazar\Quorum Business Solutions\Ecopetrol Prometeo - Documents\Planning Space Implementation\3. Analysis &amp; Design\Design\FC22\DRR Jaime\Neiva CPI\[VAO_DINA TERCIARIOS_CF_SEC_20230117.xlsx]CF PS'!$CT$65</v>
      </c>
      <c r="J2501" s="1" t="s">
        <v>1234</v>
      </c>
    </row>
    <row r="2502" spans="1:10" x14ac:dyDescent="0.3">
      <c r="A2502" s="6" t="s">
        <v>24</v>
      </c>
      <c r="B2502" s="6">
        <f t="shared" si="561"/>
        <v>2053</v>
      </c>
      <c r="C2502" s="1" t="s">
        <v>49</v>
      </c>
      <c r="D2502" s="2" t="s">
        <v>131</v>
      </c>
      <c r="E2502" s="9" t="str">
        <f t="shared" si="557"/>
        <v>PS'!</v>
      </c>
      <c r="F2502" s="5" t="str">
        <f t="shared" si="558"/>
        <v>C:\Users\jaime.benazar\Quorum Business Solutions\Ecopetrol Prometeo - Documents\Planning Space Implementation\3. Analysis &amp; Design\Design\FC22\DRR Jaime\Neiva CPI\[VAO_DINA TERCIARIOS_CF_SEC_20230117.xlsx]CF PS'!</v>
      </c>
      <c r="G2502" s="6" t="s">
        <v>105</v>
      </c>
      <c r="H2502" s="1">
        <f t="shared" si="559"/>
        <v>66</v>
      </c>
      <c r="I2502" s="1" t="str">
        <f t="shared" si="560"/>
        <v>='C:\Users\jaime.benazar\Quorum Business Solutions\Ecopetrol Prometeo - Documents\Planning Space Implementation\3. Analysis &amp; Design\Design\FC22\DRR Jaime\Neiva CPI\[VAO_DINA TERCIARIOS_CF_SEC_20230117.xlsx]CF PS'!$CT$66</v>
      </c>
      <c r="J2502" s="1" t="s">
        <v>1235</v>
      </c>
    </row>
    <row r="2503" spans="1:10" x14ac:dyDescent="0.3">
      <c r="A2503" s="6" t="s">
        <v>24</v>
      </c>
      <c r="B2503" s="6">
        <f t="shared" si="561"/>
        <v>2054</v>
      </c>
      <c r="C2503" s="1" t="s">
        <v>49</v>
      </c>
      <c r="D2503" s="2" t="s">
        <v>131</v>
      </c>
      <c r="E2503" s="9" t="str">
        <f t="shared" si="557"/>
        <v>PS'!</v>
      </c>
      <c r="F2503" s="5" t="str">
        <f t="shared" si="558"/>
        <v>C:\Users\jaime.benazar\Quorum Business Solutions\Ecopetrol Prometeo - Documents\Planning Space Implementation\3. Analysis &amp; Design\Design\FC22\DRR Jaime\Neiva CPI\[VAO_DINA TERCIARIOS_CF_SEC_20230117.xlsx]CF PS'!</v>
      </c>
      <c r="G2503" s="6" t="s">
        <v>105</v>
      </c>
      <c r="H2503" s="1">
        <f t="shared" si="559"/>
        <v>67</v>
      </c>
      <c r="I2503" s="1" t="str">
        <f t="shared" si="560"/>
        <v>='C:\Users\jaime.benazar\Quorum Business Solutions\Ecopetrol Prometeo - Documents\Planning Space Implementation\3. Analysis &amp; Design\Design\FC22\DRR Jaime\Neiva CPI\[VAO_DINA TERCIARIOS_CF_SEC_20230117.xlsx]CF PS'!$CT$67</v>
      </c>
      <c r="J2503" s="1" t="s">
        <v>1236</v>
      </c>
    </row>
    <row r="2504" spans="1:10" x14ac:dyDescent="0.3">
      <c r="A2504" s="6" t="s">
        <v>24</v>
      </c>
      <c r="B2504" s="6">
        <f t="shared" si="561"/>
        <v>2055</v>
      </c>
      <c r="C2504" s="1" t="s">
        <v>49</v>
      </c>
      <c r="D2504" s="2" t="s">
        <v>131</v>
      </c>
      <c r="E2504" s="9" t="str">
        <f t="shared" si="557"/>
        <v>PS'!</v>
      </c>
      <c r="F2504" s="5" t="str">
        <f t="shared" si="558"/>
        <v>C:\Users\jaime.benazar\Quorum Business Solutions\Ecopetrol Prometeo - Documents\Planning Space Implementation\3. Analysis &amp; Design\Design\FC22\DRR Jaime\Neiva CPI\[VAO_DINA TERCIARIOS_CF_SEC_20230117.xlsx]CF PS'!</v>
      </c>
      <c r="G2504" s="6" t="s">
        <v>105</v>
      </c>
      <c r="H2504" s="1">
        <f t="shared" si="559"/>
        <v>68</v>
      </c>
      <c r="I2504" s="1" t="str">
        <f t="shared" si="560"/>
        <v>='C:\Users\jaime.benazar\Quorum Business Solutions\Ecopetrol Prometeo - Documents\Planning Space Implementation\3. Analysis &amp; Design\Design\FC22\DRR Jaime\Neiva CPI\[VAO_DINA TERCIARIOS_CF_SEC_20230117.xlsx]CF PS'!$CT$68</v>
      </c>
      <c r="J2504" s="1" t="s">
        <v>1237</v>
      </c>
    </row>
    <row r="2505" spans="1:10" x14ac:dyDescent="0.3">
      <c r="A2505" s="6" t="s">
        <v>24</v>
      </c>
      <c r="B2505" s="6">
        <f t="shared" si="561"/>
        <v>2056</v>
      </c>
      <c r="C2505" s="1" t="s">
        <v>49</v>
      </c>
      <c r="D2505" s="2" t="s">
        <v>131</v>
      </c>
      <c r="E2505" s="9" t="str">
        <f t="shared" si="557"/>
        <v>PS'!</v>
      </c>
      <c r="F2505" s="5" t="str">
        <f t="shared" si="558"/>
        <v>C:\Users\jaime.benazar\Quorum Business Solutions\Ecopetrol Prometeo - Documents\Planning Space Implementation\3. Analysis &amp; Design\Design\FC22\DRR Jaime\Neiva CPI\[VAO_DINA TERCIARIOS_CF_SEC_20230117.xlsx]CF PS'!</v>
      </c>
      <c r="G2505" s="6" t="s">
        <v>105</v>
      </c>
      <c r="H2505" s="1">
        <f t="shared" si="559"/>
        <v>69</v>
      </c>
      <c r="I2505" s="1" t="str">
        <f t="shared" si="560"/>
        <v>='C:\Users\jaime.benazar\Quorum Business Solutions\Ecopetrol Prometeo - Documents\Planning Space Implementation\3. Analysis &amp; Design\Design\FC22\DRR Jaime\Neiva CPI\[VAO_DINA TERCIARIOS_CF_SEC_20230117.xlsx]CF PS'!$CT$69</v>
      </c>
      <c r="J2505" s="1" t="s">
        <v>1238</v>
      </c>
    </row>
    <row r="2506" spans="1:10" x14ac:dyDescent="0.3">
      <c r="A2506" s="6" t="s">
        <v>24</v>
      </c>
      <c r="B2506" s="6">
        <f t="shared" si="561"/>
        <v>2057</v>
      </c>
      <c r="C2506" s="1" t="s">
        <v>49</v>
      </c>
      <c r="D2506" s="2" t="s">
        <v>131</v>
      </c>
      <c r="E2506" s="9" t="str">
        <f t="shared" si="557"/>
        <v>PS'!</v>
      </c>
      <c r="F2506" s="5" t="str">
        <f t="shared" si="558"/>
        <v>C:\Users\jaime.benazar\Quorum Business Solutions\Ecopetrol Prometeo - Documents\Planning Space Implementation\3. Analysis &amp; Design\Design\FC22\DRR Jaime\Neiva CPI\[VAO_DINA TERCIARIOS_CF_SEC_20230117.xlsx]CF PS'!</v>
      </c>
      <c r="G2506" s="6" t="s">
        <v>105</v>
      </c>
      <c r="H2506" s="1">
        <f t="shared" si="559"/>
        <v>70</v>
      </c>
      <c r="I2506" s="1" t="str">
        <f t="shared" si="560"/>
        <v>='C:\Users\jaime.benazar\Quorum Business Solutions\Ecopetrol Prometeo - Documents\Planning Space Implementation\3. Analysis &amp; Design\Design\FC22\DRR Jaime\Neiva CPI\[VAO_DINA TERCIARIOS_CF_SEC_20230117.xlsx]CF PS'!$CT$70</v>
      </c>
      <c r="J2506" s="1" t="s">
        <v>1239</v>
      </c>
    </row>
    <row r="2507" spans="1:10" x14ac:dyDescent="0.3">
      <c r="A2507" s="6" t="s">
        <v>24</v>
      </c>
      <c r="B2507" s="6">
        <f t="shared" si="561"/>
        <v>2058</v>
      </c>
      <c r="C2507" s="1" t="s">
        <v>49</v>
      </c>
      <c r="D2507" s="2" t="s">
        <v>131</v>
      </c>
      <c r="E2507" s="9" t="str">
        <f t="shared" si="557"/>
        <v>PS'!</v>
      </c>
      <c r="F2507" s="5" t="str">
        <f t="shared" si="558"/>
        <v>C:\Users\jaime.benazar\Quorum Business Solutions\Ecopetrol Prometeo - Documents\Planning Space Implementation\3. Analysis &amp; Design\Design\FC22\DRR Jaime\Neiva CPI\[VAO_DINA TERCIARIOS_CF_SEC_20230117.xlsx]CF PS'!</v>
      </c>
      <c r="G2507" s="6" t="s">
        <v>105</v>
      </c>
      <c r="H2507" s="1">
        <f t="shared" si="559"/>
        <v>71</v>
      </c>
      <c r="I2507" s="1" t="str">
        <f t="shared" si="560"/>
        <v>='C:\Users\jaime.benazar\Quorum Business Solutions\Ecopetrol Prometeo - Documents\Planning Space Implementation\3. Analysis &amp; Design\Design\FC22\DRR Jaime\Neiva CPI\[VAO_DINA TERCIARIOS_CF_SEC_20230117.xlsx]CF PS'!$CT$71</v>
      </c>
      <c r="J2507" s="1" t="s">
        <v>1240</v>
      </c>
    </row>
    <row r="2508" spans="1:10" x14ac:dyDescent="0.3">
      <c r="A2508" s="6" t="s">
        <v>24</v>
      </c>
      <c r="B2508" s="6">
        <f t="shared" si="561"/>
        <v>2059</v>
      </c>
      <c r="C2508" s="1" t="s">
        <v>49</v>
      </c>
      <c r="D2508" s="2" t="s">
        <v>131</v>
      </c>
      <c r="E2508" s="9" t="str">
        <f t="shared" si="557"/>
        <v>PS'!</v>
      </c>
      <c r="F2508" s="5" t="str">
        <f t="shared" si="558"/>
        <v>C:\Users\jaime.benazar\Quorum Business Solutions\Ecopetrol Prometeo - Documents\Planning Space Implementation\3. Analysis &amp; Design\Design\FC22\DRR Jaime\Neiva CPI\[VAO_DINA TERCIARIOS_CF_SEC_20230117.xlsx]CF PS'!</v>
      </c>
      <c r="G2508" s="6" t="s">
        <v>105</v>
      </c>
      <c r="H2508" s="1">
        <f t="shared" si="559"/>
        <v>72</v>
      </c>
      <c r="I2508" s="1" t="str">
        <f t="shared" si="560"/>
        <v>='C:\Users\jaime.benazar\Quorum Business Solutions\Ecopetrol Prometeo - Documents\Planning Space Implementation\3. Analysis &amp; Design\Design\FC22\DRR Jaime\Neiva CPI\[VAO_DINA TERCIARIOS_CF_SEC_20230117.xlsx]CF PS'!$CT$72</v>
      </c>
      <c r="J2508" s="1" t="s">
        <v>1241</v>
      </c>
    </row>
    <row r="2509" spans="1:10" x14ac:dyDescent="0.3">
      <c r="A2509" s="6" t="s">
        <v>26</v>
      </c>
      <c r="B2509" s="6"/>
      <c r="C2509" s="1" t="s">
        <v>49</v>
      </c>
      <c r="D2509" s="2"/>
      <c r="E2509" s="9"/>
      <c r="F2509" s="2"/>
      <c r="G2509" s="6"/>
      <c r="H2509" s="1"/>
      <c r="I2509" s="1"/>
      <c r="J2509" s="4"/>
    </row>
    <row r="2510" spans="1:10" x14ac:dyDescent="0.3">
      <c r="A2510" s="7" t="s">
        <v>14</v>
      </c>
      <c r="B2510" s="7">
        <v>2023</v>
      </c>
      <c r="C2510" s="4" t="s">
        <v>52</v>
      </c>
      <c r="D2510" s="5" t="s">
        <v>131</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Jaime\Neiva CPI\[VAO_DINA TERCIARIOS_CF_SEC_20230117.xlsx]CF PDP'!</v>
      </c>
      <c r="G2510" s="7" t="s">
        <v>109</v>
      </c>
      <c r="H2510" s="4">
        <f>IF(A2510&lt;&gt;A2380,36,H2380+1)</f>
        <v>36</v>
      </c>
      <c r="I2510" s="4" t="str">
        <f t="shared" ref="I2510:I2530" si="564">_xlfn.CONCAT("='",F2510:H2510)</f>
        <v>='C:\Users\jaime.benazar\Quorum Business Solutions\Ecopetrol Prometeo - Documents\Planning Space Implementation\3. Analysis &amp; Design\Design\FC22\DRR Jaime\Neiva CPI\[VAO_DINA TERCIARIOS_CF_SEC_20230117.xlsx]CF PDP'!$DN$36</v>
      </c>
      <c r="J2510" s="4" t="s">
        <v>1242</v>
      </c>
    </row>
    <row r="2511" spans="1:10" x14ac:dyDescent="0.3">
      <c r="A2511" s="7" t="s">
        <v>14</v>
      </c>
      <c r="B2511" s="7">
        <f>+B2510+1</f>
        <v>2024</v>
      </c>
      <c r="C2511" s="4" t="s">
        <v>52</v>
      </c>
      <c r="D2511" s="5" t="s">
        <v>131</v>
      </c>
      <c r="E2511" s="10" t="str">
        <f t="shared" si="562"/>
        <v>PDP'!</v>
      </c>
      <c r="F2511" s="5" t="str">
        <f t="shared" si="563"/>
        <v>C:\Users\jaime.benazar\Quorum Business Solutions\Ecopetrol Prometeo - Documents\Planning Space Implementation\3. Analysis &amp; Design\Design\FC22\DRR Jaime\Neiva CPI\[VAO_DINA TERCIARIOS_CF_SEC_20230117.xlsx]CF PDP'!</v>
      </c>
      <c r="G2511" s="7" t="s">
        <v>109</v>
      </c>
      <c r="H2511" s="4">
        <f t="shared" ref="H2511:H2530" si="565">IF(A2511&lt;&gt;A2510,36,H2510+1)</f>
        <v>37</v>
      </c>
      <c r="I2511" s="4" t="str">
        <f t="shared" si="564"/>
        <v>='C:\Users\jaime.benazar\Quorum Business Solutions\Ecopetrol Prometeo - Documents\Planning Space Implementation\3. Analysis &amp; Design\Design\FC22\DRR Jaime\Neiva CPI\[VAO_DINA TERCIARIOS_CF_SEC_20230117.xlsx]CF PDP'!$DN$37</v>
      </c>
      <c r="J2511" s="4" t="s">
        <v>1243</v>
      </c>
    </row>
    <row r="2512" spans="1:10" x14ac:dyDescent="0.3">
      <c r="A2512" s="7" t="s">
        <v>14</v>
      </c>
      <c r="B2512" s="7">
        <f t="shared" ref="B2512:B2523" si="566">+B2511+1</f>
        <v>2025</v>
      </c>
      <c r="C2512" s="4" t="s">
        <v>52</v>
      </c>
      <c r="D2512" s="5" t="s">
        <v>131</v>
      </c>
      <c r="E2512" s="10" t="str">
        <f t="shared" si="562"/>
        <v>PDP'!</v>
      </c>
      <c r="F2512" s="5" t="str">
        <f t="shared" si="563"/>
        <v>C:\Users\jaime.benazar\Quorum Business Solutions\Ecopetrol Prometeo - Documents\Planning Space Implementation\3. Analysis &amp; Design\Design\FC22\DRR Jaime\Neiva CPI\[VAO_DINA TERCIARIOS_CF_SEC_20230117.xlsx]CF PDP'!</v>
      </c>
      <c r="G2512" s="7" t="s">
        <v>109</v>
      </c>
      <c r="H2512" s="4">
        <f t="shared" si="565"/>
        <v>38</v>
      </c>
      <c r="I2512" s="4" t="str">
        <f t="shared" si="564"/>
        <v>='C:\Users\jaime.benazar\Quorum Business Solutions\Ecopetrol Prometeo - Documents\Planning Space Implementation\3. Analysis &amp; Design\Design\FC22\DRR Jaime\Neiva CPI\[VAO_DINA TERCIARIOS_CF_SEC_20230117.xlsx]CF PDP'!$DN$38</v>
      </c>
      <c r="J2512" s="4" t="s">
        <v>1244</v>
      </c>
    </row>
    <row r="2513" spans="1:10" x14ac:dyDescent="0.3">
      <c r="A2513" s="7" t="s">
        <v>14</v>
      </c>
      <c r="B2513" s="7">
        <f t="shared" si="566"/>
        <v>2026</v>
      </c>
      <c r="C2513" s="4" t="s">
        <v>52</v>
      </c>
      <c r="D2513" s="5" t="s">
        <v>131</v>
      </c>
      <c r="E2513" s="10" t="str">
        <f t="shared" si="562"/>
        <v>PDP'!</v>
      </c>
      <c r="F2513" s="5" t="str">
        <f t="shared" si="563"/>
        <v>C:\Users\jaime.benazar\Quorum Business Solutions\Ecopetrol Prometeo - Documents\Planning Space Implementation\3. Analysis &amp; Design\Design\FC22\DRR Jaime\Neiva CPI\[VAO_DINA TERCIARIOS_CF_SEC_20230117.xlsx]CF PDP'!</v>
      </c>
      <c r="G2513" s="7" t="s">
        <v>109</v>
      </c>
      <c r="H2513" s="4">
        <f t="shared" si="565"/>
        <v>39</v>
      </c>
      <c r="I2513" s="4" t="str">
        <f t="shared" si="564"/>
        <v>='C:\Users\jaime.benazar\Quorum Business Solutions\Ecopetrol Prometeo - Documents\Planning Space Implementation\3. Analysis &amp; Design\Design\FC22\DRR Jaime\Neiva CPI\[VAO_DINA TERCIARIOS_CF_SEC_20230117.xlsx]CF PDP'!$DN$39</v>
      </c>
      <c r="J2513" s="4" t="s">
        <v>1245</v>
      </c>
    </row>
    <row r="2514" spans="1:10" x14ac:dyDescent="0.3">
      <c r="A2514" s="7" t="s">
        <v>14</v>
      </c>
      <c r="B2514" s="7">
        <f t="shared" si="566"/>
        <v>2027</v>
      </c>
      <c r="C2514" s="4" t="s">
        <v>52</v>
      </c>
      <c r="D2514" s="5" t="s">
        <v>131</v>
      </c>
      <c r="E2514" s="10" t="str">
        <f t="shared" si="562"/>
        <v>PDP'!</v>
      </c>
      <c r="F2514" s="5" t="str">
        <f t="shared" si="563"/>
        <v>C:\Users\jaime.benazar\Quorum Business Solutions\Ecopetrol Prometeo - Documents\Planning Space Implementation\3. Analysis &amp; Design\Design\FC22\DRR Jaime\Neiva CPI\[VAO_DINA TERCIARIOS_CF_SEC_20230117.xlsx]CF PDP'!</v>
      </c>
      <c r="G2514" s="7" t="s">
        <v>109</v>
      </c>
      <c r="H2514" s="4">
        <f t="shared" si="565"/>
        <v>40</v>
      </c>
      <c r="I2514" s="4" t="str">
        <f t="shared" si="564"/>
        <v>='C:\Users\jaime.benazar\Quorum Business Solutions\Ecopetrol Prometeo - Documents\Planning Space Implementation\3. Analysis &amp; Design\Design\FC22\DRR Jaime\Neiva CPI\[VAO_DINA TERCIARIOS_CF_SEC_20230117.xlsx]CF PDP'!$DN$40</v>
      </c>
      <c r="J2514" s="4" t="s">
        <v>1246</v>
      </c>
    </row>
    <row r="2515" spans="1:10" x14ac:dyDescent="0.3">
      <c r="A2515" s="7" t="s">
        <v>14</v>
      </c>
      <c r="B2515" s="7">
        <f t="shared" si="566"/>
        <v>2028</v>
      </c>
      <c r="C2515" s="4" t="s">
        <v>52</v>
      </c>
      <c r="D2515" s="5" t="s">
        <v>131</v>
      </c>
      <c r="E2515" s="10" t="str">
        <f t="shared" si="562"/>
        <v>PDP'!</v>
      </c>
      <c r="F2515" s="5" t="str">
        <f t="shared" si="563"/>
        <v>C:\Users\jaime.benazar\Quorum Business Solutions\Ecopetrol Prometeo - Documents\Planning Space Implementation\3. Analysis &amp; Design\Design\FC22\DRR Jaime\Neiva CPI\[VAO_DINA TERCIARIOS_CF_SEC_20230117.xlsx]CF PDP'!</v>
      </c>
      <c r="G2515" s="7" t="s">
        <v>109</v>
      </c>
      <c r="H2515" s="4">
        <f t="shared" si="565"/>
        <v>41</v>
      </c>
      <c r="I2515" s="4" t="str">
        <f t="shared" si="564"/>
        <v>='C:\Users\jaime.benazar\Quorum Business Solutions\Ecopetrol Prometeo - Documents\Planning Space Implementation\3. Analysis &amp; Design\Design\FC22\DRR Jaime\Neiva CPI\[VAO_DINA TERCIARIOS_CF_SEC_20230117.xlsx]CF PDP'!$DN$41</v>
      </c>
      <c r="J2515" s="4" t="s">
        <v>1247</v>
      </c>
    </row>
    <row r="2516" spans="1:10" x14ac:dyDescent="0.3">
      <c r="A2516" s="7" t="s">
        <v>14</v>
      </c>
      <c r="B2516" s="7">
        <f t="shared" si="566"/>
        <v>2029</v>
      </c>
      <c r="C2516" s="4" t="s">
        <v>52</v>
      </c>
      <c r="D2516" s="5" t="s">
        <v>131</v>
      </c>
      <c r="E2516" s="10" t="str">
        <f t="shared" si="562"/>
        <v>PDP'!</v>
      </c>
      <c r="F2516" s="5" t="str">
        <f t="shared" si="563"/>
        <v>C:\Users\jaime.benazar\Quorum Business Solutions\Ecopetrol Prometeo - Documents\Planning Space Implementation\3. Analysis &amp; Design\Design\FC22\DRR Jaime\Neiva CPI\[VAO_DINA TERCIARIOS_CF_SEC_20230117.xlsx]CF PDP'!</v>
      </c>
      <c r="G2516" s="7" t="s">
        <v>109</v>
      </c>
      <c r="H2516" s="4">
        <f t="shared" si="565"/>
        <v>42</v>
      </c>
      <c r="I2516" s="4" t="str">
        <f t="shared" si="564"/>
        <v>='C:\Users\jaime.benazar\Quorum Business Solutions\Ecopetrol Prometeo - Documents\Planning Space Implementation\3. Analysis &amp; Design\Design\FC22\DRR Jaime\Neiva CPI\[VAO_DINA TERCIARIOS_CF_SEC_20230117.xlsx]CF PDP'!$DN$42</v>
      </c>
      <c r="J2516" s="4" t="s">
        <v>1248</v>
      </c>
    </row>
    <row r="2517" spans="1:10" x14ac:dyDescent="0.3">
      <c r="A2517" s="7" t="s">
        <v>14</v>
      </c>
      <c r="B2517" s="7">
        <f t="shared" si="566"/>
        <v>2030</v>
      </c>
      <c r="C2517" s="4" t="s">
        <v>52</v>
      </c>
      <c r="D2517" s="5" t="s">
        <v>131</v>
      </c>
      <c r="E2517" s="10" t="str">
        <f t="shared" si="562"/>
        <v>PDP'!</v>
      </c>
      <c r="F2517" s="5" t="str">
        <f t="shared" si="563"/>
        <v>C:\Users\jaime.benazar\Quorum Business Solutions\Ecopetrol Prometeo - Documents\Planning Space Implementation\3. Analysis &amp; Design\Design\FC22\DRR Jaime\Neiva CPI\[VAO_DINA TERCIARIOS_CF_SEC_20230117.xlsx]CF PDP'!</v>
      </c>
      <c r="G2517" s="7" t="s">
        <v>109</v>
      </c>
      <c r="H2517" s="4">
        <f t="shared" si="565"/>
        <v>43</v>
      </c>
      <c r="I2517" s="4" t="str">
        <f t="shared" si="564"/>
        <v>='C:\Users\jaime.benazar\Quorum Business Solutions\Ecopetrol Prometeo - Documents\Planning Space Implementation\3. Analysis &amp; Design\Design\FC22\DRR Jaime\Neiva CPI\[VAO_DINA TERCIARIOS_CF_SEC_20230117.xlsx]CF PDP'!$DN$43</v>
      </c>
      <c r="J2517" s="4" t="s">
        <v>1249</v>
      </c>
    </row>
    <row r="2518" spans="1:10" x14ac:dyDescent="0.3">
      <c r="A2518" s="7" t="s">
        <v>14</v>
      </c>
      <c r="B2518" s="7">
        <f t="shared" si="566"/>
        <v>2031</v>
      </c>
      <c r="C2518" s="4" t="s">
        <v>52</v>
      </c>
      <c r="D2518" s="5" t="s">
        <v>131</v>
      </c>
      <c r="E2518" s="10" t="str">
        <f t="shared" si="562"/>
        <v>PDP'!</v>
      </c>
      <c r="F2518" s="5" t="str">
        <f t="shared" si="563"/>
        <v>C:\Users\jaime.benazar\Quorum Business Solutions\Ecopetrol Prometeo - Documents\Planning Space Implementation\3. Analysis &amp; Design\Design\FC22\DRR Jaime\Neiva CPI\[VAO_DINA TERCIARIOS_CF_SEC_20230117.xlsx]CF PDP'!</v>
      </c>
      <c r="G2518" s="7" t="s">
        <v>109</v>
      </c>
      <c r="H2518" s="4">
        <f t="shared" si="565"/>
        <v>44</v>
      </c>
      <c r="I2518" s="4" t="str">
        <f t="shared" si="564"/>
        <v>='C:\Users\jaime.benazar\Quorum Business Solutions\Ecopetrol Prometeo - Documents\Planning Space Implementation\3. Analysis &amp; Design\Design\FC22\DRR Jaime\Neiva CPI\[VAO_DINA TERCIARIOS_CF_SEC_20230117.xlsx]CF PDP'!$DN$44</v>
      </c>
      <c r="J2518" s="4" t="s">
        <v>1250</v>
      </c>
    </row>
    <row r="2519" spans="1:10" x14ac:dyDescent="0.3">
      <c r="A2519" s="7" t="s">
        <v>14</v>
      </c>
      <c r="B2519" s="7">
        <f t="shared" si="566"/>
        <v>2032</v>
      </c>
      <c r="C2519" s="4" t="s">
        <v>52</v>
      </c>
      <c r="D2519" s="5" t="s">
        <v>131</v>
      </c>
      <c r="E2519" s="10" t="str">
        <f t="shared" si="562"/>
        <v>PDP'!</v>
      </c>
      <c r="F2519" s="5" t="str">
        <f t="shared" si="563"/>
        <v>C:\Users\jaime.benazar\Quorum Business Solutions\Ecopetrol Prometeo - Documents\Planning Space Implementation\3. Analysis &amp; Design\Design\FC22\DRR Jaime\Neiva CPI\[VAO_DINA TERCIARIOS_CF_SEC_20230117.xlsx]CF PDP'!</v>
      </c>
      <c r="G2519" s="7" t="s">
        <v>109</v>
      </c>
      <c r="H2519" s="4">
        <f t="shared" si="565"/>
        <v>45</v>
      </c>
      <c r="I2519" s="4" t="str">
        <f t="shared" si="564"/>
        <v>='C:\Users\jaime.benazar\Quorum Business Solutions\Ecopetrol Prometeo - Documents\Planning Space Implementation\3. Analysis &amp; Design\Design\FC22\DRR Jaime\Neiva CPI\[VAO_DINA TERCIARIOS_CF_SEC_20230117.xlsx]CF PDP'!$DN$45</v>
      </c>
      <c r="J2519" s="4" t="s">
        <v>1251</v>
      </c>
    </row>
    <row r="2520" spans="1:10" x14ac:dyDescent="0.3">
      <c r="A2520" s="7" t="s">
        <v>14</v>
      </c>
      <c r="B2520" s="7">
        <f t="shared" si="566"/>
        <v>2033</v>
      </c>
      <c r="C2520" s="4" t="s">
        <v>52</v>
      </c>
      <c r="D2520" s="5" t="s">
        <v>131</v>
      </c>
      <c r="E2520" s="10" t="str">
        <f t="shared" si="562"/>
        <v>PDP'!</v>
      </c>
      <c r="F2520" s="5" t="str">
        <f t="shared" si="563"/>
        <v>C:\Users\jaime.benazar\Quorum Business Solutions\Ecopetrol Prometeo - Documents\Planning Space Implementation\3. Analysis &amp; Design\Design\FC22\DRR Jaime\Neiva CPI\[VAO_DINA TERCIARIOS_CF_SEC_20230117.xlsx]CF PDP'!</v>
      </c>
      <c r="G2520" s="7" t="s">
        <v>109</v>
      </c>
      <c r="H2520" s="4">
        <f t="shared" si="565"/>
        <v>46</v>
      </c>
      <c r="I2520" s="4" t="str">
        <f t="shared" si="564"/>
        <v>='C:\Users\jaime.benazar\Quorum Business Solutions\Ecopetrol Prometeo - Documents\Planning Space Implementation\3. Analysis &amp; Design\Design\FC22\DRR Jaime\Neiva CPI\[VAO_DINA TERCIARIOS_CF_SEC_20230117.xlsx]CF PDP'!$DN$46</v>
      </c>
      <c r="J2520" s="4" t="s">
        <v>1252</v>
      </c>
    </row>
    <row r="2521" spans="1:10" x14ac:dyDescent="0.3">
      <c r="A2521" s="7" t="s">
        <v>14</v>
      </c>
      <c r="B2521" s="7">
        <f t="shared" si="566"/>
        <v>2034</v>
      </c>
      <c r="C2521" s="4" t="s">
        <v>52</v>
      </c>
      <c r="D2521" s="5" t="s">
        <v>131</v>
      </c>
      <c r="E2521" s="10" t="str">
        <f t="shared" si="562"/>
        <v>PDP'!</v>
      </c>
      <c r="F2521" s="5" t="str">
        <f t="shared" si="563"/>
        <v>C:\Users\jaime.benazar\Quorum Business Solutions\Ecopetrol Prometeo - Documents\Planning Space Implementation\3. Analysis &amp; Design\Design\FC22\DRR Jaime\Neiva CPI\[VAO_DINA TERCIARIOS_CF_SEC_20230117.xlsx]CF PDP'!</v>
      </c>
      <c r="G2521" s="7" t="s">
        <v>109</v>
      </c>
      <c r="H2521" s="4">
        <f t="shared" si="565"/>
        <v>47</v>
      </c>
      <c r="I2521" s="4" t="str">
        <f t="shared" si="564"/>
        <v>='C:\Users\jaime.benazar\Quorum Business Solutions\Ecopetrol Prometeo - Documents\Planning Space Implementation\3. Analysis &amp; Design\Design\FC22\DRR Jaime\Neiva CPI\[VAO_DINA TERCIARIOS_CF_SEC_20230117.xlsx]CF PDP'!$DN$47</v>
      </c>
      <c r="J2521" s="4" t="s">
        <v>1253</v>
      </c>
    </row>
    <row r="2522" spans="1:10" x14ac:dyDescent="0.3">
      <c r="A2522" s="7" t="s">
        <v>14</v>
      </c>
      <c r="B2522" s="7">
        <f t="shared" si="566"/>
        <v>2035</v>
      </c>
      <c r="C2522" s="4" t="s">
        <v>52</v>
      </c>
      <c r="D2522" s="5" t="s">
        <v>131</v>
      </c>
      <c r="E2522" s="10" t="str">
        <f t="shared" si="562"/>
        <v>PDP'!</v>
      </c>
      <c r="F2522" s="5" t="str">
        <f t="shared" si="563"/>
        <v>C:\Users\jaime.benazar\Quorum Business Solutions\Ecopetrol Prometeo - Documents\Planning Space Implementation\3. Analysis &amp; Design\Design\FC22\DRR Jaime\Neiva CPI\[VAO_DINA TERCIARIOS_CF_SEC_20230117.xlsx]CF PDP'!</v>
      </c>
      <c r="G2522" s="7" t="s">
        <v>109</v>
      </c>
      <c r="H2522" s="4">
        <f t="shared" si="565"/>
        <v>48</v>
      </c>
      <c r="I2522" s="4" t="str">
        <f t="shared" si="564"/>
        <v>='C:\Users\jaime.benazar\Quorum Business Solutions\Ecopetrol Prometeo - Documents\Planning Space Implementation\3. Analysis &amp; Design\Design\FC22\DRR Jaime\Neiva CPI\[VAO_DINA TERCIARIOS_CF_SEC_20230117.xlsx]CF PDP'!$DN$48</v>
      </c>
      <c r="J2522" s="4" t="s">
        <v>1254</v>
      </c>
    </row>
    <row r="2523" spans="1:10" x14ac:dyDescent="0.3">
      <c r="A2523" s="7" t="s">
        <v>14</v>
      </c>
      <c r="B2523" s="7">
        <f t="shared" si="566"/>
        <v>2036</v>
      </c>
      <c r="C2523" s="4" t="s">
        <v>52</v>
      </c>
      <c r="D2523" s="5" t="s">
        <v>131</v>
      </c>
      <c r="E2523" s="10" t="str">
        <f t="shared" si="562"/>
        <v>PDP'!</v>
      </c>
      <c r="F2523" s="5" t="str">
        <f t="shared" si="563"/>
        <v>C:\Users\jaime.benazar\Quorum Business Solutions\Ecopetrol Prometeo - Documents\Planning Space Implementation\3. Analysis &amp; Design\Design\FC22\DRR Jaime\Neiva CPI\[VAO_DINA TERCIARIOS_CF_SEC_20230117.xlsx]CF PDP'!</v>
      </c>
      <c r="G2523" s="7" t="s">
        <v>109</v>
      </c>
      <c r="H2523" s="4">
        <f t="shared" si="565"/>
        <v>49</v>
      </c>
      <c r="I2523" s="4" t="str">
        <f t="shared" si="564"/>
        <v>='C:\Users\jaime.benazar\Quorum Business Solutions\Ecopetrol Prometeo - Documents\Planning Space Implementation\3. Analysis &amp; Design\Design\FC22\DRR Jaime\Neiva CPI\[VAO_DINA TERCIARIOS_CF_SEC_20230117.xlsx]CF PDP'!$DN$49</v>
      </c>
      <c r="J2523" s="4" t="s">
        <v>1255</v>
      </c>
    </row>
    <row r="2524" spans="1:10" x14ac:dyDescent="0.3">
      <c r="A2524" s="7" t="s">
        <v>14</v>
      </c>
      <c r="B2524" s="7">
        <f>+B2523+1</f>
        <v>2037</v>
      </c>
      <c r="C2524" s="4" t="s">
        <v>52</v>
      </c>
      <c r="D2524" s="5" t="s">
        <v>131</v>
      </c>
      <c r="E2524" s="10" t="str">
        <f t="shared" si="562"/>
        <v>PDP'!</v>
      </c>
      <c r="F2524" s="5" t="str">
        <f t="shared" si="563"/>
        <v>C:\Users\jaime.benazar\Quorum Business Solutions\Ecopetrol Prometeo - Documents\Planning Space Implementation\3. Analysis &amp; Design\Design\FC22\DRR Jaime\Neiva CPI\[VAO_DINA TERCIARIOS_CF_SEC_20230117.xlsx]CF PDP'!</v>
      </c>
      <c r="G2524" s="7" t="s">
        <v>109</v>
      </c>
      <c r="H2524" s="4">
        <f t="shared" si="565"/>
        <v>50</v>
      </c>
      <c r="I2524" s="4" t="str">
        <f t="shared" si="564"/>
        <v>='C:\Users\jaime.benazar\Quorum Business Solutions\Ecopetrol Prometeo - Documents\Planning Space Implementation\3. Analysis &amp; Design\Design\FC22\DRR Jaime\Neiva CPI\[VAO_DINA TERCIARIOS_CF_SEC_20230117.xlsx]CF PDP'!$DN$50</v>
      </c>
      <c r="J2524" s="4" t="s">
        <v>1256</v>
      </c>
    </row>
    <row r="2525" spans="1:10" x14ac:dyDescent="0.3">
      <c r="A2525" s="7" t="s">
        <v>14</v>
      </c>
      <c r="B2525" s="7">
        <f t="shared" ref="B2525:B2527" si="567">+B2524+1</f>
        <v>2038</v>
      </c>
      <c r="C2525" s="4" t="s">
        <v>52</v>
      </c>
      <c r="D2525" s="5" t="s">
        <v>131</v>
      </c>
      <c r="E2525" s="10" t="str">
        <f t="shared" si="562"/>
        <v>PDP'!</v>
      </c>
      <c r="F2525" s="5" t="str">
        <f t="shared" si="563"/>
        <v>C:\Users\jaime.benazar\Quorum Business Solutions\Ecopetrol Prometeo - Documents\Planning Space Implementation\3. Analysis &amp; Design\Design\FC22\DRR Jaime\Neiva CPI\[VAO_DINA TERCIARIOS_CF_SEC_20230117.xlsx]CF PDP'!</v>
      </c>
      <c r="G2525" s="7" t="s">
        <v>109</v>
      </c>
      <c r="H2525" s="4">
        <f t="shared" si="565"/>
        <v>51</v>
      </c>
      <c r="I2525" s="4" t="str">
        <f t="shared" si="564"/>
        <v>='C:\Users\jaime.benazar\Quorum Business Solutions\Ecopetrol Prometeo - Documents\Planning Space Implementation\3. Analysis &amp; Design\Design\FC22\DRR Jaime\Neiva CPI\[VAO_DINA TERCIARIOS_CF_SEC_20230117.xlsx]CF PDP'!$DN$51</v>
      </c>
      <c r="J2525" s="4" t="s">
        <v>1257</v>
      </c>
    </row>
    <row r="2526" spans="1:10" x14ac:dyDescent="0.3">
      <c r="A2526" s="7" t="s">
        <v>14</v>
      </c>
      <c r="B2526" s="7">
        <f t="shared" si="567"/>
        <v>2039</v>
      </c>
      <c r="C2526" s="4" t="s">
        <v>52</v>
      </c>
      <c r="D2526" s="5" t="s">
        <v>131</v>
      </c>
      <c r="E2526" s="10" t="str">
        <f t="shared" si="562"/>
        <v>PDP'!</v>
      </c>
      <c r="F2526" s="5" t="str">
        <f t="shared" si="563"/>
        <v>C:\Users\jaime.benazar\Quorum Business Solutions\Ecopetrol Prometeo - Documents\Planning Space Implementation\3. Analysis &amp; Design\Design\FC22\DRR Jaime\Neiva CPI\[VAO_DINA TERCIARIOS_CF_SEC_20230117.xlsx]CF PDP'!</v>
      </c>
      <c r="G2526" s="7" t="s">
        <v>109</v>
      </c>
      <c r="H2526" s="4">
        <f t="shared" si="565"/>
        <v>52</v>
      </c>
      <c r="I2526" s="4" t="str">
        <f t="shared" si="564"/>
        <v>='C:\Users\jaime.benazar\Quorum Business Solutions\Ecopetrol Prometeo - Documents\Planning Space Implementation\3. Analysis &amp; Design\Design\FC22\DRR Jaime\Neiva CPI\[VAO_DINA TERCIARIOS_CF_SEC_20230117.xlsx]CF PDP'!$DN$52</v>
      </c>
      <c r="J2526" s="4" t="s">
        <v>1258</v>
      </c>
    </row>
    <row r="2527" spans="1:10" x14ac:dyDescent="0.3">
      <c r="A2527" s="7" t="s">
        <v>14</v>
      </c>
      <c r="B2527" s="7">
        <f t="shared" si="567"/>
        <v>2040</v>
      </c>
      <c r="C2527" s="4" t="s">
        <v>52</v>
      </c>
      <c r="D2527" s="5" t="s">
        <v>131</v>
      </c>
      <c r="E2527" s="10" t="str">
        <f t="shared" si="562"/>
        <v>PDP'!</v>
      </c>
      <c r="F2527" s="5" t="str">
        <f t="shared" si="563"/>
        <v>C:\Users\jaime.benazar\Quorum Business Solutions\Ecopetrol Prometeo - Documents\Planning Space Implementation\3. Analysis &amp; Design\Design\FC22\DRR Jaime\Neiva CPI\[VAO_DINA TERCIARIOS_CF_SEC_20230117.xlsx]CF PDP'!</v>
      </c>
      <c r="G2527" s="7" t="s">
        <v>109</v>
      </c>
      <c r="H2527" s="4">
        <f t="shared" si="565"/>
        <v>53</v>
      </c>
      <c r="I2527" s="4" t="str">
        <f t="shared" si="564"/>
        <v>='C:\Users\jaime.benazar\Quorum Business Solutions\Ecopetrol Prometeo - Documents\Planning Space Implementation\3. Analysis &amp; Design\Design\FC22\DRR Jaime\Neiva CPI\[VAO_DINA TERCIARIOS_CF_SEC_20230117.xlsx]CF PDP'!$DN$53</v>
      </c>
      <c r="J2527" s="4" t="s">
        <v>1259</v>
      </c>
    </row>
    <row r="2528" spans="1:10" x14ac:dyDescent="0.3">
      <c r="A2528" s="7" t="s">
        <v>14</v>
      </c>
      <c r="B2528" s="7">
        <f>+B2527+1</f>
        <v>2041</v>
      </c>
      <c r="C2528" s="4" t="s">
        <v>52</v>
      </c>
      <c r="D2528" s="5" t="s">
        <v>131</v>
      </c>
      <c r="E2528" s="10" t="str">
        <f t="shared" si="562"/>
        <v>PDP'!</v>
      </c>
      <c r="F2528" s="5" t="str">
        <f t="shared" si="563"/>
        <v>C:\Users\jaime.benazar\Quorum Business Solutions\Ecopetrol Prometeo - Documents\Planning Space Implementation\3. Analysis &amp; Design\Design\FC22\DRR Jaime\Neiva CPI\[VAO_DINA TERCIARIOS_CF_SEC_20230117.xlsx]CF PDP'!</v>
      </c>
      <c r="G2528" s="7" t="s">
        <v>109</v>
      </c>
      <c r="H2528" s="4">
        <f t="shared" si="565"/>
        <v>54</v>
      </c>
      <c r="I2528" s="4" t="str">
        <f t="shared" si="564"/>
        <v>='C:\Users\jaime.benazar\Quorum Business Solutions\Ecopetrol Prometeo - Documents\Planning Space Implementation\3. Analysis &amp; Design\Design\FC22\DRR Jaime\Neiva CPI\[VAO_DINA TERCIARIOS_CF_SEC_20230117.xlsx]CF PDP'!$DN$54</v>
      </c>
      <c r="J2528" s="4" t="s">
        <v>1260</v>
      </c>
    </row>
    <row r="2529" spans="1:10" x14ac:dyDescent="0.3">
      <c r="A2529" s="7" t="s">
        <v>14</v>
      </c>
      <c r="B2529" s="7">
        <f t="shared" ref="B2529:B2530" si="568">+B2528+1</f>
        <v>2042</v>
      </c>
      <c r="C2529" s="4" t="s">
        <v>52</v>
      </c>
      <c r="D2529" s="5" t="s">
        <v>131</v>
      </c>
      <c r="E2529" s="10" t="str">
        <f t="shared" si="562"/>
        <v>PDP'!</v>
      </c>
      <c r="F2529" s="5" t="str">
        <f t="shared" si="563"/>
        <v>C:\Users\jaime.benazar\Quorum Business Solutions\Ecopetrol Prometeo - Documents\Planning Space Implementation\3. Analysis &amp; Design\Design\FC22\DRR Jaime\Neiva CPI\[VAO_DINA TERCIARIOS_CF_SEC_20230117.xlsx]CF PDP'!</v>
      </c>
      <c r="G2529" s="7" t="s">
        <v>109</v>
      </c>
      <c r="H2529" s="4">
        <f t="shared" si="565"/>
        <v>55</v>
      </c>
      <c r="I2529" s="4" t="str">
        <f t="shared" si="564"/>
        <v>='C:\Users\jaime.benazar\Quorum Business Solutions\Ecopetrol Prometeo - Documents\Planning Space Implementation\3. Analysis &amp; Design\Design\FC22\DRR Jaime\Neiva CPI\[VAO_DINA TERCIARIOS_CF_SEC_20230117.xlsx]CF PDP'!$DN$55</v>
      </c>
      <c r="J2529" s="4" t="s">
        <v>1261</v>
      </c>
    </row>
    <row r="2530" spans="1:10" x14ac:dyDescent="0.3">
      <c r="A2530" s="7" t="s">
        <v>14</v>
      </c>
      <c r="B2530" s="7">
        <f t="shared" si="568"/>
        <v>2043</v>
      </c>
      <c r="C2530" s="4" t="s">
        <v>52</v>
      </c>
      <c r="D2530" s="5" t="s">
        <v>131</v>
      </c>
      <c r="E2530" s="10" t="str">
        <f t="shared" si="562"/>
        <v>PDP'!</v>
      </c>
      <c r="F2530" s="5" t="str">
        <f t="shared" si="563"/>
        <v>C:\Users\jaime.benazar\Quorum Business Solutions\Ecopetrol Prometeo - Documents\Planning Space Implementation\3. Analysis &amp; Design\Design\FC22\DRR Jaime\Neiva CPI\[VAO_DINA TERCIARIOS_CF_SEC_20230117.xlsx]CF PDP'!</v>
      </c>
      <c r="G2530" s="7" t="s">
        <v>109</v>
      </c>
      <c r="H2530" s="4">
        <f t="shared" si="565"/>
        <v>56</v>
      </c>
      <c r="I2530" s="4" t="str">
        <f t="shared" si="564"/>
        <v>='C:\Users\jaime.benazar\Quorum Business Solutions\Ecopetrol Prometeo - Documents\Planning Space Implementation\3. Analysis &amp; Design\Design\FC22\DRR Jaime\Neiva CPI\[VAO_DINA TERCIARIOS_CF_SEC_20230117.xlsx]CF PDP'!$DN$56</v>
      </c>
      <c r="J2530" s="4" t="s">
        <v>1262</v>
      </c>
    </row>
    <row r="2531" spans="1:10" x14ac:dyDescent="0.3">
      <c r="A2531" s="7" t="s">
        <v>14</v>
      </c>
      <c r="B2531" s="7">
        <f>+B2530+1</f>
        <v>2044</v>
      </c>
      <c r="C2531" s="4" t="s">
        <v>52</v>
      </c>
      <c r="D2531" s="5" t="s">
        <v>131</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Jaime\Neiva CPI\[VAO_DINA TERCIARIOS_CF_SEC_20230117.xlsx]CF PDP'!</v>
      </c>
      <c r="G2531" s="7" t="s">
        <v>109</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Jaime\Neiva CPI\[VAO_DINA TERCIARIOS_CF_SEC_20230117.xlsx]CF PDP'!$DN$57</v>
      </c>
      <c r="J2531" s="4" t="s">
        <v>1263</v>
      </c>
    </row>
    <row r="2532" spans="1:10" x14ac:dyDescent="0.3">
      <c r="A2532" s="7" t="s">
        <v>14</v>
      </c>
      <c r="B2532" s="7">
        <f t="shared" ref="B2532:B2546" si="573">+B2531+1</f>
        <v>2045</v>
      </c>
      <c r="C2532" s="4" t="s">
        <v>52</v>
      </c>
      <c r="D2532" s="5" t="s">
        <v>131</v>
      </c>
      <c r="E2532" s="10" t="str">
        <f t="shared" si="569"/>
        <v>PDP'!</v>
      </c>
      <c r="F2532" s="5" t="str">
        <f t="shared" si="570"/>
        <v>C:\Users\jaime.benazar\Quorum Business Solutions\Ecopetrol Prometeo - Documents\Planning Space Implementation\3. Analysis &amp; Design\Design\FC22\DRR Jaime\Neiva CPI\[VAO_DINA TERCIARIOS_CF_SEC_20230117.xlsx]CF PDP'!</v>
      </c>
      <c r="G2532" s="7" t="s">
        <v>109</v>
      </c>
      <c r="H2532" s="4">
        <f t="shared" si="571"/>
        <v>58</v>
      </c>
      <c r="I2532" s="4" t="str">
        <f t="shared" si="572"/>
        <v>='C:\Users\jaime.benazar\Quorum Business Solutions\Ecopetrol Prometeo - Documents\Planning Space Implementation\3. Analysis &amp; Design\Design\FC22\DRR Jaime\Neiva CPI\[VAO_DINA TERCIARIOS_CF_SEC_20230117.xlsx]CF PDP'!$DN$58</v>
      </c>
      <c r="J2532" s="4" t="s">
        <v>1264</v>
      </c>
    </row>
    <row r="2533" spans="1:10" x14ac:dyDescent="0.3">
      <c r="A2533" s="7" t="s">
        <v>14</v>
      </c>
      <c r="B2533" s="7">
        <f t="shared" si="573"/>
        <v>2046</v>
      </c>
      <c r="C2533" s="4" t="s">
        <v>52</v>
      </c>
      <c r="D2533" s="5" t="s">
        <v>131</v>
      </c>
      <c r="E2533" s="10" t="str">
        <f t="shared" si="569"/>
        <v>PDP'!</v>
      </c>
      <c r="F2533" s="5" t="str">
        <f t="shared" si="570"/>
        <v>C:\Users\jaime.benazar\Quorum Business Solutions\Ecopetrol Prometeo - Documents\Planning Space Implementation\3. Analysis &amp; Design\Design\FC22\DRR Jaime\Neiva CPI\[VAO_DINA TERCIARIOS_CF_SEC_20230117.xlsx]CF PDP'!</v>
      </c>
      <c r="G2533" s="7" t="s">
        <v>109</v>
      </c>
      <c r="H2533" s="4">
        <f t="shared" si="571"/>
        <v>59</v>
      </c>
      <c r="I2533" s="4" t="str">
        <f t="shared" si="572"/>
        <v>='C:\Users\jaime.benazar\Quorum Business Solutions\Ecopetrol Prometeo - Documents\Planning Space Implementation\3. Analysis &amp; Design\Design\FC22\DRR Jaime\Neiva CPI\[VAO_DINA TERCIARIOS_CF_SEC_20230117.xlsx]CF PDP'!$DN$59</v>
      </c>
      <c r="J2533" s="4" t="s">
        <v>1265</v>
      </c>
    </row>
    <row r="2534" spans="1:10" x14ac:dyDescent="0.3">
      <c r="A2534" s="7" t="s">
        <v>14</v>
      </c>
      <c r="B2534" s="7">
        <f t="shared" si="573"/>
        <v>2047</v>
      </c>
      <c r="C2534" s="4" t="s">
        <v>52</v>
      </c>
      <c r="D2534" s="5" t="s">
        <v>131</v>
      </c>
      <c r="E2534" s="10" t="str">
        <f t="shared" si="569"/>
        <v>PDP'!</v>
      </c>
      <c r="F2534" s="5" t="str">
        <f t="shared" si="570"/>
        <v>C:\Users\jaime.benazar\Quorum Business Solutions\Ecopetrol Prometeo - Documents\Planning Space Implementation\3. Analysis &amp; Design\Design\FC22\DRR Jaime\Neiva CPI\[VAO_DINA TERCIARIOS_CF_SEC_20230117.xlsx]CF PDP'!</v>
      </c>
      <c r="G2534" s="7" t="s">
        <v>109</v>
      </c>
      <c r="H2534" s="4">
        <f t="shared" si="571"/>
        <v>60</v>
      </c>
      <c r="I2534" s="4" t="str">
        <f t="shared" si="572"/>
        <v>='C:\Users\jaime.benazar\Quorum Business Solutions\Ecopetrol Prometeo - Documents\Planning Space Implementation\3. Analysis &amp; Design\Design\FC22\DRR Jaime\Neiva CPI\[VAO_DINA TERCIARIOS_CF_SEC_20230117.xlsx]CF PDP'!$DN$60</v>
      </c>
      <c r="J2534" s="4" t="s">
        <v>1266</v>
      </c>
    </row>
    <row r="2535" spans="1:10" x14ac:dyDescent="0.3">
      <c r="A2535" s="7" t="s">
        <v>14</v>
      </c>
      <c r="B2535" s="7">
        <f t="shared" si="573"/>
        <v>2048</v>
      </c>
      <c r="C2535" s="4" t="s">
        <v>52</v>
      </c>
      <c r="D2535" s="5" t="s">
        <v>131</v>
      </c>
      <c r="E2535" s="10" t="str">
        <f t="shared" si="569"/>
        <v>PDP'!</v>
      </c>
      <c r="F2535" s="5" t="str">
        <f t="shared" si="570"/>
        <v>C:\Users\jaime.benazar\Quorum Business Solutions\Ecopetrol Prometeo - Documents\Planning Space Implementation\3. Analysis &amp; Design\Design\FC22\DRR Jaime\Neiva CPI\[VAO_DINA TERCIARIOS_CF_SEC_20230117.xlsx]CF PDP'!</v>
      </c>
      <c r="G2535" s="7" t="s">
        <v>109</v>
      </c>
      <c r="H2535" s="4">
        <f t="shared" si="571"/>
        <v>61</v>
      </c>
      <c r="I2535" s="4" t="str">
        <f t="shared" si="572"/>
        <v>='C:\Users\jaime.benazar\Quorum Business Solutions\Ecopetrol Prometeo - Documents\Planning Space Implementation\3. Analysis &amp; Design\Design\FC22\DRR Jaime\Neiva CPI\[VAO_DINA TERCIARIOS_CF_SEC_20230117.xlsx]CF PDP'!$DN$61</v>
      </c>
      <c r="J2535" s="4" t="s">
        <v>1267</v>
      </c>
    </row>
    <row r="2536" spans="1:10" x14ac:dyDescent="0.3">
      <c r="A2536" s="7" t="s">
        <v>14</v>
      </c>
      <c r="B2536" s="7">
        <f t="shared" si="573"/>
        <v>2049</v>
      </c>
      <c r="C2536" s="4" t="s">
        <v>52</v>
      </c>
      <c r="D2536" s="5" t="s">
        <v>131</v>
      </c>
      <c r="E2536" s="10" t="str">
        <f t="shared" si="569"/>
        <v>PDP'!</v>
      </c>
      <c r="F2536" s="5" t="str">
        <f t="shared" si="570"/>
        <v>C:\Users\jaime.benazar\Quorum Business Solutions\Ecopetrol Prometeo - Documents\Planning Space Implementation\3. Analysis &amp; Design\Design\FC22\DRR Jaime\Neiva CPI\[VAO_DINA TERCIARIOS_CF_SEC_20230117.xlsx]CF PDP'!</v>
      </c>
      <c r="G2536" s="7" t="s">
        <v>109</v>
      </c>
      <c r="H2536" s="4">
        <f t="shared" si="571"/>
        <v>62</v>
      </c>
      <c r="I2536" s="4" t="str">
        <f t="shared" si="572"/>
        <v>='C:\Users\jaime.benazar\Quorum Business Solutions\Ecopetrol Prometeo - Documents\Planning Space Implementation\3. Analysis &amp; Design\Design\FC22\DRR Jaime\Neiva CPI\[VAO_DINA TERCIARIOS_CF_SEC_20230117.xlsx]CF PDP'!$DN$62</v>
      </c>
      <c r="J2536" s="4" t="s">
        <v>1268</v>
      </c>
    </row>
    <row r="2537" spans="1:10" x14ac:dyDescent="0.3">
      <c r="A2537" s="7" t="s">
        <v>14</v>
      </c>
      <c r="B2537" s="7">
        <f t="shared" si="573"/>
        <v>2050</v>
      </c>
      <c r="C2537" s="4" t="s">
        <v>52</v>
      </c>
      <c r="D2537" s="5" t="s">
        <v>131</v>
      </c>
      <c r="E2537" s="10" t="str">
        <f t="shared" si="569"/>
        <v>PDP'!</v>
      </c>
      <c r="F2537" s="5" t="str">
        <f t="shared" si="570"/>
        <v>C:\Users\jaime.benazar\Quorum Business Solutions\Ecopetrol Prometeo - Documents\Planning Space Implementation\3. Analysis &amp; Design\Design\FC22\DRR Jaime\Neiva CPI\[VAO_DINA TERCIARIOS_CF_SEC_20230117.xlsx]CF PDP'!</v>
      </c>
      <c r="G2537" s="7" t="s">
        <v>109</v>
      </c>
      <c r="H2537" s="4">
        <f t="shared" si="571"/>
        <v>63</v>
      </c>
      <c r="I2537" s="4" t="str">
        <f t="shared" si="572"/>
        <v>='C:\Users\jaime.benazar\Quorum Business Solutions\Ecopetrol Prometeo - Documents\Planning Space Implementation\3. Analysis &amp; Design\Design\FC22\DRR Jaime\Neiva CPI\[VAO_DINA TERCIARIOS_CF_SEC_20230117.xlsx]CF PDP'!$DN$63</v>
      </c>
      <c r="J2537" s="4" t="s">
        <v>1269</v>
      </c>
    </row>
    <row r="2538" spans="1:10" x14ac:dyDescent="0.3">
      <c r="A2538" s="7" t="s">
        <v>14</v>
      </c>
      <c r="B2538" s="7">
        <f t="shared" si="573"/>
        <v>2051</v>
      </c>
      <c r="C2538" s="4" t="s">
        <v>52</v>
      </c>
      <c r="D2538" s="5" t="s">
        <v>131</v>
      </c>
      <c r="E2538" s="10" t="str">
        <f t="shared" si="569"/>
        <v>PDP'!</v>
      </c>
      <c r="F2538" s="5" t="str">
        <f t="shared" si="570"/>
        <v>C:\Users\jaime.benazar\Quorum Business Solutions\Ecopetrol Prometeo - Documents\Planning Space Implementation\3. Analysis &amp; Design\Design\FC22\DRR Jaime\Neiva CPI\[VAO_DINA TERCIARIOS_CF_SEC_20230117.xlsx]CF PDP'!</v>
      </c>
      <c r="G2538" s="7" t="s">
        <v>109</v>
      </c>
      <c r="H2538" s="4">
        <f t="shared" si="571"/>
        <v>64</v>
      </c>
      <c r="I2538" s="4" t="str">
        <f t="shared" si="572"/>
        <v>='C:\Users\jaime.benazar\Quorum Business Solutions\Ecopetrol Prometeo - Documents\Planning Space Implementation\3. Analysis &amp; Design\Design\FC22\DRR Jaime\Neiva CPI\[VAO_DINA TERCIARIOS_CF_SEC_20230117.xlsx]CF PDP'!$DN$64</v>
      </c>
      <c r="J2538" s="4" t="s">
        <v>1270</v>
      </c>
    </row>
    <row r="2539" spans="1:10" x14ac:dyDescent="0.3">
      <c r="A2539" s="7" t="s">
        <v>14</v>
      </c>
      <c r="B2539" s="7">
        <f t="shared" si="573"/>
        <v>2052</v>
      </c>
      <c r="C2539" s="4" t="s">
        <v>52</v>
      </c>
      <c r="D2539" s="5" t="s">
        <v>131</v>
      </c>
      <c r="E2539" s="10" t="str">
        <f t="shared" si="569"/>
        <v>PDP'!</v>
      </c>
      <c r="F2539" s="5" t="str">
        <f t="shared" si="570"/>
        <v>C:\Users\jaime.benazar\Quorum Business Solutions\Ecopetrol Prometeo - Documents\Planning Space Implementation\3. Analysis &amp; Design\Design\FC22\DRR Jaime\Neiva CPI\[VAO_DINA TERCIARIOS_CF_SEC_20230117.xlsx]CF PDP'!</v>
      </c>
      <c r="G2539" s="7" t="s">
        <v>109</v>
      </c>
      <c r="H2539" s="4">
        <f t="shared" si="571"/>
        <v>65</v>
      </c>
      <c r="I2539" s="4" t="str">
        <f t="shared" si="572"/>
        <v>='C:\Users\jaime.benazar\Quorum Business Solutions\Ecopetrol Prometeo - Documents\Planning Space Implementation\3. Analysis &amp; Design\Design\FC22\DRR Jaime\Neiva CPI\[VAO_DINA TERCIARIOS_CF_SEC_20230117.xlsx]CF PDP'!$DN$65</v>
      </c>
      <c r="J2539" s="4" t="s">
        <v>1271</v>
      </c>
    </row>
    <row r="2540" spans="1:10" x14ac:dyDescent="0.3">
      <c r="A2540" s="7" t="s">
        <v>14</v>
      </c>
      <c r="B2540" s="7">
        <f t="shared" si="573"/>
        <v>2053</v>
      </c>
      <c r="C2540" s="4" t="s">
        <v>52</v>
      </c>
      <c r="D2540" s="5" t="s">
        <v>131</v>
      </c>
      <c r="E2540" s="10" t="str">
        <f t="shared" si="569"/>
        <v>PDP'!</v>
      </c>
      <c r="F2540" s="5" t="str">
        <f t="shared" si="570"/>
        <v>C:\Users\jaime.benazar\Quorum Business Solutions\Ecopetrol Prometeo - Documents\Planning Space Implementation\3. Analysis &amp; Design\Design\FC22\DRR Jaime\Neiva CPI\[VAO_DINA TERCIARIOS_CF_SEC_20230117.xlsx]CF PDP'!</v>
      </c>
      <c r="G2540" s="7" t="s">
        <v>109</v>
      </c>
      <c r="H2540" s="4">
        <f t="shared" si="571"/>
        <v>66</v>
      </c>
      <c r="I2540" s="4" t="str">
        <f t="shared" si="572"/>
        <v>='C:\Users\jaime.benazar\Quorum Business Solutions\Ecopetrol Prometeo - Documents\Planning Space Implementation\3. Analysis &amp; Design\Design\FC22\DRR Jaime\Neiva CPI\[VAO_DINA TERCIARIOS_CF_SEC_20230117.xlsx]CF PDP'!$DN$66</v>
      </c>
      <c r="J2540" s="4" t="s">
        <v>1272</v>
      </c>
    </row>
    <row r="2541" spans="1:10" x14ac:dyDescent="0.3">
      <c r="A2541" s="7" t="s">
        <v>14</v>
      </c>
      <c r="B2541" s="7">
        <f t="shared" si="573"/>
        <v>2054</v>
      </c>
      <c r="C2541" s="4" t="s">
        <v>52</v>
      </c>
      <c r="D2541" s="5" t="s">
        <v>131</v>
      </c>
      <c r="E2541" s="10" t="str">
        <f t="shared" si="569"/>
        <v>PDP'!</v>
      </c>
      <c r="F2541" s="5" t="str">
        <f t="shared" si="570"/>
        <v>C:\Users\jaime.benazar\Quorum Business Solutions\Ecopetrol Prometeo - Documents\Planning Space Implementation\3. Analysis &amp; Design\Design\FC22\DRR Jaime\Neiva CPI\[VAO_DINA TERCIARIOS_CF_SEC_20230117.xlsx]CF PDP'!</v>
      </c>
      <c r="G2541" s="7" t="s">
        <v>109</v>
      </c>
      <c r="H2541" s="4">
        <f t="shared" si="571"/>
        <v>67</v>
      </c>
      <c r="I2541" s="4" t="str">
        <f t="shared" si="572"/>
        <v>='C:\Users\jaime.benazar\Quorum Business Solutions\Ecopetrol Prometeo - Documents\Planning Space Implementation\3. Analysis &amp; Design\Design\FC22\DRR Jaime\Neiva CPI\[VAO_DINA TERCIARIOS_CF_SEC_20230117.xlsx]CF PDP'!$DN$67</v>
      </c>
      <c r="J2541" s="4" t="s">
        <v>1273</v>
      </c>
    </row>
    <row r="2542" spans="1:10" x14ac:dyDescent="0.3">
      <c r="A2542" s="7" t="s">
        <v>14</v>
      </c>
      <c r="B2542" s="7">
        <f t="shared" si="573"/>
        <v>2055</v>
      </c>
      <c r="C2542" s="4" t="s">
        <v>52</v>
      </c>
      <c r="D2542" s="5" t="s">
        <v>131</v>
      </c>
      <c r="E2542" s="10" t="str">
        <f t="shared" si="569"/>
        <v>PDP'!</v>
      </c>
      <c r="F2542" s="5" t="str">
        <f t="shared" si="570"/>
        <v>C:\Users\jaime.benazar\Quorum Business Solutions\Ecopetrol Prometeo - Documents\Planning Space Implementation\3. Analysis &amp; Design\Design\FC22\DRR Jaime\Neiva CPI\[VAO_DINA TERCIARIOS_CF_SEC_20230117.xlsx]CF PDP'!</v>
      </c>
      <c r="G2542" s="7" t="s">
        <v>109</v>
      </c>
      <c r="H2542" s="4">
        <f t="shared" si="571"/>
        <v>68</v>
      </c>
      <c r="I2542" s="4" t="str">
        <f t="shared" si="572"/>
        <v>='C:\Users\jaime.benazar\Quorum Business Solutions\Ecopetrol Prometeo - Documents\Planning Space Implementation\3. Analysis &amp; Design\Design\FC22\DRR Jaime\Neiva CPI\[VAO_DINA TERCIARIOS_CF_SEC_20230117.xlsx]CF PDP'!$DN$68</v>
      </c>
      <c r="J2542" s="4" t="s">
        <v>1274</v>
      </c>
    </row>
    <row r="2543" spans="1:10" x14ac:dyDescent="0.3">
      <c r="A2543" s="7" t="s">
        <v>14</v>
      </c>
      <c r="B2543" s="7">
        <f t="shared" si="573"/>
        <v>2056</v>
      </c>
      <c r="C2543" s="4" t="s">
        <v>52</v>
      </c>
      <c r="D2543" s="5" t="s">
        <v>131</v>
      </c>
      <c r="E2543" s="10" t="str">
        <f t="shared" si="569"/>
        <v>PDP'!</v>
      </c>
      <c r="F2543" s="5" t="str">
        <f t="shared" si="570"/>
        <v>C:\Users\jaime.benazar\Quorum Business Solutions\Ecopetrol Prometeo - Documents\Planning Space Implementation\3. Analysis &amp; Design\Design\FC22\DRR Jaime\Neiva CPI\[VAO_DINA TERCIARIOS_CF_SEC_20230117.xlsx]CF PDP'!</v>
      </c>
      <c r="G2543" s="7" t="s">
        <v>109</v>
      </c>
      <c r="H2543" s="4">
        <f t="shared" si="571"/>
        <v>69</v>
      </c>
      <c r="I2543" s="4" t="str">
        <f t="shared" si="572"/>
        <v>='C:\Users\jaime.benazar\Quorum Business Solutions\Ecopetrol Prometeo - Documents\Planning Space Implementation\3. Analysis &amp; Design\Design\FC22\DRR Jaime\Neiva CPI\[VAO_DINA TERCIARIOS_CF_SEC_20230117.xlsx]CF PDP'!$DN$69</v>
      </c>
      <c r="J2543" s="4" t="s">
        <v>1275</v>
      </c>
    </row>
    <row r="2544" spans="1:10" x14ac:dyDescent="0.3">
      <c r="A2544" s="7" t="s">
        <v>14</v>
      </c>
      <c r="B2544" s="7">
        <f t="shared" si="573"/>
        <v>2057</v>
      </c>
      <c r="C2544" s="4" t="s">
        <v>52</v>
      </c>
      <c r="D2544" s="5" t="s">
        <v>131</v>
      </c>
      <c r="E2544" s="10" t="str">
        <f t="shared" si="569"/>
        <v>PDP'!</v>
      </c>
      <c r="F2544" s="5" t="str">
        <f t="shared" si="570"/>
        <v>C:\Users\jaime.benazar\Quorum Business Solutions\Ecopetrol Prometeo - Documents\Planning Space Implementation\3. Analysis &amp; Design\Design\FC22\DRR Jaime\Neiva CPI\[VAO_DINA TERCIARIOS_CF_SEC_20230117.xlsx]CF PDP'!</v>
      </c>
      <c r="G2544" s="7" t="s">
        <v>109</v>
      </c>
      <c r="H2544" s="4">
        <f t="shared" si="571"/>
        <v>70</v>
      </c>
      <c r="I2544" s="4" t="str">
        <f t="shared" si="572"/>
        <v>='C:\Users\jaime.benazar\Quorum Business Solutions\Ecopetrol Prometeo - Documents\Planning Space Implementation\3. Analysis &amp; Design\Design\FC22\DRR Jaime\Neiva CPI\[VAO_DINA TERCIARIOS_CF_SEC_20230117.xlsx]CF PDP'!$DN$70</v>
      </c>
      <c r="J2544" s="4" t="s">
        <v>1276</v>
      </c>
    </row>
    <row r="2545" spans="1:10" x14ac:dyDescent="0.3">
      <c r="A2545" s="7" t="s">
        <v>14</v>
      </c>
      <c r="B2545" s="7">
        <f t="shared" si="573"/>
        <v>2058</v>
      </c>
      <c r="C2545" s="4" t="s">
        <v>52</v>
      </c>
      <c r="D2545" s="5" t="s">
        <v>131</v>
      </c>
      <c r="E2545" s="10" t="str">
        <f t="shared" si="569"/>
        <v>PDP'!</v>
      </c>
      <c r="F2545" s="5" t="str">
        <f t="shared" si="570"/>
        <v>C:\Users\jaime.benazar\Quorum Business Solutions\Ecopetrol Prometeo - Documents\Planning Space Implementation\3. Analysis &amp; Design\Design\FC22\DRR Jaime\Neiva CPI\[VAO_DINA TERCIARIOS_CF_SEC_20230117.xlsx]CF PDP'!</v>
      </c>
      <c r="G2545" s="7" t="s">
        <v>109</v>
      </c>
      <c r="H2545" s="4">
        <f t="shared" si="571"/>
        <v>71</v>
      </c>
      <c r="I2545" s="4" t="str">
        <f t="shared" si="572"/>
        <v>='C:\Users\jaime.benazar\Quorum Business Solutions\Ecopetrol Prometeo - Documents\Planning Space Implementation\3. Analysis &amp; Design\Design\FC22\DRR Jaime\Neiva CPI\[VAO_DINA TERCIARIOS_CF_SEC_20230117.xlsx]CF PDP'!$DN$71</v>
      </c>
      <c r="J2545" s="4" t="s">
        <v>1277</v>
      </c>
    </row>
    <row r="2546" spans="1:10" x14ac:dyDescent="0.3">
      <c r="A2546" s="7" t="s">
        <v>14</v>
      </c>
      <c r="B2546" s="7">
        <f t="shared" si="573"/>
        <v>2059</v>
      </c>
      <c r="C2546" s="4" t="s">
        <v>52</v>
      </c>
      <c r="D2546" s="5" t="s">
        <v>131</v>
      </c>
      <c r="E2546" s="10" t="str">
        <f t="shared" si="569"/>
        <v>PDP'!</v>
      </c>
      <c r="F2546" s="5" t="str">
        <f t="shared" si="570"/>
        <v>C:\Users\jaime.benazar\Quorum Business Solutions\Ecopetrol Prometeo - Documents\Planning Space Implementation\3. Analysis &amp; Design\Design\FC22\DRR Jaime\Neiva CPI\[VAO_DINA TERCIARIOS_CF_SEC_20230117.xlsx]CF PDP'!</v>
      </c>
      <c r="G2546" s="7" t="s">
        <v>109</v>
      </c>
      <c r="H2546" s="4">
        <f t="shared" si="571"/>
        <v>72</v>
      </c>
      <c r="I2546" s="4" t="str">
        <f t="shared" si="572"/>
        <v>='C:\Users\jaime.benazar\Quorum Business Solutions\Ecopetrol Prometeo - Documents\Planning Space Implementation\3. Analysis &amp; Design\Design\FC22\DRR Jaime\Neiva CPI\[VAO_DINA TERCIARIOS_CF_SEC_20230117.xlsx]CF PDP'!$DN$72</v>
      </c>
      <c r="J2546" s="4" t="s">
        <v>1278</v>
      </c>
    </row>
    <row r="2547" spans="1:10" x14ac:dyDescent="0.3">
      <c r="A2547" s="7" t="s">
        <v>26</v>
      </c>
      <c r="B2547" s="7"/>
      <c r="C2547" s="4" t="s">
        <v>52</v>
      </c>
      <c r="D2547" s="5"/>
      <c r="E2547" s="10"/>
      <c r="F2547" s="2"/>
      <c r="G2547" s="7"/>
      <c r="H2547" s="4"/>
      <c r="I2547" s="4"/>
      <c r="J2547" s="4"/>
    </row>
    <row r="2548" spans="1:10" x14ac:dyDescent="0.3">
      <c r="A2548" s="7" t="s">
        <v>15</v>
      </c>
      <c r="B2548" s="7">
        <v>2023</v>
      </c>
      <c r="C2548" s="4" t="s">
        <v>52</v>
      </c>
      <c r="D2548" s="5" t="s">
        <v>131</v>
      </c>
      <c r="E2548" s="10" t="str">
        <f t="shared" ref="E2548:E2568" si="574">_xlfn.CONCAT(A2548,"'!")</f>
        <v>PNP'!</v>
      </c>
      <c r="F2548" s="5" t="str">
        <f t="shared" si="563"/>
        <v>C:\Users\jaime.benazar\Quorum Business Solutions\Ecopetrol Prometeo - Documents\Planning Space Implementation\3. Analysis &amp; Design\Design\FC22\DRR Jaime\Neiva CPI\[VAO_DINA TERCIARIOS_CF_SEC_20230117.xlsx]CF PNP'!</v>
      </c>
      <c r="G2548" s="7" t="s">
        <v>109</v>
      </c>
      <c r="H2548" s="4">
        <f>IF(A2548&lt;&gt;A2418,36,H2418+1)</f>
        <v>36</v>
      </c>
      <c r="I2548" s="4" t="str">
        <f t="shared" ref="I2548:I2568" si="575">_xlfn.CONCAT("='",F2548:H2548)</f>
        <v>='C:\Users\jaime.benazar\Quorum Business Solutions\Ecopetrol Prometeo - Documents\Planning Space Implementation\3. Analysis &amp; Design\Design\FC22\DRR Jaime\Neiva CPI\[VAO_DINA TERCIARIOS_CF_SEC_20230117.xlsx]CF PNP'!$DN$36</v>
      </c>
      <c r="J2548" s="4" t="s">
        <v>1279</v>
      </c>
    </row>
    <row r="2549" spans="1:10" x14ac:dyDescent="0.3">
      <c r="A2549" s="7" t="s">
        <v>15</v>
      </c>
      <c r="B2549" s="7">
        <f>+B2548+1</f>
        <v>2024</v>
      </c>
      <c r="C2549" s="4" t="s">
        <v>52</v>
      </c>
      <c r="D2549" s="5" t="s">
        <v>131</v>
      </c>
      <c r="E2549" s="10" t="str">
        <f t="shared" si="574"/>
        <v>PNP'!</v>
      </c>
      <c r="F2549" s="5" t="str">
        <f t="shared" si="563"/>
        <v>C:\Users\jaime.benazar\Quorum Business Solutions\Ecopetrol Prometeo - Documents\Planning Space Implementation\3. Analysis &amp; Design\Design\FC22\DRR Jaime\Neiva CPI\[VAO_DINA TERCIARIOS_CF_SEC_20230117.xlsx]CF PNP'!</v>
      </c>
      <c r="G2549" s="7" t="s">
        <v>109</v>
      </c>
      <c r="H2549" s="4">
        <f t="shared" ref="H2549:H2568" si="576">IF(A2549&lt;&gt;A2548,36,H2548+1)</f>
        <v>37</v>
      </c>
      <c r="I2549" s="4" t="str">
        <f t="shared" si="575"/>
        <v>='C:\Users\jaime.benazar\Quorum Business Solutions\Ecopetrol Prometeo - Documents\Planning Space Implementation\3. Analysis &amp; Design\Design\FC22\DRR Jaime\Neiva CPI\[VAO_DINA TERCIARIOS_CF_SEC_20230117.xlsx]CF PNP'!$DN$37</v>
      </c>
      <c r="J2549" s="4" t="s">
        <v>1280</v>
      </c>
    </row>
    <row r="2550" spans="1:10" x14ac:dyDescent="0.3">
      <c r="A2550" s="7" t="s">
        <v>15</v>
      </c>
      <c r="B2550" s="7">
        <f t="shared" ref="B2550:B2561" si="577">+B2549+1</f>
        <v>2025</v>
      </c>
      <c r="C2550" s="4" t="s">
        <v>52</v>
      </c>
      <c r="D2550" s="5" t="s">
        <v>131</v>
      </c>
      <c r="E2550" s="10" t="str">
        <f t="shared" si="574"/>
        <v>PNP'!</v>
      </c>
      <c r="F2550" s="5" t="str">
        <f t="shared" si="563"/>
        <v>C:\Users\jaime.benazar\Quorum Business Solutions\Ecopetrol Prometeo - Documents\Planning Space Implementation\3. Analysis &amp; Design\Design\FC22\DRR Jaime\Neiva CPI\[VAO_DINA TERCIARIOS_CF_SEC_20230117.xlsx]CF PNP'!</v>
      </c>
      <c r="G2550" s="7" t="s">
        <v>109</v>
      </c>
      <c r="H2550" s="4">
        <f t="shared" si="576"/>
        <v>38</v>
      </c>
      <c r="I2550" s="4" t="str">
        <f t="shared" si="575"/>
        <v>='C:\Users\jaime.benazar\Quorum Business Solutions\Ecopetrol Prometeo - Documents\Planning Space Implementation\3. Analysis &amp; Design\Design\FC22\DRR Jaime\Neiva CPI\[VAO_DINA TERCIARIOS_CF_SEC_20230117.xlsx]CF PNP'!$DN$38</v>
      </c>
      <c r="J2550" s="4" t="s">
        <v>1281</v>
      </c>
    </row>
    <row r="2551" spans="1:10" x14ac:dyDescent="0.3">
      <c r="A2551" s="7" t="s">
        <v>15</v>
      </c>
      <c r="B2551" s="7">
        <f t="shared" si="577"/>
        <v>2026</v>
      </c>
      <c r="C2551" s="4" t="s">
        <v>52</v>
      </c>
      <c r="D2551" s="5" t="s">
        <v>131</v>
      </c>
      <c r="E2551" s="10" t="str">
        <f t="shared" si="574"/>
        <v>PNP'!</v>
      </c>
      <c r="F2551" s="5" t="str">
        <f t="shared" si="563"/>
        <v>C:\Users\jaime.benazar\Quorum Business Solutions\Ecopetrol Prometeo - Documents\Planning Space Implementation\3. Analysis &amp; Design\Design\FC22\DRR Jaime\Neiva CPI\[VAO_DINA TERCIARIOS_CF_SEC_20230117.xlsx]CF PNP'!</v>
      </c>
      <c r="G2551" s="7" t="s">
        <v>109</v>
      </c>
      <c r="H2551" s="4">
        <f t="shared" si="576"/>
        <v>39</v>
      </c>
      <c r="I2551" s="4" t="str">
        <f t="shared" si="575"/>
        <v>='C:\Users\jaime.benazar\Quorum Business Solutions\Ecopetrol Prometeo - Documents\Planning Space Implementation\3. Analysis &amp; Design\Design\FC22\DRR Jaime\Neiva CPI\[VAO_DINA TERCIARIOS_CF_SEC_20230117.xlsx]CF PNP'!$DN$39</v>
      </c>
      <c r="J2551" s="4" t="s">
        <v>1282</v>
      </c>
    </row>
    <row r="2552" spans="1:10" x14ac:dyDescent="0.3">
      <c r="A2552" s="7" t="s">
        <v>15</v>
      </c>
      <c r="B2552" s="7">
        <f t="shared" si="577"/>
        <v>2027</v>
      </c>
      <c r="C2552" s="4" t="s">
        <v>52</v>
      </c>
      <c r="D2552" s="5" t="s">
        <v>131</v>
      </c>
      <c r="E2552" s="10" t="str">
        <f t="shared" si="574"/>
        <v>PNP'!</v>
      </c>
      <c r="F2552" s="5" t="str">
        <f t="shared" si="563"/>
        <v>C:\Users\jaime.benazar\Quorum Business Solutions\Ecopetrol Prometeo - Documents\Planning Space Implementation\3. Analysis &amp; Design\Design\FC22\DRR Jaime\Neiva CPI\[VAO_DINA TERCIARIOS_CF_SEC_20230117.xlsx]CF PNP'!</v>
      </c>
      <c r="G2552" s="7" t="s">
        <v>109</v>
      </c>
      <c r="H2552" s="4">
        <f t="shared" si="576"/>
        <v>40</v>
      </c>
      <c r="I2552" s="4" t="str">
        <f t="shared" si="575"/>
        <v>='C:\Users\jaime.benazar\Quorum Business Solutions\Ecopetrol Prometeo - Documents\Planning Space Implementation\3. Analysis &amp; Design\Design\FC22\DRR Jaime\Neiva CPI\[VAO_DINA TERCIARIOS_CF_SEC_20230117.xlsx]CF PNP'!$DN$40</v>
      </c>
      <c r="J2552" s="4" t="s">
        <v>1283</v>
      </c>
    </row>
    <row r="2553" spans="1:10" x14ac:dyDescent="0.3">
      <c r="A2553" s="7" t="s">
        <v>15</v>
      </c>
      <c r="B2553" s="7">
        <f t="shared" si="577"/>
        <v>2028</v>
      </c>
      <c r="C2553" s="4" t="s">
        <v>52</v>
      </c>
      <c r="D2553" s="5" t="s">
        <v>131</v>
      </c>
      <c r="E2553" s="10" t="str">
        <f t="shared" si="574"/>
        <v>PNP'!</v>
      </c>
      <c r="F2553" s="5" t="str">
        <f t="shared" si="563"/>
        <v>C:\Users\jaime.benazar\Quorum Business Solutions\Ecopetrol Prometeo - Documents\Planning Space Implementation\3. Analysis &amp; Design\Design\FC22\DRR Jaime\Neiva CPI\[VAO_DINA TERCIARIOS_CF_SEC_20230117.xlsx]CF PNP'!</v>
      </c>
      <c r="G2553" s="7" t="s">
        <v>109</v>
      </c>
      <c r="H2553" s="4">
        <f t="shared" si="576"/>
        <v>41</v>
      </c>
      <c r="I2553" s="4" t="str">
        <f t="shared" si="575"/>
        <v>='C:\Users\jaime.benazar\Quorum Business Solutions\Ecopetrol Prometeo - Documents\Planning Space Implementation\3. Analysis &amp; Design\Design\FC22\DRR Jaime\Neiva CPI\[VAO_DINA TERCIARIOS_CF_SEC_20230117.xlsx]CF PNP'!$DN$41</v>
      </c>
      <c r="J2553" s="4" t="s">
        <v>1284</v>
      </c>
    </row>
    <row r="2554" spans="1:10" x14ac:dyDescent="0.3">
      <c r="A2554" s="7" t="s">
        <v>15</v>
      </c>
      <c r="B2554" s="7">
        <f t="shared" si="577"/>
        <v>2029</v>
      </c>
      <c r="C2554" s="4" t="s">
        <v>52</v>
      </c>
      <c r="D2554" s="5" t="s">
        <v>131</v>
      </c>
      <c r="E2554" s="10" t="str">
        <f t="shared" si="574"/>
        <v>PNP'!</v>
      </c>
      <c r="F2554" s="5" t="str">
        <f t="shared" si="563"/>
        <v>C:\Users\jaime.benazar\Quorum Business Solutions\Ecopetrol Prometeo - Documents\Planning Space Implementation\3. Analysis &amp; Design\Design\FC22\DRR Jaime\Neiva CPI\[VAO_DINA TERCIARIOS_CF_SEC_20230117.xlsx]CF PNP'!</v>
      </c>
      <c r="G2554" s="7" t="s">
        <v>109</v>
      </c>
      <c r="H2554" s="4">
        <f t="shared" si="576"/>
        <v>42</v>
      </c>
      <c r="I2554" s="4" t="str">
        <f t="shared" si="575"/>
        <v>='C:\Users\jaime.benazar\Quorum Business Solutions\Ecopetrol Prometeo - Documents\Planning Space Implementation\3. Analysis &amp; Design\Design\FC22\DRR Jaime\Neiva CPI\[VAO_DINA TERCIARIOS_CF_SEC_20230117.xlsx]CF PNP'!$DN$42</v>
      </c>
      <c r="J2554" s="4" t="s">
        <v>1285</v>
      </c>
    </row>
    <row r="2555" spans="1:10" x14ac:dyDescent="0.3">
      <c r="A2555" s="7" t="s">
        <v>15</v>
      </c>
      <c r="B2555" s="7">
        <f t="shared" si="577"/>
        <v>2030</v>
      </c>
      <c r="C2555" s="4" t="s">
        <v>52</v>
      </c>
      <c r="D2555" s="5" t="s">
        <v>131</v>
      </c>
      <c r="E2555" s="10" t="str">
        <f t="shared" si="574"/>
        <v>PNP'!</v>
      </c>
      <c r="F2555" s="5" t="str">
        <f t="shared" si="563"/>
        <v>C:\Users\jaime.benazar\Quorum Business Solutions\Ecopetrol Prometeo - Documents\Planning Space Implementation\3. Analysis &amp; Design\Design\FC22\DRR Jaime\Neiva CPI\[VAO_DINA TERCIARIOS_CF_SEC_20230117.xlsx]CF PNP'!</v>
      </c>
      <c r="G2555" s="7" t="s">
        <v>109</v>
      </c>
      <c r="H2555" s="4">
        <f t="shared" si="576"/>
        <v>43</v>
      </c>
      <c r="I2555" s="4" t="str">
        <f t="shared" si="575"/>
        <v>='C:\Users\jaime.benazar\Quorum Business Solutions\Ecopetrol Prometeo - Documents\Planning Space Implementation\3. Analysis &amp; Design\Design\FC22\DRR Jaime\Neiva CPI\[VAO_DINA TERCIARIOS_CF_SEC_20230117.xlsx]CF PNP'!$DN$43</v>
      </c>
      <c r="J2555" s="4" t="s">
        <v>1286</v>
      </c>
    </row>
    <row r="2556" spans="1:10" x14ac:dyDescent="0.3">
      <c r="A2556" s="7" t="s">
        <v>15</v>
      </c>
      <c r="B2556" s="7">
        <f t="shared" si="577"/>
        <v>2031</v>
      </c>
      <c r="C2556" s="4" t="s">
        <v>52</v>
      </c>
      <c r="D2556" s="5" t="s">
        <v>131</v>
      </c>
      <c r="E2556" s="10" t="str">
        <f t="shared" si="574"/>
        <v>PNP'!</v>
      </c>
      <c r="F2556" s="5" t="str">
        <f t="shared" si="563"/>
        <v>C:\Users\jaime.benazar\Quorum Business Solutions\Ecopetrol Prometeo - Documents\Planning Space Implementation\3. Analysis &amp; Design\Design\FC22\DRR Jaime\Neiva CPI\[VAO_DINA TERCIARIOS_CF_SEC_20230117.xlsx]CF PNP'!</v>
      </c>
      <c r="G2556" s="7" t="s">
        <v>109</v>
      </c>
      <c r="H2556" s="4">
        <f t="shared" si="576"/>
        <v>44</v>
      </c>
      <c r="I2556" s="4" t="str">
        <f t="shared" si="575"/>
        <v>='C:\Users\jaime.benazar\Quorum Business Solutions\Ecopetrol Prometeo - Documents\Planning Space Implementation\3. Analysis &amp; Design\Design\FC22\DRR Jaime\Neiva CPI\[VAO_DINA TERCIARIOS_CF_SEC_20230117.xlsx]CF PNP'!$DN$44</v>
      </c>
      <c r="J2556" s="4" t="s">
        <v>1287</v>
      </c>
    </row>
    <row r="2557" spans="1:10" x14ac:dyDescent="0.3">
      <c r="A2557" s="7" t="s">
        <v>15</v>
      </c>
      <c r="B2557" s="7">
        <f t="shared" si="577"/>
        <v>2032</v>
      </c>
      <c r="C2557" s="4" t="s">
        <v>52</v>
      </c>
      <c r="D2557" s="5" t="s">
        <v>131</v>
      </c>
      <c r="E2557" s="10" t="str">
        <f t="shared" si="574"/>
        <v>PNP'!</v>
      </c>
      <c r="F2557" s="5" t="str">
        <f t="shared" si="563"/>
        <v>C:\Users\jaime.benazar\Quorum Business Solutions\Ecopetrol Prometeo - Documents\Planning Space Implementation\3. Analysis &amp; Design\Design\FC22\DRR Jaime\Neiva CPI\[VAO_DINA TERCIARIOS_CF_SEC_20230117.xlsx]CF PNP'!</v>
      </c>
      <c r="G2557" s="7" t="s">
        <v>109</v>
      </c>
      <c r="H2557" s="4">
        <f t="shared" si="576"/>
        <v>45</v>
      </c>
      <c r="I2557" s="4" t="str">
        <f t="shared" si="575"/>
        <v>='C:\Users\jaime.benazar\Quorum Business Solutions\Ecopetrol Prometeo - Documents\Planning Space Implementation\3. Analysis &amp; Design\Design\FC22\DRR Jaime\Neiva CPI\[VAO_DINA TERCIARIOS_CF_SEC_20230117.xlsx]CF PNP'!$DN$45</v>
      </c>
      <c r="J2557" s="4" t="s">
        <v>1288</v>
      </c>
    </row>
    <row r="2558" spans="1:10" x14ac:dyDescent="0.3">
      <c r="A2558" s="7" t="s">
        <v>15</v>
      </c>
      <c r="B2558" s="7">
        <f t="shared" si="577"/>
        <v>2033</v>
      </c>
      <c r="C2558" s="4" t="s">
        <v>52</v>
      </c>
      <c r="D2558" s="5" t="s">
        <v>131</v>
      </c>
      <c r="E2558" s="10" t="str">
        <f t="shared" si="574"/>
        <v>PNP'!</v>
      </c>
      <c r="F2558" s="5" t="str">
        <f t="shared" si="563"/>
        <v>C:\Users\jaime.benazar\Quorum Business Solutions\Ecopetrol Prometeo - Documents\Planning Space Implementation\3. Analysis &amp; Design\Design\FC22\DRR Jaime\Neiva CPI\[VAO_DINA TERCIARIOS_CF_SEC_20230117.xlsx]CF PNP'!</v>
      </c>
      <c r="G2558" s="7" t="s">
        <v>109</v>
      </c>
      <c r="H2558" s="4">
        <f t="shared" si="576"/>
        <v>46</v>
      </c>
      <c r="I2558" s="4" t="str">
        <f t="shared" si="575"/>
        <v>='C:\Users\jaime.benazar\Quorum Business Solutions\Ecopetrol Prometeo - Documents\Planning Space Implementation\3. Analysis &amp; Design\Design\FC22\DRR Jaime\Neiva CPI\[VAO_DINA TERCIARIOS_CF_SEC_20230117.xlsx]CF PNP'!$DN$46</v>
      </c>
      <c r="J2558" s="4" t="s">
        <v>1289</v>
      </c>
    </row>
    <row r="2559" spans="1:10" x14ac:dyDescent="0.3">
      <c r="A2559" s="7" t="s">
        <v>15</v>
      </c>
      <c r="B2559" s="7">
        <f t="shared" si="577"/>
        <v>2034</v>
      </c>
      <c r="C2559" s="4" t="s">
        <v>52</v>
      </c>
      <c r="D2559" s="5" t="s">
        <v>131</v>
      </c>
      <c r="E2559" s="10" t="str">
        <f t="shared" si="574"/>
        <v>PNP'!</v>
      </c>
      <c r="F2559" s="5" t="str">
        <f t="shared" si="563"/>
        <v>C:\Users\jaime.benazar\Quorum Business Solutions\Ecopetrol Prometeo - Documents\Planning Space Implementation\3. Analysis &amp; Design\Design\FC22\DRR Jaime\Neiva CPI\[VAO_DINA TERCIARIOS_CF_SEC_20230117.xlsx]CF PNP'!</v>
      </c>
      <c r="G2559" s="7" t="s">
        <v>109</v>
      </c>
      <c r="H2559" s="4">
        <f t="shared" si="576"/>
        <v>47</v>
      </c>
      <c r="I2559" s="4" t="str">
        <f t="shared" si="575"/>
        <v>='C:\Users\jaime.benazar\Quorum Business Solutions\Ecopetrol Prometeo - Documents\Planning Space Implementation\3. Analysis &amp; Design\Design\FC22\DRR Jaime\Neiva CPI\[VAO_DINA TERCIARIOS_CF_SEC_20230117.xlsx]CF PNP'!$DN$47</v>
      </c>
      <c r="J2559" s="4" t="s">
        <v>1290</v>
      </c>
    </row>
    <row r="2560" spans="1:10" x14ac:dyDescent="0.3">
      <c r="A2560" s="7" t="s">
        <v>15</v>
      </c>
      <c r="B2560" s="7">
        <f t="shared" si="577"/>
        <v>2035</v>
      </c>
      <c r="C2560" s="4" t="s">
        <v>52</v>
      </c>
      <c r="D2560" s="5" t="s">
        <v>131</v>
      </c>
      <c r="E2560" s="10" t="str">
        <f t="shared" si="574"/>
        <v>PNP'!</v>
      </c>
      <c r="F2560" s="5" t="str">
        <f t="shared" si="563"/>
        <v>C:\Users\jaime.benazar\Quorum Business Solutions\Ecopetrol Prometeo - Documents\Planning Space Implementation\3. Analysis &amp; Design\Design\FC22\DRR Jaime\Neiva CPI\[VAO_DINA TERCIARIOS_CF_SEC_20230117.xlsx]CF PNP'!</v>
      </c>
      <c r="G2560" s="7" t="s">
        <v>109</v>
      </c>
      <c r="H2560" s="4">
        <f t="shared" si="576"/>
        <v>48</v>
      </c>
      <c r="I2560" s="4" t="str">
        <f t="shared" si="575"/>
        <v>='C:\Users\jaime.benazar\Quorum Business Solutions\Ecopetrol Prometeo - Documents\Planning Space Implementation\3. Analysis &amp; Design\Design\FC22\DRR Jaime\Neiva CPI\[VAO_DINA TERCIARIOS_CF_SEC_20230117.xlsx]CF PNP'!$DN$48</v>
      </c>
      <c r="J2560" s="4" t="s">
        <v>1291</v>
      </c>
    </row>
    <row r="2561" spans="1:10" x14ac:dyDescent="0.3">
      <c r="A2561" s="7" t="s">
        <v>15</v>
      </c>
      <c r="B2561" s="7">
        <f t="shared" si="577"/>
        <v>2036</v>
      </c>
      <c r="C2561" s="4" t="s">
        <v>52</v>
      </c>
      <c r="D2561" s="5" t="s">
        <v>131</v>
      </c>
      <c r="E2561" s="10" t="str">
        <f t="shared" si="574"/>
        <v>PNP'!</v>
      </c>
      <c r="F2561" s="5" t="str">
        <f t="shared" si="563"/>
        <v>C:\Users\jaime.benazar\Quorum Business Solutions\Ecopetrol Prometeo - Documents\Planning Space Implementation\3. Analysis &amp; Design\Design\FC22\DRR Jaime\Neiva CPI\[VAO_DINA TERCIARIOS_CF_SEC_20230117.xlsx]CF PNP'!</v>
      </c>
      <c r="G2561" s="7" t="s">
        <v>109</v>
      </c>
      <c r="H2561" s="4">
        <f t="shared" si="576"/>
        <v>49</v>
      </c>
      <c r="I2561" s="4" t="str">
        <f t="shared" si="575"/>
        <v>='C:\Users\jaime.benazar\Quorum Business Solutions\Ecopetrol Prometeo - Documents\Planning Space Implementation\3. Analysis &amp; Design\Design\FC22\DRR Jaime\Neiva CPI\[VAO_DINA TERCIARIOS_CF_SEC_20230117.xlsx]CF PNP'!$DN$49</v>
      </c>
      <c r="J2561" s="4" t="s">
        <v>1292</v>
      </c>
    </row>
    <row r="2562" spans="1:10" x14ac:dyDescent="0.3">
      <c r="A2562" s="7" t="s">
        <v>15</v>
      </c>
      <c r="B2562" s="7">
        <f>+B2561+1</f>
        <v>2037</v>
      </c>
      <c r="C2562" s="4" t="s">
        <v>52</v>
      </c>
      <c r="D2562" s="5" t="s">
        <v>131</v>
      </c>
      <c r="E2562" s="10" t="str">
        <f t="shared" si="574"/>
        <v>PNP'!</v>
      </c>
      <c r="F2562" s="5" t="str">
        <f t="shared" si="563"/>
        <v>C:\Users\jaime.benazar\Quorum Business Solutions\Ecopetrol Prometeo - Documents\Planning Space Implementation\3. Analysis &amp; Design\Design\FC22\DRR Jaime\Neiva CPI\[VAO_DINA TERCIARIOS_CF_SEC_20230117.xlsx]CF PNP'!</v>
      </c>
      <c r="G2562" s="7" t="s">
        <v>109</v>
      </c>
      <c r="H2562" s="4">
        <f t="shared" si="576"/>
        <v>50</v>
      </c>
      <c r="I2562" s="4" t="str">
        <f t="shared" si="575"/>
        <v>='C:\Users\jaime.benazar\Quorum Business Solutions\Ecopetrol Prometeo - Documents\Planning Space Implementation\3. Analysis &amp; Design\Design\FC22\DRR Jaime\Neiva CPI\[VAO_DINA TERCIARIOS_CF_SEC_20230117.xlsx]CF PNP'!$DN$50</v>
      </c>
      <c r="J2562" s="4" t="s">
        <v>1293</v>
      </c>
    </row>
    <row r="2563" spans="1:10" x14ac:dyDescent="0.3">
      <c r="A2563" s="7" t="s">
        <v>15</v>
      </c>
      <c r="B2563" s="7">
        <f t="shared" ref="B2563:B2565" si="578">+B2562+1</f>
        <v>2038</v>
      </c>
      <c r="C2563" s="4" t="s">
        <v>52</v>
      </c>
      <c r="D2563" s="5" t="s">
        <v>131</v>
      </c>
      <c r="E2563" s="10" t="str">
        <f t="shared" si="574"/>
        <v>PNP'!</v>
      </c>
      <c r="F2563" s="5" t="str">
        <f t="shared" si="563"/>
        <v>C:\Users\jaime.benazar\Quorum Business Solutions\Ecopetrol Prometeo - Documents\Planning Space Implementation\3. Analysis &amp; Design\Design\FC22\DRR Jaime\Neiva CPI\[VAO_DINA TERCIARIOS_CF_SEC_20230117.xlsx]CF PNP'!</v>
      </c>
      <c r="G2563" s="7" t="s">
        <v>109</v>
      </c>
      <c r="H2563" s="4">
        <f t="shared" si="576"/>
        <v>51</v>
      </c>
      <c r="I2563" s="4" t="str">
        <f t="shared" si="575"/>
        <v>='C:\Users\jaime.benazar\Quorum Business Solutions\Ecopetrol Prometeo - Documents\Planning Space Implementation\3. Analysis &amp; Design\Design\FC22\DRR Jaime\Neiva CPI\[VAO_DINA TERCIARIOS_CF_SEC_20230117.xlsx]CF PNP'!$DN$51</v>
      </c>
      <c r="J2563" s="4" t="s">
        <v>1294</v>
      </c>
    </row>
    <row r="2564" spans="1:10" x14ac:dyDescent="0.3">
      <c r="A2564" s="7" t="s">
        <v>15</v>
      </c>
      <c r="B2564" s="7">
        <f t="shared" si="578"/>
        <v>2039</v>
      </c>
      <c r="C2564" s="4" t="s">
        <v>52</v>
      </c>
      <c r="D2564" s="5" t="s">
        <v>131</v>
      </c>
      <c r="E2564" s="10" t="str">
        <f t="shared" si="574"/>
        <v>PNP'!</v>
      </c>
      <c r="F2564" s="5" t="str">
        <f t="shared" si="563"/>
        <v>C:\Users\jaime.benazar\Quorum Business Solutions\Ecopetrol Prometeo - Documents\Planning Space Implementation\3. Analysis &amp; Design\Design\FC22\DRR Jaime\Neiva CPI\[VAO_DINA TERCIARIOS_CF_SEC_20230117.xlsx]CF PNP'!</v>
      </c>
      <c r="G2564" s="7" t="s">
        <v>109</v>
      </c>
      <c r="H2564" s="4">
        <f t="shared" si="576"/>
        <v>52</v>
      </c>
      <c r="I2564" s="4" t="str">
        <f t="shared" si="575"/>
        <v>='C:\Users\jaime.benazar\Quorum Business Solutions\Ecopetrol Prometeo - Documents\Planning Space Implementation\3. Analysis &amp; Design\Design\FC22\DRR Jaime\Neiva CPI\[VAO_DINA TERCIARIOS_CF_SEC_20230117.xlsx]CF PNP'!$DN$52</v>
      </c>
      <c r="J2564" s="4" t="s">
        <v>1295</v>
      </c>
    </row>
    <row r="2565" spans="1:10" x14ac:dyDescent="0.3">
      <c r="A2565" s="7" t="s">
        <v>15</v>
      </c>
      <c r="B2565" s="7">
        <f t="shared" si="578"/>
        <v>2040</v>
      </c>
      <c r="C2565" s="4" t="s">
        <v>52</v>
      </c>
      <c r="D2565" s="5" t="s">
        <v>131</v>
      </c>
      <c r="E2565" s="10" t="str">
        <f t="shared" si="574"/>
        <v>PNP'!</v>
      </c>
      <c r="F2565" s="5" t="str">
        <f t="shared" si="563"/>
        <v>C:\Users\jaime.benazar\Quorum Business Solutions\Ecopetrol Prometeo - Documents\Planning Space Implementation\3. Analysis &amp; Design\Design\FC22\DRR Jaime\Neiva CPI\[VAO_DINA TERCIARIOS_CF_SEC_20230117.xlsx]CF PNP'!</v>
      </c>
      <c r="G2565" s="7" t="s">
        <v>109</v>
      </c>
      <c r="H2565" s="4">
        <f t="shared" si="576"/>
        <v>53</v>
      </c>
      <c r="I2565" s="4" t="str">
        <f t="shared" si="575"/>
        <v>='C:\Users\jaime.benazar\Quorum Business Solutions\Ecopetrol Prometeo - Documents\Planning Space Implementation\3. Analysis &amp; Design\Design\FC22\DRR Jaime\Neiva CPI\[VAO_DINA TERCIARIOS_CF_SEC_20230117.xlsx]CF PNP'!$DN$53</v>
      </c>
      <c r="J2565" s="4" t="s">
        <v>1296</v>
      </c>
    </row>
    <row r="2566" spans="1:10" x14ac:dyDescent="0.3">
      <c r="A2566" s="7" t="s">
        <v>15</v>
      </c>
      <c r="B2566" s="7">
        <f>+B2565+1</f>
        <v>2041</v>
      </c>
      <c r="C2566" s="4" t="s">
        <v>52</v>
      </c>
      <c r="D2566" s="5" t="s">
        <v>131</v>
      </c>
      <c r="E2566" s="10" t="str">
        <f t="shared" si="574"/>
        <v>PNP'!</v>
      </c>
      <c r="F2566" s="5" t="str">
        <f t="shared" si="563"/>
        <v>C:\Users\jaime.benazar\Quorum Business Solutions\Ecopetrol Prometeo - Documents\Planning Space Implementation\3. Analysis &amp; Design\Design\FC22\DRR Jaime\Neiva CPI\[VAO_DINA TERCIARIOS_CF_SEC_20230117.xlsx]CF PNP'!</v>
      </c>
      <c r="G2566" s="7" t="s">
        <v>109</v>
      </c>
      <c r="H2566" s="4">
        <f t="shared" si="576"/>
        <v>54</v>
      </c>
      <c r="I2566" s="4" t="str">
        <f t="shared" si="575"/>
        <v>='C:\Users\jaime.benazar\Quorum Business Solutions\Ecopetrol Prometeo - Documents\Planning Space Implementation\3. Analysis &amp; Design\Design\FC22\DRR Jaime\Neiva CPI\[VAO_DINA TERCIARIOS_CF_SEC_20230117.xlsx]CF PNP'!$DN$54</v>
      </c>
      <c r="J2566" s="4" t="s">
        <v>1297</v>
      </c>
    </row>
    <row r="2567" spans="1:10" x14ac:dyDescent="0.3">
      <c r="A2567" s="7" t="s">
        <v>15</v>
      </c>
      <c r="B2567" s="7">
        <f t="shared" ref="B2567:B2568" si="579">+B2566+1</f>
        <v>2042</v>
      </c>
      <c r="C2567" s="4" t="s">
        <v>52</v>
      </c>
      <c r="D2567" s="5" t="s">
        <v>131</v>
      </c>
      <c r="E2567" s="10" t="str">
        <f t="shared" si="574"/>
        <v>PNP'!</v>
      </c>
      <c r="F2567" s="5" t="str">
        <f t="shared" si="563"/>
        <v>C:\Users\jaime.benazar\Quorum Business Solutions\Ecopetrol Prometeo - Documents\Planning Space Implementation\3. Analysis &amp; Design\Design\FC22\DRR Jaime\Neiva CPI\[VAO_DINA TERCIARIOS_CF_SEC_20230117.xlsx]CF PNP'!</v>
      </c>
      <c r="G2567" s="7" t="s">
        <v>109</v>
      </c>
      <c r="H2567" s="4">
        <f t="shared" si="576"/>
        <v>55</v>
      </c>
      <c r="I2567" s="4" t="str">
        <f t="shared" si="575"/>
        <v>='C:\Users\jaime.benazar\Quorum Business Solutions\Ecopetrol Prometeo - Documents\Planning Space Implementation\3. Analysis &amp; Design\Design\FC22\DRR Jaime\Neiva CPI\[VAO_DINA TERCIARIOS_CF_SEC_20230117.xlsx]CF PNP'!$DN$55</v>
      </c>
      <c r="J2567" s="4" t="s">
        <v>1298</v>
      </c>
    </row>
    <row r="2568" spans="1:10" x14ac:dyDescent="0.3">
      <c r="A2568" s="7" t="s">
        <v>15</v>
      </c>
      <c r="B2568" s="7">
        <f t="shared" si="579"/>
        <v>2043</v>
      </c>
      <c r="C2568" s="4" t="s">
        <v>52</v>
      </c>
      <c r="D2568" s="5" t="s">
        <v>131</v>
      </c>
      <c r="E2568" s="10" t="str">
        <f t="shared" si="574"/>
        <v>PNP'!</v>
      </c>
      <c r="F2568" s="5" t="str">
        <f t="shared" si="563"/>
        <v>C:\Users\jaime.benazar\Quorum Business Solutions\Ecopetrol Prometeo - Documents\Planning Space Implementation\3. Analysis &amp; Design\Design\FC22\DRR Jaime\Neiva CPI\[VAO_DINA TERCIARIOS_CF_SEC_20230117.xlsx]CF PNP'!</v>
      </c>
      <c r="G2568" s="7" t="s">
        <v>109</v>
      </c>
      <c r="H2568" s="4">
        <f t="shared" si="576"/>
        <v>56</v>
      </c>
      <c r="I2568" s="4" t="str">
        <f t="shared" si="575"/>
        <v>='C:\Users\jaime.benazar\Quorum Business Solutions\Ecopetrol Prometeo - Documents\Planning Space Implementation\3. Analysis &amp; Design\Design\FC22\DRR Jaime\Neiva CPI\[VAO_DINA TERCIARIOS_CF_SEC_20230117.xlsx]CF PNP'!$DN$56</v>
      </c>
      <c r="J2568" s="4" t="s">
        <v>1299</v>
      </c>
    </row>
    <row r="2569" spans="1:10" x14ac:dyDescent="0.3">
      <c r="A2569" s="7" t="s">
        <v>15</v>
      </c>
      <c r="B2569" s="7">
        <f>+B2568+1</f>
        <v>2044</v>
      </c>
      <c r="C2569" s="4" t="s">
        <v>52</v>
      </c>
      <c r="D2569" s="5" t="s">
        <v>131</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Jaime\Neiva CPI\[VAO_DINA TERCIARIOS_CF_SEC_20230117.xlsx]CF PNP'!</v>
      </c>
      <c r="G2569" s="7" t="s">
        <v>109</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Jaime\Neiva CPI\[VAO_DINA TERCIARIOS_CF_SEC_20230117.xlsx]CF PNP'!$DN$57</v>
      </c>
      <c r="J2569" s="4" t="s">
        <v>1300</v>
      </c>
    </row>
    <row r="2570" spans="1:10" x14ac:dyDescent="0.3">
      <c r="A2570" s="7" t="s">
        <v>15</v>
      </c>
      <c r="B2570" s="7">
        <f t="shared" ref="B2570:B2584" si="584">+B2569+1</f>
        <v>2045</v>
      </c>
      <c r="C2570" s="4" t="s">
        <v>52</v>
      </c>
      <c r="D2570" s="5" t="s">
        <v>131</v>
      </c>
      <c r="E2570" s="10" t="str">
        <f t="shared" si="580"/>
        <v>PNP'!</v>
      </c>
      <c r="F2570" s="5" t="str">
        <f t="shared" si="581"/>
        <v>C:\Users\jaime.benazar\Quorum Business Solutions\Ecopetrol Prometeo - Documents\Planning Space Implementation\3. Analysis &amp; Design\Design\FC22\DRR Jaime\Neiva CPI\[VAO_DINA TERCIARIOS_CF_SEC_20230117.xlsx]CF PNP'!</v>
      </c>
      <c r="G2570" s="7" t="s">
        <v>109</v>
      </c>
      <c r="H2570" s="4">
        <f t="shared" si="582"/>
        <v>58</v>
      </c>
      <c r="I2570" s="4" t="str">
        <f t="shared" si="583"/>
        <v>='C:\Users\jaime.benazar\Quorum Business Solutions\Ecopetrol Prometeo - Documents\Planning Space Implementation\3. Analysis &amp; Design\Design\FC22\DRR Jaime\Neiva CPI\[VAO_DINA TERCIARIOS_CF_SEC_20230117.xlsx]CF PNP'!$DN$58</v>
      </c>
      <c r="J2570" s="4" t="s">
        <v>1301</v>
      </c>
    </row>
    <row r="2571" spans="1:10" x14ac:dyDescent="0.3">
      <c r="A2571" s="7" t="s">
        <v>15</v>
      </c>
      <c r="B2571" s="7">
        <f t="shared" si="584"/>
        <v>2046</v>
      </c>
      <c r="C2571" s="4" t="s">
        <v>52</v>
      </c>
      <c r="D2571" s="5" t="s">
        <v>131</v>
      </c>
      <c r="E2571" s="10" t="str">
        <f t="shared" si="580"/>
        <v>PNP'!</v>
      </c>
      <c r="F2571" s="5" t="str">
        <f t="shared" si="581"/>
        <v>C:\Users\jaime.benazar\Quorum Business Solutions\Ecopetrol Prometeo - Documents\Planning Space Implementation\3. Analysis &amp; Design\Design\FC22\DRR Jaime\Neiva CPI\[VAO_DINA TERCIARIOS_CF_SEC_20230117.xlsx]CF PNP'!</v>
      </c>
      <c r="G2571" s="7" t="s">
        <v>109</v>
      </c>
      <c r="H2571" s="4">
        <f t="shared" si="582"/>
        <v>59</v>
      </c>
      <c r="I2571" s="4" t="str">
        <f t="shared" si="583"/>
        <v>='C:\Users\jaime.benazar\Quorum Business Solutions\Ecopetrol Prometeo - Documents\Planning Space Implementation\3. Analysis &amp; Design\Design\FC22\DRR Jaime\Neiva CPI\[VAO_DINA TERCIARIOS_CF_SEC_20230117.xlsx]CF PNP'!$DN$59</v>
      </c>
      <c r="J2571" s="4" t="s">
        <v>1302</v>
      </c>
    </row>
    <row r="2572" spans="1:10" x14ac:dyDescent="0.3">
      <c r="A2572" s="7" t="s">
        <v>15</v>
      </c>
      <c r="B2572" s="7">
        <f t="shared" si="584"/>
        <v>2047</v>
      </c>
      <c r="C2572" s="4" t="s">
        <v>52</v>
      </c>
      <c r="D2572" s="5" t="s">
        <v>131</v>
      </c>
      <c r="E2572" s="10" t="str">
        <f t="shared" si="580"/>
        <v>PNP'!</v>
      </c>
      <c r="F2572" s="5" t="str">
        <f t="shared" si="581"/>
        <v>C:\Users\jaime.benazar\Quorum Business Solutions\Ecopetrol Prometeo - Documents\Planning Space Implementation\3. Analysis &amp; Design\Design\FC22\DRR Jaime\Neiva CPI\[VAO_DINA TERCIARIOS_CF_SEC_20230117.xlsx]CF PNP'!</v>
      </c>
      <c r="G2572" s="7" t="s">
        <v>109</v>
      </c>
      <c r="H2572" s="4">
        <f t="shared" si="582"/>
        <v>60</v>
      </c>
      <c r="I2572" s="4" t="str">
        <f t="shared" si="583"/>
        <v>='C:\Users\jaime.benazar\Quorum Business Solutions\Ecopetrol Prometeo - Documents\Planning Space Implementation\3. Analysis &amp; Design\Design\FC22\DRR Jaime\Neiva CPI\[VAO_DINA TERCIARIOS_CF_SEC_20230117.xlsx]CF PNP'!$DN$60</v>
      </c>
      <c r="J2572" s="4" t="s">
        <v>1303</v>
      </c>
    </row>
    <row r="2573" spans="1:10" x14ac:dyDescent="0.3">
      <c r="A2573" s="7" t="s">
        <v>15</v>
      </c>
      <c r="B2573" s="7">
        <f t="shared" si="584"/>
        <v>2048</v>
      </c>
      <c r="C2573" s="4" t="s">
        <v>52</v>
      </c>
      <c r="D2573" s="5" t="s">
        <v>131</v>
      </c>
      <c r="E2573" s="10" t="str">
        <f t="shared" si="580"/>
        <v>PNP'!</v>
      </c>
      <c r="F2573" s="5" t="str">
        <f t="shared" si="581"/>
        <v>C:\Users\jaime.benazar\Quorum Business Solutions\Ecopetrol Prometeo - Documents\Planning Space Implementation\3. Analysis &amp; Design\Design\FC22\DRR Jaime\Neiva CPI\[VAO_DINA TERCIARIOS_CF_SEC_20230117.xlsx]CF PNP'!</v>
      </c>
      <c r="G2573" s="7" t="s">
        <v>109</v>
      </c>
      <c r="H2573" s="4">
        <f t="shared" si="582"/>
        <v>61</v>
      </c>
      <c r="I2573" s="4" t="str">
        <f t="shared" si="583"/>
        <v>='C:\Users\jaime.benazar\Quorum Business Solutions\Ecopetrol Prometeo - Documents\Planning Space Implementation\3. Analysis &amp; Design\Design\FC22\DRR Jaime\Neiva CPI\[VAO_DINA TERCIARIOS_CF_SEC_20230117.xlsx]CF PNP'!$DN$61</v>
      </c>
      <c r="J2573" s="4" t="s">
        <v>1304</v>
      </c>
    </row>
    <row r="2574" spans="1:10" x14ac:dyDescent="0.3">
      <c r="A2574" s="7" t="s">
        <v>15</v>
      </c>
      <c r="B2574" s="7">
        <f t="shared" si="584"/>
        <v>2049</v>
      </c>
      <c r="C2574" s="4" t="s">
        <v>52</v>
      </c>
      <c r="D2574" s="5" t="s">
        <v>131</v>
      </c>
      <c r="E2574" s="10" t="str">
        <f t="shared" si="580"/>
        <v>PNP'!</v>
      </c>
      <c r="F2574" s="5" t="str">
        <f t="shared" si="581"/>
        <v>C:\Users\jaime.benazar\Quorum Business Solutions\Ecopetrol Prometeo - Documents\Planning Space Implementation\3. Analysis &amp; Design\Design\FC22\DRR Jaime\Neiva CPI\[VAO_DINA TERCIARIOS_CF_SEC_20230117.xlsx]CF PNP'!</v>
      </c>
      <c r="G2574" s="7" t="s">
        <v>109</v>
      </c>
      <c r="H2574" s="4">
        <f t="shared" si="582"/>
        <v>62</v>
      </c>
      <c r="I2574" s="4" t="str">
        <f t="shared" si="583"/>
        <v>='C:\Users\jaime.benazar\Quorum Business Solutions\Ecopetrol Prometeo - Documents\Planning Space Implementation\3. Analysis &amp; Design\Design\FC22\DRR Jaime\Neiva CPI\[VAO_DINA TERCIARIOS_CF_SEC_20230117.xlsx]CF PNP'!$DN$62</v>
      </c>
      <c r="J2574" s="4" t="s">
        <v>1305</v>
      </c>
    </row>
    <row r="2575" spans="1:10" x14ac:dyDescent="0.3">
      <c r="A2575" s="7" t="s">
        <v>15</v>
      </c>
      <c r="B2575" s="7">
        <f t="shared" si="584"/>
        <v>2050</v>
      </c>
      <c r="C2575" s="4" t="s">
        <v>52</v>
      </c>
      <c r="D2575" s="5" t="s">
        <v>131</v>
      </c>
      <c r="E2575" s="10" t="str">
        <f t="shared" si="580"/>
        <v>PNP'!</v>
      </c>
      <c r="F2575" s="5" t="str">
        <f t="shared" si="581"/>
        <v>C:\Users\jaime.benazar\Quorum Business Solutions\Ecopetrol Prometeo - Documents\Planning Space Implementation\3. Analysis &amp; Design\Design\FC22\DRR Jaime\Neiva CPI\[VAO_DINA TERCIARIOS_CF_SEC_20230117.xlsx]CF PNP'!</v>
      </c>
      <c r="G2575" s="7" t="s">
        <v>109</v>
      </c>
      <c r="H2575" s="4">
        <f t="shared" si="582"/>
        <v>63</v>
      </c>
      <c r="I2575" s="4" t="str">
        <f t="shared" si="583"/>
        <v>='C:\Users\jaime.benazar\Quorum Business Solutions\Ecopetrol Prometeo - Documents\Planning Space Implementation\3. Analysis &amp; Design\Design\FC22\DRR Jaime\Neiva CPI\[VAO_DINA TERCIARIOS_CF_SEC_20230117.xlsx]CF PNP'!$DN$63</v>
      </c>
      <c r="J2575" s="4" t="s">
        <v>1306</v>
      </c>
    </row>
    <row r="2576" spans="1:10" x14ac:dyDescent="0.3">
      <c r="A2576" s="7" t="s">
        <v>15</v>
      </c>
      <c r="B2576" s="7">
        <f t="shared" si="584"/>
        <v>2051</v>
      </c>
      <c r="C2576" s="4" t="s">
        <v>52</v>
      </c>
      <c r="D2576" s="5" t="s">
        <v>131</v>
      </c>
      <c r="E2576" s="10" t="str">
        <f t="shared" si="580"/>
        <v>PNP'!</v>
      </c>
      <c r="F2576" s="5" t="str">
        <f t="shared" si="581"/>
        <v>C:\Users\jaime.benazar\Quorum Business Solutions\Ecopetrol Prometeo - Documents\Planning Space Implementation\3. Analysis &amp; Design\Design\FC22\DRR Jaime\Neiva CPI\[VAO_DINA TERCIARIOS_CF_SEC_20230117.xlsx]CF PNP'!</v>
      </c>
      <c r="G2576" s="7" t="s">
        <v>109</v>
      </c>
      <c r="H2576" s="4">
        <f t="shared" si="582"/>
        <v>64</v>
      </c>
      <c r="I2576" s="4" t="str">
        <f t="shared" si="583"/>
        <v>='C:\Users\jaime.benazar\Quorum Business Solutions\Ecopetrol Prometeo - Documents\Planning Space Implementation\3. Analysis &amp; Design\Design\FC22\DRR Jaime\Neiva CPI\[VAO_DINA TERCIARIOS_CF_SEC_20230117.xlsx]CF PNP'!$DN$64</v>
      </c>
      <c r="J2576" s="4" t="s">
        <v>1307</v>
      </c>
    </row>
    <row r="2577" spans="1:10" x14ac:dyDescent="0.3">
      <c r="A2577" s="7" t="s">
        <v>15</v>
      </c>
      <c r="B2577" s="7">
        <f t="shared" si="584"/>
        <v>2052</v>
      </c>
      <c r="C2577" s="4" t="s">
        <v>52</v>
      </c>
      <c r="D2577" s="5" t="s">
        <v>131</v>
      </c>
      <c r="E2577" s="10" t="str">
        <f t="shared" si="580"/>
        <v>PNP'!</v>
      </c>
      <c r="F2577" s="5" t="str">
        <f t="shared" si="581"/>
        <v>C:\Users\jaime.benazar\Quorum Business Solutions\Ecopetrol Prometeo - Documents\Planning Space Implementation\3. Analysis &amp; Design\Design\FC22\DRR Jaime\Neiva CPI\[VAO_DINA TERCIARIOS_CF_SEC_20230117.xlsx]CF PNP'!</v>
      </c>
      <c r="G2577" s="7" t="s">
        <v>109</v>
      </c>
      <c r="H2577" s="4">
        <f t="shared" si="582"/>
        <v>65</v>
      </c>
      <c r="I2577" s="4" t="str">
        <f t="shared" si="583"/>
        <v>='C:\Users\jaime.benazar\Quorum Business Solutions\Ecopetrol Prometeo - Documents\Planning Space Implementation\3. Analysis &amp; Design\Design\FC22\DRR Jaime\Neiva CPI\[VAO_DINA TERCIARIOS_CF_SEC_20230117.xlsx]CF PNP'!$DN$65</v>
      </c>
      <c r="J2577" s="4" t="s">
        <v>1308</v>
      </c>
    </row>
    <row r="2578" spans="1:10" x14ac:dyDescent="0.3">
      <c r="A2578" s="7" t="s">
        <v>15</v>
      </c>
      <c r="B2578" s="7">
        <f t="shared" si="584"/>
        <v>2053</v>
      </c>
      <c r="C2578" s="4" t="s">
        <v>52</v>
      </c>
      <c r="D2578" s="5" t="s">
        <v>131</v>
      </c>
      <c r="E2578" s="10" t="str">
        <f t="shared" si="580"/>
        <v>PNP'!</v>
      </c>
      <c r="F2578" s="5" t="str">
        <f t="shared" si="581"/>
        <v>C:\Users\jaime.benazar\Quorum Business Solutions\Ecopetrol Prometeo - Documents\Planning Space Implementation\3. Analysis &amp; Design\Design\FC22\DRR Jaime\Neiva CPI\[VAO_DINA TERCIARIOS_CF_SEC_20230117.xlsx]CF PNP'!</v>
      </c>
      <c r="G2578" s="7" t="s">
        <v>109</v>
      </c>
      <c r="H2578" s="4">
        <f t="shared" si="582"/>
        <v>66</v>
      </c>
      <c r="I2578" s="4" t="str">
        <f t="shared" si="583"/>
        <v>='C:\Users\jaime.benazar\Quorum Business Solutions\Ecopetrol Prometeo - Documents\Planning Space Implementation\3. Analysis &amp; Design\Design\FC22\DRR Jaime\Neiva CPI\[VAO_DINA TERCIARIOS_CF_SEC_20230117.xlsx]CF PNP'!$DN$66</v>
      </c>
      <c r="J2578" s="4" t="s">
        <v>1309</v>
      </c>
    </row>
    <row r="2579" spans="1:10" x14ac:dyDescent="0.3">
      <c r="A2579" s="7" t="s">
        <v>15</v>
      </c>
      <c r="B2579" s="7">
        <f t="shared" si="584"/>
        <v>2054</v>
      </c>
      <c r="C2579" s="4" t="s">
        <v>52</v>
      </c>
      <c r="D2579" s="5" t="s">
        <v>131</v>
      </c>
      <c r="E2579" s="10" t="str">
        <f t="shared" si="580"/>
        <v>PNP'!</v>
      </c>
      <c r="F2579" s="5" t="str">
        <f t="shared" si="581"/>
        <v>C:\Users\jaime.benazar\Quorum Business Solutions\Ecopetrol Prometeo - Documents\Planning Space Implementation\3. Analysis &amp; Design\Design\FC22\DRR Jaime\Neiva CPI\[VAO_DINA TERCIARIOS_CF_SEC_20230117.xlsx]CF PNP'!</v>
      </c>
      <c r="G2579" s="7" t="s">
        <v>109</v>
      </c>
      <c r="H2579" s="4">
        <f t="shared" si="582"/>
        <v>67</v>
      </c>
      <c r="I2579" s="4" t="str">
        <f t="shared" si="583"/>
        <v>='C:\Users\jaime.benazar\Quorum Business Solutions\Ecopetrol Prometeo - Documents\Planning Space Implementation\3. Analysis &amp; Design\Design\FC22\DRR Jaime\Neiva CPI\[VAO_DINA TERCIARIOS_CF_SEC_20230117.xlsx]CF PNP'!$DN$67</v>
      </c>
      <c r="J2579" s="4" t="s">
        <v>1310</v>
      </c>
    </row>
    <row r="2580" spans="1:10" x14ac:dyDescent="0.3">
      <c r="A2580" s="7" t="s">
        <v>15</v>
      </c>
      <c r="B2580" s="7">
        <f t="shared" si="584"/>
        <v>2055</v>
      </c>
      <c r="C2580" s="4" t="s">
        <v>52</v>
      </c>
      <c r="D2580" s="5" t="s">
        <v>131</v>
      </c>
      <c r="E2580" s="10" t="str">
        <f t="shared" si="580"/>
        <v>PNP'!</v>
      </c>
      <c r="F2580" s="5" t="str">
        <f t="shared" si="581"/>
        <v>C:\Users\jaime.benazar\Quorum Business Solutions\Ecopetrol Prometeo - Documents\Planning Space Implementation\3. Analysis &amp; Design\Design\FC22\DRR Jaime\Neiva CPI\[VAO_DINA TERCIARIOS_CF_SEC_20230117.xlsx]CF PNP'!</v>
      </c>
      <c r="G2580" s="7" t="s">
        <v>109</v>
      </c>
      <c r="H2580" s="4">
        <f t="shared" si="582"/>
        <v>68</v>
      </c>
      <c r="I2580" s="4" t="str">
        <f t="shared" si="583"/>
        <v>='C:\Users\jaime.benazar\Quorum Business Solutions\Ecopetrol Prometeo - Documents\Planning Space Implementation\3. Analysis &amp; Design\Design\FC22\DRR Jaime\Neiva CPI\[VAO_DINA TERCIARIOS_CF_SEC_20230117.xlsx]CF PNP'!$DN$68</v>
      </c>
      <c r="J2580" s="4" t="s">
        <v>1311</v>
      </c>
    </row>
    <row r="2581" spans="1:10" x14ac:dyDescent="0.3">
      <c r="A2581" s="7" t="s">
        <v>15</v>
      </c>
      <c r="B2581" s="7">
        <f t="shared" si="584"/>
        <v>2056</v>
      </c>
      <c r="C2581" s="4" t="s">
        <v>52</v>
      </c>
      <c r="D2581" s="5" t="s">
        <v>131</v>
      </c>
      <c r="E2581" s="10" t="str">
        <f t="shared" si="580"/>
        <v>PNP'!</v>
      </c>
      <c r="F2581" s="5" t="str">
        <f t="shared" si="581"/>
        <v>C:\Users\jaime.benazar\Quorum Business Solutions\Ecopetrol Prometeo - Documents\Planning Space Implementation\3. Analysis &amp; Design\Design\FC22\DRR Jaime\Neiva CPI\[VAO_DINA TERCIARIOS_CF_SEC_20230117.xlsx]CF PNP'!</v>
      </c>
      <c r="G2581" s="7" t="s">
        <v>109</v>
      </c>
      <c r="H2581" s="4">
        <f t="shared" si="582"/>
        <v>69</v>
      </c>
      <c r="I2581" s="4" t="str">
        <f t="shared" si="583"/>
        <v>='C:\Users\jaime.benazar\Quorum Business Solutions\Ecopetrol Prometeo - Documents\Planning Space Implementation\3. Analysis &amp; Design\Design\FC22\DRR Jaime\Neiva CPI\[VAO_DINA TERCIARIOS_CF_SEC_20230117.xlsx]CF PNP'!$DN$69</v>
      </c>
      <c r="J2581" s="4" t="s">
        <v>1312</v>
      </c>
    </row>
    <row r="2582" spans="1:10" x14ac:dyDescent="0.3">
      <c r="A2582" s="7" t="s">
        <v>15</v>
      </c>
      <c r="B2582" s="7">
        <f t="shared" si="584"/>
        <v>2057</v>
      </c>
      <c r="C2582" s="4" t="s">
        <v>52</v>
      </c>
      <c r="D2582" s="5" t="s">
        <v>131</v>
      </c>
      <c r="E2582" s="10" t="str">
        <f t="shared" si="580"/>
        <v>PNP'!</v>
      </c>
      <c r="F2582" s="5" t="str">
        <f t="shared" si="581"/>
        <v>C:\Users\jaime.benazar\Quorum Business Solutions\Ecopetrol Prometeo - Documents\Planning Space Implementation\3. Analysis &amp; Design\Design\FC22\DRR Jaime\Neiva CPI\[VAO_DINA TERCIARIOS_CF_SEC_20230117.xlsx]CF PNP'!</v>
      </c>
      <c r="G2582" s="7" t="s">
        <v>109</v>
      </c>
      <c r="H2582" s="4">
        <f t="shared" si="582"/>
        <v>70</v>
      </c>
      <c r="I2582" s="4" t="str">
        <f t="shared" si="583"/>
        <v>='C:\Users\jaime.benazar\Quorum Business Solutions\Ecopetrol Prometeo - Documents\Planning Space Implementation\3. Analysis &amp; Design\Design\FC22\DRR Jaime\Neiva CPI\[VAO_DINA TERCIARIOS_CF_SEC_20230117.xlsx]CF PNP'!$DN$70</v>
      </c>
      <c r="J2582" s="4" t="s">
        <v>1313</v>
      </c>
    </row>
    <row r="2583" spans="1:10" x14ac:dyDescent="0.3">
      <c r="A2583" s="7" t="s">
        <v>15</v>
      </c>
      <c r="B2583" s="7">
        <f t="shared" si="584"/>
        <v>2058</v>
      </c>
      <c r="C2583" s="4" t="s">
        <v>52</v>
      </c>
      <c r="D2583" s="5" t="s">
        <v>131</v>
      </c>
      <c r="E2583" s="10" t="str">
        <f t="shared" si="580"/>
        <v>PNP'!</v>
      </c>
      <c r="F2583" s="5" t="str">
        <f t="shared" si="581"/>
        <v>C:\Users\jaime.benazar\Quorum Business Solutions\Ecopetrol Prometeo - Documents\Planning Space Implementation\3. Analysis &amp; Design\Design\FC22\DRR Jaime\Neiva CPI\[VAO_DINA TERCIARIOS_CF_SEC_20230117.xlsx]CF PNP'!</v>
      </c>
      <c r="G2583" s="7" t="s">
        <v>109</v>
      </c>
      <c r="H2583" s="4">
        <f t="shared" si="582"/>
        <v>71</v>
      </c>
      <c r="I2583" s="4" t="str">
        <f t="shared" si="583"/>
        <v>='C:\Users\jaime.benazar\Quorum Business Solutions\Ecopetrol Prometeo - Documents\Planning Space Implementation\3. Analysis &amp; Design\Design\FC22\DRR Jaime\Neiva CPI\[VAO_DINA TERCIARIOS_CF_SEC_20230117.xlsx]CF PNP'!$DN$71</v>
      </c>
      <c r="J2583" s="4" t="s">
        <v>1314</v>
      </c>
    </row>
    <row r="2584" spans="1:10" x14ac:dyDescent="0.3">
      <c r="A2584" s="7" t="s">
        <v>15</v>
      </c>
      <c r="B2584" s="7">
        <f t="shared" si="584"/>
        <v>2059</v>
      </c>
      <c r="C2584" s="4" t="s">
        <v>52</v>
      </c>
      <c r="D2584" s="5" t="s">
        <v>131</v>
      </c>
      <c r="E2584" s="10" t="str">
        <f t="shared" si="580"/>
        <v>PNP'!</v>
      </c>
      <c r="F2584" s="5" t="str">
        <f t="shared" si="581"/>
        <v>C:\Users\jaime.benazar\Quorum Business Solutions\Ecopetrol Prometeo - Documents\Planning Space Implementation\3. Analysis &amp; Design\Design\FC22\DRR Jaime\Neiva CPI\[VAO_DINA TERCIARIOS_CF_SEC_20230117.xlsx]CF PNP'!</v>
      </c>
      <c r="G2584" s="7" t="s">
        <v>109</v>
      </c>
      <c r="H2584" s="4">
        <f t="shared" si="582"/>
        <v>72</v>
      </c>
      <c r="I2584" s="4" t="str">
        <f t="shared" si="583"/>
        <v>='C:\Users\jaime.benazar\Quorum Business Solutions\Ecopetrol Prometeo - Documents\Planning Space Implementation\3. Analysis &amp; Design\Design\FC22\DRR Jaime\Neiva CPI\[VAO_DINA TERCIARIOS_CF_SEC_20230117.xlsx]CF PNP'!$DN$72</v>
      </c>
      <c r="J2584" s="4" t="s">
        <v>1315</v>
      </c>
    </row>
    <row r="2585" spans="1:10" x14ac:dyDescent="0.3">
      <c r="A2585" s="7" t="s">
        <v>26</v>
      </c>
      <c r="B2585" s="7"/>
      <c r="C2585" s="4" t="s">
        <v>52</v>
      </c>
      <c r="D2585" s="5"/>
      <c r="E2585" s="10"/>
      <c r="F2585" s="5"/>
      <c r="G2585" s="7"/>
      <c r="H2585" s="4"/>
      <c r="I2585" s="4"/>
      <c r="J2585" s="4"/>
    </row>
    <row r="2586" spans="1:10" x14ac:dyDescent="0.3">
      <c r="A2586" s="7" t="s">
        <v>16</v>
      </c>
      <c r="B2586" s="7">
        <v>2023</v>
      </c>
      <c r="C2586" s="4" t="s">
        <v>52</v>
      </c>
      <c r="D2586" s="5" t="s">
        <v>131</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Jaime\Neiva CPI\[VAO_DINA TERCIARIOS_CF_SEC_20230117.xlsx]CF PND'!</v>
      </c>
      <c r="G2586" s="7" t="s">
        <v>109</v>
      </c>
      <c r="H2586" s="4">
        <f>IF(A2586&lt;&gt;A2456,36,H2456+1)</f>
        <v>36</v>
      </c>
      <c r="I2586" s="4" t="str">
        <f t="shared" ref="I2586:I2604" si="587">_xlfn.CONCAT("='",F2586:H2586)</f>
        <v>='C:\Users\jaime.benazar\Quorum Business Solutions\Ecopetrol Prometeo - Documents\Planning Space Implementation\3. Analysis &amp; Design\Design\FC22\DRR Jaime\Neiva CPI\[VAO_DINA TERCIARIOS_CF_SEC_20230117.xlsx]CF PND'!$DN$36</v>
      </c>
      <c r="J2586" s="4" t="s">
        <v>1316</v>
      </c>
    </row>
    <row r="2587" spans="1:10" x14ac:dyDescent="0.3">
      <c r="A2587" s="7" t="s">
        <v>16</v>
      </c>
      <c r="B2587" s="7">
        <f>+B2586+1</f>
        <v>2024</v>
      </c>
      <c r="C2587" s="4" t="s">
        <v>52</v>
      </c>
      <c r="D2587" s="5" t="s">
        <v>131</v>
      </c>
      <c r="E2587" s="10" t="str">
        <f t="shared" si="585"/>
        <v>PND'!</v>
      </c>
      <c r="F2587" s="5" t="str">
        <f t="shared" si="586"/>
        <v>C:\Users\jaime.benazar\Quorum Business Solutions\Ecopetrol Prometeo - Documents\Planning Space Implementation\3. Analysis &amp; Design\Design\FC22\DRR Jaime\Neiva CPI\[VAO_DINA TERCIARIOS_CF_SEC_20230117.xlsx]CF PND'!</v>
      </c>
      <c r="G2587" s="7" t="s">
        <v>109</v>
      </c>
      <c r="H2587" s="4">
        <f t="shared" ref="H2587:H2605" si="588">IF(A2587&lt;&gt;A2586,36,H2586+1)</f>
        <v>37</v>
      </c>
      <c r="I2587" s="4" t="str">
        <f t="shared" si="587"/>
        <v>='C:\Users\jaime.benazar\Quorum Business Solutions\Ecopetrol Prometeo - Documents\Planning Space Implementation\3. Analysis &amp; Design\Design\FC22\DRR Jaime\Neiva CPI\[VAO_DINA TERCIARIOS_CF_SEC_20230117.xlsx]CF PND'!$DN$37</v>
      </c>
      <c r="J2587" s="4" t="s">
        <v>1317</v>
      </c>
    </row>
    <row r="2588" spans="1:10" x14ac:dyDescent="0.3">
      <c r="A2588" s="7" t="s">
        <v>16</v>
      </c>
      <c r="B2588" s="7">
        <f t="shared" ref="B2588:B2599" si="589">+B2587+1</f>
        <v>2025</v>
      </c>
      <c r="C2588" s="4" t="s">
        <v>52</v>
      </c>
      <c r="D2588" s="5" t="s">
        <v>131</v>
      </c>
      <c r="E2588" s="10" t="str">
        <f t="shared" si="585"/>
        <v>PND'!</v>
      </c>
      <c r="F2588" s="5" t="str">
        <f t="shared" si="586"/>
        <v>C:\Users\jaime.benazar\Quorum Business Solutions\Ecopetrol Prometeo - Documents\Planning Space Implementation\3. Analysis &amp; Design\Design\FC22\DRR Jaime\Neiva CPI\[VAO_DINA TERCIARIOS_CF_SEC_20230117.xlsx]CF PND'!</v>
      </c>
      <c r="G2588" s="7" t="s">
        <v>109</v>
      </c>
      <c r="H2588" s="4">
        <f t="shared" si="588"/>
        <v>38</v>
      </c>
      <c r="I2588" s="4" t="str">
        <f t="shared" si="587"/>
        <v>='C:\Users\jaime.benazar\Quorum Business Solutions\Ecopetrol Prometeo - Documents\Planning Space Implementation\3. Analysis &amp; Design\Design\FC22\DRR Jaime\Neiva CPI\[VAO_DINA TERCIARIOS_CF_SEC_20230117.xlsx]CF PND'!$DN$38</v>
      </c>
      <c r="J2588" s="4" t="s">
        <v>1318</v>
      </c>
    </row>
    <row r="2589" spans="1:10" x14ac:dyDescent="0.3">
      <c r="A2589" s="7" t="s">
        <v>16</v>
      </c>
      <c r="B2589" s="7">
        <f t="shared" si="589"/>
        <v>2026</v>
      </c>
      <c r="C2589" s="4" t="s">
        <v>52</v>
      </c>
      <c r="D2589" s="5" t="s">
        <v>131</v>
      </c>
      <c r="E2589" s="10" t="str">
        <f t="shared" si="585"/>
        <v>PND'!</v>
      </c>
      <c r="F2589" s="5" t="str">
        <f t="shared" si="586"/>
        <v>C:\Users\jaime.benazar\Quorum Business Solutions\Ecopetrol Prometeo - Documents\Planning Space Implementation\3. Analysis &amp; Design\Design\FC22\DRR Jaime\Neiva CPI\[VAO_DINA TERCIARIOS_CF_SEC_20230117.xlsx]CF PND'!</v>
      </c>
      <c r="G2589" s="7" t="s">
        <v>109</v>
      </c>
      <c r="H2589" s="4">
        <f t="shared" si="588"/>
        <v>39</v>
      </c>
      <c r="I2589" s="4" t="str">
        <f t="shared" si="587"/>
        <v>='C:\Users\jaime.benazar\Quorum Business Solutions\Ecopetrol Prometeo - Documents\Planning Space Implementation\3. Analysis &amp; Design\Design\FC22\DRR Jaime\Neiva CPI\[VAO_DINA TERCIARIOS_CF_SEC_20230117.xlsx]CF PND'!$DN$39</v>
      </c>
      <c r="J2589" s="4" t="s">
        <v>1319</v>
      </c>
    </row>
    <row r="2590" spans="1:10" x14ac:dyDescent="0.3">
      <c r="A2590" s="7" t="s">
        <v>16</v>
      </c>
      <c r="B2590" s="7">
        <f t="shared" si="589"/>
        <v>2027</v>
      </c>
      <c r="C2590" s="4" t="s">
        <v>52</v>
      </c>
      <c r="D2590" s="5" t="s">
        <v>131</v>
      </c>
      <c r="E2590" s="10" t="str">
        <f t="shared" si="585"/>
        <v>PND'!</v>
      </c>
      <c r="F2590" s="5" t="str">
        <f t="shared" si="586"/>
        <v>C:\Users\jaime.benazar\Quorum Business Solutions\Ecopetrol Prometeo - Documents\Planning Space Implementation\3. Analysis &amp; Design\Design\FC22\DRR Jaime\Neiva CPI\[VAO_DINA TERCIARIOS_CF_SEC_20230117.xlsx]CF PND'!</v>
      </c>
      <c r="G2590" s="7" t="s">
        <v>109</v>
      </c>
      <c r="H2590" s="4">
        <f t="shared" si="588"/>
        <v>40</v>
      </c>
      <c r="I2590" s="4" t="str">
        <f t="shared" si="587"/>
        <v>='C:\Users\jaime.benazar\Quorum Business Solutions\Ecopetrol Prometeo - Documents\Planning Space Implementation\3. Analysis &amp; Design\Design\FC22\DRR Jaime\Neiva CPI\[VAO_DINA TERCIARIOS_CF_SEC_20230117.xlsx]CF PND'!$DN$40</v>
      </c>
      <c r="J2590" s="4" t="s">
        <v>1320</v>
      </c>
    </row>
    <row r="2591" spans="1:10" x14ac:dyDescent="0.3">
      <c r="A2591" s="7" t="s">
        <v>16</v>
      </c>
      <c r="B2591" s="7">
        <f t="shared" si="589"/>
        <v>2028</v>
      </c>
      <c r="C2591" s="4" t="s">
        <v>52</v>
      </c>
      <c r="D2591" s="5" t="s">
        <v>131</v>
      </c>
      <c r="E2591" s="10" t="str">
        <f t="shared" si="585"/>
        <v>PND'!</v>
      </c>
      <c r="F2591" s="5" t="str">
        <f t="shared" si="586"/>
        <v>C:\Users\jaime.benazar\Quorum Business Solutions\Ecopetrol Prometeo - Documents\Planning Space Implementation\3. Analysis &amp; Design\Design\FC22\DRR Jaime\Neiva CPI\[VAO_DINA TERCIARIOS_CF_SEC_20230117.xlsx]CF PND'!</v>
      </c>
      <c r="G2591" s="7" t="s">
        <v>109</v>
      </c>
      <c r="H2591" s="4">
        <f t="shared" si="588"/>
        <v>41</v>
      </c>
      <c r="I2591" s="4" t="str">
        <f t="shared" si="587"/>
        <v>='C:\Users\jaime.benazar\Quorum Business Solutions\Ecopetrol Prometeo - Documents\Planning Space Implementation\3. Analysis &amp; Design\Design\FC22\DRR Jaime\Neiva CPI\[VAO_DINA TERCIARIOS_CF_SEC_20230117.xlsx]CF PND'!$DN$41</v>
      </c>
      <c r="J2591" s="4" t="s">
        <v>1321</v>
      </c>
    </row>
    <row r="2592" spans="1:10" x14ac:dyDescent="0.3">
      <c r="A2592" s="7" t="s">
        <v>16</v>
      </c>
      <c r="B2592" s="7">
        <f t="shared" si="589"/>
        <v>2029</v>
      </c>
      <c r="C2592" s="4" t="s">
        <v>52</v>
      </c>
      <c r="D2592" s="5" t="s">
        <v>131</v>
      </c>
      <c r="E2592" s="10" t="str">
        <f t="shared" si="585"/>
        <v>PND'!</v>
      </c>
      <c r="F2592" s="5" t="str">
        <f t="shared" si="586"/>
        <v>C:\Users\jaime.benazar\Quorum Business Solutions\Ecopetrol Prometeo - Documents\Planning Space Implementation\3. Analysis &amp; Design\Design\FC22\DRR Jaime\Neiva CPI\[VAO_DINA TERCIARIOS_CF_SEC_20230117.xlsx]CF PND'!</v>
      </c>
      <c r="G2592" s="7" t="s">
        <v>109</v>
      </c>
      <c r="H2592" s="4">
        <f t="shared" si="588"/>
        <v>42</v>
      </c>
      <c r="I2592" s="4" t="str">
        <f t="shared" si="587"/>
        <v>='C:\Users\jaime.benazar\Quorum Business Solutions\Ecopetrol Prometeo - Documents\Planning Space Implementation\3. Analysis &amp; Design\Design\FC22\DRR Jaime\Neiva CPI\[VAO_DINA TERCIARIOS_CF_SEC_20230117.xlsx]CF PND'!$DN$42</v>
      </c>
      <c r="J2592" s="4" t="s">
        <v>1322</v>
      </c>
    </row>
    <row r="2593" spans="1:10" x14ac:dyDescent="0.3">
      <c r="A2593" s="7" t="s">
        <v>16</v>
      </c>
      <c r="B2593" s="7">
        <f t="shared" si="589"/>
        <v>2030</v>
      </c>
      <c r="C2593" s="4" t="s">
        <v>52</v>
      </c>
      <c r="D2593" s="5" t="s">
        <v>131</v>
      </c>
      <c r="E2593" s="10" t="str">
        <f t="shared" si="585"/>
        <v>PND'!</v>
      </c>
      <c r="F2593" s="5" t="str">
        <f t="shared" si="586"/>
        <v>C:\Users\jaime.benazar\Quorum Business Solutions\Ecopetrol Prometeo - Documents\Planning Space Implementation\3. Analysis &amp; Design\Design\FC22\DRR Jaime\Neiva CPI\[VAO_DINA TERCIARIOS_CF_SEC_20230117.xlsx]CF PND'!</v>
      </c>
      <c r="G2593" s="7" t="s">
        <v>109</v>
      </c>
      <c r="H2593" s="4">
        <f t="shared" si="588"/>
        <v>43</v>
      </c>
      <c r="I2593" s="4" t="str">
        <f t="shared" si="587"/>
        <v>='C:\Users\jaime.benazar\Quorum Business Solutions\Ecopetrol Prometeo - Documents\Planning Space Implementation\3. Analysis &amp; Design\Design\FC22\DRR Jaime\Neiva CPI\[VAO_DINA TERCIARIOS_CF_SEC_20230117.xlsx]CF PND'!$DN$43</v>
      </c>
      <c r="J2593" s="4" t="s">
        <v>1323</v>
      </c>
    </row>
    <row r="2594" spans="1:10" x14ac:dyDescent="0.3">
      <c r="A2594" s="7" t="s">
        <v>16</v>
      </c>
      <c r="B2594" s="7">
        <f t="shared" si="589"/>
        <v>2031</v>
      </c>
      <c r="C2594" s="4" t="s">
        <v>52</v>
      </c>
      <c r="D2594" s="5" t="s">
        <v>131</v>
      </c>
      <c r="E2594" s="10" t="str">
        <f t="shared" si="585"/>
        <v>PND'!</v>
      </c>
      <c r="F2594" s="5" t="str">
        <f t="shared" si="586"/>
        <v>C:\Users\jaime.benazar\Quorum Business Solutions\Ecopetrol Prometeo - Documents\Planning Space Implementation\3. Analysis &amp; Design\Design\FC22\DRR Jaime\Neiva CPI\[VAO_DINA TERCIARIOS_CF_SEC_20230117.xlsx]CF PND'!</v>
      </c>
      <c r="G2594" s="7" t="s">
        <v>109</v>
      </c>
      <c r="H2594" s="4">
        <f t="shared" si="588"/>
        <v>44</v>
      </c>
      <c r="I2594" s="4" t="str">
        <f t="shared" si="587"/>
        <v>='C:\Users\jaime.benazar\Quorum Business Solutions\Ecopetrol Prometeo - Documents\Planning Space Implementation\3. Analysis &amp; Design\Design\FC22\DRR Jaime\Neiva CPI\[VAO_DINA TERCIARIOS_CF_SEC_20230117.xlsx]CF PND'!$DN$44</v>
      </c>
      <c r="J2594" s="4" t="s">
        <v>1324</v>
      </c>
    </row>
    <row r="2595" spans="1:10" x14ac:dyDescent="0.3">
      <c r="A2595" s="7" t="s">
        <v>16</v>
      </c>
      <c r="B2595" s="7">
        <f t="shared" si="589"/>
        <v>2032</v>
      </c>
      <c r="C2595" s="4" t="s">
        <v>52</v>
      </c>
      <c r="D2595" s="5" t="s">
        <v>131</v>
      </c>
      <c r="E2595" s="10" t="str">
        <f t="shared" si="585"/>
        <v>PND'!</v>
      </c>
      <c r="F2595" s="5" t="str">
        <f t="shared" si="586"/>
        <v>C:\Users\jaime.benazar\Quorum Business Solutions\Ecopetrol Prometeo - Documents\Planning Space Implementation\3. Analysis &amp; Design\Design\FC22\DRR Jaime\Neiva CPI\[VAO_DINA TERCIARIOS_CF_SEC_20230117.xlsx]CF PND'!</v>
      </c>
      <c r="G2595" s="7" t="s">
        <v>109</v>
      </c>
      <c r="H2595" s="4">
        <f t="shared" si="588"/>
        <v>45</v>
      </c>
      <c r="I2595" s="4" t="str">
        <f t="shared" si="587"/>
        <v>='C:\Users\jaime.benazar\Quorum Business Solutions\Ecopetrol Prometeo - Documents\Planning Space Implementation\3. Analysis &amp; Design\Design\FC22\DRR Jaime\Neiva CPI\[VAO_DINA TERCIARIOS_CF_SEC_20230117.xlsx]CF PND'!$DN$45</v>
      </c>
      <c r="J2595" s="4" t="s">
        <v>1325</v>
      </c>
    </row>
    <row r="2596" spans="1:10" x14ac:dyDescent="0.3">
      <c r="A2596" s="7" t="s">
        <v>16</v>
      </c>
      <c r="B2596" s="7">
        <f t="shared" si="589"/>
        <v>2033</v>
      </c>
      <c r="C2596" s="4" t="s">
        <v>52</v>
      </c>
      <c r="D2596" s="5" t="s">
        <v>131</v>
      </c>
      <c r="E2596" s="10" t="str">
        <f t="shared" si="585"/>
        <v>PND'!</v>
      </c>
      <c r="F2596" s="5" t="str">
        <f t="shared" si="586"/>
        <v>C:\Users\jaime.benazar\Quorum Business Solutions\Ecopetrol Prometeo - Documents\Planning Space Implementation\3. Analysis &amp; Design\Design\FC22\DRR Jaime\Neiva CPI\[VAO_DINA TERCIARIOS_CF_SEC_20230117.xlsx]CF PND'!</v>
      </c>
      <c r="G2596" s="7" t="s">
        <v>109</v>
      </c>
      <c r="H2596" s="4">
        <f t="shared" si="588"/>
        <v>46</v>
      </c>
      <c r="I2596" s="4" t="str">
        <f t="shared" si="587"/>
        <v>='C:\Users\jaime.benazar\Quorum Business Solutions\Ecopetrol Prometeo - Documents\Planning Space Implementation\3. Analysis &amp; Design\Design\FC22\DRR Jaime\Neiva CPI\[VAO_DINA TERCIARIOS_CF_SEC_20230117.xlsx]CF PND'!$DN$46</v>
      </c>
      <c r="J2596" s="4" t="s">
        <v>1326</v>
      </c>
    </row>
    <row r="2597" spans="1:10" x14ac:dyDescent="0.3">
      <c r="A2597" s="7" t="s">
        <v>16</v>
      </c>
      <c r="B2597" s="7">
        <f t="shared" si="589"/>
        <v>2034</v>
      </c>
      <c r="C2597" s="4" t="s">
        <v>52</v>
      </c>
      <c r="D2597" s="5" t="s">
        <v>131</v>
      </c>
      <c r="E2597" s="10" t="str">
        <f t="shared" si="585"/>
        <v>PND'!</v>
      </c>
      <c r="F2597" s="5" t="str">
        <f t="shared" si="586"/>
        <v>C:\Users\jaime.benazar\Quorum Business Solutions\Ecopetrol Prometeo - Documents\Planning Space Implementation\3. Analysis &amp; Design\Design\FC22\DRR Jaime\Neiva CPI\[VAO_DINA TERCIARIOS_CF_SEC_20230117.xlsx]CF PND'!</v>
      </c>
      <c r="G2597" s="7" t="s">
        <v>109</v>
      </c>
      <c r="H2597" s="4">
        <f t="shared" si="588"/>
        <v>47</v>
      </c>
      <c r="I2597" s="4" t="str">
        <f t="shared" si="587"/>
        <v>='C:\Users\jaime.benazar\Quorum Business Solutions\Ecopetrol Prometeo - Documents\Planning Space Implementation\3. Analysis &amp; Design\Design\FC22\DRR Jaime\Neiva CPI\[VAO_DINA TERCIARIOS_CF_SEC_20230117.xlsx]CF PND'!$DN$47</v>
      </c>
      <c r="J2597" s="4" t="s">
        <v>1327</v>
      </c>
    </row>
    <row r="2598" spans="1:10" x14ac:dyDescent="0.3">
      <c r="A2598" s="7" t="s">
        <v>16</v>
      </c>
      <c r="B2598" s="7">
        <f t="shared" si="589"/>
        <v>2035</v>
      </c>
      <c r="C2598" s="4" t="s">
        <v>52</v>
      </c>
      <c r="D2598" s="5" t="s">
        <v>131</v>
      </c>
      <c r="E2598" s="10" t="str">
        <f t="shared" si="585"/>
        <v>PND'!</v>
      </c>
      <c r="F2598" s="5" t="str">
        <f t="shared" si="586"/>
        <v>C:\Users\jaime.benazar\Quorum Business Solutions\Ecopetrol Prometeo - Documents\Planning Space Implementation\3. Analysis &amp; Design\Design\FC22\DRR Jaime\Neiva CPI\[VAO_DINA TERCIARIOS_CF_SEC_20230117.xlsx]CF PND'!</v>
      </c>
      <c r="G2598" s="7" t="s">
        <v>109</v>
      </c>
      <c r="H2598" s="4">
        <f t="shared" si="588"/>
        <v>48</v>
      </c>
      <c r="I2598" s="4" t="str">
        <f t="shared" si="587"/>
        <v>='C:\Users\jaime.benazar\Quorum Business Solutions\Ecopetrol Prometeo - Documents\Planning Space Implementation\3. Analysis &amp; Design\Design\FC22\DRR Jaime\Neiva CPI\[VAO_DINA TERCIARIOS_CF_SEC_20230117.xlsx]CF PND'!$DN$48</v>
      </c>
      <c r="J2598" s="4" t="s">
        <v>1328</v>
      </c>
    </row>
    <row r="2599" spans="1:10" x14ac:dyDescent="0.3">
      <c r="A2599" s="7" t="s">
        <v>16</v>
      </c>
      <c r="B2599" s="7">
        <f t="shared" si="589"/>
        <v>2036</v>
      </c>
      <c r="C2599" s="4" t="s">
        <v>52</v>
      </c>
      <c r="D2599" s="5" t="s">
        <v>131</v>
      </c>
      <c r="E2599" s="10" t="str">
        <f t="shared" si="585"/>
        <v>PND'!</v>
      </c>
      <c r="F2599" s="5" t="str">
        <f t="shared" si="586"/>
        <v>C:\Users\jaime.benazar\Quorum Business Solutions\Ecopetrol Prometeo - Documents\Planning Space Implementation\3. Analysis &amp; Design\Design\FC22\DRR Jaime\Neiva CPI\[VAO_DINA TERCIARIOS_CF_SEC_20230117.xlsx]CF PND'!</v>
      </c>
      <c r="G2599" s="7" t="s">
        <v>109</v>
      </c>
      <c r="H2599" s="4">
        <f t="shared" si="588"/>
        <v>49</v>
      </c>
      <c r="I2599" s="4" t="str">
        <f t="shared" si="587"/>
        <v>='C:\Users\jaime.benazar\Quorum Business Solutions\Ecopetrol Prometeo - Documents\Planning Space Implementation\3. Analysis &amp; Design\Design\FC22\DRR Jaime\Neiva CPI\[VAO_DINA TERCIARIOS_CF_SEC_20230117.xlsx]CF PND'!$DN$49</v>
      </c>
      <c r="J2599" s="4" t="s">
        <v>1329</v>
      </c>
    </row>
    <row r="2600" spans="1:10" x14ac:dyDescent="0.3">
      <c r="A2600" s="7" t="s">
        <v>16</v>
      </c>
      <c r="B2600" s="7">
        <f>+B2599+1</f>
        <v>2037</v>
      </c>
      <c r="C2600" s="4" t="s">
        <v>52</v>
      </c>
      <c r="D2600" s="5" t="s">
        <v>131</v>
      </c>
      <c r="E2600" s="10" t="str">
        <f t="shared" si="585"/>
        <v>PND'!</v>
      </c>
      <c r="F2600" s="5" t="str">
        <f t="shared" si="586"/>
        <v>C:\Users\jaime.benazar\Quorum Business Solutions\Ecopetrol Prometeo - Documents\Planning Space Implementation\3. Analysis &amp; Design\Design\FC22\DRR Jaime\Neiva CPI\[VAO_DINA TERCIARIOS_CF_SEC_20230117.xlsx]CF PND'!</v>
      </c>
      <c r="G2600" s="7" t="s">
        <v>109</v>
      </c>
      <c r="H2600" s="4">
        <f t="shared" si="588"/>
        <v>50</v>
      </c>
      <c r="I2600" s="4" t="str">
        <f t="shared" si="587"/>
        <v>='C:\Users\jaime.benazar\Quorum Business Solutions\Ecopetrol Prometeo - Documents\Planning Space Implementation\3. Analysis &amp; Design\Design\FC22\DRR Jaime\Neiva CPI\[VAO_DINA TERCIARIOS_CF_SEC_20230117.xlsx]CF PND'!$DN$50</v>
      </c>
      <c r="J2600" s="4" t="s">
        <v>1330</v>
      </c>
    </row>
    <row r="2601" spans="1:10" x14ac:dyDescent="0.3">
      <c r="A2601" s="7" t="s">
        <v>16</v>
      </c>
      <c r="B2601" s="7">
        <f t="shared" ref="B2601:B2603" si="590">+B2600+1</f>
        <v>2038</v>
      </c>
      <c r="C2601" s="4" t="s">
        <v>52</v>
      </c>
      <c r="D2601" s="5" t="s">
        <v>131</v>
      </c>
      <c r="E2601" s="10" t="str">
        <f t="shared" si="585"/>
        <v>PND'!</v>
      </c>
      <c r="F2601" s="5" t="str">
        <f t="shared" si="586"/>
        <v>C:\Users\jaime.benazar\Quorum Business Solutions\Ecopetrol Prometeo - Documents\Planning Space Implementation\3. Analysis &amp; Design\Design\FC22\DRR Jaime\Neiva CPI\[VAO_DINA TERCIARIOS_CF_SEC_20230117.xlsx]CF PND'!</v>
      </c>
      <c r="G2601" s="7" t="s">
        <v>109</v>
      </c>
      <c r="H2601" s="4">
        <f t="shared" si="588"/>
        <v>51</v>
      </c>
      <c r="I2601" s="4" t="str">
        <f t="shared" si="587"/>
        <v>='C:\Users\jaime.benazar\Quorum Business Solutions\Ecopetrol Prometeo - Documents\Planning Space Implementation\3. Analysis &amp; Design\Design\FC22\DRR Jaime\Neiva CPI\[VAO_DINA TERCIARIOS_CF_SEC_20230117.xlsx]CF PND'!$DN$51</v>
      </c>
      <c r="J2601" s="4" t="s">
        <v>1331</v>
      </c>
    </row>
    <row r="2602" spans="1:10" x14ac:dyDescent="0.3">
      <c r="A2602" s="7" t="s">
        <v>16</v>
      </c>
      <c r="B2602" s="7">
        <f t="shared" si="590"/>
        <v>2039</v>
      </c>
      <c r="C2602" s="4" t="s">
        <v>52</v>
      </c>
      <c r="D2602" s="5" t="s">
        <v>131</v>
      </c>
      <c r="E2602" s="10" t="str">
        <f t="shared" si="585"/>
        <v>PND'!</v>
      </c>
      <c r="F2602" s="5" t="str">
        <f t="shared" si="586"/>
        <v>C:\Users\jaime.benazar\Quorum Business Solutions\Ecopetrol Prometeo - Documents\Planning Space Implementation\3. Analysis &amp; Design\Design\FC22\DRR Jaime\Neiva CPI\[VAO_DINA TERCIARIOS_CF_SEC_20230117.xlsx]CF PND'!</v>
      </c>
      <c r="G2602" s="7" t="s">
        <v>109</v>
      </c>
      <c r="H2602" s="4">
        <f t="shared" si="588"/>
        <v>52</v>
      </c>
      <c r="I2602" s="4" t="str">
        <f t="shared" si="587"/>
        <v>='C:\Users\jaime.benazar\Quorum Business Solutions\Ecopetrol Prometeo - Documents\Planning Space Implementation\3. Analysis &amp; Design\Design\FC22\DRR Jaime\Neiva CPI\[VAO_DINA TERCIARIOS_CF_SEC_20230117.xlsx]CF PND'!$DN$52</v>
      </c>
      <c r="J2602" s="4" t="s">
        <v>1332</v>
      </c>
    </row>
    <row r="2603" spans="1:10" x14ac:dyDescent="0.3">
      <c r="A2603" s="7" t="s">
        <v>16</v>
      </c>
      <c r="B2603" s="7">
        <f t="shared" si="590"/>
        <v>2040</v>
      </c>
      <c r="C2603" s="4" t="s">
        <v>52</v>
      </c>
      <c r="D2603" s="5" t="s">
        <v>131</v>
      </c>
      <c r="E2603" s="10" t="str">
        <f t="shared" si="585"/>
        <v>PND'!</v>
      </c>
      <c r="F2603" s="5" t="str">
        <f t="shared" si="586"/>
        <v>C:\Users\jaime.benazar\Quorum Business Solutions\Ecopetrol Prometeo - Documents\Planning Space Implementation\3. Analysis &amp; Design\Design\FC22\DRR Jaime\Neiva CPI\[VAO_DINA TERCIARIOS_CF_SEC_20230117.xlsx]CF PND'!</v>
      </c>
      <c r="G2603" s="7" t="s">
        <v>109</v>
      </c>
      <c r="H2603" s="4">
        <f t="shared" si="588"/>
        <v>53</v>
      </c>
      <c r="I2603" s="4" t="str">
        <f t="shared" si="587"/>
        <v>='C:\Users\jaime.benazar\Quorum Business Solutions\Ecopetrol Prometeo - Documents\Planning Space Implementation\3. Analysis &amp; Design\Design\FC22\DRR Jaime\Neiva CPI\[VAO_DINA TERCIARIOS_CF_SEC_20230117.xlsx]CF PND'!$DN$53</v>
      </c>
      <c r="J2603" s="4" t="s">
        <v>1333</v>
      </c>
    </row>
    <row r="2604" spans="1:10" x14ac:dyDescent="0.3">
      <c r="A2604" s="7" t="s">
        <v>16</v>
      </c>
      <c r="B2604" s="7">
        <f>+B2603+1</f>
        <v>2041</v>
      </c>
      <c r="C2604" s="4" t="s">
        <v>52</v>
      </c>
      <c r="D2604" s="5" t="s">
        <v>131</v>
      </c>
      <c r="E2604" s="10" t="str">
        <f t="shared" si="585"/>
        <v>PND'!</v>
      </c>
      <c r="F2604" s="5" t="str">
        <f t="shared" si="586"/>
        <v>C:\Users\jaime.benazar\Quorum Business Solutions\Ecopetrol Prometeo - Documents\Planning Space Implementation\3. Analysis &amp; Design\Design\FC22\DRR Jaime\Neiva CPI\[VAO_DINA TERCIARIOS_CF_SEC_20230117.xlsx]CF PND'!</v>
      </c>
      <c r="G2604" s="7" t="s">
        <v>109</v>
      </c>
      <c r="H2604" s="4">
        <f t="shared" si="588"/>
        <v>54</v>
      </c>
      <c r="I2604" s="4" t="str">
        <f t="shared" si="587"/>
        <v>='C:\Users\jaime.benazar\Quorum Business Solutions\Ecopetrol Prometeo - Documents\Planning Space Implementation\3. Analysis &amp; Design\Design\FC22\DRR Jaime\Neiva CPI\[VAO_DINA TERCIARIOS_CF_SEC_20230117.xlsx]CF PND'!$DN$54</v>
      </c>
      <c r="J2604" s="4" t="s">
        <v>1334</v>
      </c>
    </row>
    <row r="2605" spans="1:10" x14ac:dyDescent="0.3">
      <c r="A2605" s="7" t="s">
        <v>16</v>
      </c>
      <c r="B2605" s="7">
        <f t="shared" ref="B2605:B2606" si="591">+B2604+1</f>
        <v>2042</v>
      </c>
      <c r="C2605" s="4" t="s">
        <v>52</v>
      </c>
      <c r="D2605" s="5" t="s">
        <v>131</v>
      </c>
      <c r="E2605" s="10" t="str">
        <f t="shared" ref="E2605:E2910" si="592">_xlfn.CONCAT(A2605,"'!")</f>
        <v>PND'!</v>
      </c>
      <c r="F2605" s="5" t="str">
        <f t="shared" si="586"/>
        <v>C:\Users\jaime.benazar\Quorum Business Solutions\Ecopetrol Prometeo - Documents\Planning Space Implementation\3. Analysis &amp; Design\Design\FC22\DRR Jaime\Neiva CPI\[VAO_DINA TERCIARIOS_CF_SEC_20230117.xlsx]CF PND'!</v>
      </c>
      <c r="G2605" s="7" t="s">
        <v>109</v>
      </c>
      <c r="H2605" s="4">
        <f t="shared" si="588"/>
        <v>55</v>
      </c>
      <c r="I2605" s="4" t="str">
        <f t="shared" ref="I2605:I2910" si="593">_xlfn.CONCAT("='",F2605:H2605)</f>
        <v>='C:\Users\jaime.benazar\Quorum Business Solutions\Ecopetrol Prometeo - Documents\Planning Space Implementation\3. Analysis &amp; Design\Design\FC22\DRR Jaime\Neiva CPI\[VAO_DINA TERCIARIOS_CF_SEC_20230117.xlsx]CF PND'!$DN$55</v>
      </c>
      <c r="J2605" s="4" t="s">
        <v>1335</v>
      </c>
    </row>
    <row r="2606" spans="1:10" x14ac:dyDescent="0.3">
      <c r="A2606" s="7" t="s">
        <v>16</v>
      </c>
      <c r="B2606" s="7">
        <f t="shared" si="591"/>
        <v>2043</v>
      </c>
      <c r="C2606" s="4" t="s">
        <v>52</v>
      </c>
      <c r="D2606" s="5" t="s">
        <v>131</v>
      </c>
      <c r="E2606" s="10" t="str">
        <f t="shared" si="592"/>
        <v>PND'!</v>
      </c>
      <c r="F2606" s="5" t="str">
        <f t="shared" si="586"/>
        <v>C:\Users\jaime.benazar\Quorum Business Solutions\Ecopetrol Prometeo - Documents\Planning Space Implementation\3. Analysis &amp; Design\Design\FC22\DRR Jaime\Neiva CPI\[VAO_DINA TERCIARIOS_CF_SEC_20230117.xlsx]CF PND'!</v>
      </c>
      <c r="G2606" s="7" t="s">
        <v>109</v>
      </c>
      <c r="H2606" s="4">
        <f t="shared" ref="H2606:H2910" si="594">IF(A2606&lt;&gt;A2605,36,H2605+1)</f>
        <v>56</v>
      </c>
      <c r="I2606" s="4" t="str">
        <f t="shared" si="593"/>
        <v>='C:\Users\jaime.benazar\Quorum Business Solutions\Ecopetrol Prometeo - Documents\Planning Space Implementation\3. Analysis &amp; Design\Design\FC22\DRR Jaime\Neiva CPI\[VAO_DINA TERCIARIOS_CF_SEC_20230117.xlsx]CF PND'!$DN$56</v>
      </c>
      <c r="J2606" s="4" t="s">
        <v>1336</v>
      </c>
    </row>
    <row r="2607" spans="1:10" x14ac:dyDescent="0.3">
      <c r="A2607" s="7" t="s">
        <v>16</v>
      </c>
      <c r="B2607" s="7">
        <f>+B2606+1</f>
        <v>2044</v>
      </c>
      <c r="C2607" s="4" t="s">
        <v>52</v>
      </c>
      <c r="D2607" s="5" t="s">
        <v>131</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Jaime\Neiva CPI\[VAO_DINA TERCIARIOS_CF_SEC_20230117.xlsx]CF PND'!</v>
      </c>
      <c r="G2607" s="7" t="s">
        <v>109</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Jaime\Neiva CPI\[VAO_DINA TERCIARIOS_CF_SEC_20230117.xlsx]CF PND'!$DN$57</v>
      </c>
      <c r="J2607" s="4" t="s">
        <v>1337</v>
      </c>
    </row>
    <row r="2608" spans="1:10" x14ac:dyDescent="0.3">
      <c r="A2608" s="7" t="s">
        <v>16</v>
      </c>
      <c r="B2608" s="7">
        <f t="shared" ref="B2608:B2622" si="599">+B2607+1</f>
        <v>2045</v>
      </c>
      <c r="C2608" s="4" t="s">
        <v>52</v>
      </c>
      <c r="D2608" s="5" t="s">
        <v>131</v>
      </c>
      <c r="E2608" s="10" t="str">
        <f t="shared" si="595"/>
        <v>PND'!</v>
      </c>
      <c r="F2608" s="5" t="str">
        <f t="shared" si="596"/>
        <v>C:\Users\jaime.benazar\Quorum Business Solutions\Ecopetrol Prometeo - Documents\Planning Space Implementation\3. Analysis &amp; Design\Design\FC22\DRR Jaime\Neiva CPI\[VAO_DINA TERCIARIOS_CF_SEC_20230117.xlsx]CF PND'!</v>
      </c>
      <c r="G2608" s="7" t="s">
        <v>109</v>
      </c>
      <c r="H2608" s="4">
        <f t="shared" si="597"/>
        <v>58</v>
      </c>
      <c r="I2608" s="4" t="str">
        <f t="shared" si="598"/>
        <v>='C:\Users\jaime.benazar\Quorum Business Solutions\Ecopetrol Prometeo - Documents\Planning Space Implementation\3. Analysis &amp; Design\Design\FC22\DRR Jaime\Neiva CPI\[VAO_DINA TERCIARIOS_CF_SEC_20230117.xlsx]CF PND'!$DN$58</v>
      </c>
      <c r="J2608" s="4" t="s">
        <v>1338</v>
      </c>
    </row>
    <row r="2609" spans="1:10" x14ac:dyDescent="0.3">
      <c r="A2609" s="7" t="s">
        <v>16</v>
      </c>
      <c r="B2609" s="7">
        <f t="shared" si="599"/>
        <v>2046</v>
      </c>
      <c r="C2609" s="4" t="s">
        <v>52</v>
      </c>
      <c r="D2609" s="5" t="s">
        <v>131</v>
      </c>
      <c r="E2609" s="10" t="str">
        <f t="shared" si="595"/>
        <v>PND'!</v>
      </c>
      <c r="F2609" s="5" t="str">
        <f t="shared" si="596"/>
        <v>C:\Users\jaime.benazar\Quorum Business Solutions\Ecopetrol Prometeo - Documents\Planning Space Implementation\3. Analysis &amp; Design\Design\FC22\DRR Jaime\Neiva CPI\[VAO_DINA TERCIARIOS_CF_SEC_20230117.xlsx]CF PND'!</v>
      </c>
      <c r="G2609" s="7" t="s">
        <v>109</v>
      </c>
      <c r="H2609" s="4">
        <f t="shared" si="597"/>
        <v>59</v>
      </c>
      <c r="I2609" s="4" t="str">
        <f t="shared" si="598"/>
        <v>='C:\Users\jaime.benazar\Quorum Business Solutions\Ecopetrol Prometeo - Documents\Planning Space Implementation\3. Analysis &amp; Design\Design\FC22\DRR Jaime\Neiva CPI\[VAO_DINA TERCIARIOS_CF_SEC_20230117.xlsx]CF PND'!$DN$59</v>
      </c>
      <c r="J2609" s="4" t="s">
        <v>1339</v>
      </c>
    </row>
    <row r="2610" spans="1:10" x14ac:dyDescent="0.3">
      <c r="A2610" s="7" t="s">
        <v>16</v>
      </c>
      <c r="B2610" s="7">
        <f t="shared" si="599"/>
        <v>2047</v>
      </c>
      <c r="C2610" s="4" t="s">
        <v>52</v>
      </c>
      <c r="D2610" s="5" t="s">
        <v>131</v>
      </c>
      <c r="E2610" s="10" t="str">
        <f t="shared" si="595"/>
        <v>PND'!</v>
      </c>
      <c r="F2610" s="5" t="str">
        <f t="shared" si="596"/>
        <v>C:\Users\jaime.benazar\Quorum Business Solutions\Ecopetrol Prometeo - Documents\Planning Space Implementation\3. Analysis &amp; Design\Design\FC22\DRR Jaime\Neiva CPI\[VAO_DINA TERCIARIOS_CF_SEC_20230117.xlsx]CF PND'!</v>
      </c>
      <c r="G2610" s="7" t="s">
        <v>109</v>
      </c>
      <c r="H2610" s="4">
        <f t="shared" si="597"/>
        <v>60</v>
      </c>
      <c r="I2610" s="4" t="str">
        <f t="shared" si="598"/>
        <v>='C:\Users\jaime.benazar\Quorum Business Solutions\Ecopetrol Prometeo - Documents\Planning Space Implementation\3. Analysis &amp; Design\Design\FC22\DRR Jaime\Neiva CPI\[VAO_DINA TERCIARIOS_CF_SEC_20230117.xlsx]CF PND'!$DN$60</v>
      </c>
      <c r="J2610" s="4" t="s">
        <v>1340</v>
      </c>
    </row>
    <row r="2611" spans="1:10" x14ac:dyDescent="0.3">
      <c r="A2611" s="7" t="s">
        <v>16</v>
      </c>
      <c r="B2611" s="7">
        <f t="shared" si="599"/>
        <v>2048</v>
      </c>
      <c r="C2611" s="4" t="s">
        <v>52</v>
      </c>
      <c r="D2611" s="5" t="s">
        <v>131</v>
      </c>
      <c r="E2611" s="10" t="str">
        <f t="shared" si="595"/>
        <v>PND'!</v>
      </c>
      <c r="F2611" s="5" t="str">
        <f t="shared" si="596"/>
        <v>C:\Users\jaime.benazar\Quorum Business Solutions\Ecopetrol Prometeo - Documents\Planning Space Implementation\3. Analysis &amp; Design\Design\FC22\DRR Jaime\Neiva CPI\[VAO_DINA TERCIARIOS_CF_SEC_20230117.xlsx]CF PND'!</v>
      </c>
      <c r="G2611" s="7" t="s">
        <v>109</v>
      </c>
      <c r="H2611" s="4">
        <f t="shared" si="597"/>
        <v>61</v>
      </c>
      <c r="I2611" s="4" t="str">
        <f t="shared" si="598"/>
        <v>='C:\Users\jaime.benazar\Quorum Business Solutions\Ecopetrol Prometeo - Documents\Planning Space Implementation\3. Analysis &amp; Design\Design\FC22\DRR Jaime\Neiva CPI\[VAO_DINA TERCIARIOS_CF_SEC_20230117.xlsx]CF PND'!$DN$61</v>
      </c>
      <c r="J2611" s="4" t="s">
        <v>1341</v>
      </c>
    </row>
    <row r="2612" spans="1:10" x14ac:dyDescent="0.3">
      <c r="A2612" s="7" t="s">
        <v>16</v>
      </c>
      <c r="B2612" s="7">
        <f t="shared" si="599"/>
        <v>2049</v>
      </c>
      <c r="C2612" s="4" t="s">
        <v>52</v>
      </c>
      <c r="D2612" s="5" t="s">
        <v>131</v>
      </c>
      <c r="E2612" s="10" t="str">
        <f t="shared" si="595"/>
        <v>PND'!</v>
      </c>
      <c r="F2612" s="5" t="str">
        <f t="shared" si="596"/>
        <v>C:\Users\jaime.benazar\Quorum Business Solutions\Ecopetrol Prometeo - Documents\Planning Space Implementation\3. Analysis &amp; Design\Design\FC22\DRR Jaime\Neiva CPI\[VAO_DINA TERCIARIOS_CF_SEC_20230117.xlsx]CF PND'!</v>
      </c>
      <c r="G2612" s="7" t="s">
        <v>109</v>
      </c>
      <c r="H2612" s="4">
        <f t="shared" si="597"/>
        <v>62</v>
      </c>
      <c r="I2612" s="4" t="str">
        <f t="shared" si="598"/>
        <v>='C:\Users\jaime.benazar\Quorum Business Solutions\Ecopetrol Prometeo - Documents\Planning Space Implementation\3. Analysis &amp; Design\Design\FC22\DRR Jaime\Neiva CPI\[VAO_DINA TERCIARIOS_CF_SEC_20230117.xlsx]CF PND'!$DN$62</v>
      </c>
      <c r="J2612" s="4" t="s">
        <v>1342</v>
      </c>
    </row>
    <row r="2613" spans="1:10" x14ac:dyDescent="0.3">
      <c r="A2613" s="7" t="s">
        <v>16</v>
      </c>
      <c r="B2613" s="7">
        <f t="shared" si="599"/>
        <v>2050</v>
      </c>
      <c r="C2613" s="4" t="s">
        <v>52</v>
      </c>
      <c r="D2613" s="5" t="s">
        <v>131</v>
      </c>
      <c r="E2613" s="10" t="str">
        <f t="shared" si="595"/>
        <v>PND'!</v>
      </c>
      <c r="F2613" s="5" t="str">
        <f t="shared" si="596"/>
        <v>C:\Users\jaime.benazar\Quorum Business Solutions\Ecopetrol Prometeo - Documents\Planning Space Implementation\3. Analysis &amp; Design\Design\FC22\DRR Jaime\Neiva CPI\[VAO_DINA TERCIARIOS_CF_SEC_20230117.xlsx]CF PND'!</v>
      </c>
      <c r="G2613" s="7" t="s">
        <v>109</v>
      </c>
      <c r="H2613" s="4">
        <f t="shared" si="597"/>
        <v>63</v>
      </c>
      <c r="I2613" s="4" t="str">
        <f t="shared" si="598"/>
        <v>='C:\Users\jaime.benazar\Quorum Business Solutions\Ecopetrol Prometeo - Documents\Planning Space Implementation\3. Analysis &amp; Design\Design\FC22\DRR Jaime\Neiva CPI\[VAO_DINA TERCIARIOS_CF_SEC_20230117.xlsx]CF PND'!$DN$63</v>
      </c>
      <c r="J2613" s="4" t="s">
        <v>1343</v>
      </c>
    </row>
    <row r="2614" spans="1:10" x14ac:dyDescent="0.3">
      <c r="A2614" s="7" t="s">
        <v>16</v>
      </c>
      <c r="B2614" s="7">
        <f t="shared" si="599"/>
        <v>2051</v>
      </c>
      <c r="C2614" s="4" t="s">
        <v>52</v>
      </c>
      <c r="D2614" s="5" t="s">
        <v>131</v>
      </c>
      <c r="E2614" s="10" t="str">
        <f t="shared" si="595"/>
        <v>PND'!</v>
      </c>
      <c r="F2614" s="5" t="str">
        <f t="shared" si="596"/>
        <v>C:\Users\jaime.benazar\Quorum Business Solutions\Ecopetrol Prometeo - Documents\Planning Space Implementation\3. Analysis &amp; Design\Design\FC22\DRR Jaime\Neiva CPI\[VAO_DINA TERCIARIOS_CF_SEC_20230117.xlsx]CF PND'!</v>
      </c>
      <c r="G2614" s="7" t="s">
        <v>109</v>
      </c>
      <c r="H2614" s="4">
        <f t="shared" si="597"/>
        <v>64</v>
      </c>
      <c r="I2614" s="4" t="str">
        <f t="shared" si="598"/>
        <v>='C:\Users\jaime.benazar\Quorum Business Solutions\Ecopetrol Prometeo - Documents\Planning Space Implementation\3. Analysis &amp; Design\Design\FC22\DRR Jaime\Neiva CPI\[VAO_DINA TERCIARIOS_CF_SEC_20230117.xlsx]CF PND'!$DN$64</v>
      </c>
      <c r="J2614" s="4" t="s">
        <v>1344</v>
      </c>
    </row>
    <row r="2615" spans="1:10" x14ac:dyDescent="0.3">
      <c r="A2615" s="7" t="s">
        <v>16</v>
      </c>
      <c r="B2615" s="7">
        <f t="shared" si="599"/>
        <v>2052</v>
      </c>
      <c r="C2615" s="4" t="s">
        <v>52</v>
      </c>
      <c r="D2615" s="5" t="s">
        <v>131</v>
      </c>
      <c r="E2615" s="10" t="str">
        <f t="shared" si="595"/>
        <v>PND'!</v>
      </c>
      <c r="F2615" s="5" t="str">
        <f t="shared" si="596"/>
        <v>C:\Users\jaime.benazar\Quorum Business Solutions\Ecopetrol Prometeo - Documents\Planning Space Implementation\3. Analysis &amp; Design\Design\FC22\DRR Jaime\Neiva CPI\[VAO_DINA TERCIARIOS_CF_SEC_20230117.xlsx]CF PND'!</v>
      </c>
      <c r="G2615" s="7" t="s">
        <v>109</v>
      </c>
      <c r="H2615" s="4">
        <f t="shared" si="597"/>
        <v>65</v>
      </c>
      <c r="I2615" s="4" t="str">
        <f t="shared" si="598"/>
        <v>='C:\Users\jaime.benazar\Quorum Business Solutions\Ecopetrol Prometeo - Documents\Planning Space Implementation\3. Analysis &amp; Design\Design\FC22\DRR Jaime\Neiva CPI\[VAO_DINA TERCIARIOS_CF_SEC_20230117.xlsx]CF PND'!$DN$65</v>
      </c>
      <c r="J2615" s="4" t="s">
        <v>1345</v>
      </c>
    </row>
    <row r="2616" spans="1:10" x14ac:dyDescent="0.3">
      <c r="A2616" s="7" t="s">
        <v>16</v>
      </c>
      <c r="B2616" s="7">
        <f t="shared" si="599"/>
        <v>2053</v>
      </c>
      <c r="C2616" s="4" t="s">
        <v>52</v>
      </c>
      <c r="D2616" s="5" t="s">
        <v>131</v>
      </c>
      <c r="E2616" s="10" t="str">
        <f t="shared" si="595"/>
        <v>PND'!</v>
      </c>
      <c r="F2616" s="5" t="str">
        <f t="shared" si="596"/>
        <v>C:\Users\jaime.benazar\Quorum Business Solutions\Ecopetrol Prometeo - Documents\Planning Space Implementation\3. Analysis &amp; Design\Design\FC22\DRR Jaime\Neiva CPI\[VAO_DINA TERCIARIOS_CF_SEC_20230117.xlsx]CF PND'!</v>
      </c>
      <c r="G2616" s="7" t="s">
        <v>109</v>
      </c>
      <c r="H2616" s="4">
        <f t="shared" si="597"/>
        <v>66</v>
      </c>
      <c r="I2616" s="4" t="str">
        <f t="shared" si="598"/>
        <v>='C:\Users\jaime.benazar\Quorum Business Solutions\Ecopetrol Prometeo - Documents\Planning Space Implementation\3. Analysis &amp; Design\Design\FC22\DRR Jaime\Neiva CPI\[VAO_DINA TERCIARIOS_CF_SEC_20230117.xlsx]CF PND'!$DN$66</v>
      </c>
      <c r="J2616" s="4" t="s">
        <v>1346</v>
      </c>
    </row>
    <row r="2617" spans="1:10" x14ac:dyDescent="0.3">
      <c r="A2617" s="7" t="s">
        <v>16</v>
      </c>
      <c r="B2617" s="7">
        <f t="shared" si="599"/>
        <v>2054</v>
      </c>
      <c r="C2617" s="4" t="s">
        <v>52</v>
      </c>
      <c r="D2617" s="5" t="s">
        <v>131</v>
      </c>
      <c r="E2617" s="10" t="str">
        <f t="shared" si="595"/>
        <v>PND'!</v>
      </c>
      <c r="F2617" s="5" t="str">
        <f t="shared" si="596"/>
        <v>C:\Users\jaime.benazar\Quorum Business Solutions\Ecopetrol Prometeo - Documents\Planning Space Implementation\3. Analysis &amp; Design\Design\FC22\DRR Jaime\Neiva CPI\[VAO_DINA TERCIARIOS_CF_SEC_20230117.xlsx]CF PND'!</v>
      </c>
      <c r="G2617" s="7" t="s">
        <v>109</v>
      </c>
      <c r="H2617" s="4">
        <f t="shared" si="597"/>
        <v>67</v>
      </c>
      <c r="I2617" s="4" t="str">
        <f t="shared" si="598"/>
        <v>='C:\Users\jaime.benazar\Quorum Business Solutions\Ecopetrol Prometeo - Documents\Planning Space Implementation\3. Analysis &amp; Design\Design\FC22\DRR Jaime\Neiva CPI\[VAO_DINA TERCIARIOS_CF_SEC_20230117.xlsx]CF PND'!$DN$67</v>
      </c>
      <c r="J2617" s="4" t="s">
        <v>1347</v>
      </c>
    </row>
    <row r="2618" spans="1:10" x14ac:dyDescent="0.3">
      <c r="A2618" s="7" t="s">
        <v>16</v>
      </c>
      <c r="B2618" s="7">
        <f t="shared" si="599"/>
        <v>2055</v>
      </c>
      <c r="C2618" s="4" t="s">
        <v>52</v>
      </c>
      <c r="D2618" s="5" t="s">
        <v>131</v>
      </c>
      <c r="E2618" s="10" t="str">
        <f t="shared" si="595"/>
        <v>PND'!</v>
      </c>
      <c r="F2618" s="5" t="str">
        <f t="shared" si="596"/>
        <v>C:\Users\jaime.benazar\Quorum Business Solutions\Ecopetrol Prometeo - Documents\Planning Space Implementation\3. Analysis &amp; Design\Design\FC22\DRR Jaime\Neiva CPI\[VAO_DINA TERCIARIOS_CF_SEC_20230117.xlsx]CF PND'!</v>
      </c>
      <c r="G2618" s="7" t="s">
        <v>109</v>
      </c>
      <c r="H2618" s="4">
        <f t="shared" si="597"/>
        <v>68</v>
      </c>
      <c r="I2618" s="4" t="str">
        <f t="shared" si="598"/>
        <v>='C:\Users\jaime.benazar\Quorum Business Solutions\Ecopetrol Prometeo - Documents\Planning Space Implementation\3. Analysis &amp; Design\Design\FC22\DRR Jaime\Neiva CPI\[VAO_DINA TERCIARIOS_CF_SEC_20230117.xlsx]CF PND'!$DN$68</v>
      </c>
      <c r="J2618" s="4" t="s">
        <v>1348</v>
      </c>
    </row>
    <row r="2619" spans="1:10" x14ac:dyDescent="0.3">
      <c r="A2619" s="7" t="s">
        <v>16</v>
      </c>
      <c r="B2619" s="7">
        <f t="shared" si="599"/>
        <v>2056</v>
      </c>
      <c r="C2619" s="4" t="s">
        <v>52</v>
      </c>
      <c r="D2619" s="5" t="s">
        <v>131</v>
      </c>
      <c r="E2619" s="10" t="str">
        <f t="shared" si="595"/>
        <v>PND'!</v>
      </c>
      <c r="F2619" s="5" t="str">
        <f t="shared" si="596"/>
        <v>C:\Users\jaime.benazar\Quorum Business Solutions\Ecopetrol Prometeo - Documents\Planning Space Implementation\3. Analysis &amp; Design\Design\FC22\DRR Jaime\Neiva CPI\[VAO_DINA TERCIARIOS_CF_SEC_20230117.xlsx]CF PND'!</v>
      </c>
      <c r="G2619" s="7" t="s">
        <v>109</v>
      </c>
      <c r="H2619" s="4">
        <f t="shared" si="597"/>
        <v>69</v>
      </c>
      <c r="I2619" s="4" t="str">
        <f t="shared" si="598"/>
        <v>='C:\Users\jaime.benazar\Quorum Business Solutions\Ecopetrol Prometeo - Documents\Planning Space Implementation\3. Analysis &amp; Design\Design\FC22\DRR Jaime\Neiva CPI\[VAO_DINA TERCIARIOS_CF_SEC_20230117.xlsx]CF PND'!$DN$69</v>
      </c>
      <c r="J2619" s="4" t="s">
        <v>1349</v>
      </c>
    </row>
    <row r="2620" spans="1:10" x14ac:dyDescent="0.3">
      <c r="A2620" s="7" t="s">
        <v>16</v>
      </c>
      <c r="B2620" s="7">
        <f t="shared" si="599"/>
        <v>2057</v>
      </c>
      <c r="C2620" s="4" t="s">
        <v>52</v>
      </c>
      <c r="D2620" s="5" t="s">
        <v>131</v>
      </c>
      <c r="E2620" s="10" t="str">
        <f t="shared" si="595"/>
        <v>PND'!</v>
      </c>
      <c r="F2620" s="5" t="str">
        <f t="shared" si="596"/>
        <v>C:\Users\jaime.benazar\Quorum Business Solutions\Ecopetrol Prometeo - Documents\Planning Space Implementation\3. Analysis &amp; Design\Design\FC22\DRR Jaime\Neiva CPI\[VAO_DINA TERCIARIOS_CF_SEC_20230117.xlsx]CF PND'!</v>
      </c>
      <c r="G2620" s="7" t="s">
        <v>109</v>
      </c>
      <c r="H2620" s="4">
        <f t="shared" si="597"/>
        <v>70</v>
      </c>
      <c r="I2620" s="4" t="str">
        <f t="shared" si="598"/>
        <v>='C:\Users\jaime.benazar\Quorum Business Solutions\Ecopetrol Prometeo - Documents\Planning Space Implementation\3. Analysis &amp; Design\Design\FC22\DRR Jaime\Neiva CPI\[VAO_DINA TERCIARIOS_CF_SEC_20230117.xlsx]CF PND'!$DN$70</v>
      </c>
      <c r="J2620" s="4" t="s">
        <v>1350</v>
      </c>
    </row>
    <row r="2621" spans="1:10" x14ac:dyDescent="0.3">
      <c r="A2621" s="7" t="s">
        <v>16</v>
      </c>
      <c r="B2621" s="7">
        <f t="shared" si="599"/>
        <v>2058</v>
      </c>
      <c r="C2621" s="4" t="s">
        <v>52</v>
      </c>
      <c r="D2621" s="5" t="s">
        <v>131</v>
      </c>
      <c r="E2621" s="10" t="str">
        <f t="shared" si="595"/>
        <v>PND'!</v>
      </c>
      <c r="F2621" s="5" t="str">
        <f t="shared" si="596"/>
        <v>C:\Users\jaime.benazar\Quorum Business Solutions\Ecopetrol Prometeo - Documents\Planning Space Implementation\3. Analysis &amp; Design\Design\FC22\DRR Jaime\Neiva CPI\[VAO_DINA TERCIARIOS_CF_SEC_20230117.xlsx]CF PND'!</v>
      </c>
      <c r="G2621" s="7" t="s">
        <v>109</v>
      </c>
      <c r="H2621" s="4">
        <f t="shared" si="597"/>
        <v>71</v>
      </c>
      <c r="I2621" s="4" t="str">
        <f t="shared" si="598"/>
        <v>='C:\Users\jaime.benazar\Quorum Business Solutions\Ecopetrol Prometeo - Documents\Planning Space Implementation\3. Analysis &amp; Design\Design\FC22\DRR Jaime\Neiva CPI\[VAO_DINA TERCIARIOS_CF_SEC_20230117.xlsx]CF PND'!$DN$71</v>
      </c>
      <c r="J2621" s="4" t="s">
        <v>1351</v>
      </c>
    </row>
    <row r="2622" spans="1:10" x14ac:dyDescent="0.3">
      <c r="A2622" s="7" t="s">
        <v>16</v>
      </c>
      <c r="B2622" s="7">
        <f t="shared" si="599"/>
        <v>2059</v>
      </c>
      <c r="C2622" s="4" t="s">
        <v>52</v>
      </c>
      <c r="D2622" s="5" t="s">
        <v>131</v>
      </c>
      <c r="E2622" s="10" t="str">
        <f t="shared" si="595"/>
        <v>PND'!</v>
      </c>
      <c r="F2622" s="5" t="str">
        <f t="shared" si="596"/>
        <v>C:\Users\jaime.benazar\Quorum Business Solutions\Ecopetrol Prometeo - Documents\Planning Space Implementation\3. Analysis &amp; Design\Design\FC22\DRR Jaime\Neiva CPI\[VAO_DINA TERCIARIOS_CF_SEC_20230117.xlsx]CF PND'!</v>
      </c>
      <c r="G2622" s="7" t="s">
        <v>109</v>
      </c>
      <c r="H2622" s="4">
        <f t="shared" si="597"/>
        <v>72</v>
      </c>
      <c r="I2622" s="4" t="str">
        <f t="shared" si="598"/>
        <v>='C:\Users\jaime.benazar\Quorum Business Solutions\Ecopetrol Prometeo - Documents\Planning Space Implementation\3. Analysis &amp; Design\Design\FC22\DRR Jaime\Neiva CPI\[VAO_DINA TERCIARIOS_CF_SEC_20230117.xlsx]CF PND'!$DN$72</v>
      </c>
      <c r="J2622" s="4" t="s">
        <v>1352</v>
      </c>
    </row>
    <row r="2623" spans="1:10" x14ac:dyDescent="0.3">
      <c r="A2623" s="7" t="s">
        <v>26</v>
      </c>
      <c r="B2623" s="7"/>
      <c r="C2623" s="4" t="s">
        <v>52</v>
      </c>
      <c r="D2623" s="5"/>
      <c r="E2623" s="10"/>
      <c r="F2623" s="2"/>
      <c r="G2623" s="7"/>
      <c r="H2623" s="4"/>
      <c r="I2623" s="4"/>
      <c r="J2623" s="4"/>
    </row>
    <row r="2624" spans="1:10" x14ac:dyDescent="0.3">
      <c r="A2624" s="7" t="s">
        <v>17</v>
      </c>
      <c r="B2624" s="7">
        <v>2023</v>
      </c>
      <c r="C2624" s="4" t="s">
        <v>52</v>
      </c>
      <c r="D2624" s="5" t="s">
        <v>131</v>
      </c>
      <c r="E2624" s="10" t="str">
        <f t="shared" ref="E2624:E2644" si="600">_xlfn.CONCAT(A2624,"'!")</f>
        <v>PRBDP'!</v>
      </c>
      <c r="F2624" s="5" t="str">
        <f t="shared" si="586"/>
        <v>C:\Users\jaime.benazar\Quorum Business Solutions\Ecopetrol Prometeo - Documents\Planning Space Implementation\3. Analysis &amp; Design\Design\FC22\DRR Jaime\Neiva CPI\[VAO_DINA TERCIARIOS_CF_SEC_20230117.xlsx]CF PRBDP'!</v>
      </c>
      <c r="G2624" s="7" t="s">
        <v>109</v>
      </c>
      <c r="H2624" s="4"/>
      <c r="I2624" s="4"/>
      <c r="J2624" s="4"/>
    </row>
    <row r="2625" spans="1:10" x14ac:dyDescent="0.3">
      <c r="A2625" s="7" t="s">
        <v>17</v>
      </c>
      <c r="B2625" s="7">
        <f>+B2624+1</f>
        <v>2024</v>
      </c>
      <c r="C2625" s="4" t="s">
        <v>52</v>
      </c>
      <c r="D2625" s="5" t="s">
        <v>131</v>
      </c>
      <c r="E2625" s="10" t="str">
        <f t="shared" si="600"/>
        <v>PRBDP'!</v>
      </c>
      <c r="F2625" s="5" t="str">
        <f t="shared" si="586"/>
        <v>C:\Users\jaime.benazar\Quorum Business Solutions\Ecopetrol Prometeo - Documents\Planning Space Implementation\3. Analysis &amp; Design\Design\FC22\DRR Jaime\Neiva CPI\[VAO_DINA TERCIARIOS_CF_SEC_20230117.xlsx]CF PRBDP'!</v>
      </c>
      <c r="G2625" s="7" t="s">
        <v>109</v>
      </c>
      <c r="H2625" s="4"/>
      <c r="I2625" s="4"/>
      <c r="J2625" s="4"/>
    </row>
    <row r="2626" spans="1:10" x14ac:dyDescent="0.3">
      <c r="A2626" s="7" t="s">
        <v>17</v>
      </c>
      <c r="B2626" s="7">
        <f t="shared" ref="B2626:B2637" si="601">+B2625+1</f>
        <v>2025</v>
      </c>
      <c r="C2626" s="4" t="s">
        <v>52</v>
      </c>
      <c r="D2626" s="5" t="s">
        <v>131</v>
      </c>
      <c r="E2626" s="10" t="str">
        <f t="shared" si="600"/>
        <v>PRBDP'!</v>
      </c>
      <c r="F2626" s="5" t="str">
        <f t="shared" si="586"/>
        <v>C:\Users\jaime.benazar\Quorum Business Solutions\Ecopetrol Prometeo - Documents\Planning Space Implementation\3. Analysis &amp; Design\Design\FC22\DRR Jaime\Neiva CPI\[VAO_DINA TERCIARIOS_CF_SEC_20230117.xlsx]CF PRBDP'!</v>
      </c>
      <c r="G2626" s="7" t="s">
        <v>109</v>
      </c>
      <c r="H2626" s="4"/>
      <c r="I2626" s="4"/>
      <c r="J2626" s="4"/>
    </row>
    <row r="2627" spans="1:10" x14ac:dyDescent="0.3">
      <c r="A2627" s="7" t="s">
        <v>17</v>
      </c>
      <c r="B2627" s="7">
        <f t="shared" si="601"/>
        <v>2026</v>
      </c>
      <c r="C2627" s="4" t="s">
        <v>52</v>
      </c>
      <c r="D2627" s="5" t="s">
        <v>131</v>
      </c>
      <c r="E2627" s="10" t="str">
        <f t="shared" si="600"/>
        <v>PRBDP'!</v>
      </c>
      <c r="F2627" s="5" t="str">
        <f t="shared" si="586"/>
        <v>C:\Users\jaime.benazar\Quorum Business Solutions\Ecopetrol Prometeo - Documents\Planning Space Implementation\3. Analysis &amp; Design\Design\FC22\DRR Jaime\Neiva CPI\[VAO_DINA TERCIARIOS_CF_SEC_20230117.xlsx]CF PRBDP'!</v>
      </c>
      <c r="G2627" s="7" t="s">
        <v>109</v>
      </c>
      <c r="H2627" s="4"/>
      <c r="I2627" s="4"/>
      <c r="J2627" s="4"/>
    </row>
    <row r="2628" spans="1:10" x14ac:dyDescent="0.3">
      <c r="A2628" s="7" t="s">
        <v>17</v>
      </c>
      <c r="B2628" s="7">
        <f t="shared" si="601"/>
        <v>2027</v>
      </c>
      <c r="C2628" s="4" t="s">
        <v>52</v>
      </c>
      <c r="D2628" s="5" t="s">
        <v>131</v>
      </c>
      <c r="E2628" s="10" t="str">
        <f t="shared" si="600"/>
        <v>PRBDP'!</v>
      </c>
      <c r="F2628" s="5" t="str">
        <f t="shared" si="586"/>
        <v>C:\Users\jaime.benazar\Quorum Business Solutions\Ecopetrol Prometeo - Documents\Planning Space Implementation\3. Analysis &amp; Design\Design\FC22\DRR Jaime\Neiva CPI\[VAO_DINA TERCIARIOS_CF_SEC_20230117.xlsx]CF PRBDP'!</v>
      </c>
      <c r="G2628" s="7" t="s">
        <v>109</v>
      </c>
      <c r="H2628" s="4"/>
      <c r="I2628" s="4"/>
      <c r="J2628" s="4"/>
    </row>
    <row r="2629" spans="1:10" x14ac:dyDescent="0.3">
      <c r="A2629" s="7" t="s">
        <v>17</v>
      </c>
      <c r="B2629" s="7">
        <f t="shared" si="601"/>
        <v>2028</v>
      </c>
      <c r="C2629" s="4" t="s">
        <v>52</v>
      </c>
      <c r="D2629" s="5" t="s">
        <v>131</v>
      </c>
      <c r="E2629" s="10" t="str">
        <f t="shared" si="600"/>
        <v>PRBDP'!</v>
      </c>
      <c r="F2629" s="5" t="str">
        <f t="shared" si="586"/>
        <v>C:\Users\jaime.benazar\Quorum Business Solutions\Ecopetrol Prometeo - Documents\Planning Space Implementation\3. Analysis &amp; Design\Design\FC22\DRR Jaime\Neiva CPI\[VAO_DINA TERCIARIOS_CF_SEC_20230117.xlsx]CF PRBDP'!</v>
      </c>
      <c r="G2629" s="7" t="s">
        <v>109</v>
      </c>
      <c r="H2629" s="4"/>
      <c r="I2629" s="4"/>
      <c r="J2629" s="4"/>
    </row>
    <row r="2630" spans="1:10" x14ac:dyDescent="0.3">
      <c r="A2630" s="7" t="s">
        <v>17</v>
      </c>
      <c r="B2630" s="7">
        <f t="shared" si="601"/>
        <v>2029</v>
      </c>
      <c r="C2630" s="4" t="s">
        <v>52</v>
      </c>
      <c r="D2630" s="5" t="s">
        <v>131</v>
      </c>
      <c r="E2630" s="10" t="str">
        <f t="shared" si="600"/>
        <v>PRBDP'!</v>
      </c>
      <c r="F2630" s="5" t="str">
        <f t="shared" si="586"/>
        <v>C:\Users\jaime.benazar\Quorum Business Solutions\Ecopetrol Prometeo - Documents\Planning Space Implementation\3. Analysis &amp; Design\Design\FC22\DRR Jaime\Neiva CPI\[VAO_DINA TERCIARIOS_CF_SEC_20230117.xlsx]CF PRBDP'!</v>
      </c>
      <c r="G2630" s="7" t="s">
        <v>109</v>
      </c>
      <c r="H2630" s="4"/>
      <c r="I2630" s="4"/>
      <c r="J2630" s="4"/>
    </row>
    <row r="2631" spans="1:10" x14ac:dyDescent="0.3">
      <c r="A2631" s="7" t="s">
        <v>17</v>
      </c>
      <c r="B2631" s="7">
        <f t="shared" si="601"/>
        <v>2030</v>
      </c>
      <c r="C2631" s="4" t="s">
        <v>52</v>
      </c>
      <c r="D2631" s="5" t="s">
        <v>131</v>
      </c>
      <c r="E2631" s="10" t="str">
        <f t="shared" si="600"/>
        <v>PRBDP'!</v>
      </c>
      <c r="F2631" s="5" t="str">
        <f t="shared" si="586"/>
        <v>C:\Users\jaime.benazar\Quorum Business Solutions\Ecopetrol Prometeo - Documents\Planning Space Implementation\3. Analysis &amp; Design\Design\FC22\DRR Jaime\Neiva CPI\[VAO_DINA TERCIARIOS_CF_SEC_20230117.xlsx]CF PRBDP'!</v>
      </c>
      <c r="G2631" s="7" t="s">
        <v>109</v>
      </c>
      <c r="H2631" s="4"/>
      <c r="I2631" s="4"/>
      <c r="J2631" s="4"/>
    </row>
    <row r="2632" spans="1:10" x14ac:dyDescent="0.3">
      <c r="A2632" s="7" t="s">
        <v>17</v>
      </c>
      <c r="B2632" s="7">
        <f t="shared" si="601"/>
        <v>2031</v>
      </c>
      <c r="C2632" s="4" t="s">
        <v>52</v>
      </c>
      <c r="D2632" s="5" t="s">
        <v>131</v>
      </c>
      <c r="E2632" s="10" t="str">
        <f t="shared" si="600"/>
        <v>PRBDP'!</v>
      </c>
      <c r="F2632" s="5" t="str">
        <f t="shared" si="586"/>
        <v>C:\Users\jaime.benazar\Quorum Business Solutions\Ecopetrol Prometeo - Documents\Planning Space Implementation\3. Analysis &amp; Design\Design\FC22\DRR Jaime\Neiva CPI\[VAO_DINA TERCIARIOS_CF_SEC_20230117.xlsx]CF PRBDP'!</v>
      </c>
      <c r="G2632" s="7" t="s">
        <v>109</v>
      </c>
      <c r="H2632" s="4"/>
      <c r="I2632" s="4"/>
      <c r="J2632" s="4"/>
    </row>
    <row r="2633" spans="1:10" x14ac:dyDescent="0.3">
      <c r="A2633" s="7" t="s">
        <v>17</v>
      </c>
      <c r="B2633" s="7">
        <f t="shared" si="601"/>
        <v>2032</v>
      </c>
      <c r="C2633" s="4" t="s">
        <v>52</v>
      </c>
      <c r="D2633" s="5" t="s">
        <v>131</v>
      </c>
      <c r="E2633" s="10" t="str">
        <f t="shared" si="600"/>
        <v>PRBDP'!</v>
      </c>
      <c r="F2633" s="5" t="str">
        <f t="shared" si="586"/>
        <v>C:\Users\jaime.benazar\Quorum Business Solutions\Ecopetrol Prometeo - Documents\Planning Space Implementation\3. Analysis &amp; Design\Design\FC22\DRR Jaime\Neiva CPI\[VAO_DINA TERCIARIOS_CF_SEC_20230117.xlsx]CF PRBDP'!</v>
      </c>
      <c r="G2633" s="7" t="s">
        <v>109</v>
      </c>
      <c r="H2633" s="4"/>
      <c r="I2633" s="4"/>
      <c r="J2633" s="4"/>
    </row>
    <row r="2634" spans="1:10" x14ac:dyDescent="0.3">
      <c r="A2634" s="7" t="s">
        <v>17</v>
      </c>
      <c r="B2634" s="7">
        <f t="shared" si="601"/>
        <v>2033</v>
      </c>
      <c r="C2634" s="4" t="s">
        <v>52</v>
      </c>
      <c r="D2634" s="5" t="s">
        <v>131</v>
      </c>
      <c r="E2634" s="10" t="str">
        <f t="shared" si="600"/>
        <v>PRBDP'!</v>
      </c>
      <c r="F2634" s="5" t="str">
        <f t="shared" si="586"/>
        <v>C:\Users\jaime.benazar\Quorum Business Solutions\Ecopetrol Prometeo - Documents\Planning Space Implementation\3. Analysis &amp; Design\Design\FC22\DRR Jaime\Neiva CPI\[VAO_DINA TERCIARIOS_CF_SEC_20230117.xlsx]CF PRBDP'!</v>
      </c>
      <c r="G2634" s="7" t="s">
        <v>109</v>
      </c>
      <c r="H2634" s="4"/>
      <c r="I2634" s="4"/>
      <c r="J2634" s="4"/>
    </row>
    <row r="2635" spans="1:10" x14ac:dyDescent="0.3">
      <c r="A2635" s="7" t="s">
        <v>17</v>
      </c>
      <c r="B2635" s="7">
        <f t="shared" si="601"/>
        <v>2034</v>
      </c>
      <c r="C2635" s="4" t="s">
        <v>52</v>
      </c>
      <c r="D2635" s="5" t="s">
        <v>131</v>
      </c>
      <c r="E2635" s="10" t="str">
        <f t="shared" si="600"/>
        <v>PRBDP'!</v>
      </c>
      <c r="F2635" s="5" t="str">
        <f t="shared" si="586"/>
        <v>C:\Users\jaime.benazar\Quorum Business Solutions\Ecopetrol Prometeo - Documents\Planning Space Implementation\3. Analysis &amp; Design\Design\FC22\DRR Jaime\Neiva CPI\[VAO_DINA TERCIARIOS_CF_SEC_20230117.xlsx]CF PRBDP'!</v>
      </c>
      <c r="G2635" s="7" t="s">
        <v>109</v>
      </c>
      <c r="H2635" s="4"/>
      <c r="I2635" s="4"/>
      <c r="J2635" s="4"/>
    </row>
    <row r="2636" spans="1:10" x14ac:dyDescent="0.3">
      <c r="A2636" s="7" t="s">
        <v>17</v>
      </c>
      <c r="B2636" s="7">
        <f t="shared" si="601"/>
        <v>2035</v>
      </c>
      <c r="C2636" s="4" t="s">
        <v>52</v>
      </c>
      <c r="D2636" s="5" t="s">
        <v>131</v>
      </c>
      <c r="E2636" s="10" t="str">
        <f t="shared" si="600"/>
        <v>PRBDP'!</v>
      </c>
      <c r="F2636" s="5" t="str">
        <f t="shared" si="586"/>
        <v>C:\Users\jaime.benazar\Quorum Business Solutions\Ecopetrol Prometeo - Documents\Planning Space Implementation\3. Analysis &amp; Design\Design\FC22\DRR Jaime\Neiva CPI\[VAO_DINA TERCIARIOS_CF_SEC_20230117.xlsx]CF PRBDP'!</v>
      </c>
      <c r="G2636" s="7" t="s">
        <v>109</v>
      </c>
      <c r="H2636" s="4"/>
      <c r="I2636" s="4"/>
      <c r="J2636" s="4"/>
    </row>
    <row r="2637" spans="1:10" x14ac:dyDescent="0.3">
      <c r="A2637" s="7" t="s">
        <v>17</v>
      </c>
      <c r="B2637" s="7">
        <f t="shared" si="601"/>
        <v>2036</v>
      </c>
      <c r="C2637" s="4" t="s">
        <v>52</v>
      </c>
      <c r="D2637" s="5" t="s">
        <v>131</v>
      </c>
      <c r="E2637" s="10" t="str">
        <f t="shared" si="600"/>
        <v>PRBDP'!</v>
      </c>
      <c r="F2637" s="5" t="str">
        <f t="shared" si="586"/>
        <v>C:\Users\jaime.benazar\Quorum Business Solutions\Ecopetrol Prometeo - Documents\Planning Space Implementation\3. Analysis &amp; Design\Design\FC22\DRR Jaime\Neiva CPI\[VAO_DINA TERCIARIOS_CF_SEC_20230117.xlsx]CF PRBDP'!</v>
      </c>
      <c r="G2637" s="7" t="s">
        <v>109</v>
      </c>
      <c r="H2637" s="4"/>
      <c r="I2637" s="4"/>
      <c r="J2637" s="4"/>
    </row>
    <row r="2638" spans="1:10" x14ac:dyDescent="0.3">
      <c r="A2638" s="7" t="s">
        <v>17</v>
      </c>
      <c r="B2638" s="7">
        <f>+B2637+1</f>
        <v>2037</v>
      </c>
      <c r="C2638" s="4" t="s">
        <v>52</v>
      </c>
      <c r="D2638" s="5" t="s">
        <v>131</v>
      </c>
      <c r="E2638" s="10" t="str">
        <f t="shared" si="600"/>
        <v>PRBDP'!</v>
      </c>
      <c r="F2638" s="5" t="str">
        <f t="shared" si="586"/>
        <v>C:\Users\jaime.benazar\Quorum Business Solutions\Ecopetrol Prometeo - Documents\Planning Space Implementation\3. Analysis &amp; Design\Design\FC22\DRR Jaime\Neiva CPI\[VAO_DINA TERCIARIOS_CF_SEC_20230117.xlsx]CF PRBDP'!</v>
      </c>
      <c r="G2638" s="7" t="s">
        <v>109</v>
      </c>
      <c r="H2638" s="4"/>
      <c r="I2638" s="4"/>
      <c r="J2638" s="4"/>
    </row>
    <row r="2639" spans="1:10" x14ac:dyDescent="0.3">
      <c r="A2639" s="7" t="s">
        <v>17</v>
      </c>
      <c r="B2639" s="7">
        <f t="shared" ref="B2639:B2641" si="602">+B2638+1</f>
        <v>2038</v>
      </c>
      <c r="C2639" s="4" t="s">
        <v>52</v>
      </c>
      <c r="D2639" s="5" t="s">
        <v>131</v>
      </c>
      <c r="E2639" s="10" t="str">
        <f t="shared" si="600"/>
        <v>PRBDP'!</v>
      </c>
      <c r="F2639" s="5" t="str">
        <f t="shared" si="586"/>
        <v>C:\Users\jaime.benazar\Quorum Business Solutions\Ecopetrol Prometeo - Documents\Planning Space Implementation\3. Analysis &amp; Design\Design\FC22\DRR Jaime\Neiva CPI\[VAO_DINA TERCIARIOS_CF_SEC_20230117.xlsx]CF PRBDP'!</v>
      </c>
      <c r="G2639" s="7" t="s">
        <v>109</v>
      </c>
      <c r="H2639" s="4"/>
      <c r="I2639" s="4"/>
      <c r="J2639" s="4"/>
    </row>
    <row r="2640" spans="1:10" x14ac:dyDescent="0.3">
      <c r="A2640" s="7" t="s">
        <v>17</v>
      </c>
      <c r="B2640" s="7">
        <f t="shared" si="602"/>
        <v>2039</v>
      </c>
      <c r="C2640" s="4" t="s">
        <v>52</v>
      </c>
      <c r="D2640" s="5" t="s">
        <v>131</v>
      </c>
      <c r="E2640" s="10" t="str">
        <f t="shared" si="600"/>
        <v>PRBDP'!</v>
      </c>
      <c r="F2640" s="5" t="str">
        <f t="shared" si="586"/>
        <v>C:\Users\jaime.benazar\Quorum Business Solutions\Ecopetrol Prometeo - Documents\Planning Space Implementation\3. Analysis &amp; Design\Design\FC22\DRR Jaime\Neiva CPI\[VAO_DINA TERCIARIOS_CF_SEC_20230117.xlsx]CF PRBDP'!</v>
      </c>
      <c r="G2640" s="7" t="s">
        <v>109</v>
      </c>
      <c r="H2640" s="4"/>
      <c r="I2640" s="4"/>
      <c r="J2640" s="4"/>
    </row>
    <row r="2641" spans="1:10" x14ac:dyDescent="0.3">
      <c r="A2641" s="7" t="s">
        <v>17</v>
      </c>
      <c r="B2641" s="7">
        <f t="shared" si="602"/>
        <v>2040</v>
      </c>
      <c r="C2641" s="4" t="s">
        <v>52</v>
      </c>
      <c r="D2641" s="5" t="s">
        <v>131</v>
      </c>
      <c r="E2641" s="10" t="str">
        <f t="shared" si="600"/>
        <v>PRBDP'!</v>
      </c>
      <c r="F2641" s="5" t="str">
        <f t="shared" si="586"/>
        <v>C:\Users\jaime.benazar\Quorum Business Solutions\Ecopetrol Prometeo - Documents\Planning Space Implementation\3. Analysis &amp; Design\Design\FC22\DRR Jaime\Neiva CPI\[VAO_DINA TERCIARIOS_CF_SEC_20230117.xlsx]CF PRBDP'!</v>
      </c>
      <c r="G2641" s="7" t="s">
        <v>109</v>
      </c>
      <c r="H2641" s="4"/>
      <c r="I2641" s="4"/>
      <c r="J2641" s="4"/>
    </row>
    <row r="2642" spans="1:10" x14ac:dyDescent="0.3">
      <c r="A2642" s="7" t="s">
        <v>17</v>
      </c>
      <c r="B2642" s="7">
        <f>+B2641+1</f>
        <v>2041</v>
      </c>
      <c r="C2642" s="4" t="s">
        <v>52</v>
      </c>
      <c r="D2642" s="5" t="s">
        <v>131</v>
      </c>
      <c r="E2642" s="10" t="str">
        <f t="shared" si="600"/>
        <v>PRBDP'!</v>
      </c>
      <c r="F2642" s="5" t="str">
        <f t="shared" si="586"/>
        <v>C:\Users\jaime.benazar\Quorum Business Solutions\Ecopetrol Prometeo - Documents\Planning Space Implementation\3. Analysis &amp; Design\Design\FC22\DRR Jaime\Neiva CPI\[VAO_DINA TERCIARIOS_CF_SEC_20230117.xlsx]CF PRBDP'!</v>
      </c>
      <c r="G2642" s="7" t="s">
        <v>109</v>
      </c>
      <c r="H2642" s="4"/>
      <c r="I2642" s="4"/>
      <c r="J2642" s="4"/>
    </row>
    <row r="2643" spans="1:10" x14ac:dyDescent="0.3">
      <c r="A2643" s="7" t="s">
        <v>17</v>
      </c>
      <c r="B2643" s="7">
        <f t="shared" ref="B2643:B2644" si="603">+B2642+1</f>
        <v>2042</v>
      </c>
      <c r="C2643" s="4" t="s">
        <v>52</v>
      </c>
      <c r="D2643" s="5" t="s">
        <v>131</v>
      </c>
      <c r="E2643" s="10" t="str">
        <f t="shared" si="600"/>
        <v>PRBDP'!</v>
      </c>
      <c r="F2643" s="5" t="str">
        <f t="shared" si="586"/>
        <v>C:\Users\jaime.benazar\Quorum Business Solutions\Ecopetrol Prometeo - Documents\Planning Space Implementation\3. Analysis &amp; Design\Design\FC22\DRR Jaime\Neiva CPI\[VAO_DINA TERCIARIOS_CF_SEC_20230117.xlsx]CF PRBDP'!</v>
      </c>
      <c r="G2643" s="7" t="s">
        <v>109</v>
      </c>
      <c r="H2643" s="4"/>
      <c r="I2643" s="4"/>
      <c r="J2643" s="4"/>
    </row>
    <row r="2644" spans="1:10" x14ac:dyDescent="0.3">
      <c r="A2644" s="7" t="s">
        <v>17</v>
      </c>
      <c r="B2644" s="7">
        <f t="shared" si="603"/>
        <v>2043</v>
      </c>
      <c r="C2644" s="4" t="s">
        <v>52</v>
      </c>
      <c r="D2644" s="5" t="s">
        <v>131</v>
      </c>
      <c r="E2644" s="10" t="str">
        <f t="shared" si="600"/>
        <v>PRBDP'!</v>
      </c>
      <c r="F2644" s="5" t="str">
        <f t="shared" si="586"/>
        <v>C:\Users\jaime.benazar\Quorum Business Solutions\Ecopetrol Prometeo - Documents\Planning Space Implementation\3. Analysis &amp; Design\Design\FC22\DRR Jaime\Neiva CPI\[VAO_DINA TERCIARIOS_CF_SEC_20230117.xlsx]CF PRBDP'!</v>
      </c>
      <c r="G2644" s="7" t="s">
        <v>109</v>
      </c>
      <c r="H2644" s="4"/>
      <c r="I2644" s="4"/>
      <c r="J2644" s="4"/>
    </row>
    <row r="2645" spans="1:10" x14ac:dyDescent="0.3">
      <c r="A2645" s="7" t="s">
        <v>17</v>
      </c>
      <c r="B2645" s="7">
        <f>+B2644+1</f>
        <v>2044</v>
      </c>
      <c r="C2645" s="4" t="s">
        <v>52</v>
      </c>
      <c r="D2645" s="5" t="s">
        <v>131</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Jaime\Neiva CPI\[VAO_DINA TERCIARIOS_CF_SEC_20230117.xlsx]CF PRBDP'!</v>
      </c>
      <c r="G2645" s="7" t="s">
        <v>109</v>
      </c>
      <c r="H2645" s="4"/>
      <c r="I2645" s="4"/>
      <c r="J2645" s="4"/>
    </row>
    <row r="2646" spans="1:10" x14ac:dyDescent="0.3">
      <c r="A2646" s="7" t="s">
        <v>17</v>
      </c>
      <c r="B2646" s="7">
        <f t="shared" ref="B2646:B2660" si="606">+B2645+1</f>
        <v>2045</v>
      </c>
      <c r="C2646" s="4" t="s">
        <v>52</v>
      </c>
      <c r="D2646" s="5" t="s">
        <v>131</v>
      </c>
      <c r="E2646" s="10" t="str">
        <f t="shared" si="604"/>
        <v>PRBDP'!</v>
      </c>
      <c r="F2646" s="5" t="str">
        <f t="shared" si="605"/>
        <v>C:\Users\jaime.benazar\Quorum Business Solutions\Ecopetrol Prometeo - Documents\Planning Space Implementation\3. Analysis &amp; Design\Design\FC22\DRR Jaime\Neiva CPI\[VAO_DINA TERCIARIOS_CF_SEC_20230117.xlsx]CF PRBDP'!</v>
      </c>
      <c r="G2646" s="7" t="s">
        <v>109</v>
      </c>
      <c r="H2646" s="4"/>
      <c r="I2646" s="4"/>
      <c r="J2646" s="4"/>
    </row>
    <row r="2647" spans="1:10" x14ac:dyDescent="0.3">
      <c r="A2647" s="7" t="s">
        <v>17</v>
      </c>
      <c r="B2647" s="7">
        <f t="shared" si="606"/>
        <v>2046</v>
      </c>
      <c r="C2647" s="4" t="s">
        <v>52</v>
      </c>
      <c r="D2647" s="5" t="s">
        <v>131</v>
      </c>
      <c r="E2647" s="10" t="str">
        <f t="shared" si="604"/>
        <v>PRBDP'!</v>
      </c>
      <c r="F2647" s="5" t="str">
        <f t="shared" si="605"/>
        <v>C:\Users\jaime.benazar\Quorum Business Solutions\Ecopetrol Prometeo - Documents\Planning Space Implementation\3. Analysis &amp; Design\Design\FC22\DRR Jaime\Neiva CPI\[VAO_DINA TERCIARIOS_CF_SEC_20230117.xlsx]CF PRBDP'!</v>
      </c>
      <c r="G2647" s="7" t="s">
        <v>109</v>
      </c>
      <c r="H2647" s="4"/>
      <c r="I2647" s="4"/>
      <c r="J2647" s="4"/>
    </row>
    <row r="2648" spans="1:10" x14ac:dyDescent="0.3">
      <c r="A2648" s="7" t="s">
        <v>17</v>
      </c>
      <c r="B2648" s="7">
        <f t="shared" si="606"/>
        <v>2047</v>
      </c>
      <c r="C2648" s="4" t="s">
        <v>52</v>
      </c>
      <c r="D2648" s="5" t="s">
        <v>131</v>
      </c>
      <c r="E2648" s="10" t="str">
        <f t="shared" si="604"/>
        <v>PRBDP'!</v>
      </c>
      <c r="F2648" s="5" t="str">
        <f t="shared" si="605"/>
        <v>C:\Users\jaime.benazar\Quorum Business Solutions\Ecopetrol Prometeo - Documents\Planning Space Implementation\3. Analysis &amp; Design\Design\FC22\DRR Jaime\Neiva CPI\[VAO_DINA TERCIARIOS_CF_SEC_20230117.xlsx]CF PRBDP'!</v>
      </c>
      <c r="G2648" s="7" t="s">
        <v>109</v>
      </c>
      <c r="H2648" s="4"/>
      <c r="I2648" s="4"/>
      <c r="J2648" s="4"/>
    </row>
    <row r="2649" spans="1:10" x14ac:dyDescent="0.3">
      <c r="A2649" s="7" t="s">
        <v>17</v>
      </c>
      <c r="B2649" s="7">
        <f t="shared" si="606"/>
        <v>2048</v>
      </c>
      <c r="C2649" s="4" t="s">
        <v>52</v>
      </c>
      <c r="D2649" s="5" t="s">
        <v>131</v>
      </c>
      <c r="E2649" s="10" t="str">
        <f t="shared" si="604"/>
        <v>PRBDP'!</v>
      </c>
      <c r="F2649" s="5" t="str">
        <f t="shared" si="605"/>
        <v>C:\Users\jaime.benazar\Quorum Business Solutions\Ecopetrol Prometeo - Documents\Planning Space Implementation\3. Analysis &amp; Design\Design\FC22\DRR Jaime\Neiva CPI\[VAO_DINA TERCIARIOS_CF_SEC_20230117.xlsx]CF PRBDP'!</v>
      </c>
      <c r="G2649" s="7" t="s">
        <v>109</v>
      </c>
      <c r="H2649" s="4"/>
      <c r="I2649" s="4"/>
      <c r="J2649" s="4"/>
    </row>
    <row r="2650" spans="1:10" x14ac:dyDescent="0.3">
      <c r="A2650" s="7" t="s">
        <v>17</v>
      </c>
      <c r="B2650" s="7">
        <f t="shared" si="606"/>
        <v>2049</v>
      </c>
      <c r="C2650" s="4" t="s">
        <v>52</v>
      </c>
      <c r="D2650" s="5" t="s">
        <v>131</v>
      </c>
      <c r="E2650" s="10" t="str">
        <f t="shared" si="604"/>
        <v>PRBDP'!</v>
      </c>
      <c r="F2650" s="5" t="str">
        <f t="shared" si="605"/>
        <v>C:\Users\jaime.benazar\Quorum Business Solutions\Ecopetrol Prometeo - Documents\Planning Space Implementation\3. Analysis &amp; Design\Design\FC22\DRR Jaime\Neiva CPI\[VAO_DINA TERCIARIOS_CF_SEC_20230117.xlsx]CF PRBDP'!</v>
      </c>
      <c r="G2650" s="7" t="s">
        <v>109</v>
      </c>
      <c r="H2650" s="4"/>
      <c r="I2650" s="4"/>
      <c r="J2650" s="4"/>
    </row>
    <row r="2651" spans="1:10" x14ac:dyDescent="0.3">
      <c r="A2651" s="7" t="s">
        <v>17</v>
      </c>
      <c r="B2651" s="7">
        <f t="shared" si="606"/>
        <v>2050</v>
      </c>
      <c r="C2651" s="4" t="s">
        <v>52</v>
      </c>
      <c r="D2651" s="5" t="s">
        <v>131</v>
      </c>
      <c r="E2651" s="10" t="str">
        <f t="shared" si="604"/>
        <v>PRBDP'!</v>
      </c>
      <c r="F2651" s="5" t="str">
        <f t="shared" si="605"/>
        <v>C:\Users\jaime.benazar\Quorum Business Solutions\Ecopetrol Prometeo - Documents\Planning Space Implementation\3. Analysis &amp; Design\Design\FC22\DRR Jaime\Neiva CPI\[VAO_DINA TERCIARIOS_CF_SEC_20230117.xlsx]CF PRBDP'!</v>
      </c>
      <c r="G2651" s="7" t="s">
        <v>109</v>
      </c>
      <c r="H2651" s="4"/>
      <c r="I2651" s="4"/>
      <c r="J2651" s="4"/>
    </row>
    <row r="2652" spans="1:10" x14ac:dyDescent="0.3">
      <c r="A2652" s="7" t="s">
        <v>17</v>
      </c>
      <c r="B2652" s="7">
        <f t="shared" si="606"/>
        <v>2051</v>
      </c>
      <c r="C2652" s="4" t="s">
        <v>52</v>
      </c>
      <c r="D2652" s="5" t="s">
        <v>131</v>
      </c>
      <c r="E2652" s="10" t="str">
        <f t="shared" si="604"/>
        <v>PRBDP'!</v>
      </c>
      <c r="F2652" s="5" t="str">
        <f t="shared" si="605"/>
        <v>C:\Users\jaime.benazar\Quorum Business Solutions\Ecopetrol Prometeo - Documents\Planning Space Implementation\3. Analysis &amp; Design\Design\FC22\DRR Jaime\Neiva CPI\[VAO_DINA TERCIARIOS_CF_SEC_20230117.xlsx]CF PRBDP'!</v>
      </c>
      <c r="G2652" s="7" t="s">
        <v>109</v>
      </c>
      <c r="H2652" s="4"/>
      <c r="I2652" s="4"/>
      <c r="J2652" s="4"/>
    </row>
    <row r="2653" spans="1:10" x14ac:dyDescent="0.3">
      <c r="A2653" s="7" t="s">
        <v>17</v>
      </c>
      <c r="B2653" s="7">
        <f t="shared" si="606"/>
        <v>2052</v>
      </c>
      <c r="C2653" s="4" t="s">
        <v>52</v>
      </c>
      <c r="D2653" s="5" t="s">
        <v>131</v>
      </c>
      <c r="E2653" s="10" t="str">
        <f t="shared" si="604"/>
        <v>PRBDP'!</v>
      </c>
      <c r="F2653" s="5" t="str">
        <f t="shared" si="605"/>
        <v>C:\Users\jaime.benazar\Quorum Business Solutions\Ecopetrol Prometeo - Documents\Planning Space Implementation\3. Analysis &amp; Design\Design\FC22\DRR Jaime\Neiva CPI\[VAO_DINA TERCIARIOS_CF_SEC_20230117.xlsx]CF PRBDP'!</v>
      </c>
      <c r="G2653" s="7" t="s">
        <v>109</v>
      </c>
      <c r="H2653" s="4"/>
      <c r="I2653" s="4"/>
      <c r="J2653" s="4"/>
    </row>
    <row r="2654" spans="1:10" x14ac:dyDescent="0.3">
      <c r="A2654" s="7" t="s">
        <v>17</v>
      </c>
      <c r="B2654" s="7">
        <f t="shared" si="606"/>
        <v>2053</v>
      </c>
      <c r="C2654" s="4" t="s">
        <v>52</v>
      </c>
      <c r="D2654" s="5" t="s">
        <v>131</v>
      </c>
      <c r="E2654" s="10" t="str">
        <f t="shared" si="604"/>
        <v>PRBDP'!</v>
      </c>
      <c r="F2654" s="5" t="str">
        <f t="shared" si="605"/>
        <v>C:\Users\jaime.benazar\Quorum Business Solutions\Ecopetrol Prometeo - Documents\Planning Space Implementation\3. Analysis &amp; Design\Design\FC22\DRR Jaime\Neiva CPI\[VAO_DINA TERCIARIOS_CF_SEC_20230117.xlsx]CF PRBDP'!</v>
      </c>
      <c r="G2654" s="7" t="s">
        <v>109</v>
      </c>
      <c r="H2654" s="4"/>
      <c r="I2654" s="4"/>
      <c r="J2654" s="4"/>
    </row>
    <row r="2655" spans="1:10" x14ac:dyDescent="0.3">
      <c r="A2655" s="7" t="s">
        <v>17</v>
      </c>
      <c r="B2655" s="7">
        <f t="shared" si="606"/>
        <v>2054</v>
      </c>
      <c r="C2655" s="4" t="s">
        <v>52</v>
      </c>
      <c r="D2655" s="5" t="s">
        <v>131</v>
      </c>
      <c r="E2655" s="10" t="str">
        <f t="shared" si="604"/>
        <v>PRBDP'!</v>
      </c>
      <c r="F2655" s="5" t="str">
        <f t="shared" si="605"/>
        <v>C:\Users\jaime.benazar\Quorum Business Solutions\Ecopetrol Prometeo - Documents\Planning Space Implementation\3. Analysis &amp; Design\Design\FC22\DRR Jaime\Neiva CPI\[VAO_DINA TERCIARIOS_CF_SEC_20230117.xlsx]CF PRBDP'!</v>
      </c>
      <c r="G2655" s="7" t="s">
        <v>109</v>
      </c>
      <c r="H2655" s="4"/>
      <c r="I2655" s="4"/>
      <c r="J2655" s="4"/>
    </row>
    <row r="2656" spans="1:10" x14ac:dyDescent="0.3">
      <c r="A2656" s="7" t="s">
        <v>17</v>
      </c>
      <c r="B2656" s="7">
        <f t="shared" si="606"/>
        <v>2055</v>
      </c>
      <c r="C2656" s="4" t="s">
        <v>52</v>
      </c>
      <c r="D2656" s="5" t="s">
        <v>131</v>
      </c>
      <c r="E2656" s="10" t="str">
        <f t="shared" si="604"/>
        <v>PRBDP'!</v>
      </c>
      <c r="F2656" s="5" t="str">
        <f t="shared" si="605"/>
        <v>C:\Users\jaime.benazar\Quorum Business Solutions\Ecopetrol Prometeo - Documents\Planning Space Implementation\3. Analysis &amp; Design\Design\FC22\DRR Jaime\Neiva CPI\[VAO_DINA TERCIARIOS_CF_SEC_20230117.xlsx]CF PRBDP'!</v>
      </c>
      <c r="G2656" s="7" t="s">
        <v>109</v>
      </c>
      <c r="H2656" s="4"/>
      <c r="I2656" s="4"/>
      <c r="J2656" s="4"/>
    </row>
    <row r="2657" spans="1:10" x14ac:dyDescent="0.3">
      <c r="A2657" s="7" t="s">
        <v>17</v>
      </c>
      <c r="B2657" s="7">
        <f t="shared" si="606"/>
        <v>2056</v>
      </c>
      <c r="C2657" s="4" t="s">
        <v>52</v>
      </c>
      <c r="D2657" s="5" t="s">
        <v>131</v>
      </c>
      <c r="E2657" s="10" t="str">
        <f t="shared" si="604"/>
        <v>PRBDP'!</v>
      </c>
      <c r="F2657" s="5" t="str">
        <f t="shared" si="605"/>
        <v>C:\Users\jaime.benazar\Quorum Business Solutions\Ecopetrol Prometeo - Documents\Planning Space Implementation\3. Analysis &amp; Design\Design\FC22\DRR Jaime\Neiva CPI\[VAO_DINA TERCIARIOS_CF_SEC_20230117.xlsx]CF PRBDP'!</v>
      </c>
      <c r="G2657" s="7" t="s">
        <v>109</v>
      </c>
      <c r="H2657" s="4"/>
      <c r="I2657" s="4"/>
      <c r="J2657" s="4"/>
    </row>
    <row r="2658" spans="1:10" x14ac:dyDescent="0.3">
      <c r="A2658" s="7" t="s">
        <v>17</v>
      </c>
      <c r="B2658" s="7">
        <f t="shared" si="606"/>
        <v>2057</v>
      </c>
      <c r="C2658" s="4" t="s">
        <v>52</v>
      </c>
      <c r="D2658" s="5" t="s">
        <v>131</v>
      </c>
      <c r="E2658" s="10" t="str">
        <f t="shared" si="604"/>
        <v>PRBDP'!</v>
      </c>
      <c r="F2658" s="5" t="str">
        <f t="shared" si="605"/>
        <v>C:\Users\jaime.benazar\Quorum Business Solutions\Ecopetrol Prometeo - Documents\Planning Space Implementation\3. Analysis &amp; Design\Design\FC22\DRR Jaime\Neiva CPI\[VAO_DINA TERCIARIOS_CF_SEC_20230117.xlsx]CF PRBDP'!</v>
      </c>
      <c r="G2658" s="7" t="s">
        <v>109</v>
      </c>
      <c r="H2658" s="4"/>
      <c r="I2658" s="4"/>
      <c r="J2658" s="4"/>
    </row>
    <row r="2659" spans="1:10" x14ac:dyDescent="0.3">
      <c r="A2659" s="7" t="s">
        <v>17</v>
      </c>
      <c r="B2659" s="7">
        <f t="shared" si="606"/>
        <v>2058</v>
      </c>
      <c r="C2659" s="4" t="s">
        <v>52</v>
      </c>
      <c r="D2659" s="5" t="s">
        <v>131</v>
      </c>
      <c r="E2659" s="10" t="str">
        <f t="shared" si="604"/>
        <v>PRBDP'!</v>
      </c>
      <c r="F2659" s="5" t="str">
        <f t="shared" si="605"/>
        <v>C:\Users\jaime.benazar\Quorum Business Solutions\Ecopetrol Prometeo - Documents\Planning Space Implementation\3. Analysis &amp; Design\Design\FC22\DRR Jaime\Neiva CPI\[VAO_DINA TERCIARIOS_CF_SEC_20230117.xlsx]CF PRBDP'!</v>
      </c>
      <c r="G2659" s="7" t="s">
        <v>109</v>
      </c>
      <c r="H2659" s="4"/>
      <c r="I2659" s="4"/>
      <c r="J2659" s="4"/>
    </row>
    <row r="2660" spans="1:10" x14ac:dyDescent="0.3">
      <c r="A2660" s="7" t="s">
        <v>17</v>
      </c>
      <c r="B2660" s="7">
        <f t="shared" si="606"/>
        <v>2059</v>
      </c>
      <c r="C2660" s="4" t="s">
        <v>52</v>
      </c>
      <c r="D2660" s="5" t="s">
        <v>131</v>
      </c>
      <c r="E2660" s="10" t="str">
        <f t="shared" si="604"/>
        <v>PRBDP'!</v>
      </c>
      <c r="F2660" s="5" t="str">
        <f t="shared" si="605"/>
        <v>C:\Users\jaime.benazar\Quorum Business Solutions\Ecopetrol Prometeo - Documents\Planning Space Implementation\3. Analysis &amp; Design\Design\FC22\DRR Jaime\Neiva CPI\[VAO_DINA TERCIARIOS_CF_SEC_20230117.xlsx]CF PRBDP'!</v>
      </c>
      <c r="G2660" s="7" t="s">
        <v>109</v>
      </c>
      <c r="H2660" s="4"/>
      <c r="I2660" s="4"/>
      <c r="J2660" s="4"/>
    </row>
    <row r="2661" spans="1:10" x14ac:dyDescent="0.3">
      <c r="A2661" s="7" t="s">
        <v>26</v>
      </c>
      <c r="B2661" s="7"/>
      <c r="C2661" s="4" t="s">
        <v>52</v>
      </c>
      <c r="D2661" s="5"/>
      <c r="E2661" s="10"/>
      <c r="F2661" s="5"/>
      <c r="G2661" s="7"/>
      <c r="H2661" s="4"/>
      <c r="I2661" s="4"/>
      <c r="J2661" s="4"/>
    </row>
    <row r="2662" spans="1:10" x14ac:dyDescent="0.3">
      <c r="A2662" s="7" t="s">
        <v>18</v>
      </c>
      <c r="B2662" s="7">
        <v>2023</v>
      </c>
      <c r="C2662" s="4" t="s">
        <v>52</v>
      </c>
      <c r="D2662" s="5" t="s">
        <v>131</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Jaime\Neiva CPI\[VAO_DINA TERCIARIOS_CF_SEC_20230117.xlsx]CF PRBNP'!</v>
      </c>
      <c r="G2662" s="7" t="s">
        <v>109</v>
      </c>
      <c r="H2662" s="4"/>
      <c r="I2662" s="4"/>
      <c r="J2662" s="4"/>
    </row>
    <row r="2663" spans="1:10" x14ac:dyDescent="0.3">
      <c r="A2663" s="7" t="s">
        <v>18</v>
      </c>
      <c r="B2663" s="7">
        <f>+B2662+1</f>
        <v>2024</v>
      </c>
      <c r="C2663" s="4" t="s">
        <v>52</v>
      </c>
      <c r="D2663" s="5" t="s">
        <v>131</v>
      </c>
      <c r="E2663" s="10" t="str">
        <f t="shared" si="607"/>
        <v>PRBNP'!</v>
      </c>
      <c r="F2663" s="5" t="str">
        <f t="shared" si="608"/>
        <v>C:\Users\jaime.benazar\Quorum Business Solutions\Ecopetrol Prometeo - Documents\Planning Space Implementation\3. Analysis &amp; Design\Design\FC22\DRR Jaime\Neiva CPI\[VAO_DINA TERCIARIOS_CF_SEC_20230117.xlsx]CF PRBNP'!</v>
      </c>
      <c r="G2663" s="7" t="s">
        <v>109</v>
      </c>
      <c r="H2663" s="4"/>
      <c r="I2663" s="4"/>
      <c r="J2663" s="4"/>
    </row>
    <row r="2664" spans="1:10" x14ac:dyDescent="0.3">
      <c r="A2664" s="7" t="s">
        <v>18</v>
      </c>
      <c r="B2664" s="7">
        <f t="shared" ref="B2664:B2675" si="609">+B2663+1</f>
        <v>2025</v>
      </c>
      <c r="C2664" s="4" t="s">
        <v>52</v>
      </c>
      <c r="D2664" s="5" t="s">
        <v>131</v>
      </c>
      <c r="E2664" s="10" t="str">
        <f t="shared" si="607"/>
        <v>PRBNP'!</v>
      </c>
      <c r="F2664" s="5" t="str">
        <f t="shared" si="608"/>
        <v>C:\Users\jaime.benazar\Quorum Business Solutions\Ecopetrol Prometeo - Documents\Planning Space Implementation\3. Analysis &amp; Design\Design\FC22\DRR Jaime\Neiva CPI\[VAO_DINA TERCIARIOS_CF_SEC_20230117.xlsx]CF PRBNP'!</v>
      </c>
      <c r="G2664" s="7" t="s">
        <v>109</v>
      </c>
      <c r="H2664" s="4"/>
      <c r="I2664" s="4"/>
      <c r="J2664" s="4"/>
    </row>
    <row r="2665" spans="1:10" x14ac:dyDescent="0.3">
      <c r="A2665" s="7" t="s">
        <v>18</v>
      </c>
      <c r="B2665" s="7">
        <f t="shared" si="609"/>
        <v>2026</v>
      </c>
      <c r="C2665" s="4" t="s">
        <v>52</v>
      </c>
      <c r="D2665" s="5" t="s">
        <v>131</v>
      </c>
      <c r="E2665" s="10" t="str">
        <f t="shared" si="607"/>
        <v>PRBNP'!</v>
      </c>
      <c r="F2665" s="5" t="str">
        <f t="shared" si="608"/>
        <v>C:\Users\jaime.benazar\Quorum Business Solutions\Ecopetrol Prometeo - Documents\Planning Space Implementation\3. Analysis &amp; Design\Design\FC22\DRR Jaime\Neiva CPI\[VAO_DINA TERCIARIOS_CF_SEC_20230117.xlsx]CF PRBNP'!</v>
      </c>
      <c r="G2665" s="7" t="s">
        <v>109</v>
      </c>
      <c r="H2665" s="4"/>
      <c r="I2665" s="4"/>
      <c r="J2665" s="4"/>
    </row>
    <row r="2666" spans="1:10" x14ac:dyDescent="0.3">
      <c r="A2666" s="7" t="s">
        <v>18</v>
      </c>
      <c r="B2666" s="7">
        <f t="shared" si="609"/>
        <v>2027</v>
      </c>
      <c r="C2666" s="4" t="s">
        <v>52</v>
      </c>
      <c r="D2666" s="5" t="s">
        <v>131</v>
      </c>
      <c r="E2666" s="10" t="str">
        <f t="shared" si="607"/>
        <v>PRBNP'!</v>
      </c>
      <c r="F2666" s="5" t="str">
        <f t="shared" si="608"/>
        <v>C:\Users\jaime.benazar\Quorum Business Solutions\Ecopetrol Prometeo - Documents\Planning Space Implementation\3. Analysis &amp; Design\Design\FC22\DRR Jaime\Neiva CPI\[VAO_DINA TERCIARIOS_CF_SEC_20230117.xlsx]CF PRBNP'!</v>
      </c>
      <c r="G2666" s="7" t="s">
        <v>109</v>
      </c>
      <c r="H2666" s="4"/>
      <c r="I2666" s="4"/>
      <c r="J2666" s="4"/>
    </row>
    <row r="2667" spans="1:10" x14ac:dyDescent="0.3">
      <c r="A2667" s="7" t="s">
        <v>18</v>
      </c>
      <c r="B2667" s="7">
        <f t="shared" si="609"/>
        <v>2028</v>
      </c>
      <c r="C2667" s="4" t="s">
        <v>52</v>
      </c>
      <c r="D2667" s="5" t="s">
        <v>131</v>
      </c>
      <c r="E2667" s="10" t="str">
        <f t="shared" si="607"/>
        <v>PRBNP'!</v>
      </c>
      <c r="F2667" s="5" t="str">
        <f t="shared" si="608"/>
        <v>C:\Users\jaime.benazar\Quorum Business Solutions\Ecopetrol Prometeo - Documents\Planning Space Implementation\3. Analysis &amp; Design\Design\FC22\DRR Jaime\Neiva CPI\[VAO_DINA TERCIARIOS_CF_SEC_20230117.xlsx]CF PRBNP'!</v>
      </c>
      <c r="G2667" s="7" t="s">
        <v>109</v>
      </c>
      <c r="H2667" s="4"/>
      <c r="I2667" s="4"/>
      <c r="J2667" s="4"/>
    </row>
    <row r="2668" spans="1:10" x14ac:dyDescent="0.3">
      <c r="A2668" s="7" t="s">
        <v>18</v>
      </c>
      <c r="B2668" s="7">
        <f t="shared" si="609"/>
        <v>2029</v>
      </c>
      <c r="C2668" s="4" t="s">
        <v>52</v>
      </c>
      <c r="D2668" s="5" t="s">
        <v>131</v>
      </c>
      <c r="E2668" s="10" t="str">
        <f t="shared" si="607"/>
        <v>PRBNP'!</v>
      </c>
      <c r="F2668" s="5" t="str">
        <f t="shared" si="608"/>
        <v>C:\Users\jaime.benazar\Quorum Business Solutions\Ecopetrol Prometeo - Documents\Planning Space Implementation\3. Analysis &amp; Design\Design\FC22\DRR Jaime\Neiva CPI\[VAO_DINA TERCIARIOS_CF_SEC_20230117.xlsx]CF PRBNP'!</v>
      </c>
      <c r="G2668" s="7" t="s">
        <v>109</v>
      </c>
      <c r="H2668" s="4"/>
      <c r="I2668" s="4"/>
      <c r="J2668" s="4"/>
    </row>
    <row r="2669" spans="1:10" x14ac:dyDescent="0.3">
      <c r="A2669" s="7" t="s">
        <v>18</v>
      </c>
      <c r="B2669" s="7">
        <f t="shared" si="609"/>
        <v>2030</v>
      </c>
      <c r="C2669" s="4" t="s">
        <v>52</v>
      </c>
      <c r="D2669" s="5" t="s">
        <v>131</v>
      </c>
      <c r="E2669" s="10" t="str">
        <f t="shared" si="607"/>
        <v>PRBNP'!</v>
      </c>
      <c r="F2669" s="5" t="str">
        <f t="shared" si="608"/>
        <v>C:\Users\jaime.benazar\Quorum Business Solutions\Ecopetrol Prometeo - Documents\Planning Space Implementation\3. Analysis &amp; Design\Design\FC22\DRR Jaime\Neiva CPI\[VAO_DINA TERCIARIOS_CF_SEC_20230117.xlsx]CF PRBNP'!</v>
      </c>
      <c r="G2669" s="7" t="s">
        <v>109</v>
      </c>
      <c r="H2669" s="4"/>
      <c r="I2669" s="4"/>
      <c r="J2669" s="4"/>
    </row>
    <row r="2670" spans="1:10" x14ac:dyDescent="0.3">
      <c r="A2670" s="7" t="s">
        <v>18</v>
      </c>
      <c r="B2670" s="7">
        <f t="shared" si="609"/>
        <v>2031</v>
      </c>
      <c r="C2670" s="4" t="s">
        <v>52</v>
      </c>
      <c r="D2670" s="5" t="s">
        <v>131</v>
      </c>
      <c r="E2670" s="10" t="str">
        <f t="shared" si="607"/>
        <v>PRBNP'!</v>
      </c>
      <c r="F2670" s="5" t="str">
        <f t="shared" si="608"/>
        <v>C:\Users\jaime.benazar\Quorum Business Solutions\Ecopetrol Prometeo - Documents\Planning Space Implementation\3. Analysis &amp; Design\Design\FC22\DRR Jaime\Neiva CPI\[VAO_DINA TERCIARIOS_CF_SEC_20230117.xlsx]CF PRBNP'!</v>
      </c>
      <c r="G2670" s="7" t="s">
        <v>109</v>
      </c>
      <c r="H2670" s="4"/>
      <c r="I2670" s="4"/>
      <c r="J2670" s="4"/>
    </row>
    <row r="2671" spans="1:10" x14ac:dyDescent="0.3">
      <c r="A2671" s="7" t="s">
        <v>18</v>
      </c>
      <c r="B2671" s="7">
        <f t="shared" si="609"/>
        <v>2032</v>
      </c>
      <c r="C2671" s="4" t="s">
        <v>52</v>
      </c>
      <c r="D2671" s="5" t="s">
        <v>131</v>
      </c>
      <c r="E2671" s="10" t="str">
        <f t="shared" si="607"/>
        <v>PRBNP'!</v>
      </c>
      <c r="F2671" s="5" t="str">
        <f t="shared" si="608"/>
        <v>C:\Users\jaime.benazar\Quorum Business Solutions\Ecopetrol Prometeo - Documents\Planning Space Implementation\3. Analysis &amp; Design\Design\FC22\DRR Jaime\Neiva CPI\[VAO_DINA TERCIARIOS_CF_SEC_20230117.xlsx]CF PRBNP'!</v>
      </c>
      <c r="G2671" s="7" t="s">
        <v>109</v>
      </c>
      <c r="H2671" s="4"/>
      <c r="I2671" s="4"/>
      <c r="J2671" s="4"/>
    </row>
    <row r="2672" spans="1:10" x14ac:dyDescent="0.3">
      <c r="A2672" s="7" t="s">
        <v>18</v>
      </c>
      <c r="B2672" s="7">
        <f t="shared" si="609"/>
        <v>2033</v>
      </c>
      <c r="C2672" s="4" t="s">
        <v>52</v>
      </c>
      <c r="D2672" s="5" t="s">
        <v>131</v>
      </c>
      <c r="E2672" s="10" t="str">
        <f t="shared" si="607"/>
        <v>PRBNP'!</v>
      </c>
      <c r="F2672" s="5" t="str">
        <f t="shared" si="608"/>
        <v>C:\Users\jaime.benazar\Quorum Business Solutions\Ecopetrol Prometeo - Documents\Planning Space Implementation\3. Analysis &amp; Design\Design\FC22\DRR Jaime\Neiva CPI\[VAO_DINA TERCIARIOS_CF_SEC_20230117.xlsx]CF PRBNP'!</v>
      </c>
      <c r="G2672" s="7" t="s">
        <v>109</v>
      </c>
      <c r="H2672" s="4"/>
      <c r="I2672" s="4"/>
      <c r="J2672" s="4"/>
    </row>
    <row r="2673" spans="1:10" x14ac:dyDescent="0.3">
      <c r="A2673" s="7" t="s">
        <v>18</v>
      </c>
      <c r="B2673" s="7">
        <f t="shared" si="609"/>
        <v>2034</v>
      </c>
      <c r="C2673" s="4" t="s">
        <v>52</v>
      </c>
      <c r="D2673" s="5" t="s">
        <v>131</v>
      </c>
      <c r="E2673" s="10" t="str">
        <f t="shared" si="607"/>
        <v>PRBNP'!</v>
      </c>
      <c r="F2673" s="5" t="str">
        <f t="shared" si="608"/>
        <v>C:\Users\jaime.benazar\Quorum Business Solutions\Ecopetrol Prometeo - Documents\Planning Space Implementation\3. Analysis &amp; Design\Design\FC22\DRR Jaime\Neiva CPI\[VAO_DINA TERCIARIOS_CF_SEC_20230117.xlsx]CF PRBNP'!</v>
      </c>
      <c r="G2673" s="7" t="s">
        <v>109</v>
      </c>
      <c r="H2673" s="4"/>
      <c r="I2673" s="4"/>
      <c r="J2673" s="4"/>
    </row>
    <row r="2674" spans="1:10" x14ac:dyDescent="0.3">
      <c r="A2674" s="7" t="s">
        <v>18</v>
      </c>
      <c r="B2674" s="7">
        <f t="shared" si="609"/>
        <v>2035</v>
      </c>
      <c r="C2674" s="4" t="s">
        <v>52</v>
      </c>
      <c r="D2674" s="5" t="s">
        <v>131</v>
      </c>
      <c r="E2674" s="10" t="str">
        <f t="shared" si="607"/>
        <v>PRBNP'!</v>
      </c>
      <c r="F2674" s="5" t="str">
        <f t="shared" si="608"/>
        <v>C:\Users\jaime.benazar\Quorum Business Solutions\Ecopetrol Prometeo - Documents\Planning Space Implementation\3. Analysis &amp; Design\Design\FC22\DRR Jaime\Neiva CPI\[VAO_DINA TERCIARIOS_CF_SEC_20230117.xlsx]CF PRBNP'!</v>
      </c>
      <c r="G2674" s="7" t="s">
        <v>109</v>
      </c>
      <c r="H2674" s="4"/>
      <c r="I2674" s="4"/>
      <c r="J2674" s="4"/>
    </row>
    <row r="2675" spans="1:10" x14ac:dyDescent="0.3">
      <c r="A2675" s="7" t="s">
        <v>18</v>
      </c>
      <c r="B2675" s="7">
        <f t="shared" si="609"/>
        <v>2036</v>
      </c>
      <c r="C2675" s="4" t="s">
        <v>52</v>
      </c>
      <c r="D2675" s="5" t="s">
        <v>131</v>
      </c>
      <c r="E2675" s="10" t="str">
        <f t="shared" si="607"/>
        <v>PRBNP'!</v>
      </c>
      <c r="F2675" s="5" t="str">
        <f t="shared" si="608"/>
        <v>C:\Users\jaime.benazar\Quorum Business Solutions\Ecopetrol Prometeo - Documents\Planning Space Implementation\3. Analysis &amp; Design\Design\FC22\DRR Jaime\Neiva CPI\[VAO_DINA TERCIARIOS_CF_SEC_20230117.xlsx]CF PRBNP'!</v>
      </c>
      <c r="G2675" s="7" t="s">
        <v>109</v>
      </c>
      <c r="H2675" s="4"/>
      <c r="I2675" s="4"/>
      <c r="J2675" s="4"/>
    </row>
    <row r="2676" spans="1:10" x14ac:dyDescent="0.3">
      <c r="A2676" s="7" t="s">
        <v>18</v>
      </c>
      <c r="B2676" s="7">
        <f>+B2675+1</f>
        <v>2037</v>
      </c>
      <c r="C2676" s="4" t="s">
        <v>52</v>
      </c>
      <c r="D2676" s="5" t="s">
        <v>131</v>
      </c>
      <c r="E2676" s="10" t="str">
        <f t="shared" si="607"/>
        <v>PRBNP'!</v>
      </c>
      <c r="F2676" s="5" t="str">
        <f t="shared" si="608"/>
        <v>C:\Users\jaime.benazar\Quorum Business Solutions\Ecopetrol Prometeo - Documents\Planning Space Implementation\3. Analysis &amp; Design\Design\FC22\DRR Jaime\Neiva CPI\[VAO_DINA TERCIARIOS_CF_SEC_20230117.xlsx]CF PRBNP'!</v>
      </c>
      <c r="G2676" s="7" t="s">
        <v>109</v>
      </c>
      <c r="H2676" s="4"/>
      <c r="I2676" s="4"/>
      <c r="J2676" s="4"/>
    </row>
    <row r="2677" spans="1:10" x14ac:dyDescent="0.3">
      <c r="A2677" s="7" t="s">
        <v>18</v>
      </c>
      <c r="B2677" s="7">
        <f t="shared" ref="B2677:B2679" si="610">+B2676+1</f>
        <v>2038</v>
      </c>
      <c r="C2677" s="4" t="s">
        <v>52</v>
      </c>
      <c r="D2677" s="5" t="s">
        <v>131</v>
      </c>
      <c r="E2677" s="10" t="str">
        <f t="shared" si="607"/>
        <v>PRBNP'!</v>
      </c>
      <c r="F2677" s="5" t="str">
        <f t="shared" si="608"/>
        <v>C:\Users\jaime.benazar\Quorum Business Solutions\Ecopetrol Prometeo - Documents\Planning Space Implementation\3. Analysis &amp; Design\Design\FC22\DRR Jaime\Neiva CPI\[VAO_DINA TERCIARIOS_CF_SEC_20230117.xlsx]CF PRBNP'!</v>
      </c>
      <c r="G2677" s="7" t="s">
        <v>109</v>
      </c>
      <c r="H2677" s="4"/>
      <c r="I2677" s="4"/>
      <c r="J2677" s="4"/>
    </row>
    <row r="2678" spans="1:10" x14ac:dyDescent="0.3">
      <c r="A2678" s="7" t="s">
        <v>18</v>
      </c>
      <c r="B2678" s="7">
        <f t="shared" si="610"/>
        <v>2039</v>
      </c>
      <c r="C2678" s="4" t="s">
        <v>52</v>
      </c>
      <c r="D2678" s="5" t="s">
        <v>131</v>
      </c>
      <c r="E2678" s="10" t="str">
        <f t="shared" si="607"/>
        <v>PRBNP'!</v>
      </c>
      <c r="F2678" s="5" t="str">
        <f t="shared" si="608"/>
        <v>C:\Users\jaime.benazar\Quorum Business Solutions\Ecopetrol Prometeo - Documents\Planning Space Implementation\3. Analysis &amp; Design\Design\FC22\DRR Jaime\Neiva CPI\[VAO_DINA TERCIARIOS_CF_SEC_20230117.xlsx]CF PRBNP'!</v>
      </c>
      <c r="G2678" s="7" t="s">
        <v>109</v>
      </c>
      <c r="H2678" s="4"/>
      <c r="I2678" s="4"/>
      <c r="J2678" s="4"/>
    </row>
    <row r="2679" spans="1:10" x14ac:dyDescent="0.3">
      <c r="A2679" s="7" t="s">
        <v>18</v>
      </c>
      <c r="B2679" s="7">
        <f t="shared" si="610"/>
        <v>2040</v>
      </c>
      <c r="C2679" s="4" t="s">
        <v>52</v>
      </c>
      <c r="D2679" s="5" t="s">
        <v>131</v>
      </c>
      <c r="E2679" s="10" t="str">
        <f t="shared" si="607"/>
        <v>PRBNP'!</v>
      </c>
      <c r="F2679" s="5" t="str">
        <f t="shared" si="608"/>
        <v>C:\Users\jaime.benazar\Quorum Business Solutions\Ecopetrol Prometeo - Documents\Planning Space Implementation\3. Analysis &amp; Design\Design\FC22\DRR Jaime\Neiva CPI\[VAO_DINA TERCIARIOS_CF_SEC_20230117.xlsx]CF PRBNP'!</v>
      </c>
      <c r="G2679" s="7" t="s">
        <v>109</v>
      </c>
      <c r="H2679" s="4"/>
      <c r="I2679" s="4"/>
      <c r="J2679" s="4"/>
    </row>
    <row r="2680" spans="1:10" x14ac:dyDescent="0.3">
      <c r="A2680" s="7" t="s">
        <v>18</v>
      </c>
      <c r="B2680" s="7">
        <f>+B2679+1</f>
        <v>2041</v>
      </c>
      <c r="C2680" s="4" t="s">
        <v>52</v>
      </c>
      <c r="D2680" s="5" t="s">
        <v>131</v>
      </c>
      <c r="E2680" s="10" t="str">
        <f t="shared" si="607"/>
        <v>PRBNP'!</v>
      </c>
      <c r="F2680" s="5" t="str">
        <f t="shared" si="608"/>
        <v>C:\Users\jaime.benazar\Quorum Business Solutions\Ecopetrol Prometeo - Documents\Planning Space Implementation\3. Analysis &amp; Design\Design\FC22\DRR Jaime\Neiva CPI\[VAO_DINA TERCIARIOS_CF_SEC_20230117.xlsx]CF PRBNP'!</v>
      </c>
      <c r="G2680" s="7" t="s">
        <v>109</v>
      </c>
      <c r="H2680" s="4"/>
      <c r="I2680" s="4"/>
      <c r="J2680" s="4"/>
    </row>
    <row r="2681" spans="1:10" x14ac:dyDescent="0.3">
      <c r="A2681" s="7" t="s">
        <v>18</v>
      </c>
      <c r="B2681" s="7">
        <f t="shared" ref="B2681:B2682" si="611">+B2680+1</f>
        <v>2042</v>
      </c>
      <c r="C2681" s="4" t="s">
        <v>52</v>
      </c>
      <c r="D2681" s="5" t="s">
        <v>131</v>
      </c>
      <c r="E2681" s="10" t="str">
        <f t="shared" si="607"/>
        <v>PRBNP'!</v>
      </c>
      <c r="F2681" s="5" t="str">
        <f t="shared" si="608"/>
        <v>C:\Users\jaime.benazar\Quorum Business Solutions\Ecopetrol Prometeo - Documents\Planning Space Implementation\3. Analysis &amp; Design\Design\FC22\DRR Jaime\Neiva CPI\[VAO_DINA TERCIARIOS_CF_SEC_20230117.xlsx]CF PRBNP'!</v>
      </c>
      <c r="G2681" s="7" t="s">
        <v>109</v>
      </c>
      <c r="H2681" s="4"/>
      <c r="I2681" s="4"/>
      <c r="J2681" s="4"/>
    </row>
    <row r="2682" spans="1:10" x14ac:dyDescent="0.3">
      <c r="A2682" s="7" t="s">
        <v>18</v>
      </c>
      <c r="B2682" s="7">
        <f t="shared" si="611"/>
        <v>2043</v>
      </c>
      <c r="C2682" s="4" t="s">
        <v>52</v>
      </c>
      <c r="D2682" s="5" t="s">
        <v>131</v>
      </c>
      <c r="E2682" s="10" t="str">
        <f t="shared" si="607"/>
        <v>PRBNP'!</v>
      </c>
      <c r="F2682" s="5" t="str">
        <f t="shared" si="608"/>
        <v>C:\Users\jaime.benazar\Quorum Business Solutions\Ecopetrol Prometeo - Documents\Planning Space Implementation\3. Analysis &amp; Design\Design\FC22\DRR Jaime\Neiva CPI\[VAO_DINA TERCIARIOS_CF_SEC_20230117.xlsx]CF PRBNP'!</v>
      </c>
      <c r="G2682" s="7" t="s">
        <v>109</v>
      </c>
      <c r="H2682" s="4"/>
      <c r="I2682" s="4"/>
      <c r="J2682" s="4"/>
    </row>
    <row r="2683" spans="1:10" x14ac:dyDescent="0.3">
      <c r="A2683" s="7" t="s">
        <v>18</v>
      </c>
      <c r="B2683" s="7">
        <f>+B2682+1</f>
        <v>2044</v>
      </c>
      <c r="C2683" s="4" t="s">
        <v>52</v>
      </c>
      <c r="D2683" s="5" t="s">
        <v>131</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Jaime\Neiva CPI\[VAO_DINA TERCIARIOS_CF_SEC_20230117.xlsx]CF PRBNP'!</v>
      </c>
      <c r="G2683" s="7" t="s">
        <v>109</v>
      </c>
      <c r="H2683" s="4"/>
      <c r="I2683" s="4"/>
      <c r="J2683" s="4"/>
    </row>
    <row r="2684" spans="1:10" x14ac:dyDescent="0.3">
      <c r="A2684" s="7" t="s">
        <v>18</v>
      </c>
      <c r="B2684" s="7">
        <f t="shared" ref="B2684:B2698" si="614">+B2683+1</f>
        <v>2045</v>
      </c>
      <c r="C2684" s="4" t="s">
        <v>52</v>
      </c>
      <c r="D2684" s="5" t="s">
        <v>131</v>
      </c>
      <c r="E2684" s="10" t="str">
        <f t="shared" si="612"/>
        <v>PRBNP'!</v>
      </c>
      <c r="F2684" s="5" t="str">
        <f t="shared" si="613"/>
        <v>C:\Users\jaime.benazar\Quorum Business Solutions\Ecopetrol Prometeo - Documents\Planning Space Implementation\3. Analysis &amp; Design\Design\FC22\DRR Jaime\Neiva CPI\[VAO_DINA TERCIARIOS_CF_SEC_20230117.xlsx]CF PRBNP'!</v>
      </c>
      <c r="G2684" s="7" t="s">
        <v>109</v>
      </c>
      <c r="H2684" s="4"/>
      <c r="I2684" s="4"/>
      <c r="J2684" s="4"/>
    </row>
    <row r="2685" spans="1:10" x14ac:dyDescent="0.3">
      <c r="A2685" s="7" t="s">
        <v>18</v>
      </c>
      <c r="B2685" s="7">
        <f t="shared" si="614"/>
        <v>2046</v>
      </c>
      <c r="C2685" s="4" t="s">
        <v>52</v>
      </c>
      <c r="D2685" s="5" t="s">
        <v>131</v>
      </c>
      <c r="E2685" s="10" t="str">
        <f t="shared" si="612"/>
        <v>PRBNP'!</v>
      </c>
      <c r="F2685" s="5" t="str">
        <f t="shared" si="613"/>
        <v>C:\Users\jaime.benazar\Quorum Business Solutions\Ecopetrol Prometeo - Documents\Planning Space Implementation\3. Analysis &amp; Design\Design\FC22\DRR Jaime\Neiva CPI\[VAO_DINA TERCIARIOS_CF_SEC_20230117.xlsx]CF PRBNP'!</v>
      </c>
      <c r="G2685" s="7" t="s">
        <v>109</v>
      </c>
      <c r="H2685" s="4"/>
      <c r="I2685" s="4"/>
      <c r="J2685" s="4"/>
    </row>
    <row r="2686" spans="1:10" x14ac:dyDescent="0.3">
      <c r="A2686" s="7" t="s">
        <v>18</v>
      </c>
      <c r="B2686" s="7">
        <f t="shared" si="614"/>
        <v>2047</v>
      </c>
      <c r="C2686" s="4" t="s">
        <v>52</v>
      </c>
      <c r="D2686" s="5" t="s">
        <v>131</v>
      </c>
      <c r="E2686" s="10" t="str">
        <f t="shared" si="612"/>
        <v>PRBNP'!</v>
      </c>
      <c r="F2686" s="5" t="str">
        <f t="shared" si="613"/>
        <v>C:\Users\jaime.benazar\Quorum Business Solutions\Ecopetrol Prometeo - Documents\Planning Space Implementation\3. Analysis &amp; Design\Design\FC22\DRR Jaime\Neiva CPI\[VAO_DINA TERCIARIOS_CF_SEC_20230117.xlsx]CF PRBNP'!</v>
      </c>
      <c r="G2686" s="7" t="s">
        <v>109</v>
      </c>
      <c r="H2686" s="4"/>
      <c r="I2686" s="4"/>
      <c r="J2686" s="4"/>
    </row>
    <row r="2687" spans="1:10" x14ac:dyDescent="0.3">
      <c r="A2687" s="7" t="s">
        <v>18</v>
      </c>
      <c r="B2687" s="7">
        <f t="shared" si="614"/>
        <v>2048</v>
      </c>
      <c r="C2687" s="4" t="s">
        <v>52</v>
      </c>
      <c r="D2687" s="5" t="s">
        <v>131</v>
      </c>
      <c r="E2687" s="10" t="str">
        <f t="shared" si="612"/>
        <v>PRBNP'!</v>
      </c>
      <c r="F2687" s="5" t="str">
        <f t="shared" si="613"/>
        <v>C:\Users\jaime.benazar\Quorum Business Solutions\Ecopetrol Prometeo - Documents\Planning Space Implementation\3. Analysis &amp; Design\Design\FC22\DRR Jaime\Neiva CPI\[VAO_DINA TERCIARIOS_CF_SEC_20230117.xlsx]CF PRBNP'!</v>
      </c>
      <c r="G2687" s="7" t="s">
        <v>109</v>
      </c>
      <c r="H2687" s="4"/>
      <c r="I2687" s="4"/>
      <c r="J2687" s="4"/>
    </row>
    <row r="2688" spans="1:10" x14ac:dyDescent="0.3">
      <c r="A2688" s="7" t="s">
        <v>18</v>
      </c>
      <c r="B2688" s="7">
        <f t="shared" si="614"/>
        <v>2049</v>
      </c>
      <c r="C2688" s="4" t="s">
        <v>52</v>
      </c>
      <c r="D2688" s="5" t="s">
        <v>131</v>
      </c>
      <c r="E2688" s="10" t="str">
        <f t="shared" si="612"/>
        <v>PRBNP'!</v>
      </c>
      <c r="F2688" s="5" t="str">
        <f t="shared" si="613"/>
        <v>C:\Users\jaime.benazar\Quorum Business Solutions\Ecopetrol Prometeo - Documents\Planning Space Implementation\3. Analysis &amp; Design\Design\FC22\DRR Jaime\Neiva CPI\[VAO_DINA TERCIARIOS_CF_SEC_20230117.xlsx]CF PRBNP'!</v>
      </c>
      <c r="G2688" s="7" t="s">
        <v>109</v>
      </c>
      <c r="H2688" s="4"/>
      <c r="I2688" s="4"/>
      <c r="J2688" s="4"/>
    </row>
    <row r="2689" spans="1:10" x14ac:dyDescent="0.3">
      <c r="A2689" s="7" t="s">
        <v>18</v>
      </c>
      <c r="B2689" s="7">
        <f t="shared" si="614"/>
        <v>2050</v>
      </c>
      <c r="C2689" s="4" t="s">
        <v>52</v>
      </c>
      <c r="D2689" s="5" t="s">
        <v>131</v>
      </c>
      <c r="E2689" s="10" t="str">
        <f t="shared" si="612"/>
        <v>PRBNP'!</v>
      </c>
      <c r="F2689" s="5" t="str">
        <f t="shared" si="613"/>
        <v>C:\Users\jaime.benazar\Quorum Business Solutions\Ecopetrol Prometeo - Documents\Planning Space Implementation\3. Analysis &amp; Design\Design\FC22\DRR Jaime\Neiva CPI\[VAO_DINA TERCIARIOS_CF_SEC_20230117.xlsx]CF PRBNP'!</v>
      </c>
      <c r="G2689" s="7" t="s">
        <v>109</v>
      </c>
      <c r="H2689" s="4"/>
      <c r="I2689" s="4"/>
      <c r="J2689" s="4"/>
    </row>
    <row r="2690" spans="1:10" x14ac:dyDescent="0.3">
      <c r="A2690" s="7" t="s">
        <v>18</v>
      </c>
      <c r="B2690" s="7">
        <f t="shared" si="614"/>
        <v>2051</v>
      </c>
      <c r="C2690" s="4" t="s">
        <v>52</v>
      </c>
      <c r="D2690" s="5" t="s">
        <v>131</v>
      </c>
      <c r="E2690" s="10" t="str">
        <f t="shared" si="612"/>
        <v>PRBNP'!</v>
      </c>
      <c r="F2690" s="5" t="str">
        <f t="shared" si="613"/>
        <v>C:\Users\jaime.benazar\Quorum Business Solutions\Ecopetrol Prometeo - Documents\Planning Space Implementation\3. Analysis &amp; Design\Design\FC22\DRR Jaime\Neiva CPI\[VAO_DINA TERCIARIOS_CF_SEC_20230117.xlsx]CF PRBNP'!</v>
      </c>
      <c r="G2690" s="7" t="s">
        <v>109</v>
      </c>
      <c r="H2690" s="4"/>
      <c r="I2690" s="4"/>
      <c r="J2690" s="4"/>
    </row>
    <row r="2691" spans="1:10" x14ac:dyDescent="0.3">
      <c r="A2691" s="7" t="s">
        <v>18</v>
      </c>
      <c r="B2691" s="7">
        <f t="shared" si="614"/>
        <v>2052</v>
      </c>
      <c r="C2691" s="4" t="s">
        <v>52</v>
      </c>
      <c r="D2691" s="5" t="s">
        <v>131</v>
      </c>
      <c r="E2691" s="10" t="str">
        <f t="shared" si="612"/>
        <v>PRBNP'!</v>
      </c>
      <c r="F2691" s="5" t="str">
        <f t="shared" si="613"/>
        <v>C:\Users\jaime.benazar\Quorum Business Solutions\Ecopetrol Prometeo - Documents\Planning Space Implementation\3. Analysis &amp; Design\Design\FC22\DRR Jaime\Neiva CPI\[VAO_DINA TERCIARIOS_CF_SEC_20230117.xlsx]CF PRBNP'!</v>
      </c>
      <c r="G2691" s="7" t="s">
        <v>109</v>
      </c>
      <c r="H2691" s="4"/>
      <c r="I2691" s="4"/>
      <c r="J2691" s="4"/>
    </row>
    <row r="2692" spans="1:10" x14ac:dyDescent="0.3">
      <c r="A2692" s="7" t="s">
        <v>18</v>
      </c>
      <c r="B2692" s="7">
        <f t="shared" si="614"/>
        <v>2053</v>
      </c>
      <c r="C2692" s="4" t="s">
        <v>52</v>
      </c>
      <c r="D2692" s="5" t="s">
        <v>131</v>
      </c>
      <c r="E2692" s="10" t="str">
        <f t="shared" si="612"/>
        <v>PRBNP'!</v>
      </c>
      <c r="F2692" s="5" t="str">
        <f t="shared" si="613"/>
        <v>C:\Users\jaime.benazar\Quorum Business Solutions\Ecopetrol Prometeo - Documents\Planning Space Implementation\3. Analysis &amp; Design\Design\FC22\DRR Jaime\Neiva CPI\[VAO_DINA TERCIARIOS_CF_SEC_20230117.xlsx]CF PRBNP'!</v>
      </c>
      <c r="G2692" s="7" t="s">
        <v>109</v>
      </c>
      <c r="H2692" s="4"/>
      <c r="I2692" s="4"/>
      <c r="J2692" s="4"/>
    </row>
    <row r="2693" spans="1:10" x14ac:dyDescent="0.3">
      <c r="A2693" s="7" t="s">
        <v>18</v>
      </c>
      <c r="B2693" s="7">
        <f t="shared" si="614"/>
        <v>2054</v>
      </c>
      <c r="C2693" s="4" t="s">
        <v>52</v>
      </c>
      <c r="D2693" s="5" t="s">
        <v>131</v>
      </c>
      <c r="E2693" s="10" t="str">
        <f t="shared" si="612"/>
        <v>PRBNP'!</v>
      </c>
      <c r="F2693" s="5" t="str">
        <f t="shared" si="613"/>
        <v>C:\Users\jaime.benazar\Quorum Business Solutions\Ecopetrol Prometeo - Documents\Planning Space Implementation\3. Analysis &amp; Design\Design\FC22\DRR Jaime\Neiva CPI\[VAO_DINA TERCIARIOS_CF_SEC_20230117.xlsx]CF PRBNP'!</v>
      </c>
      <c r="G2693" s="7" t="s">
        <v>109</v>
      </c>
      <c r="H2693" s="4"/>
      <c r="I2693" s="4"/>
      <c r="J2693" s="4"/>
    </row>
    <row r="2694" spans="1:10" x14ac:dyDescent="0.3">
      <c r="A2694" s="7" t="s">
        <v>18</v>
      </c>
      <c r="B2694" s="7">
        <f t="shared" si="614"/>
        <v>2055</v>
      </c>
      <c r="C2694" s="4" t="s">
        <v>52</v>
      </c>
      <c r="D2694" s="5" t="s">
        <v>131</v>
      </c>
      <c r="E2694" s="10" t="str">
        <f t="shared" si="612"/>
        <v>PRBNP'!</v>
      </c>
      <c r="F2694" s="5" t="str">
        <f t="shared" si="613"/>
        <v>C:\Users\jaime.benazar\Quorum Business Solutions\Ecopetrol Prometeo - Documents\Planning Space Implementation\3. Analysis &amp; Design\Design\FC22\DRR Jaime\Neiva CPI\[VAO_DINA TERCIARIOS_CF_SEC_20230117.xlsx]CF PRBNP'!</v>
      </c>
      <c r="G2694" s="7" t="s">
        <v>109</v>
      </c>
      <c r="H2694" s="4"/>
      <c r="I2694" s="4"/>
      <c r="J2694" s="4"/>
    </row>
    <row r="2695" spans="1:10" x14ac:dyDescent="0.3">
      <c r="A2695" s="7" t="s">
        <v>18</v>
      </c>
      <c r="B2695" s="7">
        <f t="shared" si="614"/>
        <v>2056</v>
      </c>
      <c r="C2695" s="4" t="s">
        <v>52</v>
      </c>
      <c r="D2695" s="5" t="s">
        <v>131</v>
      </c>
      <c r="E2695" s="10" t="str">
        <f t="shared" si="612"/>
        <v>PRBNP'!</v>
      </c>
      <c r="F2695" s="5" t="str">
        <f t="shared" si="613"/>
        <v>C:\Users\jaime.benazar\Quorum Business Solutions\Ecopetrol Prometeo - Documents\Planning Space Implementation\3. Analysis &amp; Design\Design\FC22\DRR Jaime\Neiva CPI\[VAO_DINA TERCIARIOS_CF_SEC_20230117.xlsx]CF PRBNP'!</v>
      </c>
      <c r="G2695" s="7" t="s">
        <v>109</v>
      </c>
      <c r="H2695" s="4"/>
      <c r="I2695" s="4"/>
      <c r="J2695" s="4"/>
    </row>
    <row r="2696" spans="1:10" x14ac:dyDescent="0.3">
      <c r="A2696" s="7" t="s">
        <v>18</v>
      </c>
      <c r="B2696" s="7">
        <f t="shared" si="614"/>
        <v>2057</v>
      </c>
      <c r="C2696" s="4" t="s">
        <v>52</v>
      </c>
      <c r="D2696" s="5" t="s">
        <v>131</v>
      </c>
      <c r="E2696" s="10" t="str">
        <f t="shared" si="612"/>
        <v>PRBNP'!</v>
      </c>
      <c r="F2696" s="5" t="str">
        <f t="shared" si="613"/>
        <v>C:\Users\jaime.benazar\Quorum Business Solutions\Ecopetrol Prometeo - Documents\Planning Space Implementation\3. Analysis &amp; Design\Design\FC22\DRR Jaime\Neiva CPI\[VAO_DINA TERCIARIOS_CF_SEC_20230117.xlsx]CF PRBNP'!</v>
      </c>
      <c r="G2696" s="7" t="s">
        <v>109</v>
      </c>
      <c r="H2696" s="4"/>
      <c r="I2696" s="4"/>
      <c r="J2696" s="4"/>
    </row>
    <row r="2697" spans="1:10" x14ac:dyDescent="0.3">
      <c r="A2697" s="7" t="s">
        <v>18</v>
      </c>
      <c r="B2697" s="7">
        <f t="shared" si="614"/>
        <v>2058</v>
      </c>
      <c r="C2697" s="4" t="s">
        <v>52</v>
      </c>
      <c r="D2697" s="5" t="s">
        <v>131</v>
      </c>
      <c r="E2697" s="10" t="str">
        <f t="shared" si="612"/>
        <v>PRBNP'!</v>
      </c>
      <c r="F2697" s="5" t="str">
        <f t="shared" si="613"/>
        <v>C:\Users\jaime.benazar\Quorum Business Solutions\Ecopetrol Prometeo - Documents\Planning Space Implementation\3. Analysis &amp; Design\Design\FC22\DRR Jaime\Neiva CPI\[VAO_DINA TERCIARIOS_CF_SEC_20230117.xlsx]CF PRBNP'!</v>
      </c>
      <c r="G2697" s="7" t="s">
        <v>109</v>
      </c>
      <c r="H2697" s="4"/>
      <c r="I2697" s="4"/>
      <c r="J2697" s="4"/>
    </row>
    <row r="2698" spans="1:10" x14ac:dyDescent="0.3">
      <c r="A2698" s="7" t="s">
        <v>18</v>
      </c>
      <c r="B2698" s="7">
        <f t="shared" si="614"/>
        <v>2059</v>
      </c>
      <c r="C2698" s="4" t="s">
        <v>52</v>
      </c>
      <c r="D2698" s="5" t="s">
        <v>131</v>
      </c>
      <c r="E2698" s="10" t="str">
        <f t="shared" si="612"/>
        <v>PRBNP'!</v>
      </c>
      <c r="F2698" s="5" t="str">
        <f t="shared" si="613"/>
        <v>C:\Users\jaime.benazar\Quorum Business Solutions\Ecopetrol Prometeo - Documents\Planning Space Implementation\3. Analysis &amp; Design\Design\FC22\DRR Jaime\Neiva CPI\[VAO_DINA TERCIARIOS_CF_SEC_20230117.xlsx]CF PRBNP'!</v>
      </c>
      <c r="G2698" s="7" t="s">
        <v>109</v>
      </c>
      <c r="H2698" s="4"/>
      <c r="I2698" s="4"/>
      <c r="J2698" s="4"/>
    </row>
    <row r="2699" spans="1:10" x14ac:dyDescent="0.3">
      <c r="A2699" s="7" t="s">
        <v>26</v>
      </c>
      <c r="B2699" s="7"/>
      <c r="C2699" s="4" t="s">
        <v>52</v>
      </c>
      <c r="D2699" s="5"/>
      <c r="E2699" s="10"/>
      <c r="F2699" s="2"/>
      <c r="G2699" s="7"/>
      <c r="H2699" s="4"/>
      <c r="I2699" s="4"/>
      <c r="J2699" s="4"/>
    </row>
    <row r="2700" spans="1:10" x14ac:dyDescent="0.3">
      <c r="A2700" s="7" t="s">
        <v>19</v>
      </c>
      <c r="B2700" s="7">
        <v>2023</v>
      </c>
      <c r="C2700" s="4" t="s">
        <v>52</v>
      </c>
      <c r="D2700" s="5" t="s">
        <v>131</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Jaime\Neiva CPI\[VAO_DINA TERCIARIOS_CF_SEC_20230117.xlsx]CF PRBND'!</v>
      </c>
      <c r="G2700" s="7" t="s">
        <v>109</v>
      </c>
      <c r="H2700" s="4"/>
      <c r="I2700" s="4"/>
      <c r="J2700" s="4"/>
    </row>
    <row r="2701" spans="1:10" x14ac:dyDescent="0.3">
      <c r="A2701" s="7" t="s">
        <v>19</v>
      </c>
      <c r="B2701" s="7">
        <f>+B2700+1</f>
        <v>2024</v>
      </c>
      <c r="C2701" s="4" t="s">
        <v>52</v>
      </c>
      <c r="D2701" s="5" t="s">
        <v>131</v>
      </c>
      <c r="E2701" s="10" t="str">
        <f t="shared" si="615"/>
        <v>PRBND'!</v>
      </c>
      <c r="F2701" s="5" t="str">
        <f t="shared" si="616"/>
        <v>C:\Users\jaime.benazar\Quorum Business Solutions\Ecopetrol Prometeo - Documents\Planning Space Implementation\3. Analysis &amp; Design\Design\FC22\DRR Jaime\Neiva CPI\[VAO_DINA TERCIARIOS_CF_SEC_20230117.xlsx]CF PRBND'!</v>
      </c>
      <c r="G2701" s="7" t="s">
        <v>109</v>
      </c>
      <c r="H2701" s="4"/>
      <c r="I2701" s="4"/>
      <c r="J2701" s="4"/>
    </row>
    <row r="2702" spans="1:10" x14ac:dyDescent="0.3">
      <c r="A2702" s="7" t="s">
        <v>19</v>
      </c>
      <c r="B2702" s="7">
        <f t="shared" ref="B2702:B2713" si="617">+B2701+1</f>
        <v>2025</v>
      </c>
      <c r="C2702" s="4" t="s">
        <v>52</v>
      </c>
      <c r="D2702" s="5" t="s">
        <v>131</v>
      </c>
      <c r="E2702" s="10" t="str">
        <f t="shared" si="615"/>
        <v>PRBND'!</v>
      </c>
      <c r="F2702" s="5" t="str">
        <f t="shared" si="616"/>
        <v>C:\Users\jaime.benazar\Quorum Business Solutions\Ecopetrol Prometeo - Documents\Planning Space Implementation\3. Analysis &amp; Design\Design\FC22\DRR Jaime\Neiva CPI\[VAO_DINA TERCIARIOS_CF_SEC_20230117.xlsx]CF PRBND'!</v>
      </c>
      <c r="G2702" s="7" t="s">
        <v>109</v>
      </c>
      <c r="H2702" s="4"/>
      <c r="I2702" s="4"/>
      <c r="J2702" s="4"/>
    </row>
    <row r="2703" spans="1:10" x14ac:dyDescent="0.3">
      <c r="A2703" s="7" t="s">
        <v>19</v>
      </c>
      <c r="B2703" s="7">
        <f t="shared" si="617"/>
        <v>2026</v>
      </c>
      <c r="C2703" s="4" t="s">
        <v>52</v>
      </c>
      <c r="D2703" s="5" t="s">
        <v>131</v>
      </c>
      <c r="E2703" s="10" t="str">
        <f t="shared" si="615"/>
        <v>PRBND'!</v>
      </c>
      <c r="F2703" s="5" t="str">
        <f t="shared" si="616"/>
        <v>C:\Users\jaime.benazar\Quorum Business Solutions\Ecopetrol Prometeo - Documents\Planning Space Implementation\3. Analysis &amp; Design\Design\FC22\DRR Jaime\Neiva CPI\[VAO_DINA TERCIARIOS_CF_SEC_20230117.xlsx]CF PRBND'!</v>
      </c>
      <c r="G2703" s="7" t="s">
        <v>109</v>
      </c>
      <c r="H2703" s="4"/>
      <c r="I2703" s="4"/>
      <c r="J2703" s="4"/>
    </row>
    <row r="2704" spans="1:10" x14ac:dyDescent="0.3">
      <c r="A2704" s="7" t="s">
        <v>19</v>
      </c>
      <c r="B2704" s="7">
        <f t="shared" si="617"/>
        <v>2027</v>
      </c>
      <c r="C2704" s="4" t="s">
        <v>52</v>
      </c>
      <c r="D2704" s="5" t="s">
        <v>131</v>
      </c>
      <c r="E2704" s="10" t="str">
        <f t="shared" si="615"/>
        <v>PRBND'!</v>
      </c>
      <c r="F2704" s="5" t="str">
        <f t="shared" si="616"/>
        <v>C:\Users\jaime.benazar\Quorum Business Solutions\Ecopetrol Prometeo - Documents\Planning Space Implementation\3. Analysis &amp; Design\Design\FC22\DRR Jaime\Neiva CPI\[VAO_DINA TERCIARIOS_CF_SEC_20230117.xlsx]CF PRBND'!</v>
      </c>
      <c r="G2704" s="7" t="s">
        <v>109</v>
      </c>
      <c r="H2704" s="4"/>
      <c r="I2704" s="4"/>
      <c r="J2704" s="4"/>
    </row>
    <row r="2705" spans="1:10" x14ac:dyDescent="0.3">
      <c r="A2705" s="7" t="s">
        <v>19</v>
      </c>
      <c r="B2705" s="7">
        <f t="shared" si="617"/>
        <v>2028</v>
      </c>
      <c r="C2705" s="4" t="s">
        <v>52</v>
      </c>
      <c r="D2705" s="5" t="s">
        <v>131</v>
      </c>
      <c r="E2705" s="10" t="str">
        <f t="shared" si="615"/>
        <v>PRBND'!</v>
      </c>
      <c r="F2705" s="5" t="str">
        <f t="shared" si="616"/>
        <v>C:\Users\jaime.benazar\Quorum Business Solutions\Ecopetrol Prometeo - Documents\Planning Space Implementation\3. Analysis &amp; Design\Design\FC22\DRR Jaime\Neiva CPI\[VAO_DINA TERCIARIOS_CF_SEC_20230117.xlsx]CF PRBND'!</v>
      </c>
      <c r="G2705" s="7" t="s">
        <v>109</v>
      </c>
      <c r="H2705" s="4"/>
      <c r="I2705" s="4"/>
      <c r="J2705" s="4"/>
    </row>
    <row r="2706" spans="1:10" x14ac:dyDescent="0.3">
      <c r="A2706" s="7" t="s">
        <v>19</v>
      </c>
      <c r="B2706" s="7">
        <f t="shared" si="617"/>
        <v>2029</v>
      </c>
      <c r="C2706" s="4" t="s">
        <v>52</v>
      </c>
      <c r="D2706" s="5" t="s">
        <v>131</v>
      </c>
      <c r="E2706" s="10" t="str">
        <f t="shared" si="615"/>
        <v>PRBND'!</v>
      </c>
      <c r="F2706" s="5" t="str">
        <f t="shared" si="616"/>
        <v>C:\Users\jaime.benazar\Quorum Business Solutions\Ecopetrol Prometeo - Documents\Planning Space Implementation\3. Analysis &amp; Design\Design\FC22\DRR Jaime\Neiva CPI\[VAO_DINA TERCIARIOS_CF_SEC_20230117.xlsx]CF PRBND'!</v>
      </c>
      <c r="G2706" s="7" t="s">
        <v>109</v>
      </c>
      <c r="H2706" s="4"/>
      <c r="I2706" s="4"/>
      <c r="J2706" s="4"/>
    </row>
    <row r="2707" spans="1:10" x14ac:dyDescent="0.3">
      <c r="A2707" s="7" t="s">
        <v>19</v>
      </c>
      <c r="B2707" s="7">
        <f t="shared" si="617"/>
        <v>2030</v>
      </c>
      <c r="C2707" s="4" t="s">
        <v>52</v>
      </c>
      <c r="D2707" s="5" t="s">
        <v>131</v>
      </c>
      <c r="E2707" s="10" t="str">
        <f t="shared" si="615"/>
        <v>PRBND'!</v>
      </c>
      <c r="F2707" s="5" t="str">
        <f t="shared" si="616"/>
        <v>C:\Users\jaime.benazar\Quorum Business Solutions\Ecopetrol Prometeo - Documents\Planning Space Implementation\3. Analysis &amp; Design\Design\FC22\DRR Jaime\Neiva CPI\[VAO_DINA TERCIARIOS_CF_SEC_20230117.xlsx]CF PRBND'!</v>
      </c>
      <c r="G2707" s="7" t="s">
        <v>109</v>
      </c>
      <c r="H2707" s="4"/>
      <c r="I2707" s="4"/>
      <c r="J2707" s="4"/>
    </row>
    <row r="2708" spans="1:10" x14ac:dyDescent="0.3">
      <c r="A2708" s="7" t="s">
        <v>19</v>
      </c>
      <c r="B2708" s="7">
        <f t="shared" si="617"/>
        <v>2031</v>
      </c>
      <c r="C2708" s="4" t="s">
        <v>52</v>
      </c>
      <c r="D2708" s="5" t="s">
        <v>131</v>
      </c>
      <c r="E2708" s="10" t="str">
        <f t="shared" si="615"/>
        <v>PRBND'!</v>
      </c>
      <c r="F2708" s="5" t="str">
        <f t="shared" si="616"/>
        <v>C:\Users\jaime.benazar\Quorum Business Solutions\Ecopetrol Prometeo - Documents\Planning Space Implementation\3. Analysis &amp; Design\Design\FC22\DRR Jaime\Neiva CPI\[VAO_DINA TERCIARIOS_CF_SEC_20230117.xlsx]CF PRBND'!</v>
      </c>
      <c r="G2708" s="7" t="s">
        <v>109</v>
      </c>
      <c r="H2708" s="4"/>
      <c r="I2708" s="4"/>
      <c r="J2708" s="4"/>
    </row>
    <row r="2709" spans="1:10" x14ac:dyDescent="0.3">
      <c r="A2709" s="7" t="s">
        <v>19</v>
      </c>
      <c r="B2709" s="7">
        <f t="shared" si="617"/>
        <v>2032</v>
      </c>
      <c r="C2709" s="4" t="s">
        <v>52</v>
      </c>
      <c r="D2709" s="5" t="s">
        <v>131</v>
      </c>
      <c r="E2709" s="10" t="str">
        <f t="shared" si="615"/>
        <v>PRBND'!</v>
      </c>
      <c r="F2709" s="5" t="str">
        <f t="shared" si="616"/>
        <v>C:\Users\jaime.benazar\Quorum Business Solutions\Ecopetrol Prometeo - Documents\Planning Space Implementation\3. Analysis &amp; Design\Design\FC22\DRR Jaime\Neiva CPI\[VAO_DINA TERCIARIOS_CF_SEC_20230117.xlsx]CF PRBND'!</v>
      </c>
      <c r="G2709" s="7" t="s">
        <v>109</v>
      </c>
      <c r="H2709" s="4"/>
      <c r="I2709" s="4"/>
      <c r="J2709" s="4"/>
    </row>
    <row r="2710" spans="1:10" x14ac:dyDescent="0.3">
      <c r="A2710" s="7" t="s">
        <v>19</v>
      </c>
      <c r="B2710" s="7">
        <f t="shared" si="617"/>
        <v>2033</v>
      </c>
      <c r="C2710" s="4" t="s">
        <v>52</v>
      </c>
      <c r="D2710" s="5" t="s">
        <v>131</v>
      </c>
      <c r="E2710" s="10" t="str">
        <f t="shared" si="615"/>
        <v>PRBND'!</v>
      </c>
      <c r="F2710" s="5" t="str">
        <f t="shared" si="616"/>
        <v>C:\Users\jaime.benazar\Quorum Business Solutions\Ecopetrol Prometeo - Documents\Planning Space Implementation\3. Analysis &amp; Design\Design\FC22\DRR Jaime\Neiva CPI\[VAO_DINA TERCIARIOS_CF_SEC_20230117.xlsx]CF PRBND'!</v>
      </c>
      <c r="G2710" s="7" t="s">
        <v>109</v>
      </c>
      <c r="H2710" s="4"/>
      <c r="I2710" s="4"/>
      <c r="J2710" s="4"/>
    </row>
    <row r="2711" spans="1:10" x14ac:dyDescent="0.3">
      <c r="A2711" s="7" t="s">
        <v>19</v>
      </c>
      <c r="B2711" s="7">
        <f t="shared" si="617"/>
        <v>2034</v>
      </c>
      <c r="C2711" s="4" t="s">
        <v>52</v>
      </c>
      <c r="D2711" s="5" t="s">
        <v>131</v>
      </c>
      <c r="E2711" s="10" t="str">
        <f t="shared" si="615"/>
        <v>PRBND'!</v>
      </c>
      <c r="F2711" s="5" t="str">
        <f t="shared" si="616"/>
        <v>C:\Users\jaime.benazar\Quorum Business Solutions\Ecopetrol Prometeo - Documents\Planning Space Implementation\3. Analysis &amp; Design\Design\FC22\DRR Jaime\Neiva CPI\[VAO_DINA TERCIARIOS_CF_SEC_20230117.xlsx]CF PRBND'!</v>
      </c>
      <c r="G2711" s="7" t="s">
        <v>109</v>
      </c>
      <c r="H2711" s="4"/>
      <c r="I2711" s="4"/>
      <c r="J2711" s="4"/>
    </row>
    <row r="2712" spans="1:10" x14ac:dyDescent="0.3">
      <c r="A2712" s="7" t="s">
        <v>19</v>
      </c>
      <c r="B2712" s="7">
        <f t="shared" si="617"/>
        <v>2035</v>
      </c>
      <c r="C2712" s="4" t="s">
        <v>52</v>
      </c>
      <c r="D2712" s="5" t="s">
        <v>131</v>
      </c>
      <c r="E2712" s="10" t="str">
        <f t="shared" si="615"/>
        <v>PRBND'!</v>
      </c>
      <c r="F2712" s="5" t="str">
        <f t="shared" si="616"/>
        <v>C:\Users\jaime.benazar\Quorum Business Solutions\Ecopetrol Prometeo - Documents\Planning Space Implementation\3. Analysis &amp; Design\Design\FC22\DRR Jaime\Neiva CPI\[VAO_DINA TERCIARIOS_CF_SEC_20230117.xlsx]CF PRBND'!</v>
      </c>
      <c r="G2712" s="7" t="s">
        <v>109</v>
      </c>
      <c r="H2712" s="4"/>
      <c r="I2712" s="4"/>
      <c r="J2712" s="4"/>
    </row>
    <row r="2713" spans="1:10" x14ac:dyDescent="0.3">
      <c r="A2713" s="7" t="s">
        <v>19</v>
      </c>
      <c r="B2713" s="7">
        <f t="shared" si="617"/>
        <v>2036</v>
      </c>
      <c r="C2713" s="4" t="s">
        <v>52</v>
      </c>
      <c r="D2713" s="5" t="s">
        <v>131</v>
      </c>
      <c r="E2713" s="10" t="str">
        <f t="shared" si="615"/>
        <v>PRBND'!</v>
      </c>
      <c r="F2713" s="5" t="str">
        <f t="shared" si="616"/>
        <v>C:\Users\jaime.benazar\Quorum Business Solutions\Ecopetrol Prometeo - Documents\Planning Space Implementation\3. Analysis &amp; Design\Design\FC22\DRR Jaime\Neiva CPI\[VAO_DINA TERCIARIOS_CF_SEC_20230117.xlsx]CF PRBND'!</v>
      </c>
      <c r="G2713" s="7" t="s">
        <v>109</v>
      </c>
      <c r="H2713" s="4"/>
      <c r="I2713" s="4"/>
      <c r="J2713" s="4"/>
    </row>
    <row r="2714" spans="1:10" x14ac:dyDescent="0.3">
      <c r="A2714" s="7" t="s">
        <v>19</v>
      </c>
      <c r="B2714" s="7">
        <f>+B2713+1</f>
        <v>2037</v>
      </c>
      <c r="C2714" s="4" t="s">
        <v>52</v>
      </c>
      <c r="D2714" s="5" t="s">
        <v>131</v>
      </c>
      <c r="E2714" s="10" t="str">
        <f t="shared" si="615"/>
        <v>PRBND'!</v>
      </c>
      <c r="F2714" s="5" t="str">
        <f t="shared" si="616"/>
        <v>C:\Users\jaime.benazar\Quorum Business Solutions\Ecopetrol Prometeo - Documents\Planning Space Implementation\3. Analysis &amp; Design\Design\FC22\DRR Jaime\Neiva CPI\[VAO_DINA TERCIARIOS_CF_SEC_20230117.xlsx]CF PRBND'!</v>
      </c>
      <c r="G2714" s="7" t="s">
        <v>109</v>
      </c>
      <c r="H2714" s="4"/>
      <c r="I2714" s="4"/>
      <c r="J2714" s="4"/>
    </row>
    <row r="2715" spans="1:10" x14ac:dyDescent="0.3">
      <c r="A2715" s="7" t="s">
        <v>19</v>
      </c>
      <c r="B2715" s="7">
        <f t="shared" ref="B2715:B2717" si="618">+B2714+1</f>
        <v>2038</v>
      </c>
      <c r="C2715" s="4" t="s">
        <v>52</v>
      </c>
      <c r="D2715" s="5" t="s">
        <v>131</v>
      </c>
      <c r="E2715" s="10" t="str">
        <f t="shared" si="615"/>
        <v>PRBND'!</v>
      </c>
      <c r="F2715" s="5" t="str">
        <f t="shared" si="616"/>
        <v>C:\Users\jaime.benazar\Quorum Business Solutions\Ecopetrol Prometeo - Documents\Planning Space Implementation\3. Analysis &amp; Design\Design\FC22\DRR Jaime\Neiva CPI\[VAO_DINA TERCIARIOS_CF_SEC_20230117.xlsx]CF PRBND'!</v>
      </c>
      <c r="G2715" s="7" t="s">
        <v>109</v>
      </c>
      <c r="H2715" s="4"/>
      <c r="I2715" s="4"/>
      <c r="J2715" s="4"/>
    </row>
    <row r="2716" spans="1:10" x14ac:dyDescent="0.3">
      <c r="A2716" s="7" t="s">
        <v>19</v>
      </c>
      <c r="B2716" s="7">
        <f t="shared" si="618"/>
        <v>2039</v>
      </c>
      <c r="C2716" s="4" t="s">
        <v>52</v>
      </c>
      <c r="D2716" s="5" t="s">
        <v>131</v>
      </c>
      <c r="E2716" s="10" t="str">
        <f t="shared" si="615"/>
        <v>PRBND'!</v>
      </c>
      <c r="F2716" s="5" t="str">
        <f t="shared" si="616"/>
        <v>C:\Users\jaime.benazar\Quorum Business Solutions\Ecopetrol Prometeo - Documents\Planning Space Implementation\3. Analysis &amp; Design\Design\FC22\DRR Jaime\Neiva CPI\[VAO_DINA TERCIARIOS_CF_SEC_20230117.xlsx]CF PRBND'!</v>
      </c>
      <c r="G2716" s="7" t="s">
        <v>109</v>
      </c>
      <c r="H2716" s="4"/>
      <c r="I2716" s="4"/>
      <c r="J2716" s="4"/>
    </row>
    <row r="2717" spans="1:10" x14ac:dyDescent="0.3">
      <c r="A2717" s="7" t="s">
        <v>19</v>
      </c>
      <c r="B2717" s="7">
        <f t="shared" si="618"/>
        <v>2040</v>
      </c>
      <c r="C2717" s="4" t="s">
        <v>52</v>
      </c>
      <c r="D2717" s="5" t="s">
        <v>131</v>
      </c>
      <c r="E2717" s="10" t="str">
        <f t="shared" si="615"/>
        <v>PRBND'!</v>
      </c>
      <c r="F2717" s="5" t="str">
        <f t="shared" si="616"/>
        <v>C:\Users\jaime.benazar\Quorum Business Solutions\Ecopetrol Prometeo - Documents\Planning Space Implementation\3. Analysis &amp; Design\Design\FC22\DRR Jaime\Neiva CPI\[VAO_DINA TERCIARIOS_CF_SEC_20230117.xlsx]CF PRBND'!</v>
      </c>
      <c r="G2717" s="7" t="s">
        <v>109</v>
      </c>
      <c r="H2717" s="4"/>
      <c r="I2717" s="4"/>
      <c r="J2717" s="4"/>
    </row>
    <row r="2718" spans="1:10" x14ac:dyDescent="0.3">
      <c r="A2718" s="7" t="s">
        <v>19</v>
      </c>
      <c r="B2718" s="7">
        <f>+B2717+1</f>
        <v>2041</v>
      </c>
      <c r="C2718" s="4" t="s">
        <v>52</v>
      </c>
      <c r="D2718" s="5" t="s">
        <v>131</v>
      </c>
      <c r="E2718" s="10" t="str">
        <f t="shared" si="615"/>
        <v>PRBND'!</v>
      </c>
      <c r="F2718" s="5" t="str">
        <f t="shared" si="616"/>
        <v>C:\Users\jaime.benazar\Quorum Business Solutions\Ecopetrol Prometeo - Documents\Planning Space Implementation\3. Analysis &amp; Design\Design\FC22\DRR Jaime\Neiva CPI\[VAO_DINA TERCIARIOS_CF_SEC_20230117.xlsx]CF PRBND'!</v>
      </c>
      <c r="G2718" s="7" t="s">
        <v>109</v>
      </c>
      <c r="H2718" s="4"/>
      <c r="I2718" s="4"/>
      <c r="J2718" s="4"/>
    </row>
    <row r="2719" spans="1:10" x14ac:dyDescent="0.3">
      <c r="A2719" s="7" t="s">
        <v>19</v>
      </c>
      <c r="B2719" s="7">
        <f t="shared" ref="B2719:B2720" si="619">+B2718+1</f>
        <v>2042</v>
      </c>
      <c r="C2719" s="4" t="s">
        <v>52</v>
      </c>
      <c r="D2719" s="5" t="s">
        <v>131</v>
      </c>
      <c r="E2719" s="10" t="str">
        <f t="shared" si="615"/>
        <v>PRBND'!</v>
      </c>
      <c r="F2719" s="5" t="str">
        <f t="shared" si="616"/>
        <v>C:\Users\jaime.benazar\Quorum Business Solutions\Ecopetrol Prometeo - Documents\Planning Space Implementation\3. Analysis &amp; Design\Design\FC22\DRR Jaime\Neiva CPI\[VAO_DINA TERCIARIOS_CF_SEC_20230117.xlsx]CF PRBND'!</v>
      </c>
      <c r="G2719" s="7" t="s">
        <v>109</v>
      </c>
      <c r="H2719" s="4"/>
      <c r="I2719" s="4"/>
      <c r="J2719" s="4"/>
    </row>
    <row r="2720" spans="1:10" x14ac:dyDescent="0.3">
      <c r="A2720" s="7" t="s">
        <v>19</v>
      </c>
      <c r="B2720" s="7">
        <f t="shared" si="619"/>
        <v>2043</v>
      </c>
      <c r="C2720" s="4" t="s">
        <v>52</v>
      </c>
      <c r="D2720" s="5" t="s">
        <v>131</v>
      </c>
      <c r="E2720" s="10" t="str">
        <f t="shared" si="615"/>
        <v>PRBND'!</v>
      </c>
      <c r="F2720" s="5" t="str">
        <f t="shared" si="616"/>
        <v>C:\Users\jaime.benazar\Quorum Business Solutions\Ecopetrol Prometeo - Documents\Planning Space Implementation\3. Analysis &amp; Design\Design\FC22\DRR Jaime\Neiva CPI\[VAO_DINA TERCIARIOS_CF_SEC_20230117.xlsx]CF PRBND'!</v>
      </c>
      <c r="G2720" s="7" t="s">
        <v>109</v>
      </c>
      <c r="H2720" s="4"/>
      <c r="I2720" s="4"/>
      <c r="J2720" s="4"/>
    </row>
    <row r="2721" spans="1:10" x14ac:dyDescent="0.3">
      <c r="A2721" s="7" t="s">
        <v>19</v>
      </c>
      <c r="B2721" s="7">
        <f>+B2720+1</f>
        <v>2044</v>
      </c>
      <c r="C2721" s="4" t="s">
        <v>52</v>
      </c>
      <c r="D2721" s="5" t="s">
        <v>131</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Jaime\Neiva CPI\[VAO_DINA TERCIARIOS_CF_SEC_20230117.xlsx]CF PRBND'!</v>
      </c>
      <c r="G2721" s="7" t="s">
        <v>109</v>
      </c>
      <c r="H2721" s="4"/>
      <c r="I2721" s="4"/>
      <c r="J2721" s="4"/>
    </row>
    <row r="2722" spans="1:10" x14ac:dyDescent="0.3">
      <c r="A2722" s="7" t="s">
        <v>19</v>
      </c>
      <c r="B2722" s="7">
        <f t="shared" ref="B2722:B2736" si="622">+B2721+1</f>
        <v>2045</v>
      </c>
      <c r="C2722" s="4" t="s">
        <v>52</v>
      </c>
      <c r="D2722" s="5" t="s">
        <v>131</v>
      </c>
      <c r="E2722" s="10" t="str">
        <f t="shared" si="620"/>
        <v>PRBND'!</v>
      </c>
      <c r="F2722" s="5" t="str">
        <f t="shared" si="621"/>
        <v>C:\Users\jaime.benazar\Quorum Business Solutions\Ecopetrol Prometeo - Documents\Planning Space Implementation\3. Analysis &amp; Design\Design\FC22\DRR Jaime\Neiva CPI\[VAO_DINA TERCIARIOS_CF_SEC_20230117.xlsx]CF PRBND'!</v>
      </c>
      <c r="G2722" s="7" t="s">
        <v>109</v>
      </c>
      <c r="H2722" s="4"/>
      <c r="I2722" s="4"/>
      <c r="J2722" s="4"/>
    </row>
    <row r="2723" spans="1:10" x14ac:dyDescent="0.3">
      <c r="A2723" s="7" t="s">
        <v>19</v>
      </c>
      <c r="B2723" s="7">
        <f t="shared" si="622"/>
        <v>2046</v>
      </c>
      <c r="C2723" s="4" t="s">
        <v>52</v>
      </c>
      <c r="D2723" s="5" t="s">
        <v>131</v>
      </c>
      <c r="E2723" s="10" t="str">
        <f t="shared" si="620"/>
        <v>PRBND'!</v>
      </c>
      <c r="F2723" s="5" t="str">
        <f t="shared" si="621"/>
        <v>C:\Users\jaime.benazar\Quorum Business Solutions\Ecopetrol Prometeo - Documents\Planning Space Implementation\3. Analysis &amp; Design\Design\FC22\DRR Jaime\Neiva CPI\[VAO_DINA TERCIARIOS_CF_SEC_20230117.xlsx]CF PRBND'!</v>
      </c>
      <c r="G2723" s="7" t="s">
        <v>109</v>
      </c>
      <c r="H2723" s="4"/>
      <c r="I2723" s="4"/>
      <c r="J2723" s="4"/>
    </row>
    <row r="2724" spans="1:10" x14ac:dyDescent="0.3">
      <c r="A2724" s="7" t="s">
        <v>19</v>
      </c>
      <c r="B2724" s="7">
        <f t="shared" si="622"/>
        <v>2047</v>
      </c>
      <c r="C2724" s="4" t="s">
        <v>52</v>
      </c>
      <c r="D2724" s="5" t="s">
        <v>131</v>
      </c>
      <c r="E2724" s="10" t="str">
        <f t="shared" si="620"/>
        <v>PRBND'!</v>
      </c>
      <c r="F2724" s="5" t="str">
        <f t="shared" si="621"/>
        <v>C:\Users\jaime.benazar\Quorum Business Solutions\Ecopetrol Prometeo - Documents\Planning Space Implementation\3. Analysis &amp; Design\Design\FC22\DRR Jaime\Neiva CPI\[VAO_DINA TERCIARIOS_CF_SEC_20230117.xlsx]CF PRBND'!</v>
      </c>
      <c r="G2724" s="7" t="s">
        <v>109</v>
      </c>
      <c r="H2724" s="4"/>
      <c r="I2724" s="4"/>
      <c r="J2724" s="4"/>
    </row>
    <row r="2725" spans="1:10" x14ac:dyDescent="0.3">
      <c r="A2725" s="7" t="s">
        <v>19</v>
      </c>
      <c r="B2725" s="7">
        <f t="shared" si="622"/>
        <v>2048</v>
      </c>
      <c r="C2725" s="4" t="s">
        <v>52</v>
      </c>
      <c r="D2725" s="5" t="s">
        <v>131</v>
      </c>
      <c r="E2725" s="10" t="str">
        <f t="shared" si="620"/>
        <v>PRBND'!</v>
      </c>
      <c r="F2725" s="5" t="str">
        <f t="shared" si="621"/>
        <v>C:\Users\jaime.benazar\Quorum Business Solutions\Ecopetrol Prometeo - Documents\Planning Space Implementation\3. Analysis &amp; Design\Design\FC22\DRR Jaime\Neiva CPI\[VAO_DINA TERCIARIOS_CF_SEC_20230117.xlsx]CF PRBND'!</v>
      </c>
      <c r="G2725" s="7" t="s">
        <v>109</v>
      </c>
      <c r="H2725" s="4"/>
      <c r="I2725" s="4"/>
      <c r="J2725" s="4"/>
    </row>
    <row r="2726" spans="1:10" x14ac:dyDescent="0.3">
      <c r="A2726" s="7" t="s">
        <v>19</v>
      </c>
      <c r="B2726" s="7">
        <f t="shared" si="622"/>
        <v>2049</v>
      </c>
      <c r="C2726" s="4" t="s">
        <v>52</v>
      </c>
      <c r="D2726" s="5" t="s">
        <v>131</v>
      </c>
      <c r="E2726" s="10" t="str">
        <f t="shared" si="620"/>
        <v>PRBND'!</v>
      </c>
      <c r="F2726" s="5" t="str">
        <f t="shared" si="621"/>
        <v>C:\Users\jaime.benazar\Quorum Business Solutions\Ecopetrol Prometeo - Documents\Planning Space Implementation\3. Analysis &amp; Design\Design\FC22\DRR Jaime\Neiva CPI\[VAO_DINA TERCIARIOS_CF_SEC_20230117.xlsx]CF PRBND'!</v>
      </c>
      <c r="G2726" s="7" t="s">
        <v>109</v>
      </c>
      <c r="H2726" s="4"/>
      <c r="I2726" s="4"/>
      <c r="J2726" s="4"/>
    </row>
    <row r="2727" spans="1:10" x14ac:dyDescent="0.3">
      <c r="A2727" s="7" t="s">
        <v>19</v>
      </c>
      <c r="B2727" s="7">
        <f t="shared" si="622"/>
        <v>2050</v>
      </c>
      <c r="C2727" s="4" t="s">
        <v>52</v>
      </c>
      <c r="D2727" s="5" t="s">
        <v>131</v>
      </c>
      <c r="E2727" s="10" t="str">
        <f t="shared" si="620"/>
        <v>PRBND'!</v>
      </c>
      <c r="F2727" s="5" t="str">
        <f t="shared" si="621"/>
        <v>C:\Users\jaime.benazar\Quorum Business Solutions\Ecopetrol Prometeo - Documents\Planning Space Implementation\3. Analysis &amp; Design\Design\FC22\DRR Jaime\Neiva CPI\[VAO_DINA TERCIARIOS_CF_SEC_20230117.xlsx]CF PRBND'!</v>
      </c>
      <c r="G2727" s="7" t="s">
        <v>109</v>
      </c>
      <c r="H2727" s="4"/>
      <c r="I2727" s="4"/>
      <c r="J2727" s="4"/>
    </row>
    <row r="2728" spans="1:10" x14ac:dyDescent="0.3">
      <c r="A2728" s="7" t="s">
        <v>19</v>
      </c>
      <c r="B2728" s="7">
        <f t="shared" si="622"/>
        <v>2051</v>
      </c>
      <c r="C2728" s="4" t="s">
        <v>52</v>
      </c>
      <c r="D2728" s="5" t="s">
        <v>131</v>
      </c>
      <c r="E2728" s="10" t="str">
        <f t="shared" si="620"/>
        <v>PRBND'!</v>
      </c>
      <c r="F2728" s="5" t="str">
        <f t="shared" si="621"/>
        <v>C:\Users\jaime.benazar\Quorum Business Solutions\Ecopetrol Prometeo - Documents\Planning Space Implementation\3. Analysis &amp; Design\Design\FC22\DRR Jaime\Neiva CPI\[VAO_DINA TERCIARIOS_CF_SEC_20230117.xlsx]CF PRBND'!</v>
      </c>
      <c r="G2728" s="7" t="s">
        <v>109</v>
      </c>
      <c r="H2728" s="4"/>
      <c r="I2728" s="4"/>
      <c r="J2728" s="4"/>
    </row>
    <row r="2729" spans="1:10" x14ac:dyDescent="0.3">
      <c r="A2729" s="7" t="s">
        <v>19</v>
      </c>
      <c r="B2729" s="7">
        <f t="shared" si="622"/>
        <v>2052</v>
      </c>
      <c r="C2729" s="4" t="s">
        <v>52</v>
      </c>
      <c r="D2729" s="5" t="s">
        <v>131</v>
      </c>
      <c r="E2729" s="10" t="str">
        <f t="shared" si="620"/>
        <v>PRBND'!</v>
      </c>
      <c r="F2729" s="5" t="str">
        <f t="shared" si="621"/>
        <v>C:\Users\jaime.benazar\Quorum Business Solutions\Ecopetrol Prometeo - Documents\Planning Space Implementation\3. Analysis &amp; Design\Design\FC22\DRR Jaime\Neiva CPI\[VAO_DINA TERCIARIOS_CF_SEC_20230117.xlsx]CF PRBND'!</v>
      </c>
      <c r="G2729" s="7" t="s">
        <v>109</v>
      </c>
      <c r="H2729" s="4"/>
      <c r="I2729" s="4"/>
      <c r="J2729" s="4"/>
    </row>
    <row r="2730" spans="1:10" x14ac:dyDescent="0.3">
      <c r="A2730" s="7" t="s">
        <v>19</v>
      </c>
      <c r="B2730" s="7">
        <f t="shared" si="622"/>
        <v>2053</v>
      </c>
      <c r="C2730" s="4" t="s">
        <v>52</v>
      </c>
      <c r="D2730" s="5" t="s">
        <v>131</v>
      </c>
      <c r="E2730" s="10" t="str">
        <f t="shared" si="620"/>
        <v>PRBND'!</v>
      </c>
      <c r="F2730" s="5" t="str">
        <f t="shared" si="621"/>
        <v>C:\Users\jaime.benazar\Quorum Business Solutions\Ecopetrol Prometeo - Documents\Planning Space Implementation\3. Analysis &amp; Design\Design\FC22\DRR Jaime\Neiva CPI\[VAO_DINA TERCIARIOS_CF_SEC_20230117.xlsx]CF PRBND'!</v>
      </c>
      <c r="G2730" s="7" t="s">
        <v>109</v>
      </c>
      <c r="H2730" s="4"/>
      <c r="I2730" s="4"/>
      <c r="J2730" s="4"/>
    </row>
    <row r="2731" spans="1:10" x14ac:dyDescent="0.3">
      <c r="A2731" s="7" t="s">
        <v>19</v>
      </c>
      <c r="B2731" s="7">
        <f t="shared" si="622"/>
        <v>2054</v>
      </c>
      <c r="C2731" s="4" t="s">
        <v>52</v>
      </c>
      <c r="D2731" s="5" t="s">
        <v>131</v>
      </c>
      <c r="E2731" s="10" t="str">
        <f t="shared" si="620"/>
        <v>PRBND'!</v>
      </c>
      <c r="F2731" s="5" t="str">
        <f t="shared" si="621"/>
        <v>C:\Users\jaime.benazar\Quorum Business Solutions\Ecopetrol Prometeo - Documents\Planning Space Implementation\3. Analysis &amp; Design\Design\FC22\DRR Jaime\Neiva CPI\[VAO_DINA TERCIARIOS_CF_SEC_20230117.xlsx]CF PRBND'!</v>
      </c>
      <c r="G2731" s="7" t="s">
        <v>109</v>
      </c>
      <c r="H2731" s="4"/>
      <c r="I2731" s="4"/>
      <c r="J2731" s="4"/>
    </row>
    <row r="2732" spans="1:10" x14ac:dyDescent="0.3">
      <c r="A2732" s="7" t="s">
        <v>19</v>
      </c>
      <c r="B2732" s="7">
        <f t="shared" si="622"/>
        <v>2055</v>
      </c>
      <c r="C2732" s="4" t="s">
        <v>52</v>
      </c>
      <c r="D2732" s="5" t="s">
        <v>131</v>
      </c>
      <c r="E2732" s="10" t="str">
        <f t="shared" si="620"/>
        <v>PRBND'!</v>
      </c>
      <c r="F2732" s="5" t="str">
        <f t="shared" si="621"/>
        <v>C:\Users\jaime.benazar\Quorum Business Solutions\Ecopetrol Prometeo - Documents\Planning Space Implementation\3. Analysis &amp; Design\Design\FC22\DRR Jaime\Neiva CPI\[VAO_DINA TERCIARIOS_CF_SEC_20230117.xlsx]CF PRBND'!</v>
      </c>
      <c r="G2732" s="7" t="s">
        <v>109</v>
      </c>
      <c r="H2732" s="4"/>
      <c r="I2732" s="4"/>
      <c r="J2732" s="4"/>
    </row>
    <row r="2733" spans="1:10" x14ac:dyDescent="0.3">
      <c r="A2733" s="7" t="s">
        <v>19</v>
      </c>
      <c r="B2733" s="7">
        <f t="shared" si="622"/>
        <v>2056</v>
      </c>
      <c r="C2733" s="4" t="s">
        <v>52</v>
      </c>
      <c r="D2733" s="5" t="s">
        <v>131</v>
      </c>
      <c r="E2733" s="10" t="str">
        <f t="shared" si="620"/>
        <v>PRBND'!</v>
      </c>
      <c r="F2733" s="5" t="str">
        <f t="shared" si="621"/>
        <v>C:\Users\jaime.benazar\Quorum Business Solutions\Ecopetrol Prometeo - Documents\Planning Space Implementation\3. Analysis &amp; Design\Design\FC22\DRR Jaime\Neiva CPI\[VAO_DINA TERCIARIOS_CF_SEC_20230117.xlsx]CF PRBND'!</v>
      </c>
      <c r="G2733" s="7" t="s">
        <v>109</v>
      </c>
      <c r="H2733" s="4"/>
      <c r="I2733" s="4"/>
      <c r="J2733" s="4"/>
    </row>
    <row r="2734" spans="1:10" x14ac:dyDescent="0.3">
      <c r="A2734" s="7" t="s">
        <v>19</v>
      </c>
      <c r="B2734" s="7">
        <f t="shared" si="622"/>
        <v>2057</v>
      </c>
      <c r="C2734" s="4" t="s">
        <v>52</v>
      </c>
      <c r="D2734" s="5" t="s">
        <v>131</v>
      </c>
      <c r="E2734" s="10" t="str">
        <f t="shared" si="620"/>
        <v>PRBND'!</v>
      </c>
      <c r="F2734" s="5" t="str">
        <f t="shared" si="621"/>
        <v>C:\Users\jaime.benazar\Quorum Business Solutions\Ecopetrol Prometeo - Documents\Planning Space Implementation\3. Analysis &amp; Design\Design\FC22\DRR Jaime\Neiva CPI\[VAO_DINA TERCIARIOS_CF_SEC_20230117.xlsx]CF PRBND'!</v>
      </c>
      <c r="G2734" s="7" t="s">
        <v>109</v>
      </c>
      <c r="H2734" s="4"/>
      <c r="I2734" s="4"/>
      <c r="J2734" s="4"/>
    </row>
    <row r="2735" spans="1:10" x14ac:dyDescent="0.3">
      <c r="A2735" s="7" t="s">
        <v>19</v>
      </c>
      <c r="B2735" s="7">
        <f t="shared" si="622"/>
        <v>2058</v>
      </c>
      <c r="C2735" s="4" t="s">
        <v>52</v>
      </c>
      <c r="D2735" s="5" t="s">
        <v>131</v>
      </c>
      <c r="E2735" s="10" t="str">
        <f t="shared" si="620"/>
        <v>PRBND'!</v>
      </c>
      <c r="F2735" s="5" t="str">
        <f t="shared" si="621"/>
        <v>C:\Users\jaime.benazar\Quorum Business Solutions\Ecopetrol Prometeo - Documents\Planning Space Implementation\3. Analysis &amp; Design\Design\FC22\DRR Jaime\Neiva CPI\[VAO_DINA TERCIARIOS_CF_SEC_20230117.xlsx]CF PRBND'!</v>
      </c>
      <c r="G2735" s="7" t="s">
        <v>109</v>
      </c>
      <c r="H2735" s="4"/>
      <c r="I2735" s="4"/>
      <c r="J2735" s="4"/>
    </row>
    <row r="2736" spans="1:10" x14ac:dyDescent="0.3">
      <c r="A2736" s="7" t="s">
        <v>19</v>
      </c>
      <c r="B2736" s="7">
        <f t="shared" si="622"/>
        <v>2059</v>
      </c>
      <c r="C2736" s="4" t="s">
        <v>52</v>
      </c>
      <c r="D2736" s="5" t="s">
        <v>131</v>
      </c>
      <c r="E2736" s="10" t="str">
        <f t="shared" si="620"/>
        <v>PRBND'!</v>
      </c>
      <c r="F2736" s="5" t="str">
        <f t="shared" si="621"/>
        <v>C:\Users\jaime.benazar\Quorum Business Solutions\Ecopetrol Prometeo - Documents\Planning Space Implementation\3. Analysis &amp; Design\Design\FC22\DRR Jaime\Neiva CPI\[VAO_DINA TERCIARIOS_CF_SEC_20230117.xlsx]CF PRBND'!</v>
      </c>
      <c r="G2736" s="7" t="s">
        <v>109</v>
      </c>
      <c r="H2736" s="4"/>
      <c r="I2736" s="4"/>
      <c r="J2736" s="4"/>
    </row>
    <row r="2737" spans="1:10" x14ac:dyDescent="0.3">
      <c r="A2737" s="7" t="s">
        <v>26</v>
      </c>
      <c r="B2737" s="7"/>
      <c r="C2737" s="4" t="s">
        <v>52</v>
      </c>
      <c r="D2737" s="5"/>
      <c r="E2737" s="10"/>
      <c r="F2737" s="2"/>
      <c r="G2737" s="7"/>
      <c r="H2737" s="4"/>
      <c r="I2737" s="4"/>
      <c r="J2737" s="4"/>
    </row>
    <row r="2738" spans="1:10" x14ac:dyDescent="0.3">
      <c r="A2738" s="7" t="s">
        <v>20</v>
      </c>
      <c r="B2738" s="7">
        <v>2023</v>
      </c>
      <c r="C2738" s="4" t="s">
        <v>52</v>
      </c>
      <c r="D2738" s="5" t="s">
        <v>131</v>
      </c>
      <c r="E2738" s="10" t="str">
        <f t="shared" si="592"/>
        <v>PRB'!</v>
      </c>
      <c r="F2738" s="5" t="str">
        <f t="shared" ref="F2738:F2758" si="623">_xlfn.CONCAT(D2738," ",E2738)</f>
        <v>C:\Users\jaime.benazar\Quorum Business Solutions\Ecopetrol Prometeo - Documents\Planning Space Implementation\3. Analysis &amp; Design\Design\FC22\DRR Jaime\Neiva CPI\[VAO_DINA TERCIARIOS_CF_SEC_20230117.xlsx]CF PRB'!</v>
      </c>
      <c r="G2738" s="7" t="s">
        <v>109</v>
      </c>
      <c r="H2738" s="4">
        <f>IF(A2738&lt;&gt;A2608,36,H2608+1)</f>
        <v>36</v>
      </c>
      <c r="I2738" s="4" t="str">
        <f t="shared" si="593"/>
        <v>='C:\Users\jaime.benazar\Quorum Business Solutions\Ecopetrol Prometeo - Documents\Planning Space Implementation\3. Analysis &amp; Design\Design\FC22\DRR Jaime\Neiva CPI\[VAO_DINA TERCIARIOS_CF_SEC_20230117.xlsx]CF PRB'!$DN$36</v>
      </c>
      <c r="J2738" s="4" t="s">
        <v>1353</v>
      </c>
    </row>
    <row r="2739" spans="1:10" x14ac:dyDescent="0.3">
      <c r="A2739" s="7" t="s">
        <v>20</v>
      </c>
      <c r="B2739" s="7">
        <f>+B2738+1</f>
        <v>2024</v>
      </c>
      <c r="C2739" s="4" t="s">
        <v>52</v>
      </c>
      <c r="D2739" s="5" t="s">
        <v>131</v>
      </c>
      <c r="E2739" s="10" t="str">
        <f t="shared" si="592"/>
        <v>PRB'!</v>
      </c>
      <c r="F2739" s="5" t="str">
        <f t="shared" si="623"/>
        <v>C:\Users\jaime.benazar\Quorum Business Solutions\Ecopetrol Prometeo - Documents\Planning Space Implementation\3. Analysis &amp; Design\Design\FC22\DRR Jaime\Neiva CPI\[VAO_DINA TERCIARIOS_CF_SEC_20230117.xlsx]CF PRB'!</v>
      </c>
      <c r="G2739" s="7" t="s">
        <v>109</v>
      </c>
      <c r="H2739" s="4">
        <f t="shared" si="594"/>
        <v>37</v>
      </c>
      <c r="I2739" s="4" t="str">
        <f t="shared" si="593"/>
        <v>='C:\Users\jaime.benazar\Quorum Business Solutions\Ecopetrol Prometeo - Documents\Planning Space Implementation\3. Analysis &amp; Design\Design\FC22\DRR Jaime\Neiva CPI\[VAO_DINA TERCIARIOS_CF_SEC_20230117.xlsx]CF PRB'!$DN$37</v>
      </c>
      <c r="J2739" s="4" t="s">
        <v>1354</v>
      </c>
    </row>
    <row r="2740" spans="1:10" x14ac:dyDescent="0.3">
      <c r="A2740" s="7" t="s">
        <v>20</v>
      </c>
      <c r="B2740" s="7">
        <f t="shared" ref="B2740:B2751" si="624">+B2739+1</f>
        <v>2025</v>
      </c>
      <c r="C2740" s="4" t="s">
        <v>52</v>
      </c>
      <c r="D2740" s="5" t="s">
        <v>131</v>
      </c>
      <c r="E2740" s="10" t="str">
        <f t="shared" si="592"/>
        <v>PRB'!</v>
      </c>
      <c r="F2740" s="5" t="str">
        <f t="shared" si="623"/>
        <v>C:\Users\jaime.benazar\Quorum Business Solutions\Ecopetrol Prometeo - Documents\Planning Space Implementation\3. Analysis &amp; Design\Design\FC22\DRR Jaime\Neiva CPI\[VAO_DINA TERCIARIOS_CF_SEC_20230117.xlsx]CF PRB'!</v>
      </c>
      <c r="G2740" s="7" t="s">
        <v>109</v>
      </c>
      <c r="H2740" s="4">
        <f t="shared" si="594"/>
        <v>38</v>
      </c>
      <c r="I2740" s="4" t="str">
        <f t="shared" si="593"/>
        <v>='C:\Users\jaime.benazar\Quorum Business Solutions\Ecopetrol Prometeo - Documents\Planning Space Implementation\3. Analysis &amp; Design\Design\FC22\DRR Jaime\Neiva CPI\[VAO_DINA TERCIARIOS_CF_SEC_20230117.xlsx]CF PRB'!$DN$38</v>
      </c>
      <c r="J2740" s="4" t="s">
        <v>1355</v>
      </c>
    </row>
    <row r="2741" spans="1:10" x14ac:dyDescent="0.3">
      <c r="A2741" s="7" t="s">
        <v>20</v>
      </c>
      <c r="B2741" s="7">
        <f t="shared" si="624"/>
        <v>2026</v>
      </c>
      <c r="C2741" s="4" t="s">
        <v>52</v>
      </c>
      <c r="D2741" s="5" t="s">
        <v>131</v>
      </c>
      <c r="E2741" s="10" t="str">
        <f t="shared" si="592"/>
        <v>PRB'!</v>
      </c>
      <c r="F2741" s="5" t="str">
        <f t="shared" si="623"/>
        <v>C:\Users\jaime.benazar\Quorum Business Solutions\Ecopetrol Prometeo - Documents\Planning Space Implementation\3. Analysis &amp; Design\Design\FC22\DRR Jaime\Neiva CPI\[VAO_DINA TERCIARIOS_CF_SEC_20230117.xlsx]CF PRB'!</v>
      </c>
      <c r="G2741" s="7" t="s">
        <v>109</v>
      </c>
      <c r="H2741" s="4">
        <f t="shared" si="594"/>
        <v>39</v>
      </c>
      <c r="I2741" s="4" t="str">
        <f t="shared" si="593"/>
        <v>='C:\Users\jaime.benazar\Quorum Business Solutions\Ecopetrol Prometeo - Documents\Planning Space Implementation\3. Analysis &amp; Design\Design\FC22\DRR Jaime\Neiva CPI\[VAO_DINA TERCIARIOS_CF_SEC_20230117.xlsx]CF PRB'!$DN$39</v>
      </c>
      <c r="J2741" s="4" t="s">
        <v>1356</v>
      </c>
    </row>
    <row r="2742" spans="1:10" x14ac:dyDescent="0.3">
      <c r="A2742" s="7" t="s">
        <v>20</v>
      </c>
      <c r="B2742" s="7">
        <f t="shared" si="624"/>
        <v>2027</v>
      </c>
      <c r="C2742" s="4" t="s">
        <v>52</v>
      </c>
      <c r="D2742" s="5" t="s">
        <v>131</v>
      </c>
      <c r="E2742" s="10" t="str">
        <f t="shared" si="592"/>
        <v>PRB'!</v>
      </c>
      <c r="F2742" s="5" t="str">
        <f t="shared" si="623"/>
        <v>C:\Users\jaime.benazar\Quorum Business Solutions\Ecopetrol Prometeo - Documents\Planning Space Implementation\3. Analysis &amp; Design\Design\FC22\DRR Jaime\Neiva CPI\[VAO_DINA TERCIARIOS_CF_SEC_20230117.xlsx]CF PRB'!</v>
      </c>
      <c r="G2742" s="7" t="s">
        <v>109</v>
      </c>
      <c r="H2742" s="4">
        <f t="shared" si="594"/>
        <v>40</v>
      </c>
      <c r="I2742" s="4" t="str">
        <f t="shared" si="593"/>
        <v>='C:\Users\jaime.benazar\Quorum Business Solutions\Ecopetrol Prometeo - Documents\Planning Space Implementation\3. Analysis &amp; Design\Design\FC22\DRR Jaime\Neiva CPI\[VAO_DINA TERCIARIOS_CF_SEC_20230117.xlsx]CF PRB'!$DN$40</v>
      </c>
      <c r="J2742" s="4" t="s">
        <v>1357</v>
      </c>
    </row>
    <row r="2743" spans="1:10" x14ac:dyDescent="0.3">
      <c r="A2743" s="7" t="s">
        <v>20</v>
      </c>
      <c r="B2743" s="7">
        <f t="shared" si="624"/>
        <v>2028</v>
      </c>
      <c r="C2743" s="4" t="s">
        <v>52</v>
      </c>
      <c r="D2743" s="5" t="s">
        <v>131</v>
      </c>
      <c r="E2743" s="10" t="str">
        <f t="shared" si="592"/>
        <v>PRB'!</v>
      </c>
      <c r="F2743" s="5" t="str">
        <f t="shared" si="623"/>
        <v>C:\Users\jaime.benazar\Quorum Business Solutions\Ecopetrol Prometeo - Documents\Planning Space Implementation\3. Analysis &amp; Design\Design\FC22\DRR Jaime\Neiva CPI\[VAO_DINA TERCIARIOS_CF_SEC_20230117.xlsx]CF PRB'!</v>
      </c>
      <c r="G2743" s="7" t="s">
        <v>109</v>
      </c>
      <c r="H2743" s="4">
        <f t="shared" si="594"/>
        <v>41</v>
      </c>
      <c r="I2743" s="4" t="str">
        <f t="shared" si="593"/>
        <v>='C:\Users\jaime.benazar\Quorum Business Solutions\Ecopetrol Prometeo - Documents\Planning Space Implementation\3. Analysis &amp; Design\Design\FC22\DRR Jaime\Neiva CPI\[VAO_DINA TERCIARIOS_CF_SEC_20230117.xlsx]CF PRB'!$DN$41</v>
      </c>
      <c r="J2743" s="4" t="s">
        <v>1358</v>
      </c>
    </row>
    <row r="2744" spans="1:10" x14ac:dyDescent="0.3">
      <c r="A2744" s="7" t="s">
        <v>20</v>
      </c>
      <c r="B2744" s="7">
        <f t="shared" si="624"/>
        <v>2029</v>
      </c>
      <c r="C2744" s="4" t="s">
        <v>52</v>
      </c>
      <c r="D2744" s="5" t="s">
        <v>131</v>
      </c>
      <c r="E2744" s="10" t="str">
        <f t="shared" si="592"/>
        <v>PRB'!</v>
      </c>
      <c r="F2744" s="5" t="str">
        <f t="shared" si="623"/>
        <v>C:\Users\jaime.benazar\Quorum Business Solutions\Ecopetrol Prometeo - Documents\Planning Space Implementation\3. Analysis &amp; Design\Design\FC22\DRR Jaime\Neiva CPI\[VAO_DINA TERCIARIOS_CF_SEC_20230117.xlsx]CF PRB'!</v>
      </c>
      <c r="G2744" s="7" t="s">
        <v>109</v>
      </c>
      <c r="H2744" s="4">
        <f t="shared" si="594"/>
        <v>42</v>
      </c>
      <c r="I2744" s="4" t="str">
        <f t="shared" si="593"/>
        <v>='C:\Users\jaime.benazar\Quorum Business Solutions\Ecopetrol Prometeo - Documents\Planning Space Implementation\3. Analysis &amp; Design\Design\FC22\DRR Jaime\Neiva CPI\[VAO_DINA TERCIARIOS_CF_SEC_20230117.xlsx]CF PRB'!$DN$42</v>
      </c>
      <c r="J2744" s="4" t="s">
        <v>1359</v>
      </c>
    </row>
    <row r="2745" spans="1:10" x14ac:dyDescent="0.3">
      <c r="A2745" s="7" t="s">
        <v>20</v>
      </c>
      <c r="B2745" s="7">
        <f t="shared" si="624"/>
        <v>2030</v>
      </c>
      <c r="C2745" s="4" t="s">
        <v>52</v>
      </c>
      <c r="D2745" s="5" t="s">
        <v>131</v>
      </c>
      <c r="E2745" s="10" t="str">
        <f t="shared" si="592"/>
        <v>PRB'!</v>
      </c>
      <c r="F2745" s="5" t="str">
        <f t="shared" si="623"/>
        <v>C:\Users\jaime.benazar\Quorum Business Solutions\Ecopetrol Prometeo - Documents\Planning Space Implementation\3. Analysis &amp; Design\Design\FC22\DRR Jaime\Neiva CPI\[VAO_DINA TERCIARIOS_CF_SEC_20230117.xlsx]CF PRB'!</v>
      </c>
      <c r="G2745" s="7" t="s">
        <v>109</v>
      </c>
      <c r="H2745" s="4">
        <f t="shared" si="594"/>
        <v>43</v>
      </c>
      <c r="I2745" s="4" t="str">
        <f t="shared" si="593"/>
        <v>='C:\Users\jaime.benazar\Quorum Business Solutions\Ecopetrol Prometeo - Documents\Planning Space Implementation\3. Analysis &amp; Design\Design\FC22\DRR Jaime\Neiva CPI\[VAO_DINA TERCIARIOS_CF_SEC_20230117.xlsx]CF PRB'!$DN$43</v>
      </c>
      <c r="J2745" s="4" t="s">
        <v>1360</v>
      </c>
    </row>
    <row r="2746" spans="1:10" x14ac:dyDescent="0.3">
      <c r="A2746" s="7" t="s">
        <v>20</v>
      </c>
      <c r="B2746" s="7">
        <f t="shared" si="624"/>
        <v>2031</v>
      </c>
      <c r="C2746" s="4" t="s">
        <v>52</v>
      </c>
      <c r="D2746" s="5" t="s">
        <v>131</v>
      </c>
      <c r="E2746" s="10" t="str">
        <f t="shared" si="592"/>
        <v>PRB'!</v>
      </c>
      <c r="F2746" s="5" t="str">
        <f t="shared" si="623"/>
        <v>C:\Users\jaime.benazar\Quorum Business Solutions\Ecopetrol Prometeo - Documents\Planning Space Implementation\3. Analysis &amp; Design\Design\FC22\DRR Jaime\Neiva CPI\[VAO_DINA TERCIARIOS_CF_SEC_20230117.xlsx]CF PRB'!</v>
      </c>
      <c r="G2746" s="7" t="s">
        <v>109</v>
      </c>
      <c r="H2746" s="4">
        <f t="shared" si="594"/>
        <v>44</v>
      </c>
      <c r="I2746" s="4" t="str">
        <f t="shared" si="593"/>
        <v>='C:\Users\jaime.benazar\Quorum Business Solutions\Ecopetrol Prometeo - Documents\Planning Space Implementation\3. Analysis &amp; Design\Design\FC22\DRR Jaime\Neiva CPI\[VAO_DINA TERCIARIOS_CF_SEC_20230117.xlsx]CF PRB'!$DN$44</v>
      </c>
      <c r="J2746" s="4" t="s">
        <v>1361</v>
      </c>
    </row>
    <row r="2747" spans="1:10" x14ac:dyDescent="0.3">
      <c r="A2747" s="7" t="s">
        <v>20</v>
      </c>
      <c r="B2747" s="7">
        <f t="shared" si="624"/>
        <v>2032</v>
      </c>
      <c r="C2747" s="4" t="s">
        <v>52</v>
      </c>
      <c r="D2747" s="5" t="s">
        <v>131</v>
      </c>
      <c r="E2747" s="10" t="str">
        <f t="shared" si="592"/>
        <v>PRB'!</v>
      </c>
      <c r="F2747" s="5" t="str">
        <f t="shared" si="623"/>
        <v>C:\Users\jaime.benazar\Quorum Business Solutions\Ecopetrol Prometeo - Documents\Planning Space Implementation\3. Analysis &amp; Design\Design\FC22\DRR Jaime\Neiva CPI\[VAO_DINA TERCIARIOS_CF_SEC_20230117.xlsx]CF PRB'!</v>
      </c>
      <c r="G2747" s="7" t="s">
        <v>109</v>
      </c>
      <c r="H2747" s="4">
        <f t="shared" si="594"/>
        <v>45</v>
      </c>
      <c r="I2747" s="4" t="str">
        <f t="shared" si="593"/>
        <v>='C:\Users\jaime.benazar\Quorum Business Solutions\Ecopetrol Prometeo - Documents\Planning Space Implementation\3. Analysis &amp; Design\Design\FC22\DRR Jaime\Neiva CPI\[VAO_DINA TERCIARIOS_CF_SEC_20230117.xlsx]CF PRB'!$DN$45</v>
      </c>
      <c r="J2747" s="4" t="s">
        <v>1362</v>
      </c>
    </row>
    <row r="2748" spans="1:10" x14ac:dyDescent="0.3">
      <c r="A2748" s="7" t="s">
        <v>20</v>
      </c>
      <c r="B2748" s="7">
        <f t="shared" si="624"/>
        <v>2033</v>
      </c>
      <c r="C2748" s="4" t="s">
        <v>52</v>
      </c>
      <c r="D2748" s="5" t="s">
        <v>131</v>
      </c>
      <c r="E2748" s="10" t="str">
        <f t="shared" si="592"/>
        <v>PRB'!</v>
      </c>
      <c r="F2748" s="5" t="str">
        <f t="shared" si="623"/>
        <v>C:\Users\jaime.benazar\Quorum Business Solutions\Ecopetrol Prometeo - Documents\Planning Space Implementation\3. Analysis &amp; Design\Design\FC22\DRR Jaime\Neiva CPI\[VAO_DINA TERCIARIOS_CF_SEC_20230117.xlsx]CF PRB'!</v>
      </c>
      <c r="G2748" s="7" t="s">
        <v>109</v>
      </c>
      <c r="H2748" s="4">
        <f t="shared" si="594"/>
        <v>46</v>
      </c>
      <c r="I2748" s="4" t="str">
        <f t="shared" si="593"/>
        <v>='C:\Users\jaime.benazar\Quorum Business Solutions\Ecopetrol Prometeo - Documents\Planning Space Implementation\3. Analysis &amp; Design\Design\FC22\DRR Jaime\Neiva CPI\[VAO_DINA TERCIARIOS_CF_SEC_20230117.xlsx]CF PRB'!$DN$46</v>
      </c>
      <c r="J2748" s="4" t="s">
        <v>1363</v>
      </c>
    </row>
    <row r="2749" spans="1:10" x14ac:dyDescent="0.3">
      <c r="A2749" s="7" t="s">
        <v>20</v>
      </c>
      <c r="B2749" s="7">
        <f t="shared" si="624"/>
        <v>2034</v>
      </c>
      <c r="C2749" s="4" t="s">
        <v>52</v>
      </c>
      <c r="D2749" s="5" t="s">
        <v>131</v>
      </c>
      <c r="E2749" s="10" t="str">
        <f t="shared" si="592"/>
        <v>PRB'!</v>
      </c>
      <c r="F2749" s="5" t="str">
        <f t="shared" si="623"/>
        <v>C:\Users\jaime.benazar\Quorum Business Solutions\Ecopetrol Prometeo - Documents\Planning Space Implementation\3. Analysis &amp; Design\Design\FC22\DRR Jaime\Neiva CPI\[VAO_DINA TERCIARIOS_CF_SEC_20230117.xlsx]CF PRB'!</v>
      </c>
      <c r="G2749" s="7" t="s">
        <v>109</v>
      </c>
      <c r="H2749" s="4">
        <f t="shared" si="594"/>
        <v>47</v>
      </c>
      <c r="I2749" s="4" t="str">
        <f t="shared" si="593"/>
        <v>='C:\Users\jaime.benazar\Quorum Business Solutions\Ecopetrol Prometeo - Documents\Planning Space Implementation\3. Analysis &amp; Design\Design\FC22\DRR Jaime\Neiva CPI\[VAO_DINA TERCIARIOS_CF_SEC_20230117.xlsx]CF PRB'!$DN$47</v>
      </c>
      <c r="J2749" s="4" t="s">
        <v>1364</v>
      </c>
    </row>
    <row r="2750" spans="1:10" x14ac:dyDescent="0.3">
      <c r="A2750" s="7" t="s">
        <v>20</v>
      </c>
      <c r="B2750" s="7">
        <f t="shared" si="624"/>
        <v>2035</v>
      </c>
      <c r="C2750" s="4" t="s">
        <v>52</v>
      </c>
      <c r="D2750" s="5" t="s">
        <v>131</v>
      </c>
      <c r="E2750" s="10" t="str">
        <f t="shared" si="592"/>
        <v>PRB'!</v>
      </c>
      <c r="F2750" s="5" t="str">
        <f t="shared" si="623"/>
        <v>C:\Users\jaime.benazar\Quorum Business Solutions\Ecopetrol Prometeo - Documents\Planning Space Implementation\3. Analysis &amp; Design\Design\FC22\DRR Jaime\Neiva CPI\[VAO_DINA TERCIARIOS_CF_SEC_20230117.xlsx]CF PRB'!</v>
      </c>
      <c r="G2750" s="7" t="s">
        <v>109</v>
      </c>
      <c r="H2750" s="4">
        <f t="shared" si="594"/>
        <v>48</v>
      </c>
      <c r="I2750" s="4" t="str">
        <f t="shared" si="593"/>
        <v>='C:\Users\jaime.benazar\Quorum Business Solutions\Ecopetrol Prometeo - Documents\Planning Space Implementation\3. Analysis &amp; Design\Design\FC22\DRR Jaime\Neiva CPI\[VAO_DINA TERCIARIOS_CF_SEC_20230117.xlsx]CF PRB'!$DN$48</v>
      </c>
      <c r="J2750" s="4" t="s">
        <v>1365</v>
      </c>
    </row>
    <row r="2751" spans="1:10" x14ac:dyDescent="0.3">
      <c r="A2751" s="7" t="s">
        <v>20</v>
      </c>
      <c r="B2751" s="7">
        <f t="shared" si="624"/>
        <v>2036</v>
      </c>
      <c r="C2751" s="4" t="s">
        <v>52</v>
      </c>
      <c r="D2751" s="5" t="s">
        <v>131</v>
      </c>
      <c r="E2751" s="10" t="str">
        <f t="shared" si="592"/>
        <v>PRB'!</v>
      </c>
      <c r="F2751" s="5" t="str">
        <f t="shared" si="623"/>
        <v>C:\Users\jaime.benazar\Quorum Business Solutions\Ecopetrol Prometeo - Documents\Planning Space Implementation\3. Analysis &amp; Design\Design\FC22\DRR Jaime\Neiva CPI\[VAO_DINA TERCIARIOS_CF_SEC_20230117.xlsx]CF PRB'!</v>
      </c>
      <c r="G2751" s="7" t="s">
        <v>109</v>
      </c>
      <c r="H2751" s="4">
        <f t="shared" si="594"/>
        <v>49</v>
      </c>
      <c r="I2751" s="4" t="str">
        <f t="shared" si="593"/>
        <v>='C:\Users\jaime.benazar\Quorum Business Solutions\Ecopetrol Prometeo - Documents\Planning Space Implementation\3. Analysis &amp; Design\Design\FC22\DRR Jaime\Neiva CPI\[VAO_DINA TERCIARIOS_CF_SEC_20230117.xlsx]CF PRB'!$DN$49</v>
      </c>
      <c r="J2751" s="4" t="s">
        <v>1366</v>
      </c>
    </row>
    <row r="2752" spans="1:10" x14ac:dyDescent="0.3">
      <c r="A2752" s="7" t="s">
        <v>20</v>
      </c>
      <c r="B2752" s="7">
        <f>+B2751+1</f>
        <v>2037</v>
      </c>
      <c r="C2752" s="4" t="s">
        <v>52</v>
      </c>
      <c r="D2752" s="5" t="s">
        <v>131</v>
      </c>
      <c r="E2752" s="10" t="str">
        <f t="shared" si="592"/>
        <v>PRB'!</v>
      </c>
      <c r="F2752" s="5" t="str">
        <f t="shared" si="623"/>
        <v>C:\Users\jaime.benazar\Quorum Business Solutions\Ecopetrol Prometeo - Documents\Planning Space Implementation\3. Analysis &amp; Design\Design\FC22\DRR Jaime\Neiva CPI\[VAO_DINA TERCIARIOS_CF_SEC_20230117.xlsx]CF PRB'!</v>
      </c>
      <c r="G2752" s="7" t="s">
        <v>109</v>
      </c>
      <c r="H2752" s="4">
        <f t="shared" si="594"/>
        <v>50</v>
      </c>
      <c r="I2752" s="4" t="str">
        <f t="shared" si="593"/>
        <v>='C:\Users\jaime.benazar\Quorum Business Solutions\Ecopetrol Prometeo - Documents\Planning Space Implementation\3. Analysis &amp; Design\Design\FC22\DRR Jaime\Neiva CPI\[VAO_DINA TERCIARIOS_CF_SEC_20230117.xlsx]CF PRB'!$DN$50</v>
      </c>
      <c r="J2752" s="4" t="s">
        <v>1367</v>
      </c>
    </row>
    <row r="2753" spans="1:10" x14ac:dyDescent="0.3">
      <c r="A2753" s="7" t="s">
        <v>20</v>
      </c>
      <c r="B2753" s="7">
        <f t="shared" ref="B2753:B2755" si="625">+B2752+1</f>
        <v>2038</v>
      </c>
      <c r="C2753" s="4" t="s">
        <v>52</v>
      </c>
      <c r="D2753" s="5" t="s">
        <v>131</v>
      </c>
      <c r="E2753" s="10" t="str">
        <f t="shared" si="592"/>
        <v>PRB'!</v>
      </c>
      <c r="F2753" s="5" t="str">
        <f t="shared" si="623"/>
        <v>C:\Users\jaime.benazar\Quorum Business Solutions\Ecopetrol Prometeo - Documents\Planning Space Implementation\3. Analysis &amp; Design\Design\FC22\DRR Jaime\Neiva CPI\[VAO_DINA TERCIARIOS_CF_SEC_20230117.xlsx]CF PRB'!</v>
      </c>
      <c r="G2753" s="7" t="s">
        <v>109</v>
      </c>
      <c r="H2753" s="4">
        <f t="shared" si="594"/>
        <v>51</v>
      </c>
      <c r="I2753" s="4" t="str">
        <f t="shared" si="593"/>
        <v>='C:\Users\jaime.benazar\Quorum Business Solutions\Ecopetrol Prometeo - Documents\Planning Space Implementation\3. Analysis &amp; Design\Design\FC22\DRR Jaime\Neiva CPI\[VAO_DINA TERCIARIOS_CF_SEC_20230117.xlsx]CF PRB'!$DN$51</v>
      </c>
      <c r="J2753" s="4" t="s">
        <v>1368</v>
      </c>
    </row>
    <row r="2754" spans="1:10" x14ac:dyDescent="0.3">
      <c r="A2754" s="7" t="s">
        <v>20</v>
      </c>
      <c r="B2754" s="7">
        <f t="shared" si="625"/>
        <v>2039</v>
      </c>
      <c r="C2754" s="4" t="s">
        <v>52</v>
      </c>
      <c r="D2754" s="5" t="s">
        <v>131</v>
      </c>
      <c r="E2754" s="10" t="str">
        <f t="shared" si="592"/>
        <v>PRB'!</v>
      </c>
      <c r="F2754" s="5" t="str">
        <f t="shared" si="623"/>
        <v>C:\Users\jaime.benazar\Quorum Business Solutions\Ecopetrol Prometeo - Documents\Planning Space Implementation\3. Analysis &amp; Design\Design\FC22\DRR Jaime\Neiva CPI\[VAO_DINA TERCIARIOS_CF_SEC_20230117.xlsx]CF PRB'!</v>
      </c>
      <c r="G2754" s="7" t="s">
        <v>109</v>
      </c>
      <c r="H2754" s="4">
        <f t="shared" si="594"/>
        <v>52</v>
      </c>
      <c r="I2754" s="4" t="str">
        <f t="shared" si="593"/>
        <v>='C:\Users\jaime.benazar\Quorum Business Solutions\Ecopetrol Prometeo - Documents\Planning Space Implementation\3. Analysis &amp; Design\Design\FC22\DRR Jaime\Neiva CPI\[VAO_DINA TERCIARIOS_CF_SEC_20230117.xlsx]CF PRB'!$DN$52</v>
      </c>
      <c r="J2754" s="4" t="s">
        <v>1369</v>
      </c>
    </row>
    <row r="2755" spans="1:10" x14ac:dyDescent="0.3">
      <c r="A2755" s="7" t="s">
        <v>20</v>
      </c>
      <c r="B2755" s="7">
        <f t="shared" si="625"/>
        <v>2040</v>
      </c>
      <c r="C2755" s="4" t="s">
        <v>52</v>
      </c>
      <c r="D2755" s="5" t="s">
        <v>131</v>
      </c>
      <c r="E2755" s="10" t="str">
        <f t="shared" si="592"/>
        <v>PRB'!</v>
      </c>
      <c r="F2755" s="5" t="str">
        <f t="shared" si="623"/>
        <v>C:\Users\jaime.benazar\Quorum Business Solutions\Ecopetrol Prometeo - Documents\Planning Space Implementation\3. Analysis &amp; Design\Design\FC22\DRR Jaime\Neiva CPI\[VAO_DINA TERCIARIOS_CF_SEC_20230117.xlsx]CF PRB'!</v>
      </c>
      <c r="G2755" s="7" t="s">
        <v>109</v>
      </c>
      <c r="H2755" s="4">
        <f t="shared" si="594"/>
        <v>53</v>
      </c>
      <c r="I2755" s="4" t="str">
        <f t="shared" si="593"/>
        <v>='C:\Users\jaime.benazar\Quorum Business Solutions\Ecopetrol Prometeo - Documents\Planning Space Implementation\3. Analysis &amp; Design\Design\FC22\DRR Jaime\Neiva CPI\[VAO_DINA TERCIARIOS_CF_SEC_20230117.xlsx]CF PRB'!$DN$53</v>
      </c>
      <c r="J2755" s="4" t="s">
        <v>1370</v>
      </c>
    </row>
    <row r="2756" spans="1:10" x14ac:dyDescent="0.3">
      <c r="A2756" s="7" t="s">
        <v>20</v>
      </c>
      <c r="B2756" s="7">
        <f>+B2755+1</f>
        <v>2041</v>
      </c>
      <c r="C2756" s="4" t="s">
        <v>52</v>
      </c>
      <c r="D2756" s="5" t="s">
        <v>131</v>
      </c>
      <c r="E2756" s="10" t="str">
        <f t="shared" si="592"/>
        <v>PRB'!</v>
      </c>
      <c r="F2756" s="5" t="str">
        <f t="shared" si="623"/>
        <v>C:\Users\jaime.benazar\Quorum Business Solutions\Ecopetrol Prometeo - Documents\Planning Space Implementation\3. Analysis &amp; Design\Design\FC22\DRR Jaime\Neiva CPI\[VAO_DINA TERCIARIOS_CF_SEC_20230117.xlsx]CF PRB'!</v>
      </c>
      <c r="G2756" s="7" t="s">
        <v>109</v>
      </c>
      <c r="H2756" s="4">
        <f t="shared" si="594"/>
        <v>54</v>
      </c>
      <c r="I2756" s="4" t="str">
        <f t="shared" si="593"/>
        <v>='C:\Users\jaime.benazar\Quorum Business Solutions\Ecopetrol Prometeo - Documents\Planning Space Implementation\3. Analysis &amp; Design\Design\FC22\DRR Jaime\Neiva CPI\[VAO_DINA TERCIARIOS_CF_SEC_20230117.xlsx]CF PRB'!$DN$54</v>
      </c>
      <c r="J2756" s="4" t="s">
        <v>1371</v>
      </c>
    </row>
    <row r="2757" spans="1:10" x14ac:dyDescent="0.3">
      <c r="A2757" s="7" t="s">
        <v>20</v>
      </c>
      <c r="B2757" s="7">
        <f t="shared" ref="B2757:B2758" si="626">+B2756+1</f>
        <v>2042</v>
      </c>
      <c r="C2757" s="4" t="s">
        <v>52</v>
      </c>
      <c r="D2757" s="5" t="s">
        <v>131</v>
      </c>
      <c r="E2757" s="10" t="str">
        <f t="shared" si="592"/>
        <v>PRB'!</v>
      </c>
      <c r="F2757" s="5" t="str">
        <f t="shared" si="623"/>
        <v>C:\Users\jaime.benazar\Quorum Business Solutions\Ecopetrol Prometeo - Documents\Planning Space Implementation\3. Analysis &amp; Design\Design\FC22\DRR Jaime\Neiva CPI\[VAO_DINA TERCIARIOS_CF_SEC_20230117.xlsx]CF PRB'!</v>
      </c>
      <c r="G2757" s="7" t="s">
        <v>109</v>
      </c>
      <c r="H2757" s="4">
        <f t="shared" si="594"/>
        <v>55</v>
      </c>
      <c r="I2757" s="4" t="str">
        <f t="shared" si="593"/>
        <v>='C:\Users\jaime.benazar\Quorum Business Solutions\Ecopetrol Prometeo - Documents\Planning Space Implementation\3. Analysis &amp; Design\Design\FC22\DRR Jaime\Neiva CPI\[VAO_DINA TERCIARIOS_CF_SEC_20230117.xlsx]CF PRB'!$DN$55</v>
      </c>
      <c r="J2757" s="4" t="s">
        <v>1372</v>
      </c>
    </row>
    <row r="2758" spans="1:10" x14ac:dyDescent="0.3">
      <c r="A2758" s="7" t="s">
        <v>20</v>
      </c>
      <c r="B2758" s="7">
        <f t="shared" si="626"/>
        <v>2043</v>
      </c>
      <c r="C2758" s="4" t="s">
        <v>52</v>
      </c>
      <c r="D2758" s="5" t="s">
        <v>131</v>
      </c>
      <c r="E2758" s="10" t="str">
        <f t="shared" si="592"/>
        <v>PRB'!</v>
      </c>
      <c r="F2758" s="5" t="str">
        <f t="shared" si="623"/>
        <v>C:\Users\jaime.benazar\Quorum Business Solutions\Ecopetrol Prometeo - Documents\Planning Space Implementation\3. Analysis &amp; Design\Design\FC22\DRR Jaime\Neiva CPI\[VAO_DINA TERCIARIOS_CF_SEC_20230117.xlsx]CF PRB'!</v>
      </c>
      <c r="G2758" s="7" t="s">
        <v>109</v>
      </c>
      <c r="H2758" s="4">
        <f t="shared" si="594"/>
        <v>56</v>
      </c>
      <c r="I2758" s="4" t="str">
        <f t="shared" si="593"/>
        <v>='C:\Users\jaime.benazar\Quorum Business Solutions\Ecopetrol Prometeo - Documents\Planning Space Implementation\3. Analysis &amp; Design\Design\FC22\DRR Jaime\Neiva CPI\[VAO_DINA TERCIARIOS_CF_SEC_20230117.xlsx]CF PRB'!$DN$56</v>
      </c>
      <c r="J2758" s="4" t="s">
        <v>1373</v>
      </c>
    </row>
    <row r="2759" spans="1:10" x14ac:dyDescent="0.3">
      <c r="A2759" s="7" t="s">
        <v>20</v>
      </c>
      <c r="B2759" s="7">
        <f>+B2758+1</f>
        <v>2044</v>
      </c>
      <c r="C2759" s="4" t="s">
        <v>52</v>
      </c>
      <c r="D2759" s="5" t="s">
        <v>131</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Jaime\Neiva CPI\[VAO_DINA TERCIARIOS_CF_SEC_20230117.xlsx]CF PRB'!</v>
      </c>
      <c r="G2759" s="7" t="s">
        <v>109</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Jaime\Neiva CPI\[VAO_DINA TERCIARIOS_CF_SEC_20230117.xlsx]CF PRB'!$DN$57</v>
      </c>
      <c r="J2759" s="4" t="s">
        <v>1374</v>
      </c>
    </row>
    <row r="2760" spans="1:10" x14ac:dyDescent="0.3">
      <c r="A2760" s="7" t="s">
        <v>20</v>
      </c>
      <c r="B2760" s="7">
        <f t="shared" ref="B2760:B2774" si="631">+B2759+1</f>
        <v>2045</v>
      </c>
      <c r="C2760" s="4" t="s">
        <v>52</v>
      </c>
      <c r="D2760" s="5" t="s">
        <v>131</v>
      </c>
      <c r="E2760" s="10" t="str">
        <f t="shared" si="627"/>
        <v>PRB'!</v>
      </c>
      <c r="F2760" s="5" t="str">
        <f t="shared" si="628"/>
        <v>C:\Users\jaime.benazar\Quorum Business Solutions\Ecopetrol Prometeo - Documents\Planning Space Implementation\3. Analysis &amp; Design\Design\FC22\DRR Jaime\Neiva CPI\[VAO_DINA TERCIARIOS_CF_SEC_20230117.xlsx]CF PRB'!</v>
      </c>
      <c r="G2760" s="7" t="s">
        <v>109</v>
      </c>
      <c r="H2760" s="4">
        <f t="shared" si="629"/>
        <v>58</v>
      </c>
      <c r="I2760" s="4" t="str">
        <f t="shared" si="630"/>
        <v>='C:\Users\jaime.benazar\Quorum Business Solutions\Ecopetrol Prometeo - Documents\Planning Space Implementation\3. Analysis &amp; Design\Design\FC22\DRR Jaime\Neiva CPI\[VAO_DINA TERCIARIOS_CF_SEC_20230117.xlsx]CF PRB'!$DN$58</v>
      </c>
      <c r="J2760" s="4" t="s">
        <v>1375</v>
      </c>
    </row>
    <row r="2761" spans="1:10" x14ac:dyDescent="0.3">
      <c r="A2761" s="7" t="s">
        <v>20</v>
      </c>
      <c r="B2761" s="7">
        <f t="shared" si="631"/>
        <v>2046</v>
      </c>
      <c r="C2761" s="4" t="s">
        <v>52</v>
      </c>
      <c r="D2761" s="5" t="s">
        <v>131</v>
      </c>
      <c r="E2761" s="10" t="str">
        <f t="shared" si="627"/>
        <v>PRB'!</v>
      </c>
      <c r="F2761" s="5" t="str">
        <f t="shared" si="628"/>
        <v>C:\Users\jaime.benazar\Quorum Business Solutions\Ecopetrol Prometeo - Documents\Planning Space Implementation\3. Analysis &amp; Design\Design\FC22\DRR Jaime\Neiva CPI\[VAO_DINA TERCIARIOS_CF_SEC_20230117.xlsx]CF PRB'!</v>
      </c>
      <c r="G2761" s="7" t="s">
        <v>109</v>
      </c>
      <c r="H2761" s="4">
        <f t="shared" si="629"/>
        <v>59</v>
      </c>
      <c r="I2761" s="4" t="str">
        <f t="shared" si="630"/>
        <v>='C:\Users\jaime.benazar\Quorum Business Solutions\Ecopetrol Prometeo - Documents\Planning Space Implementation\3. Analysis &amp; Design\Design\FC22\DRR Jaime\Neiva CPI\[VAO_DINA TERCIARIOS_CF_SEC_20230117.xlsx]CF PRB'!$DN$59</v>
      </c>
      <c r="J2761" s="4" t="s">
        <v>1376</v>
      </c>
    </row>
    <row r="2762" spans="1:10" x14ac:dyDescent="0.3">
      <c r="A2762" s="7" t="s">
        <v>20</v>
      </c>
      <c r="B2762" s="7">
        <f t="shared" si="631"/>
        <v>2047</v>
      </c>
      <c r="C2762" s="4" t="s">
        <v>52</v>
      </c>
      <c r="D2762" s="5" t="s">
        <v>131</v>
      </c>
      <c r="E2762" s="10" t="str">
        <f t="shared" si="627"/>
        <v>PRB'!</v>
      </c>
      <c r="F2762" s="5" t="str">
        <f t="shared" si="628"/>
        <v>C:\Users\jaime.benazar\Quorum Business Solutions\Ecopetrol Prometeo - Documents\Planning Space Implementation\3. Analysis &amp; Design\Design\FC22\DRR Jaime\Neiva CPI\[VAO_DINA TERCIARIOS_CF_SEC_20230117.xlsx]CF PRB'!</v>
      </c>
      <c r="G2762" s="7" t="s">
        <v>109</v>
      </c>
      <c r="H2762" s="4">
        <f t="shared" si="629"/>
        <v>60</v>
      </c>
      <c r="I2762" s="4" t="str">
        <f t="shared" si="630"/>
        <v>='C:\Users\jaime.benazar\Quorum Business Solutions\Ecopetrol Prometeo - Documents\Planning Space Implementation\3. Analysis &amp; Design\Design\FC22\DRR Jaime\Neiva CPI\[VAO_DINA TERCIARIOS_CF_SEC_20230117.xlsx]CF PRB'!$DN$60</v>
      </c>
      <c r="J2762" s="4" t="s">
        <v>1377</v>
      </c>
    </row>
    <row r="2763" spans="1:10" x14ac:dyDescent="0.3">
      <c r="A2763" s="7" t="s">
        <v>20</v>
      </c>
      <c r="B2763" s="7">
        <f t="shared" si="631"/>
        <v>2048</v>
      </c>
      <c r="C2763" s="4" t="s">
        <v>52</v>
      </c>
      <c r="D2763" s="5" t="s">
        <v>131</v>
      </c>
      <c r="E2763" s="10" t="str">
        <f t="shared" si="627"/>
        <v>PRB'!</v>
      </c>
      <c r="F2763" s="5" t="str">
        <f t="shared" si="628"/>
        <v>C:\Users\jaime.benazar\Quorum Business Solutions\Ecopetrol Prometeo - Documents\Planning Space Implementation\3. Analysis &amp; Design\Design\FC22\DRR Jaime\Neiva CPI\[VAO_DINA TERCIARIOS_CF_SEC_20230117.xlsx]CF PRB'!</v>
      </c>
      <c r="G2763" s="7" t="s">
        <v>109</v>
      </c>
      <c r="H2763" s="4">
        <f t="shared" si="629"/>
        <v>61</v>
      </c>
      <c r="I2763" s="4" t="str">
        <f t="shared" si="630"/>
        <v>='C:\Users\jaime.benazar\Quorum Business Solutions\Ecopetrol Prometeo - Documents\Planning Space Implementation\3. Analysis &amp; Design\Design\FC22\DRR Jaime\Neiva CPI\[VAO_DINA TERCIARIOS_CF_SEC_20230117.xlsx]CF PRB'!$DN$61</v>
      </c>
      <c r="J2763" s="4" t="s">
        <v>1378</v>
      </c>
    </row>
    <row r="2764" spans="1:10" x14ac:dyDescent="0.3">
      <c r="A2764" s="7" t="s">
        <v>20</v>
      </c>
      <c r="B2764" s="7">
        <f t="shared" si="631"/>
        <v>2049</v>
      </c>
      <c r="C2764" s="4" t="s">
        <v>52</v>
      </c>
      <c r="D2764" s="5" t="s">
        <v>131</v>
      </c>
      <c r="E2764" s="10" t="str">
        <f t="shared" si="627"/>
        <v>PRB'!</v>
      </c>
      <c r="F2764" s="5" t="str">
        <f t="shared" si="628"/>
        <v>C:\Users\jaime.benazar\Quorum Business Solutions\Ecopetrol Prometeo - Documents\Planning Space Implementation\3. Analysis &amp; Design\Design\FC22\DRR Jaime\Neiva CPI\[VAO_DINA TERCIARIOS_CF_SEC_20230117.xlsx]CF PRB'!</v>
      </c>
      <c r="G2764" s="7" t="s">
        <v>109</v>
      </c>
      <c r="H2764" s="4">
        <f t="shared" si="629"/>
        <v>62</v>
      </c>
      <c r="I2764" s="4" t="str">
        <f t="shared" si="630"/>
        <v>='C:\Users\jaime.benazar\Quorum Business Solutions\Ecopetrol Prometeo - Documents\Planning Space Implementation\3. Analysis &amp; Design\Design\FC22\DRR Jaime\Neiva CPI\[VAO_DINA TERCIARIOS_CF_SEC_20230117.xlsx]CF PRB'!$DN$62</v>
      </c>
      <c r="J2764" s="4" t="s">
        <v>1379</v>
      </c>
    </row>
    <row r="2765" spans="1:10" x14ac:dyDescent="0.3">
      <c r="A2765" s="7" t="s">
        <v>20</v>
      </c>
      <c r="B2765" s="7">
        <f t="shared" si="631"/>
        <v>2050</v>
      </c>
      <c r="C2765" s="4" t="s">
        <v>52</v>
      </c>
      <c r="D2765" s="5" t="s">
        <v>131</v>
      </c>
      <c r="E2765" s="10" t="str">
        <f t="shared" si="627"/>
        <v>PRB'!</v>
      </c>
      <c r="F2765" s="5" t="str">
        <f t="shared" si="628"/>
        <v>C:\Users\jaime.benazar\Quorum Business Solutions\Ecopetrol Prometeo - Documents\Planning Space Implementation\3. Analysis &amp; Design\Design\FC22\DRR Jaime\Neiva CPI\[VAO_DINA TERCIARIOS_CF_SEC_20230117.xlsx]CF PRB'!</v>
      </c>
      <c r="G2765" s="7" t="s">
        <v>109</v>
      </c>
      <c r="H2765" s="4">
        <f t="shared" si="629"/>
        <v>63</v>
      </c>
      <c r="I2765" s="4" t="str">
        <f t="shared" si="630"/>
        <v>='C:\Users\jaime.benazar\Quorum Business Solutions\Ecopetrol Prometeo - Documents\Planning Space Implementation\3. Analysis &amp; Design\Design\FC22\DRR Jaime\Neiva CPI\[VAO_DINA TERCIARIOS_CF_SEC_20230117.xlsx]CF PRB'!$DN$63</v>
      </c>
      <c r="J2765" s="4" t="s">
        <v>1380</v>
      </c>
    </row>
    <row r="2766" spans="1:10" x14ac:dyDescent="0.3">
      <c r="A2766" s="7" t="s">
        <v>20</v>
      </c>
      <c r="B2766" s="7">
        <f t="shared" si="631"/>
        <v>2051</v>
      </c>
      <c r="C2766" s="4" t="s">
        <v>52</v>
      </c>
      <c r="D2766" s="5" t="s">
        <v>131</v>
      </c>
      <c r="E2766" s="10" t="str">
        <f t="shared" si="627"/>
        <v>PRB'!</v>
      </c>
      <c r="F2766" s="5" t="str">
        <f t="shared" si="628"/>
        <v>C:\Users\jaime.benazar\Quorum Business Solutions\Ecopetrol Prometeo - Documents\Planning Space Implementation\3. Analysis &amp; Design\Design\FC22\DRR Jaime\Neiva CPI\[VAO_DINA TERCIARIOS_CF_SEC_20230117.xlsx]CF PRB'!</v>
      </c>
      <c r="G2766" s="7" t="s">
        <v>109</v>
      </c>
      <c r="H2766" s="4">
        <f t="shared" si="629"/>
        <v>64</v>
      </c>
      <c r="I2766" s="4" t="str">
        <f t="shared" si="630"/>
        <v>='C:\Users\jaime.benazar\Quorum Business Solutions\Ecopetrol Prometeo - Documents\Planning Space Implementation\3. Analysis &amp; Design\Design\FC22\DRR Jaime\Neiva CPI\[VAO_DINA TERCIARIOS_CF_SEC_20230117.xlsx]CF PRB'!$DN$64</v>
      </c>
      <c r="J2766" s="4" t="s">
        <v>1381</v>
      </c>
    </row>
    <row r="2767" spans="1:10" x14ac:dyDescent="0.3">
      <c r="A2767" s="7" t="s">
        <v>20</v>
      </c>
      <c r="B2767" s="7">
        <f t="shared" si="631"/>
        <v>2052</v>
      </c>
      <c r="C2767" s="4" t="s">
        <v>52</v>
      </c>
      <c r="D2767" s="5" t="s">
        <v>131</v>
      </c>
      <c r="E2767" s="10" t="str">
        <f t="shared" si="627"/>
        <v>PRB'!</v>
      </c>
      <c r="F2767" s="5" t="str">
        <f t="shared" si="628"/>
        <v>C:\Users\jaime.benazar\Quorum Business Solutions\Ecopetrol Prometeo - Documents\Planning Space Implementation\3. Analysis &amp; Design\Design\FC22\DRR Jaime\Neiva CPI\[VAO_DINA TERCIARIOS_CF_SEC_20230117.xlsx]CF PRB'!</v>
      </c>
      <c r="G2767" s="7" t="s">
        <v>109</v>
      </c>
      <c r="H2767" s="4">
        <f t="shared" si="629"/>
        <v>65</v>
      </c>
      <c r="I2767" s="4" t="str">
        <f t="shared" si="630"/>
        <v>='C:\Users\jaime.benazar\Quorum Business Solutions\Ecopetrol Prometeo - Documents\Planning Space Implementation\3. Analysis &amp; Design\Design\FC22\DRR Jaime\Neiva CPI\[VAO_DINA TERCIARIOS_CF_SEC_20230117.xlsx]CF PRB'!$DN$65</v>
      </c>
      <c r="J2767" s="4" t="s">
        <v>1382</v>
      </c>
    </row>
    <row r="2768" spans="1:10" x14ac:dyDescent="0.3">
      <c r="A2768" s="7" t="s">
        <v>20</v>
      </c>
      <c r="B2768" s="7">
        <f t="shared" si="631"/>
        <v>2053</v>
      </c>
      <c r="C2768" s="4" t="s">
        <v>52</v>
      </c>
      <c r="D2768" s="5" t="s">
        <v>131</v>
      </c>
      <c r="E2768" s="10" t="str">
        <f t="shared" si="627"/>
        <v>PRB'!</v>
      </c>
      <c r="F2768" s="5" t="str">
        <f t="shared" si="628"/>
        <v>C:\Users\jaime.benazar\Quorum Business Solutions\Ecopetrol Prometeo - Documents\Planning Space Implementation\3. Analysis &amp; Design\Design\FC22\DRR Jaime\Neiva CPI\[VAO_DINA TERCIARIOS_CF_SEC_20230117.xlsx]CF PRB'!</v>
      </c>
      <c r="G2768" s="7" t="s">
        <v>109</v>
      </c>
      <c r="H2768" s="4">
        <f t="shared" si="629"/>
        <v>66</v>
      </c>
      <c r="I2768" s="4" t="str">
        <f t="shared" si="630"/>
        <v>='C:\Users\jaime.benazar\Quorum Business Solutions\Ecopetrol Prometeo - Documents\Planning Space Implementation\3. Analysis &amp; Design\Design\FC22\DRR Jaime\Neiva CPI\[VAO_DINA TERCIARIOS_CF_SEC_20230117.xlsx]CF PRB'!$DN$66</v>
      </c>
      <c r="J2768" s="4" t="s">
        <v>1383</v>
      </c>
    </row>
    <row r="2769" spans="1:10" x14ac:dyDescent="0.3">
      <c r="A2769" s="7" t="s">
        <v>20</v>
      </c>
      <c r="B2769" s="7">
        <f t="shared" si="631"/>
        <v>2054</v>
      </c>
      <c r="C2769" s="4" t="s">
        <v>52</v>
      </c>
      <c r="D2769" s="5" t="s">
        <v>131</v>
      </c>
      <c r="E2769" s="10" t="str">
        <f t="shared" si="627"/>
        <v>PRB'!</v>
      </c>
      <c r="F2769" s="5" t="str">
        <f t="shared" si="628"/>
        <v>C:\Users\jaime.benazar\Quorum Business Solutions\Ecopetrol Prometeo - Documents\Planning Space Implementation\3. Analysis &amp; Design\Design\FC22\DRR Jaime\Neiva CPI\[VAO_DINA TERCIARIOS_CF_SEC_20230117.xlsx]CF PRB'!</v>
      </c>
      <c r="G2769" s="7" t="s">
        <v>109</v>
      </c>
      <c r="H2769" s="4">
        <f t="shared" si="629"/>
        <v>67</v>
      </c>
      <c r="I2769" s="4" t="str">
        <f t="shared" si="630"/>
        <v>='C:\Users\jaime.benazar\Quorum Business Solutions\Ecopetrol Prometeo - Documents\Planning Space Implementation\3. Analysis &amp; Design\Design\FC22\DRR Jaime\Neiva CPI\[VAO_DINA TERCIARIOS_CF_SEC_20230117.xlsx]CF PRB'!$DN$67</v>
      </c>
      <c r="J2769" s="4" t="s">
        <v>1384</v>
      </c>
    </row>
    <row r="2770" spans="1:10" x14ac:dyDescent="0.3">
      <c r="A2770" s="7" t="s">
        <v>20</v>
      </c>
      <c r="B2770" s="7">
        <f t="shared" si="631"/>
        <v>2055</v>
      </c>
      <c r="C2770" s="4" t="s">
        <v>52</v>
      </c>
      <c r="D2770" s="5" t="s">
        <v>131</v>
      </c>
      <c r="E2770" s="10" t="str">
        <f t="shared" si="627"/>
        <v>PRB'!</v>
      </c>
      <c r="F2770" s="5" t="str">
        <f t="shared" si="628"/>
        <v>C:\Users\jaime.benazar\Quorum Business Solutions\Ecopetrol Prometeo - Documents\Planning Space Implementation\3. Analysis &amp; Design\Design\FC22\DRR Jaime\Neiva CPI\[VAO_DINA TERCIARIOS_CF_SEC_20230117.xlsx]CF PRB'!</v>
      </c>
      <c r="G2770" s="7" t="s">
        <v>109</v>
      </c>
      <c r="H2770" s="4">
        <f t="shared" si="629"/>
        <v>68</v>
      </c>
      <c r="I2770" s="4" t="str">
        <f t="shared" si="630"/>
        <v>='C:\Users\jaime.benazar\Quorum Business Solutions\Ecopetrol Prometeo - Documents\Planning Space Implementation\3. Analysis &amp; Design\Design\FC22\DRR Jaime\Neiva CPI\[VAO_DINA TERCIARIOS_CF_SEC_20230117.xlsx]CF PRB'!$DN$68</v>
      </c>
      <c r="J2770" s="4" t="s">
        <v>1385</v>
      </c>
    </row>
    <row r="2771" spans="1:10" x14ac:dyDescent="0.3">
      <c r="A2771" s="7" t="s">
        <v>20</v>
      </c>
      <c r="B2771" s="7">
        <f t="shared" si="631"/>
        <v>2056</v>
      </c>
      <c r="C2771" s="4" t="s">
        <v>52</v>
      </c>
      <c r="D2771" s="5" t="s">
        <v>131</v>
      </c>
      <c r="E2771" s="10" t="str">
        <f t="shared" si="627"/>
        <v>PRB'!</v>
      </c>
      <c r="F2771" s="5" t="str">
        <f t="shared" si="628"/>
        <v>C:\Users\jaime.benazar\Quorum Business Solutions\Ecopetrol Prometeo - Documents\Planning Space Implementation\3. Analysis &amp; Design\Design\FC22\DRR Jaime\Neiva CPI\[VAO_DINA TERCIARIOS_CF_SEC_20230117.xlsx]CF PRB'!</v>
      </c>
      <c r="G2771" s="7" t="s">
        <v>109</v>
      </c>
      <c r="H2771" s="4">
        <f t="shared" si="629"/>
        <v>69</v>
      </c>
      <c r="I2771" s="4" t="str">
        <f t="shared" si="630"/>
        <v>='C:\Users\jaime.benazar\Quorum Business Solutions\Ecopetrol Prometeo - Documents\Planning Space Implementation\3. Analysis &amp; Design\Design\FC22\DRR Jaime\Neiva CPI\[VAO_DINA TERCIARIOS_CF_SEC_20230117.xlsx]CF PRB'!$DN$69</v>
      </c>
      <c r="J2771" s="4" t="s">
        <v>1386</v>
      </c>
    </row>
    <row r="2772" spans="1:10" x14ac:dyDescent="0.3">
      <c r="A2772" s="7" t="s">
        <v>20</v>
      </c>
      <c r="B2772" s="7">
        <f t="shared" si="631"/>
        <v>2057</v>
      </c>
      <c r="C2772" s="4" t="s">
        <v>52</v>
      </c>
      <c r="D2772" s="5" t="s">
        <v>131</v>
      </c>
      <c r="E2772" s="10" t="str">
        <f t="shared" si="627"/>
        <v>PRB'!</v>
      </c>
      <c r="F2772" s="5" t="str">
        <f t="shared" si="628"/>
        <v>C:\Users\jaime.benazar\Quorum Business Solutions\Ecopetrol Prometeo - Documents\Planning Space Implementation\3. Analysis &amp; Design\Design\FC22\DRR Jaime\Neiva CPI\[VAO_DINA TERCIARIOS_CF_SEC_20230117.xlsx]CF PRB'!</v>
      </c>
      <c r="G2772" s="7" t="s">
        <v>109</v>
      </c>
      <c r="H2772" s="4">
        <f t="shared" si="629"/>
        <v>70</v>
      </c>
      <c r="I2772" s="4" t="str">
        <f t="shared" si="630"/>
        <v>='C:\Users\jaime.benazar\Quorum Business Solutions\Ecopetrol Prometeo - Documents\Planning Space Implementation\3. Analysis &amp; Design\Design\FC22\DRR Jaime\Neiva CPI\[VAO_DINA TERCIARIOS_CF_SEC_20230117.xlsx]CF PRB'!$DN$70</v>
      </c>
      <c r="J2772" s="4" t="s">
        <v>1387</v>
      </c>
    </row>
    <row r="2773" spans="1:10" x14ac:dyDescent="0.3">
      <c r="A2773" s="7" t="s">
        <v>20</v>
      </c>
      <c r="B2773" s="7">
        <f t="shared" si="631"/>
        <v>2058</v>
      </c>
      <c r="C2773" s="4" t="s">
        <v>52</v>
      </c>
      <c r="D2773" s="5" t="s">
        <v>131</v>
      </c>
      <c r="E2773" s="10" t="str">
        <f t="shared" si="627"/>
        <v>PRB'!</v>
      </c>
      <c r="F2773" s="5" t="str">
        <f t="shared" si="628"/>
        <v>C:\Users\jaime.benazar\Quorum Business Solutions\Ecopetrol Prometeo - Documents\Planning Space Implementation\3. Analysis &amp; Design\Design\FC22\DRR Jaime\Neiva CPI\[VAO_DINA TERCIARIOS_CF_SEC_20230117.xlsx]CF PRB'!</v>
      </c>
      <c r="G2773" s="7" t="s">
        <v>109</v>
      </c>
      <c r="H2773" s="4">
        <f t="shared" si="629"/>
        <v>71</v>
      </c>
      <c r="I2773" s="4" t="str">
        <f t="shared" si="630"/>
        <v>='C:\Users\jaime.benazar\Quorum Business Solutions\Ecopetrol Prometeo - Documents\Planning Space Implementation\3. Analysis &amp; Design\Design\FC22\DRR Jaime\Neiva CPI\[VAO_DINA TERCIARIOS_CF_SEC_20230117.xlsx]CF PRB'!$DN$71</v>
      </c>
      <c r="J2773" s="4" t="s">
        <v>1388</v>
      </c>
    </row>
    <row r="2774" spans="1:10" x14ac:dyDescent="0.3">
      <c r="A2774" s="7" t="s">
        <v>20</v>
      </c>
      <c r="B2774" s="7">
        <f t="shared" si="631"/>
        <v>2059</v>
      </c>
      <c r="C2774" s="4" t="s">
        <v>52</v>
      </c>
      <c r="D2774" s="5" t="s">
        <v>131</v>
      </c>
      <c r="E2774" s="10" t="str">
        <f t="shared" si="627"/>
        <v>PRB'!</v>
      </c>
      <c r="F2774" s="5" t="str">
        <f t="shared" si="628"/>
        <v>C:\Users\jaime.benazar\Quorum Business Solutions\Ecopetrol Prometeo - Documents\Planning Space Implementation\3. Analysis &amp; Design\Design\FC22\DRR Jaime\Neiva CPI\[VAO_DINA TERCIARIOS_CF_SEC_20230117.xlsx]CF PRB'!</v>
      </c>
      <c r="G2774" s="7" t="s">
        <v>109</v>
      </c>
      <c r="H2774" s="4">
        <f t="shared" si="629"/>
        <v>72</v>
      </c>
      <c r="I2774" s="4" t="str">
        <f t="shared" si="630"/>
        <v>='C:\Users\jaime.benazar\Quorum Business Solutions\Ecopetrol Prometeo - Documents\Planning Space Implementation\3. Analysis &amp; Design\Design\FC22\DRR Jaime\Neiva CPI\[VAO_DINA TERCIARIOS_CF_SEC_20230117.xlsx]CF PRB'!$DN$72</v>
      </c>
      <c r="J2774" s="4" t="s">
        <v>1389</v>
      </c>
    </row>
    <row r="2775" spans="1:10" x14ac:dyDescent="0.3">
      <c r="A2775" s="7" t="s">
        <v>26</v>
      </c>
      <c r="B2775" s="7"/>
      <c r="C2775" s="4" t="s">
        <v>52</v>
      </c>
      <c r="D2775" s="5"/>
      <c r="E2775" s="10"/>
      <c r="F2775" s="2"/>
      <c r="G2775" s="7"/>
      <c r="H2775" s="4"/>
      <c r="I2775" s="4"/>
      <c r="J2775" s="4"/>
    </row>
    <row r="2776" spans="1:10" x14ac:dyDescent="0.3">
      <c r="A2776" s="7" t="s">
        <v>21</v>
      </c>
      <c r="B2776" s="7">
        <v>2023</v>
      </c>
      <c r="C2776" s="4" t="s">
        <v>52</v>
      </c>
      <c r="D2776" s="5" t="s">
        <v>131</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Jaime\Neiva CPI\[VAO_DINA TERCIARIOS_CF_SEC_20230117.xlsx]CF PSDP'!</v>
      </c>
      <c r="G2776" s="7" t="s">
        <v>109</v>
      </c>
      <c r="H2776" s="4"/>
      <c r="I2776" s="4"/>
      <c r="J2776" s="4"/>
    </row>
    <row r="2777" spans="1:10" x14ac:dyDescent="0.3">
      <c r="A2777" s="7" t="s">
        <v>21</v>
      </c>
      <c r="B2777" s="7">
        <f>+B2776+1</f>
        <v>2024</v>
      </c>
      <c r="C2777" s="4" t="s">
        <v>52</v>
      </c>
      <c r="D2777" s="5" t="s">
        <v>131</v>
      </c>
      <c r="E2777" s="10" t="str">
        <f t="shared" si="632"/>
        <v>PSDP'!</v>
      </c>
      <c r="F2777" s="5" t="str">
        <f t="shared" si="633"/>
        <v>C:\Users\jaime.benazar\Quorum Business Solutions\Ecopetrol Prometeo - Documents\Planning Space Implementation\3. Analysis &amp; Design\Design\FC22\DRR Jaime\Neiva CPI\[VAO_DINA TERCIARIOS_CF_SEC_20230117.xlsx]CF PSDP'!</v>
      </c>
      <c r="G2777" s="7" t="s">
        <v>109</v>
      </c>
      <c r="H2777" s="4"/>
      <c r="I2777" s="4"/>
      <c r="J2777" s="4"/>
    </row>
    <row r="2778" spans="1:10" x14ac:dyDescent="0.3">
      <c r="A2778" s="7" t="s">
        <v>21</v>
      </c>
      <c r="B2778" s="7">
        <f t="shared" ref="B2778:B2789" si="634">+B2777+1</f>
        <v>2025</v>
      </c>
      <c r="C2778" s="4" t="s">
        <v>52</v>
      </c>
      <c r="D2778" s="5" t="s">
        <v>131</v>
      </c>
      <c r="E2778" s="10" t="str">
        <f t="shared" si="632"/>
        <v>PSDP'!</v>
      </c>
      <c r="F2778" s="5" t="str">
        <f t="shared" si="633"/>
        <v>C:\Users\jaime.benazar\Quorum Business Solutions\Ecopetrol Prometeo - Documents\Planning Space Implementation\3. Analysis &amp; Design\Design\FC22\DRR Jaime\Neiva CPI\[VAO_DINA TERCIARIOS_CF_SEC_20230117.xlsx]CF PSDP'!</v>
      </c>
      <c r="G2778" s="7" t="s">
        <v>109</v>
      </c>
      <c r="H2778" s="4"/>
      <c r="I2778" s="4"/>
      <c r="J2778" s="4"/>
    </row>
    <row r="2779" spans="1:10" x14ac:dyDescent="0.3">
      <c r="A2779" s="7" t="s">
        <v>21</v>
      </c>
      <c r="B2779" s="7">
        <f t="shared" si="634"/>
        <v>2026</v>
      </c>
      <c r="C2779" s="4" t="s">
        <v>52</v>
      </c>
      <c r="D2779" s="5" t="s">
        <v>131</v>
      </c>
      <c r="E2779" s="10" t="str">
        <f t="shared" si="632"/>
        <v>PSDP'!</v>
      </c>
      <c r="F2779" s="5" t="str">
        <f t="shared" si="633"/>
        <v>C:\Users\jaime.benazar\Quorum Business Solutions\Ecopetrol Prometeo - Documents\Planning Space Implementation\3. Analysis &amp; Design\Design\FC22\DRR Jaime\Neiva CPI\[VAO_DINA TERCIARIOS_CF_SEC_20230117.xlsx]CF PSDP'!</v>
      </c>
      <c r="G2779" s="7" t="s">
        <v>109</v>
      </c>
      <c r="H2779" s="4"/>
      <c r="I2779" s="4"/>
      <c r="J2779" s="4"/>
    </row>
    <row r="2780" spans="1:10" x14ac:dyDescent="0.3">
      <c r="A2780" s="7" t="s">
        <v>21</v>
      </c>
      <c r="B2780" s="7">
        <f t="shared" si="634"/>
        <v>2027</v>
      </c>
      <c r="C2780" s="4" t="s">
        <v>52</v>
      </c>
      <c r="D2780" s="5" t="s">
        <v>131</v>
      </c>
      <c r="E2780" s="10" t="str">
        <f t="shared" si="632"/>
        <v>PSDP'!</v>
      </c>
      <c r="F2780" s="5" t="str">
        <f t="shared" si="633"/>
        <v>C:\Users\jaime.benazar\Quorum Business Solutions\Ecopetrol Prometeo - Documents\Planning Space Implementation\3. Analysis &amp; Design\Design\FC22\DRR Jaime\Neiva CPI\[VAO_DINA TERCIARIOS_CF_SEC_20230117.xlsx]CF PSDP'!</v>
      </c>
      <c r="G2780" s="7" t="s">
        <v>109</v>
      </c>
      <c r="H2780" s="4"/>
      <c r="I2780" s="4"/>
      <c r="J2780" s="4"/>
    </row>
    <row r="2781" spans="1:10" x14ac:dyDescent="0.3">
      <c r="A2781" s="7" t="s">
        <v>21</v>
      </c>
      <c r="B2781" s="7">
        <f t="shared" si="634"/>
        <v>2028</v>
      </c>
      <c r="C2781" s="4" t="s">
        <v>52</v>
      </c>
      <c r="D2781" s="5" t="s">
        <v>131</v>
      </c>
      <c r="E2781" s="10" t="str">
        <f t="shared" si="632"/>
        <v>PSDP'!</v>
      </c>
      <c r="F2781" s="5" t="str">
        <f t="shared" si="633"/>
        <v>C:\Users\jaime.benazar\Quorum Business Solutions\Ecopetrol Prometeo - Documents\Planning Space Implementation\3. Analysis &amp; Design\Design\FC22\DRR Jaime\Neiva CPI\[VAO_DINA TERCIARIOS_CF_SEC_20230117.xlsx]CF PSDP'!</v>
      </c>
      <c r="G2781" s="7" t="s">
        <v>109</v>
      </c>
      <c r="H2781" s="4"/>
      <c r="I2781" s="4"/>
      <c r="J2781" s="4"/>
    </row>
    <row r="2782" spans="1:10" x14ac:dyDescent="0.3">
      <c r="A2782" s="7" t="s">
        <v>21</v>
      </c>
      <c r="B2782" s="7">
        <f t="shared" si="634"/>
        <v>2029</v>
      </c>
      <c r="C2782" s="4" t="s">
        <v>52</v>
      </c>
      <c r="D2782" s="5" t="s">
        <v>131</v>
      </c>
      <c r="E2782" s="10" t="str">
        <f t="shared" si="632"/>
        <v>PSDP'!</v>
      </c>
      <c r="F2782" s="5" t="str">
        <f t="shared" si="633"/>
        <v>C:\Users\jaime.benazar\Quorum Business Solutions\Ecopetrol Prometeo - Documents\Planning Space Implementation\3. Analysis &amp; Design\Design\FC22\DRR Jaime\Neiva CPI\[VAO_DINA TERCIARIOS_CF_SEC_20230117.xlsx]CF PSDP'!</v>
      </c>
      <c r="G2782" s="7" t="s">
        <v>109</v>
      </c>
      <c r="H2782" s="4"/>
      <c r="I2782" s="4"/>
      <c r="J2782" s="4"/>
    </row>
    <row r="2783" spans="1:10" x14ac:dyDescent="0.3">
      <c r="A2783" s="7" t="s">
        <v>21</v>
      </c>
      <c r="B2783" s="7">
        <f t="shared" si="634"/>
        <v>2030</v>
      </c>
      <c r="C2783" s="4" t="s">
        <v>52</v>
      </c>
      <c r="D2783" s="5" t="s">
        <v>131</v>
      </c>
      <c r="E2783" s="10" t="str">
        <f t="shared" si="632"/>
        <v>PSDP'!</v>
      </c>
      <c r="F2783" s="5" t="str">
        <f t="shared" si="633"/>
        <v>C:\Users\jaime.benazar\Quorum Business Solutions\Ecopetrol Prometeo - Documents\Planning Space Implementation\3. Analysis &amp; Design\Design\FC22\DRR Jaime\Neiva CPI\[VAO_DINA TERCIARIOS_CF_SEC_20230117.xlsx]CF PSDP'!</v>
      </c>
      <c r="G2783" s="7" t="s">
        <v>109</v>
      </c>
      <c r="H2783" s="4"/>
      <c r="I2783" s="4"/>
      <c r="J2783" s="4"/>
    </row>
    <row r="2784" spans="1:10" x14ac:dyDescent="0.3">
      <c r="A2784" s="7" t="s">
        <v>21</v>
      </c>
      <c r="B2784" s="7">
        <f t="shared" si="634"/>
        <v>2031</v>
      </c>
      <c r="C2784" s="4" t="s">
        <v>52</v>
      </c>
      <c r="D2784" s="5" t="s">
        <v>131</v>
      </c>
      <c r="E2784" s="10" t="str">
        <f t="shared" si="632"/>
        <v>PSDP'!</v>
      </c>
      <c r="F2784" s="5" t="str">
        <f t="shared" si="633"/>
        <v>C:\Users\jaime.benazar\Quorum Business Solutions\Ecopetrol Prometeo - Documents\Planning Space Implementation\3. Analysis &amp; Design\Design\FC22\DRR Jaime\Neiva CPI\[VAO_DINA TERCIARIOS_CF_SEC_20230117.xlsx]CF PSDP'!</v>
      </c>
      <c r="G2784" s="7" t="s">
        <v>109</v>
      </c>
      <c r="H2784" s="4"/>
      <c r="I2784" s="4"/>
      <c r="J2784" s="4"/>
    </row>
    <row r="2785" spans="1:10" x14ac:dyDescent="0.3">
      <c r="A2785" s="7" t="s">
        <v>21</v>
      </c>
      <c r="B2785" s="7">
        <f t="shared" si="634"/>
        <v>2032</v>
      </c>
      <c r="C2785" s="4" t="s">
        <v>52</v>
      </c>
      <c r="D2785" s="5" t="s">
        <v>131</v>
      </c>
      <c r="E2785" s="10" t="str">
        <f t="shared" si="632"/>
        <v>PSDP'!</v>
      </c>
      <c r="F2785" s="5" t="str">
        <f t="shared" si="633"/>
        <v>C:\Users\jaime.benazar\Quorum Business Solutions\Ecopetrol Prometeo - Documents\Planning Space Implementation\3. Analysis &amp; Design\Design\FC22\DRR Jaime\Neiva CPI\[VAO_DINA TERCIARIOS_CF_SEC_20230117.xlsx]CF PSDP'!</v>
      </c>
      <c r="G2785" s="7" t="s">
        <v>109</v>
      </c>
      <c r="H2785" s="4"/>
      <c r="I2785" s="4"/>
      <c r="J2785" s="4"/>
    </row>
    <row r="2786" spans="1:10" x14ac:dyDescent="0.3">
      <c r="A2786" s="7" t="s">
        <v>21</v>
      </c>
      <c r="B2786" s="7">
        <f t="shared" si="634"/>
        <v>2033</v>
      </c>
      <c r="C2786" s="4" t="s">
        <v>52</v>
      </c>
      <c r="D2786" s="5" t="s">
        <v>131</v>
      </c>
      <c r="E2786" s="10" t="str">
        <f t="shared" si="632"/>
        <v>PSDP'!</v>
      </c>
      <c r="F2786" s="5" t="str">
        <f t="shared" si="633"/>
        <v>C:\Users\jaime.benazar\Quorum Business Solutions\Ecopetrol Prometeo - Documents\Planning Space Implementation\3. Analysis &amp; Design\Design\FC22\DRR Jaime\Neiva CPI\[VAO_DINA TERCIARIOS_CF_SEC_20230117.xlsx]CF PSDP'!</v>
      </c>
      <c r="G2786" s="7" t="s">
        <v>109</v>
      </c>
      <c r="H2786" s="4"/>
      <c r="I2786" s="4"/>
      <c r="J2786" s="4"/>
    </row>
    <row r="2787" spans="1:10" x14ac:dyDescent="0.3">
      <c r="A2787" s="7" t="s">
        <v>21</v>
      </c>
      <c r="B2787" s="7">
        <f t="shared" si="634"/>
        <v>2034</v>
      </c>
      <c r="C2787" s="4" t="s">
        <v>52</v>
      </c>
      <c r="D2787" s="5" t="s">
        <v>131</v>
      </c>
      <c r="E2787" s="10" t="str">
        <f t="shared" si="632"/>
        <v>PSDP'!</v>
      </c>
      <c r="F2787" s="5" t="str">
        <f t="shared" si="633"/>
        <v>C:\Users\jaime.benazar\Quorum Business Solutions\Ecopetrol Prometeo - Documents\Planning Space Implementation\3. Analysis &amp; Design\Design\FC22\DRR Jaime\Neiva CPI\[VAO_DINA TERCIARIOS_CF_SEC_20230117.xlsx]CF PSDP'!</v>
      </c>
      <c r="G2787" s="7" t="s">
        <v>109</v>
      </c>
      <c r="H2787" s="4"/>
      <c r="I2787" s="4"/>
      <c r="J2787" s="4"/>
    </row>
    <row r="2788" spans="1:10" x14ac:dyDescent="0.3">
      <c r="A2788" s="7" t="s">
        <v>21</v>
      </c>
      <c r="B2788" s="7">
        <f t="shared" si="634"/>
        <v>2035</v>
      </c>
      <c r="C2788" s="4" t="s">
        <v>52</v>
      </c>
      <c r="D2788" s="5" t="s">
        <v>131</v>
      </c>
      <c r="E2788" s="10" t="str">
        <f t="shared" si="632"/>
        <v>PSDP'!</v>
      </c>
      <c r="F2788" s="5" t="str">
        <f t="shared" si="633"/>
        <v>C:\Users\jaime.benazar\Quorum Business Solutions\Ecopetrol Prometeo - Documents\Planning Space Implementation\3. Analysis &amp; Design\Design\FC22\DRR Jaime\Neiva CPI\[VAO_DINA TERCIARIOS_CF_SEC_20230117.xlsx]CF PSDP'!</v>
      </c>
      <c r="G2788" s="7" t="s">
        <v>109</v>
      </c>
      <c r="H2788" s="4"/>
      <c r="I2788" s="4"/>
      <c r="J2788" s="4"/>
    </row>
    <row r="2789" spans="1:10" x14ac:dyDescent="0.3">
      <c r="A2789" s="7" t="s">
        <v>21</v>
      </c>
      <c r="B2789" s="7">
        <f t="shared" si="634"/>
        <v>2036</v>
      </c>
      <c r="C2789" s="4" t="s">
        <v>52</v>
      </c>
      <c r="D2789" s="5" t="s">
        <v>131</v>
      </c>
      <c r="E2789" s="10" t="str">
        <f t="shared" si="632"/>
        <v>PSDP'!</v>
      </c>
      <c r="F2789" s="5" t="str">
        <f t="shared" si="633"/>
        <v>C:\Users\jaime.benazar\Quorum Business Solutions\Ecopetrol Prometeo - Documents\Planning Space Implementation\3. Analysis &amp; Design\Design\FC22\DRR Jaime\Neiva CPI\[VAO_DINA TERCIARIOS_CF_SEC_20230117.xlsx]CF PSDP'!</v>
      </c>
      <c r="G2789" s="7" t="s">
        <v>109</v>
      </c>
      <c r="H2789" s="4"/>
      <c r="I2789" s="4"/>
      <c r="J2789" s="4"/>
    </row>
    <row r="2790" spans="1:10" x14ac:dyDescent="0.3">
      <c r="A2790" s="7" t="s">
        <v>21</v>
      </c>
      <c r="B2790" s="7">
        <f>+B2789+1</f>
        <v>2037</v>
      </c>
      <c r="C2790" s="4" t="s">
        <v>52</v>
      </c>
      <c r="D2790" s="5" t="s">
        <v>131</v>
      </c>
      <c r="E2790" s="10" t="str">
        <f t="shared" si="632"/>
        <v>PSDP'!</v>
      </c>
      <c r="F2790" s="5" t="str">
        <f t="shared" si="633"/>
        <v>C:\Users\jaime.benazar\Quorum Business Solutions\Ecopetrol Prometeo - Documents\Planning Space Implementation\3. Analysis &amp; Design\Design\FC22\DRR Jaime\Neiva CPI\[VAO_DINA TERCIARIOS_CF_SEC_20230117.xlsx]CF PSDP'!</v>
      </c>
      <c r="G2790" s="7" t="s">
        <v>109</v>
      </c>
      <c r="H2790" s="4"/>
      <c r="I2790" s="4"/>
      <c r="J2790" s="4"/>
    </row>
    <row r="2791" spans="1:10" x14ac:dyDescent="0.3">
      <c r="A2791" s="7" t="s">
        <v>21</v>
      </c>
      <c r="B2791" s="7">
        <f t="shared" ref="B2791:B2793" si="635">+B2790+1</f>
        <v>2038</v>
      </c>
      <c r="C2791" s="4" t="s">
        <v>52</v>
      </c>
      <c r="D2791" s="5" t="s">
        <v>131</v>
      </c>
      <c r="E2791" s="10" t="str">
        <f t="shared" si="632"/>
        <v>PSDP'!</v>
      </c>
      <c r="F2791" s="5" t="str">
        <f t="shared" si="633"/>
        <v>C:\Users\jaime.benazar\Quorum Business Solutions\Ecopetrol Prometeo - Documents\Planning Space Implementation\3. Analysis &amp; Design\Design\FC22\DRR Jaime\Neiva CPI\[VAO_DINA TERCIARIOS_CF_SEC_20230117.xlsx]CF PSDP'!</v>
      </c>
      <c r="G2791" s="7" t="s">
        <v>109</v>
      </c>
      <c r="H2791" s="4"/>
      <c r="I2791" s="4"/>
      <c r="J2791" s="4"/>
    </row>
    <row r="2792" spans="1:10" x14ac:dyDescent="0.3">
      <c r="A2792" s="7" t="s">
        <v>21</v>
      </c>
      <c r="B2792" s="7">
        <f t="shared" si="635"/>
        <v>2039</v>
      </c>
      <c r="C2792" s="4" t="s">
        <v>52</v>
      </c>
      <c r="D2792" s="5" t="s">
        <v>131</v>
      </c>
      <c r="E2792" s="10" t="str">
        <f t="shared" si="632"/>
        <v>PSDP'!</v>
      </c>
      <c r="F2792" s="5" t="str">
        <f t="shared" si="633"/>
        <v>C:\Users\jaime.benazar\Quorum Business Solutions\Ecopetrol Prometeo - Documents\Planning Space Implementation\3. Analysis &amp; Design\Design\FC22\DRR Jaime\Neiva CPI\[VAO_DINA TERCIARIOS_CF_SEC_20230117.xlsx]CF PSDP'!</v>
      </c>
      <c r="G2792" s="7" t="s">
        <v>109</v>
      </c>
      <c r="H2792" s="4"/>
      <c r="I2792" s="4"/>
      <c r="J2792" s="4"/>
    </row>
    <row r="2793" spans="1:10" x14ac:dyDescent="0.3">
      <c r="A2793" s="7" t="s">
        <v>21</v>
      </c>
      <c r="B2793" s="7">
        <f t="shared" si="635"/>
        <v>2040</v>
      </c>
      <c r="C2793" s="4" t="s">
        <v>52</v>
      </c>
      <c r="D2793" s="5" t="s">
        <v>131</v>
      </c>
      <c r="E2793" s="10" t="str">
        <f t="shared" si="632"/>
        <v>PSDP'!</v>
      </c>
      <c r="F2793" s="5" t="str">
        <f t="shared" si="633"/>
        <v>C:\Users\jaime.benazar\Quorum Business Solutions\Ecopetrol Prometeo - Documents\Planning Space Implementation\3. Analysis &amp; Design\Design\FC22\DRR Jaime\Neiva CPI\[VAO_DINA TERCIARIOS_CF_SEC_20230117.xlsx]CF PSDP'!</v>
      </c>
      <c r="G2793" s="7" t="s">
        <v>109</v>
      </c>
      <c r="H2793" s="4"/>
      <c r="I2793" s="4"/>
      <c r="J2793" s="4"/>
    </row>
    <row r="2794" spans="1:10" x14ac:dyDescent="0.3">
      <c r="A2794" s="7" t="s">
        <v>21</v>
      </c>
      <c r="B2794" s="7">
        <f>+B2793+1</f>
        <v>2041</v>
      </c>
      <c r="C2794" s="4" t="s">
        <v>52</v>
      </c>
      <c r="D2794" s="5" t="s">
        <v>131</v>
      </c>
      <c r="E2794" s="10" t="str">
        <f t="shared" si="632"/>
        <v>PSDP'!</v>
      </c>
      <c r="F2794" s="5" t="str">
        <f t="shared" si="633"/>
        <v>C:\Users\jaime.benazar\Quorum Business Solutions\Ecopetrol Prometeo - Documents\Planning Space Implementation\3. Analysis &amp; Design\Design\FC22\DRR Jaime\Neiva CPI\[VAO_DINA TERCIARIOS_CF_SEC_20230117.xlsx]CF PSDP'!</v>
      </c>
      <c r="G2794" s="7" t="s">
        <v>109</v>
      </c>
      <c r="H2794" s="4"/>
      <c r="I2794" s="4"/>
      <c r="J2794" s="4"/>
    </row>
    <row r="2795" spans="1:10" x14ac:dyDescent="0.3">
      <c r="A2795" s="7" t="s">
        <v>21</v>
      </c>
      <c r="B2795" s="7">
        <f t="shared" ref="B2795:B2796" si="636">+B2794+1</f>
        <v>2042</v>
      </c>
      <c r="C2795" s="4" t="s">
        <v>52</v>
      </c>
      <c r="D2795" s="5" t="s">
        <v>131</v>
      </c>
      <c r="E2795" s="10" t="str">
        <f t="shared" si="632"/>
        <v>PSDP'!</v>
      </c>
      <c r="F2795" s="5" t="str">
        <f t="shared" si="633"/>
        <v>C:\Users\jaime.benazar\Quorum Business Solutions\Ecopetrol Prometeo - Documents\Planning Space Implementation\3. Analysis &amp; Design\Design\FC22\DRR Jaime\Neiva CPI\[VAO_DINA TERCIARIOS_CF_SEC_20230117.xlsx]CF PSDP'!</v>
      </c>
      <c r="G2795" s="7" t="s">
        <v>109</v>
      </c>
      <c r="H2795" s="4"/>
      <c r="I2795" s="4"/>
      <c r="J2795" s="4"/>
    </row>
    <row r="2796" spans="1:10" x14ac:dyDescent="0.3">
      <c r="A2796" s="7" t="s">
        <v>21</v>
      </c>
      <c r="B2796" s="7">
        <f t="shared" si="636"/>
        <v>2043</v>
      </c>
      <c r="C2796" s="4" t="s">
        <v>52</v>
      </c>
      <c r="D2796" s="5" t="s">
        <v>131</v>
      </c>
      <c r="E2796" s="10" t="str">
        <f t="shared" si="632"/>
        <v>PSDP'!</v>
      </c>
      <c r="F2796" s="5" t="str">
        <f t="shared" si="633"/>
        <v>C:\Users\jaime.benazar\Quorum Business Solutions\Ecopetrol Prometeo - Documents\Planning Space Implementation\3. Analysis &amp; Design\Design\FC22\DRR Jaime\Neiva CPI\[VAO_DINA TERCIARIOS_CF_SEC_20230117.xlsx]CF PSDP'!</v>
      </c>
      <c r="G2796" s="7" t="s">
        <v>109</v>
      </c>
      <c r="H2796" s="4"/>
      <c r="I2796" s="4"/>
      <c r="J2796" s="4"/>
    </row>
    <row r="2797" spans="1:10" x14ac:dyDescent="0.3">
      <c r="A2797" s="7" t="s">
        <v>21</v>
      </c>
      <c r="B2797" s="7">
        <f>+B2796+1</f>
        <v>2044</v>
      </c>
      <c r="C2797" s="4" t="s">
        <v>52</v>
      </c>
      <c r="D2797" s="5" t="s">
        <v>131</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Jaime\Neiva CPI\[VAO_DINA TERCIARIOS_CF_SEC_20230117.xlsx]CF PSDP'!</v>
      </c>
      <c r="G2797" s="7" t="s">
        <v>109</v>
      </c>
      <c r="H2797" s="4"/>
      <c r="I2797" s="4"/>
      <c r="J2797" s="4"/>
    </row>
    <row r="2798" spans="1:10" x14ac:dyDescent="0.3">
      <c r="A2798" s="7" t="s">
        <v>21</v>
      </c>
      <c r="B2798" s="7">
        <f t="shared" ref="B2798:B2812" si="639">+B2797+1</f>
        <v>2045</v>
      </c>
      <c r="C2798" s="4" t="s">
        <v>52</v>
      </c>
      <c r="D2798" s="5" t="s">
        <v>131</v>
      </c>
      <c r="E2798" s="10" t="str">
        <f t="shared" si="637"/>
        <v>PSDP'!</v>
      </c>
      <c r="F2798" s="5" t="str">
        <f t="shared" si="638"/>
        <v>C:\Users\jaime.benazar\Quorum Business Solutions\Ecopetrol Prometeo - Documents\Planning Space Implementation\3. Analysis &amp; Design\Design\FC22\DRR Jaime\Neiva CPI\[VAO_DINA TERCIARIOS_CF_SEC_20230117.xlsx]CF PSDP'!</v>
      </c>
      <c r="G2798" s="7" t="s">
        <v>109</v>
      </c>
      <c r="H2798" s="4"/>
      <c r="I2798" s="4"/>
      <c r="J2798" s="4"/>
    </row>
    <row r="2799" spans="1:10" x14ac:dyDescent="0.3">
      <c r="A2799" s="7" t="s">
        <v>21</v>
      </c>
      <c r="B2799" s="7">
        <f t="shared" si="639"/>
        <v>2046</v>
      </c>
      <c r="C2799" s="4" t="s">
        <v>52</v>
      </c>
      <c r="D2799" s="5" t="s">
        <v>131</v>
      </c>
      <c r="E2799" s="10" t="str">
        <f t="shared" si="637"/>
        <v>PSDP'!</v>
      </c>
      <c r="F2799" s="5" t="str">
        <f t="shared" si="638"/>
        <v>C:\Users\jaime.benazar\Quorum Business Solutions\Ecopetrol Prometeo - Documents\Planning Space Implementation\3. Analysis &amp; Design\Design\FC22\DRR Jaime\Neiva CPI\[VAO_DINA TERCIARIOS_CF_SEC_20230117.xlsx]CF PSDP'!</v>
      </c>
      <c r="G2799" s="7" t="s">
        <v>109</v>
      </c>
      <c r="H2799" s="4"/>
      <c r="I2799" s="4"/>
      <c r="J2799" s="4"/>
    </row>
    <row r="2800" spans="1:10" x14ac:dyDescent="0.3">
      <c r="A2800" s="7" t="s">
        <v>21</v>
      </c>
      <c r="B2800" s="7">
        <f t="shared" si="639"/>
        <v>2047</v>
      </c>
      <c r="C2800" s="4" t="s">
        <v>52</v>
      </c>
      <c r="D2800" s="5" t="s">
        <v>131</v>
      </c>
      <c r="E2800" s="10" t="str">
        <f t="shared" si="637"/>
        <v>PSDP'!</v>
      </c>
      <c r="F2800" s="5" t="str">
        <f t="shared" si="638"/>
        <v>C:\Users\jaime.benazar\Quorum Business Solutions\Ecopetrol Prometeo - Documents\Planning Space Implementation\3. Analysis &amp; Design\Design\FC22\DRR Jaime\Neiva CPI\[VAO_DINA TERCIARIOS_CF_SEC_20230117.xlsx]CF PSDP'!</v>
      </c>
      <c r="G2800" s="7" t="s">
        <v>109</v>
      </c>
      <c r="H2800" s="4"/>
      <c r="I2800" s="4"/>
      <c r="J2800" s="4"/>
    </row>
    <row r="2801" spans="1:10" x14ac:dyDescent="0.3">
      <c r="A2801" s="7" t="s">
        <v>21</v>
      </c>
      <c r="B2801" s="7">
        <f t="shared" si="639"/>
        <v>2048</v>
      </c>
      <c r="C2801" s="4" t="s">
        <v>52</v>
      </c>
      <c r="D2801" s="5" t="s">
        <v>131</v>
      </c>
      <c r="E2801" s="10" t="str">
        <f t="shared" si="637"/>
        <v>PSDP'!</v>
      </c>
      <c r="F2801" s="5" t="str">
        <f t="shared" si="638"/>
        <v>C:\Users\jaime.benazar\Quorum Business Solutions\Ecopetrol Prometeo - Documents\Planning Space Implementation\3. Analysis &amp; Design\Design\FC22\DRR Jaime\Neiva CPI\[VAO_DINA TERCIARIOS_CF_SEC_20230117.xlsx]CF PSDP'!</v>
      </c>
      <c r="G2801" s="7" t="s">
        <v>109</v>
      </c>
      <c r="H2801" s="4"/>
      <c r="I2801" s="4"/>
      <c r="J2801" s="4"/>
    </row>
    <row r="2802" spans="1:10" x14ac:dyDescent="0.3">
      <c r="A2802" s="7" t="s">
        <v>21</v>
      </c>
      <c r="B2802" s="7">
        <f t="shared" si="639"/>
        <v>2049</v>
      </c>
      <c r="C2802" s="4" t="s">
        <v>52</v>
      </c>
      <c r="D2802" s="5" t="s">
        <v>131</v>
      </c>
      <c r="E2802" s="10" t="str">
        <f t="shared" si="637"/>
        <v>PSDP'!</v>
      </c>
      <c r="F2802" s="5" t="str">
        <f t="shared" si="638"/>
        <v>C:\Users\jaime.benazar\Quorum Business Solutions\Ecopetrol Prometeo - Documents\Planning Space Implementation\3. Analysis &amp; Design\Design\FC22\DRR Jaime\Neiva CPI\[VAO_DINA TERCIARIOS_CF_SEC_20230117.xlsx]CF PSDP'!</v>
      </c>
      <c r="G2802" s="7" t="s">
        <v>109</v>
      </c>
      <c r="H2802" s="4"/>
      <c r="I2802" s="4"/>
      <c r="J2802" s="4"/>
    </row>
    <row r="2803" spans="1:10" x14ac:dyDescent="0.3">
      <c r="A2803" s="7" t="s">
        <v>21</v>
      </c>
      <c r="B2803" s="7">
        <f t="shared" si="639"/>
        <v>2050</v>
      </c>
      <c r="C2803" s="4" t="s">
        <v>52</v>
      </c>
      <c r="D2803" s="5" t="s">
        <v>131</v>
      </c>
      <c r="E2803" s="10" t="str">
        <f t="shared" si="637"/>
        <v>PSDP'!</v>
      </c>
      <c r="F2803" s="5" t="str">
        <f t="shared" si="638"/>
        <v>C:\Users\jaime.benazar\Quorum Business Solutions\Ecopetrol Prometeo - Documents\Planning Space Implementation\3. Analysis &amp; Design\Design\FC22\DRR Jaime\Neiva CPI\[VAO_DINA TERCIARIOS_CF_SEC_20230117.xlsx]CF PSDP'!</v>
      </c>
      <c r="G2803" s="7" t="s">
        <v>109</v>
      </c>
      <c r="H2803" s="4"/>
      <c r="I2803" s="4"/>
      <c r="J2803" s="4"/>
    </row>
    <row r="2804" spans="1:10" x14ac:dyDescent="0.3">
      <c r="A2804" s="7" t="s">
        <v>21</v>
      </c>
      <c r="B2804" s="7">
        <f t="shared" si="639"/>
        <v>2051</v>
      </c>
      <c r="C2804" s="4" t="s">
        <v>52</v>
      </c>
      <c r="D2804" s="5" t="s">
        <v>131</v>
      </c>
      <c r="E2804" s="10" t="str">
        <f t="shared" si="637"/>
        <v>PSDP'!</v>
      </c>
      <c r="F2804" s="5" t="str">
        <f t="shared" si="638"/>
        <v>C:\Users\jaime.benazar\Quorum Business Solutions\Ecopetrol Prometeo - Documents\Planning Space Implementation\3. Analysis &amp; Design\Design\FC22\DRR Jaime\Neiva CPI\[VAO_DINA TERCIARIOS_CF_SEC_20230117.xlsx]CF PSDP'!</v>
      </c>
      <c r="G2804" s="7" t="s">
        <v>109</v>
      </c>
      <c r="H2804" s="4"/>
      <c r="I2804" s="4"/>
      <c r="J2804" s="4"/>
    </row>
    <row r="2805" spans="1:10" x14ac:dyDescent="0.3">
      <c r="A2805" s="7" t="s">
        <v>21</v>
      </c>
      <c r="B2805" s="7">
        <f t="shared" si="639"/>
        <v>2052</v>
      </c>
      <c r="C2805" s="4" t="s">
        <v>52</v>
      </c>
      <c r="D2805" s="5" t="s">
        <v>131</v>
      </c>
      <c r="E2805" s="10" t="str">
        <f t="shared" si="637"/>
        <v>PSDP'!</v>
      </c>
      <c r="F2805" s="5" t="str">
        <f t="shared" si="638"/>
        <v>C:\Users\jaime.benazar\Quorum Business Solutions\Ecopetrol Prometeo - Documents\Planning Space Implementation\3. Analysis &amp; Design\Design\FC22\DRR Jaime\Neiva CPI\[VAO_DINA TERCIARIOS_CF_SEC_20230117.xlsx]CF PSDP'!</v>
      </c>
      <c r="G2805" s="7" t="s">
        <v>109</v>
      </c>
      <c r="H2805" s="4"/>
      <c r="I2805" s="4"/>
      <c r="J2805" s="4"/>
    </row>
    <row r="2806" spans="1:10" x14ac:dyDescent="0.3">
      <c r="A2806" s="7" t="s">
        <v>21</v>
      </c>
      <c r="B2806" s="7">
        <f t="shared" si="639"/>
        <v>2053</v>
      </c>
      <c r="C2806" s="4" t="s">
        <v>52</v>
      </c>
      <c r="D2806" s="5" t="s">
        <v>131</v>
      </c>
      <c r="E2806" s="10" t="str">
        <f t="shared" si="637"/>
        <v>PSDP'!</v>
      </c>
      <c r="F2806" s="5" t="str">
        <f t="shared" si="638"/>
        <v>C:\Users\jaime.benazar\Quorum Business Solutions\Ecopetrol Prometeo - Documents\Planning Space Implementation\3. Analysis &amp; Design\Design\FC22\DRR Jaime\Neiva CPI\[VAO_DINA TERCIARIOS_CF_SEC_20230117.xlsx]CF PSDP'!</v>
      </c>
      <c r="G2806" s="7" t="s">
        <v>109</v>
      </c>
      <c r="H2806" s="4"/>
      <c r="I2806" s="4"/>
      <c r="J2806" s="4"/>
    </row>
    <row r="2807" spans="1:10" x14ac:dyDescent="0.3">
      <c r="A2807" s="7" t="s">
        <v>21</v>
      </c>
      <c r="B2807" s="7">
        <f t="shared" si="639"/>
        <v>2054</v>
      </c>
      <c r="C2807" s="4" t="s">
        <v>52</v>
      </c>
      <c r="D2807" s="5" t="s">
        <v>131</v>
      </c>
      <c r="E2807" s="10" t="str">
        <f t="shared" si="637"/>
        <v>PSDP'!</v>
      </c>
      <c r="F2807" s="5" t="str">
        <f t="shared" si="638"/>
        <v>C:\Users\jaime.benazar\Quorum Business Solutions\Ecopetrol Prometeo - Documents\Planning Space Implementation\3. Analysis &amp; Design\Design\FC22\DRR Jaime\Neiva CPI\[VAO_DINA TERCIARIOS_CF_SEC_20230117.xlsx]CF PSDP'!</v>
      </c>
      <c r="G2807" s="7" t="s">
        <v>109</v>
      </c>
      <c r="H2807" s="4"/>
      <c r="I2807" s="4"/>
      <c r="J2807" s="4"/>
    </row>
    <row r="2808" spans="1:10" x14ac:dyDescent="0.3">
      <c r="A2808" s="7" t="s">
        <v>21</v>
      </c>
      <c r="B2808" s="7">
        <f t="shared" si="639"/>
        <v>2055</v>
      </c>
      <c r="C2808" s="4" t="s">
        <v>52</v>
      </c>
      <c r="D2808" s="5" t="s">
        <v>131</v>
      </c>
      <c r="E2808" s="10" t="str">
        <f t="shared" si="637"/>
        <v>PSDP'!</v>
      </c>
      <c r="F2808" s="5" t="str">
        <f t="shared" si="638"/>
        <v>C:\Users\jaime.benazar\Quorum Business Solutions\Ecopetrol Prometeo - Documents\Planning Space Implementation\3. Analysis &amp; Design\Design\FC22\DRR Jaime\Neiva CPI\[VAO_DINA TERCIARIOS_CF_SEC_20230117.xlsx]CF PSDP'!</v>
      </c>
      <c r="G2808" s="7" t="s">
        <v>109</v>
      </c>
      <c r="H2808" s="4"/>
      <c r="I2808" s="4"/>
      <c r="J2808" s="4"/>
    </row>
    <row r="2809" spans="1:10" x14ac:dyDescent="0.3">
      <c r="A2809" s="7" t="s">
        <v>21</v>
      </c>
      <c r="B2809" s="7">
        <f t="shared" si="639"/>
        <v>2056</v>
      </c>
      <c r="C2809" s="4" t="s">
        <v>52</v>
      </c>
      <c r="D2809" s="5" t="s">
        <v>131</v>
      </c>
      <c r="E2809" s="10" t="str">
        <f t="shared" si="637"/>
        <v>PSDP'!</v>
      </c>
      <c r="F2809" s="5" t="str">
        <f t="shared" si="638"/>
        <v>C:\Users\jaime.benazar\Quorum Business Solutions\Ecopetrol Prometeo - Documents\Planning Space Implementation\3. Analysis &amp; Design\Design\FC22\DRR Jaime\Neiva CPI\[VAO_DINA TERCIARIOS_CF_SEC_20230117.xlsx]CF PSDP'!</v>
      </c>
      <c r="G2809" s="7" t="s">
        <v>109</v>
      </c>
      <c r="H2809" s="4"/>
      <c r="I2809" s="4"/>
      <c r="J2809" s="4"/>
    </row>
    <row r="2810" spans="1:10" x14ac:dyDescent="0.3">
      <c r="A2810" s="7" t="s">
        <v>21</v>
      </c>
      <c r="B2810" s="7">
        <f t="shared" si="639"/>
        <v>2057</v>
      </c>
      <c r="C2810" s="4" t="s">
        <v>52</v>
      </c>
      <c r="D2810" s="5" t="s">
        <v>131</v>
      </c>
      <c r="E2810" s="10" t="str">
        <f t="shared" si="637"/>
        <v>PSDP'!</v>
      </c>
      <c r="F2810" s="5" t="str">
        <f t="shared" si="638"/>
        <v>C:\Users\jaime.benazar\Quorum Business Solutions\Ecopetrol Prometeo - Documents\Planning Space Implementation\3. Analysis &amp; Design\Design\FC22\DRR Jaime\Neiva CPI\[VAO_DINA TERCIARIOS_CF_SEC_20230117.xlsx]CF PSDP'!</v>
      </c>
      <c r="G2810" s="7" t="s">
        <v>109</v>
      </c>
      <c r="H2810" s="4"/>
      <c r="I2810" s="4"/>
      <c r="J2810" s="4"/>
    </row>
    <row r="2811" spans="1:10" x14ac:dyDescent="0.3">
      <c r="A2811" s="7" t="s">
        <v>21</v>
      </c>
      <c r="B2811" s="7">
        <f t="shared" si="639"/>
        <v>2058</v>
      </c>
      <c r="C2811" s="4" t="s">
        <v>52</v>
      </c>
      <c r="D2811" s="5" t="s">
        <v>131</v>
      </c>
      <c r="E2811" s="10" t="str">
        <f t="shared" si="637"/>
        <v>PSDP'!</v>
      </c>
      <c r="F2811" s="5" t="str">
        <f t="shared" si="638"/>
        <v>C:\Users\jaime.benazar\Quorum Business Solutions\Ecopetrol Prometeo - Documents\Planning Space Implementation\3. Analysis &amp; Design\Design\FC22\DRR Jaime\Neiva CPI\[VAO_DINA TERCIARIOS_CF_SEC_20230117.xlsx]CF PSDP'!</v>
      </c>
      <c r="G2811" s="7" t="s">
        <v>109</v>
      </c>
      <c r="H2811" s="4"/>
      <c r="I2811" s="4"/>
      <c r="J2811" s="4"/>
    </row>
    <row r="2812" spans="1:10" x14ac:dyDescent="0.3">
      <c r="A2812" s="7" t="s">
        <v>21</v>
      </c>
      <c r="B2812" s="7">
        <f t="shared" si="639"/>
        <v>2059</v>
      </c>
      <c r="C2812" s="4" t="s">
        <v>52</v>
      </c>
      <c r="D2812" s="5" t="s">
        <v>131</v>
      </c>
      <c r="E2812" s="10" t="str">
        <f t="shared" si="637"/>
        <v>PSDP'!</v>
      </c>
      <c r="F2812" s="5" t="str">
        <f t="shared" si="638"/>
        <v>C:\Users\jaime.benazar\Quorum Business Solutions\Ecopetrol Prometeo - Documents\Planning Space Implementation\3. Analysis &amp; Design\Design\FC22\DRR Jaime\Neiva CPI\[VAO_DINA TERCIARIOS_CF_SEC_20230117.xlsx]CF PSDP'!</v>
      </c>
      <c r="G2812" s="7" t="s">
        <v>109</v>
      </c>
      <c r="H2812" s="4"/>
      <c r="I2812" s="4"/>
      <c r="J2812" s="4"/>
    </row>
    <row r="2813" spans="1:10" x14ac:dyDescent="0.3">
      <c r="A2813" s="7" t="s">
        <v>26</v>
      </c>
      <c r="B2813" s="7"/>
      <c r="C2813" s="4" t="s">
        <v>52</v>
      </c>
      <c r="D2813" s="5"/>
      <c r="E2813" s="10"/>
      <c r="F2813" s="2"/>
      <c r="G2813" s="7"/>
      <c r="H2813" s="4"/>
      <c r="I2813" s="4"/>
      <c r="J2813" s="4"/>
    </row>
    <row r="2814" spans="1:10" x14ac:dyDescent="0.3">
      <c r="A2814" s="42" t="s">
        <v>22</v>
      </c>
      <c r="B2814" s="42">
        <v>2023</v>
      </c>
      <c r="C2814" s="43" t="s">
        <v>52</v>
      </c>
      <c r="D2814" s="5" t="s">
        <v>131</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Jaime\Neiva CPI\[VAO_DINA TERCIARIOS_CF_SEC_20230117.xlsx]CF PSNP'!</v>
      </c>
      <c r="G2814" s="7" t="s">
        <v>109</v>
      </c>
      <c r="H2814" s="4"/>
      <c r="I2814" s="4"/>
      <c r="J2814" s="4"/>
    </row>
    <row r="2815" spans="1:10" x14ac:dyDescent="0.3">
      <c r="A2815" s="7" t="s">
        <v>22</v>
      </c>
      <c r="B2815" s="7">
        <f>+B2814+1</f>
        <v>2024</v>
      </c>
      <c r="C2815" s="4" t="s">
        <v>52</v>
      </c>
      <c r="D2815" s="5" t="s">
        <v>131</v>
      </c>
      <c r="E2815" s="10" t="str">
        <f t="shared" si="640"/>
        <v>PSNP'!</v>
      </c>
      <c r="F2815" s="5" t="str">
        <f t="shared" si="641"/>
        <v>C:\Users\jaime.benazar\Quorum Business Solutions\Ecopetrol Prometeo - Documents\Planning Space Implementation\3. Analysis &amp; Design\Design\FC22\DRR Jaime\Neiva CPI\[VAO_DINA TERCIARIOS_CF_SEC_20230117.xlsx]CF PSNP'!</v>
      </c>
      <c r="G2815" s="7" t="s">
        <v>109</v>
      </c>
      <c r="H2815" s="4"/>
      <c r="I2815" s="4"/>
      <c r="J2815" s="4"/>
    </row>
    <row r="2816" spans="1:10" x14ac:dyDescent="0.3">
      <c r="A2816" s="7" t="s">
        <v>22</v>
      </c>
      <c r="B2816" s="7">
        <f t="shared" ref="B2816:B2827" si="642">+B2815+1</f>
        <v>2025</v>
      </c>
      <c r="C2816" s="4" t="s">
        <v>52</v>
      </c>
      <c r="D2816" s="5" t="s">
        <v>131</v>
      </c>
      <c r="E2816" s="10" t="str">
        <f t="shared" si="640"/>
        <v>PSNP'!</v>
      </c>
      <c r="F2816" s="5" t="str">
        <f t="shared" si="641"/>
        <v>C:\Users\jaime.benazar\Quorum Business Solutions\Ecopetrol Prometeo - Documents\Planning Space Implementation\3. Analysis &amp; Design\Design\FC22\DRR Jaime\Neiva CPI\[VAO_DINA TERCIARIOS_CF_SEC_20230117.xlsx]CF PSNP'!</v>
      </c>
      <c r="G2816" s="7" t="s">
        <v>109</v>
      </c>
      <c r="H2816" s="4"/>
      <c r="I2816" s="4"/>
      <c r="J2816" s="4"/>
    </row>
    <row r="2817" spans="1:10" x14ac:dyDescent="0.3">
      <c r="A2817" s="7" t="s">
        <v>22</v>
      </c>
      <c r="B2817" s="7">
        <f t="shared" si="642"/>
        <v>2026</v>
      </c>
      <c r="C2817" s="4" t="s">
        <v>52</v>
      </c>
      <c r="D2817" s="5" t="s">
        <v>131</v>
      </c>
      <c r="E2817" s="10" t="str">
        <f t="shared" si="640"/>
        <v>PSNP'!</v>
      </c>
      <c r="F2817" s="5" t="str">
        <f t="shared" si="641"/>
        <v>C:\Users\jaime.benazar\Quorum Business Solutions\Ecopetrol Prometeo - Documents\Planning Space Implementation\3. Analysis &amp; Design\Design\FC22\DRR Jaime\Neiva CPI\[VAO_DINA TERCIARIOS_CF_SEC_20230117.xlsx]CF PSNP'!</v>
      </c>
      <c r="G2817" s="7" t="s">
        <v>109</v>
      </c>
      <c r="H2817" s="4"/>
      <c r="I2817" s="4"/>
      <c r="J2817" s="4"/>
    </row>
    <row r="2818" spans="1:10" x14ac:dyDescent="0.3">
      <c r="A2818" s="7" t="s">
        <v>22</v>
      </c>
      <c r="B2818" s="7">
        <f t="shared" si="642"/>
        <v>2027</v>
      </c>
      <c r="C2818" s="4" t="s">
        <v>52</v>
      </c>
      <c r="D2818" s="5" t="s">
        <v>131</v>
      </c>
      <c r="E2818" s="10" t="str">
        <f t="shared" si="640"/>
        <v>PSNP'!</v>
      </c>
      <c r="F2818" s="5" t="str">
        <f t="shared" si="641"/>
        <v>C:\Users\jaime.benazar\Quorum Business Solutions\Ecopetrol Prometeo - Documents\Planning Space Implementation\3. Analysis &amp; Design\Design\FC22\DRR Jaime\Neiva CPI\[VAO_DINA TERCIARIOS_CF_SEC_20230117.xlsx]CF PSNP'!</v>
      </c>
      <c r="G2818" s="7" t="s">
        <v>109</v>
      </c>
      <c r="H2818" s="4"/>
      <c r="I2818" s="4"/>
      <c r="J2818" s="4"/>
    </row>
    <row r="2819" spans="1:10" x14ac:dyDescent="0.3">
      <c r="A2819" s="7" t="s">
        <v>22</v>
      </c>
      <c r="B2819" s="7">
        <f t="shared" si="642"/>
        <v>2028</v>
      </c>
      <c r="C2819" s="4" t="s">
        <v>52</v>
      </c>
      <c r="D2819" s="5" t="s">
        <v>131</v>
      </c>
      <c r="E2819" s="10" t="str">
        <f t="shared" si="640"/>
        <v>PSNP'!</v>
      </c>
      <c r="F2819" s="5" t="str">
        <f t="shared" si="641"/>
        <v>C:\Users\jaime.benazar\Quorum Business Solutions\Ecopetrol Prometeo - Documents\Planning Space Implementation\3. Analysis &amp; Design\Design\FC22\DRR Jaime\Neiva CPI\[VAO_DINA TERCIARIOS_CF_SEC_20230117.xlsx]CF PSNP'!</v>
      </c>
      <c r="G2819" s="7" t="s">
        <v>109</v>
      </c>
      <c r="H2819" s="4"/>
      <c r="I2819" s="4"/>
      <c r="J2819" s="4"/>
    </row>
    <row r="2820" spans="1:10" x14ac:dyDescent="0.3">
      <c r="A2820" s="7" t="s">
        <v>22</v>
      </c>
      <c r="B2820" s="7">
        <f t="shared" si="642"/>
        <v>2029</v>
      </c>
      <c r="C2820" s="4" t="s">
        <v>52</v>
      </c>
      <c r="D2820" s="5" t="s">
        <v>131</v>
      </c>
      <c r="E2820" s="10" t="str">
        <f t="shared" si="640"/>
        <v>PSNP'!</v>
      </c>
      <c r="F2820" s="5" t="str">
        <f t="shared" si="641"/>
        <v>C:\Users\jaime.benazar\Quorum Business Solutions\Ecopetrol Prometeo - Documents\Planning Space Implementation\3. Analysis &amp; Design\Design\FC22\DRR Jaime\Neiva CPI\[VAO_DINA TERCIARIOS_CF_SEC_20230117.xlsx]CF PSNP'!</v>
      </c>
      <c r="G2820" s="7" t="s">
        <v>109</v>
      </c>
      <c r="H2820" s="4"/>
      <c r="I2820" s="4"/>
      <c r="J2820" s="4"/>
    </row>
    <row r="2821" spans="1:10" x14ac:dyDescent="0.3">
      <c r="A2821" s="7" t="s">
        <v>22</v>
      </c>
      <c r="B2821" s="7">
        <f t="shared" si="642"/>
        <v>2030</v>
      </c>
      <c r="C2821" s="4" t="s">
        <v>52</v>
      </c>
      <c r="D2821" s="5" t="s">
        <v>131</v>
      </c>
      <c r="E2821" s="10" t="str">
        <f t="shared" si="640"/>
        <v>PSNP'!</v>
      </c>
      <c r="F2821" s="5" t="str">
        <f t="shared" si="641"/>
        <v>C:\Users\jaime.benazar\Quorum Business Solutions\Ecopetrol Prometeo - Documents\Planning Space Implementation\3. Analysis &amp; Design\Design\FC22\DRR Jaime\Neiva CPI\[VAO_DINA TERCIARIOS_CF_SEC_20230117.xlsx]CF PSNP'!</v>
      </c>
      <c r="G2821" s="7" t="s">
        <v>109</v>
      </c>
      <c r="H2821" s="4"/>
      <c r="I2821" s="4"/>
      <c r="J2821" s="4"/>
    </row>
    <row r="2822" spans="1:10" x14ac:dyDescent="0.3">
      <c r="A2822" s="7" t="s">
        <v>22</v>
      </c>
      <c r="B2822" s="7">
        <f t="shared" si="642"/>
        <v>2031</v>
      </c>
      <c r="C2822" s="4" t="s">
        <v>52</v>
      </c>
      <c r="D2822" s="5" t="s">
        <v>131</v>
      </c>
      <c r="E2822" s="10" t="str">
        <f t="shared" si="640"/>
        <v>PSNP'!</v>
      </c>
      <c r="F2822" s="5" t="str">
        <f t="shared" si="641"/>
        <v>C:\Users\jaime.benazar\Quorum Business Solutions\Ecopetrol Prometeo - Documents\Planning Space Implementation\3. Analysis &amp; Design\Design\FC22\DRR Jaime\Neiva CPI\[VAO_DINA TERCIARIOS_CF_SEC_20230117.xlsx]CF PSNP'!</v>
      </c>
      <c r="G2822" s="7" t="s">
        <v>109</v>
      </c>
      <c r="H2822" s="4"/>
      <c r="I2822" s="4"/>
      <c r="J2822" s="4"/>
    </row>
    <row r="2823" spans="1:10" x14ac:dyDescent="0.3">
      <c r="A2823" s="7" t="s">
        <v>22</v>
      </c>
      <c r="B2823" s="7">
        <f t="shared" si="642"/>
        <v>2032</v>
      </c>
      <c r="C2823" s="4" t="s">
        <v>52</v>
      </c>
      <c r="D2823" s="5" t="s">
        <v>131</v>
      </c>
      <c r="E2823" s="10" t="str">
        <f t="shared" si="640"/>
        <v>PSNP'!</v>
      </c>
      <c r="F2823" s="5" t="str">
        <f t="shared" si="641"/>
        <v>C:\Users\jaime.benazar\Quorum Business Solutions\Ecopetrol Prometeo - Documents\Planning Space Implementation\3. Analysis &amp; Design\Design\FC22\DRR Jaime\Neiva CPI\[VAO_DINA TERCIARIOS_CF_SEC_20230117.xlsx]CF PSNP'!</v>
      </c>
      <c r="G2823" s="7" t="s">
        <v>109</v>
      </c>
      <c r="H2823" s="4"/>
      <c r="I2823" s="4"/>
      <c r="J2823" s="4"/>
    </row>
    <row r="2824" spans="1:10" x14ac:dyDescent="0.3">
      <c r="A2824" s="7" t="s">
        <v>22</v>
      </c>
      <c r="B2824" s="7">
        <f t="shared" si="642"/>
        <v>2033</v>
      </c>
      <c r="C2824" s="4" t="s">
        <v>52</v>
      </c>
      <c r="D2824" s="5" t="s">
        <v>131</v>
      </c>
      <c r="E2824" s="10" t="str">
        <f t="shared" si="640"/>
        <v>PSNP'!</v>
      </c>
      <c r="F2824" s="5" t="str">
        <f t="shared" si="641"/>
        <v>C:\Users\jaime.benazar\Quorum Business Solutions\Ecopetrol Prometeo - Documents\Planning Space Implementation\3. Analysis &amp; Design\Design\FC22\DRR Jaime\Neiva CPI\[VAO_DINA TERCIARIOS_CF_SEC_20230117.xlsx]CF PSNP'!</v>
      </c>
      <c r="G2824" s="7" t="s">
        <v>109</v>
      </c>
      <c r="H2824" s="4"/>
      <c r="I2824" s="4"/>
      <c r="J2824" s="4"/>
    </row>
    <row r="2825" spans="1:10" x14ac:dyDescent="0.3">
      <c r="A2825" s="7" t="s">
        <v>22</v>
      </c>
      <c r="B2825" s="7">
        <f t="shared" si="642"/>
        <v>2034</v>
      </c>
      <c r="C2825" s="4" t="s">
        <v>52</v>
      </c>
      <c r="D2825" s="5" t="s">
        <v>131</v>
      </c>
      <c r="E2825" s="10" t="str">
        <f t="shared" si="640"/>
        <v>PSNP'!</v>
      </c>
      <c r="F2825" s="5" t="str">
        <f t="shared" si="641"/>
        <v>C:\Users\jaime.benazar\Quorum Business Solutions\Ecopetrol Prometeo - Documents\Planning Space Implementation\3. Analysis &amp; Design\Design\FC22\DRR Jaime\Neiva CPI\[VAO_DINA TERCIARIOS_CF_SEC_20230117.xlsx]CF PSNP'!</v>
      </c>
      <c r="G2825" s="7" t="s">
        <v>109</v>
      </c>
      <c r="H2825" s="4"/>
      <c r="I2825" s="4"/>
      <c r="J2825" s="4"/>
    </row>
    <row r="2826" spans="1:10" x14ac:dyDescent="0.3">
      <c r="A2826" s="7" t="s">
        <v>22</v>
      </c>
      <c r="B2826" s="7">
        <f t="shared" si="642"/>
        <v>2035</v>
      </c>
      <c r="C2826" s="4" t="s">
        <v>52</v>
      </c>
      <c r="D2826" s="5" t="s">
        <v>131</v>
      </c>
      <c r="E2826" s="10" t="str">
        <f t="shared" si="640"/>
        <v>PSNP'!</v>
      </c>
      <c r="F2826" s="5" t="str">
        <f t="shared" si="641"/>
        <v>C:\Users\jaime.benazar\Quorum Business Solutions\Ecopetrol Prometeo - Documents\Planning Space Implementation\3. Analysis &amp; Design\Design\FC22\DRR Jaime\Neiva CPI\[VAO_DINA TERCIARIOS_CF_SEC_20230117.xlsx]CF PSNP'!</v>
      </c>
      <c r="G2826" s="7" t="s">
        <v>109</v>
      </c>
      <c r="H2826" s="4"/>
      <c r="I2826" s="4"/>
      <c r="J2826" s="4"/>
    </row>
    <row r="2827" spans="1:10" x14ac:dyDescent="0.3">
      <c r="A2827" s="7" t="s">
        <v>22</v>
      </c>
      <c r="B2827" s="7">
        <f t="shared" si="642"/>
        <v>2036</v>
      </c>
      <c r="C2827" s="4" t="s">
        <v>52</v>
      </c>
      <c r="D2827" s="5" t="s">
        <v>131</v>
      </c>
      <c r="E2827" s="10" t="str">
        <f t="shared" si="640"/>
        <v>PSNP'!</v>
      </c>
      <c r="F2827" s="5" t="str">
        <f t="shared" si="641"/>
        <v>C:\Users\jaime.benazar\Quorum Business Solutions\Ecopetrol Prometeo - Documents\Planning Space Implementation\3. Analysis &amp; Design\Design\FC22\DRR Jaime\Neiva CPI\[VAO_DINA TERCIARIOS_CF_SEC_20230117.xlsx]CF PSNP'!</v>
      </c>
      <c r="G2827" s="7" t="s">
        <v>109</v>
      </c>
      <c r="H2827" s="4"/>
      <c r="I2827" s="4"/>
      <c r="J2827" s="4"/>
    </row>
    <row r="2828" spans="1:10" x14ac:dyDescent="0.3">
      <c r="A2828" s="7" t="s">
        <v>22</v>
      </c>
      <c r="B2828" s="7">
        <f>+B2827+1</f>
        <v>2037</v>
      </c>
      <c r="C2828" s="4" t="s">
        <v>52</v>
      </c>
      <c r="D2828" s="5" t="s">
        <v>131</v>
      </c>
      <c r="E2828" s="10" t="str">
        <f t="shared" si="640"/>
        <v>PSNP'!</v>
      </c>
      <c r="F2828" s="5" t="str">
        <f t="shared" si="641"/>
        <v>C:\Users\jaime.benazar\Quorum Business Solutions\Ecopetrol Prometeo - Documents\Planning Space Implementation\3. Analysis &amp; Design\Design\FC22\DRR Jaime\Neiva CPI\[VAO_DINA TERCIARIOS_CF_SEC_20230117.xlsx]CF PSNP'!</v>
      </c>
      <c r="G2828" s="7" t="s">
        <v>109</v>
      </c>
      <c r="H2828" s="4"/>
      <c r="I2828" s="4"/>
      <c r="J2828" s="4"/>
    </row>
    <row r="2829" spans="1:10" x14ac:dyDescent="0.3">
      <c r="A2829" s="7" t="s">
        <v>22</v>
      </c>
      <c r="B2829" s="7">
        <f t="shared" ref="B2829:B2831" si="643">+B2828+1</f>
        <v>2038</v>
      </c>
      <c r="C2829" s="4" t="s">
        <v>52</v>
      </c>
      <c r="D2829" s="5" t="s">
        <v>131</v>
      </c>
      <c r="E2829" s="10" t="str">
        <f t="shared" si="640"/>
        <v>PSNP'!</v>
      </c>
      <c r="F2829" s="5" t="str">
        <f t="shared" si="641"/>
        <v>C:\Users\jaime.benazar\Quorum Business Solutions\Ecopetrol Prometeo - Documents\Planning Space Implementation\3. Analysis &amp; Design\Design\FC22\DRR Jaime\Neiva CPI\[VAO_DINA TERCIARIOS_CF_SEC_20230117.xlsx]CF PSNP'!</v>
      </c>
      <c r="G2829" s="7" t="s">
        <v>109</v>
      </c>
      <c r="H2829" s="4"/>
      <c r="I2829" s="4"/>
      <c r="J2829" s="4"/>
    </row>
    <row r="2830" spans="1:10" x14ac:dyDescent="0.3">
      <c r="A2830" s="7" t="s">
        <v>22</v>
      </c>
      <c r="B2830" s="7">
        <f t="shared" si="643"/>
        <v>2039</v>
      </c>
      <c r="C2830" s="4" t="s">
        <v>52</v>
      </c>
      <c r="D2830" s="5" t="s">
        <v>131</v>
      </c>
      <c r="E2830" s="10" t="str">
        <f t="shared" si="640"/>
        <v>PSNP'!</v>
      </c>
      <c r="F2830" s="5" t="str">
        <f t="shared" si="641"/>
        <v>C:\Users\jaime.benazar\Quorum Business Solutions\Ecopetrol Prometeo - Documents\Planning Space Implementation\3. Analysis &amp; Design\Design\FC22\DRR Jaime\Neiva CPI\[VAO_DINA TERCIARIOS_CF_SEC_20230117.xlsx]CF PSNP'!</v>
      </c>
      <c r="G2830" s="7" t="s">
        <v>109</v>
      </c>
      <c r="H2830" s="4"/>
      <c r="I2830" s="4"/>
      <c r="J2830" s="4"/>
    </row>
    <row r="2831" spans="1:10" x14ac:dyDescent="0.3">
      <c r="A2831" s="7" t="s">
        <v>22</v>
      </c>
      <c r="B2831" s="7">
        <f t="shared" si="643"/>
        <v>2040</v>
      </c>
      <c r="C2831" s="4" t="s">
        <v>52</v>
      </c>
      <c r="D2831" s="5" t="s">
        <v>131</v>
      </c>
      <c r="E2831" s="10" t="str">
        <f t="shared" si="640"/>
        <v>PSNP'!</v>
      </c>
      <c r="F2831" s="5" t="str">
        <f t="shared" si="641"/>
        <v>C:\Users\jaime.benazar\Quorum Business Solutions\Ecopetrol Prometeo - Documents\Planning Space Implementation\3. Analysis &amp; Design\Design\FC22\DRR Jaime\Neiva CPI\[VAO_DINA TERCIARIOS_CF_SEC_20230117.xlsx]CF PSNP'!</v>
      </c>
      <c r="G2831" s="7" t="s">
        <v>109</v>
      </c>
      <c r="H2831" s="4"/>
      <c r="I2831" s="4"/>
      <c r="J2831" s="4"/>
    </row>
    <row r="2832" spans="1:10" x14ac:dyDescent="0.3">
      <c r="A2832" s="7" t="s">
        <v>22</v>
      </c>
      <c r="B2832" s="7">
        <f>+B2831+1</f>
        <v>2041</v>
      </c>
      <c r="C2832" s="4" t="s">
        <v>52</v>
      </c>
      <c r="D2832" s="5" t="s">
        <v>131</v>
      </c>
      <c r="E2832" s="10" t="str">
        <f t="shared" si="640"/>
        <v>PSNP'!</v>
      </c>
      <c r="F2832" s="5" t="str">
        <f t="shared" si="641"/>
        <v>C:\Users\jaime.benazar\Quorum Business Solutions\Ecopetrol Prometeo - Documents\Planning Space Implementation\3. Analysis &amp; Design\Design\FC22\DRR Jaime\Neiva CPI\[VAO_DINA TERCIARIOS_CF_SEC_20230117.xlsx]CF PSNP'!</v>
      </c>
      <c r="G2832" s="7" t="s">
        <v>109</v>
      </c>
      <c r="H2832" s="4"/>
      <c r="I2832" s="4"/>
      <c r="J2832" s="4"/>
    </row>
    <row r="2833" spans="1:10" x14ac:dyDescent="0.3">
      <c r="A2833" s="7" t="s">
        <v>22</v>
      </c>
      <c r="B2833" s="7">
        <f t="shared" ref="B2833:B2834" si="644">+B2832+1</f>
        <v>2042</v>
      </c>
      <c r="C2833" s="4" t="s">
        <v>52</v>
      </c>
      <c r="D2833" s="5" t="s">
        <v>131</v>
      </c>
      <c r="E2833" s="10" t="str">
        <f t="shared" si="640"/>
        <v>PSNP'!</v>
      </c>
      <c r="F2833" s="5" t="str">
        <f t="shared" si="641"/>
        <v>C:\Users\jaime.benazar\Quorum Business Solutions\Ecopetrol Prometeo - Documents\Planning Space Implementation\3. Analysis &amp; Design\Design\FC22\DRR Jaime\Neiva CPI\[VAO_DINA TERCIARIOS_CF_SEC_20230117.xlsx]CF PSNP'!</v>
      </c>
      <c r="G2833" s="7" t="s">
        <v>109</v>
      </c>
      <c r="H2833" s="4"/>
      <c r="I2833" s="4"/>
      <c r="J2833" s="4"/>
    </row>
    <row r="2834" spans="1:10" x14ac:dyDescent="0.3">
      <c r="A2834" s="7" t="s">
        <v>22</v>
      </c>
      <c r="B2834" s="7">
        <f t="shared" si="644"/>
        <v>2043</v>
      </c>
      <c r="C2834" s="4" t="s">
        <v>52</v>
      </c>
      <c r="D2834" s="5" t="s">
        <v>131</v>
      </c>
      <c r="E2834" s="10" t="str">
        <f t="shared" si="640"/>
        <v>PSNP'!</v>
      </c>
      <c r="F2834" s="5" t="str">
        <f t="shared" si="641"/>
        <v>C:\Users\jaime.benazar\Quorum Business Solutions\Ecopetrol Prometeo - Documents\Planning Space Implementation\3. Analysis &amp; Design\Design\FC22\DRR Jaime\Neiva CPI\[VAO_DINA TERCIARIOS_CF_SEC_20230117.xlsx]CF PSNP'!</v>
      </c>
      <c r="G2834" s="7" t="s">
        <v>109</v>
      </c>
      <c r="H2834" s="4"/>
      <c r="I2834" s="4"/>
      <c r="J2834" s="4"/>
    </row>
    <row r="2835" spans="1:10" x14ac:dyDescent="0.3">
      <c r="A2835" s="7" t="s">
        <v>22</v>
      </c>
      <c r="B2835" s="7">
        <f>+B2834+1</f>
        <v>2044</v>
      </c>
      <c r="C2835" s="4" t="s">
        <v>52</v>
      </c>
      <c r="D2835" s="5" t="s">
        <v>131</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Jaime\Neiva CPI\[VAO_DINA TERCIARIOS_CF_SEC_20230117.xlsx]CF PSNP'!</v>
      </c>
      <c r="G2835" s="7" t="s">
        <v>109</v>
      </c>
      <c r="H2835" s="4"/>
      <c r="I2835" s="4"/>
      <c r="J2835" s="4"/>
    </row>
    <row r="2836" spans="1:10" x14ac:dyDescent="0.3">
      <c r="A2836" s="7" t="s">
        <v>22</v>
      </c>
      <c r="B2836" s="7">
        <f t="shared" ref="B2836:B2850" si="647">+B2835+1</f>
        <v>2045</v>
      </c>
      <c r="C2836" s="4" t="s">
        <v>52</v>
      </c>
      <c r="D2836" s="5" t="s">
        <v>131</v>
      </c>
      <c r="E2836" s="10" t="str">
        <f t="shared" si="645"/>
        <v>PSNP'!</v>
      </c>
      <c r="F2836" s="5" t="str">
        <f t="shared" si="646"/>
        <v>C:\Users\jaime.benazar\Quorum Business Solutions\Ecopetrol Prometeo - Documents\Planning Space Implementation\3. Analysis &amp; Design\Design\FC22\DRR Jaime\Neiva CPI\[VAO_DINA TERCIARIOS_CF_SEC_20230117.xlsx]CF PSNP'!</v>
      </c>
      <c r="G2836" s="7" t="s">
        <v>109</v>
      </c>
      <c r="H2836" s="4"/>
      <c r="I2836" s="4"/>
      <c r="J2836" s="4"/>
    </row>
    <row r="2837" spans="1:10" x14ac:dyDescent="0.3">
      <c r="A2837" s="7" t="s">
        <v>22</v>
      </c>
      <c r="B2837" s="7">
        <f t="shared" si="647"/>
        <v>2046</v>
      </c>
      <c r="C2837" s="4" t="s">
        <v>52</v>
      </c>
      <c r="D2837" s="5" t="s">
        <v>131</v>
      </c>
      <c r="E2837" s="10" t="str">
        <f t="shared" si="645"/>
        <v>PSNP'!</v>
      </c>
      <c r="F2837" s="5" t="str">
        <f t="shared" si="646"/>
        <v>C:\Users\jaime.benazar\Quorum Business Solutions\Ecopetrol Prometeo - Documents\Planning Space Implementation\3. Analysis &amp; Design\Design\FC22\DRR Jaime\Neiva CPI\[VAO_DINA TERCIARIOS_CF_SEC_20230117.xlsx]CF PSNP'!</v>
      </c>
      <c r="G2837" s="7" t="s">
        <v>109</v>
      </c>
      <c r="H2837" s="4"/>
      <c r="I2837" s="4"/>
      <c r="J2837" s="4"/>
    </row>
    <row r="2838" spans="1:10" x14ac:dyDescent="0.3">
      <c r="A2838" s="7" t="s">
        <v>22</v>
      </c>
      <c r="B2838" s="7">
        <f t="shared" si="647"/>
        <v>2047</v>
      </c>
      <c r="C2838" s="4" t="s">
        <v>52</v>
      </c>
      <c r="D2838" s="5" t="s">
        <v>131</v>
      </c>
      <c r="E2838" s="10" t="str">
        <f t="shared" si="645"/>
        <v>PSNP'!</v>
      </c>
      <c r="F2838" s="5" t="str">
        <f t="shared" si="646"/>
        <v>C:\Users\jaime.benazar\Quorum Business Solutions\Ecopetrol Prometeo - Documents\Planning Space Implementation\3. Analysis &amp; Design\Design\FC22\DRR Jaime\Neiva CPI\[VAO_DINA TERCIARIOS_CF_SEC_20230117.xlsx]CF PSNP'!</v>
      </c>
      <c r="G2838" s="7" t="s">
        <v>109</v>
      </c>
      <c r="H2838" s="4"/>
      <c r="I2838" s="4"/>
      <c r="J2838" s="4"/>
    </row>
    <row r="2839" spans="1:10" x14ac:dyDescent="0.3">
      <c r="A2839" s="7" t="s">
        <v>22</v>
      </c>
      <c r="B2839" s="7">
        <f t="shared" si="647"/>
        <v>2048</v>
      </c>
      <c r="C2839" s="4" t="s">
        <v>52</v>
      </c>
      <c r="D2839" s="5" t="s">
        <v>131</v>
      </c>
      <c r="E2839" s="10" t="str">
        <f t="shared" si="645"/>
        <v>PSNP'!</v>
      </c>
      <c r="F2839" s="5" t="str">
        <f t="shared" si="646"/>
        <v>C:\Users\jaime.benazar\Quorum Business Solutions\Ecopetrol Prometeo - Documents\Planning Space Implementation\3. Analysis &amp; Design\Design\FC22\DRR Jaime\Neiva CPI\[VAO_DINA TERCIARIOS_CF_SEC_20230117.xlsx]CF PSNP'!</v>
      </c>
      <c r="G2839" s="7" t="s">
        <v>109</v>
      </c>
      <c r="H2839" s="4"/>
      <c r="I2839" s="4"/>
      <c r="J2839" s="4"/>
    </row>
    <row r="2840" spans="1:10" x14ac:dyDescent="0.3">
      <c r="A2840" s="7" t="s">
        <v>22</v>
      </c>
      <c r="B2840" s="7">
        <f t="shared" si="647"/>
        <v>2049</v>
      </c>
      <c r="C2840" s="4" t="s">
        <v>52</v>
      </c>
      <c r="D2840" s="5" t="s">
        <v>131</v>
      </c>
      <c r="E2840" s="10" t="str">
        <f t="shared" si="645"/>
        <v>PSNP'!</v>
      </c>
      <c r="F2840" s="5" t="str">
        <f t="shared" si="646"/>
        <v>C:\Users\jaime.benazar\Quorum Business Solutions\Ecopetrol Prometeo - Documents\Planning Space Implementation\3. Analysis &amp; Design\Design\FC22\DRR Jaime\Neiva CPI\[VAO_DINA TERCIARIOS_CF_SEC_20230117.xlsx]CF PSNP'!</v>
      </c>
      <c r="G2840" s="7" t="s">
        <v>109</v>
      </c>
      <c r="H2840" s="4"/>
      <c r="I2840" s="4"/>
      <c r="J2840" s="4"/>
    </row>
    <row r="2841" spans="1:10" x14ac:dyDescent="0.3">
      <c r="A2841" s="7" t="s">
        <v>22</v>
      </c>
      <c r="B2841" s="7">
        <f t="shared" si="647"/>
        <v>2050</v>
      </c>
      <c r="C2841" s="4" t="s">
        <v>52</v>
      </c>
      <c r="D2841" s="5" t="s">
        <v>131</v>
      </c>
      <c r="E2841" s="10" t="str">
        <f t="shared" si="645"/>
        <v>PSNP'!</v>
      </c>
      <c r="F2841" s="5" t="str">
        <f t="shared" si="646"/>
        <v>C:\Users\jaime.benazar\Quorum Business Solutions\Ecopetrol Prometeo - Documents\Planning Space Implementation\3. Analysis &amp; Design\Design\FC22\DRR Jaime\Neiva CPI\[VAO_DINA TERCIARIOS_CF_SEC_20230117.xlsx]CF PSNP'!</v>
      </c>
      <c r="G2841" s="7" t="s">
        <v>109</v>
      </c>
      <c r="H2841" s="4"/>
      <c r="I2841" s="4"/>
      <c r="J2841" s="4"/>
    </row>
    <row r="2842" spans="1:10" x14ac:dyDescent="0.3">
      <c r="A2842" s="7" t="s">
        <v>22</v>
      </c>
      <c r="B2842" s="7">
        <f t="shared" si="647"/>
        <v>2051</v>
      </c>
      <c r="C2842" s="4" t="s">
        <v>52</v>
      </c>
      <c r="D2842" s="5" t="s">
        <v>131</v>
      </c>
      <c r="E2842" s="10" t="str">
        <f t="shared" si="645"/>
        <v>PSNP'!</v>
      </c>
      <c r="F2842" s="5" t="str">
        <f t="shared" si="646"/>
        <v>C:\Users\jaime.benazar\Quorum Business Solutions\Ecopetrol Prometeo - Documents\Planning Space Implementation\3. Analysis &amp; Design\Design\FC22\DRR Jaime\Neiva CPI\[VAO_DINA TERCIARIOS_CF_SEC_20230117.xlsx]CF PSNP'!</v>
      </c>
      <c r="G2842" s="7" t="s">
        <v>109</v>
      </c>
      <c r="H2842" s="4"/>
      <c r="I2842" s="4"/>
      <c r="J2842" s="4"/>
    </row>
    <row r="2843" spans="1:10" x14ac:dyDescent="0.3">
      <c r="A2843" s="7" t="s">
        <v>22</v>
      </c>
      <c r="B2843" s="7">
        <f t="shared" si="647"/>
        <v>2052</v>
      </c>
      <c r="C2843" s="4" t="s">
        <v>52</v>
      </c>
      <c r="D2843" s="5" t="s">
        <v>131</v>
      </c>
      <c r="E2843" s="10" t="str">
        <f t="shared" si="645"/>
        <v>PSNP'!</v>
      </c>
      <c r="F2843" s="5" t="str">
        <f t="shared" si="646"/>
        <v>C:\Users\jaime.benazar\Quorum Business Solutions\Ecopetrol Prometeo - Documents\Planning Space Implementation\3. Analysis &amp; Design\Design\FC22\DRR Jaime\Neiva CPI\[VAO_DINA TERCIARIOS_CF_SEC_20230117.xlsx]CF PSNP'!</v>
      </c>
      <c r="G2843" s="7" t="s">
        <v>109</v>
      </c>
      <c r="H2843" s="4"/>
      <c r="I2843" s="4"/>
      <c r="J2843" s="4"/>
    </row>
    <row r="2844" spans="1:10" x14ac:dyDescent="0.3">
      <c r="A2844" s="7" t="s">
        <v>22</v>
      </c>
      <c r="B2844" s="7">
        <f t="shared" si="647"/>
        <v>2053</v>
      </c>
      <c r="C2844" s="4" t="s">
        <v>52</v>
      </c>
      <c r="D2844" s="5" t="s">
        <v>131</v>
      </c>
      <c r="E2844" s="10" t="str">
        <f t="shared" si="645"/>
        <v>PSNP'!</v>
      </c>
      <c r="F2844" s="5" t="str">
        <f t="shared" si="646"/>
        <v>C:\Users\jaime.benazar\Quorum Business Solutions\Ecopetrol Prometeo - Documents\Planning Space Implementation\3. Analysis &amp; Design\Design\FC22\DRR Jaime\Neiva CPI\[VAO_DINA TERCIARIOS_CF_SEC_20230117.xlsx]CF PSNP'!</v>
      </c>
      <c r="G2844" s="7" t="s">
        <v>109</v>
      </c>
      <c r="H2844" s="4"/>
      <c r="I2844" s="4"/>
      <c r="J2844" s="4"/>
    </row>
    <row r="2845" spans="1:10" x14ac:dyDescent="0.3">
      <c r="A2845" s="7" t="s">
        <v>22</v>
      </c>
      <c r="B2845" s="7">
        <f t="shared" si="647"/>
        <v>2054</v>
      </c>
      <c r="C2845" s="4" t="s">
        <v>52</v>
      </c>
      <c r="D2845" s="5" t="s">
        <v>131</v>
      </c>
      <c r="E2845" s="10" t="str">
        <f t="shared" si="645"/>
        <v>PSNP'!</v>
      </c>
      <c r="F2845" s="5" t="str">
        <f t="shared" si="646"/>
        <v>C:\Users\jaime.benazar\Quorum Business Solutions\Ecopetrol Prometeo - Documents\Planning Space Implementation\3. Analysis &amp; Design\Design\FC22\DRR Jaime\Neiva CPI\[VAO_DINA TERCIARIOS_CF_SEC_20230117.xlsx]CF PSNP'!</v>
      </c>
      <c r="G2845" s="7" t="s">
        <v>109</v>
      </c>
      <c r="H2845" s="4"/>
      <c r="I2845" s="4"/>
      <c r="J2845" s="4"/>
    </row>
    <row r="2846" spans="1:10" x14ac:dyDescent="0.3">
      <c r="A2846" s="7" t="s">
        <v>22</v>
      </c>
      <c r="B2846" s="7">
        <f t="shared" si="647"/>
        <v>2055</v>
      </c>
      <c r="C2846" s="4" t="s">
        <v>52</v>
      </c>
      <c r="D2846" s="5" t="s">
        <v>131</v>
      </c>
      <c r="E2846" s="10" t="str">
        <f t="shared" si="645"/>
        <v>PSNP'!</v>
      </c>
      <c r="F2846" s="5" t="str">
        <f t="shared" si="646"/>
        <v>C:\Users\jaime.benazar\Quorum Business Solutions\Ecopetrol Prometeo - Documents\Planning Space Implementation\3. Analysis &amp; Design\Design\FC22\DRR Jaime\Neiva CPI\[VAO_DINA TERCIARIOS_CF_SEC_20230117.xlsx]CF PSNP'!</v>
      </c>
      <c r="G2846" s="7" t="s">
        <v>109</v>
      </c>
      <c r="H2846" s="4"/>
      <c r="I2846" s="4"/>
      <c r="J2846" s="4"/>
    </row>
    <row r="2847" spans="1:10" x14ac:dyDescent="0.3">
      <c r="A2847" s="7" t="s">
        <v>22</v>
      </c>
      <c r="B2847" s="7">
        <f t="shared" si="647"/>
        <v>2056</v>
      </c>
      <c r="C2847" s="4" t="s">
        <v>52</v>
      </c>
      <c r="D2847" s="5" t="s">
        <v>131</v>
      </c>
      <c r="E2847" s="10" t="str">
        <f t="shared" si="645"/>
        <v>PSNP'!</v>
      </c>
      <c r="F2847" s="5" t="str">
        <f t="shared" si="646"/>
        <v>C:\Users\jaime.benazar\Quorum Business Solutions\Ecopetrol Prometeo - Documents\Planning Space Implementation\3. Analysis &amp; Design\Design\FC22\DRR Jaime\Neiva CPI\[VAO_DINA TERCIARIOS_CF_SEC_20230117.xlsx]CF PSNP'!</v>
      </c>
      <c r="G2847" s="7" t="s">
        <v>109</v>
      </c>
      <c r="H2847" s="4"/>
      <c r="I2847" s="4"/>
      <c r="J2847" s="4"/>
    </row>
    <row r="2848" spans="1:10" x14ac:dyDescent="0.3">
      <c r="A2848" s="7" t="s">
        <v>22</v>
      </c>
      <c r="B2848" s="7">
        <f t="shared" si="647"/>
        <v>2057</v>
      </c>
      <c r="C2848" s="4" t="s">
        <v>52</v>
      </c>
      <c r="D2848" s="5" t="s">
        <v>131</v>
      </c>
      <c r="E2848" s="10" t="str">
        <f t="shared" si="645"/>
        <v>PSNP'!</v>
      </c>
      <c r="F2848" s="5" t="str">
        <f t="shared" si="646"/>
        <v>C:\Users\jaime.benazar\Quorum Business Solutions\Ecopetrol Prometeo - Documents\Planning Space Implementation\3. Analysis &amp; Design\Design\FC22\DRR Jaime\Neiva CPI\[VAO_DINA TERCIARIOS_CF_SEC_20230117.xlsx]CF PSNP'!</v>
      </c>
      <c r="G2848" s="7" t="s">
        <v>109</v>
      </c>
      <c r="H2848" s="4"/>
      <c r="I2848" s="4"/>
      <c r="J2848" s="4"/>
    </row>
    <row r="2849" spans="1:10" x14ac:dyDescent="0.3">
      <c r="A2849" s="7" t="s">
        <v>22</v>
      </c>
      <c r="B2849" s="7">
        <f t="shared" si="647"/>
        <v>2058</v>
      </c>
      <c r="C2849" s="4" t="s">
        <v>52</v>
      </c>
      <c r="D2849" s="5" t="s">
        <v>131</v>
      </c>
      <c r="E2849" s="10" t="str">
        <f t="shared" si="645"/>
        <v>PSNP'!</v>
      </c>
      <c r="F2849" s="5" t="str">
        <f t="shared" si="646"/>
        <v>C:\Users\jaime.benazar\Quorum Business Solutions\Ecopetrol Prometeo - Documents\Planning Space Implementation\3. Analysis &amp; Design\Design\FC22\DRR Jaime\Neiva CPI\[VAO_DINA TERCIARIOS_CF_SEC_20230117.xlsx]CF PSNP'!</v>
      </c>
      <c r="G2849" s="7" t="s">
        <v>109</v>
      </c>
      <c r="H2849" s="4"/>
      <c r="I2849" s="4"/>
      <c r="J2849" s="4"/>
    </row>
    <row r="2850" spans="1:10" x14ac:dyDescent="0.3">
      <c r="A2850" s="7" t="s">
        <v>22</v>
      </c>
      <c r="B2850" s="7">
        <f t="shared" si="647"/>
        <v>2059</v>
      </c>
      <c r="C2850" s="4" t="s">
        <v>52</v>
      </c>
      <c r="D2850" s="5" t="s">
        <v>131</v>
      </c>
      <c r="E2850" s="10" t="str">
        <f t="shared" si="645"/>
        <v>PSNP'!</v>
      </c>
      <c r="F2850" s="5" t="str">
        <f t="shared" si="646"/>
        <v>C:\Users\jaime.benazar\Quorum Business Solutions\Ecopetrol Prometeo - Documents\Planning Space Implementation\3. Analysis &amp; Design\Design\FC22\DRR Jaime\Neiva CPI\[VAO_DINA TERCIARIOS_CF_SEC_20230117.xlsx]CF PSNP'!</v>
      </c>
      <c r="G2850" s="7" t="s">
        <v>109</v>
      </c>
      <c r="H2850" s="4"/>
      <c r="I2850" s="4"/>
      <c r="J2850" s="4"/>
    </row>
    <row r="2851" spans="1:10" x14ac:dyDescent="0.3">
      <c r="A2851" s="7" t="s">
        <v>26</v>
      </c>
      <c r="B2851" s="7"/>
      <c r="C2851" s="4" t="s">
        <v>52</v>
      </c>
      <c r="D2851" s="5"/>
      <c r="E2851" s="10"/>
      <c r="F2851" s="2"/>
      <c r="G2851" s="7"/>
      <c r="H2851" s="4"/>
      <c r="I2851" s="4"/>
      <c r="J2851" s="4"/>
    </row>
    <row r="2852" spans="1:10" x14ac:dyDescent="0.3">
      <c r="A2852" s="7" t="s">
        <v>23</v>
      </c>
      <c r="B2852" s="7">
        <v>2023</v>
      </c>
      <c r="C2852" s="4" t="s">
        <v>52</v>
      </c>
      <c r="D2852" s="5" t="s">
        <v>131</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Jaime\Neiva CPI\[VAO_DINA TERCIARIOS_CF_SEC_20230117.xlsx]CF PSND'!</v>
      </c>
      <c r="G2852" s="7" t="s">
        <v>109</v>
      </c>
      <c r="H2852" s="4"/>
      <c r="I2852" s="4"/>
      <c r="J2852" s="4"/>
    </row>
    <row r="2853" spans="1:10" x14ac:dyDescent="0.3">
      <c r="A2853" s="7" t="s">
        <v>23</v>
      </c>
      <c r="B2853" s="7">
        <f>+B2852+1</f>
        <v>2024</v>
      </c>
      <c r="C2853" s="4" t="s">
        <v>52</v>
      </c>
      <c r="D2853" s="5" t="s">
        <v>131</v>
      </c>
      <c r="E2853" s="10" t="str">
        <f t="shared" si="648"/>
        <v>PSND'!</v>
      </c>
      <c r="F2853" s="5" t="str">
        <f t="shared" si="649"/>
        <v>C:\Users\jaime.benazar\Quorum Business Solutions\Ecopetrol Prometeo - Documents\Planning Space Implementation\3. Analysis &amp; Design\Design\FC22\DRR Jaime\Neiva CPI\[VAO_DINA TERCIARIOS_CF_SEC_20230117.xlsx]CF PSND'!</v>
      </c>
      <c r="G2853" s="7" t="s">
        <v>109</v>
      </c>
      <c r="H2853" s="4"/>
      <c r="I2853" s="4"/>
      <c r="J2853" s="4"/>
    </row>
    <row r="2854" spans="1:10" x14ac:dyDescent="0.3">
      <c r="A2854" s="7" t="s">
        <v>23</v>
      </c>
      <c r="B2854" s="7">
        <f t="shared" ref="B2854:B2865" si="650">+B2853+1</f>
        <v>2025</v>
      </c>
      <c r="C2854" s="4" t="s">
        <v>52</v>
      </c>
      <c r="D2854" s="5" t="s">
        <v>131</v>
      </c>
      <c r="E2854" s="10" t="str">
        <f t="shared" si="648"/>
        <v>PSND'!</v>
      </c>
      <c r="F2854" s="5" t="str">
        <f t="shared" si="649"/>
        <v>C:\Users\jaime.benazar\Quorum Business Solutions\Ecopetrol Prometeo - Documents\Planning Space Implementation\3. Analysis &amp; Design\Design\FC22\DRR Jaime\Neiva CPI\[VAO_DINA TERCIARIOS_CF_SEC_20230117.xlsx]CF PSND'!</v>
      </c>
      <c r="G2854" s="7" t="s">
        <v>109</v>
      </c>
      <c r="H2854" s="4"/>
      <c r="I2854" s="4"/>
      <c r="J2854" s="4"/>
    </row>
    <row r="2855" spans="1:10" x14ac:dyDescent="0.3">
      <c r="A2855" s="7" t="s">
        <v>23</v>
      </c>
      <c r="B2855" s="7">
        <f t="shared" si="650"/>
        <v>2026</v>
      </c>
      <c r="C2855" s="4" t="s">
        <v>52</v>
      </c>
      <c r="D2855" s="5" t="s">
        <v>131</v>
      </c>
      <c r="E2855" s="10" t="str">
        <f t="shared" si="648"/>
        <v>PSND'!</v>
      </c>
      <c r="F2855" s="5" t="str">
        <f t="shared" si="649"/>
        <v>C:\Users\jaime.benazar\Quorum Business Solutions\Ecopetrol Prometeo - Documents\Planning Space Implementation\3. Analysis &amp; Design\Design\FC22\DRR Jaime\Neiva CPI\[VAO_DINA TERCIARIOS_CF_SEC_20230117.xlsx]CF PSND'!</v>
      </c>
      <c r="G2855" s="7" t="s">
        <v>109</v>
      </c>
      <c r="H2855" s="4"/>
      <c r="I2855" s="4"/>
      <c r="J2855" s="4"/>
    </row>
    <row r="2856" spans="1:10" x14ac:dyDescent="0.3">
      <c r="A2856" s="7" t="s">
        <v>23</v>
      </c>
      <c r="B2856" s="7">
        <f t="shared" si="650"/>
        <v>2027</v>
      </c>
      <c r="C2856" s="4" t="s">
        <v>52</v>
      </c>
      <c r="D2856" s="5" t="s">
        <v>131</v>
      </c>
      <c r="E2856" s="10" t="str">
        <f t="shared" si="648"/>
        <v>PSND'!</v>
      </c>
      <c r="F2856" s="5" t="str">
        <f t="shared" si="649"/>
        <v>C:\Users\jaime.benazar\Quorum Business Solutions\Ecopetrol Prometeo - Documents\Planning Space Implementation\3. Analysis &amp; Design\Design\FC22\DRR Jaime\Neiva CPI\[VAO_DINA TERCIARIOS_CF_SEC_20230117.xlsx]CF PSND'!</v>
      </c>
      <c r="G2856" s="7" t="s">
        <v>109</v>
      </c>
      <c r="H2856" s="4"/>
      <c r="I2856" s="4"/>
      <c r="J2856" s="4"/>
    </row>
    <row r="2857" spans="1:10" x14ac:dyDescent="0.3">
      <c r="A2857" s="7" t="s">
        <v>23</v>
      </c>
      <c r="B2857" s="7">
        <f t="shared" si="650"/>
        <v>2028</v>
      </c>
      <c r="C2857" s="4" t="s">
        <v>52</v>
      </c>
      <c r="D2857" s="5" t="s">
        <v>131</v>
      </c>
      <c r="E2857" s="10" t="str">
        <f t="shared" si="648"/>
        <v>PSND'!</v>
      </c>
      <c r="F2857" s="5" t="str">
        <f t="shared" si="649"/>
        <v>C:\Users\jaime.benazar\Quorum Business Solutions\Ecopetrol Prometeo - Documents\Planning Space Implementation\3. Analysis &amp; Design\Design\FC22\DRR Jaime\Neiva CPI\[VAO_DINA TERCIARIOS_CF_SEC_20230117.xlsx]CF PSND'!</v>
      </c>
      <c r="G2857" s="7" t="s">
        <v>109</v>
      </c>
      <c r="H2857" s="4"/>
      <c r="I2857" s="4"/>
      <c r="J2857" s="4"/>
    </row>
    <row r="2858" spans="1:10" x14ac:dyDescent="0.3">
      <c r="A2858" s="7" t="s">
        <v>23</v>
      </c>
      <c r="B2858" s="7">
        <f t="shared" si="650"/>
        <v>2029</v>
      </c>
      <c r="C2858" s="4" t="s">
        <v>52</v>
      </c>
      <c r="D2858" s="5" t="s">
        <v>131</v>
      </c>
      <c r="E2858" s="10" t="str">
        <f t="shared" si="648"/>
        <v>PSND'!</v>
      </c>
      <c r="F2858" s="5" t="str">
        <f t="shared" si="649"/>
        <v>C:\Users\jaime.benazar\Quorum Business Solutions\Ecopetrol Prometeo - Documents\Planning Space Implementation\3. Analysis &amp; Design\Design\FC22\DRR Jaime\Neiva CPI\[VAO_DINA TERCIARIOS_CF_SEC_20230117.xlsx]CF PSND'!</v>
      </c>
      <c r="G2858" s="7" t="s">
        <v>109</v>
      </c>
      <c r="H2858" s="4"/>
      <c r="I2858" s="4"/>
      <c r="J2858" s="4"/>
    </row>
    <row r="2859" spans="1:10" x14ac:dyDescent="0.3">
      <c r="A2859" s="7" t="s">
        <v>23</v>
      </c>
      <c r="B2859" s="7">
        <f t="shared" si="650"/>
        <v>2030</v>
      </c>
      <c r="C2859" s="4" t="s">
        <v>52</v>
      </c>
      <c r="D2859" s="5" t="s">
        <v>131</v>
      </c>
      <c r="E2859" s="10" t="str">
        <f t="shared" si="648"/>
        <v>PSND'!</v>
      </c>
      <c r="F2859" s="5" t="str">
        <f t="shared" si="649"/>
        <v>C:\Users\jaime.benazar\Quorum Business Solutions\Ecopetrol Prometeo - Documents\Planning Space Implementation\3. Analysis &amp; Design\Design\FC22\DRR Jaime\Neiva CPI\[VAO_DINA TERCIARIOS_CF_SEC_20230117.xlsx]CF PSND'!</v>
      </c>
      <c r="G2859" s="7" t="s">
        <v>109</v>
      </c>
      <c r="H2859" s="4"/>
      <c r="I2859" s="4"/>
      <c r="J2859" s="4"/>
    </row>
    <row r="2860" spans="1:10" x14ac:dyDescent="0.3">
      <c r="A2860" s="7" t="s">
        <v>23</v>
      </c>
      <c r="B2860" s="7">
        <f t="shared" si="650"/>
        <v>2031</v>
      </c>
      <c r="C2860" s="4" t="s">
        <v>52</v>
      </c>
      <c r="D2860" s="5" t="s">
        <v>131</v>
      </c>
      <c r="E2860" s="10" t="str">
        <f t="shared" si="648"/>
        <v>PSND'!</v>
      </c>
      <c r="F2860" s="5" t="str">
        <f t="shared" si="649"/>
        <v>C:\Users\jaime.benazar\Quorum Business Solutions\Ecopetrol Prometeo - Documents\Planning Space Implementation\3. Analysis &amp; Design\Design\FC22\DRR Jaime\Neiva CPI\[VAO_DINA TERCIARIOS_CF_SEC_20230117.xlsx]CF PSND'!</v>
      </c>
      <c r="G2860" s="7" t="s">
        <v>109</v>
      </c>
      <c r="H2860" s="4"/>
      <c r="I2860" s="4"/>
      <c r="J2860" s="4"/>
    </row>
    <row r="2861" spans="1:10" x14ac:dyDescent="0.3">
      <c r="A2861" s="7" t="s">
        <v>23</v>
      </c>
      <c r="B2861" s="7">
        <f t="shared" si="650"/>
        <v>2032</v>
      </c>
      <c r="C2861" s="4" t="s">
        <v>52</v>
      </c>
      <c r="D2861" s="5" t="s">
        <v>131</v>
      </c>
      <c r="E2861" s="10" t="str">
        <f t="shared" si="648"/>
        <v>PSND'!</v>
      </c>
      <c r="F2861" s="5" t="str">
        <f t="shared" si="649"/>
        <v>C:\Users\jaime.benazar\Quorum Business Solutions\Ecopetrol Prometeo - Documents\Planning Space Implementation\3. Analysis &amp; Design\Design\FC22\DRR Jaime\Neiva CPI\[VAO_DINA TERCIARIOS_CF_SEC_20230117.xlsx]CF PSND'!</v>
      </c>
      <c r="G2861" s="7" t="s">
        <v>109</v>
      </c>
      <c r="H2861" s="4"/>
      <c r="I2861" s="4"/>
      <c r="J2861" s="4"/>
    </row>
    <row r="2862" spans="1:10" x14ac:dyDescent="0.3">
      <c r="A2862" s="7" t="s">
        <v>23</v>
      </c>
      <c r="B2862" s="7">
        <f t="shared" si="650"/>
        <v>2033</v>
      </c>
      <c r="C2862" s="4" t="s">
        <v>52</v>
      </c>
      <c r="D2862" s="5" t="s">
        <v>131</v>
      </c>
      <c r="E2862" s="10" t="str">
        <f t="shared" si="648"/>
        <v>PSND'!</v>
      </c>
      <c r="F2862" s="5" t="str">
        <f t="shared" si="649"/>
        <v>C:\Users\jaime.benazar\Quorum Business Solutions\Ecopetrol Prometeo - Documents\Planning Space Implementation\3. Analysis &amp; Design\Design\FC22\DRR Jaime\Neiva CPI\[VAO_DINA TERCIARIOS_CF_SEC_20230117.xlsx]CF PSND'!</v>
      </c>
      <c r="G2862" s="7" t="s">
        <v>109</v>
      </c>
      <c r="H2862" s="4"/>
      <c r="I2862" s="4"/>
      <c r="J2862" s="4"/>
    </row>
    <row r="2863" spans="1:10" x14ac:dyDescent="0.3">
      <c r="A2863" s="7" t="s">
        <v>23</v>
      </c>
      <c r="B2863" s="7">
        <f t="shared" si="650"/>
        <v>2034</v>
      </c>
      <c r="C2863" s="4" t="s">
        <v>52</v>
      </c>
      <c r="D2863" s="5" t="s">
        <v>131</v>
      </c>
      <c r="E2863" s="10" t="str">
        <f t="shared" si="648"/>
        <v>PSND'!</v>
      </c>
      <c r="F2863" s="5" t="str">
        <f t="shared" si="649"/>
        <v>C:\Users\jaime.benazar\Quorum Business Solutions\Ecopetrol Prometeo - Documents\Planning Space Implementation\3. Analysis &amp; Design\Design\FC22\DRR Jaime\Neiva CPI\[VAO_DINA TERCIARIOS_CF_SEC_20230117.xlsx]CF PSND'!</v>
      </c>
      <c r="G2863" s="7" t="s">
        <v>109</v>
      </c>
      <c r="H2863" s="4"/>
      <c r="I2863" s="4"/>
      <c r="J2863" s="4"/>
    </row>
    <row r="2864" spans="1:10" x14ac:dyDescent="0.3">
      <c r="A2864" s="7" t="s">
        <v>23</v>
      </c>
      <c r="B2864" s="7">
        <f t="shared" si="650"/>
        <v>2035</v>
      </c>
      <c r="C2864" s="4" t="s">
        <v>52</v>
      </c>
      <c r="D2864" s="5" t="s">
        <v>131</v>
      </c>
      <c r="E2864" s="10" t="str">
        <f t="shared" si="648"/>
        <v>PSND'!</v>
      </c>
      <c r="F2864" s="5" t="str">
        <f t="shared" si="649"/>
        <v>C:\Users\jaime.benazar\Quorum Business Solutions\Ecopetrol Prometeo - Documents\Planning Space Implementation\3. Analysis &amp; Design\Design\FC22\DRR Jaime\Neiva CPI\[VAO_DINA TERCIARIOS_CF_SEC_20230117.xlsx]CF PSND'!</v>
      </c>
      <c r="G2864" s="7" t="s">
        <v>109</v>
      </c>
      <c r="H2864" s="4"/>
      <c r="I2864" s="4"/>
      <c r="J2864" s="4"/>
    </row>
    <row r="2865" spans="1:10" x14ac:dyDescent="0.3">
      <c r="A2865" s="7" t="s">
        <v>23</v>
      </c>
      <c r="B2865" s="7">
        <f t="shared" si="650"/>
        <v>2036</v>
      </c>
      <c r="C2865" s="4" t="s">
        <v>52</v>
      </c>
      <c r="D2865" s="5" t="s">
        <v>131</v>
      </c>
      <c r="E2865" s="10" t="str">
        <f t="shared" si="648"/>
        <v>PSND'!</v>
      </c>
      <c r="F2865" s="5" t="str">
        <f t="shared" si="649"/>
        <v>C:\Users\jaime.benazar\Quorum Business Solutions\Ecopetrol Prometeo - Documents\Planning Space Implementation\3. Analysis &amp; Design\Design\FC22\DRR Jaime\Neiva CPI\[VAO_DINA TERCIARIOS_CF_SEC_20230117.xlsx]CF PSND'!</v>
      </c>
      <c r="G2865" s="7" t="s">
        <v>109</v>
      </c>
      <c r="H2865" s="4"/>
      <c r="I2865" s="4"/>
      <c r="J2865" s="4"/>
    </row>
    <row r="2866" spans="1:10" x14ac:dyDescent="0.3">
      <c r="A2866" s="7" t="s">
        <v>23</v>
      </c>
      <c r="B2866" s="7">
        <f>+B2865+1</f>
        <v>2037</v>
      </c>
      <c r="C2866" s="4" t="s">
        <v>52</v>
      </c>
      <c r="D2866" s="5" t="s">
        <v>131</v>
      </c>
      <c r="E2866" s="10" t="str">
        <f t="shared" si="648"/>
        <v>PSND'!</v>
      </c>
      <c r="F2866" s="5" t="str">
        <f t="shared" si="649"/>
        <v>C:\Users\jaime.benazar\Quorum Business Solutions\Ecopetrol Prometeo - Documents\Planning Space Implementation\3. Analysis &amp; Design\Design\FC22\DRR Jaime\Neiva CPI\[VAO_DINA TERCIARIOS_CF_SEC_20230117.xlsx]CF PSND'!</v>
      </c>
      <c r="G2866" s="7" t="s">
        <v>109</v>
      </c>
      <c r="H2866" s="4"/>
      <c r="I2866" s="4"/>
      <c r="J2866" s="4"/>
    </row>
    <row r="2867" spans="1:10" x14ac:dyDescent="0.3">
      <c r="A2867" s="7" t="s">
        <v>23</v>
      </c>
      <c r="B2867" s="7">
        <f t="shared" ref="B2867:B2869" si="651">+B2866+1</f>
        <v>2038</v>
      </c>
      <c r="C2867" s="4" t="s">
        <v>52</v>
      </c>
      <c r="D2867" s="5" t="s">
        <v>131</v>
      </c>
      <c r="E2867" s="10" t="str">
        <f t="shared" si="648"/>
        <v>PSND'!</v>
      </c>
      <c r="F2867" s="5" t="str">
        <f t="shared" si="649"/>
        <v>C:\Users\jaime.benazar\Quorum Business Solutions\Ecopetrol Prometeo - Documents\Planning Space Implementation\3. Analysis &amp; Design\Design\FC22\DRR Jaime\Neiva CPI\[VAO_DINA TERCIARIOS_CF_SEC_20230117.xlsx]CF PSND'!</v>
      </c>
      <c r="G2867" s="7" t="s">
        <v>109</v>
      </c>
      <c r="H2867" s="4"/>
      <c r="I2867" s="4"/>
      <c r="J2867" s="4"/>
    </row>
    <row r="2868" spans="1:10" x14ac:dyDescent="0.3">
      <c r="A2868" s="7" t="s">
        <v>23</v>
      </c>
      <c r="B2868" s="7">
        <f t="shared" si="651"/>
        <v>2039</v>
      </c>
      <c r="C2868" s="4" t="s">
        <v>52</v>
      </c>
      <c r="D2868" s="5" t="s">
        <v>131</v>
      </c>
      <c r="E2868" s="10" t="str">
        <f t="shared" si="648"/>
        <v>PSND'!</v>
      </c>
      <c r="F2868" s="5" t="str">
        <f t="shared" si="649"/>
        <v>C:\Users\jaime.benazar\Quorum Business Solutions\Ecopetrol Prometeo - Documents\Planning Space Implementation\3. Analysis &amp; Design\Design\FC22\DRR Jaime\Neiva CPI\[VAO_DINA TERCIARIOS_CF_SEC_20230117.xlsx]CF PSND'!</v>
      </c>
      <c r="G2868" s="7" t="s">
        <v>109</v>
      </c>
      <c r="H2868" s="4"/>
      <c r="I2868" s="4"/>
      <c r="J2868" s="4"/>
    </row>
    <row r="2869" spans="1:10" x14ac:dyDescent="0.3">
      <c r="A2869" s="7" t="s">
        <v>23</v>
      </c>
      <c r="B2869" s="7">
        <f t="shared" si="651"/>
        <v>2040</v>
      </c>
      <c r="C2869" s="4" t="s">
        <v>52</v>
      </c>
      <c r="D2869" s="5" t="s">
        <v>131</v>
      </c>
      <c r="E2869" s="10" t="str">
        <f t="shared" si="648"/>
        <v>PSND'!</v>
      </c>
      <c r="F2869" s="5" t="str">
        <f t="shared" si="649"/>
        <v>C:\Users\jaime.benazar\Quorum Business Solutions\Ecopetrol Prometeo - Documents\Planning Space Implementation\3. Analysis &amp; Design\Design\FC22\DRR Jaime\Neiva CPI\[VAO_DINA TERCIARIOS_CF_SEC_20230117.xlsx]CF PSND'!</v>
      </c>
      <c r="G2869" s="7" t="s">
        <v>109</v>
      </c>
      <c r="H2869" s="4"/>
      <c r="I2869" s="4"/>
      <c r="J2869" s="4"/>
    </row>
    <row r="2870" spans="1:10" x14ac:dyDescent="0.3">
      <c r="A2870" s="7" t="s">
        <v>23</v>
      </c>
      <c r="B2870" s="7">
        <f>+B2869+1</f>
        <v>2041</v>
      </c>
      <c r="C2870" s="4" t="s">
        <v>52</v>
      </c>
      <c r="D2870" s="5" t="s">
        <v>131</v>
      </c>
      <c r="E2870" s="10" t="str">
        <f t="shared" si="648"/>
        <v>PSND'!</v>
      </c>
      <c r="F2870" s="5" t="str">
        <f t="shared" si="649"/>
        <v>C:\Users\jaime.benazar\Quorum Business Solutions\Ecopetrol Prometeo - Documents\Planning Space Implementation\3. Analysis &amp; Design\Design\FC22\DRR Jaime\Neiva CPI\[VAO_DINA TERCIARIOS_CF_SEC_20230117.xlsx]CF PSND'!</v>
      </c>
      <c r="G2870" s="7" t="s">
        <v>109</v>
      </c>
      <c r="H2870" s="4"/>
      <c r="I2870" s="4"/>
      <c r="J2870" s="4"/>
    </row>
    <row r="2871" spans="1:10" x14ac:dyDescent="0.3">
      <c r="A2871" s="7" t="s">
        <v>23</v>
      </c>
      <c r="B2871" s="7">
        <f t="shared" ref="B2871:B2872" si="652">+B2870+1</f>
        <v>2042</v>
      </c>
      <c r="C2871" s="4" t="s">
        <v>52</v>
      </c>
      <c r="D2871" s="5" t="s">
        <v>131</v>
      </c>
      <c r="E2871" s="10" t="str">
        <f t="shared" si="648"/>
        <v>PSND'!</v>
      </c>
      <c r="F2871" s="5" t="str">
        <f t="shared" si="649"/>
        <v>C:\Users\jaime.benazar\Quorum Business Solutions\Ecopetrol Prometeo - Documents\Planning Space Implementation\3. Analysis &amp; Design\Design\FC22\DRR Jaime\Neiva CPI\[VAO_DINA TERCIARIOS_CF_SEC_20230117.xlsx]CF PSND'!</v>
      </c>
      <c r="G2871" s="7" t="s">
        <v>109</v>
      </c>
      <c r="H2871" s="4"/>
      <c r="I2871" s="4"/>
      <c r="J2871" s="4"/>
    </row>
    <row r="2872" spans="1:10" x14ac:dyDescent="0.3">
      <c r="A2872" s="7" t="s">
        <v>23</v>
      </c>
      <c r="B2872" s="7">
        <f t="shared" si="652"/>
        <v>2043</v>
      </c>
      <c r="C2872" s="4" t="s">
        <v>52</v>
      </c>
      <c r="D2872" s="5" t="s">
        <v>131</v>
      </c>
      <c r="E2872" s="10" t="str">
        <f t="shared" si="648"/>
        <v>PSND'!</v>
      </c>
      <c r="F2872" s="5" t="str">
        <f t="shared" si="649"/>
        <v>C:\Users\jaime.benazar\Quorum Business Solutions\Ecopetrol Prometeo - Documents\Planning Space Implementation\3. Analysis &amp; Design\Design\FC22\DRR Jaime\Neiva CPI\[VAO_DINA TERCIARIOS_CF_SEC_20230117.xlsx]CF PSND'!</v>
      </c>
      <c r="G2872" s="7" t="s">
        <v>109</v>
      </c>
      <c r="H2872" s="4"/>
      <c r="I2872" s="4"/>
      <c r="J2872" s="4"/>
    </row>
    <row r="2873" spans="1:10" x14ac:dyDescent="0.3">
      <c r="A2873" s="7" t="s">
        <v>23</v>
      </c>
      <c r="B2873" s="7">
        <f>+B2872+1</f>
        <v>2044</v>
      </c>
      <c r="C2873" s="4" t="s">
        <v>52</v>
      </c>
      <c r="D2873" s="5" t="s">
        <v>131</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Jaime\Neiva CPI\[VAO_DINA TERCIARIOS_CF_SEC_20230117.xlsx]CF PSND'!</v>
      </c>
      <c r="G2873" s="7" t="s">
        <v>109</v>
      </c>
      <c r="H2873" s="4"/>
      <c r="I2873" s="4"/>
      <c r="J2873" s="4"/>
    </row>
    <row r="2874" spans="1:10" x14ac:dyDescent="0.3">
      <c r="A2874" s="7" t="s">
        <v>23</v>
      </c>
      <c r="B2874" s="7">
        <f t="shared" ref="B2874:B2888" si="655">+B2873+1</f>
        <v>2045</v>
      </c>
      <c r="C2874" s="4" t="s">
        <v>52</v>
      </c>
      <c r="D2874" s="5" t="s">
        <v>131</v>
      </c>
      <c r="E2874" s="10" t="str">
        <f t="shared" si="653"/>
        <v>PSND'!</v>
      </c>
      <c r="F2874" s="5" t="str">
        <f t="shared" si="654"/>
        <v>C:\Users\jaime.benazar\Quorum Business Solutions\Ecopetrol Prometeo - Documents\Planning Space Implementation\3. Analysis &amp; Design\Design\FC22\DRR Jaime\Neiva CPI\[VAO_DINA TERCIARIOS_CF_SEC_20230117.xlsx]CF PSND'!</v>
      </c>
      <c r="G2874" s="7" t="s">
        <v>109</v>
      </c>
      <c r="H2874" s="4"/>
      <c r="I2874" s="4"/>
      <c r="J2874" s="4"/>
    </row>
    <row r="2875" spans="1:10" x14ac:dyDescent="0.3">
      <c r="A2875" s="7" t="s">
        <v>23</v>
      </c>
      <c r="B2875" s="7">
        <f t="shared" si="655"/>
        <v>2046</v>
      </c>
      <c r="C2875" s="4" t="s">
        <v>52</v>
      </c>
      <c r="D2875" s="5" t="s">
        <v>131</v>
      </c>
      <c r="E2875" s="10" t="str">
        <f t="shared" si="653"/>
        <v>PSND'!</v>
      </c>
      <c r="F2875" s="5" t="str">
        <f t="shared" si="654"/>
        <v>C:\Users\jaime.benazar\Quorum Business Solutions\Ecopetrol Prometeo - Documents\Planning Space Implementation\3. Analysis &amp; Design\Design\FC22\DRR Jaime\Neiva CPI\[VAO_DINA TERCIARIOS_CF_SEC_20230117.xlsx]CF PSND'!</v>
      </c>
      <c r="G2875" s="7" t="s">
        <v>109</v>
      </c>
      <c r="H2875" s="4"/>
      <c r="I2875" s="4"/>
      <c r="J2875" s="4"/>
    </row>
    <row r="2876" spans="1:10" x14ac:dyDescent="0.3">
      <c r="A2876" s="7" t="s">
        <v>23</v>
      </c>
      <c r="B2876" s="7">
        <f t="shared" si="655"/>
        <v>2047</v>
      </c>
      <c r="C2876" s="4" t="s">
        <v>52</v>
      </c>
      <c r="D2876" s="5" t="s">
        <v>131</v>
      </c>
      <c r="E2876" s="10" t="str">
        <f t="shared" si="653"/>
        <v>PSND'!</v>
      </c>
      <c r="F2876" s="5" t="str">
        <f t="shared" si="654"/>
        <v>C:\Users\jaime.benazar\Quorum Business Solutions\Ecopetrol Prometeo - Documents\Planning Space Implementation\3. Analysis &amp; Design\Design\FC22\DRR Jaime\Neiva CPI\[VAO_DINA TERCIARIOS_CF_SEC_20230117.xlsx]CF PSND'!</v>
      </c>
      <c r="G2876" s="7" t="s">
        <v>109</v>
      </c>
      <c r="H2876" s="4"/>
      <c r="I2876" s="4"/>
      <c r="J2876" s="4"/>
    </row>
    <row r="2877" spans="1:10" x14ac:dyDescent="0.3">
      <c r="A2877" s="7" t="s">
        <v>23</v>
      </c>
      <c r="B2877" s="7">
        <f t="shared" si="655"/>
        <v>2048</v>
      </c>
      <c r="C2877" s="4" t="s">
        <v>52</v>
      </c>
      <c r="D2877" s="5" t="s">
        <v>131</v>
      </c>
      <c r="E2877" s="10" t="str">
        <f t="shared" si="653"/>
        <v>PSND'!</v>
      </c>
      <c r="F2877" s="5" t="str">
        <f t="shared" si="654"/>
        <v>C:\Users\jaime.benazar\Quorum Business Solutions\Ecopetrol Prometeo - Documents\Planning Space Implementation\3. Analysis &amp; Design\Design\FC22\DRR Jaime\Neiva CPI\[VAO_DINA TERCIARIOS_CF_SEC_20230117.xlsx]CF PSND'!</v>
      </c>
      <c r="G2877" s="7" t="s">
        <v>109</v>
      </c>
      <c r="H2877" s="4"/>
      <c r="I2877" s="4"/>
      <c r="J2877" s="4"/>
    </row>
    <row r="2878" spans="1:10" x14ac:dyDescent="0.3">
      <c r="A2878" s="7" t="s">
        <v>23</v>
      </c>
      <c r="B2878" s="7">
        <f t="shared" si="655"/>
        <v>2049</v>
      </c>
      <c r="C2878" s="4" t="s">
        <v>52</v>
      </c>
      <c r="D2878" s="5" t="s">
        <v>131</v>
      </c>
      <c r="E2878" s="10" t="str">
        <f t="shared" si="653"/>
        <v>PSND'!</v>
      </c>
      <c r="F2878" s="5" t="str">
        <f t="shared" si="654"/>
        <v>C:\Users\jaime.benazar\Quorum Business Solutions\Ecopetrol Prometeo - Documents\Planning Space Implementation\3. Analysis &amp; Design\Design\FC22\DRR Jaime\Neiva CPI\[VAO_DINA TERCIARIOS_CF_SEC_20230117.xlsx]CF PSND'!</v>
      </c>
      <c r="G2878" s="7" t="s">
        <v>109</v>
      </c>
      <c r="H2878" s="4"/>
      <c r="I2878" s="4"/>
      <c r="J2878" s="4"/>
    </row>
    <row r="2879" spans="1:10" x14ac:dyDescent="0.3">
      <c r="A2879" s="7" t="s">
        <v>23</v>
      </c>
      <c r="B2879" s="7">
        <f t="shared" si="655"/>
        <v>2050</v>
      </c>
      <c r="C2879" s="4" t="s">
        <v>52</v>
      </c>
      <c r="D2879" s="5" t="s">
        <v>131</v>
      </c>
      <c r="E2879" s="10" t="str">
        <f t="shared" si="653"/>
        <v>PSND'!</v>
      </c>
      <c r="F2879" s="5" t="str">
        <f t="shared" si="654"/>
        <v>C:\Users\jaime.benazar\Quorum Business Solutions\Ecopetrol Prometeo - Documents\Planning Space Implementation\3. Analysis &amp; Design\Design\FC22\DRR Jaime\Neiva CPI\[VAO_DINA TERCIARIOS_CF_SEC_20230117.xlsx]CF PSND'!</v>
      </c>
      <c r="G2879" s="7" t="s">
        <v>109</v>
      </c>
      <c r="H2879" s="4"/>
      <c r="I2879" s="4"/>
      <c r="J2879" s="4"/>
    </row>
    <row r="2880" spans="1:10" x14ac:dyDescent="0.3">
      <c r="A2880" s="7" t="s">
        <v>23</v>
      </c>
      <c r="B2880" s="7">
        <f t="shared" si="655"/>
        <v>2051</v>
      </c>
      <c r="C2880" s="4" t="s">
        <v>52</v>
      </c>
      <c r="D2880" s="5" t="s">
        <v>131</v>
      </c>
      <c r="E2880" s="10" t="str">
        <f t="shared" si="653"/>
        <v>PSND'!</v>
      </c>
      <c r="F2880" s="5" t="str">
        <f t="shared" si="654"/>
        <v>C:\Users\jaime.benazar\Quorum Business Solutions\Ecopetrol Prometeo - Documents\Planning Space Implementation\3. Analysis &amp; Design\Design\FC22\DRR Jaime\Neiva CPI\[VAO_DINA TERCIARIOS_CF_SEC_20230117.xlsx]CF PSND'!</v>
      </c>
      <c r="G2880" s="7" t="s">
        <v>109</v>
      </c>
      <c r="H2880" s="4"/>
      <c r="I2880" s="4"/>
      <c r="J2880" s="4"/>
    </row>
    <row r="2881" spans="1:10" x14ac:dyDescent="0.3">
      <c r="A2881" s="7" t="s">
        <v>23</v>
      </c>
      <c r="B2881" s="7">
        <f t="shared" si="655"/>
        <v>2052</v>
      </c>
      <c r="C2881" s="4" t="s">
        <v>52</v>
      </c>
      <c r="D2881" s="5" t="s">
        <v>131</v>
      </c>
      <c r="E2881" s="10" t="str">
        <f t="shared" si="653"/>
        <v>PSND'!</v>
      </c>
      <c r="F2881" s="5" t="str">
        <f t="shared" si="654"/>
        <v>C:\Users\jaime.benazar\Quorum Business Solutions\Ecopetrol Prometeo - Documents\Planning Space Implementation\3. Analysis &amp; Design\Design\FC22\DRR Jaime\Neiva CPI\[VAO_DINA TERCIARIOS_CF_SEC_20230117.xlsx]CF PSND'!</v>
      </c>
      <c r="G2881" s="7" t="s">
        <v>109</v>
      </c>
      <c r="H2881" s="4"/>
      <c r="I2881" s="4"/>
      <c r="J2881" s="4"/>
    </row>
    <row r="2882" spans="1:10" x14ac:dyDescent="0.3">
      <c r="A2882" s="7" t="s">
        <v>23</v>
      </c>
      <c r="B2882" s="7">
        <f t="shared" si="655"/>
        <v>2053</v>
      </c>
      <c r="C2882" s="4" t="s">
        <v>52</v>
      </c>
      <c r="D2882" s="5" t="s">
        <v>131</v>
      </c>
      <c r="E2882" s="10" t="str">
        <f t="shared" si="653"/>
        <v>PSND'!</v>
      </c>
      <c r="F2882" s="5" t="str">
        <f t="shared" si="654"/>
        <v>C:\Users\jaime.benazar\Quorum Business Solutions\Ecopetrol Prometeo - Documents\Planning Space Implementation\3. Analysis &amp; Design\Design\FC22\DRR Jaime\Neiva CPI\[VAO_DINA TERCIARIOS_CF_SEC_20230117.xlsx]CF PSND'!</v>
      </c>
      <c r="G2882" s="7" t="s">
        <v>109</v>
      </c>
      <c r="H2882" s="4"/>
      <c r="I2882" s="4"/>
      <c r="J2882" s="4"/>
    </row>
    <row r="2883" spans="1:10" x14ac:dyDescent="0.3">
      <c r="A2883" s="7" t="s">
        <v>23</v>
      </c>
      <c r="B2883" s="7">
        <f t="shared" si="655"/>
        <v>2054</v>
      </c>
      <c r="C2883" s="4" t="s">
        <v>52</v>
      </c>
      <c r="D2883" s="5" t="s">
        <v>131</v>
      </c>
      <c r="E2883" s="10" t="str">
        <f t="shared" si="653"/>
        <v>PSND'!</v>
      </c>
      <c r="F2883" s="5" t="str">
        <f t="shared" si="654"/>
        <v>C:\Users\jaime.benazar\Quorum Business Solutions\Ecopetrol Prometeo - Documents\Planning Space Implementation\3. Analysis &amp; Design\Design\FC22\DRR Jaime\Neiva CPI\[VAO_DINA TERCIARIOS_CF_SEC_20230117.xlsx]CF PSND'!</v>
      </c>
      <c r="G2883" s="7" t="s">
        <v>109</v>
      </c>
      <c r="H2883" s="4"/>
      <c r="I2883" s="4"/>
      <c r="J2883" s="4"/>
    </row>
    <row r="2884" spans="1:10" x14ac:dyDescent="0.3">
      <c r="A2884" s="7" t="s">
        <v>23</v>
      </c>
      <c r="B2884" s="7">
        <f t="shared" si="655"/>
        <v>2055</v>
      </c>
      <c r="C2884" s="4" t="s">
        <v>52</v>
      </c>
      <c r="D2884" s="5" t="s">
        <v>131</v>
      </c>
      <c r="E2884" s="10" t="str">
        <f t="shared" si="653"/>
        <v>PSND'!</v>
      </c>
      <c r="F2884" s="5" t="str">
        <f t="shared" si="654"/>
        <v>C:\Users\jaime.benazar\Quorum Business Solutions\Ecopetrol Prometeo - Documents\Planning Space Implementation\3. Analysis &amp; Design\Design\FC22\DRR Jaime\Neiva CPI\[VAO_DINA TERCIARIOS_CF_SEC_20230117.xlsx]CF PSND'!</v>
      </c>
      <c r="G2884" s="7" t="s">
        <v>109</v>
      </c>
      <c r="H2884" s="4"/>
      <c r="I2884" s="4"/>
      <c r="J2884" s="4"/>
    </row>
    <row r="2885" spans="1:10" x14ac:dyDescent="0.3">
      <c r="A2885" s="7" t="s">
        <v>23</v>
      </c>
      <c r="B2885" s="7">
        <f t="shared" si="655"/>
        <v>2056</v>
      </c>
      <c r="C2885" s="4" t="s">
        <v>52</v>
      </c>
      <c r="D2885" s="5" t="s">
        <v>131</v>
      </c>
      <c r="E2885" s="10" t="str">
        <f t="shared" si="653"/>
        <v>PSND'!</v>
      </c>
      <c r="F2885" s="5" t="str">
        <f t="shared" si="654"/>
        <v>C:\Users\jaime.benazar\Quorum Business Solutions\Ecopetrol Prometeo - Documents\Planning Space Implementation\3. Analysis &amp; Design\Design\FC22\DRR Jaime\Neiva CPI\[VAO_DINA TERCIARIOS_CF_SEC_20230117.xlsx]CF PSND'!</v>
      </c>
      <c r="G2885" s="7" t="s">
        <v>109</v>
      </c>
      <c r="H2885" s="4"/>
      <c r="I2885" s="4"/>
      <c r="J2885" s="4"/>
    </row>
    <row r="2886" spans="1:10" x14ac:dyDescent="0.3">
      <c r="A2886" s="7" t="s">
        <v>23</v>
      </c>
      <c r="B2886" s="7">
        <f t="shared" si="655"/>
        <v>2057</v>
      </c>
      <c r="C2886" s="4" t="s">
        <v>52</v>
      </c>
      <c r="D2886" s="5" t="s">
        <v>131</v>
      </c>
      <c r="E2886" s="10" t="str">
        <f t="shared" si="653"/>
        <v>PSND'!</v>
      </c>
      <c r="F2886" s="5" t="str">
        <f t="shared" si="654"/>
        <v>C:\Users\jaime.benazar\Quorum Business Solutions\Ecopetrol Prometeo - Documents\Planning Space Implementation\3. Analysis &amp; Design\Design\FC22\DRR Jaime\Neiva CPI\[VAO_DINA TERCIARIOS_CF_SEC_20230117.xlsx]CF PSND'!</v>
      </c>
      <c r="G2886" s="7" t="s">
        <v>109</v>
      </c>
      <c r="H2886" s="4"/>
      <c r="I2886" s="4"/>
      <c r="J2886" s="4"/>
    </row>
    <row r="2887" spans="1:10" x14ac:dyDescent="0.3">
      <c r="A2887" s="7" t="s">
        <v>23</v>
      </c>
      <c r="B2887" s="7">
        <f t="shared" si="655"/>
        <v>2058</v>
      </c>
      <c r="C2887" s="4" t="s">
        <v>52</v>
      </c>
      <c r="D2887" s="5" t="s">
        <v>131</v>
      </c>
      <c r="E2887" s="10" t="str">
        <f t="shared" si="653"/>
        <v>PSND'!</v>
      </c>
      <c r="F2887" s="5" t="str">
        <f t="shared" si="654"/>
        <v>C:\Users\jaime.benazar\Quorum Business Solutions\Ecopetrol Prometeo - Documents\Planning Space Implementation\3. Analysis &amp; Design\Design\FC22\DRR Jaime\Neiva CPI\[VAO_DINA TERCIARIOS_CF_SEC_20230117.xlsx]CF PSND'!</v>
      </c>
      <c r="G2887" s="7" t="s">
        <v>109</v>
      </c>
      <c r="H2887" s="4"/>
      <c r="I2887" s="4"/>
      <c r="J2887" s="4"/>
    </row>
    <row r="2888" spans="1:10" x14ac:dyDescent="0.3">
      <c r="A2888" s="7" t="s">
        <v>23</v>
      </c>
      <c r="B2888" s="7">
        <f t="shared" si="655"/>
        <v>2059</v>
      </c>
      <c r="C2888" s="4" t="s">
        <v>52</v>
      </c>
      <c r="D2888" s="5" t="s">
        <v>131</v>
      </c>
      <c r="E2888" s="10" t="str">
        <f t="shared" si="653"/>
        <v>PSND'!</v>
      </c>
      <c r="F2888" s="5" t="str">
        <f t="shared" si="654"/>
        <v>C:\Users\jaime.benazar\Quorum Business Solutions\Ecopetrol Prometeo - Documents\Planning Space Implementation\3. Analysis &amp; Design\Design\FC22\DRR Jaime\Neiva CPI\[VAO_DINA TERCIARIOS_CF_SEC_20230117.xlsx]CF PSND'!</v>
      </c>
      <c r="G2888" s="7" t="s">
        <v>109</v>
      </c>
      <c r="H2888" s="4"/>
      <c r="I2888" s="4"/>
      <c r="J2888" s="4"/>
    </row>
    <row r="2889" spans="1:10" x14ac:dyDescent="0.3">
      <c r="A2889" s="7" t="s">
        <v>26</v>
      </c>
      <c r="B2889" s="7"/>
      <c r="C2889" s="4" t="s">
        <v>52</v>
      </c>
      <c r="D2889" s="5"/>
      <c r="E2889" s="10"/>
      <c r="F2889" s="5"/>
      <c r="G2889" s="7"/>
      <c r="H2889" s="4"/>
      <c r="I2889" s="4"/>
      <c r="J2889" s="4"/>
    </row>
    <row r="2890" spans="1:10" x14ac:dyDescent="0.3">
      <c r="A2890" s="7" t="s">
        <v>24</v>
      </c>
      <c r="B2890" s="7">
        <v>2023</v>
      </c>
      <c r="C2890" s="4" t="s">
        <v>52</v>
      </c>
      <c r="D2890" s="5" t="s">
        <v>131</v>
      </c>
      <c r="E2890" s="10" t="str">
        <f t="shared" si="592"/>
        <v>PS'!</v>
      </c>
      <c r="F2890" s="5" t="str">
        <f t="shared" ref="F2890:F2910" si="656">_xlfn.CONCAT(D2890," ",E2890)</f>
        <v>C:\Users\jaime.benazar\Quorum Business Solutions\Ecopetrol Prometeo - Documents\Planning Space Implementation\3. Analysis &amp; Design\Design\FC22\DRR Jaime\Neiva CPI\[VAO_DINA TERCIARIOS_CF_SEC_20230117.xlsx]CF PS'!</v>
      </c>
      <c r="G2890" s="7" t="s">
        <v>109</v>
      </c>
      <c r="H2890" s="4">
        <f>IF(A2890&lt;&gt;A2760,36,H2760+1)</f>
        <v>36</v>
      </c>
      <c r="I2890" s="4" t="str">
        <f t="shared" si="593"/>
        <v>='C:\Users\jaime.benazar\Quorum Business Solutions\Ecopetrol Prometeo - Documents\Planning Space Implementation\3. Analysis &amp; Design\Design\FC22\DRR Jaime\Neiva CPI\[VAO_DINA TERCIARIOS_CF_SEC_20230117.xlsx]CF PS'!$DN$36</v>
      </c>
      <c r="J2890" s="4" t="s">
        <v>1390</v>
      </c>
    </row>
    <row r="2891" spans="1:10" x14ac:dyDescent="0.3">
      <c r="A2891" s="7" t="s">
        <v>24</v>
      </c>
      <c r="B2891" s="7">
        <f>+B2890+1</f>
        <v>2024</v>
      </c>
      <c r="C2891" s="4" t="s">
        <v>52</v>
      </c>
      <c r="D2891" s="5" t="s">
        <v>131</v>
      </c>
      <c r="E2891" s="10" t="str">
        <f t="shared" si="592"/>
        <v>PS'!</v>
      </c>
      <c r="F2891" s="5" t="str">
        <f t="shared" si="656"/>
        <v>C:\Users\jaime.benazar\Quorum Business Solutions\Ecopetrol Prometeo - Documents\Planning Space Implementation\3. Analysis &amp; Design\Design\FC22\DRR Jaime\Neiva CPI\[VAO_DINA TERCIARIOS_CF_SEC_20230117.xlsx]CF PS'!</v>
      </c>
      <c r="G2891" s="7" t="s">
        <v>109</v>
      </c>
      <c r="H2891" s="4">
        <f t="shared" si="594"/>
        <v>37</v>
      </c>
      <c r="I2891" s="4" t="str">
        <f t="shared" si="593"/>
        <v>='C:\Users\jaime.benazar\Quorum Business Solutions\Ecopetrol Prometeo - Documents\Planning Space Implementation\3. Analysis &amp; Design\Design\FC22\DRR Jaime\Neiva CPI\[VAO_DINA TERCIARIOS_CF_SEC_20230117.xlsx]CF PS'!$DN$37</v>
      </c>
      <c r="J2891" s="4" t="s">
        <v>1391</v>
      </c>
    </row>
    <row r="2892" spans="1:10" x14ac:dyDescent="0.3">
      <c r="A2892" s="7" t="s">
        <v>24</v>
      </c>
      <c r="B2892" s="7">
        <f t="shared" ref="B2892:B2903" si="657">+B2891+1</f>
        <v>2025</v>
      </c>
      <c r="C2892" s="4" t="s">
        <v>52</v>
      </c>
      <c r="D2892" s="5" t="s">
        <v>131</v>
      </c>
      <c r="E2892" s="10" t="str">
        <f t="shared" si="592"/>
        <v>PS'!</v>
      </c>
      <c r="F2892" s="5" t="str">
        <f t="shared" si="656"/>
        <v>C:\Users\jaime.benazar\Quorum Business Solutions\Ecopetrol Prometeo - Documents\Planning Space Implementation\3. Analysis &amp; Design\Design\FC22\DRR Jaime\Neiva CPI\[VAO_DINA TERCIARIOS_CF_SEC_20230117.xlsx]CF PS'!</v>
      </c>
      <c r="G2892" s="7" t="s">
        <v>109</v>
      </c>
      <c r="H2892" s="4">
        <f t="shared" si="594"/>
        <v>38</v>
      </c>
      <c r="I2892" s="4" t="str">
        <f t="shared" si="593"/>
        <v>='C:\Users\jaime.benazar\Quorum Business Solutions\Ecopetrol Prometeo - Documents\Planning Space Implementation\3. Analysis &amp; Design\Design\FC22\DRR Jaime\Neiva CPI\[VAO_DINA TERCIARIOS_CF_SEC_20230117.xlsx]CF PS'!$DN$38</v>
      </c>
      <c r="J2892" s="4" t="s">
        <v>1392</v>
      </c>
    </row>
    <row r="2893" spans="1:10" x14ac:dyDescent="0.3">
      <c r="A2893" s="7" t="s">
        <v>24</v>
      </c>
      <c r="B2893" s="7">
        <f t="shared" si="657"/>
        <v>2026</v>
      </c>
      <c r="C2893" s="4" t="s">
        <v>52</v>
      </c>
      <c r="D2893" s="5" t="s">
        <v>131</v>
      </c>
      <c r="E2893" s="10" t="str">
        <f t="shared" si="592"/>
        <v>PS'!</v>
      </c>
      <c r="F2893" s="5" t="str">
        <f t="shared" si="656"/>
        <v>C:\Users\jaime.benazar\Quorum Business Solutions\Ecopetrol Prometeo - Documents\Planning Space Implementation\3. Analysis &amp; Design\Design\FC22\DRR Jaime\Neiva CPI\[VAO_DINA TERCIARIOS_CF_SEC_20230117.xlsx]CF PS'!</v>
      </c>
      <c r="G2893" s="7" t="s">
        <v>109</v>
      </c>
      <c r="H2893" s="4">
        <f t="shared" si="594"/>
        <v>39</v>
      </c>
      <c r="I2893" s="4" t="str">
        <f t="shared" si="593"/>
        <v>='C:\Users\jaime.benazar\Quorum Business Solutions\Ecopetrol Prometeo - Documents\Planning Space Implementation\3. Analysis &amp; Design\Design\FC22\DRR Jaime\Neiva CPI\[VAO_DINA TERCIARIOS_CF_SEC_20230117.xlsx]CF PS'!$DN$39</v>
      </c>
      <c r="J2893" s="4" t="s">
        <v>1393</v>
      </c>
    </row>
    <row r="2894" spans="1:10" x14ac:dyDescent="0.3">
      <c r="A2894" s="7" t="s">
        <v>24</v>
      </c>
      <c r="B2894" s="7">
        <f t="shared" si="657"/>
        <v>2027</v>
      </c>
      <c r="C2894" s="4" t="s">
        <v>52</v>
      </c>
      <c r="D2894" s="5" t="s">
        <v>131</v>
      </c>
      <c r="E2894" s="10" t="str">
        <f t="shared" si="592"/>
        <v>PS'!</v>
      </c>
      <c r="F2894" s="5" t="str">
        <f t="shared" si="656"/>
        <v>C:\Users\jaime.benazar\Quorum Business Solutions\Ecopetrol Prometeo - Documents\Planning Space Implementation\3. Analysis &amp; Design\Design\FC22\DRR Jaime\Neiva CPI\[VAO_DINA TERCIARIOS_CF_SEC_20230117.xlsx]CF PS'!</v>
      </c>
      <c r="G2894" s="7" t="s">
        <v>109</v>
      </c>
      <c r="H2894" s="4">
        <f t="shared" si="594"/>
        <v>40</v>
      </c>
      <c r="I2894" s="4" t="str">
        <f t="shared" si="593"/>
        <v>='C:\Users\jaime.benazar\Quorum Business Solutions\Ecopetrol Prometeo - Documents\Planning Space Implementation\3. Analysis &amp; Design\Design\FC22\DRR Jaime\Neiva CPI\[VAO_DINA TERCIARIOS_CF_SEC_20230117.xlsx]CF PS'!$DN$40</v>
      </c>
      <c r="J2894" s="4" t="s">
        <v>1394</v>
      </c>
    </row>
    <row r="2895" spans="1:10" x14ac:dyDescent="0.3">
      <c r="A2895" s="7" t="s">
        <v>24</v>
      </c>
      <c r="B2895" s="7">
        <f t="shared" si="657"/>
        <v>2028</v>
      </c>
      <c r="C2895" s="4" t="s">
        <v>52</v>
      </c>
      <c r="D2895" s="5" t="s">
        <v>131</v>
      </c>
      <c r="E2895" s="10" t="str">
        <f t="shared" si="592"/>
        <v>PS'!</v>
      </c>
      <c r="F2895" s="5" t="str">
        <f t="shared" si="656"/>
        <v>C:\Users\jaime.benazar\Quorum Business Solutions\Ecopetrol Prometeo - Documents\Planning Space Implementation\3. Analysis &amp; Design\Design\FC22\DRR Jaime\Neiva CPI\[VAO_DINA TERCIARIOS_CF_SEC_20230117.xlsx]CF PS'!</v>
      </c>
      <c r="G2895" s="7" t="s">
        <v>109</v>
      </c>
      <c r="H2895" s="4">
        <f t="shared" si="594"/>
        <v>41</v>
      </c>
      <c r="I2895" s="4" t="str">
        <f t="shared" si="593"/>
        <v>='C:\Users\jaime.benazar\Quorum Business Solutions\Ecopetrol Prometeo - Documents\Planning Space Implementation\3. Analysis &amp; Design\Design\FC22\DRR Jaime\Neiva CPI\[VAO_DINA TERCIARIOS_CF_SEC_20230117.xlsx]CF PS'!$DN$41</v>
      </c>
      <c r="J2895" s="4" t="s">
        <v>1395</v>
      </c>
    </row>
    <row r="2896" spans="1:10" x14ac:dyDescent="0.3">
      <c r="A2896" s="7" t="s">
        <v>24</v>
      </c>
      <c r="B2896" s="7">
        <f t="shared" si="657"/>
        <v>2029</v>
      </c>
      <c r="C2896" s="4" t="s">
        <v>52</v>
      </c>
      <c r="D2896" s="5" t="s">
        <v>131</v>
      </c>
      <c r="E2896" s="10" t="str">
        <f t="shared" si="592"/>
        <v>PS'!</v>
      </c>
      <c r="F2896" s="5" t="str">
        <f t="shared" si="656"/>
        <v>C:\Users\jaime.benazar\Quorum Business Solutions\Ecopetrol Prometeo - Documents\Planning Space Implementation\3. Analysis &amp; Design\Design\FC22\DRR Jaime\Neiva CPI\[VAO_DINA TERCIARIOS_CF_SEC_20230117.xlsx]CF PS'!</v>
      </c>
      <c r="G2896" s="7" t="s">
        <v>109</v>
      </c>
      <c r="H2896" s="4">
        <f t="shared" si="594"/>
        <v>42</v>
      </c>
      <c r="I2896" s="4" t="str">
        <f t="shared" si="593"/>
        <v>='C:\Users\jaime.benazar\Quorum Business Solutions\Ecopetrol Prometeo - Documents\Planning Space Implementation\3. Analysis &amp; Design\Design\FC22\DRR Jaime\Neiva CPI\[VAO_DINA TERCIARIOS_CF_SEC_20230117.xlsx]CF PS'!$DN$42</v>
      </c>
      <c r="J2896" s="4" t="s">
        <v>1396</v>
      </c>
    </row>
    <row r="2897" spans="1:10" x14ac:dyDescent="0.3">
      <c r="A2897" s="7" t="s">
        <v>24</v>
      </c>
      <c r="B2897" s="7">
        <f t="shared" si="657"/>
        <v>2030</v>
      </c>
      <c r="C2897" s="4" t="s">
        <v>52</v>
      </c>
      <c r="D2897" s="5" t="s">
        <v>131</v>
      </c>
      <c r="E2897" s="10" t="str">
        <f t="shared" si="592"/>
        <v>PS'!</v>
      </c>
      <c r="F2897" s="5" t="str">
        <f t="shared" si="656"/>
        <v>C:\Users\jaime.benazar\Quorum Business Solutions\Ecopetrol Prometeo - Documents\Planning Space Implementation\3. Analysis &amp; Design\Design\FC22\DRR Jaime\Neiva CPI\[VAO_DINA TERCIARIOS_CF_SEC_20230117.xlsx]CF PS'!</v>
      </c>
      <c r="G2897" s="7" t="s">
        <v>109</v>
      </c>
      <c r="H2897" s="4">
        <f t="shared" si="594"/>
        <v>43</v>
      </c>
      <c r="I2897" s="4" t="str">
        <f t="shared" si="593"/>
        <v>='C:\Users\jaime.benazar\Quorum Business Solutions\Ecopetrol Prometeo - Documents\Planning Space Implementation\3. Analysis &amp; Design\Design\FC22\DRR Jaime\Neiva CPI\[VAO_DINA TERCIARIOS_CF_SEC_20230117.xlsx]CF PS'!$DN$43</v>
      </c>
      <c r="J2897" s="4" t="s">
        <v>1397</v>
      </c>
    </row>
    <row r="2898" spans="1:10" x14ac:dyDescent="0.3">
      <c r="A2898" s="7" t="s">
        <v>24</v>
      </c>
      <c r="B2898" s="7">
        <f t="shared" si="657"/>
        <v>2031</v>
      </c>
      <c r="C2898" s="4" t="s">
        <v>52</v>
      </c>
      <c r="D2898" s="5" t="s">
        <v>131</v>
      </c>
      <c r="E2898" s="10" t="str">
        <f t="shared" si="592"/>
        <v>PS'!</v>
      </c>
      <c r="F2898" s="5" t="str">
        <f t="shared" si="656"/>
        <v>C:\Users\jaime.benazar\Quorum Business Solutions\Ecopetrol Prometeo - Documents\Planning Space Implementation\3. Analysis &amp; Design\Design\FC22\DRR Jaime\Neiva CPI\[VAO_DINA TERCIARIOS_CF_SEC_20230117.xlsx]CF PS'!</v>
      </c>
      <c r="G2898" s="7" t="s">
        <v>109</v>
      </c>
      <c r="H2898" s="4">
        <f t="shared" si="594"/>
        <v>44</v>
      </c>
      <c r="I2898" s="4" t="str">
        <f t="shared" si="593"/>
        <v>='C:\Users\jaime.benazar\Quorum Business Solutions\Ecopetrol Prometeo - Documents\Planning Space Implementation\3. Analysis &amp; Design\Design\FC22\DRR Jaime\Neiva CPI\[VAO_DINA TERCIARIOS_CF_SEC_20230117.xlsx]CF PS'!$DN$44</v>
      </c>
      <c r="J2898" s="4" t="s">
        <v>1398</v>
      </c>
    </row>
    <row r="2899" spans="1:10" x14ac:dyDescent="0.3">
      <c r="A2899" s="7" t="s">
        <v>24</v>
      </c>
      <c r="B2899" s="7">
        <f t="shared" si="657"/>
        <v>2032</v>
      </c>
      <c r="C2899" s="4" t="s">
        <v>52</v>
      </c>
      <c r="D2899" s="5" t="s">
        <v>131</v>
      </c>
      <c r="E2899" s="10" t="str">
        <f t="shared" si="592"/>
        <v>PS'!</v>
      </c>
      <c r="F2899" s="5" t="str">
        <f t="shared" si="656"/>
        <v>C:\Users\jaime.benazar\Quorum Business Solutions\Ecopetrol Prometeo - Documents\Planning Space Implementation\3. Analysis &amp; Design\Design\FC22\DRR Jaime\Neiva CPI\[VAO_DINA TERCIARIOS_CF_SEC_20230117.xlsx]CF PS'!</v>
      </c>
      <c r="G2899" s="7" t="s">
        <v>109</v>
      </c>
      <c r="H2899" s="4">
        <f t="shared" si="594"/>
        <v>45</v>
      </c>
      <c r="I2899" s="4" t="str">
        <f t="shared" si="593"/>
        <v>='C:\Users\jaime.benazar\Quorum Business Solutions\Ecopetrol Prometeo - Documents\Planning Space Implementation\3. Analysis &amp; Design\Design\FC22\DRR Jaime\Neiva CPI\[VAO_DINA TERCIARIOS_CF_SEC_20230117.xlsx]CF PS'!$DN$45</v>
      </c>
      <c r="J2899" s="4" t="s">
        <v>1399</v>
      </c>
    </row>
    <row r="2900" spans="1:10" x14ac:dyDescent="0.3">
      <c r="A2900" s="7" t="s">
        <v>24</v>
      </c>
      <c r="B2900" s="7">
        <f t="shared" si="657"/>
        <v>2033</v>
      </c>
      <c r="C2900" s="4" t="s">
        <v>52</v>
      </c>
      <c r="D2900" s="5" t="s">
        <v>131</v>
      </c>
      <c r="E2900" s="10" t="str">
        <f t="shared" si="592"/>
        <v>PS'!</v>
      </c>
      <c r="F2900" s="5" t="str">
        <f t="shared" si="656"/>
        <v>C:\Users\jaime.benazar\Quorum Business Solutions\Ecopetrol Prometeo - Documents\Planning Space Implementation\3. Analysis &amp; Design\Design\FC22\DRR Jaime\Neiva CPI\[VAO_DINA TERCIARIOS_CF_SEC_20230117.xlsx]CF PS'!</v>
      </c>
      <c r="G2900" s="7" t="s">
        <v>109</v>
      </c>
      <c r="H2900" s="4">
        <f t="shared" si="594"/>
        <v>46</v>
      </c>
      <c r="I2900" s="4" t="str">
        <f t="shared" si="593"/>
        <v>='C:\Users\jaime.benazar\Quorum Business Solutions\Ecopetrol Prometeo - Documents\Planning Space Implementation\3. Analysis &amp; Design\Design\FC22\DRR Jaime\Neiva CPI\[VAO_DINA TERCIARIOS_CF_SEC_20230117.xlsx]CF PS'!$DN$46</v>
      </c>
      <c r="J2900" s="4" t="s">
        <v>1400</v>
      </c>
    </row>
    <row r="2901" spans="1:10" x14ac:dyDescent="0.3">
      <c r="A2901" s="7" t="s">
        <v>24</v>
      </c>
      <c r="B2901" s="7">
        <f t="shared" si="657"/>
        <v>2034</v>
      </c>
      <c r="C2901" s="4" t="s">
        <v>52</v>
      </c>
      <c r="D2901" s="5" t="s">
        <v>131</v>
      </c>
      <c r="E2901" s="10" t="str">
        <f t="shared" si="592"/>
        <v>PS'!</v>
      </c>
      <c r="F2901" s="5" t="str">
        <f t="shared" si="656"/>
        <v>C:\Users\jaime.benazar\Quorum Business Solutions\Ecopetrol Prometeo - Documents\Planning Space Implementation\3. Analysis &amp; Design\Design\FC22\DRR Jaime\Neiva CPI\[VAO_DINA TERCIARIOS_CF_SEC_20230117.xlsx]CF PS'!</v>
      </c>
      <c r="G2901" s="7" t="s">
        <v>109</v>
      </c>
      <c r="H2901" s="4">
        <f t="shared" si="594"/>
        <v>47</v>
      </c>
      <c r="I2901" s="4" t="str">
        <f t="shared" si="593"/>
        <v>='C:\Users\jaime.benazar\Quorum Business Solutions\Ecopetrol Prometeo - Documents\Planning Space Implementation\3. Analysis &amp; Design\Design\FC22\DRR Jaime\Neiva CPI\[VAO_DINA TERCIARIOS_CF_SEC_20230117.xlsx]CF PS'!$DN$47</v>
      </c>
      <c r="J2901" s="4" t="s">
        <v>1401</v>
      </c>
    </row>
    <row r="2902" spans="1:10" x14ac:dyDescent="0.3">
      <c r="A2902" s="7" t="s">
        <v>24</v>
      </c>
      <c r="B2902" s="7">
        <f t="shared" si="657"/>
        <v>2035</v>
      </c>
      <c r="C2902" s="4" t="s">
        <v>52</v>
      </c>
      <c r="D2902" s="5" t="s">
        <v>131</v>
      </c>
      <c r="E2902" s="10" t="str">
        <f t="shared" si="592"/>
        <v>PS'!</v>
      </c>
      <c r="F2902" s="5" t="str">
        <f t="shared" si="656"/>
        <v>C:\Users\jaime.benazar\Quorum Business Solutions\Ecopetrol Prometeo - Documents\Planning Space Implementation\3. Analysis &amp; Design\Design\FC22\DRR Jaime\Neiva CPI\[VAO_DINA TERCIARIOS_CF_SEC_20230117.xlsx]CF PS'!</v>
      </c>
      <c r="G2902" s="7" t="s">
        <v>109</v>
      </c>
      <c r="H2902" s="4">
        <f t="shared" si="594"/>
        <v>48</v>
      </c>
      <c r="I2902" s="4" t="str">
        <f t="shared" si="593"/>
        <v>='C:\Users\jaime.benazar\Quorum Business Solutions\Ecopetrol Prometeo - Documents\Planning Space Implementation\3. Analysis &amp; Design\Design\FC22\DRR Jaime\Neiva CPI\[VAO_DINA TERCIARIOS_CF_SEC_20230117.xlsx]CF PS'!$DN$48</v>
      </c>
      <c r="J2902" s="4" t="s">
        <v>1402</v>
      </c>
    </row>
    <row r="2903" spans="1:10" x14ac:dyDescent="0.3">
      <c r="A2903" s="7" t="s">
        <v>24</v>
      </c>
      <c r="B2903" s="7">
        <f t="shared" si="657"/>
        <v>2036</v>
      </c>
      <c r="C2903" s="4" t="s">
        <v>52</v>
      </c>
      <c r="D2903" s="5" t="s">
        <v>131</v>
      </c>
      <c r="E2903" s="10" t="str">
        <f t="shared" si="592"/>
        <v>PS'!</v>
      </c>
      <c r="F2903" s="5" t="str">
        <f t="shared" si="656"/>
        <v>C:\Users\jaime.benazar\Quorum Business Solutions\Ecopetrol Prometeo - Documents\Planning Space Implementation\3. Analysis &amp; Design\Design\FC22\DRR Jaime\Neiva CPI\[VAO_DINA TERCIARIOS_CF_SEC_20230117.xlsx]CF PS'!</v>
      </c>
      <c r="G2903" s="7" t="s">
        <v>109</v>
      </c>
      <c r="H2903" s="4">
        <f t="shared" si="594"/>
        <v>49</v>
      </c>
      <c r="I2903" s="4" t="str">
        <f t="shared" si="593"/>
        <v>='C:\Users\jaime.benazar\Quorum Business Solutions\Ecopetrol Prometeo - Documents\Planning Space Implementation\3. Analysis &amp; Design\Design\FC22\DRR Jaime\Neiva CPI\[VAO_DINA TERCIARIOS_CF_SEC_20230117.xlsx]CF PS'!$DN$49</v>
      </c>
      <c r="J2903" s="4" t="s">
        <v>1403</v>
      </c>
    </row>
    <row r="2904" spans="1:10" x14ac:dyDescent="0.3">
      <c r="A2904" s="7" t="s">
        <v>24</v>
      </c>
      <c r="B2904" s="7">
        <f>+B2903+1</f>
        <v>2037</v>
      </c>
      <c r="C2904" s="4" t="s">
        <v>52</v>
      </c>
      <c r="D2904" s="5" t="s">
        <v>131</v>
      </c>
      <c r="E2904" s="10" t="str">
        <f t="shared" si="592"/>
        <v>PS'!</v>
      </c>
      <c r="F2904" s="5" t="str">
        <f t="shared" si="656"/>
        <v>C:\Users\jaime.benazar\Quorum Business Solutions\Ecopetrol Prometeo - Documents\Planning Space Implementation\3. Analysis &amp; Design\Design\FC22\DRR Jaime\Neiva CPI\[VAO_DINA TERCIARIOS_CF_SEC_20230117.xlsx]CF PS'!</v>
      </c>
      <c r="G2904" s="7" t="s">
        <v>109</v>
      </c>
      <c r="H2904" s="4">
        <f t="shared" si="594"/>
        <v>50</v>
      </c>
      <c r="I2904" s="4" t="str">
        <f t="shared" si="593"/>
        <v>='C:\Users\jaime.benazar\Quorum Business Solutions\Ecopetrol Prometeo - Documents\Planning Space Implementation\3. Analysis &amp; Design\Design\FC22\DRR Jaime\Neiva CPI\[VAO_DINA TERCIARIOS_CF_SEC_20230117.xlsx]CF PS'!$DN$50</v>
      </c>
      <c r="J2904" s="4" t="s">
        <v>1404</v>
      </c>
    </row>
    <row r="2905" spans="1:10" x14ac:dyDescent="0.3">
      <c r="A2905" s="7" t="s">
        <v>24</v>
      </c>
      <c r="B2905" s="7">
        <f t="shared" ref="B2905:B2907" si="658">+B2904+1</f>
        <v>2038</v>
      </c>
      <c r="C2905" s="4" t="s">
        <v>52</v>
      </c>
      <c r="D2905" s="5" t="s">
        <v>131</v>
      </c>
      <c r="E2905" s="10" t="str">
        <f t="shared" si="592"/>
        <v>PS'!</v>
      </c>
      <c r="F2905" s="5" t="str">
        <f t="shared" si="656"/>
        <v>C:\Users\jaime.benazar\Quorum Business Solutions\Ecopetrol Prometeo - Documents\Planning Space Implementation\3. Analysis &amp; Design\Design\FC22\DRR Jaime\Neiva CPI\[VAO_DINA TERCIARIOS_CF_SEC_20230117.xlsx]CF PS'!</v>
      </c>
      <c r="G2905" s="7" t="s">
        <v>109</v>
      </c>
      <c r="H2905" s="4">
        <f t="shared" si="594"/>
        <v>51</v>
      </c>
      <c r="I2905" s="4" t="str">
        <f t="shared" si="593"/>
        <v>='C:\Users\jaime.benazar\Quorum Business Solutions\Ecopetrol Prometeo - Documents\Planning Space Implementation\3. Analysis &amp; Design\Design\FC22\DRR Jaime\Neiva CPI\[VAO_DINA TERCIARIOS_CF_SEC_20230117.xlsx]CF PS'!$DN$51</v>
      </c>
      <c r="J2905" s="4" t="s">
        <v>1405</v>
      </c>
    </row>
    <row r="2906" spans="1:10" x14ac:dyDescent="0.3">
      <c r="A2906" s="7" t="s">
        <v>24</v>
      </c>
      <c r="B2906" s="7">
        <f t="shared" si="658"/>
        <v>2039</v>
      </c>
      <c r="C2906" s="4" t="s">
        <v>52</v>
      </c>
      <c r="D2906" s="5" t="s">
        <v>131</v>
      </c>
      <c r="E2906" s="10" t="str">
        <f t="shared" si="592"/>
        <v>PS'!</v>
      </c>
      <c r="F2906" s="5" t="str">
        <f t="shared" si="656"/>
        <v>C:\Users\jaime.benazar\Quorum Business Solutions\Ecopetrol Prometeo - Documents\Planning Space Implementation\3. Analysis &amp; Design\Design\FC22\DRR Jaime\Neiva CPI\[VAO_DINA TERCIARIOS_CF_SEC_20230117.xlsx]CF PS'!</v>
      </c>
      <c r="G2906" s="7" t="s">
        <v>109</v>
      </c>
      <c r="H2906" s="4">
        <f t="shared" si="594"/>
        <v>52</v>
      </c>
      <c r="I2906" s="4" t="str">
        <f t="shared" si="593"/>
        <v>='C:\Users\jaime.benazar\Quorum Business Solutions\Ecopetrol Prometeo - Documents\Planning Space Implementation\3. Analysis &amp; Design\Design\FC22\DRR Jaime\Neiva CPI\[VAO_DINA TERCIARIOS_CF_SEC_20230117.xlsx]CF PS'!$DN$52</v>
      </c>
      <c r="J2906" s="4" t="s">
        <v>1406</v>
      </c>
    </row>
    <row r="2907" spans="1:10" x14ac:dyDescent="0.3">
      <c r="A2907" s="7" t="s">
        <v>24</v>
      </c>
      <c r="B2907" s="7">
        <f t="shared" si="658"/>
        <v>2040</v>
      </c>
      <c r="C2907" s="4" t="s">
        <v>52</v>
      </c>
      <c r="D2907" s="5" t="s">
        <v>131</v>
      </c>
      <c r="E2907" s="10" t="str">
        <f t="shared" si="592"/>
        <v>PS'!</v>
      </c>
      <c r="F2907" s="5" t="str">
        <f t="shared" si="656"/>
        <v>C:\Users\jaime.benazar\Quorum Business Solutions\Ecopetrol Prometeo - Documents\Planning Space Implementation\3. Analysis &amp; Design\Design\FC22\DRR Jaime\Neiva CPI\[VAO_DINA TERCIARIOS_CF_SEC_20230117.xlsx]CF PS'!</v>
      </c>
      <c r="G2907" s="7" t="s">
        <v>109</v>
      </c>
      <c r="H2907" s="4">
        <f t="shared" si="594"/>
        <v>53</v>
      </c>
      <c r="I2907" s="4" t="str">
        <f t="shared" si="593"/>
        <v>='C:\Users\jaime.benazar\Quorum Business Solutions\Ecopetrol Prometeo - Documents\Planning Space Implementation\3. Analysis &amp; Design\Design\FC22\DRR Jaime\Neiva CPI\[VAO_DINA TERCIARIOS_CF_SEC_20230117.xlsx]CF PS'!$DN$53</v>
      </c>
      <c r="J2907" s="4" t="s">
        <v>1407</v>
      </c>
    </row>
    <row r="2908" spans="1:10" x14ac:dyDescent="0.3">
      <c r="A2908" s="7" t="s">
        <v>24</v>
      </c>
      <c r="B2908" s="7">
        <f>+B2907+1</f>
        <v>2041</v>
      </c>
      <c r="C2908" s="4" t="s">
        <v>52</v>
      </c>
      <c r="D2908" s="5" t="s">
        <v>131</v>
      </c>
      <c r="E2908" s="10" t="str">
        <f t="shared" si="592"/>
        <v>PS'!</v>
      </c>
      <c r="F2908" s="5" t="str">
        <f t="shared" si="656"/>
        <v>C:\Users\jaime.benazar\Quorum Business Solutions\Ecopetrol Prometeo - Documents\Planning Space Implementation\3. Analysis &amp; Design\Design\FC22\DRR Jaime\Neiva CPI\[VAO_DINA TERCIARIOS_CF_SEC_20230117.xlsx]CF PS'!</v>
      </c>
      <c r="G2908" s="7" t="s">
        <v>109</v>
      </c>
      <c r="H2908" s="4">
        <f t="shared" si="594"/>
        <v>54</v>
      </c>
      <c r="I2908" s="4" t="str">
        <f t="shared" si="593"/>
        <v>='C:\Users\jaime.benazar\Quorum Business Solutions\Ecopetrol Prometeo - Documents\Planning Space Implementation\3. Analysis &amp; Design\Design\FC22\DRR Jaime\Neiva CPI\[VAO_DINA TERCIARIOS_CF_SEC_20230117.xlsx]CF PS'!$DN$54</v>
      </c>
      <c r="J2908" s="4" t="s">
        <v>1408</v>
      </c>
    </row>
    <row r="2909" spans="1:10" x14ac:dyDescent="0.3">
      <c r="A2909" s="7" t="s">
        <v>24</v>
      </c>
      <c r="B2909" s="7">
        <f t="shared" ref="B2909:B2910" si="659">+B2908+1</f>
        <v>2042</v>
      </c>
      <c r="C2909" s="4" t="s">
        <v>52</v>
      </c>
      <c r="D2909" s="5" t="s">
        <v>131</v>
      </c>
      <c r="E2909" s="10" t="str">
        <f t="shared" si="592"/>
        <v>PS'!</v>
      </c>
      <c r="F2909" s="5" t="str">
        <f t="shared" si="656"/>
        <v>C:\Users\jaime.benazar\Quorum Business Solutions\Ecopetrol Prometeo - Documents\Planning Space Implementation\3. Analysis &amp; Design\Design\FC22\DRR Jaime\Neiva CPI\[VAO_DINA TERCIARIOS_CF_SEC_20230117.xlsx]CF PS'!</v>
      </c>
      <c r="G2909" s="7" t="s">
        <v>109</v>
      </c>
      <c r="H2909" s="4">
        <f t="shared" si="594"/>
        <v>55</v>
      </c>
      <c r="I2909" s="4" t="str">
        <f t="shared" si="593"/>
        <v>='C:\Users\jaime.benazar\Quorum Business Solutions\Ecopetrol Prometeo - Documents\Planning Space Implementation\3. Analysis &amp; Design\Design\FC22\DRR Jaime\Neiva CPI\[VAO_DINA TERCIARIOS_CF_SEC_20230117.xlsx]CF PS'!$DN$55</v>
      </c>
      <c r="J2909" s="4" t="s">
        <v>1409</v>
      </c>
    </row>
    <row r="2910" spans="1:10" x14ac:dyDescent="0.3">
      <c r="A2910" s="7" t="s">
        <v>24</v>
      </c>
      <c r="B2910" s="7">
        <f t="shared" si="659"/>
        <v>2043</v>
      </c>
      <c r="C2910" s="4" t="s">
        <v>52</v>
      </c>
      <c r="D2910" s="5" t="s">
        <v>131</v>
      </c>
      <c r="E2910" s="10" t="str">
        <f t="shared" si="592"/>
        <v>PS'!</v>
      </c>
      <c r="F2910" s="5" t="str">
        <f t="shared" si="656"/>
        <v>C:\Users\jaime.benazar\Quorum Business Solutions\Ecopetrol Prometeo - Documents\Planning Space Implementation\3. Analysis &amp; Design\Design\FC22\DRR Jaime\Neiva CPI\[VAO_DINA TERCIARIOS_CF_SEC_20230117.xlsx]CF PS'!</v>
      </c>
      <c r="G2910" s="7" t="s">
        <v>109</v>
      </c>
      <c r="H2910" s="4">
        <f t="shared" si="594"/>
        <v>56</v>
      </c>
      <c r="I2910" s="4" t="str">
        <f t="shared" si="593"/>
        <v>='C:\Users\jaime.benazar\Quorum Business Solutions\Ecopetrol Prometeo - Documents\Planning Space Implementation\3. Analysis &amp; Design\Design\FC22\DRR Jaime\Neiva CPI\[VAO_DINA TERCIARIOS_CF_SEC_20230117.xlsx]CF PS'!$DN$56</v>
      </c>
      <c r="J2910" s="4" t="s">
        <v>1410</v>
      </c>
    </row>
    <row r="2911" spans="1:10" x14ac:dyDescent="0.3">
      <c r="A2911" s="7" t="s">
        <v>24</v>
      </c>
      <c r="B2911" s="7">
        <f>+B2910+1</f>
        <v>2044</v>
      </c>
      <c r="C2911" s="4" t="s">
        <v>52</v>
      </c>
      <c r="D2911" s="5" t="s">
        <v>131</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Jaime\Neiva CPI\[VAO_DINA TERCIARIOS_CF_SEC_20230117.xlsx]CF PS'!</v>
      </c>
      <c r="G2911" s="7" t="s">
        <v>109</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Jaime\Neiva CPI\[VAO_DINA TERCIARIOS_CF_SEC_20230117.xlsx]CF PS'!$DN$57</v>
      </c>
      <c r="J2911" s="4" t="s">
        <v>1411</v>
      </c>
    </row>
    <row r="2912" spans="1:10" x14ac:dyDescent="0.3">
      <c r="A2912" s="7" t="s">
        <v>24</v>
      </c>
      <c r="B2912" s="7">
        <f t="shared" ref="B2912:B2926" si="664">+B2911+1</f>
        <v>2045</v>
      </c>
      <c r="C2912" s="4" t="s">
        <v>52</v>
      </c>
      <c r="D2912" s="5" t="s">
        <v>131</v>
      </c>
      <c r="E2912" s="10" t="str">
        <f t="shared" si="660"/>
        <v>PS'!</v>
      </c>
      <c r="F2912" s="5" t="str">
        <f t="shared" si="661"/>
        <v>C:\Users\jaime.benazar\Quorum Business Solutions\Ecopetrol Prometeo - Documents\Planning Space Implementation\3. Analysis &amp; Design\Design\FC22\DRR Jaime\Neiva CPI\[VAO_DINA TERCIARIOS_CF_SEC_20230117.xlsx]CF PS'!</v>
      </c>
      <c r="G2912" s="7" t="s">
        <v>109</v>
      </c>
      <c r="H2912" s="4">
        <f t="shared" si="662"/>
        <v>58</v>
      </c>
      <c r="I2912" s="4" t="str">
        <f t="shared" si="663"/>
        <v>='C:\Users\jaime.benazar\Quorum Business Solutions\Ecopetrol Prometeo - Documents\Planning Space Implementation\3. Analysis &amp; Design\Design\FC22\DRR Jaime\Neiva CPI\[VAO_DINA TERCIARIOS_CF_SEC_20230117.xlsx]CF PS'!$DN$58</v>
      </c>
      <c r="J2912" s="4" t="s">
        <v>1412</v>
      </c>
    </row>
    <row r="2913" spans="1:10" x14ac:dyDescent="0.3">
      <c r="A2913" s="7" t="s">
        <v>24</v>
      </c>
      <c r="B2913" s="7">
        <f t="shared" si="664"/>
        <v>2046</v>
      </c>
      <c r="C2913" s="4" t="s">
        <v>52</v>
      </c>
      <c r="D2913" s="5" t="s">
        <v>131</v>
      </c>
      <c r="E2913" s="10" t="str">
        <f t="shared" si="660"/>
        <v>PS'!</v>
      </c>
      <c r="F2913" s="5" t="str">
        <f t="shared" si="661"/>
        <v>C:\Users\jaime.benazar\Quorum Business Solutions\Ecopetrol Prometeo - Documents\Planning Space Implementation\3. Analysis &amp; Design\Design\FC22\DRR Jaime\Neiva CPI\[VAO_DINA TERCIARIOS_CF_SEC_20230117.xlsx]CF PS'!</v>
      </c>
      <c r="G2913" s="7" t="s">
        <v>109</v>
      </c>
      <c r="H2913" s="4">
        <f t="shared" si="662"/>
        <v>59</v>
      </c>
      <c r="I2913" s="4" t="str">
        <f t="shared" si="663"/>
        <v>='C:\Users\jaime.benazar\Quorum Business Solutions\Ecopetrol Prometeo - Documents\Planning Space Implementation\3. Analysis &amp; Design\Design\FC22\DRR Jaime\Neiva CPI\[VAO_DINA TERCIARIOS_CF_SEC_20230117.xlsx]CF PS'!$DN$59</v>
      </c>
      <c r="J2913" s="4" t="s">
        <v>1413</v>
      </c>
    </row>
    <row r="2914" spans="1:10" x14ac:dyDescent="0.3">
      <c r="A2914" s="7" t="s">
        <v>24</v>
      </c>
      <c r="B2914" s="7">
        <f t="shared" si="664"/>
        <v>2047</v>
      </c>
      <c r="C2914" s="4" t="s">
        <v>52</v>
      </c>
      <c r="D2914" s="5" t="s">
        <v>131</v>
      </c>
      <c r="E2914" s="10" t="str">
        <f t="shared" si="660"/>
        <v>PS'!</v>
      </c>
      <c r="F2914" s="5" t="str">
        <f t="shared" si="661"/>
        <v>C:\Users\jaime.benazar\Quorum Business Solutions\Ecopetrol Prometeo - Documents\Planning Space Implementation\3. Analysis &amp; Design\Design\FC22\DRR Jaime\Neiva CPI\[VAO_DINA TERCIARIOS_CF_SEC_20230117.xlsx]CF PS'!</v>
      </c>
      <c r="G2914" s="7" t="s">
        <v>109</v>
      </c>
      <c r="H2914" s="4">
        <f t="shared" si="662"/>
        <v>60</v>
      </c>
      <c r="I2914" s="4" t="str">
        <f t="shared" si="663"/>
        <v>='C:\Users\jaime.benazar\Quorum Business Solutions\Ecopetrol Prometeo - Documents\Planning Space Implementation\3. Analysis &amp; Design\Design\FC22\DRR Jaime\Neiva CPI\[VAO_DINA TERCIARIOS_CF_SEC_20230117.xlsx]CF PS'!$DN$60</v>
      </c>
      <c r="J2914" s="4" t="s">
        <v>1414</v>
      </c>
    </row>
    <row r="2915" spans="1:10" x14ac:dyDescent="0.3">
      <c r="A2915" s="7" t="s">
        <v>24</v>
      </c>
      <c r="B2915" s="7">
        <f t="shared" si="664"/>
        <v>2048</v>
      </c>
      <c r="C2915" s="4" t="s">
        <v>52</v>
      </c>
      <c r="D2915" s="5" t="s">
        <v>131</v>
      </c>
      <c r="E2915" s="10" t="str">
        <f t="shared" si="660"/>
        <v>PS'!</v>
      </c>
      <c r="F2915" s="5" t="str">
        <f t="shared" si="661"/>
        <v>C:\Users\jaime.benazar\Quorum Business Solutions\Ecopetrol Prometeo - Documents\Planning Space Implementation\3. Analysis &amp; Design\Design\FC22\DRR Jaime\Neiva CPI\[VAO_DINA TERCIARIOS_CF_SEC_20230117.xlsx]CF PS'!</v>
      </c>
      <c r="G2915" s="7" t="s">
        <v>109</v>
      </c>
      <c r="H2915" s="4">
        <f t="shared" si="662"/>
        <v>61</v>
      </c>
      <c r="I2915" s="4" t="str">
        <f t="shared" si="663"/>
        <v>='C:\Users\jaime.benazar\Quorum Business Solutions\Ecopetrol Prometeo - Documents\Planning Space Implementation\3. Analysis &amp; Design\Design\FC22\DRR Jaime\Neiva CPI\[VAO_DINA TERCIARIOS_CF_SEC_20230117.xlsx]CF PS'!$DN$61</v>
      </c>
      <c r="J2915" s="4" t="s">
        <v>1415</v>
      </c>
    </row>
    <row r="2916" spans="1:10" x14ac:dyDescent="0.3">
      <c r="A2916" s="7" t="s">
        <v>24</v>
      </c>
      <c r="B2916" s="7">
        <f t="shared" si="664"/>
        <v>2049</v>
      </c>
      <c r="C2916" s="4" t="s">
        <v>52</v>
      </c>
      <c r="D2916" s="5" t="s">
        <v>131</v>
      </c>
      <c r="E2916" s="10" t="str">
        <f t="shared" si="660"/>
        <v>PS'!</v>
      </c>
      <c r="F2916" s="5" t="str">
        <f t="shared" si="661"/>
        <v>C:\Users\jaime.benazar\Quorum Business Solutions\Ecopetrol Prometeo - Documents\Planning Space Implementation\3. Analysis &amp; Design\Design\FC22\DRR Jaime\Neiva CPI\[VAO_DINA TERCIARIOS_CF_SEC_20230117.xlsx]CF PS'!</v>
      </c>
      <c r="G2916" s="7" t="s">
        <v>109</v>
      </c>
      <c r="H2916" s="4">
        <f t="shared" si="662"/>
        <v>62</v>
      </c>
      <c r="I2916" s="4" t="str">
        <f t="shared" si="663"/>
        <v>='C:\Users\jaime.benazar\Quorum Business Solutions\Ecopetrol Prometeo - Documents\Planning Space Implementation\3. Analysis &amp; Design\Design\FC22\DRR Jaime\Neiva CPI\[VAO_DINA TERCIARIOS_CF_SEC_20230117.xlsx]CF PS'!$DN$62</v>
      </c>
      <c r="J2916" s="4" t="s">
        <v>1416</v>
      </c>
    </row>
    <row r="2917" spans="1:10" x14ac:dyDescent="0.3">
      <c r="A2917" s="7" t="s">
        <v>24</v>
      </c>
      <c r="B2917" s="7">
        <f t="shared" si="664"/>
        <v>2050</v>
      </c>
      <c r="C2917" s="4" t="s">
        <v>52</v>
      </c>
      <c r="D2917" s="5" t="s">
        <v>131</v>
      </c>
      <c r="E2917" s="10" t="str">
        <f t="shared" si="660"/>
        <v>PS'!</v>
      </c>
      <c r="F2917" s="5" t="str">
        <f t="shared" si="661"/>
        <v>C:\Users\jaime.benazar\Quorum Business Solutions\Ecopetrol Prometeo - Documents\Planning Space Implementation\3. Analysis &amp; Design\Design\FC22\DRR Jaime\Neiva CPI\[VAO_DINA TERCIARIOS_CF_SEC_20230117.xlsx]CF PS'!</v>
      </c>
      <c r="G2917" s="7" t="s">
        <v>109</v>
      </c>
      <c r="H2917" s="4">
        <f t="shared" si="662"/>
        <v>63</v>
      </c>
      <c r="I2917" s="4" t="str">
        <f t="shared" si="663"/>
        <v>='C:\Users\jaime.benazar\Quorum Business Solutions\Ecopetrol Prometeo - Documents\Planning Space Implementation\3. Analysis &amp; Design\Design\FC22\DRR Jaime\Neiva CPI\[VAO_DINA TERCIARIOS_CF_SEC_20230117.xlsx]CF PS'!$DN$63</v>
      </c>
      <c r="J2917" s="4" t="s">
        <v>1417</v>
      </c>
    </row>
    <row r="2918" spans="1:10" x14ac:dyDescent="0.3">
      <c r="A2918" s="7" t="s">
        <v>24</v>
      </c>
      <c r="B2918" s="7">
        <f t="shared" si="664"/>
        <v>2051</v>
      </c>
      <c r="C2918" s="4" t="s">
        <v>52</v>
      </c>
      <c r="D2918" s="5" t="s">
        <v>131</v>
      </c>
      <c r="E2918" s="10" t="str">
        <f t="shared" si="660"/>
        <v>PS'!</v>
      </c>
      <c r="F2918" s="5" t="str">
        <f t="shared" si="661"/>
        <v>C:\Users\jaime.benazar\Quorum Business Solutions\Ecopetrol Prometeo - Documents\Planning Space Implementation\3. Analysis &amp; Design\Design\FC22\DRR Jaime\Neiva CPI\[VAO_DINA TERCIARIOS_CF_SEC_20230117.xlsx]CF PS'!</v>
      </c>
      <c r="G2918" s="7" t="s">
        <v>109</v>
      </c>
      <c r="H2918" s="4">
        <f t="shared" si="662"/>
        <v>64</v>
      </c>
      <c r="I2918" s="4" t="str">
        <f t="shared" si="663"/>
        <v>='C:\Users\jaime.benazar\Quorum Business Solutions\Ecopetrol Prometeo - Documents\Planning Space Implementation\3. Analysis &amp; Design\Design\FC22\DRR Jaime\Neiva CPI\[VAO_DINA TERCIARIOS_CF_SEC_20230117.xlsx]CF PS'!$DN$64</v>
      </c>
      <c r="J2918" s="4" t="s">
        <v>1418</v>
      </c>
    </row>
    <row r="2919" spans="1:10" x14ac:dyDescent="0.3">
      <c r="A2919" s="7" t="s">
        <v>24</v>
      </c>
      <c r="B2919" s="7">
        <f t="shared" si="664"/>
        <v>2052</v>
      </c>
      <c r="C2919" s="4" t="s">
        <v>52</v>
      </c>
      <c r="D2919" s="5" t="s">
        <v>131</v>
      </c>
      <c r="E2919" s="10" t="str">
        <f t="shared" si="660"/>
        <v>PS'!</v>
      </c>
      <c r="F2919" s="5" t="str">
        <f t="shared" si="661"/>
        <v>C:\Users\jaime.benazar\Quorum Business Solutions\Ecopetrol Prometeo - Documents\Planning Space Implementation\3. Analysis &amp; Design\Design\FC22\DRR Jaime\Neiva CPI\[VAO_DINA TERCIARIOS_CF_SEC_20230117.xlsx]CF PS'!</v>
      </c>
      <c r="G2919" s="7" t="s">
        <v>109</v>
      </c>
      <c r="H2919" s="4">
        <f t="shared" si="662"/>
        <v>65</v>
      </c>
      <c r="I2919" s="4" t="str">
        <f t="shared" si="663"/>
        <v>='C:\Users\jaime.benazar\Quorum Business Solutions\Ecopetrol Prometeo - Documents\Planning Space Implementation\3. Analysis &amp; Design\Design\FC22\DRR Jaime\Neiva CPI\[VAO_DINA TERCIARIOS_CF_SEC_20230117.xlsx]CF PS'!$DN$65</v>
      </c>
      <c r="J2919" s="4" t="s">
        <v>1419</v>
      </c>
    </row>
    <row r="2920" spans="1:10" x14ac:dyDescent="0.3">
      <c r="A2920" s="7" t="s">
        <v>24</v>
      </c>
      <c r="B2920" s="7">
        <f t="shared" si="664"/>
        <v>2053</v>
      </c>
      <c r="C2920" s="4" t="s">
        <v>52</v>
      </c>
      <c r="D2920" s="5" t="s">
        <v>131</v>
      </c>
      <c r="E2920" s="10" t="str">
        <f t="shared" si="660"/>
        <v>PS'!</v>
      </c>
      <c r="F2920" s="5" t="str">
        <f t="shared" si="661"/>
        <v>C:\Users\jaime.benazar\Quorum Business Solutions\Ecopetrol Prometeo - Documents\Planning Space Implementation\3. Analysis &amp; Design\Design\FC22\DRR Jaime\Neiva CPI\[VAO_DINA TERCIARIOS_CF_SEC_20230117.xlsx]CF PS'!</v>
      </c>
      <c r="G2920" s="7" t="s">
        <v>109</v>
      </c>
      <c r="H2920" s="4">
        <f t="shared" si="662"/>
        <v>66</v>
      </c>
      <c r="I2920" s="4" t="str">
        <f t="shared" si="663"/>
        <v>='C:\Users\jaime.benazar\Quorum Business Solutions\Ecopetrol Prometeo - Documents\Planning Space Implementation\3. Analysis &amp; Design\Design\FC22\DRR Jaime\Neiva CPI\[VAO_DINA TERCIARIOS_CF_SEC_20230117.xlsx]CF PS'!$DN$66</v>
      </c>
      <c r="J2920" s="4" t="s">
        <v>1420</v>
      </c>
    </row>
    <row r="2921" spans="1:10" x14ac:dyDescent="0.3">
      <c r="A2921" s="7" t="s">
        <v>24</v>
      </c>
      <c r="B2921" s="7">
        <f t="shared" si="664"/>
        <v>2054</v>
      </c>
      <c r="C2921" s="4" t="s">
        <v>52</v>
      </c>
      <c r="D2921" s="5" t="s">
        <v>131</v>
      </c>
      <c r="E2921" s="10" t="str">
        <f t="shared" si="660"/>
        <v>PS'!</v>
      </c>
      <c r="F2921" s="5" t="str">
        <f t="shared" si="661"/>
        <v>C:\Users\jaime.benazar\Quorum Business Solutions\Ecopetrol Prometeo - Documents\Planning Space Implementation\3. Analysis &amp; Design\Design\FC22\DRR Jaime\Neiva CPI\[VAO_DINA TERCIARIOS_CF_SEC_20230117.xlsx]CF PS'!</v>
      </c>
      <c r="G2921" s="7" t="s">
        <v>109</v>
      </c>
      <c r="H2921" s="4">
        <f t="shared" si="662"/>
        <v>67</v>
      </c>
      <c r="I2921" s="4" t="str">
        <f t="shared" si="663"/>
        <v>='C:\Users\jaime.benazar\Quorum Business Solutions\Ecopetrol Prometeo - Documents\Planning Space Implementation\3. Analysis &amp; Design\Design\FC22\DRR Jaime\Neiva CPI\[VAO_DINA TERCIARIOS_CF_SEC_20230117.xlsx]CF PS'!$DN$67</v>
      </c>
      <c r="J2921" s="4" t="s">
        <v>1421</v>
      </c>
    </row>
    <row r="2922" spans="1:10" x14ac:dyDescent="0.3">
      <c r="A2922" s="7" t="s">
        <v>24</v>
      </c>
      <c r="B2922" s="7">
        <f t="shared" si="664"/>
        <v>2055</v>
      </c>
      <c r="C2922" s="4" t="s">
        <v>52</v>
      </c>
      <c r="D2922" s="5" t="s">
        <v>131</v>
      </c>
      <c r="E2922" s="10" t="str">
        <f t="shared" si="660"/>
        <v>PS'!</v>
      </c>
      <c r="F2922" s="5" t="str">
        <f t="shared" si="661"/>
        <v>C:\Users\jaime.benazar\Quorum Business Solutions\Ecopetrol Prometeo - Documents\Planning Space Implementation\3. Analysis &amp; Design\Design\FC22\DRR Jaime\Neiva CPI\[VAO_DINA TERCIARIOS_CF_SEC_20230117.xlsx]CF PS'!</v>
      </c>
      <c r="G2922" s="7" t="s">
        <v>109</v>
      </c>
      <c r="H2922" s="4">
        <f t="shared" si="662"/>
        <v>68</v>
      </c>
      <c r="I2922" s="4" t="str">
        <f t="shared" si="663"/>
        <v>='C:\Users\jaime.benazar\Quorum Business Solutions\Ecopetrol Prometeo - Documents\Planning Space Implementation\3. Analysis &amp; Design\Design\FC22\DRR Jaime\Neiva CPI\[VAO_DINA TERCIARIOS_CF_SEC_20230117.xlsx]CF PS'!$DN$68</v>
      </c>
      <c r="J2922" s="4" t="s">
        <v>1422</v>
      </c>
    </row>
    <row r="2923" spans="1:10" x14ac:dyDescent="0.3">
      <c r="A2923" s="7" t="s">
        <v>24</v>
      </c>
      <c r="B2923" s="7">
        <f t="shared" si="664"/>
        <v>2056</v>
      </c>
      <c r="C2923" s="4" t="s">
        <v>52</v>
      </c>
      <c r="D2923" s="5" t="s">
        <v>131</v>
      </c>
      <c r="E2923" s="10" t="str">
        <f t="shared" si="660"/>
        <v>PS'!</v>
      </c>
      <c r="F2923" s="5" t="str">
        <f t="shared" si="661"/>
        <v>C:\Users\jaime.benazar\Quorum Business Solutions\Ecopetrol Prometeo - Documents\Planning Space Implementation\3. Analysis &amp; Design\Design\FC22\DRR Jaime\Neiva CPI\[VAO_DINA TERCIARIOS_CF_SEC_20230117.xlsx]CF PS'!</v>
      </c>
      <c r="G2923" s="7" t="s">
        <v>109</v>
      </c>
      <c r="H2923" s="4">
        <f t="shared" si="662"/>
        <v>69</v>
      </c>
      <c r="I2923" s="4" t="str">
        <f t="shared" si="663"/>
        <v>='C:\Users\jaime.benazar\Quorum Business Solutions\Ecopetrol Prometeo - Documents\Planning Space Implementation\3. Analysis &amp; Design\Design\FC22\DRR Jaime\Neiva CPI\[VAO_DINA TERCIARIOS_CF_SEC_20230117.xlsx]CF PS'!$DN$69</v>
      </c>
      <c r="J2923" s="4" t="s">
        <v>1423</v>
      </c>
    </row>
    <row r="2924" spans="1:10" x14ac:dyDescent="0.3">
      <c r="A2924" s="7" t="s">
        <v>24</v>
      </c>
      <c r="B2924" s="7">
        <f t="shared" si="664"/>
        <v>2057</v>
      </c>
      <c r="C2924" s="4" t="s">
        <v>52</v>
      </c>
      <c r="D2924" s="5" t="s">
        <v>131</v>
      </c>
      <c r="E2924" s="10" t="str">
        <f t="shared" si="660"/>
        <v>PS'!</v>
      </c>
      <c r="F2924" s="5" t="str">
        <f t="shared" si="661"/>
        <v>C:\Users\jaime.benazar\Quorum Business Solutions\Ecopetrol Prometeo - Documents\Planning Space Implementation\3. Analysis &amp; Design\Design\FC22\DRR Jaime\Neiva CPI\[VAO_DINA TERCIARIOS_CF_SEC_20230117.xlsx]CF PS'!</v>
      </c>
      <c r="G2924" s="7" t="s">
        <v>109</v>
      </c>
      <c r="H2924" s="4">
        <f t="shared" si="662"/>
        <v>70</v>
      </c>
      <c r="I2924" s="4" t="str">
        <f t="shared" si="663"/>
        <v>='C:\Users\jaime.benazar\Quorum Business Solutions\Ecopetrol Prometeo - Documents\Planning Space Implementation\3. Analysis &amp; Design\Design\FC22\DRR Jaime\Neiva CPI\[VAO_DINA TERCIARIOS_CF_SEC_20230117.xlsx]CF PS'!$DN$70</v>
      </c>
      <c r="J2924" s="4" t="s">
        <v>1424</v>
      </c>
    </row>
    <row r="2925" spans="1:10" x14ac:dyDescent="0.3">
      <c r="A2925" s="7" t="s">
        <v>24</v>
      </c>
      <c r="B2925" s="7">
        <f t="shared" si="664"/>
        <v>2058</v>
      </c>
      <c r="C2925" s="4" t="s">
        <v>52</v>
      </c>
      <c r="D2925" s="5" t="s">
        <v>131</v>
      </c>
      <c r="E2925" s="10" t="str">
        <f t="shared" si="660"/>
        <v>PS'!</v>
      </c>
      <c r="F2925" s="5" t="str">
        <f t="shared" si="661"/>
        <v>C:\Users\jaime.benazar\Quorum Business Solutions\Ecopetrol Prometeo - Documents\Planning Space Implementation\3. Analysis &amp; Design\Design\FC22\DRR Jaime\Neiva CPI\[VAO_DINA TERCIARIOS_CF_SEC_20230117.xlsx]CF PS'!</v>
      </c>
      <c r="G2925" s="7" t="s">
        <v>109</v>
      </c>
      <c r="H2925" s="4">
        <f t="shared" si="662"/>
        <v>71</v>
      </c>
      <c r="I2925" s="4" t="str">
        <f t="shared" si="663"/>
        <v>='C:\Users\jaime.benazar\Quorum Business Solutions\Ecopetrol Prometeo - Documents\Planning Space Implementation\3. Analysis &amp; Design\Design\FC22\DRR Jaime\Neiva CPI\[VAO_DINA TERCIARIOS_CF_SEC_20230117.xlsx]CF PS'!$DN$71</v>
      </c>
      <c r="J2925" s="4" t="s">
        <v>1425</v>
      </c>
    </row>
    <row r="2926" spans="1:10" x14ac:dyDescent="0.3">
      <c r="A2926" s="7" t="s">
        <v>24</v>
      </c>
      <c r="B2926" s="7">
        <f t="shared" si="664"/>
        <v>2059</v>
      </c>
      <c r="C2926" s="4" t="s">
        <v>52</v>
      </c>
      <c r="D2926" s="5" t="s">
        <v>131</v>
      </c>
      <c r="E2926" s="10" t="str">
        <f t="shared" si="660"/>
        <v>PS'!</v>
      </c>
      <c r="F2926" s="5" t="str">
        <f t="shared" si="661"/>
        <v>C:\Users\jaime.benazar\Quorum Business Solutions\Ecopetrol Prometeo - Documents\Planning Space Implementation\3. Analysis &amp; Design\Design\FC22\DRR Jaime\Neiva CPI\[VAO_DINA TERCIARIOS_CF_SEC_20230117.xlsx]CF PS'!</v>
      </c>
      <c r="G2926" s="7" t="s">
        <v>109</v>
      </c>
      <c r="H2926" s="4">
        <f t="shared" si="662"/>
        <v>72</v>
      </c>
      <c r="I2926" s="4" t="str">
        <f t="shared" si="663"/>
        <v>='C:\Users\jaime.benazar\Quorum Business Solutions\Ecopetrol Prometeo - Documents\Planning Space Implementation\3. Analysis &amp; Design\Design\FC22\DRR Jaime\Neiva CPI\[VAO_DINA TERCIARIOS_CF_SEC_20230117.xlsx]CF PS'!$DN$72</v>
      </c>
      <c r="J2926" s="4" t="s">
        <v>1426</v>
      </c>
    </row>
    <row r="2927" spans="1:10" x14ac:dyDescent="0.3">
      <c r="A2927" s="7" t="s">
        <v>26</v>
      </c>
      <c r="B2927" s="7"/>
      <c r="C2927" s="4" t="s">
        <v>52</v>
      </c>
      <c r="D2927" s="5"/>
      <c r="E2927" s="10"/>
      <c r="F2927" s="5"/>
      <c r="G2927" s="7"/>
      <c r="H2927" s="4"/>
      <c r="I2927" s="4"/>
      <c r="J2927" s="4"/>
    </row>
    <row r="2928" spans="1:10" x14ac:dyDescent="0.3">
      <c r="A2928" s="6" t="s">
        <v>14</v>
      </c>
      <c r="B2928" s="6">
        <v>2023</v>
      </c>
      <c r="C2928" s="1" t="s">
        <v>110</v>
      </c>
      <c r="D2928" s="2" t="s">
        <v>131</v>
      </c>
      <c r="E2928" s="9" t="str">
        <f>_xlfn.CONCAT(A2928,"'!")</f>
        <v>PDP'!</v>
      </c>
      <c r="F2928" s="5" t="str">
        <f t="shared" ref="F2928:F2948" si="665">_xlfn.CONCAT(D2928," ",E2928)</f>
        <v>C:\Users\jaime.benazar\Quorum Business Solutions\Ecopetrol Prometeo - Documents\Planning Space Implementation\3. Analysis &amp; Design\Design\FC22\DRR Jaime\Neiva CPI\[VAO_DINA TERCIARIOS_CF_SEC_20230117.xlsx]CF PDP'!</v>
      </c>
      <c r="G2928" s="6" t="s">
        <v>111</v>
      </c>
      <c r="H2928" s="1">
        <f>IF(A2928&lt;&gt;A2912,36,H2912+1)</f>
        <v>36</v>
      </c>
      <c r="I2928" s="1" t="str">
        <f>_xlfn.CONCAT("='",F2928:H2928)</f>
        <v>='C:\Users\jaime.benazar\Quorum Business Solutions\Ecopetrol Prometeo - Documents\Planning Space Implementation\3. Analysis &amp; Design\Design\FC22\DRR Jaime\Neiva CPI\[VAO_DINA TERCIARIOS_CF_SEC_20230117.xlsx]CF PDP'!$DI$36</v>
      </c>
      <c r="J2928" t="s">
        <v>1427</v>
      </c>
    </row>
    <row r="2929" spans="1:10" x14ac:dyDescent="0.3">
      <c r="A2929" s="6" t="s">
        <v>14</v>
      </c>
      <c r="B2929" s="6">
        <f>+B2928+1</f>
        <v>2024</v>
      </c>
      <c r="C2929" s="1" t="s">
        <v>110</v>
      </c>
      <c r="D2929" s="2" t="s">
        <v>131</v>
      </c>
      <c r="E2929" s="9" t="str">
        <f t="shared" ref="E2929:E3022" si="666">_xlfn.CONCAT(A2929,"'!")</f>
        <v>PDP'!</v>
      </c>
      <c r="F2929" s="5" t="str">
        <f t="shared" si="665"/>
        <v>C:\Users\jaime.benazar\Quorum Business Solutions\Ecopetrol Prometeo - Documents\Planning Space Implementation\3. Analysis &amp; Design\Design\FC22\DRR Jaime\Neiva CPI\[VAO_DINA TERCIARIOS_CF_SEC_20230117.xlsx]CF PDP'!</v>
      </c>
      <c r="G2929" s="6" t="s">
        <v>111</v>
      </c>
      <c r="H2929" s="1">
        <f>IF(A2929&lt;&gt;A2928,36,H2928+1)</f>
        <v>37</v>
      </c>
      <c r="I2929" s="1" t="str">
        <f t="shared" ref="I2929:I3022" si="667">_xlfn.CONCAT("='",F2929:H2929)</f>
        <v>='C:\Users\jaime.benazar\Quorum Business Solutions\Ecopetrol Prometeo - Documents\Planning Space Implementation\3. Analysis &amp; Design\Design\FC22\DRR Jaime\Neiva CPI\[VAO_DINA TERCIARIOS_CF_SEC_20230117.xlsx]CF PDP'!$DI$37</v>
      </c>
      <c r="J2929" t="s">
        <v>1428</v>
      </c>
    </row>
    <row r="2930" spans="1:10" x14ac:dyDescent="0.3">
      <c r="A2930" s="6" t="s">
        <v>14</v>
      </c>
      <c r="B2930" s="6">
        <f t="shared" ref="B2930:B2941" si="668">+B2929+1</f>
        <v>2025</v>
      </c>
      <c r="C2930" s="1" t="s">
        <v>110</v>
      </c>
      <c r="D2930" s="2" t="s">
        <v>131</v>
      </c>
      <c r="E2930" s="9" t="str">
        <f t="shared" si="666"/>
        <v>PDP'!</v>
      </c>
      <c r="F2930" s="5" t="str">
        <f t="shared" si="665"/>
        <v>C:\Users\jaime.benazar\Quorum Business Solutions\Ecopetrol Prometeo - Documents\Planning Space Implementation\3. Analysis &amp; Design\Design\FC22\DRR Jaime\Neiva CPI\[VAO_DINA TERCIARIOS_CF_SEC_20230117.xlsx]CF PDP'!</v>
      </c>
      <c r="G2930" s="6" t="s">
        <v>111</v>
      </c>
      <c r="H2930" s="1">
        <f t="shared" ref="H2930:H3023" si="669">IF(A2930&lt;&gt;A2929,36,H2929+1)</f>
        <v>38</v>
      </c>
      <c r="I2930" s="1" t="str">
        <f t="shared" si="667"/>
        <v>='C:\Users\jaime.benazar\Quorum Business Solutions\Ecopetrol Prometeo - Documents\Planning Space Implementation\3. Analysis &amp; Design\Design\FC22\DRR Jaime\Neiva CPI\[VAO_DINA TERCIARIOS_CF_SEC_20230117.xlsx]CF PDP'!$DI$38</v>
      </c>
      <c r="J2930" t="s">
        <v>1429</v>
      </c>
    </row>
    <row r="2931" spans="1:10" x14ac:dyDescent="0.3">
      <c r="A2931" s="6" t="s">
        <v>14</v>
      </c>
      <c r="B2931" s="6">
        <f t="shared" si="668"/>
        <v>2026</v>
      </c>
      <c r="C2931" s="1" t="s">
        <v>110</v>
      </c>
      <c r="D2931" s="2" t="s">
        <v>131</v>
      </c>
      <c r="E2931" s="9" t="str">
        <f t="shared" si="666"/>
        <v>PDP'!</v>
      </c>
      <c r="F2931" s="5" t="str">
        <f t="shared" si="665"/>
        <v>C:\Users\jaime.benazar\Quorum Business Solutions\Ecopetrol Prometeo - Documents\Planning Space Implementation\3. Analysis &amp; Design\Design\FC22\DRR Jaime\Neiva CPI\[VAO_DINA TERCIARIOS_CF_SEC_20230117.xlsx]CF PDP'!</v>
      </c>
      <c r="G2931" s="6" t="s">
        <v>111</v>
      </c>
      <c r="H2931" s="1">
        <f t="shared" si="669"/>
        <v>39</v>
      </c>
      <c r="I2931" s="1" t="str">
        <f t="shared" si="667"/>
        <v>='C:\Users\jaime.benazar\Quorum Business Solutions\Ecopetrol Prometeo - Documents\Planning Space Implementation\3. Analysis &amp; Design\Design\FC22\DRR Jaime\Neiva CPI\[VAO_DINA TERCIARIOS_CF_SEC_20230117.xlsx]CF PDP'!$DI$39</v>
      </c>
      <c r="J2931" t="s">
        <v>1430</v>
      </c>
    </row>
    <row r="2932" spans="1:10" x14ac:dyDescent="0.3">
      <c r="A2932" s="6" t="s">
        <v>14</v>
      </c>
      <c r="B2932" s="6">
        <f t="shared" si="668"/>
        <v>2027</v>
      </c>
      <c r="C2932" s="1" t="s">
        <v>110</v>
      </c>
      <c r="D2932" s="2" t="s">
        <v>131</v>
      </c>
      <c r="E2932" s="9" t="str">
        <f t="shared" si="666"/>
        <v>PDP'!</v>
      </c>
      <c r="F2932" s="5" t="str">
        <f t="shared" si="665"/>
        <v>C:\Users\jaime.benazar\Quorum Business Solutions\Ecopetrol Prometeo - Documents\Planning Space Implementation\3. Analysis &amp; Design\Design\FC22\DRR Jaime\Neiva CPI\[VAO_DINA TERCIARIOS_CF_SEC_20230117.xlsx]CF PDP'!</v>
      </c>
      <c r="G2932" s="6" t="s">
        <v>111</v>
      </c>
      <c r="H2932" s="1">
        <f t="shared" si="669"/>
        <v>40</v>
      </c>
      <c r="I2932" s="1" t="str">
        <f t="shared" si="667"/>
        <v>='C:\Users\jaime.benazar\Quorum Business Solutions\Ecopetrol Prometeo - Documents\Planning Space Implementation\3. Analysis &amp; Design\Design\FC22\DRR Jaime\Neiva CPI\[VAO_DINA TERCIARIOS_CF_SEC_20230117.xlsx]CF PDP'!$DI$40</v>
      </c>
      <c r="J2932" t="s">
        <v>1431</v>
      </c>
    </row>
    <row r="2933" spans="1:10" x14ac:dyDescent="0.3">
      <c r="A2933" s="6" t="s">
        <v>14</v>
      </c>
      <c r="B2933" s="6">
        <f t="shared" si="668"/>
        <v>2028</v>
      </c>
      <c r="C2933" s="1" t="s">
        <v>110</v>
      </c>
      <c r="D2933" s="2" t="s">
        <v>131</v>
      </c>
      <c r="E2933" s="9" t="str">
        <f t="shared" si="666"/>
        <v>PDP'!</v>
      </c>
      <c r="F2933" s="5" t="str">
        <f t="shared" si="665"/>
        <v>C:\Users\jaime.benazar\Quorum Business Solutions\Ecopetrol Prometeo - Documents\Planning Space Implementation\3. Analysis &amp; Design\Design\FC22\DRR Jaime\Neiva CPI\[VAO_DINA TERCIARIOS_CF_SEC_20230117.xlsx]CF PDP'!</v>
      </c>
      <c r="G2933" s="6" t="s">
        <v>111</v>
      </c>
      <c r="H2933" s="1">
        <f t="shared" si="669"/>
        <v>41</v>
      </c>
      <c r="I2933" s="1" t="str">
        <f t="shared" si="667"/>
        <v>='C:\Users\jaime.benazar\Quorum Business Solutions\Ecopetrol Prometeo - Documents\Planning Space Implementation\3. Analysis &amp; Design\Design\FC22\DRR Jaime\Neiva CPI\[VAO_DINA TERCIARIOS_CF_SEC_20230117.xlsx]CF PDP'!$DI$41</v>
      </c>
      <c r="J2933" t="s">
        <v>1432</v>
      </c>
    </row>
    <row r="2934" spans="1:10" x14ac:dyDescent="0.3">
      <c r="A2934" s="6" t="s">
        <v>14</v>
      </c>
      <c r="B2934" s="6">
        <f t="shared" si="668"/>
        <v>2029</v>
      </c>
      <c r="C2934" s="1" t="s">
        <v>110</v>
      </c>
      <c r="D2934" s="2" t="s">
        <v>131</v>
      </c>
      <c r="E2934" s="9" t="str">
        <f t="shared" si="666"/>
        <v>PDP'!</v>
      </c>
      <c r="F2934" s="5" t="str">
        <f t="shared" si="665"/>
        <v>C:\Users\jaime.benazar\Quorum Business Solutions\Ecopetrol Prometeo - Documents\Planning Space Implementation\3. Analysis &amp; Design\Design\FC22\DRR Jaime\Neiva CPI\[VAO_DINA TERCIARIOS_CF_SEC_20230117.xlsx]CF PDP'!</v>
      </c>
      <c r="G2934" s="6" t="s">
        <v>111</v>
      </c>
      <c r="H2934" s="1">
        <f t="shared" si="669"/>
        <v>42</v>
      </c>
      <c r="I2934" s="1" t="str">
        <f t="shared" si="667"/>
        <v>='C:\Users\jaime.benazar\Quorum Business Solutions\Ecopetrol Prometeo - Documents\Planning Space Implementation\3. Analysis &amp; Design\Design\FC22\DRR Jaime\Neiva CPI\[VAO_DINA TERCIARIOS_CF_SEC_20230117.xlsx]CF PDP'!$DI$42</v>
      </c>
      <c r="J2934" t="s">
        <v>1433</v>
      </c>
    </row>
    <row r="2935" spans="1:10" x14ac:dyDescent="0.3">
      <c r="A2935" s="6" t="s">
        <v>14</v>
      </c>
      <c r="B2935" s="6">
        <f t="shared" si="668"/>
        <v>2030</v>
      </c>
      <c r="C2935" s="1" t="s">
        <v>110</v>
      </c>
      <c r="D2935" s="2" t="s">
        <v>131</v>
      </c>
      <c r="E2935" s="9" t="str">
        <f t="shared" si="666"/>
        <v>PDP'!</v>
      </c>
      <c r="F2935" s="5" t="str">
        <f t="shared" si="665"/>
        <v>C:\Users\jaime.benazar\Quorum Business Solutions\Ecopetrol Prometeo - Documents\Planning Space Implementation\3. Analysis &amp; Design\Design\FC22\DRR Jaime\Neiva CPI\[VAO_DINA TERCIARIOS_CF_SEC_20230117.xlsx]CF PDP'!</v>
      </c>
      <c r="G2935" s="6" t="s">
        <v>111</v>
      </c>
      <c r="H2935" s="1">
        <f t="shared" si="669"/>
        <v>43</v>
      </c>
      <c r="I2935" s="1" t="str">
        <f t="shared" si="667"/>
        <v>='C:\Users\jaime.benazar\Quorum Business Solutions\Ecopetrol Prometeo - Documents\Planning Space Implementation\3. Analysis &amp; Design\Design\FC22\DRR Jaime\Neiva CPI\[VAO_DINA TERCIARIOS_CF_SEC_20230117.xlsx]CF PDP'!$DI$43</v>
      </c>
      <c r="J2935" t="s">
        <v>1434</v>
      </c>
    </row>
    <row r="2936" spans="1:10" x14ac:dyDescent="0.3">
      <c r="A2936" s="6" t="s">
        <v>14</v>
      </c>
      <c r="B2936" s="6">
        <f t="shared" si="668"/>
        <v>2031</v>
      </c>
      <c r="C2936" s="1" t="s">
        <v>110</v>
      </c>
      <c r="D2936" s="2" t="s">
        <v>131</v>
      </c>
      <c r="E2936" s="9" t="str">
        <f t="shared" si="666"/>
        <v>PDP'!</v>
      </c>
      <c r="F2936" s="5" t="str">
        <f t="shared" si="665"/>
        <v>C:\Users\jaime.benazar\Quorum Business Solutions\Ecopetrol Prometeo - Documents\Planning Space Implementation\3. Analysis &amp; Design\Design\FC22\DRR Jaime\Neiva CPI\[VAO_DINA TERCIARIOS_CF_SEC_20230117.xlsx]CF PDP'!</v>
      </c>
      <c r="G2936" s="6" t="s">
        <v>111</v>
      </c>
      <c r="H2936" s="1">
        <f t="shared" si="669"/>
        <v>44</v>
      </c>
      <c r="I2936" s="1" t="str">
        <f t="shared" si="667"/>
        <v>='C:\Users\jaime.benazar\Quorum Business Solutions\Ecopetrol Prometeo - Documents\Planning Space Implementation\3. Analysis &amp; Design\Design\FC22\DRR Jaime\Neiva CPI\[VAO_DINA TERCIARIOS_CF_SEC_20230117.xlsx]CF PDP'!$DI$44</v>
      </c>
      <c r="J2936" t="s">
        <v>1435</v>
      </c>
    </row>
    <row r="2937" spans="1:10" x14ac:dyDescent="0.3">
      <c r="A2937" s="6" t="s">
        <v>14</v>
      </c>
      <c r="B2937" s="6">
        <f t="shared" si="668"/>
        <v>2032</v>
      </c>
      <c r="C2937" s="1" t="s">
        <v>110</v>
      </c>
      <c r="D2937" s="2" t="s">
        <v>131</v>
      </c>
      <c r="E2937" s="9" t="str">
        <f t="shared" si="666"/>
        <v>PDP'!</v>
      </c>
      <c r="F2937" s="5" t="str">
        <f t="shared" si="665"/>
        <v>C:\Users\jaime.benazar\Quorum Business Solutions\Ecopetrol Prometeo - Documents\Planning Space Implementation\3. Analysis &amp; Design\Design\FC22\DRR Jaime\Neiva CPI\[VAO_DINA TERCIARIOS_CF_SEC_20230117.xlsx]CF PDP'!</v>
      </c>
      <c r="G2937" s="6" t="s">
        <v>111</v>
      </c>
      <c r="H2937" s="1">
        <f t="shared" si="669"/>
        <v>45</v>
      </c>
      <c r="I2937" s="1" t="str">
        <f t="shared" si="667"/>
        <v>='C:\Users\jaime.benazar\Quorum Business Solutions\Ecopetrol Prometeo - Documents\Planning Space Implementation\3. Analysis &amp; Design\Design\FC22\DRR Jaime\Neiva CPI\[VAO_DINA TERCIARIOS_CF_SEC_20230117.xlsx]CF PDP'!$DI$45</v>
      </c>
      <c r="J2937" t="s">
        <v>1436</v>
      </c>
    </row>
    <row r="2938" spans="1:10" x14ac:dyDescent="0.3">
      <c r="A2938" s="6" t="s">
        <v>14</v>
      </c>
      <c r="B2938" s="6">
        <f t="shared" si="668"/>
        <v>2033</v>
      </c>
      <c r="C2938" s="1" t="s">
        <v>110</v>
      </c>
      <c r="D2938" s="2" t="s">
        <v>131</v>
      </c>
      <c r="E2938" s="9" t="str">
        <f t="shared" si="666"/>
        <v>PDP'!</v>
      </c>
      <c r="F2938" s="5" t="str">
        <f t="shared" si="665"/>
        <v>C:\Users\jaime.benazar\Quorum Business Solutions\Ecopetrol Prometeo - Documents\Planning Space Implementation\3. Analysis &amp; Design\Design\FC22\DRR Jaime\Neiva CPI\[VAO_DINA TERCIARIOS_CF_SEC_20230117.xlsx]CF PDP'!</v>
      </c>
      <c r="G2938" s="6" t="s">
        <v>111</v>
      </c>
      <c r="H2938" s="1">
        <f t="shared" si="669"/>
        <v>46</v>
      </c>
      <c r="I2938" s="1" t="str">
        <f t="shared" si="667"/>
        <v>='C:\Users\jaime.benazar\Quorum Business Solutions\Ecopetrol Prometeo - Documents\Planning Space Implementation\3. Analysis &amp; Design\Design\FC22\DRR Jaime\Neiva CPI\[VAO_DINA TERCIARIOS_CF_SEC_20230117.xlsx]CF PDP'!$DI$46</v>
      </c>
      <c r="J2938" t="s">
        <v>1437</v>
      </c>
    </row>
    <row r="2939" spans="1:10" x14ac:dyDescent="0.3">
      <c r="A2939" s="6" t="s">
        <v>14</v>
      </c>
      <c r="B2939" s="6">
        <f t="shared" si="668"/>
        <v>2034</v>
      </c>
      <c r="C2939" s="1" t="s">
        <v>110</v>
      </c>
      <c r="D2939" s="2" t="s">
        <v>131</v>
      </c>
      <c r="E2939" s="9" t="str">
        <f t="shared" si="666"/>
        <v>PDP'!</v>
      </c>
      <c r="F2939" s="5" t="str">
        <f t="shared" si="665"/>
        <v>C:\Users\jaime.benazar\Quorum Business Solutions\Ecopetrol Prometeo - Documents\Planning Space Implementation\3. Analysis &amp; Design\Design\FC22\DRR Jaime\Neiva CPI\[VAO_DINA TERCIARIOS_CF_SEC_20230117.xlsx]CF PDP'!</v>
      </c>
      <c r="G2939" s="6" t="s">
        <v>111</v>
      </c>
      <c r="H2939" s="1">
        <f t="shared" si="669"/>
        <v>47</v>
      </c>
      <c r="I2939" s="1" t="str">
        <f t="shared" si="667"/>
        <v>='C:\Users\jaime.benazar\Quorum Business Solutions\Ecopetrol Prometeo - Documents\Planning Space Implementation\3. Analysis &amp; Design\Design\FC22\DRR Jaime\Neiva CPI\[VAO_DINA TERCIARIOS_CF_SEC_20230117.xlsx]CF PDP'!$DI$47</v>
      </c>
      <c r="J2939" t="s">
        <v>1438</v>
      </c>
    </row>
    <row r="2940" spans="1:10" x14ac:dyDescent="0.3">
      <c r="A2940" s="6" t="s">
        <v>14</v>
      </c>
      <c r="B2940" s="6">
        <f t="shared" si="668"/>
        <v>2035</v>
      </c>
      <c r="C2940" s="1" t="s">
        <v>110</v>
      </c>
      <c r="D2940" s="2" t="s">
        <v>131</v>
      </c>
      <c r="E2940" s="9" t="str">
        <f t="shared" si="666"/>
        <v>PDP'!</v>
      </c>
      <c r="F2940" s="5" t="str">
        <f t="shared" si="665"/>
        <v>C:\Users\jaime.benazar\Quorum Business Solutions\Ecopetrol Prometeo - Documents\Planning Space Implementation\3. Analysis &amp; Design\Design\FC22\DRR Jaime\Neiva CPI\[VAO_DINA TERCIARIOS_CF_SEC_20230117.xlsx]CF PDP'!</v>
      </c>
      <c r="G2940" s="6" t="s">
        <v>111</v>
      </c>
      <c r="H2940" s="1">
        <f t="shared" si="669"/>
        <v>48</v>
      </c>
      <c r="I2940" s="1" t="str">
        <f t="shared" si="667"/>
        <v>='C:\Users\jaime.benazar\Quorum Business Solutions\Ecopetrol Prometeo - Documents\Planning Space Implementation\3. Analysis &amp; Design\Design\FC22\DRR Jaime\Neiva CPI\[VAO_DINA TERCIARIOS_CF_SEC_20230117.xlsx]CF PDP'!$DI$48</v>
      </c>
      <c r="J2940" t="s">
        <v>1439</v>
      </c>
    </row>
    <row r="2941" spans="1:10" x14ac:dyDescent="0.3">
      <c r="A2941" s="6" t="s">
        <v>14</v>
      </c>
      <c r="B2941" s="6">
        <f t="shared" si="668"/>
        <v>2036</v>
      </c>
      <c r="C2941" s="1" t="s">
        <v>110</v>
      </c>
      <c r="D2941" s="2" t="s">
        <v>131</v>
      </c>
      <c r="E2941" s="9" t="str">
        <f t="shared" si="666"/>
        <v>PDP'!</v>
      </c>
      <c r="F2941" s="5" t="str">
        <f t="shared" si="665"/>
        <v>C:\Users\jaime.benazar\Quorum Business Solutions\Ecopetrol Prometeo - Documents\Planning Space Implementation\3. Analysis &amp; Design\Design\FC22\DRR Jaime\Neiva CPI\[VAO_DINA TERCIARIOS_CF_SEC_20230117.xlsx]CF PDP'!</v>
      </c>
      <c r="G2941" s="6" t="s">
        <v>111</v>
      </c>
      <c r="H2941" s="1">
        <f t="shared" si="669"/>
        <v>49</v>
      </c>
      <c r="I2941" s="1" t="str">
        <f t="shared" si="667"/>
        <v>='C:\Users\jaime.benazar\Quorum Business Solutions\Ecopetrol Prometeo - Documents\Planning Space Implementation\3. Analysis &amp; Design\Design\FC22\DRR Jaime\Neiva CPI\[VAO_DINA TERCIARIOS_CF_SEC_20230117.xlsx]CF PDP'!$DI$49</v>
      </c>
      <c r="J2941" t="s">
        <v>1440</v>
      </c>
    </row>
    <row r="2942" spans="1:10" x14ac:dyDescent="0.3">
      <c r="A2942" s="6" t="s">
        <v>14</v>
      </c>
      <c r="B2942" s="6">
        <f>+B2941+1</f>
        <v>2037</v>
      </c>
      <c r="C2942" s="1" t="s">
        <v>110</v>
      </c>
      <c r="D2942" s="2" t="s">
        <v>131</v>
      </c>
      <c r="E2942" s="9" t="str">
        <f t="shared" si="666"/>
        <v>PDP'!</v>
      </c>
      <c r="F2942" s="5" t="str">
        <f t="shared" si="665"/>
        <v>C:\Users\jaime.benazar\Quorum Business Solutions\Ecopetrol Prometeo - Documents\Planning Space Implementation\3. Analysis &amp; Design\Design\FC22\DRR Jaime\Neiva CPI\[VAO_DINA TERCIARIOS_CF_SEC_20230117.xlsx]CF PDP'!</v>
      </c>
      <c r="G2942" s="6" t="s">
        <v>111</v>
      </c>
      <c r="H2942" s="1">
        <f t="shared" si="669"/>
        <v>50</v>
      </c>
      <c r="I2942" s="1" t="str">
        <f t="shared" si="667"/>
        <v>='C:\Users\jaime.benazar\Quorum Business Solutions\Ecopetrol Prometeo - Documents\Planning Space Implementation\3. Analysis &amp; Design\Design\FC22\DRR Jaime\Neiva CPI\[VAO_DINA TERCIARIOS_CF_SEC_20230117.xlsx]CF PDP'!$DI$50</v>
      </c>
      <c r="J2942" t="s">
        <v>1441</v>
      </c>
    </row>
    <row r="2943" spans="1:10" x14ac:dyDescent="0.3">
      <c r="A2943" s="6" t="s">
        <v>14</v>
      </c>
      <c r="B2943" s="6">
        <f t="shared" ref="B2943:B2945" si="670">+B2942+1</f>
        <v>2038</v>
      </c>
      <c r="C2943" s="1" t="s">
        <v>110</v>
      </c>
      <c r="D2943" s="2" t="s">
        <v>131</v>
      </c>
      <c r="E2943" s="9" t="str">
        <f t="shared" si="666"/>
        <v>PDP'!</v>
      </c>
      <c r="F2943" s="5" t="str">
        <f t="shared" si="665"/>
        <v>C:\Users\jaime.benazar\Quorum Business Solutions\Ecopetrol Prometeo - Documents\Planning Space Implementation\3. Analysis &amp; Design\Design\FC22\DRR Jaime\Neiva CPI\[VAO_DINA TERCIARIOS_CF_SEC_20230117.xlsx]CF PDP'!</v>
      </c>
      <c r="G2943" s="6" t="s">
        <v>111</v>
      </c>
      <c r="H2943" s="1">
        <f t="shared" si="669"/>
        <v>51</v>
      </c>
      <c r="I2943" s="1" t="str">
        <f t="shared" si="667"/>
        <v>='C:\Users\jaime.benazar\Quorum Business Solutions\Ecopetrol Prometeo - Documents\Planning Space Implementation\3. Analysis &amp; Design\Design\FC22\DRR Jaime\Neiva CPI\[VAO_DINA TERCIARIOS_CF_SEC_20230117.xlsx]CF PDP'!$DI$51</v>
      </c>
      <c r="J2943" t="s">
        <v>1442</v>
      </c>
    </row>
    <row r="2944" spans="1:10" x14ac:dyDescent="0.3">
      <c r="A2944" s="6" t="s">
        <v>14</v>
      </c>
      <c r="B2944" s="6">
        <f t="shared" si="670"/>
        <v>2039</v>
      </c>
      <c r="C2944" s="1" t="s">
        <v>110</v>
      </c>
      <c r="D2944" s="2" t="s">
        <v>131</v>
      </c>
      <c r="E2944" s="9" t="str">
        <f t="shared" si="666"/>
        <v>PDP'!</v>
      </c>
      <c r="F2944" s="5" t="str">
        <f t="shared" si="665"/>
        <v>C:\Users\jaime.benazar\Quorum Business Solutions\Ecopetrol Prometeo - Documents\Planning Space Implementation\3. Analysis &amp; Design\Design\FC22\DRR Jaime\Neiva CPI\[VAO_DINA TERCIARIOS_CF_SEC_20230117.xlsx]CF PDP'!</v>
      </c>
      <c r="G2944" s="6" t="s">
        <v>111</v>
      </c>
      <c r="H2944" s="1">
        <f t="shared" si="669"/>
        <v>52</v>
      </c>
      <c r="I2944" s="1" t="str">
        <f t="shared" si="667"/>
        <v>='C:\Users\jaime.benazar\Quorum Business Solutions\Ecopetrol Prometeo - Documents\Planning Space Implementation\3. Analysis &amp; Design\Design\FC22\DRR Jaime\Neiva CPI\[VAO_DINA TERCIARIOS_CF_SEC_20230117.xlsx]CF PDP'!$DI$52</v>
      </c>
      <c r="J2944" t="s">
        <v>1443</v>
      </c>
    </row>
    <row r="2945" spans="1:10" x14ac:dyDescent="0.3">
      <c r="A2945" s="6" t="s">
        <v>14</v>
      </c>
      <c r="B2945" s="6">
        <f t="shared" si="670"/>
        <v>2040</v>
      </c>
      <c r="C2945" s="1" t="s">
        <v>110</v>
      </c>
      <c r="D2945" s="2" t="s">
        <v>131</v>
      </c>
      <c r="E2945" s="9" t="str">
        <f t="shared" si="666"/>
        <v>PDP'!</v>
      </c>
      <c r="F2945" s="5" t="str">
        <f t="shared" si="665"/>
        <v>C:\Users\jaime.benazar\Quorum Business Solutions\Ecopetrol Prometeo - Documents\Planning Space Implementation\3. Analysis &amp; Design\Design\FC22\DRR Jaime\Neiva CPI\[VAO_DINA TERCIARIOS_CF_SEC_20230117.xlsx]CF PDP'!</v>
      </c>
      <c r="G2945" s="6" t="s">
        <v>111</v>
      </c>
      <c r="H2945" s="1">
        <f t="shared" si="669"/>
        <v>53</v>
      </c>
      <c r="I2945" s="1" t="str">
        <f t="shared" si="667"/>
        <v>='C:\Users\jaime.benazar\Quorum Business Solutions\Ecopetrol Prometeo - Documents\Planning Space Implementation\3. Analysis &amp; Design\Design\FC22\DRR Jaime\Neiva CPI\[VAO_DINA TERCIARIOS_CF_SEC_20230117.xlsx]CF PDP'!$DI$53</v>
      </c>
      <c r="J2945" t="s">
        <v>1444</v>
      </c>
    </row>
    <row r="2946" spans="1:10" x14ac:dyDescent="0.3">
      <c r="A2946" s="6" t="s">
        <v>14</v>
      </c>
      <c r="B2946" s="6">
        <f>+B2945+1</f>
        <v>2041</v>
      </c>
      <c r="C2946" s="1" t="s">
        <v>110</v>
      </c>
      <c r="D2946" s="2" t="s">
        <v>131</v>
      </c>
      <c r="E2946" s="9" t="str">
        <f t="shared" si="666"/>
        <v>PDP'!</v>
      </c>
      <c r="F2946" s="5" t="str">
        <f t="shared" si="665"/>
        <v>C:\Users\jaime.benazar\Quorum Business Solutions\Ecopetrol Prometeo - Documents\Planning Space Implementation\3. Analysis &amp; Design\Design\FC22\DRR Jaime\Neiva CPI\[VAO_DINA TERCIARIOS_CF_SEC_20230117.xlsx]CF PDP'!</v>
      </c>
      <c r="G2946" s="6" t="s">
        <v>111</v>
      </c>
      <c r="H2946" s="1">
        <f t="shared" si="669"/>
        <v>54</v>
      </c>
      <c r="I2946" s="1" t="str">
        <f t="shared" si="667"/>
        <v>='C:\Users\jaime.benazar\Quorum Business Solutions\Ecopetrol Prometeo - Documents\Planning Space Implementation\3. Analysis &amp; Design\Design\FC22\DRR Jaime\Neiva CPI\[VAO_DINA TERCIARIOS_CF_SEC_20230117.xlsx]CF PDP'!$DI$54</v>
      </c>
      <c r="J2946" t="s">
        <v>1445</v>
      </c>
    </row>
    <row r="2947" spans="1:10" x14ac:dyDescent="0.3">
      <c r="A2947" s="6" t="s">
        <v>14</v>
      </c>
      <c r="B2947" s="6">
        <f t="shared" ref="B2947:B2948" si="671">+B2946+1</f>
        <v>2042</v>
      </c>
      <c r="C2947" s="1" t="s">
        <v>110</v>
      </c>
      <c r="D2947" s="2" t="s">
        <v>131</v>
      </c>
      <c r="E2947" s="9" t="str">
        <f t="shared" si="666"/>
        <v>PDP'!</v>
      </c>
      <c r="F2947" s="5" t="str">
        <f t="shared" si="665"/>
        <v>C:\Users\jaime.benazar\Quorum Business Solutions\Ecopetrol Prometeo - Documents\Planning Space Implementation\3. Analysis &amp; Design\Design\FC22\DRR Jaime\Neiva CPI\[VAO_DINA TERCIARIOS_CF_SEC_20230117.xlsx]CF PDP'!</v>
      </c>
      <c r="G2947" s="6" t="s">
        <v>111</v>
      </c>
      <c r="H2947" s="1">
        <f t="shared" si="669"/>
        <v>55</v>
      </c>
      <c r="I2947" s="1" t="str">
        <f t="shared" si="667"/>
        <v>='C:\Users\jaime.benazar\Quorum Business Solutions\Ecopetrol Prometeo - Documents\Planning Space Implementation\3. Analysis &amp; Design\Design\FC22\DRR Jaime\Neiva CPI\[VAO_DINA TERCIARIOS_CF_SEC_20230117.xlsx]CF PDP'!$DI$55</v>
      </c>
      <c r="J2947" t="s">
        <v>1446</v>
      </c>
    </row>
    <row r="2948" spans="1:10" x14ac:dyDescent="0.3">
      <c r="A2948" s="6" t="s">
        <v>14</v>
      </c>
      <c r="B2948" s="6">
        <f t="shared" si="671"/>
        <v>2043</v>
      </c>
      <c r="C2948" s="1" t="s">
        <v>110</v>
      </c>
      <c r="D2948" s="2" t="s">
        <v>131</v>
      </c>
      <c r="E2948" s="9" t="str">
        <f t="shared" si="666"/>
        <v>PDP'!</v>
      </c>
      <c r="F2948" s="5" t="str">
        <f t="shared" si="665"/>
        <v>C:\Users\jaime.benazar\Quorum Business Solutions\Ecopetrol Prometeo - Documents\Planning Space Implementation\3. Analysis &amp; Design\Design\FC22\DRR Jaime\Neiva CPI\[VAO_DINA TERCIARIOS_CF_SEC_20230117.xlsx]CF PDP'!</v>
      </c>
      <c r="G2948" s="6" t="s">
        <v>111</v>
      </c>
      <c r="H2948" s="1">
        <f t="shared" si="669"/>
        <v>56</v>
      </c>
      <c r="I2948" s="1" t="str">
        <f t="shared" si="667"/>
        <v>='C:\Users\jaime.benazar\Quorum Business Solutions\Ecopetrol Prometeo - Documents\Planning Space Implementation\3. Analysis &amp; Design\Design\FC22\DRR Jaime\Neiva CPI\[VAO_DINA TERCIARIOS_CF_SEC_20230117.xlsx]CF PDP'!$DI$56</v>
      </c>
      <c r="J2948" t="s">
        <v>1447</v>
      </c>
    </row>
    <row r="2949" spans="1:10" x14ac:dyDescent="0.3">
      <c r="A2949" s="6" t="s">
        <v>14</v>
      </c>
      <c r="B2949" s="6">
        <f>+B2948+1</f>
        <v>2044</v>
      </c>
      <c r="C2949" s="1" t="s">
        <v>110</v>
      </c>
      <c r="D2949" s="2" t="s">
        <v>131</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Jaime\Neiva CPI\[VAO_DINA TERCIARIOS_CF_SEC_20230117.xlsx]CF PDP'!</v>
      </c>
      <c r="G2949" s="6" t="s">
        <v>111</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Jaime\Neiva CPI\[VAO_DINA TERCIARIOS_CF_SEC_20230117.xlsx]CF PDP'!$DI$57</v>
      </c>
      <c r="J2949" t="s">
        <v>1448</v>
      </c>
    </row>
    <row r="2950" spans="1:10" x14ac:dyDescent="0.3">
      <c r="A2950" s="6" t="s">
        <v>14</v>
      </c>
      <c r="B2950" s="6">
        <f t="shared" ref="B2950:B2964" si="676">+B2949+1</f>
        <v>2045</v>
      </c>
      <c r="C2950" s="1" t="s">
        <v>110</v>
      </c>
      <c r="D2950" s="2" t="s">
        <v>131</v>
      </c>
      <c r="E2950" s="9" t="str">
        <f t="shared" si="672"/>
        <v>PDP'!</v>
      </c>
      <c r="F2950" s="5" t="str">
        <f t="shared" si="673"/>
        <v>C:\Users\jaime.benazar\Quorum Business Solutions\Ecopetrol Prometeo - Documents\Planning Space Implementation\3. Analysis &amp; Design\Design\FC22\DRR Jaime\Neiva CPI\[VAO_DINA TERCIARIOS_CF_SEC_20230117.xlsx]CF PDP'!</v>
      </c>
      <c r="G2950" s="6" t="s">
        <v>111</v>
      </c>
      <c r="H2950" s="1">
        <f t="shared" si="674"/>
        <v>58</v>
      </c>
      <c r="I2950" s="1" t="str">
        <f t="shared" si="675"/>
        <v>='C:\Users\jaime.benazar\Quorum Business Solutions\Ecopetrol Prometeo - Documents\Planning Space Implementation\3. Analysis &amp; Design\Design\FC22\DRR Jaime\Neiva CPI\[VAO_DINA TERCIARIOS_CF_SEC_20230117.xlsx]CF PDP'!$DI$58</v>
      </c>
      <c r="J2950" t="s">
        <v>1449</v>
      </c>
    </row>
    <row r="2951" spans="1:10" x14ac:dyDescent="0.3">
      <c r="A2951" s="6" t="s">
        <v>14</v>
      </c>
      <c r="B2951" s="6">
        <f t="shared" si="676"/>
        <v>2046</v>
      </c>
      <c r="C2951" s="1" t="s">
        <v>110</v>
      </c>
      <c r="D2951" s="2" t="s">
        <v>131</v>
      </c>
      <c r="E2951" s="9" t="str">
        <f t="shared" si="672"/>
        <v>PDP'!</v>
      </c>
      <c r="F2951" s="5" t="str">
        <f t="shared" si="673"/>
        <v>C:\Users\jaime.benazar\Quorum Business Solutions\Ecopetrol Prometeo - Documents\Planning Space Implementation\3. Analysis &amp; Design\Design\FC22\DRR Jaime\Neiva CPI\[VAO_DINA TERCIARIOS_CF_SEC_20230117.xlsx]CF PDP'!</v>
      </c>
      <c r="G2951" s="6" t="s">
        <v>111</v>
      </c>
      <c r="H2951" s="1">
        <f t="shared" si="674"/>
        <v>59</v>
      </c>
      <c r="I2951" s="1" t="str">
        <f t="shared" si="675"/>
        <v>='C:\Users\jaime.benazar\Quorum Business Solutions\Ecopetrol Prometeo - Documents\Planning Space Implementation\3. Analysis &amp; Design\Design\FC22\DRR Jaime\Neiva CPI\[VAO_DINA TERCIARIOS_CF_SEC_20230117.xlsx]CF PDP'!$DI$59</v>
      </c>
      <c r="J2951" t="s">
        <v>1450</v>
      </c>
    </row>
    <row r="2952" spans="1:10" x14ac:dyDescent="0.3">
      <c r="A2952" s="6" t="s">
        <v>14</v>
      </c>
      <c r="B2952" s="6">
        <f t="shared" si="676"/>
        <v>2047</v>
      </c>
      <c r="C2952" s="1" t="s">
        <v>110</v>
      </c>
      <c r="D2952" s="2" t="s">
        <v>131</v>
      </c>
      <c r="E2952" s="9" t="str">
        <f t="shared" si="672"/>
        <v>PDP'!</v>
      </c>
      <c r="F2952" s="5" t="str">
        <f t="shared" si="673"/>
        <v>C:\Users\jaime.benazar\Quorum Business Solutions\Ecopetrol Prometeo - Documents\Planning Space Implementation\3. Analysis &amp; Design\Design\FC22\DRR Jaime\Neiva CPI\[VAO_DINA TERCIARIOS_CF_SEC_20230117.xlsx]CF PDP'!</v>
      </c>
      <c r="G2952" s="6" t="s">
        <v>111</v>
      </c>
      <c r="H2952" s="1">
        <f t="shared" si="674"/>
        <v>60</v>
      </c>
      <c r="I2952" s="1" t="str">
        <f t="shared" si="675"/>
        <v>='C:\Users\jaime.benazar\Quorum Business Solutions\Ecopetrol Prometeo - Documents\Planning Space Implementation\3. Analysis &amp; Design\Design\FC22\DRR Jaime\Neiva CPI\[VAO_DINA TERCIARIOS_CF_SEC_20230117.xlsx]CF PDP'!$DI$60</v>
      </c>
      <c r="J2952" t="s">
        <v>1451</v>
      </c>
    </row>
    <row r="2953" spans="1:10" x14ac:dyDescent="0.3">
      <c r="A2953" s="6" t="s">
        <v>14</v>
      </c>
      <c r="B2953" s="6">
        <f t="shared" si="676"/>
        <v>2048</v>
      </c>
      <c r="C2953" s="1" t="s">
        <v>110</v>
      </c>
      <c r="D2953" s="2" t="s">
        <v>131</v>
      </c>
      <c r="E2953" s="9" t="str">
        <f t="shared" si="672"/>
        <v>PDP'!</v>
      </c>
      <c r="F2953" s="5" t="str">
        <f t="shared" si="673"/>
        <v>C:\Users\jaime.benazar\Quorum Business Solutions\Ecopetrol Prometeo - Documents\Planning Space Implementation\3. Analysis &amp; Design\Design\FC22\DRR Jaime\Neiva CPI\[VAO_DINA TERCIARIOS_CF_SEC_20230117.xlsx]CF PDP'!</v>
      </c>
      <c r="G2953" s="6" t="s">
        <v>111</v>
      </c>
      <c r="H2953" s="1">
        <f t="shared" si="674"/>
        <v>61</v>
      </c>
      <c r="I2953" s="1" t="str">
        <f t="shared" si="675"/>
        <v>='C:\Users\jaime.benazar\Quorum Business Solutions\Ecopetrol Prometeo - Documents\Planning Space Implementation\3. Analysis &amp; Design\Design\FC22\DRR Jaime\Neiva CPI\[VAO_DINA TERCIARIOS_CF_SEC_20230117.xlsx]CF PDP'!$DI$61</v>
      </c>
      <c r="J2953" t="s">
        <v>1452</v>
      </c>
    </row>
    <row r="2954" spans="1:10" x14ac:dyDescent="0.3">
      <c r="A2954" s="6" t="s">
        <v>14</v>
      </c>
      <c r="B2954" s="6">
        <f t="shared" si="676"/>
        <v>2049</v>
      </c>
      <c r="C2954" s="1" t="s">
        <v>110</v>
      </c>
      <c r="D2954" s="2" t="s">
        <v>131</v>
      </c>
      <c r="E2954" s="9" t="str">
        <f t="shared" si="672"/>
        <v>PDP'!</v>
      </c>
      <c r="F2954" s="5" t="str">
        <f t="shared" si="673"/>
        <v>C:\Users\jaime.benazar\Quorum Business Solutions\Ecopetrol Prometeo - Documents\Planning Space Implementation\3. Analysis &amp; Design\Design\FC22\DRR Jaime\Neiva CPI\[VAO_DINA TERCIARIOS_CF_SEC_20230117.xlsx]CF PDP'!</v>
      </c>
      <c r="G2954" s="6" t="s">
        <v>111</v>
      </c>
      <c r="H2954" s="1">
        <f t="shared" si="674"/>
        <v>62</v>
      </c>
      <c r="I2954" s="1" t="str">
        <f t="shared" si="675"/>
        <v>='C:\Users\jaime.benazar\Quorum Business Solutions\Ecopetrol Prometeo - Documents\Planning Space Implementation\3. Analysis &amp; Design\Design\FC22\DRR Jaime\Neiva CPI\[VAO_DINA TERCIARIOS_CF_SEC_20230117.xlsx]CF PDP'!$DI$62</v>
      </c>
      <c r="J2954" t="s">
        <v>1453</v>
      </c>
    </row>
    <row r="2955" spans="1:10" x14ac:dyDescent="0.3">
      <c r="A2955" s="6" t="s">
        <v>14</v>
      </c>
      <c r="B2955" s="6">
        <f t="shared" si="676"/>
        <v>2050</v>
      </c>
      <c r="C2955" s="1" t="s">
        <v>110</v>
      </c>
      <c r="D2955" s="2" t="s">
        <v>131</v>
      </c>
      <c r="E2955" s="9" t="str">
        <f t="shared" si="672"/>
        <v>PDP'!</v>
      </c>
      <c r="F2955" s="5" t="str">
        <f t="shared" si="673"/>
        <v>C:\Users\jaime.benazar\Quorum Business Solutions\Ecopetrol Prometeo - Documents\Planning Space Implementation\3. Analysis &amp; Design\Design\FC22\DRR Jaime\Neiva CPI\[VAO_DINA TERCIARIOS_CF_SEC_20230117.xlsx]CF PDP'!</v>
      </c>
      <c r="G2955" s="6" t="s">
        <v>111</v>
      </c>
      <c r="H2955" s="1">
        <f t="shared" si="674"/>
        <v>63</v>
      </c>
      <c r="I2955" s="1" t="str">
        <f t="shared" si="675"/>
        <v>='C:\Users\jaime.benazar\Quorum Business Solutions\Ecopetrol Prometeo - Documents\Planning Space Implementation\3. Analysis &amp; Design\Design\FC22\DRR Jaime\Neiva CPI\[VAO_DINA TERCIARIOS_CF_SEC_20230117.xlsx]CF PDP'!$DI$63</v>
      </c>
      <c r="J2955" t="s">
        <v>1454</v>
      </c>
    </row>
    <row r="2956" spans="1:10" x14ac:dyDescent="0.3">
      <c r="A2956" s="6" t="s">
        <v>14</v>
      </c>
      <c r="B2956" s="6">
        <f t="shared" si="676"/>
        <v>2051</v>
      </c>
      <c r="C2956" s="1" t="s">
        <v>110</v>
      </c>
      <c r="D2956" s="2" t="s">
        <v>131</v>
      </c>
      <c r="E2956" s="9" t="str">
        <f t="shared" si="672"/>
        <v>PDP'!</v>
      </c>
      <c r="F2956" s="5" t="str">
        <f t="shared" si="673"/>
        <v>C:\Users\jaime.benazar\Quorum Business Solutions\Ecopetrol Prometeo - Documents\Planning Space Implementation\3. Analysis &amp; Design\Design\FC22\DRR Jaime\Neiva CPI\[VAO_DINA TERCIARIOS_CF_SEC_20230117.xlsx]CF PDP'!</v>
      </c>
      <c r="G2956" s="6" t="s">
        <v>111</v>
      </c>
      <c r="H2956" s="1">
        <f t="shared" si="674"/>
        <v>64</v>
      </c>
      <c r="I2956" s="1" t="str">
        <f t="shared" si="675"/>
        <v>='C:\Users\jaime.benazar\Quorum Business Solutions\Ecopetrol Prometeo - Documents\Planning Space Implementation\3. Analysis &amp; Design\Design\FC22\DRR Jaime\Neiva CPI\[VAO_DINA TERCIARIOS_CF_SEC_20230117.xlsx]CF PDP'!$DI$64</v>
      </c>
      <c r="J2956" t="s">
        <v>1455</v>
      </c>
    </row>
    <row r="2957" spans="1:10" x14ac:dyDescent="0.3">
      <c r="A2957" s="6" t="s">
        <v>14</v>
      </c>
      <c r="B2957" s="6">
        <f t="shared" si="676"/>
        <v>2052</v>
      </c>
      <c r="C2957" s="1" t="s">
        <v>110</v>
      </c>
      <c r="D2957" s="2" t="s">
        <v>131</v>
      </c>
      <c r="E2957" s="9" t="str">
        <f t="shared" si="672"/>
        <v>PDP'!</v>
      </c>
      <c r="F2957" s="5" t="str">
        <f t="shared" si="673"/>
        <v>C:\Users\jaime.benazar\Quorum Business Solutions\Ecopetrol Prometeo - Documents\Planning Space Implementation\3. Analysis &amp; Design\Design\FC22\DRR Jaime\Neiva CPI\[VAO_DINA TERCIARIOS_CF_SEC_20230117.xlsx]CF PDP'!</v>
      </c>
      <c r="G2957" s="6" t="s">
        <v>111</v>
      </c>
      <c r="H2957" s="1">
        <f t="shared" si="674"/>
        <v>65</v>
      </c>
      <c r="I2957" s="1" t="str">
        <f t="shared" si="675"/>
        <v>='C:\Users\jaime.benazar\Quorum Business Solutions\Ecopetrol Prometeo - Documents\Planning Space Implementation\3. Analysis &amp; Design\Design\FC22\DRR Jaime\Neiva CPI\[VAO_DINA TERCIARIOS_CF_SEC_20230117.xlsx]CF PDP'!$DI$65</v>
      </c>
      <c r="J2957" t="s">
        <v>1456</v>
      </c>
    </row>
    <row r="2958" spans="1:10" x14ac:dyDescent="0.3">
      <c r="A2958" s="6" t="s">
        <v>14</v>
      </c>
      <c r="B2958" s="6">
        <f t="shared" si="676"/>
        <v>2053</v>
      </c>
      <c r="C2958" s="1" t="s">
        <v>110</v>
      </c>
      <c r="D2958" s="2" t="s">
        <v>131</v>
      </c>
      <c r="E2958" s="9" t="str">
        <f t="shared" si="672"/>
        <v>PDP'!</v>
      </c>
      <c r="F2958" s="5" t="str">
        <f t="shared" si="673"/>
        <v>C:\Users\jaime.benazar\Quorum Business Solutions\Ecopetrol Prometeo - Documents\Planning Space Implementation\3. Analysis &amp; Design\Design\FC22\DRR Jaime\Neiva CPI\[VAO_DINA TERCIARIOS_CF_SEC_20230117.xlsx]CF PDP'!</v>
      </c>
      <c r="G2958" s="6" t="s">
        <v>111</v>
      </c>
      <c r="H2958" s="1">
        <f t="shared" si="674"/>
        <v>66</v>
      </c>
      <c r="I2958" s="1" t="str">
        <f t="shared" si="675"/>
        <v>='C:\Users\jaime.benazar\Quorum Business Solutions\Ecopetrol Prometeo - Documents\Planning Space Implementation\3. Analysis &amp; Design\Design\FC22\DRR Jaime\Neiva CPI\[VAO_DINA TERCIARIOS_CF_SEC_20230117.xlsx]CF PDP'!$DI$66</v>
      </c>
      <c r="J2958" t="s">
        <v>1457</v>
      </c>
    </row>
    <row r="2959" spans="1:10" x14ac:dyDescent="0.3">
      <c r="A2959" s="6" t="s">
        <v>14</v>
      </c>
      <c r="B2959" s="6">
        <f t="shared" si="676"/>
        <v>2054</v>
      </c>
      <c r="C2959" s="1" t="s">
        <v>110</v>
      </c>
      <c r="D2959" s="2" t="s">
        <v>131</v>
      </c>
      <c r="E2959" s="9" t="str">
        <f t="shared" si="672"/>
        <v>PDP'!</v>
      </c>
      <c r="F2959" s="5" t="str">
        <f t="shared" si="673"/>
        <v>C:\Users\jaime.benazar\Quorum Business Solutions\Ecopetrol Prometeo - Documents\Planning Space Implementation\3. Analysis &amp; Design\Design\FC22\DRR Jaime\Neiva CPI\[VAO_DINA TERCIARIOS_CF_SEC_20230117.xlsx]CF PDP'!</v>
      </c>
      <c r="G2959" s="6" t="s">
        <v>111</v>
      </c>
      <c r="H2959" s="1">
        <f t="shared" si="674"/>
        <v>67</v>
      </c>
      <c r="I2959" s="1" t="str">
        <f t="shared" si="675"/>
        <v>='C:\Users\jaime.benazar\Quorum Business Solutions\Ecopetrol Prometeo - Documents\Planning Space Implementation\3. Analysis &amp; Design\Design\FC22\DRR Jaime\Neiva CPI\[VAO_DINA TERCIARIOS_CF_SEC_20230117.xlsx]CF PDP'!$DI$67</v>
      </c>
      <c r="J2959" t="s">
        <v>1458</v>
      </c>
    </row>
    <row r="2960" spans="1:10" x14ac:dyDescent="0.3">
      <c r="A2960" s="6" t="s">
        <v>14</v>
      </c>
      <c r="B2960" s="6">
        <f t="shared" si="676"/>
        <v>2055</v>
      </c>
      <c r="C2960" s="1" t="s">
        <v>110</v>
      </c>
      <c r="D2960" s="2" t="s">
        <v>131</v>
      </c>
      <c r="E2960" s="9" t="str">
        <f t="shared" si="672"/>
        <v>PDP'!</v>
      </c>
      <c r="F2960" s="5" t="str">
        <f t="shared" si="673"/>
        <v>C:\Users\jaime.benazar\Quorum Business Solutions\Ecopetrol Prometeo - Documents\Planning Space Implementation\3. Analysis &amp; Design\Design\FC22\DRR Jaime\Neiva CPI\[VAO_DINA TERCIARIOS_CF_SEC_20230117.xlsx]CF PDP'!</v>
      </c>
      <c r="G2960" s="6" t="s">
        <v>111</v>
      </c>
      <c r="H2960" s="1">
        <f t="shared" si="674"/>
        <v>68</v>
      </c>
      <c r="I2960" s="1" t="str">
        <f t="shared" si="675"/>
        <v>='C:\Users\jaime.benazar\Quorum Business Solutions\Ecopetrol Prometeo - Documents\Planning Space Implementation\3. Analysis &amp; Design\Design\FC22\DRR Jaime\Neiva CPI\[VAO_DINA TERCIARIOS_CF_SEC_20230117.xlsx]CF PDP'!$DI$68</v>
      </c>
      <c r="J2960" t="s">
        <v>1459</v>
      </c>
    </row>
    <row r="2961" spans="1:10" x14ac:dyDescent="0.3">
      <c r="A2961" s="6" t="s">
        <v>14</v>
      </c>
      <c r="B2961" s="6">
        <f t="shared" si="676"/>
        <v>2056</v>
      </c>
      <c r="C2961" s="1" t="s">
        <v>110</v>
      </c>
      <c r="D2961" s="2" t="s">
        <v>131</v>
      </c>
      <c r="E2961" s="9" t="str">
        <f t="shared" si="672"/>
        <v>PDP'!</v>
      </c>
      <c r="F2961" s="5" t="str">
        <f t="shared" si="673"/>
        <v>C:\Users\jaime.benazar\Quorum Business Solutions\Ecopetrol Prometeo - Documents\Planning Space Implementation\3. Analysis &amp; Design\Design\FC22\DRR Jaime\Neiva CPI\[VAO_DINA TERCIARIOS_CF_SEC_20230117.xlsx]CF PDP'!</v>
      </c>
      <c r="G2961" s="6" t="s">
        <v>111</v>
      </c>
      <c r="H2961" s="1">
        <f t="shared" si="674"/>
        <v>69</v>
      </c>
      <c r="I2961" s="1" t="str">
        <f t="shared" si="675"/>
        <v>='C:\Users\jaime.benazar\Quorum Business Solutions\Ecopetrol Prometeo - Documents\Planning Space Implementation\3. Analysis &amp; Design\Design\FC22\DRR Jaime\Neiva CPI\[VAO_DINA TERCIARIOS_CF_SEC_20230117.xlsx]CF PDP'!$DI$69</v>
      </c>
      <c r="J2961" t="s">
        <v>1460</v>
      </c>
    </row>
    <row r="2962" spans="1:10" x14ac:dyDescent="0.3">
      <c r="A2962" s="6" t="s">
        <v>14</v>
      </c>
      <c r="B2962" s="6">
        <f t="shared" si="676"/>
        <v>2057</v>
      </c>
      <c r="C2962" s="1" t="s">
        <v>110</v>
      </c>
      <c r="D2962" s="2" t="s">
        <v>131</v>
      </c>
      <c r="E2962" s="9" t="str">
        <f t="shared" si="672"/>
        <v>PDP'!</v>
      </c>
      <c r="F2962" s="5" t="str">
        <f t="shared" si="673"/>
        <v>C:\Users\jaime.benazar\Quorum Business Solutions\Ecopetrol Prometeo - Documents\Planning Space Implementation\3. Analysis &amp; Design\Design\FC22\DRR Jaime\Neiva CPI\[VAO_DINA TERCIARIOS_CF_SEC_20230117.xlsx]CF PDP'!</v>
      </c>
      <c r="G2962" s="6" t="s">
        <v>111</v>
      </c>
      <c r="H2962" s="1">
        <f t="shared" si="674"/>
        <v>70</v>
      </c>
      <c r="I2962" s="1" t="str">
        <f t="shared" si="675"/>
        <v>='C:\Users\jaime.benazar\Quorum Business Solutions\Ecopetrol Prometeo - Documents\Planning Space Implementation\3. Analysis &amp; Design\Design\FC22\DRR Jaime\Neiva CPI\[VAO_DINA TERCIARIOS_CF_SEC_20230117.xlsx]CF PDP'!$DI$70</v>
      </c>
      <c r="J2962" t="s">
        <v>1461</v>
      </c>
    </row>
    <row r="2963" spans="1:10" x14ac:dyDescent="0.3">
      <c r="A2963" s="6" t="s">
        <v>14</v>
      </c>
      <c r="B2963" s="6">
        <f t="shared" si="676"/>
        <v>2058</v>
      </c>
      <c r="C2963" s="1" t="s">
        <v>110</v>
      </c>
      <c r="D2963" s="2" t="s">
        <v>131</v>
      </c>
      <c r="E2963" s="9" t="str">
        <f t="shared" si="672"/>
        <v>PDP'!</v>
      </c>
      <c r="F2963" s="5" t="str">
        <f t="shared" si="673"/>
        <v>C:\Users\jaime.benazar\Quorum Business Solutions\Ecopetrol Prometeo - Documents\Planning Space Implementation\3. Analysis &amp; Design\Design\FC22\DRR Jaime\Neiva CPI\[VAO_DINA TERCIARIOS_CF_SEC_20230117.xlsx]CF PDP'!</v>
      </c>
      <c r="G2963" s="6" t="s">
        <v>111</v>
      </c>
      <c r="H2963" s="1">
        <f t="shared" si="674"/>
        <v>71</v>
      </c>
      <c r="I2963" s="1" t="str">
        <f t="shared" si="675"/>
        <v>='C:\Users\jaime.benazar\Quorum Business Solutions\Ecopetrol Prometeo - Documents\Planning Space Implementation\3. Analysis &amp; Design\Design\FC22\DRR Jaime\Neiva CPI\[VAO_DINA TERCIARIOS_CF_SEC_20230117.xlsx]CF PDP'!$DI$71</v>
      </c>
      <c r="J2963" t="s">
        <v>1462</v>
      </c>
    </row>
    <row r="2964" spans="1:10" x14ac:dyDescent="0.3">
      <c r="A2964" s="6" t="s">
        <v>14</v>
      </c>
      <c r="B2964" s="6">
        <f t="shared" si="676"/>
        <v>2059</v>
      </c>
      <c r="C2964" s="1" t="s">
        <v>110</v>
      </c>
      <c r="D2964" s="2" t="s">
        <v>131</v>
      </c>
      <c r="E2964" s="9" t="str">
        <f t="shared" si="672"/>
        <v>PDP'!</v>
      </c>
      <c r="F2964" s="5" t="str">
        <f t="shared" si="673"/>
        <v>C:\Users\jaime.benazar\Quorum Business Solutions\Ecopetrol Prometeo - Documents\Planning Space Implementation\3. Analysis &amp; Design\Design\FC22\DRR Jaime\Neiva CPI\[VAO_DINA TERCIARIOS_CF_SEC_20230117.xlsx]CF PDP'!</v>
      </c>
      <c r="G2964" s="6" t="s">
        <v>111</v>
      </c>
      <c r="H2964" s="1">
        <f t="shared" si="674"/>
        <v>72</v>
      </c>
      <c r="I2964" s="1" t="str">
        <f t="shared" si="675"/>
        <v>='C:\Users\jaime.benazar\Quorum Business Solutions\Ecopetrol Prometeo - Documents\Planning Space Implementation\3. Analysis &amp; Design\Design\FC22\DRR Jaime\Neiva CPI\[VAO_DINA TERCIARIOS_CF_SEC_20230117.xlsx]CF PDP'!$DI$72</v>
      </c>
      <c r="J2964" t="s">
        <v>1463</v>
      </c>
    </row>
    <row r="2965" spans="1:10" x14ac:dyDescent="0.3">
      <c r="A2965" s="7" t="s">
        <v>26</v>
      </c>
      <c r="B2965" s="6"/>
      <c r="C2965" s="1" t="s">
        <v>110</v>
      </c>
      <c r="D2965" s="2"/>
      <c r="E2965" s="9"/>
      <c r="F2965" s="5"/>
      <c r="G2965" s="6"/>
      <c r="H2965" s="1"/>
      <c r="I2965" s="1"/>
      <c r="J2965" s="4"/>
    </row>
    <row r="2966" spans="1:10" x14ac:dyDescent="0.3">
      <c r="A2966" s="6" t="s">
        <v>15</v>
      </c>
      <c r="B2966" s="6">
        <v>2023</v>
      </c>
      <c r="C2966" s="1" t="s">
        <v>110</v>
      </c>
      <c r="D2966" s="2" t="s">
        <v>131</v>
      </c>
      <c r="E2966" s="9" t="str">
        <f t="shared" si="666"/>
        <v>PNP'!</v>
      </c>
      <c r="F2966" s="5" t="str">
        <f t="shared" ref="F2966:F2986" si="677">_xlfn.CONCAT(D2966," ",E2966)</f>
        <v>C:\Users\jaime.benazar\Quorum Business Solutions\Ecopetrol Prometeo - Documents\Planning Space Implementation\3. Analysis &amp; Design\Design\FC22\DRR Jaime\Neiva CPI\[VAO_DINA TERCIARIOS_CF_SEC_20230117.xlsx]CF PNP'!</v>
      </c>
      <c r="G2966" s="6" t="s">
        <v>111</v>
      </c>
      <c r="H2966" s="1">
        <f>IF(A2966&lt;&gt;A2950,36,H2950+1)</f>
        <v>36</v>
      </c>
      <c r="I2966" s="1" t="str">
        <f t="shared" si="667"/>
        <v>='C:\Users\jaime.benazar\Quorum Business Solutions\Ecopetrol Prometeo - Documents\Planning Space Implementation\3. Analysis &amp; Design\Design\FC22\DRR Jaime\Neiva CPI\[VAO_DINA TERCIARIOS_CF_SEC_20230117.xlsx]CF PNP'!$DI$36</v>
      </c>
      <c r="J2966" t="s">
        <v>1464</v>
      </c>
    </row>
    <row r="2967" spans="1:10" x14ac:dyDescent="0.3">
      <c r="A2967" s="6" t="s">
        <v>15</v>
      </c>
      <c r="B2967" s="6">
        <f>+B2966+1</f>
        <v>2024</v>
      </c>
      <c r="C2967" s="1" t="s">
        <v>110</v>
      </c>
      <c r="D2967" s="2" t="s">
        <v>131</v>
      </c>
      <c r="E2967" s="9" t="str">
        <f t="shared" si="666"/>
        <v>PNP'!</v>
      </c>
      <c r="F2967" s="5" t="str">
        <f t="shared" si="677"/>
        <v>C:\Users\jaime.benazar\Quorum Business Solutions\Ecopetrol Prometeo - Documents\Planning Space Implementation\3. Analysis &amp; Design\Design\FC22\DRR Jaime\Neiva CPI\[VAO_DINA TERCIARIOS_CF_SEC_20230117.xlsx]CF PNP'!</v>
      </c>
      <c r="G2967" s="6" t="s">
        <v>111</v>
      </c>
      <c r="H2967" s="1">
        <f t="shared" si="669"/>
        <v>37</v>
      </c>
      <c r="I2967" s="1" t="str">
        <f t="shared" si="667"/>
        <v>='C:\Users\jaime.benazar\Quorum Business Solutions\Ecopetrol Prometeo - Documents\Planning Space Implementation\3. Analysis &amp; Design\Design\FC22\DRR Jaime\Neiva CPI\[VAO_DINA TERCIARIOS_CF_SEC_20230117.xlsx]CF PNP'!$DI$37</v>
      </c>
      <c r="J2967" t="s">
        <v>1465</v>
      </c>
    </row>
    <row r="2968" spans="1:10" x14ac:dyDescent="0.3">
      <c r="A2968" s="6" t="s">
        <v>15</v>
      </c>
      <c r="B2968" s="6">
        <f t="shared" ref="B2968:B2979" si="678">+B2967+1</f>
        <v>2025</v>
      </c>
      <c r="C2968" s="1" t="s">
        <v>110</v>
      </c>
      <c r="D2968" s="2" t="s">
        <v>131</v>
      </c>
      <c r="E2968" s="9" t="str">
        <f t="shared" si="666"/>
        <v>PNP'!</v>
      </c>
      <c r="F2968" s="5" t="str">
        <f t="shared" si="677"/>
        <v>C:\Users\jaime.benazar\Quorum Business Solutions\Ecopetrol Prometeo - Documents\Planning Space Implementation\3. Analysis &amp; Design\Design\FC22\DRR Jaime\Neiva CPI\[VAO_DINA TERCIARIOS_CF_SEC_20230117.xlsx]CF PNP'!</v>
      </c>
      <c r="G2968" s="6" t="s">
        <v>111</v>
      </c>
      <c r="H2968" s="1">
        <f t="shared" si="669"/>
        <v>38</v>
      </c>
      <c r="I2968" s="1" t="str">
        <f t="shared" si="667"/>
        <v>='C:\Users\jaime.benazar\Quorum Business Solutions\Ecopetrol Prometeo - Documents\Planning Space Implementation\3. Analysis &amp; Design\Design\FC22\DRR Jaime\Neiva CPI\[VAO_DINA TERCIARIOS_CF_SEC_20230117.xlsx]CF PNP'!$DI$38</v>
      </c>
      <c r="J2968" t="s">
        <v>1466</v>
      </c>
    </row>
    <row r="2969" spans="1:10" x14ac:dyDescent="0.3">
      <c r="A2969" s="6" t="s">
        <v>15</v>
      </c>
      <c r="B2969" s="6">
        <f t="shared" si="678"/>
        <v>2026</v>
      </c>
      <c r="C2969" s="1" t="s">
        <v>110</v>
      </c>
      <c r="D2969" s="2" t="s">
        <v>131</v>
      </c>
      <c r="E2969" s="9" t="str">
        <f t="shared" si="666"/>
        <v>PNP'!</v>
      </c>
      <c r="F2969" s="5" t="str">
        <f t="shared" si="677"/>
        <v>C:\Users\jaime.benazar\Quorum Business Solutions\Ecopetrol Prometeo - Documents\Planning Space Implementation\3. Analysis &amp; Design\Design\FC22\DRR Jaime\Neiva CPI\[VAO_DINA TERCIARIOS_CF_SEC_20230117.xlsx]CF PNP'!</v>
      </c>
      <c r="G2969" s="6" t="s">
        <v>111</v>
      </c>
      <c r="H2969" s="1">
        <f t="shared" si="669"/>
        <v>39</v>
      </c>
      <c r="I2969" s="1" t="str">
        <f t="shared" si="667"/>
        <v>='C:\Users\jaime.benazar\Quorum Business Solutions\Ecopetrol Prometeo - Documents\Planning Space Implementation\3. Analysis &amp; Design\Design\FC22\DRR Jaime\Neiva CPI\[VAO_DINA TERCIARIOS_CF_SEC_20230117.xlsx]CF PNP'!$DI$39</v>
      </c>
      <c r="J2969" t="s">
        <v>1467</v>
      </c>
    </row>
    <row r="2970" spans="1:10" x14ac:dyDescent="0.3">
      <c r="A2970" s="6" t="s">
        <v>15</v>
      </c>
      <c r="B2970" s="6">
        <f t="shared" si="678"/>
        <v>2027</v>
      </c>
      <c r="C2970" s="1" t="s">
        <v>110</v>
      </c>
      <c r="D2970" s="2" t="s">
        <v>131</v>
      </c>
      <c r="E2970" s="9" t="str">
        <f t="shared" si="666"/>
        <v>PNP'!</v>
      </c>
      <c r="F2970" s="5" t="str">
        <f t="shared" si="677"/>
        <v>C:\Users\jaime.benazar\Quorum Business Solutions\Ecopetrol Prometeo - Documents\Planning Space Implementation\3. Analysis &amp; Design\Design\FC22\DRR Jaime\Neiva CPI\[VAO_DINA TERCIARIOS_CF_SEC_20230117.xlsx]CF PNP'!</v>
      </c>
      <c r="G2970" s="6" t="s">
        <v>111</v>
      </c>
      <c r="H2970" s="1">
        <f t="shared" si="669"/>
        <v>40</v>
      </c>
      <c r="I2970" s="1" t="str">
        <f t="shared" si="667"/>
        <v>='C:\Users\jaime.benazar\Quorum Business Solutions\Ecopetrol Prometeo - Documents\Planning Space Implementation\3. Analysis &amp; Design\Design\FC22\DRR Jaime\Neiva CPI\[VAO_DINA TERCIARIOS_CF_SEC_20230117.xlsx]CF PNP'!$DI$40</v>
      </c>
      <c r="J2970" t="s">
        <v>1468</v>
      </c>
    </row>
    <row r="2971" spans="1:10" x14ac:dyDescent="0.3">
      <c r="A2971" s="6" t="s">
        <v>15</v>
      </c>
      <c r="B2971" s="6">
        <f t="shared" si="678"/>
        <v>2028</v>
      </c>
      <c r="C2971" s="1" t="s">
        <v>110</v>
      </c>
      <c r="D2971" s="2" t="s">
        <v>131</v>
      </c>
      <c r="E2971" s="9" t="str">
        <f t="shared" si="666"/>
        <v>PNP'!</v>
      </c>
      <c r="F2971" s="5" t="str">
        <f t="shared" si="677"/>
        <v>C:\Users\jaime.benazar\Quorum Business Solutions\Ecopetrol Prometeo - Documents\Planning Space Implementation\3. Analysis &amp; Design\Design\FC22\DRR Jaime\Neiva CPI\[VAO_DINA TERCIARIOS_CF_SEC_20230117.xlsx]CF PNP'!</v>
      </c>
      <c r="G2971" s="6" t="s">
        <v>111</v>
      </c>
      <c r="H2971" s="1">
        <f t="shared" si="669"/>
        <v>41</v>
      </c>
      <c r="I2971" s="1" t="str">
        <f t="shared" si="667"/>
        <v>='C:\Users\jaime.benazar\Quorum Business Solutions\Ecopetrol Prometeo - Documents\Planning Space Implementation\3. Analysis &amp; Design\Design\FC22\DRR Jaime\Neiva CPI\[VAO_DINA TERCIARIOS_CF_SEC_20230117.xlsx]CF PNP'!$DI$41</v>
      </c>
      <c r="J2971" t="s">
        <v>1469</v>
      </c>
    </row>
    <row r="2972" spans="1:10" x14ac:dyDescent="0.3">
      <c r="A2972" s="6" t="s">
        <v>15</v>
      </c>
      <c r="B2972" s="6">
        <f t="shared" si="678"/>
        <v>2029</v>
      </c>
      <c r="C2972" s="1" t="s">
        <v>110</v>
      </c>
      <c r="D2972" s="2" t="s">
        <v>131</v>
      </c>
      <c r="E2972" s="9" t="str">
        <f t="shared" si="666"/>
        <v>PNP'!</v>
      </c>
      <c r="F2972" s="5" t="str">
        <f t="shared" si="677"/>
        <v>C:\Users\jaime.benazar\Quorum Business Solutions\Ecopetrol Prometeo - Documents\Planning Space Implementation\3. Analysis &amp; Design\Design\FC22\DRR Jaime\Neiva CPI\[VAO_DINA TERCIARIOS_CF_SEC_20230117.xlsx]CF PNP'!</v>
      </c>
      <c r="G2972" s="6" t="s">
        <v>111</v>
      </c>
      <c r="H2972" s="1">
        <f t="shared" si="669"/>
        <v>42</v>
      </c>
      <c r="I2972" s="1" t="str">
        <f t="shared" si="667"/>
        <v>='C:\Users\jaime.benazar\Quorum Business Solutions\Ecopetrol Prometeo - Documents\Planning Space Implementation\3. Analysis &amp; Design\Design\FC22\DRR Jaime\Neiva CPI\[VAO_DINA TERCIARIOS_CF_SEC_20230117.xlsx]CF PNP'!$DI$42</v>
      </c>
      <c r="J2972" t="s">
        <v>1470</v>
      </c>
    </row>
    <row r="2973" spans="1:10" x14ac:dyDescent="0.3">
      <c r="A2973" s="6" t="s">
        <v>15</v>
      </c>
      <c r="B2973" s="6">
        <f t="shared" si="678"/>
        <v>2030</v>
      </c>
      <c r="C2973" s="1" t="s">
        <v>110</v>
      </c>
      <c r="D2973" s="2" t="s">
        <v>131</v>
      </c>
      <c r="E2973" s="9" t="str">
        <f t="shared" si="666"/>
        <v>PNP'!</v>
      </c>
      <c r="F2973" s="5" t="str">
        <f t="shared" si="677"/>
        <v>C:\Users\jaime.benazar\Quorum Business Solutions\Ecopetrol Prometeo - Documents\Planning Space Implementation\3. Analysis &amp; Design\Design\FC22\DRR Jaime\Neiva CPI\[VAO_DINA TERCIARIOS_CF_SEC_20230117.xlsx]CF PNP'!</v>
      </c>
      <c r="G2973" s="6" t="s">
        <v>111</v>
      </c>
      <c r="H2973" s="1">
        <f t="shared" si="669"/>
        <v>43</v>
      </c>
      <c r="I2973" s="1" t="str">
        <f t="shared" si="667"/>
        <v>='C:\Users\jaime.benazar\Quorum Business Solutions\Ecopetrol Prometeo - Documents\Planning Space Implementation\3. Analysis &amp; Design\Design\FC22\DRR Jaime\Neiva CPI\[VAO_DINA TERCIARIOS_CF_SEC_20230117.xlsx]CF PNP'!$DI$43</v>
      </c>
      <c r="J2973" t="s">
        <v>1471</v>
      </c>
    </row>
    <row r="2974" spans="1:10" x14ac:dyDescent="0.3">
      <c r="A2974" s="6" t="s">
        <v>15</v>
      </c>
      <c r="B2974" s="6">
        <f t="shared" si="678"/>
        <v>2031</v>
      </c>
      <c r="C2974" s="1" t="s">
        <v>110</v>
      </c>
      <c r="D2974" s="2" t="s">
        <v>131</v>
      </c>
      <c r="E2974" s="9" t="str">
        <f t="shared" si="666"/>
        <v>PNP'!</v>
      </c>
      <c r="F2974" s="5" t="str">
        <f t="shared" si="677"/>
        <v>C:\Users\jaime.benazar\Quorum Business Solutions\Ecopetrol Prometeo - Documents\Planning Space Implementation\3. Analysis &amp; Design\Design\FC22\DRR Jaime\Neiva CPI\[VAO_DINA TERCIARIOS_CF_SEC_20230117.xlsx]CF PNP'!</v>
      </c>
      <c r="G2974" s="6" t="s">
        <v>111</v>
      </c>
      <c r="H2974" s="1">
        <f t="shared" si="669"/>
        <v>44</v>
      </c>
      <c r="I2974" s="1" t="str">
        <f t="shared" si="667"/>
        <v>='C:\Users\jaime.benazar\Quorum Business Solutions\Ecopetrol Prometeo - Documents\Planning Space Implementation\3. Analysis &amp; Design\Design\FC22\DRR Jaime\Neiva CPI\[VAO_DINA TERCIARIOS_CF_SEC_20230117.xlsx]CF PNP'!$DI$44</v>
      </c>
      <c r="J2974" t="s">
        <v>1472</v>
      </c>
    </row>
    <row r="2975" spans="1:10" x14ac:dyDescent="0.3">
      <c r="A2975" s="6" t="s">
        <v>15</v>
      </c>
      <c r="B2975" s="6">
        <f t="shared" si="678"/>
        <v>2032</v>
      </c>
      <c r="C2975" s="1" t="s">
        <v>110</v>
      </c>
      <c r="D2975" s="2" t="s">
        <v>131</v>
      </c>
      <c r="E2975" s="9" t="str">
        <f t="shared" si="666"/>
        <v>PNP'!</v>
      </c>
      <c r="F2975" s="5" t="str">
        <f t="shared" si="677"/>
        <v>C:\Users\jaime.benazar\Quorum Business Solutions\Ecopetrol Prometeo - Documents\Planning Space Implementation\3. Analysis &amp; Design\Design\FC22\DRR Jaime\Neiva CPI\[VAO_DINA TERCIARIOS_CF_SEC_20230117.xlsx]CF PNP'!</v>
      </c>
      <c r="G2975" s="6" t="s">
        <v>111</v>
      </c>
      <c r="H2975" s="1">
        <f t="shared" si="669"/>
        <v>45</v>
      </c>
      <c r="I2975" s="1" t="str">
        <f t="shared" si="667"/>
        <v>='C:\Users\jaime.benazar\Quorum Business Solutions\Ecopetrol Prometeo - Documents\Planning Space Implementation\3. Analysis &amp; Design\Design\FC22\DRR Jaime\Neiva CPI\[VAO_DINA TERCIARIOS_CF_SEC_20230117.xlsx]CF PNP'!$DI$45</v>
      </c>
      <c r="J2975" t="s">
        <v>1473</v>
      </c>
    </row>
    <row r="2976" spans="1:10" x14ac:dyDescent="0.3">
      <c r="A2976" s="6" t="s">
        <v>15</v>
      </c>
      <c r="B2976" s="6">
        <f t="shared" si="678"/>
        <v>2033</v>
      </c>
      <c r="C2976" s="1" t="s">
        <v>110</v>
      </c>
      <c r="D2976" s="2" t="s">
        <v>131</v>
      </c>
      <c r="E2976" s="9" t="str">
        <f t="shared" si="666"/>
        <v>PNP'!</v>
      </c>
      <c r="F2976" s="5" t="str">
        <f t="shared" si="677"/>
        <v>C:\Users\jaime.benazar\Quorum Business Solutions\Ecopetrol Prometeo - Documents\Planning Space Implementation\3. Analysis &amp; Design\Design\FC22\DRR Jaime\Neiva CPI\[VAO_DINA TERCIARIOS_CF_SEC_20230117.xlsx]CF PNP'!</v>
      </c>
      <c r="G2976" s="6" t="s">
        <v>111</v>
      </c>
      <c r="H2976" s="1">
        <f t="shared" si="669"/>
        <v>46</v>
      </c>
      <c r="I2976" s="1" t="str">
        <f t="shared" si="667"/>
        <v>='C:\Users\jaime.benazar\Quorum Business Solutions\Ecopetrol Prometeo - Documents\Planning Space Implementation\3. Analysis &amp; Design\Design\FC22\DRR Jaime\Neiva CPI\[VAO_DINA TERCIARIOS_CF_SEC_20230117.xlsx]CF PNP'!$DI$46</v>
      </c>
      <c r="J2976" t="s">
        <v>1474</v>
      </c>
    </row>
    <row r="2977" spans="1:10" x14ac:dyDescent="0.3">
      <c r="A2977" s="6" t="s">
        <v>15</v>
      </c>
      <c r="B2977" s="6">
        <f t="shared" si="678"/>
        <v>2034</v>
      </c>
      <c r="C2977" s="1" t="s">
        <v>110</v>
      </c>
      <c r="D2977" s="2" t="s">
        <v>131</v>
      </c>
      <c r="E2977" s="9" t="str">
        <f t="shared" si="666"/>
        <v>PNP'!</v>
      </c>
      <c r="F2977" s="5" t="str">
        <f t="shared" si="677"/>
        <v>C:\Users\jaime.benazar\Quorum Business Solutions\Ecopetrol Prometeo - Documents\Planning Space Implementation\3. Analysis &amp; Design\Design\FC22\DRR Jaime\Neiva CPI\[VAO_DINA TERCIARIOS_CF_SEC_20230117.xlsx]CF PNP'!</v>
      </c>
      <c r="G2977" s="6" t="s">
        <v>111</v>
      </c>
      <c r="H2977" s="1">
        <f t="shared" si="669"/>
        <v>47</v>
      </c>
      <c r="I2977" s="1" t="str">
        <f t="shared" si="667"/>
        <v>='C:\Users\jaime.benazar\Quorum Business Solutions\Ecopetrol Prometeo - Documents\Planning Space Implementation\3. Analysis &amp; Design\Design\FC22\DRR Jaime\Neiva CPI\[VAO_DINA TERCIARIOS_CF_SEC_20230117.xlsx]CF PNP'!$DI$47</v>
      </c>
      <c r="J2977" t="s">
        <v>1475</v>
      </c>
    </row>
    <row r="2978" spans="1:10" x14ac:dyDescent="0.3">
      <c r="A2978" s="6" t="s">
        <v>15</v>
      </c>
      <c r="B2978" s="6">
        <f t="shared" si="678"/>
        <v>2035</v>
      </c>
      <c r="C2978" s="1" t="s">
        <v>110</v>
      </c>
      <c r="D2978" s="2" t="s">
        <v>131</v>
      </c>
      <c r="E2978" s="9" t="str">
        <f t="shared" si="666"/>
        <v>PNP'!</v>
      </c>
      <c r="F2978" s="5" t="str">
        <f t="shared" si="677"/>
        <v>C:\Users\jaime.benazar\Quorum Business Solutions\Ecopetrol Prometeo - Documents\Planning Space Implementation\3. Analysis &amp; Design\Design\FC22\DRR Jaime\Neiva CPI\[VAO_DINA TERCIARIOS_CF_SEC_20230117.xlsx]CF PNP'!</v>
      </c>
      <c r="G2978" s="6" t="s">
        <v>111</v>
      </c>
      <c r="H2978" s="1">
        <f t="shared" si="669"/>
        <v>48</v>
      </c>
      <c r="I2978" s="1" t="str">
        <f t="shared" si="667"/>
        <v>='C:\Users\jaime.benazar\Quorum Business Solutions\Ecopetrol Prometeo - Documents\Planning Space Implementation\3. Analysis &amp; Design\Design\FC22\DRR Jaime\Neiva CPI\[VAO_DINA TERCIARIOS_CF_SEC_20230117.xlsx]CF PNP'!$DI$48</v>
      </c>
      <c r="J2978" t="s">
        <v>1476</v>
      </c>
    </row>
    <row r="2979" spans="1:10" x14ac:dyDescent="0.3">
      <c r="A2979" s="6" t="s">
        <v>15</v>
      </c>
      <c r="B2979" s="6">
        <f t="shared" si="678"/>
        <v>2036</v>
      </c>
      <c r="C2979" s="1" t="s">
        <v>110</v>
      </c>
      <c r="D2979" s="2" t="s">
        <v>131</v>
      </c>
      <c r="E2979" s="9" t="str">
        <f t="shared" si="666"/>
        <v>PNP'!</v>
      </c>
      <c r="F2979" s="5" t="str">
        <f t="shared" si="677"/>
        <v>C:\Users\jaime.benazar\Quorum Business Solutions\Ecopetrol Prometeo - Documents\Planning Space Implementation\3. Analysis &amp; Design\Design\FC22\DRR Jaime\Neiva CPI\[VAO_DINA TERCIARIOS_CF_SEC_20230117.xlsx]CF PNP'!</v>
      </c>
      <c r="G2979" s="6" t="s">
        <v>111</v>
      </c>
      <c r="H2979" s="1">
        <f t="shared" si="669"/>
        <v>49</v>
      </c>
      <c r="I2979" s="1" t="str">
        <f t="shared" si="667"/>
        <v>='C:\Users\jaime.benazar\Quorum Business Solutions\Ecopetrol Prometeo - Documents\Planning Space Implementation\3. Analysis &amp; Design\Design\FC22\DRR Jaime\Neiva CPI\[VAO_DINA TERCIARIOS_CF_SEC_20230117.xlsx]CF PNP'!$DI$49</v>
      </c>
      <c r="J2979" t="s">
        <v>1477</v>
      </c>
    </row>
    <row r="2980" spans="1:10" x14ac:dyDescent="0.3">
      <c r="A2980" s="6" t="s">
        <v>15</v>
      </c>
      <c r="B2980" s="6">
        <f>+B2979+1</f>
        <v>2037</v>
      </c>
      <c r="C2980" s="1" t="s">
        <v>110</v>
      </c>
      <c r="D2980" s="2" t="s">
        <v>131</v>
      </c>
      <c r="E2980" s="9" t="str">
        <f t="shared" si="666"/>
        <v>PNP'!</v>
      </c>
      <c r="F2980" s="5" t="str">
        <f t="shared" si="677"/>
        <v>C:\Users\jaime.benazar\Quorum Business Solutions\Ecopetrol Prometeo - Documents\Planning Space Implementation\3. Analysis &amp; Design\Design\FC22\DRR Jaime\Neiva CPI\[VAO_DINA TERCIARIOS_CF_SEC_20230117.xlsx]CF PNP'!</v>
      </c>
      <c r="G2980" s="6" t="s">
        <v>111</v>
      </c>
      <c r="H2980" s="1">
        <f t="shared" si="669"/>
        <v>50</v>
      </c>
      <c r="I2980" s="1" t="str">
        <f t="shared" si="667"/>
        <v>='C:\Users\jaime.benazar\Quorum Business Solutions\Ecopetrol Prometeo - Documents\Planning Space Implementation\3. Analysis &amp; Design\Design\FC22\DRR Jaime\Neiva CPI\[VAO_DINA TERCIARIOS_CF_SEC_20230117.xlsx]CF PNP'!$DI$50</v>
      </c>
      <c r="J2980" t="s">
        <v>1478</v>
      </c>
    </row>
    <row r="2981" spans="1:10" x14ac:dyDescent="0.3">
      <c r="A2981" s="6" t="s">
        <v>15</v>
      </c>
      <c r="B2981" s="6">
        <f t="shared" ref="B2981:B2983" si="679">+B2980+1</f>
        <v>2038</v>
      </c>
      <c r="C2981" s="1" t="s">
        <v>110</v>
      </c>
      <c r="D2981" s="2" t="s">
        <v>131</v>
      </c>
      <c r="E2981" s="9" t="str">
        <f t="shared" si="666"/>
        <v>PNP'!</v>
      </c>
      <c r="F2981" s="5" t="str">
        <f t="shared" si="677"/>
        <v>C:\Users\jaime.benazar\Quorum Business Solutions\Ecopetrol Prometeo - Documents\Planning Space Implementation\3. Analysis &amp; Design\Design\FC22\DRR Jaime\Neiva CPI\[VAO_DINA TERCIARIOS_CF_SEC_20230117.xlsx]CF PNP'!</v>
      </c>
      <c r="G2981" s="6" t="s">
        <v>111</v>
      </c>
      <c r="H2981" s="1">
        <f t="shared" si="669"/>
        <v>51</v>
      </c>
      <c r="I2981" s="1" t="str">
        <f t="shared" si="667"/>
        <v>='C:\Users\jaime.benazar\Quorum Business Solutions\Ecopetrol Prometeo - Documents\Planning Space Implementation\3. Analysis &amp; Design\Design\FC22\DRR Jaime\Neiva CPI\[VAO_DINA TERCIARIOS_CF_SEC_20230117.xlsx]CF PNP'!$DI$51</v>
      </c>
      <c r="J2981" t="s">
        <v>1479</v>
      </c>
    </row>
    <row r="2982" spans="1:10" x14ac:dyDescent="0.3">
      <c r="A2982" s="6" t="s">
        <v>15</v>
      </c>
      <c r="B2982" s="6">
        <f t="shared" si="679"/>
        <v>2039</v>
      </c>
      <c r="C2982" s="1" t="s">
        <v>110</v>
      </c>
      <c r="D2982" s="2" t="s">
        <v>131</v>
      </c>
      <c r="E2982" s="9" t="str">
        <f t="shared" si="666"/>
        <v>PNP'!</v>
      </c>
      <c r="F2982" s="5" t="str">
        <f t="shared" si="677"/>
        <v>C:\Users\jaime.benazar\Quorum Business Solutions\Ecopetrol Prometeo - Documents\Planning Space Implementation\3. Analysis &amp; Design\Design\FC22\DRR Jaime\Neiva CPI\[VAO_DINA TERCIARIOS_CF_SEC_20230117.xlsx]CF PNP'!</v>
      </c>
      <c r="G2982" s="6" t="s">
        <v>111</v>
      </c>
      <c r="H2982" s="1">
        <f t="shared" si="669"/>
        <v>52</v>
      </c>
      <c r="I2982" s="1" t="str">
        <f t="shared" si="667"/>
        <v>='C:\Users\jaime.benazar\Quorum Business Solutions\Ecopetrol Prometeo - Documents\Planning Space Implementation\3. Analysis &amp; Design\Design\FC22\DRR Jaime\Neiva CPI\[VAO_DINA TERCIARIOS_CF_SEC_20230117.xlsx]CF PNP'!$DI$52</v>
      </c>
      <c r="J2982" t="s">
        <v>1480</v>
      </c>
    </row>
    <row r="2983" spans="1:10" x14ac:dyDescent="0.3">
      <c r="A2983" s="6" t="s">
        <v>15</v>
      </c>
      <c r="B2983" s="6">
        <f t="shared" si="679"/>
        <v>2040</v>
      </c>
      <c r="C2983" s="1" t="s">
        <v>110</v>
      </c>
      <c r="D2983" s="2" t="s">
        <v>131</v>
      </c>
      <c r="E2983" s="9" t="str">
        <f t="shared" si="666"/>
        <v>PNP'!</v>
      </c>
      <c r="F2983" s="5" t="str">
        <f t="shared" si="677"/>
        <v>C:\Users\jaime.benazar\Quorum Business Solutions\Ecopetrol Prometeo - Documents\Planning Space Implementation\3. Analysis &amp; Design\Design\FC22\DRR Jaime\Neiva CPI\[VAO_DINA TERCIARIOS_CF_SEC_20230117.xlsx]CF PNP'!</v>
      </c>
      <c r="G2983" s="6" t="s">
        <v>111</v>
      </c>
      <c r="H2983" s="1">
        <f t="shared" si="669"/>
        <v>53</v>
      </c>
      <c r="I2983" s="1" t="str">
        <f t="shared" si="667"/>
        <v>='C:\Users\jaime.benazar\Quorum Business Solutions\Ecopetrol Prometeo - Documents\Planning Space Implementation\3. Analysis &amp; Design\Design\FC22\DRR Jaime\Neiva CPI\[VAO_DINA TERCIARIOS_CF_SEC_20230117.xlsx]CF PNP'!$DI$53</v>
      </c>
      <c r="J2983" t="s">
        <v>1481</v>
      </c>
    </row>
    <row r="2984" spans="1:10" x14ac:dyDescent="0.3">
      <c r="A2984" s="6" t="s">
        <v>15</v>
      </c>
      <c r="B2984" s="6">
        <f>+B2983+1</f>
        <v>2041</v>
      </c>
      <c r="C2984" s="1" t="s">
        <v>110</v>
      </c>
      <c r="D2984" s="2" t="s">
        <v>131</v>
      </c>
      <c r="E2984" s="9" t="str">
        <f t="shared" si="666"/>
        <v>PNP'!</v>
      </c>
      <c r="F2984" s="5" t="str">
        <f t="shared" si="677"/>
        <v>C:\Users\jaime.benazar\Quorum Business Solutions\Ecopetrol Prometeo - Documents\Planning Space Implementation\3. Analysis &amp; Design\Design\FC22\DRR Jaime\Neiva CPI\[VAO_DINA TERCIARIOS_CF_SEC_20230117.xlsx]CF PNP'!</v>
      </c>
      <c r="G2984" s="6" t="s">
        <v>111</v>
      </c>
      <c r="H2984" s="1">
        <f t="shared" si="669"/>
        <v>54</v>
      </c>
      <c r="I2984" s="1" t="str">
        <f t="shared" si="667"/>
        <v>='C:\Users\jaime.benazar\Quorum Business Solutions\Ecopetrol Prometeo - Documents\Planning Space Implementation\3. Analysis &amp; Design\Design\FC22\DRR Jaime\Neiva CPI\[VAO_DINA TERCIARIOS_CF_SEC_20230117.xlsx]CF PNP'!$DI$54</v>
      </c>
      <c r="J2984" t="s">
        <v>1482</v>
      </c>
    </row>
    <row r="2985" spans="1:10" x14ac:dyDescent="0.3">
      <c r="A2985" s="6" t="s">
        <v>15</v>
      </c>
      <c r="B2985" s="6">
        <f t="shared" ref="B2985:B2986" si="680">+B2984+1</f>
        <v>2042</v>
      </c>
      <c r="C2985" s="1" t="s">
        <v>110</v>
      </c>
      <c r="D2985" s="2" t="s">
        <v>131</v>
      </c>
      <c r="E2985" s="9" t="str">
        <f t="shared" si="666"/>
        <v>PNP'!</v>
      </c>
      <c r="F2985" s="5" t="str">
        <f t="shared" si="677"/>
        <v>C:\Users\jaime.benazar\Quorum Business Solutions\Ecopetrol Prometeo - Documents\Planning Space Implementation\3. Analysis &amp; Design\Design\FC22\DRR Jaime\Neiva CPI\[VAO_DINA TERCIARIOS_CF_SEC_20230117.xlsx]CF PNP'!</v>
      </c>
      <c r="G2985" s="6" t="s">
        <v>111</v>
      </c>
      <c r="H2985" s="1">
        <f t="shared" si="669"/>
        <v>55</v>
      </c>
      <c r="I2985" s="1" t="str">
        <f t="shared" si="667"/>
        <v>='C:\Users\jaime.benazar\Quorum Business Solutions\Ecopetrol Prometeo - Documents\Planning Space Implementation\3. Analysis &amp; Design\Design\FC22\DRR Jaime\Neiva CPI\[VAO_DINA TERCIARIOS_CF_SEC_20230117.xlsx]CF PNP'!$DI$55</v>
      </c>
      <c r="J2985" t="s">
        <v>1483</v>
      </c>
    </row>
    <row r="2986" spans="1:10" x14ac:dyDescent="0.3">
      <c r="A2986" s="6" t="s">
        <v>15</v>
      </c>
      <c r="B2986" s="6">
        <f t="shared" si="680"/>
        <v>2043</v>
      </c>
      <c r="C2986" s="1" t="s">
        <v>110</v>
      </c>
      <c r="D2986" s="2" t="s">
        <v>131</v>
      </c>
      <c r="E2986" s="9" t="str">
        <f t="shared" si="666"/>
        <v>PNP'!</v>
      </c>
      <c r="F2986" s="5" t="str">
        <f t="shared" si="677"/>
        <v>C:\Users\jaime.benazar\Quorum Business Solutions\Ecopetrol Prometeo - Documents\Planning Space Implementation\3. Analysis &amp; Design\Design\FC22\DRR Jaime\Neiva CPI\[VAO_DINA TERCIARIOS_CF_SEC_20230117.xlsx]CF PNP'!</v>
      </c>
      <c r="G2986" s="6" t="s">
        <v>111</v>
      </c>
      <c r="H2986" s="1">
        <f t="shared" si="669"/>
        <v>56</v>
      </c>
      <c r="I2986" s="1" t="str">
        <f t="shared" si="667"/>
        <v>='C:\Users\jaime.benazar\Quorum Business Solutions\Ecopetrol Prometeo - Documents\Planning Space Implementation\3. Analysis &amp; Design\Design\FC22\DRR Jaime\Neiva CPI\[VAO_DINA TERCIARIOS_CF_SEC_20230117.xlsx]CF PNP'!$DI$56</v>
      </c>
      <c r="J2986" t="s">
        <v>1484</v>
      </c>
    </row>
    <row r="2987" spans="1:10" x14ac:dyDescent="0.3">
      <c r="A2987" s="6" t="s">
        <v>15</v>
      </c>
      <c r="B2987" s="6">
        <f>+B2986+1</f>
        <v>2044</v>
      </c>
      <c r="C2987" s="1" t="s">
        <v>110</v>
      </c>
      <c r="D2987" s="2" t="s">
        <v>131</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Jaime\Neiva CPI\[VAO_DINA TERCIARIOS_CF_SEC_20230117.xlsx]CF PNP'!</v>
      </c>
      <c r="G2987" s="6" t="s">
        <v>111</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Jaime\Neiva CPI\[VAO_DINA TERCIARIOS_CF_SEC_20230117.xlsx]CF PNP'!$DI$57</v>
      </c>
      <c r="J2987" t="s">
        <v>1485</v>
      </c>
    </row>
    <row r="2988" spans="1:10" x14ac:dyDescent="0.3">
      <c r="A2988" s="6" t="s">
        <v>15</v>
      </c>
      <c r="B2988" s="6">
        <f t="shared" ref="B2988:B3002" si="685">+B2987+1</f>
        <v>2045</v>
      </c>
      <c r="C2988" s="1" t="s">
        <v>110</v>
      </c>
      <c r="D2988" s="2" t="s">
        <v>131</v>
      </c>
      <c r="E2988" s="9" t="str">
        <f t="shared" si="681"/>
        <v>PNP'!</v>
      </c>
      <c r="F2988" s="5" t="str">
        <f t="shared" si="682"/>
        <v>C:\Users\jaime.benazar\Quorum Business Solutions\Ecopetrol Prometeo - Documents\Planning Space Implementation\3. Analysis &amp; Design\Design\FC22\DRR Jaime\Neiva CPI\[VAO_DINA TERCIARIOS_CF_SEC_20230117.xlsx]CF PNP'!</v>
      </c>
      <c r="G2988" s="6" t="s">
        <v>111</v>
      </c>
      <c r="H2988" s="1">
        <f t="shared" si="683"/>
        <v>58</v>
      </c>
      <c r="I2988" s="1" t="str">
        <f t="shared" si="684"/>
        <v>='C:\Users\jaime.benazar\Quorum Business Solutions\Ecopetrol Prometeo - Documents\Planning Space Implementation\3. Analysis &amp; Design\Design\FC22\DRR Jaime\Neiva CPI\[VAO_DINA TERCIARIOS_CF_SEC_20230117.xlsx]CF PNP'!$DI$58</v>
      </c>
      <c r="J2988" t="s">
        <v>1486</v>
      </c>
    </row>
    <row r="2989" spans="1:10" x14ac:dyDescent="0.3">
      <c r="A2989" s="6" t="s">
        <v>15</v>
      </c>
      <c r="B2989" s="6">
        <f t="shared" si="685"/>
        <v>2046</v>
      </c>
      <c r="C2989" s="1" t="s">
        <v>110</v>
      </c>
      <c r="D2989" s="2" t="s">
        <v>131</v>
      </c>
      <c r="E2989" s="9" t="str">
        <f t="shared" si="681"/>
        <v>PNP'!</v>
      </c>
      <c r="F2989" s="5" t="str">
        <f t="shared" si="682"/>
        <v>C:\Users\jaime.benazar\Quorum Business Solutions\Ecopetrol Prometeo - Documents\Planning Space Implementation\3. Analysis &amp; Design\Design\FC22\DRR Jaime\Neiva CPI\[VAO_DINA TERCIARIOS_CF_SEC_20230117.xlsx]CF PNP'!</v>
      </c>
      <c r="G2989" s="6" t="s">
        <v>111</v>
      </c>
      <c r="H2989" s="1">
        <f t="shared" si="683"/>
        <v>59</v>
      </c>
      <c r="I2989" s="1" t="str">
        <f t="shared" si="684"/>
        <v>='C:\Users\jaime.benazar\Quorum Business Solutions\Ecopetrol Prometeo - Documents\Planning Space Implementation\3. Analysis &amp; Design\Design\FC22\DRR Jaime\Neiva CPI\[VAO_DINA TERCIARIOS_CF_SEC_20230117.xlsx]CF PNP'!$DI$59</v>
      </c>
      <c r="J2989" t="s">
        <v>1487</v>
      </c>
    </row>
    <row r="2990" spans="1:10" x14ac:dyDescent="0.3">
      <c r="A2990" s="6" t="s">
        <v>15</v>
      </c>
      <c r="B2990" s="6">
        <f t="shared" si="685"/>
        <v>2047</v>
      </c>
      <c r="C2990" s="1" t="s">
        <v>110</v>
      </c>
      <c r="D2990" s="2" t="s">
        <v>131</v>
      </c>
      <c r="E2990" s="9" t="str">
        <f t="shared" si="681"/>
        <v>PNP'!</v>
      </c>
      <c r="F2990" s="5" t="str">
        <f t="shared" si="682"/>
        <v>C:\Users\jaime.benazar\Quorum Business Solutions\Ecopetrol Prometeo - Documents\Planning Space Implementation\3. Analysis &amp; Design\Design\FC22\DRR Jaime\Neiva CPI\[VAO_DINA TERCIARIOS_CF_SEC_20230117.xlsx]CF PNP'!</v>
      </c>
      <c r="G2990" s="6" t="s">
        <v>111</v>
      </c>
      <c r="H2990" s="1">
        <f t="shared" si="683"/>
        <v>60</v>
      </c>
      <c r="I2990" s="1" t="str">
        <f t="shared" si="684"/>
        <v>='C:\Users\jaime.benazar\Quorum Business Solutions\Ecopetrol Prometeo - Documents\Planning Space Implementation\3. Analysis &amp; Design\Design\FC22\DRR Jaime\Neiva CPI\[VAO_DINA TERCIARIOS_CF_SEC_20230117.xlsx]CF PNP'!$DI$60</v>
      </c>
      <c r="J2990" t="s">
        <v>1488</v>
      </c>
    </row>
    <row r="2991" spans="1:10" x14ac:dyDescent="0.3">
      <c r="A2991" s="6" t="s">
        <v>15</v>
      </c>
      <c r="B2991" s="6">
        <f t="shared" si="685"/>
        <v>2048</v>
      </c>
      <c r="C2991" s="1" t="s">
        <v>110</v>
      </c>
      <c r="D2991" s="2" t="s">
        <v>131</v>
      </c>
      <c r="E2991" s="9" t="str">
        <f t="shared" si="681"/>
        <v>PNP'!</v>
      </c>
      <c r="F2991" s="5" t="str">
        <f t="shared" si="682"/>
        <v>C:\Users\jaime.benazar\Quorum Business Solutions\Ecopetrol Prometeo - Documents\Planning Space Implementation\3. Analysis &amp; Design\Design\FC22\DRR Jaime\Neiva CPI\[VAO_DINA TERCIARIOS_CF_SEC_20230117.xlsx]CF PNP'!</v>
      </c>
      <c r="G2991" s="6" t="s">
        <v>111</v>
      </c>
      <c r="H2991" s="1">
        <f t="shared" si="683"/>
        <v>61</v>
      </c>
      <c r="I2991" s="1" t="str">
        <f t="shared" si="684"/>
        <v>='C:\Users\jaime.benazar\Quorum Business Solutions\Ecopetrol Prometeo - Documents\Planning Space Implementation\3. Analysis &amp; Design\Design\FC22\DRR Jaime\Neiva CPI\[VAO_DINA TERCIARIOS_CF_SEC_20230117.xlsx]CF PNP'!$DI$61</v>
      </c>
      <c r="J2991" t="s">
        <v>1489</v>
      </c>
    </row>
    <row r="2992" spans="1:10" x14ac:dyDescent="0.3">
      <c r="A2992" s="6" t="s">
        <v>15</v>
      </c>
      <c r="B2992" s="6">
        <f t="shared" si="685"/>
        <v>2049</v>
      </c>
      <c r="C2992" s="1" t="s">
        <v>110</v>
      </c>
      <c r="D2992" s="2" t="s">
        <v>131</v>
      </c>
      <c r="E2992" s="9" t="str">
        <f t="shared" si="681"/>
        <v>PNP'!</v>
      </c>
      <c r="F2992" s="5" t="str">
        <f t="shared" si="682"/>
        <v>C:\Users\jaime.benazar\Quorum Business Solutions\Ecopetrol Prometeo - Documents\Planning Space Implementation\3. Analysis &amp; Design\Design\FC22\DRR Jaime\Neiva CPI\[VAO_DINA TERCIARIOS_CF_SEC_20230117.xlsx]CF PNP'!</v>
      </c>
      <c r="G2992" s="6" t="s">
        <v>111</v>
      </c>
      <c r="H2992" s="1">
        <f t="shared" si="683"/>
        <v>62</v>
      </c>
      <c r="I2992" s="1" t="str">
        <f t="shared" si="684"/>
        <v>='C:\Users\jaime.benazar\Quorum Business Solutions\Ecopetrol Prometeo - Documents\Planning Space Implementation\3. Analysis &amp; Design\Design\FC22\DRR Jaime\Neiva CPI\[VAO_DINA TERCIARIOS_CF_SEC_20230117.xlsx]CF PNP'!$DI$62</v>
      </c>
      <c r="J2992" t="s">
        <v>1490</v>
      </c>
    </row>
    <row r="2993" spans="1:10" x14ac:dyDescent="0.3">
      <c r="A2993" s="6" t="s">
        <v>15</v>
      </c>
      <c r="B2993" s="6">
        <f t="shared" si="685"/>
        <v>2050</v>
      </c>
      <c r="C2993" s="1" t="s">
        <v>110</v>
      </c>
      <c r="D2993" s="2" t="s">
        <v>131</v>
      </c>
      <c r="E2993" s="9" t="str">
        <f t="shared" si="681"/>
        <v>PNP'!</v>
      </c>
      <c r="F2993" s="5" t="str">
        <f t="shared" si="682"/>
        <v>C:\Users\jaime.benazar\Quorum Business Solutions\Ecopetrol Prometeo - Documents\Planning Space Implementation\3. Analysis &amp; Design\Design\FC22\DRR Jaime\Neiva CPI\[VAO_DINA TERCIARIOS_CF_SEC_20230117.xlsx]CF PNP'!</v>
      </c>
      <c r="G2993" s="6" t="s">
        <v>111</v>
      </c>
      <c r="H2993" s="1">
        <f t="shared" si="683"/>
        <v>63</v>
      </c>
      <c r="I2993" s="1" t="str">
        <f t="shared" si="684"/>
        <v>='C:\Users\jaime.benazar\Quorum Business Solutions\Ecopetrol Prometeo - Documents\Planning Space Implementation\3. Analysis &amp; Design\Design\FC22\DRR Jaime\Neiva CPI\[VAO_DINA TERCIARIOS_CF_SEC_20230117.xlsx]CF PNP'!$DI$63</v>
      </c>
      <c r="J2993" t="s">
        <v>1491</v>
      </c>
    </row>
    <row r="2994" spans="1:10" x14ac:dyDescent="0.3">
      <c r="A2994" s="6" t="s">
        <v>15</v>
      </c>
      <c r="B2994" s="6">
        <f t="shared" si="685"/>
        <v>2051</v>
      </c>
      <c r="C2994" s="1" t="s">
        <v>110</v>
      </c>
      <c r="D2994" s="2" t="s">
        <v>131</v>
      </c>
      <c r="E2994" s="9" t="str">
        <f t="shared" si="681"/>
        <v>PNP'!</v>
      </c>
      <c r="F2994" s="5" t="str">
        <f t="shared" si="682"/>
        <v>C:\Users\jaime.benazar\Quorum Business Solutions\Ecopetrol Prometeo - Documents\Planning Space Implementation\3. Analysis &amp; Design\Design\FC22\DRR Jaime\Neiva CPI\[VAO_DINA TERCIARIOS_CF_SEC_20230117.xlsx]CF PNP'!</v>
      </c>
      <c r="G2994" s="6" t="s">
        <v>111</v>
      </c>
      <c r="H2994" s="1">
        <f t="shared" si="683"/>
        <v>64</v>
      </c>
      <c r="I2994" s="1" t="str">
        <f t="shared" si="684"/>
        <v>='C:\Users\jaime.benazar\Quorum Business Solutions\Ecopetrol Prometeo - Documents\Planning Space Implementation\3. Analysis &amp; Design\Design\FC22\DRR Jaime\Neiva CPI\[VAO_DINA TERCIARIOS_CF_SEC_20230117.xlsx]CF PNP'!$DI$64</v>
      </c>
      <c r="J2994" t="s">
        <v>1492</v>
      </c>
    </row>
    <row r="2995" spans="1:10" x14ac:dyDescent="0.3">
      <c r="A2995" s="6" t="s">
        <v>15</v>
      </c>
      <c r="B2995" s="6">
        <f t="shared" si="685"/>
        <v>2052</v>
      </c>
      <c r="C2995" s="1" t="s">
        <v>110</v>
      </c>
      <c r="D2995" s="2" t="s">
        <v>131</v>
      </c>
      <c r="E2995" s="9" t="str">
        <f t="shared" si="681"/>
        <v>PNP'!</v>
      </c>
      <c r="F2995" s="5" t="str">
        <f t="shared" si="682"/>
        <v>C:\Users\jaime.benazar\Quorum Business Solutions\Ecopetrol Prometeo - Documents\Planning Space Implementation\3. Analysis &amp; Design\Design\FC22\DRR Jaime\Neiva CPI\[VAO_DINA TERCIARIOS_CF_SEC_20230117.xlsx]CF PNP'!</v>
      </c>
      <c r="G2995" s="6" t="s">
        <v>111</v>
      </c>
      <c r="H2995" s="1">
        <f t="shared" si="683"/>
        <v>65</v>
      </c>
      <c r="I2995" s="1" t="str">
        <f t="shared" si="684"/>
        <v>='C:\Users\jaime.benazar\Quorum Business Solutions\Ecopetrol Prometeo - Documents\Planning Space Implementation\3. Analysis &amp; Design\Design\FC22\DRR Jaime\Neiva CPI\[VAO_DINA TERCIARIOS_CF_SEC_20230117.xlsx]CF PNP'!$DI$65</v>
      </c>
      <c r="J2995" t="s">
        <v>1493</v>
      </c>
    </row>
    <row r="2996" spans="1:10" x14ac:dyDescent="0.3">
      <c r="A2996" s="6" t="s">
        <v>15</v>
      </c>
      <c r="B2996" s="6">
        <f t="shared" si="685"/>
        <v>2053</v>
      </c>
      <c r="C2996" s="1" t="s">
        <v>110</v>
      </c>
      <c r="D2996" s="2" t="s">
        <v>131</v>
      </c>
      <c r="E2996" s="9" t="str">
        <f t="shared" si="681"/>
        <v>PNP'!</v>
      </c>
      <c r="F2996" s="5" t="str">
        <f t="shared" si="682"/>
        <v>C:\Users\jaime.benazar\Quorum Business Solutions\Ecopetrol Prometeo - Documents\Planning Space Implementation\3. Analysis &amp; Design\Design\FC22\DRR Jaime\Neiva CPI\[VAO_DINA TERCIARIOS_CF_SEC_20230117.xlsx]CF PNP'!</v>
      </c>
      <c r="G2996" s="6" t="s">
        <v>111</v>
      </c>
      <c r="H2996" s="1">
        <f t="shared" si="683"/>
        <v>66</v>
      </c>
      <c r="I2996" s="1" t="str">
        <f t="shared" si="684"/>
        <v>='C:\Users\jaime.benazar\Quorum Business Solutions\Ecopetrol Prometeo - Documents\Planning Space Implementation\3. Analysis &amp; Design\Design\FC22\DRR Jaime\Neiva CPI\[VAO_DINA TERCIARIOS_CF_SEC_20230117.xlsx]CF PNP'!$DI$66</v>
      </c>
      <c r="J2996" t="s">
        <v>1494</v>
      </c>
    </row>
    <row r="2997" spans="1:10" x14ac:dyDescent="0.3">
      <c r="A2997" s="6" t="s">
        <v>15</v>
      </c>
      <c r="B2997" s="6">
        <f t="shared" si="685"/>
        <v>2054</v>
      </c>
      <c r="C2997" s="1" t="s">
        <v>110</v>
      </c>
      <c r="D2997" s="2" t="s">
        <v>131</v>
      </c>
      <c r="E2997" s="9" t="str">
        <f t="shared" si="681"/>
        <v>PNP'!</v>
      </c>
      <c r="F2997" s="5" t="str">
        <f t="shared" si="682"/>
        <v>C:\Users\jaime.benazar\Quorum Business Solutions\Ecopetrol Prometeo - Documents\Planning Space Implementation\3. Analysis &amp; Design\Design\FC22\DRR Jaime\Neiva CPI\[VAO_DINA TERCIARIOS_CF_SEC_20230117.xlsx]CF PNP'!</v>
      </c>
      <c r="G2997" s="6" t="s">
        <v>111</v>
      </c>
      <c r="H2997" s="1">
        <f t="shared" si="683"/>
        <v>67</v>
      </c>
      <c r="I2997" s="1" t="str">
        <f t="shared" si="684"/>
        <v>='C:\Users\jaime.benazar\Quorum Business Solutions\Ecopetrol Prometeo - Documents\Planning Space Implementation\3. Analysis &amp; Design\Design\FC22\DRR Jaime\Neiva CPI\[VAO_DINA TERCIARIOS_CF_SEC_20230117.xlsx]CF PNP'!$DI$67</v>
      </c>
      <c r="J2997" t="s">
        <v>1495</v>
      </c>
    </row>
    <row r="2998" spans="1:10" x14ac:dyDescent="0.3">
      <c r="A2998" s="6" t="s">
        <v>15</v>
      </c>
      <c r="B2998" s="6">
        <f t="shared" si="685"/>
        <v>2055</v>
      </c>
      <c r="C2998" s="1" t="s">
        <v>110</v>
      </c>
      <c r="D2998" s="2" t="s">
        <v>131</v>
      </c>
      <c r="E2998" s="9" t="str">
        <f t="shared" si="681"/>
        <v>PNP'!</v>
      </c>
      <c r="F2998" s="5" t="str">
        <f t="shared" si="682"/>
        <v>C:\Users\jaime.benazar\Quorum Business Solutions\Ecopetrol Prometeo - Documents\Planning Space Implementation\3. Analysis &amp; Design\Design\FC22\DRR Jaime\Neiva CPI\[VAO_DINA TERCIARIOS_CF_SEC_20230117.xlsx]CF PNP'!</v>
      </c>
      <c r="G2998" s="6" t="s">
        <v>111</v>
      </c>
      <c r="H2998" s="1">
        <f t="shared" si="683"/>
        <v>68</v>
      </c>
      <c r="I2998" s="1" t="str">
        <f t="shared" si="684"/>
        <v>='C:\Users\jaime.benazar\Quorum Business Solutions\Ecopetrol Prometeo - Documents\Planning Space Implementation\3. Analysis &amp; Design\Design\FC22\DRR Jaime\Neiva CPI\[VAO_DINA TERCIARIOS_CF_SEC_20230117.xlsx]CF PNP'!$DI$68</v>
      </c>
      <c r="J2998" t="s">
        <v>1496</v>
      </c>
    </row>
    <row r="2999" spans="1:10" x14ac:dyDescent="0.3">
      <c r="A2999" s="6" t="s">
        <v>15</v>
      </c>
      <c r="B2999" s="6">
        <f t="shared" si="685"/>
        <v>2056</v>
      </c>
      <c r="C2999" s="1" t="s">
        <v>110</v>
      </c>
      <c r="D2999" s="2" t="s">
        <v>131</v>
      </c>
      <c r="E2999" s="9" t="str">
        <f t="shared" si="681"/>
        <v>PNP'!</v>
      </c>
      <c r="F2999" s="5" t="str">
        <f t="shared" si="682"/>
        <v>C:\Users\jaime.benazar\Quorum Business Solutions\Ecopetrol Prometeo - Documents\Planning Space Implementation\3. Analysis &amp; Design\Design\FC22\DRR Jaime\Neiva CPI\[VAO_DINA TERCIARIOS_CF_SEC_20230117.xlsx]CF PNP'!</v>
      </c>
      <c r="G2999" s="6" t="s">
        <v>111</v>
      </c>
      <c r="H2999" s="1">
        <f t="shared" si="683"/>
        <v>69</v>
      </c>
      <c r="I2999" s="1" t="str">
        <f t="shared" si="684"/>
        <v>='C:\Users\jaime.benazar\Quorum Business Solutions\Ecopetrol Prometeo - Documents\Planning Space Implementation\3. Analysis &amp; Design\Design\FC22\DRR Jaime\Neiva CPI\[VAO_DINA TERCIARIOS_CF_SEC_20230117.xlsx]CF PNP'!$DI$69</v>
      </c>
      <c r="J2999" t="s">
        <v>1497</v>
      </c>
    </row>
    <row r="3000" spans="1:10" x14ac:dyDescent="0.3">
      <c r="A3000" s="6" t="s">
        <v>15</v>
      </c>
      <c r="B3000" s="6">
        <f t="shared" si="685"/>
        <v>2057</v>
      </c>
      <c r="C3000" s="1" t="s">
        <v>110</v>
      </c>
      <c r="D3000" s="2" t="s">
        <v>131</v>
      </c>
      <c r="E3000" s="9" t="str">
        <f t="shared" si="681"/>
        <v>PNP'!</v>
      </c>
      <c r="F3000" s="5" t="str">
        <f t="shared" si="682"/>
        <v>C:\Users\jaime.benazar\Quorum Business Solutions\Ecopetrol Prometeo - Documents\Planning Space Implementation\3. Analysis &amp; Design\Design\FC22\DRR Jaime\Neiva CPI\[VAO_DINA TERCIARIOS_CF_SEC_20230117.xlsx]CF PNP'!</v>
      </c>
      <c r="G3000" s="6" t="s">
        <v>111</v>
      </c>
      <c r="H3000" s="1">
        <f t="shared" si="683"/>
        <v>70</v>
      </c>
      <c r="I3000" s="1" t="str">
        <f t="shared" si="684"/>
        <v>='C:\Users\jaime.benazar\Quorum Business Solutions\Ecopetrol Prometeo - Documents\Planning Space Implementation\3. Analysis &amp; Design\Design\FC22\DRR Jaime\Neiva CPI\[VAO_DINA TERCIARIOS_CF_SEC_20230117.xlsx]CF PNP'!$DI$70</v>
      </c>
      <c r="J3000" t="s">
        <v>1498</v>
      </c>
    </row>
    <row r="3001" spans="1:10" x14ac:dyDescent="0.3">
      <c r="A3001" s="6" t="s">
        <v>15</v>
      </c>
      <c r="B3001" s="6">
        <f t="shared" si="685"/>
        <v>2058</v>
      </c>
      <c r="C3001" s="1" t="s">
        <v>110</v>
      </c>
      <c r="D3001" s="2" t="s">
        <v>131</v>
      </c>
      <c r="E3001" s="9" t="str">
        <f t="shared" si="681"/>
        <v>PNP'!</v>
      </c>
      <c r="F3001" s="5" t="str">
        <f t="shared" si="682"/>
        <v>C:\Users\jaime.benazar\Quorum Business Solutions\Ecopetrol Prometeo - Documents\Planning Space Implementation\3. Analysis &amp; Design\Design\FC22\DRR Jaime\Neiva CPI\[VAO_DINA TERCIARIOS_CF_SEC_20230117.xlsx]CF PNP'!</v>
      </c>
      <c r="G3001" s="6" t="s">
        <v>111</v>
      </c>
      <c r="H3001" s="1">
        <f t="shared" si="683"/>
        <v>71</v>
      </c>
      <c r="I3001" s="1" t="str">
        <f t="shared" si="684"/>
        <v>='C:\Users\jaime.benazar\Quorum Business Solutions\Ecopetrol Prometeo - Documents\Planning Space Implementation\3. Analysis &amp; Design\Design\FC22\DRR Jaime\Neiva CPI\[VAO_DINA TERCIARIOS_CF_SEC_20230117.xlsx]CF PNP'!$DI$71</v>
      </c>
      <c r="J3001" t="s">
        <v>1499</v>
      </c>
    </row>
    <row r="3002" spans="1:10" x14ac:dyDescent="0.3">
      <c r="A3002" s="6" t="s">
        <v>15</v>
      </c>
      <c r="B3002" s="6">
        <f t="shared" si="685"/>
        <v>2059</v>
      </c>
      <c r="C3002" s="1" t="s">
        <v>110</v>
      </c>
      <c r="D3002" s="2" t="s">
        <v>131</v>
      </c>
      <c r="E3002" s="9" t="str">
        <f t="shared" si="681"/>
        <v>PNP'!</v>
      </c>
      <c r="F3002" s="5" t="str">
        <f t="shared" si="682"/>
        <v>C:\Users\jaime.benazar\Quorum Business Solutions\Ecopetrol Prometeo - Documents\Planning Space Implementation\3. Analysis &amp; Design\Design\FC22\DRR Jaime\Neiva CPI\[VAO_DINA TERCIARIOS_CF_SEC_20230117.xlsx]CF PNP'!</v>
      </c>
      <c r="G3002" s="6" t="s">
        <v>111</v>
      </c>
      <c r="H3002" s="1">
        <f t="shared" si="683"/>
        <v>72</v>
      </c>
      <c r="I3002" s="1" t="str">
        <f t="shared" si="684"/>
        <v>='C:\Users\jaime.benazar\Quorum Business Solutions\Ecopetrol Prometeo - Documents\Planning Space Implementation\3. Analysis &amp; Design\Design\FC22\DRR Jaime\Neiva CPI\[VAO_DINA TERCIARIOS_CF_SEC_20230117.xlsx]CF PNP'!$DI$72</v>
      </c>
      <c r="J3002" t="s">
        <v>1500</v>
      </c>
    </row>
    <row r="3003" spans="1:10" x14ac:dyDescent="0.3">
      <c r="A3003" s="7" t="s">
        <v>26</v>
      </c>
      <c r="B3003" s="6"/>
      <c r="C3003" s="1" t="s">
        <v>110</v>
      </c>
      <c r="D3003" s="2"/>
      <c r="E3003" s="9"/>
      <c r="F3003" s="5"/>
      <c r="G3003" s="6"/>
      <c r="H3003" s="1"/>
      <c r="I3003" s="1"/>
      <c r="J3003" s="4"/>
    </row>
    <row r="3004" spans="1:10" x14ac:dyDescent="0.3">
      <c r="A3004" s="6" t="s">
        <v>16</v>
      </c>
      <c r="B3004" s="6">
        <v>2023</v>
      </c>
      <c r="C3004" s="1" t="s">
        <v>110</v>
      </c>
      <c r="D3004" s="2" t="s">
        <v>131</v>
      </c>
      <c r="E3004" s="9" t="str">
        <f t="shared" si="666"/>
        <v>PND'!</v>
      </c>
      <c r="F3004" s="5" t="str">
        <f t="shared" ref="F3004:F3024" si="686">_xlfn.CONCAT(D3004," ",E3004)</f>
        <v>C:\Users\jaime.benazar\Quorum Business Solutions\Ecopetrol Prometeo - Documents\Planning Space Implementation\3. Analysis &amp; Design\Design\FC22\DRR Jaime\Neiva CPI\[VAO_DINA TERCIARIOS_CF_SEC_20230117.xlsx]CF PND'!</v>
      </c>
      <c r="G3004" s="6" t="s">
        <v>111</v>
      </c>
      <c r="H3004" s="1">
        <f>IF(A3004&lt;&gt;A2988,36,H2988+1)</f>
        <v>36</v>
      </c>
      <c r="I3004" s="1" t="str">
        <f t="shared" si="667"/>
        <v>='C:\Users\jaime.benazar\Quorum Business Solutions\Ecopetrol Prometeo - Documents\Planning Space Implementation\3. Analysis &amp; Design\Design\FC22\DRR Jaime\Neiva CPI\[VAO_DINA TERCIARIOS_CF_SEC_20230117.xlsx]CF PND'!$DI$36</v>
      </c>
      <c r="J3004" t="s">
        <v>1501</v>
      </c>
    </row>
    <row r="3005" spans="1:10" x14ac:dyDescent="0.3">
      <c r="A3005" s="6" t="s">
        <v>16</v>
      </c>
      <c r="B3005" s="6">
        <f>+B3004+1</f>
        <v>2024</v>
      </c>
      <c r="C3005" s="1" t="s">
        <v>110</v>
      </c>
      <c r="D3005" s="2" t="s">
        <v>131</v>
      </c>
      <c r="E3005" s="9" t="str">
        <f t="shared" si="666"/>
        <v>PND'!</v>
      </c>
      <c r="F3005" s="5" t="str">
        <f t="shared" si="686"/>
        <v>C:\Users\jaime.benazar\Quorum Business Solutions\Ecopetrol Prometeo - Documents\Planning Space Implementation\3. Analysis &amp; Design\Design\FC22\DRR Jaime\Neiva CPI\[VAO_DINA TERCIARIOS_CF_SEC_20230117.xlsx]CF PND'!</v>
      </c>
      <c r="G3005" s="6" t="s">
        <v>111</v>
      </c>
      <c r="H3005" s="1">
        <f t="shared" si="669"/>
        <v>37</v>
      </c>
      <c r="I3005" s="1" t="str">
        <f t="shared" si="667"/>
        <v>='C:\Users\jaime.benazar\Quorum Business Solutions\Ecopetrol Prometeo - Documents\Planning Space Implementation\3. Analysis &amp; Design\Design\FC22\DRR Jaime\Neiva CPI\[VAO_DINA TERCIARIOS_CF_SEC_20230117.xlsx]CF PND'!$DI$37</v>
      </c>
      <c r="J3005" t="s">
        <v>1502</v>
      </c>
    </row>
    <row r="3006" spans="1:10" x14ac:dyDescent="0.3">
      <c r="A3006" s="6" t="s">
        <v>16</v>
      </c>
      <c r="B3006" s="6">
        <f t="shared" ref="B3006:B3017" si="687">+B3005+1</f>
        <v>2025</v>
      </c>
      <c r="C3006" s="1" t="s">
        <v>110</v>
      </c>
      <c r="D3006" s="2" t="s">
        <v>131</v>
      </c>
      <c r="E3006" s="9" t="str">
        <f t="shared" si="666"/>
        <v>PND'!</v>
      </c>
      <c r="F3006" s="5" t="str">
        <f t="shared" si="686"/>
        <v>C:\Users\jaime.benazar\Quorum Business Solutions\Ecopetrol Prometeo - Documents\Planning Space Implementation\3. Analysis &amp; Design\Design\FC22\DRR Jaime\Neiva CPI\[VAO_DINA TERCIARIOS_CF_SEC_20230117.xlsx]CF PND'!</v>
      </c>
      <c r="G3006" s="6" t="s">
        <v>111</v>
      </c>
      <c r="H3006" s="1">
        <f t="shared" si="669"/>
        <v>38</v>
      </c>
      <c r="I3006" s="1" t="str">
        <f t="shared" si="667"/>
        <v>='C:\Users\jaime.benazar\Quorum Business Solutions\Ecopetrol Prometeo - Documents\Planning Space Implementation\3. Analysis &amp; Design\Design\FC22\DRR Jaime\Neiva CPI\[VAO_DINA TERCIARIOS_CF_SEC_20230117.xlsx]CF PND'!$DI$38</v>
      </c>
      <c r="J3006" t="s">
        <v>1503</v>
      </c>
    </row>
    <row r="3007" spans="1:10" x14ac:dyDescent="0.3">
      <c r="A3007" s="6" t="s">
        <v>16</v>
      </c>
      <c r="B3007" s="6">
        <f t="shared" si="687"/>
        <v>2026</v>
      </c>
      <c r="C3007" s="1" t="s">
        <v>110</v>
      </c>
      <c r="D3007" s="2" t="s">
        <v>131</v>
      </c>
      <c r="E3007" s="9" t="str">
        <f t="shared" si="666"/>
        <v>PND'!</v>
      </c>
      <c r="F3007" s="5" t="str">
        <f t="shared" si="686"/>
        <v>C:\Users\jaime.benazar\Quorum Business Solutions\Ecopetrol Prometeo - Documents\Planning Space Implementation\3. Analysis &amp; Design\Design\FC22\DRR Jaime\Neiva CPI\[VAO_DINA TERCIARIOS_CF_SEC_20230117.xlsx]CF PND'!</v>
      </c>
      <c r="G3007" s="6" t="s">
        <v>111</v>
      </c>
      <c r="H3007" s="1">
        <f t="shared" si="669"/>
        <v>39</v>
      </c>
      <c r="I3007" s="1" t="str">
        <f t="shared" si="667"/>
        <v>='C:\Users\jaime.benazar\Quorum Business Solutions\Ecopetrol Prometeo - Documents\Planning Space Implementation\3. Analysis &amp; Design\Design\FC22\DRR Jaime\Neiva CPI\[VAO_DINA TERCIARIOS_CF_SEC_20230117.xlsx]CF PND'!$DI$39</v>
      </c>
      <c r="J3007" t="s">
        <v>1504</v>
      </c>
    </row>
    <row r="3008" spans="1:10" x14ac:dyDescent="0.3">
      <c r="A3008" s="6" t="s">
        <v>16</v>
      </c>
      <c r="B3008" s="6">
        <f t="shared" si="687"/>
        <v>2027</v>
      </c>
      <c r="C3008" s="1" t="s">
        <v>110</v>
      </c>
      <c r="D3008" s="2" t="s">
        <v>131</v>
      </c>
      <c r="E3008" s="9" t="str">
        <f t="shared" si="666"/>
        <v>PND'!</v>
      </c>
      <c r="F3008" s="5" t="str">
        <f t="shared" si="686"/>
        <v>C:\Users\jaime.benazar\Quorum Business Solutions\Ecopetrol Prometeo - Documents\Planning Space Implementation\3. Analysis &amp; Design\Design\FC22\DRR Jaime\Neiva CPI\[VAO_DINA TERCIARIOS_CF_SEC_20230117.xlsx]CF PND'!</v>
      </c>
      <c r="G3008" s="6" t="s">
        <v>111</v>
      </c>
      <c r="H3008" s="1">
        <f t="shared" si="669"/>
        <v>40</v>
      </c>
      <c r="I3008" s="1" t="str">
        <f t="shared" si="667"/>
        <v>='C:\Users\jaime.benazar\Quorum Business Solutions\Ecopetrol Prometeo - Documents\Planning Space Implementation\3. Analysis &amp; Design\Design\FC22\DRR Jaime\Neiva CPI\[VAO_DINA TERCIARIOS_CF_SEC_20230117.xlsx]CF PND'!$DI$40</v>
      </c>
      <c r="J3008" t="s">
        <v>1505</v>
      </c>
    </row>
    <row r="3009" spans="1:10" x14ac:dyDescent="0.3">
      <c r="A3009" s="6" t="s">
        <v>16</v>
      </c>
      <c r="B3009" s="6">
        <f t="shared" si="687"/>
        <v>2028</v>
      </c>
      <c r="C3009" s="1" t="s">
        <v>110</v>
      </c>
      <c r="D3009" s="2" t="s">
        <v>131</v>
      </c>
      <c r="E3009" s="9" t="str">
        <f t="shared" si="666"/>
        <v>PND'!</v>
      </c>
      <c r="F3009" s="5" t="str">
        <f t="shared" si="686"/>
        <v>C:\Users\jaime.benazar\Quorum Business Solutions\Ecopetrol Prometeo - Documents\Planning Space Implementation\3. Analysis &amp; Design\Design\FC22\DRR Jaime\Neiva CPI\[VAO_DINA TERCIARIOS_CF_SEC_20230117.xlsx]CF PND'!</v>
      </c>
      <c r="G3009" s="6" t="s">
        <v>111</v>
      </c>
      <c r="H3009" s="1">
        <f t="shared" si="669"/>
        <v>41</v>
      </c>
      <c r="I3009" s="1" t="str">
        <f t="shared" si="667"/>
        <v>='C:\Users\jaime.benazar\Quorum Business Solutions\Ecopetrol Prometeo - Documents\Planning Space Implementation\3. Analysis &amp; Design\Design\FC22\DRR Jaime\Neiva CPI\[VAO_DINA TERCIARIOS_CF_SEC_20230117.xlsx]CF PND'!$DI$41</v>
      </c>
      <c r="J3009" t="s">
        <v>1506</v>
      </c>
    </row>
    <row r="3010" spans="1:10" x14ac:dyDescent="0.3">
      <c r="A3010" s="6" t="s">
        <v>16</v>
      </c>
      <c r="B3010" s="6">
        <f t="shared" si="687"/>
        <v>2029</v>
      </c>
      <c r="C3010" s="1" t="s">
        <v>110</v>
      </c>
      <c r="D3010" s="2" t="s">
        <v>131</v>
      </c>
      <c r="E3010" s="9" t="str">
        <f t="shared" si="666"/>
        <v>PND'!</v>
      </c>
      <c r="F3010" s="5" t="str">
        <f t="shared" si="686"/>
        <v>C:\Users\jaime.benazar\Quorum Business Solutions\Ecopetrol Prometeo - Documents\Planning Space Implementation\3. Analysis &amp; Design\Design\FC22\DRR Jaime\Neiva CPI\[VAO_DINA TERCIARIOS_CF_SEC_20230117.xlsx]CF PND'!</v>
      </c>
      <c r="G3010" s="6" t="s">
        <v>111</v>
      </c>
      <c r="H3010" s="1">
        <f t="shared" si="669"/>
        <v>42</v>
      </c>
      <c r="I3010" s="1" t="str">
        <f t="shared" si="667"/>
        <v>='C:\Users\jaime.benazar\Quorum Business Solutions\Ecopetrol Prometeo - Documents\Planning Space Implementation\3. Analysis &amp; Design\Design\FC22\DRR Jaime\Neiva CPI\[VAO_DINA TERCIARIOS_CF_SEC_20230117.xlsx]CF PND'!$DI$42</v>
      </c>
      <c r="J3010" t="s">
        <v>1507</v>
      </c>
    </row>
    <row r="3011" spans="1:10" x14ac:dyDescent="0.3">
      <c r="A3011" s="6" t="s">
        <v>16</v>
      </c>
      <c r="B3011" s="6">
        <f t="shared" si="687"/>
        <v>2030</v>
      </c>
      <c r="C3011" s="1" t="s">
        <v>110</v>
      </c>
      <c r="D3011" s="2" t="s">
        <v>131</v>
      </c>
      <c r="E3011" s="9" t="str">
        <f t="shared" si="666"/>
        <v>PND'!</v>
      </c>
      <c r="F3011" s="5" t="str">
        <f t="shared" si="686"/>
        <v>C:\Users\jaime.benazar\Quorum Business Solutions\Ecopetrol Prometeo - Documents\Planning Space Implementation\3. Analysis &amp; Design\Design\FC22\DRR Jaime\Neiva CPI\[VAO_DINA TERCIARIOS_CF_SEC_20230117.xlsx]CF PND'!</v>
      </c>
      <c r="G3011" s="6" t="s">
        <v>111</v>
      </c>
      <c r="H3011" s="1">
        <f t="shared" si="669"/>
        <v>43</v>
      </c>
      <c r="I3011" s="1" t="str">
        <f t="shared" si="667"/>
        <v>='C:\Users\jaime.benazar\Quorum Business Solutions\Ecopetrol Prometeo - Documents\Planning Space Implementation\3. Analysis &amp; Design\Design\FC22\DRR Jaime\Neiva CPI\[VAO_DINA TERCIARIOS_CF_SEC_20230117.xlsx]CF PND'!$DI$43</v>
      </c>
      <c r="J3011" t="s">
        <v>1508</v>
      </c>
    </row>
    <row r="3012" spans="1:10" x14ac:dyDescent="0.3">
      <c r="A3012" s="6" t="s">
        <v>16</v>
      </c>
      <c r="B3012" s="6">
        <f t="shared" si="687"/>
        <v>2031</v>
      </c>
      <c r="C3012" s="1" t="s">
        <v>110</v>
      </c>
      <c r="D3012" s="2" t="s">
        <v>131</v>
      </c>
      <c r="E3012" s="9" t="str">
        <f t="shared" si="666"/>
        <v>PND'!</v>
      </c>
      <c r="F3012" s="5" t="str">
        <f t="shared" si="686"/>
        <v>C:\Users\jaime.benazar\Quorum Business Solutions\Ecopetrol Prometeo - Documents\Planning Space Implementation\3. Analysis &amp; Design\Design\FC22\DRR Jaime\Neiva CPI\[VAO_DINA TERCIARIOS_CF_SEC_20230117.xlsx]CF PND'!</v>
      </c>
      <c r="G3012" s="6" t="s">
        <v>111</v>
      </c>
      <c r="H3012" s="1">
        <f t="shared" si="669"/>
        <v>44</v>
      </c>
      <c r="I3012" s="1" t="str">
        <f t="shared" si="667"/>
        <v>='C:\Users\jaime.benazar\Quorum Business Solutions\Ecopetrol Prometeo - Documents\Planning Space Implementation\3. Analysis &amp; Design\Design\FC22\DRR Jaime\Neiva CPI\[VAO_DINA TERCIARIOS_CF_SEC_20230117.xlsx]CF PND'!$DI$44</v>
      </c>
      <c r="J3012" t="s">
        <v>1509</v>
      </c>
    </row>
    <row r="3013" spans="1:10" x14ac:dyDescent="0.3">
      <c r="A3013" s="6" t="s">
        <v>16</v>
      </c>
      <c r="B3013" s="6">
        <f t="shared" si="687"/>
        <v>2032</v>
      </c>
      <c r="C3013" s="1" t="s">
        <v>110</v>
      </c>
      <c r="D3013" s="2" t="s">
        <v>131</v>
      </c>
      <c r="E3013" s="9" t="str">
        <f t="shared" si="666"/>
        <v>PND'!</v>
      </c>
      <c r="F3013" s="5" t="str">
        <f t="shared" si="686"/>
        <v>C:\Users\jaime.benazar\Quorum Business Solutions\Ecopetrol Prometeo - Documents\Planning Space Implementation\3. Analysis &amp; Design\Design\FC22\DRR Jaime\Neiva CPI\[VAO_DINA TERCIARIOS_CF_SEC_20230117.xlsx]CF PND'!</v>
      </c>
      <c r="G3013" s="6" t="s">
        <v>111</v>
      </c>
      <c r="H3013" s="1">
        <f t="shared" si="669"/>
        <v>45</v>
      </c>
      <c r="I3013" s="1" t="str">
        <f t="shared" si="667"/>
        <v>='C:\Users\jaime.benazar\Quorum Business Solutions\Ecopetrol Prometeo - Documents\Planning Space Implementation\3. Analysis &amp; Design\Design\FC22\DRR Jaime\Neiva CPI\[VAO_DINA TERCIARIOS_CF_SEC_20230117.xlsx]CF PND'!$DI$45</v>
      </c>
      <c r="J3013" t="s">
        <v>1510</v>
      </c>
    </row>
    <row r="3014" spans="1:10" x14ac:dyDescent="0.3">
      <c r="A3014" s="6" t="s">
        <v>16</v>
      </c>
      <c r="B3014" s="6">
        <f t="shared" si="687"/>
        <v>2033</v>
      </c>
      <c r="C3014" s="1" t="s">
        <v>110</v>
      </c>
      <c r="D3014" s="2" t="s">
        <v>131</v>
      </c>
      <c r="E3014" s="9" t="str">
        <f t="shared" si="666"/>
        <v>PND'!</v>
      </c>
      <c r="F3014" s="5" t="str">
        <f t="shared" si="686"/>
        <v>C:\Users\jaime.benazar\Quorum Business Solutions\Ecopetrol Prometeo - Documents\Planning Space Implementation\3. Analysis &amp; Design\Design\FC22\DRR Jaime\Neiva CPI\[VAO_DINA TERCIARIOS_CF_SEC_20230117.xlsx]CF PND'!</v>
      </c>
      <c r="G3014" s="6" t="s">
        <v>111</v>
      </c>
      <c r="H3014" s="1">
        <f t="shared" si="669"/>
        <v>46</v>
      </c>
      <c r="I3014" s="1" t="str">
        <f t="shared" si="667"/>
        <v>='C:\Users\jaime.benazar\Quorum Business Solutions\Ecopetrol Prometeo - Documents\Planning Space Implementation\3. Analysis &amp; Design\Design\FC22\DRR Jaime\Neiva CPI\[VAO_DINA TERCIARIOS_CF_SEC_20230117.xlsx]CF PND'!$DI$46</v>
      </c>
      <c r="J3014" t="s">
        <v>1511</v>
      </c>
    </row>
    <row r="3015" spans="1:10" x14ac:dyDescent="0.3">
      <c r="A3015" s="6" t="s">
        <v>16</v>
      </c>
      <c r="B3015" s="6">
        <f t="shared" si="687"/>
        <v>2034</v>
      </c>
      <c r="C3015" s="1" t="s">
        <v>110</v>
      </c>
      <c r="D3015" s="2" t="s">
        <v>131</v>
      </c>
      <c r="E3015" s="9" t="str">
        <f t="shared" si="666"/>
        <v>PND'!</v>
      </c>
      <c r="F3015" s="5" t="str">
        <f t="shared" si="686"/>
        <v>C:\Users\jaime.benazar\Quorum Business Solutions\Ecopetrol Prometeo - Documents\Planning Space Implementation\3. Analysis &amp; Design\Design\FC22\DRR Jaime\Neiva CPI\[VAO_DINA TERCIARIOS_CF_SEC_20230117.xlsx]CF PND'!</v>
      </c>
      <c r="G3015" s="6" t="s">
        <v>111</v>
      </c>
      <c r="H3015" s="1">
        <f t="shared" si="669"/>
        <v>47</v>
      </c>
      <c r="I3015" s="1" t="str">
        <f t="shared" si="667"/>
        <v>='C:\Users\jaime.benazar\Quorum Business Solutions\Ecopetrol Prometeo - Documents\Planning Space Implementation\3. Analysis &amp; Design\Design\FC22\DRR Jaime\Neiva CPI\[VAO_DINA TERCIARIOS_CF_SEC_20230117.xlsx]CF PND'!$DI$47</v>
      </c>
      <c r="J3015" t="s">
        <v>1512</v>
      </c>
    </row>
    <row r="3016" spans="1:10" x14ac:dyDescent="0.3">
      <c r="A3016" s="6" t="s">
        <v>16</v>
      </c>
      <c r="B3016" s="6">
        <f t="shared" si="687"/>
        <v>2035</v>
      </c>
      <c r="C3016" s="1" t="s">
        <v>110</v>
      </c>
      <c r="D3016" s="2" t="s">
        <v>131</v>
      </c>
      <c r="E3016" s="9" t="str">
        <f t="shared" si="666"/>
        <v>PND'!</v>
      </c>
      <c r="F3016" s="5" t="str">
        <f t="shared" si="686"/>
        <v>C:\Users\jaime.benazar\Quorum Business Solutions\Ecopetrol Prometeo - Documents\Planning Space Implementation\3. Analysis &amp; Design\Design\FC22\DRR Jaime\Neiva CPI\[VAO_DINA TERCIARIOS_CF_SEC_20230117.xlsx]CF PND'!</v>
      </c>
      <c r="G3016" s="6" t="s">
        <v>111</v>
      </c>
      <c r="H3016" s="1">
        <f t="shared" si="669"/>
        <v>48</v>
      </c>
      <c r="I3016" s="1" t="str">
        <f t="shared" si="667"/>
        <v>='C:\Users\jaime.benazar\Quorum Business Solutions\Ecopetrol Prometeo - Documents\Planning Space Implementation\3. Analysis &amp; Design\Design\FC22\DRR Jaime\Neiva CPI\[VAO_DINA TERCIARIOS_CF_SEC_20230117.xlsx]CF PND'!$DI$48</v>
      </c>
      <c r="J3016" t="s">
        <v>1513</v>
      </c>
    </row>
    <row r="3017" spans="1:10" x14ac:dyDescent="0.3">
      <c r="A3017" s="6" t="s">
        <v>16</v>
      </c>
      <c r="B3017" s="6">
        <f t="shared" si="687"/>
        <v>2036</v>
      </c>
      <c r="C3017" s="1" t="s">
        <v>110</v>
      </c>
      <c r="D3017" s="2" t="s">
        <v>131</v>
      </c>
      <c r="E3017" s="9" t="str">
        <f t="shared" si="666"/>
        <v>PND'!</v>
      </c>
      <c r="F3017" s="5" t="str">
        <f t="shared" si="686"/>
        <v>C:\Users\jaime.benazar\Quorum Business Solutions\Ecopetrol Prometeo - Documents\Planning Space Implementation\3. Analysis &amp; Design\Design\FC22\DRR Jaime\Neiva CPI\[VAO_DINA TERCIARIOS_CF_SEC_20230117.xlsx]CF PND'!</v>
      </c>
      <c r="G3017" s="6" t="s">
        <v>111</v>
      </c>
      <c r="H3017" s="1">
        <f t="shared" si="669"/>
        <v>49</v>
      </c>
      <c r="I3017" s="1" t="str">
        <f t="shared" si="667"/>
        <v>='C:\Users\jaime.benazar\Quorum Business Solutions\Ecopetrol Prometeo - Documents\Planning Space Implementation\3. Analysis &amp; Design\Design\FC22\DRR Jaime\Neiva CPI\[VAO_DINA TERCIARIOS_CF_SEC_20230117.xlsx]CF PND'!$DI$49</v>
      </c>
      <c r="J3017" t="s">
        <v>1514</v>
      </c>
    </row>
    <row r="3018" spans="1:10" x14ac:dyDescent="0.3">
      <c r="A3018" s="6" t="s">
        <v>16</v>
      </c>
      <c r="B3018" s="6">
        <f>+B3017+1</f>
        <v>2037</v>
      </c>
      <c r="C3018" s="1" t="s">
        <v>110</v>
      </c>
      <c r="D3018" s="2" t="s">
        <v>131</v>
      </c>
      <c r="E3018" s="9" t="str">
        <f t="shared" si="666"/>
        <v>PND'!</v>
      </c>
      <c r="F3018" s="5" t="str">
        <f t="shared" si="686"/>
        <v>C:\Users\jaime.benazar\Quorum Business Solutions\Ecopetrol Prometeo - Documents\Planning Space Implementation\3. Analysis &amp; Design\Design\FC22\DRR Jaime\Neiva CPI\[VAO_DINA TERCIARIOS_CF_SEC_20230117.xlsx]CF PND'!</v>
      </c>
      <c r="G3018" s="6" t="s">
        <v>111</v>
      </c>
      <c r="H3018" s="1">
        <f t="shared" si="669"/>
        <v>50</v>
      </c>
      <c r="I3018" s="1" t="str">
        <f t="shared" si="667"/>
        <v>='C:\Users\jaime.benazar\Quorum Business Solutions\Ecopetrol Prometeo - Documents\Planning Space Implementation\3. Analysis &amp; Design\Design\FC22\DRR Jaime\Neiva CPI\[VAO_DINA TERCIARIOS_CF_SEC_20230117.xlsx]CF PND'!$DI$50</v>
      </c>
      <c r="J3018" t="s">
        <v>1515</v>
      </c>
    </row>
    <row r="3019" spans="1:10" x14ac:dyDescent="0.3">
      <c r="A3019" s="6" t="s">
        <v>16</v>
      </c>
      <c r="B3019" s="6">
        <f t="shared" ref="B3019:B3021" si="688">+B3018+1</f>
        <v>2038</v>
      </c>
      <c r="C3019" s="1" t="s">
        <v>110</v>
      </c>
      <c r="D3019" s="2" t="s">
        <v>131</v>
      </c>
      <c r="E3019" s="9" t="str">
        <f t="shared" si="666"/>
        <v>PND'!</v>
      </c>
      <c r="F3019" s="5" t="str">
        <f t="shared" si="686"/>
        <v>C:\Users\jaime.benazar\Quorum Business Solutions\Ecopetrol Prometeo - Documents\Planning Space Implementation\3. Analysis &amp; Design\Design\FC22\DRR Jaime\Neiva CPI\[VAO_DINA TERCIARIOS_CF_SEC_20230117.xlsx]CF PND'!</v>
      </c>
      <c r="G3019" s="6" t="s">
        <v>111</v>
      </c>
      <c r="H3019" s="1">
        <f t="shared" si="669"/>
        <v>51</v>
      </c>
      <c r="I3019" s="1" t="str">
        <f t="shared" si="667"/>
        <v>='C:\Users\jaime.benazar\Quorum Business Solutions\Ecopetrol Prometeo - Documents\Planning Space Implementation\3. Analysis &amp; Design\Design\FC22\DRR Jaime\Neiva CPI\[VAO_DINA TERCIARIOS_CF_SEC_20230117.xlsx]CF PND'!$DI$51</v>
      </c>
      <c r="J3019" t="s">
        <v>1516</v>
      </c>
    </row>
    <row r="3020" spans="1:10" x14ac:dyDescent="0.3">
      <c r="A3020" s="6" t="s">
        <v>16</v>
      </c>
      <c r="B3020" s="6">
        <f t="shared" si="688"/>
        <v>2039</v>
      </c>
      <c r="C3020" s="1" t="s">
        <v>110</v>
      </c>
      <c r="D3020" s="2" t="s">
        <v>131</v>
      </c>
      <c r="E3020" s="9" t="str">
        <f t="shared" si="666"/>
        <v>PND'!</v>
      </c>
      <c r="F3020" s="5" t="str">
        <f t="shared" si="686"/>
        <v>C:\Users\jaime.benazar\Quorum Business Solutions\Ecopetrol Prometeo - Documents\Planning Space Implementation\3. Analysis &amp; Design\Design\FC22\DRR Jaime\Neiva CPI\[VAO_DINA TERCIARIOS_CF_SEC_20230117.xlsx]CF PND'!</v>
      </c>
      <c r="G3020" s="6" t="s">
        <v>111</v>
      </c>
      <c r="H3020" s="1">
        <f t="shared" si="669"/>
        <v>52</v>
      </c>
      <c r="I3020" s="1" t="str">
        <f t="shared" si="667"/>
        <v>='C:\Users\jaime.benazar\Quorum Business Solutions\Ecopetrol Prometeo - Documents\Planning Space Implementation\3. Analysis &amp; Design\Design\FC22\DRR Jaime\Neiva CPI\[VAO_DINA TERCIARIOS_CF_SEC_20230117.xlsx]CF PND'!$DI$52</v>
      </c>
      <c r="J3020" t="s">
        <v>1517</v>
      </c>
    </row>
    <row r="3021" spans="1:10" x14ac:dyDescent="0.3">
      <c r="A3021" s="6" t="s">
        <v>16</v>
      </c>
      <c r="B3021" s="6">
        <f t="shared" si="688"/>
        <v>2040</v>
      </c>
      <c r="C3021" s="1" t="s">
        <v>110</v>
      </c>
      <c r="D3021" s="2" t="s">
        <v>131</v>
      </c>
      <c r="E3021" s="9" t="str">
        <f t="shared" si="666"/>
        <v>PND'!</v>
      </c>
      <c r="F3021" s="5" t="str">
        <f t="shared" si="686"/>
        <v>C:\Users\jaime.benazar\Quorum Business Solutions\Ecopetrol Prometeo - Documents\Planning Space Implementation\3. Analysis &amp; Design\Design\FC22\DRR Jaime\Neiva CPI\[VAO_DINA TERCIARIOS_CF_SEC_20230117.xlsx]CF PND'!</v>
      </c>
      <c r="G3021" s="6" t="s">
        <v>111</v>
      </c>
      <c r="H3021" s="1">
        <f t="shared" si="669"/>
        <v>53</v>
      </c>
      <c r="I3021" s="1" t="str">
        <f t="shared" si="667"/>
        <v>='C:\Users\jaime.benazar\Quorum Business Solutions\Ecopetrol Prometeo - Documents\Planning Space Implementation\3. Analysis &amp; Design\Design\FC22\DRR Jaime\Neiva CPI\[VAO_DINA TERCIARIOS_CF_SEC_20230117.xlsx]CF PND'!$DI$53</v>
      </c>
      <c r="J3021" t="s">
        <v>1518</v>
      </c>
    </row>
    <row r="3022" spans="1:10" x14ac:dyDescent="0.3">
      <c r="A3022" s="6" t="s">
        <v>16</v>
      </c>
      <c r="B3022" s="6">
        <f>+B3021+1</f>
        <v>2041</v>
      </c>
      <c r="C3022" s="1" t="s">
        <v>110</v>
      </c>
      <c r="D3022" s="2" t="s">
        <v>131</v>
      </c>
      <c r="E3022" s="9" t="str">
        <f t="shared" si="666"/>
        <v>PND'!</v>
      </c>
      <c r="F3022" s="5" t="str">
        <f t="shared" si="686"/>
        <v>C:\Users\jaime.benazar\Quorum Business Solutions\Ecopetrol Prometeo - Documents\Planning Space Implementation\3. Analysis &amp; Design\Design\FC22\DRR Jaime\Neiva CPI\[VAO_DINA TERCIARIOS_CF_SEC_20230117.xlsx]CF PND'!</v>
      </c>
      <c r="G3022" s="6" t="s">
        <v>111</v>
      </c>
      <c r="H3022" s="1">
        <f t="shared" si="669"/>
        <v>54</v>
      </c>
      <c r="I3022" s="1" t="str">
        <f t="shared" si="667"/>
        <v>='C:\Users\jaime.benazar\Quorum Business Solutions\Ecopetrol Prometeo - Documents\Planning Space Implementation\3. Analysis &amp; Design\Design\FC22\DRR Jaime\Neiva CPI\[VAO_DINA TERCIARIOS_CF_SEC_20230117.xlsx]CF PND'!$DI$54</v>
      </c>
      <c r="J3022" t="s">
        <v>1519</v>
      </c>
    </row>
    <row r="3023" spans="1:10" x14ac:dyDescent="0.3">
      <c r="A3023" s="6" t="s">
        <v>16</v>
      </c>
      <c r="B3023" s="6">
        <f t="shared" ref="B3023:B3024" si="689">+B3022+1</f>
        <v>2042</v>
      </c>
      <c r="C3023" s="1" t="s">
        <v>110</v>
      </c>
      <c r="D3023" s="2" t="s">
        <v>131</v>
      </c>
      <c r="E3023" s="9" t="str">
        <f t="shared" ref="E3023:E3345" si="690">_xlfn.CONCAT(A3023,"'!")</f>
        <v>PND'!</v>
      </c>
      <c r="F3023" s="5" t="str">
        <f t="shared" si="686"/>
        <v>C:\Users\jaime.benazar\Quorum Business Solutions\Ecopetrol Prometeo - Documents\Planning Space Implementation\3. Analysis &amp; Design\Design\FC22\DRR Jaime\Neiva CPI\[VAO_DINA TERCIARIOS_CF_SEC_20230117.xlsx]CF PND'!</v>
      </c>
      <c r="G3023" s="6" t="s">
        <v>111</v>
      </c>
      <c r="H3023" s="1">
        <f t="shared" si="669"/>
        <v>55</v>
      </c>
      <c r="I3023" s="1" t="str">
        <f t="shared" ref="I3023:I3328" si="691">_xlfn.CONCAT("='",F3023:H3023)</f>
        <v>='C:\Users\jaime.benazar\Quorum Business Solutions\Ecopetrol Prometeo - Documents\Planning Space Implementation\3. Analysis &amp; Design\Design\FC22\DRR Jaime\Neiva CPI\[VAO_DINA TERCIARIOS_CF_SEC_20230117.xlsx]CF PND'!$DI$55</v>
      </c>
      <c r="J3023" t="s">
        <v>1520</v>
      </c>
    </row>
    <row r="3024" spans="1:10" x14ac:dyDescent="0.3">
      <c r="A3024" s="6" t="s">
        <v>16</v>
      </c>
      <c r="B3024" s="6">
        <f t="shared" si="689"/>
        <v>2043</v>
      </c>
      <c r="C3024" s="1" t="s">
        <v>110</v>
      </c>
      <c r="D3024" s="2" t="s">
        <v>131</v>
      </c>
      <c r="E3024" s="9" t="str">
        <f t="shared" si="690"/>
        <v>PND'!</v>
      </c>
      <c r="F3024" s="5" t="str">
        <f t="shared" si="686"/>
        <v>C:\Users\jaime.benazar\Quorum Business Solutions\Ecopetrol Prometeo - Documents\Planning Space Implementation\3. Analysis &amp; Design\Design\FC22\DRR Jaime\Neiva CPI\[VAO_DINA TERCIARIOS_CF_SEC_20230117.xlsx]CF PND'!</v>
      </c>
      <c r="G3024" s="6" t="s">
        <v>111</v>
      </c>
      <c r="H3024" s="1">
        <f t="shared" ref="H3024:H3328" si="692">IF(A3024&lt;&gt;A3023,36,H3023+1)</f>
        <v>56</v>
      </c>
      <c r="I3024" s="1" t="str">
        <f t="shared" si="691"/>
        <v>='C:\Users\jaime.benazar\Quorum Business Solutions\Ecopetrol Prometeo - Documents\Planning Space Implementation\3. Analysis &amp; Design\Design\FC22\DRR Jaime\Neiva CPI\[VAO_DINA TERCIARIOS_CF_SEC_20230117.xlsx]CF PND'!$DI$56</v>
      </c>
      <c r="J3024" t="s">
        <v>1521</v>
      </c>
    </row>
    <row r="3025" spans="1:10" x14ac:dyDescent="0.3">
      <c r="A3025" s="6" t="s">
        <v>16</v>
      </c>
      <c r="B3025" s="6">
        <f>+B3024+1</f>
        <v>2044</v>
      </c>
      <c r="C3025" s="1" t="s">
        <v>110</v>
      </c>
      <c r="D3025" s="2" t="s">
        <v>131</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Jaime\Neiva CPI\[VAO_DINA TERCIARIOS_CF_SEC_20230117.xlsx]CF PND'!</v>
      </c>
      <c r="G3025" s="6" t="s">
        <v>111</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Jaime\Neiva CPI\[VAO_DINA TERCIARIOS_CF_SEC_20230117.xlsx]CF PND'!$DI$57</v>
      </c>
      <c r="J3025" t="s">
        <v>1522</v>
      </c>
    </row>
    <row r="3026" spans="1:10" x14ac:dyDescent="0.3">
      <c r="A3026" s="6" t="s">
        <v>16</v>
      </c>
      <c r="B3026" s="6">
        <f t="shared" ref="B3026:B3040" si="697">+B3025+1</f>
        <v>2045</v>
      </c>
      <c r="C3026" s="1" t="s">
        <v>110</v>
      </c>
      <c r="D3026" s="2" t="s">
        <v>131</v>
      </c>
      <c r="E3026" s="9" t="str">
        <f t="shared" si="693"/>
        <v>PND'!</v>
      </c>
      <c r="F3026" s="5" t="str">
        <f t="shared" si="694"/>
        <v>C:\Users\jaime.benazar\Quorum Business Solutions\Ecopetrol Prometeo - Documents\Planning Space Implementation\3. Analysis &amp; Design\Design\FC22\DRR Jaime\Neiva CPI\[VAO_DINA TERCIARIOS_CF_SEC_20230117.xlsx]CF PND'!</v>
      </c>
      <c r="G3026" s="6" t="s">
        <v>111</v>
      </c>
      <c r="H3026" s="1">
        <f t="shared" si="695"/>
        <v>58</v>
      </c>
      <c r="I3026" s="1" t="str">
        <f t="shared" si="696"/>
        <v>='C:\Users\jaime.benazar\Quorum Business Solutions\Ecopetrol Prometeo - Documents\Planning Space Implementation\3. Analysis &amp; Design\Design\FC22\DRR Jaime\Neiva CPI\[VAO_DINA TERCIARIOS_CF_SEC_20230117.xlsx]CF PND'!$DI$58</v>
      </c>
      <c r="J3026" t="s">
        <v>1523</v>
      </c>
    </row>
    <row r="3027" spans="1:10" x14ac:dyDescent="0.3">
      <c r="A3027" s="6" t="s">
        <v>16</v>
      </c>
      <c r="B3027" s="6">
        <f t="shared" si="697"/>
        <v>2046</v>
      </c>
      <c r="C3027" s="1" t="s">
        <v>110</v>
      </c>
      <c r="D3027" s="2" t="s">
        <v>131</v>
      </c>
      <c r="E3027" s="9" t="str">
        <f t="shared" si="693"/>
        <v>PND'!</v>
      </c>
      <c r="F3027" s="5" t="str">
        <f t="shared" si="694"/>
        <v>C:\Users\jaime.benazar\Quorum Business Solutions\Ecopetrol Prometeo - Documents\Planning Space Implementation\3. Analysis &amp; Design\Design\FC22\DRR Jaime\Neiva CPI\[VAO_DINA TERCIARIOS_CF_SEC_20230117.xlsx]CF PND'!</v>
      </c>
      <c r="G3027" s="6" t="s">
        <v>111</v>
      </c>
      <c r="H3027" s="1">
        <f t="shared" si="695"/>
        <v>59</v>
      </c>
      <c r="I3027" s="1" t="str">
        <f t="shared" si="696"/>
        <v>='C:\Users\jaime.benazar\Quorum Business Solutions\Ecopetrol Prometeo - Documents\Planning Space Implementation\3. Analysis &amp; Design\Design\FC22\DRR Jaime\Neiva CPI\[VAO_DINA TERCIARIOS_CF_SEC_20230117.xlsx]CF PND'!$DI$59</v>
      </c>
      <c r="J3027" t="s">
        <v>1524</v>
      </c>
    </row>
    <row r="3028" spans="1:10" x14ac:dyDescent="0.3">
      <c r="A3028" s="6" t="s">
        <v>16</v>
      </c>
      <c r="B3028" s="6">
        <f t="shared" si="697"/>
        <v>2047</v>
      </c>
      <c r="C3028" s="1" t="s">
        <v>110</v>
      </c>
      <c r="D3028" s="2" t="s">
        <v>131</v>
      </c>
      <c r="E3028" s="9" t="str">
        <f t="shared" si="693"/>
        <v>PND'!</v>
      </c>
      <c r="F3028" s="5" t="str">
        <f t="shared" si="694"/>
        <v>C:\Users\jaime.benazar\Quorum Business Solutions\Ecopetrol Prometeo - Documents\Planning Space Implementation\3. Analysis &amp; Design\Design\FC22\DRR Jaime\Neiva CPI\[VAO_DINA TERCIARIOS_CF_SEC_20230117.xlsx]CF PND'!</v>
      </c>
      <c r="G3028" s="6" t="s">
        <v>111</v>
      </c>
      <c r="H3028" s="1">
        <f t="shared" si="695"/>
        <v>60</v>
      </c>
      <c r="I3028" s="1" t="str">
        <f t="shared" si="696"/>
        <v>='C:\Users\jaime.benazar\Quorum Business Solutions\Ecopetrol Prometeo - Documents\Planning Space Implementation\3. Analysis &amp; Design\Design\FC22\DRR Jaime\Neiva CPI\[VAO_DINA TERCIARIOS_CF_SEC_20230117.xlsx]CF PND'!$DI$60</v>
      </c>
      <c r="J3028" t="s">
        <v>1525</v>
      </c>
    </row>
    <row r="3029" spans="1:10" x14ac:dyDescent="0.3">
      <c r="A3029" s="6" t="s">
        <v>16</v>
      </c>
      <c r="B3029" s="6">
        <f t="shared" si="697"/>
        <v>2048</v>
      </c>
      <c r="C3029" s="1" t="s">
        <v>110</v>
      </c>
      <c r="D3029" s="2" t="s">
        <v>131</v>
      </c>
      <c r="E3029" s="9" t="str">
        <f t="shared" si="693"/>
        <v>PND'!</v>
      </c>
      <c r="F3029" s="5" t="str">
        <f t="shared" si="694"/>
        <v>C:\Users\jaime.benazar\Quorum Business Solutions\Ecopetrol Prometeo - Documents\Planning Space Implementation\3. Analysis &amp; Design\Design\FC22\DRR Jaime\Neiva CPI\[VAO_DINA TERCIARIOS_CF_SEC_20230117.xlsx]CF PND'!</v>
      </c>
      <c r="G3029" s="6" t="s">
        <v>111</v>
      </c>
      <c r="H3029" s="1">
        <f t="shared" si="695"/>
        <v>61</v>
      </c>
      <c r="I3029" s="1" t="str">
        <f t="shared" si="696"/>
        <v>='C:\Users\jaime.benazar\Quorum Business Solutions\Ecopetrol Prometeo - Documents\Planning Space Implementation\3. Analysis &amp; Design\Design\FC22\DRR Jaime\Neiva CPI\[VAO_DINA TERCIARIOS_CF_SEC_20230117.xlsx]CF PND'!$DI$61</v>
      </c>
      <c r="J3029" t="s">
        <v>1526</v>
      </c>
    </row>
    <row r="3030" spans="1:10" x14ac:dyDescent="0.3">
      <c r="A3030" s="6" t="s">
        <v>16</v>
      </c>
      <c r="B3030" s="6">
        <f t="shared" si="697"/>
        <v>2049</v>
      </c>
      <c r="C3030" s="1" t="s">
        <v>110</v>
      </c>
      <c r="D3030" s="2" t="s">
        <v>131</v>
      </c>
      <c r="E3030" s="9" t="str">
        <f t="shared" si="693"/>
        <v>PND'!</v>
      </c>
      <c r="F3030" s="5" t="str">
        <f t="shared" si="694"/>
        <v>C:\Users\jaime.benazar\Quorum Business Solutions\Ecopetrol Prometeo - Documents\Planning Space Implementation\3. Analysis &amp; Design\Design\FC22\DRR Jaime\Neiva CPI\[VAO_DINA TERCIARIOS_CF_SEC_20230117.xlsx]CF PND'!</v>
      </c>
      <c r="G3030" s="6" t="s">
        <v>111</v>
      </c>
      <c r="H3030" s="1">
        <f t="shared" si="695"/>
        <v>62</v>
      </c>
      <c r="I3030" s="1" t="str">
        <f t="shared" si="696"/>
        <v>='C:\Users\jaime.benazar\Quorum Business Solutions\Ecopetrol Prometeo - Documents\Planning Space Implementation\3. Analysis &amp; Design\Design\FC22\DRR Jaime\Neiva CPI\[VAO_DINA TERCIARIOS_CF_SEC_20230117.xlsx]CF PND'!$DI$62</v>
      </c>
      <c r="J3030" t="s">
        <v>1527</v>
      </c>
    </row>
    <row r="3031" spans="1:10" x14ac:dyDescent="0.3">
      <c r="A3031" s="6" t="s">
        <v>16</v>
      </c>
      <c r="B3031" s="6">
        <f t="shared" si="697"/>
        <v>2050</v>
      </c>
      <c r="C3031" s="1" t="s">
        <v>110</v>
      </c>
      <c r="D3031" s="2" t="s">
        <v>131</v>
      </c>
      <c r="E3031" s="9" t="str">
        <f t="shared" si="693"/>
        <v>PND'!</v>
      </c>
      <c r="F3031" s="5" t="str">
        <f t="shared" si="694"/>
        <v>C:\Users\jaime.benazar\Quorum Business Solutions\Ecopetrol Prometeo - Documents\Planning Space Implementation\3. Analysis &amp; Design\Design\FC22\DRR Jaime\Neiva CPI\[VAO_DINA TERCIARIOS_CF_SEC_20230117.xlsx]CF PND'!</v>
      </c>
      <c r="G3031" s="6" t="s">
        <v>111</v>
      </c>
      <c r="H3031" s="1">
        <f t="shared" si="695"/>
        <v>63</v>
      </c>
      <c r="I3031" s="1" t="str">
        <f t="shared" si="696"/>
        <v>='C:\Users\jaime.benazar\Quorum Business Solutions\Ecopetrol Prometeo - Documents\Planning Space Implementation\3. Analysis &amp; Design\Design\FC22\DRR Jaime\Neiva CPI\[VAO_DINA TERCIARIOS_CF_SEC_20230117.xlsx]CF PND'!$DI$63</v>
      </c>
      <c r="J3031" t="s">
        <v>1528</v>
      </c>
    </row>
    <row r="3032" spans="1:10" x14ac:dyDescent="0.3">
      <c r="A3032" s="6" t="s">
        <v>16</v>
      </c>
      <c r="B3032" s="6">
        <f t="shared" si="697"/>
        <v>2051</v>
      </c>
      <c r="C3032" s="1" t="s">
        <v>110</v>
      </c>
      <c r="D3032" s="2" t="s">
        <v>131</v>
      </c>
      <c r="E3032" s="9" t="str">
        <f t="shared" si="693"/>
        <v>PND'!</v>
      </c>
      <c r="F3032" s="5" t="str">
        <f t="shared" si="694"/>
        <v>C:\Users\jaime.benazar\Quorum Business Solutions\Ecopetrol Prometeo - Documents\Planning Space Implementation\3. Analysis &amp; Design\Design\FC22\DRR Jaime\Neiva CPI\[VAO_DINA TERCIARIOS_CF_SEC_20230117.xlsx]CF PND'!</v>
      </c>
      <c r="G3032" s="6" t="s">
        <v>111</v>
      </c>
      <c r="H3032" s="1">
        <f t="shared" si="695"/>
        <v>64</v>
      </c>
      <c r="I3032" s="1" t="str">
        <f t="shared" si="696"/>
        <v>='C:\Users\jaime.benazar\Quorum Business Solutions\Ecopetrol Prometeo - Documents\Planning Space Implementation\3. Analysis &amp; Design\Design\FC22\DRR Jaime\Neiva CPI\[VAO_DINA TERCIARIOS_CF_SEC_20230117.xlsx]CF PND'!$DI$64</v>
      </c>
      <c r="J3032" t="s">
        <v>1529</v>
      </c>
    </row>
    <row r="3033" spans="1:10" x14ac:dyDescent="0.3">
      <c r="A3033" s="6" t="s">
        <v>16</v>
      </c>
      <c r="B3033" s="6">
        <f t="shared" si="697"/>
        <v>2052</v>
      </c>
      <c r="C3033" s="1" t="s">
        <v>110</v>
      </c>
      <c r="D3033" s="2" t="s">
        <v>131</v>
      </c>
      <c r="E3033" s="9" t="str">
        <f t="shared" si="693"/>
        <v>PND'!</v>
      </c>
      <c r="F3033" s="5" t="str">
        <f t="shared" si="694"/>
        <v>C:\Users\jaime.benazar\Quorum Business Solutions\Ecopetrol Prometeo - Documents\Planning Space Implementation\3. Analysis &amp; Design\Design\FC22\DRR Jaime\Neiva CPI\[VAO_DINA TERCIARIOS_CF_SEC_20230117.xlsx]CF PND'!</v>
      </c>
      <c r="G3033" s="6" t="s">
        <v>111</v>
      </c>
      <c r="H3033" s="1">
        <f t="shared" si="695"/>
        <v>65</v>
      </c>
      <c r="I3033" s="1" t="str">
        <f t="shared" si="696"/>
        <v>='C:\Users\jaime.benazar\Quorum Business Solutions\Ecopetrol Prometeo - Documents\Planning Space Implementation\3. Analysis &amp; Design\Design\FC22\DRR Jaime\Neiva CPI\[VAO_DINA TERCIARIOS_CF_SEC_20230117.xlsx]CF PND'!$DI$65</v>
      </c>
      <c r="J3033" t="s">
        <v>1530</v>
      </c>
    </row>
    <row r="3034" spans="1:10" x14ac:dyDescent="0.3">
      <c r="A3034" s="6" t="s">
        <v>16</v>
      </c>
      <c r="B3034" s="6">
        <f t="shared" si="697"/>
        <v>2053</v>
      </c>
      <c r="C3034" s="1" t="s">
        <v>110</v>
      </c>
      <c r="D3034" s="2" t="s">
        <v>131</v>
      </c>
      <c r="E3034" s="9" t="str">
        <f t="shared" si="693"/>
        <v>PND'!</v>
      </c>
      <c r="F3034" s="5" t="str">
        <f t="shared" si="694"/>
        <v>C:\Users\jaime.benazar\Quorum Business Solutions\Ecopetrol Prometeo - Documents\Planning Space Implementation\3. Analysis &amp; Design\Design\FC22\DRR Jaime\Neiva CPI\[VAO_DINA TERCIARIOS_CF_SEC_20230117.xlsx]CF PND'!</v>
      </c>
      <c r="G3034" s="6" t="s">
        <v>111</v>
      </c>
      <c r="H3034" s="1">
        <f t="shared" si="695"/>
        <v>66</v>
      </c>
      <c r="I3034" s="1" t="str">
        <f t="shared" si="696"/>
        <v>='C:\Users\jaime.benazar\Quorum Business Solutions\Ecopetrol Prometeo - Documents\Planning Space Implementation\3. Analysis &amp; Design\Design\FC22\DRR Jaime\Neiva CPI\[VAO_DINA TERCIARIOS_CF_SEC_20230117.xlsx]CF PND'!$DI$66</v>
      </c>
      <c r="J3034" t="s">
        <v>1531</v>
      </c>
    </row>
    <row r="3035" spans="1:10" x14ac:dyDescent="0.3">
      <c r="A3035" s="6" t="s">
        <v>16</v>
      </c>
      <c r="B3035" s="6">
        <f t="shared" si="697"/>
        <v>2054</v>
      </c>
      <c r="C3035" s="1" t="s">
        <v>110</v>
      </c>
      <c r="D3035" s="2" t="s">
        <v>131</v>
      </c>
      <c r="E3035" s="9" t="str">
        <f t="shared" si="693"/>
        <v>PND'!</v>
      </c>
      <c r="F3035" s="5" t="str">
        <f t="shared" si="694"/>
        <v>C:\Users\jaime.benazar\Quorum Business Solutions\Ecopetrol Prometeo - Documents\Planning Space Implementation\3. Analysis &amp; Design\Design\FC22\DRR Jaime\Neiva CPI\[VAO_DINA TERCIARIOS_CF_SEC_20230117.xlsx]CF PND'!</v>
      </c>
      <c r="G3035" s="6" t="s">
        <v>111</v>
      </c>
      <c r="H3035" s="1">
        <f t="shared" si="695"/>
        <v>67</v>
      </c>
      <c r="I3035" s="1" t="str">
        <f t="shared" si="696"/>
        <v>='C:\Users\jaime.benazar\Quorum Business Solutions\Ecopetrol Prometeo - Documents\Planning Space Implementation\3. Analysis &amp; Design\Design\FC22\DRR Jaime\Neiva CPI\[VAO_DINA TERCIARIOS_CF_SEC_20230117.xlsx]CF PND'!$DI$67</v>
      </c>
      <c r="J3035" t="s">
        <v>1532</v>
      </c>
    </row>
    <row r="3036" spans="1:10" x14ac:dyDescent="0.3">
      <c r="A3036" s="6" t="s">
        <v>16</v>
      </c>
      <c r="B3036" s="6">
        <f t="shared" si="697"/>
        <v>2055</v>
      </c>
      <c r="C3036" s="1" t="s">
        <v>110</v>
      </c>
      <c r="D3036" s="2" t="s">
        <v>131</v>
      </c>
      <c r="E3036" s="9" t="str">
        <f t="shared" si="693"/>
        <v>PND'!</v>
      </c>
      <c r="F3036" s="5" t="str">
        <f t="shared" si="694"/>
        <v>C:\Users\jaime.benazar\Quorum Business Solutions\Ecopetrol Prometeo - Documents\Planning Space Implementation\3. Analysis &amp; Design\Design\FC22\DRR Jaime\Neiva CPI\[VAO_DINA TERCIARIOS_CF_SEC_20230117.xlsx]CF PND'!</v>
      </c>
      <c r="G3036" s="6" t="s">
        <v>111</v>
      </c>
      <c r="H3036" s="1">
        <f t="shared" si="695"/>
        <v>68</v>
      </c>
      <c r="I3036" s="1" t="str">
        <f t="shared" si="696"/>
        <v>='C:\Users\jaime.benazar\Quorum Business Solutions\Ecopetrol Prometeo - Documents\Planning Space Implementation\3. Analysis &amp; Design\Design\FC22\DRR Jaime\Neiva CPI\[VAO_DINA TERCIARIOS_CF_SEC_20230117.xlsx]CF PND'!$DI$68</v>
      </c>
      <c r="J3036" t="s">
        <v>1533</v>
      </c>
    </row>
    <row r="3037" spans="1:10" x14ac:dyDescent="0.3">
      <c r="A3037" s="6" t="s">
        <v>16</v>
      </c>
      <c r="B3037" s="6">
        <f t="shared" si="697"/>
        <v>2056</v>
      </c>
      <c r="C3037" s="1" t="s">
        <v>110</v>
      </c>
      <c r="D3037" s="2" t="s">
        <v>131</v>
      </c>
      <c r="E3037" s="9" t="str">
        <f t="shared" si="693"/>
        <v>PND'!</v>
      </c>
      <c r="F3037" s="5" t="str">
        <f t="shared" si="694"/>
        <v>C:\Users\jaime.benazar\Quorum Business Solutions\Ecopetrol Prometeo - Documents\Planning Space Implementation\3. Analysis &amp; Design\Design\FC22\DRR Jaime\Neiva CPI\[VAO_DINA TERCIARIOS_CF_SEC_20230117.xlsx]CF PND'!</v>
      </c>
      <c r="G3037" s="6" t="s">
        <v>111</v>
      </c>
      <c r="H3037" s="1">
        <f t="shared" si="695"/>
        <v>69</v>
      </c>
      <c r="I3037" s="1" t="str">
        <f t="shared" si="696"/>
        <v>='C:\Users\jaime.benazar\Quorum Business Solutions\Ecopetrol Prometeo - Documents\Planning Space Implementation\3. Analysis &amp; Design\Design\FC22\DRR Jaime\Neiva CPI\[VAO_DINA TERCIARIOS_CF_SEC_20230117.xlsx]CF PND'!$DI$69</v>
      </c>
      <c r="J3037" t="s">
        <v>1534</v>
      </c>
    </row>
    <row r="3038" spans="1:10" x14ac:dyDescent="0.3">
      <c r="A3038" s="6" t="s">
        <v>16</v>
      </c>
      <c r="B3038" s="6">
        <f t="shared" si="697"/>
        <v>2057</v>
      </c>
      <c r="C3038" s="1" t="s">
        <v>110</v>
      </c>
      <c r="D3038" s="2" t="s">
        <v>131</v>
      </c>
      <c r="E3038" s="9" t="str">
        <f t="shared" si="693"/>
        <v>PND'!</v>
      </c>
      <c r="F3038" s="5" t="str">
        <f t="shared" si="694"/>
        <v>C:\Users\jaime.benazar\Quorum Business Solutions\Ecopetrol Prometeo - Documents\Planning Space Implementation\3. Analysis &amp; Design\Design\FC22\DRR Jaime\Neiva CPI\[VAO_DINA TERCIARIOS_CF_SEC_20230117.xlsx]CF PND'!</v>
      </c>
      <c r="G3038" s="6" t="s">
        <v>111</v>
      </c>
      <c r="H3038" s="1">
        <f t="shared" si="695"/>
        <v>70</v>
      </c>
      <c r="I3038" s="1" t="str">
        <f t="shared" si="696"/>
        <v>='C:\Users\jaime.benazar\Quorum Business Solutions\Ecopetrol Prometeo - Documents\Planning Space Implementation\3. Analysis &amp; Design\Design\FC22\DRR Jaime\Neiva CPI\[VAO_DINA TERCIARIOS_CF_SEC_20230117.xlsx]CF PND'!$DI$70</v>
      </c>
      <c r="J3038" t="s">
        <v>1535</v>
      </c>
    </row>
    <row r="3039" spans="1:10" x14ac:dyDescent="0.3">
      <c r="A3039" s="6" t="s">
        <v>16</v>
      </c>
      <c r="B3039" s="6">
        <f t="shared" si="697"/>
        <v>2058</v>
      </c>
      <c r="C3039" s="1" t="s">
        <v>110</v>
      </c>
      <c r="D3039" s="2" t="s">
        <v>131</v>
      </c>
      <c r="E3039" s="9" t="str">
        <f t="shared" si="693"/>
        <v>PND'!</v>
      </c>
      <c r="F3039" s="5" t="str">
        <f t="shared" si="694"/>
        <v>C:\Users\jaime.benazar\Quorum Business Solutions\Ecopetrol Prometeo - Documents\Planning Space Implementation\3. Analysis &amp; Design\Design\FC22\DRR Jaime\Neiva CPI\[VAO_DINA TERCIARIOS_CF_SEC_20230117.xlsx]CF PND'!</v>
      </c>
      <c r="G3039" s="6" t="s">
        <v>111</v>
      </c>
      <c r="H3039" s="1">
        <f t="shared" si="695"/>
        <v>71</v>
      </c>
      <c r="I3039" s="1" t="str">
        <f t="shared" si="696"/>
        <v>='C:\Users\jaime.benazar\Quorum Business Solutions\Ecopetrol Prometeo - Documents\Planning Space Implementation\3. Analysis &amp; Design\Design\FC22\DRR Jaime\Neiva CPI\[VAO_DINA TERCIARIOS_CF_SEC_20230117.xlsx]CF PND'!$DI$71</v>
      </c>
      <c r="J3039" t="s">
        <v>1536</v>
      </c>
    </row>
    <row r="3040" spans="1:10" x14ac:dyDescent="0.3">
      <c r="A3040" s="6" t="s">
        <v>16</v>
      </c>
      <c r="B3040" s="6">
        <f t="shared" si="697"/>
        <v>2059</v>
      </c>
      <c r="C3040" s="1" t="s">
        <v>110</v>
      </c>
      <c r="D3040" s="2" t="s">
        <v>131</v>
      </c>
      <c r="E3040" s="9" t="str">
        <f t="shared" si="693"/>
        <v>PND'!</v>
      </c>
      <c r="F3040" s="5" t="str">
        <f t="shared" si="694"/>
        <v>C:\Users\jaime.benazar\Quorum Business Solutions\Ecopetrol Prometeo - Documents\Planning Space Implementation\3. Analysis &amp; Design\Design\FC22\DRR Jaime\Neiva CPI\[VAO_DINA TERCIARIOS_CF_SEC_20230117.xlsx]CF PND'!</v>
      </c>
      <c r="G3040" s="6" t="s">
        <v>111</v>
      </c>
      <c r="H3040" s="1">
        <f t="shared" si="695"/>
        <v>72</v>
      </c>
      <c r="I3040" s="1" t="str">
        <f t="shared" si="696"/>
        <v>='C:\Users\jaime.benazar\Quorum Business Solutions\Ecopetrol Prometeo - Documents\Planning Space Implementation\3. Analysis &amp; Design\Design\FC22\DRR Jaime\Neiva CPI\[VAO_DINA TERCIARIOS_CF_SEC_20230117.xlsx]CF PND'!$DI$72</v>
      </c>
      <c r="J3040" t="s">
        <v>1537</v>
      </c>
    </row>
    <row r="3041" spans="1:10" x14ac:dyDescent="0.3">
      <c r="A3041" s="7" t="s">
        <v>26</v>
      </c>
      <c r="B3041" s="6"/>
      <c r="C3041" s="1" t="s">
        <v>110</v>
      </c>
      <c r="D3041" s="2"/>
      <c r="E3041" s="9"/>
      <c r="F3041" s="5"/>
      <c r="G3041" s="6"/>
      <c r="H3041" s="1"/>
      <c r="I3041" s="1"/>
      <c r="J3041" s="4"/>
    </row>
    <row r="3042" spans="1:10" x14ac:dyDescent="0.3">
      <c r="A3042" s="6" t="s">
        <v>17</v>
      </c>
      <c r="B3042" s="6">
        <v>2023</v>
      </c>
      <c r="C3042" s="1" t="s">
        <v>110</v>
      </c>
      <c r="D3042" s="2" t="s">
        <v>131</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Jaime\Neiva CPI\[VAO_DINA TERCIARIOS_CF_SEC_20230117.xlsx]CF PRBDP'!</v>
      </c>
      <c r="G3042" s="6" t="s">
        <v>111</v>
      </c>
      <c r="H3042" s="1"/>
      <c r="I3042" s="1"/>
    </row>
    <row r="3043" spans="1:10" x14ac:dyDescent="0.3">
      <c r="A3043" s="6" t="s">
        <v>17</v>
      </c>
      <c r="B3043" s="6">
        <f>+B3042+1</f>
        <v>2024</v>
      </c>
      <c r="C3043" s="1" t="s">
        <v>110</v>
      </c>
      <c r="D3043" s="2" t="s">
        <v>131</v>
      </c>
      <c r="E3043" s="9" t="str">
        <f t="shared" si="698"/>
        <v>PRBDP'!</v>
      </c>
      <c r="F3043" s="5" t="str">
        <f t="shared" si="699"/>
        <v>C:\Users\jaime.benazar\Quorum Business Solutions\Ecopetrol Prometeo - Documents\Planning Space Implementation\3. Analysis &amp; Design\Design\FC22\DRR Jaime\Neiva CPI\[VAO_DINA TERCIARIOS_CF_SEC_20230117.xlsx]CF PRBDP'!</v>
      </c>
      <c r="G3043" s="6" t="s">
        <v>111</v>
      </c>
      <c r="H3043" s="1"/>
      <c r="I3043" s="1"/>
    </row>
    <row r="3044" spans="1:10" x14ac:dyDescent="0.3">
      <c r="A3044" s="6" t="s">
        <v>17</v>
      </c>
      <c r="B3044" s="6">
        <f t="shared" ref="B3044:B3055" si="700">+B3043+1</f>
        <v>2025</v>
      </c>
      <c r="C3044" s="1" t="s">
        <v>110</v>
      </c>
      <c r="D3044" s="2" t="s">
        <v>131</v>
      </c>
      <c r="E3044" s="9" t="str">
        <f t="shared" si="698"/>
        <v>PRBDP'!</v>
      </c>
      <c r="F3044" s="5" t="str">
        <f t="shared" si="699"/>
        <v>C:\Users\jaime.benazar\Quorum Business Solutions\Ecopetrol Prometeo - Documents\Planning Space Implementation\3. Analysis &amp; Design\Design\FC22\DRR Jaime\Neiva CPI\[VAO_DINA TERCIARIOS_CF_SEC_20230117.xlsx]CF PRBDP'!</v>
      </c>
      <c r="G3044" s="6" t="s">
        <v>111</v>
      </c>
      <c r="H3044" s="1"/>
      <c r="I3044" s="1"/>
    </row>
    <row r="3045" spans="1:10" x14ac:dyDescent="0.3">
      <c r="A3045" s="6" t="s">
        <v>17</v>
      </c>
      <c r="B3045" s="6">
        <f t="shared" si="700"/>
        <v>2026</v>
      </c>
      <c r="C3045" s="1" t="s">
        <v>110</v>
      </c>
      <c r="D3045" s="2" t="s">
        <v>131</v>
      </c>
      <c r="E3045" s="9" t="str">
        <f t="shared" si="698"/>
        <v>PRBDP'!</v>
      </c>
      <c r="F3045" s="5" t="str">
        <f t="shared" si="699"/>
        <v>C:\Users\jaime.benazar\Quorum Business Solutions\Ecopetrol Prometeo - Documents\Planning Space Implementation\3. Analysis &amp; Design\Design\FC22\DRR Jaime\Neiva CPI\[VAO_DINA TERCIARIOS_CF_SEC_20230117.xlsx]CF PRBDP'!</v>
      </c>
      <c r="G3045" s="6" t="s">
        <v>111</v>
      </c>
      <c r="H3045" s="1"/>
      <c r="I3045" s="1"/>
    </row>
    <row r="3046" spans="1:10" x14ac:dyDescent="0.3">
      <c r="A3046" s="6" t="s">
        <v>17</v>
      </c>
      <c r="B3046" s="6">
        <f t="shared" si="700"/>
        <v>2027</v>
      </c>
      <c r="C3046" s="1" t="s">
        <v>110</v>
      </c>
      <c r="D3046" s="2" t="s">
        <v>131</v>
      </c>
      <c r="E3046" s="9" t="str">
        <f t="shared" si="698"/>
        <v>PRBDP'!</v>
      </c>
      <c r="F3046" s="5" t="str">
        <f t="shared" si="699"/>
        <v>C:\Users\jaime.benazar\Quorum Business Solutions\Ecopetrol Prometeo - Documents\Planning Space Implementation\3. Analysis &amp; Design\Design\FC22\DRR Jaime\Neiva CPI\[VAO_DINA TERCIARIOS_CF_SEC_20230117.xlsx]CF PRBDP'!</v>
      </c>
      <c r="G3046" s="6" t="s">
        <v>111</v>
      </c>
      <c r="H3046" s="1"/>
      <c r="I3046" s="1"/>
    </row>
    <row r="3047" spans="1:10" x14ac:dyDescent="0.3">
      <c r="A3047" s="6" t="s">
        <v>17</v>
      </c>
      <c r="B3047" s="6">
        <f t="shared" si="700"/>
        <v>2028</v>
      </c>
      <c r="C3047" s="1" t="s">
        <v>110</v>
      </c>
      <c r="D3047" s="2" t="s">
        <v>131</v>
      </c>
      <c r="E3047" s="9" t="str">
        <f t="shared" si="698"/>
        <v>PRBDP'!</v>
      </c>
      <c r="F3047" s="5" t="str">
        <f t="shared" si="699"/>
        <v>C:\Users\jaime.benazar\Quorum Business Solutions\Ecopetrol Prometeo - Documents\Planning Space Implementation\3. Analysis &amp; Design\Design\FC22\DRR Jaime\Neiva CPI\[VAO_DINA TERCIARIOS_CF_SEC_20230117.xlsx]CF PRBDP'!</v>
      </c>
      <c r="G3047" s="6" t="s">
        <v>111</v>
      </c>
      <c r="H3047" s="1"/>
      <c r="I3047" s="1"/>
    </row>
    <row r="3048" spans="1:10" x14ac:dyDescent="0.3">
      <c r="A3048" s="6" t="s">
        <v>17</v>
      </c>
      <c r="B3048" s="6">
        <f t="shared" si="700"/>
        <v>2029</v>
      </c>
      <c r="C3048" s="1" t="s">
        <v>110</v>
      </c>
      <c r="D3048" s="2" t="s">
        <v>131</v>
      </c>
      <c r="E3048" s="9" t="str">
        <f t="shared" si="698"/>
        <v>PRBDP'!</v>
      </c>
      <c r="F3048" s="5" t="str">
        <f t="shared" si="699"/>
        <v>C:\Users\jaime.benazar\Quorum Business Solutions\Ecopetrol Prometeo - Documents\Planning Space Implementation\3. Analysis &amp; Design\Design\FC22\DRR Jaime\Neiva CPI\[VAO_DINA TERCIARIOS_CF_SEC_20230117.xlsx]CF PRBDP'!</v>
      </c>
      <c r="G3048" s="6" t="s">
        <v>111</v>
      </c>
      <c r="H3048" s="1"/>
      <c r="I3048" s="1"/>
    </row>
    <row r="3049" spans="1:10" x14ac:dyDescent="0.3">
      <c r="A3049" s="6" t="s">
        <v>17</v>
      </c>
      <c r="B3049" s="6">
        <f t="shared" si="700"/>
        <v>2030</v>
      </c>
      <c r="C3049" s="1" t="s">
        <v>110</v>
      </c>
      <c r="D3049" s="2" t="s">
        <v>131</v>
      </c>
      <c r="E3049" s="9" t="str">
        <f t="shared" si="698"/>
        <v>PRBDP'!</v>
      </c>
      <c r="F3049" s="5" t="str">
        <f t="shared" si="699"/>
        <v>C:\Users\jaime.benazar\Quorum Business Solutions\Ecopetrol Prometeo - Documents\Planning Space Implementation\3. Analysis &amp; Design\Design\FC22\DRR Jaime\Neiva CPI\[VAO_DINA TERCIARIOS_CF_SEC_20230117.xlsx]CF PRBDP'!</v>
      </c>
      <c r="G3049" s="6" t="s">
        <v>111</v>
      </c>
      <c r="H3049" s="1"/>
      <c r="I3049" s="1"/>
    </row>
    <row r="3050" spans="1:10" x14ac:dyDescent="0.3">
      <c r="A3050" s="6" t="s">
        <v>17</v>
      </c>
      <c r="B3050" s="6">
        <f t="shared" si="700"/>
        <v>2031</v>
      </c>
      <c r="C3050" s="1" t="s">
        <v>110</v>
      </c>
      <c r="D3050" s="2" t="s">
        <v>131</v>
      </c>
      <c r="E3050" s="9" t="str">
        <f t="shared" si="698"/>
        <v>PRBDP'!</v>
      </c>
      <c r="F3050" s="5" t="str">
        <f t="shared" si="699"/>
        <v>C:\Users\jaime.benazar\Quorum Business Solutions\Ecopetrol Prometeo - Documents\Planning Space Implementation\3. Analysis &amp; Design\Design\FC22\DRR Jaime\Neiva CPI\[VAO_DINA TERCIARIOS_CF_SEC_20230117.xlsx]CF PRBDP'!</v>
      </c>
      <c r="G3050" s="6" t="s">
        <v>111</v>
      </c>
      <c r="H3050" s="1"/>
      <c r="I3050" s="1"/>
    </row>
    <row r="3051" spans="1:10" x14ac:dyDescent="0.3">
      <c r="A3051" s="6" t="s">
        <v>17</v>
      </c>
      <c r="B3051" s="6">
        <f t="shared" si="700"/>
        <v>2032</v>
      </c>
      <c r="C3051" s="1" t="s">
        <v>110</v>
      </c>
      <c r="D3051" s="2" t="s">
        <v>131</v>
      </c>
      <c r="E3051" s="9" t="str">
        <f t="shared" si="698"/>
        <v>PRBDP'!</v>
      </c>
      <c r="F3051" s="5" t="str">
        <f t="shared" si="699"/>
        <v>C:\Users\jaime.benazar\Quorum Business Solutions\Ecopetrol Prometeo - Documents\Planning Space Implementation\3. Analysis &amp; Design\Design\FC22\DRR Jaime\Neiva CPI\[VAO_DINA TERCIARIOS_CF_SEC_20230117.xlsx]CF PRBDP'!</v>
      </c>
      <c r="G3051" s="6" t="s">
        <v>111</v>
      </c>
      <c r="H3051" s="1"/>
      <c r="I3051" s="1"/>
    </row>
    <row r="3052" spans="1:10" x14ac:dyDescent="0.3">
      <c r="A3052" s="6" t="s">
        <v>17</v>
      </c>
      <c r="B3052" s="6">
        <f t="shared" si="700"/>
        <v>2033</v>
      </c>
      <c r="C3052" s="1" t="s">
        <v>110</v>
      </c>
      <c r="D3052" s="2" t="s">
        <v>131</v>
      </c>
      <c r="E3052" s="9" t="str">
        <f t="shared" si="698"/>
        <v>PRBDP'!</v>
      </c>
      <c r="F3052" s="5" t="str">
        <f t="shared" si="699"/>
        <v>C:\Users\jaime.benazar\Quorum Business Solutions\Ecopetrol Prometeo - Documents\Planning Space Implementation\3. Analysis &amp; Design\Design\FC22\DRR Jaime\Neiva CPI\[VAO_DINA TERCIARIOS_CF_SEC_20230117.xlsx]CF PRBDP'!</v>
      </c>
      <c r="G3052" s="6" t="s">
        <v>111</v>
      </c>
      <c r="H3052" s="1"/>
      <c r="I3052" s="1"/>
    </row>
    <row r="3053" spans="1:10" x14ac:dyDescent="0.3">
      <c r="A3053" s="6" t="s">
        <v>17</v>
      </c>
      <c r="B3053" s="6">
        <f t="shared" si="700"/>
        <v>2034</v>
      </c>
      <c r="C3053" s="1" t="s">
        <v>110</v>
      </c>
      <c r="D3053" s="2" t="s">
        <v>131</v>
      </c>
      <c r="E3053" s="9" t="str">
        <f t="shared" si="698"/>
        <v>PRBDP'!</v>
      </c>
      <c r="F3053" s="5" t="str">
        <f t="shared" si="699"/>
        <v>C:\Users\jaime.benazar\Quorum Business Solutions\Ecopetrol Prometeo - Documents\Planning Space Implementation\3. Analysis &amp; Design\Design\FC22\DRR Jaime\Neiva CPI\[VAO_DINA TERCIARIOS_CF_SEC_20230117.xlsx]CF PRBDP'!</v>
      </c>
      <c r="G3053" s="6" t="s">
        <v>111</v>
      </c>
      <c r="H3053" s="1"/>
      <c r="I3053" s="1"/>
    </row>
    <row r="3054" spans="1:10" x14ac:dyDescent="0.3">
      <c r="A3054" s="6" t="s">
        <v>17</v>
      </c>
      <c r="B3054" s="6">
        <f t="shared" si="700"/>
        <v>2035</v>
      </c>
      <c r="C3054" s="1" t="s">
        <v>110</v>
      </c>
      <c r="D3054" s="2" t="s">
        <v>131</v>
      </c>
      <c r="E3054" s="9" t="str">
        <f t="shared" si="698"/>
        <v>PRBDP'!</v>
      </c>
      <c r="F3054" s="5" t="str">
        <f t="shared" si="699"/>
        <v>C:\Users\jaime.benazar\Quorum Business Solutions\Ecopetrol Prometeo - Documents\Planning Space Implementation\3. Analysis &amp; Design\Design\FC22\DRR Jaime\Neiva CPI\[VAO_DINA TERCIARIOS_CF_SEC_20230117.xlsx]CF PRBDP'!</v>
      </c>
      <c r="G3054" s="6" t="s">
        <v>111</v>
      </c>
      <c r="H3054" s="1"/>
      <c r="I3054" s="1"/>
    </row>
    <row r="3055" spans="1:10" x14ac:dyDescent="0.3">
      <c r="A3055" s="6" t="s">
        <v>17</v>
      </c>
      <c r="B3055" s="6">
        <f t="shared" si="700"/>
        <v>2036</v>
      </c>
      <c r="C3055" s="1" t="s">
        <v>110</v>
      </c>
      <c r="D3055" s="2" t="s">
        <v>131</v>
      </c>
      <c r="E3055" s="9" t="str">
        <f t="shared" si="698"/>
        <v>PRBDP'!</v>
      </c>
      <c r="F3055" s="5" t="str">
        <f t="shared" si="699"/>
        <v>C:\Users\jaime.benazar\Quorum Business Solutions\Ecopetrol Prometeo - Documents\Planning Space Implementation\3. Analysis &amp; Design\Design\FC22\DRR Jaime\Neiva CPI\[VAO_DINA TERCIARIOS_CF_SEC_20230117.xlsx]CF PRBDP'!</v>
      </c>
      <c r="G3055" s="6" t="s">
        <v>111</v>
      </c>
      <c r="H3055" s="1"/>
      <c r="I3055" s="1"/>
    </row>
    <row r="3056" spans="1:10" x14ac:dyDescent="0.3">
      <c r="A3056" s="6" t="s">
        <v>17</v>
      </c>
      <c r="B3056" s="6">
        <f>+B3055+1</f>
        <v>2037</v>
      </c>
      <c r="C3056" s="1" t="s">
        <v>110</v>
      </c>
      <c r="D3056" s="2" t="s">
        <v>131</v>
      </c>
      <c r="E3056" s="9" t="str">
        <f t="shared" si="698"/>
        <v>PRBDP'!</v>
      </c>
      <c r="F3056" s="5" t="str">
        <f t="shared" si="699"/>
        <v>C:\Users\jaime.benazar\Quorum Business Solutions\Ecopetrol Prometeo - Documents\Planning Space Implementation\3. Analysis &amp; Design\Design\FC22\DRR Jaime\Neiva CPI\[VAO_DINA TERCIARIOS_CF_SEC_20230117.xlsx]CF PRBDP'!</v>
      </c>
      <c r="G3056" s="6" t="s">
        <v>111</v>
      </c>
      <c r="H3056" s="1"/>
      <c r="I3056" s="1"/>
    </row>
    <row r="3057" spans="1:9" x14ac:dyDescent="0.3">
      <c r="A3057" s="6" t="s">
        <v>17</v>
      </c>
      <c r="B3057" s="6">
        <f t="shared" ref="B3057:B3059" si="701">+B3056+1</f>
        <v>2038</v>
      </c>
      <c r="C3057" s="1" t="s">
        <v>110</v>
      </c>
      <c r="D3057" s="2" t="s">
        <v>131</v>
      </c>
      <c r="E3057" s="9" t="str">
        <f t="shared" si="698"/>
        <v>PRBDP'!</v>
      </c>
      <c r="F3057" s="5" t="str">
        <f t="shared" si="699"/>
        <v>C:\Users\jaime.benazar\Quorum Business Solutions\Ecopetrol Prometeo - Documents\Planning Space Implementation\3. Analysis &amp; Design\Design\FC22\DRR Jaime\Neiva CPI\[VAO_DINA TERCIARIOS_CF_SEC_20230117.xlsx]CF PRBDP'!</v>
      </c>
      <c r="G3057" s="6" t="s">
        <v>111</v>
      </c>
      <c r="H3057" s="1"/>
      <c r="I3057" s="1"/>
    </row>
    <row r="3058" spans="1:9" x14ac:dyDescent="0.3">
      <c r="A3058" s="6" t="s">
        <v>17</v>
      </c>
      <c r="B3058" s="6">
        <f t="shared" si="701"/>
        <v>2039</v>
      </c>
      <c r="C3058" s="1" t="s">
        <v>110</v>
      </c>
      <c r="D3058" s="2" t="s">
        <v>131</v>
      </c>
      <c r="E3058" s="9" t="str">
        <f t="shared" si="698"/>
        <v>PRBDP'!</v>
      </c>
      <c r="F3058" s="5" t="str">
        <f t="shared" si="699"/>
        <v>C:\Users\jaime.benazar\Quorum Business Solutions\Ecopetrol Prometeo - Documents\Planning Space Implementation\3. Analysis &amp; Design\Design\FC22\DRR Jaime\Neiva CPI\[VAO_DINA TERCIARIOS_CF_SEC_20230117.xlsx]CF PRBDP'!</v>
      </c>
      <c r="G3058" s="6" t="s">
        <v>111</v>
      </c>
      <c r="H3058" s="1"/>
      <c r="I3058" s="1"/>
    </row>
    <row r="3059" spans="1:9" x14ac:dyDescent="0.3">
      <c r="A3059" s="6" t="s">
        <v>17</v>
      </c>
      <c r="B3059" s="6">
        <f t="shared" si="701"/>
        <v>2040</v>
      </c>
      <c r="C3059" s="1" t="s">
        <v>110</v>
      </c>
      <c r="D3059" s="2" t="s">
        <v>131</v>
      </c>
      <c r="E3059" s="9" t="str">
        <f t="shared" si="698"/>
        <v>PRBDP'!</v>
      </c>
      <c r="F3059" s="5" t="str">
        <f t="shared" si="699"/>
        <v>C:\Users\jaime.benazar\Quorum Business Solutions\Ecopetrol Prometeo - Documents\Planning Space Implementation\3. Analysis &amp; Design\Design\FC22\DRR Jaime\Neiva CPI\[VAO_DINA TERCIARIOS_CF_SEC_20230117.xlsx]CF PRBDP'!</v>
      </c>
      <c r="G3059" s="6" t="s">
        <v>111</v>
      </c>
      <c r="H3059" s="1"/>
      <c r="I3059" s="1"/>
    </row>
    <row r="3060" spans="1:9" x14ac:dyDescent="0.3">
      <c r="A3060" s="6" t="s">
        <v>17</v>
      </c>
      <c r="B3060" s="6">
        <f>+B3059+1</f>
        <v>2041</v>
      </c>
      <c r="C3060" s="1" t="s">
        <v>110</v>
      </c>
      <c r="D3060" s="2" t="s">
        <v>131</v>
      </c>
      <c r="E3060" s="9" t="str">
        <f t="shared" si="698"/>
        <v>PRBDP'!</v>
      </c>
      <c r="F3060" s="5" t="str">
        <f t="shared" si="699"/>
        <v>C:\Users\jaime.benazar\Quorum Business Solutions\Ecopetrol Prometeo - Documents\Planning Space Implementation\3. Analysis &amp; Design\Design\FC22\DRR Jaime\Neiva CPI\[VAO_DINA TERCIARIOS_CF_SEC_20230117.xlsx]CF PRBDP'!</v>
      </c>
      <c r="G3060" s="6" t="s">
        <v>111</v>
      </c>
      <c r="H3060" s="1"/>
      <c r="I3060" s="1"/>
    </row>
    <row r="3061" spans="1:9" x14ac:dyDescent="0.3">
      <c r="A3061" s="6" t="s">
        <v>17</v>
      </c>
      <c r="B3061" s="6">
        <f t="shared" ref="B3061:B3062" si="702">+B3060+1</f>
        <v>2042</v>
      </c>
      <c r="C3061" s="1" t="s">
        <v>110</v>
      </c>
      <c r="D3061" s="2" t="s">
        <v>131</v>
      </c>
      <c r="E3061" s="9" t="str">
        <f t="shared" si="698"/>
        <v>PRBDP'!</v>
      </c>
      <c r="F3061" s="5" t="str">
        <f t="shared" si="699"/>
        <v>C:\Users\jaime.benazar\Quorum Business Solutions\Ecopetrol Prometeo - Documents\Planning Space Implementation\3. Analysis &amp; Design\Design\FC22\DRR Jaime\Neiva CPI\[VAO_DINA TERCIARIOS_CF_SEC_20230117.xlsx]CF PRBDP'!</v>
      </c>
      <c r="G3061" s="6" t="s">
        <v>111</v>
      </c>
      <c r="H3061" s="1"/>
      <c r="I3061" s="1"/>
    </row>
    <row r="3062" spans="1:9" x14ac:dyDescent="0.3">
      <c r="A3062" s="6" t="s">
        <v>17</v>
      </c>
      <c r="B3062" s="6">
        <f t="shared" si="702"/>
        <v>2043</v>
      </c>
      <c r="C3062" s="1" t="s">
        <v>110</v>
      </c>
      <c r="D3062" s="2" t="s">
        <v>131</v>
      </c>
      <c r="E3062" s="9" t="str">
        <f t="shared" si="698"/>
        <v>PRBDP'!</v>
      </c>
      <c r="F3062" s="5" t="str">
        <f t="shared" si="699"/>
        <v>C:\Users\jaime.benazar\Quorum Business Solutions\Ecopetrol Prometeo - Documents\Planning Space Implementation\3. Analysis &amp; Design\Design\FC22\DRR Jaime\Neiva CPI\[VAO_DINA TERCIARIOS_CF_SEC_20230117.xlsx]CF PRBDP'!</v>
      </c>
      <c r="G3062" s="6" t="s">
        <v>111</v>
      </c>
      <c r="H3062" s="1"/>
      <c r="I3062" s="1"/>
    </row>
    <row r="3063" spans="1:9" x14ac:dyDescent="0.3">
      <c r="A3063" s="6" t="s">
        <v>17</v>
      </c>
      <c r="B3063" s="6">
        <f>+B3062+1</f>
        <v>2044</v>
      </c>
      <c r="C3063" s="1" t="s">
        <v>110</v>
      </c>
      <c r="D3063" s="2" t="s">
        <v>131</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Jaime\Neiva CPI\[VAO_DINA TERCIARIOS_CF_SEC_20230117.xlsx]CF PRBDP'!</v>
      </c>
      <c r="G3063" s="6" t="s">
        <v>111</v>
      </c>
      <c r="H3063" s="1"/>
      <c r="I3063" s="1"/>
    </row>
    <row r="3064" spans="1:9" x14ac:dyDescent="0.3">
      <c r="A3064" s="6" t="s">
        <v>17</v>
      </c>
      <c r="B3064" s="6">
        <f t="shared" ref="B3064:B3078" si="705">+B3063+1</f>
        <v>2045</v>
      </c>
      <c r="C3064" s="1" t="s">
        <v>110</v>
      </c>
      <c r="D3064" s="2" t="s">
        <v>131</v>
      </c>
      <c r="E3064" s="9" t="str">
        <f t="shared" si="703"/>
        <v>PRBDP'!</v>
      </c>
      <c r="F3064" s="5" t="str">
        <f t="shared" si="704"/>
        <v>C:\Users\jaime.benazar\Quorum Business Solutions\Ecopetrol Prometeo - Documents\Planning Space Implementation\3. Analysis &amp; Design\Design\FC22\DRR Jaime\Neiva CPI\[VAO_DINA TERCIARIOS_CF_SEC_20230117.xlsx]CF PRBDP'!</v>
      </c>
      <c r="G3064" s="6" t="s">
        <v>111</v>
      </c>
      <c r="H3064" s="1"/>
      <c r="I3064" s="1"/>
    </row>
    <row r="3065" spans="1:9" x14ac:dyDescent="0.3">
      <c r="A3065" s="6" t="s">
        <v>17</v>
      </c>
      <c r="B3065" s="6">
        <f t="shared" si="705"/>
        <v>2046</v>
      </c>
      <c r="C3065" s="1" t="s">
        <v>110</v>
      </c>
      <c r="D3065" s="2" t="s">
        <v>131</v>
      </c>
      <c r="E3065" s="9" t="str">
        <f t="shared" si="703"/>
        <v>PRBDP'!</v>
      </c>
      <c r="F3065" s="5" t="str">
        <f t="shared" si="704"/>
        <v>C:\Users\jaime.benazar\Quorum Business Solutions\Ecopetrol Prometeo - Documents\Planning Space Implementation\3. Analysis &amp; Design\Design\FC22\DRR Jaime\Neiva CPI\[VAO_DINA TERCIARIOS_CF_SEC_20230117.xlsx]CF PRBDP'!</v>
      </c>
      <c r="G3065" s="6" t="s">
        <v>111</v>
      </c>
      <c r="H3065" s="1"/>
      <c r="I3065" s="1"/>
    </row>
    <row r="3066" spans="1:9" x14ac:dyDescent="0.3">
      <c r="A3066" s="6" t="s">
        <v>17</v>
      </c>
      <c r="B3066" s="6">
        <f t="shared" si="705"/>
        <v>2047</v>
      </c>
      <c r="C3066" s="1" t="s">
        <v>110</v>
      </c>
      <c r="D3066" s="2" t="s">
        <v>131</v>
      </c>
      <c r="E3066" s="9" t="str">
        <f t="shared" si="703"/>
        <v>PRBDP'!</v>
      </c>
      <c r="F3066" s="5" t="str">
        <f t="shared" si="704"/>
        <v>C:\Users\jaime.benazar\Quorum Business Solutions\Ecopetrol Prometeo - Documents\Planning Space Implementation\3. Analysis &amp; Design\Design\FC22\DRR Jaime\Neiva CPI\[VAO_DINA TERCIARIOS_CF_SEC_20230117.xlsx]CF PRBDP'!</v>
      </c>
      <c r="G3066" s="6" t="s">
        <v>111</v>
      </c>
      <c r="H3066" s="1"/>
      <c r="I3066" s="1"/>
    </row>
    <row r="3067" spans="1:9" x14ac:dyDescent="0.3">
      <c r="A3067" s="6" t="s">
        <v>17</v>
      </c>
      <c r="B3067" s="6">
        <f t="shared" si="705"/>
        <v>2048</v>
      </c>
      <c r="C3067" s="1" t="s">
        <v>110</v>
      </c>
      <c r="D3067" s="2" t="s">
        <v>131</v>
      </c>
      <c r="E3067" s="9" t="str">
        <f t="shared" si="703"/>
        <v>PRBDP'!</v>
      </c>
      <c r="F3067" s="5" t="str">
        <f t="shared" si="704"/>
        <v>C:\Users\jaime.benazar\Quorum Business Solutions\Ecopetrol Prometeo - Documents\Planning Space Implementation\3. Analysis &amp; Design\Design\FC22\DRR Jaime\Neiva CPI\[VAO_DINA TERCIARIOS_CF_SEC_20230117.xlsx]CF PRBDP'!</v>
      </c>
      <c r="G3067" s="6" t="s">
        <v>111</v>
      </c>
      <c r="H3067" s="1"/>
      <c r="I3067" s="1"/>
    </row>
    <row r="3068" spans="1:9" x14ac:dyDescent="0.3">
      <c r="A3068" s="6" t="s">
        <v>17</v>
      </c>
      <c r="B3068" s="6">
        <f t="shared" si="705"/>
        <v>2049</v>
      </c>
      <c r="C3068" s="1" t="s">
        <v>110</v>
      </c>
      <c r="D3068" s="2" t="s">
        <v>131</v>
      </c>
      <c r="E3068" s="9" t="str">
        <f t="shared" si="703"/>
        <v>PRBDP'!</v>
      </c>
      <c r="F3068" s="5" t="str">
        <f t="shared" si="704"/>
        <v>C:\Users\jaime.benazar\Quorum Business Solutions\Ecopetrol Prometeo - Documents\Planning Space Implementation\3. Analysis &amp; Design\Design\FC22\DRR Jaime\Neiva CPI\[VAO_DINA TERCIARIOS_CF_SEC_20230117.xlsx]CF PRBDP'!</v>
      </c>
      <c r="G3068" s="6" t="s">
        <v>111</v>
      </c>
      <c r="H3068" s="1"/>
      <c r="I3068" s="1"/>
    </row>
    <row r="3069" spans="1:9" x14ac:dyDescent="0.3">
      <c r="A3069" s="6" t="s">
        <v>17</v>
      </c>
      <c r="B3069" s="6">
        <f t="shared" si="705"/>
        <v>2050</v>
      </c>
      <c r="C3069" s="1" t="s">
        <v>110</v>
      </c>
      <c r="D3069" s="2" t="s">
        <v>131</v>
      </c>
      <c r="E3069" s="9" t="str">
        <f t="shared" si="703"/>
        <v>PRBDP'!</v>
      </c>
      <c r="F3069" s="5" t="str">
        <f t="shared" si="704"/>
        <v>C:\Users\jaime.benazar\Quorum Business Solutions\Ecopetrol Prometeo - Documents\Planning Space Implementation\3. Analysis &amp; Design\Design\FC22\DRR Jaime\Neiva CPI\[VAO_DINA TERCIARIOS_CF_SEC_20230117.xlsx]CF PRBDP'!</v>
      </c>
      <c r="G3069" s="6" t="s">
        <v>111</v>
      </c>
      <c r="H3069" s="1"/>
      <c r="I3069" s="1"/>
    </row>
    <row r="3070" spans="1:9" x14ac:dyDescent="0.3">
      <c r="A3070" s="6" t="s">
        <v>17</v>
      </c>
      <c r="B3070" s="6">
        <f t="shared" si="705"/>
        <v>2051</v>
      </c>
      <c r="C3070" s="1" t="s">
        <v>110</v>
      </c>
      <c r="D3070" s="2" t="s">
        <v>131</v>
      </c>
      <c r="E3070" s="9" t="str">
        <f t="shared" si="703"/>
        <v>PRBDP'!</v>
      </c>
      <c r="F3070" s="5" t="str">
        <f t="shared" si="704"/>
        <v>C:\Users\jaime.benazar\Quorum Business Solutions\Ecopetrol Prometeo - Documents\Planning Space Implementation\3. Analysis &amp; Design\Design\FC22\DRR Jaime\Neiva CPI\[VAO_DINA TERCIARIOS_CF_SEC_20230117.xlsx]CF PRBDP'!</v>
      </c>
      <c r="G3070" s="6" t="s">
        <v>111</v>
      </c>
      <c r="H3070" s="1"/>
      <c r="I3070" s="1"/>
    </row>
    <row r="3071" spans="1:9" x14ac:dyDescent="0.3">
      <c r="A3071" s="6" t="s">
        <v>17</v>
      </c>
      <c r="B3071" s="6">
        <f t="shared" si="705"/>
        <v>2052</v>
      </c>
      <c r="C3071" s="1" t="s">
        <v>110</v>
      </c>
      <c r="D3071" s="2" t="s">
        <v>131</v>
      </c>
      <c r="E3071" s="9" t="str">
        <f t="shared" si="703"/>
        <v>PRBDP'!</v>
      </c>
      <c r="F3071" s="5" t="str">
        <f t="shared" si="704"/>
        <v>C:\Users\jaime.benazar\Quorum Business Solutions\Ecopetrol Prometeo - Documents\Planning Space Implementation\3. Analysis &amp; Design\Design\FC22\DRR Jaime\Neiva CPI\[VAO_DINA TERCIARIOS_CF_SEC_20230117.xlsx]CF PRBDP'!</v>
      </c>
      <c r="G3071" s="6" t="s">
        <v>111</v>
      </c>
      <c r="H3071" s="1"/>
      <c r="I3071" s="1"/>
    </row>
    <row r="3072" spans="1:9" x14ac:dyDescent="0.3">
      <c r="A3072" s="6" t="s">
        <v>17</v>
      </c>
      <c r="B3072" s="6">
        <f t="shared" si="705"/>
        <v>2053</v>
      </c>
      <c r="C3072" s="1" t="s">
        <v>110</v>
      </c>
      <c r="D3072" s="2" t="s">
        <v>131</v>
      </c>
      <c r="E3072" s="9" t="str">
        <f t="shared" si="703"/>
        <v>PRBDP'!</v>
      </c>
      <c r="F3072" s="5" t="str">
        <f t="shared" si="704"/>
        <v>C:\Users\jaime.benazar\Quorum Business Solutions\Ecopetrol Prometeo - Documents\Planning Space Implementation\3. Analysis &amp; Design\Design\FC22\DRR Jaime\Neiva CPI\[VAO_DINA TERCIARIOS_CF_SEC_20230117.xlsx]CF PRBDP'!</v>
      </c>
      <c r="G3072" s="6" t="s">
        <v>111</v>
      </c>
      <c r="H3072" s="1"/>
      <c r="I3072" s="1"/>
    </row>
    <row r="3073" spans="1:9" x14ac:dyDescent="0.3">
      <c r="A3073" s="6" t="s">
        <v>17</v>
      </c>
      <c r="B3073" s="6">
        <f t="shared" si="705"/>
        <v>2054</v>
      </c>
      <c r="C3073" s="1" t="s">
        <v>110</v>
      </c>
      <c r="D3073" s="2" t="s">
        <v>131</v>
      </c>
      <c r="E3073" s="9" t="str">
        <f t="shared" si="703"/>
        <v>PRBDP'!</v>
      </c>
      <c r="F3073" s="5" t="str">
        <f t="shared" si="704"/>
        <v>C:\Users\jaime.benazar\Quorum Business Solutions\Ecopetrol Prometeo - Documents\Planning Space Implementation\3. Analysis &amp; Design\Design\FC22\DRR Jaime\Neiva CPI\[VAO_DINA TERCIARIOS_CF_SEC_20230117.xlsx]CF PRBDP'!</v>
      </c>
      <c r="G3073" s="6" t="s">
        <v>111</v>
      </c>
      <c r="H3073" s="1"/>
      <c r="I3073" s="1"/>
    </row>
    <row r="3074" spans="1:9" x14ac:dyDescent="0.3">
      <c r="A3074" s="6" t="s">
        <v>17</v>
      </c>
      <c r="B3074" s="6">
        <f t="shared" si="705"/>
        <v>2055</v>
      </c>
      <c r="C3074" s="1" t="s">
        <v>110</v>
      </c>
      <c r="D3074" s="2" t="s">
        <v>131</v>
      </c>
      <c r="E3074" s="9" t="str">
        <f t="shared" si="703"/>
        <v>PRBDP'!</v>
      </c>
      <c r="F3074" s="5" t="str">
        <f t="shared" si="704"/>
        <v>C:\Users\jaime.benazar\Quorum Business Solutions\Ecopetrol Prometeo - Documents\Planning Space Implementation\3. Analysis &amp; Design\Design\FC22\DRR Jaime\Neiva CPI\[VAO_DINA TERCIARIOS_CF_SEC_20230117.xlsx]CF PRBDP'!</v>
      </c>
      <c r="G3074" s="6" t="s">
        <v>111</v>
      </c>
      <c r="H3074" s="1"/>
      <c r="I3074" s="1"/>
    </row>
    <row r="3075" spans="1:9" x14ac:dyDescent="0.3">
      <c r="A3075" s="6" t="s">
        <v>17</v>
      </c>
      <c r="B3075" s="6">
        <f t="shared" si="705"/>
        <v>2056</v>
      </c>
      <c r="C3075" s="1" t="s">
        <v>110</v>
      </c>
      <c r="D3075" s="2" t="s">
        <v>131</v>
      </c>
      <c r="E3075" s="9" t="str">
        <f t="shared" si="703"/>
        <v>PRBDP'!</v>
      </c>
      <c r="F3075" s="5" t="str">
        <f t="shared" si="704"/>
        <v>C:\Users\jaime.benazar\Quorum Business Solutions\Ecopetrol Prometeo - Documents\Planning Space Implementation\3. Analysis &amp; Design\Design\FC22\DRR Jaime\Neiva CPI\[VAO_DINA TERCIARIOS_CF_SEC_20230117.xlsx]CF PRBDP'!</v>
      </c>
      <c r="G3075" s="6" t="s">
        <v>111</v>
      </c>
      <c r="H3075" s="1"/>
      <c r="I3075" s="1"/>
    </row>
    <row r="3076" spans="1:9" x14ac:dyDescent="0.3">
      <c r="A3076" s="6" t="s">
        <v>17</v>
      </c>
      <c r="B3076" s="6">
        <f t="shared" si="705"/>
        <v>2057</v>
      </c>
      <c r="C3076" s="1" t="s">
        <v>110</v>
      </c>
      <c r="D3076" s="2" t="s">
        <v>131</v>
      </c>
      <c r="E3076" s="9" t="str">
        <f t="shared" si="703"/>
        <v>PRBDP'!</v>
      </c>
      <c r="F3076" s="5" t="str">
        <f t="shared" si="704"/>
        <v>C:\Users\jaime.benazar\Quorum Business Solutions\Ecopetrol Prometeo - Documents\Planning Space Implementation\3. Analysis &amp; Design\Design\FC22\DRR Jaime\Neiva CPI\[VAO_DINA TERCIARIOS_CF_SEC_20230117.xlsx]CF PRBDP'!</v>
      </c>
      <c r="G3076" s="6" t="s">
        <v>111</v>
      </c>
      <c r="H3076" s="1"/>
      <c r="I3076" s="1"/>
    </row>
    <row r="3077" spans="1:9" x14ac:dyDescent="0.3">
      <c r="A3077" s="6" t="s">
        <v>17</v>
      </c>
      <c r="B3077" s="6">
        <f t="shared" si="705"/>
        <v>2058</v>
      </c>
      <c r="C3077" s="1" t="s">
        <v>110</v>
      </c>
      <c r="D3077" s="2" t="s">
        <v>131</v>
      </c>
      <c r="E3077" s="9" t="str">
        <f t="shared" si="703"/>
        <v>PRBDP'!</v>
      </c>
      <c r="F3077" s="5" t="str">
        <f t="shared" si="704"/>
        <v>C:\Users\jaime.benazar\Quorum Business Solutions\Ecopetrol Prometeo - Documents\Planning Space Implementation\3. Analysis &amp; Design\Design\FC22\DRR Jaime\Neiva CPI\[VAO_DINA TERCIARIOS_CF_SEC_20230117.xlsx]CF PRBDP'!</v>
      </c>
      <c r="G3077" s="6" t="s">
        <v>111</v>
      </c>
      <c r="H3077" s="1"/>
      <c r="I3077" s="1"/>
    </row>
    <row r="3078" spans="1:9" x14ac:dyDescent="0.3">
      <c r="A3078" s="6" t="s">
        <v>17</v>
      </c>
      <c r="B3078" s="6">
        <f t="shared" si="705"/>
        <v>2059</v>
      </c>
      <c r="C3078" s="1" t="s">
        <v>110</v>
      </c>
      <c r="D3078" s="2" t="s">
        <v>131</v>
      </c>
      <c r="E3078" s="9" t="str">
        <f t="shared" si="703"/>
        <v>PRBDP'!</v>
      </c>
      <c r="F3078" s="5" t="str">
        <f t="shared" si="704"/>
        <v>C:\Users\jaime.benazar\Quorum Business Solutions\Ecopetrol Prometeo - Documents\Planning Space Implementation\3. Analysis &amp; Design\Design\FC22\DRR Jaime\Neiva CPI\[VAO_DINA TERCIARIOS_CF_SEC_20230117.xlsx]CF PRBDP'!</v>
      </c>
      <c r="G3078" s="6" t="s">
        <v>111</v>
      </c>
      <c r="H3078" s="1"/>
      <c r="I3078" s="1"/>
    </row>
    <row r="3079" spans="1:9" x14ac:dyDescent="0.3">
      <c r="A3079" s="7" t="s">
        <v>26</v>
      </c>
      <c r="B3079" s="6"/>
      <c r="C3079" s="1" t="s">
        <v>110</v>
      </c>
      <c r="D3079" s="2"/>
      <c r="E3079" s="9"/>
      <c r="F3079" s="5"/>
      <c r="G3079" s="6"/>
      <c r="H3079" s="1"/>
      <c r="I3079" s="1"/>
    </row>
    <row r="3080" spans="1:9" x14ac:dyDescent="0.3">
      <c r="A3080" s="6" t="s">
        <v>18</v>
      </c>
      <c r="B3080" s="6">
        <v>2023</v>
      </c>
      <c r="C3080" s="1" t="s">
        <v>110</v>
      </c>
      <c r="D3080" s="2" t="s">
        <v>131</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Jaime\Neiva CPI\[VAO_DINA TERCIARIOS_CF_SEC_20230117.xlsx]CF PRBNP'!</v>
      </c>
      <c r="G3080" s="6" t="s">
        <v>111</v>
      </c>
      <c r="H3080" s="1"/>
      <c r="I3080" s="1"/>
    </row>
    <row r="3081" spans="1:9" x14ac:dyDescent="0.3">
      <c r="A3081" s="6" t="s">
        <v>18</v>
      </c>
      <c r="B3081" s="6">
        <f>+B3080+1</f>
        <v>2024</v>
      </c>
      <c r="C3081" s="1" t="s">
        <v>110</v>
      </c>
      <c r="D3081" s="2" t="s">
        <v>131</v>
      </c>
      <c r="E3081" s="9" t="str">
        <f t="shared" si="706"/>
        <v>PRBNP'!</v>
      </c>
      <c r="F3081" s="5" t="str">
        <f t="shared" si="707"/>
        <v>C:\Users\jaime.benazar\Quorum Business Solutions\Ecopetrol Prometeo - Documents\Planning Space Implementation\3. Analysis &amp; Design\Design\FC22\DRR Jaime\Neiva CPI\[VAO_DINA TERCIARIOS_CF_SEC_20230117.xlsx]CF PRBNP'!</v>
      </c>
      <c r="G3081" s="6" t="s">
        <v>111</v>
      </c>
      <c r="H3081" s="1"/>
      <c r="I3081" s="1"/>
    </row>
    <row r="3082" spans="1:9" x14ac:dyDescent="0.3">
      <c r="A3082" s="6" t="s">
        <v>18</v>
      </c>
      <c r="B3082" s="6">
        <f t="shared" ref="B3082:B3093" si="708">+B3081+1</f>
        <v>2025</v>
      </c>
      <c r="C3082" s="1" t="s">
        <v>110</v>
      </c>
      <c r="D3082" s="2" t="s">
        <v>131</v>
      </c>
      <c r="E3082" s="9" t="str">
        <f t="shared" si="706"/>
        <v>PRBNP'!</v>
      </c>
      <c r="F3082" s="5" t="str">
        <f t="shared" si="707"/>
        <v>C:\Users\jaime.benazar\Quorum Business Solutions\Ecopetrol Prometeo - Documents\Planning Space Implementation\3. Analysis &amp; Design\Design\FC22\DRR Jaime\Neiva CPI\[VAO_DINA TERCIARIOS_CF_SEC_20230117.xlsx]CF PRBNP'!</v>
      </c>
      <c r="G3082" s="6" t="s">
        <v>111</v>
      </c>
      <c r="H3082" s="1"/>
      <c r="I3082" s="1"/>
    </row>
    <row r="3083" spans="1:9" x14ac:dyDescent="0.3">
      <c r="A3083" s="6" t="s">
        <v>18</v>
      </c>
      <c r="B3083" s="6">
        <f t="shared" si="708"/>
        <v>2026</v>
      </c>
      <c r="C3083" s="1" t="s">
        <v>110</v>
      </c>
      <c r="D3083" s="2" t="s">
        <v>131</v>
      </c>
      <c r="E3083" s="9" t="str">
        <f t="shared" si="706"/>
        <v>PRBNP'!</v>
      </c>
      <c r="F3083" s="5" t="str">
        <f t="shared" si="707"/>
        <v>C:\Users\jaime.benazar\Quorum Business Solutions\Ecopetrol Prometeo - Documents\Planning Space Implementation\3. Analysis &amp; Design\Design\FC22\DRR Jaime\Neiva CPI\[VAO_DINA TERCIARIOS_CF_SEC_20230117.xlsx]CF PRBNP'!</v>
      </c>
      <c r="G3083" s="6" t="s">
        <v>111</v>
      </c>
      <c r="H3083" s="1"/>
      <c r="I3083" s="1"/>
    </row>
    <row r="3084" spans="1:9" x14ac:dyDescent="0.3">
      <c r="A3084" s="6" t="s">
        <v>18</v>
      </c>
      <c r="B3084" s="6">
        <f t="shared" si="708"/>
        <v>2027</v>
      </c>
      <c r="C3084" s="1" t="s">
        <v>110</v>
      </c>
      <c r="D3084" s="2" t="s">
        <v>131</v>
      </c>
      <c r="E3084" s="9" t="str">
        <f t="shared" si="706"/>
        <v>PRBNP'!</v>
      </c>
      <c r="F3084" s="5" t="str">
        <f t="shared" si="707"/>
        <v>C:\Users\jaime.benazar\Quorum Business Solutions\Ecopetrol Prometeo - Documents\Planning Space Implementation\3. Analysis &amp; Design\Design\FC22\DRR Jaime\Neiva CPI\[VAO_DINA TERCIARIOS_CF_SEC_20230117.xlsx]CF PRBNP'!</v>
      </c>
      <c r="G3084" s="6" t="s">
        <v>111</v>
      </c>
      <c r="H3084" s="1"/>
      <c r="I3084" s="1"/>
    </row>
    <row r="3085" spans="1:9" x14ac:dyDescent="0.3">
      <c r="A3085" s="6" t="s">
        <v>18</v>
      </c>
      <c r="B3085" s="6">
        <f t="shared" si="708"/>
        <v>2028</v>
      </c>
      <c r="C3085" s="1" t="s">
        <v>110</v>
      </c>
      <c r="D3085" s="2" t="s">
        <v>131</v>
      </c>
      <c r="E3085" s="9" t="str">
        <f t="shared" si="706"/>
        <v>PRBNP'!</v>
      </c>
      <c r="F3085" s="5" t="str">
        <f t="shared" si="707"/>
        <v>C:\Users\jaime.benazar\Quorum Business Solutions\Ecopetrol Prometeo - Documents\Planning Space Implementation\3. Analysis &amp; Design\Design\FC22\DRR Jaime\Neiva CPI\[VAO_DINA TERCIARIOS_CF_SEC_20230117.xlsx]CF PRBNP'!</v>
      </c>
      <c r="G3085" s="6" t="s">
        <v>111</v>
      </c>
      <c r="H3085" s="1"/>
      <c r="I3085" s="1"/>
    </row>
    <row r="3086" spans="1:9" x14ac:dyDescent="0.3">
      <c r="A3086" s="6" t="s">
        <v>18</v>
      </c>
      <c r="B3086" s="6">
        <f t="shared" si="708"/>
        <v>2029</v>
      </c>
      <c r="C3086" s="1" t="s">
        <v>110</v>
      </c>
      <c r="D3086" s="2" t="s">
        <v>131</v>
      </c>
      <c r="E3086" s="9" t="str">
        <f t="shared" si="706"/>
        <v>PRBNP'!</v>
      </c>
      <c r="F3086" s="5" t="str">
        <f t="shared" si="707"/>
        <v>C:\Users\jaime.benazar\Quorum Business Solutions\Ecopetrol Prometeo - Documents\Planning Space Implementation\3. Analysis &amp; Design\Design\FC22\DRR Jaime\Neiva CPI\[VAO_DINA TERCIARIOS_CF_SEC_20230117.xlsx]CF PRBNP'!</v>
      </c>
      <c r="G3086" s="6" t="s">
        <v>111</v>
      </c>
      <c r="H3086" s="1"/>
      <c r="I3086" s="1"/>
    </row>
    <row r="3087" spans="1:9" x14ac:dyDescent="0.3">
      <c r="A3087" s="6" t="s">
        <v>18</v>
      </c>
      <c r="B3087" s="6">
        <f t="shared" si="708"/>
        <v>2030</v>
      </c>
      <c r="C3087" s="1" t="s">
        <v>110</v>
      </c>
      <c r="D3087" s="2" t="s">
        <v>131</v>
      </c>
      <c r="E3087" s="9" t="str">
        <f t="shared" si="706"/>
        <v>PRBNP'!</v>
      </c>
      <c r="F3087" s="5" t="str">
        <f t="shared" si="707"/>
        <v>C:\Users\jaime.benazar\Quorum Business Solutions\Ecopetrol Prometeo - Documents\Planning Space Implementation\3. Analysis &amp; Design\Design\FC22\DRR Jaime\Neiva CPI\[VAO_DINA TERCIARIOS_CF_SEC_20230117.xlsx]CF PRBNP'!</v>
      </c>
      <c r="G3087" s="6" t="s">
        <v>111</v>
      </c>
      <c r="H3087" s="1"/>
      <c r="I3087" s="1"/>
    </row>
    <row r="3088" spans="1:9" x14ac:dyDescent="0.3">
      <c r="A3088" s="6" t="s">
        <v>18</v>
      </c>
      <c r="B3088" s="6">
        <f t="shared" si="708"/>
        <v>2031</v>
      </c>
      <c r="C3088" s="1" t="s">
        <v>110</v>
      </c>
      <c r="D3088" s="2" t="s">
        <v>131</v>
      </c>
      <c r="E3088" s="9" t="str">
        <f t="shared" si="706"/>
        <v>PRBNP'!</v>
      </c>
      <c r="F3088" s="5" t="str">
        <f t="shared" si="707"/>
        <v>C:\Users\jaime.benazar\Quorum Business Solutions\Ecopetrol Prometeo - Documents\Planning Space Implementation\3. Analysis &amp; Design\Design\FC22\DRR Jaime\Neiva CPI\[VAO_DINA TERCIARIOS_CF_SEC_20230117.xlsx]CF PRBNP'!</v>
      </c>
      <c r="G3088" s="6" t="s">
        <v>111</v>
      </c>
      <c r="H3088" s="1"/>
      <c r="I3088" s="1"/>
    </row>
    <row r="3089" spans="1:9" x14ac:dyDescent="0.3">
      <c r="A3089" s="6" t="s">
        <v>18</v>
      </c>
      <c r="B3089" s="6">
        <f t="shared" si="708"/>
        <v>2032</v>
      </c>
      <c r="C3089" s="1" t="s">
        <v>110</v>
      </c>
      <c r="D3089" s="2" t="s">
        <v>131</v>
      </c>
      <c r="E3089" s="9" t="str">
        <f t="shared" si="706"/>
        <v>PRBNP'!</v>
      </c>
      <c r="F3089" s="5" t="str">
        <f t="shared" si="707"/>
        <v>C:\Users\jaime.benazar\Quorum Business Solutions\Ecopetrol Prometeo - Documents\Planning Space Implementation\3. Analysis &amp; Design\Design\FC22\DRR Jaime\Neiva CPI\[VAO_DINA TERCIARIOS_CF_SEC_20230117.xlsx]CF PRBNP'!</v>
      </c>
      <c r="G3089" s="6" t="s">
        <v>111</v>
      </c>
      <c r="H3089" s="1"/>
      <c r="I3089" s="1"/>
    </row>
    <row r="3090" spans="1:9" x14ac:dyDescent="0.3">
      <c r="A3090" s="6" t="s">
        <v>18</v>
      </c>
      <c r="B3090" s="6">
        <f t="shared" si="708"/>
        <v>2033</v>
      </c>
      <c r="C3090" s="1" t="s">
        <v>110</v>
      </c>
      <c r="D3090" s="2" t="s">
        <v>131</v>
      </c>
      <c r="E3090" s="9" t="str">
        <f t="shared" si="706"/>
        <v>PRBNP'!</v>
      </c>
      <c r="F3090" s="5" t="str">
        <f t="shared" si="707"/>
        <v>C:\Users\jaime.benazar\Quorum Business Solutions\Ecopetrol Prometeo - Documents\Planning Space Implementation\3. Analysis &amp; Design\Design\FC22\DRR Jaime\Neiva CPI\[VAO_DINA TERCIARIOS_CF_SEC_20230117.xlsx]CF PRBNP'!</v>
      </c>
      <c r="G3090" s="6" t="s">
        <v>111</v>
      </c>
      <c r="H3090" s="1"/>
      <c r="I3090" s="1"/>
    </row>
    <row r="3091" spans="1:9" x14ac:dyDescent="0.3">
      <c r="A3091" s="6" t="s">
        <v>18</v>
      </c>
      <c r="B3091" s="6">
        <f t="shared" si="708"/>
        <v>2034</v>
      </c>
      <c r="C3091" s="1" t="s">
        <v>110</v>
      </c>
      <c r="D3091" s="2" t="s">
        <v>131</v>
      </c>
      <c r="E3091" s="9" t="str">
        <f t="shared" si="706"/>
        <v>PRBNP'!</v>
      </c>
      <c r="F3091" s="5" t="str">
        <f t="shared" si="707"/>
        <v>C:\Users\jaime.benazar\Quorum Business Solutions\Ecopetrol Prometeo - Documents\Planning Space Implementation\3. Analysis &amp; Design\Design\FC22\DRR Jaime\Neiva CPI\[VAO_DINA TERCIARIOS_CF_SEC_20230117.xlsx]CF PRBNP'!</v>
      </c>
      <c r="G3091" s="6" t="s">
        <v>111</v>
      </c>
      <c r="H3091" s="1"/>
      <c r="I3091" s="1"/>
    </row>
    <row r="3092" spans="1:9" x14ac:dyDescent="0.3">
      <c r="A3092" s="6" t="s">
        <v>18</v>
      </c>
      <c r="B3092" s="6">
        <f t="shared" si="708"/>
        <v>2035</v>
      </c>
      <c r="C3092" s="1" t="s">
        <v>110</v>
      </c>
      <c r="D3092" s="2" t="s">
        <v>131</v>
      </c>
      <c r="E3092" s="9" t="str">
        <f t="shared" si="706"/>
        <v>PRBNP'!</v>
      </c>
      <c r="F3092" s="5" t="str">
        <f t="shared" si="707"/>
        <v>C:\Users\jaime.benazar\Quorum Business Solutions\Ecopetrol Prometeo - Documents\Planning Space Implementation\3. Analysis &amp; Design\Design\FC22\DRR Jaime\Neiva CPI\[VAO_DINA TERCIARIOS_CF_SEC_20230117.xlsx]CF PRBNP'!</v>
      </c>
      <c r="G3092" s="6" t="s">
        <v>111</v>
      </c>
      <c r="H3092" s="1"/>
      <c r="I3092" s="1"/>
    </row>
    <row r="3093" spans="1:9" x14ac:dyDescent="0.3">
      <c r="A3093" s="6" t="s">
        <v>18</v>
      </c>
      <c r="B3093" s="6">
        <f t="shared" si="708"/>
        <v>2036</v>
      </c>
      <c r="C3093" s="1" t="s">
        <v>110</v>
      </c>
      <c r="D3093" s="2" t="s">
        <v>131</v>
      </c>
      <c r="E3093" s="9" t="str">
        <f t="shared" si="706"/>
        <v>PRBNP'!</v>
      </c>
      <c r="F3093" s="5" t="str">
        <f t="shared" si="707"/>
        <v>C:\Users\jaime.benazar\Quorum Business Solutions\Ecopetrol Prometeo - Documents\Planning Space Implementation\3. Analysis &amp; Design\Design\FC22\DRR Jaime\Neiva CPI\[VAO_DINA TERCIARIOS_CF_SEC_20230117.xlsx]CF PRBNP'!</v>
      </c>
      <c r="G3093" s="6" t="s">
        <v>111</v>
      </c>
      <c r="H3093" s="1"/>
      <c r="I3093" s="1"/>
    </row>
    <row r="3094" spans="1:9" x14ac:dyDescent="0.3">
      <c r="A3094" s="6" t="s">
        <v>18</v>
      </c>
      <c r="B3094" s="6">
        <f>+B3093+1</f>
        <v>2037</v>
      </c>
      <c r="C3094" s="1" t="s">
        <v>110</v>
      </c>
      <c r="D3094" s="2" t="s">
        <v>131</v>
      </c>
      <c r="E3094" s="9" t="str">
        <f t="shared" si="706"/>
        <v>PRBNP'!</v>
      </c>
      <c r="F3094" s="5" t="str">
        <f t="shared" si="707"/>
        <v>C:\Users\jaime.benazar\Quorum Business Solutions\Ecopetrol Prometeo - Documents\Planning Space Implementation\3. Analysis &amp; Design\Design\FC22\DRR Jaime\Neiva CPI\[VAO_DINA TERCIARIOS_CF_SEC_20230117.xlsx]CF PRBNP'!</v>
      </c>
      <c r="G3094" s="6" t="s">
        <v>111</v>
      </c>
      <c r="H3094" s="1"/>
      <c r="I3094" s="1"/>
    </row>
    <row r="3095" spans="1:9" x14ac:dyDescent="0.3">
      <c r="A3095" s="6" t="s">
        <v>18</v>
      </c>
      <c r="B3095" s="6">
        <f t="shared" ref="B3095:B3097" si="709">+B3094+1</f>
        <v>2038</v>
      </c>
      <c r="C3095" s="1" t="s">
        <v>110</v>
      </c>
      <c r="D3095" s="2" t="s">
        <v>131</v>
      </c>
      <c r="E3095" s="9" t="str">
        <f t="shared" si="706"/>
        <v>PRBNP'!</v>
      </c>
      <c r="F3095" s="5" t="str">
        <f t="shared" si="707"/>
        <v>C:\Users\jaime.benazar\Quorum Business Solutions\Ecopetrol Prometeo - Documents\Planning Space Implementation\3. Analysis &amp; Design\Design\FC22\DRR Jaime\Neiva CPI\[VAO_DINA TERCIARIOS_CF_SEC_20230117.xlsx]CF PRBNP'!</v>
      </c>
      <c r="G3095" s="6" t="s">
        <v>111</v>
      </c>
      <c r="H3095" s="1"/>
      <c r="I3095" s="1"/>
    </row>
    <row r="3096" spans="1:9" x14ac:dyDescent="0.3">
      <c r="A3096" s="6" t="s">
        <v>18</v>
      </c>
      <c r="B3096" s="6">
        <f t="shared" si="709"/>
        <v>2039</v>
      </c>
      <c r="C3096" s="1" t="s">
        <v>110</v>
      </c>
      <c r="D3096" s="2" t="s">
        <v>131</v>
      </c>
      <c r="E3096" s="9" t="str">
        <f t="shared" si="706"/>
        <v>PRBNP'!</v>
      </c>
      <c r="F3096" s="5" t="str">
        <f t="shared" si="707"/>
        <v>C:\Users\jaime.benazar\Quorum Business Solutions\Ecopetrol Prometeo - Documents\Planning Space Implementation\3. Analysis &amp; Design\Design\FC22\DRR Jaime\Neiva CPI\[VAO_DINA TERCIARIOS_CF_SEC_20230117.xlsx]CF PRBNP'!</v>
      </c>
      <c r="G3096" s="6" t="s">
        <v>111</v>
      </c>
      <c r="H3096" s="1"/>
      <c r="I3096" s="1"/>
    </row>
    <row r="3097" spans="1:9" x14ac:dyDescent="0.3">
      <c r="A3097" s="6" t="s">
        <v>18</v>
      </c>
      <c r="B3097" s="6">
        <f t="shared" si="709"/>
        <v>2040</v>
      </c>
      <c r="C3097" s="1" t="s">
        <v>110</v>
      </c>
      <c r="D3097" s="2" t="s">
        <v>131</v>
      </c>
      <c r="E3097" s="9" t="str">
        <f t="shared" si="706"/>
        <v>PRBNP'!</v>
      </c>
      <c r="F3097" s="5" t="str">
        <f t="shared" si="707"/>
        <v>C:\Users\jaime.benazar\Quorum Business Solutions\Ecopetrol Prometeo - Documents\Planning Space Implementation\3. Analysis &amp; Design\Design\FC22\DRR Jaime\Neiva CPI\[VAO_DINA TERCIARIOS_CF_SEC_20230117.xlsx]CF PRBNP'!</v>
      </c>
      <c r="G3097" s="6" t="s">
        <v>111</v>
      </c>
      <c r="H3097" s="1"/>
      <c r="I3097" s="1"/>
    </row>
    <row r="3098" spans="1:9" x14ac:dyDescent="0.3">
      <c r="A3098" s="6" t="s">
        <v>18</v>
      </c>
      <c r="B3098" s="6">
        <f>+B3097+1</f>
        <v>2041</v>
      </c>
      <c r="C3098" s="1" t="s">
        <v>110</v>
      </c>
      <c r="D3098" s="2" t="s">
        <v>131</v>
      </c>
      <c r="E3098" s="9" t="str">
        <f t="shared" si="706"/>
        <v>PRBNP'!</v>
      </c>
      <c r="F3098" s="5" t="str">
        <f t="shared" si="707"/>
        <v>C:\Users\jaime.benazar\Quorum Business Solutions\Ecopetrol Prometeo - Documents\Planning Space Implementation\3. Analysis &amp; Design\Design\FC22\DRR Jaime\Neiva CPI\[VAO_DINA TERCIARIOS_CF_SEC_20230117.xlsx]CF PRBNP'!</v>
      </c>
      <c r="G3098" s="6" t="s">
        <v>111</v>
      </c>
      <c r="H3098" s="1"/>
      <c r="I3098" s="1"/>
    </row>
    <row r="3099" spans="1:9" x14ac:dyDescent="0.3">
      <c r="A3099" s="6" t="s">
        <v>18</v>
      </c>
      <c r="B3099" s="6">
        <f t="shared" ref="B3099:B3100" si="710">+B3098+1</f>
        <v>2042</v>
      </c>
      <c r="C3099" s="1" t="s">
        <v>110</v>
      </c>
      <c r="D3099" s="2" t="s">
        <v>131</v>
      </c>
      <c r="E3099" s="9" t="str">
        <f t="shared" si="706"/>
        <v>PRBNP'!</v>
      </c>
      <c r="F3099" s="5" t="str">
        <f t="shared" si="707"/>
        <v>C:\Users\jaime.benazar\Quorum Business Solutions\Ecopetrol Prometeo - Documents\Planning Space Implementation\3. Analysis &amp; Design\Design\FC22\DRR Jaime\Neiva CPI\[VAO_DINA TERCIARIOS_CF_SEC_20230117.xlsx]CF PRBNP'!</v>
      </c>
      <c r="G3099" s="6" t="s">
        <v>111</v>
      </c>
      <c r="H3099" s="1"/>
      <c r="I3099" s="1"/>
    </row>
    <row r="3100" spans="1:9" x14ac:dyDescent="0.3">
      <c r="A3100" s="6" t="s">
        <v>18</v>
      </c>
      <c r="B3100" s="6">
        <f t="shared" si="710"/>
        <v>2043</v>
      </c>
      <c r="C3100" s="1" t="s">
        <v>110</v>
      </c>
      <c r="D3100" s="2" t="s">
        <v>131</v>
      </c>
      <c r="E3100" s="9" t="str">
        <f t="shared" si="706"/>
        <v>PRBNP'!</v>
      </c>
      <c r="F3100" s="5" t="str">
        <f t="shared" si="707"/>
        <v>C:\Users\jaime.benazar\Quorum Business Solutions\Ecopetrol Prometeo - Documents\Planning Space Implementation\3. Analysis &amp; Design\Design\FC22\DRR Jaime\Neiva CPI\[VAO_DINA TERCIARIOS_CF_SEC_20230117.xlsx]CF PRBNP'!</v>
      </c>
      <c r="G3100" s="6" t="s">
        <v>111</v>
      </c>
      <c r="H3100" s="1"/>
      <c r="I3100" s="1"/>
    </row>
    <row r="3101" spans="1:9" x14ac:dyDescent="0.3">
      <c r="A3101" s="6" t="s">
        <v>18</v>
      </c>
      <c r="B3101" s="6">
        <f>+B3100+1</f>
        <v>2044</v>
      </c>
      <c r="C3101" s="1" t="s">
        <v>110</v>
      </c>
      <c r="D3101" s="2" t="s">
        <v>131</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Jaime\Neiva CPI\[VAO_DINA TERCIARIOS_CF_SEC_20230117.xlsx]CF PRBNP'!</v>
      </c>
      <c r="G3101" s="6" t="s">
        <v>111</v>
      </c>
      <c r="H3101" s="1"/>
      <c r="I3101" s="1"/>
    </row>
    <row r="3102" spans="1:9" x14ac:dyDescent="0.3">
      <c r="A3102" s="6" t="s">
        <v>18</v>
      </c>
      <c r="B3102" s="6">
        <f t="shared" ref="B3102:B3116" si="713">+B3101+1</f>
        <v>2045</v>
      </c>
      <c r="C3102" s="1" t="s">
        <v>110</v>
      </c>
      <c r="D3102" s="2" t="s">
        <v>131</v>
      </c>
      <c r="E3102" s="9" t="str">
        <f t="shared" si="711"/>
        <v>PRBNP'!</v>
      </c>
      <c r="F3102" s="5" t="str">
        <f t="shared" si="712"/>
        <v>C:\Users\jaime.benazar\Quorum Business Solutions\Ecopetrol Prometeo - Documents\Planning Space Implementation\3. Analysis &amp; Design\Design\FC22\DRR Jaime\Neiva CPI\[VAO_DINA TERCIARIOS_CF_SEC_20230117.xlsx]CF PRBNP'!</v>
      </c>
      <c r="G3102" s="6" t="s">
        <v>111</v>
      </c>
      <c r="H3102" s="1"/>
      <c r="I3102" s="1"/>
    </row>
    <row r="3103" spans="1:9" x14ac:dyDescent="0.3">
      <c r="A3103" s="6" t="s">
        <v>18</v>
      </c>
      <c r="B3103" s="6">
        <f t="shared" si="713"/>
        <v>2046</v>
      </c>
      <c r="C3103" s="1" t="s">
        <v>110</v>
      </c>
      <c r="D3103" s="2" t="s">
        <v>131</v>
      </c>
      <c r="E3103" s="9" t="str">
        <f t="shared" si="711"/>
        <v>PRBNP'!</v>
      </c>
      <c r="F3103" s="5" t="str">
        <f t="shared" si="712"/>
        <v>C:\Users\jaime.benazar\Quorum Business Solutions\Ecopetrol Prometeo - Documents\Planning Space Implementation\3. Analysis &amp; Design\Design\FC22\DRR Jaime\Neiva CPI\[VAO_DINA TERCIARIOS_CF_SEC_20230117.xlsx]CF PRBNP'!</v>
      </c>
      <c r="G3103" s="6" t="s">
        <v>111</v>
      </c>
      <c r="H3103" s="1"/>
      <c r="I3103" s="1"/>
    </row>
    <row r="3104" spans="1:9" x14ac:dyDescent="0.3">
      <c r="A3104" s="6" t="s">
        <v>18</v>
      </c>
      <c r="B3104" s="6">
        <f t="shared" si="713"/>
        <v>2047</v>
      </c>
      <c r="C3104" s="1" t="s">
        <v>110</v>
      </c>
      <c r="D3104" s="2" t="s">
        <v>131</v>
      </c>
      <c r="E3104" s="9" t="str">
        <f t="shared" si="711"/>
        <v>PRBNP'!</v>
      </c>
      <c r="F3104" s="5" t="str">
        <f t="shared" si="712"/>
        <v>C:\Users\jaime.benazar\Quorum Business Solutions\Ecopetrol Prometeo - Documents\Planning Space Implementation\3. Analysis &amp; Design\Design\FC22\DRR Jaime\Neiva CPI\[VAO_DINA TERCIARIOS_CF_SEC_20230117.xlsx]CF PRBNP'!</v>
      </c>
      <c r="G3104" s="6" t="s">
        <v>111</v>
      </c>
      <c r="H3104" s="1"/>
      <c r="I3104" s="1"/>
    </row>
    <row r="3105" spans="1:9" x14ac:dyDescent="0.3">
      <c r="A3105" s="6" t="s">
        <v>18</v>
      </c>
      <c r="B3105" s="6">
        <f t="shared" si="713"/>
        <v>2048</v>
      </c>
      <c r="C3105" s="1" t="s">
        <v>110</v>
      </c>
      <c r="D3105" s="2" t="s">
        <v>131</v>
      </c>
      <c r="E3105" s="9" t="str">
        <f t="shared" si="711"/>
        <v>PRBNP'!</v>
      </c>
      <c r="F3105" s="5" t="str">
        <f t="shared" si="712"/>
        <v>C:\Users\jaime.benazar\Quorum Business Solutions\Ecopetrol Prometeo - Documents\Planning Space Implementation\3. Analysis &amp; Design\Design\FC22\DRR Jaime\Neiva CPI\[VAO_DINA TERCIARIOS_CF_SEC_20230117.xlsx]CF PRBNP'!</v>
      </c>
      <c r="G3105" s="6" t="s">
        <v>111</v>
      </c>
      <c r="H3105" s="1"/>
      <c r="I3105" s="1"/>
    </row>
    <row r="3106" spans="1:9" x14ac:dyDescent="0.3">
      <c r="A3106" s="6" t="s">
        <v>18</v>
      </c>
      <c r="B3106" s="6">
        <f t="shared" si="713"/>
        <v>2049</v>
      </c>
      <c r="C3106" s="1" t="s">
        <v>110</v>
      </c>
      <c r="D3106" s="2" t="s">
        <v>131</v>
      </c>
      <c r="E3106" s="9" t="str">
        <f t="shared" si="711"/>
        <v>PRBNP'!</v>
      </c>
      <c r="F3106" s="5" t="str">
        <f t="shared" si="712"/>
        <v>C:\Users\jaime.benazar\Quorum Business Solutions\Ecopetrol Prometeo - Documents\Planning Space Implementation\3. Analysis &amp; Design\Design\FC22\DRR Jaime\Neiva CPI\[VAO_DINA TERCIARIOS_CF_SEC_20230117.xlsx]CF PRBNP'!</v>
      </c>
      <c r="G3106" s="6" t="s">
        <v>111</v>
      </c>
      <c r="H3106" s="1"/>
      <c r="I3106" s="1"/>
    </row>
    <row r="3107" spans="1:9" x14ac:dyDescent="0.3">
      <c r="A3107" s="6" t="s">
        <v>18</v>
      </c>
      <c r="B3107" s="6">
        <f t="shared" si="713"/>
        <v>2050</v>
      </c>
      <c r="C3107" s="1" t="s">
        <v>110</v>
      </c>
      <c r="D3107" s="2" t="s">
        <v>131</v>
      </c>
      <c r="E3107" s="9" t="str">
        <f t="shared" si="711"/>
        <v>PRBNP'!</v>
      </c>
      <c r="F3107" s="5" t="str">
        <f t="shared" si="712"/>
        <v>C:\Users\jaime.benazar\Quorum Business Solutions\Ecopetrol Prometeo - Documents\Planning Space Implementation\3. Analysis &amp; Design\Design\FC22\DRR Jaime\Neiva CPI\[VAO_DINA TERCIARIOS_CF_SEC_20230117.xlsx]CF PRBNP'!</v>
      </c>
      <c r="G3107" s="6" t="s">
        <v>111</v>
      </c>
      <c r="H3107" s="1"/>
      <c r="I3107" s="1"/>
    </row>
    <row r="3108" spans="1:9" x14ac:dyDescent="0.3">
      <c r="A3108" s="6" t="s">
        <v>18</v>
      </c>
      <c r="B3108" s="6">
        <f t="shared" si="713"/>
        <v>2051</v>
      </c>
      <c r="C3108" s="1" t="s">
        <v>110</v>
      </c>
      <c r="D3108" s="2" t="s">
        <v>131</v>
      </c>
      <c r="E3108" s="9" t="str">
        <f t="shared" si="711"/>
        <v>PRBNP'!</v>
      </c>
      <c r="F3108" s="5" t="str">
        <f t="shared" si="712"/>
        <v>C:\Users\jaime.benazar\Quorum Business Solutions\Ecopetrol Prometeo - Documents\Planning Space Implementation\3. Analysis &amp; Design\Design\FC22\DRR Jaime\Neiva CPI\[VAO_DINA TERCIARIOS_CF_SEC_20230117.xlsx]CF PRBNP'!</v>
      </c>
      <c r="G3108" s="6" t="s">
        <v>111</v>
      </c>
      <c r="H3108" s="1"/>
      <c r="I3108" s="1"/>
    </row>
    <row r="3109" spans="1:9" x14ac:dyDescent="0.3">
      <c r="A3109" s="6" t="s">
        <v>18</v>
      </c>
      <c r="B3109" s="6">
        <f t="shared" si="713"/>
        <v>2052</v>
      </c>
      <c r="C3109" s="1" t="s">
        <v>110</v>
      </c>
      <c r="D3109" s="2" t="s">
        <v>131</v>
      </c>
      <c r="E3109" s="9" t="str">
        <f t="shared" si="711"/>
        <v>PRBNP'!</v>
      </c>
      <c r="F3109" s="5" t="str">
        <f t="shared" si="712"/>
        <v>C:\Users\jaime.benazar\Quorum Business Solutions\Ecopetrol Prometeo - Documents\Planning Space Implementation\3. Analysis &amp; Design\Design\FC22\DRR Jaime\Neiva CPI\[VAO_DINA TERCIARIOS_CF_SEC_20230117.xlsx]CF PRBNP'!</v>
      </c>
      <c r="G3109" s="6" t="s">
        <v>111</v>
      </c>
      <c r="H3109" s="1"/>
      <c r="I3109" s="1"/>
    </row>
    <row r="3110" spans="1:9" x14ac:dyDescent="0.3">
      <c r="A3110" s="6" t="s">
        <v>18</v>
      </c>
      <c r="B3110" s="6">
        <f t="shared" si="713"/>
        <v>2053</v>
      </c>
      <c r="C3110" s="1" t="s">
        <v>110</v>
      </c>
      <c r="D3110" s="2" t="s">
        <v>131</v>
      </c>
      <c r="E3110" s="9" t="str">
        <f t="shared" si="711"/>
        <v>PRBNP'!</v>
      </c>
      <c r="F3110" s="5" t="str">
        <f t="shared" si="712"/>
        <v>C:\Users\jaime.benazar\Quorum Business Solutions\Ecopetrol Prometeo - Documents\Planning Space Implementation\3. Analysis &amp; Design\Design\FC22\DRR Jaime\Neiva CPI\[VAO_DINA TERCIARIOS_CF_SEC_20230117.xlsx]CF PRBNP'!</v>
      </c>
      <c r="G3110" s="6" t="s">
        <v>111</v>
      </c>
      <c r="H3110" s="1"/>
      <c r="I3110" s="1"/>
    </row>
    <row r="3111" spans="1:9" x14ac:dyDescent="0.3">
      <c r="A3111" s="6" t="s">
        <v>18</v>
      </c>
      <c r="B3111" s="6">
        <f t="shared" si="713"/>
        <v>2054</v>
      </c>
      <c r="C3111" s="1" t="s">
        <v>110</v>
      </c>
      <c r="D3111" s="2" t="s">
        <v>131</v>
      </c>
      <c r="E3111" s="9" t="str">
        <f t="shared" si="711"/>
        <v>PRBNP'!</v>
      </c>
      <c r="F3111" s="5" t="str">
        <f t="shared" si="712"/>
        <v>C:\Users\jaime.benazar\Quorum Business Solutions\Ecopetrol Prometeo - Documents\Planning Space Implementation\3. Analysis &amp; Design\Design\FC22\DRR Jaime\Neiva CPI\[VAO_DINA TERCIARIOS_CF_SEC_20230117.xlsx]CF PRBNP'!</v>
      </c>
      <c r="G3111" s="6" t="s">
        <v>111</v>
      </c>
      <c r="H3111" s="1"/>
      <c r="I3111" s="1"/>
    </row>
    <row r="3112" spans="1:9" x14ac:dyDescent="0.3">
      <c r="A3112" s="6" t="s">
        <v>18</v>
      </c>
      <c r="B3112" s="6">
        <f t="shared" si="713"/>
        <v>2055</v>
      </c>
      <c r="C3112" s="1" t="s">
        <v>110</v>
      </c>
      <c r="D3112" s="2" t="s">
        <v>131</v>
      </c>
      <c r="E3112" s="9" t="str">
        <f t="shared" si="711"/>
        <v>PRBNP'!</v>
      </c>
      <c r="F3112" s="5" t="str">
        <f t="shared" si="712"/>
        <v>C:\Users\jaime.benazar\Quorum Business Solutions\Ecopetrol Prometeo - Documents\Planning Space Implementation\3. Analysis &amp; Design\Design\FC22\DRR Jaime\Neiva CPI\[VAO_DINA TERCIARIOS_CF_SEC_20230117.xlsx]CF PRBNP'!</v>
      </c>
      <c r="G3112" s="6" t="s">
        <v>111</v>
      </c>
      <c r="H3112" s="1"/>
      <c r="I3112" s="1"/>
    </row>
    <row r="3113" spans="1:9" x14ac:dyDescent="0.3">
      <c r="A3113" s="6" t="s">
        <v>18</v>
      </c>
      <c r="B3113" s="6">
        <f t="shared" si="713"/>
        <v>2056</v>
      </c>
      <c r="C3113" s="1" t="s">
        <v>110</v>
      </c>
      <c r="D3113" s="2" t="s">
        <v>131</v>
      </c>
      <c r="E3113" s="9" t="str">
        <f t="shared" si="711"/>
        <v>PRBNP'!</v>
      </c>
      <c r="F3113" s="5" t="str">
        <f t="shared" si="712"/>
        <v>C:\Users\jaime.benazar\Quorum Business Solutions\Ecopetrol Prometeo - Documents\Planning Space Implementation\3. Analysis &amp; Design\Design\FC22\DRR Jaime\Neiva CPI\[VAO_DINA TERCIARIOS_CF_SEC_20230117.xlsx]CF PRBNP'!</v>
      </c>
      <c r="G3113" s="6" t="s">
        <v>111</v>
      </c>
      <c r="H3113" s="1"/>
      <c r="I3113" s="1"/>
    </row>
    <row r="3114" spans="1:9" x14ac:dyDescent="0.3">
      <c r="A3114" s="6" t="s">
        <v>18</v>
      </c>
      <c r="B3114" s="6">
        <f t="shared" si="713"/>
        <v>2057</v>
      </c>
      <c r="C3114" s="1" t="s">
        <v>110</v>
      </c>
      <c r="D3114" s="2" t="s">
        <v>131</v>
      </c>
      <c r="E3114" s="9" t="str">
        <f t="shared" si="711"/>
        <v>PRBNP'!</v>
      </c>
      <c r="F3114" s="5" t="str">
        <f t="shared" si="712"/>
        <v>C:\Users\jaime.benazar\Quorum Business Solutions\Ecopetrol Prometeo - Documents\Planning Space Implementation\3. Analysis &amp; Design\Design\FC22\DRR Jaime\Neiva CPI\[VAO_DINA TERCIARIOS_CF_SEC_20230117.xlsx]CF PRBNP'!</v>
      </c>
      <c r="G3114" s="6" t="s">
        <v>111</v>
      </c>
      <c r="H3114" s="1"/>
      <c r="I3114" s="1"/>
    </row>
    <row r="3115" spans="1:9" x14ac:dyDescent="0.3">
      <c r="A3115" s="6" t="s">
        <v>18</v>
      </c>
      <c r="B3115" s="6">
        <f t="shared" si="713"/>
        <v>2058</v>
      </c>
      <c r="C3115" s="1" t="s">
        <v>110</v>
      </c>
      <c r="D3115" s="2" t="s">
        <v>131</v>
      </c>
      <c r="E3115" s="9" t="str">
        <f t="shared" si="711"/>
        <v>PRBNP'!</v>
      </c>
      <c r="F3115" s="5" t="str">
        <f t="shared" si="712"/>
        <v>C:\Users\jaime.benazar\Quorum Business Solutions\Ecopetrol Prometeo - Documents\Planning Space Implementation\3. Analysis &amp; Design\Design\FC22\DRR Jaime\Neiva CPI\[VAO_DINA TERCIARIOS_CF_SEC_20230117.xlsx]CF PRBNP'!</v>
      </c>
      <c r="G3115" s="6" t="s">
        <v>111</v>
      </c>
      <c r="H3115" s="1"/>
      <c r="I3115" s="1"/>
    </row>
    <row r="3116" spans="1:9" x14ac:dyDescent="0.3">
      <c r="A3116" s="6" t="s">
        <v>18</v>
      </c>
      <c r="B3116" s="6">
        <f t="shared" si="713"/>
        <v>2059</v>
      </c>
      <c r="C3116" s="1" t="s">
        <v>110</v>
      </c>
      <c r="D3116" s="2" t="s">
        <v>131</v>
      </c>
      <c r="E3116" s="9" t="str">
        <f t="shared" si="711"/>
        <v>PRBNP'!</v>
      </c>
      <c r="F3116" s="5" t="str">
        <f t="shared" si="712"/>
        <v>C:\Users\jaime.benazar\Quorum Business Solutions\Ecopetrol Prometeo - Documents\Planning Space Implementation\3. Analysis &amp; Design\Design\FC22\DRR Jaime\Neiva CPI\[VAO_DINA TERCIARIOS_CF_SEC_20230117.xlsx]CF PRBNP'!</v>
      </c>
      <c r="G3116" s="6" t="s">
        <v>111</v>
      </c>
      <c r="H3116" s="1"/>
      <c r="I3116" s="1"/>
    </row>
    <row r="3117" spans="1:9" x14ac:dyDescent="0.3">
      <c r="A3117" s="7" t="s">
        <v>26</v>
      </c>
      <c r="B3117" s="6"/>
      <c r="C3117" s="1" t="s">
        <v>110</v>
      </c>
      <c r="D3117" s="2"/>
      <c r="E3117" s="9"/>
      <c r="F3117" s="5"/>
      <c r="G3117" s="6"/>
      <c r="H3117" s="1"/>
      <c r="I3117" s="1"/>
    </row>
    <row r="3118" spans="1:9" x14ac:dyDescent="0.3">
      <c r="A3118" s="6" t="s">
        <v>19</v>
      </c>
      <c r="B3118" s="6">
        <v>2023</v>
      </c>
      <c r="C3118" s="1" t="s">
        <v>110</v>
      </c>
      <c r="D3118" s="2" t="s">
        <v>131</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Jaime\Neiva CPI\[VAO_DINA TERCIARIOS_CF_SEC_20230117.xlsx]CF PRBND'!</v>
      </c>
      <c r="G3118" s="6" t="s">
        <v>111</v>
      </c>
      <c r="H3118" s="1"/>
      <c r="I3118" s="1"/>
    </row>
    <row r="3119" spans="1:9" x14ac:dyDescent="0.3">
      <c r="A3119" s="6" t="s">
        <v>19</v>
      </c>
      <c r="B3119" s="6">
        <f>+B3118+1</f>
        <v>2024</v>
      </c>
      <c r="C3119" s="1" t="s">
        <v>110</v>
      </c>
      <c r="D3119" s="2" t="s">
        <v>131</v>
      </c>
      <c r="E3119" s="9" t="str">
        <f t="shared" si="714"/>
        <v>PRBND'!</v>
      </c>
      <c r="F3119" s="5" t="str">
        <f t="shared" si="715"/>
        <v>C:\Users\jaime.benazar\Quorum Business Solutions\Ecopetrol Prometeo - Documents\Planning Space Implementation\3. Analysis &amp; Design\Design\FC22\DRR Jaime\Neiva CPI\[VAO_DINA TERCIARIOS_CF_SEC_20230117.xlsx]CF PRBND'!</v>
      </c>
      <c r="G3119" s="6" t="s">
        <v>111</v>
      </c>
      <c r="H3119" s="1"/>
      <c r="I3119" s="1"/>
    </row>
    <row r="3120" spans="1:9" x14ac:dyDescent="0.3">
      <c r="A3120" s="6" t="s">
        <v>19</v>
      </c>
      <c r="B3120" s="6">
        <f t="shared" ref="B3120:B3131" si="716">+B3119+1</f>
        <v>2025</v>
      </c>
      <c r="C3120" s="1" t="s">
        <v>110</v>
      </c>
      <c r="D3120" s="2" t="s">
        <v>131</v>
      </c>
      <c r="E3120" s="9" t="str">
        <f t="shared" si="714"/>
        <v>PRBND'!</v>
      </c>
      <c r="F3120" s="5" t="str">
        <f t="shared" si="715"/>
        <v>C:\Users\jaime.benazar\Quorum Business Solutions\Ecopetrol Prometeo - Documents\Planning Space Implementation\3. Analysis &amp; Design\Design\FC22\DRR Jaime\Neiva CPI\[VAO_DINA TERCIARIOS_CF_SEC_20230117.xlsx]CF PRBND'!</v>
      </c>
      <c r="G3120" s="6" t="s">
        <v>111</v>
      </c>
      <c r="H3120" s="1"/>
      <c r="I3120" s="1"/>
    </row>
    <row r="3121" spans="1:9" x14ac:dyDescent="0.3">
      <c r="A3121" s="6" t="s">
        <v>19</v>
      </c>
      <c r="B3121" s="6">
        <f t="shared" si="716"/>
        <v>2026</v>
      </c>
      <c r="C3121" s="1" t="s">
        <v>110</v>
      </c>
      <c r="D3121" s="2" t="s">
        <v>131</v>
      </c>
      <c r="E3121" s="9" t="str">
        <f t="shared" si="714"/>
        <v>PRBND'!</v>
      </c>
      <c r="F3121" s="5" t="str">
        <f t="shared" si="715"/>
        <v>C:\Users\jaime.benazar\Quorum Business Solutions\Ecopetrol Prometeo - Documents\Planning Space Implementation\3. Analysis &amp; Design\Design\FC22\DRR Jaime\Neiva CPI\[VAO_DINA TERCIARIOS_CF_SEC_20230117.xlsx]CF PRBND'!</v>
      </c>
      <c r="G3121" s="6" t="s">
        <v>111</v>
      </c>
      <c r="H3121" s="1"/>
      <c r="I3121" s="1"/>
    </row>
    <row r="3122" spans="1:9" x14ac:dyDescent="0.3">
      <c r="A3122" s="6" t="s">
        <v>19</v>
      </c>
      <c r="B3122" s="6">
        <f t="shared" si="716"/>
        <v>2027</v>
      </c>
      <c r="C3122" s="1" t="s">
        <v>110</v>
      </c>
      <c r="D3122" s="2" t="s">
        <v>131</v>
      </c>
      <c r="E3122" s="9" t="str">
        <f t="shared" si="714"/>
        <v>PRBND'!</v>
      </c>
      <c r="F3122" s="5" t="str">
        <f t="shared" si="715"/>
        <v>C:\Users\jaime.benazar\Quorum Business Solutions\Ecopetrol Prometeo - Documents\Planning Space Implementation\3. Analysis &amp; Design\Design\FC22\DRR Jaime\Neiva CPI\[VAO_DINA TERCIARIOS_CF_SEC_20230117.xlsx]CF PRBND'!</v>
      </c>
      <c r="G3122" s="6" t="s">
        <v>111</v>
      </c>
      <c r="H3122" s="1"/>
      <c r="I3122" s="1"/>
    </row>
    <row r="3123" spans="1:9" x14ac:dyDescent="0.3">
      <c r="A3123" s="6" t="s">
        <v>19</v>
      </c>
      <c r="B3123" s="6">
        <f t="shared" si="716"/>
        <v>2028</v>
      </c>
      <c r="C3123" s="1" t="s">
        <v>110</v>
      </c>
      <c r="D3123" s="2" t="s">
        <v>131</v>
      </c>
      <c r="E3123" s="9" t="str">
        <f t="shared" si="714"/>
        <v>PRBND'!</v>
      </c>
      <c r="F3123" s="5" t="str">
        <f t="shared" si="715"/>
        <v>C:\Users\jaime.benazar\Quorum Business Solutions\Ecopetrol Prometeo - Documents\Planning Space Implementation\3. Analysis &amp; Design\Design\FC22\DRR Jaime\Neiva CPI\[VAO_DINA TERCIARIOS_CF_SEC_20230117.xlsx]CF PRBND'!</v>
      </c>
      <c r="G3123" s="6" t="s">
        <v>111</v>
      </c>
      <c r="H3123" s="1"/>
      <c r="I3123" s="1"/>
    </row>
    <row r="3124" spans="1:9" x14ac:dyDescent="0.3">
      <c r="A3124" s="6" t="s">
        <v>19</v>
      </c>
      <c r="B3124" s="6">
        <f t="shared" si="716"/>
        <v>2029</v>
      </c>
      <c r="C3124" s="1" t="s">
        <v>110</v>
      </c>
      <c r="D3124" s="2" t="s">
        <v>131</v>
      </c>
      <c r="E3124" s="9" t="str">
        <f t="shared" si="714"/>
        <v>PRBND'!</v>
      </c>
      <c r="F3124" s="5" t="str">
        <f t="shared" si="715"/>
        <v>C:\Users\jaime.benazar\Quorum Business Solutions\Ecopetrol Prometeo - Documents\Planning Space Implementation\3. Analysis &amp; Design\Design\FC22\DRR Jaime\Neiva CPI\[VAO_DINA TERCIARIOS_CF_SEC_20230117.xlsx]CF PRBND'!</v>
      </c>
      <c r="G3124" s="6" t="s">
        <v>111</v>
      </c>
      <c r="H3124" s="1"/>
      <c r="I3124" s="1"/>
    </row>
    <row r="3125" spans="1:9" x14ac:dyDescent="0.3">
      <c r="A3125" s="6" t="s">
        <v>19</v>
      </c>
      <c r="B3125" s="6">
        <f t="shared" si="716"/>
        <v>2030</v>
      </c>
      <c r="C3125" s="1" t="s">
        <v>110</v>
      </c>
      <c r="D3125" s="2" t="s">
        <v>131</v>
      </c>
      <c r="E3125" s="9" t="str">
        <f t="shared" si="714"/>
        <v>PRBND'!</v>
      </c>
      <c r="F3125" s="5" t="str">
        <f t="shared" si="715"/>
        <v>C:\Users\jaime.benazar\Quorum Business Solutions\Ecopetrol Prometeo - Documents\Planning Space Implementation\3. Analysis &amp; Design\Design\FC22\DRR Jaime\Neiva CPI\[VAO_DINA TERCIARIOS_CF_SEC_20230117.xlsx]CF PRBND'!</v>
      </c>
      <c r="G3125" s="6" t="s">
        <v>111</v>
      </c>
      <c r="H3125" s="1"/>
      <c r="I3125" s="1"/>
    </row>
    <row r="3126" spans="1:9" x14ac:dyDescent="0.3">
      <c r="A3126" s="6" t="s">
        <v>19</v>
      </c>
      <c r="B3126" s="6">
        <f t="shared" si="716"/>
        <v>2031</v>
      </c>
      <c r="C3126" s="1" t="s">
        <v>110</v>
      </c>
      <c r="D3126" s="2" t="s">
        <v>131</v>
      </c>
      <c r="E3126" s="9" t="str">
        <f t="shared" si="714"/>
        <v>PRBND'!</v>
      </c>
      <c r="F3126" s="5" t="str">
        <f t="shared" si="715"/>
        <v>C:\Users\jaime.benazar\Quorum Business Solutions\Ecopetrol Prometeo - Documents\Planning Space Implementation\3. Analysis &amp; Design\Design\FC22\DRR Jaime\Neiva CPI\[VAO_DINA TERCIARIOS_CF_SEC_20230117.xlsx]CF PRBND'!</v>
      </c>
      <c r="G3126" s="6" t="s">
        <v>111</v>
      </c>
      <c r="H3126" s="1"/>
      <c r="I3126" s="1"/>
    </row>
    <row r="3127" spans="1:9" x14ac:dyDescent="0.3">
      <c r="A3127" s="6" t="s">
        <v>19</v>
      </c>
      <c r="B3127" s="6">
        <f t="shared" si="716"/>
        <v>2032</v>
      </c>
      <c r="C3127" s="1" t="s">
        <v>110</v>
      </c>
      <c r="D3127" s="2" t="s">
        <v>131</v>
      </c>
      <c r="E3127" s="9" t="str">
        <f t="shared" si="714"/>
        <v>PRBND'!</v>
      </c>
      <c r="F3127" s="5" t="str">
        <f t="shared" si="715"/>
        <v>C:\Users\jaime.benazar\Quorum Business Solutions\Ecopetrol Prometeo - Documents\Planning Space Implementation\3. Analysis &amp; Design\Design\FC22\DRR Jaime\Neiva CPI\[VAO_DINA TERCIARIOS_CF_SEC_20230117.xlsx]CF PRBND'!</v>
      </c>
      <c r="G3127" s="6" t="s">
        <v>111</v>
      </c>
      <c r="H3127" s="1"/>
      <c r="I3127" s="1"/>
    </row>
    <row r="3128" spans="1:9" x14ac:dyDescent="0.3">
      <c r="A3128" s="6" t="s">
        <v>19</v>
      </c>
      <c r="B3128" s="6">
        <f t="shared" si="716"/>
        <v>2033</v>
      </c>
      <c r="C3128" s="1" t="s">
        <v>110</v>
      </c>
      <c r="D3128" s="2" t="s">
        <v>131</v>
      </c>
      <c r="E3128" s="9" t="str">
        <f t="shared" si="714"/>
        <v>PRBND'!</v>
      </c>
      <c r="F3128" s="5" t="str">
        <f t="shared" si="715"/>
        <v>C:\Users\jaime.benazar\Quorum Business Solutions\Ecopetrol Prometeo - Documents\Planning Space Implementation\3. Analysis &amp; Design\Design\FC22\DRR Jaime\Neiva CPI\[VAO_DINA TERCIARIOS_CF_SEC_20230117.xlsx]CF PRBND'!</v>
      </c>
      <c r="G3128" s="6" t="s">
        <v>111</v>
      </c>
      <c r="H3128" s="1"/>
      <c r="I3128" s="1"/>
    </row>
    <row r="3129" spans="1:9" x14ac:dyDescent="0.3">
      <c r="A3129" s="6" t="s">
        <v>19</v>
      </c>
      <c r="B3129" s="6">
        <f t="shared" si="716"/>
        <v>2034</v>
      </c>
      <c r="C3129" s="1" t="s">
        <v>110</v>
      </c>
      <c r="D3129" s="2" t="s">
        <v>131</v>
      </c>
      <c r="E3129" s="9" t="str">
        <f t="shared" si="714"/>
        <v>PRBND'!</v>
      </c>
      <c r="F3129" s="5" t="str">
        <f t="shared" si="715"/>
        <v>C:\Users\jaime.benazar\Quorum Business Solutions\Ecopetrol Prometeo - Documents\Planning Space Implementation\3. Analysis &amp; Design\Design\FC22\DRR Jaime\Neiva CPI\[VAO_DINA TERCIARIOS_CF_SEC_20230117.xlsx]CF PRBND'!</v>
      </c>
      <c r="G3129" s="6" t="s">
        <v>111</v>
      </c>
      <c r="H3129" s="1"/>
      <c r="I3129" s="1"/>
    </row>
    <row r="3130" spans="1:9" x14ac:dyDescent="0.3">
      <c r="A3130" s="6" t="s">
        <v>19</v>
      </c>
      <c r="B3130" s="6">
        <f t="shared" si="716"/>
        <v>2035</v>
      </c>
      <c r="C3130" s="1" t="s">
        <v>110</v>
      </c>
      <c r="D3130" s="2" t="s">
        <v>131</v>
      </c>
      <c r="E3130" s="9" t="str">
        <f t="shared" si="714"/>
        <v>PRBND'!</v>
      </c>
      <c r="F3130" s="5" t="str">
        <f t="shared" si="715"/>
        <v>C:\Users\jaime.benazar\Quorum Business Solutions\Ecopetrol Prometeo - Documents\Planning Space Implementation\3. Analysis &amp; Design\Design\FC22\DRR Jaime\Neiva CPI\[VAO_DINA TERCIARIOS_CF_SEC_20230117.xlsx]CF PRBND'!</v>
      </c>
      <c r="G3130" s="6" t="s">
        <v>111</v>
      </c>
      <c r="H3130" s="1"/>
      <c r="I3130" s="1"/>
    </row>
    <row r="3131" spans="1:9" x14ac:dyDescent="0.3">
      <c r="A3131" s="6" t="s">
        <v>19</v>
      </c>
      <c r="B3131" s="6">
        <f t="shared" si="716"/>
        <v>2036</v>
      </c>
      <c r="C3131" s="1" t="s">
        <v>110</v>
      </c>
      <c r="D3131" s="2" t="s">
        <v>131</v>
      </c>
      <c r="E3131" s="9" t="str">
        <f t="shared" si="714"/>
        <v>PRBND'!</v>
      </c>
      <c r="F3131" s="5" t="str">
        <f t="shared" si="715"/>
        <v>C:\Users\jaime.benazar\Quorum Business Solutions\Ecopetrol Prometeo - Documents\Planning Space Implementation\3. Analysis &amp; Design\Design\FC22\DRR Jaime\Neiva CPI\[VAO_DINA TERCIARIOS_CF_SEC_20230117.xlsx]CF PRBND'!</v>
      </c>
      <c r="G3131" s="6" t="s">
        <v>111</v>
      </c>
      <c r="H3131" s="1"/>
      <c r="I3131" s="1"/>
    </row>
    <row r="3132" spans="1:9" x14ac:dyDescent="0.3">
      <c r="A3132" s="6" t="s">
        <v>19</v>
      </c>
      <c r="B3132" s="6">
        <f>+B3131+1</f>
        <v>2037</v>
      </c>
      <c r="C3132" s="1" t="s">
        <v>110</v>
      </c>
      <c r="D3132" s="2" t="s">
        <v>131</v>
      </c>
      <c r="E3132" s="9" t="str">
        <f t="shared" si="714"/>
        <v>PRBND'!</v>
      </c>
      <c r="F3132" s="5" t="str">
        <f t="shared" si="715"/>
        <v>C:\Users\jaime.benazar\Quorum Business Solutions\Ecopetrol Prometeo - Documents\Planning Space Implementation\3. Analysis &amp; Design\Design\FC22\DRR Jaime\Neiva CPI\[VAO_DINA TERCIARIOS_CF_SEC_20230117.xlsx]CF PRBND'!</v>
      </c>
      <c r="G3132" s="6" t="s">
        <v>111</v>
      </c>
      <c r="H3132" s="1"/>
      <c r="I3132" s="1"/>
    </row>
    <row r="3133" spans="1:9" x14ac:dyDescent="0.3">
      <c r="A3133" s="6" t="s">
        <v>19</v>
      </c>
      <c r="B3133" s="6">
        <f t="shared" ref="B3133:B3135" si="717">+B3132+1</f>
        <v>2038</v>
      </c>
      <c r="C3133" s="1" t="s">
        <v>110</v>
      </c>
      <c r="D3133" s="2" t="s">
        <v>131</v>
      </c>
      <c r="E3133" s="9" t="str">
        <f t="shared" si="714"/>
        <v>PRBND'!</v>
      </c>
      <c r="F3133" s="5" t="str">
        <f t="shared" si="715"/>
        <v>C:\Users\jaime.benazar\Quorum Business Solutions\Ecopetrol Prometeo - Documents\Planning Space Implementation\3. Analysis &amp; Design\Design\FC22\DRR Jaime\Neiva CPI\[VAO_DINA TERCIARIOS_CF_SEC_20230117.xlsx]CF PRBND'!</v>
      </c>
      <c r="G3133" s="6" t="s">
        <v>111</v>
      </c>
      <c r="H3133" s="1"/>
      <c r="I3133" s="1"/>
    </row>
    <row r="3134" spans="1:9" x14ac:dyDescent="0.3">
      <c r="A3134" s="6" t="s">
        <v>19</v>
      </c>
      <c r="B3134" s="6">
        <f t="shared" si="717"/>
        <v>2039</v>
      </c>
      <c r="C3134" s="1" t="s">
        <v>110</v>
      </c>
      <c r="D3134" s="2" t="s">
        <v>131</v>
      </c>
      <c r="E3134" s="9" t="str">
        <f t="shared" si="714"/>
        <v>PRBND'!</v>
      </c>
      <c r="F3134" s="5" t="str">
        <f t="shared" si="715"/>
        <v>C:\Users\jaime.benazar\Quorum Business Solutions\Ecopetrol Prometeo - Documents\Planning Space Implementation\3. Analysis &amp; Design\Design\FC22\DRR Jaime\Neiva CPI\[VAO_DINA TERCIARIOS_CF_SEC_20230117.xlsx]CF PRBND'!</v>
      </c>
      <c r="G3134" s="6" t="s">
        <v>111</v>
      </c>
      <c r="H3134" s="1"/>
      <c r="I3134" s="1"/>
    </row>
    <row r="3135" spans="1:9" x14ac:dyDescent="0.3">
      <c r="A3135" s="6" t="s">
        <v>19</v>
      </c>
      <c r="B3135" s="6">
        <f t="shared" si="717"/>
        <v>2040</v>
      </c>
      <c r="C3135" s="1" t="s">
        <v>110</v>
      </c>
      <c r="D3135" s="2" t="s">
        <v>131</v>
      </c>
      <c r="E3135" s="9" t="str">
        <f t="shared" si="714"/>
        <v>PRBND'!</v>
      </c>
      <c r="F3135" s="5" t="str">
        <f t="shared" si="715"/>
        <v>C:\Users\jaime.benazar\Quorum Business Solutions\Ecopetrol Prometeo - Documents\Planning Space Implementation\3. Analysis &amp; Design\Design\FC22\DRR Jaime\Neiva CPI\[VAO_DINA TERCIARIOS_CF_SEC_20230117.xlsx]CF PRBND'!</v>
      </c>
      <c r="G3135" s="6" t="s">
        <v>111</v>
      </c>
      <c r="H3135" s="1"/>
      <c r="I3135" s="1"/>
    </row>
    <row r="3136" spans="1:9" x14ac:dyDescent="0.3">
      <c r="A3136" s="6" t="s">
        <v>19</v>
      </c>
      <c r="B3136" s="6">
        <f>+B3135+1</f>
        <v>2041</v>
      </c>
      <c r="C3136" s="1" t="s">
        <v>110</v>
      </c>
      <c r="D3136" s="2" t="s">
        <v>131</v>
      </c>
      <c r="E3136" s="9" t="str">
        <f t="shared" si="714"/>
        <v>PRBND'!</v>
      </c>
      <c r="F3136" s="5" t="str">
        <f t="shared" si="715"/>
        <v>C:\Users\jaime.benazar\Quorum Business Solutions\Ecopetrol Prometeo - Documents\Planning Space Implementation\3. Analysis &amp; Design\Design\FC22\DRR Jaime\Neiva CPI\[VAO_DINA TERCIARIOS_CF_SEC_20230117.xlsx]CF PRBND'!</v>
      </c>
      <c r="G3136" s="6" t="s">
        <v>111</v>
      </c>
      <c r="H3136" s="1"/>
      <c r="I3136" s="1"/>
    </row>
    <row r="3137" spans="1:9" x14ac:dyDescent="0.3">
      <c r="A3137" s="6" t="s">
        <v>19</v>
      </c>
      <c r="B3137" s="6">
        <f t="shared" ref="B3137:B3138" si="718">+B3136+1</f>
        <v>2042</v>
      </c>
      <c r="C3137" s="1" t="s">
        <v>110</v>
      </c>
      <c r="D3137" s="2" t="s">
        <v>131</v>
      </c>
      <c r="E3137" s="9" t="str">
        <f t="shared" si="714"/>
        <v>PRBND'!</v>
      </c>
      <c r="F3137" s="5" t="str">
        <f t="shared" si="715"/>
        <v>C:\Users\jaime.benazar\Quorum Business Solutions\Ecopetrol Prometeo - Documents\Planning Space Implementation\3. Analysis &amp; Design\Design\FC22\DRR Jaime\Neiva CPI\[VAO_DINA TERCIARIOS_CF_SEC_20230117.xlsx]CF PRBND'!</v>
      </c>
      <c r="G3137" s="6" t="s">
        <v>111</v>
      </c>
      <c r="H3137" s="1"/>
      <c r="I3137" s="1"/>
    </row>
    <row r="3138" spans="1:9" x14ac:dyDescent="0.3">
      <c r="A3138" s="6" t="s">
        <v>19</v>
      </c>
      <c r="B3138" s="6">
        <f t="shared" si="718"/>
        <v>2043</v>
      </c>
      <c r="C3138" s="1" t="s">
        <v>110</v>
      </c>
      <c r="D3138" s="2" t="s">
        <v>131</v>
      </c>
      <c r="E3138" s="9" t="str">
        <f t="shared" si="714"/>
        <v>PRBND'!</v>
      </c>
      <c r="F3138" s="5" t="str">
        <f t="shared" si="715"/>
        <v>C:\Users\jaime.benazar\Quorum Business Solutions\Ecopetrol Prometeo - Documents\Planning Space Implementation\3. Analysis &amp; Design\Design\FC22\DRR Jaime\Neiva CPI\[VAO_DINA TERCIARIOS_CF_SEC_20230117.xlsx]CF PRBND'!</v>
      </c>
      <c r="G3138" s="6" t="s">
        <v>111</v>
      </c>
      <c r="H3138" s="1"/>
      <c r="I3138" s="1"/>
    </row>
    <row r="3139" spans="1:9" x14ac:dyDescent="0.3">
      <c r="A3139" s="6" t="s">
        <v>19</v>
      </c>
      <c r="B3139" s="6">
        <f>+B3138+1</f>
        <v>2044</v>
      </c>
      <c r="C3139" s="1" t="s">
        <v>110</v>
      </c>
      <c r="D3139" s="2" t="s">
        <v>131</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Jaime\Neiva CPI\[VAO_DINA TERCIARIOS_CF_SEC_20230117.xlsx]CF PRBND'!</v>
      </c>
      <c r="G3139" s="6" t="s">
        <v>111</v>
      </c>
      <c r="H3139" s="1"/>
      <c r="I3139" s="1"/>
    </row>
    <row r="3140" spans="1:9" x14ac:dyDescent="0.3">
      <c r="A3140" s="6" t="s">
        <v>19</v>
      </c>
      <c r="B3140" s="6">
        <f t="shared" ref="B3140:B3154" si="721">+B3139+1</f>
        <v>2045</v>
      </c>
      <c r="C3140" s="1" t="s">
        <v>110</v>
      </c>
      <c r="D3140" s="2" t="s">
        <v>131</v>
      </c>
      <c r="E3140" s="9" t="str">
        <f t="shared" si="719"/>
        <v>PRBND'!</v>
      </c>
      <c r="F3140" s="5" t="str">
        <f t="shared" si="720"/>
        <v>C:\Users\jaime.benazar\Quorum Business Solutions\Ecopetrol Prometeo - Documents\Planning Space Implementation\3. Analysis &amp; Design\Design\FC22\DRR Jaime\Neiva CPI\[VAO_DINA TERCIARIOS_CF_SEC_20230117.xlsx]CF PRBND'!</v>
      </c>
      <c r="G3140" s="6" t="s">
        <v>111</v>
      </c>
      <c r="H3140" s="1"/>
      <c r="I3140" s="1"/>
    </row>
    <row r="3141" spans="1:9" x14ac:dyDescent="0.3">
      <c r="A3141" s="6" t="s">
        <v>19</v>
      </c>
      <c r="B3141" s="6">
        <f t="shared" si="721"/>
        <v>2046</v>
      </c>
      <c r="C3141" s="1" t="s">
        <v>110</v>
      </c>
      <c r="D3141" s="2" t="s">
        <v>131</v>
      </c>
      <c r="E3141" s="9" t="str">
        <f t="shared" si="719"/>
        <v>PRBND'!</v>
      </c>
      <c r="F3141" s="5" t="str">
        <f t="shared" si="720"/>
        <v>C:\Users\jaime.benazar\Quorum Business Solutions\Ecopetrol Prometeo - Documents\Planning Space Implementation\3. Analysis &amp; Design\Design\FC22\DRR Jaime\Neiva CPI\[VAO_DINA TERCIARIOS_CF_SEC_20230117.xlsx]CF PRBND'!</v>
      </c>
      <c r="G3141" s="6" t="s">
        <v>111</v>
      </c>
      <c r="H3141" s="1"/>
      <c r="I3141" s="1"/>
    </row>
    <row r="3142" spans="1:9" x14ac:dyDescent="0.3">
      <c r="A3142" s="6" t="s">
        <v>19</v>
      </c>
      <c r="B3142" s="6">
        <f t="shared" si="721"/>
        <v>2047</v>
      </c>
      <c r="C3142" s="1" t="s">
        <v>110</v>
      </c>
      <c r="D3142" s="2" t="s">
        <v>131</v>
      </c>
      <c r="E3142" s="9" t="str">
        <f t="shared" si="719"/>
        <v>PRBND'!</v>
      </c>
      <c r="F3142" s="5" t="str">
        <f t="shared" si="720"/>
        <v>C:\Users\jaime.benazar\Quorum Business Solutions\Ecopetrol Prometeo - Documents\Planning Space Implementation\3. Analysis &amp; Design\Design\FC22\DRR Jaime\Neiva CPI\[VAO_DINA TERCIARIOS_CF_SEC_20230117.xlsx]CF PRBND'!</v>
      </c>
      <c r="G3142" s="6" t="s">
        <v>111</v>
      </c>
      <c r="H3142" s="1"/>
      <c r="I3142" s="1"/>
    </row>
    <row r="3143" spans="1:9" x14ac:dyDescent="0.3">
      <c r="A3143" s="6" t="s">
        <v>19</v>
      </c>
      <c r="B3143" s="6">
        <f t="shared" si="721"/>
        <v>2048</v>
      </c>
      <c r="C3143" s="1" t="s">
        <v>110</v>
      </c>
      <c r="D3143" s="2" t="s">
        <v>131</v>
      </c>
      <c r="E3143" s="9" t="str">
        <f t="shared" si="719"/>
        <v>PRBND'!</v>
      </c>
      <c r="F3143" s="5" t="str">
        <f t="shared" si="720"/>
        <v>C:\Users\jaime.benazar\Quorum Business Solutions\Ecopetrol Prometeo - Documents\Planning Space Implementation\3. Analysis &amp; Design\Design\FC22\DRR Jaime\Neiva CPI\[VAO_DINA TERCIARIOS_CF_SEC_20230117.xlsx]CF PRBND'!</v>
      </c>
      <c r="G3143" s="6" t="s">
        <v>111</v>
      </c>
      <c r="H3143" s="1"/>
      <c r="I3143" s="1"/>
    </row>
    <row r="3144" spans="1:9" x14ac:dyDescent="0.3">
      <c r="A3144" s="6" t="s">
        <v>19</v>
      </c>
      <c r="B3144" s="6">
        <f t="shared" si="721"/>
        <v>2049</v>
      </c>
      <c r="C3144" s="1" t="s">
        <v>110</v>
      </c>
      <c r="D3144" s="2" t="s">
        <v>131</v>
      </c>
      <c r="E3144" s="9" t="str">
        <f t="shared" si="719"/>
        <v>PRBND'!</v>
      </c>
      <c r="F3144" s="5" t="str">
        <f t="shared" si="720"/>
        <v>C:\Users\jaime.benazar\Quorum Business Solutions\Ecopetrol Prometeo - Documents\Planning Space Implementation\3. Analysis &amp; Design\Design\FC22\DRR Jaime\Neiva CPI\[VAO_DINA TERCIARIOS_CF_SEC_20230117.xlsx]CF PRBND'!</v>
      </c>
      <c r="G3144" s="6" t="s">
        <v>111</v>
      </c>
      <c r="H3144" s="1"/>
      <c r="I3144" s="1"/>
    </row>
    <row r="3145" spans="1:9" x14ac:dyDescent="0.3">
      <c r="A3145" s="6" t="s">
        <v>19</v>
      </c>
      <c r="B3145" s="6">
        <f t="shared" si="721"/>
        <v>2050</v>
      </c>
      <c r="C3145" s="1" t="s">
        <v>110</v>
      </c>
      <c r="D3145" s="2" t="s">
        <v>131</v>
      </c>
      <c r="E3145" s="9" t="str">
        <f t="shared" si="719"/>
        <v>PRBND'!</v>
      </c>
      <c r="F3145" s="5" t="str">
        <f t="shared" si="720"/>
        <v>C:\Users\jaime.benazar\Quorum Business Solutions\Ecopetrol Prometeo - Documents\Planning Space Implementation\3. Analysis &amp; Design\Design\FC22\DRR Jaime\Neiva CPI\[VAO_DINA TERCIARIOS_CF_SEC_20230117.xlsx]CF PRBND'!</v>
      </c>
      <c r="G3145" s="6" t="s">
        <v>111</v>
      </c>
      <c r="H3145" s="1"/>
      <c r="I3145" s="1"/>
    </row>
    <row r="3146" spans="1:9" x14ac:dyDescent="0.3">
      <c r="A3146" s="6" t="s">
        <v>19</v>
      </c>
      <c r="B3146" s="6">
        <f t="shared" si="721"/>
        <v>2051</v>
      </c>
      <c r="C3146" s="1" t="s">
        <v>110</v>
      </c>
      <c r="D3146" s="2" t="s">
        <v>131</v>
      </c>
      <c r="E3146" s="9" t="str">
        <f t="shared" si="719"/>
        <v>PRBND'!</v>
      </c>
      <c r="F3146" s="5" t="str">
        <f t="shared" si="720"/>
        <v>C:\Users\jaime.benazar\Quorum Business Solutions\Ecopetrol Prometeo - Documents\Planning Space Implementation\3. Analysis &amp; Design\Design\FC22\DRR Jaime\Neiva CPI\[VAO_DINA TERCIARIOS_CF_SEC_20230117.xlsx]CF PRBND'!</v>
      </c>
      <c r="G3146" s="6" t="s">
        <v>111</v>
      </c>
      <c r="H3146" s="1"/>
      <c r="I3146" s="1"/>
    </row>
    <row r="3147" spans="1:9" x14ac:dyDescent="0.3">
      <c r="A3147" s="6" t="s">
        <v>19</v>
      </c>
      <c r="B3147" s="6">
        <f t="shared" si="721"/>
        <v>2052</v>
      </c>
      <c r="C3147" s="1" t="s">
        <v>110</v>
      </c>
      <c r="D3147" s="2" t="s">
        <v>131</v>
      </c>
      <c r="E3147" s="9" t="str">
        <f t="shared" si="719"/>
        <v>PRBND'!</v>
      </c>
      <c r="F3147" s="5" t="str">
        <f t="shared" si="720"/>
        <v>C:\Users\jaime.benazar\Quorum Business Solutions\Ecopetrol Prometeo - Documents\Planning Space Implementation\3. Analysis &amp; Design\Design\FC22\DRR Jaime\Neiva CPI\[VAO_DINA TERCIARIOS_CF_SEC_20230117.xlsx]CF PRBND'!</v>
      </c>
      <c r="G3147" s="6" t="s">
        <v>111</v>
      </c>
      <c r="H3147" s="1"/>
      <c r="I3147" s="1"/>
    </row>
    <row r="3148" spans="1:9" x14ac:dyDescent="0.3">
      <c r="A3148" s="6" t="s">
        <v>19</v>
      </c>
      <c r="B3148" s="6">
        <f t="shared" si="721"/>
        <v>2053</v>
      </c>
      <c r="C3148" s="1" t="s">
        <v>110</v>
      </c>
      <c r="D3148" s="2" t="s">
        <v>131</v>
      </c>
      <c r="E3148" s="9" t="str">
        <f t="shared" si="719"/>
        <v>PRBND'!</v>
      </c>
      <c r="F3148" s="5" t="str">
        <f t="shared" si="720"/>
        <v>C:\Users\jaime.benazar\Quorum Business Solutions\Ecopetrol Prometeo - Documents\Planning Space Implementation\3. Analysis &amp; Design\Design\FC22\DRR Jaime\Neiva CPI\[VAO_DINA TERCIARIOS_CF_SEC_20230117.xlsx]CF PRBND'!</v>
      </c>
      <c r="G3148" s="6" t="s">
        <v>111</v>
      </c>
      <c r="H3148" s="1"/>
      <c r="I3148" s="1"/>
    </row>
    <row r="3149" spans="1:9" x14ac:dyDescent="0.3">
      <c r="A3149" s="6" t="s">
        <v>19</v>
      </c>
      <c r="B3149" s="6">
        <f t="shared" si="721"/>
        <v>2054</v>
      </c>
      <c r="C3149" s="1" t="s">
        <v>110</v>
      </c>
      <c r="D3149" s="2" t="s">
        <v>131</v>
      </c>
      <c r="E3149" s="9" t="str">
        <f t="shared" si="719"/>
        <v>PRBND'!</v>
      </c>
      <c r="F3149" s="5" t="str">
        <f t="shared" si="720"/>
        <v>C:\Users\jaime.benazar\Quorum Business Solutions\Ecopetrol Prometeo - Documents\Planning Space Implementation\3. Analysis &amp; Design\Design\FC22\DRR Jaime\Neiva CPI\[VAO_DINA TERCIARIOS_CF_SEC_20230117.xlsx]CF PRBND'!</v>
      </c>
      <c r="G3149" s="6" t="s">
        <v>111</v>
      </c>
      <c r="H3149" s="1"/>
      <c r="I3149" s="1"/>
    </row>
    <row r="3150" spans="1:9" x14ac:dyDescent="0.3">
      <c r="A3150" s="6" t="s">
        <v>19</v>
      </c>
      <c r="B3150" s="6">
        <f t="shared" si="721"/>
        <v>2055</v>
      </c>
      <c r="C3150" s="1" t="s">
        <v>110</v>
      </c>
      <c r="D3150" s="2" t="s">
        <v>131</v>
      </c>
      <c r="E3150" s="9" t="str">
        <f t="shared" si="719"/>
        <v>PRBND'!</v>
      </c>
      <c r="F3150" s="5" t="str">
        <f t="shared" si="720"/>
        <v>C:\Users\jaime.benazar\Quorum Business Solutions\Ecopetrol Prometeo - Documents\Planning Space Implementation\3. Analysis &amp; Design\Design\FC22\DRR Jaime\Neiva CPI\[VAO_DINA TERCIARIOS_CF_SEC_20230117.xlsx]CF PRBND'!</v>
      </c>
      <c r="G3150" s="6" t="s">
        <v>111</v>
      </c>
      <c r="H3150" s="1"/>
      <c r="I3150" s="1"/>
    </row>
    <row r="3151" spans="1:9" x14ac:dyDescent="0.3">
      <c r="A3151" s="6" t="s">
        <v>19</v>
      </c>
      <c r="B3151" s="6">
        <f t="shared" si="721"/>
        <v>2056</v>
      </c>
      <c r="C3151" s="1" t="s">
        <v>110</v>
      </c>
      <c r="D3151" s="2" t="s">
        <v>131</v>
      </c>
      <c r="E3151" s="9" t="str">
        <f t="shared" si="719"/>
        <v>PRBND'!</v>
      </c>
      <c r="F3151" s="5" t="str">
        <f t="shared" si="720"/>
        <v>C:\Users\jaime.benazar\Quorum Business Solutions\Ecopetrol Prometeo - Documents\Planning Space Implementation\3. Analysis &amp; Design\Design\FC22\DRR Jaime\Neiva CPI\[VAO_DINA TERCIARIOS_CF_SEC_20230117.xlsx]CF PRBND'!</v>
      </c>
      <c r="G3151" s="6" t="s">
        <v>111</v>
      </c>
      <c r="H3151" s="1"/>
      <c r="I3151" s="1"/>
    </row>
    <row r="3152" spans="1:9" x14ac:dyDescent="0.3">
      <c r="A3152" s="6" t="s">
        <v>19</v>
      </c>
      <c r="B3152" s="6">
        <f t="shared" si="721"/>
        <v>2057</v>
      </c>
      <c r="C3152" s="1" t="s">
        <v>110</v>
      </c>
      <c r="D3152" s="2" t="s">
        <v>131</v>
      </c>
      <c r="E3152" s="9" t="str">
        <f t="shared" si="719"/>
        <v>PRBND'!</v>
      </c>
      <c r="F3152" s="5" t="str">
        <f t="shared" si="720"/>
        <v>C:\Users\jaime.benazar\Quorum Business Solutions\Ecopetrol Prometeo - Documents\Planning Space Implementation\3. Analysis &amp; Design\Design\FC22\DRR Jaime\Neiva CPI\[VAO_DINA TERCIARIOS_CF_SEC_20230117.xlsx]CF PRBND'!</v>
      </c>
      <c r="G3152" s="6" t="s">
        <v>111</v>
      </c>
      <c r="H3152" s="1"/>
      <c r="I3152" s="1"/>
    </row>
    <row r="3153" spans="1:10" x14ac:dyDescent="0.3">
      <c r="A3153" s="6" t="s">
        <v>19</v>
      </c>
      <c r="B3153" s="6">
        <f t="shared" si="721"/>
        <v>2058</v>
      </c>
      <c r="C3153" s="1" t="s">
        <v>110</v>
      </c>
      <c r="D3153" s="2" t="s">
        <v>131</v>
      </c>
      <c r="E3153" s="9" t="str">
        <f t="shared" si="719"/>
        <v>PRBND'!</v>
      </c>
      <c r="F3153" s="5" t="str">
        <f t="shared" si="720"/>
        <v>C:\Users\jaime.benazar\Quorum Business Solutions\Ecopetrol Prometeo - Documents\Planning Space Implementation\3. Analysis &amp; Design\Design\FC22\DRR Jaime\Neiva CPI\[VAO_DINA TERCIARIOS_CF_SEC_20230117.xlsx]CF PRBND'!</v>
      </c>
      <c r="G3153" s="6" t="s">
        <v>111</v>
      </c>
      <c r="H3153" s="1"/>
      <c r="I3153" s="1"/>
    </row>
    <row r="3154" spans="1:10" x14ac:dyDescent="0.3">
      <c r="A3154" s="6" t="s">
        <v>19</v>
      </c>
      <c r="B3154" s="6">
        <f t="shared" si="721"/>
        <v>2059</v>
      </c>
      <c r="C3154" s="1" t="s">
        <v>110</v>
      </c>
      <c r="D3154" s="2" t="s">
        <v>131</v>
      </c>
      <c r="E3154" s="9" t="str">
        <f t="shared" si="719"/>
        <v>PRBND'!</v>
      </c>
      <c r="F3154" s="5" t="str">
        <f t="shared" si="720"/>
        <v>C:\Users\jaime.benazar\Quorum Business Solutions\Ecopetrol Prometeo - Documents\Planning Space Implementation\3. Analysis &amp; Design\Design\FC22\DRR Jaime\Neiva CPI\[VAO_DINA TERCIARIOS_CF_SEC_20230117.xlsx]CF PRBND'!</v>
      </c>
      <c r="G3154" s="6" t="s">
        <v>111</v>
      </c>
      <c r="H3154" s="1"/>
      <c r="I3154" s="1"/>
    </row>
    <row r="3155" spans="1:10" x14ac:dyDescent="0.3">
      <c r="A3155" s="7" t="s">
        <v>26</v>
      </c>
      <c r="B3155" s="6"/>
      <c r="C3155" s="1" t="s">
        <v>110</v>
      </c>
      <c r="D3155" s="2"/>
      <c r="E3155" s="9"/>
      <c r="F3155" s="5"/>
      <c r="G3155" s="6"/>
      <c r="H3155" s="1"/>
      <c r="I3155" s="1"/>
    </row>
    <row r="3156" spans="1:10" x14ac:dyDescent="0.3">
      <c r="A3156" s="6" t="s">
        <v>20</v>
      </c>
      <c r="B3156" s="6">
        <v>2023</v>
      </c>
      <c r="C3156" s="1" t="s">
        <v>110</v>
      </c>
      <c r="D3156" s="2" t="s">
        <v>131</v>
      </c>
      <c r="E3156" s="9" t="str">
        <f t="shared" si="690"/>
        <v>PRB'!</v>
      </c>
      <c r="F3156" s="5" t="str">
        <f t="shared" ref="F3156:F3176" si="722">_xlfn.CONCAT(D3156," ",E3156)</f>
        <v>C:\Users\jaime.benazar\Quorum Business Solutions\Ecopetrol Prometeo - Documents\Planning Space Implementation\3. Analysis &amp; Design\Design\FC22\DRR Jaime\Neiva CPI\[VAO_DINA TERCIARIOS_CF_SEC_20230117.xlsx]CF PRB'!</v>
      </c>
      <c r="G3156" s="6" t="s">
        <v>111</v>
      </c>
      <c r="H3156" s="1">
        <f>IF(A3156&lt;&gt;A3026,36,H3026+1)</f>
        <v>36</v>
      </c>
      <c r="I3156" s="1" t="str">
        <f t="shared" si="691"/>
        <v>='C:\Users\jaime.benazar\Quorum Business Solutions\Ecopetrol Prometeo - Documents\Planning Space Implementation\3. Analysis &amp; Design\Design\FC22\DRR Jaime\Neiva CPI\[VAO_DINA TERCIARIOS_CF_SEC_20230117.xlsx]CF PRB'!$DI$36</v>
      </c>
      <c r="J3156" t="s">
        <v>1538</v>
      </c>
    </row>
    <row r="3157" spans="1:10" x14ac:dyDescent="0.3">
      <c r="A3157" s="6" t="s">
        <v>20</v>
      </c>
      <c r="B3157" s="6">
        <f>+B3156+1</f>
        <v>2024</v>
      </c>
      <c r="C3157" s="1" t="s">
        <v>110</v>
      </c>
      <c r="D3157" s="2" t="s">
        <v>131</v>
      </c>
      <c r="E3157" s="9" t="str">
        <f t="shared" si="690"/>
        <v>PRB'!</v>
      </c>
      <c r="F3157" s="5" t="str">
        <f t="shared" si="722"/>
        <v>C:\Users\jaime.benazar\Quorum Business Solutions\Ecopetrol Prometeo - Documents\Planning Space Implementation\3. Analysis &amp; Design\Design\FC22\DRR Jaime\Neiva CPI\[VAO_DINA TERCIARIOS_CF_SEC_20230117.xlsx]CF PRB'!</v>
      </c>
      <c r="G3157" s="6" t="s">
        <v>111</v>
      </c>
      <c r="H3157" s="1">
        <f t="shared" si="692"/>
        <v>37</v>
      </c>
      <c r="I3157" s="1" t="str">
        <f t="shared" si="691"/>
        <v>='C:\Users\jaime.benazar\Quorum Business Solutions\Ecopetrol Prometeo - Documents\Planning Space Implementation\3. Analysis &amp; Design\Design\FC22\DRR Jaime\Neiva CPI\[VAO_DINA TERCIARIOS_CF_SEC_20230117.xlsx]CF PRB'!$DI$37</v>
      </c>
      <c r="J3157" t="s">
        <v>1539</v>
      </c>
    </row>
    <row r="3158" spans="1:10" x14ac:dyDescent="0.3">
      <c r="A3158" s="6" t="s">
        <v>20</v>
      </c>
      <c r="B3158" s="6">
        <f t="shared" ref="B3158:B3169" si="723">+B3157+1</f>
        <v>2025</v>
      </c>
      <c r="C3158" s="1" t="s">
        <v>110</v>
      </c>
      <c r="D3158" s="2" t="s">
        <v>131</v>
      </c>
      <c r="E3158" s="9" t="str">
        <f t="shared" si="690"/>
        <v>PRB'!</v>
      </c>
      <c r="F3158" s="5" t="str">
        <f t="shared" si="722"/>
        <v>C:\Users\jaime.benazar\Quorum Business Solutions\Ecopetrol Prometeo - Documents\Planning Space Implementation\3. Analysis &amp; Design\Design\FC22\DRR Jaime\Neiva CPI\[VAO_DINA TERCIARIOS_CF_SEC_20230117.xlsx]CF PRB'!</v>
      </c>
      <c r="G3158" s="6" t="s">
        <v>111</v>
      </c>
      <c r="H3158" s="1">
        <f t="shared" si="692"/>
        <v>38</v>
      </c>
      <c r="I3158" s="1" t="str">
        <f t="shared" si="691"/>
        <v>='C:\Users\jaime.benazar\Quorum Business Solutions\Ecopetrol Prometeo - Documents\Planning Space Implementation\3. Analysis &amp; Design\Design\FC22\DRR Jaime\Neiva CPI\[VAO_DINA TERCIARIOS_CF_SEC_20230117.xlsx]CF PRB'!$DI$38</v>
      </c>
      <c r="J3158" t="s">
        <v>1540</v>
      </c>
    </row>
    <row r="3159" spans="1:10" x14ac:dyDescent="0.3">
      <c r="A3159" s="6" t="s">
        <v>20</v>
      </c>
      <c r="B3159" s="6">
        <f t="shared" si="723"/>
        <v>2026</v>
      </c>
      <c r="C3159" s="1" t="s">
        <v>110</v>
      </c>
      <c r="D3159" s="2" t="s">
        <v>131</v>
      </c>
      <c r="E3159" s="9" t="str">
        <f t="shared" si="690"/>
        <v>PRB'!</v>
      </c>
      <c r="F3159" s="5" t="str">
        <f t="shared" si="722"/>
        <v>C:\Users\jaime.benazar\Quorum Business Solutions\Ecopetrol Prometeo - Documents\Planning Space Implementation\3. Analysis &amp; Design\Design\FC22\DRR Jaime\Neiva CPI\[VAO_DINA TERCIARIOS_CF_SEC_20230117.xlsx]CF PRB'!</v>
      </c>
      <c r="G3159" s="6" t="s">
        <v>111</v>
      </c>
      <c r="H3159" s="1">
        <f t="shared" si="692"/>
        <v>39</v>
      </c>
      <c r="I3159" s="1" t="str">
        <f t="shared" si="691"/>
        <v>='C:\Users\jaime.benazar\Quorum Business Solutions\Ecopetrol Prometeo - Documents\Planning Space Implementation\3. Analysis &amp; Design\Design\FC22\DRR Jaime\Neiva CPI\[VAO_DINA TERCIARIOS_CF_SEC_20230117.xlsx]CF PRB'!$DI$39</v>
      </c>
      <c r="J3159" t="s">
        <v>1541</v>
      </c>
    </row>
    <row r="3160" spans="1:10" x14ac:dyDescent="0.3">
      <c r="A3160" s="6" t="s">
        <v>20</v>
      </c>
      <c r="B3160" s="6">
        <f t="shared" si="723"/>
        <v>2027</v>
      </c>
      <c r="C3160" s="1" t="s">
        <v>110</v>
      </c>
      <c r="D3160" s="2" t="s">
        <v>131</v>
      </c>
      <c r="E3160" s="9" t="str">
        <f t="shared" si="690"/>
        <v>PRB'!</v>
      </c>
      <c r="F3160" s="5" t="str">
        <f t="shared" si="722"/>
        <v>C:\Users\jaime.benazar\Quorum Business Solutions\Ecopetrol Prometeo - Documents\Planning Space Implementation\3. Analysis &amp; Design\Design\FC22\DRR Jaime\Neiva CPI\[VAO_DINA TERCIARIOS_CF_SEC_20230117.xlsx]CF PRB'!</v>
      </c>
      <c r="G3160" s="6" t="s">
        <v>111</v>
      </c>
      <c r="H3160" s="1">
        <f t="shared" si="692"/>
        <v>40</v>
      </c>
      <c r="I3160" s="1" t="str">
        <f t="shared" si="691"/>
        <v>='C:\Users\jaime.benazar\Quorum Business Solutions\Ecopetrol Prometeo - Documents\Planning Space Implementation\3. Analysis &amp; Design\Design\FC22\DRR Jaime\Neiva CPI\[VAO_DINA TERCIARIOS_CF_SEC_20230117.xlsx]CF PRB'!$DI$40</v>
      </c>
      <c r="J3160" t="s">
        <v>1542</v>
      </c>
    </row>
    <row r="3161" spans="1:10" x14ac:dyDescent="0.3">
      <c r="A3161" s="6" t="s">
        <v>20</v>
      </c>
      <c r="B3161" s="6">
        <f t="shared" si="723"/>
        <v>2028</v>
      </c>
      <c r="C3161" s="1" t="s">
        <v>110</v>
      </c>
      <c r="D3161" s="2" t="s">
        <v>131</v>
      </c>
      <c r="E3161" s="9" t="str">
        <f t="shared" si="690"/>
        <v>PRB'!</v>
      </c>
      <c r="F3161" s="5" t="str">
        <f t="shared" si="722"/>
        <v>C:\Users\jaime.benazar\Quorum Business Solutions\Ecopetrol Prometeo - Documents\Planning Space Implementation\3. Analysis &amp; Design\Design\FC22\DRR Jaime\Neiva CPI\[VAO_DINA TERCIARIOS_CF_SEC_20230117.xlsx]CF PRB'!</v>
      </c>
      <c r="G3161" s="6" t="s">
        <v>111</v>
      </c>
      <c r="H3161" s="1">
        <f t="shared" si="692"/>
        <v>41</v>
      </c>
      <c r="I3161" s="1" t="str">
        <f t="shared" si="691"/>
        <v>='C:\Users\jaime.benazar\Quorum Business Solutions\Ecopetrol Prometeo - Documents\Planning Space Implementation\3. Analysis &amp; Design\Design\FC22\DRR Jaime\Neiva CPI\[VAO_DINA TERCIARIOS_CF_SEC_20230117.xlsx]CF PRB'!$DI$41</v>
      </c>
      <c r="J3161" t="s">
        <v>1543</v>
      </c>
    </row>
    <row r="3162" spans="1:10" x14ac:dyDescent="0.3">
      <c r="A3162" s="6" t="s">
        <v>20</v>
      </c>
      <c r="B3162" s="6">
        <f t="shared" si="723"/>
        <v>2029</v>
      </c>
      <c r="C3162" s="1" t="s">
        <v>110</v>
      </c>
      <c r="D3162" s="2" t="s">
        <v>131</v>
      </c>
      <c r="E3162" s="9" t="str">
        <f t="shared" si="690"/>
        <v>PRB'!</v>
      </c>
      <c r="F3162" s="5" t="str">
        <f t="shared" si="722"/>
        <v>C:\Users\jaime.benazar\Quorum Business Solutions\Ecopetrol Prometeo - Documents\Planning Space Implementation\3. Analysis &amp; Design\Design\FC22\DRR Jaime\Neiva CPI\[VAO_DINA TERCIARIOS_CF_SEC_20230117.xlsx]CF PRB'!</v>
      </c>
      <c r="G3162" s="6" t="s">
        <v>111</v>
      </c>
      <c r="H3162" s="1">
        <f t="shared" si="692"/>
        <v>42</v>
      </c>
      <c r="I3162" s="1" t="str">
        <f t="shared" si="691"/>
        <v>='C:\Users\jaime.benazar\Quorum Business Solutions\Ecopetrol Prometeo - Documents\Planning Space Implementation\3. Analysis &amp; Design\Design\FC22\DRR Jaime\Neiva CPI\[VAO_DINA TERCIARIOS_CF_SEC_20230117.xlsx]CF PRB'!$DI$42</v>
      </c>
      <c r="J3162" t="s">
        <v>1544</v>
      </c>
    </row>
    <row r="3163" spans="1:10" x14ac:dyDescent="0.3">
      <c r="A3163" s="6" t="s">
        <v>20</v>
      </c>
      <c r="B3163" s="6">
        <f t="shared" si="723"/>
        <v>2030</v>
      </c>
      <c r="C3163" s="1" t="s">
        <v>110</v>
      </c>
      <c r="D3163" s="2" t="s">
        <v>131</v>
      </c>
      <c r="E3163" s="9" t="str">
        <f t="shared" si="690"/>
        <v>PRB'!</v>
      </c>
      <c r="F3163" s="5" t="str">
        <f t="shared" si="722"/>
        <v>C:\Users\jaime.benazar\Quorum Business Solutions\Ecopetrol Prometeo - Documents\Planning Space Implementation\3. Analysis &amp; Design\Design\FC22\DRR Jaime\Neiva CPI\[VAO_DINA TERCIARIOS_CF_SEC_20230117.xlsx]CF PRB'!</v>
      </c>
      <c r="G3163" s="6" t="s">
        <v>111</v>
      </c>
      <c r="H3163" s="1">
        <f t="shared" si="692"/>
        <v>43</v>
      </c>
      <c r="I3163" s="1" t="str">
        <f t="shared" si="691"/>
        <v>='C:\Users\jaime.benazar\Quorum Business Solutions\Ecopetrol Prometeo - Documents\Planning Space Implementation\3. Analysis &amp; Design\Design\FC22\DRR Jaime\Neiva CPI\[VAO_DINA TERCIARIOS_CF_SEC_20230117.xlsx]CF PRB'!$DI$43</v>
      </c>
      <c r="J3163" t="s">
        <v>1545</v>
      </c>
    </row>
    <row r="3164" spans="1:10" x14ac:dyDescent="0.3">
      <c r="A3164" s="6" t="s">
        <v>20</v>
      </c>
      <c r="B3164" s="6">
        <f t="shared" si="723"/>
        <v>2031</v>
      </c>
      <c r="C3164" s="1" t="s">
        <v>110</v>
      </c>
      <c r="D3164" s="2" t="s">
        <v>131</v>
      </c>
      <c r="E3164" s="9" t="str">
        <f t="shared" si="690"/>
        <v>PRB'!</v>
      </c>
      <c r="F3164" s="5" t="str">
        <f t="shared" si="722"/>
        <v>C:\Users\jaime.benazar\Quorum Business Solutions\Ecopetrol Prometeo - Documents\Planning Space Implementation\3. Analysis &amp; Design\Design\FC22\DRR Jaime\Neiva CPI\[VAO_DINA TERCIARIOS_CF_SEC_20230117.xlsx]CF PRB'!</v>
      </c>
      <c r="G3164" s="6" t="s">
        <v>111</v>
      </c>
      <c r="H3164" s="1">
        <f t="shared" si="692"/>
        <v>44</v>
      </c>
      <c r="I3164" s="1" t="str">
        <f t="shared" si="691"/>
        <v>='C:\Users\jaime.benazar\Quorum Business Solutions\Ecopetrol Prometeo - Documents\Planning Space Implementation\3. Analysis &amp; Design\Design\FC22\DRR Jaime\Neiva CPI\[VAO_DINA TERCIARIOS_CF_SEC_20230117.xlsx]CF PRB'!$DI$44</v>
      </c>
      <c r="J3164" t="s">
        <v>1546</v>
      </c>
    </row>
    <row r="3165" spans="1:10" x14ac:dyDescent="0.3">
      <c r="A3165" s="6" t="s">
        <v>20</v>
      </c>
      <c r="B3165" s="6">
        <f t="shared" si="723"/>
        <v>2032</v>
      </c>
      <c r="C3165" s="1" t="s">
        <v>110</v>
      </c>
      <c r="D3165" s="2" t="s">
        <v>131</v>
      </c>
      <c r="E3165" s="9" t="str">
        <f t="shared" si="690"/>
        <v>PRB'!</v>
      </c>
      <c r="F3165" s="5" t="str">
        <f t="shared" si="722"/>
        <v>C:\Users\jaime.benazar\Quorum Business Solutions\Ecopetrol Prometeo - Documents\Planning Space Implementation\3. Analysis &amp; Design\Design\FC22\DRR Jaime\Neiva CPI\[VAO_DINA TERCIARIOS_CF_SEC_20230117.xlsx]CF PRB'!</v>
      </c>
      <c r="G3165" s="6" t="s">
        <v>111</v>
      </c>
      <c r="H3165" s="1">
        <f t="shared" si="692"/>
        <v>45</v>
      </c>
      <c r="I3165" s="1" t="str">
        <f t="shared" si="691"/>
        <v>='C:\Users\jaime.benazar\Quorum Business Solutions\Ecopetrol Prometeo - Documents\Planning Space Implementation\3. Analysis &amp; Design\Design\FC22\DRR Jaime\Neiva CPI\[VAO_DINA TERCIARIOS_CF_SEC_20230117.xlsx]CF PRB'!$DI$45</v>
      </c>
      <c r="J3165" t="s">
        <v>1547</v>
      </c>
    </row>
    <row r="3166" spans="1:10" x14ac:dyDescent="0.3">
      <c r="A3166" s="6" t="s">
        <v>20</v>
      </c>
      <c r="B3166" s="6">
        <f t="shared" si="723"/>
        <v>2033</v>
      </c>
      <c r="C3166" s="1" t="s">
        <v>110</v>
      </c>
      <c r="D3166" s="2" t="s">
        <v>131</v>
      </c>
      <c r="E3166" s="9" t="str">
        <f t="shared" si="690"/>
        <v>PRB'!</v>
      </c>
      <c r="F3166" s="5" t="str">
        <f t="shared" si="722"/>
        <v>C:\Users\jaime.benazar\Quorum Business Solutions\Ecopetrol Prometeo - Documents\Planning Space Implementation\3. Analysis &amp; Design\Design\FC22\DRR Jaime\Neiva CPI\[VAO_DINA TERCIARIOS_CF_SEC_20230117.xlsx]CF PRB'!</v>
      </c>
      <c r="G3166" s="6" t="s">
        <v>111</v>
      </c>
      <c r="H3166" s="1">
        <f t="shared" si="692"/>
        <v>46</v>
      </c>
      <c r="I3166" s="1" t="str">
        <f t="shared" si="691"/>
        <v>='C:\Users\jaime.benazar\Quorum Business Solutions\Ecopetrol Prometeo - Documents\Planning Space Implementation\3. Analysis &amp; Design\Design\FC22\DRR Jaime\Neiva CPI\[VAO_DINA TERCIARIOS_CF_SEC_20230117.xlsx]CF PRB'!$DI$46</v>
      </c>
      <c r="J3166" t="s">
        <v>1548</v>
      </c>
    </row>
    <row r="3167" spans="1:10" x14ac:dyDescent="0.3">
      <c r="A3167" s="6" t="s">
        <v>20</v>
      </c>
      <c r="B3167" s="6">
        <f t="shared" si="723"/>
        <v>2034</v>
      </c>
      <c r="C3167" s="1" t="s">
        <v>110</v>
      </c>
      <c r="D3167" s="2" t="s">
        <v>131</v>
      </c>
      <c r="E3167" s="9" t="str">
        <f t="shared" si="690"/>
        <v>PRB'!</v>
      </c>
      <c r="F3167" s="5" t="str">
        <f t="shared" si="722"/>
        <v>C:\Users\jaime.benazar\Quorum Business Solutions\Ecopetrol Prometeo - Documents\Planning Space Implementation\3. Analysis &amp; Design\Design\FC22\DRR Jaime\Neiva CPI\[VAO_DINA TERCIARIOS_CF_SEC_20230117.xlsx]CF PRB'!</v>
      </c>
      <c r="G3167" s="6" t="s">
        <v>111</v>
      </c>
      <c r="H3167" s="1">
        <f t="shared" si="692"/>
        <v>47</v>
      </c>
      <c r="I3167" s="1" t="str">
        <f t="shared" si="691"/>
        <v>='C:\Users\jaime.benazar\Quorum Business Solutions\Ecopetrol Prometeo - Documents\Planning Space Implementation\3. Analysis &amp; Design\Design\FC22\DRR Jaime\Neiva CPI\[VAO_DINA TERCIARIOS_CF_SEC_20230117.xlsx]CF PRB'!$DI$47</v>
      </c>
      <c r="J3167" t="s">
        <v>1549</v>
      </c>
    </row>
    <row r="3168" spans="1:10" x14ac:dyDescent="0.3">
      <c r="A3168" s="6" t="s">
        <v>20</v>
      </c>
      <c r="B3168" s="6">
        <f t="shared" si="723"/>
        <v>2035</v>
      </c>
      <c r="C3168" s="1" t="s">
        <v>110</v>
      </c>
      <c r="D3168" s="2" t="s">
        <v>131</v>
      </c>
      <c r="E3168" s="9" t="str">
        <f t="shared" si="690"/>
        <v>PRB'!</v>
      </c>
      <c r="F3168" s="5" t="str">
        <f t="shared" si="722"/>
        <v>C:\Users\jaime.benazar\Quorum Business Solutions\Ecopetrol Prometeo - Documents\Planning Space Implementation\3. Analysis &amp; Design\Design\FC22\DRR Jaime\Neiva CPI\[VAO_DINA TERCIARIOS_CF_SEC_20230117.xlsx]CF PRB'!</v>
      </c>
      <c r="G3168" s="6" t="s">
        <v>111</v>
      </c>
      <c r="H3168" s="1">
        <f t="shared" si="692"/>
        <v>48</v>
      </c>
      <c r="I3168" s="1" t="str">
        <f t="shared" si="691"/>
        <v>='C:\Users\jaime.benazar\Quorum Business Solutions\Ecopetrol Prometeo - Documents\Planning Space Implementation\3. Analysis &amp; Design\Design\FC22\DRR Jaime\Neiva CPI\[VAO_DINA TERCIARIOS_CF_SEC_20230117.xlsx]CF PRB'!$DI$48</v>
      </c>
      <c r="J3168" t="s">
        <v>1550</v>
      </c>
    </row>
    <row r="3169" spans="1:10" x14ac:dyDescent="0.3">
      <c r="A3169" s="6" t="s">
        <v>20</v>
      </c>
      <c r="B3169" s="6">
        <f t="shared" si="723"/>
        <v>2036</v>
      </c>
      <c r="C3169" s="1" t="s">
        <v>110</v>
      </c>
      <c r="D3169" s="2" t="s">
        <v>131</v>
      </c>
      <c r="E3169" s="9" t="str">
        <f t="shared" si="690"/>
        <v>PRB'!</v>
      </c>
      <c r="F3169" s="5" t="str">
        <f t="shared" si="722"/>
        <v>C:\Users\jaime.benazar\Quorum Business Solutions\Ecopetrol Prometeo - Documents\Planning Space Implementation\3. Analysis &amp; Design\Design\FC22\DRR Jaime\Neiva CPI\[VAO_DINA TERCIARIOS_CF_SEC_20230117.xlsx]CF PRB'!</v>
      </c>
      <c r="G3169" s="6" t="s">
        <v>111</v>
      </c>
      <c r="H3169" s="1">
        <f t="shared" si="692"/>
        <v>49</v>
      </c>
      <c r="I3169" s="1" t="str">
        <f t="shared" si="691"/>
        <v>='C:\Users\jaime.benazar\Quorum Business Solutions\Ecopetrol Prometeo - Documents\Planning Space Implementation\3. Analysis &amp; Design\Design\FC22\DRR Jaime\Neiva CPI\[VAO_DINA TERCIARIOS_CF_SEC_20230117.xlsx]CF PRB'!$DI$49</v>
      </c>
      <c r="J3169" t="s">
        <v>1551</v>
      </c>
    </row>
    <row r="3170" spans="1:10" x14ac:dyDescent="0.3">
      <c r="A3170" s="6" t="s">
        <v>20</v>
      </c>
      <c r="B3170" s="6">
        <f>+B3169+1</f>
        <v>2037</v>
      </c>
      <c r="C3170" s="1" t="s">
        <v>110</v>
      </c>
      <c r="D3170" s="2" t="s">
        <v>131</v>
      </c>
      <c r="E3170" s="9" t="str">
        <f t="shared" si="690"/>
        <v>PRB'!</v>
      </c>
      <c r="F3170" s="5" t="str">
        <f t="shared" si="722"/>
        <v>C:\Users\jaime.benazar\Quorum Business Solutions\Ecopetrol Prometeo - Documents\Planning Space Implementation\3. Analysis &amp; Design\Design\FC22\DRR Jaime\Neiva CPI\[VAO_DINA TERCIARIOS_CF_SEC_20230117.xlsx]CF PRB'!</v>
      </c>
      <c r="G3170" s="6" t="s">
        <v>111</v>
      </c>
      <c r="H3170" s="1">
        <f t="shared" si="692"/>
        <v>50</v>
      </c>
      <c r="I3170" s="1" t="str">
        <f t="shared" si="691"/>
        <v>='C:\Users\jaime.benazar\Quorum Business Solutions\Ecopetrol Prometeo - Documents\Planning Space Implementation\3. Analysis &amp; Design\Design\FC22\DRR Jaime\Neiva CPI\[VAO_DINA TERCIARIOS_CF_SEC_20230117.xlsx]CF PRB'!$DI$50</v>
      </c>
      <c r="J3170" t="s">
        <v>1552</v>
      </c>
    </row>
    <row r="3171" spans="1:10" x14ac:dyDescent="0.3">
      <c r="A3171" s="6" t="s">
        <v>20</v>
      </c>
      <c r="B3171" s="6">
        <f t="shared" ref="B3171:B3173" si="724">+B3170+1</f>
        <v>2038</v>
      </c>
      <c r="C3171" s="1" t="s">
        <v>110</v>
      </c>
      <c r="D3171" s="2" t="s">
        <v>131</v>
      </c>
      <c r="E3171" s="9" t="str">
        <f t="shared" si="690"/>
        <v>PRB'!</v>
      </c>
      <c r="F3171" s="5" t="str">
        <f t="shared" si="722"/>
        <v>C:\Users\jaime.benazar\Quorum Business Solutions\Ecopetrol Prometeo - Documents\Planning Space Implementation\3. Analysis &amp; Design\Design\FC22\DRR Jaime\Neiva CPI\[VAO_DINA TERCIARIOS_CF_SEC_20230117.xlsx]CF PRB'!</v>
      </c>
      <c r="G3171" s="6" t="s">
        <v>111</v>
      </c>
      <c r="H3171" s="1">
        <f t="shared" si="692"/>
        <v>51</v>
      </c>
      <c r="I3171" s="1" t="str">
        <f t="shared" si="691"/>
        <v>='C:\Users\jaime.benazar\Quorum Business Solutions\Ecopetrol Prometeo - Documents\Planning Space Implementation\3. Analysis &amp; Design\Design\FC22\DRR Jaime\Neiva CPI\[VAO_DINA TERCIARIOS_CF_SEC_20230117.xlsx]CF PRB'!$DI$51</v>
      </c>
      <c r="J3171" t="s">
        <v>1553</v>
      </c>
    </row>
    <row r="3172" spans="1:10" x14ac:dyDescent="0.3">
      <c r="A3172" s="6" t="s">
        <v>20</v>
      </c>
      <c r="B3172" s="6">
        <f t="shared" si="724"/>
        <v>2039</v>
      </c>
      <c r="C3172" s="1" t="s">
        <v>110</v>
      </c>
      <c r="D3172" s="2" t="s">
        <v>131</v>
      </c>
      <c r="E3172" s="9" t="str">
        <f t="shared" si="690"/>
        <v>PRB'!</v>
      </c>
      <c r="F3172" s="5" t="str">
        <f t="shared" si="722"/>
        <v>C:\Users\jaime.benazar\Quorum Business Solutions\Ecopetrol Prometeo - Documents\Planning Space Implementation\3. Analysis &amp; Design\Design\FC22\DRR Jaime\Neiva CPI\[VAO_DINA TERCIARIOS_CF_SEC_20230117.xlsx]CF PRB'!</v>
      </c>
      <c r="G3172" s="6" t="s">
        <v>111</v>
      </c>
      <c r="H3172" s="1">
        <f t="shared" si="692"/>
        <v>52</v>
      </c>
      <c r="I3172" s="1" t="str">
        <f t="shared" si="691"/>
        <v>='C:\Users\jaime.benazar\Quorum Business Solutions\Ecopetrol Prometeo - Documents\Planning Space Implementation\3. Analysis &amp; Design\Design\FC22\DRR Jaime\Neiva CPI\[VAO_DINA TERCIARIOS_CF_SEC_20230117.xlsx]CF PRB'!$DI$52</v>
      </c>
      <c r="J3172" t="s">
        <v>1554</v>
      </c>
    </row>
    <row r="3173" spans="1:10" x14ac:dyDescent="0.3">
      <c r="A3173" s="6" t="s">
        <v>20</v>
      </c>
      <c r="B3173" s="6">
        <f t="shared" si="724"/>
        <v>2040</v>
      </c>
      <c r="C3173" s="1" t="s">
        <v>110</v>
      </c>
      <c r="D3173" s="2" t="s">
        <v>131</v>
      </c>
      <c r="E3173" s="9" t="str">
        <f t="shared" si="690"/>
        <v>PRB'!</v>
      </c>
      <c r="F3173" s="5" t="str">
        <f t="shared" si="722"/>
        <v>C:\Users\jaime.benazar\Quorum Business Solutions\Ecopetrol Prometeo - Documents\Planning Space Implementation\3. Analysis &amp; Design\Design\FC22\DRR Jaime\Neiva CPI\[VAO_DINA TERCIARIOS_CF_SEC_20230117.xlsx]CF PRB'!</v>
      </c>
      <c r="G3173" s="6" t="s">
        <v>111</v>
      </c>
      <c r="H3173" s="1">
        <f t="shared" si="692"/>
        <v>53</v>
      </c>
      <c r="I3173" s="1" t="str">
        <f t="shared" si="691"/>
        <v>='C:\Users\jaime.benazar\Quorum Business Solutions\Ecopetrol Prometeo - Documents\Planning Space Implementation\3. Analysis &amp; Design\Design\FC22\DRR Jaime\Neiva CPI\[VAO_DINA TERCIARIOS_CF_SEC_20230117.xlsx]CF PRB'!$DI$53</v>
      </c>
      <c r="J3173" t="s">
        <v>1555</v>
      </c>
    </row>
    <row r="3174" spans="1:10" x14ac:dyDescent="0.3">
      <c r="A3174" s="6" t="s">
        <v>20</v>
      </c>
      <c r="B3174" s="6">
        <f>+B3173+1</f>
        <v>2041</v>
      </c>
      <c r="C3174" s="1" t="s">
        <v>110</v>
      </c>
      <c r="D3174" s="2" t="s">
        <v>131</v>
      </c>
      <c r="E3174" s="9" t="str">
        <f t="shared" si="690"/>
        <v>PRB'!</v>
      </c>
      <c r="F3174" s="5" t="str">
        <f t="shared" si="722"/>
        <v>C:\Users\jaime.benazar\Quorum Business Solutions\Ecopetrol Prometeo - Documents\Planning Space Implementation\3. Analysis &amp; Design\Design\FC22\DRR Jaime\Neiva CPI\[VAO_DINA TERCIARIOS_CF_SEC_20230117.xlsx]CF PRB'!</v>
      </c>
      <c r="G3174" s="6" t="s">
        <v>111</v>
      </c>
      <c r="H3174" s="1">
        <f t="shared" si="692"/>
        <v>54</v>
      </c>
      <c r="I3174" s="1" t="str">
        <f t="shared" si="691"/>
        <v>='C:\Users\jaime.benazar\Quorum Business Solutions\Ecopetrol Prometeo - Documents\Planning Space Implementation\3. Analysis &amp; Design\Design\FC22\DRR Jaime\Neiva CPI\[VAO_DINA TERCIARIOS_CF_SEC_20230117.xlsx]CF PRB'!$DI$54</v>
      </c>
      <c r="J3174" t="s">
        <v>1556</v>
      </c>
    </row>
    <row r="3175" spans="1:10" x14ac:dyDescent="0.3">
      <c r="A3175" s="6" t="s">
        <v>20</v>
      </c>
      <c r="B3175" s="6">
        <f t="shared" ref="B3175:B3176" si="725">+B3174+1</f>
        <v>2042</v>
      </c>
      <c r="C3175" s="1" t="s">
        <v>110</v>
      </c>
      <c r="D3175" s="2" t="s">
        <v>131</v>
      </c>
      <c r="E3175" s="9" t="str">
        <f t="shared" si="690"/>
        <v>PRB'!</v>
      </c>
      <c r="F3175" s="5" t="str">
        <f t="shared" si="722"/>
        <v>C:\Users\jaime.benazar\Quorum Business Solutions\Ecopetrol Prometeo - Documents\Planning Space Implementation\3. Analysis &amp; Design\Design\FC22\DRR Jaime\Neiva CPI\[VAO_DINA TERCIARIOS_CF_SEC_20230117.xlsx]CF PRB'!</v>
      </c>
      <c r="G3175" s="6" t="s">
        <v>111</v>
      </c>
      <c r="H3175" s="1">
        <f t="shared" si="692"/>
        <v>55</v>
      </c>
      <c r="I3175" s="1" t="str">
        <f t="shared" si="691"/>
        <v>='C:\Users\jaime.benazar\Quorum Business Solutions\Ecopetrol Prometeo - Documents\Planning Space Implementation\3. Analysis &amp; Design\Design\FC22\DRR Jaime\Neiva CPI\[VAO_DINA TERCIARIOS_CF_SEC_20230117.xlsx]CF PRB'!$DI$55</v>
      </c>
      <c r="J3175" t="s">
        <v>1557</v>
      </c>
    </row>
    <row r="3176" spans="1:10" x14ac:dyDescent="0.3">
      <c r="A3176" s="6" t="s">
        <v>20</v>
      </c>
      <c r="B3176" s="6">
        <f t="shared" si="725"/>
        <v>2043</v>
      </c>
      <c r="C3176" s="1" t="s">
        <v>110</v>
      </c>
      <c r="D3176" s="2" t="s">
        <v>131</v>
      </c>
      <c r="E3176" s="9" t="str">
        <f t="shared" si="690"/>
        <v>PRB'!</v>
      </c>
      <c r="F3176" s="5" t="str">
        <f t="shared" si="722"/>
        <v>C:\Users\jaime.benazar\Quorum Business Solutions\Ecopetrol Prometeo - Documents\Planning Space Implementation\3. Analysis &amp; Design\Design\FC22\DRR Jaime\Neiva CPI\[VAO_DINA TERCIARIOS_CF_SEC_20230117.xlsx]CF PRB'!</v>
      </c>
      <c r="G3176" s="6" t="s">
        <v>111</v>
      </c>
      <c r="H3176" s="1">
        <f t="shared" si="692"/>
        <v>56</v>
      </c>
      <c r="I3176" s="1" t="str">
        <f t="shared" si="691"/>
        <v>='C:\Users\jaime.benazar\Quorum Business Solutions\Ecopetrol Prometeo - Documents\Planning Space Implementation\3. Analysis &amp; Design\Design\FC22\DRR Jaime\Neiva CPI\[VAO_DINA TERCIARIOS_CF_SEC_20230117.xlsx]CF PRB'!$DI$56</v>
      </c>
      <c r="J3176" t="s">
        <v>1558</v>
      </c>
    </row>
    <row r="3177" spans="1:10" x14ac:dyDescent="0.3">
      <c r="A3177" s="6" t="s">
        <v>20</v>
      </c>
      <c r="B3177" s="6">
        <f>+B3176+1</f>
        <v>2044</v>
      </c>
      <c r="C3177" s="1" t="s">
        <v>110</v>
      </c>
      <c r="D3177" s="2" t="s">
        <v>131</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Jaime\Neiva CPI\[VAO_DINA TERCIARIOS_CF_SEC_20230117.xlsx]CF PRB'!</v>
      </c>
      <c r="G3177" s="6" t="s">
        <v>111</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Jaime\Neiva CPI\[VAO_DINA TERCIARIOS_CF_SEC_20230117.xlsx]CF PRB'!$DI$57</v>
      </c>
      <c r="J3177" t="s">
        <v>1559</v>
      </c>
    </row>
    <row r="3178" spans="1:10" x14ac:dyDescent="0.3">
      <c r="A3178" s="6" t="s">
        <v>20</v>
      </c>
      <c r="B3178" s="6">
        <f t="shared" ref="B3178:B3192" si="730">+B3177+1</f>
        <v>2045</v>
      </c>
      <c r="C3178" s="1" t="s">
        <v>110</v>
      </c>
      <c r="D3178" s="2" t="s">
        <v>131</v>
      </c>
      <c r="E3178" s="9" t="str">
        <f t="shared" si="726"/>
        <v>PRB'!</v>
      </c>
      <c r="F3178" s="5" t="str">
        <f t="shared" si="727"/>
        <v>C:\Users\jaime.benazar\Quorum Business Solutions\Ecopetrol Prometeo - Documents\Planning Space Implementation\3. Analysis &amp; Design\Design\FC22\DRR Jaime\Neiva CPI\[VAO_DINA TERCIARIOS_CF_SEC_20230117.xlsx]CF PRB'!</v>
      </c>
      <c r="G3178" s="6" t="s">
        <v>111</v>
      </c>
      <c r="H3178" s="1">
        <f t="shared" si="728"/>
        <v>58</v>
      </c>
      <c r="I3178" s="1" t="str">
        <f t="shared" si="729"/>
        <v>='C:\Users\jaime.benazar\Quorum Business Solutions\Ecopetrol Prometeo - Documents\Planning Space Implementation\3. Analysis &amp; Design\Design\FC22\DRR Jaime\Neiva CPI\[VAO_DINA TERCIARIOS_CF_SEC_20230117.xlsx]CF PRB'!$DI$58</v>
      </c>
      <c r="J3178" t="s">
        <v>1560</v>
      </c>
    </row>
    <row r="3179" spans="1:10" x14ac:dyDescent="0.3">
      <c r="A3179" s="6" t="s">
        <v>20</v>
      </c>
      <c r="B3179" s="6">
        <f t="shared" si="730"/>
        <v>2046</v>
      </c>
      <c r="C3179" s="1" t="s">
        <v>110</v>
      </c>
      <c r="D3179" s="2" t="s">
        <v>131</v>
      </c>
      <c r="E3179" s="9" t="str">
        <f t="shared" si="726"/>
        <v>PRB'!</v>
      </c>
      <c r="F3179" s="5" t="str">
        <f t="shared" si="727"/>
        <v>C:\Users\jaime.benazar\Quorum Business Solutions\Ecopetrol Prometeo - Documents\Planning Space Implementation\3. Analysis &amp; Design\Design\FC22\DRR Jaime\Neiva CPI\[VAO_DINA TERCIARIOS_CF_SEC_20230117.xlsx]CF PRB'!</v>
      </c>
      <c r="G3179" s="6" t="s">
        <v>111</v>
      </c>
      <c r="H3179" s="1">
        <f t="shared" si="728"/>
        <v>59</v>
      </c>
      <c r="I3179" s="1" t="str">
        <f t="shared" si="729"/>
        <v>='C:\Users\jaime.benazar\Quorum Business Solutions\Ecopetrol Prometeo - Documents\Planning Space Implementation\3. Analysis &amp; Design\Design\FC22\DRR Jaime\Neiva CPI\[VAO_DINA TERCIARIOS_CF_SEC_20230117.xlsx]CF PRB'!$DI$59</v>
      </c>
      <c r="J3179" t="s">
        <v>1561</v>
      </c>
    </row>
    <row r="3180" spans="1:10" x14ac:dyDescent="0.3">
      <c r="A3180" s="6" t="s">
        <v>20</v>
      </c>
      <c r="B3180" s="6">
        <f t="shared" si="730"/>
        <v>2047</v>
      </c>
      <c r="C3180" s="1" t="s">
        <v>110</v>
      </c>
      <c r="D3180" s="2" t="s">
        <v>131</v>
      </c>
      <c r="E3180" s="9" t="str">
        <f t="shared" si="726"/>
        <v>PRB'!</v>
      </c>
      <c r="F3180" s="5" t="str">
        <f t="shared" si="727"/>
        <v>C:\Users\jaime.benazar\Quorum Business Solutions\Ecopetrol Prometeo - Documents\Planning Space Implementation\3. Analysis &amp; Design\Design\FC22\DRR Jaime\Neiva CPI\[VAO_DINA TERCIARIOS_CF_SEC_20230117.xlsx]CF PRB'!</v>
      </c>
      <c r="G3180" s="6" t="s">
        <v>111</v>
      </c>
      <c r="H3180" s="1">
        <f t="shared" si="728"/>
        <v>60</v>
      </c>
      <c r="I3180" s="1" t="str">
        <f t="shared" si="729"/>
        <v>='C:\Users\jaime.benazar\Quorum Business Solutions\Ecopetrol Prometeo - Documents\Planning Space Implementation\3. Analysis &amp; Design\Design\FC22\DRR Jaime\Neiva CPI\[VAO_DINA TERCIARIOS_CF_SEC_20230117.xlsx]CF PRB'!$DI$60</v>
      </c>
      <c r="J3180" t="s">
        <v>1562</v>
      </c>
    </row>
    <row r="3181" spans="1:10" x14ac:dyDescent="0.3">
      <c r="A3181" s="6" t="s">
        <v>20</v>
      </c>
      <c r="B3181" s="6">
        <f t="shared" si="730"/>
        <v>2048</v>
      </c>
      <c r="C3181" s="1" t="s">
        <v>110</v>
      </c>
      <c r="D3181" s="2" t="s">
        <v>131</v>
      </c>
      <c r="E3181" s="9" t="str">
        <f t="shared" si="726"/>
        <v>PRB'!</v>
      </c>
      <c r="F3181" s="5" t="str">
        <f t="shared" si="727"/>
        <v>C:\Users\jaime.benazar\Quorum Business Solutions\Ecopetrol Prometeo - Documents\Planning Space Implementation\3. Analysis &amp; Design\Design\FC22\DRR Jaime\Neiva CPI\[VAO_DINA TERCIARIOS_CF_SEC_20230117.xlsx]CF PRB'!</v>
      </c>
      <c r="G3181" s="6" t="s">
        <v>111</v>
      </c>
      <c r="H3181" s="1">
        <f t="shared" si="728"/>
        <v>61</v>
      </c>
      <c r="I3181" s="1" t="str">
        <f t="shared" si="729"/>
        <v>='C:\Users\jaime.benazar\Quorum Business Solutions\Ecopetrol Prometeo - Documents\Planning Space Implementation\3. Analysis &amp; Design\Design\FC22\DRR Jaime\Neiva CPI\[VAO_DINA TERCIARIOS_CF_SEC_20230117.xlsx]CF PRB'!$DI$61</v>
      </c>
      <c r="J3181" t="s">
        <v>1563</v>
      </c>
    </row>
    <row r="3182" spans="1:10" x14ac:dyDescent="0.3">
      <c r="A3182" s="6" t="s">
        <v>20</v>
      </c>
      <c r="B3182" s="6">
        <f t="shared" si="730"/>
        <v>2049</v>
      </c>
      <c r="C3182" s="1" t="s">
        <v>110</v>
      </c>
      <c r="D3182" s="2" t="s">
        <v>131</v>
      </c>
      <c r="E3182" s="9" t="str">
        <f t="shared" si="726"/>
        <v>PRB'!</v>
      </c>
      <c r="F3182" s="5" t="str">
        <f t="shared" si="727"/>
        <v>C:\Users\jaime.benazar\Quorum Business Solutions\Ecopetrol Prometeo - Documents\Planning Space Implementation\3. Analysis &amp; Design\Design\FC22\DRR Jaime\Neiva CPI\[VAO_DINA TERCIARIOS_CF_SEC_20230117.xlsx]CF PRB'!</v>
      </c>
      <c r="G3182" s="6" t="s">
        <v>111</v>
      </c>
      <c r="H3182" s="1">
        <f t="shared" si="728"/>
        <v>62</v>
      </c>
      <c r="I3182" s="1" t="str">
        <f t="shared" si="729"/>
        <v>='C:\Users\jaime.benazar\Quorum Business Solutions\Ecopetrol Prometeo - Documents\Planning Space Implementation\3. Analysis &amp; Design\Design\FC22\DRR Jaime\Neiva CPI\[VAO_DINA TERCIARIOS_CF_SEC_20230117.xlsx]CF PRB'!$DI$62</v>
      </c>
      <c r="J3182" t="s">
        <v>1564</v>
      </c>
    </row>
    <row r="3183" spans="1:10" x14ac:dyDescent="0.3">
      <c r="A3183" s="6" t="s">
        <v>20</v>
      </c>
      <c r="B3183" s="6">
        <f t="shared" si="730"/>
        <v>2050</v>
      </c>
      <c r="C3183" s="1" t="s">
        <v>110</v>
      </c>
      <c r="D3183" s="2" t="s">
        <v>131</v>
      </c>
      <c r="E3183" s="9" t="str">
        <f t="shared" si="726"/>
        <v>PRB'!</v>
      </c>
      <c r="F3183" s="5" t="str">
        <f t="shared" si="727"/>
        <v>C:\Users\jaime.benazar\Quorum Business Solutions\Ecopetrol Prometeo - Documents\Planning Space Implementation\3. Analysis &amp; Design\Design\FC22\DRR Jaime\Neiva CPI\[VAO_DINA TERCIARIOS_CF_SEC_20230117.xlsx]CF PRB'!</v>
      </c>
      <c r="G3183" s="6" t="s">
        <v>111</v>
      </c>
      <c r="H3183" s="1">
        <f t="shared" si="728"/>
        <v>63</v>
      </c>
      <c r="I3183" s="1" t="str">
        <f t="shared" si="729"/>
        <v>='C:\Users\jaime.benazar\Quorum Business Solutions\Ecopetrol Prometeo - Documents\Planning Space Implementation\3. Analysis &amp; Design\Design\FC22\DRR Jaime\Neiva CPI\[VAO_DINA TERCIARIOS_CF_SEC_20230117.xlsx]CF PRB'!$DI$63</v>
      </c>
      <c r="J3183" t="s">
        <v>1565</v>
      </c>
    </row>
    <row r="3184" spans="1:10" x14ac:dyDescent="0.3">
      <c r="A3184" s="6" t="s">
        <v>20</v>
      </c>
      <c r="B3184" s="6">
        <f t="shared" si="730"/>
        <v>2051</v>
      </c>
      <c r="C3184" s="1" t="s">
        <v>110</v>
      </c>
      <c r="D3184" s="2" t="s">
        <v>131</v>
      </c>
      <c r="E3184" s="9" t="str">
        <f t="shared" si="726"/>
        <v>PRB'!</v>
      </c>
      <c r="F3184" s="5" t="str">
        <f t="shared" si="727"/>
        <v>C:\Users\jaime.benazar\Quorum Business Solutions\Ecopetrol Prometeo - Documents\Planning Space Implementation\3. Analysis &amp; Design\Design\FC22\DRR Jaime\Neiva CPI\[VAO_DINA TERCIARIOS_CF_SEC_20230117.xlsx]CF PRB'!</v>
      </c>
      <c r="G3184" s="6" t="s">
        <v>111</v>
      </c>
      <c r="H3184" s="1">
        <f t="shared" si="728"/>
        <v>64</v>
      </c>
      <c r="I3184" s="1" t="str">
        <f t="shared" si="729"/>
        <v>='C:\Users\jaime.benazar\Quorum Business Solutions\Ecopetrol Prometeo - Documents\Planning Space Implementation\3. Analysis &amp; Design\Design\FC22\DRR Jaime\Neiva CPI\[VAO_DINA TERCIARIOS_CF_SEC_20230117.xlsx]CF PRB'!$DI$64</v>
      </c>
      <c r="J3184" t="s">
        <v>1566</v>
      </c>
    </row>
    <row r="3185" spans="1:10" x14ac:dyDescent="0.3">
      <c r="A3185" s="6" t="s">
        <v>20</v>
      </c>
      <c r="B3185" s="6">
        <f t="shared" si="730"/>
        <v>2052</v>
      </c>
      <c r="C3185" s="1" t="s">
        <v>110</v>
      </c>
      <c r="D3185" s="2" t="s">
        <v>131</v>
      </c>
      <c r="E3185" s="9" t="str">
        <f t="shared" si="726"/>
        <v>PRB'!</v>
      </c>
      <c r="F3185" s="5" t="str">
        <f t="shared" si="727"/>
        <v>C:\Users\jaime.benazar\Quorum Business Solutions\Ecopetrol Prometeo - Documents\Planning Space Implementation\3. Analysis &amp; Design\Design\FC22\DRR Jaime\Neiva CPI\[VAO_DINA TERCIARIOS_CF_SEC_20230117.xlsx]CF PRB'!</v>
      </c>
      <c r="G3185" s="6" t="s">
        <v>111</v>
      </c>
      <c r="H3185" s="1">
        <f t="shared" si="728"/>
        <v>65</v>
      </c>
      <c r="I3185" s="1" t="str">
        <f t="shared" si="729"/>
        <v>='C:\Users\jaime.benazar\Quorum Business Solutions\Ecopetrol Prometeo - Documents\Planning Space Implementation\3. Analysis &amp; Design\Design\FC22\DRR Jaime\Neiva CPI\[VAO_DINA TERCIARIOS_CF_SEC_20230117.xlsx]CF PRB'!$DI$65</v>
      </c>
      <c r="J3185" t="s">
        <v>1567</v>
      </c>
    </row>
    <row r="3186" spans="1:10" x14ac:dyDescent="0.3">
      <c r="A3186" s="6" t="s">
        <v>20</v>
      </c>
      <c r="B3186" s="6">
        <f t="shared" si="730"/>
        <v>2053</v>
      </c>
      <c r="C3186" s="1" t="s">
        <v>110</v>
      </c>
      <c r="D3186" s="2" t="s">
        <v>131</v>
      </c>
      <c r="E3186" s="9" t="str">
        <f t="shared" si="726"/>
        <v>PRB'!</v>
      </c>
      <c r="F3186" s="5" t="str">
        <f t="shared" si="727"/>
        <v>C:\Users\jaime.benazar\Quorum Business Solutions\Ecopetrol Prometeo - Documents\Planning Space Implementation\3. Analysis &amp; Design\Design\FC22\DRR Jaime\Neiva CPI\[VAO_DINA TERCIARIOS_CF_SEC_20230117.xlsx]CF PRB'!</v>
      </c>
      <c r="G3186" s="6" t="s">
        <v>111</v>
      </c>
      <c r="H3186" s="1">
        <f t="shared" si="728"/>
        <v>66</v>
      </c>
      <c r="I3186" s="1" t="str">
        <f t="shared" si="729"/>
        <v>='C:\Users\jaime.benazar\Quorum Business Solutions\Ecopetrol Prometeo - Documents\Planning Space Implementation\3. Analysis &amp; Design\Design\FC22\DRR Jaime\Neiva CPI\[VAO_DINA TERCIARIOS_CF_SEC_20230117.xlsx]CF PRB'!$DI$66</v>
      </c>
      <c r="J3186" t="s">
        <v>1568</v>
      </c>
    </row>
    <row r="3187" spans="1:10" x14ac:dyDescent="0.3">
      <c r="A3187" s="6" t="s">
        <v>20</v>
      </c>
      <c r="B3187" s="6">
        <f t="shared" si="730"/>
        <v>2054</v>
      </c>
      <c r="C3187" s="1" t="s">
        <v>110</v>
      </c>
      <c r="D3187" s="2" t="s">
        <v>131</v>
      </c>
      <c r="E3187" s="9" t="str">
        <f t="shared" si="726"/>
        <v>PRB'!</v>
      </c>
      <c r="F3187" s="5" t="str">
        <f t="shared" si="727"/>
        <v>C:\Users\jaime.benazar\Quorum Business Solutions\Ecopetrol Prometeo - Documents\Planning Space Implementation\3. Analysis &amp; Design\Design\FC22\DRR Jaime\Neiva CPI\[VAO_DINA TERCIARIOS_CF_SEC_20230117.xlsx]CF PRB'!</v>
      </c>
      <c r="G3187" s="6" t="s">
        <v>111</v>
      </c>
      <c r="H3187" s="1">
        <f t="shared" si="728"/>
        <v>67</v>
      </c>
      <c r="I3187" s="1" t="str">
        <f t="shared" si="729"/>
        <v>='C:\Users\jaime.benazar\Quorum Business Solutions\Ecopetrol Prometeo - Documents\Planning Space Implementation\3. Analysis &amp; Design\Design\FC22\DRR Jaime\Neiva CPI\[VAO_DINA TERCIARIOS_CF_SEC_20230117.xlsx]CF PRB'!$DI$67</v>
      </c>
      <c r="J3187" t="s">
        <v>1569</v>
      </c>
    </row>
    <row r="3188" spans="1:10" x14ac:dyDescent="0.3">
      <c r="A3188" s="6" t="s">
        <v>20</v>
      </c>
      <c r="B3188" s="6">
        <f t="shared" si="730"/>
        <v>2055</v>
      </c>
      <c r="C3188" s="1" t="s">
        <v>110</v>
      </c>
      <c r="D3188" s="2" t="s">
        <v>131</v>
      </c>
      <c r="E3188" s="9" t="str">
        <f t="shared" si="726"/>
        <v>PRB'!</v>
      </c>
      <c r="F3188" s="5" t="str">
        <f t="shared" si="727"/>
        <v>C:\Users\jaime.benazar\Quorum Business Solutions\Ecopetrol Prometeo - Documents\Planning Space Implementation\3. Analysis &amp; Design\Design\FC22\DRR Jaime\Neiva CPI\[VAO_DINA TERCIARIOS_CF_SEC_20230117.xlsx]CF PRB'!</v>
      </c>
      <c r="G3188" s="6" t="s">
        <v>111</v>
      </c>
      <c r="H3188" s="1">
        <f t="shared" si="728"/>
        <v>68</v>
      </c>
      <c r="I3188" s="1" t="str">
        <f t="shared" si="729"/>
        <v>='C:\Users\jaime.benazar\Quorum Business Solutions\Ecopetrol Prometeo - Documents\Planning Space Implementation\3. Analysis &amp; Design\Design\FC22\DRR Jaime\Neiva CPI\[VAO_DINA TERCIARIOS_CF_SEC_20230117.xlsx]CF PRB'!$DI$68</v>
      </c>
      <c r="J3188" t="s">
        <v>1570</v>
      </c>
    </row>
    <row r="3189" spans="1:10" x14ac:dyDescent="0.3">
      <c r="A3189" s="6" t="s">
        <v>20</v>
      </c>
      <c r="B3189" s="6">
        <f t="shared" si="730"/>
        <v>2056</v>
      </c>
      <c r="C3189" s="1" t="s">
        <v>110</v>
      </c>
      <c r="D3189" s="2" t="s">
        <v>131</v>
      </c>
      <c r="E3189" s="9" t="str">
        <f t="shared" si="726"/>
        <v>PRB'!</v>
      </c>
      <c r="F3189" s="5" t="str">
        <f t="shared" si="727"/>
        <v>C:\Users\jaime.benazar\Quorum Business Solutions\Ecopetrol Prometeo - Documents\Planning Space Implementation\3. Analysis &amp; Design\Design\FC22\DRR Jaime\Neiva CPI\[VAO_DINA TERCIARIOS_CF_SEC_20230117.xlsx]CF PRB'!</v>
      </c>
      <c r="G3189" s="6" t="s">
        <v>111</v>
      </c>
      <c r="H3189" s="1">
        <f t="shared" si="728"/>
        <v>69</v>
      </c>
      <c r="I3189" s="1" t="str">
        <f t="shared" si="729"/>
        <v>='C:\Users\jaime.benazar\Quorum Business Solutions\Ecopetrol Prometeo - Documents\Planning Space Implementation\3. Analysis &amp; Design\Design\FC22\DRR Jaime\Neiva CPI\[VAO_DINA TERCIARIOS_CF_SEC_20230117.xlsx]CF PRB'!$DI$69</v>
      </c>
      <c r="J3189" t="s">
        <v>1571</v>
      </c>
    </row>
    <row r="3190" spans="1:10" x14ac:dyDescent="0.3">
      <c r="A3190" s="6" t="s">
        <v>20</v>
      </c>
      <c r="B3190" s="6">
        <f t="shared" si="730"/>
        <v>2057</v>
      </c>
      <c r="C3190" s="1" t="s">
        <v>110</v>
      </c>
      <c r="D3190" s="2" t="s">
        <v>131</v>
      </c>
      <c r="E3190" s="9" t="str">
        <f t="shared" si="726"/>
        <v>PRB'!</v>
      </c>
      <c r="F3190" s="5" t="str">
        <f t="shared" si="727"/>
        <v>C:\Users\jaime.benazar\Quorum Business Solutions\Ecopetrol Prometeo - Documents\Planning Space Implementation\3. Analysis &amp; Design\Design\FC22\DRR Jaime\Neiva CPI\[VAO_DINA TERCIARIOS_CF_SEC_20230117.xlsx]CF PRB'!</v>
      </c>
      <c r="G3190" s="6" t="s">
        <v>111</v>
      </c>
      <c r="H3190" s="1">
        <f t="shared" si="728"/>
        <v>70</v>
      </c>
      <c r="I3190" s="1" t="str">
        <f t="shared" si="729"/>
        <v>='C:\Users\jaime.benazar\Quorum Business Solutions\Ecopetrol Prometeo - Documents\Planning Space Implementation\3. Analysis &amp; Design\Design\FC22\DRR Jaime\Neiva CPI\[VAO_DINA TERCIARIOS_CF_SEC_20230117.xlsx]CF PRB'!$DI$70</v>
      </c>
      <c r="J3190" t="s">
        <v>1572</v>
      </c>
    </row>
    <row r="3191" spans="1:10" x14ac:dyDescent="0.3">
      <c r="A3191" s="6" t="s">
        <v>20</v>
      </c>
      <c r="B3191" s="6">
        <f t="shared" si="730"/>
        <v>2058</v>
      </c>
      <c r="C3191" s="1" t="s">
        <v>110</v>
      </c>
      <c r="D3191" s="2" t="s">
        <v>131</v>
      </c>
      <c r="E3191" s="9" t="str">
        <f t="shared" si="726"/>
        <v>PRB'!</v>
      </c>
      <c r="F3191" s="5" t="str">
        <f t="shared" si="727"/>
        <v>C:\Users\jaime.benazar\Quorum Business Solutions\Ecopetrol Prometeo - Documents\Planning Space Implementation\3. Analysis &amp; Design\Design\FC22\DRR Jaime\Neiva CPI\[VAO_DINA TERCIARIOS_CF_SEC_20230117.xlsx]CF PRB'!</v>
      </c>
      <c r="G3191" s="6" t="s">
        <v>111</v>
      </c>
      <c r="H3191" s="1">
        <f t="shared" si="728"/>
        <v>71</v>
      </c>
      <c r="I3191" s="1" t="str">
        <f t="shared" si="729"/>
        <v>='C:\Users\jaime.benazar\Quorum Business Solutions\Ecopetrol Prometeo - Documents\Planning Space Implementation\3. Analysis &amp; Design\Design\FC22\DRR Jaime\Neiva CPI\[VAO_DINA TERCIARIOS_CF_SEC_20230117.xlsx]CF PRB'!$DI$71</v>
      </c>
      <c r="J3191" t="s">
        <v>1573</v>
      </c>
    </row>
    <row r="3192" spans="1:10" x14ac:dyDescent="0.3">
      <c r="A3192" s="6" t="s">
        <v>20</v>
      </c>
      <c r="B3192" s="6">
        <f t="shared" si="730"/>
        <v>2059</v>
      </c>
      <c r="C3192" s="1" t="s">
        <v>110</v>
      </c>
      <c r="D3192" s="2" t="s">
        <v>131</v>
      </c>
      <c r="E3192" s="9" t="str">
        <f t="shared" si="726"/>
        <v>PRB'!</v>
      </c>
      <c r="F3192" s="5" t="str">
        <f t="shared" si="727"/>
        <v>C:\Users\jaime.benazar\Quorum Business Solutions\Ecopetrol Prometeo - Documents\Planning Space Implementation\3. Analysis &amp; Design\Design\FC22\DRR Jaime\Neiva CPI\[VAO_DINA TERCIARIOS_CF_SEC_20230117.xlsx]CF PRB'!</v>
      </c>
      <c r="G3192" s="6" t="s">
        <v>111</v>
      </c>
      <c r="H3192" s="1">
        <f t="shared" si="728"/>
        <v>72</v>
      </c>
      <c r="I3192" s="1" t="str">
        <f t="shared" si="729"/>
        <v>='C:\Users\jaime.benazar\Quorum Business Solutions\Ecopetrol Prometeo - Documents\Planning Space Implementation\3. Analysis &amp; Design\Design\FC22\DRR Jaime\Neiva CPI\[VAO_DINA TERCIARIOS_CF_SEC_20230117.xlsx]CF PRB'!$DI$72</v>
      </c>
      <c r="J3192" t="s">
        <v>1574</v>
      </c>
    </row>
    <row r="3193" spans="1:10" x14ac:dyDescent="0.3">
      <c r="A3193" s="7" t="s">
        <v>26</v>
      </c>
      <c r="B3193" s="6"/>
      <c r="C3193" s="1" t="s">
        <v>110</v>
      </c>
      <c r="D3193" s="2"/>
      <c r="E3193" s="9"/>
      <c r="F3193" s="5"/>
      <c r="G3193" s="6"/>
      <c r="H3193" s="1"/>
      <c r="I3193" s="1"/>
      <c r="J3193" s="4"/>
    </row>
    <row r="3194" spans="1:10" x14ac:dyDescent="0.3">
      <c r="A3194" s="6" t="s">
        <v>21</v>
      </c>
      <c r="B3194" s="6">
        <v>2023</v>
      </c>
      <c r="C3194" s="1" t="s">
        <v>110</v>
      </c>
      <c r="D3194" s="2" t="s">
        <v>131</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Jaime\Neiva CPI\[VAO_DINA TERCIARIOS_CF_SEC_20230117.xlsx]CF PSDP'!</v>
      </c>
      <c r="G3194" s="6" t="s">
        <v>111</v>
      </c>
      <c r="H3194" s="1"/>
      <c r="I3194" s="1"/>
    </row>
    <row r="3195" spans="1:10" x14ac:dyDescent="0.3">
      <c r="A3195" s="6" t="s">
        <v>21</v>
      </c>
      <c r="B3195" s="6">
        <f>+B3194+1</f>
        <v>2024</v>
      </c>
      <c r="C3195" s="1" t="s">
        <v>110</v>
      </c>
      <c r="D3195" s="2" t="s">
        <v>131</v>
      </c>
      <c r="E3195" s="9" t="str">
        <f t="shared" si="731"/>
        <v>PSDP'!</v>
      </c>
      <c r="F3195" s="5" t="str">
        <f t="shared" si="732"/>
        <v>C:\Users\jaime.benazar\Quorum Business Solutions\Ecopetrol Prometeo - Documents\Planning Space Implementation\3. Analysis &amp; Design\Design\FC22\DRR Jaime\Neiva CPI\[VAO_DINA TERCIARIOS_CF_SEC_20230117.xlsx]CF PSDP'!</v>
      </c>
      <c r="G3195" s="6" t="s">
        <v>111</v>
      </c>
      <c r="H3195" s="1"/>
      <c r="I3195" s="1"/>
    </row>
    <row r="3196" spans="1:10" x14ac:dyDescent="0.3">
      <c r="A3196" s="6" t="s">
        <v>21</v>
      </c>
      <c r="B3196" s="6">
        <f t="shared" ref="B3196:B3207" si="733">+B3195+1</f>
        <v>2025</v>
      </c>
      <c r="C3196" s="1" t="s">
        <v>110</v>
      </c>
      <c r="D3196" s="2" t="s">
        <v>131</v>
      </c>
      <c r="E3196" s="9" t="str">
        <f t="shared" si="731"/>
        <v>PSDP'!</v>
      </c>
      <c r="F3196" s="5" t="str">
        <f t="shared" si="732"/>
        <v>C:\Users\jaime.benazar\Quorum Business Solutions\Ecopetrol Prometeo - Documents\Planning Space Implementation\3. Analysis &amp; Design\Design\FC22\DRR Jaime\Neiva CPI\[VAO_DINA TERCIARIOS_CF_SEC_20230117.xlsx]CF PSDP'!</v>
      </c>
      <c r="G3196" s="6" t="s">
        <v>111</v>
      </c>
      <c r="H3196" s="1"/>
      <c r="I3196" s="1"/>
    </row>
    <row r="3197" spans="1:10" x14ac:dyDescent="0.3">
      <c r="A3197" s="6" t="s">
        <v>21</v>
      </c>
      <c r="B3197" s="6">
        <f t="shared" si="733"/>
        <v>2026</v>
      </c>
      <c r="C3197" s="1" t="s">
        <v>110</v>
      </c>
      <c r="D3197" s="2" t="s">
        <v>131</v>
      </c>
      <c r="E3197" s="9" t="str">
        <f t="shared" si="731"/>
        <v>PSDP'!</v>
      </c>
      <c r="F3197" s="5" t="str">
        <f t="shared" si="732"/>
        <v>C:\Users\jaime.benazar\Quorum Business Solutions\Ecopetrol Prometeo - Documents\Planning Space Implementation\3. Analysis &amp; Design\Design\FC22\DRR Jaime\Neiva CPI\[VAO_DINA TERCIARIOS_CF_SEC_20230117.xlsx]CF PSDP'!</v>
      </c>
      <c r="G3197" s="6" t="s">
        <v>111</v>
      </c>
      <c r="H3197" s="1"/>
      <c r="I3197" s="1"/>
    </row>
    <row r="3198" spans="1:10" x14ac:dyDescent="0.3">
      <c r="A3198" s="6" t="s">
        <v>21</v>
      </c>
      <c r="B3198" s="6">
        <f t="shared" si="733"/>
        <v>2027</v>
      </c>
      <c r="C3198" s="1" t="s">
        <v>110</v>
      </c>
      <c r="D3198" s="2" t="s">
        <v>131</v>
      </c>
      <c r="E3198" s="9" t="str">
        <f t="shared" si="731"/>
        <v>PSDP'!</v>
      </c>
      <c r="F3198" s="5" t="str">
        <f t="shared" si="732"/>
        <v>C:\Users\jaime.benazar\Quorum Business Solutions\Ecopetrol Prometeo - Documents\Planning Space Implementation\3. Analysis &amp; Design\Design\FC22\DRR Jaime\Neiva CPI\[VAO_DINA TERCIARIOS_CF_SEC_20230117.xlsx]CF PSDP'!</v>
      </c>
      <c r="G3198" s="6" t="s">
        <v>111</v>
      </c>
      <c r="H3198" s="1"/>
      <c r="I3198" s="1"/>
    </row>
    <row r="3199" spans="1:10" x14ac:dyDescent="0.3">
      <c r="A3199" s="6" t="s">
        <v>21</v>
      </c>
      <c r="B3199" s="6">
        <f t="shared" si="733"/>
        <v>2028</v>
      </c>
      <c r="C3199" s="1" t="s">
        <v>110</v>
      </c>
      <c r="D3199" s="2" t="s">
        <v>131</v>
      </c>
      <c r="E3199" s="9" t="str">
        <f t="shared" si="731"/>
        <v>PSDP'!</v>
      </c>
      <c r="F3199" s="5" t="str">
        <f t="shared" si="732"/>
        <v>C:\Users\jaime.benazar\Quorum Business Solutions\Ecopetrol Prometeo - Documents\Planning Space Implementation\3. Analysis &amp; Design\Design\FC22\DRR Jaime\Neiva CPI\[VAO_DINA TERCIARIOS_CF_SEC_20230117.xlsx]CF PSDP'!</v>
      </c>
      <c r="G3199" s="6" t="s">
        <v>111</v>
      </c>
      <c r="H3199" s="1"/>
      <c r="I3199" s="1"/>
    </row>
    <row r="3200" spans="1:10" x14ac:dyDescent="0.3">
      <c r="A3200" s="6" t="s">
        <v>21</v>
      </c>
      <c r="B3200" s="6">
        <f t="shared" si="733"/>
        <v>2029</v>
      </c>
      <c r="C3200" s="1" t="s">
        <v>110</v>
      </c>
      <c r="D3200" s="2" t="s">
        <v>131</v>
      </c>
      <c r="E3200" s="9" t="str">
        <f t="shared" si="731"/>
        <v>PSDP'!</v>
      </c>
      <c r="F3200" s="5" t="str">
        <f t="shared" si="732"/>
        <v>C:\Users\jaime.benazar\Quorum Business Solutions\Ecopetrol Prometeo - Documents\Planning Space Implementation\3. Analysis &amp; Design\Design\FC22\DRR Jaime\Neiva CPI\[VAO_DINA TERCIARIOS_CF_SEC_20230117.xlsx]CF PSDP'!</v>
      </c>
      <c r="G3200" s="6" t="s">
        <v>111</v>
      </c>
      <c r="H3200" s="1"/>
      <c r="I3200" s="1"/>
    </row>
    <row r="3201" spans="1:9" x14ac:dyDescent="0.3">
      <c r="A3201" s="6" t="s">
        <v>21</v>
      </c>
      <c r="B3201" s="6">
        <f t="shared" si="733"/>
        <v>2030</v>
      </c>
      <c r="C3201" s="1" t="s">
        <v>110</v>
      </c>
      <c r="D3201" s="2" t="s">
        <v>131</v>
      </c>
      <c r="E3201" s="9" t="str">
        <f t="shared" si="731"/>
        <v>PSDP'!</v>
      </c>
      <c r="F3201" s="5" t="str">
        <f t="shared" si="732"/>
        <v>C:\Users\jaime.benazar\Quorum Business Solutions\Ecopetrol Prometeo - Documents\Planning Space Implementation\3. Analysis &amp; Design\Design\FC22\DRR Jaime\Neiva CPI\[VAO_DINA TERCIARIOS_CF_SEC_20230117.xlsx]CF PSDP'!</v>
      </c>
      <c r="G3201" s="6" t="s">
        <v>111</v>
      </c>
      <c r="H3201" s="1"/>
      <c r="I3201" s="1"/>
    </row>
    <row r="3202" spans="1:9" x14ac:dyDescent="0.3">
      <c r="A3202" s="6" t="s">
        <v>21</v>
      </c>
      <c r="B3202" s="6">
        <f t="shared" si="733"/>
        <v>2031</v>
      </c>
      <c r="C3202" s="1" t="s">
        <v>110</v>
      </c>
      <c r="D3202" s="2" t="s">
        <v>131</v>
      </c>
      <c r="E3202" s="9" t="str">
        <f t="shared" si="731"/>
        <v>PSDP'!</v>
      </c>
      <c r="F3202" s="5" t="str">
        <f t="shared" si="732"/>
        <v>C:\Users\jaime.benazar\Quorum Business Solutions\Ecopetrol Prometeo - Documents\Planning Space Implementation\3. Analysis &amp; Design\Design\FC22\DRR Jaime\Neiva CPI\[VAO_DINA TERCIARIOS_CF_SEC_20230117.xlsx]CF PSDP'!</v>
      </c>
      <c r="G3202" s="6" t="s">
        <v>111</v>
      </c>
      <c r="H3202" s="1"/>
      <c r="I3202" s="1"/>
    </row>
    <row r="3203" spans="1:9" x14ac:dyDescent="0.3">
      <c r="A3203" s="6" t="s">
        <v>21</v>
      </c>
      <c r="B3203" s="6">
        <f t="shared" si="733"/>
        <v>2032</v>
      </c>
      <c r="C3203" s="1" t="s">
        <v>110</v>
      </c>
      <c r="D3203" s="2" t="s">
        <v>131</v>
      </c>
      <c r="E3203" s="9" t="str">
        <f t="shared" si="731"/>
        <v>PSDP'!</v>
      </c>
      <c r="F3203" s="5" t="str">
        <f t="shared" si="732"/>
        <v>C:\Users\jaime.benazar\Quorum Business Solutions\Ecopetrol Prometeo - Documents\Planning Space Implementation\3. Analysis &amp; Design\Design\FC22\DRR Jaime\Neiva CPI\[VAO_DINA TERCIARIOS_CF_SEC_20230117.xlsx]CF PSDP'!</v>
      </c>
      <c r="G3203" s="6" t="s">
        <v>111</v>
      </c>
      <c r="H3203" s="1"/>
      <c r="I3203" s="1"/>
    </row>
    <row r="3204" spans="1:9" x14ac:dyDescent="0.3">
      <c r="A3204" s="6" t="s">
        <v>21</v>
      </c>
      <c r="B3204" s="6">
        <f t="shared" si="733"/>
        <v>2033</v>
      </c>
      <c r="C3204" s="1" t="s">
        <v>110</v>
      </c>
      <c r="D3204" s="2" t="s">
        <v>131</v>
      </c>
      <c r="E3204" s="9" t="str">
        <f t="shared" si="731"/>
        <v>PSDP'!</v>
      </c>
      <c r="F3204" s="5" t="str">
        <f t="shared" si="732"/>
        <v>C:\Users\jaime.benazar\Quorum Business Solutions\Ecopetrol Prometeo - Documents\Planning Space Implementation\3. Analysis &amp; Design\Design\FC22\DRR Jaime\Neiva CPI\[VAO_DINA TERCIARIOS_CF_SEC_20230117.xlsx]CF PSDP'!</v>
      </c>
      <c r="G3204" s="6" t="s">
        <v>111</v>
      </c>
      <c r="H3204" s="1"/>
      <c r="I3204" s="1"/>
    </row>
    <row r="3205" spans="1:9" x14ac:dyDescent="0.3">
      <c r="A3205" s="6" t="s">
        <v>21</v>
      </c>
      <c r="B3205" s="6">
        <f t="shared" si="733"/>
        <v>2034</v>
      </c>
      <c r="C3205" s="1" t="s">
        <v>110</v>
      </c>
      <c r="D3205" s="2" t="s">
        <v>131</v>
      </c>
      <c r="E3205" s="9" t="str">
        <f t="shared" si="731"/>
        <v>PSDP'!</v>
      </c>
      <c r="F3205" s="5" t="str">
        <f t="shared" si="732"/>
        <v>C:\Users\jaime.benazar\Quorum Business Solutions\Ecopetrol Prometeo - Documents\Planning Space Implementation\3. Analysis &amp; Design\Design\FC22\DRR Jaime\Neiva CPI\[VAO_DINA TERCIARIOS_CF_SEC_20230117.xlsx]CF PSDP'!</v>
      </c>
      <c r="G3205" s="6" t="s">
        <v>111</v>
      </c>
      <c r="H3205" s="1"/>
      <c r="I3205" s="1"/>
    </row>
    <row r="3206" spans="1:9" x14ac:dyDescent="0.3">
      <c r="A3206" s="6" t="s">
        <v>21</v>
      </c>
      <c r="B3206" s="6">
        <f t="shared" si="733"/>
        <v>2035</v>
      </c>
      <c r="C3206" s="1" t="s">
        <v>110</v>
      </c>
      <c r="D3206" s="2" t="s">
        <v>131</v>
      </c>
      <c r="E3206" s="9" t="str">
        <f t="shared" si="731"/>
        <v>PSDP'!</v>
      </c>
      <c r="F3206" s="5" t="str">
        <f t="shared" si="732"/>
        <v>C:\Users\jaime.benazar\Quorum Business Solutions\Ecopetrol Prometeo - Documents\Planning Space Implementation\3. Analysis &amp; Design\Design\FC22\DRR Jaime\Neiva CPI\[VAO_DINA TERCIARIOS_CF_SEC_20230117.xlsx]CF PSDP'!</v>
      </c>
      <c r="G3206" s="6" t="s">
        <v>111</v>
      </c>
      <c r="H3206" s="1"/>
      <c r="I3206" s="1"/>
    </row>
    <row r="3207" spans="1:9" x14ac:dyDescent="0.3">
      <c r="A3207" s="6" t="s">
        <v>21</v>
      </c>
      <c r="B3207" s="6">
        <f t="shared" si="733"/>
        <v>2036</v>
      </c>
      <c r="C3207" s="1" t="s">
        <v>110</v>
      </c>
      <c r="D3207" s="2" t="s">
        <v>131</v>
      </c>
      <c r="E3207" s="9" t="str">
        <f t="shared" si="731"/>
        <v>PSDP'!</v>
      </c>
      <c r="F3207" s="5" t="str">
        <f t="shared" si="732"/>
        <v>C:\Users\jaime.benazar\Quorum Business Solutions\Ecopetrol Prometeo - Documents\Planning Space Implementation\3. Analysis &amp; Design\Design\FC22\DRR Jaime\Neiva CPI\[VAO_DINA TERCIARIOS_CF_SEC_20230117.xlsx]CF PSDP'!</v>
      </c>
      <c r="G3207" s="6" t="s">
        <v>111</v>
      </c>
      <c r="H3207" s="1"/>
      <c r="I3207" s="1"/>
    </row>
    <row r="3208" spans="1:9" x14ac:dyDescent="0.3">
      <c r="A3208" s="6" t="s">
        <v>21</v>
      </c>
      <c r="B3208" s="6">
        <f>+B3207+1</f>
        <v>2037</v>
      </c>
      <c r="C3208" s="1" t="s">
        <v>110</v>
      </c>
      <c r="D3208" s="2" t="s">
        <v>131</v>
      </c>
      <c r="E3208" s="9" t="str">
        <f t="shared" si="731"/>
        <v>PSDP'!</v>
      </c>
      <c r="F3208" s="5" t="str">
        <f t="shared" si="732"/>
        <v>C:\Users\jaime.benazar\Quorum Business Solutions\Ecopetrol Prometeo - Documents\Planning Space Implementation\3. Analysis &amp; Design\Design\FC22\DRR Jaime\Neiva CPI\[VAO_DINA TERCIARIOS_CF_SEC_20230117.xlsx]CF PSDP'!</v>
      </c>
      <c r="G3208" s="6" t="s">
        <v>111</v>
      </c>
      <c r="H3208" s="1"/>
      <c r="I3208" s="1"/>
    </row>
    <row r="3209" spans="1:9" x14ac:dyDescent="0.3">
      <c r="A3209" s="6" t="s">
        <v>21</v>
      </c>
      <c r="B3209" s="6">
        <f t="shared" ref="B3209:B3211" si="734">+B3208+1</f>
        <v>2038</v>
      </c>
      <c r="C3209" s="1" t="s">
        <v>110</v>
      </c>
      <c r="D3209" s="2" t="s">
        <v>131</v>
      </c>
      <c r="E3209" s="9" t="str">
        <f t="shared" si="731"/>
        <v>PSDP'!</v>
      </c>
      <c r="F3209" s="5" t="str">
        <f t="shared" si="732"/>
        <v>C:\Users\jaime.benazar\Quorum Business Solutions\Ecopetrol Prometeo - Documents\Planning Space Implementation\3. Analysis &amp; Design\Design\FC22\DRR Jaime\Neiva CPI\[VAO_DINA TERCIARIOS_CF_SEC_20230117.xlsx]CF PSDP'!</v>
      </c>
      <c r="G3209" s="6" t="s">
        <v>111</v>
      </c>
      <c r="H3209" s="1"/>
      <c r="I3209" s="1"/>
    </row>
    <row r="3210" spans="1:9" x14ac:dyDescent="0.3">
      <c r="A3210" s="6" t="s">
        <v>21</v>
      </c>
      <c r="B3210" s="6">
        <f t="shared" si="734"/>
        <v>2039</v>
      </c>
      <c r="C3210" s="1" t="s">
        <v>110</v>
      </c>
      <c r="D3210" s="2" t="s">
        <v>131</v>
      </c>
      <c r="E3210" s="9" t="str">
        <f t="shared" si="731"/>
        <v>PSDP'!</v>
      </c>
      <c r="F3210" s="5" t="str">
        <f t="shared" si="732"/>
        <v>C:\Users\jaime.benazar\Quorum Business Solutions\Ecopetrol Prometeo - Documents\Planning Space Implementation\3. Analysis &amp; Design\Design\FC22\DRR Jaime\Neiva CPI\[VAO_DINA TERCIARIOS_CF_SEC_20230117.xlsx]CF PSDP'!</v>
      </c>
      <c r="G3210" s="6" t="s">
        <v>111</v>
      </c>
      <c r="H3210" s="1"/>
      <c r="I3210" s="1"/>
    </row>
    <row r="3211" spans="1:9" x14ac:dyDescent="0.3">
      <c r="A3211" s="6" t="s">
        <v>21</v>
      </c>
      <c r="B3211" s="6">
        <f t="shared" si="734"/>
        <v>2040</v>
      </c>
      <c r="C3211" s="1" t="s">
        <v>110</v>
      </c>
      <c r="D3211" s="2" t="s">
        <v>131</v>
      </c>
      <c r="E3211" s="9" t="str">
        <f t="shared" si="731"/>
        <v>PSDP'!</v>
      </c>
      <c r="F3211" s="5" t="str">
        <f t="shared" si="732"/>
        <v>C:\Users\jaime.benazar\Quorum Business Solutions\Ecopetrol Prometeo - Documents\Planning Space Implementation\3. Analysis &amp; Design\Design\FC22\DRR Jaime\Neiva CPI\[VAO_DINA TERCIARIOS_CF_SEC_20230117.xlsx]CF PSDP'!</v>
      </c>
      <c r="G3211" s="6" t="s">
        <v>111</v>
      </c>
      <c r="H3211" s="1"/>
      <c r="I3211" s="1"/>
    </row>
    <row r="3212" spans="1:9" x14ac:dyDescent="0.3">
      <c r="A3212" s="6" t="s">
        <v>21</v>
      </c>
      <c r="B3212" s="6">
        <f>+B3211+1</f>
        <v>2041</v>
      </c>
      <c r="C3212" s="1" t="s">
        <v>110</v>
      </c>
      <c r="D3212" s="2" t="s">
        <v>131</v>
      </c>
      <c r="E3212" s="9" t="str">
        <f t="shared" si="731"/>
        <v>PSDP'!</v>
      </c>
      <c r="F3212" s="5" t="str">
        <f t="shared" si="732"/>
        <v>C:\Users\jaime.benazar\Quorum Business Solutions\Ecopetrol Prometeo - Documents\Planning Space Implementation\3. Analysis &amp; Design\Design\FC22\DRR Jaime\Neiva CPI\[VAO_DINA TERCIARIOS_CF_SEC_20230117.xlsx]CF PSDP'!</v>
      </c>
      <c r="G3212" s="6" t="s">
        <v>111</v>
      </c>
      <c r="H3212" s="1"/>
      <c r="I3212" s="1"/>
    </row>
    <row r="3213" spans="1:9" x14ac:dyDescent="0.3">
      <c r="A3213" s="6" t="s">
        <v>21</v>
      </c>
      <c r="B3213" s="6">
        <f t="shared" ref="B3213:B3214" si="735">+B3212+1</f>
        <v>2042</v>
      </c>
      <c r="C3213" s="1" t="s">
        <v>110</v>
      </c>
      <c r="D3213" s="2" t="s">
        <v>131</v>
      </c>
      <c r="E3213" s="9" t="str">
        <f t="shared" si="731"/>
        <v>PSDP'!</v>
      </c>
      <c r="F3213" s="5" t="str">
        <f t="shared" si="732"/>
        <v>C:\Users\jaime.benazar\Quorum Business Solutions\Ecopetrol Prometeo - Documents\Planning Space Implementation\3. Analysis &amp; Design\Design\FC22\DRR Jaime\Neiva CPI\[VAO_DINA TERCIARIOS_CF_SEC_20230117.xlsx]CF PSDP'!</v>
      </c>
      <c r="G3213" s="6" t="s">
        <v>111</v>
      </c>
      <c r="H3213" s="1"/>
      <c r="I3213" s="1"/>
    </row>
    <row r="3214" spans="1:9" x14ac:dyDescent="0.3">
      <c r="A3214" s="6" t="s">
        <v>21</v>
      </c>
      <c r="B3214" s="6">
        <f t="shared" si="735"/>
        <v>2043</v>
      </c>
      <c r="C3214" s="1" t="s">
        <v>110</v>
      </c>
      <c r="D3214" s="2" t="s">
        <v>131</v>
      </c>
      <c r="E3214" s="9" t="str">
        <f t="shared" si="731"/>
        <v>PSDP'!</v>
      </c>
      <c r="F3214" s="5" t="str">
        <f t="shared" si="732"/>
        <v>C:\Users\jaime.benazar\Quorum Business Solutions\Ecopetrol Prometeo - Documents\Planning Space Implementation\3. Analysis &amp; Design\Design\FC22\DRR Jaime\Neiva CPI\[VAO_DINA TERCIARIOS_CF_SEC_20230117.xlsx]CF PSDP'!</v>
      </c>
      <c r="G3214" s="6" t="s">
        <v>111</v>
      </c>
      <c r="H3214" s="1"/>
      <c r="I3214" s="1"/>
    </row>
    <row r="3215" spans="1:9" x14ac:dyDescent="0.3">
      <c r="A3215" s="6" t="s">
        <v>21</v>
      </c>
      <c r="B3215" s="6">
        <f>+B3214+1</f>
        <v>2044</v>
      </c>
      <c r="C3215" s="1" t="s">
        <v>110</v>
      </c>
      <c r="D3215" s="2" t="s">
        <v>131</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Jaime\Neiva CPI\[VAO_DINA TERCIARIOS_CF_SEC_20230117.xlsx]CF PSDP'!</v>
      </c>
      <c r="G3215" s="6" t="s">
        <v>111</v>
      </c>
      <c r="H3215" s="1"/>
      <c r="I3215" s="1"/>
    </row>
    <row r="3216" spans="1:9" x14ac:dyDescent="0.3">
      <c r="A3216" s="6" t="s">
        <v>21</v>
      </c>
      <c r="B3216" s="6">
        <f t="shared" ref="B3216:B3230" si="738">+B3215+1</f>
        <v>2045</v>
      </c>
      <c r="C3216" s="1" t="s">
        <v>110</v>
      </c>
      <c r="D3216" s="2" t="s">
        <v>131</v>
      </c>
      <c r="E3216" s="9" t="str">
        <f t="shared" si="736"/>
        <v>PSDP'!</v>
      </c>
      <c r="F3216" s="5" t="str">
        <f t="shared" si="737"/>
        <v>C:\Users\jaime.benazar\Quorum Business Solutions\Ecopetrol Prometeo - Documents\Planning Space Implementation\3. Analysis &amp; Design\Design\FC22\DRR Jaime\Neiva CPI\[VAO_DINA TERCIARIOS_CF_SEC_20230117.xlsx]CF PSDP'!</v>
      </c>
      <c r="G3216" s="6" t="s">
        <v>111</v>
      </c>
      <c r="H3216" s="1"/>
      <c r="I3216" s="1"/>
    </row>
    <row r="3217" spans="1:9" x14ac:dyDescent="0.3">
      <c r="A3217" s="6" t="s">
        <v>21</v>
      </c>
      <c r="B3217" s="6">
        <f t="shared" si="738"/>
        <v>2046</v>
      </c>
      <c r="C3217" s="1" t="s">
        <v>110</v>
      </c>
      <c r="D3217" s="2" t="s">
        <v>131</v>
      </c>
      <c r="E3217" s="9" t="str">
        <f t="shared" si="736"/>
        <v>PSDP'!</v>
      </c>
      <c r="F3217" s="5" t="str">
        <f t="shared" si="737"/>
        <v>C:\Users\jaime.benazar\Quorum Business Solutions\Ecopetrol Prometeo - Documents\Planning Space Implementation\3. Analysis &amp; Design\Design\FC22\DRR Jaime\Neiva CPI\[VAO_DINA TERCIARIOS_CF_SEC_20230117.xlsx]CF PSDP'!</v>
      </c>
      <c r="G3217" s="6" t="s">
        <v>111</v>
      </c>
      <c r="H3217" s="1"/>
      <c r="I3217" s="1"/>
    </row>
    <row r="3218" spans="1:9" x14ac:dyDescent="0.3">
      <c r="A3218" s="6" t="s">
        <v>21</v>
      </c>
      <c r="B3218" s="6">
        <f t="shared" si="738"/>
        <v>2047</v>
      </c>
      <c r="C3218" s="1" t="s">
        <v>110</v>
      </c>
      <c r="D3218" s="2" t="s">
        <v>131</v>
      </c>
      <c r="E3218" s="9" t="str">
        <f t="shared" si="736"/>
        <v>PSDP'!</v>
      </c>
      <c r="F3218" s="5" t="str">
        <f t="shared" si="737"/>
        <v>C:\Users\jaime.benazar\Quorum Business Solutions\Ecopetrol Prometeo - Documents\Planning Space Implementation\3. Analysis &amp; Design\Design\FC22\DRR Jaime\Neiva CPI\[VAO_DINA TERCIARIOS_CF_SEC_20230117.xlsx]CF PSDP'!</v>
      </c>
      <c r="G3218" s="6" t="s">
        <v>111</v>
      </c>
      <c r="H3218" s="1"/>
      <c r="I3218" s="1"/>
    </row>
    <row r="3219" spans="1:9" x14ac:dyDescent="0.3">
      <c r="A3219" s="6" t="s">
        <v>21</v>
      </c>
      <c r="B3219" s="6">
        <f t="shared" si="738"/>
        <v>2048</v>
      </c>
      <c r="C3219" s="1" t="s">
        <v>110</v>
      </c>
      <c r="D3219" s="2" t="s">
        <v>131</v>
      </c>
      <c r="E3219" s="9" t="str">
        <f t="shared" si="736"/>
        <v>PSDP'!</v>
      </c>
      <c r="F3219" s="5" t="str">
        <f t="shared" si="737"/>
        <v>C:\Users\jaime.benazar\Quorum Business Solutions\Ecopetrol Prometeo - Documents\Planning Space Implementation\3. Analysis &amp; Design\Design\FC22\DRR Jaime\Neiva CPI\[VAO_DINA TERCIARIOS_CF_SEC_20230117.xlsx]CF PSDP'!</v>
      </c>
      <c r="G3219" s="6" t="s">
        <v>111</v>
      </c>
      <c r="H3219" s="1"/>
      <c r="I3219" s="1"/>
    </row>
    <row r="3220" spans="1:9" x14ac:dyDescent="0.3">
      <c r="A3220" s="6" t="s">
        <v>21</v>
      </c>
      <c r="B3220" s="6">
        <f t="shared" si="738"/>
        <v>2049</v>
      </c>
      <c r="C3220" s="1" t="s">
        <v>110</v>
      </c>
      <c r="D3220" s="2" t="s">
        <v>131</v>
      </c>
      <c r="E3220" s="9" t="str">
        <f t="shared" si="736"/>
        <v>PSDP'!</v>
      </c>
      <c r="F3220" s="5" t="str">
        <f t="shared" si="737"/>
        <v>C:\Users\jaime.benazar\Quorum Business Solutions\Ecopetrol Prometeo - Documents\Planning Space Implementation\3. Analysis &amp; Design\Design\FC22\DRR Jaime\Neiva CPI\[VAO_DINA TERCIARIOS_CF_SEC_20230117.xlsx]CF PSDP'!</v>
      </c>
      <c r="G3220" s="6" t="s">
        <v>111</v>
      </c>
      <c r="H3220" s="1"/>
      <c r="I3220" s="1"/>
    </row>
    <row r="3221" spans="1:9" x14ac:dyDescent="0.3">
      <c r="A3221" s="6" t="s">
        <v>21</v>
      </c>
      <c r="B3221" s="6">
        <f t="shared" si="738"/>
        <v>2050</v>
      </c>
      <c r="C3221" s="1" t="s">
        <v>110</v>
      </c>
      <c r="D3221" s="2" t="s">
        <v>131</v>
      </c>
      <c r="E3221" s="9" t="str">
        <f t="shared" si="736"/>
        <v>PSDP'!</v>
      </c>
      <c r="F3221" s="5" t="str">
        <f t="shared" si="737"/>
        <v>C:\Users\jaime.benazar\Quorum Business Solutions\Ecopetrol Prometeo - Documents\Planning Space Implementation\3. Analysis &amp; Design\Design\FC22\DRR Jaime\Neiva CPI\[VAO_DINA TERCIARIOS_CF_SEC_20230117.xlsx]CF PSDP'!</v>
      </c>
      <c r="G3221" s="6" t="s">
        <v>111</v>
      </c>
      <c r="H3221" s="1"/>
      <c r="I3221" s="1"/>
    </row>
    <row r="3222" spans="1:9" x14ac:dyDescent="0.3">
      <c r="A3222" s="6" t="s">
        <v>21</v>
      </c>
      <c r="B3222" s="6">
        <f t="shared" si="738"/>
        <v>2051</v>
      </c>
      <c r="C3222" s="1" t="s">
        <v>110</v>
      </c>
      <c r="D3222" s="2" t="s">
        <v>131</v>
      </c>
      <c r="E3222" s="9" t="str">
        <f t="shared" si="736"/>
        <v>PSDP'!</v>
      </c>
      <c r="F3222" s="5" t="str">
        <f t="shared" si="737"/>
        <v>C:\Users\jaime.benazar\Quorum Business Solutions\Ecopetrol Prometeo - Documents\Planning Space Implementation\3. Analysis &amp; Design\Design\FC22\DRR Jaime\Neiva CPI\[VAO_DINA TERCIARIOS_CF_SEC_20230117.xlsx]CF PSDP'!</v>
      </c>
      <c r="G3222" s="6" t="s">
        <v>111</v>
      </c>
      <c r="H3222" s="1"/>
      <c r="I3222" s="1"/>
    </row>
    <row r="3223" spans="1:9" x14ac:dyDescent="0.3">
      <c r="A3223" s="6" t="s">
        <v>21</v>
      </c>
      <c r="B3223" s="6">
        <f t="shared" si="738"/>
        <v>2052</v>
      </c>
      <c r="C3223" s="1" t="s">
        <v>110</v>
      </c>
      <c r="D3223" s="2" t="s">
        <v>131</v>
      </c>
      <c r="E3223" s="9" t="str">
        <f t="shared" si="736"/>
        <v>PSDP'!</v>
      </c>
      <c r="F3223" s="5" t="str">
        <f t="shared" si="737"/>
        <v>C:\Users\jaime.benazar\Quorum Business Solutions\Ecopetrol Prometeo - Documents\Planning Space Implementation\3. Analysis &amp; Design\Design\FC22\DRR Jaime\Neiva CPI\[VAO_DINA TERCIARIOS_CF_SEC_20230117.xlsx]CF PSDP'!</v>
      </c>
      <c r="G3223" s="6" t="s">
        <v>111</v>
      </c>
      <c r="H3223" s="1"/>
      <c r="I3223" s="1"/>
    </row>
    <row r="3224" spans="1:9" x14ac:dyDescent="0.3">
      <c r="A3224" s="6" t="s">
        <v>21</v>
      </c>
      <c r="B3224" s="6">
        <f t="shared" si="738"/>
        <v>2053</v>
      </c>
      <c r="C3224" s="1" t="s">
        <v>110</v>
      </c>
      <c r="D3224" s="2" t="s">
        <v>131</v>
      </c>
      <c r="E3224" s="9" t="str">
        <f t="shared" si="736"/>
        <v>PSDP'!</v>
      </c>
      <c r="F3224" s="5" t="str">
        <f t="shared" si="737"/>
        <v>C:\Users\jaime.benazar\Quorum Business Solutions\Ecopetrol Prometeo - Documents\Planning Space Implementation\3. Analysis &amp; Design\Design\FC22\DRR Jaime\Neiva CPI\[VAO_DINA TERCIARIOS_CF_SEC_20230117.xlsx]CF PSDP'!</v>
      </c>
      <c r="G3224" s="6" t="s">
        <v>111</v>
      </c>
      <c r="H3224" s="1"/>
      <c r="I3224" s="1"/>
    </row>
    <row r="3225" spans="1:9" x14ac:dyDescent="0.3">
      <c r="A3225" s="6" t="s">
        <v>21</v>
      </c>
      <c r="B3225" s="6">
        <f t="shared" si="738"/>
        <v>2054</v>
      </c>
      <c r="C3225" s="1" t="s">
        <v>110</v>
      </c>
      <c r="D3225" s="2" t="s">
        <v>131</v>
      </c>
      <c r="E3225" s="9" t="str">
        <f t="shared" si="736"/>
        <v>PSDP'!</v>
      </c>
      <c r="F3225" s="5" t="str">
        <f t="shared" si="737"/>
        <v>C:\Users\jaime.benazar\Quorum Business Solutions\Ecopetrol Prometeo - Documents\Planning Space Implementation\3. Analysis &amp; Design\Design\FC22\DRR Jaime\Neiva CPI\[VAO_DINA TERCIARIOS_CF_SEC_20230117.xlsx]CF PSDP'!</v>
      </c>
      <c r="G3225" s="6" t="s">
        <v>111</v>
      </c>
      <c r="H3225" s="1"/>
      <c r="I3225" s="1"/>
    </row>
    <row r="3226" spans="1:9" x14ac:dyDescent="0.3">
      <c r="A3226" s="6" t="s">
        <v>21</v>
      </c>
      <c r="B3226" s="6">
        <f t="shared" si="738"/>
        <v>2055</v>
      </c>
      <c r="C3226" s="1" t="s">
        <v>110</v>
      </c>
      <c r="D3226" s="2" t="s">
        <v>131</v>
      </c>
      <c r="E3226" s="9" t="str">
        <f t="shared" si="736"/>
        <v>PSDP'!</v>
      </c>
      <c r="F3226" s="5" t="str">
        <f t="shared" si="737"/>
        <v>C:\Users\jaime.benazar\Quorum Business Solutions\Ecopetrol Prometeo - Documents\Planning Space Implementation\3. Analysis &amp; Design\Design\FC22\DRR Jaime\Neiva CPI\[VAO_DINA TERCIARIOS_CF_SEC_20230117.xlsx]CF PSDP'!</v>
      </c>
      <c r="G3226" s="6" t="s">
        <v>111</v>
      </c>
      <c r="H3226" s="1"/>
      <c r="I3226" s="1"/>
    </row>
    <row r="3227" spans="1:9" x14ac:dyDescent="0.3">
      <c r="A3227" s="6" t="s">
        <v>21</v>
      </c>
      <c r="B3227" s="6">
        <f t="shared" si="738"/>
        <v>2056</v>
      </c>
      <c r="C3227" s="1" t="s">
        <v>110</v>
      </c>
      <c r="D3227" s="2" t="s">
        <v>131</v>
      </c>
      <c r="E3227" s="9" t="str">
        <f t="shared" si="736"/>
        <v>PSDP'!</v>
      </c>
      <c r="F3227" s="5" t="str">
        <f t="shared" si="737"/>
        <v>C:\Users\jaime.benazar\Quorum Business Solutions\Ecopetrol Prometeo - Documents\Planning Space Implementation\3. Analysis &amp; Design\Design\FC22\DRR Jaime\Neiva CPI\[VAO_DINA TERCIARIOS_CF_SEC_20230117.xlsx]CF PSDP'!</v>
      </c>
      <c r="G3227" s="6" t="s">
        <v>111</v>
      </c>
      <c r="H3227" s="1"/>
      <c r="I3227" s="1"/>
    </row>
    <row r="3228" spans="1:9" x14ac:dyDescent="0.3">
      <c r="A3228" s="6" t="s">
        <v>21</v>
      </c>
      <c r="B3228" s="6">
        <f t="shared" si="738"/>
        <v>2057</v>
      </c>
      <c r="C3228" s="1" t="s">
        <v>110</v>
      </c>
      <c r="D3228" s="2" t="s">
        <v>131</v>
      </c>
      <c r="E3228" s="9" t="str">
        <f t="shared" si="736"/>
        <v>PSDP'!</v>
      </c>
      <c r="F3228" s="5" t="str">
        <f t="shared" si="737"/>
        <v>C:\Users\jaime.benazar\Quorum Business Solutions\Ecopetrol Prometeo - Documents\Planning Space Implementation\3. Analysis &amp; Design\Design\FC22\DRR Jaime\Neiva CPI\[VAO_DINA TERCIARIOS_CF_SEC_20230117.xlsx]CF PSDP'!</v>
      </c>
      <c r="G3228" s="6" t="s">
        <v>111</v>
      </c>
      <c r="H3228" s="1"/>
      <c r="I3228" s="1"/>
    </row>
    <row r="3229" spans="1:9" x14ac:dyDescent="0.3">
      <c r="A3229" s="6" t="s">
        <v>21</v>
      </c>
      <c r="B3229" s="6">
        <f t="shared" si="738"/>
        <v>2058</v>
      </c>
      <c r="C3229" s="1" t="s">
        <v>110</v>
      </c>
      <c r="D3229" s="2" t="s">
        <v>131</v>
      </c>
      <c r="E3229" s="9" t="str">
        <f t="shared" si="736"/>
        <v>PSDP'!</v>
      </c>
      <c r="F3229" s="5" t="str">
        <f t="shared" si="737"/>
        <v>C:\Users\jaime.benazar\Quorum Business Solutions\Ecopetrol Prometeo - Documents\Planning Space Implementation\3. Analysis &amp; Design\Design\FC22\DRR Jaime\Neiva CPI\[VAO_DINA TERCIARIOS_CF_SEC_20230117.xlsx]CF PSDP'!</v>
      </c>
      <c r="G3229" s="6" t="s">
        <v>111</v>
      </c>
      <c r="H3229" s="1"/>
      <c r="I3229" s="1"/>
    </row>
    <row r="3230" spans="1:9" x14ac:dyDescent="0.3">
      <c r="A3230" s="6" t="s">
        <v>21</v>
      </c>
      <c r="B3230" s="6">
        <f t="shared" si="738"/>
        <v>2059</v>
      </c>
      <c r="C3230" s="1" t="s">
        <v>110</v>
      </c>
      <c r="D3230" s="2" t="s">
        <v>131</v>
      </c>
      <c r="E3230" s="9" t="str">
        <f t="shared" si="736"/>
        <v>PSDP'!</v>
      </c>
      <c r="F3230" s="5" t="str">
        <f t="shared" si="737"/>
        <v>C:\Users\jaime.benazar\Quorum Business Solutions\Ecopetrol Prometeo - Documents\Planning Space Implementation\3. Analysis &amp; Design\Design\FC22\DRR Jaime\Neiva CPI\[VAO_DINA TERCIARIOS_CF_SEC_20230117.xlsx]CF PSDP'!</v>
      </c>
      <c r="G3230" s="6" t="s">
        <v>111</v>
      </c>
      <c r="H3230" s="1"/>
      <c r="I3230" s="1"/>
    </row>
    <row r="3231" spans="1:9" x14ac:dyDescent="0.3">
      <c r="A3231" s="8" t="s">
        <v>26</v>
      </c>
      <c r="C3231" s="1" t="s">
        <v>110</v>
      </c>
      <c r="D3231" s="2"/>
      <c r="E3231" s="8" t="str">
        <f t="shared" si="731"/>
        <v>Total'!</v>
      </c>
      <c r="F3231" s="2"/>
    </row>
    <row r="3232" spans="1:9" x14ac:dyDescent="0.3">
      <c r="A3232" s="6" t="s">
        <v>22</v>
      </c>
      <c r="B3232" s="6">
        <v>2023</v>
      </c>
      <c r="C3232" s="1" t="s">
        <v>110</v>
      </c>
      <c r="D3232" s="2" t="s">
        <v>131</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Jaime\Neiva CPI\[VAO_DINA TERCIARIOS_CF_SEC_20230117.xlsx]CF PSNP'!</v>
      </c>
      <c r="G3232" s="6" t="s">
        <v>111</v>
      </c>
      <c r="H3232" s="1"/>
      <c r="I3232" s="1"/>
    </row>
    <row r="3233" spans="1:9" x14ac:dyDescent="0.3">
      <c r="A3233" s="6" t="s">
        <v>22</v>
      </c>
      <c r="B3233" s="6">
        <f>+B3232+1</f>
        <v>2024</v>
      </c>
      <c r="C3233" s="1" t="s">
        <v>110</v>
      </c>
      <c r="D3233" s="2" t="s">
        <v>131</v>
      </c>
      <c r="E3233" s="9" t="str">
        <f t="shared" si="739"/>
        <v>PSNP'!</v>
      </c>
      <c r="F3233" s="5" t="str">
        <f t="shared" si="740"/>
        <v>C:\Users\jaime.benazar\Quorum Business Solutions\Ecopetrol Prometeo - Documents\Planning Space Implementation\3. Analysis &amp; Design\Design\FC22\DRR Jaime\Neiva CPI\[VAO_DINA TERCIARIOS_CF_SEC_20230117.xlsx]CF PSNP'!</v>
      </c>
      <c r="G3233" s="6" t="s">
        <v>111</v>
      </c>
      <c r="H3233" s="1"/>
      <c r="I3233" s="1"/>
    </row>
    <row r="3234" spans="1:9" x14ac:dyDescent="0.3">
      <c r="A3234" s="6" t="s">
        <v>22</v>
      </c>
      <c r="B3234" s="6">
        <f t="shared" ref="B3234:B3245" si="741">+B3233+1</f>
        <v>2025</v>
      </c>
      <c r="C3234" s="1" t="s">
        <v>110</v>
      </c>
      <c r="D3234" s="2" t="s">
        <v>131</v>
      </c>
      <c r="E3234" s="9" t="str">
        <f t="shared" si="739"/>
        <v>PSNP'!</v>
      </c>
      <c r="F3234" s="5" t="str">
        <f t="shared" si="740"/>
        <v>C:\Users\jaime.benazar\Quorum Business Solutions\Ecopetrol Prometeo - Documents\Planning Space Implementation\3. Analysis &amp; Design\Design\FC22\DRR Jaime\Neiva CPI\[VAO_DINA TERCIARIOS_CF_SEC_20230117.xlsx]CF PSNP'!</v>
      </c>
      <c r="G3234" s="6" t="s">
        <v>111</v>
      </c>
      <c r="H3234" s="1"/>
      <c r="I3234" s="1"/>
    </row>
    <row r="3235" spans="1:9" x14ac:dyDescent="0.3">
      <c r="A3235" s="6" t="s">
        <v>22</v>
      </c>
      <c r="B3235" s="6">
        <f t="shared" si="741"/>
        <v>2026</v>
      </c>
      <c r="C3235" s="1" t="s">
        <v>110</v>
      </c>
      <c r="D3235" s="2" t="s">
        <v>131</v>
      </c>
      <c r="E3235" s="9" t="str">
        <f t="shared" si="739"/>
        <v>PSNP'!</v>
      </c>
      <c r="F3235" s="5" t="str">
        <f t="shared" si="740"/>
        <v>C:\Users\jaime.benazar\Quorum Business Solutions\Ecopetrol Prometeo - Documents\Planning Space Implementation\3. Analysis &amp; Design\Design\FC22\DRR Jaime\Neiva CPI\[VAO_DINA TERCIARIOS_CF_SEC_20230117.xlsx]CF PSNP'!</v>
      </c>
      <c r="G3235" s="6" t="s">
        <v>111</v>
      </c>
      <c r="H3235" s="1"/>
      <c r="I3235" s="1"/>
    </row>
    <row r="3236" spans="1:9" x14ac:dyDescent="0.3">
      <c r="A3236" s="6" t="s">
        <v>22</v>
      </c>
      <c r="B3236" s="6">
        <f t="shared" si="741"/>
        <v>2027</v>
      </c>
      <c r="C3236" s="1" t="s">
        <v>110</v>
      </c>
      <c r="D3236" s="2" t="s">
        <v>131</v>
      </c>
      <c r="E3236" s="9" t="str">
        <f t="shared" si="739"/>
        <v>PSNP'!</v>
      </c>
      <c r="F3236" s="5" t="str">
        <f t="shared" si="740"/>
        <v>C:\Users\jaime.benazar\Quorum Business Solutions\Ecopetrol Prometeo - Documents\Planning Space Implementation\3. Analysis &amp; Design\Design\FC22\DRR Jaime\Neiva CPI\[VAO_DINA TERCIARIOS_CF_SEC_20230117.xlsx]CF PSNP'!</v>
      </c>
      <c r="G3236" s="6" t="s">
        <v>111</v>
      </c>
      <c r="H3236" s="1"/>
      <c r="I3236" s="1"/>
    </row>
    <row r="3237" spans="1:9" x14ac:dyDescent="0.3">
      <c r="A3237" s="6" t="s">
        <v>22</v>
      </c>
      <c r="B3237" s="6">
        <f t="shared" si="741"/>
        <v>2028</v>
      </c>
      <c r="C3237" s="1" t="s">
        <v>110</v>
      </c>
      <c r="D3237" s="2" t="s">
        <v>131</v>
      </c>
      <c r="E3237" s="9" t="str">
        <f t="shared" si="739"/>
        <v>PSNP'!</v>
      </c>
      <c r="F3237" s="5" t="str">
        <f t="shared" si="740"/>
        <v>C:\Users\jaime.benazar\Quorum Business Solutions\Ecopetrol Prometeo - Documents\Planning Space Implementation\3. Analysis &amp; Design\Design\FC22\DRR Jaime\Neiva CPI\[VAO_DINA TERCIARIOS_CF_SEC_20230117.xlsx]CF PSNP'!</v>
      </c>
      <c r="G3237" s="6" t="s">
        <v>111</v>
      </c>
      <c r="H3237" s="1"/>
      <c r="I3237" s="1"/>
    </row>
    <row r="3238" spans="1:9" x14ac:dyDescent="0.3">
      <c r="A3238" s="6" t="s">
        <v>22</v>
      </c>
      <c r="B3238" s="6">
        <f t="shared" si="741"/>
        <v>2029</v>
      </c>
      <c r="C3238" s="1" t="s">
        <v>110</v>
      </c>
      <c r="D3238" s="2" t="s">
        <v>131</v>
      </c>
      <c r="E3238" s="9" t="str">
        <f t="shared" si="739"/>
        <v>PSNP'!</v>
      </c>
      <c r="F3238" s="5" t="str">
        <f t="shared" si="740"/>
        <v>C:\Users\jaime.benazar\Quorum Business Solutions\Ecopetrol Prometeo - Documents\Planning Space Implementation\3. Analysis &amp; Design\Design\FC22\DRR Jaime\Neiva CPI\[VAO_DINA TERCIARIOS_CF_SEC_20230117.xlsx]CF PSNP'!</v>
      </c>
      <c r="G3238" s="6" t="s">
        <v>111</v>
      </c>
      <c r="H3238" s="1"/>
      <c r="I3238" s="1"/>
    </row>
    <row r="3239" spans="1:9" x14ac:dyDescent="0.3">
      <c r="A3239" s="6" t="s">
        <v>22</v>
      </c>
      <c r="B3239" s="6">
        <f t="shared" si="741"/>
        <v>2030</v>
      </c>
      <c r="C3239" s="1" t="s">
        <v>110</v>
      </c>
      <c r="D3239" s="2" t="s">
        <v>131</v>
      </c>
      <c r="E3239" s="9" t="str">
        <f t="shared" si="739"/>
        <v>PSNP'!</v>
      </c>
      <c r="F3239" s="5" t="str">
        <f t="shared" si="740"/>
        <v>C:\Users\jaime.benazar\Quorum Business Solutions\Ecopetrol Prometeo - Documents\Planning Space Implementation\3. Analysis &amp; Design\Design\FC22\DRR Jaime\Neiva CPI\[VAO_DINA TERCIARIOS_CF_SEC_20230117.xlsx]CF PSNP'!</v>
      </c>
      <c r="G3239" s="6" t="s">
        <v>111</v>
      </c>
      <c r="H3239" s="1"/>
      <c r="I3239" s="1"/>
    </row>
    <row r="3240" spans="1:9" x14ac:dyDescent="0.3">
      <c r="A3240" s="6" t="s">
        <v>22</v>
      </c>
      <c r="B3240" s="6">
        <f t="shared" si="741"/>
        <v>2031</v>
      </c>
      <c r="C3240" s="1" t="s">
        <v>110</v>
      </c>
      <c r="D3240" s="2" t="s">
        <v>131</v>
      </c>
      <c r="E3240" s="9" t="str">
        <f t="shared" si="739"/>
        <v>PSNP'!</v>
      </c>
      <c r="F3240" s="5" t="str">
        <f t="shared" si="740"/>
        <v>C:\Users\jaime.benazar\Quorum Business Solutions\Ecopetrol Prometeo - Documents\Planning Space Implementation\3. Analysis &amp; Design\Design\FC22\DRR Jaime\Neiva CPI\[VAO_DINA TERCIARIOS_CF_SEC_20230117.xlsx]CF PSNP'!</v>
      </c>
      <c r="G3240" s="6" t="s">
        <v>111</v>
      </c>
      <c r="H3240" s="1"/>
      <c r="I3240" s="1"/>
    </row>
    <row r="3241" spans="1:9" x14ac:dyDescent="0.3">
      <c r="A3241" s="6" t="s">
        <v>22</v>
      </c>
      <c r="B3241" s="6">
        <f t="shared" si="741"/>
        <v>2032</v>
      </c>
      <c r="C3241" s="1" t="s">
        <v>110</v>
      </c>
      <c r="D3241" s="2" t="s">
        <v>131</v>
      </c>
      <c r="E3241" s="9" t="str">
        <f t="shared" si="739"/>
        <v>PSNP'!</v>
      </c>
      <c r="F3241" s="5" t="str">
        <f t="shared" si="740"/>
        <v>C:\Users\jaime.benazar\Quorum Business Solutions\Ecopetrol Prometeo - Documents\Planning Space Implementation\3. Analysis &amp; Design\Design\FC22\DRR Jaime\Neiva CPI\[VAO_DINA TERCIARIOS_CF_SEC_20230117.xlsx]CF PSNP'!</v>
      </c>
      <c r="G3241" s="6" t="s">
        <v>111</v>
      </c>
      <c r="H3241" s="1"/>
      <c r="I3241" s="1"/>
    </row>
    <row r="3242" spans="1:9" x14ac:dyDescent="0.3">
      <c r="A3242" s="6" t="s">
        <v>22</v>
      </c>
      <c r="B3242" s="6">
        <f t="shared" si="741"/>
        <v>2033</v>
      </c>
      <c r="C3242" s="1" t="s">
        <v>110</v>
      </c>
      <c r="D3242" s="2" t="s">
        <v>131</v>
      </c>
      <c r="E3242" s="9" t="str">
        <f t="shared" si="739"/>
        <v>PSNP'!</v>
      </c>
      <c r="F3242" s="5" t="str">
        <f t="shared" si="740"/>
        <v>C:\Users\jaime.benazar\Quorum Business Solutions\Ecopetrol Prometeo - Documents\Planning Space Implementation\3. Analysis &amp; Design\Design\FC22\DRR Jaime\Neiva CPI\[VAO_DINA TERCIARIOS_CF_SEC_20230117.xlsx]CF PSNP'!</v>
      </c>
      <c r="G3242" s="6" t="s">
        <v>111</v>
      </c>
      <c r="H3242" s="1"/>
      <c r="I3242" s="1"/>
    </row>
    <row r="3243" spans="1:9" x14ac:dyDescent="0.3">
      <c r="A3243" s="6" t="s">
        <v>22</v>
      </c>
      <c r="B3243" s="6">
        <f t="shared" si="741"/>
        <v>2034</v>
      </c>
      <c r="C3243" s="1" t="s">
        <v>110</v>
      </c>
      <c r="D3243" s="2" t="s">
        <v>131</v>
      </c>
      <c r="E3243" s="9" t="str">
        <f t="shared" si="739"/>
        <v>PSNP'!</v>
      </c>
      <c r="F3243" s="5" t="str">
        <f t="shared" si="740"/>
        <v>C:\Users\jaime.benazar\Quorum Business Solutions\Ecopetrol Prometeo - Documents\Planning Space Implementation\3. Analysis &amp; Design\Design\FC22\DRR Jaime\Neiva CPI\[VAO_DINA TERCIARIOS_CF_SEC_20230117.xlsx]CF PSNP'!</v>
      </c>
      <c r="G3243" s="6" t="s">
        <v>111</v>
      </c>
      <c r="H3243" s="1"/>
      <c r="I3243" s="1"/>
    </row>
    <row r="3244" spans="1:9" x14ac:dyDescent="0.3">
      <c r="A3244" s="6" t="s">
        <v>22</v>
      </c>
      <c r="B3244" s="6">
        <f t="shared" si="741"/>
        <v>2035</v>
      </c>
      <c r="C3244" s="1" t="s">
        <v>110</v>
      </c>
      <c r="D3244" s="2" t="s">
        <v>131</v>
      </c>
      <c r="E3244" s="9" t="str">
        <f t="shared" si="739"/>
        <v>PSNP'!</v>
      </c>
      <c r="F3244" s="5" t="str">
        <f t="shared" si="740"/>
        <v>C:\Users\jaime.benazar\Quorum Business Solutions\Ecopetrol Prometeo - Documents\Planning Space Implementation\3. Analysis &amp; Design\Design\FC22\DRR Jaime\Neiva CPI\[VAO_DINA TERCIARIOS_CF_SEC_20230117.xlsx]CF PSNP'!</v>
      </c>
      <c r="G3244" s="6" t="s">
        <v>111</v>
      </c>
      <c r="H3244" s="1"/>
      <c r="I3244" s="1"/>
    </row>
    <row r="3245" spans="1:9" x14ac:dyDescent="0.3">
      <c r="A3245" s="6" t="s">
        <v>22</v>
      </c>
      <c r="B3245" s="6">
        <f t="shared" si="741"/>
        <v>2036</v>
      </c>
      <c r="C3245" s="1" t="s">
        <v>110</v>
      </c>
      <c r="D3245" s="2" t="s">
        <v>131</v>
      </c>
      <c r="E3245" s="9" t="str">
        <f t="shared" si="739"/>
        <v>PSNP'!</v>
      </c>
      <c r="F3245" s="5" t="str">
        <f t="shared" si="740"/>
        <v>C:\Users\jaime.benazar\Quorum Business Solutions\Ecopetrol Prometeo - Documents\Planning Space Implementation\3. Analysis &amp; Design\Design\FC22\DRR Jaime\Neiva CPI\[VAO_DINA TERCIARIOS_CF_SEC_20230117.xlsx]CF PSNP'!</v>
      </c>
      <c r="G3245" s="6" t="s">
        <v>111</v>
      </c>
      <c r="H3245" s="1"/>
      <c r="I3245" s="1"/>
    </row>
    <row r="3246" spans="1:9" x14ac:dyDescent="0.3">
      <c r="A3246" s="6" t="s">
        <v>22</v>
      </c>
      <c r="B3246" s="6">
        <f>+B3245+1</f>
        <v>2037</v>
      </c>
      <c r="C3246" s="1" t="s">
        <v>110</v>
      </c>
      <c r="D3246" s="2" t="s">
        <v>131</v>
      </c>
      <c r="E3246" s="9" t="str">
        <f t="shared" si="739"/>
        <v>PSNP'!</v>
      </c>
      <c r="F3246" s="5" t="str">
        <f t="shared" si="740"/>
        <v>C:\Users\jaime.benazar\Quorum Business Solutions\Ecopetrol Prometeo - Documents\Planning Space Implementation\3. Analysis &amp; Design\Design\FC22\DRR Jaime\Neiva CPI\[VAO_DINA TERCIARIOS_CF_SEC_20230117.xlsx]CF PSNP'!</v>
      </c>
      <c r="G3246" s="6" t="s">
        <v>111</v>
      </c>
      <c r="H3246" s="1"/>
      <c r="I3246" s="1"/>
    </row>
    <row r="3247" spans="1:9" x14ac:dyDescent="0.3">
      <c r="A3247" s="6" t="s">
        <v>22</v>
      </c>
      <c r="B3247" s="6">
        <f t="shared" ref="B3247:B3249" si="742">+B3246+1</f>
        <v>2038</v>
      </c>
      <c r="C3247" s="1" t="s">
        <v>110</v>
      </c>
      <c r="D3247" s="2" t="s">
        <v>131</v>
      </c>
      <c r="E3247" s="9" t="str">
        <f t="shared" si="739"/>
        <v>PSNP'!</v>
      </c>
      <c r="F3247" s="5" t="str">
        <f t="shared" si="740"/>
        <v>C:\Users\jaime.benazar\Quorum Business Solutions\Ecopetrol Prometeo - Documents\Planning Space Implementation\3. Analysis &amp; Design\Design\FC22\DRR Jaime\Neiva CPI\[VAO_DINA TERCIARIOS_CF_SEC_20230117.xlsx]CF PSNP'!</v>
      </c>
      <c r="G3247" s="6" t="s">
        <v>111</v>
      </c>
      <c r="H3247" s="1"/>
      <c r="I3247" s="1"/>
    </row>
    <row r="3248" spans="1:9" x14ac:dyDescent="0.3">
      <c r="A3248" s="6" t="s">
        <v>22</v>
      </c>
      <c r="B3248" s="6">
        <f t="shared" si="742"/>
        <v>2039</v>
      </c>
      <c r="C3248" s="1" t="s">
        <v>110</v>
      </c>
      <c r="D3248" s="2" t="s">
        <v>131</v>
      </c>
      <c r="E3248" s="9" t="str">
        <f t="shared" si="739"/>
        <v>PSNP'!</v>
      </c>
      <c r="F3248" s="5" t="str">
        <f t="shared" si="740"/>
        <v>C:\Users\jaime.benazar\Quorum Business Solutions\Ecopetrol Prometeo - Documents\Planning Space Implementation\3. Analysis &amp; Design\Design\FC22\DRR Jaime\Neiva CPI\[VAO_DINA TERCIARIOS_CF_SEC_20230117.xlsx]CF PSNP'!</v>
      </c>
      <c r="G3248" s="6" t="s">
        <v>111</v>
      </c>
      <c r="H3248" s="1"/>
      <c r="I3248" s="1"/>
    </row>
    <row r="3249" spans="1:9" x14ac:dyDescent="0.3">
      <c r="A3249" s="6" t="s">
        <v>22</v>
      </c>
      <c r="B3249" s="6">
        <f t="shared" si="742"/>
        <v>2040</v>
      </c>
      <c r="C3249" s="1" t="s">
        <v>110</v>
      </c>
      <c r="D3249" s="2" t="s">
        <v>131</v>
      </c>
      <c r="E3249" s="9" t="str">
        <f t="shared" si="739"/>
        <v>PSNP'!</v>
      </c>
      <c r="F3249" s="5" t="str">
        <f t="shared" si="740"/>
        <v>C:\Users\jaime.benazar\Quorum Business Solutions\Ecopetrol Prometeo - Documents\Planning Space Implementation\3. Analysis &amp; Design\Design\FC22\DRR Jaime\Neiva CPI\[VAO_DINA TERCIARIOS_CF_SEC_20230117.xlsx]CF PSNP'!</v>
      </c>
      <c r="G3249" s="6" t="s">
        <v>111</v>
      </c>
      <c r="H3249" s="1"/>
      <c r="I3249" s="1"/>
    </row>
    <row r="3250" spans="1:9" x14ac:dyDescent="0.3">
      <c r="A3250" s="6" t="s">
        <v>22</v>
      </c>
      <c r="B3250" s="6">
        <f>+B3249+1</f>
        <v>2041</v>
      </c>
      <c r="C3250" s="1" t="s">
        <v>110</v>
      </c>
      <c r="D3250" s="2" t="s">
        <v>131</v>
      </c>
      <c r="E3250" s="9" t="str">
        <f t="shared" si="739"/>
        <v>PSNP'!</v>
      </c>
      <c r="F3250" s="5" t="str">
        <f t="shared" si="740"/>
        <v>C:\Users\jaime.benazar\Quorum Business Solutions\Ecopetrol Prometeo - Documents\Planning Space Implementation\3. Analysis &amp; Design\Design\FC22\DRR Jaime\Neiva CPI\[VAO_DINA TERCIARIOS_CF_SEC_20230117.xlsx]CF PSNP'!</v>
      </c>
      <c r="G3250" s="6" t="s">
        <v>111</v>
      </c>
      <c r="H3250" s="1"/>
      <c r="I3250" s="1"/>
    </row>
    <row r="3251" spans="1:9" x14ac:dyDescent="0.3">
      <c r="A3251" s="6" t="s">
        <v>22</v>
      </c>
      <c r="B3251" s="6">
        <f t="shared" ref="B3251:B3252" si="743">+B3250+1</f>
        <v>2042</v>
      </c>
      <c r="C3251" s="1" t="s">
        <v>110</v>
      </c>
      <c r="D3251" s="2" t="s">
        <v>131</v>
      </c>
      <c r="E3251" s="9" t="str">
        <f t="shared" si="739"/>
        <v>PSNP'!</v>
      </c>
      <c r="F3251" s="5" t="str">
        <f t="shared" si="740"/>
        <v>C:\Users\jaime.benazar\Quorum Business Solutions\Ecopetrol Prometeo - Documents\Planning Space Implementation\3. Analysis &amp; Design\Design\FC22\DRR Jaime\Neiva CPI\[VAO_DINA TERCIARIOS_CF_SEC_20230117.xlsx]CF PSNP'!</v>
      </c>
      <c r="G3251" s="6" t="s">
        <v>111</v>
      </c>
      <c r="H3251" s="1"/>
      <c r="I3251" s="1"/>
    </row>
    <row r="3252" spans="1:9" x14ac:dyDescent="0.3">
      <c r="A3252" s="6" t="s">
        <v>22</v>
      </c>
      <c r="B3252" s="6">
        <f t="shared" si="743"/>
        <v>2043</v>
      </c>
      <c r="C3252" s="1" t="s">
        <v>110</v>
      </c>
      <c r="D3252" s="2" t="s">
        <v>131</v>
      </c>
      <c r="E3252" s="9" t="str">
        <f t="shared" si="739"/>
        <v>PSNP'!</v>
      </c>
      <c r="F3252" s="5" t="str">
        <f t="shared" si="740"/>
        <v>C:\Users\jaime.benazar\Quorum Business Solutions\Ecopetrol Prometeo - Documents\Planning Space Implementation\3. Analysis &amp; Design\Design\FC22\DRR Jaime\Neiva CPI\[VAO_DINA TERCIARIOS_CF_SEC_20230117.xlsx]CF PSNP'!</v>
      </c>
      <c r="G3252" s="6" t="s">
        <v>111</v>
      </c>
      <c r="H3252" s="1"/>
      <c r="I3252" s="1"/>
    </row>
    <row r="3253" spans="1:9" x14ac:dyDescent="0.3">
      <c r="A3253" s="6" t="s">
        <v>22</v>
      </c>
      <c r="B3253" s="6">
        <f>+B3252+1</f>
        <v>2044</v>
      </c>
      <c r="C3253" s="1" t="s">
        <v>110</v>
      </c>
      <c r="D3253" s="2" t="s">
        <v>131</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Jaime\Neiva CPI\[VAO_DINA TERCIARIOS_CF_SEC_20230117.xlsx]CF PSNP'!</v>
      </c>
      <c r="G3253" s="6" t="s">
        <v>111</v>
      </c>
      <c r="H3253" s="1"/>
      <c r="I3253" s="1"/>
    </row>
    <row r="3254" spans="1:9" x14ac:dyDescent="0.3">
      <c r="A3254" s="6" t="s">
        <v>22</v>
      </c>
      <c r="B3254" s="6">
        <f t="shared" ref="B3254:B3268" si="746">+B3253+1</f>
        <v>2045</v>
      </c>
      <c r="C3254" s="1" t="s">
        <v>110</v>
      </c>
      <c r="D3254" s="2" t="s">
        <v>131</v>
      </c>
      <c r="E3254" s="9" t="str">
        <f t="shared" si="744"/>
        <v>PSNP'!</v>
      </c>
      <c r="F3254" s="5" t="str">
        <f t="shared" si="745"/>
        <v>C:\Users\jaime.benazar\Quorum Business Solutions\Ecopetrol Prometeo - Documents\Planning Space Implementation\3. Analysis &amp; Design\Design\FC22\DRR Jaime\Neiva CPI\[VAO_DINA TERCIARIOS_CF_SEC_20230117.xlsx]CF PSNP'!</v>
      </c>
      <c r="G3254" s="6" t="s">
        <v>111</v>
      </c>
      <c r="H3254" s="1"/>
      <c r="I3254" s="1"/>
    </row>
    <row r="3255" spans="1:9" x14ac:dyDescent="0.3">
      <c r="A3255" s="6" t="s">
        <v>22</v>
      </c>
      <c r="B3255" s="6">
        <f t="shared" si="746"/>
        <v>2046</v>
      </c>
      <c r="C3255" s="1" t="s">
        <v>110</v>
      </c>
      <c r="D3255" s="2" t="s">
        <v>131</v>
      </c>
      <c r="E3255" s="9" t="str">
        <f t="shared" si="744"/>
        <v>PSNP'!</v>
      </c>
      <c r="F3255" s="5" t="str">
        <f t="shared" si="745"/>
        <v>C:\Users\jaime.benazar\Quorum Business Solutions\Ecopetrol Prometeo - Documents\Planning Space Implementation\3. Analysis &amp; Design\Design\FC22\DRR Jaime\Neiva CPI\[VAO_DINA TERCIARIOS_CF_SEC_20230117.xlsx]CF PSNP'!</v>
      </c>
      <c r="G3255" s="6" t="s">
        <v>111</v>
      </c>
      <c r="H3255" s="1"/>
      <c r="I3255" s="1"/>
    </row>
    <row r="3256" spans="1:9" x14ac:dyDescent="0.3">
      <c r="A3256" s="6" t="s">
        <v>22</v>
      </c>
      <c r="B3256" s="6">
        <f t="shared" si="746"/>
        <v>2047</v>
      </c>
      <c r="C3256" s="1" t="s">
        <v>110</v>
      </c>
      <c r="D3256" s="2" t="s">
        <v>131</v>
      </c>
      <c r="E3256" s="9" t="str">
        <f t="shared" si="744"/>
        <v>PSNP'!</v>
      </c>
      <c r="F3256" s="5" t="str">
        <f t="shared" si="745"/>
        <v>C:\Users\jaime.benazar\Quorum Business Solutions\Ecopetrol Prometeo - Documents\Planning Space Implementation\3. Analysis &amp; Design\Design\FC22\DRR Jaime\Neiva CPI\[VAO_DINA TERCIARIOS_CF_SEC_20230117.xlsx]CF PSNP'!</v>
      </c>
      <c r="G3256" s="6" t="s">
        <v>111</v>
      </c>
      <c r="H3256" s="1"/>
      <c r="I3256" s="1"/>
    </row>
    <row r="3257" spans="1:9" x14ac:dyDescent="0.3">
      <c r="A3257" s="6" t="s">
        <v>22</v>
      </c>
      <c r="B3257" s="6">
        <f t="shared" si="746"/>
        <v>2048</v>
      </c>
      <c r="C3257" s="1" t="s">
        <v>110</v>
      </c>
      <c r="D3257" s="2" t="s">
        <v>131</v>
      </c>
      <c r="E3257" s="9" t="str">
        <f t="shared" si="744"/>
        <v>PSNP'!</v>
      </c>
      <c r="F3257" s="5" t="str">
        <f t="shared" si="745"/>
        <v>C:\Users\jaime.benazar\Quorum Business Solutions\Ecopetrol Prometeo - Documents\Planning Space Implementation\3. Analysis &amp; Design\Design\FC22\DRR Jaime\Neiva CPI\[VAO_DINA TERCIARIOS_CF_SEC_20230117.xlsx]CF PSNP'!</v>
      </c>
      <c r="G3257" s="6" t="s">
        <v>111</v>
      </c>
      <c r="H3257" s="1"/>
      <c r="I3257" s="1"/>
    </row>
    <row r="3258" spans="1:9" x14ac:dyDescent="0.3">
      <c r="A3258" s="6" t="s">
        <v>22</v>
      </c>
      <c r="B3258" s="6">
        <f t="shared" si="746"/>
        <v>2049</v>
      </c>
      <c r="C3258" s="1" t="s">
        <v>110</v>
      </c>
      <c r="D3258" s="2" t="s">
        <v>131</v>
      </c>
      <c r="E3258" s="9" t="str">
        <f t="shared" si="744"/>
        <v>PSNP'!</v>
      </c>
      <c r="F3258" s="5" t="str">
        <f t="shared" si="745"/>
        <v>C:\Users\jaime.benazar\Quorum Business Solutions\Ecopetrol Prometeo - Documents\Planning Space Implementation\3. Analysis &amp; Design\Design\FC22\DRR Jaime\Neiva CPI\[VAO_DINA TERCIARIOS_CF_SEC_20230117.xlsx]CF PSNP'!</v>
      </c>
      <c r="G3258" s="6" t="s">
        <v>111</v>
      </c>
      <c r="H3258" s="1"/>
      <c r="I3258" s="1"/>
    </row>
    <row r="3259" spans="1:9" x14ac:dyDescent="0.3">
      <c r="A3259" s="6" t="s">
        <v>22</v>
      </c>
      <c r="B3259" s="6">
        <f t="shared" si="746"/>
        <v>2050</v>
      </c>
      <c r="C3259" s="1" t="s">
        <v>110</v>
      </c>
      <c r="D3259" s="2" t="s">
        <v>131</v>
      </c>
      <c r="E3259" s="9" t="str">
        <f t="shared" si="744"/>
        <v>PSNP'!</v>
      </c>
      <c r="F3259" s="5" t="str">
        <f t="shared" si="745"/>
        <v>C:\Users\jaime.benazar\Quorum Business Solutions\Ecopetrol Prometeo - Documents\Planning Space Implementation\3. Analysis &amp; Design\Design\FC22\DRR Jaime\Neiva CPI\[VAO_DINA TERCIARIOS_CF_SEC_20230117.xlsx]CF PSNP'!</v>
      </c>
      <c r="G3259" s="6" t="s">
        <v>111</v>
      </c>
      <c r="H3259" s="1"/>
      <c r="I3259" s="1"/>
    </row>
    <row r="3260" spans="1:9" x14ac:dyDescent="0.3">
      <c r="A3260" s="6" t="s">
        <v>22</v>
      </c>
      <c r="B3260" s="6">
        <f t="shared" si="746"/>
        <v>2051</v>
      </c>
      <c r="C3260" s="1" t="s">
        <v>110</v>
      </c>
      <c r="D3260" s="2" t="s">
        <v>131</v>
      </c>
      <c r="E3260" s="9" t="str">
        <f t="shared" si="744"/>
        <v>PSNP'!</v>
      </c>
      <c r="F3260" s="5" t="str">
        <f t="shared" si="745"/>
        <v>C:\Users\jaime.benazar\Quorum Business Solutions\Ecopetrol Prometeo - Documents\Planning Space Implementation\3. Analysis &amp; Design\Design\FC22\DRR Jaime\Neiva CPI\[VAO_DINA TERCIARIOS_CF_SEC_20230117.xlsx]CF PSNP'!</v>
      </c>
      <c r="G3260" s="6" t="s">
        <v>111</v>
      </c>
      <c r="H3260" s="1"/>
      <c r="I3260" s="1"/>
    </row>
    <row r="3261" spans="1:9" x14ac:dyDescent="0.3">
      <c r="A3261" s="6" t="s">
        <v>22</v>
      </c>
      <c r="B3261" s="6">
        <f t="shared" si="746"/>
        <v>2052</v>
      </c>
      <c r="C3261" s="1" t="s">
        <v>110</v>
      </c>
      <c r="D3261" s="2" t="s">
        <v>131</v>
      </c>
      <c r="E3261" s="9" t="str">
        <f t="shared" si="744"/>
        <v>PSNP'!</v>
      </c>
      <c r="F3261" s="5" t="str">
        <f t="shared" si="745"/>
        <v>C:\Users\jaime.benazar\Quorum Business Solutions\Ecopetrol Prometeo - Documents\Planning Space Implementation\3. Analysis &amp; Design\Design\FC22\DRR Jaime\Neiva CPI\[VAO_DINA TERCIARIOS_CF_SEC_20230117.xlsx]CF PSNP'!</v>
      </c>
      <c r="G3261" s="6" t="s">
        <v>111</v>
      </c>
      <c r="H3261" s="1"/>
      <c r="I3261" s="1"/>
    </row>
    <row r="3262" spans="1:9" x14ac:dyDescent="0.3">
      <c r="A3262" s="6" t="s">
        <v>22</v>
      </c>
      <c r="B3262" s="6">
        <f t="shared" si="746"/>
        <v>2053</v>
      </c>
      <c r="C3262" s="1" t="s">
        <v>110</v>
      </c>
      <c r="D3262" s="2" t="s">
        <v>131</v>
      </c>
      <c r="E3262" s="9" t="str">
        <f t="shared" si="744"/>
        <v>PSNP'!</v>
      </c>
      <c r="F3262" s="5" t="str">
        <f t="shared" si="745"/>
        <v>C:\Users\jaime.benazar\Quorum Business Solutions\Ecopetrol Prometeo - Documents\Planning Space Implementation\3. Analysis &amp; Design\Design\FC22\DRR Jaime\Neiva CPI\[VAO_DINA TERCIARIOS_CF_SEC_20230117.xlsx]CF PSNP'!</v>
      </c>
      <c r="G3262" s="6" t="s">
        <v>111</v>
      </c>
      <c r="H3262" s="1"/>
      <c r="I3262" s="1"/>
    </row>
    <row r="3263" spans="1:9" x14ac:dyDescent="0.3">
      <c r="A3263" s="6" t="s">
        <v>22</v>
      </c>
      <c r="B3263" s="6">
        <f t="shared" si="746"/>
        <v>2054</v>
      </c>
      <c r="C3263" s="1" t="s">
        <v>110</v>
      </c>
      <c r="D3263" s="2" t="s">
        <v>131</v>
      </c>
      <c r="E3263" s="9" t="str">
        <f t="shared" si="744"/>
        <v>PSNP'!</v>
      </c>
      <c r="F3263" s="5" t="str">
        <f t="shared" si="745"/>
        <v>C:\Users\jaime.benazar\Quorum Business Solutions\Ecopetrol Prometeo - Documents\Planning Space Implementation\3. Analysis &amp; Design\Design\FC22\DRR Jaime\Neiva CPI\[VAO_DINA TERCIARIOS_CF_SEC_20230117.xlsx]CF PSNP'!</v>
      </c>
      <c r="G3263" s="6" t="s">
        <v>111</v>
      </c>
      <c r="H3263" s="1"/>
      <c r="I3263" s="1"/>
    </row>
    <row r="3264" spans="1:9" x14ac:dyDescent="0.3">
      <c r="A3264" s="6" t="s">
        <v>22</v>
      </c>
      <c r="B3264" s="6">
        <f t="shared" si="746"/>
        <v>2055</v>
      </c>
      <c r="C3264" s="1" t="s">
        <v>110</v>
      </c>
      <c r="D3264" s="2" t="s">
        <v>131</v>
      </c>
      <c r="E3264" s="9" t="str">
        <f t="shared" si="744"/>
        <v>PSNP'!</v>
      </c>
      <c r="F3264" s="5" t="str">
        <f t="shared" si="745"/>
        <v>C:\Users\jaime.benazar\Quorum Business Solutions\Ecopetrol Prometeo - Documents\Planning Space Implementation\3. Analysis &amp; Design\Design\FC22\DRR Jaime\Neiva CPI\[VAO_DINA TERCIARIOS_CF_SEC_20230117.xlsx]CF PSNP'!</v>
      </c>
      <c r="G3264" s="6" t="s">
        <v>111</v>
      </c>
      <c r="H3264" s="1"/>
      <c r="I3264" s="1"/>
    </row>
    <row r="3265" spans="1:9" x14ac:dyDescent="0.3">
      <c r="A3265" s="6" t="s">
        <v>22</v>
      </c>
      <c r="B3265" s="6">
        <f t="shared" si="746"/>
        <v>2056</v>
      </c>
      <c r="C3265" s="1" t="s">
        <v>110</v>
      </c>
      <c r="D3265" s="2" t="s">
        <v>131</v>
      </c>
      <c r="E3265" s="9" t="str">
        <f t="shared" si="744"/>
        <v>PSNP'!</v>
      </c>
      <c r="F3265" s="5" t="str">
        <f t="shared" si="745"/>
        <v>C:\Users\jaime.benazar\Quorum Business Solutions\Ecopetrol Prometeo - Documents\Planning Space Implementation\3. Analysis &amp; Design\Design\FC22\DRR Jaime\Neiva CPI\[VAO_DINA TERCIARIOS_CF_SEC_20230117.xlsx]CF PSNP'!</v>
      </c>
      <c r="G3265" s="6" t="s">
        <v>111</v>
      </c>
      <c r="H3265" s="1"/>
      <c r="I3265" s="1"/>
    </row>
    <row r="3266" spans="1:9" x14ac:dyDescent="0.3">
      <c r="A3266" s="6" t="s">
        <v>22</v>
      </c>
      <c r="B3266" s="6">
        <f t="shared" si="746"/>
        <v>2057</v>
      </c>
      <c r="C3266" s="1" t="s">
        <v>110</v>
      </c>
      <c r="D3266" s="2" t="s">
        <v>131</v>
      </c>
      <c r="E3266" s="9" t="str">
        <f t="shared" si="744"/>
        <v>PSNP'!</v>
      </c>
      <c r="F3266" s="5" t="str">
        <f t="shared" si="745"/>
        <v>C:\Users\jaime.benazar\Quorum Business Solutions\Ecopetrol Prometeo - Documents\Planning Space Implementation\3. Analysis &amp; Design\Design\FC22\DRR Jaime\Neiva CPI\[VAO_DINA TERCIARIOS_CF_SEC_20230117.xlsx]CF PSNP'!</v>
      </c>
      <c r="G3266" s="6" t="s">
        <v>111</v>
      </c>
      <c r="H3266" s="1"/>
      <c r="I3266" s="1"/>
    </row>
    <row r="3267" spans="1:9" x14ac:dyDescent="0.3">
      <c r="A3267" s="6" t="s">
        <v>22</v>
      </c>
      <c r="B3267" s="6">
        <f t="shared" si="746"/>
        <v>2058</v>
      </c>
      <c r="C3267" s="1" t="s">
        <v>110</v>
      </c>
      <c r="D3267" s="2" t="s">
        <v>131</v>
      </c>
      <c r="E3267" s="9" t="str">
        <f t="shared" si="744"/>
        <v>PSNP'!</v>
      </c>
      <c r="F3267" s="5" t="str">
        <f t="shared" si="745"/>
        <v>C:\Users\jaime.benazar\Quorum Business Solutions\Ecopetrol Prometeo - Documents\Planning Space Implementation\3. Analysis &amp; Design\Design\FC22\DRR Jaime\Neiva CPI\[VAO_DINA TERCIARIOS_CF_SEC_20230117.xlsx]CF PSNP'!</v>
      </c>
      <c r="G3267" s="6" t="s">
        <v>111</v>
      </c>
      <c r="H3267" s="1"/>
      <c r="I3267" s="1"/>
    </row>
    <row r="3268" spans="1:9" x14ac:dyDescent="0.3">
      <c r="A3268" s="6" t="s">
        <v>22</v>
      </c>
      <c r="B3268" s="6">
        <f t="shared" si="746"/>
        <v>2059</v>
      </c>
      <c r="C3268" s="1" t="s">
        <v>110</v>
      </c>
      <c r="D3268" s="2" t="s">
        <v>131</v>
      </c>
      <c r="E3268" s="9" t="str">
        <f t="shared" si="744"/>
        <v>PSNP'!</v>
      </c>
      <c r="F3268" s="5" t="str">
        <f t="shared" si="745"/>
        <v>C:\Users\jaime.benazar\Quorum Business Solutions\Ecopetrol Prometeo - Documents\Planning Space Implementation\3. Analysis &amp; Design\Design\FC22\DRR Jaime\Neiva CPI\[VAO_DINA TERCIARIOS_CF_SEC_20230117.xlsx]CF PSNP'!</v>
      </c>
      <c r="G3268" s="6" t="s">
        <v>111</v>
      </c>
      <c r="H3268" s="1"/>
      <c r="I3268" s="1"/>
    </row>
    <row r="3269" spans="1:9" x14ac:dyDescent="0.3">
      <c r="A3269" s="8" t="s">
        <v>26</v>
      </c>
      <c r="C3269" s="1" t="s">
        <v>110</v>
      </c>
      <c r="D3269" s="2"/>
      <c r="E3269" s="8" t="str">
        <f t="shared" si="739"/>
        <v>Total'!</v>
      </c>
      <c r="F3269" s="5"/>
    </row>
    <row r="3270" spans="1:9" x14ac:dyDescent="0.3">
      <c r="A3270" s="6" t="s">
        <v>23</v>
      </c>
      <c r="B3270" s="6">
        <v>2023</v>
      </c>
      <c r="C3270" s="1" t="s">
        <v>110</v>
      </c>
      <c r="D3270" s="2" t="s">
        <v>131</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Jaime\Neiva CPI\[VAO_DINA TERCIARIOS_CF_SEC_20230117.xlsx]CF PSND'!</v>
      </c>
      <c r="G3270" s="6" t="s">
        <v>111</v>
      </c>
      <c r="H3270" s="1"/>
      <c r="I3270" s="1"/>
    </row>
    <row r="3271" spans="1:9" x14ac:dyDescent="0.3">
      <c r="A3271" s="6" t="s">
        <v>23</v>
      </c>
      <c r="B3271" s="6">
        <f>+B3270+1</f>
        <v>2024</v>
      </c>
      <c r="C3271" s="1" t="s">
        <v>110</v>
      </c>
      <c r="D3271" s="2" t="s">
        <v>131</v>
      </c>
      <c r="E3271" s="9" t="str">
        <f t="shared" si="747"/>
        <v>PSND'!</v>
      </c>
      <c r="F3271" s="5" t="str">
        <f t="shared" si="748"/>
        <v>C:\Users\jaime.benazar\Quorum Business Solutions\Ecopetrol Prometeo - Documents\Planning Space Implementation\3. Analysis &amp; Design\Design\FC22\DRR Jaime\Neiva CPI\[VAO_DINA TERCIARIOS_CF_SEC_20230117.xlsx]CF PSND'!</v>
      </c>
      <c r="G3271" s="6" t="s">
        <v>111</v>
      </c>
      <c r="H3271" s="1"/>
      <c r="I3271" s="1"/>
    </row>
    <row r="3272" spans="1:9" x14ac:dyDescent="0.3">
      <c r="A3272" s="6" t="s">
        <v>23</v>
      </c>
      <c r="B3272" s="6">
        <f t="shared" ref="B3272:B3283" si="749">+B3271+1</f>
        <v>2025</v>
      </c>
      <c r="C3272" s="1" t="s">
        <v>110</v>
      </c>
      <c r="D3272" s="2" t="s">
        <v>131</v>
      </c>
      <c r="E3272" s="9" t="str">
        <f t="shared" si="747"/>
        <v>PSND'!</v>
      </c>
      <c r="F3272" s="5" t="str">
        <f t="shared" si="748"/>
        <v>C:\Users\jaime.benazar\Quorum Business Solutions\Ecopetrol Prometeo - Documents\Planning Space Implementation\3. Analysis &amp; Design\Design\FC22\DRR Jaime\Neiva CPI\[VAO_DINA TERCIARIOS_CF_SEC_20230117.xlsx]CF PSND'!</v>
      </c>
      <c r="G3272" s="6" t="s">
        <v>111</v>
      </c>
      <c r="H3272" s="1"/>
      <c r="I3272" s="1"/>
    </row>
    <row r="3273" spans="1:9" x14ac:dyDescent="0.3">
      <c r="A3273" s="6" t="s">
        <v>23</v>
      </c>
      <c r="B3273" s="6">
        <f t="shared" si="749"/>
        <v>2026</v>
      </c>
      <c r="C3273" s="1" t="s">
        <v>110</v>
      </c>
      <c r="D3273" s="2" t="s">
        <v>131</v>
      </c>
      <c r="E3273" s="9" t="str">
        <f t="shared" si="747"/>
        <v>PSND'!</v>
      </c>
      <c r="F3273" s="5" t="str">
        <f t="shared" si="748"/>
        <v>C:\Users\jaime.benazar\Quorum Business Solutions\Ecopetrol Prometeo - Documents\Planning Space Implementation\3. Analysis &amp; Design\Design\FC22\DRR Jaime\Neiva CPI\[VAO_DINA TERCIARIOS_CF_SEC_20230117.xlsx]CF PSND'!</v>
      </c>
      <c r="G3273" s="6" t="s">
        <v>111</v>
      </c>
      <c r="H3273" s="1"/>
      <c r="I3273" s="1"/>
    </row>
    <row r="3274" spans="1:9" x14ac:dyDescent="0.3">
      <c r="A3274" s="6" t="s">
        <v>23</v>
      </c>
      <c r="B3274" s="6">
        <f t="shared" si="749"/>
        <v>2027</v>
      </c>
      <c r="C3274" s="1" t="s">
        <v>110</v>
      </c>
      <c r="D3274" s="2" t="s">
        <v>131</v>
      </c>
      <c r="E3274" s="9" t="str">
        <f t="shared" si="747"/>
        <v>PSND'!</v>
      </c>
      <c r="F3274" s="5" t="str">
        <f t="shared" si="748"/>
        <v>C:\Users\jaime.benazar\Quorum Business Solutions\Ecopetrol Prometeo - Documents\Planning Space Implementation\3. Analysis &amp; Design\Design\FC22\DRR Jaime\Neiva CPI\[VAO_DINA TERCIARIOS_CF_SEC_20230117.xlsx]CF PSND'!</v>
      </c>
      <c r="G3274" s="6" t="s">
        <v>111</v>
      </c>
      <c r="H3274" s="1"/>
      <c r="I3274" s="1"/>
    </row>
    <row r="3275" spans="1:9" x14ac:dyDescent="0.3">
      <c r="A3275" s="6" t="s">
        <v>23</v>
      </c>
      <c r="B3275" s="6">
        <f t="shared" si="749"/>
        <v>2028</v>
      </c>
      <c r="C3275" s="1" t="s">
        <v>110</v>
      </c>
      <c r="D3275" s="2" t="s">
        <v>131</v>
      </c>
      <c r="E3275" s="9" t="str">
        <f t="shared" si="747"/>
        <v>PSND'!</v>
      </c>
      <c r="F3275" s="5" t="str">
        <f t="shared" si="748"/>
        <v>C:\Users\jaime.benazar\Quorum Business Solutions\Ecopetrol Prometeo - Documents\Planning Space Implementation\3. Analysis &amp; Design\Design\FC22\DRR Jaime\Neiva CPI\[VAO_DINA TERCIARIOS_CF_SEC_20230117.xlsx]CF PSND'!</v>
      </c>
      <c r="G3275" s="6" t="s">
        <v>111</v>
      </c>
      <c r="H3275" s="1"/>
      <c r="I3275" s="1"/>
    </row>
    <row r="3276" spans="1:9" x14ac:dyDescent="0.3">
      <c r="A3276" s="6" t="s">
        <v>23</v>
      </c>
      <c r="B3276" s="6">
        <f t="shared" si="749"/>
        <v>2029</v>
      </c>
      <c r="C3276" s="1" t="s">
        <v>110</v>
      </c>
      <c r="D3276" s="2" t="s">
        <v>131</v>
      </c>
      <c r="E3276" s="9" t="str">
        <f t="shared" si="747"/>
        <v>PSND'!</v>
      </c>
      <c r="F3276" s="5" t="str">
        <f t="shared" si="748"/>
        <v>C:\Users\jaime.benazar\Quorum Business Solutions\Ecopetrol Prometeo - Documents\Planning Space Implementation\3. Analysis &amp; Design\Design\FC22\DRR Jaime\Neiva CPI\[VAO_DINA TERCIARIOS_CF_SEC_20230117.xlsx]CF PSND'!</v>
      </c>
      <c r="G3276" s="6" t="s">
        <v>111</v>
      </c>
      <c r="H3276" s="1"/>
      <c r="I3276" s="1"/>
    </row>
    <row r="3277" spans="1:9" x14ac:dyDescent="0.3">
      <c r="A3277" s="6" t="s">
        <v>23</v>
      </c>
      <c r="B3277" s="6">
        <f t="shared" si="749"/>
        <v>2030</v>
      </c>
      <c r="C3277" s="1" t="s">
        <v>110</v>
      </c>
      <c r="D3277" s="2" t="s">
        <v>131</v>
      </c>
      <c r="E3277" s="9" t="str">
        <f t="shared" si="747"/>
        <v>PSND'!</v>
      </c>
      <c r="F3277" s="5" t="str">
        <f t="shared" si="748"/>
        <v>C:\Users\jaime.benazar\Quorum Business Solutions\Ecopetrol Prometeo - Documents\Planning Space Implementation\3. Analysis &amp; Design\Design\FC22\DRR Jaime\Neiva CPI\[VAO_DINA TERCIARIOS_CF_SEC_20230117.xlsx]CF PSND'!</v>
      </c>
      <c r="G3277" s="6" t="s">
        <v>111</v>
      </c>
      <c r="H3277" s="1"/>
      <c r="I3277" s="1"/>
    </row>
    <row r="3278" spans="1:9" x14ac:dyDescent="0.3">
      <c r="A3278" s="6" t="s">
        <v>23</v>
      </c>
      <c r="B3278" s="6">
        <f t="shared" si="749"/>
        <v>2031</v>
      </c>
      <c r="C3278" s="1" t="s">
        <v>110</v>
      </c>
      <c r="D3278" s="2" t="s">
        <v>131</v>
      </c>
      <c r="E3278" s="9" t="str">
        <f t="shared" si="747"/>
        <v>PSND'!</v>
      </c>
      <c r="F3278" s="5" t="str">
        <f t="shared" si="748"/>
        <v>C:\Users\jaime.benazar\Quorum Business Solutions\Ecopetrol Prometeo - Documents\Planning Space Implementation\3. Analysis &amp; Design\Design\FC22\DRR Jaime\Neiva CPI\[VAO_DINA TERCIARIOS_CF_SEC_20230117.xlsx]CF PSND'!</v>
      </c>
      <c r="G3278" s="6" t="s">
        <v>111</v>
      </c>
      <c r="H3278" s="1"/>
      <c r="I3278" s="1"/>
    </row>
    <row r="3279" spans="1:9" x14ac:dyDescent="0.3">
      <c r="A3279" s="6" t="s">
        <v>23</v>
      </c>
      <c r="B3279" s="6">
        <f t="shared" si="749"/>
        <v>2032</v>
      </c>
      <c r="C3279" s="1" t="s">
        <v>110</v>
      </c>
      <c r="D3279" s="2" t="s">
        <v>131</v>
      </c>
      <c r="E3279" s="9" t="str">
        <f t="shared" si="747"/>
        <v>PSND'!</v>
      </c>
      <c r="F3279" s="5" t="str">
        <f t="shared" si="748"/>
        <v>C:\Users\jaime.benazar\Quorum Business Solutions\Ecopetrol Prometeo - Documents\Planning Space Implementation\3. Analysis &amp; Design\Design\FC22\DRR Jaime\Neiva CPI\[VAO_DINA TERCIARIOS_CF_SEC_20230117.xlsx]CF PSND'!</v>
      </c>
      <c r="G3279" s="6" t="s">
        <v>111</v>
      </c>
      <c r="H3279" s="1"/>
      <c r="I3279" s="1"/>
    </row>
    <row r="3280" spans="1:9" x14ac:dyDescent="0.3">
      <c r="A3280" s="6" t="s">
        <v>23</v>
      </c>
      <c r="B3280" s="6">
        <f t="shared" si="749"/>
        <v>2033</v>
      </c>
      <c r="C3280" s="1" t="s">
        <v>110</v>
      </c>
      <c r="D3280" s="2" t="s">
        <v>131</v>
      </c>
      <c r="E3280" s="9" t="str">
        <f t="shared" si="747"/>
        <v>PSND'!</v>
      </c>
      <c r="F3280" s="5" t="str">
        <f t="shared" si="748"/>
        <v>C:\Users\jaime.benazar\Quorum Business Solutions\Ecopetrol Prometeo - Documents\Planning Space Implementation\3. Analysis &amp; Design\Design\FC22\DRR Jaime\Neiva CPI\[VAO_DINA TERCIARIOS_CF_SEC_20230117.xlsx]CF PSND'!</v>
      </c>
      <c r="G3280" s="6" t="s">
        <v>111</v>
      </c>
      <c r="H3280" s="1"/>
      <c r="I3280" s="1"/>
    </row>
    <row r="3281" spans="1:9" x14ac:dyDescent="0.3">
      <c r="A3281" s="6" t="s">
        <v>23</v>
      </c>
      <c r="B3281" s="6">
        <f t="shared" si="749"/>
        <v>2034</v>
      </c>
      <c r="C3281" s="1" t="s">
        <v>110</v>
      </c>
      <c r="D3281" s="2" t="s">
        <v>131</v>
      </c>
      <c r="E3281" s="9" t="str">
        <f t="shared" si="747"/>
        <v>PSND'!</v>
      </c>
      <c r="F3281" s="5" t="str">
        <f t="shared" si="748"/>
        <v>C:\Users\jaime.benazar\Quorum Business Solutions\Ecopetrol Prometeo - Documents\Planning Space Implementation\3. Analysis &amp; Design\Design\FC22\DRR Jaime\Neiva CPI\[VAO_DINA TERCIARIOS_CF_SEC_20230117.xlsx]CF PSND'!</v>
      </c>
      <c r="G3281" s="6" t="s">
        <v>111</v>
      </c>
      <c r="H3281" s="1"/>
      <c r="I3281" s="1"/>
    </row>
    <row r="3282" spans="1:9" x14ac:dyDescent="0.3">
      <c r="A3282" s="6" t="s">
        <v>23</v>
      </c>
      <c r="B3282" s="6">
        <f t="shared" si="749"/>
        <v>2035</v>
      </c>
      <c r="C3282" s="1" t="s">
        <v>110</v>
      </c>
      <c r="D3282" s="2" t="s">
        <v>131</v>
      </c>
      <c r="E3282" s="9" t="str">
        <f t="shared" si="747"/>
        <v>PSND'!</v>
      </c>
      <c r="F3282" s="5" t="str">
        <f t="shared" si="748"/>
        <v>C:\Users\jaime.benazar\Quorum Business Solutions\Ecopetrol Prometeo - Documents\Planning Space Implementation\3. Analysis &amp; Design\Design\FC22\DRR Jaime\Neiva CPI\[VAO_DINA TERCIARIOS_CF_SEC_20230117.xlsx]CF PSND'!</v>
      </c>
      <c r="G3282" s="6" t="s">
        <v>111</v>
      </c>
      <c r="H3282" s="1"/>
      <c r="I3282" s="1"/>
    </row>
    <row r="3283" spans="1:9" x14ac:dyDescent="0.3">
      <c r="A3283" s="6" t="s">
        <v>23</v>
      </c>
      <c r="B3283" s="6">
        <f t="shared" si="749"/>
        <v>2036</v>
      </c>
      <c r="C3283" s="1" t="s">
        <v>110</v>
      </c>
      <c r="D3283" s="2" t="s">
        <v>131</v>
      </c>
      <c r="E3283" s="9" t="str">
        <f t="shared" si="747"/>
        <v>PSND'!</v>
      </c>
      <c r="F3283" s="5" t="str">
        <f t="shared" si="748"/>
        <v>C:\Users\jaime.benazar\Quorum Business Solutions\Ecopetrol Prometeo - Documents\Planning Space Implementation\3. Analysis &amp; Design\Design\FC22\DRR Jaime\Neiva CPI\[VAO_DINA TERCIARIOS_CF_SEC_20230117.xlsx]CF PSND'!</v>
      </c>
      <c r="G3283" s="6" t="s">
        <v>111</v>
      </c>
      <c r="H3283" s="1"/>
      <c r="I3283" s="1"/>
    </row>
    <row r="3284" spans="1:9" x14ac:dyDescent="0.3">
      <c r="A3284" s="6" t="s">
        <v>23</v>
      </c>
      <c r="B3284" s="6">
        <f>+B3283+1</f>
        <v>2037</v>
      </c>
      <c r="C3284" s="1" t="s">
        <v>110</v>
      </c>
      <c r="D3284" s="2" t="s">
        <v>131</v>
      </c>
      <c r="E3284" s="9" t="str">
        <f t="shared" si="747"/>
        <v>PSND'!</v>
      </c>
      <c r="F3284" s="5" t="str">
        <f t="shared" si="748"/>
        <v>C:\Users\jaime.benazar\Quorum Business Solutions\Ecopetrol Prometeo - Documents\Planning Space Implementation\3. Analysis &amp; Design\Design\FC22\DRR Jaime\Neiva CPI\[VAO_DINA TERCIARIOS_CF_SEC_20230117.xlsx]CF PSND'!</v>
      </c>
      <c r="G3284" s="6" t="s">
        <v>111</v>
      </c>
      <c r="H3284" s="1"/>
      <c r="I3284" s="1"/>
    </row>
    <row r="3285" spans="1:9" x14ac:dyDescent="0.3">
      <c r="A3285" s="6" t="s">
        <v>23</v>
      </c>
      <c r="B3285" s="6">
        <f t="shared" ref="B3285:B3287" si="750">+B3284+1</f>
        <v>2038</v>
      </c>
      <c r="C3285" s="1" t="s">
        <v>110</v>
      </c>
      <c r="D3285" s="2" t="s">
        <v>131</v>
      </c>
      <c r="E3285" s="9" t="str">
        <f t="shared" si="747"/>
        <v>PSND'!</v>
      </c>
      <c r="F3285" s="5" t="str">
        <f t="shared" si="748"/>
        <v>C:\Users\jaime.benazar\Quorum Business Solutions\Ecopetrol Prometeo - Documents\Planning Space Implementation\3. Analysis &amp; Design\Design\FC22\DRR Jaime\Neiva CPI\[VAO_DINA TERCIARIOS_CF_SEC_20230117.xlsx]CF PSND'!</v>
      </c>
      <c r="G3285" s="6" t="s">
        <v>111</v>
      </c>
      <c r="H3285" s="1"/>
      <c r="I3285" s="1"/>
    </row>
    <row r="3286" spans="1:9" x14ac:dyDescent="0.3">
      <c r="A3286" s="6" t="s">
        <v>23</v>
      </c>
      <c r="B3286" s="6">
        <f t="shared" si="750"/>
        <v>2039</v>
      </c>
      <c r="C3286" s="1" t="s">
        <v>110</v>
      </c>
      <c r="D3286" s="2" t="s">
        <v>131</v>
      </c>
      <c r="E3286" s="9" t="str">
        <f t="shared" si="747"/>
        <v>PSND'!</v>
      </c>
      <c r="F3286" s="5" t="str">
        <f t="shared" si="748"/>
        <v>C:\Users\jaime.benazar\Quorum Business Solutions\Ecopetrol Prometeo - Documents\Planning Space Implementation\3. Analysis &amp; Design\Design\FC22\DRR Jaime\Neiva CPI\[VAO_DINA TERCIARIOS_CF_SEC_20230117.xlsx]CF PSND'!</v>
      </c>
      <c r="G3286" s="6" t="s">
        <v>111</v>
      </c>
      <c r="H3286" s="1"/>
      <c r="I3286" s="1"/>
    </row>
    <row r="3287" spans="1:9" x14ac:dyDescent="0.3">
      <c r="A3287" s="6" t="s">
        <v>23</v>
      </c>
      <c r="B3287" s="6">
        <f t="shared" si="750"/>
        <v>2040</v>
      </c>
      <c r="C3287" s="1" t="s">
        <v>110</v>
      </c>
      <c r="D3287" s="2" t="s">
        <v>131</v>
      </c>
      <c r="E3287" s="9" t="str">
        <f t="shared" si="747"/>
        <v>PSND'!</v>
      </c>
      <c r="F3287" s="5" t="str">
        <f t="shared" si="748"/>
        <v>C:\Users\jaime.benazar\Quorum Business Solutions\Ecopetrol Prometeo - Documents\Planning Space Implementation\3. Analysis &amp; Design\Design\FC22\DRR Jaime\Neiva CPI\[VAO_DINA TERCIARIOS_CF_SEC_20230117.xlsx]CF PSND'!</v>
      </c>
      <c r="G3287" s="6" t="s">
        <v>111</v>
      </c>
      <c r="H3287" s="1"/>
      <c r="I3287" s="1"/>
    </row>
    <row r="3288" spans="1:9" x14ac:dyDescent="0.3">
      <c r="A3288" s="6" t="s">
        <v>23</v>
      </c>
      <c r="B3288" s="6">
        <f>+B3287+1</f>
        <v>2041</v>
      </c>
      <c r="C3288" s="1" t="s">
        <v>110</v>
      </c>
      <c r="D3288" s="2" t="s">
        <v>131</v>
      </c>
      <c r="E3288" s="9" t="str">
        <f t="shared" si="747"/>
        <v>PSND'!</v>
      </c>
      <c r="F3288" s="5" t="str">
        <f t="shared" si="748"/>
        <v>C:\Users\jaime.benazar\Quorum Business Solutions\Ecopetrol Prometeo - Documents\Planning Space Implementation\3. Analysis &amp; Design\Design\FC22\DRR Jaime\Neiva CPI\[VAO_DINA TERCIARIOS_CF_SEC_20230117.xlsx]CF PSND'!</v>
      </c>
      <c r="G3288" s="6" t="s">
        <v>111</v>
      </c>
      <c r="H3288" s="1"/>
      <c r="I3288" s="1"/>
    </row>
    <row r="3289" spans="1:9" x14ac:dyDescent="0.3">
      <c r="A3289" s="6" t="s">
        <v>23</v>
      </c>
      <c r="B3289" s="6">
        <f t="shared" ref="B3289:B3290" si="751">+B3288+1</f>
        <v>2042</v>
      </c>
      <c r="C3289" s="1" t="s">
        <v>110</v>
      </c>
      <c r="D3289" s="2" t="s">
        <v>131</v>
      </c>
      <c r="E3289" s="9" t="str">
        <f t="shared" si="747"/>
        <v>PSND'!</v>
      </c>
      <c r="F3289" s="5" t="str">
        <f t="shared" si="748"/>
        <v>C:\Users\jaime.benazar\Quorum Business Solutions\Ecopetrol Prometeo - Documents\Planning Space Implementation\3. Analysis &amp; Design\Design\FC22\DRR Jaime\Neiva CPI\[VAO_DINA TERCIARIOS_CF_SEC_20230117.xlsx]CF PSND'!</v>
      </c>
      <c r="G3289" s="6" t="s">
        <v>111</v>
      </c>
      <c r="H3289" s="1"/>
      <c r="I3289" s="1"/>
    </row>
    <row r="3290" spans="1:9" x14ac:dyDescent="0.3">
      <c r="A3290" s="6" t="s">
        <v>23</v>
      </c>
      <c r="B3290" s="6">
        <f t="shared" si="751"/>
        <v>2043</v>
      </c>
      <c r="C3290" s="1" t="s">
        <v>110</v>
      </c>
      <c r="D3290" s="2" t="s">
        <v>131</v>
      </c>
      <c r="E3290" s="9" t="str">
        <f t="shared" si="747"/>
        <v>PSND'!</v>
      </c>
      <c r="F3290" s="5" t="str">
        <f t="shared" si="748"/>
        <v>C:\Users\jaime.benazar\Quorum Business Solutions\Ecopetrol Prometeo - Documents\Planning Space Implementation\3. Analysis &amp; Design\Design\FC22\DRR Jaime\Neiva CPI\[VAO_DINA TERCIARIOS_CF_SEC_20230117.xlsx]CF PSND'!</v>
      </c>
      <c r="G3290" s="6" t="s">
        <v>111</v>
      </c>
      <c r="H3290" s="1"/>
      <c r="I3290" s="1"/>
    </row>
    <row r="3291" spans="1:9" x14ac:dyDescent="0.3">
      <c r="A3291" s="6" t="s">
        <v>23</v>
      </c>
      <c r="B3291" s="6">
        <f>+B3290+1</f>
        <v>2044</v>
      </c>
      <c r="C3291" s="1" t="s">
        <v>110</v>
      </c>
      <c r="D3291" s="2" t="s">
        <v>131</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Jaime\Neiva CPI\[VAO_DINA TERCIARIOS_CF_SEC_20230117.xlsx]CF PSND'!</v>
      </c>
      <c r="G3291" s="6" t="s">
        <v>111</v>
      </c>
      <c r="H3291" s="1"/>
      <c r="I3291" s="1"/>
    </row>
    <row r="3292" spans="1:9" x14ac:dyDescent="0.3">
      <c r="A3292" s="6" t="s">
        <v>23</v>
      </c>
      <c r="B3292" s="6">
        <f t="shared" ref="B3292:B3306" si="754">+B3291+1</f>
        <v>2045</v>
      </c>
      <c r="C3292" s="1" t="s">
        <v>110</v>
      </c>
      <c r="D3292" s="2" t="s">
        <v>131</v>
      </c>
      <c r="E3292" s="9" t="str">
        <f t="shared" si="752"/>
        <v>PSND'!</v>
      </c>
      <c r="F3292" s="5" t="str">
        <f t="shared" si="753"/>
        <v>C:\Users\jaime.benazar\Quorum Business Solutions\Ecopetrol Prometeo - Documents\Planning Space Implementation\3. Analysis &amp; Design\Design\FC22\DRR Jaime\Neiva CPI\[VAO_DINA TERCIARIOS_CF_SEC_20230117.xlsx]CF PSND'!</v>
      </c>
      <c r="G3292" s="6" t="s">
        <v>111</v>
      </c>
      <c r="H3292" s="1"/>
      <c r="I3292" s="1"/>
    </row>
    <row r="3293" spans="1:9" x14ac:dyDescent="0.3">
      <c r="A3293" s="6" t="s">
        <v>23</v>
      </c>
      <c r="B3293" s="6">
        <f t="shared" si="754"/>
        <v>2046</v>
      </c>
      <c r="C3293" s="1" t="s">
        <v>110</v>
      </c>
      <c r="D3293" s="2" t="s">
        <v>131</v>
      </c>
      <c r="E3293" s="9" t="str">
        <f t="shared" si="752"/>
        <v>PSND'!</v>
      </c>
      <c r="F3293" s="5" t="str">
        <f t="shared" si="753"/>
        <v>C:\Users\jaime.benazar\Quorum Business Solutions\Ecopetrol Prometeo - Documents\Planning Space Implementation\3. Analysis &amp; Design\Design\FC22\DRR Jaime\Neiva CPI\[VAO_DINA TERCIARIOS_CF_SEC_20230117.xlsx]CF PSND'!</v>
      </c>
      <c r="G3293" s="6" t="s">
        <v>111</v>
      </c>
      <c r="H3293" s="1"/>
      <c r="I3293" s="1"/>
    </row>
    <row r="3294" spans="1:9" x14ac:dyDescent="0.3">
      <c r="A3294" s="6" t="s">
        <v>23</v>
      </c>
      <c r="B3294" s="6">
        <f t="shared" si="754"/>
        <v>2047</v>
      </c>
      <c r="C3294" s="1" t="s">
        <v>110</v>
      </c>
      <c r="D3294" s="2" t="s">
        <v>131</v>
      </c>
      <c r="E3294" s="9" t="str">
        <f t="shared" si="752"/>
        <v>PSND'!</v>
      </c>
      <c r="F3294" s="5" t="str">
        <f t="shared" si="753"/>
        <v>C:\Users\jaime.benazar\Quorum Business Solutions\Ecopetrol Prometeo - Documents\Planning Space Implementation\3. Analysis &amp; Design\Design\FC22\DRR Jaime\Neiva CPI\[VAO_DINA TERCIARIOS_CF_SEC_20230117.xlsx]CF PSND'!</v>
      </c>
      <c r="G3294" s="6" t="s">
        <v>111</v>
      </c>
      <c r="H3294" s="1"/>
      <c r="I3294" s="1"/>
    </row>
    <row r="3295" spans="1:9" x14ac:dyDescent="0.3">
      <c r="A3295" s="6" t="s">
        <v>23</v>
      </c>
      <c r="B3295" s="6">
        <f t="shared" si="754"/>
        <v>2048</v>
      </c>
      <c r="C3295" s="1" t="s">
        <v>110</v>
      </c>
      <c r="D3295" s="2" t="s">
        <v>131</v>
      </c>
      <c r="E3295" s="9" t="str">
        <f t="shared" si="752"/>
        <v>PSND'!</v>
      </c>
      <c r="F3295" s="5" t="str">
        <f t="shared" si="753"/>
        <v>C:\Users\jaime.benazar\Quorum Business Solutions\Ecopetrol Prometeo - Documents\Planning Space Implementation\3. Analysis &amp; Design\Design\FC22\DRR Jaime\Neiva CPI\[VAO_DINA TERCIARIOS_CF_SEC_20230117.xlsx]CF PSND'!</v>
      </c>
      <c r="G3295" s="6" t="s">
        <v>111</v>
      </c>
      <c r="H3295" s="1"/>
      <c r="I3295" s="1"/>
    </row>
    <row r="3296" spans="1:9" x14ac:dyDescent="0.3">
      <c r="A3296" s="6" t="s">
        <v>23</v>
      </c>
      <c r="B3296" s="6">
        <f t="shared" si="754"/>
        <v>2049</v>
      </c>
      <c r="C3296" s="1" t="s">
        <v>110</v>
      </c>
      <c r="D3296" s="2" t="s">
        <v>131</v>
      </c>
      <c r="E3296" s="9" t="str">
        <f t="shared" si="752"/>
        <v>PSND'!</v>
      </c>
      <c r="F3296" s="5" t="str">
        <f t="shared" si="753"/>
        <v>C:\Users\jaime.benazar\Quorum Business Solutions\Ecopetrol Prometeo - Documents\Planning Space Implementation\3. Analysis &amp; Design\Design\FC22\DRR Jaime\Neiva CPI\[VAO_DINA TERCIARIOS_CF_SEC_20230117.xlsx]CF PSND'!</v>
      </c>
      <c r="G3296" s="6" t="s">
        <v>111</v>
      </c>
      <c r="H3296" s="1"/>
      <c r="I3296" s="1"/>
    </row>
    <row r="3297" spans="1:10" x14ac:dyDescent="0.3">
      <c r="A3297" s="6" t="s">
        <v>23</v>
      </c>
      <c r="B3297" s="6">
        <f t="shared" si="754"/>
        <v>2050</v>
      </c>
      <c r="C3297" s="1" t="s">
        <v>110</v>
      </c>
      <c r="D3297" s="2" t="s">
        <v>131</v>
      </c>
      <c r="E3297" s="9" t="str">
        <f t="shared" si="752"/>
        <v>PSND'!</v>
      </c>
      <c r="F3297" s="5" t="str">
        <f t="shared" si="753"/>
        <v>C:\Users\jaime.benazar\Quorum Business Solutions\Ecopetrol Prometeo - Documents\Planning Space Implementation\3. Analysis &amp; Design\Design\FC22\DRR Jaime\Neiva CPI\[VAO_DINA TERCIARIOS_CF_SEC_20230117.xlsx]CF PSND'!</v>
      </c>
      <c r="G3297" s="6" t="s">
        <v>111</v>
      </c>
      <c r="H3297" s="1"/>
      <c r="I3297" s="1"/>
    </row>
    <row r="3298" spans="1:10" x14ac:dyDescent="0.3">
      <c r="A3298" s="6" t="s">
        <v>23</v>
      </c>
      <c r="B3298" s="6">
        <f t="shared" si="754"/>
        <v>2051</v>
      </c>
      <c r="C3298" s="1" t="s">
        <v>110</v>
      </c>
      <c r="D3298" s="2" t="s">
        <v>131</v>
      </c>
      <c r="E3298" s="9" t="str">
        <f t="shared" si="752"/>
        <v>PSND'!</v>
      </c>
      <c r="F3298" s="5" t="str">
        <f t="shared" si="753"/>
        <v>C:\Users\jaime.benazar\Quorum Business Solutions\Ecopetrol Prometeo - Documents\Planning Space Implementation\3. Analysis &amp; Design\Design\FC22\DRR Jaime\Neiva CPI\[VAO_DINA TERCIARIOS_CF_SEC_20230117.xlsx]CF PSND'!</v>
      </c>
      <c r="G3298" s="6" t="s">
        <v>111</v>
      </c>
      <c r="H3298" s="1"/>
      <c r="I3298" s="1"/>
    </row>
    <row r="3299" spans="1:10" x14ac:dyDescent="0.3">
      <c r="A3299" s="6" t="s">
        <v>23</v>
      </c>
      <c r="B3299" s="6">
        <f t="shared" si="754"/>
        <v>2052</v>
      </c>
      <c r="C3299" s="1" t="s">
        <v>110</v>
      </c>
      <c r="D3299" s="2" t="s">
        <v>131</v>
      </c>
      <c r="E3299" s="9" t="str">
        <f t="shared" si="752"/>
        <v>PSND'!</v>
      </c>
      <c r="F3299" s="5" t="str">
        <f t="shared" si="753"/>
        <v>C:\Users\jaime.benazar\Quorum Business Solutions\Ecopetrol Prometeo - Documents\Planning Space Implementation\3. Analysis &amp; Design\Design\FC22\DRR Jaime\Neiva CPI\[VAO_DINA TERCIARIOS_CF_SEC_20230117.xlsx]CF PSND'!</v>
      </c>
      <c r="G3299" s="6" t="s">
        <v>111</v>
      </c>
      <c r="H3299" s="1"/>
      <c r="I3299" s="1"/>
    </row>
    <row r="3300" spans="1:10" x14ac:dyDescent="0.3">
      <c r="A3300" s="6" t="s">
        <v>23</v>
      </c>
      <c r="B3300" s="6">
        <f t="shared" si="754"/>
        <v>2053</v>
      </c>
      <c r="C3300" s="1" t="s">
        <v>110</v>
      </c>
      <c r="D3300" s="2" t="s">
        <v>131</v>
      </c>
      <c r="E3300" s="9" t="str">
        <f t="shared" si="752"/>
        <v>PSND'!</v>
      </c>
      <c r="F3300" s="5" t="str">
        <f t="shared" si="753"/>
        <v>C:\Users\jaime.benazar\Quorum Business Solutions\Ecopetrol Prometeo - Documents\Planning Space Implementation\3. Analysis &amp; Design\Design\FC22\DRR Jaime\Neiva CPI\[VAO_DINA TERCIARIOS_CF_SEC_20230117.xlsx]CF PSND'!</v>
      </c>
      <c r="G3300" s="6" t="s">
        <v>111</v>
      </c>
      <c r="H3300" s="1"/>
      <c r="I3300" s="1"/>
    </row>
    <row r="3301" spans="1:10" x14ac:dyDescent="0.3">
      <c r="A3301" s="6" t="s">
        <v>23</v>
      </c>
      <c r="B3301" s="6">
        <f t="shared" si="754"/>
        <v>2054</v>
      </c>
      <c r="C3301" s="1" t="s">
        <v>110</v>
      </c>
      <c r="D3301" s="2" t="s">
        <v>131</v>
      </c>
      <c r="E3301" s="9" t="str">
        <f t="shared" si="752"/>
        <v>PSND'!</v>
      </c>
      <c r="F3301" s="5" t="str">
        <f t="shared" si="753"/>
        <v>C:\Users\jaime.benazar\Quorum Business Solutions\Ecopetrol Prometeo - Documents\Planning Space Implementation\3. Analysis &amp; Design\Design\FC22\DRR Jaime\Neiva CPI\[VAO_DINA TERCIARIOS_CF_SEC_20230117.xlsx]CF PSND'!</v>
      </c>
      <c r="G3301" s="6" t="s">
        <v>111</v>
      </c>
      <c r="H3301" s="1"/>
      <c r="I3301" s="1"/>
    </row>
    <row r="3302" spans="1:10" x14ac:dyDescent="0.3">
      <c r="A3302" s="6" t="s">
        <v>23</v>
      </c>
      <c r="B3302" s="6">
        <f t="shared" si="754"/>
        <v>2055</v>
      </c>
      <c r="C3302" s="1" t="s">
        <v>110</v>
      </c>
      <c r="D3302" s="2" t="s">
        <v>131</v>
      </c>
      <c r="E3302" s="9" t="str">
        <f t="shared" si="752"/>
        <v>PSND'!</v>
      </c>
      <c r="F3302" s="5" t="str">
        <f t="shared" si="753"/>
        <v>C:\Users\jaime.benazar\Quorum Business Solutions\Ecopetrol Prometeo - Documents\Planning Space Implementation\3. Analysis &amp; Design\Design\FC22\DRR Jaime\Neiva CPI\[VAO_DINA TERCIARIOS_CF_SEC_20230117.xlsx]CF PSND'!</v>
      </c>
      <c r="G3302" s="6" t="s">
        <v>111</v>
      </c>
      <c r="H3302" s="1"/>
      <c r="I3302" s="1"/>
    </row>
    <row r="3303" spans="1:10" x14ac:dyDescent="0.3">
      <c r="A3303" s="6" t="s">
        <v>23</v>
      </c>
      <c r="B3303" s="6">
        <f t="shared" si="754"/>
        <v>2056</v>
      </c>
      <c r="C3303" s="1" t="s">
        <v>110</v>
      </c>
      <c r="D3303" s="2" t="s">
        <v>131</v>
      </c>
      <c r="E3303" s="9" t="str">
        <f t="shared" si="752"/>
        <v>PSND'!</v>
      </c>
      <c r="F3303" s="5" t="str">
        <f t="shared" si="753"/>
        <v>C:\Users\jaime.benazar\Quorum Business Solutions\Ecopetrol Prometeo - Documents\Planning Space Implementation\3. Analysis &amp; Design\Design\FC22\DRR Jaime\Neiva CPI\[VAO_DINA TERCIARIOS_CF_SEC_20230117.xlsx]CF PSND'!</v>
      </c>
      <c r="G3303" s="6" t="s">
        <v>111</v>
      </c>
      <c r="H3303" s="1"/>
      <c r="I3303" s="1"/>
    </row>
    <row r="3304" spans="1:10" x14ac:dyDescent="0.3">
      <c r="A3304" s="6" t="s">
        <v>23</v>
      </c>
      <c r="B3304" s="6">
        <f t="shared" si="754"/>
        <v>2057</v>
      </c>
      <c r="C3304" s="1" t="s">
        <v>110</v>
      </c>
      <c r="D3304" s="2" t="s">
        <v>131</v>
      </c>
      <c r="E3304" s="9" t="str">
        <f t="shared" si="752"/>
        <v>PSND'!</v>
      </c>
      <c r="F3304" s="5" t="str">
        <f t="shared" si="753"/>
        <v>C:\Users\jaime.benazar\Quorum Business Solutions\Ecopetrol Prometeo - Documents\Planning Space Implementation\3. Analysis &amp; Design\Design\FC22\DRR Jaime\Neiva CPI\[VAO_DINA TERCIARIOS_CF_SEC_20230117.xlsx]CF PSND'!</v>
      </c>
      <c r="G3304" s="6" t="s">
        <v>111</v>
      </c>
      <c r="H3304" s="1"/>
      <c r="I3304" s="1"/>
    </row>
    <row r="3305" spans="1:10" x14ac:dyDescent="0.3">
      <c r="A3305" s="6" t="s">
        <v>23</v>
      </c>
      <c r="B3305" s="6">
        <f t="shared" si="754"/>
        <v>2058</v>
      </c>
      <c r="C3305" s="1" t="s">
        <v>110</v>
      </c>
      <c r="D3305" s="2" t="s">
        <v>131</v>
      </c>
      <c r="E3305" s="9" t="str">
        <f t="shared" si="752"/>
        <v>PSND'!</v>
      </c>
      <c r="F3305" s="5" t="str">
        <f t="shared" si="753"/>
        <v>C:\Users\jaime.benazar\Quorum Business Solutions\Ecopetrol Prometeo - Documents\Planning Space Implementation\3. Analysis &amp; Design\Design\FC22\DRR Jaime\Neiva CPI\[VAO_DINA TERCIARIOS_CF_SEC_20230117.xlsx]CF PSND'!</v>
      </c>
      <c r="G3305" s="6" t="s">
        <v>111</v>
      </c>
      <c r="H3305" s="1"/>
      <c r="I3305" s="1"/>
    </row>
    <row r="3306" spans="1:10" x14ac:dyDescent="0.3">
      <c r="A3306" s="6" t="s">
        <v>23</v>
      </c>
      <c r="B3306" s="6">
        <f t="shared" si="754"/>
        <v>2059</v>
      </c>
      <c r="C3306" s="1" t="s">
        <v>110</v>
      </c>
      <c r="D3306" s="2" t="s">
        <v>131</v>
      </c>
      <c r="E3306" s="9" t="str">
        <f t="shared" si="752"/>
        <v>PSND'!</v>
      </c>
      <c r="F3306" s="5" t="str">
        <f t="shared" si="753"/>
        <v>C:\Users\jaime.benazar\Quorum Business Solutions\Ecopetrol Prometeo - Documents\Planning Space Implementation\3. Analysis &amp; Design\Design\FC22\DRR Jaime\Neiva CPI\[VAO_DINA TERCIARIOS_CF_SEC_20230117.xlsx]CF PSND'!</v>
      </c>
      <c r="G3306" s="6" t="s">
        <v>111</v>
      </c>
      <c r="H3306" s="1"/>
      <c r="I3306" s="1"/>
    </row>
    <row r="3307" spans="1:10" x14ac:dyDescent="0.3">
      <c r="A3307" s="8" t="s">
        <v>26</v>
      </c>
      <c r="C3307" s="1" t="s">
        <v>110</v>
      </c>
      <c r="D3307" s="2"/>
      <c r="E3307" s="8" t="str">
        <f t="shared" si="747"/>
        <v>Total'!</v>
      </c>
      <c r="F3307" s="2"/>
    </row>
    <row r="3308" spans="1:10" x14ac:dyDescent="0.3">
      <c r="A3308" s="6" t="s">
        <v>24</v>
      </c>
      <c r="B3308" s="6">
        <v>2023</v>
      </c>
      <c r="C3308" s="1" t="s">
        <v>110</v>
      </c>
      <c r="D3308" s="2" t="s">
        <v>131</v>
      </c>
      <c r="E3308" s="9" t="str">
        <f t="shared" si="690"/>
        <v>PS'!</v>
      </c>
      <c r="F3308" s="5" t="str">
        <f t="shared" ref="F3308:F3328" si="755">_xlfn.CONCAT(D3308," ",E3308)</f>
        <v>C:\Users\jaime.benazar\Quorum Business Solutions\Ecopetrol Prometeo - Documents\Planning Space Implementation\3. Analysis &amp; Design\Design\FC22\DRR Jaime\Neiva CPI\[VAO_DINA TERCIARIOS_CF_SEC_20230117.xlsx]CF PS'!</v>
      </c>
      <c r="G3308" s="6" t="s">
        <v>111</v>
      </c>
      <c r="H3308" s="1">
        <f>IF(A3308&lt;&gt;A3178,36,H3178+1)</f>
        <v>36</v>
      </c>
      <c r="I3308" s="1" t="str">
        <f t="shared" si="691"/>
        <v>='C:\Users\jaime.benazar\Quorum Business Solutions\Ecopetrol Prometeo - Documents\Planning Space Implementation\3. Analysis &amp; Design\Design\FC22\DRR Jaime\Neiva CPI\[VAO_DINA TERCIARIOS_CF_SEC_20230117.xlsx]CF PS'!$DI$36</v>
      </c>
      <c r="J3308" t="s">
        <v>1575</v>
      </c>
    </row>
    <row r="3309" spans="1:10" x14ac:dyDescent="0.3">
      <c r="A3309" s="6" t="s">
        <v>24</v>
      </c>
      <c r="B3309" s="6">
        <f>+B3308+1</f>
        <v>2024</v>
      </c>
      <c r="C3309" s="1" t="s">
        <v>110</v>
      </c>
      <c r="D3309" s="2" t="s">
        <v>131</v>
      </c>
      <c r="E3309" s="9" t="str">
        <f t="shared" si="690"/>
        <v>PS'!</v>
      </c>
      <c r="F3309" s="5" t="str">
        <f t="shared" si="755"/>
        <v>C:\Users\jaime.benazar\Quorum Business Solutions\Ecopetrol Prometeo - Documents\Planning Space Implementation\3. Analysis &amp; Design\Design\FC22\DRR Jaime\Neiva CPI\[VAO_DINA TERCIARIOS_CF_SEC_20230117.xlsx]CF PS'!</v>
      </c>
      <c r="G3309" s="6" t="s">
        <v>111</v>
      </c>
      <c r="H3309" s="1">
        <f t="shared" si="692"/>
        <v>37</v>
      </c>
      <c r="I3309" s="1" t="str">
        <f t="shared" si="691"/>
        <v>='C:\Users\jaime.benazar\Quorum Business Solutions\Ecopetrol Prometeo - Documents\Planning Space Implementation\3. Analysis &amp; Design\Design\FC22\DRR Jaime\Neiva CPI\[VAO_DINA TERCIARIOS_CF_SEC_20230117.xlsx]CF PS'!$DI$37</v>
      </c>
      <c r="J3309" t="s">
        <v>1576</v>
      </c>
    </row>
    <row r="3310" spans="1:10" x14ac:dyDescent="0.3">
      <c r="A3310" s="6" t="s">
        <v>24</v>
      </c>
      <c r="B3310" s="6">
        <f t="shared" ref="B3310:B3321" si="756">+B3309+1</f>
        <v>2025</v>
      </c>
      <c r="C3310" s="1" t="s">
        <v>110</v>
      </c>
      <c r="D3310" s="2" t="s">
        <v>131</v>
      </c>
      <c r="E3310" s="9" t="str">
        <f t="shared" si="690"/>
        <v>PS'!</v>
      </c>
      <c r="F3310" s="5" t="str">
        <f t="shared" si="755"/>
        <v>C:\Users\jaime.benazar\Quorum Business Solutions\Ecopetrol Prometeo - Documents\Planning Space Implementation\3. Analysis &amp; Design\Design\FC22\DRR Jaime\Neiva CPI\[VAO_DINA TERCIARIOS_CF_SEC_20230117.xlsx]CF PS'!</v>
      </c>
      <c r="G3310" s="6" t="s">
        <v>111</v>
      </c>
      <c r="H3310" s="1">
        <f t="shared" si="692"/>
        <v>38</v>
      </c>
      <c r="I3310" s="1" t="str">
        <f t="shared" si="691"/>
        <v>='C:\Users\jaime.benazar\Quorum Business Solutions\Ecopetrol Prometeo - Documents\Planning Space Implementation\3. Analysis &amp; Design\Design\FC22\DRR Jaime\Neiva CPI\[VAO_DINA TERCIARIOS_CF_SEC_20230117.xlsx]CF PS'!$DI$38</v>
      </c>
      <c r="J3310" t="s">
        <v>1577</v>
      </c>
    </row>
    <row r="3311" spans="1:10" x14ac:dyDescent="0.3">
      <c r="A3311" s="6" t="s">
        <v>24</v>
      </c>
      <c r="B3311" s="6">
        <f t="shared" si="756"/>
        <v>2026</v>
      </c>
      <c r="C3311" s="1" t="s">
        <v>110</v>
      </c>
      <c r="D3311" s="2" t="s">
        <v>131</v>
      </c>
      <c r="E3311" s="9" t="str">
        <f t="shared" si="690"/>
        <v>PS'!</v>
      </c>
      <c r="F3311" s="5" t="str">
        <f t="shared" si="755"/>
        <v>C:\Users\jaime.benazar\Quorum Business Solutions\Ecopetrol Prometeo - Documents\Planning Space Implementation\3. Analysis &amp; Design\Design\FC22\DRR Jaime\Neiva CPI\[VAO_DINA TERCIARIOS_CF_SEC_20230117.xlsx]CF PS'!</v>
      </c>
      <c r="G3311" s="6" t="s">
        <v>111</v>
      </c>
      <c r="H3311" s="1">
        <f t="shared" si="692"/>
        <v>39</v>
      </c>
      <c r="I3311" s="1" t="str">
        <f t="shared" si="691"/>
        <v>='C:\Users\jaime.benazar\Quorum Business Solutions\Ecopetrol Prometeo - Documents\Planning Space Implementation\3. Analysis &amp; Design\Design\FC22\DRR Jaime\Neiva CPI\[VAO_DINA TERCIARIOS_CF_SEC_20230117.xlsx]CF PS'!$DI$39</v>
      </c>
      <c r="J3311" t="s">
        <v>1578</v>
      </c>
    </row>
    <row r="3312" spans="1:10" x14ac:dyDescent="0.3">
      <c r="A3312" s="6" t="s">
        <v>24</v>
      </c>
      <c r="B3312" s="6">
        <f t="shared" si="756"/>
        <v>2027</v>
      </c>
      <c r="C3312" s="1" t="s">
        <v>110</v>
      </c>
      <c r="D3312" s="2" t="s">
        <v>131</v>
      </c>
      <c r="E3312" s="9" t="str">
        <f t="shared" si="690"/>
        <v>PS'!</v>
      </c>
      <c r="F3312" s="5" t="str">
        <f t="shared" si="755"/>
        <v>C:\Users\jaime.benazar\Quorum Business Solutions\Ecopetrol Prometeo - Documents\Planning Space Implementation\3. Analysis &amp; Design\Design\FC22\DRR Jaime\Neiva CPI\[VAO_DINA TERCIARIOS_CF_SEC_20230117.xlsx]CF PS'!</v>
      </c>
      <c r="G3312" s="6" t="s">
        <v>111</v>
      </c>
      <c r="H3312" s="1">
        <f t="shared" si="692"/>
        <v>40</v>
      </c>
      <c r="I3312" s="1" t="str">
        <f t="shared" si="691"/>
        <v>='C:\Users\jaime.benazar\Quorum Business Solutions\Ecopetrol Prometeo - Documents\Planning Space Implementation\3. Analysis &amp; Design\Design\FC22\DRR Jaime\Neiva CPI\[VAO_DINA TERCIARIOS_CF_SEC_20230117.xlsx]CF PS'!$DI$40</v>
      </c>
      <c r="J3312" t="s">
        <v>1579</v>
      </c>
    </row>
    <row r="3313" spans="1:10" x14ac:dyDescent="0.3">
      <c r="A3313" s="6" t="s">
        <v>24</v>
      </c>
      <c r="B3313" s="6">
        <f t="shared" si="756"/>
        <v>2028</v>
      </c>
      <c r="C3313" s="1" t="s">
        <v>110</v>
      </c>
      <c r="D3313" s="2" t="s">
        <v>131</v>
      </c>
      <c r="E3313" s="9" t="str">
        <f t="shared" si="690"/>
        <v>PS'!</v>
      </c>
      <c r="F3313" s="5" t="str">
        <f t="shared" si="755"/>
        <v>C:\Users\jaime.benazar\Quorum Business Solutions\Ecopetrol Prometeo - Documents\Planning Space Implementation\3. Analysis &amp; Design\Design\FC22\DRR Jaime\Neiva CPI\[VAO_DINA TERCIARIOS_CF_SEC_20230117.xlsx]CF PS'!</v>
      </c>
      <c r="G3313" s="6" t="s">
        <v>111</v>
      </c>
      <c r="H3313" s="1">
        <f t="shared" si="692"/>
        <v>41</v>
      </c>
      <c r="I3313" s="1" t="str">
        <f t="shared" si="691"/>
        <v>='C:\Users\jaime.benazar\Quorum Business Solutions\Ecopetrol Prometeo - Documents\Planning Space Implementation\3. Analysis &amp; Design\Design\FC22\DRR Jaime\Neiva CPI\[VAO_DINA TERCIARIOS_CF_SEC_20230117.xlsx]CF PS'!$DI$41</v>
      </c>
      <c r="J3313" t="s">
        <v>1580</v>
      </c>
    </row>
    <row r="3314" spans="1:10" x14ac:dyDescent="0.3">
      <c r="A3314" s="6" t="s">
        <v>24</v>
      </c>
      <c r="B3314" s="6">
        <f t="shared" si="756"/>
        <v>2029</v>
      </c>
      <c r="C3314" s="1" t="s">
        <v>110</v>
      </c>
      <c r="D3314" s="2" t="s">
        <v>131</v>
      </c>
      <c r="E3314" s="9" t="str">
        <f t="shared" si="690"/>
        <v>PS'!</v>
      </c>
      <c r="F3314" s="5" t="str">
        <f t="shared" si="755"/>
        <v>C:\Users\jaime.benazar\Quorum Business Solutions\Ecopetrol Prometeo - Documents\Planning Space Implementation\3. Analysis &amp; Design\Design\FC22\DRR Jaime\Neiva CPI\[VAO_DINA TERCIARIOS_CF_SEC_20230117.xlsx]CF PS'!</v>
      </c>
      <c r="G3314" s="6" t="s">
        <v>111</v>
      </c>
      <c r="H3314" s="1">
        <f t="shared" si="692"/>
        <v>42</v>
      </c>
      <c r="I3314" s="1" t="str">
        <f t="shared" si="691"/>
        <v>='C:\Users\jaime.benazar\Quorum Business Solutions\Ecopetrol Prometeo - Documents\Planning Space Implementation\3. Analysis &amp; Design\Design\FC22\DRR Jaime\Neiva CPI\[VAO_DINA TERCIARIOS_CF_SEC_20230117.xlsx]CF PS'!$DI$42</v>
      </c>
      <c r="J3314" t="s">
        <v>1581</v>
      </c>
    </row>
    <row r="3315" spans="1:10" x14ac:dyDescent="0.3">
      <c r="A3315" s="6" t="s">
        <v>24</v>
      </c>
      <c r="B3315" s="6">
        <f t="shared" si="756"/>
        <v>2030</v>
      </c>
      <c r="C3315" s="1" t="s">
        <v>110</v>
      </c>
      <c r="D3315" s="2" t="s">
        <v>131</v>
      </c>
      <c r="E3315" s="9" t="str">
        <f t="shared" si="690"/>
        <v>PS'!</v>
      </c>
      <c r="F3315" s="5" t="str">
        <f t="shared" si="755"/>
        <v>C:\Users\jaime.benazar\Quorum Business Solutions\Ecopetrol Prometeo - Documents\Planning Space Implementation\3. Analysis &amp; Design\Design\FC22\DRR Jaime\Neiva CPI\[VAO_DINA TERCIARIOS_CF_SEC_20230117.xlsx]CF PS'!</v>
      </c>
      <c r="G3315" s="6" t="s">
        <v>111</v>
      </c>
      <c r="H3315" s="1">
        <f t="shared" si="692"/>
        <v>43</v>
      </c>
      <c r="I3315" s="1" t="str">
        <f t="shared" si="691"/>
        <v>='C:\Users\jaime.benazar\Quorum Business Solutions\Ecopetrol Prometeo - Documents\Planning Space Implementation\3. Analysis &amp; Design\Design\FC22\DRR Jaime\Neiva CPI\[VAO_DINA TERCIARIOS_CF_SEC_20230117.xlsx]CF PS'!$DI$43</v>
      </c>
      <c r="J3315" t="s">
        <v>1582</v>
      </c>
    </row>
    <row r="3316" spans="1:10" x14ac:dyDescent="0.3">
      <c r="A3316" s="6" t="s">
        <v>24</v>
      </c>
      <c r="B3316" s="6">
        <f t="shared" si="756"/>
        <v>2031</v>
      </c>
      <c r="C3316" s="1" t="s">
        <v>110</v>
      </c>
      <c r="D3316" s="2" t="s">
        <v>131</v>
      </c>
      <c r="E3316" s="9" t="str">
        <f t="shared" si="690"/>
        <v>PS'!</v>
      </c>
      <c r="F3316" s="5" t="str">
        <f t="shared" si="755"/>
        <v>C:\Users\jaime.benazar\Quorum Business Solutions\Ecopetrol Prometeo - Documents\Planning Space Implementation\3. Analysis &amp; Design\Design\FC22\DRR Jaime\Neiva CPI\[VAO_DINA TERCIARIOS_CF_SEC_20230117.xlsx]CF PS'!</v>
      </c>
      <c r="G3316" s="6" t="s">
        <v>111</v>
      </c>
      <c r="H3316" s="1">
        <f t="shared" si="692"/>
        <v>44</v>
      </c>
      <c r="I3316" s="1" t="str">
        <f t="shared" si="691"/>
        <v>='C:\Users\jaime.benazar\Quorum Business Solutions\Ecopetrol Prometeo - Documents\Planning Space Implementation\3. Analysis &amp; Design\Design\FC22\DRR Jaime\Neiva CPI\[VAO_DINA TERCIARIOS_CF_SEC_20230117.xlsx]CF PS'!$DI$44</v>
      </c>
      <c r="J3316" t="s">
        <v>1583</v>
      </c>
    </row>
    <row r="3317" spans="1:10" x14ac:dyDescent="0.3">
      <c r="A3317" s="6" t="s">
        <v>24</v>
      </c>
      <c r="B3317" s="6">
        <f t="shared" si="756"/>
        <v>2032</v>
      </c>
      <c r="C3317" s="1" t="s">
        <v>110</v>
      </c>
      <c r="D3317" s="2" t="s">
        <v>131</v>
      </c>
      <c r="E3317" s="9" t="str">
        <f t="shared" si="690"/>
        <v>PS'!</v>
      </c>
      <c r="F3317" s="5" t="str">
        <f t="shared" si="755"/>
        <v>C:\Users\jaime.benazar\Quorum Business Solutions\Ecopetrol Prometeo - Documents\Planning Space Implementation\3. Analysis &amp; Design\Design\FC22\DRR Jaime\Neiva CPI\[VAO_DINA TERCIARIOS_CF_SEC_20230117.xlsx]CF PS'!</v>
      </c>
      <c r="G3317" s="6" t="s">
        <v>111</v>
      </c>
      <c r="H3317" s="1">
        <f t="shared" si="692"/>
        <v>45</v>
      </c>
      <c r="I3317" s="1" t="str">
        <f t="shared" si="691"/>
        <v>='C:\Users\jaime.benazar\Quorum Business Solutions\Ecopetrol Prometeo - Documents\Planning Space Implementation\3. Analysis &amp; Design\Design\FC22\DRR Jaime\Neiva CPI\[VAO_DINA TERCIARIOS_CF_SEC_20230117.xlsx]CF PS'!$DI$45</v>
      </c>
      <c r="J3317" t="s">
        <v>1584</v>
      </c>
    </row>
    <row r="3318" spans="1:10" x14ac:dyDescent="0.3">
      <c r="A3318" s="6" t="s">
        <v>24</v>
      </c>
      <c r="B3318" s="6">
        <f t="shared" si="756"/>
        <v>2033</v>
      </c>
      <c r="C3318" s="1" t="s">
        <v>110</v>
      </c>
      <c r="D3318" s="2" t="s">
        <v>131</v>
      </c>
      <c r="E3318" s="9" t="str">
        <f t="shared" si="690"/>
        <v>PS'!</v>
      </c>
      <c r="F3318" s="5" t="str">
        <f t="shared" si="755"/>
        <v>C:\Users\jaime.benazar\Quorum Business Solutions\Ecopetrol Prometeo - Documents\Planning Space Implementation\3. Analysis &amp; Design\Design\FC22\DRR Jaime\Neiva CPI\[VAO_DINA TERCIARIOS_CF_SEC_20230117.xlsx]CF PS'!</v>
      </c>
      <c r="G3318" s="6" t="s">
        <v>111</v>
      </c>
      <c r="H3318" s="1">
        <f t="shared" si="692"/>
        <v>46</v>
      </c>
      <c r="I3318" s="1" t="str">
        <f t="shared" si="691"/>
        <v>='C:\Users\jaime.benazar\Quorum Business Solutions\Ecopetrol Prometeo - Documents\Planning Space Implementation\3. Analysis &amp; Design\Design\FC22\DRR Jaime\Neiva CPI\[VAO_DINA TERCIARIOS_CF_SEC_20230117.xlsx]CF PS'!$DI$46</v>
      </c>
      <c r="J3318" t="s">
        <v>1585</v>
      </c>
    </row>
    <row r="3319" spans="1:10" x14ac:dyDescent="0.3">
      <c r="A3319" s="6" t="s">
        <v>24</v>
      </c>
      <c r="B3319" s="6">
        <f t="shared" si="756"/>
        <v>2034</v>
      </c>
      <c r="C3319" s="1" t="s">
        <v>110</v>
      </c>
      <c r="D3319" s="2" t="s">
        <v>131</v>
      </c>
      <c r="E3319" s="9" t="str">
        <f t="shared" si="690"/>
        <v>PS'!</v>
      </c>
      <c r="F3319" s="5" t="str">
        <f t="shared" si="755"/>
        <v>C:\Users\jaime.benazar\Quorum Business Solutions\Ecopetrol Prometeo - Documents\Planning Space Implementation\3. Analysis &amp; Design\Design\FC22\DRR Jaime\Neiva CPI\[VAO_DINA TERCIARIOS_CF_SEC_20230117.xlsx]CF PS'!</v>
      </c>
      <c r="G3319" s="6" t="s">
        <v>111</v>
      </c>
      <c r="H3319" s="1">
        <f t="shared" si="692"/>
        <v>47</v>
      </c>
      <c r="I3319" s="1" t="str">
        <f t="shared" si="691"/>
        <v>='C:\Users\jaime.benazar\Quorum Business Solutions\Ecopetrol Prometeo - Documents\Planning Space Implementation\3. Analysis &amp; Design\Design\FC22\DRR Jaime\Neiva CPI\[VAO_DINA TERCIARIOS_CF_SEC_20230117.xlsx]CF PS'!$DI$47</v>
      </c>
      <c r="J3319" t="s">
        <v>1586</v>
      </c>
    </row>
    <row r="3320" spans="1:10" x14ac:dyDescent="0.3">
      <c r="A3320" s="6" t="s">
        <v>24</v>
      </c>
      <c r="B3320" s="6">
        <f t="shared" si="756"/>
        <v>2035</v>
      </c>
      <c r="C3320" s="1" t="s">
        <v>110</v>
      </c>
      <c r="D3320" s="2" t="s">
        <v>131</v>
      </c>
      <c r="E3320" s="9" t="str">
        <f t="shared" si="690"/>
        <v>PS'!</v>
      </c>
      <c r="F3320" s="5" t="str">
        <f t="shared" si="755"/>
        <v>C:\Users\jaime.benazar\Quorum Business Solutions\Ecopetrol Prometeo - Documents\Planning Space Implementation\3. Analysis &amp; Design\Design\FC22\DRR Jaime\Neiva CPI\[VAO_DINA TERCIARIOS_CF_SEC_20230117.xlsx]CF PS'!</v>
      </c>
      <c r="G3320" s="6" t="s">
        <v>111</v>
      </c>
      <c r="H3320" s="1">
        <f t="shared" si="692"/>
        <v>48</v>
      </c>
      <c r="I3320" s="1" t="str">
        <f t="shared" si="691"/>
        <v>='C:\Users\jaime.benazar\Quorum Business Solutions\Ecopetrol Prometeo - Documents\Planning Space Implementation\3. Analysis &amp; Design\Design\FC22\DRR Jaime\Neiva CPI\[VAO_DINA TERCIARIOS_CF_SEC_20230117.xlsx]CF PS'!$DI$48</v>
      </c>
      <c r="J3320" t="s">
        <v>1587</v>
      </c>
    </row>
    <row r="3321" spans="1:10" x14ac:dyDescent="0.3">
      <c r="A3321" s="6" t="s">
        <v>24</v>
      </c>
      <c r="B3321" s="6">
        <f t="shared" si="756"/>
        <v>2036</v>
      </c>
      <c r="C3321" s="1" t="s">
        <v>110</v>
      </c>
      <c r="D3321" s="2" t="s">
        <v>131</v>
      </c>
      <c r="E3321" s="9" t="str">
        <f t="shared" si="690"/>
        <v>PS'!</v>
      </c>
      <c r="F3321" s="5" t="str">
        <f t="shared" si="755"/>
        <v>C:\Users\jaime.benazar\Quorum Business Solutions\Ecopetrol Prometeo - Documents\Planning Space Implementation\3. Analysis &amp; Design\Design\FC22\DRR Jaime\Neiva CPI\[VAO_DINA TERCIARIOS_CF_SEC_20230117.xlsx]CF PS'!</v>
      </c>
      <c r="G3321" s="6" t="s">
        <v>111</v>
      </c>
      <c r="H3321" s="1">
        <f t="shared" si="692"/>
        <v>49</v>
      </c>
      <c r="I3321" s="1" t="str">
        <f t="shared" si="691"/>
        <v>='C:\Users\jaime.benazar\Quorum Business Solutions\Ecopetrol Prometeo - Documents\Planning Space Implementation\3. Analysis &amp; Design\Design\FC22\DRR Jaime\Neiva CPI\[VAO_DINA TERCIARIOS_CF_SEC_20230117.xlsx]CF PS'!$DI$49</v>
      </c>
      <c r="J3321" t="s">
        <v>1588</v>
      </c>
    </row>
    <row r="3322" spans="1:10" x14ac:dyDescent="0.3">
      <c r="A3322" s="6" t="s">
        <v>24</v>
      </c>
      <c r="B3322" s="6">
        <f>+B3321+1</f>
        <v>2037</v>
      </c>
      <c r="C3322" s="1" t="s">
        <v>110</v>
      </c>
      <c r="D3322" s="2" t="s">
        <v>131</v>
      </c>
      <c r="E3322" s="9" t="str">
        <f t="shared" si="690"/>
        <v>PS'!</v>
      </c>
      <c r="F3322" s="5" t="str">
        <f t="shared" si="755"/>
        <v>C:\Users\jaime.benazar\Quorum Business Solutions\Ecopetrol Prometeo - Documents\Planning Space Implementation\3. Analysis &amp; Design\Design\FC22\DRR Jaime\Neiva CPI\[VAO_DINA TERCIARIOS_CF_SEC_20230117.xlsx]CF PS'!</v>
      </c>
      <c r="G3322" s="6" t="s">
        <v>111</v>
      </c>
      <c r="H3322" s="1">
        <f t="shared" si="692"/>
        <v>50</v>
      </c>
      <c r="I3322" s="1" t="str">
        <f t="shared" si="691"/>
        <v>='C:\Users\jaime.benazar\Quorum Business Solutions\Ecopetrol Prometeo - Documents\Planning Space Implementation\3. Analysis &amp; Design\Design\FC22\DRR Jaime\Neiva CPI\[VAO_DINA TERCIARIOS_CF_SEC_20230117.xlsx]CF PS'!$DI$50</v>
      </c>
      <c r="J3322" t="s">
        <v>1589</v>
      </c>
    </row>
    <row r="3323" spans="1:10" x14ac:dyDescent="0.3">
      <c r="A3323" s="6" t="s">
        <v>24</v>
      </c>
      <c r="B3323" s="6">
        <f t="shared" ref="B3323:B3325" si="757">+B3322+1</f>
        <v>2038</v>
      </c>
      <c r="C3323" s="1" t="s">
        <v>110</v>
      </c>
      <c r="D3323" s="2" t="s">
        <v>131</v>
      </c>
      <c r="E3323" s="9" t="str">
        <f t="shared" si="690"/>
        <v>PS'!</v>
      </c>
      <c r="F3323" s="5" t="str">
        <f t="shared" si="755"/>
        <v>C:\Users\jaime.benazar\Quorum Business Solutions\Ecopetrol Prometeo - Documents\Planning Space Implementation\3. Analysis &amp; Design\Design\FC22\DRR Jaime\Neiva CPI\[VAO_DINA TERCIARIOS_CF_SEC_20230117.xlsx]CF PS'!</v>
      </c>
      <c r="G3323" s="6" t="s">
        <v>111</v>
      </c>
      <c r="H3323" s="1">
        <f t="shared" si="692"/>
        <v>51</v>
      </c>
      <c r="I3323" s="1" t="str">
        <f t="shared" si="691"/>
        <v>='C:\Users\jaime.benazar\Quorum Business Solutions\Ecopetrol Prometeo - Documents\Planning Space Implementation\3. Analysis &amp; Design\Design\FC22\DRR Jaime\Neiva CPI\[VAO_DINA TERCIARIOS_CF_SEC_20230117.xlsx]CF PS'!$DI$51</v>
      </c>
      <c r="J3323" t="s">
        <v>1590</v>
      </c>
    </row>
    <row r="3324" spans="1:10" x14ac:dyDescent="0.3">
      <c r="A3324" s="6" t="s">
        <v>24</v>
      </c>
      <c r="B3324" s="6">
        <f t="shared" si="757"/>
        <v>2039</v>
      </c>
      <c r="C3324" s="1" t="s">
        <v>110</v>
      </c>
      <c r="D3324" s="2" t="s">
        <v>131</v>
      </c>
      <c r="E3324" s="9" t="str">
        <f t="shared" si="690"/>
        <v>PS'!</v>
      </c>
      <c r="F3324" s="5" t="str">
        <f t="shared" si="755"/>
        <v>C:\Users\jaime.benazar\Quorum Business Solutions\Ecopetrol Prometeo - Documents\Planning Space Implementation\3. Analysis &amp; Design\Design\FC22\DRR Jaime\Neiva CPI\[VAO_DINA TERCIARIOS_CF_SEC_20230117.xlsx]CF PS'!</v>
      </c>
      <c r="G3324" s="6" t="s">
        <v>111</v>
      </c>
      <c r="H3324" s="1">
        <f t="shared" si="692"/>
        <v>52</v>
      </c>
      <c r="I3324" s="1" t="str">
        <f t="shared" si="691"/>
        <v>='C:\Users\jaime.benazar\Quorum Business Solutions\Ecopetrol Prometeo - Documents\Planning Space Implementation\3. Analysis &amp; Design\Design\FC22\DRR Jaime\Neiva CPI\[VAO_DINA TERCIARIOS_CF_SEC_20230117.xlsx]CF PS'!$DI$52</v>
      </c>
      <c r="J3324" t="s">
        <v>1591</v>
      </c>
    </row>
    <row r="3325" spans="1:10" x14ac:dyDescent="0.3">
      <c r="A3325" s="6" t="s">
        <v>24</v>
      </c>
      <c r="B3325" s="6">
        <f t="shared" si="757"/>
        <v>2040</v>
      </c>
      <c r="C3325" s="1" t="s">
        <v>110</v>
      </c>
      <c r="D3325" s="2" t="s">
        <v>131</v>
      </c>
      <c r="E3325" s="9" t="str">
        <f t="shared" si="690"/>
        <v>PS'!</v>
      </c>
      <c r="F3325" s="5" t="str">
        <f t="shared" si="755"/>
        <v>C:\Users\jaime.benazar\Quorum Business Solutions\Ecopetrol Prometeo - Documents\Planning Space Implementation\3. Analysis &amp; Design\Design\FC22\DRR Jaime\Neiva CPI\[VAO_DINA TERCIARIOS_CF_SEC_20230117.xlsx]CF PS'!</v>
      </c>
      <c r="G3325" s="6" t="s">
        <v>111</v>
      </c>
      <c r="H3325" s="1">
        <f t="shared" si="692"/>
        <v>53</v>
      </c>
      <c r="I3325" s="1" t="str">
        <f t="shared" si="691"/>
        <v>='C:\Users\jaime.benazar\Quorum Business Solutions\Ecopetrol Prometeo - Documents\Planning Space Implementation\3. Analysis &amp; Design\Design\FC22\DRR Jaime\Neiva CPI\[VAO_DINA TERCIARIOS_CF_SEC_20230117.xlsx]CF PS'!$DI$53</v>
      </c>
      <c r="J3325" t="s">
        <v>1592</v>
      </c>
    </row>
    <row r="3326" spans="1:10" x14ac:dyDescent="0.3">
      <c r="A3326" s="6" t="s">
        <v>24</v>
      </c>
      <c r="B3326" s="6">
        <f>+B3325+1</f>
        <v>2041</v>
      </c>
      <c r="C3326" s="1" t="s">
        <v>110</v>
      </c>
      <c r="D3326" s="2" t="s">
        <v>131</v>
      </c>
      <c r="E3326" s="9" t="str">
        <f t="shared" si="690"/>
        <v>PS'!</v>
      </c>
      <c r="F3326" s="5" t="str">
        <f t="shared" si="755"/>
        <v>C:\Users\jaime.benazar\Quorum Business Solutions\Ecopetrol Prometeo - Documents\Planning Space Implementation\3. Analysis &amp; Design\Design\FC22\DRR Jaime\Neiva CPI\[VAO_DINA TERCIARIOS_CF_SEC_20230117.xlsx]CF PS'!</v>
      </c>
      <c r="G3326" s="6" t="s">
        <v>111</v>
      </c>
      <c r="H3326" s="1">
        <f t="shared" si="692"/>
        <v>54</v>
      </c>
      <c r="I3326" s="1" t="str">
        <f t="shared" si="691"/>
        <v>='C:\Users\jaime.benazar\Quorum Business Solutions\Ecopetrol Prometeo - Documents\Planning Space Implementation\3. Analysis &amp; Design\Design\FC22\DRR Jaime\Neiva CPI\[VAO_DINA TERCIARIOS_CF_SEC_20230117.xlsx]CF PS'!$DI$54</v>
      </c>
      <c r="J3326" t="s">
        <v>1593</v>
      </c>
    </row>
    <row r="3327" spans="1:10" x14ac:dyDescent="0.3">
      <c r="A3327" s="6" t="s">
        <v>24</v>
      </c>
      <c r="B3327" s="6">
        <f t="shared" ref="B3327:B3328" si="758">+B3326+1</f>
        <v>2042</v>
      </c>
      <c r="C3327" s="1" t="s">
        <v>110</v>
      </c>
      <c r="D3327" s="2" t="s">
        <v>131</v>
      </c>
      <c r="E3327" s="9" t="str">
        <f t="shared" si="690"/>
        <v>PS'!</v>
      </c>
      <c r="F3327" s="5" t="str">
        <f t="shared" si="755"/>
        <v>C:\Users\jaime.benazar\Quorum Business Solutions\Ecopetrol Prometeo - Documents\Planning Space Implementation\3. Analysis &amp; Design\Design\FC22\DRR Jaime\Neiva CPI\[VAO_DINA TERCIARIOS_CF_SEC_20230117.xlsx]CF PS'!</v>
      </c>
      <c r="G3327" s="6" t="s">
        <v>111</v>
      </c>
      <c r="H3327" s="1">
        <f t="shared" si="692"/>
        <v>55</v>
      </c>
      <c r="I3327" s="1" t="str">
        <f t="shared" si="691"/>
        <v>='C:\Users\jaime.benazar\Quorum Business Solutions\Ecopetrol Prometeo - Documents\Planning Space Implementation\3. Analysis &amp; Design\Design\FC22\DRR Jaime\Neiva CPI\[VAO_DINA TERCIARIOS_CF_SEC_20230117.xlsx]CF PS'!$DI$55</v>
      </c>
      <c r="J3327" t="s">
        <v>1594</v>
      </c>
    </row>
    <row r="3328" spans="1:10" x14ac:dyDescent="0.3">
      <c r="A3328" s="6" t="s">
        <v>24</v>
      </c>
      <c r="B3328" s="6">
        <f t="shared" si="758"/>
        <v>2043</v>
      </c>
      <c r="C3328" s="1" t="s">
        <v>110</v>
      </c>
      <c r="D3328" s="2" t="s">
        <v>131</v>
      </c>
      <c r="E3328" s="9" t="str">
        <f t="shared" si="690"/>
        <v>PS'!</v>
      </c>
      <c r="F3328" s="5" t="str">
        <f t="shared" si="755"/>
        <v>C:\Users\jaime.benazar\Quorum Business Solutions\Ecopetrol Prometeo - Documents\Planning Space Implementation\3. Analysis &amp; Design\Design\FC22\DRR Jaime\Neiva CPI\[VAO_DINA TERCIARIOS_CF_SEC_20230117.xlsx]CF PS'!</v>
      </c>
      <c r="G3328" s="6" t="s">
        <v>111</v>
      </c>
      <c r="H3328" s="1">
        <f t="shared" si="692"/>
        <v>56</v>
      </c>
      <c r="I3328" s="1" t="str">
        <f t="shared" si="691"/>
        <v>='C:\Users\jaime.benazar\Quorum Business Solutions\Ecopetrol Prometeo - Documents\Planning Space Implementation\3. Analysis &amp; Design\Design\FC22\DRR Jaime\Neiva CPI\[VAO_DINA TERCIARIOS_CF_SEC_20230117.xlsx]CF PS'!$DI$56</v>
      </c>
      <c r="J3328" t="s">
        <v>1595</v>
      </c>
    </row>
    <row r="3329" spans="1:10" x14ac:dyDescent="0.3">
      <c r="A3329" s="6" t="s">
        <v>24</v>
      </c>
      <c r="B3329" s="6">
        <f>+B3328+1</f>
        <v>2044</v>
      </c>
      <c r="C3329" s="1" t="s">
        <v>110</v>
      </c>
      <c r="D3329" s="2" t="s">
        <v>131</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Jaime\Neiva CPI\[VAO_DINA TERCIARIOS_CF_SEC_20230117.xlsx]CF PS'!</v>
      </c>
      <c r="G3329" s="6" t="s">
        <v>111</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Jaime\Neiva CPI\[VAO_DINA TERCIARIOS_CF_SEC_20230117.xlsx]CF PS'!$DI$57</v>
      </c>
      <c r="J3329" t="s">
        <v>1596</v>
      </c>
    </row>
    <row r="3330" spans="1:10" x14ac:dyDescent="0.3">
      <c r="A3330" s="6" t="s">
        <v>24</v>
      </c>
      <c r="B3330" s="6">
        <f t="shared" ref="B3330:B3344" si="763">+B3329+1</f>
        <v>2045</v>
      </c>
      <c r="C3330" s="1" t="s">
        <v>110</v>
      </c>
      <c r="D3330" s="2" t="s">
        <v>131</v>
      </c>
      <c r="E3330" s="9" t="str">
        <f t="shared" si="759"/>
        <v>PS'!</v>
      </c>
      <c r="F3330" s="5" t="str">
        <f t="shared" si="760"/>
        <v>C:\Users\jaime.benazar\Quorum Business Solutions\Ecopetrol Prometeo - Documents\Planning Space Implementation\3. Analysis &amp; Design\Design\FC22\DRR Jaime\Neiva CPI\[VAO_DINA TERCIARIOS_CF_SEC_20230117.xlsx]CF PS'!</v>
      </c>
      <c r="G3330" s="6" t="s">
        <v>111</v>
      </c>
      <c r="H3330" s="1">
        <f t="shared" si="761"/>
        <v>58</v>
      </c>
      <c r="I3330" s="1" t="str">
        <f t="shared" si="762"/>
        <v>='C:\Users\jaime.benazar\Quorum Business Solutions\Ecopetrol Prometeo - Documents\Planning Space Implementation\3. Analysis &amp; Design\Design\FC22\DRR Jaime\Neiva CPI\[VAO_DINA TERCIARIOS_CF_SEC_20230117.xlsx]CF PS'!$DI$58</v>
      </c>
      <c r="J3330" t="s">
        <v>1597</v>
      </c>
    </row>
    <row r="3331" spans="1:10" x14ac:dyDescent="0.3">
      <c r="A3331" s="6" t="s">
        <v>24</v>
      </c>
      <c r="B3331" s="6">
        <f t="shared" si="763"/>
        <v>2046</v>
      </c>
      <c r="C3331" s="1" t="s">
        <v>110</v>
      </c>
      <c r="D3331" s="2" t="s">
        <v>131</v>
      </c>
      <c r="E3331" s="9" t="str">
        <f t="shared" si="759"/>
        <v>PS'!</v>
      </c>
      <c r="F3331" s="5" t="str">
        <f t="shared" si="760"/>
        <v>C:\Users\jaime.benazar\Quorum Business Solutions\Ecopetrol Prometeo - Documents\Planning Space Implementation\3. Analysis &amp; Design\Design\FC22\DRR Jaime\Neiva CPI\[VAO_DINA TERCIARIOS_CF_SEC_20230117.xlsx]CF PS'!</v>
      </c>
      <c r="G3331" s="6" t="s">
        <v>111</v>
      </c>
      <c r="H3331" s="1">
        <f t="shared" si="761"/>
        <v>59</v>
      </c>
      <c r="I3331" s="1" t="str">
        <f t="shared" si="762"/>
        <v>='C:\Users\jaime.benazar\Quorum Business Solutions\Ecopetrol Prometeo - Documents\Planning Space Implementation\3. Analysis &amp; Design\Design\FC22\DRR Jaime\Neiva CPI\[VAO_DINA TERCIARIOS_CF_SEC_20230117.xlsx]CF PS'!$DI$59</v>
      </c>
      <c r="J3331" t="s">
        <v>1598</v>
      </c>
    </row>
    <row r="3332" spans="1:10" x14ac:dyDescent="0.3">
      <c r="A3332" s="6" t="s">
        <v>24</v>
      </c>
      <c r="B3332" s="6">
        <f t="shared" si="763"/>
        <v>2047</v>
      </c>
      <c r="C3332" s="1" t="s">
        <v>110</v>
      </c>
      <c r="D3332" s="2" t="s">
        <v>131</v>
      </c>
      <c r="E3332" s="9" t="str">
        <f t="shared" si="759"/>
        <v>PS'!</v>
      </c>
      <c r="F3332" s="5" t="str">
        <f t="shared" si="760"/>
        <v>C:\Users\jaime.benazar\Quorum Business Solutions\Ecopetrol Prometeo - Documents\Planning Space Implementation\3. Analysis &amp; Design\Design\FC22\DRR Jaime\Neiva CPI\[VAO_DINA TERCIARIOS_CF_SEC_20230117.xlsx]CF PS'!</v>
      </c>
      <c r="G3332" s="6" t="s">
        <v>111</v>
      </c>
      <c r="H3332" s="1">
        <f t="shared" si="761"/>
        <v>60</v>
      </c>
      <c r="I3332" s="1" t="str">
        <f t="shared" si="762"/>
        <v>='C:\Users\jaime.benazar\Quorum Business Solutions\Ecopetrol Prometeo - Documents\Planning Space Implementation\3. Analysis &amp; Design\Design\FC22\DRR Jaime\Neiva CPI\[VAO_DINA TERCIARIOS_CF_SEC_20230117.xlsx]CF PS'!$DI$60</v>
      </c>
      <c r="J3332" t="s">
        <v>1599</v>
      </c>
    </row>
    <row r="3333" spans="1:10" x14ac:dyDescent="0.3">
      <c r="A3333" s="6" t="s">
        <v>24</v>
      </c>
      <c r="B3333" s="6">
        <f t="shared" si="763"/>
        <v>2048</v>
      </c>
      <c r="C3333" s="1" t="s">
        <v>110</v>
      </c>
      <c r="D3333" s="2" t="s">
        <v>131</v>
      </c>
      <c r="E3333" s="9" t="str">
        <f t="shared" si="759"/>
        <v>PS'!</v>
      </c>
      <c r="F3333" s="5" t="str">
        <f t="shared" si="760"/>
        <v>C:\Users\jaime.benazar\Quorum Business Solutions\Ecopetrol Prometeo - Documents\Planning Space Implementation\3. Analysis &amp; Design\Design\FC22\DRR Jaime\Neiva CPI\[VAO_DINA TERCIARIOS_CF_SEC_20230117.xlsx]CF PS'!</v>
      </c>
      <c r="G3333" s="6" t="s">
        <v>111</v>
      </c>
      <c r="H3333" s="1">
        <f t="shared" si="761"/>
        <v>61</v>
      </c>
      <c r="I3333" s="1" t="str">
        <f t="shared" si="762"/>
        <v>='C:\Users\jaime.benazar\Quorum Business Solutions\Ecopetrol Prometeo - Documents\Planning Space Implementation\3. Analysis &amp; Design\Design\FC22\DRR Jaime\Neiva CPI\[VAO_DINA TERCIARIOS_CF_SEC_20230117.xlsx]CF PS'!$DI$61</v>
      </c>
      <c r="J3333" t="s">
        <v>1600</v>
      </c>
    </row>
    <row r="3334" spans="1:10" x14ac:dyDescent="0.3">
      <c r="A3334" s="6" t="s">
        <v>24</v>
      </c>
      <c r="B3334" s="6">
        <f t="shared" si="763"/>
        <v>2049</v>
      </c>
      <c r="C3334" s="1" t="s">
        <v>110</v>
      </c>
      <c r="D3334" s="2" t="s">
        <v>131</v>
      </c>
      <c r="E3334" s="9" t="str">
        <f t="shared" si="759"/>
        <v>PS'!</v>
      </c>
      <c r="F3334" s="5" t="str">
        <f t="shared" si="760"/>
        <v>C:\Users\jaime.benazar\Quorum Business Solutions\Ecopetrol Prometeo - Documents\Planning Space Implementation\3. Analysis &amp; Design\Design\FC22\DRR Jaime\Neiva CPI\[VAO_DINA TERCIARIOS_CF_SEC_20230117.xlsx]CF PS'!</v>
      </c>
      <c r="G3334" s="6" t="s">
        <v>111</v>
      </c>
      <c r="H3334" s="1">
        <f t="shared" si="761"/>
        <v>62</v>
      </c>
      <c r="I3334" s="1" t="str">
        <f t="shared" si="762"/>
        <v>='C:\Users\jaime.benazar\Quorum Business Solutions\Ecopetrol Prometeo - Documents\Planning Space Implementation\3. Analysis &amp; Design\Design\FC22\DRR Jaime\Neiva CPI\[VAO_DINA TERCIARIOS_CF_SEC_20230117.xlsx]CF PS'!$DI$62</v>
      </c>
      <c r="J3334" t="s">
        <v>1601</v>
      </c>
    </row>
    <row r="3335" spans="1:10" x14ac:dyDescent="0.3">
      <c r="A3335" s="6" t="s">
        <v>24</v>
      </c>
      <c r="B3335" s="6">
        <f t="shared" si="763"/>
        <v>2050</v>
      </c>
      <c r="C3335" s="1" t="s">
        <v>110</v>
      </c>
      <c r="D3335" s="2" t="s">
        <v>131</v>
      </c>
      <c r="E3335" s="9" t="str">
        <f t="shared" si="759"/>
        <v>PS'!</v>
      </c>
      <c r="F3335" s="5" t="str">
        <f t="shared" si="760"/>
        <v>C:\Users\jaime.benazar\Quorum Business Solutions\Ecopetrol Prometeo - Documents\Planning Space Implementation\3. Analysis &amp; Design\Design\FC22\DRR Jaime\Neiva CPI\[VAO_DINA TERCIARIOS_CF_SEC_20230117.xlsx]CF PS'!</v>
      </c>
      <c r="G3335" s="6" t="s">
        <v>111</v>
      </c>
      <c r="H3335" s="1">
        <f t="shared" si="761"/>
        <v>63</v>
      </c>
      <c r="I3335" s="1" t="str">
        <f t="shared" si="762"/>
        <v>='C:\Users\jaime.benazar\Quorum Business Solutions\Ecopetrol Prometeo - Documents\Planning Space Implementation\3. Analysis &amp; Design\Design\FC22\DRR Jaime\Neiva CPI\[VAO_DINA TERCIARIOS_CF_SEC_20230117.xlsx]CF PS'!$DI$63</v>
      </c>
      <c r="J3335" t="s">
        <v>1602</v>
      </c>
    </row>
    <row r="3336" spans="1:10" x14ac:dyDescent="0.3">
      <c r="A3336" s="6" t="s">
        <v>24</v>
      </c>
      <c r="B3336" s="6">
        <f t="shared" si="763"/>
        <v>2051</v>
      </c>
      <c r="C3336" s="1" t="s">
        <v>110</v>
      </c>
      <c r="D3336" s="2" t="s">
        <v>131</v>
      </c>
      <c r="E3336" s="9" t="str">
        <f t="shared" si="759"/>
        <v>PS'!</v>
      </c>
      <c r="F3336" s="5" t="str">
        <f t="shared" si="760"/>
        <v>C:\Users\jaime.benazar\Quorum Business Solutions\Ecopetrol Prometeo - Documents\Planning Space Implementation\3. Analysis &amp; Design\Design\FC22\DRR Jaime\Neiva CPI\[VAO_DINA TERCIARIOS_CF_SEC_20230117.xlsx]CF PS'!</v>
      </c>
      <c r="G3336" s="6" t="s">
        <v>111</v>
      </c>
      <c r="H3336" s="1">
        <f t="shared" si="761"/>
        <v>64</v>
      </c>
      <c r="I3336" s="1" t="str">
        <f t="shared" si="762"/>
        <v>='C:\Users\jaime.benazar\Quorum Business Solutions\Ecopetrol Prometeo - Documents\Planning Space Implementation\3. Analysis &amp; Design\Design\FC22\DRR Jaime\Neiva CPI\[VAO_DINA TERCIARIOS_CF_SEC_20230117.xlsx]CF PS'!$DI$64</v>
      </c>
      <c r="J3336" t="s">
        <v>1603</v>
      </c>
    </row>
    <row r="3337" spans="1:10" x14ac:dyDescent="0.3">
      <c r="A3337" s="6" t="s">
        <v>24</v>
      </c>
      <c r="B3337" s="6">
        <f t="shared" si="763"/>
        <v>2052</v>
      </c>
      <c r="C3337" s="1" t="s">
        <v>110</v>
      </c>
      <c r="D3337" s="2" t="s">
        <v>131</v>
      </c>
      <c r="E3337" s="9" t="str">
        <f t="shared" si="759"/>
        <v>PS'!</v>
      </c>
      <c r="F3337" s="5" t="str">
        <f t="shared" si="760"/>
        <v>C:\Users\jaime.benazar\Quorum Business Solutions\Ecopetrol Prometeo - Documents\Planning Space Implementation\3. Analysis &amp; Design\Design\FC22\DRR Jaime\Neiva CPI\[VAO_DINA TERCIARIOS_CF_SEC_20230117.xlsx]CF PS'!</v>
      </c>
      <c r="G3337" s="6" t="s">
        <v>111</v>
      </c>
      <c r="H3337" s="1">
        <f t="shared" si="761"/>
        <v>65</v>
      </c>
      <c r="I3337" s="1" t="str">
        <f t="shared" si="762"/>
        <v>='C:\Users\jaime.benazar\Quorum Business Solutions\Ecopetrol Prometeo - Documents\Planning Space Implementation\3. Analysis &amp; Design\Design\FC22\DRR Jaime\Neiva CPI\[VAO_DINA TERCIARIOS_CF_SEC_20230117.xlsx]CF PS'!$DI$65</v>
      </c>
      <c r="J3337" t="s">
        <v>1604</v>
      </c>
    </row>
    <row r="3338" spans="1:10" x14ac:dyDescent="0.3">
      <c r="A3338" s="6" t="s">
        <v>24</v>
      </c>
      <c r="B3338" s="6">
        <f t="shared" si="763"/>
        <v>2053</v>
      </c>
      <c r="C3338" s="1" t="s">
        <v>110</v>
      </c>
      <c r="D3338" s="2" t="s">
        <v>131</v>
      </c>
      <c r="E3338" s="9" t="str">
        <f t="shared" si="759"/>
        <v>PS'!</v>
      </c>
      <c r="F3338" s="5" t="str">
        <f t="shared" si="760"/>
        <v>C:\Users\jaime.benazar\Quorum Business Solutions\Ecopetrol Prometeo - Documents\Planning Space Implementation\3. Analysis &amp; Design\Design\FC22\DRR Jaime\Neiva CPI\[VAO_DINA TERCIARIOS_CF_SEC_20230117.xlsx]CF PS'!</v>
      </c>
      <c r="G3338" s="6" t="s">
        <v>111</v>
      </c>
      <c r="H3338" s="1">
        <f t="shared" si="761"/>
        <v>66</v>
      </c>
      <c r="I3338" s="1" t="str">
        <f t="shared" si="762"/>
        <v>='C:\Users\jaime.benazar\Quorum Business Solutions\Ecopetrol Prometeo - Documents\Planning Space Implementation\3. Analysis &amp; Design\Design\FC22\DRR Jaime\Neiva CPI\[VAO_DINA TERCIARIOS_CF_SEC_20230117.xlsx]CF PS'!$DI$66</v>
      </c>
      <c r="J3338" t="s">
        <v>1605</v>
      </c>
    </row>
    <row r="3339" spans="1:10" x14ac:dyDescent="0.3">
      <c r="A3339" s="6" t="s">
        <v>24</v>
      </c>
      <c r="B3339" s="6">
        <f t="shared" si="763"/>
        <v>2054</v>
      </c>
      <c r="C3339" s="1" t="s">
        <v>110</v>
      </c>
      <c r="D3339" s="2" t="s">
        <v>131</v>
      </c>
      <c r="E3339" s="9" t="str">
        <f t="shared" si="759"/>
        <v>PS'!</v>
      </c>
      <c r="F3339" s="5" t="str">
        <f t="shared" si="760"/>
        <v>C:\Users\jaime.benazar\Quorum Business Solutions\Ecopetrol Prometeo - Documents\Planning Space Implementation\3. Analysis &amp; Design\Design\FC22\DRR Jaime\Neiva CPI\[VAO_DINA TERCIARIOS_CF_SEC_20230117.xlsx]CF PS'!</v>
      </c>
      <c r="G3339" s="6" t="s">
        <v>111</v>
      </c>
      <c r="H3339" s="1">
        <f t="shared" si="761"/>
        <v>67</v>
      </c>
      <c r="I3339" s="1" t="str">
        <f t="shared" si="762"/>
        <v>='C:\Users\jaime.benazar\Quorum Business Solutions\Ecopetrol Prometeo - Documents\Planning Space Implementation\3. Analysis &amp; Design\Design\FC22\DRR Jaime\Neiva CPI\[VAO_DINA TERCIARIOS_CF_SEC_20230117.xlsx]CF PS'!$DI$67</v>
      </c>
      <c r="J3339" t="s">
        <v>1606</v>
      </c>
    </row>
    <row r="3340" spans="1:10" x14ac:dyDescent="0.3">
      <c r="A3340" s="6" t="s">
        <v>24</v>
      </c>
      <c r="B3340" s="6">
        <f t="shared" si="763"/>
        <v>2055</v>
      </c>
      <c r="C3340" s="1" t="s">
        <v>110</v>
      </c>
      <c r="D3340" s="2" t="s">
        <v>131</v>
      </c>
      <c r="E3340" s="9" t="str">
        <f t="shared" si="759"/>
        <v>PS'!</v>
      </c>
      <c r="F3340" s="5" t="str">
        <f t="shared" si="760"/>
        <v>C:\Users\jaime.benazar\Quorum Business Solutions\Ecopetrol Prometeo - Documents\Planning Space Implementation\3. Analysis &amp; Design\Design\FC22\DRR Jaime\Neiva CPI\[VAO_DINA TERCIARIOS_CF_SEC_20230117.xlsx]CF PS'!</v>
      </c>
      <c r="G3340" s="6" t="s">
        <v>111</v>
      </c>
      <c r="H3340" s="1">
        <f t="shared" si="761"/>
        <v>68</v>
      </c>
      <c r="I3340" s="1" t="str">
        <f t="shared" si="762"/>
        <v>='C:\Users\jaime.benazar\Quorum Business Solutions\Ecopetrol Prometeo - Documents\Planning Space Implementation\3. Analysis &amp; Design\Design\FC22\DRR Jaime\Neiva CPI\[VAO_DINA TERCIARIOS_CF_SEC_20230117.xlsx]CF PS'!$DI$68</v>
      </c>
      <c r="J3340" t="s">
        <v>1607</v>
      </c>
    </row>
    <row r="3341" spans="1:10" x14ac:dyDescent="0.3">
      <c r="A3341" s="6" t="s">
        <v>24</v>
      </c>
      <c r="B3341" s="6">
        <f t="shared" si="763"/>
        <v>2056</v>
      </c>
      <c r="C3341" s="1" t="s">
        <v>110</v>
      </c>
      <c r="D3341" s="2" t="s">
        <v>131</v>
      </c>
      <c r="E3341" s="9" t="str">
        <f t="shared" si="759"/>
        <v>PS'!</v>
      </c>
      <c r="F3341" s="5" t="str">
        <f t="shared" si="760"/>
        <v>C:\Users\jaime.benazar\Quorum Business Solutions\Ecopetrol Prometeo - Documents\Planning Space Implementation\3. Analysis &amp; Design\Design\FC22\DRR Jaime\Neiva CPI\[VAO_DINA TERCIARIOS_CF_SEC_20230117.xlsx]CF PS'!</v>
      </c>
      <c r="G3341" s="6" t="s">
        <v>111</v>
      </c>
      <c r="H3341" s="1">
        <f t="shared" si="761"/>
        <v>69</v>
      </c>
      <c r="I3341" s="1" t="str">
        <f t="shared" si="762"/>
        <v>='C:\Users\jaime.benazar\Quorum Business Solutions\Ecopetrol Prometeo - Documents\Planning Space Implementation\3. Analysis &amp; Design\Design\FC22\DRR Jaime\Neiva CPI\[VAO_DINA TERCIARIOS_CF_SEC_20230117.xlsx]CF PS'!$DI$69</v>
      </c>
      <c r="J3341" t="s">
        <v>1608</v>
      </c>
    </row>
    <row r="3342" spans="1:10" x14ac:dyDescent="0.3">
      <c r="A3342" s="6" t="s">
        <v>24</v>
      </c>
      <c r="B3342" s="6">
        <f t="shared" si="763"/>
        <v>2057</v>
      </c>
      <c r="C3342" s="1" t="s">
        <v>110</v>
      </c>
      <c r="D3342" s="2" t="s">
        <v>131</v>
      </c>
      <c r="E3342" s="9" t="str">
        <f t="shared" si="759"/>
        <v>PS'!</v>
      </c>
      <c r="F3342" s="5" t="str">
        <f t="shared" si="760"/>
        <v>C:\Users\jaime.benazar\Quorum Business Solutions\Ecopetrol Prometeo - Documents\Planning Space Implementation\3. Analysis &amp; Design\Design\FC22\DRR Jaime\Neiva CPI\[VAO_DINA TERCIARIOS_CF_SEC_20230117.xlsx]CF PS'!</v>
      </c>
      <c r="G3342" s="6" t="s">
        <v>111</v>
      </c>
      <c r="H3342" s="1">
        <f t="shared" si="761"/>
        <v>70</v>
      </c>
      <c r="I3342" s="1" t="str">
        <f t="shared" si="762"/>
        <v>='C:\Users\jaime.benazar\Quorum Business Solutions\Ecopetrol Prometeo - Documents\Planning Space Implementation\3. Analysis &amp; Design\Design\FC22\DRR Jaime\Neiva CPI\[VAO_DINA TERCIARIOS_CF_SEC_20230117.xlsx]CF PS'!$DI$70</v>
      </c>
      <c r="J3342" t="s">
        <v>1609</v>
      </c>
    </row>
    <row r="3343" spans="1:10" x14ac:dyDescent="0.3">
      <c r="A3343" s="6" t="s">
        <v>24</v>
      </c>
      <c r="B3343" s="6">
        <f t="shared" si="763"/>
        <v>2058</v>
      </c>
      <c r="C3343" s="1" t="s">
        <v>110</v>
      </c>
      <c r="D3343" s="2" t="s">
        <v>131</v>
      </c>
      <c r="E3343" s="9" t="str">
        <f t="shared" si="759"/>
        <v>PS'!</v>
      </c>
      <c r="F3343" s="5" t="str">
        <f t="shared" si="760"/>
        <v>C:\Users\jaime.benazar\Quorum Business Solutions\Ecopetrol Prometeo - Documents\Planning Space Implementation\3. Analysis &amp; Design\Design\FC22\DRR Jaime\Neiva CPI\[VAO_DINA TERCIARIOS_CF_SEC_20230117.xlsx]CF PS'!</v>
      </c>
      <c r="G3343" s="6" t="s">
        <v>111</v>
      </c>
      <c r="H3343" s="1">
        <f t="shared" si="761"/>
        <v>71</v>
      </c>
      <c r="I3343" s="1" t="str">
        <f t="shared" si="762"/>
        <v>='C:\Users\jaime.benazar\Quorum Business Solutions\Ecopetrol Prometeo - Documents\Planning Space Implementation\3. Analysis &amp; Design\Design\FC22\DRR Jaime\Neiva CPI\[VAO_DINA TERCIARIOS_CF_SEC_20230117.xlsx]CF PS'!$DI$71</v>
      </c>
      <c r="J3343" t="s">
        <v>1610</v>
      </c>
    </row>
    <row r="3344" spans="1:10" x14ac:dyDescent="0.3">
      <c r="A3344" s="6" t="s">
        <v>24</v>
      </c>
      <c r="B3344" s="6">
        <f t="shared" si="763"/>
        <v>2059</v>
      </c>
      <c r="C3344" s="1" t="s">
        <v>110</v>
      </c>
      <c r="D3344" s="2" t="s">
        <v>131</v>
      </c>
      <c r="E3344" s="9" t="str">
        <f t="shared" si="759"/>
        <v>PS'!</v>
      </c>
      <c r="F3344" s="5" t="str">
        <f t="shared" si="760"/>
        <v>C:\Users\jaime.benazar\Quorum Business Solutions\Ecopetrol Prometeo - Documents\Planning Space Implementation\3. Analysis &amp; Design\Design\FC22\DRR Jaime\Neiva CPI\[VAO_DINA TERCIARIOS_CF_SEC_20230117.xlsx]CF PS'!</v>
      </c>
      <c r="G3344" s="6" t="s">
        <v>111</v>
      </c>
      <c r="H3344" s="1">
        <f t="shared" si="761"/>
        <v>72</v>
      </c>
      <c r="I3344" s="1" t="str">
        <f t="shared" si="762"/>
        <v>='C:\Users\jaime.benazar\Quorum Business Solutions\Ecopetrol Prometeo - Documents\Planning Space Implementation\3. Analysis &amp; Design\Design\FC22\DRR Jaime\Neiva CPI\[VAO_DINA TERCIARIOS_CF_SEC_20230117.xlsx]CF PS'!$DI$72</v>
      </c>
      <c r="J3344" t="s">
        <v>1611</v>
      </c>
    </row>
    <row r="3345" spans="1:10" x14ac:dyDescent="0.3">
      <c r="A3345" s="8" t="s">
        <v>26</v>
      </c>
      <c r="C3345" s="1" t="s">
        <v>110</v>
      </c>
      <c r="D3345" s="2"/>
      <c r="E3345" s="8" t="str">
        <f t="shared" si="690"/>
        <v>Total'!</v>
      </c>
      <c r="F3345" s="5"/>
      <c r="J3345" s="4"/>
    </row>
    <row r="3346" spans="1:10" x14ac:dyDescent="0.3">
      <c r="A3346" s="6" t="s">
        <v>14</v>
      </c>
      <c r="B3346" s="6">
        <v>2023</v>
      </c>
      <c r="C3346" s="1" t="s">
        <v>28</v>
      </c>
      <c r="D3346" s="2" t="s">
        <v>131</v>
      </c>
      <c r="E3346" s="9" t="str">
        <f>_xlfn.CONCAT(A3346,"'!")</f>
        <v>PDP'!</v>
      </c>
      <c r="F3346" s="5" t="str">
        <f t="shared" ref="F3346:F3366" si="764">_xlfn.CONCAT(D3346," ",E3346)</f>
        <v>C:\Users\jaime.benazar\Quorum Business Solutions\Ecopetrol Prometeo - Documents\Planning Space Implementation\3. Analysis &amp; Design\Design\FC22\DRR Jaime\Neiva CPI\[VAO_DINA TERCIARIOS_CF_SEC_20230117.xlsx]CF PDP'!</v>
      </c>
      <c r="G3346" s="6" t="s">
        <v>112</v>
      </c>
      <c r="H3346" s="1">
        <f>IF(A3346&lt;&gt;A3345,36,H3345+1)</f>
        <v>36</v>
      </c>
      <c r="I3346" s="1" t="str">
        <f>_xlfn.CONCAT("='",F3346:H3346)</f>
        <v>='C:\Users\jaime.benazar\Quorum Business Solutions\Ecopetrol Prometeo - Documents\Planning Space Implementation\3. Analysis &amp; Design\Design\FC22\DRR Jaime\Neiva CPI\[VAO_DINA TERCIARIOS_CF_SEC_20230117.xlsx]CF PDP'!$BB$36</v>
      </c>
      <c r="J3346" s="12" t="s">
        <v>1612</v>
      </c>
    </row>
    <row r="3347" spans="1:10" x14ac:dyDescent="0.3">
      <c r="A3347" s="6" t="s">
        <v>14</v>
      </c>
      <c r="B3347" s="6">
        <f>+B3346+1</f>
        <v>2024</v>
      </c>
      <c r="C3347" s="1" t="s">
        <v>28</v>
      </c>
      <c r="D3347" s="2" t="s">
        <v>131</v>
      </c>
      <c r="E3347" s="9" t="str">
        <f t="shared" ref="E3347:E3404" si="765">_xlfn.CONCAT(A3347,"'!")</f>
        <v>PDP'!</v>
      </c>
      <c r="F3347" s="5" t="str">
        <f t="shared" si="764"/>
        <v>C:\Users\jaime.benazar\Quorum Business Solutions\Ecopetrol Prometeo - Documents\Planning Space Implementation\3. Analysis &amp; Design\Design\FC22\DRR Jaime\Neiva CPI\[VAO_DINA TERCIARIOS_CF_SEC_20230117.xlsx]CF PDP'!</v>
      </c>
      <c r="G3347" s="6" t="s">
        <v>112</v>
      </c>
      <c r="H3347" s="1">
        <f>IF(A3347&lt;&gt;A3346,36,H3346+1)</f>
        <v>37</v>
      </c>
      <c r="I3347" s="1" t="str">
        <f t="shared" ref="I3347:I3366" si="766">_xlfn.CONCAT("='",F3347:H3347)</f>
        <v>='C:\Users\jaime.benazar\Quorum Business Solutions\Ecopetrol Prometeo - Documents\Planning Space Implementation\3. Analysis &amp; Design\Design\FC22\DRR Jaime\Neiva CPI\[VAO_DINA TERCIARIOS_CF_SEC_20230117.xlsx]CF PDP'!$BB$37</v>
      </c>
      <c r="J3347" s="1" t="s">
        <v>1613</v>
      </c>
    </row>
    <row r="3348" spans="1:10" x14ac:dyDescent="0.3">
      <c r="A3348" s="6" t="s">
        <v>14</v>
      </c>
      <c r="B3348" s="6">
        <f t="shared" ref="B3348:B3382" si="767">+B3347+1</f>
        <v>2025</v>
      </c>
      <c r="C3348" s="1" t="s">
        <v>28</v>
      </c>
      <c r="D3348" s="2" t="s">
        <v>131</v>
      </c>
      <c r="E3348" s="9" t="str">
        <f t="shared" si="765"/>
        <v>PDP'!</v>
      </c>
      <c r="F3348" s="5" t="str">
        <f t="shared" si="764"/>
        <v>C:\Users\jaime.benazar\Quorum Business Solutions\Ecopetrol Prometeo - Documents\Planning Space Implementation\3. Analysis &amp; Design\Design\FC22\DRR Jaime\Neiva CPI\[VAO_DINA TERCIARIOS_CF_SEC_20230117.xlsx]CF PDP'!</v>
      </c>
      <c r="G3348" s="6" t="s">
        <v>112</v>
      </c>
      <c r="H3348" s="1">
        <f t="shared" ref="H3348:H3366" si="768">IF(A3348&lt;&gt;A3347,36,H3347+1)</f>
        <v>38</v>
      </c>
      <c r="I3348" s="1" t="str">
        <f t="shared" si="766"/>
        <v>='C:\Users\jaime.benazar\Quorum Business Solutions\Ecopetrol Prometeo - Documents\Planning Space Implementation\3. Analysis &amp; Design\Design\FC22\DRR Jaime\Neiva CPI\[VAO_DINA TERCIARIOS_CF_SEC_20230117.xlsx]CF PDP'!$BB$38</v>
      </c>
      <c r="J3348" s="1" t="s">
        <v>1614</v>
      </c>
    </row>
    <row r="3349" spans="1:10" x14ac:dyDescent="0.3">
      <c r="A3349" s="6" t="s">
        <v>14</v>
      </c>
      <c r="B3349" s="6">
        <f t="shared" si="767"/>
        <v>2026</v>
      </c>
      <c r="C3349" s="1" t="s">
        <v>28</v>
      </c>
      <c r="D3349" s="2" t="s">
        <v>131</v>
      </c>
      <c r="E3349" s="9" t="str">
        <f t="shared" si="765"/>
        <v>PDP'!</v>
      </c>
      <c r="F3349" s="5" t="str">
        <f t="shared" si="764"/>
        <v>C:\Users\jaime.benazar\Quorum Business Solutions\Ecopetrol Prometeo - Documents\Planning Space Implementation\3. Analysis &amp; Design\Design\FC22\DRR Jaime\Neiva CPI\[VAO_DINA TERCIARIOS_CF_SEC_20230117.xlsx]CF PDP'!</v>
      </c>
      <c r="G3349" s="6" t="s">
        <v>112</v>
      </c>
      <c r="H3349" s="1">
        <f t="shared" si="768"/>
        <v>39</v>
      </c>
      <c r="I3349" s="1" t="str">
        <f t="shared" si="766"/>
        <v>='C:\Users\jaime.benazar\Quorum Business Solutions\Ecopetrol Prometeo - Documents\Planning Space Implementation\3. Analysis &amp; Design\Design\FC22\DRR Jaime\Neiva CPI\[VAO_DINA TERCIARIOS_CF_SEC_20230117.xlsx]CF PDP'!$BB$39</v>
      </c>
      <c r="J3349" s="1" t="s">
        <v>1615</v>
      </c>
    </row>
    <row r="3350" spans="1:10" x14ac:dyDescent="0.3">
      <c r="A3350" s="6" t="s">
        <v>14</v>
      </c>
      <c r="B3350" s="6">
        <f t="shared" si="767"/>
        <v>2027</v>
      </c>
      <c r="C3350" s="1" t="s">
        <v>28</v>
      </c>
      <c r="D3350" s="2" t="s">
        <v>131</v>
      </c>
      <c r="E3350" s="9" t="str">
        <f t="shared" si="765"/>
        <v>PDP'!</v>
      </c>
      <c r="F3350" s="5" t="str">
        <f t="shared" si="764"/>
        <v>C:\Users\jaime.benazar\Quorum Business Solutions\Ecopetrol Prometeo - Documents\Planning Space Implementation\3. Analysis &amp; Design\Design\FC22\DRR Jaime\Neiva CPI\[VAO_DINA TERCIARIOS_CF_SEC_20230117.xlsx]CF PDP'!</v>
      </c>
      <c r="G3350" s="6" t="s">
        <v>112</v>
      </c>
      <c r="H3350" s="1">
        <f t="shared" si="768"/>
        <v>40</v>
      </c>
      <c r="I3350" s="1" t="str">
        <f t="shared" si="766"/>
        <v>='C:\Users\jaime.benazar\Quorum Business Solutions\Ecopetrol Prometeo - Documents\Planning Space Implementation\3. Analysis &amp; Design\Design\FC22\DRR Jaime\Neiva CPI\[VAO_DINA TERCIARIOS_CF_SEC_20230117.xlsx]CF PDP'!$BB$40</v>
      </c>
      <c r="J3350" s="1" t="s">
        <v>1616</v>
      </c>
    </row>
    <row r="3351" spans="1:10" x14ac:dyDescent="0.3">
      <c r="A3351" s="6" t="s">
        <v>14</v>
      </c>
      <c r="B3351" s="6">
        <f t="shared" si="767"/>
        <v>2028</v>
      </c>
      <c r="C3351" s="1" t="s">
        <v>28</v>
      </c>
      <c r="D3351" s="2" t="s">
        <v>131</v>
      </c>
      <c r="E3351" s="9" t="str">
        <f t="shared" si="765"/>
        <v>PDP'!</v>
      </c>
      <c r="F3351" s="5" t="str">
        <f t="shared" si="764"/>
        <v>C:\Users\jaime.benazar\Quorum Business Solutions\Ecopetrol Prometeo - Documents\Planning Space Implementation\3. Analysis &amp; Design\Design\FC22\DRR Jaime\Neiva CPI\[VAO_DINA TERCIARIOS_CF_SEC_20230117.xlsx]CF PDP'!</v>
      </c>
      <c r="G3351" s="6" t="s">
        <v>112</v>
      </c>
      <c r="H3351" s="1">
        <f t="shared" si="768"/>
        <v>41</v>
      </c>
      <c r="I3351" s="1" t="str">
        <f t="shared" si="766"/>
        <v>='C:\Users\jaime.benazar\Quorum Business Solutions\Ecopetrol Prometeo - Documents\Planning Space Implementation\3. Analysis &amp; Design\Design\FC22\DRR Jaime\Neiva CPI\[VAO_DINA TERCIARIOS_CF_SEC_20230117.xlsx]CF PDP'!$BB$41</v>
      </c>
      <c r="J3351" s="1" t="s">
        <v>1617</v>
      </c>
    </row>
    <row r="3352" spans="1:10" x14ac:dyDescent="0.3">
      <c r="A3352" s="6" t="s">
        <v>14</v>
      </c>
      <c r="B3352" s="6">
        <f t="shared" si="767"/>
        <v>2029</v>
      </c>
      <c r="C3352" s="1" t="s">
        <v>28</v>
      </c>
      <c r="D3352" s="2" t="s">
        <v>131</v>
      </c>
      <c r="E3352" s="9" t="str">
        <f t="shared" si="765"/>
        <v>PDP'!</v>
      </c>
      <c r="F3352" s="5" t="str">
        <f t="shared" si="764"/>
        <v>C:\Users\jaime.benazar\Quorum Business Solutions\Ecopetrol Prometeo - Documents\Planning Space Implementation\3. Analysis &amp; Design\Design\FC22\DRR Jaime\Neiva CPI\[VAO_DINA TERCIARIOS_CF_SEC_20230117.xlsx]CF PDP'!</v>
      </c>
      <c r="G3352" s="6" t="s">
        <v>112</v>
      </c>
      <c r="H3352" s="1">
        <f t="shared" si="768"/>
        <v>42</v>
      </c>
      <c r="I3352" s="1" t="str">
        <f t="shared" si="766"/>
        <v>='C:\Users\jaime.benazar\Quorum Business Solutions\Ecopetrol Prometeo - Documents\Planning Space Implementation\3. Analysis &amp; Design\Design\FC22\DRR Jaime\Neiva CPI\[VAO_DINA TERCIARIOS_CF_SEC_20230117.xlsx]CF PDP'!$BB$42</v>
      </c>
      <c r="J3352" s="1" t="s">
        <v>1618</v>
      </c>
    </row>
    <row r="3353" spans="1:10" x14ac:dyDescent="0.3">
      <c r="A3353" s="6" t="s">
        <v>14</v>
      </c>
      <c r="B3353" s="6">
        <f t="shared" si="767"/>
        <v>2030</v>
      </c>
      <c r="C3353" s="1" t="s">
        <v>28</v>
      </c>
      <c r="D3353" s="2" t="s">
        <v>131</v>
      </c>
      <c r="E3353" s="9" t="str">
        <f t="shared" si="765"/>
        <v>PDP'!</v>
      </c>
      <c r="F3353" s="5" t="str">
        <f t="shared" si="764"/>
        <v>C:\Users\jaime.benazar\Quorum Business Solutions\Ecopetrol Prometeo - Documents\Planning Space Implementation\3. Analysis &amp; Design\Design\FC22\DRR Jaime\Neiva CPI\[VAO_DINA TERCIARIOS_CF_SEC_20230117.xlsx]CF PDP'!</v>
      </c>
      <c r="G3353" s="6" t="s">
        <v>112</v>
      </c>
      <c r="H3353" s="1">
        <f t="shared" si="768"/>
        <v>43</v>
      </c>
      <c r="I3353" s="1" t="str">
        <f t="shared" si="766"/>
        <v>='C:\Users\jaime.benazar\Quorum Business Solutions\Ecopetrol Prometeo - Documents\Planning Space Implementation\3. Analysis &amp; Design\Design\FC22\DRR Jaime\Neiva CPI\[VAO_DINA TERCIARIOS_CF_SEC_20230117.xlsx]CF PDP'!$BB$43</v>
      </c>
      <c r="J3353" s="1" t="s">
        <v>1619</v>
      </c>
    </row>
    <row r="3354" spans="1:10" x14ac:dyDescent="0.3">
      <c r="A3354" s="6" t="s">
        <v>14</v>
      </c>
      <c r="B3354" s="6">
        <f t="shared" si="767"/>
        <v>2031</v>
      </c>
      <c r="C3354" s="1" t="s">
        <v>28</v>
      </c>
      <c r="D3354" s="2" t="s">
        <v>131</v>
      </c>
      <c r="E3354" s="9" t="str">
        <f t="shared" si="765"/>
        <v>PDP'!</v>
      </c>
      <c r="F3354" s="5" t="str">
        <f t="shared" si="764"/>
        <v>C:\Users\jaime.benazar\Quorum Business Solutions\Ecopetrol Prometeo - Documents\Planning Space Implementation\3. Analysis &amp; Design\Design\FC22\DRR Jaime\Neiva CPI\[VAO_DINA TERCIARIOS_CF_SEC_20230117.xlsx]CF PDP'!</v>
      </c>
      <c r="G3354" s="6" t="s">
        <v>112</v>
      </c>
      <c r="H3354" s="1">
        <f t="shared" si="768"/>
        <v>44</v>
      </c>
      <c r="I3354" s="1" t="str">
        <f t="shared" si="766"/>
        <v>='C:\Users\jaime.benazar\Quorum Business Solutions\Ecopetrol Prometeo - Documents\Planning Space Implementation\3. Analysis &amp; Design\Design\FC22\DRR Jaime\Neiva CPI\[VAO_DINA TERCIARIOS_CF_SEC_20230117.xlsx]CF PDP'!$BB$44</v>
      </c>
      <c r="J3354" s="1" t="s">
        <v>1620</v>
      </c>
    </row>
    <row r="3355" spans="1:10" x14ac:dyDescent="0.3">
      <c r="A3355" s="6" t="s">
        <v>14</v>
      </c>
      <c r="B3355" s="6">
        <f t="shared" si="767"/>
        <v>2032</v>
      </c>
      <c r="C3355" s="1" t="s">
        <v>28</v>
      </c>
      <c r="D3355" s="2" t="s">
        <v>131</v>
      </c>
      <c r="E3355" s="9" t="str">
        <f t="shared" si="765"/>
        <v>PDP'!</v>
      </c>
      <c r="F3355" s="5" t="str">
        <f t="shared" si="764"/>
        <v>C:\Users\jaime.benazar\Quorum Business Solutions\Ecopetrol Prometeo - Documents\Planning Space Implementation\3. Analysis &amp; Design\Design\FC22\DRR Jaime\Neiva CPI\[VAO_DINA TERCIARIOS_CF_SEC_20230117.xlsx]CF PDP'!</v>
      </c>
      <c r="G3355" s="6" t="s">
        <v>112</v>
      </c>
      <c r="H3355" s="1">
        <f t="shared" si="768"/>
        <v>45</v>
      </c>
      <c r="I3355" s="1" t="str">
        <f t="shared" si="766"/>
        <v>='C:\Users\jaime.benazar\Quorum Business Solutions\Ecopetrol Prometeo - Documents\Planning Space Implementation\3. Analysis &amp; Design\Design\FC22\DRR Jaime\Neiva CPI\[VAO_DINA TERCIARIOS_CF_SEC_20230117.xlsx]CF PDP'!$BB$45</v>
      </c>
      <c r="J3355" s="1" t="s">
        <v>1621</v>
      </c>
    </row>
    <row r="3356" spans="1:10" x14ac:dyDescent="0.3">
      <c r="A3356" s="6" t="s">
        <v>14</v>
      </c>
      <c r="B3356" s="6">
        <f t="shared" si="767"/>
        <v>2033</v>
      </c>
      <c r="C3356" s="1" t="s">
        <v>28</v>
      </c>
      <c r="D3356" s="2" t="s">
        <v>131</v>
      </c>
      <c r="E3356" s="9" t="str">
        <f t="shared" si="765"/>
        <v>PDP'!</v>
      </c>
      <c r="F3356" s="5" t="str">
        <f t="shared" si="764"/>
        <v>C:\Users\jaime.benazar\Quorum Business Solutions\Ecopetrol Prometeo - Documents\Planning Space Implementation\3. Analysis &amp; Design\Design\FC22\DRR Jaime\Neiva CPI\[VAO_DINA TERCIARIOS_CF_SEC_20230117.xlsx]CF PDP'!</v>
      </c>
      <c r="G3356" s="6" t="s">
        <v>112</v>
      </c>
      <c r="H3356" s="1">
        <f t="shared" si="768"/>
        <v>46</v>
      </c>
      <c r="I3356" s="1" t="str">
        <f t="shared" si="766"/>
        <v>='C:\Users\jaime.benazar\Quorum Business Solutions\Ecopetrol Prometeo - Documents\Planning Space Implementation\3. Analysis &amp; Design\Design\FC22\DRR Jaime\Neiva CPI\[VAO_DINA TERCIARIOS_CF_SEC_20230117.xlsx]CF PDP'!$BB$46</v>
      </c>
      <c r="J3356" s="1" t="s">
        <v>1622</v>
      </c>
    </row>
    <row r="3357" spans="1:10" x14ac:dyDescent="0.3">
      <c r="A3357" s="6" t="s">
        <v>14</v>
      </c>
      <c r="B3357" s="6">
        <f t="shared" si="767"/>
        <v>2034</v>
      </c>
      <c r="C3357" s="1" t="s">
        <v>28</v>
      </c>
      <c r="D3357" s="2" t="s">
        <v>131</v>
      </c>
      <c r="E3357" s="9" t="str">
        <f t="shared" si="765"/>
        <v>PDP'!</v>
      </c>
      <c r="F3357" s="5" t="str">
        <f t="shared" si="764"/>
        <v>C:\Users\jaime.benazar\Quorum Business Solutions\Ecopetrol Prometeo - Documents\Planning Space Implementation\3. Analysis &amp; Design\Design\FC22\DRR Jaime\Neiva CPI\[VAO_DINA TERCIARIOS_CF_SEC_20230117.xlsx]CF PDP'!</v>
      </c>
      <c r="G3357" s="6" t="s">
        <v>112</v>
      </c>
      <c r="H3357" s="1">
        <f t="shared" si="768"/>
        <v>47</v>
      </c>
      <c r="I3357" s="1" t="str">
        <f t="shared" si="766"/>
        <v>='C:\Users\jaime.benazar\Quorum Business Solutions\Ecopetrol Prometeo - Documents\Planning Space Implementation\3. Analysis &amp; Design\Design\FC22\DRR Jaime\Neiva CPI\[VAO_DINA TERCIARIOS_CF_SEC_20230117.xlsx]CF PDP'!$BB$47</v>
      </c>
      <c r="J3357" s="1" t="s">
        <v>1623</v>
      </c>
    </row>
    <row r="3358" spans="1:10" x14ac:dyDescent="0.3">
      <c r="A3358" s="6" t="s">
        <v>14</v>
      </c>
      <c r="B3358" s="6">
        <f t="shared" si="767"/>
        <v>2035</v>
      </c>
      <c r="C3358" s="1" t="s">
        <v>28</v>
      </c>
      <c r="D3358" s="2" t="s">
        <v>131</v>
      </c>
      <c r="E3358" s="9" t="str">
        <f t="shared" si="765"/>
        <v>PDP'!</v>
      </c>
      <c r="F3358" s="5" t="str">
        <f t="shared" si="764"/>
        <v>C:\Users\jaime.benazar\Quorum Business Solutions\Ecopetrol Prometeo - Documents\Planning Space Implementation\3. Analysis &amp; Design\Design\FC22\DRR Jaime\Neiva CPI\[VAO_DINA TERCIARIOS_CF_SEC_20230117.xlsx]CF PDP'!</v>
      </c>
      <c r="G3358" s="6" t="s">
        <v>112</v>
      </c>
      <c r="H3358" s="1">
        <f t="shared" si="768"/>
        <v>48</v>
      </c>
      <c r="I3358" s="1" t="str">
        <f t="shared" si="766"/>
        <v>='C:\Users\jaime.benazar\Quorum Business Solutions\Ecopetrol Prometeo - Documents\Planning Space Implementation\3. Analysis &amp; Design\Design\FC22\DRR Jaime\Neiva CPI\[VAO_DINA TERCIARIOS_CF_SEC_20230117.xlsx]CF PDP'!$BB$48</v>
      </c>
      <c r="J3358" s="1" t="s">
        <v>1624</v>
      </c>
    </row>
    <row r="3359" spans="1:10" x14ac:dyDescent="0.3">
      <c r="A3359" s="6" t="s">
        <v>14</v>
      </c>
      <c r="B3359" s="6">
        <f t="shared" si="767"/>
        <v>2036</v>
      </c>
      <c r="C3359" s="1" t="s">
        <v>28</v>
      </c>
      <c r="D3359" s="2" t="s">
        <v>131</v>
      </c>
      <c r="E3359" s="9" t="str">
        <f t="shared" si="765"/>
        <v>PDP'!</v>
      </c>
      <c r="F3359" s="5" t="str">
        <f t="shared" si="764"/>
        <v>C:\Users\jaime.benazar\Quorum Business Solutions\Ecopetrol Prometeo - Documents\Planning Space Implementation\3. Analysis &amp; Design\Design\FC22\DRR Jaime\Neiva CPI\[VAO_DINA TERCIARIOS_CF_SEC_20230117.xlsx]CF PDP'!</v>
      </c>
      <c r="G3359" s="6" t="s">
        <v>112</v>
      </c>
      <c r="H3359" s="1">
        <f t="shared" si="768"/>
        <v>49</v>
      </c>
      <c r="I3359" s="1" t="str">
        <f t="shared" si="766"/>
        <v>='C:\Users\jaime.benazar\Quorum Business Solutions\Ecopetrol Prometeo - Documents\Planning Space Implementation\3. Analysis &amp; Design\Design\FC22\DRR Jaime\Neiva CPI\[VAO_DINA TERCIARIOS_CF_SEC_20230117.xlsx]CF PDP'!$BB$49</v>
      </c>
      <c r="J3359" s="1" t="s">
        <v>1625</v>
      </c>
    </row>
    <row r="3360" spans="1:10" x14ac:dyDescent="0.3">
      <c r="A3360" s="6" t="s">
        <v>14</v>
      </c>
      <c r="B3360" s="6">
        <f>+B3359+1</f>
        <v>2037</v>
      </c>
      <c r="C3360" s="1" t="s">
        <v>28</v>
      </c>
      <c r="D3360" s="2" t="s">
        <v>131</v>
      </c>
      <c r="E3360" s="9" t="str">
        <f t="shared" si="765"/>
        <v>PDP'!</v>
      </c>
      <c r="F3360" s="5" t="str">
        <f t="shared" si="764"/>
        <v>C:\Users\jaime.benazar\Quorum Business Solutions\Ecopetrol Prometeo - Documents\Planning Space Implementation\3. Analysis &amp; Design\Design\FC22\DRR Jaime\Neiva CPI\[VAO_DINA TERCIARIOS_CF_SEC_20230117.xlsx]CF PDP'!</v>
      </c>
      <c r="G3360" s="6" t="s">
        <v>112</v>
      </c>
      <c r="H3360" s="1">
        <f t="shared" si="768"/>
        <v>50</v>
      </c>
      <c r="I3360" s="1" t="str">
        <f t="shared" si="766"/>
        <v>='C:\Users\jaime.benazar\Quorum Business Solutions\Ecopetrol Prometeo - Documents\Planning Space Implementation\3. Analysis &amp; Design\Design\FC22\DRR Jaime\Neiva CPI\[VAO_DINA TERCIARIOS_CF_SEC_20230117.xlsx]CF PDP'!$BB$50</v>
      </c>
      <c r="J3360" s="1" t="s">
        <v>1626</v>
      </c>
    </row>
    <row r="3361" spans="1:10" x14ac:dyDescent="0.3">
      <c r="A3361" s="6" t="s">
        <v>14</v>
      </c>
      <c r="B3361" s="6">
        <f t="shared" si="767"/>
        <v>2038</v>
      </c>
      <c r="C3361" s="1" t="s">
        <v>28</v>
      </c>
      <c r="D3361" s="2" t="s">
        <v>131</v>
      </c>
      <c r="E3361" s="9" t="str">
        <f t="shared" si="765"/>
        <v>PDP'!</v>
      </c>
      <c r="F3361" s="5" t="str">
        <f t="shared" si="764"/>
        <v>C:\Users\jaime.benazar\Quorum Business Solutions\Ecopetrol Prometeo - Documents\Planning Space Implementation\3. Analysis &amp; Design\Design\FC22\DRR Jaime\Neiva CPI\[VAO_DINA TERCIARIOS_CF_SEC_20230117.xlsx]CF PDP'!</v>
      </c>
      <c r="G3361" s="6" t="s">
        <v>112</v>
      </c>
      <c r="H3361" s="1">
        <f t="shared" si="768"/>
        <v>51</v>
      </c>
      <c r="I3361" s="1" t="str">
        <f t="shared" si="766"/>
        <v>='C:\Users\jaime.benazar\Quorum Business Solutions\Ecopetrol Prometeo - Documents\Planning Space Implementation\3. Analysis &amp; Design\Design\FC22\DRR Jaime\Neiva CPI\[VAO_DINA TERCIARIOS_CF_SEC_20230117.xlsx]CF PDP'!$BB$51</v>
      </c>
      <c r="J3361" s="1" t="s">
        <v>1627</v>
      </c>
    </row>
    <row r="3362" spans="1:10" x14ac:dyDescent="0.3">
      <c r="A3362" s="6" t="s">
        <v>14</v>
      </c>
      <c r="B3362" s="6">
        <f t="shared" si="767"/>
        <v>2039</v>
      </c>
      <c r="C3362" s="1" t="s">
        <v>28</v>
      </c>
      <c r="D3362" s="2" t="s">
        <v>131</v>
      </c>
      <c r="E3362" s="9" t="str">
        <f t="shared" si="765"/>
        <v>PDP'!</v>
      </c>
      <c r="F3362" s="5" t="str">
        <f t="shared" si="764"/>
        <v>C:\Users\jaime.benazar\Quorum Business Solutions\Ecopetrol Prometeo - Documents\Planning Space Implementation\3. Analysis &amp; Design\Design\FC22\DRR Jaime\Neiva CPI\[VAO_DINA TERCIARIOS_CF_SEC_20230117.xlsx]CF PDP'!</v>
      </c>
      <c r="G3362" s="6" t="s">
        <v>112</v>
      </c>
      <c r="H3362" s="1">
        <f t="shared" si="768"/>
        <v>52</v>
      </c>
      <c r="I3362" s="1" t="str">
        <f t="shared" si="766"/>
        <v>='C:\Users\jaime.benazar\Quorum Business Solutions\Ecopetrol Prometeo - Documents\Planning Space Implementation\3. Analysis &amp; Design\Design\FC22\DRR Jaime\Neiva CPI\[VAO_DINA TERCIARIOS_CF_SEC_20230117.xlsx]CF PDP'!$BB$52</v>
      </c>
      <c r="J3362" s="1" t="s">
        <v>1628</v>
      </c>
    </row>
    <row r="3363" spans="1:10" x14ac:dyDescent="0.3">
      <c r="A3363" s="6" t="s">
        <v>14</v>
      </c>
      <c r="B3363" s="6">
        <f t="shared" si="767"/>
        <v>2040</v>
      </c>
      <c r="C3363" s="1" t="s">
        <v>28</v>
      </c>
      <c r="D3363" s="2" t="s">
        <v>131</v>
      </c>
      <c r="E3363" s="9" t="str">
        <f t="shared" si="765"/>
        <v>PDP'!</v>
      </c>
      <c r="F3363" s="5" t="str">
        <f t="shared" si="764"/>
        <v>C:\Users\jaime.benazar\Quorum Business Solutions\Ecopetrol Prometeo - Documents\Planning Space Implementation\3. Analysis &amp; Design\Design\FC22\DRR Jaime\Neiva CPI\[VAO_DINA TERCIARIOS_CF_SEC_20230117.xlsx]CF PDP'!</v>
      </c>
      <c r="G3363" s="6" t="s">
        <v>112</v>
      </c>
      <c r="H3363" s="1">
        <f t="shared" si="768"/>
        <v>53</v>
      </c>
      <c r="I3363" s="1" t="str">
        <f t="shared" si="766"/>
        <v>='C:\Users\jaime.benazar\Quorum Business Solutions\Ecopetrol Prometeo - Documents\Planning Space Implementation\3. Analysis &amp; Design\Design\FC22\DRR Jaime\Neiva CPI\[VAO_DINA TERCIARIOS_CF_SEC_20230117.xlsx]CF PDP'!$BB$53</v>
      </c>
      <c r="J3363" s="1" t="s">
        <v>1629</v>
      </c>
    </row>
    <row r="3364" spans="1:10" x14ac:dyDescent="0.3">
      <c r="A3364" s="6" t="s">
        <v>14</v>
      </c>
      <c r="B3364" s="6">
        <f>+B3363+1</f>
        <v>2041</v>
      </c>
      <c r="C3364" s="1" t="s">
        <v>28</v>
      </c>
      <c r="D3364" s="2" t="s">
        <v>131</v>
      </c>
      <c r="E3364" s="9" t="str">
        <f t="shared" si="765"/>
        <v>PDP'!</v>
      </c>
      <c r="F3364" s="5" t="str">
        <f t="shared" si="764"/>
        <v>C:\Users\jaime.benazar\Quorum Business Solutions\Ecopetrol Prometeo - Documents\Planning Space Implementation\3. Analysis &amp; Design\Design\FC22\DRR Jaime\Neiva CPI\[VAO_DINA TERCIARIOS_CF_SEC_20230117.xlsx]CF PDP'!</v>
      </c>
      <c r="G3364" s="6" t="s">
        <v>112</v>
      </c>
      <c r="H3364" s="1">
        <f t="shared" si="768"/>
        <v>54</v>
      </c>
      <c r="I3364" s="1" t="str">
        <f t="shared" si="766"/>
        <v>='C:\Users\jaime.benazar\Quorum Business Solutions\Ecopetrol Prometeo - Documents\Planning Space Implementation\3. Analysis &amp; Design\Design\FC22\DRR Jaime\Neiva CPI\[VAO_DINA TERCIARIOS_CF_SEC_20230117.xlsx]CF PDP'!$BB$54</v>
      </c>
      <c r="J3364" s="1" t="s">
        <v>1630</v>
      </c>
    </row>
    <row r="3365" spans="1:10" x14ac:dyDescent="0.3">
      <c r="A3365" s="6" t="s">
        <v>14</v>
      </c>
      <c r="B3365" s="6">
        <f t="shared" si="767"/>
        <v>2042</v>
      </c>
      <c r="C3365" s="1" t="s">
        <v>28</v>
      </c>
      <c r="D3365" s="2" t="s">
        <v>131</v>
      </c>
      <c r="E3365" s="9" t="str">
        <f t="shared" si="765"/>
        <v>PDP'!</v>
      </c>
      <c r="F3365" s="5" t="str">
        <f t="shared" si="764"/>
        <v>C:\Users\jaime.benazar\Quorum Business Solutions\Ecopetrol Prometeo - Documents\Planning Space Implementation\3. Analysis &amp; Design\Design\FC22\DRR Jaime\Neiva CPI\[VAO_DINA TERCIARIOS_CF_SEC_20230117.xlsx]CF PDP'!</v>
      </c>
      <c r="G3365" s="6" t="s">
        <v>112</v>
      </c>
      <c r="H3365" s="1">
        <f t="shared" si="768"/>
        <v>55</v>
      </c>
      <c r="I3365" s="1" t="str">
        <f t="shared" si="766"/>
        <v>='C:\Users\jaime.benazar\Quorum Business Solutions\Ecopetrol Prometeo - Documents\Planning Space Implementation\3. Analysis &amp; Design\Design\FC22\DRR Jaime\Neiva CPI\[VAO_DINA TERCIARIOS_CF_SEC_20230117.xlsx]CF PDP'!$BB$55</v>
      </c>
      <c r="J3365" s="1" t="s">
        <v>1631</v>
      </c>
    </row>
    <row r="3366" spans="1:10" x14ac:dyDescent="0.3">
      <c r="A3366" s="6" t="s">
        <v>14</v>
      </c>
      <c r="B3366" s="6">
        <f t="shared" si="767"/>
        <v>2043</v>
      </c>
      <c r="C3366" s="1" t="s">
        <v>28</v>
      </c>
      <c r="D3366" s="2" t="s">
        <v>131</v>
      </c>
      <c r="E3366" s="9" t="str">
        <f t="shared" si="765"/>
        <v>PDP'!</v>
      </c>
      <c r="F3366" s="5" t="str">
        <f t="shared" si="764"/>
        <v>C:\Users\jaime.benazar\Quorum Business Solutions\Ecopetrol Prometeo - Documents\Planning Space Implementation\3. Analysis &amp; Design\Design\FC22\DRR Jaime\Neiva CPI\[VAO_DINA TERCIARIOS_CF_SEC_20230117.xlsx]CF PDP'!</v>
      </c>
      <c r="G3366" s="6" t="s">
        <v>112</v>
      </c>
      <c r="H3366" s="1">
        <f t="shared" si="768"/>
        <v>56</v>
      </c>
      <c r="I3366" s="1" t="str">
        <f t="shared" si="766"/>
        <v>='C:\Users\jaime.benazar\Quorum Business Solutions\Ecopetrol Prometeo - Documents\Planning Space Implementation\3. Analysis &amp; Design\Design\FC22\DRR Jaime\Neiva CPI\[VAO_DINA TERCIARIOS_CF_SEC_20230117.xlsx]CF PDP'!$BB$56</v>
      </c>
      <c r="J3366" s="1" t="s">
        <v>1632</v>
      </c>
    </row>
    <row r="3367" spans="1:10" x14ac:dyDescent="0.3">
      <c r="A3367" s="6" t="s">
        <v>14</v>
      </c>
      <c r="B3367" s="6">
        <f>+B3366+1</f>
        <v>2044</v>
      </c>
      <c r="C3367" s="1" t="s">
        <v>28</v>
      </c>
      <c r="D3367" s="2" t="s">
        <v>131</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Jaime\Neiva CPI\[VAO_DINA TERCIARIOS_CF_SEC_20230117.xlsx]CF PDP'!</v>
      </c>
      <c r="G3367" s="6" t="s">
        <v>112</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Jaime\Neiva CPI\[VAO_DINA TERCIARIOS_CF_SEC_20230117.xlsx]CF PDP'!$BB$57</v>
      </c>
      <c r="J3367" s="1" t="s">
        <v>1633</v>
      </c>
    </row>
    <row r="3368" spans="1:10" x14ac:dyDescent="0.3">
      <c r="A3368" s="6" t="s">
        <v>14</v>
      </c>
      <c r="B3368" s="6">
        <f t="shared" si="767"/>
        <v>2045</v>
      </c>
      <c r="C3368" s="1" t="s">
        <v>28</v>
      </c>
      <c r="D3368" s="2" t="s">
        <v>131</v>
      </c>
      <c r="E3368" s="9" t="str">
        <f t="shared" si="769"/>
        <v>PDP'!</v>
      </c>
      <c r="F3368" s="5" t="str">
        <f t="shared" si="770"/>
        <v>C:\Users\jaime.benazar\Quorum Business Solutions\Ecopetrol Prometeo - Documents\Planning Space Implementation\3. Analysis &amp; Design\Design\FC22\DRR Jaime\Neiva CPI\[VAO_DINA TERCIARIOS_CF_SEC_20230117.xlsx]CF PDP'!</v>
      </c>
      <c r="G3368" s="6" t="s">
        <v>112</v>
      </c>
      <c r="H3368" s="1">
        <f t="shared" si="771"/>
        <v>58</v>
      </c>
      <c r="I3368" s="1" t="str">
        <f t="shared" si="772"/>
        <v>='C:\Users\jaime.benazar\Quorum Business Solutions\Ecopetrol Prometeo - Documents\Planning Space Implementation\3. Analysis &amp; Design\Design\FC22\DRR Jaime\Neiva CPI\[VAO_DINA TERCIARIOS_CF_SEC_20230117.xlsx]CF PDP'!$BB$58</v>
      </c>
      <c r="J3368" s="1" t="s">
        <v>1634</v>
      </c>
    </row>
    <row r="3369" spans="1:10" x14ac:dyDescent="0.3">
      <c r="A3369" s="6" t="s">
        <v>14</v>
      </c>
      <c r="B3369" s="6">
        <f t="shared" si="767"/>
        <v>2046</v>
      </c>
      <c r="C3369" s="1" t="s">
        <v>28</v>
      </c>
      <c r="D3369" s="2" t="s">
        <v>131</v>
      </c>
      <c r="E3369" s="9" t="str">
        <f t="shared" si="769"/>
        <v>PDP'!</v>
      </c>
      <c r="F3369" s="5" t="str">
        <f t="shared" si="770"/>
        <v>C:\Users\jaime.benazar\Quorum Business Solutions\Ecopetrol Prometeo - Documents\Planning Space Implementation\3. Analysis &amp; Design\Design\FC22\DRR Jaime\Neiva CPI\[VAO_DINA TERCIARIOS_CF_SEC_20230117.xlsx]CF PDP'!</v>
      </c>
      <c r="G3369" s="6" t="s">
        <v>112</v>
      </c>
      <c r="H3369" s="1">
        <f t="shared" si="771"/>
        <v>59</v>
      </c>
      <c r="I3369" s="1" t="str">
        <f t="shared" si="772"/>
        <v>='C:\Users\jaime.benazar\Quorum Business Solutions\Ecopetrol Prometeo - Documents\Planning Space Implementation\3. Analysis &amp; Design\Design\FC22\DRR Jaime\Neiva CPI\[VAO_DINA TERCIARIOS_CF_SEC_20230117.xlsx]CF PDP'!$BB$59</v>
      </c>
      <c r="J3369" s="1" t="s">
        <v>1635</v>
      </c>
    </row>
    <row r="3370" spans="1:10" x14ac:dyDescent="0.3">
      <c r="A3370" s="6" t="s">
        <v>14</v>
      </c>
      <c r="B3370" s="6">
        <f t="shared" si="767"/>
        <v>2047</v>
      </c>
      <c r="C3370" s="1" t="s">
        <v>28</v>
      </c>
      <c r="D3370" s="2" t="s">
        <v>131</v>
      </c>
      <c r="E3370" s="9" t="str">
        <f t="shared" si="769"/>
        <v>PDP'!</v>
      </c>
      <c r="F3370" s="5" t="str">
        <f t="shared" si="770"/>
        <v>C:\Users\jaime.benazar\Quorum Business Solutions\Ecopetrol Prometeo - Documents\Planning Space Implementation\3. Analysis &amp; Design\Design\FC22\DRR Jaime\Neiva CPI\[VAO_DINA TERCIARIOS_CF_SEC_20230117.xlsx]CF PDP'!</v>
      </c>
      <c r="G3370" s="6" t="s">
        <v>112</v>
      </c>
      <c r="H3370" s="1">
        <f t="shared" si="771"/>
        <v>60</v>
      </c>
      <c r="I3370" s="1" t="str">
        <f t="shared" si="772"/>
        <v>='C:\Users\jaime.benazar\Quorum Business Solutions\Ecopetrol Prometeo - Documents\Planning Space Implementation\3. Analysis &amp; Design\Design\FC22\DRR Jaime\Neiva CPI\[VAO_DINA TERCIARIOS_CF_SEC_20230117.xlsx]CF PDP'!$BB$60</v>
      </c>
      <c r="J3370" s="1" t="s">
        <v>1636</v>
      </c>
    </row>
    <row r="3371" spans="1:10" x14ac:dyDescent="0.3">
      <c r="A3371" s="6" t="s">
        <v>14</v>
      </c>
      <c r="B3371" s="6">
        <f t="shared" si="767"/>
        <v>2048</v>
      </c>
      <c r="C3371" s="1" t="s">
        <v>28</v>
      </c>
      <c r="D3371" s="2" t="s">
        <v>131</v>
      </c>
      <c r="E3371" s="9" t="str">
        <f t="shared" si="769"/>
        <v>PDP'!</v>
      </c>
      <c r="F3371" s="5" t="str">
        <f t="shared" si="770"/>
        <v>C:\Users\jaime.benazar\Quorum Business Solutions\Ecopetrol Prometeo - Documents\Planning Space Implementation\3. Analysis &amp; Design\Design\FC22\DRR Jaime\Neiva CPI\[VAO_DINA TERCIARIOS_CF_SEC_20230117.xlsx]CF PDP'!</v>
      </c>
      <c r="G3371" s="6" t="s">
        <v>112</v>
      </c>
      <c r="H3371" s="1">
        <f t="shared" si="771"/>
        <v>61</v>
      </c>
      <c r="I3371" s="1" t="str">
        <f t="shared" si="772"/>
        <v>='C:\Users\jaime.benazar\Quorum Business Solutions\Ecopetrol Prometeo - Documents\Planning Space Implementation\3. Analysis &amp; Design\Design\FC22\DRR Jaime\Neiva CPI\[VAO_DINA TERCIARIOS_CF_SEC_20230117.xlsx]CF PDP'!$BB$61</v>
      </c>
      <c r="J3371" s="1" t="s">
        <v>1637</v>
      </c>
    </row>
    <row r="3372" spans="1:10" x14ac:dyDescent="0.3">
      <c r="A3372" s="6" t="s">
        <v>14</v>
      </c>
      <c r="B3372" s="6">
        <f t="shared" si="767"/>
        <v>2049</v>
      </c>
      <c r="C3372" s="1" t="s">
        <v>28</v>
      </c>
      <c r="D3372" s="2" t="s">
        <v>131</v>
      </c>
      <c r="E3372" s="9" t="str">
        <f t="shared" si="769"/>
        <v>PDP'!</v>
      </c>
      <c r="F3372" s="5" t="str">
        <f t="shared" si="770"/>
        <v>C:\Users\jaime.benazar\Quorum Business Solutions\Ecopetrol Prometeo - Documents\Planning Space Implementation\3. Analysis &amp; Design\Design\FC22\DRR Jaime\Neiva CPI\[VAO_DINA TERCIARIOS_CF_SEC_20230117.xlsx]CF PDP'!</v>
      </c>
      <c r="G3372" s="6" t="s">
        <v>112</v>
      </c>
      <c r="H3372" s="1">
        <f t="shared" si="771"/>
        <v>62</v>
      </c>
      <c r="I3372" s="1" t="str">
        <f t="shared" si="772"/>
        <v>='C:\Users\jaime.benazar\Quorum Business Solutions\Ecopetrol Prometeo - Documents\Planning Space Implementation\3. Analysis &amp; Design\Design\FC22\DRR Jaime\Neiva CPI\[VAO_DINA TERCIARIOS_CF_SEC_20230117.xlsx]CF PDP'!$BB$62</v>
      </c>
      <c r="J3372" s="1" t="s">
        <v>1638</v>
      </c>
    </row>
    <row r="3373" spans="1:10" x14ac:dyDescent="0.3">
      <c r="A3373" s="6" t="s">
        <v>14</v>
      </c>
      <c r="B3373" s="6">
        <f t="shared" si="767"/>
        <v>2050</v>
      </c>
      <c r="C3373" s="1" t="s">
        <v>28</v>
      </c>
      <c r="D3373" s="2" t="s">
        <v>131</v>
      </c>
      <c r="E3373" s="9" t="str">
        <f t="shared" si="769"/>
        <v>PDP'!</v>
      </c>
      <c r="F3373" s="5" t="str">
        <f t="shared" si="770"/>
        <v>C:\Users\jaime.benazar\Quorum Business Solutions\Ecopetrol Prometeo - Documents\Planning Space Implementation\3. Analysis &amp; Design\Design\FC22\DRR Jaime\Neiva CPI\[VAO_DINA TERCIARIOS_CF_SEC_20230117.xlsx]CF PDP'!</v>
      </c>
      <c r="G3373" s="6" t="s">
        <v>112</v>
      </c>
      <c r="H3373" s="1">
        <f t="shared" si="771"/>
        <v>63</v>
      </c>
      <c r="I3373" s="1" t="str">
        <f t="shared" si="772"/>
        <v>='C:\Users\jaime.benazar\Quorum Business Solutions\Ecopetrol Prometeo - Documents\Planning Space Implementation\3. Analysis &amp; Design\Design\FC22\DRR Jaime\Neiva CPI\[VAO_DINA TERCIARIOS_CF_SEC_20230117.xlsx]CF PDP'!$BB$63</v>
      </c>
      <c r="J3373" s="1" t="s">
        <v>1639</v>
      </c>
    </row>
    <row r="3374" spans="1:10" x14ac:dyDescent="0.3">
      <c r="A3374" s="6" t="s">
        <v>14</v>
      </c>
      <c r="B3374" s="6">
        <f t="shared" si="767"/>
        <v>2051</v>
      </c>
      <c r="C3374" s="1" t="s">
        <v>28</v>
      </c>
      <c r="D3374" s="2" t="s">
        <v>131</v>
      </c>
      <c r="E3374" s="9" t="str">
        <f t="shared" si="769"/>
        <v>PDP'!</v>
      </c>
      <c r="F3374" s="5" t="str">
        <f t="shared" si="770"/>
        <v>C:\Users\jaime.benazar\Quorum Business Solutions\Ecopetrol Prometeo - Documents\Planning Space Implementation\3. Analysis &amp; Design\Design\FC22\DRR Jaime\Neiva CPI\[VAO_DINA TERCIARIOS_CF_SEC_20230117.xlsx]CF PDP'!</v>
      </c>
      <c r="G3374" s="6" t="s">
        <v>112</v>
      </c>
      <c r="H3374" s="1">
        <f t="shared" si="771"/>
        <v>64</v>
      </c>
      <c r="I3374" s="1" t="str">
        <f t="shared" si="772"/>
        <v>='C:\Users\jaime.benazar\Quorum Business Solutions\Ecopetrol Prometeo - Documents\Planning Space Implementation\3. Analysis &amp; Design\Design\FC22\DRR Jaime\Neiva CPI\[VAO_DINA TERCIARIOS_CF_SEC_20230117.xlsx]CF PDP'!$BB$64</v>
      </c>
      <c r="J3374" s="1" t="s">
        <v>1640</v>
      </c>
    </row>
    <row r="3375" spans="1:10" x14ac:dyDescent="0.3">
      <c r="A3375" s="6" t="s">
        <v>14</v>
      </c>
      <c r="B3375" s="6">
        <f t="shared" si="767"/>
        <v>2052</v>
      </c>
      <c r="C3375" s="1" t="s">
        <v>28</v>
      </c>
      <c r="D3375" s="2" t="s">
        <v>131</v>
      </c>
      <c r="E3375" s="9" t="str">
        <f t="shared" si="769"/>
        <v>PDP'!</v>
      </c>
      <c r="F3375" s="5" t="str">
        <f t="shared" si="770"/>
        <v>C:\Users\jaime.benazar\Quorum Business Solutions\Ecopetrol Prometeo - Documents\Planning Space Implementation\3. Analysis &amp; Design\Design\FC22\DRR Jaime\Neiva CPI\[VAO_DINA TERCIARIOS_CF_SEC_20230117.xlsx]CF PDP'!</v>
      </c>
      <c r="G3375" s="6" t="s">
        <v>112</v>
      </c>
      <c r="H3375" s="1">
        <f t="shared" si="771"/>
        <v>65</v>
      </c>
      <c r="I3375" s="1" t="str">
        <f t="shared" si="772"/>
        <v>='C:\Users\jaime.benazar\Quorum Business Solutions\Ecopetrol Prometeo - Documents\Planning Space Implementation\3. Analysis &amp; Design\Design\FC22\DRR Jaime\Neiva CPI\[VAO_DINA TERCIARIOS_CF_SEC_20230117.xlsx]CF PDP'!$BB$65</v>
      </c>
      <c r="J3375" s="1" t="s">
        <v>1641</v>
      </c>
    </row>
    <row r="3376" spans="1:10" x14ac:dyDescent="0.3">
      <c r="A3376" s="6" t="s">
        <v>14</v>
      </c>
      <c r="B3376" s="6">
        <f t="shared" si="767"/>
        <v>2053</v>
      </c>
      <c r="C3376" s="1" t="s">
        <v>28</v>
      </c>
      <c r="D3376" s="2" t="s">
        <v>131</v>
      </c>
      <c r="E3376" s="9" t="str">
        <f t="shared" si="769"/>
        <v>PDP'!</v>
      </c>
      <c r="F3376" s="5" t="str">
        <f t="shared" si="770"/>
        <v>C:\Users\jaime.benazar\Quorum Business Solutions\Ecopetrol Prometeo - Documents\Planning Space Implementation\3. Analysis &amp; Design\Design\FC22\DRR Jaime\Neiva CPI\[VAO_DINA TERCIARIOS_CF_SEC_20230117.xlsx]CF PDP'!</v>
      </c>
      <c r="G3376" s="6" t="s">
        <v>112</v>
      </c>
      <c r="H3376" s="1">
        <f t="shared" si="771"/>
        <v>66</v>
      </c>
      <c r="I3376" s="1" t="str">
        <f t="shared" si="772"/>
        <v>='C:\Users\jaime.benazar\Quorum Business Solutions\Ecopetrol Prometeo - Documents\Planning Space Implementation\3. Analysis &amp; Design\Design\FC22\DRR Jaime\Neiva CPI\[VAO_DINA TERCIARIOS_CF_SEC_20230117.xlsx]CF PDP'!$BB$66</v>
      </c>
      <c r="J3376" s="1" t="s">
        <v>1642</v>
      </c>
    </row>
    <row r="3377" spans="1:10" x14ac:dyDescent="0.3">
      <c r="A3377" s="6" t="s">
        <v>14</v>
      </c>
      <c r="B3377" s="6">
        <f t="shared" si="767"/>
        <v>2054</v>
      </c>
      <c r="C3377" s="1" t="s">
        <v>28</v>
      </c>
      <c r="D3377" s="2" t="s">
        <v>131</v>
      </c>
      <c r="E3377" s="9" t="str">
        <f t="shared" si="769"/>
        <v>PDP'!</v>
      </c>
      <c r="F3377" s="5" t="str">
        <f t="shared" si="770"/>
        <v>C:\Users\jaime.benazar\Quorum Business Solutions\Ecopetrol Prometeo - Documents\Planning Space Implementation\3. Analysis &amp; Design\Design\FC22\DRR Jaime\Neiva CPI\[VAO_DINA TERCIARIOS_CF_SEC_20230117.xlsx]CF PDP'!</v>
      </c>
      <c r="G3377" s="6" t="s">
        <v>112</v>
      </c>
      <c r="H3377" s="1">
        <f t="shared" si="771"/>
        <v>67</v>
      </c>
      <c r="I3377" s="1" t="str">
        <f t="shared" si="772"/>
        <v>='C:\Users\jaime.benazar\Quorum Business Solutions\Ecopetrol Prometeo - Documents\Planning Space Implementation\3. Analysis &amp; Design\Design\FC22\DRR Jaime\Neiva CPI\[VAO_DINA TERCIARIOS_CF_SEC_20230117.xlsx]CF PDP'!$BB$67</v>
      </c>
      <c r="J3377" s="1" t="s">
        <v>1643</v>
      </c>
    </row>
    <row r="3378" spans="1:10" x14ac:dyDescent="0.3">
      <c r="A3378" s="6" t="s">
        <v>14</v>
      </c>
      <c r="B3378" s="6">
        <f t="shared" si="767"/>
        <v>2055</v>
      </c>
      <c r="C3378" s="1" t="s">
        <v>28</v>
      </c>
      <c r="D3378" s="2" t="s">
        <v>131</v>
      </c>
      <c r="E3378" s="9" t="str">
        <f t="shared" si="769"/>
        <v>PDP'!</v>
      </c>
      <c r="F3378" s="5" t="str">
        <f t="shared" si="770"/>
        <v>C:\Users\jaime.benazar\Quorum Business Solutions\Ecopetrol Prometeo - Documents\Planning Space Implementation\3. Analysis &amp; Design\Design\FC22\DRR Jaime\Neiva CPI\[VAO_DINA TERCIARIOS_CF_SEC_20230117.xlsx]CF PDP'!</v>
      </c>
      <c r="G3378" s="6" t="s">
        <v>112</v>
      </c>
      <c r="H3378" s="1">
        <f t="shared" si="771"/>
        <v>68</v>
      </c>
      <c r="I3378" s="1" t="str">
        <f t="shared" si="772"/>
        <v>='C:\Users\jaime.benazar\Quorum Business Solutions\Ecopetrol Prometeo - Documents\Planning Space Implementation\3. Analysis &amp; Design\Design\FC22\DRR Jaime\Neiva CPI\[VAO_DINA TERCIARIOS_CF_SEC_20230117.xlsx]CF PDP'!$BB$68</v>
      </c>
      <c r="J3378" s="1" t="s">
        <v>1644</v>
      </c>
    </row>
    <row r="3379" spans="1:10" x14ac:dyDescent="0.3">
      <c r="A3379" s="6" t="s">
        <v>14</v>
      </c>
      <c r="B3379" s="6">
        <f t="shared" si="767"/>
        <v>2056</v>
      </c>
      <c r="C3379" s="1" t="s">
        <v>28</v>
      </c>
      <c r="D3379" s="2" t="s">
        <v>131</v>
      </c>
      <c r="E3379" s="9" t="str">
        <f t="shared" si="769"/>
        <v>PDP'!</v>
      </c>
      <c r="F3379" s="5" t="str">
        <f t="shared" si="770"/>
        <v>C:\Users\jaime.benazar\Quorum Business Solutions\Ecopetrol Prometeo - Documents\Planning Space Implementation\3. Analysis &amp; Design\Design\FC22\DRR Jaime\Neiva CPI\[VAO_DINA TERCIARIOS_CF_SEC_20230117.xlsx]CF PDP'!</v>
      </c>
      <c r="G3379" s="6" t="s">
        <v>112</v>
      </c>
      <c r="H3379" s="1">
        <f t="shared" si="771"/>
        <v>69</v>
      </c>
      <c r="I3379" s="1" t="str">
        <f t="shared" si="772"/>
        <v>='C:\Users\jaime.benazar\Quorum Business Solutions\Ecopetrol Prometeo - Documents\Planning Space Implementation\3. Analysis &amp; Design\Design\FC22\DRR Jaime\Neiva CPI\[VAO_DINA TERCIARIOS_CF_SEC_20230117.xlsx]CF PDP'!$BB$69</v>
      </c>
      <c r="J3379" s="1" t="s">
        <v>1645</v>
      </c>
    </row>
    <row r="3380" spans="1:10" x14ac:dyDescent="0.3">
      <c r="A3380" s="6" t="s">
        <v>14</v>
      </c>
      <c r="B3380" s="6">
        <f t="shared" si="767"/>
        <v>2057</v>
      </c>
      <c r="C3380" s="1" t="s">
        <v>28</v>
      </c>
      <c r="D3380" s="2" t="s">
        <v>131</v>
      </c>
      <c r="E3380" s="9" t="str">
        <f t="shared" si="769"/>
        <v>PDP'!</v>
      </c>
      <c r="F3380" s="5" t="str">
        <f t="shared" si="770"/>
        <v>C:\Users\jaime.benazar\Quorum Business Solutions\Ecopetrol Prometeo - Documents\Planning Space Implementation\3. Analysis &amp; Design\Design\FC22\DRR Jaime\Neiva CPI\[VAO_DINA TERCIARIOS_CF_SEC_20230117.xlsx]CF PDP'!</v>
      </c>
      <c r="G3380" s="6" t="s">
        <v>112</v>
      </c>
      <c r="H3380" s="1">
        <f t="shared" si="771"/>
        <v>70</v>
      </c>
      <c r="I3380" s="1" t="str">
        <f t="shared" si="772"/>
        <v>='C:\Users\jaime.benazar\Quorum Business Solutions\Ecopetrol Prometeo - Documents\Planning Space Implementation\3. Analysis &amp; Design\Design\FC22\DRR Jaime\Neiva CPI\[VAO_DINA TERCIARIOS_CF_SEC_20230117.xlsx]CF PDP'!$BB$70</v>
      </c>
      <c r="J3380" s="1" t="s">
        <v>1646</v>
      </c>
    </row>
    <row r="3381" spans="1:10" x14ac:dyDescent="0.3">
      <c r="A3381" s="6" t="s">
        <v>14</v>
      </c>
      <c r="B3381" s="6">
        <f t="shared" si="767"/>
        <v>2058</v>
      </c>
      <c r="C3381" s="1" t="s">
        <v>28</v>
      </c>
      <c r="D3381" s="2" t="s">
        <v>131</v>
      </c>
      <c r="E3381" s="9" t="str">
        <f t="shared" si="769"/>
        <v>PDP'!</v>
      </c>
      <c r="F3381" s="5" t="str">
        <f t="shared" si="770"/>
        <v>C:\Users\jaime.benazar\Quorum Business Solutions\Ecopetrol Prometeo - Documents\Planning Space Implementation\3. Analysis &amp; Design\Design\FC22\DRR Jaime\Neiva CPI\[VAO_DINA TERCIARIOS_CF_SEC_20230117.xlsx]CF PDP'!</v>
      </c>
      <c r="G3381" s="6" t="s">
        <v>112</v>
      </c>
      <c r="H3381" s="1">
        <f t="shared" si="771"/>
        <v>71</v>
      </c>
      <c r="I3381" s="1" t="str">
        <f t="shared" si="772"/>
        <v>='C:\Users\jaime.benazar\Quorum Business Solutions\Ecopetrol Prometeo - Documents\Planning Space Implementation\3. Analysis &amp; Design\Design\FC22\DRR Jaime\Neiva CPI\[VAO_DINA TERCIARIOS_CF_SEC_20230117.xlsx]CF PDP'!$BB$71</v>
      </c>
      <c r="J3381" s="1" t="s">
        <v>1647</v>
      </c>
    </row>
    <row r="3382" spans="1:10" x14ac:dyDescent="0.3">
      <c r="A3382" s="6" t="s">
        <v>14</v>
      </c>
      <c r="B3382" s="6">
        <f t="shared" si="767"/>
        <v>2059</v>
      </c>
      <c r="C3382" s="1" t="s">
        <v>28</v>
      </c>
      <c r="D3382" s="2" t="s">
        <v>131</v>
      </c>
      <c r="E3382" s="9" t="str">
        <f t="shared" si="769"/>
        <v>PDP'!</v>
      </c>
      <c r="F3382" s="5" t="str">
        <f t="shared" si="770"/>
        <v>C:\Users\jaime.benazar\Quorum Business Solutions\Ecopetrol Prometeo - Documents\Planning Space Implementation\3. Analysis &amp; Design\Design\FC22\DRR Jaime\Neiva CPI\[VAO_DINA TERCIARIOS_CF_SEC_20230117.xlsx]CF PDP'!</v>
      </c>
      <c r="G3382" s="6" t="s">
        <v>112</v>
      </c>
      <c r="H3382" s="1">
        <f t="shared" si="771"/>
        <v>72</v>
      </c>
      <c r="I3382" s="1" t="str">
        <f t="shared" si="772"/>
        <v>='C:\Users\jaime.benazar\Quorum Business Solutions\Ecopetrol Prometeo - Documents\Planning Space Implementation\3. Analysis &amp; Design\Design\FC22\DRR Jaime\Neiva CPI\[VAO_DINA TERCIARIOS_CF_SEC_20230117.xlsx]CF PDP'!$BB$72</v>
      </c>
      <c r="J3382" s="1" t="s">
        <v>1648</v>
      </c>
    </row>
    <row r="3383" spans="1:10" x14ac:dyDescent="0.3">
      <c r="A3383" s="6" t="s">
        <v>26</v>
      </c>
      <c r="B3383" s="6"/>
      <c r="C3383" s="1" t="s">
        <v>28</v>
      </c>
      <c r="D3383" s="2"/>
      <c r="E3383" s="9" t="str">
        <f t="shared" si="765"/>
        <v>Total'!</v>
      </c>
      <c r="F3383" s="2"/>
      <c r="G3383" s="6"/>
      <c r="H3383" s="1"/>
      <c r="I3383" s="1"/>
      <c r="J3383" s="4"/>
    </row>
    <row r="3384" spans="1:10" x14ac:dyDescent="0.3">
      <c r="A3384" s="6" t="s">
        <v>15</v>
      </c>
      <c r="B3384" s="6">
        <v>2023</v>
      </c>
      <c r="C3384" s="1" t="s">
        <v>28</v>
      </c>
      <c r="D3384" s="2" t="s">
        <v>131</v>
      </c>
      <c r="E3384" s="9" t="str">
        <f t="shared" si="765"/>
        <v>PNP'!</v>
      </c>
      <c r="F3384" s="5" t="str">
        <f t="shared" ref="F3384:F3404" si="773">_xlfn.CONCAT(D3384," ",E3384)</f>
        <v>C:\Users\jaime.benazar\Quorum Business Solutions\Ecopetrol Prometeo - Documents\Planning Space Implementation\3. Analysis &amp; Design\Design\FC22\DRR Jaime\Neiva CPI\[VAO_DINA TERCIARIOS_CF_SEC_20230117.xlsx]CF PNP'!</v>
      </c>
      <c r="G3384" s="6" t="s">
        <v>112</v>
      </c>
      <c r="H3384" s="1">
        <f>IF(A3384&lt;&gt;A3368,36,H3368+1)</f>
        <v>36</v>
      </c>
      <c r="I3384" s="1" t="str">
        <f t="shared" ref="I3384:I3404" si="774">_xlfn.CONCAT("='",F3384:H3384)</f>
        <v>='C:\Users\jaime.benazar\Quorum Business Solutions\Ecopetrol Prometeo - Documents\Planning Space Implementation\3. Analysis &amp; Design\Design\FC22\DRR Jaime\Neiva CPI\[VAO_DINA TERCIARIOS_CF_SEC_20230117.xlsx]CF PNP'!$BB$36</v>
      </c>
      <c r="J3384" s="1" t="s">
        <v>1649</v>
      </c>
    </row>
    <row r="3385" spans="1:10" x14ac:dyDescent="0.3">
      <c r="A3385" s="6" t="s">
        <v>15</v>
      </c>
      <c r="B3385" s="6">
        <f>+B3384+1</f>
        <v>2024</v>
      </c>
      <c r="C3385" s="1" t="s">
        <v>28</v>
      </c>
      <c r="D3385" s="2" t="s">
        <v>131</v>
      </c>
      <c r="E3385" s="9" t="str">
        <f t="shared" si="765"/>
        <v>PNP'!</v>
      </c>
      <c r="F3385" s="5" t="str">
        <f t="shared" si="773"/>
        <v>C:\Users\jaime.benazar\Quorum Business Solutions\Ecopetrol Prometeo - Documents\Planning Space Implementation\3. Analysis &amp; Design\Design\FC22\DRR Jaime\Neiva CPI\[VAO_DINA TERCIARIOS_CF_SEC_20230117.xlsx]CF PNP'!</v>
      </c>
      <c r="G3385" s="6" t="s">
        <v>112</v>
      </c>
      <c r="H3385" s="1">
        <f t="shared" ref="H3385:H3404" si="775">IF(A3385&lt;&gt;A3384,36,H3384+1)</f>
        <v>37</v>
      </c>
      <c r="I3385" s="1" t="str">
        <f t="shared" si="774"/>
        <v>='C:\Users\jaime.benazar\Quorum Business Solutions\Ecopetrol Prometeo - Documents\Planning Space Implementation\3. Analysis &amp; Design\Design\FC22\DRR Jaime\Neiva CPI\[VAO_DINA TERCIARIOS_CF_SEC_20230117.xlsx]CF PNP'!$BB$37</v>
      </c>
      <c r="J3385" s="1" t="s">
        <v>1650</v>
      </c>
    </row>
    <row r="3386" spans="1:10" x14ac:dyDescent="0.3">
      <c r="A3386" s="6" t="s">
        <v>15</v>
      </c>
      <c r="B3386" s="6">
        <f t="shared" ref="B3386:B3397" si="776">+B3385+1</f>
        <v>2025</v>
      </c>
      <c r="C3386" s="1" t="s">
        <v>28</v>
      </c>
      <c r="D3386" s="2" t="s">
        <v>131</v>
      </c>
      <c r="E3386" s="9" t="str">
        <f t="shared" si="765"/>
        <v>PNP'!</v>
      </c>
      <c r="F3386" s="5" t="str">
        <f t="shared" si="773"/>
        <v>C:\Users\jaime.benazar\Quorum Business Solutions\Ecopetrol Prometeo - Documents\Planning Space Implementation\3. Analysis &amp; Design\Design\FC22\DRR Jaime\Neiva CPI\[VAO_DINA TERCIARIOS_CF_SEC_20230117.xlsx]CF PNP'!</v>
      </c>
      <c r="G3386" s="6" t="s">
        <v>112</v>
      </c>
      <c r="H3386" s="1">
        <f t="shared" si="775"/>
        <v>38</v>
      </c>
      <c r="I3386" s="1" t="str">
        <f t="shared" si="774"/>
        <v>='C:\Users\jaime.benazar\Quorum Business Solutions\Ecopetrol Prometeo - Documents\Planning Space Implementation\3. Analysis &amp; Design\Design\FC22\DRR Jaime\Neiva CPI\[VAO_DINA TERCIARIOS_CF_SEC_20230117.xlsx]CF PNP'!$BB$38</v>
      </c>
      <c r="J3386" s="1" t="s">
        <v>1651</v>
      </c>
    </row>
    <row r="3387" spans="1:10" x14ac:dyDescent="0.3">
      <c r="A3387" s="6" t="s">
        <v>15</v>
      </c>
      <c r="B3387" s="6">
        <f t="shared" si="776"/>
        <v>2026</v>
      </c>
      <c r="C3387" s="1" t="s">
        <v>28</v>
      </c>
      <c r="D3387" s="2" t="s">
        <v>131</v>
      </c>
      <c r="E3387" s="9" t="str">
        <f t="shared" si="765"/>
        <v>PNP'!</v>
      </c>
      <c r="F3387" s="5" t="str">
        <f t="shared" si="773"/>
        <v>C:\Users\jaime.benazar\Quorum Business Solutions\Ecopetrol Prometeo - Documents\Planning Space Implementation\3. Analysis &amp; Design\Design\FC22\DRR Jaime\Neiva CPI\[VAO_DINA TERCIARIOS_CF_SEC_20230117.xlsx]CF PNP'!</v>
      </c>
      <c r="G3387" s="6" t="s">
        <v>112</v>
      </c>
      <c r="H3387" s="1">
        <f t="shared" si="775"/>
        <v>39</v>
      </c>
      <c r="I3387" s="1" t="str">
        <f t="shared" si="774"/>
        <v>='C:\Users\jaime.benazar\Quorum Business Solutions\Ecopetrol Prometeo - Documents\Planning Space Implementation\3. Analysis &amp; Design\Design\FC22\DRR Jaime\Neiva CPI\[VAO_DINA TERCIARIOS_CF_SEC_20230117.xlsx]CF PNP'!$BB$39</v>
      </c>
      <c r="J3387" s="1" t="s">
        <v>1652</v>
      </c>
    </row>
    <row r="3388" spans="1:10" x14ac:dyDescent="0.3">
      <c r="A3388" s="6" t="s">
        <v>15</v>
      </c>
      <c r="B3388" s="6">
        <f t="shared" si="776"/>
        <v>2027</v>
      </c>
      <c r="C3388" s="1" t="s">
        <v>28</v>
      </c>
      <c r="D3388" s="2" t="s">
        <v>131</v>
      </c>
      <c r="E3388" s="9" t="str">
        <f t="shared" si="765"/>
        <v>PNP'!</v>
      </c>
      <c r="F3388" s="5" t="str">
        <f t="shared" si="773"/>
        <v>C:\Users\jaime.benazar\Quorum Business Solutions\Ecopetrol Prometeo - Documents\Planning Space Implementation\3. Analysis &amp; Design\Design\FC22\DRR Jaime\Neiva CPI\[VAO_DINA TERCIARIOS_CF_SEC_20230117.xlsx]CF PNP'!</v>
      </c>
      <c r="G3388" s="6" t="s">
        <v>112</v>
      </c>
      <c r="H3388" s="1">
        <f t="shared" si="775"/>
        <v>40</v>
      </c>
      <c r="I3388" s="1" t="str">
        <f t="shared" si="774"/>
        <v>='C:\Users\jaime.benazar\Quorum Business Solutions\Ecopetrol Prometeo - Documents\Planning Space Implementation\3. Analysis &amp; Design\Design\FC22\DRR Jaime\Neiva CPI\[VAO_DINA TERCIARIOS_CF_SEC_20230117.xlsx]CF PNP'!$BB$40</v>
      </c>
      <c r="J3388" s="1" t="s">
        <v>1653</v>
      </c>
    </row>
    <row r="3389" spans="1:10" x14ac:dyDescent="0.3">
      <c r="A3389" s="6" t="s">
        <v>15</v>
      </c>
      <c r="B3389" s="6">
        <f t="shared" si="776"/>
        <v>2028</v>
      </c>
      <c r="C3389" s="1" t="s">
        <v>28</v>
      </c>
      <c r="D3389" s="2" t="s">
        <v>131</v>
      </c>
      <c r="E3389" s="9" t="str">
        <f t="shared" si="765"/>
        <v>PNP'!</v>
      </c>
      <c r="F3389" s="5" t="str">
        <f t="shared" si="773"/>
        <v>C:\Users\jaime.benazar\Quorum Business Solutions\Ecopetrol Prometeo - Documents\Planning Space Implementation\3. Analysis &amp; Design\Design\FC22\DRR Jaime\Neiva CPI\[VAO_DINA TERCIARIOS_CF_SEC_20230117.xlsx]CF PNP'!</v>
      </c>
      <c r="G3389" s="6" t="s">
        <v>112</v>
      </c>
      <c r="H3389" s="1">
        <f t="shared" si="775"/>
        <v>41</v>
      </c>
      <c r="I3389" s="1" t="str">
        <f t="shared" si="774"/>
        <v>='C:\Users\jaime.benazar\Quorum Business Solutions\Ecopetrol Prometeo - Documents\Planning Space Implementation\3. Analysis &amp; Design\Design\FC22\DRR Jaime\Neiva CPI\[VAO_DINA TERCIARIOS_CF_SEC_20230117.xlsx]CF PNP'!$BB$41</v>
      </c>
      <c r="J3389" s="1" t="s">
        <v>1654</v>
      </c>
    </row>
    <row r="3390" spans="1:10" x14ac:dyDescent="0.3">
      <c r="A3390" s="6" t="s">
        <v>15</v>
      </c>
      <c r="B3390" s="6">
        <f t="shared" si="776"/>
        <v>2029</v>
      </c>
      <c r="C3390" s="1" t="s">
        <v>28</v>
      </c>
      <c r="D3390" s="2" t="s">
        <v>131</v>
      </c>
      <c r="E3390" s="9" t="str">
        <f t="shared" si="765"/>
        <v>PNP'!</v>
      </c>
      <c r="F3390" s="5" t="str">
        <f t="shared" si="773"/>
        <v>C:\Users\jaime.benazar\Quorum Business Solutions\Ecopetrol Prometeo - Documents\Planning Space Implementation\3. Analysis &amp; Design\Design\FC22\DRR Jaime\Neiva CPI\[VAO_DINA TERCIARIOS_CF_SEC_20230117.xlsx]CF PNP'!</v>
      </c>
      <c r="G3390" s="6" t="s">
        <v>112</v>
      </c>
      <c r="H3390" s="1">
        <f t="shared" si="775"/>
        <v>42</v>
      </c>
      <c r="I3390" s="1" t="str">
        <f t="shared" si="774"/>
        <v>='C:\Users\jaime.benazar\Quorum Business Solutions\Ecopetrol Prometeo - Documents\Planning Space Implementation\3. Analysis &amp; Design\Design\FC22\DRR Jaime\Neiva CPI\[VAO_DINA TERCIARIOS_CF_SEC_20230117.xlsx]CF PNP'!$BB$42</v>
      </c>
      <c r="J3390" s="1" t="s">
        <v>1655</v>
      </c>
    </row>
    <row r="3391" spans="1:10" x14ac:dyDescent="0.3">
      <c r="A3391" s="6" t="s">
        <v>15</v>
      </c>
      <c r="B3391" s="6">
        <f t="shared" si="776"/>
        <v>2030</v>
      </c>
      <c r="C3391" s="1" t="s">
        <v>28</v>
      </c>
      <c r="D3391" s="2" t="s">
        <v>131</v>
      </c>
      <c r="E3391" s="9" t="str">
        <f t="shared" si="765"/>
        <v>PNP'!</v>
      </c>
      <c r="F3391" s="5" t="str">
        <f t="shared" si="773"/>
        <v>C:\Users\jaime.benazar\Quorum Business Solutions\Ecopetrol Prometeo - Documents\Planning Space Implementation\3. Analysis &amp; Design\Design\FC22\DRR Jaime\Neiva CPI\[VAO_DINA TERCIARIOS_CF_SEC_20230117.xlsx]CF PNP'!</v>
      </c>
      <c r="G3391" s="6" t="s">
        <v>112</v>
      </c>
      <c r="H3391" s="1">
        <f t="shared" si="775"/>
        <v>43</v>
      </c>
      <c r="I3391" s="1" t="str">
        <f t="shared" si="774"/>
        <v>='C:\Users\jaime.benazar\Quorum Business Solutions\Ecopetrol Prometeo - Documents\Planning Space Implementation\3. Analysis &amp; Design\Design\FC22\DRR Jaime\Neiva CPI\[VAO_DINA TERCIARIOS_CF_SEC_20230117.xlsx]CF PNP'!$BB$43</v>
      </c>
      <c r="J3391" s="1" t="s">
        <v>1656</v>
      </c>
    </row>
    <row r="3392" spans="1:10" x14ac:dyDescent="0.3">
      <c r="A3392" s="6" t="s">
        <v>15</v>
      </c>
      <c r="B3392" s="6">
        <f t="shared" si="776"/>
        <v>2031</v>
      </c>
      <c r="C3392" s="1" t="s">
        <v>28</v>
      </c>
      <c r="D3392" s="2" t="s">
        <v>131</v>
      </c>
      <c r="E3392" s="9" t="str">
        <f t="shared" si="765"/>
        <v>PNP'!</v>
      </c>
      <c r="F3392" s="5" t="str">
        <f t="shared" si="773"/>
        <v>C:\Users\jaime.benazar\Quorum Business Solutions\Ecopetrol Prometeo - Documents\Planning Space Implementation\3. Analysis &amp; Design\Design\FC22\DRR Jaime\Neiva CPI\[VAO_DINA TERCIARIOS_CF_SEC_20230117.xlsx]CF PNP'!</v>
      </c>
      <c r="G3392" s="6" t="s">
        <v>112</v>
      </c>
      <c r="H3392" s="1">
        <f t="shared" si="775"/>
        <v>44</v>
      </c>
      <c r="I3392" s="1" t="str">
        <f t="shared" si="774"/>
        <v>='C:\Users\jaime.benazar\Quorum Business Solutions\Ecopetrol Prometeo - Documents\Planning Space Implementation\3. Analysis &amp; Design\Design\FC22\DRR Jaime\Neiva CPI\[VAO_DINA TERCIARIOS_CF_SEC_20230117.xlsx]CF PNP'!$BB$44</v>
      </c>
      <c r="J3392" s="1" t="s">
        <v>1657</v>
      </c>
    </row>
    <row r="3393" spans="1:10" x14ac:dyDescent="0.3">
      <c r="A3393" s="6" t="s">
        <v>15</v>
      </c>
      <c r="B3393" s="6">
        <f t="shared" si="776"/>
        <v>2032</v>
      </c>
      <c r="C3393" s="1" t="s">
        <v>28</v>
      </c>
      <c r="D3393" s="2" t="s">
        <v>131</v>
      </c>
      <c r="E3393" s="9" t="str">
        <f t="shared" si="765"/>
        <v>PNP'!</v>
      </c>
      <c r="F3393" s="5" t="str">
        <f t="shared" si="773"/>
        <v>C:\Users\jaime.benazar\Quorum Business Solutions\Ecopetrol Prometeo - Documents\Planning Space Implementation\3. Analysis &amp; Design\Design\FC22\DRR Jaime\Neiva CPI\[VAO_DINA TERCIARIOS_CF_SEC_20230117.xlsx]CF PNP'!</v>
      </c>
      <c r="G3393" s="6" t="s">
        <v>112</v>
      </c>
      <c r="H3393" s="1">
        <f t="shared" si="775"/>
        <v>45</v>
      </c>
      <c r="I3393" s="1" t="str">
        <f t="shared" si="774"/>
        <v>='C:\Users\jaime.benazar\Quorum Business Solutions\Ecopetrol Prometeo - Documents\Planning Space Implementation\3. Analysis &amp; Design\Design\FC22\DRR Jaime\Neiva CPI\[VAO_DINA TERCIARIOS_CF_SEC_20230117.xlsx]CF PNP'!$BB$45</v>
      </c>
      <c r="J3393" s="1" t="s">
        <v>1658</v>
      </c>
    </row>
    <row r="3394" spans="1:10" x14ac:dyDescent="0.3">
      <c r="A3394" s="6" t="s">
        <v>15</v>
      </c>
      <c r="B3394" s="6">
        <f t="shared" si="776"/>
        <v>2033</v>
      </c>
      <c r="C3394" s="1" t="s">
        <v>28</v>
      </c>
      <c r="D3394" s="2" t="s">
        <v>131</v>
      </c>
      <c r="E3394" s="9" t="str">
        <f t="shared" si="765"/>
        <v>PNP'!</v>
      </c>
      <c r="F3394" s="5" t="str">
        <f t="shared" si="773"/>
        <v>C:\Users\jaime.benazar\Quorum Business Solutions\Ecopetrol Prometeo - Documents\Planning Space Implementation\3. Analysis &amp; Design\Design\FC22\DRR Jaime\Neiva CPI\[VAO_DINA TERCIARIOS_CF_SEC_20230117.xlsx]CF PNP'!</v>
      </c>
      <c r="G3394" s="6" t="s">
        <v>112</v>
      </c>
      <c r="H3394" s="1">
        <f t="shared" si="775"/>
        <v>46</v>
      </c>
      <c r="I3394" s="1" t="str">
        <f t="shared" si="774"/>
        <v>='C:\Users\jaime.benazar\Quorum Business Solutions\Ecopetrol Prometeo - Documents\Planning Space Implementation\3. Analysis &amp; Design\Design\FC22\DRR Jaime\Neiva CPI\[VAO_DINA TERCIARIOS_CF_SEC_20230117.xlsx]CF PNP'!$BB$46</v>
      </c>
      <c r="J3394" s="1" t="s">
        <v>1659</v>
      </c>
    </row>
    <row r="3395" spans="1:10" x14ac:dyDescent="0.3">
      <c r="A3395" s="6" t="s">
        <v>15</v>
      </c>
      <c r="B3395" s="6">
        <f t="shared" si="776"/>
        <v>2034</v>
      </c>
      <c r="C3395" s="1" t="s">
        <v>28</v>
      </c>
      <c r="D3395" s="2" t="s">
        <v>131</v>
      </c>
      <c r="E3395" s="9" t="str">
        <f t="shared" si="765"/>
        <v>PNP'!</v>
      </c>
      <c r="F3395" s="5" t="str">
        <f t="shared" si="773"/>
        <v>C:\Users\jaime.benazar\Quorum Business Solutions\Ecopetrol Prometeo - Documents\Planning Space Implementation\3. Analysis &amp; Design\Design\FC22\DRR Jaime\Neiva CPI\[VAO_DINA TERCIARIOS_CF_SEC_20230117.xlsx]CF PNP'!</v>
      </c>
      <c r="G3395" s="6" t="s">
        <v>112</v>
      </c>
      <c r="H3395" s="1">
        <f t="shared" si="775"/>
        <v>47</v>
      </c>
      <c r="I3395" s="1" t="str">
        <f t="shared" si="774"/>
        <v>='C:\Users\jaime.benazar\Quorum Business Solutions\Ecopetrol Prometeo - Documents\Planning Space Implementation\3. Analysis &amp; Design\Design\FC22\DRR Jaime\Neiva CPI\[VAO_DINA TERCIARIOS_CF_SEC_20230117.xlsx]CF PNP'!$BB$47</v>
      </c>
      <c r="J3395" s="1" t="s">
        <v>1660</v>
      </c>
    </row>
    <row r="3396" spans="1:10" x14ac:dyDescent="0.3">
      <c r="A3396" s="6" t="s">
        <v>15</v>
      </c>
      <c r="B3396" s="6">
        <f t="shared" si="776"/>
        <v>2035</v>
      </c>
      <c r="C3396" s="1" t="s">
        <v>28</v>
      </c>
      <c r="D3396" s="2" t="s">
        <v>131</v>
      </c>
      <c r="E3396" s="9" t="str">
        <f t="shared" si="765"/>
        <v>PNP'!</v>
      </c>
      <c r="F3396" s="5" t="str">
        <f t="shared" si="773"/>
        <v>C:\Users\jaime.benazar\Quorum Business Solutions\Ecopetrol Prometeo - Documents\Planning Space Implementation\3. Analysis &amp; Design\Design\FC22\DRR Jaime\Neiva CPI\[VAO_DINA TERCIARIOS_CF_SEC_20230117.xlsx]CF PNP'!</v>
      </c>
      <c r="G3396" s="6" t="s">
        <v>112</v>
      </c>
      <c r="H3396" s="1">
        <f t="shared" si="775"/>
        <v>48</v>
      </c>
      <c r="I3396" s="1" t="str">
        <f t="shared" si="774"/>
        <v>='C:\Users\jaime.benazar\Quorum Business Solutions\Ecopetrol Prometeo - Documents\Planning Space Implementation\3. Analysis &amp; Design\Design\FC22\DRR Jaime\Neiva CPI\[VAO_DINA TERCIARIOS_CF_SEC_20230117.xlsx]CF PNP'!$BB$48</v>
      </c>
      <c r="J3396" s="1" t="s">
        <v>1661</v>
      </c>
    </row>
    <row r="3397" spans="1:10" x14ac:dyDescent="0.3">
      <c r="A3397" s="6" t="s">
        <v>15</v>
      </c>
      <c r="B3397" s="6">
        <f t="shared" si="776"/>
        <v>2036</v>
      </c>
      <c r="C3397" s="1" t="s">
        <v>28</v>
      </c>
      <c r="D3397" s="2" t="s">
        <v>131</v>
      </c>
      <c r="E3397" s="9" t="str">
        <f t="shared" si="765"/>
        <v>PNP'!</v>
      </c>
      <c r="F3397" s="5" t="str">
        <f t="shared" si="773"/>
        <v>C:\Users\jaime.benazar\Quorum Business Solutions\Ecopetrol Prometeo - Documents\Planning Space Implementation\3. Analysis &amp; Design\Design\FC22\DRR Jaime\Neiva CPI\[VAO_DINA TERCIARIOS_CF_SEC_20230117.xlsx]CF PNP'!</v>
      </c>
      <c r="G3397" s="6" t="s">
        <v>112</v>
      </c>
      <c r="H3397" s="1">
        <f t="shared" si="775"/>
        <v>49</v>
      </c>
      <c r="I3397" s="1" t="str">
        <f t="shared" si="774"/>
        <v>='C:\Users\jaime.benazar\Quorum Business Solutions\Ecopetrol Prometeo - Documents\Planning Space Implementation\3. Analysis &amp; Design\Design\FC22\DRR Jaime\Neiva CPI\[VAO_DINA TERCIARIOS_CF_SEC_20230117.xlsx]CF PNP'!$BB$49</v>
      </c>
      <c r="J3397" s="1" t="s">
        <v>1662</v>
      </c>
    </row>
    <row r="3398" spans="1:10" x14ac:dyDescent="0.3">
      <c r="A3398" s="6" t="s">
        <v>15</v>
      </c>
      <c r="B3398" s="6">
        <f>+B3397+1</f>
        <v>2037</v>
      </c>
      <c r="C3398" s="1" t="s">
        <v>28</v>
      </c>
      <c r="D3398" s="2" t="s">
        <v>131</v>
      </c>
      <c r="E3398" s="9" t="str">
        <f t="shared" si="765"/>
        <v>PNP'!</v>
      </c>
      <c r="F3398" s="5" t="str">
        <f t="shared" si="773"/>
        <v>C:\Users\jaime.benazar\Quorum Business Solutions\Ecopetrol Prometeo - Documents\Planning Space Implementation\3. Analysis &amp; Design\Design\FC22\DRR Jaime\Neiva CPI\[VAO_DINA TERCIARIOS_CF_SEC_20230117.xlsx]CF PNP'!</v>
      </c>
      <c r="G3398" s="6" t="s">
        <v>112</v>
      </c>
      <c r="H3398" s="1">
        <f t="shared" si="775"/>
        <v>50</v>
      </c>
      <c r="I3398" s="1" t="str">
        <f t="shared" si="774"/>
        <v>='C:\Users\jaime.benazar\Quorum Business Solutions\Ecopetrol Prometeo - Documents\Planning Space Implementation\3. Analysis &amp; Design\Design\FC22\DRR Jaime\Neiva CPI\[VAO_DINA TERCIARIOS_CF_SEC_20230117.xlsx]CF PNP'!$BB$50</v>
      </c>
      <c r="J3398" s="1" t="s">
        <v>1663</v>
      </c>
    </row>
    <row r="3399" spans="1:10" x14ac:dyDescent="0.3">
      <c r="A3399" s="6" t="s">
        <v>15</v>
      </c>
      <c r="B3399" s="6">
        <f t="shared" ref="B3399:B3401" si="777">+B3398+1</f>
        <v>2038</v>
      </c>
      <c r="C3399" s="1" t="s">
        <v>28</v>
      </c>
      <c r="D3399" s="2" t="s">
        <v>131</v>
      </c>
      <c r="E3399" s="9" t="str">
        <f t="shared" si="765"/>
        <v>PNP'!</v>
      </c>
      <c r="F3399" s="5" t="str">
        <f t="shared" si="773"/>
        <v>C:\Users\jaime.benazar\Quorum Business Solutions\Ecopetrol Prometeo - Documents\Planning Space Implementation\3. Analysis &amp; Design\Design\FC22\DRR Jaime\Neiva CPI\[VAO_DINA TERCIARIOS_CF_SEC_20230117.xlsx]CF PNP'!</v>
      </c>
      <c r="G3399" s="6" t="s">
        <v>112</v>
      </c>
      <c r="H3399" s="1">
        <f t="shared" si="775"/>
        <v>51</v>
      </c>
      <c r="I3399" s="1" t="str">
        <f t="shared" si="774"/>
        <v>='C:\Users\jaime.benazar\Quorum Business Solutions\Ecopetrol Prometeo - Documents\Planning Space Implementation\3. Analysis &amp; Design\Design\FC22\DRR Jaime\Neiva CPI\[VAO_DINA TERCIARIOS_CF_SEC_20230117.xlsx]CF PNP'!$BB$51</v>
      </c>
      <c r="J3399" s="1" t="s">
        <v>1664</v>
      </c>
    </row>
    <row r="3400" spans="1:10" x14ac:dyDescent="0.3">
      <c r="A3400" s="6" t="s">
        <v>15</v>
      </c>
      <c r="B3400" s="6">
        <f t="shared" si="777"/>
        <v>2039</v>
      </c>
      <c r="C3400" s="1" t="s">
        <v>28</v>
      </c>
      <c r="D3400" s="2" t="s">
        <v>131</v>
      </c>
      <c r="E3400" s="9" t="str">
        <f t="shared" si="765"/>
        <v>PNP'!</v>
      </c>
      <c r="F3400" s="5" t="str">
        <f t="shared" si="773"/>
        <v>C:\Users\jaime.benazar\Quorum Business Solutions\Ecopetrol Prometeo - Documents\Planning Space Implementation\3. Analysis &amp; Design\Design\FC22\DRR Jaime\Neiva CPI\[VAO_DINA TERCIARIOS_CF_SEC_20230117.xlsx]CF PNP'!</v>
      </c>
      <c r="G3400" s="6" t="s">
        <v>112</v>
      </c>
      <c r="H3400" s="1">
        <f t="shared" si="775"/>
        <v>52</v>
      </c>
      <c r="I3400" s="1" t="str">
        <f t="shared" si="774"/>
        <v>='C:\Users\jaime.benazar\Quorum Business Solutions\Ecopetrol Prometeo - Documents\Planning Space Implementation\3. Analysis &amp; Design\Design\FC22\DRR Jaime\Neiva CPI\[VAO_DINA TERCIARIOS_CF_SEC_20230117.xlsx]CF PNP'!$BB$52</v>
      </c>
      <c r="J3400" s="1" t="s">
        <v>1665</v>
      </c>
    </row>
    <row r="3401" spans="1:10" x14ac:dyDescent="0.3">
      <c r="A3401" s="6" t="s">
        <v>15</v>
      </c>
      <c r="B3401" s="6">
        <f t="shared" si="777"/>
        <v>2040</v>
      </c>
      <c r="C3401" s="1" t="s">
        <v>28</v>
      </c>
      <c r="D3401" s="2" t="s">
        <v>131</v>
      </c>
      <c r="E3401" s="9" t="str">
        <f t="shared" si="765"/>
        <v>PNP'!</v>
      </c>
      <c r="F3401" s="5" t="str">
        <f t="shared" si="773"/>
        <v>C:\Users\jaime.benazar\Quorum Business Solutions\Ecopetrol Prometeo - Documents\Planning Space Implementation\3. Analysis &amp; Design\Design\FC22\DRR Jaime\Neiva CPI\[VAO_DINA TERCIARIOS_CF_SEC_20230117.xlsx]CF PNP'!</v>
      </c>
      <c r="G3401" s="6" t="s">
        <v>112</v>
      </c>
      <c r="H3401" s="1">
        <f t="shared" si="775"/>
        <v>53</v>
      </c>
      <c r="I3401" s="1" t="str">
        <f t="shared" si="774"/>
        <v>='C:\Users\jaime.benazar\Quorum Business Solutions\Ecopetrol Prometeo - Documents\Planning Space Implementation\3. Analysis &amp; Design\Design\FC22\DRR Jaime\Neiva CPI\[VAO_DINA TERCIARIOS_CF_SEC_20230117.xlsx]CF PNP'!$BB$53</v>
      </c>
      <c r="J3401" s="1" t="s">
        <v>1666</v>
      </c>
    </row>
    <row r="3402" spans="1:10" x14ac:dyDescent="0.3">
      <c r="A3402" s="6" t="s">
        <v>15</v>
      </c>
      <c r="B3402" s="6">
        <f>+B3401+1</f>
        <v>2041</v>
      </c>
      <c r="C3402" s="1" t="s">
        <v>28</v>
      </c>
      <c r="D3402" s="2" t="s">
        <v>131</v>
      </c>
      <c r="E3402" s="9" t="str">
        <f t="shared" si="765"/>
        <v>PNP'!</v>
      </c>
      <c r="F3402" s="5" t="str">
        <f t="shared" si="773"/>
        <v>C:\Users\jaime.benazar\Quorum Business Solutions\Ecopetrol Prometeo - Documents\Planning Space Implementation\3. Analysis &amp; Design\Design\FC22\DRR Jaime\Neiva CPI\[VAO_DINA TERCIARIOS_CF_SEC_20230117.xlsx]CF PNP'!</v>
      </c>
      <c r="G3402" s="6" t="s">
        <v>112</v>
      </c>
      <c r="H3402" s="1">
        <f t="shared" si="775"/>
        <v>54</v>
      </c>
      <c r="I3402" s="1" t="str">
        <f t="shared" si="774"/>
        <v>='C:\Users\jaime.benazar\Quorum Business Solutions\Ecopetrol Prometeo - Documents\Planning Space Implementation\3. Analysis &amp; Design\Design\FC22\DRR Jaime\Neiva CPI\[VAO_DINA TERCIARIOS_CF_SEC_20230117.xlsx]CF PNP'!$BB$54</v>
      </c>
      <c r="J3402" s="1" t="s">
        <v>1667</v>
      </c>
    </row>
    <row r="3403" spans="1:10" x14ac:dyDescent="0.3">
      <c r="A3403" s="6" t="s">
        <v>15</v>
      </c>
      <c r="B3403" s="6">
        <f t="shared" ref="B3403:B3404" si="778">+B3402+1</f>
        <v>2042</v>
      </c>
      <c r="C3403" s="1" t="s">
        <v>28</v>
      </c>
      <c r="D3403" s="2" t="s">
        <v>131</v>
      </c>
      <c r="E3403" s="9" t="str">
        <f t="shared" si="765"/>
        <v>PNP'!</v>
      </c>
      <c r="F3403" s="5" t="str">
        <f t="shared" si="773"/>
        <v>C:\Users\jaime.benazar\Quorum Business Solutions\Ecopetrol Prometeo - Documents\Planning Space Implementation\3. Analysis &amp; Design\Design\FC22\DRR Jaime\Neiva CPI\[VAO_DINA TERCIARIOS_CF_SEC_20230117.xlsx]CF PNP'!</v>
      </c>
      <c r="G3403" s="6" t="s">
        <v>112</v>
      </c>
      <c r="H3403" s="1">
        <f t="shared" si="775"/>
        <v>55</v>
      </c>
      <c r="I3403" s="1" t="str">
        <f t="shared" si="774"/>
        <v>='C:\Users\jaime.benazar\Quorum Business Solutions\Ecopetrol Prometeo - Documents\Planning Space Implementation\3. Analysis &amp; Design\Design\FC22\DRR Jaime\Neiva CPI\[VAO_DINA TERCIARIOS_CF_SEC_20230117.xlsx]CF PNP'!$BB$55</v>
      </c>
      <c r="J3403" s="1" t="s">
        <v>1668</v>
      </c>
    </row>
    <row r="3404" spans="1:10" x14ac:dyDescent="0.3">
      <c r="A3404" s="6" t="s">
        <v>15</v>
      </c>
      <c r="B3404" s="6">
        <f t="shared" si="778"/>
        <v>2043</v>
      </c>
      <c r="C3404" s="1" t="s">
        <v>28</v>
      </c>
      <c r="D3404" s="2" t="s">
        <v>131</v>
      </c>
      <c r="E3404" s="9" t="str">
        <f t="shared" si="765"/>
        <v>PNP'!</v>
      </c>
      <c r="F3404" s="5" t="str">
        <f t="shared" si="773"/>
        <v>C:\Users\jaime.benazar\Quorum Business Solutions\Ecopetrol Prometeo - Documents\Planning Space Implementation\3. Analysis &amp; Design\Design\FC22\DRR Jaime\Neiva CPI\[VAO_DINA TERCIARIOS_CF_SEC_20230117.xlsx]CF PNP'!</v>
      </c>
      <c r="G3404" s="6" t="s">
        <v>112</v>
      </c>
      <c r="H3404" s="1">
        <f t="shared" si="775"/>
        <v>56</v>
      </c>
      <c r="I3404" s="1" t="str">
        <f t="shared" si="774"/>
        <v>='C:\Users\jaime.benazar\Quorum Business Solutions\Ecopetrol Prometeo - Documents\Planning Space Implementation\3. Analysis &amp; Design\Design\FC22\DRR Jaime\Neiva CPI\[VAO_DINA TERCIARIOS_CF_SEC_20230117.xlsx]CF PNP'!$BB$56</v>
      </c>
      <c r="J3404" s="1" t="s">
        <v>1669</v>
      </c>
    </row>
    <row r="3405" spans="1:10" x14ac:dyDescent="0.3">
      <c r="A3405" s="6" t="s">
        <v>15</v>
      </c>
      <c r="B3405" s="6">
        <f>+B3404+1</f>
        <v>2044</v>
      </c>
      <c r="C3405" s="1" t="s">
        <v>28</v>
      </c>
      <c r="D3405" s="2" t="s">
        <v>131</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Jaime\Neiva CPI\[VAO_DINA TERCIARIOS_CF_SEC_20230117.xlsx]CF PNP'!</v>
      </c>
      <c r="G3405" s="6" t="s">
        <v>112</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Jaime\Neiva CPI\[VAO_DINA TERCIARIOS_CF_SEC_20230117.xlsx]CF PNP'!$BB$57</v>
      </c>
      <c r="J3405" s="1" t="s">
        <v>1670</v>
      </c>
    </row>
    <row r="3406" spans="1:10" x14ac:dyDescent="0.3">
      <c r="A3406" s="6" t="s">
        <v>15</v>
      </c>
      <c r="B3406" s="6">
        <f t="shared" ref="B3406:B3420" si="783">+B3405+1</f>
        <v>2045</v>
      </c>
      <c r="C3406" s="1" t="s">
        <v>28</v>
      </c>
      <c r="D3406" s="2" t="s">
        <v>131</v>
      </c>
      <c r="E3406" s="9" t="str">
        <f t="shared" si="779"/>
        <v>PNP'!</v>
      </c>
      <c r="F3406" s="5" t="str">
        <f t="shared" si="780"/>
        <v>C:\Users\jaime.benazar\Quorum Business Solutions\Ecopetrol Prometeo - Documents\Planning Space Implementation\3. Analysis &amp; Design\Design\FC22\DRR Jaime\Neiva CPI\[VAO_DINA TERCIARIOS_CF_SEC_20230117.xlsx]CF PNP'!</v>
      </c>
      <c r="G3406" s="6" t="s">
        <v>112</v>
      </c>
      <c r="H3406" s="1">
        <f t="shared" si="781"/>
        <v>58</v>
      </c>
      <c r="I3406" s="1" t="str">
        <f t="shared" si="782"/>
        <v>='C:\Users\jaime.benazar\Quorum Business Solutions\Ecopetrol Prometeo - Documents\Planning Space Implementation\3. Analysis &amp; Design\Design\FC22\DRR Jaime\Neiva CPI\[VAO_DINA TERCIARIOS_CF_SEC_20230117.xlsx]CF PNP'!$BB$58</v>
      </c>
      <c r="J3406" s="1" t="s">
        <v>1671</v>
      </c>
    </row>
    <row r="3407" spans="1:10" x14ac:dyDescent="0.3">
      <c r="A3407" s="6" t="s">
        <v>15</v>
      </c>
      <c r="B3407" s="6">
        <f t="shared" si="783"/>
        <v>2046</v>
      </c>
      <c r="C3407" s="1" t="s">
        <v>28</v>
      </c>
      <c r="D3407" s="2" t="s">
        <v>131</v>
      </c>
      <c r="E3407" s="9" t="str">
        <f t="shared" si="779"/>
        <v>PNP'!</v>
      </c>
      <c r="F3407" s="5" t="str">
        <f t="shared" si="780"/>
        <v>C:\Users\jaime.benazar\Quorum Business Solutions\Ecopetrol Prometeo - Documents\Planning Space Implementation\3. Analysis &amp; Design\Design\FC22\DRR Jaime\Neiva CPI\[VAO_DINA TERCIARIOS_CF_SEC_20230117.xlsx]CF PNP'!</v>
      </c>
      <c r="G3407" s="6" t="s">
        <v>112</v>
      </c>
      <c r="H3407" s="1">
        <f t="shared" si="781"/>
        <v>59</v>
      </c>
      <c r="I3407" s="1" t="str">
        <f t="shared" si="782"/>
        <v>='C:\Users\jaime.benazar\Quorum Business Solutions\Ecopetrol Prometeo - Documents\Planning Space Implementation\3. Analysis &amp; Design\Design\FC22\DRR Jaime\Neiva CPI\[VAO_DINA TERCIARIOS_CF_SEC_20230117.xlsx]CF PNP'!$BB$59</v>
      </c>
      <c r="J3407" s="1" t="s">
        <v>1672</v>
      </c>
    </row>
    <row r="3408" spans="1:10" x14ac:dyDescent="0.3">
      <c r="A3408" s="6" t="s">
        <v>15</v>
      </c>
      <c r="B3408" s="6">
        <f t="shared" si="783"/>
        <v>2047</v>
      </c>
      <c r="C3408" s="1" t="s">
        <v>28</v>
      </c>
      <c r="D3408" s="2" t="s">
        <v>131</v>
      </c>
      <c r="E3408" s="9" t="str">
        <f t="shared" si="779"/>
        <v>PNP'!</v>
      </c>
      <c r="F3408" s="5" t="str">
        <f t="shared" si="780"/>
        <v>C:\Users\jaime.benazar\Quorum Business Solutions\Ecopetrol Prometeo - Documents\Planning Space Implementation\3. Analysis &amp; Design\Design\FC22\DRR Jaime\Neiva CPI\[VAO_DINA TERCIARIOS_CF_SEC_20230117.xlsx]CF PNP'!</v>
      </c>
      <c r="G3408" s="6" t="s">
        <v>112</v>
      </c>
      <c r="H3408" s="1">
        <f t="shared" si="781"/>
        <v>60</v>
      </c>
      <c r="I3408" s="1" t="str">
        <f t="shared" si="782"/>
        <v>='C:\Users\jaime.benazar\Quorum Business Solutions\Ecopetrol Prometeo - Documents\Planning Space Implementation\3. Analysis &amp; Design\Design\FC22\DRR Jaime\Neiva CPI\[VAO_DINA TERCIARIOS_CF_SEC_20230117.xlsx]CF PNP'!$BB$60</v>
      </c>
      <c r="J3408" s="1" t="s">
        <v>1673</v>
      </c>
    </row>
    <row r="3409" spans="1:10" x14ac:dyDescent="0.3">
      <c r="A3409" s="6" t="s">
        <v>15</v>
      </c>
      <c r="B3409" s="6">
        <f t="shared" si="783"/>
        <v>2048</v>
      </c>
      <c r="C3409" s="1" t="s">
        <v>28</v>
      </c>
      <c r="D3409" s="2" t="s">
        <v>131</v>
      </c>
      <c r="E3409" s="9" t="str">
        <f t="shared" si="779"/>
        <v>PNP'!</v>
      </c>
      <c r="F3409" s="5" t="str">
        <f t="shared" si="780"/>
        <v>C:\Users\jaime.benazar\Quorum Business Solutions\Ecopetrol Prometeo - Documents\Planning Space Implementation\3. Analysis &amp; Design\Design\FC22\DRR Jaime\Neiva CPI\[VAO_DINA TERCIARIOS_CF_SEC_20230117.xlsx]CF PNP'!</v>
      </c>
      <c r="G3409" s="6" t="s">
        <v>112</v>
      </c>
      <c r="H3409" s="1">
        <f t="shared" si="781"/>
        <v>61</v>
      </c>
      <c r="I3409" s="1" t="str">
        <f t="shared" si="782"/>
        <v>='C:\Users\jaime.benazar\Quorum Business Solutions\Ecopetrol Prometeo - Documents\Planning Space Implementation\3. Analysis &amp; Design\Design\FC22\DRR Jaime\Neiva CPI\[VAO_DINA TERCIARIOS_CF_SEC_20230117.xlsx]CF PNP'!$BB$61</v>
      </c>
      <c r="J3409" s="1" t="s">
        <v>1674</v>
      </c>
    </row>
    <row r="3410" spans="1:10" x14ac:dyDescent="0.3">
      <c r="A3410" s="6" t="s">
        <v>15</v>
      </c>
      <c r="B3410" s="6">
        <f t="shared" si="783"/>
        <v>2049</v>
      </c>
      <c r="C3410" s="1" t="s">
        <v>28</v>
      </c>
      <c r="D3410" s="2" t="s">
        <v>131</v>
      </c>
      <c r="E3410" s="9" t="str">
        <f t="shared" si="779"/>
        <v>PNP'!</v>
      </c>
      <c r="F3410" s="5" t="str">
        <f t="shared" si="780"/>
        <v>C:\Users\jaime.benazar\Quorum Business Solutions\Ecopetrol Prometeo - Documents\Planning Space Implementation\3. Analysis &amp; Design\Design\FC22\DRR Jaime\Neiva CPI\[VAO_DINA TERCIARIOS_CF_SEC_20230117.xlsx]CF PNP'!</v>
      </c>
      <c r="G3410" s="6" t="s">
        <v>112</v>
      </c>
      <c r="H3410" s="1">
        <f t="shared" si="781"/>
        <v>62</v>
      </c>
      <c r="I3410" s="1" t="str">
        <f t="shared" si="782"/>
        <v>='C:\Users\jaime.benazar\Quorum Business Solutions\Ecopetrol Prometeo - Documents\Planning Space Implementation\3. Analysis &amp; Design\Design\FC22\DRR Jaime\Neiva CPI\[VAO_DINA TERCIARIOS_CF_SEC_20230117.xlsx]CF PNP'!$BB$62</v>
      </c>
      <c r="J3410" s="1" t="s">
        <v>1675</v>
      </c>
    </row>
    <row r="3411" spans="1:10" x14ac:dyDescent="0.3">
      <c r="A3411" s="6" t="s">
        <v>15</v>
      </c>
      <c r="B3411" s="6">
        <f t="shared" si="783"/>
        <v>2050</v>
      </c>
      <c r="C3411" s="1" t="s">
        <v>28</v>
      </c>
      <c r="D3411" s="2" t="s">
        <v>131</v>
      </c>
      <c r="E3411" s="9" t="str">
        <f t="shared" si="779"/>
        <v>PNP'!</v>
      </c>
      <c r="F3411" s="5" t="str">
        <f t="shared" si="780"/>
        <v>C:\Users\jaime.benazar\Quorum Business Solutions\Ecopetrol Prometeo - Documents\Planning Space Implementation\3. Analysis &amp; Design\Design\FC22\DRR Jaime\Neiva CPI\[VAO_DINA TERCIARIOS_CF_SEC_20230117.xlsx]CF PNP'!</v>
      </c>
      <c r="G3411" s="6" t="s">
        <v>112</v>
      </c>
      <c r="H3411" s="1">
        <f t="shared" si="781"/>
        <v>63</v>
      </c>
      <c r="I3411" s="1" t="str">
        <f t="shared" si="782"/>
        <v>='C:\Users\jaime.benazar\Quorum Business Solutions\Ecopetrol Prometeo - Documents\Planning Space Implementation\3. Analysis &amp; Design\Design\FC22\DRR Jaime\Neiva CPI\[VAO_DINA TERCIARIOS_CF_SEC_20230117.xlsx]CF PNP'!$BB$63</v>
      </c>
      <c r="J3411" s="1" t="s">
        <v>1676</v>
      </c>
    </row>
    <row r="3412" spans="1:10" x14ac:dyDescent="0.3">
      <c r="A3412" s="6" t="s">
        <v>15</v>
      </c>
      <c r="B3412" s="6">
        <f t="shared" si="783"/>
        <v>2051</v>
      </c>
      <c r="C3412" s="1" t="s">
        <v>28</v>
      </c>
      <c r="D3412" s="2" t="s">
        <v>131</v>
      </c>
      <c r="E3412" s="9" t="str">
        <f t="shared" si="779"/>
        <v>PNP'!</v>
      </c>
      <c r="F3412" s="5" t="str">
        <f t="shared" si="780"/>
        <v>C:\Users\jaime.benazar\Quorum Business Solutions\Ecopetrol Prometeo - Documents\Planning Space Implementation\3. Analysis &amp; Design\Design\FC22\DRR Jaime\Neiva CPI\[VAO_DINA TERCIARIOS_CF_SEC_20230117.xlsx]CF PNP'!</v>
      </c>
      <c r="G3412" s="6" t="s">
        <v>112</v>
      </c>
      <c r="H3412" s="1">
        <f t="shared" si="781"/>
        <v>64</v>
      </c>
      <c r="I3412" s="1" t="str">
        <f t="shared" si="782"/>
        <v>='C:\Users\jaime.benazar\Quorum Business Solutions\Ecopetrol Prometeo - Documents\Planning Space Implementation\3. Analysis &amp; Design\Design\FC22\DRR Jaime\Neiva CPI\[VAO_DINA TERCIARIOS_CF_SEC_20230117.xlsx]CF PNP'!$BB$64</v>
      </c>
      <c r="J3412" s="1" t="s">
        <v>1677</v>
      </c>
    </row>
    <row r="3413" spans="1:10" x14ac:dyDescent="0.3">
      <c r="A3413" s="6" t="s">
        <v>15</v>
      </c>
      <c r="B3413" s="6">
        <f t="shared" si="783"/>
        <v>2052</v>
      </c>
      <c r="C3413" s="1" t="s">
        <v>28</v>
      </c>
      <c r="D3413" s="2" t="s">
        <v>131</v>
      </c>
      <c r="E3413" s="9" t="str">
        <f t="shared" si="779"/>
        <v>PNP'!</v>
      </c>
      <c r="F3413" s="5" t="str">
        <f t="shared" si="780"/>
        <v>C:\Users\jaime.benazar\Quorum Business Solutions\Ecopetrol Prometeo - Documents\Planning Space Implementation\3. Analysis &amp; Design\Design\FC22\DRR Jaime\Neiva CPI\[VAO_DINA TERCIARIOS_CF_SEC_20230117.xlsx]CF PNP'!</v>
      </c>
      <c r="G3413" s="6" t="s">
        <v>112</v>
      </c>
      <c r="H3413" s="1">
        <f t="shared" si="781"/>
        <v>65</v>
      </c>
      <c r="I3413" s="1" t="str">
        <f t="shared" si="782"/>
        <v>='C:\Users\jaime.benazar\Quorum Business Solutions\Ecopetrol Prometeo - Documents\Planning Space Implementation\3. Analysis &amp; Design\Design\FC22\DRR Jaime\Neiva CPI\[VAO_DINA TERCIARIOS_CF_SEC_20230117.xlsx]CF PNP'!$BB$65</v>
      </c>
      <c r="J3413" s="1" t="s">
        <v>1678</v>
      </c>
    </row>
    <row r="3414" spans="1:10" x14ac:dyDescent="0.3">
      <c r="A3414" s="6" t="s">
        <v>15</v>
      </c>
      <c r="B3414" s="6">
        <f t="shared" si="783"/>
        <v>2053</v>
      </c>
      <c r="C3414" s="1" t="s">
        <v>28</v>
      </c>
      <c r="D3414" s="2" t="s">
        <v>131</v>
      </c>
      <c r="E3414" s="9" t="str">
        <f t="shared" si="779"/>
        <v>PNP'!</v>
      </c>
      <c r="F3414" s="5" t="str">
        <f t="shared" si="780"/>
        <v>C:\Users\jaime.benazar\Quorum Business Solutions\Ecopetrol Prometeo - Documents\Planning Space Implementation\3. Analysis &amp; Design\Design\FC22\DRR Jaime\Neiva CPI\[VAO_DINA TERCIARIOS_CF_SEC_20230117.xlsx]CF PNP'!</v>
      </c>
      <c r="G3414" s="6" t="s">
        <v>112</v>
      </c>
      <c r="H3414" s="1">
        <f t="shared" si="781"/>
        <v>66</v>
      </c>
      <c r="I3414" s="1" t="str">
        <f t="shared" si="782"/>
        <v>='C:\Users\jaime.benazar\Quorum Business Solutions\Ecopetrol Prometeo - Documents\Planning Space Implementation\3. Analysis &amp; Design\Design\FC22\DRR Jaime\Neiva CPI\[VAO_DINA TERCIARIOS_CF_SEC_20230117.xlsx]CF PNP'!$BB$66</v>
      </c>
      <c r="J3414" s="1" t="s">
        <v>1679</v>
      </c>
    </row>
    <row r="3415" spans="1:10" x14ac:dyDescent="0.3">
      <c r="A3415" s="6" t="s">
        <v>15</v>
      </c>
      <c r="B3415" s="6">
        <f t="shared" si="783"/>
        <v>2054</v>
      </c>
      <c r="C3415" s="1" t="s">
        <v>28</v>
      </c>
      <c r="D3415" s="2" t="s">
        <v>131</v>
      </c>
      <c r="E3415" s="9" t="str">
        <f t="shared" si="779"/>
        <v>PNP'!</v>
      </c>
      <c r="F3415" s="5" t="str">
        <f t="shared" si="780"/>
        <v>C:\Users\jaime.benazar\Quorum Business Solutions\Ecopetrol Prometeo - Documents\Planning Space Implementation\3. Analysis &amp; Design\Design\FC22\DRR Jaime\Neiva CPI\[VAO_DINA TERCIARIOS_CF_SEC_20230117.xlsx]CF PNP'!</v>
      </c>
      <c r="G3415" s="6" t="s">
        <v>112</v>
      </c>
      <c r="H3415" s="1">
        <f t="shared" si="781"/>
        <v>67</v>
      </c>
      <c r="I3415" s="1" t="str">
        <f t="shared" si="782"/>
        <v>='C:\Users\jaime.benazar\Quorum Business Solutions\Ecopetrol Prometeo - Documents\Planning Space Implementation\3. Analysis &amp; Design\Design\FC22\DRR Jaime\Neiva CPI\[VAO_DINA TERCIARIOS_CF_SEC_20230117.xlsx]CF PNP'!$BB$67</v>
      </c>
      <c r="J3415" s="1" t="s">
        <v>1680</v>
      </c>
    </row>
    <row r="3416" spans="1:10" x14ac:dyDescent="0.3">
      <c r="A3416" s="6" t="s">
        <v>15</v>
      </c>
      <c r="B3416" s="6">
        <f t="shared" si="783"/>
        <v>2055</v>
      </c>
      <c r="C3416" s="1" t="s">
        <v>28</v>
      </c>
      <c r="D3416" s="2" t="s">
        <v>131</v>
      </c>
      <c r="E3416" s="9" t="str">
        <f t="shared" si="779"/>
        <v>PNP'!</v>
      </c>
      <c r="F3416" s="5" t="str">
        <f t="shared" si="780"/>
        <v>C:\Users\jaime.benazar\Quorum Business Solutions\Ecopetrol Prometeo - Documents\Planning Space Implementation\3. Analysis &amp; Design\Design\FC22\DRR Jaime\Neiva CPI\[VAO_DINA TERCIARIOS_CF_SEC_20230117.xlsx]CF PNP'!</v>
      </c>
      <c r="G3416" s="6" t="s">
        <v>112</v>
      </c>
      <c r="H3416" s="1">
        <f t="shared" si="781"/>
        <v>68</v>
      </c>
      <c r="I3416" s="1" t="str">
        <f t="shared" si="782"/>
        <v>='C:\Users\jaime.benazar\Quorum Business Solutions\Ecopetrol Prometeo - Documents\Planning Space Implementation\3. Analysis &amp; Design\Design\FC22\DRR Jaime\Neiva CPI\[VAO_DINA TERCIARIOS_CF_SEC_20230117.xlsx]CF PNP'!$BB$68</v>
      </c>
      <c r="J3416" s="1" t="s">
        <v>1681</v>
      </c>
    </row>
    <row r="3417" spans="1:10" x14ac:dyDescent="0.3">
      <c r="A3417" s="6" t="s">
        <v>15</v>
      </c>
      <c r="B3417" s="6">
        <f t="shared" si="783"/>
        <v>2056</v>
      </c>
      <c r="C3417" s="1" t="s">
        <v>28</v>
      </c>
      <c r="D3417" s="2" t="s">
        <v>131</v>
      </c>
      <c r="E3417" s="9" t="str">
        <f t="shared" si="779"/>
        <v>PNP'!</v>
      </c>
      <c r="F3417" s="5" t="str">
        <f t="shared" si="780"/>
        <v>C:\Users\jaime.benazar\Quorum Business Solutions\Ecopetrol Prometeo - Documents\Planning Space Implementation\3. Analysis &amp; Design\Design\FC22\DRR Jaime\Neiva CPI\[VAO_DINA TERCIARIOS_CF_SEC_20230117.xlsx]CF PNP'!</v>
      </c>
      <c r="G3417" s="6" t="s">
        <v>112</v>
      </c>
      <c r="H3417" s="1">
        <f t="shared" si="781"/>
        <v>69</v>
      </c>
      <c r="I3417" s="1" t="str">
        <f t="shared" si="782"/>
        <v>='C:\Users\jaime.benazar\Quorum Business Solutions\Ecopetrol Prometeo - Documents\Planning Space Implementation\3. Analysis &amp; Design\Design\FC22\DRR Jaime\Neiva CPI\[VAO_DINA TERCIARIOS_CF_SEC_20230117.xlsx]CF PNP'!$BB$69</v>
      </c>
      <c r="J3417" s="1" t="s">
        <v>1682</v>
      </c>
    </row>
    <row r="3418" spans="1:10" x14ac:dyDescent="0.3">
      <c r="A3418" s="6" t="s">
        <v>15</v>
      </c>
      <c r="B3418" s="6">
        <f t="shared" si="783"/>
        <v>2057</v>
      </c>
      <c r="C3418" s="1" t="s">
        <v>28</v>
      </c>
      <c r="D3418" s="2" t="s">
        <v>131</v>
      </c>
      <c r="E3418" s="9" t="str">
        <f t="shared" si="779"/>
        <v>PNP'!</v>
      </c>
      <c r="F3418" s="5" t="str">
        <f t="shared" si="780"/>
        <v>C:\Users\jaime.benazar\Quorum Business Solutions\Ecopetrol Prometeo - Documents\Planning Space Implementation\3. Analysis &amp; Design\Design\FC22\DRR Jaime\Neiva CPI\[VAO_DINA TERCIARIOS_CF_SEC_20230117.xlsx]CF PNP'!</v>
      </c>
      <c r="G3418" s="6" t="s">
        <v>112</v>
      </c>
      <c r="H3418" s="1">
        <f t="shared" si="781"/>
        <v>70</v>
      </c>
      <c r="I3418" s="1" t="str">
        <f t="shared" si="782"/>
        <v>='C:\Users\jaime.benazar\Quorum Business Solutions\Ecopetrol Prometeo - Documents\Planning Space Implementation\3. Analysis &amp; Design\Design\FC22\DRR Jaime\Neiva CPI\[VAO_DINA TERCIARIOS_CF_SEC_20230117.xlsx]CF PNP'!$BB$70</v>
      </c>
      <c r="J3418" s="1" t="s">
        <v>1683</v>
      </c>
    </row>
    <row r="3419" spans="1:10" x14ac:dyDescent="0.3">
      <c r="A3419" s="6" t="s">
        <v>15</v>
      </c>
      <c r="B3419" s="6">
        <f t="shared" si="783"/>
        <v>2058</v>
      </c>
      <c r="C3419" s="1" t="s">
        <v>28</v>
      </c>
      <c r="D3419" s="2" t="s">
        <v>131</v>
      </c>
      <c r="E3419" s="9" t="str">
        <f t="shared" si="779"/>
        <v>PNP'!</v>
      </c>
      <c r="F3419" s="5" t="str">
        <f t="shared" si="780"/>
        <v>C:\Users\jaime.benazar\Quorum Business Solutions\Ecopetrol Prometeo - Documents\Planning Space Implementation\3. Analysis &amp; Design\Design\FC22\DRR Jaime\Neiva CPI\[VAO_DINA TERCIARIOS_CF_SEC_20230117.xlsx]CF PNP'!</v>
      </c>
      <c r="G3419" s="6" t="s">
        <v>112</v>
      </c>
      <c r="H3419" s="1">
        <f t="shared" si="781"/>
        <v>71</v>
      </c>
      <c r="I3419" s="1" t="str">
        <f t="shared" si="782"/>
        <v>='C:\Users\jaime.benazar\Quorum Business Solutions\Ecopetrol Prometeo - Documents\Planning Space Implementation\3. Analysis &amp; Design\Design\FC22\DRR Jaime\Neiva CPI\[VAO_DINA TERCIARIOS_CF_SEC_20230117.xlsx]CF PNP'!$BB$71</v>
      </c>
      <c r="J3419" s="1" t="s">
        <v>1684</v>
      </c>
    </row>
    <row r="3420" spans="1:10" x14ac:dyDescent="0.3">
      <c r="A3420" s="6" t="s">
        <v>15</v>
      </c>
      <c r="B3420" s="6">
        <f t="shared" si="783"/>
        <v>2059</v>
      </c>
      <c r="C3420" s="1" t="s">
        <v>28</v>
      </c>
      <c r="D3420" s="2" t="s">
        <v>131</v>
      </c>
      <c r="E3420" s="9" t="str">
        <f t="shared" si="779"/>
        <v>PNP'!</v>
      </c>
      <c r="F3420" s="5" t="str">
        <f t="shared" si="780"/>
        <v>C:\Users\jaime.benazar\Quorum Business Solutions\Ecopetrol Prometeo - Documents\Planning Space Implementation\3. Analysis &amp; Design\Design\FC22\DRR Jaime\Neiva CPI\[VAO_DINA TERCIARIOS_CF_SEC_20230117.xlsx]CF PNP'!</v>
      </c>
      <c r="G3420" s="6" t="s">
        <v>112</v>
      </c>
      <c r="H3420" s="1">
        <f t="shared" si="781"/>
        <v>72</v>
      </c>
      <c r="I3420" s="1" t="str">
        <f t="shared" si="782"/>
        <v>='C:\Users\jaime.benazar\Quorum Business Solutions\Ecopetrol Prometeo - Documents\Planning Space Implementation\3. Analysis &amp; Design\Design\FC22\DRR Jaime\Neiva CPI\[VAO_DINA TERCIARIOS_CF_SEC_20230117.xlsx]CF PNP'!$BB$72</v>
      </c>
      <c r="J3420" s="1" t="s">
        <v>1685</v>
      </c>
    </row>
    <row r="3421" spans="1:10" x14ac:dyDescent="0.3">
      <c r="A3421" s="6" t="s">
        <v>26</v>
      </c>
      <c r="B3421" s="6"/>
      <c r="C3421" s="1" t="s">
        <v>28</v>
      </c>
      <c r="D3421" s="2"/>
      <c r="E3421" s="9"/>
      <c r="F3421" s="5"/>
      <c r="G3421" s="6"/>
      <c r="H3421" s="1"/>
      <c r="I3421" s="1"/>
      <c r="J3421" s="4"/>
    </row>
    <row r="3422" spans="1:10" x14ac:dyDescent="0.3">
      <c r="A3422" s="6" t="s">
        <v>16</v>
      </c>
      <c r="B3422" s="6">
        <v>2023</v>
      </c>
      <c r="C3422" s="1" t="s">
        <v>28</v>
      </c>
      <c r="D3422" s="2" t="s">
        <v>131</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Jaime\Neiva CPI\[VAO_DINA TERCIARIOS_CF_SEC_20230117.xlsx]CF PND'!</v>
      </c>
      <c r="G3422" s="6" t="s">
        <v>112</v>
      </c>
      <c r="H3422" s="1">
        <f>IF(A3422&lt;&gt;A3406,36,H3406+1)</f>
        <v>36</v>
      </c>
      <c r="I3422" s="1" t="str">
        <f t="shared" ref="I3422:I3442" si="786">_xlfn.CONCAT("='",F3422:H3422)</f>
        <v>='C:\Users\jaime.benazar\Quorum Business Solutions\Ecopetrol Prometeo - Documents\Planning Space Implementation\3. Analysis &amp; Design\Design\FC22\DRR Jaime\Neiva CPI\[VAO_DINA TERCIARIOS_CF_SEC_20230117.xlsx]CF PND'!$BB$36</v>
      </c>
      <c r="J3422" s="1" t="s">
        <v>1686</v>
      </c>
    </row>
    <row r="3423" spans="1:10" x14ac:dyDescent="0.3">
      <c r="A3423" s="6" t="s">
        <v>16</v>
      </c>
      <c r="B3423" s="6">
        <f>+B3422+1</f>
        <v>2024</v>
      </c>
      <c r="C3423" s="1" t="s">
        <v>28</v>
      </c>
      <c r="D3423" s="2" t="s">
        <v>131</v>
      </c>
      <c r="E3423" s="9" t="str">
        <f t="shared" si="784"/>
        <v>PND'!</v>
      </c>
      <c r="F3423" s="5" t="str">
        <f t="shared" si="785"/>
        <v>C:\Users\jaime.benazar\Quorum Business Solutions\Ecopetrol Prometeo - Documents\Planning Space Implementation\3. Analysis &amp; Design\Design\FC22\DRR Jaime\Neiva CPI\[VAO_DINA TERCIARIOS_CF_SEC_20230117.xlsx]CF PND'!</v>
      </c>
      <c r="G3423" s="6" t="s">
        <v>112</v>
      </c>
      <c r="H3423" s="1">
        <f t="shared" ref="H3423:H3442" si="787">IF(A3423&lt;&gt;A3422,36,H3422+1)</f>
        <v>37</v>
      </c>
      <c r="I3423" s="1" t="str">
        <f t="shared" si="786"/>
        <v>='C:\Users\jaime.benazar\Quorum Business Solutions\Ecopetrol Prometeo - Documents\Planning Space Implementation\3. Analysis &amp; Design\Design\FC22\DRR Jaime\Neiva CPI\[VAO_DINA TERCIARIOS_CF_SEC_20230117.xlsx]CF PND'!$BB$37</v>
      </c>
      <c r="J3423" s="1" t="s">
        <v>1687</v>
      </c>
    </row>
    <row r="3424" spans="1:10" x14ac:dyDescent="0.3">
      <c r="A3424" s="6" t="s">
        <v>16</v>
      </c>
      <c r="B3424" s="6">
        <f t="shared" ref="B3424:B3435" si="788">+B3423+1</f>
        <v>2025</v>
      </c>
      <c r="C3424" s="1" t="s">
        <v>28</v>
      </c>
      <c r="D3424" s="2" t="s">
        <v>131</v>
      </c>
      <c r="E3424" s="9" t="str">
        <f t="shared" si="784"/>
        <v>PND'!</v>
      </c>
      <c r="F3424" s="5" t="str">
        <f t="shared" si="785"/>
        <v>C:\Users\jaime.benazar\Quorum Business Solutions\Ecopetrol Prometeo - Documents\Planning Space Implementation\3. Analysis &amp; Design\Design\FC22\DRR Jaime\Neiva CPI\[VAO_DINA TERCIARIOS_CF_SEC_20230117.xlsx]CF PND'!</v>
      </c>
      <c r="G3424" s="6" t="s">
        <v>112</v>
      </c>
      <c r="H3424" s="1">
        <f t="shared" si="787"/>
        <v>38</v>
      </c>
      <c r="I3424" s="1" t="str">
        <f t="shared" si="786"/>
        <v>='C:\Users\jaime.benazar\Quorum Business Solutions\Ecopetrol Prometeo - Documents\Planning Space Implementation\3. Analysis &amp; Design\Design\FC22\DRR Jaime\Neiva CPI\[VAO_DINA TERCIARIOS_CF_SEC_20230117.xlsx]CF PND'!$BB$38</v>
      </c>
      <c r="J3424" s="1" t="s">
        <v>1688</v>
      </c>
    </row>
    <row r="3425" spans="1:10" x14ac:dyDescent="0.3">
      <c r="A3425" s="6" t="s">
        <v>16</v>
      </c>
      <c r="B3425" s="6">
        <f t="shared" si="788"/>
        <v>2026</v>
      </c>
      <c r="C3425" s="1" t="s">
        <v>28</v>
      </c>
      <c r="D3425" s="2" t="s">
        <v>131</v>
      </c>
      <c r="E3425" s="9" t="str">
        <f t="shared" si="784"/>
        <v>PND'!</v>
      </c>
      <c r="F3425" s="5" t="str">
        <f t="shared" si="785"/>
        <v>C:\Users\jaime.benazar\Quorum Business Solutions\Ecopetrol Prometeo - Documents\Planning Space Implementation\3. Analysis &amp; Design\Design\FC22\DRR Jaime\Neiva CPI\[VAO_DINA TERCIARIOS_CF_SEC_20230117.xlsx]CF PND'!</v>
      </c>
      <c r="G3425" s="6" t="s">
        <v>112</v>
      </c>
      <c r="H3425" s="1">
        <f t="shared" si="787"/>
        <v>39</v>
      </c>
      <c r="I3425" s="1" t="str">
        <f t="shared" si="786"/>
        <v>='C:\Users\jaime.benazar\Quorum Business Solutions\Ecopetrol Prometeo - Documents\Planning Space Implementation\3. Analysis &amp; Design\Design\FC22\DRR Jaime\Neiva CPI\[VAO_DINA TERCIARIOS_CF_SEC_20230117.xlsx]CF PND'!$BB$39</v>
      </c>
      <c r="J3425" s="1" t="s">
        <v>1689</v>
      </c>
    </row>
    <row r="3426" spans="1:10" x14ac:dyDescent="0.3">
      <c r="A3426" s="6" t="s">
        <v>16</v>
      </c>
      <c r="B3426" s="6">
        <f t="shared" si="788"/>
        <v>2027</v>
      </c>
      <c r="C3426" s="1" t="s">
        <v>28</v>
      </c>
      <c r="D3426" s="2" t="s">
        <v>131</v>
      </c>
      <c r="E3426" s="9" t="str">
        <f t="shared" si="784"/>
        <v>PND'!</v>
      </c>
      <c r="F3426" s="5" t="str">
        <f t="shared" si="785"/>
        <v>C:\Users\jaime.benazar\Quorum Business Solutions\Ecopetrol Prometeo - Documents\Planning Space Implementation\3. Analysis &amp; Design\Design\FC22\DRR Jaime\Neiva CPI\[VAO_DINA TERCIARIOS_CF_SEC_20230117.xlsx]CF PND'!</v>
      </c>
      <c r="G3426" s="6" t="s">
        <v>112</v>
      </c>
      <c r="H3426" s="1">
        <f t="shared" si="787"/>
        <v>40</v>
      </c>
      <c r="I3426" s="1" t="str">
        <f t="shared" si="786"/>
        <v>='C:\Users\jaime.benazar\Quorum Business Solutions\Ecopetrol Prometeo - Documents\Planning Space Implementation\3. Analysis &amp; Design\Design\FC22\DRR Jaime\Neiva CPI\[VAO_DINA TERCIARIOS_CF_SEC_20230117.xlsx]CF PND'!$BB$40</v>
      </c>
      <c r="J3426" s="1" t="s">
        <v>1690</v>
      </c>
    </row>
    <row r="3427" spans="1:10" x14ac:dyDescent="0.3">
      <c r="A3427" s="6" t="s">
        <v>16</v>
      </c>
      <c r="B3427" s="6">
        <f t="shared" si="788"/>
        <v>2028</v>
      </c>
      <c r="C3427" s="1" t="s">
        <v>28</v>
      </c>
      <c r="D3427" s="2" t="s">
        <v>131</v>
      </c>
      <c r="E3427" s="9" t="str">
        <f t="shared" si="784"/>
        <v>PND'!</v>
      </c>
      <c r="F3427" s="5" t="str">
        <f t="shared" si="785"/>
        <v>C:\Users\jaime.benazar\Quorum Business Solutions\Ecopetrol Prometeo - Documents\Planning Space Implementation\3. Analysis &amp; Design\Design\FC22\DRR Jaime\Neiva CPI\[VAO_DINA TERCIARIOS_CF_SEC_20230117.xlsx]CF PND'!</v>
      </c>
      <c r="G3427" s="6" t="s">
        <v>112</v>
      </c>
      <c r="H3427" s="1">
        <f t="shared" si="787"/>
        <v>41</v>
      </c>
      <c r="I3427" s="1" t="str">
        <f t="shared" si="786"/>
        <v>='C:\Users\jaime.benazar\Quorum Business Solutions\Ecopetrol Prometeo - Documents\Planning Space Implementation\3. Analysis &amp; Design\Design\FC22\DRR Jaime\Neiva CPI\[VAO_DINA TERCIARIOS_CF_SEC_20230117.xlsx]CF PND'!$BB$41</v>
      </c>
      <c r="J3427" s="1" t="s">
        <v>1691</v>
      </c>
    </row>
    <row r="3428" spans="1:10" x14ac:dyDescent="0.3">
      <c r="A3428" s="6" t="s">
        <v>16</v>
      </c>
      <c r="B3428" s="6">
        <f t="shared" si="788"/>
        <v>2029</v>
      </c>
      <c r="C3428" s="1" t="s">
        <v>28</v>
      </c>
      <c r="D3428" s="2" t="s">
        <v>131</v>
      </c>
      <c r="E3428" s="9" t="str">
        <f t="shared" si="784"/>
        <v>PND'!</v>
      </c>
      <c r="F3428" s="5" t="str">
        <f t="shared" si="785"/>
        <v>C:\Users\jaime.benazar\Quorum Business Solutions\Ecopetrol Prometeo - Documents\Planning Space Implementation\3. Analysis &amp; Design\Design\FC22\DRR Jaime\Neiva CPI\[VAO_DINA TERCIARIOS_CF_SEC_20230117.xlsx]CF PND'!</v>
      </c>
      <c r="G3428" s="6" t="s">
        <v>112</v>
      </c>
      <c r="H3428" s="1">
        <f t="shared" si="787"/>
        <v>42</v>
      </c>
      <c r="I3428" s="1" t="str">
        <f t="shared" si="786"/>
        <v>='C:\Users\jaime.benazar\Quorum Business Solutions\Ecopetrol Prometeo - Documents\Planning Space Implementation\3. Analysis &amp; Design\Design\FC22\DRR Jaime\Neiva CPI\[VAO_DINA TERCIARIOS_CF_SEC_20230117.xlsx]CF PND'!$BB$42</v>
      </c>
      <c r="J3428" s="1" t="s">
        <v>1692</v>
      </c>
    </row>
    <row r="3429" spans="1:10" x14ac:dyDescent="0.3">
      <c r="A3429" s="6" t="s">
        <v>16</v>
      </c>
      <c r="B3429" s="6">
        <f t="shared" si="788"/>
        <v>2030</v>
      </c>
      <c r="C3429" s="1" t="s">
        <v>28</v>
      </c>
      <c r="D3429" s="2" t="s">
        <v>131</v>
      </c>
      <c r="E3429" s="9" t="str">
        <f t="shared" si="784"/>
        <v>PND'!</v>
      </c>
      <c r="F3429" s="5" t="str">
        <f t="shared" si="785"/>
        <v>C:\Users\jaime.benazar\Quorum Business Solutions\Ecopetrol Prometeo - Documents\Planning Space Implementation\3. Analysis &amp; Design\Design\FC22\DRR Jaime\Neiva CPI\[VAO_DINA TERCIARIOS_CF_SEC_20230117.xlsx]CF PND'!</v>
      </c>
      <c r="G3429" s="6" t="s">
        <v>112</v>
      </c>
      <c r="H3429" s="1">
        <f t="shared" si="787"/>
        <v>43</v>
      </c>
      <c r="I3429" s="1" t="str">
        <f t="shared" si="786"/>
        <v>='C:\Users\jaime.benazar\Quorum Business Solutions\Ecopetrol Prometeo - Documents\Planning Space Implementation\3. Analysis &amp; Design\Design\FC22\DRR Jaime\Neiva CPI\[VAO_DINA TERCIARIOS_CF_SEC_20230117.xlsx]CF PND'!$BB$43</v>
      </c>
      <c r="J3429" s="1" t="s">
        <v>1693</v>
      </c>
    </row>
    <row r="3430" spans="1:10" x14ac:dyDescent="0.3">
      <c r="A3430" s="6" t="s">
        <v>16</v>
      </c>
      <c r="B3430" s="6">
        <f t="shared" si="788"/>
        <v>2031</v>
      </c>
      <c r="C3430" s="1" t="s">
        <v>28</v>
      </c>
      <c r="D3430" s="2" t="s">
        <v>131</v>
      </c>
      <c r="E3430" s="9" t="str">
        <f t="shared" si="784"/>
        <v>PND'!</v>
      </c>
      <c r="F3430" s="5" t="str">
        <f t="shared" si="785"/>
        <v>C:\Users\jaime.benazar\Quorum Business Solutions\Ecopetrol Prometeo - Documents\Planning Space Implementation\3. Analysis &amp; Design\Design\FC22\DRR Jaime\Neiva CPI\[VAO_DINA TERCIARIOS_CF_SEC_20230117.xlsx]CF PND'!</v>
      </c>
      <c r="G3430" s="6" t="s">
        <v>112</v>
      </c>
      <c r="H3430" s="1">
        <f t="shared" si="787"/>
        <v>44</v>
      </c>
      <c r="I3430" s="1" t="str">
        <f t="shared" si="786"/>
        <v>='C:\Users\jaime.benazar\Quorum Business Solutions\Ecopetrol Prometeo - Documents\Planning Space Implementation\3. Analysis &amp; Design\Design\FC22\DRR Jaime\Neiva CPI\[VAO_DINA TERCIARIOS_CF_SEC_20230117.xlsx]CF PND'!$BB$44</v>
      </c>
      <c r="J3430" s="1" t="s">
        <v>1694</v>
      </c>
    </row>
    <row r="3431" spans="1:10" x14ac:dyDescent="0.3">
      <c r="A3431" s="6" t="s">
        <v>16</v>
      </c>
      <c r="B3431" s="6">
        <f t="shared" si="788"/>
        <v>2032</v>
      </c>
      <c r="C3431" s="1" t="s">
        <v>28</v>
      </c>
      <c r="D3431" s="2" t="s">
        <v>131</v>
      </c>
      <c r="E3431" s="9" t="str">
        <f t="shared" si="784"/>
        <v>PND'!</v>
      </c>
      <c r="F3431" s="5" t="str">
        <f t="shared" si="785"/>
        <v>C:\Users\jaime.benazar\Quorum Business Solutions\Ecopetrol Prometeo - Documents\Planning Space Implementation\3. Analysis &amp; Design\Design\FC22\DRR Jaime\Neiva CPI\[VAO_DINA TERCIARIOS_CF_SEC_20230117.xlsx]CF PND'!</v>
      </c>
      <c r="G3431" s="6" t="s">
        <v>112</v>
      </c>
      <c r="H3431" s="1">
        <f t="shared" si="787"/>
        <v>45</v>
      </c>
      <c r="I3431" s="1" t="str">
        <f t="shared" si="786"/>
        <v>='C:\Users\jaime.benazar\Quorum Business Solutions\Ecopetrol Prometeo - Documents\Planning Space Implementation\3. Analysis &amp; Design\Design\FC22\DRR Jaime\Neiva CPI\[VAO_DINA TERCIARIOS_CF_SEC_20230117.xlsx]CF PND'!$BB$45</v>
      </c>
      <c r="J3431" s="1" t="s">
        <v>1695</v>
      </c>
    </row>
    <row r="3432" spans="1:10" x14ac:dyDescent="0.3">
      <c r="A3432" s="6" t="s">
        <v>16</v>
      </c>
      <c r="B3432" s="6">
        <f t="shared" si="788"/>
        <v>2033</v>
      </c>
      <c r="C3432" s="1" t="s">
        <v>28</v>
      </c>
      <c r="D3432" s="2" t="s">
        <v>131</v>
      </c>
      <c r="E3432" s="9" t="str">
        <f t="shared" si="784"/>
        <v>PND'!</v>
      </c>
      <c r="F3432" s="5" t="str">
        <f t="shared" si="785"/>
        <v>C:\Users\jaime.benazar\Quorum Business Solutions\Ecopetrol Prometeo - Documents\Planning Space Implementation\3. Analysis &amp; Design\Design\FC22\DRR Jaime\Neiva CPI\[VAO_DINA TERCIARIOS_CF_SEC_20230117.xlsx]CF PND'!</v>
      </c>
      <c r="G3432" s="6" t="s">
        <v>112</v>
      </c>
      <c r="H3432" s="1">
        <f t="shared" si="787"/>
        <v>46</v>
      </c>
      <c r="I3432" s="1" t="str">
        <f t="shared" si="786"/>
        <v>='C:\Users\jaime.benazar\Quorum Business Solutions\Ecopetrol Prometeo - Documents\Planning Space Implementation\3. Analysis &amp; Design\Design\FC22\DRR Jaime\Neiva CPI\[VAO_DINA TERCIARIOS_CF_SEC_20230117.xlsx]CF PND'!$BB$46</v>
      </c>
      <c r="J3432" s="1" t="s">
        <v>1696</v>
      </c>
    </row>
    <row r="3433" spans="1:10" x14ac:dyDescent="0.3">
      <c r="A3433" s="6" t="s">
        <v>16</v>
      </c>
      <c r="B3433" s="6">
        <f t="shared" si="788"/>
        <v>2034</v>
      </c>
      <c r="C3433" s="1" t="s">
        <v>28</v>
      </c>
      <c r="D3433" s="2" t="s">
        <v>131</v>
      </c>
      <c r="E3433" s="9" t="str">
        <f t="shared" si="784"/>
        <v>PND'!</v>
      </c>
      <c r="F3433" s="5" t="str">
        <f t="shared" si="785"/>
        <v>C:\Users\jaime.benazar\Quorum Business Solutions\Ecopetrol Prometeo - Documents\Planning Space Implementation\3. Analysis &amp; Design\Design\FC22\DRR Jaime\Neiva CPI\[VAO_DINA TERCIARIOS_CF_SEC_20230117.xlsx]CF PND'!</v>
      </c>
      <c r="G3433" s="6" t="s">
        <v>112</v>
      </c>
      <c r="H3433" s="1">
        <f t="shared" si="787"/>
        <v>47</v>
      </c>
      <c r="I3433" s="1" t="str">
        <f t="shared" si="786"/>
        <v>='C:\Users\jaime.benazar\Quorum Business Solutions\Ecopetrol Prometeo - Documents\Planning Space Implementation\3. Analysis &amp; Design\Design\FC22\DRR Jaime\Neiva CPI\[VAO_DINA TERCIARIOS_CF_SEC_20230117.xlsx]CF PND'!$BB$47</v>
      </c>
      <c r="J3433" s="1" t="s">
        <v>1697</v>
      </c>
    </row>
    <row r="3434" spans="1:10" x14ac:dyDescent="0.3">
      <c r="A3434" s="6" t="s">
        <v>16</v>
      </c>
      <c r="B3434" s="6">
        <f t="shared" si="788"/>
        <v>2035</v>
      </c>
      <c r="C3434" s="1" t="s">
        <v>28</v>
      </c>
      <c r="D3434" s="2" t="s">
        <v>131</v>
      </c>
      <c r="E3434" s="9" t="str">
        <f t="shared" si="784"/>
        <v>PND'!</v>
      </c>
      <c r="F3434" s="5" t="str">
        <f t="shared" si="785"/>
        <v>C:\Users\jaime.benazar\Quorum Business Solutions\Ecopetrol Prometeo - Documents\Planning Space Implementation\3. Analysis &amp; Design\Design\FC22\DRR Jaime\Neiva CPI\[VAO_DINA TERCIARIOS_CF_SEC_20230117.xlsx]CF PND'!</v>
      </c>
      <c r="G3434" s="6" t="s">
        <v>112</v>
      </c>
      <c r="H3434" s="1">
        <f t="shared" si="787"/>
        <v>48</v>
      </c>
      <c r="I3434" s="1" t="str">
        <f t="shared" si="786"/>
        <v>='C:\Users\jaime.benazar\Quorum Business Solutions\Ecopetrol Prometeo - Documents\Planning Space Implementation\3. Analysis &amp; Design\Design\FC22\DRR Jaime\Neiva CPI\[VAO_DINA TERCIARIOS_CF_SEC_20230117.xlsx]CF PND'!$BB$48</v>
      </c>
      <c r="J3434" s="1" t="s">
        <v>1698</v>
      </c>
    </row>
    <row r="3435" spans="1:10" x14ac:dyDescent="0.3">
      <c r="A3435" s="6" t="s">
        <v>16</v>
      </c>
      <c r="B3435" s="6">
        <f t="shared" si="788"/>
        <v>2036</v>
      </c>
      <c r="C3435" s="1" t="s">
        <v>28</v>
      </c>
      <c r="D3435" s="2" t="s">
        <v>131</v>
      </c>
      <c r="E3435" s="9" t="str">
        <f t="shared" si="784"/>
        <v>PND'!</v>
      </c>
      <c r="F3435" s="5" t="str">
        <f t="shared" si="785"/>
        <v>C:\Users\jaime.benazar\Quorum Business Solutions\Ecopetrol Prometeo - Documents\Planning Space Implementation\3. Analysis &amp; Design\Design\FC22\DRR Jaime\Neiva CPI\[VAO_DINA TERCIARIOS_CF_SEC_20230117.xlsx]CF PND'!</v>
      </c>
      <c r="G3435" s="6" t="s">
        <v>112</v>
      </c>
      <c r="H3435" s="1">
        <f t="shared" si="787"/>
        <v>49</v>
      </c>
      <c r="I3435" s="1" t="str">
        <f t="shared" si="786"/>
        <v>='C:\Users\jaime.benazar\Quorum Business Solutions\Ecopetrol Prometeo - Documents\Planning Space Implementation\3. Analysis &amp; Design\Design\FC22\DRR Jaime\Neiva CPI\[VAO_DINA TERCIARIOS_CF_SEC_20230117.xlsx]CF PND'!$BB$49</v>
      </c>
      <c r="J3435" s="1" t="s">
        <v>1699</v>
      </c>
    </row>
    <row r="3436" spans="1:10" x14ac:dyDescent="0.3">
      <c r="A3436" s="6" t="s">
        <v>16</v>
      </c>
      <c r="B3436" s="6">
        <f>+B3435+1</f>
        <v>2037</v>
      </c>
      <c r="C3436" s="1" t="s">
        <v>28</v>
      </c>
      <c r="D3436" s="2" t="s">
        <v>131</v>
      </c>
      <c r="E3436" s="9" t="str">
        <f t="shared" si="784"/>
        <v>PND'!</v>
      </c>
      <c r="F3436" s="5" t="str">
        <f t="shared" si="785"/>
        <v>C:\Users\jaime.benazar\Quorum Business Solutions\Ecopetrol Prometeo - Documents\Planning Space Implementation\3. Analysis &amp; Design\Design\FC22\DRR Jaime\Neiva CPI\[VAO_DINA TERCIARIOS_CF_SEC_20230117.xlsx]CF PND'!</v>
      </c>
      <c r="G3436" s="6" t="s">
        <v>112</v>
      </c>
      <c r="H3436" s="1">
        <f t="shared" si="787"/>
        <v>50</v>
      </c>
      <c r="I3436" s="1" t="str">
        <f t="shared" si="786"/>
        <v>='C:\Users\jaime.benazar\Quorum Business Solutions\Ecopetrol Prometeo - Documents\Planning Space Implementation\3. Analysis &amp; Design\Design\FC22\DRR Jaime\Neiva CPI\[VAO_DINA TERCIARIOS_CF_SEC_20230117.xlsx]CF PND'!$BB$50</v>
      </c>
      <c r="J3436" s="1" t="s">
        <v>1700</v>
      </c>
    </row>
    <row r="3437" spans="1:10" x14ac:dyDescent="0.3">
      <c r="A3437" s="6" t="s">
        <v>16</v>
      </c>
      <c r="B3437" s="6">
        <f t="shared" ref="B3437:B3439" si="789">+B3436+1</f>
        <v>2038</v>
      </c>
      <c r="C3437" s="1" t="s">
        <v>28</v>
      </c>
      <c r="D3437" s="2" t="s">
        <v>131</v>
      </c>
      <c r="E3437" s="9" t="str">
        <f t="shared" si="784"/>
        <v>PND'!</v>
      </c>
      <c r="F3437" s="5" t="str">
        <f t="shared" si="785"/>
        <v>C:\Users\jaime.benazar\Quorum Business Solutions\Ecopetrol Prometeo - Documents\Planning Space Implementation\3. Analysis &amp; Design\Design\FC22\DRR Jaime\Neiva CPI\[VAO_DINA TERCIARIOS_CF_SEC_20230117.xlsx]CF PND'!</v>
      </c>
      <c r="G3437" s="6" t="s">
        <v>112</v>
      </c>
      <c r="H3437" s="1">
        <f t="shared" si="787"/>
        <v>51</v>
      </c>
      <c r="I3437" s="1" t="str">
        <f t="shared" si="786"/>
        <v>='C:\Users\jaime.benazar\Quorum Business Solutions\Ecopetrol Prometeo - Documents\Planning Space Implementation\3. Analysis &amp; Design\Design\FC22\DRR Jaime\Neiva CPI\[VAO_DINA TERCIARIOS_CF_SEC_20230117.xlsx]CF PND'!$BB$51</v>
      </c>
      <c r="J3437" s="1" t="s">
        <v>1701</v>
      </c>
    </row>
    <row r="3438" spans="1:10" x14ac:dyDescent="0.3">
      <c r="A3438" s="6" t="s">
        <v>16</v>
      </c>
      <c r="B3438" s="6">
        <f t="shared" si="789"/>
        <v>2039</v>
      </c>
      <c r="C3438" s="1" t="s">
        <v>28</v>
      </c>
      <c r="D3438" s="2" t="s">
        <v>131</v>
      </c>
      <c r="E3438" s="9" t="str">
        <f t="shared" si="784"/>
        <v>PND'!</v>
      </c>
      <c r="F3438" s="5" t="str">
        <f t="shared" si="785"/>
        <v>C:\Users\jaime.benazar\Quorum Business Solutions\Ecopetrol Prometeo - Documents\Planning Space Implementation\3. Analysis &amp; Design\Design\FC22\DRR Jaime\Neiva CPI\[VAO_DINA TERCIARIOS_CF_SEC_20230117.xlsx]CF PND'!</v>
      </c>
      <c r="G3438" s="6" t="s">
        <v>112</v>
      </c>
      <c r="H3438" s="1">
        <f t="shared" si="787"/>
        <v>52</v>
      </c>
      <c r="I3438" s="1" t="str">
        <f t="shared" si="786"/>
        <v>='C:\Users\jaime.benazar\Quorum Business Solutions\Ecopetrol Prometeo - Documents\Planning Space Implementation\3. Analysis &amp; Design\Design\FC22\DRR Jaime\Neiva CPI\[VAO_DINA TERCIARIOS_CF_SEC_20230117.xlsx]CF PND'!$BB$52</v>
      </c>
      <c r="J3438" s="1" t="s">
        <v>1702</v>
      </c>
    </row>
    <row r="3439" spans="1:10" x14ac:dyDescent="0.3">
      <c r="A3439" s="6" t="s">
        <v>16</v>
      </c>
      <c r="B3439" s="6">
        <f t="shared" si="789"/>
        <v>2040</v>
      </c>
      <c r="C3439" s="1" t="s">
        <v>28</v>
      </c>
      <c r="D3439" s="2" t="s">
        <v>131</v>
      </c>
      <c r="E3439" s="9" t="str">
        <f t="shared" si="784"/>
        <v>PND'!</v>
      </c>
      <c r="F3439" s="5" t="str">
        <f t="shared" si="785"/>
        <v>C:\Users\jaime.benazar\Quorum Business Solutions\Ecopetrol Prometeo - Documents\Planning Space Implementation\3. Analysis &amp; Design\Design\FC22\DRR Jaime\Neiva CPI\[VAO_DINA TERCIARIOS_CF_SEC_20230117.xlsx]CF PND'!</v>
      </c>
      <c r="G3439" s="6" t="s">
        <v>112</v>
      </c>
      <c r="H3439" s="1">
        <f t="shared" si="787"/>
        <v>53</v>
      </c>
      <c r="I3439" s="1" t="str">
        <f t="shared" si="786"/>
        <v>='C:\Users\jaime.benazar\Quorum Business Solutions\Ecopetrol Prometeo - Documents\Planning Space Implementation\3. Analysis &amp; Design\Design\FC22\DRR Jaime\Neiva CPI\[VAO_DINA TERCIARIOS_CF_SEC_20230117.xlsx]CF PND'!$BB$53</v>
      </c>
      <c r="J3439" s="1" t="s">
        <v>1703</v>
      </c>
    </row>
    <row r="3440" spans="1:10" x14ac:dyDescent="0.3">
      <c r="A3440" s="6" t="s">
        <v>16</v>
      </c>
      <c r="B3440" s="6">
        <f>+B3439+1</f>
        <v>2041</v>
      </c>
      <c r="C3440" s="1" t="s">
        <v>28</v>
      </c>
      <c r="D3440" s="2" t="s">
        <v>131</v>
      </c>
      <c r="E3440" s="9" t="str">
        <f t="shared" si="784"/>
        <v>PND'!</v>
      </c>
      <c r="F3440" s="5" t="str">
        <f t="shared" si="785"/>
        <v>C:\Users\jaime.benazar\Quorum Business Solutions\Ecopetrol Prometeo - Documents\Planning Space Implementation\3. Analysis &amp; Design\Design\FC22\DRR Jaime\Neiva CPI\[VAO_DINA TERCIARIOS_CF_SEC_20230117.xlsx]CF PND'!</v>
      </c>
      <c r="G3440" s="6" t="s">
        <v>112</v>
      </c>
      <c r="H3440" s="1">
        <f t="shared" si="787"/>
        <v>54</v>
      </c>
      <c r="I3440" s="1" t="str">
        <f t="shared" si="786"/>
        <v>='C:\Users\jaime.benazar\Quorum Business Solutions\Ecopetrol Prometeo - Documents\Planning Space Implementation\3. Analysis &amp; Design\Design\FC22\DRR Jaime\Neiva CPI\[VAO_DINA TERCIARIOS_CF_SEC_20230117.xlsx]CF PND'!$BB$54</v>
      </c>
      <c r="J3440" s="1" t="s">
        <v>1704</v>
      </c>
    </row>
    <row r="3441" spans="1:10" x14ac:dyDescent="0.3">
      <c r="A3441" s="6" t="s">
        <v>16</v>
      </c>
      <c r="B3441" s="6">
        <f t="shared" ref="B3441:B3442" si="790">+B3440+1</f>
        <v>2042</v>
      </c>
      <c r="C3441" s="1" t="s">
        <v>28</v>
      </c>
      <c r="D3441" s="2" t="s">
        <v>131</v>
      </c>
      <c r="E3441" s="9" t="str">
        <f t="shared" si="784"/>
        <v>PND'!</v>
      </c>
      <c r="F3441" s="5" t="str">
        <f t="shared" si="785"/>
        <v>C:\Users\jaime.benazar\Quorum Business Solutions\Ecopetrol Prometeo - Documents\Planning Space Implementation\3. Analysis &amp; Design\Design\FC22\DRR Jaime\Neiva CPI\[VAO_DINA TERCIARIOS_CF_SEC_20230117.xlsx]CF PND'!</v>
      </c>
      <c r="G3441" s="6" t="s">
        <v>112</v>
      </c>
      <c r="H3441" s="1">
        <f t="shared" si="787"/>
        <v>55</v>
      </c>
      <c r="I3441" s="1" t="str">
        <f t="shared" si="786"/>
        <v>='C:\Users\jaime.benazar\Quorum Business Solutions\Ecopetrol Prometeo - Documents\Planning Space Implementation\3. Analysis &amp; Design\Design\FC22\DRR Jaime\Neiva CPI\[VAO_DINA TERCIARIOS_CF_SEC_20230117.xlsx]CF PND'!$BB$55</v>
      </c>
      <c r="J3441" s="1" t="s">
        <v>1705</v>
      </c>
    </row>
    <row r="3442" spans="1:10" x14ac:dyDescent="0.3">
      <c r="A3442" s="6" t="s">
        <v>16</v>
      </c>
      <c r="B3442" s="6">
        <f t="shared" si="790"/>
        <v>2043</v>
      </c>
      <c r="C3442" s="1" t="s">
        <v>28</v>
      </c>
      <c r="D3442" s="2" t="s">
        <v>131</v>
      </c>
      <c r="E3442" s="9" t="str">
        <f t="shared" si="784"/>
        <v>PND'!</v>
      </c>
      <c r="F3442" s="5" t="str">
        <f t="shared" si="785"/>
        <v>C:\Users\jaime.benazar\Quorum Business Solutions\Ecopetrol Prometeo - Documents\Planning Space Implementation\3. Analysis &amp; Design\Design\FC22\DRR Jaime\Neiva CPI\[VAO_DINA TERCIARIOS_CF_SEC_20230117.xlsx]CF PND'!</v>
      </c>
      <c r="G3442" s="6" t="s">
        <v>112</v>
      </c>
      <c r="H3442" s="1">
        <f t="shared" si="787"/>
        <v>56</v>
      </c>
      <c r="I3442" s="1" t="str">
        <f t="shared" si="786"/>
        <v>='C:\Users\jaime.benazar\Quorum Business Solutions\Ecopetrol Prometeo - Documents\Planning Space Implementation\3. Analysis &amp; Design\Design\FC22\DRR Jaime\Neiva CPI\[VAO_DINA TERCIARIOS_CF_SEC_20230117.xlsx]CF PND'!$BB$56</v>
      </c>
      <c r="J3442" s="1" t="s">
        <v>1706</v>
      </c>
    </row>
    <row r="3443" spans="1:10" x14ac:dyDescent="0.3">
      <c r="A3443" s="6" t="s">
        <v>16</v>
      </c>
      <c r="B3443" s="6">
        <f>+B3442+1</f>
        <v>2044</v>
      </c>
      <c r="C3443" s="1" t="s">
        <v>28</v>
      </c>
      <c r="D3443" s="2" t="s">
        <v>131</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Jaime\Neiva CPI\[VAO_DINA TERCIARIOS_CF_SEC_20230117.xlsx]CF PND'!</v>
      </c>
      <c r="G3443" s="6" t="s">
        <v>112</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Jaime\Neiva CPI\[VAO_DINA TERCIARIOS_CF_SEC_20230117.xlsx]CF PND'!$BB$57</v>
      </c>
      <c r="J3443" s="1" t="s">
        <v>1707</v>
      </c>
    </row>
    <row r="3444" spans="1:10" x14ac:dyDescent="0.3">
      <c r="A3444" s="6" t="s">
        <v>16</v>
      </c>
      <c r="B3444" s="6">
        <f t="shared" ref="B3444:B3458" si="795">+B3443+1</f>
        <v>2045</v>
      </c>
      <c r="C3444" s="1" t="s">
        <v>28</v>
      </c>
      <c r="D3444" s="2" t="s">
        <v>131</v>
      </c>
      <c r="E3444" s="9" t="str">
        <f t="shared" si="791"/>
        <v>PND'!</v>
      </c>
      <c r="F3444" s="5" t="str">
        <f t="shared" si="792"/>
        <v>C:\Users\jaime.benazar\Quorum Business Solutions\Ecopetrol Prometeo - Documents\Planning Space Implementation\3. Analysis &amp; Design\Design\FC22\DRR Jaime\Neiva CPI\[VAO_DINA TERCIARIOS_CF_SEC_20230117.xlsx]CF PND'!</v>
      </c>
      <c r="G3444" s="6" t="s">
        <v>112</v>
      </c>
      <c r="H3444" s="1">
        <f t="shared" si="793"/>
        <v>58</v>
      </c>
      <c r="I3444" s="1" t="str">
        <f t="shared" si="794"/>
        <v>='C:\Users\jaime.benazar\Quorum Business Solutions\Ecopetrol Prometeo - Documents\Planning Space Implementation\3. Analysis &amp; Design\Design\FC22\DRR Jaime\Neiva CPI\[VAO_DINA TERCIARIOS_CF_SEC_20230117.xlsx]CF PND'!$BB$58</v>
      </c>
      <c r="J3444" s="1" t="s">
        <v>1708</v>
      </c>
    </row>
    <row r="3445" spans="1:10" x14ac:dyDescent="0.3">
      <c r="A3445" s="6" t="s">
        <v>16</v>
      </c>
      <c r="B3445" s="6">
        <f t="shared" si="795"/>
        <v>2046</v>
      </c>
      <c r="C3445" s="1" t="s">
        <v>28</v>
      </c>
      <c r="D3445" s="2" t="s">
        <v>131</v>
      </c>
      <c r="E3445" s="9" t="str">
        <f t="shared" si="791"/>
        <v>PND'!</v>
      </c>
      <c r="F3445" s="5" t="str">
        <f t="shared" si="792"/>
        <v>C:\Users\jaime.benazar\Quorum Business Solutions\Ecopetrol Prometeo - Documents\Planning Space Implementation\3. Analysis &amp; Design\Design\FC22\DRR Jaime\Neiva CPI\[VAO_DINA TERCIARIOS_CF_SEC_20230117.xlsx]CF PND'!</v>
      </c>
      <c r="G3445" s="6" t="s">
        <v>112</v>
      </c>
      <c r="H3445" s="1">
        <f t="shared" si="793"/>
        <v>59</v>
      </c>
      <c r="I3445" s="1" t="str">
        <f t="shared" si="794"/>
        <v>='C:\Users\jaime.benazar\Quorum Business Solutions\Ecopetrol Prometeo - Documents\Planning Space Implementation\3. Analysis &amp; Design\Design\FC22\DRR Jaime\Neiva CPI\[VAO_DINA TERCIARIOS_CF_SEC_20230117.xlsx]CF PND'!$BB$59</v>
      </c>
      <c r="J3445" s="1" t="s">
        <v>1709</v>
      </c>
    </row>
    <row r="3446" spans="1:10" x14ac:dyDescent="0.3">
      <c r="A3446" s="6" t="s">
        <v>16</v>
      </c>
      <c r="B3446" s="6">
        <f t="shared" si="795"/>
        <v>2047</v>
      </c>
      <c r="C3446" s="1" t="s">
        <v>28</v>
      </c>
      <c r="D3446" s="2" t="s">
        <v>131</v>
      </c>
      <c r="E3446" s="9" t="str">
        <f t="shared" si="791"/>
        <v>PND'!</v>
      </c>
      <c r="F3446" s="5" t="str">
        <f t="shared" si="792"/>
        <v>C:\Users\jaime.benazar\Quorum Business Solutions\Ecopetrol Prometeo - Documents\Planning Space Implementation\3. Analysis &amp; Design\Design\FC22\DRR Jaime\Neiva CPI\[VAO_DINA TERCIARIOS_CF_SEC_20230117.xlsx]CF PND'!</v>
      </c>
      <c r="G3446" s="6" t="s">
        <v>112</v>
      </c>
      <c r="H3446" s="1">
        <f t="shared" si="793"/>
        <v>60</v>
      </c>
      <c r="I3446" s="1" t="str">
        <f t="shared" si="794"/>
        <v>='C:\Users\jaime.benazar\Quorum Business Solutions\Ecopetrol Prometeo - Documents\Planning Space Implementation\3. Analysis &amp; Design\Design\FC22\DRR Jaime\Neiva CPI\[VAO_DINA TERCIARIOS_CF_SEC_20230117.xlsx]CF PND'!$BB$60</v>
      </c>
      <c r="J3446" s="1" t="s">
        <v>1710</v>
      </c>
    </row>
    <row r="3447" spans="1:10" x14ac:dyDescent="0.3">
      <c r="A3447" s="6" t="s">
        <v>16</v>
      </c>
      <c r="B3447" s="6">
        <f t="shared" si="795"/>
        <v>2048</v>
      </c>
      <c r="C3447" s="1" t="s">
        <v>28</v>
      </c>
      <c r="D3447" s="2" t="s">
        <v>131</v>
      </c>
      <c r="E3447" s="9" t="str">
        <f t="shared" si="791"/>
        <v>PND'!</v>
      </c>
      <c r="F3447" s="5" t="str">
        <f t="shared" si="792"/>
        <v>C:\Users\jaime.benazar\Quorum Business Solutions\Ecopetrol Prometeo - Documents\Planning Space Implementation\3. Analysis &amp; Design\Design\FC22\DRR Jaime\Neiva CPI\[VAO_DINA TERCIARIOS_CF_SEC_20230117.xlsx]CF PND'!</v>
      </c>
      <c r="G3447" s="6" t="s">
        <v>112</v>
      </c>
      <c r="H3447" s="1">
        <f t="shared" si="793"/>
        <v>61</v>
      </c>
      <c r="I3447" s="1" t="str">
        <f t="shared" si="794"/>
        <v>='C:\Users\jaime.benazar\Quorum Business Solutions\Ecopetrol Prometeo - Documents\Planning Space Implementation\3. Analysis &amp; Design\Design\FC22\DRR Jaime\Neiva CPI\[VAO_DINA TERCIARIOS_CF_SEC_20230117.xlsx]CF PND'!$BB$61</v>
      </c>
      <c r="J3447" s="1" t="s">
        <v>1711</v>
      </c>
    </row>
    <row r="3448" spans="1:10" x14ac:dyDescent="0.3">
      <c r="A3448" s="6" t="s">
        <v>16</v>
      </c>
      <c r="B3448" s="6">
        <f t="shared" si="795"/>
        <v>2049</v>
      </c>
      <c r="C3448" s="1" t="s">
        <v>28</v>
      </c>
      <c r="D3448" s="2" t="s">
        <v>131</v>
      </c>
      <c r="E3448" s="9" t="str">
        <f t="shared" si="791"/>
        <v>PND'!</v>
      </c>
      <c r="F3448" s="5" t="str">
        <f t="shared" si="792"/>
        <v>C:\Users\jaime.benazar\Quorum Business Solutions\Ecopetrol Prometeo - Documents\Planning Space Implementation\3. Analysis &amp; Design\Design\FC22\DRR Jaime\Neiva CPI\[VAO_DINA TERCIARIOS_CF_SEC_20230117.xlsx]CF PND'!</v>
      </c>
      <c r="G3448" s="6" t="s">
        <v>112</v>
      </c>
      <c r="H3448" s="1">
        <f t="shared" si="793"/>
        <v>62</v>
      </c>
      <c r="I3448" s="1" t="str">
        <f t="shared" si="794"/>
        <v>='C:\Users\jaime.benazar\Quorum Business Solutions\Ecopetrol Prometeo - Documents\Planning Space Implementation\3. Analysis &amp; Design\Design\FC22\DRR Jaime\Neiva CPI\[VAO_DINA TERCIARIOS_CF_SEC_20230117.xlsx]CF PND'!$BB$62</v>
      </c>
      <c r="J3448" s="1" t="s">
        <v>1712</v>
      </c>
    </row>
    <row r="3449" spans="1:10" x14ac:dyDescent="0.3">
      <c r="A3449" s="6" t="s">
        <v>16</v>
      </c>
      <c r="B3449" s="6">
        <f t="shared" si="795"/>
        <v>2050</v>
      </c>
      <c r="C3449" s="1" t="s">
        <v>28</v>
      </c>
      <c r="D3449" s="2" t="s">
        <v>131</v>
      </c>
      <c r="E3449" s="9" t="str">
        <f t="shared" si="791"/>
        <v>PND'!</v>
      </c>
      <c r="F3449" s="5" t="str">
        <f t="shared" si="792"/>
        <v>C:\Users\jaime.benazar\Quorum Business Solutions\Ecopetrol Prometeo - Documents\Planning Space Implementation\3. Analysis &amp; Design\Design\FC22\DRR Jaime\Neiva CPI\[VAO_DINA TERCIARIOS_CF_SEC_20230117.xlsx]CF PND'!</v>
      </c>
      <c r="G3449" s="6" t="s">
        <v>112</v>
      </c>
      <c r="H3449" s="1">
        <f t="shared" si="793"/>
        <v>63</v>
      </c>
      <c r="I3449" s="1" t="str">
        <f t="shared" si="794"/>
        <v>='C:\Users\jaime.benazar\Quorum Business Solutions\Ecopetrol Prometeo - Documents\Planning Space Implementation\3. Analysis &amp; Design\Design\FC22\DRR Jaime\Neiva CPI\[VAO_DINA TERCIARIOS_CF_SEC_20230117.xlsx]CF PND'!$BB$63</v>
      </c>
      <c r="J3449" s="1" t="s">
        <v>1713</v>
      </c>
    </row>
    <row r="3450" spans="1:10" x14ac:dyDescent="0.3">
      <c r="A3450" s="6" t="s">
        <v>16</v>
      </c>
      <c r="B3450" s="6">
        <f t="shared" si="795"/>
        <v>2051</v>
      </c>
      <c r="C3450" s="1" t="s">
        <v>28</v>
      </c>
      <c r="D3450" s="2" t="s">
        <v>131</v>
      </c>
      <c r="E3450" s="9" t="str">
        <f t="shared" si="791"/>
        <v>PND'!</v>
      </c>
      <c r="F3450" s="5" t="str">
        <f t="shared" si="792"/>
        <v>C:\Users\jaime.benazar\Quorum Business Solutions\Ecopetrol Prometeo - Documents\Planning Space Implementation\3. Analysis &amp; Design\Design\FC22\DRR Jaime\Neiva CPI\[VAO_DINA TERCIARIOS_CF_SEC_20230117.xlsx]CF PND'!</v>
      </c>
      <c r="G3450" s="6" t="s">
        <v>112</v>
      </c>
      <c r="H3450" s="1">
        <f t="shared" si="793"/>
        <v>64</v>
      </c>
      <c r="I3450" s="1" t="str">
        <f t="shared" si="794"/>
        <v>='C:\Users\jaime.benazar\Quorum Business Solutions\Ecopetrol Prometeo - Documents\Planning Space Implementation\3. Analysis &amp; Design\Design\FC22\DRR Jaime\Neiva CPI\[VAO_DINA TERCIARIOS_CF_SEC_20230117.xlsx]CF PND'!$BB$64</v>
      </c>
      <c r="J3450" s="1" t="s">
        <v>1714</v>
      </c>
    </row>
    <row r="3451" spans="1:10" x14ac:dyDescent="0.3">
      <c r="A3451" s="6" t="s">
        <v>16</v>
      </c>
      <c r="B3451" s="6">
        <f t="shared" si="795"/>
        <v>2052</v>
      </c>
      <c r="C3451" s="1" t="s">
        <v>28</v>
      </c>
      <c r="D3451" s="2" t="s">
        <v>131</v>
      </c>
      <c r="E3451" s="9" t="str">
        <f t="shared" si="791"/>
        <v>PND'!</v>
      </c>
      <c r="F3451" s="5" t="str">
        <f t="shared" si="792"/>
        <v>C:\Users\jaime.benazar\Quorum Business Solutions\Ecopetrol Prometeo - Documents\Planning Space Implementation\3. Analysis &amp; Design\Design\FC22\DRR Jaime\Neiva CPI\[VAO_DINA TERCIARIOS_CF_SEC_20230117.xlsx]CF PND'!</v>
      </c>
      <c r="G3451" s="6" t="s">
        <v>112</v>
      </c>
      <c r="H3451" s="1">
        <f t="shared" si="793"/>
        <v>65</v>
      </c>
      <c r="I3451" s="1" t="str">
        <f t="shared" si="794"/>
        <v>='C:\Users\jaime.benazar\Quorum Business Solutions\Ecopetrol Prometeo - Documents\Planning Space Implementation\3. Analysis &amp; Design\Design\FC22\DRR Jaime\Neiva CPI\[VAO_DINA TERCIARIOS_CF_SEC_20230117.xlsx]CF PND'!$BB$65</v>
      </c>
      <c r="J3451" s="1" t="s">
        <v>1715</v>
      </c>
    </row>
    <row r="3452" spans="1:10" x14ac:dyDescent="0.3">
      <c r="A3452" s="6" t="s">
        <v>16</v>
      </c>
      <c r="B3452" s="6">
        <f t="shared" si="795"/>
        <v>2053</v>
      </c>
      <c r="C3452" s="1" t="s">
        <v>28</v>
      </c>
      <c r="D3452" s="2" t="s">
        <v>131</v>
      </c>
      <c r="E3452" s="9" t="str">
        <f t="shared" si="791"/>
        <v>PND'!</v>
      </c>
      <c r="F3452" s="5" t="str">
        <f t="shared" si="792"/>
        <v>C:\Users\jaime.benazar\Quorum Business Solutions\Ecopetrol Prometeo - Documents\Planning Space Implementation\3. Analysis &amp; Design\Design\FC22\DRR Jaime\Neiva CPI\[VAO_DINA TERCIARIOS_CF_SEC_20230117.xlsx]CF PND'!</v>
      </c>
      <c r="G3452" s="6" t="s">
        <v>112</v>
      </c>
      <c r="H3452" s="1">
        <f t="shared" si="793"/>
        <v>66</v>
      </c>
      <c r="I3452" s="1" t="str">
        <f t="shared" si="794"/>
        <v>='C:\Users\jaime.benazar\Quorum Business Solutions\Ecopetrol Prometeo - Documents\Planning Space Implementation\3. Analysis &amp; Design\Design\FC22\DRR Jaime\Neiva CPI\[VAO_DINA TERCIARIOS_CF_SEC_20230117.xlsx]CF PND'!$BB$66</v>
      </c>
      <c r="J3452" s="1" t="s">
        <v>1716</v>
      </c>
    </row>
    <row r="3453" spans="1:10" x14ac:dyDescent="0.3">
      <c r="A3453" s="6" t="s">
        <v>16</v>
      </c>
      <c r="B3453" s="6">
        <f t="shared" si="795"/>
        <v>2054</v>
      </c>
      <c r="C3453" s="1" t="s">
        <v>28</v>
      </c>
      <c r="D3453" s="2" t="s">
        <v>131</v>
      </c>
      <c r="E3453" s="9" t="str">
        <f t="shared" si="791"/>
        <v>PND'!</v>
      </c>
      <c r="F3453" s="5" t="str">
        <f t="shared" si="792"/>
        <v>C:\Users\jaime.benazar\Quorum Business Solutions\Ecopetrol Prometeo - Documents\Planning Space Implementation\3. Analysis &amp; Design\Design\FC22\DRR Jaime\Neiva CPI\[VAO_DINA TERCIARIOS_CF_SEC_20230117.xlsx]CF PND'!</v>
      </c>
      <c r="G3453" s="6" t="s">
        <v>112</v>
      </c>
      <c r="H3453" s="1">
        <f t="shared" si="793"/>
        <v>67</v>
      </c>
      <c r="I3453" s="1" t="str">
        <f t="shared" si="794"/>
        <v>='C:\Users\jaime.benazar\Quorum Business Solutions\Ecopetrol Prometeo - Documents\Planning Space Implementation\3. Analysis &amp; Design\Design\FC22\DRR Jaime\Neiva CPI\[VAO_DINA TERCIARIOS_CF_SEC_20230117.xlsx]CF PND'!$BB$67</v>
      </c>
      <c r="J3453" s="1" t="s">
        <v>1717</v>
      </c>
    </row>
    <row r="3454" spans="1:10" x14ac:dyDescent="0.3">
      <c r="A3454" s="6" t="s">
        <v>16</v>
      </c>
      <c r="B3454" s="6">
        <f t="shared" si="795"/>
        <v>2055</v>
      </c>
      <c r="C3454" s="1" t="s">
        <v>28</v>
      </c>
      <c r="D3454" s="2" t="s">
        <v>131</v>
      </c>
      <c r="E3454" s="9" t="str">
        <f t="shared" si="791"/>
        <v>PND'!</v>
      </c>
      <c r="F3454" s="5" t="str">
        <f t="shared" si="792"/>
        <v>C:\Users\jaime.benazar\Quorum Business Solutions\Ecopetrol Prometeo - Documents\Planning Space Implementation\3. Analysis &amp; Design\Design\FC22\DRR Jaime\Neiva CPI\[VAO_DINA TERCIARIOS_CF_SEC_20230117.xlsx]CF PND'!</v>
      </c>
      <c r="G3454" s="6" t="s">
        <v>112</v>
      </c>
      <c r="H3454" s="1">
        <f t="shared" si="793"/>
        <v>68</v>
      </c>
      <c r="I3454" s="1" t="str">
        <f t="shared" si="794"/>
        <v>='C:\Users\jaime.benazar\Quorum Business Solutions\Ecopetrol Prometeo - Documents\Planning Space Implementation\3. Analysis &amp; Design\Design\FC22\DRR Jaime\Neiva CPI\[VAO_DINA TERCIARIOS_CF_SEC_20230117.xlsx]CF PND'!$BB$68</v>
      </c>
      <c r="J3454" s="1" t="s">
        <v>1718</v>
      </c>
    </row>
    <row r="3455" spans="1:10" x14ac:dyDescent="0.3">
      <c r="A3455" s="6" t="s">
        <v>16</v>
      </c>
      <c r="B3455" s="6">
        <f t="shared" si="795"/>
        <v>2056</v>
      </c>
      <c r="C3455" s="1" t="s">
        <v>28</v>
      </c>
      <c r="D3455" s="2" t="s">
        <v>131</v>
      </c>
      <c r="E3455" s="9" t="str">
        <f t="shared" si="791"/>
        <v>PND'!</v>
      </c>
      <c r="F3455" s="5" t="str">
        <f t="shared" si="792"/>
        <v>C:\Users\jaime.benazar\Quorum Business Solutions\Ecopetrol Prometeo - Documents\Planning Space Implementation\3. Analysis &amp; Design\Design\FC22\DRR Jaime\Neiva CPI\[VAO_DINA TERCIARIOS_CF_SEC_20230117.xlsx]CF PND'!</v>
      </c>
      <c r="G3455" s="6" t="s">
        <v>112</v>
      </c>
      <c r="H3455" s="1">
        <f t="shared" si="793"/>
        <v>69</v>
      </c>
      <c r="I3455" s="1" t="str">
        <f t="shared" si="794"/>
        <v>='C:\Users\jaime.benazar\Quorum Business Solutions\Ecopetrol Prometeo - Documents\Planning Space Implementation\3. Analysis &amp; Design\Design\FC22\DRR Jaime\Neiva CPI\[VAO_DINA TERCIARIOS_CF_SEC_20230117.xlsx]CF PND'!$BB$69</v>
      </c>
      <c r="J3455" s="1" t="s">
        <v>1719</v>
      </c>
    </row>
    <row r="3456" spans="1:10" x14ac:dyDescent="0.3">
      <c r="A3456" s="6" t="s">
        <v>16</v>
      </c>
      <c r="B3456" s="6">
        <f t="shared" si="795"/>
        <v>2057</v>
      </c>
      <c r="C3456" s="1" t="s">
        <v>28</v>
      </c>
      <c r="D3456" s="2" t="s">
        <v>131</v>
      </c>
      <c r="E3456" s="9" t="str">
        <f t="shared" si="791"/>
        <v>PND'!</v>
      </c>
      <c r="F3456" s="5" t="str">
        <f t="shared" si="792"/>
        <v>C:\Users\jaime.benazar\Quorum Business Solutions\Ecopetrol Prometeo - Documents\Planning Space Implementation\3. Analysis &amp; Design\Design\FC22\DRR Jaime\Neiva CPI\[VAO_DINA TERCIARIOS_CF_SEC_20230117.xlsx]CF PND'!</v>
      </c>
      <c r="G3456" s="6" t="s">
        <v>112</v>
      </c>
      <c r="H3456" s="1">
        <f t="shared" si="793"/>
        <v>70</v>
      </c>
      <c r="I3456" s="1" t="str">
        <f t="shared" si="794"/>
        <v>='C:\Users\jaime.benazar\Quorum Business Solutions\Ecopetrol Prometeo - Documents\Planning Space Implementation\3. Analysis &amp; Design\Design\FC22\DRR Jaime\Neiva CPI\[VAO_DINA TERCIARIOS_CF_SEC_20230117.xlsx]CF PND'!$BB$70</v>
      </c>
      <c r="J3456" s="1" t="s">
        <v>1720</v>
      </c>
    </row>
    <row r="3457" spans="1:10" x14ac:dyDescent="0.3">
      <c r="A3457" s="6" t="s">
        <v>16</v>
      </c>
      <c r="B3457" s="6">
        <f t="shared" si="795"/>
        <v>2058</v>
      </c>
      <c r="C3457" s="1" t="s">
        <v>28</v>
      </c>
      <c r="D3457" s="2" t="s">
        <v>131</v>
      </c>
      <c r="E3457" s="9" t="str">
        <f t="shared" si="791"/>
        <v>PND'!</v>
      </c>
      <c r="F3457" s="5" t="str">
        <f t="shared" si="792"/>
        <v>C:\Users\jaime.benazar\Quorum Business Solutions\Ecopetrol Prometeo - Documents\Planning Space Implementation\3. Analysis &amp; Design\Design\FC22\DRR Jaime\Neiva CPI\[VAO_DINA TERCIARIOS_CF_SEC_20230117.xlsx]CF PND'!</v>
      </c>
      <c r="G3457" s="6" t="s">
        <v>112</v>
      </c>
      <c r="H3457" s="1">
        <f t="shared" si="793"/>
        <v>71</v>
      </c>
      <c r="I3457" s="1" t="str">
        <f t="shared" si="794"/>
        <v>='C:\Users\jaime.benazar\Quorum Business Solutions\Ecopetrol Prometeo - Documents\Planning Space Implementation\3. Analysis &amp; Design\Design\FC22\DRR Jaime\Neiva CPI\[VAO_DINA TERCIARIOS_CF_SEC_20230117.xlsx]CF PND'!$BB$71</v>
      </c>
      <c r="J3457" s="1" t="s">
        <v>1721</v>
      </c>
    </row>
    <row r="3458" spans="1:10" x14ac:dyDescent="0.3">
      <c r="A3458" s="6" t="s">
        <v>16</v>
      </c>
      <c r="B3458" s="6">
        <f t="shared" si="795"/>
        <v>2059</v>
      </c>
      <c r="C3458" s="1" t="s">
        <v>28</v>
      </c>
      <c r="D3458" s="2" t="s">
        <v>131</v>
      </c>
      <c r="E3458" s="9" t="str">
        <f t="shared" si="791"/>
        <v>PND'!</v>
      </c>
      <c r="F3458" s="5" t="str">
        <f t="shared" si="792"/>
        <v>C:\Users\jaime.benazar\Quorum Business Solutions\Ecopetrol Prometeo - Documents\Planning Space Implementation\3. Analysis &amp; Design\Design\FC22\DRR Jaime\Neiva CPI\[VAO_DINA TERCIARIOS_CF_SEC_20230117.xlsx]CF PND'!</v>
      </c>
      <c r="G3458" s="6" t="s">
        <v>112</v>
      </c>
      <c r="H3458" s="1">
        <f t="shared" si="793"/>
        <v>72</v>
      </c>
      <c r="I3458" s="1" t="str">
        <f t="shared" si="794"/>
        <v>='C:\Users\jaime.benazar\Quorum Business Solutions\Ecopetrol Prometeo - Documents\Planning Space Implementation\3. Analysis &amp; Design\Design\FC22\DRR Jaime\Neiva CPI\[VAO_DINA TERCIARIOS_CF_SEC_20230117.xlsx]CF PND'!$BB$72</v>
      </c>
      <c r="J3458" s="1" t="s">
        <v>1722</v>
      </c>
    </row>
    <row r="3459" spans="1:10" x14ac:dyDescent="0.3">
      <c r="A3459" s="6" t="s">
        <v>26</v>
      </c>
      <c r="B3459" s="6"/>
      <c r="C3459" s="1" t="s">
        <v>28</v>
      </c>
      <c r="D3459" s="2"/>
      <c r="E3459" s="9"/>
      <c r="F3459" s="2"/>
      <c r="G3459" s="6"/>
      <c r="H3459" s="1"/>
      <c r="I3459" s="1"/>
      <c r="J3459" s="4"/>
    </row>
    <row r="3460" spans="1:10" x14ac:dyDescent="0.3">
      <c r="A3460" s="42" t="s">
        <v>17</v>
      </c>
      <c r="B3460" s="42">
        <v>2023</v>
      </c>
      <c r="C3460" s="43" t="s">
        <v>28</v>
      </c>
      <c r="D3460" s="2" t="s">
        <v>131</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Jaime\Neiva CPI\[VAO_DINA TERCIARIOS_CF_SEC_20230117.xlsx]CF PRBDP'!</v>
      </c>
      <c r="G3460" s="6" t="s">
        <v>112</v>
      </c>
      <c r="H3460" s="1"/>
      <c r="I3460" s="1"/>
      <c r="J3460" s="1"/>
    </row>
    <row r="3461" spans="1:10" x14ac:dyDescent="0.3">
      <c r="A3461" s="6" t="s">
        <v>17</v>
      </c>
      <c r="B3461" s="6">
        <f>+B3460+1</f>
        <v>2024</v>
      </c>
      <c r="C3461" s="1" t="s">
        <v>28</v>
      </c>
      <c r="D3461" s="2" t="s">
        <v>131</v>
      </c>
      <c r="E3461" s="9" t="str">
        <f t="shared" si="796"/>
        <v>PRBDP'!</v>
      </c>
      <c r="F3461" s="5" t="str">
        <f t="shared" si="797"/>
        <v>C:\Users\jaime.benazar\Quorum Business Solutions\Ecopetrol Prometeo - Documents\Planning Space Implementation\3. Analysis &amp; Design\Design\FC22\DRR Jaime\Neiva CPI\[VAO_DINA TERCIARIOS_CF_SEC_20230117.xlsx]CF PRBDP'!</v>
      </c>
      <c r="G3461" s="6" t="s">
        <v>112</v>
      </c>
      <c r="H3461" s="1"/>
      <c r="I3461" s="1"/>
      <c r="J3461" s="1"/>
    </row>
    <row r="3462" spans="1:10" x14ac:dyDescent="0.3">
      <c r="A3462" s="6" t="s">
        <v>17</v>
      </c>
      <c r="B3462" s="6">
        <f t="shared" ref="B3462:B3473" si="798">+B3461+1</f>
        <v>2025</v>
      </c>
      <c r="C3462" s="1" t="s">
        <v>28</v>
      </c>
      <c r="D3462" s="2" t="s">
        <v>131</v>
      </c>
      <c r="E3462" s="9" t="str">
        <f t="shared" si="796"/>
        <v>PRBDP'!</v>
      </c>
      <c r="F3462" s="5" t="str">
        <f t="shared" si="797"/>
        <v>C:\Users\jaime.benazar\Quorum Business Solutions\Ecopetrol Prometeo - Documents\Planning Space Implementation\3. Analysis &amp; Design\Design\FC22\DRR Jaime\Neiva CPI\[VAO_DINA TERCIARIOS_CF_SEC_20230117.xlsx]CF PRBDP'!</v>
      </c>
      <c r="G3462" s="6" t="s">
        <v>112</v>
      </c>
      <c r="H3462" s="1"/>
      <c r="I3462" s="1"/>
      <c r="J3462" s="1"/>
    </row>
    <row r="3463" spans="1:10" x14ac:dyDescent="0.3">
      <c r="A3463" s="6" t="s">
        <v>17</v>
      </c>
      <c r="B3463" s="6">
        <f t="shared" si="798"/>
        <v>2026</v>
      </c>
      <c r="C3463" s="1" t="s">
        <v>28</v>
      </c>
      <c r="D3463" s="2" t="s">
        <v>131</v>
      </c>
      <c r="E3463" s="9" t="str">
        <f t="shared" si="796"/>
        <v>PRBDP'!</v>
      </c>
      <c r="F3463" s="5" t="str">
        <f t="shared" si="797"/>
        <v>C:\Users\jaime.benazar\Quorum Business Solutions\Ecopetrol Prometeo - Documents\Planning Space Implementation\3. Analysis &amp; Design\Design\FC22\DRR Jaime\Neiva CPI\[VAO_DINA TERCIARIOS_CF_SEC_20230117.xlsx]CF PRBDP'!</v>
      </c>
      <c r="G3463" s="6" t="s">
        <v>112</v>
      </c>
      <c r="H3463" s="1"/>
      <c r="I3463" s="1"/>
      <c r="J3463" s="1"/>
    </row>
    <row r="3464" spans="1:10" x14ac:dyDescent="0.3">
      <c r="A3464" s="6" t="s">
        <v>17</v>
      </c>
      <c r="B3464" s="6">
        <f t="shared" si="798"/>
        <v>2027</v>
      </c>
      <c r="C3464" s="1" t="s">
        <v>28</v>
      </c>
      <c r="D3464" s="2" t="s">
        <v>131</v>
      </c>
      <c r="E3464" s="9" t="str">
        <f t="shared" si="796"/>
        <v>PRBDP'!</v>
      </c>
      <c r="F3464" s="5" t="str">
        <f t="shared" si="797"/>
        <v>C:\Users\jaime.benazar\Quorum Business Solutions\Ecopetrol Prometeo - Documents\Planning Space Implementation\3. Analysis &amp; Design\Design\FC22\DRR Jaime\Neiva CPI\[VAO_DINA TERCIARIOS_CF_SEC_20230117.xlsx]CF PRBDP'!</v>
      </c>
      <c r="G3464" s="6" t="s">
        <v>112</v>
      </c>
      <c r="H3464" s="1"/>
      <c r="I3464" s="1"/>
      <c r="J3464" s="1"/>
    </row>
    <row r="3465" spans="1:10" x14ac:dyDescent="0.3">
      <c r="A3465" s="6" t="s">
        <v>17</v>
      </c>
      <c r="B3465" s="6">
        <f t="shared" si="798"/>
        <v>2028</v>
      </c>
      <c r="C3465" s="1" t="s">
        <v>28</v>
      </c>
      <c r="D3465" s="2" t="s">
        <v>131</v>
      </c>
      <c r="E3465" s="9" t="str">
        <f t="shared" si="796"/>
        <v>PRBDP'!</v>
      </c>
      <c r="F3465" s="5" t="str">
        <f t="shared" si="797"/>
        <v>C:\Users\jaime.benazar\Quorum Business Solutions\Ecopetrol Prometeo - Documents\Planning Space Implementation\3. Analysis &amp; Design\Design\FC22\DRR Jaime\Neiva CPI\[VAO_DINA TERCIARIOS_CF_SEC_20230117.xlsx]CF PRBDP'!</v>
      </c>
      <c r="G3465" s="6" t="s">
        <v>112</v>
      </c>
      <c r="H3465" s="1"/>
      <c r="I3465" s="1"/>
      <c r="J3465" s="1"/>
    </row>
    <row r="3466" spans="1:10" x14ac:dyDescent="0.3">
      <c r="A3466" s="6" t="s">
        <v>17</v>
      </c>
      <c r="B3466" s="6">
        <f t="shared" si="798"/>
        <v>2029</v>
      </c>
      <c r="C3466" s="1" t="s">
        <v>28</v>
      </c>
      <c r="D3466" s="2" t="s">
        <v>131</v>
      </c>
      <c r="E3466" s="9" t="str">
        <f t="shared" si="796"/>
        <v>PRBDP'!</v>
      </c>
      <c r="F3466" s="5" t="str">
        <f t="shared" si="797"/>
        <v>C:\Users\jaime.benazar\Quorum Business Solutions\Ecopetrol Prometeo - Documents\Planning Space Implementation\3. Analysis &amp; Design\Design\FC22\DRR Jaime\Neiva CPI\[VAO_DINA TERCIARIOS_CF_SEC_20230117.xlsx]CF PRBDP'!</v>
      </c>
      <c r="G3466" s="6" t="s">
        <v>112</v>
      </c>
      <c r="H3466" s="1"/>
      <c r="I3466" s="1"/>
      <c r="J3466" s="1"/>
    </row>
    <row r="3467" spans="1:10" x14ac:dyDescent="0.3">
      <c r="A3467" s="6" t="s">
        <v>17</v>
      </c>
      <c r="B3467" s="6">
        <f t="shared" si="798"/>
        <v>2030</v>
      </c>
      <c r="C3467" s="1" t="s">
        <v>28</v>
      </c>
      <c r="D3467" s="2" t="s">
        <v>131</v>
      </c>
      <c r="E3467" s="9" t="str">
        <f t="shared" si="796"/>
        <v>PRBDP'!</v>
      </c>
      <c r="F3467" s="5" t="str">
        <f t="shared" si="797"/>
        <v>C:\Users\jaime.benazar\Quorum Business Solutions\Ecopetrol Prometeo - Documents\Planning Space Implementation\3. Analysis &amp; Design\Design\FC22\DRR Jaime\Neiva CPI\[VAO_DINA TERCIARIOS_CF_SEC_20230117.xlsx]CF PRBDP'!</v>
      </c>
      <c r="G3467" s="6" t="s">
        <v>112</v>
      </c>
      <c r="H3467" s="1"/>
      <c r="I3467" s="1"/>
      <c r="J3467" s="1"/>
    </row>
    <row r="3468" spans="1:10" x14ac:dyDescent="0.3">
      <c r="A3468" s="6" t="s">
        <v>17</v>
      </c>
      <c r="B3468" s="6">
        <f t="shared" si="798"/>
        <v>2031</v>
      </c>
      <c r="C3468" s="1" t="s">
        <v>28</v>
      </c>
      <c r="D3468" s="2" t="s">
        <v>131</v>
      </c>
      <c r="E3468" s="9" t="str">
        <f t="shared" si="796"/>
        <v>PRBDP'!</v>
      </c>
      <c r="F3468" s="5" t="str">
        <f t="shared" si="797"/>
        <v>C:\Users\jaime.benazar\Quorum Business Solutions\Ecopetrol Prometeo - Documents\Planning Space Implementation\3. Analysis &amp; Design\Design\FC22\DRR Jaime\Neiva CPI\[VAO_DINA TERCIARIOS_CF_SEC_20230117.xlsx]CF PRBDP'!</v>
      </c>
      <c r="G3468" s="6" t="s">
        <v>112</v>
      </c>
      <c r="H3468" s="1"/>
      <c r="I3468" s="1"/>
      <c r="J3468" s="1"/>
    </row>
    <row r="3469" spans="1:10" x14ac:dyDescent="0.3">
      <c r="A3469" s="6" t="s">
        <v>17</v>
      </c>
      <c r="B3469" s="6">
        <f t="shared" si="798"/>
        <v>2032</v>
      </c>
      <c r="C3469" s="1" t="s">
        <v>28</v>
      </c>
      <c r="D3469" s="2" t="s">
        <v>131</v>
      </c>
      <c r="E3469" s="9" t="str">
        <f t="shared" si="796"/>
        <v>PRBDP'!</v>
      </c>
      <c r="F3469" s="5" t="str">
        <f t="shared" si="797"/>
        <v>C:\Users\jaime.benazar\Quorum Business Solutions\Ecopetrol Prometeo - Documents\Planning Space Implementation\3. Analysis &amp; Design\Design\FC22\DRR Jaime\Neiva CPI\[VAO_DINA TERCIARIOS_CF_SEC_20230117.xlsx]CF PRBDP'!</v>
      </c>
      <c r="G3469" s="6" t="s">
        <v>112</v>
      </c>
      <c r="H3469" s="1"/>
      <c r="I3469" s="1"/>
      <c r="J3469" s="1"/>
    </row>
    <row r="3470" spans="1:10" x14ac:dyDescent="0.3">
      <c r="A3470" s="6" t="s">
        <v>17</v>
      </c>
      <c r="B3470" s="6">
        <f t="shared" si="798"/>
        <v>2033</v>
      </c>
      <c r="C3470" s="1" t="s">
        <v>28</v>
      </c>
      <c r="D3470" s="2" t="s">
        <v>131</v>
      </c>
      <c r="E3470" s="9" t="str">
        <f t="shared" si="796"/>
        <v>PRBDP'!</v>
      </c>
      <c r="F3470" s="5" t="str">
        <f t="shared" si="797"/>
        <v>C:\Users\jaime.benazar\Quorum Business Solutions\Ecopetrol Prometeo - Documents\Planning Space Implementation\3. Analysis &amp; Design\Design\FC22\DRR Jaime\Neiva CPI\[VAO_DINA TERCIARIOS_CF_SEC_20230117.xlsx]CF PRBDP'!</v>
      </c>
      <c r="G3470" s="6" t="s">
        <v>112</v>
      </c>
      <c r="H3470" s="1"/>
      <c r="I3470" s="1"/>
      <c r="J3470" s="1"/>
    </row>
    <row r="3471" spans="1:10" x14ac:dyDescent="0.3">
      <c r="A3471" s="6" t="s">
        <v>17</v>
      </c>
      <c r="B3471" s="6">
        <f t="shared" si="798"/>
        <v>2034</v>
      </c>
      <c r="C3471" s="1" t="s">
        <v>28</v>
      </c>
      <c r="D3471" s="2" t="s">
        <v>131</v>
      </c>
      <c r="E3471" s="9" t="str">
        <f t="shared" si="796"/>
        <v>PRBDP'!</v>
      </c>
      <c r="F3471" s="5" t="str">
        <f t="shared" si="797"/>
        <v>C:\Users\jaime.benazar\Quorum Business Solutions\Ecopetrol Prometeo - Documents\Planning Space Implementation\3. Analysis &amp; Design\Design\FC22\DRR Jaime\Neiva CPI\[VAO_DINA TERCIARIOS_CF_SEC_20230117.xlsx]CF PRBDP'!</v>
      </c>
      <c r="G3471" s="6" t="s">
        <v>112</v>
      </c>
      <c r="H3471" s="1"/>
      <c r="I3471" s="1"/>
      <c r="J3471" s="1"/>
    </row>
    <row r="3472" spans="1:10" x14ac:dyDescent="0.3">
      <c r="A3472" s="6" t="s">
        <v>17</v>
      </c>
      <c r="B3472" s="6">
        <f t="shared" si="798"/>
        <v>2035</v>
      </c>
      <c r="C3472" s="1" t="s">
        <v>28</v>
      </c>
      <c r="D3472" s="2" t="s">
        <v>131</v>
      </c>
      <c r="E3472" s="9" t="str">
        <f t="shared" si="796"/>
        <v>PRBDP'!</v>
      </c>
      <c r="F3472" s="5" t="str">
        <f t="shared" si="797"/>
        <v>C:\Users\jaime.benazar\Quorum Business Solutions\Ecopetrol Prometeo - Documents\Planning Space Implementation\3. Analysis &amp; Design\Design\FC22\DRR Jaime\Neiva CPI\[VAO_DINA TERCIARIOS_CF_SEC_20230117.xlsx]CF PRBDP'!</v>
      </c>
      <c r="G3472" s="6" t="s">
        <v>112</v>
      </c>
      <c r="H3472" s="1"/>
      <c r="I3472" s="1"/>
      <c r="J3472" s="1"/>
    </row>
    <row r="3473" spans="1:10" x14ac:dyDescent="0.3">
      <c r="A3473" s="6" t="s">
        <v>17</v>
      </c>
      <c r="B3473" s="6">
        <f t="shared" si="798"/>
        <v>2036</v>
      </c>
      <c r="C3473" s="1" t="s">
        <v>28</v>
      </c>
      <c r="D3473" s="2" t="s">
        <v>131</v>
      </c>
      <c r="E3473" s="9" t="str">
        <f t="shared" si="796"/>
        <v>PRBDP'!</v>
      </c>
      <c r="F3473" s="5" t="str">
        <f t="shared" si="797"/>
        <v>C:\Users\jaime.benazar\Quorum Business Solutions\Ecopetrol Prometeo - Documents\Planning Space Implementation\3. Analysis &amp; Design\Design\FC22\DRR Jaime\Neiva CPI\[VAO_DINA TERCIARIOS_CF_SEC_20230117.xlsx]CF PRBDP'!</v>
      </c>
      <c r="G3473" s="6" t="s">
        <v>112</v>
      </c>
      <c r="H3473" s="1"/>
      <c r="I3473" s="1"/>
      <c r="J3473" s="1"/>
    </row>
    <row r="3474" spans="1:10" x14ac:dyDescent="0.3">
      <c r="A3474" s="6" t="s">
        <v>17</v>
      </c>
      <c r="B3474" s="6">
        <f>+B3473+1</f>
        <v>2037</v>
      </c>
      <c r="C3474" s="1" t="s">
        <v>28</v>
      </c>
      <c r="D3474" s="2" t="s">
        <v>131</v>
      </c>
      <c r="E3474" s="9" t="str">
        <f t="shared" si="796"/>
        <v>PRBDP'!</v>
      </c>
      <c r="F3474" s="5" t="str">
        <f t="shared" si="797"/>
        <v>C:\Users\jaime.benazar\Quorum Business Solutions\Ecopetrol Prometeo - Documents\Planning Space Implementation\3. Analysis &amp; Design\Design\FC22\DRR Jaime\Neiva CPI\[VAO_DINA TERCIARIOS_CF_SEC_20230117.xlsx]CF PRBDP'!</v>
      </c>
      <c r="G3474" s="6" t="s">
        <v>112</v>
      </c>
      <c r="H3474" s="1"/>
      <c r="I3474" s="1"/>
      <c r="J3474" s="1"/>
    </row>
    <row r="3475" spans="1:10" x14ac:dyDescent="0.3">
      <c r="A3475" s="6" t="s">
        <v>17</v>
      </c>
      <c r="B3475" s="6">
        <f t="shared" ref="B3475:B3477" si="799">+B3474+1</f>
        <v>2038</v>
      </c>
      <c r="C3475" s="1" t="s">
        <v>28</v>
      </c>
      <c r="D3475" s="2" t="s">
        <v>131</v>
      </c>
      <c r="E3475" s="9" t="str">
        <f t="shared" si="796"/>
        <v>PRBDP'!</v>
      </c>
      <c r="F3475" s="5" t="str">
        <f t="shared" si="797"/>
        <v>C:\Users\jaime.benazar\Quorum Business Solutions\Ecopetrol Prometeo - Documents\Planning Space Implementation\3. Analysis &amp; Design\Design\FC22\DRR Jaime\Neiva CPI\[VAO_DINA TERCIARIOS_CF_SEC_20230117.xlsx]CF PRBDP'!</v>
      </c>
      <c r="G3475" s="6" t="s">
        <v>112</v>
      </c>
      <c r="H3475" s="1"/>
      <c r="I3475" s="1"/>
      <c r="J3475" s="1"/>
    </row>
    <row r="3476" spans="1:10" x14ac:dyDescent="0.3">
      <c r="A3476" s="6" t="s">
        <v>17</v>
      </c>
      <c r="B3476" s="6">
        <f t="shared" si="799"/>
        <v>2039</v>
      </c>
      <c r="C3476" s="1" t="s">
        <v>28</v>
      </c>
      <c r="D3476" s="2" t="s">
        <v>131</v>
      </c>
      <c r="E3476" s="9" t="str">
        <f t="shared" si="796"/>
        <v>PRBDP'!</v>
      </c>
      <c r="F3476" s="5" t="str">
        <f t="shared" si="797"/>
        <v>C:\Users\jaime.benazar\Quorum Business Solutions\Ecopetrol Prometeo - Documents\Planning Space Implementation\3. Analysis &amp; Design\Design\FC22\DRR Jaime\Neiva CPI\[VAO_DINA TERCIARIOS_CF_SEC_20230117.xlsx]CF PRBDP'!</v>
      </c>
      <c r="G3476" s="6" t="s">
        <v>112</v>
      </c>
      <c r="H3476" s="1"/>
      <c r="I3476" s="1"/>
      <c r="J3476" s="1"/>
    </row>
    <row r="3477" spans="1:10" x14ac:dyDescent="0.3">
      <c r="A3477" s="6" t="s">
        <v>17</v>
      </c>
      <c r="B3477" s="6">
        <f t="shared" si="799"/>
        <v>2040</v>
      </c>
      <c r="C3477" s="1" t="s">
        <v>28</v>
      </c>
      <c r="D3477" s="2" t="s">
        <v>131</v>
      </c>
      <c r="E3477" s="9" t="str">
        <f t="shared" si="796"/>
        <v>PRBDP'!</v>
      </c>
      <c r="F3477" s="5" t="str">
        <f t="shared" si="797"/>
        <v>C:\Users\jaime.benazar\Quorum Business Solutions\Ecopetrol Prometeo - Documents\Planning Space Implementation\3. Analysis &amp; Design\Design\FC22\DRR Jaime\Neiva CPI\[VAO_DINA TERCIARIOS_CF_SEC_20230117.xlsx]CF PRBDP'!</v>
      </c>
      <c r="G3477" s="6" t="s">
        <v>112</v>
      </c>
      <c r="H3477" s="1"/>
      <c r="I3477" s="1"/>
      <c r="J3477" s="1"/>
    </row>
    <row r="3478" spans="1:10" x14ac:dyDescent="0.3">
      <c r="A3478" s="6" t="s">
        <v>17</v>
      </c>
      <c r="B3478" s="6">
        <f>+B3477+1</f>
        <v>2041</v>
      </c>
      <c r="C3478" s="1" t="s">
        <v>28</v>
      </c>
      <c r="D3478" s="2" t="s">
        <v>131</v>
      </c>
      <c r="E3478" s="9" t="str">
        <f t="shared" si="796"/>
        <v>PRBDP'!</v>
      </c>
      <c r="F3478" s="5" t="str">
        <f t="shared" si="797"/>
        <v>C:\Users\jaime.benazar\Quorum Business Solutions\Ecopetrol Prometeo - Documents\Planning Space Implementation\3. Analysis &amp; Design\Design\FC22\DRR Jaime\Neiva CPI\[VAO_DINA TERCIARIOS_CF_SEC_20230117.xlsx]CF PRBDP'!</v>
      </c>
      <c r="G3478" s="6" t="s">
        <v>112</v>
      </c>
      <c r="H3478" s="1"/>
      <c r="I3478" s="1"/>
      <c r="J3478" s="1"/>
    </row>
    <row r="3479" spans="1:10" x14ac:dyDescent="0.3">
      <c r="A3479" s="6" t="s">
        <v>17</v>
      </c>
      <c r="B3479" s="6">
        <f t="shared" ref="B3479:B3480" si="800">+B3478+1</f>
        <v>2042</v>
      </c>
      <c r="C3479" s="1" t="s">
        <v>28</v>
      </c>
      <c r="D3479" s="2" t="s">
        <v>131</v>
      </c>
      <c r="E3479" s="9" t="str">
        <f t="shared" si="796"/>
        <v>PRBDP'!</v>
      </c>
      <c r="F3479" s="5" t="str">
        <f t="shared" si="797"/>
        <v>C:\Users\jaime.benazar\Quorum Business Solutions\Ecopetrol Prometeo - Documents\Planning Space Implementation\3. Analysis &amp; Design\Design\FC22\DRR Jaime\Neiva CPI\[VAO_DINA TERCIARIOS_CF_SEC_20230117.xlsx]CF PRBDP'!</v>
      </c>
      <c r="G3479" s="6" t="s">
        <v>112</v>
      </c>
      <c r="H3479" s="1"/>
      <c r="I3479" s="1"/>
      <c r="J3479" s="1"/>
    </row>
    <row r="3480" spans="1:10" x14ac:dyDescent="0.3">
      <c r="A3480" s="6" t="s">
        <v>17</v>
      </c>
      <c r="B3480" s="6">
        <f t="shared" si="800"/>
        <v>2043</v>
      </c>
      <c r="C3480" s="1" t="s">
        <v>28</v>
      </c>
      <c r="D3480" s="2" t="s">
        <v>131</v>
      </c>
      <c r="E3480" s="9" t="str">
        <f t="shared" si="796"/>
        <v>PRBDP'!</v>
      </c>
      <c r="F3480" s="5" t="str">
        <f t="shared" si="797"/>
        <v>C:\Users\jaime.benazar\Quorum Business Solutions\Ecopetrol Prometeo - Documents\Planning Space Implementation\3. Analysis &amp; Design\Design\FC22\DRR Jaime\Neiva CPI\[VAO_DINA TERCIARIOS_CF_SEC_20230117.xlsx]CF PRBDP'!</v>
      </c>
      <c r="G3480" s="6" t="s">
        <v>112</v>
      </c>
      <c r="H3480" s="1"/>
      <c r="I3480" s="1"/>
      <c r="J3480" s="1"/>
    </row>
    <row r="3481" spans="1:10" x14ac:dyDescent="0.3">
      <c r="A3481" s="6" t="s">
        <v>17</v>
      </c>
      <c r="B3481" s="6">
        <f>+B3480+1</f>
        <v>2044</v>
      </c>
      <c r="C3481" s="1" t="s">
        <v>28</v>
      </c>
      <c r="D3481" s="2" t="s">
        <v>131</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Jaime\Neiva CPI\[VAO_DINA TERCIARIOS_CF_SEC_20230117.xlsx]CF PRBDP'!</v>
      </c>
      <c r="G3481" s="6" t="s">
        <v>112</v>
      </c>
      <c r="H3481" s="1"/>
      <c r="I3481" s="1"/>
      <c r="J3481" s="1"/>
    </row>
    <row r="3482" spans="1:10" x14ac:dyDescent="0.3">
      <c r="A3482" s="6" t="s">
        <v>17</v>
      </c>
      <c r="B3482" s="6">
        <f t="shared" ref="B3482:B3496" si="803">+B3481+1</f>
        <v>2045</v>
      </c>
      <c r="C3482" s="1" t="s">
        <v>28</v>
      </c>
      <c r="D3482" s="2" t="s">
        <v>131</v>
      </c>
      <c r="E3482" s="9" t="str">
        <f t="shared" si="801"/>
        <v>PRBDP'!</v>
      </c>
      <c r="F3482" s="5" t="str">
        <f t="shared" si="802"/>
        <v>C:\Users\jaime.benazar\Quorum Business Solutions\Ecopetrol Prometeo - Documents\Planning Space Implementation\3. Analysis &amp; Design\Design\FC22\DRR Jaime\Neiva CPI\[VAO_DINA TERCIARIOS_CF_SEC_20230117.xlsx]CF PRBDP'!</v>
      </c>
      <c r="G3482" s="6" t="s">
        <v>112</v>
      </c>
      <c r="H3482" s="1"/>
      <c r="I3482" s="1"/>
      <c r="J3482" s="1"/>
    </row>
    <row r="3483" spans="1:10" x14ac:dyDescent="0.3">
      <c r="A3483" s="6" t="s">
        <v>17</v>
      </c>
      <c r="B3483" s="6">
        <f t="shared" si="803"/>
        <v>2046</v>
      </c>
      <c r="C3483" s="1" t="s">
        <v>28</v>
      </c>
      <c r="D3483" s="2" t="s">
        <v>131</v>
      </c>
      <c r="E3483" s="9" t="str">
        <f t="shared" si="801"/>
        <v>PRBDP'!</v>
      </c>
      <c r="F3483" s="5" t="str">
        <f t="shared" si="802"/>
        <v>C:\Users\jaime.benazar\Quorum Business Solutions\Ecopetrol Prometeo - Documents\Planning Space Implementation\3. Analysis &amp; Design\Design\FC22\DRR Jaime\Neiva CPI\[VAO_DINA TERCIARIOS_CF_SEC_20230117.xlsx]CF PRBDP'!</v>
      </c>
      <c r="G3483" s="6" t="s">
        <v>112</v>
      </c>
      <c r="H3483" s="1"/>
      <c r="I3483" s="1"/>
      <c r="J3483" s="1"/>
    </row>
    <row r="3484" spans="1:10" x14ac:dyDescent="0.3">
      <c r="A3484" s="6" t="s">
        <v>17</v>
      </c>
      <c r="B3484" s="6">
        <f t="shared" si="803"/>
        <v>2047</v>
      </c>
      <c r="C3484" s="1" t="s">
        <v>28</v>
      </c>
      <c r="D3484" s="2" t="s">
        <v>131</v>
      </c>
      <c r="E3484" s="9" t="str">
        <f t="shared" si="801"/>
        <v>PRBDP'!</v>
      </c>
      <c r="F3484" s="5" t="str">
        <f t="shared" si="802"/>
        <v>C:\Users\jaime.benazar\Quorum Business Solutions\Ecopetrol Prometeo - Documents\Planning Space Implementation\3. Analysis &amp; Design\Design\FC22\DRR Jaime\Neiva CPI\[VAO_DINA TERCIARIOS_CF_SEC_20230117.xlsx]CF PRBDP'!</v>
      </c>
      <c r="G3484" s="6" t="s">
        <v>112</v>
      </c>
      <c r="H3484" s="1"/>
      <c r="I3484" s="1"/>
      <c r="J3484" s="1"/>
    </row>
    <row r="3485" spans="1:10" x14ac:dyDescent="0.3">
      <c r="A3485" s="6" t="s">
        <v>17</v>
      </c>
      <c r="B3485" s="6">
        <f t="shared" si="803"/>
        <v>2048</v>
      </c>
      <c r="C3485" s="1" t="s">
        <v>28</v>
      </c>
      <c r="D3485" s="2" t="s">
        <v>131</v>
      </c>
      <c r="E3485" s="9" t="str">
        <f t="shared" si="801"/>
        <v>PRBDP'!</v>
      </c>
      <c r="F3485" s="5" t="str">
        <f t="shared" si="802"/>
        <v>C:\Users\jaime.benazar\Quorum Business Solutions\Ecopetrol Prometeo - Documents\Planning Space Implementation\3. Analysis &amp; Design\Design\FC22\DRR Jaime\Neiva CPI\[VAO_DINA TERCIARIOS_CF_SEC_20230117.xlsx]CF PRBDP'!</v>
      </c>
      <c r="G3485" s="6" t="s">
        <v>112</v>
      </c>
      <c r="H3485" s="1"/>
      <c r="I3485" s="1"/>
      <c r="J3485" s="1"/>
    </row>
    <row r="3486" spans="1:10" x14ac:dyDescent="0.3">
      <c r="A3486" s="6" t="s">
        <v>17</v>
      </c>
      <c r="B3486" s="6">
        <f t="shared" si="803"/>
        <v>2049</v>
      </c>
      <c r="C3486" s="1" t="s">
        <v>28</v>
      </c>
      <c r="D3486" s="2" t="s">
        <v>131</v>
      </c>
      <c r="E3486" s="9" t="str">
        <f t="shared" si="801"/>
        <v>PRBDP'!</v>
      </c>
      <c r="F3486" s="5" t="str">
        <f t="shared" si="802"/>
        <v>C:\Users\jaime.benazar\Quorum Business Solutions\Ecopetrol Prometeo - Documents\Planning Space Implementation\3. Analysis &amp; Design\Design\FC22\DRR Jaime\Neiva CPI\[VAO_DINA TERCIARIOS_CF_SEC_20230117.xlsx]CF PRBDP'!</v>
      </c>
      <c r="G3486" s="6" t="s">
        <v>112</v>
      </c>
      <c r="H3486" s="1"/>
      <c r="I3486" s="1"/>
      <c r="J3486" s="1"/>
    </row>
    <row r="3487" spans="1:10" x14ac:dyDescent="0.3">
      <c r="A3487" s="6" t="s">
        <v>17</v>
      </c>
      <c r="B3487" s="6">
        <f t="shared" si="803"/>
        <v>2050</v>
      </c>
      <c r="C3487" s="1" t="s">
        <v>28</v>
      </c>
      <c r="D3487" s="2" t="s">
        <v>131</v>
      </c>
      <c r="E3487" s="9" t="str">
        <f t="shared" si="801"/>
        <v>PRBDP'!</v>
      </c>
      <c r="F3487" s="5" t="str">
        <f t="shared" si="802"/>
        <v>C:\Users\jaime.benazar\Quorum Business Solutions\Ecopetrol Prometeo - Documents\Planning Space Implementation\3. Analysis &amp; Design\Design\FC22\DRR Jaime\Neiva CPI\[VAO_DINA TERCIARIOS_CF_SEC_20230117.xlsx]CF PRBDP'!</v>
      </c>
      <c r="G3487" s="6" t="s">
        <v>112</v>
      </c>
      <c r="H3487" s="1"/>
      <c r="I3487" s="1"/>
      <c r="J3487" s="1"/>
    </row>
    <row r="3488" spans="1:10" x14ac:dyDescent="0.3">
      <c r="A3488" s="6" t="s">
        <v>17</v>
      </c>
      <c r="B3488" s="6">
        <f t="shared" si="803"/>
        <v>2051</v>
      </c>
      <c r="C3488" s="1" t="s">
        <v>28</v>
      </c>
      <c r="D3488" s="2" t="s">
        <v>131</v>
      </c>
      <c r="E3488" s="9" t="str">
        <f t="shared" si="801"/>
        <v>PRBDP'!</v>
      </c>
      <c r="F3488" s="5" t="str">
        <f t="shared" si="802"/>
        <v>C:\Users\jaime.benazar\Quorum Business Solutions\Ecopetrol Prometeo - Documents\Planning Space Implementation\3. Analysis &amp; Design\Design\FC22\DRR Jaime\Neiva CPI\[VAO_DINA TERCIARIOS_CF_SEC_20230117.xlsx]CF PRBDP'!</v>
      </c>
      <c r="G3488" s="6" t="s">
        <v>112</v>
      </c>
      <c r="H3488" s="1"/>
      <c r="I3488" s="1"/>
      <c r="J3488" s="1"/>
    </row>
    <row r="3489" spans="1:10" x14ac:dyDescent="0.3">
      <c r="A3489" s="6" t="s">
        <v>17</v>
      </c>
      <c r="B3489" s="6">
        <f t="shared" si="803"/>
        <v>2052</v>
      </c>
      <c r="C3489" s="1" t="s">
        <v>28</v>
      </c>
      <c r="D3489" s="2" t="s">
        <v>131</v>
      </c>
      <c r="E3489" s="9" t="str">
        <f t="shared" si="801"/>
        <v>PRBDP'!</v>
      </c>
      <c r="F3489" s="5" t="str">
        <f t="shared" si="802"/>
        <v>C:\Users\jaime.benazar\Quorum Business Solutions\Ecopetrol Prometeo - Documents\Planning Space Implementation\3. Analysis &amp; Design\Design\FC22\DRR Jaime\Neiva CPI\[VAO_DINA TERCIARIOS_CF_SEC_20230117.xlsx]CF PRBDP'!</v>
      </c>
      <c r="G3489" s="6" t="s">
        <v>112</v>
      </c>
      <c r="H3489" s="1"/>
      <c r="I3489" s="1"/>
      <c r="J3489" s="1"/>
    </row>
    <row r="3490" spans="1:10" x14ac:dyDescent="0.3">
      <c r="A3490" s="6" t="s">
        <v>17</v>
      </c>
      <c r="B3490" s="6">
        <f t="shared" si="803"/>
        <v>2053</v>
      </c>
      <c r="C3490" s="1" t="s">
        <v>28</v>
      </c>
      <c r="D3490" s="2" t="s">
        <v>131</v>
      </c>
      <c r="E3490" s="9" t="str">
        <f t="shared" si="801"/>
        <v>PRBDP'!</v>
      </c>
      <c r="F3490" s="5" t="str">
        <f t="shared" si="802"/>
        <v>C:\Users\jaime.benazar\Quorum Business Solutions\Ecopetrol Prometeo - Documents\Planning Space Implementation\3. Analysis &amp; Design\Design\FC22\DRR Jaime\Neiva CPI\[VAO_DINA TERCIARIOS_CF_SEC_20230117.xlsx]CF PRBDP'!</v>
      </c>
      <c r="G3490" s="6" t="s">
        <v>112</v>
      </c>
      <c r="H3490" s="1"/>
      <c r="I3490" s="1"/>
      <c r="J3490" s="1"/>
    </row>
    <row r="3491" spans="1:10" x14ac:dyDescent="0.3">
      <c r="A3491" s="6" t="s">
        <v>17</v>
      </c>
      <c r="B3491" s="6">
        <f t="shared" si="803"/>
        <v>2054</v>
      </c>
      <c r="C3491" s="1" t="s">
        <v>28</v>
      </c>
      <c r="D3491" s="2" t="s">
        <v>131</v>
      </c>
      <c r="E3491" s="9" t="str">
        <f t="shared" si="801"/>
        <v>PRBDP'!</v>
      </c>
      <c r="F3491" s="5" t="str">
        <f t="shared" si="802"/>
        <v>C:\Users\jaime.benazar\Quorum Business Solutions\Ecopetrol Prometeo - Documents\Planning Space Implementation\3. Analysis &amp; Design\Design\FC22\DRR Jaime\Neiva CPI\[VAO_DINA TERCIARIOS_CF_SEC_20230117.xlsx]CF PRBDP'!</v>
      </c>
      <c r="G3491" s="6" t="s">
        <v>112</v>
      </c>
      <c r="H3491" s="1"/>
      <c r="I3491" s="1"/>
      <c r="J3491" s="1"/>
    </row>
    <row r="3492" spans="1:10" x14ac:dyDescent="0.3">
      <c r="A3492" s="6" t="s">
        <v>17</v>
      </c>
      <c r="B3492" s="6">
        <f t="shared" si="803"/>
        <v>2055</v>
      </c>
      <c r="C3492" s="1" t="s">
        <v>28</v>
      </c>
      <c r="D3492" s="2" t="s">
        <v>131</v>
      </c>
      <c r="E3492" s="9" t="str">
        <f t="shared" si="801"/>
        <v>PRBDP'!</v>
      </c>
      <c r="F3492" s="5" t="str">
        <f t="shared" si="802"/>
        <v>C:\Users\jaime.benazar\Quorum Business Solutions\Ecopetrol Prometeo - Documents\Planning Space Implementation\3. Analysis &amp; Design\Design\FC22\DRR Jaime\Neiva CPI\[VAO_DINA TERCIARIOS_CF_SEC_20230117.xlsx]CF PRBDP'!</v>
      </c>
      <c r="G3492" s="6" t="s">
        <v>112</v>
      </c>
      <c r="H3492" s="1"/>
      <c r="I3492" s="1"/>
      <c r="J3492" s="1"/>
    </row>
    <row r="3493" spans="1:10" x14ac:dyDescent="0.3">
      <c r="A3493" s="6" t="s">
        <v>17</v>
      </c>
      <c r="B3493" s="6">
        <f t="shared" si="803"/>
        <v>2056</v>
      </c>
      <c r="C3493" s="1" t="s">
        <v>28</v>
      </c>
      <c r="D3493" s="2" t="s">
        <v>131</v>
      </c>
      <c r="E3493" s="9" t="str">
        <f t="shared" si="801"/>
        <v>PRBDP'!</v>
      </c>
      <c r="F3493" s="5" t="str">
        <f t="shared" si="802"/>
        <v>C:\Users\jaime.benazar\Quorum Business Solutions\Ecopetrol Prometeo - Documents\Planning Space Implementation\3. Analysis &amp; Design\Design\FC22\DRR Jaime\Neiva CPI\[VAO_DINA TERCIARIOS_CF_SEC_20230117.xlsx]CF PRBDP'!</v>
      </c>
      <c r="G3493" s="6" t="s">
        <v>112</v>
      </c>
      <c r="H3493" s="1"/>
      <c r="I3493" s="1"/>
      <c r="J3493" s="1"/>
    </row>
    <row r="3494" spans="1:10" x14ac:dyDescent="0.3">
      <c r="A3494" s="6" t="s">
        <v>17</v>
      </c>
      <c r="B3494" s="6">
        <f t="shared" si="803"/>
        <v>2057</v>
      </c>
      <c r="C3494" s="1" t="s">
        <v>28</v>
      </c>
      <c r="D3494" s="2" t="s">
        <v>131</v>
      </c>
      <c r="E3494" s="9" t="str">
        <f t="shared" si="801"/>
        <v>PRBDP'!</v>
      </c>
      <c r="F3494" s="5" t="str">
        <f t="shared" si="802"/>
        <v>C:\Users\jaime.benazar\Quorum Business Solutions\Ecopetrol Prometeo - Documents\Planning Space Implementation\3. Analysis &amp; Design\Design\FC22\DRR Jaime\Neiva CPI\[VAO_DINA TERCIARIOS_CF_SEC_20230117.xlsx]CF PRBDP'!</v>
      </c>
      <c r="G3494" s="6" t="s">
        <v>112</v>
      </c>
      <c r="H3494" s="1"/>
      <c r="I3494" s="1"/>
      <c r="J3494" s="1"/>
    </row>
    <row r="3495" spans="1:10" x14ac:dyDescent="0.3">
      <c r="A3495" s="6" t="s">
        <v>17</v>
      </c>
      <c r="B3495" s="6">
        <f t="shared" si="803"/>
        <v>2058</v>
      </c>
      <c r="C3495" s="1" t="s">
        <v>28</v>
      </c>
      <c r="D3495" s="2" t="s">
        <v>131</v>
      </c>
      <c r="E3495" s="9" t="str">
        <f t="shared" si="801"/>
        <v>PRBDP'!</v>
      </c>
      <c r="F3495" s="5" t="str">
        <f t="shared" si="802"/>
        <v>C:\Users\jaime.benazar\Quorum Business Solutions\Ecopetrol Prometeo - Documents\Planning Space Implementation\3. Analysis &amp; Design\Design\FC22\DRR Jaime\Neiva CPI\[VAO_DINA TERCIARIOS_CF_SEC_20230117.xlsx]CF PRBDP'!</v>
      </c>
      <c r="G3495" s="6" t="s">
        <v>112</v>
      </c>
      <c r="H3495" s="1"/>
      <c r="I3495" s="1"/>
      <c r="J3495" s="1"/>
    </row>
    <row r="3496" spans="1:10" x14ac:dyDescent="0.3">
      <c r="A3496" s="6" t="s">
        <v>17</v>
      </c>
      <c r="B3496" s="6">
        <f t="shared" si="803"/>
        <v>2059</v>
      </c>
      <c r="C3496" s="1" t="s">
        <v>28</v>
      </c>
      <c r="D3496" s="2" t="s">
        <v>131</v>
      </c>
      <c r="E3496" s="9" t="str">
        <f t="shared" si="801"/>
        <v>PRBDP'!</v>
      </c>
      <c r="F3496" s="5" t="str">
        <f t="shared" si="802"/>
        <v>C:\Users\jaime.benazar\Quorum Business Solutions\Ecopetrol Prometeo - Documents\Planning Space Implementation\3. Analysis &amp; Design\Design\FC22\DRR Jaime\Neiva CPI\[VAO_DINA TERCIARIOS_CF_SEC_20230117.xlsx]CF PRBDP'!</v>
      </c>
      <c r="G3496" s="6" t="s">
        <v>112</v>
      </c>
      <c r="H3496" s="1"/>
      <c r="I3496" s="1"/>
      <c r="J3496" s="1"/>
    </row>
    <row r="3497" spans="1:10" x14ac:dyDescent="0.3">
      <c r="A3497" s="6" t="s">
        <v>26</v>
      </c>
      <c r="B3497" s="6"/>
      <c r="C3497" s="1" t="s">
        <v>28</v>
      </c>
      <c r="D3497" s="2"/>
      <c r="E3497" s="9"/>
      <c r="F3497" s="5"/>
      <c r="G3497" s="6"/>
      <c r="H3497" s="1"/>
      <c r="I3497" s="1"/>
      <c r="J3497" s="12"/>
    </row>
    <row r="3498" spans="1:10" x14ac:dyDescent="0.3">
      <c r="A3498" s="6" t="s">
        <v>18</v>
      </c>
      <c r="B3498" s="6">
        <v>2023</v>
      </c>
      <c r="C3498" s="1" t="s">
        <v>28</v>
      </c>
      <c r="D3498" s="2" t="s">
        <v>131</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Jaime\Neiva CPI\[VAO_DINA TERCIARIOS_CF_SEC_20230117.xlsx]CF PRBNP'!</v>
      </c>
      <c r="G3498" s="6" t="s">
        <v>112</v>
      </c>
      <c r="H3498" s="1"/>
      <c r="I3498" s="1"/>
      <c r="J3498" s="1"/>
    </row>
    <row r="3499" spans="1:10" x14ac:dyDescent="0.3">
      <c r="A3499" s="6" t="s">
        <v>18</v>
      </c>
      <c r="B3499" s="6">
        <f>+B3498+1</f>
        <v>2024</v>
      </c>
      <c r="C3499" s="1" t="s">
        <v>28</v>
      </c>
      <c r="D3499" s="2" t="s">
        <v>131</v>
      </c>
      <c r="E3499" s="9" t="str">
        <f t="shared" si="804"/>
        <v>PRBNP'!</v>
      </c>
      <c r="F3499" s="5" t="str">
        <f t="shared" si="805"/>
        <v>C:\Users\jaime.benazar\Quorum Business Solutions\Ecopetrol Prometeo - Documents\Planning Space Implementation\3. Analysis &amp; Design\Design\FC22\DRR Jaime\Neiva CPI\[VAO_DINA TERCIARIOS_CF_SEC_20230117.xlsx]CF PRBNP'!</v>
      </c>
      <c r="G3499" s="6" t="s">
        <v>112</v>
      </c>
      <c r="H3499" s="1"/>
      <c r="I3499" s="1"/>
      <c r="J3499" s="1"/>
    </row>
    <row r="3500" spans="1:10" x14ac:dyDescent="0.3">
      <c r="A3500" s="6" t="s">
        <v>18</v>
      </c>
      <c r="B3500" s="6">
        <f t="shared" ref="B3500:B3511" si="806">+B3499+1</f>
        <v>2025</v>
      </c>
      <c r="C3500" s="1" t="s">
        <v>28</v>
      </c>
      <c r="D3500" s="2" t="s">
        <v>131</v>
      </c>
      <c r="E3500" s="9" t="str">
        <f t="shared" si="804"/>
        <v>PRBNP'!</v>
      </c>
      <c r="F3500" s="5" t="str">
        <f t="shared" si="805"/>
        <v>C:\Users\jaime.benazar\Quorum Business Solutions\Ecopetrol Prometeo - Documents\Planning Space Implementation\3. Analysis &amp; Design\Design\FC22\DRR Jaime\Neiva CPI\[VAO_DINA TERCIARIOS_CF_SEC_20230117.xlsx]CF PRBNP'!</v>
      </c>
      <c r="G3500" s="6" t="s">
        <v>112</v>
      </c>
      <c r="H3500" s="1"/>
      <c r="I3500" s="1"/>
      <c r="J3500" s="1"/>
    </row>
    <row r="3501" spans="1:10" x14ac:dyDescent="0.3">
      <c r="A3501" s="6" t="s">
        <v>18</v>
      </c>
      <c r="B3501" s="6">
        <f t="shared" si="806"/>
        <v>2026</v>
      </c>
      <c r="C3501" s="1" t="s">
        <v>28</v>
      </c>
      <c r="D3501" s="2" t="s">
        <v>131</v>
      </c>
      <c r="E3501" s="9" t="str">
        <f t="shared" si="804"/>
        <v>PRBNP'!</v>
      </c>
      <c r="F3501" s="5" t="str">
        <f t="shared" si="805"/>
        <v>C:\Users\jaime.benazar\Quorum Business Solutions\Ecopetrol Prometeo - Documents\Planning Space Implementation\3. Analysis &amp; Design\Design\FC22\DRR Jaime\Neiva CPI\[VAO_DINA TERCIARIOS_CF_SEC_20230117.xlsx]CF PRBNP'!</v>
      </c>
      <c r="G3501" s="6" t="s">
        <v>112</v>
      </c>
      <c r="H3501" s="1"/>
      <c r="I3501" s="1"/>
      <c r="J3501" s="1"/>
    </row>
    <row r="3502" spans="1:10" x14ac:dyDescent="0.3">
      <c r="A3502" s="6" t="s">
        <v>18</v>
      </c>
      <c r="B3502" s="6">
        <f t="shared" si="806"/>
        <v>2027</v>
      </c>
      <c r="C3502" s="1" t="s">
        <v>28</v>
      </c>
      <c r="D3502" s="2" t="s">
        <v>131</v>
      </c>
      <c r="E3502" s="9" t="str">
        <f t="shared" si="804"/>
        <v>PRBNP'!</v>
      </c>
      <c r="F3502" s="5" t="str">
        <f t="shared" si="805"/>
        <v>C:\Users\jaime.benazar\Quorum Business Solutions\Ecopetrol Prometeo - Documents\Planning Space Implementation\3. Analysis &amp; Design\Design\FC22\DRR Jaime\Neiva CPI\[VAO_DINA TERCIARIOS_CF_SEC_20230117.xlsx]CF PRBNP'!</v>
      </c>
      <c r="G3502" s="6" t="s">
        <v>112</v>
      </c>
      <c r="H3502" s="1"/>
      <c r="I3502" s="1"/>
      <c r="J3502" s="1"/>
    </row>
    <row r="3503" spans="1:10" x14ac:dyDescent="0.3">
      <c r="A3503" s="6" t="s">
        <v>18</v>
      </c>
      <c r="B3503" s="6">
        <f t="shared" si="806"/>
        <v>2028</v>
      </c>
      <c r="C3503" s="1" t="s">
        <v>28</v>
      </c>
      <c r="D3503" s="2" t="s">
        <v>131</v>
      </c>
      <c r="E3503" s="9" t="str">
        <f t="shared" si="804"/>
        <v>PRBNP'!</v>
      </c>
      <c r="F3503" s="5" t="str">
        <f t="shared" si="805"/>
        <v>C:\Users\jaime.benazar\Quorum Business Solutions\Ecopetrol Prometeo - Documents\Planning Space Implementation\3. Analysis &amp; Design\Design\FC22\DRR Jaime\Neiva CPI\[VAO_DINA TERCIARIOS_CF_SEC_20230117.xlsx]CF PRBNP'!</v>
      </c>
      <c r="G3503" s="6" t="s">
        <v>112</v>
      </c>
      <c r="H3503" s="1"/>
      <c r="I3503" s="1"/>
      <c r="J3503" s="1"/>
    </row>
    <row r="3504" spans="1:10" x14ac:dyDescent="0.3">
      <c r="A3504" s="6" t="s">
        <v>18</v>
      </c>
      <c r="B3504" s="6">
        <f t="shared" si="806"/>
        <v>2029</v>
      </c>
      <c r="C3504" s="1" t="s">
        <v>28</v>
      </c>
      <c r="D3504" s="2" t="s">
        <v>131</v>
      </c>
      <c r="E3504" s="9" t="str">
        <f t="shared" si="804"/>
        <v>PRBNP'!</v>
      </c>
      <c r="F3504" s="5" t="str">
        <f t="shared" si="805"/>
        <v>C:\Users\jaime.benazar\Quorum Business Solutions\Ecopetrol Prometeo - Documents\Planning Space Implementation\3. Analysis &amp; Design\Design\FC22\DRR Jaime\Neiva CPI\[VAO_DINA TERCIARIOS_CF_SEC_20230117.xlsx]CF PRBNP'!</v>
      </c>
      <c r="G3504" s="6" t="s">
        <v>112</v>
      </c>
      <c r="H3504" s="1"/>
      <c r="I3504" s="1"/>
      <c r="J3504" s="1"/>
    </row>
    <row r="3505" spans="1:10" x14ac:dyDescent="0.3">
      <c r="A3505" s="6" t="s">
        <v>18</v>
      </c>
      <c r="B3505" s="6">
        <f t="shared" si="806"/>
        <v>2030</v>
      </c>
      <c r="C3505" s="1" t="s">
        <v>28</v>
      </c>
      <c r="D3505" s="2" t="s">
        <v>131</v>
      </c>
      <c r="E3505" s="9" t="str">
        <f t="shared" si="804"/>
        <v>PRBNP'!</v>
      </c>
      <c r="F3505" s="5" t="str">
        <f t="shared" si="805"/>
        <v>C:\Users\jaime.benazar\Quorum Business Solutions\Ecopetrol Prometeo - Documents\Planning Space Implementation\3. Analysis &amp; Design\Design\FC22\DRR Jaime\Neiva CPI\[VAO_DINA TERCIARIOS_CF_SEC_20230117.xlsx]CF PRBNP'!</v>
      </c>
      <c r="G3505" s="6" t="s">
        <v>112</v>
      </c>
      <c r="H3505" s="1"/>
      <c r="I3505" s="1"/>
      <c r="J3505" s="1"/>
    </row>
    <row r="3506" spans="1:10" x14ac:dyDescent="0.3">
      <c r="A3506" s="6" t="s">
        <v>18</v>
      </c>
      <c r="B3506" s="6">
        <f t="shared" si="806"/>
        <v>2031</v>
      </c>
      <c r="C3506" s="1" t="s">
        <v>28</v>
      </c>
      <c r="D3506" s="2" t="s">
        <v>131</v>
      </c>
      <c r="E3506" s="9" t="str">
        <f t="shared" si="804"/>
        <v>PRBNP'!</v>
      </c>
      <c r="F3506" s="5" t="str">
        <f t="shared" si="805"/>
        <v>C:\Users\jaime.benazar\Quorum Business Solutions\Ecopetrol Prometeo - Documents\Planning Space Implementation\3. Analysis &amp; Design\Design\FC22\DRR Jaime\Neiva CPI\[VAO_DINA TERCIARIOS_CF_SEC_20230117.xlsx]CF PRBNP'!</v>
      </c>
      <c r="G3506" s="6" t="s">
        <v>112</v>
      </c>
      <c r="H3506" s="1"/>
      <c r="I3506" s="1"/>
      <c r="J3506" s="1"/>
    </row>
    <row r="3507" spans="1:10" x14ac:dyDescent="0.3">
      <c r="A3507" s="6" t="s">
        <v>18</v>
      </c>
      <c r="B3507" s="6">
        <f t="shared" si="806"/>
        <v>2032</v>
      </c>
      <c r="C3507" s="1" t="s">
        <v>28</v>
      </c>
      <c r="D3507" s="2" t="s">
        <v>131</v>
      </c>
      <c r="E3507" s="9" t="str">
        <f t="shared" si="804"/>
        <v>PRBNP'!</v>
      </c>
      <c r="F3507" s="5" t="str">
        <f t="shared" si="805"/>
        <v>C:\Users\jaime.benazar\Quorum Business Solutions\Ecopetrol Prometeo - Documents\Planning Space Implementation\3. Analysis &amp; Design\Design\FC22\DRR Jaime\Neiva CPI\[VAO_DINA TERCIARIOS_CF_SEC_20230117.xlsx]CF PRBNP'!</v>
      </c>
      <c r="G3507" s="6" t="s">
        <v>112</v>
      </c>
      <c r="H3507" s="1"/>
      <c r="I3507" s="1"/>
      <c r="J3507" s="1"/>
    </row>
    <row r="3508" spans="1:10" x14ac:dyDescent="0.3">
      <c r="A3508" s="6" t="s">
        <v>18</v>
      </c>
      <c r="B3508" s="6">
        <f t="shared" si="806"/>
        <v>2033</v>
      </c>
      <c r="C3508" s="1" t="s">
        <v>28</v>
      </c>
      <c r="D3508" s="2" t="s">
        <v>131</v>
      </c>
      <c r="E3508" s="9" t="str">
        <f t="shared" si="804"/>
        <v>PRBNP'!</v>
      </c>
      <c r="F3508" s="5" t="str">
        <f t="shared" si="805"/>
        <v>C:\Users\jaime.benazar\Quorum Business Solutions\Ecopetrol Prometeo - Documents\Planning Space Implementation\3. Analysis &amp; Design\Design\FC22\DRR Jaime\Neiva CPI\[VAO_DINA TERCIARIOS_CF_SEC_20230117.xlsx]CF PRBNP'!</v>
      </c>
      <c r="G3508" s="6" t="s">
        <v>112</v>
      </c>
      <c r="H3508" s="1"/>
      <c r="I3508" s="1"/>
      <c r="J3508" s="1"/>
    </row>
    <row r="3509" spans="1:10" x14ac:dyDescent="0.3">
      <c r="A3509" s="6" t="s">
        <v>18</v>
      </c>
      <c r="B3509" s="6">
        <f t="shared" si="806"/>
        <v>2034</v>
      </c>
      <c r="C3509" s="1" t="s">
        <v>28</v>
      </c>
      <c r="D3509" s="2" t="s">
        <v>131</v>
      </c>
      <c r="E3509" s="9" t="str">
        <f t="shared" si="804"/>
        <v>PRBNP'!</v>
      </c>
      <c r="F3509" s="5" t="str">
        <f t="shared" si="805"/>
        <v>C:\Users\jaime.benazar\Quorum Business Solutions\Ecopetrol Prometeo - Documents\Planning Space Implementation\3. Analysis &amp; Design\Design\FC22\DRR Jaime\Neiva CPI\[VAO_DINA TERCIARIOS_CF_SEC_20230117.xlsx]CF PRBNP'!</v>
      </c>
      <c r="G3509" s="6" t="s">
        <v>112</v>
      </c>
      <c r="H3509" s="1"/>
      <c r="I3509" s="1"/>
      <c r="J3509" s="1"/>
    </row>
    <row r="3510" spans="1:10" x14ac:dyDescent="0.3">
      <c r="A3510" s="6" t="s">
        <v>18</v>
      </c>
      <c r="B3510" s="6">
        <f t="shared" si="806"/>
        <v>2035</v>
      </c>
      <c r="C3510" s="1" t="s">
        <v>28</v>
      </c>
      <c r="D3510" s="2" t="s">
        <v>131</v>
      </c>
      <c r="E3510" s="9" t="str">
        <f t="shared" si="804"/>
        <v>PRBNP'!</v>
      </c>
      <c r="F3510" s="5" t="str">
        <f t="shared" si="805"/>
        <v>C:\Users\jaime.benazar\Quorum Business Solutions\Ecopetrol Prometeo - Documents\Planning Space Implementation\3. Analysis &amp; Design\Design\FC22\DRR Jaime\Neiva CPI\[VAO_DINA TERCIARIOS_CF_SEC_20230117.xlsx]CF PRBNP'!</v>
      </c>
      <c r="G3510" s="6" t="s">
        <v>112</v>
      </c>
      <c r="H3510" s="1"/>
      <c r="I3510" s="1"/>
      <c r="J3510" s="1"/>
    </row>
    <row r="3511" spans="1:10" x14ac:dyDescent="0.3">
      <c r="A3511" s="6" t="s">
        <v>18</v>
      </c>
      <c r="B3511" s="6">
        <f t="shared" si="806"/>
        <v>2036</v>
      </c>
      <c r="C3511" s="1" t="s">
        <v>28</v>
      </c>
      <c r="D3511" s="2" t="s">
        <v>131</v>
      </c>
      <c r="E3511" s="9" t="str">
        <f t="shared" si="804"/>
        <v>PRBNP'!</v>
      </c>
      <c r="F3511" s="5" t="str">
        <f t="shared" si="805"/>
        <v>C:\Users\jaime.benazar\Quorum Business Solutions\Ecopetrol Prometeo - Documents\Planning Space Implementation\3. Analysis &amp; Design\Design\FC22\DRR Jaime\Neiva CPI\[VAO_DINA TERCIARIOS_CF_SEC_20230117.xlsx]CF PRBNP'!</v>
      </c>
      <c r="G3511" s="6" t="s">
        <v>112</v>
      </c>
      <c r="H3511" s="1"/>
      <c r="I3511" s="1"/>
      <c r="J3511" s="1"/>
    </row>
    <row r="3512" spans="1:10" x14ac:dyDescent="0.3">
      <c r="A3512" s="6" t="s">
        <v>18</v>
      </c>
      <c r="B3512" s="6">
        <f>+B3511+1</f>
        <v>2037</v>
      </c>
      <c r="C3512" s="1" t="s">
        <v>28</v>
      </c>
      <c r="D3512" s="2" t="s">
        <v>131</v>
      </c>
      <c r="E3512" s="9" t="str">
        <f t="shared" si="804"/>
        <v>PRBNP'!</v>
      </c>
      <c r="F3512" s="5" t="str">
        <f t="shared" si="805"/>
        <v>C:\Users\jaime.benazar\Quorum Business Solutions\Ecopetrol Prometeo - Documents\Planning Space Implementation\3. Analysis &amp; Design\Design\FC22\DRR Jaime\Neiva CPI\[VAO_DINA TERCIARIOS_CF_SEC_20230117.xlsx]CF PRBNP'!</v>
      </c>
      <c r="G3512" s="6" t="s">
        <v>112</v>
      </c>
      <c r="H3512" s="1"/>
      <c r="I3512" s="1"/>
      <c r="J3512" s="1"/>
    </row>
    <row r="3513" spans="1:10" x14ac:dyDescent="0.3">
      <c r="A3513" s="6" t="s">
        <v>18</v>
      </c>
      <c r="B3513" s="6">
        <f t="shared" ref="B3513:B3515" si="807">+B3512+1</f>
        <v>2038</v>
      </c>
      <c r="C3513" s="1" t="s">
        <v>28</v>
      </c>
      <c r="D3513" s="2" t="s">
        <v>131</v>
      </c>
      <c r="E3513" s="9" t="str">
        <f t="shared" si="804"/>
        <v>PRBNP'!</v>
      </c>
      <c r="F3513" s="5" t="str">
        <f t="shared" si="805"/>
        <v>C:\Users\jaime.benazar\Quorum Business Solutions\Ecopetrol Prometeo - Documents\Planning Space Implementation\3. Analysis &amp; Design\Design\FC22\DRR Jaime\Neiva CPI\[VAO_DINA TERCIARIOS_CF_SEC_20230117.xlsx]CF PRBNP'!</v>
      </c>
      <c r="G3513" s="6" t="s">
        <v>112</v>
      </c>
      <c r="H3513" s="1"/>
      <c r="I3513" s="1"/>
      <c r="J3513" s="1"/>
    </row>
    <row r="3514" spans="1:10" x14ac:dyDescent="0.3">
      <c r="A3514" s="6" t="s">
        <v>18</v>
      </c>
      <c r="B3514" s="6">
        <f t="shared" si="807"/>
        <v>2039</v>
      </c>
      <c r="C3514" s="1" t="s">
        <v>28</v>
      </c>
      <c r="D3514" s="2" t="s">
        <v>131</v>
      </c>
      <c r="E3514" s="9" t="str">
        <f t="shared" si="804"/>
        <v>PRBNP'!</v>
      </c>
      <c r="F3514" s="5" t="str">
        <f t="shared" si="805"/>
        <v>C:\Users\jaime.benazar\Quorum Business Solutions\Ecopetrol Prometeo - Documents\Planning Space Implementation\3. Analysis &amp; Design\Design\FC22\DRR Jaime\Neiva CPI\[VAO_DINA TERCIARIOS_CF_SEC_20230117.xlsx]CF PRBNP'!</v>
      </c>
      <c r="G3514" s="6" t="s">
        <v>112</v>
      </c>
      <c r="H3514" s="1"/>
      <c r="I3514" s="1"/>
      <c r="J3514" s="1"/>
    </row>
    <row r="3515" spans="1:10" x14ac:dyDescent="0.3">
      <c r="A3515" s="6" t="s">
        <v>18</v>
      </c>
      <c r="B3515" s="6">
        <f t="shared" si="807"/>
        <v>2040</v>
      </c>
      <c r="C3515" s="1" t="s">
        <v>28</v>
      </c>
      <c r="D3515" s="2" t="s">
        <v>131</v>
      </c>
      <c r="E3515" s="9" t="str">
        <f t="shared" si="804"/>
        <v>PRBNP'!</v>
      </c>
      <c r="F3515" s="5" t="str">
        <f t="shared" si="805"/>
        <v>C:\Users\jaime.benazar\Quorum Business Solutions\Ecopetrol Prometeo - Documents\Planning Space Implementation\3. Analysis &amp; Design\Design\FC22\DRR Jaime\Neiva CPI\[VAO_DINA TERCIARIOS_CF_SEC_20230117.xlsx]CF PRBNP'!</v>
      </c>
      <c r="G3515" s="6" t="s">
        <v>112</v>
      </c>
      <c r="H3515" s="1"/>
      <c r="I3515" s="1"/>
      <c r="J3515" s="1"/>
    </row>
    <row r="3516" spans="1:10" x14ac:dyDescent="0.3">
      <c r="A3516" s="6" t="s">
        <v>18</v>
      </c>
      <c r="B3516" s="6">
        <f>+B3515+1</f>
        <v>2041</v>
      </c>
      <c r="C3516" s="1" t="s">
        <v>28</v>
      </c>
      <c r="D3516" s="2" t="s">
        <v>131</v>
      </c>
      <c r="E3516" s="9" t="str">
        <f t="shared" si="804"/>
        <v>PRBNP'!</v>
      </c>
      <c r="F3516" s="5" t="str">
        <f t="shared" si="805"/>
        <v>C:\Users\jaime.benazar\Quorum Business Solutions\Ecopetrol Prometeo - Documents\Planning Space Implementation\3. Analysis &amp; Design\Design\FC22\DRR Jaime\Neiva CPI\[VAO_DINA TERCIARIOS_CF_SEC_20230117.xlsx]CF PRBNP'!</v>
      </c>
      <c r="G3516" s="6" t="s">
        <v>112</v>
      </c>
      <c r="H3516" s="1"/>
      <c r="I3516" s="1"/>
      <c r="J3516" s="1"/>
    </row>
    <row r="3517" spans="1:10" x14ac:dyDescent="0.3">
      <c r="A3517" s="6" t="s">
        <v>18</v>
      </c>
      <c r="B3517" s="6">
        <f t="shared" ref="B3517:B3518" si="808">+B3516+1</f>
        <v>2042</v>
      </c>
      <c r="C3517" s="1" t="s">
        <v>28</v>
      </c>
      <c r="D3517" s="2" t="s">
        <v>131</v>
      </c>
      <c r="E3517" s="9" t="str">
        <f t="shared" si="804"/>
        <v>PRBNP'!</v>
      </c>
      <c r="F3517" s="5" t="str">
        <f t="shared" si="805"/>
        <v>C:\Users\jaime.benazar\Quorum Business Solutions\Ecopetrol Prometeo - Documents\Planning Space Implementation\3. Analysis &amp; Design\Design\FC22\DRR Jaime\Neiva CPI\[VAO_DINA TERCIARIOS_CF_SEC_20230117.xlsx]CF PRBNP'!</v>
      </c>
      <c r="G3517" s="6" t="s">
        <v>112</v>
      </c>
      <c r="H3517" s="1"/>
      <c r="I3517" s="1"/>
      <c r="J3517" s="1"/>
    </row>
    <row r="3518" spans="1:10" x14ac:dyDescent="0.3">
      <c r="A3518" s="6" t="s">
        <v>18</v>
      </c>
      <c r="B3518" s="6">
        <f t="shared" si="808"/>
        <v>2043</v>
      </c>
      <c r="C3518" s="1" t="s">
        <v>28</v>
      </c>
      <c r="D3518" s="2" t="s">
        <v>131</v>
      </c>
      <c r="E3518" s="9" t="str">
        <f t="shared" si="804"/>
        <v>PRBNP'!</v>
      </c>
      <c r="F3518" s="5" t="str">
        <f t="shared" si="805"/>
        <v>C:\Users\jaime.benazar\Quorum Business Solutions\Ecopetrol Prometeo - Documents\Planning Space Implementation\3. Analysis &amp; Design\Design\FC22\DRR Jaime\Neiva CPI\[VAO_DINA TERCIARIOS_CF_SEC_20230117.xlsx]CF PRBNP'!</v>
      </c>
      <c r="G3518" s="6" t="s">
        <v>112</v>
      </c>
      <c r="H3518" s="1"/>
      <c r="I3518" s="1"/>
      <c r="J3518" s="1"/>
    </row>
    <row r="3519" spans="1:10" x14ac:dyDescent="0.3">
      <c r="A3519" s="6" t="s">
        <v>18</v>
      </c>
      <c r="B3519" s="6">
        <f>+B3518+1</f>
        <v>2044</v>
      </c>
      <c r="C3519" s="1" t="s">
        <v>28</v>
      </c>
      <c r="D3519" s="2" t="s">
        <v>131</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Jaime\Neiva CPI\[VAO_DINA TERCIARIOS_CF_SEC_20230117.xlsx]CF PRBNP'!</v>
      </c>
      <c r="G3519" s="6" t="s">
        <v>112</v>
      </c>
      <c r="H3519" s="1"/>
      <c r="I3519" s="1"/>
      <c r="J3519" s="1"/>
    </row>
    <row r="3520" spans="1:10" x14ac:dyDescent="0.3">
      <c r="A3520" s="6" t="s">
        <v>18</v>
      </c>
      <c r="B3520" s="6">
        <f t="shared" ref="B3520:B3534" si="811">+B3519+1</f>
        <v>2045</v>
      </c>
      <c r="C3520" s="1" t="s">
        <v>28</v>
      </c>
      <c r="D3520" s="2" t="s">
        <v>131</v>
      </c>
      <c r="E3520" s="9" t="str">
        <f t="shared" si="809"/>
        <v>PRBNP'!</v>
      </c>
      <c r="F3520" s="5" t="str">
        <f t="shared" si="810"/>
        <v>C:\Users\jaime.benazar\Quorum Business Solutions\Ecopetrol Prometeo - Documents\Planning Space Implementation\3. Analysis &amp; Design\Design\FC22\DRR Jaime\Neiva CPI\[VAO_DINA TERCIARIOS_CF_SEC_20230117.xlsx]CF PRBNP'!</v>
      </c>
      <c r="G3520" s="6" t="s">
        <v>112</v>
      </c>
      <c r="H3520" s="1"/>
      <c r="I3520" s="1"/>
      <c r="J3520" s="1"/>
    </row>
    <row r="3521" spans="1:10" x14ac:dyDescent="0.3">
      <c r="A3521" s="6" t="s">
        <v>18</v>
      </c>
      <c r="B3521" s="6">
        <f t="shared" si="811"/>
        <v>2046</v>
      </c>
      <c r="C3521" s="1" t="s">
        <v>28</v>
      </c>
      <c r="D3521" s="2" t="s">
        <v>131</v>
      </c>
      <c r="E3521" s="9" t="str">
        <f t="shared" si="809"/>
        <v>PRBNP'!</v>
      </c>
      <c r="F3521" s="5" t="str">
        <f t="shared" si="810"/>
        <v>C:\Users\jaime.benazar\Quorum Business Solutions\Ecopetrol Prometeo - Documents\Planning Space Implementation\3. Analysis &amp; Design\Design\FC22\DRR Jaime\Neiva CPI\[VAO_DINA TERCIARIOS_CF_SEC_20230117.xlsx]CF PRBNP'!</v>
      </c>
      <c r="G3521" s="6" t="s">
        <v>112</v>
      </c>
      <c r="H3521" s="1"/>
      <c r="I3521" s="1"/>
      <c r="J3521" s="1"/>
    </row>
    <row r="3522" spans="1:10" x14ac:dyDescent="0.3">
      <c r="A3522" s="6" t="s">
        <v>18</v>
      </c>
      <c r="B3522" s="6">
        <f t="shared" si="811"/>
        <v>2047</v>
      </c>
      <c r="C3522" s="1" t="s">
        <v>28</v>
      </c>
      <c r="D3522" s="2" t="s">
        <v>131</v>
      </c>
      <c r="E3522" s="9" t="str">
        <f t="shared" si="809"/>
        <v>PRBNP'!</v>
      </c>
      <c r="F3522" s="5" t="str">
        <f t="shared" si="810"/>
        <v>C:\Users\jaime.benazar\Quorum Business Solutions\Ecopetrol Prometeo - Documents\Planning Space Implementation\3. Analysis &amp; Design\Design\FC22\DRR Jaime\Neiva CPI\[VAO_DINA TERCIARIOS_CF_SEC_20230117.xlsx]CF PRBNP'!</v>
      </c>
      <c r="G3522" s="6" t="s">
        <v>112</v>
      </c>
      <c r="H3522" s="1"/>
      <c r="I3522" s="1"/>
      <c r="J3522" s="1"/>
    </row>
    <row r="3523" spans="1:10" x14ac:dyDescent="0.3">
      <c r="A3523" s="6" t="s">
        <v>18</v>
      </c>
      <c r="B3523" s="6">
        <f t="shared" si="811"/>
        <v>2048</v>
      </c>
      <c r="C3523" s="1" t="s">
        <v>28</v>
      </c>
      <c r="D3523" s="2" t="s">
        <v>131</v>
      </c>
      <c r="E3523" s="9" t="str">
        <f t="shared" si="809"/>
        <v>PRBNP'!</v>
      </c>
      <c r="F3523" s="5" t="str">
        <f t="shared" si="810"/>
        <v>C:\Users\jaime.benazar\Quorum Business Solutions\Ecopetrol Prometeo - Documents\Planning Space Implementation\3. Analysis &amp; Design\Design\FC22\DRR Jaime\Neiva CPI\[VAO_DINA TERCIARIOS_CF_SEC_20230117.xlsx]CF PRBNP'!</v>
      </c>
      <c r="G3523" s="6" t="s">
        <v>112</v>
      </c>
      <c r="H3523" s="1"/>
      <c r="I3523" s="1"/>
      <c r="J3523" s="1"/>
    </row>
    <row r="3524" spans="1:10" x14ac:dyDescent="0.3">
      <c r="A3524" s="6" t="s">
        <v>18</v>
      </c>
      <c r="B3524" s="6">
        <f t="shared" si="811"/>
        <v>2049</v>
      </c>
      <c r="C3524" s="1" t="s">
        <v>28</v>
      </c>
      <c r="D3524" s="2" t="s">
        <v>131</v>
      </c>
      <c r="E3524" s="9" t="str">
        <f t="shared" si="809"/>
        <v>PRBNP'!</v>
      </c>
      <c r="F3524" s="5" t="str">
        <f t="shared" si="810"/>
        <v>C:\Users\jaime.benazar\Quorum Business Solutions\Ecopetrol Prometeo - Documents\Planning Space Implementation\3. Analysis &amp; Design\Design\FC22\DRR Jaime\Neiva CPI\[VAO_DINA TERCIARIOS_CF_SEC_20230117.xlsx]CF PRBNP'!</v>
      </c>
      <c r="G3524" s="6" t="s">
        <v>112</v>
      </c>
      <c r="H3524" s="1"/>
      <c r="I3524" s="1"/>
      <c r="J3524" s="1"/>
    </row>
    <row r="3525" spans="1:10" x14ac:dyDescent="0.3">
      <c r="A3525" s="6" t="s">
        <v>18</v>
      </c>
      <c r="B3525" s="6">
        <f t="shared" si="811"/>
        <v>2050</v>
      </c>
      <c r="C3525" s="1" t="s">
        <v>28</v>
      </c>
      <c r="D3525" s="2" t="s">
        <v>131</v>
      </c>
      <c r="E3525" s="9" t="str">
        <f t="shared" si="809"/>
        <v>PRBNP'!</v>
      </c>
      <c r="F3525" s="5" t="str">
        <f t="shared" si="810"/>
        <v>C:\Users\jaime.benazar\Quorum Business Solutions\Ecopetrol Prometeo - Documents\Planning Space Implementation\3. Analysis &amp; Design\Design\FC22\DRR Jaime\Neiva CPI\[VAO_DINA TERCIARIOS_CF_SEC_20230117.xlsx]CF PRBNP'!</v>
      </c>
      <c r="G3525" s="6" t="s">
        <v>112</v>
      </c>
      <c r="H3525" s="1"/>
      <c r="I3525" s="1"/>
      <c r="J3525" s="1"/>
    </row>
    <row r="3526" spans="1:10" x14ac:dyDescent="0.3">
      <c r="A3526" s="6" t="s">
        <v>18</v>
      </c>
      <c r="B3526" s="6">
        <f t="shared" si="811"/>
        <v>2051</v>
      </c>
      <c r="C3526" s="1" t="s">
        <v>28</v>
      </c>
      <c r="D3526" s="2" t="s">
        <v>131</v>
      </c>
      <c r="E3526" s="9" t="str">
        <f t="shared" si="809"/>
        <v>PRBNP'!</v>
      </c>
      <c r="F3526" s="5" t="str">
        <f t="shared" si="810"/>
        <v>C:\Users\jaime.benazar\Quorum Business Solutions\Ecopetrol Prometeo - Documents\Planning Space Implementation\3. Analysis &amp; Design\Design\FC22\DRR Jaime\Neiva CPI\[VAO_DINA TERCIARIOS_CF_SEC_20230117.xlsx]CF PRBNP'!</v>
      </c>
      <c r="G3526" s="6" t="s">
        <v>112</v>
      </c>
      <c r="H3526" s="1"/>
      <c r="I3526" s="1"/>
      <c r="J3526" s="1"/>
    </row>
    <row r="3527" spans="1:10" x14ac:dyDescent="0.3">
      <c r="A3527" s="6" t="s">
        <v>18</v>
      </c>
      <c r="B3527" s="6">
        <f t="shared" si="811"/>
        <v>2052</v>
      </c>
      <c r="C3527" s="1" t="s">
        <v>28</v>
      </c>
      <c r="D3527" s="2" t="s">
        <v>131</v>
      </c>
      <c r="E3527" s="9" t="str">
        <f t="shared" si="809"/>
        <v>PRBNP'!</v>
      </c>
      <c r="F3527" s="5" t="str">
        <f t="shared" si="810"/>
        <v>C:\Users\jaime.benazar\Quorum Business Solutions\Ecopetrol Prometeo - Documents\Planning Space Implementation\3. Analysis &amp; Design\Design\FC22\DRR Jaime\Neiva CPI\[VAO_DINA TERCIARIOS_CF_SEC_20230117.xlsx]CF PRBNP'!</v>
      </c>
      <c r="G3527" s="6" t="s">
        <v>112</v>
      </c>
      <c r="H3527" s="1"/>
      <c r="I3527" s="1"/>
      <c r="J3527" s="1"/>
    </row>
    <row r="3528" spans="1:10" x14ac:dyDescent="0.3">
      <c r="A3528" s="6" t="s">
        <v>18</v>
      </c>
      <c r="B3528" s="6">
        <f t="shared" si="811"/>
        <v>2053</v>
      </c>
      <c r="C3528" s="1" t="s">
        <v>28</v>
      </c>
      <c r="D3528" s="2" t="s">
        <v>131</v>
      </c>
      <c r="E3528" s="9" t="str">
        <f t="shared" si="809"/>
        <v>PRBNP'!</v>
      </c>
      <c r="F3528" s="5" t="str">
        <f t="shared" si="810"/>
        <v>C:\Users\jaime.benazar\Quorum Business Solutions\Ecopetrol Prometeo - Documents\Planning Space Implementation\3. Analysis &amp; Design\Design\FC22\DRR Jaime\Neiva CPI\[VAO_DINA TERCIARIOS_CF_SEC_20230117.xlsx]CF PRBNP'!</v>
      </c>
      <c r="G3528" s="6" t="s">
        <v>112</v>
      </c>
      <c r="H3528" s="1"/>
      <c r="I3528" s="1"/>
      <c r="J3528" s="1"/>
    </row>
    <row r="3529" spans="1:10" x14ac:dyDescent="0.3">
      <c r="A3529" s="6" t="s">
        <v>18</v>
      </c>
      <c r="B3529" s="6">
        <f t="shared" si="811"/>
        <v>2054</v>
      </c>
      <c r="C3529" s="1" t="s">
        <v>28</v>
      </c>
      <c r="D3529" s="2" t="s">
        <v>131</v>
      </c>
      <c r="E3529" s="9" t="str">
        <f t="shared" si="809"/>
        <v>PRBNP'!</v>
      </c>
      <c r="F3529" s="5" t="str">
        <f t="shared" si="810"/>
        <v>C:\Users\jaime.benazar\Quorum Business Solutions\Ecopetrol Prometeo - Documents\Planning Space Implementation\3. Analysis &amp; Design\Design\FC22\DRR Jaime\Neiva CPI\[VAO_DINA TERCIARIOS_CF_SEC_20230117.xlsx]CF PRBNP'!</v>
      </c>
      <c r="G3529" s="6" t="s">
        <v>112</v>
      </c>
      <c r="H3529" s="1"/>
      <c r="I3529" s="1"/>
      <c r="J3529" s="1"/>
    </row>
    <row r="3530" spans="1:10" x14ac:dyDescent="0.3">
      <c r="A3530" s="6" t="s">
        <v>18</v>
      </c>
      <c r="B3530" s="6">
        <f t="shared" si="811"/>
        <v>2055</v>
      </c>
      <c r="C3530" s="1" t="s">
        <v>28</v>
      </c>
      <c r="D3530" s="2" t="s">
        <v>131</v>
      </c>
      <c r="E3530" s="9" t="str">
        <f t="shared" si="809"/>
        <v>PRBNP'!</v>
      </c>
      <c r="F3530" s="5" t="str">
        <f t="shared" si="810"/>
        <v>C:\Users\jaime.benazar\Quorum Business Solutions\Ecopetrol Prometeo - Documents\Planning Space Implementation\3. Analysis &amp; Design\Design\FC22\DRR Jaime\Neiva CPI\[VAO_DINA TERCIARIOS_CF_SEC_20230117.xlsx]CF PRBNP'!</v>
      </c>
      <c r="G3530" s="6" t="s">
        <v>112</v>
      </c>
      <c r="H3530" s="1"/>
      <c r="I3530" s="1"/>
      <c r="J3530" s="1"/>
    </row>
    <row r="3531" spans="1:10" x14ac:dyDescent="0.3">
      <c r="A3531" s="6" t="s">
        <v>18</v>
      </c>
      <c r="B3531" s="6">
        <f t="shared" si="811"/>
        <v>2056</v>
      </c>
      <c r="C3531" s="1" t="s">
        <v>28</v>
      </c>
      <c r="D3531" s="2" t="s">
        <v>131</v>
      </c>
      <c r="E3531" s="9" t="str">
        <f t="shared" si="809"/>
        <v>PRBNP'!</v>
      </c>
      <c r="F3531" s="5" t="str">
        <f t="shared" si="810"/>
        <v>C:\Users\jaime.benazar\Quorum Business Solutions\Ecopetrol Prometeo - Documents\Planning Space Implementation\3. Analysis &amp; Design\Design\FC22\DRR Jaime\Neiva CPI\[VAO_DINA TERCIARIOS_CF_SEC_20230117.xlsx]CF PRBNP'!</v>
      </c>
      <c r="G3531" s="6" t="s">
        <v>112</v>
      </c>
      <c r="H3531" s="1"/>
      <c r="I3531" s="1"/>
      <c r="J3531" s="1"/>
    </row>
    <row r="3532" spans="1:10" x14ac:dyDescent="0.3">
      <c r="A3532" s="6" t="s">
        <v>18</v>
      </c>
      <c r="B3532" s="6">
        <f t="shared" si="811"/>
        <v>2057</v>
      </c>
      <c r="C3532" s="1" t="s">
        <v>28</v>
      </c>
      <c r="D3532" s="2" t="s">
        <v>131</v>
      </c>
      <c r="E3532" s="9" t="str">
        <f t="shared" si="809"/>
        <v>PRBNP'!</v>
      </c>
      <c r="F3532" s="5" t="str">
        <f t="shared" si="810"/>
        <v>C:\Users\jaime.benazar\Quorum Business Solutions\Ecopetrol Prometeo - Documents\Planning Space Implementation\3. Analysis &amp; Design\Design\FC22\DRR Jaime\Neiva CPI\[VAO_DINA TERCIARIOS_CF_SEC_20230117.xlsx]CF PRBNP'!</v>
      </c>
      <c r="G3532" s="6" t="s">
        <v>112</v>
      </c>
      <c r="H3532" s="1"/>
      <c r="I3532" s="1"/>
      <c r="J3532" s="1"/>
    </row>
    <row r="3533" spans="1:10" x14ac:dyDescent="0.3">
      <c r="A3533" s="6" t="s">
        <v>18</v>
      </c>
      <c r="B3533" s="6">
        <f t="shared" si="811"/>
        <v>2058</v>
      </c>
      <c r="C3533" s="1" t="s">
        <v>28</v>
      </c>
      <c r="D3533" s="2" t="s">
        <v>131</v>
      </c>
      <c r="E3533" s="9" t="str">
        <f t="shared" si="809"/>
        <v>PRBNP'!</v>
      </c>
      <c r="F3533" s="5" t="str">
        <f t="shared" si="810"/>
        <v>C:\Users\jaime.benazar\Quorum Business Solutions\Ecopetrol Prometeo - Documents\Planning Space Implementation\3. Analysis &amp; Design\Design\FC22\DRR Jaime\Neiva CPI\[VAO_DINA TERCIARIOS_CF_SEC_20230117.xlsx]CF PRBNP'!</v>
      </c>
      <c r="G3533" s="6" t="s">
        <v>112</v>
      </c>
      <c r="H3533" s="1"/>
      <c r="I3533" s="1"/>
      <c r="J3533" s="1"/>
    </row>
    <row r="3534" spans="1:10" x14ac:dyDescent="0.3">
      <c r="A3534" s="6" t="s">
        <v>18</v>
      </c>
      <c r="B3534" s="6">
        <f t="shared" si="811"/>
        <v>2059</v>
      </c>
      <c r="C3534" s="1" t="s">
        <v>28</v>
      </c>
      <c r="D3534" s="2" t="s">
        <v>131</v>
      </c>
      <c r="E3534" s="9" t="str">
        <f t="shared" si="809"/>
        <v>PRBNP'!</v>
      </c>
      <c r="F3534" s="5" t="str">
        <f t="shared" si="810"/>
        <v>C:\Users\jaime.benazar\Quorum Business Solutions\Ecopetrol Prometeo - Documents\Planning Space Implementation\3. Analysis &amp; Design\Design\FC22\DRR Jaime\Neiva CPI\[VAO_DINA TERCIARIOS_CF_SEC_20230117.xlsx]CF PRBNP'!</v>
      </c>
      <c r="G3534" s="6" t="s">
        <v>112</v>
      </c>
      <c r="H3534" s="1"/>
      <c r="I3534" s="1"/>
      <c r="J3534" s="1"/>
    </row>
    <row r="3535" spans="1:10" x14ac:dyDescent="0.3">
      <c r="A3535" s="6" t="s">
        <v>26</v>
      </c>
      <c r="B3535" s="6"/>
      <c r="C3535" s="1" t="s">
        <v>28</v>
      </c>
      <c r="D3535" s="2"/>
      <c r="E3535" s="9"/>
      <c r="F3535" s="2"/>
      <c r="G3535" s="6"/>
      <c r="H3535" s="1"/>
      <c r="I3535" s="1"/>
      <c r="J3535" s="12"/>
    </row>
    <row r="3536" spans="1:10" x14ac:dyDescent="0.3">
      <c r="A3536" s="6" t="s">
        <v>19</v>
      </c>
      <c r="B3536" s="6">
        <v>2023</v>
      </c>
      <c r="C3536" s="1" t="s">
        <v>28</v>
      </c>
      <c r="D3536" s="2" t="s">
        <v>131</v>
      </c>
      <c r="E3536" s="9" t="str">
        <f t="shared" ref="E3536:E3556" si="812">_xlfn.CONCAT(A3536,"'!")</f>
        <v>PRBND'!</v>
      </c>
      <c r="F3536" s="5" t="str">
        <f t="shared" si="805"/>
        <v>C:\Users\jaime.benazar\Quorum Business Solutions\Ecopetrol Prometeo - Documents\Planning Space Implementation\3. Analysis &amp; Design\Design\FC22\DRR Jaime\Neiva CPI\[VAO_DINA TERCIARIOS_CF_SEC_20230117.xlsx]CF PRBND'!</v>
      </c>
      <c r="G3536" s="6" t="s">
        <v>112</v>
      </c>
      <c r="H3536" s="1"/>
      <c r="I3536" s="1"/>
      <c r="J3536" s="1"/>
    </row>
    <row r="3537" spans="1:10" x14ac:dyDescent="0.3">
      <c r="A3537" s="6" t="s">
        <v>19</v>
      </c>
      <c r="B3537" s="6">
        <f>+B3536+1</f>
        <v>2024</v>
      </c>
      <c r="C3537" s="1" t="s">
        <v>28</v>
      </c>
      <c r="D3537" s="2" t="s">
        <v>131</v>
      </c>
      <c r="E3537" s="9" t="str">
        <f t="shared" si="812"/>
        <v>PRBND'!</v>
      </c>
      <c r="F3537" s="5" t="str">
        <f t="shared" si="805"/>
        <v>C:\Users\jaime.benazar\Quorum Business Solutions\Ecopetrol Prometeo - Documents\Planning Space Implementation\3. Analysis &amp; Design\Design\FC22\DRR Jaime\Neiva CPI\[VAO_DINA TERCIARIOS_CF_SEC_20230117.xlsx]CF PRBND'!</v>
      </c>
      <c r="G3537" s="6" t="s">
        <v>112</v>
      </c>
      <c r="H3537" s="1"/>
      <c r="I3537" s="1"/>
      <c r="J3537" s="1"/>
    </row>
    <row r="3538" spans="1:10" x14ac:dyDescent="0.3">
      <c r="A3538" s="6" t="s">
        <v>19</v>
      </c>
      <c r="B3538" s="6">
        <f t="shared" ref="B3538:B3549" si="813">+B3537+1</f>
        <v>2025</v>
      </c>
      <c r="C3538" s="1" t="s">
        <v>28</v>
      </c>
      <c r="D3538" s="2" t="s">
        <v>131</v>
      </c>
      <c r="E3538" s="9" t="str">
        <f t="shared" si="812"/>
        <v>PRBND'!</v>
      </c>
      <c r="F3538" s="5" t="str">
        <f t="shared" si="805"/>
        <v>C:\Users\jaime.benazar\Quorum Business Solutions\Ecopetrol Prometeo - Documents\Planning Space Implementation\3. Analysis &amp; Design\Design\FC22\DRR Jaime\Neiva CPI\[VAO_DINA TERCIARIOS_CF_SEC_20230117.xlsx]CF PRBND'!</v>
      </c>
      <c r="G3538" s="6" t="s">
        <v>112</v>
      </c>
      <c r="H3538" s="1"/>
      <c r="I3538" s="1"/>
      <c r="J3538" s="1"/>
    </row>
    <row r="3539" spans="1:10" x14ac:dyDescent="0.3">
      <c r="A3539" s="6" t="s">
        <v>19</v>
      </c>
      <c r="B3539" s="6">
        <f t="shared" si="813"/>
        <v>2026</v>
      </c>
      <c r="C3539" s="1" t="s">
        <v>28</v>
      </c>
      <c r="D3539" s="2" t="s">
        <v>131</v>
      </c>
      <c r="E3539" s="9" t="str">
        <f t="shared" si="812"/>
        <v>PRBND'!</v>
      </c>
      <c r="F3539" s="5" t="str">
        <f t="shared" si="805"/>
        <v>C:\Users\jaime.benazar\Quorum Business Solutions\Ecopetrol Prometeo - Documents\Planning Space Implementation\3. Analysis &amp; Design\Design\FC22\DRR Jaime\Neiva CPI\[VAO_DINA TERCIARIOS_CF_SEC_20230117.xlsx]CF PRBND'!</v>
      </c>
      <c r="G3539" s="6" t="s">
        <v>112</v>
      </c>
      <c r="H3539" s="1"/>
      <c r="I3539" s="1"/>
      <c r="J3539" s="1"/>
    </row>
    <row r="3540" spans="1:10" x14ac:dyDescent="0.3">
      <c r="A3540" s="6" t="s">
        <v>19</v>
      </c>
      <c r="B3540" s="6">
        <f t="shared" si="813"/>
        <v>2027</v>
      </c>
      <c r="C3540" s="1" t="s">
        <v>28</v>
      </c>
      <c r="D3540" s="2" t="s">
        <v>131</v>
      </c>
      <c r="E3540" s="9" t="str">
        <f t="shared" si="812"/>
        <v>PRBND'!</v>
      </c>
      <c r="F3540" s="5" t="str">
        <f t="shared" si="805"/>
        <v>C:\Users\jaime.benazar\Quorum Business Solutions\Ecopetrol Prometeo - Documents\Planning Space Implementation\3. Analysis &amp; Design\Design\FC22\DRR Jaime\Neiva CPI\[VAO_DINA TERCIARIOS_CF_SEC_20230117.xlsx]CF PRBND'!</v>
      </c>
      <c r="G3540" s="6" t="s">
        <v>112</v>
      </c>
      <c r="H3540" s="1"/>
      <c r="I3540" s="1"/>
      <c r="J3540" s="1"/>
    </row>
    <row r="3541" spans="1:10" x14ac:dyDescent="0.3">
      <c r="A3541" s="6" t="s">
        <v>19</v>
      </c>
      <c r="B3541" s="6">
        <f t="shared" si="813"/>
        <v>2028</v>
      </c>
      <c r="C3541" s="1" t="s">
        <v>28</v>
      </c>
      <c r="D3541" s="2" t="s">
        <v>131</v>
      </c>
      <c r="E3541" s="9" t="str">
        <f t="shared" si="812"/>
        <v>PRBND'!</v>
      </c>
      <c r="F3541" s="5" t="str">
        <f t="shared" si="805"/>
        <v>C:\Users\jaime.benazar\Quorum Business Solutions\Ecopetrol Prometeo - Documents\Planning Space Implementation\3. Analysis &amp; Design\Design\FC22\DRR Jaime\Neiva CPI\[VAO_DINA TERCIARIOS_CF_SEC_20230117.xlsx]CF PRBND'!</v>
      </c>
      <c r="G3541" s="6" t="s">
        <v>112</v>
      </c>
      <c r="H3541" s="1"/>
      <c r="I3541" s="1"/>
      <c r="J3541" s="1"/>
    </row>
    <row r="3542" spans="1:10" x14ac:dyDescent="0.3">
      <c r="A3542" s="6" t="s">
        <v>19</v>
      </c>
      <c r="B3542" s="6">
        <f t="shared" si="813"/>
        <v>2029</v>
      </c>
      <c r="C3542" s="1" t="s">
        <v>28</v>
      </c>
      <c r="D3542" s="2" t="s">
        <v>131</v>
      </c>
      <c r="E3542" s="9" t="str">
        <f t="shared" si="812"/>
        <v>PRBND'!</v>
      </c>
      <c r="F3542" s="5" t="str">
        <f t="shared" si="805"/>
        <v>C:\Users\jaime.benazar\Quorum Business Solutions\Ecopetrol Prometeo - Documents\Planning Space Implementation\3. Analysis &amp; Design\Design\FC22\DRR Jaime\Neiva CPI\[VAO_DINA TERCIARIOS_CF_SEC_20230117.xlsx]CF PRBND'!</v>
      </c>
      <c r="G3542" s="6" t="s">
        <v>112</v>
      </c>
      <c r="H3542" s="1"/>
      <c r="I3542" s="1"/>
      <c r="J3542" s="1"/>
    </row>
    <row r="3543" spans="1:10" x14ac:dyDescent="0.3">
      <c r="A3543" s="6" t="s">
        <v>19</v>
      </c>
      <c r="B3543" s="6">
        <f t="shared" si="813"/>
        <v>2030</v>
      </c>
      <c r="C3543" s="1" t="s">
        <v>28</v>
      </c>
      <c r="D3543" s="2" t="s">
        <v>131</v>
      </c>
      <c r="E3543" s="9" t="str">
        <f t="shared" si="812"/>
        <v>PRBND'!</v>
      </c>
      <c r="F3543" s="5" t="str">
        <f t="shared" si="805"/>
        <v>C:\Users\jaime.benazar\Quorum Business Solutions\Ecopetrol Prometeo - Documents\Planning Space Implementation\3. Analysis &amp; Design\Design\FC22\DRR Jaime\Neiva CPI\[VAO_DINA TERCIARIOS_CF_SEC_20230117.xlsx]CF PRBND'!</v>
      </c>
      <c r="G3543" s="6" t="s">
        <v>112</v>
      </c>
      <c r="H3543" s="1"/>
      <c r="I3543" s="1"/>
      <c r="J3543" s="1"/>
    </row>
    <row r="3544" spans="1:10" x14ac:dyDescent="0.3">
      <c r="A3544" s="6" t="s">
        <v>19</v>
      </c>
      <c r="B3544" s="6">
        <f t="shared" si="813"/>
        <v>2031</v>
      </c>
      <c r="C3544" s="1" t="s">
        <v>28</v>
      </c>
      <c r="D3544" s="2" t="s">
        <v>131</v>
      </c>
      <c r="E3544" s="9" t="str">
        <f t="shared" si="812"/>
        <v>PRBND'!</v>
      </c>
      <c r="F3544" s="5" t="str">
        <f t="shared" si="805"/>
        <v>C:\Users\jaime.benazar\Quorum Business Solutions\Ecopetrol Prometeo - Documents\Planning Space Implementation\3. Analysis &amp; Design\Design\FC22\DRR Jaime\Neiva CPI\[VAO_DINA TERCIARIOS_CF_SEC_20230117.xlsx]CF PRBND'!</v>
      </c>
      <c r="G3544" s="6" t="s">
        <v>112</v>
      </c>
      <c r="H3544" s="1"/>
      <c r="I3544" s="1"/>
      <c r="J3544" s="1"/>
    </row>
    <row r="3545" spans="1:10" x14ac:dyDescent="0.3">
      <c r="A3545" s="6" t="s">
        <v>19</v>
      </c>
      <c r="B3545" s="6">
        <f t="shared" si="813"/>
        <v>2032</v>
      </c>
      <c r="C3545" s="1" t="s">
        <v>28</v>
      </c>
      <c r="D3545" s="2" t="s">
        <v>131</v>
      </c>
      <c r="E3545" s="9" t="str">
        <f t="shared" si="812"/>
        <v>PRBND'!</v>
      </c>
      <c r="F3545" s="5" t="str">
        <f t="shared" si="805"/>
        <v>C:\Users\jaime.benazar\Quorum Business Solutions\Ecopetrol Prometeo - Documents\Planning Space Implementation\3. Analysis &amp; Design\Design\FC22\DRR Jaime\Neiva CPI\[VAO_DINA TERCIARIOS_CF_SEC_20230117.xlsx]CF PRBND'!</v>
      </c>
      <c r="G3545" s="6" t="s">
        <v>112</v>
      </c>
      <c r="H3545" s="1"/>
      <c r="I3545" s="1"/>
      <c r="J3545" s="1"/>
    </row>
    <row r="3546" spans="1:10" x14ac:dyDescent="0.3">
      <c r="A3546" s="6" t="s">
        <v>19</v>
      </c>
      <c r="B3546" s="6">
        <f t="shared" si="813"/>
        <v>2033</v>
      </c>
      <c r="C3546" s="1" t="s">
        <v>28</v>
      </c>
      <c r="D3546" s="2" t="s">
        <v>131</v>
      </c>
      <c r="E3546" s="9" t="str">
        <f t="shared" si="812"/>
        <v>PRBND'!</v>
      </c>
      <c r="F3546" s="5" t="str">
        <f t="shared" si="805"/>
        <v>C:\Users\jaime.benazar\Quorum Business Solutions\Ecopetrol Prometeo - Documents\Planning Space Implementation\3. Analysis &amp; Design\Design\FC22\DRR Jaime\Neiva CPI\[VAO_DINA TERCIARIOS_CF_SEC_20230117.xlsx]CF PRBND'!</v>
      </c>
      <c r="G3546" s="6" t="s">
        <v>112</v>
      </c>
      <c r="H3546" s="1"/>
      <c r="I3546" s="1"/>
      <c r="J3546" s="1"/>
    </row>
    <row r="3547" spans="1:10" x14ac:dyDescent="0.3">
      <c r="A3547" s="6" t="s">
        <v>19</v>
      </c>
      <c r="B3547" s="6">
        <f t="shared" si="813"/>
        <v>2034</v>
      </c>
      <c r="C3547" s="1" t="s">
        <v>28</v>
      </c>
      <c r="D3547" s="2" t="s">
        <v>131</v>
      </c>
      <c r="E3547" s="9" t="str">
        <f t="shared" si="812"/>
        <v>PRBND'!</v>
      </c>
      <c r="F3547" s="5" t="str">
        <f t="shared" si="805"/>
        <v>C:\Users\jaime.benazar\Quorum Business Solutions\Ecopetrol Prometeo - Documents\Planning Space Implementation\3. Analysis &amp; Design\Design\FC22\DRR Jaime\Neiva CPI\[VAO_DINA TERCIARIOS_CF_SEC_20230117.xlsx]CF PRBND'!</v>
      </c>
      <c r="G3547" s="6" t="s">
        <v>112</v>
      </c>
      <c r="H3547" s="1"/>
      <c r="I3547" s="1"/>
      <c r="J3547" s="1"/>
    </row>
    <row r="3548" spans="1:10" x14ac:dyDescent="0.3">
      <c r="A3548" s="6" t="s">
        <v>19</v>
      </c>
      <c r="B3548" s="6">
        <f t="shared" si="813"/>
        <v>2035</v>
      </c>
      <c r="C3548" s="1" t="s">
        <v>28</v>
      </c>
      <c r="D3548" s="2" t="s">
        <v>131</v>
      </c>
      <c r="E3548" s="9" t="str">
        <f t="shared" si="812"/>
        <v>PRBND'!</v>
      </c>
      <c r="F3548" s="5" t="str">
        <f t="shared" si="805"/>
        <v>C:\Users\jaime.benazar\Quorum Business Solutions\Ecopetrol Prometeo - Documents\Planning Space Implementation\3. Analysis &amp; Design\Design\FC22\DRR Jaime\Neiva CPI\[VAO_DINA TERCIARIOS_CF_SEC_20230117.xlsx]CF PRBND'!</v>
      </c>
      <c r="G3548" s="6" t="s">
        <v>112</v>
      </c>
      <c r="H3548" s="1"/>
      <c r="I3548" s="1"/>
      <c r="J3548" s="1"/>
    </row>
    <row r="3549" spans="1:10" x14ac:dyDescent="0.3">
      <c r="A3549" s="6" t="s">
        <v>19</v>
      </c>
      <c r="B3549" s="6">
        <f t="shared" si="813"/>
        <v>2036</v>
      </c>
      <c r="C3549" s="1" t="s">
        <v>28</v>
      </c>
      <c r="D3549" s="2" t="s">
        <v>131</v>
      </c>
      <c r="E3549" s="9" t="str">
        <f t="shared" si="812"/>
        <v>PRBND'!</v>
      </c>
      <c r="F3549" s="5" t="str">
        <f t="shared" si="805"/>
        <v>C:\Users\jaime.benazar\Quorum Business Solutions\Ecopetrol Prometeo - Documents\Planning Space Implementation\3. Analysis &amp; Design\Design\FC22\DRR Jaime\Neiva CPI\[VAO_DINA TERCIARIOS_CF_SEC_20230117.xlsx]CF PRBND'!</v>
      </c>
      <c r="G3549" s="6" t="s">
        <v>112</v>
      </c>
      <c r="H3549" s="1"/>
      <c r="I3549" s="1"/>
      <c r="J3549" s="1"/>
    </row>
    <row r="3550" spans="1:10" x14ac:dyDescent="0.3">
      <c r="A3550" s="6" t="s">
        <v>19</v>
      </c>
      <c r="B3550" s="6">
        <f>+B3549+1</f>
        <v>2037</v>
      </c>
      <c r="C3550" s="1" t="s">
        <v>28</v>
      </c>
      <c r="D3550" s="2" t="s">
        <v>131</v>
      </c>
      <c r="E3550" s="9" t="str">
        <f t="shared" si="812"/>
        <v>PRBND'!</v>
      </c>
      <c r="F3550" s="5" t="str">
        <f t="shared" si="805"/>
        <v>C:\Users\jaime.benazar\Quorum Business Solutions\Ecopetrol Prometeo - Documents\Planning Space Implementation\3. Analysis &amp; Design\Design\FC22\DRR Jaime\Neiva CPI\[VAO_DINA TERCIARIOS_CF_SEC_20230117.xlsx]CF PRBND'!</v>
      </c>
      <c r="G3550" s="6" t="s">
        <v>112</v>
      </c>
      <c r="H3550" s="1"/>
      <c r="I3550" s="1"/>
      <c r="J3550" s="1"/>
    </row>
    <row r="3551" spans="1:10" x14ac:dyDescent="0.3">
      <c r="A3551" s="6" t="s">
        <v>19</v>
      </c>
      <c r="B3551" s="6">
        <f t="shared" ref="B3551:B3553" si="814">+B3550+1</f>
        <v>2038</v>
      </c>
      <c r="C3551" s="1" t="s">
        <v>28</v>
      </c>
      <c r="D3551" s="2" t="s">
        <v>131</v>
      </c>
      <c r="E3551" s="9" t="str">
        <f t="shared" si="812"/>
        <v>PRBND'!</v>
      </c>
      <c r="F3551" s="5" t="str">
        <f t="shared" si="805"/>
        <v>C:\Users\jaime.benazar\Quorum Business Solutions\Ecopetrol Prometeo - Documents\Planning Space Implementation\3. Analysis &amp; Design\Design\FC22\DRR Jaime\Neiva CPI\[VAO_DINA TERCIARIOS_CF_SEC_20230117.xlsx]CF PRBND'!</v>
      </c>
      <c r="G3551" s="6" t="s">
        <v>112</v>
      </c>
      <c r="H3551" s="1"/>
      <c r="I3551" s="1"/>
      <c r="J3551" s="1"/>
    </row>
    <row r="3552" spans="1:10" x14ac:dyDescent="0.3">
      <c r="A3552" s="6" t="s">
        <v>19</v>
      </c>
      <c r="B3552" s="6">
        <f t="shared" si="814"/>
        <v>2039</v>
      </c>
      <c r="C3552" s="1" t="s">
        <v>28</v>
      </c>
      <c r="D3552" s="2" t="s">
        <v>131</v>
      </c>
      <c r="E3552" s="9" t="str">
        <f t="shared" si="812"/>
        <v>PRBND'!</v>
      </c>
      <c r="F3552" s="5" t="str">
        <f t="shared" si="805"/>
        <v>C:\Users\jaime.benazar\Quorum Business Solutions\Ecopetrol Prometeo - Documents\Planning Space Implementation\3. Analysis &amp; Design\Design\FC22\DRR Jaime\Neiva CPI\[VAO_DINA TERCIARIOS_CF_SEC_20230117.xlsx]CF PRBND'!</v>
      </c>
      <c r="G3552" s="6" t="s">
        <v>112</v>
      </c>
      <c r="H3552" s="1"/>
      <c r="I3552" s="1"/>
      <c r="J3552" s="1"/>
    </row>
    <row r="3553" spans="1:10" x14ac:dyDescent="0.3">
      <c r="A3553" s="6" t="s">
        <v>19</v>
      </c>
      <c r="B3553" s="6">
        <f t="shared" si="814"/>
        <v>2040</v>
      </c>
      <c r="C3553" s="1" t="s">
        <v>28</v>
      </c>
      <c r="D3553" s="2" t="s">
        <v>131</v>
      </c>
      <c r="E3553" s="9" t="str">
        <f t="shared" si="812"/>
        <v>PRBND'!</v>
      </c>
      <c r="F3553" s="5" t="str">
        <f t="shared" si="805"/>
        <v>C:\Users\jaime.benazar\Quorum Business Solutions\Ecopetrol Prometeo - Documents\Planning Space Implementation\3. Analysis &amp; Design\Design\FC22\DRR Jaime\Neiva CPI\[VAO_DINA TERCIARIOS_CF_SEC_20230117.xlsx]CF PRBND'!</v>
      </c>
      <c r="G3553" s="6" t="s">
        <v>112</v>
      </c>
      <c r="H3553" s="1"/>
      <c r="I3553" s="1"/>
      <c r="J3553" s="1"/>
    </row>
    <row r="3554" spans="1:10" x14ac:dyDescent="0.3">
      <c r="A3554" s="6" t="s">
        <v>19</v>
      </c>
      <c r="B3554" s="6">
        <f>+B3553+1</f>
        <v>2041</v>
      </c>
      <c r="C3554" s="1" t="s">
        <v>28</v>
      </c>
      <c r="D3554" s="2" t="s">
        <v>131</v>
      </c>
      <c r="E3554" s="9" t="str">
        <f t="shared" si="812"/>
        <v>PRBND'!</v>
      </c>
      <c r="F3554" s="5" t="str">
        <f t="shared" si="805"/>
        <v>C:\Users\jaime.benazar\Quorum Business Solutions\Ecopetrol Prometeo - Documents\Planning Space Implementation\3. Analysis &amp; Design\Design\FC22\DRR Jaime\Neiva CPI\[VAO_DINA TERCIARIOS_CF_SEC_20230117.xlsx]CF PRBND'!</v>
      </c>
      <c r="G3554" s="6" t="s">
        <v>112</v>
      </c>
      <c r="H3554" s="1"/>
      <c r="I3554" s="1"/>
      <c r="J3554" s="1"/>
    </row>
    <row r="3555" spans="1:10" x14ac:dyDescent="0.3">
      <c r="A3555" s="6" t="s">
        <v>19</v>
      </c>
      <c r="B3555" s="6">
        <f t="shared" ref="B3555:B3556" si="815">+B3554+1</f>
        <v>2042</v>
      </c>
      <c r="C3555" s="1" t="s">
        <v>28</v>
      </c>
      <c r="D3555" s="2" t="s">
        <v>131</v>
      </c>
      <c r="E3555" s="9" t="str">
        <f t="shared" si="812"/>
        <v>PRBND'!</v>
      </c>
      <c r="F3555" s="5" t="str">
        <f t="shared" si="805"/>
        <v>C:\Users\jaime.benazar\Quorum Business Solutions\Ecopetrol Prometeo - Documents\Planning Space Implementation\3. Analysis &amp; Design\Design\FC22\DRR Jaime\Neiva CPI\[VAO_DINA TERCIARIOS_CF_SEC_20230117.xlsx]CF PRBND'!</v>
      </c>
      <c r="G3555" s="6" t="s">
        <v>112</v>
      </c>
      <c r="H3555" s="1"/>
      <c r="I3555" s="1"/>
      <c r="J3555" s="1"/>
    </row>
    <row r="3556" spans="1:10" x14ac:dyDescent="0.3">
      <c r="A3556" s="6" t="s">
        <v>19</v>
      </c>
      <c r="B3556" s="6">
        <f t="shared" si="815"/>
        <v>2043</v>
      </c>
      <c r="C3556" s="1" t="s">
        <v>28</v>
      </c>
      <c r="D3556" s="2" t="s">
        <v>131</v>
      </c>
      <c r="E3556" s="9" t="str">
        <f t="shared" si="812"/>
        <v>PRBND'!</v>
      </c>
      <c r="F3556" s="5" t="str">
        <f t="shared" si="805"/>
        <v>C:\Users\jaime.benazar\Quorum Business Solutions\Ecopetrol Prometeo - Documents\Planning Space Implementation\3. Analysis &amp; Design\Design\FC22\DRR Jaime\Neiva CPI\[VAO_DINA TERCIARIOS_CF_SEC_20230117.xlsx]CF PRBND'!</v>
      </c>
      <c r="G3556" s="6" t="s">
        <v>112</v>
      </c>
      <c r="H3556" s="1"/>
      <c r="I3556" s="1"/>
      <c r="J3556" s="1"/>
    </row>
    <row r="3557" spans="1:10" x14ac:dyDescent="0.3">
      <c r="A3557" s="6" t="s">
        <v>19</v>
      </c>
      <c r="B3557" s="6">
        <f>+B3556+1</f>
        <v>2044</v>
      </c>
      <c r="C3557" s="1" t="s">
        <v>28</v>
      </c>
      <c r="D3557" s="2" t="s">
        <v>131</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Jaime\Neiva CPI\[VAO_DINA TERCIARIOS_CF_SEC_20230117.xlsx]CF PRBND'!</v>
      </c>
      <c r="G3557" s="6" t="s">
        <v>112</v>
      </c>
      <c r="H3557" s="1"/>
      <c r="I3557" s="1"/>
      <c r="J3557" s="1"/>
    </row>
    <row r="3558" spans="1:10" x14ac:dyDescent="0.3">
      <c r="A3558" s="6" t="s">
        <v>19</v>
      </c>
      <c r="B3558" s="6">
        <f t="shared" ref="B3558:B3572" si="818">+B3557+1</f>
        <v>2045</v>
      </c>
      <c r="C3558" s="1" t="s">
        <v>28</v>
      </c>
      <c r="D3558" s="2" t="s">
        <v>131</v>
      </c>
      <c r="E3558" s="9" t="str">
        <f t="shared" si="816"/>
        <v>PRBND'!</v>
      </c>
      <c r="F3558" s="5" t="str">
        <f t="shared" si="817"/>
        <v>C:\Users\jaime.benazar\Quorum Business Solutions\Ecopetrol Prometeo - Documents\Planning Space Implementation\3. Analysis &amp; Design\Design\FC22\DRR Jaime\Neiva CPI\[VAO_DINA TERCIARIOS_CF_SEC_20230117.xlsx]CF PRBND'!</v>
      </c>
      <c r="G3558" s="6" t="s">
        <v>112</v>
      </c>
      <c r="H3558" s="1"/>
      <c r="I3558" s="1"/>
      <c r="J3558" s="1"/>
    </row>
    <row r="3559" spans="1:10" x14ac:dyDescent="0.3">
      <c r="A3559" s="6" t="s">
        <v>19</v>
      </c>
      <c r="B3559" s="6">
        <f t="shared" si="818"/>
        <v>2046</v>
      </c>
      <c r="C3559" s="1" t="s">
        <v>28</v>
      </c>
      <c r="D3559" s="2" t="s">
        <v>131</v>
      </c>
      <c r="E3559" s="9" t="str">
        <f t="shared" si="816"/>
        <v>PRBND'!</v>
      </c>
      <c r="F3559" s="5" t="str">
        <f t="shared" si="817"/>
        <v>C:\Users\jaime.benazar\Quorum Business Solutions\Ecopetrol Prometeo - Documents\Planning Space Implementation\3. Analysis &amp; Design\Design\FC22\DRR Jaime\Neiva CPI\[VAO_DINA TERCIARIOS_CF_SEC_20230117.xlsx]CF PRBND'!</v>
      </c>
      <c r="G3559" s="6" t="s">
        <v>112</v>
      </c>
      <c r="H3559" s="1"/>
      <c r="I3559" s="1"/>
      <c r="J3559" s="1"/>
    </row>
    <row r="3560" spans="1:10" x14ac:dyDescent="0.3">
      <c r="A3560" s="6" t="s">
        <v>19</v>
      </c>
      <c r="B3560" s="6">
        <f t="shared" si="818"/>
        <v>2047</v>
      </c>
      <c r="C3560" s="1" t="s">
        <v>28</v>
      </c>
      <c r="D3560" s="2" t="s">
        <v>131</v>
      </c>
      <c r="E3560" s="9" t="str">
        <f t="shared" si="816"/>
        <v>PRBND'!</v>
      </c>
      <c r="F3560" s="5" t="str">
        <f t="shared" si="817"/>
        <v>C:\Users\jaime.benazar\Quorum Business Solutions\Ecopetrol Prometeo - Documents\Planning Space Implementation\3. Analysis &amp; Design\Design\FC22\DRR Jaime\Neiva CPI\[VAO_DINA TERCIARIOS_CF_SEC_20230117.xlsx]CF PRBND'!</v>
      </c>
      <c r="G3560" s="6" t="s">
        <v>112</v>
      </c>
      <c r="H3560" s="1"/>
      <c r="I3560" s="1"/>
      <c r="J3560" s="1"/>
    </row>
    <row r="3561" spans="1:10" x14ac:dyDescent="0.3">
      <c r="A3561" s="6" t="s">
        <v>19</v>
      </c>
      <c r="B3561" s="6">
        <f t="shared" si="818"/>
        <v>2048</v>
      </c>
      <c r="C3561" s="1" t="s">
        <v>28</v>
      </c>
      <c r="D3561" s="2" t="s">
        <v>131</v>
      </c>
      <c r="E3561" s="9" t="str">
        <f t="shared" si="816"/>
        <v>PRBND'!</v>
      </c>
      <c r="F3561" s="5" t="str">
        <f t="shared" si="817"/>
        <v>C:\Users\jaime.benazar\Quorum Business Solutions\Ecopetrol Prometeo - Documents\Planning Space Implementation\3. Analysis &amp; Design\Design\FC22\DRR Jaime\Neiva CPI\[VAO_DINA TERCIARIOS_CF_SEC_20230117.xlsx]CF PRBND'!</v>
      </c>
      <c r="G3561" s="6" t="s">
        <v>112</v>
      </c>
      <c r="H3561" s="1"/>
      <c r="I3561" s="1"/>
      <c r="J3561" s="1"/>
    </row>
    <row r="3562" spans="1:10" x14ac:dyDescent="0.3">
      <c r="A3562" s="6" t="s">
        <v>19</v>
      </c>
      <c r="B3562" s="6">
        <f t="shared" si="818"/>
        <v>2049</v>
      </c>
      <c r="C3562" s="1" t="s">
        <v>28</v>
      </c>
      <c r="D3562" s="2" t="s">
        <v>131</v>
      </c>
      <c r="E3562" s="9" t="str">
        <f t="shared" si="816"/>
        <v>PRBND'!</v>
      </c>
      <c r="F3562" s="5" t="str">
        <f t="shared" si="817"/>
        <v>C:\Users\jaime.benazar\Quorum Business Solutions\Ecopetrol Prometeo - Documents\Planning Space Implementation\3. Analysis &amp; Design\Design\FC22\DRR Jaime\Neiva CPI\[VAO_DINA TERCIARIOS_CF_SEC_20230117.xlsx]CF PRBND'!</v>
      </c>
      <c r="G3562" s="6" t="s">
        <v>112</v>
      </c>
      <c r="H3562" s="1"/>
      <c r="I3562" s="1"/>
      <c r="J3562" s="1"/>
    </row>
    <row r="3563" spans="1:10" x14ac:dyDescent="0.3">
      <c r="A3563" s="6" t="s">
        <v>19</v>
      </c>
      <c r="B3563" s="6">
        <f t="shared" si="818"/>
        <v>2050</v>
      </c>
      <c r="C3563" s="1" t="s">
        <v>28</v>
      </c>
      <c r="D3563" s="2" t="s">
        <v>131</v>
      </c>
      <c r="E3563" s="9" t="str">
        <f t="shared" si="816"/>
        <v>PRBND'!</v>
      </c>
      <c r="F3563" s="5" t="str">
        <f t="shared" si="817"/>
        <v>C:\Users\jaime.benazar\Quorum Business Solutions\Ecopetrol Prometeo - Documents\Planning Space Implementation\3. Analysis &amp; Design\Design\FC22\DRR Jaime\Neiva CPI\[VAO_DINA TERCIARIOS_CF_SEC_20230117.xlsx]CF PRBND'!</v>
      </c>
      <c r="G3563" s="6" t="s">
        <v>112</v>
      </c>
      <c r="H3563" s="1"/>
      <c r="I3563" s="1"/>
      <c r="J3563" s="1"/>
    </row>
    <row r="3564" spans="1:10" x14ac:dyDescent="0.3">
      <c r="A3564" s="6" t="s">
        <v>19</v>
      </c>
      <c r="B3564" s="6">
        <f t="shared" si="818"/>
        <v>2051</v>
      </c>
      <c r="C3564" s="1" t="s">
        <v>28</v>
      </c>
      <c r="D3564" s="2" t="s">
        <v>131</v>
      </c>
      <c r="E3564" s="9" t="str">
        <f t="shared" si="816"/>
        <v>PRBND'!</v>
      </c>
      <c r="F3564" s="5" t="str">
        <f t="shared" si="817"/>
        <v>C:\Users\jaime.benazar\Quorum Business Solutions\Ecopetrol Prometeo - Documents\Planning Space Implementation\3. Analysis &amp; Design\Design\FC22\DRR Jaime\Neiva CPI\[VAO_DINA TERCIARIOS_CF_SEC_20230117.xlsx]CF PRBND'!</v>
      </c>
      <c r="G3564" s="6" t="s">
        <v>112</v>
      </c>
      <c r="H3564" s="1"/>
      <c r="I3564" s="1"/>
      <c r="J3564" s="1"/>
    </row>
    <row r="3565" spans="1:10" x14ac:dyDescent="0.3">
      <c r="A3565" s="6" t="s">
        <v>19</v>
      </c>
      <c r="B3565" s="6">
        <f t="shared" si="818"/>
        <v>2052</v>
      </c>
      <c r="C3565" s="1" t="s">
        <v>28</v>
      </c>
      <c r="D3565" s="2" t="s">
        <v>131</v>
      </c>
      <c r="E3565" s="9" t="str">
        <f t="shared" si="816"/>
        <v>PRBND'!</v>
      </c>
      <c r="F3565" s="5" t="str">
        <f t="shared" si="817"/>
        <v>C:\Users\jaime.benazar\Quorum Business Solutions\Ecopetrol Prometeo - Documents\Planning Space Implementation\3. Analysis &amp; Design\Design\FC22\DRR Jaime\Neiva CPI\[VAO_DINA TERCIARIOS_CF_SEC_20230117.xlsx]CF PRBND'!</v>
      </c>
      <c r="G3565" s="6" t="s">
        <v>112</v>
      </c>
      <c r="H3565" s="1"/>
      <c r="I3565" s="1"/>
      <c r="J3565" s="1"/>
    </row>
    <row r="3566" spans="1:10" x14ac:dyDescent="0.3">
      <c r="A3566" s="6" t="s">
        <v>19</v>
      </c>
      <c r="B3566" s="6">
        <f t="shared" si="818"/>
        <v>2053</v>
      </c>
      <c r="C3566" s="1" t="s">
        <v>28</v>
      </c>
      <c r="D3566" s="2" t="s">
        <v>131</v>
      </c>
      <c r="E3566" s="9" t="str">
        <f t="shared" si="816"/>
        <v>PRBND'!</v>
      </c>
      <c r="F3566" s="5" t="str">
        <f t="shared" si="817"/>
        <v>C:\Users\jaime.benazar\Quorum Business Solutions\Ecopetrol Prometeo - Documents\Planning Space Implementation\3. Analysis &amp; Design\Design\FC22\DRR Jaime\Neiva CPI\[VAO_DINA TERCIARIOS_CF_SEC_20230117.xlsx]CF PRBND'!</v>
      </c>
      <c r="G3566" s="6" t="s">
        <v>112</v>
      </c>
      <c r="H3566" s="1"/>
      <c r="I3566" s="1"/>
      <c r="J3566" s="1"/>
    </row>
    <row r="3567" spans="1:10" x14ac:dyDescent="0.3">
      <c r="A3567" s="6" t="s">
        <v>19</v>
      </c>
      <c r="B3567" s="6">
        <f t="shared" si="818"/>
        <v>2054</v>
      </c>
      <c r="C3567" s="1" t="s">
        <v>28</v>
      </c>
      <c r="D3567" s="2" t="s">
        <v>131</v>
      </c>
      <c r="E3567" s="9" t="str">
        <f t="shared" si="816"/>
        <v>PRBND'!</v>
      </c>
      <c r="F3567" s="5" t="str">
        <f t="shared" si="817"/>
        <v>C:\Users\jaime.benazar\Quorum Business Solutions\Ecopetrol Prometeo - Documents\Planning Space Implementation\3. Analysis &amp; Design\Design\FC22\DRR Jaime\Neiva CPI\[VAO_DINA TERCIARIOS_CF_SEC_20230117.xlsx]CF PRBND'!</v>
      </c>
      <c r="G3567" s="6" t="s">
        <v>112</v>
      </c>
      <c r="H3567" s="1"/>
      <c r="I3567" s="1"/>
      <c r="J3567" s="1"/>
    </row>
    <row r="3568" spans="1:10" x14ac:dyDescent="0.3">
      <c r="A3568" s="6" t="s">
        <v>19</v>
      </c>
      <c r="B3568" s="6">
        <f t="shared" si="818"/>
        <v>2055</v>
      </c>
      <c r="C3568" s="1" t="s">
        <v>28</v>
      </c>
      <c r="D3568" s="2" t="s">
        <v>131</v>
      </c>
      <c r="E3568" s="9" t="str">
        <f t="shared" si="816"/>
        <v>PRBND'!</v>
      </c>
      <c r="F3568" s="5" t="str">
        <f t="shared" si="817"/>
        <v>C:\Users\jaime.benazar\Quorum Business Solutions\Ecopetrol Prometeo - Documents\Planning Space Implementation\3. Analysis &amp; Design\Design\FC22\DRR Jaime\Neiva CPI\[VAO_DINA TERCIARIOS_CF_SEC_20230117.xlsx]CF PRBND'!</v>
      </c>
      <c r="G3568" s="6" t="s">
        <v>112</v>
      </c>
      <c r="H3568" s="1"/>
      <c r="I3568" s="1"/>
      <c r="J3568" s="1"/>
    </row>
    <row r="3569" spans="1:10" x14ac:dyDescent="0.3">
      <c r="A3569" s="6" t="s">
        <v>19</v>
      </c>
      <c r="B3569" s="6">
        <f t="shared" si="818"/>
        <v>2056</v>
      </c>
      <c r="C3569" s="1" t="s">
        <v>28</v>
      </c>
      <c r="D3569" s="2" t="s">
        <v>131</v>
      </c>
      <c r="E3569" s="9" t="str">
        <f t="shared" si="816"/>
        <v>PRBND'!</v>
      </c>
      <c r="F3569" s="5" t="str">
        <f t="shared" si="817"/>
        <v>C:\Users\jaime.benazar\Quorum Business Solutions\Ecopetrol Prometeo - Documents\Planning Space Implementation\3. Analysis &amp; Design\Design\FC22\DRR Jaime\Neiva CPI\[VAO_DINA TERCIARIOS_CF_SEC_20230117.xlsx]CF PRBND'!</v>
      </c>
      <c r="G3569" s="6" t="s">
        <v>112</v>
      </c>
      <c r="H3569" s="1"/>
      <c r="I3569" s="1"/>
      <c r="J3569" s="1"/>
    </row>
    <row r="3570" spans="1:10" x14ac:dyDescent="0.3">
      <c r="A3570" s="6" t="s">
        <v>19</v>
      </c>
      <c r="B3570" s="6">
        <f t="shared" si="818"/>
        <v>2057</v>
      </c>
      <c r="C3570" s="1" t="s">
        <v>28</v>
      </c>
      <c r="D3570" s="2" t="s">
        <v>131</v>
      </c>
      <c r="E3570" s="9" t="str">
        <f t="shared" si="816"/>
        <v>PRBND'!</v>
      </c>
      <c r="F3570" s="5" t="str">
        <f t="shared" si="817"/>
        <v>C:\Users\jaime.benazar\Quorum Business Solutions\Ecopetrol Prometeo - Documents\Planning Space Implementation\3. Analysis &amp; Design\Design\FC22\DRR Jaime\Neiva CPI\[VAO_DINA TERCIARIOS_CF_SEC_20230117.xlsx]CF PRBND'!</v>
      </c>
      <c r="G3570" s="6" t="s">
        <v>112</v>
      </c>
      <c r="H3570" s="1"/>
      <c r="I3570" s="1"/>
      <c r="J3570" s="1"/>
    </row>
    <row r="3571" spans="1:10" x14ac:dyDescent="0.3">
      <c r="A3571" s="6" t="s">
        <v>19</v>
      </c>
      <c r="B3571" s="6">
        <f t="shared" si="818"/>
        <v>2058</v>
      </c>
      <c r="C3571" s="1" t="s">
        <v>28</v>
      </c>
      <c r="D3571" s="2" t="s">
        <v>131</v>
      </c>
      <c r="E3571" s="9" t="str">
        <f t="shared" si="816"/>
        <v>PRBND'!</v>
      </c>
      <c r="F3571" s="5" t="str">
        <f t="shared" si="817"/>
        <v>C:\Users\jaime.benazar\Quorum Business Solutions\Ecopetrol Prometeo - Documents\Planning Space Implementation\3. Analysis &amp; Design\Design\FC22\DRR Jaime\Neiva CPI\[VAO_DINA TERCIARIOS_CF_SEC_20230117.xlsx]CF PRBND'!</v>
      </c>
      <c r="G3571" s="6" t="s">
        <v>112</v>
      </c>
      <c r="H3571" s="1"/>
      <c r="I3571" s="1"/>
      <c r="J3571" s="1"/>
    </row>
    <row r="3572" spans="1:10" x14ac:dyDescent="0.3">
      <c r="A3572" s="6" t="s">
        <v>19</v>
      </c>
      <c r="B3572" s="6">
        <f t="shared" si="818"/>
        <v>2059</v>
      </c>
      <c r="C3572" s="1" t="s">
        <v>28</v>
      </c>
      <c r="D3572" s="2" t="s">
        <v>131</v>
      </c>
      <c r="E3572" s="9" t="str">
        <f t="shared" si="816"/>
        <v>PRBND'!</v>
      </c>
      <c r="F3572" s="5" t="str">
        <f t="shared" si="817"/>
        <v>C:\Users\jaime.benazar\Quorum Business Solutions\Ecopetrol Prometeo - Documents\Planning Space Implementation\3. Analysis &amp; Design\Design\FC22\DRR Jaime\Neiva CPI\[VAO_DINA TERCIARIOS_CF_SEC_20230117.xlsx]CF PRBND'!</v>
      </c>
      <c r="G3572" s="6" t="s">
        <v>112</v>
      </c>
      <c r="H3572" s="1"/>
      <c r="I3572" s="1"/>
      <c r="J3572" s="1"/>
    </row>
    <row r="3573" spans="1:10" x14ac:dyDescent="0.3">
      <c r="A3573" s="6" t="s">
        <v>26</v>
      </c>
      <c r="B3573" s="6"/>
      <c r="C3573" s="1" t="s">
        <v>28</v>
      </c>
      <c r="D3573" s="2"/>
      <c r="E3573" s="9"/>
      <c r="F3573" s="2"/>
      <c r="G3573" s="6"/>
      <c r="H3573" s="1"/>
      <c r="I3573" s="1"/>
      <c r="J3573" s="12"/>
    </row>
    <row r="3574" spans="1:10" x14ac:dyDescent="0.3">
      <c r="A3574" s="6" t="s">
        <v>20</v>
      </c>
      <c r="B3574" s="6">
        <v>2023</v>
      </c>
      <c r="C3574" s="1" t="s">
        <v>28</v>
      </c>
      <c r="D3574" s="2" t="s">
        <v>131</v>
      </c>
      <c r="E3574" s="9" t="str">
        <f t="shared" ref="E3574:E3594" si="819">_xlfn.CONCAT(A3574,"'!")</f>
        <v>PRB'!</v>
      </c>
      <c r="F3574" s="5" t="str">
        <f t="shared" si="805"/>
        <v>C:\Users\jaime.benazar\Quorum Business Solutions\Ecopetrol Prometeo - Documents\Planning Space Implementation\3. Analysis &amp; Design\Design\FC22\DRR Jaime\Neiva CPI\[VAO_DINA TERCIARIOS_CF_SEC_20230117.xlsx]CF PRB'!</v>
      </c>
      <c r="G3574" s="6" t="s">
        <v>112</v>
      </c>
      <c r="H3574" s="1">
        <f>IF(A3574&lt;&gt;A3444,36,H3444+1)</f>
        <v>36</v>
      </c>
      <c r="I3574" s="1" t="str">
        <f t="shared" ref="I3574:I3594" si="820">_xlfn.CONCAT("='",F3574:H3574)</f>
        <v>='C:\Users\jaime.benazar\Quorum Business Solutions\Ecopetrol Prometeo - Documents\Planning Space Implementation\3. Analysis &amp; Design\Design\FC22\DRR Jaime\Neiva CPI\[VAO_DINA TERCIARIOS_CF_SEC_20230117.xlsx]CF PRB'!$BB$36</v>
      </c>
      <c r="J3574" s="1" t="s">
        <v>1723</v>
      </c>
    </row>
    <row r="3575" spans="1:10" x14ac:dyDescent="0.3">
      <c r="A3575" s="6" t="s">
        <v>20</v>
      </c>
      <c r="B3575" s="6">
        <f>+B3574+1</f>
        <v>2024</v>
      </c>
      <c r="C3575" s="1" t="s">
        <v>28</v>
      </c>
      <c r="D3575" s="2" t="s">
        <v>131</v>
      </c>
      <c r="E3575" s="9" t="str">
        <f t="shared" si="819"/>
        <v>PRB'!</v>
      </c>
      <c r="F3575" s="5" t="str">
        <f t="shared" si="805"/>
        <v>C:\Users\jaime.benazar\Quorum Business Solutions\Ecopetrol Prometeo - Documents\Planning Space Implementation\3. Analysis &amp; Design\Design\FC22\DRR Jaime\Neiva CPI\[VAO_DINA TERCIARIOS_CF_SEC_20230117.xlsx]CF PRB'!</v>
      </c>
      <c r="G3575" s="6" t="s">
        <v>112</v>
      </c>
      <c r="H3575" s="1">
        <f t="shared" ref="H3575:H3594" si="821">IF(A3575&lt;&gt;A3574,36,H3574+1)</f>
        <v>37</v>
      </c>
      <c r="I3575" s="1" t="str">
        <f t="shared" si="820"/>
        <v>='C:\Users\jaime.benazar\Quorum Business Solutions\Ecopetrol Prometeo - Documents\Planning Space Implementation\3. Analysis &amp; Design\Design\FC22\DRR Jaime\Neiva CPI\[VAO_DINA TERCIARIOS_CF_SEC_20230117.xlsx]CF PRB'!$BB$37</v>
      </c>
      <c r="J3575" s="1" t="s">
        <v>1724</v>
      </c>
    </row>
    <row r="3576" spans="1:10" x14ac:dyDescent="0.3">
      <c r="A3576" s="6" t="s">
        <v>20</v>
      </c>
      <c r="B3576" s="6">
        <f t="shared" ref="B3576:B3587" si="822">+B3575+1</f>
        <v>2025</v>
      </c>
      <c r="C3576" s="1" t="s">
        <v>28</v>
      </c>
      <c r="D3576" s="2" t="s">
        <v>131</v>
      </c>
      <c r="E3576" s="9" t="str">
        <f t="shared" si="819"/>
        <v>PRB'!</v>
      </c>
      <c r="F3576" s="5" t="str">
        <f t="shared" si="805"/>
        <v>C:\Users\jaime.benazar\Quorum Business Solutions\Ecopetrol Prometeo - Documents\Planning Space Implementation\3. Analysis &amp; Design\Design\FC22\DRR Jaime\Neiva CPI\[VAO_DINA TERCIARIOS_CF_SEC_20230117.xlsx]CF PRB'!</v>
      </c>
      <c r="G3576" s="6" t="s">
        <v>112</v>
      </c>
      <c r="H3576" s="1">
        <f t="shared" si="821"/>
        <v>38</v>
      </c>
      <c r="I3576" s="1" t="str">
        <f t="shared" si="820"/>
        <v>='C:\Users\jaime.benazar\Quorum Business Solutions\Ecopetrol Prometeo - Documents\Planning Space Implementation\3. Analysis &amp; Design\Design\FC22\DRR Jaime\Neiva CPI\[VAO_DINA TERCIARIOS_CF_SEC_20230117.xlsx]CF PRB'!$BB$38</v>
      </c>
      <c r="J3576" s="1" t="s">
        <v>1725</v>
      </c>
    </row>
    <row r="3577" spans="1:10" x14ac:dyDescent="0.3">
      <c r="A3577" s="6" t="s">
        <v>20</v>
      </c>
      <c r="B3577" s="6">
        <f t="shared" si="822"/>
        <v>2026</v>
      </c>
      <c r="C3577" s="1" t="s">
        <v>28</v>
      </c>
      <c r="D3577" s="2" t="s">
        <v>131</v>
      </c>
      <c r="E3577" s="9" t="str">
        <f t="shared" si="819"/>
        <v>PRB'!</v>
      </c>
      <c r="F3577" s="5" t="str">
        <f t="shared" si="805"/>
        <v>C:\Users\jaime.benazar\Quorum Business Solutions\Ecopetrol Prometeo - Documents\Planning Space Implementation\3. Analysis &amp; Design\Design\FC22\DRR Jaime\Neiva CPI\[VAO_DINA TERCIARIOS_CF_SEC_20230117.xlsx]CF PRB'!</v>
      </c>
      <c r="G3577" s="6" t="s">
        <v>112</v>
      </c>
      <c r="H3577" s="1">
        <f t="shared" si="821"/>
        <v>39</v>
      </c>
      <c r="I3577" s="1" t="str">
        <f t="shared" si="820"/>
        <v>='C:\Users\jaime.benazar\Quorum Business Solutions\Ecopetrol Prometeo - Documents\Planning Space Implementation\3. Analysis &amp; Design\Design\FC22\DRR Jaime\Neiva CPI\[VAO_DINA TERCIARIOS_CF_SEC_20230117.xlsx]CF PRB'!$BB$39</v>
      </c>
      <c r="J3577" s="1" t="s">
        <v>1726</v>
      </c>
    </row>
    <row r="3578" spans="1:10" x14ac:dyDescent="0.3">
      <c r="A3578" s="6" t="s">
        <v>20</v>
      </c>
      <c r="B3578" s="6">
        <f t="shared" si="822"/>
        <v>2027</v>
      </c>
      <c r="C3578" s="1" t="s">
        <v>28</v>
      </c>
      <c r="D3578" s="2" t="s">
        <v>131</v>
      </c>
      <c r="E3578" s="9" t="str">
        <f t="shared" si="819"/>
        <v>PRB'!</v>
      </c>
      <c r="F3578" s="5" t="str">
        <f t="shared" si="805"/>
        <v>C:\Users\jaime.benazar\Quorum Business Solutions\Ecopetrol Prometeo - Documents\Planning Space Implementation\3. Analysis &amp; Design\Design\FC22\DRR Jaime\Neiva CPI\[VAO_DINA TERCIARIOS_CF_SEC_20230117.xlsx]CF PRB'!</v>
      </c>
      <c r="G3578" s="6" t="s">
        <v>112</v>
      </c>
      <c r="H3578" s="1">
        <f t="shared" si="821"/>
        <v>40</v>
      </c>
      <c r="I3578" s="1" t="str">
        <f t="shared" si="820"/>
        <v>='C:\Users\jaime.benazar\Quorum Business Solutions\Ecopetrol Prometeo - Documents\Planning Space Implementation\3. Analysis &amp; Design\Design\FC22\DRR Jaime\Neiva CPI\[VAO_DINA TERCIARIOS_CF_SEC_20230117.xlsx]CF PRB'!$BB$40</v>
      </c>
      <c r="J3578" s="1" t="s">
        <v>1727</v>
      </c>
    </row>
    <row r="3579" spans="1:10" x14ac:dyDescent="0.3">
      <c r="A3579" s="6" t="s">
        <v>20</v>
      </c>
      <c r="B3579" s="6">
        <f t="shared" si="822"/>
        <v>2028</v>
      </c>
      <c r="C3579" s="1" t="s">
        <v>28</v>
      </c>
      <c r="D3579" s="2" t="s">
        <v>131</v>
      </c>
      <c r="E3579" s="9" t="str">
        <f t="shared" si="819"/>
        <v>PRB'!</v>
      </c>
      <c r="F3579" s="5" t="str">
        <f t="shared" si="805"/>
        <v>C:\Users\jaime.benazar\Quorum Business Solutions\Ecopetrol Prometeo - Documents\Planning Space Implementation\3. Analysis &amp; Design\Design\FC22\DRR Jaime\Neiva CPI\[VAO_DINA TERCIARIOS_CF_SEC_20230117.xlsx]CF PRB'!</v>
      </c>
      <c r="G3579" s="6" t="s">
        <v>112</v>
      </c>
      <c r="H3579" s="1">
        <f t="shared" si="821"/>
        <v>41</v>
      </c>
      <c r="I3579" s="1" t="str">
        <f t="shared" si="820"/>
        <v>='C:\Users\jaime.benazar\Quorum Business Solutions\Ecopetrol Prometeo - Documents\Planning Space Implementation\3. Analysis &amp; Design\Design\FC22\DRR Jaime\Neiva CPI\[VAO_DINA TERCIARIOS_CF_SEC_20230117.xlsx]CF PRB'!$BB$41</v>
      </c>
      <c r="J3579" s="1" t="s">
        <v>1728</v>
      </c>
    </row>
    <row r="3580" spans="1:10" x14ac:dyDescent="0.3">
      <c r="A3580" s="6" t="s">
        <v>20</v>
      </c>
      <c r="B3580" s="6">
        <f t="shared" si="822"/>
        <v>2029</v>
      </c>
      <c r="C3580" s="1" t="s">
        <v>28</v>
      </c>
      <c r="D3580" s="2" t="s">
        <v>131</v>
      </c>
      <c r="E3580" s="9" t="str">
        <f t="shared" si="819"/>
        <v>PRB'!</v>
      </c>
      <c r="F3580" s="5" t="str">
        <f t="shared" si="805"/>
        <v>C:\Users\jaime.benazar\Quorum Business Solutions\Ecopetrol Prometeo - Documents\Planning Space Implementation\3. Analysis &amp; Design\Design\FC22\DRR Jaime\Neiva CPI\[VAO_DINA TERCIARIOS_CF_SEC_20230117.xlsx]CF PRB'!</v>
      </c>
      <c r="G3580" s="6" t="s">
        <v>112</v>
      </c>
      <c r="H3580" s="1">
        <f t="shared" si="821"/>
        <v>42</v>
      </c>
      <c r="I3580" s="1" t="str">
        <f t="shared" si="820"/>
        <v>='C:\Users\jaime.benazar\Quorum Business Solutions\Ecopetrol Prometeo - Documents\Planning Space Implementation\3. Analysis &amp; Design\Design\FC22\DRR Jaime\Neiva CPI\[VAO_DINA TERCIARIOS_CF_SEC_20230117.xlsx]CF PRB'!$BB$42</v>
      </c>
      <c r="J3580" s="1" t="s">
        <v>1729</v>
      </c>
    </row>
    <row r="3581" spans="1:10" x14ac:dyDescent="0.3">
      <c r="A3581" s="6" t="s">
        <v>20</v>
      </c>
      <c r="B3581" s="6">
        <f t="shared" si="822"/>
        <v>2030</v>
      </c>
      <c r="C3581" s="1" t="s">
        <v>28</v>
      </c>
      <c r="D3581" s="2" t="s">
        <v>131</v>
      </c>
      <c r="E3581" s="9" t="str">
        <f t="shared" si="819"/>
        <v>PRB'!</v>
      </c>
      <c r="F3581" s="5" t="str">
        <f t="shared" si="805"/>
        <v>C:\Users\jaime.benazar\Quorum Business Solutions\Ecopetrol Prometeo - Documents\Planning Space Implementation\3. Analysis &amp; Design\Design\FC22\DRR Jaime\Neiva CPI\[VAO_DINA TERCIARIOS_CF_SEC_20230117.xlsx]CF PRB'!</v>
      </c>
      <c r="G3581" s="6" t="s">
        <v>112</v>
      </c>
      <c r="H3581" s="1">
        <f t="shared" si="821"/>
        <v>43</v>
      </c>
      <c r="I3581" s="1" t="str">
        <f t="shared" si="820"/>
        <v>='C:\Users\jaime.benazar\Quorum Business Solutions\Ecopetrol Prometeo - Documents\Planning Space Implementation\3. Analysis &amp; Design\Design\FC22\DRR Jaime\Neiva CPI\[VAO_DINA TERCIARIOS_CF_SEC_20230117.xlsx]CF PRB'!$BB$43</v>
      </c>
      <c r="J3581" s="1" t="s">
        <v>1730</v>
      </c>
    </row>
    <row r="3582" spans="1:10" x14ac:dyDescent="0.3">
      <c r="A3582" s="6" t="s">
        <v>20</v>
      </c>
      <c r="B3582" s="6">
        <f t="shared" si="822"/>
        <v>2031</v>
      </c>
      <c r="C3582" s="1" t="s">
        <v>28</v>
      </c>
      <c r="D3582" s="2" t="s">
        <v>131</v>
      </c>
      <c r="E3582" s="9" t="str">
        <f t="shared" si="819"/>
        <v>PRB'!</v>
      </c>
      <c r="F3582" s="5" t="str">
        <f t="shared" si="805"/>
        <v>C:\Users\jaime.benazar\Quorum Business Solutions\Ecopetrol Prometeo - Documents\Planning Space Implementation\3. Analysis &amp; Design\Design\FC22\DRR Jaime\Neiva CPI\[VAO_DINA TERCIARIOS_CF_SEC_20230117.xlsx]CF PRB'!</v>
      </c>
      <c r="G3582" s="6" t="s">
        <v>112</v>
      </c>
      <c r="H3582" s="1">
        <f t="shared" si="821"/>
        <v>44</v>
      </c>
      <c r="I3582" s="1" t="str">
        <f t="shared" si="820"/>
        <v>='C:\Users\jaime.benazar\Quorum Business Solutions\Ecopetrol Prometeo - Documents\Planning Space Implementation\3. Analysis &amp; Design\Design\FC22\DRR Jaime\Neiva CPI\[VAO_DINA TERCIARIOS_CF_SEC_20230117.xlsx]CF PRB'!$BB$44</v>
      </c>
      <c r="J3582" s="1" t="s">
        <v>1731</v>
      </c>
    </row>
    <row r="3583" spans="1:10" x14ac:dyDescent="0.3">
      <c r="A3583" s="6" t="s">
        <v>20</v>
      </c>
      <c r="B3583" s="6">
        <f t="shared" si="822"/>
        <v>2032</v>
      </c>
      <c r="C3583" s="1" t="s">
        <v>28</v>
      </c>
      <c r="D3583" s="2" t="s">
        <v>131</v>
      </c>
      <c r="E3583" s="9" t="str">
        <f t="shared" si="819"/>
        <v>PRB'!</v>
      </c>
      <c r="F3583" s="5" t="str">
        <f t="shared" si="805"/>
        <v>C:\Users\jaime.benazar\Quorum Business Solutions\Ecopetrol Prometeo - Documents\Planning Space Implementation\3. Analysis &amp; Design\Design\FC22\DRR Jaime\Neiva CPI\[VAO_DINA TERCIARIOS_CF_SEC_20230117.xlsx]CF PRB'!</v>
      </c>
      <c r="G3583" s="6" t="s">
        <v>112</v>
      </c>
      <c r="H3583" s="1">
        <f t="shared" si="821"/>
        <v>45</v>
      </c>
      <c r="I3583" s="1" t="str">
        <f t="shared" si="820"/>
        <v>='C:\Users\jaime.benazar\Quorum Business Solutions\Ecopetrol Prometeo - Documents\Planning Space Implementation\3. Analysis &amp; Design\Design\FC22\DRR Jaime\Neiva CPI\[VAO_DINA TERCIARIOS_CF_SEC_20230117.xlsx]CF PRB'!$BB$45</v>
      </c>
      <c r="J3583" s="1" t="s">
        <v>1732</v>
      </c>
    </row>
    <row r="3584" spans="1:10" x14ac:dyDescent="0.3">
      <c r="A3584" s="6" t="s">
        <v>20</v>
      </c>
      <c r="B3584" s="6">
        <f t="shared" si="822"/>
        <v>2033</v>
      </c>
      <c r="C3584" s="1" t="s">
        <v>28</v>
      </c>
      <c r="D3584" s="2" t="s">
        <v>131</v>
      </c>
      <c r="E3584" s="9" t="str">
        <f t="shared" si="819"/>
        <v>PRB'!</v>
      </c>
      <c r="F3584" s="5" t="str">
        <f t="shared" si="805"/>
        <v>C:\Users\jaime.benazar\Quorum Business Solutions\Ecopetrol Prometeo - Documents\Planning Space Implementation\3. Analysis &amp; Design\Design\FC22\DRR Jaime\Neiva CPI\[VAO_DINA TERCIARIOS_CF_SEC_20230117.xlsx]CF PRB'!</v>
      </c>
      <c r="G3584" s="6" t="s">
        <v>112</v>
      </c>
      <c r="H3584" s="1">
        <f t="shared" si="821"/>
        <v>46</v>
      </c>
      <c r="I3584" s="1" t="str">
        <f t="shared" si="820"/>
        <v>='C:\Users\jaime.benazar\Quorum Business Solutions\Ecopetrol Prometeo - Documents\Planning Space Implementation\3. Analysis &amp; Design\Design\FC22\DRR Jaime\Neiva CPI\[VAO_DINA TERCIARIOS_CF_SEC_20230117.xlsx]CF PRB'!$BB$46</v>
      </c>
      <c r="J3584" s="1" t="s">
        <v>1733</v>
      </c>
    </row>
    <row r="3585" spans="1:10" x14ac:dyDescent="0.3">
      <c r="A3585" s="6" t="s">
        <v>20</v>
      </c>
      <c r="B3585" s="6">
        <f t="shared" si="822"/>
        <v>2034</v>
      </c>
      <c r="C3585" s="1" t="s">
        <v>28</v>
      </c>
      <c r="D3585" s="2" t="s">
        <v>131</v>
      </c>
      <c r="E3585" s="9" t="str">
        <f t="shared" si="819"/>
        <v>PRB'!</v>
      </c>
      <c r="F3585" s="5" t="str">
        <f t="shared" si="805"/>
        <v>C:\Users\jaime.benazar\Quorum Business Solutions\Ecopetrol Prometeo - Documents\Planning Space Implementation\3. Analysis &amp; Design\Design\FC22\DRR Jaime\Neiva CPI\[VAO_DINA TERCIARIOS_CF_SEC_20230117.xlsx]CF PRB'!</v>
      </c>
      <c r="G3585" s="6" t="s">
        <v>112</v>
      </c>
      <c r="H3585" s="1">
        <f t="shared" si="821"/>
        <v>47</v>
      </c>
      <c r="I3585" s="1" t="str">
        <f t="shared" si="820"/>
        <v>='C:\Users\jaime.benazar\Quorum Business Solutions\Ecopetrol Prometeo - Documents\Planning Space Implementation\3. Analysis &amp; Design\Design\FC22\DRR Jaime\Neiva CPI\[VAO_DINA TERCIARIOS_CF_SEC_20230117.xlsx]CF PRB'!$BB$47</v>
      </c>
      <c r="J3585" s="1" t="s">
        <v>1734</v>
      </c>
    </row>
    <row r="3586" spans="1:10" x14ac:dyDescent="0.3">
      <c r="A3586" s="6" t="s">
        <v>20</v>
      </c>
      <c r="B3586" s="6">
        <f t="shared" si="822"/>
        <v>2035</v>
      </c>
      <c r="C3586" s="1" t="s">
        <v>28</v>
      </c>
      <c r="D3586" s="2" t="s">
        <v>131</v>
      </c>
      <c r="E3586" s="9" t="str">
        <f t="shared" si="819"/>
        <v>PRB'!</v>
      </c>
      <c r="F3586" s="5" t="str">
        <f t="shared" si="805"/>
        <v>C:\Users\jaime.benazar\Quorum Business Solutions\Ecopetrol Prometeo - Documents\Planning Space Implementation\3. Analysis &amp; Design\Design\FC22\DRR Jaime\Neiva CPI\[VAO_DINA TERCIARIOS_CF_SEC_20230117.xlsx]CF PRB'!</v>
      </c>
      <c r="G3586" s="6" t="s">
        <v>112</v>
      </c>
      <c r="H3586" s="1">
        <f t="shared" si="821"/>
        <v>48</v>
      </c>
      <c r="I3586" s="1" t="str">
        <f t="shared" si="820"/>
        <v>='C:\Users\jaime.benazar\Quorum Business Solutions\Ecopetrol Prometeo - Documents\Planning Space Implementation\3. Analysis &amp; Design\Design\FC22\DRR Jaime\Neiva CPI\[VAO_DINA TERCIARIOS_CF_SEC_20230117.xlsx]CF PRB'!$BB$48</v>
      </c>
      <c r="J3586" s="1" t="s">
        <v>1735</v>
      </c>
    </row>
    <row r="3587" spans="1:10" x14ac:dyDescent="0.3">
      <c r="A3587" s="6" t="s">
        <v>20</v>
      </c>
      <c r="B3587" s="6">
        <f t="shared" si="822"/>
        <v>2036</v>
      </c>
      <c r="C3587" s="1" t="s">
        <v>28</v>
      </c>
      <c r="D3587" s="2" t="s">
        <v>131</v>
      </c>
      <c r="E3587" s="9" t="str">
        <f t="shared" si="819"/>
        <v>PRB'!</v>
      </c>
      <c r="F3587" s="5" t="str">
        <f t="shared" si="805"/>
        <v>C:\Users\jaime.benazar\Quorum Business Solutions\Ecopetrol Prometeo - Documents\Planning Space Implementation\3. Analysis &amp; Design\Design\FC22\DRR Jaime\Neiva CPI\[VAO_DINA TERCIARIOS_CF_SEC_20230117.xlsx]CF PRB'!</v>
      </c>
      <c r="G3587" s="6" t="s">
        <v>112</v>
      </c>
      <c r="H3587" s="1">
        <f t="shared" si="821"/>
        <v>49</v>
      </c>
      <c r="I3587" s="1" t="str">
        <f t="shared" si="820"/>
        <v>='C:\Users\jaime.benazar\Quorum Business Solutions\Ecopetrol Prometeo - Documents\Planning Space Implementation\3. Analysis &amp; Design\Design\FC22\DRR Jaime\Neiva CPI\[VAO_DINA TERCIARIOS_CF_SEC_20230117.xlsx]CF PRB'!$BB$49</v>
      </c>
      <c r="J3587" s="1" t="s">
        <v>1736</v>
      </c>
    </row>
    <row r="3588" spans="1:10" x14ac:dyDescent="0.3">
      <c r="A3588" s="6" t="s">
        <v>20</v>
      </c>
      <c r="B3588" s="6">
        <f>+B3587+1</f>
        <v>2037</v>
      </c>
      <c r="C3588" s="1" t="s">
        <v>28</v>
      </c>
      <c r="D3588" s="2" t="s">
        <v>131</v>
      </c>
      <c r="E3588" s="9" t="str">
        <f t="shared" si="819"/>
        <v>PRB'!</v>
      </c>
      <c r="F3588" s="5" t="str">
        <f t="shared" si="805"/>
        <v>C:\Users\jaime.benazar\Quorum Business Solutions\Ecopetrol Prometeo - Documents\Planning Space Implementation\3. Analysis &amp; Design\Design\FC22\DRR Jaime\Neiva CPI\[VAO_DINA TERCIARIOS_CF_SEC_20230117.xlsx]CF PRB'!</v>
      </c>
      <c r="G3588" s="6" t="s">
        <v>112</v>
      </c>
      <c r="H3588" s="1">
        <f t="shared" si="821"/>
        <v>50</v>
      </c>
      <c r="I3588" s="1" t="str">
        <f t="shared" si="820"/>
        <v>='C:\Users\jaime.benazar\Quorum Business Solutions\Ecopetrol Prometeo - Documents\Planning Space Implementation\3. Analysis &amp; Design\Design\FC22\DRR Jaime\Neiva CPI\[VAO_DINA TERCIARIOS_CF_SEC_20230117.xlsx]CF PRB'!$BB$50</v>
      </c>
      <c r="J3588" s="1" t="s">
        <v>1737</v>
      </c>
    </row>
    <row r="3589" spans="1:10" x14ac:dyDescent="0.3">
      <c r="A3589" s="6" t="s">
        <v>20</v>
      </c>
      <c r="B3589" s="6">
        <f t="shared" ref="B3589:B3591" si="823">+B3588+1</f>
        <v>2038</v>
      </c>
      <c r="C3589" s="1" t="s">
        <v>28</v>
      </c>
      <c r="D3589" s="2" t="s">
        <v>131</v>
      </c>
      <c r="E3589" s="9" t="str">
        <f t="shared" si="819"/>
        <v>PRB'!</v>
      </c>
      <c r="F3589" s="5" t="str">
        <f t="shared" si="805"/>
        <v>C:\Users\jaime.benazar\Quorum Business Solutions\Ecopetrol Prometeo - Documents\Planning Space Implementation\3. Analysis &amp; Design\Design\FC22\DRR Jaime\Neiva CPI\[VAO_DINA TERCIARIOS_CF_SEC_20230117.xlsx]CF PRB'!</v>
      </c>
      <c r="G3589" s="6" t="s">
        <v>112</v>
      </c>
      <c r="H3589" s="1">
        <f t="shared" si="821"/>
        <v>51</v>
      </c>
      <c r="I3589" s="1" t="str">
        <f t="shared" si="820"/>
        <v>='C:\Users\jaime.benazar\Quorum Business Solutions\Ecopetrol Prometeo - Documents\Planning Space Implementation\3. Analysis &amp; Design\Design\FC22\DRR Jaime\Neiva CPI\[VAO_DINA TERCIARIOS_CF_SEC_20230117.xlsx]CF PRB'!$BB$51</v>
      </c>
      <c r="J3589" s="1" t="s">
        <v>1738</v>
      </c>
    </row>
    <row r="3590" spans="1:10" x14ac:dyDescent="0.3">
      <c r="A3590" s="6" t="s">
        <v>20</v>
      </c>
      <c r="B3590" s="6">
        <f t="shared" si="823"/>
        <v>2039</v>
      </c>
      <c r="C3590" s="1" t="s">
        <v>28</v>
      </c>
      <c r="D3590" s="2" t="s">
        <v>131</v>
      </c>
      <c r="E3590" s="9" t="str">
        <f t="shared" si="819"/>
        <v>PRB'!</v>
      </c>
      <c r="F3590" s="5" t="str">
        <f t="shared" ref="F3590:F3594" si="824">_xlfn.CONCAT(D3590," ",E3590)</f>
        <v>C:\Users\jaime.benazar\Quorum Business Solutions\Ecopetrol Prometeo - Documents\Planning Space Implementation\3. Analysis &amp; Design\Design\FC22\DRR Jaime\Neiva CPI\[VAO_DINA TERCIARIOS_CF_SEC_20230117.xlsx]CF PRB'!</v>
      </c>
      <c r="G3590" s="6" t="s">
        <v>112</v>
      </c>
      <c r="H3590" s="1">
        <f t="shared" si="821"/>
        <v>52</v>
      </c>
      <c r="I3590" s="1" t="str">
        <f t="shared" si="820"/>
        <v>='C:\Users\jaime.benazar\Quorum Business Solutions\Ecopetrol Prometeo - Documents\Planning Space Implementation\3. Analysis &amp; Design\Design\FC22\DRR Jaime\Neiva CPI\[VAO_DINA TERCIARIOS_CF_SEC_20230117.xlsx]CF PRB'!$BB$52</v>
      </c>
      <c r="J3590" s="1" t="s">
        <v>1739</v>
      </c>
    </row>
    <row r="3591" spans="1:10" x14ac:dyDescent="0.3">
      <c r="A3591" s="6" t="s">
        <v>20</v>
      </c>
      <c r="B3591" s="6">
        <f t="shared" si="823"/>
        <v>2040</v>
      </c>
      <c r="C3591" s="1" t="s">
        <v>28</v>
      </c>
      <c r="D3591" s="2" t="s">
        <v>131</v>
      </c>
      <c r="E3591" s="9" t="str">
        <f t="shared" si="819"/>
        <v>PRB'!</v>
      </c>
      <c r="F3591" s="5" t="str">
        <f t="shared" si="824"/>
        <v>C:\Users\jaime.benazar\Quorum Business Solutions\Ecopetrol Prometeo - Documents\Planning Space Implementation\3. Analysis &amp; Design\Design\FC22\DRR Jaime\Neiva CPI\[VAO_DINA TERCIARIOS_CF_SEC_20230117.xlsx]CF PRB'!</v>
      </c>
      <c r="G3591" s="6" t="s">
        <v>112</v>
      </c>
      <c r="H3591" s="1">
        <f t="shared" si="821"/>
        <v>53</v>
      </c>
      <c r="I3591" s="1" t="str">
        <f t="shared" si="820"/>
        <v>='C:\Users\jaime.benazar\Quorum Business Solutions\Ecopetrol Prometeo - Documents\Planning Space Implementation\3. Analysis &amp; Design\Design\FC22\DRR Jaime\Neiva CPI\[VAO_DINA TERCIARIOS_CF_SEC_20230117.xlsx]CF PRB'!$BB$53</v>
      </c>
      <c r="J3591" s="1" t="s">
        <v>1740</v>
      </c>
    </row>
    <row r="3592" spans="1:10" x14ac:dyDescent="0.3">
      <c r="A3592" s="6" t="s">
        <v>20</v>
      </c>
      <c r="B3592" s="6">
        <f>+B3591+1</f>
        <v>2041</v>
      </c>
      <c r="C3592" s="1" t="s">
        <v>28</v>
      </c>
      <c r="D3592" s="2" t="s">
        <v>131</v>
      </c>
      <c r="E3592" s="9" t="str">
        <f t="shared" si="819"/>
        <v>PRB'!</v>
      </c>
      <c r="F3592" s="5" t="str">
        <f t="shared" si="824"/>
        <v>C:\Users\jaime.benazar\Quorum Business Solutions\Ecopetrol Prometeo - Documents\Planning Space Implementation\3. Analysis &amp; Design\Design\FC22\DRR Jaime\Neiva CPI\[VAO_DINA TERCIARIOS_CF_SEC_20230117.xlsx]CF PRB'!</v>
      </c>
      <c r="G3592" s="6" t="s">
        <v>112</v>
      </c>
      <c r="H3592" s="1">
        <f t="shared" si="821"/>
        <v>54</v>
      </c>
      <c r="I3592" s="1" t="str">
        <f t="shared" si="820"/>
        <v>='C:\Users\jaime.benazar\Quorum Business Solutions\Ecopetrol Prometeo - Documents\Planning Space Implementation\3. Analysis &amp; Design\Design\FC22\DRR Jaime\Neiva CPI\[VAO_DINA TERCIARIOS_CF_SEC_20230117.xlsx]CF PRB'!$BB$54</v>
      </c>
      <c r="J3592" s="1" t="s">
        <v>1741</v>
      </c>
    </row>
    <row r="3593" spans="1:10" x14ac:dyDescent="0.3">
      <c r="A3593" s="6" t="s">
        <v>20</v>
      </c>
      <c r="B3593" s="6">
        <f t="shared" ref="B3593:B3594" si="825">+B3592+1</f>
        <v>2042</v>
      </c>
      <c r="C3593" s="1" t="s">
        <v>28</v>
      </c>
      <c r="D3593" s="2" t="s">
        <v>131</v>
      </c>
      <c r="E3593" s="9" t="str">
        <f t="shared" si="819"/>
        <v>PRB'!</v>
      </c>
      <c r="F3593" s="5" t="str">
        <f t="shared" si="824"/>
        <v>C:\Users\jaime.benazar\Quorum Business Solutions\Ecopetrol Prometeo - Documents\Planning Space Implementation\3. Analysis &amp; Design\Design\FC22\DRR Jaime\Neiva CPI\[VAO_DINA TERCIARIOS_CF_SEC_20230117.xlsx]CF PRB'!</v>
      </c>
      <c r="G3593" s="6" t="s">
        <v>112</v>
      </c>
      <c r="H3593" s="1">
        <f t="shared" si="821"/>
        <v>55</v>
      </c>
      <c r="I3593" s="1" t="str">
        <f t="shared" si="820"/>
        <v>='C:\Users\jaime.benazar\Quorum Business Solutions\Ecopetrol Prometeo - Documents\Planning Space Implementation\3. Analysis &amp; Design\Design\FC22\DRR Jaime\Neiva CPI\[VAO_DINA TERCIARIOS_CF_SEC_20230117.xlsx]CF PRB'!$BB$55</v>
      </c>
      <c r="J3593" s="1" t="s">
        <v>1742</v>
      </c>
    </row>
    <row r="3594" spans="1:10" x14ac:dyDescent="0.3">
      <c r="A3594" s="6" t="s">
        <v>20</v>
      </c>
      <c r="B3594" s="6">
        <f t="shared" si="825"/>
        <v>2043</v>
      </c>
      <c r="C3594" s="1" t="s">
        <v>28</v>
      </c>
      <c r="D3594" s="2" t="s">
        <v>131</v>
      </c>
      <c r="E3594" s="9" t="str">
        <f t="shared" si="819"/>
        <v>PRB'!</v>
      </c>
      <c r="F3594" s="5" t="str">
        <f t="shared" si="824"/>
        <v>C:\Users\jaime.benazar\Quorum Business Solutions\Ecopetrol Prometeo - Documents\Planning Space Implementation\3. Analysis &amp; Design\Design\FC22\DRR Jaime\Neiva CPI\[VAO_DINA TERCIARIOS_CF_SEC_20230117.xlsx]CF PRB'!</v>
      </c>
      <c r="G3594" s="6" t="s">
        <v>112</v>
      </c>
      <c r="H3594" s="1">
        <f t="shared" si="821"/>
        <v>56</v>
      </c>
      <c r="I3594" s="1" t="str">
        <f t="shared" si="820"/>
        <v>='C:\Users\jaime.benazar\Quorum Business Solutions\Ecopetrol Prometeo - Documents\Planning Space Implementation\3. Analysis &amp; Design\Design\FC22\DRR Jaime\Neiva CPI\[VAO_DINA TERCIARIOS_CF_SEC_20230117.xlsx]CF PRB'!$BB$56</v>
      </c>
      <c r="J3594" s="1" t="s">
        <v>1743</v>
      </c>
    </row>
    <row r="3595" spans="1:10" x14ac:dyDescent="0.3">
      <c r="A3595" s="6" t="s">
        <v>20</v>
      </c>
      <c r="B3595" s="6">
        <f>+B3594+1</f>
        <v>2044</v>
      </c>
      <c r="C3595" s="1" t="s">
        <v>28</v>
      </c>
      <c r="D3595" s="2" t="s">
        <v>131</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Jaime\Neiva CPI\[VAO_DINA TERCIARIOS_CF_SEC_20230117.xlsx]CF PRB'!</v>
      </c>
      <c r="G3595" s="6" t="s">
        <v>112</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Jaime\Neiva CPI\[VAO_DINA TERCIARIOS_CF_SEC_20230117.xlsx]CF PRB'!$BB$57</v>
      </c>
      <c r="J3595" s="1" t="s">
        <v>1744</v>
      </c>
    </row>
    <row r="3596" spans="1:10" x14ac:dyDescent="0.3">
      <c r="A3596" s="6" t="s">
        <v>20</v>
      </c>
      <c r="B3596" s="6">
        <f t="shared" ref="B3596:B3610" si="830">+B3595+1</f>
        <v>2045</v>
      </c>
      <c r="C3596" s="1" t="s">
        <v>28</v>
      </c>
      <c r="D3596" s="2" t="s">
        <v>131</v>
      </c>
      <c r="E3596" s="9" t="str">
        <f t="shared" si="826"/>
        <v>PRB'!</v>
      </c>
      <c r="F3596" s="5" t="str">
        <f t="shared" si="827"/>
        <v>C:\Users\jaime.benazar\Quorum Business Solutions\Ecopetrol Prometeo - Documents\Planning Space Implementation\3. Analysis &amp; Design\Design\FC22\DRR Jaime\Neiva CPI\[VAO_DINA TERCIARIOS_CF_SEC_20230117.xlsx]CF PRB'!</v>
      </c>
      <c r="G3596" s="6" t="s">
        <v>112</v>
      </c>
      <c r="H3596" s="1">
        <f t="shared" si="828"/>
        <v>58</v>
      </c>
      <c r="I3596" s="1" t="str">
        <f t="shared" si="829"/>
        <v>='C:\Users\jaime.benazar\Quorum Business Solutions\Ecopetrol Prometeo - Documents\Planning Space Implementation\3. Analysis &amp; Design\Design\FC22\DRR Jaime\Neiva CPI\[VAO_DINA TERCIARIOS_CF_SEC_20230117.xlsx]CF PRB'!$BB$58</v>
      </c>
      <c r="J3596" s="1" t="s">
        <v>1745</v>
      </c>
    </row>
    <row r="3597" spans="1:10" x14ac:dyDescent="0.3">
      <c r="A3597" s="6" t="s">
        <v>20</v>
      </c>
      <c r="B3597" s="6">
        <f t="shared" si="830"/>
        <v>2046</v>
      </c>
      <c r="C3597" s="1" t="s">
        <v>28</v>
      </c>
      <c r="D3597" s="2" t="s">
        <v>131</v>
      </c>
      <c r="E3597" s="9" t="str">
        <f t="shared" si="826"/>
        <v>PRB'!</v>
      </c>
      <c r="F3597" s="5" t="str">
        <f t="shared" si="827"/>
        <v>C:\Users\jaime.benazar\Quorum Business Solutions\Ecopetrol Prometeo - Documents\Planning Space Implementation\3. Analysis &amp; Design\Design\FC22\DRR Jaime\Neiva CPI\[VAO_DINA TERCIARIOS_CF_SEC_20230117.xlsx]CF PRB'!</v>
      </c>
      <c r="G3597" s="6" t="s">
        <v>112</v>
      </c>
      <c r="H3597" s="1">
        <f t="shared" si="828"/>
        <v>59</v>
      </c>
      <c r="I3597" s="1" t="str">
        <f t="shared" si="829"/>
        <v>='C:\Users\jaime.benazar\Quorum Business Solutions\Ecopetrol Prometeo - Documents\Planning Space Implementation\3. Analysis &amp; Design\Design\FC22\DRR Jaime\Neiva CPI\[VAO_DINA TERCIARIOS_CF_SEC_20230117.xlsx]CF PRB'!$BB$59</v>
      </c>
      <c r="J3597" s="1" t="s">
        <v>1746</v>
      </c>
    </row>
    <row r="3598" spans="1:10" x14ac:dyDescent="0.3">
      <c r="A3598" s="6" t="s">
        <v>20</v>
      </c>
      <c r="B3598" s="6">
        <f t="shared" si="830"/>
        <v>2047</v>
      </c>
      <c r="C3598" s="1" t="s">
        <v>28</v>
      </c>
      <c r="D3598" s="2" t="s">
        <v>131</v>
      </c>
      <c r="E3598" s="9" t="str">
        <f t="shared" si="826"/>
        <v>PRB'!</v>
      </c>
      <c r="F3598" s="5" t="str">
        <f t="shared" si="827"/>
        <v>C:\Users\jaime.benazar\Quorum Business Solutions\Ecopetrol Prometeo - Documents\Planning Space Implementation\3. Analysis &amp; Design\Design\FC22\DRR Jaime\Neiva CPI\[VAO_DINA TERCIARIOS_CF_SEC_20230117.xlsx]CF PRB'!</v>
      </c>
      <c r="G3598" s="6" t="s">
        <v>112</v>
      </c>
      <c r="H3598" s="1">
        <f t="shared" si="828"/>
        <v>60</v>
      </c>
      <c r="I3598" s="1" t="str">
        <f t="shared" si="829"/>
        <v>='C:\Users\jaime.benazar\Quorum Business Solutions\Ecopetrol Prometeo - Documents\Planning Space Implementation\3. Analysis &amp; Design\Design\FC22\DRR Jaime\Neiva CPI\[VAO_DINA TERCIARIOS_CF_SEC_20230117.xlsx]CF PRB'!$BB$60</v>
      </c>
      <c r="J3598" s="1" t="s">
        <v>1747</v>
      </c>
    </row>
    <row r="3599" spans="1:10" x14ac:dyDescent="0.3">
      <c r="A3599" s="6" t="s">
        <v>20</v>
      </c>
      <c r="B3599" s="6">
        <f t="shared" si="830"/>
        <v>2048</v>
      </c>
      <c r="C3599" s="1" t="s">
        <v>28</v>
      </c>
      <c r="D3599" s="2" t="s">
        <v>131</v>
      </c>
      <c r="E3599" s="9" t="str">
        <f t="shared" si="826"/>
        <v>PRB'!</v>
      </c>
      <c r="F3599" s="5" t="str">
        <f t="shared" si="827"/>
        <v>C:\Users\jaime.benazar\Quorum Business Solutions\Ecopetrol Prometeo - Documents\Planning Space Implementation\3. Analysis &amp; Design\Design\FC22\DRR Jaime\Neiva CPI\[VAO_DINA TERCIARIOS_CF_SEC_20230117.xlsx]CF PRB'!</v>
      </c>
      <c r="G3599" s="6" t="s">
        <v>112</v>
      </c>
      <c r="H3599" s="1">
        <f t="shared" si="828"/>
        <v>61</v>
      </c>
      <c r="I3599" s="1" t="str">
        <f t="shared" si="829"/>
        <v>='C:\Users\jaime.benazar\Quorum Business Solutions\Ecopetrol Prometeo - Documents\Planning Space Implementation\3. Analysis &amp; Design\Design\FC22\DRR Jaime\Neiva CPI\[VAO_DINA TERCIARIOS_CF_SEC_20230117.xlsx]CF PRB'!$BB$61</v>
      </c>
      <c r="J3599" s="1" t="s">
        <v>1748</v>
      </c>
    </row>
    <row r="3600" spans="1:10" x14ac:dyDescent="0.3">
      <c r="A3600" s="6" t="s">
        <v>20</v>
      </c>
      <c r="B3600" s="6">
        <f t="shared" si="830"/>
        <v>2049</v>
      </c>
      <c r="C3600" s="1" t="s">
        <v>28</v>
      </c>
      <c r="D3600" s="2" t="s">
        <v>131</v>
      </c>
      <c r="E3600" s="9" t="str">
        <f t="shared" si="826"/>
        <v>PRB'!</v>
      </c>
      <c r="F3600" s="5" t="str">
        <f t="shared" si="827"/>
        <v>C:\Users\jaime.benazar\Quorum Business Solutions\Ecopetrol Prometeo - Documents\Planning Space Implementation\3. Analysis &amp; Design\Design\FC22\DRR Jaime\Neiva CPI\[VAO_DINA TERCIARIOS_CF_SEC_20230117.xlsx]CF PRB'!</v>
      </c>
      <c r="G3600" s="6" t="s">
        <v>112</v>
      </c>
      <c r="H3600" s="1">
        <f t="shared" si="828"/>
        <v>62</v>
      </c>
      <c r="I3600" s="1" t="str">
        <f t="shared" si="829"/>
        <v>='C:\Users\jaime.benazar\Quorum Business Solutions\Ecopetrol Prometeo - Documents\Planning Space Implementation\3. Analysis &amp; Design\Design\FC22\DRR Jaime\Neiva CPI\[VAO_DINA TERCIARIOS_CF_SEC_20230117.xlsx]CF PRB'!$BB$62</v>
      </c>
      <c r="J3600" s="1" t="s">
        <v>1749</v>
      </c>
    </row>
    <row r="3601" spans="1:10" x14ac:dyDescent="0.3">
      <c r="A3601" s="6" t="s">
        <v>20</v>
      </c>
      <c r="B3601" s="6">
        <f t="shared" si="830"/>
        <v>2050</v>
      </c>
      <c r="C3601" s="1" t="s">
        <v>28</v>
      </c>
      <c r="D3601" s="2" t="s">
        <v>131</v>
      </c>
      <c r="E3601" s="9" t="str">
        <f t="shared" si="826"/>
        <v>PRB'!</v>
      </c>
      <c r="F3601" s="5" t="str">
        <f t="shared" si="827"/>
        <v>C:\Users\jaime.benazar\Quorum Business Solutions\Ecopetrol Prometeo - Documents\Planning Space Implementation\3. Analysis &amp; Design\Design\FC22\DRR Jaime\Neiva CPI\[VAO_DINA TERCIARIOS_CF_SEC_20230117.xlsx]CF PRB'!</v>
      </c>
      <c r="G3601" s="6" t="s">
        <v>112</v>
      </c>
      <c r="H3601" s="1">
        <f t="shared" si="828"/>
        <v>63</v>
      </c>
      <c r="I3601" s="1" t="str">
        <f t="shared" si="829"/>
        <v>='C:\Users\jaime.benazar\Quorum Business Solutions\Ecopetrol Prometeo - Documents\Planning Space Implementation\3. Analysis &amp; Design\Design\FC22\DRR Jaime\Neiva CPI\[VAO_DINA TERCIARIOS_CF_SEC_20230117.xlsx]CF PRB'!$BB$63</v>
      </c>
      <c r="J3601" s="1" t="s">
        <v>1750</v>
      </c>
    </row>
    <row r="3602" spans="1:10" x14ac:dyDescent="0.3">
      <c r="A3602" s="6" t="s">
        <v>20</v>
      </c>
      <c r="B3602" s="6">
        <f t="shared" si="830"/>
        <v>2051</v>
      </c>
      <c r="C3602" s="1" t="s">
        <v>28</v>
      </c>
      <c r="D3602" s="2" t="s">
        <v>131</v>
      </c>
      <c r="E3602" s="9" t="str">
        <f t="shared" si="826"/>
        <v>PRB'!</v>
      </c>
      <c r="F3602" s="5" t="str">
        <f t="shared" si="827"/>
        <v>C:\Users\jaime.benazar\Quorum Business Solutions\Ecopetrol Prometeo - Documents\Planning Space Implementation\3. Analysis &amp; Design\Design\FC22\DRR Jaime\Neiva CPI\[VAO_DINA TERCIARIOS_CF_SEC_20230117.xlsx]CF PRB'!</v>
      </c>
      <c r="G3602" s="6" t="s">
        <v>112</v>
      </c>
      <c r="H3602" s="1">
        <f t="shared" si="828"/>
        <v>64</v>
      </c>
      <c r="I3602" s="1" t="str">
        <f t="shared" si="829"/>
        <v>='C:\Users\jaime.benazar\Quorum Business Solutions\Ecopetrol Prometeo - Documents\Planning Space Implementation\3. Analysis &amp; Design\Design\FC22\DRR Jaime\Neiva CPI\[VAO_DINA TERCIARIOS_CF_SEC_20230117.xlsx]CF PRB'!$BB$64</v>
      </c>
      <c r="J3602" s="1" t="s">
        <v>1751</v>
      </c>
    </row>
    <row r="3603" spans="1:10" x14ac:dyDescent="0.3">
      <c r="A3603" s="6" t="s">
        <v>20</v>
      </c>
      <c r="B3603" s="6">
        <f t="shared" si="830"/>
        <v>2052</v>
      </c>
      <c r="C3603" s="1" t="s">
        <v>28</v>
      </c>
      <c r="D3603" s="2" t="s">
        <v>131</v>
      </c>
      <c r="E3603" s="9" t="str">
        <f t="shared" si="826"/>
        <v>PRB'!</v>
      </c>
      <c r="F3603" s="5" t="str">
        <f t="shared" si="827"/>
        <v>C:\Users\jaime.benazar\Quorum Business Solutions\Ecopetrol Prometeo - Documents\Planning Space Implementation\3. Analysis &amp; Design\Design\FC22\DRR Jaime\Neiva CPI\[VAO_DINA TERCIARIOS_CF_SEC_20230117.xlsx]CF PRB'!</v>
      </c>
      <c r="G3603" s="6" t="s">
        <v>112</v>
      </c>
      <c r="H3603" s="1">
        <f t="shared" si="828"/>
        <v>65</v>
      </c>
      <c r="I3603" s="1" t="str">
        <f t="shared" si="829"/>
        <v>='C:\Users\jaime.benazar\Quorum Business Solutions\Ecopetrol Prometeo - Documents\Planning Space Implementation\3. Analysis &amp; Design\Design\FC22\DRR Jaime\Neiva CPI\[VAO_DINA TERCIARIOS_CF_SEC_20230117.xlsx]CF PRB'!$BB$65</v>
      </c>
      <c r="J3603" s="1" t="s">
        <v>1752</v>
      </c>
    </row>
    <row r="3604" spans="1:10" x14ac:dyDescent="0.3">
      <c r="A3604" s="6" t="s">
        <v>20</v>
      </c>
      <c r="B3604" s="6">
        <f t="shared" si="830"/>
        <v>2053</v>
      </c>
      <c r="C3604" s="1" t="s">
        <v>28</v>
      </c>
      <c r="D3604" s="2" t="s">
        <v>131</v>
      </c>
      <c r="E3604" s="9" t="str">
        <f t="shared" si="826"/>
        <v>PRB'!</v>
      </c>
      <c r="F3604" s="5" t="str">
        <f t="shared" si="827"/>
        <v>C:\Users\jaime.benazar\Quorum Business Solutions\Ecopetrol Prometeo - Documents\Planning Space Implementation\3. Analysis &amp; Design\Design\FC22\DRR Jaime\Neiva CPI\[VAO_DINA TERCIARIOS_CF_SEC_20230117.xlsx]CF PRB'!</v>
      </c>
      <c r="G3604" s="6" t="s">
        <v>112</v>
      </c>
      <c r="H3604" s="1">
        <f t="shared" si="828"/>
        <v>66</v>
      </c>
      <c r="I3604" s="1" t="str">
        <f t="shared" si="829"/>
        <v>='C:\Users\jaime.benazar\Quorum Business Solutions\Ecopetrol Prometeo - Documents\Planning Space Implementation\3. Analysis &amp; Design\Design\FC22\DRR Jaime\Neiva CPI\[VAO_DINA TERCIARIOS_CF_SEC_20230117.xlsx]CF PRB'!$BB$66</v>
      </c>
      <c r="J3604" s="1" t="s">
        <v>1753</v>
      </c>
    </row>
    <row r="3605" spans="1:10" x14ac:dyDescent="0.3">
      <c r="A3605" s="6" t="s">
        <v>20</v>
      </c>
      <c r="B3605" s="6">
        <f t="shared" si="830"/>
        <v>2054</v>
      </c>
      <c r="C3605" s="1" t="s">
        <v>28</v>
      </c>
      <c r="D3605" s="2" t="s">
        <v>131</v>
      </c>
      <c r="E3605" s="9" t="str">
        <f t="shared" si="826"/>
        <v>PRB'!</v>
      </c>
      <c r="F3605" s="5" t="str">
        <f t="shared" si="827"/>
        <v>C:\Users\jaime.benazar\Quorum Business Solutions\Ecopetrol Prometeo - Documents\Planning Space Implementation\3. Analysis &amp; Design\Design\FC22\DRR Jaime\Neiva CPI\[VAO_DINA TERCIARIOS_CF_SEC_20230117.xlsx]CF PRB'!</v>
      </c>
      <c r="G3605" s="6" t="s">
        <v>112</v>
      </c>
      <c r="H3605" s="1">
        <f t="shared" si="828"/>
        <v>67</v>
      </c>
      <c r="I3605" s="1" t="str">
        <f t="shared" si="829"/>
        <v>='C:\Users\jaime.benazar\Quorum Business Solutions\Ecopetrol Prometeo - Documents\Planning Space Implementation\3. Analysis &amp; Design\Design\FC22\DRR Jaime\Neiva CPI\[VAO_DINA TERCIARIOS_CF_SEC_20230117.xlsx]CF PRB'!$BB$67</v>
      </c>
      <c r="J3605" s="1" t="s">
        <v>1754</v>
      </c>
    </row>
    <row r="3606" spans="1:10" x14ac:dyDescent="0.3">
      <c r="A3606" s="6" t="s">
        <v>20</v>
      </c>
      <c r="B3606" s="6">
        <f t="shared" si="830"/>
        <v>2055</v>
      </c>
      <c r="C3606" s="1" t="s">
        <v>28</v>
      </c>
      <c r="D3606" s="2" t="s">
        <v>131</v>
      </c>
      <c r="E3606" s="9" t="str">
        <f t="shared" si="826"/>
        <v>PRB'!</v>
      </c>
      <c r="F3606" s="5" t="str">
        <f t="shared" si="827"/>
        <v>C:\Users\jaime.benazar\Quorum Business Solutions\Ecopetrol Prometeo - Documents\Planning Space Implementation\3. Analysis &amp; Design\Design\FC22\DRR Jaime\Neiva CPI\[VAO_DINA TERCIARIOS_CF_SEC_20230117.xlsx]CF PRB'!</v>
      </c>
      <c r="G3606" s="6" t="s">
        <v>112</v>
      </c>
      <c r="H3606" s="1">
        <f t="shared" si="828"/>
        <v>68</v>
      </c>
      <c r="I3606" s="1" t="str">
        <f t="shared" si="829"/>
        <v>='C:\Users\jaime.benazar\Quorum Business Solutions\Ecopetrol Prometeo - Documents\Planning Space Implementation\3. Analysis &amp; Design\Design\FC22\DRR Jaime\Neiva CPI\[VAO_DINA TERCIARIOS_CF_SEC_20230117.xlsx]CF PRB'!$BB$68</v>
      </c>
      <c r="J3606" s="1" t="s">
        <v>1755</v>
      </c>
    </row>
    <row r="3607" spans="1:10" x14ac:dyDescent="0.3">
      <c r="A3607" s="6" t="s">
        <v>20</v>
      </c>
      <c r="B3607" s="6">
        <f t="shared" si="830"/>
        <v>2056</v>
      </c>
      <c r="C3607" s="1" t="s">
        <v>28</v>
      </c>
      <c r="D3607" s="2" t="s">
        <v>131</v>
      </c>
      <c r="E3607" s="9" t="str">
        <f t="shared" si="826"/>
        <v>PRB'!</v>
      </c>
      <c r="F3607" s="5" t="str">
        <f t="shared" si="827"/>
        <v>C:\Users\jaime.benazar\Quorum Business Solutions\Ecopetrol Prometeo - Documents\Planning Space Implementation\3. Analysis &amp; Design\Design\FC22\DRR Jaime\Neiva CPI\[VAO_DINA TERCIARIOS_CF_SEC_20230117.xlsx]CF PRB'!</v>
      </c>
      <c r="G3607" s="6" t="s">
        <v>112</v>
      </c>
      <c r="H3607" s="1">
        <f t="shared" si="828"/>
        <v>69</v>
      </c>
      <c r="I3607" s="1" t="str">
        <f t="shared" si="829"/>
        <v>='C:\Users\jaime.benazar\Quorum Business Solutions\Ecopetrol Prometeo - Documents\Planning Space Implementation\3. Analysis &amp; Design\Design\FC22\DRR Jaime\Neiva CPI\[VAO_DINA TERCIARIOS_CF_SEC_20230117.xlsx]CF PRB'!$BB$69</v>
      </c>
      <c r="J3607" s="1" t="s">
        <v>1756</v>
      </c>
    </row>
    <row r="3608" spans="1:10" x14ac:dyDescent="0.3">
      <c r="A3608" s="6" t="s">
        <v>20</v>
      </c>
      <c r="B3608" s="6">
        <f t="shared" si="830"/>
        <v>2057</v>
      </c>
      <c r="C3608" s="1" t="s">
        <v>28</v>
      </c>
      <c r="D3608" s="2" t="s">
        <v>131</v>
      </c>
      <c r="E3608" s="9" t="str">
        <f t="shared" si="826"/>
        <v>PRB'!</v>
      </c>
      <c r="F3608" s="5" t="str">
        <f t="shared" si="827"/>
        <v>C:\Users\jaime.benazar\Quorum Business Solutions\Ecopetrol Prometeo - Documents\Planning Space Implementation\3. Analysis &amp; Design\Design\FC22\DRR Jaime\Neiva CPI\[VAO_DINA TERCIARIOS_CF_SEC_20230117.xlsx]CF PRB'!</v>
      </c>
      <c r="G3608" s="6" t="s">
        <v>112</v>
      </c>
      <c r="H3608" s="1">
        <f t="shared" si="828"/>
        <v>70</v>
      </c>
      <c r="I3608" s="1" t="str">
        <f t="shared" si="829"/>
        <v>='C:\Users\jaime.benazar\Quorum Business Solutions\Ecopetrol Prometeo - Documents\Planning Space Implementation\3. Analysis &amp; Design\Design\FC22\DRR Jaime\Neiva CPI\[VAO_DINA TERCIARIOS_CF_SEC_20230117.xlsx]CF PRB'!$BB$70</v>
      </c>
      <c r="J3608" s="1" t="s">
        <v>1757</v>
      </c>
    </row>
    <row r="3609" spans="1:10" x14ac:dyDescent="0.3">
      <c r="A3609" s="6" t="s">
        <v>20</v>
      </c>
      <c r="B3609" s="6">
        <f t="shared" si="830"/>
        <v>2058</v>
      </c>
      <c r="C3609" s="1" t="s">
        <v>28</v>
      </c>
      <c r="D3609" s="2" t="s">
        <v>131</v>
      </c>
      <c r="E3609" s="9" t="str">
        <f t="shared" si="826"/>
        <v>PRB'!</v>
      </c>
      <c r="F3609" s="5" t="str">
        <f t="shared" si="827"/>
        <v>C:\Users\jaime.benazar\Quorum Business Solutions\Ecopetrol Prometeo - Documents\Planning Space Implementation\3. Analysis &amp; Design\Design\FC22\DRR Jaime\Neiva CPI\[VAO_DINA TERCIARIOS_CF_SEC_20230117.xlsx]CF PRB'!</v>
      </c>
      <c r="G3609" s="6" t="s">
        <v>112</v>
      </c>
      <c r="H3609" s="1">
        <f t="shared" si="828"/>
        <v>71</v>
      </c>
      <c r="I3609" s="1" t="str">
        <f t="shared" si="829"/>
        <v>='C:\Users\jaime.benazar\Quorum Business Solutions\Ecopetrol Prometeo - Documents\Planning Space Implementation\3. Analysis &amp; Design\Design\FC22\DRR Jaime\Neiva CPI\[VAO_DINA TERCIARIOS_CF_SEC_20230117.xlsx]CF PRB'!$BB$71</v>
      </c>
      <c r="J3609" s="1" t="s">
        <v>1758</v>
      </c>
    </row>
    <row r="3610" spans="1:10" x14ac:dyDescent="0.3">
      <c r="A3610" s="6" t="s">
        <v>20</v>
      </c>
      <c r="B3610" s="6">
        <f t="shared" si="830"/>
        <v>2059</v>
      </c>
      <c r="C3610" s="1" t="s">
        <v>28</v>
      </c>
      <c r="D3610" s="2" t="s">
        <v>131</v>
      </c>
      <c r="E3610" s="9" t="str">
        <f t="shared" si="826"/>
        <v>PRB'!</v>
      </c>
      <c r="F3610" s="5" t="str">
        <f t="shared" si="827"/>
        <v>C:\Users\jaime.benazar\Quorum Business Solutions\Ecopetrol Prometeo - Documents\Planning Space Implementation\3. Analysis &amp; Design\Design\FC22\DRR Jaime\Neiva CPI\[VAO_DINA TERCIARIOS_CF_SEC_20230117.xlsx]CF PRB'!</v>
      </c>
      <c r="G3610" s="6" t="s">
        <v>112</v>
      </c>
      <c r="H3610" s="1">
        <f t="shared" si="828"/>
        <v>72</v>
      </c>
      <c r="I3610" s="1" t="str">
        <f t="shared" si="829"/>
        <v>='C:\Users\jaime.benazar\Quorum Business Solutions\Ecopetrol Prometeo - Documents\Planning Space Implementation\3. Analysis &amp; Design\Design\FC22\DRR Jaime\Neiva CPI\[VAO_DINA TERCIARIOS_CF_SEC_20230117.xlsx]CF PRB'!$BB$72</v>
      </c>
      <c r="J3610" s="1" t="s">
        <v>1759</v>
      </c>
    </row>
    <row r="3611" spans="1:10" x14ac:dyDescent="0.3">
      <c r="A3611" s="6" t="s">
        <v>26</v>
      </c>
      <c r="B3611" s="6"/>
      <c r="C3611" s="1" t="s">
        <v>28</v>
      </c>
      <c r="D3611" s="2"/>
      <c r="E3611" s="9"/>
      <c r="F3611" s="2"/>
      <c r="G3611" s="6"/>
      <c r="H3611" s="1"/>
      <c r="I3611" s="1"/>
      <c r="J3611" s="4"/>
    </row>
    <row r="3612" spans="1:10" x14ac:dyDescent="0.3">
      <c r="A3612" s="6" t="s">
        <v>21</v>
      </c>
      <c r="B3612" s="6">
        <v>2023</v>
      </c>
      <c r="C3612" s="1" t="s">
        <v>28</v>
      </c>
      <c r="D3612" s="2" t="s">
        <v>131</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Jaime\Neiva CPI\[VAO_DINA TERCIARIOS_CF_SEC_20230117.xlsx]CF PSDP'!</v>
      </c>
      <c r="G3612" s="6" t="s">
        <v>112</v>
      </c>
      <c r="H3612" s="1"/>
      <c r="I3612" s="1"/>
      <c r="J3612" s="1"/>
    </row>
    <row r="3613" spans="1:10" x14ac:dyDescent="0.3">
      <c r="A3613" s="6" t="s">
        <v>21</v>
      </c>
      <c r="B3613" s="6">
        <f>+B3612+1</f>
        <v>2024</v>
      </c>
      <c r="C3613" s="1" t="s">
        <v>28</v>
      </c>
      <c r="D3613" s="2" t="s">
        <v>131</v>
      </c>
      <c r="E3613" s="9" t="str">
        <f t="shared" si="831"/>
        <v>PSDP'!</v>
      </c>
      <c r="F3613" s="5" t="str">
        <f t="shared" si="832"/>
        <v>C:\Users\jaime.benazar\Quorum Business Solutions\Ecopetrol Prometeo - Documents\Planning Space Implementation\3. Analysis &amp; Design\Design\FC22\DRR Jaime\Neiva CPI\[VAO_DINA TERCIARIOS_CF_SEC_20230117.xlsx]CF PSDP'!</v>
      </c>
      <c r="G3613" s="6" t="s">
        <v>112</v>
      </c>
      <c r="H3613" s="1"/>
      <c r="I3613" s="1"/>
      <c r="J3613" s="1"/>
    </row>
    <row r="3614" spans="1:10" x14ac:dyDescent="0.3">
      <c r="A3614" s="6" t="s">
        <v>21</v>
      </c>
      <c r="B3614" s="6">
        <f t="shared" ref="B3614:B3625" si="833">+B3613+1</f>
        <v>2025</v>
      </c>
      <c r="C3614" s="1" t="s">
        <v>28</v>
      </c>
      <c r="D3614" s="2" t="s">
        <v>131</v>
      </c>
      <c r="E3614" s="9" t="str">
        <f t="shared" si="831"/>
        <v>PSDP'!</v>
      </c>
      <c r="F3614" s="5" t="str">
        <f t="shared" si="832"/>
        <v>C:\Users\jaime.benazar\Quorum Business Solutions\Ecopetrol Prometeo - Documents\Planning Space Implementation\3. Analysis &amp; Design\Design\FC22\DRR Jaime\Neiva CPI\[VAO_DINA TERCIARIOS_CF_SEC_20230117.xlsx]CF PSDP'!</v>
      </c>
      <c r="G3614" s="6" t="s">
        <v>112</v>
      </c>
      <c r="H3614" s="1"/>
      <c r="I3614" s="1"/>
      <c r="J3614" s="1"/>
    </row>
    <row r="3615" spans="1:10" x14ac:dyDescent="0.3">
      <c r="A3615" s="6" t="s">
        <v>21</v>
      </c>
      <c r="B3615" s="6">
        <f t="shared" si="833"/>
        <v>2026</v>
      </c>
      <c r="C3615" s="1" t="s">
        <v>28</v>
      </c>
      <c r="D3615" s="2" t="s">
        <v>131</v>
      </c>
      <c r="E3615" s="9" t="str">
        <f t="shared" si="831"/>
        <v>PSDP'!</v>
      </c>
      <c r="F3615" s="5" t="str">
        <f t="shared" si="832"/>
        <v>C:\Users\jaime.benazar\Quorum Business Solutions\Ecopetrol Prometeo - Documents\Planning Space Implementation\3. Analysis &amp; Design\Design\FC22\DRR Jaime\Neiva CPI\[VAO_DINA TERCIARIOS_CF_SEC_20230117.xlsx]CF PSDP'!</v>
      </c>
      <c r="G3615" s="6" t="s">
        <v>112</v>
      </c>
      <c r="H3615" s="1"/>
      <c r="I3615" s="1"/>
      <c r="J3615" s="1"/>
    </row>
    <row r="3616" spans="1:10" x14ac:dyDescent="0.3">
      <c r="A3616" s="6" t="s">
        <v>21</v>
      </c>
      <c r="B3616" s="6">
        <f t="shared" si="833"/>
        <v>2027</v>
      </c>
      <c r="C3616" s="1" t="s">
        <v>28</v>
      </c>
      <c r="D3616" s="2" t="s">
        <v>131</v>
      </c>
      <c r="E3616" s="9" t="str">
        <f t="shared" si="831"/>
        <v>PSDP'!</v>
      </c>
      <c r="F3616" s="5" t="str">
        <f t="shared" si="832"/>
        <v>C:\Users\jaime.benazar\Quorum Business Solutions\Ecopetrol Prometeo - Documents\Planning Space Implementation\3. Analysis &amp; Design\Design\FC22\DRR Jaime\Neiva CPI\[VAO_DINA TERCIARIOS_CF_SEC_20230117.xlsx]CF PSDP'!</v>
      </c>
      <c r="G3616" s="6" t="s">
        <v>112</v>
      </c>
      <c r="H3616" s="1"/>
      <c r="I3616" s="1"/>
      <c r="J3616" s="1"/>
    </row>
    <row r="3617" spans="1:10" x14ac:dyDescent="0.3">
      <c r="A3617" s="6" t="s">
        <v>21</v>
      </c>
      <c r="B3617" s="6">
        <f t="shared" si="833"/>
        <v>2028</v>
      </c>
      <c r="C3617" s="1" t="s">
        <v>28</v>
      </c>
      <c r="D3617" s="2" t="s">
        <v>131</v>
      </c>
      <c r="E3617" s="9" t="str">
        <f t="shared" si="831"/>
        <v>PSDP'!</v>
      </c>
      <c r="F3617" s="5" t="str">
        <f t="shared" si="832"/>
        <v>C:\Users\jaime.benazar\Quorum Business Solutions\Ecopetrol Prometeo - Documents\Planning Space Implementation\3. Analysis &amp; Design\Design\FC22\DRR Jaime\Neiva CPI\[VAO_DINA TERCIARIOS_CF_SEC_20230117.xlsx]CF PSDP'!</v>
      </c>
      <c r="G3617" s="6" t="s">
        <v>112</v>
      </c>
      <c r="H3617" s="1"/>
      <c r="I3617" s="1"/>
      <c r="J3617" s="1"/>
    </row>
    <row r="3618" spans="1:10" x14ac:dyDescent="0.3">
      <c r="A3618" s="6" t="s">
        <v>21</v>
      </c>
      <c r="B3618" s="6">
        <f t="shared" si="833"/>
        <v>2029</v>
      </c>
      <c r="C3618" s="1" t="s">
        <v>28</v>
      </c>
      <c r="D3618" s="2" t="s">
        <v>131</v>
      </c>
      <c r="E3618" s="9" t="str">
        <f t="shared" si="831"/>
        <v>PSDP'!</v>
      </c>
      <c r="F3618" s="5" t="str">
        <f t="shared" si="832"/>
        <v>C:\Users\jaime.benazar\Quorum Business Solutions\Ecopetrol Prometeo - Documents\Planning Space Implementation\3. Analysis &amp; Design\Design\FC22\DRR Jaime\Neiva CPI\[VAO_DINA TERCIARIOS_CF_SEC_20230117.xlsx]CF PSDP'!</v>
      </c>
      <c r="G3618" s="6" t="s">
        <v>112</v>
      </c>
      <c r="H3618" s="1"/>
      <c r="I3618" s="1"/>
      <c r="J3618" s="1"/>
    </row>
    <row r="3619" spans="1:10" x14ac:dyDescent="0.3">
      <c r="A3619" s="6" t="s">
        <v>21</v>
      </c>
      <c r="B3619" s="6">
        <f t="shared" si="833"/>
        <v>2030</v>
      </c>
      <c r="C3619" s="1" t="s">
        <v>28</v>
      </c>
      <c r="D3619" s="2" t="s">
        <v>131</v>
      </c>
      <c r="E3619" s="9" t="str">
        <f t="shared" si="831"/>
        <v>PSDP'!</v>
      </c>
      <c r="F3619" s="5" t="str">
        <f t="shared" si="832"/>
        <v>C:\Users\jaime.benazar\Quorum Business Solutions\Ecopetrol Prometeo - Documents\Planning Space Implementation\3. Analysis &amp; Design\Design\FC22\DRR Jaime\Neiva CPI\[VAO_DINA TERCIARIOS_CF_SEC_20230117.xlsx]CF PSDP'!</v>
      </c>
      <c r="G3619" s="6" t="s">
        <v>112</v>
      </c>
      <c r="H3619" s="1"/>
      <c r="I3619" s="1"/>
      <c r="J3619" s="1"/>
    </row>
    <row r="3620" spans="1:10" x14ac:dyDescent="0.3">
      <c r="A3620" s="6" t="s">
        <v>21</v>
      </c>
      <c r="B3620" s="6">
        <f t="shared" si="833"/>
        <v>2031</v>
      </c>
      <c r="C3620" s="1" t="s">
        <v>28</v>
      </c>
      <c r="D3620" s="2" t="s">
        <v>131</v>
      </c>
      <c r="E3620" s="9" t="str">
        <f t="shared" si="831"/>
        <v>PSDP'!</v>
      </c>
      <c r="F3620" s="5" t="str">
        <f t="shared" si="832"/>
        <v>C:\Users\jaime.benazar\Quorum Business Solutions\Ecopetrol Prometeo - Documents\Planning Space Implementation\3. Analysis &amp; Design\Design\FC22\DRR Jaime\Neiva CPI\[VAO_DINA TERCIARIOS_CF_SEC_20230117.xlsx]CF PSDP'!</v>
      </c>
      <c r="G3620" s="6" t="s">
        <v>112</v>
      </c>
      <c r="H3620" s="1"/>
      <c r="I3620" s="1"/>
      <c r="J3620" s="1"/>
    </row>
    <row r="3621" spans="1:10" x14ac:dyDescent="0.3">
      <c r="A3621" s="6" t="s">
        <v>21</v>
      </c>
      <c r="B3621" s="6">
        <f t="shared" si="833"/>
        <v>2032</v>
      </c>
      <c r="C3621" s="1" t="s">
        <v>28</v>
      </c>
      <c r="D3621" s="2" t="s">
        <v>131</v>
      </c>
      <c r="E3621" s="9" t="str">
        <f t="shared" si="831"/>
        <v>PSDP'!</v>
      </c>
      <c r="F3621" s="5" t="str">
        <f t="shared" si="832"/>
        <v>C:\Users\jaime.benazar\Quorum Business Solutions\Ecopetrol Prometeo - Documents\Planning Space Implementation\3. Analysis &amp; Design\Design\FC22\DRR Jaime\Neiva CPI\[VAO_DINA TERCIARIOS_CF_SEC_20230117.xlsx]CF PSDP'!</v>
      </c>
      <c r="G3621" s="6" t="s">
        <v>112</v>
      </c>
      <c r="H3621" s="1"/>
      <c r="I3621" s="1"/>
      <c r="J3621" s="1"/>
    </row>
    <row r="3622" spans="1:10" x14ac:dyDescent="0.3">
      <c r="A3622" s="6" t="s">
        <v>21</v>
      </c>
      <c r="B3622" s="6">
        <f t="shared" si="833"/>
        <v>2033</v>
      </c>
      <c r="C3622" s="1" t="s">
        <v>28</v>
      </c>
      <c r="D3622" s="2" t="s">
        <v>131</v>
      </c>
      <c r="E3622" s="9" t="str">
        <f t="shared" si="831"/>
        <v>PSDP'!</v>
      </c>
      <c r="F3622" s="5" t="str">
        <f t="shared" si="832"/>
        <v>C:\Users\jaime.benazar\Quorum Business Solutions\Ecopetrol Prometeo - Documents\Planning Space Implementation\3. Analysis &amp; Design\Design\FC22\DRR Jaime\Neiva CPI\[VAO_DINA TERCIARIOS_CF_SEC_20230117.xlsx]CF PSDP'!</v>
      </c>
      <c r="G3622" s="6" t="s">
        <v>112</v>
      </c>
      <c r="H3622" s="1"/>
      <c r="I3622" s="1"/>
      <c r="J3622" s="1"/>
    </row>
    <row r="3623" spans="1:10" x14ac:dyDescent="0.3">
      <c r="A3623" s="6" t="s">
        <v>21</v>
      </c>
      <c r="B3623" s="6">
        <f t="shared" si="833"/>
        <v>2034</v>
      </c>
      <c r="C3623" s="1" t="s">
        <v>28</v>
      </c>
      <c r="D3623" s="2" t="s">
        <v>131</v>
      </c>
      <c r="E3623" s="9" t="str">
        <f t="shared" si="831"/>
        <v>PSDP'!</v>
      </c>
      <c r="F3623" s="5" t="str">
        <f t="shared" si="832"/>
        <v>C:\Users\jaime.benazar\Quorum Business Solutions\Ecopetrol Prometeo - Documents\Planning Space Implementation\3. Analysis &amp; Design\Design\FC22\DRR Jaime\Neiva CPI\[VAO_DINA TERCIARIOS_CF_SEC_20230117.xlsx]CF PSDP'!</v>
      </c>
      <c r="G3623" s="6" t="s">
        <v>112</v>
      </c>
      <c r="H3623" s="1"/>
      <c r="I3623" s="1"/>
      <c r="J3623" s="1"/>
    </row>
    <row r="3624" spans="1:10" x14ac:dyDescent="0.3">
      <c r="A3624" s="6" t="s">
        <v>21</v>
      </c>
      <c r="B3624" s="6">
        <f t="shared" si="833"/>
        <v>2035</v>
      </c>
      <c r="C3624" s="1" t="s">
        <v>28</v>
      </c>
      <c r="D3624" s="2" t="s">
        <v>131</v>
      </c>
      <c r="E3624" s="9" t="str">
        <f t="shared" si="831"/>
        <v>PSDP'!</v>
      </c>
      <c r="F3624" s="5" t="str">
        <f t="shared" si="832"/>
        <v>C:\Users\jaime.benazar\Quorum Business Solutions\Ecopetrol Prometeo - Documents\Planning Space Implementation\3. Analysis &amp; Design\Design\FC22\DRR Jaime\Neiva CPI\[VAO_DINA TERCIARIOS_CF_SEC_20230117.xlsx]CF PSDP'!</v>
      </c>
      <c r="G3624" s="6" t="s">
        <v>112</v>
      </c>
      <c r="H3624" s="1"/>
      <c r="I3624" s="1"/>
      <c r="J3624" s="1"/>
    </row>
    <row r="3625" spans="1:10" x14ac:dyDescent="0.3">
      <c r="A3625" s="6" t="s">
        <v>21</v>
      </c>
      <c r="B3625" s="6">
        <f t="shared" si="833"/>
        <v>2036</v>
      </c>
      <c r="C3625" s="1" t="s">
        <v>28</v>
      </c>
      <c r="D3625" s="2" t="s">
        <v>131</v>
      </c>
      <c r="E3625" s="9" t="str">
        <f t="shared" si="831"/>
        <v>PSDP'!</v>
      </c>
      <c r="F3625" s="5" t="str">
        <f t="shared" si="832"/>
        <v>C:\Users\jaime.benazar\Quorum Business Solutions\Ecopetrol Prometeo - Documents\Planning Space Implementation\3. Analysis &amp; Design\Design\FC22\DRR Jaime\Neiva CPI\[VAO_DINA TERCIARIOS_CF_SEC_20230117.xlsx]CF PSDP'!</v>
      </c>
      <c r="G3625" s="6" t="s">
        <v>112</v>
      </c>
      <c r="H3625" s="1"/>
      <c r="I3625" s="1"/>
      <c r="J3625" s="1"/>
    </row>
    <row r="3626" spans="1:10" x14ac:dyDescent="0.3">
      <c r="A3626" s="6" t="s">
        <v>21</v>
      </c>
      <c r="B3626" s="6">
        <f>+B3625+1</f>
        <v>2037</v>
      </c>
      <c r="C3626" s="1" t="s">
        <v>28</v>
      </c>
      <c r="D3626" s="2" t="s">
        <v>131</v>
      </c>
      <c r="E3626" s="9" t="str">
        <f t="shared" si="831"/>
        <v>PSDP'!</v>
      </c>
      <c r="F3626" s="5" t="str">
        <f t="shared" si="832"/>
        <v>C:\Users\jaime.benazar\Quorum Business Solutions\Ecopetrol Prometeo - Documents\Planning Space Implementation\3. Analysis &amp; Design\Design\FC22\DRR Jaime\Neiva CPI\[VAO_DINA TERCIARIOS_CF_SEC_20230117.xlsx]CF PSDP'!</v>
      </c>
      <c r="G3626" s="6" t="s">
        <v>112</v>
      </c>
      <c r="H3626" s="1"/>
      <c r="I3626" s="1"/>
      <c r="J3626" s="1"/>
    </row>
    <row r="3627" spans="1:10" x14ac:dyDescent="0.3">
      <c r="A3627" s="6" t="s">
        <v>21</v>
      </c>
      <c r="B3627" s="6">
        <f t="shared" ref="B3627:B3629" si="834">+B3626+1</f>
        <v>2038</v>
      </c>
      <c r="C3627" s="1" t="s">
        <v>28</v>
      </c>
      <c r="D3627" s="2" t="s">
        <v>131</v>
      </c>
      <c r="E3627" s="9" t="str">
        <f t="shared" si="831"/>
        <v>PSDP'!</v>
      </c>
      <c r="F3627" s="5" t="str">
        <f t="shared" si="832"/>
        <v>C:\Users\jaime.benazar\Quorum Business Solutions\Ecopetrol Prometeo - Documents\Planning Space Implementation\3. Analysis &amp; Design\Design\FC22\DRR Jaime\Neiva CPI\[VAO_DINA TERCIARIOS_CF_SEC_20230117.xlsx]CF PSDP'!</v>
      </c>
      <c r="G3627" s="6" t="s">
        <v>112</v>
      </c>
      <c r="H3627" s="1"/>
      <c r="I3627" s="1"/>
      <c r="J3627" s="1"/>
    </row>
    <row r="3628" spans="1:10" x14ac:dyDescent="0.3">
      <c r="A3628" s="6" t="s">
        <v>21</v>
      </c>
      <c r="B3628" s="6">
        <f t="shared" si="834"/>
        <v>2039</v>
      </c>
      <c r="C3628" s="1" t="s">
        <v>28</v>
      </c>
      <c r="D3628" s="2" t="s">
        <v>131</v>
      </c>
      <c r="E3628" s="9" t="str">
        <f t="shared" si="831"/>
        <v>PSDP'!</v>
      </c>
      <c r="F3628" s="5" t="str">
        <f t="shared" si="832"/>
        <v>C:\Users\jaime.benazar\Quorum Business Solutions\Ecopetrol Prometeo - Documents\Planning Space Implementation\3. Analysis &amp; Design\Design\FC22\DRR Jaime\Neiva CPI\[VAO_DINA TERCIARIOS_CF_SEC_20230117.xlsx]CF PSDP'!</v>
      </c>
      <c r="G3628" s="6" t="s">
        <v>112</v>
      </c>
      <c r="H3628" s="1"/>
      <c r="I3628" s="1"/>
      <c r="J3628" s="1"/>
    </row>
    <row r="3629" spans="1:10" x14ac:dyDescent="0.3">
      <c r="A3629" s="6" t="s">
        <v>21</v>
      </c>
      <c r="B3629" s="6">
        <f t="shared" si="834"/>
        <v>2040</v>
      </c>
      <c r="C3629" s="1" t="s">
        <v>28</v>
      </c>
      <c r="D3629" s="2" t="s">
        <v>131</v>
      </c>
      <c r="E3629" s="9" t="str">
        <f t="shared" si="831"/>
        <v>PSDP'!</v>
      </c>
      <c r="F3629" s="5" t="str">
        <f t="shared" si="832"/>
        <v>C:\Users\jaime.benazar\Quorum Business Solutions\Ecopetrol Prometeo - Documents\Planning Space Implementation\3. Analysis &amp; Design\Design\FC22\DRR Jaime\Neiva CPI\[VAO_DINA TERCIARIOS_CF_SEC_20230117.xlsx]CF PSDP'!</v>
      </c>
      <c r="G3629" s="6" t="s">
        <v>112</v>
      </c>
      <c r="H3629" s="1"/>
      <c r="I3629" s="1"/>
      <c r="J3629" s="1"/>
    </row>
    <row r="3630" spans="1:10" x14ac:dyDescent="0.3">
      <c r="A3630" s="6" t="s">
        <v>21</v>
      </c>
      <c r="B3630" s="6">
        <f>+B3629+1</f>
        <v>2041</v>
      </c>
      <c r="C3630" s="1" t="s">
        <v>28</v>
      </c>
      <c r="D3630" s="2" t="s">
        <v>131</v>
      </c>
      <c r="E3630" s="9" t="str">
        <f t="shared" si="831"/>
        <v>PSDP'!</v>
      </c>
      <c r="F3630" s="5" t="str">
        <f t="shared" si="832"/>
        <v>C:\Users\jaime.benazar\Quorum Business Solutions\Ecopetrol Prometeo - Documents\Planning Space Implementation\3. Analysis &amp; Design\Design\FC22\DRR Jaime\Neiva CPI\[VAO_DINA TERCIARIOS_CF_SEC_20230117.xlsx]CF PSDP'!</v>
      </c>
      <c r="G3630" s="6" t="s">
        <v>112</v>
      </c>
      <c r="H3630" s="1"/>
      <c r="I3630" s="1"/>
      <c r="J3630" s="1"/>
    </row>
    <row r="3631" spans="1:10" x14ac:dyDescent="0.3">
      <c r="A3631" s="6" t="s">
        <v>21</v>
      </c>
      <c r="B3631" s="6">
        <f t="shared" ref="B3631:B3632" si="835">+B3630+1</f>
        <v>2042</v>
      </c>
      <c r="C3631" s="1" t="s">
        <v>28</v>
      </c>
      <c r="D3631" s="2" t="s">
        <v>131</v>
      </c>
      <c r="E3631" s="9" t="str">
        <f t="shared" si="831"/>
        <v>PSDP'!</v>
      </c>
      <c r="F3631" s="5" t="str">
        <f t="shared" si="832"/>
        <v>C:\Users\jaime.benazar\Quorum Business Solutions\Ecopetrol Prometeo - Documents\Planning Space Implementation\3. Analysis &amp; Design\Design\FC22\DRR Jaime\Neiva CPI\[VAO_DINA TERCIARIOS_CF_SEC_20230117.xlsx]CF PSDP'!</v>
      </c>
      <c r="G3631" s="6" t="s">
        <v>112</v>
      </c>
      <c r="H3631" s="1"/>
      <c r="I3631" s="1"/>
      <c r="J3631" s="1"/>
    </row>
    <row r="3632" spans="1:10" x14ac:dyDescent="0.3">
      <c r="A3632" s="6" t="s">
        <v>21</v>
      </c>
      <c r="B3632" s="6">
        <f t="shared" si="835"/>
        <v>2043</v>
      </c>
      <c r="C3632" s="1" t="s">
        <v>28</v>
      </c>
      <c r="D3632" s="2" t="s">
        <v>131</v>
      </c>
      <c r="E3632" s="9" t="str">
        <f t="shared" si="831"/>
        <v>PSDP'!</v>
      </c>
      <c r="F3632" s="5" t="str">
        <f t="shared" si="832"/>
        <v>C:\Users\jaime.benazar\Quorum Business Solutions\Ecopetrol Prometeo - Documents\Planning Space Implementation\3. Analysis &amp; Design\Design\FC22\DRR Jaime\Neiva CPI\[VAO_DINA TERCIARIOS_CF_SEC_20230117.xlsx]CF PSDP'!</v>
      </c>
      <c r="G3632" s="6" t="s">
        <v>112</v>
      </c>
      <c r="H3632" s="1"/>
      <c r="I3632" s="1"/>
      <c r="J3632" s="1"/>
    </row>
    <row r="3633" spans="1:10" x14ac:dyDescent="0.3">
      <c r="A3633" s="6" t="s">
        <v>21</v>
      </c>
      <c r="B3633" s="6">
        <f>+B3632+1</f>
        <v>2044</v>
      </c>
      <c r="C3633" s="1" t="s">
        <v>28</v>
      </c>
      <c r="D3633" s="2" t="s">
        <v>131</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Jaime\Neiva CPI\[VAO_DINA TERCIARIOS_CF_SEC_20230117.xlsx]CF PSDP'!</v>
      </c>
      <c r="G3633" s="6" t="s">
        <v>112</v>
      </c>
      <c r="H3633" s="1"/>
      <c r="I3633" s="1"/>
      <c r="J3633" s="1"/>
    </row>
    <row r="3634" spans="1:10" x14ac:dyDescent="0.3">
      <c r="A3634" s="6" t="s">
        <v>21</v>
      </c>
      <c r="B3634" s="6">
        <f t="shared" ref="B3634:B3648" si="838">+B3633+1</f>
        <v>2045</v>
      </c>
      <c r="C3634" s="1" t="s">
        <v>28</v>
      </c>
      <c r="D3634" s="2" t="s">
        <v>131</v>
      </c>
      <c r="E3634" s="9" t="str">
        <f t="shared" si="836"/>
        <v>PSDP'!</v>
      </c>
      <c r="F3634" s="5" t="str">
        <f t="shared" si="837"/>
        <v>C:\Users\jaime.benazar\Quorum Business Solutions\Ecopetrol Prometeo - Documents\Planning Space Implementation\3. Analysis &amp; Design\Design\FC22\DRR Jaime\Neiva CPI\[VAO_DINA TERCIARIOS_CF_SEC_20230117.xlsx]CF PSDP'!</v>
      </c>
      <c r="G3634" s="6" t="s">
        <v>112</v>
      </c>
      <c r="H3634" s="1"/>
      <c r="I3634" s="1"/>
      <c r="J3634" s="1"/>
    </row>
    <row r="3635" spans="1:10" x14ac:dyDescent="0.3">
      <c r="A3635" s="6" t="s">
        <v>21</v>
      </c>
      <c r="B3635" s="6">
        <f t="shared" si="838"/>
        <v>2046</v>
      </c>
      <c r="C3635" s="1" t="s">
        <v>28</v>
      </c>
      <c r="D3635" s="2" t="s">
        <v>131</v>
      </c>
      <c r="E3635" s="9" t="str">
        <f t="shared" si="836"/>
        <v>PSDP'!</v>
      </c>
      <c r="F3635" s="5" t="str">
        <f t="shared" si="837"/>
        <v>C:\Users\jaime.benazar\Quorum Business Solutions\Ecopetrol Prometeo - Documents\Planning Space Implementation\3. Analysis &amp; Design\Design\FC22\DRR Jaime\Neiva CPI\[VAO_DINA TERCIARIOS_CF_SEC_20230117.xlsx]CF PSDP'!</v>
      </c>
      <c r="G3635" s="6" t="s">
        <v>112</v>
      </c>
      <c r="H3635" s="1"/>
      <c r="I3635" s="1"/>
      <c r="J3635" s="1"/>
    </row>
    <row r="3636" spans="1:10" x14ac:dyDescent="0.3">
      <c r="A3636" s="6" t="s">
        <v>21</v>
      </c>
      <c r="B3636" s="6">
        <f t="shared" si="838"/>
        <v>2047</v>
      </c>
      <c r="C3636" s="1" t="s">
        <v>28</v>
      </c>
      <c r="D3636" s="2" t="s">
        <v>131</v>
      </c>
      <c r="E3636" s="9" t="str">
        <f t="shared" si="836"/>
        <v>PSDP'!</v>
      </c>
      <c r="F3636" s="5" t="str">
        <f t="shared" si="837"/>
        <v>C:\Users\jaime.benazar\Quorum Business Solutions\Ecopetrol Prometeo - Documents\Planning Space Implementation\3. Analysis &amp; Design\Design\FC22\DRR Jaime\Neiva CPI\[VAO_DINA TERCIARIOS_CF_SEC_20230117.xlsx]CF PSDP'!</v>
      </c>
      <c r="G3636" s="6" t="s">
        <v>112</v>
      </c>
      <c r="H3636" s="1"/>
      <c r="I3636" s="1"/>
      <c r="J3636" s="1"/>
    </row>
    <row r="3637" spans="1:10" x14ac:dyDescent="0.3">
      <c r="A3637" s="6" t="s">
        <v>21</v>
      </c>
      <c r="B3637" s="6">
        <f t="shared" si="838"/>
        <v>2048</v>
      </c>
      <c r="C3637" s="1" t="s">
        <v>28</v>
      </c>
      <c r="D3637" s="2" t="s">
        <v>131</v>
      </c>
      <c r="E3637" s="9" t="str">
        <f t="shared" si="836"/>
        <v>PSDP'!</v>
      </c>
      <c r="F3637" s="5" t="str">
        <f t="shared" si="837"/>
        <v>C:\Users\jaime.benazar\Quorum Business Solutions\Ecopetrol Prometeo - Documents\Planning Space Implementation\3. Analysis &amp; Design\Design\FC22\DRR Jaime\Neiva CPI\[VAO_DINA TERCIARIOS_CF_SEC_20230117.xlsx]CF PSDP'!</v>
      </c>
      <c r="G3637" s="6" t="s">
        <v>112</v>
      </c>
      <c r="H3637" s="1"/>
      <c r="I3637" s="1"/>
      <c r="J3637" s="1"/>
    </row>
    <row r="3638" spans="1:10" x14ac:dyDescent="0.3">
      <c r="A3638" s="6" t="s">
        <v>21</v>
      </c>
      <c r="B3638" s="6">
        <f t="shared" si="838"/>
        <v>2049</v>
      </c>
      <c r="C3638" s="1" t="s">
        <v>28</v>
      </c>
      <c r="D3638" s="2" t="s">
        <v>131</v>
      </c>
      <c r="E3638" s="9" t="str">
        <f t="shared" si="836"/>
        <v>PSDP'!</v>
      </c>
      <c r="F3638" s="5" t="str">
        <f t="shared" si="837"/>
        <v>C:\Users\jaime.benazar\Quorum Business Solutions\Ecopetrol Prometeo - Documents\Planning Space Implementation\3. Analysis &amp; Design\Design\FC22\DRR Jaime\Neiva CPI\[VAO_DINA TERCIARIOS_CF_SEC_20230117.xlsx]CF PSDP'!</v>
      </c>
      <c r="G3638" s="6" t="s">
        <v>112</v>
      </c>
      <c r="H3638" s="1"/>
      <c r="I3638" s="1"/>
      <c r="J3638" s="1"/>
    </row>
    <row r="3639" spans="1:10" x14ac:dyDescent="0.3">
      <c r="A3639" s="6" t="s">
        <v>21</v>
      </c>
      <c r="B3639" s="6">
        <f t="shared" si="838"/>
        <v>2050</v>
      </c>
      <c r="C3639" s="1" t="s">
        <v>28</v>
      </c>
      <c r="D3639" s="2" t="s">
        <v>131</v>
      </c>
      <c r="E3639" s="9" t="str">
        <f t="shared" si="836"/>
        <v>PSDP'!</v>
      </c>
      <c r="F3639" s="5" t="str">
        <f t="shared" si="837"/>
        <v>C:\Users\jaime.benazar\Quorum Business Solutions\Ecopetrol Prometeo - Documents\Planning Space Implementation\3. Analysis &amp; Design\Design\FC22\DRR Jaime\Neiva CPI\[VAO_DINA TERCIARIOS_CF_SEC_20230117.xlsx]CF PSDP'!</v>
      </c>
      <c r="G3639" s="6" t="s">
        <v>112</v>
      </c>
      <c r="H3639" s="1"/>
      <c r="I3639" s="1"/>
      <c r="J3639" s="1"/>
    </row>
    <row r="3640" spans="1:10" x14ac:dyDescent="0.3">
      <c r="A3640" s="6" t="s">
        <v>21</v>
      </c>
      <c r="B3640" s="6">
        <f t="shared" si="838"/>
        <v>2051</v>
      </c>
      <c r="C3640" s="1" t="s">
        <v>28</v>
      </c>
      <c r="D3640" s="2" t="s">
        <v>131</v>
      </c>
      <c r="E3640" s="9" t="str">
        <f t="shared" si="836"/>
        <v>PSDP'!</v>
      </c>
      <c r="F3640" s="5" t="str">
        <f t="shared" si="837"/>
        <v>C:\Users\jaime.benazar\Quorum Business Solutions\Ecopetrol Prometeo - Documents\Planning Space Implementation\3. Analysis &amp; Design\Design\FC22\DRR Jaime\Neiva CPI\[VAO_DINA TERCIARIOS_CF_SEC_20230117.xlsx]CF PSDP'!</v>
      </c>
      <c r="G3640" s="6" t="s">
        <v>112</v>
      </c>
      <c r="H3640" s="1"/>
      <c r="I3640" s="1"/>
      <c r="J3640" s="1"/>
    </row>
    <row r="3641" spans="1:10" x14ac:dyDescent="0.3">
      <c r="A3641" s="6" t="s">
        <v>21</v>
      </c>
      <c r="B3641" s="6">
        <f t="shared" si="838"/>
        <v>2052</v>
      </c>
      <c r="C3641" s="1" t="s">
        <v>28</v>
      </c>
      <c r="D3641" s="2" t="s">
        <v>131</v>
      </c>
      <c r="E3641" s="9" t="str">
        <f t="shared" si="836"/>
        <v>PSDP'!</v>
      </c>
      <c r="F3641" s="5" t="str">
        <f t="shared" si="837"/>
        <v>C:\Users\jaime.benazar\Quorum Business Solutions\Ecopetrol Prometeo - Documents\Planning Space Implementation\3. Analysis &amp; Design\Design\FC22\DRR Jaime\Neiva CPI\[VAO_DINA TERCIARIOS_CF_SEC_20230117.xlsx]CF PSDP'!</v>
      </c>
      <c r="G3641" s="6" t="s">
        <v>112</v>
      </c>
      <c r="H3641" s="1"/>
      <c r="I3641" s="1"/>
      <c r="J3641" s="1"/>
    </row>
    <row r="3642" spans="1:10" x14ac:dyDescent="0.3">
      <c r="A3642" s="6" t="s">
        <v>21</v>
      </c>
      <c r="B3642" s="6">
        <f t="shared" si="838"/>
        <v>2053</v>
      </c>
      <c r="C3642" s="1" t="s">
        <v>28</v>
      </c>
      <c r="D3642" s="2" t="s">
        <v>131</v>
      </c>
      <c r="E3642" s="9" t="str">
        <f t="shared" si="836"/>
        <v>PSDP'!</v>
      </c>
      <c r="F3642" s="5" t="str">
        <f t="shared" si="837"/>
        <v>C:\Users\jaime.benazar\Quorum Business Solutions\Ecopetrol Prometeo - Documents\Planning Space Implementation\3. Analysis &amp; Design\Design\FC22\DRR Jaime\Neiva CPI\[VAO_DINA TERCIARIOS_CF_SEC_20230117.xlsx]CF PSDP'!</v>
      </c>
      <c r="G3642" s="6" t="s">
        <v>112</v>
      </c>
      <c r="H3642" s="1"/>
      <c r="I3642" s="1"/>
      <c r="J3642" s="1"/>
    </row>
    <row r="3643" spans="1:10" x14ac:dyDescent="0.3">
      <c r="A3643" s="6" t="s">
        <v>21</v>
      </c>
      <c r="B3643" s="6">
        <f t="shared" si="838"/>
        <v>2054</v>
      </c>
      <c r="C3643" s="1" t="s">
        <v>28</v>
      </c>
      <c r="D3643" s="2" t="s">
        <v>131</v>
      </c>
      <c r="E3643" s="9" t="str">
        <f t="shared" si="836"/>
        <v>PSDP'!</v>
      </c>
      <c r="F3643" s="5" t="str">
        <f t="shared" si="837"/>
        <v>C:\Users\jaime.benazar\Quorum Business Solutions\Ecopetrol Prometeo - Documents\Planning Space Implementation\3. Analysis &amp; Design\Design\FC22\DRR Jaime\Neiva CPI\[VAO_DINA TERCIARIOS_CF_SEC_20230117.xlsx]CF PSDP'!</v>
      </c>
      <c r="G3643" s="6" t="s">
        <v>112</v>
      </c>
      <c r="H3643" s="1"/>
      <c r="I3643" s="1"/>
      <c r="J3643" s="1"/>
    </row>
    <row r="3644" spans="1:10" x14ac:dyDescent="0.3">
      <c r="A3644" s="6" t="s">
        <v>21</v>
      </c>
      <c r="B3644" s="6">
        <f t="shared" si="838"/>
        <v>2055</v>
      </c>
      <c r="C3644" s="1" t="s">
        <v>28</v>
      </c>
      <c r="D3644" s="2" t="s">
        <v>131</v>
      </c>
      <c r="E3644" s="9" t="str">
        <f t="shared" si="836"/>
        <v>PSDP'!</v>
      </c>
      <c r="F3644" s="5" t="str">
        <f t="shared" si="837"/>
        <v>C:\Users\jaime.benazar\Quorum Business Solutions\Ecopetrol Prometeo - Documents\Planning Space Implementation\3. Analysis &amp; Design\Design\FC22\DRR Jaime\Neiva CPI\[VAO_DINA TERCIARIOS_CF_SEC_20230117.xlsx]CF PSDP'!</v>
      </c>
      <c r="G3644" s="6" t="s">
        <v>112</v>
      </c>
      <c r="H3644" s="1"/>
      <c r="I3644" s="1"/>
      <c r="J3644" s="1"/>
    </row>
    <row r="3645" spans="1:10" x14ac:dyDescent="0.3">
      <c r="A3645" s="6" t="s">
        <v>21</v>
      </c>
      <c r="B3645" s="6">
        <f t="shared" si="838"/>
        <v>2056</v>
      </c>
      <c r="C3645" s="1" t="s">
        <v>28</v>
      </c>
      <c r="D3645" s="2" t="s">
        <v>131</v>
      </c>
      <c r="E3645" s="9" t="str">
        <f t="shared" si="836"/>
        <v>PSDP'!</v>
      </c>
      <c r="F3645" s="5" t="str">
        <f t="shared" si="837"/>
        <v>C:\Users\jaime.benazar\Quorum Business Solutions\Ecopetrol Prometeo - Documents\Planning Space Implementation\3. Analysis &amp; Design\Design\FC22\DRR Jaime\Neiva CPI\[VAO_DINA TERCIARIOS_CF_SEC_20230117.xlsx]CF PSDP'!</v>
      </c>
      <c r="G3645" s="6" t="s">
        <v>112</v>
      </c>
      <c r="H3645" s="1"/>
      <c r="I3645" s="1"/>
      <c r="J3645" s="1"/>
    </row>
    <row r="3646" spans="1:10" x14ac:dyDescent="0.3">
      <c r="A3646" s="6" t="s">
        <v>21</v>
      </c>
      <c r="B3646" s="6">
        <f t="shared" si="838"/>
        <v>2057</v>
      </c>
      <c r="C3646" s="1" t="s">
        <v>28</v>
      </c>
      <c r="D3646" s="2" t="s">
        <v>131</v>
      </c>
      <c r="E3646" s="9" t="str">
        <f t="shared" si="836"/>
        <v>PSDP'!</v>
      </c>
      <c r="F3646" s="5" t="str">
        <f t="shared" si="837"/>
        <v>C:\Users\jaime.benazar\Quorum Business Solutions\Ecopetrol Prometeo - Documents\Planning Space Implementation\3. Analysis &amp; Design\Design\FC22\DRR Jaime\Neiva CPI\[VAO_DINA TERCIARIOS_CF_SEC_20230117.xlsx]CF PSDP'!</v>
      </c>
      <c r="G3646" s="6" t="s">
        <v>112</v>
      </c>
      <c r="H3646" s="1"/>
      <c r="I3646" s="1"/>
      <c r="J3646" s="1"/>
    </row>
    <row r="3647" spans="1:10" x14ac:dyDescent="0.3">
      <c r="A3647" s="6" t="s">
        <v>21</v>
      </c>
      <c r="B3647" s="6">
        <f t="shared" si="838"/>
        <v>2058</v>
      </c>
      <c r="C3647" s="1" t="s">
        <v>28</v>
      </c>
      <c r="D3647" s="2" t="s">
        <v>131</v>
      </c>
      <c r="E3647" s="9" t="str">
        <f t="shared" si="836"/>
        <v>PSDP'!</v>
      </c>
      <c r="F3647" s="5" t="str">
        <f t="shared" si="837"/>
        <v>C:\Users\jaime.benazar\Quorum Business Solutions\Ecopetrol Prometeo - Documents\Planning Space Implementation\3. Analysis &amp; Design\Design\FC22\DRR Jaime\Neiva CPI\[VAO_DINA TERCIARIOS_CF_SEC_20230117.xlsx]CF PSDP'!</v>
      </c>
      <c r="G3647" s="6" t="s">
        <v>112</v>
      </c>
      <c r="H3647" s="1"/>
      <c r="I3647" s="1"/>
      <c r="J3647" s="1"/>
    </row>
    <row r="3648" spans="1:10" x14ac:dyDescent="0.3">
      <c r="A3648" s="6" t="s">
        <v>21</v>
      </c>
      <c r="B3648" s="6">
        <f t="shared" si="838"/>
        <v>2059</v>
      </c>
      <c r="C3648" s="1" t="s">
        <v>28</v>
      </c>
      <c r="D3648" s="2" t="s">
        <v>131</v>
      </c>
      <c r="E3648" s="9" t="str">
        <f t="shared" si="836"/>
        <v>PSDP'!</v>
      </c>
      <c r="F3648" s="5" t="str">
        <f t="shared" si="837"/>
        <v>C:\Users\jaime.benazar\Quorum Business Solutions\Ecopetrol Prometeo - Documents\Planning Space Implementation\3. Analysis &amp; Design\Design\FC22\DRR Jaime\Neiva CPI\[VAO_DINA TERCIARIOS_CF_SEC_20230117.xlsx]CF PSDP'!</v>
      </c>
      <c r="G3648" s="6" t="s">
        <v>112</v>
      </c>
      <c r="H3648" s="1"/>
      <c r="I3648" s="1"/>
      <c r="J3648" s="1"/>
    </row>
    <row r="3649" spans="1:10" x14ac:dyDescent="0.3">
      <c r="A3649" s="6" t="s">
        <v>26</v>
      </c>
      <c r="B3649" s="6"/>
      <c r="C3649" s="1" t="s">
        <v>28</v>
      </c>
      <c r="D3649" s="2"/>
      <c r="E3649" s="9"/>
      <c r="F3649" s="2"/>
      <c r="G3649" s="6"/>
      <c r="H3649" s="1"/>
      <c r="I3649" s="1"/>
      <c r="J3649" s="12"/>
    </row>
    <row r="3650" spans="1:10" x14ac:dyDescent="0.3">
      <c r="A3650" s="6" t="s">
        <v>22</v>
      </c>
      <c r="B3650" s="6">
        <v>2023</v>
      </c>
      <c r="C3650" s="1" t="s">
        <v>28</v>
      </c>
      <c r="D3650" s="2" t="s">
        <v>131</v>
      </c>
      <c r="E3650" s="9" t="str">
        <f t="shared" ref="E3650:E3670" si="839">_xlfn.CONCAT(A3650,"'!")</f>
        <v>PSNP'!</v>
      </c>
      <c r="F3650" s="5" t="str">
        <f t="shared" si="832"/>
        <v>C:\Users\jaime.benazar\Quorum Business Solutions\Ecopetrol Prometeo - Documents\Planning Space Implementation\3. Analysis &amp; Design\Design\FC22\DRR Jaime\Neiva CPI\[VAO_DINA TERCIARIOS_CF_SEC_20230117.xlsx]CF PSNP'!</v>
      </c>
      <c r="G3650" s="6" t="s">
        <v>112</v>
      </c>
      <c r="H3650" s="1"/>
      <c r="I3650" s="1"/>
      <c r="J3650" s="1"/>
    </row>
    <row r="3651" spans="1:10" x14ac:dyDescent="0.3">
      <c r="A3651" s="6" t="s">
        <v>22</v>
      </c>
      <c r="B3651" s="6">
        <f>+B3650+1</f>
        <v>2024</v>
      </c>
      <c r="C3651" s="1" t="s">
        <v>28</v>
      </c>
      <c r="D3651" s="2" t="s">
        <v>131</v>
      </c>
      <c r="E3651" s="9" t="str">
        <f t="shared" si="839"/>
        <v>PSNP'!</v>
      </c>
      <c r="F3651" s="5" t="str">
        <f t="shared" si="832"/>
        <v>C:\Users\jaime.benazar\Quorum Business Solutions\Ecopetrol Prometeo - Documents\Planning Space Implementation\3. Analysis &amp; Design\Design\FC22\DRR Jaime\Neiva CPI\[VAO_DINA TERCIARIOS_CF_SEC_20230117.xlsx]CF PSNP'!</v>
      </c>
      <c r="G3651" s="6" t="s">
        <v>112</v>
      </c>
      <c r="H3651" s="1"/>
      <c r="I3651" s="1"/>
      <c r="J3651" s="1"/>
    </row>
    <row r="3652" spans="1:10" x14ac:dyDescent="0.3">
      <c r="A3652" s="6" t="s">
        <v>22</v>
      </c>
      <c r="B3652" s="6">
        <f t="shared" ref="B3652:B3663" si="840">+B3651+1</f>
        <v>2025</v>
      </c>
      <c r="C3652" s="1" t="s">
        <v>28</v>
      </c>
      <c r="D3652" s="2" t="s">
        <v>131</v>
      </c>
      <c r="E3652" s="9" t="str">
        <f t="shared" si="839"/>
        <v>PSNP'!</v>
      </c>
      <c r="F3652" s="5" t="str">
        <f t="shared" si="832"/>
        <v>C:\Users\jaime.benazar\Quorum Business Solutions\Ecopetrol Prometeo - Documents\Planning Space Implementation\3. Analysis &amp; Design\Design\FC22\DRR Jaime\Neiva CPI\[VAO_DINA TERCIARIOS_CF_SEC_20230117.xlsx]CF PSNP'!</v>
      </c>
      <c r="G3652" s="6" t="s">
        <v>112</v>
      </c>
      <c r="H3652" s="1"/>
      <c r="I3652" s="1"/>
      <c r="J3652" s="1"/>
    </row>
    <row r="3653" spans="1:10" x14ac:dyDescent="0.3">
      <c r="A3653" s="6" t="s">
        <v>22</v>
      </c>
      <c r="B3653" s="6">
        <f t="shared" si="840"/>
        <v>2026</v>
      </c>
      <c r="C3653" s="1" t="s">
        <v>28</v>
      </c>
      <c r="D3653" s="2" t="s">
        <v>131</v>
      </c>
      <c r="E3653" s="9" t="str">
        <f t="shared" si="839"/>
        <v>PSNP'!</v>
      </c>
      <c r="F3653" s="5" t="str">
        <f t="shared" si="832"/>
        <v>C:\Users\jaime.benazar\Quorum Business Solutions\Ecopetrol Prometeo - Documents\Planning Space Implementation\3. Analysis &amp; Design\Design\FC22\DRR Jaime\Neiva CPI\[VAO_DINA TERCIARIOS_CF_SEC_20230117.xlsx]CF PSNP'!</v>
      </c>
      <c r="G3653" s="6" t="s">
        <v>112</v>
      </c>
      <c r="H3653" s="1"/>
      <c r="I3653" s="1"/>
      <c r="J3653" s="1"/>
    </row>
    <row r="3654" spans="1:10" x14ac:dyDescent="0.3">
      <c r="A3654" s="6" t="s">
        <v>22</v>
      </c>
      <c r="B3654" s="6">
        <f t="shared" si="840"/>
        <v>2027</v>
      </c>
      <c r="C3654" s="1" t="s">
        <v>28</v>
      </c>
      <c r="D3654" s="2" t="s">
        <v>131</v>
      </c>
      <c r="E3654" s="9" t="str">
        <f t="shared" si="839"/>
        <v>PSNP'!</v>
      </c>
      <c r="F3654" s="5" t="str">
        <f t="shared" si="832"/>
        <v>C:\Users\jaime.benazar\Quorum Business Solutions\Ecopetrol Prometeo - Documents\Planning Space Implementation\3. Analysis &amp; Design\Design\FC22\DRR Jaime\Neiva CPI\[VAO_DINA TERCIARIOS_CF_SEC_20230117.xlsx]CF PSNP'!</v>
      </c>
      <c r="G3654" s="6" t="s">
        <v>112</v>
      </c>
      <c r="H3654" s="1"/>
      <c r="I3654" s="1"/>
      <c r="J3654" s="1"/>
    </row>
    <row r="3655" spans="1:10" x14ac:dyDescent="0.3">
      <c r="A3655" s="6" t="s">
        <v>22</v>
      </c>
      <c r="B3655" s="6">
        <f t="shared" si="840"/>
        <v>2028</v>
      </c>
      <c r="C3655" s="1" t="s">
        <v>28</v>
      </c>
      <c r="D3655" s="2" t="s">
        <v>131</v>
      </c>
      <c r="E3655" s="9" t="str">
        <f t="shared" si="839"/>
        <v>PSNP'!</v>
      </c>
      <c r="F3655" s="5" t="str">
        <f t="shared" si="832"/>
        <v>C:\Users\jaime.benazar\Quorum Business Solutions\Ecopetrol Prometeo - Documents\Planning Space Implementation\3. Analysis &amp; Design\Design\FC22\DRR Jaime\Neiva CPI\[VAO_DINA TERCIARIOS_CF_SEC_20230117.xlsx]CF PSNP'!</v>
      </c>
      <c r="G3655" s="6" t="s">
        <v>112</v>
      </c>
      <c r="H3655" s="1"/>
      <c r="I3655" s="1"/>
      <c r="J3655" s="1"/>
    </row>
    <row r="3656" spans="1:10" x14ac:dyDescent="0.3">
      <c r="A3656" s="6" t="s">
        <v>22</v>
      </c>
      <c r="B3656" s="6">
        <f t="shared" si="840"/>
        <v>2029</v>
      </c>
      <c r="C3656" s="1" t="s">
        <v>28</v>
      </c>
      <c r="D3656" s="2" t="s">
        <v>131</v>
      </c>
      <c r="E3656" s="9" t="str">
        <f t="shared" si="839"/>
        <v>PSNP'!</v>
      </c>
      <c r="F3656" s="5" t="str">
        <f t="shared" si="832"/>
        <v>C:\Users\jaime.benazar\Quorum Business Solutions\Ecopetrol Prometeo - Documents\Planning Space Implementation\3. Analysis &amp; Design\Design\FC22\DRR Jaime\Neiva CPI\[VAO_DINA TERCIARIOS_CF_SEC_20230117.xlsx]CF PSNP'!</v>
      </c>
      <c r="G3656" s="6" t="s">
        <v>112</v>
      </c>
      <c r="H3656" s="1"/>
      <c r="I3656" s="1"/>
      <c r="J3656" s="1"/>
    </row>
    <row r="3657" spans="1:10" x14ac:dyDescent="0.3">
      <c r="A3657" s="6" t="s">
        <v>22</v>
      </c>
      <c r="B3657" s="6">
        <f t="shared" si="840"/>
        <v>2030</v>
      </c>
      <c r="C3657" s="1" t="s">
        <v>28</v>
      </c>
      <c r="D3657" s="2" t="s">
        <v>131</v>
      </c>
      <c r="E3657" s="9" t="str">
        <f t="shared" si="839"/>
        <v>PSNP'!</v>
      </c>
      <c r="F3657" s="5" t="str">
        <f t="shared" si="832"/>
        <v>C:\Users\jaime.benazar\Quorum Business Solutions\Ecopetrol Prometeo - Documents\Planning Space Implementation\3. Analysis &amp; Design\Design\FC22\DRR Jaime\Neiva CPI\[VAO_DINA TERCIARIOS_CF_SEC_20230117.xlsx]CF PSNP'!</v>
      </c>
      <c r="G3657" s="6" t="s">
        <v>112</v>
      </c>
      <c r="H3657" s="1"/>
      <c r="I3657" s="1"/>
      <c r="J3657" s="1"/>
    </row>
    <row r="3658" spans="1:10" x14ac:dyDescent="0.3">
      <c r="A3658" s="6" t="s">
        <v>22</v>
      </c>
      <c r="B3658" s="6">
        <f t="shared" si="840"/>
        <v>2031</v>
      </c>
      <c r="C3658" s="1" t="s">
        <v>28</v>
      </c>
      <c r="D3658" s="2" t="s">
        <v>131</v>
      </c>
      <c r="E3658" s="9" t="str">
        <f t="shared" si="839"/>
        <v>PSNP'!</v>
      </c>
      <c r="F3658" s="5" t="str">
        <f t="shared" si="832"/>
        <v>C:\Users\jaime.benazar\Quorum Business Solutions\Ecopetrol Prometeo - Documents\Planning Space Implementation\3. Analysis &amp; Design\Design\FC22\DRR Jaime\Neiva CPI\[VAO_DINA TERCIARIOS_CF_SEC_20230117.xlsx]CF PSNP'!</v>
      </c>
      <c r="G3658" s="6" t="s">
        <v>112</v>
      </c>
      <c r="H3658" s="1"/>
      <c r="I3658" s="1"/>
      <c r="J3658" s="1"/>
    </row>
    <row r="3659" spans="1:10" x14ac:dyDescent="0.3">
      <c r="A3659" s="6" t="s">
        <v>22</v>
      </c>
      <c r="B3659" s="6">
        <f t="shared" si="840"/>
        <v>2032</v>
      </c>
      <c r="C3659" s="1" t="s">
        <v>28</v>
      </c>
      <c r="D3659" s="2" t="s">
        <v>131</v>
      </c>
      <c r="E3659" s="9" t="str">
        <f t="shared" si="839"/>
        <v>PSNP'!</v>
      </c>
      <c r="F3659" s="5" t="str">
        <f t="shared" si="832"/>
        <v>C:\Users\jaime.benazar\Quorum Business Solutions\Ecopetrol Prometeo - Documents\Planning Space Implementation\3. Analysis &amp; Design\Design\FC22\DRR Jaime\Neiva CPI\[VAO_DINA TERCIARIOS_CF_SEC_20230117.xlsx]CF PSNP'!</v>
      </c>
      <c r="G3659" s="6" t="s">
        <v>112</v>
      </c>
      <c r="H3659" s="1"/>
      <c r="I3659" s="1"/>
      <c r="J3659" s="1"/>
    </row>
    <row r="3660" spans="1:10" x14ac:dyDescent="0.3">
      <c r="A3660" s="6" t="s">
        <v>22</v>
      </c>
      <c r="B3660" s="6">
        <f t="shared" si="840"/>
        <v>2033</v>
      </c>
      <c r="C3660" s="1" t="s">
        <v>28</v>
      </c>
      <c r="D3660" s="2" t="s">
        <v>131</v>
      </c>
      <c r="E3660" s="9" t="str">
        <f t="shared" si="839"/>
        <v>PSNP'!</v>
      </c>
      <c r="F3660" s="5" t="str">
        <f t="shared" si="832"/>
        <v>C:\Users\jaime.benazar\Quorum Business Solutions\Ecopetrol Prometeo - Documents\Planning Space Implementation\3. Analysis &amp; Design\Design\FC22\DRR Jaime\Neiva CPI\[VAO_DINA TERCIARIOS_CF_SEC_20230117.xlsx]CF PSNP'!</v>
      </c>
      <c r="G3660" s="6" t="s">
        <v>112</v>
      </c>
      <c r="H3660" s="1"/>
      <c r="I3660" s="1"/>
      <c r="J3660" s="1"/>
    </row>
    <row r="3661" spans="1:10" x14ac:dyDescent="0.3">
      <c r="A3661" s="6" t="s">
        <v>22</v>
      </c>
      <c r="B3661" s="6">
        <f t="shared" si="840"/>
        <v>2034</v>
      </c>
      <c r="C3661" s="1" t="s">
        <v>28</v>
      </c>
      <c r="D3661" s="2" t="s">
        <v>131</v>
      </c>
      <c r="E3661" s="9" t="str">
        <f t="shared" si="839"/>
        <v>PSNP'!</v>
      </c>
      <c r="F3661" s="5" t="str">
        <f t="shared" si="832"/>
        <v>C:\Users\jaime.benazar\Quorum Business Solutions\Ecopetrol Prometeo - Documents\Planning Space Implementation\3. Analysis &amp; Design\Design\FC22\DRR Jaime\Neiva CPI\[VAO_DINA TERCIARIOS_CF_SEC_20230117.xlsx]CF PSNP'!</v>
      </c>
      <c r="G3661" s="6" t="s">
        <v>112</v>
      </c>
      <c r="H3661" s="1"/>
      <c r="I3661" s="1"/>
      <c r="J3661" s="1"/>
    </row>
    <row r="3662" spans="1:10" x14ac:dyDescent="0.3">
      <c r="A3662" s="6" t="s">
        <v>22</v>
      </c>
      <c r="B3662" s="6">
        <f t="shared" si="840"/>
        <v>2035</v>
      </c>
      <c r="C3662" s="1" t="s">
        <v>28</v>
      </c>
      <c r="D3662" s="2" t="s">
        <v>131</v>
      </c>
      <c r="E3662" s="9" t="str">
        <f t="shared" si="839"/>
        <v>PSNP'!</v>
      </c>
      <c r="F3662" s="5" t="str">
        <f t="shared" si="832"/>
        <v>C:\Users\jaime.benazar\Quorum Business Solutions\Ecopetrol Prometeo - Documents\Planning Space Implementation\3. Analysis &amp; Design\Design\FC22\DRR Jaime\Neiva CPI\[VAO_DINA TERCIARIOS_CF_SEC_20230117.xlsx]CF PSNP'!</v>
      </c>
      <c r="G3662" s="6" t="s">
        <v>112</v>
      </c>
      <c r="H3662" s="1"/>
      <c r="I3662" s="1"/>
      <c r="J3662" s="1"/>
    </row>
    <row r="3663" spans="1:10" x14ac:dyDescent="0.3">
      <c r="A3663" s="6" t="s">
        <v>22</v>
      </c>
      <c r="B3663" s="6">
        <f t="shared" si="840"/>
        <v>2036</v>
      </c>
      <c r="C3663" s="1" t="s">
        <v>28</v>
      </c>
      <c r="D3663" s="2" t="s">
        <v>131</v>
      </c>
      <c r="E3663" s="9" t="str">
        <f t="shared" si="839"/>
        <v>PSNP'!</v>
      </c>
      <c r="F3663" s="5" t="str">
        <f t="shared" si="832"/>
        <v>C:\Users\jaime.benazar\Quorum Business Solutions\Ecopetrol Prometeo - Documents\Planning Space Implementation\3. Analysis &amp; Design\Design\FC22\DRR Jaime\Neiva CPI\[VAO_DINA TERCIARIOS_CF_SEC_20230117.xlsx]CF PSNP'!</v>
      </c>
      <c r="G3663" s="6" t="s">
        <v>112</v>
      </c>
      <c r="H3663" s="1"/>
      <c r="I3663" s="1"/>
      <c r="J3663" s="1"/>
    </row>
    <row r="3664" spans="1:10" x14ac:dyDescent="0.3">
      <c r="A3664" s="6" t="s">
        <v>22</v>
      </c>
      <c r="B3664" s="6">
        <f>+B3663+1</f>
        <v>2037</v>
      </c>
      <c r="C3664" s="1" t="s">
        <v>28</v>
      </c>
      <c r="D3664" s="2" t="s">
        <v>131</v>
      </c>
      <c r="E3664" s="9" t="str">
        <f t="shared" si="839"/>
        <v>PSNP'!</v>
      </c>
      <c r="F3664" s="5" t="str">
        <f t="shared" si="832"/>
        <v>C:\Users\jaime.benazar\Quorum Business Solutions\Ecopetrol Prometeo - Documents\Planning Space Implementation\3. Analysis &amp; Design\Design\FC22\DRR Jaime\Neiva CPI\[VAO_DINA TERCIARIOS_CF_SEC_20230117.xlsx]CF PSNP'!</v>
      </c>
      <c r="G3664" s="6" t="s">
        <v>112</v>
      </c>
      <c r="H3664" s="1"/>
      <c r="I3664" s="1"/>
      <c r="J3664" s="1"/>
    </row>
    <row r="3665" spans="1:10" x14ac:dyDescent="0.3">
      <c r="A3665" s="6" t="s">
        <v>22</v>
      </c>
      <c r="B3665" s="6">
        <f t="shared" ref="B3665:B3667" si="841">+B3664+1</f>
        <v>2038</v>
      </c>
      <c r="C3665" s="1" t="s">
        <v>28</v>
      </c>
      <c r="D3665" s="2" t="s">
        <v>131</v>
      </c>
      <c r="E3665" s="9" t="str">
        <f t="shared" si="839"/>
        <v>PSNP'!</v>
      </c>
      <c r="F3665" s="5" t="str">
        <f t="shared" si="832"/>
        <v>C:\Users\jaime.benazar\Quorum Business Solutions\Ecopetrol Prometeo - Documents\Planning Space Implementation\3. Analysis &amp; Design\Design\FC22\DRR Jaime\Neiva CPI\[VAO_DINA TERCIARIOS_CF_SEC_20230117.xlsx]CF PSNP'!</v>
      </c>
      <c r="G3665" s="6" t="s">
        <v>112</v>
      </c>
      <c r="H3665" s="1"/>
      <c r="I3665" s="1"/>
      <c r="J3665" s="1"/>
    </row>
    <row r="3666" spans="1:10" x14ac:dyDescent="0.3">
      <c r="A3666" s="6" t="s">
        <v>22</v>
      </c>
      <c r="B3666" s="6">
        <f t="shared" si="841"/>
        <v>2039</v>
      </c>
      <c r="C3666" s="1" t="s">
        <v>28</v>
      </c>
      <c r="D3666" s="2" t="s">
        <v>131</v>
      </c>
      <c r="E3666" s="9" t="str">
        <f t="shared" si="839"/>
        <v>PSNP'!</v>
      </c>
      <c r="F3666" s="5" t="str">
        <f t="shared" si="832"/>
        <v>C:\Users\jaime.benazar\Quorum Business Solutions\Ecopetrol Prometeo - Documents\Planning Space Implementation\3. Analysis &amp; Design\Design\FC22\DRR Jaime\Neiva CPI\[VAO_DINA TERCIARIOS_CF_SEC_20230117.xlsx]CF PSNP'!</v>
      </c>
      <c r="G3666" s="6" t="s">
        <v>112</v>
      </c>
      <c r="H3666" s="1"/>
      <c r="I3666" s="1"/>
      <c r="J3666" s="1"/>
    </row>
    <row r="3667" spans="1:10" x14ac:dyDescent="0.3">
      <c r="A3667" s="6" t="s">
        <v>22</v>
      </c>
      <c r="B3667" s="6">
        <f t="shared" si="841"/>
        <v>2040</v>
      </c>
      <c r="C3667" s="1" t="s">
        <v>28</v>
      </c>
      <c r="D3667" s="2" t="s">
        <v>131</v>
      </c>
      <c r="E3667" s="9" t="str">
        <f t="shared" si="839"/>
        <v>PSNP'!</v>
      </c>
      <c r="F3667" s="5" t="str">
        <f t="shared" si="832"/>
        <v>C:\Users\jaime.benazar\Quorum Business Solutions\Ecopetrol Prometeo - Documents\Planning Space Implementation\3. Analysis &amp; Design\Design\FC22\DRR Jaime\Neiva CPI\[VAO_DINA TERCIARIOS_CF_SEC_20230117.xlsx]CF PSNP'!</v>
      </c>
      <c r="G3667" s="6" t="s">
        <v>112</v>
      </c>
      <c r="H3667" s="1"/>
      <c r="I3667" s="1"/>
      <c r="J3667" s="1"/>
    </row>
    <row r="3668" spans="1:10" x14ac:dyDescent="0.3">
      <c r="A3668" s="6" t="s">
        <v>22</v>
      </c>
      <c r="B3668" s="6">
        <f>+B3667+1</f>
        <v>2041</v>
      </c>
      <c r="C3668" s="1" t="s">
        <v>28</v>
      </c>
      <c r="D3668" s="2" t="s">
        <v>131</v>
      </c>
      <c r="E3668" s="9" t="str">
        <f t="shared" si="839"/>
        <v>PSNP'!</v>
      </c>
      <c r="F3668" s="5" t="str">
        <f t="shared" si="832"/>
        <v>C:\Users\jaime.benazar\Quorum Business Solutions\Ecopetrol Prometeo - Documents\Planning Space Implementation\3. Analysis &amp; Design\Design\FC22\DRR Jaime\Neiva CPI\[VAO_DINA TERCIARIOS_CF_SEC_20230117.xlsx]CF PSNP'!</v>
      </c>
      <c r="G3668" s="6" t="s">
        <v>112</v>
      </c>
      <c r="H3668" s="1"/>
      <c r="I3668" s="1"/>
      <c r="J3668" s="1"/>
    </row>
    <row r="3669" spans="1:10" x14ac:dyDescent="0.3">
      <c r="A3669" s="6" t="s">
        <v>22</v>
      </c>
      <c r="B3669" s="6">
        <f t="shared" ref="B3669:B3670" si="842">+B3668+1</f>
        <v>2042</v>
      </c>
      <c r="C3669" s="1" t="s">
        <v>28</v>
      </c>
      <c r="D3669" s="2" t="s">
        <v>131</v>
      </c>
      <c r="E3669" s="9" t="str">
        <f t="shared" si="839"/>
        <v>PSNP'!</v>
      </c>
      <c r="F3669" s="5" t="str">
        <f t="shared" si="832"/>
        <v>C:\Users\jaime.benazar\Quorum Business Solutions\Ecopetrol Prometeo - Documents\Planning Space Implementation\3. Analysis &amp; Design\Design\FC22\DRR Jaime\Neiva CPI\[VAO_DINA TERCIARIOS_CF_SEC_20230117.xlsx]CF PSNP'!</v>
      </c>
      <c r="G3669" s="6" t="s">
        <v>112</v>
      </c>
      <c r="H3669" s="1"/>
      <c r="I3669" s="1"/>
      <c r="J3669" s="1"/>
    </row>
    <row r="3670" spans="1:10" x14ac:dyDescent="0.3">
      <c r="A3670" s="6" t="s">
        <v>22</v>
      </c>
      <c r="B3670" s="6">
        <f t="shared" si="842"/>
        <v>2043</v>
      </c>
      <c r="C3670" s="1" t="s">
        <v>28</v>
      </c>
      <c r="D3670" s="2" t="s">
        <v>131</v>
      </c>
      <c r="E3670" s="9" t="str">
        <f t="shared" si="839"/>
        <v>PSNP'!</v>
      </c>
      <c r="F3670" s="5" t="str">
        <f t="shared" si="832"/>
        <v>C:\Users\jaime.benazar\Quorum Business Solutions\Ecopetrol Prometeo - Documents\Planning Space Implementation\3. Analysis &amp; Design\Design\FC22\DRR Jaime\Neiva CPI\[VAO_DINA TERCIARIOS_CF_SEC_20230117.xlsx]CF PSNP'!</v>
      </c>
      <c r="G3670" s="6" t="s">
        <v>112</v>
      </c>
      <c r="H3670" s="1"/>
      <c r="I3670" s="1"/>
      <c r="J3670" s="1"/>
    </row>
    <row r="3671" spans="1:10" x14ac:dyDescent="0.3">
      <c r="A3671" s="6" t="s">
        <v>22</v>
      </c>
      <c r="B3671" s="6">
        <f>+B3670+1</f>
        <v>2044</v>
      </c>
      <c r="C3671" s="1" t="s">
        <v>28</v>
      </c>
      <c r="D3671" s="2" t="s">
        <v>131</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Jaime\Neiva CPI\[VAO_DINA TERCIARIOS_CF_SEC_20230117.xlsx]CF PSNP'!</v>
      </c>
      <c r="G3671" s="6" t="s">
        <v>112</v>
      </c>
      <c r="H3671" s="1"/>
      <c r="I3671" s="1"/>
      <c r="J3671" s="1"/>
    </row>
    <row r="3672" spans="1:10" x14ac:dyDescent="0.3">
      <c r="A3672" s="6" t="s">
        <v>22</v>
      </c>
      <c r="B3672" s="6">
        <f t="shared" ref="B3672:B3686" si="845">+B3671+1</f>
        <v>2045</v>
      </c>
      <c r="C3672" s="1" t="s">
        <v>28</v>
      </c>
      <c r="D3672" s="2" t="s">
        <v>131</v>
      </c>
      <c r="E3672" s="9" t="str">
        <f t="shared" si="843"/>
        <v>PSNP'!</v>
      </c>
      <c r="F3672" s="5" t="str">
        <f t="shared" si="844"/>
        <v>C:\Users\jaime.benazar\Quorum Business Solutions\Ecopetrol Prometeo - Documents\Planning Space Implementation\3. Analysis &amp; Design\Design\FC22\DRR Jaime\Neiva CPI\[VAO_DINA TERCIARIOS_CF_SEC_20230117.xlsx]CF PSNP'!</v>
      </c>
      <c r="G3672" s="6" t="s">
        <v>112</v>
      </c>
      <c r="H3672" s="1"/>
      <c r="I3672" s="1"/>
      <c r="J3672" s="1"/>
    </row>
    <row r="3673" spans="1:10" x14ac:dyDescent="0.3">
      <c r="A3673" s="6" t="s">
        <v>22</v>
      </c>
      <c r="B3673" s="6">
        <f t="shared" si="845"/>
        <v>2046</v>
      </c>
      <c r="C3673" s="1" t="s">
        <v>28</v>
      </c>
      <c r="D3673" s="2" t="s">
        <v>131</v>
      </c>
      <c r="E3673" s="9" t="str">
        <f t="shared" si="843"/>
        <v>PSNP'!</v>
      </c>
      <c r="F3673" s="5" t="str">
        <f t="shared" si="844"/>
        <v>C:\Users\jaime.benazar\Quorum Business Solutions\Ecopetrol Prometeo - Documents\Planning Space Implementation\3. Analysis &amp; Design\Design\FC22\DRR Jaime\Neiva CPI\[VAO_DINA TERCIARIOS_CF_SEC_20230117.xlsx]CF PSNP'!</v>
      </c>
      <c r="G3673" s="6" t="s">
        <v>112</v>
      </c>
      <c r="H3673" s="1"/>
      <c r="I3673" s="1"/>
      <c r="J3673" s="1"/>
    </row>
    <row r="3674" spans="1:10" x14ac:dyDescent="0.3">
      <c r="A3674" s="6" t="s">
        <v>22</v>
      </c>
      <c r="B3674" s="6">
        <f t="shared" si="845"/>
        <v>2047</v>
      </c>
      <c r="C3674" s="1" t="s">
        <v>28</v>
      </c>
      <c r="D3674" s="2" t="s">
        <v>131</v>
      </c>
      <c r="E3674" s="9" t="str">
        <f t="shared" si="843"/>
        <v>PSNP'!</v>
      </c>
      <c r="F3674" s="5" t="str">
        <f t="shared" si="844"/>
        <v>C:\Users\jaime.benazar\Quorum Business Solutions\Ecopetrol Prometeo - Documents\Planning Space Implementation\3. Analysis &amp; Design\Design\FC22\DRR Jaime\Neiva CPI\[VAO_DINA TERCIARIOS_CF_SEC_20230117.xlsx]CF PSNP'!</v>
      </c>
      <c r="G3674" s="6" t="s">
        <v>112</v>
      </c>
      <c r="H3674" s="1"/>
      <c r="I3674" s="1"/>
      <c r="J3674" s="1"/>
    </row>
    <row r="3675" spans="1:10" x14ac:dyDescent="0.3">
      <c r="A3675" s="6" t="s">
        <v>22</v>
      </c>
      <c r="B3675" s="6">
        <f t="shared" si="845"/>
        <v>2048</v>
      </c>
      <c r="C3675" s="1" t="s">
        <v>28</v>
      </c>
      <c r="D3675" s="2" t="s">
        <v>131</v>
      </c>
      <c r="E3675" s="9" t="str">
        <f t="shared" si="843"/>
        <v>PSNP'!</v>
      </c>
      <c r="F3675" s="5" t="str">
        <f t="shared" si="844"/>
        <v>C:\Users\jaime.benazar\Quorum Business Solutions\Ecopetrol Prometeo - Documents\Planning Space Implementation\3. Analysis &amp; Design\Design\FC22\DRR Jaime\Neiva CPI\[VAO_DINA TERCIARIOS_CF_SEC_20230117.xlsx]CF PSNP'!</v>
      </c>
      <c r="G3675" s="6" t="s">
        <v>112</v>
      </c>
      <c r="H3675" s="1"/>
      <c r="I3675" s="1"/>
      <c r="J3675" s="1"/>
    </row>
    <row r="3676" spans="1:10" x14ac:dyDescent="0.3">
      <c r="A3676" s="6" t="s">
        <v>22</v>
      </c>
      <c r="B3676" s="6">
        <f t="shared" si="845"/>
        <v>2049</v>
      </c>
      <c r="C3676" s="1" t="s">
        <v>28</v>
      </c>
      <c r="D3676" s="2" t="s">
        <v>131</v>
      </c>
      <c r="E3676" s="9" t="str">
        <f t="shared" si="843"/>
        <v>PSNP'!</v>
      </c>
      <c r="F3676" s="5" t="str">
        <f t="shared" si="844"/>
        <v>C:\Users\jaime.benazar\Quorum Business Solutions\Ecopetrol Prometeo - Documents\Planning Space Implementation\3. Analysis &amp; Design\Design\FC22\DRR Jaime\Neiva CPI\[VAO_DINA TERCIARIOS_CF_SEC_20230117.xlsx]CF PSNP'!</v>
      </c>
      <c r="G3676" s="6" t="s">
        <v>112</v>
      </c>
      <c r="H3676" s="1"/>
      <c r="I3676" s="1"/>
      <c r="J3676" s="1"/>
    </row>
    <row r="3677" spans="1:10" x14ac:dyDescent="0.3">
      <c r="A3677" s="6" t="s">
        <v>22</v>
      </c>
      <c r="B3677" s="6">
        <f t="shared" si="845"/>
        <v>2050</v>
      </c>
      <c r="C3677" s="1" t="s">
        <v>28</v>
      </c>
      <c r="D3677" s="2" t="s">
        <v>131</v>
      </c>
      <c r="E3677" s="9" t="str">
        <f t="shared" si="843"/>
        <v>PSNP'!</v>
      </c>
      <c r="F3677" s="5" t="str">
        <f t="shared" si="844"/>
        <v>C:\Users\jaime.benazar\Quorum Business Solutions\Ecopetrol Prometeo - Documents\Planning Space Implementation\3. Analysis &amp; Design\Design\FC22\DRR Jaime\Neiva CPI\[VAO_DINA TERCIARIOS_CF_SEC_20230117.xlsx]CF PSNP'!</v>
      </c>
      <c r="G3677" s="6" t="s">
        <v>112</v>
      </c>
      <c r="H3677" s="1"/>
      <c r="I3677" s="1"/>
      <c r="J3677" s="1"/>
    </row>
    <row r="3678" spans="1:10" x14ac:dyDescent="0.3">
      <c r="A3678" s="6" t="s">
        <v>22</v>
      </c>
      <c r="B3678" s="6">
        <f t="shared" si="845"/>
        <v>2051</v>
      </c>
      <c r="C3678" s="1" t="s">
        <v>28</v>
      </c>
      <c r="D3678" s="2" t="s">
        <v>131</v>
      </c>
      <c r="E3678" s="9" t="str">
        <f t="shared" si="843"/>
        <v>PSNP'!</v>
      </c>
      <c r="F3678" s="5" t="str">
        <f t="shared" si="844"/>
        <v>C:\Users\jaime.benazar\Quorum Business Solutions\Ecopetrol Prometeo - Documents\Planning Space Implementation\3. Analysis &amp; Design\Design\FC22\DRR Jaime\Neiva CPI\[VAO_DINA TERCIARIOS_CF_SEC_20230117.xlsx]CF PSNP'!</v>
      </c>
      <c r="G3678" s="6" t="s">
        <v>112</v>
      </c>
      <c r="H3678" s="1"/>
      <c r="I3678" s="1"/>
      <c r="J3678" s="1"/>
    </row>
    <row r="3679" spans="1:10" x14ac:dyDescent="0.3">
      <c r="A3679" s="6" t="s">
        <v>22</v>
      </c>
      <c r="B3679" s="6">
        <f t="shared" si="845"/>
        <v>2052</v>
      </c>
      <c r="C3679" s="1" t="s">
        <v>28</v>
      </c>
      <c r="D3679" s="2" t="s">
        <v>131</v>
      </c>
      <c r="E3679" s="9" t="str">
        <f t="shared" si="843"/>
        <v>PSNP'!</v>
      </c>
      <c r="F3679" s="5" t="str">
        <f t="shared" si="844"/>
        <v>C:\Users\jaime.benazar\Quorum Business Solutions\Ecopetrol Prometeo - Documents\Planning Space Implementation\3. Analysis &amp; Design\Design\FC22\DRR Jaime\Neiva CPI\[VAO_DINA TERCIARIOS_CF_SEC_20230117.xlsx]CF PSNP'!</v>
      </c>
      <c r="G3679" s="6" t="s">
        <v>112</v>
      </c>
      <c r="H3679" s="1"/>
      <c r="I3679" s="1"/>
      <c r="J3679" s="1"/>
    </row>
    <row r="3680" spans="1:10" x14ac:dyDescent="0.3">
      <c r="A3680" s="6" t="s">
        <v>22</v>
      </c>
      <c r="B3680" s="6">
        <f t="shared" si="845"/>
        <v>2053</v>
      </c>
      <c r="C3680" s="1" t="s">
        <v>28</v>
      </c>
      <c r="D3680" s="2" t="s">
        <v>131</v>
      </c>
      <c r="E3680" s="9" t="str">
        <f t="shared" si="843"/>
        <v>PSNP'!</v>
      </c>
      <c r="F3680" s="5" t="str">
        <f t="shared" si="844"/>
        <v>C:\Users\jaime.benazar\Quorum Business Solutions\Ecopetrol Prometeo - Documents\Planning Space Implementation\3. Analysis &amp; Design\Design\FC22\DRR Jaime\Neiva CPI\[VAO_DINA TERCIARIOS_CF_SEC_20230117.xlsx]CF PSNP'!</v>
      </c>
      <c r="G3680" s="6" t="s">
        <v>112</v>
      </c>
      <c r="H3680" s="1"/>
      <c r="I3680" s="1"/>
      <c r="J3680" s="1"/>
    </row>
    <row r="3681" spans="1:10" x14ac:dyDescent="0.3">
      <c r="A3681" s="6" t="s">
        <v>22</v>
      </c>
      <c r="B3681" s="6">
        <f t="shared" si="845"/>
        <v>2054</v>
      </c>
      <c r="C3681" s="1" t="s">
        <v>28</v>
      </c>
      <c r="D3681" s="2" t="s">
        <v>131</v>
      </c>
      <c r="E3681" s="9" t="str">
        <f t="shared" si="843"/>
        <v>PSNP'!</v>
      </c>
      <c r="F3681" s="5" t="str">
        <f t="shared" si="844"/>
        <v>C:\Users\jaime.benazar\Quorum Business Solutions\Ecopetrol Prometeo - Documents\Planning Space Implementation\3. Analysis &amp; Design\Design\FC22\DRR Jaime\Neiva CPI\[VAO_DINA TERCIARIOS_CF_SEC_20230117.xlsx]CF PSNP'!</v>
      </c>
      <c r="G3681" s="6" t="s">
        <v>112</v>
      </c>
      <c r="H3681" s="1"/>
      <c r="I3681" s="1"/>
      <c r="J3681" s="1"/>
    </row>
    <row r="3682" spans="1:10" x14ac:dyDescent="0.3">
      <c r="A3682" s="6" t="s">
        <v>22</v>
      </c>
      <c r="B3682" s="6">
        <f t="shared" si="845"/>
        <v>2055</v>
      </c>
      <c r="C3682" s="1" t="s">
        <v>28</v>
      </c>
      <c r="D3682" s="2" t="s">
        <v>131</v>
      </c>
      <c r="E3682" s="9" t="str">
        <f t="shared" si="843"/>
        <v>PSNP'!</v>
      </c>
      <c r="F3682" s="5" t="str">
        <f t="shared" si="844"/>
        <v>C:\Users\jaime.benazar\Quorum Business Solutions\Ecopetrol Prometeo - Documents\Planning Space Implementation\3. Analysis &amp; Design\Design\FC22\DRR Jaime\Neiva CPI\[VAO_DINA TERCIARIOS_CF_SEC_20230117.xlsx]CF PSNP'!</v>
      </c>
      <c r="G3682" s="6" t="s">
        <v>112</v>
      </c>
      <c r="H3682" s="1"/>
      <c r="I3682" s="1"/>
      <c r="J3682" s="1"/>
    </row>
    <row r="3683" spans="1:10" x14ac:dyDescent="0.3">
      <c r="A3683" s="6" t="s">
        <v>22</v>
      </c>
      <c r="B3683" s="6">
        <f t="shared" si="845"/>
        <v>2056</v>
      </c>
      <c r="C3683" s="1" t="s">
        <v>28</v>
      </c>
      <c r="D3683" s="2" t="s">
        <v>131</v>
      </c>
      <c r="E3683" s="9" t="str">
        <f t="shared" si="843"/>
        <v>PSNP'!</v>
      </c>
      <c r="F3683" s="5" t="str">
        <f t="shared" si="844"/>
        <v>C:\Users\jaime.benazar\Quorum Business Solutions\Ecopetrol Prometeo - Documents\Planning Space Implementation\3. Analysis &amp; Design\Design\FC22\DRR Jaime\Neiva CPI\[VAO_DINA TERCIARIOS_CF_SEC_20230117.xlsx]CF PSNP'!</v>
      </c>
      <c r="G3683" s="6" t="s">
        <v>112</v>
      </c>
      <c r="H3683" s="1"/>
      <c r="I3683" s="1"/>
      <c r="J3683" s="1"/>
    </row>
    <row r="3684" spans="1:10" x14ac:dyDescent="0.3">
      <c r="A3684" s="6" t="s">
        <v>22</v>
      </c>
      <c r="B3684" s="6">
        <f t="shared" si="845"/>
        <v>2057</v>
      </c>
      <c r="C3684" s="1" t="s">
        <v>28</v>
      </c>
      <c r="D3684" s="2" t="s">
        <v>131</v>
      </c>
      <c r="E3684" s="9" t="str">
        <f t="shared" si="843"/>
        <v>PSNP'!</v>
      </c>
      <c r="F3684" s="5" t="str">
        <f t="shared" si="844"/>
        <v>C:\Users\jaime.benazar\Quorum Business Solutions\Ecopetrol Prometeo - Documents\Planning Space Implementation\3. Analysis &amp; Design\Design\FC22\DRR Jaime\Neiva CPI\[VAO_DINA TERCIARIOS_CF_SEC_20230117.xlsx]CF PSNP'!</v>
      </c>
      <c r="G3684" s="6" t="s">
        <v>112</v>
      </c>
      <c r="H3684" s="1"/>
      <c r="I3684" s="1"/>
      <c r="J3684" s="1"/>
    </row>
    <row r="3685" spans="1:10" x14ac:dyDescent="0.3">
      <c r="A3685" s="6" t="s">
        <v>22</v>
      </c>
      <c r="B3685" s="6">
        <f t="shared" si="845"/>
        <v>2058</v>
      </c>
      <c r="C3685" s="1" t="s">
        <v>28</v>
      </c>
      <c r="D3685" s="2" t="s">
        <v>131</v>
      </c>
      <c r="E3685" s="9" t="str">
        <f t="shared" si="843"/>
        <v>PSNP'!</v>
      </c>
      <c r="F3685" s="5" t="str">
        <f t="shared" si="844"/>
        <v>C:\Users\jaime.benazar\Quorum Business Solutions\Ecopetrol Prometeo - Documents\Planning Space Implementation\3. Analysis &amp; Design\Design\FC22\DRR Jaime\Neiva CPI\[VAO_DINA TERCIARIOS_CF_SEC_20230117.xlsx]CF PSNP'!</v>
      </c>
      <c r="G3685" s="6" t="s">
        <v>112</v>
      </c>
      <c r="H3685" s="1"/>
      <c r="I3685" s="1"/>
      <c r="J3685" s="1"/>
    </row>
    <row r="3686" spans="1:10" x14ac:dyDescent="0.3">
      <c r="A3686" s="6" t="s">
        <v>22</v>
      </c>
      <c r="B3686" s="6">
        <f t="shared" si="845"/>
        <v>2059</v>
      </c>
      <c r="C3686" s="1" t="s">
        <v>28</v>
      </c>
      <c r="D3686" s="2" t="s">
        <v>131</v>
      </c>
      <c r="E3686" s="9" t="str">
        <f t="shared" si="843"/>
        <v>PSNP'!</v>
      </c>
      <c r="F3686" s="5" t="str">
        <f t="shared" si="844"/>
        <v>C:\Users\jaime.benazar\Quorum Business Solutions\Ecopetrol Prometeo - Documents\Planning Space Implementation\3. Analysis &amp; Design\Design\FC22\DRR Jaime\Neiva CPI\[VAO_DINA TERCIARIOS_CF_SEC_20230117.xlsx]CF PSNP'!</v>
      </c>
      <c r="G3686" s="6" t="s">
        <v>112</v>
      </c>
      <c r="H3686" s="1"/>
      <c r="I3686" s="1"/>
      <c r="J3686" s="1"/>
    </row>
    <row r="3687" spans="1:10" x14ac:dyDescent="0.3">
      <c r="A3687" s="6" t="s">
        <v>26</v>
      </c>
      <c r="B3687" s="6"/>
      <c r="C3687" s="1" t="s">
        <v>28</v>
      </c>
      <c r="D3687" s="2"/>
      <c r="E3687" s="9"/>
      <c r="F3687" s="5"/>
      <c r="G3687" s="6"/>
      <c r="H3687" s="1"/>
      <c r="I3687" s="1"/>
      <c r="J3687" s="12"/>
    </row>
    <row r="3688" spans="1:10" x14ac:dyDescent="0.3">
      <c r="A3688" s="6" t="s">
        <v>23</v>
      </c>
      <c r="B3688" s="6">
        <v>2023</v>
      </c>
      <c r="C3688" s="1" t="s">
        <v>28</v>
      </c>
      <c r="D3688" s="2" t="s">
        <v>131</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Jaime\Neiva CPI\[VAO_DINA TERCIARIOS_CF_SEC_20230117.xlsx]CF PSND'!</v>
      </c>
      <c r="G3688" s="6" t="s">
        <v>112</v>
      </c>
      <c r="H3688" s="1"/>
      <c r="I3688" s="1"/>
      <c r="J3688" s="1"/>
    </row>
    <row r="3689" spans="1:10" x14ac:dyDescent="0.3">
      <c r="A3689" s="6" t="s">
        <v>23</v>
      </c>
      <c r="B3689" s="6">
        <f>+B3688+1</f>
        <v>2024</v>
      </c>
      <c r="C3689" s="1" t="s">
        <v>28</v>
      </c>
      <c r="D3689" s="2" t="s">
        <v>131</v>
      </c>
      <c r="E3689" s="9" t="str">
        <f t="shared" si="846"/>
        <v>PSND'!</v>
      </c>
      <c r="F3689" s="5" t="str">
        <f t="shared" si="847"/>
        <v>C:\Users\jaime.benazar\Quorum Business Solutions\Ecopetrol Prometeo - Documents\Planning Space Implementation\3. Analysis &amp; Design\Design\FC22\DRR Jaime\Neiva CPI\[VAO_DINA TERCIARIOS_CF_SEC_20230117.xlsx]CF PSND'!</v>
      </c>
      <c r="G3689" s="6" t="s">
        <v>112</v>
      </c>
      <c r="H3689" s="1"/>
      <c r="I3689" s="1"/>
      <c r="J3689" s="1"/>
    </row>
    <row r="3690" spans="1:10" x14ac:dyDescent="0.3">
      <c r="A3690" s="6" t="s">
        <v>23</v>
      </c>
      <c r="B3690" s="6">
        <f t="shared" ref="B3690:B3701" si="848">+B3689+1</f>
        <v>2025</v>
      </c>
      <c r="C3690" s="1" t="s">
        <v>28</v>
      </c>
      <c r="D3690" s="2" t="s">
        <v>131</v>
      </c>
      <c r="E3690" s="9" t="str">
        <f t="shared" si="846"/>
        <v>PSND'!</v>
      </c>
      <c r="F3690" s="5" t="str">
        <f t="shared" si="847"/>
        <v>C:\Users\jaime.benazar\Quorum Business Solutions\Ecopetrol Prometeo - Documents\Planning Space Implementation\3. Analysis &amp; Design\Design\FC22\DRR Jaime\Neiva CPI\[VAO_DINA TERCIARIOS_CF_SEC_20230117.xlsx]CF PSND'!</v>
      </c>
      <c r="G3690" s="6" t="s">
        <v>112</v>
      </c>
      <c r="H3690" s="1"/>
      <c r="I3690" s="1"/>
      <c r="J3690" s="1"/>
    </row>
    <row r="3691" spans="1:10" x14ac:dyDescent="0.3">
      <c r="A3691" s="6" t="s">
        <v>23</v>
      </c>
      <c r="B3691" s="6">
        <f t="shared" si="848"/>
        <v>2026</v>
      </c>
      <c r="C3691" s="1" t="s">
        <v>28</v>
      </c>
      <c r="D3691" s="2" t="s">
        <v>131</v>
      </c>
      <c r="E3691" s="9" t="str">
        <f t="shared" si="846"/>
        <v>PSND'!</v>
      </c>
      <c r="F3691" s="5" t="str">
        <f t="shared" si="847"/>
        <v>C:\Users\jaime.benazar\Quorum Business Solutions\Ecopetrol Prometeo - Documents\Planning Space Implementation\3. Analysis &amp; Design\Design\FC22\DRR Jaime\Neiva CPI\[VAO_DINA TERCIARIOS_CF_SEC_20230117.xlsx]CF PSND'!</v>
      </c>
      <c r="G3691" s="6" t="s">
        <v>112</v>
      </c>
      <c r="H3691" s="1"/>
      <c r="I3691" s="1"/>
      <c r="J3691" s="1"/>
    </row>
    <row r="3692" spans="1:10" x14ac:dyDescent="0.3">
      <c r="A3692" s="6" t="s">
        <v>23</v>
      </c>
      <c r="B3692" s="6">
        <f t="shared" si="848"/>
        <v>2027</v>
      </c>
      <c r="C3692" s="1" t="s">
        <v>28</v>
      </c>
      <c r="D3692" s="2" t="s">
        <v>131</v>
      </c>
      <c r="E3692" s="9" t="str">
        <f t="shared" si="846"/>
        <v>PSND'!</v>
      </c>
      <c r="F3692" s="5" t="str">
        <f t="shared" si="847"/>
        <v>C:\Users\jaime.benazar\Quorum Business Solutions\Ecopetrol Prometeo - Documents\Planning Space Implementation\3. Analysis &amp; Design\Design\FC22\DRR Jaime\Neiva CPI\[VAO_DINA TERCIARIOS_CF_SEC_20230117.xlsx]CF PSND'!</v>
      </c>
      <c r="G3692" s="6" t="s">
        <v>112</v>
      </c>
      <c r="H3692" s="1"/>
      <c r="I3692" s="1"/>
      <c r="J3692" s="1"/>
    </row>
    <row r="3693" spans="1:10" x14ac:dyDescent="0.3">
      <c r="A3693" s="6" t="s">
        <v>23</v>
      </c>
      <c r="B3693" s="6">
        <f t="shared" si="848"/>
        <v>2028</v>
      </c>
      <c r="C3693" s="1" t="s">
        <v>28</v>
      </c>
      <c r="D3693" s="2" t="s">
        <v>131</v>
      </c>
      <c r="E3693" s="9" t="str">
        <f t="shared" si="846"/>
        <v>PSND'!</v>
      </c>
      <c r="F3693" s="5" t="str">
        <f t="shared" si="847"/>
        <v>C:\Users\jaime.benazar\Quorum Business Solutions\Ecopetrol Prometeo - Documents\Planning Space Implementation\3. Analysis &amp; Design\Design\FC22\DRR Jaime\Neiva CPI\[VAO_DINA TERCIARIOS_CF_SEC_20230117.xlsx]CF PSND'!</v>
      </c>
      <c r="G3693" s="6" t="s">
        <v>112</v>
      </c>
      <c r="H3693" s="1"/>
      <c r="I3693" s="1"/>
      <c r="J3693" s="1"/>
    </row>
    <row r="3694" spans="1:10" x14ac:dyDescent="0.3">
      <c r="A3694" s="6" t="s">
        <v>23</v>
      </c>
      <c r="B3694" s="6">
        <f t="shared" si="848"/>
        <v>2029</v>
      </c>
      <c r="C3694" s="1" t="s">
        <v>28</v>
      </c>
      <c r="D3694" s="2" t="s">
        <v>131</v>
      </c>
      <c r="E3694" s="9" t="str">
        <f t="shared" si="846"/>
        <v>PSND'!</v>
      </c>
      <c r="F3694" s="5" t="str">
        <f t="shared" si="847"/>
        <v>C:\Users\jaime.benazar\Quorum Business Solutions\Ecopetrol Prometeo - Documents\Planning Space Implementation\3. Analysis &amp; Design\Design\FC22\DRR Jaime\Neiva CPI\[VAO_DINA TERCIARIOS_CF_SEC_20230117.xlsx]CF PSND'!</v>
      </c>
      <c r="G3694" s="6" t="s">
        <v>112</v>
      </c>
      <c r="H3694" s="1"/>
      <c r="I3694" s="1"/>
      <c r="J3694" s="1"/>
    </row>
    <row r="3695" spans="1:10" x14ac:dyDescent="0.3">
      <c r="A3695" s="6" t="s">
        <v>23</v>
      </c>
      <c r="B3695" s="6">
        <f t="shared" si="848"/>
        <v>2030</v>
      </c>
      <c r="C3695" s="1" t="s">
        <v>28</v>
      </c>
      <c r="D3695" s="2" t="s">
        <v>131</v>
      </c>
      <c r="E3695" s="9" t="str">
        <f t="shared" si="846"/>
        <v>PSND'!</v>
      </c>
      <c r="F3695" s="5" t="str">
        <f t="shared" si="847"/>
        <v>C:\Users\jaime.benazar\Quorum Business Solutions\Ecopetrol Prometeo - Documents\Planning Space Implementation\3. Analysis &amp; Design\Design\FC22\DRR Jaime\Neiva CPI\[VAO_DINA TERCIARIOS_CF_SEC_20230117.xlsx]CF PSND'!</v>
      </c>
      <c r="G3695" s="6" t="s">
        <v>112</v>
      </c>
      <c r="H3695" s="1"/>
      <c r="I3695" s="1"/>
      <c r="J3695" s="1"/>
    </row>
    <row r="3696" spans="1:10" x14ac:dyDescent="0.3">
      <c r="A3696" s="6" t="s">
        <v>23</v>
      </c>
      <c r="B3696" s="6">
        <f t="shared" si="848"/>
        <v>2031</v>
      </c>
      <c r="C3696" s="1" t="s">
        <v>28</v>
      </c>
      <c r="D3696" s="2" t="s">
        <v>131</v>
      </c>
      <c r="E3696" s="9" t="str">
        <f t="shared" si="846"/>
        <v>PSND'!</v>
      </c>
      <c r="F3696" s="5" t="str">
        <f t="shared" si="847"/>
        <v>C:\Users\jaime.benazar\Quorum Business Solutions\Ecopetrol Prometeo - Documents\Planning Space Implementation\3. Analysis &amp; Design\Design\FC22\DRR Jaime\Neiva CPI\[VAO_DINA TERCIARIOS_CF_SEC_20230117.xlsx]CF PSND'!</v>
      </c>
      <c r="G3696" s="6" t="s">
        <v>112</v>
      </c>
      <c r="H3696" s="1"/>
      <c r="I3696" s="1"/>
      <c r="J3696" s="1"/>
    </row>
    <row r="3697" spans="1:10" x14ac:dyDescent="0.3">
      <c r="A3697" s="6" t="s">
        <v>23</v>
      </c>
      <c r="B3697" s="6">
        <f t="shared" si="848"/>
        <v>2032</v>
      </c>
      <c r="C3697" s="1" t="s">
        <v>28</v>
      </c>
      <c r="D3697" s="2" t="s">
        <v>131</v>
      </c>
      <c r="E3697" s="9" t="str">
        <f t="shared" si="846"/>
        <v>PSND'!</v>
      </c>
      <c r="F3697" s="5" t="str">
        <f t="shared" si="847"/>
        <v>C:\Users\jaime.benazar\Quorum Business Solutions\Ecopetrol Prometeo - Documents\Planning Space Implementation\3. Analysis &amp; Design\Design\FC22\DRR Jaime\Neiva CPI\[VAO_DINA TERCIARIOS_CF_SEC_20230117.xlsx]CF PSND'!</v>
      </c>
      <c r="G3697" s="6" t="s">
        <v>112</v>
      </c>
      <c r="H3697" s="1"/>
      <c r="I3697" s="1"/>
      <c r="J3697" s="1"/>
    </row>
    <row r="3698" spans="1:10" x14ac:dyDescent="0.3">
      <c r="A3698" s="6" t="s">
        <v>23</v>
      </c>
      <c r="B3698" s="6">
        <f t="shared" si="848"/>
        <v>2033</v>
      </c>
      <c r="C3698" s="1" t="s">
        <v>28</v>
      </c>
      <c r="D3698" s="2" t="s">
        <v>131</v>
      </c>
      <c r="E3698" s="9" t="str">
        <f t="shared" si="846"/>
        <v>PSND'!</v>
      </c>
      <c r="F3698" s="5" t="str">
        <f t="shared" si="847"/>
        <v>C:\Users\jaime.benazar\Quorum Business Solutions\Ecopetrol Prometeo - Documents\Planning Space Implementation\3. Analysis &amp; Design\Design\FC22\DRR Jaime\Neiva CPI\[VAO_DINA TERCIARIOS_CF_SEC_20230117.xlsx]CF PSND'!</v>
      </c>
      <c r="G3698" s="6" t="s">
        <v>112</v>
      </c>
      <c r="H3698" s="1"/>
      <c r="I3698" s="1"/>
      <c r="J3698" s="1"/>
    </row>
    <row r="3699" spans="1:10" x14ac:dyDescent="0.3">
      <c r="A3699" s="6" t="s">
        <v>23</v>
      </c>
      <c r="B3699" s="6">
        <f t="shared" si="848"/>
        <v>2034</v>
      </c>
      <c r="C3699" s="1" t="s">
        <v>28</v>
      </c>
      <c r="D3699" s="2" t="s">
        <v>131</v>
      </c>
      <c r="E3699" s="9" t="str">
        <f t="shared" si="846"/>
        <v>PSND'!</v>
      </c>
      <c r="F3699" s="5" t="str">
        <f t="shared" si="847"/>
        <v>C:\Users\jaime.benazar\Quorum Business Solutions\Ecopetrol Prometeo - Documents\Planning Space Implementation\3. Analysis &amp; Design\Design\FC22\DRR Jaime\Neiva CPI\[VAO_DINA TERCIARIOS_CF_SEC_20230117.xlsx]CF PSND'!</v>
      </c>
      <c r="G3699" s="6" t="s">
        <v>112</v>
      </c>
      <c r="H3699" s="1"/>
      <c r="I3699" s="1"/>
      <c r="J3699" s="1"/>
    </row>
    <row r="3700" spans="1:10" x14ac:dyDescent="0.3">
      <c r="A3700" s="6" t="s">
        <v>23</v>
      </c>
      <c r="B3700" s="6">
        <f t="shared" si="848"/>
        <v>2035</v>
      </c>
      <c r="C3700" s="1" t="s">
        <v>28</v>
      </c>
      <c r="D3700" s="2" t="s">
        <v>131</v>
      </c>
      <c r="E3700" s="9" t="str">
        <f t="shared" si="846"/>
        <v>PSND'!</v>
      </c>
      <c r="F3700" s="5" t="str">
        <f t="shared" si="847"/>
        <v>C:\Users\jaime.benazar\Quorum Business Solutions\Ecopetrol Prometeo - Documents\Planning Space Implementation\3. Analysis &amp; Design\Design\FC22\DRR Jaime\Neiva CPI\[VAO_DINA TERCIARIOS_CF_SEC_20230117.xlsx]CF PSND'!</v>
      </c>
      <c r="G3700" s="6" t="s">
        <v>112</v>
      </c>
      <c r="H3700" s="1"/>
      <c r="I3700" s="1"/>
      <c r="J3700" s="1"/>
    </row>
    <row r="3701" spans="1:10" x14ac:dyDescent="0.3">
      <c r="A3701" s="6" t="s">
        <v>23</v>
      </c>
      <c r="B3701" s="6">
        <f t="shared" si="848"/>
        <v>2036</v>
      </c>
      <c r="C3701" s="1" t="s">
        <v>28</v>
      </c>
      <c r="D3701" s="2" t="s">
        <v>131</v>
      </c>
      <c r="E3701" s="9" t="str">
        <f t="shared" si="846"/>
        <v>PSND'!</v>
      </c>
      <c r="F3701" s="5" t="str">
        <f t="shared" si="847"/>
        <v>C:\Users\jaime.benazar\Quorum Business Solutions\Ecopetrol Prometeo - Documents\Planning Space Implementation\3. Analysis &amp; Design\Design\FC22\DRR Jaime\Neiva CPI\[VAO_DINA TERCIARIOS_CF_SEC_20230117.xlsx]CF PSND'!</v>
      </c>
      <c r="G3701" s="6" t="s">
        <v>112</v>
      </c>
      <c r="H3701" s="1"/>
      <c r="I3701" s="1"/>
      <c r="J3701" s="1"/>
    </row>
    <row r="3702" spans="1:10" x14ac:dyDescent="0.3">
      <c r="A3702" s="6" t="s">
        <v>23</v>
      </c>
      <c r="B3702" s="6">
        <f>+B3701+1</f>
        <v>2037</v>
      </c>
      <c r="C3702" s="1" t="s">
        <v>28</v>
      </c>
      <c r="D3702" s="2" t="s">
        <v>131</v>
      </c>
      <c r="E3702" s="9" t="str">
        <f t="shared" si="846"/>
        <v>PSND'!</v>
      </c>
      <c r="F3702" s="5" t="str">
        <f t="shared" si="847"/>
        <v>C:\Users\jaime.benazar\Quorum Business Solutions\Ecopetrol Prometeo - Documents\Planning Space Implementation\3. Analysis &amp; Design\Design\FC22\DRR Jaime\Neiva CPI\[VAO_DINA TERCIARIOS_CF_SEC_20230117.xlsx]CF PSND'!</v>
      </c>
      <c r="G3702" s="6" t="s">
        <v>112</v>
      </c>
      <c r="H3702" s="1"/>
      <c r="I3702" s="1"/>
      <c r="J3702" s="1"/>
    </row>
    <row r="3703" spans="1:10" x14ac:dyDescent="0.3">
      <c r="A3703" s="6" t="s">
        <v>23</v>
      </c>
      <c r="B3703" s="6">
        <f t="shared" ref="B3703:B3705" si="849">+B3702+1</f>
        <v>2038</v>
      </c>
      <c r="C3703" s="1" t="s">
        <v>28</v>
      </c>
      <c r="D3703" s="2" t="s">
        <v>131</v>
      </c>
      <c r="E3703" s="9" t="str">
        <f t="shared" si="846"/>
        <v>PSND'!</v>
      </c>
      <c r="F3703" s="5" t="str">
        <f t="shared" si="847"/>
        <v>C:\Users\jaime.benazar\Quorum Business Solutions\Ecopetrol Prometeo - Documents\Planning Space Implementation\3. Analysis &amp; Design\Design\FC22\DRR Jaime\Neiva CPI\[VAO_DINA TERCIARIOS_CF_SEC_20230117.xlsx]CF PSND'!</v>
      </c>
      <c r="G3703" s="6" t="s">
        <v>112</v>
      </c>
      <c r="H3703" s="1"/>
      <c r="I3703" s="1"/>
      <c r="J3703" s="1"/>
    </row>
    <row r="3704" spans="1:10" x14ac:dyDescent="0.3">
      <c r="A3704" s="6" t="s">
        <v>23</v>
      </c>
      <c r="B3704" s="6">
        <f t="shared" si="849"/>
        <v>2039</v>
      </c>
      <c r="C3704" s="1" t="s">
        <v>28</v>
      </c>
      <c r="D3704" s="2" t="s">
        <v>131</v>
      </c>
      <c r="E3704" s="9" t="str">
        <f t="shared" si="846"/>
        <v>PSND'!</v>
      </c>
      <c r="F3704" s="5" t="str">
        <f t="shared" si="847"/>
        <v>C:\Users\jaime.benazar\Quorum Business Solutions\Ecopetrol Prometeo - Documents\Planning Space Implementation\3. Analysis &amp; Design\Design\FC22\DRR Jaime\Neiva CPI\[VAO_DINA TERCIARIOS_CF_SEC_20230117.xlsx]CF PSND'!</v>
      </c>
      <c r="G3704" s="6" t="s">
        <v>112</v>
      </c>
      <c r="H3704" s="1"/>
      <c r="I3704" s="1"/>
      <c r="J3704" s="1"/>
    </row>
    <row r="3705" spans="1:10" x14ac:dyDescent="0.3">
      <c r="A3705" s="6" t="s">
        <v>23</v>
      </c>
      <c r="B3705" s="6">
        <f t="shared" si="849"/>
        <v>2040</v>
      </c>
      <c r="C3705" s="1" t="s">
        <v>28</v>
      </c>
      <c r="D3705" s="2" t="s">
        <v>131</v>
      </c>
      <c r="E3705" s="9" t="str">
        <f t="shared" si="846"/>
        <v>PSND'!</v>
      </c>
      <c r="F3705" s="5" t="str">
        <f t="shared" si="847"/>
        <v>C:\Users\jaime.benazar\Quorum Business Solutions\Ecopetrol Prometeo - Documents\Planning Space Implementation\3. Analysis &amp; Design\Design\FC22\DRR Jaime\Neiva CPI\[VAO_DINA TERCIARIOS_CF_SEC_20230117.xlsx]CF PSND'!</v>
      </c>
      <c r="G3705" s="6" t="s">
        <v>112</v>
      </c>
      <c r="H3705" s="1"/>
      <c r="I3705" s="1"/>
      <c r="J3705" s="1"/>
    </row>
    <row r="3706" spans="1:10" x14ac:dyDescent="0.3">
      <c r="A3706" s="6" t="s">
        <v>23</v>
      </c>
      <c r="B3706" s="6">
        <f>+B3705+1</f>
        <v>2041</v>
      </c>
      <c r="C3706" s="1" t="s">
        <v>28</v>
      </c>
      <c r="D3706" s="2" t="s">
        <v>131</v>
      </c>
      <c r="E3706" s="9" t="str">
        <f t="shared" si="846"/>
        <v>PSND'!</v>
      </c>
      <c r="F3706" s="5" t="str">
        <f t="shared" si="847"/>
        <v>C:\Users\jaime.benazar\Quorum Business Solutions\Ecopetrol Prometeo - Documents\Planning Space Implementation\3. Analysis &amp; Design\Design\FC22\DRR Jaime\Neiva CPI\[VAO_DINA TERCIARIOS_CF_SEC_20230117.xlsx]CF PSND'!</v>
      </c>
      <c r="G3706" s="6" t="s">
        <v>112</v>
      </c>
      <c r="H3706" s="1"/>
      <c r="I3706" s="1"/>
      <c r="J3706" s="1"/>
    </row>
    <row r="3707" spans="1:10" x14ac:dyDescent="0.3">
      <c r="A3707" s="6" t="s">
        <v>23</v>
      </c>
      <c r="B3707" s="6">
        <f t="shared" ref="B3707:B3708" si="850">+B3706+1</f>
        <v>2042</v>
      </c>
      <c r="C3707" s="1" t="s">
        <v>28</v>
      </c>
      <c r="D3707" s="2" t="s">
        <v>131</v>
      </c>
      <c r="E3707" s="9" t="str">
        <f t="shared" si="846"/>
        <v>PSND'!</v>
      </c>
      <c r="F3707" s="5" t="str">
        <f t="shared" si="847"/>
        <v>C:\Users\jaime.benazar\Quorum Business Solutions\Ecopetrol Prometeo - Documents\Planning Space Implementation\3. Analysis &amp; Design\Design\FC22\DRR Jaime\Neiva CPI\[VAO_DINA TERCIARIOS_CF_SEC_20230117.xlsx]CF PSND'!</v>
      </c>
      <c r="G3707" s="6" t="s">
        <v>112</v>
      </c>
      <c r="H3707" s="1"/>
      <c r="I3707" s="1"/>
      <c r="J3707" s="1"/>
    </row>
    <row r="3708" spans="1:10" x14ac:dyDescent="0.3">
      <c r="A3708" s="6" t="s">
        <v>23</v>
      </c>
      <c r="B3708" s="6">
        <f t="shared" si="850"/>
        <v>2043</v>
      </c>
      <c r="C3708" s="1" t="s">
        <v>28</v>
      </c>
      <c r="D3708" s="2" t="s">
        <v>131</v>
      </c>
      <c r="E3708" s="9" t="str">
        <f t="shared" si="846"/>
        <v>PSND'!</v>
      </c>
      <c r="F3708" s="5" t="str">
        <f t="shared" si="847"/>
        <v>C:\Users\jaime.benazar\Quorum Business Solutions\Ecopetrol Prometeo - Documents\Planning Space Implementation\3. Analysis &amp; Design\Design\FC22\DRR Jaime\Neiva CPI\[VAO_DINA TERCIARIOS_CF_SEC_20230117.xlsx]CF PSND'!</v>
      </c>
      <c r="G3708" s="6" t="s">
        <v>112</v>
      </c>
      <c r="H3708" s="1"/>
      <c r="I3708" s="1"/>
      <c r="J3708" s="1"/>
    </row>
    <row r="3709" spans="1:10" x14ac:dyDescent="0.3">
      <c r="A3709" s="6" t="s">
        <v>23</v>
      </c>
      <c r="B3709" s="6">
        <f>+B3708+1</f>
        <v>2044</v>
      </c>
      <c r="C3709" s="1" t="s">
        <v>28</v>
      </c>
      <c r="D3709" s="2" t="s">
        <v>131</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Jaime\Neiva CPI\[VAO_DINA TERCIARIOS_CF_SEC_20230117.xlsx]CF PSND'!</v>
      </c>
      <c r="G3709" s="6" t="s">
        <v>112</v>
      </c>
      <c r="H3709" s="1"/>
      <c r="I3709" s="1"/>
      <c r="J3709" s="1"/>
    </row>
    <row r="3710" spans="1:10" x14ac:dyDescent="0.3">
      <c r="A3710" s="6" t="s">
        <v>23</v>
      </c>
      <c r="B3710" s="6">
        <f t="shared" ref="B3710:B3724" si="853">+B3709+1</f>
        <v>2045</v>
      </c>
      <c r="C3710" s="1" t="s">
        <v>28</v>
      </c>
      <c r="D3710" s="2" t="s">
        <v>131</v>
      </c>
      <c r="E3710" s="9" t="str">
        <f t="shared" si="851"/>
        <v>PSND'!</v>
      </c>
      <c r="F3710" s="5" t="str">
        <f t="shared" si="852"/>
        <v>C:\Users\jaime.benazar\Quorum Business Solutions\Ecopetrol Prometeo - Documents\Planning Space Implementation\3. Analysis &amp; Design\Design\FC22\DRR Jaime\Neiva CPI\[VAO_DINA TERCIARIOS_CF_SEC_20230117.xlsx]CF PSND'!</v>
      </c>
      <c r="G3710" s="6" t="s">
        <v>112</v>
      </c>
      <c r="H3710" s="1"/>
      <c r="I3710" s="1"/>
      <c r="J3710" s="1"/>
    </row>
    <row r="3711" spans="1:10" x14ac:dyDescent="0.3">
      <c r="A3711" s="6" t="s">
        <v>23</v>
      </c>
      <c r="B3711" s="6">
        <f t="shared" si="853"/>
        <v>2046</v>
      </c>
      <c r="C3711" s="1" t="s">
        <v>28</v>
      </c>
      <c r="D3711" s="2" t="s">
        <v>131</v>
      </c>
      <c r="E3711" s="9" t="str">
        <f t="shared" si="851"/>
        <v>PSND'!</v>
      </c>
      <c r="F3711" s="5" t="str">
        <f t="shared" si="852"/>
        <v>C:\Users\jaime.benazar\Quorum Business Solutions\Ecopetrol Prometeo - Documents\Planning Space Implementation\3. Analysis &amp; Design\Design\FC22\DRR Jaime\Neiva CPI\[VAO_DINA TERCIARIOS_CF_SEC_20230117.xlsx]CF PSND'!</v>
      </c>
      <c r="G3711" s="6" t="s">
        <v>112</v>
      </c>
      <c r="H3711" s="1"/>
      <c r="I3711" s="1"/>
      <c r="J3711" s="1"/>
    </row>
    <row r="3712" spans="1:10" x14ac:dyDescent="0.3">
      <c r="A3712" s="6" t="s">
        <v>23</v>
      </c>
      <c r="B3712" s="6">
        <f t="shared" si="853"/>
        <v>2047</v>
      </c>
      <c r="C3712" s="1" t="s">
        <v>28</v>
      </c>
      <c r="D3712" s="2" t="s">
        <v>131</v>
      </c>
      <c r="E3712" s="9" t="str">
        <f t="shared" si="851"/>
        <v>PSND'!</v>
      </c>
      <c r="F3712" s="5" t="str">
        <f t="shared" si="852"/>
        <v>C:\Users\jaime.benazar\Quorum Business Solutions\Ecopetrol Prometeo - Documents\Planning Space Implementation\3. Analysis &amp; Design\Design\FC22\DRR Jaime\Neiva CPI\[VAO_DINA TERCIARIOS_CF_SEC_20230117.xlsx]CF PSND'!</v>
      </c>
      <c r="G3712" s="6" t="s">
        <v>112</v>
      </c>
      <c r="H3712" s="1"/>
      <c r="I3712" s="1"/>
      <c r="J3712" s="1"/>
    </row>
    <row r="3713" spans="1:10" x14ac:dyDescent="0.3">
      <c r="A3713" s="6" t="s">
        <v>23</v>
      </c>
      <c r="B3713" s="6">
        <f t="shared" si="853"/>
        <v>2048</v>
      </c>
      <c r="C3713" s="1" t="s">
        <v>28</v>
      </c>
      <c r="D3713" s="2" t="s">
        <v>131</v>
      </c>
      <c r="E3713" s="9" t="str">
        <f t="shared" si="851"/>
        <v>PSND'!</v>
      </c>
      <c r="F3713" s="5" t="str">
        <f t="shared" si="852"/>
        <v>C:\Users\jaime.benazar\Quorum Business Solutions\Ecopetrol Prometeo - Documents\Planning Space Implementation\3. Analysis &amp; Design\Design\FC22\DRR Jaime\Neiva CPI\[VAO_DINA TERCIARIOS_CF_SEC_20230117.xlsx]CF PSND'!</v>
      </c>
      <c r="G3713" s="6" t="s">
        <v>112</v>
      </c>
      <c r="H3713" s="1"/>
      <c r="I3713" s="1"/>
      <c r="J3713" s="1"/>
    </row>
    <row r="3714" spans="1:10" x14ac:dyDescent="0.3">
      <c r="A3714" s="6" t="s">
        <v>23</v>
      </c>
      <c r="B3714" s="6">
        <f t="shared" si="853"/>
        <v>2049</v>
      </c>
      <c r="C3714" s="1" t="s">
        <v>28</v>
      </c>
      <c r="D3714" s="2" t="s">
        <v>131</v>
      </c>
      <c r="E3714" s="9" t="str">
        <f t="shared" si="851"/>
        <v>PSND'!</v>
      </c>
      <c r="F3714" s="5" t="str">
        <f t="shared" si="852"/>
        <v>C:\Users\jaime.benazar\Quorum Business Solutions\Ecopetrol Prometeo - Documents\Planning Space Implementation\3. Analysis &amp; Design\Design\FC22\DRR Jaime\Neiva CPI\[VAO_DINA TERCIARIOS_CF_SEC_20230117.xlsx]CF PSND'!</v>
      </c>
      <c r="G3714" s="6" t="s">
        <v>112</v>
      </c>
      <c r="H3714" s="1"/>
      <c r="I3714" s="1"/>
      <c r="J3714" s="1"/>
    </row>
    <row r="3715" spans="1:10" x14ac:dyDescent="0.3">
      <c r="A3715" s="6" t="s">
        <v>23</v>
      </c>
      <c r="B3715" s="6">
        <f t="shared" si="853"/>
        <v>2050</v>
      </c>
      <c r="C3715" s="1" t="s">
        <v>28</v>
      </c>
      <c r="D3715" s="2" t="s">
        <v>131</v>
      </c>
      <c r="E3715" s="9" t="str">
        <f t="shared" si="851"/>
        <v>PSND'!</v>
      </c>
      <c r="F3715" s="5" t="str">
        <f t="shared" si="852"/>
        <v>C:\Users\jaime.benazar\Quorum Business Solutions\Ecopetrol Prometeo - Documents\Planning Space Implementation\3. Analysis &amp; Design\Design\FC22\DRR Jaime\Neiva CPI\[VAO_DINA TERCIARIOS_CF_SEC_20230117.xlsx]CF PSND'!</v>
      </c>
      <c r="G3715" s="6" t="s">
        <v>112</v>
      </c>
      <c r="H3715" s="1"/>
      <c r="I3715" s="1"/>
      <c r="J3715" s="1"/>
    </row>
    <row r="3716" spans="1:10" x14ac:dyDescent="0.3">
      <c r="A3716" s="6" t="s">
        <v>23</v>
      </c>
      <c r="B3716" s="6">
        <f t="shared" si="853"/>
        <v>2051</v>
      </c>
      <c r="C3716" s="1" t="s">
        <v>28</v>
      </c>
      <c r="D3716" s="2" t="s">
        <v>131</v>
      </c>
      <c r="E3716" s="9" t="str">
        <f t="shared" si="851"/>
        <v>PSND'!</v>
      </c>
      <c r="F3716" s="5" t="str">
        <f t="shared" si="852"/>
        <v>C:\Users\jaime.benazar\Quorum Business Solutions\Ecopetrol Prometeo - Documents\Planning Space Implementation\3. Analysis &amp; Design\Design\FC22\DRR Jaime\Neiva CPI\[VAO_DINA TERCIARIOS_CF_SEC_20230117.xlsx]CF PSND'!</v>
      </c>
      <c r="G3716" s="6" t="s">
        <v>112</v>
      </c>
      <c r="H3716" s="1"/>
      <c r="I3716" s="1"/>
      <c r="J3716" s="1"/>
    </row>
    <row r="3717" spans="1:10" x14ac:dyDescent="0.3">
      <c r="A3717" s="6" t="s">
        <v>23</v>
      </c>
      <c r="B3717" s="6">
        <f t="shared" si="853"/>
        <v>2052</v>
      </c>
      <c r="C3717" s="1" t="s">
        <v>28</v>
      </c>
      <c r="D3717" s="2" t="s">
        <v>131</v>
      </c>
      <c r="E3717" s="9" t="str">
        <f t="shared" si="851"/>
        <v>PSND'!</v>
      </c>
      <c r="F3717" s="5" t="str">
        <f t="shared" si="852"/>
        <v>C:\Users\jaime.benazar\Quorum Business Solutions\Ecopetrol Prometeo - Documents\Planning Space Implementation\3. Analysis &amp; Design\Design\FC22\DRR Jaime\Neiva CPI\[VAO_DINA TERCIARIOS_CF_SEC_20230117.xlsx]CF PSND'!</v>
      </c>
      <c r="G3717" s="6" t="s">
        <v>112</v>
      </c>
      <c r="H3717" s="1"/>
      <c r="I3717" s="1"/>
      <c r="J3717" s="1"/>
    </row>
    <row r="3718" spans="1:10" x14ac:dyDescent="0.3">
      <c r="A3718" s="6" t="s">
        <v>23</v>
      </c>
      <c r="B3718" s="6">
        <f t="shared" si="853"/>
        <v>2053</v>
      </c>
      <c r="C3718" s="1" t="s">
        <v>28</v>
      </c>
      <c r="D3718" s="2" t="s">
        <v>131</v>
      </c>
      <c r="E3718" s="9" t="str">
        <f t="shared" si="851"/>
        <v>PSND'!</v>
      </c>
      <c r="F3718" s="5" t="str">
        <f t="shared" si="852"/>
        <v>C:\Users\jaime.benazar\Quorum Business Solutions\Ecopetrol Prometeo - Documents\Planning Space Implementation\3. Analysis &amp; Design\Design\FC22\DRR Jaime\Neiva CPI\[VAO_DINA TERCIARIOS_CF_SEC_20230117.xlsx]CF PSND'!</v>
      </c>
      <c r="G3718" s="6" t="s">
        <v>112</v>
      </c>
      <c r="H3718" s="1"/>
      <c r="I3718" s="1"/>
      <c r="J3718" s="1"/>
    </row>
    <row r="3719" spans="1:10" x14ac:dyDescent="0.3">
      <c r="A3719" s="6" t="s">
        <v>23</v>
      </c>
      <c r="B3719" s="6">
        <f t="shared" si="853"/>
        <v>2054</v>
      </c>
      <c r="C3719" s="1" t="s">
        <v>28</v>
      </c>
      <c r="D3719" s="2" t="s">
        <v>131</v>
      </c>
      <c r="E3719" s="9" t="str">
        <f t="shared" si="851"/>
        <v>PSND'!</v>
      </c>
      <c r="F3719" s="5" t="str">
        <f t="shared" si="852"/>
        <v>C:\Users\jaime.benazar\Quorum Business Solutions\Ecopetrol Prometeo - Documents\Planning Space Implementation\3. Analysis &amp; Design\Design\FC22\DRR Jaime\Neiva CPI\[VAO_DINA TERCIARIOS_CF_SEC_20230117.xlsx]CF PSND'!</v>
      </c>
      <c r="G3719" s="6" t="s">
        <v>112</v>
      </c>
      <c r="H3719" s="1"/>
      <c r="I3719" s="1"/>
      <c r="J3719" s="1"/>
    </row>
    <row r="3720" spans="1:10" x14ac:dyDescent="0.3">
      <c r="A3720" s="6" t="s">
        <v>23</v>
      </c>
      <c r="B3720" s="6">
        <f t="shared" si="853"/>
        <v>2055</v>
      </c>
      <c r="C3720" s="1" t="s">
        <v>28</v>
      </c>
      <c r="D3720" s="2" t="s">
        <v>131</v>
      </c>
      <c r="E3720" s="9" t="str">
        <f t="shared" si="851"/>
        <v>PSND'!</v>
      </c>
      <c r="F3720" s="5" t="str">
        <f t="shared" si="852"/>
        <v>C:\Users\jaime.benazar\Quorum Business Solutions\Ecopetrol Prometeo - Documents\Planning Space Implementation\3. Analysis &amp; Design\Design\FC22\DRR Jaime\Neiva CPI\[VAO_DINA TERCIARIOS_CF_SEC_20230117.xlsx]CF PSND'!</v>
      </c>
      <c r="G3720" s="6" t="s">
        <v>112</v>
      </c>
      <c r="H3720" s="1"/>
      <c r="I3720" s="1"/>
      <c r="J3720" s="1"/>
    </row>
    <row r="3721" spans="1:10" x14ac:dyDescent="0.3">
      <c r="A3721" s="6" t="s">
        <v>23</v>
      </c>
      <c r="B3721" s="6">
        <f t="shared" si="853"/>
        <v>2056</v>
      </c>
      <c r="C3721" s="1" t="s">
        <v>28</v>
      </c>
      <c r="D3721" s="2" t="s">
        <v>131</v>
      </c>
      <c r="E3721" s="9" t="str">
        <f t="shared" si="851"/>
        <v>PSND'!</v>
      </c>
      <c r="F3721" s="5" t="str">
        <f t="shared" si="852"/>
        <v>C:\Users\jaime.benazar\Quorum Business Solutions\Ecopetrol Prometeo - Documents\Planning Space Implementation\3. Analysis &amp; Design\Design\FC22\DRR Jaime\Neiva CPI\[VAO_DINA TERCIARIOS_CF_SEC_20230117.xlsx]CF PSND'!</v>
      </c>
      <c r="G3721" s="6" t="s">
        <v>112</v>
      </c>
      <c r="H3721" s="1"/>
      <c r="I3721" s="1"/>
      <c r="J3721" s="1"/>
    </row>
    <row r="3722" spans="1:10" x14ac:dyDescent="0.3">
      <c r="A3722" s="6" t="s">
        <v>23</v>
      </c>
      <c r="B3722" s="6">
        <f t="shared" si="853"/>
        <v>2057</v>
      </c>
      <c r="C3722" s="1" t="s">
        <v>28</v>
      </c>
      <c r="D3722" s="2" t="s">
        <v>131</v>
      </c>
      <c r="E3722" s="9" t="str">
        <f t="shared" si="851"/>
        <v>PSND'!</v>
      </c>
      <c r="F3722" s="5" t="str">
        <f t="shared" si="852"/>
        <v>C:\Users\jaime.benazar\Quorum Business Solutions\Ecopetrol Prometeo - Documents\Planning Space Implementation\3. Analysis &amp; Design\Design\FC22\DRR Jaime\Neiva CPI\[VAO_DINA TERCIARIOS_CF_SEC_20230117.xlsx]CF PSND'!</v>
      </c>
      <c r="G3722" s="6" t="s">
        <v>112</v>
      </c>
      <c r="H3722" s="1"/>
      <c r="I3722" s="1"/>
      <c r="J3722" s="1"/>
    </row>
    <row r="3723" spans="1:10" x14ac:dyDescent="0.3">
      <c r="A3723" s="6" t="s">
        <v>23</v>
      </c>
      <c r="B3723" s="6">
        <f t="shared" si="853"/>
        <v>2058</v>
      </c>
      <c r="C3723" s="1" t="s">
        <v>28</v>
      </c>
      <c r="D3723" s="2" t="s">
        <v>131</v>
      </c>
      <c r="E3723" s="9" t="str">
        <f t="shared" si="851"/>
        <v>PSND'!</v>
      </c>
      <c r="F3723" s="5" t="str">
        <f t="shared" si="852"/>
        <v>C:\Users\jaime.benazar\Quorum Business Solutions\Ecopetrol Prometeo - Documents\Planning Space Implementation\3. Analysis &amp; Design\Design\FC22\DRR Jaime\Neiva CPI\[VAO_DINA TERCIARIOS_CF_SEC_20230117.xlsx]CF PSND'!</v>
      </c>
      <c r="G3723" s="6" t="s">
        <v>112</v>
      </c>
      <c r="H3723" s="1"/>
      <c r="I3723" s="1"/>
      <c r="J3723" s="1"/>
    </row>
    <row r="3724" spans="1:10" x14ac:dyDescent="0.3">
      <c r="A3724" s="6" t="s">
        <v>23</v>
      </c>
      <c r="B3724" s="6">
        <f t="shared" si="853"/>
        <v>2059</v>
      </c>
      <c r="C3724" s="1" t="s">
        <v>28</v>
      </c>
      <c r="D3724" s="2" t="s">
        <v>131</v>
      </c>
      <c r="E3724" s="9" t="str">
        <f t="shared" si="851"/>
        <v>PSND'!</v>
      </c>
      <c r="F3724" s="5" t="str">
        <f t="shared" si="852"/>
        <v>C:\Users\jaime.benazar\Quorum Business Solutions\Ecopetrol Prometeo - Documents\Planning Space Implementation\3. Analysis &amp; Design\Design\FC22\DRR Jaime\Neiva CPI\[VAO_DINA TERCIARIOS_CF_SEC_20230117.xlsx]CF PSND'!</v>
      </c>
      <c r="G3724" s="6" t="s">
        <v>112</v>
      </c>
      <c r="H3724" s="1"/>
      <c r="I3724" s="1"/>
      <c r="J3724" s="1"/>
    </row>
    <row r="3725" spans="1:10" x14ac:dyDescent="0.3">
      <c r="A3725" s="6" t="s">
        <v>26</v>
      </c>
      <c r="B3725" s="6"/>
      <c r="C3725" s="1" t="s">
        <v>28</v>
      </c>
      <c r="D3725" s="2"/>
      <c r="E3725" s="9"/>
      <c r="F3725" s="2"/>
      <c r="G3725" s="6"/>
      <c r="H3725" s="1"/>
      <c r="I3725" s="1"/>
      <c r="J3725" s="12"/>
    </row>
    <row r="3726" spans="1:10" x14ac:dyDescent="0.3">
      <c r="A3726" s="6" t="s">
        <v>24</v>
      </c>
      <c r="B3726" s="6">
        <v>2023</v>
      </c>
      <c r="C3726" s="1" t="s">
        <v>28</v>
      </c>
      <c r="D3726" s="2" t="s">
        <v>131</v>
      </c>
      <c r="E3726" s="9" t="str">
        <f t="shared" ref="E3726:E3746" si="854">_xlfn.CONCAT(A3726,"'!")</f>
        <v>PS'!</v>
      </c>
      <c r="F3726" s="5" t="str">
        <f t="shared" si="847"/>
        <v>C:\Users\jaime.benazar\Quorum Business Solutions\Ecopetrol Prometeo - Documents\Planning Space Implementation\3. Analysis &amp; Design\Design\FC22\DRR Jaime\Neiva CPI\[VAO_DINA TERCIARIOS_CF_SEC_20230117.xlsx]CF PS'!</v>
      </c>
      <c r="G3726" s="6" t="s">
        <v>112</v>
      </c>
      <c r="H3726" s="1">
        <f>IF(A3726&lt;&gt;A3596,36,H3596+1)</f>
        <v>36</v>
      </c>
      <c r="I3726" s="1" t="str">
        <f t="shared" ref="I3726:I3746" si="855">_xlfn.CONCAT("='",F3726:H3726)</f>
        <v>='C:\Users\jaime.benazar\Quorum Business Solutions\Ecopetrol Prometeo - Documents\Planning Space Implementation\3. Analysis &amp; Design\Design\FC22\DRR Jaime\Neiva CPI\[VAO_DINA TERCIARIOS_CF_SEC_20230117.xlsx]CF PS'!$BB$36</v>
      </c>
      <c r="J3726" s="1" t="s">
        <v>1760</v>
      </c>
    </row>
    <row r="3727" spans="1:10" x14ac:dyDescent="0.3">
      <c r="A3727" s="6" t="s">
        <v>24</v>
      </c>
      <c r="B3727" s="6">
        <f>+B3726+1</f>
        <v>2024</v>
      </c>
      <c r="C3727" s="1" t="s">
        <v>28</v>
      </c>
      <c r="D3727" s="2" t="s">
        <v>131</v>
      </c>
      <c r="E3727" s="9" t="str">
        <f t="shared" si="854"/>
        <v>PS'!</v>
      </c>
      <c r="F3727" s="5" t="str">
        <f t="shared" si="847"/>
        <v>C:\Users\jaime.benazar\Quorum Business Solutions\Ecopetrol Prometeo - Documents\Planning Space Implementation\3. Analysis &amp; Design\Design\FC22\DRR Jaime\Neiva CPI\[VAO_DINA TERCIARIOS_CF_SEC_20230117.xlsx]CF PS'!</v>
      </c>
      <c r="G3727" s="6" t="s">
        <v>112</v>
      </c>
      <c r="H3727" s="1">
        <f t="shared" ref="H3727:H3746" si="856">IF(A3727&lt;&gt;A3726,36,H3726+1)</f>
        <v>37</v>
      </c>
      <c r="I3727" s="1" t="str">
        <f t="shared" si="855"/>
        <v>='C:\Users\jaime.benazar\Quorum Business Solutions\Ecopetrol Prometeo - Documents\Planning Space Implementation\3. Analysis &amp; Design\Design\FC22\DRR Jaime\Neiva CPI\[VAO_DINA TERCIARIOS_CF_SEC_20230117.xlsx]CF PS'!$BB$37</v>
      </c>
      <c r="J3727" s="1" t="s">
        <v>1761</v>
      </c>
    </row>
    <row r="3728" spans="1:10" x14ac:dyDescent="0.3">
      <c r="A3728" s="6" t="s">
        <v>24</v>
      </c>
      <c r="B3728" s="6">
        <f t="shared" ref="B3728:B3739" si="857">+B3727+1</f>
        <v>2025</v>
      </c>
      <c r="C3728" s="1" t="s">
        <v>28</v>
      </c>
      <c r="D3728" s="2" t="s">
        <v>131</v>
      </c>
      <c r="E3728" s="9" t="str">
        <f t="shared" si="854"/>
        <v>PS'!</v>
      </c>
      <c r="F3728" s="5" t="str">
        <f t="shared" si="847"/>
        <v>C:\Users\jaime.benazar\Quorum Business Solutions\Ecopetrol Prometeo - Documents\Planning Space Implementation\3. Analysis &amp; Design\Design\FC22\DRR Jaime\Neiva CPI\[VAO_DINA TERCIARIOS_CF_SEC_20230117.xlsx]CF PS'!</v>
      </c>
      <c r="G3728" s="6" t="s">
        <v>112</v>
      </c>
      <c r="H3728" s="1">
        <f t="shared" si="856"/>
        <v>38</v>
      </c>
      <c r="I3728" s="1" t="str">
        <f t="shared" si="855"/>
        <v>='C:\Users\jaime.benazar\Quorum Business Solutions\Ecopetrol Prometeo - Documents\Planning Space Implementation\3. Analysis &amp; Design\Design\FC22\DRR Jaime\Neiva CPI\[VAO_DINA TERCIARIOS_CF_SEC_20230117.xlsx]CF PS'!$BB$38</v>
      </c>
      <c r="J3728" s="1" t="s">
        <v>1762</v>
      </c>
    </row>
    <row r="3729" spans="1:10" x14ac:dyDescent="0.3">
      <c r="A3729" s="6" t="s">
        <v>24</v>
      </c>
      <c r="B3729" s="6">
        <f t="shared" si="857"/>
        <v>2026</v>
      </c>
      <c r="C3729" s="1" t="s">
        <v>28</v>
      </c>
      <c r="D3729" s="2" t="s">
        <v>131</v>
      </c>
      <c r="E3729" s="9" t="str">
        <f t="shared" si="854"/>
        <v>PS'!</v>
      </c>
      <c r="F3729" s="5" t="str">
        <f t="shared" si="847"/>
        <v>C:\Users\jaime.benazar\Quorum Business Solutions\Ecopetrol Prometeo - Documents\Planning Space Implementation\3. Analysis &amp; Design\Design\FC22\DRR Jaime\Neiva CPI\[VAO_DINA TERCIARIOS_CF_SEC_20230117.xlsx]CF PS'!</v>
      </c>
      <c r="G3729" s="6" t="s">
        <v>112</v>
      </c>
      <c r="H3729" s="1">
        <f t="shared" si="856"/>
        <v>39</v>
      </c>
      <c r="I3729" s="1" t="str">
        <f t="shared" si="855"/>
        <v>='C:\Users\jaime.benazar\Quorum Business Solutions\Ecopetrol Prometeo - Documents\Planning Space Implementation\3. Analysis &amp; Design\Design\FC22\DRR Jaime\Neiva CPI\[VAO_DINA TERCIARIOS_CF_SEC_20230117.xlsx]CF PS'!$BB$39</v>
      </c>
      <c r="J3729" s="1" t="s">
        <v>1763</v>
      </c>
    </row>
    <row r="3730" spans="1:10" x14ac:dyDescent="0.3">
      <c r="A3730" s="6" t="s">
        <v>24</v>
      </c>
      <c r="B3730" s="6">
        <f t="shared" si="857"/>
        <v>2027</v>
      </c>
      <c r="C3730" s="1" t="s">
        <v>28</v>
      </c>
      <c r="D3730" s="2" t="s">
        <v>131</v>
      </c>
      <c r="E3730" s="9" t="str">
        <f t="shared" si="854"/>
        <v>PS'!</v>
      </c>
      <c r="F3730" s="5" t="str">
        <f t="shared" si="847"/>
        <v>C:\Users\jaime.benazar\Quorum Business Solutions\Ecopetrol Prometeo - Documents\Planning Space Implementation\3. Analysis &amp; Design\Design\FC22\DRR Jaime\Neiva CPI\[VAO_DINA TERCIARIOS_CF_SEC_20230117.xlsx]CF PS'!</v>
      </c>
      <c r="G3730" s="6" t="s">
        <v>112</v>
      </c>
      <c r="H3730" s="1">
        <f t="shared" si="856"/>
        <v>40</v>
      </c>
      <c r="I3730" s="1" t="str">
        <f t="shared" si="855"/>
        <v>='C:\Users\jaime.benazar\Quorum Business Solutions\Ecopetrol Prometeo - Documents\Planning Space Implementation\3. Analysis &amp; Design\Design\FC22\DRR Jaime\Neiva CPI\[VAO_DINA TERCIARIOS_CF_SEC_20230117.xlsx]CF PS'!$BB$40</v>
      </c>
      <c r="J3730" s="1" t="s">
        <v>1764</v>
      </c>
    </row>
    <row r="3731" spans="1:10" x14ac:dyDescent="0.3">
      <c r="A3731" s="6" t="s">
        <v>24</v>
      </c>
      <c r="B3731" s="6">
        <f t="shared" si="857"/>
        <v>2028</v>
      </c>
      <c r="C3731" s="1" t="s">
        <v>28</v>
      </c>
      <c r="D3731" s="2" t="s">
        <v>131</v>
      </c>
      <c r="E3731" s="9" t="str">
        <f t="shared" si="854"/>
        <v>PS'!</v>
      </c>
      <c r="F3731" s="5" t="str">
        <f t="shared" si="847"/>
        <v>C:\Users\jaime.benazar\Quorum Business Solutions\Ecopetrol Prometeo - Documents\Planning Space Implementation\3. Analysis &amp; Design\Design\FC22\DRR Jaime\Neiva CPI\[VAO_DINA TERCIARIOS_CF_SEC_20230117.xlsx]CF PS'!</v>
      </c>
      <c r="G3731" s="6" t="s">
        <v>112</v>
      </c>
      <c r="H3731" s="1">
        <f t="shared" si="856"/>
        <v>41</v>
      </c>
      <c r="I3731" s="1" t="str">
        <f t="shared" si="855"/>
        <v>='C:\Users\jaime.benazar\Quorum Business Solutions\Ecopetrol Prometeo - Documents\Planning Space Implementation\3. Analysis &amp; Design\Design\FC22\DRR Jaime\Neiva CPI\[VAO_DINA TERCIARIOS_CF_SEC_20230117.xlsx]CF PS'!$BB$41</v>
      </c>
      <c r="J3731" s="1" t="s">
        <v>1765</v>
      </c>
    </row>
    <row r="3732" spans="1:10" x14ac:dyDescent="0.3">
      <c r="A3732" s="6" t="s">
        <v>24</v>
      </c>
      <c r="B3732" s="6">
        <f t="shared" si="857"/>
        <v>2029</v>
      </c>
      <c r="C3732" s="1" t="s">
        <v>28</v>
      </c>
      <c r="D3732" s="2" t="s">
        <v>131</v>
      </c>
      <c r="E3732" s="9" t="str">
        <f t="shared" si="854"/>
        <v>PS'!</v>
      </c>
      <c r="F3732" s="5" t="str">
        <f t="shared" si="847"/>
        <v>C:\Users\jaime.benazar\Quorum Business Solutions\Ecopetrol Prometeo - Documents\Planning Space Implementation\3. Analysis &amp; Design\Design\FC22\DRR Jaime\Neiva CPI\[VAO_DINA TERCIARIOS_CF_SEC_20230117.xlsx]CF PS'!</v>
      </c>
      <c r="G3732" s="6" t="s">
        <v>112</v>
      </c>
      <c r="H3732" s="1">
        <f t="shared" si="856"/>
        <v>42</v>
      </c>
      <c r="I3732" s="1" t="str">
        <f t="shared" si="855"/>
        <v>='C:\Users\jaime.benazar\Quorum Business Solutions\Ecopetrol Prometeo - Documents\Planning Space Implementation\3. Analysis &amp; Design\Design\FC22\DRR Jaime\Neiva CPI\[VAO_DINA TERCIARIOS_CF_SEC_20230117.xlsx]CF PS'!$BB$42</v>
      </c>
      <c r="J3732" s="1" t="s">
        <v>1766</v>
      </c>
    </row>
    <row r="3733" spans="1:10" x14ac:dyDescent="0.3">
      <c r="A3733" s="6" t="s">
        <v>24</v>
      </c>
      <c r="B3733" s="6">
        <f t="shared" si="857"/>
        <v>2030</v>
      </c>
      <c r="C3733" s="1" t="s">
        <v>28</v>
      </c>
      <c r="D3733" s="2" t="s">
        <v>131</v>
      </c>
      <c r="E3733" s="9" t="str">
        <f t="shared" si="854"/>
        <v>PS'!</v>
      </c>
      <c r="F3733" s="5" t="str">
        <f t="shared" si="847"/>
        <v>C:\Users\jaime.benazar\Quorum Business Solutions\Ecopetrol Prometeo - Documents\Planning Space Implementation\3. Analysis &amp; Design\Design\FC22\DRR Jaime\Neiva CPI\[VAO_DINA TERCIARIOS_CF_SEC_20230117.xlsx]CF PS'!</v>
      </c>
      <c r="G3733" s="6" t="s">
        <v>112</v>
      </c>
      <c r="H3733" s="1">
        <f t="shared" si="856"/>
        <v>43</v>
      </c>
      <c r="I3733" s="1" t="str">
        <f t="shared" si="855"/>
        <v>='C:\Users\jaime.benazar\Quorum Business Solutions\Ecopetrol Prometeo - Documents\Planning Space Implementation\3. Analysis &amp; Design\Design\FC22\DRR Jaime\Neiva CPI\[VAO_DINA TERCIARIOS_CF_SEC_20230117.xlsx]CF PS'!$BB$43</v>
      </c>
      <c r="J3733" s="1" t="s">
        <v>1767</v>
      </c>
    </row>
    <row r="3734" spans="1:10" x14ac:dyDescent="0.3">
      <c r="A3734" s="6" t="s">
        <v>24</v>
      </c>
      <c r="B3734" s="6">
        <f t="shared" si="857"/>
        <v>2031</v>
      </c>
      <c r="C3734" s="1" t="s">
        <v>28</v>
      </c>
      <c r="D3734" s="2" t="s">
        <v>131</v>
      </c>
      <c r="E3734" s="9" t="str">
        <f t="shared" si="854"/>
        <v>PS'!</v>
      </c>
      <c r="F3734" s="5" t="str">
        <f t="shared" si="847"/>
        <v>C:\Users\jaime.benazar\Quorum Business Solutions\Ecopetrol Prometeo - Documents\Planning Space Implementation\3. Analysis &amp; Design\Design\FC22\DRR Jaime\Neiva CPI\[VAO_DINA TERCIARIOS_CF_SEC_20230117.xlsx]CF PS'!</v>
      </c>
      <c r="G3734" s="6" t="s">
        <v>112</v>
      </c>
      <c r="H3734" s="1">
        <f t="shared" si="856"/>
        <v>44</v>
      </c>
      <c r="I3734" s="1" t="str">
        <f t="shared" si="855"/>
        <v>='C:\Users\jaime.benazar\Quorum Business Solutions\Ecopetrol Prometeo - Documents\Planning Space Implementation\3. Analysis &amp; Design\Design\FC22\DRR Jaime\Neiva CPI\[VAO_DINA TERCIARIOS_CF_SEC_20230117.xlsx]CF PS'!$BB$44</v>
      </c>
      <c r="J3734" s="1" t="s">
        <v>1768</v>
      </c>
    </row>
    <row r="3735" spans="1:10" x14ac:dyDescent="0.3">
      <c r="A3735" s="6" t="s">
        <v>24</v>
      </c>
      <c r="B3735" s="6">
        <f t="shared" si="857"/>
        <v>2032</v>
      </c>
      <c r="C3735" s="1" t="s">
        <v>28</v>
      </c>
      <c r="D3735" s="2" t="s">
        <v>131</v>
      </c>
      <c r="E3735" s="9" t="str">
        <f t="shared" si="854"/>
        <v>PS'!</v>
      </c>
      <c r="F3735" s="5" t="str">
        <f t="shared" si="847"/>
        <v>C:\Users\jaime.benazar\Quorum Business Solutions\Ecopetrol Prometeo - Documents\Planning Space Implementation\3. Analysis &amp; Design\Design\FC22\DRR Jaime\Neiva CPI\[VAO_DINA TERCIARIOS_CF_SEC_20230117.xlsx]CF PS'!</v>
      </c>
      <c r="G3735" s="6" t="s">
        <v>112</v>
      </c>
      <c r="H3735" s="1">
        <f t="shared" si="856"/>
        <v>45</v>
      </c>
      <c r="I3735" s="1" t="str">
        <f t="shared" si="855"/>
        <v>='C:\Users\jaime.benazar\Quorum Business Solutions\Ecopetrol Prometeo - Documents\Planning Space Implementation\3. Analysis &amp; Design\Design\FC22\DRR Jaime\Neiva CPI\[VAO_DINA TERCIARIOS_CF_SEC_20230117.xlsx]CF PS'!$BB$45</v>
      </c>
      <c r="J3735" s="1" t="s">
        <v>1769</v>
      </c>
    </row>
    <row r="3736" spans="1:10" x14ac:dyDescent="0.3">
      <c r="A3736" s="6" t="s">
        <v>24</v>
      </c>
      <c r="B3736" s="6">
        <f t="shared" si="857"/>
        <v>2033</v>
      </c>
      <c r="C3736" s="1" t="s">
        <v>28</v>
      </c>
      <c r="D3736" s="2" t="s">
        <v>131</v>
      </c>
      <c r="E3736" s="9" t="str">
        <f t="shared" si="854"/>
        <v>PS'!</v>
      </c>
      <c r="F3736" s="5" t="str">
        <f t="shared" si="847"/>
        <v>C:\Users\jaime.benazar\Quorum Business Solutions\Ecopetrol Prometeo - Documents\Planning Space Implementation\3. Analysis &amp; Design\Design\FC22\DRR Jaime\Neiva CPI\[VAO_DINA TERCIARIOS_CF_SEC_20230117.xlsx]CF PS'!</v>
      </c>
      <c r="G3736" s="6" t="s">
        <v>112</v>
      </c>
      <c r="H3736" s="1">
        <f t="shared" si="856"/>
        <v>46</v>
      </c>
      <c r="I3736" s="1" t="str">
        <f t="shared" si="855"/>
        <v>='C:\Users\jaime.benazar\Quorum Business Solutions\Ecopetrol Prometeo - Documents\Planning Space Implementation\3. Analysis &amp; Design\Design\FC22\DRR Jaime\Neiva CPI\[VAO_DINA TERCIARIOS_CF_SEC_20230117.xlsx]CF PS'!$BB$46</v>
      </c>
      <c r="J3736" s="1" t="s">
        <v>1770</v>
      </c>
    </row>
    <row r="3737" spans="1:10" x14ac:dyDescent="0.3">
      <c r="A3737" s="6" t="s">
        <v>24</v>
      </c>
      <c r="B3737" s="6">
        <f t="shared" si="857"/>
        <v>2034</v>
      </c>
      <c r="C3737" s="1" t="s">
        <v>28</v>
      </c>
      <c r="D3737" s="2" t="s">
        <v>131</v>
      </c>
      <c r="E3737" s="9" t="str">
        <f t="shared" si="854"/>
        <v>PS'!</v>
      </c>
      <c r="F3737" s="5" t="str">
        <f t="shared" si="847"/>
        <v>C:\Users\jaime.benazar\Quorum Business Solutions\Ecopetrol Prometeo - Documents\Planning Space Implementation\3. Analysis &amp; Design\Design\FC22\DRR Jaime\Neiva CPI\[VAO_DINA TERCIARIOS_CF_SEC_20230117.xlsx]CF PS'!</v>
      </c>
      <c r="G3737" s="6" t="s">
        <v>112</v>
      </c>
      <c r="H3737" s="1">
        <f t="shared" si="856"/>
        <v>47</v>
      </c>
      <c r="I3737" s="1" t="str">
        <f t="shared" si="855"/>
        <v>='C:\Users\jaime.benazar\Quorum Business Solutions\Ecopetrol Prometeo - Documents\Planning Space Implementation\3. Analysis &amp; Design\Design\FC22\DRR Jaime\Neiva CPI\[VAO_DINA TERCIARIOS_CF_SEC_20230117.xlsx]CF PS'!$BB$47</v>
      </c>
      <c r="J3737" s="1" t="s">
        <v>1771</v>
      </c>
    </row>
    <row r="3738" spans="1:10" x14ac:dyDescent="0.3">
      <c r="A3738" s="6" t="s">
        <v>24</v>
      </c>
      <c r="B3738" s="6">
        <f t="shared" si="857"/>
        <v>2035</v>
      </c>
      <c r="C3738" s="1" t="s">
        <v>28</v>
      </c>
      <c r="D3738" s="2" t="s">
        <v>131</v>
      </c>
      <c r="E3738" s="9" t="str">
        <f t="shared" si="854"/>
        <v>PS'!</v>
      </c>
      <c r="F3738" s="5" t="str">
        <f t="shared" si="847"/>
        <v>C:\Users\jaime.benazar\Quorum Business Solutions\Ecopetrol Prometeo - Documents\Planning Space Implementation\3. Analysis &amp; Design\Design\FC22\DRR Jaime\Neiva CPI\[VAO_DINA TERCIARIOS_CF_SEC_20230117.xlsx]CF PS'!</v>
      </c>
      <c r="G3738" s="6" t="s">
        <v>112</v>
      </c>
      <c r="H3738" s="1">
        <f t="shared" si="856"/>
        <v>48</v>
      </c>
      <c r="I3738" s="1" t="str">
        <f t="shared" si="855"/>
        <v>='C:\Users\jaime.benazar\Quorum Business Solutions\Ecopetrol Prometeo - Documents\Planning Space Implementation\3. Analysis &amp; Design\Design\FC22\DRR Jaime\Neiva CPI\[VAO_DINA TERCIARIOS_CF_SEC_20230117.xlsx]CF PS'!$BB$48</v>
      </c>
      <c r="J3738" s="1" t="s">
        <v>1772</v>
      </c>
    </row>
    <row r="3739" spans="1:10" x14ac:dyDescent="0.3">
      <c r="A3739" s="6" t="s">
        <v>24</v>
      </c>
      <c r="B3739" s="6">
        <f t="shared" si="857"/>
        <v>2036</v>
      </c>
      <c r="C3739" s="1" t="s">
        <v>28</v>
      </c>
      <c r="D3739" s="2" t="s">
        <v>131</v>
      </c>
      <c r="E3739" s="9" t="str">
        <f t="shared" si="854"/>
        <v>PS'!</v>
      </c>
      <c r="F3739" s="5" t="str">
        <f t="shared" si="847"/>
        <v>C:\Users\jaime.benazar\Quorum Business Solutions\Ecopetrol Prometeo - Documents\Planning Space Implementation\3. Analysis &amp; Design\Design\FC22\DRR Jaime\Neiva CPI\[VAO_DINA TERCIARIOS_CF_SEC_20230117.xlsx]CF PS'!</v>
      </c>
      <c r="G3739" s="6" t="s">
        <v>112</v>
      </c>
      <c r="H3739" s="1">
        <f t="shared" si="856"/>
        <v>49</v>
      </c>
      <c r="I3739" s="1" t="str">
        <f t="shared" si="855"/>
        <v>='C:\Users\jaime.benazar\Quorum Business Solutions\Ecopetrol Prometeo - Documents\Planning Space Implementation\3. Analysis &amp; Design\Design\FC22\DRR Jaime\Neiva CPI\[VAO_DINA TERCIARIOS_CF_SEC_20230117.xlsx]CF PS'!$BB$49</v>
      </c>
      <c r="J3739" s="1" t="s">
        <v>1773</v>
      </c>
    </row>
    <row r="3740" spans="1:10" x14ac:dyDescent="0.3">
      <c r="A3740" s="6" t="s">
        <v>24</v>
      </c>
      <c r="B3740" s="6">
        <f>+B3739+1</f>
        <v>2037</v>
      </c>
      <c r="C3740" s="1" t="s">
        <v>28</v>
      </c>
      <c r="D3740" s="2" t="s">
        <v>131</v>
      </c>
      <c r="E3740" s="9" t="str">
        <f t="shared" si="854"/>
        <v>PS'!</v>
      </c>
      <c r="F3740" s="5" t="str">
        <f t="shared" si="847"/>
        <v>C:\Users\jaime.benazar\Quorum Business Solutions\Ecopetrol Prometeo - Documents\Planning Space Implementation\3. Analysis &amp; Design\Design\FC22\DRR Jaime\Neiva CPI\[VAO_DINA TERCIARIOS_CF_SEC_20230117.xlsx]CF PS'!</v>
      </c>
      <c r="G3740" s="6" t="s">
        <v>112</v>
      </c>
      <c r="H3740" s="1">
        <f t="shared" si="856"/>
        <v>50</v>
      </c>
      <c r="I3740" s="1" t="str">
        <f t="shared" si="855"/>
        <v>='C:\Users\jaime.benazar\Quorum Business Solutions\Ecopetrol Prometeo - Documents\Planning Space Implementation\3. Analysis &amp; Design\Design\FC22\DRR Jaime\Neiva CPI\[VAO_DINA TERCIARIOS_CF_SEC_20230117.xlsx]CF PS'!$BB$50</v>
      </c>
      <c r="J3740" s="1" t="s">
        <v>1774</v>
      </c>
    </row>
    <row r="3741" spans="1:10" x14ac:dyDescent="0.3">
      <c r="A3741" s="6" t="s">
        <v>24</v>
      </c>
      <c r="B3741" s="6">
        <f t="shared" ref="B3741:B3743" si="858">+B3740+1</f>
        <v>2038</v>
      </c>
      <c r="C3741" s="1" t="s">
        <v>28</v>
      </c>
      <c r="D3741" s="2" t="s">
        <v>131</v>
      </c>
      <c r="E3741" s="9" t="str">
        <f t="shared" si="854"/>
        <v>PS'!</v>
      </c>
      <c r="F3741" s="5" t="str">
        <f t="shared" si="847"/>
        <v>C:\Users\jaime.benazar\Quorum Business Solutions\Ecopetrol Prometeo - Documents\Planning Space Implementation\3. Analysis &amp; Design\Design\FC22\DRR Jaime\Neiva CPI\[VAO_DINA TERCIARIOS_CF_SEC_20230117.xlsx]CF PS'!</v>
      </c>
      <c r="G3741" s="6" t="s">
        <v>112</v>
      </c>
      <c r="H3741" s="1">
        <f t="shared" si="856"/>
        <v>51</v>
      </c>
      <c r="I3741" s="1" t="str">
        <f t="shared" si="855"/>
        <v>='C:\Users\jaime.benazar\Quorum Business Solutions\Ecopetrol Prometeo - Documents\Planning Space Implementation\3. Analysis &amp; Design\Design\FC22\DRR Jaime\Neiva CPI\[VAO_DINA TERCIARIOS_CF_SEC_20230117.xlsx]CF PS'!$BB$51</v>
      </c>
      <c r="J3741" s="1" t="s">
        <v>1775</v>
      </c>
    </row>
    <row r="3742" spans="1:10" x14ac:dyDescent="0.3">
      <c r="A3742" s="6" t="s">
        <v>24</v>
      </c>
      <c r="B3742" s="6">
        <f t="shared" si="858"/>
        <v>2039</v>
      </c>
      <c r="C3742" s="1" t="s">
        <v>28</v>
      </c>
      <c r="D3742" s="2" t="s">
        <v>131</v>
      </c>
      <c r="E3742" s="9" t="str">
        <f t="shared" si="854"/>
        <v>PS'!</v>
      </c>
      <c r="F3742" s="5" t="str">
        <f t="shared" si="847"/>
        <v>C:\Users\jaime.benazar\Quorum Business Solutions\Ecopetrol Prometeo - Documents\Planning Space Implementation\3. Analysis &amp; Design\Design\FC22\DRR Jaime\Neiva CPI\[VAO_DINA TERCIARIOS_CF_SEC_20230117.xlsx]CF PS'!</v>
      </c>
      <c r="G3742" s="6" t="s">
        <v>112</v>
      </c>
      <c r="H3742" s="1">
        <f t="shared" si="856"/>
        <v>52</v>
      </c>
      <c r="I3742" s="1" t="str">
        <f t="shared" si="855"/>
        <v>='C:\Users\jaime.benazar\Quorum Business Solutions\Ecopetrol Prometeo - Documents\Planning Space Implementation\3. Analysis &amp; Design\Design\FC22\DRR Jaime\Neiva CPI\[VAO_DINA TERCIARIOS_CF_SEC_20230117.xlsx]CF PS'!$BB$52</v>
      </c>
      <c r="J3742" s="1" t="s">
        <v>1776</v>
      </c>
    </row>
    <row r="3743" spans="1:10" x14ac:dyDescent="0.3">
      <c r="A3743" s="6" t="s">
        <v>24</v>
      </c>
      <c r="B3743" s="6">
        <f t="shared" si="858"/>
        <v>2040</v>
      </c>
      <c r="C3743" s="1" t="s">
        <v>28</v>
      </c>
      <c r="D3743" s="2" t="s">
        <v>131</v>
      </c>
      <c r="E3743" s="9" t="str">
        <f t="shared" si="854"/>
        <v>PS'!</v>
      </c>
      <c r="F3743" s="5" t="str">
        <f t="shared" si="847"/>
        <v>C:\Users\jaime.benazar\Quorum Business Solutions\Ecopetrol Prometeo - Documents\Planning Space Implementation\3. Analysis &amp; Design\Design\FC22\DRR Jaime\Neiva CPI\[VAO_DINA TERCIARIOS_CF_SEC_20230117.xlsx]CF PS'!</v>
      </c>
      <c r="G3743" s="6" t="s">
        <v>112</v>
      </c>
      <c r="H3743" s="1">
        <f t="shared" si="856"/>
        <v>53</v>
      </c>
      <c r="I3743" s="1" t="str">
        <f t="shared" si="855"/>
        <v>='C:\Users\jaime.benazar\Quorum Business Solutions\Ecopetrol Prometeo - Documents\Planning Space Implementation\3. Analysis &amp; Design\Design\FC22\DRR Jaime\Neiva CPI\[VAO_DINA TERCIARIOS_CF_SEC_20230117.xlsx]CF PS'!$BB$53</v>
      </c>
      <c r="J3743" s="1" t="s">
        <v>1777</v>
      </c>
    </row>
    <row r="3744" spans="1:10" x14ac:dyDescent="0.3">
      <c r="A3744" s="6" t="s">
        <v>24</v>
      </c>
      <c r="B3744" s="6">
        <f>+B3743+1</f>
        <v>2041</v>
      </c>
      <c r="C3744" s="1" t="s">
        <v>28</v>
      </c>
      <c r="D3744" s="2" t="s">
        <v>131</v>
      </c>
      <c r="E3744" s="9" t="str">
        <f t="shared" si="854"/>
        <v>PS'!</v>
      </c>
      <c r="F3744" s="5" t="str">
        <f t="shared" si="847"/>
        <v>C:\Users\jaime.benazar\Quorum Business Solutions\Ecopetrol Prometeo - Documents\Planning Space Implementation\3. Analysis &amp; Design\Design\FC22\DRR Jaime\Neiva CPI\[VAO_DINA TERCIARIOS_CF_SEC_20230117.xlsx]CF PS'!</v>
      </c>
      <c r="G3744" s="6" t="s">
        <v>112</v>
      </c>
      <c r="H3744" s="1">
        <f t="shared" si="856"/>
        <v>54</v>
      </c>
      <c r="I3744" s="1" t="str">
        <f t="shared" si="855"/>
        <v>='C:\Users\jaime.benazar\Quorum Business Solutions\Ecopetrol Prometeo - Documents\Planning Space Implementation\3. Analysis &amp; Design\Design\FC22\DRR Jaime\Neiva CPI\[VAO_DINA TERCIARIOS_CF_SEC_20230117.xlsx]CF PS'!$BB$54</v>
      </c>
      <c r="J3744" s="1" t="s">
        <v>1778</v>
      </c>
    </row>
    <row r="3745" spans="1:10" x14ac:dyDescent="0.3">
      <c r="A3745" s="6" t="s">
        <v>24</v>
      </c>
      <c r="B3745" s="6">
        <f t="shared" ref="B3745:B3746" si="859">+B3744+1</f>
        <v>2042</v>
      </c>
      <c r="C3745" s="1" t="s">
        <v>28</v>
      </c>
      <c r="D3745" s="2" t="s">
        <v>131</v>
      </c>
      <c r="E3745" s="9" t="str">
        <f t="shared" si="854"/>
        <v>PS'!</v>
      </c>
      <c r="F3745" s="5" t="str">
        <f t="shared" si="847"/>
        <v>C:\Users\jaime.benazar\Quorum Business Solutions\Ecopetrol Prometeo - Documents\Planning Space Implementation\3. Analysis &amp; Design\Design\FC22\DRR Jaime\Neiva CPI\[VAO_DINA TERCIARIOS_CF_SEC_20230117.xlsx]CF PS'!</v>
      </c>
      <c r="G3745" s="6" t="s">
        <v>112</v>
      </c>
      <c r="H3745" s="1">
        <f t="shared" si="856"/>
        <v>55</v>
      </c>
      <c r="I3745" s="1" t="str">
        <f t="shared" si="855"/>
        <v>='C:\Users\jaime.benazar\Quorum Business Solutions\Ecopetrol Prometeo - Documents\Planning Space Implementation\3. Analysis &amp; Design\Design\FC22\DRR Jaime\Neiva CPI\[VAO_DINA TERCIARIOS_CF_SEC_20230117.xlsx]CF PS'!$BB$55</v>
      </c>
      <c r="J3745" s="1" t="s">
        <v>1779</v>
      </c>
    </row>
    <row r="3746" spans="1:10" x14ac:dyDescent="0.3">
      <c r="A3746" s="6" t="s">
        <v>24</v>
      </c>
      <c r="B3746" s="6">
        <f t="shared" si="859"/>
        <v>2043</v>
      </c>
      <c r="C3746" s="1" t="s">
        <v>28</v>
      </c>
      <c r="D3746" s="2" t="s">
        <v>131</v>
      </c>
      <c r="E3746" s="9" t="str">
        <f t="shared" si="854"/>
        <v>PS'!</v>
      </c>
      <c r="F3746" s="5" t="str">
        <f t="shared" si="847"/>
        <v>C:\Users\jaime.benazar\Quorum Business Solutions\Ecopetrol Prometeo - Documents\Planning Space Implementation\3. Analysis &amp; Design\Design\FC22\DRR Jaime\Neiva CPI\[VAO_DINA TERCIARIOS_CF_SEC_20230117.xlsx]CF PS'!</v>
      </c>
      <c r="G3746" s="6" t="s">
        <v>112</v>
      </c>
      <c r="H3746" s="1">
        <f t="shared" si="856"/>
        <v>56</v>
      </c>
      <c r="I3746" s="1" t="str">
        <f t="shared" si="855"/>
        <v>='C:\Users\jaime.benazar\Quorum Business Solutions\Ecopetrol Prometeo - Documents\Planning Space Implementation\3. Analysis &amp; Design\Design\FC22\DRR Jaime\Neiva CPI\[VAO_DINA TERCIARIOS_CF_SEC_20230117.xlsx]CF PS'!$BB$56</v>
      </c>
      <c r="J3746" s="1" t="s">
        <v>1780</v>
      </c>
    </row>
    <row r="3747" spans="1:10" x14ac:dyDescent="0.3">
      <c r="A3747" s="6" t="s">
        <v>24</v>
      </c>
      <c r="B3747" s="6">
        <f>+B3746+1</f>
        <v>2044</v>
      </c>
      <c r="C3747" s="1" t="s">
        <v>28</v>
      </c>
      <c r="D3747" s="2" t="s">
        <v>131</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Jaime\Neiva CPI\[VAO_DINA TERCIARIOS_CF_SEC_20230117.xlsx]CF PS'!</v>
      </c>
      <c r="G3747" s="6" t="s">
        <v>112</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Jaime\Neiva CPI\[VAO_DINA TERCIARIOS_CF_SEC_20230117.xlsx]CF PS'!$BB$57</v>
      </c>
      <c r="J3747" s="1" t="s">
        <v>1781</v>
      </c>
    </row>
    <row r="3748" spans="1:10" x14ac:dyDescent="0.3">
      <c r="A3748" s="6" t="s">
        <v>24</v>
      </c>
      <c r="B3748" s="6">
        <f t="shared" ref="B3748:B3762" si="864">+B3747+1</f>
        <v>2045</v>
      </c>
      <c r="C3748" s="1" t="s">
        <v>28</v>
      </c>
      <c r="D3748" s="2" t="s">
        <v>131</v>
      </c>
      <c r="E3748" s="9" t="str">
        <f t="shared" si="860"/>
        <v>PS'!</v>
      </c>
      <c r="F3748" s="5" t="str">
        <f t="shared" si="861"/>
        <v>C:\Users\jaime.benazar\Quorum Business Solutions\Ecopetrol Prometeo - Documents\Planning Space Implementation\3. Analysis &amp; Design\Design\FC22\DRR Jaime\Neiva CPI\[VAO_DINA TERCIARIOS_CF_SEC_20230117.xlsx]CF PS'!</v>
      </c>
      <c r="G3748" s="6" t="s">
        <v>112</v>
      </c>
      <c r="H3748" s="1">
        <f t="shared" si="862"/>
        <v>58</v>
      </c>
      <c r="I3748" s="1" t="str">
        <f t="shared" si="863"/>
        <v>='C:\Users\jaime.benazar\Quorum Business Solutions\Ecopetrol Prometeo - Documents\Planning Space Implementation\3. Analysis &amp; Design\Design\FC22\DRR Jaime\Neiva CPI\[VAO_DINA TERCIARIOS_CF_SEC_20230117.xlsx]CF PS'!$BB$58</v>
      </c>
      <c r="J3748" s="1" t="s">
        <v>1782</v>
      </c>
    </row>
    <row r="3749" spans="1:10" x14ac:dyDescent="0.3">
      <c r="A3749" s="6" t="s">
        <v>24</v>
      </c>
      <c r="B3749" s="6">
        <f t="shared" si="864"/>
        <v>2046</v>
      </c>
      <c r="C3749" s="1" t="s">
        <v>28</v>
      </c>
      <c r="D3749" s="2" t="s">
        <v>131</v>
      </c>
      <c r="E3749" s="9" t="str">
        <f t="shared" si="860"/>
        <v>PS'!</v>
      </c>
      <c r="F3749" s="5" t="str">
        <f t="shared" si="861"/>
        <v>C:\Users\jaime.benazar\Quorum Business Solutions\Ecopetrol Prometeo - Documents\Planning Space Implementation\3. Analysis &amp; Design\Design\FC22\DRR Jaime\Neiva CPI\[VAO_DINA TERCIARIOS_CF_SEC_20230117.xlsx]CF PS'!</v>
      </c>
      <c r="G3749" s="6" t="s">
        <v>112</v>
      </c>
      <c r="H3749" s="1">
        <f t="shared" si="862"/>
        <v>59</v>
      </c>
      <c r="I3749" s="1" t="str">
        <f t="shared" si="863"/>
        <v>='C:\Users\jaime.benazar\Quorum Business Solutions\Ecopetrol Prometeo - Documents\Planning Space Implementation\3. Analysis &amp; Design\Design\FC22\DRR Jaime\Neiva CPI\[VAO_DINA TERCIARIOS_CF_SEC_20230117.xlsx]CF PS'!$BB$59</v>
      </c>
      <c r="J3749" s="1" t="s">
        <v>1783</v>
      </c>
    </row>
    <row r="3750" spans="1:10" x14ac:dyDescent="0.3">
      <c r="A3750" s="6" t="s">
        <v>24</v>
      </c>
      <c r="B3750" s="6">
        <f t="shared" si="864"/>
        <v>2047</v>
      </c>
      <c r="C3750" s="1" t="s">
        <v>28</v>
      </c>
      <c r="D3750" s="2" t="s">
        <v>131</v>
      </c>
      <c r="E3750" s="9" t="str">
        <f t="shared" si="860"/>
        <v>PS'!</v>
      </c>
      <c r="F3750" s="5" t="str">
        <f t="shared" si="861"/>
        <v>C:\Users\jaime.benazar\Quorum Business Solutions\Ecopetrol Prometeo - Documents\Planning Space Implementation\3. Analysis &amp; Design\Design\FC22\DRR Jaime\Neiva CPI\[VAO_DINA TERCIARIOS_CF_SEC_20230117.xlsx]CF PS'!</v>
      </c>
      <c r="G3750" s="6" t="s">
        <v>112</v>
      </c>
      <c r="H3750" s="1">
        <f t="shared" si="862"/>
        <v>60</v>
      </c>
      <c r="I3750" s="1" t="str">
        <f t="shared" si="863"/>
        <v>='C:\Users\jaime.benazar\Quorum Business Solutions\Ecopetrol Prometeo - Documents\Planning Space Implementation\3. Analysis &amp; Design\Design\FC22\DRR Jaime\Neiva CPI\[VAO_DINA TERCIARIOS_CF_SEC_20230117.xlsx]CF PS'!$BB$60</v>
      </c>
      <c r="J3750" s="1" t="s">
        <v>1784</v>
      </c>
    </row>
    <row r="3751" spans="1:10" x14ac:dyDescent="0.3">
      <c r="A3751" s="6" t="s">
        <v>24</v>
      </c>
      <c r="B3751" s="6">
        <f t="shared" si="864"/>
        <v>2048</v>
      </c>
      <c r="C3751" s="1" t="s">
        <v>28</v>
      </c>
      <c r="D3751" s="2" t="s">
        <v>131</v>
      </c>
      <c r="E3751" s="9" t="str">
        <f t="shared" si="860"/>
        <v>PS'!</v>
      </c>
      <c r="F3751" s="5" t="str">
        <f t="shared" si="861"/>
        <v>C:\Users\jaime.benazar\Quorum Business Solutions\Ecopetrol Prometeo - Documents\Planning Space Implementation\3. Analysis &amp; Design\Design\FC22\DRR Jaime\Neiva CPI\[VAO_DINA TERCIARIOS_CF_SEC_20230117.xlsx]CF PS'!</v>
      </c>
      <c r="G3751" s="6" t="s">
        <v>112</v>
      </c>
      <c r="H3751" s="1">
        <f t="shared" si="862"/>
        <v>61</v>
      </c>
      <c r="I3751" s="1" t="str">
        <f t="shared" si="863"/>
        <v>='C:\Users\jaime.benazar\Quorum Business Solutions\Ecopetrol Prometeo - Documents\Planning Space Implementation\3. Analysis &amp; Design\Design\FC22\DRR Jaime\Neiva CPI\[VAO_DINA TERCIARIOS_CF_SEC_20230117.xlsx]CF PS'!$BB$61</v>
      </c>
      <c r="J3751" s="1" t="s">
        <v>1785</v>
      </c>
    </row>
    <row r="3752" spans="1:10" x14ac:dyDescent="0.3">
      <c r="A3752" s="6" t="s">
        <v>24</v>
      </c>
      <c r="B3752" s="6">
        <f t="shared" si="864"/>
        <v>2049</v>
      </c>
      <c r="C3752" s="1" t="s">
        <v>28</v>
      </c>
      <c r="D3752" s="2" t="s">
        <v>131</v>
      </c>
      <c r="E3752" s="9" t="str">
        <f t="shared" si="860"/>
        <v>PS'!</v>
      </c>
      <c r="F3752" s="5" t="str">
        <f t="shared" si="861"/>
        <v>C:\Users\jaime.benazar\Quorum Business Solutions\Ecopetrol Prometeo - Documents\Planning Space Implementation\3. Analysis &amp; Design\Design\FC22\DRR Jaime\Neiva CPI\[VAO_DINA TERCIARIOS_CF_SEC_20230117.xlsx]CF PS'!</v>
      </c>
      <c r="G3752" s="6" t="s">
        <v>112</v>
      </c>
      <c r="H3752" s="1">
        <f t="shared" si="862"/>
        <v>62</v>
      </c>
      <c r="I3752" s="1" t="str">
        <f t="shared" si="863"/>
        <v>='C:\Users\jaime.benazar\Quorum Business Solutions\Ecopetrol Prometeo - Documents\Planning Space Implementation\3. Analysis &amp; Design\Design\FC22\DRR Jaime\Neiva CPI\[VAO_DINA TERCIARIOS_CF_SEC_20230117.xlsx]CF PS'!$BB$62</v>
      </c>
      <c r="J3752" s="1" t="s">
        <v>1786</v>
      </c>
    </row>
    <row r="3753" spans="1:10" x14ac:dyDescent="0.3">
      <c r="A3753" s="6" t="s">
        <v>24</v>
      </c>
      <c r="B3753" s="6">
        <f t="shared" si="864"/>
        <v>2050</v>
      </c>
      <c r="C3753" s="1" t="s">
        <v>28</v>
      </c>
      <c r="D3753" s="2" t="s">
        <v>131</v>
      </c>
      <c r="E3753" s="9" t="str">
        <f t="shared" si="860"/>
        <v>PS'!</v>
      </c>
      <c r="F3753" s="5" t="str">
        <f t="shared" si="861"/>
        <v>C:\Users\jaime.benazar\Quorum Business Solutions\Ecopetrol Prometeo - Documents\Planning Space Implementation\3. Analysis &amp; Design\Design\FC22\DRR Jaime\Neiva CPI\[VAO_DINA TERCIARIOS_CF_SEC_20230117.xlsx]CF PS'!</v>
      </c>
      <c r="G3753" s="6" t="s">
        <v>112</v>
      </c>
      <c r="H3753" s="1">
        <f t="shared" si="862"/>
        <v>63</v>
      </c>
      <c r="I3753" s="1" t="str">
        <f t="shared" si="863"/>
        <v>='C:\Users\jaime.benazar\Quorum Business Solutions\Ecopetrol Prometeo - Documents\Planning Space Implementation\3. Analysis &amp; Design\Design\FC22\DRR Jaime\Neiva CPI\[VAO_DINA TERCIARIOS_CF_SEC_20230117.xlsx]CF PS'!$BB$63</v>
      </c>
      <c r="J3753" s="1" t="s">
        <v>1787</v>
      </c>
    </row>
    <row r="3754" spans="1:10" x14ac:dyDescent="0.3">
      <c r="A3754" s="6" t="s">
        <v>24</v>
      </c>
      <c r="B3754" s="6">
        <f t="shared" si="864"/>
        <v>2051</v>
      </c>
      <c r="C3754" s="1" t="s">
        <v>28</v>
      </c>
      <c r="D3754" s="2" t="s">
        <v>131</v>
      </c>
      <c r="E3754" s="9" t="str">
        <f t="shared" si="860"/>
        <v>PS'!</v>
      </c>
      <c r="F3754" s="5" t="str">
        <f t="shared" si="861"/>
        <v>C:\Users\jaime.benazar\Quorum Business Solutions\Ecopetrol Prometeo - Documents\Planning Space Implementation\3. Analysis &amp; Design\Design\FC22\DRR Jaime\Neiva CPI\[VAO_DINA TERCIARIOS_CF_SEC_20230117.xlsx]CF PS'!</v>
      </c>
      <c r="G3754" s="6" t="s">
        <v>112</v>
      </c>
      <c r="H3754" s="1">
        <f t="shared" si="862"/>
        <v>64</v>
      </c>
      <c r="I3754" s="1" t="str">
        <f t="shared" si="863"/>
        <v>='C:\Users\jaime.benazar\Quorum Business Solutions\Ecopetrol Prometeo - Documents\Planning Space Implementation\3. Analysis &amp; Design\Design\FC22\DRR Jaime\Neiva CPI\[VAO_DINA TERCIARIOS_CF_SEC_20230117.xlsx]CF PS'!$BB$64</v>
      </c>
      <c r="J3754" s="1" t="s">
        <v>1788</v>
      </c>
    </row>
    <row r="3755" spans="1:10" x14ac:dyDescent="0.3">
      <c r="A3755" s="6" t="s">
        <v>24</v>
      </c>
      <c r="B3755" s="6">
        <f t="shared" si="864"/>
        <v>2052</v>
      </c>
      <c r="C3755" s="1" t="s">
        <v>28</v>
      </c>
      <c r="D3755" s="2" t="s">
        <v>131</v>
      </c>
      <c r="E3755" s="9" t="str">
        <f t="shared" si="860"/>
        <v>PS'!</v>
      </c>
      <c r="F3755" s="5" t="str">
        <f t="shared" si="861"/>
        <v>C:\Users\jaime.benazar\Quorum Business Solutions\Ecopetrol Prometeo - Documents\Planning Space Implementation\3. Analysis &amp; Design\Design\FC22\DRR Jaime\Neiva CPI\[VAO_DINA TERCIARIOS_CF_SEC_20230117.xlsx]CF PS'!</v>
      </c>
      <c r="G3755" s="6" t="s">
        <v>112</v>
      </c>
      <c r="H3755" s="1">
        <f t="shared" si="862"/>
        <v>65</v>
      </c>
      <c r="I3755" s="1" t="str">
        <f t="shared" si="863"/>
        <v>='C:\Users\jaime.benazar\Quorum Business Solutions\Ecopetrol Prometeo - Documents\Planning Space Implementation\3. Analysis &amp; Design\Design\FC22\DRR Jaime\Neiva CPI\[VAO_DINA TERCIARIOS_CF_SEC_20230117.xlsx]CF PS'!$BB$65</v>
      </c>
      <c r="J3755" s="1" t="s">
        <v>1789</v>
      </c>
    </row>
    <row r="3756" spans="1:10" x14ac:dyDescent="0.3">
      <c r="A3756" s="6" t="s">
        <v>24</v>
      </c>
      <c r="B3756" s="6">
        <f t="shared" si="864"/>
        <v>2053</v>
      </c>
      <c r="C3756" s="1" t="s">
        <v>28</v>
      </c>
      <c r="D3756" s="2" t="s">
        <v>131</v>
      </c>
      <c r="E3756" s="9" t="str">
        <f t="shared" si="860"/>
        <v>PS'!</v>
      </c>
      <c r="F3756" s="5" t="str">
        <f t="shared" si="861"/>
        <v>C:\Users\jaime.benazar\Quorum Business Solutions\Ecopetrol Prometeo - Documents\Planning Space Implementation\3. Analysis &amp; Design\Design\FC22\DRR Jaime\Neiva CPI\[VAO_DINA TERCIARIOS_CF_SEC_20230117.xlsx]CF PS'!</v>
      </c>
      <c r="G3756" s="6" t="s">
        <v>112</v>
      </c>
      <c r="H3756" s="1">
        <f t="shared" si="862"/>
        <v>66</v>
      </c>
      <c r="I3756" s="1" t="str">
        <f t="shared" si="863"/>
        <v>='C:\Users\jaime.benazar\Quorum Business Solutions\Ecopetrol Prometeo - Documents\Planning Space Implementation\3. Analysis &amp; Design\Design\FC22\DRR Jaime\Neiva CPI\[VAO_DINA TERCIARIOS_CF_SEC_20230117.xlsx]CF PS'!$BB$66</v>
      </c>
      <c r="J3756" s="1" t="s">
        <v>1790</v>
      </c>
    </row>
    <row r="3757" spans="1:10" x14ac:dyDescent="0.3">
      <c r="A3757" s="6" t="s">
        <v>24</v>
      </c>
      <c r="B3757" s="6">
        <f t="shared" si="864"/>
        <v>2054</v>
      </c>
      <c r="C3757" s="1" t="s">
        <v>28</v>
      </c>
      <c r="D3757" s="2" t="s">
        <v>131</v>
      </c>
      <c r="E3757" s="9" t="str">
        <f t="shared" si="860"/>
        <v>PS'!</v>
      </c>
      <c r="F3757" s="5" t="str">
        <f t="shared" si="861"/>
        <v>C:\Users\jaime.benazar\Quorum Business Solutions\Ecopetrol Prometeo - Documents\Planning Space Implementation\3. Analysis &amp; Design\Design\FC22\DRR Jaime\Neiva CPI\[VAO_DINA TERCIARIOS_CF_SEC_20230117.xlsx]CF PS'!</v>
      </c>
      <c r="G3757" s="6" t="s">
        <v>112</v>
      </c>
      <c r="H3757" s="1">
        <f t="shared" si="862"/>
        <v>67</v>
      </c>
      <c r="I3757" s="1" t="str">
        <f t="shared" si="863"/>
        <v>='C:\Users\jaime.benazar\Quorum Business Solutions\Ecopetrol Prometeo - Documents\Planning Space Implementation\3. Analysis &amp; Design\Design\FC22\DRR Jaime\Neiva CPI\[VAO_DINA TERCIARIOS_CF_SEC_20230117.xlsx]CF PS'!$BB$67</v>
      </c>
      <c r="J3757" s="1" t="s">
        <v>1791</v>
      </c>
    </row>
    <row r="3758" spans="1:10" x14ac:dyDescent="0.3">
      <c r="A3758" s="6" t="s">
        <v>24</v>
      </c>
      <c r="B3758" s="6">
        <f t="shared" si="864"/>
        <v>2055</v>
      </c>
      <c r="C3758" s="1" t="s">
        <v>28</v>
      </c>
      <c r="D3758" s="2" t="s">
        <v>131</v>
      </c>
      <c r="E3758" s="9" t="str">
        <f t="shared" si="860"/>
        <v>PS'!</v>
      </c>
      <c r="F3758" s="5" t="str">
        <f t="shared" si="861"/>
        <v>C:\Users\jaime.benazar\Quorum Business Solutions\Ecopetrol Prometeo - Documents\Planning Space Implementation\3. Analysis &amp; Design\Design\FC22\DRR Jaime\Neiva CPI\[VAO_DINA TERCIARIOS_CF_SEC_20230117.xlsx]CF PS'!</v>
      </c>
      <c r="G3758" s="6" t="s">
        <v>112</v>
      </c>
      <c r="H3758" s="1">
        <f t="shared" si="862"/>
        <v>68</v>
      </c>
      <c r="I3758" s="1" t="str">
        <f t="shared" si="863"/>
        <v>='C:\Users\jaime.benazar\Quorum Business Solutions\Ecopetrol Prometeo - Documents\Planning Space Implementation\3. Analysis &amp; Design\Design\FC22\DRR Jaime\Neiva CPI\[VAO_DINA TERCIARIOS_CF_SEC_20230117.xlsx]CF PS'!$BB$68</v>
      </c>
      <c r="J3758" s="1" t="s">
        <v>1792</v>
      </c>
    </row>
    <row r="3759" spans="1:10" x14ac:dyDescent="0.3">
      <c r="A3759" s="6" t="s">
        <v>24</v>
      </c>
      <c r="B3759" s="6">
        <f t="shared" si="864"/>
        <v>2056</v>
      </c>
      <c r="C3759" s="1" t="s">
        <v>28</v>
      </c>
      <c r="D3759" s="2" t="s">
        <v>131</v>
      </c>
      <c r="E3759" s="9" t="str">
        <f t="shared" si="860"/>
        <v>PS'!</v>
      </c>
      <c r="F3759" s="5" t="str">
        <f t="shared" si="861"/>
        <v>C:\Users\jaime.benazar\Quorum Business Solutions\Ecopetrol Prometeo - Documents\Planning Space Implementation\3. Analysis &amp; Design\Design\FC22\DRR Jaime\Neiva CPI\[VAO_DINA TERCIARIOS_CF_SEC_20230117.xlsx]CF PS'!</v>
      </c>
      <c r="G3759" s="6" t="s">
        <v>112</v>
      </c>
      <c r="H3759" s="1">
        <f t="shared" si="862"/>
        <v>69</v>
      </c>
      <c r="I3759" s="1" t="str">
        <f t="shared" si="863"/>
        <v>='C:\Users\jaime.benazar\Quorum Business Solutions\Ecopetrol Prometeo - Documents\Planning Space Implementation\3. Analysis &amp; Design\Design\FC22\DRR Jaime\Neiva CPI\[VAO_DINA TERCIARIOS_CF_SEC_20230117.xlsx]CF PS'!$BB$69</v>
      </c>
      <c r="J3759" s="1" t="s">
        <v>1793</v>
      </c>
    </row>
    <row r="3760" spans="1:10" x14ac:dyDescent="0.3">
      <c r="A3760" s="6" t="s">
        <v>24</v>
      </c>
      <c r="B3760" s="6">
        <f t="shared" si="864"/>
        <v>2057</v>
      </c>
      <c r="C3760" s="1" t="s">
        <v>28</v>
      </c>
      <c r="D3760" s="2" t="s">
        <v>131</v>
      </c>
      <c r="E3760" s="9" t="str">
        <f t="shared" si="860"/>
        <v>PS'!</v>
      </c>
      <c r="F3760" s="5" t="str">
        <f t="shared" si="861"/>
        <v>C:\Users\jaime.benazar\Quorum Business Solutions\Ecopetrol Prometeo - Documents\Planning Space Implementation\3. Analysis &amp; Design\Design\FC22\DRR Jaime\Neiva CPI\[VAO_DINA TERCIARIOS_CF_SEC_20230117.xlsx]CF PS'!</v>
      </c>
      <c r="G3760" s="6" t="s">
        <v>112</v>
      </c>
      <c r="H3760" s="1">
        <f t="shared" si="862"/>
        <v>70</v>
      </c>
      <c r="I3760" s="1" t="str">
        <f t="shared" si="863"/>
        <v>='C:\Users\jaime.benazar\Quorum Business Solutions\Ecopetrol Prometeo - Documents\Planning Space Implementation\3. Analysis &amp; Design\Design\FC22\DRR Jaime\Neiva CPI\[VAO_DINA TERCIARIOS_CF_SEC_20230117.xlsx]CF PS'!$BB$70</v>
      </c>
      <c r="J3760" s="1" t="s">
        <v>1794</v>
      </c>
    </row>
    <row r="3761" spans="1:10" x14ac:dyDescent="0.3">
      <c r="A3761" s="6" t="s">
        <v>24</v>
      </c>
      <c r="B3761" s="6">
        <f t="shared" si="864"/>
        <v>2058</v>
      </c>
      <c r="C3761" s="1" t="s">
        <v>28</v>
      </c>
      <c r="D3761" s="2" t="s">
        <v>131</v>
      </c>
      <c r="E3761" s="9" t="str">
        <f t="shared" si="860"/>
        <v>PS'!</v>
      </c>
      <c r="F3761" s="5" t="str">
        <f t="shared" si="861"/>
        <v>C:\Users\jaime.benazar\Quorum Business Solutions\Ecopetrol Prometeo - Documents\Planning Space Implementation\3. Analysis &amp; Design\Design\FC22\DRR Jaime\Neiva CPI\[VAO_DINA TERCIARIOS_CF_SEC_20230117.xlsx]CF PS'!</v>
      </c>
      <c r="G3761" s="6" t="s">
        <v>112</v>
      </c>
      <c r="H3761" s="1">
        <f t="shared" si="862"/>
        <v>71</v>
      </c>
      <c r="I3761" s="1" t="str">
        <f t="shared" si="863"/>
        <v>='C:\Users\jaime.benazar\Quorum Business Solutions\Ecopetrol Prometeo - Documents\Planning Space Implementation\3. Analysis &amp; Design\Design\FC22\DRR Jaime\Neiva CPI\[VAO_DINA TERCIARIOS_CF_SEC_20230117.xlsx]CF PS'!$BB$71</v>
      </c>
      <c r="J3761" s="1" t="s">
        <v>1795</v>
      </c>
    </row>
    <row r="3762" spans="1:10" x14ac:dyDescent="0.3">
      <c r="A3762" s="6" t="s">
        <v>24</v>
      </c>
      <c r="B3762" s="6">
        <f t="shared" si="864"/>
        <v>2059</v>
      </c>
      <c r="C3762" s="1" t="s">
        <v>28</v>
      </c>
      <c r="D3762" s="2" t="s">
        <v>131</v>
      </c>
      <c r="E3762" s="9" t="str">
        <f t="shared" si="860"/>
        <v>PS'!</v>
      </c>
      <c r="F3762" s="5" t="str">
        <f t="shared" si="861"/>
        <v>C:\Users\jaime.benazar\Quorum Business Solutions\Ecopetrol Prometeo - Documents\Planning Space Implementation\3. Analysis &amp; Design\Design\FC22\DRR Jaime\Neiva CPI\[VAO_DINA TERCIARIOS_CF_SEC_20230117.xlsx]CF PS'!</v>
      </c>
      <c r="G3762" s="6" t="s">
        <v>112</v>
      </c>
      <c r="H3762" s="1">
        <f t="shared" si="862"/>
        <v>72</v>
      </c>
      <c r="I3762" s="1" t="str">
        <f t="shared" si="863"/>
        <v>='C:\Users\jaime.benazar\Quorum Business Solutions\Ecopetrol Prometeo - Documents\Planning Space Implementation\3. Analysis &amp; Design\Design\FC22\DRR Jaime\Neiva CPI\[VAO_DINA TERCIARIOS_CF_SEC_20230117.xlsx]CF PS'!$BB$72</v>
      </c>
      <c r="J3762" s="1" t="s">
        <v>1796</v>
      </c>
    </row>
    <row r="3763" spans="1:10" x14ac:dyDescent="0.3">
      <c r="A3763" s="6" t="s">
        <v>26</v>
      </c>
      <c r="B3763" s="6"/>
      <c r="C3763" s="1" t="s">
        <v>28</v>
      </c>
      <c r="D3763" s="2"/>
      <c r="E3763" s="9"/>
      <c r="F3763" s="2"/>
      <c r="G3763" s="6"/>
      <c r="H3763" s="1"/>
      <c r="I3763" s="1"/>
      <c r="J3763" s="4"/>
    </row>
    <row r="3764" spans="1:10" x14ac:dyDescent="0.3">
      <c r="A3764" s="6" t="s">
        <v>14</v>
      </c>
      <c r="B3764" s="6">
        <v>2023</v>
      </c>
      <c r="C3764" s="1" t="s">
        <v>43</v>
      </c>
      <c r="D3764" s="2" t="s">
        <v>131</v>
      </c>
      <c r="E3764" s="9" t="str">
        <f>_xlfn.CONCAT(A3764,"'!")</f>
        <v>PDP'!</v>
      </c>
      <c r="F3764" s="5" t="str">
        <f t="shared" ref="F3764:F3784" si="865">_xlfn.CONCAT(D3764," ",E3764)</f>
        <v>C:\Users\jaime.benazar\Quorum Business Solutions\Ecopetrol Prometeo - Documents\Planning Space Implementation\3. Analysis &amp; Design\Design\FC22\DRR Jaime\Neiva CPI\[VAO_DINA TERCIARIOS_CF_SEC_20230117.xlsx]CF PDP'!</v>
      </c>
      <c r="G3764" s="6" t="s">
        <v>113</v>
      </c>
      <c r="H3764" s="1">
        <f>IF(A3764&lt;&gt;A3763,36,H3763+1)</f>
        <v>36</v>
      </c>
      <c r="I3764" s="1" t="str">
        <f>_xlfn.CONCAT("='",F3764:H3764)</f>
        <v>='C:\Users\jaime.benazar\Quorum Business Solutions\Ecopetrol Prometeo - Documents\Planning Space Implementation\3. Analysis &amp; Design\Design\FC22\DRR Jaime\Neiva CPI\[VAO_DINA TERCIARIOS_CF_SEC_20230117.xlsx]CF PDP'!$BY$36</v>
      </c>
      <c r="J3764" s="12" t="s">
        <v>1797</v>
      </c>
    </row>
    <row r="3765" spans="1:10" x14ac:dyDescent="0.3">
      <c r="A3765" s="6" t="s">
        <v>14</v>
      </c>
      <c r="B3765" s="6">
        <f>+B3764+1</f>
        <v>2024</v>
      </c>
      <c r="C3765" s="1" t="s">
        <v>43</v>
      </c>
      <c r="D3765" s="2" t="s">
        <v>131</v>
      </c>
      <c r="E3765" s="9" t="str">
        <f t="shared" ref="E3765:E3822" si="866">_xlfn.CONCAT(A3765,"'!")</f>
        <v>PDP'!</v>
      </c>
      <c r="F3765" s="5" t="str">
        <f t="shared" si="865"/>
        <v>C:\Users\jaime.benazar\Quorum Business Solutions\Ecopetrol Prometeo - Documents\Planning Space Implementation\3. Analysis &amp; Design\Design\FC22\DRR Jaime\Neiva CPI\[VAO_DINA TERCIARIOS_CF_SEC_20230117.xlsx]CF PDP'!</v>
      </c>
      <c r="G3765" s="6" t="s">
        <v>113</v>
      </c>
      <c r="H3765" s="1">
        <f>IF(A3765&lt;&gt;A3764,36,H3764+1)</f>
        <v>37</v>
      </c>
      <c r="I3765" s="1" t="str">
        <f t="shared" ref="I3765:I3784" si="867">_xlfn.CONCAT("='",F3765:H3765)</f>
        <v>='C:\Users\jaime.benazar\Quorum Business Solutions\Ecopetrol Prometeo - Documents\Planning Space Implementation\3. Analysis &amp; Design\Design\FC22\DRR Jaime\Neiva CPI\[VAO_DINA TERCIARIOS_CF_SEC_20230117.xlsx]CF PDP'!$BY$37</v>
      </c>
      <c r="J3765" s="1" t="s">
        <v>1798</v>
      </c>
    </row>
    <row r="3766" spans="1:10" x14ac:dyDescent="0.3">
      <c r="A3766" s="6" t="s">
        <v>14</v>
      </c>
      <c r="B3766" s="6">
        <f t="shared" ref="B3766:B3800" si="868">+B3765+1</f>
        <v>2025</v>
      </c>
      <c r="C3766" s="1" t="s">
        <v>43</v>
      </c>
      <c r="D3766" s="2" t="s">
        <v>131</v>
      </c>
      <c r="E3766" s="9" t="str">
        <f t="shared" si="866"/>
        <v>PDP'!</v>
      </c>
      <c r="F3766" s="5" t="str">
        <f t="shared" si="865"/>
        <v>C:\Users\jaime.benazar\Quorum Business Solutions\Ecopetrol Prometeo - Documents\Planning Space Implementation\3. Analysis &amp; Design\Design\FC22\DRR Jaime\Neiva CPI\[VAO_DINA TERCIARIOS_CF_SEC_20230117.xlsx]CF PDP'!</v>
      </c>
      <c r="G3766" s="6" t="s">
        <v>113</v>
      </c>
      <c r="H3766" s="1">
        <f t="shared" ref="H3766:H3784" si="869">IF(A3766&lt;&gt;A3765,36,H3765+1)</f>
        <v>38</v>
      </c>
      <c r="I3766" s="1" t="str">
        <f t="shared" si="867"/>
        <v>='C:\Users\jaime.benazar\Quorum Business Solutions\Ecopetrol Prometeo - Documents\Planning Space Implementation\3. Analysis &amp; Design\Design\FC22\DRR Jaime\Neiva CPI\[VAO_DINA TERCIARIOS_CF_SEC_20230117.xlsx]CF PDP'!$BY$38</v>
      </c>
      <c r="J3766" s="1" t="s">
        <v>1799</v>
      </c>
    </row>
    <row r="3767" spans="1:10" x14ac:dyDescent="0.3">
      <c r="A3767" s="6" t="s">
        <v>14</v>
      </c>
      <c r="B3767" s="6">
        <f t="shared" si="868"/>
        <v>2026</v>
      </c>
      <c r="C3767" s="1" t="s">
        <v>43</v>
      </c>
      <c r="D3767" s="2" t="s">
        <v>131</v>
      </c>
      <c r="E3767" s="9" t="str">
        <f t="shared" si="866"/>
        <v>PDP'!</v>
      </c>
      <c r="F3767" s="5" t="str">
        <f t="shared" si="865"/>
        <v>C:\Users\jaime.benazar\Quorum Business Solutions\Ecopetrol Prometeo - Documents\Planning Space Implementation\3. Analysis &amp; Design\Design\FC22\DRR Jaime\Neiva CPI\[VAO_DINA TERCIARIOS_CF_SEC_20230117.xlsx]CF PDP'!</v>
      </c>
      <c r="G3767" s="6" t="s">
        <v>113</v>
      </c>
      <c r="H3767" s="1">
        <f t="shared" si="869"/>
        <v>39</v>
      </c>
      <c r="I3767" s="1" t="str">
        <f t="shared" si="867"/>
        <v>='C:\Users\jaime.benazar\Quorum Business Solutions\Ecopetrol Prometeo - Documents\Planning Space Implementation\3. Analysis &amp; Design\Design\FC22\DRR Jaime\Neiva CPI\[VAO_DINA TERCIARIOS_CF_SEC_20230117.xlsx]CF PDP'!$BY$39</v>
      </c>
      <c r="J3767" s="1" t="s">
        <v>1800</v>
      </c>
    </row>
    <row r="3768" spans="1:10" x14ac:dyDescent="0.3">
      <c r="A3768" s="6" t="s">
        <v>14</v>
      </c>
      <c r="B3768" s="6">
        <f t="shared" si="868"/>
        <v>2027</v>
      </c>
      <c r="C3768" s="1" t="s">
        <v>43</v>
      </c>
      <c r="D3768" s="2" t="s">
        <v>131</v>
      </c>
      <c r="E3768" s="9" t="str">
        <f t="shared" si="866"/>
        <v>PDP'!</v>
      </c>
      <c r="F3768" s="5" t="str">
        <f t="shared" si="865"/>
        <v>C:\Users\jaime.benazar\Quorum Business Solutions\Ecopetrol Prometeo - Documents\Planning Space Implementation\3. Analysis &amp; Design\Design\FC22\DRR Jaime\Neiva CPI\[VAO_DINA TERCIARIOS_CF_SEC_20230117.xlsx]CF PDP'!</v>
      </c>
      <c r="G3768" s="6" t="s">
        <v>113</v>
      </c>
      <c r="H3768" s="1">
        <f t="shared" si="869"/>
        <v>40</v>
      </c>
      <c r="I3768" s="1" t="str">
        <f t="shared" si="867"/>
        <v>='C:\Users\jaime.benazar\Quorum Business Solutions\Ecopetrol Prometeo - Documents\Planning Space Implementation\3. Analysis &amp; Design\Design\FC22\DRR Jaime\Neiva CPI\[VAO_DINA TERCIARIOS_CF_SEC_20230117.xlsx]CF PDP'!$BY$40</v>
      </c>
      <c r="J3768" s="1" t="s">
        <v>1801</v>
      </c>
    </row>
    <row r="3769" spans="1:10" x14ac:dyDescent="0.3">
      <c r="A3769" s="6" t="s">
        <v>14</v>
      </c>
      <c r="B3769" s="6">
        <f t="shared" si="868"/>
        <v>2028</v>
      </c>
      <c r="C3769" s="1" t="s">
        <v>43</v>
      </c>
      <c r="D3769" s="2" t="s">
        <v>131</v>
      </c>
      <c r="E3769" s="9" t="str">
        <f t="shared" si="866"/>
        <v>PDP'!</v>
      </c>
      <c r="F3769" s="5" t="str">
        <f t="shared" si="865"/>
        <v>C:\Users\jaime.benazar\Quorum Business Solutions\Ecopetrol Prometeo - Documents\Planning Space Implementation\3. Analysis &amp; Design\Design\FC22\DRR Jaime\Neiva CPI\[VAO_DINA TERCIARIOS_CF_SEC_20230117.xlsx]CF PDP'!</v>
      </c>
      <c r="G3769" s="6" t="s">
        <v>113</v>
      </c>
      <c r="H3769" s="1">
        <f t="shared" si="869"/>
        <v>41</v>
      </c>
      <c r="I3769" s="1" t="str">
        <f t="shared" si="867"/>
        <v>='C:\Users\jaime.benazar\Quorum Business Solutions\Ecopetrol Prometeo - Documents\Planning Space Implementation\3. Analysis &amp; Design\Design\FC22\DRR Jaime\Neiva CPI\[VAO_DINA TERCIARIOS_CF_SEC_20230117.xlsx]CF PDP'!$BY$41</v>
      </c>
      <c r="J3769" s="1" t="s">
        <v>1802</v>
      </c>
    </row>
    <row r="3770" spans="1:10" x14ac:dyDescent="0.3">
      <c r="A3770" s="6" t="s">
        <v>14</v>
      </c>
      <c r="B3770" s="6">
        <f t="shared" si="868"/>
        <v>2029</v>
      </c>
      <c r="C3770" s="1" t="s">
        <v>43</v>
      </c>
      <c r="D3770" s="2" t="s">
        <v>131</v>
      </c>
      <c r="E3770" s="9" t="str">
        <f t="shared" si="866"/>
        <v>PDP'!</v>
      </c>
      <c r="F3770" s="5" t="str">
        <f t="shared" si="865"/>
        <v>C:\Users\jaime.benazar\Quorum Business Solutions\Ecopetrol Prometeo - Documents\Planning Space Implementation\3. Analysis &amp; Design\Design\FC22\DRR Jaime\Neiva CPI\[VAO_DINA TERCIARIOS_CF_SEC_20230117.xlsx]CF PDP'!</v>
      </c>
      <c r="G3770" s="6" t="s">
        <v>113</v>
      </c>
      <c r="H3770" s="1">
        <f t="shared" si="869"/>
        <v>42</v>
      </c>
      <c r="I3770" s="1" t="str">
        <f t="shared" si="867"/>
        <v>='C:\Users\jaime.benazar\Quorum Business Solutions\Ecopetrol Prometeo - Documents\Planning Space Implementation\3. Analysis &amp; Design\Design\FC22\DRR Jaime\Neiva CPI\[VAO_DINA TERCIARIOS_CF_SEC_20230117.xlsx]CF PDP'!$BY$42</v>
      </c>
      <c r="J3770" s="1" t="s">
        <v>1803</v>
      </c>
    </row>
    <row r="3771" spans="1:10" x14ac:dyDescent="0.3">
      <c r="A3771" s="6" t="s">
        <v>14</v>
      </c>
      <c r="B3771" s="6">
        <f t="shared" si="868"/>
        <v>2030</v>
      </c>
      <c r="C3771" s="1" t="s">
        <v>43</v>
      </c>
      <c r="D3771" s="2" t="s">
        <v>131</v>
      </c>
      <c r="E3771" s="9" t="str">
        <f t="shared" si="866"/>
        <v>PDP'!</v>
      </c>
      <c r="F3771" s="5" t="str">
        <f t="shared" si="865"/>
        <v>C:\Users\jaime.benazar\Quorum Business Solutions\Ecopetrol Prometeo - Documents\Planning Space Implementation\3. Analysis &amp; Design\Design\FC22\DRR Jaime\Neiva CPI\[VAO_DINA TERCIARIOS_CF_SEC_20230117.xlsx]CF PDP'!</v>
      </c>
      <c r="G3771" s="6" t="s">
        <v>113</v>
      </c>
      <c r="H3771" s="1">
        <f t="shared" si="869"/>
        <v>43</v>
      </c>
      <c r="I3771" s="1" t="str">
        <f t="shared" si="867"/>
        <v>='C:\Users\jaime.benazar\Quorum Business Solutions\Ecopetrol Prometeo - Documents\Planning Space Implementation\3. Analysis &amp; Design\Design\FC22\DRR Jaime\Neiva CPI\[VAO_DINA TERCIARIOS_CF_SEC_20230117.xlsx]CF PDP'!$BY$43</v>
      </c>
      <c r="J3771" s="1" t="s">
        <v>1804</v>
      </c>
    </row>
    <row r="3772" spans="1:10" x14ac:dyDescent="0.3">
      <c r="A3772" s="6" t="s">
        <v>14</v>
      </c>
      <c r="B3772" s="6">
        <f t="shared" si="868"/>
        <v>2031</v>
      </c>
      <c r="C3772" s="1" t="s">
        <v>43</v>
      </c>
      <c r="D3772" s="2" t="s">
        <v>131</v>
      </c>
      <c r="E3772" s="9" t="str">
        <f t="shared" si="866"/>
        <v>PDP'!</v>
      </c>
      <c r="F3772" s="5" t="str">
        <f t="shared" si="865"/>
        <v>C:\Users\jaime.benazar\Quorum Business Solutions\Ecopetrol Prometeo - Documents\Planning Space Implementation\3. Analysis &amp; Design\Design\FC22\DRR Jaime\Neiva CPI\[VAO_DINA TERCIARIOS_CF_SEC_20230117.xlsx]CF PDP'!</v>
      </c>
      <c r="G3772" s="6" t="s">
        <v>113</v>
      </c>
      <c r="H3772" s="1">
        <f t="shared" si="869"/>
        <v>44</v>
      </c>
      <c r="I3772" s="1" t="str">
        <f t="shared" si="867"/>
        <v>='C:\Users\jaime.benazar\Quorum Business Solutions\Ecopetrol Prometeo - Documents\Planning Space Implementation\3. Analysis &amp; Design\Design\FC22\DRR Jaime\Neiva CPI\[VAO_DINA TERCIARIOS_CF_SEC_20230117.xlsx]CF PDP'!$BY$44</v>
      </c>
      <c r="J3772" s="1" t="s">
        <v>1805</v>
      </c>
    </row>
    <row r="3773" spans="1:10" x14ac:dyDescent="0.3">
      <c r="A3773" s="6" t="s">
        <v>14</v>
      </c>
      <c r="B3773" s="6">
        <f t="shared" si="868"/>
        <v>2032</v>
      </c>
      <c r="C3773" s="1" t="s">
        <v>43</v>
      </c>
      <c r="D3773" s="2" t="s">
        <v>131</v>
      </c>
      <c r="E3773" s="9" t="str">
        <f t="shared" si="866"/>
        <v>PDP'!</v>
      </c>
      <c r="F3773" s="5" t="str">
        <f t="shared" si="865"/>
        <v>C:\Users\jaime.benazar\Quorum Business Solutions\Ecopetrol Prometeo - Documents\Planning Space Implementation\3. Analysis &amp; Design\Design\FC22\DRR Jaime\Neiva CPI\[VAO_DINA TERCIARIOS_CF_SEC_20230117.xlsx]CF PDP'!</v>
      </c>
      <c r="G3773" s="6" t="s">
        <v>113</v>
      </c>
      <c r="H3773" s="1">
        <f t="shared" si="869"/>
        <v>45</v>
      </c>
      <c r="I3773" s="1" t="str">
        <f t="shared" si="867"/>
        <v>='C:\Users\jaime.benazar\Quorum Business Solutions\Ecopetrol Prometeo - Documents\Planning Space Implementation\3. Analysis &amp; Design\Design\FC22\DRR Jaime\Neiva CPI\[VAO_DINA TERCIARIOS_CF_SEC_20230117.xlsx]CF PDP'!$BY$45</v>
      </c>
      <c r="J3773" s="1" t="s">
        <v>1806</v>
      </c>
    </row>
    <row r="3774" spans="1:10" x14ac:dyDescent="0.3">
      <c r="A3774" s="6" t="s">
        <v>14</v>
      </c>
      <c r="B3774" s="6">
        <f t="shared" si="868"/>
        <v>2033</v>
      </c>
      <c r="C3774" s="1" t="s">
        <v>43</v>
      </c>
      <c r="D3774" s="2" t="s">
        <v>131</v>
      </c>
      <c r="E3774" s="9" t="str">
        <f t="shared" si="866"/>
        <v>PDP'!</v>
      </c>
      <c r="F3774" s="5" t="str">
        <f t="shared" si="865"/>
        <v>C:\Users\jaime.benazar\Quorum Business Solutions\Ecopetrol Prometeo - Documents\Planning Space Implementation\3. Analysis &amp; Design\Design\FC22\DRR Jaime\Neiva CPI\[VAO_DINA TERCIARIOS_CF_SEC_20230117.xlsx]CF PDP'!</v>
      </c>
      <c r="G3774" s="6" t="s">
        <v>113</v>
      </c>
      <c r="H3774" s="1">
        <f t="shared" si="869"/>
        <v>46</v>
      </c>
      <c r="I3774" s="1" t="str">
        <f t="shared" si="867"/>
        <v>='C:\Users\jaime.benazar\Quorum Business Solutions\Ecopetrol Prometeo - Documents\Planning Space Implementation\3. Analysis &amp; Design\Design\FC22\DRR Jaime\Neiva CPI\[VAO_DINA TERCIARIOS_CF_SEC_20230117.xlsx]CF PDP'!$BY$46</v>
      </c>
      <c r="J3774" s="1" t="s">
        <v>1807</v>
      </c>
    </row>
    <row r="3775" spans="1:10" x14ac:dyDescent="0.3">
      <c r="A3775" s="6" t="s">
        <v>14</v>
      </c>
      <c r="B3775" s="6">
        <f t="shared" si="868"/>
        <v>2034</v>
      </c>
      <c r="C3775" s="1" t="s">
        <v>43</v>
      </c>
      <c r="D3775" s="2" t="s">
        <v>131</v>
      </c>
      <c r="E3775" s="9" t="str">
        <f t="shared" si="866"/>
        <v>PDP'!</v>
      </c>
      <c r="F3775" s="5" t="str">
        <f t="shared" si="865"/>
        <v>C:\Users\jaime.benazar\Quorum Business Solutions\Ecopetrol Prometeo - Documents\Planning Space Implementation\3. Analysis &amp; Design\Design\FC22\DRR Jaime\Neiva CPI\[VAO_DINA TERCIARIOS_CF_SEC_20230117.xlsx]CF PDP'!</v>
      </c>
      <c r="G3775" s="6" t="s">
        <v>113</v>
      </c>
      <c r="H3775" s="1">
        <f t="shared" si="869"/>
        <v>47</v>
      </c>
      <c r="I3775" s="1" t="str">
        <f t="shared" si="867"/>
        <v>='C:\Users\jaime.benazar\Quorum Business Solutions\Ecopetrol Prometeo - Documents\Planning Space Implementation\3. Analysis &amp; Design\Design\FC22\DRR Jaime\Neiva CPI\[VAO_DINA TERCIARIOS_CF_SEC_20230117.xlsx]CF PDP'!$BY$47</v>
      </c>
      <c r="J3775" s="1" t="s">
        <v>1808</v>
      </c>
    </row>
    <row r="3776" spans="1:10" x14ac:dyDescent="0.3">
      <c r="A3776" s="6" t="s">
        <v>14</v>
      </c>
      <c r="B3776" s="6">
        <f t="shared" si="868"/>
        <v>2035</v>
      </c>
      <c r="C3776" s="1" t="s">
        <v>43</v>
      </c>
      <c r="D3776" s="2" t="s">
        <v>131</v>
      </c>
      <c r="E3776" s="9" t="str">
        <f t="shared" si="866"/>
        <v>PDP'!</v>
      </c>
      <c r="F3776" s="5" t="str">
        <f t="shared" si="865"/>
        <v>C:\Users\jaime.benazar\Quorum Business Solutions\Ecopetrol Prometeo - Documents\Planning Space Implementation\3. Analysis &amp; Design\Design\FC22\DRR Jaime\Neiva CPI\[VAO_DINA TERCIARIOS_CF_SEC_20230117.xlsx]CF PDP'!</v>
      </c>
      <c r="G3776" s="6" t="s">
        <v>113</v>
      </c>
      <c r="H3776" s="1">
        <f t="shared" si="869"/>
        <v>48</v>
      </c>
      <c r="I3776" s="1" t="str">
        <f t="shared" si="867"/>
        <v>='C:\Users\jaime.benazar\Quorum Business Solutions\Ecopetrol Prometeo - Documents\Planning Space Implementation\3. Analysis &amp; Design\Design\FC22\DRR Jaime\Neiva CPI\[VAO_DINA TERCIARIOS_CF_SEC_20230117.xlsx]CF PDP'!$BY$48</v>
      </c>
      <c r="J3776" s="1" t="s">
        <v>1809</v>
      </c>
    </row>
    <row r="3777" spans="1:10" x14ac:dyDescent="0.3">
      <c r="A3777" s="6" t="s">
        <v>14</v>
      </c>
      <c r="B3777" s="6">
        <f t="shared" si="868"/>
        <v>2036</v>
      </c>
      <c r="C3777" s="1" t="s">
        <v>43</v>
      </c>
      <c r="D3777" s="2" t="s">
        <v>131</v>
      </c>
      <c r="E3777" s="9" t="str">
        <f t="shared" si="866"/>
        <v>PDP'!</v>
      </c>
      <c r="F3777" s="5" t="str">
        <f t="shared" si="865"/>
        <v>C:\Users\jaime.benazar\Quorum Business Solutions\Ecopetrol Prometeo - Documents\Planning Space Implementation\3. Analysis &amp; Design\Design\FC22\DRR Jaime\Neiva CPI\[VAO_DINA TERCIARIOS_CF_SEC_20230117.xlsx]CF PDP'!</v>
      </c>
      <c r="G3777" s="6" t="s">
        <v>113</v>
      </c>
      <c r="H3777" s="1">
        <f t="shared" si="869"/>
        <v>49</v>
      </c>
      <c r="I3777" s="1" t="str">
        <f t="shared" si="867"/>
        <v>='C:\Users\jaime.benazar\Quorum Business Solutions\Ecopetrol Prometeo - Documents\Planning Space Implementation\3. Analysis &amp; Design\Design\FC22\DRR Jaime\Neiva CPI\[VAO_DINA TERCIARIOS_CF_SEC_20230117.xlsx]CF PDP'!$BY$49</v>
      </c>
      <c r="J3777" s="1" t="s">
        <v>1810</v>
      </c>
    </row>
    <row r="3778" spans="1:10" x14ac:dyDescent="0.3">
      <c r="A3778" s="6" t="s">
        <v>14</v>
      </c>
      <c r="B3778" s="6">
        <f>+B3777+1</f>
        <v>2037</v>
      </c>
      <c r="C3778" s="1" t="s">
        <v>43</v>
      </c>
      <c r="D3778" s="2" t="s">
        <v>131</v>
      </c>
      <c r="E3778" s="9" t="str">
        <f t="shared" si="866"/>
        <v>PDP'!</v>
      </c>
      <c r="F3778" s="5" t="str">
        <f t="shared" si="865"/>
        <v>C:\Users\jaime.benazar\Quorum Business Solutions\Ecopetrol Prometeo - Documents\Planning Space Implementation\3. Analysis &amp; Design\Design\FC22\DRR Jaime\Neiva CPI\[VAO_DINA TERCIARIOS_CF_SEC_20230117.xlsx]CF PDP'!</v>
      </c>
      <c r="G3778" s="6" t="s">
        <v>113</v>
      </c>
      <c r="H3778" s="1">
        <f t="shared" si="869"/>
        <v>50</v>
      </c>
      <c r="I3778" s="1" t="str">
        <f t="shared" si="867"/>
        <v>='C:\Users\jaime.benazar\Quorum Business Solutions\Ecopetrol Prometeo - Documents\Planning Space Implementation\3. Analysis &amp; Design\Design\FC22\DRR Jaime\Neiva CPI\[VAO_DINA TERCIARIOS_CF_SEC_20230117.xlsx]CF PDP'!$BY$50</v>
      </c>
      <c r="J3778" s="1" t="s">
        <v>1811</v>
      </c>
    </row>
    <row r="3779" spans="1:10" x14ac:dyDescent="0.3">
      <c r="A3779" s="6" t="s">
        <v>14</v>
      </c>
      <c r="B3779" s="6">
        <f t="shared" si="868"/>
        <v>2038</v>
      </c>
      <c r="C3779" s="1" t="s">
        <v>43</v>
      </c>
      <c r="D3779" s="2" t="s">
        <v>131</v>
      </c>
      <c r="E3779" s="9" t="str">
        <f t="shared" si="866"/>
        <v>PDP'!</v>
      </c>
      <c r="F3779" s="5" t="str">
        <f t="shared" si="865"/>
        <v>C:\Users\jaime.benazar\Quorum Business Solutions\Ecopetrol Prometeo - Documents\Planning Space Implementation\3. Analysis &amp; Design\Design\FC22\DRR Jaime\Neiva CPI\[VAO_DINA TERCIARIOS_CF_SEC_20230117.xlsx]CF PDP'!</v>
      </c>
      <c r="G3779" s="6" t="s">
        <v>113</v>
      </c>
      <c r="H3779" s="1">
        <f t="shared" si="869"/>
        <v>51</v>
      </c>
      <c r="I3779" s="1" t="str">
        <f t="shared" si="867"/>
        <v>='C:\Users\jaime.benazar\Quorum Business Solutions\Ecopetrol Prometeo - Documents\Planning Space Implementation\3. Analysis &amp; Design\Design\FC22\DRR Jaime\Neiva CPI\[VAO_DINA TERCIARIOS_CF_SEC_20230117.xlsx]CF PDP'!$BY$51</v>
      </c>
      <c r="J3779" s="1" t="s">
        <v>1812</v>
      </c>
    </row>
    <row r="3780" spans="1:10" x14ac:dyDescent="0.3">
      <c r="A3780" s="6" t="s">
        <v>14</v>
      </c>
      <c r="B3780" s="6">
        <f t="shared" si="868"/>
        <v>2039</v>
      </c>
      <c r="C3780" s="1" t="s">
        <v>43</v>
      </c>
      <c r="D3780" s="2" t="s">
        <v>131</v>
      </c>
      <c r="E3780" s="9" t="str">
        <f t="shared" si="866"/>
        <v>PDP'!</v>
      </c>
      <c r="F3780" s="5" t="str">
        <f t="shared" si="865"/>
        <v>C:\Users\jaime.benazar\Quorum Business Solutions\Ecopetrol Prometeo - Documents\Planning Space Implementation\3. Analysis &amp; Design\Design\FC22\DRR Jaime\Neiva CPI\[VAO_DINA TERCIARIOS_CF_SEC_20230117.xlsx]CF PDP'!</v>
      </c>
      <c r="G3780" s="6" t="s">
        <v>113</v>
      </c>
      <c r="H3780" s="1">
        <f t="shared" si="869"/>
        <v>52</v>
      </c>
      <c r="I3780" s="1" t="str">
        <f t="shared" si="867"/>
        <v>='C:\Users\jaime.benazar\Quorum Business Solutions\Ecopetrol Prometeo - Documents\Planning Space Implementation\3. Analysis &amp; Design\Design\FC22\DRR Jaime\Neiva CPI\[VAO_DINA TERCIARIOS_CF_SEC_20230117.xlsx]CF PDP'!$BY$52</v>
      </c>
      <c r="J3780" s="1" t="s">
        <v>1813</v>
      </c>
    </row>
    <row r="3781" spans="1:10" x14ac:dyDescent="0.3">
      <c r="A3781" s="6" t="s">
        <v>14</v>
      </c>
      <c r="B3781" s="6">
        <f t="shared" si="868"/>
        <v>2040</v>
      </c>
      <c r="C3781" s="1" t="s">
        <v>43</v>
      </c>
      <c r="D3781" s="2" t="s">
        <v>131</v>
      </c>
      <c r="E3781" s="9" t="str">
        <f t="shared" si="866"/>
        <v>PDP'!</v>
      </c>
      <c r="F3781" s="5" t="str">
        <f t="shared" si="865"/>
        <v>C:\Users\jaime.benazar\Quorum Business Solutions\Ecopetrol Prometeo - Documents\Planning Space Implementation\3. Analysis &amp; Design\Design\FC22\DRR Jaime\Neiva CPI\[VAO_DINA TERCIARIOS_CF_SEC_20230117.xlsx]CF PDP'!</v>
      </c>
      <c r="G3781" s="6" t="s">
        <v>113</v>
      </c>
      <c r="H3781" s="1">
        <f t="shared" si="869"/>
        <v>53</v>
      </c>
      <c r="I3781" s="1" t="str">
        <f t="shared" si="867"/>
        <v>='C:\Users\jaime.benazar\Quorum Business Solutions\Ecopetrol Prometeo - Documents\Planning Space Implementation\3. Analysis &amp; Design\Design\FC22\DRR Jaime\Neiva CPI\[VAO_DINA TERCIARIOS_CF_SEC_20230117.xlsx]CF PDP'!$BY$53</v>
      </c>
      <c r="J3781" s="1" t="s">
        <v>1814</v>
      </c>
    </row>
    <row r="3782" spans="1:10" x14ac:dyDescent="0.3">
      <c r="A3782" s="6" t="s">
        <v>14</v>
      </c>
      <c r="B3782" s="6">
        <f>+B3781+1</f>
        <v>2041</v>
      </c>
      <c r="C3782" s="1" t="s">
        <v>43</v>
      </c>
      <c r="D3782" s="2" t="s">
        <v>131</v>
      </c>
      <c r="E3782" s="9" t="str">
        <f t="shared" si="866"/>
        <v>PDP'!</v>
      </c>
      <c r="F3782" s="5" t="str">
        <f t="shared" si="865"/>
        <v>C:\Users\jaime.benazar\Quorum Business Solutions\Ecopetrol Prometeo - Documents\Planning Space Implementation\3. Analysis &amp; Design\Design\FC22\DRR Jaime\Neiva CPI\[VAO_DINA TERCIARIOS_CF_SEC_20230117.xlsx]CF PDP'!</v>
      </c>
      <c r="G3782" s="6" t="s">
        <v>113</v>
      </c>
      <c r="H3782" s="1">
        <f t="shared" si="869"/>
        <v>54</v>
      </c>
      <c r="I3782" s="1" t="str">
        <f t="shared" si="867"/>
        <v>='C:\Users\jaime.benazar\Quorum Business Solutions\Ecopetrol Prometeo - Documents\Planning Space Implementation\3. Analysis &amp; Design\Design\FC22\DRR Jaime\Neiva CPI\[VAO_DINA TERCIARIOS_CF_SEC_20230117.xlsx]CF PDP'!$BY$54</v>
      </c>
      <c r="J3782" s="1" t="s">
        <v>1815</v>
      </c>
    </row>
    <row r="3783" spans="1:10" x14ac:dyDescent="0.3">
      <c r="A3783" s="6" t="s">
        <v>14</v>
      </c>
      <c r="B3783" s="6">
        <f t="shared" si="868"/>
        <v>2042</v>
      </c>
      <c r="C3783" s="1" t="s">
        <v>43</v>
      </c>
      <c r="D3783" s="2" t="s">
        <v>131</v>
      </c>
      <c r="E3783" s="9" t="str">
        <f t="shared" si="866"/>
        <v>PDP'!</v>
      </c>
      <c r="F3783" s="5" t="str">
        <f t="shared" si="865"/>
        <v>C:\Users\jaime.benazar\Quorum Business Solutions\Ecopetrol Prometeo - Documents\Planning Space Implementation\3. Analysis &amp; Design\Design\FC22\DRR Jaime\Neiva CPI\[VAO_DINA TERCIARIOS_CF_SEC_20230117.xlsx]CF PDP'!</v>
      </c>
      <c r="G3783" s="6" t="s">
        <v>113</v>
      </c>
      <c r="H3783" s="1">
        <f t="shared" si="869"/>
        <v>55</v>
      </c>
      <c r="I3783" s="1" t="str">
        <f t="shared" si="867"/>
        <v>='C:\Users\jaime.benazar\Quorum Business Solutions\Ecopetrol Prometeo - Documents\Planning Space Implementation\3. Analysis &amp; Design\Design\FC22\DRR Jaime\Neiva CPI\[VAO_DINA TERCIARIOS_CF_SEC_20230117.xlsx]CF PDP'!$BY$55</v>
      </c>
      <c r="J3783" s="1" t="s">
        <v>1816</v>
      </c>
    </row>
    <row r="3784" spans="1:10" x14ac:dyDescent="0.3">
      <c r="A3784" s="6" t="s">
        <v>14</v>
      </c>
      <c r="B3784" s="6">
        <f t="shared" si="868"/>
        <v>2043</v>
      </c>
      <c r="C3784" s="1" t="s">
        <v>43</v>
      </c>
      <c r="D3784" s="2" t="s">
        <v>131</v>
      </c>
      <c r="E3784" s="9" t="str">
        <f t="shared" si="866"/>
        <v>PDP'!</v>
      </c>
      <c r="F3784" s="5" t="str">
        <f t="shared" si="865"/>
        <v>C:\Users\jaime.benazar\Quorum Business Solutions\Ecopetrol Prometeo - Documents\Planning Space Implementation\3. Analysis &amp; Design\Design\FC22\DRR Jaime\Neiva CPI\[VAO_DINA TERCIARIOS_CF_SEC_20230117.xlsx]CF PDP'!</v>
      </c>
      <c r="G3784" s="6" t="s">
        <v>113</v>
      </c>
      <c r="H3784" s="1">
        <f t="shared" si="869"/>
        <v>56</v>
      </c>
      <c r="I3784" s="1" t="str">
        <f t="shared" si="867"/>
        <v>='C:\Users\jaime.benazar\Quorum Business Solutions\Ecopetrol Prometeo - Documents\Planning Space Implementation\3. Analysis &amp; Design\Design\FC22\DRR Jaime\Neiva CPI\[VAO_DINA TERCIARIOS_CF_SEC_20230117.xlsx]CF PDP'!$BY$56</v>
      </c>
      <c r="J3784" s="1" t="s">
        <v>1817</v>
      </c>
    </row>
    <row r="3785" spans="1:10" x14ac:dyDescent="0.3">
      <c r="A3785" s="6" t="s">
        <v>14</v>
      </c>
      <c r="B3785" s="6">
        <f>+B3784+1</f>
        <v>2044</v>
      </c>
      <c r="C3785" s="1" t="s">
        <v>43</v>
      </c>
      <c r="D3785" s="2" t="s">
        <v>131</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Jaime\Neiva CPI\[VAO_DINA TERCIARIOS_CF_SEC_20230117.xlsx]CF PDP'!</v>
      </c>
      <c r="G3785" s="6" t="s">
        <v>113</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Jaime\Neiva CPI\[VAO_DINA TERCIARIOS_CF_SEC_20230117.xlsx]CF PDP'!$BY$57</v>
      </c>
      <c r="J3785" s="1" t="s">
        <v>1818</v>
      </c>
    </row>
    <row r="3786" spans="1:10" x14ac:dyDescent="0.3">
      <c r="A3786" s="6" t="s">
        <v>14</v>
      </c>
      <c r="B3786" s="6">
        <f t="shared" si="868"/>
        <v>2045</v>
      </c>
      <c r="C3786" s="1" t="s">
        <v>43</v>
      </c>
      <c r="D3786" s="2" t="s">
        <v>131</v>
      </c>
      <c r="E3786" s="9" t="str">
        <f t="shared" si="870"/>
        <v>PDP'!</v>
      </c>
      <c r="F3786" s="5" t="str">
        <f t="shared" si="871"/>
        <v>C:\Users\jaime.benazar\Quorum Business Solutions\Ecopetrol Prometeo - Documents\Planning Space Implementation\3. Analysis &amp; Design\Design\FC22\DRR Jaime\Neiva CPI\[VAO_DINA TERCIARIOS_CF_SEC_20230117.xlsx]CF PDP'!</v>
      </c>
      <c r="G3786" s="6" t="s">
        <v>113</v>
      </c>
      <c r="H3786" s="1">
        <f t="shared" si="872"/>
        <v>58</v>
      </c>
      <c r="I3786" s="1" t="str">
        <f t="shared" si="873"/>
        <v>='C:\Users\jaime.benazar\Quorum Business Solutions\Ecopetrol Prometeo - Documents\Planning Space Implementation\3. Analysis &amp; Design\Design\FC22\DRR Jaime\Neiva CPI\[VAO_DINA TERCIARIOS_CF_SEC_20230117.xlsx]CF PDP'!$BY$58</v>
      </c>
      <c r="J3786" s="1" t="s">
        <v>1819</v>
      </c>
    </row>
    <row r="3787" spans="1:10" x14ac:dyDescent="0.3">
      <c r="A3787" s="6" t="s">
        <v>14</v>
      </c>
      <c r="B3787" s="6">
        <f t="shared" si="868"/>
        <v>2046</v>
      </c>
      <c r="C3787" s="1" t="s">
        <v>43</v>
      </c>
      <c r="D3787" s="2" t="s">
        <v>131</v>
      </c>
      <c r="E3787" s="9" t="str">
        <f t="shared" si="870"/>
        <v>PDP'!</v>
      </c>
      <c r="F3787" s="5" t="str">
        <f t="shared" si="871"/>
        <v>C:\Users\jaime.benazar\Quorum Business Solutions\Ecopetrol Prometeo - Documents\Planning Space Implementation\3. Analysis &amp; Design\Design\FC22\DRR Jaime\Neiva CPI\[VAO_DINA TERCIARIOS_CF_SEC_20230117.xlsx]CF PDP'!</v>
      </c>
      <c r="G3787" s="6" t="s">
        <v>113</v>
      </c>
      <c r="H3787" s="1">
        <f t="shared" si="872"/>
        <v>59</v>
      </c>
      <c r="I3787" s="1" t="str">
        <f t="shared" si="873"/>
        <v>='C:\Users\jaime.benazar\Quorum Business Solutions\Ecopetrol Prometeo - Documents\Planning Space Implementation\3. Analysis &amp; Design\Design\FC22\DRR Jaime\Neiva CPI\[VAO_DINA TERCIARIOS_CF_SEC_20230117.xlsx]CF PDP'!$BY$59</v>
      </c>
      <c r="J3787" s="1" t="s">
        <v>1820</v>
      </c>
    </row>
    <row r="3788" spans="1:10" x14ac:dyDescent="0.3">
      <c r="A3788" s="6" t="s">
        <v>14</v>
      </c>
      <c r="B3788" s="6">
        <f t="shared" si="868"/>
        <v>2047</v>
      </c>
      <c r="C3788" s="1" t="s">
        <v>43</v>
      </c>
      <c r="D3788" s="2" t="s">
        <v>131</v>
      </c>
      <c r="E3788" s="9" t="str">
        <f t="shared" si="870"/>
        <v>PDP'!</v>
      </c>
      <c r="F3788" s="5" t="str">
        <f t="shared" si="871"/>
        <v>C:\Users\jaime.benazar\Quorum Business Solutions\Ecopetrol Prometeo - Documents\Planning Space Implementation\3. Analysis &amp; Design\Design\FC22\DRR Jaime\Neiva CPI\[VAO_DINA TERCIARIOS_CF_SEC_20230117.xlsx]CF PDP'!</v>
      </c>
      <c r="G3788" s="6" t="s">
        <v>113</v>
      </c>
      <c r="H3788" s="1">
        <f t="shared" si="872"/>
        <v>60</v>
      </c>
      <c r="I3788" s="1" t="str">
        <f t="shared" si="873"/>
        <v>='C:\Users\jaime.benazar\Quorum Business Solutions\Ecopetrol Prometeo - Documents\Planning Space Implementation\3. Analysis &amp; Design\Design\FC22\DRR Jaime\Neiva CPI\[VAO_DINA TERCIARIOS_CF_SEC_20230117.xlsx]CF PDP'!$BY$60</v>
      </c>
      <c r="J3788" s="1" t="s">
        <v>1821</v>
      </c>
    </row>
    <row r="3789" spans="1:10" x14ac:dyDescent="0.3">
      <c r="A3789" s="6" t="s">
        <v>14</v>
      </c>
      <c r="B3789" s="6">
        <f t="shared" si="868"/>
        <v>2048</v>
      </c>
      <c r="C3789" s="1" t="s">
        <v>43</v>
      </c>
      <c r="D3789" s="2" t="s">
        <v>131</v>
      </c>
      <c r="E3789" s="9" t="str">
        <f t="shared" si="870"/>
        <v>PDP'!</v>
      </c>
      <c r="F3789" s="5" t="str">
        <f t="shared" si="871"/>
        <v>C:\Users\jaime.benazar\Quorum Business Solutions\Ecopetrol Prometeo - Documents\Planning Space Implementation\3. Analysis &amp; Design\Design\FC22\DRR Jaime\Neiva CPI\[VAO_DINA TERCIARIOS_CF_SEC_20230117.xlsx]CF PDP'!</v>
      </c>
      <c r="G3789" s="6" t="s">
        <v>113</v>
      </c>
      <c r="H3789" s="1">
        <f t="shared" si="872"/>
        <v>61</v>
      </c>
      <c r="I3789" s="1" t="str">
        <f t="shared" si="873"/>
        <v>='C:\Users\jaime.benazar\Quorum Business Solutions\Ecopetrol Prometeo - Documents\Planning Space Implementation\3. Analysis &amp; Design\Design\FC22\DRR Jaime\Neiva CPI\[VAO_DINA TERCIARIOS_CF_SEC_20230117.xlsx]CF PDP'!$BY$61</v>
      </c>
      <c r="J3789" s="1" t="s">
        <v>1822</v>
      </c>
    </row>
    <row r="3790" spans="1:10" x14ac:dyDescent="0.3">
      <c r="A3790" s="6" t="s">
        <v>14</v>
      </c>
      <c r="B3790" s="6">
        <f t="shared" si="868"/>
        <v>2049</v>
      </c>
      <c r="C3790" s="1" t="s">
        <v>43</v>
      </c>
      <c r="D3790" s="2" t="s">
        <v>131</v>
      </c>
      <c r="E3790" s="9" t="str">
        <f t="shared" si="870"/>
        <v>PDP'!</v>
      </c>
      <c r="F3790" s="5" t="str">
        <f t="shared" si="871"/>
        <v>C:\Users\jaime.benazar\Quorum Business Solutions\Ecopetrol Prometeo - Documents\Planning Space Implementation\3. Analysis &amp; Design\Design\FC22\DRR Jaime\Neiva CPI\[VAO_DINA TERCIARIOS_CF_SEC_20230117.xlsx]CF PDP'!</v>
      </c>
      <c r="G3790" s="6" t="s">
        <v>113</v>
      </c>
      <c r="H3790" s="1">
        <f t="shared" si="872"/>
        <v>62</v>
      </c>
      <c r="I3790" s="1" t="str">
        <f t="shared" si="873"/>
        <v>='C:\Users\jaime.benazar\Quorum Business Solutions\Ecopetrol Prometeo - Documents\Planning Space Implementation\3. Analysis &amp; Design\Design\FC22\DRR Jaime\Neiva CPI\[VAO_DINA TERCIARIOS_CF_SEC_20230117.xlsx]CF PDP'!$BY$62</v>
      </c>
      <c r="J3790" s="1" t="s">
        <v>1823</v>
      </c>
    </row>
    <row r="3791" spans="1:10" x14ac:dyDescent="0.3">
      <c r="A3791" s="6" t="s">
        <v>14</v>
      </c>
      <c r="B3791" s="6">
        <f t="shared" si="868"/>
        <v>2050</v>
      </c>
      <c r="C3791" s="1" t="s">
        <v>43</v>
      </c>
      <c r="D3791" s="2" t="s">
        <v>131</v>
      </c>
      <c r="E3791" s="9" t="str">
        <f t="shared" si="870"/>
        <v>PDP'!</v>
      </c>
      <c r="F3791" s="5" t="str">
        <f t="shared" si="871"/>
        <v>C:\Users\jaime.benazar\Quorum Business Solutions\Ecopetrol Prometeo - Documents\Planning Space Implementation\3. Analysis &amp; Design\Design\FC22\DRR Jaime\Neiva CPI\[VAO_DINA TERCIARIOS_CF_SEC_20230117.xlsx]CF PDP'!</v>
      </c>
      <c r="G3791" s="6" t="s">
        <v>113</v>
      </c>
      <c r="H3791" s="1">
        <f t="shared" si="872"/>
        <v>63</v>
      </c>
      <c r="I3791" s="1" t="str">
        <f t="shared" si="873"/>
        <v>='C:\Users\jaime.benazar\Quorum Business Solutions\Ecopetrol Prometeo - Documents\Planning Space Implementation\3. Analysis &amp; Design\Design\FC22\DRR Jaime\Neiva CPI\[VAO_DINA TERCIARIOS_CF_SEC_20230117.xlsx]CF PDP'!$BY$63</v>
      </c>
      <c r="J3791" s="1" t="s">
        <v>1824</v>
      </c>
    </row>
    <row r="3792" spans="1:10" x14ac:dyDescent="0.3">
      <c r="A3792" s="6" t="s">
        <v>14</v>
      </c>
      <c r="B3792" s="6">
        <f t="shared" si="868"/>
        <v>2051</v>
      </c>
      <c r="C3792" s="1" t="s">
        <v>43</v>
      </c>
      <c r="D3792" s="2" t="s">
        <v>131</v>
      </c>
      <c r="E3792" s="9" t="str">
        <f t="shared" si="870"/>
        <v>PDP'!</v>
      </c>
      <c r="F3792" s="5" t="str">
        <f t="shared" si="871"/>
        <v>C:\Users\jaime.benazar\Quorum Business Solutions\Ecopetrol Prometeo - Documents\Planning Space Implementation\3. Analysis &amp; Design\Design\FC22\DRR Jaime\Neiva CPI\[VAO_DINA TERCIARIOS_CF_SEC_20230117.xlsx]CF PDP'!</v>
      </c>
      <c r="G3792" s="6" t="s">
        <v>113</v>
      </c>
      <c r="H3792" s="1">
        <f t="shared" si="872"/>
        <v>64</v>
      </c>
      <c r="I3792" s="1" t="str">
        <f t="shared" si="873"/>
        <v>='C:\Users\jaime.benazar\Quorum Business Solutions\Ecopetrol Prometeo - Documents\Planning Space Implementation\3. Analysis &amp; Design\Design\FC22\DRR Jaime\Neiva CPI\[VAO_DINA TERCIARIOS_CF_SEC_20230117.xlsx]CF PDP'!$BY$64</v>
      </c>
      <c r="J3792" s="1" t="s">
        <v>1825</v>
      </c>
    </row>
    <row r="3793" spans="1:10" x14ac:dyDescent="0.3">
      <c r="A3793" s="6" t="s">
        <v>14</v>
      </c>
      <c r="B3793" s="6">
        <f t="shared" si="868"/>
        <v>2052</v>
      </c>
      <c r="C3793" s="1" t="s">
        <v>43</v>
      </c>
      <c r="D3793" s="2" t="s">
        <v>131</v>
      </c>
      <c r="E3793" s="9" t="str">
        <f t="shared" si="870"/>
        <v>PDP'!</v>
      </c>
      <c r="F3793" s="5" t="str">
        <f t="shared" si="871"/>
        <v>C:\Users\jaime.benazar\Quorum Business Solutions\Ecopetrol Prometeo - Documents\Planning Space Implementation\3. Analysis &amp; Design\Design\FC22\DRR Jaime\Neiva CPI\[VAO_DINA TERCIARIOS_CF_SEC_20230117.xlsx]CF PDP'!</v>
      </c>
      <c r="G3793" s="6" t="s">
        <v>113</v>
      </c>
      <c r="H3793" s="1">
        <f t="shared" si="872"/>
        <v>65</v>
      </c>
      <c r="I3793" s="1" t="str">
        <f t="shared" si="873"/>
        <v>='C:\Users\jaime.benazar\Quorum Business Solutions\Ecopetrol Prometeo - Documents\Planning Space Implementation\3. Analysis &amp; Design\Design\FC22\DRR Jaime\Neiva CPI\[VAO_DINA TERCIARIOS_CF_SEC_20230117.xlsx]CF PDP'!$BY$65</v>
      </c>
      <c r="J3793" s="1" t="s">
        <v>1826</v>
      </c>
    </row>
    <row r="3794" spans="1:10" x14ac:dyDescent="0.3">
      <c r="A3794" s="6" t="s">
        <v>14</v>
      </c>
      <c r="B3794" s="6">
        <f t="shared" si="868"/>
        <v>2053</v>
      </c>
      <c r="C3794" s="1" t="s">
        <v>43</v>
      </c>
      <c r="D3794" s="2" t="s">
        <v>131</v>
      </c>
      <c r="E3794" s="9" t="str">
        <f t="shared" si="870"/>
        <v>PDP'!</v>
      </c>
      <c r="F3794" s="5" t="str">
        <f t="shared" si="871"/>
        <v>C:\Users\jaime.benazar\Quorum Business Solutions\Ecopetrol Prometeo - Documents\Planning Space Implementation\3. Analysis &amp; Design\Design\FC22\DRR Jaime\Neiva CPI\[VAO_DINA TERCIARIOS_CF_SEC_20230117.xlsx]CF PDP'!</v>
      </c>
      <c r="G3794" s="6" t="s">
        <v>113</v>
      </c>
      <c r="H3794" s="1">
        <f t="shared" si="872"/>
        <v>66</v>
      </c>
      <c r="I3794" s="1" t="str">
        <f t="shared" si="873"/>
        <v>='C:\Users\jaime.benazar\Quorum Business Solutions\Ecopetrol Prometeo - Documents\Planning Space Implementation\3. Analysis &amp; Design\Design\FC22\DRR Jaime\Neiva CPI\[VAO_DINA TERCIARIOS_CF_SEC_20230117.xlsx]CF PDP'!$BY$66</v>
      </c>
      <c r="J3794" s="1" t="s">
        <v>1827</v>
      </c>
    </row>
    <row r="3795" spans="1:10" x14ac:dyDescent="0.3">
      <c r="A3795" s="6" t="s">
        <v>14</v>
      </c>
      <c r="B3795" s="6">
        <f t="shared" si="868"/>
        <v>2054</v>
      </c>
      <c r="C3795" s="1" t="s">
        <v>43</v>
      </c>
      <c r="D3795" s="2" t="s">
        <v>131</v>
      </c>
      <c r="E3795" s="9" t="str">
        <f t="shared" si="870"/>
        <v>PDP'!</v>
      </c>
      <c r="F3795" s="5" t="str">
        <f t="shared" si="871"/>
        <v>C:\Users\jaime.benazar\Quorum Business Solutions\Ecopetrol Prometeo - Documents\Planning Space Implementation\3. Analysis &amp; Design\Design\FC22\DRR Jaime\Neiva CPI\[VAO_DINA TERCIARIOS_CF_SEC_20230117.xlsx]CF PDP'!</v>
      </c>
      <c r="G3795" s="6" t="s">
        <v>113</v>
      </c>
      <c r="H3795" s="1">
        <f t="shared" si="872"/>
        <v>67</v>
      </c>
      <c r="I3795" s="1" t="str">
        <f t="shared" si="873"/>
        <v>='C:\Users\jaime.benazar\Quorum Business Solutions\Ecopetrol Prometeo - Documents\Planning Space Implementation\3. Analysis &amp; Design\Design\FC22\DRR Jaime\Neiva CPI\[VAO_DINA TERCIARIOS_CF_SEC_20230117.xlsx]CF PDP'!$BY$67</v>
      </c>
      <c r="J3795" s="1" t="s">
        <v>1828</v>
      </c>
    </row>
    <row r="3796" spans="1:10" x14ac:dyDescent="0.3">
      <c r="A3796" s="6" t="s">
        <v>14</v>
      </c>
      <c r="B3796" s="6">
        <f t="shared" si="868"/>
        <v>2055</v>
      </c>
      <c r="C3796" s="1" t="s">
        <v>43</v>
      </c>
      <c r="D3796" s="2" t="s">
        <v>131</v>
      </c>
      <c r="E3796" s="9" t="str">
        <f t="shared" si="870"/>
        <v>PDP'!</v>
      </c>
      <c r="F3796" s="5" t="str">
        <f t="shared" si="871"/>
        <v>C:\Users\jaime.benazar\Quorum Business Solutions\Ecopetrol Prometeo - Documents\Planning Space Implementation\3. Analysis &amp; Design\Design\FC22\DRR Jaime\Neiva CPI\[VAO_DINA TERCIARIOS_CF_SEC_20230117.xlsx]CF PDP'!</v>
      </c>
      <c r="G3796" s="6" t="s">
        <v>113</v>
      </c>
      <c r="H3796" s="1">
        <f t="shared" si="872"/>
        <v>68</v>
      </c>
      <c r="I3796" s="1" t="str">
        <f t="shared" si="873"/>
        <v>='C:\Users\jaime.benazar\Quorum Business Solutions\Ecopetrol Prometeo - Documents\Planning Space Implementation\3. Analysis &amp; Design\Design\FC22\DRR Jaime\Neiva CPI\[VAO_DINA TERCIARIOS_CF_SEC_20230117.xlsx]CF PDP'!$BY$68</v>
      </c>
      <c r="J3796" s="1" t="s">
        <v>1829</v>
      </c>
    </row>
    <row r="3797" spans="1:10" x14ac:dyDescent="0.3">
      <c r="A3797" s="6" t="s">
        <v>14</v>
      </c>
      <c r="B3797" s="6">
        <f t="shared" si="868"/>
        <v>2056</v>
      </c>
      <c r="C3797" s="1" t="s">
        <v>43</v>
      </c>
      <c r="D3797" s="2" t="s">
        <v>131</v>
      </c>
      <c r="E3797" s="9" t="str">
        <f t="shared" si="870"/>
        <v>PDP'!</v>
      </c>
      <c r="F3797" s="5" t="str">
        <f t="shared" si="871"/>
        <v>C:\Users\jaime.benazar\Quorum Business Solutions\Ecopetrol Prometeo - Documents\Planning Space Implementation\3. Analysis &amp; Design\Design\FC22\DRR Jaime\Neiva CPI\[VAO_DINA TERCIARIOS_CF_SEC_20230117.xlsx]CF PDP'!</v>
      </c>
      <c r="G3797" s="6" t="s">
        <v>113</v>
      </c>
      <c r="H3797" s="1">
        <f t="shared" si="872"/>
        <v>69</v>
      </c>
      <c r="I3797" s="1" t="str">
        <f t="shared" si="873"/>
        <v>='C:\Users\jaime.benazar\Quorum Business Solutions\Ecopetrol Prometeo - Documents\Planning Space Implementation\3. Analysis &amp; Design\Design\FC22\DRR Jaime\Neiva CPI\[VAO_DINA TERCIARIOS_CF_SEC_20230117.xlsx]CF PDP'!$BY$69</v>
      </c>
      <c r="J3797" s="1" t="s">
        <v>1830</v>
      </c>
    </row>
    <row r="3798" spans="1:10" x14ac:dyDescent="0.3">
      <c r="A3798" s="6" t="s">
        <v>14</v>
      </c>
      <c r="B3798" s="6">
        <f t="shared" si="868"/>
        <v>2057</v>
      </c>
      <c r="C3798" s="1" t="s">
        <v>43</v>
      </c>
      <c r="D3798" s="2" t="s">
        <v>131</v>
      </c>
      <c r="E3798" s="9" t="str">
        <f t="shared" si="870"/>
        <v>PDP'!</v>
      </c>
      <c r="F3798" s="5" t="str">
        <f t="shared" si="871"/>
        <v>C:\Users\jaime.benazar\Quorum Business Solutions\Ecopetrol Prometeo - Documents\Planning Space Implementation\3. Analysis &amp; Design\Design\FC22\DRR Jaime\Neiva CPI\[VAO_DINA TERCIARIOS_CF_SEC_20230117.xlsx]CF PDP'!</v>
      </c>
      <c r="G3798" s="6" t="s">
        <v>113</v>
      </c>
      <c r="H3798" s="1">
        <f t="shared" si="872"/>
        <v>70</v>
      </c>
      <c r="I3798" s="1" t="str">
        <f t="shared" si="873"/>
        <v>='C:\Users\jaime.benazar\Quorum Business Solutions\Ecopetrol Prometeo - Documents\Planning Space Implementation\3. Analysis &amp; Design\Design\FC22\DRR Jaime\Neiva CPI\[VAO_DINA TERCIARIOS_CF_SEC_20230117.xlsx]CF PDP'!$BY$70</v>
      </c>
      <c r="J3798" s="1" t="s">
        <v>1831</v>
      </c>
    </row>
    <row r="3799" spans="1:10" x14ac:dyDescent="0.3">
      <c r="A3799" s="6" t="s">
        <v>14</v>
      </c>
      <c r="B3799" s="6">
        <f t="shared" si="868"/>
        <v>2058</v>
      </c>
      <c r="C3799" s="1" t="s">
        <v>43</v>
      </c>
      <c r="D3799" s="2" t="s">
        <v>131</v>
      </c>
      <c r="E3799" s="9" t="str">
        <f t="shared" si="870"/>
        <v>PDP'!</v>
      </c>
      <c r="F3799" s="5" t="str">
        <f t="shared" si="871"/>
        <v>C:\Users\jaime.benazar\Quorum Business Solutions\Ecopetrol Prometeo - Documents\Planning Space Implementation\3. Analysis &amp; Design\Design\FC22\DRR Jaime\Neiva CPI\[VAO_DINA TERCIARIOS_CF_SEC_20230117.xlsx]CF PDP'!</v>
      </c>
      <c r="G3799" s="6" t="s">
        <v>113</v>
      </c>
      <c r="H3799" s="1">
        <f t="shared" si="872"/>
        <v>71</v>
      </c>
      <c r="I3799" s="1" t="str">
        <f t="shared" si="873"/>
        <v>='C:\Users\jaime.benazar\Quorum Business Solutions\Ecopetrol Prometeo - Documents\Planning Space Implementation\3. Analysis &amp; Design\Design\FC22\DRR Jaime\Neiva CPI\[VAO_DINA TERCIARIOS_CF_SEC_20230117.xlsx]CF PDP'!$BY$71</v>
      </c>
      <c r="J3799" s="1" t="s">
        <v>1832</v>
      </c>
    </row>
    <row r="3800" spans="1:10" x14ac:dyDescent="0.3">
      <c r="A3800" s="6" t="s">
        <v>14</v>
      </c>
      <c r="B3800" s="6">
        <f t="shared" si="868"/>
        <v>2059</v>
      </c>
      <c r="C3800" s="1" t="s">
        <v>43</v>
      </c>
      <c r="D3800" s="2" t="s">
        <v>131</v>
      </c>
      <c r="E3800" s="9" t="str">
        <f t="shared" si="870"/>
        <v>PDP'!</v>
      </c>
      <c r="F3800" s="5" t="str">
        <f t="shared" si="871"/>
        <v>C:\Users\jaime.benazar\Quorum Business Solutions\Ecopetrol Prometeo - Documents\Planning Space Implementation\3. Analysis &amp; Design\Design\FC22\DRR Jaime\Neiva CPI\[VAO_DINA TERCIARIOS_CF_SEC_20230117.xlsx]CF PDP'!</v>
      </c>
      <c r="G3800" s="6" t="s">
        <v>113</v>
      </c>
      <c r="H3800" s="1">
        <f t="shared" si="872"/>
        <v>72</v>
      </c>
      <c r="I3800" s="1" t="str">
        <f t="shared" si="873"/>
        <v>='C:\Users\jaime.benazar\Quorum Business Solutions\Ecopetrol Prometeo - Documents\Planning Space Implementation\3. Analysis &amp; Design\Design\FC22\DRR Jaime\Neiva CPI\[VAO_DINA TERCIARIOS_CF_SEC_20230117.xlsx]CF PDP'!$BY$72</v>
      </c>
      <c r="J3800" s="1" t="s">
        <v>1833</v>
      </c>
    </row>
    <row r="3801" spans="1:10" x14ac:dyDescent="0.3">
      <c r="A3801" s="6" t="s">
        <v>26</v>
      </c>
      <c r="B3801" s="6"/>
      <c r="C3801" s="1" t="s">
        <v>43</v>
      </c>
      <c r="D3801" s="2"/>
      <c r="E3801" s="9" t="str">
        <f t="shared" si="866"/>
        <v>Total'!</v>
      </c>
      <c r="F3801" s="2"/>
      <c r="G3801" s="6"/>
      <c r="H3801" s="1"/>
      <c r="I3801" s="1"/>
      <c r="J3801" s="4"/>
    </row>
    <row r="3802" spans="1:10" x14ac:dyDescent="0.3">
      <c r="A3802" s="6" t="s">
        <v>15</v>
      </c>
      <c r="B3802" s="6">
        <v>2023</v>
      </c>
      <c r="C3802" s="1" t="s">
        <v>43</v>
      </c>
      <c r="D3802" s="2" t="s">
        <v>131</v>
      </c>
      <c r="E3802" s="9" t="str">
        <f t="shared" si="866"/>
        <v>PNP'!</v>
      </c>
      <c r="F3802" s="5" t="str">
        <f t="shared" ref="F3802:F3822" si="874">_xlfn.CONCAT(D3802," ",E3802)</f>
        <v>C:\Users\jaime.benazar\Quorum Business Solutions\Ecopetrol Prometeo - Documents\Planning Space Implementation\3. Analysis &amp; Design\Design\FC22\DRR Jaime\Neiva CPI\[VAO_DINA TERCIARIOS_CF_SEC_20230117.xlsx]CF PNP'!</v>
      </c>
      <c r="G3802" s="6" t="s">
        <v>113</v>
      </c>
      <c r="H3802" s="1">
        <f>IF(A3802&lt;&gt;A3786,36,H3786+1)</f>
        <v>36</v>
      </c>
      <c r="I3802" s="1" t="str">
        <f t="shared" ref="I3802:I3822" si="875">_xlfn.CONCAT("='",F3802:H3802)</f>
        <v>='C:\Users\jaime.benazar\Quorum Business Solutions\Ecopetrol Prometeo - Documents\Planning Space Implementation\3. Analysis &amp; Design\Design\FC22\DRR Jaime\Neiva CPI\[VAO_DINA TERCIARIOS_CF_SEC_20230117.xlsx]CF PNP'!$BY$36</v>
      </c>
      <c r="J3802" s="1" t="s">
        <v>1834</v>
      </c>
    </row>
    <row r="3803" spans="1:10" x14ac:dyDescent="0.3">
      <c r="A3803" s="6" t="s">
        <v>15</v>
      </c>
      <c r="B3803" s="6">
        <f>+B3802+1</f>
        <v>2024</v>
      </c>
      <c r="C3803" s="1" t="s">
        <v>43</v>
      </c>
      <c r="D3803" s="2" t="s">
        <v>131</v>
      </c>
      <c r="E3803" s="9" t="str">
        <f t="shared" si="866"/>
        <v>PNP'!</v>
      </c>
      <c r="F3803" s="5" t="str">
        <f t="shared" si="874"/>
        <v>C:\Users\jaime.benazar\Quorum Business Solutions\Ecopetrol Prometeo - Documents\Planning Space Implementation\3. Analysis &amp; Design\Design\FC22\DRR Jaime\Neiva CPI\[VAO_DINA TERCIARIOS_CF_SEC_20230117.xlsx]CF PNP'!</v>
      </c>
      <c r="G3803" s="6" t="s">
        <v>113</v>
      </c>
      <c r="H3803" s="1">
        <f t="shared" ref="H3803:H3822" si="876">IF(A3803&lt;&gt;A3802,36,H3802+1)</f>
        <v>37</v>
      </c>
      <c r="I3803" s="1" t="str">
        <f t="shared" si="875"/>
        <v>='C:\Users\jaime.benazar\Quorum Business Solutions\Ecopetrol Prometeo - Documents\Planning Space Implementation\3. Analysis &amp; Design\Design\FC22\DRR Jaime\Neiva CPI\[VAO_DINA TERCIARIOS_CF_SEC_20230117.xlsx]CF PNP'!$BY$37</v>
      </c>
      <c r="J3803" s="1" t="s">
        <v>1835</v>
      </c>
    </row>
    <row r="3804" spans="1:10" x14ac:dyDescent="0.3">
      <c r="A3804" s="6" t="s">
        <v>15</v>
      </c>
      <c r="B3804" s="6">
        <f t="shared" ref="B3804:B3815" si="877">+B3803+1</f>
        <v>2025</v>
      </c>
      <c r="C3804" s="1" t="s">
        <v>43</v>
      </c>
      <c r="D3804" s="2" t="s">
        <v>131</v>
      </c>
      <c r="E3804" s="9" t="str">
        <f t="shared" si="866"/>
        <v>PNP'!</v>
      </c>
      <c r="F3804" s="5" t="str">
        <f t="shared" si="874"/>
        <v>C:\Users\jaime.benazar\Quorum Business Solutions\Ecopetrol Prometeo - Documents\Planning Space Implementation\3. Analysis &amp; Design\Design\FC22\DRR Jaime\Neiva CPI\[VAO_DINA TERCIARIOS_CF_SEC_20230117.xlsx]CF PNP'!</v>
      </c>
      <c r="G3804" s="6" t="s">
        <v>113</v>
      </c>
      <c r="H3804" s="1">
        <f t="shared" si="876"/>
        <v>38</v>
      </c>
      <c r="I3804" s="1" t="str">
        <f t="shared" si="875"/>
        <v>='C:\Users\jaime.benazar\Quorum Business Solutions\Ecopetrol Prometeo - Documents\Planning Space Implementation\3. Analysis &amp; Design\Design\FC22\DRR Jaime\Neiva CPI\[VAO_DINA TERCIARIOS_CF_SEC_20230117.xlsx]CF PNP'!$BY$38</v>
      </c>
      <c r="J3804" s="1" t="s">
        <v>1836</v>
      </c>
    </row>
    <row r="3805" spans="1:10" x14ac:dyDescent="0.3">
      <c r="A3805" s="6" t="s">
        <v>15</v>
      </c>
      <c r="B3805" s="6">
        <f t="shared" si="877"/>
        <v>2026</v>
      </c>
      <c r="C3805" s="1" t="s">
        <v>43</v>
      </c>
      <c r="D3805" s="2" t="s">
        <v>131</v>
      </c>
      <c r="E3805" s="9" t="str">
        <f t="shared" si="866"/>
        <v>PNP'!</v>
      </c>
      <c r="F3805" s="5" t="str">
        <f t="shared" si="874"/>
        <v>C:\Users\jaime.benazar\Quorum Business Solutions\Ecopetrol Prometeo - Documents\Planning Space Implementation\3. Analysis &amp; Design\Design\FC22\DRR Jaime\Neiva CPI\[VAO_DINA TERCIARIOS_CF_SEC_20230117.xlsx]CF PNP'!</v>
      </c>
      <c r="G3805" s="6" t="s">
        <v>113</v>
      </c>
      <c r="H3805" s="1">
        <f t="shared" si="876"/>
        <v>39</v>
      </c>
      <c r="I3805" s="1" t="str">
        <f t="shared" si="875"/>
        <v>='C:\Users\jaime.benazar\Quorum Business Solutions\Ecopetrol Prometeo - Documents\Planning Space Implementation\3. Analysis &amp; Design\Design\FC22\DRR Jaime\Neiva CPI\[VAO_DINA TERCIARIOS_CF_SEC_20230117.xlsx]CF PNP'!$BY$39</v>
      </c>
      <c r="J3805" s="1" t="s">
        <v>1837</v>
      </c>
    </row>
    <row r="3806" spans="1:10" x14ac:dyDescent="0.3">
      <c r="A3806" s="6" t="s">
        <v>15</v>
      </c>
      <c r="B3806" s="6">
        <f t="shared" si="877"/>
        <v>2027</v>
      </c>
      <c r="C3806" s="1" t="s">
        <v>43</v>
      </c>
      <c r="D3806" s="2" t="s">
        <v>131</v>
      </c>
      <c r="E3806" s="9" t="str">
        <f t="shared" si="866"/>
        <v>PNP'!</v>
      </c>
      <c r="F3806" s="5" t="str">
        <f t="shared" si="874"/>
        <v>C:\Users\jaime.benazar\Quorum Business Solutions\Ecopetrol Prometeo - Documents\Planning Space Implementation\3. Analysis &amp; Design\Design\FC22\DRR Jaime\Neiva CPI\[VAO_DINA TERCIARIOS_CF_SEC_20230117.xlsx]CF PNP'!</v>
      </c>
      <c r="G3806" s="6" t="s">
        <v>113</v>
      </c>
      <c r="H3806" s="1">
        <f t="shared" si="876"/>
        <v>40</v>
      </c>
      <c r="I3806" s="1" t="str">
        <f t="shared" si="875"/>
        <v>='C:\Users\jaime.benazar\Quorum Business Solutions\Ecopetrol Prometeo - Documents\Planning Space Implementation\3. Analysis &amp; Design\Design\FC22\DRR Jaime\Neiva CPI\[VAO_DINA TERCIARIOS_CF_SEC_20230117.xlsx]CF PNP'!$BY$40</v>
      </c>
      <c r="J3806" s="1" t="s">
        <v>1838</v>
      </c>
    </row>
    <row r="3807" spans="1:10" x14ac:dyDescent="0.3">
      <c r="A3807" s="6" t="s">
        <v>15</v>
      </c>
      <c r="B3807" s="6">
        <f t="shared" si="877"/>
        <v>2028</v>
      </c>
      <c r="C3807" s="1" t="s">
        <v>43</v>
      </c>
      <c r="D3807" s="2" t="s">
        <v>131</v>
      </c>
      <c r="E3807" s="9" t="str">
        <f t="shared" si="866"/>
        <v>PNP'!</v>
      </c>
      <c r="F3807" s="5" t="str">
        <f t="shared" si="874"/>
        <v>C:\Users\jaime.benazar\Quorum Business Solutions\Ecopetrol Prometeo - Documents\Planning Space Implementation\3. Analysis &amp; Design\Design\FC22\DRR Jaime\Neiva CPI\[VAO_DINA TERCIARIOS_CF_SEC_20230117.xlsx]CF PNP'!</v>
      </c>
      <c r="G3807" s="6" t="s">
        <v>113</v>
      </c>
      <c r="H3807" s="1">
        <f t="shared" si="876"/>
        <v>41</v>
      </c>
      <c r="I3807" s="1" t="str">
        <f t="shared" si="875"/>
        <v>='C:\Users\jaime.benazar\Quorum Business Solutions\Ecopetrol Prometeo - Documents\Planning Space Implementation\3. Analysis &amp; Design\Design\FC22\DRR Jaime\Neiva CPI\[VAO_DINA TERCIARIOS_CF_SEC_20230117.xlsx]CF PNP'!$BY$41</v>
      </c>
      <c r="J3807" s="1" t="s">
        <v>1839</v>
      </c>
    </row>
    <row r="3808" spans="1:10" x14ac:dyDescent="0.3">
      <c r="A3808" s="6" t="s">
        <v>15</v>
      </c>
      <c r="B3808" s="6">
        <f t="shared" si="877"/>
        <v>2029</v>
      </c>
      <c r="C3808" s="1" t="s">
        <v>43</v>
      </c>
      <c r="D3808" s="2" t="s">
        <v>131</v>
      </c>
      <c r="E3808" s="9" t="str">
        <f t="shared" si="866"/>
        <v>PNP'!</v>
      </c>
      <c r="F3808" s="5" t="str">
        <f t="shared" si="874"/>
        <v>C:\Users\jaime.benazar\Quorum Business Solutions\Ecopetrol Prometeo - Documents\Planning Space Implementation\3. Analysis &amp; Design\Design\FC22\DRR Jaime\Neiva CPI\[VAO_DINA TERCIARIOS_CF_SEC_20230117.xlsx]CF PNP'!</v>
      </c>
      <c r="G3808" s="6" t="s">
        <v>113</v>
      </c>
      <c r="H3808" s="1">
        <f t="shared" si="876"/>
        <v>42</v>
      </c>
      <c r="I3808" s="1" t="str">
        <f t="shared" si="875"/>
        <v>='C:\Users\jaime.benazar\Quorum Business Solutions\Ecopetrol Prometeo - Documents\Planning Space Implementation\3. Analysis &amp; Design\Design\FC22\DRR Jaime\Neiva CPI\[VAO_DINA TERCIARIOS_CF_SEC_20230117.xlsx]CF PNP'!$BY$42</v>
      </c>
      <c r="J3808" s="1" t="s">
        <v>1840</v>
      </c>
    </row>
    <row r="3809" spans="1:10" x14ac:dyDescent="0.3">
      <c r="A3809" s="6" t="s">
        <v>15</v>
      </c>
      <c r="B3809" s="6">
        <f t="shared" si="877"/>
        <v>2030</v>
      </c>
      <c r="C3809" s="1" t="s">
        <v>43</v>
      </c>
      <c r="D3809" s="2" t="s">
        <v>131</v>
      </c>
      <c r="E3809" s="9" t="str">
        <f t="shared" si="866"/>
        <v>PNP'!</v>
      </c>
      <c r="F3809" s="5" t="str">
        <f t="shared" si="874"/>
        <v>C:\Users\jaime.benazar\Quorum Business Solutions\Ecopetrol Prometeo - Documents\Planning Space Implementation\3. Analysis &amp; Design\Design\FC22\DRR Jaime\Neiva CPI\[VAO_DINA TERCIARIOS_CF_SEC_20230117.xlsx]CF PNP'!</v>
      </c>
      <c r="G3809" s="6" t="s">
        <v>113</v>
      </c>
      <c r="H3809" s="1">
        <f t="shared" si="876"/>
        <v>43</v>
      </c>
      <c r="I3809" s="1" t="str">
        <f t="shared" si="875"/>
        <v>='C:\Users\jaime.benazar\Quorum Business Solutions\Ecopetrol Prometeo - Documents\Planning Space Implementation\3. Analysis &amp; Design\Design\FC22\DRR Jaime\Neiva CPI\[VAO_DINA TERCIARIOS_CF_SEC_20230117.xlsx]CF PNP'!$BY$43</v>
      </c>
      <c r="J3809" s="1" t="s">
        <v>1841</v>
      </c>
    </row>
    <row r="3810" spans="1:10" x14ac:dyDescent="0.3">
      <c r="A3810" s="6" t="s">
        <v>15</v>
      </c>
      <c r="B3810" s="6">
        <f t="shared" si="877"/>
        <v>2031</v>
      </c>
      <c r="C3810" s="1" t="s">
        <v>43</v>
      </c>
      <c r="D3810" s="2" t="s">
        <v>131</v>
      </c>
      <c r="E3810" s="9" t="str">
        <f t="shared" si="866"/>
        <v>PNP'!</v>
      </c>
      <c r="F3810" s="5" t="str">
        <f t="shared" si="874"/>
        <v>C:\Users\jaime.benazar\Quorum Business Solutions\Ecopetrol Prometeo - Documents\Planning Space Implementation\3. Analysis &amp; Design\Design\FC22\DRR Jaime\Neiva CPI\[VAO_DINA TERCIARIOS_CF_SEC_20230117.xlsx]CF PNP'!</v>
      </c>
      <c r="G3810" s="6" t="s">
        <v>113</v>
      </c>
      <c r="H3810" s="1">
        <f t="shared" si="876"/>
        <v>44</v>
      </c>
      <c r="I3810" s="1" t="str">
        <f t="shared" si="875"/>
        <v>='C:\Users\jaime.benazar\Quorum Business Solutions\Ecopetrol Prometeo - Documents\Planning Space Implementation\3. Analysis &amp; Design\Design\FC22\DRR Jaime\Neiva CPI\[VAO_DINA TERCIARIOS_CF_SEC_20230117.xlsx]CF PNP'!$BY$44</v>
      </c>
      <c r="J3810" s="1" t="s">
        <v>1842</v>
      </c>
    </row>
    <row r="3811" spans="1:10" x14ac:dyDescent="0.3">
      <c r="A3811" s="6" t="s">
        <v>15</v>
      </c>
      <c r="B3811" s="6">
        <f t="shared" si="877"/>
        <v>2032</v>
      </c>
      <c r="C3811" s="1" t="s">
        <v>43</v>
      </c>
      <c r="D3811" s="2" t="s">
        <v>131</v>
      </c>
      <c r="E3811" s="9" t="str">
        <f t="shared" si="866"/>
        <v>PNP'!</v>
      </c>
      <c r="F3811" s="5" t="str">
        <f t="shared" si="874"/>
        <v>C:\Users\jaime.benazar\Quorum Business Solutions\Ecopetrol Prometeo - Documents\Planning Space Implementation\3. Analysis &amp; Design\Design\FC22\DRR Jaime\Neiva CPI\[VAO_DINA TERCIARIOS_CF_SEC_20230117.xlsx]CF PNP'!</v>
      </c>
      <c r="G3811" s="6" t="s">
        <v>113</v>
      </c>
      <c r="H3811" s="1">
        <f t="shared" si="876"/>
        <v>45</v>
      </c>
      <c r="I3811" s="1" t="str">
        <f t="shared" si="875"/>
        <v>='C:\Users\jaime.benazar\Quorum Business Solutions\Ecopetrol Prometeo - Documents\Planning Space Implementation\3. Analysis &amp; Design\Design\FC22\DRR Jaime\Neiva CPI\[VAO_DINA TERCIARIOS_CF_SEC_20230117.xlsx]CF PNP'!$BY$45</v>
      </c>
      <c r="J3811" s="1" t="s">
        <v>1843</v>
      </c>
    </row>
    <row r="3812" spans="1:10" x14ac:dyDescent="0.3">
      <c r="A3812" s="6" t="s">
        <v>15</v>
      </c>
      <c r="B3812" s="6">
        <f t="shared" si="877"/>
        <v>2033</v>
      </c>
      <c r="C3812" s="1" t="s">
        <v>43</v>
      </c>
      <c r="D3812" s="2" t="s">
        <v>131</v>
      </c>
      <c r="E3812" s="9" t="str">
        <f t="shared" si="866"/>
        <v>PNP'!</v>
      </c>
      <c r="F3812" s="5" t="str">
        <f t="shared" si="874"/>
        <v>C:\Users\jaime.benazar\Quorum Business Solutions\Ecopetrol Prometeo - Documents\Planning Space Implementation\3. Analysis &amp; Design\Design\FC22\DRR Jaime\Neiva CPI\[VAO_DINA TERCIARIOS_CF_SEC_20230117.xlsx]CF PNP'!</v>
      </c>
      <c r="G3812" s="6" t="s">
        <v>113</v>
      </c>
      <c r="H3812" s="1">
        <f t="shared" si="876"/>
        <v>46</v>
      </c>
      <c r="I3812" s="1" t="str">
        <f t="shared" si="875"/>
        <v>='C:\Users\jaime.benazar\Quorum Business Solutions\Ecopetrol Prometeo - Documents\Planning Space Implementation\3. Analysis &amp; Design\Design\FC22\DRR Jaime\Neiva CPI\[VAO_DINA TERCIARIOS_CF_SEC_20230117.xlsx]CF PNP'!$BY$46</v>
      </c>
      <c r="J3812" s="1" t="s">
        <v>1844</v>
      </c>
    </row>
    <row r="3813" spans="1:10" x14ac:dyDescent="0.3">
      <c r="A3813" s="6" t="s">
        <v>15</v>
      </c>
      <c r="B3813" s="6">
        <f t="shared" si="877"/>
        <v>2034</v>
      </c>
      <c r="C3813" s="1" t="s">
        <v>43</v>
      </c>
      <c r="D3813" s="2" t="s">
        <v>131</v>
      </c>
      <c r="E3813" s="9" t="str">
        <f t="shared" si="866"/>
        <v>PNP'!</v>
      </c>
      <c r="F3813" s="5" t="str">
        <f t="shared" si="874"/>
        <v>C:\Users\jaime.benazar\Quorum Business Solutions\Ecopetrol Prometeo - Documents\Planning Space Implementation\3. Analysis &amp; Design\Design\FC22\DRR Jaime\Neiva CPI\[VAO_DINA TERCIARIOS_CF_SEC_20230117.xlsx]CF PNP'!</v>
      </c>
      <c r="G3813" s="6" t="s">
        <v>113</v>
      </c>
      <c r="H3813" s="1">
        <f t="shared" si="876"/>
        <v>47</v>
      </c>
      <c r="I3813" s="1" t="str">
        <f t="shared" si="875"/>
        <v>='C:\Users\jaime.benazar\Quorum Business Solutions\Ecopetrol Prometeo - Documents\Planning Space Implementation\3. Analysis &amp; Design\Design\FC22\DRR Jaime\Neiva CPI\[VAO_DINA TERCIARIOS_CF_SEC_20230117.xlsx]CF PNP'!$BY$47</v>
      </c>
      <c r="J3813" s="1" t="s">
        <v>1845</v>
      </c>
    </row>
    <row r="3814" spans="1:10" x14ac:dyDescent="0.3">
      <c r="A3814" s="6" t="s">
        <v>15</v>
      </c>
      <c r="B3814" s="6">
        <f t="shared" si="877"/>
        <v>2035</v>
      </c>
      <c r="C3814" s="1" t="s">
        <v>43</v>
      </c>
      <c r="D3814" s="2" t="s">
        <v>131</v>
      </c>
      <c r="E3814" s="9" t="str">
        <f t="shared" si="866"/>
        <v>PNP'!</v>
      </c>
      <c r="F3814" s="5" t="str">
        <f t="shared" si="874"/>
        <v>C:\Users\jaime.benazar\Quorum Business Solutions\Ecopetrol Prometeo - Documents\Planning Space Implementation\3. Analysis &amp; Design\Design\FC22\DRR Jaime\Neiva CPI\[VAO_DINA TERCIARIOS_CF_SEC_20230117.xlsx]CF PNP'!</v>
      </c>
      <c r="G3814" s="6" t="s">
        <v>113</v>
      </c>
      <c r="H3814" s="1">
        <f t="shared" si="876"/>
        <v>48</v>
      </c>
      <c r="I3814" s="1" t="str">
        <f t="shared" si="875"/>
        <v>='C:\Users\jaime.benazar\Quorum Business Solutions\Ecopetrol Prometeo - Documents\Planning Space Implementation\3. Analysis &amp; Design\Design\FC22\DRR Jaime\Neiva CPI\[VAO_DINA TERCIARIOS_CF_SEC_20230117.xlsx]CF PNP'!$BY$48</v>
      </c>
      <c r="J3814" s="1" t="s">
        <v>1846</v>
      </c>
    </row>
    <row r="3815" spans="1:10" x14ac:dyDescent="0.3">
      <c r="A3815" s="6" t="s">
        <v>15</v>
      </c>
      <c r="B3815" s="6">
        <f t="shared" si="877"/>
        <v>2036</v>
      </c>
      <c r="C3815" s="1" t="s">
        <v>43</v>
      </c>
      <c r="D3815" s="2" t="s">
        <v>131</v>
      </c>
      <c r="E3815" s="9" t="str">
        <f t="shared" si="866"/>
        <v>PNP'!</v>
      </c>
      <c r="F3815" s="5" t="str">
        <f t="shared" si="874"/>
        <v>C:\Users\jaime.benazar\Quorum Business Solutions\Ecopetrol Prometeo - Documents\Planning Space Implementation\3. Analysis &amp; Design\Design\FC22\DRR Jaime\Neiva CPI\[VAO_DINA TERCIARIOS_CF_SEC_20230117.xlsx]CF PNP'!</v>
      </c>
      <c r="G3815" s="6" t="s">
        <v>113</v>
      </c>
      <c r="H3815" s="1">
        <f t="shared" si="876"/>
        <v>49</v>
      </c>
      <c r="I3815" s="1" t="str">
        <f t="shared" si="875"/>
        <v>='C:\Users\jaime.benazar\Quorum Business Solutions\Ecopetrol Prometeo - Documents\Planning Space Implementation\3. Analysis &amp; Design\Design\FC22\DRR Jaime\Neiva CPI\[VAO_DINA TERCIARIOS_CF_SEC_20230117.xlsx]CF PNP'!$BY$49</v>
      </c>
      <c r="J3815" s="1" t="s">
        <v>1847</v>
      </c>
    </row>
    <row r="3816" spans="1:10" x14ac:dyDescent="0.3">
      <c r="A3816" s="6" t="s">
        <v>15</v>
      </c>
      <c r="B3816" s="6">
        <f>+B3815+1</f>
        <v>2037</v>
      </c>
      <c r="C3816" s="1" t="s">
        <v>43</v>
      </c>
      <c r="D3816" s="2" t="s">
        <v>131</v>
      </c>
      <c r="E3816" s="9" t="str">
        <f t="shared" si="866"/>
        <v>PNP'!</v>
      </c>
      <c r="F3816" s="5" t="str">
        <f t="shared" si="874"/>
        <v>C:\Users\jaime.benazar\Quorum Business Solutions\Ecopetrol Prometeo - Documents\Planning Space Implementation\3. Analysis &amp; Design\Design\FC22\DRR Jaime\Neiva CPI\[VAO_DINA TERCIARIOS_CF_SEC_20230117.xlsx]CF PNP'!</v>
      </c>
      <c r="G3816" s="6" t="s">
        <v>113</v>
      </c>
      <c r="H3816" s="1">
        <f t="shared" si="876"/>
        <v>50</v>
      </c>
      <c r="I3816" s="1" t="str">
        <f t="shared" si="875"/>
        <v>='C:\Users\jaime.benazar\Quorum Business Solutions\Ecopetrol Prometeo - Documents\Planning Space Implementation\3. Analysis &amp; Design\Design\FC22\DRR Jaime\Neiva CPI\[VAO_DINA TERCIARIOS_CF_SEC_20230117.xlsx]CF PNP'!$BY$50</v>
      </c>
      <c r="J3816" s="1" t="s">
        <v>1848</v>
      </c>
    </row>
    <row r="3817" spans="1:10" x14ac:dyDescent="0.3">
      <c r="A3817" s="6" t="s">
        <v>15</v>
      </c>
      <c r="B3817" s="6">
        <f t="shared" ref="B3817:B3819" si="878">+B3816+1</f>
        <v>2038</v>
      </c>
      <c r="C3817" s="1" t="s">
        <v>43</v>
      </c>
      <c r="D3817" s="2" t="s">
        <v>131</v>
      </c>
      <c r="E3817" s="9" t="str">
        <f t="shared" si="866"/>
        <v>PNP'!</v>
      </c>
      <c r="F3817" s="5" t="str">
        <f t="shared" si="874"/>
        <v>C:\Users\jaime.benazar\Quorum Business Solutions\Ecopetrol Prometeo - Documents\Planning Space Implementation\3. Analysis &amp; Design\Design\FC22\DRR Jaime\Neiva CPI\[VAO_DINA TERCIARIOS_CF_SEC_20230117.xlsx]CF PNP'!</v>
      </c>
      <c r="G3817" s="6" t="s">
        <v>113</v>
      </c>
      <c r="H3817" s="1">
        <f t="shared" si="876"/>
        <v>51</v>
      </c>
      <c r="I3817" s="1" t="str">
        <f t="shared" si="875"/>
        <v>='C:\Users\jaime.benazar\Quorum Business Solutions\Ecopetrol Prometeo - Documents\Planning Space Implementation\3. Analysis &amp; Design\Design\FC22\DRR Jaime\Neiva CPI\[VAO_DINA TERCIARIOS_CF_SEC_20230117.xlsx]CF PNP'!$BY$51</v>
      </c>
      <c r="J3817" s="1" t="s">
        <v>1849</v>
      </c>
    </row>
    <row r="3818" spans="1:10" x14ac:dyDescent="0.3">
      <c r="A3818" s="6" t="s">
        <v>15</v>
      </c>
      <c r="B3818" s="6">
        <f t="shared" si="878"/>
        <v>2039</v>
      </c>
      <c r="C3818" s="1" t="s">
        <v>43</v>
      </c>
      <c r="D3818" s="2" t="s">
        <v>131</v>
      </c>
      <c r="E3818" s="9" t="str">
        <f t="shared" si="866"/>
        <v>PNP'!</v>
      </c>
      <c r="F3818" s="5" t="str">
        <f t="shared" si="874"/>
        <v>C:\Users\jaime.benazar\Quorum Business Solutions\Ecopetrol Prometeo - Documents\Planning Space Implementation\3. Analysis &amp; Design\Design\FC22\DRR Jaime\Neiva CPI\[VAO_DINA TERCIARIOS_CF_SEC_20230117.xlsx]CF PNP'!</v>
      </c>
      <c r="G3818" s="6" t="s">
        <v>113</v>
      </c>
      <c r="H3818" s="1">
        <f t="shared" si="876"/>
        <v>52</v>
      </c>
      <c r="I3818" s="1" t="str">
        <f t="shared" si="875"/>
        <v>='C:\Users\jaime.benazar\Quorum Business Solutions\Ecopetrol Prometeo - Documents\Planning Space Implementation\3. Analysis &amp; Design\Design\FC22\DRR Jaime\Neiva CPI\[VAO_DINA TERCIARIOS_CF_SEC_20230117.xlsx]CF PNP'!$BY$52</v>
      </c>
      <c r="J3818" s="1" t="s">
        <v>1850</v>
      </c>
    </row>
    <row r="3819" spans="1:10" x14ac:dyDescent="0.3">
      <c r="A3819" s="6" t="s">
        <v>15</v>
      </c>
      <c r="B3819" s="6">
        <f t="shared" si="878"/>
        <v>2040</v>
      </c>
      <c r="C3819" s="1" t="s">
        <v>43</v>
      </c>
      <c r="D3819" s="2" t="s">
        <v>131</v>
      </c>
      <c r="E3819" s="9" t="str">
        <f t="shared" si="866"/>
        <v>PNP'!</v>
      </c>
      <c r="F3819" s="5" t="str">
        <f t="shared" si="874"/>
        <v>C:\Users\jaime.benazar\Quorum Business Solutions\Ecopetrol Prometeo - Documents\Planning Space Implementation\3. Analysis &amp; Design\Design\FC22\DRR Jaime\Neiva CPI\[VAO_DINA TERCIARIOS_CF_SEC_20230117.xlsx]CF PNP'!</v>
      </c>
      <c r="G3819" s="6" t="s">
        <v>113</v>
      </c>
      <c r="H3819" s="1">
        <f t="shared" si="876"/>
        <v>53</v>
      </c>
      <c r="I3819" s="1" t="str">
        <f t="shared" si="875"/>
        <v>='C:\Users\jaime.benazar\Quorum Business Solutions\Ecopetrol Prometeo - Documents\Planning Space Implementation\3. Analysis &amp; Design\Design\FC22\DRR Jaime\Neiva CPI\[VAO_DINA TERCIARIOS_CF_SEC_20230117.xlsx]CF PNP'!$BY$53</v>
      </c>
      <c r="J3819" s="1" t="s">
        <v>1851</v>
      </c>
    </row>
    <row r="3820" spans="1:10" x14ac:dyDescent="0.3">
      <c r="A3820" s="6" t="s">
        <v>15</v>
      </c>
      <c r="B3820" s="6">
        <f>+B3819+1</f>
        <v>2041</v>
      </c>
      <c r="C3820" s="1" t="s">
        <v>43</v>
      </c>
      <c r="D3820" s="2" t="s">
        <v>131</v>
      </c>
      <c r="E3820" s="9" t="str">
        <f t="shared" si="866"/>
        <v>PNP'!</v>
      </c>
      <c r="F3820" s="5" t="str">
        <f t="shared" si="874"/>
        <v>C:\Users\jaime.benazar\Quorum Business Solutions\Ecopetrol Prometeo - Documents\Planning Space Implementation\3. Analysis &amp; Design\Design\FC22\DRR Jaime\Neiva CPI\[VAO_DINA TERCIARIOS_CF_SEC_20230117.xlsx]CF PNP'!</v>
      </c>
      <c r="G3820" s="6" t="s">
        <v>113</v>
      </c>
      <c r="H3820" s="1">
        <f t="shared" si="876"/>
        <v>54</v>
      </c>
      <c r="I3820" s="1" t="str">
        <f t="shared" si="875"/>
        <v>='C:\Users\jaime.benazar\Quorum Business Solutions\Ecopetrol Prometeo - Documents\Planning Space Implementation\3. Analysis &amp; Design\Design\FC22\DRR Jaime\Neiva CPI\[VAO_DINA TERCIARIOS_CF_SEC_20230117.xlsx]CF PNP'!$BY$54</v>
      </c>
      <c r="J3820" s="1" t="s">
        <v>1852</v>
      </c>
    </row>
    <row r="3821" spans="1:10" x14ac:dyDescent="0.3">
      <c r="A3821" s="6" t="s">
        <v>15</v>
      </c>
      <c r="B3821" s="6">
        <f t="shared" ref="B3821:B3822" si="879">+B3820+1</f>
        <v>2042</v>
      </c>
      <c r="C3821" s="1" t="s">
        <v>43</v>
      </c>
      <c r="D3821" s="2" t="s">
        <v>131</v>
      </c>
      <c r="E3821" s="9" t="str">
        <f t="shared" si="866"/>
        <v>PNP'!</v>
      </c>
      <c r="F3821" s="5" t="str">
        <f t="shared" si="874"/>
        <v>C:\Users\jaime.benazar\Quorum Business Solutions\Ecopetrol Prometeo - Documents\Planning Space Implementation\3. Analysis &amp; Design\Design\FC22\DRR Jaime\Neiva CPI\[VAO_DINA TERCIARIOS_CF_SEC_20230117.xlsx]CF PNP'!</v>
      </c>
      <c r="G3821" s="6" t="s">
        <v>113</v>
      </c>
      <c r="H3821" s="1">
        <f t="shared" si="876"/>
        <v>55</v>
      </c>
      <c r="I3821" s="1" t="str">
        <f t="shared" si="875"/>
        <v>='C:\Users\jaime.benazar\Quorum Business Solutions\Ecopetrol Prometeo - Documents\Planning Space Implementation\3. Analysis &amp; Design\Design\FC22\DRR Jaime\Neiva CPI\[VAO_DINA TERCIARIOS_CF_SEC_20230117.xlsx]CF PNP'!$BY$55</v>
      </c>
      <c r="J3821" s="1" t="s">
        <v>1853</v>
      </c>
    </row>
    <row r="3822" spans="1:10" x14ac:dyDescent="0.3">
      <c r="A3822" s="6" t="s">
        <v>15</v>
      </c>
      <c r="B3822" s="6">
        <f t="shared" si="879"/>
        <v>2043</v>
      </c>
      <c r="C3822" s="1" t="s">
        <v>43</v>
      </c>
      <c r="D3822" s="2" t="s">
        <v>131</v>
      </c>
      <c r="E3822" s="9" t="str">
        <f t="shared" si="866"/>
        <v>PNP'!</v>
      </c>
      <c r="F3822" s="5" t="str">
        <f t="shared" si="874"/>
        <v>C:\Users\jaime.benazar\Quorum Business Solutions\Ecopetrol Prometeo - Documents\Planning Space Implementation\3. Analysis &amp; Design\Design\FC22\DRR Jaime\Neiva CPI\[VAO_DINA TERCIARIOS_CF_SEC_20230117.xlsx]CF PNP'!</v>
      </c>
      <c r="G3822" s="6" t="s">
        <v>113</v>
      </c>
      <c r="H3822" s="1">
        <f t="shared" si="876"/>
        <v>56</v>
      </c>
      <c r="I3822" s="1" t="str">
        <f t="shared" si="875"/>
        <v>='C:\Users\jaime.benazar\Quorum Business Solutions\Ecopetrol Prometeo - Documents\Planning Space Implementation\3. Analysis &amp; Design\Design\FC22\DRR Jaime\Neiva CPI\[VAO_DINA TERCIARIOS_CF_SEC_20230117.xlsx]CF PNP'!$BY$56</v>
      </c>
      <c r="J3822" s="1" t="s">
        <v>1854</v>
      </c>
    </row>
    <row r="3823" spans="1:10" x14ac:dyDescent="0.3">
      <c r="A3823" s="6" t="s">
        <v>15</v>
      </c>
      <c r="B3823" s="6">
        <f>+B3822+1</f>
        <v>2044</v>
      </c>
      <c r="C3823" s="1" t="s">
        <v>43</v>
      </c>
      <c r="D3823" s="2" t="s">
        <v>131</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Jaime\Neiva CPI\[VAO_DINA TERCIARIOS_CF_SEC_20230117.xlsx]CF PNP'!</v>
      </c>
      <c r="G3823" s="6" t="s">
        <v>113</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Jaime\Neiva CPI\[VAO_DINA TERCIARIOS_CF_SEC_20230117.xlsx]CF PNP'!$BY$57</v>
      </c>
      <c r="J3823" s="1" t="s">
        <v>1855</v>
      </c>
    </row>
    <row r="3824" spans="1:10" x14ac:dyDescent="0.3">
      <c r="A3824" s="6" t="s">
        <v>15</v>
      </c>
      <c r="B3824" s="6">
        <f t="shared" ref="B3824:B3838" si="884">+B3823+1</f>
        <v>2045</v>
      </c>
      <c r="C3824" s="1" t="s">
        <v>43</v>
      </c>
      <c r="D3824" s="2" t="s">
        <v>131</v>
      </c>
      <c r="E3824" s="9" t="str">
        <f t="shared" si="880"/>
        <v>PNP'!</v>
      </c>
      <c r="F3824" s="5" t="str">
        <f t="shared" si="881"/>
        <v>C:\Users\jaime.benazar\Quorum Business Solutions\Ecopetrol Prometeo - Documents\Planning Space Implementation\3. Analysis &amp; Design\Design\FC22\DRR Jaime\Neiva CPI\[VAO_DINA TERCIARIOS_CF_SEC_20230117.xlsx]CF PNP'!</v>
      </c>
      <c r="G3824" s="6" t="s">
        <v>113</v>
      </c>
      <c r="H3824" s="1">
        <f t="shared" si="882"/>
        <v>58</v>
      </c>
      <c r="I3824" s="1" t="str">
        <f t="shared" si="883"/>
        <v>='C:\Users\jaime.benazar\Quorum Business Solutions\Ecopetrol Prometeo - Documents\Planning Space Implementation\3. Analysis &amp; Design\Design\FC22\DRR Jaime\Neiva CPI\[VAO_DINA TERCIARIOS_CF_SEC_20230117.xlsx]CF PNP'!$BY$58</v>
      </c>
      <c r="J3824" s="1" t="s">
        <v>1856</v>
      </c>
    </row>
    <row r="3825" spans="1:10" x14ac:dyDescent="0.3">
      <c r="A3825" s="6" t="s">
        <v>15</v>
      </c>
      <c r="B3825" s="6">
        <f t="shared" si="884"/>
        <v>2046</v>
      </c>
      <c r="C3825" s="1" t="s">
        <v>43</v>
      </c>
      <c r="D3825" s="2" t="s">
        <v>131</v>
      </c>
      <c r="E3825" s="9" t="str">
        <f t="shared" si="880"/>
        <v>PNP'!</v>
      </c>
      <c r="F3825" s="5" t="str">
        <f t="shared" si="881"/>
        <v>C:\Users\jaime.benazar\Quorum Business Solutions\Ecopetrol Prometeo - Documents\Planning Space Implementation\3. Analysis &amp; Design\Design\FC22\DRR Jaime\Neiva CPI\[VAO_DINA TERCIARIOS_CF_SEC_20230117.xlsx]CF PNP'!</v>
      </c>
      <c r="G3825" s="6" t="s">
        <v>113</v>
      </c>
      <c r="H3825" s="1">
        <f t="shared" si="882"/>
        <v>59</v>
      </c>
      <c r="I3825" s="1" t="str">
        <f t="shared" si="883"/>
        <v>='C:\Users\jaime.benazar\Quorum Business Solutions\Ecopetrol Prometeo - Documents\Planning Space Implementation\3. Analysis &amp; Design\Design\FC22\DRR Jaime\Neiva CPI\[VAO_DINA TERCIARIOS_CF_SEC_20230117.xlsx]CF PNP'!$BY$59</v>
      </c>
      <c r="J3825" s="1" t="s">
        <v>1857</v>
      </c>
    </row>
    <row r="3826" spans="1:10" x14ac:dyDescent="0.3">
      <c r="A3826" s="6" t="s">
        <v>15</v>
      </c>
      <c r="B3826" s="6">
        <f t="shared" si="884"/>
        <v>2047</v>
      </c>
      <c r="C3826" s="1" t="s">
        <v>43</v>
      </c>
      <c r="D3826" s="2" t="s">
        <v>131</v>
      </c>
      <c r="E3826" s="9" t="str">
        <f t="shared" si="880"/>
        <v>PNP'!</v>
      </c>
      <c r="F3826" s="5" t="str">
        <f t="shared" si="881"/>
        <v>C:\Users\jaime.benazar\Quorum Business Solutions\Ecopetrol Prometeo - Documents\Planning Space Implementation\3. Analysis &amp; Design\Design\FC22\DRR Jaime\Neiva CPI\[VAO_DINA TERCIARIOS_CF_SEC_20230117.xlsx]CF PNP'!</v>
      </c>
      <c r="G3826" s="6" t="s">
        <v>113</v>
      </c>
      <c r="H3826" s="1">
        <f t="shared" si="882"/>
        <v>60</v>
      </c>
      <c r="I3826" s="1" t="str">
        <f t="shared" si="883"/>
        <v>='C:\Users\jaime.benazar\Quorum Business Solutions\Ecopetrol Prometeo - Documents\Planning Space Implementation\3. Analysis &amp; Design\Design\FC22\DRR Jaime\Neiva CPI\[VAO_DINA TERCIARIOS_CF_SEC_20230117.xlsx]CF PNP'!$BY$60</v>
      </c>
      <c r="J3826" s="1" t="s">
        <v>1858</v>
      </c>
    </row>
    <row r="3827" spans="1:10" x14ac:dyDescent="0.3">
      <c r="A3827" s="6" t="s">
        <v>15</v>
      </c>
      <c r="B3827" s="6">
        <f t="shared" si="884"/>
        <v>2048</v>
      </c>
      <c r="C3827" s="1" t="s">
        <v>43</v>
      </c>
      <c r="D3827" s="2" t="s">
        <v>131</v>
      </c>
      <c r="E3827" s="9" t="str">
        <f t="shared" si="880"/>
        <v>PNP'!</v>
      </c>
      <c r="F3827" s="5" t="str">
        <f t="shared" si="881"/>
        <v>C:\Users\jaime.benazar\Quorum Business Solutions\Ecopetrol Prometeo - Documents\Planning Space Implementation\3. Analysis &amp; Design\Design\FC22\DRR Jaime\Neiva CPI\[VAO_DINA TERCIARIOS_CF_SEC_20230117.xlsx]CF PNP'!</v>
      </c>
      <c r="G3827" s="6" t="s">
        <v>113</v>
      </c>
      <c r="H3827" s="1">
        <f t="shared" si="882"/>
        <v>61</v>
      </c>
      <c r="I3827" s="1" t="str">
        <f t="shared" si="883"/>
        <v>='C:\Users\jaime.benazar\Quorum Business Solutions\Ecopetrol Prometeo - Documents\Planning Space Implementation\3. Analysis &amp; Design\Design\FC22\DRR Jaime\Neiva CPI\[VAO_DINA TERCIARIOS_CF_SEC_20230117.xlsx]CF PNP'!$BY$61</v>
      </c>
      <c r="J3827" s="1" t="s">
        <v>1859</v>
      </c>
    </row>
    <row r="3828" spans="1:10" x14ac:dyDescent="0.3">
      <c r="A3828" s="6" t="s">
        <v>15</v>
      </c>
      <c r="B3828" s="6">
        <f t="shared" si="884"/>
        <v>2049</v>
      </c>
      <c r="C3828" s="1" t="s">
        <v>43</v>
      </c>
      <c r="D3828" s="2" t="s">
        <v>131</v>
      </c>
      <c r="E3828" s="9" t="str">
        <f t="shared" si="880"/>
        <v>PNP'!</v>
      </c>
      <c r="F3828" s="5" t="str">
        <f t="shared" si="881"/>
        <v>C:\Users\jaime.benazar\Quorum Business Solutions\Ecopetrol Prometeo - Documents\Planning Space Implementation\3. Analysis &amp; Design\Design\FC22\DRR Jaime\Neiva CPI\[VAO_DINA TERCIARIOS_CF_SEC_20230117.xlsx]CF PNP'!</v>
      </c>
      <c r="G3828" s="6" t="s">
        <v>113</v>
      </c>
      <c r="H3828" s="1">
        <f t="shared" si="882"/>
        <v>62</v>
      </c>
      <c r="I3828" s="1" t="str">
        <f t="shared" si="883"/>
        <v>='C:\Users\jaime.benazar\Quorum Business Solutions\Ecopetrol Prometeo - Documents\Planning Space Implementation\3. Analysis &amp; Design\Design\FC22\DRR Jaime\Neiva CPI\[VAO_DINA TERCIARIOS_CF_SEC_20230117.xlsx]CF PNP'!$BY$62</v>
      </c>
      <c r="J3828" s="1" t="s">
        <v>1860</v>
      </c>
    </row>
    <row r="3829" spans="1:10" x14ac:dyDescent="0.3">
      <c r="A3829" s="6" t="s">
        <v>15</v>
      </c>
      <c r="B3829" s="6">
        <f t="shared" si="884"/>
        <v>2050</v>
      </c>
      <c r="C3829" s="1" t="s">
        <v>43</v>
      </c>
      <c r="D3829" s="2" t="s">
        <v>131</v>
      </c>
      <c r="E3829" s="9" t="str">
        <f t="shared" si="880"/>
        <v>PNP'!</v>
      </c>
      <c r="F3829" s="5" t="str">
        <f t="shared" si="881"/>
        <v>C:\Users\jaime.benazar\Quorum Business Solutions\Ecopetrol Prometeo - Documents\Planning Space Implementation\3. Analysis &amp; Design\Design\FC22\DRR Jaime\Neiva CPI\[VAO_DINA TERCIARIOS_CF_SEC_20230117.xlsx]CF PNP'!</v>
      </c>
      <c r="G3829" s="6" t="s">
        <v>113</v>
      </c>
      <c r="H3829" s="1">
        <f t="shared" si="882"/>
        <v>63</v>
      </c>
      <c r="I3829" s="1" t="str">
        <f t="shared" si="883"/>
        <v>='C:\Users\jaime.benazar\Quorum Business Solutions\Ecopetrol Prometeo - Documents\Planning Space Implementation\3. Analysis &amp; Design\Design\FC22\DRR Jaime\Neiva CPI\[VAO_DINA TERCIARIOS_CF_SEC_20230117.xlsx]CF PNP'!$BY$63</v>
      </c>
      <c r="J3829" s="1" t="s">
        <v>1861</v>
      </c>
    </row>
    <row r="3830" spans="1:10" x14ac:dyDescent="0.3">
      <c r="A3830" s="6" t="s">
        <v>15</v>
      </c>
      <c r="B3830" s="6">
        <f t="shared" si="884"/>
        <v>2051</v>
      </c>
      <c r="C3830" s="1" t="s">
        <v>43</v>
      </c>
      <c r="D3830" s="2" t="s">
        <v>131</v>
      </c>
      <c r="E3830" s="9" t="str">
        <f t="shared" si="880"/>
        <v>PNP'!</v>
      </c>
      <c r="F3830" s="5" t="str">
        <f t="shared" si="881"/>
        <v>C:\Users\jaime.benazar\Quorum Business Solutions\Ecopetrol Prometeo - Documents\Planning Space Implementation\3. Analysis &amp; Design\Design\FC22\DRR Jaime\Neiva CPI\[VAO_DINA TERCIARIOS_CF_SEC_20230117.xlsx]CF PNP'!</v>
      </c>
      <c r="G3830" s="6" t="s">
        <v>113</v>
      </c>
      <c r="H3830" s="1">
        <f t="shared" si="882"/>
        <v>64</v>
      </c>
      <c r="I3830" s="1" t="str">
        <f t="shared" si="883"/>
        <v>='C:\Users\jaime.benazar\Quorum Business Solutions\Ecopetrol Prometeo - Documents\Planning Space Implementation\3. Analysis &amp; Design\Design\FC22\DRR Jaime\Neiva CPI\[VAO_DINA TERCIARIOS_CF_SEC_20230117.xlsx]CF PNP'!$BY$64</v>
      </c>
      <c r="J3830" s="1" t="s">
        <v>1862</v>
      </c>
    </row>
    <row r="3831" spans="1:10" x14ac:dyDescent="0.3">
      <c r="A3831" s="6" t="s">
        <v>15</v>
      </c>
      <c r="B3831" s="6">
        <f t="shared" si="884"/>
        <v>2052</v>
      </c>
      <c r="C3831" s="1" t="s">
        <v>43</v>
      </c>
      <c r="D3831" s="2" t="s">
        <v>131</v>
      </c>
      <c r="E3831" s="9" t="str">
        <f t="shared" si="880"/>
        <v>PNP'!</v>
      </c>
      <c r="F3831" s="5" t="str">
        <f t="shared" si="881"/>
        <v>C:\Users\jaime.benazar\Quorum Business Solutions\Ecopetrol Prometeo - Documents\Planning Space Implementation\3. Analysis &amp; Design\Design\FC22\DRR Jaime\Neiva CPI\[VAO_DINA TERCIARIOS_CF_SEC_20230117.xlsx]CF PNP'!</v>
      </c>
      <c r="G3831" s="6" t="s">
        <v>113</v>
      </c>
      <c r="H3831" s="1">
        <f t="shared" si="882"/>
        <v>65</v>
      </c>
      <c r="I3831" s="1" t="str">
        <f t="shared" si="883"/>
        <v>='C:\Users\jaime.benazar\Quorum Business Solutions\Ecopetrol Prometeo - Documents\Planning Space Implementation\3. Analysis &amp; Design\Design\FC22\DRR Jaime\Neiva CPI\[VAO_DINA TERCIARIOS_CF_SEC_20230117.xlsx]CF PNP'!$BY$65</v>
      </c>
      <c r="J3831" s="1" t="s">
        <v>1863</v>
      </c>
    </row>
    <row r="3832" spans="1:10" x14ac:dyDescent="0.3">
      <c r="A3832" s="6" t="s">
        <v>15</v>
      </c>
      <c r="B3832" s="6">
        <f t="shared" si="884"/>
        <v>2053</v>
      </c>
      <c r="C3832" s="1" t="s">
        <v>43</v>
      </c>
      <c r="D3832" s="2" t="s">
        <v>131</v>
      </c>
      <c r="E3832" s="9" t="str">
        <f t="shared" si="880"/>
        <v>PNP'!</v>
      </c>
      <c r="F3832" s="5" t="str">
        <f t="shared" si="881"/>
        <v>C:\Users\jaime.benazar\Quorum Business Solutions\Ecopetrol Prometeo - Documents\Planning Space Implementation\3. Analysis &amp; Design\Design\FC22\DRR Jaime\Neiva CPI\[VAO_DINA TERCIARIOS_CF_SEC_20230117.xlsx]CF PNP'!</v>
      </c>
      <c r="G3832" s="6" t="s">
        <v>113</v>
      </c>
      <c r="H3832" s="1">
        <f t="shared" si="882"/>
        <v>66</v>
      </c>
      <c r="I3832" s="1" t="str">
        <f t="shared" si="883"/>
        <v>='C:\Users\jaime.benazar\Quorum Business Solutions\Ecopetrol Prometeo - Documents\Planning Space Implementation\3. Analysis &amp; Design\Design\FC22\DRR Jaime\Neiva CPI\[VAO_DINA TERCIARIOS_CF_SEC_20230117.xlsx]CF PNP'!$BY$66</v>
      </c>
      <c r="J3832" s="1" t="s">
        <v>1864</v>
      </c>
    </row>
    <row r="3833" spans="1:10" x14ac:dyDescent="0.3">
      <c r="A3833" s="6" t="s">
        <v>15</v>
      </c>
      <c r="B3833" s="6">
        <f t="shared" si="884"/>
        <v>2054</v>
      </c>
      <c r="C3833" s="1" t="s">
        <v>43</v>
      </c>
      <c r="D3833" s="2" t="s">
        <v>131</v>
      </c>
      <c r="E3833" s="9" t="str">
        <f t="shared" si="880"/>
        <v>PNP'!</v>
      </c>
      <c r="F3833" s="5" t="str">
        <f t="shared" si="881"/>
        <v>C:\Users\jaime.benazar\Quorum Business Solutions\Ecopetrol Prometeo - Documents\Planning Space Implementation\3. Analysis &amp; Design\Design\FC22\DRR Jaime\Neiva CPI\[VAO_DINA TERCIARIOS_CF_SEC_20230117.xlsx]CF PNP'!</v>
      </c>
      <c r="G3833" s="6" t="s">
        <v>113</v>
      </c>
      <c r="H3833" s="1">
        <f t="shared" si="882"/>
        <v>67</v>
      </c>
      <c r="I3833" s="1" t="str">
        <f t="shared" si="883"/>
        <v>='C:\Users\jaime.benazar\Quorum Business Solutions\Ecopetrol Prometeo - Documents\Planning Space Implementation\3. Analysis &amp; Design\Design\FC22\DRR Jaime\Neiva CPI\[VAO_DINA TERCIARIOS_CF_SEC_20230117.xlsx]CF PNP'!$BY$67</v>
      </c>
      <c r="J3833" s="1" t="s">
        <v>1865</v>
      </c>
    </row>
    <row r="3834" spans="1:10" x14ac:dyDescent="0.3">
      <c r="A3834" s="6" t="s">
        <v>15</v>
      </c>
      <c r="B3834" s="6">
        <f t="shared" si="884"/>
        <v>2055</v>
      </c>
      <c r="C3834" s="1" t="s">
        <v>43</v>
      </c>
      <c r="D3834" s="2" t="s">
        <v>131</v>
      </c>
      <c r="E3834" s="9" t="str">
        <f t="shared" si="880"/>
        <v>PNP'!</v>
      </c>
      <c r="F3834" s="5" t="str">
        <f t="shared" si="881"/>
        <v>C:\Users\jaime.benazar\Quorum Business Solutions\Ecopetrol Prometeo - Documents\Planning Space Implementation\3. Analysis &amp; Design\Design\FC22\DRR Jaime\Neiva CPI\[VAO_DINA TERCIARIOS_CF_SEC_20230117.xlsx]CF PNP'!</v>
      </c>
      <c r="G3834" s="6" t="s">
        <v>113</v>
      </c>
      <c r="H3834" s="1">
        <f t="shared" si="882"/>
        <v>68</v>
      </c>
      <c r="I3834" s="1" t="str">
        <f t="shared" si="883"/>
        <v>='C:\Users\jaime.benazar\Quorum Business Solutions\Ecopetrol Prometeo - Documents\Planning Space Implementation\3. Analysis &amp; Design\Design\FC22\DRR Jaime\Neiva CPI\[VAO_DINA TERCIARIOS_CF_SEC_20230117.xlsx]CF PNP'!$BY$68</v>
      </c>
      <c r="J3834" s="1" t="s">
        <v>1866</v>
      </c>
    </row>
    <row r="3835" spans="1:10" x14ac:dyDescent="0.3">
      <c r="A3835" s="6" t="s">
        <v>15</v>
      </c>
      <c r="B3835" s="6">
        <f t="shared" si="884"/>
        <v>2056</v>
      </c>
      <c r="C3835" s="1" t="s">
        <v>43</v>
      </c>
      <c r="D3835" s="2" t="s">
        <v>131</v>
      </c>
      <c r="E3835" s="9" t="str">
        <f t="shared" si="880"/>
        <v>PNP'!</v>
      </c>
      <c r="F3835" s="5" t="str">
        <f t="shared" si="881"/>
        <v>C:\Users\jaime.benazar\Quorum Business Solutions\Ecopetrol Prometeo - Documents\Planning Space Implementation\3. Analysis &amp; Design\Design\FC22\DRR Jaime\Neiva CPI\[VAO_DINA TERCIARIOS_CF_SEC_20230117.xlsx]CF PNP'!</v>
      </c>
      <c r="G3835" s="6" t="s">
        <v>113</v>
      </c>
      <c r="H3835" s="1">
        <f t="shared" si="882"/>
        <v>69</v>
      </c>
      <c r="I3835" s="1" t="str">
        <f t="shared" si="883"/>
        <v>='C:\Users\jaime.benazar\Quorum Business Solutions\Ecopetrol Prometeo - Documents\Planning Space Implementation\3. Analysis &amp; Design\Design\FC22\DRR Jaime\Neiva CPI\[VAO_DINA TERCIARIOS_CF_SEC_20230117.xlsx]CF PNP'!$BY$69</v>
      </c>
      <c r="J3835" s="1" t="s">
        <v>1867</v>
      </c>
    </row>
    <row r="3836" spans="1:10" x14ac:dyDescent="0.3">
      <c r="A3836" s="6" t="s">
        <v>15</v>
      </c>
      <c r="B3836" s="6">
        <f t="shared" si="884"/>
        <v>2057</v>
      </c>
      <c r="C3836" s="1" t="s">
        <v>43</v>
      </c>
      <c r="D3836" s="2" t="s">
        <v>131</v>
      </c>
      <c r="E3836" s="9" t="str">
        <f t="shared" si="880"/>
        <v>PNP'!</v>
      </c>
      <c r="F3836" s="5" t="str">
        <f t="shared" si="881"/>
        <v>C:\Users\jaime.benazar\Quorum Business Solutions\Ecopetrol Prometeo - Documents\Planning Space Implementation\3. Analysis &amp; Design\Design\FC22\DRR Jaime\Neiva CPI\[VAO_DINA TERCIARIOS_CF_SEC_20230117.xlsx]CF PNP'!</v>
      </c>
      <c r="G3836" s="6" t="s">
        <v>113</v>
      </c>
      <c r="H3836" s="1">
        <f t="shared" si="882"/>
        <v>70</v>
      </c>
      <c r="I3836" s="1" t="str">
        <f t="shared" si="883"/>
        <v>='C:\Users\jaime.benazar\Quorum Business Solutions\Ecopetrol Prometeo - Documents\Planning Space Implementation\3. Analysis &amp; Design\Design\FC22\DRR Jaime\Neiva CPI\[VAO_DINA TERCIARIOS_CF_SEC_20230117.xlsx]CF PNP'!$BY$70</v>
      </c>
      <c r="J3836" s="1" t="s">
        <v>1868</v>
      </c>
    </row>
    <row r="3837" spans="1:10" x14ac:dyDescent="0.3">
      <c r="A3837" s="6" t="s">
        <v>15</v>
      </c>
      <c r="B3837" s="6">
        <f t="shared" si="884"/>
        <v>2058</v>
      </c>
      <c r="C3837" s="1" t="s">
        <v>43</v>
      </c>
      <c r="D3837" s="2" t="s">
        <v>131</v>
      </c>
      <c r="E3837" s="9" t="str">
        <f t="shared" si="880"/>
        <v>PNP'!</v>
      </c>
      <c r="F3837" s="5" t="str">
        <f t="shared" si="881"/>
        <v>C:\Users\jaime.benazar\Quorum Business Solutions\Ecopetrol Prometeo - Documents\Planning Space Implementation\3. Analysis &amp; Design\Design\FC22\DRR Jaime\Neiva CPI\[VAO_DINA TERCIARIOS_CF_SEC_20230117.xlsx]CF PNP'!</v>
      </c>
      <c r="G3837" s="6" t="s">
        <v>113</v>
      </c>
      <c r="H3837" s="1">
        <f t="shared" si="882"/>
        <v>71</v>
      </c>
      <c r="I3837" s="1" t="str">
        <f t="shared" si="883"/>
        <v>='C:\Users\jaime.benazar\Quorum Business Solutions\Ecopetrol Prometeo - Documents\Planning Space Implementation\3. Analysis &amp; Design\Design\FC22\DRR Jaime\Neiva CPI\[VAO_DINA TERCIARIOS_CF_SEC_20230117.xlsx]CF PNP'!$BY$71</v>
      </c>
      <c r="J3837" s="1" t="s">
        <v>1869</v>
      </c>
    </row>
    <row r="3838" spans="1:10" x14ac:dyDescent="0.3">
      <c r="A3838" s="6" t="s">
        <v>15</v>
      </c>
      <c r="B3838" s="6">
        <f t="shared" si="884"/>
        <v>2059</v>
      </c>
      <c r="C3838" s="1" t="s">
        <v>43</v>
      </c>
      <c r="D3838" s="2" t="s">
        <v>131</v>
      </c>
      <c r="E3838" s="9" t="str">
        <f t="shared" si="880"/>
        <v>PNP'!</v>
      </c>
      <c r="F3838" s="5" t="str">
        <f t="shared" si="881"/>
        <v>C:\Users\jaime.benazar\Quorum Business Solutions\Ecopetrol Prometeo - Documents\Planning Space Implementation\3. Analysis &amp; Design\Design\FC22\DRR Jaime\Neiva CPI\[VAO_DINA TERCIARIOS_CF_SEC_20230117.xlsx]CF PNP'!</v>
      </c>
      <c r="G3838" s="6" t="s">
        <v>113</v>
      </c>
      <c r="H3838" s="1">
        <f t="shared" si="882"/>
        <v>72</v>
      </c>
      <c r="I3838" s="1" t="str">
        <f t="shared" si="883"/>
        <v>='C:\Users\jaime.benazar\Quorum Business Solutions\Ecopetrol Prometeo - Documents\Planning Space Implementation\3. Analysis &amp; Design\Design\FC22\DRR Jaime\Neiva CPI\[VAO_DINA TERCIARIOS_CF_SEC_20230117.xlsx]CF PNP'!$BY$72</v>
      </c>
      <c r="J3838" s="1" t="s">
        <v>1870</v>
      </c>
    </row>
    <row r="3839" spans="1:10" x14ac:dyDescent="0.3">
      <c r="A3839" s="6" t="s">
        <v>26</v>
      </c>
      <c r="B3839" s="6"/>
      <c r="C3839" s="1" t="s">
        <v>43</v>
      </c>
      <c r="D3839" s="2"/>
      <c r="E3839" s="9"/>
      <c r="F3839" s="2"/>
      <c r="G3839" s="6"/>
      <c r="H3839" s="1"/>
      <c r="I3839" s="1"/>
      <c r="J3839" s="4"/>
    </row>
    <row r="3840" spans="1:10" x14ac:dyDescent="0.3">
      <c r="A3840" s="6" t="s">
        <v>16</v>
      </c>
      <c r="B3840" s="6">
        <v>2023</v>
      </c>
      <c r="C3840" s="1" t="s">
        <v>43</v>
      </c>
      <c r="D3840" s="2" t="s">
        <v>131</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Jaime\Neiva CPI\[VAO_DINA TERCIARIOS_CF_SEC_20230117.xlsx]CF PND'!</v>
      </c>
      <c r="G3840" s="6" t="s">
        <v>113</v>
      </c>
      <c r="H3840" s="1">
        <f>IF(A3840&lt;&gt;A3824,36,H3824+1)</f>
        <v>36</v>
      </c>
      <c r="I3840" s="1" t="str">
        <f t="shared" ref="I3840:I3860" si="887">_xlfn.CONCAT("='",F3840:H3840)</f>
        <v>='C:\Users\jaime.benazar\Quorum Business Solutions\Ecopetrol Prometeo - Documents\Planning Space Implementation\3. Analysis &amp; Design\Design\FC22\DRR Jaime\Neiva CPI\[VAO_DINA TERCIARIOS_CF_SEC_20230117.xlsx]CF PND'!$BY$36</v>
      </c>
      <c r="J3840" s="1" t="s">
        <v>1871</v>
      </c>
    </row>
    <row r="3841" spans="1:10" x14ac:dyDescent="0.3">
      <c r="A3841" s="6" t="s">
        <v>16</v>
      </c>
      <c r="B3841" s="6">
        <f>+B3840+1</f>
        <v>2024</v>
      </c>
      <c r="C3841" s="1" t="s">
        <v>43</v>
      </c>
      <c r="D3841" s="2" t="s">
        <v>131</v>
      </c>
      <c r="E3841" s="9" t="str">
        <f t="shared" si="885"/>
        <v>PND'!</v>
      </c>
      <c r="F3841" s="5" t="str">
        <f t="shared" si="886"/>
        <v>C:\Users\jaime.benazar\Quorum Business Solutions\Ecopetrol Prometeo - Documents\Planning Space Implementation\3. Analysis &amp; Design\Design\FC22\DRR Jaime\Neiva CPI\[VAO_DINA TERCIARIOS_CF_SEC_20230117.xlsx]CF PND'!</v>
      </c>
      <c r="G3841" s="6" t="s">
        <v>113</v>
      </c>
      <c r="H3841" s="1">
        <f t="shared" ref="H3841:H3860" si="888">IF(A3841&lt;&gt;A3840,36,H3840+1)</f>
        <v>37</v>
      </c>
      <c r="I3841" s="1" t="str">
        <f t="shared" si="887"/>
        <v>='C:\Users\jaime.benazar\Quorum Business Solutions\Ecopetrol Prometeo - Documents\Planning Space Implementation\3. Analysis &amp; Design\Design\FC22\DRR Jaime\Neiva CPI\[VAO_DINA TERCIARIOS_CF_SEC_20230117.xlsx]CF PND'!$BY$37</v>
      </c>
      <c r="J3841" s="1" t="s">
        <v>1872</v>
      </c>
    </row>
    <row r="3842" spans="1:10" x14ac:dyDescent="0.3">
      <c r="A3842" s="6" t="s">
        <v>16</v>
      </c>
      <c r="B3842" s="6">
        <f t="shared" ref="B3842:B3853" si="889">+B3841+1</f>
        <v>2025</v>
      </c>
      <c r="C3842" s="1" t="s">
        <v>43</v>
      </c>
      <c r="D3842" s="2" t="s">
        <v>131</v>
      </c>
      <c r="E3842" s="9" t="str">
        <f t="shared" si="885"/>
        <v>PND'!</v>
      </c>
      <c r="F3842" s="5" t="str">
        <f t="shared" si="886"/>
        <v>C:\Users\jaime.benazar\Quorum Business Solutions\Ecopetrol Prometeo - Documents\Planning Space Implementation\3. Analysis &amp; Design\Design\FC22\DRR Jaime\Neiva CPI\[VAO_DINA TERCIARIOS_CF_SEC_20230117.xlsx]CF PND'!</v>
      </c>
      <c r="G3842" s="6" t="s">
        <v>113</v>
      </c>
      <c r="H3842" s="1">
        <f t="shared" si="888"/>
        <v>38</v>
      </c>
      <c r="I3842" s="1" t="str">
        <f t="shared" si="887"/>
        <v>='C:\Users\jaime.benazar\Quorum Business Solutions\Ecopetrol Prometeo - Documents\Planning Space Implementation\3. Analysis &amp; Design\Design\FC22\DRR Jaime\Neiva CPI\[VAO_DINA TERCIARIOS_CF_SEC_20230117.xlsx]CF PND'!$BY$38</v>
      </c>
      <c r="J3842" s="1" t="s">
        <v>1873</v>
      </c>
    </row>
    <row r="3843" spans="1:10" x14ac:dyDescent="0.3">
      <c r="A3843" s="6" t="s">
        <v>16</v>
      </c>
      <c r="B3843" s="6">
        <f t="shared" si="889"/>
        <v>2026</v>
      </c>
      <c r="C3843" s="1" t="s">
        <v>43</v>
      </c>
      <c r="D3843" s="2" t="s">
        <v>131</v>
      </c>
      <c r="E3843" s="9" t="str">
        <f t="shared" si="885"/>
        <v>PND'!</v>
      </c>
      <c r="F3843" s="5" t="str">
        <f t="shared" si="886"/>
        <v>C:\Users\jaime.benazar\Quorum Business Solutions\Ecopetrol Prometeo - Documents\Planning Space Implementation\3. Analysis &amp; Design\Design\FC22\DRR Jaime\Neiva CPI\[VAO_DINA TERCIARIOS_CF_SEC_20230117.xlsx]CF PND'!</v>
      </c>
      <c r="G3843" s="6" t="s">
        <v>113</v>
      </c>
      <c r="H3843" s="1">
        <f t="shared" si="888"/>
        <v>39</v>
      </c>
      <c r="I3843" s="1" t="str">
        <f t="shared" si="887"/>
        <v>='C:\Users\jaime.benazar\Quorum Business Solutions\Ecopetrol Prometeo - Documents\Planning Space Implementation\3. Analysis &amp; Design\Design\FC22\DRR Jaime\Neiva CPI\[VAO_DINA TERCIARIOS_CF_SEC_20230117.xlsx]CF PND'!$BY$39</v>
      </c>
      <c r="J3843" s="1" t="s">
        <v>1874</v>
      </c>
    </row>
    <row r="3844" spans="1:10" x14ac:dyDescent="0.3">
      <c r="A3844" s="6" t="s">
        <v>16</v>
      </c>
      <c r="B3844" s="6">
        <f t="shared" si="889"/>
        <v>2027</v>
      </c>
      <c r="C3844" s="1" t="s">
        <v>43</v>
      </c>
      <c r="D3844" s="2" t="s">
        <v>131</v>
      </c>
      <c r="E3844" s="9" t="str">
        <f t="shared" si="885"/>
        <v>PND'!</v>
      </c>
      <c r="F3844" s="5" t="str">
        <f t="shared" si="886"/>
        <v>C:\Users\jaime.benazar\Quorum Business Solutions\Ecopetrol Prometeo - Documents\Planning Space Implementation\3. Analysis &amp; Design\Design\FC22\DRR Jaime\Neiva CPI\[VAO_DINA TERCIARIOS_CF_SEC_20230117.xlsx]CF PND'!</v>
      </c>
      <c r="G3844" s="6" t="s">
        <v>113</v>
      </c>
      <c r="H3844" s="1">
        <f t="shared" si="888"/>
        <v>40</v>
      </c>
      <c r="I3844" s="1" t="str">
        <f t="shared" si="887"/>
        <v>='C:\Users\jaime.benazar\Quorum Business Solutions\Ecopetrol Prometeo - Documents\Planning Space Implementation\3. Analysis &amp; Design\Design\FC22\DRR Jaime\Neiva CPI\[VAO_DINA TERCIARIOS_CF_SEC_20230117.xlsx]CF PND'!$BY$40</v>
      </c>
      <c r="J3844" s="1" t="s">
        <v>1875</v>
      </c>
    </row>
    <row r="3845" spans="1:10" x14ac:dyDescent="0.3">
      <c r="A3845" s="6" t="s">
        <v>16</v>
      </c>
      <c r="B3845" s="6">
        <f t="shared" si="889"/>
        <v>2028</v>
      </c>
      <c r="C3845" s="1" t="s">
        <v>43</v>
      </c>
      <c r="D3845" s="2" t="s">
        <v>131</v>
      </c>
      <c r="E3845" s="9" t="str">
        <f t="shared" si="885"/>
        <v>PND'!</v>
      </c>
      <c r="F3845" s="5" t="str">
        <f t="shared" si="886"/>
        <v>C:\Users\jaime.benazar\Quorum Business Solutions\Ecopetrol Prometeo - Documents\Planning Space Implementation\3. Analysis &amp; Design\Design\FC22\DRR Jaime\Neiva CPI\[VAO_DINA TERCIARIOS_CF_SEC_20230117.xlsx]CF PND'!</v>
      </c>
      <c r="G3845" s="6" t="s">
        <v>113</v>
      </c>
      <c r="H3845" s="1">
        <f t="shared" si="888"/>
        <v>41</v>
      </c>
      <c r="I3845" s="1" t="str">
        <f t="shared" si="887"/>
        <v>='C:\Users\jaime.benazar\Quorum Business Solutions\Ecopetrol Prometeo - Documents\Planning Space Implementation\3. Analysis &amp; Design\Design\FC22\DRR Jaime\Neiva CPI\[VAO_DINA TERCIARIOS_CF_SEC_20230117.xlsx]CF PND'!$BY$41</v>
      </c>
      <c r="J3845" s="1" t="s">
        <v>1876</v>
      </c>
    </row>
    <row r="3846" spans="1:10" x14ac:dyDescent="0.3">
      <c r="A3846" s="6" t="s">
        <v>16</v>
      </c>
      <c r="B3846" s="6">
        <f t="shared" si="889"/>
        <v>2029</v>
      </c>
      <c r="C3846" s="1" t="s">
        <v>43</v>
      </c>
      <c r="D3846" s="2" t="s">
        <v>131</v>
      </c>
      <c r="E3846" s="9" t="str">
        <f t="shared" si="885"/>
        <v>PND'!</v>
      </c>
      <c r="F3846" s="5" t="str">
        <f t="shared" si="886"/>
        <v>C:\Users\jaime.benazar\Quorum Business Solutions\Ecopetrol Prometeo - Documents\Planning Space Implementation\3. Analysis &amp; Design\Design\FC22\DRR Jaime\Neiva CPI\[VAO_DINA TERCIARIOS_CF_SEC_20230117.xlsx]CF PND'!</v>
      </c>
      <c r="G3846" s="6" t="s">
        <v>113</v>
      </c>
      <c r="H3846" s="1">
        <f t="shared" si="888"/>
        <v>42</v>
      </c>
      <c r="I3846" s="1" t="str">
        <f t="shared" si="887"/>
        <v>='C:\Users\jaime.benazar\Quorum Business Solutions\Ecopetrol Prometeo - Documents\Planning Space Implementation\3. Analysis &amp; Design\Design\FC22\DRR Jaime\Neiva CPI\[VAO_DINA TERCIARIOS_CF_SEC_20230117.xlsx]CF PND'!$BY$42</v>
      </c>
      <c r="J3846" s="1" t="s">
        <v>1877</v>
      </c>
    </row>
    <row r="3847" spans="1:10" x14ac:dyDescent="0.3">
      <c r="A3847" s="6" t="s">
        <v>16</v>
      </c>
      <c r="B3847" s="6">
        <f t="shared" si="889"/>
        <v>2030</v>
      </c>
      <c r="C3847" s="1" t="s">
        <v>43</v>
      </c>
      <c r="D3847" s="2" t="s">
        <v>131</v>
      </c>
      <c r="E3847" s="9" t="str">
        <f t="shared" si="885"/>
        <v>PND'!</v>
      </c>
      <c r="F3847" s="5" t="str">
        <f t="shared" si="886"/>
        <v>C:\Users\jaime.benazar\Quorum Business Solutions\Ecopetrol Prometeo - Documents\Planning Space Implementation\3. Analysis &amp; Design\Design\FC22\DRR Jaime\Neiva CPI\[VAO_DINA TERCIARIOS_CF_SEC_20230117.xlsx]CF PND'!</v>
      </c>
      <c r="G3847" s="6" t="s">
        <v>113</v>
      </c>
      <c r="H3847" s="1">
        <f t="shared" si="888"/>
        <v>43</v>
      </c>
      <c r="I3847" s="1" t="str">
        <f t="shared" si="887"/>
        <v>='C:\Users\jaime.benazar\Quorum Business Solutions\Ecopetrol Prometeo - Documents\Planning Space Implementation\3. Analysis &amp; Design\Design\FC22\DRR Jaime\Neiva CPI\[VAO_DINA TERCIARIOS_CF_SEC_20230117.xlsx]CF PND'!$BY$43</v>
      </c>
      <c r="J3847" s="1" t="s">
        <v>1878</v>
      </c>
    </row>
    <row r="3848" spans="1:10" x14ac:dyDescent="0.3">
      <c r="A3848" s="6" t="s">
        <v>16</v>
      </c>
      <c r="B3848" s="6">
        <f t="shared" si="889"/>
        <v>2031</v>
      </c>
      <c r="C3848" s="1" t="s">
        <v>43</v>
      </c>
      <c r="D3848" s="2" t="s">
        <v>131</v>
      </c>
      <c r="E3848" s="9" t="str">
        <f t="shared" si="885"/>
        <v>PND'!</v>
      </c>
      <c r="F3848" s="5" t="str">
        <f t="shared" si="886"/>
        <v>C:\Users\jaime.benazar\Quorum Business Solutions\Ecopetrol Prometeo - Documents\Planning Space Implementation\3. Analysis &amp; Design\Design\FC22\DRR Jaime\Neiva CPI\[VAO_DINA TERCIARIOS_CF_SEC_20230117.xlsx]CF PND'!</v>
      </c>
      <c r="G3848" s="6" t="s">
        <v>113</v>
      </c>
      <c r="H3848" s="1">
        <f t="shared" si="888"/>
        <v>44</v>
      </c>
      <c r="I3848" s="1" t="str">
        <f t="shared" si="887"/>
        <v>='C:\Users\jaime.benazar\Quorum Business Solutions\Ecopetrol Prometeo - Documents\Planning Space Implementation\3. Analysis &amp; Design\Design\FC22\DRR Jaime\Neiva CPI\[VAO_DINA TERCIARIOS_CF_SEC_20230117.xlsx]CF PND'!$BY$44</v>
      </c>
      <c r="J3848" s="1" t="s">
        <v>1879</v>
      </c>
    </row>
    <row r="3849" spans="1:10" x14ac:dyDescent="0.3">
      <c r="A3849" s="6" t="s">
        <v>16</v>
      </c>
      <c r="B3849" s="6">
        <f t="shared" si="889"/>
        <v>2032</v>
      </c>
      <c r="C3849" s="1" t="s">
        <v>43</v>
      </c>
      <c r="D3849" s="2" t="s">
        <v>131</v>
      </c>
      <c r="E3849" s="9" t="str">
        <f t="shared" si="885"/>
        <v>PND'!</v>
      </c>
      <c r="F3849" s="5" t="str">
        <f t="shared" si="886"/>
        <v>C:\Users\jaime.benazar\Quorum Business Solutions\Ecopetrol Prometeo - Documents\Planning Space Implementation\3. Analysis &amp; Design\Design\FC22\DRR Jaime\Neiva CPI\[VAO_DINA TERCIARIOS_CF_SEC_20230117.xlsx]CF PND'!</v>
      </c>
      <c r="G3849" s="6" t="s">
        <v>113</v>
      </c>
      <c r="H3849" s="1">
        <f t="shared" si="888"/>
        <v>45</v>
      </c>
      <c r="I3849" s="1" t="str">
        <f t="shared" si="887"/>
        <v>='C:\Users\jaime.benazar\Quorum Business Solutions\Ecopetrol Prometeo - Documents\Planning Space Implementation\3. Analysis &amp; Design\Design\FC22\DRR Jaime\Neiva CPI\[VAO_DINA TERCIARIOS_CF_SEC_20230117.xlsx]CF PND'!$BY$45</v>
      </c>
      <c r="J3849" s="1" t="s">
        <v>1880</v>
      </c>
    </row>
    <row r="3850" spans="1:10" x14ac:dyDescent="0.3">
      <c r="A3850" s="6" t="s">
        <v>16</v>
      </c>
      <c r="B3850" s="6">
        <f t="shared" si="889"/>
        <v>2033</v>
      </c>
      <c r="C3850" s="1" t="s">
        <v>43</v>
      </c>
      <c r="D3850" s="2" t="s">
        <v>131</v>
      </c>
      <c r="E3850" s="9" t="str">
        <f t="shared" si="885"/>
        <v>PND'!</v>
      </c>
      <c r="F3850" s="5" t="str">
        <f t="shared" si="886"/>
        <v>C:\Users\jaime.benazar\Quorum Business Solutions\Ecopetrol Prometeo - Documents\Planning Space Implementation\3. Analysis &amp; Design\Design\FC22\DRR Jaime\Neiva CPI\[VAO_DINA TERCIARIOS_CF_SEC_20230117.xlsx]CF PND'!</v>
      </c>
      <c r="G3850" s="6" t="s">
        <v>113</v>
      </c>
      <c r="H3850" s="1">
        <f t="shared" si="888"/>
        <v>46</v>
      </c>
      <c r="I3850" s="1" t="str">
        <f t="shared" si="887"/>
        <v>='C:\Users\jaime.benazar\Quorum Business Solutions\Ecopetrol Prometeo - Documents\Planning Space Implementation\3. Analysis &amp; Design\Design\FC22\DRR Jaime\Neiva CPI\[VAO_DINA TERCIARIOS_CF_SEC_20230117.xlsx]CF PND'!$BY$46</v>
      </c>
      <c r="J3850" s="1" t="s">
        <v>1881</v>
      </c>
    </row>
    <row r="3851" spans="1:10" x14ac:dyDescent="0.3">
      <c r="A3851" s="6" t="s">
        <v>16</v>
      </c>
      <c r="B3851" s="6">
        <f t="shared" si="889"/>
        <v>2034</v>
      </c>
      <c r="C3851" s="1" t="s">
        <v>43</v>
      </c>
      <c r="D3851" s="2" t="s">
        <v>131</v>
      </c>
      <c r="E3851" s="9" t="str">
        <f t="shared" si="885"/>
        <v>PND'!</v>
      </c>
      <c r="F3851" s="5" t="str">
        <f t="shared" si="886"/>
        <v>C:\Users\jaime.benazar\Quorum Business Solutions\Ecopetrol Prometeo - Documents\Planning Space Implementation\3. Analysis &amp; Design\Design\FC22\DRR Jaime\Neiva CPI\[VAO_DINA TERCIARIOS_CF_SEC_20230117.xlsx]CF PND'!</v>
      </c>
      <c r="G3851" s="6" t="s">
        <v>113</v>
      </c>
      <c r="H3851" s="1">
        <f t="shared" si="888"/>
        <v>47</v>
      </c>
      <c r="I3851" s="1" t="str">
        <f t="shared" si="887"/>
        <v>='C:\Users\jaime.benazar\Quorum Business Solutions\Ecopetrol Prometeo - Documents\Planning Space Implementation\3. Analysis &amp; Design\Design\FC22\DRR Jaime\Neiva CPI\[VAO_DINA TERCIARIOS_CF_SEC_20230117.xlsx]CF PND'!$BY$47</v>
      </c>
      <c r="J3851" s="1" t="s">
        <v>1882</v>
      </c>
    </row>
    <row r="3852" spans="1:10" x14ac:dyDescent="0.3">
      <c r="A3852" s="6" t="s">
        <v>16</v>
      </c>
      <c r="B3852" s="6">
        <f t="shared" si="889"/>
        <v>2035</v>
      </c>
      <c r="C3852" s="1" t="s">
        <v>43</v>
      </c>
      <c r="D3852" s="2" t="s">
        <v>131</v>
      </c>
      <c r="E3852" s="9" t="str">
        <f t="shared" si="885"/>
        <v>PND'!</v>
      </c>
      <c r="F3852" s="5" t="str">
        <f t="shared" si="886"/>
        <v>C:\Users\jaime.benazar\Quorum Business Solutions\Ecopetrol Prometeo - Documents\Planning Space Implementation\3. Analysis &amp; Design\Design\FC22\DRR Jaime\Neiva CPI\[VAO_DINA TERCIARIOS_CF_SEC_20230117.xlsx]CF PND'!</v>
      </c>
      <c r="G3852" s="6" t="s">
        <v>113</v>
      </c>
      <c r="H3852" s="1">
        <f t="shared" si="888"/>
        <v>48</v>
      </c>
      <c r="I3852" s="1" t="str">
        <f t="shared" si="887"/>
        <v>='C:\Users\jaime.benazar\Quorum Business Solutions\Ecopetrol Prometeo - Documents\Planning Space Implementation\3. Analysis &amp; Design\Design\FC22\DRR Jaime\Neiva CPI\[VAO_DINA TERCIARIOS_CF_SEC_20230117.xlsx]CF PND'!$BY$48</v>
      </c>
      <c r="J3852" s="1" t="s">
        <v>1883</v>
      </c>
    </row>
    <row r="3853" spans="1:10" x14ac:dyDescent="0.3">
      <c r="A3853" s="6" t="s">
        <v>16</v>
      </c>
      <c r="B3853" s="6">
        <f t="shared" si="889"/>
        <v>2036</v>
      </c>
      <c r="C3853" s="1" t="s">
        <v>43</v>
      </c>
      <c r="D3853" s="2" t="s">
        <v>131</v>
      </c>
      <c r="E3853" s="9" t="str">
        <f t="shared" si="885"/>
        <v>PND'!</v>
      </c>
      <c r="F3853" s="5" t="str">
        <f t="shared" si="886"/>
        <v>C:\Users\jaime.benazar\Quorum Business Solutions\Ecopetrol Prometeo - Documents\Planning Space Implementation\3. Analysis &amp; Design\Design\FC22\DRR Jaime\Neiva CPI\[VAO_DINA TERCIARIOS_CF_SEC_20230117.xlsx]CF PND'!</v>
      </c>
      <c r="G3853" s="6" t="s">
        <v>113</v>
      </c>
      <c r="H3853" s="1">
        <f t="shared" si="888"/>
        <v>49</v>
      </c>
      <c r="I3853" s="1" t="str">
        <f t="shared" si="887"/>
        <v>='C:\Users\jaime.benazar\Quorum Business Solutions\Ecopetrol Prometeo - Documents\Planning Space Implementation\3. Analysis &amp; Design\Design\FC22\DRR Jaime\Neiva CPI\[VAO_DINA TERCIARIOS_CF_SEC_20230117.xlsx]CF PND'!$BY$49</v>
      </c>
      <c r="J3853" s="1" t="s">
        <v>1884</v>
      </c>
    </row>
    <row r="3854" spans="1:10" x14ac:dyDescent="0.3">
      <c r="A3854" s="6" t="s">
        <v>16</v>
      </c>
      <c r="B3854" s="6">
        <f>+B3853+1</f>
        <v>2037</v>
      </c>
      <c r="C3854" s="1" t="s">
        <v>43</v>
      </c>
      <c r="D3854" s="2" t="s">
        <v>131</v>
      </c>
      <c r="E3854" s="9" t="str">
        <f t="shared" si="885"/>
        <v>PND'!</v>
      </c>
      <c r="F3854" s="5" t="str">
        <f t="shared" si="886"/>
        <v>C:\Users\jaime.benazar\Quorum Business Solutions\Ecopetrol Prometeo - Documents\Planning Space Implementation\3. Analysis &amp; Design\Design\FC22\DRR Jaime\Neiva CPI\[VAO_DINA TERCIARIOS_CF_SEC_20230117.xlsx]CF PND'!</v>
      </c>
      <c r="G3854" s="6" t="s">
        <v>113</v>
      </c>
      <c r="H3854" s="1">
        <f t="shared" si="888"/>
        <v>50</v>
      </c>
      <c r="I3854" s="1" t="str">
        <f t="shared" si="887"/>
        <v>='C:\Users\jaime.benazar\Quorum Business Solutions\Ecopetrol Prometeo - Documents\Planning Space Implementation\3. Analysis &amp; Design\Design\FC22\DRR Jaime\Neiva CPI\[VAO_DINA TERCIARIOS_CF_SEC_20230117.xlsx]CF PND'!$BY$50</v>
      </c>
      <c r="J3854" s="1" t="s">
        <v>1885</v>
      </c>
    </row>
    <row r="3855" spans="1:10" x14ac:dyDescent="0.3">
      <c r="A3855" s="6" t="s">
        <v>16</v>
      </c>
      <c r="B3855" s="6">
        <f t="shared" ref="B3855:B3857" si="890">+B3854+1</f>
        <v>2038</v>
      </c>
      <c r="C3855" s="1" t="s">
        <v>43</v>
      </c>
      <c r="D3855" s="2" t="s">
        <v>131</v>
      </c>
      <c r="E3855" s="9" t="str">
        <f t="shared" si="885"/>
        <v>PND'!</v>
      </c>
      <c r="F3855" s="5" t="str">
        <f t="shared" si="886"/>
        <v>C:\Users\jaime.benazar\Quorum Business Solutions\Ecopetrol Prometeo - Documents\Planning Space Implementation\3. Analysis &amp; Design\Design\FC22\DRR Jaime\Neiva CPI\[VAO_DINA TERCIARIOS_CF_SEC_20230117.xlsx]CF PND'!</v>
      </c>
      <c r="G3855" s="6" t="s">
        <v>113</v>
      </c>
      <c r="H3855" s="1">
        <f t="shared" si="888"/>
        <v>51</v>
      </c>
      <c r="I3855" s="1" t="str">
        <f t="shared" si="887"/>
        <v>='C:\Users\jaime.benazar\Quorum Business Solutions\Ecopetrol Prometeo - Documents\Planning Space Implementation\3. Analysis &amp; Design\Design\FC22\DRR Jaime\Neiva CPI\[VAO_DINA TERCIARIOS_CF_SEC_20230117.xlsx]CF PND'!$BY$51</v>
      </c>
      <c r="J3855" s="1" t="s">
        <v>1886</v>
      </c>
    </row>
    <row r="3856" spans="1:10" x14ac:dyDescent="0.3">
      <c r="A3856" s="6" t="s">
        <v>16</v>
      </c>
      <c r="B3856" s="6">
        <f t="shared" si="890"/>
        <v>2039</v>
      </c>
      <c r="C3856" s="1" t="s">
        <v>43</v>
      </c>
      <c r="D3856" s="2" t="s">
        <v>131</v>
      </c>
      <c r="E3856" s="9" t="str">
        <f t="shared" si="885"/>
        <v>PND'!</v>
      </c>
      <c r="F3856" s="5" t="str">
        <f t="shared" si="886"/>
        <v>C:\Users\jaime.benazar\Quorum Business Solutions\Ecopetrol Prometeo - Documents\Planning Space Implementation\3. Analysis &amp; Design\Design\FC22\DRR Jaime\Neiva CPI\[VAO_DINA TERCIARIOS_CF_SEC_20230117.xlsx]CF PND'!</v>
      </c>
      <c r="G3856" s="6" t="s">
        <v>113</v>
      </c>
      <c r="H3856" s="1">
        <f t="shared" si="888"/>
        <v>52</v>
      </c>
      <c r="I3856" s="1" t="str">
        <f t="shared" si="887"/>
        <v>='C:\Users\jaime.benazar\Quorum Business Solutions\Ecopetrol Prometeo - Documents\Planning Space Implementation\3. Analysis &amp; Design\Design\FC22\DRR Jaime\Neiva CPI\[VAO_DINA TERCIARIOS_CF_SEC_20230117.xlsx]CF PND'!$BY$52</v>
      </c>
      <c r="J3856" s="1" t="s">
        <v>1887</v>
      </c>
    </row>
    <row r="3857" spans="1:10" x14ac:dyDescent="0.3">
      <c r="A3857" s="6" t="s">
        <v>16</v>
      </c>
      <c r="B3857" s="6">
        <f t="shared" si="890"/>
        <v>2040</v>
      </c>
      <c r="C3857" s="1" t="s">
        <v>43</v>
      </c>
      <c r="D3857" s="2" t="s">
        <v>131</v>
      </c>
      <c r="E3857" s="9" t="str">
        <f t="shared" si="885"/>
        <v>PND'!</v>
      </c>
      <c r="F3857" s="5" t="str">
        <f t="shared" si="886"/>
        <v>C:\Users\jaime.benazar\Quorum Business Solutions\Ecopetrol Prometeo - Documents\Planning Space Implementation\3. Analysis &amp; Design\Design\FC22\DRR Jaime\Neiva CPI\[VAO_DINA TERCIARIOS_CF_SEC_20230117.xlsx]CF PND'!</v>
      </c>
      <c r="G3857" s="6" t="s">
        <v>113</v>
      </c>
      <c r="H3857" s="1">
        <f t="shared" si="888"/>
        <v>53</v>
      </c>
      <c r="I3857" s="1" t="str">
        <f t="shared" si="887"/>
        <v>='C:\Users\jaime.benazar\Quorum Business Solutions\Ecopetrol Prometeo - Documents\Planning Space Implementation\3. Analysis &amp; Design\Design\FC22\DRR Jaime\Neiva CPI\[VAO_DINA TERCIARIOS_CF_SEC_20230117.xlsx]CF PND'!$BY$53</v>
      </c>
      <c r="J3857" s="1" t="s">
        <v>1888</v>
      </c>
    </row>
    <row r="3858" spans="1:10" x14ac:dyDescent="0.3">
      <c r="A3858" s="6" t="s">
        <v>16</v>
      </c>
      <c r="B3858" s="6">
        <f>+B3857+1</f>
        <v>2041</v>
      </c>
      <c r="C3858" s="1" t="s">
        <v>43</v>
      </c>
      <c r="D3858" s="2" t="s">
        <v>131</v>
      </c>
      <c r="E3858" s="9" t="str">
        <f t="shared" si="885"/>
        <v>PND'!</v>
      </c>
      <c r="F3858" s="5" t="str">
        <f t="shared" si="886"/>
        <v>C:\Users\jaime.benazar\Quorum Business Solutions\Ecopetrol Prometeo - Documents\Planning Space Implementation\3. Analysis &amp; Design\Design\FC22\DRR Jaime\Neiva CPI\[VAO_DINA TERCIARIOS_CF_SEC_20230117.xlsx]CF PND'!</v>
      </c>
      <c r="G3858" s="6" t="s">
        <v>113</v>
      </c>
      <c r="H3858" s="1">
        <f t="shared" si="888"/>
        <v>54</v>
      </c>
      <c r="I3858" s="1" t="str">
        <f t="shared" si="887"/>
        <v>='C:\Users\jaime.benazar\Quorum Business Solutions\Ecopetrol Prometeo - Documents\Planning Space Implementation\3. Analysis &amp; Design\Design\FC22\DRR Jaime\Neiva CPI\[VAO_DINA TERCIARIOS_CF_SEC_20230117.xlsx]CF PND'!$BY$54</v>
      </c>
      <c r="J3858" s="1" t="s">
        <v>1889</v>
      </c>
    </row>
    <row r="3859" spans="1:10" x14ac:dyDescent="0.3">
      <c r="A3859" s="6" t="s">
        <v>16</v>
      </c>
      <c r="B3859" s="6">
        <f t="shared" ref="B3859:B3860" si="891">+B3858+1</f>
        <v>2042</v>
      </c>
      <c r="C3859" s="1" t="s">
        <v>43</v>
      </c>
      <c r="D3859" s="2" t="s">
        <v>131</v>
      </c>
      <c r="E3859" s="9" t="str">
        <f t="shared" si="885"/>
        <v>PND'!</v>
      </c>
      <c r="F3859" s="5" t="str">
        <f t="shared" si="886"/>
        <v>C:\Users\jaime.benazar\Quorum Business Solutions\Ecopetrol Prometeo - Documents\Planning Space Implementation\3. Analysis &amp; Design\Design\FC22\DRR Jaime\Neiva CPI\[VAO_DINA TERCIARIOS_CF_SEC_20230117.xlsx]CF PND'!</v>
      </c>
      <c r="G3859" s="6" t="s">
        <v>113</v>
      </c>
      <c r="H3859" s="1">
        <f t="shared" si="888"/>
        <v>55</v>
      </c>
      <c r="I3859" s="1" t="str">
        <f t="shared" si="887"/>
        <v>='C:\Users\jaime.benazar\Quorum Business Solutions\Ecopetrol Prometeo - Documents\Planning Space Implementation\3. Analysis &amp; Design\Design\FC22\DRR Jaime\Neiva CPI\[VAO_DINA TERCIARIOS_CF_SEC_20230117.xlsx]CF PND'!$BY$55</v>
      </c>
      <c r="J3859" s="1" t="s">
        <v>1890</v>
      </c>
    </row>
    <row r="3860" spans="1:10" x14ac:dyDescent="0.3">
      <c r="A3860" s="6" t="s">
        <v>16</v>
      </c>
      <c r="B3860" s="6">
        <f t="shared" si="891"/>
        <v>2043</v>
      </c>
      <c r="C3860" s="1" t="s">
        <v>43</v>
      </c>
      <c r="D3860" s="2" t="s">
        <v>131</v>
      </c>
      <c r="E3860" s="9" t="str">
        <f t="shared" si="885"/>
        <v>PND'!</v>
      </c>
      <c r="F3860" s="5" t="str">
        <f t="shared" si="886"/>
        <v>C:\Users\jaime.benazar\Quorum Business Solutions\Ecopetrol Prometeo - Documents\Planning Space Implementation\3. Analysis &amp; Design\Design\FC22\DRR Jaime\Neiva CPI\[VAO_DINA TERCIARIOS_CF_SEC_20230117.xlsx]CF PND'!</v>
      </c>
      <c r="G3860" s="6" t="s">
        <v>113</v>
      </c>
      <c r="H3860" s="1">
        <f t="shared" si="888"/>
        <v>56</v>
      </c>
      <c r="I3860" s="1" t="str">
        <f t="shared" si="887"/>
        <v>='C:\Users\jaime.benazar\Quorum Business Solutions\Ecopetrol Prometeo - Documents\Planning Space Implementation\3. Analysis &amp; Design\Design\FC22\DRR Jaime\Neiva CPI\[VAO_DINA TERCIARIOS_CF_SEC_20230117.xlsx]CF PND'!$BY$56</v>
      </c>
      <c r="J3860" s="1" t="s">
        <v>1891</v>
      </c>
    </row>
    <row r="3861" spans="1:10" x14ac:dyDescent="0.3">
      <c r="A3861" s="6" t="s">
        <v>16</v>
      </c>
      <c r="B3861" s="6">
        <f>+B3860+1</f>
        <v>2044</v>
      </c>
      <c r="C3861" s="1" t="s">
        <v>43</v>
      </c>
      <c r="D3861" s="2" t="s">
        <v>131</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Jaime\Neiva CPI\[VAO_DINA TERCIARIOS_CF_SEC_20230117.xlsx]CF PND'!</v>
      </c>
      <c r="G3861" s="6" t="s">
        <v>113</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Jaime\Neiva CPI\[VAO_DINA TERCIARIOS_CF_SEC_20230117.xlsx]CF PND'!$BY$57</v>
      </c>
      <c r="J3861" s="1" t="s">
        <v>1892</v>
      </c>
    </row>
    <row r="3862" spans="1:10" x14ac:dyDescent="0.3">
      <c r="A3862" s="6" t="s">
        <v>16</v>
      </c>
      <c r="B3862" s="6">
        <f t="shared" ref="B3862:B3876" si="896">+B3861+1</f>
        <v>2045</v>
      </c>
      <c r="C3862" s="1" t="s">
        <v>43</v>
      </c>
      <c r="D3862" s="2" t="s">
        <v>131</v>
      </c>
      <c r="E3862" s="9" t="str">
        <f t="shared" si="892"/>
        <v>PND'!</v>
      </c>
      <c r="F3862" s="5" t="str">
        <f t="shared" si="893"/>
        <v>C:\Users\jaime.benazar\Quorum Business Solutions\Ecopetrol Prometeo - Documents\Planning Space Implementation\3. Analysis &amp; Design\Design\FC22\DRR Jaime\Neiva CPI\[VAO_DINA TERCIARIOS_CF_SEC_20230117.xlsx]CF PND'!</v>
      </c>
      <c r="G3862" s="6" t="s">
        <v>113</v>
      </c>
      <c r="H3862" s="1">
        <f t="shared" si="894"/>
        <v>58</v>
      </c>
      <c r="I3862" s="1" t="str">
        <f t="shared" si="895"/>
        <v>='C:\Users\jaime.benazar\Quorum Business Solutions\Ecopetrol Prometeo - Documents\Planning Space Implementation\3. Analysis &amp; Design\Design\FC22\DRR Jaime\Neiva CPI\[VAO_DINA TERCIARIOS_CF_SEC_20230117.xlsx]CF PND'!$BY$58</v>
      </c>
      <c r="J3862" s="1" t="s">
        <v>1893</v>
      </c>
    </row>
    <row r="3863" spans="1:10" x14ac:dyDescent="0.3">
      <c r="A3863" s="6" t="s">
        <v>16</v>
      </c>
      <c r="B3863" s="6">
        <f t="shared" si="896"/>
        <v>2046</v>
      </c>
      <c r="C3863" s="1" t="s">
        <v>43</v>
      </c>
      <c r="D3863" s="2" t="s">
        <v>131</v>
      </c>
      <c r="E3863" s="9" t="str">
        <f t="shared" si="892"/>
        <v>PND'!</v>
      </c>
      <c r="F3863" s="5" t="str">
        <f t="shared" si="893"/>
        <v>C:\Users\jaime.benazar\Quorum Business Solutions\Ecopetrol Prometeo - Documents\Planning Space Implementation\3. Analysis &amp; Design\Design\FC22\DRR Jaime\Neiva CPI\[VAO_DINA TERCIARIOS_CF_SEC_20230117.xlsx]CF PND'!</v>
      </c>
      <c r="G3863" s="6" t="s">
        <v>113</v>
      </c>
      <c r="H3863" s="1">
        <f t="shared" si="894"/>
        <v>59</v>
      </c>
      <c r="I3863" s="1" t="str">
        <f t="shared" si="895"/>
        <v>='C:\Users\jaime.benazar\Quorum Business Solutions\Ecopetrol Prometeo - Documents\Planning Space Implementation\3. Analysis &amp; Design\Design\FC22\DRR Jaime\Neiva CPI\[VAO_DINA TERCIARIOS_CF_SEC_20230117.xlsx]CF PND'!$BY$59</v>
      </c>
      <c r="J3863" s="1" t="s">
        <v>1894</v>
      </c>
    </row>
    <row r="3864" spans="1:10" x14ac:dyDescent="0.3">
      <c r="A3864" s="6" t="s">
        <v>16</v>
      </c>
      <c r="B3864" s="6">
        <f t="shared" si="896"/>
        <v>2047</v>
      </c>
      <c r="C3864" s="1" t="s">
        <v>43</v>
      </c>
      <c r="D3864" s="2" t="s">
        <v>131</v>
      </c>
      <c r="E3864" s="9" t="str">
        <f t="shared" si="892"/>
        <v>PND'!</v>
      </c>
      <c r="F3864" s="5" t="str">
        <f t="shared" si="893"/>
        <v>C:\Users\jaime.benazar\Quorum Business Solutions\Ecopetrol Prometeo - Documents\Planning Space Implementation\3. Analysis &amp; Design\Design\FC22\DRR Jaime\Neiva CPI\[VAO_DINA TERCIARIOS_CF_SEC_20230117.xlsx]CF PND'!</v>
      </c>
      <c r="G3864" s="6" t="s">
        <v>113</v>
      </c>
      <c r="H3864" s="1">
        <f t="shared" si="894"/>
        <v>60</v>
      </c>
      <c r="I3864" s="1" t="str">
        <f t="shared" si="895"/>
        <v>='C:\Users\jaime.benazar\Quorum Business Solutions\Ecopetrol Prometeo - Documents\Planning Space Implementation\3. Analysis &amp; Design\Design\FC22\DRR Jaime\Neiva CPI\[VAO_DINA TERCIARIOS_CF_SEC_20230117.xlsx]CF PND'!$BY$60</v>
      </c>
      <c r="J3864" s="1" t="s">
        <v>1895</v>
      </c>
    </row>
    <row r="3865" spans="1:10" x14ac:dyDescent="0.3">
      <c r="A3865" s="6" t="s">
        <v>16</v>
      </c>
      <c r="B3865" s="6">
        <f t="shared" si="896"/>
        <v>2048</v>
      </c>
      <c r="C3865" s="1" t="s">
        <v>43</v>
      </c>
      <c r="D3865" s="2" t="s">
        <v>131</v>
      </c>
      <c r="E3865" s="9" t="str">
        <f t="shared" si="892"/>
        <v>PND'!</v>
      </c>
      <c r="F3865" s="5" t="str">
        <f t="shared" si="893"/>
        <v>C:\Users\jaime.benazar\Quorum Business Solutions\Ecopetrol Prometeo - Documents\Planning Space Implementation\3. Analysis &amp; Design\Design\FC22\DRR Jaime\Neiva CPI\[VAO_DINA TERCIARIOS_CF_SEC_20230117.xlsx]CF PND'!</v>
      </c>
      <c r="G3865" s="6" t="s">
        <v>113</v>
      </c>
      <c r="H3865" s="1">
        <f t="shared" si="894"/>
        <v>61</v>
      </c>
      <c r="I3865" s="1" t="str">
        <f t="shared" si="895"/>
        <v>='C:\Users\jaime.benazar\Quorum Business Solutions\Ecopetrol Prometeo - Documents\Planning Space Implementation\3. Analysis &amp; Design\Design\FC22\DRR Jaime\Neiva CPI\[VAO_DINA TERCIARIOS_CF_SEC_20230117.xlsx]CF PND'!$BY$61</v>
      </c>
      <c r="J3865" s="1" t="s">
        <v>1896</v>
      </c>
    </row>
    <row r="3866" spans="1:10" x14ac:dyDescent="0.3">
      <c r="A3866" s="6" t="s">
        <v>16</v>
      </c>
      <c r="B3866" s="6">
        <f t="shared" si="896"/>
        <v>2049</v>
      </c>
      <c r="C3866" s="1" t="s">
        <v>43</v>
      </c>
      <c r="D3866" s="2" t="s">
        <v>131</v>
      </c>
      <c r="E3866" s="9" t="str">
        <f t="shared" si="892"/>
        <v>PND'!</v>
      </c>
      <c r="F3866" s="5" t="str">
        <f t="shared" si="893"/>
        <v>C:\Users\jaime.benazar\Quorum Business Solutions\Ecopetrol Prometeo - Documents\Planning Space Implementation\3. Analysis &amp; Design\Design\FC22\DRR Jaime\Neiva CPI\[VAO_DINA TERCIARIOS_CF_SEC_20230117.xlsx]CF PND'!</v>
      </c>
      <c r="G3866" s="6" t="s">
        <v>113</v>
      </c>
      <c r="H3866" s="1">
        <f t="shared" si="894"/>
        <v>62</v>
      </c>
      <c r="I3866" s="1" t="str">
        <f t="shared" si="895"/>
        <v>='C:\Users\jaime.benazar\Quorum Business Solutions\Ecopetrol Prometeo - Documents\Planning Space Implementation\3. Analysis &amp; Design\Design\FC22\DRR Jaime\Neiva CPI\[VAO_DINA TERCIARIOS_CF_SEC_20230117.xlsx]CF PND'!$BY$62</v>
      </c>
      <c r="J3866" s="1" t="s">
        <v>1897</v>
      </c>
    </row>
    <row r="3867" spans="1:10" x14ac:dyDescent="0.3">
      <c r="A3867" s="6" t="s">
        <v>16</v>
      </c>
      <c r="B3867" s="6">
        <f t="shared" si="896"/>
        <v>2050</v>
      </c>
      <c r="C3867" s="1" t="s">
        <v>43</v>
      </c>
      <c r="D3867" s="2" t="s">
        <v>131</v>
      </c>
      <c r="E3867" s="9" t="str">
        <f t="shared" si="892"/>
        <v>PND'!</v>
      </c>
      <c r="F3867" s="5" t="str">
        <f t="shared" si="893"/>
        <v>C:\Users\jaime.benazar\Quorum Business Solutions\Ecopetrol Prometeo - Documents\Planning Space Implementation\3. Analysis &amp; Design\Design\FC22\DRR Jaime\Neiva CPI\[VAO_DINA TERCIARIOS_CF_SEC_20230117.xlsx]CF PND'!</v>
      </c>
      <c r="G3867" s="6" t="s">
        <v>113</v>
      </c>
      <c r="H3867" s="1">
        <f t="shared" si="894"/>
        <v>63</v>
      </c>
      <c r="I3867" s="1" t="str">
        <f t="shared" si="895"/>
        <v>='C:\Users\jaime.benazar\Quorum Business Solutions\Ecopetrol Prometeo - Documents\Planning Space Implementation\3. Analysis &amp; Design\Design\FC22\DRR Jaime\Neiva CPI\[VAO_DINA TERCIARIOS_CF_SEC_20230117.xlsx]CF PND'!$BY$63</v>
      </c>
      <c r="J3867" s="1" t="s">
        <v>1898</v>
      </c>
    </row>
    <row r="3868" spans="1:10" x14ac:dyDescent="0.3">
      <c r="A3868" s="6" t="s">
        <v>16</v>
      </c>
      <c r="B3868" s="6">
        <f t="shared" si="896"/>
        <v>2051</v>
      </c>
      <c r="C3868" s="1" t="s">
        <v>43</v>
      </c>
      <c r="D3868" s="2" t="s">
        <v>131</v>
      </c>
      <c r="E3868" s="9" t="str">
        <f t="shared" si="892"/>
        <v>PND'!</v>
      </c>
      <c r="F3868" s="5" t="str">
        <f t="shared" si="893"/>
        <v>C:\Users\jaime.benazar\Quorum Business Solutions\Ecopetrol Prometeo - Documents\Planning Space Implementation\3. Analysis &amp; Design\Design\FC22\DRR Jaime\Neiva CPI\[VAO_DINA TERCIARIOS_CF_SEC_20230117.xlsx]CF PND'!</v>
      </c>
      <c r="G3868" s="6" t="s">
        <v>113</v>
      </c>
      <c r="H3868" s="1">
        <f t="shared" si="894"/>
        <v>64</v>
      </c>
      <c r="I3868" s="1" t="str">
        <f t="shared" si="895"/>
        <v>='C:\Users\jaime.benazar\Quorum Business Solutions\Ecopetrol Prometeo - Documents\Planning Space Implementation\3. Analysis &amp; Design\Design\FC22\DRR Jaime\Neiva CPI\[VAO_DINA TERCIARIOS_CF_SEC_20230117.xlsx]CF PND'!$BY$64</v>
      </c>
      <c r="J3868" s="1" t="s">
        <v>1899</v>
      </c>
    </row>
    <row r="3869" spans="1:10" x14ac:dyDescent="0.3">
      <c r="A3869" s="6" t="s">
        <v>16</v>
      </c>
      <c r="B3869" s="6">
        <f t="shared" si="896"/>
        <v>2052</v>
      </c>
      <c r="C3869" s="1" t="s">
        <v>43</v>
      </c>
      <c r="D3869" s="2" t="s">
        <v>131</v>
      </c>
      <c r="E3869" s="9" t="str">
        <f t="shared" si="892"/>
        <v>PND'!</v>
      </c>
      <c r="F3869" s="5" t="str">
        <f t="shared" si="893"/>
        <v>C:\Users\jaime.benazar\Quorum Business Solutions\Ecopetrol Prometeo - Documents\Planning Space Implementation\3. Analysis &amp; Design\Design\FC22\DRR Jaime\Neiva CPI\[VAO_DINA TERCIARIOS_CF_SEC_20230117.xlsx]CF PND'!</v>
      </c>
      <c r="G3869" s="6" t="s">
        <v>113</v>
      </c>
      <c r="H3869" s="1">
        <f t="shared" si="894"/>
        <v>65</v>
      </c>
      <c r="I3869" s="1" t="str">
        <f t="shared" si="895"/>
        <v>='C:\Users\jaime.benazar\Quorum Business Solutions\Ecopetrol Prometeo - Documents\Planning Space Implementation\3. Analysis &amp; Design\Design\FC22\DRR Jaime\Neiva CPI\[VAO_DINA TERCIARIOS_CF_SEC_20230117.xlsx]CF PND'!$BY$65</v>
      </c>
      <c r="J3869" s="1" t="s">
        <v>1900</v>
      </c>
    </row>
    <row r="3870" spans="1:10" x14ac:dyDescent="0.3">
      <c r="A3870" s="6" t="s">
        <v>16</v>
      </c>
      <c r="B3870" s="6">
        <f t="shared" si="896"/>
        <v>2053</v>
      </c>
      <c r="C3870" s="1" t="s">
        <v>43</v>
      </c>
      <c r="D3870" s="2" t="s">
        <v>131</v>
      </c>
      <c r="E3870" s="9" t="str">
        <f t="shared" si="892"/>
        <v>PND'!</v>
      </c>
      <c r="F3870" s="5" t="str">
        <f t="shared" si="893"/>
        <v>C:\Users\jaime.benazar\Quorum Business Solutions\Ecopetrol Prometeo - Documents\Planning Space Implementation\3. Analysis &amp; Design\Design\FC22\DRR Jaime\Neiva CPI\[VAO_DINA TERCIARIOS_CF_SEC_20230117.xlsx]CF PND'!</v>
      </c>
      <c r="G3870" s="6" t="s">
        <v>113</v>
      </c>
      <c r="H3870" s="1">
        <f t="shared" si="894"/>
        <v>66</v>
      </c>
      <c r="I3870" s="1" t="str">
        <f t="shared" si="895"/>
        <v>='C:\Users\jaime.benazar\Quorum Business Solutions\Ecopetrol Prometeo - Documents\Planning Space Implementation\3. Analysis &amp; Design\Design\FC22\DRR Jaime\Neiva CPI\[VAO_DINA TERCIARIOS_CF_SEC_20230117.xlsx]CF PND'!$BY$66</v>
      </c>
      <c r="J3870" s="1" t="s">
        <v>1901</v>
      </c>
    </row>
    <row r="3871" spans="1:10" x14ac:dyDescent="0.3">
      <c r="A3871" s="6" t="s">
        <v>16</v>
      </c>
      <c r="B3871" s="6">
        <f t="shared" si="896"/>
        <v>2054</v>
      </c>
      <c r="C3871" s="1" t="s">
        <v>43</v>
      </c>
      <c r="D3871" s="2" t="s">
        <v>131</v>
      </c>
      <c r="E3871" s="9" t="str">
        <f t="shared" si="892"/>
        <v>PND'!</v>
      </c>
      <c r="F3871" s="5" t="str">
        <f t="shared" si="893"/>
        <v>C:\Users\jaime.benazar\Quorum Business Solutions\Ecopetrol Prometeo - Documents\Planning Space Implementation\3. Analysis &amp; Design\Design\FC22\DRR Jaime\Neiva CPI\[VAO_DINA TERCIARIOS_CF_SEC_20230117.xlsx]CF PND'!</v>
      </c>
      <c r="G3871" s="6" t="s">
        <v>113</v>
      </c>
      <c r="H3871" s="1">
        <f t="shared" si="894"/>
        <v>67</v>
      </c>
      <c r="I3871" s="1" t="str">
        <f t="shared" si="895"/>
        <v>='C:\Users\jaime.benazar\Quorum Business Solutions\Ecopetrol Prometeo - Documents\Planning Space Implementation\3. Analysis &amp; Design\Design\FC22\DRR Jaime\Neiva CPI\[VAO_DINA TERCIARIOS_CF_SEC_20230117.xlsx]CF PND'!$BY$67</v>
      </c>
      <c r="J3871" s="1" t="s">
        <v>1902</v>
      </c>
    </row>
    <row r="3872" spans="1:10" x14ac:dyDescent="0.3">
      <c r="A3872" s="6" t="s">
        <v>16</v>
      </c>
      <c r="B3872" s="6">
        <f t="shared" si="896"/>
        <v>2055</v>
      </c>
      <c r="C3872" s="1" t="s">
        <v>43</v>
      </c>
      <c r="D3872" s="2" t="s">
        <v>131</v>
      </c>
      <c r="E3872" s="9" t="str">
        <f t="shared" si="892"/>
        <v>PND'!</v>
      </c>
      <c r="F3872" s="5" t="str">
        <f t="shared" si="893"/>
        <v>C:\Users\jaime.benazar\Quorum Business Solutions\Ecopetrol Prometeo - Documents\Planning Space Implementation\3. Analysis &amp; Design\Design\FC22\DRR Jaime\Neiva CPI\[VAO_DINA TERCIARIOS_CF_SEC_20230117.xlsx]CF PND'!</v>
      </c>
      <c r="G3872" s="6" t="s">
        <v>113</v>
      </c>
      <c r="H3872" s="1">
        <f t="shared" si="894"/>
        <v>68</v>
      </c>
      <c r="I3872" s="1" t="str">
        <f t="shared" si="895"/>
        <v>='C:\Users\jaime.benazar\Quorum Business Solutions\Ecopetrol Prometeo - Documents\Planning Space Implementation\3. Analysis &amp; Design\Design\FC22\DRR Jaime\Neiva CPI\[VAO_DINA TERCIARIOS_CF_SEC_20230117.xlsx]CF PND'!$BY$68</v>
      </c>
      <c r="J3872" s="1" t="s">
        <v>1903</v>
      </c>
    </row>
    <row r="3873" spans="1:10" x14ac:dyDescent="0.3">
      <c r="A3873" s="6" t="s">
        <v>16</v>
      </c>
      <c r="B3873" s="6">
        <f t="shared" si="896"/>
        <v>2056</v>
      </c>
      <c r="C3873" s="1" t="s">
        <v>43</v>
      </c>
      <c r="D3873" s="2" t="s">
        <v>131</v>
      </c>
      <c r="E3873" s="9" t="str">
        <f t="shared" si="892"/>
        <v>PND'!</v>
      </c>
      <c r="F3873" s="5" t="str">
        <f t="shared" si="893"/>
        <v>C:\Users\jaime.benazar\Quorum Business Solutions\Ecopetrol Prometeo - Documents\Planning Space Implementation\3. Analysis &amp; Design\Design\FC22\DRR Jaime\Neiva CPI\[VAO_DINA TERCIARIOS_CF_SEC_20230117.xlsx]CF PND'!</v>
      </c>
      <c r="G3873" s="6" t="s">
        <v>113</v>
      </c>
      <c r="H3873" s="1">
        <f t="shared" si="894"/>
        <v>69</v>
      </c>
      <c r="I3873" s="1" t="str">
        <f t="shared" si="895"/>
        <v>='C:\Users\jaime.benazar\Quorum Business Solutions\Ecopetrol Prometeo - Documents\Planning Space Implementation\3. Analysis &amp; Design\Design\FC22\DRR Jaime\Neiva CPI\[VAO_DINA TERCIARIOS_CF_SEC_20230117.xlsx]CF PND'!$BY$69</v>
      </c>
      <c r="J3873" s="1" t="s">
        <v>1904</v>
      </c>
    </row>
    <row r="3874" spans="1:10" x14ac:dyDescent="0.3">
      <c r="A3874" s="6" t="s">
        <v>16</v>
      </c>
      <c r="B3874" s="6">
        <f t="shared" si="896"/>
        <v>2057</v>
      </c>
      <c r="C3874" s="1" t="s">
        <v>43</v>
      </c>
      <c r="D3874" s="2" t="s">
        <v>131</v>
      </c>
      <c r="E3874" s="9" t="str">
        <f t="shared" si="892"/>
        <v>PND'!</v>
      </c>
      <c r="F3874" s="5" t="str">
        <f t="shared" si="893"/>
        <v>C:\Users\jaime.benazar\Quorum Business Solutions\Ecopetrol Prometeo - Documents\Planning Space Implementation\3. Analysis &amp; Design\Design\FC22\DRR Jaime\Neiva CPI\[VAO_DINA TERCIARIOS_CF_SEC_20230117.xlsx]CF PND'!</v>
      </c>
      <c r="G3874" s="6" t="s">
        <v>113</v>
      </c>
      <c r="H3874" s="1">
        <f t="shared" si="894"/>
        <v>70</v>
      </c>
      <c r="I3874" s="1" t="str">
        <f t="shared" si="895"/>
        <v>='C:\Users\jaime.benazar\Quorum Business Solutions\Ecopetrol Prometeo - Documents\Planning Space Implementation\3. Analysis &amp; Design\Design\FC22\DRR Jaime\Neiva CPI\[VAO_DINA TERCIARIOS_CF_SEC_20230117.xlsx]CF PND'!$BY$70</v>
      </c>
      <c r="J3874" s="1" t="s">
        <v>1905</v>
      </c>
    </row>
    <row r="3875" spans="1:10" x14ac:dyDescent="0.3">
      <c r="A3875" s="6" t="s">
        <v>16</v>
      </c>
      <c r="B3875" s="6">
        <f t="shared" si="896"/>
        <v>2058</v>
      </c>
      <c r="C3875" s="1" t="s">
        <v>43</v>
      </c>
      <c r="D3875" s="2" t="s">
        <v>131</v>
      </c>
      <c r="E3875" s="9" t="str">
        <f t="shared" si="892"/>
        <v>PND'!</v>
      </c>
      <c r="F3875" s="5" t="str">
        <f t="shared" si="893"/>
        <v>C:\Users\jaime.benazar\Quorum Business Solutions\Ecopetrol Prometeo - Documents\Planning Space Implementation\3. Analysis &amp; Design\Design\FC22\DRR Jaime\Neiva CPI\[VAO_DINA TERCIARIOS_CF_SEC_20230117.xlsx]CF PND'!</v>
      </c>
      <c r="G3875" s="6" t="s">
        <v>113</v>
      </c>
      <c r="H3875" s="1">
        <f t="shared" si="894"/>
        <v>71</v>
      </c>
      <c r="I3875" s="1" t="str">
        <f t="shared" si="895"/>
        <v>='C:\Users\jaime.benazar\Quorum Business Solutions\Ecopetrol Prometeo - Documents\Planning Space Implementation\3. Analysis &amp; Design\Design\FC22\DRR Jaime\Neiva CPI\[VAO_DINA TERCIARIOS_CF_SEC_20230117.xlsx]CF PND'!$BY$71</v>
      </c>
      <c r="J3875" s="1" t="s">
        <v>1906</v>
      </c>
    </row>
    <row r="3876" spans="1:10" x14ac:dyDescent="0.3">
      <c r="A3876" s="6" t="s">
        <v>16</v>
      </c>
      <c r="B3876" s="6">
        <f t="shared" si="896"/>
        <v>2059</v>
      </c>
      <c r="C3876" s="1" t="s">
        <v>43</v>
      </c>
      <c r="D3876" s="2" t="s">
        <v>131</v>
      </c>
      <c r="E3876" s="9" t="str">
        <f t="shared" si="892"/>
        <v>PND'!</v>
      </c>
      <c r="F3876" s="5" t="str">
        <f t="shared" si="893"/>
        <v>C:\Users\jaime.benazar\Quorum Business Solutions\Ecopetrol Prometeo - Documents\Planning Space Implementation\3. Analysis &amp; Design\Design\FC22\DRR Jaime\Neiva CPI\[VAO_DINA TERCIARIOS_CF_SEC_20230117.xlsx]CF PND'!</v>
      </c>
      <c r="G3876" s="6" t="s">
        <v>113</v>
      </c>
      <c r="H3876" s="1">
        <f t="shared" si="894"/>
        <v>72</v>
      </c>
      <c r="I3876" s="1" t="str">
        <f t="shared" si="895"/>
        <v>='C:\Users\jaime.benazar\Quorum Business Solutions\Ecopetrol Prometeo - Documents\Planning Space Implementation\3. Analysis &amp; Design\Design\FC22\DRR Jaime\Neiva CPI\[VAO_DINA TERCIARIOS_CF_SEC_20230117.xlsx]CF PND'!$BY$72</v>
      </c>
      <c r="J3876" s="1" t="s">
        <v>1907</v>
      </c>
    </row>
    <row r="3877" spans="1:10" x14ac:dyDescent="0.3">
      <c r="A3877" s="6" t="s">
        <v>26</v>
      </c>
      <c r="B3877" s="6"/>
      <c r="C3877" s="1" t="s">
        <v>43</v>
      </c>
      <c r="D3877" s="2"/>
      <c r="E3877" s="9"/>
      <c r="F3877" s="2"/>
      <c r="G3877" s="6"/>
      <c r="H3877" s="1"/>
      <c r="I3877" s="1"/>
      <c r="J3877" s="4"/>
    </row>
    <row r="3878" spans="1:10" x14ac:dyDescent="0.3">
      <c r="A3878" s="6" t="s">
        <v>17</v>
      </c>
      <c r="B3878" s="6">
        <v>2023</v>
      </c>
      <c r="C3878" s="1" t="s">
        <v>43</v>
      </c>
      <c r="D3878" s="2" t="s">
        <v>131</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Jaime\Neiva CPI\[VAO_DINA TERCIARIOS_CF_SEC_20230117.xlsx]CF PRBDP'!</v>
      </c>
      <c r="G3878" s="6" t="s">
        <v>113</v>
      </c>
      <c r="H3878" s="1"/>
      <c r="I3878" s="1"/>
      <c r="J3878" s="1"/>
    </row>
    <row r="3879" spans="1:10" x14ac:dyDescent="0.3">
      <c r="A3879" s="6" t="s">
        <v>17</v>
      </c>
      <c r="B3879" s="6">
        <f>+B3878+1</f>
        <v>2024</v>
      </c>
      <c r="C3879" s="1" t="s">
        <v>43</v>
      </c>
      <c r="D3879" s="2" t="s">
        <v>131</v>
      </c>
      <c r="E3879" s="9" t="str">
        <f t="shared" si="897"/>
        <v>PRBDP'!</v>
      </c>
      <c r="F3879" s="5" t="str">
        <f t="shared" si="898"/>
        <v>C:\Users\jaime.benazar\Quorum Business Solutions\Ecopetrol Prometeo - Documents\Planning Space Implementation\3. Analysis &amp; Design\Design\FC22\DRR Jaime\Neiva CPI\[VAO_DINA TERCIARIOS_CF_SEC_20230117.xlsx]CF PRBDP'!</v>
      </c>
      <c r="G3879" s="6" t="s">
        <v>113</v>
      </c>
      <c r="H3879" s="1"/>
      <c r="I3879" s="1"/>
      <c r="J3879" s="1"/>
    </row>
    <row r="3880" spans="1:10" x14ac:dyDescent="0.3">
      <c r="A3880" s="6" t="s">
        <v>17</v>
      </c>
      <c r="B3880" s="6">
        <f t="shared" ref="B3880:B3891" si="899">+B3879+1</f>
        <v>2025</v>
      </c>
      <c r="C3880" s="1" t="s">
        <v>43</v>
      </c>
      <c r="D3880" s="2" t="s">
        <v>131</v>
      </c>
      <c r="E3880" s="9" t="str">
        <f t="shared" si="897"/>
        <v>PRBDP'!</v>
      </c>
      <c r="F3880" s="5" t="str">
        <f t="shared" si="898"/>
        <v>C:\Users\jaime.benazar\Quorum Business Solutions\Ecopetrol Prometeo - Documents\Planning Space Implementation\3. Analysis &amp; Design\Design\FC22\DRR Jaime\Neiva CPI\[VAO_DINA TERCIARIOS_CF_SEC_20230117.xlsx]CF PRBDP'!</v>
      </c>
      <c r="G3880" s="6" t="s">
        <v>113</v>
      </c>
      <c r="H3880" s="1"/>
      <c r="I3880" s="1"/>
      <c r="J3880" s="1"/>
    </row>
    <row r="3881" spans="1:10" x14ac:dyDescent="0.3">
      <c r="A3881" s="6" t="s">
        <v>17</v>
      </c>
      <c r="B3881" s="6">
        <f t="shared" si="899"/>
        <v>2026</v>
      </c>
      <c r="C3881" s="1" t="s">
        <v>43</v>
      </c>
      <c r="D3881" s="2" t="s">
        <v>131</v>
      </c>
      <c r="E3881" s="9" t="str">
        <f t="shared" si="897"/>
        <v>PRBDP'!</v>
      </c>
      <c r="F3881" s="5" t="str">
        <f t="shared" si="898"/>
        <v>C:\Users\jaime.benazar\Quorum Business Solutions\Ecopetrol Prometeo - Documents\Planning Space Implementation\3. Analysis &amp; Design\Design\FC22\DRR Jaime\Neiva CPI\[VAO_DINA TERCIARIOS_CF_SEC_20230117.xlsx]CF PRBDP'!</v>
      </c>
      <c r="G3881" s="6" t="s">
        <v>113</v>
      </c>
      <c r="H3881" s="1"/>
      <c r="I3881" s="1"/>
      <c r="J3881" s="1"/>
    </row>
    <row r="3882" spans="1:10" x14ac:dyDescent="0.3">
      <c r="A3882" s="6" t="s">
        <v>17</v>
      </c>
      <c r="B3882" s="6">
        <f t="shared" si="899"/>
        <v>2027</v>
      </c>
      <c r="C3882" s="1" t="s">
        <v>43</v>
      </c>
      <c r="D3882" s="2" t="s">
        <v>131</v>
      </c>
      <c r="E3882" s="9" t="str">
        <f t="shared" si="897"/>
        <v>PRBDP'!</v>
      </c>
      <c r="F3882" s="5" t="str">
        <f t="shared" si="898"/>
        <v>C:\Users\jaime.benazar\Quorum Business Solutions\Ecopetrol Prometeo - Documents\Planning Space Implementation\3. Analysis &amp; Design\Design\FC22\DRR Jaime\Neiva CPI\[VAO_DINA TERCIARIOS_CF_SEC_20230117.xlsx]CF PRBDP'!</v>
      </c>
      <c r="G3882" s="6" t="s">
        <v>113</v>
      </c>
      <c r="H3882" s="1"/>
      <c r="I3882" s="1"/>
      <c r="J3882" s="1"/>
    </row>
    <row r="3883" spans="1:10" x14ac:dyDescent="0.3">
      <c r="A3883" s="6" t="s">
        <v>17</v>
      </c>
      <c r="B3883" s="6">
        <f t="shared" si="899"/>
        <v>2028</v>
      </c>
      <c r="C3883" s="1" t="s">
        <v>43</v>
      </c>
      <c r="D3883" s="2" t="s">
        <v>131</v>
      </c>
      <c r="E3883" s="9" t="str">
        <f t="shared" si="897"/>
        <v>PRBDP'!</v>
      </c>
      <c r="F3883" s="5" t="str">
        <f t="shared" si="898"/>
        <v>C:\Users\jaime.benazar\Quorum Business Solutions\Ecopetrol Prometeo - Documents\Planning Space Implementation\3. Analysis &amp; Design\Design\FC22\DRR Jaime\Neiva CPI\[VAO_DINA TERCIARIOS_CF_SEC_20230117.xlsx]CF PRBDP'!</v>
      </c>
      <c r="G3883" s="6" t="s">
        <v>113</v>
      </c>
      <c r="H3883" s="1"/>
      <c r="I3883" s="1"/>
      <c r="J3883" s="1"/>
    </row>
    <row r="3884" spans="1:10" x14ac:dyDescent="0.3">
      <c r="A3884" s="6" t="s">
        <v>17</v>
      </c>
      <c r="B3884" s="6">
        <f t="shared" si="899"/>
        <v>2029</v>
      </c>
      <c r="C3884" s="1" t="s">
        <v>43</v>
      </c>
      <c r="D3884" s="2" t="s">
        <v>131</v>
      </c>
      <c r="E3884" s="9" t="str">
        <f t="shared" si="897"/>
        <v>PRBDP'!</v>
      </c>
      <c r="F3884" s="5" t="str">
        <f t="shared" si="898"/>
        <v>C:\Users\jaime.benazar\Quorum Business Solutions\Ecopetrol Prometeo - Documents\Planning Space Implementation\3. Analysis &amp; Design\Design\FC22\DRR Jaime\Neiva CPI\[VAO_DINA TERCIARIOS_CF_SEC_20230117.xlsx]CF PRBDP'!</v>
      </c>
      <c r="G3884" s="6" t="s">
        <v>113</v>
      </c>
      <c r="H3884" s="1"/>
      <c r="I3884" s="1"/>
      <c r="J3884" s="1"/>
    </row>
    <row r="3885" spans="1:10" x14ac:dyDescent="0.3">
      <c r="A3885" s="6" t="s">
        <v>17</v>
      </c>
      <c r="B3885" s="6">
        <f t="shared" si="899"/>
        <v>2030</v>
      </c>
      <c r="C3885" s="1" t="s">
        <v>43</v>
      </c>
      <c r="D3885" s="2" t="s">
        <v>131</v>
      </c>
      <c r="E3885" s="9" t="str">
        <f t="shared" si="897"/>
        <v>PRBDP'!</v>
      </c>
      <c r="F3885" s="5" t="str">
        <f t="shared" si="898"/>
        <v>C:\Users\jaime.benazar\Quorum Business Solutions\Ecopetrol Prometeo - Documents\Planning Space Implementation\3. Analysis &amp; Design\Design\FC22\DRR Jaime\Neiva CPI\[VAO_DINA TERCIARIOS_CF_SEC_20230117.xlsx]CF PRBDP'!</v>
      </c>
      <c r="G3885" s="6" t="s">
        <v>113</v>
      </c>
      <c r="H3885" s="1"/>
      <c r="I3885" s="1"/>
      <c r="J3885" s="1"/>
    </row>
    <row r="3886" spans="1:10" x14ac:dyDescent="0.3">
      <c r="A3886" s="6" t="s">
        <v>17</v>
      </c>
      <c r="B3886" s="6">
        <f t="shared" si="899"/>
        <v>2031</v>
      </c>
      <c r="C3886" s="1" t="s">
        <v>43</v>
      </c>
      <c r="D3886" s="2" t="s">
        <v>131</v>
      </c>
      <c r="E3886" s="9" t="str">
        <f t="shared" si="897"/>
        <v>PRBDP'!</v>
      </c>
      <c r="F3886" s="5" t="str">
        <f t="shared" si="898"/>
        <v>C:\Users\jaime.benazar\Quorum Business Solutions\Ecopetrol Prometeo - Documents\Planning Space Implementation\3. Analysis &amp; Design\Design\FC22\DRR Jaime\Neiva CPI\[VAO_DINA TERCIARIOS_CF_SEC_20230117.xlsx]CF PRBDP'!</v>
      </c>
      <c r="G3886" s="6" t="s">
        <v>113</v>
      </c>
      <c r="H3886" s="1"/>
      <c r="I3886" s="1"/>
      <c r="J3886" s="1"/>
    </row>
    <row r="3887" spans="1:10" x14ac:dyDescent="0.3">
      <c r="A3887" s="6" t="s">
        <v>17</v>
      </c>
      <c r="B3887" s="6">
        <f t="shared" si="899"/>
        <v>2032</v>
      </c>
      <c r="C3887" s="1" t="s">
        <v>43</v>
      </c>
      <c r="D3887" s="2" t="s">
        <v>131</v>
      </c>
      <c r="E3887" s="9" t="str">
        <f t="shared" si="897"/>
        <v>PRBDP'!</v>
      </c>
      <c r="F3887" s="5" t="str">
        <f t="shared" si="898"/>
        <v>C:\Users\jaime.benazar\Quorum Business Solutions\Ecopetrol Prometeo - Documents\Planning Space Implementation\3. Analysis &amp; Design\Design\FC22\DRR Jaime\Neiva CPI\[VAO_DINA TERCIARIOS_CF_SEC_20230117.xlsx]CF PRBDP'!</v>
      </c>
      <c r="G3887" s="6" t="s">
        <v>113</v>
      </c>
      <c r="H3887" s="1"/>
      <c r="I3887" s="1"/>
      <c r="J3887" s="1"/>
    </row>
    <row r="3888" spans="1:10" x14ac:dyDescent="0.3">
      <c r="A3888" s="6" t="s">
        <v>17</v>
      </c>
      <c r="B3888" s="6">
        <f t="shared" si="899"/>
        <v>2033</v>
      </c>
      <c r="C3888" s="1" t="s">
        <v>43</v>
      </c>
      <c r="D3888" s="2" t="s">
        <v>131</v>
      </c>
      <c r="E3888" s="9" t="str">
        <f t="shared" si="897"/>
        <v>PRBDP'!</v>
      </c>
      <c r="F3888" s="5" t="str">
        <f t="shared" si="898"/>
        <v>C:\Users\jaime.benazar\Quorum Business Solutions\Ecopetrol Prometeo - Documents\Planning Space Implementation\3. Analysis &amp; Design\Design\FC22\DRR Jaime\Neiva CPI\[VAO_DINA TERCIARIOS_CF_SEC_20230117.xlsx]CF PRBDP'!</v>
      </c>
      <c r="G3888" s="6" t="s">
        <v>113</v>
      </c>
      <c r="H3888" s="1"/>
      <c r="I3888" s="1"/>
      <c r="J3888" s="1"/>
    </row>
    <row r="3889" spans="1:10" x14ac:dyDescent="0.3">
      <c r="A3889" s="6" t="s">
        <v>17</v>
      </c>
      <c r="B3889" s="6">
        <f t="shared" si="899"/>
        <v>2034</v>
      </c>
      <c r="C3889" s="1" t="s">
        <v>43</v>
      </c>
      <c r="D3889" s="2" t="s">
        <v>131</v>
      </c>
      <c r="E3889" s="9" t="str">
        <f t="shared" si="897"/>
        <v>PRBDP'!</v>
      </c>
      <c r="F3889" s="5" t="str">
        <f t="shared" si="898"/>
        <v>C:\Users\jaime.benazar\Quorum Business Solutions\Ecopetrol Prometeo - Documents\Planning Space Implementation\3. Analysis &amp; Design\Design\FC22\DRR Jaime\Neiva CPI\[VAO_DINA TERCIARIOS_CF_SEC_20230117.xlsx]CF PRBDP'!</v>
      </c>
      <c r="G3889" s="6" t="s">
        <v>113</v>
      </c>
      <c r="H3889" s="1"/>
      <c r="I3889" s="1"/>
      <c r="J3889" s="1"/>
    </row>
    <row r="3890" spans="1:10" x14ac:dyDescent="0.3">
      <c r="A3890" s="6" t="s">
        <v>17</v>
      </c>
      <c r="B3890" s="6">
        <f t="shared" si="899"/>
        <v>2035</v>
      </c>
      <c r="C3890" s="1" t="s">
        <v>43</v>
      </c>
      <c r="D3890" s="2" t="s">
        <v>131</v>
      </c>
      <c r="E3890" s="9" t="str">
        <f t="shared" si="897"/>
        <v>PRBDP'!</v>
      </c>
      <c r="F3890" s="5" t="str">
        <f t="shared" si="898"/>
        <v>C:\Users\jaime.benazar\Quorum Business Solutions\Ecopetrol Prometeo - Documents\Planning Space Implementation\3. Analysis &amp; Design\Design\FC22\DRR Jaime\Neiva CPI\[VAO_DINA TERCIARIOS_CF_SEC_20230117.xlsx]CF PRBDP'!</v>
      </c>
      <c r="G3890" s="6" t="s">
        <v>113</v>
      </c>
      <c r="H3890" s="1"/>
      <c r="I3890" s="1"/>
      <c r="J3890" s="1"/>
    </row>
    <row r="3891" spans="1:10" x14ac:dyDescent="0.3">
      <c r="A3891" s="6" t="s">
        <v>17</v>
      </c>
      <c r="B3891" s="6">
        <f t="shared" si="899"/>
        <v>2036</v>
      </c>
      <c r="C3891" s="1" t="s">
        <v>43</v>
      </c>
      <c r="D3891" s="2" t="s">
        <v>131</v>
      </c>
      <c r="E3891" s="9" t="str">
        <f t="shared" si="897"/>
        <v>PRBDP'!</v>
      </c>
      <c r="F3891" s="5" t="str">
        <f t="shared" si="898"/>
        <v>C:\Users\jaime.benazar\Quorum Business Solutions\Ecopetrol Prometeo - Documents\Planning Space Implementation\3. Analysis &amp; Design\Design\FC22\DRR Jaime\Neiva CPI\[VAO_DINA TERCIARIOS_CF_SEC_20230117.xlsx]CF PRBDP'!</v>
      </c>
      <c r="G3891" s="6" t="s">
        <v>113</v>
      </c>
      <c r="H3891" s="1"/>
      <c r="I3891" s="1"/>
      <c r="J3891" s="1"/>
    </row>
    <row r="3892" spans="1:10" x14ac:dyDescent="0.3">
      <c r="A3892" s="6" t="s">
        <v>17</v>
      </c>
      <c r="B3892" s="6">
        <f>+B3891+1</f>
        <v>2037</v>
      </c>
      <c r="C3892" s="1" t="s">
        <v>43</v>
      </c>
      <c r="D3892" s="2" t="s">
        <v>131</v>
      </c>
      <c r="E3892" s="9" t="str">
        <f t="shared" si="897"/>
        <v>PRBDP'!</v>
      </c>
      <c r="F3892" s="5" t="str">
        <f t="shared" si="898"/>
        <v>C:\Users\jaime.benazar\Quorum Business Solutions\Ecopetrol Prometeo - Documents\Planning Space Implementation\3. Analysis &amp; Design\Design\FC22\DRR Jaime\Neiva CPI\[VAO_DINA TERCIARIOS_CF_SEC_20230117.xlsx]CF PRBDP'!</v>
      </c>
      <c r="G3892" s="6" t="s">
        <v>113</v>
      </c>
      <c r="H3892" s="1"/>
      <c r="I3892" s="1"/>
      <c r="J3892" s="1"/>
    </row>
    <row r="3893" spans="1:10" x14ac:dyDescent="0.3">
      <c r="A3893" s="6" t="s">
        <v>17</v>
      </c>
      <c r="B3893" s="6">
        <f t="shared" ref="B3893:B3895" si="900">+B3892+1</f>
        <v>2038</v>
      </c>
      <c r="C3893" s="1" t="s">
        <v>43</v>
      </c>
      <c r="D3893" s="2" t="s">
        <v>131</v>
      </c>
      <c r="E3893" s="9" t="str">
        <f t="shared" si="897"/>
        <v>PRBDP'!</v>
      </c>
      <c r="F3893" s="5" t="str">
        <f t="shared" si="898"/>
        <v>C:\Users\jaime.benazar\Quorum Business Solutions\Ecopetrol Prometeo - Documents\Planning Space Implementation\3. Analysis &amp; Design\Design\FC22\DRR Jaime\Neiva CPI\[VAO_DINA TERCIARIOS_CF_SEC_20230117.xlsx]CF PRBDP'!</v>
      </c>
      <c r="G3893" s="6" t="s">
        <v>113</v>
      </c>
      <c r="H3893" s="1"/>
      <c r="I3893" s="1"/>
      <c r="J3893" s="1"/>
    </row>
    <row r="3894" spans="1:10" x14ac:dyDescent="0.3">
      <c r="A3894" s="6" t="s">
        <v>17</v>
      </c>
      <c r="B3894" s="6">
        <f t="shared" si="900"/>
        <v>2039</v>
      </c>
      <c r="C3894" s="1" t="s">
        <v>43</v>
      </c>
      <c r="D3894" s="2" t="s">
        <v>131</v>
      </c>
      <c r="E3894" s="9" t="str">
        <f t="shared" si="897"/>
        <v>PRBDP'!</v>
      </c>
      <c r="F3894" s="5" t="str">
        <f t="shared" si="898"/>
        <v>C:\Users\jaime.benazar\Quorum Business Solutions\Ecopetrol Prometeo - Documents\Planning Space Implementation\3. Analysis &amp; Design\Design\FC22\DRR Jaime\Neiva CPI\[VAO_DINA TERCIARIOS_CF_SEC_20230117.xlsx]CF PRBDP'!</v>
      </c>
      <c r="G3894" s="6" t="s">
        <v>113</v>
      </c>
      <c r="H3894" s="1"/>
      <c r="I3894" s="1"/>
      <c r="J3894" s="1"/>
    </row>
    <row r="3895" spans="1:10" x14ac:dyDescent="0.3">
      <c r="A3895" s="6" t="s">
        <v>17</v>
      </c>
      <c r="B3895" s="6">
        <f t="shared" si="900"/>
        <v>2040</v>
      </c>
      <c r="C3895" s="1" t="s">
        <v>43</v>
      </c>
      <c r="D3895" s="2" t="s">
        <v>131</v>
      </c>
      <c r="E3895" s="9" t="str">
        <f t="shared" si="897"/>
        <v>PRBDP'!</v>
      </c>
      <c r="F3895" s="5" t="str">
        <f t="shared" si="898"/>
        <v>C:\Users\jaime.benazar\Quorum Business Solutions\Ecopetrol Prometeo - Documents\Planning Space Implementation\3. Analysis &amp; Design\Design\FC22\DRR Jaime\Neiva CPI\[VAO_DINA TERCIARIOS_CF_SEC_20230117.xlsx]CF PRBDP'!</v>
      </c>
      <c r="G3895" s="6" t="s">
        <v>113</v>
      </c>
      <c r="H3895" s="1"/>
      <c r="I3895" s="1"/>
      <c r="J3895" s="1"/>
    </row>
    <row r="3896" spans="1:10" x14ac:dyDescent="0.3">
      <c r="A3896" s="6" t="s">
        <v>17</v>
      </c>
      <c r="B3896" s="6">
        <f>+B3895+1</f>
        <v>2041</v>
      </c>
      <c r="C3896" s="1" t="s">
        <v>43</v>
      </c>
      <c r="D3896" s="2" t="s">
        <v>131</v>
      </c>
      <c r="E3896" s="9" t="str">
        <f t="shared" si="897"/>
        <v>PRBDP'!</v>
      </c>
      <c r="F3896" s="5" t="str">
        <f t="shared" si="898"/>
        <v>C:\Users\jaime.benazar\Quorum Business Solutions\Ecopetrol Prometeo - Documents\Planning Space Implementation\3. Analysis &amp; Design\Design\FC22\DRR Jaime\Neiva CPI\[VAO_DINA TERCIARIOS_CF_SEC_20230117.xlsx]CF PRBDP'!</v>
      </c>
      <c r="G3896" s="6" t="s">
        <v>113</v>
      </c>
      <c r="H3896" s="1"/>
      <c r="I3896" s="1"/>
      <c r="J3896" s="1"/>
    </row>
    <row r="3897" spans="1:10" x14ac:dyDescent="0.3">
      <c r="A3897" s="6" t="s">
        <v>17</v>
      </c>
      <c r="B3897" s="6">
        <f t="shared" ref="B3897:B3898" si="901">+B3896+1</f>
        <v>2042</v>
      </c>
      <c r="C3897" s="1" t="s">
        <v>43</v>
      </c>
      <c r="D3897" s="2" t="s">
        <v>131</v>
      </c>
      <c r="E3897" s="9" t="str">
        <f t="shared" si="897"/>
        <v>PRBDP'!</v>
      </c>
      <c r="F3897" s="5" t="str">
        <f t="shared" si="898"/>
        <v>C:\Users\jaime.benazar\Quorum Business Solutions\Ecopetrol Prometeo - Documents\Planning Space Implementation\3. Analysis &amp; Design\Design\FC22\DRR Jaime\Neiva CPI\[VAO_DINA TERCIARIOS_CF_SEC_20230117.xlsx]CF PRBDP'!</v>
      </c>
      <c r="G3897" s="6" t="s">
        <v>113</v>
      </c>
      <c r="H3897" s="1"/>
      <c r="I3897" s="1"/>
      <c r="J3897" s="1"/>
    </row>
    <row r="3898" spans="1:10" x14ac:dyDescent="0.3">
      <c r="A3898" s="6" t="s">
        <v>17</v>
      </c>
      <c r="B3898" s="6">
        <f t="shared" si="901"/>
        <v>2043</v>
      </c>
      <c r="C3898" s="1" t="s">
        <v>43</v>
      </c>
      <c r="D3898" s="2" t="s">
        <v>131</v>
      </c>
      <c r="E3898" s="9" t="str">
        <f t="shared" si="897"/>
        <v>PRBDP'!</v>
      </c>
      <c r="F3898" s="5" t="str">
        <f t="shared" si="898"/>
        <v>C:\Users\jaime.benazar\Quorum Business Solutions\Ecopetrol Prometeo - Documents\Planning Space Implementation\3. Analysis &amp; Design\Design\FC22\DRR Jaime\Neiva CPI\[VAO_DINA TERCIARIOS_CF_SEC_20230117.xlsx]CF PRBDP'!</v>
      </c>
      <c r="G3898" s="6" t="s">
        <v>113</v>
      </c>
      <c r="H3898" s="1"/>
      <c r="I3898" s="1"/>
      <c r="J3898" s="1"/>
    </row>
    <row r="3899" spans="1:10" x14ac:dyDescent="0.3">
      <c r="A3899" s="6" t="s">
        <v>17</v>
      </c>
      <c r="B3899" s="6">
        <f>+B3898+1</f>
        <v>2044</v>
      </c>
      <c r="C3899" s="1" t="s">
        <v>43</v>
      </c>
      <c r="D3899" s="2" t="s">
        <v>131</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Jaime\Neiva CPI\[VAO_DINA TERCIARIOS_CF_SEC_20230117.xlsx]CF PRBDP'!</v>
      </c>
      <c r="G3899" s="6" t="s">
        <v>113</v>
      </c>
      <c r="H3899" s="1"/>
      <c r="I3899" s="1"/>
      <c r="J3899" s="1"/>
    </row>
    <row r="3900" spans="1:10" x14ac:dyDescent="0.3">
      <c r="A3900" s="6" t="s">
        <v>17</v>
      </c>
      <c r="B3900" s="6">
        <f t="shared" ref="B3900:B3914" si="904">+B3899+1</f>
        <v>2045</v>
      </c>
      <c r="C3900" s="1" t="s">
        <v>43</v>
      </c>
      <c r="D3900" s="2" t="s">
        <v>131</v>
      </c>
      <c r="E3900" s="9" t="str">
        <f t="shared" si="902"/>
        <v>PRBDP'!</v>
      </c>
      <c r="F3900" s="5" t="str">
        <f t="shared" si="903"/>
        <v>C:\Users\jaime.benazar\Quorum Business Solutions\Ecopetrol Prometeo - Documents\Planning Space Implementation\3. Analysis &amp; Design\Design\FC22\DRR Jaime\Neiva CPI\[VAO_DINA TERCIARIOS_CF_SEC_20230117.xlsx]CF PRBDP'!</v>
      </c>
      <c r="G3900" s="6" t="s">
        <v>113</v>
      </c>
      <c r="H3900" s="1"/>
      <c r="I3900" s="1"/>
      <c r="J3900" s="1"/>
    </row>
    <row r="3901" spans="1:10" x14ac:dyDescent="0.3">
      <c r="A3901" s="6" t="s">
        <v>17</v>
      </c>
      <c r="B3901" s="6">
        <f t="shared" si="904"/>
        <v>2046</v>
      </c>
      <c r="C3901" s="1" t="s">
        <v>43</v>
      </c>
      <c r="D3901" s="2" t="s">
        <v>131</v>
      </c>
      <c r="E3901" s="9" t="str">
        <f t="shared" si="902"/>
        <v>PRBDP'!</v>
      </c>
      <c r="F3901" s="5" t="str">
        <f t="shared" si="903"/>
        <v>C:\Users\jaime.benazar\Quorum Business Solutions\Ecopetrol Prometeo - Documents\Planning Space Implementation\3. Analysis &amp; Design\Design\FC22\DRR Jaime\Neiva CPI\[VAO_DINA TERCIARIOS_CF_SEC_20230117.xlsx]CF PRBDP'!</v>
      </c>
      <c r="G3901" s="6" t="s">
        <v>113</v>
      </c>
      <c r="H3901" s="1"/>
      <c r="I3901" s="1"/>
      <c r="J3901" s="1"/>
    </row>
    <row r="3902" spans="1:10" x14ac:dyDescent="0.3">
      <c r="A3902" s="6" t="s">
        <v>17</v>
      </c>
      <c r="B3902" s="6">
        <f t="shared" si="904"/>
        <v>2047</v>
      </c>
      <c r="C3902" s="1" t="s">
        <v>43</v>
      </c>
      <c r="D3902" s="2" t="s">
        <v>131</v>
      </c>
      <c r="E3902" s="9" t="str">
        <f t="shared" si="902"/>
        <v>PRBDP'!</v>
      </c>
      <c r="F3902" s="5" t="str">
        <f t="shared" si="903"/>
        <v>C:\Users\jaime.benazar\Quorum Business Solutions\Ecopetrol Prometeo - Documents\Planning Space Implementation\3. Analysis &amp; Design\Design\FC22\DRR Jaime\Neiva CPI\[VAO_DINA TERCIARIOS_CF_SEC_20230117.xlsx]CF PRBDP'!</v>
      </c>
      <c r="G3902" s="6" t="s">
        <v>113</v>
      </c>
      <c r="H3902" s="1"/>
      <c r="I3902" s="1"/>
      <c r="J3902" s="1"/>
    </row>
    <row r="3903" spans="1:10" x14ac:dyDescent="0.3">
      <c r="A3903" s="6" t="s">
        <v>17</v>
      </c>
      <c r="B3903" s="6">
        <f t="shared" si="904"/>
        <v>2048</v>
      </c>
      <c r="C3903" s="1" t="s">
        <v>43</v>
      </c>
      <c r="D3903" s="2" t="s">
        <v>131</v>
      </c>
      <c r="E3903" s="9" t="str">
        <f t="shared" si="902"/>
        <v>PRBDP'!</v>
      </c>
      <c r="F3903" s="5" t="str">
        <f t="shared" si="903"/>
        <v>C:\Users\jaime.benazar\Quorum Business Solutions\Ecopetrol Prometeo - Documents\Planning Space Implementation\3. Analysis &amp; Design\Design\FC22\DRR Jaime\Neiva CPI\[VAO_DINA TERCIARIOS_CF_SEC_20230117.xlsx]CF PRBDP'!</v>
      </c>
      <c r="G3903" s="6" t="s">
        <v>113</v>
      </c>
      <c r="H3903" s="1"/>
      <c r="I3903" s="1"/>
      <c r="J3903" s="1"/>
    </row>
    <row r="3904" spans="1:10" x14ac:dyDescent="0.3">
      <c r="A3904" s="6" t="s">
        <v>17</v>
      </c>
      <c r="B3904" s="6">
        <f t="shared" si="904"/>
        <v>2049</v>
      </c>
      <c r="C3904" s="1" t="s">
        <v>43</v>
      </c>
      <c r="D3904" s="2" t="s">
        <v>131</v>
      </c>
      <c r="E3904" s="9" t="str">
        <f t="shared" si="902"/>
        <v>PRBDP'!</v>
      </c>
      <c r="F3904" s="5" t="str">
        <f t="shared" si="903"/>
        <v>C:\Users\jaime.benazar\Quorum Business Solutions\Ecopetrol Prometeo - Documents\Planning Space Implementation\3. Analysis &amp; Design\Design\FC22\DRR Jaime\Neiva CPI\[VAO_DINA TERCIARIOS_CF_SEC_20230117.xlsx]CF PRBDP'!</v>
      </c>
      <c r="G3904" s="6" t="s">
        <v>113</v>
      </c>
      <c r="H3904" s="1"/>
      <c r="I3904" s="1"/>
      <c r="J3904" s="1"/>
    </row>
    <row r="3905" spans="1:10" x14ac:dyDescent="0.3">
      <c r="A3905" s="6" t="s">
        <v>17</v>
      </c>
      <c r="B3905" s="6">
        <f t="shared" si="904"/>
        <v>2050</v>
      </c>
      <c r="C3905" s="1" t="s">
        <v>43</v>
      </c>
      <c r="D3905" s="2" t="s">
        <v>131</v>
      </c>
      <c r="E3905" s="9" t="str">
        <f t="shared" si="902"/>
        <v>PRBDP'!</v>
      </c>
      <c r="F3905" s="5" t="str">
        <f t="shared" si="903"/>
        <v>C:\Users\jaime.benazar\Quorum Business Solutions\Ecopetrol Prometeo - Documents\Planning Space Implementation\3. Analysis &amp; Design\Design\FC22\DRR Jaime\Neiva CPI\[VAO_DINA TERCIARIOS_CF_SEC_20230117.xlsx]CF PRBDP'!</v>
      </c>
      <c r="G3905" s="6" t="s">
        <v>113</v>
      </c>
      <c r="H3905" s="1"/>
      <c r="I3905" s="1"/>
      <c r="J3905" s="1"/>
    </row>
    <row r="3906" spans="1:10" x14ac:dyDescent="0.3">
      <c r="A3906" s="6" t="s">
        <v>17</v>
      </c>
      <c r="B3906" s="6">
        <f t="shared" si="904"/>
        <v>2051</v>
      </c>
      <c r="C3906" s="1" t="s">
        <v>43</v>
      </c>
      <c r="D3906" s="2" t="s">
        <v>131</v>
      </c>
      <c r="E3906" s="9" t="str">
        <f t="shared" si="902"/>
        <v>PRBDP'!</v>
      </c>
      <c r="F3906" s="5" t="str">
        <f t="shared" si="903"/>
        <v>C:\Users\jaime.benazar\Quorum Business Solutions\Ecopetrol Prometeo - Documents\Planning Space Implementation\3. Analysis &amp; Design\Design\FC22\DRR Jaime\Neiva CPI\[VAO_DINA TERCIARIOS_CF_SEC_20230117.xlsx]CF PRBDP'!</v>
      </c>
      <c r="G3906" s="6" t="s">
        <v>113</v>
      </c>
      <c r="H3906" s="1"/>
      <c r="I3906" s="1"/>
      <c r="J3906" s="1"/>
    </row>
    <row r="3907" spans="1:10" x14ac:dyDescent="0.3">
      <c r="A3907" s="6" t="s">
        <v>17</v>
      </c>
      <c r="B3907" s="6">
        <f t="shared" si="904"/>
        <v>2052</v>
      </c>
      <c r="C3907" s="1" t="s">
        <v>43</v>
      </c>
      <c r="D3907" s="2" t="s">
        <v>131</v>
      </c>
      <c r="E3907" s="9" t="str">
        <f t="shared" si="902"/>
        <v>PRBDP'!</v>
      </c>
      <c r="F3907" s="5" t="str">
        <f t="shared" si="903"/>
        <v>C:\Users\jaime.benazar\Quorum Business Solutions\Ecopetrol Prometeo - Documents\Planning Space Implementation\3. Analysis &amp; Design\Design\FC22\DRR Jaime\Neiva CPI\[VAO_DINA TERCIARIOS_CF_SEC_20230117.xlsx]CF PRBDP'!</v>
      </c>
      <c r="G3907" s="6" t="s">
        <v>113</v>
      </c>
      <c r="H3907" s="1"/>
      <c r="I3907" s="1"/>
      <c r="J3907" s="1"/>
    </row>
    <row r="3908" spans="1:10" x14ac:dyDescent="0.3">
      <c r="A3908" s="6" t="s">
        <v>17</v>
      </c>
      <c r="B3908" s="6">
        <f t="shared" si="904"/>
        <v>2053</v>
      </c>
      <c r="C3908" s="1" t="s">
        <v>43</v>
      </c>
      <c r="D3908" s="2" t="s">
        <v>131</v>
      </c>
      <c r="E3908" s="9" t="str">
        <f t="shared" si="902"/>
        <v>PRBDP'!</v>
      </c>
      <c r="F3908" s="5" t="str">
        <f t="shared" si="903"/>
        <v>C:\Users\jaime.benazar\Quorum Business Solutions\Ecopetrol Prometeo - Documents\Planning Space Implementation\3. Analysis &amp; Design\Design\FC22\DRR Jaime\Neiva CPI\[VAO_DINA TERCIARIOS_CF_SEC_20230117.xlsx]CF PRBDP'!</v>
      </c>
      <c r="G3908" s="6" t="s">
        <v>113</v>
      </c>
      <c r="H3908" s="1"/>
      <c r="I3908" s="1"/>
      <c r="J3908" s="1"/>
    </row>
    <row r="3909" spans="1:10" x14ac:dyDescent="0.3">
      <c r="A3909" s="6" t="s">
        <v>17</v>
      </c>
      <c r="B3909" s="6">
        <f t="shared" si="904"/>
        <v>2054</v>
      </c>
      <c r="C3909" s="1" t="s">
        <v>43</v>
      </c>
      <c r="D3909" s="2" t="s">
        <v>131</v>
      </c>
      <c r="E3909" s="9" t="str">
        <f t="shared" si="902"/>
        <v>PRBDP'!</v>
      </c>
      <c r="F3909" s="5" t="str">
        <f t="shared" si="903"/>
        <v>C:\Users\jaime.benazar\Quorum Business Solutions\Ecopetrol Prometeo - Documents\Planning Space Implementation\3. Analysis &amp; Design\Design\FC22\DRR Jaime\Neiva CPI\[VAO_DINA TERCIARIOS_CF_SEC_20230117.xlsx]CF PRBDP'!</v>
      </c>
      <c r="G3909" s="6" t="s">
        <v>113</v>
      </c>
      <c r="H3909" s="1"/>
      <c r="I3909" s="1"/>
      <c r="J3909" s="1"/>
    </row>
    <row r="3910" spans="1:10" x14ac:dyDescent="0.3">
      <c r="A3910" s="6" t="s">
        <v>17</v>
      </c>
      <c r="B3910" s="6">
        <f t="shared" si="904"/>
        <v>2055</v>
      </c>
      <c r="C3910" s="1" t="s">
        <v>43</v>
      </c>
      <c r="D3910" s="2" t="s">
        <v>131</v>
      </c>
      <c r="E3910" s="9" t="str">
        <f t="shared" si="902"/>
        <v>PRBDP'!</v>
      </c>
      <c r="F3910" s="5" t="str">
        <f t="shared" si="903"/>
        <v>C:\Users\jaime.benazar\Quorum Business Solutions\Ecopetrol Prometeo - Documents\Planning Space Implementation\3. Analysis &amp; Design\Design\FC22\DRR Jaime\Neiva CPI\[VAO_DINA TERCIARIOS_CF_SEC_20230117.xlsx]CF PRBDP'!</v>
      </c>
      <c r="G3910" s="6" t="s">
        <v>113</v>
      </c>
      <c r="H3910" s="1"/>
      <c r="I3910" s="1"/>
      <c r="J3910" s="1"/>
    </row>
    <row r="3911" spans="1:10" x14ac:dyDescent="0.3">
      <c r="A3911" s="6" t="s">
        <v>17</v>
      </c>
      <c r="B3911" s="6">
        <f t="shared" si="904"/>
        <v>2056</v>
      </c>
      <c r="C3911" s="1" t="s">
        <v>43</v>
      </c>
      <c r="D3911" s="2" t="s">
        <v>131</v>
      </c>
      <c r="E3911" s="9" t="str">
        <f t="shared" si="902"/>
        <v>PRBDP'!</v>
      </c>
      <c r="F3911" s="5" t="str">
        <f t="shared" si="903"/>
        <v>C:\Users\jaime.benazar\Quorum Business Solutions\Ecopetrol Prometeo - Documents\Planning Space Implementation\3. Analysis &amp; Design\Design\FC22\DRR Jaime\Neiva CPI\[VAO_DINA TERCIARIOS_CF_SEC_20230117.xlsx]CF PRBDP'!</v>
      </c>
      <c r="G3911" s="6" t="s">
        <v>113</v>
      </c>
      <c r="H3911" s="1"/>
      <c r="I3911" s="1"/>
      <c r="J3911" s="1"/>
    </row>
    <row r="3912" spans="1:10" x14ac:dyDescent="0.3">
      <c r="A3912" s="6" t="s">
        <v>17</v>
      </c>
      <c r="B3912" s="6">
        <f t="shared" si="904"/>
        <v>2057</v>
      </c>
      <c r="C3912" s="1" t="s">
        <v>43</v>
      </c>
      <c r="D3912" s="2" t="s">
        <v>131</v>
      </c>
      <c r="E3912" s="9" t="str">
        <f t="shared" si="902"/>
        <v>PRBDP'!</v>
      </c>
      <c r="F3912" s="5" t="str">
        <f t="shared" si="903"/>
        <v>C:\Users\jaime.benazar\Quorum Business Solutions\Ecopetrol Prometeo - Documents\Planning Space Implementation\3. Analysis &amp; Design\Design\FC22\DRR Jaime\Neiva CPI\[VAO_DINA TERCIARIOS_CF_SEC_20230117.xlsx]CF PRBDP'!</v>
      </c>
      <c r="G3912" s="6" t="s">
        <v>113</v>
      </c>
      <c r="H3912" s="1"/>
      <c r="I3912" s="1"/>
      <c r="J3912" s="1"/>
    </row>
    <row r="3913" spans="1:10" x14ac:dyDescent="0.3">
      <c r="A3913" s="6" t="s">
        <v>17</v>
      </c>
      <c r="B3913" s="6">
        <f t="shared" si="904"/>
        <v>2058</v>
      </c>
      <c r="C3913" s="1" t="s">
        <v>43</v>
      </c>
      <c r="D3913" s="2" t="s">
        <v>131</v>
      </c>
      <c r="E3913" s="9" t="str">
        <f t="shared" si="902"/>
        <v>PRBDP'!</v>
      </c>
      <c r="F3913" s="5" t="str">
        <f t="shared" si="903"/>
        <v>C:\Users\jaime.benazar\Quorum Business Solutions\Ecopetrol Prometeo - Documents\Planning Space Implementation\3. Analysis &amp; Design\Design\FC22\DRR Jaime\Neiva CPI\[VAO_DINA TERCIARIOS_CF_SEC_20230117.xlsx]CF PRBDP'!</v>
      </c>
      <c r="G3913" s="6" t="s">
        <v>113</v>
      </c>
      <c r="H3913" s="1"/>
      <c r="I3913" s="1"/>
      <c r="J3913" s="1"/>
    </row>
    <row r="3914" spans="1:10" x14ac:dyDescent="0.3">
      <c r="A3914" s="6" t="s">
        <v>17</v>
      </c>
      <c r="B3914" s="6">
        <f t="shared" si="904"/>
        <v>2059</v>
      </c>
      <c r="C3914" s="1" t="s">
        <v>43</v>
      </c>
      <c r="D3914" s="2" t="s">
        <v>131</v>
      </c>
      <c r="E3914" s="9" t="str">
        <f t="shared" si="902"/>
        <v>PRBDP'!</v>
      </c>
      <c r="F3914" s="5" t="str">
        <f t="shared" si="903"/>
        <v>C:\Users\jaime.benazar\Quorum Business Solutions\Ecopetrol Prometeo - Documents\Planning Space Implementation\3. Analysis &amp; Design\Design\FC22\DRR Jaime\Neiva CPI\[VAO_DINA TERCIARIOS_CF_SEC_20230117.xlsx]CF PRBDP'!</v>
      </c>
      <c r="G3914" s="6" t="s">
        <v>113</v>
      </c>
      <c r="H3914" s="1"/>
      <c r="I3914" s="1"/>
      <c r="J3914" s="1"/>
    </row>
    <row r="3915" spans="1:10" x14ac:dyDescent="0.3">
      <c r="A3915" s="6" t="s">
        <v>26</v>
      </c>
      <c r="B3915" s="6"/>
      <c r="C3915" s="1" t="s">
        <v>43</v>
      </c>
      <c r="D3915" s="2"/>
      <c r="E3915" s="9"/>
      <c r="F3915" s="2"/>
      <c r="G3915" s="6"/>
      <c r="H3915" s="1"/>
      <c r="I3915" s="1"/>
      <c r="J3915" s="12"/>
    </row>
    <row r="3916" spans="1:10" x14ac:dyDescent="0.3">
      <c r="A3916" s="6" t="s">
        <v>18</v>
      </c>
      <c r="B3916" s="6">
        <v>2023</v>
      </c>
      <c r="C3916" s="1" t="s">
        <v>43</v>
      </c>
      <c r="D3916" s="2" t="s">
        <v>131</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Jaime\Neiva CPI\[VAO_DINA TERCIARIOS_CF_SEC_20230117.xlsx]CF PRBNP'!</v>
      </c>
      <c r="G3916" s="6" t="s">
        <v>113</v>
      </c>
      <c r="H3916" s="1"/>
      <c r="I3916" s="1"/>
      <c r="J3916" s="1"/>
    </row>
    <row r="3917" spans="1:10" x14ac:dyDescent="0.3">
      <c r="A3917" s="6" t="s">
        <v>18</v>
      </c>
      <c r="B3917" s="6">
        <f>+B3916+1</f>
        <v>2024</v>
      </c>
      <c r="C3917" s="1" t="s">
        <v>43</v>
      </c>
      <c r="D3917" s="2" t="s">
        <v>131</v>
      </c>
      <c r="E3917" s="9" t="str">
        <f t="shared" si="905"/>
        <v>PRBNP'!</v>
      </c>
      <c r="F3917" s="5" t="str">
        <f t="shared" si="906"/>
        <v>C:\Users\jaime.benazar\Quorum Business Solutions\Ecopetrol Prometeo - Documents\Planning Space Implementation\3. Analysis &amp; Design\Design\FC22\DRR Jaime\Neiva CPI\[VAO_DINA TERCIARIOS_CF_SEC_20230117.xlsx]CF PRBNP'!</v>
      </c>
      <c r="G3917" s="6" t="s">
        <v>113</v>
      </c>
      <c r="H3917" s="1"/>
      <c r="I3917" s="1"/>
      <c r="J3917" s="1"/>
    </row>
    <row r="3918" spans="1:10" x14ac:dyDescent="0.3">
      <c r="A3918" s="6" t="s">
        <v>18</v>
      </c>
      <c r="B3918" s="6">
        <f t="shared" ref="B3918:B3929" si="907">+B3917+1</f>
        <v>2025</v>
      </c>
      <c r="C3918" s="1" t="s">
        <v>43</v>
      </c>
      <c r="D3918" s="2" t="s">
        <v>131</v>
      </c>
      <c r="E3918" s="9" t="str">
        <f t="shared" si="905"/>
        <v>PRBNP'!</v>
      </c>
      <c r="F3918" s="5" t="str">
        <f t="shared" si="906"/>
        <v>C:\Users\jaime.benazar\Quorum Business Solutions\Ecopetrol Prometeo - Documents\Planning Space Implementation\3. Analysis &amp; Design\Design\FC22\DRR Jaime\Neiva CPI\[VAO_DINA TERCIARIOS_CF_SEC_20230117.xlsx]CF PRBNP'!</v>
      </c>
      <c r="G3918" s="6" t="s">
        <v>113</v>
      </c>
      <c r="H3918" s="1"/>
      <c r="I3918" s="1"/>
      <c r="J3918" s="1"/>
    </row>
    <row r="3919" spans="1:10" x14ac:dyDescent="0.3">
      <c r="A3919" s="6" t="s">
        <v>18</v>
      </c>
      <c r="B3919" s="6">
        <f t="shared" si="907"/>
        <v>2026</v>
      </c>
      <c r="C3919" s="1" t="s">
        <v>43</v>
      </c>
      <c r="D3919" s="2" t="s">
        <v>131</v>
      </c>
      <c r="E3919" s="9" t="str">
        <f t="shared" si="905"/>
        <v>PRBNP'!</v>
      </c>
      <c r="F3919" s="5" t="str">
        <f t="shared" si="906"/>
        <v>C:\Users\jaime.benazar\Quorum Business Solutions\Ecopetrol Prometeo - Documents\Planning Space Implementation\3. Analysis &amp; Design\Design\FC22\DRR Jaime\Neiva CPI\[VAO_DINA TERCIARIOS_CF_SEC_20230117.xlsx]CF PRBNP'!</v>
      </c>
      <c r="G3919" s="6" t="s">
        <v>113</v>
      </c>
      <c r="H3919" s="1"/>
      <c r="I3919" s="1"/>
      <c r="J3919" s="1"/>
    </row>
    <row r="3920" spans="1:10" x14ac:dyDescent="0.3">
      <c r="A3920" s="6" t="s">
        <v>18</v>
      </c>
      <c r="B3920" s="6">
        <f t="shared" si="907"/>
        <v>2027</v>
      </c>
      <c r="C3920" s="1" t="s">
        <v>43</v>
      </c>
      <c r="D3920" s="2" t="s">
        <v>131</v>
      </c>
      <c r="E3920" s="9" t="str">
        <f t="shared" si="905"/>
        <v>PRBNP'!</v>
      </c>
      <c r="F3920" s="5" t="str">
        <f t="shared" si="906"/>
        <v>C:\Users\jaime.benazar\Quorum Business Solutions\Ecopetrol Prometeo - Documents\Planning Space Implementation\3. Analysis &amp; Design\Design\FC22\DRR Jaime\Neiva CPI\[VAO_DINA TERCIARIOS_CF_SEC_20230117.xlsx]CF PRBNP'!</v>
      </c>
      <c r="G3920" s="6" t="s">
        <v>113</v>
      </c>
      <c r="H3920" s="1"/>
      <c r="I3920" s="1"/>
      <c r="J3920" s="1"/>
    </row>
    <row r="3921" spans="1:10" x14ac:dyDescent="0.3">
      <c r="A3921" s="6" t="s">
        <v>18</v>
      </c>
      <c r="B3921" s="6">
        <f t="shared" si="907"/>
        <v>2028</v>
      </c>
      <c r="C3921" s="1" t="s">
        <v>43</v>
      </c>
      <c r="D3921" s="2" t="s">
        <v>131</v>
      </c>
      <c r="E3921" s="9" t="str">
        <f t="shared" si="905"/>
        <v>PRBNP'!</v>
      </c>
      <c r="F3921" s="5" t="str">
        <f t="shared" si="906"/>
        <v>C:\Users\jaime.benazar\Quorum Business Solutions\Ecopetrol Prometeo - Documents\Planning Space Implementation\3. Analysis &amp; Design\Design\FC22\DRR Jaime\Neiva CPI\[VAO_DINA TERCIARIOS_CF_SEC_20230117.xlsx]CF PRBNP'!</v>
      </c>
      <c r="G3921" s="6" t="s">
        <v>113</v>
      </c>
      <c r="H3921" s="1"/>
      <c r="I3921" s="1"/>
      <c r="J3921" s="1"/>
    </row>
    <row r="3922" spans="1:10" x14ac:dyDescent="0.3">
      <c r="A3922" s="6" t="s">
        <v>18</v>
      </c>
      <c r="B3922" s="6">
        <f t="shared" si="907"/>
        <v>2029</v>
      </c>
      <c r="C3922" s="1" t="s">
        <v>43</v>
      </c>
      <c r="D3922" s="2" t="s">
        <v>131</v>
      </c>
      <c r="E3922" s="9" t="str">
        <f t="shared" si="905"/>
        <v>PRBNP'!</v>
      </c>
      <c r="F3922" s="5" t="str">
        <f t="shared" si="906"/>
        <v>C:\Users\jaime.benazar\Quorum Business Solutions\Ecopetrol Prometeo - Documents\Planning Space Implementation\3. Analysis &amp; Design\Design\FC22\DRR Jaime\Neiva CPI\[VAO_DINA TERCIARIOS_CF_SEC_20230117.xlsx]CF PRBNP'!</v>
      </c>
      <c r="G3922" s="6" t="s">
        <v>113</v>
      </c>
      <c r="H3922" s="1"/>
      <c r="I3922" s="1"/>
      <c r="J3922" s="1"/>
    </row>
    <row r="3923" spans="1:10" x14ac:dyDescent="0.3">
      <c r="A3923" s="6" t="s">
        <v>18</v>
      </c>
      <c r="B3923" s="6">
        <f t="shared" si="907"/>
        <v>2030</v>
      </c>
      <c r="C3923" s="1" t="s">
        <v>43</v>
      </c>
      <c r="D3923" s="2" t="s">
        <v>131</v>
      </c>
      <c r="E3923" s="9" t="str">
        <f t="shared" si="905"/>
        <v>PRBNP'!</v>
      </c>
      <c r="F3923" s="5" t="str">
        <f t="shared" si="906"/>
        <v>C:\Users\jaime.benazar\Quorum Business Solutions\Ecopetrol Prometeo - Documents\Planning Space Implementation\3. Analysis &amp; Design\Design\FC22\DRR Jaime\Neiva CPI\[VAO_DINA TERCIARIOS_CF_SEC_20230117.xlsx]CF PRBNP'!</v>
      </c>
      <c r="G3923" s="6" t="s">
        <v>113</v>
      </c>
      <c r="H3923" s="1"/>
      <c r="I3923" s="1"/>
      <c r="J3923" s="1"/>
    </row>
    <row r="3924" spans="1:10" x14ac:dyDescent="0.3">
      <c r="A3924" s="6" t="s">
        <v>18</v>
      </c>
      <c r="B3924" s="6">
        <f t="shared" si="907"/>
        <v>2031</v>
      </c>
      <c r="C3924" s="1" t="s">
        <v>43</v>
      </c>
      <c r="D3924" s="2" t="s">
        <v>131</v>
      </c>
      <c r="E3924" s="9" t="str">
        <f t="shared" si="905"/>
        <v>PRBNP'!</v>
      </c>
      <c r="F3924" s="5" t="str">
        <f t="shared" si="906"/>
        <v>C:\Users\jaime.benazar\Quorum Business Solutions\Ecopetrol Prometeo - Documents\Planning Space Implementation\3. Analysis &amp; Design\Design\FC22\DRR Jaime\Neiva CPI\[VAO_DINA TERCIARIOS_CF_SEC_20230117.xlsx]CF PRBNP'!</v>
      </c>
      <c r="G3924" s="6" t="s">
        <v>113</v>
      </c>
      <c r="H3924" s="1"/>
      <c r="I3924" s="1"/>
      <c r="J3924" s="1"/>
    </row>
    <row r="3925" spans="1:10" x14ac:dyDescent="0.3">
      <c r="A3925" s="6" t="s">
        <v>18</v>
      </c>
      <c r="B3925" s="6">
        <f t="shared" si="907"/>
        <v>2032</v>
      </c>
      <c r="C3925" s="1" t="s">
        <v>43</v>
      </c>
      <c r="D3925" s="2" t="s">
        <v>131</v>
      </c>
      <c r="E3925" s="9" t="str">
        <f t="shared" si="905"/>
        <v>PRBNP'!</v>
      </c>
      <c r="F3925" s="5" t="str">
        <f t="shared" si="906"/>
        <v>C:\Users\jaime.benazar\Quorum Business Solutions\Ecopetrol Prometeo - Documents\Planning Space Implementation\3. Analysis &amp; Design\Design\FC22\DRR Jaime\Neiva CPI\[VAO_DINA TERCIARIOS_CF_SEC_20230117.xlsx]CF PRBNP'!</v>
      </c>
      <c r="G3925" s="6" t="s">
        <v>113</v>
      </c>
      <c r="H3925" s="1"/>
      <c r="I3925" s="1"/>
      <c r="J3925" s="1"/>
    </row>
    <row r="3926" spans="1:10" x14ac:dyDescent="0.3">
      <c r="A3926" s="6" t="s">
        <v>18</v>
      </c>
      <c r="B3926" s="6">
        <f t="shared" si="907"/>
        <v>2033</v>
      </c>
      <c r="C3926" s="1" t="s">
        <v>43</v>
      </c>
      <c r="D3926" s="2" t="s">
        <v>131</v>
      </c>
      <c r="E3926" s="9" t="str">
        <f t="shared" si="905"/>
        <v>PRBNP'!</v>
      </c>
      <c r="F3926" s="5" t="str">
        <f t="shared" si="906"/>
        <v>C:\Users\jaime.benazar\Quorum Business Solutions\Ecopetrol Prometeo - Documents\Planning Space Implementation\3. Analysis &amp; Design\Design\FC22\DRR Jaime\Neiva CPI\[VAO_DINA TERCIARIOS_CF_SEC_20230117.xlsx]CF PRBNP'!</v>
      </c>
      <c r="G3926" s="6" t="s">
        <v>113</v>
      </c>
      <c r="H3926" s="1"/>
      <c r="I3926" s="1"/>
      <c r="J3926" s="1"/>
    </row>
    <row r="3927" spans="1:10" x14ac:dyDescent="0.3">
      <c r="A3927" s="6" t="s">
        <v>18</v>
      </c>
      <c r="B3927" s="6">
        <f t="shared" si="907"/>
        <v>2034</v>
      </c>
      <c r="C3927" s="1" t="s">
        <v>43</v>
      </c>
      <c r="D3927" s="2" t="s">
        <v>131</v>
      </c>
      <c r="E3927" s="9" t="str">
        <f t="shared" si="905"/>
        <v>PRBNP'!</v>
      </c>
      <c r="F3927" s="5" t="str">
        <f t="shared" si="906"/>
        <v>C:\Users\jaime.benazar\Quorum Business Solutions\Ecopetrol Prometeo - Documents\Planning Space Implementation\3. Analysis &amp; Design\Design\FC22\DRR Jaime\Neiva CPI\[VAO_DINA TERCIARIOS_CF_SEC_20230117.xlsx]CF PRBNP'!</v>
      </c>
      <c r="G3927" s="6" t="s">
        <v>113</v>
      </c>
      <c r="H3927" s="1"/>
      <c r="I3927" s="1"/>
      <c r="J3927" s="1"/>
    </row>
    <row r="3928" spans="1:10" x14ac:dyDescent="0.3">
      <c r="A3928" s="6" t="s">
        <v>18</v>
      </c>
      <c r="B3928" s="6">
        <f t="shared" si="907"/>
        <v>2035</v>
      </c>
      <c r="C3928" s="1" t="s">
        <v>43</v>
      </c>
      <c r="D3928" s="2" t="s">
        <v>131</v>
      </c>
      <c r="E3928" s="9" t="str">
        <f t="shared" si="905"/>
        <v>PRBNP'!</v>
      </c>
      <c r="F3928" s="5" t="str">
        <f t="shared" si="906"/>
        <v>C:\Users\jaime.benazar\Quorum Business Solutions\Ecopetrol Prometeo - Documents\Planning Space Implementation\3. Analysis &amp; Design\Design\FC22\DRR Jaime\Neiva CPI\[VAO_DINA TERCIARIOS_CF_SEC_20230117.xlsx]CF PRBNP'!</v>
      </c>
      <c r="G3928" s="6" t="s">
        <v>113</v>
      </c>
      <c r="H3928" s="1"/>
      <c r="I3928" s="1"/>
      <c r="J3928" s="1"/>
    </row>
    <row r="3929" spans="1:10" x14ac:dyDescent="0.3">
      <c r="A3929" s="6" t="s">
        <v>18</v>
      </c>
      <c r="B3929" s="6">
        <f t="shared" si="907"/>
        <v>2036</v>
      </c>
      <c r="C3929" s="1" t="s">
        <v>43</v>
      </c>
      <c r="D3929" s="2" t="s">
        <v>131</v>
      </c>
      <c r="E3929" s="9" t="str">
        <f t="shared" si="905"/>
        <v>PRBNP'!</v>
      </c>
      <c r="F3929" s="5" t="str">
        <f t="shared" si="906"/>
        <v>C:\Users\jaime.benazar\Quorum Business Solutions\Ecopetrol Prometeo - Documents\Planning Space Implementation\3. Analysis &amp; Design\Design\FC22\DRR Jaime\Neiva CPI\[VAO_DINA TERCIARIOS_CF_SEC_20230117.xlsx]CF PRBNP'!</v>
      </c>
      <c r="G3929" s="6" t="s">
        <v>113</v>
      </c>
      <c r="H3929" s="1"/>
      <c r="I3929" s="1"/>
      <c r="J3929" s="1"/>
    </row>
    <row r="3930" spans="1:10" x14ac:dyDescent="0.3">
      <c r="A3930" s="6" t="s">
        <v>18</v>
      </c>
      <c r="B3930" s="6">
        <f>+B3929+1</f>
        <v>2037</v>
      </c>
      <c r="C3930" s="1" t="s">
        <v>43</v>
      </c>
      <c r="D3930" s="2" t="s">
        <v>131</v>
      </c>
      <c r="E3930" s="9" t="str">
        <f t="shared" si="905"/>
        <v>PRBNP'!</v>
      </c>
      <c r="F3930" s="5" t="str">
        <f t="shared" si="906"/>
        <v>C:\Users\jaime.benazar\Quorum Business Solutions\Ecopetrol Prometeo - Documents\Planning Space Implementation\3. Analysis &amp; Design\Design\FC22\DRR Jaime\Neiva CPI\[VAO_DINA TERCIARIOS_CF_SEC_20230117.xlsx]CF PRBNP'!</v>
      </c>
      <c r="G3930" s="6" t="s">
        <v>113</v>
      </c>
      <c r="H3930" s="1"/>
      <c r="I3930" s="1"/>
      <c r="J3930" s="1"/>
    </row>
    <row r="3931" spans="1:10" x14ac:dyDescent="0.3">
      <c r="A3931" s="6" t="s">
        <v>18</v>
      </c>
      <c r="B3931" s="6">
        <f t="shared" ref="B3931:B3933" si="908">+B3930+1</f>
        <v>2038</v>
      </c>
      <c r="C3931" s="1" t="s">
        <v>43</v>
      </c>
      <c r="D3931" s="2" t="s">
        <v>131</v>
      </c>
      <c r="E3931" s="9" t="str">
        <f t="shared" si="905"/>
        <v>PRBNP'!</v>
      </c>
      <c r="F3931" s="5" t="str">
        <f t="shared" si="906"/>
        <v>C:\Users\jaime.benazar\Quorum Business Solutions\Ecopetrol Prometeo - Documents\Planning Space Implementation\3. Analysis &amp; Design\Design\FC22\DRR Jaime\Neiva CPI\[VAO_DINA TERCIARIOS_CF_SEC_20230117.xlsx]CF PRBNP'!</v>
      </c>
      <c r="G3931" s="6" t="s">
        <v>113</v>
      </c>
      <c r="H3931" s="1"/>
      <c r="I3931" s="1"/>
      <c r="J3931" s="1"/>
    </row>
    <row r="3932" spans="1:10" x14ac:dyDescent="0.3">
      <c r="A3932" s="6" t="s">
        <v>18</v>
      </c>
      <c r="B3932" s="6">
        <f t="shared" si="908"/>
        <v>2039</v>
      </c>
      <c r="C3932" s="1" t="s">
        <v>43</v>
      </c>
      <c r="D3932" s="2" t="s">
        <v>131</v>
      </c>
      <c r="E3932" s="9" t="str">
        <f t="shared" si="905"/>
        <v>PRBNP'!</v>
      </c>
      <c r="F3932" s="5" t="str">
        <f t="shared" si="906"/>
        <v>C:\Users\jaime.benazar\Quorum Business Solutions\Ecopetrol Prometeo - Documents\Planning Space Implementation\3. Analysis &amp; Design\Design\FC22\DRR Jaime\Neiva CPI\[VAO_DINA TERCIARIOS_CF_SEC_20230117.xlsx]CF PRBNP'!</v>
      </c>
      <c r="G3932" s="6" t="s">
        <v>113</v>
      </c>
      <c r="H3932" s="1"/>
      <c r="I3932" s="1"/>
      <c r="J3932" s="1"/>
    </row>
    <row r="3933" spans="1:10" x14ac:dyDescent="0.3">
      <c r="A3933" s="6" t="s">
        <v>18</v>
      </c>
      <c r="B3933" s="6">
        <f t="shared" si="908"/>
        <v>2040</v>
      </c>
      <c r="C3933" s="1" t="s">
        <v>43</v>
      </c>
      <c r="D3933" s="2" t="s">
        <v>131</v>
      </c>
      <c r="E3933" s="9" t="str">
        <f t="shared" si="905"/>
        <v>PRBNP'!</v>
      </c>
      <c r="F3933" s="5" t="str">
        <f t="shared" si="906"/>
        <v>C:\Users\jaime.benazar\Quorum Business Solutions\Ecopetrol Prometeo - Documents\Planning Space Implementation\3. Analysis &amp; Design\Design\FC22\DRR Jaime\Neiva CPI\[VAO_DINA TERCIARIOS_CF_SEC_20230117.xlsx]CF PRBNP'!</v>
      </c>
      <c r="G3933" s="6" t="s">
        <v>113</v>
      </c>
      <c r="H3933" s="1"/>
      <c r="I3933" s="1"/>
      <c r="J3933" s="1"/>
    </row>
    <row r="3934" spans="1:10" x14ac:dyDescent="0.3">
      <c r="A3934" s="6" t="s">
        <v>18</v>
      </c>
      <c r="B3934" s="6">
        <f>+B3933+1</f>
        <v>2041</v>
      </c>
      <c r="C3934" s="1" t="s">
        <v>43</v>
      </c>
      <c r="D3934" s="2" t="s">
        <v>131</v>
      </c>
      <c r="E3934" s="9" t="str">
        <f t="shared" si="905"/>
        <v>PRBNP'!</v>
      </c>
      <c r="F3934" s="5" t="str">
        <f t="shared" si="906"/>
        <v>C:\Users\jaime.benazar\Quorum Business Solutions\Ecopetrol Prometeo - Documents\Planning Space Implementation\3. Analysis &amp; Design\Design\FC22\DRR Jaime\Neiva CPI\[VAO_DINA TERCIARIOS_CF_SEC_20230117.xlsx]CF PRBNP'!</v>
      </c>
      <c r="G3934" s="6" t="s">
        <v>113</v>
      </c>
      <c r="H3934" s="1"/>
      <c r="I3934" s="1"/>
      <c r="J3934" s="1"/>
    </row>
    <row r="3935" spans="1:10" x14ac:dyDescent="0.3">
      <c r="A3935" s="6" t="s">
        <v>18</v>
      </c>
      <c r="B3935" s="6">
        <f t="shared" ref="B3935:B3936" si="909">+B3934+1</f>
        <v>2042</v>
      </c>
      <c r="C3935" s="1" t="s">
        <v>43</v>
      </c>
      <c r="D3935" s="2" t="s">
        <v>131</v>
      </c>
      <c r="E3935" s="9" t="str">
        <f t="shared" si="905"/>
        <v>PRBNP'!</v>
      </c>
      <c r="F3935" s="5" t="str">
        <f t="shared" si="906"/>
        <v>C:\Users\jaime.benazar\Quorum Business Solutions\Ecopetrol Prometeo - Documents\Planning Space Implementation\3. Analysis &amp; Design\Design\FC22\DRR Jaime\Neiva CPI\[VAO_DINA TERCIARIOS_CF_SEC_20230117.xlsx]CF PRBNP'!</v>
      </c>
      <c r="G3935" s="6" t="s">
        <v>113</v>
      </c>
      <c r="H3935" s="1"/>
      <c r="I3935" s="1"/>
      <c r="J3935" s="1"/>
    </row>
    <row r="3936" spans="1:10" x14ac:dyDescent="0.3">
      <c r="A3936" s="6" t="s">
        <v>18</v>
      </c>
      <c r="B3936" s="6">
        <f t="shared" si="909"/>
        <v>2043</v>
      </c>
      <c r="C3936" s="1" t="s">
        <v>43</v>
      </c>
      <c r="D3936" s="2" t="s">
        <v>131</v>
      </c>
      <c r="E3936" s="9" t="str">
        <f t="shared" si="905"/>
        <v>PRBNP'!</v>
      </c>
      <c r="F3936" s="5" t="str">
        <f t="shared" si="906"/>
        <v>C:\Users\jaime.benazar\Quorum Business Solutions\Ecopetrol Prometeo - Documents\Planning Space Implementation\3. Analysis &amp; Design\Design\FC22\DRR Jaime\Neiva CPI\[VAO_DINA TERCIARIOS_CF_SEC_20230117.xlsx]CF PRBNP'!</v>
      </c>
      <c r="G3936" s="6" t="s">
        <v>113</v>
      </c>
      <c r="H3936" s="1"/>
      <c r="I3936" s="1"/>
      <c r="J3936" s="1"/>
    </row>
    <row r="3937" spans="1:10" x14ac:dyDescent="0.3">
      <c r="A3937" s="6" t="s">
        <v>18</v>
      </c>
      <c r="B3937" s="6">
        <f>+B3936+1</f>
        <v>2044</v>
      </c>
      <c r="C3937" s="1" t="s">
        <v>43</v>
      </c>
      <c r="D3937" s="2" t="s">
        <v>131</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Jaime\Neiva CPI\[VAO_DINA TERCIARIOS_CF_SEC_20230117.xlsx]CF PRBNP'!</v>
      </c>
      <c r="G3937" s="6" t="s">
        <v>113</v>
      </c>
      <c r="H3937" s="1"/>
      <c r="I3937" s="1"/>
      <c r="J3937" s="1"/>
    </row>
    <row r="3938" spans="1:10" x14ac:dyDescent="0.3">
      <c r="A3938" s="6" t="s">
        <v>18</v>
      </c>
      <c r="B3938" s="6">
        <f t="shared" ref="B3938:B3952" si="912">+B3937+1</f>
        <v>2045</v>
      </c>
      <c r="C3938" s="1" t="s">
        <v>43</v>
      </c>
      <c r="D3938" s="2" t="s">
        <v>131</v>
      </c>
      <c r="E3938" s="9" t="str">
        <f t="shared" si="910"/>
        <v>PRBNP'!</v>
      </c>
      <c r="F3938" s="5" t="str">
        <f t="shared" si="911"/>
        <v>C:\Users\jaime.benazar\Quorum Business Solutions\Ecopetrol Prometeo - Documents\Planning Space Implementation\3. Analysis &amp; Design\Design\FC22\DRR Jaime\Neiva CPI\[VAO_DINA TERCIARIOS_CF_SEC_20230117.xlsx]CF PRBNP'!</v>
      </c>
      <c r="G3938" s="6" t="s">
        <v>113</v>
      </c>
      <c r="H3938" s="1"/>
      <c r="I3938" s="1"/>
      <c r="J3938" s="1"/>
    </row>
    <row r="3939" spans="1:10" x14ac:dyDescent="0.3">
      <c r="A3939" s="6" t="s">
        <v>18</v>
      </c>
      <c r="B3939" s="6">
        <f t="shared" si="912"/>
        <v>2046</v>
      </c>
      <c r="C3939" s="1" t="s">
        <v>43</v>
      </c>
      <c r="D3939" s="2" t="s">
        <v>131</v>
      </c>
      <c r="E3939" s="9" t="str">
        <f t="shared" si="910"/>
        <v>PRBNP'!</v>
      </c>
      <c r="F3939" s="5" t="str">
        <f t="shared" si="911"/>
        <v>C:\Users\jaime.benazar\Quorum Business Solutions\Ecopetrol Prometeo - Documents\Planning Space Implementation\3. Analysis &amp; Design\Design\FC22\DRR Jaime\Neiva CPI\[VAO_DINA TERCIARIOS_CF_SEC_20230117.xlsx]CF PRBNP'!</v>
      </c>
      <c r="G3939" s="6" t="s">
        <v>113</v>
      </c>
      <c r="H3939" s="1"/>
      <c r="I3939" s="1"/>
      <c r="J3939" s="1"/>
    </row>
    <row r="3940" spans="1:10" x14ac:dyDescent="0.3">
      <c r="A3940" s="6" t="s">
        <v>18</v>
      </c>
      <c r="B3940" s="6">
        <f t="shared" si="912"/>
        <v>2047</v>
      </c>
      <c r="C3940" s="1" t="s">
        <v>43</v>
      </c>
      <c r="D3940" s="2" t="s">
        <v>131</v>
      </c>
      <c r="E3940" s="9" t="str">
        <f t="shared" si="910"/>
        <v>PRBNP'!</v>
      </c>
      <c r="F3940" s="5" t="str">
        <f t="shared" si="911"/>
        <v>C:\Users\jaime.benazar\Quorum Business Solutions\Ecopetrol Prometeo - Documents\Planning Space Implementation\3. Analysis &amp; Design\Design\FC22\DRR Jaime\Neiva CPI\[VAO_DINA TERCIARIOS_CF_SEC_20230117.xlsx]CF PRBNP'!</v>
      </c>
      <c r="G3940" s="6" t="s">
        <v>113</v>
      </c>
      <c r="H3940" s="1"/>
      <c r="I3940" s="1"/>
      <c r="J3940" s="1"/>
    </row>
    <row r="3941" spans="1:10" x14ac:dyDescent="0.3">
      <c r="A3941" s="6" t="s">
        <v>18</v>
      </c>
      <c r="B3941" s="6">
        <f t="shared" si="912"/>
        <v>2048</v>
      </c>
      <c r="C3941" s="1" t="s">
        <v>43</v>
      </c>
      <c r="D3941" s="2" t="s">
        <v>131</v>
      </c>
      <c r="E3941" s="9" t="str">
        <f t="shared" si="910"/>
        <v>PRBNP'!</v>
      </c>
      <c r="F3941" s="5" t="str">
        <f t="shared" si="911"/>
        <v>C:\Users\jaime.benazar\Quorum Business Solutions\Ecopetrol Prometeo - Documents\Planning Space Implementation\3. Analysis &amp; Design\Design\FC22\DRR Jaime\Neiva CPI\[VAO_DINA TERCIARIOS_CF_SEC_20230117.xlsx]CF PRBNP'!</v>
      </c>
      <c r="G3941" s="6" t="s">
        <v>113</v>
      </c>
      <c r="H3941" s="1"/>
      <c r="I3941" s="1"/>
      <c r="J3941" s="1"/>
    </row>
    <row r="3942" spans="1:10" x14ac:dyDescent="0.3">
      <c r="A3942" s="6" t="s">
        <v>18</v>
      </c>
      <c r="B3942" s="6">
        <f t="shared" si="912"/>
        <v>2049</v>
      </c>
      <c r="C3942" s="1" t="s">
        <v>43</v>
      </c>
      <c r="D3942" s="2" t="s">
        <v>131</v>
      </c>
      <c r="E3942" s="9" t="str">
        <f t="shared" si="910"/>
        <v>PRBNP'!</v>
      </c>
      <c r="F3942" s="5" t="str">
        <f t="shared" si="911"/>
        <v>C:\Users\jaime.benazar\Quorum Business Solutions\Ecopetrol Prometeo - Documents\Planning Space Implementation\3. Analysis &amp; Design\Design\FC22\DRR Jaime\Neiva CPI\[VAO_DINA TERCIARIOS_CF_SEC_20230117.xlsx]CF PRBNP'!</v>
      </c>
      <c r="G3942" s="6" t="s">
        <v>113</v>
      </c>
      <c r="H3942" s="1"/>
      <c r="I3942" s="1"/>
      <c r="J3942" s="1"/>
    </row>
    <row r="3943" spans="1:10" x14ac:dyDescent="0.3">
      <c r="A3943" s="6" t="s">
        <v>18</v>
      </c>
      <c r="B3943" s="6">
        <f t="shared" si="912"/>
        <v>2050</v>
      </c>
      <c r="C3943" s="1" t="s">
        <v>43</v>
      </c>
      <c r="D3943" s="2" t="s">
        <v>131</v>
      </c>
      <c r="E3943" s="9" t="str">
        <f t="shared" si="910"/>
        <v>PRBNP'!</v>
      </c>
      <c r="F3943" s="5" t="str">
        <f t="shared" si="911"/>
        <v>C:\Users\jaime.benazar\Quorum Business Solutions\Ecopetrol Prometeo - Documents\Planning Space Implementation\3. Analysis &amp; Design\Design\FC22\DRR Jaime\Neiva CPI\[VAO_DINA TERCIARIOS_CF_SEC_20230117.xlsx]CF PRBNP'!</v>
      </c>
      <c r="G3943" s="6" t="s">
        <v>113</v>
      </c>
      <c r="H3943" s="1"/>
      <c r="I3943" s="1"/>
      <c r="J3943" s="1"/>
    </row>
    <row r="3944" spans="1:10" x14ac:dyDescent="0.3">
      <c r="A3944" s="6" t="s">
        <v>18</v>
      </c>
      <c r="B3944" s="6">
        <f t="shared" si="912"/>
        <v>2051</v>
      </c>
      <c r="C3944" s="1" t="s">
        <v>43</v>
      </c>
      <c r="D3944" s="2" t="s">
        <v>131</v>
      </c>
      <c r="E3944" s="9" t="str">
        <f t="shared" si="910"/>
        <v>PRBNP'!</v>
      </c>
      <c r="F3944" s="5" t="str">
        <f t="shared" si="911"/>
        <v>C:\Users\jaime.benazar\Quorum Business Solutions\Ecopetrol Prometeo - Documents\Planning Space Implementation\3. Analysis &amp; Design\Design\FC22\DRR Jaime\Neiva CPI\[VAO_DINA TERCIARIOS_CF_SEC_20230117.xlsx]CF PRBNP'!</v>
      </c>
      <c r="G3944" s="6" t="s">
        <v>113</v>
      </c>
      <c r="H3944" s="1"/>
      <c r="I3944" s="1"/>
      <c r="J3944" s="1"/>
    </row>
    <row r="3945" spans="1:10" x14ac:dyDescent="0.3">
      <c r="A3945" s="6" t="s">
        <v>18</v>
      </c>
      <c r="B3945" s="6">
        <f t="shared" si="912"/>
        <v>2052</v>
      </c>
      <c r="C3945" s="1" t="s">
        <v>43</v>
      </c>
      <c r="D3945" s="2" t="s">
        <v>131</v>
      </c>
      <c r="E3945" s="9" t="str">
        <f t="shared" si="910"/>
        <v>PRBNP'!</v>
      </c>
      <c r="F3945" s="5" t="str">
        <f t="shared" si="911"/>
        <v>C:\Users\jaime.benazar\Quorum Business Solutions\Ecopetrol Prometeo - Documents\Planning Space Implementation\3. Analysis &amp; Design\Design\FC22\DRR Jaime\Neiva CPI\[VAO_DINA TERCIARIOS_CF_SEC_20230117.xlsx]CF PRBNP'!</v>
      </c>
      <c r="G3945" s="6" t="s">
        <v>113</v>
      </c>
      <c r="H3945" s="1"/>
      <c r="I3945" s="1"/>
      <c r="J3945" s="1"/>
    </row>
    <row r="3946" spans="1:10" x14ac:dyDescent="0.3">
      <c r="A3946" s="6" t="s">
        <v>18</v>
      </c>
      <c r="B3946" s="6">
        <f t="shared" si="912"/>
        <v>2053</v>
      </c>
      <c r="C3946" s="1" t="s">
        <v>43</v>
      </c>
      <c r="D3946" s="2" t="s">
        <v>131</v>
      </c>
      <c r="E3946" s="9" t="str">
        <f t="shared" si="910"/>
        <v>PRBNP'!</v>
      </c>
      <c r="F3946" s="5" t="str">
        <f t="shared" si="911"/>
        <v>C:\Users\jaime.benazar\Quorum Business Solutions\Ecopetrol Prometeo - Documents\Planning Space Implementation\3. Analysis &amp; Design\Design\FC22\DRR Jaime\Neiva CPI\[VAO_DINA TERCIARIOS_CF_SEC_20230117.xlsx]CF PRBNP'!</v>
      </c>
      <c r="G3946" s="6" t="s">
        <v>113</v>
      </c>
      <c r="H3946" s="1"/>
      <c r="I3946" s="1"/>
      <c r="J3946" s="1"/>
    </row>
    <row r="3947" spans="1:10" x14ac:dyDescent="0.3">
      <c r="A3947" s="6" t="s">
        <v>18</v>
      </c>
      <c r="B3947" s="6">
        <f t="shared" si="912"/>
        <v>2054</v>
      </c>
      <c r="C3947" s="1" t="s">
        <v>43</v>
      </c>
      <c r="D3947" s="2" t="s">
        <v>131</v>
      </c>
      <c r="E3947" s="9" t="str">
        <f t="shared" si="910"/>
        <v>PRBNP'!</v>
      </c>
      <c r="F3947" s="5" t="str">
        <f t="shared" si="911"/>
        <v>C:\Users\jaime.benazar\Quorum Business Solutions\Ecopetrol Prometeo - Documents\Planning Space Implementation\3. Analysis &amp; Design\Design\FC22\DRR Jaime\Neiva CPI\[VAO_DINA TERCIARIOS_CF_SEC_20230117.xlsx]CF PRBNP'!</v>
      </c>
      <c r="G3947" s="6" t="s">
        <v>113</v>
      </c>
      <c r="H3947" s="1"/>
      <c r="I3947" s="1"/>
      <c r="J3947" s="1"/>
    </row>
    <row r="3948" spans="1:10" x14ac:dyDescent="0.3">
      <c r="A3948" s="6" t="s">
        <v>18</v>
      </c>
      <c r="B3948" s="6">
        <f t="shared" si="912"/>
        <v>2055</v>
      </c>
      <c r="C3948" s="1" t="s">
        <v>43</v>
      </c>
      <c r="D3948" s="2" t="s">
        <v>131</v>
      </c>
      <c r="E3948" s="9" t="str">
        <f t="shared" si="910"/>
        <v>PRBNP'!</v>
      </c>
      <c r="F3948" s="5" t="str">
        <f t="shared" si="911"/>
        <v>C:\Users\jaime.benazar\Quorum Business Solutions\Ecopetrol Prometeo - Documents\Planning Space Implementation\3. Analysis &amp; Design\Design\FC22\DRR Jaime\Neiva CPI\[VAO_DINA TERCIARIOS_CF_SEC_20230117.xlsx]CF PRBNP'!</v>
      </c>
      <c r="G3948" s="6" t="s">
        <v>113</v>
      </c>
      <c r="H3948" s="1"/>
      <c r="I3948" s="1"/>
      <c r="J3948" s="1"/>
    </row>
    <row r="3949" spans="1:10" x14ac:dyDescent="0.3">
      <c r="A3949" s="6" t="s">
        <v>18</v>
      </c>
      <c r="B3949" s="6">
        <f t="shared" si="912"/>
        <v>2056</v>
      </c>
      <c r="C3949" s="1" t="s">
        <v>43</v>
      </c>
      <c r="D3949" s="2" t="s">
        <v>131</v>
      </c>
      <c r="E3949" s="9" t="str">
        <f t="shared" si="910"/>
        <v>PRBNP'!</v>
      </c>
      <c r="F3949" s="5" t="str">
        <f t="shared" si="911"/>
        <v>C:\Users\jaime.benazar\Quorum Business Solutions\Ecopetrol Prometeo - Documents\Planning Space Implementation\3. Analysis &amp; Design\Design\FC22\DRR Jaime\Neiva CPI\[VAO_DINA TERCIARIOS_CF_SEC_20230117.xlsx]CF PRBNP'!</v>
      </c>
      <c r="G3949" s="6" t="s">
        <v>113</v>
      </c>
      <c r="H3949" s="1"/>
      <c r="I3949" s="1"/>
      <c r="J3949" s="1"/>
    </row>
    <row r="3950" spans="1:10" x14ac:dyDescent="0.3">
      <c r="A3950" s="6" t="s">
        <v>18</v>
      </c>
      <c r="B3950" s="6">
        <f t="shared" si="912"/>
        <v>2057</v>
      </c>
      <c r="C3950" s="1" t="s">
        <v>43</v>
      </c>
      <c r="D3950" s="2" t="s">
        <v>131</v>
      </c>
      <c r="E3950" s="9" t="str">
        <f t="shared" si="910"/>
        <v>PRBNP'!</v>
      </c>
      <c r="F3950" s="5" t="str">
        <f t="shared" si="911"/>
        <v>C:\Users\jaime.benazar\Quorum Business Solutions\Ecopetrol Prometeo - Documents\Planning Space Implementation\3. Analysis &amp; Design\Design\FC22\DRR Jaime\Neiva CPI\[VAO_DINA TERCIARIOS_CF_SEC_20230117.xlsx]CF PRBNP'!</v>
      </c>
      <c r="G3950" s="6" t="s">
        <v>113</v>
      </c>
      <c r="H3950" s="1"/>
      <c r="I3950" s="1"/>
      <c r="J3950" s="1"/>
    </row>
    <row r="3951" spans="1:10" x14ac:dyDescent="0.3">
      <c r="A3951" s="6" t="s">
        <v>18</v>
      </c>
      <c r="B3951" s="6">
        <f t="shared" si="912"/>
        <v>2058</v>
      </c>
      <c r="C3951" s="1" t="s">
        <v>43</v>
      </c>
      <c r="D3951" s="2" t="s">
        <v>131</v>
      </c>
      <c r="E3951" s="9" t="str">
        <f t="shared" si="910"/>
        <v>PRBNP'!</v>
      </c>
      <c r="F3951" s="5" t="str">
        <f t="shared" si="911"/>
        <v>C:\Users\jaime.benazar\Quorum Business Solutions\Ecopetrol Prometeo - Documents\Planning Space Implementation\3. Analysis &amp; Design\Design\FC22\DRR Jaime\Neiva CPI\[VAO_DINA TERCIARIOS_CF_SEC_20230117.xlsx]CF PRBNP'!</v>
      </c>
      <c r="G3951" s="6" t="s">
        <v>113</v>
      </c>
      <c r="H3951" s="1"/>
      <c r="I3951" s="1"/>
      <c r="J3951" s="1"/>
    </row>
    <row r="3952" spans="1:10" x14ac:dyDescent="0.3">
      <c r="A3952" s="6" t="s">
        <v>18</v>
      </c>
      <c r="B3952" s="6">
        <f t="shared" si="912"/>
        <v>2059</v>
      </c>
      <c r="C3952" s="1" t="s">
        <v>43</v>
      </c>
      <c r="D3952" s="2" t="s">
        <v>131</v>
      </c>
      <c r="E3952" s="9" t="str">
        <f t="shared" si="910"/>
        <v>PRBNP'!</v>
      </c>
      <c r="F3952" s="5" t="str">
        <f t="shared" si="911"/>
        <v>C:\Users\jaime.benazar\Quorum Business Solutions\Ecopetrol Prometeo - Documents\Planning Space Implementation\3. Analysis &amp; Design\Design\FC22\DRR Jaime\Neiva CPI\[VAO_DINA TERCIARIOS_CF_SEC_20230117.xlsx]CF PRBNP'!</v>
      </c>
      <c r="G3952" s="6" t="s">
        <v>113</v>
      </c>
      <c r="H3952" s="1"/>
      <c r="I3952" s="1"/>
      <c r="J3952" s="1"/>
    </row>
    <row r="3953" spans="1:10" x14ac:dyDescent="0.3">
      <c r="A3953" s="6" t="s">
        <v>26</v>
      </c>
      <c r="B3953" s="6"/>
      <c r="C3953" s="1" t="s">
        <v>43</v>
      </c>
      <c r="D3953" s="2"/>
      <c r="E3953" s="9"/>
      <c r="F3953" s="2"/>
      <c r="G3953" s="6"/>
      <c r="H3953" s="1"/>
      <c r="I3953" s="1"/>
      <c r="J3953" s="12"/>
    </row>
    <row r="3954" spans="1:10" x14ac:dyDescent="0.3">
      <c r="A3954" s="6" t="s">
        <v>19</v>
      </c>
      <c r="B3954" s="6">
        <v>2023</v>
      </c>
      <c r="C3954" s="1" t="s">
        <v>43</v>
      </c>
      <c r="D3954" s="2" t="s">
        <v>131</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Jaime\Neiva CPI\[VAO_DINA TERCIARIOS_CF_SEC_20230117.xlsx]CF PRBND'!</v>
      </c>
      <c r="G3954" s="6" t="s">
        <v>113</v>
      </c>
      <c r="H3954" s="1"/>
      <c r="I3954" s="1"/>
      <c r="J3954" s="1"/>
    </row>
    <row r="3955" spans="1:10" x14ac:dyDescent="0.3">
      <c r="A3955" s="6" t="s">
        <v>19</v>
      </c>
      <c r="B3955" s="6">
        <f>+B3954+1</f>
        <v>2024</v>
      </c>
      <c r="C3955" s="1" t="s">
        <v>43</v>
      </c>
      <c r="D3955" s="2" t="s">
        <v>131</v>
      </c>
      <c r="E3955" s="9" t="str">
        <f t="shared" si="913"/>
        <v>PRBND'!</v>
      </c>
      <c r="F3955" s="5" t="str">
        <f t="shared" si="914"/>
        <v>C:\Users\jaime.benazar\Quorum Business Solutions\Ecopetrol Prometeo - Documents\Planning Space Implementation\3. Analysis &amp; Design\Design\FC22\DRR Jaime\Neiva CPI\[VAO_DINA TERCIARIOS_CF_SEC_20230117.xlsx]CF PRBND'!</v>
      </c>
      <c r="G3955" s="6" t="s">
        <v>113</v>
      </c>
      <c r="H3955" s="1"/>
      <c r="I3955" s="1"/>
      <c r="J3955" s="1"/>
    </row>
    <row r="3956" spans="1:10" x14ac:dyDescent="0.3">
      <c r="A3956" s="6" t="s">
        <v>19</v>
      </c>
      <c r="B3956" s="6">
        <f t="shared" ref="B3956:B3967" si="915">+B3955+1</f>
        <v>2025</v>
      </c>
      <c r="C3956" s="1" t="s">
        <v>43</v>
      </c>
      <c r="D3956" s="2" t="s">
        <v>131</v>
      </c>
      <c r="E3956" s="9" t="str">
        <f t="shared" si="913"/>
        <v>PRBND'!</v>
      </c>
      <c r="F3956" s="5" t="str">
        <f t="shared" si="914"/>
        <v>C:\Users\jaime.benazar\Quorum Business Solutions\Ecopetrol Prometeo - Documents\Planning Space Implementation\3. Analysis &amp; Design\Design\FC22\DRR Jaime\Neiva CPI\[VAO_DINA TERCIARIOS_CF_SEC_20230117.xlsx]CF PRBND'!</v>
      </c>
      <c r="G3956" s="6" t="s">
        <v>113</v>
      </c>
      <c r="H3956" s="1"/>
      <c r="I3956" s="1"/>
      <c r="J3956" s="1"/>
    </row>
    <row r="3957" spans="1:10" x14ac:dyDescent="0.3">
      <c r="A3957" s="6" t="s">
        <v>19</v>
      </c>
      <c r="B3957" s="6">
        <f t="shared" si="915"/>
        <v>2026</v>
      </c>
      <c r="C3957" s="1" t="s">
        <v>43</v>
      </c>
      <c r="D3957" s="2" t="s">
        <v>131</v>
      </c>
      <c r="E3957" s="9" t="str">
        <f t="shared" si="913"/>
        <v>PRBND'!</v>
      </c>
      <c r="F3957" s="5" t="str">
        <f t="shared" si="914"/>
        <v>C:\Users\jaime.benazar\Quorum Business Solutions\Ecopetrol Prometeo - Documents\Planning Space Implementation\3. Analysis &amp; Design\Design\FC22\DRR Jaime\Neiva CPI\[VAO_DINA TERCIARIOS_CF_SEC_20230117.xlsx]CF PRBND'!</v>
      </c>
      <c r="G3957" s="6" t="s">
        <v>113</v>
      </c>
      <c r="H3957" s="1"/>
      <c r="I3957" s="1"/>
      <c r="J3957" s="1"/>
    </row>
    <row r="3958" spans="1:10" x14ac:dyDescent="0.3">
      <c r="A3958" s="6" t="s">
        <v>19</v>
      </c>
      <c r="B3958" s="6">
        <f t="shared" si="915"/>
        <v>2027</v>
      </c>
      <c r="C3958" s="1" t="s">
        <v>43</v>
      </c>
      <c r="D3958" s="2" t="s">
        <v>131</v>
      </c>
      <c r="E3958" s="9" t="str">
        <f t="shared" si="913"/>
        <v>PRBND'!</v>
      </c>
      <c r="F3958" s="5" t="str">
        <f t="shared" si="914"/>
        <v>C:\Users\jaime.benazar\Quorum Business Solutions\Ecopetrol Prometeo - Documents\Planning Space Implementation\3. Analysis &amp; Design\Design\FC22\DRR Jaime\Neiva CPI\[VAO_DINA TERCIARIOS_CF_SEC_20230117.xlsx]CF PRBND'!</v>
      </c>
      <c r="G3958" s="6" t="s">
        <v>113</v>
      </c>
      <c r="H3958" s="1"/>
      <c r="I3958" s="1"/>
      <c r="J3958" s="1"/>
    </row>
    <row r="3959" spans="1:10" x14ac:dyDescent="0.3">
      <c r="A3959" s="6" t="s">
        <v>19</v>
      </c>
      <c r="B3959" s="6">
        <f t="shared" si="915"/>
        <v>2028</v>
      </c>
      <c r="C3959" s="1" t="s">
        <v>43</v>
      </c>
      <c r="D3959" s="2" t="s">
        <v>131</v>
      </c>
      <c r="E3959" s="9" t="str">
        <f t="shared" si="913"/>
        <v>PRBND'!</v>
      </c>
      <c r="F3959" s="5" t="str">
        <f t="shared" si="914"/>
        <v>C:\Users\jaime.benazar\Quorum Business Solutions\Ecopetrol Prometeo - Documents\Planning Space Implementation\3. Analysis &amp; Design\Design\FC22\DRR Jaime\Neiva CPI\[VAO_DINA TERCIARIOS_CF_SEC_20230117.xlsx]CF PRBND'!</v>
      </c>
      <c r="G3959" s="6" t="s">
        <v>113</v>
      </c>
      <c r="H3959" s="1"/>
      <c r="I3959" s="1"/>
      <c r="J3959" s="1"/>
    </row>
    <row r="3960" spans="1:10" x14ac:dyDescent="0.3">
      <c r="A3960" s="6" t="s">
        <v>19</v>
      </c>
      <c r="B3960" s="6">
        <f t="shared" si="915"/>
        <v>2029</v>
      </c>
      <c r="C3960" s="1" t="s">
        <v>43</v>
      </c>
      <c r="D3960" s="2" t="s">
        <v>131</v>
      </c>
      <c r="E3960" s="9" t="str">
        <f t="shared" si="913"/>
        <v>PRBND'!</v>
      </c>
      <c r="F3960" s="5" t="str">
        <f t="shared" si="914"/>
        <v>C:\Users\jaime.benazar\Quorum Business Solutions\Ecopetrol Prometeo - Documents\Planning Space Implementation\3. Analysis &amp; Design\Design\FC22\DRR Jaime\Neiva CPI\[VAO_DINA TERCIARIOS_CF_SEC_20230117.xlsx]CF PRBND'!</v>
      </c>
      <c r="G3960" s="6" t="s">
        <v>113</v>
      </c>
      <c r="H3960" s="1"/>
      <c r="I3960" s="1"/>
      <c r="J3960" s="1"/>
    </row>
    <row r="3961" spans="1:10" x14ac:dyDescent="0.3">
      <c r="A3961" s="6" t="s">
        <v>19</v>
      </c>
      <c r="B3961" s="6">
        <f t="shared" si="915"/>
        <v>2030</v>
      </c>
      <c r="C3961" s="1" t="s">
        <v>43</v>
      </c>
      <c r="D3961" s="2" t="s">
        <v>131</v>
      </c>
      <c r="E3961" s="9" t="str">
        <f t="shared" si="913"/>
        <v>PRBND'!</v>
      </c>
      <c r="F3961" s="5" t="str">
        <f t="shared" si="914"/>
        <v>C:\Users\jaime.benazar\Quorum Business Solutions\Ecopetrol Prometeo - Documents\Planning Space Implementation\3. Analysis &amp; Design\Design\FC22\DRR Jaime\Neiva CPI\[VAO_DINA TERCIARIOS_CF_SEC_20230117.xlsx]CF PRBND'!</v>
      </c>
      <c r="G3961" s="6" t="s">
        <v>113</v>
      </c>
      <c r="H3961" s="1"/>
      <c r="I3961" s="1"/>
      <c r="J3961" s="1"/>
    </row>
    <row r="3962" spans="1:10" x14ac:dyDescent="0.3">
      <c r="A3962" s="6" t="s">
        <v>19</v>
      </c>
      <c r="B3962" s="6">
        <f t="shared" si="915"/>
        <v>2031</v>
      </c>
      <c r="C3962" s="1" t="s">
        <v>43</v>
      </c>
      <c r="D3962" s="2" t="s">
        <v>131</v>
      </c>
      <c r="E3962" s="9" t="str">
        <f t="shared" si="913"/>
        <v>PRBND'!</v>
      </c>
      <c r="F3962" s="5" t="str">
        <f t="shared" si="914"/>
        <v>C:\Users\jaime.benazar\Quorum Business Solutions\Ecopetrol Prometeo - Documents\Planning Space Implementation\3. Analysis &amp; Design\Design\FC22\DRR Jaime\Neiva CPI\[VAO_DINA TERCIARIOS_CF_SEC_20230117.xlsx]CF PRBND'!</v>
      </c>
      <c r="G3962" s="6" t="s">
        <v>113</v>
      </c>
      <c r="H3962" s="1"/>
      <c r="I3962" s="1"/>
      <c r="J3962" s="1"/>
    </row>
    <row r="3963" spans="1:10" x14ac:dyDescent="0.3">
      <c r="A3963" s="6" t="s">
        <v>19</v>
      </c>
      <c r="B3963" s="6">
        <f t="shared" si="915"/>
        <v>2032</v>
      </c>
      <c r="C3963" s="1" t="s">
        <v>43</v>
      </c>
      <c r="D3963" s="2" t="s">
        <v>131</v>
      </c>
      <c r="E3963" s="9" t="str">
        <f t="shared" si="913"/>
        <v>PRBND'!</v>
      </c>
      <c r="F3963" s="5" t="str">
        <f t="shared" si="914"/>
        <v>C:\Users\jaime.benazar\Quorum Business Solutions\Ecopetrol Prometeo - Documents\Planning Space Implementation\3. Analysis &amp; Design\Design\FC22\DRR Jaime\Neiva CPI\[VAO_DINA TERCIARIOS_CF_SEC_20230117.xlsx]CF PRBND'!</v>
      </c>
      <c r="G3963" s="6" t="s">
        <v>113</v>
      </c>
      <c r="H3963" s="1"/>
      <c r="I3963" s="1"/>
      <c r="J3963" s="1"/>
    </row>
    <row r="3964" spans="1:10" x14ac:dyDescent="0.3">
      <c r="A3964" s="6" t="s">
        <v>19</v>
      </c>
      <c r="B3964" s="6">
        <f t="shared" si="915"/>
        <v>2033</v>
      </c>
      <c r="C3964" s="1" t="s">
        <v>43</v>
      </c>
      <c r="D3964" s="2" t="s">
        <v>131</v>
      </c>
      <c r="E3964" s="9" t="str">
        <f t="shared" si="913"/>
        <v>PRBND'!</v>
      </c>
      <c r="F3964" s="5" t="str">
        <f t="shared" si="914"/>
        <v>C:\Users\jaime.benazar\Quorum Business Solutions\Ecopetrol Prometeo - Documents\Planning Space Implementation\3. Analysis &amp; Design\Design\FC22\DRR Jaime\Neiva CPI\[VAO_DINA TERCIARIOS_CF_SEC_20230117.xlsx]CF PRBND'!</v>
      </c>
      <c r="G3964" s="6" t="s">
        <v>113</v>
      </c>
      <c r="H3964" s="1"/>
      <c r="I3964" s="1"/>
      <c r="J3964" s="1"/>
    </row>
    <row r="3965" spans="1:10" x14ac:dyDescent="0.3">
      <c r="A3965" s="6" t="s">
        <v>19</v>
      </c>
      <c r="B3965" s="6">
        <f t="shared" si="915"/>
        <v>2034</v>
      </c>
      <c r="C3965" s="1" t="s">
        <v>43</v>
      </c>
      <c r="D3965" s="2" t="s">
        <v>131</v>
      </c>
      <c r="E3965" s="9" t="str">
        <f t="shared" si="913"/>
        <v>PRBND'!</v>
      </c>
      <c r="F3965" s="5" t="str">
        <f t="shared" si="914"/>
        <v>C:\Users\jaime.benazar\Quorum Business Solutions\Ecopetrol Prometeo - Documents\Planning Space Implementation\3. Analysis &amp; Design\Design\FC22\DRR Jaime\Neiva CPI\[VAO_DINA TERCIARIOS_CF_SEC_20230117.xlsx]CF PRBND'!</v>
      </c>
      <c r="G3965" s="6" t="s">
        <v>113</v>
      </c>
      <c r="H3965" s="1"/>
      <c r="I3965" s="1"/>
      <c r="J3965" s="1"/>
    </row>
    <row r="3966" spans="1:10" x14ac:dyDescent="0.3">
      <c r="A3966" s="6" t="s">
        <v>19</v>
      </c>
      <c r="B3966" s="6">
        <f t="shared" si="915"/>
        <v>2035</v>
      </c>
      <c r="C3966" s="1" t="s">
        <v>43</v>
      </c>
      <c r="D3966" s="2" t="s">
        <v>131</v>
      </c>
      <c r="E3966" s="9" t="str">
        <f t="shared" si="913"/>
        <v>PRBND'!</v>
      </c>
      <c r="F3966" s="5" t="str">
        <f t="shared" si="914"/>
        <v>C:\Users\jaime.benazar\Quorum Business Solutions\Ecopetrol Prometeo - Documents\Planning Space Implementation\3. Analysis &amp; Design\Design\FC22\DRR Jaime\Neiva CPI\[VAO_DINA TERCIARIOS_CF_SEC_20230117.xlsx]CF PRBND'!</v>
      </c>
      <c r="G3966" s="6" t="s">
        <v>113</v>
      </c>
      <c r="H3966" s="1"/>
      <c r="I3966" s="1"/>
      <c r="J3966" s="1"/>
    </row>
    <row r="3967" spans="1:10" x14ac:dyDescent="0.3">
      <c r="A3967" s="6" t="s">
        <v>19</v>
      </c>
      <c r="B3967" s="6">
        <f t="shared" si="915"/>
        <v>2036</v>
      </c>
      <c r="C3967" s="1" t="s">
        <v>43</v>
      </c>
      <c r="D3967" s="2" t="s">
        <v>131</v>
      </c>
      <c r="E3967" s="9" t="str">
        <f t="shared" si="913"/>
        <v>PRBND'!</v>
      </c>
      <c r="F3967" s="5" t="str">
        <f t="shared" si="914"/>
        <v>C:\Users\jaime.benazar\Quorum Business Solutions\Ecopetrol Prometeo - Documents\Planning Space Implementation\3. Analysis &amp; Design\Design\FC22\DRR Jaime\Neiva CPI\[VAO_DINA TERCIARIOS_CF_SEC_20230117.xlsx]CF PRBND'!</v>
      </c>
      <c r="G3967" s="6" t="s">
        <v>113</v>
      </c>
      <c r="H3967" s="1"/>
      <c r="I3967" s="1"/>
      <c r="J3967" s="1"/>
    </row>
    <row r="3968" spans="1:10" x14ac:dyDescent="0.3">
      <c r="A3968" s="6" t="s">
        <v>19</v>
      </c>
      <c r="B3968" s="6">
        <f>+B3967+1</f>
        <v>2037</v>
      </c>
      <c r="C3968" s="1" t="s">
        <v>43</v>
      </c>
      <c r="D3968" s="2" t="s">
        <v>131</v>
      </c>
      <c r="E3968" s="9" t="str">
        <f t="shared" si="913"/>
        <v>PRBND'!</v>
      </c>
      <c r="F3968" s="5" t="str">
        <f t="shared" si="914"/>
        <v>C:\Users\jaime.benazar\Quorum Business Solutions\Ecopetrol Prometeo - Documents\Planning Space Implementation\3. Analysis &amp; Design\Design\FC22\DRR Jaime\Neiva CPI\[VAO_DINA TERCIARIOS_CF_SEC_20230117.xlsx]CF PRBND'!</v>
      </c>
      <c r="G3968" s="6" t="s">
        <v>113</v>
      </c>
      <c r="H3968" s="1"/>
      <c r="I3968" s="1"/>
      <c r="J3968" s="1"/>
    </row>
    <row r="3969" spans="1:10" x14ac:dyDescent="0.3">
      <c r="A3969" s="6" t="s">
        <v>19</v>
      </c>
      <c r="B3969" s="6">
        <f t="shared" ref="B3969:B3971" si="916">+B3968+1</f>
        <v>2038</v>
      </c>
      <c r="C3969" s="1" t="s">
        <v>43</v>
      </c>
      <c r="D3969" s="2" t="s">
        <v>131</v>
      </c>
      <c r="E3969" s="9" t="str">
        <f t="shared" si="913"/>
        <v>PRBND'!</v>
      </c>
      <c r="F3969" s="5" t="str">
        <f t="shared" si="914"/>
        <v>C:\Users\jaime.benazar\Quorum Business Solutions\Ecopetrol Prometeo - Documents\Planning Space Implementation\3. Analysis &amp; Design\Design\FC22\DRR Jaime\Neiva CPI\[VAO_DINA TERCIARIOS_CF_SEC_20230117.xlsx]CF PRBND'!</v>
      </c>
      <c r="G3969" s="6" t="s">
        <v>113</v>
      </c>
      <c r="H3969" s="1"/>
      <c r="I3969" s="1"/>
      <c r="J3969" s="1"/>
    </row>
    <row r="3970" spans="1:10" x14ac:dyDescent="0.3">
      <c r="A3970" s="6" t="s">
        <v>19</v>
      </c>
      <c r="B3970" s="6">
        <f t="shared" si="916"/>
        <v>2039</v>
      </c>
      <c r="C3970" s="1" t="s">
        <v>43</v>
      </c>
      <c r="D3970" s="2" t="s">
        <v>131</v>
      </c>
      <c r="E3970" s="9" t="str">
        <f t="shared" si="913"/>
        <v>PRBND'!</v>
      </c>
      <c r="F3970" s="5" t="str">
        <f t="shared" si="914"/>
        <v>C:\Users\jaime.benazar\Quorum Business Solutions\Ecopetrol Prometeo - Documents\Planning Space Implementation\3. Analysis &amp; Design\Design\FC22\DRR Jaime\Neiva CPI\[VAO_DINA TERCIARIOS_CF_SEC_20230117.xlsx]CF PRBND'!</v>
      </c>
      <c r="G3970" s="6" t="s">
        <v>113</v>
      </c>
      <c r="H3970" s="1"/>
      <c r="I3970" s="1"/>
      <c r="J3970" s="1"/>
    </row>
    <row r="3971" spans="1:10" x14ac:dyDescent="0.3">
      <c r="A3971" s="6" t="s">
        <v>19</v>
      </c>
      <c r="B3971" s="6">
        <f t="shared" si="916"/>
        <v>2040</v>
      </c>
      <c r="C3971" s="1" t="s">
        <v>43</v>
      </c>
      <c r="D3971" s="2" t="s">
        <v>131</v>
      </c>
      <c r="E3971" s="9" t="str">
        <f t="shared" si="913"/>
        <v>PRBND'!</v>
      </c>
      <c r="F3971" s="5" t="str">
        <f t="shared" si="914"/>
        <v>C:\Users\jaime.benazar\Quorum Business Solutions\Ecopetrol Prometeo - Documents\Planning Space Implementation\3. Analysis &amp; Design\Design\FC22\DRR Jaime\Neiva CPI\[VAO_DINA TERCIARIOS_CF_SEC_20230117.xlsx]CF PRBND'!</v>
      </c>
      <c r="G3971" s="6" t="s">
        <v>113</v>
      </c>
      <c r="H3971" s="1"/>
      <c r="I3971" s="1"/>
      <c r="J3971" s="1"/>
    </row>
    <row r="3972" spans="1:10" x14ac:dyDescent="0.3">
      <c r="A3972" s="6" t="s">
        <v>19</v>
      </c>
      <c r="B3972" s="6">
        <f>+B3971+1</f>
        <v>2041</v>
      </c>
      <c r="C3972" s="1" t="s">
        <v>43</v>
      </c>
      <c r="D3972" s="2" t="s">
        <v>131</v>
      </c>
      <c r="E3972" s="9" t="str">
        <f t="shared" si="913"/>
        <v>PRBND'!</v>
      </c>
      <c r="F3972" s="5" t="str">
        <f t="shared" si="914"/>
        <v>C:\Users\jaime.benazar\Quorum Business Solutions\Ecopetrol Prometeo - Documents\Planning Space Implementation\3. Analysis &amp; Design\Design\FC22\DRR Jaime\Neiva CPI\[VAO_DINA TERCIARIOS_CF_SEC_20230117.xlsx]CF PRBND'!</v>
      </c>
      <c r="G3972" s="6" t="s">
        <v>113</v>
      </c>
      <c r="H3972" s="1"/>
      <c r="I3972" s="1"/>
      <c r="J3972" s="1"/>
    </row>
    <row r="3973" spans="1:10" x14ac:dyDescent="0.3">
      <c r="A3973" s="6" t="s">
        <v>19</v>
      </c>
      <c r="B3973" s="6">
        <f t="shared" ref="B3973:B3974" si="917">+B3972+1</f>
        <v>2042</v>
      </c>
      <c r="C3973" s="1" t="s">
        <v>43</v>
      </c>
      <c r="D3973" s="2" t="s">
        <v>131</v>
      </c>
      <c r="E3973" s="9" t="str">
        <f t="shared" si="913"/>
        <v>PRBND'!</v>
      </c>
      <c r="F3973" s="5" t="str">
        <f t="shared" si="914"/>
        <v>C:\Users\jaime.benazar\Quorum Business Solutions\Ecopetrol Prometeo - Documents\Planning Space Implementation\3. Analysis &amp; Design\Design\FC22\DRR Jaime\Neiva CPI\[VAO_DINA TERCIARIOS_CF_SEC_20230117.xlsx]CF PRBND'!</v>
      </c>
      <c r="G3973" s="6" t="s">
        <v>113</v>
      </c>
      <c r="H3973" s="1"/>
      <c r="I3973" s="1"/>
      <c r="J3973" s="1"/>
    </row>
    <row r="3974" spans="1:10" x14ac:dyDescent="0.3">
      <c r="A3974" s="6" t="s">
        <v>19</v>
      </c>
      <c r="B3974" s="6">
        <f t="shared" si="917"/>
        <v>2043</v>
      </c>
      <c r="C3974" s="1" t="s">
        <v>43</v>
      </c>
      <c r="D3974" s="2" t="s">
        <v>131</v>
      </c>
      <c r="E3974" s="9" t="str">
        <f t="shared" si="913"/>
        <v>PRBND'!</v>
      </c>
      <c r="F3974" s="5" t="str">
        <f t="shared" si="914"/>
        <v>C:\Users\jaime.benazar\Quorum Business Solutions\Ecopetrol Prometeo - Documents\Planning Space Implementation\3. Analysis &amp; Design\Design\FC22\DRR Jaime\Neiva CPI\[VAO_DINA TERCIARIOS_CF_SEC_20230117.xlsx]CF PRBND'!</v>
      </c>
      <c r="G3974" s="6" t="s">
        <v>113</v>
      </c>
      <c r="H3974" s="1"/>
      <c r="I3974" s="1"/>
      <c r="J3974" s="1"/>
    </row>
    <row r="3975" spans="1:10" x14ac:dyDescent="0.3">
      <c r="A3975" s="6" t="s">
        <v>19</v>
      </c>
      <c r="B3975" s="6">
        <f>+B3974+1</f>
        <v>2044</v>
      </c>
      <c r="C3975" s="1" t="s">
        <v>43</v>
      </c>
      <c r="D3975" s="2" t="s">
        <v>131</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Jaime\Neiva CPI\[VAO_DINA TERCIARIOS_CF_SEC_20230117.xlsx]CF PRBND'!</v>
      </c>
      <c r="G3975" s="6" t="s">
        <v>113</v>
      </c>
      <c r="H3975" s="1"/>
      <c r="I3975" s="1"/>
      <c r="J3975" s="1"/>
    </row>
    <row r="3976" spans="1:10" x14ac:dyDescent="0.3">
      <c r="A3976" s="6" t="s">
        <v>19</v>
      </c>
      <c r="B3976" s="6">
        <f t="shared" ref="B3976:B3990" si="920">+B3975+1</f>
        <v>2045</v>
      </c>
      <c r="C3976" s="1" t="s">
        <v>43</v>
      </c>
      <c r="D3976" s="2" t="s">
        <v>131</v>
      </c>
      <c r="E3976" s="9" t="str">
        <f t="shared" si="918"/>
        <v>PRBND'!</v>
      </c>
      <c r="F3976" s="5" t="str">
        <f t="shared" si="919"/>
        <v>C:\Users\jaime.benazar\Quorum Business Solutions\Ecopetrol Prometeo - Documents\Planning Space Implementation\3. Analysis &amp; Design\Design\FC22\DRR Jaime\Neiva CPI\[VAO_DINA TERCIARIOS_CF_SEC_20230117.xlsx]CF PRBND'!</v>
      </c>
      <c r="G3976" s="6" t="s">
        <v>113</v>
      </c>
      <c r="H3976" s="1"/>
      <c r="I3976" s="1"/>
      <c r="J3976" s="1"/>
    </row>
    <row r="3977" spans="1:10" x14ac:dyDescent="0.3">
      <c r="A3977" s="6" t="s">
        <v>19</v>
      </c>
      <c r="B3977" s="6">
        <f t="shared" si="920"/>
        <v>2046</v>
      </c>
      <c r="C3977" s="1" t="s">
        <v>43</v>
      </c>
      <c r="D3977" s="2" t="s">
        <v>131</v>
      </c>
      <c r="E3977" s="9" t="str">
        <f t="shared" si="918"/>
        <v>PRBND'!</v>
      </c>
      <c r="F3977" s="5" t="str">
        <f t="shared" si="919"/>
        <v>C:\Users\jaime.benazar\Quorum Business Solutions\Ecopetrol Prometeo - Documents\Planning Space Implementation\3. Analysis &amp; Design\Design\FC22\DRR Jaime\Neiva CPI\[VAO_DINA TERCIARIOS_CF_SEC_20230117.xlsx]CF PRBND'!</v>
      </c>
      <c r="G3977" s="6" t="s">
        <v>113</v>
      </c>
      <c r="H3977" s="1"/>
      <c r="I3977" s="1"/>
      <c r="J3977" s="1"/>
    </row>
    <row r="3978" spans="1:10" x14ac:dyDescent="0.3">
      <c r="A3978" s="6" t="s">
        <v>19</v>
      </c>
      <c r="B3978" s="6">
        <f t="shared" si="920"/>
        <v>2047</v>
      </c>
      <c r="C3978" s="1" t="s">
        <v>43</v>
      </c>
      <c r="D3978" s="2" t="s">
        <v>131</v>
      </c>
      <c r="E3978" s="9" t="str">
        <f t="shared" si="918"/>
        <v>PRBND'!</v>
      </c>
      <c r="F3978" s="5" t="str">
        <f t="shared" si="919"/>
        <v>C:\Users\jaime.benazar\Quorum Business Solutions\Ecopetrol Prometeo - Documents\Planning Space Implementation\3. Analysis &amp; Design\Design\FC22\DRR Jaime\Neiva CPI\[VAO_DINA TERCIARIOS_CF_SEC_20230117.xlsx]CF PRBND'!</v>
      </c>
      <c r="G3978" s="6" t="s">
        <v>113</v>
      </c>
      <c r="H3978" s="1"/>
      <c r="I3978" s="1"/>
      <c r="J3978" s="1"/>
    </row>
    <row r="3979" spans="1:10" x14ac:dyDescent="0.3">
      <c r="A3979" s="6" t="s">
        <v>19</v>
      </c>
      <c r="B3979" s="6">
        <f t="shared" si="920"/>
        <v>2048</v>
      </c>
      <c r="C3979" s="1" t="s">
        <v>43</v>
      </c>
      <c r="D3979" s="2" t="s">
        <v>131</v>
      </c>
      <c r="E3979" s="9" t="str">
        <f t="shared" si="918"/>
        <v>PRBND'!</v>
      </c>
      <c r="F3979" s="5" t="str">
        <f t="shared" si="919"/>
        <v>C:\Users\jaime.benazar\Quorum Business Solutions\Ecopetrol Prometeo - Documents\Planning Space Implementation\3. Analysis &amp; Design\Design\FC22\DRR Jaime\Neiva CPI\[VAO_DINA TERCIARIOS_CF_SEC_20230117.xlsx]CF PRBND'!</v>
      </c>
      <c r="G3979" s="6" t="s">
        <v>113</v>
      </c>
      <c r="H3979" s="1"/>
      <c r="I3979" s="1"/>
      <c r="J3979" s="1"/>
    </row>
    <row r="3980" spans="1:10" x14ac:dyDescent="0.3">
      <c r="A3980" s="6" t="s">
        <v>19</v>
      </c>
      <c r="B3980" s="6">
        <f t="shared" si="920"/>
        <v>2049</v>
      </c>
      <c r="C3980" s="1" t="s">
        <v>43</v>
      </c>
      <c r="D3980" s="2" t="s">
        <v>131</v>
      </c>
      <c r="E3980" s="9" t="str">
        <f t="shared" si="918"/>
        <v>PRBND'!</v>
      </c>
      <c r="F3980" s="5" t="str">
        <f t="shared" si="919"/>
        <v>C:\Users\jaime.benazar\Quorum Business Solutions\Ecopetrol Prometeo - Documents\Planning Space Implementation\3. Analysis &amp; Design\Design\FC22\DRR Jaime\Neiva CPI\[VAO_DINA TERCIARIOS_CF_SEC_20230117.xlsx]CF PRBND'!</v>
      </c>
      <c r="G3980" s="6" t="s">
        <v>113</v>
      </c>
      <c r="H3980" s="1"/>
      <c r="I3980" s="1"/>
      <c r="J3980" s="1"/>
    </row>
    <row r="3981" spans="1:10" x14ac:dyDescent="0.3">
      <c r="A3981" s="6" t="s">
        <v>19</v>
      </c>
      <c r="B3981" s="6">
        <f t="shared" si="920"/>
        <v>2050</v>
      </c>
      <c r="C3981" s="1" t="s">
        <v>43</v>
      </c>
      <c r="D3981" s="2" t="s">
        <v>131</v>
      </c>
      <c r="E3981" s="9" t="str">
        <f t="shared" si="918"/>
        <v>PRBND'!</v>
      </c>
      <c r="F3981" s="5" t="str">
        <f t="shared" si="919"/>
        <v>C:\Users\jaime.benazar\Quorum Business Solutions\Ecopetrol Prometeo - Documents\Planning Space Implementation\3. Analysis &amp; Design\Design\FC22\DRR Jaime\Neiva CPI\[VAO_DINA TERCIARIOS_CF_SEC_20230117.xlsx]CF PRBND'!</v>
      </c>
      <c r="G3981" s="6" t="s">
        <v>113</v>
      </c>
      <c r="H3981" s="1"/>
      <c r="I3981" s="1"/>
      <c r="J3981" s="1"/>
    </row>
    <row r="3982" spans="1:10" x14ac:dyDescent="0.3">
      <c r="A3982" s="6" t="s">
        <v>19</v>
      </c>
      <c r="B3982" s="6">
        <f t="shared" si="920"/>
        <v>2051</v>
      </c>
      <c r="C3982" s="1" t="s">
        <v>43</v>
      </c>
      <c r="D3982" s="2" t="s">
        <v>131</v>
      </c>
      <c r="E3982" s="9" t="str">
        <f t="shared" si="918"/>
        <v>PRBND'!</v>
      </c>
      <c r="F3982" s="5" t="str">
        <f t="shared" si="919"/>
        <v>C:\Users\jaime.benazar\Quorum Business Solutions\Ecopetrol Prometeo - Documents\Planning Space Implementation\3. Analysis &amp; Design\Design\FC22\DRR Jaime\Neiva CPI\[VAO_DINA TERCIARIOS_CF_SEC_20230117.xlsx]CF PRBND'!</v>
      </c>
      <c r="G3982" s="6" t="s">
        <v>113</v>
      </c>
      <c r="H3982" s="1"/>
      <c r="I3982" s="1"/>
      <c r="J3982" s="1"/>
    </row>
    <row r="3983" spans="1:10" x14ac:dyDescent="0.3">
      <c r="A3983" s="6" t="s">
        <v>19</v>
      </c>
      <c r="B3983" s="6">
        <f t="shared" si="920"/>
        <v>2052</v>
      </c>
      <c r="C3983" s="1" t="s">
        <v>43</v>
      </c>
      <c r="D3983" s="2" t="s">
        <v>131</v>
      </c>
      <c r="E3983" s="9" t="str">
        <f t="shared" si="918"/>
        <v>PRBND'!</v>
      </c>
      <c r="F3983" s="5" t="str">
        <f t="shared" si="919"/>
        <v>C:\Users\jaime.benazar\Quorum Business Solutions\Ecopetrol Prometeo - Documents\Planning Space Implementation\3. Analysis &amp; Design\Design\FC22\DRR Jaime\Neiva CPI\[VAO_DINA TERCIARIOS_CF_SEC_20230117.xlsx]CF PRBND'!</v>
      </c>
      <c r="G3983" s="6" t="s">
        <v>113</v>
      </c>
      <c r="H3983" s="1"/>
      <c r="I3983" s="1"/>
      <c r="J3983" s="1"/>
    </row>
    <row r="3984" spans="1:10" x14ac:dyDescent="0.3">
      <c r="A3984" s="6" t="s">
        <v>19</v>
      </c>
      <c r="B3984" s="6">
        <f t="shared" si="920"/>
        <v>2053</v>
      </c>
      <c r="C3984" s="1" t="s">
        <v>43</v>
      </c>
      <c r="D3984" s="2" t="s">
        <v>131</v>
      </c>
      <c r="E3984" s="9" t="str">
        <f t="shared" si="918"/>
        <v>PRBND'!</v>
      </c>
      <c r="F3984" s="5" t="str">
        <f t="shared" si="919"/>
        <v>C:\Users\jaime.benazar\Quorum Business Solutions\Ecopetrol Prometeo - Documents\Planning Space Implementation\3. Analysis &amp; Design\Design\FC22\DRR Jaime\Neiva CPI\[VAO_DINA TERCIARIOS_CF_SEC_20230117.xlsx]CF PRBND'!</v>
      </c>
      <c r="G3984" s="6" t="s">
        <v>113</v>
      </c>
      <c r="H3984" s="1"/>
      <c r="I3984" s="1"/>
      <c r="J3984" s="1"/>
    </row>
    <row r="3985" spans="1:10" x14ac:dyDescent="0.3">
      <c r="A3985" s="6" t="s">
        <v>19</v>
      </c>
      <c r="B3985" s="6">
        <f t="shared" si="920"/>
        <v>2054</v>
      </c>
      <c r="C3985" s="1" t="s">
        <v>43</v>
      </c>
      <c r="D3985" s="2" t="s">
        <v>131</v>
      </c>
      <c r="E3985" s="9" t="str">
        <f t="shared" si="918"/>
        <v>PRBND'!</v>
      </c>
      <c r="F3985" s="5" t="str">
        <f t="shared" si="919"/>
        <v>C:\Users\jaime.benazar\Quorum Business Solutions\Ecopetrol Prometeo - Documents\Planning Space Implementation\3. Analysis &amp; Design\Design\FC22\DRR Jaime\Neiva CPI\[VAO_DINA TERCIARIOS_CF_SEC_20230117.xlsx]CF PRBND'!</v>
      </c>
      <c r="G3985" s="6" t="s">
        <v>113</v>
      </c>
      <c r="H3985" s="1"/>
      <c r="I3985" s="1"/>
      <c r="J3985" s="1"/>
    </row>
    <row r="3986" spans="1:10" x14ac:dyDescent="0.3">
      <c r="A3986" s="6" t="s">
        <v>19</v>
      </c>
      <c r="B3986" s="6">
        <f t="shared" si="920"/>
        <v>2055</v>
      </c>
      <c r="C3986" s="1" t="s">
        <v>43</v>
      </c>
      <c r="D3986" s="2" t="s">
        <v>131</v>
      </c>
      <c r="E3986" s="9" t="str">
        <f t="shared" si="918"/>
        <v>PRBND'!</v>
      </c>
      <c r="F3986" s="5" t="str">
        <f t="shared" si="919"/>
        <v>C:\Users\jaime.benazar\Quorum Business Solutions\Ecopetrol Prometeo - Documents\Planning Space Implementation\3. Analysis &amp; Design\Design\FC22\DRR Jaime\Neiva CPI\[VAO_DINA TERCIARIOS_CF_SEC_20230117.xlsx]CF PRBND'!</v>
      </c>
      <c r="G3986" s="6" t="s">
        <v>113</v>
      </c>
      <c r="H3986" s="1"/>
      <c r="I3986" s="1"/>
      <c r="J3986" s="1"/>
    </row>
    <row r="3987" spans="1:10" x14ac:dyDescent="0.3">
      <c r="A3987" s="6" t="s">
        <v>19</v>
      </c>
      <c r="B3987" s="6">
        <f t="shared" si="920"/>
        <v>2056</v>
      </c>
      <c r="C3987" s="1" t="s">
        <v>43</v>
      </c>
      <c r="D3987" s="2" t="s">
        <v>131</v>
      </c>
      <c r="E3987" s="9" t="str">
        <f t="shared" si="918"/>
        <v>PRBND'!</v>
      </c>
      <c r="F3987" s="5" t="str">
        <f t="shared" si="919"/>
        <v>C:\Users\jaime.benazar\Quorum Business Solutions\Ecopetrol Prometeo - Documents\Planning Space Implementation\3. Analysis &amp; Design\Design\FC22\DRR Jaime\Neiva CPI\[VAO_DINA TERCIARIOS_CF_SEC_20230117.xlsx]CF PRBND'!</v>
      </c>
      <c r="G3987" s="6" t="s">
        <v>113</v>
      </c>
      <c r="H3987" s="1"/>
      <c r="I3987" s="1"/>
      <c r="J3987" s="1"/>
    </row>
    <row r="3988" spans="1:10" x14ac:dyDescent="0.3">
      <c r="A3988" s="6" t="s">
        <v>19</v>
      </c>
      <c r="B3988" s="6">
        <f t="shared" si="920"/>
        <v>2057</v>
      </c>
      <c r="C3988" s="1" t="s">
        <v>43</v>
      </c>
      <c r="D3988" s="2" t="s">
        <v>131</v>
      </c>
      <c r="E3988" s="9" t="str">
        <f t="shared" si="918"/>
        <v>PRBND'!</v>
      </c>
      <c r="F3988" s="5" t="str">
        <f t="shared" si="919"/>
        <v>C:\Users\jaime.benazar\Quorum Business Solutions\Ecopetrol Prometeo - Documents\Planning Space Implementation\3. Analysis &amp; Design\Design\FC22\DRR Jaime\Neiva CPI\[VAO_DINA TERCIARIOS_CF_SEC_20230117.xlsx]CF PRBND'!</v>
      </c>
      <c r="G3988" s="6" t="s">
        <v>113</v>
      </c>
      <c r="H3988" s="1"/>
      <c r="I3988" s="1"/>
      <c r="J3988" s="1"/>
    </row>
    <row r="3989" spans="1:10" x14ac:dyDescent="0.3">
      <c r="A3989" s="6" t="s">
        <v>19</v>
      </c>
      <c r="B3989" s="6">
        <f t="shared" si="920"/>
        <v>2058</v>
      </c>
      <c r="C3989" s="1" t="s">
        <v>43</v>
      </c>
      <c r="D3989" s="2" t="s">
        <v>131</v>
      </c>
      <c r="E3989" s="9" t="str">
        <f t="shared" si="918"/>
        <v>PRBND'!</v>
      </c>
      <c r="F3989" s="5" t="str">
        <f t="shared" si="919"/>
        <v>C:\Users\jaime.benazar\Quorum Business Solutions\Ecopetrol Prometeo - Documents\Planning Space Implementation\3. Analysis &amp; Design\Design\FC22\DRR Jaime\Neiva CPI\[VAO_DINA TERCIARIOS_CF_SEC_20230117.xlsx]CF PRBND'!</v>
      </c>
      <c r="G3989" s="6" t="s">
        <v>113</v>
      </c>
      <c r="H3989" s="1"/>
      <c r="I3989" s="1"/>
      <c r="J3989" s="1"/>
    </row>
    <row r="3990" spans="1:10" x14ac:dyDescent="0.3">
      <c r="A3990" s="6" t="s">
        <v>19</v>
      </c>
      <c r="B3990" s="6">
        <f t="shared" si="920"/>
        <v>2059</v>
      </c>
      <c r="C3990" s="1" t="s">
        <v>43</v>
      </c>
      <c r="D3990" s="2" t="s">
        <v>131</v>
      </c>
      <c r="E3990" s="9" t="str">
        <f t="shared" si="918"/>
        <v>PRBND'!</v>
      </c>
      <c r="F3990" s="5" t="str">
        <f t="shared" si="919"/>
        <v>C:\Users\jaime.benazar\Quorum Business Solutions\Ecopetrol Prometeo - Documents\Planning Space Implementation\3. Analysis &amp; Design\Design\FC22\DRR Jaime\Neiva CPI\[VAO_DINA TERCIARIOS_CF_SEC_20230117.xlsx]CF PRBND'!</v>
      </c>
      <c r="G3990" s="6" t="s">
        <v>113</v>
      </c>
      <c r="H3990" s="1"/>
      <c r="I3990" s="1"/>
      <c r="J3990" s="1"/>
    </row>
    <row r="3991" spans="1:10" x14ac:dyDescent="0.3">
      <c r="A3991" s="6" t="s">
        <v>26</v>
      </c>
      <c r="B3991" s="6"/>
      <c r="C3991" s="1" t="s">
        <v>43</v>
      </c>
      <c r="D3991" s="2"/>
      <c r="E3991" s="9"/>
      <c r="F3991" s="5"/>
      <c r="G3991" s="6"/>
      <c r="H3991" s="1"/>
      <c r="I3991" s="1"/>
      <c r="J3991" s="12"/>
    </row>
    <row r="3992" spans="1:10" x14ac:dyDescent="0.3">
      <c r="A3992" s="6" t="s">
        <v>20</v>
      </c>
      <c r="B3992" s="6">
        <v>2023</v>
      </c>
      <c r="C3992" s="1" t="s">
        <v>43</v>
      </c>
      <c r="D3992" s="2" t="s">
        <v>131</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Jaime\Neiva CPI\[VAO_DINA TERCIARIOS_CF_SEC_20230117.xlsx]CF PRB'!</v>
      </c>
      <c r="G3992" s="6" t="s">
        <v>113</v>
      </c>
      <c r="H3992" s="1">
        <f>IF(A3992&lt;&gt;A3862,36,H3862+1)</f>
        <v>36</v>
      </c>
      <c r="I3992" s="1" t="str">
        <f t="shared" ref="I3992:I4012" si="923">_xlfn.CONCAT("='",F3992:H3992)</f>
        <v>='C:\Users\jaime.benazar\Quorum Business Solutions\Ecopetrol Prometeo - Documents\Planning Space Implementation\3. Analysis &amp; Design\Design\FC22\DRR Jaime\Neiva CPI\[VAO_DINA TERCIARIOS_CF_SEC_20230117.xlsx]CF PRB'!$BY$36</v>
      </c>
      <c r="J3992" s="1" t="s">
        <v>1908</v>
      </c>
    </row>
    <row r="3993" spans="1:10" x14ac:dyDescent="0.3">
      <c r="A3993" s="6" t="s">
        <v>20</v>
      </c>
      <c r="B3993" s="6">
        <f>+B3992+1</f>
        <v>2024</v>
      </c>
      <c r="C3993" s="1" t="s">
        <v>43</v>
      </c>
      <c r="D3993" s="2" t="s">
        <v>131</v>
      </c>
      <c r="E3993" s="9" t="str">
        <f t="shared" si="921"/>
        <v>PRB'!</v>
      </c>
      <c r="F3993" s="5" t="str">
        <f t="shared" si="922"/>
        <v>C:\Users\jaime.benazar\Quorum Business Solutions\Ecopetrol Prometeo - Documents\Planning Space Implementation\3. Analysis &amp; Design\Design\FC22\DRR Jaime\Neiva CPI\[VAO_DINA TERCIARIOS_CF_SEC_20230117.xlsx]CF PRB'!</v>
      </c>
      <c r="G3993" s="6" t="s">
        <v>113</v>
      </c>
      <c r="H3993" s="1">
        <f t="shared" ref="H3993:H4012" si="924">IF(A3993&lt;&gt;A3992,36,H3992+1)</f>
        <v>37</v>
      </c>
      <c r="I3993" s="1" t="str">
        <f t="shared" si="923"/>
        <v>='C:\Users\jaime.benazar\Quorum Business Solutions\Ecopetrol Prometeo - Documents\Planning Space Implementation\3. Analysis &amp; Design\Design\FC22\DRR Jaime\Neiva CPI\[VAO_DINA TERCIARIOS_CF_SEC_20230117.xlsx]CF PRB'!$BY$37</v>
      </c>
      <c r="J3993" s="1" t="s">
        <v>1909</v>
      </c>
    </row>
    <row r="3994" spans="1:10" x14ac:dyDescent="0.3">
      <c r="A3994" s="6" t="s">
        <v>20</v>
      </c>
      <c r="B3994" s="6">
        <f t="shared" ref="B3994:B4005" si="925">+B3993+1</f>
        <v>2025</v>
      </c>
      <c r="C3994" s="1" t="s">
        <v>43</v>
      </c>
      <c r="D3994" s="2" t="s">
        <v>131</v>
      </c>
      <c r="E3994" s="9" t="str">
        <f t="shared" si="921"/>
        <v>PRB'!</v>
      </c>
      <c r="F3994" s="5" t="str">
        <f t="shared" si="922"/>
        <v>C:\Users\jaime.benazar\Quorum Business Solutions\Ecopetrol Prometeo - Documents\Planning Space Implementation\3. Analysis &amp; Design\Design\FC22\DRR Jaime\Neiva CPI\[VAO_DINA TERCIARIOS_CF_SEC_20230117.xlsx]CF PRB'!</v>
      </c>
      <c r="G3994" s="6" t="s">
        <v>113</v>
      </c>
      <c r="H3994" s="1">
        <f t="shared" si="924"/>
        <v>38</v>
      </c>
      <c r="I3994" s="1" t="str">
        <f t="shared" si="923"/>
        <v>='C:\Users\jaime.benazar\Quorum Business Solutions\Ecopetrol Prometeo - Documents\Planning Space Implementation\3. Analysis &amp; Design\Design\FC22\DRR Jaime\Neiva CPI\[VAO_DINA TERCIARIOS_CF_SEC_20230117.xlsx]CF PRB'!$BY$38</v>
      </c>
      <c r="J3994" s="1" t="s">
        <v>1910</v>
      </c>
    </row>
    <row r="3995" spans="1:10" x14ac:dyDescent="0.3">
      <c r="A3995" s="6" t="s">
        <v>20</v>
      </c>
      <c r="B3995" s="6">
        <f t="shared" si="925"/>
        <v>2026</v>
      </c>
      <c r="C3995" s="1" t="s">
        <v>43</v>
      </c>
      <c r="D3995" s="2" t="s">
        <v>131</v>
      </c>
      <c r="E3995" s="9" t="str">
        <f t="shared" si="921"/>
        <v>PRB'!</v>
      </c>
      <c r="F3995" s="5" t="str">
        <f t="shared" si="922"/>
        <v>C:\Users\jaime.benazar\Quorum Business Solutions\Ecopetrol Prometeo - Documents\Planning Space Implementation\3. Analysis &amp; Design\Design\FC22\DRR Jaime\Neiva CPI\[VAO_DINA TERCIARIOS_CF_SEC_20230117.xlsx]CF PRB'!</v>
      </c>
      <c r="G3995" s="6" t="s">
        <v>113</v>
      </c>
      <c r="H3995" s="1">
        <f t="shared" si="924"/>
        <v>39</v>
      </c>
      <c r="I3995" s="1" t="str">
        <f t="shared" si="923"/>
        <v>='C:\Users\jaime.benazar\Quorum Business Solutions\Ecopetrol Prometeo - Documents\Planning Space Implementation\3. Analysis &amp; Design\Design\FC22\DRR Jaime\Neiva CPI\[VAO_DINA TERCIARIOS_CF_SEC_20230117.xlsx]CF PRB'!$BY$39</v>
      </c>
      <c r="J3995" s="1" t="s">
        <v>1911</v>
      </c>
    </row>
    <row r="3996" spans="1:10" x14ac:dyDescent="0.3">
      <c r="A3996" s="6" t="s">
        <v>20</v>
      </c>
      <c r="B3996" s="6">
        <f t="shared" si="925"/>
        <v>2027</v>
      </c>
      <c r="C3996" s="1" t="s">
        <v>43</v>
      </c>
      <c r="D3996" s="2" t="s">
        <v>131</v>
      </c>
      <c r="E3996" s="9" t="str">
        <f t="shared" si="921"/>
        <v>PRB'!</v>
      </c>
      <c r="F3996" s="5" t="str">
        <f t="shared" si="922"/>
        <v>C:\Users\jaime.benazar\Quorum Business Solutions\Ecopetrol Prometeo - Documents\Planning Space Implementation\3. Analysis &amp; Design\Design\FC22\DRR Jaime\Neiva CPI\[VAO_DINA TERCIARIOS_CF_SEC_20230117.xlsx]CF PRB'!</v>
      </c>
      <c r="G3996" s="6" t="s">
        <v>113</v>
      </c>
      <c r="H3996" s="1">
        <f t="shared" si="924"/>
        <v>40</v>
      </c>
      <c r="I3996" s="1" t="str">
        <f t="shared" si="923"/>
        <v>='C:\Users\jaime.benazar\Quorum Business Solutions\Ecopetrol Prometeo - Documents\Planning Space Implementation\3. Analysis &amp; Design\Design\FC22\DRR Jaime\Neiva CPI\[VAO_DINA TERCIARIOS_CF_SEC_20230117.xlsx]CF PRB'!$BY$40</v>
      </c>
      <c r="J3996" s="1" t="s">
        <v>1912</v>
      </c>
    </row>
    <row r="3997" spans="1:10" x14ac:dyDescent="0.3">
      <c r="A3997" s="6" t="s">
        <v>20</v>
      </c>
      <c r="B3997" s="6">
        <f t="shared" si="925"/>
        <v>2028</v>
      </c>
      <c r="C3997" s="1" t="s">
        <v>43</v>
      </c>
      <c r="D3997" s="2" t="s">
        <v>131</v>
      </c>
      <c r="E3997" s="9" t="str">
        <f t="shared" si="921"/>
        <v>PRB'!</v>
      </c>
      <c r="F3997" s="5" t="str">
        <f t="shared" si="922"/>
        <v>C:\Users\jaime.benazar\Quorum Business Solutions\Ecopetrol Prometeo - Documents\Planning Space Implementation\3. Analysis &amp; Design\Design\FC22\DRR Jaime\Neiva CPI\[VAO_DINA TERCIARIOS_CF_SEC_20230117.xlsx]CF PRB'!</v>
      </c>
      <c r="G3997" s="6" t="s">
        <v>113</v>
      </c>
      <c r="H3997" s="1">
        <f t="shared" si="924"/>
        <v>41</v>
      </c>
      <c r="I3997" s="1" t="str">
        <f t="shared" si="923"/>
        <v>='C:\Users\jaime.benazar\Quorum Business Solutions\Ecopetrol Prometeo - Documents\Planning Space Implementation\3. Analysis &amp; Design\Design\FC22\DRR Jaime\Neiva CPI\[VAO_DINA TERCIARIOS_CF_SEC_20230117.xlsx]CF PRB'!$BY$41</v>
      </c>
      <c r="J3997" s="1" t="s">
        <v>1913</v>
      </c>
    </row>
    <row r="3998" spans="1:10" x14ac:dyDescent="0.3">
      <c r="A3998" s="6" t="s">
        <v>20</v>
      </c>
      <c r="B3998" s="6">
        <f t="shared" si="925"/>
        <v>2029</v>
      </c>
      <c r="C3998" s="1" t="s">
        <v>43</v>
      </c>
      <c r="D3998" s="2" t="s">
        <v>131</v>
      </c>
      <c r="E3998" s="9" t="str">
        <f t="shared" si="921"/>
        <v>PRB'!</v>
      </c>
      <c r="F3998" s="5" t="str">
        <f t="shared" si="922"/>
        <v>C:\Users\jaime.benazar\Quorum Business Solutions\Ecopetrol Prometeo - Documents\Planning Space Implementation\3. Analysis &amp; Design\Design\FC22\DRR Jaime\Neiva CPI\[VAO_DINA TERCIARIOS_CF_SEC_20230117.xlsx]CF PRB'!</v>
      </c>
      <c r="G3998" s="6" t="s">
        <v>113</v>
      </c>
      <c r="H3998" s="1">
        <f t="shared" si="924"/>
        <v>42</v>
      </c>
      <c r="I3998" s="1" t="str">
        <f t="shared" si="923"/>
        <v>='C:\Users\jaime.benazar\Quorum Business Solutions\Ecopetrol Prometeo - Documents\Planning Space Implementation\3. Analysis &amp; Design\Design\FC22\DRR Jaime\Neiva CPI\[VAO_DINA TERCIARIOS_CF_SEC_20230117.xlsx]CF PRB'!$BY$42</v>
      </c>
      <c r="J3998" s="1" t="s">
        <v>1914</v>
      </c>
    </row>
    <row r="3999" spans="1:10" x14ac:dyDescent="0.3">
      <c r="A3999" s="6" t="s">
        <v>20</v>
      </c>
      <c r="B3999" s="6">
        <f t="shared" si="925"/>
        <v>2030</v>
      </c>
      <c r="C3999" s="1" t="s">
        <v>43</v>
      </c>
      <c r="D3999" s="2" t="s">
        <v>131</v>
      </c>
      <c r="E3999" s="9" t="str">
        <f t="shared" si="921"/>
        <v>PRB'!</v>
      </c>
      <c r="F3999" s="5" t="str">
        <f t="shared" si="922"/>
        <v>C:\Users\jaime.benazar\Quorum Business Solutions\Ecopetrol Prometeo - Documents\Planning Space Implementation\3. Analysis &amp; Design\Design\FC22\DRR Jaime\Neiva CPI\[VAO_DINA TERCIARIOS_CF_SEC_20230117.xlsx]CF PRB'!</v>
      </c>
      <c r="G3999" s="6" t="s">
        <v>113</v>
      </c>
      <c r="H3999" s="1">
        <f t="shared" si="924"/>
        <v>43</v>
      </c>
      <c r="I3999" s="1" t="str">
        <f t="shared" si="923"/>
        <v>='C:\Users\jaime.benazar\Quorum Business Solutions\Ecopetrol Prometeo - Documents\Planning Space Implementation\3. Analysis &amp; Design\Design\FC22\DRR Jaime\Neiva CPI\[VAO_DINA TERCIARIOS_CF_SEC_20230117.xlsx]CF PRB'!$BY$43</v>
      </c>
      <c r="J3999" s="1" t="s">
        <v>1915</v>
      </c>
    </row>
    <row r="4000" spans="1:10" x14ac:dyDescent="0.3">
      <c r="A4000" s="6" t="s">
        <v>20</v>
      </c>
      <c r="B4000" s="6">
        <f t="shared" si="925"/>
        <v>2031</v>
      </c>
      <c r="C4000" s="1" t="s">
        <v>43</v>
      </c>
      <c r="D4000" s="2" t="s">
        <v>131</v>
      </c>
      <c r="E4000" s="9" t="str">
        <f t="shared" si="921"/>
        <v>PRB'!</v>
      </c>
      <c r="F4000" s="5" t="str">
        <f t="shared" si="922"/>
        <v>C:\Users\jaime.benazar\Quorum Business Solutions\Ecopetrol Prometeo - Documents\Planning Space Implementation\3. Analysis &amp; Design\Design\FC22\DRR Jaime\Neiva CPI\[VAO_DINA TERCIARIOS_CF_SEC_20230117.xlsx]CF PRB'!</v>
      </c>
      <c r="G4000" s="6" t="s">
        <v>113</v>
      </c>
      <c r="H4000" s="1">
        <f t="shared" si="924"/>
        <v>44</v>
      </c>
      <c r="I4000" s="1" t="str">
        <f t="shared" si="923"/>
        <v>='C:\Users\jaime.benazar\Quorum Business Solutions\Ecopetrol Prometeo - Documents\Planning Space Implementation\3. Analysis &amp; Design\Design\FC22\DRR Jaime\Neiva CPI\[VAO_DINA TERCIARIOS_CF_SEC_20230117.xlsx]CF PRB'!$BY$44</v>
      </c>
      <c r="J4000" s="1" t="s">
        <v>1916</v>
      </c>
    </row>
    <row r="4001" spans="1:10" x14ac:dyDescent="0.3">
      <c r="A4001" s="6" t="s">
        <v>20</v>
      </c>
      <c r="B4001" s="6">
        <f t="shared" si="925"/>
        <v>2032</v>
      </c>
      <c r="C4001" s="1" t="s">
        <v>43</v>
      </c>
      <c r="D4001" s="2" t="s">
        <v>131</v>
      </c>
      <c r="E4001" s="9" t="str">
        <f t="shared" si="921"/>
        <v>PRB'!</v>
      </c>
      <c r="F4001" s="5" t="str">
        <f t="shared" si="922"/>
        <v>C:\Users\jaime.benazar\Quorum Business Solutions\Ecopetrol Prometeo - Documents\Planning Space Implementation\3. Analysis &amp; Design\Design\FC22\DRR Jaime\Neiva CPI\[VAO_DINA TERCIARIOS_CF_SEC_20230117.xlsx]CF PRB'!</v>
      </c>
      <c r="G4001" s="6" t="s">
        <v>113</v>
      </c>
      <c r="H4001" s="1">
        <f t="shared" si="924"/>
        <v>45</v>
      </c>
      <c r="I4001" s="1" t="str">
        <f t="shared" si="923"/>
        <v>='C:\Users\jaime.benazar\Quorum Business Solutions\Ecopetrol Prometeo - Documents\Planning Space Implementation\3. Analysis &amp; Design\Design\FC22\DRR Jaime\Neiva CPI\[VAO_DINA TERCIARIOS_CF_SEC_20230117.xlsx]CF PRB'!$BY$45</v>
      </c>
      <c r="J4001" s="1" t="s">
        <v>1917</v>
      </c>
    </row>
    <row r="4002" spans="1:10" x14ac:dyDescent="0.3">
      <c r="A4002" s="6" t="s">
        <v>20</v>
      </c>
      <c r="B4002" s="6">
        <f t="shared" si="925"/>
        <v>2033</v>
      </c>
      <c r="C4002" s="1" t="s">
        <v>43</v>
      </c>
      <c r="D4002" s="2" t="s">
        <v>131</v>
      </c>
      <c r="E4002" s="9" t="str">
        <f t="shared" si="921"/>
        <v>PRB'!</v>
      </c>
      <c r="F4002" s="5" t="str">
        <f t="shared" si="922"/>
        <v>C:\Users\jaime.benazar\Quorum Business Solutions\Ecopetrol Prometeo - Documents\Planning Space Implementation\3. Analysis &amp; Design\Design\FC22\DRR Jaime\Neiva CPI\[VAO_DINA TERCIARIOS_CF_SEC_20230117.xlsx]CF PRB'!</v>
      </c>
      <c r="G4002" s="6" t="s">
        <v>113</v>
      </c>
      <c r="H4002" s="1">
        <f t="shared" si="924"/>
        <v>46</v>
      </c>
      <c r="I4002" s="1" t="str">
        <f t="shared" si="923"/>
        <v>='C:\Users\jaime.benazar\Quorum Business Solutions\Ecopetrol Prometeo - Documents\Planning Space Implementation\3. Analysis &amp; Design\Design\FC22\DRR Jaime\Neiva CPI\[VAO_DINA TERCIARIOS_CF_SEC_20230117.xlsx]CF PRB'!$BY$46</v>
      </c>
      <c r="J4002" s="1" t="s">
        <v>1918</v>
      </c>
    </row>
    <row r="4003" spans="1:10" x14ac:dyDescent="0.3">
      <c r="A4003" s="6" t="s">
        <v>20</v>
      </c>
      <c r="B4003" s="6">
        <f t="shared" si="925"/>
        <v>2034</v>
      </c>
      <c r="C4003" s="1" t="s">
        <v>43</v>
      </c>
      <c r="D4003" s="2" t="s">
        <v>131</v>
      </c>
      <c r="E4003" s="9" t="str">
        <f t="shared" si="921"/>
        <v>PRB'!</v>
      </c>
      <c r="F4003" s="5" t="str">
        <f t="shared" si="922"/>
        <v>C:\Users\jaime.benazar\Quorum Business Solutions\Ecopetrol Prometeo - Documents\Planning Space Implementation\3. Analysis &amp; Design\Design\FC22\DRR Jaime\Neiva CPI\[VAO_DINA TERCIARIOS_CF_SEC_20230117.xlsx]CF PRB'!</v>
      </c>
      <c r="G4003" s="6" t="s">
        <v>113</v>
      </c>
      <c r="H4003" s="1">
        <f t="shared" si="924"/>
        <v>47</v>
      </c>
      <c r="I4003" s="1" t="str">
        <f t="shared" si="923"/>
        <v>='C:\Users\jaime.benazar\Quorum Business Solutions\Ecopetrol Prometeo - Documents\Planning Space Implementation\3. Analysis &amp; Design\Design\FC22\DRR Jaime\Neiva CPI\[VAO_DINA TERCIARIOS_CF_SEC_20230117.xlsx]CF PRB'!$BY$47</v>
      </c>
      <c r="J4003" s="1" t="s">
        <v>1919</v>
      </c>
    </row>
    <row r="4004" spans="1:10" x14ac:dyDescent="0.3">
      <c r="A4004" s="6" t="s">
        <v>20</v>
      </c>
      <c r="B4004" s="6">
        <f t="shared" si="925"/>
        <v>2035</v>
      </c>
      <c r="C4004" s="1" t="s">
        <v>43</v>
      </c>
      <c r="D4004" s="2" t="s">
        <v>131</v>
      </c>
      <c r="E4004" s="9" t="str">
        <f t="shared" si="921"/>
        <v>PRB'!</v>
      </c>
      <c r="F4004" s="5" t="str">
        <f t="shared" si="922"/>
        <v>C:\Users\jaime.benazar\Quorum Business Solutions\Ecopetrol Prometeo - Documents\Planning Space Implementation\3. Analysis &amp; Design\Design\FC22\DRR Jaime\Neiva CPI\[VAO_DINA TERCIARIOS_CF_SEC_20230117.xlsx]CF PRB'!</v>
      </c>
      <c r="G4004" s="6" t="s">
        <v>113</v>
      </c>
      <c r="H4004" s="1">
        <f t="shared" si="924"/>
        <v>48</v>
      </c>
      <c r="I4004" s="1" t="str">
        <f t="shared" si="923"/>
        <v>='C:\Users\jaime.benazar\Quorum Business Solutions\Ecopetrol Prometeo - Documents\Planning Space Implementation\3. Analysis &amp; Design\Design\FC22\DRR Jaime\Neiva CPI\[VAO_DINA TERCIARIOS_CF_SEC_20230117.xlsx]CF PRB'!$BY$48</v>
      </c>
      <c r="J4004" s="1" t="s">
        <v>1920</v>
      </c>
    </row>
    <row r="4005" spans="1:10" x14ac:dyDescent="0.3">
      <c r="A4005" s="6" t="s">
        <v>20</v>
      </c>
      <c r="B4005" s="6">
        <f t="shared" si="925"/>
        <v>2036</v>
      </c>
      <c r="C4005" s="1" t="s">
        <v>43</v>
      </c>
      <c r="D4005" s="2" t="s">
        <v>131</v>
      </c>
      <c r="E4005" s="9" t="str">
        <f t="shared" si="921"/>
        <v>PRB'!</v>
      </c>
      <c r="F4005" s="5" t="str">
        <f t="shared" si="922"/>
        <v>C:\Users\jaime.benazar\Quorum Business Solutions\Ecopetrol Prometeo - Documents\Planning Space Implementation\3. Analysis &amp; Design\Design\FC22\DRR Jaime\Neiva CPI\[VAO_DINA TERCIARIOS_CF_SEC_20230117.xlsx]CF PRB'!</v>
      </c>
      <c r="G4005" s="6" t="s">
        <v>113</v>
      </c>
      <c r="H4005" s="1">
        <f t="shared" si="924"/>
        <v>49</v>
      </c>
      <c r="I4005" s="1" t="str">
        <f t="shared" si="923"/>
        <v>='C:\Users\jaime.benazar\Quorum Business Solutions\Ecopetrol Prometeo - Documents\Planning Space Implementation\3. Analysis &amp; Design\Design\FC22\DRR Jaime\Neiva CPI\[VAO_DINA TERCIARIOS_CF_SEC_20230117.xlsx]CF PRB'!$BY$49</v>
      </c>
      <c r="J4005" s="1" t="s">
        <v>1921</v>
      </c>
    </row>
    <row r="4006" spans="1:10" x14ac:dyDescent="0.3">
      <c r="A4006" s="6" t="s">
        <v>20</v>
      </c>
      <c r="B4006" s="6">
        <f>+B4005+1</f>
        <v>2037</v>
      </c>
      <c r="C4006" s="1" t="s">
        <v>43</v>
      </c>
      <c r="D4006" s="2" t="s">
        <v>131</v>
      </c>
      <c r="E4006" s="9" t="str">
        <f t="shared" si="921"/>
        <v>PRB'!</v>
      </c>
      <c r="F4006" s="5" t="str">
        <f t="shared" si="922"/>
        <v>C:\Users\jaime.benazar\Quorum Business Solutions\Ecopetrol Prometeo - Documents\Planning Space Implementation\3. Analysis &amp; Design\Design\FC22\DRR Jaime\Neiva CPI\[VAO_DINA TERCIARIOS_CF_SEC_20230117.xlsx]CF PRB'!</v>
      </c>
      <c r="G4006" s="6" t="s">
        <v>113</v>
      </c>
      <c r="H4006" s="1">
        <f t="shared" si="924"/>
        <v>50</v>
      </c>
      <c r="I4006" s="1" t="str">
        <f t="shared" si="923"/>
        <v>='C:\Users\jaime.benazar\Quorum Business Solutions\Ecopetrol Prometeo - Documents\Planning Space Implementation\3. Analysis &amp; Design\Design\FC22\DRR Jaime\Neiva CPI\[VAO_DINA TERCIARIOS_CF_SEC_20230117.xlsx]CF PRB'!$BY$50</v>
      </c>
      <c r="J4006" s="1" t="s">
        <v>1922</v>
      </c>
    </row>
    <row r="4007" spans="1:10" x14ac:dyDescent="0.3">
      <c r="A4007" s="6" t="s">
        <v>20</v>
      </c>
      <c r="B4007" s="6">
        <f t="shared" ref="B4007:B4009" si="926">+B4006+1</f>
        <v>2038</v>
      </c>
      <c r="C4007" s="1" t="s">
        <v>43</v>
      </c>
      <c r="D4007" s="2" t="s">
        <v>131</v>
      </c>
      <c r="E4007" s="9" t="str">
        <f t="shared" si="921"/>
        <v>PRB'!</v>
      </c>
      <c r="F4007" s="5" t="str">
        <f t="shared" si="922"/>
        <v>C:\Users\jaime.benazar\Quorum Business Solutions\Ecopetrol Prometeo - Documents\Planning Space Implementation\3. Analysis &amp; Design\Design\FC22\DRR Jaime\Neiva CPI\[VAO_DINA TERCIARIOS_CF_SEC_20230117.xlsx]CF PRB'!</v>
      </c>
      <c r="G4007" s="6" t="s">
        <v>113</v>
      </c>
      <c r="H4007" s="1">
        <f t="shared" si="924"/>
        <v>51</v>
      </c>
      <c r="I4007" s="1" t="str">
        <f t="shared" si="923"/>
        <v>='C:\Users\jaime.benazar\Quorum Business Solutions\Ecopetrol Prometeo - Documents\Planning Space Implementation\3. Analysis &amp; Design\Design\FC22\DRR Jaime\Neiva CPI\[VAO_DINA TERCIARIOS_CF_SEC_20230117.xlsx]CF PRB'!$BY$51</v>
      </c>
      <c r="J4007" s="1" t="s">
        <v>1923</v>
      </c>
    </row>
    <row r="4008" spans="1:10" x14ac:dyDescent="0.3">
      <c r="A4008" s="6" t="s">
        <v>20</v>
      </c>
      <c r="B4008" s="6">
        <f t="shared" si="926"/>
        <v>2039</v>
      </c>
      <c r="C4008" s="1" t="s">
        <v>43</v>
      </c>
      <c r="D4008" s="2" t="s">
        <v>131</v>
      </c>
      <c r="E4008" s="9" t="str">
        <f t="shared" si="921"/>
        <v>PRB'!</v>
      </c>
      <c r="F4008" s="5" t="str">
        <f t="shared" si="922"/>
        <v>C:\Users\jaime.benazar\Quorum Business Solutions\Ecopetrol Prometeo - Documents\Planning Space Implementation\3. Analysis &amp; Design\Design\FC22\DRR Jaime\Neiva CPI\[VAO_DINA TERCIARIOS_CF_SEC_20230117.xlsx]CF PRB'!</v>
      </c>
      <c r="G4008" s="6" t="s">
        <v>113</v>
      </c>
      <c r="H4008" s="1">
        <f t="shared" si="924"/>
        <v>52</v>
      </c>
      <c r="I4008" s="1" t="str">
        <f t="shared" si="923"/>
        <v>='C:\Users\jaime.benazar\Quorum Business Solutions\Ecopetrol Prometeo - Documents\Planning Space Implementation\3. Analysis &amp; Design\Design\FC22\DRR Jaime\Neiva CPI\[VAO_DINA TERCIARIOS_CF_SEC_20230117.xlsx]CF PRB'!$BY$52</v>
      </c>
      <c r="J4008" s="1" t="s">
        <v>1924</v>
      </c>
    </row>
    <row r="4009" spans="1:10" x14ac:dyDescent="0.3">
      <c r="A4009" s="6" t="s">
        <v>20</v>
      </c>
      <c r="B4009" s="6">
        <f t="shared" si="926"/>
        <v>2040</v>
      </c>
      <c r="C4009" s="1" t="s">
        <v>43</v>
      </c>
      <c r="D4009" s="2" t="s">
        <v>131</v>
      </c>
      <c r="E4009" s="9" t="str">
        <f t="shared" si="921"/>
        <v>PRB'!</v>
      </c>
      <c r="F4009" s="5" t="str">
        <f t="shared" si="922"/>
        <v>C:\Users\jaime.benazar\Quorum Business Solutions\Ecopetrol Prometeo - Documents\Planning Space Implementation\3. Analysis &amp; Design\Design\FC22\DRR Jaime\Neiva CPI\[VAO_DINA TERCIARIOS_CF_SEC_20230117.xlsx]CF PRB'!</v>
      </c>
      <c r="G4009" s="6" t="s">
        <v>113</v>
      </c>
      <c r="H4009" s="1">
        <f t="shared" si="924"/>
        <v>53</v>
      </c>
      <c r="I4009" s="1" t="str">
        <f t="shared" si="923"/>
        <v>='C:\Users\jaime.benazar\Quorum Business Solutions\Ecopetrol Prometeo - Documents\Planning Space Implementation\3. Analysis &amp; Design\Design\FC22\DRR Jaime\Neiva CPI\[VAO_DINA TERCIARIOS_CF_SEC_20230117.xlsx]CF PRB'!$BY$53</v>
      </c>
      <c r="J4009" s="1" t="s">
        <v>1925</v>
      </c>
    </row>
    <row r="4010" spans="1:10" x14ac:dyDescent="0.3">
      <c r="A4010" s="6" t="s">
        <v>20</v>
      </c>
      <c r="B4010" s="6">
        <f>+B4009+1</f>
        <v>2041</v>
      </c>
      <c r="C4010" s="1" t="s">
        <v>43</v>
      </c>
      <c r="D4010" s="2" t="s">
        <v>131</v>
      </c>
      <c r="E4010" s="9" t="str">
        <f t="shared" si="921"/>
        <v>PRB'!</v>
      </c>
      <c r="F4010" s="5" t="str">
        <f t="shared" si="922"/>
        <v>C:\Users\jaime.benazar\Quorum Business Solutions\Ecopetrol Prometeo - Documents\Planning Space Implementation\3. Analysis &amp; Design\Design\FC22\DRR Jaime\Neiva CPI\[VAO_DINA TERCIARIOS_CF_SEC_20230117.xlsx]CF PRB'!</v>
      </c>
      <c r="G4010" s="6" t="s">
        <v>113</v>
      </c>
      <c r="H4010" s="1">
        <f t="shared" si="924"/>
        <v>54</v>
      </c>
      <c r="I4010" s="1" t="str">
        <f t="shared" si="923"/>
        <v>='C:\Users\jaime.benazar\Quorum Business Solutions\Ecopetrol Prometeo - Documents\Planning Space Implementation\3. Analysis &amp; Design\Design\FC22\DRR Jaime\Neiva CPI\[VAO_DINA TERCIARIOS_CF_SEC_20230117.xlsx]CF PRB'!$BY$54</v>
      </c>
      <c r="J4010" s="1" t="s">
        <v>1926</v>
      </c>
    </row>
    <row r="4011" spans="1:10" x14ac:dyDescent="0.3">
      <c r="A4011" s="6" t="s">
        <v>20</v>
      </c>
      <c r="B4011" s="6">
        <f t="shared" ref="B4011:B4012" si="927">+B4010+1</f>
        <v>2042</v>
      </c>
      <c r="C4011" s="1" t="s">
        <v>43</v>
      </c>
      <c r="D4011" s="2" t="s">
        <v>131</v>
      </c>
      <c r="E4011" s="9" t="str">
        <f t="shared" si="921"/>
        <v>PRB'!</v>
      </c>
      <c r="F4011" s="5" t="str">
        <f t="shared" si="922"/>
        <v>C:\Users\jaime.benazar\Quorum Business Solutions\Ecopetrol Prometeo - Documents\Planning Space Implementation\3. Analysis &amp; Design\Design\FC22\DRR Jaime\Neiva CPI\[VAO_DINA TERCIARIOS_CF_SEC_20230117.xlsx]CF PRB'!</v>
      </c>
      <c r="G4011" s="6" t="s">
        <v>113</v>
      </c>
      <c r="H4011" s="1">
        <f t="shared" si="924"/>
        <v>55</v>
      </c>
      <c r="I4011" s="1" t="str">
        <f t="shared" si="923"/>
        <v>='C:\Users\jaime.benazar\Quorum Business Solutions\Ecopetrol Prometeo - Documents\Planning Space Implementation\3. Analysis &amp; Design\Design\FC22\DRR Jaime\Neiva CPI\[VAO_DINA TERCIARIOS_CF_SEC_20230117.xlsx]CF PRB'!$BY$55</v>
      </c>
      <c r="J4011" s="1" t="s">
        <v>1927</v>
      </c>
    </row>
    <row r="4012" spans="1:10" x14ac:dyDescent="0.3">
      <c r="A4012" s="6" t="s">
        <v>20</v>
      </c>
      <c r="B4012" s="6">
        <f t="shared" si="927"/>
        <v>2043</v>
      </c>
      <c r="C4012" s="1" t="s">
        <v>43</v>
      </c>
      <c r="D4012" s="2" t="s">
        <v>131</v>
      </c>
      <c r="E4012" s="9" t="str">
        <f t="shared" si="921"/>
        <v>PRB'!</v>
      </c>
      <c r="F4012" s="5" t="str">
        <f t="shared" si="922"/>
        <v>C:\Users\jaime.benazar\Quorum Business Solutions\Ecopetrol Prometeo - Documents\Planning Space Implementation\3. Analysis &amp; Design\Design\FC22\DRR Jaime\Neiva CPI\[VAO_DINA TERCIARIOS_CF_SEC_20230117.xlsx]CF PRB'!</v>
      </c>
      <c r="G4012" s="6" t="s">
        <v>113</v>
      </c>
      <c r="H4012" s="1">
        <f t="shared" si="924"/>
        <v>56</v>
      </c>
      <c r="I4012" s="1" t="str">
        <f t="shared" si="923"/>
        <v>='C:\Users\jaime.benazar\Quorum Business Solutions\Ecopetrol Prometeo - Documents\Planning Space Implementation\3. Analysis &amp; Design\Design\FC22\DRR Jaime\Neiva CPI\[VAO_DINA TERCIARIOS_CF_SEC_20230117.xlsx]CF PRB'!$BY$56</v>
      </c>
      <c r="J4012" s="1" t="s">
        <v>1928</v>
      </c>
    </row>
    <row r="4013" spans="1:10" x14ac:dyDescent="0.3">
      <c r="A4013" s="6" t="s">
        <v>20</v>
      </c>
      <c r="B4013" s="6">
        <f>+B4012+1</f>
        <v>2044</v>
      </c>
      <c r="C4013" s="1" t="s">
        <v>43</v>
      </c>
      <c r="D4013" s="2" t="s">
        <v>131</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Jaime\Neiva CPI\[VAO_DINA TERCIARIOS_CF_SEC_20230117.xlsx]CF PRB'!</v>
      </c>
      <c r="G4013" s="6" t="s">
        <v>113</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Jaime\Neiva CPI\[VAO_DINA TERCIARIOS_CF_SEC_20230117.xlsx]CF PRB'!$BY$57</v>
      </c>
      <c r="J4013" s="1" t="s">
        <v>1929</v>
      </c>
    </row>
    <row r="4014" spans="1:10" x14ac:dyDescent="0.3">
      <c r="A4014" s="6" t="s">
        <v>20</v>
      </c>
      <c r="B4014" s="6">
        <f t="shared" ref="B4014:B4028" si="932">+B4013+1</f>
        <v>2045</v>
      </c>
      <c r="C4014" s="1" t="s">
        <v>43</v>
      </c>
      <c r="D4014" s="2" t="s">
        <v>131</v>
      </c>
      <c r="E4014" s="9" t="str">
        <f t="shared" si="928"/>
        <v>PRB'!</v>
      </c>
      <c r="F4014" s="5" t="str">
        <f t="shared" si="929"/>
        <v>C:\Users\jaime.benazar\Quorum Business Solutions\Ecopetrol Prometeo - Documents\Planning Space Implementation\3. Analysis &amp; Design\Design\FC22\DRR Jaime\Neiva CPI\[VAO_DINA TERCIARIOS_CF_SEC_20230117.xlsx]CF PRB'!</v>
      </c>
      <c r="G4014" s="6" t="s">
        <v>113</v>
      </c>
      <c r="H4014" s="1">
        <f t="shared" si="930"/>
        <v>58</v>
      </c>
      <c r="I4014" s="1" t="str">
        <f t="shared" si="931"/>
        <v>='C:\Users\jaime.benazar\Quorum Business Solutions\Ecopetrol Prometeo - Documents\Planning Space Implementation\3. Analysis &amp; Design\Design\FC22\DRR Jaime\Neiva CPI\[VAO_DINA TERCIARIOS_CF_SEC_20230117.xlsx]CF PRB'!$BY$58</v>
      </c>
      <c r="J4014" s="1" t="s">
        <v>1930</v>
      </c>
    </row>
    <row r="4015" spans="1:10" x14ac:dyDescent="0.3">
      <c r="A4015" s="6" t="s">
        <v>20</v>
      </c>
      <c r="B4015" s="6">
        <f t="shared" si="932"/>
        <v>2046</v>
      </c>
      <c r="C4015" s="1" t="s">
        <v>43</v>
      </c>
      <c r="D4015" s="2" t="s">
        <v>131</v>
      </c>
      <c r="E4015" s="9" t="str">
        <f t="shared" si="928"/>
        <v>PRB'!</v>
      </c>
      <c r="F4015" s="5" t="str">
        <f t="shared" si="929"/>
        <v>C:\Users\jaime.benazar\Quorum Business Solutions\Ecopetrol Prometeo - Documents\Planning Space Implementation\3. Analysis &amp; Design\Design\FC22\DRR Jaime\Neiva CPI\[VAO_DINA TERCIARIOS_CF_SEC_20230117.xlsx]CF PRB'!</v>
      </c>
      <c r="G4015" s="6" t="s">
        <v>113</v>
      </c>
      <c r="H4015" s="1">
        <f t="shared" si="930"/>
        <v>59</v>
      </c>
      <c r="I4015" s="1" t="str">
        <f t="shared" si="931"/>
        <v>='C:\Users\jaime.benazar\Quorum Business Solutions\Ecopetrol Prometeo - Documents\Planning Space Implementation\3. Analysis &amp; Design\Design\FC22\DRR Jaime\Neiva CPI\[VAO_DINA TERCIARIOS_CF_SEC_20230117.xlsx]CF PRB'!$BY$59</v>
      </c>
      <c r="J4015" s="1" t="s">
        <v>1931</v>
      </c>
    </row>
    <row r="4016" spans="1:10" x14ac:dyDescent="0.3">
      <c r="A4016" s="6" t="s">
        <v>20</v>
      </c>
      <c r="B4016" s="6">
        <f t="shared" si="932"/>
        <v>2047</v>
      </c>
      <c r="C4016" s="1" t="s">
        <v>43</v>
      </c>
      <c r="D4016" s="2" t="s">
        <v>131</v>
      </c>
      <c r="E4016" s="9" t="str">
        <f t="shared" si="928"/>
        <v>PRB'!</v>
      </c>
      <c r="F4016" s="5" t="str">
        <f t="shared" si="929"/>
        <v>C:\Users\jaime.benazar\Quorum Business Solutions\Ecopetrol Prometeo - Documents\Planning Space Implementation\3. Analysis &amp; Design\Design\FC22\DRR Jaime\Neiva CPI\[VAO_DINA TERCIARIOS_CF_SEC_20230117.xlsx]CF PRB'!</v>
      </c>
      <c r="G4016" s="6" t="s">
        <v>113</v>
      </c>
      <c r="H4016" s="1">
        <f t="shared" si="930"/>
        <v>60</v>
      </c>
      <c r="I4016" s="1" t="str">
        <f t="shared" si="931"/>
        <v>='C:\Users\jaime.benazar\Quorum Business Solutions\Ecopetrol Prometeo - Documents\Planning Space Implementation\3. Analysis &amp; Design\Design\FC22\DRR Jaime\Neiva CPI\[VAO_DINA TERCIARIOS_CF_SEC_20230117.xlsx]CF PRB'!$BY$60</v>
      </c>
      <c r="J4016" s="1" t="s">
        <v>1932</v>
      </c>
    </row>
    <row r="4017" spans="1:10" x14ac:dyDescent="0.3">
      <c r="A4017" s="6" t="s">
        <v>20</v>
      </c>
      <c r="B4017" s="6">
        <f t="shared" si="932"/>
        <v>2048</v>
      </c>
      <c r="C4017" s="1" t="s">
        <v>43</v>
      </c>
      <c r="D4017" s="2" t="s">
        <v>131</v>
      </c>
      <c r="E4017" s="9" t="str">
        <f t="shared" si="928"/>
        <v>PRB'!</v>
      </c>
      <c r="F4017" s="5" t="str">
        <f t="shared" si="929"/>
        <v>C:\Users\jaime.benazar\Quorum Business Solutions\Ecopetrol Prometeo - Documents\Planning Space Implementation\3. Analysis &amp; Design\Design\FC22\DRR Jaime\Neiva CPI\[VAO_DINA TERCIARIOS_CF_SEC_20230117.xlsx]CF PRB'!</v>
      </c>
      <c r="G4017" s="6" t="s">
        <v>113</v>
      </c>
      <c r="H4017" s="1">
        <f t="shared" si="930"/>
        <v>61</v>
      </c>
      <c r="I4017" s="1" t="str">
        <f t="shared" si="931"/>
        <v>='C:\Users\jaime.benazar\Quorum Business Solutions\Ecopetrol Prometeo - Documents\Planning Space Implementation\3. Analysis &amp; Design\Design\FC22\DRR Jaime\Neiva CPI\[VAO_DINA TERCIARIOS_CF_SEC_20230117.xlsx]CF PRB'!$BY$61</v>
      </c>
      <c r="J4017" s="1" t="s">
        <v>1933</v>
      </c>
    </row>
    <row r="4018" spans="1:10" x14ac:dyDescent="0.3">
      <c r="A4018" s="6" t="s">
        <v>20</v>
      </c>
      <c r="B4018" s="6">
        <f t="shared" si="932"/>
        <v>2049</v>
      </c>
      <c r="C4018" s="1" t="s">
        <v>43</v>
      </c>
      <c r="D4018" s="2" t="s">
        <v>131</v>
      </c>
      <c r="E4018" s="9" t="str">
        <f t="shared" si="928"/>
        <v>PRB'!</v>
      </c>
      <c r="F4018" s="5" t="str">
        <f t="shared" si="929"/>
        <v>C:\Users\jaime.benazar\Quorum Business Solutions\Ecopetrol Prometeo - Documents\Planning Space Implementation\3. Analysis &amp; Design\Design\FC22\DRR Jaime\Neiva CPI\[VAO_DINA TERCIARIOS_CF_SEC_20230117.xlsx]CF PRB'!</v>
      </c>
      <c r="G4018" s="6" t="s">
        <v>113</v>
      </c>
      <c r="H4018" s="1">
        <f t="shared" si="930"/>
        <v>62</v>
      </c>
      <c r="I4018" s="1" t="str">
        <f t="shared" si="931"/>
        <v>='C:\Users\jaime.benazar\Quorum Business Solutions\Ecopetrol Prometeo - Documents\Planning Space Implementation\3. Analysis &amp; Design\Design\FC22\DRR Jaime\Neiva CPI\[VAO_DINA TERCIARIOS_CF_SEC_20230117.xlsx]CF PRB'!$BY$62</v>
      </c>
      <c r="J4018" s="1" t="s">
        <v>1934</v>
      </c>
    </row>
    <row r="4019" spans="1:10" x14ac:dyDescent="0.3">
      <c r="A4019" s="6" t="s">
        <v>20</v>
      </c>
      <c r="B4019" s="6">
        <f t="shared" si="932"/>
        <v>2050</v>
      </c>
      <c r="C4019" s="1" t="s">
        <v>43</v>
      </c>
      <c r="D4019" s="2" t="s">
        <v>131</v>
      </c>
      <c r="E4019" s="9" t="str">
        <f t="shared" si="928"/>
        <v>PRB'!</v>
      </c>
      <c r="F4019" s="5" t="str">
        <f t="shared" si="929"/>
        <v>C:\Users\jaime.benazar\Quorum Business Solutions\Ecopetrol Prometeo - Documents\Planning Space Implementation\3. Analysis &amp; Design\Design\FC22\DRR Jaime\Neiva CPI\[VAO_DINA TERCIARIOS_CF_SEC_20230117.xlsx]CF PRB'!</v>
      </c>
      <c r="G4019" s="6" t="s">
        <v>113</v>
      </c>
      <c r="H4019" s="1">
        <f t="shared" si="930"/>
        <v>63</v>
      </c>
      <c r="I4019" s="1" t="str">
        <f t="shared" si="931"/>
        <v>='C:\Users\jaime.benazar\Quorum Business Solutions\Ecopetrol Prometeo - Documents\Planning Space Implementation\3. Analysis &amp; Design\Design\FC22\DRR Jaime\Neiva CPI\[VAO_DINA TERCIARIOS_CF_SEC_20230117.xlsx]CF PRB'!$BY$63</v>
      </c>
      <c r="J4019" s="1" t="s">
        <v>1935</v>
      </c>
    </row>
    <row r="4020" spans="1:10" x14ac:dyDescent="0.3">
      <c r="A4020" s="6" t="s">
        <v>20</v>
      </c>
      <c r="B4020" s="6">
        <f t="shared" si="932"/>
        <v>2051</v>
      </c>
      <c r="C4020" s="1" t="s">
        <v>43</v>
      </c>
      <c r="D4020" s="2" t="s">
        <v>131</v>
      </c>
      <c r="E4020" s="9" t="str">
        <f t="shared" si="928"/>
        <v>PRB'!</v>
      </c>
      <c r="F4020" s="5" t="str">
        <f t="shared" si="929"/>
        <v>C:\Users\jaime.benazar\Quorum Business Solutions\Ecopetrol Prometeo - Documents\Planning Space Implementation\3. Analysis &amp; Design\Design\FC22\DRR Jaime\Neiva CPI\[VAO_DINA TERCIARIOS_CF_SEC_20230117.xlsx]CF PRB'!</v>
      </c>
      <c r="G4020" s="6" t="s">
        <v>113</v>
      </c>
      <c r="H4020" s="1">
        <f t="shared" si="930"/>
        <v>64</v>
      </c>
      <c r="I4020" s="1" t="str">
        <f t="shared" si="931"/>
        <v>='C:\Users\jaime.benazar\Quorum Business Solutions\Ecopetrol Prometeo - Documents\Planning Space Implementation\3. Analysis &amp; Design\Design\FC22\DRR Jaime\Neiva CPI\[VAO_DINA TERCIARIOS_CF_SEC_20230117.xlsx]CF PRB'!$BY$64</v>
      </c>
      <c r="J4020" s="1" t="s">
        <v>1936</v>
      </c>
    </row>
    <row r="4021" spans="1:10" x14ac:dyDescent="0.3">
      <c r="A4021" s="6" t="s">
        <v>20</v>
      </c>
      <c r="B4021" s="6">
        <f t="shared" si="932"/>
        <v>2052</v>
      </c>
      <c r="C4021" s="1" t="s">
        <v>43</v>
      </c>
      <c r="D4021" s="2" t="s">
        <v>131</v>
      </c>
      <c r="E4021" s="9" t="str">
        <f t="shared" si="928"/>
        <v>PRB'!</v>
      </c>
      <c r="F4021" s="5" t="str">
        <f t="shared" si="929"/>
        <v>C:\Users\jaime.benazar\Quorum Business Solutions\Ecopetrol Prometeo - Documents\Planning Space Implementation\3. Analysis &amp; Design\Design\FC22\DRR Jaime\Neiva CPI\[VAO_DINA TERCIARIOS_CF_SEC_20230117.xlsx]CF PRB'!</v>
      </c>
      <c r="G4021" s="6" t="s">
        <v>113</v>
      </c>
      <c r="H4021" s="1">
        <f t="shared" si="930"/>
        <v>65</v>
      </c>
      <c r="I4021" s="1" t="str">
        <f t="shared" si="931"/>
        <v>='C:\Users\jaime.benazar\Quorum Business Solutions\Ecopetrol Prometeo - Documents\Planning Space Implementation\3. Analysis &amp; Design\Design\FC22\DRR Jaime\Neiva CPI\[VAO_DINA TERCIARIOS_CF_SEC_20230117.xlsx]CF PRB'!$BY$65</v>
      </c>
      <c r="J4021" s="1" t="s">
        <v>1937</v>
      </c>
    </row>
    <row r="4022" spans="1:10" x14ac:dyDescent="0.3">
      <c r="A4022" s="6" t="s">
        <v>20</v>
      </c>
      <c r="B4022" s="6">
        <f t="shared" si="932"/>
        <v>2053</v>
      </c>
      <c r="C4022" s="1" t="s">
        <v>43</v>
      </c>
      <c r="D4022" s="2" t="s">
        <v>131</v>
      </c>
      <c r="E4022" s="9" t="str">
        <f t="shared" si="928"/>
        <v>PRB'!</v>
      </c>
      <c r="F4022" s="5" t="str">
        <f t="shared" si="929"/>
        <v>C:\Users\jaime.benazar\Quorum Business Solutions\Ecopetrol Prometeo - Documents\Planning Space Implementation\3. Analysis &amp; Design\Design\FC22\DRR Jaime\Neiva CPI\[VAO_DINA TERCIARIOS_CF_SEC_20230117.xlsx]CF PRB'!</v>
      </c>
      <c r="G4022" s="6" t="s">
        <v>113</v>
      </c>
      <c r="H4022" s="1">
        <f t="shared" si="930"/>
        <v>66</v>
      </c>
      <c r="I4022" s="1" t="str">
        <f t="shared" si="931"/>
        <v>='C:\Users\jaime.benazar\Quorum Business Solutions\Ecopetrol Prometeo - Documents\Planning Space Implementation\3. Analysis &amp; Design\Design\FC22\DRR Jaime\Neiva CPI\[VAO_DINA TERCIARIOS_CF_SEC_20230117.xlsx]CF PRB'!$BY$66</v>
      </c>
      <c r="J4022" s="1" t="s">
        <v>1938</v>
      </c>
    </row>
    <row r="4023" spans="1:10" x14ac:dyDescent="0.3">
      <c r="A4023" s="6" t="s">
        <v>20</v>
      </c>
      <c r="B4023" s="6">
        <f t="shared" si="932"/>
        <v>2054</v>
      </c>
      <c r="C4023" s="1" t="s">
        <v>43</v>
      </c>
      <c r="D4023" s="2" t="s">
        <v>131</v>
      </c>
      <c r="E4023" s="9" t="str">
        <f t="shared" si="928"/>
        <v>PRB'!</v>
      </c>
      <c r="F4023" s="5" t="str">
        <f t="shared" si="929"/>
        <v>C:\Users\jaime.benazar\Quorum Business Solutions\Ecopetrol Prometeo - Documents\Planning Space Implementation\3. Analysis &amp; Design\Design\FC22\DRR Jaime\Neiva CPI\[VAO_DINA TERCIARIOS_CF_SEC_20230117.xlsx]CF PRB'!</v>
      </c>
      <c r="G4023" s="6" t="s">
        <v>113</v>
      </c>
      <c r="H4023" s="1">
        <f t="shared" si="930"/>
        <v>67</v>
      </c>
      <c r="I4023" s="1" t="str">
        <f t="shared" si="931"/>
        <v>='C:\Users\jaime.benazar\Quorum Business Solutions\Ecopetrol Prometeo - Documents\Planning Space Implementation\3. Analysis &amp; Design\Design\FC22\DRR Jaime\Neiva CPI\[VAO_DINA TERCIARIOS_CF_SEC_20230117.xlsx]CF PRB'!$BY$67</v>
      </c>
      <c r="J4023" s="1" t="s">
        <v>1939</v>
      </c>
    </row>
    <row r="4024" spans="1:10" x14ac:dyDescent="0.3">
      <c r="A4024" s="6" t="s">
        <v>20</v>
      </c>
      <c r="B4024" s="6">
        <f t="shared" si="932"/>
        <v>2055</v>
      </c>
      <c r="C4024" s="1" t="s">
        <v>43</v>
      </c>
      <c r="D4024" s="2" t="s">
        <v>131</v>
      </c>
      <c r="E4024" s="9" t="str">
        <f t="shared" si="928"/>
        <v>PRB'!</v>
      </c>
      <c r="F4024" s="5" t="str">
        <f t="shared" si="929"/>
        <v>C:\Users\jaime.benazar\Quorum Business Solutions\Ecopetrol Prometeo - Documents\Planning Space Implementation\3. Analysis &amp; Design\Design\FC22\DRR Jaime\Neiva CPI\[VAO_DINA TERCIARIOS_CF_SEC_20230117.xlsx]CF PRB'!</v>
      </c>
      <c r="G4024" s="6" t="s">
        <v>113</v>
      </c>
      <c r="H4024" s="1">
        <f t="shared" si="930"/>
        <v>68</v>
      </c>
      <c r="I4024" s="1" t="str">
        <f t="shared" si="931"/>
        <v>='C:\Users\jaime.benazar\Quorum Business Solutions\Ecopetrol Prometeo - Documents\Planning Space Implementation\3. Analysis &amp; Design\Design\FC22\DRR Jaime\Neiva CPI\[VAO_DINA TERCIARIOS_CF_SEC_20230117.xlsx]CF PRB'!$BY$68</v>
      </c>
      <c r="J4024" s="1" t="s">
        <v>1940</v>
      </c>
    </row>
    <row r="4025" spans="1:10" x14ac:dyDescent="0.3">
      <c r="A4025" s="6" t="s">
        <v>20</v>
      </c>
      <c r="B4025" s="6">
        <f t="shared" si="932"/>
        <v>2056</v>
      </c>
      <c r="C4025" s="1" t="s">
        <v>43</v>
      </c>
      <c r="D4025" s="2" t="s">
        <v>131</v>
      </c>
      <c r="E4025" s="9" t="str">
        <f t="shared" si="928"/>
        <v>PRB'!</v>
      </c>
      <c r="F4025" s="5" t="str">
        <f t="shared" si="929"/>
        <v>C:\Users\jaime.benazar\Quorum Business Solutions\Ecopetrol Prometeo - Documents\Planning Space Implementation\3. Analysis &amp; Design\Design\FC22\DRR Jaime\Neiva CPI\[VAO_DINA TERCIARIOS_CF_SEC_20230117.xlsx]CF PRB'!</v>
      </c>
      <c r="G4025" s="6" t="s">
        <v>113</v>
      </c>
      <c r="H4025" s="1">
        <f t="shared" si="930"/>
        <v>69</v>
      </c>
      <c r="I4025" s="1" t="str">
        <f t="shared" si="931"/>
        <v>='C:\Users\jaime.benazar\Quorum Business Solutions\Ecopetrol Prometeo - Documents\Planning Space Implementation\3. Analysis &amp; Design\Design\FC22\DRR Jaime\Neiva CPI\[VAO_DINA TERCIARIOS_CF_SEC_20230117.xlsx]CF PRB'!$BY$69</v>
      </c>
      <c r="J4025" s="1" t="s">
        <v>1941</v>
      </c>
    </row>
    <row r="4026" spans="1:10" x14ac:dyDescent="0.3">
      <c r="A4026" s="6" t="s">
        <v>20</v>
      </c>
      <c r="B4026" s="6">
        <f t="shared" si="932"/>
        <v>2057</v>
      </c>
      <c r="C4026" s="1" t="s">
        <v>43</v>
      </c>
      <c r="D4026" s="2" t="s">
        <v>131</v>
      </c>
      <c r="E4026" s="9" t="str">
        <f t="shared" si="928"/>
        <v>PRB'!</v>
      </c>
      <c r="F4026" s="5" t="str">
        <f t="shared" si="929"/>
        <v>C:\Users\jaime.benazar\Quorum Business Solutions\Ecopetrol Prometeo - Documents\Planning Space Implementation\3. Analysis &amp; Design\Design\FC22\DRR Jaime\Neiva CPI\[VAO_DINA TERCIARIOS_CF_SEC_20230117.xlsx]CF PRB'!</v>
      </c>
      <c r="G4026" s="6" t="s">
        <v>113</v>
      </c>
      <c r="H4026" s="1">
        <f t="shared" si="930"/>
        <v>70</v>
      </c>
      <c r="I4026" s="1" t="str">
        <f t="shared" si="931"/>
        <v>='C:\Users\jaime.benazar\Quorum Business Solutions\Ecopetrol Prometeo - Documents\Planning Space Implementation\3. Analysis &amp; Design\Design\FC22\DRR Jaime\Neiva CPI\[VAO_DINA TERCIARIOS_CF_SEC_20230117.xlsx]CF PRB'!$BY$70</v>
      </c>
      <c r="J4026" s="1" t="s">
        <v>1942</v>
      </c>
    </row>
    <row r="4027" spans="1:10" x14ac:dyDescent="0.3">
      <c r="A4027" s="6" t="s">
        <v>20</v>
      </c>
      <c r="B4027" s="6">
        <f t="shared" si="932"/>
        <v>2058</v>
      </c>
      <c r="C4027" s="1" t="s">
        <v>43</v>
      </c>
      <c r="D4027" s="2" t="s">
        <v>131</v>
      </c>
      <c r="E4027" s="9" t="str">
        <f t="shared" si="928"/>
        <v>PRB'!</v>
      </c>
      <c r="F4027" s="5" t="str">
        <f t="shared" si="929"/>
        <v>C:\Users\jaime.benazar\Quorum Business Solutions\Ecopetrol Prometeo - Documents\Planning Space Implementation\3. Analysis &amp; Design\Design\FC22\DRR Jaime\Neiva CPI\[VAO_DINA TERCIARIOS_CF_SEC_20230117.xlsx]CF PRB'!</v>
      </c>
      <c r="G4027" s="6" t="s">
        <v>113</v>
      </c>
      <c r="H4027" s="1">
        <f t="shared" si="930"/>
        <v>71</v>
      </c>
      <c r="I4027" s="1" t="str">
        <f t="shared" si="931"/>
        <v>='C:\Users\jaime.benazar\Quorum Business Solutions\Ecopetrol Prometeo - Documents\Planning Space Implementation\3. Analysis &amp; Design\Design\FC22\DRR Jaime\Neiva CPI\[VAO_DINA TERCIARIOS_CF_SEC_20230117.xlsx]CF PRB'!$BY$71</v>
      </c>
      <c r="J4027" s="1" t="s">
        <v>1943</v>
      </c>
    </row>
    <row r="4028" spans="1:10" x14ac:dyDescent="0.3">
      <c r="A4028" s="6" t="s">
        <v>20</v>
      </c>
      <c r="B4028" s="6">
        <f t="shared" si="932"/>
        <v>2059</v>
      </c>
      <c r="C4028" s="1" t="s">
        <v>43</v>
      </c>
      <c r="D4028" s="2" t="s">
        <v>131</v>
      </c>
      <c r="E4028" s="9" t="str">
        <f t="shared" si="928"/>
        <v>PRB'!</v>
      </c>
      <c r="F4028" s="5" t="str">
        <f t="shared" si="929"/>
        <v>C:\Users\jaime.benazar\Quorum Business Solutions\Ecopetrol Prometeo - Documents\Planning Space Implementation\3. Analysis &amp; Design\Design\FC22\DRR Jaime\Neiva CPI\[VAO_DINA TERCIARIOS_CF_SEC_20230117.xlsx]CF PRB'!</v>
      </c>
      <c r="G4028" s="6" t="s">
        <v>113</v>
      </c>
      <c r="H4028" s="1">
        <f t="shared" si="930"/>
        <v>72</v>
      </c>
      <c r="I4028" s="1" t="str">
        <f t="shared" si="931"/>
        <v>='C:\Users\jaime.benazar\Quorum Business Solutions\Ecopetrol Prometeo - Documents\Planning Space Implementation\3. Analysis &amp; Design\Design\FC22\DRR Jaime\Neiva CPI\[VAO_DINA TERCIARIOS_CF_SEC_20230117.xlsx]CF PRB'!$BY$72</v>
      </c>
      <c r="J4028" s="1" t="s">
        <v>1944</v>
      </c>
    </row>
    <row r="4029" spans="1:10" x14ac:dyDescent="0.3">
      <c r="A4029" s="6" t="s">
        <v>26</v>
      </c>
      <c r="B4029" s="6"/>
      <c r="C4029" s="1" t="s">
        <v>43</v>
      </c>
      <c r="D4029" s="2"/>
      <c r="E4029" s="9"/>
      <c r="F4029" s="5"/>
      <c r="G4029" s="6"/>
      <c r="H4029" s="1"/>
      <c r="I4029" s="1"/>
      <c r="J4029" s="4"/>
    </row>
    <row r="4030" spans="1:10" x14ac:dyDescent="0.3">
      <c r="A4030" s="6" t="s">
        <v>21</v>
      </c>
      <c r="B4030" s="6">
        <v>2023</v>
      </c>
      <c r="C4030" s="1" t="s">
        <v>43</v>
      </c>
      <c r="D4030" s="2" t="s">
        <v>131</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Jaime\Neiva CPI\[VAO_DINA TERCIARIOS_CF_SEC_20230117.xlsx]CF PSDP'!</v>
      </c>
      <c r="G4030" s="6" t="s">
        <v>113</v>
      </c>
      <c r="H4030" s="1"/>
      <c r="I4030" s="1"/>
      <c r="J4030" s="1"/>
    </row>
    <row r="4031" spans="1:10" x14ac:dyDescent="0.3">
      <c r="A4031" s="6" t="s">
        <v>21</v>
      </c>
      <c r="B4031" s="6">
        <f>+B4030+1</f>
        <v>2024</v>
      </c>
      <c r="C4031" s="1" t="s">
        <v>43</v>
      </c>
      <c r="D4031" s="2" t="s">
        <v>131</v>
      </c>
      <c r="E4031" s="9" t="str">
        <f t="shared" si="933"/>
        <v>PSDP'!</v>
      </c>
      <c r="F4031" s="5" t="str">
        <f t="shared" si="934"/>
        <v>C:\Users\jaime.benazar\Quorum Business Solutions\Ecopetrol Prometeo - Documents\Planning Space Implementation\3. Analysis &amp; Design\Design\FC22\DRR Jaime\Neiva CPI\[VAO_DINA TERCIARIOS_CF_SEC_20230117.xlsx]CF PSDP'!</v>
      </c>
      <c r="G4031" s="6" t="s">
        <v>113</v>
      </c>
      <c r="H4031" s="1"/>
      <c r="I4031" s="1"/>
      <c r="J4031" s="1"/>
    </row>
    <row r="4032" spans="1:10" x14ac:dyDescent="0.3">
      <c r="A4032" s="6" t="s">
        <v>21</v>
      </c>
      <c r="B4032" s="6">
        <f t="shared" ref="B4032:B4043" si="935">+B4031+1</f>
        <v>2025</v>
      </c>
      <c r="C4032" s="1" t="s">
        <v>43</v>
      </c>
      <c r="D4032" s="2" t="s">
        <v>131</v>
      </c>
      <c r="E4032" s="9" t="str">
        <f t="shared" si="933"/>
        <v>PSDP'!</v>
      </c>
      <c r="F4032" s="5" t="str">
        <f t="shared" si="934"/>
        <v>C:\Users\jaime.benazar\Quorum Business Solutions\Ecopetrol Prometeo - Documents\Planning Space Implementation\3. Analysis &amp; Design\Design\FC22\DRR Jaime\Neiva CPI\[VAO_DINA TERCIARIOS_CF_SEC_20230117.xlsx]CF PSDP'!</v>
      </c>
      <c r="G4032" s="6" t="s">
        <v>113</v>
      </c>
      <c r="H4032" s="1"/>
      <c r="I4032" s="1"/>
      <c r="J4032" s="1"/>
    </row>
    <row r="4033" spans="1:10" x14ac:dyDescent="0.3">
      <c r="A4033" s="6" t="s">
        <v>21</v>
      </c>
      <c r="B4033" s="6">
        <f t="shared" si="935"/>
        <v>2026</v>
      </c>
      <c r="C4033" s="1" t="s">
        <v>43</v>
      </c>
      <c r="D4033" s="2" t="s">
        <v>131</v>
      </c>
      <c r="E4033" s="9" t="str">
        <f t="shared" si="933"/>
        <v>PSDP'!</v>
      </c>
      <c r="F4033" s="5" t="str">
        <f t="shared" si="934"/>
        <v>C:\Users\jaime.benazar\Quorum Business Solutions\Ecopetrol Prometeo - Documents\Planning Space Implementation\3. Analysis &amp; Design\Design\FC22\DRR Jaime\Neiva CPI\[VAO_DINA TERCIARIOS_CF_SEC_20230117.xlsx]CF PSDP'!</v>
      </c>
      <c r="G4033" s="6" t="s">
        <v>113</v>
      </c>
      <c r="H4033" s="1"/>
      <c r="I4033" s="1"/>
      <c r="J4033" s="1"/>
    </row>
    <row r="4034" spans="1:10" x14ac:dyDescent="0.3">
      <c r="A4034" s="6" t="s">
        <v>21</v>
      </c>
      <c r="B4034" s="6">
        <f t="shared" si="935"/>
        <v>2027</v>
      </c>
      <c r="C4034" s="1" t="s">
        <v>43</v>
      </c>
      <c r="D4034" s="2" t="s">
        <v>131</v>
      </c>
      <c r="E4034" s="9" t="str">
        <f t="shared" si="933"/>
        <v>PSDP'!</v>
      </c>
      <c r="F4034" s="5" t="str">
        <f t="shared" si="934"/>
        <v>C:\Users\jaime.benazar\Quorum Business Solutions\Ecopetrol Prometeo - Documents\Planning Space Implementation\3. Analysis &amp; Design\Design\FC22\DRR Jaime\Neiva CPI\[VAO_DINA TERCIARIOS_CF_SEC_20230117.xlsx]CF PSDP'!</v>
      </c>
      <c r="G4034" s="6" t="s">
        <v>113</v>
      </c>
      <c r="H4034" s="1"/>
      <c r="I4034" s="1"/>
      <c r="J4034" s="1"/>
    </row>
    <row r="4035" spans="1:10" x14ac:dyDescent="0.3">
      <c r="A4035" s="6" t="s">
        <v>21</v>
      </c>
      <c r="B4035" s="6">
        <f t="shared" si="935"/>
        <v>2028</v>
      </c>
      <c r="C4035" s="1" t="s">
        <v>43</v>
      </c>
      <c r="D4035" s="2" t="s">
        <v>131</v>
      </c>
      <c r="E4035" s="9" t="str">
        <f t="shared" si="933"/>
        <v>PSDP'!</v>
      </c>
      <c r="F4035" s="5" t="str">
        <f t="shared" si="934"/>
        <v>C:\Users\jaime.benazar\Quorum Business Solutions\Ecopetrol Prometeo - Documents\Planning Space Implementation\3. Analysis &amp; Design\Design\FC22\DRR Jaime\Neiva CPI\[VAO_DINA TERCIARIOS_CF_SEC_20230117.xlsx]CF PSDP'!</v>
      </c>
      <c r="G4035" s="6" t="s">
        <v>113</v>
      </c>
      <c r="H4035" s="1"/>
      <c r="I4035" s="1"/>
      <c r="J4035" s="1"/>
    </row>
    <row r="4036" spans="1:10" x14ac:dyDescent="0.3">
      <c r="A4036" s="6" t="s">
        <v>21</v>
      </c>
      <c r="B4036" s="6">
        <f t="shared" si="935"/>
        <v>2029</v>
      </c>
      <c r="C4036" s="1" t="s">
        <v>43</v>
      </c>
      <c r="D4036" s="2" t="s">
        <v>131</v>
      </c>
      <c r="E4036" s="9" t="str">
        <f t="shared" si="933"/>
        <v>PSDP'!</v>
      </c>
      <c r="F4036" s="5" t="str">
        <f t="shared" si="934"/>
        <v>C:\Users\jaime.benazar\Quorum Business Solutions\Ecopetrol Prometeo - Documents\Planning Space Implementation\3. Analysis &amp; Design\Design\FC22\DRR Jaime\Neiva CPI\[VAO_DINA TERCIARIOS_CF_SEC_20230117.xlsx]CF PSDP'!</v>
      </c>
      <c r="G4036" s="6" t="s">
        <v>113</v>
      </c>
      <c r="H4036" s="1"/>
      <c r="I4036" s="1"/>
      <c r="J4036" s="1"/>
    </row>
    <row r="4037" spans="1:10" x14ac:dyDescent="0.3">
      <c r="A4037" s="6" t="s">
        <v>21</v>
      </c>
      <c r="B4037" s="6">
        <f t="shared" si="935"/>
        <v>2030</v>
      </c>
      <c r="C4037" s="1" t="s">
        <v>43</v>
      </c>
      <c r="D4037" s="2" t="s">
        <v>131</v>
      </c>
      <c r="E4037" s="9" t="str">
        <f t="shared" si="933"/>
        <v>PSDP'!</v>
      </c>
      <c r="F4037" s="5" t="str">
        <f t="shared" si="934"/>
        <v>C:\Users\jaime.benazar\Quorum Business Solutions\Ecopetrol Prometeo - Documents\Planning Space Implementation\3. Analysis &amp; Design\Design\FC22\DRR Jaime\Neiva CPI\[VAO_DINA TERCIARIOS_CF_SEC_20230117.xlsx]CF PSDP'!</v>
      </c>
      <c r="G4037" s="6" t="s">
        <v>113</v>
      </c>
      <c r="H4037" s="1"/>
      <c r="I4037" s="1"/>
      <c r="J4037" s="1"/>
    </row>
    <row r="4038" spans="1:10" x14ac:dyDescent="0.3">
      <c r="A4038" s="6" t="s">
        <v>21</v>
      </c>
      <c r="B4038" s="6">
        <f t="shared" si="935"/>
        <v>2031</v>
      </c>
      <c r="C4038" s="1" t="s">
        <v>43</v>
      </c>
      <c r="D4038" s="2" t="s">
        <v>131</v>
      </c>
      <c r="E4038" s="9" t="str">
        <f t="shared" si="933"/>
        <v>PSDP'!</v>
      </c>
      <c r="F4038" s="5" t="str">
        <f t="shared" si="934"/>
        <v>C:\Users\jaime.benazar\Quorum Business Solutions\Ecopetrol Prometeo - Documents\Planning Space Implementation\3. Analysis &amp; Design\Design\FC22\DRR Jaime\Neiva CPI\[VAO_DINA TERCIARIOS_CF_SEC_20230117.xlsx]CF PSDP'!</v>
      </c>
      <c r="G4038" s="6" t="s">
        <v>113</v>
      </c>
      <c r="H4038" s="1"/>
      <c r="I4038" s="1"/>
      <c r="J4038" s="1"/>
    </row>
    <row r="4039" spans="1:10" x14ac:dyDescent="0.3">
      <c r="A4039" s="6" t="s">
        <v>21</v>
      </c>
      <c r="B4039" s="6">
        <f t="shared" si="935"/>
        <v>2032</v>
      </c>
      <c r="C4039" s="1" t="s">
        <v>43</v>
      </c>
      <c r="D4039" s="2" t="s">
        <v>131</v>
      </c>
      <c r="E4039" s="9" t="str">
        <f t="shared" si="933"/>
        <v>PSDP'!</v>
      </c>
      <c r="F4039" s="5" t="str">
        <f t="shared" si="934"/>
        <v>C:\Users\jaime.benazar\Quorum Business Solutions\Ecopetrol Prometeo - Documents\Planning Space Implementation\3. Analysis &amp; Design\Design\FC22\DRR Jaime\Neiva CPI\[VAO_DINA TERCIARIOS_CF_SEC_20230117.xlsx]CF PSDP'!</v>
      </c>
      <c r="G4039" s="6" t="s">
        <v>113</v>
      </c>
      <c r="H4039" s="1"/>
      <c r="I4039" s="1"/>
      <c r="J4039" s="1"/>
    </row>
    <row r="4040" spans="1:10" x14ac:dyDescent="0.3">
      <c r="A4040" s="6" t="s">
        <v>21</v>
      </c>
      <c r="B4040" s="6">
        <f t="shared" si="935"/>
        <v>2033</v>
      </c>
      <c r="C4040" s="1" t="s">
        <v>43</v>
      </c>
      <c r="D4040" s="2" t="s">
        <v>131</v>
      </c>
      <c r="E4040" s="9" t="str">
        <f t="shared" si="933"/>
        <v>PSDP'!</v>
      </c>
      <c r="F4040" s="5" t="str">
        <f t="shared" si="934"/>
        <v>C:\Users\jaime.benazar\Quorum Business Solutions\Ecopetrol Prometeo - Documents\Planning Space Implementation\3. Analysis &amp; Design\Design\FC22\DRR Jaime\Neiva CPI\[VAO_DINA TERCIARIOS_CF_SEC_20230117.xlsx]CF PSDP'!</v>
      </c>
      <c r="G4040" s="6" t="s">
        <v>113</v>
      </c>
      <c r="H4040" s="1"/>
      <c r="I4040" s="1"/>
      <c r="J4040" s="1"/>
    </row>
    <row r="4041" spans="1:10" x14ac:dyDescent="0.3">
      <c r="A4041" s="6" t="s">
        <v>21</v>
      </c>
      <c r="B4041" s="6">
        <f t="shared" si="935"/>
        <v>2034</v>
      </c>
      <c r="C4041" s="1" t="s">
        <v>43</v>
      </c>
      <c r="D4041" s="2" t="s">
        <v>131</v>
      </c>
      <c r="E4041" s="9" t="str">
        <f t="shared" si="933"/>
        <v>PSDP'!</v>
      </c>
      <c r="F4041" s="5" t="str">
        <f t="shared" si="934"/>
        <v>C:\Users\jaime.benazar\Quorum Business Solutions\Ecopetrol Prometeo - Documents\Planning Space Implementation\3. Analysis &amp; Design\Design\FC22\DRR Jaime\Neiva CPI\[VAO_DINA TERCIARIOS_CF_SEC_20230117.xlsx]CF PSDP'!</v>
      </c>
      <c r="G4041" s="6" t="s">
        <v>113</v>
      </c>
      <c r="H4041" s="1"/>
      <c r="I4041" s="1"/>
      <c r="J4041" s="1"/>
    </row>
    <row r="4042" spans="1:10" x14ac:dyDescent="0.3">
      <c r="A4042" s="6" t="s">
        <v>21</v>
      </c>
      <c r="B4042" s="6">
        <f t="shared" si="935"/>
        <v>2035</v>
      </c>
      <c r="C4042" s="1" t="s">
        <v>43</v>
      </c>
      <c r="D4042" s="2" t="s">
        <v>131</v>
      </c>
      <c r="E4042" s="9" t="str">
        <f t="shared" si="933"/>
        <v>PSDP'!</v>
      </c>
      <c r="F4042" s="5" t="str">
        <f t="shared" si="934"/>
        <v>C:\Users\jaime.benazar\Quorum Business Solutions\Ecopetrol Prometeo - Documents\Planning Space Implementation\3. Analysis &amp; Design\Design\FC22\DRR Jaime\Neiva CPI\[VAO_DINA TERCIARIOS_CF_SEC_20230117.xlsx]CF PSDP'!</v>
      </c>
      <c r="G4042" s="6" t="s">
        <v>113</v>
      </c>
      <c r="H4042" s="1"/>
      <c r="I4042" s="1"/>
      <c r="J4042" s="1"/>
    </row>
    <row r="4043" spans="1:10" x14ac:dyDescent="0.3">
      <c r="A4043" s="6" t="s">
        <v>21</v>
      </c>
      <c r="B4043" s="6">
        <f t="shared" si="935"/>
        <v>2036</v>
      </c>
      <c r="C4043" s="1" t="s">
        <v>43</v>
      </c>
      <c r="D4043" s="2" t="s">
        <v>131</v>
      </c>
      <c r="E4043" s="9" t="str">
        <f t="shared" si="933"/>
        <v>PSDP'!</v>
      </c>
      <c r="F4043" s="5" t="str">
        <f t="shared" si="934"/>
        <v>C:\Users\jaime.benazar\Quorum Business Solutions\Ecopetrol Prometeo - Documents\Planning Space Implementation\3. Analysis &amp; Design\Design\FC22\DRR Jaime\Neiva CPI\[VAO_DINA TERCIARIOS_CF_SEC_20230117.xlsx]CF PSDP'!</v>
      </c>
      <c r="G4043" s="6" t="s">
        <v>113</v>
      </c>
      <c r="H4043" s="1"/>
      <c r="I4043" s="1"/>
      <c r="J4043" s="1"/>
    </row>
    <row r="4044" spans="1:10" x14ac:dyDescent="0.3">
      <c r="A4044" s="6" t="s">
        <v>21</v>
      </c>
      <c r="B4044" s="6">
        <f>+B4043+1</f>
        <v>2037</v>
      </c>
      <c r="C4044" s="1" t="s">
        <v>43</v>
      </c>
      <c r="D4044" s="2" t="s">
        <v>131</v>
      </c>
      <c r="E4044" s="9" t="str">
        <f t="shared" si="933"/>
        <v>PSDP'!</v>
      </c>
      <c r="F4044" s="5" t="str">
        <f t="shared" si="934"/>
        <v>C:\Users\jaime.benazar\Quorum Business Solutions\Ecopetrol Prometeo - Documents\Planning Space Implementation\3. Analysis &amp; Design\Design\FC22\DRR Jaime\Neiva CPI\[VAO_DINA TERCIARIOS_CF_SEC_20230117.xlsx]CF PSDP'!</v>
      </c>
      <c r="G4044" s="6" t="s">
        <v>113</v>
      </c>
      <c r="H4044" s="1"/>
      <c r="I4044" s="1"/>
      <c r="J4044" s="1"/>
    </row>
    <row r="4045" spans="1:10" x14ac:dyDescent="0.3">
      <c r="A4045" s="6" t="s">
        <v>21</v>
      </c>
      <c r="B4045" s="6">
        <f t="shared" ref="B4045:B4047" si="936">+B4044+1</f>
        <v>2038</v>
      </c>
      <c r="C4045" s="1" t="s">
        <v>43</v>
      </c>
      <c r="D4045" s="2" t="s">
        <v>131</v>
      </c>
      <c r="E4045" s="9" t="str">
        <f t="shared" si="933"/>
        <v>PSDP'!</v>
      </c>
      <c r="F4045" s="5" t="str">
        <f t="shared" si="934"/>
        <v>C:\Users\jaime.benazar\Quorum Business Solutions\Ecopetrol Prometeo - Documents\Planning Space Implementation\3. Analysis &amp; Design\Design\FC22\DRR Jaime\Neiva CPI\[VAO_DINA TERCIARIOS_CF_SEC_20230117.xlsx]CF PSDP'!</v>
      </c>
      <c r="G4045" s="6" t="s">
        <v>113</v>
      </c>
      <c r="H4045" s="1"/>
      <c r="I4045" s="1"/>
      <c r="J4045" s="1"/>
    </row>
    <row r="4046" spans="1:10" x14ac:dyDescent="0.3">
      <c r="A4046" s="6" t="s">
        <v>21</v>
      </c>
      <c r="B4046" s="6">
        <f t="shared" si="936"/>
        <v>2039</v>
      </c>
      <c r="C4046" s="1" t="s">
        <v>43</v>
      </c>
      <c r="D4046" s="2" t="s">
        <v>131</v>
      </c>
      <c r="E4046" s="9" t="str">
        <f t="shared" si="933"/>
        <v>PSDP'!</v>
      </c>
      <c r="F4046" s="5" t="str">
        <f t="shared" si="934"/>
        <v>C:\Users\jaime.benazar\Quorum Business Solutions\Ecopetrol Prometeo - Documents\Planning Space Implementation\3. Analysis &amp; Design\Design\FC22\DRR Jaime\Neiva CPI\[VAO_DINA TERCIARIOS_CF_SEC_20230117.xlsx]CF PSDP'!</v>
      </c>
      <c r="G4046" s="6" t="s">
        <v>113</v>
      </c>
      <c r="H4046" s="1"/>
      <c r="I4046" s="1"/>
      <c r="J4046" s="1"/>
    </row>
    <row r="4047" spans="1:10" x14ac:dyDescent="0.3">
      <c r="A4047" s="6" t="s">
        <v>21</v>
      </c>
      <c r="B4047" s="6">
        <f t="shared" si="936"/>
        <v>2040</v>
      </c>
      <c r="C4047" s="1" t="s">
        <v>43</v>
      </c>
      <c r="D4047" s="2" t="s">
        <v>131</v>
      </c>
      <c r="E4047" s="9" t="str">
        <f t="shared" si="933"/>
        <v>PSDP'!</v>
      </c>
      <c r="F4047" s="5" t="str">
        <f t="shared" si="934"/>
        <v>C:\Users\jaime.benazar\Quorum Business Solutions\Ecopetrol Prometeo - Documents\Planning Space Implementation\3. Analysis &amp; Design\Design\FC22\DRR Jaime\Neiva CPI\[VAO_DINA TERCIARIOS_CF_SEC_20230117.xlsx]CF PSDP'!</v>
      </c>
      <c r="G4047" s="6" t="s">
        <v>113</v>
      </c>
      <c r="H4047" s="1"/>
      <c r="I4047" s="1"/>
      <c r="J4047" s="1"/>
    </row>
    <row r="4048" spans="1:10" x14ac:dyDescent="0.3">
      <c r="A4048" s="6" t="s">
        <v>21</v>
      </c>
      <c r="B4048" s="6">
        <f>+B4047+1</f>
        <v>2041</v>
      </c>
      <c r="C4048" s="1" t="s">
        <v>43</v>
      </c>
      <c r="D4048" s="2" t="s">
        <v>131</v>
      </c>
      <c r="E4048" s="9" t="str">
        <f t="shared" si="933"/>
        <v>PSDP'!</v>
      </c>
      <c r="F4048" s="5" t="str">
        <f t="shared" si="934"/>
        <v>C:\Users\jaime.benazar\Quorum Business Solutions\Ecopetrol Prometeo - Documents\Planning Space Implementation\3. Analysis &amp; Design\Design\FC22\DRR Jaime\Neiva CPI\[VAO_DINA TERCIARIOS_CF_SEC_20230117.xlsx]CF PSDP'!</v>
      </c>
      <c r="G4048" s="6" t="s">
        <v>113</v>
      </c>
      <c r="H4048" s="1"/>
      <c r="I4048" s="1"/>
      <c r="J4048" s="1"/>
    </row>
    <row r="4049" spans="1:10" x14ac:dyDescent="0.3">
      <c r="A4049" s="6" t="s">
        <v>21</v>
      </c>
      <c r="B4049" s="6">
        <f t="shared" ref="B4049:B4050" si="937">+B4048+1</f>
        <v>2042</v>
      </c>
      <c r="C4049" s="1" t="s">
        <v>43</v>
      </c>
      <c r="D4049" s="2" t="s">
        <v>131</v>
      </c>
      <c r="E4049" s="9" t="str">
        <f t="shared" si="933"/>
        <v>PSDP'!</v>
      </c>
      <c r="F4049" s="5" t="str">
        <f t="shared" si="934"/>
        <v>C:\Users\jaime.benazar\Quorum Business Solutions\Ecopetrol Prometeo - Documents\Planning Space Implementation\3. Analysis &amp; Design\Design\FC22\DRR Jaime\Neiva CPI\[VAO_DINA TERCIARIOS_CF_SEC_20230117.xlsx]CF PSDP'!</v>
      </c>
      <c r="G4049" s="6" t="s">
        <v>113</v>
      </c>
      <c r="H4049" s="1"/>
      <c r="I4049" s="1"/>
      <c r="J4049" s="1"/>
    </row>
    <row r="4050" spans="1:10" x14ac:dyDescent="0.3">
      <c r="A4050" s="6" t="s">
        <v>21</v>
      </c>
      <c r="B4050" s="6">
        <f t="shared" si="937"/>
        <v>2043</v>
      </c>
      <c r="C4050" s="1" t="s">
        <v>43</v>
      </c>
      <c r="D4050" s="2" t="s">
        <v>131</v>
      </c>
      <c r="E4050" s="9" t="str">
        <f t="shared" si="933"/>
        <v>PSDP'!</v>
      </c>
      <c r="F4050" s="5" t="str">
        <f t="shared" si="934"/>
        <v>C:\Users\jaime.benazar\Quorum Business Solutions\Ecopetrol Prometeo - Documents\Planning Space Implementation\3. Analysis &amp; Design\Design\FC22\DRR Jaime\Neiva CPI\[VAO_DINA TERCIARIOS_CF_SEC_20230117.xlsx]CF PSDP'!</v>
      </c>
      <c r="G4050" s="6" t="s">
        <v>113</v>
      </c>
      <c r="H4050" s="1"/>
      <c r="I4050" s="1"/>
      <c r="J4050" s="1"/>
    </row>
    <row r="4051" spans="1:10" x14ac:dyDescent="0.3">
      <c r="A4051" s="6" t="s">
        <v>21</v>
      </c>
      <c r="B4051" s="6">
        <f>+B4050+1</f>
        <v>2044</v>
      </c>
      <c r="C4051" s="1" t="s">
        <v>43</v>
      </c>
      <c r="D4051" s="2" t="s">
        <v>131</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Jaime\Neiva CPI\[VAO_DINA TERCIARIOS_CF_SEC_20230117.xlsx]CF PSDP'!</v>
      </c>
      <c r="G4051" s="6" t="s">
        <v>113</v>
      </c>
      <c r="H4051" s="1"/>
      <c r="I4051" s="1"/>
      <c r="J4051" s="1"/>
    </row>
    <row r="4052" spans="1:10" x14ac:dyDescent="0.3">
      <c r="A4052" s="6" t="s">
        <v>21</v>
      </c>
      <c r="B4052" s="6">
        <f t="shared" ref="B4052:B4066" si="940">+B4051+1</f>
        <v>2045</v>
      </c>
      <c r="C4052" s="1" t="s">
        <v>43</v>
      </c>
      <c r="D4052" s="2" t="s">
        <v>131</v>
      </c>
      <c r="E4052" s="9" t="str">
        <f t="shared" si="938"/>
        <v>PSDP'!</v>
      </c>
      <c r="F4052" s="5" t="str">
        <f t="shared" si="939"/>
        <v>C:\Users\jaime.benazar\Quorum Business Solutions\Ecopetrol Prometeo - Documents\Planning Space Implementation\3. Analysis &amp; Design\Design\FC22\DRR Jaime\Neiva CPI\[VAO_DINA TERCIARIOS_CF_SEC_20230117.xlsx]CF PSDP'!</v>
      </c>
      <c r="G4052" s="6" t="s">
        <v>113</v>
      </c>
      <c r="H4052" s="1"/>
      <c r="I4052" s="1"/>
      <c r="J4052" s="1"/>
    </row>
    <row r="4053" spans="1:10" x14ac:dyDescent="0.3">
      <c r="A4053" s="6" t="s">
        <v>21</v>
      </c>
      <c r="B4053" s="6">
        <f t="shared" si="940"/>
        <v>2046</v>
      </c>
      <c r="C4053" s="1" t="s">
        <v>43</v>
      </c>
      <c r="D4053" s="2" t="s">
        <v>131</v>
      </c>
      <c r="E4053" s="9" t="str">
        <f t="shared" si="938"/>
        <v>PSDP'!</v>
      </c>
      <c r="F4053" s="5" t="str">
        <f t="shared" si="939"/>
        <v>C:\Users\jaime.benazar\Quorum Business Solutions\Ecopetrol Prometeo - Documents\Planning Space Implementation\3. Analysis &amp; Design\Design\FC22\DRR Jaime\Neiva CPI\[VAO_DINA TERCIARIOS_CF_SEC_20230117.xlsx]CF PSDP'!</v>
      </c>
      <c r="G4053" s="6" t="s">
        <v>113</v>
      </c>
      <c r="H4053" s="1"/>
      <c r="I4053" s="1"/>
      <c r="J4053" s="1"/>
    </row>
    <row r="4054" spans="1:10" x14ac:dyDescent="0.3">
      <c r="A4054" s="6" t="s">
        <v>21</v>
      </c>
      <c r="B4054" s="6">
        <f t="shared" si="940"/>
        <v>2047</v>
      </c>
      <c r="C4054" s="1" t="s">
        <v>43</v>
      </c>
      <c r="D4054" s="2" t="s">
        <v>131</v>
      </c>
      <c r="E4054" s="9" t="str">
        <f t="shared" si="938"/>
        <v>PSDP'!</v>
      </c>
      <c r="F4054" s="5" t="str">
        <f t="shared" si="939"/>
        <v>C:\Users\jaime.benazar\Quorum Business Solutions\Ecopetrol Prometeo - Documents\Planning Space Implementation\3. Analysis &amp; Design\Design\FC22\DRR Jaime\Neiva CPI\[VAO_DINA TERCIARIOS_CF_SEC_20230117.xlsx]CF PSDP'!</v>
      </c>
      <c r="G4054" s="6" t="s">
        <v>113</v>
      </c>
      <c r="H4054" s="1"/>
      <c r="I4054" s="1"/>
      <c r="J4054" s="1"/>
    </row>
    <row r="4055" spans="1:10" x14ac:dyDescent="0.3">
      <c r="A4055" s="6" t="s">
        <v>21</v>
      </c>
      <c r="B4055" s="6">
        <f t="shared" si="940"/>
        <v>2048</v>
      </c>
      <c r="C4055" s="1" t="s">
        <v>43</v>
      </c>
      <c r="D4055" s="2" t="s">
        <v>131</v>
      </c>
      <c r="E4055" s="9" t="str">
        <f t="shared" si="938"/>
        <v>PSDP'!</v>
      </c>
      <c r="F4055" s="5" t="str">
        <f t="shared" si="939"/>
        <v>C:\Users\jaime.benazar\Quorum Business Solutions\Ecopetrol Prometeo - Documents\Planning Space Implementation\3. Analysis &amp; Design\Design\FC22\DRR Jaime\Neiva CPI\[VAO_DINA TERCIARIOS_CF_SEC_20230117.xlsx]CF PSDP'!</v>
      </c>
      <c r="G4055" s="6" t="s">
        <v>113</v>
      </c>
      <c r="H4055" s="1"/>
      <c r="I4055" s="1"/>
      <c r="J4055" s="1"/>
    </row>
    <row r="4056" spans="1:10" x14ac:dyDescent="0.3">
      <c r="A4056" s="6" t="s">
        <v>21</v>
      </c>
      <c r="B4056" s="6">
        <f t="shared" si="940"/>
        <v>2049</v>
      </c>
      <c r="C4056" s="1" t="s">
        <v>43</v>
      </c>
      <c r="D4056" s="2" t="s">
        <v>131</v>
      </c>
      <c r="E4056" s="9" t="str">
        <f t="shared" si="938"/>
        <v>PSDP'!</v>
      </c>
      <c r="F4056" s="5" t="str">
        <f t="shared" si="939"/>
        <v>C:\Users\jaime.benazar\Quorum Business Solutions\Ecopetrol Prometeo - Documents\Planning Space Implementation\3. Analysis &amp; Design\Design\FC22\DRR Jaime\Neiva CPI\[VAO_DINA TERCIARIOS_CF_SEC_20230117.xlsx]CF PSDP'!</v>
      </c>
      <c r="G4056" s="6" t="s">
        <v>113</v>
      </c>
      <c r="H4056" s="1"/>
      <c r="I4056" s="1"/>
      <c r="J4056" s="1"/>
    </row>
    <row r="4057" spans="1:10" x14ac:dyDescent="0.3">
      <c r="A4057" s="6" t="s">
        <v>21</v>
      </c>
      <c r="B4057" s="6">
        <f t="shared" si="940"/>
        <v>2050</v>
      </c>
      <c r="C4057" s="1" t="s">
        <v>43</v>
      </c>
      <c r="D4057" s="2" t="s">
        <v>131</v>
      </c>
      <c r="E4057" s="9" t="str">
        <f t="shared" si="938"/>
        <v>PSDP'!</v>
      </c>
      <c r="F4057" s="5" t="str">
        <f t="shared" si="939"/>
        <v>C:\Users\jaime.benazar\Quorum Business Solutions\Ecopetrol Prometeo - Documents\Planning Space Implementation\3. Analysis &amp; Design\Design\FC22\DRR Jaime\Neiva CPI\[VAO_DINA TERCIARIOS_CF_SEC_20230117.xlsx]CF PSDP'!</v>
      </c>
      <c r="G4057" s="6" t="s">
        <v>113</v>
      </c>
      <c r="H4057" s="1"/>
      <c r="I4057" s="1"/>
      <c r="J4057" s="1"/>
    </row>
    <row r="4058" spans="1:10" x14ac:dyDescent="0.3">
      <c r="A4058" s="6" t="s">
        <v>21</v>
      </c>
      <c r="B4058" s="6">
        <f t="shared" si="940"/>
        <v>2051</v>
      </c>
      <c r="C4058" s="1" t="s">
        <v>43</v>
      </c>
      <c r="D4058" s="2" t="s">
        <v>131</v>
      </c>
      <c r="E4058" s="9" t="str">
        <f t="shared" si="938"/>
        <v>PSDP'!</v>
      </c>
      <c r="F4058" s="5" t="str">
        <f t="shared" si="939"/>
        <v>C:\Users\jaime.benazar\Quorum Business Solutions\Ecopetrol Prometeo - Documents\Planning Space Implementation\3. Analysis &amp; Design\Design\FC22\DRR Jaime\Neiva CPI\[VAO_DINA TERCIARIOS_CF_SEC_20230117.xlsx]CF PSDP'!</v>
      </c>
      <c r="G4058" s="6" t="s">
        <v>113</v>
      </c>
      <c r="H4058" s="1"/>
      <c r="I4058" s="1"/>
      <c r="J4058" s="1"/>
    </row>
    <row r="4059" spans="1:10" x14ac:dyDescent="0.3">
      <c r="A4059" s="6" t="s">
        <v>21</v>
      </c>
      <c r="B4059" s="6">
        <f t="shared" si="940"/>
        <v>2052</v>
      </c>
      <c r="C4059" s="1" t="s">
        <v>43</v>
      </c>
      <c r="D4059" s="2" t="s">
        <v>131</v>
      </c>
      <c r="E4059" s="9" t="str">
        <f t="shared" si="938"/>
        <v>PSDP'!</v>
      </c>
      <c r="F4059" s="5" t="str">
        <f t="shared" si="939"/>
        <v>C:\Users\jaime.benazar\Quorum Business Solutions\Ecopetrol Prometeo - Documents\Planning Space Implementation\3. Analysis &amp; Design\Design\FC22\DRR Jaime\Neiva CPI\[VAO_DINA TERCIARIOS_CF_SEC_20230117.xlsx]CF PSDP'!</v>
      </c>
      <c r="G4059" s="6" t="s">
        <v>113</v>
      </c>
      <c r="H4059" s="1"/>
      <c r="I4059" s="1"/>
      <c r="J4059" s="1"/>
    </row>
    <row r="4060" spans="1:10" x14ac:dyDescent="0.3">
      <c r="A4060" s="6" t="s">
        <v>21</v>
      </c>
      <c r="B4060" s="6">
        <f t="shared" si="940"/>
        <v>2053</v>
      </c>
      <c r="C4060" s="1" t="s">
        <v>43</v>
      </c>
      <c r="D4060" s="2" t="s">
        <v>131</v>
      </c>
      <c r="E4060" s="9" t="str">
        <f t="shared" si="938"/>
        <v>PSDP'!</v>
      </c>
      <c r="F4060" s="5" t="str">
        <f t="shared" si="939"/>
        <v>C:\Users\jaime.benazar\Quorum Business Solutions\Ecopetrol Prometeo - Documents\Planning Space Implementation\3. Analysis &amp; Design\Design\FC22\DRR Jaime\Neiva CPI\[VAO_DINA TERCIARIOS_CF_SEC_20230117.xlsx]CF PSDP'!</v>
      </c>
      <c r="G4060" s="6" t="s">
        <v>113</v>
      </c>
      <c r="H4060" s="1"/>
      <c r="I4060" s="1"/>
      <c r="J4060" s="1"/>
    </row>
    <row r="4061" spans="1:10" x14ac:dyDescent="0.3">
      <c r="A4061" s="6" t="s">
        <v>21</v>
      </c>
      <c r="B4061" s="6">
        <f t="shared" si="940"/>
        <v>2054</v>
      </c>
      <c r="C4061" s="1" t="s">
        <v>43</v>
      </c>
      <c r="D4061" s="2" t="s">
        <v>131</v>
      </c>
      <c r="E4061" s="9" t="str">
        <f t="shared" si="938"/>
        <v>PSDP'!</v>
      </c>
      <c r="F4061" s="5" t="str">
        <f t="shared" si="939"/>
        <v>C:\Users\jaime.benazar\Quorum Business Solutions\Ecopetrol Prometeo - Documents\Planning Space Implementation\3. Analysis &amp; Design\Design\FC22\DRR Jaime\Neiva CPI\[VAO_DINA TERCIARIOS_CF_SEC_20230117.xlsx]CF PSDP'!</v>
      </c>
      <c r="G4061" s="6" t="s">
        <v>113</v>
      </c>
      <c r="H4061" s="1"/>
      <c r="I4061" s="1"/>
      <c r="J4061" s="1"/>
    </row>
    <row r="4062" spans="1:10" x14ac:dyDescent="0.3">
      <c r="A4062" s="6" t="s">
        <v>21</v>
      </c>
      <c r="B4062" s="6">
        <f t="shared" si="940"/>
        <v>2055</v>
      </c>
      <c r="C4062" s="1" t="s">
        <v>43</v>
      </c>
      <c r="D4062" s="2" t="s">
        <v>131</v>
      </c>
      <c r="E4062" s="9" t="str">
        <f t="shared" si="938"/>
        <v>PSDP'!</v>
      </c>
      <c r="F4062" s="5" t="str">
        <f t="shared" si="939"/>
        <v>C:\Users\jaime.benazar\Quorum Business Solutions\Ecopetrol Prometeo - Documents\Planning Space Implementation\3. Analysis &amp; Design\Design\FC22\DRR Jaime\Neiva CPI\[VAO_DINA TERCIARIOS_CF_SEC_20230117.xlsx]CF PSDP'!</v>
      </c>
      <c r="G4062" s="6" t="s">
        <v>113</v>
      </c>
      <c r="H4062" s="1"/>
      <c r="I4062" s="1"/>
      <c r="J4062" s="1"/>
    </row>
    <row r="4063" spans="1:10" x14ac:dyDescent="0.3">
      <c r="A4063" s="6" t="s">
        <v>21</v>
      </c>
      <c r="B4063" s="6">
        <f t="shared" si="940"/>
        <v>2056</v>
      </c>
      <c r="C4063" s="1" t="s">
        <v>43</v>
      </c>
      <c r="D4063" s="2" t="s">
        <v>131</v>
      </c>
      <c r="E4063" s="9" t="str">
        <f t="shared" si="938"/>
        <v>PSDP'!</v>
      </c>
      <c r="F4063" s="5" t="str">
        <f t="shared" si="939"/>
        <v>C:\Users\jaime.benazar\Quorum Business Solutions\Ecopetrol Prometeo - Documents\Planning Space Implementation\3. Analysis &amp; Design\Design\FC22\DRR Jaime\Neiva CPI\[VAO_DINA TERCIARIOS_CF_SEC_20230117.xlsx]CF PSDP'!</v>
      </c>
      <c r="G4063" s="6" t="s">
        <v>113</v>
      </c>
      <c r="H4063" s="1"/>
      <c r="I4063" s="1"/>
      <c r="J4063" s="1"/>
    </row>
    <row r="4064" spans="1:10" x14ac:dyDescent="0.3">
      <c r="A4064" s="6" t="s">
        <v>21</v>
      </c>
      <c r="B4064" s="6">
        <f t="shared" si="940"/>
        <v>2057</v>
      </c>
      <c r="C4064" s="1" t="s">
        <v>43</v>
      </c>
      <c r="D4064" s="2" t="s">
        <v>131</v>
      </c>
      <c r="E4064" s="9" t="str">
        <f t="shared" si="938"/>
        <v>PSDP'!</v>
      </c>
      <c r="F4064" s="5" t="str">
        <f t="shared" si="939"/>
        <v>C:\Users\jaime.benazar\Quorum Business Solutions\Ecopetrol Prometeo - Documents\Planning Space Implementation\3. Analysis &amp; Design\Design\FC22\DRR Jaime\Neiva CPI\[VAO_DINA TERCIARIOS_CF_SEC_20230117.xlsx]CF PSDP'!</v>
      </c>
      <c r="G4064" s="6" t="s">
        <v>113</v>
      </c>
      <c r="H4064" s="1"/>
      <c r="I4064" s="1"/>
      <c r="J4064" s="1"/>
    </row>
    <row r="4065" spans="1:10" x14ac:dyDescent="0.3">
      <c r="A4065" s="6" t="s">
        <v>21</v>
      </c>
      <c r="B4065" s="6">
        <f t="shared" si="940"/>
        <v>2058</v>
      </c>
      <c r="C4065" s="1" t="s">
        <v>43</v>
      </c>
      <c r="D4065" s="2" t="s">
        <v>131</v>
      </c>
      <c r="E4065" s="9" t="str">
        <f t="shared" si="938"/>
        <v>PSDP'!</v>
      </c>
      <c r="F4065" s="5" t="str">
        <f t="shared" si="939"/>
        <v>C:\Users\jaime.benazar\Quorum Business Solutions\Ecopetrol Prometeo - Documents\Planning Space Implementation\3. Analysis &amp; Design\Design\FC22\DRR Jaime\Neiva CPI\[VAO_DINA TERCIARIOS_CF_SEC_20230117.xlsx]CF PSDP'!</v>
      </c>
      <c r="G4065" s="6" t="s">
        <v>113</v>
      </c>
      <c r="H4065" s="1"/>
      <c r="I4065" s="1"/>
      <c r="J4065" s="1"/>
    </row>
    <row r="4066" spans="1:10" x14ac:dyDescent="0.3">
      <c r="A4066" s="6" t="s">
        <v>21</v>
      </c>
      <c r="B4066" s="6">
        <f t="shared" si="940"/>
        <v>2059</v>
      </c>
      <c r="C4066" s="1" t="s">
        <v>43</v>
      </c>
      <c r="D4066" s="2" t="s">
        <v>131</v>
      </c>
      <c r="E4066" s="9" t="str">
        <f t="shared" si="938"/>
        <v>PSDP'!</v>
      </c>
      <c r="F4066" s="5" t="str">
        <f t="shared" si="939"/>
        <v>C:\Users\jaime.benazar\Quorum Business Solutions\Ecopetrol Prometeo - Documents\Planning Space Implementation\3. Analysis &amp; Design\Design\FC22\DRR Jaime\Neiva CPI\[VAO_DINA TERCIARIOS_CF_SEC_20230117.xlsx]CF PSDP'!</v>
      </c>
      <c r="G4066" s="6" t="s">
        <v>113</v>
      </c>
      <c r="H4066" s="1"/>
      <c r="I4066" s="1"/>
      <c r="J4066" s="1"/>
    </row>
    <row r="4067" spans="1:10" x14ac:dyDescent="0.3">
      <c r="A4067" s="6" t="s">
        <v>26</v>
      </c>
      <c r="B4067" s="6"/>
      <c r="C4067" s="1" t="s">
        <v>43</v>
      </c>
      <c r="D4067" s="2"/>
      <c r="E4067" s="9"/>
      <c r="F4067" s="5"/>
      <c r="G4067" s="6"/>
      <c r="H4067" s="1"/>
      <c r="I4067" s="1"/>
      <c r="J4067" s="12"/>
    </row>
    <row r="4068" spans="1:10" x14ac:dyDescent="0.3">
      <c r="A4068" s="6" t="s">
        <v>22</v>
      </c>
      <c r="B4068" s="6">
        <v>2023</v>
      </c>
      <c r="C4068" s="1" t="s">
        <v>43</v>
      </c>
      <c r="D4068" s="2" t="s">
        <v>131</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Jaime\Neiva CPI\[VAO_DINA TERCIARIOS_CF_SEC_20230117.xlsx]CF PSNP'!</v>
      </c>
      <c r="G4068" s="6" t="s">
        <v>113</v>
      </c>
      <c r="H4068" s="1"/>
      <c r="I4068" s="1"/>
      <c r="J4068" s="1"/>
    </row>
    <row r="4069" spans="1:10" x14ac:dyDescent="0.3">
      <c r="A4069" s="6" t="s">
        <v>22</v>
      </c>
      <c r="B4069" s="6">
        <f>+B4068+1</f>
        <v>2024</v>
      </c>
      <c r="C4069" s="1" t="s">
        <v>43</v>
      </c>
      <c r="D4069" s="2" t="s">
        <v>131</v>
      </c>
      <c r="E4069" s="9" t="str">
        <f t="shared" si="941"/>
        <v>PSNP'!</v>
      </c>
      <c r="F4069" s="5" t="str">
        <f t="shared" si="942"/>
        <v>C:\Users\jaime.benazar\Quorum Business Solutions\Ecopetrol Prometeo - Documents\Planning Space Implementation\3. Analysis &amp; Design\Design\FC22\DRR Jaime\Neiva CPI\[VAO_DINA TERCIARIOS_CF_SEC_20230117.xlsx]CF PSNP'!</v>
      </c>
      <c r="G4069" s="6" t="s">
        <v>113</v>
      </c>
      <c r="H4069" s="1"/>
      <c r="I4069" s="1"/>
      <c r="J4069" s="1"/>
    </row>
    <row r="4070" spans="1:10" x14ac:dyDescent="0.3">
      <c r="A4070" s="6" t="s">
        <v>22</v>
      </c>
      <c r="B4070" s="6">
        <f t="shared" ref="B4070:B4081" si="943">+B4069+1</f>
        <v>2025</v>
      </c>
      <c r="C4070" s="1" t="s">
        <v>43</v>
      </c>
      <c r="D4070" s="2" t="s">
        <v>131</v>
      </c>
      <c r="E4070" s="9" t="str">
        <f t="shared" si="941"/>
        <v>PSNP'!</v>
      </c>
      <c r="F4070" s="5" t="str">
        <f t="shared" si="942"/>
        <v>C:\Users\jaime.benazar\Quorum Business Solutions\Ecopetrol Prometeo - Documents\Planning Space Implementation\3. Analysis &amp; Design\Design\FC22\DRR Jaime\Neiva CPI\[VAO_DINA TERCIARIOS_CF_SEC_20230117.xlsx]CF PSNP'!</v>
      </c>
      <c r="G4070" s="6" t="s">
        <v>113</v>
      </c>
      <c r="H4070" s="1"/>
      <c r="I4070" s="1"/>
      <c r="J4070" s="1"/>
    </row>
    <row r="4071" spans="1:10" x14ac:dyDescent="0.3">
      <c r="A4071" s="6" t="s">
        <v>22</v>
      </c>
      <c r="B4071" s="6">
        <f t="shared" si="943"/>
        <v>2026</v>
      </c>
      <c r="C4071" s="1" t="s">
        <v>43</v>
      </c>
      <c r="D4071" s="2" t="s">
        <v>131</v>
      </c>
      <c r="E4071" s="9" t="str">
        <f t="shared" si="941"/>
        <v>PSNP'!</v>
      </c>
      <c r="F4071" s="5" t="str">
        <f t="shared" si="942"/>
        <v>C:\Users\jaime.benazar\Quorum Business Solutions\Ecopetrol Prometeo - Documents\Planning Space Implementation\3. Analysis &amp; Design\Design\FC22\DRR Jaime\Neiva CPI\[VAO_DINA TERCIARIOS_CF_SEC_20230117.xlsx]CF PSNP'!</v>
      </c>
      <c r="G4071" s="6" t="s">
        <v>113</v>
      </c>
      <c r="H4071" s="1"/>
      <c r="I4071" s="1"/>
      <c r="J4071" s="1"/>
    </row>
    <row r="4072" spans="1:10" x14ac:dyDescent="0.3">
      <c r="A4072" s="6" t="s">
        <v>22</v>
      </c>
      <c r="B4072" s="6">
        <f t="shared" si="943"/>
        <v>2027</v>
      </c>
      <c r="C4072" s="1" t="s">
        <v>43</v>
      </c>
      <c r="D4072" s="2" t="s">
        <v>131</v>
      </c>
      <c r="E4072" s="9" t="str">
        <f t="shared" si="941"/>
        <v>PSNP'!</v>
      </c>
      <c r="F4072" s="5" t="str">
        <f t="shared" si="942"/>
        <v>C:\Users\jaime.benazar\Quorum Business Solutions\Ecopetrol Prometeo - Documents\Planning Space Implementation\3. Analysis &amp; Design\Design\FC22\DRR Jaime\Neiva CPI\[VAO_DINA TERCIARIOS_CF_SEC_20230117.xlsx]CF PSNP'!</v>
      </c>
      <c r="G4072" s="6" t="s">
        <v>113</v>
      </c>
      <c r="H4072" s="1"/>
      <c r="I4072" s="1"/>
      <c r="J4072" s="1"/>
    </row>
    <row r="4073" spans="1:10" x14ac:dyDescent="0.3">
      <c r="A4073" s="6" t="s">
        <v>22</v>
      </c>
      <c r="B4073" s="6">
        <f t="shared" si="943"/>
        <v>2028</v>
      </c>
      <c r="C4073" s="1" t="s">
        <v>43</v>
      </c>
      <c r="D4073" s="2" t="s">
        <v>131</v>
      </c>
      <c r="E4073" s="9" t="str">
        <f t="shared" si="941"/>
        <v>PSNP'!</v>
      </c>
      <c r="F4073" s="5" t="str">
        <f t="shared" si="942"/>
        <v>C:\Users\jaime.benazar\Quorum Business Solutions\Ecopetrol Prometeo - Documents\Planning Space Implementation\3. Analysis &amp; Design\Design\FC22\DRR Jaime\Neiva CPI\[VAO_DINA TERCIARIOS_CF_SEC_20230117.xlsx]CF PSNP'!</v>
      </c>
      <c r="G4073" s="6" t="s">
        <v>113</v>
      </c>
      <c r="H4073" s="1"/>
      <c r="I4073" s="1"/>
      <c r="J4073" s="1"/>
    </row>
    <row r="4074" spans="1:10" x14ac:dyDescent="0.3">
      <c r="A4074" s="6" t="s">
        <v>22</v>
      </c>
      <c r="B4074" s="6">
        <f t="shared" si="943"/>
        <v>2029</v>
      </c>
      <c r="C4074" s="1" t="s">
        <v>43</v>
      </c>
      <c r="D4074" s="2" t="s">
        <v>131</v>
      </c>
      <c r="E4074" s="9" t="str">
        <f t="shared" si="941"/>
        <v>PSNP'!</v>
      </c>
      <c r="F4074" s="5" t="str">
        <f t="shared" si="942"/>
        <v>C:\Users\jaime.benazar\Quorum Business Solutions\Ecopetrol Prometeo - Documents\Planning Space Implementation\3. Analysis &amp; Design\Design\FC22\DRR Jaime\Neiva CPI\[VAO_DINA TERCIARIOS_CF_SEC_20230117.xlsx]CF PSNP'!</v>
      </c>
      <c r="G4074" s="6" t="s">
        <v>113</v>
      </c>
      <c r="H4074" s="1"/>
      <c r="I4074" s="1"/>
      <c r="J4074" s="1"/>
    </row>
    <row r="4075" spans="1:10" x14ac:dyDescent="0.3">
      <c r="A4075" s="6" t="s">
        <v>22</v>
      </c>
      <c r="B4075" s="6">
        <f t="shared" si="943"/>
        <v>2030</v>
      </c>
      <c r="C4075" s="1" t="s">
        <v>43</v>
      </c>
      <c r="D4075" s="2" t="s">
        <v>131</v>
      </c>
      <c r="E4075" s="9" t="str">
        <f t="shared" si="941"/>
        <v>PSNP'!</v>
      </c>
      <c r="F4075" s="5" t="str">
        <f t="shared" si="942"/>
        <v>C:\Users\jaime.benazar\Quorum Business Solutions\Ecopetrol Prometeo - Documents\Planning Space Implementation\3. Analysis &amp; Design\Design\FC22\DRR Jaime\Neiva CPI\[VAO_DINA TERCIARIOS_CF_SEC_20230117.xlsx]CF PSNP'!</v>
      </c>
      <c r="G4075" s="6" t="s">
        <v>113</v>
      </c>
      <c r="H4075" s="1"/>
      <c r="I4075" s="1"/>
      <c r="J4075" s="1"/>
    </row>
    <row r="4076" spans="1:10" x14ac:dyDescent="0.3">
      <c r="A4076" s="6" t="s">
        <v>22</v>
      </c>
      <c r="B4076" s="6">
        <f t="shared" si="943"/>
        <v>2031</v>
      </c>
      <c r="C4076" s="1" t="s">
        <v>43</v>
      </c>
      <c r="D4076" s="2" t="s">
        <v>131</v>
      </c>
      <c r="E4076" s="9" t="str">
        <f t="shared" si="941"/>
        <v>PSNP'!</v>
      </c>
      <c r="F4076" s="5" t="str">
        <f t="shared" si="942"/>
        <v>C:\Users\jaime.benazar\Quorum Business Solutions\Ecopetrol Prometeo - Documents\Planning Space Implementation\3. Analysis &amp; Design\Design\FC22\DRR Jaime\Neiva CPI\[VAO_DINA TERCIARIOS_CF_SEC_20230117.xlsx]CF PSNP'!</v>
      </c>
      <c r="G4076" s="6" t="s">
        <v>113</v>
      </c>
      <c r="H4076" s="1"/>
      <c r="I4076" s="1"/>
      <c r="J4076" s="1"/>
    </row>
    <row r="4077" spans="1:10" x14ac:dyDescent="0.3">
      <c r="A4077" s="6" t="s">
        <v>22</v>
      </c>
      <c r="B4077" s="6">
        <f t="shared" si="943"/>
        <v>2032</v>
      </c>
      <c r="C4077" s="1" t="s">
        <v>43</v>
      </c>
      <c r="D4077" s="2" t="s">
        <v>131</v>
      </c>
      <c r="E4077" s="9" t="str">
        <f t="shared" si="941"/>
        <v>PSNP'!</v>
      </c>
      <c r="F4077" s="5" t="str">
        <f t="shared" si="942"/>
        <v>C:\Users\jaime.benazar\Quorum Business Solutions\Ecopetrol Prometeo - Documents\Planning Space Implementation\3. Analysis &amp; Design\Design\FC22\DRR Jaime\Neiva CPI\[VAO_DINA TERCIARIOS_CF_SEC_20230117.xlsx]CF PSNP'!</v>
      </c>
      <c r="G4077" s="6" t="s">
        <v>113</v>
      </c>
      <c r="H4077" s="1"/>
      <c r="I4077" s="1"/>
      <c r="J4077" s="1"/>
    </row>
    <row r="4078" spans="1:10" x14ac:dyDescent="0.3">
      <c r="A4078" s="6" t="s">
        <v>22</v>
      </c>
      <c r="B4078" s="6">
        <f t="shared" si="943"/>
        <v>2033</v>
      </c>
      <c r="C4078" s="1" t="s">
        <v>43</v>
      </c>
      <c r="D4078" s="2" t="s">
        <v>131</v>
      </c>
      <c r="E4078" s="9" t="str">
        <f t="shared" si="941"/>
        <v>PSNP'!</v>
      </c>
      <c r="F4078" s="5" t="str">
        <f t="shared" si="942"/>
        <v>C:\Users\jaime.benazar\Quorum Business Solutions\Ecopetrol Prometeo - Documents\Planning Space Implementation\3. Analysis &amp; Design\Design\FC22\DRR Jaime\Neiva CPI\[VAO_DINA TERCIARIOS_CF_SEC_20230117.xlsx]CF PSNP'!</v>
      </c>
      <c r="G4078" s="6" t="s">
        <v>113</v>
      </c>
      <c r="H4078" s="1"/>
      <c r="I4078" s="1"/>
      <c r="J4078" s="1"/>
    </row>
    <row r="4079" spans="1:10" x14ac:dyDescent="0.3">
      <c r="A4079" s="6" t="s">
        <v>22</v>
      </c>
      <c r="B4079" s="6">
        <f t="shared" si="943"/>
        <v>2034</v>
      </c>
      <c r="C4079" s="1" t="s">
        <v>43</v>
      </c>
      <c r="D4079" s="2" t="s">
        <v>131</v>
      </c>
      <c r="E4079" s="9" t="str">
        <f t="shared" si="941"/>
        <v>PSNP'!</v>
      </c>
      <c r="F4079" s="5" t="str">
        <f t="shared" si="942"/>
        <v>C:\Users\jaime.benazar\Quorum Business Solutions\Ecopetrol Prometeo - Documents\Planning Space Implementation\3. Analysis &amp; Design\Design\FC22\DRR Jaime\Neiva CPI\[VAO_DINA TERCIARIOS_CF_SEC_20230117.xlsx]CF PSNP'!</v>
      </c>
      <c r="G4079" s="6" t="s">
        <v>113</v>
      </c>
      <c r="H4079" s="1"/>
      <c r="I4079" s="1"/>
      <c r="J4079" s="1"/>
    </row>
    <row r="4080" spans="1:10" x14ac:dyDescent="0.3">
      <c r="A4080" s="6" t="s">
        <v>22</v>
      </c>
      <c r="B4080" s="6">
        <f t="shared" si="943"/>
        <v>2035</v>
      </c>
      <c r="C4080" s="1" t="s">
        <v>43</v>
      </c>
      <c r="D4080" s="2" t="s">
        <v>131</v>
      </c>
      <c r="E4080" s="9" t="str">
        <f t="shared" si="941"/>
        <v>PSNP'!</v>
      </c>
      <c r="F4080" s="5" t="str">
        <f t="shared" si="942"/>
        <v>C:\Users\jaime.benazar\Quorum Business Solutions\Ecopetrol Prometeo - Documents\Planning Space Implementation\3. Analysis &amp; Design\Design\FC22\DRR Jaime\Neiva CPI\[VAO_DINA TERCIARIOS_CF_SEC_20230117.xlsx]CF PSNP'!</v>
      </c>
      <c r="G4080" s="6" t="s">
        <v>113</v>
      </c>
      <c r="H4080" s="1"/>
      <c r="I4080" s="1"/>
      <c r="J4080" s="1"/>
    </row>
    <row r="4081" spans="1:10" x14ac:dyDescent="0.3">
      <c r="A4081" s="6" t="s">
        <v>22</v>
      </c>
      <c r="B4081" s="6">
        <f t="shared" si="943"/>
        <v>2036</v>
      </c>
      <c r="C4081" s="1" t="s">
        <v>43</v>
      </c>
      <c r="D4081" s="2" t="s">
        <v>131</v>
      </c>
      <c r="E4081" s="9" t="str">
        <f t="shared" si="941"/>
        <v>PSNP'!</v>
      </c>
      <c r="F4081" s="5" t="str">
        <f t="shared" si="942"/>
        <v>C:\Users\jaime.benazar\Quorum Business Solutions\Ecopetrol Prometeo - Documents\Planning Space Implementation\3. Analysis &amp; Design\Design\FC22\DRR Jaime\Neiva CPI\[VAO_DINA TERCIARIOS_CF_SEC_20230117.xlsx]CF PSNP'!</v>
      </c>
      <c r="G4081" s="6" t="s">
        <v>113</v>
      </c>
      <c r="H4081" s="1"/>
      <c r="I4081" s="1"/>
      <c r="J4081" s="1"/>
    </row>
    <row r="4082" spans="1:10" x14ac:dyDescent="0.3">
      <c r="A4082" s="6" t="s">
        <v>22</v>
      </c>
      <c r="B4082" s="6">
        <f>+B4081+1</f>
        <v>2037</v>
      </c>
      <c r="C4082" s="1" t="s">
        <v>43</v>
      </c>
      <c r="D4082" s="2" t="s">
        <v>131</v>
      </c>
      <c r="E4082" s="9" t="str">
        <f t="shared" si="941"/>
        <v>PSNP'!</v>
      </c>
      <c r="F4082" s="5" t="str">
        <f t="shared" si="942"/>
        <v>C:\Users\jaime.benazar\Quorum Business Solutions\Ecopetrol Prometeo - Documents\Planning Space Implementation\3. Analysis &amp; Design\Design\FC22\DRR Jaime\Neiva CPI\[VAO_DINA TERCIARIOS_CF_SEC_20230117.xlsx]CF PSNP'!</v>
      </c>
      <c r="G4082" s="6" t="s">
        <v>113</v>
      </c>
      <c r="H4082" s="1"/>
      <c r="I4082" s="1"/>
      <c r="J4082" s="1"/>
    </row>
    <row r="4083" spans="1:10" x14ac:dyDescent="0.3">
      <c r="A4083" s="6" t="s">
        <v>22</v>
      </c>
      <c r="B4083" s="6">
        <f t="shared" ref="B4083:B4085" si="944">+B4082+1</f>
        <v>2038</v>
      </c>
      <c r="C4083" s="1" t="s">
        <v>43</v>
      </c>
      <c r="D4083" s="2" t="s">
        <v>131</v>
      </c>
      <c r="E4083" s="9" t="str">
        <f t="shared" si="941"/>
        <v>PSNP'!</v>
      </c>
      <c r="F4083" s="5" t="str">
        <f t="shared" si="942"/>
        <v>C:\Users\jaime.benazar\Quorum Business Solutions\Ecopetrol Prometeo - Documents\Planning Space Implementation\3. Analysis &amp; Design\Design\FC22\DRR Jaime\Neiva CPI\[VAO_DINA TERCIARIOS_CF_SEC_20230117.xlsx]CF PSNP'!</v>
      </c>
      <c r="G4083" s="6" t="s">
        <v>113</v>
      </c>
      <c r="H4083" s="1"/>
      <c r="I4083" s="1"/>
      <c r="J4083" s="1"/>
    </row>
    <row r="4084" spans="1:10" x14ac:dyDescent="0.3">
      <c r="A4084" s="6" t="s">
        <v>22</v>
      </c>
      <c r="B4084" s="6">
        <f t="shared" si="944"/>
        <v>2039</v>
      </c>
      <c r="C4084" s="1" t="s">
        <v>43</v>
      </c>
      <c r="D4084" s="2" t="s">
        <v>131</v>
      </c>
      <c r="E4084" s="9" t="str">
        <f t="shared" si="941"/>
        <v>PSNP'!</v>
      </c>
      <c r="F4084" s="5" t="str">
        <f t="shared" si="942"/>
        <v>C:\Users\jaime.benazar\Quorum Business Solutions\Ecopetrol Prometeo - Documents\Planning Space Implementation\3. Analysis &amp; Design\Design\FC22\DRR Jaime\Neiva CPI\[VAO_DINA TERCIARIOS_CF_SEC_20230117.xlsx]CF PSNP'!</v>
      </c>
      <c r="G4084" s="6" t="s">
        <v>113</v>
      </c>
      <c r="H4084" s="1"/>
      <c r="I4084" s="1"/>
      <c r="J4084" s="1"/>
    </row>
    <row r="4085" spans="1:10" x14ac:dyDescent="0.3">
      <c r="A4085" s="6" t="s">
        <v>22</v>
      </c>
      <c r="B4085" s="6">
        <f t="shared" si="944"/>
        <v>2040</v>
      </c>
      <c r="C4085" s="1" t="s">
        <v>43</v>
      </c>
      <c r="D4085" s="2" t="s">
        <v>131</v>
      </c>
      <c r="E4085" s="9" t="str">
        <f t="shared" si="941"/>
        <v>PSNP'!</v>
      </c>
      <c r="F4085" s="5" t="str">
        <f t="shared" si="942"/>
        <v>C:\Users\jaime.benazar\Quorum Business Solutions\Ecopetrol Prometeo - Documents\Planning Space Implementation\3. Analysis &amp; Design\Design\FC22\DRR Jaime\Neiva CPI\[VAO_DINA TERCIARIOS_CF_SEC_20230117.xlsx]CF PSNP'!</v>
      </c>
      <c r="G4085" s="6" t="s">
        <v>113</v>
      </c>
      <c r="H4085" s="1"/>
      <c r="I4085" s="1"/>
      <c r="J4085" s="1"/>
    </row>
    <row r="4086" spans="1:10" x14ac:dyDescent="0.3">
      <c r="A4086" s="6" t="s">
        <v>22</v>
      </c>
      <c r="B4086" s="6">
        <f>+B4085+1</f>
        <v>2041</v>
      </c>
      <c r="C4086" s="1" t="s">
        <v>43</v>
      </c>
      <c r="D4086" s="2" t="s">
        <v>131</v>
      </c>
      <c r="E4086" s="9" t="str">
        <f t="shared" si="941"/>
        <v>PSNP'!</v>
      </c>
      <c r="F4086" s="5" t="str">
        <f t="shared" si="942"/>
        <v>C:\Users\jaime.benazar\Quorum Business Solutions\Ecopetrol Prometeo - Documents\Planning Space Implementation\3. Analysis &amp; Design\Design\FC22\DRR Jaime\Neiva CPI\[VAO_DINA TERCIARIOS_CF_SEC_20230117.xlsx]CF PSNP'!</v>
      </c>
      <c r="G4086" s="6" t="s">
        <v>113</v>
      </c>
      <c r="H4086" s="1"/>
      <c r="I4086" s="1"/>
      <c r="J4086" s="1"/>
    </row>
    <row r="4087" spans="1:10" x14ac:dyDescent="0.3">
      <c r="A4087" s="6" t="s">
        <v>22</v>
      </c>
      <c r="B4087" s="6">
        <f t="shared" ref="B4087:B4088" si="945">+B4086+1</f>
        <v>2042</v>
      </c>
      <c r="C4087" s="1" t="s">
        <v>43</v>
      </c>
      <c r="D4087" s="2" t="s">
        <v>131</v>
      </c>
      <c r="E4087" s="9" t="str">
        <f t="shared" si="941"/>
        <v>PSNP'!</v>
      </c>
      <c r="F4087" s="5" t="str">
        <f t="shared" si="942"/>
        <v>C:\Users\jaime.benazar\Quorum Business Solutions\Ecopetrol Prometeo - Documents\Planning Space Implementation\3. Analysis &amp; Design\Design\FC22\DRR Jaime\Neiva CPI\[VAO_DINA TERCIARIOS_CF_SEC_20230117.xlsx]CF PSNP'!</v>
      </c>
      <c r="G4087" s="6" t="s">
        <v>113</v>
      </c>
      <c r="H4087" s="1"/>
      <c r="I4087" s="1"/>
      <c r="J4087" s="1"/>
    </row>
    <row r="4088" spans="1:10" x14ac:dyDescent="0.3">
      <c r="A4088" s="6" t="s">
        <v>22</v>
      </c>
      <c r="B4088" s="6">
        <f t="shared" si="945"/>
        <v>2043</v>
      </c>
      <c r="C4088" s="1" t="s">
        <v>43</v>
      </c>
      <c r="D4088" s="2" t="s">
        <v>131</v>
      </c>
      <c r="E4088" s="9" t="str">
        <f t="shared" si="941"/>
        <v>PSNP'!</v>
      </c>
      <c r="F4088" s="5" t="str">
        <f t="shared" si="942"/>
        <v>C:\Users\jaime.benazar\Quorum Business Solutions\Ecopetrol Prometeo - Documents\Planning Space Implementation\3. Analysis &amp; Design\Design\FC22\DRR Jaime\Neiva CPI\[VAO_DINA TERCIARIOS_CF_SEC_20230117.xlsx]CF PSNP'!</v>
      </c>
      <c r="G4088" s="6" t="s">
        <v>113</v>
      </c>
      <c r="H4088" s="1"/>
      <c r="I4088" s="1"/>
      <c r="J4088" s="1"/>
    </row>
    <row r="4089" spans="1:10" x14ac:dyDescent="0.3">
      <c r="A4089" s="6" t="s">
        <v>22</v>
      </c>
      <c r="B4089" s="6">
        <f>+B4088+1</f>
        <v>2044</v>
      </c>
      <c r="C4089" s="1" t="s">
        <v>43</v>
      </c>
      <c r="D4089" s="2" t="s">
        <v>131</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Jaime\Neiva CPI\[VAO_DINA TERCIARIOS_CF_SEC_20230117.xlsx]CF PSNP'!</v>
      </c>
      <c r="G4089" s="6" t="s">
        <v>113</v>
      </c>
      <c r="H4089" s="1"/>
      <c r="I4089" s="1"/>
      <c r="J4089" s="1"/>
    </row>
    <row r="4090" spans="1:10" x14ac:dyDescent="0.3">
      <c r="A4090" s="6" t="s">
        <v>22</v>
      </c>
      <c r="B4090" s="6">
        <f t="shared" ref="B4090:B4104" si="948">+B4089+1</f>
        <v>2045</v>
      </c>
      <c r="C4090" s="1" t="s">
        <v>43</v>
      </c>
      <c r="D4090" s="2" t="s">
        <v>131</v>
      </c>
      <c r="E4090" s="9" t="str">
        <f t="shared" si="946"/>
        <v>PSNP'!</v>
      </c>
      <c r="F4090" s="5" t="str">
        <f t="shared" si="947"/>
        <v>C:\Users\jaime.benazar\Quorum Business Solutions\Ecopetrol Prometeo - Documents\Planning Space Implementation\3. Analysis &amp; Design\Design\FC22\DRR Jaime\Neiva CPI\[VAO_DINA TERCIARIOS_CF_SEC_20230117.xlsx]CF PSNP'!</v>
      </c>
      <c r="G4090" s="6" t="s">
        <v>113</v>
      </c>
      <c r="H4090" s="1"/>
      <c r="I4090" s="1"/>
      <c r="J4090" s="1"/>
    </row>
    <row r="4091" spans="1:10" x14ac:dyDescent="0.3">
      <c r="A4091" s="6" t="s">
        <v>22</v>
      </c>
      <c r="B4091" s="6">
        <f t="shared" si="948"/>
        <v>2046</v>
      </c>
      <c r="C4091" s="1" t="s">
        <v>43</v>
      </c>
      <c r="D4091" s="2" t="s">
        <v>131</v>
      </c>
      <c r="E4091" s="9" t="str">
        <f t="shared" si="946"/>
        <v>PSNP'!</v>
      </c>
      <c r="F4091" s="5" t="str">
        <f t="shared" si="947"/>
        <v>C:\Users\jaime.benazar\Quorum Business Solutions\Ecopetrol Prometeo - Documents\Planning Space Implementation\3. Analysis &amp; Design\Design\FC22\DRR Jaime\Neiva CPI\[VAO_DINA TERCIARIOS_CF_SEC_20230117.xlsx]CF PSNP'!</v>
      </c>
      <c r="G4091" s="6" t="s">
        <v>113</v>
      </c>
      <c r="H4091" s="1"/>
      <c r="I4091" s="1"/>
      <c r="J4091" s="1"/>
    </row>
    <row r="4092" spans="1:10" x14ac:dyDescent="0.3">
      <c r="A4092" s="6" t="s">
        <v>22</v>
      </c>
      <c r="B4092" s="6">
        <f t="shared" si="948"/>
        <v>2047</v>
      </c>
      <c r="C4092" s="1" t="s">
        <v>43</v>
      </c>
      <c r="D4092" s="2" t="s">
        <v>131</v>
      </c>
      <c r="E4092" s="9" t="str">
        <f t="shared" si="946"/>
        <v>PSNP'!</v>
      </c>
      <c r="F4092" s="5" t="str">
        <f t="shared" si="947"/>
        <v>C:\Users\jaime.benazar\Quorum Business Solutions\Ecopetrol Prometeo - Documents\Planning Space Implementation\3. Analysis &amp; Design\Design\FC22\DRR Jaime\Neiva CPI\[VAO_DINA TERCIARIOS_CF_SEC_20230117.xlsx]CF PSNP'!</v>
      </c>
      <c r="G4092" s="6" t="s">
        <v>113</v>
      </c>
      <c r="H4092" s="1"/>
      <c r="I4092" s="1"/>
      <c r="J4092" s="1"/>
    </row>
    <row r="4093" spans="1:10" x14ac:dyDescent="0.3">
      <c r="A4093" s="6" t="s">
        <v>22</v>
      </c>
      <c r="B4093" s="6">
        <f t="shared" si="948"/>
        <v>2048</v>
      </c>
      <c r="C4093" s="1" t="s">
        <v>43</v>
      </c>
      <c r="D4093" s="2" t="s">
        <v>131</v>
      </c>
      <c r="E4093" s="9" t="str">
        <f t="shared" si="946"/>
        <v>PSNP'!</v>
      </c>
      <c r="F4093" s="5" t="str">
        <f t="shared" si="947"/>
        <v>C:\Users\jaime.benazar\Quorum Business Solutions\Ecopetrol Prometeo - Documents\Planning Space Implementation\3. Analysis &amp; Design\Design\FC22\DRR Jaime\Neiva CPI\[VAO_DINA TERCIARIOS_CF_SEC_20230117.xlsx]CF PSNP'!</v>
      </c>
      <c r="G4093" s="6" t="s">
        <v>113</v>
      </c>
      <c r="H4093" s="1"/>
      <c r="I4093" s="1"/>
      <c r="J4093" s="1"/>
    </row>
    <row r="4094" spans="1:10" x14ac:dyDescent="0.3">
      <c r="A4094" s="6" t="s">
        <v>22</v>
      </c>
      <c r="B4094" s="6">
        <f t="shared" si="948"/>
        <v>2049</v>
      </c>
      <c r="C4094" s="1" t="s">
        <v>43</v>
      </c>
      <c r="D4094" s="2" t="s">
        <v>131</v>
      </c>
      <c r="E4094" s="9" t="str">
        <f t="shared" si="946"/>
        <v>PSNP'!</v>
      </c>
      <c r="F4094" s="5" t="str">
        <f t="shared" si="947"/>
        <v>C:\Users\jaime.benazar\Quorum Business Solutions\Ecopetrol Prometeo - Documents\Planning Space Implementation\3. Analysis &amp; Design\Design\FC22\DRR Jaime\Neiva CPI\[VAO_DINA TERCIARIOS_CF_SEC_20230117.xlsx]CF PSNP'!</v>
      </c>
      <c r="G4094" s="6" t="s">
        <v>113</v>
      </c>
      <c r="H4094" s="1"/>
      <c r="I4094" s="1"/>
      <c r="J4094" s="1"/>
    </row>
    <row r="4095" spans="1:10" x14ac:dyDescent="0.3">
      <c r="A4095" s="6" t="s">
        <v>22</v>
      </c>
      <c r="B4095" s="6">
        <f t="shared" si="948"/>
        <v>2050</v>
      </c>
      <c r="C4095" s="1" t="s">
        <v>43</v>
      </c>
      <c r="D4095" s="2" t="s">
        <v>131</v>
      </c>
      <c r="E4095" s="9" t="str">
        <f t="shared" si="946"/>
        <v>PSNP'!</v>
      </c>
      <c r="F4095" s="5" t="str">
        <f t="shared" si="947"/>
        <v>C:\Users\jaime.benazar\Quorum Business Solutions\Ecopetrol Prometeo - Documents\Planning Space Implementation\3. Analysis &amp; Design\Design\FC22\DRR Jaime\Neiva CPI\[VAO_DINA TERCIARIOS_CF_SEC_20230117.xlsx]CF PSNP'!</v>
      </c>
      <c r="G4095" s="6" t="s">
        <v>113</v>
      </c>
      <c r="H4095" s="1"/>
      <c r="I4095" s="1"/>
      <c r="J4095" s="1"/>
    </row>
    <row r="4096" spans="1:10" x14ac:dyDescent="0.3">
      <c r="A4096" s="6" t="s">
        <v>22</v>
      </c>
      <c r="B4096" s="6">
        <f t="shared" si="948"/>
        <v>2051</v>
      </c>
      <c r="C4096" s="1" t="s">
        <v>43</v>
      </c>
      <c r="D4096" s="2" t="s">
        <v>131</v>
      </c>
      <c r="E4096" s="9" t="str">
        <f t="shared" si="946"/>
        <v>PSNP'!</v>
      </c>
      <c r="F4096" s="5" t="str">
        <f t="shared" si="947"/>
        <v>C:\Users\jaime.benazar\Quorum Business Solutions\Ecopetrol Prometeo - Documents\Planning Space Implementation\3. Analysis &amp; Design\Design\FC22\DRR Jaime\Neiva CPI\[VAO_DINA TERCIARIOS_CF_SEC_20230117.xlsx]CF PSNP'!</v>
      </c>
      <c r="G4096" s="6" t="s">
        <v>113</v>
      </c>
      <c r="H4096" s="1"/>
      <c r="I4096" s="1"/>
      <c r="J4096" s="1"/>
    </row>
    <row r="4097" spans="1:10" x14ac:dyDescent="0.3">
      <c r="A4097" s="6" t="s">
        <v>22</v>
      </c>
      <c r="B4097" s="6">
        <f t="shared" si="948"/>
        <v>2052</v>
      </c>
      <c r="C4097" s="1" t="s">
        <v>43</v>
      </c>
      <c r="D4097" s="2" t="s">
        <v>131</v>
      </c>
      <c r="E4097" s="9" t="str">
        <f t="shared" si="946"/>
        <v>PSNP'!</v>
      </c>
      <c r="F4097" s="5" t="str">
        <f t="shared" si="947"/>
        <v>C:\Users\jaime.benazar\Quorum Business Solutions\Ecopetrol Prometeo - Documents\Planning Space Implementation\3. Analysis &amp; Design\Design\FC22\DRR Jaime\Neiva CPI\[VAO_DINA TERCIARIOS_CF_SEC_20230117.xlsx]CF PSNP'!</v>
      </c>
      <c r="G4097" s="6" t="s">
        <v>113</v>
      </c>
      <c r="H4097" s="1"/>
      <c r="I4097" s="1"/>
      <c r="J4097" s="1"/>
    </row>
    <row r="4098" spans="1:10" x14ac:dyDescent="0.3">
      <c r="A4098" s="6" t="s">
        <v>22</v>
      </c>
      <c r="B4098" s="6">
        <f t="shared" si="948"/>
        <v>2053</v>
      </c>
      <c r="C4098" s="1" t="s">
        <v>43</v>
      </c>
      <c r="D4098" s="2" t="s">
        <v>131</v>
      </c>
      <c r="E4098" s="9" t="str">
        <f t="shared" si="946"/>
        <v>PSNP'!</v>
      </c>
      <c r="F4098" s="5" t="str">
        <f t="shared" si="947"/>
        <v>C:\Users\jaime.benazar\Quorum Business Solutions\Ecopetrol Prometeo - Documents\Planning Space Implementation\3. Analysis &amp; Design\Design\FC22\DRR Jaime\Neiva CPI\[VAO_DINA TERCIARIOS_CF_SEC_20230117.xlsx]CF PSNP'!</v>
      </c>
      <c r="G4098" s="6" t="s">
        <v>113</v>
      </c>
      <c r="H4098" s="1"/>
      <c r="I4098" s="1"/>
      <c r="J4098" s="1"/>
    </row>
    <row r="4099" spans="1:10" x14ac:dyDescent="0.3">
      <c r="A4099" s="6" t="s">
        <v>22</v>
      </c>
      <c r="B4099" s="6">
        <f t="shared" si="948"/>
        <v>2054</v>
      </c>
      <c r="C4099" s="1" t="s">
        <v>43</v>
      </c>
      <c r="D4099" s="2" t="s">
        <v>131</v>
      </c>
      <c r="E4099" s="9" t="str">
        <f t="shared" si="946"/>
        <v>PSNP'!</v>
      </c>
      <c r="F4099" s="5" t="str">
        <f t="shared" si="947"/>
        <v>C:\Users\jaime.benazar\Quorum Business Solutions\Ecopetrol Prometeo - Documents\Planning Space Implementation\3. Analysis &amp; Design\Design\FC22\DRR Jaime\Neiva CPI\[VAO_DINA TERCIARIOS_CF_SEC_20230117.xlsx]CF PSNP'!</v>
      </c>
      <c r="G4099" s="6" t="s">
        <v>113</v>
      </c>
      <c r="H4099" s="1"/>
      <c r="I4099" s="1"/>
      <c r="J4099" s="1"/>
    </row>
    <row r="4100" spans="1:10" x14ac:dyDescent="0.3">
      <c r="A4100" s="6" t="s">
        <v>22</v>
      </c>
      <c r="B4100" s="6">
        <f t="shared" si="948"/>
        <v>2055</v>
      </c>
      <c r="C4100" s="1" t="s">
        <v>43</v>
      </c>
      <c r="D4100" s="2" t="s">
        <v>131</v>
      </c>
      <c r="E4100" s="9" t="str">
        <f t="shared" si="946"/>
        <v>PSNP'!</v>
      </c>
      <c r="F4100" s="5" t="str">
        <f t="shared" si="947"/>
        <v>C:\Users\jaime.benazar\Quorum Business Solutions\Ecopetrol Prometeo - Documents\Planning Space Implementation\3. Analysis &amp; Design\Design\FC22\DRR Jaime\Neiva CPI\[VAO_DINA TERCIARIOS_CF_SEC_20230117.xlsx]CF PSNP'!</v>
      </c>
      <c r="G4100" s="6" t="s">
        <v>113</v>
      </c>
      <c r="H4100" s="1"/>
      <c r="I4100" s="1"/>
      <c r="J4100" s="1"/>
    </row>
    <row r="4101" spans="1:10" x14ac:dyDescent="0.3">
      <c r="A4101" s="6" t="s">
        <v>22</v>
      </c>
      <c r="B4101" s="6">
        <f t="shared" si="948"/>
        <v>2056</v>
      </c>
      <c r="C4101" s="1" t="s">
        <v>43</v>
      </c>
      <c r="D4101" s="2" t="s">
        <v>131</v>
      </c>
      <c r="E4101" s="9" t="str">
        <f t="shared" si="946"/>
        <v>PSNP'!</v>
      </c>
      <c r="F4101" s="5" t="str">
        <f t="shared" si="947"/>
        <v>C:\Users\jaime.benazar\Quorum Business Solutions\Ecopetrol Prometeo - Documents\Planning Space Implementation\3. Analysis &amp; Design\Design\FC22\DRR Jaime\Neiva CPI\[VAO_DINA TERCIARIOS_CF_SEC_20230117.xlsx]CF PSNP'!</v>
      </c>
      <c r="G4101" s="6" t="s">
        <v>113</v>
      </c>
      <c r="H4101" s="1"/>
      <c r="I4101" s="1"/>
      <c r="J4101" s="1"/>
    </row>
    <row r="4102" spans="1:10" x14ac:dyDescent="0.3">
      <c r="A4102" s="6" t="s">
        <v>22</v>
      </c>
      <c r="B4102" s="6">
        <f t="shared" si="948"/>
        <v>2057</v>
      </c>
      <c r="C4102" s="1" t="s">
        <v>43</v>
      </c>
      <c r="D4102" s="2" t="s">
        <v>131</v>
      </c>
      <c r="E4102" s="9" t="str">
        <f t="shared" si="946"/>
        <v>PSNP'!</v>
      </c>
      <c r="F4102" s="5" t="str">
        <f t="shared" si="947"/>
        <v>C:\Users\jaime.benazar\Quorum Business Solutions\Ecopetrol Prometeo - Documents\Planning Space Implementation\3. Analysis &amp; Design\Design\FC22\DRR Jaime\Neiva CPI\[VAO_DINA TERCIARIOS_CF_SEC_20230117.xlsx]CF PSNP'!</v>
      </c>
      <c r="G4102" s="6" t="s">
        <v>113</v>
      </c>
      <c r="H4102" s="1"/>
      <c r="I4102" s="1"/>
      <c r="J4102" s="1"/>
    </row>
    <row r="4103" spans="1:10" x14ac:dyDescent="0.3">
      <c r="A4103" s="6" t="s">
        <v>22</v>
      </c>
      <c r="B4103" s="6">
        <f t="shared" si="948"/>
        <v>2058</v>
      </c>
      <c r="C4103" s="1" t="s">
        <v>43</v>
      </c>
      <c r="D4103" s="2" t="s">
        <v>131</v>
      </c>
      <c r="E4103" s="9" t="str">
        <f t="shared" si="946"/>
        <v>PSNP'!</v>
      </c>
      <c r="F4103" s="5" t="str">
        <f t="shared" si="947"/>
        <v>C:\Users\jaime.benazar\Quorum Business Solutions\Ecopetrol Prometeo - Documents\Planning Space Implementation\3. Analysis &amp; Design\Design\FC22\DRR Jaime\Neiva CPI\[VAO_DINA TERCIARIOS_CF_SEC_20230117.xlsx]CF PSNP'!</v>
      </c>
      <c r="G4103" s="6" t="s">
        <v>113</v>
      </c>
      <c r="H4103" s="1"/>
      <c r="I4103" s="1"/>
      <c r="J4103" s="1"/>
    </row>
    <row r="4104" spans="1:10" x14ac:dyDescent="0.3">
      <c r="A4104" s="6" t="s">
        <v>22</v>
      </c>
      <c r="B4104" s="6">
        <f t="shared" si="948"/>
        <v>2059</v>
      </c>
      <c r="C4104" s="1" t="s">
        <v>43</v>
      </c>
      <c r="D4104" s="2" t="s">
        <v>131</v>
      </c>
      <c r="E4104" s="9" t="str">
        <f t="shared" si="946"/>
        <v>PSNP'!</v>
      </c>
      <c r="F4104" s="5" t="str">
        <f t="shared" si="947"/>
        <v>C:\Users\jaime.benazar\Quorum Business Solutions\Ecopetrol Prometeo - Documents\Planning Space Implementation\3. Analysis &amp; Design\Design\FC22\DRR Jaime\Neiva CPI\[VAO_DINA TERCIARIOS_CF_SEC_20230117.xlsx]CF PSNP'!</v>
      </c>
      <c r="G4104" s="6" t="s">
        <v>113</v>
      </c>
      <c r="H4104" s="1"/>
      <c r="I4104" s="1"/>
      <c r="J4104" s="1"/>
    </row>
    <row r="4105" spans="1:10" x14ac:dyDescent="0.3">
      <c r="A4105" s="6" t="s">
        <v>26</v>
      </c>
      <c r="B4105" s="6"/>
      <c r="C4105" s="1" t="s">
        <v>43</v>
      </c>
      <c r="D4105" s="2"/>
      <c r="E4105" s="9"/>
      <c r="F4105" s="5"/>
      <c r="G4105" s="6"/>
      <c r="H4105" s="1"/>
      <c r="I4105" s="1"/>
      <c r="J4105" s="12"/>
    </row>
    <row r="4106" spans="1:10" x14ac:dyDescent="0.3">
      <c r="A4106" s="6" t="s">
        <v>23</v>
      </c>
      <c r="B4106" s="6">
        <v>2023</v>
      </c>
      <c r="C4106" s="1" t="s">
        <v>43</v>
      </c>
      <c r="D4106" s="2" t="s">
        <v>131</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Jaime\Neiva CPI\[VAO_DINA TERCIARIOS_CF_SEC_20230117.xlsx]CF PSND'!</v>
      </c>
      <c r="G4106" s="6" t="s">
        <v>113</v>
      </c>
      <c r="H4106" s="1"/>
      <c r="I4106" s="1"/>
      <c r="J4106" s="1"/>
    </row>
    <row r="4107" spans="1:10" x14ac:dyDescent="0.3">
      <c r="A4107" s="6" t="s">
        <v>23</v>
      </c>
      <c r="B4107" s="6">
        <f>+B4106+1</f>
        <v>2024</v>
      </c>
      <c r="C4107" s="1" t="s">
        <v>43</v>
      </c>
      <c r="D4107" s="2" t="s">
        <v>131</v>
      </c>
      <c r="E4107" s="9" t="str">
        <f t="shared" si="949"/>
        <v>PSND'!</v>
      </c>
      <c r="F4107" s="5" t="str">
        <f t="shared" si="950"/>
        <v>C:\Users\jaime.benazar\Quorum Business Solutions\Ecopetrol Prometeo - Documents\Planning Space Implementation\3. Analysis &amp; Design\Design\FC22\DRR Jaime\Neiva CPI\[VAO_DINA TERCIARIOS_CF_SEC_20230117.xlsx]CF PSND'!</v>
      </c>
      <c r="G4107" s="6" t="s">
        <v>113</v>
      </c>
      <c r="H4107" s="1"/>
      <c r="I4107" s="1"/>
      <c r="J4107" s="1"/>
    </row>
    <row r="4108" spans="1:10" x14ac:dyDescent="0.3">
      <c r="A4108" s="6" t="s">
        <v>23</v>
      </c>
      <c r="B4108" s="6">
        <f t="shared" ref="B4108:B4119" si="951">+B4107+1</f>
        <v>2025</v>
      </c>
      <c r="C4108" s="1" t="s">
        <v>43</v>
      </c>
      <c r="D4108" s="2" t="s">
        <v>131</v>
      </c>
      <c r="E4108" s="9" t="str">
        <f t="shared" si="949"/>
        <v>PSND'!</v>
      </c>
      <c r="F4108" s="5" t="str">
        <f t="shared" si="950"/>
        <v>C:\Users\jaime.benazar\Quorum Business Solutions\Ecopetrol Prometeo - Documents\Planning Space Implementation\3. Analysis &amp; Design\Design\FC22\DRR Jaime\Neiva CPI\[VAO_DINA TERCIARIOS_CF_SEC_20230117.xlsx]CF PSND'!</v>
      </c>
      <c r="G4108" s="6" t="s">
        <v>113</v>
      </c>
      <c r="H4108" s="1"/>
      <c r="I4108" s="1"/>
      <c r="J4108" s="1"/>
    </row>
    <row r="4109" spans="1:10" x14ac:dyDescent="0.3">
      <c r="A4109" s="6" t="s">
        <v>23</v>
      </c>
      <c r="B4109" s="6">
        <f t="shared" si="951"/>
        <v>2026</v>
      </c>
      <c r="C4109" s="1" t="s">
        <v>43</v>
      </c>
      <c r="D4109" s="2" t="s">
        <v>131</v>
      </c>
      <c r="E4109" s="9" t="str">
        <f t="shared" si="949"/>
        <v>PSND'!</v>
      </c>
      <c r="F4109" s="5" t="str">
        <f t="shared" si="950"/>
        <v>C:\Users\jaime.benazar\Quorum Business Solutions\Ecopetrol Prometeo - Documents\Planning Space Implementation\3. Analysis &amp; Design\Design\FC22\DRR Jaime\Neiva CPI\[VAO_DINA TERCIARIOS_CF_SEC_20230117.xlsx]CF PSND'!</v>
      </c>
      <c r="G4109" s="6" t="s">
        <v>113</v>
      </c>
      <c r="H4109" s="1"/>
      <c r="I4109" s="1"/>
      <c r="J4109" s="1"/>
    </row>
    <row r="4110" spans="1:10" x14ac:dyDescent="0.3">
      <c r="A4110" s="6" t="s">
        <v>23</v>
      </c>
      <c r="B4110" s="6">
        <f t="shared" si="951"/>
        <v>2027</v>
      </c>
      <c r="C4110" s="1" t="s">
        <v>43</v>
      </c>
      <c r="D4110" s="2" t="s">
        <v>131</v>
      </c>
      <c r="E4110" s="9" t="str">
        <f t="shared" si="949"/>
        <v>PSND'!</v>
      </c>
      <c r="F4110" s="5" t="str">
        <f t="shared" si="950"/>
        <v>C:\Users\jaime.benazar\Quorum Business Solutions\Ecopetrol Prometeo - Documents\Planning Space Implementation\3. Analysis &amp; Design\Design\FC22\DRR Jaime\Neiva CPI\[VAO_DINA TERCIARIOS_CF_SEC_20230117.xlsx]CF PSND'!</v>
      </c>
      <c r="G4110" s="6" t="s">
        <v>113</v>
      </c>
      <c r="H4110" s="1"/>
      <c r="I4110" s="1"/>
      <c r="J4110" s="1"/>
    </row>
    <row r="4111" spans="1:10" x14ac:dyDescent="0.3">
      <c r="A4111" s="6" t="s">
        <v>23</v>
      </c>
      <c r="B4111" s="6">
        <f t="shared" si="951"/>
        <v>2028</v>
      </c>
      <c r="C4111" s="1" t="s">
        <v>43</v>
      </c>
      <c r="D4111" s="2" t="s">
        <v>131</v>
      </c>
      <c r="E4111" s="9" t="str">
        <f t="shared" si="949"/>
        <v>PSND'!</v>
      </c>
      <c r="F4111" s="5" t="str">
        <f t="shared" si="950"/>
        <v>C:\Users\jaime.benazar\Quorum Business Solutions\Ecopetrol Prometeo - Documents\Planning Space Implementation\3. Analysis &amp; Design\Design\FC22\DRR Jaime\Neiva CPI\[VAO_DINA TERCIARIOS_CF_SEC_20230117.xlsx]CF PSND'!</v>
      </c>
      <c r="G4111" s="6" t="s">
        <v>113</v>
      </c>
      <c r="H4111" s="1"/>
      <c r="I4111" s="1"/>
      <c r="J4111" s="1"/>
    </row>
    <row r="4112" spans="1:10" x14ac:dyDescent="0.3">
      <c r="A4112" s="6" t="s">
        <v>23</v>
      </c>
      <c r="B4112" s="6">
        <f t="shared" si="951"/>
        <v>2029</v>
      </c>
      <c r="C4112" s="1" t="s">
        <v>43</v>
      </c>
      <c r="D4112" s="2" t="s">
        <v>131</v>
      </c>
      <c r="E4112" s="9" t="str">
        <f t="shared" si="949"/>
        <v>PSND'!</v>
      </c>
      <c r="F4112" s="5" t="str">
        <f t="shared" si="950"/>
        <v>C:\Users\jaime.benazar\Quorum Business Solutions\Ecopetrol Prometeo - Documents\Planning Space Implementation\3. Analysis &amp; Design\Design\FC22\DRR Jaime\Neiva CPI\[VAO_DINA TERCIARIOS_CF_SEC_20230117.xlsx]CF PSND'!</v>
      </c>
      <c r="G4112" s="6" t="s">
        <v>113</v>
      </c>
      <c r="H4112" s="1"/>
      <c r="I4112" s="1"/>
      <c r="J4112" s="1"/>
    </row>
    <row r="4113" spans="1:10" x14ac:dyDescent="0.3">
      <c r="A4113" s="6" t="s">
        <v>23</v>
      </c>
      <c r="B4113" s="6">
        <f t="shared" si="951"/>
        <v>2030</v>
      </c>
      <c r="C4113" s="1" t="s">
        <v>43</v>
      </c>
      <c r="D4113" s="2" t="s">
        <v>131</v>
      </c>
      <c r="E4113" s="9" t="str">
        <f t="shared" si="949"/>
        <v>PSND'!</v>
      </c>
      <c r="F4113" s="5" t="str">
        <f t="shared" si="950"/>
        <v>C:\Users\jaime.benazar\Quorum Business Solutions\Ecopetrol Prometeo - Documents\Planning Space Implementation\3. Analysis &amp; Design\Design\FC22\DRR Jaime\Neiva CPI\[VAO_DINA TERCIARIOS_CF_SEC_20230117.xlsx]CF PSND'!</v>
      </c>
      <c r="G4113" s="6" t="s">
        <v>113</v>
      </c>
      <c r="H4113" s="1"/>
      <c r="I4113" s="1"/>
      <c r="J4113" s="1"/>
    </row>
    <row r="4114" spans="1:10" x14ac:dyDescent="0.3">
      <c r="A4114" s="6" t="s">
        <v>23</v>
      </c>
      <c r="B4114" s="6">
        <f t="shared" si="951"/>
        <v>2031</v>
      </c>
      <c r="C4114" s="1" t="s">
        <v>43</v>
      </c>
      <c r="D4114" s="2" t="s">
        <v>131</v>
      </c>
      <c r="E4114" s="9" t="str">
        <f t="shared" si="949"/>
        <v>PSND'!</v>
      </c>
      <c r="F4114" s="5" t="str">
        <f t="shared" si="950"/>
        <v>C:\Users\jaime.benazar\Quorum Business Solutions\Ecopetrol Prometeo - Documents\Planning Space Implementation\3. Analysis &amp; Design\Design\FC22\DRR Jaime\Neiva CPI\[VAO_DINA TERCIARIOS_CF_SEC_20230117.xlsx]CF PSND'!</v>
      </c>
      <c r="G4114" s="6" t="s">
        <v>113</v>
      </c>
      <c r="H4114" s="1"/>
      <c r="I4114" s="1"/>
      <c r="J4114" s="1"/>
    </row>
    <row r="4115" spans="1:10" x14ac:dyDescent="0.3">
      <c r="A4115" s="6" t="s">
        <v>23</v>
      </c>
      <c r="B4115" s="6">
        <f t="shared" si="951"/>
        <v>2032</v>
      </c>
      <c r="C4115" s="1" t="s">
        <v>43</v>
      </c>
      <c r="D4115" s="2" t="s">
        <v>131</v>
      </c>
      <c r="E4115" s="9" t="str">
        <f t="shared" si="949"/>
        <v>PSND'!</v>
      </c>
      <c r="F4115" s="5" t="str">
        <f t="shared" si="950"/>
        <v>C:\Users\jaime.benazar\Quorum Business Solutions\Ecopetrol Prometeo - Documents\Planning Space Implementation\3. Analysis &amp; Design\Design\FC22\DRR Jaime\Neiva CPI\[VAO_DINA TERCIARIOS_CF_SEC_20230117.xlsx]CF PSND'!</v>
      </c>
      <c r="G4115" s="6" t="s">
        <v>113</v>
      </c>
      <c r="H4115" s="1"/>
      <c r="I4115" s="1"/>
      <c r="J4115" s="1"/>
    </row>
    <row r="4116" spans="1:10" x14ac:dyDescent="0.3">
      <c r="A4116" s="6" t="s">
        <v>23</v>
      </c>
      <c r="B4116" s="6">
        <f t="shared" si="951"/>
        <v>2033</v>
      </c>
      <c r="C4116" s="1" t="s">
        <v>43</v>
      </c>
      <c r="D4116" s="2" t="s">
        <v>131</v>
      </c>
      <c r="E4116" s="9" t="str">
        <f t="shared" si="949"/>
        <v>PSND'!</v>
      </c>
      <c r="F4116" s="5" t="str">
        <f t="shared" si="950"/>
        <v>C:\Users\jaime.benazar\Quorum Business Solutions\Ecopetrol Prometeo - Documents\Planning Space Implementation\3. Analysis &amp; Design\Design\FC22\DRR Jaime\Neiva CPI\[VAO_DINA TERCIARIOS_CF_SEC_20230117.xlsx]CF PSND'!</v>
      </c>
      <c r="G4116" s="6" t="s">
        <v>113</v>
      </c>
      <c r="H4116" s="1"/>
      <c r="I4116" s="1"/>
      <c r="J4116" s="1"/>
    </row>
    <row r="4117" spans="1:10" x14ac:dyDescent="0.3">
      <c r="A4117" s="6" t="s">
        <v>23</v>
      </c>
      <c r="B4117" s="6">
        <f t="shared" si="951"/>
        <v>2034</v>
      </c>
      <c r="C4117" s="1" t="s">
        <v>43</v>
      </c>
      <c r="D4117" s="2" t="s">
        <v>131</v>
      </c>
      <c r="E4117" s="9" t="str">
        <f t="shared" si="949"/>
        <v>PSND'!</v>
      </c>
      <c r="F4117" s="5" t="str">
        <f t="shared" si="950"/>
        <v>C:\Users\jaime.benazar\Quorum Business Solutions\Ecopetrol Prometeo - Documents\Planning Space Implementation\3. Analysis &amp; Design\Design\FC22\DRR Jaime\Neiva CPI\[VAO_DINA TERCIARIOS_CF_SEC_20230117.xlsx]CF PSND'!</v>
      </c>
      <c r="G4117" s="6" t="s">
        <v>113</v>
      </c>
      <c r="H4117" s="1"/>
      <c r="I4117" s="1"/>
      <c r="J4117" s="1"/>
    </row>
    <row r="4118" spans="1:10" x14ac:dyDescent="0.3">
      <c r="A4118" s="6" t="s">
        <v>23</v>
      </c>
      <c r="B4118" s="6">
        <f t="shared" si="951"/>
        <v>2035</v>
      </c>
      <c r="C4118" s="1" t="s">
        <v>43</v>
      </c>
      <c r="D4118" s="2" t="s">
        <v>131</v>
      </c>
      <c r="E4118" s="9" t="str">
        <f t="shared" si="949"/>
        <v>PSND'!</v>
      </c>
      <c r="F4118" s="5" t="str">
        <f t="shared" si="950"/>
        <v>C:\Users\jaime.benazar\Quorum Business Solutions\Ecopetrol Prometeo - Documents\Planning Space Implementation\3. Analysis &amp; Design\Design\FC22\DRR Jaime\Neiva CPI\[VAO_DINA TERCIARIOS_CF_SEC_20230117.xlsx]CF PSND'!</v>
      </c>
      <c r="G4118" s="6" t="s">
        <v>113</v>
      </c>
      <c r="H4118" s="1"/>
      <c r="I4118" s="1"/>
      <c r="J4118" s="1"/>
    </row>
    <row r="4119" spans="1:10" x14ac:dyDescent="0.3">
      <c r="A4119" s="6" t="s">
        <v>23</v>
      </c>
      <c r="B4119" s="6">
        <f t="shared" si="951"/>
        <v>2036</v>
      </c>
      <c r="C4119" s="1" t="s">
        <v>43</v>
      </c>
      <c r="D4119" s="2" t="s">
        <v>131</v>
      </c>
      <c r="E4119" s="9" t="str">
        <f t="shared" si="949"/>
        <v>PSND'!</v>
      </c>
      <c r="F4119" s="5" t="str">
        <f t="shared" si="950"/>
        <v>C:\Users\jaime.benazar\Quorum Business Solutions\Ecopetrol Prometeo - Documents\Planning Space Implementation\3. Analysis &amp; Design\Design\FC22\DRR Jaime\Neiva CPI\[VAO_DINA TERCIARIOS_CF_SEC_20230117.xlsx]CF PSND'!</v>
      </c>
      <c r="G4119" s="6" t="s">
        <v>113</v>
      </c>
      <c r="H4119" s="1"/>
      <c r="I4119" s="1"/>
      <c r="J4119" s="1"/>
    </row>
    <row r="4120" spans="1:10" x14ac:dyDescent="0.3">
      <c r="A4120" s="6" t="s">
        <v>23</v>
      </c>
      <c r="B4120" s="6">
        <f>+B4119+1</f>
        <v>2037</v>
      </c>
      <c r="C4120" s="1" t="s">
        <v>43</v>
      </c>
      <c r="D4120" s="2" t="s">
        <v>131</v>
      </c>
      <c r="E4120" s="9" t="str">
        <f t="shared" si="949"/>
        <v>PSND'!</v>
      </c>
      <c r="F4120" s="5" t="str">
        <f t="shared" si="950"/>
        <v>C:\Users\jaime.benazar\Quorum Business Solutions\Ecopetrol Prometeo - Documents\Planning Space Implementation\3. Analysis &amp; Design\Design\FC22\DRR Jaime\Neiva CPI\[VAO_DINA TERCIARIOS_CF_SEC_20230117.xlsx]CF PSND'!</v>
      </c>
      <c r="G4120" s="6" t="s">
        <v>113</v>
      </c>
      <c r="H4120" s="1"/>
      <c r="I4120" s="1"/>
      <c r="J4120" s="1"/>
    </row>
    <row r="4121" spans="1:10" x14ac:dyDescent="0.3">
      <c r="A4121" s="6" t="s">
        <v>23</v>
      </c>
      <c r="B4121" s="6">
        <f t="shared" ref="B4121:B4123" si="952">+B4120+1</f>
        <v>2038</v>
      </c>
      <c r="C4121" s="1" t="s">
        <v>43</v>
      </c>
      <c r="D4121" s="2" t="s">
        <v>131</v>
      </c>
      <c r="E4121" s="9" t="str">
        <f t="shared" si="949"/>
        <v>PSND'!</v>
      </c>
      <c r="F4121" s="5" t="str">
        <f t="shared" si="950"/>
        <v>C:\Users\jaime.benazar\Quorum Business Solutions\Ecopetrol Prometeo - Documents\Planning Space Implementation\3. Analysis &amp; Design\Design\FC22\DRR Jaime\Neiva CPI\[VAO_DINA TERCIARIOS_CF_SEC_20230117.xlsx]CF PSND'!</v>
      </c>
      <c r="G4121" s="6" t="s">
        <v>113</v>
      </c>
      <c r="H4121" s="1"/>
      <c r="I4121" s="1"/>
      <c r="J4121" s="1"/>
    </row>
    <row r="4122" spans="1:10" x14ac:dyDescent="0.3">
      <c r="A4122" s="6" t="s">
        <v>23</v>
      </c>
      <c r="B4122" s="6">
        <f t="shared" si="952"/>
        <v>2039</v>
      </c>
      <c r="C4122" s="1" t="s">
        <v>43</v>
      </c>
      <c r="D4122" s="2" t="s">
        <v>131</v>
      </c>
      <c r="E4122" s="9" t="str">
        <f t="shared" si="949"/>
        <v>PSND'!</v>
      </c>
      <c r="F4122" s="5" t="str">
        <f t="shared" si="950"/>
        <v>C:\Users\jaime.benazar\Quorum Business Solutions\Ecopetrol Prometeo - Documents\Planning Space Implementation\3. Analysis &amp; Design\Design\FC22\DRR Jaime\Neiva CPI\[VAO_DINA TERCIARIOS_CF_SEC_20230117.xlsx]CF PSND'!</v>
      </c>
      <c r="G4122" s="6" t="s">
        <v>113</v>
      </c>
      <c r="H4122" s="1"/>
      <c r="I4122" s="1"/>
      <c r="J4122" s="1"/>
    </row>
    <row r="4123" spans="1:10" x14ac:dyDescent="0.3">
      <c r="A4123" s="6" t="s">
        <v>23</v>
      </c>
      <c r="B4123" s="6">
        <f t="shared" si="952"/>
        <v>2040</v>
      </c>
      <c r="C4123" s="1" t="s">
        <v>43</v>
      </c>
      <c r="D4123" s="2" t="s">
        <v>131</v>
      </c>
      <c r="E4123" s="9" t="str">
        <f t="shared" si="949"/>
        <v>PSND'!</v>
      </c>
      <c r="F4123" s="5" t="str">
        <f t="shared" si="950"/>
        <v>C:\Users\jaime.benazar\Quorum Business Solutions\Ecopetrol Prometeo - Documents\Planning Space Implementation\3. Analysis &amp; Design\Design\FC22\DRR Jaime\Neiva CPI\[VAO_DINA TERCIARIOS_CF_SEC_20230117.xlsx]CF PSND'!</v>
      </c>
      <c r="G4123" s="6" t="s">
        <v>113</v>
      </c>
      <c r="H4123" s="1"/>
      <c r="I4123" s="1"/>
      <c r="J4123" s="1"/>
    </row>
    <row r="4124" spans="1:10" x14ac:dyDescent="0.3">
      <c r="A4124" s="6" t="s">
        <v>23</v>
      </c>
      <c r="B4124" s="6">
        <f>+B4123+1</f>
        <v>2041</v>
      </c>
      <c r="C4124" s="1" t="s">
        <v>43</v>
      </c>
      <c r="D4124" s="2" t="s">
        <v>131</v>
      </c>
      <c r="E4124" s="9" t="str">
        <f t="shared" si="949"/>
        <v>PSND'!</v>
      </c>
      <c r="F4124" s="5" t="str">
        <f t="shared" si="950"/>
        <v>C:\Users\jaime.benazar\Quorum Business Solutions\Ecopetrol Prometeo - Documents\Planning Space Implementation\3. Analysis &amp; Design\Design\FC22\DRR Jaime\Neiva CPI\[VAO_DINA TERCIARIOS_CF_SEC_20230117.xlsx]CF PSND'!</v>
      </c>
      <c r="G4124" s="6" t="s">
        <v>113</v>
      </c>
      <c r="H4124" s="1"/>
      <c r="I4124" s="1"/>
      <c r="J4124" s="1"/>
    </row>
    <row r="4125" spans="1:10" x14ac:dyDescent="0.3">
      <c r="A4125" s="6" t="s">
        <v>23</v>
      </c>
      <c r="B4125" s="6">
        <f t="shared" ref="B4125:B4126" si="953">+B4124+1</f>
        <v>2042</v>
      </c>
      <c r="C4125" s="1" t="s">
        <v>43</v>
      </c>
      <c r="D4125" s="2" t="s">
        <v>131</v>
      </c>
      <c r="E4125" s="9" t="str">
        <f t="shared" si="949"/>
        <v>PSND'!</v>
      </c>
      <c r="F4125" s="5" t="str">
        <f t="shared" si="950"/>
        <v>C:\Users\jaime.benazar\Quorum Business Solutions\Ecopetrol Prometeo - Documents\Planning Space Implementation\3. Analysis &amp; Design\Design\FC22\DRR Jaime\Neiva CPI\[VAO_DINA TERCIARIOS_CF_SEC_20230117.xlsx]CF PSND'!</v>
      </c>
      <c r="G4125" s="6" t="s">
        <v>113</v>
      </c>
      <c r="H4125" s="1"/>
      <c r="I4125" s="1"/>
      <c r="J4125" s="1"/>
    </row>
    <row r="4126" spans="1:10" x14ac:dyDescent="0.3">
      <c r="A4126" s="6" t="s">
        <v>23</v>
      </c>
      <c r="B4126" s="6">
        <f t="shared" si="953"/>
        <v>2043</v>
      </c>
      <c r="C4126" s="1" t="s">
        <v>43</v>
      </c>
      <c r="D4126" s="2" t="s">
        <v>131</v>
      </c>
      <c r="E4126" s="9" t="str">
        <f t="shared" si="949"/>
        <v>PSND'!</v>
      </c>
      <c r="F4126" s="5" t="str">
        <f t="shared" si="950"/>
        <v>C:\Users\jaime.benazar\Quorum Business Solutions\Ecopetrol Prometeo - Documents\Planning Space Implementation\3. Analysis &amp; Design\Design\FC22\DRR Jaime\Neiva CPI\[VAO_DINA TERCIARIOS_CF_SEC_20230117.xlsx]CF PSND'!</v>
      </c>
      <c r="G4126" s="6" t="s">
        <v>113</v>
      </c>
      <c r="H4126" s="1"/>
      <c r="I4126" s="1"/>
      <c r="J4126" s="1"/>
    </row>
    <row r="4127" spans="1:10" x14ac:dyDescent="0.3">
      <c r="A4127" s="6" t="s">
        <v>23</v>
      </c>
      <c r="B4127" s="6">
        <f>+B4126+1</f>
        <v>2044</v>
      </c>
      <c r="C4127" s="1" t="s">
        <v>43</v>
      </c>
      <c r="D4127" s="2" t="s">
        <v>131</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Jaime\Neiva CPI\[VAO_DINA TERCIARIOS_CF_SEC_20230117.xlsx]CF PSND'!</v>
      </c>
      <c r="G4127" s="6" t="s">
        <v>113</v>
      </c>
      <c r="H4127" s="1"/>
      <c r="I4127" s="1"/>
      <c r="J4127" s="1"/>
    </row>
    <row r="4128" spans="1:10" x14ac:dyDescent="0.3">
      <c r="A4128" s="6" t="s">
        <v>23</v>
      </c>
      <c r="B4128" s="6">
        <f t="shared" ref="B4128:B4142" si="956">+B4127+1</f>
        <v>2045</v>
      </c>
      <c r="C4128" s="1" t="s">
        <v>43</v>
      </c>
      <c r="D4128" s="2" t="s">
        <v>131</v>
      </c>
      <c r="E4128" s="9" t="str">
        <f t="shared" si="954"/>
        <v>PSND'!</v>
      </c>
      <c r="F4128" s="5" t="str">
        <f t="shared" si="955"/>
        <v>C:\Users\jaime.benazar\Quorum Business Solutions\Ecopetrol Prometeo - Documents\Planning Space Implementation\3. Analysis &amp; Design\Design\FC22\DRR Jaime\Neiva CPI\[VAO_DINA TERCIARIOS_CF_SEC_20230117.xlsx]CF PSND'!</v>
      </c>
      <c r="G4128" s="6" t="s">
        <v>113</v>
      </c>
      <c r="H4128" s="1"/>
      <c r="I4128" s="1"/>
      <c r="J4128" s="1"/>
    </row>
    <row r="4129" spans="1:10" x14ac:dyDescent="0.3">
      <c r="A4129" s="6" t="s">
        <v>23</v>
      </c>
      <c r="B4129" s="6">
        <f t="shared" si="956"/>
        <v>2046</v>
      </c>
      <c r="C4129" s="1" t="s">
        <v>43</v>
      </c>
      <c r="D4129" s="2" t="s">
        <v>131</v>
      </c>
      <c r="E4129" s="9" t="str">
        <f t="shared" si="954"/>
        <v>PSND'!</v>
      </c>
      <c r="F4129" s="5" t="str">
        <f t="shared" si="955"/>
        <v>C:\Users\jaime.benazar\Quorum Business Solutions\Ecopetrol Prometeo - Documents\Planning Space Implementation\3. Analysis &amp; Design\Design\FC22\DRR Jaime\Neiva CPI\[VAO_DINA TERCIARIOS_CF_SEC_20230117.xlsx]CF PSND'!</v>
      </c>
      <c r="G4129" s="6" t="s">
        <v>113</v>
      </c>
      <c r="H4129" s="1"/>
      <c r="I4129" s="1"/>
      <c r="J4129" s="1"/>
    </row>
    <row r="4130" spans="1:10" x14ac:dyDescent="0.3">
      <c r="A4130" s="6" t="s">
        <v>23</v>
      </c>
      <c r="B4130" s="6">
        <f t="shared" si="956"/>
        <v>2047</v>
      </c>
      <c r="C4130" s="1" t="s">
        <v>43</v>
      </c>
      <c r="D4130" s="2" t="s">
        <v>131</v>
      </c>
      <c r="E4130" s="9" t="str">
        <f t="shared" si="954"/>
        <v>PSND'!</v>
      </c>
      <c r="F4130" s="5" t="str">
        <f t="shared" si="955"/>
        <v>C:\Users\jaime.benazar\Quorum Business Solutions\Ecopetrol Prometeo - Documents\Planning Space Implementation\3. Analysis &amp; Design\Design\FC22\DRR Jaime\Neiva CPI\[VAO_DINA TERCIARIOS_CF_SEC_20230117.xlsx]CF PSND'!</v>
      </c>
      <c r="G4130" s="6" t="s">
        <v>113</v>
      </c>
      <c r="H4130" s="1"/>
      <c r="I4130" s="1"/>
      <c r="J4130" s="1"/>
    </row>
    <row r="4131" spans="1:10" x14ac:dyDescent="0.3">
      <c r="A4131" s="6" t="s">
        <v>23</v>
      </c>
      <c r="B4131" s="6">
        <f t="shared" si="956"/>
        <v>2048</v>
      </c>
      <c r="C4131" s="1" t="s">
        <v>43</v>
      </c>
      <c r="D4131" s="2" t="s">
        <v>131</v>
      </c>
      <c r="E4131" s="9" t="str">
        <f t="shared" si="954"/>
        <v>PSND'!</v>
      </c>
      <c r="F4131" s="5" t="str">
        <f t="shared" si="955"/>
        <v>C:\Users\jaime.benazar\Quorum Business Solutions\Ecopetrol Prometeo - Documents\Planning Space Implementation\3. Analysis &amp; Design\Design\FC22\DRR Jaime\Neiva CPI\[VAO_DINA TERCIARIOS_CF_SEC_20230117.xlsx]CF PSND'!</v>
      </c>
      <c r="G4131" s="6" t="s">
        <v>113</v>
      </c>
      <c r="H4131" s="1"/>
      <c r="I4131" s="1"/>
      <c r="J4131" s="1"/>
    </row>
    <row r="4132" spans="1:10" x14ac:dyDescent="0.3">
      <c r="A4132" s="6" t="s">
        <v>23</v>
      </c>
      <c r="B4132" s="6">
        <f t="shared" si="956"/>
        <v>2049</v>
      </c>
      <c r="C4132" s="1" t="s">
        <v>43</v>
      </c>
      <c r="D4132" s="2" t="s">
        <v>131</v>
      </c>
      <c r="E4132" s="9" t="str">
        <f t="shared" si="954"/>
        <v>PSND'!</v>
      </c>
      <c r="F4132" s="5" t="str">
        <f t="shared" si="955"/>
        <v>C:\Users\jaime.benazar\Quorum Business Solutions\Ecopetrol Prometeo - Documents\Planning Space Implementation\3. Analysis &amp; Design\Design\FC22\DRR Jaime\Neiva CPI\[VAO_DINA TERCIARIOS_CF_SEC_20230117.xlsx]CF PSND'!</v>
      </c>
      <c r="G4132" s="6" t="s">
        <v>113</v>
      </c>
      <c r="H4132" s="1"/>
      <c r="I4132" s="1"/>
      <c r="J4132" s="1"/>
    </row>
    <row r="4133" spans="1:10" x14ac:dyDescent="0.3">
      <c r="A4133" s="6" t="s">
        <v>23</v>
      </c>
      <c r="B4133" s="6">
        <f t="shared" si="956"/>
        <v>2050</v>
      </c>
      <c r="C4133" s="1" t="s">
        <v>43</v>
      </c>
      <c r="D4133" s="2" t="s">
        <v>131</v>
      </c>
      <c r="E4133" s="9" t="str">
        <f t="shared" si="954"/>
        <v>PSND'!</v>
      </c>
      <c r="F4133" s="5" t="str">
        <f t="shared" si="955"/>
        <v>C:\Users\jaime.benazar\Quorum Business Solutions\Ecopetrol Prometeo - Documents\Planning Space Implementation\3. Analysis &amp; Design\Design\FC22\DRR Jaime\Neiva CPI\[VAO_DINA TERCIARIOS_CF_SEC_20230117.xlsx]CF PSND'!</v>
      </c>
      <c r="G4133" s="6" t="s">
        <v>113</v>
      </c>
      <c r="H4133" s="1"/>
      <c r="I4133" s="1"/>
      <c r="J4133" s="1"/>
    </row>
    <row r="4134" spans="1:10" x14ac:dyDescent="0.3">
      <c r="A4134" s="6" t="s">
        <v>23</v>
      </c>
      <c r="B4134" s="6">
        <f t="shared" si="956"/>
        <v>2051</v>
      </c>
      <c r="C4134" s="1" t="s">
        <v>43</v>
      </c>
      <c r="D4134" s="2" t="s">
        <v>131</v>
      </c>
      <c r="E4134" s="9" t="str">
        <f t="shared" si="954"/>
        <v>PSND'!</v>
      </c>
      <c r="F4134" s="5" t="str">
        <f t="shared" si="955"/>
        <v>C:\Users\jaime.benazar\Quorum Business Solutions\Ecopetrol Prometeo - Documents\Planning Space Implementation\3. Analysis &amp; Design\Design\FC22\DRR Jaime\Neiva CPI\[VAO_DINA TERCIARIOS_CF_SEC_20230117.xlsx]CF PSND'!</v>
      </c>
      <c r="G4134" s="6" t="s">
        <v>113</v>
      </c>
      <c r="H4134" s="1"/>
      <c r="I4134" s="1"/>
      <c r="J4134" s="1"/>
    </row>
    <row r="4135" spans="1:10" x14ac:dyDescent="0.3">
      <c r="A4135" s="6" t="s">
        <v>23</v>
      </c>
      <c r="B4135" s="6">
        <f t="shared" si="956"/>
        <v>2052</v>
      </c>
      <c r="C4135" s="1" t="s">
        <v>43</v>
      </c>
      <c r="D4135" s="2" t="s">
        <v>131</v>
      </c>
      <c r="E4135" s="9" t="str">
        <f t="shared" si="954"/>
        <v>PSND'!</v>
      </c>
      <c r="F4135" s="5" t="str">
        <f t="shared" si="955"/>
        <v>C:\Users\jaime.benazar\Quorum Business Solutions\Ecopetrol Prometeo - Documents\Planning Space Implementation\3. Analysis &amp; Design\Design\FC22\DRR Jaime\Neiva CPI\[VAO_DINA TERCIARIOS_CF_SEC_20230117.xlsx]CF PSND'!</v>
      </c>
      <c r="G4135" s="6" t="s">
        <v>113</v>
      </c>
      <c r="H4135" s="1"/>
      <c r="I4135" s="1"/>
      <c r="J4135" s="1"/>
    </row>
    <row r="4136" spans="1:10" x14ac:dyDescent="0.3">
      <c r="A4136" s="6" t="s">
        <v>23</v>
      </c>
      <c r="B4136" s="6">
        <f t="shared" si="956"/>
        <v>2053</v>
      </c>
      <c r="C4136" s="1" t="s">
        <v>43</v>
      </c>
      <c r="D4136" s="2" t="s">
        <v>131</v>
      </c>
      <c r="E4136" s="9" t="str">
        <f t="shared" si="954"/>
        <v>PSND'!</v>
      </c>
      <c r="F4136" s="5" t="str">
        <f t="shared" si="955"/>
        <v>C:\Users\jaime.benazar\Quorum Business Solutions\Ecopetrol Prometeo - Documents\Planning Space Implementation\3. Analysis &amp; Design\Design\FC22\DRR Jaime\Neiva CPI\[VAO_DINA TERCIARIOS_CF_SEC_20230117.xlsx]CF PSND'!</v>
      </c>
      <c r="G4136" s="6" t="s">
        <v>113</v>
      </c>
      <c r="H4136" s="1"/>
      <c r="I4136" s="1"/>
      <c r="J4136" s="1"/>
    </row>
    <row r="4137" spans="1:10" x14ac:dyDescent="0.3">
      <c r="A4137" s="6" t="s">
        <v>23</v>
      </c>
      <c r="B4137" s="6">
        <f t="shared" si="956"/>
        <v>2054</v>
      </c>
      <c r="C4137" s="1" t="s">
        <v>43</v>
      </c>
      <c r="D4137" s="2" t="s">
        <v>131</v>
      </c>
      <c r="E4137" s="9" t="str">
        <f t="shared" si="954"/>
        <v>PSND'!</v>
      </c>
      <c r="F4137" s="5" t="str">
        <f t="shared" si="955"/>
        <v>C:\Users\jaime.benazar\Quorum Business Solutions\Ecopetrol Prometeo - Documents\Planning Space Implementation\3. Analysis &amp; Design\Design\FC22\DRR Jaime\Neiva CPI\[VAO_DINA TERCIARIOS_CF_SEC_20230117.xlsx]CF PSND'!</v>
      </c>
      <c r="G4137" s="6" t="s">
        <v>113</v>
      </c>
      <c r="H4137" s="1"/>
      <c r="I4137" s="1"/>
      <c r="J4137" s="1"/>
    </row>
    <row r="4138" spans="1:10" x14ac:dyDescent="0.3">
      <c r="A4138" s="6" t="s">
        <v>23</v>
      </c>
      <c r="B4138" s="6">
        <f t="shared" si="956"/>
        <v>2055</v>
      </c>
      <c r="C4138" s="1" t="s">
        <v>43</v>
      </c>
      <c r="D4138" s="2" t="s">
        <v>131</v>
      </c>
      <c r="E4138" s="9" t="str">
        <f t="shared" si="954"/>
        <v>PSND'!</v>
      </c>
      <c r="F4138" s="5" t="str">
        <f t="shared" si="955"/>
        <v>C:\Users\jaime.benazar\Quorum Business Solutions\Ecopetrol Prometeo - Documents\Planning Space Implementation\3. Analysis &amp; Design\Design\FC22\DRR Jaime\Neiva CPI\[VAO_DINA TERCIARIOS_CF_SEC_20230117.xlsx]CF PSND'!</v>
      </c>
      <c r="G4138" s="6" t="s">
        <v>113</v>
      </c>
      <c r="H4138" s="1"/>
      <c r="I4138" s="1"/>
      <c r="J4138" s="1"/>
    </row>
    <row r="4139" spans="1:10" x14ac:dyDescent="0.3">
      <c r="A4139" s="6" t="s">
        <v>23</v>
      </c>
      <c r="B4139" s="6">
        <f t="shared" si="956"/>
        <v>2056</v>
      </c>
      <c r="C4139" s="1" t="s">
        <v>43</v>
      </c>
      <c r="D4139" s="2" t="s">
        <v>131</v>
      </c>
      <c r="E4139" s="9" t="str">
        <f t="shared" si="954"/>
        <v>PSND'!</v>
      </c>
      <c r="F4139" s="5" t="str">
        <f t="shared" si="955"/>
        <v>C:\Users\jaime.benazar\Quorum Business Solutions\Ecopetrol Prometeo - Documents\Planning Space Implementation\3. Analysis &amp; Design\Design\FC22\DRR Jaime\Neiva CPI\[VAO_DINA TERCIARIOS_CF_SEC_20230117.xlsx]CF PSND'!</v>
      </c>
      <c r="G4139" s="6" t="s">
        <v>113</v>
      </c>
      <c r="H4139" s="1"/>
      <c r="I4139" s="1"/>
      <c r="J4139" s="1"/>
    </row>
    <row r="4140" spans="1:10" x14ac:dyDescent="0.3">
      <c r="A4140" s="6" t="s">
        <v>23</v>
      </c>
      <c r="B4140" s="6">
        <f t="shared" si="956"/>
        <v>2057</v>
      </c>
      <c r="C4140" s="1" t="s">
        <v>43</v>
      </c>
      <c r="D4140" s="2" t="s">
        <v>131</v>
      </c>
      <c r="E4140" s="9" t="str">
        <f t="shared" si="954"/>
        <v>PSND'!</v>
      </c>
      <c r="F4140" s="5" t="str">
        <f t="shared" si="955"/>
        <v>C:\Users\jaime.benazar\Quorum Business Solutions\Ecopetrol Prometeo - Documents\Planning Space Implementation\3. Analysis &amp; Design\Design\FC22\DRR Jaime\Neiva CPI\[VAO_DINA TERCIARIOS_CF_SEC_20230117.xlsx]CF PSND'!</v>
      </c>
      <c r="G4140" s="6" t="s">
        <v>113</v>
      </c>
      <c r="H4140" s="1"/>
      <c r="I4140" s="1"/>
      <c r="J4140" s="1"/>
    </row>
    <row r="4141" spans="1:10" x14ac:dyDescent="0.3">
      <c r="A4141" s="6" t="s">
        <v>23</v>
      </c>
      <c r="B4141" s="6">
        <f t="shared" si="956"/>
        <v>2058</v>
      </c>
      <c r="C4141" s="1" t="s">
        <v>43</v>
      </c>
      <c r="D4141" s="2" t="s">
        <v>131</v>
      </c>
      <c r="E4141" s="9" t="str">
        <f t="shared" si="954"/>
        <v>PSND'!</v>
      </c>
      <c r="F4141" s="5" t="str">
        <f t="shared" si="955"/>
        <v>C:\Users\jaime.benazar\Quorum Business Solutions\Ecopetrol Prometeo - Documents\Planning Space Implementation\3. Analysis &amp; Design\Design\FC22\DRR Jaime\Neiva CPI\[VAO_DINA TERCIARIOS_CF_SEC_20230117.xlsx]CF PSND'!</v>
      </c>
      <c r="G4141" s="6" t="s">
        <v>113</v>
      </c>
      <c r="H4141" s="1"/>
      <c r="I4141" s="1"/>
      <c r="J4141" s="1"/>
    </row>
    <row r="4142" spans="1:10" x14ac:dyDescent="0.3">
      <c r="A4142" s="6" t="s">
        <v>23</v>
      </c>
      <c r="B4142" s="6">
        <f t="shared" si="956"/>
        <v>2059</v>
      </c>
      <c r="C4142" s="1" t="s">
        <v>43</v>
      </c>
      <c r="D4142" s="2" t="s">
        <v>131</v>
      </c>
      <c r="E4142" s="9" t="str">
        <f t="shared" si="954"/>
        <v>PSND'!</v>
      </c>
      <c r="F4142" s="5" t="str">
        <f t="shared" si="955"/>
        <v>C:\Users\jaime.benazar\Quorum Business Solutions\Ecopetrol Prometeo - Documents\Planning Space Implementation\3. Analysis &amp; Design\Design\FC22\DRR Jaime\Neiva CPI\[VAO_DINA TERCIARIOS_CF_SEC_20230117.xlsx]CF PSND'!</v>
      </c>
      <c r="G4142" s="6" t="s">
        <v>113</v>
      </c>
      <c r="H4142" s="1"/>
      <c r="I4142" s="1"/>
      <c r="J4142" s="1"/>
    </row>
    <row r="4143" spans="1:10" x14ac:dyDescent="0.3">
      <c r="A4143" s="6" t="s">
        <v>26</v>
      </c>
      <c r="B4143" s="6"/>
      <c r="C4143" s="1" t="s">
        <v>43</v>
      </c>
      <c r="D4143" s="2"/>
      <c r="E4143" s="9"/>
      <c r="F4143" s="5"/>
      <c r="G4143" s="6"/>
      <c r="H4143" s="1"/>
      <c r="I4143" s="1"/>
      <c r="J4143" s="12"/>
    </row>
    <row r="4144" spans="1:10" x14ac:dyDescent="0.3">
      <c r="A4144" s="6" t="s">
        <v>24</v>
      </c>
      <c r="B4144" s="6">
        <v>2023</v>
      </c>
      <c r="C4144" s="1" t="s">
        <v>43</v>
      </c>
      <c r="D4144" s="2" t="s">
        <v>131</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Jaime\Neiva CPI\[VAO_DINA TERCIARIOS_CF_SEC_20230117.xlsx]CF PS'!</v>
      </c>
      <c r="G4144" s="6" t="s">
        <v>113</v>
      </c>
      <c r="H4144" s="1">
        <f>IF(A4144&lt;&gt;A4014,36,H4014+1)</f>
        <v>36</v>
      </c>
      <c r="I4144" s="1" t="str">
        <f t="shared" ref="I4144:I4164" si="959">_xlfn.CONCAT("='",F4144:H4144)</f>
        <v>='C:\Users\jaime.benazar\Quorum Business Solutions\Ecopetrol Prometeo - Documents\Planning Space Implementation\3. Analysis &amp; Design\Design\FC22\DRR Jaime\Neiva CPI\[VAO_DINA TERCIARIOS_CF_SEC_20230117.xlsx]CF PS'!$BY$36</v>
      </c>
      <c r="J4144" s="1" t="s">
        <v>1945</v>
      </c>
    </row>
    <row r="4145" spans="1:10" x14ac:dyDescent="0.3">
      <c r="A4145" s="6" t="s">
        <v>24</v>
      </c>
      <c r="B4145" s="6">
        <f>+B4144+1</f>
        <v>2024</v>
      </c>
      <c r="C4145" s="1" t="s">
        <v>43</v>
      </c>
      <c r="D4145" s="2" t="s">
        <v>131</v>
      </c>
      <c r="E4145" s="9" t="str">
        <f t="shared" si="957"/>
        <v>PS'!</v>
      </c>
      <c r="F4145" s="5" t="str">
        <f t="shared" si="958"/>
        <v>C:\Users\jaime.benazar\Quorum Business Solutions\Ecopetrol Prometeo - Documents\Planning Space Implementation\3. Analysis &amp; Design\Design\FC22\DRR Jaime\Neiva CPI\[VAO_DINA TERCIARIOS_CF_SEC_20230117.xlsx]CF PS'!</v>
      </c>
      <c r="G4145" s="6" t="s">
        <v>113</v>
      </c>
      <c r="H4145" s="1">
        <f t="shared" ref="H4145:H4164" si="960">IF(A4145&lt;&gt;A4144,36,H4144+1)</f>
        <v>37</v>
      </c>
      <c r="I4145" s="1" t="str">
        <f t="shared" si="959"/>
        <v>='C:\Users\jaime.benazar\Quorum Business Solutions\Ecopetrol Prometeo - Documents\Planning Space Implementation\3. Analysis &amp; Design\Design\FC22\DRR Jaime\Neiva CPI\[VAO_DINA TERCIARIOS_CF_SEC_20230117.xlsx]CF PS'!$BY$37</v>
      </c>
      <c r="J4145" s="1" t="s">
        <v>1946</v>
      </c>
    </row>
    <row r="4146" spans="1:10" x14ac:dyDescent="0.3">
      <c r="A4146" s="6" t="s">
        <v>24</v>
      </c>
      <c r="B4146" s="6">
        <f t="shared" ref="B4146:B4157" si="961">+B4145+1</f>
        <v>2025</v>
      </c>
      <c r="C4146" s="1" t="s">
        <v>43</v>
      </c>
      <c r="D4146" s="2" t="s">
        <v>131</v>
      </c>
      <c r="E4146" s="9" t="str">
        <f t="shared" si="957"/>
        <v>PS'!</v>
      </c>
      <c r="F4146" s="5" t="str">
        <f t="shared" si="958"/>
        <v>C:\Users\jaime.benazar\Quorum Business Solutions\Ecopetrol Prometeo - Documents\Planning Space Implementation\3. Analysis &amp; Design\Design\FC22\DRR Jaime\Neiva CPI\[VAO_DINA TERCIARIOS_CF_SEC_20230117.xlsx]CF PS'!</v>
      </c>
      <c r="G4146" s="6" t="s">
        <v>113</v>
      </c>
      <c r="H4146" s="1">
        <f t="shared" si="960"/>
        <v>38</v>
      </c>
      <c r="I4146" s="1" t="str">
        <f t="shared" si="959"/>
        <v>='C:\Users\jaime.benazar\Quorum Business Solutions\Ecopetrol Prometeo - Documents\Planning Space Implementation\3. Analysis &amp; Design\Design\FC22\DRR Jaime\Neiva CPI\[VAO_DINA TERCIARIOS_CF_SEC_20230117.xlsx]CF PS'!$BY$38</v>
      </c>
      <c r="J4146" s="1" t="s">
        <v>1947</v>
      </c>
    </row>
    <row r="4147" spans="1:10" x14ac:dyDescent="0.3">
      <c r="A4147" s="6" t="s">
        <v>24</v>
      </c>
      <c r="B4147" s="6">
        <f t="shared" si="961"/>
        <v>2026</v>
      </c>
      <c r="C4147" s="1" t="s">
        <v>43</v>
      </c>
      <c r="D4147" s="2" t="s">
        <v>131</v>
      </c>
      <c r="E4147" s="9" t="str">
        <f t="shared" si="957"/>
        <v>PS'!</v>
      </c>
      <c r="F4147" s="5" t="str">
        <f t="shared" si="958"/>
        <v>C:\Users\jaime.benazar\Quorum Business Solutions\Ecopetrol Prometeo - Documents\Planning Space Implementation\3. Analysis &amp; Design\Design\FC22\DRR Jaime\Neiva CPI\[VAO_DINA TERCIARIOS_CF_SEC_20230117.xlsx]CF PS'!</v>
      </c>
      <c r="G4147" s="6" t="s">
        <v>113</v>
      </c>
      <c r="H4147" s="1">
        <f t="shared" si="960"/>
        <v>39</v>
      </c>
      <c r="I4147" s="1" t="str">
        <f t="shared" si="959"/>
        <v>='C:\Users\jaime.benazar\Quorum Business Solutions\Ecopetrol Prometeo - Documents\Planning Space Implementation\3. Analysis &amp; Design\Design\FC22\DRR Jaime\Neiva CPI\[VAO_DINA TERCIARIOS_CF_SEC_20230117.xlsx]CF PS'!$BY$39</v>
      </c>
      <c r="J4147" s="1" t="s">
        <v>1948</v>
      </c>
    </row>
    <row r="4148" spans="1:10" x14ac:dyDescent="0.3">
      <c r="A4148" s="6" t="s">
        <v>24</v>
      </c>
      <c r="B4148" s="6">
        <f t="shared" si="961"/>
        <v>2027</v>
      </c>
      <c r="C4148" s="1" t="s">
        <v>43</v>
      </c>
      <c r="D4148" s="2" t="s">
        <v>131</v>
      </c>
      <c r="E4148" s="9" t="str">
        <f t="shared" si="957"/>
        <v>PS'!</v>
      </c>
      <c r="F4148" s="5" t="str">
        <f t="shared" si="958"/>
        <v>C:\Users\jaime.benazar\Quorum Business Solutions\Ecopetrol Prometeo - Documents\Planning Space Implementation\3. Analysis &amp; Design\Design\FC22\DRR Jaime\Neiva CPI\[VAO_DINA TERCIARIOS_CF_SEC_20230117.xlsx]CF PS'!</v>
      </c>
      <c r="G4148" s="6" t="s">
        <v>113</v>
      </c>
      <c r="H4148" s="1">
        <f t="shared" si="960"/>
        <v>40</v>
      </c>
      <c r="I4148" s="1" t="str">
        <f t="shared" si="959"/>
        <v>='C:\Users\jaime.benazar\Quorum Business Solutions\Ecopetrol Prometeo - Documents\Planning Space Implementation\3. Analysis &amp; Design\Design\FC22\DRR Jaime\Neiva CPI\[VAO_DINA TERCIARIOS_CF_SEC_20230117.xlsx]CF PS'!$BY$40</v>
      </c>
      <c r="J4148" s="1" t="s">
        <v>1949</v>
      </c>
    </row>
    <row r="4149" spans="1:10" x14ac:dyDescent="0.3">
      <c r="A4149" s="6" t="s">
        <v>24</v>
      </c>
      <c r="B4149" s="6">
        <f t="shared" si="961"/>
        <v>2028</v>
      </c>
      <c r="C4149" s="1" t="s">
        <v>43</v>
      </c>
      <c r="D4149" s="2" t="s">
        <v>131</v>
      </c>
      <c r="E4149" s="9" t="str">
        <f t="shared" si="957"/>
        <v>PS'!</v>
      </c>
      <c r="F4149" s="5" t="str">
        <f t="shared" si="958"/>
        <v>C:\Users\jaime.benazar\Quorum Business Solutions\Ecopetrol Prometeo - Documents\Planning Space Implementation\3. Analysis &amp; Design\Design\FC22\DRR Jaime\Neiva CPI\[VAO_DINA TERCIARIOS_CF_SEC_20230117.xlsx]CF PS'!</v>
      </c>
      <c r="G4149" s="6" t="s">
        <v>113</v>
      </c>
      <c r="H4149" s="1">
        <f t="shared" si="960"/>
        <v>41</v>
      </c>
      <c r="I4149" s="1" t="str">
        <f t="shared" si="959"/>
        <v>='C:\Users\jaime.benazar\Quorum Business Solutions\Ecopetrol Prometeo - Documents\Planning Space Implementation\3. Analysis &amp; Design\Design\FC22\DRR Jaime\Neiva CPI\[VAO_DINA TERCIARIOS_CF_SEC_20230117.xlsx]CF PS'!$BY$41</v>
      </c>
      <c r="J4149" s="1" t="s">
        <v>1950</v>
      </c>
    </row>
    <row r="4150" spans="1:10" x14ac:dyDescent="0.3">
      <c r="A4150" s="6" t="s">
        <v>24</v>
      </c>
      <c r="B4150" s="6">
        <f t="shared" si="961"/>
        <v>2029</v>
      </c>
      <c r="C4150" s="1" t="s">
        <v>43</v>
      </c>
      <c r="D4150" s="2" t="s">
        <v>131</v>
      </c>
      <c r="E4150" s="9" t="str">
        <f t="shared" si="957"/>
        <v>PS'!</v>
      </c>
      <c r="F4150" s="5" t="str">
        <f t="shared" si="958"/>
        <v>C:\Users\jaime.benazar\Quorum Business Solutions\Ecopetrol Prometeo - Documents\Planning Space Implementation\3. Analysis &amp; Design\Design\FC22\DRR Jaime\Neiva CPI\[VAO_DINA TERCIARIOS_CF_SEC_20230117.xlsx]CF PS'!</v>
      </c>
      <c r="G4150" s="6" t="s">
        <v>113</v>
      </c>
      <c r="H4150" s="1">
        <f t="shared" si="960"/>
        <v>42</v>
      </c>
      <c r="I4150" s="1" t="str">
        <f t="shared" si="959"/>
        <v>='C:\Users\jaime.benazar\Quorum Business Solutions\Ecopetrol Prometeo - Documents\Planning Space Implementation\3. Analysis &amp; Design\Design\FC22\DRR Jaime\Neiva CPI\[VAO_DINA TERCIARIOS_CF_SEC_20230117.xlsx]CF PS'!$BY$42</v>
      </c>
      <c r="J4150" s="1" t="s">
        <v>1951</v>
      </c>
    </row>
    <row r="4151" spans="1:10" x14ac:dyDescent="0.3">
      <c r="A4151" s="6" t="s">
        <v>24</v>
      </c>
      <c r="B4151" s="6">
        <f t="shared" si="961"/>
        <v>2030</v>
      </c>
      <c r="C4151" s="1" t="s">
        <v>43</v>
      </c>
      <c r="D4151" s="2" t="s">
        <v>131</v>
      </c>
      <c r="E4151" s="9" t="str">
        <f t="shared" si="957"/>
        <v>PS'!</v>
      </c>
      <c r="F4151" s="5" t="str">
        <f t="shared" si="958"/>
        <v>C:\Users\jaime.benazar\Quorum Business Solutions\Ecopetrol Prometeo - Documents\Planning Space Implementation\3. Analysis &amp; Design\Design\FC22\DRR Jaime\Neiva CPI\[VAO_DINA TERCIARIOS_CF_SEC_20230117.xlsx]CF PS'!</v>
      </c>
      <c r="G4151" s="6" t="s">
        <v>113</v>
      </c>
      <c r="H4151" s="1">
        <f t="shared" si="960"/>
        <v>43</v>
      </c>
      <c r="I4151" s="1" t="str">
        <f t="shared" si="959"/>
        <v>='C:\Users\jaime.benazar\Quorum Business Solutions\Ecopetrol Prometeo - Documents\Planning Space Implementation\3. Analysis &amp; Design\Design\FC22\DRR Jaime\Neiva CPI\[VAO_DINA TERCIARIOS_CF_SEC_20230117.xlsx]CF PS'!$BY$43</v>
      </c>
      <c r="J4151" s="1" t="s">
        <v>1952</v>
      </c>
    </row>
    <row r="4152" spans="1:10" x14ac:dyDescent="0.3">
      <c r="A4152" s="6" t="s">
        <v>24</v>
      </c>
      <c r="B4152" s="6">
        <f t="shared" si="961"/>
        <v>2031</v>
      </c>
      <c r="C4152" s="1" t="s">
        <v>43</v>
      </c>
      <c r="D4152" s="2" t="s">
        <v>131</v>
      </c>
      <c r="E4152" s="9" t="str">
        <f t="shared" si="957"/>
        <v>PS'!</v>
      </c>
      <c r="F4152" s="5" t="str">
        <f t="shared" si="958"/>
        <v>C:\Users\jaime.benazar\Quorum Business Solutions\Ecopetrol Prometeo - Documents\Planning Space Implementation\3. Analysis &amp; Design\Design\FC22\DRR Jaime\Neiva CPI\[VAO_DINA TERCIARIOS_CF_SEC_20230117.xlsx]CF PS'!</v>
      </c>
      <c r="G4152" s="6" t="s">
        <v>113</v>
      </c>
      <c r="H4152" s="1">
        <f t="shared" si="960"/>
        <v>44</v>
      </c>
      <c r="I4152" s="1" t="str">
        <f t="shared" si="959"/>
        <v>='C:\Users\jaime.benazar\Quorum Business Solutions\Ecopetrol Prometeo - Documents\Planning Space Implementation\3. Analysis &amp; Design\Design\FC22\DRR Jaime\Neiva CPI\[VAO_DINA TERCIARIOS_CF_SEC_20230117.xlsx]CF PS'!$BY$44</v>
      </c>
      <c r="J4152" s="1" t="s">
        <v>1953</v>
      </c>
    </row>
    <row r="4153" spans="1:10" x14ac:dyDescent="0.3">
      <c r="A4153" s="6" t="s">
        <v>24</v>
      </c>
      <c r="B4153" s="6">
        <f t="shared" si="961"/>
        <v>2032</v>
      </c>
      <c r="C4153" s="1" t="s">
        <v>43</v>
      </c>
      <c r="D4153" s="2" t="s">
        <v>131</v>
      </c>
      <c r="E4153" s="9" t="str">
        <f t="shared" si="957"/>
        <v>PS'!</v>
      </c>
      <c r="F4153" s="5" t="str">
        <f t="shared" si="958"/>
        <v>C:\Users\jaime.benazar\Quorum Business Solutions\Ecopetrol Prometeo - Documents\Planning Space Implementation\3. Analysis &amp; Design\Design\FC22\DRR Jaime\Neiva CPI\[VAO_DINA TERCIARIOS_CF_SEC_20230117.xlsx]CF PS'!</v>
      </c>
      <c r="G4153" s="6" t="s">
        <v>113</v>
      </c>
      <c r="H4153" s="1">
        <f t="shared" si="960"/>
        <v>45</v>
      </c>
      <c r="I4153" s="1" t="str">
        <f t="shared" si="959"/>
        <v>='C:\Users\jaime.benazar\Quorum Business Solutions\Ecopetrol Prometeo - Documents\Planning Space Implementation\3. Analysis &amp; Design\Design\FC22\DRR Jaime\Neiva CPI\[VAO_DINA TERCIARIOS_CF_SEC_20230117.xlsx]CF PS'!$BY$45</v>
      </c>
      <c r="J4153" s="1" t="s">
        <v>1954</v>
      </c>
    </row>
    <row r="4154" spans="1:10" x14ac:dyDescent="0.3">
      <c r="A4154" s="6" t="s">
        <v>24</v>
      </c>
      <c r="B4154" s="6">
        <f t="shared" si="961"/>
        <v>2033</v>
      </c>
      <c r="C4154" s="1" t="s">
        <v>43</v>
      </c>
      <c r="D4154" s="2" t="s">
        <v>131</v>
      </c>
      <c r="E4154" s="9" t="str">
        <f t="shared" si="957"/>
        <v>PS'!</v>
      </c>
      <c r="F4154" s="5" t="str">
        <f t="shared" si="958"/>
        <v>C:\Users\jaime.benazar\Quorum Business Solutions\Ecopetrol Prometeo - Documents\Planning Space Implementation\3. Analysis &amp; Design\Design\FC22\DRR Jaime\Neiva CPI\[VAO_DINA TERCIARIOS_CF_SEC_20230117.xlsx]CF PS'!</v>
      </c>
      <c r="G4154" s="6" t="s">
        <v>113</v>
      </c>
      <c r="H4154" s="1">
        <f t="shared" si="960"/>
        <v>46</v>
      </c>
      <c r="I4154" s="1" t="str">
        <f t="shared" si="959"/>
        <v>='C:\Users\jaime.benazar\Quorum Business Solutions\Ecopetrol Prometeo - Documents\Planning Space Implementation\3. Analysis &amp; Design\Design\FC22\DRR Jaime\Neiva CPI\[VAO_DINA TERCIARIOS_CF_SEC_20230117.xlsx]CF PS'!$BY$46</v>
      </c>
      <c r="J4154" s="1" t="s">
        <v>1955</v>
      </c>
    </row>
    <row r="4155" spans="1:10" x14ac:dyDescent="0.3">
      <c r="A4155" s="6" t="s">
        <v>24</v>
      </c>
      <c r="B4155" s="6">
        <f t="shared" si="961"/>
        <v>2034</v>
      </c>
      <c r="C4155" s="1" t="s">
        <v>43</v>
      </c>
      <c r="D4155" s="2" t="s">
        <v>131</v>
      </c>
      <c r="E4155" s="9" t="str">
        <f t="shared" si="957"/>
        <v>PS'!</v>
      </c>
      <c r="F4155" s="5" t="str">
        <f t="shared" si="958"/>
        <v>C:\Users\jaime.benazar\Quorum Business Solutions\Ecopetrol Prometeo - Documents\Planning Space Implementation\3. Analysis &amp; Design\Design\FC22\DRR Jaime\Neiva CPI\[VAO_DINA TERCIARIOS_CF_SEC_20230117.xlsx]CF PS'!</v>
      </c>
      <c r="G4155" s="6" t="s">
        <v>113</v>
      </c>
      <c r="H4155" s="1">
        <f t="shared" si="960"/>
        <v>47</v>
      </c>
      <c r="I4155" s="1" t="str">
        <f t="shared" si="959"/>
        <v>='C:\Users\jaime.benazar\Quorum Business Solutions\Ecopetrol Prometeo - Documents\Planning Space Implementation\3. Analysis &amp; Design\Design\FC22\DRR Jaime\Neiva CPI\[VAO_DINA TERCIARIOS_CF_SEC_20230117.xlsx]CF PS'!$BY$47</v>
      </c>
      <c r="J4155" s="1" t="s">
        <v>1956</v>
      </c>
    </row>
    <row r="4156" spans="1:10" x14ac:dyDescent="0.3">
      <c r="A4156" s="6" t="s">
        <v>24</v>
      </c>
      <c r="B4156" s="6">
        <f t="shared" si="961"/>
        <v>2035</v>
      </c>
      <c r="C4156" s="1" t="s">
        <v>43</v>
      </c>
      <c r="D4156" s="2" t="s">
        <v>131</v>
      </c>
      <c r="E4156" s="9" t="str">
        <f t="shared" si="957"/>
        <v>PS'!</v>
      </c>
      <c r="F4156" s="5" t="str">
        <f t="shared" si="958"/>
        <v>C:\Users\jaime.benazar\Quorum Business Solutions\Ecopetrol Prometeo - Documents\Planning Space Implementation\3. Analysis &amp; Design\Design\FC22\DRR Jaime\Neiva CPI\[VAO_DINA TERCIARIOS_CF_SEC_20230117.xlsx]CF PS'!</v>
      </c>
      <c r="G4156" s="6" t="s">
        <v>113</v>
      </c>
      <c r="H4156" s="1">
        <f t="shared" si="960"/>
        <v>48</v>
      </c>
      <c r="I4156" s="1" t="str">
        <f t="shared" si="959"/>
        <v>='C:\Users\jaime.benazar\Quorum Business Solutions\Ecopetrol Prometeo - Documents\Planning Space Implementation\3. Analysis &amp; Design\Design\FC22\DRR Jaime\Neiva CPI\[VAO_DINA TERCIARIOS_CF_SEC_20230117.xlsx]CF PS'!$BY$48</v>
      </c>
      <c r="J4156" s="1" t="s">
        <v>1957</v>
      </c>
    </row>
    <row r="4157" spans="1:10" x14ac:dyDescent="0.3">
      <c r="A4157" s="6" t="s">
        <v>24</v>
      </c>
      <c r="B4157" s="6">
        <f t="shared" si="961"/>
        <v>2036</v>
      </c>
      <c r="C4157" s="1" t="s">
        <v>43</v>
      </c>
      <c r="D4157" s="2" t="s">
        <v>131</v>
      </c>
      <c r="E4157" s="9" t="str">
        <f t="shared" si="957"/>
        <v>PS'!</v>
      </c>
      <c r="F4157" s="5" t="str">
        <f t="shared" si="958"/>
        <v>C:\Users\jaime.benazar\Quorum Business Solutions\Ecopetrol Prometeo - Documents\Planning Space Implementation\3. Analysis &amp; Design\Design\FC22\DRR Jaime\Neiva CPI\[VAO_DINA TERCIARIOS_CF_SEC_20230117.xlsx]CF PS'!</v>
      </c>
      <c r="G4157" s="6" t="s">
        <v>113</v>
      </c>
      <c r="H4157" s="1">
        <f t="shared" si="960"/>
        <v>49</v>
      </c>
      <c r="I4157" s="1" t="str">
        <f t="shared" si="959"/>
        <v>='C:\Users\jaime.benazar\Quorum Business Solutions\Ecopetrol Prometeo - Documents\Planning Space Implementation\3. Analysis &amp; Design\Design\FC22\DRR Jaime\Neiva CPI\[VAO_DINA TERCIARIOS_CF_SEC_20230117.xlsx]CF PS'!$BY$49</v>
      </c>
      <c r="J4157" s="1" t="s">
        <v>1958</v>
      </c>
    </row>
    <row r="4158" spans="1:10" x14ac:dyDescent="0.3">
      <c r="A4158" s="6" t="s">
        <v>24</v>
      </c>
      <c r="B4158" s="6">
        <f>+B4157+1</f>
        <v>2037</v>
      </c>
      <c r="C4158" s="1" t="s">
        <v>43</v>
      </c>
      <c r="D4158" s="2" t="s">
        <v>131</v>
      </c>
      <c r="E4158" s="9" t="str">
        <f t="shared" si="957"/>
        <v>PS'!</v>
      </c>
      <c r="F4158" s="5" t="str">
        <f t="shared" si="958"/>
        <v>C:\Users\jaime.benazar\Quorum Business Solutions\Ecopetrol Prometeo - Documents\Planning Space Implementation\3. Analysis &amp; Design\Design\FC22\DRR Jaime\Neiva CPI\[VAO_DINA TERCIARIOS_CF_SEC_20230117.xlsx]CF PS'!</v>
      </c>
      <c r="G4158" s="6" t="s">
        <v>113</v>
      </c>
      <c r="H4158" s="1">
        <f t="shared" si="960"/>
        <v>50</v>
      </c>
      <c r="I4158" s="1" t="str">
        <f t="shared" si="959"/>
        <v>='C:\Users\jaime.benazar\Quorum Business Solutions\Ecopetrol Prometeo - Documents\Planning Space Implementation\3. Analysis &amp; Design\Design\FC22\DRR Jaime\Neiva CPI\[VAO_DINA TERCIARIOS_CF_SEC_20230117.xlsx]CF PS'!$BY$50</v>
      </c>
      <c r="J4158" s="1" t="s">
        <v>1959</v>
      </c>
    </row>
    <row r="4159" spans="1:10" x14ac:dyDescent="0.3">
      <c r="A4159" s="6" t="s">
        <v>24</v>
      </c>
      <c r="B4159" s="6">
        <f t="shared" ref="B4159:B4161" si="962">+B4158+1</f>
        <v>2038</v>
      </c>
      <c r="C4159" s="1" t="s">
        <v>43</v>
      </c>
      <c r="D4159" s="2" t="s">
        <v>131</v>
      </c>
      <c r="E4159" s="9" t="str">
        <f t="shared" si="957"/>
        <v>PS'!</v>
      </c>
      <c r="F4159" s="5" t="str">
        <f t="shared" si="958"/>
        <v>C:\Users\jaime.benazar\Quorum Business Solutions\Ecopetrol Prometeo - Documents\Planning Space Implementation\3. Analysis &amp; Design\Design\FC22\DRR Jaime\Neiva CPI\[VAO_DINA TERCIARIOS_CF_SEC_20230117.xlsx]CF PS'!</v>
      </c>
      <c r="G4159" s="6" t="s">
        <v>113</v>
      </c>
      <c r="H4159" s="1">
        <f t="shared" si="960"/>
        <v>51</v>
      </c>
      <c r="I4159" s="1" t="str">
        <f t="shared" si="959"/>
        <v>='C:\Users\jaime.benazar\Quorum Business Solutions\Ecopetrol Prometeo - Documents\Planning Space Implementation\3. Analysis &amp; Design\Design\FC22\DRR Jaime\Neiva CPI\[VAO_DINA TERCIARIOS_CF_SEC_20230117.xlsx]CF PS'!$BY$51</v>
      </c>
      <c r="J4159" s="1" t="s">
        <v>1960</v>
      </c>
    </row>
    <row r="4160" spans="1:10" x14ac:dyDescent="0.3">
      <c r="A4160" s="6" t="s">
        <v>24</v>
      </c>
      <c r="B4160" s="6">
        <f t="shared" si="962"/>
        <v>2039</v>
      </c>
      <c r="C4160" s="1" t="s">
        <v>43</v>
      </c>
      <c r="D4160" s="2" t="s">
        <v>131</v>
      </c>
      <c r="E4160" s="9" t="str">
        <f t="shared" si="957"/>
        <v>PS'!</v>
      </c>
      <c r="F4160" s="5" t="str">
        <f t="shared" si="958"/>
        <v>C:\Users\jaime.benazar\Quorum Business Solutions\Ecopetrol Prometeo - Documents\Planning Space Implementation\3. Analysis &amp; Design\Design\FC22\DRR Jaime\Neiva CPI\[VAO_DINA TERCIARIOS_CF_SEC_20230117.xlsx]CF PS'!</v>
      </c>
      <c r="G4160" s="6" t="s">
        <v>113</v>
      </c>
      <c r="H4160" s="1">
        <f t="shared" si="960"/>
        <v>52</v>
      </c>
      <c r="I4160" s="1" t="str">
        <f t="shared" si="959"/>
        <v>='C:\Users\jaime.benazar\Quorum Business Solutions\Ecopetrol Prometeo - Documents\Planning Space Implementation\3. Analysis &amp; Design\Design\FC22\DRR Jaime\Neiva CPI\[VAO_DINA TERCIARIOS_CF_SEC_20230117.xlsx]CF PS'!$BY$52</v>
      </c>
      <c r="J4160" s="1" t="s">
        <v>1961</v>
      </c>
    </row>
    <row r="4161" spans="1:10" x14ac:dyDescent="0.3">
      <c r="A4161" s="6" t="s">
        <v>24</v>
      </c>
      <c r="B4161" s="6">
        <f t="shared" si="962"/>
        <v>2040</v>
      </c>
      <c r="C4161" s="1" t="s">
        <v>43</v>
      </c>
      <c r="D4161" s="2" t="s">
        <v>131</v>
      </c>
      <c r="E4161" s="9" t="str">
        <f t="shared" si="957"/>
        <v>PS'!</v>
      </c>
      <c r="F4161" s="5" t="str">
        <f t="shared" si="958"/>
        <v>C:\Users\jaime.benazar\Quorum Business Solutions\Ecopetrol Prometeo - Documents\Planning Space Implementation\3. Analysis &amp; Design\Design\FC22\DRR Jaime\Neiva CPI\[VAO_DINA TERCIARIOS_CF_SEC_20230117.xlsx]CF PS'!</v>
      </c>
      <c r="G4161" s="6" t="s">
        <v>113</v>
      </c>
      <c r="H4161" s="1">
        <f t="shared" si="960"/>
        <v>53</v>
      </c>
      <c r="I4161" s="1" t="str">
        <f t="shared" si="959"/>
        <v>='C:\Users\jaime.benazar\Quorum Business Solutions\Ecopetrol Prometeo - Documents\Planning Space Implementation\3. Analysis &amp; Design\Design\FC22\DRR Jaime\Neiva CPI\[VAO_DINA TERCIARIOS_CF_SEC_20230117.xlsx]CF PS'!$BY$53</v>
      </c>
      <c r="J4161" s="1" t="s">
        <v>1962</v>
      </c>
    </row>
    <row r="4162" spans="1:10" x14ac:dyDescent="0.3">
      <c r="A4162" s="6" t="s">
        <v>24</v>
      </c>
      <c r="B4162" s="6">
        <f>+B4161+1</f>
        <v>2041</v>
      </c>
      <c r="C4162" s="1" t="s">
        <v>43</v>
      </c>
      <c r="D4162" s="2" t="s">
        <v>131</v>
      </c>
      <c r="E4162" s="9" t="str">
        <f t="shared" si="957"/>
        <v>PS'!</v>
      </c>
      <c r="F4162" s="5" t="str">
        <f t="shared" si="958"/>
        <v>C:\Users\jaime.benazar\Quorum Business Solutions\Ecopetrol Prometeo - Documents\Planning Space Implementation\3. Analysis &amp; Design\Design\FC22\DRR Jaime\Neiva CPI\[VAO_DINA TERCIARIOS_CF_SEC_20230117.xlsx]CF PS'!</v>
      </c>
      <c r="G4162" s="6" t="s">
        <v>113</v>
      </c>
      <c r="H4162" s="1">
        <f t="shared" si="960"/>
        <v>54</v>
      </c>
      <c r="I4162" s="1" t="str">
        <f t="shared" si="959"/>
        <v>='C:\Users\jaime.benazar\Quorum Business Solutions\Ecopetrol Prometeo - Documents\Planning Space Implementation\3. Analysis &amp; Design\Design\FC22\DRR Jaime\Neiva CPI\[VAO_DINA TERCIARIOS_CF_SEC_20230117.xlsx]CF PS'!$BY$54</v>
      </c>
      <c r="J4162" s="1" t="s">
        <v>1963</v>
      </c>
    </row>
    <row r="4163" spans="1:10" x14ac:dyDescent="0.3">
      <c r="A4163" s="6" t="s">
        <v>24</v>
      </c>
      <c r="B4163" s="6">
        <f t="shared" ref="B4163:B4164" si="963">+B4162+1</f>
        <v>2042</v>
      </c>
      <c r="C4163" s="1" t="s">
        <v>43</v>
      </c>
      <c r="D4163" s="2" t="s">
        <v>131</v>
      </c>
      <c r="E4163" s="9" t="str">
        <f t="shared" si="957"/>
        <v>PS'!</v>
      </c>
      <c r="F4163" s="5" t="str">
        <f t="shared" si="958"/>
        <v>C:\Users\jaime.benazar\Quorum Business Solutions\Ecopetrol Prometeo - Documents\Planning Space Implementation\3. Analysis &amp; Design\Design\FC22\DRR Jaime\Neiva CPI\[VAO_DINA TERCIARIOS_CF_SEC_20230117.xlsx]CF PS'!</v>
      </c>
      <c r="G4163" s="6" t="s">
        <v>113</v>
      </c>
      <c r="H4163" s="1">
        <f t="shared" si="960"/>
        <v>55</v>
      </c>
      <c r="I4163" s="1" t="str">
        <f t="shared" si="959"/>
        <v>='C:\Users\jaime.benazar\Quorum Business Solutions\Ecopetrol Prometeo - Documents\Planning Space Implementation\3. Analysis &amp; Design\Design\FC22\DRR Jaime\Neiva CPI\[VAO_DINA TERCIARIOS_CF_SEC_20230117.xlsx]CF PS'!$BY$55</v>
      </c>
      <c r="J4163" s="1" t="s">
        <v>1964</v>
      </c>
    </row>
    <row r="4164" spans="1:10" x14ac:dyDescent="0.3">
      <c r="A4164" s="6" t="s">
        <v>24</v>
      </c>
      <c r="B4164" s="6">
        <f t="shared" si="963"/>
        <v>2043</v>
      </c>
      <c r="C4164" s="1" t="s">
        <v>43</v>
      </c>
      <c r="D4164" s="2" t="s">
        <v>131</v>
      </c>
      <c r="E4164" s="9" t="str">
        <f t="shared" si="957"/>
        <v>PS'!</v>
      </c>
      <c r="F4164" s="5" t="str">
        <f t="shared" si="958"/>
        <v>C:\Users\jaime.benazar\Quorum Business Solutions\Ecopetrol Prometeo - Documents\Planning Space Implementation\3. Analysis &amp; Design\Design\FC22\DRR Jaime\Neiva CPI\[VAO_DINA TERCIARIOS_CF_SEC_20230117.xlsx]CF PS'!</v>
      </c>
      <c r="G4164" s="6" t="s">
        <v>113</v>
      </c>
      <c r="H4164" s="1">
        <f t="shared" si="960"/>
        <v>56</v>
      </c>
      <c r="I4164" s="1" t="str">
        <f t="shared" si="959"/>
        <v>='C:\Users\jaime.benazar\Quorum Business Solutions\Ecopetrol Prometeo - Documents\Planning Space Implementation\3. Analysis &amp; Design\Design\FC22\DRR Jaime\Neiva CPI\[VAO_DINA TERCIARIOS_CF_SEC_20230117.xlsx]CF PS'!$BY$56</v>
      </c>
      <c r="J4164" s="1" t="s">
        <v>1965</v>
      </c>
    </row>
    <row r="4165" spans="1:10" x14ac:dyDescent="0.3">
      <c r="A4165" s="6" t="s">
        <v>24</v>
      </c>
      <c r="B4165" s="6">
        <f>+B4164+1</f>
        <v>2044</v>
      </c>
      <c r="C4165" s="1" t="s">
        <v>43</v>
      </c>
      <c r="D4165" s="2" t="s">
        <v>131</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Jaime\Neiva CPI\[VAO_DINA TERCIARIOS_CF_SEC_20230117.xlsx]CF PS'!</v>
      </c>
      <c r="G4165" s="6" t="s">
        <v>113</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Jaime\Neiva CPI\[VAO_DINA TERCIARIOS_CF_SEC_20230117.xlsx]CF PS'!$BY$57</v>
      </c>
      <c r="J4165" s="1" t="s">
        <v>1966</v>
      </c>
    </row>
    <row r="4166" spans="1:10" x14ac:dyDescent="0.3">
      <c r="A4166" s="6" t="s">
        <v>24</v>
      </c>
      <c r="B4166" s="6">
        <f t="shared" ref="B4166:B4180" si="968">+B4165+1</f>
        <v>2045</v>
      </c>
      <c r="C4166" s="1" t="s">
        <v>43</v>
      </c>
      <c r="D4166" s="2" t="s">
        <v>131</v>
      </c>
      <c r="E4166" s="9" t="str">
        <f t="shared" si="964"/>
        <v>PS'!</v>
      </c>
      <c r="F4166" s="5" t="str">
        <f t="shared" si="965"/>
        <v>C:\Users\jaime.benazar\Quorum Business Solutions\Ecopetrol Prometeo - Documents\Planning Space Implementation\3. Analysis &amp; Design\Design\FC22\DRR Jaime\Neiva CPI\[VAO_DINA TERCIARIOS_CF_SEC_20230117.xlsx]CF PS'!</v>
      </c>
      <c r="G4166" s="6" t="s">
        <v>113</v>
      </c>
      <c r="H4166" s="1">
        <f t="shared" si="966"/>
        <v>58</v>
      </c>
      <c r="I4166" s="1" t="str">
        <f t="shared" si="967"/>
        <v>='C:\Users\jaime.benazar\Quorum Business Solutions\Ecopetrol Prometeo - Documents\Planning Space Implementation\3. Analysis &amp; Design\Design\FC22\DRR Jaime\Neiva CPI\[VAO_DINA TERCIARIOS_CF_SEC_20230117.xlsx]CF PS'!$BY$58</v>
      </c>
      <c r="J4166" s="1" t="s">
        <v>1967</v>
      </c>
    </row>
    <row r="4167" spans="1:10" x14ac:dyDescent="0.3">
      <c r="A4167" s="6" t="s">
        <v>24</v>
      </c>
      <c r="B4167" s="6">
        <f t="shared" si="968"/>
        <v>2046</v>
      </c>
      <c r="C4167" s="1" t="s">
        <v>43</v>
      </c>
      <c r="D4167" s="2" t="s">
        <v>131</v>
      </c>
      <c r="E4167" s="9" t="str">
        <f t="shared" si="964"/>
        <v>PS'!</v>
      </c>
      <c r="F4167" s="5" t="str">
        <f t="shared" si="965"/>
        <v>C:\Users\jaime.benazar\Quorum Business Solutions\Ecopetrol Prometeo - Documents\Planning Space Implementation\3. Analysis &amp; Design\Design\FC22\DRR Jaime\Neiva CPI\[VAO_DINA TERCIARIOS_CF_SEC_20230117.xlsx]CF PS'!</v>
      </c>
      <c r="G4167" s="6" t="s">
        <v>113</v>
      </c>
      <c r="H4167" s="1">
        <f t="shared" si="966"/>
        <v>59</v>
      </c>
      <c r="I4167" s="1" t="str">
        <f t="shared" si="967"/>
        <v>='C:\Users\jaime.benazar\Quorum Business Solutions\Ecopetrol Prometeo - Documents\Planning Space Implementation\3. Analysis &amp; Design\Design\FC22\DRR Jaime\Neiva CPI\[VAO_DINA TERCIARIOS_CF_SEC_20230117.xlsx]CF PS'!$BY$59</v>
      </c>
      <c r="J4167" s="1" t="s">
        <v>1968</v>
      </c>
    </row>
    <row r="4168" spans="1:10" x14ac:dyDescent="0.3">
      <c r="A4168" s="6" t="s">
        <v>24</v>
      </c>
      <c r="B4168" s="6">
        <f t="shared" si="968"/>
        <v>2047</v>
      </c>
      <c r="C4168" s="1" t="s">
        <v>43</v>
      </c>
      <c r="D4168" s="2" t="s">
        <v>131</v>
      </c>
      <c r="E4168" s="9" t="str">
        <f t="shared" si="964"/>
        <v>PS'!</v>
      </c>
      <c r="F4168" s="5" t="str">
        <f t="shared" si="965"/>
        <v>C:\Users\jaime.benazar\Quorum Business Solutions\Ecopetrol Prometeo - Documents\Planning Space Implementation\3. Analysis &amp; Design\Design\FC22\DRR Jaime\Neiva CPI\[VAO_DINA TERCIARIOS_CF_SEC_20230117.xlsx]CF PS'!</v>
      </c>
      <c r="G4168" s="6" t="s">
        <v>113</v>
      </c>
      <c r="H4168" s="1">
        <f t="shared" si="966"/>
        <v>60</v>
      </c>
      <c r="I4168" s="1" t="str">
        <f t="shared" si="967"/>
        <v>='C:\Users\jaime.benazar\Quorum Business Solutions\Ecopetrol Prometeo - Documents\Planning Space Implementation\3. Analysis &amp; Design\Design\FC22\DRR Jaime\Neiva CPI\[VAO_DINA TERCIARIOS_CF_SEC_20230117.xlsx]CF PS'!$BY$60</v>
      </c>
      <c r="J4168" s="1" t="s">
        <v>1969</v>
      </c>
    </row>
    <row r="4169" spans="1:10" x14ac:dyDescent="0.3">
      <c r="A4169" s="6" t="s">
        <v>24</v>
      </c>
      <c r="B4169" s="6">
        <f t="shared" si="968"/>
        <v>2048</v>
      </c>
      <c r="C4169" s="1" t="s">
        <v>43</v>
      </c>
      <c r="D4169" s="2" t="s">
        <v>131</v>
      </c>
      <c r="E4169" s="9" t="str">
        <f t="shared" si="964"/>
        <v>PS'!</v>
      </c>
      <c r="F4169" s="5" t="str">
        <f t="shared" si="965"/>
        <v>C:\Users\jaime.benazar\Quorum Business Solutions\Ecopetrol Prometeo - Documents\Planning Space Implementation\3. Analysis &amp; Design\Design\FC22\DRR Jaime\Neiva CPI\[VAO_DINA TERCIARIOS_CF_SEC_20230117.xlsx]CF PS'!</v>
      </c>
      <c r="G4169" s="6" t="s">
        <v>113</v>
      </c>
      <c r="H4169" s="1">
        <f t="shared" si="966"/>
        <v>61</v>
      </c>
      <c r="I4169" s="1" t="str">
        <f t="shared" si="967"/>
        <v>='C:\Users\jaime.benazar\Quorum Business Solutions\Ecopetrol Prometeo - Documents\Planning Space Implementation\3. Analysis &amp; Design\Design\FC22\DRR Jaime\Neiva CPI\[VAO_DINA TERCIARIOS_CF_SEC_20230117.xlsx]CF PS'!$BY$61</v>
      </c>
      <c r="J4169" s="1" t="s">
        <v>1970</v>
      </c>
    </row>
    <row r="4170" spans="1:10" x14ac:dyDescent="0.3">
      <c r="A4170" s="6" t="s">
        <v>24</v>
      </c>
      <c r="B4170" s="6">
        <f t="shared" si="968"/>
        <v>2049</v>
      </c>
      <c r="C4170" s="1" t="s">
        <v>43</v>
      </c>
      <c r="D4170" s="2" t="s">
        <v>131</v>
      </c>
      <c r="E4170" s="9" t="str">
        <f t="shared" si="964"/>
        <v>PS'!</v>
      </c>
      <c r="F4170" s="5" t="str">
        <f t="shared" si="965"/>
        <v>C:\Users\jaime.benazar\Quorum Business Solutions\Ecopetrol Prometeo - Documents\Planning Space Implementation\3. Analysis &amp; Design\Design\FC22\DRR Jaime\Neiva CPI\[VAO_DINA TERCIARIOS_CF_SEC_20230117.xlsx]CF PS'!</v>
      </c>
      <c r="G4170" s="6" t="s">
        <v>113</v>
      </c>
      <c r="H4170" s="1">
        <f t="shared" si="966"/>
        <v>62</v>
      </c>
      <c r="I4170" s="1" t="str">
        <f t="shared" si="967"/>
        <v>='C:\Users\jaime.benazar\Quorum Business Solutions\Ecopetrol Prometeo - Documents\Planning Space Implementation\3. Analysis &amp; Design\Design\FC22\DRR Jaime\Neiva CPI\[VAO_DINA TERCIARIOS_CF_SEC_20230117.xlsx]CF PS'!$BY$62</v>
      </c>
      <c r="J4170" s="1" t="s">
        <v>1971</v>
      </c>
    </row>
    <row r="4171" spans="1:10" x14ac:dyDescent="0.3">
      <c r="A4171" s="6" t="s">
        <v>24</v>
      </c>
      <c r="B4171" s="6">
        <f t="shared" si="968"/>
        <v>2050</v>
      </c>
      <c r="C4171" s="1" t="s">
        <v>43</v>
      </c>
      <c r="D4171" s="2" t="s">
        <v>131</v>
      </c>
      <c r="E4171" s="9" t="str">
        <f t="shared" si="964"/>
        <v>PS'!</v>
      </c>
      <c r="F4171" s="5" t="str">
        <f t="shared" si="965"/>
        <v>C:\Users\jaime.benazar\Quorum Business Solutions\Ecopetrol Prometeo - Documents\Planning Space Implementation\3. Analysis &amp; Design\Design\FC22\DRR Jaime\Neiva CPI\[VAO_DINA TERCIARIOS_CF_SEC_20230117.xlsx]CF PS'!</v>
      </c>
      <c r="G4171" s="6" t="s">
        <v>113</v>
      </c>
      <c r="H4171" s="1">
        <f t="shared" si="966"/>
        <v>63</v>
      </c>
      <c r="I4171" s="1" t="str">
        <f t="shared" si="967"/>
        <v>='C:\Users\jaime.benazar\Quorum Business Solutions\Ecopetrol Prometeo - Documents\Planning Space Implementation\3. Analysis &amp; Design\Design\FC22\DRR Jaime\Neiva CPI\[VAO_DINA TERCIARIOS_CF_SEC_20230117.xlsx]CF PS'!$BY$63</v>
      </c>
      <c r="J4171" s="1" t="s">
        <v>1972</v>
      </c>
    </row>
    <row r="4172" spans="1:10" x14ac:dyDescent="0.3">
      <c r="A4172" s="6" t="s">
        <v>24</v>
      </c>
      <c r="B4172" s="6">
        <f t="shared" si="968"/>
        <v>2051</v>
      </c>
      <c r="C4172" s="1" t="s">
        <v>43</v>
      </c>
      <c r="D4172" s="2" t="s">
        <v>131</v>
      </c>
      <c r="E4172" s="9" t="str">
        <f t="shared" si="964"/>
        <v>PS'!</v>
      </c>
      <c r="F4172" s="5" t="str">
        <f t="shared" si="965"/>
        <v>C:\Users\jaime.benazar\Quorum Business Solutions\Ecopetrol Prometeo - Documents\Planning Space Implementation\3. Analysis &amp; Design\Design\FC22\DRR Jaime\Neiva CPI\[VAO_DINA TERCIARIOS_CF_SEC_20230117.xlsx]CF PS'!</v>
      </c>
      <c r="G4172" s="6" t="s">
        <v>113</v>
      </c>
      <c r="H4172" s="1">
        <f t="shared" si="966"/>
        <v>64</v>
      </c>
      <c r="I4172" s="1" t="str">
        <f t="shared" si="967"/>
        <v>='C:\Users\jaime.benazar\Quorum Business Solutions\Ecopetrol Prometeo - Documents\Planning Space Implementation\3. Analysis &amp; Design\Design\FC22\DRR Jaime\Neiva CPI\[VAO_DINA TERCIARIOS_CF_SEC_20230117.xlsx]CF PS'!$BY$64</v>
      </c>
      <c r="J4172" s="1" t="s">
        <v>1973</v>
      </c>
    </row>
    <row r="4173" spans="1:10" x14ac:dyDescent="0.3">
      <c r="A4173" s="6" t="s">
        <v>24</v>
      </c>
      <c r="B4173" s="6">
        <f t="shared" si="968"/>
        <v>2052</v>
      </c>
      <c r="C4173" s="1" t="s">
        <v>43</v>
      </c>
      <c r="D4173" s="2" t="s">
        <v>131</v>
      </c>
      <c r="E4173" s="9" t="str">
        <f t="shared" si="964"/>
        <v>PS'!</v>
      </c>
      <c r="F4173" s="5" t="str">
        <f t="shared" si="965"/>
        <v>C:\Users\jaime.benazar\Quorum Business Solutions\Ecopetrol Prometeo - Documents\Planning Space Implementation\3. Analysis &amp; Design\Design\FC22\DRR Jaime\Neiva CPI\[VAO_DINA TERCIARIOS_CF_SEC_20230117.xlsx]CF PS'!</v>
      </c>
      <c r="G4173" s="6" t="s">
        <v>113</v>
      </c>
      <c r="H4173" s="1">
        <f t="shared" si="966"/>
        <v>65</v>
      </c>
      <c r="I4173" s="1" t="str">
        <f t="shared" si="967"/>
        <v>='C:\Users\jaime.benazar\Quorum Business Solutions\Ecopetrol Prometeo - Documents\Planning Space Implementation\3. Analysis &amp; Design\Design\FC22\DRR Jaime\Neiva CPI\[VAO_DINA TERCIARIOS_CF_SEC_20230117.xlsx]CF PS'!$BY$65</v>
      </c>
      <c r="J4173" s="1" t="s">
        <v>1974</v>
      </c>
    </row>
    <row r="4174" spans="1:10" x14ac:dyDescent="0.3">
      <c r="A4174" s="6" t="s">
        <v>24</v>
      </c>
      <c r="B4174" s="6">
        <f t="shared" si="968"/>
        <v>2053</v>
      </c>
      <c r="C4174" s="1" t="s">
        <v>43</v>
      </c>
      <c r="D4174" s="2" t="s">
        <v>131</v>
      </c>
      <c r="E4174" s="9" t="str">
        <f t="shared" si="964"/>
        <v>PS'!</v>
      </c>
      <c r="F4174" s="5" t="str">
        <f t="shared" si="965"/>
        <v>C:\Users\jaime.benazar\Quorum Business Solutions\Ecopetrol Prometeo - Documents\Planning Space Implementation\3. Analysis &amp; Design\Design\FC22\DRR Jaime\Neiva CPI\[VAO_DINA TERCIARIOS_CF_SEC_20230117.xlsx]CF PS'!</v>
      </c>
      <c r="G4174" s="6" t="s">
        <v>113</v>
      </c>
      <c r="H4174" s="1">
        <f t="shared" si="966"/>
        <v>66</v>
      </c>
      <c r="I4174" s="1" t="str">
        <f t="shared" si="967"/>
        <v>='C:\Users\jaime.benazar\Quorum Business Solutions\Ecopetrol Prometeo - Documents\Planning Space Implementation\3. Analysis &amp; Design\Design\FC22\DRR Jaime\Neiva CPI\[VAO_DINA TERCIARIOS_CF_SEC_20230117.xlsx]CF PS'!$BY$66</v>
      </c>
      <c r="J4174" s="1" t="s">
        <v>1975</v>
      </c>
    </row>
    <row r="4175" spans="1:10" x14ac:dyDescent="0.3">
      <c r="A4175" s="6" t="s">
        <v>24</v>
      </c>
      <c r="B4175" s="6">
        <f t="shared" si="968"/>
        <v>2054</v>
      </c>
      <c r="C4175" s="1" t="s">
        <v>43</v>
      </c>
      <c r="D4175" s="2" t="s">
        <v>131</v>
      </c>
      <c r="E4175" s="9" t="str">
        <f t="shared" si="964"/>
        <v>PS'!</v>
      </c>
      <c r="F4175" s="5" t="str">
        <f t="shared" si="965"/>
        <v>C:\Users\jaime.benazar\Quorum Business Solutions\Ecopetrol Prometeo - Documents\Planning Space Implementation\3. Analysis &amp; Design\Design\FC22\DRR Jaime\Neiva CPI\[VAO_DINA TERCIARIOS_CF_SEC_20230117.xlsx]CF PS'!</v>
      </c>
      <c r="G4175" s="6" t="s">
        <v>113</v>
      </c>
      <c r="H4175" s="1">
        <f t="shared" si="966"/>
        <v>67</v>
      </c>
      <c r="I4175" s="1" t="str">
        <f t="shared" si="967"/>
        <v>='C:\Users\jaime.benazar\Quorum Business Solutions\Ecopetrol Prometeo - Documents\Planning Space Implementation\3. Analysis &amp; Design\Design\FC22\DRR Jaime\Neiva CPI\[VAO_DINA TERCIARIOS_CF_SEC_20230117.xlsx]CF PS'!$BY$67</v>
      </c>
      <c r="J4175" s="1" t="s">
        <v>1976</v>
      </c>
    </row>
    <row r="4176" spans="1:10" x14ac:dyDescent="0.3">
      <c r="A4176" s="6" t="s">
        <v>24</v>
      </c>
      <c r="B4176" s="6">
        <f t="shared" si="968"/>
        <v>2055</v>
      </c>
      <c r="C4176" s="1" t="s">
        <v>43</v>
      </c>
      <c r="D4176" s="2" t="s">
        <v>131</v>
      </c>
      <c r="E4176" s="9" t="str">
        <f t="shared" si="964"/>
        <v>PS'!</v>
      </c>
      <c r="F4176" s="5" t="str">
        <f t="shared" si="965"/>
        <v>C:\Users\jaime.benazar\Quorum Business Solutions\Ecopetrol Prometeo - Documents\Planning Space Implementation\3. Analysis &amp; Design\Design\FC22\DRR Jaime\Neiva CPI\[VAO_DINA TERCIARIOS_CF_SEC_20230117.xlsx]CF PS'!</v>
      </c>
      <c r="G4176" s="6" t="s">
        <v>113</v>
      </c>
      <c r="H4176" s="1">
        <f t="shared" si="966"/>
        <v>68</v>
      </c>
      <c r="I4176" s="1" t="str">
        <f t="shared" si="967"/>
        <v>='C:\Users\jaime.benazar\Quorum Business Solutions\Ecopetrol Prometeo - Documents\Planning Space Implementation\3. Analysis &amp; Design\Design\FC22\DRR Jaime\Neiva CPI\[VAO_DINA TERCIARIOS_CF_SEC_20230117.xlsx]CF PS'!$BY$68</v>
      </c>
      <c r="J4176" s="1" t="s">
        <v>1977</v>
      </c>
    </row>
    <row r="4177" spans="1:10" x14ac:dyDescent="0.3">
      <c r="A4177" s="6" t="s">
        <v>24</v>
      </c>
      <c r="B4177" s="6">
        <f t="shared" si="968"/>
        <v>2056</v>
      </c>
      <c r="C4177" s="1" t="s">
        <v>43</v>
      </c>
      <c r="D4177" s="2" t="s">
        <v>131</v>
      </c>
      <c r="E4177" s="9" t="str">
        <f t="shared" si="964"/>
        <v>PS'!</v>
      </c>
      <c r="F4177" s="5" t="str">
        <f t="shared" si="965"/>
        <v>C:\Users\jaime.benazar\Quorum Business Solutions\Ecopetrol Prometeo - Documents\Planning Space Implementation\3. Analysis &amp; Design\Design\FC22\DRR Jaime\Neiva CPI\[VAO_DINA TERCIARIOS_CF_SEC_20230117.xlsx]CF PS'!</v>
      </c>
      <c r="G4177" s="6" t="s">
        <v>113</v>
      </c>
      <c r="H4177" s="1">
        <f t="shared" si="966"/>
        <v>69</v>
      </c>
      <c r="I4177" s="1" t="str">
        <f t="shared" si="967"/>
        <v>='C:\Users\jaime.benazar\Quorum Business Solutions\Ecopetrol Prometeo - Documents\Planning Space Implementation\3. Analysis &amp; Design\Design\FC22\DRR Jaime\Neiva CPI\[VAO_DINA TERCIARIOS_CF_SEC_20230117.xlsx]CF PS'!$BY$69</v>
      </c>
      <c r="J4177" s="1" t="s">
        <v>1978</v>
      </c>
    </row>
    <row r="4178" spans="1:10" x14ac:dyDescent="0.3">
      <c r="A4178" s="6" t="s">
        <v>24</v>
      </c>
      <c r="B4178" s="6">
        <f t="shared" si="968"/>
        <v>2057</v>
      </c>
      <c r="C4178" s="1" t="s">
        <v>43</v>
      </c>
      <c r="D4178" s="2" t="s">
        <v>131</v>
      </c>
      <c r="E4178" s="9" t="str">
        <f t="shared" si="964"/>
        <v>PS'!</v>
      </c>
      <c r="F4178" s="5" t="str">
        <f t="shared" si="965"/>
        <v>C:\Users\jaime.benazar\Quorum Business Solutions\Ecopetrol Prometeo - Documents\Planning Space Implementation\3. Analysis &amp; Design\Design\FC22\DRR Jaime\Neiva CPI\[VAO_DINA TERCIARIOS_CF_SEC_20230117.xlsx]CF PS'!</v>
      </c>
      <c r="G4178" s="6" t="s">
        <v>113</v>
      </c>
      <c r="H4178" s="1">
        <f t="shared" si="966"/>
        <v>70</v>
      </c>
      <c r="I4178" s="1" t="str">
        <f t="shared" si="967"/>
        <v>='C:\Users\jaime.benazar\Quorum Business Solutions\Ecopetrol Prometeo - Documents\Planning Space Implementation\3. Analysis &amp; Design\Design\FC22\DRR Jaime\Neiva CPI\[VAO_DINA TERCIARIOS_CF_SEC_20230117.xlsx]CF PS'!$BY$70</v>
      </c>
      <c r="J4178" s="1" t="s">
        <v>1979</v>
      </c>
    </row>
    <row r="4179" spans="1:10" x14ac:dyDescent="0.3">
      <c r="A4179" s="6" t="s">
        <v>24</v>
      </c>
      <c r="B4179" s="6">
        <f t="shared" si="968"/>
        <v>2058</v>
      </c>
      <c r="C4179" s="1" t="s">
        <v>43</v>
      </c>
      <c r="D4179" s="2" t="s">
        <v>131</v>
      </c>
      <c r="E4179" s="9" t="str">
        <f t="shared" si="964"/>
        <v>PS'!</v>
      </c>
      <c r="F4179" s="5" t="str">
        <f t="shared" si="965"/>
        <v>C:\Users\jaime.benazar\Quorum Business Solutions\Ecopetrol Prometeo - Documents\Planning Space Implementation\3. Analysis &amp; Design\Design\FC22\DRR Jaime\Neiva CPI\[VAO_DINA TERCIARIOS_CF_SEC_20230117.xlsx]CF PS'!</v>
      </c>
      <c r="G4179" s="6" t="s">
        <v>113</v>
      </c>
      <c r="H4179" s="1">
        <f t="shared" si="966"/>
        <v>71</v>
      </c>
      <c r="I4179" s="1" t="str">
        <f t="shared" si="967"/>
        <v>='C:\Users\jaime.benazar\Quorum Business Solutions\Ecopetrol Prometeo - Documents\Planning Space Implementation\3. Analysis &amp; Design\Design\FC22\DRR Jaime\Neiva CPI\[VAO_DINA TERCIARIOS_CF_SEC_20230117.xlsx]CF PS'!$BY$71</v>
      </c>
      <c r="J4179" s="1" t="s">
        <v>1980</v>
      </c>
    </row>
    <row r="4180" spans="1:10" x14ac:dyDescent="0.3">
      <c r="A4180" s="6" t="s">
        <v>24</v>
      </c>
      <c r="B4180" s="6">
        <f t="shared" si="968"/>
        <v>2059</v>
      </c>
      <c r="C4180" s="1" t="s">
        <v>43</v>
      </c>
      <c r="D4180" s="2" t="s">
        <v>131</v>
      </c>
      <c r="E4180" s="9" t="str">
        <f t="shared" si="964"/>
        <v>PS'!</v>
      </c>
      <c r="F4180" s="5" t="str">
        <f t="shared" si="965"/>
        <v>C:\Users\jaime.benazar\Quorum Business Solutions\Ecopetrol Prometeo - Documents\Planning Space Implementation\3. Analysis &amp; Design\Design\FC22\DRR Jaime\Neiva CPI\[VAO_DINA TERCIARIOS_CF_SEC_20230117.xlsx]CF PS'!</v>
      </c>
      <c r="G4180" s="6" t="s">
        <v>113</v>
      </c>
      <c r="H4180" s="1">
        <f t="shared" si="966"/>
        <v>72</v>
      </c>
      <c r="I4180" s="1" t="str">
        <f t="shared" si="967"/>
        <v>='C:\Users\jaime.benazar\Quorum Business Solutions\Ecopetrol Prometeo - Documents\Planning Space Implementation\3. Analysis &amp; Design\Design\FC22\DRR Jaime\Neiva CPI\[VAO_DINA TERCIARIOS_CF_SEC_20230117.xlsx]CF PS'!$BY$72</v>
      </c>
      <c r="J4180" s="1" t="s">
        <v>1981</v>
      </c>
    </row>
    <row r="4181" spans="1:10" x14ac:dyDescent="0.3">
      <c r="A4181" s="6" t="s">
        <v>26</v>
      </c>
      <c r="B4181" s="6"/>
      <c r="C4181" s="1" t="s">
        <v>43</v>
      </c>
      <c r="D4181" s="2"/>
      <c r="E4181" s="9"/>
      <c r="F4181" s="5"/>
      <c r="G4181" s="6"/>
      <c r="H4181" s="1"/>
      <c r="I4181" s="1"/>
      <c r="J4181" s="4"/>
    </row>
    <row r="4182" spans="1:10" x14ac:dyDescent="0.3">
      <c r="A4182" s="32" t="s">
        <v>114</v>
      </c>
      <c r="B4182" s="32" t="s">
        <v>14</v>
      </c>
      <c r="C4182" s="33" t="s">
        <v>115</v>
      </c>
      <c r="D4182" s="34" t="s">
        <v>130</v>
      </c>
      <c r="E4182" s="35" t="str">
        <f t="shared" ref="E4182:E4203" si="969">_xlfn.CONCAT(A4182,"'!")</f>
        <v>Consolidado'!</v>
      </c>
      <c r="F4182" s="34" t="str">
        <f>_xlfn.CONCAT(D4182:E4182)</f>
        <v>C:\Users\jaime.benazar\Quorum Business Solutions\Ecopetrol Prometeo - Documents\Planning Space Implementation\3. Analysis &amp; Design\Design\FC22\DRR Jaime\Neiva CPI\[VAO_DINA TERCIARIOS_CF_SEC_20230117.xlsx]Consolidado'!</v>
      </c>
      <c r="G4182" s="32" t="s">
        <v>116</v>
      </c>
      <c r="H4182" s="33">
        <v>12</v>
      </c>
      <c r="I4182" s="33" t="str">
        <f t="shared" ref="I4182:I4203" si="970">_xlfn.CONCAT("='",F4182:H4182)</f>
        <v>='C:\Users\jaime.benazar\Quorum Business Solutions\Ecopetrol Prometeo - Documents\Planning Space Implementation\3. Analysis &amp; Design\Design\FC22\DRR Jaime\Neiva CPI\[VAO_DINA TERCIARIOS_CF_SEC_20230117.xlsx]Consolidado'!$J$12</v>
      </c>
      <c r="J4182" t="s">
        <v>1982</v>
      </c>
    </row>
    <row r="4183" spans="1:10" x14ac:dyDescent="0.3">
      <c r="A4183" s="32" t="s">
        <v>114</v>
      </c>
      <c r="B4183" s="32" t="s">
        <v>15</v>
      </c>
      <c r="C4183" s="33" t="s">
        <v>115</v>
      </c>
      <c r="D4183" s="34" t="s">
        <v>130</v>
      </c>
      <c r="E4183" s="35" t="str">
        <f t="shared" si="969"/>
        <v>Consolidado'!</v>
      </c>
      <c r="F4183" s="34" t="str">
        <f t="shared" ref="F4183:F4203" si="971">_xlfn.CONCAT(D4183:E4183)</f>
        <v>C:\Users\jaime.benazar\Quorum Business Solutions\Ecopetrol Prometeo - Documents\Planning Space Implementation\3. Analysis &amp; Design\Design\FC22\DRR Jaime\Neiva CPI\[VAO_DINA TERCIARIOS_CF_SEC_20230117.xlsx]Consolidado'!</v>
      </c>
      <c r="G4183" s="32" t="s">
        <v>116</v>
      </c>
      <c r="H4183" s="33">
        <v>13</v>
      </c>
      <c r="I4183" s="33" t="str">
        <f t="shared" si="970"/>
        <v>='C:\Users\jaime.benazar\Quorum Business Solutions\Ecopetrol Prometeo - Documents\Planning Space Implementation\3. Analysis &amp; Design\Design\FC22\DRR Jaime\Neiva CPI\[VAO_DINA TERCIARIOS_CF_SEC_20230117.xlsx]Consolidado'!$J$13</v>
      </c>
      <c r="J4183" t="s">
        <v>1983</v>
      </c>
    </row>
    <row r="4184" spans="1:10" x14ac:dyDescent="0.3">
      <c r="A4184" s="32" t="s">
        <v>114</v>
      </c>
      <c r="B4184" s="32" t="s">
        <v>16</v>
      </c>
      <c r="C4184" s="33" t="s">
        <v>115</v>
      </c>
      <c r="D4184" s="34" t="s">
        <v>130</v>
      </c>
      <c r="E4184" s="35" t="str">
        <f t="shared" si="969"/>
        <v>Consolidado'!</v>
      </c>
      <c r="F4184" s="34" t="str">
        <f t="shared" si="971"/>
        <v>C:\Users\jaime.benazar\Quorum Business Solutions\Ecopetrol Prometeo - Documents\Planning Space Implementation\3. Analysis &amp; Design\Design\FC22\DRR Jaime\Neiva CPI\[VAO_DINA TERCIARIOS_CF_SEC_20230117.xlsx]Consolidado'!</v>
      </c>
      <c r="G4184" s="32" t="s">
        <v>116</v>
      </c>
      <c r="H4184" s="33">
        <v>14</v>
      </c>
      <c r="I4184" s="33" t="str">
        <f t="shared" si="970"/>
        <v>='C:\Users\jaime.benazar\Quorum Business Solutions\Ecopetrol Prometeo - Documents\Planning Space Implementation\3. Analysis &amp; Design\Design\FC22\DRR Jaime\Neiva CPI\[VAO_DINA TERCIARIOS_CF_SEC_20230117.xlsx]Consolidado'!$J$14</v>
      </c>
      <c r="J4184" t="s">
        <v>1984</v>
      </c>
    </row>
    <row r="4185" spans="1:10" x14ac:dyDescent="0.3">
      <c r="A4185" s="32" t="s">
        <v>114</v>
      </c>
      <c r="B4185" s="32" t="s">
        <v>17</v>
      </c>
      <c r="C4185" s="33" t="s">
        <v>115</v>
      </c>
      <c r="D4185" s="34" t="s">
        <v>130</v>
      </c>
      <c r="E4185" s="35" t="str">
        <f t="shared" si="969"/>
        <v>Consolidado'!</v>
      </c>
      <c r="F4185" s="34" t="str">
        <f t="shared" si="971"/>
        <v>C:\Users\jaime.benazar\Quorum Business Solutions\Ecopetrol Prometeo - Documents\Planning Space Implementation\3. Analysis &amp; Design\Design\FC22\DRR Jaime\Neiva CPI\[VAO_DINA TERCIARIOS_CF_SEC_20230117.xlsx]Consolidado'!</v>
      </c>
      <c r="G4185" s="32" t="s">
        <v>116</v>
      </c>
      <c r="H4185" s="33">
        <v>17</v>
      </c>
      <c r="I4185" s="33" t="str">
        <f t="shared" si="970"/>
        <v>='C:\Users\jaime.benazar\Quorum Business Solutions\Ecopetrol Prometeo - Documents\Planning Space Implementation\3. Analysis &amp; Design\Design\FC22\DRR Jaime\Neiva CPI\[VAO_DINA TERCIARIOS_CF_SEC_20230117.xlsx]Consolidado'!$J$17</v>
      </c>
      <c r="J4185" t="s">
        <v>1985</v>
      </c>
    </row>
    <row r="4186" spans="1:10" x14ac:dyDescent="0.3">
      <c r="A4186" s="32" t="s">
        <v>114</v>
      </c>
      <c r="B4186" s="32" t="s">
        <v>18</v>
      </c>
      <c r="C4186" s="33" t="s">
        <v>115</v>
      </c>
      <c r="D4186" s="34" t="s">
        <v>130</v>
      </c>
      <c r="E4186" s="35" t="str">
        <f t="shared" si="969"/>
        <v>Consolidado'!</v>
      </c>
      <c r="F4186" s="34" t="str">
        <f t="shared" si="971"/>
        <v>C:\Users\jaime.benazar\Quorum Business Solutions\Ecopetrol Prometeo - Documents\Planning Space Implementation\3. Analysis &amp; Design\Design\FC22\DRR Jaime\Neiva CPI\[VAO_DINA TERCIARIOS_CF_SEC_20230117.xlsx]Consolidado'!</v>
      </c>
      <c r="G4186" s="32" t="s">
        <v>116</v>
      </c>
      <c r="H4186" s="33">
        <v>18</v>
      </c>
      <c r="I4186" s="33" t="str">
        <f t="shared" si="970"/>
        <v>='C:\Users\jaime.benazar\Quorum Business Solutions\Ecopetrol Prometeo - Documents\Planning Space Implementation\3. Analysis &amp; Design\Design\FC22\DRR Jaime\Neiva CPI\[VAO_DINA TERCIARIOS_CF_SEC_20230117.xlsx]Consolidado'!$J$18</v>
      </c>
      <c r="J4186" t="s">
        <v>1986</v>
      </c>
    </row>
    <row r="4187" spans="1:10" x14ac:dyDescent="0.3">
      <c r="A4187" s="32" t="s">
        <v>114</v>
      </c>
      <c r="B4187" s="32" t="s">
        <v>19</v>
      </c>
      <c r="C4187" s="33" t="s">
        <v>115</v>
      </c>
      <c r="D4187" s="34" t="s">
        <v>130</v>
      </c>
      <c r="E4187" s="35" t="str">
        <f t="shared" si="969"/>
        <v>Consolidado'!</v>
      </c>
      <c r="F4187" s="34"/>
      <c r="G4187" s="32"/>
      <c r="H4187" s="33"/>
      <c r="I4187" s="33"/>
    </row>
    <row r="4188" spans="1:10" x14ac:dyDescent="0.3">
      <c r="A4188" s="32" t="s">
        <v>114</v>
      </c>
      <c r="B4188" s="32" t="s">
        <v>20</v>
      </c>
      <c r="C4188" s="33" t="s">
        <v>115</v>
      </c>
      <c r="D4188" s="34" t="s">
        <v>130</v>
      </c>
      <c r="E4188" s="35" t="str">
        <f t="shared" si="969"/>
        <v>Consolidado'!</v>
      </c>
      <c r="F4188" s="34" t="str">
        <f t="shared" si="971"/>
        <v>C:\Users\jaime.benazar\Quorum Business Solutions\Ecopetrol Prometeo - Documents\Planning Space Implementation\3. Analysis &amp; Design\Design\FC22\DRR Jaime\Neiva CPI\[VAO_DINA TERCIARIOS_CF_SEC_20230117.xlsx]Consolidado'!</v>
      </c>
      <c r="G4188" s="32" t="s">
        <v>116</v>
      </c>
      <c r="H4188" s="33">
        <v>19</v>
      </c>
      <c r="I4188" s="33" t="str">
        <f t="shared" si="970"/>
        <v>='C:\Users\jaime.benazar\Quorum Business Solutions\Ecopetrol Prometeo - Documents\Planning Space Implementation\3. Analysis &amp; Design\Design\FC22\DRR Jaime\Neiva CPI\[VAO_DINA TERCIARIOS_CF_SEC_20230117.xlsx]Consolidado'!$J$19</v>
      </c>
      <c r="J4188" t="s">
        <v>1987</v>
      </c>
    </row>
    <row r="4189" spans="1:10" x14ac:dyDescent="0.3">
      <c r="A4189" s="32" t="s">
        <v>114</v>
      </c>
      <c r="B4189" s="32" t="s">
        <v>21</v>
      </c>
      <c r="C4189" s="33" t="s">
        <v>115</v>
      </c>
      <c r="D4189" s="34" t="s">
        <v>130</v>
      </c>
      <c r="E4189" s="35" t="str">
        <f t="shared" si="969"/>
        <v>Consolidado'!</v>
      </c>
      <c r="F4189" s="34" t="str">
        <f t="shared" si="971"/>
        <v>C:\Users\jaime.benazar\Quorum Business Solutions\Ecopetrol Prometeo - Documents\Planning Space Implementation\3. Analysis &amp; Design\Design\FC22\DRR Jaime\Neiva CPI\[VAO_DINA TERCIARIOS_CF_SEC_20230117.xlsx]Consolidado'!</v>
      </c>
      <c r="G4189" s="32" t="s">
        <v>116</v>
      </c>
      <c r="H4189" s="33">
        <v>21</v>
      </c>
      <c r="I4189" s="33" t="str">
        <f t="shared" si="970"/>
        <v>='C:\Users\jaime.benazar\Quorum Business Solutions\Ecopetrol Prometeo - Documents\Planning Space Implementation\3. Analysis &amp; Design\Design\FC22\DRR Jaime\Neiva CPI\[VAO_DINA TERCIARIOS_CF_SEC_20230117.xlsx]Consolidado'!$J$21</v>
      </c>
      <c r="J4189" t="s">
        <v>1988</v>
      </c>
    </row>
    <row r="4190" spans="1:10" x14ac:dyDescent="0.3">
      <c r="A4190" s="32" t="s">
        <v>114</v>
      </c>
      <c r="B4190" s="32" t="s">
        <v>22</v>
      </c>
      <c r="C4190" s="33" t="s">
        <v>115</v>
      </c>
      <c r="D4190" s="34" t="s">
        <v>130</v>
      </c>
      <c r="E4190" s="35" t="str">
        <f t="shared" si="969"/>
        <v>Consolidado'!</v>
      </c>
      <c r="F4190" s="34" t="str">
        <f t="shared" si="971"/>
        <v>C:\Users\jaime.benazar\Quorum Business Solutions\Ecopetrol Prometeo - Documents\Planning Space Implementation\3. Analysis &amp; Design\Design\FC22\DRR Jaime\Neiva CPI\[VAO_DINA TERCIARIOS_CF_SEC_20230117.xlsx]Consolidado'!</v>
      </c>
      <c r="G4190" s="32" t="s">
        <v>116</v>
      </c>
      <c r="H4190" s="33">
        <v>22</v>
      </c>
      <c r="I4190" s="33" t="str">
        <f t="shared" si="970"/>
        <v>='C:\Users\jaime.benazar\Quorum Business Solutions\Ecopetrol Prometeo - Documents\Planning Space Implementation\3. Analysis &amp; Design\Design\FC22\DRR Jaime\Neiva CPI\[VAO_DINA TERCIARIOS_CF_SEC_20230117.xlsx]Consolidado'!$J$22</v>
      </c>
      <c r="J4190" t="s">
        <v>1989</v>
      </c>
    </row>
    <row r="4191" spans="1:10" x14ac:dyDescent="0.3">
      <c r="A4191" s="32" t="s">
        <v>114</v>
      </c>
      <c r="B4191" s="32" t="s">
        <v>23</v>
      </c>
      <c r="C4191" s="33" t="s">
        <v>115</v>
      </c>
      <c r="D4191" s="34" t="s">
        <v>130</v>
      </c>
      <c r="E4191" s="35" t="str">
        <f t="shared" si="969"/>
        <v>Consolidado'!</v>
      </c>
      <c r="F4191" s="34"/>
      <c r="G4191" s="32"/>
      <c r="H4191" s="33"/>
      <c r="I4191" s="33"/>
    </row>
    <row r="4192" spans="1:10" x14ac:dyDescent="0.3">
      <c r="A4192" s="32" t="s">
        <v>114</v>
      </c>
      <c r="B4192" s="32" t="s">
        <v>24</v>
      </c>
      <c r="C4192" s="33" t="s">
        <v>115</v>
      </c>
      <c r="D4192" s="34" t="s">
        <v>130</v>
      </c>
      <c r="E4192" s="35" t="str">
        <f t="shared" si="969"/>
        <v>Consolidado'!</v>
      </c>
      <c r="F4192" s="34" t="str">
        <f t="shared" si="971"/>
        <v>C:\Users\jaime.benazar\Quorum Business Solutions\Ecopetrol Prometeo - Documents\Planning Space Implementation\3. Analysis &amp; Design\Design\FC22\DRR Jaime\Neiva CPI\[VAO_DINA TERCIARIOS_CF_SEC_20230117.xlsx]Consolidado'!</v>
      </c>
      <c r="G4192" s="32" t="s">
        <v>116</v>
      </c>
      <c r="H4192" s="33">
        <v>23</v>
      </c>
      <c r="I4192" s="33" t="str">
        <f t="shared" si="970"/>
        <v>='C:\Users\jaime.benazar\Quorum Business Solutions\Ecopetrol Prometeo - Documents\Planning Space Implementation\3. Analysis &amp; Design\Design\FC22\DRR Jaime\Neiva CPI\[VAO_DINA TERCIARIOS_CF_SEC_20230117.xlsx]Consolidado'!$J$23</v>
      </c>
      <c r="J4192" t="s">
        <v>1990</v>
      </c>
    </row>
    <row r="4193" spans="1:10" x14ac:dyDescent="0.3">
      <c r="A4193" s="32" t="s">
        <v>114</v>
      </c>
      <c r="B4193" s="32" t="s">
        <v>14</v>
      </c>
      <c r="C4193" s="33" t="s">
        <v>117</v>
      </c>
      <c r="D4193" s="34" t="s">
        <v>130</v>
      </c>
      <c r="E4193" s="35" t="str">
        <f t="shared" si="969"/>
        <v>Consolidado'!</v>
      </c>
      <c r="F4193" s="34" t="str">
        <f t="shared" si="971"/>
        <v>C:\Users\jaime.benazar\Quorum Business Solutions\Ecopetrol Prometeo - Documents\Planning Space Implementation\3. Analysis &amp; Design\Design\FC22\DRR Jaime\Neiva CPI\[VAO_DINA TERCIARIOS_CF_SEC_20230117.xlsx]Consolidado'!</v>
      </c>
      <c r="G4193" s="32" t="s">
        <v>118</v>
      </c>
      <c r="H4193" s="33">
        <v>12</v>
      </c>
      <c r="I4193" s="33" t="str">
        <f t="shared" si="970"/>
        <v>='C:\Users\jaime.benazar\Quorum Business Solutions\Ecopetrol Prometeo - Documents\Planning Space Implementation\3. Analysis &amp; Design\Design\FC22\DRR Jaime\Neiva CPI\[VAO_DINA TERCIARIOS_CF_SEC_20230117.xlsx]Consolidado'!$L$12</v>
      </c>
      <c r="J4193" t="s">
        <v>1991</v>
      </c>
    </row>
    <row r="4194" spans="1:10" x14ac:dyDescent="0.3">
      <c r="A4194" s="32" t="s">
        <v>114</v>
      </c>
      <c r="B4194" s="32" t="s">
        <v>15</v>
      </c>
      <c r="C4194" s="33" t="s">
        <v>117</v>
      </c>
      <c r="D4194" s="34" t="s">
        <v>130</v>
      </c>
      <c r="E4194" s="35" t="str">
        <f t="shared" si="969"/>
        <v>Consolidado'!</v>
      </c>
      <c r="F4194" s="34" t="str">
        <f t="shared" si="971"/>
        <v>C:\Users\jaime.benazar\Quorum Business Solutions\Ecopetrol Prometeo - Documents\Planning Space Implementation\3. Analysis &amp; Design\Design\FC22\DRR Jaime\Neiva CPI\[VAO_DINA TERCIARIOS_CF_SEC_20230117.xlsx]Consolidado'!</v>
      </c>
      <c r="G4194" s="32" t="s">
        <v>118</v>
      </c>
      <c r="H4194" s="33">
        <v>13</v>
      </c>
      <c r="I4194" s="33" t="str">
        <f t="shared" si="970"/>
        <v>='C:\Users\jaime.benazar\Quorum Business Solutions\Ecopetrol Prometeo - Documents\Planning Space Implementation\3. Analysis &amp; Design\Design\FC22\DRR Jaime\Neiva CPI\[VAO_DINA TERCIARIOS_CF_SEC_20230117.xlsx]Consolidado'!$L$13</v>
      </c>
      <c r="J4194" t="s">
        <v>1992</v>
      </c>
    </row>
    <row r="4195" spans="1:10" x14ac:dyDescent="0.3">
      <c r="A4195" s="32" t="s">
        <v>114</v>
      </c>
      <c r="B4195" s="32" t="s">
        <v>16</v>
      </c>
      <c r="C4195" s="33" t="s">
        <v>117</v>
      </c>
      <c r="D4195" s="34" t="s">
        <v>130</v>
      </c>
      <c r="E4195" s="35" t="str">
        <f t="shared" si="969"/>
        <v>Consolidado'!</v>
      </c>
      <c r="F4195" s="34" t="str">
        <f t="shared" si="971"/>
        <v>C:\Users\jaime.benazar\Quorum Business Solutions\Ecopetrol Prometeo - Documents\Planning Space Implementation\3. Analysis &amp; Design\Design\FC22\DRR Jaime\Neiva CPI\[VAO_DINA TERCIARIOS_CF_SEC_20230117.xlsx]Consolidado'!</v>
      </c>
      <c r="G4195" s="32" t="s">
        <v>118</v>
      </c>
      <c r="H4195" s="33">
        <v>14</v>
      </c>
      <c r="I4195" s="33" t="str">
        <f t="shared" si="970"/>
        <v>='C:\Users\jaime.benazar\Quorum Business Solutions\Ecopetrol Prometeo - Documents\Planning Space Implementation\3. Analysis &amp; Design\Design\FC22\DRR Jaime\Neiva CPI\[VAO_DINA TERCIARIOS_CF_SEC_20230117.xlsx]Consolidado'!$L$14</v>
      </c>
      <c r="J4195" t="s">
        <v>1993</v>
      </c>
    </row>
    <row r="4196" spans="1:10" x14ac:dyDescent="0.3">
      <c r="A4196" s="32" t="s">
        <v>114</v>
      </c>
      <c r="B4196" s="32" t="s">
        <v>17</v>
      </c>
      <c r="C4196" s="33" t="s">
        <v>117</v>
      </c>
      <c r="D4196" s="34" t="s">
        <v>130</v>
      </c>
      <c r="E4196" s="35" t="str">
        <f t="shared" si="969"/>
        <v>Consolidado'!</v>
      </c>
      <c r="F4196" s="34" t="str">
        <f t="shared" si="971"/>
        <v>C:\Users\jaime.benazar\Quorum Business Solutions\Ecopetrol Prometeo - Documents\Planning Space Implementation\3. Analysis &amp; Design\Design\FC22\DRR Jaime\Neiva CPI\[VAO_DINA TERCIARIOS_CF_SEC_20230117.xlsx]Consolidado'!</v>
      </c>
      <c r="G4196" s="32" t="s">
        <v>118</v>
      </c>
      <c r="H4196" s="33">
        <v>17</v>
      </c>
      <c r="I4196" s="33" t="str">
        <f t="shared" si="970"/>
        <v>='C:\Users\jaime.benazar\Quorum Business Solutions\Ecopetrol Prometeo - Documents\Planning Space Implementation\3. Analysis &amp; Design\Design\FC22\DRR Jaime\Neiva CPI\[VAO_DINA TERCIARIOS_CF_SEC_20230117.xlsx]Consolidado'!$L$17</v>
      </c>
      <c r="J4196" t="s">
        <v>1994</v>
      </c>
    </row>
    <row r="4197" spans="1:10" x14ac:dyDescent="0.3">
      <c r="A4197" s="32" t="s">
        <v>114</v>
      </c>
      <c r="B4197" s="32" t="s">
        <v>18</v>
      </c>
      <c r="C4197" s="33" t="s">
        <v>117</v>
      </c>
      <c r="D4197" s="34" t="s">
        <v>130</v>
      </c>
      <c r="E4197" s="35" t="str">
        <f t="shared" si="969"/>
        <v>Consolidado'!</v>
      </c>
      <c r="F4197" s="34" t="str">
        <f t="shared" si="971"/>
        <v>C:\Users\jaime.benazar\Quorum Business Solutions\Ecopetrol Prometeo - Documents\Planning Space Implementation\3. Analysis &amp; Design\Design\FC22\DRR Jaime\Neiva CPI\[VAO_DINA TERCIARIOS_CF_SEC_20230117.xlsx]Consolidado'!</v>
      </c>
      <c r="G4197" s="32" t="s">
        <v>118</v>
      </c>
      <c r="H4197" s="33">
        <v>18</v>
      </c>
      <c r="I4197" s="33" t="str">
        <f t="shared" si="970"/>
        <v>='C:\Users\jaime.benazar\Quorum Business Solutions\Ecopetrol Prometeo - Documents\Planning Space Implementation\3. Analysis &amp; Design\Design\FC22\DRR Jaime\Neiva CPI\[VAO_DINA TERCIARIOS_CF_SEC_20230117.xlsx]Consolidado'!$L$18</v>
      </c>
      <c r="J4197" t="s">
        <v>1995</v>
      </c>
    </row>
    <row r="4198" spans="1:10" x14ac:dyDescent="0.3">
      <c r="A4198" s="32" t="s">
        <v>114</v>
      </c>
      <c r="B4198" s="32" t="s">
        <v>19</v>
      </c>
      <c r="C4198" s="33" t="s">
        <v>117</v>
      </c>
      <c r="D4198" s="34" t="s">
        <v>130</v>
      </c>
      <c r="E4198" s="35" t="str">
        <f t="shared" si="969"/>
        <v>Consolidado'!</v>
      </c>
      <c r="F4198" s="34"/>
      <c r="G4198" s="32"/>
      <c r="H4198" s="33"/>
      <c r="I4198" s="33"/>
    </row>
    <row r="4199" spans="1:10" x14ac:dyDescent="0.3">
      <c r="A4199" s="32" t="s">
        <v>114</v>
      </c>
      <c r="B4199" s="32" t="s">
        <v>20</v>
      </c>
      <c r="C4199" s="33" t="s">
        <v>117</v>
      </c>
      <c r="D4199" s="34" t="s">
        <v>130</v>
      </c>
      <c r="E4199" s="35" t="str">
        <f t="shared" si="969"/>
        <v>Consolidado'!</v>
      </c>
      <c r="F4199" s="34" t="str">
        <f t="shared" si="971"/>
        <v>C:\Users\jaime.benazar\Quorum Business Solutions\Ecopetrol Prometeo - Documents\Planning Space Implementation\3. Analysis &amp; Design\Design\FC22\DRR Jaime\Neiva CPI\[VAO_DINA TERCIARIOS_CF_SEC_20230117.xlsx]Consolidado'!</v>
      </c>
      <c r="G4199" s="32" t="s">
        <v>118</v>
      </c>
      <c r="H4199" s="33">
        <v>19</v>
      </c>
      <c r="I4199" s="33" t="str">
        <f t="shared" si="970"/>
        <v>='C:\Users\jaime.benazar\Quorum Business Solutions\Ecopetrol Prometeo - Documents\Planning Space Implementation\3. Analysis &amp; Design\Design\FC22\DRR Jaime\Neiva CPI\[VAO_DINA TERCIARIOS_CF_SEC_20230117.xlsx]Consolidado'!$L$19</v>
      </c>
      <c r="J4199" t="s">
        <v>1996</v>
      </c>
    </row>
    <row r="4200" spans="1:10" x14ac:dyDescent="0.3">
      <c r="A4200" s="32" t="s">
        <v>114</v>
      </c>
      <c r="B4200" s="32" t="s">
        <v>21</v>
      </c>
      <c r="C4200" s="33" t="s">
        <v>117</v>
      </c>
      <c r="D4200" s="34" t="s">
        <v>130</v>
      </c>
      <c r="E4200" s="35" t="str">
        <f t="shared" si="969"/>
        <v>Consolidado'!</v>
      </c>
      <c r="F4200" s="34" t="str">
        <f t="shared" si="971"/>
        <v>C:\Users\jaime.benazar\Quorum Business Solutions\Ecopetrol Prometeo - Documents\Planning Space Implementation\3. Analysis &amp; Design\Design\FC22\DRR Jaime\Neiva CPI\[VAO_DINA TERCIARIOS_CF_SEC_20230117.xlsx]Consolidado'!</v>
      </c>
      <c r="G4200" s="32" t="s">
        <v>118</v>
      </c>
      <c r="H4200" s="33">
        <v>21</v>
      </c>
      <c r="I4200" s="33" t="str">
        <f t="shared" si="970"/>
        <v>='C:\Users\jaime.benazar\Quorum Business Solutions\Ecopetrol Prometeo - Documents\Planning Space Implementation\3. Analysis &amp; Design\Design\FC22\DRR Jaime\Neiva CPI\[VAO_DINA TERCIARIOS_CF_SEC_20230117.xlsx]Consolidado'!$L$21</v>
      </c>
      <c r="J4200" t="s">
        <v>1997</v>
      </c>
    </row>
    <row r="4201" spans="1:10" x14ac:dyDescent="0.3">
      <c r="A4201" s="32" t="s">
        <v>114</v>
      </c>
      <c r="B4201" s="32" t="s">
        <v>22</v>
      </c>
      <c r="C4201" s="33" t="s">
        <v>117</v>
      </c>
      <c r="D4201" s="34" t="s">
        <v>130</v>
      </c>
      <c r="E4201" s="35" t="str">
        <f t="shared" si="969"/>
        <v>Consolidado'!</v>
      </c>
      <c r="F4201" s="34" t="str">
        <f t="shared" si="971"/>
        <v>C:\Users\jaime.benazar\Quorum Business Solutions\Ecopetrol Prometeo - Documents\Planning Space Implementation\3. Analysis &amp; Design\Design\FC22\DRR Jaime\Neiva CPI\[VAO_DINA TERCIARIOS_CF_SEC_20230117.xlsx]Consolidado'!</v>
      </c>
      <c r="G4201" s="32" t="s">
        <v>118</v>
      </c>
      <c r="H4201" s="33">
        <v>22</v>
      </c>
      <c r="I4201" s="33" t="str">
        <f t="shared" si="970"/>
        <v>='C:\Users\jaime.benazar\Quorum Business Solutions\Ecopetrol Prometeo - Documents\Planning Space Implementation\3. Analysis &amp; Design\Design\FC22\DRR Jaime\Neiva CPI\[VAO_DINA TERCIARIOS_CF_SEC_20230117.xlsx]Consolidado'!$L$22</v>
      </c>
      <c r="J4201" t="s">
        <v>1998</v>
      </c>
    </row>
    <row r="4202" spans="1:10" x14ac:dyDescent="0.3">
      <c r="A4202" s="32" t="s">
        <v>114</v>
      </c>
      <c r="B4202" s="32" t="s">
        <v>23</v>
      </c>
      <c r="C4202" s="33" t="s">
        <v>117</v>
      </c>
      <c r="D4202" s="34" t="s">
        <v>130</v>
      </c>
      <c r="E4202" s="35" t="str">
        <f t="shared" si="969"/>
        <v>Consolidado'!</v>
      </c>
      <c r="F4202" s="34"/>
      <c r="G4202" s="32"/>
      <c r="H4202" s="33"/>
      <c r="I4202" s="33"/>
    </row>
    <row r="4203" spans="1:10" x14ac:dyDescent="0.3">
      <c r="A4203" s="32" t="s">
        <v>114</v>
      </c>
      <c r="B4203" s="32" t="s">
        <v>24</v>
      </c>
      <c r="C4203" s="33" t="s">
        <v>117</v>
      </c>
      <c r="D4203" s="34" t="s">
        <v>130</v>
      </c>
      <c r="E4203" s="35" t="str">
        <f t="shared" si="969"/>
        <v>Consolidado'!</v>
      </c>
      <c r="F4203" s="34" t="str">
        <f t="shared" si="971"/>
        <v>C:\Users\jaime.benazar\Quorum Business Solutions\Ecopetrol Prometeo - Documents\Planning Space Implementation\3. Analysis &amp; Design\Design\FC22\DRR Jaime\Neiva CPI\[VAO_DINA TERCIARIOS_CF_SEC_20230117.xlsx]Consolidado'!</v>
      </c>
      <c r="G4203" s="32" t="s">
        <v>118</v>
      </c>
      <c r="H4203" s="33">
        <v>23</v>
      </c>
      <c r="I4203" s="33" t="str">
        <f t="shared" si="970"/>
        <v>='C:\Users\jaime.benazar\Quorum Business Solutions\Ecopetrol Prometeo - Documents\Planning Space Implementation\3. Analysis &amp; Design\Design\FC22\DRR Jaime\Neiva CPI\[VAO_DINA TERCIARIOS_CF_SEC_20230117.xlsx]Consolidado'!$L$23</v>
      </c>
      <c r="J4203" t="s">
        <v>1999</v>
      </c>
    </row>
    <row r="4204" spans="1:10" x14ac:dyDescent="0.3">
      <c r="F4204" s="5"/>
    </row>
    <row r="4205" spans="1:10" x14ac:dyDescent="0.3">
      <c r="F4205" s="5"/>
    </row>
    <row r="4206" spans="1:10" x14ac:dyDescent="0.3">
      <c r="F4206" s="5"/>
    </row>
    <row r="4207" spans="1:10" x14ac:dyDescent="0.3">
      <c r="F4207" s="5"/>
    </row>
    <row r="4208" spans="1:10" x14ac:dyDescent="0.3">
      <c r="F4208" s="5"/>
    </row>
    <row r="4209" spans="6:6" x14ac:dyDescent="0.3">
      <c r="F4209" s="5"/>
    </row>
    <row r="4210" spans="6:6" x14ac:dyDescent="0.3">
      <c r="F4210" s="5"/>
    </row>
    <row r="4211" spans="6:6" x14ac:dyDescent="0.3">
      <c r="F4211" s="5"/>
    </row>
    <row r="4212" spans="6:6" x14ac:dyDescent="0.3">
      <c r="F4212" s="5"/>
    </row>
    <row r="4213" spans="6:6" x14ac:dyDescent="0.3">
      <c r="F4213" s="5"/>
    </row>
    <row r="4214" spans="6:6" x14ac:dyDescent="0.3">
      <c r="F4214" s="5"/>
    </row>
    <row r="4215" spans="6:6" x14ac:dyDescent="0.3">
      <c r="F4215" s="5"/>
    </row>
    <row r="4216" spans="6:6" x14ac:dyDescent="0.3">
      <c r="F4216" s="5"/>
    </row>
    <row r="4217" spans="6:6" x14ac:dyDescent="0.3">
      <c r="F4217" s="5"/>
    </row>
    <row r="4218" spans="6:6" x14ac:dyDescent="0.3">
      <c r="F4218" s="5"/>
    </row>
    <row r="4219" spans="6:6" x14ac:dyDescent="0.3">
      <c r="F4219" s="5"/>
    </row>
    <row r="4220" spans="6:6" x14ac:dyDescent="0.3">
      <c r="F4220" s="5"/>
    </row>
    <row r="4221" spans="6:6" x14ac:dyDescent="0.3">
      <c r="F4221" s="5"/>
    </row>
    <row r="4222" spans="6:6" x14ac:dyDescent="0.3">
      <c r="F4222" s="5"/>
    </row>
    <row r="4223" spans="6:6" x14ac:dyDescent="0.3">
      <c r="F4223" s="5"/>
    </row>
    <row r="4224" spans="6:6" x14ac:dyDescent="0.3">
      <c r="F4224" s="5"/>
    </row>
    <row r="4225" spans="6:6" x14ac:dyDescent="0.3">
      <c r="F4225" s="5"/>
    </row>
    <row r="4226" spans="6:6" x14ac:dyDescent="0.3">
      <c r="F4226" s="5"/>
    </row>
    <row r="4227" spans="6:6" x14ac:dyDescent="0.3">
      <c r="F4227" s="5"/>
    </row>
    <row r="4228" spans="6:6" x14ac:dyDescent="0.3">
      <c r="F4228" s="5"/>
    </row>
    <row r="4229" spans="6:6" x14ac:dyDescent="0.3">
      <c r="F4229" s="5"/>
    </row>
    <row r="4230" spans="6:6" x14ac:dyDescent="0.3">
      <c r="F4230" s="5"/>
    </row>
    <row r="4231" spans="6:6" x14ac:dyDescent="0.3">
      <c r="F4231" s="5"/>
    </row>
    <row r="4232" spans="6:6" x14ac:dyDescent="0.3">
      <c r="F4232" s="5"/>
    </row>
    <row r="4233" spans="6:6" x14ac:dyDescent="0.3">
      <c r="F4233" s="5"/>
    </row>
    <row r="4234" spans="6:6" x14ac:dyDescent="0.3">
      <c r="F4234" s="5"/>
    </row>
    <row r="4235" spans="6:6" x14ac:dyDescent="0.3">
      <c r="F4235" s="5"/>
    </row>
    <row r="4236" spans="6:6" x14ac:dyDescent="0.3">
      <c r="F4236" s="5"/>
    </row>
    <row r="4237" spans="6:6" x14ac:dyDescent="0.3">
      <c r="F4237" s="5"/>
    </row>
    <row r="4238" spans="6:6" x14ac:dyDescent="0.3">
      <c r="F4238" s="5"/>
    </row>
    <row r="4239" spans="6:6" x14ac:dyDescent="0.3">
      <c r="F4239" s="5"/>
    </row>
    <row r="4240" spans="6:6" x14ac:dyDescent="0.3">
      <c r="F4240" s="5"/>
    </row>
    <row r="4241" spans="6:6" x14ac:dyDescent="0.3">
      <c r="F4241" s="5"/>
    </row>
    <row r="4242" spans="6:6" x14ac:dyDescent="0.3">
      <c r="F4242" s="5"/>
    </row>
    <row r="4243" spans="6:6" x14ac:dyDescent="0.3">
      <c r="F4243" s="5"/>
    </row>
    <row r="4244" spans="6:6" x14ac:dyDescent="0.3">
      <c r="F4244" s="5"/>
    </row>
    <row r="4245" spans="6:6" x14ac:dyDescent="0.3">
      <c r="F4245" s="5"/>
    </row>
    <row r="4246" spans="6:6" x14ac:dyDescent="0.3">
      <c r="F4246" s="5"/>
    </row>
    <row r="4247" spans="6:6" x14ac:dyDescent="0.3">
      <c r="F4247" s="5"/>
    </row>
    <row r="4248" spans="6:6" x14ac:dyDescent="0.3">
      <c r="F4248" s="5"/>
    </row>
    <row r="4249" spans="6:6" x14ac:dyDescent="0.3">
      <c r="F4249" s="5"/>
    </row>
    <row r="4250" spans="6:6" x14ac:dyDescent="0.3">
      <c r="F4250" s="5"/>
    </row>
    <row r="4251" spans="6:6" x14ac:dyDescent="0.3">
      <c r="F4251" s="5"/>
    </row>
    <row r="4252" spans="6:6" x14ac:dyDescent="0.3">
      <c r="F4252" s="5"/>
    </row>
    <row r="4253" spans="6:6" x14ac:dyDescent="0.3">
      <c r="F4253" s="5"/>
    </row>
    <row r="4254" spans="6:6" x14ac:dyDescent="0.3">
      <c r="F4254" s="5"/>
    </row>
    <row r="4255" spans="6:6" x14ac:dyDescent="0.3">
      <c r="F4255" s="5"/>
    </row>
    <row r="4256" spans="6:6" x14ac:dyDescent="0.3">
      <c r="F4256" s="5"/>
    </row>
    <row r="4257" spans="6:6" x14ac:dyDescent="0.3">
      <c r="F4257" s="5"/>
    </row>
    <row r="4258" spans="6:6" x14ac:dyDescent="0.3">
      <c r="F4258" s="5"/>
    </row>
    <row r="4259" spans="6:6" x14ac:dyDescent="0.3">
      <c r="F4259" s="5"/>
    </row>
    <row r="4260" spans="6:6" x14ac:dyDescent="0.3">
      <c r="F4260" s="5"/>
    </row>
    <row r="4261" spans="6:6" x14ac:dyDescent="0.3">
      <c r="F4261" s="5"/>
    </row>
    <row r="4262" spans="6:6" x14ac:dyDescent="0.3">
      <c r="F4262" s="5"/>
    </row>
    <row r="4263" spans="6:6" x14ac:dyDescent="0.3">
      <c r="F4263" s="5"/>
    </row>
    <row r="4264" spans="6:6" x14ac:dyDescent="0.3">
      <c r="F4264" s="5"/>
    </row>
    <row r="4265" spans="6:6" x14ac:dyDescent="0.3">
      <c r="F4265" s="5"/>
    </row>
    <row r="4266" spans="6:6" x14ac:dyDescent="0.3">
      <c r="F4266" s="5"/>
    </row>
    <row r="4267" spans="6:6" x14ac:dyDescent="0.3">
      <c r="F4267" s="5"/>
    </row>
    <row r="4268" spans="6:6" x14ac:dyDescent="0.3">
      <c r="F4268" s="5"/>
    </row>
    <row r="4269" spans="6:6" x14ac:dyDescent="0.3">
      <c r="F4269" s="5"/>
    </row>
    <row r="4270" spans="6:6" x14ac:dyDescent="0.3">
      <c r="F4270" s="5"/>
    </row>
    <row r="4271" spans="6:6" x14ac:dyDescent="0.3">
      <c r="F4271" s="5"/>
    </row>
    <row r="4272" spans="6:6" x14ac:dyDescent="0.3">
      <c r="F4272" s="5"/>
    </row>
    <row r="4273" spans="6:6" x14ac:dyDescent="0.3">
      <c r="F4273" s="5"/>
    </row>
    <row r="4274" spans="6:6" x14ac:dyDescent="0.3">
      <c r="F4274" s="5"/>
    </row>
    <row r="4275" spans="6:6" x14ac:dyDescent="0.3">
      <c r="F4275" s="5"/>
    </row>
    <row r="4276" spans="6:6" x14ac:dyDescent="0.3">
      <c r="F4276" s="5"/>
    </row>
    <row r="4277" spans="6:6" x14ac:dyDescent="0.3">
      <c r="F4277" s="2"/>
    </row>
    <row r="4278" spans="6:6" x14ac:dyDescent="0.3">
      <c r="F4278" s="5"/>
    </row>
    <row r="4279" spans="6:6" x14ac:dyDescent="0.3">
      <c r="F4279" s="5"/>
    </row>
    <row r="4280" spans="6:6" x14ac:dyDescent="0.3">
      <c r="F4280" s="5"/>
    </row>
    <row r="4281" spans="6:6" x14ac:dyDescent="0.3">
      <c r="F4281" s="5"/>
    </row>
    <row r="4282" spans="6:6" x14ac:dyDescent="0.3">
      <c r="F4282" s="5"/>
    </row>
    <row r="4283" spans="6:6" x14ac:dyDescent="0.3">
      <c r="F4283" s="5"/>
    </row>
    <row r="4284" spans="6:6" x14ac:dyDescent="0.3">
      <c r="F4284" s="5"/>
    </row>
    <row r="4285" spans="6:6" x14ac:dyDescent="0.3">
      <c r="F4285" s="5"/>
    </row>
    <row r="4286" spans="6:6" x14ac:dyDescent="0.3">
      <c r="F4286" s="5"/>
    </row>
    <row r="4287" spans="6:6" x14ac:dyDescent="0.3">
      <c r="F4287" s="5"/>
    </row>
    <row r="4288" spans="6:6" x14ac:dyDescent="0.3">
      <c r="F4288" s="5"/>
    </row>
    <row r="4289" spans="6:6" x14ac:dyDescent="0.3">
      <c r="F4289" s="5"/>
    </row>
    <row r="4290" spans="6:6" x14ac:dyDescent="0.3">
      <c r="F4290" s="5"/>
    </row>
    <row r="4291" spans="6:6" x14ac:dyDescent="0.3">
      <c r="F4291" s="5"/>
    </row>
    <row r="4292" spans="6:6" x14ac:dyDescent="0.3">
      <c r="F4292" s="5"/>
    </row>
    <row r="4293" spans="6:6" x14ac:dyDescent="0.3">
      <c r="F4293" s="5"/>
    </row>
    <row r="4294" spans="6:6" x14ac:dyDescent="0.3">
      <c r="F4294" s="5"/>
    </row>
    <row r="4295" spans="6:6" x14ac:dyDescent="0.3">
      <c r="F4295" s="5"/>
    </row>
    <row r="4296" spans="6:6" x14ac:dyDescent="0.3">
      <c r="F4296" s="5"/>
    </row>
    <row r="4297" spans="6:6" x14ac:dyDescent="0.3">
      <c r="F4297" s="5"/>
    </row>
    <row r="4298" spans="6:6" x14ac:dyDescent="0.3">
      <c r="F4298" s="5"/>
    </row>
    <row r="4299" spans="6:6" x14ac:dyDescent="0.3">
      <c r="F4299" s="5"/>
    </row>
    <row r="4300" spans="6:6" x14ac:dyDescent="0.3">
      <c r="F4300" s="5"/>
    </row>
    <row r="4301" spans="6:6" x14ac:dyDescent="0.3">
      <c r="F4301" s="5"/>
    </row>
    <row r="4302" spans="6:6" x14ac:dyDescent="0.3">
      <c r="F4302" s="5"/>
    </row>
    <row r="4303" spans="6:6" x14ac:dyDescent="0.3">
      <c r="F4303" s="5"/>
    </row>
    <row r="4304" spans="6:6" x14ac:dyDescent="0.3">
      <c r="F4304" s="5"/>
    </row>
    <row r="4305" spans="6:6" x14ac:dyDescent="0.3">
      <c r="F4305" s="5"/>
    </row>
    <row r="4306" spans="6:6" x14ac:dyDescent="0.3">
      <c r="F4306" s="5"/>
    </row>
    <row r="4307" spans="6:6" x14ac:dyDescent="0.3">
      <c r="F4307" s="5"/>
    </row>
    <row r="4308" spans="6:6" x14ac:dyDescent="0.3">
      <c r="F4308" s="5"/>
    </row>
    <row r="4309" spans="6:6" x14ac:dyDescent="0.3">
      <c r="F4309" s="5"/>
    </row>
    <row r="4310" spans="6:6" x14ac:dyDescent="0.3">
      <c r="F4310" s="5"/>
    </row>
    <row r="4311" spans="6:6" x14ac:dyDescent="0.3">
      <c r="F4311" s="5"/>
    </row>
    <row r="4312" spans="6:6" x14ac:dyDescent="0.3">
      <c r="F4312" s="5"/>
    </row>
    <row r="4313" spans="6:6" x14ac:dyDescent="0.3">
      <c r="F4313" s="5"/>
    </row>
    <row r="4314" spans="6:6" x14ac:dyDescent="0.3">
      <c r="F4314" s="5"/>
    </row>
    <row r="4315" spans="6:6" x14ac:dyDescent="0.3">
      <c r="F4315" s="5"/>
    </row>
    <row r="4316" spans="6:6" x14ac:dyDescent="0.3">
      <c r="F4316" s="5"/>
    </row>
    <row r="4317" spans="6:6" x14ac:dyDescent="0.3">
      <c r="F4317" s="5"/>
    </row>
    <row r="4318" spans="6:6" x14ac:dyDescent="0.3">
      <c r="F4318" s="5"/>
    </row>
    <row r="4319" spans="6:6" x14ac:dyDescent="0.3">
      <c r="F4319" s="5"/>
    </row>
    <row r="4320" spans="6:6" x14ac:dyDescent="0.3">
      <c r="F4320" s="5"/>
    </row>
    <row r="4321" spans="6:6" x14ac:dyDescent="0.3">
      <c r="F4321" s="5"/>
    </row>
    <row r="4322" spans="6:6" x14ac:dyDescent="0.3">
      <c r="F4322" s="5"/>
    </row>
    <row r="4323" spans="6:6" x14ac:dyDescent="0.3">
      <c r="F4323" s="5"/>
    </row>
    <row r="4324" spans="6:6" x14ac:dyDescent="0.3">
      <c r="F4324" s="5"/>
    </row>
    <row r="4325" spans="6:6" x14ac:dyDescent="0.3">
      <c r="F4325" s="2"/>
    </row>
    <row r="4326" spans="6:6" x14ac:dyDescent="0.3">
      <c r="F4326" s="5"/>
    </row>
    <row r="4327" spans="6:6" x14ac:dyDescent="0.3">
      <c r="F4327" s="5"/>
    </row>
    <row r="4328" spans="6:6" x14ac:dyDescent="0.3">
      <c r="F4328" s="5"/>
    </row>
    <row r="4329" spans="6:6" x14ac:dyDescent="0.3">
      <c r="F4329" s="5"/>
    </row>
    <row r="4330" spans="6:6" x14ac:dyDescent="0.3">
      <c r="F4330" s="5"/>
    </row>
    <row r="4331" spans="6:6" x14ac:dyDescent="0.3">
      <c r="F4331" s="5"/>
    </row>
    <row r="4332" spans="6:6" x14ac:dyDescent="0.3">
      <c r="F4332" s="5"/>
    </row>
    <row r="4333" spans="6:6" x14ac:dyDescent="0.3">
      <c r="F4333" s="5"/>
    </row>
    <row r="4334" spans="6:6" x14ac:dyDescent="0.3">
      <c r="F4334" s="5"/>
    </row>
    <row r="4335" spans="6:6" x14ac:dyDescent="0.3">
      <c r="F4335" s="5"/>
    </row>
    <row r="4336" spans="6:6" x14ac:dyDescent="0.3">
      <c r="F4336" s="5"/>
    </row>
    <row r="4337" spans="6:6" x14ac:dyDescent="0.3">
      <c r="F4337" s="5"/>
    </row>
    <row r="4338" spans="6:6" x14ac:dyDescent="0.3">
      <c r="F4338" s="5"/>
    </row>
    <row r="4339" spans="6:6" x14ac:dyDescent="0.3">
      <c r="F4339" s="5"/>
    </row>
    <row r="4340" spans="6:6" x14ac:dyDescent="0.3">
      <c r="F4340" s="5"/>
    </row>
    <row r="4341" spans="6:6" x14ac:dyDescent="0.3">
      <c r="F4341" s="5"/>
    </row>
    <row r="4342" spans="6:6" x14ac:dyDescent="0.3">
      <c r="F4342" s="5"/>
    </row>
    <row r="4343" spans="6:6" x14ac:dyDescent="0.3">
      <c r="F4343" s="5"/>
    </row>
    <row r="4344" spans="6:6" x14ac:dyDescent="0.3">
      <c r="F4344" s="5"/>
    </row>
    <row r="4345" spans="6:6" x14ac:dyDescent="0.3">
      <c r="F4345" s="5"/>
    </row>
    <row r="4346" spans="6:6" x14ac:dyDescent="0.3">
      <c r="F4346" s="5"/>
    </row>
    <row r="4347" spans="6:6" x14ac:dyDescent="0.3">
      <c r="F4347" s="5"/>
    </row>
    <row r="4348" spans="6:6" x14ac:dyDescent="0.3">
      <c r="F4348" s="5"/>
    </row>
    <row r="4349" spans="6:6" x14ac:dyDescent="0.3">
      <c r="F4349" s="5"/>
    </row>
    <row r="4350" spans="6:6" x14ac:dyDescent="0.3">
      <c r="F4350" s="5"/>
    </row>
    <row r="4351" spans="6:6" x14ac:dyDescent="0.3">
      <c r="F4351" s="5"/>
    </row>
    <row r="4352" spans="6:6" x14ac:dyDescent="0.3">
      <c r="F4352" s="5"/>
    </row>
    <row r="4353" spans="6:6" x14ac:dyDescent="0.3">
      <c r="F4353" s="5"/>
    </row>
    <row r="4354" spans="6:6" x14ac:dyDescent="0.3">
      <c r="F4354" s="5"/>
    </row>
    <row r="4355" spans="6:6" x14ac:dyDescent="0.3">
      <c r="F4355" s="5"/>
    </row>
    <row r="4356" spans="6:6" x14ac:dyDescent="0.3">
      <c r="F4356" s="5"/>
    </row>
    <row r="4357" spans="6:6" x14ac:dyDescent="0.3">
      <c r="F4357" s="5"/>
    </row>
    <row r="4358" spans="6:6" x14ac:dyDescent="0.3">
      <c r="F4358" s="5"/>
    </row>
    <row r="4359" spans="6:6" x14ac:dyDescent="0.3">
      <c r="F4359" s="5"/>
    </row>
    <row r="4360" spans="6:6" x14ac:dyDescent="0.3">
      <c r="F4360" s="5"/>
    </row>
    <row r="4361" spans="6:6" x14ac:dyDescent="0.3">
      <c r="F4361" s="5"/>
    </row>
    <row r="4362" spans="6:6" x14ac:dyDescent="0.3">
      <c r="F4362" s="5"/>
    </row>
    <row r="4363" spans="6:6" x14ac:dyDescent="0.3">
      <c r="F4363" s="5"/>
    </row>
    <row r="4364" spans="6:6" x14ac:dyDescent="0.3">
      <c r="F4364" s="5"/>
    </row>
    <row r="4365" spans="6:6" x14ac:dyDescent="0.3">
      <c r="F4365" s="5"/>
    </row>
    <row r="4366" spans="6:6" x14ac:dyDescent="0.3">
      <c r="F4366" s="5"/>
    </row>
    <row r="4367" spans="6:6" x14ac:dyDescent="0.3">
      <c r="F4367" s="5"/>
    </row>
    <row r="4368" spans="6:6" x14ac:dyDescent="0.3">
      <c r="F4368" s="5"/>
    </row>
    <row r="4369" spans="6:6" x14ac:dyDescent="0.3">
      <c r="F4369" s="5"/>
    </row>
    <row r="4370" spans="6:6" x14ac:dyDescent="0.3">
      <c r="F4370" s="5"/>
    </row>
    <row r="4371" spans="6:6" x14ac:dyDescent="0.3">
      <c r="F4371" s="5"/>
    </row>
    <row r="4372" spans="6:6" x14ac:dyDescent="0.3">
      <c r="F4372" s="5"/>
    </row>
    <row r="4373" spans="6:6" x14ac:dyDescent="0.3">
      <c r="F4373" s="2"/>
    </row>
    <row r="4374" spans="6:6" x14ac:dyDescent="0.3">
      <c r="F4374" s="5"/>
    </row>
    <row r="4375" spans="6:6" x14ac:dyDescent="0.3">
      <c r="F4375" s="5"/>
    </row>
    <row r="4376" spans="6:6" x14ac:dyDescent="0.3">
      <c r="F4376" s="5"/>
    </row>
    <row r="4377" spans="6:6" x14ac:dyDescent="0.3">
      <c r="F4377" s="5"/>
    </row>
    <row r="4378" spans="6:6" x14ac:dyDescent="0.3">
      <c r="F4378" s="5"/>
    </row>
    <row r="4379" spans="6:6" x14ac:dyDescent="0.3">
      <c r="F4379" s="5"/>
    </row>
    <row r="4380" spans="6:6" x14ac:dyDescent="0.3">
      <c r="F4380" s="5"/>
    </row>
    <row r="4381" spans="6:6" x14ac:dyDescent="0.3">
      <c r="F4381" s="5"/>
    </row>
    <row r="4382" spans="6:6" x14ac:dyDescent="0.3">
      <c r="F4382" s="5"/>
    </row>
    <row r="4383" spans="6:6" x14ac:dyDescent="0.3">
      <c r="F4383" s="5"/>
    </row>
    <row r="4384" spans="6:6" x14ac:dyDescent="0.3">
      <c r="F4384" s="5"/>
    </row>
    <row r="4385" spans="6:6" x14ac:dyDescent="0.3">
      <c r="F4385" s="5"/>
    </row>
    <row r="4386" spans="6:6" x14ac:dyDescent="0.3">
      <c r="F4386" s="5"/>
    </row>
    <row r="4387" spans="6:6" x14ac:dyDescent="0.3">
      <c r="F4387" s="5"/>
    </row>
    <row r="4388" spans="6:6" x14ac:dyDescent="0.3">
      <c r="F4388" s="5"/>
    </row>
    <row r="4389" spans="6:6" x14ac:dyDescent="0.3">
      <c r="F4389" s="5"/>
    </row>
    <row r="4390" spans="6:6" x14ac:dyDescent="0.3">
      <c r="F4390" s="5"/>
    </row>
    <row r="4391" spans="6:6" x14ac:dyDescent="0.3">
      <c r="F4391" s="5"/>
    </row>
    <row r="4392" spans="6:6" x14ac:dyDescent="0.3">
      <c r="F4392" s="5"/>
    </row>
    <row r="4393" spans="6:6" x14ac:dyDescent="0.3">
      <c r="F4393" s="5"/>
    </row>
    <row r="4394" spans="6:6" x14ac:dyDescent="0.3">
      <c r="F4394" s="5"/>
    </row>
    <row r="4395" spans="6:6" x14ac:dyDescent="0.3">
      <c r="F4395" s="5"/>
    </row>
    <row r="4396" spans="6:6" x14ac:dyDescent="0.3">
      <c r="F4396" s="5"/>
    </row>
    <row r="4397" spans="6:6" x14ac:dyDescent="0.3">
      <c r="F4397" s="5"/>
    </row>
    <row r="4398" spans="6:6" x14ac:dyDescent="0.3">
      <c r="F4398" s="5"/>
    </row>
    <row r="4399" spans="6:6" x14ac:dyDescent="0.3">
      <c r="F4399" s="5"/>
    </row>
    <row r="4400" spans="6:6" x14ac:dyDescent="0.3">
      <c r="F4400" s="5"/>
    </row>
    <row r="4401" spans="6:6" x14ac:dyDescent="0.3">
      <c r="F4401" s="5"/>
    </row>
    <row r="4402" spans="6:6" x14ac:dyDescent="0.3">
      <c r="F4402" s="5"/>
    </row>
    <row r="4403" spans="6:6" x14ac:dyDescent="0.3">
      <c r="F4403" s="5"/>
    </row>
    <row r="4404" spans="6:6" x14ac:dyDescent="0.3">
      <c r="F4404" s="5"/>
    </row>
    <row r="4405" spans="6:6" x14ac:dyDescent="0.3">
      <c r="F4405" s="5"/>
    </row>
    <row r="4406" spans="6:6" x14ac:dyDescent="0.3">
      <c r="F4406" s="5"/>
    </row>
    <row r="4407" spans="6:6" x14ac:dyDescent="0.3">
      <c r="F4407" s="5"/>
    </row>
    <row r="4408" spans="6:6" x14ac:dyDescent="0.3">
      <c r="F4408" s="5"/>
    </row>
    <row r="4409" spans="6:6" x14ac:dyDescent="0.3">
      <c r="F4409" s="5"/>
    </row>
    <row r="4410" spans="6:6" x14ac:dyDescent="0.3">
      <c r="F4410" s="5"/>
    </row>
    <row r="4411" spans="6:6" x14ac:dyDescent="0.3">
      <c r="F4411" s="5"/>
    </row>
    <row r="4412" spans="6:6" x14ac:dyDescent="0.3">
      <c r="F4412" s="5"/>
    </row>
    <row r="4413" spans="6:6" x14ac:dyDescent="0.3">
      <c r="F4413" s="5"/>
    </row>
    <row r="4414" spans="6:6" x14ac:dyDescent="0.3">
      <c r="F4414" s="5"/>
    </row>
    <row r="4415" spans="6:6" x14ac:dyDescent="0.3">
      <c r="F4415" s="5"/>
    </row>
    <row r="4416" spans="6:6" x14ac:dyDescent="0.3">
      <c r="F4416" s="5"/>
    </row>
    <row r="4417" spans="6:6" x14ac:dyDescent="0.3">
      <c r="F4417" s="5"/>
    </row>
    <row r="4418" spans="6:6" x14ac:dyDescent="0.3">
      <c r="F4418" s="5"/>
    </row>
    <row r="4419" spans="6:6" x14ac:dyDescent="0.3">
      <c r="F4419" s="5"/>
    </row>
    <row r="4420" spans="6:6" x14ac:dyDescent="0.3">
      <c r="F4420" s="5"/>
    </row>
    <row r="4421" spans="6:6" x14ac:dyDescent="0.3">
      <c r="F4421" s="2"/>
    </row>
    <row r="4422" spans="6:6" x14ac:dyDescent="0.3">
      <c r="F4422" s="5"/>
    </row>
    <row r="4423" spans="6:6" x14ac:dyDescent="0.3">
      <c r="F4423" s="5"/>
    </row>
    <row r="4424" spans="6:6" x14ac:dyDescent="0.3">
      <c r="F4424" s="5"/>
    </row>
    <row r="4425" spans="6:6" x14ac:dyDescent="0.3">
      <c r="F4425" s="5"/>
    </row>
    <row r="4426" spans="6:6" x14ac:dyDescent="0.3">
      <c r="F4426" s="5"/>
    </row>
    <row r="4427" spans="6:6" x14ac:dyDescent="0.3">
      <c r="F4427" s="5"/>
    </row>
    <row r="4428" spans="6:6" x14ac:dyDescent="0.3">
      <c r="F4428" s="5"/>
    </row>
    <row r="4429" spans="6:6" x14ac:dyDescent="0.3">
      <c r="F4429" s="5"/>
    </row>
    <row r="4430" spans="6:6" x14ac:dyDescent="0.3">
      <c r="F4430" s="5"/>
    </row>
    <row r="4431" spans="6:6" x14ac:dyDescent="0.3">
      <c r="F4431" s="5"/>
    </row>
    <row r="4432" spans="6:6" x14ac:dyDescent="0.3">
      <c r="F4432" s="5"/>
    </row>
    <row r="4433" spans="6:6" x14ac:dyDescent="0.3">
      <c r="F4433" s="5"/>
    </row>
    <row r="4434" spans="6:6" x14ac:dyDescent="0.3">
      <c r="F4434" s="5"/>
    </row>
    <row r="4435" spans="6:6" x14ac:dyDescent="0.3">
      <c r="F4435" s="5"/>
    </row>
    <row r="4436" spans="6:6" x14ac:dyDescent="0.3">
      <c r="F4436" s="5"/>
    </row>
    <row r="4437" spans="6:6" x14ac:dyDescent="0.3">
      <c r="F4437" s="5"/>
    </row>
    <row r="4438" spans="6:6" x14ac:dyDescent="0.3">
      <c r="F4438" s="5"/>
    </row>
    <row r="4439" spans="6:6" x14ac:dyDescent="0.3">
      <c r="F4439" s="5"/>
    </row>
    <row r="4440" spans="6:6" x14ac:dyDescent="0.3">
      <c r="F4440" s="5"/>
    </row>
    <row r="4441" spans="6:6" x14ac:dyDescent="0.3">
      <c r="F4441" s="5"/>
    </row>
    <row r="4442" spans="6:6" x14ac:dyDescent="0.3">
      <c r="F4442" s="5"/>
    </row>
    <row r="4443" spans="6:6" x14ac:dyDescent="0.3">
      <c r="F4443" s="5"/>
    </row>
    <row r="4444" spans="6:6" x14ac:dyDescent="0.3">
      <c r="F4444" s="5"/>
    </row>
    <row r="4445" spans="6:6" x14ac:dyDescent="0.3">
      <c r="F4445" s="5"/>
    </row>
    <row r="4446" spans="6:6" x14ac:dyDescent="0.3">
      <c r="F4446" s="5"/>
    </row>
    <row r="4447" spans="6:6" x14ac:dyDescent="0.3">
      <c r="F4447" s="5"/>
    </row>
    <row r="4448" spans="6:6" x14ac:dyDescent="0.3">
      <c r="F4448" s="5"/>
    </row>
    <row r="4449" spans="6:6" x14ac:dyDescent="0.3">
      <c r="F4449" s="5"/>
    </row>
    <row r="4450" spans="6:6" x14ac:dyDescent="0.3">
      <c r="F4450" s="5"/>
    </row>
    <row r="4451" spans="6:6" x14ac:dyDescent="0.3">
      <c r="F4451" s="5"/>
    </row>
    <row r="4452" spans="6:6" x14ac:dyDescent="0.3">
      <c r="F4452" s="5"/>
    </row>
    <row r="4453" spans="6:6" x14ac:dyDescent="0.3">
      <c r="F4453" s="5"/>
    </row>
    <row r="4454" spans="6:6" x14ac:dyDescent="0.3">
      <c r="F4454" s="5"/>
    </row>
    <row r="4455" spans="6:6" x14ac:dyDescent="0.3">
      <c r="F4455" s="5"/>
    </row>
    <row r="4456" spans="6:6" x14ac:dyDescent="0.3">
      <c r="F4456" s="5"/>
    </row>
    <row r="4457" spans="6:6" x14ac:dyDescent="0.3">
      <c r="F4457" s="5"/>
    </row>
    <row r="4458" spans="6:6" x14ac:dyDescent="0.3">
      <c r="F4458" s="5"/>
    </row>
    <row r="4459" spans="6:6" x14ac:dyDescent="0.3">
      <c r="F4459" s="5"/>
    </row>
    <row r="4460" spans="6:6" x14ac:dyDescent="0.3">
      <c r="F4460" s="5"/>
    </row>
    <row r="4461" spans="6:6" x14ac:dyDescent="0.3">
      <c r="F4461" s="5"/>
    </row>
    <row r="4462" spans="6:6" x14ac:dyDescent="0.3">
      <c r="F4462" s="5"/>
    </row>
    <row r="4463" spans="6:6" x14ac:dyDescent="0.3">
      <c r="F4463" s="5"/>
    </row>
    <row r="4464" spans="6:6" x14ac:dyDescent="0.3">
      <c r="F4464" s="5"/>
    </row>
    <row r="4465" spans="6:6" x14ac:dyDescent="0.3">
      <c r="F4465" s="5"/>
    </row>
    <row r="4466" spans="6:6" x14ac:dyDescent="0.3">
      <c r="F4466" s="5"/>
    </row>
    <row r="4467" spans="6:6" x14ac:dyDescent="0.3">
      <c r="F4467" s="5"/>
    </row>
    <row r="4468" spans="6:6" x14ac:dyDescent="0.3">
      <c r="F4468" s="5"/>
    </row>
    <row r="4469" spans="6:6" x14ac:dyDescent="0.3">
      <c r="F4469" s="2"/>
    </row>
    <row r="4470" spans="6:6" x14ac:dyDescent="0.3">
      <c r="F4470" s="5"/>
    </row>
    <row r="4471" spans="6:6" x14ac:dyDescent="0.3">
      <c r="F4471" s="5"/>
    </row>
    <row r="4472" spans="6:6" x14ac:dyDescent="0.3">
      <c r="F4472" s="5"/>
    </row>
    <row r="4473" spans="6:6" x14ac:dyDescent="0.3">
      <c r="F4473" s="5"/>
    </row>
    <row r="4474" spans="6:6" x14ac:dyDescent="0.3">
      <c r="F4474" s="5"/>
    </row>
    <row r="4475" spans="6:6" x14ac:dyDescent="0.3">
      <c r="F4475" s="5"/>
    </row>
    <row r="4476" spans="6:6" x14ac:dyDescent="0.3">
      <c r="F4476" s="5"/>
    </row>
    <row r="4477" spans="6:6" x14ac:dyDescent="0.3">
      <c r="F4477" s="5"/>
    </row>
    <row r="4478" spans="6:6" x14ac:dyDescent="0.3">
      <c r="F4478" s="5"/>
    </row>
    <row r="4479" spans="6:6" x14ac:dyDescent="0.3">
      <c r="F4479" s="5"/>
    </row>
    <row r="4480" spans="6:6" x14ac:dyDescent="0.3">
      <c r="F4480" s="5"/>
    </row>
    <row r="4481" spans="6:6" x14ac:dyDescent="0.3">
      <c r="F4481" s="5"/>
    </row>
    <row r="4482" spans="6:6" x14ac:dyDescent="0.3">
      <c r="F4482" s="5"/>
    </row>
    <row r="4483" spans="6:6" x14ac:dyDescent="0.3">
      <c r="F4483" s="5"/>
    </row>
    <row r="4484" spans="6:6" x14ac:dyDescent="0.3">
      <c r="F4484" s="5"/>
    </row>
    <row r="4485" spans="6:6" x14ac:dyDescent="0.3">
      <c r="F4485" s="5"/>
    </row>
    <row r="4486" spans="6:6" x14ac:dyDescent="0.3">
      <c r="F4486" s="5"/>
    </row>
    <row r="4487" spans="6:6" x14ac:dyDescent="0.3">
      <c r="F4487" s="5"/>
    </row>
    <row r="4488" spans="6:6" x14ac:dyDescent="0.3">
      <c r="F4488" s="5"/>
    </row>
    <row r="4489" spans="6:6" x14ac:dyDescent="0.3">
      <c r="F4489" s="5"/>
    </row>
    <row r="4490" spans="6:6" x14ac:dyDescent="0.3">
      <c r="F4490" s="5"/>
    </row>
    <row r="4491" spans="6:6" x14ac:dyDescent="0.3">
      <c r="F4491" s="5"/>
    </row>
    <row r="4492" spans="6:6" x14ac:dyDescent="0.3">
      <c r="F4492" s="5"/>
    </row>
    <row r="4493" spans="6:6" x14ac:dyDescent="0.3">
      <c r="F4493" s="2"/>
    </row>
    <row r="4494" spans="6:6" x14ac:dyDescent="0.3">
      <c r="F4494" s="5"/>
    </row>
    <row r="4495" spans="6:6" x14ac:dyDescent="0.3">
      <c r="F4495" s="5"/>
    </row>
    <row r="4496" spans="6:6" x14ac:dyDescent="0.3">
      <c r="F4496" s="5"/>
    </row>
    <row r="4497" spans="6:6" x14ac:dyDescent="0.3">
      <c r="F4497" s="5"/>
    </row>
    <row r="4498" spans="6:6" x14ac:dyDescent="0.3">
      <c r="F4498" s="5"/>
    </row>
    <row r="4499" spans="6:6" x14ac:dyDescent="0.3">
      <c r="F4499" s="5"/>
    </row>
    <row r="4500" spans="6:6" x14ac:dyDescent="0.3">
      <c r="F4500" s="5"/>
    </row>
    <row r="4501" spans="6:6" x14ac:dyDescent="0.3">
      <c r="F4501" s="5"/>
    </row>
    <row r="4502" spans="6:6" x14ac:dyDescent="0.3">
      <c r="F4502" s="5"/>
    </row>
    <row r="4503" spans="6:6" x14ac:dyDescent="0.3">
      <c r="F4503" s="5"/>
    </row>
    <row r="4504" spans="6:6" x14ac:dyDescent="0.3">
      <c r="F4504" s="5"/>
    </row>
    <row r="4505" spans="6:6" x14ac:dyDescent="0.3">
      <c r="F4505" s="5"/>
    </row>
    <row r="4506" spans="6:6" x14ac:dyDescent="0.3">
      <c r="F4506" s="5"/>
    </row>
    <row r="4507" spans="6:6" x14ac:dyDescent="0.3">
      <c r="F4507" s="5"/>
    </row>
    <row r="4508" spans="6:6" x14ac:dyDescent="0.3">
      <c r="F4508" s="5"/>
    </row>
    <row r="4509" spans="6:6" x14ac:dyDescent="0.3">
      <c r="F4509" s="5"/>
    </row>
    <row r="4510" spans="6:6" x14ac:dyDescent="0.3">
      <c r="F4510" s="5"/>
    </row>
    <row r="4511" spans="6:6" x14ac:dyDescent="0.3">
      <c r="F4511" s="5"/>
    </row>
    <row r="4512" spans="6:6" x14ac:dyDescent="0.3">
      <c r="F4512" s="5"/>
    </row>
    <row r="4513" spans="6:6" x14ac:dyDescent="0.3">
      <c r="F4513" s="5"/>
    </row>
    <row r="4514" spans="6:6" x14ac:dyDescent="0.3">
      <c r="F4514" s="5"/>
    </row>
    <row r="4515" spans="6:6" x14ac:dyDescent="0.3">
      <c r="F4515" s="5"/>
    </row>
    <row r="4516" spans="6:6" x14ac:dyDescent="0.3">
      <c r="F4516" s="5"/>
    </row>
    <row r="4517" spans="6:6" x14ac:dyDescent="0.3">
      <c r="F4517" s="2"/>
    </row>
    <row r="4518" spans="6:6" x14ac:dyDescent="0.3">
      <c r="F4518" s="5"/>
    </row>
    <row r="4519" spans="6:6" x14ac:dyDescent="0.3">
      <c r="F4519" s="5"/>
    </row>
    <row r="4520" spans="6:6" x14ac:dyDescent="0.3">
      <c r="F4520" s="5"/>
    </row>
    <row r="4521" spans="6:6" x14ac:dyDescent="0.3">
      <c r="F4521" s="5"/>
    </row>
    <row r="4522" spans="6:6" x14ac:dyDescent="0.3">
      <c r="F4522" s="5"/>
    </row>
    <row r="4523" spans="6:6" x14ac:dyDescent="0.3">
      <c r="F4523" s="5"/>
    </row>
    <row r="4524" spans="6:6" x14ac:dyDescent="0.3">
      <c r="F4524" s="5"/>
    </row>
    <row r="4525" spans="6:6" x14ac:dyDescent="0.3">
      <c r="F4525" s="5"/>
    </row>
    <row r="4526" spans="6:6" x14ac:dyDescent="0.3">
      <c r="F4526" s="5"/>
    </row>
    <row r="4527" spans="6:6" x14ac:dyDescent="0.3">
      <c r="F4527" s="5"/>
    </row>
    <row r="4528" spans="6:6" x14ac:dyDescent="0.3">
      <c r="F4528" s="5"/>
    </row>
    <row r="4529" spans="6:6" x14ac:dyDescent="0.3">
      <c r="F4529" s="5"/>
    </row>
    <row r="4530" spans="6:6" x14ac:dyDescent="0.3">
      <c r="F4530" s="5"/>
    </row>
    <row r="4531" spans="6:6" x14ac:dyDescent="0.3">
      <c r="F4531" s="5"/>
    </row>
    <row r="4532" spans="6:6" x14ac:dyDescent="0.3">
      <c r="F4532" s="5"/>
    </row>
    <row r="4533" spans="6:6" x14ac:dyDescent="0.3">
      <c r="F4533" s="5"/>
    </row>
    <row r="4534" spans="6:6" x14ac:dyDescent="0.3">
      <c r="F4534" s="5"/>
    </row>
    <row r="4535" spans="6:6" x14ac:dyDescent="0.3">
      <c r="F4535" s="5"/>
    </row>
    <row r="4536" spans="6:6" x14ac:dyDescent="0.3">
      <c r="F4536" s="5"/>
    </row>
    <row r="4537" spans="6:6" x14ac:dyDescent="0.3">
      <c r="F4537" s="5"/>
    </row>
    <row r="4538" spans="6:6" x14ac:dyDescent="0.3">
      <c r="F4538" s="5"/>
    </row>
    <row r="4539" spans="6:6" x14ac:dyDescent="0.3">
      <c r="F4539" s="5"/>
    </row>
    <row r="4540" spans="6:6" x14ac:dyDescent="0.3">
      <c r="F4540" s="5"/>
    </row>
    <row r="4541" spans="6:6" x14ac:dyDescent="0.3">
      <c r="F4541" s="2"/>
    </row>
    <row r="4542" spans="6:6" x14ac:dyDescent="0.3">
      <c r="F4542" s="5"/>
    </row>
    <row r="4543" spans="6:6" x14ac:dyDescent="0.3">
      <c r="F4543" s="5"/>
    </row>
    <row r="4544" spans="6:6" x14ac:dyDescent="0.3">
      <c r="F4544" s="5"/>
    </row>
    <row r="4545" spans="6:6" x14ac:dyDescent="0.3">
      <c r="F4545" s="5"/>
    </row>
    <row r="4546" spans="6:6" x14ac:dyDescent="0.3">
      <c r="F4546" s="5"/>
    </row>
    <row r="4547" spans="6:6" x14ac:dyDescent="0.3">
      <c r="F4547" s="5"/>
    </row>
    <row r="4548" spans="6:6" x14ac:dyDescent="0.3">
      <c r="F4548" s="5"/>
    </row>
    <row r="4549" spans="6:6" x14ac:dyDescent="0.3">
      <c r="F4549" s="5"/>
    </row>
    <row r="4550" spans="6:6" x14ac:dyDescent="0.3">
      <c r="F4550" s="5"/>
    </row>
    <row r="4551" spans="6:6" x14ac:dyDescent="0.3">
      <c r="F4551" s="5"/>
    </row>
    <row r="4552" spans="6:6" x14ac:dyDescent="0.3">
      <c r="F4552" s="5"/>
    </row>
    <row r="4553" spans="6:6" x14ac:dyDescent="0.3">
      <c r="F4553" s="5"/>
    </row>
    <row r="4554" spans="6:6" x14ac:dyDescent="0.3">
      <c r="F4554" s="5"/>
    </row>
    <row r="4555" spans="6:6" x14ac:dyDescent="0.3">
      <c r="F4555" s="5"/>
    </row>
    <row r="4556" spans="6:6" x14ac:dyDescent="0.3">
      <c r="F4556" s="5"/>
    </row>
    <row r="4557" spans="6:6" x14ac:dyDescent="0.3">
      <c r="F4557" s="5"/>
    </row>
    <row r="4558" spans="6:6" x14ac:dyDescent="0.3">
      <c r="F4558" s="5"/>
    </row>
    <row r="4559" spans="6:6" x14ac:dyDescent="0.3">
      <c r="F4559" s="5"/>
    </row>
    <row r="4560" spans="6:6" x14ac:dyDescent="0.3">
      <c r="F4560" s="5"/>
    </row>
    <row r="4561" spans="6:6" x14ac:dyDescent="0.3">
      <c r="F4561" s="5"/>
    </row>
    <row r="4562" spans="6:6" x14ac:dyDescent="0.3">
      <c r="F4562" s="5"/>
    </row>
    <row r="4563" spans="6:6" x14ac:dyDescent="0.3">
      <c r="F4563" s="5"/>
    </row>
    <row r="4564" spans="6:6" x14ac:dyDescent="0.3">
      <c r="F4564" s="5"/>
    </row>
    <row r="4565" spans="6:6" x14ac:dyDescent="0.3">
      <c r="F4565" s="5"/>
    </row>
    <row r="4566" spans="6:6" x14ac:dyDescent="0.3">
      <c r="F4566" s="5"/>
    </row>
    <row r="4567" spans="6:6" x14ac:dyDescent="0.3">
      <c r="F4567" s="5"/>
    </row>
    <row r="4568" spans="6:6" x14ac:dyDescent="0.3">
      <c r="F4568" s="5"/>
    </row>
    <row r="4569" spans="6:6" x14ac:dyDescent="0.3">
      <c r="F4569" s="5"/>
    </row>
    <row r="4570" spans="6:6" x14ac:dyDescent="0.3">
      <c r="F4570" s="5"/>
    </row>
    <row r="4571" spans="6:6" x14ac:dyDescent="0.3">
      <c r="F4571" s="5"/>
    </row>
    <row r="4572" spans="6:6" x14ac:dyDescent="0.3">
      <c r="F4572" s="5"/>
    </row>
    <row r="4573" spans="6:6" x14ac:dyDescent="0.3">
      <c r="F4573" s="5"/>
    </row>
    <row r="4574" spans="6:6" x14ac:dyDescent="0.3">
      <c r="F4574" s="5"/>
    </row>
    <row r="4575" spans="6:6" x14ac:dyDescent="0.3">
      <c r="F4575" s="5"/>
    </row>
    <row r="4576" spans="6:6" x14ac:dyDescent="0.3">
      <c r="F4576" s="5"/>
    </row>
    <row r="4577" spans="6:6" x14ac:dyDescent="0.3">
      <c r="F4577" s="5"/>
    </row>
    <row r="4578" spans="6:6" x14ac:dyDescent="0.3">
      <c r="F4578" s="5"/>
    </row>
    <row r="4579" spans="6:6" x14ac:dyDescent="0.3">
      <c r="F4579" s="5"/>
    </row>
    <row r="4580" spans="6:6" x14ac:dyDescent="0.3">
      <c r="F4580" s="5"/>
    </row>
    <row r="4581" spans="6:6" x14ac:dyDescent="0.3">
      <c r="F4581" s="5"/>
    </row>
    <row r="4582" spans="6:6" x14ac:dyDescent="0.3">
      <c r="F4582" s="5"/>
    </row>
    <row r="4583" spans="6:6" x14ac:dyDescent="0.3">
      <c r="F4583" s="5"/>
    </row>
    <row r="4584" spans="6:6" x14ac:dyDescent="0.3">
      <c r="F4584" s="5"/>
    </row>
    <row r="4585" spans="6:6" x14ac:dyDescent="0.3">
      <c r="F4585" s="5"/>
    </row>
    <row r="4586" spans="6:6" x14ac:dyDescent="0.3">
      <c r="F4586" s="5"/>
    </row>
    <row r="4587" spans="6:6" x14ac:dyDescent="0.3">
      <c r="F4587" s="5"/>
    </row>
    <row r="4588" spans="6:6" x14ac:dyDescent="0.3">
      <c r="F4588" s="5"/>
    </row>
    <row r="4589" spans="6:6" x14ac:dyDescent="0.3">
      <c r="F4589" s="2"/>
    </row>
    <row r="4590" spans="6:6" x14ac:dyDescent="0.3">
      <c r="F4590" s="5"/>
    </row>
    <row r="4591" spans="6:6" x14ac:dyDescent="0.3">
      <c r="F4591" s="5"/>
    </row>
    <row r="4592" spans="6:6" x14ac:dyDescent="0.3">
      <c r="F4592" s="5"/>
    </row>
    <row r="4593" spans="6:6" x14ac:dyDescent="0.3">
      <c r="F4593" s="5"/>
    </row>
    <row r="4594" spans="6:6" x14ac:dyDescent="0.3">
      <c r="F4594" s="5"/>
    </row>
    <row r="4595" spans="6:6" x14ac:dyDescent="0.3">
      <c r="F4595" s="5"/>
    </row>
    <row r="4596" spans="6:6" x14ac:dyDescent="0.3">
      <c r="F4596" s="5"/>
    </row>
    <row r="4597" spans="6:6" x14ac:dyDescent="0.3">
      <c r="F4597" s="5"/>
    </row>
    <row r="4598" spans="6:6" x14ac:dyDescent="0.3">
      <c r="F4598" s="5"/>
    </row>
    <row r="4599" spans="6:6" x14ac:dyDescent="0.3">
      <c r="F4599" s="5"/>
    </row>
    <row r="4600" spans="6:6" x14ac:dyDescent="0.3">
      <c r="F4600" s="5"/>
    </row>
    <row r="4601" spans="6:6" x14ac:dyDescent="0.3">
      <c r="F4601" s="5"/>
    </row>
    <row r="4602" spans="6:6" x14ac:dyDescent="0.3">
      <c r="F4602" s="5"/>
    </row>
    <row r="4603" spans="6:6" x14ac:dyDescent="0.3">
      <c r="F4603" s="5"/>
    </row>
    <row r="4604" spans="6:6" x14ac:dyDescent="0.3">
      <c r="F4604" s="5"/>
    </row>
    <row r="4605" spans="6:6" x14ac:dyDescent="0.3">
      <c r="F4605" s="5"/>
    </row>
    <row r="4606" spans="6:6" x14ac:dyDescent="0.3">
      <c r="F4606" s="5"/>
    </row>
    <row r="4607" spans="6:6" x14ac:dyDescent="0.3">
      <c r="F4607" s="5"/>
    </row>
    <row r="4608" spans="6:6" x14ac:dyDescent="0.3">
      <c r="F4608" s="5"/>
    </row>
    <row r="4609" spans="6:6" x14ac:dyDescent="0.3">
      <c r="F4609" s="5"/>
    </row>
    <row r="4610" spans="6:6" x14ac:dyDescent="0.3">
      <c r="F4610" s="5"/>
    </row>
    <row r="4611" spans="6:6" x14ac:dyDescent="0.3">
      <c r="F4611" s="5"/>
    </row>
    <row r="4612" spans="6:6" x14ac:dyDescent="0.3">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zoomScale="90" zoomScaleNormal="90" workbookViewId="0">
      <selection activeCell="J1" sqref="J1:J1048576"/>
    </sheetView>
  </sheetViews>
  <sheetFormatPr defaultColWidth="11.44140625" defaultRowHeight="14.4" x14ac:dyDescent="0.3"/>
  <cols>
    <col min="1" max="1" width="10.5546875" style="8" customWidth="1"/>
    <col min="2" max="2" width="7.88671875" style="8" customWidth="1"/>
    <col min="3" max="3" width="31.33203125" customWidth="1"/>
    <col min="4" max="4" width="58.88671875" customWidth="1"/>
    <col min="5" max="5" width="16.44140625" style="8" customWidth="1"/>
    <col min="6" max="6" width="28.109375" customWidth="1"/>
    <col min="7" max="7" width="8.5546875" style="8" customWidth="1"/>
    <col min="8" max="8" width="6.44140625" customWidth="1"/>
    <col min="9" max="9" width="40.44140625" customWidth="1"/>
    <col min="10" max="10" width="50.6640625" customWidth="1"/>
  </cols>
  <sheetData>
    <row r="1" spans="1:10" s="3" customFormat="1" x14ac:dyDescent="0.3">
      <c r="A1" s="3" t="s">
        <v>94</v>
      </c>
      <c r="B1" s="3" t="s">
        <v>25</v>
      </c>
      <c r="C1" s="3" t="s">
        <v>13</v>
      </c>
      <c r="D1" s="3" t="s">
        <v>95</v>
      </c>
      <c r="E1" s="3" t="s">
        <v>94</v>
      </c>
      <c r="F1" s="3" t="s">
        <v>96</v>
      </c>
      <c r="G1" s="3" t="s">
        <v>97</v>
      </c>
      <c r="H1" s="3" t="s">
        <v>98</v>
      </c>
      <c r="I1" s="3" t="s">
        <v>99</v>
      </c>
      <c r="J1" s="3" t="s">
        <v>99</v>
      </c>
    </row>
    <row r="2" spans="1:10" x14ac:dyDescent="0.3">
      <c r="A2" s="32" t="s">
        <v>14</v>
      </c>
      <c r="B2" s="32">
        <v>2023</v>
      </c>
      <c r="C2" s="33" t="s">
        <v>31</v>
      </c>
      <c r="D2" s="34" t="s">
        <v>2002</v>
      </c>
      <c r="E2" s="35" t="str">
        <f>_xlfn.CONCAT(A2,"'!")</f>
        <v>PDP'!</v>
      </c>
      <c r="F2" s="34" t="str">
        <f>_xlfn.CONCAT(D2:E2)</f>
        <v>C:\Users\jaime.benazar\Quorum Business Solutions\Ecopetrol Prometeo - Documents\Planning Space Implementation\3. Analysis &amp; Design\Design\FC22\DRR Jaime\Neiva CPI\[DINA TERCIARIOS_CF_SEC_New_27-Mar-2024.xlsx]D-PDP'!</v>
      </c>
      <c r="G2" s="32" t="s">
        <v>112</v>
      </c>
      <c r="H2" s="33">
        <v>12</v>
      </c>
      <c r="I2" s="33" t="str">
        <f>_xlfn.CONCAT("='",F2:H2)</f>
        <v>='C:\Users\jaime.benazar\Quorum Business Solutions\Ecopetrol Prometeo - Documents\Planning Space Implementation\3. Analysis &amp; Design\Design\FC22\DRR Jaime\Neiva CPI\[DINA TERCIARIOS_CF_SEC_New_27-Mar-2024.xlsx]D-PDP'!$BB$12</v>
      </c>
      <c r="J2" s="37" t="s">
        <v>2003</v>
      </c>
    </row>
    <row r="3" spans="1:10" x14ac:dyDescent="0.3">
      <c r="A3" s="32" t="s">
        <v>14</v>
      </c>
      <c r="B3" s="32">
        <f>+B2+1</f>
        <v>2024</v>
      </c>
      <c r="C3" s="33" t="s">
        <v>31</v>
      </c>
      <c r="D3" s="34" t="s">
        <v>2002</v>
      </c>
      <c r="E3" s="35" t="str">
        <f t="shared" ref="E3:E96" si="0">_xlfn.CONCAT(A3,"'!")</f>
        <v>PDP'!</v>
      </c>
      <c r="F3" s="34" t="str">
        <f t="shared" ref="F3:F96" si="1">_xlfn.CONCAT(D3:E3)</f>
        <v>C:\Users\jaime.benazar\Quorum Business Solutions\Ecopetrol Prometeo - Documents\Planning Space Implementation\3. Analysis &amp; Design\Design\FC22\DRR Jaime\Neiva CPI\[DINA TERCIARIOS_CF_SEC_New_27-Mar-2024.xlsx]D-PDP'!</v>
      </c>
      <c r="G3" s="32" t="s">
        <v>112</v>
      </c>
      <c r="H3" s="33">
        <f>IF(A3&lt;&gt;A2,12,H2+1)</f>
        <v>13</v>
      </c>
      <c r="I3" s="33" t="str">
        <f t="shared" ref="I3:I96" si="2">_xlfn.CONCAT("='",F3:H3)</f>
        <v>='C:\Users\jaime.benazar\Quorum Business Solutions\Ecopetrol Prometeo - Documents\Planning Space Implementation\3. Analysis &amp; Design\Design\FC22\DRR Jaime\Neiva CPI\[DINA TERCIARIOS_CF_SEC_New_27-Mar-2024.xlsx]D-PDP'!$BB$13</v>
      </c>
      <c r="J3" s="37" t="s">
        <v>2004</v>
      </c>
    </row>
    <row r="4" spans="1:10" x14ac:dyDescent="0.3">
      <c r="A4" s="32" t="s">
        <v>14</v>
      </c>
      <c r="B4" s="32">
        <f t="shared" ref="B4:B15" si="3">+B3+1</f>
        <v>2025</v>
      </c>
      <c r="C4" s="33" t="s">
        <v>31</v>
      </c>
      <c r="D4" s="34" t="s">
        <v>2002</v>
      </c>
      <c r="E4" s="35" t="str">
        <f t="shared" si="0"/>
        <v>PDP'!</v>
      </c>
      <c r="F4" s="34" t="str">
        <f>_xlfn.CONCAT(D4:E4)</f>
        <v>C:\Users\jaime.benazar\Quorum Business Solutions\Ecopetrol Prometeo - Documents\Planning Space Implementation\3. Analysis &amp; Design\Design\FC22\DRR Jaime\Neiva CPI\[DINA TERCIARIOS_CF_SEC_New_27-Mar-2024.xlsx]D-PDP'!</v>
      </c>
      <c r="G4" s="32" t="s">
        <v>112</v>
      </c>
      <c r="H4" s="33">
        <f t="shared" ref="H4:H22" si="4">IF(A4&lt;&gt;A3,12,H3+1)</f>
        <v>14</v>
      </c>
      <c r="I4" s="33" t="str">
        <f t="shared" si="2"/>
        <v>='C:\Users\jaime.benazar\Quorum Business Solutions\Ecopetrol Prometeo - Documents\Planning Space Implementation\3. Analysis &amp; Design\Design\FC22\DRR Jaime\Neiva CPI\[DINA TERCIARIOS_CF_SEC_New_27-Mar-2024.xlsx]D-PDP'!$BB$14</v>
      </c>
      <c r="J4" s="37" t="s">
        <v>2005</v>
      </c>
    </row>
    <row r="5" spans="1:10" x14ac:dyDescent="0.3">
      <c r="A5" s="32" t="s">
        <v>14</v>
      </c>
      <c r="B5" s="32">
        <f t="shared" si="3"/>
        <v>2026</v>
      </c>
      <c r="C5" s="33" t="s">
        <v>31</v>
      </c>
      <c r="D5" s="34" t="s">
        <v>2002</v>
      </c>
      <c r="E5" s="35" t="str">
        <f t="shared" si="0"/>
        <v>PDP'!</v>
      </c>
      <c r="F5" s="34" t="str">
        <f t="shared" si="1"/>
        <v>C:\Users\jaime.benazar\Quorum Business Solutions\Ecopetrol Prometeo - Documents\Planning Space Implementation\3. Analysis &amp; Design\Design\FC22\DRR Jaime\Neiva CPI\[DINA TERCIARIOS_CF_SEC_New_27-Mar-2024.xlsx]D-PDP'!</v>
      </c>
      <c r="G5" s="32" t="s">
        <v>112</v>
      </c>
      <c r="H5" s="33">
        <f t="shared" si="4"/>
        <v>15</v>
      </c>
      <c r="I5" s="33" t="str">
        <f t="shared" si="2"/>
        <v>='C:\Users\jaime.benazar\Quorum Business Solutions\Ecopetrol Prometeo - Documents\Planning Space Implementation\3. Analysis &amp; Design\Design\FC22\DRR Jaime\Neiva CPI\[DINA TERCIARIOS_CF_SEC_New_27-Mar-2024.xlsx]D-PDP'!$BB$15</v>
      </c>
      <c r="J5" s="37" t="s">
        <v>2006</v>
      </c>
    </row>
    <row r="6" spans="1:10" x14ac:dyDescent="0.3">
      <c r="A6" s="32" t="s">
        <v>14</v>
      </c>
      <c r="B6" s="32">
        <f t="shared" si="3"/>
        <v>2027</v>
      </c>
      <c r="C6" s="33" t="s">
        <v>31</v>
      </c>
      <c r="D6" s="34" t="s">
        <v>2002</v>
      </c>
      <c r="E6" s="35" t="str">
        <f t="shared" si="0"/>
        <v>PDP'!</v>
      </c>
      <c r="F6" s="34" t="str">
        <f t="shared" si="1"/>
        <v>C:\Users\jaime.benazar\Quorum Business Solutions\Ecopetrol Prometeo - Documents\Planning Space Implementation\3. Analysis &amp; Design\Design\FC22\DRR Jaime\Neiva CPI\[DINA TERCIARIOS_CF_SEC_New_27-Mar-2024.xlsx]D-PDP'!</v>
      </c>
      <c r="G6" s="32" t="s">
        <v>112</v>
      </c>
      <c r="H6" s="33">
        <f t="shared" si="4"/>
        <v>16</v>
      </c>
      <c r="I6" s="33" t="str">
        <f t="shared" si="2"/>
        <v>='C:\Users\jaime.benazar\Quorum Business Solutions\Ecopetrol Prometeo - Documents\Planning Space Implementation\3. Analysis &amp; Design\Design\FC22\DRR Jaime\Neiva CPI\[DINA TERCIARIOS_CF_SEC_New_27-Mar-2024.xlsx]D-PDP'!$BB$16</v>
      </c>
      <c r="J6" s="37" t="s">
        <v>2007</v>
      </c>
    </row>
    <row r="7" spans="1:10" x14ac:dyDescent="0.3">
      <c r="A7" s="32" t="s">
        <v>14</v>
      </c>
      <c r="B7" s="32">
        <f t="shared" si="3"/>
        <v>2028</v>
      </c>
      <c r="C7" s="33" t="s">
        <v>31</v>
      </c>
      <c r="D7" s="34" t="s">
        <v>2002</v>
      </c>
      <c r="E7" s="35" t="str">
        <f t="shared" si="0"/>
        <v>PDP'!</v>
      </c>
      <c r="F7" s="34" t="str">
        <f t="shared" si="1"/>
        <v>C:\Users\jaime.benazar\Quorum Business Solutions\Ecopetrol Prometeo - Documents\Planning Space Implementation\3. Analysis &amp; Design\Design\FC22\DRR Jaime\Neiva CPI\[DINA TERCIARIOS_CF_SEC_New_27-Mar-2024.xlsx]D-PDP'!</v>
      </c>
      <c r="G7" s="32" t="s">
        <v>112</v>
      </c>
      <c r="H7" s="33">
        <f t="shared" si="4"/>
        <v>17</v>
      </c>
      <c r="I7" s="33" t="str">
        <f t="shared" si="2"/>
        <v>='C:\Users\jaime.benazar\Quorum Business Solutions\Ecopetrol Prometeo - Documents\Planning Space Implementation\3. Analysis &amp; Design\Design\FC22\DRR Jaime\Neiva CPI\[DINA TERCIARIOS_CF_SEC_New_27-Mar-2024.xlsx]D-PDP'!$BB$17</v>
      </c>
      <c r="J7" s="37" t="s">
        <v>2008</v>
      </c>
    </row>
    <row r="8" spans="1:10" x14ac:dyDescent="0.3">
      <c r="A8" s="32" t="s">
        <v>14</v>
      </c>
      <c r="B8" s="32">
        <f t="shared" si="3"/>
        <v>2029</v>
      </c>
      <c r="C8" s="33" t="s">
        <v>31</v>
      </c>
      <c r="D8" s="34" t="s">
        <v>2002</v>
      </c>
      <c r="E8" s="35" t="str">
        <f t="shared" si="0"/>
        <v>PDP'!</v>
      </c>
      <c r="F8" s="34" t="str">
        <f t="shared" si="1"/>
        <v>C:\Users\jaime.benazar\Quorum Business Solutions\Ecopetrol Prometeo - Documents\Planning Space Implementation\3. Analysis &amp; Design\Design\FC22\DRR Jaime\Neiva CPI\[DINA TERCIARIOS_CF_SEC_New_27-Mar-2024.xlsx]D-PDP'!</v>
      </c>
      <c r="G8" s="32" t="s">
        <v>112</v>
      </c>
      <c r="H8" s="33">
        <f t="shared" si="4"/>
        <v>18</v>
      </c>
      <c r="I8" s="33" t="str">
        <f t="shared" si="2"/>
        <v>='C:\Users\jaime.benazar\Quorum Business Solutions\Ecopetrol Prometeo - Documents\Planning Space Implementation\3. Analysis &amp; Design\Design\FC22\DRR Jaime\Neiva CPI\[DINA TERCIARIOS_CF_SEC_New_27-Mar-2024.xlsx]D-PDP'!$BB$18</v>
      </c>
      <c r="J8" s="37" t="s">
        <v>2009</v>
      </c>
    </row>
    <row r="9" spans="1:10" x14ac:dyDescent="0.3">
      <c r="A9" s="32" t="s">
        <v>14</v>
      </c>
      <c r="B9" s="32">
        <f t="shared" si="3"/>
        <v>2030</v>
      </c>
      <c r="C9" s="33" t="s">
        <v>31</v>
      </c>
      <c r="D9" s="34" t="s">
        <v>2002</v>
      </c>
      <c r="E9" s="35" t="str">
        <f t="shared" si="0"/>
        <v>PDP'!</v>
      </c>
      <c r="F9" s="34" t="str">
        <f t="shared" si="1"/>
        <v>C:\Users\jaime.benazar\Quorum Business Solutions\Ecopetrol Prometeo - Documents\Planning Space Implementation\3. Analysis &amp; Design\Design\FC22\DRR Jaime\Neiva CPI\[DINA TERCIARIOS_CF_SEC_New_27-Mar-2024.xlsx]D-PDP'!</v>
      </c>
      <c r="G9" s="32" t="s">
        <v>112</v>
      </c>
      <c r="H9" s="33">
        <f t="shared" si="4"/>
        <v>19</v>
      </c>
      <c r="I9" s="33" t="str">
        <f t="shared" si="2"/>
        <v>='C:\Users\jaime.benazar\Quorum Business Solutions\Ecopetrol Prometeo - Documents\Planning Space Implementation\3. Analysis &amp; Design\Design\FC22\DRR Jaime\Neiva CPI\[DINA TERCIARIOS_CF_SEC_New_27-Mar-2024.xlsx]D-PDP'!$BB$19</v>
      </c>
      <c r="J9" s="37" t="s">
        <v>2010</v>
      </c>
    </row>
    <row r="10" spans="1:10" x14ac:dyDescent="0.3">
      <c r="A10" s="32" t="s">
        <v>14</v>
      </c>
      <c r="B10" s="32">
        <f t="shared" si="3"/>
        <v>2031</v>
      </c>
      <c r="C10" s="33" t="s">
        <v>31</v>
      </c>
      <c r="D10" s="34" t="s">
        <v>2002</v>
      </c>
      <c r="E10" s="35" t="str">
        <f t="shared" si="0"/>
        <v>PDP'!</v>
      </c>
      <c r="F10" s="34" t="str">
        <f t="shared" si="1"/>
        <v>C:\Users\jaime.benazar\Quorum Business Solutions\Ecopetrol Prometeo - Documents\Planning Space Implementation\3. Analysis &amp; Design\Design\FC22\DRR Jaime\Neiva CPI\[DINA TERCIARIOS_CF_SEC_New_27-Mar-2024.xlsx]D-PDP'!</v>
      </c>
      <c r="G10" s="32" t="s">
        <v>112</v>
      </c>
      <c r="H10" s="33">
        <f t="shared" si="4"/>
        <v>20</v>
      </c>
      <c r="I10" s="33" t="str">
        <f t="shared" si="2"/>
        <v>='C:\Users\jaime.benazar\Quorum Business Solutions\Ecopetrol Prometeo - Documents\Planning Space Implementation\3. Analysis &amp; Design\Design\FC22\DRR Jaime\Neiva CPI\[DINA TERCIARIOS_CF_SEC_New_27-Mar-2024.xlsx]D-PDP'!$BB$20</v>
      </c>
      <c r="J10" s="37" t="s">
        <v>2011</v>
      </c>
    </row>
    <row r="11" spans="1:10" x14ac:dyDescent="0.3">
      <c r="A11" s="32" t="s">
        <v>14</v>
      </c>
      <c r="B11" s="32">
        <f t="shared" si="3"/>
        <v>2032</v>
      </c>
      <c r="C11" s="33" t="s">
        <v>31</v>
      </c>
      <c r="D11" s="34" t="s">
        <v>2002</v>
      </c>
      <c r="E11" s="35" t="str">
        <f t="shared" si="0"/>
        <v>PDP'!</v>
      </c>
      <c r="F11" s="34" t="str">
        <f t="shared" si="1"/>
        <v>C:\Users\jaime.benazar\Quorum Business Solutions\Ecopetrol Prometeo - Documents\Planning Space Implementation\3. Analysis &amp; Design\Design\FC22\DRR Jaime\Neiva CPI\[DINA TERCIARIOS_CF_SEC_New_27-Mar-2024.xlsx]D-PDP'!</v>
      </c>
      <c r="G11" s="32" t="s">
        <v>112</v>
      </c>
      <c r="H11" s="33">
        <f t="shared" si="4"/>
        <v>21</v>
      </c>
      <c r="I11" s="33" t="str">
        <f t="shared" si="2"/>
        <v>='C:\Users\jaime.benazar\Quorum Business Solutions\Ecopetrol Prometeo - Documents\Planning Space Implementation\3. Analysis &amp; Design\Design\FC22\DRR Jaime\Neiva CPI\[DINA TERCIARIOS_CF_SEC_New_27-Mar-2024.xlsx]D-PDP'!$BB$21</v>
      </c>
      <c r="J11" s="37" t="s">
        <v>2012</v>
      </c>
    </row>
    <row r="12" spans="1:10" x14ac:dyDescent="0.3">
      <c r="A12" s="32" t="s">
        <v>14</v>
      </c>
      <c r="B12" s="32">
        <f t="shared" si="3"/>
        <v>2033</v>
      </c>
      <c r="C12" s="33" t="s">
        <v>31</v>
      </c>
      <c r="D12" s="34" t="s">
        <v>2002</v>
      </c>
      <c r="E12" s="35" t="str">
        <f t="shared" si="0"/>
        <v>PDP'!</v>
      </c>
      <c r="F12" s="34" t="str">
        <f t="shared" si="1"/>
        <v>C:\Users\jaime.benazar\Quorum Business Solutions\Ecopetrol Prometeo - Documents\Planning Space Implementation\3. Analysis &amp; Design\Design\FC22\DRR Jaime\Neiva CPI\[DINA TERCIARIOS_CF_SEC_New_27-Mar-2024.xlsx]D-PDP'!</v>
      </c>
      <c r="G12" s="32" t="s">
        <v>112</v>
      </c>
      <c r="H12" s="33">
        <f t="shared" si="4"/>
        <v>22</v>
      </c>
      <c r="I12" s="33" t="str">
        <f t="shared" si="2"/>
        <v>='C:\Users\jaime.benazar\Quorum Business Solutions\Ecopetrol Prometeo - Documents\Planning Space Implementation\3. Analysis &amp; Design\Design\FC22\DRR Jaime\Neiva CPI\[DINA TERCIARIOS_CF_SEC_New_27-Mar-2024.xlsx]D-PDP'!$BB$22</v>
      </c>
      <c r="J12" s="37" t="s">
        <v>2013</v>
      </c>
    </row>
    <row r="13" spans="1:10" x14ac:dyDescent="0.3">
      <c r="A13" s="32" t="s">
        <v>14</v>
      </c>
      <c r="B13" s="32">
        <f t="shared" si="3"/>
        <v>2034</v>
      </c>
      <c r="C13" s="33" t="s">
        <v>31</v>
      </c>
      <c r="D13" s="34" t="s">
        <v>2002</v>
      </c>
      <c r="E13" s="35" t="str">
        <f t="shared" si="0"/>
        <v>PDP'!</v>
      </c>
      <c r="F13" s="34" t="str">
        <f t="shared" si="1"/>
        <v>C:\Users\jaime.benazar\Quorum Business Solutions\Ecopetrol Prometeo - Documents\Planning Space Implementation\3. Analysis &amp; Design\Design\FC22\DRR Jaime\Neiva CPI\[DINA TERCIARIOS_CF_SEC_New_27-Mar-2024.xlsx]D-PDP'!</v>
      </c>
      <c r="G13" s="32" t="s">
        <v>112</v>
      </c>
      <c r="H13" s="33">
        <f t="shared" si="4"/>
        <v>23</v>
      </c>
      <c r="I13" s="33" t="str">
        <f t="shared" si="2"/>
        <v>='C:\Users\jaime.benazar\Quorum Business Solutions\Ecopetrol Prometeo - Documents\Planning Space Implementation\3. Analysis &amp; Design\Design\FC22\DRR Jaime\Neiva CPI\[DINA TERCIARIOS_CF_SEC_New_27-Mar-2024.xlsx]D-PDP'!$BB$23</v>
      </c>
      <c r="J13" s="37" t="s">
        <v>2014</v>
      </c>
    </row>
    <row r="14" spans="1:10" x14ac:dyDescent="0.3">
      <c r="A14" s="32" t="s">
        <v>14</v>
      </c>
      <c r="B14" s="32">
        <f t="shared" si="3"/>
        <v>2035</v>
      </c>
      <c r="C14" s="33" t="s">
        <v>31</v>
      </c>
      <c r="D14" s="34" t="s">
        <v>2002</v>
      </c>
      <c r="E14" s="35" t="str">
        <f t="shared" si="0"/>
        <v>PDP'!</v>
      </c>
      <c r="F14" s="34" t="str">
        <f t="shared" si="1"/>
        <v>C:\Users\jaime.benazar\Quorum Business Solutions\Ecopetrol Prometeo - Documents\Planning Space Implementation\3. Analysis &amp; Design\Design\FC22\DRR Jaime\Neiva CPI\[DINA TERCIARIOS_CF_SEC_New_27-Mar-2024.xlsx]D-PDP'!</v>
      </c>
      <c r="G14" s="32" t="s">
        <v>112</v>
      </c>
      <c r="H14" s="33">
        <f t="shared" si="4"/>
        <v>24</v>
      </c>
      <c r="I14" s="33" t="str">
        <f t="shared" si="2"/>
        <v>='C:\Users\jaime.benazar\Quorum Business Solutions\Ecopetrol Prometeo - Documents\Planning Space Implementation\3. Analysis &amp; Design\Design\FC22\DRR Jaime\Neiva CPI\[DINA TERCIARIOS_CF_SEC_New_27-Mar-2024.xlsx]D-PDP'!$BB$24</v>
      </c>
      <c r="J14" s="37" t="s">
        <v>2015</v>
      </c>
    </row>
    <row r="15" spans="1:10" x14ac:dyDescent="0.3">
      <c r="A15" s="32" t="s">
        <v>14</v>
      </c>
      <c r="B15" s="32">
        <f t="shared" si="3"/>
        <v>2036</v>
      </c>
      <c r="C15" s="33" t="s">
        <v>31</v>
      </c>
      <c r="D15" s="34" t="s">
        <v>2002</v>
      </c>
      <c r="E15" s="35" t="str">
        <f t="shared" si="0"/>
        <v>PDP'!</v>
      </c>
      <c r="F15" s="34" t="str">
        <f t="shared" si="1"/>
        <v>C:\Users\jaime.benazar\Quorum Business Solutions\Ecopetrol Prometeo - Documents\Planning Space Implementation\3. Analysis &amp; Design\Design\FC22\DRR Jaime\Neiva CPI\[DINA TERCIARIOS_CF_SEC_New_27-Mar-2024.xlsx]D-PDP'!</v>
      </c>
      <c r="G15" s="32" t="s">
        <v>112</v>
      </c>
      <c r="H15" s="33">
        <f t="shared" si="4"/>
        <v>25</v>
      </c>
      <c r="I15" s="33" t="str">
        <f t="shared" si="2"/>
        <v>='C:\Users\jaime.benazar\Quorum Business Solutions\Ecopetrol Prometeo - Documents\Planning Space Implementation\3. Analysis &amp; Design\Design\FC22\DRR Jaime\Neiva CPI\[DINA TERCIARIOS_CF_SEC_New_27-Mar-2024.xlsx]D-PDP'!$BB$25</v>
      </c>
      <c r="J15" s="37" t="s">
        <v>2016</v>
      </c>
    </row>
    <row r="16" spans="1:10" x14ac:dyDescent="0.3">
      <c r="A16" s="32" t="s">
        <v>14</v>
      </c>
      <c r="B16" s="32">
        <f>+B15+1</f>
        <v>2037</v>
      </c>
      <c r="C16" s="33" t="s">
        <v>31</v>
      </c>
      <c r="D16" s="34" t="s">
        <v>2002</v>
      </c>
      <c r="E16" s="35" t="str">
        <f t="shared" si="0"/>
        <v>PDP'!</v>
      </c>
      <c r="F16" s="34" t="str">
        <f t="shared" si="1"/>
        <v>C:\Users\jaime.benazar\Quorum Business Solutions\Ecopetrol Prometeo - Documents\Planning Space Implementation\3. Analysis &amp; Design\Design\FC22\DRR Jaime\Neiva CPI\[DINA TERCIARIOS_CF_SEC_New_27-Mar-2024.xlsx]D-PDP'!</v>
      </c>
      <c r="G16" s="32" t="s">
        <v>112</v>
      </c>
      <c r="H16" s="33">
        <f t="shared" si="4"/>
        <v>26</v>
      </c>
      <c r="I16" s="33" t="str">
        <f t="shared" si="2"/>
        <v>='C:\Users\jaime.benazar\Quorum Business Solutions\Ecopetrol Prometeo - Documents\Planning Space Implementation\3. Analysis &amp; Design\Design\FC22\DRR Jaime\Neiva CPI\[DINA TERCIARIOS_CF_SEC_New_27-Mar-2024.xlsx]D-PDP'!$BB$26</v>
      </c>
      <c r="J16" s="37" t="s">
        <v>2017</v>
      </c>
    </row>
    <row r="17" spans="1:10" x14ac:dyDescent="0.3">
      <c r="A17" s="32" t="s">
        <v>14</v>
      </c>
      <c r="B17" s="32">
        <f t="shared" ref="B17:B19" si="5">+B16+1</f>
        <v>2038</v>
      </c>
      <c r="C17" s="33" t="s">
        <v>31</v>
      </c>
      <c r="D17" s="34" t="s">
        <v>2002</v>
      </c>
      <c r="E17" s="35" t="str">
        <f t="shared" si="0"/>
        <v>PDP'!</v>
      </c>
      <c r="F17" s="34" t="str">
        <f t="shared" si="1"/>
        <v>C:\Users\jaime.benazar\Quorum Business Solutions\Ecopetrol Prometeo - Documents\Planning Space Implementation\3. Analysis &amp; Design\Design\FC22\DRR Jaime\Neiva CPI\[DINA TERCIARIOS_CF_SEC_New_27-Mar-2024.xlsx]D-PDP'!</v>
      </c>
      <c r="G17" s="32" t="s">
        <v>112</v>
      </c>
      <c r="H17" s="33">
        <f t="shared" si="4"/>
        <v>27</v>
      </c>
      <c r="I17" s="33" t="str">
        <f t="shared" si="2"/>
        <v>='C:\Users\jaime.benazar\Quorum Business Solutions\Ecopetrol Prometeo - Documents\Planning Space Implementation\3. Analysis &amp; Design\Design\FC22\DRR Jaime\Neiva CPI\[DINA TERCIARIOS_CF_SEC_New_27-Mar-2024.xlsx]D-PDP'!$BB$27</v>
      </c>
      <c r="J17" s="37" t="s">
        <v>2018</v>
      </c>
    </row>
    <row r="18" spans="1:10" x14ac:dyDescent="0.3">
      <c r="A18" s="32" t="s">
        <v>14</v>
      </c>
      <c r="B18" s="32">
        <f t="shared" si="5"/>
        <v>2039</v>
      </c>
      <c r="C18" s="33" t="s">
        <v>31</v>
      </c>
      <c r="D18" s="34" t="s">
        <v>2002</v>
      </c>
      <c r="E18" s="35" t="str">
        <f t="shared" si="0"/>
        <v>PDP'!</v>
      </c>
      <c r="F18" s="34" t="str">
        <f t="shared" si="1"/>
        <v>C:\Users\jaime.benazar\Quorum Business Solutions\Ecopetrol Prometeo - Documents\Planning Space Implementation\3. Analysis &amp; Design\Design\FC22\DRR Jaime\Neiva CPI\[DINA TERCIARIOS_CF_SEC_New_27-Mar-2024.xlsx]D-PDP'!</v>
      </c>
      <c r="G18" s="32" t="s">
        <v>112</v>
      </c>
      <c r="H18" s="33">
        <f t="shared" si="4"/>
        <v>28</v>
      </c>
      <c r="I18" s="33" t="str">
        <f t="shared" si="2"/>
        <v>='C:\Users\jaime.benazar\Quorum Business Solutions\Ecopetrol Prometeo - Documents\Planning Space Implementation\3. Analysis &amp; Design\Design\FC22\DRR Jaime\Neiva CPI\[DINA TERCIARIOS_CF_SEC_New_27-Mar-2024.xlsx]D-PDP'!$BB$28</v>
      </c>
      <c r="J18" s="37" t="s">
        <v>2019</v>
      </c>
    </row>
    <row r="19" spans="1:10" x14ac:dyDescent="0.3">
      <c r="A19" s="32" t="s">
        <v>14</v>
      </c>
      <c r="B19" s="32">
        <f t="shared" si="5"/>
        <v>2040</v>
      </c>
      <c r="C19" s="33" t="s">
        <v>31</v>
      </c>
      <c r="D19" s="34" t="s">
        <v>2002</v>
      </c>
      <c r="E19" s="35" t="str">
        <f t="shared" si="0"/>
        <v>PDP'!</v>
      </c>
      <c r="F19" s="34" t="str">
        <f t="shared" si="1"/>
        <v>C:\Users\jaime.benazar\Quorum Business Solutions\Ecopetrol Prometeo - Documents\Planning Space Implementation\3. Analysis &amp; Design\Design\FC22\DRR Jaime\Neiva CPI\[DINA TERCIARIOS_CF_SEC_New_27-Mar-2024.xlsx]D-PDP'!</v>
      </c>
      <c r="G19" s="32" t="s">
        <v>112</v>
      </c>
      <c r="H19" s="33">
        <f t="shared" si="4"/>
        <v>29</v>
      </c>
      <c r="I19" s="33" t="str">
        <f t="shared" si="2"/>
        <v>='C:\Users\jaime.benazar\Quorum Business Solutions\Ecopetrol Prometeo - Documents\Planning Space Implementation\3. Analysis &amp; Design\Design\FC22\DRR Jaime\Neiva CPI\[DINA TERCIARIOS_CF_SEC_New_27-Mar-2024.xlsx]D-PDP'!$BB$29</v>
      </c>
      <c r="J19" s="37" t="s">
        <v>2020</v>
      </c>
    </row>
    <row r="20" spans="1:10" x14ac:dyDescent="0.3">
      <c r="A20" s="32" t="s">
        <v>14</v>
      </c>
      <c r="B20" s="32">
        <f>+B19+1</f>
        <v>2041</v>
      </c>
      <c r="C20" s="33" t="s">
        <v>31</v>
      </c>
      <c r="D20" s="34" t="s">
        <v>2002</v>
      </c>
      <c r="E20" s="35" t="str">
        <f t="shared" si="0"/>
        <v>PDP'!</v>
      </c>
      <c r="F20" s="34" t="str">
        <f t="shared" si="1"/>
        <v>C:\Users\jaime.benazar\Quorum Business Solutions\Ecopetrol Prometeo - Documents\Planning Space Implementation\3. Analysis &amp; Design\Design\FC22\DRR Jaime\Neiva CPI\[DINA TERCIARIOS_CF_SEC_New_27-Mar-2024.xlsx]D-PDP'!</v>
      </c>
      <c r="G20" s="32" t="s">
        <v>112</v>
      </c>
      <c r="H20" s="33">
        <f t="shared" si="4"/>
        <v>30</v>
      </c>
      <c r="I20" s="33" t="str">
        <f t="shared" si="2"/>
        <v>='C:\Users\jaime.benazar\Quorum Business Solutions\Ecopetrol Prometeo - Documents\Planning Space Implementation\3. Analysis &amp; Design\Design\FC22\DRR Jaime\Neiva CPI\[DINA TERCIARIOS_CF_SEC_New_27-Mar-2024.xlsx]D-PDP'!$BB$30</v>
      </c>
      <c r="J20" s="37" t="s">
        <v>2021</v>
      </c>
    </row>
    <row r="21" spans="1:10" x14ac:dyDescent="0.3">
      <c r="A21" s="32" t="s">
        <v>14</v>
      </c>
      <c r="B21" s="32">
        <f t="shared" ref="B21:B22" si="6">+B20+1</f>
        <v>2042</v>
      </c>
      <c r="C21" s="33" t="s">
        <v>31</v>
      </c>
      <c r="D21" s="34" t="s">
        <v>2002</v>
      </c>
      <c r="E21" s="35" t="str">
        <f t="shared" si="0"/>
        <v>PDP'!</v>
      </c>
      <c r="F21" s="34" t="str">
        <f t="shared" si="1"/>
        <v>C:\Users\jaime.benazar\Quorum Business Solutions\Ecopetrol Prometeo - Documents\Planning Space Implementation\3. Analysis &amp; Design\Design\FC22\DRR Jaime\Neiva CPI\[DINA TERCIARIOS_CF_SEC_New_27-Mar-2024.xlsx]D-PDP'!</v>
      </c>
      <c r="G21" s="32" t="s">
        <v>112</v>
      </c>
      <c r="H21" s="33">
        <f t="shared" si="4"/>
        <v>31</v>
      </c>
      <c r="I21" s="33" t="str">
        <f t="shared" si="2"/>
        <v>='C:\Users\jaime.benazar\Quorum Business Solutions\Ecopetrol Prometeo - Documents\Planning Space Implementation\3. Analysis &amp; Design\Design\FC22\DRR Jaime\Neiva CPI\[DINA TERCIARIOS_CF_SEC_New_27-Mar-2024.xlsx]D-PDP'!$BB$31</v>
      </c>
      <c r="J21" s="37" t="s">
        <v>2022</v>
      </c>
    </row>
    <row r="22" spans="1:10" x14ac:dyDescent="0.3">
      <c r="A22" s="32" t="s">
        <v>14</v>
      </c>
      <c r="B22" s="32">
        <f t="shared" si="6"/>
        <v>2043</v>
      </c>
      <c r="C22" s="33" t="s">
        <v>31</v>
      </c>
      <c r="D22" s="34" t="s">
        <v>2002</v>
      </c>
      <c r="E22" s="35" t="str">
        <f t="shared" si="0"/>
        <v>PDP'!</v>
      </c>
      <c r="F22" s="34" t="str">
        <f t="shared" si="1"/>
        <v>C:\Users\jaime.benazar\Quorum Business Solutions\Ecopetrol Prometeo - Documents\Planning Space Implementation\3. Analysis &amp; Design\Design\FC22\DRR Jaime\Neiva CPI\[DINA TERCIARIOS_CF_SEC_New_27-Mar-2024.xlsx]D-PDP'!</v>
      </c>
      <c r="G22" s="32" t="s">
        <v>112</v>
      </c>
      <c r="H22" s="33">
        <f t="shared" si="4"/>
        <v>32</v>
      </c>
      <c r="I22" s="33" t="str">
        <f t="shared" si="2"/>
        <v>='C:\Users\jaime.benazar\Quorum Business Solutions\Ecopetrol Prometeo - Documents\Planning Space Implementation\3. Analysis &amp; Design\Design\FC22\DRR Jaime\Neiva CPI\[DINA TERCIARIOS_CF_SEC_New_27-Mar-2024.xlsx]D-PDP'!$BB$32</v>
      </c>
      <c r="J22" s="37" t="s">
        <v>2023</v>
      </c>
    </row>
    <row r="23" spans="1:10" x14ac:dyDescent="0.3">
      <c r="A23" s="32" t="s">
        <v>14</v>
      </c>
      <c r="B23" s="32">
        <f>+B22+1</f>
        <v>2044</v>
      </c>
      <c r="C23" s="33" t="s">
        <v>31</v>
      </c>
      <c r="D23" s="34" t="s">
        <v>2002</v>
      </c>
      <c r="E23" s="35" t="str">
        <f t="shared" ref="E23:E38" si="7">_xlfn.CONCAT(A23,"'!")</f>
        <v>PDP'!</v>
      </c>
      <c r="F23" s="34" t="str">
        <f t="shared" ref="F23:F38" si="8">_xlfn.CONCAT(D23:E23)</f>
        <v>C:\Users\jaime.benazar\Quorum Business Solutions\Ecopetrol Prometeo - Documents\Planning Space Implementation\3. Analysis &amp; Design\Design\FC22\DRR Jaime\Neiva CPI\[DINA TERCIARIOS_CF_SEC_New_27-Mar-2024.xlsx]D-PDP'!</v>
      </c>
      <c r="G23" s="32" t="s">
        <v>112</v>
      </c>
      <c r="H23" s="33">
        <f t="shared" ref="H23:H38" si="9">IF(A23&lt;&gt;A22,12,H22+1)</f>
        <v>33</v>
      </c>
      <c r="I23" s="33" t="str">
        <f t="shared" ref="I23:I38" si="10">_xlfn.CONCAT("='",F23:H23)</f>
        <v>='C:\Users\jaime.benazar\Quorum Business Solutions\Ecopetrol Prometeo - Documents\Planning Space Implementation\3. Analysis &amp; Design\Design\FC22\DRR Jaime\Neiva CPI\[DINA TERCIARIOS_CF_SEC_New_27-Mar-2024.xlsx]D-PDP'!$BB$33</v>
      </c>
      <c r="J23" s="37" t="s">
        <v>2024</v>
      </c>
    </row>
    <row r="24" spans="1:10" x14ac:dyDescent="0.3">
      <c r="A24" s="32" t="s">
        <v>14</v>
      </c>
      <c r="B24" s="32">
        <f t="shared" ref="B24:B38" si="11">+B23+1</f>
        <v>2045</v>
      </c>
      <c r="C24" s="33" t="s">
        <v>31</v>
      </c>
      <c r="D24" s="34" t="s">
        <v>2002</v>
      </c>
      <c r="E24" s="35" t="str">
        <f t="shared" si="7"/>
        <v>PDP'!</v>
      </c>
      <c r="F24" s="34" t="str">
        <f t="shared" si="8"/>
        <v>C:\Users\jaime.benazar\Quorum Business Solutions\Ecopetrol Prometeo - Documents\Planning Space Implementation\3. Analysis &amp; Design\Design\FC22\DRR Jaime\Neiva CPI\[DINA TERCIARIOS_CF_SEC_New_27-Mar-2024.xlsx]D-PDP'!</v>
      </c>
      <c r="G24" s="32" t="s">
        <v>112</v>
      </c>
      <c r="H24" s="33">
        <f t="shared" si="9"/>
        <v>34</v>
      </c>
      <c r="I24" s="33" t="str">
        <f t="shared" si="10"/>
        <v>='C:\Users\jaime.benazar\Quorum Business Solutions\Ecopetrol Prometeo - Documents\Planning Space Implementation\3. Analysis &amp; Design\Design\FC22\DRR Jaime\Neiva CPI\[DINA TERCIARIOS_CF_SEC_New_27-Mar-2024.xlsx]D-PDP'!$BB$34</v>
      </c>
      <c r="J24" s="37" t="s">
        <v>2025</v>
      </c>
    </row>
    <row r="25" spans="1:10" x14ac:dyDescent="0.3">
      <c r="A25" s="32" t="s">
        <v>14</v>
      </c>
      <c r="B25" s="32">
        <f t="shared" si="11"/>
        <v>2046</v>
      </c>
      <c r="C25" s="33" t="s">
        <v>31</v>
      </c>
      <c r="D25" s="34" t="s">
        <v>2002</v>
      </c>
      <c r="E25" s="35" t="str">
        <f t="shared" si="7"/>
        <v>PDP'!</v>
      </c>
      <c r="F25" s="34" t="str">
        <f t="shared" si="8"/>
        <v>C:\Users\jaime.benazar\Quorum Business Solutions\Ecopetrol Prometeo - Documents\Planning Space Implementation\3. Analysis &amp; Design\Design\FC22\DRR Jaime\Neiva CPI\[DINA TERCIARIOS_CF_SEC_New_27-Mar-2024.xlsx]D-PDP'!</v>
      </c>
      <c r="G25" s="32" t="s">
        <v>112</v>
      </c>
      <c r="H25" s="33">
        <f t="shared" si="9"/>
        <v>35</v>
      </c>
      <c r="I25" s="33" t="str">
        <f t="shared" si="10"/>
        <v>='C:\Users\jaime.benazar\Quorum Business Solutions\Ecopetrol Prometeo - Documents\Planning Space Implementation\3. Analysis &amp; Design\Design\FC22\DRR Jaime\Neiva CPI\[DINA TERCIARIOS_CF_SEC_New_27-Mar-2024.xlsx]D-PDP'!$BB$35</v>
      </c>
      <c r="J25" s="37" t="s">
        <v>2026</v>
      </c>
    </row>
    <row r="26" spans="1:10" x14ac:dyDescent="0.3">
      <c r="A26" s="32" t="s">
        <v>14</v>
      </c>
      <c r="B26" s="32">
        <f t="shared" si="11"/>
        <v>2047</v>
      </c>
      <c r="C26" s="33" t="s">
        <v>31</v>
      </c>
      <c r="D26" s="34" t="s">
        <v>2002</v>
      </c>
      <c r="E26" s="35" t="str">
        <f t="shared" si="7"/>
        <v>PDP'!</v>
      </c>
      <c r="F26" s="34" t="str">
        <f t="shared" si="8"/>
        <v>C:\Users\jaime.benazar\Quorum Business Solutions\Ecopetrol Prometeo - Documents\Planning Space Implementation\3. Analysis &amp; Design\Design\FC22\DRR Jaime\Neiva CPI\[DINA TERCIARIOS_CF_SEC_New_27-Mar-2024.xlsx]D-PDP'!</v>
      </c>
      <c r="G26" s="32" t="s">
        <v>112</v>
      </c>
      <c r="H26" s="33">
        <f t="shared" si="9"/>
        <v>36</v>
      </c>
      <c r="I26" s="33" t="str">
        <f t="shared" si="10"/>
        <v>='C:\Users\jaime.benazar\Quorum Business Solutions\Ecopetrol Prometeo - Documents\Planning Space Implementation\3. Analysis &amp; Design\Design\FC22\DRR Jaime\Neiva CPI\[DINA TERCIARIOS_CF_SEC_New_27-Mar-2024.xlsx]D-PDP'!$BB$36</v>
      </c>
      <c r="J26" s="37" t="s">
        <v>2027</v>
      </c>
    </row>
    <row r="27" spans="1:10" x14ac:dyDescent="0.3">
      <c r="A27" s="32" t="s">
        <v>14</v>
      </c>
      <c r="B27" s="32">
        <f t="shared" si="11"/>
        <v>2048</v>
      </c>
      <c r="C27" s="33" t="s">
        <v>31</v>
      </c>
      <c r="D27" s="34" t="s">
        <v>2002</v>
      </c>
      <c r="E27" s="35" t="str">
        <f t="shared" si="7"/>
        <v>PDP'!</v>
      </c>
      <c r="F27" s="34" t="str">
        <f t="shared" si="8"/>
        <v>C:\Users\jaime.benazar\Quorum Business Solutions\Ecopetrol Prometeo - Documents\Planning Space Implementation\3. Analysis &amp; Design\Design\FC22\DRR Jaime\Neiva CPI\[DINA TERCIARIOS_CF_SEC_New_27-Mar-2024.xlsx]D-PDP'!</v>
      </c>
      <c r="G27" s="32" t="s">
        <v>112</v>
      </c>
      <c r="H27" s="33">
        <f t="shared" si="9"/>
        <v>37</v>
      </c>
      <c r="I27" s="33" t="str">
        <f t="shared" si="10"/>
        <v>='C:\Users\jaime.benazar\Quorum Business Solutions\Ecopetrol Prometeo - Documents\Planning Space Implementation\3. Analysis &amp; Design\Design\FC22\DRR Jaime\Neiva CPI\[DINA TERCIARIOS_CF_SEC_New_27-Mar-2024.xlsx]D-PDP'!$BB$37</v>
      </c>
      <c r="J27" s="37" t="s">
        <v>2028</v>
      </c>
    </row>
    <row r="28" spans="1:10" x14ac:dyDescent="0.3">
      <c r="A28" s="32" t="s">
        <v>14</v>
      </c>
      <c r="B28" s="32">
        <f t="shared" si="11"/>
        <v>2049</v>
      </c>
      <c r="C28" s="33" t="s">
        <v>31</v>
      </c>
      <c r="D28" s="34" t="s">
        <v>2002</v>
      </c>
      <c r="E28" s="35" t="str">
        <f t="shared" si="7"/>
        <v>PDP'!</v>
      </c>
      <c r="F28" s="34" t="str">
        <f t="shared" si="8"/>
        <v>C:\Users\jaime.benazar\Quorum Business Solutions\Ecopetrol Prometeo - Documents\Planning Space Implementation\3. Analysis &amp; Design\Design\FC22\DRR Jaime\Neiva CPI\[DINA TERCIARIOS_CF_SEC_New_27-Mar-2024.xlsx]D-PDP'!</v>
      </c>
      <c r="G28" s="32" t="s">
        <v>112</v>
      </c>
      <c r="H28" s="33">
        <f t="shared" si="9"/>
        <v>38</v>
      </c>
      <c r="I28" s="33" t="str">
        <f t="shared" si="10"/>
        <v>='C:\Users\jaime.benazar\Quorum Business Solutions\Ecopetrol Prometeo - Documents\Planning Space Implementation\3. Analysis &amp; Design\Design\FC22\DRR Jaime\Neiva CPI\[DINA TERCIARIOS_CF_SEC_New_27-Mar-2024.xlsx]D-PDP'!$BB$38</v>
      </c>
      <c r="J28" s="37" t="s">
        <v>2029</v>
      </c>
    </row>
    <row r="29" spans="1:10" x14ac:dyDescent="0.3">
      <c r="A29" s="32" t="s">
        <v>14</v>
      </c>
      <c r="B29" s="32">
        <f t="shared" si="11"/>
        <v>2050</v>
      </c>
      <c r="C29" s="33" t="s">
        <v>31</v>
      </c>
      <c r="D29" s="34" t="s">
        <v>2002</v>
      </c>
      <c r="E29" s="35" t="str">
        <f t="shared" si="7"/>
        <v>PDP'!</v>
      </c>
      <c r="F29" s="34" t="str">
        <f t="shared" si="8"/>
        <v>C:\Users\jaime.benazar\Quorum Business Solutions\Ecopetrol Prometeo - Documents\Planning Space Implementation\3. Analysis &amp; Design\Design\FC22\DRR Jaime\Neiva CPI\[DINA TERCIARIOS_CF_SEC_New_27-Mar-2024.xlsx]D-PDP'!</v>
      </c>
      <c r="G29" s="32" t="s">
        <v>112</v>
      </c>
      <c r="H29" s="33">
        <f t="shared" si="9"/>
        <v>39</v>
      </c>
      <c r="I29" s="33" t="str">
        <f t="shared" si="10"/>
        <v>='C:\Users\jaime.benazar\Quorum Business Solutions\Ecopetrol Prometeo - Documents\Planning Space Implementation\3. Analysis &amp; Design\Design\FC22\DRR Jaime\Neiva CPI\[DINA TERCIARIOS_CF_SEC_New_27-Mar-2024.xlsx]D-PDP'!$BB$39</v>
      </c>
      <c r="J29" s="37" t="s">
        <v>2030</v>
      </c>
    </row>
    <row r="30" spans="1:10" x14ac:dyDescent="0.3">
      <c r="A30" s="32" t="s">
        <v>14</v>
      </c>
      <c r="B30" s="32">
        <f t="shared" si="11"/>
        <v>2051</v>
      </c>
      <c r="C30" s="33" t="s">
        <v>31</v>
      </c>
      <c r="D30" s="34" t="s">
        <v>2002</v>
      </c>
      <c r="E30" s="35" t="str">
        <f t="shared" si="7"/>
        <v>PDP'!</v>
      </c>
      <c r="F30" s="34" t="str">
        <f t="shared" si="8"/>
        <v>C:\Users\jaime.benazar\Quorum Business Solutions\Ecopetrol Prometeo - Documents\Planning Space Implementation\3. Analysis &amp; Design\Design\FC22\DRR Jaime\Neiva CPI\[DINA TERCIARIOS_CF_SEC_New_27-Mar-2024.xlsx]D-PDP'!</v>
      </c>
      <c r="G30" s="32" t="s">
        <v>112</v>
      </c>
      <c r="H30" s="33">
        <f t="shared" si="9"/>
        <v>40</v>
      </c>
      <c r="I30" s="33" t="str">
        <f t="shared" si="10"/>
        <v>='C:\Users\jaime.benazar\Quorum Business Solutions\Ecopetrol Prometeo - Documents\Planning Space Implementation\3. Analysis &amp; Design\Design\FC22\DRR Jaime\Neiva CPI\[DINA TERCIARIOS_CF_SEC_New_27-Mar-2024.xlsx]D-PDP'!$BB$40</v>
      </c>
      <c r="J30" s="37" t="s">
        <v>2031</v>
      </c>
    </row>
    <row r="31" spans="1:10" x14ac:dyDescent="0.3">
      <c r="A31" s="32" t="s">
        <v>14</v>
      </c>
      <c r="B31" s="32">
        <f t="shared" si="11"/>
        <v>2052</v>
      </c>
      <c r="C31" s="33" t="s">
        <v>31</v>
      </c>
      <c r="D31" s="34" t="s">
        <v>2002</v>
      </c>
      <c r="E31" s="35" t="str">
        <f t="shared" si="7"/>
        <v>PDP'!</v>
      </c>
      <c r="F31" s="34" t="str">
        <f t="shared" si="8"/>
        <v>C:\Users\jaime.benazar\Quorum Business Solutions\Ecopetrol Prometeo - Documents\Planning Space Implementation\3. Analysis &amp; Design\Design\FC22\DRR Jaime\Neiva CPI\[DINA TERCIARIOS_CF_SEC_New_27-Mar-2024.xlsx]D-PDP'!</v>
      </c>
      <c r="G31" s="32" t="s">
        <v>112</v>
      </c>
      <c r="H31" s="33">
        <f t="shared" si="9"/>
        <v>41</v>
      </c>
      <c r="I31" s="33" t="str">
        <f t="shared" si="10"/>
        <v>='C:\Users\jaime.benazar\Quorum Business Solutions\Ecopetrol Prometeo - Documents\Planning Space Implementation\3. Analysis &amp; Design\Design\FC22\DRR Jaime\Neiva CPI\[DINA TERCIARIOS_CF_SEC_New_27-Mar-2024.xlsx]D-PDP'!$BB$41</v>
      </c>
      <c r="J31" s="37" t="s">
        <v>2032</v>
      </c>
    </row>
    <row r="32" spans="1:10" x14ac:dyDescent="0.3">
      <c r="A32" s="32" t="s">
        <v>14</v>
      </c>
      <c r="B32" s="32">
        <f t="shared" si="11"/>
        <v>2053</v>
      </c>
      <c r="C32" s="33" t="s">
        <v>31</v>
      </c>
      <c r="D32" s="34" t="s">
        <v>2002</v>
      </c>
      <c r="E32" s="35" t="str">
        <f t="shared" si="7"/>
        <v>PDP'!</v>
      </c>
      <c r="F32" s="34" t="str">
        <f t="shared" si="8"/>
        <v>C:\Users\jaime.benazar\Quorum Business Solutions\Ecopetrol Prometeo - Documents\Planning Space Implementation\3. Analysis &amp; Design\Design\FC22\DRR Jaime\Neiva CPI\[DINA TERCIARIOS_CF_SEC_New_27-Mar-2024.xlsx]D-PDP'!</v>
      </c>
      <c r="G32" s="32" t="s">
        <v>112</v>
      </c>
      <c r="H32" s="33">
        <f t="shared" si="9"/>
        <v>42</v>
      </c>
      <c r="I32" s="33" t="str">
        <f t="shared" si="10"/>
        <v>='C:\Users\jaime.benazar\Quorum Business Solutions\Ecopetrol Prometeo - Documents\Planning Space Implementation\3. Analysis &amp; Design\Design\FC22\DRR Jaime\Neiva CPI\[DINA TERCIARIOS_CF_SEC_New_27-Mar-2024.xlsx]D-PDP'!$BB$42</v>
      </c>
      <c r="J32" s="37" t="s">
        <v>2033</v>
      </c>
    </row>
    <row r="33" spans="1:25" x14ac:dyDescent="0.3">
      <c r="A33" s="32" t="s">
        <v>14</v>
      </c>
      <c r="B33" s="32">
        <f t="shared" si="11"/>
        <v>2054</v>
      </c>
      <c r="C33" s="33" t="s">
        <v>31</v>
      </c>
      <c r="D33" s="34" t="s">
        <v>2002</v>
      </c>
      <c r="E33" s="35" t="str">
        <f t="shared" si="7"/>
        <v>PDP'!</v>
      </c>
      <c r="F33" s="34" t="str">
        <f t="shared" si="8"/>
        <v>C:\Users\jaime.benazar\Quorum Business Solutions\Ecopetrol Prometeo - Documents\Planning Space Implementation\3. Analysis &amp; Design\Design\FC22\DRR Jaime\Neiva CPI\[DINA TERCIARIOS_CF_SEC_New_27-Mar-2024.xlsx]D-PDP'!</v>
      </c>
      <c r="G33" s="32" t="s">
        <v>112</v>
      </c>
      <c r="H33" s="33">
        <f t="shared" si="9"/>
        <v>43</v>
      </c>
      <c r="I33" s="33" t="str">
        <f t="shared" si="10"/>
        <v>='C:\Users\jaime.benazar\Quorum Business Solutions\Ecopetrol Prometeo - Documents\Planning Space Implementation\3. Analysis &amp; Design\Design\FC22\DRR Jaime\Neiva CPI\[DINA TERCIARIOS_CF_SEC_New_27-Mar-2024.xlsx]D-PDP'!$BB$43</v>
      </c>
      <c r="J33" s="37" t="s">
        <v>2034</v>
      </c>
    </row>
    <row r="34" spans="1:25" x14ac:dyDescent="0.3">
      <c r="A34" s="32" t="s">
        <v>14</v>
      </c>
      <c r="B34" s="32">
        <f t="shared" si="11"/>
        <v>2055</v>
      </c>
      <c r="C34" s="33" t="s">
        <v>31</v>
      </c>
      <c r="D34" s="34" t="s">
        <v>2002</v>
      </c>
      <c r="E34" s="35" t="str">
        <f t="shared" si="7"/>
        <v>PDP'!</v>
      </c>
      <c r="F34" s="34" t="str">
        <f t="shared" si="8"/>
        <v>C:\Users\jaime.benazar\Quorum Business Solutions\Ecopetrol Prometeo - Documents\Planning Space Implementation\3. Analysis &amp; Design\Design\FC22\DRR Jaime\Neiva CPI\[DINA TERCIARIOS_CF_SEC_New_27-Mar-2024.xlsx]D-PDP'!</v>
      </c>
      <c r="G34" s="32" t="s">
        <v>112</v>
      </c>
      <c r="H34" s="33">
        <f t="shared" si="9"/>
        <v>44</v>
      </c>
      <c r="I34" s="33" t="str">
        <f t="shared" si="10"/>
        <v>='C:\Users\jaime.benazar\Quorum Business Solutions\Ecopetrol Prometeo - Documents\Planning Space Implementation\3. Analysis &amp; Design\Design\FC22\DRR Jaime\Neiva CPI\[DINA TERCIARIOS_CF_SEC_New_27-Mar-2024.xlsx]D-PDP'!$BB$44</v>
      </c>
      <c r="J34" s="37" t="s">
        <v>2035</v>
      </c>
    </row>
    <row r="35" spans="1:25" x14ac:dyDescent="0.3">
      <c r="A35" s="32" t="s">
        <v>14</v>
      </c>
      <c r="B35" s="32">
        <f t="shared" si="11"/>
        <v>2056</v>
      </c>
      <c r="C35" s="33" t="s">
        <v>31</v>
      </c>
      <c r="D35" s="34" t="s">
        <v>2002</v>
      </c>
      <c r="E35" s="35" t="str">
        <f t="shared" si="7"/>
        <v>PDP'!</v>
      </c>
      <c r="F35" s="34" t="str">
        <f t="shared" si="8"/>
        <v>C:\Users\jaime.benazar\Quorum Business Solutions\Ecopetrol Prometeo - Documents\Planning Space Implementation\3. Analysis &amp; Design\Design\FC22\DRR Jaime\Neiva CPI\[DINA TERCIARIOS_CF_SEC_New_27-Mar-2024.xlsx]D-PDP'!</v>
      </c>
      <c r="G35" s="32" t="s">
        <v>112</v>
      </c>
      <c r="H35" s="33">
        <f t="shared" si="9"/>
        <v>45</v>
      </c>
      <c r="I35" s="33" t="str">
        <f t="shared" si="10"/>
        <v>='C:\Users\jaime.benazar\Quorum Business Solutions\Ecopetrol Prometeo - Documents\Planning Space Implementation\3. Analysis &amp; Design\Design\FC22\DRR Jaime\Neiva CPI\[DINA TERCIARIOS_CF_SEC_New_27-Mar-2024.xlsx]D-PDP'!$BB$45</v>
      </c>
      <c r="J35" s="37" t="s">
        <v>2036</v>
      </c>
    </row>
    <row r="36" spans="1:25" x14ac:dyDescent="0.3">
      <c r="A36" s="32" t="s">
        <v>14</v>
      </c>
      <c r="B36" s="32">
        <f t="shared" si="11"/>
        <v>2057</v>
      </c>
      <c r="C36" s="33" t="s">
        <v>31</v>
      </c>
      <c r="D36" s="34" t="s">
        <v>2002</v>
      </c>
      <c r="E36" s="35" t="str">
        <f t="shared" si="7"/>
        <v>PDP'!</v>
      </c>
      <c r="F36" s="34" t="str">
        <f t="shared" si="8"/>
        <v>C:\Users\jaime.benazar\Quorum Business Solutions\Ecopetrol Prometeo - Documents\Planning Space Implementation\3. Analysis &amp; Design\Design\FC22\DRR Jaime\Neiva CPI\[DINA TERCIARIOS_CF_SEC_New_27-Mar-2024.xlsx]D-PDP'!</v>
      </c>
      <c r="G36" s="32" t="s">
        <v>112</v>
      </c>
      <c r="H36" s="33">
        <f t="shared" si="9"/>
        <v>46</v>
      </c>
      <c r="I36" s="33" t="str">
        <f t="shared" si="10"/>
        <v>='C:\Users\jaime.benazar\Quorum Business Solutions\Ecopetrol Prometeo - Documents\Planning Space Implementation\3. Analysis &amp; Design\Design\FC22\DRR Jaime\Neiva CPI\[DINA TERCIARIOS_CF_SEC_New_27-Mar-2024.xlsx]D-PDP'!$BB$46</v>
      </c>
      <c r="J36" s="37" t="s">
        <v>2037</v>
      </c>
    </row>
    <row r="37" spans="1:25" x14ac:dyDescent="0.3">
      <c r="A37" s="32" t="s">
        <v>14</v>
      </c>
      <c r="B37" s="32">
        <f t="shared" si="11"/>
        <v>2058</v>
      </c>
      <c r="C37" s="33" t="s">
        <v>31</v>
      </c>
      <c r="D37" s="34" t="s">
        <v>2002</v>
      </c>
      <c r="E37" s="35" t="str">
        <f t="shared" si="7"/>
        <v>PDP'!</v>
      </c>
      <c r="F37" s="34" t="str">
        <f t="shared" si="8"/>
        <v>C:\Users\jaime.benazar\Quorum Business Solutions\Ecopetrol Prometeo - Documents\Planning Space Implementation\3. Analysis &amp; Design\Design\FC22\DRR Jaime\Neiva CPI\[DINA TERCIARIOS_CF_SEC_New_27-Mar-2024.xlsx]D-PDP'!</v>
      </c>
      <c r="G37" s="32" t="s">
        <v>112</v>
      </c>
      <c r="H37" s="33">
        <f t="shared" si="9"/>
        <v>47</v>
      </c>
      <c r="I37" s="33" t="str">
        <f t="shared" si="10"/>
        <v>='C:\Users\jaime.benazar\Quorum Business Solutions\Ecopetrol Prometeo - Documents\Planning Space Implementation\3. Analysis &amp; Design\Design\FC22\DRR Jaime\Neiva CPI\[DINA TERCIARIOS_CF_SEC_New_27-Mar-2024.xlsx]D-PDP'!$BB$47</v>
      </c>
      <c r="J37" s="37" t="s">
        <v>2038</v>
      </c>
    </row>
    <row r="38" spans="1:25" x14ac:dyDescent="0.3">
      <c r="A38" s="32" t="s">
        <v>14</v>
      </c>
      <c r="B38" s="32">
        <f t="shared" si="11"/>
        <v>2059</v>
      </c>
      <c r="C38" s="33" t="s">
        <v>31</v>
      </c>
      <c r="D38" s="34" t="s">
        <v>2002</v>
      </c>
      <c r="E38" s="35" t="str">
        <f t="shared" si="7"/>
        <v>PDP'!</v>
      </c>
      <c r="F38" s="34" t="str">
        <f t="shared" si="8"/>
        <v>C:\Users\jaime.benazar\Quorum Business Solutions\Ecopetrol Prometeo - Documents\Planning Space Implementation\3. Analysis &amp; Design\Design\FC22\DRR Jaime\Neiva CPI\[DINA TERCIARIOS_CF_SEC_New_27-Mar-2024.xlsx]D-PDP'!</v>
      </c>
      <c r="G38" s="32" t="s">
        <v>112</v>
      </c>
      <c r="H38" s="33">
        <f t="shared" si="9"/>
        <v>48</v>
      </c>
      <c r="I38" s="33" t="str">
        <f t="shared" si="10"/>
        <v>='C:\Users\jaime.benazar\Quorum Business Solutions\Ecopetrol Prometeo - Documents\Planning Space Implementation\3. Analysis &amp; Design\Design\FC22\DRR Jaime\Neiva CPI\[DINA TERCIARIOS_CF_SEC_New_27-Mar-2024.xlsx]D-PDP'!$BB$48</v>
      </c>
      <c r="J38" s="37" t="s">
        <v>2039</v>
      </c>
    </row>
    <row r="39" spans="1:25" x14ac:dyDescent="0.3">
      <c r="A39" s="32" t="s">
        <v>26</v>
      </c>
      <c r="B39" s="32"/>
      <c r="C39" s="33" t="s">
        <v>31</v>
      </c>
      <c r="D39" s="34"/>
      <c r="E39" s="35"/>
      <c r="F39" s="34"/>
      <c r="G39" s="32"/>
      <c r="H39" s="33"/>
      <c r="I39" s="33"/>
      <c r="J39" s="33"/>
    </row>
    <row r="40" spans="1:25" x14ac:dyDescent="0.3">
      <c r="A40" s="32" t="s">
        <v>15</v>
      </c>
      <c r="B40" s="32">
        <v>2023</v>
      </c>
      <c r="C40" s="33" t="s">
        <v>31</v>
      </c>
      <c r="D40" s="34" t="s">
        <v>2002</v>
      </c>
      <c r="E40" s="35" t="str">
        <f t="shared" si="0"/>
        <v>PNP'!</v>
      </c>
      <c r="F40" s="34" t="str">
        <f t="shared" si="1"/>
        <v>C:\Users\jaime.benazar\Quorum Business Solutions\Ecopetrol Prometeo - Documents\Planning Space Implementation\3. Analysis &amp; Design\Design\FC22\DRR Jaime\Neiva CPI\[DINA TERCIARIOS_CF_SEC_New_27-Mar-2024.xlsx]D-PNP'!</v>
      </c>
      <c r="G40" s="32" t="s">
        <v>112</v>
      </c>
      <c r="H40" s="33">
        <v>12</v>
      </c>
      <c r="I40" s="33" t="str">
        <f t="shared" si="2"/>
        <v>='C:\Users\jaime.benazar\Quorum Business Solutions\Ecopetrol Prometeo - Documents\Planning Space Implementation\3. Analysis &amp; Design\Design\FC22\DRR Jaime\Neiva CPI\[DINA TERCIARIOS_CF_SEC_New_27-Mar-2024.xlsx]D-PNP'!$BB$12</v>
      </c>
      <c r="J40" s="37" t="s">
        <v>2040</v>
      </c>
    </row>
    <row r="41" spans="1:25" x14ac:dyDescent="0.3">
      <c r="A41" s="32" t="s">
        <v>15</v>
      </c>
      <c r="B41" s="32">
        <f>+B40+1</f>
        <v>2024</v>
      </c>
      <c r="C41" s="33" t="s">
        <v>31</v>
      </c>
      <c r="D41" s="34" t="s">
        <v>2002</v>
      </c>
      <c r="E41" s="35" t="str">
        <f t="shared" si="0"/>
        <v>PNP'!</v>
      </c>
      <c r="F41" s="34" t="str">
        <f t="shared" si="1"/>
        <v>C:\Users\jaime.benazar\Quorum Business Solutions\Ecopetrol Prometeo - Documents\Planning Space Implementation\3. Analysis &amp; Design\Design\FC22\DRR Jaime\Neiva CPI\[DINA TERCIARIOS_CF_SEC_New_27-Mar-2024.xlsx]D-PNP'!</v>
      </c>
      <c r="G41" s="32" t="s">
        <v>112</v>
      </c>
      <c r="H41" s="33">
        <f>IF(A41&lt;&gt;A40,12,H40+1)</f>
        <v>13</v>
      </c>
      <c r="I41" s="33" t="str">
        <f t="shared" si="2"/>
        <v>='C:\Users\jaime.benazar\Quorum Business Solutions\Ecopetrol Prometeo - Documents\Planning Space Implementation\3. Analysis &amp; Design\Design\FC22\DRR Jaime\Neiva CPI\[DINA TERCIARIOS_CF_SEC_New_27-Mar-2024.xlsx]D-PNP'!$BB$13</v>
      </c>
      <c r="J41" s="37" t="s">
        <v>2041</v>
      </c>
    </row>
    <row r="42" spans="1:25" x14ac:dyDescent="0.3">
      <c r="A42" s="32" t="s">
        <v>15</v>
      </c>
      <c r="B42" s="32">
        <f t="shared" ref="B42:B53" si="12">+B41+1</f>
        <v>2025</v>
      </c>
      <c r="C42" s="33" t="s">
        <v>31</v>
      </c>
      <c r="D42" s="34" t="s">
        <v>2002</v>
      </c>
      <c r="E42" s="35" t="str">
        <f t="shared" si="0"/>
        <v>PNP'!</v>
      </c>
      <c r="F42" s="34" t="str">
        <f t="shared" si="1"/>
        <v>C:\Users\jaime.benazar\Quorum Business Solutions\Ecopetrol Prometeo - Documents\Planning Space Implementation\3. Analysis &amp; Design\Design\FC22\DRR Jaime\Neiva CPI\[DINA TERCIARIOS_CF_SEC_New_27-Mar-2024.xlsx]D-PNP'!</v>
      </c>
      <c r="G42" s="32" t="s">
        <v>112</v>
      </c>
      <c r="H42" s="33">
        <f t="shared" ref="H42:H60" si="13">IF(A42&lt;&gt;A41,12,H41+1)</f>
        <v>14</v>
      </c>
      <c r="I42" s="33" t="str">
        <f t="shared" si="2"/>
        <v>='C:\Users\jaime.benazar\Quorum Business Solutions\Ecopetrol Prometeo - Documents\Planning Space Implementation\3. Analysis &amp; Design\Design\FC22\DRR Jaime\Neiva CPI\[DINA TERCIARIOS_CF_SEC_New_27-Mar-2024.xlsx]D-PNP'!$BB$14</v>
      </c>
      <c r="J42" s="37" t="s">
        <v>2042</v>
      </c>
    </row>
    <row r="43" spans="1:25" x14ac:dyDescent="0.3">
      <c r="A43" s="32" t="s">
        <v>15</v>
      </c>
      <c r="B43" s="32">
        <f t="shared" si="12"/>
        <v>2026</v>
      </c>
      <c r="C43" s="33" t="s">
        <v>31</v>
      </c>
      <c r="D43" s="34" t="s">
        <v>2002</v>
      </c>
      <c r="E43" s="35" t="str">
        <f t="shared" si="0"/>
        <v>PNP'!</v>
      </c>
      <c r="F43" s="34" t="str">
        <f t="shared" si="1"/>
        <v>C:\Users\jaime.benazar\Quorum Business Solutions\Ecopetrol Prometeo - Documents\Planning Space Implementation\3. Analysis &amp; Design\Design\FC22\DRR Jaime\Neiva CPI\[DINA TERCIARIOS_CF_SEC_New_27-Mar-2024.xlsx]D-PNP'!</v>
      </c>
      <c r="G43" s="32" t="s">
        <v>112</v>
      </c>
      <c r="H43" s="33">
        <f t="shared" si="13"/>
        <v>15</v>
      </c>
      <c r="I43" s="33" t="str">
        <f t="shared" si="2"/>
        <v>='C:\Users\jaime.benazar\Quorum Business Solutions\Ecopetrol Prometeo - Documents\Planning Space Implementation\3. Analysis &amp; Design\Design\FC22\DRR Jaime\Neiva CPI\[DINA TERCIARIOS_CF_SEC_New_27-Mar-2024.xlsx]D-PNP'!$BB$15</v>
      </c>
      <c r="J43" s="37" t="s">
        <v>2043</v>
      </c>
    </row>
    <row r="44" spans="1:25" x14ac:dyDescent="0.3">
      <c r="A44" s="32" t="s">
        <v>15</v>
      </c>
      <c r="B44" s="32">
        <f t="shared" si="12"/>
        <v>2027</v>
      </c>
      <c r="C44" s="33" t="s">
        <v>31</v>
      </c>
      <c r="D44" s="34" t="s">
        <v>2002</v>
      </c>
      <c r="E44" s="35" t="str">
        <f t="shared" si="0"/>
        <v>PNP'!</v>
      </c>
      <c r="F44" s="34" t="str">
        <f t="shared" si="1"/>
        <v>C:\Users\jaime.benazar\Quorum Business Solutions\Ecopetrol Prometeo - Documents\Planning Space Implementation\3. Analysis &amp; Design\Design\FC22\DRR Jaime\Neiva CPI\[DINA TERCIARIOS_CF_SEC_New_27-Mar-2024.xlsx]D-PNP'!</v>
      </c>
      <c r="G44" s="32" t="s">
        <v>112</v>
      </c>
      <c r="H44" s="33">
        <f t="shared" si="13"/>
        <v>16</v>
      </c>
      <c r="I44" s="33" t="str">
        <f t="shared" si="2"/>
        <v>='C:\Users\jaime.benazar\Quorum Business Solutions\Ecopetrol Prometeo - Documents\Planning Space Implementation\3. Analysis &amp; Design\Design\FC22\DRR Jaime\Neiva CPI\[DINA TERCIARIOS_CF_SEC_New_27-Mar-2024.xlsx]D-PNP'!$BB$16</v>
      </c>
      <c r="J44" s="37" t="s">
        <v>2044</v>
      </c>
    </row>
    <row r="45" spans="1:25" x14ac:dyDescent="0.3">
      <c r="A45" s="32" t="s">
        <v>15</v>
      </c>
      <c r="B45" s="32">
        <f t="shared" si="12"/>
        <v>2028</v>
      </c>
      <c r="C45" s="33" t="s">
        <v>31</v>
      </c>
      <c r="D45" s="34" t="s">
        <v>2002</v>
      </c>
      <c r="E45" s="35" t="str">
        <f t="shared" si="0"/>
        <v>PNP'!</v>
      </c>
      <c r="F45" s="34" t="str">
        <f t="shared" si="1"/>
        <v>C:\Users\jaime.benazar\Quorum Business Solutions\Ecopetrol Prometeo - Documents\Planning Space Implementation\3. Analysis &amp; Design\Design\FC22\DRR Jaime\Neiva CPI\[DINA TERCIARIOS_CF_SEC_New_27-Mar-2024.xlsx]D-PNP'!</v>
      </c>
      <c r="G45" s="32" t="s">
        <v>112</v>
      </c>
      <c r="H45" s="33">
        <f t="shared" si="13"/>
        <v>17</v>
      </c>
      <c r="I45" s="33" t="str">
        <f t="shared" si="2"/>
        <v>='C:\Users\jaime.benazar\Quorum Business Solutions\Ecopetrol Prometeo - Documents\Planning Space Implementation\3. Analysis &amp; Design\Design\FC22\DRR Jaime\Neiva CPI\[DINA TERCIARIOS_CF_SEC_New_27-Mar-2024.xlsx]D-PNP'!$BB$17</v>
      </c>
      <c r="J45" s="37" t="s">
        <v>2045</v>
      </c>
    </row>
    <row r="46" spans="1:25" x14ac:dyDescent="0.3">
      <c r="A46" s="32" t="s">
        <v>15</v>
      </c>
      <c r="B46" s="32">
        <f t="shared" si="12"/>
        <v>2029</v>
      </c>
      <c r="C46" s="33" t="s">
        <v>31</v>
      </c>
      <c r="D46" s="34" t="s">
        <v>2002</v>
      </c>
      <c r="E46" s="35" t="str">
        <f t="shared" si="0"/>
        <v>PNP'!</v>
      </c>
      <c r="F46" s="34" t="str">
        <f t="shared" si="1"/>
        <v>C:\Users\jaime.benazar\Quorum Business Solutions\Ecopetrol Prometeo - Documents\Planning Space Implementation\3. Analysis &amp; Design\Design\FC22\DRR Jaime\Neiva CPI\[DINA TERCIARIOS_CF_SEC_New_27-Mar-2024.xlsx]D-PNP'!</v>
      </c>
      <c r="G46" s="32" t="s">
        <v>112</v>
      </c>
      <c r="H46" s="33">
        <f t="shared" si="13"/>
        <v>18</v>
      </c>
      <c r="I46" s="33" t="str">
        <f t="shared" si="2"/>
        <v>='C:\Users\jaime.benazar\Quorum Business Solutions\Ecopetrol Prometeo - Documents\Planning Space Implementation\3. Analysis &amp; Design\Design\FC22\DRR Jaime\Neiva CPI\[DINA TERCIARIOS_CF_SEC_New_27-Mar-2024.xlsx]D-PNP'!$BB$18</v>
      </c>
      <c r="J46" s="37" t="s">
        <v>2046</v>
      </c>
    </row>
    <row r="47" spans="1:25" x14ac:dyDescent="0.3">
      <c r="A47" s="32" t="s">
        <v>15</v>
      </c>
      <c r="B47" s="33">
        <f t="shared" si="12"/>
        <v>2030</v>
      </c>
      <c r="C47" s="33" t="s">
        <v>31</v>
      </c>
      <c r="D47" s="34" t="s">
        <v>2002</v>
      </c>
      <c r="E47" s="35" t="str">
        <f t="shared" ref="E47" si="14">_xlfn.CONCAT(A47,"'!")</f>
        <v>PNP'!</v>
      </c>
      <c r="F47" s="34" t="str">
        <f t="shared" ref="F47" si="15">_xlfn.CONCAT(D47:E47)</f>
        <v>C:\Users\jaime.benazar\Quorum Business Solutions\Ecopetrol Prometeo - Documents\Planning Space Implementation\3. Analysis &amp; Design\Design\FC22\DRR Jaime\Neiva CPI\[DINA TERCIARIOS_CF_SEC_New_27-Mar-2024.xlsx]D-PNP'!</v>
      </c>
      <c r="G47" s="32" t="s">
        <v>112</v>
      </c>
      <c r="H47" s="33">
        <f t="shared" ref="H47" si="16">IF(A47&lt;&gt;A46,12,H46+1)</f>
        <v>19</v>
      </c>
      <c r="I47" s="33" t="str">
        <f t="shared" ref="I47" si="17">_xlfn.CONCAT("='",F47:H47)</f>
        <v>='C:\Users\jaime.benazar\Quorum Business Solutions\Ecopetrol Prometeo - Documents\Planning Space Implementation\3. Analysis &amp; Design\Design\FC22\DRR Jaime\Neiva CPI\[DINA TERCIARIOS_CF_SEC_New_27-Mar-2024.xlsx]D-PNP'!$BB$19</v>
      </c>
      <c r="J47" s="37" t="s">
        <v>2047</v>
      </c>
      <c r="K47" s="33"/>
      <c r="L47" s="33"/>
      <c r="M47" s="33"/>
      <c r="N47" s="33"/>
      <c r="O47" s="33"/>
      <c r="P47" s="33"/>
      <c r="Q47" s="33"/>
      <c r="R47" s="33"/>
      <c r="S47" s="33"/>
      <c r="T47" s="33"/>
      <c r="U47" s="33"/>
      <c r="V47" s="33"/>
      <c r="W47" s="33"/>
      <c r="X47" s="33"/>
      <c r="Y47" s="33"/>
    </row>
    <row r="48" spans="1:25" x14ac:dyDescent="0.3">
      <c r="A48" s="32" t="s">
        <v>15</v>
      </c>
      <c r="B48" s="32">
        <f t="shared" si="12"/>
        <v>2031</v>
      </c>
      <c r="C48" s="33" t="s">
        <v>31</v>
      </c>
      <c r="D48" s="34" t="s">
        <v>2002</v>
      </c>
      <c r="E48" s="35" t="str">
        <f t="shared" si="0"/>
        <v>PNP'!</v>
      </c>
      <c r="F48" s="34" t="str">
        <f t="shared" si="1"/>
        <v>C:\Users\jaime.benazar\Quorum Business Solutions\Ecopetrol Prometeo - Documents\Planning Space Implementation\3. Analysis &amp; Design\Design\FC22\DRR Jaime\Neiva CPI\[DINA TERCIARIOS_CF_SEC_New_27-Mar-2024.xlsx]D-PNP'!</v>
      </c>
      <c r="G48" s="32" t="s">
        <v>112</v>
      </c>
      <c r="H48" s="33">
        <f t="shared" si="13"/>
        <v>20</v>
      </c>
      <c r="I48" s="33" t="str">
        <f t="shared" si="2"/>
        <v>='C:\Users\jaime.benazar\Quorum Business Solutions\Ecopetrol Prometeo - Documents\Planning Space Implementation\3. Analysis &amp; Design\Design\FC22\DRR Jaime\Neiva CPI\[DINA TERCIARIOS_CF_SEC_New_27-Mar-2024.xlsx]D-PNP'!$BB$20</v>
      </c>
      <c r="J48" s="37" t="s">
        <v>2048</v>
      </c>
    </row>
    <row r="49" spans="1:10" x14ac:dyDescent="0.3">
      <c r="A49" s="32" t="s">
        <v>15</v>
      </c>
      <c r="B49" s="32">
        <f t="shared" si="12"/>
        <v>2032</v>
      </c>
      <c r="C49" s="33" t="s">
        <v>31</v>
      </c>
      <c r="D49" s="34" t="s">
        <v>2002</v>
      </c>
      <c r="E49" s="35" t="str">
        <f t="shared" si="0"/>
        <v>PNP'!</v>
      </c>
      <c r="F49" s="34" t="str">
        <f t="shared" si="1"/>
        <v>C:\Users\jaime.benazar\Quorum Business Solutions\Ecopetrol Prometeo - Documents\Planning Space Implementation\3. Analysis &amp; Design\Design\FC22\DRR Jaime\Neiva CPI\[DINA TERCIARIOS_CF_SEC_New_27-Mar-2024.xlsx]D-PNP'!</v>
      </c>
      <c r="G49" s="32" t="s">
        <v>112</v>
      </c>
      <c r="H49" s="33">
        <f t="shared" si="13"/>
        <v>21</v>
      </c>
      <c r="I49" s="33" t="str">
        <f t="shared" si="2"/>
        <v>='C:\Users\jaime.benazar\Quorum Business Solutions\Ecopetrol Prometeo - Documents\Planning Space Implementation\3. Analysis &amp; Design\Design\FC22\DRR Jaime\Neiva CPI\[DINA TERCIARIOS_CF_SEC_New_27-Mar-2024.xlsx]D-PNP'!$BB$21</v>
      </c>
      <c r="J49" s="37" t="s">
        <v>2049</v>
      </c>
    </row>
    <row r="50" spans="1:10" x14ac:dyDescent="0.3">
      <c r="A50" s="32" t="s">
        <v>15</v>
      </c>
      <c r="B50" s="32">
        <f t="shared" si="12"/>
        <v>2033</v>
      </c>
      <c r="C50" s="33" t="s">
        <v>31</v>
      </c>
      <c r="D50" s="34" t="s">
        <v>2002</v>
      </c>
      <c r="E50" s="35" t="str">
        <f t="shared" si="0"/>
        <v>PNP'!</v>
      </c>
      <c r="F50" s="34" t="str">
        <f t="shared" si="1"/>
        <v>C:\Users\jaime.benazar\Quorum Business Solutions\Ecopetrol Prometeo - Documents\Planning Space Implementation\3. Analysis &amp; Design\Design\FC22\DRR Jaime\Neiva CPI\[DINA TERCIARIOS_CF_SEC_New_27-Mar-2024.xlsx]D-PNP'!</v>
      </c>
      <c r="G50" s="32" t="s">
        <v>112</v>
      </c>
      <c r="H50" s="33">
        <f t="shared" si="13"/>
        <v>22</v>
      </c>
      <c r="I50" s="33" t="str">
        <f t="shared" si="2"/>
        <v>='C:\Users\jaime.benazar\Quorum Business Solutions\Ecopetrol Prometeo - Documents\Planning Space Implementation\3. Analysis &amp; Design\Design\FC22\DRR Jaime\Neiva CPI\[DINA TERCIARIOS_CF_SEC_New_27-Mar-2024.xlsx]D-PNP'!$BB$22</v>
      </c>
      <c r="J50" s="37" t="s">
        <v>2050</v>
      </c>
    </row>
    <row r="51" spans="1:10" x14ac:dyDescent="0.3">
      <c r="A51" s="32" t="s">
        <v>15</v>
      </c>
      <c r="B51" s="32">
        <f t="shared" si="12"/>
        <v>2034</v>
      </c>
      <c r="C51" s="33" t="s">
        <v>31</v>
      </c>
      <c r="D51" s="34" t="s">
        <v>2002</v>
      </c>
      <c r="E51" s="35" t="str">
        <f t="shared" si="0"/>
        <v>PNP'!</v>
      </c>
      <c r="F51" s="34" t="str">
        <f t="shared" si="1"/>
        <v>C:\Users\jaime.benazar\Quorum Business Solutions\Ecopetrol Prometeo - Documents\Planning Space Implementation\3. Analysis &amp; Design\Design\FC22\DRR Jaime\Neiva CPI\[DINA TERCIARIOS_CF_SEC_New_27-Mar-2024.xlsx]D-PNP'!</v>
      </c>
      <c r="G51" s="32" t="s">
        <v>112</v>
      </c>
      <c r="H51" s="33">
        <f t="shared" si="13"/>
        <v>23</v>
      </c>
      <c r="I51" s="33" t="str">
        <f t="shared" si="2"/>
        <v>='C:\Users\jaime.benazar\Quorum Business Solutions\Ecopetrol Prometeo - Documents\Planning Space Implementation\3. Analysis &amp; Design\Design\FC22\DRR Jaime\Neiva CPI\[DINA TERCIARIOS_CF_SEC_New_27-Mar-2024.xlsx]D-PNP'!$BB$23</v>
      </c>
      <c r="J51" s="37" t="s">
        <v>2051</v>
      </c>
    </row>
    <row r="52" spans="1:10" x14ac:dyDescent="0.3">
      <c r="A52" s="32" t="s">
        <v>15</v>
      </c>
      <c r="B52" s="32">
        <f t="shared" si="12"/>
        <v>2035</v>
      </c>
      <c r="C52" s="33" t="s">
        <v>31</v>
      </c>
      <c r="D52" s="34" t="s">
        <v>2002</v>
      </c>
      <c r="E52" s="35" t="str">
        <f t="shared" si="0"/>
        <v>PNP'!</v>
      </c>
      <c r="F52" s="34" t="str">
        <f t="shared" si="1"/>
        <v>C:\Users\jaime.benazar\Quorum Business Solutions\Ecopetrol Prometeo - Documents\Planning Space Implementation\3. Analysis &amp; Design\Design\FC22\DRR Jaime\Neiva CPI\[DINA TERCIARIOS_CF_SEC_New_27-Mar-2024.xlsx]D-PNP'!</v>
      </c>
      <c r="G52" s="32" t="s">
        <v>112</v>
      </c>
      <c r="H52" s="33">
        <f t="shared" si="13"/>
        <v>24</v>
      </c>
      <c r="I52" s="33" t="str">
        <f t="shared" si="2"/>
        <v>='C:\Users\jaime.benazar\Quorum Business Solutions\Ecopetrol Prometeo - Documents\Planning Space Implementation\3. Analysis &amp; Design\Design\FC22\DRR Jaime\Neiva CPI\[DINA TERCIARIOS_CF_SEC_New_27-Mar-2024.xlsx]D-PNP'!$BB$24</v>
      </c>
      <c r="J52" s="37" t="s">
        <v>2052</v>
      </c>
    </row>
    <row r="53" spans="1:10" x14ac:dyDescent="0.3">
      <c r="A53" s="32" t="s">
        <v>15</v>
      </c>
      <c r="B53" s="32">
        <f t="shared" si="12"/>
        <v>2036</v>
      </c>
      <c r="C53" s="33" t="s">
        <v>31</v>
      </c>
      <c r="D53" s="34" t="s">
        <v>2002</v>
      </c>
      <c r="E53" s="35" t="str">
        <f t="shared" si="0"/>
        <v>PNP'!</v>
      </c>
      <c r="F53" s="34" t="str">
        <f t="shared" si="1"/>
        <v>C:\Users\jaime.benazar\Quorum Business Solutions\Ecopetrol Prometeo - Documents\Planning Space Implementation\3. Analysis &amp; Design\Design\FC22\DRR Jaime\Neiva CPI\[DINA TERCIARIOS_CF_SEC_New_27-Mar-2024.xlsx]D-PNP'!</v>
      </c>
      <c r="G53" s="32" t="s">
        <v>112</v>
      </c>
      <c r="H53" s="33">
        <f t="shared" si="13"/>
        <v>25</v>
      </c>
      <c r="I53" s="33" t="str">
        <f t="shared" si="2"/>
        <v>='C:\Users\jaime.benazar\Quorum Business Solutions\Ecopetrol Prometeo - Documents\Planning Space Implementation\3. Analysis &amp; Design\Design\FC22\DRR Jaime\Neiva CPI\[DINA TERCIARIOS_CF_SEC_New_27-Mar-2024.xlsx]D-PNP'!$BB$25</v>
      </c>
      <c r="J53" s="37" t="s">
        <v>2053</v>
      </c>
    </row>
    <row r="54" spans="1:10" x14ac:dyDescent="0.3">
      <c r="A54" s="32" t="s">
        <v>15</v>
      </c>
      <c r="B54" s="32">
        <f>+B53+1</f>
        <v>2037</v>
      </c>
      <c r="C54" s="33" t="s">
        <v>31</v>
      </c>
      <c r="D54" s="34" t="s">
        <v>2002</v>
      </c>
      <c r="E54" s="35" t="str">
        <f t="shared" si="0"/>
        <v>PNP'!</v>
      </c>
      <c r="F54" s="34" t="str">
        <f t="shared" si="1"/>
        <v>C:\Users\jaime.benazar\Quorum Business Solutions\Ecopetrol Prometeo - Documents\Planning Space Implementation\3. Analysis &amp; Design\Design\FC22\DRR Jaime\Neiva CPI\[DINA TERCIARIOS_CF_SEC_New_27-Mar-2024.xlsx]D-PNP'!</v>
      </c>
      <c r="G54" s="32" t="s">
        <v>112</v>
      </c>
      <c r="H54" s="33">
        <f t="shared" si="13"/>
        <v>26</v>
      </c>
      <c r="I54" s="33" t="str">
        <f t="shared" si="2"/>
        <v>='C:\Users\jaime.benazar\Quorum Business Solutions\Ecopetrol Prometeo - Documents\Planning Space Implementation\3. Analysis &amp; Design\Design\FC22\DRR Jaime\Neiva CPI\[DINA TERCIARIOS_CF_SEC_New_27-Mar-2024.xlsx]D-PNP'!$BB$26</v>
      </c>
      <c r="J54" s="37" t="s">
        <v>2054</v>
      </c>
    </row>
    <row r="55" spans="1:10" x14ac:dyDescent="0.3">
      <c r="A55" s="32" t="s">
        <v>15</v>
      </c>
      <c r="B55" s="32">
        <f t="shared" ref="B55:B57" si="18">+B54+1</f>
        <v>2038</v>
      </c>
      <c r="C55" s="33" t="s">
        <v>31</v>
      </c>
      <c r="D55" s="34" t="s">
        <v>2002</v>
      </c>
      <c r="E55" s="35" t="str">
        <f t="shared" si="0"/>
        <v>PNP'!</v>
      </c>
      <c r="F55" s="34" t="str">
        <f t="shared" si="1"/>
        <v>C:\Users\jaime.benazar\Quorum Business Solutions\Ecopetrol Prometeo - Documents\Planning Space Implementation\3. Analysis &amp; Design\Design\FC22\DRR Jaime\Neiva CPI\[DINA TERCIARIOS_CF_SEC_New_27-Mar-2024.xlsx]D-PNP'!</v>
      </c>
      <c r="G55" s="32" t="s">
        <v>112</v>
      </c>
      <c r="H55" s="33">
        <f t="shared" si="13"/>
        <v>27</v>
      </c>
      <c r="I55" s="33" t="str">
        <f t="shared" si="2"/>
        <v>='C:\Users\jaime.benazar\Quorum Business Solutions\Ecopetrol Prometeo - Documents\Planning Space Implementation\3. Analysis &amp; Design\Design\FC22\DRR Jaime\Neiva CPI\[DINA TERCIARIOS_CF_SEC_New_27-Mar-2024.xlsx]D-PNP'!$BB$27</v>
      </c>
      <c r="J55" s="37" t="s">
        <v>2055</v>
      </c>
    </row>
    <row r="56" spans="1:10" x14ac:dyDescent="0.3">
      <c r="A56" s="32" t="s">
        <v>15</v>
      </c>
      <c r="B56" s="32">
        <f t="shared" si="18"/>
        <v>2039</v>
      </c>
      <c r="C56" s="33" t="s">
        <v>31</v>
      </c>
      <c r="D56" s="34" t="s">
        <v>2002</v>
      </c>
      <c r="E56" s="35" t="str">
        <f t="shared" si="0"/>
        <v>PNP'!</v>
      </c>
      <c r="F56" s="34" t="str">
        <f t="shared" si="1"/>
        <v>C:\Users\jaime.benazar\Quorum Business Solutions\Ecopetrol Prometeo - Documents\Planning Space Implementation\3. Analysis &amp; Design\Design\FC22\DRR Jaime\Neiva CPI\[DINA TERCIARIOS_CF_SEC_New_27-Mar-2024.xlsx]D-PNP'!</v>
      </c>
      <c r="G56" s="32" t="s">
        <v>112</v>
      </c>
      <c r="H56" s="33">
        <f t="shared" si="13"/>
        <v>28</v>
      </c>
      <c r="I56" s="33" t="str">
        <f t="shared" si="2"/>
        <v>='C:\Users\jaime.benazar\Quorum Business Solutions\Ecopetrol Prometeo - Documents\Planning Space Implementation\3. Analysis &amp; Design\Design\FC22\DRR Jaime\Neiva CPI\[DINA TERCIARIOS_CF_SEC_New_27-Mar-2024.xlsx]D-PNP'!$BB$28</v>
      </c>
      <c r="J56" s="37" t="s">
        <v>2056</v>
      </c>
    </row>
    <row r="57" spans="1:10" x14ac:dyDescent="0.3">
      <c r="A57" s="32" t="s">
        <v>15</v>
      </c>
      <c r="B57" s="32">
        <f t="shared" si="18"/>
        <v>2040</v>
      </c>
      <c r="C57" s="33" t="s">
        <v>31</v>
      </c>
      <c r="D57" s="34" t="s">
        <v>2002</v>
      </c>
      <c r="E57" s="35" t="str">
        <f t="shared" si="0"/>
        <v>PNP'!</v>
      </c>
      <c r="F57" s="34" t="str">
        <f t="shared" si="1"/>
        <v>C:\Users\jaime.benazar\Quorum Business Solutions\Ecopetrol Prometeo - Documents\Planning Space Implementation\3. Analysis &amp; Design\Design\FC22\DRR Jaime\Neiva CPI\[DINA TERCIARIOS_CF_SEC_New_27-Mar-2024.xlsx]D-PNP'!</v>
      </c>
      <c r="G57" s="32" t="s">
        <v>112</v>
      </c>
      <c r="H57" s="33">
        <f t="shared" si="13"/>
        <v>29</v>
      </c>
      <c r="I57" s="33" t="str">
        <f t="shared" si="2"/>
        <v>='C:\Users\jaime.benazar\Quorum Business Solutions\Ecopetrol Prometeo - Documents\Planning Space Implementation\3. Analysis &amp; Design\Design\FC22\DRR Jaime\Neiva CPI\[DINA TERCIARIOS_CF_SEC_New_27-Mar-2024.xlsx]D-PNP'!$BB$29</v>
      </c>
      <c r="J57" s="37" t="s">
        <v>2057</v>
      </c>
    </row>
    <row r="58" spans="1:10" x14ac:dyDescent="0.3">
      <c r="A58" s="32" t="s">
        <v>15</v>
      </c>
      <c r="B58" s="32">
        <f>+B57+1</f>
        <v>2041</v>
      </c>
      <c r="C58" s="33" t="s">
        <v>31</v>
      </c>
      <c r="D58" s="34" t="s">
        <v>2002</v>
      </c>
      <c r="E58" s="35" t="str">
        <f t="shared" si="0"/>
        <v>PNP'!</v>
      </c>
      <c r="F58" s="34" t="str">
        <f t="shared" si="1"/>
        <v>C:\Users\jaime.benazar\Quorum Business Solutions\Ecopetrol Prometeo - Documents\Planning Space Implementation\3. Analysis &amp; Design\Design\FC22\DRR Jaime\Neiva CPI\[DINA TERCIARIOS_CF_SEC_New_27-Mar-2024.xlsx]D-PNP'!</v>
      </c>
      <c r="G58" s="32" t="s">
        <v>112</v>
      </c>
      <c r="H58" s="33">
        <f t="shared" si="13"/>
        <v>30</v>
      </c>
      <c r="I58" s="33" t="str">
        <f t="shared" si="2"/>
        <v>='C:\Users\jaime.benazar\Quorum Business Solutions\Ecopetrol Prometeo - Documents\Planning Space Implementation\3. Analysis &amp; Design\Design\FC22\DRR Jaime\Neiva CPI\[DINA TERCIARIOS_CF_SEC_New_27-Mar-2024.xlsx]D-PNP'!$BB$30</v>
      </c>
      <c r="J58" s="37" t="s">
        <v>2058</v>
      </c>
    </row>
    <row r="59" spans="1:10" x14ac:dyDescent="0.3">
      <c r="A59" s="32" t="s">
        <v>15</v>
      </c>
      <c r="B59" s="32">
        <f t="shared" ref="B59:B60" si="19">+B58+1</f>
        <v>2042</v>
      </c>
      <c r="C59" s="33" t="s">
        <v>31</v>
      </c>
      <c r="D59" s="34" t="s">
        <v>2002</v>
      </c>
      <c r="E59" s="35" t="str">
        <f t="shared" si="0"/>
        <v>PNP'!</v>
      </c>
      <c r="F59" s="34" t="str">
        <f t="shared" si="1"/>
        <v>C:\Users\jaime.benazar\Quorum Business Solutions\Ecopetrol Prometeo - Documents\Planning Space Implementation\3. Analysis &amp; Design\Design\FC22\DRR Jaime\Neiva CPI\[DINA TERCIARIOS_CF_SEC_New_27-Mar-2024.xlsx]D-PNP'!</v>
      </c>
      <c r="G59" s="32" t="s">
        <v>112</v>
      </c>
      <c r="H59" s="33">
        <f t="shared" si="13"/>
        <v>31</v>
      </c>
      <c r="I59" s="33" t="str">
        <f t="shared" si="2"/>
        <v>='C:\Users\jaime.benazar\Quorum Business Solutions\Ecopetrol Prometeo - Documents\Planning Space Implementation\3. Analysis &amp; Design\Design\FC22\DRR Jaime\Neiva CPI\[DINA TERCIARIOS_CF_SEC_New_27-Mar-2024.xlsx]D-PNP'!$BB$31</v>
      </c>
      <c r="J59" s="37" t="s">
        <v>2059</v>
      </c>
    </row>
    <row r="60" spans="1:10" x14ac:dyDescent="0.3">
      <c r="A60" s="32" t="s">
        <v>15</v>
      </c>
      <c r="B60" s="32">
        <f t="shared" si="19"/>
        <v>2043</v>
      </c>
      <c r="C60" s="33" t="s">
        <v>31</v>
      </c>
      <c r="D60" s="34" t="s">
        <v>2002</v>
      </c>
      <c r="E60" s="35" t="str">
        <f t="shared" si="0"/>
        <v>PNP'!</v>
      </c>
      <c r="F60" s="34" t="str">
        <f t="shared" si="1"/>
        <v>C:\Users\jaime.benazar\Quorum Business Solutions\Ecopetrol Prometeo - Documents\Planning Space Implementation\3. Analysis &amp; Design\Design\FC22\DRR Jaime\Neiva CPI\[DINA TERCIARIOS_CF_SEC_New_27-Mar-2024.xlsx]D-PNP'!</v>
      </c>
      <c r="G60" s="32" t="s">
        <v>112</v>
      </c>
      <c r="H60" s="33">
        <f t="shared" si="13"/>
        <v>32</v>
      </c>
      <c r="I60" s="33" t="str">
        <f t="shared" si="2"/>
        <v>='C:\Users\jaime.benazar\Quorum Business Solutions\Ecopetrol Prometeo - Documents\Planning Space Implementation\3. Analysis &amp; Design\Design\FC22\DRR Jaime\Neiva CPI\[DINA TERCIARIOS_CF_SEC_New_27-Mar-2024.xlsx]D-PNP'!$BB$32</v>
      </c>
      <c r="J60" s="37" t="s">
        <v>2060</v>
      </c>
    </row>
    <row r="61" spans="1:10" x14ac:dyDescent="0.3">
      <c r="A61" s="32" t="s">
        <v>15</v>
      </c>
      <c r="B61" s="32">
        <f>+B60+1</f>
        <v>2044</v>
      </c>
      <c r="C61" s="33" t="s">
        <v>31</v>
      </c>
      <c r="D61" s="34" t="s">
        <v>2002</v>
      </c>
      <c r="E61" s="35" t="str">
        <f t="shared" ref="E61:E76" si="20">_xlfn.CONCAT(A61,"'!")</f>
        <v>PNP'!</v>
      </c>
      <c r="F61" s="34" t="str">
        <f t="shared" ref="F61:F76" si="21">_xlfn.CONCAT(D61:E61)</f>
        <v>C:\Users\jaime.benazar\Quorum Business Solutions\Ecopetrol Prometeo - Documents\Planning Space Implementation\3. Analysis &amp; Design\Design\FC22\DRR Jaime\Neiva CPI\[DINA TERCIARIOS_CF_SEC_New_27-Mar-2024.xlsx]D-PNP'!</v>
      </c>
      <c r="G61" s="32" t="s">
        <v>112</v>
      </c>
      <c r="H61" s="33">
        <f t="shared" ref="H61:H76" si="22">IF(A61&lt;&gt;A60,12,H60+1)</f>
        <v>33</v>
      </c>
      <c r="I61" s="33" t="str">
        <f t="shared" ref="I61:I76" si="23">_xlfn.CONCAT("='",F61:H61)</f>
        <v>='C:\Users\jaime.benazar\Quorum Business Solutions\Ecopetrol Prometeo - Documents\Planning Space Implementation\3. Analysis &amp; Design\Design\FC22\DRR Jaime\Neiva CPI\[DINA TERCIARIOS_CF_SEC_New_27-Mar-2024.xlsx]D-PNP'!$BB$33</v>
      </c>
      <c r="J61" s="37" t="s">
        <v>2061</v>
      </c>
    </row>
    <row r="62" spans="1:10" x14ac:dyDescent="0.3">
      <c r="A62" s="32" t="s">
        <v>15</v>
      </c>
      <c r="B62" s="32">
        <f t="shared" ref="B62:B76" si="24">+B61+1</f>
        <v>2045</v>
      </c>
      <c r="C62" s="33" t="s">
        <v>31</v>
      </c>
      <c r="D62" s="34" t="s">
        <v>2002</v>
      </c>
      <c r="E62" s="35" t="str">
        <f t="shared" si="20"/>
        <v>PNP'!</v>
      </c>
      <c r="F62" s="34" t="str">
        <f t="shared" si="21"/>
        <v>C:\Users\jaime.benazar\Quorum Business Solutions\Ecopetrol Prometeo - Documents\Planning Space Implementation\3. Analysis &amp; Design\Design\FC22\DRR Jaime\Neiva CPI\[DINA TERCIARIOS_CF_SEC_New_27-Mar-2024.xlsx]D-PNP'!</v>
      </c>
      <c r="G62" s="32" t="s">
        <v>112</v>
      </c>
      <c r="H62" s="33">
        <f t="shared" si="22"/>
        <v>34</v>
      </c>
      <c r="I62" s="33" t="str">
        <f t="shared" si="23"/>
        <v>='C:\Users\jaime.benazar\Quorum Business Solutions\Ecopetrol Prometeo - Documents\Planning Space Implementation\3. Analysis &amp; Design\Design\FC22\DRR Jaime\Neiva CPI\[DINA TERCIARIOS_CF_SEC_New_27-Mar-2024.xlsx]D-PNP'!$BB$34</v>
      </c>
      <c r="J62" s="37" t="s">
        <v>2062</v>
      </c>
    </row>
    <row r="63" spans="1:10" x14ac:dyDescent="0.3">
      <c r="A63" s="32" t="s">
        <v>15</v>
      </c>
      <c r="B63" s="32">
        <f t="shared" si="24"/>
        <v>2046</v>
      </c>
      <c r="C63" s="33" t="s">
        <v>31</v>
      </c>
      <c r="D63" s="34" t="s">
        <v>2002</v>
      </c>
      <c r="E63" s="35" t="str">
        <f t="shared" si="20"/>
        <v>PNP'!</v>
      </c>
      <c r="F63" s="34" t="str">
        <f t="shared" si="21"/>
        <v>C:\Users\jaime.benazar\Quorum Business Solutions\Ecopetrol Prometeo - Documents\Planning Space Implementation\3. Analysis &amp; Design\Design\FC22\DRR Jaime\Neiva CPI\[DINA TERCIARIOS_CF_SEC_New_27-Mar-2024.xlsx]D-PNP'!</v>
      </c>
      <c r="G63" s="32" t="s">
        <v>112</v>
      </c>
      <c r="H63" s="33">
        <f t="shared" si="22"/>
        <v>35</v>
      </c>
      <c r="I63" s="33" t="str">
        <f t="shared" si="23"/>
        <v>='C:\Users\jaime.benazar\Quorum Business Solutions\Ecopetrol Prometeo - Documents\Planning Space Implementation\3. Analysis &amp; Design\Design\FC22\DRR Jaime\Neiva CPI\[DINA TERCIARIOS_CF_SEC_New_27-Mar-2024.xlsx]D-PNP'!$BB$35</v>
      </c>
      <c r="J63" s="37" t="s">
        <v>2063</v>
      </c>
    </row>
    <row r="64" spans="1:10" x14ac:dyDescent="0.3">
      <c r="A64" s="32" t="s">
        <v>15</v>
      </c>
      <c r="B64" s="32">
        <f t="shared" si="24"/>
        <v>2047</v>
      </c>
      <c r="C64" s="33" t="s">
        <v>31</v>
      </c>
      <c r="D64" s="34" t="s">
        <v>2002</v>
      </c>
      <c r="E64" s="35" t="str">
        <f t="shared" si="20"/>
        <v>PNP'!</v>
      </c>
      <c r="F64" s="34" t="str">
        <f t="shared" si="21"/>
        <v>C:\Users\jaime.benazar\Quorum Business Solutions\Ecopetrol Prometeo - Documents\Planning Space Implementation\3. Analysis &amp; Design\Design\FC22\DRR Jaime\Neiva CPI\[DINA TERCIARIOS_CF_SEC_New_27-Mar-2024.xlsx]D-PNP'!</v>
      </c>
      <c r="G64" s="32" t="s">
        <v>112</v>
      </c>
      <c r="H64" s="33">
        <f t="shared" si="22"/>
        <v>36</v>
      </c>
      <c r="I64" s="33" t="str">
        <f t="shared" si="23"/>
        <v>='C:\Users\jaime.benazar\Quorum Business Solutions\Ecopetrol Prometeo - Documents\Planning Space Implementation\3. Analysis &amp; Design\Design\FC22\DRR Jaime\Neiva CPI\[DINA TERCIARIOS_CF_SEC_New_27-Mar-2024.xlsx]D-PNP'!$BB$36</v>
      </c>
      <c r="J64" s="37" t="s">
        <v>2064</v>
      </c>
    </row>
    <row r="65" spans="1:10" x14ac:dyDescent="0.3">
      <c r="A65" s="32" t="s">
        <v>15</v>
      </c>
      <c r="B65" s="32">
        <f t="shared" si="24"/>
        <v>2048</v>
      </c>
      <c r="C65" s="33" t="s">
        <v>31</v>
      </c>
      <c r="D65" s="34" t="s">
        <v>2002</v>
      </c>
      <c r="E65" s="35" t="str">
        <f t="shared" si="20"/>
        <v>PNP'!</v>
      </c>
      <c r="F65" s="34" t="str">
        <f t="shared" si="21"/>
        <v>C:\Users\jaime.benazar\Quorum Business Solutions\Ecopetrol Prometeo - Documents\Planning Space Implementation\3. Analysis &amp; Design\Design\FC22\DRR Jaime\Neiva CPI\[DINA TERCIARIOS_CF_SEC_New_27-Mar-2024.xlsx]D-PNP'!</v>
      </c>
      <c r="G65" s="32" t="s">
        <v>112</v>
      </c>
      <c r="H65" s="33">
        <f t="shared" si="22"/>
        <v>37</v>
      </c>
      <c r="I65" s="33" t="str">
        <f t="shared" si="23"/>
        <v>='C:\Users\jaime.benazar\Quorum Business Solutions\Ecopetrol Prometeo - Documents\Planning Space Implementation\3. Analysis &amp; Design\Design\FC22\DRR Jaime\Neiva CPI\[DINA TERCIARIOS_CF_SEC_New_27-Mar-2024.xlsx]D-PNP'!$BB$37</v>
      </c>
      <c r="J65" s="37" t="s">
        <v>2065</v>
      </c>
    </row>
    <row r="66" spans="1:10" x14ac:dyDescent="0.3">
      <c r="A66" s="32" t="s">
        <v>15</v>
      </c>
      <c r="B66" s="32">
        <f t="shared" si="24"/>
        <v>2049</v>
      </c>
      <c r="C66" s="33" t="s">
        <v>31</v>
      </c>
      <c r="D66" s="34" t="s">
        <v>2002</v>
      </c>
      <c r="E66" s="35" t="str">
        <f t="shared" si="20"/>
        <v>PNP'!</v>
      </c>
      <c r="F66" s="34" t="str">
        <f t="shared" si="21"/>
        <v>C:\Users\jaime.benazar\Quorum Business Solutions\Ecopetrol Prometeo - Documents\Planning Space Implementation\3. Analysis &amp; Design\Design\FC22\DRR Jaime\Neiva CPI\[DINA TERCIARIOS_CF_SEC_New_27-Mar-2024.xlsx]D-PNP'!</v>
      </c>
      <c r="G66" s="32" t="s">
        <v>112</v>
      </c>
      <c r="H66" s="33">
        <f t="shared" si="22"/>
        <v>38</v>
      </c>
      <c r="I66" s="33" t="str">
        <f t="shared" si="23"/>
        <v>='C:\Users\jaime.benazar\Quorum Business Solutions\Ecopetrol Prometeo - Documents\Planning Space Implementation\3. Analysis &amp; Design\Design\FC22\DRR Jaime\Neiva CPI\[DINA TERCIARIOS_CF_SEC_New_27-Mar-2024.xlsx]D-PNP'!$BB$38</v>
      </c>
      <c r="J66" s="37" t="s">
        <v>2066</v>
      </c>
    </row>
    <row r="67" spans="1:10" x14ac:dyDescent="0.3">
      <c r="A67" s="32" t="s">
        <v>15</v>
      </c>
      <c r="B67" s="32">
        <f t="shared" si="24"/>
        <v>2050</v>
      </c>
      <c r="C67" s="33" t="s">
        <v>31</v>
      </c>
      <c r="D67" s="34" t="s">
        <v>2002</v>
      </c>
      <c r="E67" s="35" t="str">
        <f t="shared" si="20"/>
        <v>PNP'!</v>
      </c>
      <c r="F67" s="34" t="str">
        <f t="shared" si="21"/>
        <v>C:\Users\jaime.benazar\Quorum Business Solutions\Ecopetrol Prometeo - Documents\Planning Space Implementation\3. Analysis &amp; Design\Design\FC22\DRR Jaime\Neiva CPI\[DINA TERCIARIOS_CF_SEC_New_27-Mar-2024.xlsx]D-PNP'!</v>
      </c>
      <c r="G67" s="32" t="s">
        <v>112</v>
      </c>
      <c r="H67" s="33">
        <f t="shared" si="22"/>
        <v>39</v>
      </c>
      <c r="I67" s="33" t="str">
        <f t="shared" si="23"/>
        <v>='C:\Users\jaime.benazar\Quorum Business Solutions\Ecopetrol Prometeo - Documents\Planning Space Implementation\3. Analysis &amp; Design\Design\FC22\DRR Jaime\Neiva CPI\[DINA TERCIARIOS_CF_SEC_New_27-Mar-2024.xlsx]D-PNP'!$BB$39</v>
      </c>
      <c r="J67" s="37" t="s">
        <v>2067</v>
      </c>
    </row>
    <row r="68" spans="1:10" x14ac:dyDescent="0.3">
      <c r="A68" s="32" t="s">
        <v>15</v>
      </c>
      <c r="B68" s="32">
        <f t="shared" si="24"/>
        <v>2051</v>
      </c>
      <c r="C68" s="33" t="s">
        <v>31</v>
      </c>
      <c r="D68" s="34" t="s">
        <v>2002</v>
      </c>
      <c r="E68" s="35" t="str">
        <f t="shared" si="20"/>
        <v>PNP'!</v>
      </c>
      <c r="F68" s="34" t="str">
        <f t="shared" si="21"/>
        <v>C:\Users\jaime.benazar\Quorum Business Solutions\Ecopetrol Prometeo - Documents\Planning Space Implementation\3. Analysis &amp; Design\Design\FC22\DRR Jaime\Neiva CPI\[DINA TERCIARIOS_CF_SEC_New_27-Mar-2024.xlsx]D-PNP'!</v>
      </c>
      <c r="G68" s="32" t="s">
        <v>112</v>
      </c>
      <c r="H68" s="33">
        <f t="shared" si="22"/>
        <v>40</v>
      </c>
      <c r="I68" s="33" t="str">
        <f t="shared" si="23"/>
        <v>='C:\Users\jaime.benazar\Quorum Business Solutions\Ecopetrol Prometeo - Documents\Planning Space Implementation\3. Analysis &amp; Design\Design\FC22\DRR Jaime\Neiva CPI\[DINA TERCIARIOS_CF_SEC_New_27-Mar-2024.xlsx]D-PNP'!$BB$40</v>
      </c>
      <c r="J68" s="37" t="s">
        <v>2068</v>
      </c>
    </row>
    <row r="69" spans="1:10" x14ac:dyDescent="0.3">
      <c r="A69" s="32" t="s">
        <v>15</v>
      </c>
      <c r="B69" s="32">
        <f t="shared" si="24"/>
        <v>2052</v>
      </c>
      <c r="C69" s="33" t="s">
        <v>31</v>
      </c>
      <c r="D69" s="34" t="s">
        <v>2002</v>
      </c>
      <c r="E69" s="35" t="str">
        <f t="shared" si="20"/>
        <v>PNP'!</v>
      </c>
      <c r="F69" s="34" t="str">
        <f t="shared" si="21"/>
        <v>C:\Users\jaime.benazar\Quorum Business Solutions\Ecopetrol Prometeo - Documents\Planning Space Implementation\3. Analysis &amp; Design\Design\FC22\DRR Jaime\Neiva CPI\[DINA TERCIARIOS_CF_SEC_New_27-Mar-2024.xlsx]D-PNP'!</v>
      </c>
      <c r="G69" s="32" t="s">
        <v>112</v>
      </c>
      <c r="H69" s="33">
        <f t="shared" si="22"/>
        <v>41</v>
      </c>
      <c r="I69" s="33" t="str">
        <f t="shared" si="23"/>
        <v>='C:\Users\jaime.benazar\Quorum Business Solutions\Ecopetrol Prometeo - Documents\Planning Space Implementation\3. Analysis &amp; Design\Design\FC22\DRR Jaime\Neiva CPI\[DINA TERCIARIOS_CF_SEC_New_27-Mar-2024.xlsx]D-PNP'!$BB$41</v>
      </c>
      <c r="J69" s="37" t="s">
        <v>2069</v>
      </c>
    </row>
    <row r="70" spans="1:10" x14ac:dyDescent="0.3">
      <c r="A70" s="32" t="s">
        <v>15</v>
      </c>
      <c r="B70" s="32">
        <f t="shared" si="24"/>
        <v>2053</v>
      </c>
      <c r="C70" s="33" t="s">
        <v>31</v>
      </c>
      <c r="D70" s="34" t="s">
        <v>2002</v>
      </c>
      <c r="E70" s="35" t="str">
        <f t="shared" si="20"/>
        <v>PNP'!</v>
      </c>
      <c r="F70" s="34" t="str">
        <f t="shared" si="21"/>
        <v>C:\Users\jaime.benazar\Quorum Business Solutions\Ecopetrol Prometeo - Documents\Planning Space Implementation\3. Analysis &amp; Design\Design\FC22\DRR Jaime\Neiva CPI\[DINA TERCIARIOS_CF_SEC_New_27-Mar-2024.xlsx]D-PNP'!</v>
      </c>
      <c r="G70" s="32" t="s">
        <v>112</v>
      </c>
      <c r="H70" s="33">
        <f t="shared" si="22"/>
        <v>42</v>
      </c>
      <c r="I70" s="33" t="str">
        <f t="shared" si="23"/>
        <v>='C:\Users\jaime.benazar\Quorum Business Solutions\Ecopetrol Prometeo - Documents\Planning Space Implementation\3. Analysis &amp; Design\Design\FC22\DRR Jaime\Neiva CPI\[DINA TERCIARIOS_CF_SEC_New_27-Mar-2024.xlsx]D-PNP'!$BB$42</v>
      </c>
      <c r="J70" s="37" t="s">
        <v>2070</v>
      </c>
    </row>
    <row r="71" spans="1:10" x14ac:dyDescent="0.3">
      <c r="A71" s="32" t="s">
        <v>15</v>
      </c>
      <c r="B71" s="32">
        <f t="shared" si="24"/>
        <v>2054</v>
      </c>
      <c r="C71" s="33" t="s">
        <v>31</v>
      </c>
      <c r="D71" s="34" t="s">
        <v>2002</v>
      </c>
      <c r="E71" s="35" t="str">
        <f t="shared" si="20"/>
        <v>PNP'!</v>
      </c>
      <c r="F71" s="34" t="str">
        <f t="shared" si="21"/>
        <v>C:\Users\jaime.benazar\Quorum Business Solutions\Ecopetrol Prometeo - Documents\Planning Space Implementation\3. Analysis &amp; Design\Design\FC22\DRR Jaime\Neiva CPI\[DINA TERCIARIOS_CF_SEC_New_27-Mar-2024.xlsx]D-PNP'!</v>
      </c>
      <c r="G71" s="32" t="s">
        <v>112</v>
      </c>
      <c r="H71" s="33">
        <f t="shared" si="22"/>
        <v>43</v>
      </c>
      <c r="I71" s="33" t="str">
        <f t="shared" si="23"/>
        <v>='C:\Users\jaime.benazar\Quorum Business Solutions\Ecopetrol Prometeo - Documents\Planning Space Implementation\3. Analysis &amp; Design\Design\FC22\DRR Jaime\Neiva CPI\[DINA TERCIARIOS_CF_SEC_New_27-Mar-2024.xlsx]D-PNP'!$BB$43</v>
      </c>
      <c r="J71" s="37" t="s">
        <v>2071</v>
      </c>
    </row>
    <row r="72" spans="1:10" x14ac:dyDescent="0.3">
      <c r="A72" s="32" t="s">
        <v>15</v>
      </c>
      <c r="B72" s="32">
        <f t="shared" si="24"/>
        <v>2055</v>
      </c>
      <c r="C72" s="33" t="s">
        <v>31</v>
      </c>
      <c r="D72" s="34" t="s">
        <v>2002</v>
      </c>
      <c r="E72" s="35" t="str">
        <f t="shared" si="20"/>
        <v>PNP'!</v>
      </c>
      <c r="F72" s="34" t="str">
        <f t="shared" si="21"/>
        <v>C:\Users\jaime.benazar\Quorum Business Solutions\Ecopetrol Prometeo - Documents\Planning Space Implementation\3. Analysis &amp; Design\Design\FC22\DRR Jaime\Neiva CPI\[DINA TERCIARIOS_CF_SEC_New_27-Mar-2024.xlsx]D-PNP'!</v>
      </c>
      <c r="G72" s="32" t="s">
        <v>112</v>
      </c>
      <c r="H72" s="33">
        <f t="shared" si="22"/>
        <v>44</v>
      </c>
      <c r="I72" s="33" t="str">
        <f t="shared" si="23"/>
        <v>='C:\Users\jaime.benazar\Quorum Business Solutions\Ecopetrol Prometeo - Documents\Planning Space Implementation\3. Analysis &amp; Design\Design\FC22\DRR Jaime\Neiva CPI\[DINA TERCIARIOS_CF_SEC_New_27-Mar-2024.xlsx]D-PNP'!$BB$44</v>
      </c>
      <c r="J72" s="37" t="s">
        <v>2072</v>
      </c>
    </row>
    <row r="73" spans="1:10" x14ac:dyDescent="0.3">
      <c r="A73" s="32" t="s">
        <v>15</v>
      </c>
      <c r="B73" s="32">
        <f t="shared" si="24"/>
        <v>2056</v>
      </c>
      <c r="C73" s="33" t="s">
        <v>31</v>
      </c>
      <c r="D73" s="34" t="s">
        <v>2002</v>
      </c>
      <c r="E73" s="35" t="str">
        <f t="shared" si="20"/>
        <v>PNP'!</v>
      </c>
      <c r="F73" s="34" t="str">
        <f t="shared" si="21"/>
        <v>C:\Users\jaime.benazar\Quorum Business Solutions\Ecopetrol Prometeo - Documents\Planning Space Implementation\3. Analysis &amp; Design\Design\FC22\DRR Jaime\Neiva CPI\[DINA TERCIARIOS_CF_SEC_New_27-Mar-2024.xlsx]D-PNP'!</v>
      </c>
      <c r="G73" s="32" t="s">
        <v>112</v>
      </c>
      <c r="H73" s="33">
        <f t="shared" si="22"/>
        <v>45</v>
      </c>
      <c r="I73" s="33" t="str">
        <f t="shared" si="23"/>
        <v>='C:\Users\jaime.benazar\Quorum Business Solutions\Ecopetrol Prometeo - Documents\Planning Space Implementation\3. Analysis &amp; Design\Design\FC22\DRR Jaime\Neiva CPI\[DINA TERCIARIOS_CF_SEC_New_27-Mar-2024.xlsx]D-PNP'!$BB$45</v>
      </c>
      <c r="J73" s="37" t="s">
        <v>2073</v>
      </c>
    </row>
    <row r="74" spans="1:10" x14ac:dyDescent="0.3">
      <c r="A74" s="32" t="s">
        <v>15</v>
      </c>
      <c r="B74" s="32">
        <f t="shared" si="24"/>
        <v>2057</v>
      </c>
      <c r="C74" s="33" t="s">
        <v>31</v>
      </c>
      <c r="D74" s="34" t="s">
        <v>2002</v>
      </c>
      <c r="E74" s="35" t="str">
        <f t="shared" si="20"/>
        <v>PNP'!</v>
      </c>
      <c r="F74" s="34" t="str">
        <f t="shared" si="21"/>
        <v>C:\Users\jaime.benazar\Quorum Business Solutions\Ecopetrol Prometeo - Documents\Planning Space Implementation\3. Analysis &amp; Design\Design\FC22\DRR Jaime\Neiva CPI\[DINA TERCIARIOS_CF_SEC_New_27-Mar-2024.xlsx]D-PNP'!</v>
      </c>
      <c r="G74" s="32" t="s">
        <v>112</v>
      </c>
      <c r="H74" s="33">
        <f t="shared" si="22"/>
        <v>46</v>
      </c>
      <c r="I74" s="33" t="str">
        <f t="shared" si="23"/>
        <v>='C:\Users\jaime.benazar\Quorum Business Solutions\Ecopetrol Prometeo - Documents\Planning Space Implementation\3. Analysis &amp; Design\Design\FC22\DRR Jaime\Neiva CPI\[DINA TERCIARIOS_CF_SEC_New_27-Mar-2024.xlsx]D-PNP'!$BB$46</v>
      </c>
      <c r="J74" s="37" t="s">
        <v>2074</v>
      </c>
    </row>
    <row r="75" spans="1:10" x14ac:dyDescent="0.3">
      <c r="A75" s="32" t="s">
        <v>15</v>
      </c>
      <c r="B75" s="32">
        <f t="shared" si="24"/>
        <v>2058</v>
      </c>
      <c r="C75" s="33" t="s">
        <v>31</v>
      </c>
      <c r="D75" s="34" t="s">
        <v>2002</v>
      </c>
      <c r="E75" s="35" t="str">
        <f t="shared" si="20"/>
        <v>PNP'!</v>
      </c>
      <c r="F75" s="34" t="str">
        <f t="shared" si="21"/>
        <v>C:\Users\jaime.benazar\Quorum Business Solutions\Ecopetrol Prometeo - Documents\Planning Space Implementation\3. Analysis &amp; Design\Design\FC22\DRR Jaime\Neiva CPI\[DINA TERCIARIOS_CF_SEC_New_27-Mar-2024.xlsx]D-PNP'!</v>
      </c>
      <c r="G75" s="32" t="s">
        <v>112</v>
      </c>
      <c r="H75" s="33">
        <f t="shared" si="22"/>
        <v>47</v>
      </c>
      <c r="I75" s="33" t="str">
        <f t="shared" si="23"/>
        <v>='C:\Users\jaime.benazar\Quorum Business Solutions\Ecopetrol Prometeo - Documents\Planning Space Implementation\3. Analysis &amp; Design\Design\FC22\DRR Jaime\Neiva CPI\[DINA TERCIARIOS_CF_SEC_New_27-Mar-2024.xlsx]D-PNP'!$BB$47</v>
      </c>
      <c r="J75" s="37" t="s">
        <v>2075</v>
      </c>
    </row>
    <row r="76" spans="1:10" x14ac:dyDescent="0.3">
      <c r="A76" s="32" t="s">
        <v>15</v>
      </c>
      <c r="B76" s="32">
        <f t="shared" si="24"/>
        <v>2059</v>
      </c>
      <c r="C76" s="33" t="s">
        <v>31</v>
      </c>
      <c r="D76" s="34" t="s">
        <v>2002</v>
      </c>
      <c r="E76" s="35" t="str">
        <f t="shared" si="20"/>
        <v>PNP'!</v>
      </c>
      <c r="F76" s="34" t="str">
        <f t="shared" si="21"/>
        <v>C:\Users\jaime.benazar\Quorum Business Solutions\Ecopetrol Prometeo - Documents\Planning Space Implementation\3. Analysis &amp; Design\Design\FC22\DRR Jaime\Neiva CPI\[DINA TERCIARIOS_CF_SEC_New_27-Mar-2024.xlsx]D-PNP'!</v>
      </c>
      <c r="G76" s="32" t="s">
        <v>112</v>
      </c>
      <c r="H76" s="33">
        <f t="shared" si="22"/>
        <v>48</v>
      </c>
      <c r="I76" s="33" t="str">
        <f t="shared" si="23"/>
        <v>='C:\Users\jaime.benazar\Quorum Business Solutions\Ecopetrol Prometeo - Documents\Planning Space Implementation\3. Analysis &amp; Design\Design\FC22\DRR Jaime\Neiva CPI\[DINA TERCIARIOS_CF_SEC_New_27-Mar-2024.xlsx]D-PNP'!$BB$48</v>
      </c>
      <c r="J76" s="37" t="s">
        <v>2076</v>
      </c>
    </row>
    <row r="77" spans="1:10" x14ac:dyDescent="0.3">
      <c r="A77" s="32" t="s">
        <v>26</v>
      </c>
      <c r="B77" s="32"/>
      <c r="C77" s="33" t="s">
        <v>31</v>
      </c>
      <c r="D77" s="34"/>
      <c r="E77" s="35"/>
      <c r="F77" s="34"/>
      <c r="G77" s="32"/>
      <c r="H77" s="33"/>
      <c r="I77" s="33"/>
      <c r="J77" s="33"/>
    </row>
    <row r="78" spans="1:10" x14ac:dyDescent="0.3">
      <c r="A78" s="32" t="s">
        <v>16</v>
      </c>
      <c r="B78" s="32">
        <v>2023</v>
      </c>
      <c r="C78" s="33" t="s">
        <v>31</v>
      </c>
      <c r="D78" s="34" t="s">
        <v>2002</v>
      </c>
      <c r="E78" s="35" t="str">
        <f t="shared" si="0"/>
        <v>PND'!</v>
      </c>
      <c r="F78" s="34" t="str">
        <f t="shared" si="1"/>
        <v>C:\Users\jaime.benazar\Quorum Business Solutions\Ecopetrol Prometeo - Documents\Planning Space Implementation\3. Analysis &amp; Design\Design\FC22\DRR Jaime\Neiva CPI\[DINA TERCIARIOS_CF_SEC_New_27-Mar-2024.xlsx]D-PND'!</v>
      </c>
      <c r="G78" s="32" t="s">
        <v>112</v>
      </c>
      <c r="H78" s="33">
        <v>12</v>
      </c>
      <c r="I78" s="33" t="str">
        <f t="shared" si="2"/>
        <v>='C:\Users\jaime.benazar\Quorum Business Solutions\Ecopetrol Prometeo - Documents\Planning Space Implementation\3. Analysis &amp; Design\Design\FC22\DRR Jaime\Neiva CPI\[DINA TERCIARIOS_CF_SEC_New_27-Mar-2024.xlsx]D-PND'!$BB$12</v>
      </c>
      <c r="J78" s="37" t="s">
        <v>2077</v>
      </c>
    </row>
    <row r="79" spans="1:10" x14ac:dyDescent="0.3">
      <c r="A79" s="32" t="s">
        <v>16</v>
      </c>
      <c r="B79" s="32">
        <f>+B78+1</f>
        <v>2024</v>
      </c>
      <c r="C79" s="33" t="s">
        <v>31</v>
      </c>
      <c r="D79" s="34" t="s">
        <v>2002</v>
      </c>
      <c r="E79" s="35" t="str">
        <f t="shared" si="0"/>
        <v>PND'!</v>
      </c>
      <c r="F79" s="34" t="str">
        <f t="shared" si="1"/>
        <v>C:\Users\jaime.benazar\Quorum Business Solutions\Ecopetrol Prometeo - Documents\Planning Space Implementation\3. Analysis &amp; Design\Design\FC22\DRR Jaime\Neiva CPI\[DINA TERCIARIOS_CF_SEC_New_27-Mar-2024.xlsx]D-PND'!</v>
      </c>
      <c r="G79" s="32" t="s">
        <v>112</v>
      </c>
      <c r="H79" s="33">
        <f>IF(A79&lt;&gt;A78,12,H78+1)</f>
        <v>13</v>
      </c>
      <c r="I79" s="33" t="str">
        <f t="shared" si="2"/>
        <v>='C:\Users\jaime.benazar\Quorum Business Solutions\Ecopetrol Prometeo - Documents\Planning Space Implementation\3. Analysis &amp; Design\Design\FC22\DRR Jaime\Neiva CPI\[DINA TERCIARIOS_CF_SEC_New_27-Mar-2024.xlsx]D-PND'!$BB$13</v>
      </c>
      <c r="J79" s="37" t="s">
        <v>2078</v>
      </c>
    </row>
    <row r="80" spans="1:10" x14ac:dyDescent="0.3">
      <c r="A80" s="32" t="s">
        <v>16</v>
      </c>
      <c r="B80" s="32">
        <f t="shared" ref="B80:B91" si="25">+B79+1</f>
        <v>2025</v>
      </c>
      <c r="C80" s="33" t="s">
        <v>31</v>
      </c>
      <c r="D80" s="34" t="s">
        <v>2002</v>
      </c>
      <c r="E80" s="35" t="str">
        <f t="shared" si="0"/>
        <v>PND'!</v>
      </c>
      <c r="F80" s="34" t="str">
        <f t="shared" si="1"/>
        <v>C:\Users\jaime.benazar\Quorum Business Solutions\Ecopetrol Prometeo - Documents\Planning Space Implementation\3. Analysis &amp; Design\Design\FC22\DRR Jaime\Neiva CPI\[DINA TERCIARIOS_CF_SEC_New_27-Mar-2024.xlsx]D-PND'!</v>
      </c>
      <c r="G80" s="32" t="s">
        <v>112</v>
      </c>
      <c r="H80" s="33">
        <f t="shared" ref="H80:H98" si="26">IF(A80&lt;&gt;A79,12,H79+1)</f>
        <v>14</v>
      </c>
      <c r="I80" s="33" t="str">
        <f t="shared" si="2"/>
        <v>='C:\Users\jaime.benazar\Quorum Business Solutions\Ecopetrol Prometeo - Documents\Planning Space Implementation\3. Analysis &amp; Design\Design\FC22\DRR Jaime\Neiva CPI\[DINA TERCIARIOS_CF_SEC_New_27-Mar-2024.xlsx]D-PND'!$BB$14</v>
      </c>
      <c r="J80" s="37" t="s">
        <v>2079</v>
      </c>
    </row>
    <row r="81" spans="1:10" x14ac:dyDescent="0.3">
      <c r="A81" s="32" t="s">
        <v>16</v>
      </c>
      <c r="B81" s="32">
        <f t="shared" si="25"/>
        <v>2026</v>
      </c>
      <c r="C81" s="33" t="s">
        <v>31</v>
      </c>
      <c r="D81" s="34" t="s">
        <v>2002</v>
      </c>
      <c r="E81" s="35" t="str">
        <f t="shared" si="0"/>
        <v>PND'!</v>
      </c>
      <c r="F81" s="34" t="str">
        <f t="shared" si="1"/>
        <v>C:\Users\jaime.benazar\Quorum Business Solutions\Ecopetrol Prometeo - Documents\Planning Space Implementation\3. Analysis &amp; Design\Design\FC22\DRR Jaime\Neiva CPI\[DINA TERCIARIOS_CF_SEC_New_27-Mar-2024.xlsx]D-PND'!</v>
      </c>
      <c r="G81" s="32" t="s">
        <v>112</v>
      </c>
      <c r="H81" s="33">
        <f t="shared" si="26"/>
        <v>15</v>
      </c>
      <c r="I81" s="33" t="str">
        <f t="shared" si="2"/>
        <v>='C:\Users\jaime.benazar\Quorum Business Solutions\Ecopetrol Prometeo - Documents\Planning Space Implementation\3. Analysis &amp; Design\Design\FC22\DRR Jaime\Neiva CPI\[DINA TERCIARIOS_CF_SEC_New_27-Mar-2024.xlsx]D-PND'!$BB$15</v>
      </c>
      <c r="J81" s="37" t="s">
        <v>2080</v>
      </c>
    </row>
    <row r="82" spans="1:10" x14ac:dyDescent="0.3">
      <c r="A82" s="32" t="s">
        <v>16</v>
      </c>
      <c r="B82" s="32">
        <f t="shared" si="25"/>
        <v>2027</v>
      </c>
      <c r="C82" s="33" t="s">
        <v>31</v>
      </c>
      <c r="D82" s="34" t="s">
        <v>2002</v>
      </c>
      <c r="E82" s="35" t="str">
        <f t="shared" si="0"/>
        <v>PND'!</v>
      </c>
      <c r="F82" s="34" t="str">
        <f t="shared" si="1"/>
        <v>C:\Users\jaime.benazar\Quorum Business Solutions\Ecopetrol Prometeo - Documents\Planning Space Implementation\3. Analysis &amp; Design\Design\FC22\DRR Jaime\Neiva CPI\[DINA TERCIARIOS_CF_SEC_New_27-Mar-2024.xlsx]D-PND'!</v>
      </c>
      <c r="G82" s="32" t="s">
        <v>112</v>
      </c>
      <c r="H82" s="33">
        <f t="shared" si="26"/>
        <v>16</v>
      </c>
      <c r="I82" s="33" t="str">
        <f t="shared" si="2"/>
        <v>='C:\Users\jaime.benazar\Quorum Business Solutions\Ecopetrol Prometeo - Documents\Planning Space Implementation\3. Analysis &amp; Design\Design\FC22\DRR Jaime\Neiva CPI\[DINA TERCIARIOS_CF_SEC_New_27-Mar-2024.xlsx]D-PND'!$BB$16</v>
      </c>
      <c r="J82" s="37" t="s">
        <v>2081</v>
      </c>
    </row>
    <row r="83" spans="1:10" x14ac:dyDescent="0.3">
      <c r="A83" s="32" t="s">
        <v>16</v>
      </c>
      <c r="B83" s="32">
        <f t="shared" si="25"/>
        <v>2028</v>
      </c>
      <c r="C83" s="33" t="s">
        <v>31</v>
      </c>
      <c r="D83" s="34" t="s">
        <v>2002</v>
      </c>
      <c r="E83" s="35" t="str">
        <f t="shared" si="0"/>
        <v>PND'!</v>
      </c>
      <c r="F83" s="34" t="str">
        <f t="shared" si="1"/>
        <v>C:\Users\jaime.benazar\Quorum Business Solutions\Ecopetrol Prometeo - Documents\Planning Space Implementation\3. Analysis &amp; Design\Design\FC22\DRR Jaime\Neiva CPI\[DINA TERCIARIOS_CF_SEC_New_27-Mar-2024.xlsx]D-PND'!</v>
      </c>
      <c r="G83" s="32" t="s">
        <v>112</v>
      </c>
      <c r="H83" s="33">
        <f t="shared" si="26"/>
        <v>17</v>
      </c>
      <c r="I83" s="33" t="str">
        <f t="shared" si="2"/>
        <v>='C:\Users\jaime.benazar\Quorum Business Solutions\Ecopetrol Prometeo - Documents\Planning Space Implementation\3. Analysis &amp; Design\Design\FC22\DRR Jaime\Neiva CPI\[DINA TERCIARIOS_CF_SEC_New_27-Mar-2024.xlsx]D-PND'!$BB$17</v>
      </c>
      <c r="J83" s="37" t="s">
        <v>2082</v>
      </c>
    </row>
    <row r="84" spans="1:10" x14ac:dyDescent="0.3">
      <c r="A84" s="32" t="s">
        <v>16</v>
      </c>
      <c r="B84" s="32">
        <f t="shared" si="25"/>
        <v>2029</v>
      </c>
      <c r="C84" s="33" t="s">
        <v>31</v>
      </c>
      <c r="D84" s="34" t="s">
        <v>2002</v>
      </c>
      <c r="E84" s="35" t="str">
        <f t="shared" si="0"/>
        <v>PND'!</v>
      </c>
      <c r="F84" s="34" t="str">
        <f t="shared" si="1"/>
        <v>C:\Users\jaime.benazar\Quorum Business Solutions\Ecopetrol Prometeo - Documents\Planning Space Implementation\3. Analysis &amp; Design\Design\FC22\DRR Jaime\Neiva CPI\[DINA TERCIARIOS_CF_SEC_New_27-Mar-2024.xlsx]D-PND'!</v>
      </c>
      <c r="G84" s="32" t="s">
        <v>112</v>
      </c>
      <c r="H84" s="33">
        <f t="shared" si="26"/>
        <v>18</v>
      </c>
      <c r="I84" s="33" t="str">
        <f t="shared" si="2"/>
        <v>='C:\Users\jaime.benazar\Quorum Business Solutions\Ecopetrol Prometeo - Documents\Planning Space Implementation\3. Analysis &amp; Design\Design\FC22\DRR Jaime\Neiva CPI\[DINA TERCIARIOS_CF_SEC_New_27-Mar-2024.xlsx]D-PND'!$BB$18</v>
      </c>
      <c r="J84" s="37" t="s">
        <v>2083</v>
      </c>
    </row>
    <row r="85" spans="1:10" x14ac:dyDescent="0.3">
      <c r="A85" s="32" t="s">
        <v>16</v>
      </c>
      <c r="B85" s="32">
        <f t="shared" si="25"/>
        <v>2030</v>
      </c>
      <c r="C85" s="33" t="s">
        <v>31</v>
      </c>
      <c r="D85" s="34" t="s">
        <v>2002</v>
      </c>
      <c r="E85" s="35" t="str">
        <f t="shared" si="0"/>
        <v>PND'!</v>
      </c>
      <c r="F85" s="34" t="str">
        <f t="shared" si="1"/>
        <v>C:\Users\jaime.benazar\Quorum Business Solutions\Ecopetrol Prometeo - Documents\Planning Space Implementation\3. Analysis &amp; Design\Design\FC22\DRR Jaime\Neiva CPI\[DINA TERCIARIOS_CF_SEC_New_27-Mar-2024.xlsx]D-PND'!</v>
      </c>
      <c r="G85" s="32" t="s">
        <v>112</v>
      </c>
      <c r="H85" s="33">
        <f t="shared" si="26"/>
        <v>19</v>
      </c>
      <c r="I85" s="33" t="str">
        <f t="shared" si="2"/>
        <v>='C:\Users\jaime.benazar\Quorum Business Solutions\Ecopetrol Prometeo - Documents\Planning Space Implementation\3. Analysis &amp; Design\Design\FC22\DRR Jaime\Neiva CPI\[DINA TERCIARIOS_CF_SEC_New_27-Mar-2024.xlsx]D-PND'!$BB$19</v>
      </c>
      <c r="J85" s="37" t="s">
        <v>2084</v>
      </c>
    </row>
    <row r="86" spans="1:10" x14ac:dyDescent="0.3">
      <c r="A86" s="32" t="s">
        <v>16</v>
      </c>
      <c r="B86" s="32">
        <f t="shared" si="25"/>
        <v>2031</v>
      </c>
      <c r="C86" s="33" t="s">
        <v>31</v>
      </c>
      <c r="D86" s="34" t="s">
        <v>2002</v>
      </c>
      <c r="E86" s="35" t="str">
        <f t="shared" si="0"/>
        <v>PND'!</v>
      </c>
      <c r="F86" s="34" t="str">
        <f t="shared" si="1"/>
        <v>C:\Users\jaime.benazar\Quorum Business Solutions\Ecopetrol Prometeo - Documents\Planning Space Implementation\3. Analysis &amp; Design\Design\FC22\DRR Jaime\Neiva CPI\[DINA TERCIARIOS_CF_SEC_New_27-Mar-2024.xlsx]D-PND'!</v>
      </c>
      <c r="G86" s="32" t="s">
        <v>112</v>
      </c>
      <c r="H86" s="33">
        <f t="shared" si="26"/>
        <v>20</v>
      </c>
      <c r="I86" s="33" t="str">
        <f t="shared" si="2"/>
        <v>='C:\Users\jaime.benazar\Quorum Business Solutions\Ecopetrol Prometeo - Documents\Planning Space Implementation\3. Analysis &amp; Design\Design\FC22\DRR Jaime\Neiva CPI\[DINA TERCIARIOS_CF_SEC_New_27-Mar-2024.xlsx]D-PND'!$BB$20</v>
      </c>
      <c r="J86" s="37" t="s">
        <v>2085</v>
      </c>
    </row>
    <row r="87" spans="1:10" x14ac:dyDescent="0.3">
      <c r="A87" s="32" t="s">
        <v>16</v>
      </c>
      <c r="B87" s="32">
        <f t="shared" si="25"/>
        <v>2032</v>
      </c>
      <c r="C87" s="33" t="s">
        <v>31</v>
      </c>
      <c r="D87" s="34" t="s">
        <v>2002</v>
      </c>
      <c r="E87" s="35" t="str">
        <f t="shared" si="0"/>
        <v>PND'!</v>
      </c>
      <c r="F87" s="34" t="str">
        <f t="shared" si="1"/>
        <v>C:\Users\jaime.benazar\Quorum Business Solutions\Ecopetrol Prometeo - Documents\Planning Space Implementation\3. Analysis &amp; Design\Design\FC22\DRR Jaime\Neiva CPI\[DINA TERCIARIOS_CF_SEC_New_27-Mar-2024.xlsx]D-PND'!</v>
      </c>
      <c r="G87" s="32" t="s">
        <v>112</v>
      </c>
      <c r="H87" s="33">
        <f t="shared" si="26"/>
        <v>21</v>
      </c>
      <c r="I87" s="33" t="str">
        <f t="shared" si="2"/>
        <v>='C:\Users\jaime.benazar\Quorum Business Solutions\Ecopetrol Prometeo - Documents\Planning Space Implementation\3. Analysis &amp; Design\Design\FC22\DRR Jaime\Neiva CPI\[DINA TERCIARIOS_CF_SEC_New_27-Mar-2024.xlsx]D-PND'!$BB$21</v>
      </c>
      <c r="J87" s="37" t="s">
        <v>2086</v>
      </c>
    </row>
    <row r="88" spans="1:10" x14ac:dyDescent="0.3">
      <c r="A88" s="32" t="s">
        <v>16</v>
      </c>
      <c r="B88" s="32">
        <f t="shared" si="25"/>
        <v>2033</v>
      </c>
      <c r="C88" s="33" t="s">
        <v>31</v>
      </c>
      <c r="D88" s="34" t="s">
        <v>2002</v>
      </c>
      <c r="E88" s="35" t="str">
        <f t="shared" si="0"/>
        <v>PND'!</v>
      </c>
      <c r="F88" s="34" t="str">
        <f t="shared" si="1"/>
        <v>C:\Users\jaime.benazar\Quorum Business Solutions\Ecopetrol Prometeo - Documents\Planning Space Implementation\3. Analysis &amp; Design\Design\FC22\DRR Jaime\Neiva CPI\[DINA TERCIARIOS_CF_SEC_New_27-Mar-2024.xlsx]D-PND'!</v>
      </c>
      <c r="G88" s="32" t="s">
        <v>112</v>
      </c>
      <c r="H88" s="33">
        <f t="shared" si="26"/>
        <v>22</v>
      </c>
      <c r="I88" s="33" t="str">
        <f t="shared" si="2"/>
        <v>='C:\Users\jaime.benazar\Quorum Business Solutions\Ecopetrol Prometeo - Documents\Planning Space Implementation\3. Analysis &amp; Design\Design\FC22\DRR Jaime\Neiva CPI\[DINA TERCIARIOS_CF_SEC_New_27-Mar-2024.xlsx]D-PND'!$BB$22</v>
      </c>
      <c r="J88" s="37" t="s">
        <v>2087</v>
      </c>
    </row>
    <row r="89" spans="1:10" x14ac:dyDescent="0.3">
      <c r="A89" s="32" t="s">
        <v>16</v>
      </c>
      <c r="B89" s="32">
        <f t="shared" si="25"/>
        <v>2034</v>
      </c>
      <c r="C89" s="33" t="s">
        <v>31</v>
      </c>
      <c r="D89" s="34" t="s">
        <v>2002</v>
      </c>
      <c r="E89" s="35" t="str">
        <f t="shared" si="0"/>
        <v>PND'!</v>
      </c>
      <c r="F89" s="34" t="str">
        <f t="shared" si="1"/>
        <v>C:\Users\jaime.benazar\Quorum Business Solutions\Ecopetrol Prometeo - Documents\Planning Space Implementation\3. Analysis &amp; Design\Design\FC22\DRR Jaime\Neiva CPI\[DINA TERCIARIOS_CF_SEC_New_27-Mar-2024.xlsx]D-PND'!</v>
      </c>
      <c r="G89" s="32" t="s">
        <v>112</v>
      </c>
      <c r="H89" s="33">
        <f t="shared" si="26"/>
        <v>23</v>
      </c>
      <c r="I89" s="33" t="str">
        <f t="shared" si="2"/>
        <v>='C:\Users\jaime.benazar\Quorum Business Solutions\Ecopetrol Prometeo - Documents\Planning Space Implementation\3. Analysis &amp; Design\Design\FC22\DRR Jaime\Neiva CPI\[DINA TERCIARIOS_CF_SEC_New_27-Mar-2024.xlsx]D-PND'!$BB$23</v>
      </c>
      <c r="J89" s="37" t="s">
        <v>2088</v>
      </c>
    </row>
    <row r="90" spans="1:10" x14ac:dyDescent="0.3">
      <c r="A90" s="32" t="s">
        <v>16</v>
      </c>
      <c r="B90" s="32">
        <f t="shared" si="25"/>
        <v>2035</v>
      </c>
      <c r="C90" s="33" t="s">
        <v>31</v>
      </c>
      <c r="D90" s="34" t="s">
        <v>2002</v>
      </c>
      <c r="E90" s="35" t="str">
        <f t="shared" si="0"/>
        <v>PND'!</v>
      </c>
      <c r="F90" s="34" t="str">
        <f t="shared" si="1"/>
        <v>C:\Users\jaime.benazar\Quorum Business Solutions\Ecopetrol Prometeo - Documents\Planning Space Implementation\3. Analysis &amp; Design\Design\FC22\DRR Jaime\Neiva CPI\[DINA TERCIARIOS_CF_SEC_New_27-Mar-2024.xlsx]D-PND'!</v>
      </c>
      <c r="G90" s="32" t="s">
        <v>112</v>
      </c>
      <c r="H90" s="33">
        <f t="shared" si="26"/>
        <v>24</v>
      </c>
      <c r="I90" s="33" t="str">
        <f t="shared" si="2"/>
        <v>='C:\Users\jaime.benazar\Quorum Business Solutions\Ecopetrol Prometeo - Documents\Planning Space Implementation\3. Analysis &amp; Design\Design\FC22\DRR Jaime\Neiva CPI\[DINA TERCIARIOS_CF_SEC_New_27-Mar-2024.xlsx]D-PND'!$BB$24</v>
      </c>
      <c r="J90" s="37" t="s">
        <v>2089</v>
      </c>
    </row>
    <row r="91" spans="1:10" x14ac:dyDescent="0.3">
      <c r="A91" s="32" t="s">
        <v>16</v>
      </c>
      <c r="B91" s="32">
        <f t="shared" si="25"/>
        <v>2036</v>
      </c>
      <c r="C91" s="33" t="s">
        <v>31</v>
      </c>
      <c r="D91" s="34" t="s">
        <v>2002</v>
      </c>
      <c r="E91" s="35" t="str">
        <f t="shared" si="0"/>
        <v>PND'!</v>
      </c>
      <c r="F91" s="34" t="str">
        <f t="shared" si="1"/>
        <v>C:\Users\jaime.benazar\Quorum Business Solutions\Ecopetrol Prometeo - Documents\Planning Space Implementation\3. Analysis &amp; Design\Design\FC22\DRR Jaime\Neiva CPI\[DINA TERCIARIOS_CF_SEC_New_27-Mar-2024.xlsx]D-PND'!</v>
      </c>
      <c r="G91" s="32" t="s">
        <v>112</v>
      </c>
      <c r="H91" s="33">
        <f t="shared" si="26"/>
        <v>25</v>
      </c>
      <c r="I91" s="33" t="str">
        <f t="shared" si="2"/>
        <v>='C:\Users\jaime.benazar\Quorum Business Solutions\Ecopetrol Prometeo - Documents\Planning Space Implementation\3. Analysis &amp; Design\Design\FC22\DRR Jaime\Neiva CPI\[DINA TERCIARIOS_CF_SEC_New_27-Mar-2024.xlsx]D-PND'!$BB$25</v>
      </c>
      <c r="J91" s="37" t="s">
        <v>2090</v>
      </c>
    </row>
    <row r="92" spans="1:10" x14ac:dyDescent="0.3">
      <c r="A92" s="32" t="s">
        <v>16</v>
      </c>
      <c r="B92" s="32">
        <f>+B91+1</f>
        <v>2037</v>
      </c>
      <c r="C92" s="33" t="s">
        <v>31</v>
      </c>
      <c r="D92" s="34" t="s">
        <v>2002</v>
      </c>
      <c r="E92" s="35" t="str">
        <f t="shared" si="0"/>
        <v>PND'!</v>
      </c>
      <c r="F92" s="34" t="str">
        <f t="shared" si="1"/>
        <v>C:\Users\jaime.benazar\Quorum Business Solutions\Ecopetrol Prometeo - Documents\Planning Space Implementation\3. Analysis &amp; Design\Design\FC22\DRR Jaime\Neiva CPI\[DINA TERCIARIOS_CF_SEC_New_27-Mar-2024.xlsx]D-PND'!</v>
      </c>
      <c r="G92" s="32" t="s">
        <v>112</v>
      </c>
      <c r="H92" s="33">
        <f t="shared" si="26"/>
        <v>26</v>
      </c>
      <c r="I92" s="33" t="str">
        <f t="shared" si="2"/>
        <v>='C:\Users\jaime.benazar\Quorum Business Solutions\Ecopetrol Prometeo - Documents\Planning Space Implementation\3. Analysis &amp; Design\Design\FC22\DRR Jaime\Neiva CPI\[DINA TERCIARIOS_CF_SEC_New_27-Mar-2024.xlsx]D-PND'!$BB$26</v>
      </c>
      <c r="J92" s="37" t="s">
        <v>2091</v>
      </c>
    </row>
    <row r="93" spans="1:10" x14ac:dyDescent="0.3">
      <c r="A93" s="32" t="s">
        <v>16</v>
      </c>
      <c r="B93" s="32">
        <f t="shared" ref="B93:B95" si="27">+B92+1</f>
        <v>2038</v>
      </c>
      <c r="C93" s="33" t="s">
        <v>31</v>
      </c>
      <c r="D93" s="34" t="s">
        <v>2002</v>
      </c>
      <c r="E93" s="35" t="str">
        <f t="shared" si="0"/>
        <v>PND'!</v>
      </c>
      <c r="F93" s="34" t="str">
        <f t="shared" si="1"/>
        <v>C:\Users\jaime.benazar\Quorum Business Solutions\Ecopetrol Prometeo - Documents\Planning Space Implementation\3. Analysis &amp; Design\Design\FC22\DRR Jaime\Neiva CPI\[DINA TERCIARIOS_CF_SEC_New_27-Mar-2024.xlsx]D-PND'!</v>
      </c>
      <c r="G93" s="32" t="s">
        <v>112</v>
      </c>
      <c r="H93" s="33">
        <f t="shared" si="26"/>
        <v>27</v>
      </c>
      <c r="I93" s="33" t="str">
        <f t="shared" si="2"/>
        <v>='C:\Users\jaime.benazar\Quorum Business Solutions\Ecopetrol Prometeo - Documents\Planning Space Implementation\3. Analysis &amp; Design\Design\FC22\DRR Jaime\Neiva CPI\[DINA TERCIARIOS_CF_SEC_New_27-Mar-2024.xlsx]D-PND'!$BB$27</v>
      </c>
      <c r="J93" s="37" t="s">
        <v>2092</v>
      </c>
    </row>
    <row r="94" spans="1:10" x14ac:dyDescent="0.3">
      <c r="A94" s="32" t="s">
        <v>16</v>
      </c>
      <c r="B94" s="32">
        <f t="shared" si="27"/>
        <v>2039</v>
      </c>
      <c r="C94" s="33" t="s">
        <v>31</v>
      </c>
      <c r="D94" s="34" t="s">
        <v>2002</v>
      </c>
      <c r="E94" s="35" t="str">
        <f t="shared" si="0"/>
        <v>PND'!</v>
      </c>
      <c r="F94" s="34" t="str">
        <f t="shared" si="1"/>
        <v>C:\Users\jaime.benazar\Quorum Business Solutions\Ecopetrol Prometeo - Documents\Planning Space Implementation\3. Analysis &amp; Design\Design\FC22\DRR Jaime\Neiva CPI\[DINA TERCIARIOS_CF_SEC_New_27-Mar-2024.xlsx]D-PND'!</v>
      </c>
      <c r="G94" s="32" t="s">
        <v>112</v>
      </c>
      <c r="H94" s="33">
        <f t="shared" si="26"/>
        <v>28</v>
      </c>
      <c r="I94" s="33" t="str">
        <f t="shared" si="2"/>
        <v>='C:\Users\jaime.benazar\Quorum Business Solutions\Ecopetrol Prometeo - Documents\Planning Space Implementation\3. Analysis &amp; Design\Design\FC22\DRR Jaime\Neiva CPI\[DINA TERCIARIOS_CF_SEC_New_27-Mar-2024.xlsx]D-PND'!$BB$28</v>
      </c>
      <c r="J94" s="37" t="s">
        <v>2093</v>
      </c>
    </row>
    <row r="95" spans="1:10" x14ac:dyDescent="0.3">
      <c r="A95" s="32" t="s">
        <v>16</v>
      </c>
      <c r="B95" s="32">
        <f t="shared" si="27"/>
        <v>2040</v>
      </c>
      <c r="C95" s="33" t="s">
        <v>31</v>
      </c>
      <c r="D95" s="34" t="s">
        <v>2002</v>
      </c>
      <c r="E95" s="35" t="str">
        <f t="shared" si="0"/>
        <v>PND'!</v>
      </c>
      <c r="F95" s="34" t="str">
        <f t="shared" si="1"/>
        <v>C:\Users\jaime.benazar\Quorum Business Solutions\Ecopetrol Prometeo - Documents\Planning Space Implementation\3. Analysis &amp; Design\Design\FC22\DRR Jaime\Neiva CPI\[DINA TERCIARIOS_CF_SEC_New_27-Mar-2024.xlsx]D-PND'!</v>
      </c>
      <c r="G95" s="32" t="s">
        <v>112</v>
      </c>
      <c r="H95" s="33">
        <f t="shared" si="26"/>
        <v>29</v>
      </c>
      <c r="I95" s="33" t="str">
        <f t="shared" si="2"/>
        <v>='C:\Users\jaime.benazar\Quorum Business Solutions\Ecopetrol Prometeo - Documents\Planning Space Implementation\3. Analysis &amp; Design\Design\FC22\DRR Jaime\Neiva CPI\[DINA TERCIARIOS_CF_SEC_New_27-Mar-2024.xlsx]D-PND'!$BB$29</v>
      </c>
      <c r="J95" s="37" t="s">
        <v>2094</v>
      </c>
    </row>
    <row r="96" spans="1:10" x14ac:dyDescent="0.3">
      <c r="A96" s="32" t="s">
        <v>16</v>
      </c>
      <c r="B96" s="32">
        <f>+B95+1</f>
        <v>2041</v>
      </c>
      <c r="C96" s="33" t="s">
        <v>31</v>
      </c>
      <c r="D96" s="34" t="s">
        <v>2002</v>
      </c>
      <c r="E96" s="35" t="str">
        <f t="shared" si="0"/>
        <v>PND'!</v>
      </c>
      <c r="F96" s="34" t="str">
        <f t="shared" si="1"/>
        <v>C:\Users\jaime.benazar\Quorum Business Solutions\Ecopetrol Prometeo - Documents\Planning Space Implementation\3. Analysis &amp; Design\Design\FC22\DRR Jaime\Neiva CPI\[DINA TERCIARIOS_CF_SEC_New_27-Mar-2024.xlsx]D-PND'!</v>
      </c>
      <c r="G96" s="32" t="s">
        <v>112</v>
      </c>
      <c r="H96" s="33">
        <f t="shared" si="26"/>
        <v>30</v>
      </c>
      <c r="I96" s="33" t="str">
        <f t="shared" si="2"/>
        <v>='C:\Users\jaime.benazar\Quorum Business Solutions\Ecopetrol Prometeo - Documents\Planning Space Implementation\3. Analysis &amp; Design\Design\FC22\DRR Jaime\Neiva CPI\[DINA TERCIARIOS_CF_SEC_New_27-Mar-2024.xlsx]D-PND'!$BB$30</v>
      </c>
      <c r="J96" s="37" t="s">
        <v>2095</v>
      </c>
    </row>
    <row r="97" spans="1:10" x14ac:dyDescent="0.3">
      <c r="A97" s="32" t="s">
        <v>16</v>
      </c>
      <c r="B97" s="32">
        <f t="shared" ref="B97:B98" si="28">+B96+1</f>
        <v>2042</v>
      </c>
      <c r="C97" s="33" t="s">
        <v>31</v>
      </c>
      <c r="D97" s="34" t="s">
        <v>2002</v>
      </c>
      <c r="E97" s="35" t="str">
        <f t="shared" ref="E97:E402" si="29">_xlfn.CONCAT(A97,"'!")</f>
        <v>PND'!</v>
      </c>
      <c r="F97" s="34" t="str">
        <f t="shared" ref="F97:F402" si="30">_xlfn.CONCAT(D97:E97)</f>
        <v>C:\Users\jaime.benazar\Quorum Business Solutions\Ecopetrol Prometeo - Documents\Planning Space Implementation\3. Analysis &amp; Design\Design\FC22\DRR Jaime\Neiva CPI\[DINA TERCIARIOS_CF_SEC_New_27-Mar-2024.xlsx]D-PND'!</v>
      </c>
      <c r="G97" s="32" t="s">
        <v>112</v>
      </c>
      <c r="H97" s="33">
        <f t="shared" si="26"/>
        <v>31</v>
      </c>
      <c r="I97" s="33" t="str">
        <f t="shared" ref="I97:I402" si="31">_xlfn.CONCAT("='",F97:H97)</f>
        <v>='C:\Users\jaime.benazar\Quorum Business Solutions\Ecopetrol Prometeo - Documents\Planning Space Implementation\3. Analysis &amp; Design\Design\FC22\DRR Jaime\Neiva CPI\[DINA TERCIARIOS_CF_SEC_New_27-Mar-2024.xlsx]D-PND'!$BB$31</v>
      </c>
      <c r="J97" s="37" t="s">
        <v>2096</v>
      </c>
    </row>
    <row r="98" spans="1:10" x14ac:dyDescent="0.3">
      <c r="A98" s="32" t="s">
        <v>16</v>
      </c>
      <c r="B98" s="32">
        <f t="shared" si="28"/>
        <v>2043</v>
      </c>
      <c r="C98" s="33" t="s">
        <v>31</v>
      </c>
      <c r="D98" s="34" t="s">
        <v>2002</v>
      </c>
      <c r="E98" s="35" t="str">
        <f t="shared" si="29"/>
        <v>PND'!</v>
      </c>
      <c r="F98" s="34" t="str">
        <f t="shared" si="30"/>
        <v>C:\Users\jaime.benazar\Quorum Business Solutions\Ecopetrol Prometeo - Documents\Planning Space Implementation\3. Analysis &amp; Design\Design\FC22\DRR Jaime\Neiva CPI\[DINA TERCIARIOS_CF_SEC_New_27-Mar-2024.xlsx]D-PND'!</v>
      </c>
      <c r="G98" s="32" t="s">
        <v>112</v>
      </c>
      <c r="H98" s="33">
        <f t="shared" si="26"/>
        <v>32</v>
      </c>
      <c r="I98" s="33" t="str">
        <f t="shared" si="31"/>
        <v>='C:\Users\jaime.benazar\Quorum Business Solutions\Ecopetrol Prometeo - Documents\Planning Space Implementation\3. Analysis &amp; Design\Design\FC22\DRR Jaime\Neiva CPI\[DINA TERCIARIOS_CF_SEC_New_27-Mar-2024.xlsx]D-PND'!$BB$32</v>
      </c>
      <c r="J98" s="37" t="s">
        <v>2097</v>
      </c>
    </row>
    <row r="99" spans="1:10" x14ac:dyDescent="0.3">
      <c r="A99" s="32" t="s">
        <v>16</v>
      </c>
      <c r="B99" s="32">
        <f>+B98+1</f>
        <v>2044</v>
      </c>
      <c r="C99" s="33" t="s">
        <v>31</v>
      </c>
      <c r="D99" s="34" t="s">
        <v>2002</v>
      </c>
      <c r="E99" s="35" t="str">
        <f t="shared" ref="E99:E114" si="32">_xlfn.CONCAT(A99,"'!")</f>
        <v>PND'!</v>
      </c>
      <c r="F99" s="34" t="str">
        <f t="shared" ref="F99:F114" si="33">_xlfn.CONCAT(D99:E99)</f>
        <v>C:\Users\jaime.benazar\Quorum Business Solutions\Ecopetrol Prometeo - Documents\Planning Space Implementation\3. Analysis &amp; Design\Design\FC22\DRR Jaime\Neiva CPI\[DINA TERCIARIOS_CF_SEC_New_27-Mar-2024.xlsx]D-PND'!</v>
      </c>
      <c r="G99" s="32" t="s">
        <v>112</v>
      </c>
      <c r="H99" s="33">
        <f t="shared" ref="H99:H114" si="34">IF(A99&lt;&gt;A98,12,H98+1)</f>
        <v>33</v>
      </c>
      <c r="I99" s="33" t="str">
        <f t="shared" ref="I99:I114" si="35">_xlfn.CONCAT("='",F99:H99)</f>
        <v>='C:\Users\jaime.benazar\Quorum Business Solutions\Ecopetrol Prometeo - Documents\Planning Space Implementation\3. Analysis &amp; Design\Design\FC22\DRR Jaime\Neiva CPI\[DINA TERCIARIOS_CF_SEC_New_27-Mar-2024.xlsx]D-PND'!$BB$33</v>
      </c>
      <c r="J99" s="37" t="s">
        <v>2098</v>
      </c>
    </row>
    <row r="100" spans="1:10" x14ac:dyDescent="0.3">
      <c r="A100" s="32" t="s">
        <v>16</v>
      </c>
      <c r="B100" s="32">
        <f t="shared" ref="B100:B114" si="36">+B99+1</f>
        <v>2045</v>
      </c>
      <c r="C100" s="33" t="s">
        <v>31</v>
      </c>
      <c r="D100" s="34" t="s">
        <v>2002</v>
      </c>
      <c r="E100" s="35" t="str">
        <f t="shared" si="32"/>
        <v>PND'!</v>
      </c>
      <c r="F100" s="34" t="str">
        <f t="shared" si="33"/>
        <v>C:\Users\jaime.benazar\Quorum Business Solutions\Ecopetrol Prometeo - Documents\Planning Space Implementation\3. Analysis &amp; Design\Design\FC22\DRR Jaime\Neiva CPI\[DINA TERCIARIOS_CF_SEC_New_27-Mar-2024.xlsx]D-PND'!</v>
      </c>
      <c r="G100" s="32" t="s">
        <v>112</v>
      </c>
      <c r="H100" s="33">
        <f t="shared" si="34"/>
        <v>34</v>
      </c>
      <c r="I100" s="33" t="str">
        <f t="shared" si="35"/>
        <v>='C:\Users\jaime.benazar\Quorum Business Solutions\Ecopetrol Prometeo - Documents\Planning Space Implementation\3. Analysis &amp; Design\Design\FC22\DRR Jaime\Neiva CPI\[DINA TERCIARIOS_CF_SEC_New_27-Mar-2024.xlsx]D-PND'!$BB$34</v>
      </c>
      <c r="J100" s="37" t="s">
        <v>2099</v>
      </c>
    </row>
    <row r="101" spans="1:10" x14ac:dyDescent="0.3">
      <c r="A101" s="32" t="s">
        <v>16</v>
      </c>
      <c r="B101" s="32">
        <f t="shared" si="36"/>
        <v>2046</v>
      </c>
      <c r="C101" s="33" t="s">
        <v>31</v>
      </c>
      <c r="D101" s="34" t="s">
        <v>2002</v>
      </c>
      <c r="E101" s="35" t="str">
        <f t="shared" si="32"/>
        <v>PND'!</v>
      </c>
      <c r="F101" s="34" t="str">
        <f t="shared" si="33"/>
        <v>C:\Users\jaime.benazar\Quorum Business Solutions\Ecopetrol Prometeo - Documents\Planning Space Implementation\3. Analysis &amp; Design\Design\FC22\DRR Jaime\Neiva CPI\[DINA TERCIARIOS_CF_SEC_New_27-Mar-2024.xlsx]D-PND'!</v>
      </c>
      <c r="G101" s="32" t="s">
        <v>112</v>
      </c>
      <c r="H101" s="33">
        <f t="shared" si="34"/>
        <v>35</v>
      </c>
      <c r="I101" s="33" t="str">
        <f t="shared" si="35"/>
        <v>='C:\Users\jaime.benazar\Quorum Business Solutions\Ecopetrol Prometeo - Documents\Planning Space Implementation\3. Analysis &amp; Design\Design\FC22\DRR Jaime\Neiva CPI\[DINA TERCIARIOS_CF_SEC_New_27-Mar-2024.xlsx]D-PND'!$BB$35</v>
      </c>
      <c r="J101" s="37" t="s">
        <v>2100</v>
      </c>
    </row>
    <row r="102" spans="1:10" x14ac:dyDescent="0.3">
      <c r="A102" s="32" t="s">
        <v>16</v>
      </c>
      <c r="B102" s="32">
        <f t="shared" si="36"/>
        <v>2047</v>
      </c>
      <c r="C102" s="33" t="s">
        <v>31</v>
      </c>
      <c r="D102" s="34" t="s">
        <v>2002</v>
      </c>
      <c r="E102" s="35" t="str">
        <f t="shared" si="32"/>
        <v>PND'!</v>
      </c>
      <c r="F102" s="34" t="str">
        <f t="shared" si="33"/>
        <v>C:\Users\jaime.benazar\Quorum Business Solutions\Ecopetrol Prometeo - Documents\Planning Space Implementation\3. Analysis &amp; Design\Design\FC22\DRR Jaime\Neiva CPI\[DINA TERCIARIOS_CF_SEC_New_27-Mar-2024.xlsx]D-PND'!</v>
      </c>
      <c r="G102" s="32" t="s">
        <v>112</v>
      </c>
      <c r="H102" s="33">
        <f t="shared" si="34"/>
        <v>36</v>
      </c>
      <c r="I102" s="33" t="str">
        <f t="shared" si="35"/>
        <v>='C:\Users\jaime.benazar\Quorum Business Solutions\Ecopetrol Prometeo - Documents\Planning Space Implementation\3. Analysis &amp; Design\Design\FC22\DRR Jaime\Neiva CPI\[DINA TERCIARIOS_CF_SEC_New_27-Mar-2024.xlsx]D-PND'!$BB$36</v>
      </c>
      <c r="J102" s="37" t="s">
        <v>2101</v>
      </c>
    </row>
    <row r="103" spans="1:10" x14ac:dyDescent="0.3">
      <c r="A103" s="32" t="s">
        <v>16</v>
      </c>
      <c r="B103" s="32">
        <f t="shared" si="36"/>
        <v>2048</v>
      </c>
      <c r="C103" s="33" t="s">
        <v>31</v>
      </c>
      <c r="D103" s="34" t="s">
        <v>2002</v>
      </c>
      <c r="E103" s="35" t="str">
        <f t="shared" si="32"/>
        <v>PND'!</v>
      </c>
      <c r="F103" s="34" t="str">
        <f t="shared" si="33"/>
        <v>C:\Users\jaime.benazar\Quorum Business Solutions\Ecopetrol Prometeo - Documents\Planning Space Implementation\3. Analysis &amp; Design\Design\FC22\DRR Jaime\Neiva CPI\[DINA TERCIARIOS_CF_SEC_New_27-Mar-2024.xlsx]D-PND'!</v>
      </c>
      <c r="G103" s="32" t="s">
        <v>112</v>
      </c>
      <c r="H103" s="33">
        <f t="shared" si="34"/>
        <v>37</v>
      </c>
      <c r="I103" s="33" t="str">
        <f t="shared" si="35"/>
        <v>='C:\Users\jaime.benazar\Quorum Business Solutions\Ecopetrol Prometeo - Documents\Planning Space Implementation\3. Analysis &amp; Design\Design\FC22\DRR Jaime\Neiva CPI\[DINA TERCIARIOS_CF_SEC_New_27-Mar-2024.xlsx]D-PND'!$BB$37</v>
      </c>
      <c r="J103" s="37" t="s">
        <v>2102</v>
      </c>
    </row>
    <row r="104" spans="1:10" x14ac:dyDescent="0.3">
      <c r="A104" s="32" t="s">
        <v>16</v>
      </c>
      <c r="B104" s="32">
        <f t="shared" si="36"/>
        <v>2049</v>
      </c>
      <c r="C104" s="33" t="s">
        <v>31</v>
      </c>
      <c r="D104" s="34" t="s">
        <v>2002</v>
      </c>
      <c r="E104" s="35" t="str">
        <f t="shared" si="32"/>
        <v>PND'!</v>
      </c>
      <c r="F104" s="34" t="str">
        <f t="shared" si="33"/>
        <v>C:\Users\jaime.benazar\Quorum Business Solutions\Ecopetrol Prometeo - Documents\Planning Space Implementation\3. Analysis &amp; Design\Design\FC22\DRR Jaime\Neiva CPI\[DINA TERCIARIOS_CF_SEC_New_27-Mar-2024.xlsx]D-PND'!</v>
      </c>
      <c r="G104" s="32" t="s">
        <v>112</v>
      </c>
      <c r="H104" s="33">
        <f t="shared" si="34"/>
        <v>38</v>
      </c>
      <c r="I104" s="33" t="str">
        <f t="shared" si="35"/>
        <v>='C:\Users\jaime.benazar\Quorum Business Solutions\Ecopetrol Prometeo - Documents\Planning Space Implementation\3. Analysis &amp; Design\Design\FC22\DRR Jaime\Neiva CPI\[DINA TERCIARIOS_CF_SEC_New_27-Mar-2024.xlsx]D-PND'!$BB$38</v>
      </c>
      <c r="J104" s="37" t="s">
        <v>2103</v>
      </c>
    </row>
    <row r="105" spans="1:10" x14ac:dyDescent="0.3">
      <c r="A105" s="32" t="s">
        <v>16</v>
      </c>
      <c r="B105" s="32">
        <f t="shared" si="36"/>
        <v>2050</v>
      </c>
      <c r="C105" s="33" t="s">
        <v>31</v>
      </c>
      <c r="D105" s="34" t="s">
        <v>2002</v>
      </c>
      <c r="E105" s="35" t="str">
        <f t="shared" si="32"/>
        <v>PND'!</v>
      </c>
      <c r="F105" s="34" t="str">
        <f t="shared" si="33"/>
        <v>C:\Users\jaime.benazar\Quorum Business Solutions\Ecopetrol Prometeo - Documents\Planning Space Implementation\3. Analysis &amp; Design\Design\FC22\DRR Jaime\Neiva CPI\[DINA TERCIARIOS_CF_SEC_New_27-Mar-2024.xlsx]D-PND'!</v>
      </c>
      <c r="G105" s="32" t="s">
        <v>112</v>
      </c>
      <c r="H105" s="33">
        <f t="shared" si="34"/>
        <v>39</v>
      </c>
      <c r="I105" s="33" t="str">
        <f t="shared" si="35"/>
        <v>='C:\Users\jaime.benazar\Quorum Business Solutions\Ecopetrol Prometeo - Documents\Planning Space Implementation\3. Analysis &amp; Design\Design\FC22\DRR Jaime\Neiva CPI\[DINA TERCIARIOS_CF_SEC_New_27-Mar-2024.xlsx]D-PND'!$BB$39</v>
      </c>
      <c r="J105" s="37" t="s">
        <v>2104</v>
      </c>
    </row>
    <row r="106" spans="1:10" x14ac:dyDescent="0.3">
      <c r="A106" s="32" t="s">
        <v>16</v>
      </c>
      <c r="B106" s="32">
        <f t="shared" si="36"/>
        <v>2051</v>
      </c>
      <c r="C106" s="33" t="s">
        <v>31</v>
      </c>
      <c r="D106" s="34" t="s">
        <v>2002</v>
      </c>
      <c r="E106" s="35" t="str">
        <f t="shared" si="32"/>
        <v>PND'!</v>
      </c>
      <c r="F106" s="34" t="str">
        <f t="shared" si="33"/>
        <v>C:\Users\jaime.benazar\Quorum Business Solutions\Ecopetrol Prometeo - Documents\Planning Space Implementation\3. Analysis &amp; Design\Design\FC22\DRR Jaime\Neiva CPI\[DINA TERCIARIOS_CF_SEC_New_27-Mar-2024.xlsx]D-PND'!</v>
      </c>
      <c r="G106" s="32" t="s">
        <v>112</v>
      </c>
      <c r="H106" s="33">
        <f t="shared" si="34"/>
        <v>40</v>
      </c>
      <c r="I106" s="33" t="str">
        <f t="shared" si="35"/>
        <v>='C:\Users\jaime.benazar\Quorum Business Solutions\Ecopetrol Prometeo - Documents\Planning Space Implementation\3. Analysis &amp; Design\Design\FC22\DRR Jaime\Neiva CPI\[DINA TERCIARIOS_CF_SEC_New_27-Mar-2024.xlsx]D-PND'!$BB$40</v>
      </c>
      <c r="J106" s="37" t="s">
        <v>2105</v>
      </c>
    </row>
    <row r="107" spans="1:10" x14ac:dyDescent="0.3">
      <c r="A107" s="32" t="s">
        <v>16</v>
      </c>
      <c r="B107" s="32">
        <f t="shared" si="36"/>
        <v>2052</v>
      </c>
      <c r="C107" s="33" t="s">
        <v>31</v>
      </c>
      <c r="D107" s="34" t="s">
        <v>2002</v>
      </c>
      <c r="E107" s="35" t="str">
        <f t="shared" si="32"/>
        <v>PND'!</v>
      </c>
      <c r="F107" s="34" t="str">
        <f t="shared" si="33"/>
        <v>C:\Users\jaime.benazar\Quorum Business Solutions\Ecopetrol Prometeo - Documents\Planning Space Implementation\3. Analysis &amp; Design\Design\FC22\DRR Jaime\Neiva CPI\[DINA TERCIARIOS_CF_SEC_New_27-Mar-2024.xlsx]D-PND'!</v>
      </c>
      <c r="G107" s="32" t="s">
        <v>112</v>
      </c>
      <c r="H107" s="33">
        <f t="shared" si="34"/>
        <v>41</v>
      </c>
      <c r="I107" s="33" t="str">
        <f t="shared" si="35"/>
        <v>='C:\Users\jaime.benazar\Quorum Business Solutions\Ecopetrol Prometeo - Documents\Planning Space Implementation\3. Analysis &amp; Design\Design\FC22\DRR Jaime\Neiva CPI\[DINA TERCIARIOS_CF_SEC_New_27-Mar-2024.xlsx]D-PND'!$BB$41</v>
      </c>
      <c r="J107" s="37" t="s">
        <v>2106</v>
      </c>
    </row>
    <row r="108" spans="1:10" x14ac:dyDescent="0.3">
      <c r="A108" s="32" t="s">
        <v>16</v>
      </c>
      <c r="B108" s="32">
        <f t="shared" si="36"/>
        <v>2053</v>
      </c>
      <c r="C108" s="33" t="s">
        <v>31</v>
      </c>
      <c r="D108" s="34" t="s">
        <v>2002</v>
      </c>
      <c r="E108" s="35" t="str">
        <f t="shared" si="32"/>
        <v>PND'!</v>
      </c>
      <c r="F108" s="34" t="str">
        <f t="shared" si="33"/>
        <v>C:\Users\jaime.benazar\Quorum Business Solutions\Ecopetrol Prometeo - Documents\Planning Space Implementation\3. Analysis &amp; Design\Design\FC22\DRR Jaime\Neiva CPI\[DINA TERCIARIOS_CF_SEC_New_27-Mar-2024.xlsx]D-PND'!</v>
      </c>
      <c r="G108" s="32" t="s">
        <v>112</v>
      </c>
      <c r="H108" s="33">
        <f t="shared" si="34"/>
        <v>42</v>
      </c>
      <c r="I108" s="33" t="str">
        <f t="shared" si="35"/>
        <v>='C:\Users\jaime.benazar\Quorum Business Solutions\Ecopetrol Prometeo - Documents\Planning Space Implementation\3. Analysis &amp; Design\Design\FC22\DRR Jaime\Neiva CPI\[DINA TERCIARIOS_CF_SEC_New_27-Mar-2024.xlsx]D-PND'!$BB$42</v>
      </c>
      <c r="J108" s="37" t="s">
        <v>2107</v>
      </c>
    </row>
    <row r="109" spans="1:10" x14ac:dyDescent="0.3">
      <c r="A109" s="32" t="s">
        <v>16</v>
      </c>
      <c r="B109" s="32">
        <f t="shared" si="36"/>
        <v>2054</v>
      </c>
      <c r="C109" s="33" t="s">
        <v>31</v>
      </c>
      <c r="D109" s="34" t="s">
        <v>2002</v>
      </c>
      <c r="E109" s="35" t="str">
        <f t="shared" si="32"/>
        <v>PND'!</v>
      </c>
      <c r="F109" s="34" t="str">
        <f t="shared" si="33"/>
        <v>C:\Users\jaime.benazar\Quorum Business Solutions\Ecopetrol Prometeo - Documents\Planning Space Implementation\3. Analysis &amp; Design\Design\FC22\DRR Jaime\Neiva CPI\[DINA TERCIARIOS_CF_SEC_New_27-Mar-2024.xlsx]D-PND'!</v>
      </c>
      <c r="G109" s="32" t="s">
        <v>112</v>
      </c>
      <c r="H109" s="33">
        <f t="shared" si="34"/>
        <v>43</v>
      </c>
      <c r="I109" s="33" t="str">
        <f t="shared" si="35"/>
        <v>='C:\Users\jaime.benazar\Quorum Business Solutions\Ecopetrol Prometeo - Documents\Planning Space Implementation\3. Analysis &amp; Design\Design\FC22\DRR Jaime\Neiva CPI\[DINA TERCIARIOS_CF_SEC_New_27-Mar-2024.xlsx]D-PND'!$BB$43</v>
      </c>
      <c r="J109" s="37" t="s">
        <v>2108</v>
      </c>
    </row>
    <row r="110" spans="1:10" x14ac:dyDescent="0.3">
      <c r="A110" s="32" t="s">
        <v>16</v>
      </c>
      <c r="B110" s="32">
        <f t="shared" si="36"/>
        <v>2055</v>
      </c>
      <c r="C110" s="33" t="s">
        <v>31</v>
      </c>
      <c r="D110" s="34" t="s">
        <v>2002</v>
      </c>
      <c r="E110" s="35" t="str">
        <f t="shared" si="32"/>
        <v>PND'!</v>
      </c>
      <c r="F110" s="34" t="str">
        <f t="shared" si="33"/>
        <v>C:\Users\jaime.benazar\Quorum Business Solutions\Ecopetrol Prometeo - Documents\Planning Space Implementation\3. Analysis &amp; Design\Design\FC22\DRR Jaime\Neiva CPI\[DINA TERCIARIOS_CF_SEC_New_27-Mar-2024.xlsx]D-PND'!</v>
      </c>
      <c r="G110" s="32" t="s">
        <v>112</v>
      </c>
      <c r="H110" s="33">
        <f t="shared" si="34"/>
        <v>44</v>
      </c>
      <c r="I110" s="33" t="str">
        <f t="shared" si="35"/>
        <v>='C:\Users\jaime.benazar\Quorum Business Solutions\Ecopetrol Prometeo - Documents\Planning Space Implementation\3. Analysis &amp; Design\Design\FC22\DRR Jaime\Neiva CPI\[DINA TERCIARIOS_CF_SEC_New_27-Mar-2024.xlsx]D-PND'!$BB$44</v>
      </c>
      <c r="J110" s="37" t="s">
        <v>2109</v>
      </c>
    </row>
    <row r="111" spans="1:10" x14ac:dyDescent="0.3">
      <c r="A111" s="32" t="s">
        <v>16</v>
      </c>
      <c r="B111" s="32">
        <f t="shared" si="36"/>
        <v>2056</v>
      </c>
      <c r="C111" s="33" t="s">
        <v>31</v>
      </c>
      <c r="D111" s="34" t="s">
        <v>2002</v>
      </c>
      <c r="E111" s="35" t="str">
        <f t="shared" si="32"/>
        <v>PND'!</v>
      </c>
      <c r="F111" s="34" t="str">
        <f t="shared" si="33"/>
        <v>C:\Users\jaime.benazar\Quorum Business Solutions\Ecopetrol Prometeo - Documents\Planning Space Implementation\3. Analysis &amp; Design\Design\FC22\DRR Jaime\Neiva CPI\[DINA TERCIARIOS_CF_SEC_New_27-Mar-2024.xlsx]D-PND'!</v>
      </c>
      <c r="G111" s="32" t="s">
        <v>112</v>
      </c>
      <c r="H111" s="33">
        <f t="shared" si="34"/>
        <v>45</v>
      </c>
      <c r="I111" s="33" t="str">
        <f t="shared" si="35"/>
        <v>='C:\Users\jaime.benazar\Quorum Business Solutions\Ecopetrol Prometeo - Documents\Planning Space Implementation\3. Analysis &amp; Design\Design\FC22\DRR Jaime\Neiva CPI\[DINA TERCIARIOS_CF_SEC_New_27-Mar-2024.xlsx]D-PND'!$BB$45</v>
      </c>
      <c r="J111" s="37" t="s">
        <v>2110</v>
      </c>
    </row>
    <row r="112" spans="1:10" x14ac:dyDescent="0.3">
      <c r="A112" s="32" t="s">
        <v>16</v>
      </c>
      <c r="B112" s="32">
        <f t="shared" si="36"/>
        <v>2057</v>
      </c>
      <c r="C112" s="33" t="s">
        <v>31</v>
      </c>
      <c r="D112" s="34" t="s">
        <v>2002</v>
      </c>
      <c r="E112" s="35" t="str">
        <f t="shared" si="32"/>
        <v>PND'!</v>
      </c>
      <c r="F112" s="34" t="str">
        <f t="shared" si="33"/>
        <v>C:\Users\jaime.benazar\Quorum Business Solutions\Ecopetrol Prometeo - Documents\Planning Space Implementation\3. Analysis &amp; Design\Design\FC22\DRR Jaime\Neiva CPI\[DINA TERCIARIOS_CF_SEC_New_27-Mar-2024.xlsx]D-PND'!</v>
      </c>
      <c r="G112" s="32" t="s">
        <v>112</v>
      </c>
      <c r="H112" s="33">
        <f t="shared" si="34"/>
        <v>46</v>
      </c>
      <c r="I112" s="33" t="str">
        <f t="shared" si="35"/>
        <v>='C:\Users\jaime.benazar\Quorum Business Solutions\Ecopetrol Prometeo - Documents\Planning Space Implementation\3. Analysis &amp; Design\Design\FC22\DRR Jaime\Neiva CPI\[DINA TERCIARIOS_CF_SEC_New_27-Mar-2024.xlsx]D-PND'!$BB$46</v>
      </c>
      <c r="J112" s="37" t="s">
        <v>2111</v>
      </c>
    </row>
    <row r="113" spans="1:10" x14ac:dyDescent="0.3">
      <c r="A113" s="32" t="s">
        <v>16</v>
      </c>
      <c r="B113" s="32">
        <f t="shared" si="36"/>
        <v>2058</v>
      </c>
      <c r="C113" s="33" t="s">
        <v>31</v>
      </c>
      <c r="D113" s="34" t="s">
        <v>2002</v>
      </c>
      <c r="E113" s="35" t="str">
        <f t="shared" si="32"/>
        <v>PND'!</v>
      </c>
      <c r="F113" s="34" t="str">
        <f t="shared" si="33"/>
        <v>C:\Users\jaime.benazar\Quorum Business Solutions\Ecopetrol Prometeo - Documents\Planning Space Implementation\3. Analysis &amp; Design\Design\FC22\DRR Jaime\Neiva CPI\[DINA TERCIARIOS_CF_SEC_New_27-Mar-2024.xlsx]D-PND'!</v>
      </c>
      <c r="G113" s="32" t="s">
        <v>112</v>
      </c>
      <c r="H113" s="33">
        <f t="shared" si="34"/>
        <v>47</v>
      </c>
      <c r="I113" s="33" t="str">
        <f t="shared" si="35"/>
        <v>='C:\Users\jaime.benazar\Quorum Business Solutions\Ecopetrol Prometeo - Documents\Planning Space Implementation\3. Analysis &amp; Design\Design\FC22\DRR Jaime\Neiva CPI\[DINA TERCIARIOS_CF_SEC_New_27-Mar-2024.xlsx]D-PND'!$BB$47</v>
      </c>
      <c r="J113" s="37" t="s">
        <v>2112</v>
      </c>
    </row>
    <row r="114" spans="1:10" x14ac:dyDescent="0.3">
      <c r="A114" s="32" t="s">
        <v>16</v>
      </c>
      <c r="B114" s="32">
        <f t="shared" si="36"/>
        <v>2059</v>
      </c>
      <c r="C114" s="33" t="s">
        <v>31</v>
      </c>
      <c r="D114" s="34" t="s">
        <v>2002</v>
      </c>
      <c r="E114" s="35" t="str">
        <f t="shared" si="32"/>
        <v>PND'!</v>
      </c>
      <c r="F114" s="34" t="str">
        <f t="shared" si="33"/>
        <v>C:\Users\jaime.benazar\Quorum Business Solutions\Ecopetrol Prometeo - Documents\Planning Space Implementation\3. Analysis &amp; Design\Design\FC22\DRR Jaime\Neiva CPI\[DINA TERCIARIOS_CF_SEC_New_27-Mar-2024.xlsx]D-PND'!</v>
      </c>
      <c r="G114" s="32" t="s">
        <v>112</v>
      </c>
      <c r="H114" s="33">
        <f t="shared" si="34"/>
        <v>48</v>
      </c>
      <c r="I114" s="33" t="str">
        <f t="shared" si="35"/>
        <v>='C:\Users\jaime.benazar\Quorum Business Solutions\Ecopetrol Prometeo - Documents\Planning Space Implementation\3. Analysis &amp; Design\Design\FC22\DRR Jaime\Neiva CPI\[DINA TERCIARIOS_CF_SEC_New_27-Mar-2024.xlsx]D-PND'!$BB$48</v>
      </c>
      <c r="J114" s="37" t="s">
        <v>2113</v>
      </c>
    </row>
    <row r="115" spans="1:10" x14ac:dyDescent="0.3">
      <c r="A115" s="32" t="s">
        <v>26</v>
      </c>
      <c r="B115" s="32"/>
      <c r="C115" s="33" t="s">
        <v>31</v>
      </c>
      <c r="D115" s="34"/>
      <c r="E115" s="35"/>
      <c r="F115" s="34"/>
      <c r="G115" s="32"/>
      <c r="H115" s="33"/>
      <c r="I115" s="33"/>
      <c r="J115" s="33"/>
    </row>
    <row r="116" spans="1:10" x14ac:dyDescent="0.3">
      <c r="A116" s="32" t="s">
        <v>17</v>
      </c>
      <c r="B116" s="32">
        <v>2023</v>
      </c>
      <c r="C116" s="33" t="s">
        <v>31</v>
      </c>
      <c r="D116" s="34" t="s">
        <v>2002</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Jaime\Neiva CPI\[DINA TERCIARIOS_CF_SEC_New_27-Mar-2024.xlsx]D-PRBDP'!</v>
      </c>
      <c r="G116" s="32" t="s">
        <v>112</v>
      </c>
      <c r="H116" s="33"/>
      <c r="I116" s="33"/>
      <c r="J116" s="37"/>
    </row>
    <row r="117" spans="1:10" x14ac:dyDescent="0.3">
      <c r="A117" s="32" t="s">
        <v>17</v>
      </c>
      <c r="B117" s="32">
        <f>+B116+1</f>
        <v>2024</v>
      </c>
      <c r="C117" s="33" t="s">
        <v>31</v>
      </c>
      <c r="D117" s="34" t="s">
        <v>2002</v>
      </c>
      <c r="E117" s="35" t="str">
        <f t="shared" si="37"/>
        <v>PRBDP'!</v>
      </c>
      <c r="F117" s="34" t="str">
        <f t="shared" si="38"/>
        <v>C:\Users\jaime.benazar\Quorum Business Solutions\Ecopetrol Prometeo - Documents\Planning Space Implementation\3. Analysis &amp; Design\Design\FC22\DRR Jaime\Neiva CPI\[DINA TERCIARIOS_CF_SEC_New_27-Mar-2024.xlsx]D-PRBDP'!</v>
      </c>
      <c r="G117" s="32" t="s">
        <v>112</v>
      </c>
      <c r="H117" s="33"/>
      <c r="I117" s="33"/>
      <c r="J117" s="37"/>
    </row>
    <row r="118" spans="1:10" x14ac:dyDescent="0.3">
      <c r="A118" s="32" t="s">
        <v>17</v>
      </c>
      <c r="B118" s="32">
        <f t="shared" ref="B118:B129" si="39">+B117+1</f>
        <v>2025</v>
      </c>
      <c r="C118" s="33" t="s">
        <v>31</v>
      </c>
      <c r="D118" s="34" t="s">
        <v>2002</v>
      </c>
      <c r="E118" s="35" t="str">
        <f t="shared" si="37"/>
        <v>PRBDP'!</v>
      </c>
      <c r="F118" s="34" t="str">
        <f t="shared" si="38"/>
        <v>C:\Users\jaime.benazar\Quorum Business Solutions\Ecopetrol Prometeo - Documents\Planning Space Implementation\3. Analysis &amp; Design\Design\FC22\DRR Jaime\Neiva CPI\[DINA TERCIARIOS_CF_SEC_New_27-Mar-2024.xlsx]D-PRBDP'!</v>
      </c>
      <c r="G118" s="32" t="s">
        <v>112</v>
      </c>
      <c r="H118" s="33"/>
      <c r="I118" s="33"/>
      <c r="J118" s="37"/>
    </row>
    <row r="119" spans="1:10" x14ac:dyDescent="0.3">
      <c r="A119" s="32" t="s">
        <v>17</v>
      </c>
      <c r="B119" s="32">
        <f t="shared" si="39"/>
        <v>2026</v>
      </c>
      <c r="C119" s="33" t="s">
        <v>31</v>
      </c>
      <c r="D119" s="34" t="s">
        <v>2002</v>
      </c>
      <c r="E119" s="35" t="str">
        <f t="shared" si="37"/>
        <v>PRBDP'!</v>
      </c>
      <c r="F119" s="34" t="str">
        <f t="shared" si="38"/>
        <v>C:\Users\jaime.benazar\Quorum Business Solutions\Ecopetrol Prometeo - Documents\Planning Space Implementation\3. Analysis &amp; Design\Design\FC22\DRR Jaime\Neiva CPI\[DINA TERCIARIOS_CF_SEC_New_27-Mar-2024.xlsx]D-PRBDP'!</v>
      </c>
      <c r="G119" s="32" t="s">
        <v>112</v>
      </c>
      <c r="H119" s="33"/>
      <c r="I119" s="33"/>
      <c r="J119" s="37"/>
    </row>
    <row r="120" spans="1:10" x14ac:dyDescent="0.3">
      <c r="A120" s="32" t="s">
        <v>17</v>
      </c>
      <c r="B120" s="32">
        <f t="shared" si="39"/>
        <v>2027</v>
      </c>
      <c r="C120" s="33" t="s">
        <v>31</v>
      </c>
      <c r="D120" s="34" t="s">
        <v>2002</v>
      </c>
      <c r="E120" s="35" t="str">
        <f t="shared" si="37"/>
        <v>PRBDP'!</v>
      </c>
      <c r="F120" s="34" t="str">
        <f t="shared" si="38"/>
        <v>C:\Users\jaime.benazar\Quorum Business Solutions\Ecopetrol Prometeo - Documents\Planning Space Implementation\3. Analysis &amp; Design\Design\FC22\DRR Jaime\Neiva CPI\[DINA TERCIARIOS_CF_SEC_New_27-Mar-2024.xlsx]D-PRBDP'!</v>
      </c>
      <c r="G120" s="32" t="s">
        <v>112</v>
      </c>
      <c r="H120" s="33"/>
      <c r="I120" s="33"/>
      <c r="J120" s="37"/>
    </row>
    <row r="121" spans="1:10" x14ac:dyDescent="0.3">
      <c r="A121" s="32" t="s">
        <v>17</v>
      </c>
      <c r="B121" s="32">
        <f t="shared" si="39"/>
        <v>2028</v>
      </c>
      <c r="C121" s="33" t="s">
        <v>31</v>
      </c>
      <c r="D121" s="34" t="s">
        <v>2002</v>
      </c>
      <c r="E121" s="35" t="str">
        <f t="shared" si="37"/>
        <v>PRBDP'!</v>
      </c>
      <c r="F121" s="34" t="str">
        <f t="shared" si="38"/>
        <v>C:\Users\jaime.benazar\Quorum Business Solutions\Ecopetrol Prometeo - Documents\Planning Space Implementation\3. Analysis &amp; Design\Design\FC22\DRR Jaime\Neiva CPI\[DINA TERCIARIOS_CF_SEC_New_27-Mar-2024.xlsx]D-PRBDP'!</v>
      </c>
      <c r="G121" s="32" t="s">
        <v>112</v>
      </c>
      <c r="H121" s="33"/>
      <c r="I121" s="33"/>
      <c r="J121" s="37"/>
    </row>
    <row r="122" spans="1:10" x14ac:dyDescent="0.3">
      <c r="A122" s="32" t="s">
        <v>17</v>
      </c>
      <c r="B122" s="32">
        <f t="shared" si="39"/>
        <v>2029</v>
      </c>
      <c r="C122" s="33" t="s">
        <v>31</v>
      </c>
      <c r="D122" s="34" t="s">
        <v>2002</v>
      </c>
      <c r="E122" s="35" t="str">
        <f t="shared" si="37"/>
        <v>PRBDP'!</v>
      </c>
      <c r="F122" s="34" t="str">
        <f t="shared" si="38"/>
        <v>C:\Users\jaime.benazar\Quorum Business Solutions\Ecopetrol Prometeo - Documents\Planning Space Implementation\3. Analysis &amp; Design\Design\FC22\DRR Jaime\Neiva CPI\[DINA TERCIARIOS_CF_SEC_New_27-Mar-2024.xlsx]D-PRBDP'!</v>
      </c>
      <c r="G122" s="32" t="s">
        <v>112</v>
      </c>
      <c r="H122" s="33"/>
      <c r="I122" s="33"/>
      <c r="J122" s="37"/>
    </row>
    <row r="123" spans="1:10" x14ac:dyDescent="0.3">
      <c r="A123" s="32" t="s">
        <v>17</v>
      </c>
      <c r="B123" s="32">
        <f t="shared" si="39"/>
        <v>2030</v>
      </c>
      <c r="C123" s="33" t="s">
        <v>31</v>
      </c>
      <c r="D123" s="34" t="s">
        <v>2002</v>
      </c>
      <c r="E123" s="35" t="str">
        <f t="shared" si="37"/>
        <v>PRBDP'!</v>
      </c>
      <c r="F123" s="34" t="str">
        <f t="shared" si="38"/>
        <v>C:\Users\jaime.benazar\Quorum Business Solutions\Ecopetrol Prometeo - Documents\Planning Space Implementation\3. Analysis &amp; Design\Design\FC22\DRR Jaime\Neiva CPI\[DINA TERCIARIOS_CF_SEC_New_27-Mar-2024.xlsx]D-PRBDP'!</v>
      </c>
      <c r="G123" s="32" t="s">
        <v>112</v>
      </c>
      <c r="H123" s="33"/>
      <c r="I123" s="33"/>
      <c r="J123" s="37"/>
    </row>
    <row r="124" spans="1:10" x14ac:dyDescent="0.3">
      <c r="A124" s="32" t="s">
        <v>17</v>
      </c>
      <c r="B124" s="32">
        <f t="shared" si="39"/>
        <v>2031</v>
      </c>
      <c r="C124" s="33" t="s">
        <v>31</v>
      </c>
      <c r="D124" s="34" t="s">
        <v>2002</v>
      </c>
      <c r="E124" s="35" t="str">
        <f t="shared" si="37"/>
        <v>PRBDP'!</v>
      </c>
      <c r="F124" s="34" t="str">
        <f t="shared" si="38"/>
        <v>C:\Users\jaime.benazar\Quorum Business Solutions\Ecopetrol Prometeo - Documents\Planning Space Implementation\3. Analysis &amp; Design\Design\FC22\DRR Jaime\Neiva CPI\[DINA TERCIARIOS_CF_SEC_New_27-Mar-2024.xlsx]D-PRBDP'!</v>
      </c>
      <c r="G124" s="32" t="s">
        <v>112</v>
      </c>
      <c r="H124" s="33"/>
      <c r="I124" s="33"/>
      <c r="J124" s="37"/>
    </row>
    <row r="125" spans="1:10" x14ac:dyDescent="0.3">
      <c r="A125" s="32" t="s">
        <v>17</v>
      </c>
      <c r="B125" s="32">
        <f t="shared" si="39"/>
        <v>2032</v>
      </c>
      <c r="C125" s="33" t="s">
        <v>31</v>
      </c>
      <c r="D125" s="34" t="s">
        <v>2002</v>
      </c>
      <c r="E125" s="35" t="str">
        <f t="shared" si="37"/>
        <v>PRBDP'!</v>
      </c>
      <c r="F125" s="34" t="str">
        <f t="shared" si="38"/>
        <v>C:\Users\jaime.benazar\Quorum Business Solutions\Ecopetrol Prometeo - Documents\Planning Space Implementation\3. Analysis &amp; Design\Design\FC22\DRR Jaime\Neiva CPI\[DINA TERCIARIOS_CF_SEC_New_27-Mar-2024.xlsx]D-PRBDP'!</v>
      </c>
      <c r="G125" s="32" t="s">
        <v>112</v>
      </c>
      <c r="H125" s="33"/>
      <c r="I125" s="33"/>
      <c r="J125" s="37"/>
    </row>
    <row r="126" spans="1:10" x14ac:dyDescent="0.3">
      <c r="A126" s="32" t="s">
        <v>17</v>
      </c>
      <c r="B126" s="32">
        <f t="shared" si="39"/>
        <v>2033</v>
      </c>
      <c r="C126" s="33" t="s">
        <v>31</v>
      </c>
      <c r="D126" s="34" t="s">
        <v>2002</v>
      </c>
      <c r="E126" s="35" t="str">
        <f t="shared" si="37"/>
        <v>PRBDP'!</v>
      </c>
      <c r="F126" s="34" t="str">
        <f t="shared" si="38"/>
        <v>C:\Users\jaime.benazar\Quorum Business Solutions\Ecopetrol Prometeo - Documents\Planning Space Implementation\3. Analysis &amp; Design\Design\FC22\DRR Jaime\Neiva CPI\[DINA TERCIARIOS_CF_SEC_New_27-Mar-2024.xlsx]D-PRBDP'!</v>
      </c>
      <c r="G126" s="32" t="s">
        <v>112</v>
      </c>
      <c r="H126" s="33"/>
      <c r="I126" s="33"/>
      <c r="J126" s="37"/>
    </row>
    <row r="127" spans="1:10" x14ac:dyDescent="0.3">
      <c r="A127" s="32" t="s">
        <v>17</v>
      </c>
      <c r="B127" s="32">
        <f t="shared" si="39"/>
        <v>2034</v>
      </c>
      <c r="C127" s="33" t="s">
        <v>31</v>
      </c>
      <c r="D127" s="34" t="s">
        <v>2002</v>
      </c>
      <c r="E127" s="35" t="str">
        <f t="shared" si="37"/>
        <v>PRBDP'!</v>
      </c>
      <c r="F127" s="34" t="str">
        <f t="shared" si="38"/>
        <v>C:\Users\jaime.benazar\Quorum Business Solutions\Ecopetrol Prometeo - Documents\Planning Space Implementation\3. Analysis &amp; Design\Design\FC22\DRR Jaime\Neiva CPI\[DINA TERCIARIOS_CF_SEC_New_27-Mar-2024.xlsx]D-PRBDP'!</v>
      </c>
      <c r="G127" s="32" t="s">
        <v>112</v>
      </c>
      <c r="H127" s="33"/>
      <c r="I127" s="33"/>
      <c r="J127" s="37"/>
    </row>
    <row r="128" spans="1:10" x14ac:dyDescent="0.3">
      <c r="A128" s="32" t="s">
        <v>17</v>
      </c>
      <c r="B128" s="32">
        <f t="shared" si="39"/>
        <v>2035</v>
      </c>
      <c r="C128" s="33" t="s">
        <v>31</v>
      </c>
      <c r="D128" s="34" t="s">
        <v>2002</v>
      </c>
      <c r="E128" s="35" t="str">
        <f t="shared" si="37"/>
        <v>PRBDP'!</v>
      </c>
      <c r="F128" s="34" t="str">
        <f t="shared" si="38"/>
        <v>C:\Users\jaime.benazar\Quorum Business Solutions\Ecopetrol Prometeo - Documents\Planning Space Implementation\3. Analysis &amp; Design\Design\FC22\DRR Jaime\Neiva CPI\[DINA TERCIARIOS_CF_SEC_New_27-Mar-2024.xlsx]D-PRBDP'!</v>
      </c>
      <c r="G128" s="32" t="s">
        <v>112</v>
      </c>
      <c r="H128" s="33"/>
      <c r="I128" s="33"/>
      <c r="J128" s="37"/>
    </row>
    <row r="129" spans="1:10" x14ac:dyDescent="0.3">
      <c r="A129" s="32" t="s">
        <v>17</v>
      </c>
      <c r="B129" s="32">
        <f t="shared" si="39"/>
        <v>2036</v>
      </c>
      <c r="C129" s="33" t="s">
        <v>31</v>
      </c>
      <c r="D129" s="34" t="s">
        <v>2002</v>
      </c>
      <c r="E129" s="35" t="str">
        <f t="shared" si="37"/>
        <v>PRBDP'!</v>
      </c>
      <c r="F129" s="34" t="str">
        <f t="shared" si="38"/>
        <v>C:\Users\jaime.benazar\Quorum Business Solutions\Ecopetrol Prometeo - Documents\Planning Space Implementation\3. Analysis &amp; Design\Design\FC22\DRR Jaime\Neiva CPI\[DINA TERCIARIOS_CF_SEC_New_27-Mar-2024.xlsx]D-PRBDP'!</v>
      </c>
      <c r="G129" s="32" t="s">
        <v>112</v>
      </c>
      <c r="H129" s="33"/>
      <c r="I129" s="33"/>
      <c r="J129" s="37"/>
    </row>
    <row r="130" spans="1:10" x14ac:dyDescent="0.3">
      <c r="A130" s="32" t="s">
        <v>17</v>
      </c>
      <c r="B130" s="32">
        <f>+B129+1</f>
        <v>2037</v>
      </c>
      <c r="C130" s="33" t="s">
        <v>31</v>
      </c>
      <c r="D130" s="34" t="s">
        <v>2002</v>
      </c>
      <c r="E130" s="35" t="str">
        <f t="shared" si="37"/>
        <v>PRBDP'!</v>
      </c>
      <c r="F130" s="34" t="str">
        <f t="shared" si="38"/>
        <v>C:\Users\jaime.benazar\Quorum Business Solutions\Ecopetrol Prometeo - Documents\Planning Space Implementation\3. Analysis &amp; Design\Design\FC22\DRR Jaime\Neiva CPI\[DINA TERCIARIOS_CF_SEC_New_27-Mar-2024.xlsx]D-PRBDP'!</v>
      </c>
      <c r="G130" s="32" t="s">
        <v>112</v>
      </c>
      <c r="H130" s="33"/>
      <c r="I130" s="33"/>
      <c r="J130" s="37"/>
    </row>
    <row r="131" spans="1:10" x14ac:dyDescent="0.3">
      <c r="A131" s="32" t="s">
        <v>17</v>
      </c>
      <c r="B131" s="32">
        <f t="shared" ref="B131:B133" si="40">+B130+1</f>
        <v>2038</v>
      </c>
      <c r="C131" s="33" t="s">
        <v>31</v>
      </c>
      <c r="D131" s="34" t="s">
        <v>2002</v>
      </c>
      <c r="E131" s="35" t="str">
        <f t="shared" si="37"/>
        <v>PRBDP'!</v>
      </c>
      <c r="F131" s="34" t="str">
        <f t="shared" si="38"/>
        <v>C:\Users\jaime.benazar\Quorum Business Solutions\Ecopetrol Prometeo - Documents\Planning Space Implementation\3. Analysis &amp; Design\Design\FC22\DRR Jaime\Neiva CPI\[DINA TERCIARIOS_CF_SEC_New_27-Mar-2024.xlsx]D-PRBDP'!</v>
      </c>
      <c r="G131" s="32" t="s">
        <v>112</v>
      </c>
      <c r="H131" s="33"/>
      <c r="I131" s="33"/>
      <c r="J131" s="37"/>
    </row>
    <row r="132" spans="1:10" x14ac:dyDescent="0.3">
      <c r="A132" s="32" t="s">
        <v>17</v>
      </c>
      <c r="B132" s="32">
        <f t="shared" si="40"/>
        <v>2039</v>
      </c>
      <c r="C132" s="33" t="s">
        <v>31</v>
      </c>
      <c r="D132" s="34" t="s">
        <v>2002</v>
      </c>
      <c r="E132" s="35" t="str">
        <f t="shared" si="37"/>
        <v>PRBDP'!</v>
      </c>
      <c r="F132" s="34" t="str">
        <f t="shared" si="38"/>
        <v>C:\Users\jaime.benazar\Quorum Business Solutions\Ecopetrol Prometeo - Documents\Planning Space Implementation\3. Analysis &amp; Design\Design\FC22\DRR Jaime\Neiva CPI\[DINA TERCIARIOS_CF_SEC_New_27-Mar-2024.xlsx]D-PRBDP'!</v>
      </c>
      <c r="G132" s="32" t="s">
        <v>112</v>
      </c>
      <c r="H132" s="33"/>
      <c r="I132" s="33"/>
      <c r="J132" s="37"/>
    </row>
    <row r="133" spans="1:10" x14ac:dyDescent="0.3">
      <c r="A133" s="32" t="s">
        <v>17</v>
      </c>
      <c r="B133" s="32">
        <f t="shared" si="40"/>
        <v>2040</v>
      </c>
      <c r="C133" s="33" t="s">
        <v>31</v>
      </c>
      <c r="D133" s="34" t="s">
        <v>2002</v>
      </c>
      <c r="E133" s="35" t="str">
        <f t="shared" si="37"/>
        <v>PRBDP'!</v>
      </c>
      <c r="F133" s="34" t="str">
        <f t="shared" si="38"/>
        <v>C:\Users\jaime.benazar\Quorum Business Solutions\Ecopetrol Prometeo - Documents\Planning Space Implementation\3. Analysis &amp; Design\Design\FC22\DRR Jaime\Neiva CPI\[DINA TERCIARIOS_CF_SEC_New_27-Mar-2024.xlsx]D-PRBDP'!</v>
      </c>
      <c r="G133" s="32" t="s">
        <v>112</v>
      </c>
      <c r="H133" s="33"/>
      <c r="I133" s="33"/>
      <c r="J133" s="37"/>
    </row>
    <row r="134" spans="1:10" x14ac:dyDescent="0.3">
      <c r="A134" s="32" t="s">
        <v>17</v>
      </c>
      <c r="B134" s="32">
        <f>+B133+1</f>
        <v>2041</v>
      </c>
      <c r="C134" s="33" t="s">
        <v>31</v>
      </c>
      <c r="D134" s="34" t="s">
        <v>2002</v>
      </c>
      <c r="E134" s="35" t="str">
        <f t="shared" si="37"/>
        <v>PRBDP'!</v>
      </c>
      <c r="F134" s="34" t="str">
        <f t="shared" si="38"/>
        <v>C:\Users\jaime.benazar\Quorum Business Solutions\Ecopetrol Prometeo - Documents\Planning Space Implementation\3. Analysis &amp; Design\Design\FC22\DRR Jaime\Neiva CPI\[DINA TERCIARIOS_CF_SEC_New_27-Mar-2024.xlsx]D-PRBDP'!</v>
      </c>
      <c r="G134" s="32" t="s">
        <v>112</v>
      </c>
      <c r="H134" s="33"/>
      <c r="I134" s="33"/>
      <c r="J134" s="37"/>
    </row>
    <row r="135" spans="1:10" x14ac:dyDescent="0.3">
      <c r="A135" s="32" t="s">
        <v>17</v>
      </c>
      <c r="B135" s="32">
        <f t="shared" ref="B135:B136" si="41">+B134+1</f>
        <v>2042</v>
      </c>
      <c r="C135" s="33" t="s">
        <v>31</v>
      </c>
      <c r="D135" s="34" t="s">
        <v>2002</v>
      </c>
      <c r="E135" s="35" t="str">
        <f t="shared" si="37"/>
        <v>PRBDP'!</v>
      </c>
      <c r="F135" s="34" t="str">
        <f t="shared" si="38"/>
        <v>C:\Users\jaime.benazar\Quorum Business Solutions\Ecopetrol Prometeo - Documents\Planning Space Implementation\3. Analysis &amp; Design\Design\FC22\DRR Jaime\Neiva CPI\[DINA TERCIARIOS_CF_SEC_New_27-Mar-2024.xlsx]D-PRBDP'!</v>
      </c>
      <c r="G135" s="32" t="s">
        <v>112</v>
      </c>
      <c r="H135" s="33"/>
      <c r="I135" s="33"/>
      <c r="J135" s="37"/>
    </row>
    <row r="136" spans="1:10" x14ac:dyDescent="0.3">
      <c r="A136" s="32" t="s">
        <v>17</v>
      </c>
      <c r="B136" s="32">
        <f t="shared" si="41"/>
        <v>2043</v>
      </c>
      <c r="C136" s="33" t="s">
        <v>31</v>
      </c>
      <c r="D136" s="34" t="s">
        <v>2002</v>
      </c>
      <c r="E136" s="35" t="str">
        <f t="shared" si="37"/>
        <v>PRBDP'!</v>
      </c>
      <c r="F136" s="34" t="str">
        <f t="shared" si="38"/>
        <v>C:\Users\jaime.benazar\Quorum Business Solutions\Ecopetrol Prometeo - Documents\Planning Space Implementation\3. Analysis &amp; Design\Design\FC22\DRR Jaime\Neiva CPI\[DINA TERCIARIOS_CF_SEC_New_27-Mar-2024.xlsx]D-PRBDP'!</v>
      </c>
      <c r="G136" s="32" t="s">
        <v>112</v>
      </c>
      <c r="H136" s="33"/>
      <c r="I136" s="33"/>
      <c r="J136" s="37"/>
    </row>
    <row r="137" spans="1:10" x14ac:dyDescent="0.3">
      <c r="A137" s="32" t="s">
        <v>17</v>
      </c>
      <c r="B137" s="32">
        <f>+B136+1</f>
        <v>2044</v>
      </c>
      <c r="C137" s="33" t="s">
        <v>31</v>
      </c>
      <c r="D137" s="34" t="s">
        <v>2002</v>
      </c>
      <c r="E137" s="35" t="str">
        <f t="shared" ref="E137:E152" si="42">_xlfn.CONCAT(A137,"'!")</f>
        <v>PRBDP'!</v>
      </c>
      <c r="F137" s="34" t="str">
        <f t="shared" ref="F137:F152" si="43">_xlfn.CONCAT(D137:E137)</f>
        <v>C:\Users\jaime.benazar\Quorum Business Solutions\Ecopetrol Prometeo - Documents\Planning Space Implementation\3. Analysis &amp; Design\Design\FC22\DRR Jaime\Neiva CPI\[DINA TERCIARIOS_CF_SEC_New_27-Mar-2024.xlsx]D-PRBDP'!</v>
      </c>
      <c r="G137" s="32" t="s">
        <v>112</v>
      </c>
      <c r="H137" s="33"/>
      <c r="I137" s="33"/>
      <c r="J137" s="37"/>
    </row>
    <row r="138" spans="1:10" x14ac:dyDescent="0.3">
      <c r="A138" s="32" t="s">
        <v>17</v>
      </c>
      <c r="B138" s="32">
        <f t="shared" ref="B138:B152" si="44">+B137+1</f>
        <v>2045</v>
      </c>
      <c r="C138" s="33" t="s">
        <v>31</v>
      </c>
      <c r="D138" s="34" t="s">
        <v>2002</v>
      </c>
      <c r="E138" s="35" t="str">
        <f t="shared" si="42"/>
        <v>PRBDP'!</v>
      </c>
      <c r="F138" s="34" t="str">
        <f t="shared" si="43"/>
        <v>C:\Users\jaime.benazar\Quorum Business Solutions\Ecopetrol Prometeo - Documents\Planning Space Implementation\3. Analysis &amp; Design\Design\FC22\DRR Jaime\Neiva CPI\[DINA TERCIARIOS_CF_SEC_New_27-Mar-2024.xlsx]D-PRBDP'!</v>
      </c>
      <c r="G138" s="32" t="s">
        <v>112</v>
      </c>
      <c r="H138" s="33"/>
      <c r="I138" s="33"/>
      <c r="J138" s="37"/>
    </row>
    <row r="139" spans="1:10" x14ac:dyDescent="0.3">
      <c r="A139" s="32" t="s">
        <v>17</v>
      </c>
      <c r="B139" s="32">
        <f t="shared" si="44"/>
        <v>2046</v>
      </c>
      <c r="C139" s="33" t="s">
        <v>31</v>
      </c>
      <c r="D139" s="34" t="s">
        <v>2002</v>
      </c>
      <c r="E139" s="35" t="str">
        <f t="shared" si="42"/>
        <v>PRBDP'!</v>
      </c>
      <c r="F139" s="34" t="str">
        <f t="shared" si="43"/>
        <v>C:\Users\jaime.benazar\Quorum Business Solutions\Ecopetrol Prometeo - Documents\Planning Space Implementation\3. Analysis &amp; Design\Design\FC22\DRR Jaime\Neiva CPI\[DINA TERCIARIOS_CF_SEC_New_27-Mar-2024.xlsx]D-PRBDP'!</v>
      </c>
      <c r="G139" s="32" t="s">
        <v>112</v>
      </c>
      <c r="H139" s="33"/>
      <c r="I139" s="33"/>
      <c r="J139" s="37"/>
    </row>
    <row r="140" spans="1:10" x14ac:dyDescent="0.3">
      <c r="A140" s="32" t="s">
        <v>17</v>
      </c>
      <c r="B140" s="32">
        <f t="shared" si="44"/>
        <v>2047</v>
      </c>
      <c r="C140" s="33" t="s">
        <v>31</v>
      </c>
      <c r="D140" s="34" t="s">
        <v>2002</v>
      </c>
      <c r="E140" s="35" t="str">
        <f t="shared" si="42"/>
        <v>PRBDP'!</v>
      </c>
      <c r="F140" s="34" t="str">
        <f t="shared" si="43"/>
        <v>C:\Users\jaime.benazar\Quorum Business Solutions\Ecopetrol Prometeo - Documents\Planning Space Implementation\3. Analysis &amp; Design\Design\FC22\DRR Jaime\Neiva CPI\[DINA TERCIARIOS_CF_SEC_New_27-Mar-2024.xlsx]D-PRBDP'!</v>
      </c>
      <c r="G140" s="32" t="s">
        <v>112</v>
      </c>
      <c r="H140" s="33"/>
      <c r="I140" s="33"/>
      <c r="J140" s="37"/>
    </row>
    <row r="141" spans="1:10" x14ac:dyDescent="0.3">
      <c r="A141" s="32" t="s">
        <v>17</v>
      </c>
      <c r="B141" s="32">
        <f t="shared" si="44"/>
        <v>2048</v>
      </c>
      <c r="C141" s="33" t="s">
        <v>31</v>
      </c>
      <c r="D141" s="34" t="s">
        <v>2002</v>
      </c>
      <c r="E141" s="35" t="str">
        <f t="shared" si="42"/>
        <v>PRBDP'!</v>
      </c>
      <c r="F141" s="34" t="str">
        <f t="shared" si="43"/>
        <v>C:\Users\jaime.benazar\Quorum Business Solutions\Ecopetrol Prometeo - Documents\Planning Space Implementation\3. Analysis &amp; Design\Design\FC22\DRR Jaime\Neiva CPI\[DINA TERCIARIOS_CF_SEC_New_27-Mar-2024.xlsx]D-PRBDP'!</v>
      </c>
      <c r="G141" s="32" t="s">
        <v>112</v>
      </c>
      <c r="H141" s="33"/>
      <c r="I141" s="33"/>
      <c r="J141" s="37"/>
    </row>
    <row r="142" spans="1:10" x14ac:dyDescent="0.3">
      <c r="A142" s="32" t="s">
        <v>17</v>
      </c>
      <c r="B142" s="32">
        <f t="shared" si="44"/>
        <v>2049</v>
      </c>
      <c r="C142" s="33" t="s">
        <v>31</v>
      </c>
      <c r="D142" s="34" t="s">
        <v>2002</v>
      </c>
      <c r="E142" s="35" t="str">
        <f t="shared" si="42"/>
        <v>PRBDP'!</v>
      </c>
      <c r="F142" s="34" t="str">
        <f t="shared" si="43"/>
        <v>C:\Users\jaime.benazar\Quorum Business Solutions\Ecopetrol Prometeo - Documents\Planning Space Implementation\3. Analysis &amp; Design\Design\FC22\DRR Jaime\Neiva CPI\[DINA TERCIARIOS_CF_SEC_New_27-Mar-2024.xlsx]D-PRBDP'!</v>
      </c>
      <c r="G142" s="32" t="s">
        <v>112</v>
      </c>
      <c r="H142" s="33"/>
      <c r="I142" s="33"/>
      <c r="J142" s="37"/>
    </row>
    <row r="143" spans="1:10" x14ac:dyDescent="0.3">
      <c r="A143" s="32" t="s">
        <v>17</v>
      </c>
      <c r="B143" s="32">
        <f t="shared" si="44"/>
        <v>2050</v>
      </c>
      <c r="C143" s="33" t="s">
        <v>31</v>
      </c>
      <c r="D143" s="34" t="s">
        <v>2002</v>
      </c>
      <c r="E143" s="35" t="str">
        <f t="shared" si="42"/>
        <v>PRBDP'!</v>
      </c>
      <c r="F143" s="34" t="str">
        <f t="shared" si="43"/>
        <v>C:\Users\jaime.benazar\Quorum Business Solutions\Ecopetrol Prometeo - Documents\Planning Space Implementation\3. Analysis &amp; Design\Design\FC22\DRR Jaime\Neiva CPI\[DINA TERCIARIOS_CF_SEC_New_27-Mar-2024.xlsx]D-PRBDP'!</v>
      </c>
      <c r="G143" s="32" t="s">
        <v>112</v>
      </c>
      <c r="H143" s="33"/>
      <c r="I143" s="33"/>
      <c r="J143" s="37"/>
    </row>
    <row r="144" spans="1:10" x14ac:dyDescent="0.3">
      <c r="A144" s="32" t="s">
        <v>17</v>
      </c>
      <c r="B144" s="32">
        <f t="shared" si="44"/>
        <v>2051</v>
      </c>
      <c r="C144" s="33" t="s">
        <v>31</v>
      </c>
      <c r="D144" s="34" t="s">
        <v>2002</v>
      </c>
      <c r="E144" s="35" t="str">
        <f t="shared" si="42"/>
        <v>PRBDP'!</v>
      </c>
      <c r="F144" s="34" t="str">
        <f t="shared" si="43"/>
        <v>C:\Users\jaime.benazar\Quorum Business Solutions\Ecopetrol Prometeo - Documents\Planning Space Implementation\3. Analysis &amp; Design\Design\FC22\DRR Jaime\Neiva CPI\[DINA TERCIARIOS_CF_SEC_New_27-Mar-2024.xlsx]D-PRBDP'!</v>
      </c>
      <c r="G144" s="32" t="s">
        <v>112</v>
      </c>
      <c r="H144" s="33"/>
      <c r="I144" s="33"/>
      <c r="J144" s="37"/>
    </row>
    <row r="145" spans="1:10" x14ac:dyDescent="0.3">
      <c r="A145" s="32" t="s">
        <v>17</v>
      </c>
      <c r="B145" s="32">
        <f t="shared" si="44"/>
        <v>2052</v>
      </c>
      <c r="C145" s="33" t="s">
        <v>31</v>
      </c>
      <c r="D145" s="34" t="s">
        <v>2002</v>
      </c>
      <c r="E145" s="35" t="str">
        <f t="shared" si="42"/>
        <v>PRBDP'!</v>
      </c>
      <c r="F145" s="34" t="str">
        <f t="shared" si="43"/>
        <v>C:\Users\jaime.benazar\Quorum Business Solutions\Ecopetrol Prometeo - Documents\Planning Space Implementation\3. Analysis &amp; Design\Design\FC22\DRR Jaime\Neiva CPI\[DINA TERCIARIOS_CF_SEC_New_27-Mar-2024.xlsx]D-PRBDP'!</v>
      </c>
      <c r="G145" s="32" t="s">
        <v>112</v>
      </c>
      <c r="H145" s="33"/>
      <c r="I145" s="33"/>
      <c r="J145" s="37"/>
    </row>
    <row r="146" spans="1:10" x14ac:dyDescent="0.3">
      <c r="A146" s="32" t="s">
        <v>17</v>
      </c>
      <c r="B146" s="32">
        <f t="shared" si="44"/>
        <v>2053</v>
      </c>
      <c r="C146" s="33" t="s">
        <v>31</v>
      </c>
      <c r="D146" s="34" t="s">
        <v>2002</v>
      </c>
      <c r="E146" s="35" t="str">
        <f t="shared" si="42"/>
        <v>PRBDP'!</v>
      </c>
      <c r="F146" s="34" t="str">
        <f t="shared" si="43"/>
        <v>C:\Users\jaime.benazar\Quorum Business Solutions\Ecopetrol Prometeo - Documents\Planning Space Implementation\3. Analysis &amp; Design\Design\FC22\DRR Jaime\Neiva CPI\[DINA TERCIARIOS_CF_SEC_New_27-Mar-2024.xlsx]D-PRBDP'!</v>
      </c>
      <c r="G146" s="32" t="s">
        <v>112</v>
      </c>
      <c r="H146" s="33"/>
      <c r="I146" s="33"/>
      <c r="J146" s="37"/>
    </row>
    <row r="147" spans="1:10" x14ac:dyDescent="0.3">
      <c r="A147" s="32" t="s">
        <v>17</v>
      </c>
      <c r="B147" s="32">
        <f t="shared" si="44"/>
        <v>2054</v>
      </c>
      <c r="C147" s="33" t="s">
        <v>31</v>
      </c>
      <c r="D147" s="34" t="s">
        <v>2002</v>
      </c>
      <c r="E147" s="35" t="str">
        <f t="shared" si="42"/>
        <v>PRBDP'!</v>
      </c>
      <c r="F147" s="34" t="str">
        <f t="shared" si="43"/>
        <v>C:\Users\jaime.benazar\Quorum Business Solutions\Ecopetrol Prometeo - Documents\Planning Space Implementation\3. Analysis &amp; Design\Design\FC22\DRR Jaime\Neiva CPI\[DINA TERCIARIOS_CF_SEC_New_27-Mar-2024.xlsx]D-PRBDP'!</v>
      </c>
      <c r="G147" s="32" t="s">
        <v>112</v>
      </c>
      <c r="H147" s="33"/>
      <c r="I147" s="33"/>
      <c r="J147" s="37"/>
    </row>
    <row r="148" spans="1:10" x14ac:dyDescent="0.3">
      <c r="A148" s="32" t="s">
        <v>17</v>
      </c>
      <c r="B148" s="32">
        <f t="shared" si="44"/>
        <v>2055</v>
      </c>
      <c r="C148" s="33" t="s">
        <v>31</v>
      </c>
      <c r="D148" s="34" t="s">
        <v>2002</v>
      </c>
      <c r="E148" s="35" t="str">
        <f t="shared" si="42"/>
        <v>PRBDP'!</v>
      </c>
      <c r="F148" s="34" t="str">
        <f t="shared" si="43"/>
        <v>C:\Users\jaime.benazar\Quorum Business Solutions\Ecopetrol Prometeo - Documents\Planning Space Implementation\3. Analysis &amp; Design\Design\FC22\DRR Jaime\Neiva CPI\[DINA TERCIARIOS_CF_SEC_New_27-Mar-2024.xlsx]D-PRBDP'!</v>
      </c>
      <c r="G148" s="32" t="s">
        <v>112</v>
      </c>
      <c r="H148" s="33"/>
      <c r="I148" s="33"/>
      <c r="J148" s="37"/>
    </row>
    <row r="149" spans="1:10" x14ac:dyDescent="0.3">
      <c r="A149" s="32" t="s">
        <v>17</v>
      </c>
      <c r="B149" s="32">
        <f t="shared" si="44"/>
        <v>2056</v>
      </c>
      <c r="C149" s="33" t="s">
        <v>31</v>
      </c>
      <c r="D149" s="34" t="s">
        <v>2002</v>
      </c>
      <c r="E149" s="35" t="str">
        <f t="shared" si="42"/>
        <v>PRBDP'!</v>
      </c>
      <c r="F149" s="34" t="str">
        <f t="shared" si="43"/>
        <v>C:\Users\jaime.benazar\Quorum Business Solutions\Ecopetrol Prometeo - Documents\Planning Space Implementation\3. Analysis &amp; Design\Design\FC22\DRR Jaime\Neiva CPI\[DINA TERCIARIOS_CF_SEC_New_27-Mar-2024.xlsx]D-PRBDP'!</v>
      </c>
      <c r="G149" s="32" t="s">
        <v>112</v>
      </c>
      <c r="H149" s="33"/>
      <c r="I149" s="33"/>
      <c r="J149" s="37"/>
    </row>
    <row r="150" spans="1:10" x14ac:dyDescent="0.3">
      <c r="A150" s="32" t="s">
        <v>17</v>
      </c>
      <c r="B150" s="32">
        <f t="shared" si="44"/>
        <v>2057</v>
      </c>
      <c r="C150" s="33" t="s">
        <v>31</v>
      </c>
      <c r="D150" s="34" t="s">
        <v>2002</v>
      </c>
      <c r="E150" s="35" t="str">
        <f t="shared" si="42"/>
        <v>PRBDP'!</v>
      </c>
      <c r="F150" s="34" t="str">
        <f t="shared" si="43"/>
        <v>C:\Users\jaime.benazar\Quorum Business Solutions\Ecopetrol Prometeo - Documents\Planning Space Implementation\3. Analysis &amp; Design\Design\FC22\DRR Jaime\Neiva CPI\[DINA TERCIARIOS_CF_SEC_New_27-Mar-2024.xlsx]D-PRBDP'!</v>
      </c>
      <c r="G150" s="32" t="s">
        <v>112</v>
      </c>
      <c r="H150" s="33"/>
      <c r="I150" s="33"/>
      <c r="J150" s="37"/>
    </row>
    <row r="151" spans="1:10" x14ac:dyDescent="0.3">
      <c r="A151" s="32" t="s">
        <v>17</v>
      </c>
      <c r="B151" s="32">
        <f t="shared" si="44"/>
        <v>2058</v>
      </c>
      <c r="C151" s="33" t="s">
        <v>31</v>
      </c>
      <c r="D151" s="34" t="s">
        <v>2002</v>
      </c>
      <c r="E151" s="35" t="str">
        <f t="shared" si="42"/>
        <v>PRBDP'!</v>
      </c>
      <c r="F151" s="34" t="str">
        <f t="shared" si="43"/>
        <v>C:\Users\jaime.benazar\Quorum Business Solutions\Ecopetrol Prometeo - Documents\Planning Space Implementation\3. Analysis &amp; Design\Design\FC22\DRR Jaime\Neiva CPI\[DINA TERCIARIOS_CF_SEC_New_27-Mar-2024.xlsx]D-PRBDP'!</v>
      </c>
      <c r="G151" s="32" t="s">
        <v>112</v>
      </c>
      <c r="H151" s="33"/>
      <c r="I151" s="33"/>
      <c r="J151" s="37"/>
    </row>
    <row r="152" spans="1:10" x14ac:dyDescent="0.3">
      <c r="A152" s="32" t="s">
        <v>17</v>
      </c>
      <c r="B152" s="32">
        <f t="shared" si="44"/>
        <v>2059</v>
      </c>
      <c r="C152" s="33" t="s">
        <v>31</v>
      </c>
      <c r="D152" s="34" t="s">
        <v>2002</v>
      </c>
      <c r="E152" s="35" t="str">
        <f t="shared" si="42"/>
        <v>PRBDP'!</v>
      </c>
      <c r="F152" s="34" t="str">
        <f t="shared" si="43"/>
        <v>C:\Users\jaime.benazar\Quorum Business Solutions\Ecopetrol Prometeo - Documents\Planning Space Implementation\3. Analysis &amp; Design\Design\FC22\DRR Jaime\Neiva CPI\[DINA TERCIARIOS_CF_SEC_New_27-Mar-2024.xlsx]D-PRBDP'!</v>
      </c>
      <c r="G152" s="32" t="s">
        <v>112</v>
      </c>
      <c r="H152" s="33"/>
      <c r="I152" s="33"/>
      <c r="J152" s="37"/>
    </row>
    <row r="153" spans="1:10" x14ac:dyDescent="0.3">
      <c r="A153" s="32" t="s">
        <v>26</v>
      </c>
      <c r="B153" s="32"/>
      <c r="C153" s="33" t="s">
        <v>31</v>
      </c>
      <c r="D153" s="34"/>
      <c r="E153" s="35"/>
      <c r="F153" s="34"/>
      <c r="G153" s="32"/>
      <c r="H153" s="33"/>
      <c r="I153" s="33"/>
      <c r="J153" s="33"/>
    </row>
    <row r="154" spans="1:10" x14ac:dyDescent="0.3">
      <c r="A154" s="32" t="s">
        <v>18</v>
      </c>
      <c r="B154" s="32">
        <v>2023</v>
      </c>
      <c r="C154" s="33" t="s">
        <v>31</v>
      </c>
      <c r="D154" s="34" t="s">
        <v>2002</v>
      </c>
      <c r="E154" s="35" t="str">
        <f t="shared" ref="E154:E174" si="45">_xlfn.CONCAT(A154,"'!")</f>
        <v>PRBNP'!</v>
      </c>
      <c r="F154" s="34" t="str">
        <f t="shared" ref="F154:F174" si="46">_xlfn.CONCAT(D154:E154)</f>
        <v>C:\Users\jaime.benazar\Quorum Business Solutions\Ecopetrol Prometeo - Documents\Planning Space Implementation\3. Analysis &amp; Design\Design\FC22\DRR Jaime\Neiva CPI\[DINA TERCIARIOS_CF_SEC_New_27-Mar-2024.xlsx]D-PRBNP'!</v>
      </c>
      <c r="G154" s="32" t="s">
        <v>112</v>
      </c>
      <c r="H154" s="33"/>
      <c r="I154" s="33"/>
      <c r="J154" s="37"/>
    </row>
    <row r="155" spans="1:10" x14ac:dyDescent="0.3">
      <c r="A155" s="32" t="s">
        <v>18</v>
      </c>
      <c r="B155" s="32">
        <f>+B154+1</f>
        <v>2024</v>
      </c>
      <c r="C155" s="33" t="s">
        <v>31</v>
      </c>
      <c r="D155" s="34" t="s">
        <v>2002</v>
      </c>
      <c r="E155" s="35" t="str">
        <f t="shared" si="45"/>
        <v>PRBNP'!</v>
      </c>
      <c r="F155" s="34" t="str">
        <f t="shared" si="46"/>
        <v>C:\Users\jaime.benazar\Quorum Business Solutions\Ecopetrol Prometeo - Documents\Planning Space Implementation\3. Analysis &amp; Design\Design\FC22\DRR Jaime\Neiva CPI\[DINA TERCIARIOS_CF_SEC_New_27-Mar-2024.xlsx]D-PRBNP'!</v>
      </c>
      <c r="G155" s="32" t="s">
        <v>112</v>
      </c>
      <c r="H155" s="33"/>
      <c r="I155" s="33"/>
      <c r="J155" s="37"/>
    </row>
    <row r="156" spans="1:10" x14ac:dyDescent="0.3">
      <c r="A156" s="32" t="s">
        <v>18</v>
      </c>
      <c r="B156" s="32">
        <f t="shared" ref="B156:B167" si="47">+B155+1</f>
        <v>2025</v>
      </c>
      <c r="C156" s="33" t="s">
        <v>31</v>
      </c>
      <c r="D156" s="34" t="s">
        <v>2002</v>
      </c>
      <c r="E156" s="35" t="str">
        <f t="shared" si="45"/>
        <v>PRBNP'!</v>
      </c>
      <c r="F156" s="34" t="str">
        <f t="shared" si="46"/>
        <v>C:\Users\jaime.benazar\Quorum Business Solutions\Ecopetrol Prometeo - Documents\Planning Space Implementation\3. Analysis &amp; Design\Design\FC22\DRR Jaime\Neiva CPI\[DINA TERCIARIOS_CF_SEC_New_27-Mar-2024.xlsx]D-PRBNP'!</v>
      </c>
      <c r="G156" s="32" t="s">
        <v>112</v>
      </c>
      <c r="H156" s="33"/>
      <c r="I156" s="33"/>
      <c r="J156" s="37"/>
    </row>
    <row r="157" spans="1:10" x14ac:dyDescent="0.3">
      <c r="A157" s="32" t="s">
        <v>18</v>
      </c>
      <c r="B157" s="32">
        <f t="shared" si="47"/>
        <v>2026</v>
      </c>
      <c r="C157" s="33" t="s">
        <v>31</v>
      </c>
      <c r="D157" s="34" t="s">
        <v>2002</v>
      </c>
      <c r="E157" s="35" t="str">
        <f t="shared" si="45"/>
        <v>PRBNP'!</v>
      </c>
      <c r="F157" s="34" t="str">
        <f t="shared" si="46"/>
        <v>C:\Users\jaime.benazar\Quorum Business Solutions\Ecopetrol Prometeo - Documents\Planning Space Implementation\3. Analysis &amp; Design\Design\FC22\DRR Jaime\Neiva CPI\[DINA TERCIARIOS_CF_SEC_New_27-Mar-2024.xlsx]D-PRBNP'!</v>
      </c>
      <c r="G157" s="32" t="s">
        <v>112</v>
      </c>
      <c r="H157" s="33"/>
      <c r="I157" s="33"/>
      <c r="J157" s="37"/>
    </row>
    <row r="158" spans="1:10" x14ac:dyDescent="0.3">
      <c r="A158" s="32" t="s">
        <v>18</v>
      </c>
      <c r="B158" s="32">
        <f t="shared" si="47"/>
        <v>2027</v>
      </c>
      <c r="C158" s="33" t="s">
        <v>31</v>
      </c>
      <c r="D158" s="34" t="s">
        <v>2002</v>
      </c>
      <c r="E158" s="35" t="str">
        <f t="shared" si="45"/>
        <v>PRBNP'!</v>
      </c>
      <c r="F158" s="34" t="str">
        <f t="shared" si="46"/>
        <v>C:\Users\jaime.benazar\Quorum Business Solutions\Ecopetrol Prometeo - Documents\Planning Space Implementation\3. Analysis &amp; Design\Design\FC22\DRR Jaime\Neiva CPI\[DINA TERCIARIOS_CF_SEC_New_27-Mar-2024.xlsx]D-PRBNP'!</v>
      </c>
      <c r="G158" s="32" t="s">
        <v>112</v>
      </c>
      <c r="H158" s="33"/>
      <c r="I158" s="33"/>
      <c r="J158" s="37"/>
    </row>
    <row r="159" spans="1:10" x14ac:dyDescent="0.3">
      <c r="A159" s="32" t="s">
        <v>18</v>
      </c>
      <c r="B159" s="32">
        <f t="shared" si="47"/>
        <v>2028</v>
      </c>
      <c r="C159" s="33" t="s">
        <v>31</v>
      </c>
      <c r="D159" s="34" t="s">
        <v>2002</v>
      </c>
      <c r="E159" s="35" t="str">
        <f t="shared" si="45"/>
        <v>PRBNP'!</v>
      </c>
      <c r="F159" s="34" t="str">
        <f t="shared" si="46"/>
        <v>C:\Users\jaime.benazar\Quorum Business Solutions\Ecopetrol Prometeo - Documents\Planning Space Implementation\3. Analysis &amp; Design\Design\FC22\DRR Jaime\Neiva CPI\[DINA TERCIARIOS_CF_SEC_New_27-Mar-2024.xlsx]D-PRBNP'!</v>
      </c>
      <c r="G159" s="32" t="s">
        <v>112</v>
      </c>
      <c r="H159" s="33"/>
      <c r="I159" s="33"/>
      <c r="J159" s="37"/>
    </row>
    <row r="160" spans="1:10" x14ac:dyDescent="0.3">
      <c r="A160" s="32" t="s">
        <v>18</v>
      </c>
      <c r="B160" s="32">
        <f t="shared" si="47"/>
        <v>2029</v>
      </c>
      <c r="C160" s="33" t="s">
        <v>31</v>
      </c>
      <c r="D160" s="34" t="s">
        <v>2002</v>
      </c>
      <c r="E160" s="35" t="str">
        <f t="shared" si="45"/>
        <v>PRBNP'!</v>
      </c>
      <c r="F160" s="34" t="str">
        <f t="shared" si="46"/>
        <v>C:\Users\jaime.benazar\Quorum Business Solutions\Ecopetrol Prometeo - Documents\Planning Space Implementation\3. Analysis &amp; Design\Design\FC22\DRR Jaime\Neiva CPI\[DINA TERCIARIOS_CF_SEC_New_27-Mar-2024.xlsx]D-PRBNP'!</v>
      </c>
      <c r="G160" s="32" t="s">
        <v>112</v>
      </c>
      <c r="H160" s="33"/>
      <c r="I160" s="33"/>
      <c r="J160" s="37"/>
    </row>
    <row r="161" spans="1:10" x14ac:dyDescent="0.3">
      <c r="A161" s="32" t="s">
        <v>18</v>
      </c>
      <c r="B161" s="32">
        <f t="shared" si="47"/>
        <v>2030</v>
      </c>
      <c r="C161" s="33" t="s">
        <v>31</v>
      </c>
      <c r="D161" s="34" t="s">
        <v>2002</v>
      </c>
      <c r="E161" s="35" t="str">
        <f t="shared" si="45"/>
        <v>PRBNP'!</v>
      </c>
      <c r="F161" s="34" t="str">
        <f t="shared" si="46"/>
        <v>C:\Users\jaime.benazar\Quorum Business Solutions\Ecopetrol Prometeo - Documents\Planning Space Implementation\3. Analysis &amp; Design\Design\FC22\DRR Jaime\Neiva CPI\[DINA TERCIARIOS_CF_SEC_New_27-Mar-2024.xlsx]D-PRBNP'!</v>
      </c>
      <c r="G161" s="32" t="s">
        <v>112</v>
      </c>
      <c r="H161" s="33"/>
      <c r="I161" s="33"/>
      <c r="J161" s="37"/>
    </row>
    <row r="162" spans="1:10" x14ac:dyDescent="0.3">
      <c r="A162" s="32" t="s">
        <v>18</v>
      </c>
      <c r="B162" s="32">
        <f t="shared" si="47"/>
        <v>2031</v>
      </c>
      <c r="C162" s="33" t="s">
        <v>31</v>
      </c>
      <c r="D162" s="34" t="s">
        <v>2002</v>
      </c>
      <c r="E162" s="35" t="str">
        <f t="shared" si="45"/>
        <v>PRBNP'!</v>
      </c>
      <c r="F162" s="34" t="str">
        <f t="shared" si="46"/>
        <v>C:\Users\jaime.benazar\Quorum Business Solutions\Ecopetrol Prometeo - Documents\Planning Space Implementation\3. Analysis &amp; Design\Design\FC22\DRR Jaime\Neiva CPI\[DINA TERCIARIOS_CF_SEC_New_27-Mar-2024.xlsx]D-PRBNP'!</v>
      </c>
      <c r="G162" s="32" t="s">
        <v>112</v>
      </c>
      <c r="H162" s="33"/>
      <c r="I162" s="33"/>
      <c r="J162" s="37"/>
    </row>
    <row r="163" spans="1:10" x14ac:dyDescent="0.3">
      <c r="A163" s="32" t="s">
        <v>18</v>
      </c>
      <c r="B163" s="32">
        <f t="shared" si="47"/>
        <v>2032</v>
      </c>
      <c r="C163" s="33" t="s">
        <v>31</v>
      </c>
      <c r="D163" s="34" t="s">
        <v>2002</v>
      </c>
      <c r="E163" s="35" t="str">
        <f t="shared" si="45"/>
        <v>PRBNP'!</v>
      </c>
      <c r="F163" s="34" t="str">
        <f t="shared" si="46"/>
        <v>C:\Users\jaime.benazar\Quorum Business Solutions\Ecopetrol Prometeo - Documents\Planning Space Implementation\3. Analysis &amp; Design\Design\FC22\DRR Jaime\Neiva CPI\[DINA TERCIARIOS_CF_SEC_New_27-Mar-2024.xlsx]D-PRBNP'!</v>
      </c>
      <c r="G163" s="32" t="s">
        <v>112</v>
      </c>
      <c r="H163" s="33"/>
      <c r="I163" s="33"/>
      <c r="J163" s="37"/>
    </row>
    <row r="164" spans="1:10" x14ac:dyDescent="0.3">
      <c r="A164" s="32" t="s">
        <v>18</v>
      </c>
      <c r="B164" s="32">
        <f t="shared" si="47"/>
        <v>2033</v>
      </c>
      <c r="C164" s="33" t="s">
        <v>31</v>
      </c>
      <c r="D164" s="34" t="s">
        <v>2002</v>
      </c>
      <c r="E164" s="35" t="str">
        <f t="shared" si="45"/>
        <v>PRBNP'!</v>
      </c>
      <c r="F164" s="34" t="str">
        <f t="shared" si="46"/>
        <v>C:\Users\jaime.benazar\Quorum Business Solutions\Ecopetrol Prometeo - Documents\Planning Space Implementation\3. Analysis &amp; Design\Design\FC22\DRR Jaime\Neiva CPI\[DINA TERCIARIOS_CF_SEC_New_27-Mar-2024.xlsx]D-PRBNP'!</v>
      </c>
      <c r="G164" s="32" t="s">
        <v>112</v>
      </c>
      <c r="H164" s="33"/>
      <c r="I164" s="33"/>
      <c r="J164" s="37"/>
    </row>
    <row r="165" spans="1:10" x14ac:dyDescent="0.3">
      <c r="A165" s="32" t="s">
        <v>18</v>
      </c>
      <c r="B165" s="32">
        <f t="shared" si="47"/>
        <v>2034</v>
      </c>
      <c r="C165" s="33" t="s">
        <v>31</v>
      </c>
      <c r="D165" s="34" t="s">
        <v>2002</v>
      </c>
      <c r="E165" s="35" t="str">
        <f t="shared" si="45"/>
        <v>PRBNP'!</v>
      </c>
      <c r="F165" s="34" t="str">
        <f t="shared" si="46"/>
        <v>C:\Users\jaime.benazar\Quorum Business Solutions\Ecopetrol Prometeo - Documents\Planning Space Implementation\3. Analysis &amp; Design\Design\FC22\DRR Jaime\Neiva CPI\[DINA TERCIARIOS_CF_SEC_New_27-Mar-2024.xlsx]D-PRBNP'!</v>
      </c>
      <c r="G165" s="32" t="s">
        <v>112</v>
      </c>
      <c r="H165" s="33"/>
      <c r="I165" s="33"/>
      <c r="J165" s="37"/>
    </row>
    <row r="166" spans="1:10" x14ac:dyDescent="0.3">
      <c r="A166" s="32" t="s">
        <v>18</v>
      </c>
      <c r="B166" s="32">
        <f t="shared" si="47"/>
        <v>2035</v>
      </c>
      <c r="C166" s="33" t="s">
        <v>31</v>
      </c>
      <c r="D166" s="34" t="s">
        <v>2002</v>
      </c>
      <c r="E166" s="35" t="str">
        <f t="shared" si="45"/>
        <v>PRBNP'!</v>
      </c>
      <c r="F166" s="34" t="str">
        <f t="shared" si="46"/>
        <v>C:\Users\jaime.benazar\Quorum Business Solutions\Ecopetrol Prometeo - Documents\Planning Space Implementation\3. Analysis &amp; Design\Design\FC22\DRR Jaime\Neiva CPI\[DINA TERCIARIOS_CF_SEC_New_27-Mar-2024.xlsx]D-PRBNP'!</v>
      </c>
      <c r="G166" s="32" t="s">
        <v>112</v>
      </c>
      <c r="H166" s="33"/>
      <c r="I166" s="33"/>
      <c r="J166" s="37"/>
    </row>
    <row r="167" spans="1:10" x14ac:dyDescent="0.3">
      <c r="A167" s="32" t="s">
        <v>18</v>
      </c>
      <c r="B167" s="32">
        <f t="shared" si="47"/>
        <v>2036</v>
      </c>
      <c r="C167" s="33" t="s">
        <v>31</v>
      </c>
      <c r="D167" s="34" t="s">
        <v>2002</v>
      </c>
      <c r="E167" s="35" t="str">
        <f t="shared" si="45"/>
        <v>PRBNP'!</v>
      </c>
      <c r="F167" s="34" t="str">
        <f t="shared" si="46"/>
        <v>C:\Users\jaime.benazar\Quorum Business Solutions\Ecopetrol Prometeo - Documents\Planning Space Implementation\3. Analysis &amp; Design\Design\FC22\DRR Jaime\Neiva CPI\[DINA TERCIARIOS_CF_SEC_New_27-Mar-2024.xlsx]D-PRBNP'!</v>
      </c>
      <c r="G167" s="32" t="s">
        <v>112</v>
      </c>
      <c r="H167" s="33"/>
      <c r="I167" s="33"/>
      <c r="J167" s="37"/>
    </row>
    <row r="168" spans="1:10" x14ac:dyDescent="0.3">
      <c r="A168" s="32" t="s">
        <v>18</v>
      </c>
      <c r="B168" s="32">
        <f>+B167+1</f>
        <v>2037</v>
      </c>
      <c r="C168" s="33" t="s">
        <v>31</v>
      </c>
      <c r="D168" s="34" t="s">
        <v>2002</v>
      </c>
      <c r="E168" s="35" t="str">
        <f t="shared" si="45"/>
        <v>PRBNP'!</v>
      </c>
      <c r="F168" s="34" t="str">
        <f t="shared" si="46"/>
        <v>C:\Users\jaime.benazar\Quorum Business Solutions\Ecopetrol Prometeo - Documents\Planning Space Implementation\3. Analysis &amp; Design\Design\FC22\DRR Jaime\Neiva CPI\[DINA TERCIARIOS_CF_SEC_New_27-Mar-2024.xlsx]D-PRBNP'!</v>
      </c>
      <c r="G168" s="32" t="s">
        <v>112</v>
      </c>
      <c r="H168" s="33"/>
      <c r="I168" s="33"/>
      <c r="J168" s="37"/>
    </row>
    <row r="169" spans="1:10" x14ac:dyDescent="0.3">
      <c r="A169" s="32" t="s">
        <v>18</v>
      </c>
      <c r="B169" s="32">
        <f t="shared" ref="B169:B171" si="48">+B168+1</f>
        <v>2038</v>
      </c>
      <c r="C169" s="33" t="s">
        <v>31</v>
      </c>
      <c r="D169" s="34" t="s">
        <v>2002</v>
      </c>
      <c r="E169" s="35" t="str">
        <f t="shared" si="45"/>
        <v>PRBNP'!</v>
      </c>
      <c r="F169" s="34" t="str">
        <f t="shared" si="46"/>
        <v>C:\Users\jaime.benazar\Quorum Business Solutions\Ecopetrol Prometeo - Documents\Planning Space Implementation\3. Analysis &amp; Design\Design\FC22\DRR Jaime\Neiva CPI\[DINA TERCIARIOS_CF_SEC_New_27-Mar-2024.xlsx]D-PRBNP'!</v>
      </c>
      <c r="G169" s="32" t="s">
        <v>112</v>
      </c>
      <c r="H169" s="33"/>
      <c r="I169" s="33"/>
      <c r="J169" s="37"/>
    </row>
    <row r="170" spans="1:10" x14ac:dyDescent="0.3">
      <c r="A170" s="32" t="s">
        <v>18</v>
      </c>
      <c r="B170" s="32">
        <f t="shared" si="48"/>
        <v>2039</v>
      </c>
      <c r="C170" s="33" t="s">
        <v>31</v>
      </c>
      <c r="D170" s="34" t="s">
        <v>2002</v>
      </c>
      <c r="E170" s="35" t="str">
        <f t="shared" si="45"/>
        <v>PRBNP'!</v>
      </c>
      <c r="F170" s="34" t="str">
        <f t="shared" si="46"/>
        <v>C:\Users\jaime.benazar\Quorum Business Solutions\Ecopetrol Prometeo - Documents\Planning Space Implementation\3. Analysis &amp; Design\Design\FC22\DRR Jaime\Neiva CPI\[DINA TERCIARIOS_CF_SEC_New_27-Mar-2024.xlsx]D-PRBNP'!</v>
      </c>
      <c r="G170" s="32" t="s">
        <v>112</v>
      </c>
      <c r="H170" s="33"/>
      <c r="I170" s="33"/>
      <c r="J170" s="37"/>
    </row>
    <row r="171" spans="1:10" x14ac:dyDescent="0.3">
      <c r="A171" s="32" t="s">
        <v>18</v>
      </c>
      <c r="B171" s="32">
        <f t="shared" si="48"/>
        <v>2040</v>
      </c>
      <c r="C171" s="33" t="s">
        <v>31</v>
      </c>
      <c r="D171" s="34" t="s">
        <v>2002</v>
      </c>
      <c r="E171" s="35" t="str">
        <f t="shared" si="45"/>
        <v>PRBNP'!</v>
      </c>
      <c r="F171" s="34" t="str">
        <f t="shared" si="46"/>
        <v>C:\Users\jaime.benazar\Quorum Business Solutions\Ecopetrol Prometeo - Documents\Planning Space Implementation\3. Analysis &amp; Design\Design\FC22\DRR Jaime\Neiva CPI\[DINA TERCIARIOS_CF_SEC_New_27-Mar-2024.xlsx]D-PRBNP'!</v>
      </c>
      <c r="G171" s="32" t="s">
        <v>112</v>
      </c>
      <c r="H171" s="33"/>
      <c r="I171" s="33"/>
      <c r="J171" s="37"/>
    </row>
    <row r="172" spans="1:10" x14ac:dyDescent="0.3">
      <c r="A172" s="32" t="s">
        <v>18</v>
      </c>
      <c r="B172" s="32">
        <f>+B171+1</f>
        <v>2041</v>
      </c>
      <c r="C172" s="33" t="s">
        <v>31</v>
      </c>
      <c r="D172" s="34" t="s">
        <v>2002</v>
      </c>
      <c r="E172" s="35" t="str">
        <f t="shared" si="45"/>
        <v>PRBNP'!</v>
      </c>
      <c r="F172" s="34" t="str">
        <f t="shared" si="46"/>
        <v>C:\Users\jaime.benazar\Quorum Business Solutions\Ecopetrol Prometeo - Documents\Planning Space Implementation\3. Analysis &amp; Design\Design\FC22\DRR Jaime\Neiva CPI\[DINA TERCIARIOS_CF_SEC_New_27-Mar-2024.xlsx]D-PRBNP'!</v>
      </c>
      <c r="G172" s="32" t="s">
        <v>112</v>
      </c>
      <c r="H172" s="33"/>
      <c r="I172" s="33"/>
      <c r="J172" s="37"/>
    </row>
    <row r="173" spans="1:10" x14ac:dyDescent="0.3">
      <c r="A173" s="32" t="s">
        <v>18</v>
      </c>
      <c r="B173" s="32">
        <f t="shared" ref="B173:B174" si="49">+B172+1</f>
        <v>2042</v>
      </c>
      <c r="C173" s="33" t="s">
        <v>31</v>
      </c>
      <c r="D173" s="34" t="s">
        <v>2002</v>
      </c>
      <c r="E173" s="35" t="str">
        <f t="shared" si="45"/>
        <v>PRBNP'!</v>
      </c>
      <c r="F173" s="34" t="str">
        <f t="shared" si="46"/>
        <v>C:\Users\jaime.benazar\Quorum Business Solutions\Ecopetrol Prometeo - Documents\Planning Space Implementation\3. Analysis &amp; Design\Design\FC22\DRR Jaime\Neiva CPI\[DINA TERCIARIOS_CF_SEC_New_27-Mar-2024.xlsx]D-PRBNP'!</v>
      </c>
      <c r="G173" s="32" t="s">
        <v>112</v>
      </c>
      <c r="H173" s="33"/>
      <c r="I173" s="33"/>
      <c r="J173" s="37"/>
    </row>
    <row r="174" spans="1:10" x14ac:dyDescent="0.3">
      <c r="A174" s="32" t="s">
        <v>18</v>
      </c>
      <c r="B174" s="32">
        <f t="shared" si="49"/>
        <v>2043</v>
      </c>
      <c r="C174" s="33" t="s">
        <v>31</v>
      </c>
      <c r="D174" s="34" t="s">
        <v>2002</v>
      </c>
      <c r="E174" s="35" t="str">
        <f t="shared" si="45"/>
        <v>PRBNP'!</v>
      </c>
      <c r="F174" s="34" t="str">
        <f t="shared" si="46"/>
        <v>C:\Users\jaime.benazar\Quorum Business Solutions\Ecopetrol Prometeo - Documents\Planning Space Implementation\3. Analysis &amp; Design\Design\FC22\DRR Jaime\Neiva CPI\[DINA TERCIARIOS_CF_SEC_New_27-Mar-2024.xlsx]D-PRBNP'!</v>
      </c>
      <c r="G174" s="32" t="s">
        <v>112</v>
      </c>
      <c r="H174" s="33"/>
      <c r="I174" s="33"/>
      <c r="J174" s="37"/>
    </row>
    <row r="175" spans="1:10" x14ac:dyDescent="0.3">
      <c r="A175" s="32" t="s">
        <v>18</v>
      </c>
      <c r="B175" s="32">
        <f>+B174+1</f>
        <v>2044</v>
      </c>
      <c r="C175" s="33" t="s">
        <v>31</v>
      </c>
      <c r="D175" s="34" t="s">
        <v>2002</v>
      </c>
      <c r="E175" s="35" t="str">
        <f t="shared" ref="E175:E190" si="50">_xlfn.CONCAT(A175,"'!")</f>
        <v>PRBNP'!</v>
      </c>
      <c r="F175" s="34" t="str">
        <f t="shared" ref="F175:F190" si="51">_xlfn.CONCAT(D175:E175)</f>
        <v>C:\Users\jaime.benazar\Quorum Business Solutions\Ecopetrol Prometeo - Documents\Planning Space Implementation\3. Analysis &amp; Design\Design\FC22\DRR Jaime\Neiva CPI\[DINA TERCIARIOS_CF_SEC_New_27-Mar-2024.xlsx]D-PRBNP'!</v>
      </c>
      <c r="G175" s="32" t="s">
        <v>112</v>
      </c>
      <c r="H175" s="33"/>
      <c r="I175" s="33"/>
      <c r="J175" s="37"/>
    </row>
    <row r="176" spans="1:10" x14ac:dyDescent="0.3">
      <c r="A176" s="32" t="s">
        <v>18</v>
      </c>
      <c r="B176" s="32">
        <f t="shared" ref="B176:B190" si="52">+B175+1</f>
        <v>2045</v>
      </c>
      <c r="C176" s="33" t="s">
        <v>31</v>
      </c>
      <c r="D176" s="34" t="s">
        <v>2002</v>
      </c>
      <c r="E176" s="35" t="str">
        <f t="shared" si="50"/>
        <v>PRBNP'!</v>
      </c>
      <c r="F176" s="34" t="str">
        <f t="shared" si="51"/>
        <v>C:\Users\jaime.benazar\Quorum Business Solutions\Ecopetrol Prometeo - Documents\Planning Space Implementation\3. Analysis &amp; Design\Design\FC22\DRR Jaime\Neiva CPI\[DINA TERCIARIOS_CF_SEC_New_27-Mar-2024.xlsx]D-PRBNP'!</v>
      </c>
      <c r="G176" s="32" t="s">
        <v>112</v>
      </c>
      <c r="H176" s="33"/>
      <c r="I176" s="33"/>
      <c r="J176" s="37"/>
    </row>
    <row r="177" spans="1:10" x14ac:dyDescent="0.3">
      <c r="A177" s="32" t="s">
        <v>18</v>
      </c>
      <c r="B177" s="32">
        <f t="shared" si="52"/>
        <v>2046</v>
      </c>
      <c r="C177" s="33" t="s">
        <v>31</v>
      </c>
      <c r="D177" s="34" t="s">
        <v>2002</v>
      </c>
      <c r="E177" s="35" t="str">
        <f t="shared" si="50"/>
        <v>PRBNP'!</v>
      </c>
      <c r="F177" s="34" t="str">
        <f t="shared" si="51"/>
        <v>C:\Users\jaime.benazar\Quorum Business Solutions\Ecopetrol Prometeo - Documents\Planning Space Implementation\3. Analysis &amp; Design\Design\FC22\DRR Jaime\Neiva CPI\[DINA TERCIARIOS_CF_SEC_New_27-Mar-2024.xlsx]D-PRBNP'!</v>
      </c>
      <c r="G177" s="32" t="s">
        <v>112</v>
      </c>
      <c r="H177" s="33"/>
      <c r="I177" s="33"/>
      <c r="J177" s="37"/>
    </row>
    <row r="178" spans="1:10" x14ac:dyDescent="0.3">
      <c r="A178" s="32" t="s">
        <v>18</v>
      </c>
      <c r="B178" s="32">
        <f t="shared" si="52"/>
        <v>2047</v>
      </c>
      <c r="C178" s="33" t="s">
        <v>31</v>
      </c>
      <c r="D178" s="34" t="s">
        <v>2002</v>
      </c>
      <c r="E178" s="35" t="str">
        <f t="shared" si="50"/>
        <v>PRBNP'!</v>
      </c>
      <c r="F178" s="34" t="str">
        <f t="shared" si="51"/>
        <v>C:\Users\jaime.benazar\Quorum Business Solutions\Ecopetrol Prometeo - Documents\Planning Space Implementation\3. Analysis &amp; Design\Design\FC22\DRR Jaime\Neiva CPI\[DINA TERCIARIOS_CF_SEC_New_27-Mar-2024.xlsx]D-PRBNP'!</v>
      </c>
      <c r="G178" s="32" t="s">
        <v>112</v>
      </c>
      <c r="H178" s="33"/>
      <c r="I178" s="33"/>
      <c r="J178" s="37"/>
    </row>
    <row r="179" spans="1:10" x14ac:dyDescent="0.3">
      <c r="A179" s="32" t="s">
        <v>18</v>
      </c>
      <c r="B179" s="32">
        <f t="shared" si="52"/>
        <v>2048</v>
      </c>
      <c r="C179" s="33" t="s">
        <v>31</v>
      </c>
      <c r="D179" s="34" t="s">
        <v>2002</v>
      </c>
      <c r="E179" s="35" t="str">
        <f t="shared" si="50"/>
        <v>PRBNP'!</v>
      </c>
      <c r="F179" s="34" t="str">
        <f t="shared" si="51"/>
        <v>C:\Users\jaime.benazar\Quorum Business Solutions\Ecopetrol Prometeo - Documents\Planning Space Implementation\3. Analysis &amp; Design\Design\FC22\DRR Jaime\Neiva CPI\[DINA TERCIARIOS_CF_SEC_New_27-Mar-2024.xlsx]D-PRBNP'!</v>
      </c>
      <c r="G179" s="32" t="s">
        <v>112</v>
      </c>
      <c r="H179" s="33"/>
      <c r="I179" s="33"/>
      <c r="J179" s="37"/>
    </row>
    <row r="180" spans="1:10" x14ac:dyDescent="0.3">
      <c r="A180" s="32" t="s">
        <v>18</v>
      </c>
      <c r="B180" s="32">
        <f t="shared" si="52"/>
        <v>2049</v>
      </c>
      <c r="C180" s="33" t="s">
        <v>31</v>
      </c>
      <c r="D180" s="34" t="s">
        <v>2002</v>
      </c>
      <c r="E180" s="35" t="str">
        <f t="shared" si="50"/>
        <v>PRBNP'!</v>
      </c>
      <c r="F180" s="34" t="str">
        <f t="shared" si="51"/>
        <v>C:\Users\jaime.benazar\Quorum Business Solutions\Ecopetrol Prometeo - Documents\Planning Space Implementation\3. Analysis &amp; Design\Design\FC22\DRR Jaime\Neiva CPI\[DINA TERCIARIOS_CF_SEC_New_27-Mar-2024.xlsx]D-PRBNP'!</v>
      </c>
      <c r="G180" s="32" t="s">
        <v>112</v>
      </c>
      <c r="H180" s="33"/>
      <c r="I180" s="33"/>
      <c r="J180" s="37"/>
    </row>
    <row r="181" spans="1:10" x14ac:dyDescent="0.3">
      <c r="A181" s="32" t="s">
        <v>18</v>
      </c>
      <c r="B181" s="32">
        <f t="shared" si="52"/>
        <v>2050</v>
      </c>
      <c r="C181" s="33" t="s">
        <v>31</v>
      </c>
      <c r="D181" s="34" t="s">
        <v>2002</v>
      </c>
      <c r="E181" s="35" t="str">
        <f t="shared" si="50"/>
        <v>PRBNP'!</v>
      </c>
      <c r="F181" s="34" t="str">
        <f t="shared" si="51"/>
        <v>C:\Users\jaime.benazar\Quorum Business Solutions\Ecopetrol Prometeo - Documents\Planning Space Implementation\3. Analysis &amp; Design\Design\FC22\DRR Jaime\Neiva CPI\[DINA TERCIARIOS_CF_SEC_New_27-Mar-2024.xlsx]D-PRBNP'!</v>
      </c>
      <c r="G181" s="32" t="s">
        <v>112</v>
      </c>
      <c r="H181" s="33"/>
      <c r="I181" s="33"/>
      <c r="J181" s="37"/>
    </row>
    <row r="182" spans="1:10" x14ac:dyDescent="0.3">
      <c r="A182" s="32" t="s">
        <v>18</v>
      </c>
      <c r="B182" s="32">
        <f t="shared" si="52"/>
        <v>2051</v>
      </c>
      <c r="C182" s="33" t="s">
        <v>31</v>
      </c>
      <c r="D182" s="34" t="s">
        <v>2002</v>
      </c>
      <c r="E182" s="35" t="str">
        <f t="shared" si="50"/>
        <v>PRBNP'!</v>
      </c>
      <c r="F182" s="34" t="str">
        <f t="shared" si="51"/>
        <v>C:\Users\jaime.benazar\Quorum Business Solutions\Ecopetrol Prometeo - Documents\Planning Space Implementation\3. Analysis &amp; Design\Design\FC22\DRR Jaime\Neiva CPI\[DINA TERCIARIOS_CF_SEC_New_27-Mar-2024.xlsx]D-PRBNP'!</v>
      </c>
      <c r="G182" s="32" t="s">
        <v>112</v>
      </c>
      <c r="H182" s="33"/>
      <c r="I182" s="33"/>
      <c r="J182" s="37"/>
    </row>
    <row r="183" spans="1:10" x14ac:dyDescent="0.3">
      <c r="A183" s="32" t="s">
        <v>18</v>
      </c>
      <c r="B183" s="32">
        <f t="shared" si="52"/>
        <v>2052</v>
      </c>
      <c r="C183" s="33" t="s">
        <v>31</v>
      </c>
      <c r="D183" s="34" t="s">
        <v>2002</v>
      </c>
      <c r="E183" s="35" t="str">
        <f t="shared" si="50"/>
        <v>PRBNP'!</v>
      </c>
      <c r="F183" s="34" t="str">
        <f t="shared" si="51"/>
        <v>C:\Users\jaime.benazar\Quorum Business Solutions\Ecopetrol Prometeo - Documents\Planning Space Implementation\3. Analysis &amp; Design\Design\FC22\DRR Jaime\Neiva CPI\[DINA TERCIARIOS_CF_SEC_New_27-Mar-2024.xlsx]D-PRBNP'!</v>
      </c>
      <c r="G183" s="32" t="s">
        <v>112</v>
      </c>
      <c r="H183" s="33"/>
      <c r="I183" s="33"/>
      <c r="J183" s="37"/>
    </row>
    <row r="184" spans="1:10" x14ac:dyDescent="0.3">
      <c r="A184" s="32" t="s">
        <v>18</v>
      </c>
      <c r="B184" s="32">
        <f t="shared" si="52"/>
        <v>2053</v>
      </c>
      <c r="C184" s="33" t="s">
        <v>31</v>
      </c>
      <c r="D184" s="34" t="s">
        <v>2002</v>
      </c>
      <c r="E184" s="35" t="str">
        <f t="shared" si="50"/>
        <v>PRBNP'!</v>
      </c>
      <c r="F184" s="34" t="str">
        <f t="shared" si="51"/>
        <v>C:\Users\jaime.benazar\Quorum Business Solutions\Ecopetrol Prometeo - Documents\Planning Space Implementation\3. Analysis &amp; Design\Design\FC22\DRR Jaime\Neiva CPI\[DINA TERCIARIOS_CF_SEC_New_27-Mar-2024.xlsx]D-PRBNP'!</v>
      </c>
      <c r="G184" s="32" t="s">
        <v>112</v>
      </c>
      <c r="H184" s="33"/>
      <c r="I184" s="33"/>
      <c r="J184" s="37"/>
    </row>
    <row r="185" spans="1:10" x14ac:dyDescent="0.3">
      <c r="A185" s="32" t="s">
        <v>18</v>
      </c>
      <c r="B185" s="32">
        <f t="shared" si="52"/>
        <v>2054</v>
      </c>
      <c r="C185" s="33" t="s">
        <v>31</v>
      </c>
      <c r="D185" s="34" t="s">
        <v>2002</v>
      </c>
      <c r="E185" s="35" t="str">
        <f t="shared" si="50"/>
        <v>PRBNP'!</v>
      </c>
      <c r="F185" s="34" t="str">
        <f t="shared" si="51"/>
        <v>C:\Users\jaime.benazar\Quorum Business Solutions\Ecopetrol Prometeo - Documents\Planning Space Implementation\3. Analysis &amp; Design\Design\FC22\DRR Jaime\Neiva CPI\[DINA TERCIARIOS_CF_SEC_New_27-Mar-2024.xlsx]D-PRBNP'!</v>
      </c>
      <c r="G185" s="32" t="s">
        <v>112</v>
      </c>
      <c r="H185" s="33"/>
      <c r="I185" s="33"/>
      <c r="J185" s="37"/>
    </row>
    <row r="186" spans="1:10" x14ac:dyDescent="0.3">
      <c r="A186" s="32" t="s">
        <v>18</v>
      </c>
      <c r="B186" s="32">
        <f t="shared" si="52"/>
        <v>2055</v>
      </c>
      <c r="C186" s="33" t="s">
        <v>31</v>
      </c>
      <c r="D186" s="34" t="s">
        <v>2002</v>
      </c>
      <c r="E186" s="35" t="str">
        <f t="shared" si="50"/>
        <v>PRBNP'!</v>
      </c>
      <c r="F186" s="34" t="str">
        <f t="shared" si="51"/>
        <v>C:\Users\jaime.benazar\Quorum Business Solutions\Ecopetrol Prometeo - Documents\Planning Space Implementation\3. Analysis &amp; Design\Design\FC22\DRR Jaime\Neiva CPI\[DINA TERCIARIOS_CF_SEC_New_27-Mar-2024.xlsx]D-PRBNP'!</v>
      </c>
      <c r="G186" s="32" t="s">
        <v>112</v>
      </c>
      <c r="H186" s="33"/>
      <c r="I186" s="33"/>
      <c r="J186" s="37"/>
    </row>
    <row r="187" spans="1:10" x14ac:dyDescent="0.3">
      <c r="A187" s="32" t="s">
        <v>18</v>
      </c>
      <c r="B187" s="32">
        <f t="shared" si="52"/>
        <v>2056</v>
      </c>
      <c r="C187" s="33" t="s">
        <v>31</v>
      </c>
      <c r="D187" s="34" t="s">
        <v>2002</v>
      </c>
      <c r="E187" s="35" t="str">
        <f t="shared" si="50"/>
        <v>PRBNP'!</v>
      </c>
      <c r="F187" s="34" t="str">
        <f t="shared" si="51"/>
        <v>C:\Users\jaime.benazar\Quorum Business Solutions\Ecopetrol Prometeo - Documents\Planning Space Implementation\3. Analysis &amp; Design\Design\FC22\DRR Jaime\Neiva CPI\[DINA TERCIARIOS_CF_SEC_New_27-Mar-2024.xlsx]D-PRBNP'!</v>
      </c>
      <c r="G187" s="32" t="s">
        <v>112</v>
      </c>
      <c r="H187" s="33"/>
      <c r="I187" s="33"/>
      <c r="J187" s="37"/>
    </row>
    <row r="188" spans="1:10" x14ac:dyDescent="0.3">
      <c r="A188" s="32" t="s">
        <v>18</v>
      </c>
      <c r="B188" s="32">
        <f t="shared" si="52"/>
        <v>2057</v>
      </c>
      <c r="C188" s="33" t="s">
        <v>31</v>
      </c>
      <c r="D188" s="34" t="s">
        <v>2002</v>
      </c>
      <c r="E188" s="35" t="str">
        <f t="shared" si="50"/>
        <v>PRBNP'!</v>
      </c>
      <c r="F188" s="34" t="str">
        <f t="shared" si="51"/>
        <v>C:\Users\jaime.benazar\Quorum Business Solutions\Ecopetrol Prometeo - Documents\Planning Space Implementation\3. Analysis &amp; Design\Design\FC22\DRR Jaime\Neiva CPI\[DINA TERCIARIOS_CF_SEC_New_27-Mar-2024.xlsx]D-PRBNP'!</v>
      </c>
      <c r="G188" s="32" t="s">
        <v>112</v>
      </c>
      <c r="H188" s="33"/>
      <c r="I188" s="33"/>
      <c r="J188" s="37"/>
    </row>
    <row r="189" spans="1:10" x14ac:dyDescent="0.3">
      <c r="A189" s="32" t="s">
        <v>18</v>
      </c>
      <c r="B189" s="32">
        <f t="shared" si="52"/>
        <v>2058</v>
      </c>
      <c r="C189" s="33" t="s">
        <v>31</v>
      </c>
      <c r="D189" s="34" t="s">
        <v>2002</v>
      </c>
      <c r="E189" s="35" t="str">
        <f t="shared" si="50"/>
        <v>PRBNP'!</v>
      </c>
      <c r="F189" s="34" t="str">
        <f t="shared" si="51"/>
        <v>C:\Users\jaime.benazar\Quorum Business Solutions\Ecopetrol Prometeo - Documents\Planning Space Implementation\3. Analysis &amp; Design\Design\FC22\DRR Jaime\Neiva CPI\[DINA TERCIARIOS_CF_SEC_New_27-Mar-2024.xlsx]D-PRBNP'!</v>
      </c>
      <c r="G189" s="32" t="s">
        <v>112</v>
      </c>
      <c r="H189" s="33"/>
      <c r="I189" s="33"/>
      <c r="J189" s="37"/>
    </row>
    <row r="190" spans="1:10" x14ac:dyDescent="0.3">
      <c r="A190" s="32" t="s">
        <v>18</v>
      </c>
      <c r="B190" s="32">
        <f t="shared" si="52"/>
        <v>2059</v>
      </c>
      <c r="C190" s="33" t="s">
        <v>31</v>
      </c>
      <c r="D190" s="34" t="s">
        <v>2002</v>
      </c>
      <c r="E190" s="35" t="str">
        <f t="shared" si="50"/>
        <v>PRBNP'!</v>
      </c>
      <c r="F190" s="34" t="str">
        <f t="shared" si="51"/>
        <v>C:\Users\jaime.benazar\Quorum Business Solutions\Ecopetrol Prometeo - Documents\Planning Space Implementation\3. Analysis &amp; Design\Design\FC22\DRR Jaime\Neiva CPI\[DINA TERCIARIOS_CF_SEC_New_27-Mar-2024.xlsx]D-PRBNP'!</v>
      </c>
      <c r="G190" s="32" t="s">
        <v>112</v>
      </c>
      <c r="H190" s="33"/>
      <c r="I190" s="33"/>
      <c r="J190" s="37"/>
    </row>
    <row r="191" spans="1:10" x14ac:dyDescent="0.3">
      <c r="A191" s="32" t="s">
        <v>26</v>
      </c>
      <c r="B191" s="32"/>
      <c r="C191" s="33" t="s">
        <v>31</v>
      </c>
      <c r="D191" s="34"/>
      <c r="E191" s="35"/>
      <c r="F191" s="34"/>
      <c r="G191" s="32"/>
      <c r="H191" s="33"/>
      <c r="I191" s="33"/>
      <c r="J191" s="33"/>
    </row>
    <row r="192" spans="1:10" x14ac:dyDescent="0.3">
      <c r="A192" s="32" t="s">
        <v>19</v>
      </c>
      <c r="B192" s="32">
        <v>2023</v>
      </c>
      <c r="C192" s="33" t="s">
        <v>31</v>
      </c>
      <c r="D192" s="34" t="s">
        <v>2002</v>
      </c>
      <c r="E192" s="35" t="str">
        <f t="shared" ref="E192:E212" si="53">_xlfn.CONCAT(A192,"'!")</f>
        <v>PRBND'!</v>
      </c>
      <c r="F192" s="34" t="str">
        <f t="shared" ref="F192:F212" si="54">_xlfn.CONCAT(D192:E192)</f>
        <v>C:\Users\jaime.benazar\Quorum Business Solutions\Ecopetrol Prometeo - Documents\Planning Space Implementation\3. Analysis &amp; Design\Design\FC22\DRR Jaime\Neiva CPI\[DINA TERCIARIOS_CF_SEC_New_27-Mar-2024.xlsx]D-PRBND'!</v>
      </c>
      <c r="G192" s="32" t="s">
        <v>112</v>
      </c>
      <c r="H192" s="33"/>
      <c r="I192" s="33"/>
      <c r="J192" s="37"/>
    </row>
    <row r="193" spans="1:10" x14ac:dyDescent="0.3">
      <c r="A193" s="32" t="s">
        <v>19</v>
      </c>
      <c r="B193" s="32">
        <f>+B192+1</f>
        <v>2024</v>
      </c>
      <c r="C193" s="33" t="s">
        <v>31</v>
      </c>
      <c r="D193" s="34" t="s">
        <v>2002</v>
      </c>
      <c r="E193" s="35" t="str">
        <f t="shared" si="53"/>
        <v>PRBND'!</v>
      </c>
      <c r="F193" s="34" t="str">
        <f t="shared" si="54"/>
        <v>C:\Users\jaime.benazar\Quorum Business Solutions\Ecopetrol Prometeo - Documents\Planning Space Implementation\3. Analysis &amp; Design\Design\FC22\DRR Jaime\Neiva CPI\[DINA TERCIARIOS_CF_SEC_New_27-Mar-2024.xlsx]D-PRBND'!</v>
      </c>
      <c r="G193" s="32" t="s">
        <v>112</v>
      </c>
      <c r="H193" s="33"/>
      <c r="I193" s="33"/>
      <c r="J193" s="37"/>
    </row>
    <row r="194" spans="1:10" x14ac:dyDescent="0.3">
      <c r="A194" s="32" t="s">
        <v>19</v>
      </c>
      <c r="B194" s="32">
        <f t="shared" ref="B194:B205" si="55">+B193+1</f>
        <v>2025</v>
      </c>
      <c r="C194" s="33" t="s">
        <v>31</v>
      </c>
      <c r="D194" s="34" t="s">
        <v>2002</v>
      </c>
      <c r="E194" s="35" t="str">
        <f t="shared" si="53"/>
        <v>PRBND'!</v>
      </c>
      <c r="F194" s="34" t="str">
        <f t="shared" si="54"/>
        <v>C:\Users\jaime.benazar\Quorum Business Solutions\Ecopetrol Prometeo - Documents\Planning Space Implementation\3. Analysis &amp; Design\Design\FC22\DRR Jaime\Neiva CPI\[DINA TERCIARIOS_CF_SEC_New_27-Mar-2024.xlsx]D-PRBND'!</v>
      </c>
      <c r="G194" s="32" t="s">
        <v>112</v>
      </c>
      <c r="H194" s="33"/>
      <c r="I194" s="33"/>
      <c r="J194" s="37"/>
    </row>
    <row r="195" spans="1:10" x14ac:dyDescent="0.3">
      <c r="A195" s="32" t="s">
        <v>19</v>
      </c>
      <c r="B195" s="32">
        <f t="shared" si="55"/>
        <v>2026</v>
      </c>
      <c r="C195" s="33" t="s">
        <v>31</v>
      </c>
      <c r="D195" s="34" t="s">
        <v>2002</v>
      </c>
      <c r="E195" s="35" t="str">
        <f t="shared" si="53"/>
        <v>PRBND'!</v>
      </c>
      <c r="F195" s="34" t="str">
        <f t="shared" si="54"/>
        <v>C:\Users\jaime.benazar\Quorum Business Solutions\Ecopetrol Prometeo - Documents\Planning Space Implementation\3. Analysis &amp; Design\Design\FC22\DRR Jaime\Neiva CPI\[DINA TERCIARIOS_CF_SEC_New_27-Mar-2024.xlsx]D-PRBND'!</v>
      </c>
      <c r="G195" s="32" t="s">
        <v>112</v>
      </c>
      <c r="H195" s="33"/>
      <c r="I195" s="33"/>
      <c r="J195" s="37"/>
    </row>
    <row r="196" spans="1:10" x14ac:dyDescent="0.3">
      <c r="A196" s="32" t="s">
        <v>19</v>
      </c>
      <c r="B196" s="32">
        <f t="shared" si="55"/>
        <v>2027</v>
      </c>
      <c r="C196" s="33" t="s">
        <v>31</v>
      </c>
      <c r="D196" s="34" t="s">
        <v>2002</v>
      </c>
      <c r="E196" s="35" t="str">
        <f t="shared" si="53"/>
        <v>PRBND'!</v>
      </c>
      <c r="F196" s="34" t="str">
        <f t="shared" si="54"/>
        <v>C:\Users\jaime.benazar\Quorum Business Solutions\Ecopetrol Prometeo - Documents\Planning Space Implementation\3. Analysis &amp; Design\Design\FC22\DRR Jaime\Neiva CPI\[DINA TERCIARIOS_CF_SEC_New_27-Mar-2024.xlsx]D-PRBND'!</v>
      </c>
      <c r="G196" s="32" t="s">
        <v>112</v>
      </c>
      <c r="H196" s="33"/>
      <c r="I196" s="33"/>
      <c r="J196" s="37"/>
    </row>
    <row r="197" spans="1:10" x14ac:dyDescent="0.3">
      <c r="A197" s="32" t="s">
        <v>19</v>
      </c>
      <c r="B197" s="32">
        <f t="shared" si="55"/>
        <v>2028</v>
      </c>
      <c r="C197" s="33" t="s">
        <v>31</v>
      </c>
      <c r="D197" s="34" t="s">
        <v>2002</v>
      </c>
      <c r="E197" s="35" t="str">
        <f t="shared" si="53"/>
        <v>PRBND'!</v>
      </c>
      <c r="F197" s="34" t="str">
        <f t="shared" si="54"/>
        <v>C:\Users\jaime.benazar\Quorum Business Solutions\Ecopetrol Prometeo - Documents\Planning Space Implementation\3. Analysis &amp; Design\Design\FC22\DRR Jaime\Neiva CPI\[DINA TERCIARIOS_CF_SEC_New_27-Mar-2024.xlsx]D-PRBND'!</v>
      </c>
      <c r="G197" s="32" t="s">
        <v>112</v>
      </c>
      <c r="H197" s="33"/>
      <c r="I197" s="33"/>
      <c r="J197" s="37"/>
    </row>
    <row r="198" spans="1:10" x14ac:dyDescent="0.3">
      <c r="A198" s="32" t="s">
        <v>19</v>
      </c>
      <c r="B198" s="32">
        <f t="shared" si="55"/>
        <v>2029</v>
      </c>
      <c r="C198" s="33" t="s">
        <v>31</v>
      </c>
      <c r="D198" s="34" t="s">
        <v>2002</v>
      </c>
      <c r="E198" s="35" t="str">
        <f t="shared" si="53"/>
        <v>PRBND'!</v>
      </c>
      <c r="F198" s="34" t="str">
        <f t="shared" si="54"/>
        <v>C:\Users\jaime.benazar\Quorum Business Solutions\Ecopetrol Prometeo - Documents\Planning Space Implementation\3. Analysis &amp; Design\Design\FC22\DRR Jaime\Neiva CPI\[DINA TERCIARIOS_CF_SEC_New_27-Mar-2024.xlsx]D-PRBND'!</v>
      </c>
      <c r="G198" s="32" t="s">
        <v>112</v>
      </c>
      <c r="H198" s="33"/>
      <c r="I198" s="33"/>
      <c r="J198" s="37"/>
    </row>
    <row r="199" spans="1:10" x14ac:dyDescent="0.3">
      <c r="A199" s="32" t="s">
        <v>19</v>
      </c>
      <c r="B199" s="32">
        <f t="shared" si="55"/>
        <v>2030</v>
      </c>
      <c r="C199" s="33" t="s">
        <v>31</v>
      </c>
      <c r="D199" s="34" t="s">
        <v>2002</v>
      </c>
      <c r="E199" s="35" t="str">
        <f t="shared" si="53"/>
        <v>PRBND'!</v>
      </c>
      <c r="F199" s="34" t="str">
        <f t="shared" si="54"/>
        <v>C:\Users\jaime.benazar\Quorum Business Solutions\Ecopetrol Prometeo - Documents\Planning Space Implementation\3. Analysis &amp; Design\Design\FC22\DRR Jaime\Neiva CPI\[DINA TERCIARIOS_CF_SEC_New_27-Mar-2024.xlsx]D-PRBND'!</v>
      </c>
      <c r="G199" s="32" t="s">
        <v>112</v>
      </c>
      <c r="H199" s="33"/>
      <c r="I199" s="33"/>
      <c r="J199" s="37"/>
    </row>
    <row r="200" spans="1:10" x14ac:dyDescent="0.3">
      <c r="A200" s="32" t="s">
        <v>19</v>
      </c>
      <c r="B200" s="32">
        <f t="shared" si="55"/>
        <v>2031</v>
      </c>
      <c r="C200" s="33" t="s">
        <v>31</v>
      </c>
      <c r="D200" s="34" t="s">
        <v>2002</v>
      </c>
      <c r="E200" s="35" t="str">
        <f t="shared" si="53"/>
        <v>PRBND'!</v>
      </c>
      <c r="F200" s="34" t="str">
        <f t="shared" si="54"/>
        <v>C:\Users\jaime.benazar\Quorum Business Solutions\Ecopetrol Prometeo - Documents\Planning Space Implementation\3. Analysis &amp; Design\Design\FC22\DRR Jaime\Neiva CPI\[DINA TERCIARIOS_CF_SEC_New_27-Mar-2024.xlsx]D-PRBND'!</v>
      </c>
      <c r="G200" s="32" t="s">
        <v>112</v>
      </c>
      <c r="H200" s="33"/>
      <c r="I200" s="33"/>
      <c r="J200" s="37"/>
    </row>
    <row r="201" spans="1:10" x14ac:dyDescent="0.3">
      <c r="A201" s="32" t="s">
        <v>19</v>
      </c>
      <c r="B201" s="32">
        <f t="shared" si="55"/>
        <v>2032</v>
      </c>
      <c r="C201" s="33" t="s">
        <v>31</v>
      </c>
      <c r="D201" s="34" t="s">
        <v>2002</v>
      </c>
      <c r="E201" s="35" t="str">
        <f t="shared" si="53"/>
        <v>PRBND'!</v>
      </c>
      <c r="F201" s="34" t="str">
        <f t="shared" si="54"/>
        <v>C:\Users\jaime.benazar\Quorum Business Solutions\Ecopetrol Prometeo - Documents\Planning Space Implementation\3. Analysis &amp; Design\Design\FC22\DRR Jaime\Neiva CPI\[DINA TERCIARIOS_CF_SEC_New_27-Mar-2024.xlsx]D-PRBND'!</v>
      </c>
      <c r="G201" s="32" t="s">
        <v>112</v>
      </c>
      <c r="H201" s="33"/>
      <c r="I201" s="33"/>
      <c r="J201" s="37"/>
    </row>
    <row r="202" spans="1:10" x14ac:dyDescent="0.3">
      <c r="A202" s="32" t="s">
        <v>19</v>
      </c>
      <c r="B202" s="32">
        <f t="shared" si="55"/>
        <v>2033</v>
      </c>
      <c r="C202" s="33" t="s">
        <v>31</v>
      </c>
      <c r="D202" s="34" t="s">
        <v>2002</v>
      </c>
      <c r="E202" s="35" t="str">
        <f t="shared" si="53"/>
        <v>PRBND'!</v>
      </c>
      <c r="F202" s="34" t="str">
        <f t="shared" si="54"/>
        <v>C:\Users\jaime.benazar\Quorum Business Solutions\Ecopetrol Prometeo - Documents\Planning Space Implementation\3. Analysis &amp; Design\Design\FC22\DRR Jaime\Neiva CPI\[DINA TERCIARIOS_CF_SEC_New_27-Mar-2024.xlsx]D-PRBND'!</v>
      </c>
      <c r="G202" s="32" t="s">
        <v>112</v>
      </c>
      <c r="H202" s="33"/>
      <c r="I202" s="33"/>
      <c r="J202" s="37"/>
    </row>
    <row r="203" spans="1:10" x14ac:dyDescent="0.3">
      <c r="A203" s="32" t="s">
        <v>19</v>
      </c>
      <c r="B203" s="32">
        <f t="shared" si="55"/>
        <v>2034</v>
      </c>
      <c r="C203" s="33" t="s">
        <v>31</v>
      </c>
      <c r="D203" s="34" t="s">
        <v>2002</v>
      </c>
      <c r="E203" s="35" t="str">
        <f t="shared" si="53"/>
        <v>PRBND'!</v>
      </c>
      <c r="F203" s="34" t="str">
        <f t="shared" si="54"/>
        <v>C:\Users\jaime.benazar\Quorum Business Solutions\Ecopetrol Prometeo - Documents\Planning Space Implementation\3. Analysis &amp; Design\Design\FC22\DRR Jaime\Neiva CPI\[DINA TERCIARIOS_CF_SEC_New_27-Mar-2024.xlsx]D-PRBND'!</v>
      </c>
      <c r="G203" s="32" t="s">
        <v>112</v>
      </c>
      <c r="H203" s="33"/>
      <c r="I203" s="33"/>
      <c r="J203" s="37"/>
    </row>
    <row r="204" spans="1:10" x14ac:dyDescent="0.3">
      <c r="A204" s="32" t="s">
        <v>19</v>
      </c>
      <c r="B204" s="32">
        <f t="shared" si="55"/>
        <v>2035</v>
      </c>
      <c r="C204" s="33" t="s">
        <v>31</v>
      </c>
      <c r="D204" s="34" t="s">
        <v>2002</v>
      </c>
      <c r="E204" s="35" t="str">
        <f t="shared" si="53"/>
        <v>PRBND'!</v>
      </c>
      <c r="F204" s="34" t="str">
        <f t="shared" si="54"/>
        <v>C:\Users\jaime.benazar\Quorum Business Solutions\Ecopetrol Prometeo - Documents\Planning Space Implementation\3. Analysis &amp; Design\Design\FC22\DRR Jaime\Neiva CPI\[DINA TERCIARIOS_CF_SEC_New_27-Mar-2024.xlsx]D-PRBND'!</v>
      </c>
      <c r="G204" s="32" t="s">
        <v>112</v>
      </c>
      <c r="H204" s="33"/>
      <c r="I204" s="33"/>
      <c r="J204" s="37"/>
    </row>
    <row r="205" spans="1:10" x14ac:dyDescent="0.3">
      <c r="A205" s="32" t="s">
        <v>19</v>
      </c>
      <c r="B205" s="32">
        <f t="shared" si="55"/>
        <v>2036</v>
      </c>
      <c r="C205" s="33" t="s">
        <v>31</v>
      </c>
      <c r="D205" s="34" t="s">
        <v>2002</v>
      </c>
      <c r="E205" s="35" t="str">
        <f t="shared" si="53"/>
        <v>PRBND'!</v>
      </c>
      <c r="F205" s="34" t="str">
        <f t="shared" si="54"/>
        <v>C:\Users\jaime.benazar\Quorum Business Solutions\Ecopetrol Prometeo - Documents\Planning Space Implementation\3. Analysis &amp; Design\Design\FC22\DRR Jaime\Neiva CPI\[DINA TERCIARIOS_CF_SEC_New_27-Mar-2024.xlsx]D-PRBND'!</v>
      </c>
      <c r="G205" s="32" t="s">
        <v>112</v>
      </c>
      <c r="H205" s="33"/>
      <c r="I205" s="33"/>
      <c r="J205" s="37"/>
    </row>
    <row r="206" spans="1:10" x14ac:dyDescent="0.3">
      <c r="A206" s="32" t="s">
        <v>19</v>
      </c>
      <c r="B206" s="32">
        <f>+B205+1</f>
        <v>2037</v>
      </c>
      <c r="C206" s="33" t="s">
        <v>31</v>
      </c>
      <c r="D206" s="34" t="s">
        <v>2002</v>
      </c>
      <c r="E206" s="35" t="str">
        <f t="shared" si="53"/>
        <v>PRBND'!</v>
      </c>
      <c r="F206" s="34" t="str">
        <f t="shared" si="54"/>
        <v>C:\Users\jaime.benazar\Quorum Business Solutions\Ecopetrol Prometeo - Documents\Planning Space Implementation\3. Analysis &amp; Design\Design\FC22\DRR Jaime\Neiva CPI\[DINA TERCIARIOS_CF_SEC_New_27-Mar-2024.xlsx]D-PRBND'!</v>
      </c>
      <c r="G206" s="32" t="s">
        <v>112</v>
      </c>
      <c r="H206" s="33"/>
      <c r="I206" s="33"/>
      <c r="J206" s="37"/>
    </row>
    <row r="207" spans="1:10" x14ac:dyDescent="0.3">
      <c r="A207" s="32" t="s">
        <v>19</v>
      </c>
      <c r="B207" s="32">
        <f t="shared" ref="B207:B209" si="56">+B206+1</f>
        <v>2038</v>
      </c>
      <c r="C207" s="33" t="s">
        <v>31</v>
      </c>
      <c r="D207" s="34" t="s">
        <v>2002</v>
      </c>
      <c r="E207" s="35" t="str">
        <f t="shared" si="53"/>
        <v>PRBND'!</v>
      </c>
      <c r="F207" s="34" t="str">
        <f t="shared" si="54"/>
        <v>C:\Users\jaime.benazar\Quorum Business Solutions\Ecopetrol Prometeo - Documents\Planning Space Implementation\3. Analysis &amp; Design\Design\FC22\DRR Jaime\Neiva CPI\[DINA TERCIARIOS_CF_SEC_New_27-Mar-2024.xlsx]D-PRBND'!</v>
      </c>
      <c r="G207" s="32" t="s">
        <v>112</v>
      </c>
      <c r="H207" s="33"/>
      <c r="I207" s="33"/>
      <c r="J207" s="37"/>
    </row>
    <row r="208" spans="1:10" x14ac:dyDescent="0.3">
      <c r="A208" s="32" t="s">
        <v>19</v>
      </c>
      <c r="B208" s="32">
        <f t="shared" si="56"/>
        <v>2039</v>
      </c>
      <c r="C208" s="33" t="s">
        <v>31</v>
      </c>
      <c r="D208" s="34" t="s">
        <v>2002</v>
      </c>
      <c r="E208" s="35" t="str">
        <f t="shared" si="53"/>
        <v>PRBND'!</v>
      </c>
      <c r="F208" s="34" t="str">
        <f t="shared" si="54"/>
        <v>C:\Users\jaime.benazar\Quorum Business Solutions\Ecopetrol Prometeo - Documents\Planning Space Implementation\3. Analysis &amp; Design\Design\FC22\DRR Jaime\Neiva CPI\[DINA TERCIARIOS_CF_SEC_New_27-Mar-2024.xlsx]D-PRBND'!</v>
      </c>
      <c r="G208" s="32" t="s">
        <v>112</v>
      </c>
      <c r="H208" s="33"/>
      <c r="I208" s="33"/>
      <c r="J208" s="37"/>
    </row>
    <row r="209" spans="1:10" x14ac:dyDescent="0.3">
      <c r="A209" s="32" t="s">
        <v>19</v>
      </c>
      <c r="B209" s="32">
        <f t="shared" si="56"/>
        <v>2040</v>
      </c>
      <c r="C209" s="33" t="s">
        <v>31</v>
      </c>
      <c r="D209" s="34" t="s">
        <v>2002</v>
      </c>
      <c r="E209" s="35" t="str">
        <f t="shared" si="53"/>
        <v>PRBND'!</v>
      </c>
      <c r="F209" s="34" t="str">
        <f t="shared" si="54"/>
        <v>C:\Users\jaime.benazar\Quorum Business Solutions\Ecopetrol Prometeo - Documents\Planning Space Implementation\3. Analysis &amp; Design\Design\FC22\DRR Jaime\Neiva CPI\[DINA TERCIARIOS_CF_SEC_New_27-Mar-2024.xlsx]D-PRBND'!</v>
      </c>
      <c r="G209" s="32" t="s">
        <v>112</v>
      </c>
      <c r="H209" s="33"/>
      <c r="I209" s="33"/>
      <c r="J209" s="37"/>
    </row>
    <row r="210" spans="1:10" x14ac:dyDescent="0.3">
      <c r="A210" s="32" t="s">
        <v>19</v>
      </c>
      <c r="B210" s="32">
        <f>+B209+1</f>
        <v>2041</v>
      </c>
      <c r="C210" s="33" t="s">
        <v>31</v>
      </c>
      <c r="D210" s="34" t="s">
        <v>2002</v>
      </c>
      <c r="E210" s="35" t="str">
        <f t="shared" si="53"/>
        <v>PRBND'!</v>
      </c>
      <c r="F210" s="34" t="str">
        <f t="shared" si="54"/>
        <v>C:\Users\jaime.benazar\Quorum Business Solutions\Ecopetrol Prometeo - Documents\Planning Space Implementation\3. Analysis &amp; Design\Design\FC22\DRR Jaime\Neiva CPI\[DINA TERCIARIOS_CF_SEC_New_27-Mar-2024.xlsx]D-PRBND'!</v>
      </c>
      <c r="G210" s="32" t="s">
        <v>112</v>
      </c>
      <c r="H210" s="33"/>
      <c r="I210" s="33"/>
      <c r="J210" s="37"/>
    </row>
    <row r="211" spans="1:10" x14ac:dyDescent="0.3">
      <c r="A211" s="32" t="s">
        <v>19</v>
      </c>
      <c r="B211" s="32">
        <f t="shared" ref="B211:B212" si="57">+B210+1</f>
        <v>2042</v>
      </c>
      <c r="C211" s="33" t="s">
        <v>31</v>
      </c>
      <c r="D211" s="34" t="s">
        <v>2002</v>
      </c>
      <c r="E211" s="35" t="str">
        <f t="shared" si="53"/>
        <v>PRBND'!</v>
      </c>
      <c r="F211" s="34" t="str">
        <f t="shared" si="54"/>
        <v>C:\Users\jaime.benazar\Quorum Business Solutions\Ecopetrol Prometeo - Documents\Planning Space Implementation\3. Analysis &amp; Design\Design\FC22\DRR Jaime\Neiva CPI\[DINA TERCIARIOS_CF_SEC_New_27-Mar-2024.xlsx]D-PRBND'!</v>
      </c>
      <c r="G211" s="32" t="s">
        <v>112</v>
      </c>
      <c r="H211" s="33"/>
      <c r="I211" s="33"/>
      <c r="J211" s="37"/>
    </row>
    <row r="212" spans="1:10" x14ac:dyDescent="0.3">
      <c r="A212" s="32" t="s">
        <v>19</v>
      </c>
      <c r="B212" s="32">
        <f t="shared" si="57"/>
        <v>2043</v>
      </c>
      <c r="C212" s="33" t="s">
        <v>31</v>
      </c>
      <c r="D212" s="34" t="s">
        <v>2002</v>
      </c>
      <c r="E212" s="35" t="str">
        <f t="shared" si="53"/>
        <v>PRBND'!</v>
      </c>
      <c r="F212" s="34" t="str">
        <f t="shared" si="54"/>
        <v>C:\Users\jaime.benazar\Quorum Business Solutions\Ecopetrol Prometeo - Documents\Planning Space Implementation\3. Analysis &amp; Design\Design\FC22\DRR Jaime\Neiva CPI\[DINA TERCIARIOS_CF_SEC_New_27-Mar-2024.xlsx]D-PRBND'!</v>
      </c>
      <c r="G212" s="32" t="s">
        <v>112</v>
      </c>
      <c r="H212" s="33"/>
      <c r="I212" s="33"/>
      <c r="J212" s="37"/>
    </row>
    <row r="213" spans="1:10" x14ac:dyDescent="0.3">
      <c r="A213" s="32" t="s">
        <v>19</v>
      </c>
      <c r="B213" s="32">
        <f>+B212+1</f>
        <v>2044</v>
      </c>
      <c r="C213" s="33" t="s">
        <v>31</v>
      </c>
      <c r="D213" s="34" t="s">
        <v>2002</v>
      </c>
      <c r="E213" s="35" t="str">
        <f t="shared" ref="E213:E228" si="58">_xlfn.CONCAT(A213,"'!")</f>
        <v>PRBND'!</v>
      </c>
      <c r="F213" s="34" t="str">
        <f t="shared" ref="F213:F228" si="59">_xlfn.CONCAT(D213:E213)</f>
        <v>C:\Users\jaime.benazar\Quorum Business Solutions\Ecopetrol Prometeo - Documents\Planning Space Implementation\3. Analysis &amp; Design\Design\FC22\DRR Jaime\Neiva CPI\[DINA TERCIARIOS_CF_SEC_New_27-Mar-2024.xlsx]D-PRBND'!</v>
      </c>
      <c r="G213" s="32" t="s">
        <v>112</v>
      </c>
      <c r="H213" s="33"/>
      <c r="I213" s="33"/>
      <c r="J213" s="37"/>
    </row>
    <row r="214" spans="1:10" x14ac:dyDescent="0.3">
      <c r="A214" s="32" t="s">
        <v>19</v>
      </c>
      <c r="B214" s="32">
        <f t="shared" ref="B214:B228" si="60">+B213+1</f>
        <v>2045</v>
      </c>
      <c r="C214" s="33" t="s">
        <v>31</v>
      </c>
      <c r="D214" s="34" t="s">
        <v>2002</v>
      </c>
      <c r="E214" s="35" t="str">
        <f t="shared" si="58"/>
        <v>PRBND'!</v>
      </c>
      <c r="F214" s="34" t="str">
        <f t="shared" si="59"/>
        <v>C:\Users\jaime.benazar\Quorum Business Solutions\Ecopetrol Prometeo - Documents\Planning Space Implementation\3. Analysis &amp; Design\Design\FC22\DRR Jaime\Neiva CPI\[DINA TERCIARIOS_CF_SEC_New_27-Mar-2024.xlsx]D-PRBND'!</v>
      </c>
      <c r="G214" s="32" t="s">
        <v>112</v>
      </c>
      <c r="H214" s="33"/>
      <c r="I214" s="33"/>
      <c r="J214" s="37"/>
    </row>
    <row r="215" spans="1:10" x14ac:dyDescent="0.3">
      <c r="A215" s="32" t="s">
        <v>19</v>
      </c>
      <c r="B215" s="32">
        <f t="shared" si="60"/>
        <v>2046</v>
      </c>
      <c r="C215" s="33" t="s">
        <v>31</v>
      </c>
      <c r="D215" s="34" t="s">
        <v>2002</v>
      </c>
      <c r="E215" s="35" t="str">
        <f t="shared" si="58"/>
        <v>PRBND'!</v>
      </c>
      <c r="F215" s="34" t="str">
        <f t="shared" si="59"/>
        <v>C:\Users\jaime.benazar\Quorum Business Solutions\Ecopetrol Prometeo - Documents\Planning Space Implementation\3. Analysis &amp; Design\Design\FC22\DRR Jaime\Neiva CPI\[DINA TERCIARIOS_CF_SEC_New_27-Mar-2024.xlsx]D-PRBND'!</v>
      </c>
      <c r="G215" s="32" t="s">
        <v>112</v>
      </c>
      <c r="H215" s="33"/>
      <c r="I215" s="33"/>
      <c r="J215" s="37"/>
    </row>
    <row r="216" spans="1:10" x14ac:dyDescent="0.3">
      <c r="A216" s="32" t="s">
        <v>19</v>
      </c>
      <c r="B216" s="32">
        <f t="shared" si="60"/>
        <v>2047</v>
      </c>
      <c r="C216" s="33" t="s">
        <v>31</v>
      </c>
      <c r="D216" s="34" t="s">
        <v>2002</v>
      </c>
      <c r="E216" s="35" t="str">
        <f t="shared" si="58"/>
        <v>PRBND'!</v>
      </c>
      <c r="F216" s="34" t="str">
        <f t="shared" si="59"/>
        <v>C:\Users\jaime.benazar\Quorum Business Solutions\Ecopetrol Prometeo - Documents\Planning Space Implementation\3. Analysis &amp; Design\Design\FC22\DRR Jaime\Neiva CPI\[DINA TERCIARIOS_CF_SEC_New_27-Mar-2024.xlsx]D-PRBND'!</v>
      </c>
      <c r="G216" s="32" t="s">
        <v>112</v>
      </c>
      <c r="H216" s="33"/>
      <c r="I216" s="33"/>
      <c r="J216" s="37"/>
    </row>
    <row r="217" spans="1:10" x14ac:dyDescent="0.3">
      <c r="A217" s="32" t="s">
        <v>19</v>
      </c>
      <c r="B217" s="32">
        <f t="shared" si="60"/>
        <v>2048</v>
      </c>
      <c r="C217" s="33" t="s">
        <v>31</v>
      </c>
      <c r="D217" s="34" t="s">
        <v>2002</v>
      </c>
      <c r="E217" s="35" t="str">
        <f t="shared" si="58"/>
        <v>PRBND'!</v>
      </c>
      <c r="F217" s="34" t="str">
        <f t="shared" si="59"/>
        <v>C:\Users\jaime.benazar\Quorum Business Solutions\Ecopetrol Prometeo - Documents\Planning Space Implementation\3. Analysis &amp; Design\Design\FC22\DRR Jaime\Neiva CPI\[DINA TERCIARIOS_CF_SEC_New_27-Mar-2024.xlsx]D-PRBND'!</v>
      </c>
      <c r="G217" s="32" t="s">
        <v>112</v>
      </c>
      <c r="H217" s="33"/>
      <c r="I217" s="33"/>
      <c r="J217" s="37"/>
    </row>
    <row r="218" spans="1:10" x14ac:dyDescent="0.3">
      <c r="A218" s="32" t="s">
        <v>19</v>
      </c>
      <c r="B218" s="32">
        <f t="shared" si="60"/>
        <v>2049</v>
      </c>
      <c r="C218" s="33" t="s">
        <v>31</v>
      </c>
      <c r="D218" s="34" t="s">
        <v>2002</v>
      </c>
      <c r="E218" s="35" t="str">
        <f t="shared" si="58"/>
        <v>PRBND'!</v>
      </c>
      <c r="F218" s="34" t="str">
        <f t="shared" si="59"/>
        <v>C:\Users\jaime.benazar\Quorum Business Solutions\Ecopetrol Prometeo - Documents\Planning Space Implementation\3. Analysis &amp; Design\Design\FC22\DRR Jaime\Neiva CPI\[DINA TERCIARIOS_CF_SEC_New_27-Mar-2024.xlsx]D-PRBND'!</v>
      </c>
      <c r="G218" s="32" t="s">
        <v>112</v>
      </c>
      <c r="H218" s="33"/>
      <c r="I218" s="33"/>
      <c r="J218" s="37"/>
    </row>
    <row r="219" spans="1:10" x14ac:dyDescent="0.3">
      <c r="A219" s="32" t="s">
        <v>19</v>
      </c>
      <c r="B219" s="32">
        <f t="shared" si="60"/>
        <v>2050</v>
      </c>
      <c r="C219" s="33" t="s">
        <v>31</v>
      </c>
      <c r="D219" s="34" t="s">
        <v>2002</v>
      </c>
      <c r="E219" s="35" t="str">
        <f t="shared" si="58"/>
        <v>PRBND'!</v>
      </c>
      <c r="F219" s="34" t="str">
        <f t="shared" si="59"/>
        <v>C:\Users\jaime.benazar\Quorum Business Solutions\Ecopetrol Prometeo - Documents\Planning Space Implementation\3. Analysis &amp; Design\Design\FC22\DRR Jaime\Neiva CPI\[DINA TERCIARIOS_CF_SEC_New_27-Mar-2024.xlsx]D-PRBND'!</v>
      </c>
      <c r="G219" s="32" t="s">
        <v>112</v>
      </c>
      <c r="H219" s="33"/>
      <c r="I219" s="33"/>
      <c r="J219" s="37"/>
    </row>
    <row r="220" spans="1:10" x14ac:dyDescent="0.3">
      <c r="A220" s="32" t="s">
        <v>19</v>
      </c>
      <c r="B220" s="32">
        <f t="shared" si="60"/>
        <v>2051</v>
      </c>
      <c r="C220" s="33" t="s">
        <v>31</v>
      </c>
      <c r="D220" s="34" t="s">
        <v>2002</v>
      </c>
      <c r="E220" s="35" t="str">
        <f t="shared" si="58"/>
        <v>PRBND'!</v>
      </c>
      <c r="F220" s="34" t="str">
        <f t="shared" si="59"/>
        <v>C:\Users\jaime.benazar\Quorum Business Solutions\Ecopetrol Prometeo - Documents\Planning Space Implementation\3. Analysis &amp; Design\Design\FC22\DRR Jaime\Neiva CPI\[DINA TERCIARIOS_CF_SEC_New_27-Mar-2024.xlsx]D-PRBND'!</v>
      </c>
      <c r="G220" s="32" t="s">
        <v>112</v>
      </c>
      <c r="H220" s="33"/>
      <c r="I220" s="33"/>
      <c r="J220" s="37"/>
    </row>
    <row r="221" spans="1:10" x14ac:dyDescent="0.3">
      <c r="A221" s="32" t="s">
        <v>19</v>
      </c>
      <c r="B221" s="32">
        <f t="shared" si="60"/>
        <v>2052</v>
      </c>
      <c r="C221" s="33" t="s">
        <v>31</v>
      </c>
      <c r="D221" s="34" t="s">
        <v>2002</v>
      </c>
      <c r="E221" s="35" t="str">
        <f t="shared" si="58"/>
        <v>PRBND'!</v>
      </c>
      <c r="F221" s="34" t="str">
        <f t="shared" si="59"/>
        <v>C:\Users\jaime.benazar\Quorum Business Solutions\Ecopetrol Prometeo - Documents\Planning Space Implementation\3. Analysis &amp; Design\Design\FC22\DRR Jaime\Neiva CPI\[DINA TERCIARIOS_CF_SEC_New_27-Mar-2024.xlsx]D-PRBND'!</v>
      </c>
      <c r="G221" s="32" t="s">
        <v>112</v>
      </c>
      <c r="H221" s="33"/>
      <c r="I221" s="33"/>
      <c r="J221" s="37"/>
    </row>
    <row r="222" spans="1:10" x14ac:dyDescent="0.3">
      <c r="A222" s="32" t="s">
        <v>19</v>
      </c>
      <c r="B222" s="32">
        <f t="shared" si="60"/>
        <v>2053</v>
      </c>
      <c r="C222" s="33" t="s">
        <v>31</v>
      </c>
      <c r="D222" s="34" t="s">
        <v>2002</v>
      </c>
      <c r="E222" s="35" t="str">
        <f t="shared" si="58"/>
        <v>PRBND'!</v>
      </c>
      <c r="F222" s="34" t="str">
        <f t="shared" si="59"/>
        <v>C:\Users\jaime.benazar\Quorum Business Solutions\Ecopetrol Prometeo - Documents\Planning Space Implementation\3. Analysis &amp; Design\Design\FC22\DRR Jaime\Neiva CPI\[DINA TERCIARIOS_CF_SEC_New_27-Mar-2024.xlsx]D-PRBND'!</v>
      </c>
      <c r="G222" s="32" t="s">
        <v>112</v>
      </c>
      <c r="H222" s="33"/>
      <c r="I222" s="33"/>
      <c r="J222" s="37"/>
    </row>
    <row r="223" spans="1:10" x14ac:dyDescent="0.3">
      <c r="A223" s="32" t="s">
        <v>19</v>
      </c>
      <c r="B223" s="32">
        <f t="shared" si="60"/>
        <v>2054</v>
      </c>
      <c r="C223" s="33" t="s">
        <v>31</v>
      </c>
      <c r="D223" s="34" t="s">
        <v>2002</v>
      </c>
      <c r="E223" s="35" t="str">
        <f t="shared" si="58"/>
        <v>PRBND'!</v>
      </c>
      <c r="F223" s="34" t="str">
        <f t="shared" si="59"/>
        <v>C:\Users\jaime.benazar\Quorum Business Solutions\Ecopetrol Prometeo - Documents\Planning Space Implementation\3. Analysis &amp; Design\Design\FC22\DRR Jaime\Neiva CPI\[DINA TERCIARIOS_CF_SEC_New_27-Mar-2024.xlsx]D-PRBND'!</v>
      </c>
      <c r="G223" s="32" t="s">
        <v>112</v>
      </c>
      <c r="H223" s="33"/>
      <c r="I223" s="33"/>
      <c r="J223" s="37"/>
    </row>
    <row r="224" spans="1:10" x14ac:dyDescent="0.3">
      <c r="A224" s="32" t="s">
        <v>19</v>
      </c>
      <c r="B224" s="32">
        <f t="shared" si="60"/>
        <v>2055</v>
      </c>
      <c r="C224" s="33" t="s">
        <v>31</v>
      </c>
      <c r="D224" s="34" t="s">
        <v>2002</v>
      </c>
      <c r="E224" s="35" t="str">
        <f t="shared" si="58"/>
        <v>PRBND'!</v>
      </c>
      <c r="F224" s="34" t="str">
        <f t="shared" si="59"/>
        <v>C:\Users\jaime.benazar\Quorum Business Solutions\Ecopetrol Prometeo - Documents\Planning Space Implementation\3. Analysis &amp; Design\Design\FC22\DRR Jaime\Neiva CPI\[DINA TERCIARIOS_CF_SEC_New_27-Mar-2024.xlsx]D-PRBND'!</v>
      </c>
      <c r="G224" s="32" t="s">
        <v>112</v>
      </c>
      <c r="H224" s="33"/>
      <c r="I224" s="33"/>
      <c r="J224" s="37"/>
    </row>
    <row r="225" spans="1:10" x14ac:dyDescent="0.3">
      <c r="A225" s="32" t="s">
        <v>19</v>
      </c>
      <c r="B225" s="32">
        <f t="shared" si="60"/>
        <v>2056</v>
      </c>
      <c r="C225" s="33" t="s">
        <v>31</v>
      </c>
      <c r="D225" s="34" t="s">
        <v>2002</v>
      </c>
      <c r="E225" s="35" t="str">
        <f t="shared" si="58"/>
        <v>PRBND'!</v>
      </c>
      <c r="F225" s="34" t="str">
        <f t="shared" si="59"/>
        <v>C:\Users\jaime.benazar\Quorum Business Solutions\Ecopetrol Prometeo - Documents\Planning Space Implementation\3. Analysis &amp; Design\Design\FC22\DRR Jaime\Neiva CPI\[DINA TERCIARIOS_CF_SEC_New_27-Mar-2024.xlsx]D-PRBND'!</v>
      </c>
      <c r="G225" s="32" t="s">
        <v>112</v>
      </c>
      <c r="H225" s="33"/>
      <c r="I225" s="33"/>
      <c r="J225" s="37"/>
    </row>
    <row r="226" spans="1:10" x14ac:dyDescent="0.3">
      <c r="A226" s="32" t="s">
        <v>19</v>
      </c>
      <c r="B226" s="32">
        <f t="shared" si="60"/>
        <v>2057</v>
      </c>
      <c r="C226" s="33" t="s">
        <v>31</v>
      </c>
      <c r="D226" s="34" t="s">
        <v>2002</v>
      </c>
      <c r="E226" s="35" t="str">
        <f t="shared" si="58"/>
        <v>PRBND'!</v>
      </c>
      <c r="F226" s="34" t="str">
        <f t="shared" si="59"/>
        <v>C:\Users\jaime.benazar\Quorum Business Solutions\Ecopetrol Prometeo - Documents\Planning Space Implementation\3. Analysis &amp; Design\Design\FC22\DRR Jaime\Neiva CPI\[DINA TERCIARIOS_CF_SEC_New_27-Mar-2024.xlsx]D-PRBND'!</v>
      </c>
      <c r="G226" s="32" t="s">
        <v>112</v>
      </c>
      <c r="H226" s="33"/>
      <c r="I226" s="33"/>
      <c r="J226" s="37"/>
    </row>
    <row r="227" spans="1:10" x14ac:dyDescent="0.3">
      <c r="A227" s="32" t="s">
        <v>19</v>
      </c>
      <c r="B227" s="32">
        <f t="shared" si="60"/>
        <v>2058</v>
      </c>
      <c r="C227" s="33" t="s">
        <v>31</v>
      </c>
      <c r="D227" s="34" t="s">
        <v>2002</v>
      </c>
      <c r="E227" s="35" t="str">
        <f t="shared" si="58"/>
        <v>PRBND'!</v>
      </c>
      <c r="F227" s="34" t="str">
        <f t="shared" si="59"/>
        <v>C:\Users\jaime.benazar\Quorum Business Solutions\Ecopetrol Prometeo - Documents\Planning Space Implementation\3. Analysis &amp; Design\Design\FC22\DRR Jaime\Neiva CPI\[DINA TERCIARIOS_CF_SEC_New_27-Mar-2024.xlsx]D-PRBND'!</v>
      </c>
      <c r="G227" s="32" t="s">
        <v>112</v>
      </c>
      <c r="H227" s="33"/>
      <c r="I227" s="33"/>
      <c r="J227" s="37"/>
    </row>
    <row r="228" spans="1:10" x14ac:dyDescent="0.3">
      <c r="A228" s="32" t="s">
        <v>19</v>
      </c>
      <c r="B228" s="32">
        <f t="shared" si="60"/>
        <v>2059</v>
      </c>
      <c r="C228" s="33" t="s">
        <v>31</v>
      </c>
      <c r="D228" s="34" t="s">
        <v>2002</v>
      </c>
      <c r="E228" s="35" t="str">
        <f t="shared" si="58"/>
        <v>PRBND'!</v>
      </c>
      <c r="F228" s="34" t="str">
        <f t="shared" si="59"/>
        <v>C:\Users\jaime.benazar\Quorum Business Solutions\Ecopetrol Prometeo - Documents\Planning Space Implementation\3. Analysis &amp; Design\Design\FC22\DRR Jaime\Neiva CPI\[DINA TERCIARIOS_CF_SEC_New_27-Mar-2024.xlsx]D-PRBND'!</v>
      </c>
      <c r="G228" s="32" t="s">
        <v>112</v>
      </c>
      <c r="H228" s="33"/>
      <c r="I228" s="33"/>
      <c r="J228" s="37"/>
    </row>
    <row r="229" spans="1:10" x14ac:dyDescent="0.3">
      <c r="A229" s="32" t="s">
        <v>26</v>
      </c>
      <c r="B229" s="32"/>
      <c r="C229" s="33" t="s">
        <v>31</v>
      </c>
      <c r="D229" s="34"/>
      <c r="E229" s="35"/>
      <c r="F229" s="34"/>
      <c r="G229" s="32"/>
      <c r="H229" s="33"/>
      <c r="I229" s="33"/>
      <c r="J229" s="33"/>
    </row>
    <row r="230" spans="1:10" x14ac:dyDescent="0.3">
      <c r="A230" s="32" t="s">
        <v>20</v>
      </c>
      <c r="B230" s="32">
        <v>2023</v>
      </c>
      <c r="C230" s="33" t="s">
        <v>31</v>
      </c>
      <c r="D230" s="34" t="s">
        <v>2002</v>
      </c>
      <c r="E230" s="35" t="str">
        <f t="shared" si="29"/>
        <v>PRB'!</v>
      </c>
      <c r="F230" s="34" t="str">
        <f t="shared" si="30"/>
        <v>C:\Users\jaime.benazar\Quorum Business Solutions\Ecopetrol Prometeo - Documents\Planning Space Implementation\3. Analysis &amp; Design\Design\FC22\DRR Jaime\Neiva CPI\[DINA TERCIARIOS_CF_SEC_New_27-Mar-2024.xlsx]D-PRB'!</v>
      </c>
      <c r="G230" s="32" t="s">
        <v>112</v>
      </c>
      <c r="H230" s="33">
        <v>12</v>
      </c>
      <c r="I230" s="33" t="str">
        <f t="shared" si="31"/>
        <v>='C:\Users\jaime.benazar\Quorum Business Solutions\Ecopetrol Prometeo - Documents\Planning Space Implementation\3. Analysis &amp; Design\Design\FC22\DRR Jaime\Neiva CPI\[DINA TERCIARIOS_CF_SEC_New_27-Mar-2024.xlsx]D-PRB'!$BB$12</v>
      </c>
      <c r="J230" s="37" t="s">
        <v>2114</v>
      </c>
    </row>
    <row r="231" spans="1:10" x14ac:dyDescent="0.3">
      <c r="A231" s="32" t="s">
        <v>20</v>
      </c>
      <c r="B231" s="32">
        <f>+B230+1</f>
        <v>2024</v>
      </c>
      <c r="C231" s="33" t="s">
        <v>31</v>
      </c>
      <c r="D231" s="34" t="s">
        <v>2002</v>
      </c>
      <c r="E231" s="35" t="str">
        <f t="shared" si="29"/>
        <v>PRB'!</v>
      </c>
      <c r="F231" s="34" t="str">
        <f t="shared" si="30"/>
        <v>C:\Users\jaime.benazar\Quorum Business Solutions\Ecopetrol Prometeo - Documents\Planning Space Implementation\3. Analysis &amp; Design\Design\FC22\DRR Jaime\Neiva CPI\[DINA TERCIARIOS_CF_SEC_New_27-Mar-2024.xlsx]D-PRB'!</v>
      </c>
      <c r="G231" s="32" t="s">
        <v>112</v>
      </c>
      <c r="H231" s="33">
        <f t="shared" ref="H231:H250" si="61">IF(A231&lt;&gt;A230,12,H230+1)</f>
        <v>13</v>
      </c>
      <c r="I231" s="33" t="str">
        <f t="shared" si="31"/>
        <v>='C:\Users\jaime.benazar\Quorum Business Solutions\Ecopetrol Prometeo - Documents\Planning Space Implementation\3. Analysis &amp; Design\Design\FC22\DRR Jaime\Neiva CPI\[DINA TERCIARIOS_CF_SEC_New_27-Mar-2024.xlsx]D-PRB'!$BB$13</v>
      </c>
      <c r="J231" s="37" t="s">
        <v>2115</v>
      </c>
    </row>
    <row r="232" spans="1:10" x14ac:dyDescent="0.3">
      <c r="A232" s="32" t="s">
        <v>20</v>
      </c>
      <c r="B232" s="32">
        <f t="shared" ref="B232:B243" si="62">+B231+1</f>
        <v>2025</v>
      </c>
      <c r="C232" s="33" t="s">
        <v>31</v>
      </c>
      <c r="D232" s="34" t="s">
        <v>2002</v>
      </c>
      <c r="E232" s="35" t="str">
        <f t="shared" si="29"/>
        <v>PRB'!</v>
      </c>
      <c r="F232" s="34" t="str">
        <f t="shared" si="30"/>
        <v>C:\Users\jaime.benazar\Quorum Business Solutions\Ecopetrol Prometeo - Documents\Planning Space Implementation\3. Analysis &amp; Design\Design\FC22\DRR Jaime\Neiva CPI\[DINA TERCIARIOS_CF_SEC_New_27-Mar-2024.xlsx]D-PRB'!</v>
      </c>
      <c r="G232" s="32" t="s">
        <v>112</v>
      </c>
      <c r="H232" s="33">
        <f t="shared" si="61"/>
        <v>14</v>
      </c>
      <c r="I232" s="33" t="str">
        <f t="shared" si="31"/>
        <v>='C:\Users\jaime.benazar\Quorum Business Solutions\Ecopetrol Prometeo - Documents\Planning Space Implementation\3. Analysis &amp; Design\Design\FC22\DRR Jaime\Neiva CPI\[DINA TERCIARIOS_CF_SEC_New_27-Mar-2024.xlsx]D-PRB'!$BB$14</v>
      </c>
      <c r="J232" s="37" t="s">
        <v>2116</v>
      </c>
    </row>
    <row r="233" spans="1:10" x14ac:dyDescent="0.3">
      <c r="A233" s="32" t="s">
        <v>20</v>
      </c>
      <c r="B233" s="32">
        <f t="shared" si="62"/>
        <v>2026</v>
      </c>
      <c r="C233" s="33" t="s">
        <v>31</v>
      </c>
      <c r="D233" s="34" t="s">
        <v>2002</v>
      </c>
      <c r="E233" s="35" t="str">
        <f t="shared" si="29"/>
        <v>PRB'!</v>
      </c>
      <c r="F233" s="34" t="str">
        <f t="shared" si="30"/>
        <v>C:\Users\jaime.benazar\Quorum Business Solutions\Ecopetrol Prometeo - Documents\Planning Space Implementation\3. Analysis &amp; Design\Design\FC22\DRR Jaime\Neiva CPI\[DINA TERCIARIOS_CF_SEC_New_27-Mar-2024.xlsx]D-PRB'!</v>
      </c>
      <c r="G233" s="32" t="s">
        <v>112</v>
      </c>
      <c r="H233" s="33">
        <f t="shared" si="61"/>
        <v>15</v>
      </c>
      <c r="I233" s="33" t="str">
        <f t="shared" si="31"/>
        <v>='C:\Users\jaime.benazar\Quorum Business Solutions\Ecopetrol Prometeo - Documents\Planning Space Implementation\3. Analysis &amp; Design\Design\FC22\DRR Jaime\Neiva CPI\[DINA TERCIARIOS_CF_SEC_New_27-Mar-2024.xlsx]D-PRB'!$BB$15</v>
      </c>
      <c r="J233" s="37" t="s">
        <v>2117</v>
      </c>
    </row>
    <row r="234" spans="1:10" x14ac:dyDescent="0.3">
      <c r="A234" s="32" t="s">
        <v>20</v>
      </c>
      <c r="B234" s="32">
        <f t="shared" si="62"/>
        <v>2027</v>
      </c>
      <c r="C234" s="33" t="s">
        <v>31</v>
      </c>
      <c r="D234" s="34" t="s">
        <v>2002</v>
      </c>
      <c r="E234" s="35" t="str">
        <f t="shared" si="29"/>
        <v>PRB'!</v>
      </c>
      <c r="F234" s="34" t="str">
        <f t="shared" si="30"/>
        <v>C:\Users\jaime.benazar\Quorum Business Solutions\Ecopetrol Prometeo - Documents\Planning Space Implementation\3. Analysis &amp; Design\Design\FC22\DRR Jaime\Neiva CPI\[DINA TERCIARIOS_CF_SEC_New_27-Mar-2024.xlsx]D-PRB'!</v>
      </c>
      <c r="G234" s="32" t="s">
        <v>112</v>
      </c>
      <c r="H234" s="33">
        <f t="shared" si="61"/>
        <v>16</v>
      </c>
      <c r="I234" s="33" t="str">
        <f t="shared" si="31"/>
        <v>='C:\Users\jaime.benazar\Quorum Business Solutions\Ecopetrol Prometeo - Documents\Planning Space Implementation\3. Analysis &amp; Design\Design\FC22\DRR Jaime\Neiva CPI\[DINA TERCIARIOS_CF_SEC_New_27-Mar-2024.xlsx]D-PRB'!$BB$16</v>
      </c>
      <c r="J234" s="37" t="s">
        <v>2118</v>
      </c>
    </row>
    <row r="235" spans="1:10" x14ac:dyDescent="0.3">
      <c r="A235" s="32" t="s">
        <v>20</v>
      </c>
      <c r="B235" s="32">
        <f t="shared" si="62"/>
        <v>2028</v>
      </c>
      <c r="C235" s="33" t="s">
        <v>31</v>
      </c>
      <c r="D235" s="34" t="s">
        <v>2002</v>
      </c>
      <c r="E235" s="35" t="str">
        <f t="shared" si="29"/>
        <v>PRB'!</v>
      </c>
      <c r="F235" s="34" t="str">
        <f t="shared" si="30"/>
        <v>C:\Users\jaime.benazar\Quorum Business Solutions\Ecopetrol Prometeo - Documents\Planning Space Implementation\3. Analysis &amp; Design\Design\FC22\DRR Jaime\Neiva CPI\[DINA TERCIARIOS_CF_SEC_New_27-Mar-2024.xlsx]D-PRB'!</v>
      </c>
      <c r="G235" s="32" t="s">
        <v>112</v>
      </c>
      <c r="H235" s="33">
        <f t="shared" si="61"/>
        <v>17</v>
      </c>
      <c r="I235" s="33" t="str">
        <f t="shared" si="31"/>
        <v>='C:\Users\jaime.benazar\Quorum Business Solutions\Ecopetrol Prometeo - Documents\Planning Space Implementation\3. Analysis &amp; Design\Design\FC22\DRR Jaime\Neiva CPI\[DINA TERCIARIOS_CF_SEC_New_27-Mar-2024.xlsx]D-PRB'!$BB$17</v>
      </c>
      <c r="J235" s="37" t="s">
        <v>2119</v>
      </c>
    </row>
    <row r="236" spans="1:10" x14ac:dyDescent="0.3">
      <c r="A236" s="32" t="s">
        <v>20</v>
      </c>
      <c r="B236" s="32">
        <f t="shared" si="62"/>
        <v>2029</v>
      </c>
      <c r="C236" s="33" t="s">
        <v>31</v>
      </c>
      <c r="D236" s="34" t="s">
        <v>2002</v>
      </c>
      <c r="E236" s="35" t="str">
        <f t="shared" si="29"/>
        <v>PRB'!</v>
      </c>
      <c r="F236" s="34" t="str">
        <f t="shared" si="30"/>
        <v>C:\Users\jaime.benazar\Quorum Business Solutions\Ecopetrol Prometeo - Documents\Planning Space Implementation\3. Analysis &amp; Design\Design\FC22\DRR Jaime\Neiva CPI\[DINA TERCIARIOS_CF_SEC_New_27-Mar-2024.xlsx]D-PRB'!</v>
      </c>
      <c r="G236" s="32" t="s">
        <v>112</v>
      </c>
      <c r="H236" s="33">
        <f t="shared" si="61"/>
        <v>18</v>
      </c>
      <c r="I236" s="33" t="str">
        <f t="shared" si="31"/>
        <v>='C:\Users\jaime.benazar\Quorum Business Solutions\Ecopetrol Prometeo - Documents\Planning Space Implementation\3. Analysis &amp; Design\Design\FC22\DRR Jaime\Neiva CPI\[DINA TERCIARIOS_CF_SEC_New_27-Mar-2024.xlsx]D-PRB'!$BB$18</v>
      </c>
      <c r="J236" s="37" t="s">
        <v>2120</v>
      </c>
    </row>
    <row r="237" spans="1:10" x14ac:dyDescent="0.3">
      <c r="A237" s="32" t="s">
        <v>20</v>
      </c>
      <c r="B237" s="32">
        <f t="shared" si="62"/>
        <v>2030</v>
      </c>
      <c r="C237" s="33" t="s">
        <v>31</v>
      </c>
      <c r="D237" s="34" t="s">
        <v>2002</v>
      </c>
      <c r="E237" s="35" t="str">
        <f t="shared" si="29"/>
        <v>PRB'!</v>
      </c>
      <c r="F237" s="34" t="str">
        <f t="shared" si="30"/>
        <v>C:\Users\jaime.benazar\Quorum Business Solutions\Ecopetrol Prometeo - Documents\Planning Space Implementation\3. Analysis &amp; Design\Design\FC22\DRR Jaime\Neiva CPI\[DINA TERCIARIOS_CF_SEC_New_27-Mar-2024.xlsx]D-PRB'!</v>
      </c>
      <c r="G237" s="32" t="s">
        <v>112</v>
      </c>
      <c r="H237" s="33">
        <f t="shared" si="61"/>
        <v>19</v>
      </c>
      <c r="I237" s="33" t="str">
        <f t="shared" si="31"/>
        <v>='C:\Users\jaime.benazar\Quorum Business Solutions\Ecopetrol Prometeo - Documents\Planning Space Implementation\3. Analysis &amp; Design\Design\FC22\DRR Jaime\Neiva CPI\[DINA TERCIARIOS_CF_SEC_New_27-Mar-2024.xlsx]D-PRB'!$BB$19</v>
      </c>
      <c r="J237" s="37" t="s">
        <v>2121</v>
      </c>
    </row>
    <row r="238" spans="1:10" x14ac:dyDescent="0.3">
      <c r="A238" s="32" t="s">
        <v>20</v>
      </c>
      <c r="B238" s="32">
        <f t="shared" si="62"/>
        <v>2031</v>
      </c>
      <c r="C238" s="33" t="s">
        <v>31</v>
      </c>
      <c r="D238" s="34" t="s">
        <v>2002</v>
      </c>
      <c r="E238" s="35" t="str">
        <f t="shared" si="29"/>
        <v>PRB'!</v>
      </c>
      <c r="F238" s="34" t="str">
        <f t="shared" si="30"/>
        <v>C:\Users\jaime.benazar\Quorum Business Solutions\Ecopetrol Prometeo - Documents\Planning Space Implementation\3. Analysis &amp; Design\Design\FC22\DRR Jaime\Neiva CPI\[DINA TERCIARIOS_CF_SEC_New_27-Mar-2024.xlsx]D-PRB'!</v>
      </c>
      <c r="G238" s="32" t="s">
        <v>112</v>
      </c>
      <c r="H238" s="33">
        <f t="shared" si="61"/>
        <v>20</v>
      </c>
      <c r="I238" s="33" t="str">
        <f t="shared" si="31"/>
        <v>='C:\Users\jaime.benazar\Quorum Business Solutions\Ecopetrol Prometeo - Documents\Planning Space Implementation\3. Analysis &amp; Design\Design\FC22\DRR Jaime\Neiva CPI\[DINA TERCIARIOS_CF_SEC_New_27-Mar-2024.xlsx]D-PRB'!$BB$20</v>
      </c>
      <c r="J238" s="37" t="s">
        <v>2122</v>
      </c>
    </row>
    <row r="239" spans="1:10" x14ac:dyDescent="0.3">
      <c r="A239" s="32" t="s">
        <v>20</v>
      </c>
      <c r="B239" s="32">
        <f t="shared" si="62"/>
        <v>2032</v>
      </c>
      <c r="C239" s="33" t="s">
        <v>31</v>
      </c>
      <c r="D239" s="34" t="s">
        <v>2002</v>
      </c>
      <c r="E239" s="35" t="str">
        <f t="shared" si="29"/>
        <v>PRB'!</v>
      </c>
      <c r="F239" s="34" t="str">
        <f t="shared" si="30"/>
        <v>C:\Users\jaime.benazar\Quorum Business Solutions\Ecopetrol Prometeo - Documents\Planning Space Implementation\3. Analysis &amp; Design\Design\FC22\DRR Jaime\Neiva CPI\[DINA TERCIARIOS_CF_SEC_New_27-Mar-2024.xlsx]D-PRB'!</v>
      </c>
      <c r="G239" s="32" t="s">
        <v>112</v>
      </c>
      <c r="H239" s="33">
        <f t="shared" si="61"/>
        <v>21</v>
      </c>
      <c r="I239" s="33" t="str">
        <f t="shared" si="31"/>
        <v>='C:\Users\jaime.benazar\Quorum Business Solutions\Ecopetrol Prometeo - Documents\Planning Space Implementation\3. Analysis &amp; Design\Design\FC22\DRR Jaime\Neiva CPI\[DINA TERCIARIOS_CF_SEC_New_27-Mar-2024.xlsx]D-PRB'!$BB$21</v>
      </c>
      <c r="J239" s="37" t="s">
        <v>2123</v>
      </c>
    </row>
    <row r="240" spans="1:10" x14ac:dyDescent="0.3">
      <c r="A240" s="32" t="s">
        <v>20</v>
      </c>
      <c r="B240" s="32">
        <f t="shared" si="62"/>
        <v>2033</v>
      </c>
      <c r="C240" s="33" t="s">
        <v>31</v>
      </c>
      <c r="D240" s="34" t="s">
        <v>2002</v>
      </c>
      <c r="E240" s="35" t="str">
        <f t="shared" si="29"/>
        <v>PRB'!</v>
      </c>
      <c r="F240" s="34" t="str">
        <f t="shared" si="30"/>
        <v>C:\Users\jaime.benazar\Quorum Business Solutions\Ecopetrol Prometeo - Documents\Planning Space Implementation\3. Analysis &amp; Design\Design\FC22\DRR Jaime\Neiva CPI\[DINA TERCIARIOS_CF_SEC_New_27-Mar-2024.xlsx]D-PRB'!</v>
      </c>
      <c r="G240" s="32" t="s">
        <v>112</v>
      </c>
      <c r="H240" s="33">
        <f t="shared" si="61"/>
        <v>22</v>
      </c>
      <c r="I240" s="33" t="str">
        <f t="shared" si="31"/>
        <v>='C:\Users\jaime.benazar\Quorum Business Solutions\Ecopetrol Prometeo - Documents\Planning Space Implementation\3. Analysis &amp; Design\Design\FC22\DRR Jaime\Neiva CPI\[DINA TERCIARIOS_CF_SEC_New_27-Mar-2024.xlsx]D-PRB'!$BB$22</v>
      </c>
      <c r="J240" s="37" t="s">
        <v>2124</v>
      </c>
    </row>
    <row r="241" spans="1:10" x14ac:dyDescent="0.3">
      <c r="A241" s="32" t="s">
        <v>20</v>
      </c>
      <c r="B241" s="32">
        <f t="shared" si="62"/>
        <v>2034</v>
      </c>
      <c r="C241" s="33" t="s">
        <v>31</v>
      </c>
      <c r="D241" s="34" t="s">
        <v>2002</v>
      </c>
      <c r="E241" s="35" t="str">
        <f t="shared" si="29"/>
        <v>PRB'!</v>
      </c>
      <c r="F241" s="34" t="str">
        <f t="shared" si="30"/>
        <v>C:\Users\jaime.benazar\Quorum Business Solutions\Ecopetrol Prometeo - Documents\Planning Space Implementation\3. Analysis &amp; Design\Design\FC22\DRR Jaime\Neiva CPI\[DINA TERCIARIOS_CF_SEC_New_27-Mar-2024.xlsx]D-PRB'!</v>
      </c>
      <c r="G241" s="32" t="s">
        <v>112</v>
      </c>
      <c r="H241" s="33">
        <f t="shared" si="61"/>
        <v>23</v>
      </c>
      <c r="I241" s="33" t="str">
        <f t="shared" si="31"/>
        <v>='C:\Users\jaime.benazar\Quorum Business Solutions\Ecopetrol Prometeo - Documents\Planning Space Implementation\3. Analysis &amp; Design\Design\FC22\DRR Jaime\Neiva CPI\[DINA TERCIARIOS_CF_SEC_New_27-Mar-2024.xlsx]D-PRB'!$BB$23</v>
      </c>
      <c r="J241" s="37" t="s">
        <v>2125</v>
      </c>
    </row>
    <row r="242" spans="1:10" x14ac:dyDescent="0.3">
      <c r="A242" s="32" t="s">
        <v>20</v>
      </c>
      <c r="B242" s="32">
        <f t="shared" si="62"/>
        <v>2035</v>
      </c>
      <c r="C242" s="33" t="s">
        <v>31</v>
      </c>
      <c r="D242" s="34" t="s">
        <v>2002</v>
      </c>
      <c r="E242" s="35" t="str">
        <f t="shared" si="29"/>
        <v>PRB'!</v>
      </c>
      <c r="F242" s="34" t="str">
        <f t="shared" si="30"/>
        <v>C:\Users\jaime.benazar\Quorum Business Solutions\Ecopetrol Prometeo - Documents\Planning Space Implementation\3. Analysis &amp; Design\Design\FC22\DRR Jaime\Neiva CPI\[DINA TERCIARIOS_CF_SEC_New_27-Mar-2024.xlsx]D-PRB'!</v>
      </c>
      <c r="G242" s="32" t="s">
        <v>112</v>
      </c>
      <c r="H242" s="33">
        <f t="shared" si="61"/>
        <v>24</v>
      </c>
      <c r="I242" s="33" t="str">
        <f t="shared" si="31"/>
        <v>='C:\Users\jaime.benazar\Quorum Business Solutions\Ecopetrol Prometeo - Documents\Planning Space Implementation\3. Analysis &amp; Design\Design\FC22\DRR Jaime\Neiva CPI\[DINA TERCIARIOS_CF_SEC_New_27-Mar-2024.xlsx]D-PRB'!$BB$24</v>
      </c>
      <c r="J242" s="37" t="s">
        <v>2126</v>
      </c>
    </row>
    <row r="243" spans="1:10" x14ac:dyDescent="0.3">
      <c r="A243" s="32" t="s">
        <v>20</v>
      </c>
      <c r="B243" s="32">
        <f t="shared" si="62"/>
        <v>2036</v>
      </c>
      <c r="C243" s="33" t="s">
        <v>31</v>
      </c>
      <c r="D243" s="34" t="s">
        <v>2002</v>
      </c>
      <c r="E243" s="35" t="str">
        <f t="shared" si="29"/>
        <v>PRB'!</v>
      </c>
      <c r="F243" s="34" t="str">
        <f t="shared" si="30"/>
        <v>C:\Users\jaime.benazar\Quorum Business Solutions\Ecopetrol Prometeo - Documents\Planning Space Implementation\3. Analysis &amp; Design\Design\FC22\DRR Jaime\Neiva CPI\[DINA TERCIARIOS_CF_SEC_New_27-Mar-2024.xlsx]D-PRB'!</v>
      </c>
      <c r="G243" s="32" t="s">
        <v>112</v>
      </c>
      <c r="H243" s="33">
        <f t="shared" si="61"/>
        <v>25</v>
      </c>
      <c r="I243" s="33" t="str">
        <f t="shared" si="31"/>
        <v>='C:\Users\jaime.benazar\Quorum Business Solutions\Ecopetrol Prometeo - Documents\Planning Space Implementation\3. Analysis &amp; Design\Design\FC22\DRR Jaime\Neiva CPI\[DINA TERCIARIOS_CF_SEC_New_27-Mar-2024.xlsx]D-PRB'!$BB$25</v>
      </c>
      <c r="J243" s="37" t="s">
        <v>2127</v>
      </c>
    </row>
    <row r="244" spans="1:10" x14ac:dyDescent="0.3">
      <c r="A244" s="32" t="s">
        <v>20</v>
      </c>
      <c r="B244" s="32">
        <f>+B243+1</f>
        <v>2037</v>
      </c>
      <c r="C244" s="33" t="s">
        <v>31</v>
      </c>
      <c r="D244" s="34" t="s">
        <v>2002</v>
      </c>
      <c r="E244" s="35" t="str">
        <f t="shared" si="29"/>
        <v>PRB'!</v>
      </c>
      <c r="F244" s="34" t="str">
        <f t="shared" si="30"/>
        <v>C:\Users\jaime.benazar\Quorum Business Solutions\Ecopetrol Prometeo - Documents\Planning Space Implementation\3. Analysis &amp; Design\Design\FC22\DRR Jaime\Neiva CPI\[DINA TERCIARIOS_CF_SEC_New_27-Mar-2024.xlsx]D-PRB'!</v>
      </c>
      <c r="G244" s="32" t="s">
        <v>112</v>
      </c>
      <c r="H244" s="33">
        <f t="shared" si="61"/>
        <v>26</v>
      </c>
      <c r="I244" s="33" t="str">
        <f t="shared" si="31"/>
        <v>='C:\Users\jaime.benazar\Quorum Business Solutions\Ecopetrol Prometeo - Documents\Planning Space Implementation\3. Analysis &amp; Design\Design\FC22\DRR Jaime\Neiva CPI\[DINA TERCIARIOS_CF_SEC_New_27-Mar-2024.xlsx]D-PRB'!$BB$26</v>
      </c>
      <c r="J244" s="37" t="s">
        <v>2128</v>
      </c>
    </row>
    <row r="245" spans="1:10" x14ac:dyDescent="0.3">
      <c r="A245" s="32" t="s">
        <v>20</v>
      </c>
      <c r="B245" s="32">
        <f t="shared" ref="B245:B247" si="63">+B244+1</f>
        <v>2038</v>
      </c>
      <c r="C245" s="33" t="s">
        <v>31</v>
      </c>
      <c r="D245" s="34" t="s">
        <v>2002</v>
      </c>
      <c r="E245" s="35" t="str">
        <f t="shared" si="29"/>
        <v>PRB'!</v>
      </c>
      <c r="F245" s="34" t="str">
        <f t="shared" si="30"/>
        <v>C:\Users\jaime.benazar\Quorum Business Solutions\Ecopetrol Prometeo - Documents\Planning Space Implementation\3. Analysis &amp; Design\Design\FC22\DRR Jaime\Neiva CPI\[DINA TERCIARIOS_CF_SEC_New_27-Mar-2024.xlsx]D-PRB'!</v>
      </c>
      <c r="G245" s="32" t="s">
        <v>112</v>
      </c>
      <c r="H245" s="33">
        <f t="shared" si="61"/>
        <v>27</v>
      </c>
      <c r="I245" s="33" t="str">
        <f t="shared" si="31"/>
        <v>='C:\Users\jaime.benazar\Quorum Business Solutions\Ecopetrol Prometeo - Documents\Planning Space Implementation\3. Analysis &amp; Design\Design\FC22\DRR Jaime\Neiva CPI\[DINA TERCIARIOS_CF_SEC_New_27-Mar-2024.xlsx]D-PRB'!$BB$27</v>
      </c>
      <c r="J245" s="37" t="s">
        <v>2129</v>
      </c>
    </row>
    <row r="246" spans="1:10" x14ac:dyDescent="0.3">
      <c r="A246" s="32" t="s">
        <v>20</v>
      </c>
      <c r="B246" s="32">
        <f t="shared" si="63"/>
        <v>2039</v>
      </c>
      <c r="C246" s="33" t="s">
        <v>31</v>
      </c>
      <c r="D246" s="34" t="s">
        <v>2002</v>
      </c>
      <c r="E246" s="35" t="str">
        <f t="shared" si="29"/>
        <v>PRB'!</v>
      </c>
      <c r="F246" s="34" t="str">
        <f t="shared" si="30"/>
        <v>C:\Users\jaime.benazar\Quorum Business Solutions\Ecopetrol Prometeo - Documents\Planning Space Implementation\3. Analysis &amp; Design\Design\FC22\DRR Jaime\Neiva CPI\[DINA TERCIARIOS_CF_SEC_New_27-Mar-2024.xlsx]D-PRB'!</v>
      </c>
      <c r="G246" s="32" t="s">
        <v>112</v>
      </c>
      <c r="H246" s="33">
        <f t="shared" si="61"/>
        <v>28</v>
      </c>
      <c r="I246" s="33" t="str">
        <f t="shared" si="31"/>
        <v>='C:\Users\jaime.benazar\Quorum Business Solutions\Ecopetrol Prometeo - Documents\Planning Space Implementation\3. Analysis &amp; Design\Design\FC22\DRR Jaime\Neiva CPI\[DINA TERCIARIOS_CF_SEC_New_27-Mar-2024.xlsx]D-PRB'!$BB$28</v>
      </c>
      <c r="J246" s="37" t="s">
        <v>2130</v>
      </c>
    </row>
    <row r="247" spans="1:10" x14ac:dyDescent="0.3">
      <c r="A247" s="32" t="s">
        <v>20</v>
      </c>
      <c r="B247" s="32">
        <f t="shared" si="63"/>
        <v>2040</v>
      </c>
      <c r="C247" s="33" t="s">
        <v>31</v>
      </c>
      <c r="D247" s="34" t="s">
        <v>2002</v>
      </c>
      <c r="E247" s="35" t="str">
        <f t="shared" si="29"/>
        <v>PRB'!</v>
      </c>
      <c r="F247" s="34" t="str">
        <f t="shared" si="30"/>
        <v>C:\Users\jaime.benazar\Quorum Business Solutions\Ecopetrol Prometeo - Documents\Planning Space Implementation\3. Analysis &amp; Design\Design\FC22\DRR Jaime\Neiva CPI\[DINA TERCIARIOS_CF_SEC_New_27-Mar-2024.xlsx]D-PRB'!</v>
      </c>
      <c r="G247" s="32" t="s">
        <v>112</v>
      </c>
      <c r="H247" s="33">
        <f t="shared" si="61"/>
        <v>29</v>
      </c>
      <c r="I247" s="33" t="str">
        <f t="shared" si="31"/>
        <v>='C:\Users\jaime.benazar\Quorum Business Solutions\Ecopetrol Prometeo - Documents\Planning Space Implementation\3. Analysis &amp; Design\Design\FC22\DRR Jaime\Neiva CPI\[DINA TERCIARIOS_CF_SEC_New_27-Mar-2024.xlsx]D-PRB'!$BB$29</v>
      </c>
      <c r="J247" s="37" t="s">
        <v>2131</v>
      </c>
    </row>
    <row r="248" spans="1:10" x14ac:dyDescent="0.3">
      <c r="A248" s="32" t="s">
        <v>20</v>
      </c>
      <c r="B248" s="32">
        <f>+B247+1</f>
        <v>2041</v>
      </c>
      <c r="C248" s="33" t="s">
        <v>31</v>
      </c>
      <c r="D248" s="34" t="s">
        <v>2002</v>
      </c>
      <c r="E248" s="35" t="str">
        <f t="shared" si="29"/>
        <v>PRB'!</v>
      </c>
      <c r="F248" s="34" t="str">
        <f t="shared" si="30"/>
        <v>C:\Users\jaime.benazar\Quorum Business Solutions\Ecopetrol Prometeo - Documents\Planning Space Implementation\3. Analysis &amp; Design\Design\FC22\DRR Jaime\Neiva CPI\[DINA TERCIARIOS_CF_SEC_New_27-Mar-2024.xlsx]D-PRB'!</v>
      </c>
      <c r="G248" s="32" t="s">
        <v>112</v>
      </c>
      <c r="H248" s="33">
        <f t="shared" si="61"/>
        <v>30</v>
      </c>
      <c r="I248" s="33" t="str">
        <f t="shared" si="31"/>
        <v>='C:\Users\jaime.benazar\Quorum Business Solutions\Ecopetrol Prometeo - Documents\Planning Space Implementation\3. Analysis &amp; Design\Design\FC22\DRR Jaime\Neiva CPI\[DINA TERCIARIOS_CF_SEC_New_27-Mar-2024.xlsx]D-PRB'!$BB$30</v>
      </c>
      <c r="J248" s="37" t="s">
        <v>2132</v>
      </c>
    </row>
    <row r="249" spans="1:10" x14ac:dyDescent="0.3">
      <c r="A249" s="32" t="s">
        <v>20</v>
      </c>
      <c r="B249" s="32">
        <f t="shared" ref="B249:B250" si="64">+B248+1</f>
        <v>2042</v>
      </c>
      <c r="C249" s="33" t="s">
        <v>31</v>
      </c>
      <c r="D249" s="34" t="s">
        <v>2002</v>
      </c>
      <c r="E249" s="35" t="str">
        <f t="shared" si="29"/>
        <v>PRB'!</v>
      </c>
      <c r="F249" s="34" t="str">
        <f t="shared" si="30"/>
        <v>C:\Users\jaime.benazar\Quorum Business Solutions\Ecopetrol Prometeo - Documents\Planning Space Implementation\3. Analysis &amp; Design\Design\FC22\DRR Jaime\Neiva CPI\[DINA TERCIARIOS_CF_SEC_New_27-Mar-2024.xlsx]D-PRB'!</v>
      </c>
      <c r="G249" s="32" t="s">
        <v>112</v>
      </c>
      <c r="H249" s="33">
        <f t="shared" si="61"/>
        <v>31</v>
      </c>
      <c r="I249" s="33" t="str">
        <f t="shared" si="31"/>
        <v>='C:\Users\jaime.benazar\Quorum Business Solutions\Ecopetrol Prometeo - Documents\Planning Space Implementation\3. Analysis &amp; Design\Design\FC22\DRR Jaime\Neiva CPI\[DINA TERCIARIOS_CF_SEC_New_27-Mar-2024.xlsx]D-PRB'!$BB$31</v>
      </c>
      <c r="J249" s="37" t="s">
        <v>2133</v>
      </c>
    </row>
    <row r="250" spans="1:10" x14ac:dyDescent="0.3">
      <c r="A250" s="32" t="s">
        <v>20</v>
      </c>
      <c r="B250" s="32">
        <f t="shared" si="64"/>
        <v>2043</v>
      </c>
      <c r="C250" s="33" t="s">
        <v>31</v>
      </c>
      <c r="D250" s="34" t="s">
        <v>2002</v>
      </c>
      <c r="E250" s="35" t="str">
        <f t="shared" si="29"/>
        <v>PRB'!</v>
      </c>
      <c r="F250" s="34" t="str">
        <f t="shared" si="30"/>
        <v>C:\Users\jaime.benazar\Quorum Business Solutions\Ecopetrol Prometeo - Documents\Planning Space Implementation\3. Analysis &amp; Design\Design\FC22\DRR Jaime\Neiva CPI\[DINA TERCIARIOS_CF_SEC_New_27-Mar-2024.xlsx]D-PRB'!</v>
      </c>
      <c r="G250" s="32" t="s">
        <v>112</v>
      </c>
      <c r="H250" s="33">
        <f t="shared" si="61"/>
        <v>32</v>
      </c>
      <c r="I250" s="33" t="str">
        <f t="shared" si="31"/>
        <v>='C:\Users\jaime.benazar\Quorum Business Solutions\Ecopetrol Prometeo - Documents\Planning Space Implementation\3. Analysis &amp; Design\Design\FC22\DRR Jaime\Neiva CPI\[DINA TERCIARIOS_CF_SEC_New_27-Mar-2024.xlsx]D-PRB'!$BB$32</v>
      </c>
      <c r="J250" s="37" t="s">
        <v>2134</v>
      </c>
    </row>
    <row r="251" spans="1:10" x14ac:dyDescent="0.3">
      <c r="A251" s="32" t="s">
        <v>20</v>
      </c>
      <c r="B251" s="32">
        <f>+B250+1</f>
        <v>2044</v>
      </c>
      <c r="C251" s="33" t="s">
        <v>31</v>
      </c>
      <c r="D251" s="34" t="s">
        <v>2002</v>
      </c>
      <c r="E251" s="35" t="str">
        <f t="shared" ref="E251:E266" si="65">_xlfn.CONCAT(A251,"'!")</f>
        <v>PRB'!</v>
      </c>
      <c r="F251" s="34" t="str">
        <f t="shared" ref="F251:F266" si="66">_xlfn.CONCAT(D251:E251)</f>
        <v>C:\Users\jaime.benazar\Quorum Business Solutions\Ecopetrol Prometeo - Documents\Planning Space Implementation\3. Analysis &amp; Design\Design\FC22\DRR Jaime\Neiva CPI\[DINA TERCIARIOS_CF_SEC_New_27-Mar-2024.xlsx]D-PRB'!</v>
      </c>
      <c r="G251" s="32" t="s">
        <v>112</v>
      </c>
      <c r="H251" s="33">
        <f t="shared" ref="H251:H266" si="67">IF(A251&lt;&gt;A250,12,H250+1)</f>
        <v>33</v>
      </c>
      <c r="I251" s="33" t="str">
        <f t="shared" ref="I251:I266" si="68">_xlfn.CONCAT("='",F251:H251)</f>
        <v>='C:\Users\jaime.benazar\Quorum Business Solutions\Ecopetrol Prometeo - Documents\Planning Space Implementation\3. Analysis &amp; Design\Design\FC22\DRR Jaime\Neiva CPI\[DINA TERCIARIOS_CF_SEC_New_27-Mar-2024.xlsx]D-PRB'!$BB$33</v>
      </c>
      <c r="J251" s="37" t="s">
        <v>2135</v>
      </c>
    </row>
    <row r="252" spans="1:10" x14ac:dyDescent="0.3">
      <c r="A252" s="32" t="s">
        <v>20</v>
      </c>
      <c r="B252" s="32">
        <f t="shared" ref="B252:B266" si="69">+B251+1</f>
        <v>2045</v>
      </c>
      <c r="C252" s="33" t="s">
        <v>31</v>
      </c>
      <c r="D252" s="34" t="s">
        <v>2002</v>
      </c>
      <c r="E252" s="35" t="str">
        <f t="shared" si="65"/>
        <v>PRB'!</v>
      </c>
      <c r="F252" s="34" t="str">
        <f t="shared" si="66"/>
        <v>C:\Users\jaime.benazar\Quorum Business Solutions\Ecopetrol Prometeo - Documents\Planning Space Implementation\3. Analysis &amp; Design\Design\FC22\DRR Jaime\Neiva CPI\[DINA TERCIARIOS_CF_SEC_New_27-Mar-2024.xlsx]D-PRB'!</v>
      </c>
      <c r="G252" s="32" t="s">
        <v>112</v>
      </c>
      <c r="H252" s="33">
        <f t="shared" si="67"/>
        <v>34</v>
      </c>
      <c r="I252" s="33" t="str">
        <f t="shared" si="68"/>
        <v>='C:\Users\jaime.benazar\Quorum Business Solutions\Ecopetrol Prometeo - Documents\Planning Space Implementation\3. Analysis &amp; Design\Design\FC22\DRR Jaime\Neiva CPI\[DINA TERCIARIOS_CF_SEC_New_27-Mar-2024.xlsx]D-PRB'!$BB$34</v>
      </c>
      <c r="J252" s="37" t="s">
        <v>2136</v>
      </c>
    </row>
    <row r="253" spans="1:10" x14ac:dyDescent="0.3">
      <c r="A253" s="32" t="s">
        <v>20</v>
      </c>
      <c r="B253" s="32">
        <f t="shared" si="69"/>
        <v>2046</v>
      </c>
      <c r="C253" s="33" t="s">
        <v>31</v>
      </c>
      <c r="D253" s="34" t="s">
        <v>2002</v>
      </c>
      <c r="E253" s="35" t="str">
        <f t="shared" si="65"/>
        <v>PRB'!</v>
      </c>
      <c r="F253" s="34" t="str">
        <f t="shared" si="66"/>
        <v>C:\Users\jaime.benazar\Quorum Business Solutions\Ecopetrol Prometeo - Documents\Planning Space Implementation\3. Analysis &amp; Design\Design\FC22\DRR Jaime\Neiva CPI\[DINA TERCIARIOS_CF_SEC_New_27-Mar-2024.xlsx]D-PRB'!</v>
      </c>
      <c r="G253" s="32" t="s">
        <v>112</v>
      </c>
      <c r="H253" s="33">
        <f t="shared" si="67"/>
        <v>35</v>
      </c>
      <c r="I253" s="33" t="str">
        <f t="shared" si="68"/>
        <v>='C:\Users\jaime.benazar\Quorum Business Solutions\Ecopetrol Prometeo - Documents\Planning Space Implementation\3. Analysis &amp; Design\Design\FC22\DRR Jaime\Neiva CPI\[DINA TERCIARIOS_CF_SEC_New_27-Mar-2024.xlsx]D-PRB'!$BB$35</v>
      </c>
      <c r="J253" s="37" t="s">
        <v>2137</v>
      </c>
    </row>
    <row r="254" spans="1:10" x14ac:dyDescent="0.3">
      <c r="A254" s="32" t="s">
        <v>20</v>
      </c>
      <c r="B254" s="32">
        <f t="shared" si="69"/>
        <v>2047</v>
      </c>
      <c r="C254" s="33" t="s">
        <v>31</v>
      </c>
      <c r="D254" s="34" t="s">
        <v>2002</v>
      </c>
      <c r="E254" s="35" t="str">
        <f t="shared" si="65"/>
        <v>PRB'!</v>
      </c>
      <c r="F254" s="34" t="str">
        <f t="shared" si="66"/>
        <v>C:\Users\jaime.benazar\Quorum Business Solutions\Ecopetrol Prometeo - Documents\Planning Space Implementation\3. Analysis &amp; Design\Design\FC22\DRR Jaime\Neiva CPI\[DINA TERCIARIOS_CF_SEC_New_27-Mar-2024.xlsx]D-PRB'!</v>
      </c>
      <c r="G254" s="32" t="s">
        <v>112</v>
      </c>
      <c r="H254" s="33">
        <f t="shared" si="67"/>
        <v>36</v>
      </c>
      <c r="I254" s="33" t="str">
        <f t="shared" si="68"/>
        <v>='C:\Users\jaime.benazar\Quorum Business Solutions\Ecopetrol Prometeo - Documents\Planning Space Implementation\3. Analysis &amp; Design\Design\FC22\DRR Jaime\Neiva CPI\[DINA TERCIARIOS_CF_SEC_New_27-Mar-2024.xlsx]D-PRB'!$BB$36</v>
      </c>
      <c r="J254" s="37" t="s">
        <v>2138</v>
      </c>
    </row>
    <row r="255" spans="1:10" x14ac:dyDescent="0.3">
      <c r="A255" s="32" t="s">
        <v>20</v>
      </c>
      <c r="B255" s="32">
        <f t="shared" si="69"/>
        <v>2048</v>
      </c>
      <c r="C255" s="33" t="s">
        <v>31</v>
      </c>
      <c r="D255" s="34" t="s">
        <v>2002</v>
      </c>
      <c r="E255" s="35" t="str">
        <f t="shared" si="65"/>
        <v>PRB'!</v>
      </c>
      <c r="F255" s="34" t="str">
        <f t="shared" si="66"/>
        <v>C:\Users\jaime.benazar\Quorum Business Solutions\Ecopetrol Prometeo - Documents\Planning Space Implementation\3. Analysis &amp; Design\Design\FC22\DRR Jaime\Neiva CPI\[DINA TERCIARIOS_CF_SEC_New_27-Mar-2024.xlsx]D-PRB'!</v>
      </c>
      <c r="G255" s="32" t="s">
        <v>112</v>
      </c>
      <c r="H255" s="33">
        <f t="shared" si="67"/>
        <v>37</v>
      </c>
      <c r="I255" s="33" t="str">
        <f t="shared" si="68"/>
        <v>='C:\Users\jaime.benazar\Quorum Business Solutions\Ecopetrol Prometeo - Documents\Planning Space Implementation\3. Analysis &amp; Design\Design\FC22\DRR Jaime\Neiva CPI\[DINA TERCIARIOS_CF_SEC_New_27-Mar-2024.xlsx]D-PRB'!$BB$37</v>
      </c>
      <c r="J255" s="37" t="s">
        <v>2139</v>
      </c>
    </row>
    <row r="256" spans="1:10" x14ac:dyDescent="0.3">
      <c r="A256" s="32" t="s">
        <v>20</v>
      </c>
      <c r="B256" s="32">
        <f t="shared" si="69"/>
        <v>2049</v>
      </c>
      <c r="C256" s="33" t="s">
        <v>31</v>
      </c>
      <c r="D256" s="34" t="s">
        <v>2002</v>
      </c>
      <c r="E256" s="35" t="str">
        <f t="shared" si="65"/>
        <v>PRB'!</v>
      </c>
      <c r="F256" s="34" t="str">
        <f t="shared" si="66"/>
        <v>C:\Users\jaime.benazar\Quorum Business Solutions\Ecopetrol Prometeo - Documents\Planning Space Implementation\3. Analysis &amp; Design\Design\FC22\DRR Jaime\Neiva CPI\[DINA TERCIARIOS_CF_SEC_New_27-Mar-2024.xlsx]D-PRB'!</v>
      </c>
      <c r="G256" s="32" t="s">
        <v>112</v>
      </c>
      <c r="H256" s="33">
        <f t="shared" si="67"/>
        <v>38</v>
      </c>
      <c r="I256" s="33" t="str">
        <f t="shared" si="68"/>
        <v>='C:\Users\jaime.benazar\Quorum Business Solutions\Ecopetrol Prometeo - Documents\Planning Space Implementation\3. Analysis &amp; Design\Design\FC22\DRR Jaime\Neiva CPI\[DINA TERCIARIOS_CF_SEC_New_27-Mar-2024.xlsx]D-PRB'!$BB$38</v>
      </c>
      <c r="J256" s="37" t="s">
        <v>2140</v>
      </c>
    </row>
    <row r="257" spans="1:10" x14ac:dyDescent="0.3">
      <c r="A257" s="32" t="s">
        <v>20</v>
      </c>
      <c r="B257" s="32">
        <f t="shared" si="69"/>
        <v>2050</v>
      </c>
      <c r="C257" s="33" t="s">
        <v>31</v>
      </c>
      <c r="D257" s="34" t="s">
        <v>2002</v>
      </c>
      <c r="E257" s="35" t="str">
        <f t="shared" si="65"/>
        <v>PRB'!</v>
      </c>
      <c r="F257" s="34" t="str">
        <f t="shared" si="66"/>
        <v>C:\Users\jaime.benazar\Quorum Business Solutions\Ecopetrol Prometeo - Documents\Planning Space Implementation\3. Analysis &amp; Design\Design\FC22\DRR Jaime\Neiva CPI\[DINA TERCIARIOS_CF_SEC_New_27-Mar-2024.xlsx]D-PRB'!</v>
      </c>
      <c r="G257" s="32" t="s">
        <v>112</v>
      </c>
      <c r="H257" s="33">
        <f t="shared" si="67"/>
        <v>39</v>
      </c>
      <c r="I257" s="33" t="str">
        <f t="shared" si="68"/>
        <v>='C:\Users\jaime.benazar\Quorum Business Solutions\Ecopetrol Prometeo - Documents\Planning Space Implementation\3. Analysis &amp; Design\Design\FC22\DRR Jaime\Neiva CPI\[DINA TERCIARIOS_CF_SEC_New_27-Mar-2024.xlsx]D-PRB'!$BB$39</v>
      </c>
      <c r="J257" s="37" t="s">
        <v>2141</v>
      </c>
    </row>
    <row r="258" spans="1:10" x14ac:dyDescent="0.3">
      <c r="A258" s="32" t="s">
        <v>20</v>
      </c>
      <c r="B258" s="32">
        <f t="shared" si="69"/>
        <v>2051</v>
      </c>
      <c r="C258" s="33" t="s">
        <v>31</v>
      </c>
      <c r="D258" s="34" t="s">
        <v>2002</v>
      </c>
      <c r="E258" s="35" t="str">
        <f t="shared" si="65"/>
        <v>PRB'!</v>
      </c>
      <c r="F258" s="34" t="str">
        <f t="shared" si="66"/>
        <v>C:\Users\jaime.benazar\Quorum Business Solutions\Ecopetrol Prometeo - Documents\Planning Space Implementation\3. Analysis &amp; Design\Design\FC22\DRR Jaime\Neiva CPI\[DINA TERCIARIOS_CF_SEC_New_27-Mar-2024.xlsx]D-PRB'!</v>
      </c>
      <c r="G258" s="32" t="s">
        <v>112</v>
      </c>
      <c r="H258" s="33">
        <f t="shared" si="67"/>
        <v>40</v>
      </c>
      <c r="I258" s="33" t="str">
        <f t="shared" si="68"/>
        <v>='C:\Users\jaime.benazar\Quorum Business Solutions\Ecopetrol Prometeo - Documents\Planning Space Implementation\3. Analysis &amp; Design\Design\FC22\DRR Jaime\Neiva CPI\[DINA TERCIARIOS_CF_SEC_New_27-Mar-2024.xlsx]D-PRB'!$BB$40</v>
      </c>
      <c r="J258" s="37" t="s">
        <v>2142</v>
      </c>
    </row>
    <row r="259" spans="1:10" x14ac:dyDescent="0.3">
      <c r="A259" s="32" t="s">
        <v>20</v>
      </c>
      <c r="B259" s="32">
        <f t="shared" si="69"/>
        <v>2052</v>
      </c>
      <c r="C259" s="33" t="s">
        <v>31</v>
      </c>
      <c r="D259" s="34" t="s">
        <v>2002</v>
      </c>
      <c r="E259" s="35" t="str">
        <f t="shared" si="65"/>
        <v>PRB'!</v>
      </c>
      <c r="F259" s="34" t="str">
        <f t="shared" si="66"/>
        <v>C:\Users\jaime.benazar\Quorum Business Solutions\Ecopetrol Prometeo - Documents\Planning Space Implementation\3. Analysis &amp; Design\Design\FC22\DRR Jaime\Neiva CPI\[DINA TERCIARIOS_CF_SEC_New_27-Mar-2024.xlsx]D-PRB'!</v>
      </c>
      <c r="G259" s="32" t="s">
        <v>112</v>
      </c>
      <c r="H259" s="33">
        <f t="shared" si="67"/>
        <v>41</v>
      </c>
      <c r="I259" s="33" t="str">
        <f t="shared" si="68"/>
        <v>='C:\Users\jaime.benazar\Quorum Business Solutions\Ecopetrol Prometeo - Documents\Planning Space Implementation\3. Analysis &amp; Design\Design\FC22\DRR Jaime\Neiva CPI\[DINA TERCIARIOS_CF_SEC_New_27-Mar-2024.xlsx]D-PRB'!$BB$41</v>
      </c>
      <c r="J259" s="37" t="s">
        <v>2143</v>
      </c>
    </row>
    <row r="260" spans="1:10" x14ac:dyDescent="0.3">
      <c r="A260" s="32" t="s">
        <v>20</v>
      </c>
      <c r="B260" s="32">
        <f t="shared" si="69"/>
        <v>2053</v>
      </c>
      <c r="C260" s="33" t="s">
        <v>31</v>
      </c>
      <c r="D260" s="34" t="s">
        <v>2002</v>
      </c>
      <c r="E260" s="35" t="str">
        <f t="shared" si="65"/>
        <v>PRB'!</v>
      </c>
      <c r="F260" s="34" t="str">
        <f t="shared" si="66"/>
        <v>C:\Users\jaime.benazar\Quorum Business Solutions\Ecopetrol Prometeo - Documents\Planning Space Implementation\3. Analysis &amp; Design\Design\FC22\DRR Jaime\Neiva CPI\[DINA TERCIARIOS_CF_SEC_New_27-Mar-2024.xlsx]D-PRB'!</v>
      </c>
      <c r="G260" s="32" t="s">
        <v>112</v>
      </c>
      <c r="H260" s="33">
        <f t="shared" si="67"/>
        <v>42</v>
      </c>
      <c r="I260" s="33" t="str">
        <f t="shared" si="68"/>
        <v>='C:\Users\jaime.benazar\Quorum Business Solutions\Ecopetrol Prometeo - Documents\Planning Space Implementation\3. Analysis &amp; Design\Design\FC22\DRR Jaime\Neiva CPI\[DINA TERCIARIOS_CF_SEC_New_27-Mar-2024.xlsx]D-PRB'!$BB$42</v>
      </c>
      <c r="J260" s="37" t="s">
        <v>2144</v>
      </c>
    </row>
    <row r="261" spans="1:10" x14ac:dyDescent="0.3">
      <c r="A261" s="32" t="s">
        <v>20</v>
      </c>
      <c r="B261" s="32">
        <f t="shared" si="69"/>
        <v>2054</v>
      </c>
      <c r="C261" s="33" t="s">
        <v>31</v>
      </c>
      <c r="D261" s="34" t="s">
        <v>2002</v>
      </c>
      <c r="E261" s="35" t="str">
        <f t="shared" si="65"/>
        <v>PRB'!</v>
      </c>
      <c r="F261" s="34" t="str">
        <f t="shared" si="66"/>
        <v>C:\Users\jaime.benazar\Quorum Business Solutions\Ecopetrol Prometeo - Documents\Planning Space Implementation\3. Analysis &amp; Design\Design\FC22\DRR Jaime\Neiva CPI\[DINA TERCIARIOS_CF_SEC_New_27-Mar-2024.xlsx]D-PRB'!</v>
      </c>
      <c r="G261" s="32" t="s">
        <v>112</v>
      </c>
      <c r="H261" s="33">
        <f t="shared" si="67"/>
        <v>43</v>
      </c>
      <c r="I261" s="33" t="str">
        <f t="shared" si="68"/>
        <v>='C:\Users\jaime.benazar\Quorum Business Solutions\Ecopetrol Prometeo - Documents\Planning Space Implementation\3. Analysis &amp; Design\Design\FC22\DRR Jaime\Neiva CPI\[DINA TERCIARIOS_CF_SEC_New_27-Mar-2024.xlsx]D-PRB'!$BB$43</v>
      </c>
      <c r="J261" s="37" t="s">
        <v>2145</v>
      </c>
    </row>
    <row r="262" spans="1:10" x14ac:dyDescent="0.3">
      <c r="A262" s="32" t="s">
        <v>20</v>
      </c>
      <c r="B262" s="32">
        <f t="shared" si="69"/>
        <v>2055</v>
      </c>
      <c r="C262" s="33" t="s">
        <v>31</v>
      </c>
      <c r="D262" s="34" t="s">
        <v>2002</v>
      </c>
      <c r="E262" s="35" t="str">
        <f t="shared" si="65"/>
        <v>PRB'!</v>
      </c>
      <c r="F262" s="34" t="str">
        <f t="shared" si="66"/>
        <v>C:\Users\jaime.benazar\Quorum Business Solutions\Ecopetrol Prometeo - Documents\Planning Space Implementation\3. Analysis &amp; Design\Design\FC22\DRR Jaime\Neiva CPI\[DINA TERCIARIOS_CF_SEC_New_27-Mar-2024.xlsx]D-PRB'!</v>
      </c>
      <c r="G262" s="32" t="s">
        <v>112</v>
      </c>
      <c r="H262" s="33">
        <f t="shared" si="67"/>
        <v>44</v>
      </c>
      <c r="I262" s="33" t="str">
        <f t="shared" si="68"/>
        <v>='C:\Users\jaime.benazar\Quorum Business Solutions\Ecopetrol Prometeo - Documents\Planning Space Implementation\3. Analysis &amp; Design\Design\FC22\DRR Jaime\Neiva CPI\[DINA TERCIARIOS_CF_SEC_New_27-Mar-2024.xlsx]D-PRB'!$BB$44</v>
      </c>
      <c r="J262" s="37" t="s">
        <v>2146</v>
      </c>
    </row>
    <row r="263" spans="1:10" x14ac:dyDescent="0.3">
      <c r="A263" s="32" t="s">
        <v>20</v>
      </c>
      <c r="B263" s="32">
        <f t="shared" si="69"/>
        <v>2056</v>
      </c>
      <c r="C263" s="33" t="s">
        <v>31</v>
      </c>
      <c r="D263" s="34" t="s">
        <v>2002</v>
      </c>
      <c r="E263" s="35" t="str">
        <f t="shared" si="65"/>
        <v>PRB'!</v>
      </c>
      <c r="F263" s="34" t="str">
        <f t="shared" si="66"/>
        <v>C:\Users\jaime.benazar\Quorum Business Solutions\Ecopetrol Prometeo - Documents\Planning Space Implementation\3. Analysis &amp; Design\Design\FC22\DRR Jaime\Neiva CPI\[DINA TERCIARIOS_CF_SEC_New_27-Mar-2024.xlsx]D-PRB'!</v>
      </c>
      <c r="G263" s="32" t="s">
        <v>112</v>
      </c>
      <c r="H263" s="33">
        <f t="shared" si="67"/>
        <v>45</v>
      </c>
      <c r="I263" s="33" t="str">
        <f t="shared" si="68"/>
        <v>='C:\Users\jaime.benazar\Quorum Business Solutions\Ecopetrol Prometeo - Documents\Planning Space Implementation\3. Analysis &amp; Design\Design\FC22\DRR Jaime\Neiva CPI\[DINA TERCIARIOS_CF_SEC_New_27-Mar-2024.xlsx]D-PRB'!$BB$45</v>
      </c>
      <c r="J263" s="37" t="s">
        <v>2147</v>
      </c>
    </row>
    <row r="264" spans="1:10" x14ac:dyDescent="0.3">
      <c r="A264" s="32" t="s">
        <v>20</v>
      </c>
      <c r="B264" s="32">
        <f t="shared" si="69"/>
        <v>2057</v>
      </c>
      <c r="C264" s="33" t="s">
        <v>31</v>
      </c>
      <c r="D264" s="34" t="s">
        <v>2002</v>
      </c>
      <c r="E264" s="35" t="str">
        <f t="shared" si="65"/>
        <v>PRB'!</v>
      </c>
      <c r="F264" s="34" t="str">
        <f t="shared" si="66"/>
        <v>C:\Users\jaime.benazar\Quorum Business Solutions\Ecopetrol Prometeo - Documents\Planning Space Implementation\3. Analysis &amp; Design\Design\FC22\DRR Jaime\Neiva CPI\[DINA TERCIARIOS_CF_SEC_New_27-Mar-2024.xlsx]D-PRB'!</v>
      </c>
      <c r="G264" s="32" t="s">
        <v>112</v>
      </c>
      <c r="H264" s="33">
        <f t="shared" si="67"/>
        <v>46</v>
      </c>
      <c r="I264" s="33" t="str">
        <f t="shared" si="68"/>
        <v>='C:\Users\jaime.benazar\Quorum Business Solutions\Ecopetrol Prometeo - Documents\Planning Space Implementation\3. Analysis &amp; Design\Design\FC22\DRR Jaime\Neiva CPI\[DINA TERCIARIOS_CF_SEC_New_27-Mar-2024.xlsx]D-PRB'!$BB$46</v>
      </c>
      <c r="J264" s="37" t="s">
        <v>2148</v>
      </c>
    </row>
    <row r="265" spans="1:10" x14ac:dyDescent="0.3">
      <c r="A265" s="32" t="s">
        <v>20</v>
      </c>
      <c r="B265" s="32">
        <f t="shared" si="69"/>
        <v>2058</v>
      </c>
      <c r="C265" s="33" t="s">
        <v>31</v>
      </c>
      <c r="D265" s="34" t="s">
        <v>2002</v>
      </c>
      <c r="E265" s="35" t="str">
        <f t="shared" si="65"/>
        <v>PRB'!</v>
      </c>
      <c r="F265" s="34" t="str">
        <f t="shared" si="66"/>
        <v>C:\Users\jaime.benazar\Quorum Business Solutions\Ecopetrol Prometeo - Documents\Planning Space Implementation\3. Analysis &amp; Design\Design\FC22\DRR Jaime\Neiva CPI\[DINA TERCIARIOS_CF_SEC_New_27-Mar-2024.xlsx]D-PRB'!</v>
      </c>
      <c r="G265" s="32" t="s">
        <v>112</v>
      </c>
      <c r="H265" s="33">
        <f t="shared" si="67"/>
        <v>47</v>
      </c>
      <c r="I265" s="33" t="str">
        <f t="shared" si="68"/>
        <v>='C:\Users\jaime.benazar\Quorum Business Solutions\Ecopetrol Prometeo - Documents\Planning Space Implementation\3. Analysis &amp; Design\Design\FC22\DRR Jaime\Neiva CPI\[DINA TERCIARIOS_CF_SEC_New_27-Mar-2024.xlsx]D-PRB'!$BB$47</v>
      </c>
      <c r="J265" s="37" t="s">
        <v>2149</v>
      </c>
    </row>
    <row r="266" spans="1:10" x14ac:dyDescent="0.3">
      <c r="A266" s="32" t="s">
        <v>20</v>
      </c>
      <c r="B266" s="32">
        <f t="shared" si="69"/>
        <v>2059</v>
      </c>
      <c r="C266" s="33" t="s">
        <v>31</v>
      </c>
      <c r="D266" s="34" t="s">
        <v>2002</v>
      </c>
      <c r="E266" s="35" t="str">
        <f t="shared" si="65"/>
        <v>PRB'!</v>
      </c>
      <c r="F266" s="34" t="str">
        <f t="shared" si="66"/>
        <v>C:\Users\jaime.benazar\Quorum Business Solutions\Ecopetrol Prometeo - Documents\Planning Space Implementation\3. Analysis &amp; Design\Design\FC22\DRR Jaime\Neiva CPI\[DINA TERCIARIOS_CF_SEC_New_27-Mar-2024.xlsx]D-PRB'!</v>
      </c>
      <c r="G266" s="32" t="s">
        <v>112</v>
      </c>
      <c r="H266" s="33">
        <f t="shared" si="67"/>
        <v>48</v>
      </c>
      <c r="I266" s="33" t="str">
        <f t="shared" si="68"/>
        <v>='C:\Users\jaime.benazar\Quorum Business Solutions\Ecopetrol Prometeo - Documents\Planning Space Implementation\3. Analysis &amp; Design\Design\FC22\DRR Jaime\Neiva CPI\[DINA TERCIARIOS_CF_SEC_New_27-Mar-2024.xlsx]D-PRB'!$BB$48</v>
      </c>
      <c r="J266" s="37" t="s">
        <v>2150</v>
      </c>
    </row>
    <row r="267" spans="1:10" x14ac:dyDescent="0.3">
      <c r="A267" s="32" t="s">
        <v>26</v>
      </c>
      <c r="B267" s="32"/>
      <c r="C267" s="33" t="s">
        <v>31</v>
      </c>
      <c r="D267" s="34"/>
      <c r="E267" s="35"/>
      <c r="F267" s="34"/>
      <c r="G267" s="32"/>
      <c r="H267" s="33"/>
      <c r="I267" s="33"/>
      <c r="J267" s="33"/>
    </row>
    <row r="268" spans="1:10" x14ac:dyDescent="0.3">
      <c r="A268" s="32" t="s">
        <v>21</v>
      </c>
      <c r="B268" s="32">
        <v>2023</v>
      </c>
      <c r="C268" s="33" t="s">
        <v>31</v>
      </c>
      <c r="D268" s="34" t="s">
        <v>2002</v>
      </c>
      <c r="E268" s="35" t="str">
        <f t="shared" ref="E268:E288" si="70">_xlfn.CONCAT(A268,"'!")</f>
        <v>PSDP'!</v>
      </c>
      <c r="F268" s="34" t="str">
        <f t="shared" ref="F268:F288" si="71">_xlfn.CONCAT(D268:E268)</f>
        <v>C:\Users\jaime.benazar\Quorum Business Solutions\Ecopetrol Prometeo - Documents\Planning Space Implementation\3. Analysis &amp; Design\Design\FC22\DRR Jaime\Neiva CPI\[DINA TERCIARIOS_CF_SEC_New_27-Mar-2024.xlsx]D-PSDP'!</v>
      </c>
      <c r="G268" s="32" t="s">
        <v>112</v>
      </c>
      <c r="H268" s="33"/>
      <c r="I268" s="33"/>
      <c r="J268" s="37"/>
    </row>
    <row r="269" spans="1:10" x14ac:dyDescent="0.3">
      <c r="A269" s="32" t="s">
        <v>21</v>
      </c>
      <c r="B269" s="32">
        <f>+B268+1</f>
        <v>2024</v>
      </c>
      <c r="C269" s="33" t="s">
        <v>31</v>
      </c>
      <c r="D269" s="34" t="s">
        <v>2002</v>
      </c>
      <c r="E269" s="35" t="str">
        <f t="shared" si="70"/>
        <v>PSDP'!</v>
      </c>
      <c r="F269" s="34" t="str">
        <f t="shared" si="71"/>
        <v>C:\Users\jaime.benazar\Quorum Business Solutions\Ecopetrol Prometeo - Documents\Planning Space Implementation\3. Analysis &amp; Design\Design\FC22\DRR Jaime\Neiva CPI\[DINA TERCIARIOS_CF_SEC_New_27-Mar-2024.xlsx]D-PSDP'!</v>
      </c>
      <c r="G269" s="32" t="s">
        <v>112</v>
      </c>
      <c r="H269" s="33"/>
      <c r="I269" s="33"/>
      <c r="J269" s="37"/>
    </row>
    <row r="270" spans="1:10" x14ac:dyDescent="0.3">
      <c r="A270" s="32" t="s">
        <v>21</v>
      </c>
      <c r="B270" s="32">
        <f t="shared" ref="B270:B281" si="72">+B269+1</f>
        <v>2025</v>
      </c>
      <c r="C270" s="33" t="s">
        <v>31</v>
      </c>
      <c r="D270" s="34" t="s">
        <v>2002</v>
      </c>
      <c r="E270" s="35" t="str">
        <f t="shared" si="70"/>
        <v>PSDP'!</v>
      </c>
      <c r="F270" s="34" t="str">
        <f t="shared" si="71"/>
        <v>C:\Users\jaime.benazar\Quorum Business Solutions\Ecopetrol Prometeo - Documents\Planning Space Implementation\3. Analysis &amp; Design\Design\FC22\DRR Jaime\Neiva CPI\[DINA TERCIARIOS_CF_SEC_New_27-Mar-2024.xlsx]D-PSDP'!</v>
      </c>
      <c r="G270" s="32" t="s">
        <v>112</v>
      </c>
      <c r="H270" s="33"/>
      <c r="I270" s="33"/>
      <c r="J270" s="37"/>
    </row>
    <row r="271" spans="1:10" x14ac:dyDescent="0.3">
      <c r="A271" s="32" t="s">
        <v>21</v>
      </c>
      <c r="B271" s="32">
        <f t="shared" si="72"/>
        <v>2026</v>
      </c>
      <c r="C271" s="33" t="s">
        <v>31</v>
      </c>
      <c r="D271" s="34" t="s">
        <v>2002</v>
      </c>
      <c r="E271" s="35" t="str">
        <f t="shared" si="70"/>
        <v>PSDP'!</v>
      </c>
      <c r="F271" s="34" t="str">
        <f t="shared" si="71"/>
        <v>C:\Users\jaime.benazar\Quorum Business Solutions\Ecopetrol Prometeo - Documents\Planning Space Implementation\3. Analysis &amp; Design\Design\FC22\DRR Jaime\Neiva CPI\[DINA TERCIARIOS_CF_SEC_New_27-Mar-2024.xlsx]D-PSDP'!</v>
      </c>
      <c r="G271" s="32" t="s">
        <v>112</v>
      </c>
      <c r="H271" s="33"/>
      <c r="I271" s="33"/>
      <c r="J271" s="37"/>
    </row>
    <row r="272" spans="1:10" x14ac:dyDescent="0.3">
      <c r="A272" s="32" t="s">
        <v>21</v>
      </c>
      <c r="B272" s="32">
        <f t="shared" si="72"/>
        <v>2027</v>
      </c>
      <c r="C272" s="33" t="s">
        <v>31</v>
      </c>
      <c r="D272" s="34" t="s">
        <v>2002</v>
      </c>
      <c r="E272" s="35" t="str">
        <f t="shared" si="70"/>
        <v>PSDP'!</v>
      </c>
      <c r="F272" s="34" t="str">
        <f t="shared" si="71"/>
        <v>C:\Users\jaime.benazar\Quorum Business Solutions\Ecopetrol Prometeo - Documents\Planning Space Implementation\3. Analysis &amp; Design\Design\FC22\DRR Jaime\Neiva CPI\[DINA TERCIARIOS_CF_SEC_New_27-Mar-2024.xlsx]D-PSDP'!</v>
      </c>
      <c r="G272" s="32" t="s">
        <v>112</v>
      </c>
      <c r="H272" s="33"/>
      <c r="I272" s="33"/>
      <c r="J272" s="37"/>
    </row>
    <row r="273" spans="1:10" x14ac:dyDescent="0.3">
      <c r="A273" s="32" t="s">
        <v>21</v>
      </c>
      <c r="B273" s="32">
        <f t="shared" si="72"/>
        <v>2028</v>
      </c>
      <c r="C273" s="33" t="s">
        <v>31</v>
      </c>
      <c r="D273" s="34" t="s">
        <v>2002</v>
      </c>
      <c r="E273" s="35" t="str">
        <f t="shared" si="70"/>
        <v>PSDP'!</v>
      </c>
      <c r="F273" s="34" t="str">
        <f t="shared" si="71"/>
        <v>C:\Users\jaime.benazar\Quorum Business Solutions\Ecopetrol Prometeo - Documents\Planning Space Implementation\3. Analysis &amp; Design\Design\FC22\DRR Jaime\Neiva CPI\[DINA TERCIARIOS_CF_SEC_New_27-Mar-2024.xlsx]D-PSDP'!</v>
      </c>
      <c r="G273" s="32" t="s">
        <v>112</v>
      </c>
      <c r="H273" s="33"/>
      <c r="I273" s="33"/>
      <c r="J273" s="37"/>
    </row>
    <row r="274" spans="1:10" x14ac:dyDescent="0.3">
      <c r="A274" s="32" t="s">
        <v>21</v>
      </c>
      <c r="B274" s="32">
        <f t="shared" si="72"/>
        <v>2029</v>
      </c>
      <c r="C274" s="33" t="s">
        <v>31</v>
      </c>
      <c r="D274" s="34" t="s">
        <v>2002</v>
      </c>
      <c r="E274" s="35" t="str">
        <f t="shared" si="70"/>
        <v>PSDP'!</v>
      </c>
      <c r="F274" s="34" t="str">
        <f t="shared" si="71"/>
        <v>C:\Users\jaime.benazar\Quorum Business Solutions\Ecopetrol Prometeo - Documents\Planning Space Implementation\3. Analysis &amp; Design\Design\FC22\DRR Jaime\Neiva CPI\[DINA TERCIARIOS_CF_SEC_New_27-Mar-2024.xlsx]D-PSDP'!</v>
      </c>
      <c r="G274" s="32" t="s">
        <v>112</v>
      </c>
      <c r="H274" s="33"/>
      <c r="I274" s="33"/>
      <c r="J274" s="37"/>
    </row>
    <row r="275" spans="1:10" x14ac:dyDescent="0.3">
      <c r="A275" s="32" t="s">
        <v>21</v>
      </c>
      <c r="B275" s="32">
        <f t="shared" si="72"/>
        <v>2030</v>
      </c>
      <c r="C275" s="33" t="s">
        <v>31</v>
      </c>
      <c r="D275" s="34" t="s">
        <v>2002</v>
      </c>
      <c r="E275" s="35" t="str">
        <f t="shared" si="70"/>
        <v>PSDP'!</v>
      </c>
      <c r="F275" s="34" t="str">
        <f t="shared" si="71"/>
        <v>C:\Users\jaime.benazar\Quorum Business Solutions\Ecopetrol Prometeo - Documents\Planning Space Implementation\3. Analysis &amp; Design\Design\FC22\DRR Jaime\Neiva CPI\[DINA TERCIARIOS_CF_SEC_New_27-Mar-2024.xlsx]D-PSDP'!</v>
      </c>
      <c r="G275" s="32" t="s">
        <v>112</v>
      </c>
      <c r="H275" s="33"/>
      <c r="I275" s="33"/>
      <c r="J275" s="37"/>
    </row>
    <row r="276" spans="1:10" x14ac:dyDescent="0.3">
      <c r="A276" s="32" t="s">
        <v>21</v>
      </c>
      <c r="B276" s="32">
        <f t="shared" si="72"/>
        <v>2031</v>
      </c>
      <c r="C276" s="33" t="s">
        <v>31</v>
      </c>
      <c r="D276" s="34" t="s">
        <v>2002</v>
      </c>
      <c r="E276" s="35" t="str">
        <f t="shared" si="70"/>
        <v>PSDP'!</v>
      </c>
      <c r="F276" s="34" t="str">
        <f t="shared" si="71"/>
        <v>C:\Users\jaime.benazar\Quorum Business Solutions\Ecopetrol Prometeo - Documents\Planning Space Implementation\3. Analysis &amp; Design\Design\FC22\DRR Jaime\Neiva CPI\[DINA TERCIARIOS_CF_SEC_New_27-Mar-2024.xlsx]D-PSDP'!</v>
      </c>
      <c r="G276" s="32" t="s">
        <v>112</v>
      </c>
      <c r="H276" s="33"/>
      <c r="I276" s="33"/>
      <c r="J276" s="37"/>
    </row>
    <row r="277" spans="1:10" x14ac:dyDescent="0.3">
      <c r="A277" s="32" t="s">
        <v>21</v>
      </c>
      <c r="B277" s="32">
        <f t="shared" si="72"/>
        <v>2032</v>
      </c>
      <c r="C277" s="33" t="s">
        <v>31</v>
      </c>
      <c r="D277" s="34" t="s">
        <v>2002</v>
      </c>
      <c r="E277" s="35" t="str">
        <f t="shared" si="70"/>
        <v>PSDP'!</v>
      </c>
      <c r="F277" s="34" t="str">
        <f t="shared" si="71"/>
        <v>C:\Users\jaime.benazar\Quorum Business Solutions\Ecopetrol Prometeo - Documents\Planning Space Implementation\3. Analysis &amp; Design\Design\FC22\DRR Jaime\Neiva CPI\[DINA TERCIARIOS_CF_SEC_New_27-Mar-2024.xlsx]D-PSDP'!</v>
      </c>
      <c r="G277" s="32" t="s">
        <v>112</v>
      </c>
      <c r="H277" s="33"/>
      <c r="I277" s="33"/>
      <c r="J277" s="37"/>
    </row>
    <row r="278" spans="1:10" x14ac:dyDescent="0.3">
      <c r="A278" s="32" t="s">
        <v>21</v>
      </c>
      <c r="B278" s="32">
        <f t="shared" si="72"/>
        <v>2033</v>
      </c>
      <c r="C278" s="33" t="s">
        <v>31</v>
      </c>
      <c r="D278" s="34" t="s">
        <v>2002</v>
      </c>
      <c r="E278" s="35" t="str">
        <f t="shared" si="70"/>
        <v>PSDP'!</v>
      </c>
      <c r="F278" s="34" t="str">
        <f t="shared" si="71"/>
        <v>C:\Users\jaime.benazar\Quorum Business Solutions\Ecopetrol Prometeo - Documents\Planning Space Implementation\3. Analysis &amp; Design\Design\FC22\DRR Jaime\Neiva CPI\[DINA TERCIARIOS_CF_SEC_New_27-Mar-2024.xlsx]D-PSDP'!</v>
      </c>
      <c r="G278" s="32" t="s">
        <v>112</v>
      </c>
      <c r="H278" s="33"/>
      <c r="I278" s="33"/>
      <c r="J278" s="37"/>
    </row>
    <row r="279" spans="1:10" x14ac:dyDescent="0.3">
      <c r="A279" s="32" t="s">
        <v>21</v>
      </c>
      <c r="B279" s="32">
        <f t="shared" si="72"/>
        <v>2034</v>
      </c>
      <c r="C279" s="33" t="s">
        <v>31</v>
      </c>
      <c r="D279" s="34" t="s">
        <v>2002</v>
      </c>
      <c r="E279" s="35" t="str">
        <f t="shared" si="70"/>
        <v>PSDP'!</v>
      </c>
      <c r="F279" s="34" t="str">
        <f t="shared" si="71"/>
        <v>C:\Users\jaime.benazar\Quorum Business Solutions\Ecopetrol Prometeo - Documents\Planning Space Implementation\3. Analysis &amp; Design\Design\FC22\DRR Jaime\Neiva CPI\[DINA TERCIARIOS_CF_SEC_New_27-Mar-2024.xlsx]D-PSDP'!</v>
      </c>
      <c r="G279" s="32" t="s">
        <v>112</v>
      </c>
      <c r="H279" s="33"/>
      <c r="I279" s="33"/>
      <c r="J279" s="37"/>
    </row>
    <row r="280" spans="1:10" x14ac:dyDescent="0.3">
      <c r="A280" s="32" t="s">
        <v>21</v>
      </c>
      <c r="B280" s="32">
        <f t="shared" si="72"/>
        <v>2035</v>
      </c>
      <c r="C280" s="33" t="s">
        <v>31</v>
      </c>
      <c r="D280" s="34" t="s">
        <v>2002</v>
      </c>
      <c r="E280" s="35" t="str">
        <f t="shared" si="70"/>
        <v>PSDP'!</v>
      </c>
      <c r="F280" s="34" t="str">
        <f t="shared" si="71"/>
        <v>C:\Users\jaime.benazar\Quorum Business Solutions\Ecopetrol Prometeo - Documents\Planning Space Implementation\3. Analysis &amp; Design\Design\FC22\DRR Jaime\Neiva CPI\[DINA TERCIARIOS_CF_SEC_New_27-Mar-2024.xlsx]D-PSDP'!</v>
      </c>
      <c r="G280" s="32" t="s">
        <v>112</v>
      </c>
      <c r="H280" s="33"/>
      <c r="I280" s="33"/>
      <c r="J280" s="37"/>
    </row>
    <row r="281" spans="1:10" x14ac:dyDescent="0.3">
      <c r="A281" s="32" t="s">
        <v>21</v>
      </c>
      <c r="B281" s="32">
        <f t="shared" si="72"/>
        <v>2036</v>
      </c>
      <c r="C281" s="33" t="s">
        <v>31</v>
      </c>
      <c r="D281" s="34" t="s">
        <v>2002</v>
      </c>
      <c r="E281" s="35" t="str">
        <f t="shared" si="70"/>
        <v>PSDP'!</v>
      </c>
      <c r="F281" s="34" t="str">
        <f t="shared" si="71"/>
        <v>C:\Users\jaime.benazar\Quorum Business Solutions\Ecopetrol Prometeo - Documents\Planning Space Implementation\3. Analysis &amp; Design\Design\FC22\DRR Jaime\Neiva CPI\[DINA TERCIARIOS_CF_SEC_New_27-Mar-2024.xlsx]D-PSDP'!</v>
      </c>
      <c r="G281" s="32" t="s">
        <v>112</v>
      </c>
      <c r="H281" s="33"/>
      <c r="I281" s="33"/>
      <c r="J281" s="37"/>
    </row>
    <row r="282" spans="1:10" x14ac:dyDescent="0.3">
      <c r="A282" s="32" t="s">
        <v>21</v>
      </c>
      <c r="B282" s="32">
        <f>+B281+1</f>
        <v>2037</v>
      </c>
      <c r="C282" s="33" t="s">
        <v>31</v>
      </c>
      <c r="D282" s="34" t="s">
        <v>2002</v>
      </c>
      <c r="E282" s="35" t="str">
        <f t="shared" si="70"/>
        <v>PSDP'!</v>
      </c>
      <c r="F282" s="34" t="str">
        <f t="shared" si="71"/>
        <v>C:\Users\jaime.benazar\Quorum Business Solutions\Ecopetrol Prometeo - Documents\Planning Space Implementation\3. Analysis &amp; Design\Design\FC22\DRR Jaime\Neiva CPI\[DINA TERCIARIOS_CF_SEC_New_27-Mar-2024.xlsx]D-PSDP'!</v>
      </c>
      <c r="G282" s="32" t="s">
        <v>112</v>
      </c>
      <c r="H282" s="33"/>
      <c r="I282" s="33"/>
      <c r="J282" s="37"/>
    </row>
    <row r="283" spans="1:10" x14ac:dyDescent="0.3">
      <c r="A283" s="32" t="s">
        <v>21</v>
      </c>
      <c r="B283" s="32">
        <f t="shared" ref="B283:B285" si="73">+B282+1</f>
        <v>2038</v>
      </c>
      <c r="C283" s="33" t="s">
        <v>31</v>
      </c>
      <c r="D283" s="34" t="s">
        <v>2002</v>
      </c>
      <c r="E283" s="35" t="str">
        <f t="shared" si="70"/>
        <v>PSDP'!</v>
      </c>
      <c r="F283" s="34" t="str">
        <f t="shared" si="71"/>
        <v>C:\Users\jaime.benazar\Quorum Business Solutions\Ecopetrol Prometeo - Documents\Planning Space Implementation\3. Analysis &amp; Design\Design\FC22\DRR Jaime\Neiva CPI\[DINA TERCIARIOS_CF_SEC_New_27-Mar-2024.xlsx]D-PSDP'!</v>
      </c>
      <c r="G283" s="32" t="s">
        <v>112</v>
      </c>
      <c r="H283" s="33"/>
      <c r="I283" s="33"/>
      <c r="J283" s="37"/>
    </row>
    <row r="284" spans="1:10" x14ac:dyDescent="0.3">
      <c r="A284" s="32" t="s">
        <v>21</v>
      </c>
      <c r="B284" s="32">
        <f t="shared" si="73"/>
        <v>2039</v>
      </c>
      <c r="C284" s="33" t="s">
        <v>31</v>
      </c>
      <c r="D284" s="34" t="s">
        <v>2002</v>
      </c>
      <c r="E284" s="35" t="str">
        <f t="shared" si="70"/>
        <v>PSDP'!</v>
      </c>
      <c r="F284" s="34" t="str">
        <f t="shared" si="71"/>
        <v>C:\Users\jaime.benazar\Quorum Business Solutions\Ecopetrol Prometeo - Documents\Planning Space Implementation\3. Analysis &amp; Design\Design\FC22\DRR Jaime\Neiva CPI\[DINA TERCIARIOS_CF_SEC_New_27-Mar-2024.xlsx]D-PSDP'!</v>
      </c>
      <c r="G284" s="32" t="s">
        <v>112</v>
      </c>
      <c r="H284" s="33"/>
      <c r="I284" s="33"/>
      <c r="J284" s="37"/>
    </row>
    <row r="285" spans="1:10" x14ac:dyDescent="0.3">
      <c r="A285" s="32" t="s">
        <v>21</v>
      </c>
      <c r="B285" s="32">
        <f t="shared" si="73"/>
        <v>2040</v>
      </c>
      <c r="C285" s="33" t="s">
        <v>31</v>
      </c>
      <c r="D285" s="34" t="s">
        <v>2002</v>
      </c>
      <c r="E285" s="35" t="str">
        <f t="shared" si="70"/>
        <v>PSDP'!</v>
      </c>
      <c r="F285" s="34" t="str">
        <f t="shared" si="71"/>
        <v>C:\Users\jaime.benazar\Quorum Business Solutions\Ecopetrol Prometeo - Documents\Planning Space Implementation\3. Analysis &amp; Design\Design\FC22\DRR Jaime\Neiva CPI\[DINA TERCIARIOS_CF_SEC_New_27-Mar-2024.xlsx]D-PSDP'!</v>
      </c>
      <c r="G285" s="32" t="s">
        <v>112</v>
      </c>
      <c r="H285" s="33"/>
      <c r="I285" s="33"/>
      <c r="J285" s="37"/>
    </row>
    <row r="286" spans="1:10" x14ac:dyDescent="0.3">
      <c r="A286" s="32" t="s">
        <v>21</v>
      </c>
      <c r="B286" s="32">
        <f>+B285+1</f>
        <v>2041</v>
      </c>
      <c r="C286" s="33" t="s">
        <v>31</v>
      </c>
      <c r="D286" s="34" t="s">
        <v>2002</v>
      </c>
      <c r="E286" s="35" t="str">
        <f t="shared" si="70"/>
        <v>PSDP'!</v>
      </c>
      <c r="F286" s="34" t="str">
        <f t="shared" si="71"/>
        <v>C:\Users\jaime.benazar\Quorum Business Solutions\Ecopetrol Prometeo - Documents\Planning Space Implementation\3. Analysis &amp; Design\Design\FC22\DRR Jaime\Neiva CPI\[DINA TERCIARIOS_CF_SEC_New_27-Mar-2024.xlsx]D-PSDP'!</v>
      </c>
      <c r="G286" s="32" t="s">
        <v>112</v>
      </c>
      <c r="H286" s="33"/>
      <c r="I286" s="33"/>
      <c r="J286" s="37"/>
    </row>
    <row r="287" spans="1:10" x14ac:dyDescent="0.3">
      <c r="A287" s="32" t="s">
        <v>21</v>
      </c>
      <c r="B287" s="32">
        <f t="shared" ref="B287:B288" si="74">+B286+1</f>
        <v>2042</v>
      </c>
      <c r="C287" s="33" t="s">
        <v>31</v>
      </c>
      <c r="D287" s="34" t="s">
        <v>2002</v>
      </c>
      <c r="E287" s="35" t="str">
        <f t="shared" si="70"/>
        <v>PSDP'!</v>
      </c>
      <c r="F287" s="34" t="str">
        <f t="shared" si="71"/>
        <v>C:\Users\jaime.benazar\Quorum Business Solutions\Ecopetrol Prometeo - Documents\Planning Space Implementation\3. Analysis &amp; Design\Design\FC22\DRR Jaime\Neiva CPI\[DINA TERCIARIOS_CF_SEC_New_27-Mar-2024.xlsx]D-PSDP'!</v>
      </c>
      <c r="G287" s="32" t="s">
        <v>112</v>
      </c>
      <c r="H287" s="33"/>
      <c r="I287" s="33"/>
      <c r="J287" s="37"/>
    </row>
    <row r="288" spans="1:10" x14ac:dyDescent="0.3">
      <c r="A288" s="32" t="s">
        <v>21</v>
      </c>
      <c r="B288" s="32">
        <f t="shared" si="74"/>
        <v>2043</v>
      </c>
      <c r="C288" s="33" t="s">
        <v>31</v>
      </c>
      <c r="D288" s="34" t="s">
        <v>2002</v>
      </c>
      <c r="E288" s="35" t="str">
        <f t="shared" si="70"/>
        <v>PSDP'!</v>
      </c>
      <c r="F288" s="34" t="str">
        <f t="shared" si="71"/>
        <v>C:\Users\jaime.benazar\Quorum Business Solutions\Ecopetrol Prometeo - Documents\Planning Space Implementation\3. Analysis &amp; Design\Design\FC22\DRR Jaime\Neiva CPI\[DINA TERCIARIOS_CF_SEC_New_27-Mar-2024.xlsx]D-PSDP'!</v>
      </c>
      <c r="G288" s="32" t="s">
        <v>112</v>
      </c>
      <c r="H288" s="33"/>
      <c r="I288" s="33"/>
      <c r="J288" s="37"/>
    </row>
    <row r="289" spans="1:10" x14ac:dyDescent="0.3">
      <c r="A289" s="32" t="s">
        <v>21</v>
      </c>
      <c r="B289" s="32">
        <f>+B288+1</f>
        <v>2044</v>
      </c>
      <c r="C289" s="33" t="s">
        <v>31</v>
      </c>
      <c r="D289" s="34" t="s">
        <v>2002</v>
      </c>
      <c r="E289" s="35" t="str">
        <f t="shared" ref="E289:E304" si="75">_xlfn.CONCAT(A289,"'!")</f>
        <v>PSDP'!</v>
      </c>
      <c r="F289" s="34" t="str">
        <f t="shared" ref="F289:F304" si="76">_xlfn.CONCAT(D289:E289)</f>
        <v>C:\Users\jaime.benazar\Quorum Business Solutions\Ecopetrol Prometeo - Documents\Planning Space Implementation\3. Analysis &amp; Design\Design\FC22\DRR Jaime\Neiva CPI\[DINA TERCIARIOS_CF_SEC_New_27-Mar-2024.xlsx]D-PSDP'!</v>
      </c>
      <c r="G289" s="32" t="s">
        <v>112</v>
      </c>
      <c r="H289" s="33"/>
      <c r="I289" s="33"/>
      <c r="J289" s="37"/>
    </row>
    <row r="290" spans="1:10" x14ac:dyDescent="0.3">
      <c r="A290" s="32" t="s">
        <v>21</v>
      </c>
      <c r="B290" s="32">
        <f t="shared" ref="B290:B304" si="77">+B289+1</f>
        <v>2045</v>
      </c>
      <c r="C290" s="33" t="s">
        <v>31</v>
      </c>
      <c r="D290" s="34" t="s">
        <v>2002</v>
      </c>
      <c r="E290" s="35" t="str">
        <f t="shared" si="75"/>
        <v>PSDP'!</v>
      </c>
      <c r="F290" s="34" t="str">
        <f t="shared" si="76"/>
        <v>C:\Users\jaime.benazar\Quorum Business Solutions\Ecopetrol Prometeo - Documents\Planning Space Implementation\3. Analysis &amp; Design\Design\FC22\DRR Jaime\Neiva CPI\[DINA TERCIARIOS_CF_SEC_New_27-Mar-2024.xlsx]D-PSDP'!</v>
      </c>
      <c r="G290" s="32" t="s">
        <v>112</v>
      </c>
      <c r="H290" s="33"/>
      <c r="I290" s="33"/>
      <c r="J290" s="37"/>
    </row>
    <row r="291" spans="1:10" x14ac:dyDescent="0.3">
      <c r="A291" s="32" t="s">
        <v>21</v>
      </c>
      <c r="B291" s="32">
        <f t="shared" si="77"/>
        <v>2046</v>
      </c>
      <c r="C291" s="33" t="s">
        <v>31</v>
      </c>
      <c r="D291" s="34" t="s">
        <v>2002</v>
      </c>
      <c r="E291" s="35" t="str">
        <f t="shared" si="75"/>
        <v>PSDP'!</v>
      </c>
      <c r="F291" s="34" t="str">
        <f t="shared" si="76"/>
        <v>C:\Users\jaime.benazar\Quorum Business Solutions\Ecopetrol Prometeo - Documents\Planning Space Implementation\3. Analysis &amp; Design\Design\FC22\DRR Jaime\Neiva CPI\[DINA TERCIARIOS_CF_SEC_New_27-Mar-2024.xlsx]D-PSDP'!</v>
      </c>
      <c r="G291" s="32" t="s">
        <v>112</v>
      </c>
      <c r="H291" s="33"/>
      <c r="I291" s="33"/>
      <c r="J291" s="37"/>
    </row>
    <row r="292" spans="1:10" x14ac:dyDescent="0.3">
      <c r="A292" s="32" t="s">
        <v>21</v>
      </c>
      <c r="B292" s="32">
        <f t="shared" si="77"/>
        <v>2047</v>
      </c>
      <c r="C292" s="33" t="s">
        <v>31</v>
      </c>
      <c r="D292" s="34" t="s">
        <v>2002</v>
      </c>
      <c r="E292" s="35" t="str">
        <f t="shared" si="75"/>
        <v>PSDP'!</v>
      </c>
      <c r="F292" s="34" t="str">
        <f t="shared" si="76"/>
        <v>C:\Users\jaime.benazar\Quorum Business Solutions\Ecopetrol Prometeo - Documents\Planning Space Implementation\3. Analysis &amp; Design\Design\FC22\DRR Jaime\Neiva CPI\[DINA TERCIARIOS_CF_SEC_New_27-Mar-2024.xlsx]D-PSDP'!</v>
      </c>
      <c r="G292" s="32" t="s">
        <v>112</v>
      </c>
      <c r="H292" s="33"/>
      <c r="I292" s="33"/>
      <c r="J292" s="37"/>
    </row>
    <row r="293" spans="1:10" x14ac:dyDescent="0.3">
      <c r="A293" s="32" t="s">
        <v>21</v>
      </c>
      <c r="B293" s="32">
        <f t="shared" si="77"/>
        <v>2048</v>
      </c>
      <c r="C293" s="33" t="s">
        <v>31</v>
      </c>
      <c r="D293" s="34" t="s">
        <v>2002</v>
      </c>
      <c r="E293" s="35" t="str">
        <f t="shared" si="75"/>
        <v>PSDP'!</v>
      </c>
      <c r="F293" s="34" t="str">
        <f t="shared" si="76"/>
        <v>C:\Users\jaime.benazar\Quorum Business Solutions\Ecopetrol Prometeo - Documents\Planning Space Implementation\3. Analysis &amp; Design\Design\FC22\DRR Jaime\Neiva CPI\[DINA TERCIARIOS_CF_SEC_New_27-Mar-2024.xlsx]D-PSDP'!</v>
      </c>
      <c r="G293" s="32" t="s">
        <v>112</v>
      </c>
      <c r="H293" s="33"/>
      <c r="I293" s="33"/>
      <c r="J293" s="37"/>
    </row>
    <row r="294" spans="1:10" x14ac:dyDescent="0.3">
      <c r="A294" s="32" t="s">
        <v>21</v>
      </c>
      <c r="B294" s="32">
        <f t="shared" si="77"/>
        <v>2049</v>
      </c>
      <c r="C294" s="33" t="s">
        <v>31</v>
      </c>
      <c r="D294" s="34" t="s">
        <v>2002</v>
      </c>
      <c r="E294" s="35" t="str">
        <f t="shared" si="75"/>
        <v>PSDP'!</v>
      </c>
      <c r="F294" s="34" t="str">
        <f t="shared" si="76"/>
        <v>C:\Users\jaime.benazar\Quorum Business Solutions\Ecopetrol Prometeo - Documents\Planning Space Implementation\3. Analysis &amp; Design\Design\FC22\DRR Jaime\Neiva CPI\[DINA TERCIARIOS_CF_SEC_New_27-Mar-2024.xlsx]D-PSDP'!</v>
      </c>
      <c r="G294" s="32" t="s">
        <v>112</v>
      </c>
      <c r="H294" s="33"/>
      <c r="I294" s="33"/>
      <c r="J294" s="37"/>
    </row>
    <row r="295" spans="1:10" x14ac:dyDescent="0.3">
      <c r="A295" s="32" t="s">
        <v>21</v>
      </c>
      <c r="B295" s="32">
        <f t="shared" si="77"/>
        <v>2050</v>
      </c>
      <c r="C295" s="33" t="s">
        <v>31</v>
      </c>
      <c r="D295" s="34" t="s">
        <v>2002</v>
      </c>
      <c r="E295" s="35" t="str">
        <f t="shared" si="75"/>
        <v>PSDP'!</v>
      </c>
      <c r="F295" s="34" t="str">
        <f t="shared" si="76"/>
        <v>C:\Users\jaime.benazar\Quorum Business Solutions\Ecopetrol Prometeo - Documents\Planning Space Implementation\3. Analysis &amp; Design\Design\FC22\DRR Jaime\Neiva CPI\[DINA TERCIARIOS_CF_SEC_New_27-Mar-2024.xlsx]D-PSDP'!</v>
      </c>
      <c r="G295" s="32" t="s">
        <v>112</v>
      </c>
      <c r="H295" s="33"/>
      <c r="I295" s="33"/>
      <c r="J295" s="37"/>
    </row>
    <row r="296" spans="1:10" x14ac:dyDescent="0.3">
      <c r="A296" s="32" t="s">
        <v>21</v>
      </c>
      <c r="B296" s="32">
        <f t="shared" si="77"/>
        <v>2051</v>
      </c>
      <c r="C296" s="33" t="s">
        <v>31</v>
      </c>
      <c r="D296" s="34" t="s">
        <v>2002</v>
      </c>
      <c r="E296" s="35" t="str">
        <f t="shared" si="75"/>
        <v>PSDP'!</v>
      </c>
      <c r="F296" s="34" t="str">
        <f t="shared" si="76"/>
        <v>C:\Users\jaime.benazar\Quorum Business Solutions\Ecopetrol Prometeo - Documents\Planning Space Implementation\3. Analysis &amp; Design\Design\FC22\DRR Jaime\Neiva CPI\[DINA TERCIARIOS_CF_SEC_New_27-Mar-2024.xlsx]D-PSDP'!</v>
      </c>
      <c r="G296" s="32" t="s">
        <v>112</v>
      </c>
      <c r="H296" s="33"/>
      <c r="I296" s="33"/>
      <c r="J296" s="37"/>
    </row>
    <row r="297" spans="1:10" x14ac:dyDescent="0.3">
      <c r="A297" s="32" t="s">
        <v>21</v>
      </c>
      <c r="B297" s="32">
        <f t="shared" si="77"/>
        <v>2052</v>
      </c>
      <c r="C297" s="33" t="s">
        <v>31</v>
      </c>
      <c r="D297" s="34" t="s">
        <v>2002</v>
      </c>
      <c r="E297" s="35" t="str">
        <f t="shared" si="75"/>
        <v>PSDP'!</v>
      </c>
      <c r="F297" s="34" t="str">
        <f t="shared" si="76"/>
        <v>C:\Users\jaime.benazar\Quorum Business Solutions\Ecopetrol Prometeo - Documents\Planning Space Implementation\3. Analysis &amp; Design\Design\FC22\DRR Jaime\Neiva CPI\[DINA TERCIARIOS_CF_SEC_New_27-Mar-2024.xlsx]D-PSDP'!</v>
      </c>
      <c r="G297" s="32" t="s">
        <v>112</v>
      </c>
      <c r="H297" s="33"/>
      <c r="I297" s="33"/>
      <c r="J297" s="37"/>
    </row>
    <row r="298" spans="1:10" x14ac:dyDescent="0.3">
      <c r="A298" s="32" t="s">
        <v>21</v>
      </c>
      <c r="B298" s="32">
        <f t="shared" si="77"/>
        <v>2053</v>
      </c>
      <c r="C298" s="33" t="s">
        <v>31</v>
      </c>
      <c r="D298" s="34" t="s">
        <v>2002</v>
      </c>
      <c r="E298" s="35" t="str">
        <f t="shared" si="75"/>
        <v>PSDP'!</v>
      </c>
      <c r="F298" s="34" t="str">
        <f t="shared" si="76"/>
        <v>C:\Users\jaime.benazar\Quorum Business Solutions\Ecopetrol Prometeo - Documents\Planning Space Implementation\3. Analysis &amp; Design\Design\FC22\DRR Jaime\Neiva CPI\[DINA TERCIARIOS_CF_SEC_New_27-Mar-2024.xlsx]D-PSDP'!</v>
      </c>
      <c r="G298" s="32" t="s">
        <v>112</v>
      </c>
      <c r="H298" s="33"/>
      <c r="I298" s="33"/>
      <c r="J298" s="37"/>
    </row>
    <row r="299" spans="1:10" x14ac:dyDescent="0.3">
      <c r="A299" s="32" t="s">
        <v>21</v>
      </c>
      <c r="B299" s="32">
        <f t="shared" si="77"/>
        <v>2054</v>
      </c>
      <c r="C299" s="33" t="s">
        <v>31</v>
      </c>
      <c r="D299" s="34" t="s">
        <v>2002</v>
      </c>
      <c r="E299" s="35" t="str">
        <f t="shared" si="75"/>
        <v>PSDP'!</v>
      </c>
      <c r="F299" s="34" t="str">
        <f t="shared" si="76"/>
        <v>C:\Users\jaime.benazar\Quorum Business Solutions\Ecopetrol Prometeo - Documents\Planning Space Implementation\3. Analysis &amp; Design\Design\FC22\DRR Jaime\Neiva CPI\[DINA TERCIARIOS_CF_SEC_New_27-Mar-2024.xlsx]D-PSDP'!</v>
      </c>
      <c r="G299" s="32" t="s">
        <v>112</v>
      </c>
      <c r="H299" s="33"/>
      <c r="I299" s="33"/>
      <c r="J299" s="37"/>
    </row>
    <row r="300" spans="1:10" x14ac:dyDescent="0.3">
      <c r="A300" s="32" t="s">
        <v>21</v>
      </c>
      <c r="B300" s="32">
        <f t="shared" si="77"/>
        <v>2055</v>
      </c>
      <c r="C300" s="33" t="s">
        <v>31</v>
      </c>
      <c r="D300" s="34" t="s">
        <v>2002</v>
      </c>
      <c r="E300" s="35" t="str">
        <f t="shared" si="75"/>
        <v>PSDP'!</v>
      </c>
      <c r="F300" s="34" t="str">
        <f t="shared" si="76"/>
        <v>C:\Users\jaime.benazar\Quorum Business Solutions\Ecopetrol Prometeo - Documents\Planning Space Implementation\3. Analysis &amp; Design\Design\FC22\DRR Jaime\Neiva CPI\[DINA TERCIARIOS_CF_SEC_New_27-Mar-2024.xlsx]D-PSDP'!</v>
      </c>
      <c r="G300" s="32" t="s">
        <v>112</v>
      </c>
      <c r="H300" s="33"/>
      <c r="I300" s="33"/>
      <c r="J300" s="37"/>
    </row>
    <row r="301" spans="1:10" x14ac:dyDescent="0.3">
      <c r="A301" s="32" t="s">
        <v>21</v>
      </c>
      <c r="B301" s="32">
        <f t="shared" si="77"/>
        <v>2056</v>
      </c>
      <c r="C301" s="33" t="s">
        <v>31</v>
      </c>
      <c r="D301" s="34" t="s">
        <v>2002</v>
      </c>
      <c r="E301" s="35" t="str">
        <f t="shared" si="75"/>
        <v>PSDP'!</v>
      </c>
      <c r="F301" s="34" t="str">
        <f t="shared" si="76"/>
        <v>C:\Users\jaime.benazar\Quorum Business Solutions\Ecopetrol Prometeo - Documents\Planning Space Implementation\3. Analysis &amp; Design\Design\FC22\DRR Jaime\Neiva CPI\[DINA TERCIARIOS_CF_SEC_New_27-Mar-2024.xlsx]D-PSDP'!</v>
      </c>
      <c r="G301" s="32" t="s">
        <v>112</v>
      </c>
      <c r="H301" s="33"/>
      <c r="I301" s="33"/>
      <c r="J301" s="37"/>
    </row>
    <row r="302" spans="1:10" x14ac:dyDescent="0.3">
      <c r="A302" s="32" t="s">
        <v>21</v>
      </c>
      <c r="B302" s="32">
        <f t="shared" si="77"/>
        <v>2057</v>
      </c>
      <c r="C302" s="33" t="s">
        <v>31</v>
      </c>
      <c r="D302" s="34" t="s">
        <v>2002</v>
      </c>
      <c r="E302" s="35" t="str">
        <f t="shared" si="75"/>
        <v>PSDP'!</v>
      </c>
      <c r="F302" s="34" t="str">
        <f t="shared" si="76"/>
        <v>C:\Users\jaime.benazar\Quorum Business Solutions\Ecopetrol Prometeo - Documents\Planning Space Implementation\3. Analysis &amp; Design\Design\FC22\DRR Jaime\Neiva CPI\[DINA TERCIARIOS_CF_SEC_New_27-Mar-2024.xlsx]D-PSDP'!</v>
      </c>
      <c r="G302" s="32" t="s">
        <v>112</v>
      </c>
      <c r="H302" s="33"/>
      <c r="I302" s="33"/>
      <c r="J302" s="37"/>
    </row>
    <row r="303" spans="1:10" x14ac:dyDescent="0.3">
      <c r="A303" s="32" t="s">
        <v>21</v>
      </c>
      <c r="B303" s="32">
        <f t="shared" si="77"/>
        <v>2058</v>
      </c>
      <c r="C303" s="33" t="s">
        <v>31</v>
      </c>
      <c r="D303" s="34" t="s">
        <v>2002</v>
      </c>
      <c r="E303" s="35" t="str">
        <f t="shared" si="75"/>
        <v>PSDP'!</v>
      </c>
      <c r="F303" s="34" t="str">
        <f t="shared" si="76"/>
        <v>C:\Users\jaime.benazar\Quorum Business Solutions\Ecopetrol Prometeo - Documents\Planning Space Implementation\3. Analysis &amp; Design\Design\FC22\DRR Jaime\Neiva CPI\[DINA TERCIARIOS_CF_SEC_New_27-Mar-2024.xlsx]D-PSDP'!</v>
      </c>
      <c r="G303" s="32" t="s">
        <v>112</v>
      </c>
      <c r="H303" s="33"/>
      <c r="I303" s="33"/>
      <c r="J303" s="37"/>
    </row>
    <row r="304" spans="1:10" x14ac:dyDescent="0.3">
      <c r="A304" s="32" t="s">
        <v>21</v>
      </c>
      <c r="B304" s="32">
        <f t="shared" si="77"/>
        <v>2059</v>
      </c>
      <c r="C304" s="33" t="s">
        <v>31</v>
      </c>
      <c r="D304" s="34" t="s">
        <v>2002</v>
      </c>
      <c r="E304" s="35" t="str">
        <f t="shared" si="75"/>
        <v>PSDP'!</v>
      </c>
      <c r="F304" s="34" t="str">
        <f t="shared" si="76"/>
        <v>C:\Users\jaime.benazar\Quorum Business Solutions\Ecopetrol Prometeo - Documents\Planning Space Implementation\3. Analysis &amp; Design\Design\FC22\DRR Jaime\Neiva CPI\[DINA TERCIARIOS_CF_SEC_New_27-Mar-2024.xlsx]D-PSDP'!</v>
      </c>
      <c r="G304" s="32" t="s">
        <v>112</v>
      </c>
      <c r="H304" s="33"/>
      <c r="I304" s="33"/>
      <c r="J304" s="37"/>
    </row>
    <row r="305" spans="1:10" x14ac:dyDescent="0.3">
      <c r="A305" s="32" t="s">
        <v>26</v>
      </c>
      <c r="B305" s="32"/>
      <c r="C305" s="33" t="s">
        <v>31</v>
      </c>
      <c r="D305" s="34"/>
      <c r="E305" s="35"/>
      <c r="F305" s="34"/>
      <c r="G305" s="32"/>
      <c r="H305" s="33"/>
      <c r="I305" s="33"/>
      <c r="J305" s="33"/>
    </row>
    <row r="306" spans="1:10" x14ac:dyDescent="0.3">
      <c r="A306" s="32" t="s">
        <v>22</v>
      </c>
      <c r="B306" s="32">
        <v>2023</v>
      </c>
      <c r="C306" s="33" t="s">
        <v>31</v>
      </c>
      <c r="D306" s="34" t="s">
        <v>2002</v>
      </c>
      <c r="E306" s="35" t="str">
        <f t="shared" ref="E306:E326" si="78">_xlfn.CONCAT(A306,"'!")</f>
        <v>PSNP'!</v>
      </c>
      <c r="F306" s="34" t="str">
        <f t="shared" ref="F306:F326" si="79">_xlfn.CONCAT(D306:E306)</f>
        <v>C:\Users\jaime.benazar\Quorum Business Solutions\Ecopetrol Prometeo - Documents\Planning Space Implementation\3. Analysis &amp; Design\Design\FC22\DRR Jaime\Neiva CPI\[DINA TERCIARIOS_CF_SEC_New_27-Mar-2024.xlsx]D-PSNP'!</v>
      </c>
      <c r="G306" s="32" t="s">
        <v>112</v>
      </c>
      <c r="H306" s="33"/>
      <c r="I306" s="33"/>
      <c r="J306" s="37"/>
    </row>
    <row r="307" spans="1:10" x14ac:dyDescent="0.3">
      <c r="A307" s="32" t="s">
        <v>22</v>
      </c>
      <c r="B307" s="32">
        <f>+B306+1</f>
        <v>2024</v>
      </c>
      <c r="C307" s="33" t="s">
        <v>31</v>
      </c>
      <c r="D307" s="34" t="s">
        <v>2002</v>
      </c>
      <c r="E307" s="35" t="str">
        <f t="shared" si="78"/>
        <v>PSNP'!</v>
      </c>
      <c r="F307" s="34" t="str">
        <f t="shared" si="79"/>
        <v>C:\Users\jaime.benazar\Quorum Business Solutions\Ecopetrol Prometeo - Documents\Planning Space Implementation\3. Analysis &amp; Design\Design\FC22\DRR Jaime\Neiva CPI\[DINA TERCIARIOS_CF_SEC_New_27-Mar-2024.xlsx]D-PSNP'!</v>
      </c>
      <c r="G307" s="32" t="s">
        <v>112</v>
      </c>
      <c r="H307" s="33"/>
      <c r="I307" s="33"/>
      <c r="J307" s="37"/>
    </row>
    <row r="308" spans="1:10" x14ac:dyDescent="0.3">
      <c r="A308" s="32" t="s">
        <v>22</v>
      </c>
      <c r="B308" s="32">
        <f t="shared" ref="B308:B319" si="80">+B307+1</f>
        <v>2025</v>
      </c>
      <c r="C308" s="33" t="s">
        <v>31</v>
      </c>
      <c r="D308" s="34" t="s">
        <v>2002</v>
      </c>
      <c r="E308" s="35" t="str">
        <f t="shared" si="78"/>
        <v>PSNP'!</v>
      </c>
      <c r="F308" s="34" t="str">
        <f t="shared" si="79"/>
        <v>C:\Users\jaime.benazar\Quorum Business Solutions\Ecopetrol Prometeo - Documents\Planning Space Implementation\3. Analysis &amp; Design\Design\FC22\DRR Jaime\Neiva CPI\[DINA TERCIARIOS_CF_SEC_New_27-Mar-2024.xlsx]D-PSNP'!</v>
      </c>
      <c r="G308" s="32" t="s">
        <v>112</v>
      </c>
      <c r="H308" s="33"/>
      <c r="I308" s="33"/>
      <c r="J308" s="37"/>
    </row>
    <row r="309" spans="1:10" x14ac:dyDescent="0.3">
      <c r="A309" s="32" t="s">
        <v>22</v>
      </c>
      <c r="B309" s="32">
        <f t="shared" si="80"/>
        <v>2026</v>
      </c>
      <c r="C309" s="33" t="s">
        <v>31</v>
      </c>
      <c r="D309" s="34" t="s">
        <v>2002</v>
      </c>
      <c r="E309" s="35" t="str">
        <f t="shared" si="78"/>
        <v>PSNP'!</v>
      </c>
      <c r="F309" s="34" t="str">
        <f t="shared" si="79"/>
        <v>C:\Users\jaime.benazar\Quorum Business Solutions\Ecopetrol Prometeo - Documents\Planning Space Implementation\3. Analysis &amp; Design\Design\FC22\DRR Jaime\Neiva CPI\[DINA TERCIARIOS_CF_SEC_New_27-Mar-2024.xlsx]D-PSNP'!</v>
      </c>
      <c r="G309" s="32" t="s">
        <v>112</v>
      </c>
      <c r="H309" s="33"/>
      <c r="I309" s="33"/>
      <c r="J309" s="37"/>
    </row>
    <row r="310" spans="1:10" x14ac:dyDescent="0.3">
      <c r="A310" s="32" t="s">
        <v>22</v>
      </c>
      <c r="B310" s="32">
        <f t="shared" si="80"/>
        <v>2027</v>
      </c>
      <c r="C310" s="33" t="s">
        <v>31</v>
      </c>
      <c r="D310" s="34" t="s">
        <v>2002</v>
      </c>
      <c r="E310" s="35" t="str">
        <f t="shared" si="78"/>
        <v>PSNP'!</v>
      </c>
      <c r="F310" s="34" t="str">
        <f t="shared" si="79"/>
        <v>C:\Users\jaime.benazar\Quorum Business Solutions\Ecopetrol Prometeo - Documents\Planning Space Implementation\3. Analysis &amp; Design\Design\FC22\DRR Jaime\Neiva CPI\[DINA TERCIARIOS_CF_SEC_New_27-Mar-2024.xlsx]D-PSNP'!</v>
      </c>
      <c r="G310" s="32" t="s">
        <v>112</v>
      </c>
      <c r="H310" s="33"/>
      <c r="I310" s="33"/>
      <c r="J310" s="37"/>
    </row>
    <row r="311" spans="1:10" x14ac:dyDescent="0.3">
      <c r="A311" s="32" t="s">
        <v>22</v>
      </c>
      <c r="B311" s="32">
        <f t="shared" si="80"/>
        <v>2028</v>
      </c>
      <c r="C311" s="33" t="s">
        <v>31</v>
      </c>
      <c r="D311" s="34" t="s">
        <v>2002</v>
      </c>
      <c r="E311" s="35" t="str">
        <f t="shared" si="78"/>
        <v>PSNP'!</v>
      </c>
      <c r="F311" s="34" t="str">
        <f t="shared" si="79"/>
        <v>C:\Users\jaime.benazar\Quorum Business Solutions\Ecopetrol Prometeo - Documents\Planning Space Implementation\3. Analysis &amp; Design\Design\FC22\DRR Jaime\Neiva CPI\[DINA TERCIARIOS_CF_SEC_New_27-Mar-2024.xlsx]D-PSNP'!</v>
      </c>
      <c r="G311" s="32" t="s">
        <v>112</v>
      </c>
      <c r="H311" s="33"/>
      <c r="I311" s="33"/>
      <c r="J311" s="37"/>
    </row>
    <row r="312" spans="1:10" x14ac:dyDescent="0.3">
      <c r="A312" s="32" t="s">
        <v>22</v>
      </c>
      <c r="B312" s="32">
        <f t="shared" si="80"/>
        <v>2029</v>
      </c>
      <c r="C312" s="33" t="s">
        <v>31</v>
      </c>
      <c r="D312" s="34" t="s">
        <v>2002</v>
      </c>
      <c r="E312" s="35" t="str">
        <f t="shared" si="78"/>
        <v>PSNP'!</v>
      </c>
      <c r="F312" s="34" t="str">
        <f t="shared" si="79"/>
        <v>C:\Users\jaime.benazar\Quorum Business Solutions\Ecopetrol Prometeo - Documents\Planning Space Implementation\3. Analysis &amp; Design\Design\FC22\DRR Jaime\Neiva CPI\[DINA TERCIARIOS_CF_SEC_New_27-Mar-2024.xlsx]D-PSNP'!</v>
      </c>
      <c r="G312" s="32" t="s">
        <v>112</v>
      </c>
      <c r="H312" s="33"/>
      <c r="I312" s="33"/>
      <c r="J312" s="37"/>
    </row>
    <row r="313" spans="1:10" x14ac:dyDescent="0.3">
      <c r="A313" s="32" t="s">
        <v>22</v>
      </c>
      <c r="B313" s="32">
        <f t="shared" si="80"/>
        <v>2030</v>
      </c>
      <c r="C313" s="33" t="s">
        <v>31</v>
      </c>
      <c r="D313" s="34" t="s">
        <v>2002</v>
      </c>
      <c r="E313" s="35" t="str">
        <f t="shared" si="78"/>
        <v>PSNP'!</v>
      </c>
      <c r="F313" s="34" t="str">
        <f t="shared" si="79"/>
        <v>C:\Users\jaime.benazar\Quorum Business Solutions\Ecopetrol Prometeo - Documents\Planning Space Implementation\3. Analysis &amp; Design\Design\FC22\DRR Jaime\Neiva CPI\[DINA TERCIARIOS_CF_SEC_New_27-Mar-2024.xlsx]D-PSNP'!</v>
      </c>
      <c r="G313" s="32" t="s">
        <v>112</v>
      </c>
      <c r="H313" s="33"/>
      <c r="I313" s="33"/>
      <c r="J313" s="37"/>
    </row>
    <row r="314" spans="1:10" x14ac:dyDescent="0.3">
      <c r="A314" s="32" t="s">
        <v>22</v>
      </c>
      <c r="B314" s="32">
        <f t="shared" si="80"/>
        <v>2031</v>
      </c>
      <c r="C314" s="33" t="s">
        <v>31</v>
      </c>
      <c r="D314" s="34" t="s">
        <v>2002</v>
      </c>
      <c r="E314" s="35" t="str">
        <f t="shared" si="78"/>
        <v>PSNP'!</v>
      </c>
      <c r="F314" s="34" t="str">
        <f t="shared" si="79"/>
        <v>C:\Users\jaime.benazar\Quorum Business Solutions\Ecopetrol Prometeo - Documents\Planning Space Implementation\3. Analysis &amp; Design\Design\FC22\DRR Jaime\Neiva CPI\[DINA TERCIARIOS_CF_SEC_New_27-Mar-2024.xlsx]D-PSNP'!</v>
      </c>
      <c r="G314" s="32" t="s">
        <v>112</v>
      </c>
      <c r="H314" s="33"/>
      <c r="I314" s="33"/>
      <c r="J314" s="37"/>
    </row>
    <row r="315" spans="1:10" x14ac:dyDescent="0.3">
      <c r="A315" s="32" t="s">
        <v>22</v>
      </c>
      <c r="B315" s="32">
        <f t="shared" si="80"/>
        <v>2032</v>
      </c>
      <c r="C315" s="33" t="s">
        <v>31</v>
      </c>
      <c r="D315" s="34" t="s">
        <v>2002</v>
      </c>
      <c r="E315" s="35" t="str">
        <f t="shared" si="78"/>
        <v>PSNP'!</v>
      </c>
      <c r="F315" s="34" t="str">
        <f t="shared" si="79"/>
        <v>C:\Users\jaime.benazar\Quorum Business Solutions\Ecopetrol Prometeo - Documents\Planning Space Implementation\3. Analysis &amp; Design\Design\FC22\DRR Jaime\Neiva CPI\[DINA TERCIARIOS_CF_SEC_New_27-Mar-2024.xlsx]D-PSNP'!</v>
      </c>
      <c r="G315" s="32" t="s">
        <v>112</v>
      </c>
      <c r="H315" s="33"/>
      <c r="I315" s="33"/>
      <c r="J315" s="37"/>
    </row>
    <row r="316" spans="1:10" x14ac:dyDescent="0.3">
      <c r="A316" s="32" t="s">
        <v>22</v>
      </c>
      <c r="B316" s="32">
        <f t="shared" si="80"/>
        <v>2033</v>
      </c>
      <c r="C316" s="33" t="s">
        <v>31</v>
      </c>
      <c r="D316" s="34" t="s">
        <v>2002</v>
      </c>
      <c r="E316" s="35" t="str">
        <f t="shared" si="78"/>
        <v>PSNP'!</v>
      </c>
      <c r="F316" s="34" t="str">
        <f t="shared" si="79"/>
        <v>C:\Users\jaime.benazar\Quorum Business Solutions\Ecopetrol Prometeo - Documents\Planning Space Implementation\3. Analysis &amp; Design\Design\FC22\DRR Jaime\Neiva CPI\[DINA TERCIARIOS_CF_SEC_New_27-Mar-2024.xlsx]D-PSNP'!</v>
      </c>
      <c r="G316" s="32" t="s">
        <v>112</v>
      </c>
      <c r="H316" s="33"/>
      <c r="I316" s="33"/>
      <c r="J316" s="37"/>
    </row>
    <row r="317" spans="1:10" x14ac:dyDescent="0.3">
      <c r="A317" s="32" t="s">
        <v>22</v>
      </c>
      <c r="B317" s="32">
        <f t="shared" si="80"/>
        <v>2034</v>
      </c>
      <c r="C317" s="33" t="s">
        <v>31</v>
      </c>
      <c r="D317" s="34" t="s">
        <v>2002</v>
      </c>
      <c r="E317" s="35" t="str">
        <f t="shared" si="78"/>
        <v>PSNP'!</v>
      </c>
      <c r="F317" s="34" t="str">
        <f t="shared" si="79"/>
        <v>C:\Users\jaime.benazar\Quorum Business Solutions\Ecopetrol Prometeo - Documents\Planning Space Implementation\3. Analysis &amp; Design\Design\FC22\DRR Jaime\Neiva CPI\[DINA TERCIARIOS_CF_SEC_New_27-Mar-2024.xlsx]D-PSNP'!</v>
      </c>
      <c r="G317" s="32" t="s">
        <v>112</v>
      </c>
      <c r="H317" s="33"/>
      <c r="I317" s="33"/>
      <c r="J317" s="37"/>
    </row>
    <row r="318" spans="1:10" x14ac:dyDescent="0.3">
      <c r="A318" s="32" t="s">
        <v>22</v>
      </c>
      <c r="B318" s="32">
        <f t="shared" si="80"/>
        <v>2035</v>
      </c>
      <c r="C318" s="33" t="s">
        <v>31</v>
      </c>
      <c r="D318" s="34" t="s">
        <v>2002</v>
      </c>
      <c r="E318" s="35" t="str">
        <f t="shared" si="78"/>
        <v>PSNP'!</v>
      </c>
      <c r="F318" s="34" t="str">
        <f t="shared" si="79"/>
        <v>C:\Users\jaime.benazar\Quorum Business Solutions\Ecopetrol Prometeo - Documents\Planning Space Implementation\3. Analysis &amp; Design\Design\FC22\DRR Jaime\Neiva CPI\[DINA TERCIARIOS_CF_SEC_New_27-Mar-2024.xlsx]D-PSNP'!</v>
      </c>
      <c r="G318" s="32" t="s">
        <v>112</v>
      </c>
      <c r="H318" s="33"/>
      <c r="I318" s="33"/>
      <c r="J318" s="37"/>
    </row>
    <row r="319" spans="1:10" x14ac:dyDescent="0.3">
      <c r="A319" s="32" t="s">
        <v>22</v>
      </c>
      <c r="B319" s="32">
        <f t="shared" si="80"/>
        <v>2036</v>
      </c>
      <c r="C319" s="33" t="s">
        <v>31</v>
      </c>
      <c r="D319" s="34" t="s">
        <v>2002</v>
      </c>
      <c r="E319" s="35" t="str">
        <f t="shared" si="78"/>
        <v>PSNP'!</v>
      </c>
      <c r="F319" s="34" t="str">
        <f t="shared" si="79"/>
        <v>C:\Users\jaime.benazar\Quorum Business Solutions\Ecopetrol Prometeo - Documents\Planning Space Implementation\3. Analysis &amp; Design\Design\FC22\DRR Jaime\Neiva CPI\[DINA TERCIARIOS_CF_SEC_New_27-Mar-2024.xlsx]D-PSNP'!</v>
      </c>
      <c r="G319" s="32" t="s">
        <v>112</v>
      </c>
      <c r="H319" s="33"/>
      <c r="I319" s="33"/>
      <c r="J319" s="37"/>
    </row>
    <row r="320" spans="1:10" x14ac:dyDescent="0.3">
      <c r="A320" s="32" t="s">
        <v>22</v>
      </c>
      <c r="B320" s="32">
        <f>+B319+1</f>
        <v>2037</v>
      </c>
      <c r="C320" s="33" t="s">
        <v>31</v>
      </c>
      <c r="D320" s="34" t="s">
        <v>2002</v>
      </c>
      <c r="E320" s="35" t="str">
        <f t="shared" si="78"/>
        <v>PSNP'!</v>
      </c>
      <c r="F320" s="34" t="str">
        <f t="shared" si="79"/>
        <v>C:\Users\jaime.benazar\Quorum Business Solutions\Ecopetrol Prometeo - Documents\Planning Space Implementation\3. Analysis &amp; Design\Design\FC22\DRR Jaime\Neiva CPI\[DINA TERCIARIOS_CF_SEC_New_27-Mar-2024.xlsx]D-PSNP'!</v>
      </c>
      <c r="G320" s="32" t="s">
        <v>112</v>
      </c>
      <c r="H320" s="33"/>
      <c r="I320" s="33"/>
      <c r="J320" s="37"/>
    </row>
    <row r="321" spans="1:10" x14ac:dyDescent="0.3">
      <c r="A321" s="32" t="s">
        <v>22</v>
      </c>
      <c r="B321" s="32">
        <f t="shared" ref="B321:B323" si="81">+B320+1</f>
        <v>2038</v>
      </c>
      <c r="C321" s="33" t="s">
        <v>31</v>
      </c>
      <c r="D321" s="34" t="s">
        <v>2002</v>
      </c>
      <c r="E321" s="35" t="str">
        <f t="shared" si="78"/>
        <v>PSNP'!</v>
      </c>
      <c r="F321" s="34" t="str">
        <f t="shared" si="79"/>
        <v>C:\Users\jaime.benazar\Quorum Business Solutions\Ecopetrol Prometeo - Documents\Planning Space Implementation\3. Analysis &amp; Design\Design\FC22\DRR Jaime\Neiva CPI\[DINA TERCIARIOS_CF_SEC_New_27-Mar-2024.xlsx]D-PSNP'!</v>
      </c>
      <c r="G321" s="32" t="s">
        <v>112</v>
      </c>
      <c r="H321" s="33"/>
      <c r="I321" s="33"/>
      <c r="J321" s="37"/>
    </row>
    <row r="322" spans="1:10" x14ac:dyDescent="0.3">
      <c r="A322" s="32" t="s">
        <v>22</v>
      </c>
      <c r="B322" s="32">
        <f t="shared" si="81"/>
        <v>2039</v>
      </c>
      <c r="C322" s="33" t="s">
        <v>31</v>
      </c>
      <c r="D322" s="34" t="s">
        <v>2002</v>
      </c>
      <c r="E322" s="35" t="str">
        <f t="shared" si="78"/>
        <v>PSNP'!</v>
      </c>
      <c r="F322" s="34" t="str">
        <f t="shared" si="79"/>
        <v>C:\Users\jaime.benazar\Quorum Business Solutions\Ecopetrol Prometeo - Documents\Planning Space Implementation\3. Analysis &amp; Design\Design\FC22\DRR Jaime\Neiva CPI\[DINA TERCIARIOS_CF_SEC_New_27-Mar-2024.xlsx]D-PSNP'!</v>
      </c>
      <c r="G322" s="32" t="s">
        <v>112</v>
      </c>
      <c r="H322" s="33"/>
      <c r="I322" s="33"/>
      <c r="J322" s="37"/>
    </row>
    <row r="323" spans="1:10" x14ac:dyDescent="0.3">
      <c r="A323" s="32" t="s">
        <v>22</v>
      </c>
      <c r="B323" s="32">
        <f t="shared" si="81"/>
        <v>2040</v>
      </c>
      <c r="C323" s="33" t="s">
        <v>31</v>
      </c>
      <c r="D323" s="34" t="s">
        <v>2002</v>
      </c>
      <c r="E323" s="35" t="str">
        <f t="shared" si="78"/>
        <v>PSNP'!</v>
      </c>
      <c r="F323" s="34" t="str">
        <f t="shared" si="79"/>
        <v>C:\Users\jaime.benazar\Quorum Business Solutions\Ecopetrol Prometeo - Documents\Planning Space Implementation\3. Analysis &amp; Design\Design\FC22\DRR Jaime\Neiva CPI\[DINA TERCIARIOS_CF_SEC_New_27-Mar-2024.xlsx]D-PSNP'!</v>
      </c>
      <c r="G323" s="32" t="s">
        <v>112</v>
      </c>
      <c r="H323" s="33"/>
      <c r="I323" s="33"/>
      <c r="J323" s="37"/>
    </row>
    <row r="324" spans="1:10" x14ac:dyDescent="0.3">
      <c r="A324" s="32" t="s">
        <v>22</v>
      </c>
      <c r="B324" s="32">
        <f>+B323+1</f>
        <v>2041</v>
      </c>
      <c r="C324" s="33" t="s">
        <v>31</v>
      </c>
      <c r="D324" s="34" t="s">
        <v>2002</v>
      </c>
      <c r="E324" s="35" t="str">
        <f t="shared" si="78"/>
        <v>PSNP'!</v>
      </c>
      <c r="F324" s="34" t="str">
        <f t="shared" si="79"/>
        <v>C:\Users\jaime.benazar\Quorum Business Solutions\Ecopetrol Prometeo - Documents\Planning Space Implementation\3. Analysis &amp; Design\Design\FC22\DRR Jaime\Neiva CPI\[DINA TERCIARIOS_CF_SEC_New_27-Mar-2024.xlsx]D-PSNP'!</v>
      </c>
      <c r="G324" s="32" t="s">
        <v>112</v>
      </c>
      <c r="H324" s="33"/>
      <c r="I324" s="33"/>
      <c r="J324" s="37"/>
    </row>
    <row r="325" spans="1:10" x14ac:dyDescent="0.3">
      <c r="A325" s="32" t="s">
        <v>22</v>
      </c>
      <c r="B325" s="32">
        <f t="shared" ref="B325:B326" si="82">+B324+1</f>
        <v>2042</v>
      </c>
      <c r="C325" s="33" t="s">
        <v>31</v>
      </c>
      <c r="D325" s="34" t="s">
        <v>2002</v>
      </c>
      <c r="E325" s="35" t="str">
        <f t="shared" si="78"/>
        <v>PSNP'!</v>
      </c>
      <c r="F325" s="34" t="str">
        <f t="shared" si="79"/>
        <v>C:\Users\jaime.benazar\Quorum Business Solutions\Ecopetrol Prometeo - Documents\Planning Space Implementation\3. Analysis &amp; Design\Design\FC22\DRR Jaime\Neiva CPI\[DINA TERCIARIOS_CF_SEC_New_27-Mar-2024.xlsx]D-PSNP'!</v>
      </c>
      <c r="G325" s="32" t="s">
        <v>112</v>
      </c>
      <c r="H325" s="33"/>
      <c r="I325" s="33"/>
      <c r="J325" s="37"/>
    </row>
    <row r="326" spans="1:10" x14ac:dyDescent="0.3">
      <c r="A326" s="32" t="s">
        <v>22</v>
      </c>
      <c r="B326" s="32">
        <f t="shared" si="82"/>
        <v>2043</v>
      </c>
      <c r="C326" s="33" t="s">
        <v>31</v>
      </c>
      <c r="D326" s="34" t="s">
        <v>2002</v>
      </c>
      <c r="E326" s="35" t="str">
        <f t="shared" si="78"/>
        <v>PSNP'!</v>
      </c>
      <c r="F326" s="34" t="str">
        <f t="shared" si="79"/>
        <v>C:\Users\jaime.benazar\Quorum Business Solutions\Ecopetrol Prometeo - Documents\Planning Space Implementation\3. Analysis &amp; Design\Design\FC22\DRR Jaime\Neiva CPI\[DINA TERCIARIOS_CF_SEC_New_27-Mar-2024.xlsx]D-PSNP'!</v>
      </c>
      <c r="G326" s="32" t="s">
        <v>112</v>
      </c>
      <c r="H326" s="33"/>
      <c r="I326" s="33"/>
      <c r="J326" s="37"/>
    </row>
    <row r="327" spans="1:10" x14ac:dyDescent="0.3">
      <c r="A327" s="32" t="s">
        <v>22</v>
      </c>
      <c r="B327" s="32">
        <f>+B326+1</f>
        <v>2044</v>
      </c>
      <c r="C327" s="33" t="s">
        <v>31</v>
      </c>
      <c r="D327" s="34" t="s">
        <v>2002</v>
      </c>
      <c r="E327" s="35" t="str">
        <f t="shared" ref="E327:E342" si="83">_xlfn.CONCAT(A327,"'!")</f>
        <v>PSNP'!</v>
      </c>
      <c r="F327" s="34" t="str">
        <f t="shared" ref="F327:F342" si="84">_xlfn.CONCAT(D327:E327)</f>
        <v>C:\Users\jaime.benazar\Quorum Business Solutions\Ecopetrol Prometeo - Documents\Planning Space Implementation\3. Analysis &amp; Design\Design\FC22\DRR Jaime\Neiva CPI\[DINA TERCIARIOS_CF_SEC_New_27-Mar-2024.xlsx]D-PSNP'!</v>
      </c>
      <c r="G327" s="32" t="s">
        <v>112</v>
      </c>
      <c r="H327" s="33"/>
      <c r="I327" s="33"/>
      <c r="J327" s="37"/>
    </row>
    <row r="328" spans="1:10" x14ac:dyDescent="0.3">
      <c r="A328" s="32" t="s">
        <v>22</v>
      </c>
      <c r="B328" s="32">
        <f t="shared" ref="B328:B342" si="85">+B327+1</f>
        <v>2045</v>
      </c>
      <c r="C328" s="33" t="s">
        <v>31</v>
      </c>
      <c r="D328" s="34" t="s">
        <v>2002</v>
      </c>
      <c r="E328" s="35" t="str">
        <f t="shared" si="83"/>
        <v>PSNP'!</v>
      </c>
      <c r="F328" s="34" t="str">
        <f t="shared" si="84"/>
        <v>C:\Users\jaime.benazar\Quorum Business Solutions\Ecopetrol Prometeo - Documents\Planning Space Implementation\3. Analysis &amp; Design\Design\FC22\DRR Jaime\Neiva CPI\[DINA TERCIARIOS_CF_SEC_New_27-Mar-2024.xlsx]D-PSNP'!</v>
      </c>
      <c r="G328" s="32" t="s">
        <v>112</v>
      </c>
      <c r="H328" s="33"/>
      <c r="I328" s="33"/>
      <c r="J328" s="37"/>
    </row>
    <row r="329" spans="1:10" x14ac:dyDescent="0.3">
      <c r="A329" s="32" t="s">
        <v>22</v>
      </c>
      <c r="B329" s="32">
        <f t="shared" si="85"/>
        <v>2046</v>
      </c>
      <c r="C329" s="33" t="s">
        <v>31</v>
      </c>
      <c r="D329" s="34" t="s">
        <v>2002</v>
      </c>
      <c r="E329" s="35" t="str">
        <f t="shared" si="83"/>
        <v>PSNP'!</v>
      </c>
      <c r="F329" s="34" t="str">
        <f t="shared" si="84"/>
        <v>C:\Users\jaime.benazar\Quorum Business Solutions\Ecopetrol Prometeo - Documents\Planning Space Implementation\3. Analysis &amp; Design\Design\FC22\DRR Jaime\Neiva CPI\[DINA TERCIARIOS_CF_SEC_New_27-Mar-2024.xlsx]D-PSNP'!</v>
      </c>
      <c r="G329" s="32" t="s">
        <v>112</v>
      </c>
      <c r="H329" s="33"/>
      <c r="I329" s="33"/>
      <c r="J329" s="37"/>
    </row>
    <row r="330" spans="1:10" x14ac:dyDescent="0.3">
      <c r="A330" s="32" t="s">
        <v>22</v>
      </c>
      <c r="B330" s="32">
        <f t="shared" si="85"/>
        <v>2047</v>
      </c>
      <c r="C330" s="33" t="s">
        <v>31</v>
      </c>
      <c r="D330" s="34" t="s">
        <v>2002</v>
      </c>
      <c r="E330" s="35" t="str">
        <f t="shared" si="83"/>
        <v>PSNP'!</v>
      </c>
      <c r="F330" s="34" t="str">
        <f t="shared" si="84"/>
        <v>C:\Users\jaime.benazar\Quorum Business Solutions\Ecopetrol Prometeo - Documents\Planning Space Implementation\3. Analysis &amp; Design\Design\FC22\DRR Jaime\Neiva CPI\[DINA TERCIARIOS_CF_SEC_New_27-Mar-2024.xlsx]D-PSNP'!</v>
      </c>
      <c r="G330" s="32" t="s">
        <v>112</v>
      </c>
      <c r="H330" s="33"/>
      <c r="I330" s="33"/>
      <c r="J330" s="37"/>
    </row>
    <row r="331" spans="1:10" x14ac:dyDescent="0.3">
      <c r="A331" s="32" t="s">
        <v>22</v>
      </c>
      <c r="B331" s="32">
        <f t="shared" si="85"/>
        <v>2048</v>
      </c>
      <c r="C331" s="33" t="s">
        <v>31</v>
      </c>
      <c r="D331" s="34" t="s">
        <v>2002</v>
      </c>
      <c r="E331" s="35" t="str">
        <f t="shared" si="83"/>
        <v>PSNP'!</v>
      </c>
      <c r="F331" s="34" t="str">
        <f t="shared" si="84"/>
        <v>C:\Users\jaime.benazar\Quorum Business Solutions\Ecopetrol Prometeo - Documents\Planning Space Implementation\3. Analysis &amp; Design\Design\FC22\DRR Jaime\Neiva CPI\[DINA TERCIARIOS_CF_SEC_New_27-Mar-2024.xlsx]D-PSNP'!</v>
      </c>
      <c r="G331" s="32" t="s">
        <v>112</v>
      </c>
      <c r="H331" s="33"/>
      <c r="I331" s="33"/>
      <c r="J331" s="37"/>
    </row>
    <row r="332" spans="1:10" x14ac:dyDescent="0.3">
      <c r="A332" s="32" t="s">
        <v>22</v>
      </c>
      <c r="B332" s="32">
        <f t="shared" si="85"/>
        <v>2049</v>
      </c>
      <c r="C332" s="33" t="s">
        <v>31</v>
      </c>
      <c r="D332" s="34" t="s">
        <v>2002</v>
      </c>
      <c r="E332" s="35" t="str">
        <f t="shared" si="83"/>
        <v>PSNP'!</v>
      </c>
      <c r="F332" s="34" t="str">
        <f t="shared" si="84"/>
        <v>C:\Users\jaime.benazar\Quorum Business Solutions\Ecopetrol Prometeo - Documents\Planning Space Implementation\3. Analysis &amp; Design\Design\FC22\DRR Jaime\Neiva CPI\[DINA TERCIARIOS_CF_SEC_New_27-Mar-2024.xlsx]D-PSNP'!</v>
      </c>
      <c r="G332" s="32" t="s">
        <v>112</v>
      </c>
      <c r="H332" s="33"/>
      <c r="I332" s="33"/>
      <c r="J332" s="37"/>
    </row>
    <row r="333" spans="1:10" x14ac:dyDescent="0.3">
      <c r="A333" s="32" t="s">
        <v>22</v>
      </c>
      <c r="B333" s="32">
        <f t="shared" si="85"/>
        <v>2050</v>
      </c>
      <c r="C333" s="33" t="s">
        <v>31</v>
      </c>
      <c r="D333" s="34" t="s">
        <v>2002</v>
      </c>
      <c r="E333" s="35" t="str">
        <f t="shared" si="83"/>
        <v>PSNP'!</v>
      </c>
      <c r="F333" s="34" t="str">
        <f t="shared" si="84"/>
        <v>C:\Users\jaime.benazar\Quorum Business Solutions\Ecopetrol Prometeo - Documents\Planning Space Implementation\3. Analysis &amp; Design\Design\FC22\DRR Jaime\Neiva CPI\[DINA TERCIARIOS_CF_SEC_New_27-Mar-2024.xlsx]D-PSNP'!</v>
      </c>
      <c r="G333" s="32" t="s">
        <v>112</v>
      </c>
      <c r="H333" s="33"/>
      <c r="I333" s="33"/>
      <c r="J333" s="37"/>
    </row>
    <row r="334" spans="1:10" x14ac:dyDescent="0.3">
      <c r="A334" s="32" t="s">
        <v>22</v>
      </c>
      <c r="B334" s="32">
        <f t="shared" si="85"/>
        <v>2051</v>
      </c>
      <c r="C334" s="33" t="s">
        <v>31</v>
      </c>
      <c r="D334" s="34" t="s">
        <v>2002</v>
      </c>
      <c r="E334" s="35" t="str">
        <f t="shared" si="83"/>
        <v>PSNP'!</v>
      </c>
      <c r="F334" s="34" t="str">
        <f t="shared" si="84"/>
        <v>C:\Users\jaime.benazar\Quorum Business Solutions\Ecopetrol Prometeo - Documents\Planning Space Implementation\3. Analysis &amp; Design\Design\FC22\DRR Jaime\Neiva CPI\[DINA TERCIARIOS_CF_SEC_New_27-Mar-2024.xlsx]D-PSNP'!</v>
      </c>
      <c r="G334" s="32" t="s">
        <v>112</v>
      </c>
      <c r="H334" s="33"/>
      <c r="I334" s="33"/>
      <c r="J334" s="37"/>
    </row>
    <row r="335" spans="1:10" x14ac:dyDescent="0.3">
      <c r="A335" s="32" t="s">
        <v>22</v>
      </c>
      <c r="B335" s="32">
        <f t="shared" si="85"/>
        <v>2052</v>
      </c>
      <c r="C335" s="33" t="s">
        <v>31</v>
      </c>
      <c r="D335" s="34" t="s">
        <v>2002</v>
      </c>
      <c r="E335" s="35" t="str">
        <f t="shared" si="83"/>
        <v>PSNP'!</v>
      </c>
      <c r="F335" s="34" t="str">
        <f t="shared" si="84"/>
        <v>C:\Users\jaime.benazar\Quorum Business Solutions\Ecopetrol Prometeo - Documents\Planning Space Implementation\3. Analysis &amp; Design\Design\FC22\DRR Jaime\Neiva CPI\[DINA TERCIARIOS_CF_SEC_New_27-Mar-2024.xlsx]D-PSNP'!</v>
      </c>
      <c r="G335" s="32" t="s">
        <v>112</v>
      </c>
      <c r="H335" s="33"/>
      <c r="I335" s="33"/>
      <c r="J335" s="37"/>
    </row>
    <row r="336" spans="1:10" x14ac:dyDescent="0.3">
      <c r="A336" s="32" t="s">
        <v>22</v>
      </c>
      <c r="B336" s="32">
        <f t="shared" si="85"/>
        <v>2053</v>
      </c>
      <c r="C336" s="33" t="s">
        <v>31</v>
      </c>
      <c r="D336" s="34" t="s">
        <v>2002</v>
      </c>
      <c r="E336" s="35" t="str">
        <f t="shared" si="83"/>
        <v>PSNP'!</v>
      </c>
      <c r="F336" s="34" t="str">
        <f t="shared" si="84"/>
        <v>C:\Users\jaime.benazar\Quorum Business Solutions\Ecopetrol Prometeo - Documents\Planning Space Implementation\3. Analysis &amp; Design\Design\FC22\DRR Jaime\Neiva CPI\[DINA TERCIARIOS_CF_SEC_New_27-Mar-2024.xlsx]D-PSNP'!</v>
      </c>
      <c r="G336" s="32" t="s">
        <v>112</v>
      </c>
      <c r="H336" s="33"/>
      <c r="I336" s="33"/>
      <c r="J336" s="37"/>
    </row>
    <row r="337" spans="1:10" x14ac:dyDescent="0.3">
      <c r="A337" s="32" t="s">
        <v>22</v>
      </c>
      <c r="B337" s="32">
        <f t="shared" si="85"/>
        <v>2054</v>
      </c>
      <c r="C337" s="33" t="s">
        <v>31</v>
      </c>
      <c r="D337" s="34" t="s">
        <v>2002</v>
      </c>
      <c r="E337" s="35" t="str">
        <f t="shared" si="83"/>
        <v>PSNP'!</v>
      </c>
      <c r="F337" s="34" t="str">
        <f t="shared" si="84"/>
        <v>C:\Users\jaime.benazar\Quorum Business Solutions\Ecopetrol Prometeo - Documents\Planning Space Implementation\3. Analysis &amp; Design\Design\FC22\DRR Jaime\Neiva CPI\[DINA TERCIARIOS_CF_SEC_New_27-Mar-2024.xlsx]D-PSNP'!</v>
      </c>
      <c r="G337" s="32" t="s">
        <v>112</v>
      </c>
      <c r="H337" s="33"/>
      <c r="I337" s="33"/>
      <c r="J337" s="37"/>
    </row>
    <row r="338" spans="1:10" x14ac:dyDescent="0.3">
      <c r="A338" s="32" t="s">
        <v>22</v>
      </c>
      <c r="B338" s="32">
        <f t="shared" si="85"/>
        <v>2055</v>
      </c>
      <c r="C338" s="33" t="s">
        <v>31</v>
      </c>
      <c r="D338" s="34" t="s">
        <v>2002</v>
      </c>
      <c r="E338" s="35" t="str">
        <f t="shared" si="83"/>
        <v>PSNP'!</v>
      </c>
      <c r="F338" s="34" t="str">
        <f t="shared" si="84"/>
        <v>C:\Users\jaime.benazar\Quorum Business Solutions\Ecopetrol Prometeo - Documents\Planning Space Implementation\3. Analysis &amp; Design\Design\FC22\DRR Jaime\Neiva CPI\[DINA TERCIARIOS_CF_SEC_New_27-Mar-2024.xlsx]D-PSNP'!</v>
      </c>
      <c r="G338" s="32" t="s">
        <v>112</v>
      </c>
      <c r="H338" s="33"/>
      <c r="I338" s="33"/>
      <c r="J338" s="37"/>
    </row>
    <row r="339" spans="1:10" x14ac:dyDescent="0.3">
      <c r="A339" s="32" t="s">
        <v>22</v>
      </c>
      <c r="B339" s="32">
        <f t="shared" si="85"/>
        <v>2056</v>
      </c>
      <c r="C339" s="33" t="s">
        <v>31</v>
      </c>
      <c r="D339" s="34" t="s">
        <v>2002</v>
      </c>
      <c r="E339" s="35" t="str">
        <f t="shared" si="83"/>
        <v>PSNP'!</v>
      </c>
      <c r="F339" s="34" t="str">
        <f t="shared" si="84"/>
        <v>C:\Users\jaime.benazar\Quorum Business Solutions\Ecopetrol Prometeo - Documents\Planning Space Implementation\3. Analysis &amp; Design\Design\FC22\DRR Jaime\Neiva CPI\[DINA TERCIARIOS_CF_SEC_New_27-Mar-2024.xlsx]D-PSNP'!</v>
      </c>
      <c r="G339" s="32" t="s">
        <v>112</v>
      </c>
      <c r="H339" s="33"/>
      <c r="I339" s="33"/>
      <c r="J339" s="37"/>
    </row>
    <row r="340" spans="1:10" x14ac:dyDescent="0.3">
      <c r="A340" s="32" t="s">
        <v>22</v>
      </c>
      <c r="B340" s="32">
        <f t="shared" si="85"/>
        <v>2057</v>
      </c>
      <c r="C340" s="33" t="s">
        <v>31</v>
      </c>
      <c r="D340" s="34" t="s">
        <v>2002</v>
      </c>
      <c r="E340" s="35" t="str">
        <f t="shared" si="83"/>
        <v>PSNP'!</v>
      </c>
      <c r="F340" s="34" t="str">
        <f t="shared" si="84"/>
        <v>C:\Users\jaime.benazar\Quorum Business Solutions\Ecopetrol Prometeo - Documents\Planning Space Implementation\3. Analysis &amp; Design\Design\FC22\DRR Jaime\Neiva CPI\[DINA TERCIARIOS_CF_SEC_New_27-Mar-2024.xlsx]D-PSNP'!</v>
      </c>
      <c r="G340" s="32" t="s">
        <v>112</v>
      </c>
      <c r="H340" s="33"/>
      <c r="I340" s="33"/>
      <c r="J340" s="37"/>
    </row>
    <row r="341" spans="1:10" x14ac:dyDescent="0.3">
      <c r="A341" s="32" t="s">
        <v>22</v>
      </c>
      <c r="B341" s="32">
        <f t="shared" si="85"/>
        <v>2058</v>
      </c>
      <c r="C341" s="33" t="s">
        <v>31</v>
      </c>
      <c r="D341" s="34" t="s">
        <v>2002</v>
      </c>
      <c r="E341" s="35" t="str">
        <f t="shared" si="83"/>
        <v>PSNP'!</v>
      </c>
      <c r="F341" s="34" t="str">
        <f t="shared" si="84"/>
        <v>C:\Users\jaime.benazar\Quorum Business Solutions\Ecopetrol Prometeo - Documents\Planning Space Implementation\3. Analysis &amp; Design\Design\FC22\DRR Jaime\Neiva CPI\[DINA TERCIARIOS_CF_SEC_New_27-Mar-2024.xlsx]D-PSNP'!</v>
      </c>
      <c r="G341" s="32" t="s">
        <v>112</v>
      </c>
      <c r="H341" s="33"/>
      <c r="I341" s="33"/>
      <c r="J341" s="37"/>
    </row>
    <row r="342" spans="1:10" x14ac:dyDescent="0.3">
      <c r="A342" s="32" t="s">
        <v>22</v>
      </c>
      <c r="B342" s="32">
        <f t="shared" si="85"/>
        <v>2059</v>
      </c>
      <c r="C342" s="33" t="s">
        <v>31</v>
      </c>
      <c r="D342" s="34" t="s">
        <v>2002</v>
      </c>
      <c r="E342" s="35" t="str">
        <f t="shared" si="83"/>
        <v>PSNP'!</v>
      </c>
      <c r="F342" s="34" t="str">
        <f t="shared" si="84"/>
        <v>C:\Users\jaime.benazar\Quorum Business Solutions\Ecopetrol Prometeo - Documents\Planning Space Implementation\3. Analysis &amp; Design\Design\FC22\DRR Jaime\Neiva CPI\[DINA TERCIARIOS_CF_SEC_New_27-Mar-2024.xlsx]D-PSNP'!</v>
      </c>
      <c r="G342" s="32" t="s">
        <v>112</v>
      </c>
      <c r="H342" s="33"/>
      <c r="I342" s="33"/>
      <c r="J342" s="37"/>
    </row>
    <row r="343" spans="1:10" x14ac:dyDescent="0.3">
      <c r="A343" s="32" t="s">
        <v>26</v>
      </c>
      <c r="B343" s="32"/>
      <c r="C343" s="33" t="s">
        <v>31</v>
      </c>
      <c r="D343" s="34"/>
      <c r="E343" s="35" t="str">
        <f t="shared" ref="E343" si="86">_xlfn.CONCAT(A343,"'!")</f>
        <v>Total'!</v>
      </c>
      <c r="F343" s="34"/>
      <c r="G343" s="32" t="s">
        <v>112</v>
      </c>
      <c r="H343" s="33"/>
      <c r="I343" s="33"/>
      <c r="J343" s="33"/>
    </row>
    <row r="344" spans="1:10" x14ac:dyDescent="0.3">
      <c r="A344" s="32" t="s">
        <v>23</v>
      </c>
      <c r="B344" s="32">
        <v>2023</v>
      </c>
      <c r="C344" s="33" t="s">
        <v>31</v>
      </c>
      <c r="D344" s="34" t="s">
        <v>2002</v>
      </c>
      <c r="E344" s="35" t="str">
        <f t="shared" ref="E344:E364" si="87">_xlfn.CONCAT(A344,"'!")</f>
        <v>PSND'!</v>
      </c>
      <c r="F344" s="34" t="str">
        <f t="shared" ref="F344:F364" si="88">_xlfn.CONCAT(D344:E344)</f>
        <v>C:\Users\jaime.benazar\Quorum Business Solutions\Ecopetrol Prometeo - Documents\Planning Space Implementation\3. Analysis &amp; Design\Design\FC22\DRR Jaime\Neiva CPI\[DINA TERCIARIOS_CF_SEC_New_27-Mar-2024.xlsx]D-PSND'!</v>
      </c>
      <c r="G344" s="32" t="s">
        <v>112</v>
      </c>
      <c r="H344" s="33"/>
      <c r="I344" s="33"/>
      <c r="J344" s="37"/>
    </row>
    <row r="345" spans="1:10" x14ac:dyDescent="0.3">
      <c r="A345" s="32" t="s">
        <v>23</v>
      </c>
      <c r="B345" s="32">
        <f>+B344+1</f>
        <v>2024</v>
      </c>
      <c r="C345" s="33" t="s">
        <v>31</v>
      </c>
      <c r="D345" s="34" t="s">
        <v>2002</v>
      </c>
      <c r="E345" s="35" t="str">
        <f t="shared" si="87"/>
        <v>PSND'!</v>
      </c>
      <c r="F345" s="34" t="str">
        <f t="shared" si="88"/>
        <v>C:\Users\jaime.benazar\Quorum Business Solutions\Ecopetrol Prometeo - Documents\Planning Space Implementation\3. Analysis &amp; Design\Design\FC22\DRR Jaime\Neiva CPI\[DINA TERCIARIOS_CF_SEC_New_27-Mar-2024.xlsx]D-PSND'!</v>
      </c>
      <c r="G345" s="32" t="s">
        <v>112</v>
      </c>
      <c r="H345" s="33"/>
      <c r="I345" s="33"/>
      <c r="J345" s="37"/>
    </row>
    <row r="346" spans="1:10" x14ac:dyDescent="0.3">
      <c r="A346" s="32" t="s">
        <v>23</v>
      </c>
      <c r="B346" s="32">
        <f t="shared" ref="B346:B357" si="89">+B345+1</f>
        <v>2025</v>
      </c>
      <c r="C346" s="33" t="s">
        <v>31</v>
      </c>
      <c r="D346" s="34" t="s">
        <v>2002</v>
      </c>
      <c r="E346" s="35" t="str">
        <f t="shared" si="87"/>
        <v>PSND'!</v>
      </c>
      <c r="F346" s="34" t="str">
        <f t="shared" si="88"/>
        <v>C:\Users\jaime.benazar\Quorum Business Solutions\Ecopetrol Prometeo - Documents\Planning Space Implementation\3. Analysis &amp; Design\Design\FC22\DRR Jaime\Neiva CPI\[DINA TERCIARIOS_CF_SEC_New_27-Mar-2024.xlsx]D-PSND'!</v>
      </c>
      <c r="G346" s="32" t="s">
        <v>112</v>
      </c>
      <c r="H346" s="33"/>
      <c r="I346" s="33"/>
      <c r="J346" s="37"/>
    </row>
    <row r="347" spans="1:10" x14ac:dyDescent="0.3">
      <c r="A347" s="32" t="s">
        <v>23</v>
      </c>
      <c r="B347" s="32">
        <f t="shared" si="89"/>
        <v>2026</v>
      </c>
      <c r="C347" s="33" t="s">
        <v>31</v>
      </c>
      <c r="D347" s="34" t="s">
        <v>2002</v>
      </c>
      <c r="E347" s="35" t="str">
        <f t="shared" si="87"/>
        <v>PSND'!</v>
      </c>
      <c r="F347" s="34" t="str">
        <f t="shared" si="88"/>
        <v>C:\Users\jaime.benazar\Quorum Business Solutions\Ecopetrol Prometeo - Documents\Planning Space Implementation\3. Analysis &amp; Design\Design\FC22\DRR Jaime\Neiva CPI\[DINA TERCIARIOS_CF_SEC_New_27-Mar-2024.xlsx]D-PSND'!</v>
      </c>
      <c r="G347" s="32" t="s">
        <v>112</v>
      </c>
      <c r="H347" s="33"/>
      <c r="I347" s="33"/>
      <c r="J347" s="37"/>
    </row>
    <row r="348" spans="1:10" x14ac:dyDescent="0.3">
      <c r="A348" s="32" t="s">
        <v>23</v>
      </c>
      <c r="B348" s="32">
        <f t="shared" si="89"/>
        <v>2027</v>
      </c>
      <c r="C348" s="33" t="s">
        <v>31</v>
      </c>
      <c r="D348" s="34" t="s">
        <v>2002</v>
      </c>
      <c r="E348" s="35" t="str">
        <f t="shared" si="87"/>
        <v>PSND'!</v>
      </c>
      <c r="F348" s="34" t="str">
        <f t="shared" si="88"/>
        <v>C:\Users\jaime.benazar\Quorum Business Solutions\Ecopetrol Prometeo - Documents\Planning Space Implementation\3. Analysis &amp; Design\Design\FC22\DRR Jaime\Neiva CPI\[DINA TERCIARIOS_CF_SEC_New_27-Mar-2024.xlsx]D-PSND'!</v>
      </c>
      <c r="G348" s="32" t="s">
        <v>112</v>
      </c>
      <c r="H348" s="33"/>
      <c r="I348" s="33"/>
      <c r="J348" s="37"/>
    </row>
    <row r="349" spans="1:10" x14ac:dyDescent="0.3">
      <c r="A349" s="32" t="s">
        <v>23</v>
      </c>
      <c r="B349" s="32">
        <f t="shared" si="89"/>
        <v>2028</v>
      </c>
      <c r="C349" s="33" t="s">
        <v>31</v>
      </c>
      <c r="D349" s="34" t="s">
        <v>2002</v>
      </c>
      <c r="E349" s="35" t="str">
        <f t="shared" si="87"/>
        <v>PSND'!</v>
      </c>
      <c r="F349" s="34" t="str">
        <f t="shared" si="88"/>
        <v>C:\Users\jaime.benazar\Quorum Business Solutions\Ecopetrol Prometeo - Documents\Planning Space Implementation\3. Analysis &amp; Design\Design\FC22\DRR Jaime\Neiva CPI\[DINA TERCIARIOS_CF_SEC_New_27-Mar-2024.xlsx]D-PSND'!</v>
      </c>
      <c r="G349" s="32" t="s">
        <v>112</v>
      </c>
      <c r="H349" s="33"/>
      <c r="I349" s="33"/>
      <c r="J349" s="37"/>
    </row>
    <row r="350" spans="1:10" x14ac:dyDescent="0.3">
      <c r="A350" s="32" t="s">
        <v>23</v>
      </c>
      <c r="B350" s="32">
        <f t="shared" si="89"/>
        <v>2029</v>
      </c>
      <c r="C350" s="33" t="s">
        <v>31</v>
      </c>
      <c r="D350" s="34" t="s">
        <v>2002</v>
      </c>
      <c r="E350" s="35" t="str">
        <f t="shared" si="87"/>
        <v>PSND'!</v>
      </c>
      <c r="F350" s="34" t="str">
        <f t="shared" si="88"/>
        <v>C:\Users\jaime.benazar\Quorum Business Solutions\Ecopetrol Prometeo - Documents\Planning Space Implementation\3. Analysis &amp; Design\Design\FC22\DRR Jaime\Neiva CPI\[DINA TERCIARIOS_CF_SEC_New_27-Mar-2024.xlsx]D-PSND'!</v>
      </c>
      <c r="G350" s="32" t="s">
        <v>112</v>
      </c>
      <c r="H350" s="33"/>
      <c r="I350" s="33"/>
      <c r="J350" s="37"/>
    </row>
    <row r="351" spans="1:10" x14ac:dyDescent="0.3">
      <c r="A351" s="32" t="s">
        <v>23</v>
      </c>
      <c r="B351" s="32">
        <f t="shared" si="89"/>
        <v>2030</v>
      </c>
      <c r="C351" s="33" t="s">
        <v>31</v>
      </c>
      <c r="D351" s="34" t="s">
        <v>2002</v>
      </c>
      <c r="E351" s="35" t="str">
        <f t="shared" si="87"/>
        <v>PSND'!</v>
      </c>
      <c r="F351" s="34" t="str">
        <f t="shared" si="88"/>
        <v>C:\Users\jaime.benazar\Quorum Business Solutions\Ecopetrol Prometeo - Documents\Planning Space Implementation\3. Analysis &amp; Design\Design\FC22\DRR Jaime\Neiva CPI\[DINA TERCIARIOS_CF_SEC_New_27-Mar-2024.xlsx]D-PSND'!</v>
      </c>
      <c r="G351" s="32" t="s">
        <v>112</v>
      </c>
      <c r="H351" s="33"/>
      <c r="I351" s="33"/>
      <c r="J351" s="37"/>
    </row>
    <row r="352" spans="1:10" x14ac:dyDescent="0.3">
      <c r="A352" s="32" t="s">
        <v>23</v>
      </c>
      <c r="B352" s="32">
        <f t="shared" si="89"/>
        <v>2031</v>
      </c>
      <c r="C352" s="33" t="s">
        <v>31</v>
      </c>
      <c r="D352" s="34" t="s">
        <v>2002</v>
      </c>
      <c r="E352" s="35" t="str">
        <f t="shared" si="87"/>
        <v>PSND'!</v>
      </c>
      <c r="F352" s="34" t="str">
        <f t="shared" si="88"/>
        <v>C:\Users\jaime.benazar\Quorum Business Solutions\Ecopetrol Prometeo - Documents\Planning Space Implementation\3. Analysis &amp; Design\Design\FC22\DRR Jaime\Neiva CPI\[DINA TERCIARIOS_CF_SEC_New_27-Mar-2024.xlsx]D-PSND'!</v>
      </c>
      <c r="G352" s="32" t="s">
        <v>112</v>
      </c>
      <c r="H352" s="33"/>
      <c r="I352" s="33"/>
      <c r="J352" s="37"/>
    </row>
    <row r="353" spans="1:10" x14ac:dyDescent="0.3">
      <c r="A353" s="32" t="s">
        <v>23</v>
      </c>
      <c r="B353" s="32">
        <f t="shared" si="89"/>
        <v>2032</v>
      </c>
      <c r="C353" s="33" t="s">
        <v>31</v>
      </c>
      <c r="D353" s="34" t="s">
        <v>2002</v>
      </c>
      <c r="E353" s="35" t="str">
        <f t="shared" si="87"/>
        <v>PSND'!</v>
      </c>
      <c r="F353" s="34" t="str">
        <f t="shared" si="88"/>
        <v>C:\Users\jaime.benazar\Quorum Business Solutions\Ecopetrol Prometeo - Documents\Planning Space Implementation\3. Analysis &amp; Design\Design\FC22\DRR Jaime\Neiva CPI\[DINA TERCIARIOS_CF_SEC_New_27-Mar-2024.xlsx]D-PSND'!</v>
      </c>
      <c r="G353" s="32" t="s">
        <v>112</v>
      </c>
      <c r="H353" s="33"/>
      <c r="I353" s="33"/>
      <c r="J353" s="37"/>
    </row>
    <row r="354" spans="1:10" x14ac:dyDescent="0.3">
      <c r="A354" s="32" t="s">
        <v>23</v>
      </c>
      <c r="B354" s="32">
        <f t="shared" si="89"/>
        <v>2033</v>
      </c>
      <c r="C354" s="33" t="s">
        <v>31</v>
      </c>
      <c r="D354" s="34" t="s">
        <v>2002</v>
      </c>
      <c r="E354" s="35" t="str">
        <f t="shared" si="87"/>
        <v>PSND'!</v>
      </c>
      <c r="F354" s="34" t="str">
        <f t="shared" si="88"/>
        <v>C:\Users\jaime.benazar\Quorum Business Solutions\Ecopetrol Prometeo - Documents\Planning Space Implementation\3. Analysis &amp; Design\Design\FC22\DRR Jaime\Neiva CPI\[DINA TERCIARIOS_CF_SEC_New_27-Mar-2024.xlsx]D-PSND'!</v>
      </c>
      <c r="G354" s="32" t="s">
        <v>112</v>
      </c>
      <c r="H354" s="33"/>
      <c r="I354" s="33"/>
      <c r="J354" s="37"/>
    </row>
    <row r="355" spans="1:10" x14ac:dyDescent="0.3">
      <c r="A355" s="32" t="s">
        <v>23</v>
      </c>
      <c r="B355" s="32">
        <f t="shared" si="89"/>
        <v>2034</v>
      </c>
      <c r="C355" s="33" t="s">
        <v>31</v>
      </c>
      <c r="D355" s="34" t="s">
        <v>2002</v>
      </c>
      <c r="E355" s="35" t="str">
        <f t="shared" si="87"/>
        <v>PSND'!</v>
      </c>
      <c r="F355" s="34" t="str">
        <f t="shared" si="88"/>
        <v>C:\Users\jaime.benazar\Quorum Business Solutions\Ecopetrol Prometeo - Documents\Planning Space Implementation\3. Analysis &amp; Design\Design\FC22\DRR Jaime\Neiva CPI\[DINA TERCIARIOS_CF_SEC_New_27-Mar-2024.xlsx]D-PSND'!</v>
      </c>
      <c r="G355" s="32" t="s">
        <v>112</v>
      </c>
      <c r="H355" s="33"/>
      <c r="I355" s="33"/>
      <c r="J355" s="37"/>
    </row>
    <row r="356" spans="1:10" x14ac:dyDescent="0.3">
      <c r="A356" s="32" t="s">
        <v>23</v>
      </c>
      <c r="B356" s="32">
        <f t="shared" si="89"/>
        <v>2035</v>
      </c>
      <c r="C356" s="33" t="s">
        <v>31</v>
      </c>
      <c r="D356" s="34" t="s">
        <v>2002</v>
      </c>
      <c r="E356" s="35" t="str">
        <f t="shared" si="87"/>
        <v>PSND'!</v>
      </c>
      <c r="F356" s="34" t="str">
        <f t="shared" si="88"/>
        <v>C:\Users\jaime.benazar\Quorum Business Solutions\Ecopetrol Prometeo - Documents\Planning Space Implementation\3. Analysis &amp; Design\Design\FC22\DRR Jaime\Neiva CPI\[DINA TERCIARIOS_CF_SEC_New_27-Mar-2024.xlsx]D-PSND'!</v>
      </c>
      <c r="G356" s="32" t="s">
        <v>112</v>
      </c>
      <c r="H356" s="33"/>
      <c r="I356" s="33"/>
      <c r="J356" s="37"/>
    </row>
    <row r="357" spans="1:10" x14ac:dyDescent="0.3">
      <c r="A357" s="32" t="s">
        <v>23</v>
      </c>
      <c r="B357" s="32">
        <f t="shared" si="89"/>
        <v>2036</v>
      </c>
      <c r="C357" s="33" t="s">
        <v>31</v>
      </c>
      <c r="D357" s="34" t="s">
        <v>2002</v>
      </c>
      <c r="E357" s="35" t="str">
        <f t="shared" si="87"/>
        <v>PSND'!</v>
      </c>
      <c r="F357" s="34" t="str">
        <f t="shared" si="88"/>
        <v>C:\Users\jaime.benazar\Quorum Business Solutions\Ecopetrol Prometeo - Documents\Planning Space Implementation\3. Analysis &amp; Design\Design\FC22\DRR Jaime\Neiva CPI\[DINA TERCIARIOS_CF_SEC_New_27-Mar-2024.xlsx]D-PSND'!</v>
      </c>
      <c r="G357" s="32" t="s">
        <v>112</v>
      </c>
      <c r="H357" s="33"/>
      <c r="I357" s="33"/>
      <c r="J357" s="37"/>
    </row>
    <row r="358" spans="1:10" x14ac:dyDescent="0.3">
      <c r="A358" s="32" t="s">
        <v>23</v>
      </c>
      <c r="B358" s="32">
        <f>+B357+1</f>
        <v>2037</v>
      </c>
      <c r="C358" s="33" t="s">
        <v>31</v>
      </c>
      <c r="D358" s="34" t="s">
        <v>2002</v>
      </c>
      <c r="E358" s="35" t="str">
        <f t="shared" si="87"/>
        <v>PSND'!</v>
      </c>
      <c r="F358" s="34" t="str">
        <f t="shared" si="88"/>
        <v>C:\Users\jaime.benazar\Quorum Business Solutions\Ecopetrol Prometeo - Documents\Planning Space Implementation\3. Analysis &amp; Design\Design\FC22\DRR Jaime\Neiva CPI\[DINA TERCIARIOS_CF_SEC_New_27-Mar-2024.xlsx]D-PSND'!</v>
      </c>
      <c r="G358" s="32" t="s">
        <v>112</v>
      </c>
      <c r="H358" s="33"/>
      <c r="I358" s="33"/>
      <c r="J358" s="37"/>
    </row>
    <row r="359" spans="1:10" x14ac:dyDescent="0.3">
      <c r="A359" s="32" t="s">
        <v>23</v>
      </c>
      <c r="B359" s="32">
        <f t="shared" ref="B359:B361" si="90">+B358+1</f>
        <v>2038</v>
      </c>
      <c r="C359" s="33" t="s">
        <v>31</v>
      </c>
      <c r="D359" s="34" t="s">
        <v>2002</v>
      </c>
      <c r="E359" s="35" t="str">
        <f t="shared" si="87"/>
        <v>PSND'!</v>
      </c>
      <c r="F359" s="34" t="str">
        <f t="shared" si="88"/>
        <v>C:\Users\jaime.benazar\Quorum Business Solutions\Ecopetrol Prometeo - Documents\Planning Space Implementation\3. Analysis &amp; Design\Design\FC22\DRR Jaime\Neiva CPI\[DINA TERCIARIOS_CF_SEC_New_27-Mar-2024.xlsx]D-PSND'!</v>
      </c>
      <c r="G359" s="32" t="s">
        <v>112</v>
      </c>
      <c r="H359" s="33"/>
      <c r="I359" s="33"/>
      <c r="J359" s="37"/>
    </row>
    <row r="360" spans="1:10" x14ac:dyDescent="0.3">
      <c r="A360" s="32" t="s">
        <v>23</v>
      </c>
      <c r="B360" s="32">
        <f t="shared" si="90"/>
        <v>2039</v>
      </c>
      <c r="C360" s="33" t="s">
        <v>31</v>
      </c>
      <c r="D360" s="34" t="s">
        <v>2002</v>
      </c>
      <c r="E360" s="35" t="str">
        <f t="shared" si="87"/>
        <v>PSND'!</v>
      </c>
      <c r="F360" s="34" t="str">
        <f t="shared" si="88"/>
        <v>C:\Users\jaime.benazar\Quorum Business Solutions\Ecopetrol Prometeo - Documents\Planning Space Implementation\3. Analysis &amp; Design\Design\FC22\DRR Jaime\Neiva CPI\[DINA TERCIARIOS_CF_SEC_New_27-Mar-2024.xlsx]D-PSND'!</v>
      </c>
      <c r="G360" s="32" t="s">
        <v>112</v>
      </c>
      <c r="H360" s="33"/>
      <c r="I360" s="33"/>
      <c r="J360" s="37"/>
    </row>
    <row r="361" spans="1:10" x14ac:dyDescent="0.3">
      <c r="A361" s="32" t="s">
        <v>23</v>
      </c>
      <c r="B361" s="32">
        <f t="shared" si="90"/>
        <v>2040</v>
      </c>
      <c r="C361" s="33" t="s">
        <v>31</v>
      </c>
      <c r="D361" s="34" t="s">
        <v>2002</v>
      </c>
      <c r="E361" s="35" t="str">
        <f t="shared" si="87"/>
        <v>PSND'!</v>
      </c>
      <c r="F361" s="34" t="str">
        <f t="shared" si="88"/>
        <v>C:\Users\jaime.benazar\Quorum Business Solutions\Ecopetrol Prometeo - Documents\Planning Space Implementation\3. Analysis &amp; Design\Design\FC22\DRR Jaime\Neiva CPI\[DINA TERCIARIOS_CF_SEC_New_27-Mar-2024.xlsx]D-PSND'!</v>
      </c>
      <c r="G361" s="32" t="s">
        <v>112</v>
      </c>
      <c r="H361" s="33"/>
      <c r="I361" s="33"/>
      <c r="J361" s="37"/>
    </row>
    <row r="362" spans="1:10" x14ac:dyDescent="0.3">
      <c r="A362" s="32" t="s">
        <v>23</v>
      </c>
      <c r="B362" s="32">
        <f>+B361+1</f>
        <v>2041</v>
      </c>
      <c r="C362" s="33" t="s">
        <v>31</v>
      </c>
      <c r="D362" s="34" t="s">
        <v>2002</v>
      </c>
      <c r="E362" s="35" t="str">
        <f t="shared" si="87"/>
        <v>PSND'!</v>
      </c>
      <c r="F362" s="34" t="str">
        <f t="shared" si="88"/>
        <v>C:\Users\jaime.benazar\Quorum Business Solutions\Ecopetrol Prometeo - Documents\Planning Space Implementation\3. Analysis &amp; Design\Design\FC22\DRR Jaime\Neiva CPI\[DINA TERCIARIOS_CF_SEC_New_27-Mar-2024.xlsx]D-PSND'!</v>
      </c>
      <c r="G362" s="32" t="s">
        <v>112</v>
      </c>
      <c r="H362" s="33"/>
      <c r="I362" s="33"/>
      <c r="J362" s="37"/>
    </row>
    <row r="363" spans="1:10" x14ac:dyDescent="0.3">
      <c r="A363" s="32" t="s">
        <v>23</v>
      </c>
      <c r="B363" s="32">
        <f t="shared" ref="B363:B364" si="91">+B362+1</f>
        <v>2042</v>
      </c>
      <c r="C363" s="33" t="s">
        <v>31</v>
      </c>
      <c r="D363" s="34" t="s">
        <v>2002</v>
      </c>
      <c r="E363" s="35" t="str">
        <f t="shared" si="87"/>
        <v>PSND'!</v>
      </c>
      <c r="F363" s="34" t="str">
        <f t="shared" si="88"/>
        <v>C:\Users\jaime.benazar\Quorum Business Solutions\Ecopetrol Prometeo - Documents\Planning Space Implementation\3. Analysis &amp; Design\Design\FC22\DRR Jaime\Neiva CPI\[DINA TERCIARIOS_CF_SEC_New_27-Mar-2024.xlsx]D-PSND'!</v>
      </c>
      <c r="G363" s="32" t="s">
        <v>112</v>
      </c>
      <c r="H363" s="33"/>
      <c r="I363" s="33"/>
      <c r="J363" s="37"/>
    </row>
    <row r="364" spans="1:10" x14ac:dyDescent="0.3">
      <c r="A364" s="32" t="s">
        <v>23</v>
      </c>
      <c r="B364" s="32">
        <f t="shared" si="91"/>
        <v>2043</v>
      </c>
      <c r="C364" s="33" t="s">
        <v>31</v>
      </c>
      <c r="D364" s="34" t="s">
        <v>2002</v>
      </c>
      <c r="E364" s="35" t="str">
        <f t="shared" si="87"/>
        <v>PSND'!</v>
      </c>
      <c r="F364" s="34" t="str">
        <f t="shared" si="88"/>
        <v>C:\Users\jaime.benazar\Quorum Business Solutions\Ecopetrol Prometeo - Documents\Planning Space Implementation\3. Analysis &amp; Design\Design\FC22\DRR Jaime\Neiva CPI\[DINA TERCIARIOS_CF_SEC_New_27-Mar-2024.xlsx]D-PSND'!</v>
      </c>
      <c r="G364" s="32" t="s">
        <v>112</v>
      </c>
      <c r="H364" s="33"/>
      <c r="I364" s="33"/>
      <c r="J364" s="37"/>
    </row>
    <row r="365" spans="1:10" x14ac:dyDescent="0.3">
      <c r="A365" s="32" t="s">
        <v>23</v>
      </c>
      <c r="B365" s="32">
        <f>+B364+1</f>
        <v>2044</v>
      </c>
      <c r="C365" s="33" t="s">
        <v>31</v>
      </c>
      <c r="D365" s="34" t="s">
        <v>2002</v>
      </c>
      <c r="E365" s="35" t="str">
        <f t="shared" ref="E365:E380" si="92">_xlfn.CONCAT(A365,"'!")</f>
        <v>PSND'!</v>
      </c>
      <c r="F365" s="34" t="str">
        <f t="shared" ref="F365:F380" si="93">_xlfn.CONCAT(D365:E365)</f>
        <v>C:\Users\jaime.benazar\Quorum Business Solutions\Ecopetrol Prometeo - Documents\Planning Space Implementation\3. Analysis &amp; Design\Design\FC22\DRR Jaime\Neiva CPI\[DINA TERCIARIOS_CF_SEC_New_27-Mar-2024.xlsx]D-PSND'!</v>
      </c>
      <c r="G365" s="32" t="s">
        <v>112</v>
      </c>
      <c r="H365" s="33"/>
      <c r="I365" s="33"/>
      <c r="J365" s="37"/>
    </row>
    <row r="366" spans="1:10" x14ac:dyDescent="0.3">
      <c r="A366" s="32" t="s">
        <v>23</v>
      </c>
      <c r="B366" s="32">
        <f t="shared" ref="B366:B380" si="94">+B365+1</f>
        <v>2045</v>
      </c>
      <c r="C366" s="33" t="s">
        <v>31</v>
      </c>
      <c r="D366" s="34" t="s">
        <v>2002</v>
      </c>
      <c r="E366" s="35" t="str">
        <f t="shared" si="92"/>
        <v>PSND'!</v>
      </c>
      <c r="F366" s="34" t="str">
        <f t="shared" si="93"/>
        <v>C:\Users\jaime.benazar\Quorum Business Solutions\Ecopetrol Prometeo - Documents\Planning Space Implementation\3. Analysis &amp; Design\Design\FC22\DRR Jaime\Neiva CPI\[DINA TERCIARIOS_CF_SEC_New_27-Mar-2024.xlsx]D-PSND'!</v>
      </c>
      <c r="G366" s="32" t="s">
        <v>112</v>
      </c>
      <c r="H366" s="33"/>
      <c r="I366" s="33"/>
      <c r="J366" s="37"/>
    </row>
    <row r="367" spans="1:10" x14ac:dyDescent="0.3">
      <c r="A367" s="32" t="s">
        <v>23</v>
      </c>
      <c r="B367" s="32">
        <f t="shared" si="94"/>
        <v>2046</v>
      </c>
      <c r="C367" s="33" t="s">
        <v>31</v>
      </c>
      <c r="D367" s="34" t="s">
        <v>2002</v>
      </c>
      <c r="E367" s="35" t="str">
        <f t="shared" si="92"/>
        <v>PSND'!</v>
      </c>
      <c r="F367" s="34" t="str">
        <f t="shared" si="93"/>
        <v>C:\Users\jaime.benazar\Quorum Business Solutions\Ecopetrol Prometeo - Documents\Planning Space Implementation\3. Analysis &amp; Design\Design\FC22\DRR Jaime\Neiva CPI\[DINA TERCIARIOS_CF_SEC_New_27-Mar-2024.xlsx]D-PSND'!</v>
      </c>
      <c r="G367" s="32" t="s">
        <v>112</v>
      </c>
      <c r="H367" s="33"/>
      <c r="I367" s="33"/>
      <c r="J367" s="37"/>
    </row>
    <row r="368" spans="1:10" x14ac:dyDescent="0.3">
      <c r="A368" s="32" t="s">
        <v>23</v>
      </c>
      <c r="B368" s="32">
        <f t="shared" si="94"/>
        <v>2047</v>
      </c>
      <c r="C368" s="33" t="s">
        <v>31</v>
      </c>
      <c r="D368" s="34" t="s">
        <v>2002</v>
      </c>
      <c r="E368" s="35" t="str">
        <f t="shared" si="92"/>
        <v>PSND'!</v>
      </c>
      <c r="F368" s="34" t="str">
        <f t="shared" si="93"/>
        <v>C:\Users\jaime.benazar\Quorum Business Solutions\Ecopetrol Prometeo - Documents\Planning Space Implementation\3. Analysis &amp; Design\Design\FC22\DRR Jaime\Neiva CPI\[DINA TERCIARIOS_CF_SEC_New_27-Mar-2024.xlsx]D-PSND'!</v>
      </c>
      <c r="G368" s="32" t="s">
        <v>112</v>
      </c>
      <c r="H368" s="33"/>
      <c r="I368" s="33"/>
      <c r="J368" s="37"/>
    </row>
    <row r="369" spans="1:10" x14ac:dyDescent="0.3">
      <c r="A369" s="32" t="s">
        <v>23</v>
      </c>
      <c r="B369" s="32">
        <f t="shared" si="94"/>
        <v>2048</v>
      </c>
      <c r="C369" s="33" t="s">
        <v>31</v>
      </c>
      <c r="D369" s="34" t="s">
        <v>2002</v>
      </c>
      <c r="E369" s="35" t="str">
        <f t="shared" si="92"/>
        <v>PSND'!</v>
      </c>
      <c r="F369" s="34" t="str">
        <f t="shared" si="93"/>
        <v>C:\Users\jaime.benazar\Quorum Business Solutions\Ecopetrol Prometeo - Documents\Planning Space Implementation\3. Analysis &amp; Design\Design\FC22\DRR Jaime\Neiva CPI\[DINA TERCIARIOS_CF_SEC_New_27-Mar-2024.xlsx]D-PSND'!</v>
      </c>
      <c r="G369" s="32" t="s">
        <v>112</v>
      </c>
      <c r="H369" s="33"/>
      <c r="I369" s="33"/>
      <c r="J369" s="37"/>
    </row>
    <row r="370" spans="1:10" x14ac:dyDescent="0.3">
      <c r="A370" s="32" t="s">
        <v>23</v>
      </c>
      <c r="B370" s="32">
        <f t="shared" si="94"/>
        <v>2049</v>
      </c>
      <c r="C370" s="33" t="s">
        <v>31</v>
      </c>
      <c r="D370" s="34" t="s">
        <v>2002</v>
      </c>
      <c r="E370" s="35" t="str">
        <f t="shared" si="92"/>
        <v>PSND'!</v>
      </c>
      <c r="F370" s="34" t="str">
        <f t="shared" si="93"/>
        <v>C:\Users\jaime.benazar\Quorum Business Solutions\Ecopetrol Prometeo - Documents\Planning Space Implementation\3. Analysis &amp; Design\Design\FC22\DRR Jaime\Neiva CPI\[DINA TERCIARIOS_CF_SEC_New_27-Mar-2024.xlsx]D-PSND'!</v>
      </c>
      <c r="G370" s="32" t="s">
        <v>112</v>
      </c>
      <c r="H370" s="33"/>
      <c r="I370" s="33"/>
      <c r="J370" s="37"/>
    </row>
    <row r="371" spans="1:10" x14ac:dyDescent="0.3">
      <c r="A371" s="32" t="s">
        <v>23</v>
      </c>
      <c r="B371" s="32">
        <f t="shared" si="94"/>
        <v>2050</v>
      </c>
      <c r="C371" s="33" t="s">
        <v>31</v>
      </c>
      <c r="D371" s="34" t="s">
        <v>2002</v>
      </c>
      <c r="E371" s="35" t="str">
        <f t="shared" si="92"/>
        <v>PSND'!</v>
      </c>
      <c r="F371" s="34" t="str">
        <f t="shared" si="93"/>
        <v>C:\Users\jaime.benazar\Quorum Business Solutions\Ecopetrol Prometeo - Documents\Planning Space Implementation\3. Analysis &amp; Design\Design\FC22\DRR Jaime\Neiva CPI\[DINA TERCIARIOS_CF_SEC_New_27-Mar-2024.xlsx]D-PSND'!</v>
      </c>
      <c r="G371" s="32" t="s">
        <v>112</v>
      </c>
      <c r="H371" s="33"/>
      <c r="I371" s="33"/>
      <c r="J371" s="37"/>
    </row>
    <row r="372" spans="1:10" x14ac:dyDescent="0.3">
      <c r="A372" s="32" t="s">
        <v>23</v>
      </c>
      <c r="B372" s="32">
        <f t="shared" si="94"/>
        <v>2051</v>
      </c>
      <c r="C372" s="33" t="s">
        <v>31</v>
      </c>
      <c r="D372" s="34" t="s">
        <v>2002</v>
      </c>
      <c r="E372" s="35" t="str">
        <f t="shared" si="92"/>
        <v>PSND'!</v>
      </c>
      <c r="F372" s="34" t="str">
        <f t="shared" si="93"/>
        <v>C:\Users\jaime.benazar\Quorum Business Solutions\Ecopetrol Prometeo - Documents\Planning Space Implementation\3. Analysis &amp; Design\Design\FC22\DRR Jaime\Neiva CPI\[DINA TERCIARIOS_CF_SEC_New_27-Mar-2024.xlsx]D-PSND'!</v>
      </c>
      <c r="G372" s="32" t="s">
        <v>112</v>
      </c>
      <c r="H372" s="33"/>
      <c r="I372" s="33"/>
      <c r="J372" s="37"/>
    </row>
    <row r="373" spans="1:10" x14ac:dyDescent="0.3">
      <c r="A373" s="32" t="s">
        <v>23</v>
      </c>
      <c r="B373" s="32">
        <f t="shared" si="94"/>
        <v>2052</v>
      </c>
      <c r="C373" s="33" t="s">
        <v>31</v>
      </c>
      <c r="D373" s="34" t="s">
        <v>2002</v>
      </c>
      <c r="E373" s="35" t="str">
        <f t="shared" si="92"/>
        <v>PSND'!</v>
      </c>
      <c r="F373" s="34" t="str">
        <f t="shared" si="93"/>
        <v>C:\Users\jaime.benazar\Quorum Business Solutions\Ecopetrol Prometeo - Documents\Planning Space Implementation\3. Analysis &amp; Design\Design\FC22\DRR Jaime\Neiva CPI\[DINA TERCIARIOS_CF_SEC_New_27-Mar-2024.xlsx]D-PSND'!</v>
      </c>
      <c r="G373" s="32" t="s">
        <v>112</v>
      </c>
      <c r="H373" s="33"/>
      <c r="I373" s="33"/>
      <c r="J373" s="37"/>
    </row>
    <row r="374" spans="1:10" x14ac:dyDescent="0.3">
      <c r="A374" s="32" t="s">
        <v>23</v>
      </c>
      <c r="B374" s="32">
        <f t="shared" si="94"/>
        <v>2053</v>
      </c>
      <c r="C374" s="33" t="s">
        <v>31</v>
      </c>
      <c r="D374" s="34" t="s">
        <v>2002</v>
      </c>
      <c r="E374" s="35" t="str">
        <f t="shared" si="92"/>
        <v>PSND'!</v>
      </c>
      <c r="F374" s="34" t="str">
        <f t="shared" si="93"/>
        <v>C:\Users\jaime.benazar\Quorum Business Solutions\Ecopetrol Prometeo - Documents\Planning Space Implementation\3. Analysis &amp; Design\Design\FC22\DRR Jaime\Neiva CPI\[DINA TERCIARIOS_CF_SEC_New_27-Mar-2024.xlsx]D-PSND'!</v>
      </c>
      <c r="G374" s="32" t="s">
        <v>112</v>
      </c>
      <c r="H374" s="33"/>
      <c r="I374" s="33"/>
      <c r="J374" s="37"/>
    </row>
    <row r="375" spans="1:10" x14ac:dyDescent="0.3">
      <c r="A375" s="32" t="s">
        <v>23</v>
      </c>
      <c r="B375" s="32">
        <f t="shared" si="94"/>
        <v>2054</v>
      </c>
      <c r="C375" s="33" t="s">
        <v>31</v>
      </c>
      <c r="D375" s="34" t="s">
        <v>2002</v>
      </c>
      <c r="E375" s="35" t="str">
        <f t="shared" si="92"/>
        <v>PSND'!</v>
      </c>
      <c r="F375" s="34" t="str">
        <f t="shared" si="93"/>
        <v>C:\Users\jaime.benazar\Quorum Business Solutions\Ecopetrol Prometeo - Documents\Planning Space Implementation\3. Analysis &amp; Design\Design\FC22\DRR Jaime\Neiva CPI\[DINA TERCIARIOS_CF_SEC_New_27-Mar-2024.xlsx]D-PSND'!</v>
      </c>
      <c r="G375" s="32" t="s">
        <v>112</v>
      </c>
      <c r="H375" s="33"/>
      <c r="I375" s="33"/>
      <c r="J375" s="37"/>
    </row>
    <row r="376" spans="1:10" x14ac:dyDescent="0.3">
      <c r="A376" s="32" t="s">
        <v>23</v>
      </c>
      <c r="B376" s="32">
        <f t="shared" si="94"/>
        <v>2055</v>
      </c>
      <c r="C376" s="33" t="s">
        <v>31</v>
      </c>
      <c r="D376" s="34" t="s">
        <v>2002</v>
      </c>
      <c r="E376" s="35" t="str">
        <f t="shared" si="92"/>
        <v>PSND'!</v>
      </c>
      <c r="F376" s="34" t="str">
        <f t="shared" si="93"/>
        <v>C:\Users\jaime.benazar\Quorum Business Solutions\Ecopetrol Prometeo - Documents\Planning Space Implementation\3. Analysis &amp; Design\Design\FC22\DRR Jaime\Neiva CPI\[DINA TERCIARIOS_CF_SEC_New_27-Mar-2024.xlsx]D-PSND'!</v>
      </c>
      <c r="G376" s="32" t="s">
        <v>112</v>
      </c>
      <c r="H376" s="33"/>
      <c r="I376" s="33"/>
      <c r="J376" s="37"/>
    </row>
    <row r="377" spans="1:10" x14ac:dyDescent="0.3">
      <c r="A377" s="32" t="s">
        <v>23</v>
      </c>
      <c r="B377" s="32">
        <f t="shared" si="94"/>
        <v>2056</v>
      </c>
      <c r="C377" s="33" t="s">
        <v>31</v>
      </c>
      <c r="D377" s="34" t="s">
        <v>2002</v>
      </c>
      <c r="E377" s="35" t="str">
        <f t="shared" si="92"/>
        <v>PSND'!</v>
      </c>
      <c r="F377" s="34" t="str">
        <f t="shared" si="93"/>
        <v>C:\Users\jaime.benazar\Quorum Business Solutions\Ecopetrol Prometeo - Documents\Planning Space Implementation\3. Analysis &amp; Design\Design\FC22\DRR Jaime\Neiva CPI\[DINA TERCIARIOS_CF_SEC_New_27-Mar-2024.xlsx]D-PSND'!</v>
      </c>
      <c r="G377" s="32" t="s">
        <v>112</v>
      </c>
      <c r="H377" s="33"/>
      <c r="I377" s="33"/>
      <c r="J377" s="37"/>
    </row>
    <row r="378" spans="1:10" x14ac:dyDescent="0.3">
      <c r="A378" s="32" t="s">
        <v>23</v>
      </c>
      <c r="B378" s="32">
        <f t="shared" si="94"/>
        <v>2057</v>
      </c>
      <c r="C378" s="33" t="s">
        <v>31</v>
      </c>
      <c r="D378" s="34" t="s">
        <v>2002</v>
      </c>
      <c r="E378" s="35" t="str">
        <f t="shared" si="92"/>
        <v>PSND'!</v>
      </c>
      <c r="F378" s="34" t="str">
        <f t="shared" si="93"/>
        <v>C:\Users\jaime.benazar\Quorum Business Solutions\Ecopetrol Prometeo - Documents\Planning Space Implementation\3. Analysis &amp; Design\Design\FC22\DRR Jaime\Neiva CPI\[DINA TERCIARIOS_CF_SEC_New_27-Mar-2024.xlsx]D-PSND'!</v>
      </c>
      <c r="G378" s="32" t="s">
        <v>112</v>
      </c>
      <c r="H378" s="33"/>
      <c r="I378" s="33"/>
      <c r="J378" s="37"/>
    </row>
    <row r="379" spans="1:10" x14ac:dyDescent="0.3">
      <c r="A379" s="32" t="s">
        <v>23</v>
      </c>
      <c r="B379" s="32">
        <f t="shared" si="94"/>
        <v>2058</v>
      </c>
      <c r="C379" s="33" t="s">
        <v>31</v>
      </c>
      <c r="D379" s="34" t="s">
        <v>2002</v>
      </c>
      <c r="E379" s="35" t="str">
        <f t="shared" si="92"/>
        <v>PSND'!</v>
      </c>
      <c r="F379" s="34" t="str">
        <f t="shared" si="93"/>
        <v>C:\Users\jaime.benazar\Quorum Business Solutions\Ecopetrol Prometeo - Documents\Planning Space Implementation\3. Analysis &amp; Design\Design\FC22\DRR Jaime\Neiva CPI\[DINA TERCIARIOS_CF_SEC_New_27-Mar-2024.xlsx]D-PSND'!</v>
      </c>
      <c r="G379" s="32" t="s">
        <v>112</v>
      </c>
      <c r="H379" s="33"/>
      <c r="I379" s="33"/>
      <c r="J379" s="37"/>
    </row>
    <row r="380" spans="1:10" x14ac:dyDescent="0.3">
      <c r="A380" s="32" t="s">
        <v>23</v>
      </c>
      <c r="B380" s="32">
        <f t="shared" si="94"/>
        <v>2059</v>
      </c>
      <c r="C380" s="33" t="s">
        <v>31</v>
      </c>
      <c r="D380" s="34" t="s">
        <v>2002</v>
      </c>
      <c r="E380" s="35" t="str">
        <f t="shared" si="92"/>
        <v>PSND'!</v>
      </c>
      <c r="F380" s="34" t="str">
        <f t="shared" si="93"/>
        <v>C:\Users\jaime.benazar\Quorum Business Solutions\Ecopetrol Prometeo - Documents\Planning Space Implementation\3. Analysis &amp; Design\Design\FC22\DRR Jaime\Neiva CPI\[DINA TERCIARIOS_CF_SEC_New_27-Mar-2024.xlsx]D-PSND'!</v>
      </c>
      <c r="G380" s="32" t="s">
        <v>112</v>
      </c>
      <c r="H380" s="33"/>
      <c r="I380" s="33"/>
      <c r="J380" s="37"/>
    </row>
    <row r="381" spans="1:10" x14ac:dyDescent="0.3">
      <c r="A381" s="32" t="s">
        <v>26</v>
      </c>
      <c r="B381" s="32"/>
      <c r="C381" s="33" t="s">
        <v>31</v>
      </c>
      <c r="D381" s="34"/>
      <c r="E381" s="35"/>
      <c r="F381" s="34"/>
      <c r="G381" s="32"/>
      <c r="H381" s="33"/>
      <c r="I381" s="33"/>
      <c r="J381" s="33"/>
    </row>
    <row r="382" spans="1:10" x14ac:dyDescent="0.3">
      <c r="A382" s="32" t="s">
        <v>24</v>
      </c>
      <c r="B382" s="32">
        <v>2023</v>
      </c>
      <c r="C382" s="33" t="s">
        <v>31</v>
      </c>
      <c r="D382" s="34" t="s">
        <v>2002</v>
      </c>
      <c r="E382" s="35" t="str">
        <f t="shared" si="29"/>
        <v>PS'!</v>
      </c>
      <c r="F382" s="34" t="str">
        <f t="shared" si="30"/>
        <v>C:\Users\jaime.benazar\Quorum Business Solutions\Ecopetrol Prometeo - Documents\Planning Space Implementation\3. Analysis &amp; Design\Design\FC22\DRR Jaime\Neiva CPI\[DINA TERCIARIOS_CF_SEC_New_27-Mar-2024.xlsx]D-PS'!</v>
      </c>
      <c r="G382" s="32" t="s">
        <v>112</v>
      </c>
      <c r="H382" s="33">
        <v>12</v>
      </c>
      <c r="I382" s="33" t="str">
        <f t="shared" si="31"/>
        <v>='C:\Users\jaime.benazar\Quorum Business Solutions\Ecopetrol Prometeo - Documents\Planning Space Implementation\3. Analysis &amp; Design\Design\FC22\DRR Jaime\Neiva CPI\[DINA TERCIARIOS_CF_SEC_New_27-Mar-2024.xlsx]D-PS'!$BB$12</v>
      </c>
      <c r="J382" s="37" t="s">
        <v>2151</v>
      </c>
    </row>
    <row r="383" spans="1:10" x14ac:dyDescent="0.3">
      <c r="A383" s="32" t="s">
        <v>24</v>
      </c>
      <c r="B383" s="32">
        <f>+B382+1</f>
        <v>2024</v>
      </c>
      <c r="C383" s="33" t="s">
        <v>31</v>
      </c>
      <c r="D383" s="34" t="s">
        <v>2002</v>
      </c>
      <c r="E383" s="35" t="str">
        <f t="shared" si="29"/>
        <v>PS'!</v>
      </c>
      <c r="F383" s="34" t="str">
        <f t="shared" si="30"/>
        <v>C:\Users\jaime.benazar\Quorum Business Solutions\Ecopetrol Prometeo - Documents\Planning Space Implementation\3. Analysis &amp; Design\Design\FC22\DRR Jaime\Neiva CPI\[DINA TERCIARIOS_CF_SEC_New_27-Mar-2024.xlsx]D-PS'!</v>
      </c>
      <c r="G383" s="32" t="s">
        <v>112</v>
      </c>
      <c r="H383" s="33">
        <f>IF(A383&lt;&gt;A382,12,H382+1)</f>
        <v>13</v>
      </c>
      <c r="I383" s="33" t="str">
        <f t="shared" si="31"/>
        <v>='C:\Users\jaime.benazar\Quorum Business Solutions\Ecopetrol Prometeo - Documents\Planning Space Implementation\3. Analysis &amp; Design\Design\FC22\DRR Jaime\Neiva CPI\[DINA TERCIARIOS_CF_SEC_New_27-Mar-2024.xlsx]D-PS'!$BB$13</v>
      </c>
      <c r="J383" s="37" t="s">
        <v>2152</v>
      </c>
    </row>
    <row r="384" spans="1:10" x14ac:dyDescent="0.3">
      <c r="A384" s="32" t="s">
        <v>24</v>
      </c>
      <c r="B384" s="32">
        <f t="shared" ref="B384:B395" si="95">+B383+1</f>
        <v>2025</v>
      </c>
      <c r="C384" s="33" t="s">
        <v>31</v>
      </c>
      <c r="D384" s="34" t="s">
        <v>2002</v>
      </c>
      <c r="E384" s="35" t="str">
        <f t="shared" si="29"/>
        <v>PS'!</v>
      </c>
      <c r="F384" s="34" t="str">
        <f t="shared" si="30"/>
        <v>C:\Users\jaime.benazar\Quorum Business Solutions\Ecopetrol Prometeo - Documents\Planning Space Implementation\3. Analysis &amp; Design\Design\FC22\DRR Jaime\Neiva CPI\[DINA TERCIARIOS_CF_SEC_New_27-Mar-2024.xlsx]D-PS'!</v>
      </c>
      <c r="G384" s="32" t="s">
        <v>112</v>
      </c>
      <c r="H384" s="33">
        <f t="shared" ref="H384:H402" si="96">IF(A384&lt;&gt;A383,12,H383+1)</f>
        <v>14</v>
      </c>
      <c r="I384" s="33" t="str">
        <f t="shared" si="31"/>
        <v>='C:\Users\jaime.benazar\Quorum Business Solutions\Ecopetrol Prometeo - Documents\Planning Space Implementation\3. Analysis &amp; Design\Design\FC22\DRR Jaime\Neiva CPI\[DINA TERCIARIOS_CF_SEC_New_27-Mar-2024.xlsx]D-PS'!$BB$14</v>
      </c>
      <c r="J384" s="37" t="s">
        <v>2153</v>
      </c>
    </row>
    <row r="385" spans="1:10" x14ac:dyDescent="0.3">
      <c r="A385" s="32" t="s">
        <v>24</v>
      </c>
      <c r="B385" s="32">
        <f t="shared" si="95"/>
        <v>2026</v>
      </c>
      <c r="C385" s="33" t="s">
        <v>31</v>
      </c>
      <c r="D385" s="34" t="s">
        <v>2002</v>
      </c>
      <c r="E385" s="35" t="str">
        <f t="shared" si="29"/>
        <v>PS'!</v>
      </c>
      <c r="F385" s="34" t="str">
        <f t="shared" si="30"/>
        <v>C:\Users\jaime.benazar\Quorum Business Solutions\Ecopetrol Prometeo - Documents\Planning Space Implementation\3. Analysis &amp; Design\Design\FC22\DRR Jaime\Neiva CPI\[DINA TERCIARIOS_CF_SEC_New_27-Mar-2024.xlsx]D-PS'!</v>
      </c>
      <c r="G385" s="32" t="s">
        <v>112</v>
      </c>
      <c r="H385" s="33">
        <f t="shared" si="96"/>
        <v>15</v>
      </c>
      <c r="I385" s="33" t="str">
        <f t="shared" si="31"/>
        <v>='C:\Users\jaime.benazar\Quorum Business Solutions\Ecopetrol Prometeo - Documents\Planning Space Implementation\3. Analysis &amp; Design\Design\FC22\DRR Jaime\Neiva CPI\[DINA TERCIARIOS_CF_SEC_New_27-Mar-2024.xlsx]D-PS'!$BB$15</v>
      </c>
      <c r="J385" s="37" t="s">
        <v>2154</v>
      </c>
    </row>
    <row r="386" spans="1:10" x14ac:dyDescent="0.3">
      <c r="A386" s="32" t="s">
        <v>24</v>
      </c>
      <c r="B386" s="32">
        <f t="shared" si="95"/>
        <v>2027</v>
      </c>
      <c r="C386" s="33" t="s">
        <v>31</v>
      </c>
      <c r="D386" s="34" t="s">
        <v>2002</v>
      </c>
      <c r="E386" s="35" t="str">
        <f t="shared" si="29"/>
        <v>PS'!</v>
      </c>
      <c r="F386" s="34" t="str">
        <f t="shared" si="30"/>
        <v>C:\Users\jaime.benazar\Quorum Business Solutions\Ecopetrol Prometeo - Documents\Planning Space Implementation\3. Analysis &amp; Design\Design\FC22\DRR Jaime\Neiva CPI\[DINA TERCIARIOS_CF_SEC_New_27-Mar-2024.xlsx]D-PS'!</v>
      </c>
      <c r="G386" s="32" t="s">
        <v>112</v>
      </c>
      <c r="H386" s="33">
        <f t="shared" si="96"/>
        <v>16</v>
      </c>
      <c r="I386" s="33" t="str">
        <f t="shared" si="31"/>
        <v>='C:\Users\jaime.benazar\Quorum Business Solutions\Ecopetrol Prometeo - Documents\Planning Space Implementation\3. Analysis &amp; Design\Design\FC22\DRR Jaime\Neiva CPI\[DINA TERCIARIOS_CF_SEC_New_27-Mar-2024.xlsx]D-PS'!$BB$16</v>
      </c>
      <c r="J386" s="37" t="s">
        <v>2155</v>
      </c>
    </row>
    <row r="387" spans="1:10" x14ac:dyDescent="0.3">
      <c r="A387" s="32" t="s">
        <v>24</v>
      </c>
      <c r="B387" s="32">
        <f t="shared" si="95"/>
        <v>2028</v>
      </c>
      <c r="C387" s="33" t="s">
        <v>31</v>
      </c>
      <c r="D387" s="34" t="s">
        <v>2002</v>
      </c>
      <c r="E387" s="35" t="str">
        <f t="shared" si="29"/>
        <v>PS'!</v>
      </c>
      <c r="F387" s="34" t="str">
        <f t="shared" si="30"/>
        <v>C:\Users\jaime.benazar\Quorum Business Solutions\Ecopetrol Prometeo - Documents\Planning Space Implementation\3. Analysis &amp; Design\Design\FC22\DRR Jaime\Neiva CPI\[DINA TERCIARIOS_CF_SEC_New_27-Mar-2024.xlsx]D-PS'!</v>
      </c>
      <c r="G387" s="32" t="s">
        <v>112</v>
      </c>
      <c r="H387" s="33">
        <f t="shared" si="96"/>
        <v>17</v>
      </c>
      <c r="I387" s="33" t="str">
        <f t="shared" si="31"/>
        <v>='C:\Users\jaime.benazar\Quorum Business Solutions\Ecopetrol Prometeo - Documents\Planning Space Implementation\3. Analysis &amp; Design\Design\FC22\DRR Jaime\Neiva CPI\[DINA TERCIARIOS_CF_SEC_New_27-Mar-2024.xlsx]D-PS'!$BB$17</v>
      </c>
      <c r="J387" s="37" t="s">
        <v>2156</v>
      </c>
    </row>
    <row r="388" spans="1:10" x14ac:dyDescent="0.3">
      <c r="A388" s="32" t="s">
        <v>24</v>
      </c>
      <c r="B388" s="32">
        <f t="shared" si="95"/>
        <v>2029</v>
      </c>
      <c r="C388" s="33" t="s">
        <v>31</v>
      </c>
      <c r="D388" s="34" t="s">
        <v>2002</v>
      </c>
      <c r="E388" s="35" t="str">
        <f t="shared" si="29"/>
        <v>PS'!</v>
      </c>
      <c r="F388" s="34" t="str">
        <f t="shared" si="30"/>
        <v>C:\Users\jaime.benazar\Quorum Business Solutions\Ecopetrol Prometeo - Documents\Planning Space Implementation\3. Analysis &amp; Design\Design\FC22\DRR Jaime\Neiva CPI\[DINA TERCIARIOS_CF_SEC_New_27-Mar-2024.xlsx]D-PS'!</v>
      </c>
      <c r="G388" s="32" t="s">
        <v>112</v>
      </c>
      <c r="H388" s="33">
        <f t="shared" si="96"/>
        <v>18</v>
      </c>
      <c r="I388" s="33" t="str">
        <f t="shared" si="31"/>
        <v>='C:\Users\jaime.benazar\Quorum Business Solutions\Ecopetrol Prometeo - Documents\Planning Space Implementation\3. Analysis &amp; Design\Design\FC22\DRR Jaime\Neiva CPI\[DINA TERCIARIOS_CF_SEC_New_27-Mar-2024.xlsx]D-PS'!$BB$18</v>
      </c>
      <c r="J388" s="37" t="s">
        <v>2157</v>
      </c>
    </row>
    <row r="389" spans="1:10" x14ac:dyDescent="0.3">
      <c r="A389" s="32" t="s">
        <v>24</v>
      </c>
      <c r="B389" s="32">
        <f t="shared" si="95"/>
        <v>2030</v>
      </c>
      <c r="C389" s="33" t="s">
        <v>31</v>
      </c>
      <c r="D389" s="34" t="s">
        <v>2002</v>
      </c>
      <c r="E389" s="35" t="str">
        <f t="shared" si="29"/>
        <v>PS'!</v>
      </c>
      <c r="F389" s="34" t="str">
        <f t="shared" si="30"/>
        <v>C:\Users\jaime.benazar\Quorum Business Solutions\Ecopetrol Prometeo - Documents\Planning Space Implementation\3. Analysis &amp; Design\Design\FC22\DRR Jaime\Neiva CPI\[DINA TERCIARIOS_CF_SEC_New_27-Mar-2024.xlsx]D-PS'!</v>
      </c>
      <c r="G389" s="32" t="s">
        <v>112</v>
      </c>
      <c r="H389" s="33">
        <f t="shared" si="96"/>
        <v>19</v>
      </c>
      <c r="I389" s="33" t="str">
        <f t="shared" si="31"/>
        <v>='C:\Users\jaime.benazar\Quorum Business Solutions\Ecopetrol Prometeo - Documents\Planning Space Implementation\3. Analysis &amp; Design\Design\FC22\DRR Jaime\Neiva CPI\[DINA TERCIARIOS_CF_SEC_New_27-Mar-2024.xlsx]D-PS'!$BB$19</v>
      </c>
      <c r="J389" s="37" t="s">
        <v>2158</v>
      </c>
    </row>
    <row r="390" spans="1:10" x14ac:dyDescent="0.3">
      <c r="A390" s="32" t="s">
        <v>24</v>
      </c>
      <c r="B390" s="32">
        <f t="shared" si="95"/>
        <v>2031</v>
      </c>
      <c r="C390" s="33" t="s">
        <v>31</v>
      </c>
      <c r="D390" s="34" t="s">
        <v>2002</v>
      </c>
      <c r="E390" s="35" t="str">
        <f t="shared" si="29"/>
        <v>PS'!</v>
      </c>
      <c r="F390" s="34" t="str">
        <f t="shared" si="30"/>
        <v>C:\Users\jaime.benazar\Quorum Business Solutions\Ecopetrol Prometeo - Documents\Planning Space Implementation\3. Analysis &amp; Design\Design\FC22\DRR Jaime\Neiva CPI\[DINA TERCIARIOS_CF_SEC_New_27-Mar-2024.xlsx]D-PS'!</v>
      </c>
      <c r="G390" s="32" t="s">
        <v>112</v>
      </c>
      <c r="H390" s="33">
        <f t="shared" si="96"/>
        <v>20</v>
      </c>
      <c r="I390" s="33" t="str">
        <f t="shared" si="31"/>
        <v>='C:\Users\jaime.benazar\Quorum Business Solutions\Ecopetrol Prometeo - Documents\Planning Space Implementation\3. Analysis &amp; Design\Design\FC22\DRR Jaime\Neiva CPI\[DINA TERCIARIOS_CF_SEC_New_27-Mar-2024.xlsx]D-PS'!$BB$20</v>
      </c>
      <c r="J390" s="37" t="s">
        <v>2159</v>
      </c>
    </row>
    <row r="391" spans="1:10" x14ac:dyDescent="0.3">
      <c r="A391" s="32" t="s">
        <v>24</v>
      </c>
      <c r="B391" s="32">
        <f t="shared" si="95"/>
        <v>2032</v>
      </c>
      <c r="C391" s="33" t="s">
        <v>31</v>
      </c>
      <c r="D391" s="34" t="s">
        <v>2002</v>
      </c>
      <c r="E391" s="35" t="str">
        <f t="shared" si="29"/>
        <v>PS'!</v>
      </c>
      <c r="F391" s="34" t="str">
        <f t="shared" si="30"/>
        <v>C:\Users\jaime.benazar\Quorum Business Solutions\Ecopetrol Prometeo - Documents\Planning Space Implementation\3. Analysis &amp; Design\Design\FC22\DRR Jaime\Neiva CPI\[DINA TERCIARIOS_CF_SEC_New_27-Mar-2024.xlsx]D-PS'!</v>
      </c>
      <c r="G391" s="32" t="s">
        <v>112</v>
      </c>
      <c r="H391" s="33">
        <f t="shared" si="96"/>
        <v>21</v>
      </c>
      <c r="I391" s="33" t="str">
        <f t="shared" si="31"/>
        <v>='C:\Users\jaime.benazar\Quorum Business Solutions\Ecopetrol Prometeo - Documents\Planning Space Implementation\3. Analysis &amp; Design\Design\FC22\DRR Jaime\Neiva CPI\[DINA TERCIARIOS_CF_SEC_New_27-Mar-2024.xlsx]D-PS'!$BB$21</v>
      </c>
      <c r="J391" s="37" t="s">
        <v>2160</v>
      </c>
    </row>
    <row r="392" spans="1:10" x14ac:dyDescent="0.3">
      <c r="A392" s="32" t="s">
        <v>24</v>
      </c>
      <c r="B392" s="32">
        <f t="shared" si="95"/>
        <v>2033</v>
      </c>
      <c r="C392" s="33" t="s">
        <v>31</v>
      </c>
      <c r="D392" s="34" t="s">
        <v>2002</v>
      </c>
      <c r="E392" s="35" t="str">
        <f t="shared" si="29"/>
        <v>PS'!</v>
      </c>
      <c r="F392" s="34" t="str">
        <f t="shared" si="30"/>
        <v>C:\Users\jaime.benazar\Quorum Business Solutions\Ecopetrol Prometeo - Documents\Planning Space Implementation\3. Analysis &amp; Design\Design\FC22\DRR Jaime\Neiva CPI\[DINA TERCIARIOS_CF_SEC_New_27-Mar-2024.xlsx]D-PS'!</v>
      </c>
      <c r="G392" s="32" t="s">
        <v>112</v>
      </c>
      <c r="H392" s="33">
        <f t="shared" si="96"/>
        <v>22</v>
      </c>
      <c r="I392" s="33" t="str">
        <f t="shared" si="31"/>
        <v>='C:\Users\jaime.benazar\Quorum Business Solutions\Ecopetrol Prometeo - Documents\Planning Space Implementation\3. Analysis &amp; Design\Design\FC22\DRR Jaime\Neiva CPI\[DINA TERCIARIOS_CF_SEC_New_27-Mar-2024.xlsx]D-PS'!$BB$22</v>
      </c>
      <c r="J392" s="37" t="s">
        <v>2161</v>
      </c>
    </row>
    <row r="393" spans="1:10" x14ac:dyDescent="0.3">
      <c r="A393" s="32" t="s">
        <v>24</v>
      </c>
      <c r="B393" s="32">
        <f t="shared" si="95"/>
        <v>2034</v>
      </c>
      <c r="C393" s="33" t="s">
        <v>31</v>
      </c>
      <c r="D393" s="34" t="s">
        <v>2002</v>
      </c>
      <c r="E393" s="35" t="str">
        <f t="shared" si="29"/>
        <v>PS'!</v>
      </c>
      <c r="F393" s="34" t="str">
        <f t="shared" si="30"/>
        <v>C:\Users\jaime.benazar\Quorum Business Solutions\Ecopetrol Prometeo - Documents\Planning Space Implementation\3. Analysis &amp; Design\Design\FC22\DRR Jaime\Neiva CPI\[DINA TERCIARIOS_CF_SEC_New_27-Mar-2024.xlsx]D-PS'!</v>
      </c>
      <c r="G393" s="32" t="s">
        <v>112</v>
      </c>
      <c r="H393" s="33">
        <f t="shared" si="96"/>
        <v>23</v>
      </c>
      <c r="I393" s="33" t="str">
        <f t="shared" si="31"/>
        <v>='C:\Users\jaime.benazar\Quorum Business Solutions\Ecopetrol Prometeo - Documents\Planning Space Implementation\3. Analysis &amp; Design\Design\FC22\DRR Jaime\Neiva CPI\[DINA TERCIARIOS_CF_SEC_New_27-Mar-2024.xlsx]D-PS'!$BB$23</v>
      </c>
      <c r="J393" s="37" t="s">
        <v>2162</v>
      </c>
    </row>
    <row r="394" spans="1:10" x14ac:dyDescent="0.3">
      <c r="A394" s="32" t="s">
        <v>24</v>
      </c>
      <c r="B394" s="32">
        <f t="shared" si="95"/>
        <v>2035</v>
      </c>
      <c r="C394" s="33" t="s">
        <v>31</v>
      </c>
      <c r="D394" s="34" t="s">
        <v>2002</v>
      </c>
      <c r="E394" s="35" t="str">
        <f t="shared" si="29"/>
        <v>PS'!</v>
      </c>
      <c r="F394" s="34" t="str">
        <f t="shared" si="30"/>
        <v>C:\Users\jaime.benazar\Quorum Business Solutions\Ecopetrol Prometeo - Documents\Planning Space Implementation\3. Analysis &amp; Design\Design\FC22\DRR Jaime\Neiva CPI\[DINA TERCIARIOS_CF_SEC_New_27-Mar-2024.xlsx]D-PS'!</v>
      </c>
      <c r="G394" s="32" t="s">
        <v>112</v>
      </c>
      <c r="H394" s="33">
        <f t="shared" si="96"/>
        <v>24</v>
      </c>
      <c r="I394" s="33" t="str">
        <f t="shared" si="31"/>
        <v>='C:\Users\jaime.benazar\Quorum Business Solutions\Ecopetrol Prometeo - Documents\Planning Space Implementation\3. Analysis &amp; Design\Design\FC22\DRR Jaime\Neiva CPI\[DINA TERCIARIOS_CF_SEC_New_27-Mar-2024.xlsx]D-PS'!$BB$24</v>
      </c>
      <c r="J394" s="37" t="s">
        <v>2163</v>
      </c>
    </row>
    <row r="395" spans="1:10" x14ac:dyDescent="0.3">
      <c r="A395" s="32" t="s">
        <v>24</v>
      </c>
      <c r="B395" s="32">
        <f t="shared" si="95"/>
        <v>2036</v>
      </c>
      <c r="C395" s="33" t="s">
        <v>31</v>
      </c>
      <c r="D395" s="34" t="s">
        <v>2002</v>
      </c>
      <c r="E395" s="35" t="str">
        <f t="shared" si="29"/>
        <v>PS'!</v>
      </c>
      <c r="F395" s="34" t="str">
        <f t="shared" si="30"/>
        <v>C:\Users\jaime.benazar\Quorum Business Solutions\Ecopetrol Prometeo - Documents\Planning Space Implementation\3. Analysis &amp; Design\Design\FC22\DRR Jaime\Neiva CPI\[DINA TERCIARIOS_CF_SEC_New_27-Mar-2024.xlsx]D-PS'!</v>
      </c>
      <c r="G395" s="32" t="s">
        <v>112</v>
      </c>
      <c r="H395" s="33">
        <f t="shared" si="96"/>
        <v>25</v>
      </c>
      <c r="I395" s="33" t="str">
        <f t="shared" si="31"/>
        <v>='C:\Users\jaime.benazar\Quorum Business Solutions\Ecopetrol Prometeo - Documents\Planning Space Implementation\3. Analysis &amp; Design\Design\FC22\DRR Jaime\Neiva CPI\[DINA TERCIARIOS_CF_SEC_New_27-Mar-2024.xlsx]D-PS'!$BB$25</v>
      </c>
      <c r="J395" s="37" t="s">
        <v>2164</v>
      </c>
    </row>
    <row r="396" spans="1:10" x14ac:dyDescent="0.3">
      <c r="A396" s="32" t="s">
        <v>24</v>
      </c>
      <c r="B396" s="32">
        <f>+B395+1</f>
        <v>2037</v>
      </c>
      <c r="C396" s="33" t="s">
        <v>31</v>
      </c>
      <c r="D396" s="34" t="s">
        <v>2002</v>
      </c>
      <c r="E396" s="35" t="str">
        <f t="shared" si="29"/>
        <v>PS'!</v>
      </c>
      <c r="F396" s="34" t="str">
        <f t="shared" si="30"/>
        <v>C:\Users\jaime.benazar\Quorum Business Solutions\Ecopetrol Prometeo - Documents\Planning Space Implementation\3. Analysis &amp; Design\Design\FC22\DRR Jaime\Neiva CPI\[DINA TERCIARIOS_CF_SEC_New_27-Mar-2024.xlsx]D-PS'!</v>
      </c>
      <c r="G396" s="32" t="s">
        <v>112</v>
      </c>
      <c r="H396" s="33">
        <f t="shared" si="96"/>
        <v>26</v>
      </c>
      <c r="I396" s="33" t="str">
        <f t="shared" si="31"/>
        <v>='C:\Users\jaime.benazar\Quorum Business Solutions\Ecopetrol Prometeo - Documents\Planning Space Implementation\3. Analysis &amp; Design\Design\FC22\DRR Jaime\Neiva CPI\[DINA TERCIARIOS_CF_SEC_New_27-Mar-2024.xlsx]D-PS'!$BB$26</v>
      </c>
      <c r="J396" s="37" t="s">
        <v>2165</v>
      </c>
    </row>
    <row r="397" spans="1:10" x14ac:dyDescent="0.3">
      <c r="A397" s="32" t="s">
        <v>24</v>
      </c>
      <c r="B397" s="32">
        <f t="shared" ref="B397:B399" si="97">+B396+1</f>
        <v>2038</v>
      </c>
      <c r="C397" s="33" t="s">
        <v>31</v>
      </c>
      <c r="D397" s="34" t="s">
        <v>2002</v>
      </c>
      <c r="E397" s="35" t="str">
        <f t="shared" si="29"/>
        <v>PS'!</v>
      </c>
      <c r="F397" s="34" t="str">
        <f t="shared" si="30"/>
        <v>C:\Users\jaime.benazar\Quorum Business Solutions\Ecopetrol Prometeo - Documents\Planning Space Implementation\3. Analysis &amp; Design\Design\FC22\DRR Jaime\Neiva CPI\[DINA TERCIARIOS_CF_SEC_New_27-Mar-2024.xlsx]D-PS'!</v>
      </c>
      <c r="G397" s="32" t="s">
        <v>112</v>
      </c>
      <c r="H397" s="33">
        <f t="shared" si="96"/>
        <v>27</v>
      </c>
      <c r="I397" s="33" t="str">
        <f t="shared" si="31"/>
        <v>='C:\Users\jaime.benazar\Quorum Business Solutions\Ecopetrol Prometeo - Documents\Planning Space Implementation\3. Analysis &amp; Design\Design\FC22\DRR Jaime\Neiva CPI\[DINA TERCIARIOS_CF_SEC_New_27-Mar-2024.xlsx]D-PS'!$BB$27</v>
      </c>
      <c r="J397" s="37" t="s">
        <v>2166</v>
      </c>
    </row>
    <row r="398" spans="1:10" x14ac:dyDescent="0.3">
      <c r="A398" s="32" t="s">
        <v>24</v>
      </c>
      <c r="B398" s="32">
        <f t="shared" si="97"/>
        <v>2039</v>
      </c>
      <c r="C398" s="33" t="s">
        <v>31</v>
      </c>
      <c r="D398" s="34" t="s">
        <v>2002</v>
      </c>
      <c r="E398" s="35" t="str">
        <f t="shared" si="29"/>
        <v>PS'!</v>
      </c>
      <c r="F398" s="34" t="str">
        <f t="shared" si="30"/>
        <v>C:\Users\jaime.benazar\Quorum Business Solutions\Ecopetrol Prometeo - Documents\Planning Space Implementation\3. Analysis &amp; Design\Design\FC22\DRR Jaime\Neiva CPI\[DINA TERCIARIOS_CF_SEC_New_27-Mar-2024.xlsx]D-PS'!</v>
      </c>
      <c r="G398" s="32" t="s">
        <v>112</v>
      </c>
      <c r="H398" s="33">
        <f t="shared" si="96"/>
        <v>28</v>
      </c>
      <c r="I398" s="33" t="str">
        <f t="shared" si="31"/>
        <v>='C:\Users\jaime.benazar\Quorum Business Solutions\Ecopetrol Prometeo - Documents\Planning Space Implementation\3. Analysis &amp; Design\Design\FC22\DRR Jaime\Neiva CPI\[DINA TERCIARIOS_CF_SEC_New_27-Mar-2024.xlsx]D-PS'!$BB$28</v>
      </c>
      <c r="J398" s="37" t="s">
        <v>2167</v>
      </c>
    </row>
    <row r="399" spans="1:10" x14ac:dyDescent="0.3">
      <c r="A399" s="32" t="s">
        <v>24</v>
      </c>
      <c r="B399" s="32">
        <f t="shared" si="97"/>
        <v>2040</v>
      </c>
      <c r="C399" s="33" t="s">
        <v>31</v>
      </c>
      <c r="D399" s="34" t="s">
        <v>2002</v>
      </c>
      <c r="E399" s="35" t="str">
        <f t="shared" si="29"/>
        <v>PS'!</v>
      </c>
      <c r="F399" s="34" t="str">
        <f t="shared" si="30"/>
        <v>C:\Users\jaime.benazar\Quorum Business Solutions\Ecopetrol Prometeo - Documents\Planning Space Implementation\3. Analysis &amp; Design\Design\FC22\DRR Jaime\Neiva CPI\[DINA TERCIARIOS_CF_SEC_New_27-Mar-2024.xlsx]D-PS'!</v>
      </c>
      <c r="G399" s="32" t="s">
        <v>112</v>
      </c>
      <c r="H399" s="33">
        <f t="shared" si="96"/>
        <v>29</v>
      </c>
      <c r="I399" s="33" t="str">
        <f t="shared" si="31"/>
        <v>='C:\Users\jaime.benazar\Quorum Business Solutions\Ecopetrol Prometeo - Documents\Planning Space Implementation\3. Analysis &amp; Design\Design\FC22\DRR Jaime\Neiva CPI\[DINA TERCIARIOS_CF_SEC_New_27-Mar-2024.xlsx]D-PS'!$BB$29</v>
      </c>
      <c r="J399" s="37" t="s">
        <v>2168</v>
      </c>
    </row>
    <row r="400" spans="1:10" x14ac:dyDescent="0.3">
      <c r="A400" s="32" t="s">
        <v>24</v>
      </c>
      <c r="B400" s="32">
        <f>+B399+1</f>
        <v>2041</v>
      </c>
      <c r="C400" s="33" t="s">
        <v>31</v>
      </c>
      <c r="D400" s="34" t="s">
        <v>2002</v>
      </c>
      <c r="E400" s="35" t="str">
        <f t="shared" si="29"/>
        <v>PS'!</v>
      </c>
      <c r="F400" s="34" t="str">
        <f t="shared" si="30"/>
        <v>C:\Users\jaime.benazar\Quorum Business Solutions\Ecopetrol Prometeo - Documents\Planning Space Implementation\3. Analysis &amp; Design\Design\FC22\DRR Jaime\Neiva CPI\[DINA TERCIARIOS_CF_SEC_New_27-Mar-2024.xlsx]D-PS'!</v>
      </c>
      <c r="G400" s="32" t="s">
        <v>112</v>
      </c>
      <c r="H400" s="33">
        <f t="shared" si="96"/>
        <v>30</v>
      </c>
      <c r="I400" s="33" t="str">
        <f t="shared" si="31"/>
        <v>='C:\Users\jaime.benazar\Quorum Business Solutions\Ecopetrol Prometeo - Documents\Planning Space Implementation\3. Analysis &amp; Design\Design\FC22\DRR Jaime\Neiva CPI\[DINA TERCIARIOS_CF_SEC_New_27-Mar-2024.xlsx]D-PS'!$BB$30</v>
      </c>
      <c r="J400" s="37" t="s">
        <v>2169</v>
      </c>
    </row>
    <row r="401" spans="1:10" x14ac:dyDescent="0.3">
      <c r="A401" s="32" t="s">
        <v>24</v>
      </c>
      <c r="B401" s="32">
        <f t="shared" ref="B401:B402" si="98">+B400+1</f>
        <v>2042</v>
      </c>
      <c r="C401" s="33" t="s">
        <v>31</v>
      </c>
      <c r="D401" s="34" t="s">
        <v>2002</v>
      </c>
      <c r="E401" s="35" t="str">
        <f t="shared" si="29"/>
        <v>PS'!</v>
      </c>
      <c r="F401" s="34" t="str">
        <f t="shared" si="30"/>
        <v>C:\Users\jaime.benazar\Quorum Business Solutions\Ecopetrol Prometeo - Documents\Planning Space Implementation\3. Analysis &amp; Design\Design\FC22\DRR Jaime\Neiva CPI\[DINA TERCIARIOS_CF_SEC_New_27-Mar-2024.xlsx]D-PS'!</v>
      </c>
      <c r="G401" s="32" t="s">
        <v>112</v>
      </c>
      <c r="H401" s="33">
        <f t="shared" si="96"/>
        <v>31</v>
      </c>
      <c r="I401" s="33" t="str">
        <f t="shared" si="31"/>
        <v>='C:\Users\jaime.benazar\Quorum Business Solutions\Ecopetrol Prometeo - Documents\Planning Space Implementation\3. Analysis &amp; Design\Design\FC22\DRR Jaime\Neiva CPI\[DINA TERCIARIOS_CF_SEC_New_27-Mar-2024.xlsx]D-PS'!$BB$31</v>
      </c>
      <c r="J401" s="37" t="s">
        <v>2170</v>
      </c>
    </row>
    <row r="402" spans="1:10" x14ac:dyDescent="0.3">
      <c r="A402" s="32" t="s">
        <v>24</v>
      </c>
      <c r="B402" s="32">
        <f t="shared" si="98"/>
        <v>2043</v>
      </c>
      <c r="C402" s="33" t="s">
        <v>31</v>
      </c>
      <c r="D402" s="34" t="s">
        <v>2002</v>
      </c>
      <c r="E402" s="35" t="str">
        <f t="shared" si="29"/>
        <v>PS'!</v>
      </c>
      <c r="F402" s="34" t="str">
        <f t="shared" si="30"/>
        <v>C:\Users\jaime.benazar\Quorum Business Solutions\Ecopetrol Prometeo - Documents\Planning Space Implementation\3. Analysis &amp; Design\Design\FC22\DRR Jaime\Neiva CPI\[DINA TERCIARIOS_CF_SEC_New_27-Mar-2024.xlsx]D-PS'!</v>
      </c>
      <c r="G402" s="32" t="s">
        <v>112</v>
      </c>
      <c r="H402" s="33">
        <f t="shared" si="96"/>
        <v>32</v>
      </c>
      <c r="I402" s="33" t="str">
        <f t="shared" si="31"/>
        <v>='C:\Users\jaime.benazar\Quorum Business Solutions\Ecopetrol Prometeo - Documents\Planning Space Implementation\3. Analysis &amp; Design\Design\FC22\DRR Jaime\Neiva CPI\[DINA TERCIARIOS_CF_SEC_New_27-Mar-2024.xlsx]D-PS'!$BB$32</v>
      </c>
      <c r="J402" s="37" t="s">
        <v>2171</v>
      </c>
    </row>
    <row r="403" spans="1:10" x14ac:dyDescent="0.3">
      <c r="A403" s="32" t="s">
        <v>24</v>
      </c>
      <c r="B403" s="32">
        <f>+B402+1</f>
        <v>2044</v>
      </c>
      <c r="C403" s="33" t="s">
        <v>31</v>
      </c>
      <c r="D403" s="34" t="s">
        <v>2002</v>
      </c>
      <c r="E403" s="35" t="str">
        <f t="shared" ref="E403:E418" si="99">_xlfn.CONCAT(A403,"'!")</f>
        <v>PS'!</v>
      </c>
      <c r="F403" s="34" t="str">
        <f t="shared" ref="F403:F418" si="100">_xlfn.CONCAT(D403:E403)</f>
        <v>C:\Users\jaime.benazar\Quorum Business Solutions\Ecopetrol Prometeo - Documents\Planning Space Implementation\3. Analysis &amp; Design\Design\FC22\DRR Jaime\Neiva CPI\[DINA TERCIARIOS_CF_SEC_New_27-Mar-2024.xlsx]D-PS'!</v>
      </c>
      <c r="G403" s="32" t="s">
        <v>112</v>
      </c>
      <c r="H403" s="33">
        <f t="shared" ref="H403:H418" si="101">IF(A403&lt;&gt;A402,12,H402+1)</f>
        <v>33</v>
      </c>
      <c r="I403" s="33" t="str">
        <f t="shared" ref="I403:I418" si="102">_xlfn.CONCAT("='",F403:H403)</f>
        <v>='C:\Users\jaime.benazar\Quorum Business Solutions\Ecopetrol Prometeo - Documents\Planning Space Implementation\3. Analysis &amp; Design\Design\FC22\DRR Jaime\Neiva CPI\[DINA TERCIARIOS_CF_SEC_New_27-Mar-2024.xlsx]D-PS'!$BB$33</v>
      </c>
      <c r="J403" s="37" t="s">
        <v>2172</v>
      </c>
    </row>
    <row r="404" spans="1:10" x14ac:dyDescent="0.3">
      <c r="A404" s="32" t="s">
        <v>24</v>
      </c>
      <c r="B404" s="32">
        <f t="shared" ref="B404:B418" si="103">+B403+1</f>
        <v>2045</v>
      </c>
      <c r="C404" s="33" t="s">
        <v>31</v>
      </c>
      <c r="D404" s="34" t="s">
        <v>2002</v>
      </c>
      <c r="E404" s="35" t="str">
        <f t="shared" si="99"/>
        <v>PS'!</v>
      </c>
      <c r="F404" s="34" t="str">
        <f t="shared" si="100"/>
        <v>C:\Users\jaime.benazar\Quorum Business Solutions\Ecopetrol Prometeo - Documents\Planning Space Implementation\3. Analysis &amp; Design\Design\FC22\DRR Jaime\Neiva CPI\[DINA TERCIARIOS_CF_SEC_New_27-Mar-2024.xlsx]D-PS'!</v>
      </c>
      <c r="G404" s="32" t="s">
        <v>112</v>
      </c>
      <c r="H404" s="33">
        <f t="shared" si="101"/>
        <v>34</v>
      </c>
      <c r="I404" s="33" t="str">
        <f t="shared" si="102"/>
        <v>='C:\Users\jaime.benazar\Quorum Business Solutions\Ecopetrol Prometeo - Documents\Planning Space Implementation\3. Analysis &amp; Design\Design\FC22\DRR Jaime\Neiva CPI\[DINA TERCIARIOS_CF_SEC_New_27-Mar-2024.xlsx]D-PS'!$BB$34</v>
      </c>
      <c r="J404" s="37" t="s">
        <v>2173</v>
      </c>
    </row>
    <row r="405" spans="1:10" x14ac:dyDescent="0.3">
      <c r="A405" s="32" t="s">
        <v>24</v>
      </c>
      <c r="B405" s="32">
        <f t="shared" si="103"/>
        <v>2046</v>
      </c>
      <c r="C405" s="33" t="s">
        <v>31</v>
      </c>
      <c r="D405" s="34" t="s">
        <v>2002</v>
      </c>
      <c r="E405" s="35" t="str">
        <f t="shared" si="99"/>
        <v>PS'!</v>
      </c>
      <c r="F405" s="34" t="str">
        <f t="shared" si="100"/>
        <v>C:\Users\jaime.benazar\Quorum Business Solutions\Ecopetrol Prometeo - Documents\Planning Space Implementation\3. Analysis &amp; Design\Design\FC22\DRR Jaime\Neiva CPI\[DINA TERCIARIOS_CF_SEC_New_27-Mar-2024.xlsx]D-PS'!</v>
      </c>
      <c r="G405" s="32" t="s">
        <v>112</v>
      </c>
      <c r="H405" s="33">
        <f t="shared" si="101"/>
        <v>35</v>
      </c>
      <c r="I405" s="33" t="str">
        <f t="shared" si="102"/>
        <v>='C:\Users\jaime.benazar\Quorum Business Solutions\Ecopetrol Prometeo - Documents\Planning Space Implementation\3. Analysis &amp; Design\Design\FC22\DRR Jaime\Neiva CPI\[DINA TERCIARIOS_CF_SEC_New_27-Mar-2024.xlsx]D-PS'!$BB$35</v>
      </c>
      <c r="J405" s="37" t="s">
        <v>2174</v>
      </c>
    </row>
    <row r="406" spans="1:10" x14ac:dyDescent="0.3">
      <c r="A406" s="32" t="s">
        <v>24</v>
      </c>
      <c r="B406" s="32">
        <f t="shared" si="103"/>
        <v>2047</v>
      </c>
      <c r="C406" s="33" t="s">
        <v>31</v>
      </c>
      <c r="D406" s="34" t="s">
        <v>2002</v>
      </c>
      <c r="E406" s="35" t="str">
        <f t="shared" si="99"/>
        <v>PS'!</v>
      </c>
      <c r="F406" s="34" t="str">
        <f t="shared" si="100"/>
        <v>C:\Users\jaime.benazar\Quorum Business Solutions\Ecopetrol Prometeo - Documents\Planning Space Implementation\3. Analysis &amp; Design\Design\FC22\DRR Jaime\Neiva CPI\[DINA TERCIARIOS_CF_SEC_New_27-Mar-2024.xlsx]D-PS'!</v>
      </c>
      <c r="G406" s="32" t="s">
        <v>112</v>
      </c>
      <c r="H406" s="33">
        <f t="shared" si="101"/>
        <v>36</v>
      </c>
      <c r="I406" s="33" t="str">
        <f t="shared" si="102"/>
        <v>='C:\Users\jaime.benazar\Quorum Business Solutions\Ecopetrol Prometeo - Documents\Planning Space Implementation\3. Analysis &amp; Design\Design\FC22\DRR Jaime\Neiva CPI\[DINA TERCIARIOS_CF_SEC_New_27-Mar-2024.xlsx]D-PS'!$BB$36</v>
      </c>
      <c r="J406" s="37" t="s">
        <v>2175</v>
      </c>
    </row>
    <row r="407" spans="1:10" x14ac:dyDescent="0.3">
      <c r="A407" s="32" t="s">
        <v>24</v>
      </c>
      <c r="B407" s="32">
        <f t="shared" si="103"/>
        <v>2048</v>
      </c>
      <c r="C407" s="33" t="s">
        <v>31</v>
      </c>
      <c r="D407" s="34" t="s">
        <v>2002</v>
      </c>
      <c r="E407" s="35" t="str">
        <f t="shared" si="99"/>
        <v>PS'!</v>
      </c>
      <c r="F407" s="34" t="str">
        <f t="shared" si="100"/>
        <v>C:\Users\jaime.benazar\Quorum Business Solutions\Ecopetrol Prometeo - Documents\Planning Space Implementation\3. Analysis &amp; Design\Design\FC22\DRR Jaime\Neiva CPI\[DINA TERCIARIOS_CF_SEC_New_27-Mar-2024.xlsx]D-PS'!</v>
      </c>
      <c r="G407" s="32" t="s">
        <v>112</v>
      </c>
      <c r="H407" s="33">
        <f t="shared" si="101"/>
        <v>37</v>
      </c>
      <c r="I407" s="33" t="str">
        <f t="shared" si="102"/>
        <v>='C:\Users\jaime.benazar\Quorum Business Solutions\Ecopetrol Prometeo - Documents\Planning Space Implementation\3. Analysis &amp; Design\Design\FC22\DRR Jaime\Neiva CPI\[DINA TERCIARIOS_CF_SEC_New_27-Mar-2024.xlsx]D-PS'!$BB$37</v>
      </c>
      <c r="J407" s="37" t="s">
        <v>2176</v>
      </c>
    </row>
    <row r="408" spans="1:10" x14ac:dyDescent="0.3">
      <c r="A408" s="32" t="s">
        <v>24</v>
      </c>
      <c r="B408" s="32">
        <f t="shared" si="103"/>
        <v>2049</v>
      </c>
      <c r="C408" s="33" t="s">
        <v>31</v>
      </c>
      <c r="D408" s="34" t="s">
        <v>2002</v>
      </c>
      <c r="E408" s="35" t="str">
        <f t="shared" si="99"/>
        <v>PS'!</v>
      </c>
      <c r="F408" s="34" t="str">
        <f t="shared" si="100"/>
        <v>C:\Users\jaime.benazar\Quorum Business Solutions\Ecopetrol Prometeo - Documents\Planning Space Implementation\3. Analysis &amp; Design\Design\FC22\DRR Jaime\Neiva CPI\[DINA TERCIARIOS_CF_SEC_New_27-Mar-2024.xlsx]D-PS'!</v>
      </c>
      <c r="G408" s="32" t="s">
        <v>112</v>
      </c>
      <c r="H408" s="33">
        <f t="shared" si="101"/>
        <v>38</v>
      </c>
      <c r="I408" s="33" t="str">
        <f t="shared" si="102"/>
        <v>='C:\Users\jaime.benazar\Quorum Business Solutions\Ecopetrol Prometeo - Documents\Planning Space Implementation\3. Analysis &amp; Design\Design\FC22\DRR Jaime\Neiva CPI\[DINA TERCIARIOS_CF_SEC_New_27-Mar-2024.xlsx]D-PS'!$BB$38</v>
      </c>
      <c r="J408" s="37" t="s">
        <v>2177</v>
      </c>
    </row>
    <row r="409" spans="1:10" x14ac:dyDescent="0.3">
      <c r="A409" s="32" t="s">
        <v>24</v>
      </c>
      <c r="B409" s="32">
        <f t="shared" si="103"/>
        <v>2050</v>
      </c>
      <c r="C409" s="33" t="s">
        <v>31</v>
      </c>
      <c r="D409" s="34" t="s">
        <v>2002</v>
      </c>
      <c r="E409" s="35" t="str">
        <f t="shared" si="99"/>
        <v>PS'!</v>
      </c>
      <c r="F409" s="34" t="str">
        <f t="shared" si="100"/>
        <v>C:\Users\jaime.benazar\Quorum Business Solutions\Ecopetrol Prometeo - Documents\Planning Space Implementation\3. Analysis &amp; Design\Design\FC22\DRR Jaime\Neiva CPI\[DINA TERCIARIOS_CF_SEC_New_27-Mar-2024.xlsx]D-PS'!</v>
      </c>
      <c r="G409" s="32" t="s">
        <v>112</v>
      </c>
      <c r="H409" s="33">
        <f t="shared" si="101"/>
        <v>39</v>
      </c>
      <c r="I409" s="33" t="str">
        <f t="shared" si="102"/>
        <v>='C:\Users\jaime.benazar\Quorum Business Solutions\Ecopetrol Prometeo - Documents\Planning Space Implementation\3. Analysis &amp; Design\Design\FC22\DRR Jaime\Neiva CPI\[DINA TERCIARIOS_CF_SEC_New_27-Mar-2024.xlsx]D-PS'!$BB$39</v>
      </c>
      <c r="J409" s="37" t="s">
        <v>2178</v>
      </c>
    </row>
    <row r="410" spans="1:10" x14ac:dyDescent="0.3">
      <c r="A410" s="32" t="s">
        <v>24</v>
      </c>
      <c r="B410" s="32">
        <f t="shared" si="103"/>
        <v>2051</v>
      </c>
      <c r="C410" s="33" t="s">
        <v>31</v>
      </c>
      <c r="D410" s="34" t="s">
        <v>2002</v>
      </c>
      <c r="E410" s="35" t="str">
        <f t="shared" si="99"/>
        <v>PS'!</v>
      </c>
      <c r="F410" s="34" t="str">
        <f t="shared" si="100"/>
        <v>C:\Users\jaime.benazar\Quorum Business Solutions\Ecopetrol Prometeo - Documents\Planning Space Implementation\3. Analysis &amp; Design\Design\FC22\DRR Jaime\Neiva CPI\[DINA TERCIARIOS_CF_SEC_New_27-Mar-2024.xlsx]D-PS'!</v>
      </c>
      <c r="G410" s="32" t="s">
        <v>112</v>
      </c>
      <c r="H410" s="33">
        <f t="shared" si="101"/>
        <v>40</v>
      </c>
      <c r="I410" s="33" t="str">
        <f t="shared" si="102"/>
        <v>='C:\Users\jaime.benazar\Quorum Business Solutions\Ecopetrol Prometeo - Documents\Planning Space Implementation\3. Analysis &amp; Design\Design\FC22\DRR Jaime\Neiva CPI\[DINA TERCIARIOS_CF_SEC_New_27-Mar-2024.xlsx]D-PS'!$BB$40</v>
      </c>
      <c r="J410" s="37" t="s">
        <v>2179</v>
      </c>
    </row>
    <row r="411" spans="1:10" x14ac:dyDescent="0.3">
      <c r="A411" s="32" t="s">
        <v>24</v>
      </c>
      <c r="B411" s="32">
        <f t="shared" si="103"/>
        <v>2052</v>
      </c>
      <c r="C411" s="33" t="s">
        <v>31</v>
      </c>
      <c r="D411" s="34" t="s">
        <v>2002</v>
      </c>
      <c r="E411" s="35" t="str">
        <f t="shared" si="99"/>
        <v>PS'!</v>
      </c>
      <c r="F411" s="34" t="str">
        <f t="shared" si="100"/>
        <v>C:\Users\jaime.benazar\Quorum Business Solutions\Ecopetrol Prometeo - Documents\Planning Space Implementation\3. Analysis &amp; Design\Design\FC22\DRR Jaime\Neiva CPI\[DINA TERCIARIOS_CF_SEC_New_27-Mar-2024.xlsx]D-PS'!</v>
      </c>
      <c r="G411" s="32" t="s">
        <v>112</v>
      </c>
      <c r="H411" s="33">
        <f t="shared" si="101"/>
        <v>41</v>
      </c>
      <c r="I411" s="33" t="str">
        <f t="shared" si="102"/>
        <v>='C:\Users\jaime.benazar\Quorum Business Solutions\Ecopetrol Prometeo - Documents\Planning Space Implementation\3. Analysis &amp; Design\Design\FC22\DRR Jaime\Neiva CPI\[DINA TERCIARIOS_CF_SEC_New_27-Mar-2024.xlsx]D-PS'!$BB$41</v>
      </c>
      <c r="J411" s="37" t="s">
        <v>2180</v>
      </c>
    </row>
    <row r="412" spans="1:10" x14ac:dyDescent="0.3">
      <c r="A412" s="32" t="s">
        <v>24</v>
      </c>
      <c r="B412" s="32">
        <f t="shared" si="103"/>
        <v>2053</v>
      </c>
      <c r="C412" s="33" t="s">
        <v>31</v>
      </c>
      <c r="D412" s="34" t="s">
        <v>2002</v>
      </c>
      <c r="E412" s="35" t="str">
        <f t="shared" si="99"/>
        <v>PS'!</v>
      </c>
      <c r="F412" s="34" t="str">
        <f t="shared" si="100"/>
        <v>C:\Users\jaime.benazar\Quorum Business Solutions\Ecopetrol Prometeo - Documents\Planning Space Implementation\3. Analysis &amp; Design\Design\FC22\DRR Jaime\Neiva CPI\[DINA TERCIARIOS_CF_SEC_New_27-Mar-2024.xlsx]D-PS'!</v>
      </c>
      <c r="G412" s="32" t="s">
        <v>112</v>
      </c>
      <c r="H412" s="33">
        <f t="shared" si="101"/>
        <v>42</v>
      </c>
      <c r="I412" s="33" t="str">
        <f t="shared" si="102"/>
        <v>='C:\Users\jaime.benazar\Quorum Business Solutions\Ecopetrol Prometeo - Documents\Planning Space Implementation\3. Analysis &amp; Design\Design\FC22\DRR Jaime\Neiva CPI\[DINA TERCIARIOS_CF_SEC_New_27-Mar-2024.xlsx]D-PS'!$BB$42</v>
      </c>
      <c r="J412" s="37" t="s">
        <v>2181</v>
      </c>
    </row>
    <row r="413" spans="1:10" x14ac:dyDescent="0.3">
      <c r="A413" s="32" t="s">
        <v>24</v>
      </c>
      <c r="B413" s="32">
        <f t="shared" si="103"/>
        <v>2054</v>
      </c>
      <c r="C413" s="33" t="s">
        <v>31</v>
      </c>
      <c r="D413" s="34" t="s">
        <v>2002</v>
      </c>
      <c r="E413" s="35" t="str">
        <f t="shared" si="99"/>
        <v>PS'!</v>
      </c>
      <c r="F413" s="34" t="str">
        <f t="shared" si="100"/>
        <v>C:\Users\jaime.benazar\Quorum Business Solutions\Ecopetrol Prometeo - Documents\Planning Space Implementation\3. Analysis &amp; Design\Design\FC22\DRR Jaime\Neiva CPI\[DINA TERCIARIOS_CF_SEC_New_27-Mar-2024.xlsx]D-PS'!</v>
      </c>
      <c r="G413" s="32" t="s">
        <v>112</v>
      </c>
      <c r="H413" s="33">
        <f t="shared" si="101"/>
        <v>43</v>
      </c>
      <c r="I413" s="33" t="str">
        <f t="shared" si="102"/>
        <v>='C:\Users\jaime.benazar\Quorum Business Solutions\Ecopetrol Prometeo - Documents\Planning Space Implementation\3. Analysis &amp; Design\Design\FC22\DRR Jaime\Neiva CPI\[DINA TERCIARIOS_CF_SEC_New_27-Mar-2024.xlsx]D-PS'!$BB$43</v>
      </c>
      <c r="J413" s="37" t="s">
        <v>2182</v>
      </c>
    </row>
    <row r="414" spans="1:10" x14ac:dyDescent="0.3">
      <c r="A414" s="32" t="s">
        <v>24</v>
      </c>
      <c r="B414" s="32">
        <f t="shared" si="103"/>
        <v>2055</v>
      </c>
      <c r="C414" s="33" t="s">
        <v>31</v>
      </c>
      <c r="D414" s="34" t="s">
        <v>2002</v>
      </c>
      <c r="E414" s="35" t="str">
        <f t="shared" si="99"/>
        <v>PS'!</v>
      </c>
      <c r="F414" s="34" t="str">
        <f t="shared" si="100"/>
        <v>C:\Users\jaime.benazar\Quorum Business Solutions\Ecopetrol Prometeo - Documents\Planning Space Implementation\3. Analysis &amp; Design\Design\FC22\DRR Jaime\Neiva CPI\[DINA TERCIARIOS_CF_SEC_New_27-Mar-2024.xlsx]D-PS'!</v>
      </c>
      <c r="G414" s="32" t="s">
        <v>112</v>
      </c>
      <c r="H414" s="33">
        <f t="shared" si="101"/>
        <v>44</v>
      </c>
      <c r="I414" s="33" t="str">
        <f t="shared" si="102"/>
        <v>='C:\Users\jaime.benazar\Quorum Business Solutions\Ecopetrol Prometeo - Documents\Planning Space Implementation\3. Analysis &amp; Design\Design\FC22\DRR Jaime\Neiva CPI\[DINA TERCIARIOS_CF_SEC_New_27-Mar-2024.xlsx]D-PS'!$BB$44</v>
      </c>
      <c r="J414" s="37" t="s">
        <v>2183</v>
      </c>
    </row>
    <row r="415" spans="1:10" x14ac:dyDescent="0.3">
      <c r="A415" s="32" t="s">
        <v>24</v>
      </c>
      <c r="B415" s="32">
        <f t="shared" si="103"/>
        <v>2056</v>
      </c>
      <c r="C415" s="33" t="s">
        <v>31</v>
      </c>
      <c r="D415" s="34" t="s">
        <v>2002</v>
      </c>
      <c r="E415" s="35" t="str">
        <f t="shared" si="99"/>
        <v>PS'!</v>
      </c>
      <c r="F415" s="34" t="str">
        <f t="shared" si="100"/>
        <v>C:\Users\jaime.benazar\Quorum Business Solutions\Ecopetrol Prometeo - Documents\Planning Space Implementation\3. Analysis &amp; Design\Design\FC22\DRR Jaime\Neiva CPI\[DINA TERCIARIOS_CF_SEC_New_27-Mar-2024.xlsx]D-PS'!</v>
      </c>
      <c r="G415" s="32" t="s">
        <v>112</v>
      </c>
      <c r="H415" s="33">
        <f t="shared" si="101"/>
        <v>45</v>
      </c>
      <c r="I415" s="33" t="str">
        <f t="shared" si="102"/>
        <v>='C:\Users\jaime.benazar\Quorum Business Solutions\Ecopetrol Prometeo - Documents\Planning Space Implementation\3. Analysis &amp; Design\Design\FC22\DRR Jaime\Neiva CPI\[DINA TERCIARIOS_CF_SEC_New_27-Mar-2024.xlsx]D-PS'!$BB$45</v>
      </c>
      <c r="J415" s="37" t="s">
        <v>2184</v>
      </c>
    </row>
    <row r="416" spans="1:10" x14ac:dyDescent="0.3">
      <c r="A416" s="32" t="s">
        <v>24</v>
      </c>
      <c r="B416" s="32">
        <f t="shared" si="103"/>
        <v>2057</v>
      </c>
      <c r="C416" s="33" t="s">
        <v>31</v>
      </c>
      <c r="D416" s="34" t="s">
        <v>2002</v>
      </c>
      <c r="E416" s="35" t="str">
        <f t="shared" si="99"/>
        <v>PS'!</v>
      </c>
      <c r="F416" s="34" t="str">
        <f t="shared" si="100"/>
        <v>C:\Users\jaime.benazar\Quorum Business Solutions\Ecopetrol Prometeo - Documents\Planning Space Implementation\3. Analysis &amp; Design\Design\FC22\DRR Jaime\Neiva CPI\[DINA TERCIARIOS_CF_SEC_New_27-Mar-2024.xlsx]D-PS'!</v>
      </c>
      <c r="G416" s="32" t="s">
        <v>112</v>
      </c>
      <c r="H416" s="33">
        <f t="shared" si="101"/>
        <v>46</v>
      </c>
      <c r="I416" s="33" t="str">
        <f t="shared" si="102"/>
        <v>='C:\Users\jaime.benazar\Quorum Business Solutions\Ecopetrol Prometeo - Documents\Planning Space Implementation\3. Analysis &amp; Design\Design\FC22\DRR Jaime\Neiva CPI\[DINA TERCIARIOS_CF_SEC_New_27-Mar-2024.xlsx]D-PS'!$BB$46</v>
      </c>
      <c r="J416" s="37" t="s">
        <v>2185</v>
      </c>
    </row>
    <row r="417" spans="1:10" x14ac:dyDescent="0.3">
      <c r="A417" s="32" t="s">
        <v>24</v>
      </c>
      <c r="B417" s="32">
        <f t="shared" si="103"/>
        <v>2058</v>
      </c>
      <c r="C417" s="33" t="s">
        <v>31</v>
      </c>
      <c r="D417" s="34" t="s">
        <v>2002</v>
      </c>
      <c r="E417" s="35" t="str">
        <f t="shared" si="99"/>
        <v>PS'!</v>
      </c>
      <c r="F417" s="34" t="str">
        <f t="shared" si="100"/>
        <v>C:\Users\jaime.benazar\Quorum Business Solutions\Ecopetrol Prometeo - Documents\Planning Space Implementation\3. Analysis &amp; Design\Design\FC22\DRR Jaime\Neiva CPI\[DINA TERCIARIOS_CF_SEC_New_27-Mar-2024.xlsx]D-PS'!</v>
      </c>
      <c r="G417" s="32" t="s">
        <v>112</v>
      </c>
      <c r="H417" s="33">
        <f t="shared" si="101"/>
        <v>47</v>
      </c>
      <c r="I417" s="33" t="str">
        <f t="shared" si="102"/>
        <v>='C:\Users\jaime.benazar\Quorum Business Solutions\Ecopetrol Prometeo - Documents\Planning Space Implementation\3. Analysis &amp; Design\Design\FC22\DRR Jaime\Neiva CPI\[DINA TERCIARIOS_CF_SEC_New_27-Mar-2024.xlsx]D-PS'!$BB$47</v>
      </c>
      <c r="J417" s="37" t="s">
        <v>2186</v>
      </c>
    </row>
    <row r="418" spans="1:10" x14ac:dyDescent="0.3">
      <c r="A418" s="32" t="s">
        <v>24</v>
      </c>
      <c r="B418" s="32">
        <f t="shared" si="103"/>
        <v>2059</v>
      </c>
      <c r="C418" s="33" t="s">
        <v>31</v>
      </c>
      <c r="D418" s="34" t="s">
        <v>2002</v>
      </c>
      <c r="E418" s="35" t="str">
        <f t="shared" si="99"/>
        <v>PS'!</v>
      </c>
      <c r="F418" s="34" t="str">
        <f t="shared" si="100"/>
        <v>C:\Users\jaime.benazar\Quorum Business Solutions\Ecopetrol Prometeo - Documents\Planning Space Implementation\3. Analysis &amp; Design\Design\FC22\DRR Jaime\Neiva CPI\[DINA TERCIARIOS_CF_SEC_New_27-Mar-2024.xlsx]D-PS'!</v>
      </c>
      <c r="G418" s="32" t="s">
        <v>112</v>
      </c>
      <c r="H418" s="33">
        <f t="shared" si="101"/>
        <v>48</v>
      </c>
      <c r="I418" s="33" t="str">
        <f t="shared" si="102"/>
        <v>='C:\Users\jaime.benazar\Quorum Business Solutions\Ecopetrol Prometeo - Documents\Planning Space Implementation\3. Analysis &amp; Design\Design\FC22\DRR Jaime\Neiva CPI\[DINA TERCIARIOS_CF_SEC_New_27-Mar-2024.xlsx]D-PS'!$BB$48</v>
      </c>
      <c r="J418" s="37" t="s">
        <v>2187</v>
      </c>
    </row>
    <row r="419" spans="1:10" x14ac:dyDescent="0.3">
      <c r="A419" s="32" t="s">
        <v>26</v>
      </c>
      <c r="B419" s="32"/>
      <c r="C419" s="33" t="s">
        <v>31</v>
      </c>
      <c r="D419" s="34"/>
      <c r="E419" s="35"/>
      <c r="F419" s="34"/>
      <c r="G419" s="32"/>
      <c r="H419" s="33"/>
      <c r="I419" s="33"/>
      <c r="J419" s="33"/>
    </row>
    <row r="420" spans="1:10" x14ac:dyDescent="0.3">
      <c r="A420" s="32" t="s">
        <v>14</v>
      </c>
      <c r="B420" s="32">
        <v>2023</v>
      </c>
      <c r="C420" s="33" t="s">
        <v>34</v>
      </c>
      <c r="D420" s="34" t="s">
        <v>2002</v>
      </c>
      <c r="E420" s="35" t="str">
        <f>_xlfn.CONCAT(A420,"'!")</f>
        <v>PDP'!</v>
      </c>
      <c r="F420" s="34" t="str">
        <f>_xlfn.CONCAT(D420:E420)</f>
        <v>C:\Users\jaime.benazar\Quorum Business Solutions\Ecopetrol Prometeo - Documents\Planning Space Implementation\3. Analysis &amp; Design\Design\FC22\DRR Jaime\Neiva CPI\[DINA TERCIARIOS_CF_SEC_New_27-Mar-2024.xlsx]D-PDP'!</v>
      </c>
      <c r="G420" s="32" t="s">
        <v>102</v>
      </c>
      <c r="H420" s="33">
        <v>12</v>
      </c>
      <c r="I420" s="33" t="str">
        <f>_xlfn.CONCAT("='",F420:H420)</f>
        <v>='C:\Users\jaime.benazar\Quorum Business Solutions\Ecopetrol Prometeo - Documents\Planning Space Implementation\3. Analysis &amp; Design\Design\FC22\DRR Jaime\Neiva CPI\[DINA TERCIARIOS_CF_SEC_New_27-Mar-2024.xlsx]D-PDP'!$BW$12</v>
      </c>
      <c r="J420" s="37" t="s">
        <v>2188</v>
      </c>
    </row>
    <row r="421" spans="1:10" x14ac:dyDescent="0.3">
      <c r="A421" s="32" t="s">
        <v>14</v>
      </c>
      <c r="B421" s="32">
        <f>+B420+1</f>
        <v>2024</v>
      </c>
      <c r="C421" s="33" t="s">
        <v>34</v>
      </c>
      <c r="D421" s="34" t="s">
        <v>2002</v>
      </c>
      <c r="E421" s="35" t="str">
        <f t="shared" ref="E421:E514" si="104">_xlfn.CONCAT(A421,"'!")</f>
        <v>PDP'!</v>
      </c>
      <c r="F421" s="34" t="str">
        <f t="shared" ref="F421:F514" si="105">_xlfn.CONCAT(D421:E421)</f>
        <v>C:\Users\jaime.benazar\Quorum Business Solutions\Ecopetrol Prometeo - Documents\Planning Space Implementation\3. Analysis &amp; Design\Design\FC22\DRR Jaime\Neiva CPI\[DINA TERCIARIOS_CF_SEC_New_27-Mar-2024.xlsx]D-PDP'!</v>
      </c>
      <c r="G421" s="32" t="s">
        <v>102</v>
      </c>
      <c r="H421" s="33">
        <f>IF(A421&lt;&gt;A420,12,H420+1)</f>
        <v>13</v>
      </c>
      <c r="I421" s="33" t="str">
        <f t="shared" ref="I421:I514" si="106">_xlfn.CONCAT("='",F421:H421)</f>
        <v>='C:\Users\jaime.benazar\Quorum Business Solutions\Ecopetrol Prometeo - Documents\Planning Space Implementation\3. Analysis &amp; Design\Design\FC22\DRR Jaime\Neiva CPI\[DINA TERCIARIOS_CF_SEC_New_27-Mar-2024.xlsx]D-PDP'!$BW$13</v>
      </c>
      <c r="J421" s="37" t="s">
        <v>2189</v>
      </c>
    </row>
    <row r="422" spans="1:10" x14ac:dyDescent="0.3">
      <c r="A422" s="32" t="s">
        <v>14</v>
      </c>
      <c r="B422" s="32">
        <f t="shared" ref="B422:B433" si="107">+B421+1</f>
        <v>2025</v>
      </c>
      <c r="C422" s="33" t="s">
        <v>34</v>
      </c>
      <c r="D422" s="34" t="s">
        <v>2002</v>
      </c>
      <c r="E422" s="35" t="str">
        <f t="shared" si="104"/>
        <v>PDP'!</v>
      </c>
      <c r="F422" s="34" t="str">
        <f t="shared" si="105"/>
        <v>C:\Users\jaime.benazar\Quorum Business Solutions\Ecopetrol Prometeo - Documents\Planning Space Implementation\3. Analysis &amp; Design\Design\FC22\DRR Jaime\Neiva CPI\[DINA TERCIARIOS_CF_SEC_New_27-Mar-2024.xlsx]D-PDP'!</v>
      </c>
      <c r="G422" s="32" t="s">
        <v>102</v>
      </c>
      <c r="H422" s="33">
        <f t="shared" ref="H422:H440" si="108">IF(A422&lt;&gt;A421,12,H421+1)</f>
        <v>14</v>
      </c>
      <c r="I422" s="33" t="str">
        <f t="shared" si="106"/>
        <v>='C:\Users\jaime.benazar\Quorum Business Solutions\Ecopetrol Prometeo - Documents\Planning Space Implementation\3. Analysis &amp; Design\Design\FC22\DRR Jaime\Neiva CPI\[DINA TERCIARIOS_CF_SEC_New_27-Mar-2024.xlsx]D-PDP'!$BW$14</v>
      </c>
      <c r="J422" s="37" t="s">
        <v>2190</v>
      </c>
    </row>
    <row r="423" spans="1:10" x14ac:dyDescent="0.3">
      <c r="A423" s="32" t="s">
        <v>14</v>
      </c>
      <c r="B423" s="32">
        <f t="shared" si="107"/>
        <v>2026</v>
      </c>
      <c r="C423" s="33" t="s">
        <v>34</v>
      </c>
      <c r="D423" s="34" t="s">
        <v>2002</v>
      </c>
      <c r="E423" s="35" t="str">
        <f t="shared" si="104"/>
        <v>PDP'!</v>
      </c>
      <c r="F423" s="34" t="str">
        <f t="shared" si="105"/>
        <v>C:\Users\jaime.benazar\Quorum Business Solutions\Ecopetrol Prometeo - Documents\Planning Space Implementation\3. Analysis &amp; Design\Design\FC22\DRR Jaime\Neiva CPI\[DINA TERCIARIOS_CF_SEC_New_27-Mar-2024.xlsx]D-PDP'!</v>
      </c>
      <c r="G423" s="32" t="s">
        <v>102</v>
      </c>
      <c r="H423" s="33">
        <f t="shared" si="108"/>
        <v>15</v>
      </c>
      <c r="I423" s="33" t="str">
        <f t="shared" si="106"/>
        <v>='C:\Users\jaime.benazar\Quorum Business Solutions\Ecopetrol Prometeo - Documents\Planning Space Implementation\3. Analysis &amp; Design\Design\FC22\DRR Jaime\Neiva CPI\[DINA TERCIARIOS_CF_SEC_New_27-Mar-2024.xlsx]D-PDP'!$BW$15</v>
      </c>
      <c r="J423" s="37" t="s">
        <v>2191</v>
      </c>
    </row>
    <row r="424" spans="1:10" x14ac:dyDescent="0.3">
      <c r="A424" s="32" t="s">
        <v>14</v>
      </c>
      <c r="B424" s="32">
        <f t="shared" si="107"/>
        <v>2027</v>
      </c>
      <c r="C424" s="33" t="s">
        <v>34</v>
      </c>
      <c r="D424" s="34" t="s">
        <v>2002</v>
      </c>
      <c r="E424" s="35" t="str">
        <f t="shared" si="104"/>
        <v>PDP'!</v>
      </c>
      <c r="F424" s="34" t="str">
        <f t="shared" si="105"/>
        <v>C:\Users\jaime.benazar\Quorum Business Solutions\Ecopetrol Prometeo - Documents\Planning Space Implementation\3. Analysis &amp; Design\Design\FC22\DRR Jaime\Neiva CPI\[DINA TERCIARIOS_CF_SEC_New_27-Mar-2024.xlsx]D-PDP'!</v>
      </c>
      <c r="G424" s="32" t="s">
        <v>102</v>
      </c>
      <c r="H424" s="33">
        <f t="shared" si="108"/>
        <v>16</v>
      </c>
      <c r="I424" s="33" t="str">
        <f t="shared" si="106"/>
        <v>='C:\Users\jaime.benazar\Quorum Business Solutions\Ecopetrol Prometeo - Documents\Planning Space Implementation\3. Analysis &amp; Design\Design\FC22\DRR Jaime\Neiva CPI\[DINA TERCIARIOS_CF_SEC_New_27-Mar-2024.xlsx]D-PDP'!$BW$16</v>
      </c>
      <c r="J424" s="37" t="s">
        <v>2192</v>
      </c>
    </row>
    <row r="425" spans="1:10" x14ac:dyDescent="0.3">
      <c r="A425" s="32" t="s">
        <v>14</v>
      </c>
      <c r="B425" s="32">
        <f t="shared" si="107"/>
        <v>2028</v>
      </c>
      <c r="C425" s="33" t="s">
        <v>34</v>
      </c>
      <c r="D425" s="34" t="s">
        <v>2002</v>
      </c>
      <c r="E425" s="35" t="str">
        <f t="shared" si="104"/>
        <v>PDP'!</v>
      </c>
      <c r="F425" s="34" t="str">
        <f t="shared" si="105"/>
        <v>C:\Users\jaime.benazar\Quorum Business Solutions\Ecopetrol Prometeo - Documents\Planning Space Implementation\3. Analysis &amp; Design\Design\FC22\DRR Jaime\Neiva CPI\[DINA TERCIARIOS_CF_SEC_New_27-Mar-2024.xlsx]D-PDP'!</v>
      </c>
      <c r="G425" s="32" t="s">
        <v>102</v>
      </c>
      <c r="H425" s="33">
        <f t="shared" si="108"/>
        <v>17</v>
      </c>
      <c r="I425" s="33" t="str">
        <f t="shared" si="106"/>
        <v>='C:\Users\jaime.benazar\Quorum Business Solutions\Ecopetrol Prometeo - Documents\Planning Space Implementation\3. Analysis &amp; Design\Design\FC22\DRR Jaime\Neiva CPI\[DINA TERCIARIOS_CF_SEC_New_27-Mar-2024.xlsx]D-PDP'!$BW$17</v>
      </c>
      <c r="J425" s="37" t="s">
        <v>2193</v>
      </c>
    </row>
    <row r="426" spans="1:10" x14ac:dyDescent="0.3">
      <c r="A426" s="32" t="s">
        <v>14</v>
      </c>
      <c r="B426" s="32">
        <f t="shared" si="107"/>
        <v>2029</v>
      </c>
      <c r="C426" s="33" t="s">
        <v>34</v>
      </c>
      <c r="D426" s="34" t="s">
        <v>2002</v>
      </c>
      <c r="E426" s="35" t="str">
        <f t="shared" si="104"/>
        <v>PDP'!</v>
      </c>
      <c r="F426" s="34" t="str">
        <f t="shared" si="105"/>
        <v>C:\Users\jaime.benazar\Quorum Business Solutions\Ecopetrol Prometeo - Documents\Planning Space Implementation\3. Analysis &amp; Design\Design\FC22\DRR Jaime\Neiva CPI\[DINA TERCIARIOS_CF_SEC_New_27-Mar-2024.xlsx]D-PDP'!</v>
      </c>
      <c r="G426" s="32" t="s">
        <v>102</v>
      </c>
      <c r="H426" s="33">
        <f t="shared" si="108"/>
        <v>18</v>
      </c>
      <c r="I426" s="33" t="str">
        <f t="shared" si="106"/>
        <v>='C:\Users\jaime.benazar\Quorum Business Solutions\Ecopetrol Prometeo - Documents\Planning Space Implementation\3. Analysis &amp; Design\Design\FC22\DRR Jaime\Neiva CPI\[DINA TERCIARIOS_CF_SEC_New_27-Mar-2024.xlsx]D-PDP'!$BW$18</v>
      </c>
      <c r="J426" s="37" t="s">
        <v>2194</v>
      </c>
    </row>
    <row r="427" spans="1:10" x14ac:dyDescent="0.3">
      <c r="A427" s="32" t="s">
        <v>14</v>
      </c>
      <c r="B427" s="32">
        <f t="shared" si="107"/>
        <v>2030</v>
      </c>
      <c r="C427" s="33" t="s">
        <v>34</v>
      </c>
      <c r="D427" s="34" t="s">
        <v>2002</v>
      </c>
      <c r="E427" s="35" t="str">
        <f t="shared" si="104"/>
        <v>PDP'!</v>
      </c>
      <c r="F427" s="34" t="str">
        <f t="shared" si="105"/>
        <v>C:\Users\jaime.benazar\Quorum Business Solutions\Ecopetrol Prometeo - Documents\Planning Space Implementation\3. Analysis &amp; Design\Design\FC22\DRR Jaime\Neiva CPI\[DINA TERCIARIOS_CF_SEC_New_27-Mar-2024.xlsx]D-PDP'!</v>
      </c>
      <c r="G427" s="32" t="s">
        <v>102</v>
      </c>
      <c r="H427" s="33">
        <f t="shared" si="108"/>
        <v>19</v>
      </c>
      <c r="I427" s="33" t="str">
        <f t="shared" si="106"/>
        <v>='C:\Users\jaime.benazar\Quorum Business Solutions\Ecopetrol Prometeo - Documents\Planning Space Implementation\3. Analysis &amp; Design\Design\FC22\DRR Jaime\Neiva CPI\[DINA TERCIARIOS_CF_SEC_New_27-Mar-2024.xlsx]D-PDP'!$BW$19</v>
      </c>
      <c r="J427" s="37" t="s">
        <v>2195</v>
      </c>
    </row>
    <row r="428" spans="1:10" x14ac:dyDescent="0.3">
      <c r="A428" s="32" t="s">
        <v>14</v>
      </c>
      <c r="B428" s="32">
        <f t="shared" si="107"/>
        <v>2031</v>
      </c>
      <c r="C428" s="33" t="s">
        <v>34</v>
      </c>
      <c r="D428" s="34" t="s">
        <v>2002</v>
      </c>
      <c r="E428" s="35" t="str">
        <f t="shared" si="104"/>
        <v>PDP'!</v>
      </c>
      <c r="F428" s="34" t="str">
        <f t="shared" si="105"/>
        <v>C:\Users\jaime.benazar\Quorum Business Solutions\Ecopetrol Prometeo - Documents\Planning Space Implementation\3. Analysis &amp; Design\Design\FC22\DRR Jaime\Neiva CPI\[DINA TERCIARIOS_CF_SEC_New_27-Mar-2024.xlsx]D-PDP'!</v>
      </c>
      <c r="G428" s="32" t="s">
        <v>102</v>
      </c>
      <c r="H428" s="33">
        <f t="shared" si="108"/>
        <v>20</v>
      </c>
      <c r="I428" s="33" t="str">
        <f t="shared" si="106"/>
        <v>='C:\Users\jaime.benazar\Quorum Business Solutions\Ecopetrol Prometeo - Documents\Planning Space Implementation\3. Analysis &amp; Design\Design\FC22\DRR Jaime\Neiva CPI\[DINA TERCIARIOS_CF_SEC_New_27-Mar-2024.xlsx]D-PDP'!$BW$20</v>
      </c>
      <c r="J428" s="37" t="s">
        <v>2196</v>
      </c>
    </row>
    <row r="429" spans="1:10" x14ac:dyDescent="0.3">
      <c r="A429" s="32" t="s">
        <v>14</v>
      </c>
      <c r="B429" s="32">
        <f t="shared" si="107"/>
        <v>2032</v>
      </c>
      <c r="C429" s="33" t="s">
        <v>34</v>
      </c>
      <c r="D429" s="34" t="s">
        <v>2002</v>
      </c>
      <c r="E429" s="35" t="str">
        <f t="shared" si="104"/>
        <v>PDP'!</v>
      </c>
      <c r="F429" s="34" t="str">
        <f t="shared" si="105"/>
        <v>C:\Users\jaime.benazar\Quorum Business Solutions\Ecopetrol Prometeo - Documents\Planning Space Implementation\3. Analysis &amp; Design\Design\FC22\DRR Jaime\Neiva CPI\[DINA TERCIARIOS_CF_SEC_New_27-Mar-2024.xlsx]D-PDP'!</v>
      </c>
      <c r="G429" s="32" t="s">
        <v>102</v>
      </c>
      <c r="H429" s="33">
        <f t="shared" si="108"/>
        <v>21</v>
      </c>
      <c r="I429" s="33" t="str">
        <f t="shared" si="106"/>
        <v>='C:\Users\jaime.benazar\Quorum Business Solutions\Ecopetrol Prometeo - Documents\Planning Space Implementation\3. Analysis &amp; Design\Design\FC22\DRR Jaime\Neiva CPI\[DINA TERCIARIOS_CF_SEC_New_27-Mar-2024.xlsx]D-PDP'!$BW$21</v>
      </c>
      <c r="J429" s="37" t="s">
        <v>2197</v>
      </c>
    </row>
    <row r="430" spans="1:10" x14ac:dyDescent="0.3">
      <c r="A430" s="32" t="s">
        <v>14</v>
      </c>
      <c r="B430" s="32">
        <f t="shared" si="107"/>
        <v>2033</v>
      </c>
      <c r="C430" s="33" t="s">
        <v>34</v>
      </c>
      <c r="D430" s="34" t="s">
        <v>2002</v>
      </c>
      <c r="E430" s="35" t="str">
        <f t="shared" si="104"/>
        <v>PDP'!</v>
      </c>
      <c r="F430" s="34" t="str">
        <f t="shared" si="105"/>
        <v>C:\Users\jaime.benazar\Quorum Business Solutions\Ecopetrol Prometeo - Documents\Planning Space Implementation\3. Analysis &amp; Design\Design\FC22\DRR Jaime\Neiva CPI\[DINA TERCIARIOS_CF_SEC_New_27-Mar-2024.xlsx]D-PDP'!</v>
      </c>
      <c r="G430" s="32" t="s">
        <v>102</v>
      </c>
      <c r="H430" s="33">
        <f t="shared" si="108"/>
        <v>22</v>
      </c>
      <c r="I430" s="33" t="str">
        <f t="shared" si="106"/>
        <v>='C:\Users\jaime.benazar\Quorum Business Solutions\Ecopetrol Prometeo - Documents\Planning Space Implementation\3. Analysis &amp; Design\Design\FC22\DRR Jaime\Neiva CPI\[DINA TERCIARIOS_CF_SEC_New_27-Mar-2024.xlsx]D-PDP'!$BW$22</v>
      </c>
      <c r="J430" s="37" t="s">
        <v>2198</v>
      </c>
    </row>
    <row r="431" spans="1:10" x14ac:dyDescent="0.3">
      <c r="A431" s="32" t="s">
        <v>14</v>
      </c>
      <c r="B431" s="32">
        <f t="shared" si="107"/>
        <v>2034</v>
      </c>
      <c r="C431" s="33" t="s">
        <v>34</v>
      </c>
      <c r="D431" s="34" t="s">
        <v>2002</v>
      </c>
      <c r="E431" s="35" t="str">
        <f t="shared" si="104"/>
        <v>PDP'!</v>
      </c>
      <c r="F431" s="34" t="str">
        <f t="shared" si="105"/>
        <v>C:\Users\jaime.benazar\Quorum Business Solutions\Ecopetrol Prometeo - Documents\Planning Space Implementation\3. Analysis &amp; Design\Design\FC22\DRR Jaime\Neiva CPI\[DINA TERCIARIOS_CF_SEC_New_27-Mar-2024.xlsx]D-PDP'!</v>
      </c>
      <c r="G431" s="32" t="s">
        <v>102</v>
      </c>
      <c r="H431" s="33">
        <f t="shared" si="108"/>
        <v>23</v>
      </c>
      <c r="I431" s="33" t="str">
        <f t="shared" si="106"/>
        <v>='C:\Users\jaime.benazar\Quorum Business Solutions\Ecopetrol Prometeo - Documents\Planning Space Implementation\3. Analysis &amp; Design\Design\FC22\DRR Jaime\Neiva CPI\[DINA TERCIARIOS_CF_SEC_New_27-Mar-2024.xlsx]D-PDP'!$BW$23</v>
      </c>
      <c r="J431" s="37" t="s">
        <v>2199</v>
      </c>
    </row>
    <row r="432" spans="1:10" x14ac:dyDescent="0.3">
      <c r="A432" s="32" t="s">
        <v>14</v>
      </c>
      <c r="B432" s="32">
        <f t="shared" si="107"/>
        <v>2035</v>
      </c>
      <c r="C432" s="33" t="s">
        <v>34</v>
      </c>
      <c r="D432" s="34" t="s">
        <v>2002</v>
      </c>
      <c r="E432" s="35" t="str">
        <f t="shared" si="104"/>
        <v>PDP'!</v>
      </c>
      <c r="F432" s="34" t="str">
        <f t="shared" si="105"/>
        <v>C:\Users\jaime.benazar\Quorum Business Solutions\Ecopetrol Prometeo - Documents\Planning Space Implementation\3. Analysis &amp; Design\Design\FC22\DRR Jaime\Neiva CPI\[DINA TERCIARIOS_CF_SEC_New_27-Mar-2024.xlsx]D-PDP'!</v>
      </c>
      <c r="G432" s="32" t="s">
        <v>102</v>
      </c>
      <c r="H432" s="33">
        <f t="shared" si="108"/>
        <v>24</v>
      </c>
      <c r="I432" s="33" t="str">
        <f t="shared" si="106"/>
        <v>='C:\Users\jaime.benazar\Quorum Business Solutions\Ecopetrol Prometeo - Documents\Planning Space Implementation\3. Analysis &amp; Design\Design\FC22\DRR Jaime\Neiva CPI\[DINA TERCIARIOS_CF_SEC_New_27-Mar-2024.xlsx]D-PDP'!$BW$24</v>
      </c>
      <c r="J432" s="37" t="s">
        <v>2200</v>
      </c>
    </row>
    <row r="433" spans="1:10" x14ac:dyDescent="0.3">
      <c r="A433" s="32" t="s">
        <v>14</v>
      </c>
      <c r="B433" s="32">
        <f t="shared" si="107"/>
        <v>2036</v>
      </c>
      <c r="C433" s="33" t="s">
        <v>34</v>
      </c>
      <c r="D433" s="34" t="s">
        <v>2002</v>
      </c>
      <c r="E433" s="35" t="str">
        <f t="shared" si="104"/>
        <v>PDP'!</v>
      </c>
      <c r="F433" s="34" t="str">
        <f t="shared" si="105"/>
        <v>C:\Users\jaime.benazar\Quorum Business Solutions\Ecopetrol Prometeo - Documents\Planning Space Implementation\3. Analysis &amp; Design\Design\FC22\DRR Jaime\Neiva CPI\[DINA TERCIARIOS_CF_SEC_New_27-Mar-2024.xlsx]D-PDP'!</v>
      </c>
      <c r="G433" s="32" t="s">
        <v>102</v>
      </c>
      <c r="H433" s="33">
        <f t="shared" si="108"/>
        <v>25</v>
      </c>
      <c r="I433" s="33" t="str">
        <f t="shared" si="106"/>
        <v>='C:\Users\jaime.benazar\Quorum Business Solutions\Ecopetrol Prometeo - Documents\Planning Space Implementation\3. Analysis &amp; Design\Design\FC22\DRR Jaime\Neiva CPI\[DINA TERCIARIOS_CF_SEC_New_27-Mar-2024.xlsx]D-PDP'!$BW$25</v>
      </c>
      <c r="J433" s="37" t="s">
        <v>2201</v>
      </c>
    </row>
    <row r="434" spans="1:10" x14ac:dyDescent="0.3">
      <c r="A434" s="32" t="s">
        <v>14</v>
      </c>
      <c r="B434" s="32">
        <f>+B433+1</f>
        <v>2037</v>
      </c>
      <c r="C434" s="33" t="s">
        <v>34</v>
      </c>
      <c r="D434" s="34" t="s">
        <v>2002</v>
      </c>
      <c r="E434" s="35" t="str">
        <f t="shared" si="104"/>
        <v>PDP'!</v>
      </c>
      <c r="F434" s="34" t="str">
        <f t="shared" si="105"/>
        <v>C:\Users\jaime.benazar\Quorum Business Solutions\Ecopetrol Prometeo - Documents\Planning Space Implementation\3. Analysis &amp; Design\Design\FC22\DRR Jaime\Neiva CPI\[DINA TERCIARIOS_CF_SEC_New_27-Mar-2024.xlsx]D-PDP'!</v>
      </c>
      <c r="G434" s="32" t="s">
        <v>102</v>
      </c>
      <c r="H434" s="33">
        <f t="shared" si="108"/>
        <v>26</v>
      </c>
      <c r="I434" s="33" t="str">
        <f t="shared" si="106"/>
        <v>='C:\Users\jaime.benazar\Quorum Business Solutions\Ecopetrol Prometeo - Documents\Planning Space Implementation\3. Analysis &amp; Design\Design\FC22\DRR Jaime\Neiva CPI\[DINA TERCIARIOS_CF_SEC_New_27-Mar-2024.xlsx]D-PDP'!$BW$26</v>
      </c>
      <c r="J434" s="37" t="s">
        <v>2202</v>
      </c>
    </row>
    <row r="435" spans="1:10" x14ac:dyDescent="0.3">
      <c r="A435" s="32" t="s">
        <v>14</v>
      </c>
      <c r="B435" s="32">
        <f t="shared" ref="B435:B437" si="109">+B434+1</f>
        <v>2038</v>
      </c>
      <c r="C435" s="33" t="s">
        <v>34</v>
      </c>
      <c r="D435" s="34" t="s">
        <v>2002</v>
      </c>
      <c r="E435" s="35" t="str">
        <f t="shared" si="104"/>
        <v>PDP'!</v>
      </c>
      <c r="F435" s="34" t="str">
        <f t="shared" si="105"/>
        <v>C:\Users\jaime.benazar\Quorum Business Solutions\Ecopetrol Prometeo - Documents\Planning Space Implementation\3. Analysis &amp; Design\Design\FC22\DRR Jaime\Neiva CPI\[DINA TERCIARIOS_CF_SEC_New_27-Mar-2024.xlsx]D-PDP'!</v>
      </c>
      <c r="G435" s="32" t="s">
        <v>102</v>
      </c>
      <c r="H435" s="33">
        <f t="shared" si="108"/>
        <v>27</v>
      </c>
      <c r="I435" s="33" t="str">
        <f t="shared" si="106"/>
        <v>='C:\Users\jaime.benazar\Quorum Business Solutions\Ecopetrol Prometeo - Documents\Planning Space Implementation\3. Analysis &amp; Design\Design\FC22\DRR Jaime\Neiva CPI\[DINA TERCIARIOS_CF_SEC_New_27-Mar-2024.xlsx]D-PDP'!$BW$27</v>
      </c>
      <c r="J435" s="37" t="s">
        <v>2203</v>
      </c>
    </row>
    <row r="436" spans="1:10" x14ac:dyDescent="0.3">
      <c r="A436" s="32" t="s">
        <v>14</v>
      </c>
      <c r="B436" s="32">
        <f t="shared" si="109"/>
        <v>2039</v>
      </c>
      <c r="C436" s="33" t="s">
        <v>34</v>
      </c>
      <c r="D436" s="34" t="s">
        <v>2002</v>
      </c>
      <c r="E436" s="35" t="str">
        <f t="shared" si="104"/>
        <v>PDP'!</v>
      </c>
      <c r="F436" s="34" t="str">
        <f t="shared" si="105"/>
        <v>C:\Users\jaime.benazar\Quorum Business Solutions\Ecopetrol Prometeo - Documents\Planning Space Implementation\3. Analysis &amp; Design\Design\FC22\DRR Jaime\Neiva CPI\[DINA TERCIARIOS_CF_SEC_New_27-Mar-2024.xlsx]D-PDP'!</v>
      </c>
      <c r="G436" s="32" t="s">
        <v>102</v>
      </c>
      <c r="H436" s="33">
        <f t="shared" si="108"/>
        <v>28</v>
      </c>
      <c r="I436" s="33" t="str">
        <f t="shared" si="106"/>
        <v>='C:\Users\jaime.benazar\Quorum Business Solutions\Ecopetrol Prometeo - Documents\Planning Space Implementation\3. Analysis &amp; Design\Design\FC22\DRR Jaime\Neiva CPI\[DINA TERCIARIOS_CF_SEC_New_27-Mar-2024.xlsx]D-PDP'!$BW$28</v>
      </c>
      <c r="J436" s="37" t="s">
        <v>2204</v>
      </c>
    </row>
    <row r="437" spans="1:10" x14ac:dyDescent="0.3">
      <c r="A437" s="32" t="s">
        <v>14</v>
      </c>
      <c r="B437" s="32">
        <f t="shared" si="109"/>
        <v>2040</v>
      </c>
      <c r="C437" s="33" t="s">
        <v>34</v>
      </c>
      <c r="D437" s="34" t="s">
        <v>2002</v>
      </c>
      <c r="E437" s="35" t="str">
        <f t="shared" si="104"/>
        <v>PDP'!</v>
      </c>
      <c r="F437" s="34" t="str">
        <f t="shared" si="105"/>
        <v>C:\Users\jaime.benazar\Quorum Business Solutions\Ecopetrol Prometeo - Documents\Planning Space Implementation\3. Analysis &amp; Design\Design\FC22\DRR Jaime\Neiva CPI\[DINA TERCIARIOS_CF_SEC_New_27-Mar-2024.xlsx]D-PDP'!</v>
      </c>
      <c r="G437" s="32" t="s">
        <v>102</v>
      </c>
      <c r="H437" s="33">
        <f t="shared" si="108"/>
        <v>29</v>
      </c>
      <c r="I437" s="33" t="str">
        <f t="shared" si="106"/>
        <v>='C:\Users\jaime.benazar\Quorum Business Solutions\Ecopetrol Prometeo - Documents\Planning Space Implementation\3. Analysis &amp; Design\Design\FC22\DRR Jaime\Neiva CPI\[DINA TERCIARIOS_CF_SEC_New_27-Mar-2024.xlsx]D-PDP'!$BW$29</v>
      </c>
      <c r="J437" s="37" t="s">
        <v>2205</v>
      </c>
    </row>
    <row r="438" spans="1:10" x14ac:dyDescent="0.3">
      <c r="A438" s="32" t="s">
        <v>14</v>
      </c>
      <c r="B438" s="32">
        <f>+B437+1</f>
        <v>2041</v>
      </c>
      <c r="C438" s="33" t="s">
        <v>34</v>
      </c>
      <c r="D438" s="34" t="s">
        <v>2002</v>
      </c>
      <c r="E438" s="35" t="str">
        <f t="shared" si="104"/>
        <v>PDP'!</v>
      </c>
      <c r="F438" s="34" t="str">
        <f t="shared" si="105"/>
        <v>C:\Users\jaime.benazar\Quorum Business Solutions\Ecopetrol Prometeo - Documents\Planning Space Implementation\3. Analysis &amp; Design\Design\FC22\DRR Jaime\Neiva CPI\[DINA TERCIARIOS_CF_SEC_New_27-Mar-2024.xlsx]D-PDP'!</v>
      </c>
      <c r="G438" s="32" t="s">
        <v>102</v>
      </c>
      <c r="H438" s="33">
        <f t="shared" si="108"/>
        <v>30</v>
      </c>
      <c r="I438" s="33" t="str">
        <f t="shared" si="106"/>
        <v>='C:\Users\jaime.benazar\Quorum Business Solutions\Ecopetrol Prometeo - Documents\Planning Space Implementation\3. Analysis &amp; Design\Design\FC22\DRR Jaime\Neiva CPI\[DINA TERCIARIOS_CF_SEC_New_27-Mar-2024.xlsx]D-PDP'!$BW$30</v>
      </c>
      <c r="J438" s="37" t="s">
        <v>2206</v>
      </c>
    </row>
    <row r="439" spans="1:10" x14ac:dyDescent="0.3">
      <c r="A439" s="32" t="s">
        <v>14</v>
      </c>
      <c r="B439" s="32">
        <f t="shared" ref="B439:B440" si="110">+B438+1</f>
        <v>2042</v>
      </c>
      <c r="C439" s="33" t="s">
        <v>34</v>
      </c>
      <c r="D439" s="34" t="s">
        <v>2002</v>
      </c>
      <c r="E439" s="35" t="str">
        <f t="shared" si="104"/>
        <v>PDP'!</v>
      </c>
      <c r="F439" s="34" t="str">
        <f t="shared" si="105"/>
        <v>C:\Users\jaime.benazar\Quorum Business Solutions\Ecopetrol Prometeo - Documents\Planning Space Implementation\3. Analysis &amp; Design\Design\FC22\DRR Jaime\Neiva CPI\[DINA TERCIARIOS_CF_SEC_New_27-Mar-2024.xlsx]D-PDP'!</v>
      </c>
      <c r="G439" s="32" t="s">
        <v>102</v>
      </c>
      <c r="H439" s="33">
        <f t="shared" si="108"/>
        <v>31</v>
      </c>
      <c r="I439" s="33" t="str">
        <f t="shared" si="106"/>
        <v>='C:\Users\jaime.benazar\Quorum Business Solutions\Ecopetrol Prometeo - Documents\Planning Space Implementation\3. Analysis &amp; Design\Design\FC22\DRR Jaime\Neiva CPI\[DINA TERCIARIOS_CF_SEC_New_27-Mar-2024.xlsx]D-PDP'!$BW$31</v>
      </c>
      <c r="J439" s="37" t="s">
        <v>2207</v>
      </c>
    </row>
    <row r="440" spans="1:10" x14ac:dyDescent="0.3">
      <c r="A440" s="32" t="s">
        <v>14</v>
      </c>
      <c r="B440" s="32">
        <f t="shared" si="110"/>
        <v>2043</v>
      </c>
      <c r="C440" s="33" t="s">
        <v>34</v>
      </c>
      <c r="D440" s="34" t="s">
        <v>2002</v>
      </c>
      <c r="E440" s="35" t="str">
        <f t="shared" si="104"/>
        <v>PDP'!</v>
      </c>
      <c r="F440" s="34" t="str">
        <f t="shared" si="105"/>
        <v>C:\Users\jaime.benazar\Quorum Business Solutions\Ecopetrol Prometeo - Documents\Planning Space Implementation\3. Analysis &amp; Design\Design\FC22\DRR Jaime\Neiva CPI\[DINA TERCIARIOS_CF_SEC_New_27-Mar-2024.xlsx]D-PDP'!</v>
      </c>
      <c r="G440" s="32" t="s">
        <v>102</v>
      </c>
      <c r="H440" s="33">
        <f t="shared" si="108"/>
        <v>32</v>
      </c>
      <c r="I440" s="33" t="str">
        <f t="shared" si="106"/>
        <v>='C:\Users\jaime.benazar\Quorum Business Solutions\Ecopetrol Prometeo - Documents\Planning Space Implementation\3. Analysis &amp; Design\Design\FC22\DRR Jaime\Neiva CPI\[DINA TERCIARIOS_CF_SEC_New_27-Mar-2024.xlsx]D-PDP'!$BW$32</v>
      </c>
      <c r="J440" s="37" t="s">
        <v>2208</v>
      </c>
    </row>
    <row r="441" spans="1:10" x14ac:dyDescent="0.3">
      <c r="A441" s="32" t="s">
        <v>14</v>
      </c>
      <c r="B441" s="32">
        <f>+B440+1</f>
        <v>2044</v>
      </c>
      <c r="C441" s="33" t="s">
        <v>34</v>
      </c>
      <c r="D441" s="34" t="s">
        <v>2002</v>
      </c>
      <c r="E441" s="35" t="str">
        <f t="shared" ref="E441:E456" si="111">_xlfn.CONCAT(A441,"'!")</f>
        <v>PDP'!</v>
      </c>
      <c r="F441" s="34" t="str">
        <f t="shared" ref="F441:F456" si="112">_xlfn.CONCAT(D441:E441)</f>
        <v>C:\Users\jaime.benazar\Quorum Business Solutions\Ecopetrol Prometeo - Documents\Planning Space Implementation\3. Analysis &amp; Design\Design\FC22\DRR Jaime\Neiva CPI\[DINA TERCIARIOS_CF_SEC_New_27-Mar-2024.xlsx]D-PDP'!</v>
      </c>
      <c r="G441" s="32" t="s">
        <v>102</v>
      </c>
      <c r="H441" s="33">
        <f t="shared" ref="H441:H456" si="113">IF(A441&lt;&gt;A440,12,H440+1)</f>
        <v>33</v>
      </c>
      <c r="I441" s="33" t="str">
        <f t="shared" ref="I441:I456" si="114">_xlfn.CONCAT("='",F441:H441)</f>
        <v>='C:\Users\jaime.benazar\Quorum Business Solutions\Ecopetrol Prometeo - Documents\Planning Space Implementation\3. Analysis &amp; Design\Design\FC22\DRR Jaime\Neiva CPI\[DINA TERCIARIOS_CF_SEC_New_27-Mar-2024.xlsx]D-PDP'!$BW$33</v>
      </c>
      <c r="J441" s="37" t="s">
        <v>2209</v>
      </c>
    </row>
    <row r="442" spans="1:10" x14ac:dyDescent="0.3">
      <c r="A442" s="32" t="s">
        <v>14</v>
      </c>
      <c r="B442" s="32">
        <f t="shared" ref="B442:B456" si="115">+B441+1</f>
        <v>2045</v>
      </c>
      <c r="C442" s="33" t="s">
        <v>34</v>
      </c>
      <c r="D442" s="34" t="s">
        <v>2002</v>
      </c>
      <c r="E442" s="35" t="str">
        <f t="shared" si="111"/>
        <v>PDP'!</v>
      </c>
      <c r="F442" s="34" t="str">
        <f t="shared" si="112"/>
        <v>C:\Users\jaime.benazar\Quorum Business Solutions\Ecopetrol Prometeo - Documents\Planning Space Implementation\3. Analysis &amp; Design\Design\FC22\DRR Jaime\Neiva CPI\[DINA TERCIARIOS_CF_SEC_New_27-Mar-2024.xlsx]D-PDP'!</v>
      </c>
      <c r="G442" s="32" t="s">
        <v>102</v>
      </c>
      <c r="H442" s="33">
        <f t="shared" si="113"/>
        <v>34</v>
      </c>
      <c r="I442" s="33" t="str">
        <f t="shared" si="114"/>
        <v>='C:\Users\jaime.benazar\Quorum Business Solutions\Ecopetrol Prometeo - Documents\Planning Space Implementation\3. Analysis &amp; Design\Design\FC22\DRR Jaime\Neiva CPI\[DINA TERCIARIOS_CF_SEC_New_27-Mar-2024.xlsx]D-PDP'!$BW$34</v>
      </c>
      <c r="J442" s="37" t="s">
        <v>2210</v>
      </c>
    </row>
    <row r="443" spans="1:10" x14ac:dyDescent="0.3">
      <c r="A443" s="32" t="s">
        <v>14</v>
      </c>
      <c r="B443" s="32">
        <f t="shared" si="115"/>
        <v>2046</v>
      </c>
      <c r="C443" s="33" t="s">
        <v>34</v>
      </c>
      <c r="D443" s="34" t="s">
        <v>2002</v>
      </c>
      <c r="E443" s="35" t="str">
        <f t="shared" si="111"/>
        <v>PDP'!</v>
      </c>
      <c r="F443" s="34" t="str">
        <f t="shared" si="112"/>
        <v>C:\Users\jaime.benazar\Quorum Business Solutions\Ecopetrol Prometeo - Documents\Planning Space Implementation\3. Analysis &amp; Design\Design\FC22\DRR Jaime\Neiva CPI\[DINA TERCIARIOS_CF_SEC_New_27-Mar-2024.xlsx]D-PDP'!</v>
      </c>
      <c r="G443" s="32" t="s">
        <v>102</v>
      </c>
      <c r="H443" s="33">
        <f t="shared" si="113"/>
        <v>35</v>
      </c>
      <c r="I443" s="33" t="str">
        <f t="shared" si="114"/>
        <v>='C:\Users\jaime.benazar\Quorum Business Solutions\Ecopetrol Prometeo - Documents\Planning Space Implementation\3. Analysis &amp; Design\Design\FC22\DRR Jaime\Neiva CPI\[DINA TERCIARIOS_CF_SEC_New_27-Mar-2024.xlsx]D-PDP'!$BW$35</v>
      </c>
      <c r="J443" s="37" t="s">
        <v>2211</v>
      </c>
    </row>
    <row r="444" spans="1:10" x14ac:dyDescent="0.3">
      <c r="A444" s="32" t="s">
        <v>14</v>
      </c>
      <c r="B444" s="32">
        <f t="shared" si="115"/>
        <v>2047</v>
      </c>
      <c r="C444" s="33" t="s">
        <v>34</v>
      </c>
      <c r="D444" s="34" t="s">
        <v>2002</v>
      </c>
      <c r="E444" s="35" t="str">
        <f t="shared" si="111"/>
        <v>PDP'!</v>
      </c>
      <c r="F444" s="34" t="str">
        <f t="shared" si="112"/>
        <v>C:\Users\jaime.benazar\Quorum Business Solutions\Ecopetrol Prometeo - Documents\Planning Space Implementation\3. Analysis &amp; Design\Design\FC22\DRR Jaime\Neiva CPI\[DINA TERCIARIOS_CF_SEC_New_27-Mar-2024.xlsx]D-PDP'!</v>
      </c>
      <c r="G444" s="32" t="s">
        <v>102</v>
      </c>
      <c r="H444" s="33">
        <f t="shared" si="113"/>
        <v>36</v>
      </c>
      <c r="I444" s="33" t="str">
        <f t="shared" si="114"/>
        <v>='C:\Users\jaime.benazar\Quorum Business Solutions\Ecopetrol Prometeo - Documents\Planning Space Implementation\3. Analysis &amp; Design\Design\FC22\DRR Jaime\Neiva CPI\[DINA TERCIARIOS_CF_SEC_New_27-Mar-2024.xlsx]D-PDP'!$BW$36</v>
      </c>
      <c r="J444" s="37" t="s">
        <v>2212</v>
      </c>
    </row>
    <row r="445" spans="1:10" x14ac:dyDescent="0.3">
      <c r="A445" s="32" t="s">
        <v>14</v>
      </c>
      <c r="B445" s="32">
        <f t="shared" si="115"/>
        <v>2048</v>
      </c>
      <c r="C445" s="33" t="s">
        <v>34</v>
      </c>
      <c r="D445" s="34" t="s">
        <v>2002</v>
      </c>
      <c r="E445" s="35" t="str">
        <f t="shared" si="111"/>
        <v>PDP'!</v>
      </c>
      <c r="F445" s="34" t="str">
        <f t="shared" si="112"/>
        <v>C:\Users\jaime.benazar\Quorum Business Solutions\Ecopetrol Prometeo - Documents\Planning Space Implementation\3. Analysis &amp; Design\Design\FC22\DRR Jaime\Neiva CPI\[DINA TERCIARIOS_CF_SEC_New_27-Mar-2024.xlsx]D-PDP'!</v>
      </c>
      <c r="G445" s="32" t="s">
        <v>102</v>
      </c>
      <c r="H445" s="33">
        <f t="shared" si="113"/>
        <v>37</v>
      </c>
      <c r="I445" s="33" t="str">
        <f t="shared" si="114"/>
        <v>='C:\Users\jaime.benazar\Quorum Business Solutions\Ecopetrol Prometeo - Documents\Planning Space Implementation\3. Analysis &amp; Design\Design\FC22\DRR Jaime\Neiva CPI\[DINA TERCIARIOS_CF_SEC_New_27-Mar-2024.xlsx]D-PDP'!$BW$37</v>
      </c>
      <c r="J445" s="37" t="s">
        <v>2213</v>
      </c>
    </row>
    <row r="446" spans="1:10" x14ac:dyDescent="0.3">
      <c r="A446" s="32" t="s">
        <v>14</v>
      </c>
      <c r="B446" s="32">
        <f t="shared" si="115"/>
        <v>2049</v>
      </c>
      <c r="C446" s="33" t="s">
        <v>34</v>
      </c>
      <c r="D446" s="34" t="s">
        <v>2002</v>
      </c>
      <c r="E446" s="35" t="str">
        <f t="shared" si="111"/>
        <v>PDP'!</v>
      </c>
      <c r="F446" s="34" t="str">
        <f t="shared" si="112"/>
        <v>C:\Users\jaime.benazar\Quorum Business Solutions\Ecopetrol Prometeo - Documents\Planning Space Implementation\3. Analysis &amp; Design\Design\FC22\DRR Jaime\Neiva CPI\[DINA TERCIARIOS_CF_SEC_New_27-Mar-2024.xlsx]D-PDP'!</v>
      </c>
      <c r="G446" s="32" t="s">
        <v>102</v>
      </c>
      <c r="H446" s="33">
        <f t="shared" si="113"/>
        <v>38</v>
      </c>
      <c r="I446" s="33" t="str">
        <f t="shared" si="114"/>
        <v>='C:\Users\jaime.benazar\Quorum Business Solutions\Ecopetrol Prometeo - Documents\Planning Space Implementation\3. Analysis &amp; Design\Design\FC22\DRR Jaime\Neiva CPI\[DINA TERCIARIOS_CF_SEC_New_27-Mar-2024.xlsx]D-PDP'!$BW$38</v>
      </c>
      <c r="J446" s="37" t="s">
        <v>2214</v>
      </c>
    </row>
    <row r="447" spans="1:10" x14ac:dyDescent="0.3">
      <c r="A447" s="32" t="s">
        <v>14</v>
      </c>
      <c r="B447" s="32">
        <f t="shared" si="115"/>
        <v>2050</v>
      </c>
      <c r="C447" s="33" t="s">
        <v>34</v>
      </c>
      <c r="D447" s="34" t="s">
        <v>2002</v>
      </c>
      <c r="E447" s="35" t="str">
        <f t="shared" si="111"/>
        <v>PDP'!</v>
      </c>
      <c r="F447" s="34" t="str">
        <f t="shared" si="112"/>
        <v>C:\Users\jaime.benazar\Quorum Business Solutions\Ecopetrol Prometeo - Documents\Planning Space Implementation\3. Analysis &amp; Design\Design\FC22\DRR Jaime\Neiva CPI\[DINA TERCIARIOS_CF_SEC_New_27-Mar-2024.xlsx]D-PDP'!</v>
      </c>
      <c r="G447" s="32" t="s">
        <v>102</v>
      </c>
      <c r="H447" s="33">
        <f t="shared" si="113"/>
        <v>39</v>
      </c>
      <c r="I447" s="33" t="str">
        <f t="shared" si="114"/>
        <v>='C:\Users\jaime.benazar\Quorum Business Solutions\Ecopetrol Prometeo - Documents\Planning Space Implementation\3. Analysis &amp; Design\Design\FC22\DRR Jaime\Neiva CPI\[DINA TERCIARIOS_CF_SEC_New_27-Mar-2024.xlsx]D-PDP'!$BW$39</v>
      </c>
      <c r="J447" s="37" t="s">
        <v>2215</v>
      </c>
    </row>
    <row r="448" spans="1:10" x14ac:dyDescent="0.3">
      <c r="A448" s="32" t="s">
        <v>14</v>
      </c>
      <c r="B448" s="32">
        <f t="shared" si="115"/>
        <v>2051</v>
      </c>
      <c r="C448" s="33" t="s">
        <v>34</v>
      </c>
      <c r="D448" s="34" t="s">
        <v>2002</v>
      </c>
      <c r="E448" s="35" t="str">
        <f t="shared" si="111"/>
        <v>PDP'!</v>
      </c>
      <c r="F448" s="34" t="str">
        <f t="shared" si="112"/>
        <v>C:\Users\jaime.benazar\Quorum Business Solutions\Ecopetrol Prometeo - Documents\Planning Space Implementation\3. Analysis &amp; Design\Design\FC22\DRR Jaime\Neiva CPI\[DINA TERCIARIOS_CF_SEC_New_27-Mar-2024.xlsx]D-PDP'!</v>
      </c>
      <c r="G448" s="32" t="s">
        <v>102</v>
      </c>
      <c r="H448" s="33">
        <f t="shared" si="113"/>
        <v>40</v>
      </c>
      <c r="I448" s="33" t="str">
        <f t="shared" si="114"/>
        <v>='C:\Users\jaime.benazar\Quorum Business Solutions\Ecopetrol Prometeo - Documents\Planning Space Implementation\3. Analysis &amp; Design\Design\FC22\DRR Jaime\Neiva CPI\[DINA TERCIARIOS_CF_SEC_New_27-Mar-2024.xlsx]D-PDP'!$BW$40</v>
      </c>
      <c r="J448" s="37" t="s">
        <v>2216</v>
      </c>
    </row>
    <row r="449" spans="1:10" x14ac:dyDescent="0.3">
      <c r="A449" s="32" t="s">
        <v>14</v>
      </c>
      <c r="B449" s="32">
        <f t="shared" si="115"/>
        <v>2052</v>
      </c>
      <c r="C449" s="33" t="s">
        <v>34</v>
      </c>
      <c r="D449" s="34" t="s">
        <v>2002</v>
      </c>
      <c r="E449" s="35" t="str">
        <f t="shared" si="111"/>
        <v>PDP'!</v>
      </c>
      <c r="F449" s="34" t="str">
        <f t="shared" si="112"/>
        <v>C:\Users\jaime.benazar\Quorum Business Solutions\Ecopetrol Prometeo - Documents\Planning Space Implementation\3. Analysis &amp; Design\Design\FC22\DRR Jaime\Neiva CPI\[DINA TERCIARIOS_CF_SEC_New_27-Mar-2024.xlsx]D-PDP'!</v>
      </c>
      <c r="G449" s="32" t="s">
        <v>102</v>
      </c>
      <c r="H449" s="33">
        <f t="shared" si="113"/>
        <v>41</v>
      </c>
      <c r="I449" s="33" t="str">
        <f t="shared" si="114"/>
        <v>='C:\Users\jaime.benazar\Quorum Business Solutions\Ecopetrol Prometeo - Documents\Planning Space Implementation\3. Analysis &amp; Design\Design\FC22\DRR Jaime\Neiva CPI\[DINA TERCIARIOS_CF_SEC_New_27-Mar-2024.xlsx]D-PDP'!$BW$41</v>
      </c>
      <c r="J449" s="37" t="s">
        <v>2217</v>
      </c>
    </row>
    <row r="450" spans="1:10" x14ac:dyDescent="0.3">
      <c r="A450" s="32" t="s">
        <v>14</v>
      </c>
      <c r="B450" s="32">
        <f t="shared" si="115"/>
        <v>2053</v>
      </c>
      <c r="C450" s="33" t="s">
        <v>34</v>
      </c>
      <c r="D450" s="34" t="s">
        <v>2002</v>
      </c>
      <c r="E450" s="35" t="str">
        <f t="shared" si="111"/>
        <v>PDP'!</v>
      </c>
      <c r="F450" s="34" t="str">
        <f t="shared" si="112"/>
        <v>C:\Users\jaime.benazar\Quorum Business Solutions\Ecopetrol Prometeo - Documents\Planning Space Implementation\3. Analysis &amp; Design\Design\FC22\DRR Jaime\Neiva CPI\[DINA TERCIARIOS_CF_SEC_New_27-Mar-2024.xlsx]D-PDP'!</v>
      </c>
      <c r="G450" s="32" t="s">
        <v>102</v>
      </c>
      <c r="H450" s="33">
        <f t="shared" si="113"/>
        <v>42</v>
      </c>
      <c r="I450" s="33" t="str">
        <f t="shared" si="114"/>
        <v>='C:\Users\jaime.benazar\Quorum Business Solutions\Ecopetrol Prometeo - Documents\Planning Space Implementation\3. Analysis &amp; Design\Design\FC22\DRR Jaime\Neiva CPI\[DINA TERCIARIOS_CF_SEC_New_27-Mar-2024.xlsx]D-PDP'!$BW$42</v>
      </c>
      <c r="J450" s="37" t="s">
        <v>2218</v>
      </c>
    </row>
    <row r="451" spans="1:10" x14ac:dyDescent="0.3">
      <c r="A451" s="32" t="s">
        <v>14</v>
      </c>
      <c r="B451" s="32">
        <f t="shared" si="115"/>
        <v>2054</v>
      </c>
      <c r="C451" s="33" t="s">
        <v>34</v>
      </c>
      <c r="D451" s="34" t="s">
        <v>2002</v>
      </c>
      <c r="E451" s="35" t="str">
        <f t="shared" si="111"/>
        <v>PDP'!</v>
      </c>
      <c r="F451" s="34" t="str">
        <f t="shared" si="112"/>
        <v>C:\Users\jaime.benazar\Quorum Business Solutions\Ecopetrol Prometeo - Documents\Planning Space Implementation\3. Analysis &amp; Design\Design\FC22\DRR Jaime\Neiva CPI\[DINA TERCIARIOS_CF_SEC_New_27-Mar-2024.xlsx]D-PDP'!</v>
      </c>
      <c r="G451" s="32" t="s">
        <v>102</v>
      </c>
      <c r="H451" s="33">
        <f t="shared" si="113"/>
        <v>43</v>
      </c>
      <c r="I451" s="33" t="str">
        <f t="shared" si="114"/>
        <v>='C:\Users\jaime.benazar\Quorum Business Solutions\Ecopetrol Prometeo - Documents\Planning Space Implementation\3. Analysis &amp; Design\Design\FC22\DRR Jaime\Neiva CPI\[DINA TERCIARIOS_CF_SEC_New_27-Mar-2024.xlsx]D-PDP'!$BW$43</v>
      </c>
      <c r="J451" s="37" t="s">
        <v>2219</v>
      </c>
    </row>
    <row r="452" spans="1:10" x14ac:dyDescent="0.3">
      <c r="A452" s="32" t="s">
        <v>14</v>
      </c>
      <c r="B452" s="32">
        <f t="shared" si="115"/>
        <v>2055</v>
      </c>
      <c r="C452" s="33" t="s">
        <v>34</v>
      </c>
      <c r="D452" s="34" t="s">
        <v>2002</v>
      </c>
      <c r="E452" s="35" t="str">
        <f t="shared" si="111"/>
        <v>PDP'!</v>
      </c>
      <c r="F452" s="34" t="str">
        <f t="shared" si="112"/>
        <v>C:\Users\jaime.benazar\Quorum Business Solutions\Ecopetrol Prometeo - Documents\Planning Space Implementation\3. Analysis &amp; Design\Design\FC22\DRR Jaime\Neiva CPI\[DINA TERCIARIOS_CF_SEC_New_27-Mar-2024.xlsx]D-PDP'!</v>
      </c>
      <c r="G452" s="32" t="s">
        <v>102</v>
      </c>
      <c r="H452" s="33">
        <f t="shared" si="113"/>
        <v>44</v>
      </c>
      <c r="I452" s="33" t="str">
        <f t="shared" si="114"/>
        <v>='C:\Users\jaime.benazar\Quorum Business Solutions\Ecopetrol Prometeo - Documents\Planning Space Implementation\3. Analysis &amp; Design\Design\FC22\DRR Jaime\Neiva CPI\[DINA TERCIARIOS_CF_SEC_New_27-Mar-2024.xlsx]D-PDP'!$BW$44</v>
      </c>
      <c r="J452" s="37" t="s">
        <v>2220</v>
      </c>
    </row>
    <row r="453" spans="1:10" x14ac:dyDescent="0.3">
      <c r="A453" s="32" t="s">
        <v>14</v>
      </c>
      <c r="B453" s="32">
        <f t="shared" si="115"/>
        <v>2056</v>
      </c>
      <c r="C453" s="33" t="s">
        <v>34</v>
      </c>
      <c r="D453" s="34" t="s">
        <v>2002</v>
      </c>
      <c r="E453" s="35" t="str">
        <f t="shared" si="111"/>
        <v>PDP'!</v>
      </c>
      <c r="F453" s="34" t="str">
        <f t="shared" si="112"/>
        <v>C:\Users\jaime.benazar\Quorum Business Solutions\Ecopetrol Prometeo - Documents\Planning Space Implementation\3. Analysis &amp; Design\Design\FC22\DRR Jaime\Neiva CPI\[DINA TERCIARIOS_CF_SEC_New_27-Mar-2024.xlsx]D-PDP'!</v>
      </c>
      <c r="G453" s="32" t="s">
        <v>102</v>
      </c>
      <c r="H453" s="33">
        <f t="shared" si="113"/>
        <v>45</v>
      </c>
      <c r="I453" s="33" t="str">
        <f t="shared" si="114"/>
        <v>='C:\Users\jaime.benazar\Quorum Business Solutions\Ecopetrol Prometeo - Documents\Planning Space Implementation\3. Analysis &amp; Design\Design\FC22\DRR Jaime\Neiva CPI\[DINA TERCIARIOS_CF_SEC_New_27-Mar-2024.xlsx]D-PDP'!$BW$45</v>
      </c>
      <c r="J453" s="37" t="s">
        <v>2221</v>
      </c>
    </row>
    <row r="454" spans="1:10" x14ac:dyDescent="0.3">
      <c r="A454" s="32" t="s">
        <v>14</v>
      </c>
      <c r="B454" s="32">
        <f t="shared" si="115"/>
        <v>2057</v>
      </c>
      <c r="C454" s="33" t="s">
        <v>34</v>
      </c>
      <c r="D454" s="34" t="s">
        <v>2002</v>
      </c>
      <c r="E454" s="35" t="str">
        <f t="shared" si="111"/>
        <v>PDP'!</v>
      </c>
      <c r="F454" s="34" t="str">
        <f t="shared" si="112"/>
        <v>C:\Users\jaime.benazar\Quorum Business Solutions\Ecopetrol Prometeo - Documents\Planning Space Implementation\3. Analysis &amp; Design\Design\FC22\DRR Jaime\Neiva CPI\[DINA TERCIARIOS_CF_SEC_New_27-Mar-2024.xlsx]D-PDP'!</v>
      </c>
      <c r="G454" s="32" t="s">
        <v>102</v>
      </c>
      <c r="H454" s="33">
        <f t="shared" si="113"/>
        <v>46</v>
      </c>
      <c r="I454" s="33" t="str">
        <f t="shared" si="114"/>
        <v>='C:\Users\jaime.benazar\Quorum Business Solutions\Ecopetrol Prometeo - Documents\Planning Space Implementation\3. Analysis &amp; Design\Design\FC22\DRR Jaime\Neiva CPI\[DINA TERCIARIOS_CF_SEC_New_27-Mar-2024.xlsx]D-PDP'!$BW$46</v>
      </c>
      <c r="J454" s="37" t="s">
        <v>2222</v>
      </c>
    </row>
    <row r="455" spans="1:10" x14ac:dyDescent="0.3">
      <c r="A455" s="32" t="s">
        <v>14</v>
      </c>
      <c r="B455" s="32">
        <f t="shared" si="115"/>
        <v>2058</v>
      </c>
      <c r="C455" s="33" t="s">
        <v>34</v>
      </c>
      <c r="D455" s="34" t="s">
        <v>2002</v>
      </c>
      <c r="E455" s="35" t="str">
        <f t="shared" si="111"/>
        <v>PDP'!</v>
      </c>
      <c r="F455" s="34" t="str">
        <f t="shared" si="112"/>
        <v>C:\Users\jaime.benazar\Quorum Business Solutions\Ecopetrol Prometeo - Documents\Planning Space Implementation\3. Analysis &amp; Design\Design\FC22\DRR Jaime\Neiva CPI\[DINA TERCIARIOS_CF_SEC_New_27-Mar-2024.xlsx]D-PDP'!</v>
      </c>
      <c r="G455" s="32" t="s">
        <v>102</v>
      </c>
      <c r="H455" s="33">
        <f t="shared" si="113"/>
        <v>47</v>
      </c>
      <c r="I455" s="33" t="str">
        <f t="shared" si="114"/>
        <v>='C:\Users\jaime.benazar\Quorum Business Solutions\Ecopetrol Prometeo - Documents\Planning Space Implementation\3. Analysis &amp; Design\Design\FC22\DRR Jaime\Neiva CPI\[DINA TERCIARIOS_CF_SEC_New_27-Mar-2024.xlsx]D-PDP'!$BW$47</v>
      </c>
      <c r="J455" s="37" t="s">
        <v>2223</v>
      </c>
    </row>
    <row r="456" spans="1:10" x14ac:dyDescent="0.3">
      <c r="A456" s="32" t="s">
        <v>14</v>
      </c>
      <c r="B456" s="32">
        <f t="shared" si="115"/>
        <v>2059</v>
      </c>
      <c r="C456" s="33" t="s">
        <v>34</v>
      </c>
      <c r="D456" s="34" t="s">
        <v>2002</v>
      </c>
      <c r="E456" s="35" t="str">
        <f t="shared" si="111"/>
        <v>PDP'!</v>
      </c>
      <c r="F456" s="34" t="str">
        <f t="shared" si="112"/>
        <v>C:\Users\jaime.benazar\Quorum Business Solutions\Ecopetrol Prometeo - Documents\Planning Space Implementation\3. Analysis &amp; Design\Design\FC22\DRR Jaime\Neiva CPI\[DINA TERCIARIOS_CF_SEC_New_27-Mar-2024.xlsx]D-PDP'!</v>
      </c>
      <c r="G456" s="32" t="s">
        <v>102</v>
      </c>
      <c r="H456" s="33">
        <f t="shared" si="113"/>
        <v>48</v>
      </c>
      <c r="I456" s="33" t="str">
        <f t="shared" si="114"/>
        <v>='C:\Users\jaime.benazar\Quorum Business Solutions\Ecopetrol Prometeo - Documents\Planning Space Implementation\3. Analysis &amp; Design\Design\FC22\DRR Jaime\Neiva CPI\[DINA TERCIARIOS_CF_SEC_New_27-Mar-2024.xlsx]D-PDP'!$BW$48</v>
      </c>
      <c r="J456" s="37" t="s">
        <v>2224</v>
      </c>
    </row>
    <row r="457" spans="1:10" x14ac:dyDescent="0.3">
      <c r="A457" s="32" t="s">
        <v>26</v>
      </c>
      <c r="B457" s="32"/>
      <c r="C457" s="33" t="s">
        <v>34</v>
      </c>
      <c r="D457" s="34"/>
      <c r="E457" s="35"/>
      <c r="F457" s="34"/>
      <c r="G457" s="32"/>
      <c r="H457" s="33"/>
      <c r="I457" s="33"/>
      <c r="J457" s="33"/>
    </row>
    <row r="458" spans="1:10" x14ac:dyDescent="0.3">
      <c r="A458" s="32" t="s">
        <v>15</v>
      </c>
      <c r="B458" s="32">
        <v>2023</v>
      </c>
      <c r="C458" s="33" t="s">
        <v>34</v>
      </c>
      <c r="D458" s="34" t="s">
        <v>2002</v>
      </c>
      <c r="E458" s="35" t="str">
        <f t="shared" si="104"/>
        <v>PNP'!</v>
      </c>
      <c r="F458" s="34" t="str">
        <f t="shared" si="105"/>
        <v>C:\Users\jaime.benazar\Quorum Business Solutions\Ecopetrol Prometeo - Documents\Planning Space Implementation\3. Analysis &amp; Design\Design\FC22\DRR Jaime\Neiva CPI\[DINA TERCIARIOS_CF_SEC_New_27-Mar-2024.xlsx]D-PNP'!</v>
      </c>
      <c r="G458" s="32" t="s">
        <v>102</v>
      </c>
      <c r="H458" s="33">
        <v>12</v>
      </c>
      <c r="I458" s="33" t="str">
        <f t="shared" si="106"/>
        <v>='C:\Users\jaime.benazar\Quorum Business Solutions\Ecopetrol Prometeo - Documents\Planning Space Implementation\3. Analysis &amp; Design\Design\FC22\DRR Jaime\Neiva CPI\[DINA TERCIARIOS_CF_SEC_New_27-Mar-2024.xlsx]D-PNP'!$BW$12</v>
      </c>
      <c r="J458" s="37" t="s">
        <v>2225</v>
      </c>
    </row>
    <row r="459" spans="1:10" x14ac:dyDescent="0.3">
      <c r="A459" s="32" t="s">
        <v>15</v>
      </c>
      <c r="B459" s="32">
        <f>+B458+1</f>
        <v>2024</v>
      </c>
      <c r="C459" s="33" t="s">
        <v>34</v>
      </c>
      <c r="D459" s="34" t="s">
        <v>2002</v>
      </c>
      <c r="E459" s="35" t="str">
        <f t="shared" si="104"/>
        <v>PNP'!</v>
      </c>
      <c r="F459" s="34" t="str">
        <f t="shared" si="105"/>
        <v>C:\Users\jaime.benazar\Quorum Business Solutions\Ecopetrol Prometeo - Documents\Planning Space Implementation\3. Analysis &amp; Design\Design\FC22\DRR Jaime\Neiva CPI\[DINA TERCIARIOS_CF_SEC_New_27-Mar-2024.xlsx]D-PNP'!</v>
      </c>
      <c r="G459" s="32" t="s">
        <v>102</v>
      </c>
      <c r="H459" s="33">
        <f>IF(A459&lt;&gt;A458,12,H458+1)</f>
        <v>13</v>
      </c>
      <c r="I459" s="33" t="str">
        <f t="shared" si="106"/>
        <v>='C:\Users\jaime.benazar\Quorum Business Solutions\Ecopetrol Prometeo - Documents\Planning Space Implementation\3. Analysis &amp; Design\Design\FC22\DRR Jaime\Neiva CPI\[DINA TERCIARIOS_CF_SEC_New_27-Mar-2024.xlsx]D-PNP'!$BW$13</v>
      </c>
      <c r="J459" s="37" t="s">
        <v>2226</v>
      </c>
    </row>
    <row r="460" spans="1:10" x14ac:dyDescent="0.3">
      <c r="A460" s="32" t="s">
        <v>15</v>
      </c>
      <c r="B460" s="32">
        <f t="shared" ref="B460:B471" si="116">+B459+1</f>
        <v>2025</v>
      </c>
      <c r="C460" s="33" t="s">
        <v>34</v>
      </c>
      <c r="D460" s="34" t="s">
        <v>2002</v>
      </c>
      <c r="E460" s="35" t="str">
        <f t="shared" si="104"/>
        <v>PNP'!</v>
      </c>
      <c r="F460" s="34" t="str">
        <f t="shared" si="105"/>
        <v>C:\Users\jaime.benazar\Quorum Business Solutions\Ecopetrol Prometeo - Documents\Planning Space Implementation\3. Analysis &amp; Design\Design\FC22\DRR Jaime\Neiva CPI\[DINA TERCIARIOS_CF_SEC_New_27-Mar-2024.xlsx]D-PNP'!</v>
      </c>
      <c r="G460" s="32" t="s">
        <v>102</v>
      </c>
      <c r="H460" s="33">
        <f t="shared" ref="H460:H478" si="117">IF(A460&lt;&gt;A459,12,H459+1)</f>
        <v>14</v>
      </c>
      <c r="I460" s="33" t="str">
        <f t="shared" si="106"/>
        <v>='C:\Users\jaime.benazar\Quorum Business Solutions\Ecopetrol Prometeo - Documents\Planning Space Implementation\3. Analysis &amp; Design\Design\FC22\DRR Jaime\Neiva CPI\[DINA TERCIARIOS_CF_SEC_New_27-Mar-2024.xlsx]D-PNP'!$BW$14</v>
      </c>
      <c r="J460" s="37" t="s">
        <v>2227</v>
      </c>
    </row>
    <row r="461" spans="1:10" x14ac:dyDescent="0.3">
      <c r="A461" s="32" t="s">
        <v>15</v>
      </c>
      <c r="B461" s="32">
        <f t="shared" si="116"/>
        <v>2026</v>
      </c>
      <c r="C461" s="33" t="s">
        <v>34</v>
      </c>
      <c r="D461" s="34" t="s">
        <v>2002</v>
      </c>
      <c r="E461" s="35" t="str">
        <f t="shared" si="104"/>
        <v>PNP'!</v>
      </c>
      <c r="F461" s="34" t="str">
        <f t="shared" si="105"/>
        <v>C:\Users\jaime.benazar\Quorum Business Solutions\Ecopetrol Prometeo - Documents\Planning Space Implementation\3. Analysis &amp; Design\Design\FC22\DRR Jaime\Neiva CPI\[DINA TERCIARIOS_CF_SEC_New_27-Mar-2024.xlsx]D-PNP'!</v>
      </c>
      <c r="G461" s="32" t="s">
        <v>102</v>
      </c>
      <c r="H461" s="33">
        <f t="shared" si="117"/>
        <v>15</v>
      </c>
      <c r="I461" s="33" t="str">
        <f t="shared" si="106"/>
        <v>='C:\Users\jaime.benazar\Quorum Business Solutions\Ecopetrol Prometeo - Documents\Planning Space Implementation\3. Analysis &amp; Design\Design\FC22\DRR Jaime\Neiva CPI\[DINA TERCIARIOS_CF_SEC_New_27-Mar-2024.xlsx]D-PNP'!$BW$15</v>
      </c>
      <c r="J461" s="37" t="s">
        <v>2228</v>
      </c>
    </row>
    <row r="462" spans="1:10" x14ac:dyDescent="0.3">
      <c r="A462" s="32" t="s">
        <v>15</v>
      </c>
      <c r="B462" s="32">
        <f t="shared" si="116"/>
        <v>2027</v>
      </c>
      <c r="C462" s="33" t="s">
        <v>34</v>
      </c>
      <c r="D462" s="34" t="s">
        <v>2002</v>
      </c>
      <c r="E462" s="35" t="str">
        <f t="shared" si="104"/>
        <v>PNP'!</v>
      </c>
      <c r="F462" s="34" t="str">
        <f t="shared" si="105"/>
        <v>C:\Users\jaime.benazar\Quorum Business Solutions\Ecopetrol Prometeo - Documents\Planning Space Implementation\3. Analysis &amp; Design\Design\FC22\DRR Jaime\Neiva CPI\[DINA TERCIARIOS_CF_SEC_New_27-Mar-2024.xlsx]D-PNP'!</v>
      </c>
      <c r="G462" s="32" t="s">
        <v>102</v>
      </c>
      <c r="H462" s="33">
        <f t="shared" si="117"/>
        <v>16</v>
      </c>
      <c r="I462" s="33" t="str">
        <f t="shared" si="106"/>
        <v>='C:\Users\jaime.benazar\Quorum Business Solutions\Ecopetrol Prometeo - Documents\Planning Space Implementation\3. Analysis &amp; Design\Design\FC22\DRR Jaime\Neiva CPI\[DINA TERCIARIOS_CF_SEC_New_27-Mar-2024.xlsx]D-PNP'!$BW$16</v>
      </c>
      <c r="J462" s="37" t="s">
        <v>2229</v>
      </c>
    </row>
    <row r="463" spans="1:10" x14ac:dyDescent="0.3">
      <c r="A463" s="32" t="s">
        <v>15</v>
      </c>
      <c r="B463" s="32">
        <f t="shared" si="116"/>
        <v>2028</v>
      </c>
      <c r="C463" s="33" t="s">
        <v>34</v>
      </c>
      <c r="D463" s="34" t="s">
        <v>2002</v>
      </c>
      <c r="E463" s="35" t="str">
        <f t="shared" si="104"/>
        <v>PNP'!</v>
      </c>
      <c r="F463" s="34" t="str">
        <f t="shared" si="105"/>
        <v>C:\Users\jaime.benazar\Quorum Business Solutions\Ecopetrol Prometeo - Documents\Planning Space Implementation\3. Analysis &amp; Design\Design\FC22\DRR Jaime\Neiva CPI\[DINA TERCIARIOS_CF_SEC_New_27-Mar-2024.xlsx]D-PNP'!</v>
      </c>
      <c r="G463" s="32" t="s">
        <v>102</v>
      </c>
      <c r="H463" s="33">
        <f t="shared" si="117"/>
        <v>17</v>
      </c>
      <c r="I463" s="33" t="str">
        <f t="shared" si="106"/>
        <v>='C:\Users\jaime.benazar\Quorum Business Solutions\Ecopetrol Prometeo - Documents\Planning Space Implementation\3. Analysis &amp; Design\Design\FC22\DRR Jaime\Neiva CPI\[DINA TERCIARIOS_CF_SEC_New_27-Mar-2024.xlsx]D-PNP'!$BW$17</v>
      </c>
      <c r="J463" s="37" t="s">
        <v>2230</v>
      </c>
    </row>
    <row r="464" spans="1:10" x14ac:dyDescent="0.3">
      <c r="A464" s="32" t="s">
        <v>15</v>
      </c>
      <c r="B464" s="32">
        <f t="shared" si="116"/>
        <v>2029</v>
      </c>
      <c r="C464" s="33" t="s">
        <v>34</v>
      </c>
      <c r="D464" s="34" t="s">
        <v>2002</v>
      </c>
      <c r="E464" s="35" t="str">
        <f t="shared" si="104"/>
        <v>PNP'!</v>
      </c>
      <c r="F464" s="34" t="str">
        <f t="shared" si="105"/>
        <v>C:\Users\jaime.benazar\Quorum Business Solutions\Ecopetrol Prometeo - Documents\Planning Space Implementation\3. Analysis &amp; Design\Design\FC22\DRR Jaime\Neiva CPI\[DINA TERCIARIOS_CF_SEC_New_27-Mar-2024.xlsx]D-PNP'!</v>
      </c>
      <c r="G464" s="32" t="s">
        <v>102</v>
      </c>
      <c r="H464" s="33">
        <f t="shared" si="117"/>
        <v>18</v>
      </c>
      <c r="I464" s="33" t="str">
        <f t="shared" si="106"/>
        <v>='C:\Users\jaime.benazar\Quorum Business Solutions\Ecopetrol Prometeo - Documents\Planning Space Implementation\3. Analysis &amp; Design\Design\FC22\DRR Jaime\Neiva CPI\[DINA TERCIARIOS_CF_SEC_New_27-Mar-2024.xlsx]D-PNP'!$BW$18</v>
      </c>
      <c r="J464" s="37" t="s">
        <v>2231</v>
      </c>
    </row>
    <row r="465" spans="1:10" x14ac:dyDescent="0.3">
      <c r="A465" s="32" t="s">
        <v>15</v>
      </c>
      <c r="B465" s="32">
        <f t="shared" si="116"/>
        <v>2030</v>
      </c>
      <c r="C465" s="33" t="s">
        <v>34</v>
      </c>
      <c r="D465" s="34" t="s">
        <v>2002</v>
      </c>
      <c r="E465" s="35" t="str">
        <f t="shared" si="104"/>
        <v>PNP'!</v>
      </c>
      <c r="F465" s="34" t="str">
        <f t="shared" si="105"/>
        <v>C:\Users\jaime.benazar\Quorum Business Solutions\Ecopetrol Prometeo - Documents\Planning Space Implementation\3. Analysis &amp; Design\Design\FC22\DRR Jaime\Neiva CPI\[DINA TERCIARIOS_CF_SEC_New_27-Mar-2024.xlsx]D-PNP'!</v>
      </c>
      <c r="G465" s="32" t="s">
        <v>102</v>
      </c>
      <c r="H465" s="33">
        <f t="shared" si="117"/>
        <v>19</v>
      </c>
      <c r="I465" s="33" t="str">
        <f t="shared" si="106"/>
        <v>='C:\Users\jaime.benazar\Quorum Business Solutions\Ecopetrol Prometeo - Documents\Planning Space Implementation\3. Analysis &amp; Design\Design\FC22\DRR Jaime\Neiva CPI\[DINA TERCIARIOS_CF_SEC_New_27-Mar-2024.xlsx]D-PNP'!$BW$19</v>
      </c>
      <c r="J465" s="37" t="s">
        <v>2232</v>
      </c>
    </row>
    <row r="466" spans="1:10" x14ac:dyDescent="0.3">
      <c r="A466" s="32" t="s">
        <v>15</v>
      </c>
      <c r="B466" s="32">
        <f t="shared" si="116"/>
        <v>2031</v>
      </c>
      <c r="C466" s="33" t="s">
        <v>34</v>
      </c>
      <c r="D466" s="34" t="s">
        <v>2002</v>
      </c>
      <c r="E466" s="35" t="str">
        <f t="shared" si="104"/>
        <v>PNP'!</v>
      </c>
      <c r="F466" s="34" t="str">
        <f t="shared" si="105"/>
        <v>C:\Users\jaime.benazar\Quorum Business Solutions\Ecopetrol Prometeo - Documents\Planning Space Implementation\3. Analysis &amp; Design\Design\FC22\DRR Jaime\Neiva CPI\[DINA TERCIARIOS_CF_SEC_New_27-Mar-2024.xlsx]D-PNP'!</v>
      </c>
      <c r="G466" s="32" t="s">
        <v>102</v>
      </c>
      <c r="H466" s="33">
        <f t="shared" si="117"/>
        <v>20</v>
      </c>
      <c r="I466" s="33" t="str">
        <f t="shared" si="106"/>
        <v>='C:\Users\jaime.benazar\Quorum Business Solutions\Ecopetrol Prometeo - Documents\Planning Space Implementation\3. Analysis &amp; Design\Design\FC22\DRR Jaime\Neiva CPI\[DINA TERCIARIOS_CF_SEC_New_27-Mar-2024.xlsx]D-PNP'!$BW$20</v>
      </c>
      <c r="J466" s="37" t="s">
        <v>2233</v>
      </c>
    </row>
    <row r="467" spans="1:10" x14ac:dyDescent="0.3">
      <c r="A467" s="32" t="s">
        <v>15</v>
      </c>
      <c r="B467" s="32">
        <f t="shared" si="116"/>
        <v>2032</v>
      </c>
      <c r="C467" s="33" t="s">
        <v>34</v>
      </c>
      <c r="D467" s="34" t="s">
        <v>2002</v>
      </c>
      <c r="E467" s="35" t="str">
        <f t="shared" si="104"/>
        <v>PNP'!</v>
      </c>
      <c r="F467" s="34" t="str">
        <f t="shared" si="105"/>
        <v>C:\Users\jaime.benazar\Quorum Business Solutions\Ecopetrol Prometeo - Documents\Planning Space Implementation\3. Analysis &amp; Design\Design\FC22\DRR Jaime\Neiva CPI\[DINA TERCIARIOS_CF_SEC_New_27-Mar-2024.xlsx]D-PNP'!</v>
      </c>
      <c r="G467" s="32" t="s">
        <v>102</v>
      </c>
      <c r="H467" s="33">
        <f t="shared" si="117"/>
        <v>21</v>
      </c>
      <c r="I467" s="33" t="str">
        <f t="shared" si="106"/>
        <v>='C:\Users\jaime.benazar\Quorum Business Solutions\Ecopetrol Prometeo - Documents\Planning Space Implementation\3. Analysis &amp; Design\Design\FC22\DRR Jaime\Neiva CPI\[DINA TERCIARIOS_CF_SEC_New_27-Mar-2024.xlsx]D-PNP'!$BW$21</v>
      </c>
      <c r="J467" s="37" t="s">
        <v>2234</v>
      </c>
    </row>
    <row r="468" spans="1:10" x14ac:dyDescent="0.3">
      <c r="A468" s="32" t="s">
        <v>15</v>
      </c>
      <c r="B468" s="32">
        <f t="shared" si="116"/>
        <v>2033</v>
      </c>
      <c r="C468" s="33" t="s">
        <v>34</v>
      </c>
      <c r="D468" s="34" t="s">
        <v>2002</v>
      </c>
      <c r="E468" s="35" t="str">
        <f t="shared" si="104"/>
        <v>PNP'!</v>
      </c>
      <c r="F468" s="34" t="str">
        <f t="shared" si="105"/>
        <v>C:\Users\jaime.benazar\Quorum Business Solutions\Ecopetrol Prometeo - Documents\Planning Space Implementation\3. Analysis &amp; Design\Design\FC22\DRR Jaime\Neiva CPI\[DINA TERCIARIOS_CF_SEC_New_27-Mar-2024.xlsx]D-PNP'!</v>
      </c>
      <c r="G468" s="32" t="s">
        <v>102</v>
      </c>
      <c r="H468" s="33">
        <f t="shared" si="117"/>
        <v>22</v>
      </c>
      <c r="I468" s="33" t="str">
        <f t="shared" si="106"/>
        <v>='C:\Users\jaime.benazar\Quorum Business Solutions\Ecopetrol Prometeo - Documents\Planning Space Implementation\3. Analysis &amp; Design\Design\FC22\DRR Jaime\Neiva CPI\[DINA TERCIARIOS_CF_SEC_New_27-Mar-2024.xlsx]D-PNP'!$BW$22</v>
      </c>
      <c r="J468" s="37" t="s">
        <v>2235</v>
      </c>
    </row>
    <row r="469" spans="1:10" x14ac:dyDescent="0.3">
      <c r="A469" s="32" t="s">
        <v>15</v>
      </c>
      <c r="B469" s="32">
        <f t="shared" si="116"/>
        <v>2034</v>
      </c>
      <c r="C469" s="33" t="s">
        <v>34</v>
      </c>
      <c r="D469" s="34" t="s">
        <v>2002</v>
      </c>
      <c r="E469" s="35" t="str">
        <f t="shared" si="104"/>
        <v>PNP'!</v>
      </c>
      <c r="F469" s="34" t="str">
        <f t="shared" si="105"/>
        <v>C:\Users\jaime.benazar\Quorum Business Solutions\Ecopetrol Prometeo - Documents\Planning Space Implementation\3. Analysis &amp; Design\Design\FC22\DRR Jaime\Neiva CPI\[DINA TERCIARIOS_CF_SEC_New_27-Mar-2024.xlsx]D-PNP'!</v>
      </c>
      <c r="G469" s="32" t="s">
        <v>102</v>
      </c>
      <c r="H469" s="33">
        <f t="shared" si="117"/>
        <v>23</v>
      </c>
      <c r="I469" s="33" t="str">
        <f t="shared" si="106"/>
        <v>='C:\Users\jaime.benazar\Quorum Business Solutions\Ecopetrol Prometeo - Documents\Planning Space Implementation\3. Analysis &amp; Design\Design\FC22\DRR Jaime\Neiva CPI\[DINA TERCIARIOS_CF_SEC_New_27-Mar-2024.xlsx]D-PNP'!$BW$23</v>
      </c>
      <c r="J469" s="37" t="s">
        <v>2236</v>
      </c>
    </row>
    <row r="470" spans="1:10" x14ac:dyDescent="0.3">
      <c r="A470" s="32" t="s">
        <v>15</v>
      </c>
      <c r="B470" s="32">
        <f t="shared" si="116"/>
        <v>2035</v>
      </c>
      <c r="C470" s="33" t="s">
        <v>34</v>
      </c>
      <c r="D470" s="34" t="s">
        <v>2002</v>
      </c>
      <c r="E470" s="35" t="str">
        <f t="shared" si="104"/>
        <v>PNP'!</v>
      </c>
      <c r="F470" s="34" t="str">
        <f t="shared" si="105"/>
        <v>C:\Users\jaime.benazar\Quorum Business Solutions\Ecopetrol Prometeo - Documents\Planning Space Implementation\3. Analysis &amp; Design\Design\FC22\DRR Jaime\Neiva CPI\[DINA TERCIARIOS_CF_SEC_New_27-Mar-2024.xlsx]D-PNP'!</v>
      </c>
      <c r="G470" s="32" t="s">
        <v>102</v>
      </c>
      <c r="H470" s="33">
        <f t="shared" si="117"/>
        <v>24</v>
      </c>
      <c r="I470" s="33" t="str">
        <f t="shared" si="106"/>
        <v>='C:\Users\jaime.benazar\Quorum Business Solutions\Ecopetrol Prometeo - Documents\Planning Space Implementation\3. Analysis &amp; Design\Design\FC22\DRR Jaime\Neiva CPI\[DINA TERCIARIOS_CF_SEC_New_27-Mar-2024.xlsx]D-PNP'!$BW$24</v>
      </c>
      <c r="J470" s="37" t="s">
        <v>2237</v>
      </c>
    </row>
    <row r="471" spans="1:10" x14ac:dyDescent="0.3">
      <c r="A471" s="32" t="s">
        <v>15</v>
      </c>
      <c r="B471" s="32">
        <f t="shared" si="116"/>
        <v>2036</v>
      </c>
      <c r="C471" s="33" t="s">
        <v>34</v>
      </c>
      <c r="D471" s="34" t="s">
        <v>2002</v>
      </c>
      <c r="E471" s="35" t="str">
        <f t="shared" si="104"/>
        <v>PNP'!</v>
      </c>
      <c r="F471" s="34" t="str">
        <f t="shared" si="105"/>
        <v>C:\Users\jaime.benazar\Quorum Business Solutions\Ecopetrol Prometeo - Documents\Planning Space Implementation\3. Analysis &amp; Design\Design\FC22\DRR Jaime\Neiva CPI\[DINA TERCIARIOS_CF_SEC_New_27-Mar-2024.xlsx]D-PNP'!</v>
      </c>
      <c r="G471" s="32" t="s">
        <v>102</v>
      </c>
      <c r="H471" s="33">
        <f t="shared" si="117"/>
        <v>25</v>
      </c>
      <c r="I471" s="33" t="str">
        <f t="shared" si="106"/>
        <v>='C:\Users\jaime.benazar\Quorum Business Solutions\Ecopetrol Prometeo - Documents\Planning Space Implementation\3. Analysis &amp; Design\Design\FC22\DRR Jaime\Neiva CPI\[DINA TERCIARIOS_CF_SEC_New_27-Mar-2024.xlsx]D-PNP'!$BW$25</v>
      </c>
      <c r="J471" s="37" t="s">
        <v>2238</v>
      </c>
    </row>
    <row r="472" spans="1:10" x14ac:dyDescent="0.3">
      <c r="A472" s="32" t="s">
        <v>15</v>
      </c>
      <c r="B472" s="32">
        <f>+B471+1</f>
        <v>2037</v>
      </c>
      <c r="C472" s="33" t="s">
        <v>34</v>
      </c>
      <c r="D472" s="34" t="s">
        <v>2002</v>
      </c>
      <c r="E472" s="35" t="str">
        <f t="shared" si="104"/>
        <v>PNP'!</v>
      </c>
      <c r="F472" s="34" t="str">
        <f t="shared" si="105"/>
        <v>C:\Users\jaime.benazar\Quorum Business Solutions\Ecopetrol Prometeo - Documents\Planning Space Implementation\3. Analysis &amp; Design\Design\FC22\DRR Jaime\Neiva CPI\[DINA TERCIARIOS_CF_SEC_New_27-Mar-2024.xlsx]D-PNP'!</v>
      </c>
      <c r="G472" s="32" t="s">
        <v>102</v>
      </c>
      <c r="H472" s="33">
        <f t="shared" si="117"/>
        <v>26</v>
      </c>
      <c r="I472" s="33" t="str">
        <f t="shared" si="106"/>
        <v>='C:\Users\jaime.benazar\Quorum Business Solutions\Ecopetrol Prometeo - Documents\Planning Space Implementation\3. Analysis &amp; Design\Design\FC22\DRR Jaime\Neiva CPI\[DINA TERCIARIOS_CF_SEC_New_27-Mar-2024.xlsx]D-PNP'!$BW$26</v>
      </c>
      <c r="J472" s="37" t="s">
        <v>2239</v>
      </c>
    </row>
    <row r="473" spans="1:10" x14ac:dyDescent="0.3">
      <c r="A473" s="32" t="s">
        <v>15</v>
      </c>
      <c r="B473" s="32">
        <f t="shared" ref="B473:B475" si="118">+B472+1</f>
        <v>2038</v>
      </c>
      <c r="C473" s="33" t="s">
        <v>34</v>
      </c>
      <c r="D473" s="34" t="s">
        <v>2002</v>
      </c>
      <c r="E473" s="35" t="str">
        <f t="shared" si="104"/>
        <v>PNP'!</v>
      </c>
      <c r="F473" s="34" t="str">
        <f t="shared" si="105"/>
        <v>C:\Users\jaime.benazar\Quorum Business Solutions\Ecopetrol Prometeo - Documents\Planning Space Implementation\3. Analysis &amp; Design\Design\FC22\DRR Jaime\Neiva CPI\[DINA TERCIARIOS_CF_SEC_New_27-Mar-2024.xlsx]D-PNP'!</v>
      </c>
      <c r="G473" s="32" t="s">
        <v>102</v>
      </c>
      <c r="H473" s="33">
        <f t="shared" si="117"/>
        <v>27</v>
      </c>
      <c r="I473" s="33" t="str">
        <f t="shared" si="106"/>
        <v>='C:\Users\jaime.benazar\Quorum Business Solutions\Ecopetrol Prometeo - Documents\Planning Space Implementation\3. Analysis &amp; Design\Design\FC22\DRR Jaime\Neiva CPI\[DINA TERCIARIOS_CF_SEC_New_27-Mar-2024.xlsx]D-PNP'!$BW$27</v>
      </c>
      <c r="J473" s="37" t="s">
        <v>2240</v>
      </c>
    </row>
    <row r="474" spans="1:10" x14ac:dyDescent="0.3">
      <c r="A474" s="32" t="s">
        <v>15</v>
      </c>
      <c r="B474" s="32">
        <f t="shared" si="118"/>
        <v>2039</v>
      </c>
      <c r="C474" s="33" t="s">
        <v>34</v>
      </c>
      <c r="D474" s="34" t="s">
        <v>2002</v>
      </c>
      <c r="E474" s="35" t="str">
        <f t="shared" si="104"/>
        <v>PNP'!</v>
      </c>
      <c r="F474" s="34" t="str">
        <f t="shared" si="105"/>
        <v>C:\Users\jaime.benazar\Quorum Business Solutions\Ecopetrol Prometeo - Documents\Planning Space Implementation\3. Analysis &amp; Design\Design\FC22\DRR Jaime\Neiva CPI\[DINA TERCIARIOS_CF_SEC_New_27-Mar-2024.xlsx]D-PNP'!</v>
      </c>
      <c r="G474" s="32" t="s">
        <v>102</v>
      </c>
      <c r="H474" s="33">
        <f t="shared" si="117"/>
        <v>28</v>
      </c>
      <c r="I474" s="33" t="str">
        <f t="shared" si="106"/>
        <v>='C:\Users\jaime.benazar\Quorum Business Solutions\Ecopetrol Prometeo - Documents\Planning Space Implementation\3. Analysis &amp; Design\Design\FC22\DRR Jaime\Neiva CPI\[DINA TERCIARIOS_CF_SEC_New_27-Mar-2024.xlsx]D-PNP'!$BW$28</v>
      </c>
      <c r="J474" s="37" t="s">
        <v>2241</v>
      </c>
    </row>
    <row r="475" spans="1:10" x14ac:dyDescent="0.3">
      <c r="A475" s="32" t="s">
        <v>15</v>
      </c>
      <c r="B475" s="32">
        <f t="shared" si="118"/>
        <v>2040</v>
      </c>
      <c r="C475" s="33" t="s">
        <v>34</v>
      </c>
      <c r="D475" s="34" t="s">
        <v>2002</v>
      </c>
      <c r="E475" s="35" t="str">
        <f t="shared" si="104"/>
        <v>PNP'!</v>
      </c>
      <c r="F475" s="34" t="str">
        <f t="shared" si="105"/>
        <v>C:\Users\jaime.benazar\Quorum Business Solutions\Ecopetrol Prometeo - Documents\Planning Space Implementation\3. Analysis &amp; Design\Design\FC22\DRR Jaime\Neiva CPI\[DINA TERCIARIOS_CF_SEC_New_27-Mar-2024.xlsx]D-PNP'!</v>
      </c>
      <c r="G475" s="32" t="s">
        <v>102</v>
      </c>
      <c r="H475" s="33">
        <f t="shared" si="117"/>
        <v>29</v>
      </c>
      <c r="I475" s="33" t="str">
        <f t="shared" si="106"/>
        <v>='C:\Users\jaime.benazar\Quorum Business Solutions\Ecopetrol Prometeo - Documents\Planning Space Implementation\3. Analysis &amp; Design\Design\FC22\DRR Jaime\Neiva CPI\[DINA TERCIARIOS_CF_SEC_New_27-Mar-2024.xlsx]D-PNP'!$BW$29</v>
      </c>
      <c r="J475" s="37" t="s">
        <v>2242</v>
      </c>
    </row>
    <row r="476" spans="1:10" x14ac:dyDescent="0.3">
      <c r="A476" s="32" t="s">
        <v>15</v>
      </c>
      <c r="B476" s="32">
        <f>+B475+1</f>
        <v>2041</v>
      </c>
      <c r="C476" s="33" t="s">
        <v>34</v>
      </c>
      <c r="D476" s="34" t="s">
        <v>2002</v>
      </c>
      <c r="E476" s="35" t="str">
        <f t="shared" si="104"/>
        <v>PNP'!</v>
      </c>
      <c r="F476" s="34" t="str">
        <f t="shared" si="105"/>
        <v>C:\Users\jaime.benazar\Quorum Business Solutions\Ecopetrol Prometeo - Documents\Planning Space Implementation\3. Analysis &amp; Design\Design\FC22\DRR Jaime\Neiva CPI\[DINA TERCIARIOS_CF_SEC_New_27-Mar-2024.xlsx]D-PNP'!</v>
      </c>
      <c r="G476" s="32" t="s">
        <v>102</v>
      </c>
      <c r="H476" s="33">
        <f t="shared" si="117"/>
        <v>30</v>
      </c>
      <c r="I476" s="33" t="str">
        <f t="shared" si="106"/>
        <v>='C:\Users\jaime.benazar\Quorum Business Solutions\Ecopetrol Prometeo - Documents\Planning Space Implementation\3. Analysis &amp; Design\Design\FC22\DRR Jaime\Neiva CPI\[DINA TERCIARIOS_CF_SEC_New_27-Mar-2024.xlsx]D-PNP'!$BW$30</v>
      </c>
      <c r="J476" s="37" t="s">
        <v>2243</v>
      </c>
    </row>
    <row r="477" spans="1:10" x14ac:dyDescent="0.3">
      <c r="A477" s="32" t="s">
        <v>15</v>
      </c>
      <c r="B477" s="32">
        <f t="shared" ref="B477:B478" si="119">+B476+1</f>
        <v>2042</v>
      </c>
      <c r="C477" s="33" t="s">
        <v>34</v>
      </c>
      <c r="D477" s="34" t="s">
        <v>2002</v>
      </c>
      <c r="E477" s="35" t="str">
        <f t="shared" si="104"/>
        <v>PNP'!</v>
      </c>
      <c r="F477" s="34" t="str">
        <f t="shared" si="105"/>
        <v>C:\Users\jaime.benazar\Quorum Business Solutions\Ecopetrol Prometeo - Documents\Planning Space Implementation\3. Analysis &amp; Design\Design\FC22\DRR Jaime\Neiva CPI\[DINA TERCIARIOS_CF_SEC_New_27-Mar-2024.xlsx]D-PNP'!</v>
      </c>
      <c r="G477" s="32" t="s">
        <v>102</v>
      </c>
      <c r="H477" s="33">
        <f t="shared" si="117"/>
        <v>31</v>
      </c>
      <c r="I477" s="33" t="str">
        <f t="shared" si="106"/>
        <v>='C:\Users\jaime.benazar\Quorum Business Solutions\Ecopetrol Prometeo - Documents\Planning Space Implementation\3. Analysis &amp; Design\Design\FC22\DRR Jaime\Neiva CPI\[DINA TERCIARIOS_CF_SEC_New_27-Mar-2024.xlsx]D-PNP'!$BW$31</v>
      </c>
      <c r="J477" s="37" t="s">
        <v>2244</v>
      </c>
    </row>
    <row r="478" spans="1:10" x14ac:dyDescent="0.3">
      <c r="A478" s="32" t="s">
        <v>15</v>
      </c>
      <c r="B478" s="32">
        <f t="shared" si="119"/>
        <v>2043</v>
      </c>
      <c r="C478" s="33" t="s">
        <v>34</v>
      </c>
      <c r="D478" s="34" t="s">
        <v>2002</v>
      </c>
      <c r="E478" s="35" t="str">
        <f t="shared" si="104"/>
        <v>PNP'!</v>
      </c>
      <c r="F478" s="34" t="str">
        <f t="shared" si="105"/>
        <v>C:\Users\jaime.benazar\Quorum Business Solutions\Ecopetrol Prometeo - Documents\Planning Space Implementation\3. Analysis &amp; Design\Design\FC22\DRR Jaime\Neiva CPI\[DINA TERCIARIOS_CF_SEC_New_27-Mar-2024.xlsx]D-PNP'!</v>
      </c>
      <c r="G478" s="32" t="s">
        <v>102</v>
      </c>
      <c r="H478" s="33">
        <f t="shared" si="117"/>
        <v>32</v>
      </c>
      <c r="I478" s="33" t="str">
        <f t="shared" si="106"/>
        <v>='C:\Users\jaime.benazar\Quorum Business Solutions\Ecopetrol Prometeo - Documents\Planning Space Implementation\3. Analysis &amp; Design\Design\FC22\DRR Jaime\Neiva CPI\[DINA TERCIARIOS_CF_SEC_New_27-Mar-2024.xlsx]D-PNP'!$BW$32</v>
      </c>
      <c r="J478" s="37" t="s">
        <v>2245</v>
      </c>
    </row>
    <row r="479" spans="1:10" x14ac:dyDescent="0.3">
      <c r="A479" s="32" t="s">
        <v>15</v>
      </c>
      <c r="B479" s="32">
        <f>+B478+1</f>
        <v>2044</v>
      </c>
      <c r="C479" s="33" t="s">
        <v>34</v>
      </c>
      <c r="D479" s="34" t="s">
        <v>2002</v>
      </c>
      <c r="E479" s="35" t="str">
        <f t="shared" ref="E479:E494" si="120">_xlfn.CONCAT(A479,"'!")</f>
        <v>PNP'!</v>
      </c>
      <c r="F479" s="34" t="str">
        <f t="shared" ref="F479:F494" si="121">_xlfn.CONCAT(D479:E479)</f>
        <v>C:\Users\jaime.benazar\Quorum Business Solutions\Ecopetrol Prometeo - Documents\Planning Space Implementation\3. Analysis &amp; Design\Design\FC22\DRR Jaime\Neiva CPI\[DINA TERCIARIOS_CF_SEC_New_27-Mar-2024.xlsx]D-PNP'!</v>
      </c>
      <c r="G479" s="32" t="s">
        <v>102</v>
      </c>
      <c r="H479" s="33">
        <f t="shared" ref="H479:H494" si="122">IF(A479&lt;&gt;A478,12,H478+1)</f>
        <v>33</v>
      </c>
      <c r="I479" s="33" t="str">
        <f t="shared" ref="I479:I494" si="123">_xlfn.CONCAT("='",F479:H479)</f>
        <v>='C:\Users\jaime.benazar\Quorum Business Solutions\Ecopetrol Prometeo - Documents\Planning Space Implementation\3. Analysis &amp; Design\Design\FC22\DRR Jaime\Neiva CPI\[DINA TERCIARIOS_CF_SEC_New_27-Mar-2024.xlsx]D-PNP'!$BW$33</v>
      </c>
      <c r="J479" s="37" t="s">
        <v>2246</v>
      </c>
    </row>
    <row r="480" spans="1:10" x14ac:dyDescent="0.3">
      <c r="A480" s="32" t="s">
        <v>15</v>
      </c>
      <c r="B480" s="32">
        <f t="shared" ref="B480:B494" si="124">+B479+1</f>
        <v>2045</v>
      </c>
      <c r="C480" s="33" t="s">
        <v>34</v>
      </c>
      <c r="D480" s="34" t="s">
        <v>2002</v>
      </c>
      <c r="E480" s="35" t="str">
        <f t="shared" si="120"/>
        <v>PNP'!</v>
      </c>
      <c r="F480" s="34" t="str">
        <f t="shared" si="121"/>
        <v>C:\Users\jaime.benazar\Quorum Business Solutions\Ecopetrol Prometeo - Documents\Planning Space Implementation\3. Analysis &amp; Design\Design\FC22\DRR Jaime\Neiva CPI\[DINA TERCIARIOS_CF_SEC_New_27-Mar-2024.xlsx]D-PNP'!</v>
      </c>
      <c r="G480" s="32" t="s">
        <v>102</v>
      </c>
      <c r="H480" s="33">
        <f t="shared" si="122"/>
        <v>34</v>
      </c>
      <c r="I480" s="33" t="str">
        <f t="shared" si="123"/>
        <v>='C:\Users\jaime.benazar\Quorum Business Solutions\Ecopetrol Prometeo - Documents\Planning Space Implementation\3. Analysis &amp; Design\Design\FC22\DRR Jaime\Neiva CPI\[DINA TERCIARIOS_CF_SEC_New_27-Mar-2024.xlsx]D-PNP'!$BW$34</v>
      </c>
      <c r="J480" s="37" t="s">
        <v>2247</v>
      </c>
    </row>
    <row r="481" spans="1:10" x14ac:dyDescent="0.3">
      <c r="A481" s="32" t="s">
        <v>15</v>
      </c>
      <c r="B481" s="32">
        <f t="shared" si="124"/>
        <v>2046</v>
      </c>
      <c r="C481" s="33" t="s">
        <v>34</v>
      </c>
      <c r="D481" s="34" t="s">
        <v>2002</v>
      </c>
      <c r="E481" s="35" t="str">
        <f t="shared" si="120"/>
        <v>PNP'!</v>
      </c>
      <c r="F481" s="34" t="str">
        <f t="shared" si="121"/>
        <v>C:\Users\jaime.benazar\Quorum Business Solutions\Ecopetrol Prometeo - Documents\Planning Space Implementation\3. Analysis &amp; Design\Design\FC22\DRR Jaime\Neiva CPI\[DINA TERCIARIOS_CF_SEC_New_27-Mar-2024.xlsx]D-PNP'!</v>
      </c>
      <c r="G481" s="32" t="s">
        <v>102</v>
      </c>
      <c r="H481" s="33">
        <f t="shared" si="122"/>
        <v>35</v>
      </c>
      <c r="I481" s="33" t="str">
        <f t="shared" si="123"/>
        <v>='C:\Users\jaime.benazar\Quorum Business Solutions\Ecopetrol Prometeo - Documents\Planning Space Implementation\3. Analysis &amp; Design\Design\FC22\DRR Jaime\Neiva CPI\[DINA TERCIARIOS_CF_SEC_New_27-Mar-2024.xlsx]D-PNP'!$BW$35</v>
      </c>
      <c r="J481" s="37" t="s">
        <v>2248</v>
      </c>
    </row>
    <row r="482" spans="1:10" x14ac:dyDescent="0.3">
      <c r="A482" s="32" t="s">
        <v>15</v>
      </c>
      <c r="B482" s="32">
        <f t="shared" si="124"/>
        <v>2047</v>
      </c>
      <c r="C482" s="33" t="s">
        <v>34</v>
      </c>
      <c r="D482" s="34" t="s">
        <v>2002</v>
      </c>
      <c r="E482" s="35" t="str">
        <f t="shared" si="120"/>
        <v>PNP'!</v>
      </c>
      <c r="F482" s="34" t="str">
        <f t="shared" si="121"/>
        <v>C:\Users\jaime.benazar\Quorum Business Solutions\Ecopetrol Prometeo - Documents\Planning Space Implementation\3. Analysis &amp; Design\Design\FC22\DRR Jaime\Neiva CPI\[DINA TERCIARIOS_CF_SEC_New_27-Mar-2024.xlsx]D-PNP'!</v>
      </c>
      <c r="G482" s="32" t="s">
        <v>102</v>
      </c>
      <c r="H482" s="33">
        <f t="shared" si="122"/>
        <v>36</v>
      </c>
      <c r="I482" s="33" t="str">
        <f t="shared" si="123"/>
        <v>='C:\Users\jaime.benazar\Quorum Business Solutions\Ecopetrol Prometeo - Documents\Planning Space Implementation\3. Analysis &amp; Design\Design\FC22\DRR Jaime\Neiva CPI\[DINA TERCIARIOS_CF_SEC_New_27-Mar-2024.xlsx]D-PNP'!$BW$36</v>
      </c>
      <c r="J482" s="37" t="s">
        <v>2249</v>
      </c>
    </row>
    <row r="483" spans="1:10" x14ac:dyDescent="0.3">
      <c r="A483" s="32" t="s">
        <v>15</v>
      </c>
      <c r="B483" s="32">
        <f t="shared" si="124"/>
        <v>2048</v>
      </c>
      <c r="C483" s="33" t="s">
        <v>34</v>
      </c>
      <c r="D483" s="34" t="s">
        <v>2002</v>
      </c>
      <c r="E483" s="35" t="str">
        <f t="shared" si="120"/>
        <v>PNP'!</v>
      </c>
      <c r="F483" s="34" t="str">
        <f t="shared" si="121"/>
        <v>C:\Users\jaime.benazar\Quorum Business Solutions\Ecopetrol Prometeo - Documents\Planning Space Implementation\3. Analysis &amp; Design\Design\FC22\DRR Jaime\Neiva CPI\[DINA TERCIARIOS_CF_SEC_New_27-Mar-2024.xlsx]D-PNP'!</v>
      </c>
      <c r="G483" s="32" t="s">
        <v>102</v>
      </c>
      <c r="H483" s="33">
        <f t="shared" si="122"/>
        <v>37</v>
      </c>
      <c r="I483" s="33" t="str">
        <f t="shared" si="123"/>
        <v>='C:\Users\jaime.benazar\Quorum Business Solutions\Ecopetrol Prometeo - Documents\Planning Space Implementation\3. Analysis &amp; Design\Design\FC22\DRR Jaime\Neiva CPI\[DINA TERCIARIOS_CF_SEC_New_27-Mar-2024.xlsx]D-PNP'!$BW$37</v>
      </c>
      <c r="J483" s="37" t="s">
        <v>2250</v>
      </c>
    </row>
    <row r="484" spans="1:10" x14ac:dyDescent="0.3">
      <c r="A484" s="32" t="s">
        <v>15</v>
      </c>
      <c r="B484" s="32">
        <f t="shared" si="124"/>
        <v>2049</v>
      </c>
      <c r="C484" s="33" t="s">
        <v>34</v>
      </c>
      <c r="D484" s="34" t="s">
        <v>2002</v>
      </c>
      <c r="E484" s="35" t="str">
        <f t="shared" si="120"/>
        <v>PNP'!</v>
      </c>
      <c r="F484" s="34" t="str">
        <f t="shared" si="121"/>
        <v>C:\Users\jaime.benazar\Quorum Business Solutions\Ecopetrol Prometeo - Documents\Planning Space Implementation\3. Analysis &amp; Design\Design\FC22\DRR Jaime\Neiva CPI\[DINA TERCIARIOS_CF_SEC_New_27-Mar-2024.xlsx]D-PNP'!</v>
      </c>
      <c r="G484" s="32" t="s">
        <v>102</v>
      </c>
      <c r="H484" s="33">
        <f t="shared" si="122"/>
        <v>38</v>
      </c>
      <c r="I484" s="33" t="str">
        <f t="shared" si="123"/>
        <v>='C:\Users\jaime.benazar\Quorum Business Solutions\Ecopetrol Prometeo - Documents\Planning Space Implementation\3. Analysis &amp; Design\Design\FC22\DRR Jaime\Neiva CPI\[DINA TERCIARIOS_CF_SEC_New_27-Mar-2024.xlsx]D-PNP'!$BW$38</v>
      </c>
      <c r="J484" s="37" t="s">
        <v>2251</v>
      </c>
    </row>
    <row r="485" spans="1:10" x14ac:dyDescent="0.3">
      <c r="A485" s="32" t="s">
        <v>15</v>
      </c>
      <c r="B485" s="32">
        <f t="shared" si="124"/>
        <v>2050</v>
      </c>
      <c r="C485" s="33" t="s">
        <v>34</v>
      </c>
      <c r="D485" s="34" t="s">
        <v>2002</v>
      </c>
      <c r="E485" s="35" t="str">
        <f t="shared" si="120"/>
        <v>PNP'!</v>
      </c>
      <c r="F485" s="34" t="str">
        <f t="shared" si="121"/>
        <v>C:\Users\jaime.benazar\Quorum Business Solutions\Ecopetrol Prometeo - Documents\Planning Space Implementation\3. Analysis &amp; Design\Design\FC22\DRR Jaime\Neiva CPI\[DINA TERCIARIOS_CF_SEC_New_27-Mar-2024.xlsx]D-PNP'!</v>
      </c>
      <c r="G485" s="32" t="s">
        <v>102</v>
      </c>
      <c r="H485" s="33">
        <f t="shared" si="122"/>
        <v>39</v>
      </c>
      <c r="I485" s="33" t="str">
        <f t="shared" si="123"/>
        <v>='C:\Users\jaime.benazar\Quorum Business Solutions\Ecopetrol Prometeo - Documents\Planning Space Implementation\3. Analysis &amp; Design\Design\FC22\DRR Jaime\Neiva CPI\[DINA TERCIARIOS_CF_SEC_New_27-Mar-2024.xlsx]D-PNP'!$BW$39</v>
      </c>
      <c r="J485" s="37" t="s">
        <v>2252</v>
      </c>
    </row>
    <row r="486" spans="1:10" x14ac:dyDescent="0.3">
      <c r="A486" s="32" t="s">
        <v>15</v>
      </c>
      <c r="B486" s="32">
        <f t="shared" si="124"/>
        <v>2051</v>
      </c>
      <c r="C486" s="33" t="s">
        <v>34</v>
      </c>
      <c r="D486" s="34" t="s">
        <v>2002</v>
      </c>
      <c r="E486" s="35" t="str">
        <f t="shared" si="120"/>
        <v>PNP'!</v>
      </c>
      <c r="F486" s="34" t="str">
        <f t="shared" si="121"/>
        <v>C:\Users\jaime.benazar\Quorum Business Solutions\Ecopetrol Prometeo - Documents\Planning Space Implementation\3. Analysis &amp; Design\Design\FC22\DRR Jaime\Neiva CPI\[DINA TERCIARIOS_CF_SEC_New_27-Mar-2024.xlsx]D-PNP'!</v>
      </c>
      <c r="G486" s="32" t="s">
        <v>102</v>
      </c>
      <c r="H486" s="33">
        <f t="shared" si="122"/>
        <v>40</v>
      </c>
      <c r="I486" s="33" t="str">
        <f t="shared" si="123"/>
        <v>='C:\Users\jaime.benazar\Quorum Business Solutions\Ecopetrol Prometeo - Documents\Planning Space Implementation\3. Analysis &amp; Design\Design\FC22\DRR Jaime\Neiva CPI\[DINA TERCIARIOS_CF_SEC_New_27-Mar-2024.xlsx]D-PNP'!$BW$40</v>
      </c>
      <c r="J486" s="37" t="s">
        <v>2253</v>
      </c>
    </row>
    <row r="487" spans="1:10" x14ac:dyDescent="0.3">
      <c r="A487" s="32" t="s">
        <v>15</v>
      </c>
      <c r="B487" s="32">
        <f t="shared" si="124"/>
        <v>2052</v>
      </c>
      <c r="C487" s="33" t="s">
        <v>34</v>
      </c>
      <c r="D487" s="34" t="s">
        <v>2002</v>
      </c>
      <c r="E487" s="35" t="str">
        <f t="shared" si="120"/>
        <v>PNP'!</v>
      </c>
      <c r="F487" s="34" t="str">
        <f t="shared" si="121"/>
        <v>C:\Users\jaime.benazar\Quorum Business Solutions\Ecopetrol Prometeo - Documents\Planning Space Implementation\3. Analysis &amp; Design\Design\FC22\DRR Jaime\Neiva CPI\[DINA TERCIARIOS_CF_SEC_New_27-Mar-2024.xlsx]D-PNP'!</v>
      </c>
      <c r="G487" s="32" t="s">
        <v>102</v>
      </c>
      <c r="H487" s="33">
        <f t="shared" si="122"/>
        <v>41</v>
      </c>
      <c r="I487" s="33" t="str">
        <f t="shared" si="123"/>
        <v>='C:\Users\jaime.benazar\Quorum Business Solutions\Ecopetrol Prometeo - Documents\Planning Space Implementation\3. Analysis &amp; Design\Design\FC22\DRR Jaime\Neiva CPI\[DINA TERCIARIOS_CF_SEC_New_27-Mar-2024.xlsx]D-PNP'!$BW$41</v>
      </c>
      <c r="J487" s="37" t="s">
        <v>2254</v>
      </c>
    </row>
    <row r="488" spans="1:10" x14ac:dyDescent="0.3">
      <c r="A488" s="32" t="s">
        <v>15</v>
      </c>
      <c r="B488" s="32">
        <f t="shared" si="124"/>
        <v>2053</v>
      </c>
      <c r="C488" s="33" t="s">
        <v>34</v>
      </c>
      <c r="D488" s="34" t="s">
        <v>2002</v>
      </c>
      <c r="E488" s="35" t="str">
        <f t="shared" si="120"/>
        <v>PNP'!</v>
      </c>
      <c r="F488" s="34" t="str">
        <f t="shared" si="121"/>
        <v>C:\Users\jaime.benazar\Quorum Business Solutions\Ecopetrol Prometeo - Documents\Planning Space Implementation\3. Analysis &amp; Design\Design\FC22\DRR Jaime\Neiva CPI\[DINA TERCIARIOS_CF_SEC_New_27-Mar-2024.xlsx]D-PNP'!</v>
      </c>
      <c r="G488" s="32" t="s">
        <v>102</v>
      </c>
      <c r="H488" s="33">
        <f t="shared" si="122"/>
        <v>42</v>
      </c>
      <c r="I488" s="33" t="str">
        <f t="shared" si="123"/>
        <v>='C:\Users\jaime.benazar\Quorum Business Solutions\Ecopetrol Prometeo - Documents\Planning Space Implementation\3. Analysis &amp; Design\Design\FC22\DRR Jaime\Neiva CPI\[DINA TERCIARIOS_CF_SEC_New_27-Mar-2024.xlsx]D-PNP'!$BW$42</v>
      </c>
      <c r="J488" s="37" t="s">
        <v>2255</v>
      </c>
    </row>
    <row r="489" spans="1:10" x14ac:dyDescent="0.3">
      <c r="A489" s="32" t="s">
        <v>15</v>
      </c>
      <c r="B489" s="32">
        <f t="shared" si="124"/>
        <v>2054</v>
      </c>
      <c r="C489" s="33" t="s">
        <v>34</v>
      </c>
      <c r="D489" s="34" t="s">
        <v>2002</v>
      </c>
      <c r="E489" s="35" t="str">
        <f t="shared" si="120"/>
        <v>PNP'!</v>
      </c>
      <c r="F489" s="34" t="str">
        <f t="shared" si="121"/>
        <v>C:\Users\jaime.benazar\Quorum Business Solutions\Ecopetrol Prometeo - Documents\Planning Space Implementation\3. Analysis &amp; Design\Design\FC22\DRR Jaime\Neiva CPI\[DINA TERCIARIOS_CF_SEC_New_27-Mar-2024.xlsx]D-PNP'!</v>
      </c>
      <c r="G489" s="32" t="s">
        <v>102</v>
      </c>
      <c r="H489" s="33">
        <f t="shared" si="122"/>
        <v>43</v>
      </c>
      <c r="I489" s="33" t="str">
        <f t="shared" si="123"/>
        <v>='C:\Users\jaime.benazar\Quorum Business Solutions\Ecopetrol Prometeo - Documents\Planning Space Implementation\3. Analysis &amp; Design\Design\FC22\DRR Jaime\Neiva CPI\[DINA TERCIARIOS_CF_SEC_New_27-Mar-2024.xlsx]D-PNP'!$BW$43</v>
      </c>
      <c r="J489" s="37" t="s">
        <v>2256</v>
      </c>
    </row>
    <row r="490" spans="1:10" x14ac:dyDescent="0.3">
      <c r="A490" s="32" t="s">
        <v>15</v>
      </c>
      <c r="B490" s="32">
        <f t="shared" si="124"/>
        <v>2055</v>
      </c>
      <c r="C490" s="33" t="s">
        <v>34</v>
      </c>
      <c r="D490" s="34" t="s">
        <v>2002</v>
      </c>
      <c r="E490" s="35" t="str">
        <f t="shared" si="120"/>
        <v>PNP'!</v>
      </c>
      <c r="F490" s="34" t="str">
        <f t="shared" si="121"/>
        <v>C:\Users\jaime.benazar\Quorum Business Solutions\Ecopetrol Prometeo - Documents\Planning Space Implementation\3. Analysis &amp; Design\Design\FC22\DRR Jaime\Neiva CPI\[DINA TERCIARIOS_CF_SEC_New_27-Mar-2024.xlsx]D-PNP'!</v>
      </c>
      <c r="G490" s="32" t="s">
        <v>102</v>
      </c>
      <c r="H490" s="33">
        <f t="shared" si="122"/>
        <v>44</v>
      </c>
      <c r="I490" s="33" t="str">
        <f t="shared" si="123"/>
        <v>='C:\Users\jaime.benazar\Quorum Business Solutions\Ecopetrol Prometeo - Documents\Planning Space Implementation\3. Analysis &amp; Design\Design\FC22\DRR Jaime\Neiva CPI\[DINA TERCIARIOS_CF_SEC_New_27-Mar-2024.xlsx]D-PNP'!$BW$44</v>
      </c>
      <c r="J490" s="37" t="s">
        <v>2257</v>
      </c>
    </row>
    <row r="491" spans="1:10" x14ac:dyDescent="0.3">
      <c r="A491" s="32" t="s">
        <v>15</v>
      </c>
      <c r="B491" s="32">
        <f t="shared" si="124"/>
        <v>2056</v>
      </c>
      <c r="C491" s="33" t="s">
        <v>34</v>
      </c>
      <c r="D491" s="34" t="s">
        <v>2002</v>
      </c>
      <c r="E491" s="35" t="str">
        <f t="shared" si="120"/>
        <v>PNP'!</v>
      </c>
      <c r="F491" s="34" t="str">
        <f t="shared" si="121"/>
        <v>C:\Users\jaime.benazar\Quorum Business Solutions\Ecopetrol Prometeo - Documents\Planning Space Implementation\3. Analysis &amp; Design\Design\FC22\DRR Jaime\Neiva CPI\[DINA TERCIARIOS_CF_SEC_New_27-Mar-2024.xlsx]D-PNP'!</v>
      </c>
      <c r="G491" s="32" t="s">
        <v>102</v>
      </c>
      <c r="H491" s="33">
        <f t="shared" si="122"/>
        <v>45</v>
      </c>
      <c r="I491" s="33" t="str">
        <f t="shared" si="123"/>
        <v>='C:\Users\jaime.benazar\Quorum Business Solutions\Ecopetrol Prometeo - Documents\Planning Space Implementation\3. Analysis &amp; Design\Design\FC22\DRR Jaime\Neiva CPI\[DINA TERCIARIOS_CF_SEC_New_27-Mar-2024.xlsx]D-PNP'!$BW$45</v>
      </c>
      <c r="J491" s="37" t="s">
        <v>2258</v>
      </c>
    </row>
    <row r="492" spans="1:10" x14ac:dyDescent="0.3">
      <c r="A492" s="32" t="s">
        <v>15</v>
      </c>
      <c r="B492" s="32">
        <f t="shared" si="124"/>
        <v>2057</v>
      </c>
      <c r="C492" s="33" t="s">
        <v>34</v>
      </c>
      <c r="D492" s="34" t="s">
        <v>2002</v>
      </c>
      <c r="E492" s="35" t="str">
        <f t="shared" si="120"/>
        <v>PNP'!</v>
      </c>
      <c r="F492" s="34" t="str">
        <f t="shared" si="121"/>
        <v>C:\Users\jaime.benazar\Quorum Business Solutions\Ecopetrol Prometeo - Documents\Planning Space Implementation\3. Analysis &amp; Design\Design\FC22\DRR Jaime\Neiva CPI\[DINA TERCIARIOS_CF_SEC_New_27-Mar-2024.xlsx]D-PNP'!</v>
      </c>
      <c r="G492" s="32" t="s">
        <v>102</v>
      </c>
      <c r="H492" s="33">
        <f t="shared" si="122"/>
        <v>46</v>
      </c>
      <c r="I492" s="33" t="str">
        <f t="shared" si="123"/>
        <v>='C:\Users\jaime.benazar\Quorum Business Solutions\Ecopetrol Prometeo - Documents\Planning Space Implementation\3. Analysis &amp; Design\Design\FC22\DRR Jaime\Neiva CPI\[DINA TERCIARIOS_CF_SEC_New_27-Mar-2024.xlsx]D-PNP'!$BW$46</v>
      </c>
      <c r="J492" s="37" t="s">
        <v>2259</v>
      </c>
    </row>
    <row r="493" spans="1:10" x14ac:dyDescent="0.3">
      <c r="A493" s="32" t="s">
        <v>15</v>
      </c>
      <c r="B493" s="32">
        <f t="shared" si="124"/>
        <v>2058</v>
      </c>
      <c r="C493" s="33" t="s">
        <v>34</v>
      </c>
      <c r="D493" s="34" t="s">
        <v>2002</v>
      </c>
      <c r="E493" s="35" t="str">
        <f t="shared" si="120"/>
        <v>PNP'!</v>
      </c>
      <c r="F493" s="34" t="str">
        <f t="shared" si="121"/>
        <v>C:\Users\jaime.benazar\Quorum Business Solutions\Ecopetrol Prometeo - Documents\Planning Space Implementation\3. Analysis &amp; Design\Design\FC22\DRR Jaime\Neiva CPI\[DINA TERCIARIOS_CF_SEC_New_27-Mar-2024.xlsx]D-PNP'!</v>
      </c>
      <c r="G493" s="32" t="s">
        <v>102</v>
      </c>
      <c r="H493" s="33">
        <f t="shared" si="122"/>
        <v>47</v>
      </c>
      <c r="I493" s="33" t="str">
        <f t="shared" si="123"/>
        <v>='C:\Users\jaime.benazar\Quorum Business Solutions\Ecopetrol Prometeo - Documents\Planning Space Implementation\3. Analysis &amp; Design\Design\FC22\DRR Jaime\Neiva CPI\[DINA TERCIARIOS_CF_SEC_New_27-Mar-2024.xlsx]D-PNP'!$BW$47</v>
      </c>
      <c r="J493" s="37" t="s">
        <v>2260</v>
      </c>
    </row>
    <row r="494" spans="1:10" x14ac:dyDescent="0.3">
      <c r="A494" s="32" t="s">
        <v>15</v>
      </c>
      <c r="B494" s="32">
        <f t="shared" si="124"/>
        <v>2059</v>
      </c>
      <c r="C494" s="33" t="s">
        <v>34</v>
      </c>
      <c r="D494" s="34" t="s">
        <v>2002</v>
      </c>
      <c r="E494" s="35" t="str">
        <f t="shared" si="120"/>
        <v>PNP'!</v>
      </c>
      <c r="F494" s="34" t="str">
        <f t="shared" si="121"/>
        <v>C:\Users\jaime.benazar\Quorum Business Solutions\Ecopetrol Prometeo - Documents\Planning Space Implementation\3. Analysis &amp; Design\Design\FC22\DRR Jaime\Neiva CPI\[DINA TERCIARIOS_CF_SEC_New_27-Mar-2024.xlsx]D-PNP'!</v>
      </c>
      <c r="G494" s="32" t="s">
        <v>102</v>
      </c>
      <c r="H494" s="33">
        <f t="shared" si="122"/>
        <v>48</v>
      </c>
      <c r="I494" s="33" t="str">
        <f t="shared" si="123"/>
        <v>='C:\Users\jaime.benazar\Quorum Business Solutions\Ecopetrol Prometeo - Documents\Planning Space Implementation\3. Analysis &amp; Design\Design\FC22\DRR Jaime\Neiva CPI\[DINA TERCIARIOS_CF_SEC_New_27-Mar-2024.xlsx]D-PNP'!$BW$48</v>
      </c>
      <c r="J494" s="37" t="s">
        <v>2261</v>
      </c>
    </row>
    <row r="495" spans="1:10" x14ac:dyDescent="0.3">
      <c r="A495" s="32" t="s">
        <v>26</v>
      </c>
      <c r="B495" s="32"/>
      <c r="C495" s="33" t="s">
        <v>34</v>
      </c>
      <c r="D495" s="34"/>
      <c r="E495" s="35"/>
      <c r="F495" s="34"/>
      <c r="G495" s="32"/>
      <c r="H495" s="33"/>
      <c r="I495" s="33"/>
      <c r="J495" s="33"/>
    </row>
    <row r="496" spans="1:10" x14ac:dyDescent="0.3">
      <c r="A496" s="32" t="s">
        <v>16</v>
      </c>
      <c r="B496" s="32">
        <v>2023</v>
      </c>
      <c r="C496" s="33" t="s">
        <v>34</v>
      </c>
      <c r="D496" s="34" t="s">
        <v>2002</v>
      </c>
      <c r="E496" s="35" t="str">
        <f t="shared" si="104"/>
        <v>PND'!</v>
      </c>
      <c r="F496" s="34" t="str">
        <f t="shared" si="105"/>
        <v>C:\Users\jaime.benazar\Quorum Business Solutions\Ecopetrol Prometeo - Documents\Planning Space Implementation\3. Analysis &amp; Design\Design\FC22\DRR Jaime\Neiva CPI\[DINA TERCIARIOS_CF_SEC_New_27-Mar-2024.xlsx]D-PND'!</v>
      </c>
      <c r="G496" s="32" t="s">
        <v>102</v>
      </c>
      <c r="H496" s="33">
        <v>12</v>
      </c>
      <c r="I496" s="33" t="str">
        <f t="shared" si="106"/>
        <v>='C:\Users\jaime.benazar\Quorum Business Solutions\Ecopetrol Prometeo - Documents\Planning Space Implementation\3. Analysis &amp; Design\Design\FC22\DRR Jaime\Neiva CPI\[DINA TERCIARIOS_CF_SEC_New_27-Mar-2024.xlsx]D-PND'!$BW$12</v>
      </c>
      <c r="J496" s="37" t="s">
        <v>2262</v>
      </c>
    </row>
    <row r="497" spans="1:10" x14ac:dyDescent="0.3">
      <c r="A497" s="32" t="s">
        <v>16</v>
      </c>
      <c r="B497" s="32">
        <f>+B496+1</f>
        <v>2024</v>
      </c>
      <c r="C497" s="33" t="s">
        <v>34</v>
      </c>
      <c r="D497" s="34" t="s">
        <v>2002</v>
      </c>
      <c r="E497" s="35" t="str">
        <f t="shared" si="104"/>
        <v>PND'!</v>
      </c>
      <c r="F497" s="34" t="str">
        <f t="shared" si="105"/>
        <v>C:\Users\jaime.benazar\Quorum Business Solutions\Ecopetrol Prometeo - Documents\Planning Space Implementation\3. Analysis &amp; Design\Design\FC22\DRR Jaime\Neiva CPI\[DINA TERCIARIOS_CF_SEC_New_27-Mar-2024.xlsx]D-PND'!</v>
      </c>
      <c r="G497" s="32" t="s">
        <v>102</v>
      </c>
      <c r="H497" s="33">
        <f t="shared" ref="H497:H516" si="125">IF(A497&lt;&gt;A496,12,H496+1)</f>
        <v>13</v>
      </c>
      <c r="I497" s="33" t="str">
        <f t="shared" si="106"/>
        <v>='C:\Users\jaime.benazar\Quorum Business Solutions\Ecopetrol Prometeo - Documents\Planning Space Implementation\3. Analysis &amp; Design\Design\FC22\DRR Jaime\Neiva CPI\[DINA TERCIARIOS_CF_SEC_New_27-Mar-2024.xlsx]D-PND'!$BW$13</v>
      </c>
      <c r="J497" s="37" t="s">
        <v>2263</v>
      </c>
    </row>
    <row r="498" spans="1:10" x14ac:dyDescent="0.3">
      <c r="A498" s="32" t="s">
        <v>16</v>
      </c>
      <c r="B498" s="32">
        <f t="shared" ref="B498:B509" si="126">+B497+1</f>
        <v>2025</v>
      </c>
      <c r="C498" s="33" t="s">
        <v>34</v>
      </c>
      <c r="D498" s="34" t="s">
        <v>2002</v>
      </c>
      <c r="E498" s="35" t="str">
        <f t="shared" si="104"/>
        <v>PND'!</v>
      </c>
      <c r="F498" s="34" t="str">
        <f t="shared" si="105"/>
        <v>C:\Users\jaime.benazar\Quorum Business Solutions\Ecopetrol Prometeo - Documents\Planning Space Implementation\3. Analysis &amp; Design\Design\FC22\DRR Jaime\Neiva CPI\[DINA TERCIARIOS_CF_SEC_New_27-Mar-2024.xlsx]D-PND'!</v>
      </c>
      <c r="G498" s="32" t="s">
        <v>102</v>
      </c>
      <c r="H498" s="33">
        <f t="shared" si="125"/>
        <v>14</v>
      </c>
      <c r="I498" s="33" t="str">
        <f t="shared" si="106"/>
        <v>='C:\Users\jaime.benazar\Quorum Business Solutions\Ecopetrol Prometeo - Documents\Planning Space Implementation\3. Analysis &amp; Design\Design\FC22\DRR Jaime\Neiva CPI\[DINA TERCIARIOS_CF_SEC_New_27-Mar-2024.xlsx]D-PND'!$BW$14</v>
      </c>
      <c r="J498" s="37" t="s">
        <v>2264</v>
      </c>
    </row>
    <row r="499" spans="1:10" x14ac:dyDescent="0.3">
      <c r="A499" s="32" t="s">
        <v>16</v>
      </c>
      <c r="B499" s="32">
        <f t="shared" si="126"/>
        <v>2026</v>
      </c>
      <c r="C499" s="33" t="s">
        <v>34</v>
      </c>
      <c r="D499" s="34" t="s">
        <v>2002</v>
      </c>
      <c r="E499" s="35" t="str">
        <f t="shared" si="104"/>
        <v>PND'!</v>
      </c>
      <c r="F499" s="34" t="str">
        <f t="shared" si="105"/>
        <v>C:\Users\jaime.benazar\Quorum Business Solutions\Ecopetrol Prometeo - Documents\Planning Space Implementation\3. Analysis &amp; Design\Design\FC22\DRR Jaime\Neiva CPI\[DINA TERCIARIOS_CF_SEC_New_27-Mar-2024.xlsx]D-PND'!</v>
      </c>
      <c r="G499" s="32" t="s">
        <v>102</v>
      </c>
      <c r="H499" s="33">
        <f t="shared" si="125"/>
        <v>15</v>
      </c>
      <c r="I499" s="33" t="str">
        <f t="shared" si="106"/>
        <v>='C:\Users\jaime.benazar\Quorum Business Solutions\Ecopetrol Prometeo - Documents\Planning Space Implementation\3. Analysis &amp; Design\Design\FC22\DRR Jaime\Neiva CPI\[DINA TERCIARIOS_CF_SEC_New_27-Mar-2024.xlsx]D-PND'!$BW$15</v>
      </c>
      <c r="J499" s="37" t="s">
        <v>2265</v>
      </c>
    </row>
    <row r="500" spans="1:10" x14ac:dyDescent="0.3">
      <c r="A500" s="32" t="s">
        <v>16</v>
      </c>
      <c r="B500" s="32">
        <f t="shared" si="126"/>
        <v>2027</v>
      </c>
      <c r="C500" s="33" t="s">
        <v>34</v>
      </c>
      <c r="D500" s="34" t="s">
        <v>2002</v>
      </c>
      <c r="E500" s="35" t="str">
        <f t="shared" si="104"/>
        <v>PND'!</v>
      </c>
      <c r="F500" s="34" t="str">
        <f t="shared" si="105"/>
        <v>C:\Users\jaime.benazar\Quorum Business Solutions\Ecopetrol Prometeo - Documents\Planning Space Implementation\3. Analysis &amp; Design\Design\FC22\DRR Jaime\Neiva CPI\[DINA TERCIARIOS_CF_SEC_New_27-Mar-2024.xlsx]D-PND'!</v>
      </c>
      <c r="G500" s="32" t="s">
        <v>102</v>
      </c>
      <c r="H500" s="33">
        <f t="shared" si="125"/>
        <v>16</v>
      </c>
      <c r="I500" s="33" t="str">
        <f t="shared" si="106"/>
        <v>='C:\Users\jaime.benazar\Quorum Business Solutions\Ecopetrol Prometeo - Documents\Planning Space Implementation\3. Analysis &amp; Design\Design\FC22\DRR Jaime\Neiva CPI\[DINA TERCIARIOS_CF_SEC_New_27-Mar-2024.xlsx]D-PND'!$BW$16</v>
      </c>
      <c r="J500" s="37" t="s">
        <v>2266</v>
      </c>
    </row>
    <row r="501" spans="1:10" x14ac:dyDescent="0.3">
      <c r="A501" s="32" t="s">
        <v>16</v>
      </c>
      <c r="B501" s="32">
        <f t="shared" si="126"/>
        <v>2028</v>
      </c>
      <c r="C501" s="33" t="s">
        <v>34</v>
      </c>
      <c r="D501" s="34" t="s">
        <v>2002</v>
      </c>
      <c r="E501" s="35" t="str">
        <f t="shared" si="104"/>
        <v>PND'!</v>
      </c>
      <c r="F501" s="34" t="str">
        <f t="shared" si="105"/>
        <v>C:\Users\jaime.benazar\Quorum Business Solutions\Ecopetrol Prometeo - Documents\Planning Space Implementation\3. Analysis &amp; Design\Design\FC22\DRR Jaime\Neiva CPI\[DINA TERCIARIOS_CF_SEC_New_27-Mar-2024.xlsx]D-PND'!</v>
      </c>
      <c r="G501" s="32" t="s">
        <v>102</v>
      </c>
      <c r="H501" s="33">
        <f t="shared" si="125"/>
        <v>17</v>
      </c>
      <c r="I501" s="33" t="str">
        <f t="shared" si="106"/>
        <v>='C:\Users\jaime.benazar\Quorum Business Solutions\Ecopetrol Prometeo - Documents\Planning Space Implementation\3. Analysis &amp; Design\Design\FC22\DRR Jaime\Neiva CPI\[DINA TERCIARIOS_CF_SEC_New_27-Mar-2024.xlsx]D-PND'!$BW$17</v>
      </c>
      <c r="J501" s="37" t="s">
        <v>2267</v>
      </c>
    </row>
    <row r="502" spans="1:10" x14ac:dyDescent="0.3">
      <c r="A502" s="32" t="s">
        <v>16</v>
      </c>
      <c r="B502" s="32">
        <f t="shared" si="126"/>
        <v>2029</v>
      </c>
      <c r="C502" s="33" t="s">
        <v>34</v>
      </c>
      <c r="D502" s="34" t="s">
        <v>2002</v>
      </c>
      <c r="E502" s="35" t="str">
        <f t="shared" si="104"/>
        <v>PND'!</v>
      </c>
      <c r="F502" s="34" t="str">
        <f t="shared" si="105"/>
        <v>C:\Users\jaime.benazar\Quorum Business Solutions\Ecopetrol Prometeo - Documents\Planning Space Implementation\3. Analysis &amp; Design\Design\FC22\DRR Jaime\Neiva CPI\[DINA TERCIARIOS_CF_SEC_New_27-Mar-2024.xlsx]D-PND'!</v>
      </c>
      <c r="G502" s="32" t="s">
        <v>102</v>
      </c>
      <c r="H502" s="33">
        <f t="shared" si="125"/>
        <v>18</v>
      </c>
      <c r="I502" s="33" t="str">
        <f t="shared" si="106"/>
        <v>='C:\Users\jaime.benazar\Quorum Business Solutions\Ecopetrol Prometeo - Documents\Planning Space Implementation\3. Analysis &amp; Design\Design\FC22\DRR Jaime\Neiva CPI\[DINA TERCIARIOS_CF_SEC_New_27-Mar-2024.xlsx]D-PND'!$BW$18</v>
      </c>
      <c r="J502" s="37" t="s">
        <v>2268</v>
      </c>
    </row>
    <row r="503" spans="1:10" x14ac:dyDescent="0.3">
      <c r="A503" s="32" t="s">
        <v>16</v>
      </c>
      <c r="B503" s="32">
        <f t="shared" si="126"/>
        <v>2030</v>
      </c>
      <c r="C503" s="33" t="s">
        <v>34</v>
      </c>
      <c r="D503" s="34" t="s">
        <v>2002</v>
      </c>
      <c r="E503" s="35" t="str">
        <f t="shared" si="104"/>
        <v>PND'!</v>
      </c>
      <c r="F503" s="34" t="str">
        <f t="shared" si="105"/>
        <v>C:\Users\jaime.benazar\Quorum Business Solutions\Ecopetrol Prometeo - Documents\Planning Space Implementation\3. Analysis &amp; Design\Design\FC22\DRR Jaime\Neiva CPI\[DINA TERCIARIOS_CF_SEC_New_27-Mar-2024.xlsx]D-PND'!</v>
      </c>
      <c r="G503" s="32" t="s">
        <v>102</v>
      </c>
      <c r="H503" s="33">
        <f t="shared" si="125"/>
        <v>19</v>
      </c>
      <c r="I503" s="33" t="str">
        <f t="shared" si="106"/>
        <v>='C:\Users\jaime.benazar\Quorum Business Solutions\Ecopetrol Prometeo - Documents\Planning Space Implementation\3. Analysis &amp; Design\Design\FC22\DRR Jaime\Neiva CPI\[DINA TERCIARIOS_CF_SEC_New_27-Mar-2024.xlsx]D-PND'!$BW$19</v>
      </c>
      <c r="J503" s="37" t="s">
        <v>2269</v>
      </c>
    </row>
    <row r="504" spans="1:10" x14ac:dyDescent="0.3">
      <c r="A504" s="32" t="s">
        <v>16</v>
      </c>
      <c r="B504" s="32">
        <f t="shared" si="126"/>
        <v>2031</v>
      </c>
      <c r="C504" s="33" t="s">
        <v>34</v>
      </c>
      <c r="D504" s="34" t="s">
        <v>2002</v>
      </c>
      <c r="E504" s="35" t="str">
        <f t="shared" si="104"/>
        <v>PND'!</v>
      </c>
      <c r="F504" s="34" t="str">
        <f t="shared" si="105"/>
        <v>C:\Users\jaime.benazar\Quorum Business Solutions\Ecopetrol Prometeo - Documents\Planning Space Implementation\3. Analysis &amp; Design\Design\FC22\DRR Jaime\Neiva CPI\[DINA TERCIARIOS_CF_SEC_New_27-Mar-2024.xlsx]D-PND'!</v>
      </c>
      <c r="G504" s="32" t="s">
        <v>102</v>
      </c>
      <c r="H504" s="33">
        <f t="shared" si="125"/>
        <v>20</v>
      </c>
      <c r="I504" s="33" t="str">
        <f t="shared" si="106"/>
        <v>='C:\Users\jaime.benazar\Quorum Business Solutions\Ecopetrol Prometeo - Documents\Planning Space Implementation\3. Analysis &amp; Design\Design\FC22\DRR Jaime\Neiva CPI\[DINA TERCIARIOS_CF_SEC_New_27-Mar-2024.xlsx]D-PND'!$BW$20</v>
      </c>
      <c r="J504" s="37" t="s">
        <v>2270</v>
      </c>
    </row>
    <row r="505" spans="1:10" x14ac:dyDescent="0.3">
      <c r="A505" s="32" t="s">
        <v>16</v>
      </c>
      <c r="B505" s="32">
        <f t="shared" si="126"/>
        <v>2032</v>
      </c>
      <c r="C505" s="33" t="s">
        <v>34</v>
      </c>
      <c r="D505" s="34" t="s">
        <v>2002</v>
      </c>
      <c r="E505" s="35" t="str">
        <f t="shared" si="104"/>
        <v>PND'!</v>
      </c>
      <c r="F505" s="34" t="str">
        <f t="shared" si="105"/>
        <v>C:\Users\jaime.benazar\Quorum Business Solutions\Ecopetrol Prometeo - Documents\Planning Space Implementation\3. Analysis &amp; Design\Design\FC22\DRR Jaime\Neiva CPI\[DINA TERCIARIOS_CF_SEC_New_27-Mar-2024.xlsx]D-PND'!</v>
      </c>
      <c r="G505" s="32" t="s">
        <v>102</v>
      </c>
      <c r="H505" s="33">
        <f t="shared" si="125"/>
        <v>21</v>
      </c>
      <c r="I505" s="33" t="str">
        <f t="shared" si="106"/>
        <v>='C:\Users\jaime.benazar\Quorum Business Solutions\Ecopetrol Prometeo - Documents\Planning Space Implementation\3. Analysis &amp; Design\Design\FC22\DRR Jaime\Neiva CPI\[DINA TERCIARIOS_CF_SEC_New_27-Mar-2024.xlsx]D-PND'!$BW$21</v>
      </c>
      <c r="J505" s="37" t="s">
        <v>2271</v>
      </c>
    </row>
    <row r="506" spans="1:10" x14ac:dyDescent="0.3">
      <c r="A506" s="32" t="s">
        <v>16</v>
      </c>
      <c r="B506" s="32">
        <f t="shared" si="126"/>
        <v>2033</v>
      </c>
      <c r="C506" s="33" t="s">
        <v>34</v>
      </c>
      <c r="D506" s="34" t="s">
        <v>2002</v>
      </c>
      <c r="E506" s="35" t="str">
        <f t="shared" si="104"/>
        <v>PND'!</v>
      </c>
      <c r="F506" s="34" t="str">
        <f t="shared" si="105"/>
        <v>C:\Users\jaime.benazar\Quorum Business Solutions\Ecopetrol Prometeo - Documents\Planning Space Implementation\3. Analysis &amp; Design\Design\FC22\DRR Jaime\Neiva CPI\[DINA TERCIARIOS_CF_SEC_New_27-Mar-2024.xlsx]D-PND'!</v>
      </c>
      <c r="G506" s="32" t="s">
        <v>102</v>
      </c>
      <c r="H506" s="33">
        <f t="shared" si="125"/>
        <v>22</v>
      </c>
      <c r="I506" s="33" t="str">
        <f t="shared" si="106"/>
        <v>='C:\Users\jaime.benazar\Quorum Business Solutions\Ecopetrol Prometeo - Documents\Planning Space Implementation\3. Analysis &amp; Design\Design\FC22\DRR Jaime\Neiva CPI\[DINA TERCIARIOS_CF_SEC_New_27-Mar-2024.xlsx]D-PND'!$BW$22</v>
      </c>
      <c r="J506" s="37" t="s">
        <v>2272</v>
      </c>
    </row>
    <row r="507" spans="1:10" x14ac:dyDescent="0.3">
      <c r="A507" s="32" t="s">
        <v>16</v>
      </c>
      <c r="B507" s="32">
        <f t="shared" si="126"/>
        <v>2034</v>
      </c>
      <c r="C507" s="33" t="s">
        <v>34</v>
      </c>
      <c r="D507" s="34" t="s">
        <v>2002</v>
      </c>
      <c r="E507" s="35" t="str">
        <f t="shared" si="104"/>
        <v>PND'!</v>
      </c>
      <c r="F507" s="34" t="str">
        <f t="shared" si="105"/>
        <v>C:\Users\jaime.benazar\Quorum Business Solutions\Ecopetrol Prometeo - Documents\Planning Space Implementation\3. Analysis &amp; Design\Design\FC22\DRR Jaime\Neiva CPI\[DINA TERCIARIOS_CF_SEC_New_27-Mar-2024.xlsx]D-PND'!</v>
      </c>
      <c r="G507" s="32" t="s">
        <v>102</v>
      </c>
      <c r="H507" s="33">
        <f t="shared" si="125"/>
        <v>23</v>
      </c>
      <c r="I507" s="33" t="str">
        <f t="shared" si="106"/>
        <v>='C:\Users\jaime.benazar\Quorum Business Solutions\Ecopetrol Prometeo - Documents\Planning Space Implementation\3. Analysis &amp; Design\Design\FC22\DRR Jaime\Neiva CPI\[DINA TERCIARIOS_CF_SEC_New_27-Mar-2024.xlsx]D-PND'!$BW$23</v>
      </c>
      <c r="J507" s="37" t="s">
        <v>2273</v>
      </c>
    </row>
    <row r="508" spans="1:10" x14ac:dyDescent="0.3">
      <c r="A508" s="32" t="s">
        <v>16</v>
      </c>
      <c r="B508" s="32">
        <f t="shared" si="126"/>
        <v>2035</v>
      </c>
      <c r="C508" s="33" t="s">
        <v>34</v>
      </c>
      <c r="D508" s="34" t="s">
        <v>2002</v>
      </c>
      <c r="E508" s="35" t="str">
        <f t="shared" si="104"/>
        <v>PND'!</v>
      </c>
      <c r="F508" s="34" t="str">
        <f t="shared" si="105"/>
        <v>C:\Users\jaime.benazar\Quorum Business Solutions\Ecopetrol Prometeo - Documents\Planning Space Implementation\3. Analysis &amp; Design\Design\FC22\DRR Jaime\Neiva CPI\[DINA TERCIARIOS_CF_SEC_New_27-Mar-2024.xlsx]D-PND'!</v>
      </c>
      <c r="G508" s="32" t="s">
        <v>102</v>
      </c>
      <c r="H508" s="33">
        <f t="shared" si="125"/>
        <v>24</v>
      </c>
      <c r="I508" s="33" t="str">
        <f t="shared" si="106"/>
        <v>='C:\Users\jaime.benazar\Quorum Business Solutions\Ecopetrol Prometeo - Documents\Planning Space Implementation\3. Analysis &amp; Design\Design\FC22\DRR Jaime\Neiva CPI\[DINA TERCIARIOS_CF_SEC_New_27-Mar-2024.xlsx]D-PND'!$BW$24</v>
      </c>
      <c r="J508" s="37" t="s">
        <v>2274</v>
      </c>
    </row>
    <row r="509" spans="1:10" x14ac:dyDescent="0.3">
      <c r="A509" s="32" t="s">
        <v>16</v>
      </c>
      <c r="B509" s="32">
        <f t="shared" si="126"/>
        <v>2036</v>
      </c>
      <c r="C509" s="33" t="s">
        <v>34</v>
      </c>
      <c r="D509" s="34" t="s">
        <v>2002</v>
      </c>
      <c r="E509" s="35" t="str">
        <f t="shared" si="104"/>
        <v>PND'!</v>
      </c>
      <c r="F509" s="34" t="str">
        <f t="shared" si="105"/>
        <v>C:\Users\jaime.benazar\Quorum Business Solutions\Ecopetrol Prometeo - Documents\Planning Space Implementation\3. Analysis &amp; Design\Design\FC22\DRR Jaime\Neiva CPI\[DINA TERCIARIOS_CF_SEC_New_27-Mar-2024.xlsx]D-PND'!</v>
      </c>
      <c r="G509" s="32" t="s">
        <v>102</v>
      </c>
      <c r="H509" s="33">
        <f t="shared" si="125"/>
        <v>25</v>
      </c>
      <c r="I509" s="33" t="str">
        <f t="shared" si="106"/>
        <v>='C:\Users\jaime.benazar\Quorum Business Solutions\Ecopetrol Prometeo - Documents\Planning Space Implementation\3. Analysis &amp; Design\Design\FC22\DRR Jaime\Neiva CPI\[DINA TERCIARIOS_CF_SEC_New_27-Mar-2024.xlsx]D-PND'!$BW$25</v>
      </c>
      <c r="J509" s="37" t="s">
        <v>2275</v>
      </c>
    </row>
    <row r="510" spans="1:10" x14ac:dyDescent="0.3">
      <c r="A510" s="32" t="s">
        <v>16</v>
      </c>
      <c r="B510" s="32">
        <f>+B509+1</f>
        <v>2037</v>
      </c>
      <c r="C510" s="33" t="s">
        <v>34</v>
      </c>
      <c r="D510" s="34" t="s">
        <v>2002</v>
      </c>
      <c r="E510" s="35" t="str">
        <f t="shared" si="104"/>
        <v>PND'!</v>
      </c>
      <c r="F510" s="34" t="str">
        <f t="shared" si="105"/>
        <v>C:\Users\jaime.benazar\Quorum Business Solutions\Ecopetrol Prometeo - Documents\Planning Space Implementation\3. Analysis &amp; Design\Design\FC22\DRR Jaime\Neiva CPI\[DINA TERCIARIOS_CF_SEC_New_27-Mar-2024.xlsx]D-PND'!</v>
      </c>
      <c r="G510" s="32" t="s">
        <v>102</v>
      </c>
      <c r="H510" s="33">
        <f t="shared" si="125"/>
        <v>26</v>
      </c>
      <c r="I510" s="33" t="str">
        <f t="shared" si="106"/>
        <v>='C:\Users\jaime.benazar\Quorum Business Solutions\Ecopetrol Prometeo - Documents\Planning Space Implementation\3. Analysis &amp; Design\Design\FC22\DRR Jaime\Neiva CPI\[DINA TERCIARIOS_CF_SEC_New_27-Mar-2024.xlsx]D-PND'!$BW$26</v>
      </c>
      <c r="J510" s="37" t="s">
        <v>2276</v>
      </c>
    </row>
    <row r="511" spans="1:10" x14ac:dyDescent="0.3">
      <c r="A511" s="32" t="s">
        <v>16</v>
      </c>
      <c r="B511" s="32">
        <f t="shared" ref="B511:B513" si="127">+B510+1</f>
        <v>2038</v>
      </c>
      <c r="C511" s="33" t="s">
        <v>34</v>
      </c>
      <c r="D511" s="34" t="s">
        <v>2002</v>
      </c>
      <c r="E511" s="35" t="str">
        <f t="shared" si="104"/>
        <v>PND'!</v>
      </c>
      <c r="F511" s="34" t="str">
        <f t="shared" si="105"/>
        <v>C:\Users\jaime.benazar\Quorum Business Solutions\Ecopetrol Prometeo - Documents\Planning Space Implementation\3. Analysis &amp; Design\Design\FC22\DRR Jaime\Neiva CPI\[DINA TERCIARIOS_CF_SEC_New_27-Mar-2024.xlsx]D-PND'!</v>
      </c>
      <c r="G511" s="32" t="s">
        <v>102</v>
      </c>
      <c r="H511" s="33">
        <f t="shared" si="125"/>
        <v>27</v>
      </c>
      <c r="I511" s="33" t="str">
        <f t="shared" si="106"/>
        <v>='C:\Users\jaime.benazar\Quorum Business Solutions\Ecopetrol Prometeo - Documents\Planning Space Implementation\3. Analysis &amp; Design\Design\FC22\DRR Jaime\Neiva CPI\[DINA TERCIARIOS_CF_SEC_New_27-Mar-2024.xlsx]D-PND'!$BW$27</v>
      </c>
      <c r="J511" s="37" t="s">
        <v>2277</v>
      </c>
    </row>
    <row r="512" spans="1:10" x14ac:dyDescent="0.3">
      <c r="A512" s="32" t="s">
        <v>16</v>
      </c>
      <c r="B512" s="32">
        <f t="shared" si="127"/>
        <v>2039</v>
      </c>
      <c r="C512" s="33" t="s">
        <v>34</v>
      </c>
      <c r="D512" s="34" t="s">
        <v>2002</v>
      </c>
      <c r="E512" s="35" t="str">
        <f t="shared" si="104"/>
        <v>PND'!</v>
      </c>
      <c r="F512" s="34" t="str">
        <f t="shared" si="105"/>
        <v>C:\Users\jaime.benazar\Quorum Business Solutions\Ecopetrol Prometeo - Documents\Planning Space Implementation\3. Analysis &amp; Design\Design\FC22\DRR Jaime\Neiva CPI\[DINA TERCIARIOS_CF_SEC_New_27-Mar-2024.xlsx]D-PND'!</v>
      </c>
      <c r="G512" s="32" t="s">
        <v>102</v>
      </c>
      <c r="H512" s="33">
        <f t="shared" si="125"/>
        <v>28</v>
      </c>
      <c r="I512" s="33" t="str">
        <f t="shared" si="106"/>
        <v>='C:\Users\jaime.benazar\Quorum Business Solutions\Ecopetrol Prometeo - Documents\Planning Space Implementation\3. Analysis &amp; Design\Design\FC22\DRR Jaime\Neiva CPI\[DINA TERCIARIOS_CF_SEC_New_27-Mar-2024.xlsx]D-PND'!$BW$28</v>
      </c>
      <c r="J512" s="37" t="s">
        <v>2278</v>
      </c>
    </row>
    <row r="513" spans="1:10" x14ac:dyDescent="0.3">
      <c r="A513" s="32" t="s">
        <v>16</v>
      </c>
      <c r="B513" s="32">
        <f t="shared" si="127"/>
        <v>2040</v>
      </c>
      <c r="C513" s="33" t="s">
        <v>34</v>
      </c>
      <c r="D513" s="34" t="s">
        <v>2002</v>
      </c>
      <c r="E513" s="35" t="str">
        <f t="shared" si="104"/>
        <v>PND'!</v>
      </c>
      <c r="F513" s="34" t="str">
        <f t="shared" si="105"/>
        <v>C:\Users\jaime.benazar\Quorum Business Solutions\Ecopetrol Prometeo - Documents\Planning Space Implementation\3. Analysis &amp; Design\Design\FC22\DRR Jaime\Neiva CPI\[DINA TERCIARIOS_CF_SEC_New_27-Mar-2024.xlsx]D-PND'!</v>
      </c>
      <c r="G513" s="32" t="s">
        <v>102</v>
      </c>
      <c r="H513" s="33">
        <f t="shared" si="125"/>
        <v>29</v>
      </c>
      <c r="I513" s="33" t="str">
        <f t="shared" si="106"/>
        <v>='C:\Users\jaime.benazar\Quorum Business Solutions\Ecopetrol Prometeo - Documents\Planning Space Implementation\3. Analysis &amp; Design\Design\FC22\DRR Jaime\Neiva CPI\[DINA TERCIARIOS_CF_SEC_New_27-Mar-2024.xlsx]D-PND'!$BW$29</v>
      </c>
      <c r="J513" s="37" t="s">
        <v>2279</v>
      </c>
    </row>
    <row r="514" spans="1:10" x14ac:dyDescent="0.3">
      <c r="A514" s="32" t="s">
        <v>16</v>
      </c>
      <c r="B514" s="32">
        <f>+B513+1</f>
        <v>2041</v>
      </c>
      <c r="C514" s="33" t="s">
        <v>34</v>
      </c>
      <c r="D514" s="34" t="s">
        <v>2002</v>
      </c>
      <c r="E514" s="35" t="str">
        <f t="shared" si="104"/>
        <v>PND'!</v>
      </c>
      <c r="F514" s="34" t="str">
        <f t="shared" si="105"/>
        <v>C:\Users\jaime.benazar\Quorum Business Solutions\Ecopetrol Prometeo - Documents\Planning Space Implementation\3. Analysis &amp; Design\Design\FC22\DRR Jaime\Neiva CPI\[DINA TERCIARIOS_CF_SEC_New_27-Mar-2024.xlsx]D-PND'!</v>
      </c>
      <c r="G514" s="32" t="s">
        <v>102</v>
      </c>
      <c r="H514" s="33">
        <f t="shared" si="125"/>
        <v>30</v>
      </c>
      <c r="I514" s="33" t="str">
        <f t="shared" si="106"/>
        <v>='C:\Users\jaime.benazar\Quorum Business Solutions\Ecopetrol Prometeo - Documents\Planning Space Implementation\3. Analysis &amp; Design\Design\FC22\DRR Jaime\Neiva CPI\[DINA TERCIARIOS_CF_SEC_New_27-Mar-2024.xlsx]D-PND'!$BW$30</v>
      </c>
      <c r="J514" s="37" t="s">
        <v>2280</v>
      </c>
    </row>
    <row r="515" spans="1:10" x14ac:dyDescent="0.3">
      <c r="A515" s="32" t="s">
        <v>16</v>
      </c>
      <c r="B515" s="32">
        <f t="shared" ref="B515:B516" si="128">+B514+1</f>
        <v>2042</v>
      </c>
      <c r="C515" s="33" t="s">
        <v>34</v>
      </c>
      <c r="D515" s="34" t="s">
        <v>2002</v>
      </c>
      <c r="E515" s="35" t="str">
        <f t="shared" ref="E515:E820" si="129">_xlfn.CONCAT(A515,"'!")</f>
        <v>PND'!</v>
      </c>
      <c r="F515" s="34" t="str">
        <f t="shared" ref="F515:F820" si="130">_xlfn.CONCAT(D515:E515)</f>
        <v>C:\Users\jaime.benazar\Quorum Business Solutions\Ecopetrol Prometeo - Documents\Planning Space Implementation\3. Analysis &amp; Design\Design\FC22\DRR Jaime\Neiva CPI\[DINA TERCIARIOS_CF_SEC_New_27-Mar-2024.xlsx]D-PND'!</v>
      </c>
      <c r="G515" s="32" t="s">
        <v>102</v>
      </c>
      <c r="H515" s="33">
        <f t="shared" si="125"/>
        <v>31</v>
      </c>
      <c r="I515" s="33" t="str">
        <f t="shared" ref="I515:I820" si="131">_xlfn.CONCAT("='",F515:H515)</f>
        <v>='C:\Users\jaime.benazar\Quorum Business Solutions\Ecopetrol Prometeo - Documents\Planning Space Implementation\3. Analysis &amp; Design\Design\FC22\DRR Jaime\Neiva CPI\[DINA TERCIARIOS_CF_SEC_New_27-Mar-2024.xlsx]D-PND'!$BW$31</v>
      </c>
      <c r="J515" s="37" t="s">
        <v>2281</v>
      </c>
    </row>
    <row r="516" spans="1:10" x14ac:dyDescent="0.3">
      <c r="A516" s="32" t="s">
        <v>16</v>
      </c>
      <c r="B516" s="32">
        <f t="shared" si="128"/>
        <v>2043</v>
      </c>
      <c r="C516" s="33" t="s">
        <v>34</v>
      </c>
      <c r="D516" s="34" t="s">
        <v>2002</v>
      </c>
      <c r="E516" s="35" t="str">
        <f t="shared" si="129"/>
        <v>PND'!</v>
      </c>
      <c r="F516" s="34" t="str">
        <f t="shared" si="130"/>
        <v>C:\Users\jaime.benazar\Quorum Business Solutions\Ecopetrol Prometeo - Documents\Planning Space Implementation\3. Analysis &amp; Design\Design\FC22\DRR Jaime\Neiva CPI\[DINA TERCIARIOS_CF_SEC_New_27-Mar-2024.xlsx]D-PND'!</v>
      </c>
      <c r="G516" s="32" t="s">
        <v>102</v>
      </c>
      <c r="H516" s="33">
        <f t="shared" si="125"/>
        <v>32</v>
      </c>
      <c r="I516" s="33" t="str">
        <f t="shared" si="131"/>
        <v>='C:\Users\jaime.benazar\Quorum Business Solutions\Ecopetrol Prometeo - Documents\Planning Space Implementation\3. Analysis &amp; Design\Design\FC22\DRR Jaime\Neiva CPI\[DINA TERCIARIOS_CF_SEC_New_27-Mar-2024.xlsx]D-PND'!$BW$32</v>
      </c>
      <c r="J516" s="37" t="s">
        <v>2282</v>
      </c>
    </row>
    <row r="517" spans="1:10" x14ac:dyDescent="0.3">
      <c r="A517" s="32" t="s">
        <v>16</v>
      </c>
      <c r="B517" s="32">
        <f>+B516+1</f>
        <v>2044</v>
      </c>
      <c r="C517" s="33" t="s">
        <v>34</v>
      </c>
      <c r="D517" s="34" t="s">
        <v>2002</v>
      </c>
      <c r="E517" s="35" t="str">
        <f t="shared" ref="E517:E532" si="132">_xlfn.CONCAT(A517,"'!")</f>
        <v>PND'!</v>
      </c>
      <c r="F517" s="34" t="str">
        <f t="shared" ref="F517:F532" si="133">_xlfn.CONCAT(D517:E517)</f>
        <v>C:\Users\jaime.benazar\Quorum Business Solutions\Ecopetrol Prometeo - Documents\Planning Space Implementation\3. Analysis &amp; Design\Design\FC22\DRR Jaime\Neiva CPI\[DINA TERCIARIOS_CF_SEC_New_27-Mar-2024.xlsx]D-PND'!</v>
      </c>
      <c r="G517" s="32" t="s">
        <v>102</v>
      </c>
      <c r="H517" s="33">
        <f t="shared" ref="H517:H532" si="134">IF(A517&lt;&gt;A516,12,H516+1)</f>
        <v>33</v>
      </c>
      <c r="I517" s="33" t="str">
        <f t="shared" ref="I517:I532" si="135">_xlfn.CONCAT("='",F517:H517)</f>
        <v>='C:\Users\jaime.benazar\Quorum Business Solutions\Ecopetrol Prometeo - Documents\Planning Space Implementation\3. Analysis &amp; Design\Design\FC22\DRR Jaime\Neiva CPI\[DINA TERCIARIOS_CF_SEC_New_27-Mar-2024.xlsx]D-PND'!$BW$33</v>
      </c>
      <c r="J517" s="37" t="s">
        <v>2283</v>
      </c>
    </row>
    <row r="518" spans="1:10" x14ac:dyDescent="0.3">
      <c r="A518" s="32" t="s">
        <v>16</v>
      </c>
      <c r="B518" s="32">
        <f t="shared" ref="B518:B532" si="136">+B517+1</f>
        <v>2045</v>
      </c>
      <c r="C518" s="33" t="s">
        <v>34</v>
      </c>
      <c r="D518" s="34" t="s">
        <v>2002</v>
      </c>
      <c r="E518" s="35" t="str">
        <f t="shared" si="132"/>
        <v>PND'!</v>
      </c>
      <c r="F518" s="34" t="str">
        <f t="shared" si="133"/>
        <v>C:\Users\jaime.benazar\Quorum Business Solutions\Ecopetrol Prometeo - Documents\Planning Space Implementation\3. Analysis &amp; Design\Design\FC22\DRR Jaime\Neiva CPI\[DINA TERCIARIOS_CF_SEC_New_27-Mar-2024.xlsx]D-PND'!</v>
      </c>
      <c r="G518" s="32" t="s">
        <v>102</v>
      </c>
      <c r="H518" s="33">
        <f t="shared" si="134"/>
        <v>34</v>
      </c>
      <c r="I518" s="33" t="str">
        <f t="shared" si="135"/>
        <v>='C:\Users\jaime.benazar\Quorum Business Solutions\Ecopetrol Prometeo - Documents\Planning Space Implementation\3. Analysis &amp; Design\Design\FC22\DRR Jaime\Neiva CPI\[DINA TERCIARIOS_CF_SEC_New_27-Mar-2024.xlsx]D-PND'!$BW$34</v>
      </c>
      <c r="J518" s="37" t="s">
        <v>2284</v>
      </c>
    </row>
    <row r="519" spans="1:10" x14ac:dyDescent="0.3">
      <c r="A519" s="32" t="s">
        <v>16</v>
      </c>
      <c r="B519" s="32">
        <f t="shared" si="136"/>
        <v>2046</v>
      </c>
      <c r="C519" s="33" t="s">
        <v>34</v>
      </c>
      <c r="D519" s="34" t="s">
        <v>2002</v>
      </c>
      <c r="E519" s="35" t="str">
        <f t="shared" si="132"/>
        <v>PND'!</v>
      </c>
      <c r="F519" s="34" t="str">
        <f t="shared" si="133"/>
        <v>C:\Users\jaime.benazar\Quorum Business Solutions\Ecopetrol Prometeo - Documents\Planning Space Implementation\3. Analysis &amp; Design\Design\FC22\DRR Jaime\Neiva CPI\[DINA TERCIARIOS_CF_SEC_New_27-Mar-2024.xlsx]D-PND'!</v>
      </c>
      <c r="G519" s="32" t="s">
        <v>102</v>
      </c>
      <c r="H519" s="33">
        <f t="shared" si="134"/>
        <v>35</v>
      </c>
      <c r="I519" s="33" t="str">
        <f t="shared" si="135"/>
        <v>='C:\Users\jaime.benazar\Quorum Business Solutions\Ecopetrol Prometeo - Documents\Planning Space Implementation\3. Analysis &amp; Design\Design\FC22\DRR Jaime\Neiva CPI\[DINA TERCIARIOS_CF_SEC_New_27-Mar-2024.xlsx]D-PND'!$BW$35</v>
      </c>
      <c r="J519" s="37" t="s">
        <v>2285</v>
      </c>
    </row>
    <row r="520" spans="1:10" x14ac:dyDescent="0.3">
      <c r="A520" s="32" t="s">
        <v>16</v>
      </c>
      <c r="B520" s="32">
        <f t="shared" si="136"/>
        <v>2047</v>
      </c>
      <c r="C520" s="33" t="s">
        <v>34</v>
      </c>
      <c r="D520" s="34" t="s">
        <v>2002</v>
      </c>
      <c r="E520" s="35" t="str">
        <f t="shared" si="132"/>
        <v>PND'!</v>
      </c>
      <c r="F520" s="34" t="str">
        <f t="shared" si="133"/>
        <v>C:\Users\jaime.benazar\Quorum Business Solutions\Ecopetrol Prometeo - Documents\Planning Space Implementation\3. Analysis &amp; Design\Design\FC22\DRR Jaime\Neiva CPI\[DINA TERCIARIOS_CF_SEC_New_27-Mar-2024.xlsx]D-PND'!</v>
      </c>
      <c r="G520" s="32" t="s">
        <v>102</v>
      </c>
      <c r="H520" s="33">
        <f t="shared" si="134"/>
        <v>36</v>
      </c>
      <c r="I520" s="33" t="str">
        <f t="shared" si="135"/>
        <v>='C:\Users\jaime.benazar\Quorum Business Solutions\Ecopetrol Prometeo - Documents\Planning Space Implementation\3. Analysis &amp; Design\Design\FC22\DRR Jaime\Neiva CPI\[DINA TERCIARIOS_CF_SEC_New_27-Mar-2024.xlsx]D-PND'!$BW$36</v>
      </c>
      <c r="J520" s="37" t="s">
        <v>2286</v>
      </c>
    </row>
    <row r="521" spans="1:10" x14ac:dyDescent="0.3">
      <c r="A521" s="32" t="s">
        <v>16</v>
      </c>
      <c r="B521" s="32">
        <f t="shared" si="136"/>
        <v>2048</v>
      </c>
      <c r="C521" s="33" t="s">
        <v>34</v>
      </c>
      <c r="D521" s="34" t="s">
        <v>2002</v>
      </c>
      <c r="E521" s="35" t="str">
        <f t="shared" si="132"/>
        <v>PND'!</v>
      </c>
      <c r="F521" s="34" t="str">
        <f t="shared" si="133"/>
        <v>C:\Users\jaime.benazar\Quorum Business Solutions\Ecopetrol Prometeo - Documents\Planning Space Implementation\3. Analysis &amp; Design\Design\FC22\DRR Jaime\Neiva CPI\[DINA TERCIARIOS_CF_SEC_New_27-Mar-2024.xlsx]D-PND'!</v>
      </c>
      <c r="G521" s="32" t="s">
        <v>102</v>
      </c>
      <c r="H521" s="33">
        <f t="shared" si="134"/>
        <v>37</v>
      </c>
      <c r="I521" s="33" t="str">
        <f t="shared" si="135"/>
        <v>='C:\Users\jaime.benazar\Quorum Business Solutions\Ecopetrol Prometeo - Documents\Planning Space Implementation\3. Analysis &amp; Design\Design\FC22\DRR Jaime\Neiva CPI\[DINA TERCIARIOS_CF_SEC_New_27-Mar-2024.xlsx]D-PND'!$BW$37</v>
      </c>
      <c r="J521" s="37" t="s">
        <v>2287</v>
      </c>
    </row>
    <row r="522" spans="1:10" x14ac:dyDescent="0.3">
      <c r="A522" s="32" t="s">
        <v>16</v>
      </c>
      <c r="B522" s="32">
        <f t="shared" si="136"/>
        <v>2049</v>
      </c>
      <c r="C522" s="33" t="s">
        <v>34</v>
      </c>
      <c r="D522" s="34" t="s">
        <v>2002</v>
      </c>
      <c r="E522" s="35" t="str">
        <f t="shared" si="132"/>
        <v>PND'!</v>
      </c>
      <c r="F522" s="34" t="str">
        <f t="shared" si="133"/>
        <v>C:\Users\jaime.benazar\Quorum Business Solutions\Ecopetrol Prometeo - Documents\Planning Space Implementation\3. Analysis &amp; Design\Design\FC22\DRR Jaime\Neiva CPI\[DINA TERCIARIOS_CF_SEC_New_27-Mar-2024.xlsx]D-PND'!</v>
      </c>
      <c r="G522" s="32" t="s">
        <v>102</v>
      </c>
      <c r="H522" s="33">
        <f t="shared" si="134"/>
        <v>38</v>
      </c>
      <c r="I522" s="33" t="str">
        <f t="shared" si="135"/>
        <v>='C:\Users\jaime.benazar\Quorum Business Solutions\Ecopetrol Prometeo - Documents\Planning Space Implementation\3. Analysis &amp; Design\Design\FC22\DRR Jaime\Neiva CPI\[DINA TERCIARIOS_CF_SEC_New_27-Mar-2024.xlsx]D-PND'!$BW$38</v>
      </c>
      <c r="J522" s="37" t="s">
        <v>2288</v>
      </c>
    </row>
    <row r="523" spans="1:10" x14ac:dyDescent="0.3">
      <c r="A523" s="32" t="s">
        <v>16</v>
      </c>
      <c r="B523" s="32">
        <f t="shared" si="136"/>
        <v>2050</v>
      </c>
      <c r="C523" s="33" t="s">
        <v>34</v>
      </c>
      <c r="D523" s="34" t="s">
        <v>2002</v>
      </c>
      <c r="E523" s="35" t="str">
        <f t="shared" si="132"/>
        <v>PND'!</v>
      </c>
      <c r="F523" s="34" t="str">
        <f t="shared" si="133"/>
        <v>C:\Users\jaime.benazar\Quorum Business Solutions\Ecopetrol Prometeo - Documents\Planning Space Implementation\3. Analysis &amp; Design\Design\FC22\DRR Jaime\Neiva CPI\[DINA TERCIARIOS_CF_SEC_New_27-Mar-2024.xlsx]D-PND'!</v>
      </c>
      <c r="G523" s="32" t="s">
        <v>102</v>
      </c>
      <c r="H523" s="33">
        <f t="shared" si="134"/>
        <v>39</v>
      </c>
      <c r="I523" s="33" t="str">
        <f t="shared" si="135"/>
        <v>='C:\Users\jaime.benazar\Quorum Business Solutions\Ecopetrol Prometeo - Documents\Planning Space Implementation\3. Analysis &amp; Design\Design\FC22\DRR Jaime\Neiva CPI\[DINA TERCIARIOS_CF_SEC_New_27-Mar-2024.xlsx]D-PND'!$BW$39</v>
      </c>
      <c r="J523" s="37" t="s">
        <v>2289</v>
      </c>
    </row>
    <row r="524" spans="1:10" x14ac:dyDescent="0.3">
      <c r="A524" s="32" t="s">
        <v>16</v>
      </c>
      <c r="B524" s="32">
        <f t="shared" si="136"/>
        <v>2051</v>
      </c>
      <c r="C524" s="33" t="s">
        <v>34</v>
      </c>
      <c r="D524" s="34" t="s">
        <v>2002</v>
      </c>
      <c r="E524" s="35" t="str">
        <f t="shared" si="132"/>
        <v>PND'!</v>
      </c>
      <c r="F524" s="34" t="str">
        <f t="shared" si="133"/>
        <v>C:\Users\jaime.benazar\Quorum Business Solutions\Ecopetrol Prometeo - Documents\Planning Space Implementation\3. Analysis &amp; Design\Design\FC22\DRR Jaime\Neiva CPI\[DINA TERCIARIOS_CF_SEC_New_27-Mar-2024.xlsx]D-PND'!</v>
      </c>
      <c r="G524" s="32" t="s">
        <v>102</v>
      </c>
      <c r="H524" s="33">
        <f t="shared" si="134"/>
        <v>40</v>
      </c>
      <c r="I524" s="33" t="str">
        <f t="shared" si="135"/>
        <v>='C:\Users\jaime.benazar\Quorum Business Solutions\Ecopetrol Prometeo - Documents\Planning Space Implementation\3. Analysis &amp; Design\Design\FC22\DRR Jaime\Neiva CPI\[DINA TERCIARIOS_CF_SEC_New_27-Mar-2024.xlsx]D-PND'!$BW$40</v>
      </c>
      <c r="J524" s="37" t="s">
        <v>2290</v>
      </c>
    </row>
    <row r="525" spans="1:10" x14ac:dyDescent="0.3">
      <c r="A525" s="32" t="s">
        <v>16</v>
      </c>
      <c r="B525" s="32">
        <f t="shared" si="136"/>
        <v>2052</v>
      </c>
      <c r="C525" s="33" t="s">
        <v>34</v>
      </c>
      <c r="D525" s="34" t="s">
        <v>2002</v>
      </c>
      <c r="E525" s="35" t="str">
        <f t="shared" si="132"/>
        <v>PND'!</v>
      </c>
      <c r="F525" s="34" t="str">
        <f t="shared" si="133"/>
        <v>C:\Users\jaime.benazar\Quorum Business Solutions\Ecopetrol Prometeo - Documents\Planning Space Implementation\3. Analysis &amp; Design\Design\FC22\DRR Jaime\Neiva CPI\[DINA TERCIARIOS_CF_SEC_New_27-Mar-2024.xlsx]D-PND'!</v>
      </c>
      <c r="G525" s="32" t="s">
        <v>102</v>
      </c>
      <c r="H525" s="33">
        <f t="shared" si="134"/>
        <v>41</v>
      </c>
      <c r="I525" s="33" t="str">
        <f t="shared" si="135"/>
        <v>='C:\Users\jaime.benazar\Quorum Business Solutions\Ecopetrol Prometeo - Documents\Planning Space Implementation\3. Analysis &amp; Design\Design\FC22\DRR Jaime\Neiva CPI\[DINA TERCIARIOS_CF_SEC_New_27-Mar-2024.xlsx]D-PND'!$BW$41</v>
      </c>
      <c r="J525" s="37" t="s">
        <v>2291</v>
      </c>
    </row>
    <row r="526" spans="1:10" x14ac:dyDescent="0.3">
      <c r="A526" s="32" t="s">
        <v>16</v>
      </c>
      <c r="B526" s="32">
        <f t="shared" si="136"/>
        <v>2053</v>
      </c>
      <c r="C526" s="33" t="s">
        <v>34</v>
      </c>
      <c r="D526" s="34" t="s">
        <v>2002</v>
      </c>
      <c r="E526" s="35" t="str">
        <f t="shared" si="132"/>
        <v>PND'!</v>
      </c>
      <c r="F526" s="34" t="str">
        <f t="shared" si="133"/>
        <v>C:\Users\jaime.benazar\Quorum Business Solutions\Ecopetrol Prometeo - Documents\Planning Space Implementation\3. Analysis &amp; Design\Design\FC22\DRR Jaime\Neiva CPI\[DINA TERCIARIOS_CF_SEC_New_27-Mar-2024.xlsx]D-PND'!</v>
      </c>
      <c r="G526" s="32" t="s">
        <v>102</v>
      </c>
      <c r="H526" s="33">
        <f t="shared" si="134"/>
        <v>42</v>
      </c>
      <c r="I526" s="33" t="str">
        <f t="shared" si="135"/>
        <v>='C:\Users\jaime.benazar\Quorum Business Solutions\Ecopetrol Prometeo - Documents\Planning Space Implementation\3. Analysis &amp; Design\Design\FC22\DRR Jaime\Neiva CPI\[DINA TERCIARIOS_CF_SEC_New_27-Mar-2024.xlsx]D-PND'!$BW$42</v>
      </c>
      <c r="J526" s="37" t="s">
        <v>2292</v>
      </c>
    </row>
    <row r="527" spans="1:10" x14ac:dyDescent="0.3">
      <c r="A527" s="32" t="s">
        <v>16</v>
      </c>
      <c r="B527" s="32">
        <f t="shared" si="136"/>
        <v>2054</v>
      </c>
      <c r="C527" s="33" t="s">
        <v>34</v>
      </c>
      <c r="D527" s="34" t="s">
        <v>2002</v>
      </c>
      <c r="E527" s="35" t="str">
        <f t="shared" si="132"/>
        <v>PND'!</v>
      </c>
      <c r="F527" s="34" t="str">
        <f t="shared" si="133"/>
        <v>C:\Users\jaime.benazar\Quorum Business Solutions\Ecopetrol Prometeo - Documents\Planning Space Implementation\3. Analysis &amp; Design\Design\FC22\DRR Jaime\Neiva CPI\[DINA TERCIARIOS_CF_SEC_New_27-Mar-2024.xlsx]D-PND'!</v>
      </c>
      <c r="G527" s="32" t="s">
        <v>102</v>
      </c>
      <c r="H527" s="33">
        <f t="shared" si="134"/>
        <v>43</v>
      </c>
      <c r="I527" s="33" t="str">
        <f t="shared" si="135"/>
        <v>='C:\Users\jaime.benazar\Quorum Business Solutions\Ecopetrol Prometeo - Documents\Planning Space Implementation\3. Analysis &amp; Design\Design\FC22\DRR Jaime\Neiva CPI\[DINA TERCIARIOS_CF_SEC_New_27-Mar-2024.xlsx]D-PND'!$BW$43</v>
      </c>
      <c r="J527" s="37" t="s">
        <v>2293</v>
      </c>
    </row>
    <row r="528" spans="1:10" x14ac:dyDescent="0.3">
      <c r="A528" s="32" t="s">
        <v>16</v>
      </c>
      <c r="B528" s="32">
        <f t="shared" si="136"/>
        <v>2055</v>
      </c>
      <c r="C528" s="33" t="s">
        <v>34</v>
      </c>
      <c r="D528" s="34" t="s">
        <v>2002</v>
      </c>
      <c r="E528" s="35" t="str">
        <f t="shared" si="132"/>
        <v>PND'!</v>
      </c>
      <c r="F528" s="34" t="str">
        <f t="shared" si="133"/>
        <v>C:\Users\jaime.benazar\Quorum Business Solutions\Ecopetrol Prometeo - Documents\Planning Space Implementation\3. Analysis &amp; Design\Design\FC22\DRR Jaime\Neiva CPI\[DINA TERCIARIOS_CF_SEC_New_27-Mar-2024.xlsx]D-PND'!</v>
      </c>
      <c r="G528" s="32" t="s">
        <v>102</v>
      </c>
      <c r="H528" s="33">
        <f t="shared" si="134"/>
        <v>44</v>
      </c>
      <c r="I528" s="33" t="str">
        <f t="shared" si="135"/>
        <v>='C:\Users\jaime.benazar\Quorum Business Solutions\Ecopetrol Prometeo - Documents\Planning Space Implementation\3. Analysis &amp; Design\Design\FC22\DRR Jaime\Neiva CPI\[DINA TERCIARIOS_CF_SEC_New_27-Mar-2024.xlsx]D-PND'!$BW$44</v>
      </c>
      <c r="J528" s="37" t="s">
        <v>2294</v>
      </c>
    </row>
    <row r="529" spans="1:10" x14ac:dyDescent="0.3">
      <c r="A529" s="32" t="s">
        <v>16</v>
      </c>
      <c r="B529" s="32">
        <f t="shared" si="136"/>
        <v>2056</v>
      </c>
      <c r="C529" s="33" t="s">
        <v>34</v>
      </c>
      <c r="D529" s="34" t="s">
        <v>2002</v>
      </c>
      <c r="E529" s="35" t="str">
        <f t="shared" si="132"/>
        <v>PND'!</v>
      </c>
      <c r="F529" s="34" t="str">
        <f t="shared" si="133"/>
        <v>C:\Users\jaime.benazar\Quorum Business Solutions\Ecopetrol Prometeo - Documents\Planning Space Implementation\3. Analysis &amp; Design\Design\FC22\DRR Jaime\Neiva CPI\[DINA TERCIARIOS_CF_SEC_New_27-Mar-2024.xlsx]D-PND'!</v>
      </c>
      <c r="G529" s="32" t="s">
        <v>102</v>
      </c>
      <c r="H529" s="33">
        <f t="shared" si="134"/>
        <v>45</v>
      </c>
      <c r="I529" s="33" t="str">
        <f t="shared" si="135"/>
        <v>='C:\Users\jaime.benazar\Quorum Business Solutions\Ecopetrol Prometeo - Documents\Planning Space Implementation\3. Analysis &amp; Design\Design\FC22\DRR Jaime\Neiva CPI\[DINA TERCIARIOS_CF_SEC_New_27-Mar-2024.xlsx]D-PND'!$BW$45</v>
      </c>
      <c r="J529" s="37" t="s">
        <v>2295</v>
      </c>
    </row>
    <row r="530" spans="1:10" x14ac:dyDescent="0.3">
      <c r="A530" s="32" t="s">
        <v>16</v>
      </c>
      <c r="B530" s="32">
        <f t="shared" si="136"/>
        <v>2057</v>
      </c>
      <c r="C530" s="33" t="s">
        <v>34</v>
      </c>
      <c r="D530" s="34" t="s">
        <v>2002</v>
      </c>
      <c r="E530" s="35" t="str">
        <f t="shared" si="132"/>
        <v>PND'!</v>
      </c>
      <c r="F530" s="34" t="str">
        <f t="shared" si="133"/>
        <v>C:\Users\jaime.benazar\Quorum Business Solutions\Ecopetrol Prometeo - Documents\Planning Space Implementation\3. Analysis &amp; Design\Design\FC22\DRR Jaime\Neiva CPI\[DINA TERCIARIOS_CF_SEC_New_27-Mar-2024.xlsx]D-PND'!</v>
      </c>
      <c r="G530" s="32" t="s">
        <v>102</v>
      </c>
      <c r="H530" s="33">
        <f t="shared" si="134"/>
        <v>46</v>
      </c>
      <c r="I530" s="33" t="str">
        <f t="shared" si="135"/>
        <v>='C:\Users\jaime.benazar\Quorum Business Solutions\Ecopetrol Prometeo - Documents\Planning Space Implementation\3. Analysis &amp; Design\Design\FC22\DRR Jaime\Neiva CPI\[DINA TERCIARIOS_CF_SEC_New_27-Mar-2024.xlsx]D-PND'!$BW$46</v>
      </c>
      <c r="J530" s="37" t="s">
        <v>2296</v>
      </c>
    </row>
    <row r="531" spans="1:10" x14ac:dyDescent="0.3">
      <c r="A531" s="32" t="s">
        <v>16</v>
      </c>
      <c r="B531" s="32">
        <f t="shared" si="136"/>
        <v>2058</v>
      </c>
      <c r="C531" s="33" t="s">
        <v>34</v>
      </c>
      <c r="D531" s="34" t="s">
        <v>2002</v>
      </c>
      <c r="E531" s="35" t="str">
        <f t="shared" si="132"/>
        <v>PND'!</v>
      </c>
      <c r="F531" s="34" t="str">
        <f t="shared" si="133"/>
        <v>C:\Users\jaime.benazar\Quorum Business Solutions\Ecopetrol Prometeo - Documents\Planning Space Implementation\3. Analysis &amp; Design\Design\FC22\DRR Jaime\Neiva CPI\[DINA TERCIARIOS_CF_SEC_New_27-Mar-2024.xlsx]D-PND'!</v>
      </c>
      <c r="G531" s="32" t="s">
        <v>102</v>
      </c>
      <c r="H531" s="33">
        <f t="shared" si="134"/>
        <v>47</v>
      </c>
      <c r="I531" s="33" t="str">
        <f t="shared" si="135"/>
        <v>='C:\Users\jaime.benazar\Quorum Business Solutions\Ecopetrol Prometeo - Documents\Planning Space Implementation\3. Analysis &amp; Design\Design\FC22\DRR Jaime\Neiva CPI\[DINA TERCIARIOS_CF_SEC_New_27-Mar-2024.xlsx]D-PND'!$BW$47</v>
      </c>
      <c r="J531" s="37" t="s">
        <v>2297</v>
      </c>
    </row>
    <row r="532" spans="1:10" x14ac:dyDescent="0.3">
      <c r="A532" s="32" t="s">
        <v>16</v>
      </c>
      <c r="B532" s="32">
        <f t="shared" si="136"/>
        <v>2059</v>
      </c>
      <c r="C532" s="33" t="s">
        <v>34</v>
      </c>
      <c r="D532" s="34" t="s">
        <v>2002</v>
      </c>
      <c r="E532" s="35" t="str">
        <f t="shared" si="132"/>
        <v>PND'!</v>
      </c>
      <c r="F532" s="34" t="str">
        <f t="shared" si="133"/>
        <v>C:\Users\jaime.benazar\Quorum Business Solutions\Ecopetrol Prometeo - Documents\Planning Space Implementation\3. Analysis &amp; Design\Design\FC22\DRR Jaime\Neiva CPI\[DINA TERCIARIOS_CF_SEC_New_27-Mar-2024.xlsx]D-PND'!</v>
      </c>
      <c r="G532" s="32" t="s">
        <v>102</v>
      </c>
      <c r="H532" s="33">
        <f t="shared" si="134"/>
        <v>48</v>
      </c>
      <c r="I532" s="33" t="str">
        <f t="shared" si="135"/>
        <v>='C:\Users\jaime.benazar\Quorum Business Solutions\Ecopetrol Prometeo - Documents\Planning Space Implementation\3. Analysis &amp; Design\Design\FC22\DRR Jaime\Neiva CPI\[DINA TERCIARIOS_CF_SEC_New_27-Mar-2024.xlsx]D-PND'!$BW$48</v>
      </c>
      <c r="J532" s="37" t="s">
        <v>2298</v>
      </c>
    </row>
    <row r="533" spans="1:10" x14ac:dyDescent="0.3">
      <c r="A533" s="32" t="s">
        <v>26</v>
      </c>
      <c r="B533" s="32"/>
      <c r="C533" s="33" t="s">
        <v>34</v>
      </c>
      <c r="D533" s="34"/>
      <c r="E533" s="35"/>
      <c r="F533" s="34"/>
      <c r="G533" s="32"/>
      <c r="H533" s="33"/>
      <c r="I533" s="33"/>
      <c r="J533" s="33"/>
    </row>
    <row r="534" spans="1:10" x14ac:dyDescent="0.3">
      <c r="A534" s="32" t="s">
        <v>17</v>
      </c>
      <c r="B534" s="32">
        <v>2023</v>
      </c>
      <c r="C534" s="33" t="s">
        <v>34</v>
      </c>
      <c r="D534" s="34" t="s">
        <v>2002</v>
      </c>
      <c r="E534" s="35" t="str">
        <f t="shared" ref="E534:E554" si="137">_xlfn.CONCAT(A534,"'!")</f>
        <v>PRBDP'!</v>
      </c>
      <c r="F534" s="34" t="str">
        <f t="shared" ref="F534:F554" si="138">_xlfn.CONCAT(D534:E534)</f>
        <v>C:\Users\jaime.benazar\Quorum Business Solutions\Ecopetrol Prometeo - Documents\Planning Space Implementation\3. Analysis &amp; Design\Design\FC22\DRR Jaime\Neiva CPI\[DINA TERCIARIOS_CF_SEC_New_27-Mar-2024.xlsx]D-PRBDP'!</v>
      </c>
      <c r="G534" s="32" t="s">
        <v>102</v>
      </c>
      <c r="H534" s="33"/>
      <c r="I534" s="33"/>
      <c r="J534" s="37"/>
    </row>
    <row r="535" spans="1:10" x14ac:dyDescent="0.3">
      <c r="A535" s="32" t="s">
        <v>17</v>
      </c>
      <c r="B535" s="32">
        <f>+B534+1</f>
        <v>2024</v>
      </c>
      <c r="C535" s="33" t="s">
        <v>34</v>
      </c>
      <c r="D535" s="34" t="s">
        <v>2002</v>
      </c>
      <c r="E535" s="35" t="str">
        <f t="shared" si="137"/>
        <v>PRBDP'!</v>
      </c>
      <c r="F535" s="34" t="str">
        <f t="shared" si="138"/>
        <v>C:\Users\jaime.benazar\Quorum Business Solutions\Ecopetrol Prometeo - Documents\Planning Space Implementation\3. Analysis &amp; Design\Design\FC22\DRR Jaime\Neiva CPI\[DINA TERCIARIOS_CF_SEC_New_27-Mar-2024.xlsx]D-PRBDP'!</v>
      </c>
      <c r="G535" s="32" t="s">
        <v>102</v>
      </c>
      <c r="H535" s="33"/>
      <c r="I535" s="33"/>
      <c r="J535" s="37"/>
    </row>
    <row r="536" spans="1:10" x14ac:dyDescent="0.3">
      <c r="A536" s="32" t="s">
        <v>17</v>
      </c>
      <c r="B536" s="32">
        <f t="shared" ref="B536:B547" si="139">+B535+1</f>
        <v>2025</v>
      </c>
      <c r="C536" s="33" t="s">
        <v>34</v>
      </c>
      <c r="D536" s="34" t="s">
        <v>2002</v>
      </c>
      <c r="E536" s="35" t="str">
        <f t="shared" si="137"/>
        <v>PRBDP'!</v>
      </c>
      <c r="F536" s="34" t="str">
        <f t="shared" si="138"/>
        <v>C:\Users\jaime.benazar\Quorum Business Solutions\Ecopetrol Prometeo - Documents\Planning Space Implementation\3. Analysis &amp; Design\Design\FC22\DRR Jaime\Neiva CPI\[DINA TERCIARIOS_CF_SEC_New_27-Mar-2024.xlsx]D-PRBDP'!</v>
      </c>
      <c r="G536" s="32" t="s">
        <v>102</v>
      </c>
      <c r="H536" s="33"/>
      <c r="I536" s="33"/>
      <c r="J536" s="37"/>
    </row>
    <row r="537" spans="1:10" x14ac:dyDescent="0.3">
      <c r="A537" s="32" t="s">
        <v>17</v>
      </c>
      <c r="B537" s="32">
        <f t="shared" si="139"/>
        <v>2026</v>
      </c>
      <c r="C537" s="33" t="s">
        <v>34</v>
      </c>
      <c r="D537" s="34" t="s">
        <v>2002</v>
      </c>
      <c r="E537" s="35" t="str">
        <f t="shared" si="137"/>
        <v>PRBDP'!</v>
      </c>
      <c r="F537" s="34" t="str">
        <f t="shared" si="138"/>
        <v>C:\Users\jaime.benazar\Quorum Business Solutions\Ecopetrol Prometeo - Documents\Planning Space Implementation\3. Analysis &amp; Design\Design\FC22\DRR Jaime\Neiva CPI\[DINA TERCIARIOS_CF_SEC_New_27-Mar-2024.xlsx]D-PRBDP'!</v>
      </c>
      <c r="G537" s="32" t="s">
        <v>102</v>
      </c>
      <c r="H537" s="33"/>
      <c r="I537" s="33"/>
      <c r="J537" s="37"/>
    </row>
    <row r="538" spans="1:10" x14ac:dyDescent="0.3">
      <c r="A538" s="32" t="s">
        <v>17</v>
      </c>
      <c r="B538" s="32">
        <f t="shared" si="139"/>
        <v>2027</v>
      </c>
      <c r="C538" s="33" t="s">
        <v>34</v>
      </c>
      <c r="D538" s="34" t="s">
        <v>2002</v>
      </c>
      <c r="E538" s="35" t="str">
        <f t="shared" si="137"/>
        <v>PRBDP'!</v>
      </c>
      <c r="F538" s="34" t="str">
        <f t="shared" si="138"/>
        <v>C:\Users\jaime.benazar\Quorum Business Solutions\Ecopetrol Prometeo - Documents\Planning Space Implementation\3. Analysis &amp; Design\Design\FC22\DRR Jaime\Neiva CPI\[DINA TERCIARIOS_CF_SEC_New_27-Mar-2024.xlsx]D-PRBDP'!</v>
      </c>
      <c r="G538" s="32" t="s">
        <v>102</v>
      </c>
      <c r="H538" s="33"/>
      <c r="I538" s="33"/>
      <c r="J538" s="37"/>
    </row>
    <row r="539" spans="1:10" x14ac:dyDescent="0.3">
      <c r="A539" s="32" t="s">
        <v>17</v>
      </c>
      <c r="B539" s="32">
        <f t="shared" si="139"/>
        <v>2028</v>
      </c>
      <c r="C539" s="33" t="s">
        <v>34</v>
      </c>
      <c r="D539" s="34" t="s">
        <v>2002</v>
      </c>
      <c r="E539" s="35" t="str">
        <f t="shared" si="137"/>
        <v>PRBDP'!</v>
      </c>
      <c r="F539" s="34" t="str">
        <f t="shared" si="138"/>
        <v>C:\Users\jaime.benazar\Quorum Business Solutions\Ecopetrol Prometeo - Documents\Planning Space Implementation\3. Analysis &amp; Design\Design\FC22\DRR Jaime\Neiva CPI\[DINA TERCIARIOS_CF_SEC_New_27-Mar-2024.xlsx]D-PRBDP'!</v>
      </c>
      <c r="G539" s="32" t="s">
        <v>102</v>
      </c>
      <c r="H539" s="33"/>
      <c r="I539" s="33"/>
      <c r="J539" s="37"/>
    </row>
    <row r="540" spans="1:10" x14ac:dyDescent="0.3">
      <c r="A540" s="32" t="s">
        <v>17</v>
      </c>
      <c r="B540" s="32">
        <f t="shared" si="139"/>
        <v>2029</v>
      </c>
      <c r="C540" s="33" t="s">
        <v>34</v>
      </c>
      <c r="D540" s="34" t="s">
        <v>2002</v>
      </c>
      <c r="E540" s="35" t="str">
        <f t="shared" si="137"/>
        <v>PRBDP'!</v>
      </c>
      <c r="F540" s="34" t="str">
        <f t="shared" si="138"/>
        <v>C:\Users\jaime.benazar\Quorum Business Solutions\Ecopetrol Prometeo - Documents\Planning Space Implementation\3. Analysis &amp; Design\Design\FC22\DRR Jaime\Neiva CPI\[DINA TERCIARIOS_CF_SEC_New_27-Mar-2024.xlsx]D-PRBDP'!</v>
      </c>
      <c r="G540" s="32" t="s">
        <v>102</v>
      </c>
      <c r="H540" s="33"/>
      <c r="I540" s="33"/>
      <c r="J540" s="37"/>
    </row>
    <row r="541" spans="1:10" x14ac:dyDescent="0.3">
      <c r="A541" s="32" t="s">
        <v>17</v>
      </c>
      <c r="B541" s="32">
        <f t="shared" si="139"/>
        <v>2030</v>
      </c>
      <c r="C541" s="33" t="s">
        <v>34</v>
      </c>
      <c r="D541" s="34" t="s">
        <v>2002</v>
      </c>
      <c r="E541" s="35" t="str">
        <f t="shared" si="137"/>
        <v>PRBDP'!</v>
      </c>
      <c r="F541" s="34" t="str">
        <f t="shared" si="138"/>
        <v>C:\Users\jaime.benazar\Quorum Business Solutions\Ecopetrol Prometeo - Documents\Planning Space Implementation\3. Analysis &amp; Design\Design\FC22\DRR Jaime\Neiva CPI\[DINA TERCIARIOS_CF_SEC_New_27-Mar-2024.xlsx]D-PRBDP'!</v>
      </c>
      <c r="G541" s="32" t="s">
        <v>102</v>
      </c>
      <c r="H541" s="33"/>
      <c r="I541" s="33"/>
      <c r="J541" s="37"/>
    </row>
    <row r="542" spans="1:10" x14ac:dyDescent="0.3">
      <c r="A542" s="32" t="s">
        <v>17</v>
      </c>
      <c r="B542" s="32">
        <f t="shared" si="139"/>
        <v>2031</v>
      </c>
      <c r="C542" s="33" t="s">
        <v>34</v>
      </c>
      <c r="D542" s="34" t="s">
        <v>2002</v>
      </c>
      <c r="E542" s="35" t="str">
        <f t="shared" si="137"/>
        <v>PRBDP'!</v>
      </c>
      <c r="F542" s="34" t="str">
        <f t="shared" si="138"/>
        <v>C:\Users\jaime.benazar\Quorum Business Solutions\Ecopetrol Prometeo - Documents\Planning Space Implementation\3. Analysis &amp; Design\Design\FC22\DRR Jaime\Neiva CPI\[DINA TERCIARIOS_CF_SEC_New_27-Mar-2024.xlsx]D-PRBDP'!</v>
      </c>
      <c r="G542" s="32" t="s">
        <v>102</v>
      </c>
      <c r="H542" s="33"/>
      <c r="I542" s="33"/>
      <c r="J542" s="37"/>
    </row>
    <row r="543" spans="1:10" x14ac:dyDescent="0.3">
      <c r="A543" s="32" t="s">
        <v>17</v>
      </c>
      <c r="B543" s="32">
        <f t="shared" si="139"/>
        <v>2032</v>
      </c>
      <c r="C543" s="33" t="s">
        <v>34</v>
      </c>
      <c r="D543" s="34" t="s">
        <v>2002</v>
      </c>
      <c r="E543" s="35" t="str">
        <f t="shared" si="137"/>
        <v>PRBDP'!</v>
      </c>
      <c r="F543" s="34" t="str">
        <f t="shared" si="138"/>
        <v>C:\Users\jaime.benazar\Quorum Business Solutions\Ecopetrol Prometeo - Documents\Planning Space Implementation\3. Analysis &amp; Design\Design\FC22\DRR Jaime\Neiva CPI\[DINA TERCIARIOS_CF_SEC_New_27-Mar-2024.xlsx]D-PRBDP'!</v>
      </c>
      <c r="G543" s="32" t="s">
        <v>102</v>
      </c>
      <c r="H543" s="33"/>
      <c r="I543" s="33"/>
      <c r="J543" s="37"/>
    </row>
    <row r="544" spans="1:10" x14ac:dyDescent="0.3">
      <c r="A544" s="32" t="s">
        <v>17</v>
      </c>
      <c r="B544" s="32">
        <f t="shared" si="139"/>
        <v>2033</v>
      </c>
      <c r="C544" s="33" t="s">
        <v>34</v>
      </c>
      <c r="D544" s="34" t="s">
        <v>2002</v>
      </c>
      <c r="E544" s="35" t="str">
        <f t="shared" si="137"/>
        <v>PRBDP'!</v>
      </c>
      <c r="F544" s="34" t="str">
        <f t="shared" si="138"/>
        <v>C:\Users\jaime.benazar\Quorum Business Solutions\Ecopetrol Prometeo - Documents\Planning Space Implementation\3. Analysis &amp; Design\Design\FC22\DRR Jaime\Neiva CPI\[DINA TERCIARIOS_CF_SEC_New_27-Mar-2024.xlsx]D-PRBDP'!</v>
      </c>
      <c r="G544" s="32" t="s">
        <v>102</v>
      </c>
      <c r="H544" s="33"/>
      <c r="I544" s="33"/>
      <c r="J544" s="37"/>
    </row>
    <row r="545" spans="1:10" x14ac:dyDescent="0.3">
      <c r="A545" s="32" t="s">
        <v>17</v>
      </c>
      <c r="B545" s="32">
        <f t="shared" si="139"/>
        <v>2034</v>
      </c>
      <c r="C545" s="33" t="s">
        <v>34</v>
      </c>
      <c r="D545" s="34" t="s">
        <v>2002</v>
      </c>
      <c r="E545" s="35" t="str">
        <f t="shared" si="137"/>
        <v>PRBDP'!</v>
      </c>
      <c r="F545" s="34" t="str">
        <f t="shared" si="138"/>
        <v>C:\Users\jaime.benazar\Quorum Business Solutions\Ecopetrol Prometeo - Documents\Planning Space Implementation\3. Analysis &amp; Design\Design\FC22\DRR Jaime\Neiva CPI\[DINA TERCIARIOS_CF_SEC_New_27-Mar-2024.xlsx]D-PRBDP'!</v>
      </c>
      <c r="G545" s="32" t="s">
        <v>102</v>
      </c>
      <c r="H545" s="33"/>
      <c r="I545" s="33"/>
      <c r="J545" s="37"/>
    </row>
    <row r="546" spans="1:10" x14ac:dyDescent="0.3">
      <c r="A546" s="32" t="s">
        <v>17</v>
      </c>
      <c r="B546" s="32">
        <f t="shared" si="139"/>
        <v>2035</v>
      </c>
      <c r="C546" s="33" t="s">
        <v>34</v>
      </c>
      <c r="D546" s="34" t="s">
        <v>2002</v>
      </c>
      <c r="E546" s="35" t="str">
        <f t="shared" si="137"/>
        <v>PRBDP'!</v>
      </c>
      <c r="F546" s="34" t="str">
        <f t="shared" si="138"/>
        <v>C:\Users\jaime.benazar\Quorum Business Solutions\Ecopetrol Prometeo - Documents\Planning Space Implementation\3. Analysis &amp; Design\Design\FC22\DRR Jaime\Neiva CPI\[DINA TERCIARIOS_CF_SEC_New_27-Mar-2024.xlsx]D-PRBDP'!</v>
      </c>
      <c r="G546" s="32" t="s">
        <v>102</v>
      </c>
      <c r="H546" s="33"/>
      <c r="I546" s="33"/>
      <c r="J546" s="37"/>
    </row>
    <row r="547" spans="1:10" x14ac:dyDescent="0.3">
      <c r="A547" s="32" t="s">
        <v>17</v>
      </c>
      <c r="B547" s="32">
        <f t="shared" si="139"/>
        <v>2036</v>
      </c>
      <c r="C547" s="33" t="s">
        <v>34</v>
      </c>
      <c r="D547" s="34" t="s">
        <v>2002</v>
      </c>
      <c r="E547" s="35" t="str">
        <f t="shared" si="137"/>
        <v>PRBDP'!</v>
      </c>
      <c r="F547" s="34" t="str">
        <f t="shared" si="138"/>
        <v>C:\Users\jaime.benazar\Quorum Business Solutions\Ecopetrol Prometeo - Documents\Planning Space Implementation\3. Analysis &amp; Design\Design\FC22\DRR Jaime\Neiva CPI\[DINA TERCIARIOS_CF_SEC_New_27-Mar-2024.xlsx]D-PRBDP'!</v>
      </c>
      <c r="G547" s="32" t="s">
        <v>102</v>
      </c>
      <c r="H547" s="33"/>
      <c r="I547" s="33"/>
      <c r="J547" s="37"/>
    </row>
    <row r="548" spans="1:10" x14ac:dyDescent="0.3">
      <c r="A548" s="32" t="s">
        <v>17</v>
      </c>
      <c r="B548" s="32">
        <f>+B547+1</f>
        <v>2037</v>
      </c>
      <c r="C548" s="33" t="s">
        <v>34</v>
      </c>
      <c r="D548" s="34" t="s">
        <v>2002</v>
      </c>
      <c r="E548" s="35" t="str">
        <f t="shared" si="137"/>
        <v>PRBDP'!</v>
      </c>
      <c r="F548" s="34" t="str">
        <f t="shared" si="138"/>
        <v>C:\Users\jaime.benazar\Quorum Business Solutions\Ecopetrol Prometeo - Documents\Planning Space Implementation\3. Analysis &amp; Design\Design\FC22\DRR Jaime\Neiva CPI\[DINA TERCIARIOS_CF_SEC_New_27-Mar-2024.xlsx]D-PRBDP'!</v>
      </c>
      <c r="G548" s="32" t="s">
        <v>102</v>
      </c>
      <c r="H548" s="33"/>
      <c r="I548" s="33"/>
      <c r="J548" s="37"/>
    </row>
    <row r="549" spans="1:10" x14ac:dyDescent="0.3">
      <c r="A549" s="32" t="s">
        <v>17</v>
      </c>
      <c r="B549" s="32">
        <f t="shared" ref="B549:B551" si="140">+B548+1</f>
        <v>2038</v>
      </c>
      <c r="C549" s="33" t="s">
        <v>34</v>
      </c>
      <c r="D549" s="34" t="s">
        <v>2002</v>
      </c>
      <c r="E549" s="35" t="str">
        <f t="shared" si="137"/>
        <v>PRBDP'!</v>
      </c>
      <c r="F549" s="34" t="str">
        <f t="shared" si="138"/>
        <v>C:\Users\jaime.benazar\Quorum Business Solutions\Ecopetrol Prometeo - Documents\Planning Space Implementation\3. Analysis &amp; Design\Design\FC22\DRR Jaime\Neiva CPI\[DINA TERCIARIOS_CF_SEC_New_27-Mar-2024.xlsx]D-PRBDP'!</v>
      </c>
      <c r="G549" s="32" t="s">
        <v>102</v>
      </c>
      <c r="H549" s="33"/>
      <c r="I549" s="33"/>
      <c r="J549" s="37"/>
    </row>
    <row r="550" spans="1:10" x14ac:dyDescent="0.3">
      <c r="A550" s="32" t="s">
        <v>17</v>
      </c>
      <c r="B550" s="32">
        <f t="shared" si="140"/>
        <v>2039</v>
      </c>
      <c r="C550" s="33" t="s">
        <v>34</v>
      </c>
      <c r="D550" s="34" t="s">
        <v>2002</v>
      </c>
      <c r="E550" s="35" t="str">
        <f t="shared" si="137"/>
        <v>PRBDP'!</v>
      </c>
      <c r="F550" s="34" t="str">
        <f t="shared" si="138"/>
        <v>C:\Users\jaime.benazar\Quorum Business Solutions\Ecopetrol Prometeo - Documents\Planning Space Implementation\3. Analysis &amp; Design\Design\FC22\DRR Jaime\Neiva CPI\[DINA TERCIARIOS_CF_SEC_New_27-Mar-2024.xlsx]D-PRBDP'!</v>
      </c>
      <c r="G550" s="32" t="s">
        <v>102</v>
      </c>
      <c r="H550" s="33"/>
      <c r="I550" s="33"/>
      <c r="J550" s="37"/>
    </row>
    <row r="551" spans="1:10" x14ac:dyDescent="0.3">
      <c r="A551" s="32" t="s">
        <v>17</v>
      </c>
      <c r="B551" s="32">
        <f t="shared" si="140"/>
        <v>2040</v>
      </c>
      <c r="C551" s="33" t="s">
        <v>34</v>
      </c>
      <c r="D551" s="34" t="s">
        <v>2002</v>
      </c>
      <c r="E551" s="35" t="str">
        <f t="shared" si="137"/>
        <v>PRBDP'!</v>
      </c>
      <c r="F551" s="34" t="str">
        <f t="shared" si="138"/>
        <v>C:\Users\jaime.benazar\Quorum Business Solutions\Ecopetrol Prometeo - Documents\Planning Space Implementation\3. Analysis &amp; Design\Design\FC22\DRR Jaime\Neiva CPI\[DINA TERCIARIOS_CF_SEC_New_27-Mar-2024.xlsx]D-PRBDP'!</v>
      </c>
      <c r="G551" s="32" t="s">
        <v>102</v>
      </c>
      <c r="H551" s="33"/>
      <c r="I551" s="33"/>
      <c r="J551" s="37"/>
    </row>
    <row r="552" spans="1:10" x14ac:dyDescent="0.3">
      <c r="A552" s="32" t="s">
        <v>17</v>
      </c>
      <c r="B552" s="32">
        <f>+B551+1</f>
        <v>2041</v>
      </c>
      <c r="C552" s="33" t="s">
        <v>34</v>
      </c>
      <c r="D552" s="34" t="s">
        <v>2002</v>
      </c>
      <c r="E552" s="35" t="str">
        <f t="shared" si="137"/>
        <v>PRBDP'!</v>
      </c>
      <c r="F552" s="34" t="str">
        <f t="shared" si="138"/>
        <v>C:\Users\jaime.benazar\Quorum Business Solutions\Ecopetrol Prometeo - Documents\Planning Space Implementation\3. Analysis &amp; Design\Design\FC22\DRR Jaime\Neiva CPI\[DINA TERCIARIOS_CF_SEC_New_27-Mar-2024.xlsx]D-PRBDP'!</v>
      </c>
      <c r="G552" s="32" t="s">
        <v>102</v>
      </c>
      <c r="H552" s="33"/>
      <c r="I552" s="33"/>
      <c r="J552" s="37"/>
    </row>
    <row r="553" spans="1:10" x14ac:dyDescent="0.3">
      <c r="A553" s="32" t="s">
        <v>17</v>
      </c>
      <c r="B553" s="32">
        <f t="shared" ref="B553:B554" si="141">+B552+1</f>
        <v>2042</v>
      </c>
      <c r="C553" s="33" t="s">
        <v>34</v>
      </c>
      <c r="D553" s="34" t="s">
        <v>2002</v>
      </c>
      <c r="E553" s="35" t="str">
        <f t="shared" si="137"/>
        <v>PRBDP'!</v>
      </c>
      <c r="F553" s="34" t="str">
        <f t="shared" si="138"/>
        <v>C:\Users\jaime.benazar\Quorum Business Solutions\Ecopetrol Prometeo - Documents\Planning Space Implementation\3. Analysis &amp; Design\Design\FC22\DRR Jaime\Neiva CPI\[DINA TERCIARIOS_CF_SEC_New_27-Mar-2024.xlsx]D-PRBDP'!</v>
      </c>
      <c r="G553" s="32" t="s">
        <v>102</v>
      </c>
      <c r="H553" s="33"/>
      <c r="I553" s="33"/>
      <c r="J553" s="37"/>
    </row>
    <row r="554" spans="1:10" x14ac:dyDescent="0.3">
      <c r="A554" s="32" t="s">
        <v>17</v>
      </c>
      <c r="B554" s="32">
        <f t="shared" si="141"/>
        <v>2043</v>
      </c>
      <c r="C554" s="33" t="s">
        <v>34</v>
      </c>
      <c r="D554" s="34" t="s">
        <v>2002</v>
      </c>
      <c r="E554" s="35" t="str">
        <f t="shared" si="137"/>
        <v>PRBDP'!</v>
      </c>
      <c r="F554" s="34" t="str">
        <f t="shared" si="138"/>
        <v>C:\Users\jaime.benazar\Quorum Business Solutions\Ecopetrol Prometeo - Documents\Planning Space Implementation\3. Analysis &amp; Design\Design\FC22\DRR Jaime\Neiva CPI\[DINA TERCIARIOS_CF_SEC_New_27-Mar-2024.xlsx]D-PRBDP'!</v>
      </c>
      <c r="G554" s="32" t="s">
        <v>102</v>
      </c>
      <c r="H554" s="33"/>
      <c r="I554" s="33"/>
      <c r="J554" s="37"/>
    </row>
    <row r="555" spans="1:10" x14ac:dyDescent="0.3">
      <c r="A555" s="32" t="s">
        <v>17</v>
      </c>
      <c r="B555" s="32">
        <f>+B554+1</f>
        <v>2044</v>
      </c>
      <c r="C555" s="33" t="s">
        <v>34</v>
      </c>
      <c r="D555" s="34" t="s">
        <v>2002</v>
      </c>
      <c r="E555" s="35" t="str">
        <f t="shared" ref="E555:E570" si="142">_xlfn.CONCAT(A555,"'!")</f>
        <v>PRBDP'!</v>
      </c>
      <c r="F555" s="34" t="str">
        <f t="shared" ref="F555:F570" si="143">_xlfn.CONCAT(D555:E555)</f>
        <v>C:\Users\jaime.benazar\Quorum Business Solutions\Ecopetrol Prometeo - Documents\Planning Space Implementation\3. Analysis &amp; Design\Design\FC22\DRR Jaime\Neiva CPI\[DINA TERCIARIOS_CF_SEC_New_27-Mar-2024.xlsx]D-PRBDP'!</v>
      </c>
      <c r="G555" s="32" t="s">
        <v>102</v>
      </c>
      <c r="H555" s="33"/>
      <c r="I555" s="33"/>
      <c r="J555" s="37"/>
    </row>
    <row r="556" spans="1:10" x14ac:dyDescent="0.3">
      <c r="A556" s="32" t="s">
        <v>17</v>
      </c>
      <c r="B556" s="32">
        <f t="shared" ref="B556:B570" si="144">+B555+1</f>
        <v>2045</v>
      </c>
      <c r="C556" s="33" t="s">
        <v>34</v>
      </c>
      <c r="D556" s="34" t="s">
        <v>2002</v>
      </c>
      <c r="E556" s="35" t="str">
        <f t="shared" si="142"/>
        <v>PRBDP'!</v>
      </c>
      <c r="F556" s="34" t="str">
        <f t="shared" si="143"/>
        <v>C:\Users\jaime.benazar\Quorum Business Solutions\Ecopetrol Prometeo - Documents\Planning Space Implementation\3. Analysis &amp; Design\Design\FC22\DRR Jaime\Neiva CPI\[DINA TERCIARIOS_CF_SEC_New_27-Mar-2024.xlsx]D-PRBDP'!</v>
      </c>
      <c r="G556" s="32" t="s">
        <v>102</v>
      </c>
      <c r="H556" s="33"/>
      <c r="I556" s="33"/>
      <c r="J556" s="37"/>
    </row>
    <row r="557" spans="1:10" x14ac:dyDescent="0.3">
      <c r="A557" s="32" t="s">
        <v>17</v>
      </c>
      <c r="B557" s="32">
        <f t="shared" si="144"/>
        <v>2046</v>
      </c>
      <c r="C557" s="33" t="s">
        <v>34</v>
      </c>
      <c r="D557" s="34" t="s">
        <v>2002</v>
      </c>
      <c r="E557" s="35" t="str">
        <f t="shared" si="142"/>
        <v>PRBDP'!</v>
      </c>
      <c r="F557" s="34" t="str">
        <f t="shared" si="143"/>
        <v>C:\Users\jaime.benazar\Quorum Business Solutions\Ecopetrol Prometeo - Documents\Planning Space Implementation\3. Analysis &amp; Design\Design\FC22\DRR Jaime\Neiva CPI\[DINA TERCIARIOS_CF_SEC_New_27-Mar-2024.xlsx]D-PRBDP'!</v>
      </c>
      <c r="G557" s="32" t="s">
        <v>102</v>
      </c>
      <c r="H557" s="33"/>
      <c r="I557" s="33"/>
      <c r="J557" s="37"/>
    </row>
    <row r="558" spans="1:10" x14ac:dyDescent="0.3">
      <c r="A558" s="32" t="s">
        <v>17</v>
      </c>
      <c r="B558" s="32">
        <f t="shared" si="144"/>
        <v>2047</v>
      </c>
      <c r="C558" s="33" t="s">
        <v>34</v>
      </c>
      <c r="D558" s="34" t="s">
        <v>2002</v>
      </c>
      <c r="E558" s="35" t="str">
        <f t="shared" si="142"/>
        <v>PRBDP'!</v>
      </c>
      <c r="F558" s="34" t="str">
        <f t="shared" si="143"/>
        <v>C:\Users\jaime.benazar\Quorum Business Solutions\Ecopetrol Prometeo - Documents\Planning Space Implementation\3. Analysis &amp; Design\Design\FC22\DRR Jaime\Neiva CPI\[DINA TERCIARIOS_CF_SEC_New_27-Mar-2024.xlsx]D-PRBDP'!</v>
      </c>
      <c r="G558" s="32" t="s">
        <v>102</v>
      </c>
      <c r="H558" s="33"/>
      <c r="I558" s="33"/>
      <c r="J558" s="37"/>
    </row>
    <row r="559" spans="1:10" x14ac:dyDescent="0.3">
      <c r="A559" s="32" t="s">
        <v>17</v>
      </c>
      <c r="B559" s="32">
        <f t="shared" si="144"/>
        <v>2048</v>
      </c>
      <c r="C559" s="33" t="s">
        <v>34</v>
      </c>
      <c r="D559" s="34" t="s">
        <v>2002</v>
      </c>
      <c r="E559" s="35" t="str">
        <f t="shared" si="142"/>
        <v>PRBDP'!</v>
      </c>
      <c r="F559" s="34" t="str">
        <f t="shared" si="143"/>
        <v>C:\Users\jaime.benazar\Quorum Business Solutions\Ecopetrol Prometeo - Documents\Planning Space Implementation\3. Analysis &amp; Design\Design\FC22\DRR Jaime\Neiva CPI\[DINA TERCIARIOS_CF_SEC_New_27-Mar-2024.xlsx]D-PRBDP'!</v>
      </c>
      <c r="G559" s="32" t="s">
        <v>102</v>
      </c>
      <c r="H559" s="33"/>
      <c r="I559" s="33"/>
      <c r="J559" s="37"/>
    </row>
    <row r="560" spans="1:10" x14ac:dyDescent="0.3">
      <c r="A560" s="32" t="s">
        <v>17</v>
      </c>
      <c r="B560" s="32">
        <f t="shared" si="144"/>
        <v>2049</v>
      </c>
      <c r="C560" s="33" t="s">
        <v>34</v>
      </c>
      <c r="D560" s="34" t="s">
        <v>2002</v>
      </c>
      <c r="E560" s="35" t="str">
        <f t="shared" si="142"/>
        <v>PRBDP'!</v>
      </c>
      <c r="F560" s="34" t="str">
        <f t="shared" si="143"/>
        <v>C:\Users\jaime.benazar\Quorum Business Solutions\Ecopetrol Prometeo - Documents\Planning Space Implementation\3. Analysis &amp; Design\Design\FC22\DRR Jaime\Neiva CPI\[DINA TERCIARIOS_CF_SEC_New_27-Mar-2024.xlsx]D-PRBDP'!</v>
      </c>
      <c r="G560" s="32" t="s">
        <v>102</v>
      </c>
      <c r="H560" s="33"/>
      <c r="I560" s="33"/>
      <c r="J560" s="37"/>
    </row>
    <row r="561" spans="1:10" x14ac:dyDescent="0.3">
      <c r="A561" s="32" t="s">
        <v>17</v>
      </c>
      <c r="B561" s="32">
        <f t="shared" si="144"/>
        <v>2050</v>
      </c>
      <c r="C561" s="33" t="s">
        <v>34</v>
      </c>
      <c r="D561" s="34" t="s">
        <v>2002</v>
      </c>
      <c r="E561" s="35" t="str">
        <f t="shared" si="142"/>
        <v>PRBDP'!</v>
      </c>
      <c r="F561" s="34" t="str">
        <f t="shared" si="143"/>
        <v>C:\Users\jaime.benazar\Quorum Business Solutions\Ecopetrol Prometeo - Documents\Planning Space Implementation\3. Analysis &amp; Design\Design\FC22\DRR Jaime\Neiva CPI\[DINA TERCIARIOS_CF_SEC_New_27-Mar-2024.xlsx]D-PRBDP'!</v>
      </c>
      <c r="G561" s="32" t="s">
        <v>102</v>
      </c>
      <c r="H561" s="33"/>
      <c r="I561" s="33"/>
      <c r="J561" s="37"/>
    </row>
    <row r="562" spans="1:10" x14ac:dyDescent="0.3">
      <c r="A562" s="32" t="s">
        <v>17</v>
      </c>
      <c r="B562" s="32">
        <f t="shared" si="144"/>
        <v>2051</v>
      </c>
      <c r="C562" s="33" t="s">
        <v>34</v>
      </c>
      <c r="D562" s="34" t="s">
        <v>2002</v>
      </c>
      <c r="E562" s="35" t="str">
        <f t="shared" si="142"/>
        <v>PRBDP'!</v>
      </c>
      <c r="F562" s="34" t="str">
        <f t="shared" si="143"/>
        <v>C:\Users\jaime.benazar\Quorum Business Solutions\Ecopetrol Prometeo - Documents\Planning Space Implementation\3. Analysis &amp; Design\Design\FC22\DRR Jaime\Neiva CPI\[DINA TERCIARIOS_CF_SEC_New_27-Mar-2024.xlsx]D-PRBDP'!</v>
      </c>
      <c r="G562" s="32" t="s">
        <v>102</v>
      </c>
      <c r="H562" s="33"/>
      <c r="I562" s="33"/>
      <c r="J562" s="37"/>
    </row>
    <row r="563" spans="1:10" x14ac:dyDescent="0.3">
      <c r="A563" s="32" t="s">
        <v>17</v>
      </c>
      <c r="B563" s="32">
        <f t="shared" si="144"/>
        <v>2052</v>
      </c>
      <c r="C563" s="33" t="s">
        <v>34</v>
      </c>
      <c r="D563" s="34" t="s">
        <v>2002</v>
      </c>
      <c r="E563" s="35" t="str">
        <f t="shared" si="142"/>
        <v>PRBDP'!</v>
      </c>
      <c r="F563" s="34" t="str">
        <f t="shared" si="143"/>
        <v>C:\Users\jaime.benazar\Quorum Business Solutions\Ecopetrol Prometeo - Documents\Planning Space Implementation\3. Analysis &amp; Design\Design\FC22\DRR Jaime\Neiva CPI\[DINA TERCIARIOS_CF_SEC_New_27-Mar-2024.xlsx]D-PRBDP'!</v>
      </c>
      <c r="G563" s="32" t="s">
        <v>102</v>
      </c>
      <c r="H563" s="33"/>
      <c r="I563" s="33"/>
      <c r="J563" s="37"/>
    </row>
    <row r="564" spans="1:10" x14ac:dyDescent="0.3">
      <c r="A564" s="32" t="s">
        <v>17</v>
      </c>
      <c r="B564" s="32">
        <f t="shared" si="144"/>
        <v>2053</v>
      </c>
      <c r="C564" s="33" t="s">
        <v>34</v>
      </c>
      <c r="D564" s="34" t="s">
        <v>2002</v>
      </c>
      <c r="E564" s="35" t="str">
        <f t="shared" si="142"/>
        <v>PRBDP'!</v>
      </c>
      <c r="F564" s="34" t="str">
        <f t="shared" si="143"/>
        <v>C:\Users\jaime.benazar\Quorum Business Solutions\Ecopetrol Prometeo - Documents\Planning Space Implementation\3. Analysis &amp; Design\Design\FC22\DRR Jaime\Neiva CPI\[DINA TERCIARIOS_CF_SEC_New_27-Mar-2024.xlsx]D-PRBDP'!</v>
      </c>
      <c r="G564" s="32" t="s">
        <v>102</v>
      </c>
      <c r="H564" s="33"/>
      <c r="I564" s="33"/>
      <c r="J564" s="37"/>
    </row>
    <row r="565" spans="1:10" x14ac:dyDescent="0.3">
      <c r="A565" s="32" t="s">
        <v>17</v>
      </c>
      <c r="B565" s="32">
        <f t="shared" si="144"/>
        <v>2054</v>
      </c>
      <c r="C565" s="33" t="s">
        <v>34</v>
      </c>
      <c r="D565" s="34" t="s">
        <v>2002</v>
      </c>
      <c r="E565" s="35" t="str">
        <f t="shared" si="142"/>
        <v>PRBDP'!</v>
      </c>
      <c r="F565" s="34" t="str">
        <f t="shared" si="143"/>
        <v>C:\Users\jaime.benazar\Quorum Business Solutions\Ecopetrol Prometeo - Documents\Planning Space Implementation\3. Analysis &amp; Design\Design\FC22\DRR Jaime\Neiva CPI\[DINA TERCIARIOS_CF_SEC_New_27-Mar-2024.xlsx]D-PRBDP'!</v>
      </c>
      <c r="G565" s="32" t="s">
        <v>102</v>
      </c>
      <c r="H565" s="33"/>
      <c r="I565" s="33"/>
      <c r="J565" s="37"/>
    </row>
    <row r="566" spans="1:10" x14ac:dyDescent="0.3">
      <c r="A566" s="32" t="s">
        <v>17</v>
      </c>
      <c r="B566" s="32">
        <f t="shared" si="144"/>
        <v>2055</v>
      </c>
      <c r="C566" s="33" t="s">
        <v>34</v>
      </c>
      <c r="D566" s="34" t="s">
        <v>2002</v>
      </c>
      <c r="E566" s="35" t="str">
        <f t="shared" si="142"/>
        <v>PRBDP'!</v>
      </c>
      <c r="F566" s="34" t="str">
        <f t="shared" si="143"/>
        <v>C:\Users\jaime.benazar\Quorum Business Solutions\Ecopetrol Prometeo - Documents\Planning Space Implementation\3. Analysis &amp; Design\Design\FC22\DRR Jaime\Neiva CPI\[DINA TERCIARIOS_CF_SEC_New_27-Mar-2024.xlsx]D-PRBDP'!</v>
      </c>
      <c r="G566" s="32" t="s">
        <v>102</v>
      </c>
      <c r="H566" s="33"/>
      <c r="I566" s="33"/>
      <c r="J566" s="37"/>
    </row>
    <row r="567" spans="1:10" x14ac:dyDescent="0.3">
      <c r="A567" s="32" t="s">
        <v>17</v>
      </c>
      <c r="B567" s="32">
        <f t="shared" si="144"/>
        <v>2056</v>
      </c>
      <c r="C567" s="33" t="s">
        <v>34</v>
      </c>
      <c r="D567" s="34" t="s">
        <v>2002</v>
      </c>
      <c r="E567" s="35" t="str">
        <f t="shared" si="142"/>
        <v>PRBDP'!</v>
      </c>
      <c r="F567" s="34" t="str">
        <f t="shared" si="143"/>
        <v>C:\Users\jaime.benazar\Quorum Business Solutions\Ecopetrol Prometeo - Documents\Planning Space Implementation\3. Analysis &amp; Design\Design\FC22\DRR Jaime\Neiva CPI\[DINA TERCIARIOS_CF_SEC_New_27-Mar-2024.xlsx]D-PRBDP'!</v>
      </c>
      <c r="G567" s="32" t="s">
        <v>102</v>
      </c>
      <c r="H567" s="33"/>
      <c r="I567" s="33"/>
      <c r="J567" s="37"/>
    </row>
    <row r="568" spans="1:10" x14ac:dyDescent="0.3">
      <c r="A568" s="32" t="s">
        <v>17</v>
      </c>
      <c r="B568" s="32">
        <f t="shared" si="144"/>
        <v>2057</v>
      </c>
      <c r="C568" s="33" t="s">
        <v>34</v>
      </c>
      <c r="D568" s="34" t="s">
        <v>2002</v>
      </c>
      <c r="E568" s="35" t="str">
        <f t="shared" si="142"/>
        <v>PRBDP'!</v>
      </c>
      <c r="F568" s="34" t="str">
        <f t="shared" si="143"/>
        <v>C:\Users\jaime.benazar\Quorum Business Solutions\Ecopetrol Prometeo - Documents\Planning Space Implementation\3. Analysis &amp; Design\Design\FC22\DRR Jaime\Neiva CPI\[DINA TERCIARIOS_CF_SEC_New_27-Mar-2024.xlsx]D-PRBDP'!</v>
      </c>
      <c r="G568" s="32" t="s">
        <v>102</v>
      </c>
      <c r="H568" s="33"/>
      <c r="I568" s="33"/>
      <c r="J568" s="37"/>
    </row>
    <row r="569" spans="1:10" x14ac:dyDescent="0.3">
      <c r="A569" s="32" t="s">
        <v>17</v>
      </c>
      <c r="B569" s="32">
        <f t="shared" si="144"/>
        <v>2058</v>
      </c>
      <c r="C569" s="33" t="s">
        <v>34</v>
      </c>
      <c r="D569" s="34" t="s">
        <v>2002</v>
      </c>
      <c r="E569" s="35" t="str">
        <f t="shared" si="142"/>
        <v>PRBDP'!</v>
      </c>
      <c r="F569" s="34" t="str">
        <f t="shared" si="143"/>
        <v>C:\Users\jaime.benazar\Quorum Business Solutions\Ecopetrol Prometeo - Documents\Planning Space Implementation\3. Analysis &amp; Design\Design\FC22\DRR Jaime\Neiva CPI\[DINA TERCIARIOS_CF_SEC_New_27-Mar-2024.xlsx]D-PRBDP'!</v>
      </c>
      <c r="G569" s="32" t="s">
        <v>102</v>
      </c>
      <c r="H569" s="33"/>
      <c r="I569" s="33"/>
      <c r="J569" s="37"/>
    </row>
    <row r="570" spans="1:10" x14ac:dyDescent="0.3">
      <c r="A570" s="32" t="s">
        <v>17</v>
      </c>
      <c r="B570" s="32">
        <f t="shared" si="144"/>
        <v>2059</v>
      </c>
      <c r="C570" s="33" t="s">
        <v>34</v>
      </c>
      <c r="D570" s="34" t="s">
        <v>2002</v>
      </c>
      <c r="E570" s="35" t="str">
        <f t="shared" si="142"/>
        <v>PRBDP'!</v>
      </c>
      <c r="F570" s="34" t="str">
        <f t="shared" si="143"/>
        <v>C:\Users\jaime.benazar\Quorum Business Solutions\Ecopetrol Prometeo - Documents\Planning Space Implementation\3. Analysis &amp; Design\Design\FC22\DRR Jaime\Neiva CPI\[DINA TERCIARIOS_CF_SEC_New_27-Mar-2024.xlsx]D-PRBDP'!</v>
      </c>
      <c r="G570" s="32" t="s">
        <v>102</v>
      </c>
      <c r="H570" s="33"/>
      <c r="I570" s="33"/>
      <c r="J570" s="37"/>
    </row>
    <row r="571" spans="1:10" x14ac:dyDescent="0.3">
      <c r="A571" s="32" t="s">
        <v>26</v>
      </c>
      <c r="B571" s="32"/>
      <c r="C571" s="33" t="s">
        <v>34</v>
      </c>
      <c r="D571" s="34"/>
      <c r="E571" s="35"/>
      <c r="F571" s="34"/>
      <c r="G571" s="32"/>
      <c r="H571" s="33"/>
      <c r="I571" s="33"/>
      <c r="J571" s="33"/>
    </row>
    <row r="572" spans="1:10" x14ac:dyDescent="0.3">
      <c r="A572" s="32" t="s">
        <v>18</v>
      </c>
      <c r="B572" s="32">
        <v>2023</v>
      </c>
      <c r="C572" s="33" t="s">
        <v>34</v>
      </c>
      <c r="D572" s="34" t="s">
        <v>2002</v>
      </c>
      <c r="E572" s="35" t="str">
        <f t="shared" ref="E572:E592" si="145">_xlfn.CONCAT(A572,"'!")</f>
        <v>PRBNP'!</v>
      </c>
      <c r="F572" s="34" t="str">
        <f t="shared" ref="F572:F592" si="146">_xlfn.CONCAT(D572:E572)</f>
        <v>C:\Users\jaime.benazar\Quorum Business Solutions\Ecopetrol Prometeo - Documents\Planning Space Implementation\3. Analysis &amp; Design\Design\FC22\DRR Jaime\Neiva CPI\[DINA TERCIARIOS_CF_SEC_New_27-Mar-2024.xlsx]D-PRBNP'!</v>
      </c>
      <c r="G572" s="32" t="s">
        <v>102</v>
      </c>
      <c r="H572" s="33"/>
      <c r="I572" s="33"/>
      <c r="J572" s="37"/>
    </row>
    <row r="573" spans="1:10" x14ac:dyDescent="0.3">
      <c r="A573" s="32" t="s">
        <v>18</v>
      </c>
      <c r="B573" s="32">
        <f>+B572+1</f>
        <v>2024</v>
      </c>
      <c r="C573" s="33" t="s">
        <v>34</v>
      </c>
      <c r="D573" s="34" t="s">
        <v>2002</v>
      </c>
      <c r="E573" s="35" t="str">
        <f t="shared" si="145"/>
        <v>PRBNP'!</v>
      </c>
      <c r="F573" s="34" t="str">
        <f t="shared" si="146"/>
        <v>C:\Users\jaime.benazar\Quorum Business Solutions\Ecopetrol Prometeo - Documents\Planning Space Implementation\3. Analysis &amp; Design\Design\FC22\DRR Jaime\Neiva CPI\[DINA TERCIARIOS_CF_SEC_New_27-Mar-2024.xlsx]D-PRBNP'!</v>
      </c>
      <c r="G573" s="32" t="s">
        <v>102</v>
      </c>
      <c r="H573" s="33"/>
      <c r="I573" s="33"/>
      <c r="J573" s="37"/>
    </row>
    <row r="574" spans="1:10" x14ac:dyDescent="0.3">
      <c r="A574" s="32" t="s">
        <v>18</v>
      </c>
      <c r="B574" s="32">
        <f t="shared" ref="B574:B585" si="147">+B573+1</f>
        <v>2025</v>
      </c>
      <c r="C574" s="33" t="s">
        <v>34</v>
      </c>
      <c r="D574" s="34" t="s">
        <v>2002</v>
      </c>
      <c r="E574" s="35" t="str">
        <f t="shared" si="145"/>
        <v>PRBNP'!</v>
      </c>
      <c r="F574" s="34" t="str">
        <f t="shared" si="146"/>
        <v>C:\Users\jaime.benazar\Quorum Business Solutions\Ecopetrol Prometeo - Documents\Planning Space Implementation\3. Analysis &amp; Design\Design\FC22\DRR Jaime\Neiva CPI\[DINA TERCIARIOS_CF_SEC_New_27-Mar-2024.xlsx]D-PRBNP'!</v>
      </c>
      <c r="G574" s="32" t="s">
        <v>102</v>
      </c>
      <c r="H574" s="33"/>
      <c r="I574" s="33"/>
      <c r="J574" s="37"/>
    </row>
    <row r="575" spans="1:10" x14ac:dyDescent="0.3">
      <c r="A575" s="32" t="s">
        <v>18</v>
      </c>
      <c r="B575" s="32">
        <f t="shared" si="147"/>
        <v>2026</v>
      </c>
      <c r="C575" s="33" t="s">
        <v>34</v>
      </c>
      <c r="D575" s="34" t="s">
        <v>2002</v>
      </c>
      <c r="E575" s="35" t="str">
        <f t="shared" si="145"/>
        <v>PRBNP'!</v>
      </c>
      <c r="F575" s="34" t="str">
        <f t="shared" si="146"/>
        <v>C:\Users\jaime.benazar\Quorum Business Solutions\Ecopetrol Prometeo - Documents\Planning Space Implementation\3. Analysis &amp; Design\Design\FC22\DRR Jaime\Neiva CPI\[DINA TERCIARIOS_CF_SEC_New_27-Mar-2024.xlsx]D-PRBNP'!</v>
      </c>
      <c r="G575" s="32" t="s">
        <v>102</v>
      </c>
      <c r="H575" s="33"/>
      <c r="I575" s="33"/>
      <c r="J575" s="37"/>
    </row>
    <row r="576" spans="1:10" x14ac:dyDescent="0.3">
      <c r="A576" s="32" t="s">
        <v>18</v>
      </c>
      <c r="B576" s="32">
        <f t="shared" si="147"/>
        <v>2027</v>
      </c>
      <c r="C576" s="33" t="s">
        <v>34</v>
      </c>
      <c r="D576" s="34" t="s">
        <v>2002</v>
      </c>
      <c r="E576" s="35" t="str">
        <f t="shared" si="145"/>
        <v>PRBNP'!</v>
      </c>
      <c r="F576" s="34" t="str">
        <f t="shared" si="146"/>
        <v>C:\Users\jaime.benazar\Quorum Business Solutions\Ecopetrol Prometeo - Documents\Planning Space Implementation\3. Analysis &amp; Design\Design\FC22\DRR Jaime\Neiva CPI\[DINA TERCIARIOS_CF_SEC_New_27-Mar-2024.xlsx]D-PRBNP'!</v>
      </c>
      <c r="G576" s="32" t="s">
        <v>102</v>
      </c>
      <c r="H576" s="33"/>
      <c r="I576" s="33"/>
      <c r="J576" s="37"/>
    </row>
    <row r="577" spans="1:10" x14ac:dyDescent="0.3">
      <c r="A577" s="32" t="s">
        <v>18</v>
      </c>
      <c r="B577" s="32">
        <f t="shared" si="147"/>
        <v>2028</v>
      </c>
      <c r="C577" s="33" t="s">
        <v>34</v>
      </c>
      <c r="D577" s="34" t="s">
        <v>2002</v>
      </c>
      <c r="E577" s="35" t="str">
        <f t="shared" si="145"/>
        <v>PRBNP'!</v>
      </c>
      <c r="F577" s="34" t="str">
        <f t="shared" si="146"/>
        <v>C:\Users\jaime.benazar\Quorum Business Solutions\Ecopetrol Prometeo - Documents\Planning Space Implementation\3. Analysis &amp; Design\Design\FC22\DRR Jaime\Neiva CPI\[DINA TERCIARIOS_CF_SEC_New_27-Mar-2024.xlsx]D-PRBNP'!</v>
      </c>
      <c r="G577" s="32" t="s">
        <v>102</v>
      </c>
      <c r="H577" s="33"/>
      <c r="I577" s="33"/>
      <c r="J577" s="37"/>
    </row>
    <row r="578" spans="1:10" x14ac:dyDescent="0.3">
      <c r="A578" s="32" t="s">
        <v>18</v>
      </c>
      <c r="B578" s="32">
        <f t="shared" si="147"/>
        <v>2029</v>
      </c>
      <c r="C578" s="33" t="s">
        <v>34</v>
      </c>
      <c r="D578" s="34" t="s">
        <v>2002</v>
      </c>
      <c r="E578" s="35" t="str">
        <f t="shared" si="145"/>
        <v>PRBNP'!</v>
      </c>
      <c r="F578" s="34" t="str">
        <f t="shared" si="146"/>
        <v>C:\Users\jaime.benazar\Quorum Business Solutions\Ecopetrol Prometeo - Documents\Planning Space Implementation\3. Analysis &amp; Design\Design\FC22\DRR Jaime\Neiva CPI\[DINA TERCIARIOS_CF_SEC_New_27-Mar-2024.xlsx]D-PRBNP'!</v>
      </c>
      <c r="G578" s="32" t="s">
        <v>102</v>
      </c>
      <c r="H578" s="33"/>
      <c r="I578" s="33"/>
      <c r="J578" s="37"/>
    </row>
    <row r="579" spans="1:10" x14ac:dyDescent="0.3">
      <c r="A579" s="32" t="s">
        <v>18</v>
      </c>
      <c r="B579" s="32">
        <f t="shared" si="147"/>
        <v>2030</v>
      </c>
      <c r="C579" s="33" t="s">
        <v>34</v>
      </c>
      <c r="D579" s="34" t="s">
        <v>2002</v>
      </c>
      <c r="E579" s="35" t="str">
        <f t="shared" si="145"/>
        <v>PRBNP'!</v>
      </c>
      <c r="F579" s="34" t="str">
        <f t="shared" si="146"/>
        <v>C:\Users\jaime.benazar\Quorum Business Solutions\Ecopetrol Prometeo - Documents\Planning Space Implementation\3. Analysis &amp; Design\Design\FC22\DRR Jaime\Neiva CPI\[DINA TERCIARIOS_CF_SEC_New_27-Mar-2024.xlsx]D-PRBNP'!</v>
      </c>
      <c r="G579" s="32" t="s">
        <v>102</v>
      </c>
      <c r="H579" s="33"/>
      <c r="I579" s="33"/>
      <c r="J579" s="37"/>
    </row>
    <row r="580" spans="1:10" x14ac:dyDescent="0.3">
      <c r="A580" s="32" t="s">
        <v>18</v>
      </c>
      <c r="B580" s="32">
        <f t="shared" si="147"/>
        <v>2031</v>
      </c>
      <c r="C580" s="33" t="s">
        <v>34</v>
      </c>
      <c r="D580" s="34" t="s">
        <v>2002</v>
      </c>
      <c r="E580" s="35" t="str">
        <f t="shared" si="145"/>
        <v>PRBNP'!</v>
      </c>
      <c r="F580" s="34" t="str">
        <f t="shared" si="146"/>
        <v>C:\Users\jaime.benazar\Quorum Business Solutions\Ecopetrol Prometeo - Documents\Planning Space Implementation\3. Analysis &amp; Design\Design\FC22\DRR Jaime\Neiva CPI\[DINA TERCIARIOS_CF_SEC_New_27-Mar-2024.xlsx]D-PRBNP'!</v>
      </c>
      <c r="G580" s="32" t="s">
        <v>102</v>
      </c>
      <c r="H580" s="33"/>
      <c r="I580" s="33"/>
      <c r="J580" s="37"/>
    </row>
    <row r="581" spans="1:10" x14ac:dyDescent="0.3">
      <c r="A581" s="32" t="s">
        <v>18</v>
      </c>
      <c r="B581" s="32">
        <f t="shared" si="147"/>
        <v>2032</v>
      </c>
      <c r="C581" s="33" t="s">
        <v>34</v>
      </c>
      <c r="D581" s="34" t="s">
        <v>2002</v>
      </c>
      <c r="E581" s="35" t="str">
        <f t="shared" si="145"/>
        <v>PRBNP'!</v>
      </c>
      <c r="F581" s="34" t="str">
        <f t="shared" si="146"/>
        <v>C:\Users\jaime.benazar\Quorum Business Solutions\Ecopetrol Prometeo - Documents\Planning Space Implementation\3. Analysis &amp; Design\Design\FC22\DRR Jaime\Neiva CPI\[DINA TERCIARIOS_CF_SEC_New_27-Mar-2024.xlsx]D-PRBNP'!</v>
      </c>
      <c r="G581" s="32" t="s">
        <v>102</v>
      </c>
      <c r="H581" s="33"/>
      <c r="I581" s="33"/>
      <c r="J581" s="37"/>
    </row>
    <row r="582" spans="1:10" x14ac:dyDescent="0.3">
      <c r="A582" s="32" t="s">
        <v>18</v>
      </c>
      <c r="B582" s="32">
        <f t="shared" si="147"/>
        <v>2033</v>
      </c>
      <c r="C582" s="33" t="s">
        <v>34</v>
      </c>
      <c r="D582" s="34" t="s">
        <v>2002</v>
      </c>
      <c r="E582" s="35" t="str">
        <f t="shared" si="145"/>
        <v>PRBNP'!</v>
      </c>
      <c r="F582" s="34" t="str">
        <f t="shared" si="146"/>
        <v>C:\Users\jaime.benazar\Quorum Business Solutions\Ecopetrol Prometeo - Documents\Planning Space Implementation\3. Analysis &amp; Design\Design\FC22\DRR Jaime\Neiva CPI\[DINA TERCIARIOS_CF_SEC_New_27-Mar-2024.xlsx]D-PRBNP'!</v>
      </c>
      <c r="G582" s="32" t="s">
        <v>102</v>
      </c>
      <c r="H582" s="33"/>
      <c r="I582" s="33"/>
      <c r="J582" s="37"/>
    </row>
    <row r="583" spans="1:10" x14ac:dyDescent="0.3">
      <c r="A583" s="32" t="s">
        <v>18</v>
      </c>
      <c r="B583" s="32">
        <f t="shared" si="147"/>
        <v>2034</v>
      </c>
      <c r="C583" s="33" t="s">
        <v>34</v>
      </c>
      <c r="D583" s="34" t="s">
        <v>2002</v>
      </c>
      <c r="E583" s="35" t="str">
        <f t="shared" si="145"/>
        <v>PRBNP'!</v>
      </c>
      <c r="F583" s="34" t="str">
        <f t="shared" si="146"/>
        <v>C:\Users\jaime.benazar\Quorum Business Solutions\Ecopetrol Prometeo - Documents\Planning Space Implementation\3. Analysis &amp; Design\Design\FC22\DRR Jaime\Neiva CPI\[DINA TERCIARIOS_CF_SEC_New_27-Mar-2024.xlsx]D-PRBNP'!</v>
      </c>
      <c r="G583" s="32" t="s">
        <v>102</v>
      </c>
      <c r="H583" s="33"/>
      <c r="I583" s="33"/>
      <c r="J583" s="37"/>
    </row>
    <row r="584" spans="1:10" x14ac:dyDescent="0.3">
      <c r="A584" s="32" t="s">
        <v>18</v>
      </c>
      <c r="B584" s="32">
        <f t="shared" si="147"/>
        <v>2035</v>
      </c>
      <c r="C584" s="33" t="s">
        <v>34</v>
      </c>
      <c r="D584" s="34" t="s">
        <v>2002</v>
      </c>
      <c r="E584" s="35" t="str">
        <f t="shared" si="145"/>
        <v>PRBNP'!</v>
      </c>
      <c r="F584" s="34" t="str">
        <f t="shared" si="146"/>
        <v>C:\Users\jaime.benazar\Quorum Business Solutions\Ecopetrol Prometeo - Documents\Planning Space Implementation\3. Analysis &amp; Design\Design\FC22\DRR Jaime\Neiva CPI\[DINA TERCIARIOS_CF_SEC_New_27-Mar-2024.xlsx]D-PRBNP'!</v>
      </c>
      <c r="G584" s="32" t="s">
        <v>102</v>
      </c>
      <c r="H584" s="33"/>
      <c r="I584" s="33"/>
      <c r="J584" s="37"/>
    </row>
    <row r="585" spans="1:10" x14ac:dyDescent="0.3">
      <c r="A585" s="32" t="s">
        <v>18</v>
      </c>
      <c r="B585" s="32">
        <f t="shared" si="147"/>
        <v>2036</v>
      </c>
      <c r="C585" s="33" t="s">
        <v>34</v>
      </c>
      <c r="D585" s="34" t="s">
        <v>2002</v>
      </c>
      <c r="E585" s="35" t="str">
        <f t="shared" si="145"/>
        <v>PRBNP'!</v>
      </c>
      <c r="F585" s="34" t="str">
        <f t="shared" si="146"/>
        <v>C:\Users\jaime.benazar\Quorum Business Solutions\Ecopetrol Prometeo - Documents\Planning Space Implementation\3. Analysis &amp; Design\Design\FC22\DRR Jaime\Neiva CPI\[DINA TERCIARIOS_CF_SEC_New_27-Mar-2024.xlsx]D-PRBNP'!</v>
      </c>
      <c r="G585" s="32" t="s">
        <v>102</v>
      </c>
      <c r="H585" s="33"/>
      <c r="I585" s="33"/>
      <c r="J585" s="37"/>
    </row>
    <row r="586" spans="1:10" x14ac:dyDescent="0.3">
      <c r="A586" s="32" t="s">
        <v>18</v>
      </c>
      <c r="B586" s="32">
        <f>+B585+1</f>
        <v>2037</v>
      </c>
      <c r="C586" s="33" t="s">
        <v>34</v>
      </c>
      <c r="D586" s="34" t="s">
        <v>2002</v>
      </c>
      <c r="E586" s="35" t="str">
        <f t="shared" si="145"/>
        <v>PRBNP'!</v>
      </c>
      <c r="F586" s="34" t="str">
        <f t="shared" si="146"/>
        <v>C:\Users\jaime.benazar\Quorum Business Solutions\Ecopetrol Prometeo - Documents\Planning Space Implementation\3. Analysis &amp; Design\Design\FC22\DRR Jaime\Neiva CPI\[DINA TERCIARIOS_CF_SEC_New_27-Mar-2024.xlsx]D-PRBNP'!</v>
      </c>
      <c r="G586" s="32" t="s">
        <v>102</v>
      </c>
      <c r="H586" s="33"/>
      <c r="I586" s="33"/>
      <c r="J586" s="37"/>
    </row>
    <row r="587" spans="1:10" x14ac:dyDescent="0.3">
      <c r="A587" s="32" t="s">
        <v>18</v>
      </c>
      <c r="B587" s="32">
        <f t="shared" ref="B587:B589" si="148">+B586+1</f>
        <v>2038</v>
      </c>
      <c r="C587" s="33" t="s">
        <v>34</v>
      </c>
      <c r="D587" s="34" t="s">
        <v>2002</v>
      </c>
      <c r="E587" s="35" t="str">
        <f t="shared" si="145"/>
        <v>PRBNP'!</v>
      </c>
      <c r="F587" s="34" t="str">
        <f t="shared" si="146"/>
        <v>C:\Users\jaime.benazar\Quorum Business Solutions\Ecopetrol Prometeo - Documents\Planning Space Implementation\3. Analysis &amp; Design\Design\FC22\DRR Jaime\Neiva CPI\[DINA TERCIARIOS_CF_SEC_New_27-Mar-2024.xlsx]D-PRBNP'!</v>
      </c>
      <c r="G587" s="32" t="s">
        <v>102</v>
      </c>
      <c r="H587" s="33"/>
      <c r="I587" s="33"/>
      <c r="J587" s="37"/>
    </row>
    <row r="588" spans="1:10" x14ac:dyDescent="0.3">
      <c r="A588" s="32" t="s">
        <v>18</v>
      </c>
      <c r="B588" s="32">
        <f t="shared" si="148"/>
        <v>2039</v>
      </c>
      <c r="C588" s="33" t="s">
        <v>34</v>
      </c>
      <c r="D588" s="34" t="s">
        <v>2002</v>
      </c>
      <c r="E588" s="35" t="str">
        <f t="shared" si="145"/>
        <v>PRBNP'!</v>
      </c>
      <c r="F588" s="34" t="str">
        <f t="shared" si="146"/>
        <v>C:\Users\jaime.benazar\Quorum Business Solutions\Ecopetrol Prometeo - Documents\Planning Space Implementation\3. Analysis &amp; Design\Design\FC22\DRR Jaime\Neiva CPI\[DINA TERCIARIOS_CF_SEC_New_27-Mar-2024.xlsx]D-PRBNP'!</v>
      </c>
      <c r="G588" s="32" t="s">
        <v>102</v>
      </c>
      <c r="H588" s="33"/>
      <c r="I588" s="33"/>
      <c r="J588" s="37"/>
    </row>
    <row r="589" spans="1:10" x14ac:dyDescent="0.3">
      <c r="A589" s="32" t="s">
        <v>18</v>
      </c>
      <c r="B589" s="32">
        <f t="shared" si="148"/>
        <v>2040</v>
      </c>
      <c r="C589" s="33" t="s">
        <v>34</v>
      </c>
      <c r="D589" s="34" t="s">
        <v>2002</v>
      </c>
      <c r="E589" s="35" t="str">
        <f t="shared" si="145"/>
        <v>PRBNP'!</v>
      </c>
      <c r="F589" s="34" t="str">
        <f t="shared" si="146"/>
        <v>C:\Users\jaime.benazar\Quorum Business Solutions\Ecopetrol Prometeo - Documents\Planning Space Implementation\3. Analysis &amp; Design\Design\FC22\DRR Jaime\Neiva CPI\[DINA TERCIARIOS_CF_SEC_New_27-Mar-2024.xlsx]D-PRBNP'!</v>
      </c>
      <c r="G589" s="32" t="s">
        <v>102</v>
      </c>
      <c r="H589" s="33"/>
      <c r="I589" s="33"/>
      <c r="J589" s="37"/>
    </row>
    <row r="590" spans="1:10" x14ac:dyDescent="0.3">
      <c r="A590" s="32" t="s">
        <v>18</v>
      </c>
      <c r="B590" s="32">
        <f>+B589+1</f>
        <v>2041</v>
      </c>
      <c r="C590" s="33" t="s">
        <v>34</v>
      </c>
      <c r="D590" s="34" t="s">
        <v>2002</v>
      </c>
      <c r="E590" s="35" t="str">
        <f t="shared" si="145"/>
        <v>PRBNP'!</v>
      </c>
      <c r="F590" s="34" t="str">
        <f t="shared" si="146"/>
        <v>C:\Users\jaime.benazar\Quorum Business Solutions\Ecopetrol Prometeo - Documents\Planning Space Implementation\3. Analysis &amp; Design\Design\FC22\DRR Jaime\Neiva CPI\[DINA TERCIARIOS_CF_SEC_New_27-Mar-2024.xlsx]D-PRBNP'!</v>
      </c>
      <c r="G590" s="32" t="s">
        <v>102</v>
      </c>
      <c r="H590" s="33"/>
      <c r="I590" s="33"/>
      <c r="J590" s="37"/>
    </row>
    <row r="591" spans="1:10" x14ac:dyDescent="0.3">
      <c r="A591" s="32" t="s">
        <v>18</v>
      </c>
      <c r="B591" s="32">
        <f t="shared" ref="B591:B592" si="149">+B590+1</f>
        <v>2042</v>
      </c>
      <c r="C591" s="33" t="s">
        <v>34</v>
      </c>
      <c r="D591" s="34" t="s">
        <v>2002</v>
      </c>
      <c r="E591" s="35" t="str">
        <f t="shared" si="145"/>
        <v>PRBNP'!</v>
      </c>
      <c r="F591" s="34" t="str">
        <f t="shared" si="146"/>
        <v>C:\Users\jaime.benazar\Quorum Business Solutions\Ecopetrol Prometeo - Documents\Planning Space Implementation\3. Analysis &amp; Design\Design\FC22\DRR Jaime\Neiva CPI\[DINA TERCIARIOS_CF_SEC_New_27-Mar-2024.xlsx]D-PRBNP'!</v>
      </c>
      <c r="G591" s="32" t="s">
        <v>102</v>
      </c>
      <c r="H591" s="33"/>
      <c r="I591" s="33"/>
      <c r="J591" s="37"/>
    </row>
    <row r="592" spans="1:10" x14ac:dyDescent="0.3">
      <c r="A592" s="32" t="s">
        <v>18</v>
      </c>
      <c r="B592" s="32">
        <f t="shared" si="149"/>
        <v>2043</v>
      </c>
      <c r="C592" s="33" t="s">
        <v>34</v>
      </c>
      <c r="D592" s="34" t="s">
        <v>2002</v>
      </c>
      <c r="E592" s="35" t="str">
        <f t="shared" si="145"/>
        <v>PRBNP'!</v>
      </c>
      <c r="F592" s="34" t="str">
        <f t="shared" si="146"/>
        <v>C:\Users\jaime.benazar\Quorum Business Solutions\Ecopetrol Prometeo - Documents\Planning Space Implementation\3. Analysis &amp; Design\Design\FC22\DRR Jaime\Neiva CPI\[DINA TERCIARIOS_CF_SEC_New_27-Mar-2024.xlsx]D-PRBNP'!</v>
      </c>
      <c r="G592" s="32" t="s">
        <v>102</v>
      </c>
      <c r="H592" s="33"/>
      <c r="I592" s="33"/>
      <c r="J592" s="37"/>
    </row>
    <row r="593" spans="1:10" x14ac:dyDescent="0.3">
      <c r="A593" s="32" t="s">
        <v>18</v>
      </c>
      <c r="B593" s="32">
        <f>+B592+1</f>
        <v>2044</v>
      </c>
      <c r="C593" s="33" t="s">
        <v>34</v>
      </c>
      <c r="D593" s="34" t="s">
        <v>2002</v>
      </c>
      <c r="E593" s="35" t="str">
        <f t="shared" ref="E593:E608" si="150">_xlfn.CONCAT(A593,"'!")</f>
        <v>PRBNP'!</v>
      </c>
      <c r="F593" s="34" t="str">
        <f t="shared" ref="F593:F608" si="151">_xlfn.CONCAT(D593:E593)</f>
        <v>C:\Users\jaime.benazar\Quorum Business Solutions\Ecopetrol Prometeo - Documents\Planning Space Implementation\3. Analysis &amp; Design\Design\FC22\DRR Jaime\Neiva CPI\[DINA TERCIARIOS_CF_SEC_New_27-Mar-2024.xlsx]D-PRBNP'!</v>
      </c>
      <c r="G593" s="32" t="s">
        <v>102</v>
      </c>
      <c r="H593" s="33"/>
      <c r="I593" s="33"/>
      <c r="J593" s="37"/>
    </row>
    <row r="594" spans="1:10" x14ac:dyDescent="0.3">
      <c r="A594" s="32" t="s">
        <v>18</v>
      </c>
      <c r="B594" s="32">
        <f t="shared" ref="B594:B608" si="152">+B593+1</f>
        <v>2045</v>
      </c>
      <c r="C594" s="33" t="s">
        <v>34</v>
      </c>
      <c r="D594" s="34" t="s">
        <v>2002</v>
      </c>
      <c r="E594" s="35" t="str">
        <f t="shared" si="150"/>
        <v>PRBNP'!</v>
      </c>
      <c r="F594" s="34" t="str">
        <f t="shared" si="151"/>
        <v>C:\Users\jaime.benazar\Quorum Business Solutions\Ecopetrol Prometeo - Documents\Planning Space Implementation\3. Analysis &amp; Design\Design\FC22\DRR Jaime\Neiva CPI\[DINA TERCIARIOS_CF_SEC_New_27-Mar-2024.xlsx]D-PRBNP'!</v>
      </c>
      <c r="G594" s="32" t="s">
        <v>102</v>
      </c>
      <c r="H594" s="33"/>
      <c r="I594" s="33"/>
      <c r="J594" s="37"/>
    </row>
    <row r="595" spans="1:10" x14ac:dyDescent="0.3">
      <c r="A595" s="32" t="s">
        <v>18</v>
      </c>
      <c r="B595" s="32">
        <f t="shared" si="152"/>
        <v>2046</v>
      </c>
      <c r="C595" s="33" t="s">
        <v>34</v>
      </c>
      <c r="D595" s="34" t="s">
        <v>2002</v>
      </c>
      <c r="E595" s="35" t="str">
        <f t="shared" si="150"/>
        <v>PRBNP'!</v>
      </c>
      <c r="F595" s="34" t="str">
        <f t="shared" si="151"/>
        <v>C:\Users\jaime.benazar\Quorum Business Solutions\Ecopetrol Prometeo - Documents\Planning Space Implementation\3. Analysis &amp; Design\Design\FC22\DRR Jaime\Neiva CPI\[DINA TERCIARIOS_CF_SEC_New_27-Mar-2024.xlsx]D-PRBNP'!</v>
      </c>
      <c r="G595" s="32" t="s">
        <v>102</v>
      </c>
      <c r="H595" s="33"/>
      <c r="I595" s="33"/>
      <c r="J595" s="37"/>
    </row>
    <row r="596" spans="1:10" x14ac:dyDescent="0.3">
      <c r="A596" s="32" t="s">
        <v>18</v>
      </c>
      <c r="B596" s="32">
        <f t="shared" si="152"/>
        <v>2047</v>
      </c>
      <c r="C596" s="33" t="s">
        <v>34</v>
      </c>
      <c r="D596" s="34" t="s">
        <v>2002</v>
      </c>
      <c r="E596" s="35" t="str">
        <f t="shared" si="150"/>
        <v>PRBNP'!</v>
      </c>
      <c r="F596" s="34" t="str">
        <f t="shared" si="151"/>
        <v>C:\Users\jaime.benazar\Quorum Business Solutions\Ecopetrol Prometeo - Documents\Planning Space Implementation\3. Analysis &amp; Design\Design\FC22\DRR Jaime\Neiva CPI\[DINA TERCIARIOS_CF_SEC_New_27-Mar-2024.xlsx]D-PRBNP'!</v>
      </c>
      <c r="G596" s="32" t="s">
        <v>102</v>
      </c>
      <c r="H596" s="33"/>
      <c r="I596" s="33"/>
      <c r="J596" s="37"/>
    </row>
    <row r="597" spans="1:10" x14ac:dyDescent="0.3">
      <c r="A597" s="32" t="s">
        <v>18</v>
      </c>
      <c r="B597" s="32">
        <f t="shared" si="152"/>
        <v>2048</v>
      </c>
      <c r="C597" s="33" t="s">
        <v>34</v>
      </c>
      <c r="D597" s="34" t="s">
        <v>2002</v>
      </c>
      <c r="E597" s="35" t="str">
        <f t="shared" si="150"/>
        <v>PRBNP'!</v>
      </c>
      <c r="F597" s="34" t="str">
        <f t="shared" si="151"/>
        <v>C:\Users\jaime.benazar\Quorum Business Solutions\Ecopetrol Prometeo - Documents\Planning Space Implementation\3. Analysis &amp; Design\Design\FC22\DRR Jaime\Neiva CPI\[DINA TERCIARIOS_CF_SEC_New_27-Mar-2024.xlsx]D-PRBNP'!</v>
      </c>
      <c r="G597" s="32" t="s">
        <v>102</v>
      </c>
      <c r="H597" s="33"/>
      <c r="I597" s="33"/>
      <c r="J597" s="37"/>
    </row>
    <row r="598" spans="1:10" x14ac:dyDescent="0.3">
      <c r="A598" s="32" t="s">
        <v>18</v>
      </c>
      <c r="B598" s="32">
        <f t="shared" si="152"/>
        <v>2049</v>
      </c>
      <c r="C598" s="33" t="s">
        <v>34</v>
      </c>
      <c r="D598" s="34" t="s">
        <v>2002</v>
      </c>
      <c r="E598" s="35" t="str">
        <f t="shared" si="150"/>
        <v>PRBNP'!</v>
      </c>
      <c r="F598" s="34" t="str">
        <f t="shared" si="151"/>
        <v>C:\Users\jaime.benazar\Quorum Business Solutions\Ecopetrol Prometeo - Documents\Planning Space Implementation\3. Analysis &amp; Design\Design\FC22\DRR Jaime\Neiva CPI\[DINA TERCIARIOS_CF_SEC_New_27-Mar-2024.xlsx]D-PRBNP'!</v>
      </c>
      <c r="G598" s="32" t="s">
        <v>102</v>
      </c>
      <c r="H598" s="33"/>
      <c r="I598" s="33"/>
      <c r="J598" s="37"/>
    </row>
    <row r="599" spans="1:10" x14ac:dyDescent="0.3">
      <c r="A599" s="32" t="s">
        <v>18</v>
      </c>
      <c r="B599" s="32">
        <f t="shared" si="152"/>
        <v>2050</v>
      </c>
      <c r="C599" s="33" t="s">
        <v>34</v>
      </c>
      <c r="D599" s="34" t="s">
        <v>2002</v>
      </c>
      <c r="E599" s="35" t="str">
        <f t="shared" si="150"/>
        <v>PRBNP'!</v>
      </c>
      <c r="F599" s="34" t="str">
        <f t="shared" si="151"/>
        <v>C:\Users\jaime.benazar\Quorum Business Solutions\Ecopetrol Prometeo - Documents\Planning Space Implementation\3. Analysis &amp; Design\Design\FC22\DRR Jaime\Neiva CPI\[DINA TERCIARIOS_CF_SEC_New_27-Mar-2024.xlsx]D-PRBNP'!</v>
      </c>
      <c r="G599" s="32" t="s">
        <v>102</v>
      </c>
      <c r="H599" s="33"/>
      <c r="I599" s="33"/>
      <c r="J599" s="37"/>
    </row>
    <row r="600" spans="1:10" x14ac:dyDescent="0.3">
      <c r="A600" s="32" t="s">
        <v>18</v>
      </c>
      <c r="B600" s="32">
        <f t="shared" si="152"/>
        <v>2051</v>
      </c>
      <c r="C600" s="33" t="s">
        <v>34</v>
      </c>
      <c r="D600" s="34" t="s">
        <v>2002</v>
      </c>
      <c r="E600" s="35" t="str">
        <f t="shared" si="150"/>
        <v>PRBNP'!</v>
      </c>
      <c r="F600" s="34" t="str">
        <f t="shared" si="151"/>
        <v>C:\Users\jaime.benazar\Quorum Business Solutions\Ecopetrol Prometeo - Documents\Planning Space Implementation\3. Analysis &amp; Design\Design\FC22\DRR Jaime\Neiva CPI\[DINA TERCIARIOS_CF_SEC_New_27-Mar-2024.xlsx]D-PRBNP'!</v>
      </c>
      <c r="G600" s="32" t="s">
        <v>102</v>
      </c>
      <c r="H600" s="33"/>
      <c r="I600" s="33"/>
      <c r="J600" s="37"/>
    </row>
    <row r="601" spans="1:10" x14ac:dyDescent="0.3">
      <c r="A601" s="32" t="s">
        <v>18</v>
      </c>
      <c r="B601" s="32">
        <f t="shared" si="152"/>
        <v>2052</v>
      </c>
      <c r="C601" s="33" t="s">
        <v>34</v>
      </c>
      <c r="D601" s="34" t="s">
        <v>2002</v>
      </c>
      <c r="E601" s="35" t="str">
        <f t="shared" si="150"/>
        <v>PRBNP'!</v>
      </c>
      <c r="F601" s="34" t="str">
        <f t="shared" si="151"/>
        <v>C:\Users\jaime.benazar\Quorum Business Solutions\Ecopetrol Prometeo - Documents\Planning Space Implementation\3. Analysis &amp; Design\Design\FC22\DRR Jaime\Neiva CPI\[DINA TERCIARIOS_CF_SEC_New_27-Mar-2024.xlsx]D-PRBNP'!</v>
      </c>
      <c r="G601" s="32" t="s">
        <v>102</v>
      </c>
      <c r="H601" s="33"/>
      <c r="I601" s="33"/>
      <c r="J601" s="37"/>
    </row>
    <row r="602" spans="1:10" x14ac:dyDescent="0.3">
      <c r="A602" s="32" t="s">
        <v>18</v>
      </c>
      <c r="B602" s="32">
        <f t="shared" si="152"/>
        <v>2053</v>
      </c>
      <c r="C602" s="33" t="s">
        <v>34</v>
      </c>
      <c r="D602" s="34" t="s">
        <v>2002</v>
      </c>
      <c r="E602" s="35" t="str">
        <f t="shared" si="150"/>
        <v>PRBNP'!</v>
      </c>
      <c r="F602" s="34" t="str">
        <f t="shared" si="151"/>
        <v>C:\Users\jaime.benazar\Quorum Business Solutions\Ecopetrol Prometeo - Documents\Planning Space Implementation\3. Analysis &amp; Design\Design\FC22\DRR Jaime\Neiva CPI\[DINA TERCIARIOS_CF_SEC_New_27-Mar-2024.xlsx]D-PRBNP'!</v>
      </c>
      <c r="G602" s="32" t="s">
        <v>102</v>
      </c>
      <c r="H602" s="33"/>
      <c r="I602" s="33"/>
      <c r="J602" s="37"/>
    </row>
    <row r="603" spans="1:10" x14ac:dyDescent="0.3">
      <c r="A603" s="32" t="s">
        <v>18</v>
      </c>
      <c r="B603" s="32">
        <f t="shared" si="152"/>
        <v>2054</v>
      </c>
      <c r="C603" s="33" t="s">
        <v>34</v>
      </c>
      <c r="D603" s="34" t="s">
        <v>2002</v>
      </c>
      <c r="E603" s="35" t="str">
        <f t="shared" si="150"/>
        <v>PRBNP'!</v>
      </c>
      <c r="F603" s="34" t="str">
        <f t="shared" si="151"/>
        <v>C:\Users\jaime.benazar\Quorum Business Solutions\Ecopetrol Prometeo - Documents\Planning Space Implementation\3. Analysis &amp; Design\Design\FC22\DRR Jaime\Neiva CPI\[DINA TERCIARIOS_CF_SEC_New_27-Mar-2024.xlsx]D-PRBNP'!</v>
      </c>
      <c r="G603" s="32" t="s">
        <v>102</v>
      </c>
      <c r="H603" s="33"/>
      <c r="I603" s="33"/>
      <c r="J603" s="37"/>
    </row>
    <row r="604" spans="1:10" x14ac:dyDescent="0.3">
      <c r="A604" s="32" t="s">
        <v>18</v>
      </c>
      <c r="B604" s="32">
        <f t="shared" si="152"/>
        <v>2055</v>
      </c>
      <c r="C604" s="33" t="s">
        <v>34</v>
      </c>
      <c r="D604" s="34" t="s">
        <v>2002</v>
      </c>
      <c r="E604" s="35" t="str">
        <f t="shared" si="150"/>
        <v>PRBNP'!</v>
      </c>
      <c r="F604" s="34" t="str">
        <f t="shared" si="151"/>
        <v>C:\Users\jaime.benazar\Quorum Business Solutions\Ecopetrol Prometeo - Documents\Planning Space Implementation\3. Analysis &amp; Design\Design\FC22\DRR Jaime\Neiva CPI\[DINA TERCIARIOS_CF_SEC_New_27-Mar-2024.xlsx]D-PRBNP'!</v>
      </c>
      <c r="G604" s="32" t="s">
        <v>102</v>
      </c>
      <c r="H604" s="33"/>
      <c r="I604" s="33"/>
      <c r="J604" s="37"/>
    </row>
    <row r="605" spans="1:10" x14ac:dyDescent="0.3">
      <c r="A605" s="32" t="s">
        <v>18</v>
      </c>
      <c r="B605" s="32">
        <f t="shared" si="152"/>
        <v>2056</v>
      </c>
      <c r="C605" s="33" t="s">
        <v>34</v>
      </c>
      <c r="D605" s="34" t="s">
        <v>2002</v>
      </c>
      <c r="E605" s="35" t="str">
        <f t="shared" si="150"/>
        <v>PRBNP'!</v>
      </c>
      <c r="F605" s="34" t="str">
        <f t="shared" si="151"/>
        <v>C:\Users\jaime.benazar\Quorum Business Solutions\Ecopetrol Prometeo - Documents\Planning Space Implementation\3. Analysis &amp; Design\Design\FC22\DRR Jaime\Neiva CPI\[DINA TERCIARIOS_CF_SEC_New_27-Mar-2024.xlsx]D-PRBNP'!</v>
      </c>
      <c r="G605" s="32" t="s">
        <v>102</v>
      </c>
      <c r="H605" s="33"/>
      <c r="I605" s="33"/>
      <c r="J605" s="37"/>
    </row>
    <row r="606" spans="1:10" x14ac:dyDescent="0.3">
      <c r="A606" s="32" t="s">
        <v>18</v>
      </c>
      <c r="B606" s="32">
        <f t="shared" si="152"/>
        <v>2057</v>
      </c>
      <c r="C606" s="33" t="s">
        <v>34</v>
      </c>
      <c r="D606" s="34" t="s">
        <v>2002</v>
      </c>
      <c r="E606" s="35" t="str">
        <f t="shared" si="150"/>
        <v>PRBNP'!</v>
      </c>
      <c r="F606" s="34" t="str">
        <f t="shared" si="151"/>
        <v>C:\Users\jaime.benazar\Quorum Business Solutions\Ecopetrol Prometeo - Documents\Planning Space Implementation\3. Analysis &amp; Design\Design\FC22\DRR Jaime\Neiva CPI\[DINA TERCIARIOS_CF_SEC_New_27-Mar-2024.xlsx]D-PRBNP'!</v>
      </c>
      <c r="G606" s="32" t="s">
        <v>102</v>
      </c>
      <c r="H606" s="33"/>
      <c r="I606" s="33"/>
      <c r="J606" s="37"/>
    </row>
    <row r="607" spans="1:10" x14ac:dyDescent="0.3">
      <c r="A607" s="32" t="s">
        <v>18</v>
      </c>
      <c r="B607" s="32">
        <f t="shared" si="152"/>
        <v>2058</v>
      </c>
      <c r="C607" s="33" t="s">
        <v>34</v>
      </c>
      <c r="D607" s="34" t="s">
        <v>2002</v>
      </c>
      <c r="E607" s="35" t="str">
        <f t="shared" si="150"/>
        <v>PRBNP'!</v>
      </c>
      <c r="F607" s="34" t="str">
        <f t="shared" si="151"/>
        <v>C:\Users\jaime.benazar\Quorum Business Solutions\Ecopetrol Prometeo - Documents\Planning Space Implementation\3. Analysis &amp; Design\Design\FC22\DRR Jaime\Neiva CPI\[DINA TERCIARIOS_CF_SEC_New_27-Mar-2024.xlsx]D-PRBNP'!</v>
      </c>
      <c r="G607" s="32" t="s">
        <v>102</v>
      </c>
      <c r="H607" s="33"/>
      <c r="I607" s="33"/>
      <c r="J607" s="37"/>
    </row>
    <row r="608" spans="1:10" x14ac:dyDescent="0.3">
      <c r="A608" s="32" t="s">
        <v>18</v>
      </c>
      <c r="B608" s="32">
        <f t="shared" si="152"/>
        <v>2059</v>
      </c>
      <c r="C608" s="33" t="s">
        <v>34</v>
      </c>
      <c r="D608" s="34" t="s">
        <v>2002</v>
      </c>
      <c r="E608" s="35" t="str">
        <f t="shared" si="150"/>
        <v>PRBNP'!</v>
      </c>
      <c r="F608" s="34" t="str">
        <f t="shared" si="151"/>
        <v>C:\Users\jaime.benazar\Quorum Business Solutions\Ecopetrol Prometeo - Documents\Planning Space Implementation\3. Analysis &amp; Design\Design\FC22\DRR Jaime\Neiva CPI\[DINA TERCIARIOS_CF_SEC_New_27-Mar-2024.xlsx]D-PRBNP'!</v>
      </c>
      <c r="G608" s="32" t="s">
        <v>102</v>
      </c>
      <c r="H608" s="33"/>
      <c r="I608" s="33"/>
      <c r="J608" s="37"/>
    </row>
    <row r="609" spans="1:10" x14ac:dyDescent="0.3">
      <c r="A609" s="32" t="s">
        <v>26</v>
      </c>
      <c r="B609" s="32"/>
      <c r="C609" s="33" t="s">
        <v>34</v>
      </c>
      <c r="D609" s="34"/>
      <c r="E609" s="35"/>
      <c r="F609" s="34"/>
      <c r="G609" s="32"/>
      <c r="H609" s="33"/>
      <c r="I609" s="33"/>
      <c r="J609" s="33"/>
    </row>
    <row r="610" spans="1:10" x14ac:dyDescent="0.3">
      <c r="A610" s="32" t="s">
        <v>19</v>
      </c>
      <c r="B610" s="32">
        <v>2023</v>
      </c>
      <c r="C610" s="33" t="s">
        <v>34</v>
      </c>
      <c r="D610" s="34" t="s">
        <v>2002</v>
      </c>
      <c r="E610" s="35" t="str">
        <f t="shared" ref="E610:E630" si="153">_xlfn.CONCAT(A610,"'!")</f>
        <v>PRBND'!</v>
      </c>
      <c r="F610" s="34" t="str">
        <f t="shared" ref="F610:F630" si="154">_xlfn.CONCAT(D610:E610)</f>
        <v>C:\Users\jaime.benazar\Quorum Business Solutions\Ecopetrol Prometeo - Documents\Planning Space Implementation\3. Analysis &amp; Design\Design\FC22\DRR Jaime\Neiva CPI\[DINA TERCIARIOS_CF_SEC_New_27-Mar-2024.xlsx]D-PRBND'!</v>
      </c>
      <c r="G610" s="32" t="s">
        <v>102</v>
      </c>
      <c r="H610" s="33"/>
      <c r="I610" s="33"/>
      <c r="J610" s="37"/>
    </row>
    <row r="611" spans="1:10" x14ac:dyDescent="0.3">
      <c r="A611" s="32" t="s">
        <v>19</v>
      </c>
      <c r="B611" s="32">
        <f>+B610+1</f>
        <v>2024</v>
      </c>
      <c r="C611" s="33" t="s">
        <v>34</v>
      </c>
      <c r="D611" s="34" t="s">
        <v>2002</v>
      </c>
      <c r="E611" s="35" t="str">
        <f t="shared" si="153"/>
        <v>PRBND'!</v>
      </c>
      <c r="F611" s="34" t="str">
        <f t="shared" si="154"/>
        <v>C:\Users\jaime.benazar\Quorum Business Solutions\Ecopetrol Prometeo - Documents\Planning Space Implementation\3. Analysis &amp; Design\Design\FC22\DRR Jaime\Neiva CPI\[DINA TERCIARIOS_CF_SEC_New_27-Mar-2024.xlsx]D-PRBND'!</v>
      </c>
      <c r="G611" s="32" t="s">
        <v>102</v>
      </c>
      <c r="H611" s="33"/>
      <c r="I611" s="33"/>
      <c r="J611" s="37"/>
    </row>
    <row r="612" spans="1:10" x14ac:dyDescent="0.3">
      <c r="A612" s="32" t="s">
        <v>19</v>
      </c>
      <c r="B612" s="32">
        <f t="shared" ref="B612:B623" si="155">+B611+1</f>
        <v>2025</v>
      </c>
      <c r="C612" s="33" t="s">
        <v>34</v>
      </c>
      <c r="D612" s="34" t="s">
        <v>2002</v>
      </c>
      <c r="E612" s="35" t="str">
        <f t="shared" si="153"/>
        <v>PRBND'!</v>
      </c>
      <c r="F612" s="34" t="str">
        <f t="shared" si="154"/>
        <v>C:\Users\jaime.benazar\Quorum Business Solutions\Ecopetrol Prometeo - Documents\Planning Space Implementation\3. Analysis &amp; Design\Design\FC22\DRR Jaime\Neiva CPI\[DINA TERCIARIOS_CF_SEC_New_27-Mar-2024.xlsx]D-PRBND'!</v>
      </c>
      <c r="G612" s="32" t="s">
        <v>102</v>
      </c>
      <c r="H612" s="33"/>
      <c r="I612" s="33"/>
      <c r="J612" s="37"/>
    </row>
    <row r="613" spans="1:10" x14ac:dyDescent="0.3">
      <c r="A613" s="32" t="s">
        <v>19</v>
      </c>
      <c r="B613" s="32">
        <f t="shared" si="155"/>
        <v>2026</v>
      </c>
      <c r="C613" s="33" t="s">
        <v>34</v>
      </c>
      <c r="D613" s="34" t="s">
        <v>2002</v>
      </c>
      <c r="E613" s="35" t="str">
        <f t="shared" si="153"/>
        <v>PRBND'!</v>
      </c>
      <c r="F613" s="34" t="str">
        <f t="shared" si="154"/>
        <v>C:\Users\jaime.benazar\Quorum Business Solutions\Ecopetrol Prometeo - Documents\Planning Space Implementation\3. Analysis &amp; Design\Design\FC22\DRR Jaime\Neiva CPI\[DINA TERCIARIOS_CF_SEC_New_27-Mar-2024.xlsx]D-PRBND'!</v>
      </c>
      <c r="G613" s="32" t="s">
        <v>102</v>
      </c>
      <c r="H613" s="33"/>
      <c r="I613" s="33"/>
      <c r="J613" s="37"/>
    </row>
    <row r="614" spans="1:10" x14ac:dyDescent="0.3">
      <c r="A614" s="32" t="s">
        <v>19</v>
      </c>
      <c r="B614" s="32">
        <f t="shared" si="155"/>
        <v>2027</v>
      </c>
      <c r="C614" s="33" t="s">
        <v>34</v>
      </c>
      <c r="D614" s="34" t="s">
        <v>2002</v>
      </c>
      <c r="E614" s="35" t="str">
        <f t="shared" si="153"/>
        <v>PRBND'!</v>
      </c>
      <c r="F614" s="34" t="str">
        <f t="shared" si="154"/>
        <v>C:\Users\jaime.benazar\Quorum Business Solutions\Ecopetrol Prometeo - Documents\Planning Space Implementation\3. Analysis &amp; Design\Design\FC22\DRR Jaime\Neiva CPI\[DINA TERCIARIOS_CF_SEC_New_27-Mar-2024.xlsx]D-PRBND'!</v>
      </c>
      <c r="G614" s="32" t="s">
        <v>102</v>
      </c>
      <c r="H614" s="33"/>
      <c r="I614" s="33"/>
      <c r="J614" s="37"/>
    </row>
    <row r="615" spans="1:10" x14ac:dyDescent="0.3">
      <c r="A615" s="32" t="s">
        <v>19</v>
      </c>
      <c r="B615" s="32">
        <f t="shared" si="155"/>
        <v>2028</v>
      </c>
      <c r="C615" s="33" t="s">
        <v>34</v>
      </c>
      <c r="D615" s="34" t="s">
        <v>2002</v>
      </c>
      <c r="E615" s="35" t="str">
        <f t="shared" si="153"/>
        <v>PRBND'!</v>
      </c>
      <c r="F615" s="34" t="str">
        <f t="shared" si="154"/>
        <v>C:\Users\jaime.benazar\Quorum Business Solutions\Ecopetrol Prometeo - Documents\Planning Space Implementation\3. Analysis &amp; Design\Design\FC22\DRR Jaime\Neiva CPI\[DINA TERCIARIOS_CF_SEC_New_27-Mar-2024.xlsx]D-PRBND'!</v>
      </c>
      <c r="G615" s="32" t="s">
        <v>102</v>
      </c>
      <c r="H615" s="33"/>
      <c r="I615" s="33"/>
      <c r="J615" s="37"/>
    </row>
    <row r="616" spans="1:10" x14ac:dyDescent="0.3">
      <c r="A616" s="32" t="s">
        <v>19</v>
      </c>
      <c r="B616" s="32">
        <f t="shared" si="155"/>
        <v>2029</v>
      </c>
      <c r="C616" s="33" t="s">
        <v>34</v>
      </c>
      <c r="D616" s="34" t="s">
        <v>2002</v>
      </c>
      <c r="E616" s="35" t="str">
        <f t="shared" si="153"/>
        <v>PRBND'!</v>
      </c>
      <c r="F616" s="34" t="str">
        <f t="shared" si="154"/>
        <v>C:\Users\jaime.benazar\Quorum Business Solutions\Ecopetrol Prometeo - Documents\Planning Space Implementation\3. Analysis &amp; Design\Design\FC22\DRR Jaime\Neiva CPI\[DINA TERCIARIOS_CF_SEC_New_27-Mar-2024.xlsx]D-PRBND'!</v>
      </c>
      <c r="G616" s="32" t="s">
        <v>102</v>
      </c>
      <c r="H616" s="33"/>
      <c r="I616" s="33"/>
      <c r="J616" s="37"/>
    </row>
    <row r="617" spans="1:10" x14ac:dyDescent="0.3">
      <c r="A617" s="32" t="s">
        <v>19</v>
      </c>
      <c r="B617" s="32">
        <f t="shared" si="155"/>
        <v>2030</v>
      </c>
      <c r="C617" s="33" t="s">
        <v>34</v>
      </c>
      <c r="D617" s="34" t="s">
        <v>2002</v>
      </c>
      <c r="E617" s="35" t="str">
        <f t="shared" si="153"/>
        <v>PRBND'!</v>
      </c>
      <c r="F617" s="34" t="str">
        <f t="shared" si="154"/>
        <v>C:\Users\jaime.benazar\Quorum Business Solutions\Ecopetrol Prometeo - Documents\Planning Space Implementation\3. Analysis &amp; Design\Design\FC22\DRR Jaime\Neiva CPI\[DINA TERCIARIOS_CF_SEC_New_27-Mar-2024.xlsx]D-PRBND'!</v>
      </c>
      <c r="G617" s="32" t="s">
        <v>102</v>
      </c>
      <c r="H617" s="33"/>
      <c r="I617" s="33"/>
      <c r="J617" s="37"/>
    </row>
    <row r="618" spans="1:10" x14ac:dyDescent="0.3">
      <c r="A618" s="32" t="s">
        <v>19</v>
      </c>
      <c r="B618" s="32">
        <f t="shared" si="155"/>
        <v>2031</v>
      </c>
      <c r="C618" s="33" t="s">
        <v>34</v>
      </c>
      <c r="D618" s="34" t="s">
        <v>2002</v>
      </c>
      <c r="E618" s="35" t="str">
        <f t="shared" si="153"/>
        <v>PRBND'!</v>
      </c>
      <c r="F618" s="34" t="str">
        <f t="shared" si="154"/>
        <v>C:\Users\jaime.benazar\Quorum Business Solutions\Ecopetrol Prometeo - Documents\Planning Space Implementation\3. Analysis &amp; Design\Design\FC22\DRR Jaime\Neiva CPI\[DINA TERCIARIOS_CF_SEC_New_27-Mar-2024.xlsx]D-PRBND'!</v>
      </c>
      <c r="G618" s="32" t="s">
        <v>102</v>
      </c>
      <c r="H618" s="33"/>
      <c r="I618" s="33"/>
      <c r="J618" s="37"/>
    </row>
    <row r="619" spans="1:10" x14ac:dyDescent="0.3">
      <c r="A619" s="32" t="s">
        <v>19</v>
      </c>
      <c r="B619" s="32">
        <f t="shared" si="155"/>
        <v>2032</v>
      </c>
      <c r="C619" s="33" t="s">
        <v>34</v>
      </c>
      <c r="D619" s="34" t="s">
        <v>2002</v>
      </c>
      <c r="E619" s="35" t="str">
        <f t="shared" si="153"/>
        <v>PRBND'!</v>
      </c>
      <c r="F619" s="34" t="str">
        <f t="shared" si="154"/>
        <v>C:\Users\jaime.benazar\Quorum Business Solutions\Ecopetrol Prometeo - Documents\Planning Space Implementation\3. Analysis &amp; Design\Design\FC22\DRR Jaime\Neiva CPI\[DINA TERCIARIOS_CF_SEC_New_27-Mar-2024.xlsx]D-PRBND'!</v>
      </c>
      <c r="G619" s="32" t="s">
        <v>102</v>
      </c>
      <c r="H619" s="33"/>
      <c r="I619" s="33"/>
      <c r="J619" s="37"/>
    </row>
    <row r="620" spans="1:10" x14ac:dyDescent="0.3">
      <c r="A620" s="32" t="s">
        <v>19</v>
      </c>
      <c r="B620" s="32">
        <f t="shared" si="155"/>
        <v>2033</v>
      </c>
      <c r="C620" s="33" t="s">
        <v>34</v>
      </c>
      <c r="D620" s="34" t="s">
        <v>2002</v>
      </c>
      <c r="E620" s="35" t="str">
        <f t="shared" si="153"/>
        <v>PRBND'!</v>
      </c>
      <c r="F620" s="34" t="str">
        <f t="shared" si="154"/>
        <v>C:\Users\jaime.benazar\Quorum Business Solutions\Ecopetrol Prometeo - Documents\Planning Space Implementation\3. Analysis &amp; Design\Design\FC22\DRR Jaime\Neiva CPI\[DINA TERCIARIOS_CF_SEC_New_27-Mar-2024.xlsx]D-PRBND'!</v>
      </c>
      <c r="G620" s="32" t="s">
        <v>102</v>
      </c>
      <c r="H620" s="33"/>
      <c r="I620" s="33"/>
      <c r="J620" s="37"/>
    </row>
    <row r="621" spans="1:10" x14ac:dyDescent="0.3">
      <c r="A621" s="32" t="s">
        <v>19</v>
      </c>
      <c r="B621" s="32">
        <f t="shared" si="155"/>
        <v>2034</v>
      </c>
      <c r="C621" s="33" t="s">
        <v>34</v>
      </c>
      <c r="D621" s="34" t="s">
        <v>2002</v>
      </c>
      <c r="E621" s="35" t="str">
        <f t="shared" si="153"/>
        <v>PRBND'!</v>
      </c>
      <c r="F621" s="34" t="str">
        <f t="shared" si="154"/>
        <v>C:\Users\jaime.benazar\Quorum Business Solutions\Ecopetrol Prometeo - Documents\Planning Space Implementation\3. Analysis &amp; Design\Design\FC22\DRR Jaime\Neiva CPI\[DINA TERCIARIOS_CF_SEC_New_27-Mar-2024.xlsx]D-PRBND'!</v>
      </c>
      <c r="G621" s="32" t="s">
        <v>102</v>
      </c>
      <c r="H621" s="33"/>
      <c r="I621" s="33"/>
      <c r="J621" s="37"/>
    </row>
    <row r="622" spans="1:10" x14ac:dyDescent="0.3">
      <c r="A622" s="32" t="s">
        <v>19</v>
      </c>
      <c r="B622" s="32">
        <f t="shared" si="155"/>
        <v>2035</v>
      </c>
      <c r="C622" s="33" t="s">
        <v>34</v>
      </c>
      <c r="D622" s="34" t="s">
        <v>2002</v>
      </c>
      <c r="E622" s="35" t="str">
        <f t="shared" si="153"/>
        <v>PRBND'!</v>
      </c>
      <c r="F622" s="34" t="str">
        <f t="shared" si="154"/>
        <v>C:\Users\jaime.benazar\Quorum Business Solutions\Ecopetrol Prometeo - Documents\Planning Space Implementation\3. Analysis &amp; Design\Design\FC22\DRR Jaime\Neiva CPI\[DINA TERCIARIOS_CF_SEC_New_27-Mar-2024.xlsx]D-PRBND'!</v>
      </c>
      <c r="G622" s="32" t="s">
        <v>102</v>
      </c>
      <c r="H622" s="33"/>
      <c r="I622" s="33"/>
      <c r="J622" s="37"/>
    </row>
    <row r="623" spans="1:10" x14ac:dyDescent="0.3">
      <c r="A623" s="32" t="s">
        <v>19</v>
      </c>
      <c r="B623" s="32">
        <f t="shared" si="155"/>
        <v>2036</v>
      </c>
      <c r="C623" s="33" t="s">
        <v>34</v>
      </c>
      <c r="D623" s="34" t="s">
        <v>2002</v>
      </c>
      <c r="E623" s="35" t="str">
        <f t="shared" si="153"/>
        <v>PRBND'!</v>
      </c>
      <c r="F623" s="34" t="str">
        <f t="shared" si="154"/>
        <v>C:\Users\jaime.benazar\Quorum Business Solutions\Ecopetrol Prometeo - Documents\Planning Space Implementation\3. Analysis &amp; Design\Design\FC22\DRR Jaime\Neiva CPI\[DINA TERCIARIOS_CF_SEC_New_27-Mar-2024.xlsx]D-PRBND'!</v>
      </c>
      <c r="G623" s="32" t="s">
        <v>102</v>
      </c>
      <c r="H623" s="33"/>
      <c r="I623" s="33"/>
      <c r="J623" s="37"/>
    </row>
    <row r="624" spans="1:10" x14ac:dyDescent="0.3">
      <c r="A624" s="32" t="s">
        <v>19</v>
      </c>
      <c r="B624" s="32">
        <f>+B623+1</f>
        <v>2037</v>
      </c>
      <c r="C624" s="33" t="s">
        <v>34</v>
      </c>
      <c r="D624" s="34" t="s">
        <v>2002</v>
      </c>
      <c r="E624" s="35" t="str">
        <f t="shared" si="153"/>
        <v>PRBND'!</v>
      </c>
      <c r="F624" s="34" t="str">
        <f t="shared" si="154"/>
        <v>C:\Users\jaime.benazar\Quorum Business Solutions\Ecopetrol Prometeo - Documents\Planning Space Implementation\3. Analysis &amp; Design\Design\FC22\DRR Jaime\Neiva CPI\[DINA TERCIARIOS_CF_SEC_New_27-Mar-2024.xlsx]D-PRBND'!</v>
      </c>
      <c r="G624" s="32" t="s">
        <v>102</v>
      </c>
      <c r="H624" s="33"/>
      <c r="I624" s="33"/>
      <c r="J624" s="37"/>
    </row>
    <row r="625" spans="1:10" x14ac:dyDescent="0.3">
      <c r="A625" s="32" t="s">
        <v>19</v>
      </c>
      <c r="B625" s="32">
        <f t="shared" ref="B625:B627" si="156">+B624+1</f>
        <v>2038</v>
      </c>
      <c r="C625" s="33" t="s">
        <v>34</v>
      </c>
      <c r="D625" s="34" t="s">
        <v>2002</v>
      </c>
      <c r="E625" s="35" t="str">
        <f t="shared" si="153"/>
        <v>PRBND'!</v>
      </c>
      <c r="F625" s="34" t="str">
        <f t="shared" si="154"/>
        <v>C:\Users\jaime.benazar\Quorum Business Solutions\Ecopetrol Prometeo - Documents\Planning Space Implementation\3. Analysis &amp; Design\Design\FC22\DRR Jaime\Neiva CPI\[DINA TERCIARIOS_CF_SEC_New_27-Mar-2024.xlsx]D-PRBND'!</v>
      </c>
      <c r="G625" s="32" t="s">
        <v>102</v>
      </c>
      <c r="H625" s="33"/>
      <c r="I625" s="33"/>
      <c r="J625" s="37"/>
    </row>
    <row r="626" spans="1:10" x14ac:dyDescent="0.3">
      <c r="A626" s="32" t="s">
        <v>19</v>
      </c>
      <c r="B626" s="32">
        <f t="shared" si="156"/>
        <v>2039</v>
      </c>
      <c r="C626" s="33" t="s">
        <v>34</v>
      </c>
      <c r="D626" s="34" t="s">
        <v>2002</v>
      </c>
      <c r="E626" s="35" t="str">
        <f t="shared" si="153"/>
        <v>PRBND'!</v>
      </c>
      <c r="F626" s="34" t="str">
        <f t="shared" si="154"/>
        <v>C:\Users\jaime.benazar\Quorum Business Solutions\Ecopetrol Prometeo - Documents\Planning Space Implementation\3. Analysis &amp; Design\Design\FC22\DRR Jaime\Neiva CPI\[DINA TERCIARIOS_CF_SEC_New_27-Mar-2024.xlsx]D-PRBND'!</v>
      </c>
      <c r="G626" s="32" t="s">
        <v>102</v>
      </c>
      <c r="H626" s="33"/>
      <c r="I626" s="33"/>
      <c r="J626" s="37"/>
    </row>
    <row r="627" spans="1:10" x14ac:dyDescent="0.3">
      <c r="A627" s="32" t="s">
        <v>19</v>
      </c>
      <c r="B627" s="32">
        <f t="shared" si="156"/>
        <v>2040</v>
      </c>
      <c r="C627" s="33" t="s">
        <v>34</v>
      </c>
      <c r="D627" s="34" t="s">
        <v>2002</v>
      </c>
      <c r="E627" s="35" t="str">
        <f t="shared" si="153"/>
        <v>PRBND'!</v>
      </c>
      <c r="F627" s="34" t="str">
        <f t="shared" si="154"/>
        <v>C:\Users\jaime.benazar\Quorum Business Solutions\Ecopetrol Prometeo - Documents\Planning Space Implementation\3. Analysis &amp; Design\Design\FC22\DRR Jaime\Neiva CPI\[DINA TERCIARIOS_CF_SEC_New_27-Mar-2024.xlsx]D-PRBND'!</v>
      </c>
      <c r="G627" s="32" t="s">
        <v>102</v>
      </c>
      <c r="H627" s="33"/>
      <c r="I627" s="33"/>
      <c r="J627" s="37"/>
    </row>
    <row r="628" spans="1:10" x14ac:dyDescent="0.3">
      <c r="A628" s="32" t="s">
        <v>19</v>
      </c>
      <c r="B628" s="32">
        <f>+B627+1</f>
        <v>2041</v>
      </c>
      <c r="C628" s="33" t="s">
        <v>34</v>
      </c>
      <c r="D628" s="34" t="s">
        <v>2002</v>
      </c>
      <c r="E628" s="35" t="str">
        <f t="shared" si="153"/>
        <v>PRBND'!</v>
      </c>
      <c r="F628" s="34" t="str">
        <f t="shared" si="154"/>
        <v>C:\Users\jaime.benazar\Quorum Business Solutions\Ecopetrol Prometeo - Documents\Planning Space Implementation\3. Analysis &amp; Design\Design\FC22\DRR Jaime\Neiva CPI\[DINA TERCIARIOS_CF_SEC_New_27-Mar-2024.xlsx]D-PRBND'!</v>
      </c>
      <c r="G628" s="32" t="s">
        <v>102</v>
      </c>
      <c r="H628" s="33"/>
      <c r="I628" s="33"/>
      <c r="J628" s="37"/>
    </row>
    <row r="629" spans="1:10" x14ac:dyDescent="0.3">
      <c r="A629" s="32" t="s">
        <v>19</v>
      </c>
      <c r="B629" s="32">
        <f t="shared" ref="B629:B630" si="157">+B628+1</f>
        <v>2042</v>
      </c>
      <c r="C629" s="33" t="s">
        <v>34</v>
      </c>
      <c r="D629" s="34" t="s">
        <v>2002</v>
      </c>
      <c r="E629" s="35" t="str">
        <f t="shared" si="153"/>
        <v>PRBND'!</v>
      </c>
      <c r="F629" s="34" t="str">
        <f t="shared" si="154"/>
        <v>C:\Users\jaime.benazar\Quorum Business Solutions\Ecopetrol Prometeo - Documents\Planning Space Implementation\3. Analysis &amp; Design\Design\FC22\DRR Jaime\Neiva CPI\[DINA TERCIARIOS_CF_SEC_New_27-Mar-2024.xlsx]D-PRBND'!</v>
      </c>
      <c r="G629" s="32" t="s">
        <v>102</v>
      </c>
      <c r="H629" s="33"/>
      <c r="I629" s="33"/>
      <c r="J629" s="37"/>
    </row>
    <row r="630" spans="1:10" x14ac:dyDescent="0.3">
      <c r="A630" s="32" t="s">
        <v>19</v>
      </c>
      <c r="B630" s="32">
        <f t="shared" si="157"/>
        <v>2043</v>
      </c>
      <c r="C630" s="33" t="s">
        <v>34</v>
      </c>
      <c r="D630" s="34" t="s">
        <v>2002</v>
      </c>
      <c r="E630" s="35" t="str">
        <f t="shared" si="153"/>
        <v>PRBND'!</v>
      </c>
      <c r="F630" s="34" t="str">
        <f t="shared" si="154"/>
        <v>C:\Users\jaime.benazar\Quorum Business Solutions\Ecopetrol Prometeo - Documents\Planning Space Implementation\3. Analysis &amp; Design\Design\FC22\DRR Jaime\Neiva CPI\[DINA TERCIARIOS_CF_SEC_New_27-Mar-2024.xlsx]D-PRBND'!</v>
      </c>
      <c r="G630" s="32" t="s">
        <v>102</v>
      </c>
      <c r="H630" s="33"/>
      <c r="I630" s="33"/>
      <c r="J630" s="37"/>
    </row>
    <row r="631" spans="1:10" x14ac:dyDescent="0.3">
      <c r="A631" s="32" t="s">
        <v>19</v>
      </c>
      <c r="B631" s="32">
        <f>+B630+1</f>
        <v>2044</v>
      </c>
      <c r="C631" s="33" t="s">
        <v>34</v>
      </c>
      <c r="D631" s="34" t="s">
        <v>2002</v>
      </c>
      <c r="E631" s="35" t="str">
        <f t="shared" ref="E631:E646" si="158">_xlfn.CONCAT(A631,"'!")</f>
        <v>PRBND'!</v>
      </c>
      <c r="F631" s="34" t="str">
        <f t="shared" ref="F631:F646" si="159">_xlfn.CONCAT(D631:E631)</f>
        <v>C:\Users\jaime.benazar\Quorum Business Solutions\Ecopetrol Prometeo - Documents\Planning Space Implementation\3. Analysis &amp; Design\Design\FC22\DRR Jaime\Neiva CPI\[DINA TERCIARIOS_CF_SEC_New_27-Mar-2024.xlsx]D-PRBND'!</v>
      </c>
      <c r="G631" s="32" t="s">
        <v>102</v>
      </c>
      <c r="H631" s="33"/>
      <c r="I631" s="33"/>
      <c r="J631" s="37"/>
    </row>
    <row r="632" spans="1:10" x14ac:dyDescent="0.3">
      <c r="A632" s="32" t="s">
        <v>19</v>
      </c>
      <c r="B632" s="32">
        <f t="shared" ref="B632:B646" si="160">+B631+1</f>
        <v>2045</v>
      </c>
      <c r="C632" s="33" t="s">
        <v>34</v>
      </c>
      <c r="D632" s="34" t="s">
        <v>2002</v>
      </c>
      <c r="E632" s="35" t="str">
        <f t="shared" si="158"/>
        <v>PRBND'!</v>
      </c>
      <c r="F632" s="34" t="str">
        <f t="shared" si="159"/>
        <v>C:\Users\jaime.benazar\Quorum Business Solutions\Ecopetrol Prometeo - Documents\Planning Space Implementation\3. Analysis &amp; Design\Design\FC22\DRR Jaime\Neiva CPI\[DINA TERCIARIOS_CF_SEC_New_27-Mar-2024.xlsx]D-PRBND'!</v>
      </c>
      <c r="G632" s="32" t="s">
        <v>102</v>
      </c>
      <c r="H632" s="33"/>
      <c r="I632" s="33"/>
      <c r="J632" s="37"/>
    </row>
    <row r="633" spans="1:10" x14ac:dyDescent="0.3">
      <c r="A633" s="32" t="s">
        <v>19</v>
      </c>
      <c r="B633" s="32">
        <f t="shared" si="160"/>
        <v>2046</v>
      </c>
      <c r="C633" s="33" t="s">
        <v>34</v>
      </c>
      <c r="D633" s="34" t="s">
        <v>2002</v>
      </c>
      <c r="E633" s="35" t="str">
        <f t="shared" si="158"/>
        <v>PRBND'!</v>
      </c>
      <c r="F633" s="34" t="str">
        <f t="shared" si="159"/>
        <v>C:\Users\jaime.benazar\Quorum Business Solutions\Ecopetrol Prometeo - Documents\Planning Space Implementation\3. Analysis &amp; Design\Design\FC22\DRR Jaime\Neiva CPI\[DINA TERCIARIOS_CF_SEC_New_27-Mar-2024.xlsx]D-PRBND'!</v>
      </c>
      <c r="G633" s="32" t="s">
        <v>102</v>
      </c>
      <c r="H633" s="33"/>
      <c r="I633" s="33"/>
      <c r="J633" s="37"/>
    </row>
    <row r="634" spans="1:10" x14ac:dyDescent="0.3">
      <c r="A634" s="32" t="s">
        <v>19</v>
      </c>
      <c r="B634" s="32">
        <f t="shared" si="160"/>
        <v>2047</v>
      </c>
      <c r="C634" s="33" t="s">
        <v>34</v>
      </c>
      <c r="D634" s="34" t="s">
        <v>2002</v>
      </c>
      <c r="E634" s="35" t="str">
        <f t="shared" si="158"/>
        <v>PRBND'!</v>
      </c>
      <c r="F634" s="34" t="str">
        <f t="shared" si="159"/>
        <v>C:\Users\jaime.benazar\Quorum Business Solutions\Ecopetrol Prometeo - Documents\Planning Space Implementation\3. Analysis &amp; Design\Design\FC22\DRR Jaime\Neiva CPI\[DINA TERCIARIOS_CF_SEC_New_27-Mar-2024.xlsx]D-PRBND'!</v>
      </c>
      <c r="G634" s="32" t="s">
        <v>102</v>
      </c>
      <c r="H634" s="33"/>
      <c r="I634" s="33"/>
      <c r="J634" s="37"/>
    </row>
    <row r="635" spans="1:10" x14ac:dyDescent="0.3">
      <c r="A635" s="32" t="s">
        <v>19</v>
      </c>
      <c r="B635" s="32">
        <f t="shared" si="160"/>
        <v>2048</v>
      </c>
      <c r="C635" s="33" t="s">
        <v>34</v>
      </c>
      <c r="D635" s="34" t="s">
        <v>2002</v>
      </c>
      <c r="E635" s="35" t="str">
        <f t="shared" si="158"/>
        <v>PRBND'!</v>
      </c>
      <c r="F635" s="34" t="str">
        <f t="shared" si="159"/>
        <v>C:\Users\jaime.benazar\Quorum Business Solutions\Ecopetrol Prometeo - Documents\Planning Space Implementation\3. Analysis &amp; Design\Design\FC22\DRR Jaime\Neiva CPI\[DINA TERCIARIOS_CF_SEC_New_27-Mar-2024.xlsx]D-PRBND'!</v>
      </c>
      <c r="G635" s="32" t="s">
        <v>102</v>
      </c>
      <c r="H635" s="33"/>
      <c r="I635" s="33"/>
      <c r="J635" s="37"/>
    </row>
    <row r="636" spans="1:10" x14ac:dyDescent="0.3">
      <c r="A636" s="32" t="s">
        <v>19</v>
      </c>
      <c r="B636" s="32">
        <f t="shared" si="160"/>
        <v>2049</v>
      </c>
      <c r="C636" s="33" t="s">
        <v>34</v>
      </c>
      <c r="D636" s="34" t="s">
        <v>2002</v>
      </c>
      <c r="E636" s="35" t="str">
        <f t="shared" si="158"/>
        <v>PRBND'!</v>
      </c>
      <c r="F636" s="34" t="str">
        <f t="shared" si="159"/>
        <v>C:\Users\jaime.benazar\Quorum Business Solutions\Ecopetrol Prometeo - Documents\Planning Space Implementation\3. Analysis &amp; Design\Design\FC22\DRR Jaime\Neiva CPI\[DINA TERCIARIOS_CF_SEC_New_27-Mar-2024.xlsx]D-PRBND'!</v>
      </c>
      <c r="G636" s="32" t="s">
        <v>102</v>
      </c>
      <c r="H636" s="33"/>
      <c r="I636" s="33"/>
      <c r="J636" s="37"/>
    </row>
    <row r="637" spans="1:10" x14ac:dyDescent="0.3">
      <c r="A637" s="32" t="s">
        <v>19</v>
      </c>
      <c r="B637" s="32">
        <f t="shared" si="160"/>
        <v>2050</v>
      </c>
      <c r="C637" s="33" t="s">
        <v>34</v>
      </c>
      <c r="D637" s="34" t="s">
        <v>2002</v>
      </c>
      <c r="E637" s="35" t="str">
        <f t="shared" si="158"/>
        <v>PRBND'!</v>
      </c>
      <c r="F637" s="34" t="str">
        <f t="shared" si="159"/>
        <v>C:\Users\jaime.benazar\Quorum Business Solutions\Ecopetrol Prometeo - Documents\Planning Space Implementation\3. Analysis &amp; Design\Design\FC22\DRR Jaime\Neiva CPI\[DINA TERCIARIOS_CF_SEC_New_27-Mar-2024.xlsx]D-PRBND'!</v>
      </c>
      <c r="G637" s="32" t="s">
        <v>102</v>
      </c>
      <c r="H637" s="33"/>
      <c r="I637" s="33"/>
      <c r="J637" s="37"/>
    </row>
    <row r="638" spans="1:10" x14ac:dyDescent="0.3">
      <c r="A638" s="32" t="s">
        <v>19</v>
      </c>
      <c r="B638" s="32">
        <f t="shared" si="160"/>
        <v>2051</v>
      </c>
      <c r="C638" s="33" t="s">
        <v>34</v>
      </c>
      <c r="D638" s="34" t="s">
        <v>2002</v>
      </c>
      <c r="E638" s="35" t="str">
        <f t="shared" si="158"/>
        <v>PRBND'!</v>
      </c>
      <c r="F638" s="34" t="str">
        <f t="shared" si="159"/>
        <v>C:\Users\jaime.benazar\Quorum Business Solutions\Ecopetrol Prometeo - Documents\Planning Space Implementation\3. Analysis &amp; Design\Design\FC22\DRR Jaime\Neiva CPI\[DINA TERCIARIOS_CF_SEC_New_27-Mar-2024.xlsx]D-PRBND'!</v>
      </c>
      <c r="G638" s="32" t="s">
        <v>102</v>
      </c>
      <c r="H638" s="33"/>
      <c r="I638" s="33"/>
      <c r="J638" s="37"/>
    </row>
    <row r="639" spans="1:10" x14ac:dyDescent="0.3">
      <c r="A639" s="32" t="s">
        <v>19</v>
      </c>
      <c r="B639" s="32">
        <f t="shared" si="160"/>
        <v>2052</v>
      </c>
      <c r="C639" s="33" t="s">
        <v>34</v>
      </c>
      <c r="D639" s="34" t="s">
        <v>2002</v>
      </c>
      <c r="E639" s="35" t="str">
        <f t="shared" si="158"/>
        <v>PRBND'!</v>
      </c>
      <c r="F639" s="34" t="str">
        <f t="shared" si="159"/>
        <v>C:\Users\jaime.benazar\Quorum Business Solutions\Ecopetrol Prometeo - Documents\Planning Space Implementation\3. Analysis &amp; Design\Design\FC22\DRR Jaime\Neiva CPI\[DINA TERCIARIOS_CF_SEC_New_27-Mar-2024.xlsx]D-PRBND'!</v>
      </c>
      <c r="G639" s="32" t="s">
        <v>102</v>
      </c>
      <c r="H639" s="33"/>
      <c r="I639" s="33"/>
      <c r="J639" s="37"/>
    </row>
    <row r="640" spans="1:10" x14ac:dyDescent="0.3">
      <c r="A640" s="32" t="s">
        <v>19</v>
      </c>
      <c r="B640" s="32">
        <f t="shared" si="160"/>
        <v>2053</v>
      </c>
      <c r="C640" s="33" t="s">
        <v>34</v>
      </c>
      <c r="D640" s="34" t="s">
        <v>2002</v>
      </c>
      <c r="E640" s="35" t="str">
        <f t="shared" si="158"/>
        <v>PRBND'!</v>
      </c>
      <c r="F640" s="34" t="str">
        <f t="shared" si="159"/>
        <v>C:\Users\jaime.benazar\Quorum Business Solutions\Ecopetrol Prometeo - Documents\Planning Space Implementation\3. Analysis &amp; Design\Design\FC22\DRR Jaime\Neiva CPI\[DINA TERCIARIOS_CF_SEC_New_27-Mar-2024.xlsx]D-PRBND'!</v>
      </c>
      <c r="G640" s="32" t="s">
        <v>102</v>
      </c>
      <c r="H640" s="33"/>
      <c r="I640" s="33"/>
      <c r="J640" s="37"/>
    </row>
    <row r="641" spans="1:10" x14ac:dyDescent="0.3">
      <c r="A641" s="32" t="s">
        <v>19</v>
      </c>
      <c r="B641" s="32">
        <f t="shared" si="160"/>
        <v>2054</v>
      </c>
      <c r="C641" s="33" t="s">
        <v>34</v>
      </c>
      <c r="D641" s="34" t="s">
        <v>2002</v>
      </c>
      <c r="E641" s="35" t="str">
        <f t="shared" si="158"/>
        <v>PRBND'!</v>
      </c>
      <c r="F641" s="34" t="str">
        <f t="shared" si="159"/>
        <v>C:\Users\jaime.benazar\Quorum Business Solutions\Ecopetrol Prometeo - Documents\Planning Space Implementation\3. Analysis &amp; Design\Design\FC22\DRR Jaime\Neiva CPI\[DINA TERCIARIOS_CF_SEC_New_27-Mar-2024.xlsx]D-PRBND'!</v>
      </c>
      <c r="G641" s="32" t="s">
        <v>102</v>
      </c>
      <c r="H641" s="33"/>
      <c r="I641" s="33"/>
      <c r="J641" s="37"/>
    </row>
    <row r="642" spans="1:10" x14ac:dyDescent="0.3">
      <c r="A642" s="32" t="s">
        <v>19</v>
      </c>
      <c r="B642" s="32">
        <f t="shared" si="160"/>
        <v>2055</v>
      </c>
      <c r="C642" s="33" t="s">
        <v>34</v>
      </c>
      <c r="D642" s="34" t="s">
        <v>2002</v>
      </c>
      <c r="E642" s="35" t="str">
        <f t="shared" si="158"/>
        <v>PRBND'!</v>
      </c>
      <c r="F642" s="34" t="str">
        <f t="shared" si="159"/>
        <v>C:\Users\jaime.benazar\Quorum Business Solutions\Ecopetrol Prometeo - Documents\Planning Space Implementation\3. Analysis &amp; Design\Design\FC22\DRR Jaime\Neiva CPI\[DINA TERCIARIOS_CF_SEC_New_27-Mar-2024.xlsx]D-PRBND'!</v>
      </c>
      <c r="G642" s="32" t="s">
        <v>102</v>
      </c>
      <c r="H642" s="33"/>
      <c r="I642" s="33"/>
      <c r="J642" s="37"/>
    </row>
    <row r="643" spans="1:10" x14ac:dyDescent="0.3">
      <c r="A643" s="32" t="s">
        <v>19</v>
      </c>
      <c r="B643" s="32">
        <f t="shared" si="160"/>
        <v>2056</v>
      </c>
      <c r="C643" s="33" t="s">
        <v>34</v>
      </c>
      <c r="D643" s="34" t="s">
        <v>2002</v>
      </c>
      <c r="E643" s="35" t="str">
        <f t="shared" si="158"/>
        <v>PRBND'!</v>
      </c>
      <c r="F643" s="34" t="str">
        <f t="shared" si="159"/>
        <v>C:\Users\jaime.benazar\Quorum Business Solutions\Ecopetrol Prometeo - Documents\Planning Space Implementation\3. Analysis &amp; Design\Design\FC22\DRR Jaime\Neiva CPI\[DINA TERCIARIOS_CF_SEC_New_27-Mar-2024.xlsx]D-PRBND'!</v>
      </c>
      <c r="G643" s="32" t="s">
        <v>102</v>
      </c>
      <c r="H643" s="33"/>
      <c r="I643" s="33"/>
      <c r="J643" s="37"/>
    </row>
    <row r="644" spans="1:10" x14ac:dyDescent="0.3">
      <c r="A644" s="32" t="s">
        <v>19</v>
      </c>
      <c r="B644" s="32">
        <f t="shared" si="160"/>
        <v>2057</v>
      </c>
      <c r="C644" s="33" t="s">
        <v>34</v>
      </c>
      <c r="D644" s="34" t="s">
        <v>2002</v>
      </c>
      <c r="E644" s="35" t="str">
        <f t="shared" si="158"/>
        <v>PRBND'!</v>
      </c>
      <c r="F644" s="34" t="str">
        <f t="shared" si="159"/>
        <v>C:\Users\jaime.benazar\Quorum Business Solutions\Ecopetrol Prometeo - Documents\Planning Space Implementation\3. Analysis &amp; Design\Design\FC22\DRR Jaime\Neiva CPI\[DINA TERCIARIOS_CF_SEC_New_27-Mar-2024.xlsx]D-PRBND'!</v>
      </c>
      <c r="G644" s="32" t="s">
        <v>102</v>
      </c>
      <c r="H644" s="33"/>
      <c r="I644" s="33"/>
      <c r="J644" s="37"/>
    </row>
    <row r="645" spans="1:10" x14ac:dyDescent="0.3">
      <c r="A645" s="32" t="s">
        <v>19</v>
      </c>
      <c r="B645" s="32">
        <f t="shared" si="160"/>
        <v>2058</v>
      </c>
      <c r="C645" s="33" t="s">
        <v>34</v>
      </c>
      <c r="D645" s="34" t="s">
        <v>2002</v>
      </c>
      <c r="E645" s="35" t="str">
        <f t="shared" si="158"/>
        <v>PRBND'!</v>
      </c>
      <c r="F645" s="34" t="str">
        <f t="shared" si="159"/>
        <v>C:\Users\jaime.benazar\Quorum Business Solutions\Ecopetrol Prometeo - Documents\Planning Space Implementation\3. Analysis &amp; Design\Design\FC22\DRR Jaime\Neiva CPI\[DINA TERCIARIOS_CF_SEC_New_27-Mar-2024.xlsx]D-PRBND'!</v>
      </c>
      <c r="G645" s="32" t="s">
        <v>102</v>
      </c>
      <c r="H645" s="33"/>
      <c r="I645" s="33"/>
      <c r="J645" s="37"/>
    </row>
    <row r="646" spans="1:10" x14ac:dyDescent="0.3">
      <c r="A646" s="32" t="s">
        <v>19</v>
      </c>
      <c r="B646" s="32">
        <f t="shared" si="160"/>
        <v>2059</v>
      </c>
      <c r="C646" s="33" t="s">
        <v>34</v>
      </c>
      <c r="D646" s="34" t="s">
        <v>2002</v>
      </c>
      <c r="E646" s="35" t="str">
        <f t="shared" si="158"/>
        <v>PRBND'!</v>
      </c>
      <c r="F646" s="34" t="str">
        <f t="shared" si="159"/>
        <v>C:\Users\jaime.benazar\Quorum Business Solutions\Ecopetrol Prometeo - Documents\Planning Space Implementation\3. Analysis &amp; Design\Design\FC22\DRR Jaime\Neiva CPI\[DINA TERCIARIOS_CF_SEC_New_27-Mar-2024.xlsx]D-PRBND'!</v>
      </c>
      <c r="G646" s="32" t="s">
        <v>102</v>
      </c>
      <c r="H646" s="33"/>
      <c r="I646" s="33"/>
      <c r="J646" s="37"/>
    </row>
    <row r="647" spans="1:10" x14ac:dyDescent="0.3">
      <c r="A647" s="32" t="s">
        <v>26</v>
      </c>
      <c r="B647" s="32"/>
      <c r="C647" s="33" t="s">
        <v>34</v>
      </c>
      <c r="D647" s="34"/>
      <c r="E647" s="35"/>
      <c r="F647" s="34"/>
      <c r="G647" s="32"/>
      <c r="H647" s="33"/>
      <c r="I647" s="33"/>
      <c r="J647" s="33"/>
    </row>
    <row r="648" spans="1:10" x14ac:dyDescent="0.3">
      <c r="A648" s="32" t="s">
        <v>20</v>
      </c>
      <c r="B648" s="32">
        <v>2023</v>
      </c>
      <c r="C648" s="33" t="s">
        <v>34</v>
      </c>
      <c r="D648" s="34" t="s">
        <v>2002</v>
      </c>
      <c r="E648" s="35" t="str">
        <f t="shared" si="129"/>
        <v>PRB'!</v>
      </c>
      <c r="F648" s="34" t="str">
        <f t="shared" si="130"/>
        <v>C:\Users\jaime.benazar\Quorum Business Solutions\Ecopetrol Prometeo - Documents\Planning Space Implementation\3. Analysis &amp; Design\Design\FC22\DRR Jaime\Neiva CPI\[DINA TERCIARIOS_CF_SEC_New_27-Mar-2024.xlsx]D-PRB'!</v>
      </c>
      <c r="G648" s="32" t="s">
        <v>102</v>
      </c>
      <c r="H648" s="33">
        <v>12</v>
      </c>
      <c r="I648" s="33" t="str">
        <f t="shared" si="131"/>
        <v>='C:\Users\jaime.benazar\Quorum Business Solutions\Ecopetrol Prometeo - Documents\Planning Space Implementation\3. Analysis &amp; Design\Design\FC22\DRR Jaime\Neiva CPI\[DINA TERCIARIOS_CF_SEC_New_27-Mar-2024.xlsx]D-PRB'!$BW$12</v>
      </c>
      <c r="J648" s="37" t="s">
        <v>2299</v>
      </c>
    </row>
    <row r="649" spans="1:10" x14ac:dyDescent="0.3">
      <c r="A649" s="32" t="s">
        <v>20</v>
      </c>
      <c r="B649" s="32">
        <f>+B648+1</f>
        <v>2024</v>
      </c>
      <c r="C649" s="33" t="s">
        <v>34</v>
      </c>
      <c r="D649" s="34" t="s">
        <v>2002</v>
      </c>
      <c r="E649" s="35" t="str">
        <f t="shared" si="129"/>
        <v>PRB'!</v>
      </c>
      <c r="F649" s="34" t="str">
        <f t="shared" si="130"/>
        <v>C:\Users\jaime.benazar\Quorum Business Solutions\Ecopetrol Prometeo - Documents\Planning Space Implementation\3. Analysis &amp; Design\Design\FC22\DRR Jaime\Neiva CPI\[DINA TERCIARIOS_CF_SEC_New_27-Mar-2024.xlsx]D-PRB'!</v>
      </c>
      <c r="G649" s="32" t="s">
        <v>102</v>
      </c>
      <c r="H649" s="33">
        <f>IF(A649&lt;&gt;A648,12,H648+1)</f>
        <v>13</v>
      </c>
      <c r="I649" s="33" t="str">
        <f t="shared" si="131"/>
        <v>='C:\Users\jaime.benazar\Quorum Business Solutions\Ecopetrol Prometeo - Documents\Planning Space Implementation\3. Analysis &amp; Design\Design\FC22\DRR Jaime\Neiva CPI\[DINA TERCIARIOS_CF_SEC_New_27-Mar-2024.xlsx]D-PRB'!$BW$13</v>
      </c>
      <c r="J649" s="37" t="s">
        <v>2300</v>
      </c>
    </row>
    <row r="650" spans="1:10" x14ac:dyDescent="0.3">
      <c r="A650" s="32" t="s">
        <v>20</v>
      </c>
      <c r="B650" s="32">
        <f t="shared" ref="B650:B661" si="161">+B649+1</f>
        <v>2025</v>
      </c>
      <c r="C650" s="33" t="s">
        <v>34</v>
      </c>
      <c r="D650" s="34" t="s">
        <v>2002</v>
      </c>
      <c r="E650" s="35" t="str">
        <f t="shared" si="129"/>
        <v>PRB'!</v>
      </c>
      <c r="F650" s="34" t="str">
        <f t="shared" si="130"/>
        <v>C:\Users\jaime.benazar\Quorum Business Solutions\Ecopetrol Prometeo - Documents\Planning Space Implementation\3. Analysis &amp; Design\Design\FC22\DRR Jaime\Neiva CPI\[DINA TERCIARIOS_CF_SEC_New_27-Mar-2024.xlsx]D-PRB'!</v>
      </c>
      <c r="G650" s="32" t="s">
        <v>102</v>
      </c>
      <c r="H650" s="33">
        <f t="shared" ref="H650:H668" si="162">IF(A650&lt;&gt;A649,12,H649+1)</f>
        <v>14</v>
      </c>
      <c r="I650" s="33" t="str">
        <f t="shared" si="131"/>
        <v>='C:\Users\jaime.benazar\Quorum Business Solutions\Ecopetrol Prometeo - Documents\Planning Space Implementation\3. Analysis &amp; Design\Design\FC22\DRR Jaime\Neiva CPI\[DINA TERCIARIOS_CF_SEC_New_27-Mar-2024.xlsx]D-PRB'!$BW$14</v>
      </c>
      <c r="J650" s="37" t="s">
        <v>2301</v>
      </c>
    </row>
    <row r="651" spans="1:10" x14ac:dyDescent="0.3">
      <c r="A651" s="32" t="s">
        <v>20</v>
      </c>
      <c r="B651" s="32">
        <f t="shared" si="161"/>
        <v>2026</v>
      </c>
      <c r="C651" s="33" t="s">
        <v>34</v>
      </c>
      <c r="D651" s="34" t="s">
        <v>2002</v>
      </c>
      <c r="E651" s="35" t="str">
        <f t="shared" si="129"/>
        <v>PRB'!</v>
      </c>
      <c r="F651" s="34" t="str">
        <f t="shared" si="130"/>
        <v>C:\Users\jaime.benazar\Quorum Business Solutions\Ecopetrol Prometeo - Documents\Planning Space Implementation\3. Analysis &amp; Design\Design\FC22\DRR Jaime\Neiva CPI\[DINA TERCIARIOS_CF_SEC_New_27-Mar-2024.xlsx]D-PRB'!</v>
      </c>
      <c r="G651" s="32" t="s">
        <v>102</v>
      </c>
      <c r="H651" s="33">
        <f t="shared" si="162"/>
        <v>15</v>
      </c>
      <c r="I651" s="33" t="str">
        <f t="shared" si="131"/>
        <v>='C:\Users\jaime.benazar\Quorum Business Solutions\Ecopetrol Prometeo - Documents\Planning Space Implementation\3. Analysis &amp; Design\Design\FC22\DRR Jaime\Neiva CPI\[DINA TERCIARIOS_CF_SEC_New_27-Mar-2024.xlsx]D-PRB'!$BW$15</v>
      </c>
      <c r="J651" s="37" t="s">
        <v>2302</v>
      </c>
    </row>
    <row r="652" spans="1:10" x14ac:dyDescent="0.3">
      <c r="A652" s="32" t="s">
        <v>20</v>
      </c>
      <c r="B652" s="32">
        <f t="shared" si="161"/>
        <v>2027</v>
      </c>
      <c r="C652" s="33" t="s">
        <v>34</v>
      </c>
      <c r="D652" s="34" t="s">
        <v>2002</v>
      </c>
      <c r="E652" s="35" t="str">
        <f t="shared" si="129"/>
        <v>PRB'!</v>
      </c>
      <c r="F652" s="34" t="str">
        <f t="shared" si="130"/>
        <v>C:\Users\jaime.benazar\Quorum Business Solutions\Ecopetrol Prometeo - Documents\Planning Space Implementation\3. Analysis &amp; Design\Design\FC22\DRR Jaime\Neiva CPI\[DINA TERCIARIOS_CF_SEC_New_27-Mar-2024.xlsx]D-PRB'!</v>
      </c>
      <c r="G652" s="32" t="s">
        <v>102</v>
      </c>
      <c r="H652" s="33">
        <f t="shared" si="162"/>
        <v>16</v>
      </c>
      <c r="I652" s="33" t="str">
        <f t="shared" si="131"/>
        <v>='C:\Users\jaime.benazar\Quorum Business Solutions\Ecopetrol Prometeo - Documents\Planning Space Implementation\3. Analysis &amp; Design\Design\FC22\DRR Jaime\Neiva CPI\[DINA TERCIARIOS_CF_SEC_New_27-Mar-2024.xlsx]D-PRB'!$BW$16</v>
      </c>
      <c r="J652" s="37" t="s">
        <v>2303</v>
      </c>
    </row>
    <row r="653" spans="1:10" x14ac:dyDescent="0.3">
      <c r="A653" s="32" t="s">
        <v>20</v>
      </c>
      <c r="B653" s="32">
        <f t="shared" si="161"/>
        <v>2028</v>
      </c>
      <c r="C653" s="33" t="s">
        <v>34</v>
      </c>
      <c r="D653" s="34" t="s">
        <v>2002</v>
      </c>
      <c r="E653" s="35" t="str">
        <f t="shared" si="129"/>
        <v>PRB'!</v>
      </c>
      <c r="F653" s="34" t="str">
        <f t="shared" si="130"/>
        <v>C:\Users\jaime.benazar\Quorum Business Solutions\Ecopetrol Prometeo - Documents\Planning Space Implementation\3. Analysis &amp; Design\Design\FC22\DRR Jaime\Neiva CPI\[DINA TERCIARIOS_CF_SEC_New_27-Mar-2024.xlsx]D-PRB'!</v>
      </c>
      <c r="G653" s="32" t="s">
        <v>102</v>
      </c>
      <c r="H653" s="33">
        <f t="shared" si="162"/>
        <v>17</v>
      </c>
      <c r="I653" s="33" t="str">
        <f t="shared" si="131"/>
        <v>='C:\Users\jaime.benazar\Quorum Business Solutions\Ecopetrol Prometeo - Documents\Planning Space Implementation\3. Analysis &amp; Design\Design\FC22\DRR Jaime\Neiva CPI\[DINA TERCIARIOS_CF_SEC_New_27-Mar-2024.xlsx]D-PRB'!$BW$17</v>
      </c>
      <c r="J653" s="37" t="s">
        <v>2304</v>
      </c>
    </row>
    <row r="654" spans="1:10" x14ac:dyDescent="0.3">
      <c r="A654" s="32" t="s">
        <v>20</v>
      </c>
      <c r="B654" s="32">
        <f t="shared" si="161"/>
        <v>2029</v>
      </c>
      <c r="C654" s="33" t="s">
        <v>34</v>
      </c>
      <c r="D654" s="34" t="s">
        <v>2002</v>
      </c>
      <c r="E654" s="35" t="str">
        <f t="shared" si="129"/>
        <v>PRB'!</v>
      </c>
      <c r="F654" s="34" t="str">
        <f t="shared" si="130"/>
        <v>C:\Users\jaime.benazar\Quorum Business Solutions\Ecopetrol Prometeo - Documents\Planning Space Implementation\3. Analysis &amp; Design\Design\FC22\DRR Jaime\Neiva CPI\[DINA TERCIARIOS_CF_SEC_New_27-Mar-2024.xlsx]D-PRB'!</v>
      </c>
      <c r="G654" s="32" t="s">
        <v>102</v>
      </c>
      <c r="H654" s="33">
        <f t="shared" si="162"/>
        <v>18</v>
      </c>
      <c r="I654" s="33" t="str">
        <f t="shared" si="131"/>
        <v>='C:\Users\jaime.benazar\Quorum Business Solutions\Ecopetrol Prometeo - Documents\Planning Space Implementation\3. Analysis &amp; Design\Design\FC22\DRR Jaime\Neiva CPI\[DINA TERCIARIOS_CF_SEC_New_27-Mar-2024.xlsx]D-PRB'!$BW$18</v>
      </c>
      <c r="J654" s="37" t="s">
        <v>2305</v>
      </c>
    </row>
    <row r="655" spans="1:10" x14ac:dyDescent="0.3">
      <c r="A655" s="32" t="s">
        <v>20</v>
      </c>
      <c r="B655" s="32">
        <f t="shared" si="161"/>
        <v>2030</v>
      </c>
      <c r="C655" s="33" t="s">
        <v>34</v>
      </c>
      <c r="D655" s="34" t="s">
        <v>2002</v>
      </c>
      <c r="E655" s="35" t="str">
        <f t="shared" si="129"/>
        <v>PRB'!</v>
      </c>
      <c r="F655" s="34" t="str">
        <f t="shared" si="130"/>
        <v>C:\Users\jaime.benazar\Quorum Business Solutions\Ecopetrol Prometeo - Documents\Planning Space Implementation\3. Analysis &amp; Design\Design\FC22\DRR Jaime\Neiva CPI\[DINA TERCIARIOS_CF_SEC_New_27-Mar-2024.xlsx]D-PRB'!</v>
      </c>
      <c r="G655" s="32" t="s">
        <v>102</v>
      </c>
      <c r="H655" s="33">
        <f t="shared" si="162"/>
        <v>19</v>
      </c>
      <c r="I655" s="33" t="str">
        <f t="shared" si="131"/>
        <v>='C:\Users\jaime.benazar\Quorum Business Solutions\Ecopetrol Prometeo - Documents\Planning Space Implementation\3. Analysis &amp; Design\Design\FC22\DRR Jaime\Neiva CPI\[DINA TERCIARIOS_CF_SEC_New_27-Mar-2024.xlsx]D-PRB'!$BW$19</v>
      </c>
      <c r="J655" s="37" t="s">
        <v>2306</v>
      </c>
    </row>
    <row r="656" spans="1:10" x14ac:dyDescent="0.3">
      <c r="A656" s="32" t="s">
        <v>20</v>
      </c>
      <c r="B656" s="32">
        <f t="shared" si="161"/>
        <v>2031</v>
      </c>
      <c r="C656" s="33" t="s">
        <v>34</v>
      </c>
      <c r="D656" s="34" t="s">
        <v>2002</v>
      </c>
      <c r="E656" s="35" t="str">
        <f t="shared" si="129"/>
        <v>PRB'!</v>
      </c>
      <c r="F656" s="34" t="str">
        <f t="shared" si="130"/>
        <v>C:\Users\jaime.benazar\Quorum Business Solutions\Ecopetrol Prometeo - Documents\Planning Space Implementation\3. Analysis &amp; Design\Design\FC22\DRR Jaime\Neiva CPI\[DINA TERCIARIOS_CF_SEC_New_27-Mar-2024.xlsx]D-PRB'!</v>
      </c>
      <c r="G656" s="32" t="s">
        <v>102</v>
      </c>
      <c r="H656" s="33">
        <f t="shared" si="162"/>
        <v>20</v>
      </c>
      <c r="I656" s="33" t="str">
        <f t="shared" si="131"/>
        <v>='C:\Users\jaime.benazar\Quorum Business Solutions\Ecopetrol Prometeo - Documents\Planning Space Implementation\3. Analysis &amp; Design\Design\FC22\DRR Jaime\Neiva CPI\[DINA TERCIARIOS_CF_SEC_New_27-Mar-2024.xlsx]D-PRB'!$BW$20</v>
      </c>
      <c r="J656" s="37" t="s">
        <v>2307</v>
      </c>
    </row>
    <row r="657" spans="1:10" x14ac:dyDescent="0.3">
      <c r="A657" s="32" t="s">
        <v>20</v>
      </c>
      <c r="B657" s="32">
        <f t="shared" si="161"/>
        <v>2032</v>
      </c>
      <c r="C657" s="33" t="s">
        <v>34</v>
      </c>
      <c r="D657" s="34" t="s">
        <v>2002</v>
      </c>
      <c r="E657" s="35" t="str">
        <f t="shared" si="129"/>
        <v>PRB'!</v>
      </c>
      <c r="F657" s="34" t="str">
        <f t="shared" si="130"/>
        <v>C:\Users\jaime.benazar\Quorum Business Solutions\Ecopetrol Prometeo - Documents\Planning Space Implementation\3. Analysis &amp; Design\Design\FC22\DRR Jaime\Neiva CPI\[DINA TERCIARIOS_CF_SEC_New_27-Mar-2024.xlsx]D-PRB'!</v>
      </c>
      <c r="G657" s="32" t="s">
        <v>102</v>
      </c>
      <c r="H657" s="33">
        <f t="shared" si="162"/>
        <v>21</v>
      </c>
      <c r="I657" s="33" t="str">
        <f t="shared" si="131"/>
        <v>='C:\Users\jaime.benazar\Quorum Business Solutions\Ecopetrol Prometeo - Documents\Planning Space Implementation\3. Analysis &amp; Design\Design\FC22\DRR Jaime\Neiva CPI\[DINA TERCIARIOS_CF_SEC_New_27-Mar-2024.xlsx]D-PRB'!$BW$21</v>
      </c>
      <c r="J657" s="37" t="s">
        <v>2308</v>
      </c>
    </row>
    <row r="658" spans="1:10" x14ac:dyDescent="0.3">
      <c r="A658" s="32" t="s">
        <v>20</v>
      </c>
      <c r="B658" s="32">
        <f t="shared" si="161"/>
        <v>2033</v>
      </c>
      <c r="C658" s="33" t="s">
        <v>34</v>
      </c>
      <c r="D658" s="34" t="s">
        <v>2002</v>
      </c>
      <c r="E658" s="35" t="str">
        <f t="shared" si="129"/>
        <v>PRB'!</v>
      </c>
      <c r="F658" s="34" t="str">
        <f t="shared" si="130"/>
        <v>C:\Users\jaime.benazar\Quorum Business Solutions\Ecopetrol Prometeo - Documents\Planning Space Implementation\3. Analysis &amp; Design\Design\FC22\DRR Jaime\Neiva CPI\[DINA TERCIARIOS_CF_SEC_New_27-Mar-2024.xlsx]D-PRB'!</v>
      </c>
      <c r="G658" s="32" t="s">
        <v>102</v>
      </c>
      <c r="H658" s="33">
        <f t="shared" si="162"/>
        <v>22</v>
      </c>
      <c r="I658" s="33" t="str">
        <f t="shared" si="131"/>
        <v>='C:\Users\jaime.benazar\Quorum Business Solutions\Ecopetrol Prometeo - Documents\Planning Space Implementation\3. Analysis &amp; Design\Design\FC22\DRR Jaime\Neiva CPI\[DINA TERCIARIOS_CF_SEC_New_27-Mar-2024.xlsx]D-PRB'!$BW$22</v>
      </c>
      <c r="J658" s="37" t="s">
        <v>2309</v>
      </c>
    </row>
    <row r="659" spans="1:10" x14ac:dyDescent="0.3">
      <c r="A659" s="32" t="s">
        <v>20</v>
      </c>
      <c r="B659" s="32">
        <f t="shared" si="161"/>
        <v>2034</v>
      </c>
      <c r="C659" s="33" t="s">
        <v>34</v>
      </c>
      <c r="D659" s="34" t="s">
        <v>2002</v>
      </c>
      <c r="E659" s="35" t="str">
        <f t="shared" si="129"/>
        <v>PRB'!</v>
      </c>
      <c r="F659" s="34" t="str">
        <f t="shared" si="130"/>
        <v>C:\Users\jaime.benazar\Quorum Business Solutions\Ecopetrol Prometeo - Documents\Planning Space Implementation\3. Analysis &amp; Design\Design\FC22\DRR Jaime\Neiva CPI\[DINA TERCIARIOS_CF_SEC_New_27-Mar-2024.xlsx]D-PRB'!</v>
      </c>
      <c r="G659" s="32" t="s">
        <v>102</v>
      </c>
      <c r="H659" s="33">
        <f t="shared" si="162"/>
        <v>23</v>
      </c>
      <c r="I659" s="33" t="str">
        <f t="shared" si="131"/>
        <v>='C:\Users\jaime.benazar\Quorum Business Solutions\Ecopetrol Prometeo - Documents\Planning Space Implementation\3. Analysis &amp; Design\Design\FC22\DRR Jaime\Neiva CPI\[DINA TERCIARIOS_CF_SEC_New_27-Mar-2024.xlsx]D-PRB'!$BW$23</v>
      </c>
      <c r="J659" s="37" t="s">
        <v>2310</v>
      </c>
    </row>
    <row r="660" spans="1:10" x14ac:dyDescent="0.3">
      <c r="A660" s="32" t="s">
        <v>20</v>
      </c>
      <c r="B660" s="32">
        <f t="shared" si="161"/>
        <v>2035</v>
      </c>
      <c r="C660" s="33" t="s">
        <v>34</v>
      </c>
      <c r="D660" s="34" t="s">
        <v>2002</v>
      </c>
      <c r="E660" s="35" t="str">
        <f t="shared" si="129"/>
        <v>PRB'!</v>
      </c>
      <c r="F660" s="34" t="str">
        <f t="shared" si="130"/>
        <v>C:\Users\jaime.benazar\Quorum Business Solutions\Ecopetrol Prometeo - Documents\Planning Space Implementation\3. Analysis &amp; Design\Design\FC22\DRR Jaime\Neiva CPI\[DINA TERCIARIOS_CF_SEC_New_27-Mar-2024.xlsx]D-PRB'!</v>
      </c>
      <c r="G660" s="32" t="s">
        <v>102</v>
      </c>
      <c r="H660" s="33">
        <f t="shared" si="162"/>
        <v>24</v>
      </c>
      <c r="I660" s="33" t="str">
        <f t="shared" si="131"/>
        <v>='C:\Users\jaime.benazar\Quorum Business Solutions\Ecopetrol Prometeo - Documents\Planning Space Implementation\3. Analysis &amp; Design\Design\FC22\DRR Jaime\Neiva CPI\[DINA TERCIARIOS_CF_SEC_New_27-Mar-2024.xlsx]D-PRB'!$BW$24</v>
      </c>
      <c r="J660" s="37" t="s">
        <v>2311</v>
      </c>
    </row>
    <row r="661" spans="1:10" x14ac:dyDescent="0.3">
      <c r="A661" s="32" t="s">
        <v>20</v>
      </c>
      <c r="B661" s="32">
        <f t="shared" si="161"/>
        <v>2036</v>
      </c>
      <c r="C661" s="33" t="s">
        <v>34</v>
      </c>
      <c r="D661" s="34" t="s">
        <v>2002</v>
      </c>
      <c r="E661" s="35" t="str">
        <f t="shared" si="129"/>
        <v>PRB'!</v>
      </c>
      <c r="F661" s="34" t="str">
        <f t="shared" si="130"/>
        <v>C:\Users\jaime.benazar\Quorum Business Solutions\Ecopetrol Prometeo - Documents\Planning Space Implementation\3. Analysis &amp; Design\Design\FC22\DRR Jaime\Neiva CPI\[DINA TERCIARIOS_CF_SEC_New_27-Mar-2024.xlsx]D-PRB'!</v>
      </c>
      <c r="G661" s="32" t="s">
        <v>102</v>
      </c>
      <c r="H661" s="33">
        <f t="shared" si="162"/>
        <v>25</v>
      </c>
      <c r="I661" s="33" t="str">
        <f t="shared" si="131"/>
        <v>='C:\Users\jaime.benazar\Quorum Business Solutions\Ecopetrol Prometeo - Documents\Planning Space Implementation\3. Analysis &amp; Design\Design\FC22\DRR Jaime\Neiva CPI\[DINA TERCIARIOS_CF_SEC_New_27-Mar-2024.xlsx]D-PRB'!$BW$25</v>
      </c>
      <c r="J661" s="37" t="s">
        <v>2312</v>
      </c>
    </row>
    <row r="662" spans="1:10" x14ac:dyDescent="0.3">
      <c r="A662" s="32" t="s">
        <v>20</v>
      </c>
      <c r="B662" s="32">
        <f>+B661+1</f>
        <v>2037</v>
      </c>
      <c r="C662" s="33" t="s">
        <v>34</v>
      </c>
      <c r="D662" s="34" t="s">
        <v>2002</v>
      </c>
      <c r="E662" s="35" t="str">
        <f t="shared" si="129"/>
        <v>PRB'!</v>
      </c>
      <c r="F662" s="34" t="str">
        <f t="shared" si="130"/>
        <v>C:\Users\jaime.benazar\Quorum Business Solutions\Ecopetrol Prometeo - Documents\Planning Space Implementation\3. Analysis &amp; Design\Design\FC22\DRR Jaime\Neiva CPI\[DINA TERCIARIOS_CF_SEC_New_27-Mar-2024.xlsx]D-PRB'!</v>
      </c>
      <c r="G662" s="32" t="s">
        <v>102</v>
      </c>
      <c r="H662" s="33">
        <f t="shared" si="162"/>
        <v>26</v>
      </c>
      <c r="I662" s="33" t="str">
        <f t="shared" si="131"/>
        <v>='C:\Users\jaime.benazar\Quorum Business Solutions\Ecopetrol Prometeo - Documents\Planning Space Implementation\3. Analysis &amp; Design\Design\FC22\DRR Jaime\Neiva CPI\[DINA TERCIARIOS_CF_SEC_New_27-Mar-2024.xlsx]D-PRB'!$BW$26</v>
      </c>
      <c r="J662" s="37" t="s">
        <v>2313</v>
      </c>
    </row>
    <row r="663" spans="1:10" x14ac:dyDescent="0.3">
      <c r="A663" s="32" t="s">
        <v>20</v>
      </c>
      <c r="B663" s="32">
        <f t="shared" ref="B663:B665" si="163">+B662+1</f>
        <v>2038</v>
      </c>
      <c r="C663" s="33" t="s">
        <v>34</v>
      </c>
      <c r="D663" s="34" t="s">
        <v>2002</v>
      </c>
      <c r="E663" s="35" t="str">
        <f t="shared" si="129"/>
        <v>PRB'!</v>
      </c>
      <c r="F663" s="34" t="str">
        <f t="shared" si="130"/>
        <v>C:\Users\jaime.benazar\Quorum Business Solutions\Ecopetrol Prometeo - Documents\Planning Space Implementation\3. Analysis &amp; Design\Design\FC22\DRR Jaime\Neiva CPI\[DINA TERCIARIOS_CF_SEC_New_27-Mar-2024.xlsx]D-PRB'!</v>
      </c>
      <c r="G663" s="32" t="s">
        <v>102</v>
      </c>
      <c r="H663" s="33">
        <f t="shared" si="162"/>
        <v>27</v>
      </c>
      <c r="I663" s="33" t="str">
        <f t="shared" si="131"/>
        <v>='C:\Users\jaime.benazar\Quorum Business Solutions\Ecopetrol Prometeo - Documents\Planning Space Implementation\3. Analysis &amp; Design\Design\FC22\DRR Jaime\Neiva CPI\[DINA TERCIARIOS_CF_SEC_New_27-Mar-2024.xlsx]D-PRB'!$BW$27</v>
      </c>
      <c r="J663" s="37" t="s">
        <v>2314</v>
      </c>
    </row>
    <row r="664" spans="1:10" x14ac:dyDescent="0.3">
      <c r="A664" s="32" t="s">
        <v>20</v>
      </c>
      <c r="B664" s="32">
        <f t="shared" si="163"/>
        <v>2039</v>
      </c>
      <c r="C664" s="33" t="s">
        <v>34</v>
      </c>
      <c r="D664" s="34" t="s">
        <v>2002</v>
      </c>
      <c r="E664" s="35" t="str">
        <f t="shared" si="129"/>
        <v>PRB'!</v>
      </c>
      <c r="F664" s="34" t="str">
        <f t="shared" si="130"/>
        <v>C:\Users\jaime.benazar\Quorum Business Solutions\Ecopetrol Prometeo - Documents\Planning Space Implementation\3. Analysis &amp; Design\Design\FC22\DRR Jaime\Neiva CPI\[DINA TERCIARIOS_CF_SEC_New_27-Mar-2024.xlsx]D-PRB'!</v>
      </c>
      <c r="G664" s="32" t="s">
        <v>102</v>
      </c>
      <c r="H664" s="33">
        <f t="shared" si="162"/>
        <v>28</v>
      </c>
      <c r="I664" s="33" t="str">
        <f t="shared" si="131"/>
        <v>='C:\Users\jaime.benazar\Quorum Business Solutions\Ecopetrol Prometeo - Documents\Planning Space Implementation\3. Analysis &amp; Design\Design\FC22\DRR Jaime\Neiva CPI\[DINA TERCIARIOS_CF_SEC_New_27-Mar-2024.xlsx]D-PRB'!$BW$28</v>
      </c>
      <c r="J664" s="37" t="s">
        <v>2315</v>
      </c>
    </row>
    <row r="665" spans="1:10" x14ac:dyDescent="0.3">
      <c r="A665" s="32" t="s">
        <v>20</v>
      </c>
      <c r="B665" s="32">
        <f t="shared" si="163"/>
        <v>2040</v>
      </c>
      <c r="C665" s="33" t="s">
        <v>34</v>
      </c>
      <c r="D665" s="34" t="s">
        <v>2002</v>
      </c>
      <c r="E665" s="35" t="str">
        <f t="shared" si="129"/>
        <v>PRB'!</v>
      </c>
      <c r="F665" s="34" t="str">
        <f t="shared" si="130"/>
        <v>C:\Users\jaime.benazar\Quorum Business Solutions\Ecopetrol Prometeo - Documents\Planning Space Implementation\3. Analysis &amp; Design\Design\FC22\DRR Jaime\Neiva CPI\[DINA TERCIARIOS_CF_SEC_New_27-Mar-2024.xlsx]D-PRB'!</v>
      </c>
      <c r="G665" s="32" t="s">
        <v>102</v>
      </c>
      <c r="H665" s="33">
        <f t="shared" si="162"/>
        <v>29</v>
      </c>
      <c r="I665" s="33" t="str">
        <f t="shared" si="131"/>
        <v>='C:\Users\jaime.benazar\Quorum Business Solutions\Ecopetrol Prometeo - Documents\Planning Space Implementation\3. Analysis &amp; Design\Design\FC22\DRR Jaime\Neiva CPI\[DINA TERCIARIOS_CF_SEC_New_27-Mar-2024.xlsx]D-PRB'!$BW$29</v>
      </c>
      <c r="J665" s="37" t="s">
        <v>2316</v>
      </c>
    </row>
    <row r="666" spans="1:10" x14ac:dyDescent="0.3">
      <c r="A666" s="32" t="s">
        <v>20</v>
      </c>
      <c r="B666" s="32">
        <f>+B665+1</f>
        <v>2041</v>
      </c>
      <c r="C666" s="33" t="s">
        <v>34</v>
      </c>
      <c r="D666" s="34" t="s">
        <v>2002</v>
      </c>
      <c r="E666" s="35" t="str">
        <f t="shared" si="129"/>
        <v>PRB'!</v>
      </c>
      <c r="F666" s="34" t="str">
        <f t="shared" si="130"/>
        <v>C:\Users\jaime.benazar\Quorum Business Solutions\Ecopetrol Prometeo - Documents\Planning Space Implementation\3. Analysis &amp; Design\Design\FC22\DRR Jaime\Neiva CPI\[DINA TERCIARIOS_CF_SEC_New_27-Mar-2024.xlsx]D-PRB'!</v>
      </c>
      <c r="G666" s="32" t="s">
        <v>102</v>
      </c>
      <c r="H666" s="33">
        <f t="shared" si="162"/>
        <v>30</v>
      </c>
      <c r="I666" s="33" t="str">
        <f t="shared" si="131"/>
        <v>='C:\Users\jaime.benazar\Quorum Business Solutions\Ecopetrol Prometeo - Documents\Planning Space Implementation\3. Analysis &amp; Design\Design\FC22\DRR Jaime\Neiva CPI\[DINA TERCIARIOS_CF_SEC_New_27-Mar-2024.xlsx]D-PRB'!$BW$30</v>
      </c>
      <c r="J666" s="37" t="s">
        <v>2317</v>
      </c>
    </row>
    <row r="667" spans="1:10" x14ac:dyDescent="0.3">
      <c r="A667" s="32" t="s">
        <v>20</v>
      </c>
      <c r="B667" s="32">
        <f t="shared" ref="B667:B668" si="164">+B666+1</f>
        <v>2042</v>
      </c>
      <c r="C667" s="33" t="s">
        <v>34</v>
      </c>
      <c r="D667" s="34" t="s">
        <v>2002</v>
      </c>
      <c r="E667" s="35" t="str">
        <f t="shared" si="129"/>
        <v>PRB'!</v>
      </c>
      <c r="F667" s="34" t="str">
        <f t="shared" si="130"/>
        <v>C:\Users\jaime.benazar\Quorum Business Solutions\Ecopetrol Prometeo - Documents\Planning Space Implementation\3. Analysis &amp; Design\Design\FC22\DRR Jaime\Neiva CPI\[DINA TERCIARIOS_CF_SEC_New_27-Mar-2024.xlsx]D-PRB'!</v>
      </c>
      <c r="G667" s="32" t="s">
        <v>102</v>
      </c>
      <c r="H667" s="33">
        <f t="shared" si="162"/>
        <v>31</v>
      </c>
      <c r="I667" s="33" t="str">
        <f t="shared" si="131"/>
        <v>='C:\Users\jaime.benazar\Quorum Business Solutions\Ecopetrol Prometeo - Documents\Planning Space Implementation\3. Analysis &amp; Design\Design\FC22\DRR Jaime\Neiva CPI\[DINA TERCIARIOS_CF_SEC_New_27-Mar-2024.xlsx]D-PRB'!$BW$31</v>
      </c>
      <c r="J667" s="37" t="s">
        <v>2318</v>
      </c>
    </row>
    <row r="668" spans="1:10" x14ac:dyDescent="0.3">
      <c r="A668" s="32" t="s">
        <v>20</v>
      </c>
      <c r="B668" s="32">
        <f t="shared" si="164"/>
        <v>2043</v>
      </c>
      <c r="C668" s="33" t="s">
        <v>34</v>
      </c>
      <c r="D668" s="34" t="s">
        <v>2002</v>
      </c>
      <c r="E668" s="35" t="str">
        <f t="shared" si="129"/>
        <v>PRB'!</v>
      </c>
      <c r="F668" s="34" t="str">
        <f t="shared" si="130"/>
        <v>C:\Users\jaime.benazar\Quorum Business Solutions\Ecopetrol Prometeo - Documents\Planning Space Implementation\3. Analysis &amp; Design\Design\FC22\DRR Jaime\Neiva CPI\[DINA TERCIARIOS_CF_SEC_New_27-Mar-2024.xlsx]D-PRB'!</v>
      </c>
      <c r="G668" s="32" t="s">
        <v>102</v>
      </c>
      <c r="H668" s="33">
        <f t="shared" si="162"/>
        <v>32</v>
      </c>
      <c r="I668" s="33" t="str">
        <f t="shared" si="131"/>
        <v>='C:\Users\jaime.benazar\Quorum Business Solutions\Ecopetrol Prometeo - Documents\Planning Space Implementation\3. Analysis &amp; Design\Design\FC22\DRR Jaime\Neiva CPI\[DINA TERCIARIOS_CF_SEC_New_27-Mar-2024.xlsx]D-PRB'!$BW$32</v>
      </c>
      <c r="J668" s="37" t="s">
        <v>2319</v>
      </c>
    </row>
    <row r="669" spans="1:10" x14ac:dyDescent="0.3">
      <c r="A669" s="32" t="s">
        <v>20</v>
      </c>
      <c r="B669" s="32">
        <f>+B668+1</f>
        <v>2044</v>
      </c>
      <c r="C669" s="33" t="s">
        <v>34</v>
      </c>
      <c r="D669" s="34" t="s">
        <v>2002</v>
      </c>
      <c r="E669" s="35" t="str">
        <f t="shared" ref="E669:E684" si="165">_xlfn.CONCAT(A669,"'!")</f>
        <v>PRB'!</v>
      </c>
      <c r="F669" s="34" t="str">
        <f t="shared" ref="F669:F684" si="166">_xlfn.CONCAT(D669:E669)</f>
        <v>C:\Users\jaime.benazar\Quorum Business Solutions\Ecopetrol Prometeo - Documents\Planning Space Implementation\3. Analysis &amp; Design\Design\FC22\DRR Jaime\Neiva CPI\[DINA TERCIARIOS_CF_SEC_New_27-Mar-2024.xlsx]D-PRB'!</v>
      </c>
      <c r="G669" s="32" t="s">
        <v>102</v>
      </c>
      <c r="H669" s="33">
        <f t="shared" ref="H669:H684" si="167">IF(A669&lt;&gt;A668,12,H668+1)</f>
        <v>33</v>
      </c>
      <c r="I669" s="33" t="str">
        <f t="shared" ref="I669:I684" si="168">_xlfn.CONCAT("='",F669:H669)</f>
        <v>='C:\Users\jaime.benazar\Quorum Business Solutions\Ecopetrol Prometeo - Documents\Planning Space Implementation\3. Analysis &amp; Design\Design\FC22\DRR Jaime\Neiva CPI\[DINA TERCIARIOS_CF_SEC_New_27-Mar-2024.xlsx]D-PRB'!$BW$33</v>
      </c>
      <c r="J669" s="37" t="s">
        <v>2320</v>
      </c>
    </row>
    <row r="670" spans="1:10" x14ac:dyDescent="0.3">
      <c r="A670" s="32" t="s">
        <v>20</v>
      </c>
      <c r="B670" s="32">
        <f t="shared" ref="B670:B684" si="169">+B669+1</f>
        <v>2045</v>
      </c>
      <c r="C670" s="33" t="s">
        <v>34</v>
      </c>
      <c r="D670" s="34" t="s">
        <v>2002</v>
      </c>
      <c r="E670" s="35" t="str">
        <f t="shared" si="165"/>
        <v>PRB'!</v>
      </c>
      <c r="F670" s="34" t="str">
        <f t="shared" si="166"/>
        <v>C:\Users\jaime.benazar\Quorum Business Solutions\Ecopetrol Prometeo - Documents\Planning Space Implementation\3. Analysis &amp; Design\Design\FC22\DRR Jaime\Neiva CPI\[DINA TERCIARIOS_CF_SEC_New_27-Mar-2024.xlsx]D-PRB'!</v>
      </c>
      <c r="G670" s="32" t="s">
        <v>102</v>
      </c>
      <c r="H670" s="33">
        <f t="shared" si="167"/>
        <v>34</v>
      </c>
      <c r="I670" s="33" t="str">
        <f t="shared" si="168"/>
        <v>='C:\Users\jaime.benazar\Quorum Business Solutions\Ecopetrol Prometeo - Documents\Planning Space Implementation\3. Analysis &amp; Design\Design\FC22\DRR Jaime\Neiva CPI\[DINA TERCIARIOS_CF_SEC_New_27-Mar-2024.xlsx]D-PRB'!$BW$34</v>
      </c>
      <c r="J670" s="37" t="s">
        <v>2321</v>
      </c>
    </row>
    <row r="671" spans="1:10" x14ac:dyDescent="0.3">
      <c r="A671" s="32" t="s">
        <v>20</v>
      </c>
      <c r="B671" s="32">
        <f t="shared" si="169"/>
        <v>2046</v>
      </c>
      <c r="C671" s="33" t="s">
        <v>34</v>
      </c>
      <c r="D671" s="34" t="s">
        <v>2002</v>
      </c>
      <c r="E671" s="35" t="str">
        <f t="shared" si="165"/>
        <v>PRB'!</v>
      </c>
      <c r="F671" s="34" t="str">
        <f t="shared" si="166"/>
        <v>C:\Users\jaime.benazar\Quorum Business Solutions\Ecopetrol Prometeo - Documents\Planning Space Implementation\3. Analysis &amp; Design\Design\FC22\DRR Jaime\Neiva CPI\[DINA TERCIARIOS_CF_SEC_New_27-Mar-2024.xlsx]D-PRB'!</v>
      </c>
      <c r="G671" s="32" t="s">
        <v>102</v>
      </c>
      <c r="H671" s="33">
        <f t="shared" si="167"/>
        <v>35</v>
      </c>
      <c r="I671" s="33" t="str">
        <f t="shared" si="168"/>
        <v>='C:\Users\jaime.benazar\Quorum Business Solutions\Ecopetrol Prometeo - Documents\Planning Space Implementation\3. Analysis &amp; Design\Design\FC22\DRR Jaime\Neiva CPI\[DINA TERCIARIOS_CF_SEC_New_27-Mar-2024.xlsx]D-PRB'!$BW$35</v>
      </c>
      <c r="J671" s="37" t="s">
        <v>2322</v>
      </c>
    </row>
    <row r="672" spans="1:10" x14ac:dyDescent="0.3">
      <c r="A672" s="32" t="s">
        <v>20</v>
      </c>
      <c r="B672" s="32">
        <f t="shared" si="169"/>
        <v>2047</v>
      </c>
      <c r="C672" s="33" t="s">
        <v>34</v>
      </c>
      <c r="D672" s="34" t="s">
        <v>2002</v>
      </c>
      <c r="E672" s="35" t="str">
        <f t="shared" si="165"/>
        <v>PRB'!</v>
      </c>
      <c r="F672" s="34" t="str">
        <f t="shared" si="166"/>
        <v>C:\Users\jaime.benazar\Quorum Business Solutions\Ecopetrol Prometeo - Documents\Planning Space Implementation\3. Analysis &amp; Design\Design\FC22\DRR Jaime\Neiva CPI\[DINA TERCIARIOS_CF_SEC_New_27-Mar-2024.xlsx]D-PRB'!</v>
      </c>
      <c r="G672" s="32" t="s">
        <v>102</v>
      </c>
      <c r="H672" s="33">
        <f t="shared" si="167"/>
        <v>36</v>
      </c>
      <c r="I672" s="33" t="str">
        <f t="shared" si="168"/>
        <v>='C:\Users\jaime.benazar\Quorum Business Solutions\Ecopetrol Prometeo - Documents\Planning Space Implementation\3. Analysis &amp; Design\Design\FC22\DRR Jaime\Neiva CPI\[DINA TERCIARIOS_CF_SEC_New_27-Mar-2024.xlsx]D-PRB'!$BW$36</v>
      </c>
      <c r="J672" s="37" t="s">
        <v>2323</v>
      </c>
    </row>
    <row r="673" spans="1:10" x14ac:dyDescent="0.3">
      <c r="A673" s="32" t="s">
        <v>20</v>
      </c>
      <c r="B673" s="32">
        <f t="shared" si="169"/>
        <v>2048</v>
      </c>
      <c r="C673" s="33" t="s">
        <v>34</v>
      </c>
      <c r="D673" s="34" t="s">
        <v>2002</v>
      </c>
      <c r="E673" s="35" t="str">
        <f t="shared" si="165"/>
        <v>PRB'!</v>
      </c>
      <c r="F673" s="34" t="str">
        <f t="shared" si="166"/>
        <v>C:\Users\jaime.benazar\Quorum Business Solutions\Ecopetrol Prometeo - Documents\Planning Space Implementation\3. Analysis &amp; Design\Design\FC22\DRR Jaime\Neiva CPI\[DINA TERCIARIOS_CF_SEC_New_27-Mar-2024.xlsx]D-PRB'!</v>
      </c>
      <c r="G673" s="32" t="s">
        <v>102</v>
      </c>
      <c r="H673" s="33">
        <f t="shared" si="167"/>
        <v>37</v>
      </c>
      <c r="I673" s="33" t="str">
        <f t="shared" si="168"/>
        <v>='C:\Users\jaime.benazar\Quorum Business Solutions\Ecopetrol Prometeo - Documents\Planning Space Implementation\3. Analysis &amp; Design\Design\FC22\DRR Jaime\Neiva CPI\[DINA TERCIARIOS_CF_SEC_New_27-Mar-2024.xlsx]D-PRB'!$BW$37</v>
      </c>
      <c r="J673" s="37" t="s">
        <v>2324</v>
      </c>
    </row>
    <row r="674" spans="1:10" x14ac:dyDescent="0.3">
      <c r="A674" s="32" t="s">
        <v>20</v>
      </c>
      <c r="B674" s="32">
        <f t="shared" si="169"/>
        <v>2049</v>
      </c>
      <c r="C674" s="33" t="s">
        <v>34</v>
      </c>
      <c r="D674" s="34" t="s">
        <v>2002</v>
      </c>
      <c r="E674" s="35" t="str">
        <f t="shared" si="165"/>
        <v>PRB'!</v>
      </c>
      <c r="F674" s="34" t="str">
        <f t="shared" si="166"/>
        <v>C:\Users\jaime.benazar\Quorum Business Solutions\Ecopetrol Prometeo - Documents\Planning Space Implementation\3. Analysis &amp; Design\Design\FC22\DRR Jaime\Neiva CPI\[DINA TERCIARIOS_CF_SEC_New_27-Mar-2024.xlsx]D-PRB'!</v>
      </c>
      <c r="G674" s="32" t="s">
        <v>102</v>
      </c>
      <c r="H674" s="33">
        <f t="shared" si="167"/>
        <v>38</v>
      </c>
      <c r="I674" s="33" t="str">
        <f t="shared" si="168"/>
        <v>='C:\Users\jaime.benazar\Quorum Business Solutions\Ecopetrol Prometeo - Documents\Planning Space Implementation\3. Analysis &amp; Design\Design\FC22\DRR Jaime\Neiva CPI\[DINA TERCIARIOS_CF_SEC_New_27-Mar-2024.xlsx]D-PRB'!$BW$38</v>
      </c>
      <c r="J674" s="37" t="s">
        <v>2325</v>
      </c>
    </row>
    <row r="675" spans="1:10" x14ac:dyDescent="0.3">
      <c r="A675" s="32" t="s">
        <v>20</v>
      </c>
      <c r="B675" s="32">
        <f t="shared" si="169"/>
        <v>2050</v>
      </c>
      <c r="C675" s="33" t="s">
        <v>34</v>
      </c>
      <c r="D675" s="34" t="s">
        <v>2002</v>
      </c>
      <c r="E675" s="35" t="str">
        <f t="shared" si="165"/>
        <v>PRB'!</v>
      </c>
      <c r="F675" s="34" t="str">
        <f t="shared" si="166"/>
        <v>C:\Users\jaime.benazar\Quorum Business Solutions\Ecopetrol Prometeo - Documents\Planning Space Implementation\3. Analysis &amp; Design\Design\FC22\DRR Jaime\Neiva CPI\[DINA TERCIARIOS_CF_SEC_New_27-Mar-2024.xlsx]D-PRB'!</v>
      </c>
      <c r="G675" s="32" t="s">
        <v>102</v>
      </c>
      <c r="H675" s="33">
        <f t="shared" si="167"/>
        <v>39</v>
      </c>
      <c r="I675" s="33" t="str">
        <f t="shared" si="168"/>
        <v>='C:\Users\jaime.benazar\Quorum Business Solutions\Ecopetrol Prometeo - Documents\Planning Space Implementation\3. Analysis &amp; Design\Design\FC22\DRR Jaime\Neiva CPI\[DINA TERCIARIOS_CF_SEC_New_27-Mar-2024.xlsx]D-PRB'!$BW$39</v>
      </c>
      <c r="J675" s="37" t="s">
        <v>2326</v>
      </c>
    </row>
    <row r="676" spans="1:10" x14ac:dyDescent="0.3">
      <c r="A676" s="32" t="s">
        <v>20</v>
      </c>
      <c r="B676" s="32">
        <f t="shared" si="169"/>
        <v>2051</v>
      </c>
      <c r="C676" s="33" t="s">
        <v>34</v>
      </c>
      <c r="D676" s="34" t="s">
        <v>2002</v>
      </c>
      <c r="E676" s="35" t="str">
        <f t="shared" si="165"/>
        <v>PRB'!</v>
      </c>
      <c r="F676" s="34" t="str">
        <f t="shared" si="166"/>
        <v>C:\Users\jaime.benazar\Quorum Business Solutions\Ecopetrol Prometeo - Documents\Planning Space Implementation\3. Analysis &amp; Design\Design\FC22\DRR Jaime\Neiva CPI\[DINA TERCIARIOS_CF_SEC_New_27-Mar-2024.xlsx]D-PRB'!</v>
      </c>
      <c r="G676" s="32" t="s">
        <v>102</v>
      </c>
      <c r="H676" s="33">
        <f t="shared" si="167"/>
        <v>40</v>
      </c>
      <c r="I676" s="33" t="str">
        <f t="shared" si="168"/>
        <v>='C:\Users\jaime.benazar\Quorum Business Solutions\Ecopetrol Prometeo - Documents\Planning Space Implementation\3. Analysis &amp; Design\Design\FC22\DRR Jaime\Neiva CPI\[DINA TERCIARIOS_CF_SEC_New_27-Mar-2024.xlsx]D-PRB'!$BW$40</v>
      </c>
      <c r="J676" s="37" t="s">
        <v>2327</v>
      </c>
    </row>
    <row r="677" spans="1:10" x14ac:dyDescent="0.3">
      <c r="A677" s="32" t="s">
        <v>20</v>
      </c>
      <c r="B677" s="32">
        <f t="shared" si="169"/>
        <v>2052</v>
      </c>
      <c r="C677" s="33" t="s">
        <v>34</v>
      </c>
      <c r="D677" s="34" t="s">
        <v>2002</v>
      </c>
      <c r="E677" s="35" t="str">
        <f t="shared" si="165"/>
        <v>PRB'!</v>
      </c>
      <c r="F677" s="34" t="str">
        <f t="shared" si="166"/>
        <v>C:\Users\jaime.benazar\Quorum Business Solutions\Ecopetrol Prometeo - Documents\Planning Space Implementation\3. Analysis &amp; Design\Design\FC22\DRR Jaime\Neiva CPI\[DINA TERCIARIOS_CF_SEC_New_27-Mar-2024.xlsx]D-PRB'!</v>
      </c>
      <c r="G677" s="32" t="s">
        <v>102</v>
      </c>
      <c r="H677" s="33">
        <f t="shared" si="167"/>
        <v>41</v>
      </c>
      <c r="I677" s="33" t="str">
        <f t="shared" si="168"/>
        <v>='C:\Users\jaime.benazar\Quorum Business Solutions\Ecopetrol Prometeo - Documents\Planning Space Implementation\3. Analysis &amp; Design\Design\FC22\DRR Jaime\Neiva CPI\[DINA TERCIARIOS_CF_SEC_New_27-Mar-2024.xlsx]D-PRB'!$BW$41</v>
      </c>
      <c r="J677" s="37" t="s">
        <v>2328</v>
      </c>
    </row>
    <row r="678" spans="1:10" x14ac:dyDescent="0.3">
      <c r="A678" s="32" t="s">
        <v>20</v>
      </c>
      <c r="B678" s="32">
        <f t="shared" si="169"/>
        <v>2053</v>
      </c>
      <c r="C678" s="33" t="s">
        <v>34</v>
      </c>
      <c r="D678" s="34" t="s">
        <v>2002</v>
      </c>
      <c r="E678" s="35" t="str">
        <f t="shared" si="165"/>
        <v>PRB'!</v>
      </c>
      <c r="F678" s="34" t="str">
        <f t="shared" si="166"/>
        <v>C:\Users\jaime.benazar\Quorum Business Solutions\Ecopetrol Prometeo - Documents\Planning Space Implementation\3. Analysis &amp; Design\Design\FC22\DRR Jaime\Neiva CPI\[DINA TERCIARIOS_CF_SEC_New_27-Mar-2024.xlsx]D-PRB'!</v>
      </c>
      <c r="G678" s="32" t="s">
        <v>102</v>
      </c>
      <c r="H678" s="33">
        <f t="shared" si="167"/>
        <v>42</v>
      </c>
      <c r="I678" s="33" t="str">
        <f t="shared" si="168"/>
        <v>='C:\Users\jaime.benazar\Quorum Business Solutions\Ecopetrol Prometeo - Documents\Planning Space Implementation\3. Analysis &amp; Design\Design\FC22\DRR Jaime\Neiva CPI\[DINA TERCIARIOS_CF_SEC_New_27-Mar-2024.xlsx]D-PRB'!$BW$42</v>
      </c>
      <c r="J678" s="37" t="s">
        <v>2329</v>
      </c>
    </row>
    <row r="679" spans="1:10" x14ac:dyDescent="0.3">
      <c r="A679" s="32" t="s">
        <v>20</v>
      </c>
      <c r="B679" s="32">
        <f t="shared" si="169"/>
        <v>2054</v>
      </c>
      <c r="C679" s="33" t="s">
        <v>34</v>
      </c>
      <c r="D679" s="34" t="s">
        <v>2002</v>
      </c>
      <c r="E679" s="35" t="str">
        <f t="shared" si="165"/>
        <v>PRB'!</v>
      </c>
      <c r="F679" s="34" t="str">
        <f t="shared" si="166"/>
        <v>C:\Users\jaime.benazar\Quorum Business Solutions\Ecopetrol Prometeo - Documents\Planning Space Implementation\3. Analysis &amp; Design\Design\FC22\DRR Jaime\Neiva CPI\[DINA TERCIARIOS_CF_SEC_New_27-Mar-2024.xlsx]D-PRB'!</v>
      </c>
      <c r="G679" s="32" t="s">
        <v>102</v>
      </c>
      <c r="H679" s="33">
        <f t="shared" si="167"/>
        <v>43</v>
      </c>
      <c r="I679" s="33" t="str">
        <f t="shared" si="168"/>
        <v>='C:\Users\jaime.benazar\Quorum Business Solutions\Ecopetrol Prometeo - Documents\Planning Space Implementation\3. Analysis &amp; Design\Design\FC22\DRR Jaime\Neiva CPI\[DINA TERCIARIOS_CF_SEC_New_27-Mar-2024.xlsx]D-PRB'!$BW$43</v>
      </c>
      <c r="J679" s="37" t="s">
        <v>2330</v>
      </c>
    </row>
    <row r="680" spans="1:10" x14ac:dyDescent="0.3">
      <c r="A680" s="32" t="s">
        <v>20</v>
      </c>
      <c r="B680" s="32">
        <f t="shared" si="169"/>
        <v>2055</v>
      </c>
      <c r="C680" s="33" t="s">
        <v>34</v>
      </c>
      <c r="D680" s="34" t="s">
        <v>2002</v>
      </c>
      <c r="E680" s="35" t="str">
        <f t="shared" si="165"/>
        <v>PRB'!</v>
      </c>
      <c r="F680" s="34" t="str">
        <f t="shared" si="166"/>
        <v>C:\Users\jaime.benazar\Quorum Business Solutions\Ecopetrol Prometeo - Documents\Planning Space Implementation\3. Analysis &amp; Design\Design\FC22\DRR Jaime\Neiva CPI\[DINA TERCIARIOS_CF_SEC_New_27-Mar-2024.xlsx]D-PRB'!</v>
      </c>
      <c r="G680" s="32" t="s">
        <v>102</v>
      </c>
      <c r="H680" s="33">
        <f t="shared" si="167"/>
        <v>44</v>
      </c>
      <c r="I680" s="33" t="str">
        <f t="shared" si="168"/>
        <v>='C:\Users\jaime.benazar\Quorum Business Solutions\Ecopetrol Prometeo - Documents\Planning Space Implementation\3. Analysis &amp; Design\Design\FC22\DRR Jaime\Neiva CPI\[DINA TERCIARIOS_CF_SEC_New_27-Mar-2024.xlsx]D-PRB'!$BW$44</v>
      </c>
      <c r="J680" s="37" t="s">
        <v>2331</v>
      </c>
    </row>
    <row r="681" spans="1:10" x14ac:dyDescent="0.3">
      <c r="A681" s="32" t="s">
        <v>20</v>
      </c>
      <c r="B681" s="32">
        <f t="shared" si="169"/>
        <v>2056</v>
      </c>
      <c r="C681" s="33" t="s">
        <v>34</v>
      </c>
      <c r="D681" s="34" t="s">
        <v>2002</v>
      </c>
      <c r="E681" s="35" t="str">
        <f t="shared" si="165"/>
        <v>PRB'!</v>
      </c>
      <c r="F681" s="34" t="str">
        <f t="shared" si="166"/>
        <v>C:\Users\jaime.benazar\Quorum Business Solutions\Ecopetrol Prometeo - Documents\Planning Space Implementation\3. Analysis &amp; Design\Design\FC22\DRR Jaime\Neiva CPI\[DINA TERCIARIOS_CF_SEC_New_27-Mar-2024.xlsx]D-PRB'!</v>
      </c>
      <c r="G681" s="32" t="s">
        <v>102</v>
      </c>
      <c r="H681" s="33">
        <f t="shared" si="167"/>
        <v>45</v>
      </c>
      <c r="I681" s="33" t="str">
        <f t="shared" si="168"/>
        <v>='C:\Users\jaime.benazar\Quorum Business Solutions\Ecopetrol Prometeo - Documents\Planning Space Implementation\3. Analysis &amp; Design\Design\FC22\DRR Jaime\Neiva CPI\[DINA TERCIARIOS_CF_SEC_New_27-Mar-2024.xlsx]D-PRB'!$BW$45</v>
      </c>
      <c r="J681" s="37" t="s">
        <v>2332</v>
      </c>
    </row>
    <row r="682" spans="1:10" x14ac:dyDescent="0.3">
      <c r="A682" s="32" t="s">
        <v>20</v>
      </c>
      <c r="B682" s="32">
        <f t="shared" si="169"/>
        <v>2057</v>
      </c>
      <c r="C682" s="33" t="s">
        <v>34</v>
      </c>
      <c r="D682" s="34" t="s">
        <v>2002</v>
      </c>
      <c r="E682" s="35" t="str">
        <f t="shared" si="165"/>
        <v>PRB'!</v>
      </c>
      <c r="F682" s="34" t="str">
        <f t="shared" si="166"/>
        <v>C:\Users\jaime.benazar\Quorum Business Solutions\Ecopetrol Prometeo - Documents\Planning Space Implementation\3. Analysis &amp; Design\Design\FC22\DRR Jaime\Neiva CPI\[DINA TERCIARIOS_CF_SEC_New_27-Mar-2024.xlsx]D-PRB'!</v>
      </c>
      <c r="G682" s="32" t="s">
        <v>102</v>
      </c>
      <c r="H682" s="33">
        <f t="shared" si="167"/>
        <v>46</v>
      </c>
      <c r="I682" s="33" t="str">
        <f t="shared" si="168"/>
        <v>='C:\Users\jaime.benazar\Quorum Business Solutions\Ecopetrol Prometeo - Documents\Planning Space Implementation\3. Analysis &amp; Design\Design\FC22\DRR Jaime\Neiva CPI\[DINA TERCIARIOS_CF_SEC_New_27-Mar-2024.xlsx]D-PRB'!$BW$46</v>
      </c>
      <c r="J682" s="37" t="s">
        <v>2333</v>
      </c>
    </row>
    <row r="683" spans="1:10" x14ac:dyDescent="0.3">
      <c r="A683" s="32" t="s">
        <v>20</v>
      </c>
      <c r="B683" s="32">
        <f t="shared" si="169"/>
        <v>2058</v>
      </c>
      <c r="C683" s="33" t="s">
        <v>34</v>
      </c>
      <c r="D683" s="34" t="s">
        <v>2002</v>
      </c>
      <c r="E683" s="35" t="str">
        <f t="shared" si="165"/>
        <v>PRB'!</v>
      </c>
      <c r="F683" s="34" t="str">
        <f t="shared" si="166"/>
        <v>C:\Users\jaime.benazar\Quorum Business Solutions\Ecopetrol Prometeo - Documents\Planning Space Implementation\3. Analysis &amp; Design\Design\FC22\DRR Jaime\Neiva CPI\[DINA TERCIARIOS_CF_SEC_New_27-Mar-2024.xlsx]D-PRB'!</v>
      </c>
      <c r="G683" s="32" t="s">
        <v>102</v>
      </c>
      <c r="H683" s="33">
        <f t="shared" si="167"/>
        <v>47</v>
      </c>
      <c r="I683" s="33" t="str">
        <f t="shared" si="168"/>
        <v>='C:\Users\jaime.benazar\Quorum Business Solutions\Ecopetrol Prometeo - Documents\Planning Space Implementation\3. Analysis &amp; Design\Design\FC22\DRR Jaime\Neiva CPI\[DINA TERCIARIOS_CF_SEC_New_27-Mar-2024.xlsx]D-PRB'!$BW$47</v>
      </c>
      <c r="J683" s="37" t="s">
        <v>2334</v>
      </c>
    </row>
    <row r="684" spans="1:10" x14ac:dyDescent="0.3">
      <c r="A684" s="32" t="s">
        <v>20</v>
      </c>
      <c r="B684" s="32">
        <f t="shared" si="169"/>
        <v>2059</v>
      </c>
      <c r="C684" s="33" t="s">
        <v>34</v>
      </c>
      <c r="D684" s="34" t="s">
        <v>2002</v>
      </c>
      <c r="E684" s="35" t="str">
        <f t="shared" si="165"/>
        <v>PRB'!</v>
      </c>
      <c r="F684" s="34" t="str">
        <f t="shared" si="166"/>
        <v>C:\Users\jaime.benazar\Quorum Business Solutions\Ecopetrol Prometeo - Documents\Planning Space Implementation\3. Analysis &amp; Design\Design\FC22\DRR Jaime\Neiva CPI\[DINA TERCIARIOS_CF_SEC_New_27-Mar-2024.xlsx]D-PRB'!</v>
      </c>
      <c r="G684" s="32" t="s">
        <v>102</v>
      </c>
      <c r="H684" s="33">
        <f t="shared" si="167"/>
        <v>48</v>
      </c>
      <c r="I684" s="33" t="str">
        <f t="shared" si="168"/>
        <v>='C:\Users\jaime.benazar\Quorum Business Solutions\Ecopetrol Prometeo - Documents\Planning Space Implementation\3. Analysis &amp; Design\Design\FC22\DRR Jaime\Neiva CPI\[DINA TERCIARIOS_CF_SEC_New_27-Mar-2024.xlsx]D-PRB'!$BW$48</v>
      </c>
      <c r="J684" s="37" t="s">
        <v>2335</v>
      </c>
    </row>
    <row r="685" spans="1:10" x14ac:dyDescent="0.3">
      <c r="A685" s="32" t="s">
        <v>26</v>
      </c>
      <c r="B685" s="32"/>
      <c r="C685" s="33" t="s">
        <v>34</v>
      </c>
      <c r="D685" s="34"/>
      <c r="E685" s="35"/>
      <c r="F685" s="34"/>
      <c r="G685" s="32"/>
      <c r="H685" s="33"/>
      <c r="I685" s="33"/>
      <c r="J685" s="33"/>
    </row>
    <row r="686" spans="1:10" x14ac:dyDescent="0.3">
      <c r="A686" s="32" t="s">
        <v>21</v>
      </c>
      <c r="B686" s="32">
        <v>2023</v>
      </c>
      <c r="C686" s="33" t="s">
        <v>34</v>
      </c>
      <c r="D686" s="34" t="s">
        <v>2002</v>
      </c>
      <c r="E686" s="35" t="str">
        <f t="shared" ref="E686:E706" si="170">_xlfn.CONCAT(A686,"'!")</f>
        <v>PSDP'!</v>
      </c>
      <c r="F686" s="34" t="str">
        <f t="shared" ref="F686:F706" si="171">_xlfn.CONCAT(D686:E686)</f>
        <v>C:\Users\jaime.benazar\Quorum Business Solutions\Ecopetrol Prometeo - Documents\Planning Space Implementation\3. Analysis &amp; Design\Design\FC22\DRR Jaime\Neiva CPI\[DINA TERCIARIOS_CF_SEC_New_27-Mar-2024.xlsx]D-PSDP'!</v>
      </c>
      <c r="G686" s="32" t="s">
        <v>102</v>
      </c>
      <c r="H686" s="33"/>
      <c r="I686" s="33"/>
      <c r="J686" s="37"/>
    </row>
    <row r="687" spans="1:10" x14ac:dyDescent="0.3">
      <c r="A687" s="32" t="s">
        <v>21</v>
      </c>
      <c r="B687" s="32">
        <f>+B686+1</f>
        <v>2024</v>
      </c>
      <c r="C687" s="33" t="s">
        <v>34</v>
      </c>
      <c r="D687" s="34" t="s">
        <v>2002</v>
      </c>
      <c r="E687" s="35" t="str">
        <f t="shared" si="170"/>
        <v>PSDP'!</v>
      </c>
      <c r="F687" s="34" t="str">
        <f t="shared" si="171"/>
        <v>C:\Users\jaime.benazar\Quorum Business Solutions\Ecopetrol Prometeo - Documents\Planning Space Implementation\3. Analysis &amp; Design\Design\FC22\DRR Jaime\Neiva CPI\[DINA TERCIARIOS_CF_SEC_New_27-Mar-2024.xlsx]D-PSDP'!</v>
      </c>
      <c r="G687" s="32" t="s">
        <v>102</v>
      </c>
      <c r="H687" s="33"/>
      <c r="I687" s="33"/>
      <c r="J687" s="37"/>
    </row>
    <row r="688" spans="1:10" x14ac:dyDescent="0.3">
      <c r="A688" s="32" t="s">
        <v>21</v>
      </c>
      <c r="B688" s="32">
        <f t="shared" ref="B688:B699" si="172">+B687+1</f>
        <v>2025</v>
      </c>
      <c r="C688" s="33" t="s">
        <v>34</v>
      </c>
      <c r="D688" s="34" t="s">
        <v>2002</v>
      </c>
      <c r="E688" s="35" t="str">
        <f t="shared" si="170"/>
        <v>PSDP'!</v>
      </c>
      <c r="F688" s="34" t="str">
        <f t="shared" si="171"/>
        <v>C:\Users\jaime.benazar\Quorum Business Solutions\Ecopetrol Prometeo - Documents\Planning Space Implementation\3. Analysis &amp; Design\Design\FC22\DRR Jaime\Neiva CPI\[DINA TERCIARIOS_CF_SEC_New_27-Mar-2024.xlsx]D-PSDP'!</v>
      </c>
      <c r="G688" s="32" t="s">
        <v>102</v>
      </c>
      <c r="H688" s="33"/>
      <c r="I688" s="33"/>
      <c r="J688" s="37"/>
    </row>
    <row r="689" spans="1:10" x14ac:dyDescent="0.3">
      <c r="A689" s="32" t="s">
        <v>21</v>
      </c>
      <c r="B689" s="32">
        <f t="shared" si="172"/>
        <v>2026</v>
      </c>
      <c r="C689" s="33" t="s">
        <v>34</v>
      </c>
      <c r="D689" s="34" t="s">
        <v>2002</v>
      </c>
      <c r="E689" s="35" t="str">
        <f t="shared" si="170"/>
        <v>PSDP'!</v>
      </c>
      <c r="F689" s="34" t="str">
        <f t="shared" si="171"/>
        <v>C:\Users\jaime.benazar\Quorum Business Solutions\Ecopetrol Prometeo - Documents\Planning Space Implementation\3. Analysis &amp; Design\Design\FC22\DRR Jaime\Neiva CPI\[DINA TERCIARIOS_CF_SEC_New_27-Mar-2024.xlsx]D-PSDP'!</v>
      </c>
      <c r="G689" s="32" t="s">
        <v>102</v>
      </c>
      <c r="H689" s="33"/>
      <c r="I689" s="33"/>
      <c r="J689" s="37"/>
    </row>
    <row r="690" spans="1:10" x14ac:dyDescent="0.3">
      <c r="A690" s="32" t="s">
        <v>21</v>
      </c>
      <c r="B690" s="32">
        <f t="shared" si="172"/>
        <v>2027</v>
      </c>
      <c r="C690" s="33" t="s">
        <v>34</v>
      </c>
      <c r="D690" s="34" t="s">
        <v>2002</v>
      </c>
      <c r="E690" s="35" t="str">
        <f t="shared" si="170"/>
        <v>PSDP'!</v>
      </c>
      <c r="F690" s="34" t="str">
        <f t="shared" si="171"/>
        <v>C:\Users\jaime.benazar\Quorum Business Solutions\Ecopetrol Prometeo - Documents\Planning Space Implementation\3. Analysis &amp; Design\Design\FC22\DRR Jaime\Neiva CPI\[DINA TERCIARIOS_CF_SEC_New_27-Mar-2024.xlsx]D-PSDP'!</v>
      </c>
      <c r="G690" s="32" t="s">
        <v>102</v>
      </c>
      <c r="H690" s="33"/>
      <c r="I690" s="33"/>
      <c r="J690" s="37"/>
    </row>
    <row r="691" spans="1:10" x14ac:dyDescent="0.3">
      <c r="A691" s="32" t="s">
        <v>21</v>
      </c>
      <c r="B691" s="32">
        <f t="shared" si="172"/>
        <v>2028</v>
      </c>
      <c r="C691" s="33" t="s">
        <v>34</v>
      </c>
      <c r="D691" s="34" t="s">
        <v>2002</v>
      </c>
      <c r="E691" s="35" t="str">
        <f t="shared" si="170"/>
        <v>PSDP'!</v>
      </c>
      <c r="F691" s="34" t="str">
        <f t="shared" si="171"/>
        <v>C:\Users\jaime.benazar\Quorum Business Solutions\Ecopetrol Prometeo - Documents\Planning Space Implementation\3. Analysis &amp; Design\Design\FC22\DRR Jaime\Neiva CPI\[DINA TERCIARIOS_CF_SEC_New_27-Mar-2024.xlsx]D-PSDP'!</v>
      </c>
      <c r="G691" s="32" t="s">
        <v>102</v>
      </c>
      <c r="H691" s="33"/>
      <c r="I691" s="33"/>
      <c r="J691" s="37"/>
    </row>
    <row r="692" spans="1:10" x14ac:dyDescent="0.3">
      <c r="A692" s="32" t="s">
        <v>21</v>
      </c>
      <c r="B692" s="32">
        <f t="shared" si="172"/>
        <v>2029</v>
      </c>
      <c r="C692" s="33" t="s">
        <v>34</v>
      </c>
      <c r="D692" s="34" t="s">
        <v>2002</v>
      </c>
      <c r="E692" s="35" t="str">
        <f t="shared" si="170"/>
        <v>PSDP'!</v>
      </c>
      <c r="F692" s="34" t="str">
        <f t="shared" si="171"/>
        <v>C:\Users\jaime.benazar\Quorum Business Solutions\Ecopetrol Prometeo - Documents\Planning Space Implementation\3. Analysis &amp; Design\Design\FC22\DRR Jaime\Neiva CPI\[DINA TERCIARIOS_CF_SEC_New_27-Mar-2024.xlsx]D-PSDP'!</v>
      </c>
      <c r="G692" s="32" t="s">
        <v>102</v>
      </c>
      <c r="H692" s="33"/>
      <c r="I692" s="33"/>
      <c r="J692" s="37"/>
    </row>
    <row r="693" spans="1:10" x14ac:dyDescent="0.3">
      <c r="A693" s="32" t="s">
        <v>21</v>
      </c>
      <c r="B693" s="32">
        <f t="shared" si="172"/>
        <v>2030</v>
      </c>
      <c r="C693" s="33" t="s">
        <v>34</v>
      </c>
      <c r="D693" s="34" t="s">
        <v>2002</v>
      </c>
      <c r="E693" s="35" t="str">
        <f t="shared" si="170"/>
        <v>PSDP'!</v>
      </c>
      <c r="F693" s="34" t="str">
        <f t="shared" si="171"/>
        <v>C:\Users\jaime.benazar\Quorum Business Solutions\Ecopetrol Prometeo - Documents\Planning Space Implementation\3. Analysis &amp; Design\Design\FC22\DRR Jaime\Neiva CPI\[DINA TERCIARIOS_CF_SEC_New_27-Mar-2024.xlsx]D-PSDP'!</v>
      </c>
      <c r="G693" s="32" t="s">
        <v>102</v>
      </c>
      <c r="H693" s="33"/>
      <c r="I693" s="33"/>
      <c r="J693" s="37"/>
    </row>
    <row r="694" spans="1:10" x14ac:dyDescent="0.3">
      <c r="A694" s="32" t="s">
        <v>21</v>
      </c>
      <c r="B694" s="32">
        <f t="shared" si="172"/>
        <v>2031</v>
      </c>
      <c r="C694" s="33" t="s">
        <v>34</v>
      </c>
      <c r="D694" s="34" t="s">
        <v>2002</v>
      </c>
      <c r="E694" s="35" t="str">
        <f t="shared" si="170"/>
        <v>PSDP'!</v>
      </c>
      <c r="F694" s="34" t="str">
        <f t="shared" si="171"/>
        <v>C:\Users\jaime.benazar\Quorum Business Solutions\Ecopetrol Prometeo - Documents\Planning Space Implementation\3. Analysis &amp; Design\Design\FC22\DRR Jaime\Neiva CPI\[DINA TERCIARIOS_CF_SEC_New_27-Mar-2024.xlsx]D-PSDP'!</v>
      </c>
      <c r="G694" s="32" t="s">
        <v>102</v>
      </c>
      <c r="H694" s="33"/>
      <c r="I694" s="33"/>
      <c r="J694" s="37"/>
    </row>
    <row r="695" spans="1:10" x14ac:dyDescent="0.3">
      <c r="A695" s="32" t="s">
        <v>21</v>
      </c>
      <c r="B695" s="32">
        <f t="shared" si="172"/>
        <v>2032</v>
      </c>
      <c r="C695" s="33" t="s">
        <v>34</v>
      </c>
      <c r="D695" s="34" t="s">
        <v>2002</v>
      </c>
      <c r="E695" s="35" t="str">
        <f t="shared" si="170"/>
        <v>PSDP'!</v>
      </c>
      <c r="F695" s="34" t="str">
        <f t="shared" si="171"/>
        <v>C:\Users\jaime.benazar\Quorum Business Solutions\Ecopetrol Prometeo - Documents\Planning Space Implementation\3. Analysis &amp; Design\Design\FC22\DRR Jaime\Neiva CPI\[DINA TERCIARIOS_CF_SEC_New_27-Mar-2024.xlsx]D-PSDP'!</v>
      </c>
      <c r="G695" s="32" t="s">
        <v>102</v>
      </c>
      <c r="H695" s="33"/>
      <c r="I695" s="33"/>
      <c r="J695" s="37"/>
    </row>
    <row r="696" spans="1:10" x14ac:dyDescent="0.3">
      <c r="A696" s="32" t="s">
        <v>21</v>
      </c>
      <c r="B696" s="32">
        <f t="shared" si="172"/>
        <v>2033</v>
      </c>
      <c r="C696" s="33" t="s">
        <v>34</v>
      </c>
      <c r="D696" s="34" t="s">
        <v>2002</v>
      </c>
      <c r="E696" s="35" t="str">
        <f t="shared" si="170"/>
        <v>PSDP'!</v>
      </c>
      <c r="F696" s="34" t="str">
        <f t="shared" si="171"/>
        <v>C:\Users\jaime.benazar\Quorum Business Solutions\Ecopetrol Prometeo - Documents\Planning Space Implementation\3. Analysis &amp; Design\Design\FC22\DRR Jaime\Neiva CPI\[DINA TERCIARIOS_CF_SEC_New_27-Mar-2024.xlsx]D-PSDP'!</v>
      </c>
      <c r="G696" s="32" t="s">
        <v>102</v>
      </c>
      <c r="H696" s="33"/>
      <c r="I696" s="33"/>
      <c r="J696" s="37"/>
    </row>
    <row r="697" spans="1:10" x14ac:dyDescent="0.3">
      <c r="A697" s="32" t="s">
        <v>21</v>
      </c>
      <c r="B697" s="32">
        <f t="shared" si="172"/>
        <v>2034</v>
      </c>
      <c r="C697" s="33" t="s">
        <v>34</v>
      </c>
      <c r="D697" s="34" t="s">
        <v>2002</v>
      </c>
      <c r="E697" s="35" t="str">
        <f t="shared" si="170"/>
        <v>PSDP'!</v>
      </c>
      <c r="F697" s="34" t="str">
        <f t="shared" si="171"/>
        <v>C:\Users\jaime.benazar\Quorum Business Solutions\Ecopetrol Prometeo - Documents\Planning Space Implementation\3. Analysis &amp; Design\Design\FC22\DRR Jaime\Neiva CPI\[DINA TERCIARIOS_CF_SEC_New_27-Mar-2024.xlsx]D-PSDP'!</v>
      </c>
      <c r="G697" s="32" t="s">
        <v>102</v>
      </c>
      <c r="H697" s="33"/>
      <c r="I697" s="33"/>
      <c r="J697" s="37"/>
    </row>
    <row r="698" spans="1:10" x14ac:dyDescent="0.3">
      <c r="A698" s="32" t="s">
        <v>21</v>
      </c>
      <c r="B698" s="32">
        <f t="shared" si="172"/>
        <v>2035</v>
      </c>
      <c r="C698" s="33" t="s">
        <v>34</v>
      </c>
      <c r="D698" s="34" t="s">
        <v>2002</v>
      </c>
      <c r="E698" s="35" t="str">
        <f t="shared" si="170"/>
        <v>PSDP'!</v>
      </c>
      <c r="F698" s="34" t="str">
        <f t="shared" si="171"/>
        <v>C:\Users\jaime.benazar\Quorum Business Solutions\Ecopetrol Prometeo - Documents\Planning Space Implementation\3. Analysis &amp; Design\Design\FC22\DRR Jaime\Neiva CPI\[DINA TERCIARIOS_CF_SEC_New_27-Mar-2024.xlsx]D-PSDP'!</v>
      </c>
      <c r="G698" s="32" t="s">
        <v>102</v>
      </c>
      <c r="H698" s="33"/>
      <c r="I698" s="33"/>
      <c r="J698" s="37"/>
    </row>
    <row r="699" spans="1:10" x14ac:dyDescent="0.3">
      <c r="A699" s="32" t="s">
        <v>21</v>
      </c>
      <c r="B699" s="32">
        <f t="shared" si="172"/>
        <v>2036</v>
      </c>
      <c r="C699" s="33" t="s">
        <v>34</v>
      </c>
      <c r="D699" s="34" t="s">
        <v>2002</v>
      </c>
      <c r="E699" s="35" t="str">
        <f t="shared" si="170"/>
        <v>PSDP'!</v>
      </c>
      <c r="F699" s="34" t="str">
        <f t="shared" si="171"/>
        <v>C:\Users\jaime.benazar\Quorum Business Solutions\Ecopetrol Prometeo - Documents\Planning Space Implementation\3. Analysis &amp; Design\Design\FC22\DRR Jaime\Neiva CPI\[DINA TERCIARIOS_CF_SEC_New_27-Mar-2024.xlsx]D-PSDP'!</v>
      </c>
      <c r="G699" s="32" t="s">
        <v>102</v>
      </c>
      <c r="H699" s="33"/>
      <c r="I699" s="33"/>
      <c r="J699" s="37"/>
    </row>
    <row r="700" spans="1:10" x14ac:dyDescent="0.3">
      <c r="A700" s="32" t="s">
        <v>21</v>
      </c>
      <c r="B700" s="32">
        <f>+B699+1</f>
        <v>2037</v>
      </c>
      <c r="C700" s="33" t="s">
        <v>34</v>
      </c>
      <c r="D700" s="34" t="s">
        <v>2002</v>
      </c>
      <c r="E700" s="35" t="str">
        <f t="shared" si="170"/>
        <v>PSDP'!</v>
      </c>
      <c r="F700" s="34" t="str">
        <f t="shared" si="171"/>
        <v>C:\Users\jaime.benazar\Quorum Business Solutions\Ecopetrol Prometeo - Documents\Planning Space Implementation\3. Analysis &amp; Design\Design\FC22\DRR Jaime\Neiva CPI\[DINA TERCIARIOS_CF_SEC_New_27-Mar-2024.xlsx]D-PSDP'!</v>
      </c>
      <c r="G700" s="32" t="s">
        <v>102</v>
      </c>
      <c r="H700" s="33"/>
      <c r="I700" s="33"/>
      <c r="J700" s="37"/>
    </row>
    <row r="701" spans="1:10" x14ac:dyDescent="0.3">
      <c r="A701" s="32" t="s">
        <v>21</v>
      </c>
      <c r="B701" s="32">
        <f t="shared" ref="B701:B703" si="173">+B700+1</f>
        <v>2038</v>
      </c>
      <c r="C701" s="33" t="s">
        <v>34</v>
      </c>
      <c r="D701" s="34" t="s">
        <v>2002</v>
      </c>
      <c r="E701" s="35" t="str">
        <f t="shared" si="170"/>
        <v>PSDP'!</v>
      </c>
      <c r="F701" s="34" t="str">
        <f t="shared" si="171"/>
        <v>C:\Users\jaime.benazar\Quorum Business Solutions\Ecopetrol Prometeo - Documents\Planning Space Implementation\3. Analysis &amp; Design\Design\FC22\DRR Jaime\Neiva CPI\[DINA TERCIARIOS_CF_SEC_New_27-Mar-2024.xlsx]D-PSDP'!</v>
      </c>
      <c r="G701" s="32" t="s">
        <v>102</v>
      </c>
      <c r="H701" s="33"/>
      <c r="I701" s="33"/>
      <c r="J701" s="37"/>
    </row>
    <row r="702" spans="1:10" x14ac:dyDescent="0.3">
      <c r="A702" s="32" t="s">
        <v>21</v>
      </c>
      <c r="B702" s="32">
        <f t="shared" si="173"/>
        <v>2039</v>
      </c>
      <c r="C702" s="33" t="s">
        <v>34</v>
      </c>
      <c r="D702" s="34" t="s">
        <v>2002</v>
      </c>
      <c r="E702" s="35" t="str">
        <f t="shared" si="170"/>
        <v>PSDP'!</v>
      </c>
      <c r="F702" s="34" t="str">
        <f t="shared" si="171"/>
        <v>C:\Users\jaime.benazar\Quorum Business Solutions\Ecopetrol Prometeo - Documents\Planning Space Implementation\3. Analysis &amp; Design\Design\FC22\DRR Jaime\Neiva CPI\[DINA TERCIARIOS_CF_SEC_New_27-Mar-2024.xlsx]D-PSDP'!</v>
      </c>
      <c r="G702" s="32" t="s">
        <v>102</v>
      </c>
      <c r="H702" s="33"/>
      <c r="I702" s="33"/>
      <c r="J702" s="37"/>
    </row>
    <row r="703" spans="1:10" x14ac:dyDescent="0.3">
      <c r="A703" s="32" t="s">
        <v>21</v>
      </c>
      <c r="B703" s="32">
        <f t="shared" si="173"/>
        <v>2040</v>
      </c>
      <c r="C703" s="33" t="s">
        <v>34</v>
      </c>
      <c r="D703" s="34" t="s">
        <v>2002</v>
      </c>
      <c r="E703" s="35" t="str">
        <f t="shared" si="170"/>
        <v>PSDP'!</v>
      </c>
      <c r="F703" s="34" t="str">
        <f t="shared" si="171"/>
        <v>C:\Users\jaime.benazar\Quorum Business Solutions\Ecopetrol Prometeo - Documents\Planning Space Implementation\3. Analysis &amp; Design\Design\FC22\DRR Jaime\Neiva CPI\[DINA TERCIARIOS_CF_SEC_New_27-Mar-2024.xlsx]D-PSDP'!</v>
      </c>
      <c r="G703" s="32" t="s">
        <v>102</v>
      </c>
      <c r="H703" s="33"/>
      <c r="I703" s="33"/>
      <c r="J703" s="37"/>
    </row>
    <row r="704" spans="1:10" x14ac:dyDescent="0.3">
      <c r="A704" s="32" t="s">
        <v>21</v>
      </c>
      <c r="B704" s="32">
        <f>+B703+1</f>
        <v>2041</v>
      </c>
      <c r="C704" s="33" t="s">
        <v>34</v>
      </c>
      <c r="D704" s="34" t="s">
        <v>2002</v>
      </c>
      <c r="E704" s="35" t="str">
        <f t="shared" si="170"/>
        <v>PSDP'!</v>
      </c>
      <c r="F704" s="34" t="str">
        <f t="shared" si="171"/>
        <v>C:\Users\jaime.benazar\Quorum Business Solutions\Ecopetrol Prometeo - Documents\Planning Space Implementation\3. Analysis &amp; Design\Design\FC22\DRR Jaime\Neiva CPI\[DINA TERCIARIOS_CF_SEC_New_27-Mar-2024.xlsx]D-PSDP'!</v>
      </c>
      <c r="G704" s="32" t="s">
        <v>102</v>
      </c>
      <c r="H704" s="33"/>
      <c r="I704" s="33"/>
      <c r="J704" s="37"/>
    </row>
    <row r="705" spans="1:10" x14ac:dyDescent="0.3">
      <c r="A705" s="32" t="s">
        <v>21</v>
      </c>
      <c r="B705" s="32">
        <f t="shared" ref="B705:B706" si="174">+B704+1</f>
        <v>2042</v>
      </c>
      <c r="C705" s="33" t="s">
        <v>34</v>
      </c>
      <c r="D705" s="34" t="s">
        <v>2002</v>
      </c>
      <c r="E705" s="35" t="str">
        <f t="shared" si="170"/>
        <v>PSDP'!</v>
      </c>
      <c r="F705" s="34" t="str">
        <f t="shared" si="171"/>
        <v>C:\Users\jaime.benazar\Quorum Business Solutions\Ecopetrol Prometeo - Documents\Planning Space Implementation\3. Analysis &amp; Design\Design\FC22\DRR Jaime\Neiva CPI\[DINA TERCIARIOS_CF_SEC_New_27-Mar-2024.xlsx]D-PSDP'!</v>
      </c>
      <c r="G705" s="32" t="s">
        <v>102</v>
      </c>
      <c r="H705" s="33"/>
      <c r="I705" s="33"/>
      <c r="J705" s="37"/>
    </row>
    <row r="706" spans="1:10" x14ac:dyDescent="0.3">
      <c r="A706" s="32" t="s">
        <v>21</v>
      </c>
      <c r="B706" s="32">
        <f t="shared" si="174"/>
        <v>2043</v>
      </c>
      <c r="C706" s="33" t="s">
        <v>34</v>
      </c>
      <c r="D706" s="34" t="s">
        <v>2002</v>
      </c>
      <c r="E706" s="35" t="str">
        <f t="shared" si="170"/>
        <v>PSDP'!</v>
      </c>
      <c r="F706" s="34" t="str">
        <f t="shared" si="171"/>
        <v>C:\Users\jaime.benazar\Quorum Business Solutions\Ecopetrol Prometeo - Documents\Planning Space Implementation\3. Analysis &amp; Design\Design\FC22\DRR Jaime\Neiva CPI\[DINA TERCIARIOS_CF_SEC_New_27-Mar-2024.xlsx]D-PSDP'!</v>
      </c>
      <c r="G706" s="32" t="s">
        <v>102</v>
      </c>
      <c r="H706" s="33"/>
      <c r="I706" s="33"/>
      <c r="J706" s="37"/>
    </row>
    <row r="707" spans="1:10" x14ac:dyDescent="0.3">
      <c r="A707" s="32" t="s">
        <v>21</v>
      </c>
      <c r="B707" s="32">
        <f>+B706+1</f>
        <v>2044</v>
      </c>
      <c r="C707" s="33" t="s">
        <v>34</v>
      </c>
      <c r="D707" s="34" t="s">
        <v>2002</v>
      </c>
      <c r="E707" s="35" t="str">
        <f t="shared" ref="E707:E722" si="175">_xlfn.CONCAT(A707,"'!")</f>
        <v>PSDP'!</v>
      </c>
      <c r="F707" s="34" t="str">
        <f t="shared" ref="F707:F722" si="176">_xlfn.CONCAT(D707:E707)</f>
        <v>C:\Users\jaime.benazar\Quorum Business Solutions\Ecopetrol Prometeo - Documents\Planning Space Implementation\3. Analysis &amp; Design\Design\FC22\DRR Jaime\Neiva CPI\[DINA TERCIARIOS_CF_SEC_New_27-Mar-2024.xlsx]D-PSDP'!</v>
      </c>
      <c r="G707" s="32" t="s">
        <v>102</v>
      </c>
      <c r="H707" s="33"/>
      <c r="I707" s="33"/>
      <c r="J707" s="37"/>
    </row>
    <row r="708" spans="1:10" x14ac:dyDescent="0.3">
      <c r="A708" s="32" t="s">
        <v>21</v>
      </c>
      <c r="B708" s="32">
        <f t="shared" ref="B708:B722" si="177">+B707+1</f>
        <v>2045</v>
      </c>
      <c r="C708" s="33" t="s">
        <v>34</v>
      </c>
      <c r="D708" s="34" t="s">
        <v>2002</v>
      </c>
      <c r="E708" s="35" t="str">
        <f t="shared" si="175"/>
        <v>PSDP'!</v>
      </c>
      <c r="F708" s="34" t="str">
        <f t="shared" si="176"/>
        <v>C:\Users\jaime.benazar\Quorum Business Solutions\Ecopetrol Prometeo - Documents\Planning Space Implementation\3. Analysis &amp; Design\Design\FC22\DRR Jaime\Neiva CPI\[DINA TERCIARIOS_CF_SEC_New_27-Mar-2024.xlsx]D-PSDP'!</v>
      </c>
      <c r="G708" s="32" t="s">
        <v>102</v>
      </c>
      <c r="H708" s="33"/>
      <c r="I708" s="33"/>
      <c r="J708" s="37"/>
    </row>
    <row r="709" spans="1:10" x14ac:dyDescent="0.3">
      <c r="A709" s="32" t="s">
        <v>21</v>
      </c>
      <c r="B709" s="32">
        <f t="shared" si="177"/>
        <v>2046</v>
      </c>
      <c r="C709" s="33" t="s">
        <v>34</v>
      </c>
      <c r="D709" s="34" t="s">
        <v>2002</v>
      </c>
      <c r="E709" s="35" t="str">
        <f t="shared" si="175"/>
        <v>PSDP'!</v>
      </c>
      <c r="F709" s="34" t="str">
        <f t="shared" si="176"/>
        <v>C:\Users\jaime.benazar\Quorum Business Solutions\Ecopetrol Prometeo - Documents\Planning Space Implementation\3. Analysis &amp; Design\Design\FC22\DRR Jaime\Neiva CPI\[DINA TERCIARIOS_CF_SEC_New_27-Mar-2024.xlsx]D-PSDP'!</v>
      </c>
      <c r="G709" s="32" t="s">
        <v>102</v>
      </c>
      <c r="H709" s="33"/>
      <c r="I709" s="33"/>
      <c r="J709" s="37"/>
    </row>
    <row r="710" spans="1:10" x14ac:dyDescent="0.3">
      <c r="A710" s="32" t="s">
        <v>21</v>
      </c>
      <c r="B710" s="32">
        <f t="shared" si="177"/>
        <v>2047</v>
      </c>
      <c r="C710" s="33" t="s">
        <v>34</v>
      </c>
      <c r="D710" s="34" t="s">
        <v>2002</v>
      </c>
      <c r="E710" s="35" t="str">
        <f t="shared" si="175"/>
        <v>PSDP'!</v>
      </c>
      <c r="F710" s="34" t="str">
        <f t="shared" si="176"/>
        <v>C:\Users\jaime.benazar\Quorum Business Solutions\Ecopetrol Prometeo - Documents\Planning Space Implementation\3. Analysis &amp; Design\Design\FC22\DRR Jaime\Neiva CPI\[DINA TERCIARIOS_CF_SEC_New_27-Mar-2024.xlsx]D-PSDP'!</v>
      </c>
      <c r="G710" s="32" t="s">
        <v>102</v>
      </c>
      <c r="H710" s="33"/>
      <c r="I710" s="33"/>
      <c r="J710" s="37"/>
    </row>
    <row r="711" spans="1:10" x14ac:dyDescent="0.3">
      <c r="A711" s="32" t="s">
        <v>21</v>
      </c>
      <c r="B711" s="32">
        <f t="shared" si="177"/>
        <v>2048</v>
      </c>
      <c r="C711" s="33" t="s">
        <v>34</v>
      </c>
      <c r="D711" s="34" t="s">
        <v>2002</v>
      </c>
      <c r="E711" s="35" t="str">
        <f t="shared" si="175"/>
        <v>PSDP'!</v>
      </c>
      <c r="F711" s="34" t="str">
        <f t="shared" si="176"/>
        <v>C:\Users\jaime.benazar\Quorum Business Solutions\Ecopetrol Prometeo - Documents\Planning Space Implementation\3. Analysis &amp; Design\Design\FC22\DRR Jaime\Neiva CPI\[DINA TERCIARIOS_CF_SEC_New_27-Mar-2024.xlsx]D-PSDP'!</v>
      </c>
      <c r="G711" s="32" t="s">
        <v>102</v>
      </c>
      <c r="H711" s="33"/>
      <c r="I711" s="33"/>
      <c r="J711" s="37"/>
    </row>
    <row r="712" spans="1:10" x14ac:dyDescent="0.3">
      <c r="A712" s="32" t="s">
        <v>21</v>
      </c>
      <c r="B712" s="32">
        <f t="shared" si="177"/>
        <v>2049</v>
      </c>
      <c r="C712" s="33" t="s">
        <v>34</v>
      </c>
      <c r="D712" s="34" t="s">
        <v>2002</v>
      </c>
      <c r="E712" s="35" t="str">
        <f t="shared" si="175"/>
        <v>PSDP'!</v>
      </c>
      <c r="F712" s="34" t="str">
        <f t="shared" si="176"/>
        <v>C:\Users\jaime.benazar\Quorum Business Solutions\Ecopetrol Prometeo - Documents\Planning Space Implementation\3. Analysis &amp; Design\Design\FC22\DRR Jaime\Neiva CPI\[DINA TERCIARIOS_CF_SEC_New_27-Mar-2024.xlsx]D-PSDP'!</v>
      </c>
      <c r="G712" s="32" t="s">
        <v>102</v>
      </c>
      <c r="H712" s="33"/>
      <c r="I712" s="33"/>
      <c r="J712" s="37"/>
    </row>
    <row r="713" spans="1:10" x14ac:dyDescent="0.3">
      <c r="A713" s="32" t="s">
        <v>21</v>
      </c>
      <c r="B713" s="32">
        <f t="shared" si="177"/>
        <v>2050</v>
      </c>
      <c r="C713" s="33" t="s">
        <v>34</v>
      </c>
      <c r="D713" s="34" t="s">
        <v>2002</v>
      </c>
      <c r="E713" s="35" t="str">
        <f t="shared" si="175"/>
        <v>PSDP'!</v>
      </c>
      <c r="F713" s="34" t="str">
        <f t="shared" si="176"/>
        <v>C:\Users\jaime.benazar\Quorum Business Solutions\Ecopetrol Prometeo - Documents\Planning Space Implementation\3. Analysis &amp; Design\Design\FC22\DRR Jaime\Neiva CPI\[DINA TERCIARIOS_CF_SEC_New_27-Mar-2024.xlsx]D-PSDP'!</v>
      </c>
      <c r="G713" s="32" t="s">
        <v>102</v>
      </c>
      <c r="H713" s="33"/>
      <c r="I713" s="33"/>
      <c r="J713" s="37"/>
    </row>
    <row r="714" spans="1:10" x14ac:dyDescent="0.3">
      <c r="A714" s="32" t="s">
        <v>21</v>
      </c>
      <c r="B714" s="32">
        <f t="shared" si="177"/>
        <v>2051</v>
      </c>
      <c r="C714" s="33" t="s">
        <v>34</v>
      </c>
      <c r="D714" s="34" t="s">
        <v>2002</v>
      </c>
      <c r="E714" s="35" t="str">
        <f t="shared" si="175"/>
        <v>PSDP'!</v>
      </c>
      <c r="F714" s="34" t="str">
        <f t="shared" si="176"/>
        <v>C:\Users\jaime.benazar\Quorum Business Solutions\Ecopetrol Prometeo - Documents\Planning Space Implementation\3. Analysis &amp; Design\Design\FC22\DRR Jaime\Neiva CPI\[DINA TERCIARIOS_CF_SEC_New_27-Mar-2024.xlsx]D-PSDP'!</v>
      </c>
      <c r="G714" s="32" t="s">
        <v>102</v>
      </c>
      <c r="H714" s="33"/>
      <c r="I714" s="33"/>
      <c r="J714" s="37"/>
    </row>
    <row r="715" spans="1:10" x14ac:dyDescent="0.3">
      <c r="A715" s="32" t="s">
        <v>21</v>
      </c>
      <c r="B715" s="32">
        <f t="shared" si="177"/>
        <v>2052</v>
      </c>
      <c r="C715" s="33" t="s">
        <v>34</v>
      </c>
      <c r="D715" s="34" t="s">
        <v>2002</v>
      </c>
      <c r="E715" s="35" t="str">
        <f t="shared" si="175"/>
        <v>PSDP'!</v>
      </c>
      <c r="F715" s="34" t="str">
        <f t="shared" si="176"/>
        <v>C:\Users\jaime.benazar\Quorum Business Solutions\Ecopetrol Prometeo - Documents\Planning Space Implementation\3. Analysis &amp; Design\Design\FC22\DRR Jaime\Neiva CPI\[DINA TERCIARIOS_CF_SEC_New_27-Mar-2024.xlsx]D-PSDP'!</v>
      </c>
      <c r="G715" s="32" t="s">
        <v>102</v>
      </c>
      <c r="H715" s="33"/>
      <c r="I715" s="33"/>
      <c r="J715" s="37"/>
    </row>
    <row r="716" spans="1:10" x14ac:dyDescent="0.3">
      <c r="A716" s="32" t="s">
        <v>21</v>
      </c>
      <c r="B716" s="32">
        <f t="shared" si="177"/>
        <v>2053</v>
      </c>
      <c r="C716" s="33" t="s">
        <v>34</v>
      </c>
      <c r="D716" s="34" t="s">
        <v>2002</v>
      </c>
      <c r="E716" s="35" t="str">
        <f t="shared" si="175"/>
        <v>PSDP'!</v>
      </c>
      <c r="F716" s="34" t="str">
        <f t="shared" si="176"/>
        <v>C:\Users\jaime.benazar\Quorum Business Solutions\Ecopetrol Prometeo - Documents\Planning Space Implementation\3. Analysis &amp; Design\Design\FC22\DRR Jaime\Neiva CPI\[DINA TERCIARIOS_CF_SEC_New_27-Mar-2024.xlsx]D-PSDP'!</v>
      </c>
      <c r="G716" s="32" t="s">
        <v>102</v>
      </c>
      <c r="H716" s="33"/>
      <c r="I716" s="33"/>
      <c r="J716" s="37"/>
    </row>
    <row r="717" spans="1:10" x14ac:dyDescent="0.3">
      <c r="A717" s="32" t="s">
        <v>21</v>
      </c>
      <c r="B717" s="32">
        <f t="shared" si="177"/>
        <v>2054</v>
      </c>
      <c r="C717" s="33" t="s">
        <v>34</v>
      </c>
      <c r="D717" s="34" t="s">
        <v>2002</v>
      </c>
      <c r="E717" s="35" t="str">
        <f t="shared" si="175"/>
        <v>PSDP'!</v>
      </c>
      <c r="F717" s="34" t="str">
        <f t="shared" si="176"/>
        <v>C:\Users\jaime.benazar\Quorum Business Solutions\Ecopetrol Prometeo - Documents\Planning Space Implementation\3. Analysis &amp; Design\Design\FC22\DRR Jaime\Neiva CPI\[DINA TERCIARIOS_CF_SEC_New_27-Mar-2024.xlsx]D-PSDP'!</v>
      </c>
      <c r="G717" s="32" t="s">
        <v>102</v>
      </c>
      <c r="H717" s="33"/>
      <c r="I717" s="33"/>
      <c r="J717" s="37"/>
    </row>
    <row r="718" spans="1:10" x14ac:dyDescent="0.3">
      <c r="A718" s="32" t="s">
        <v>21</v>
      </c>
      <c r="B718" s="32">
        <f t="shared" si="177"/>
        <v>2055</v>
      </c>
      <c r="C718" s="33" t="s">
        <v>34</v>
      </c>
      <c r="D718" s="34" t="s">
        <v>2002</v>
      </c>
      <c r="E718" s="35" t="str">
        <f t="shared" si="175"/>
        <v>PSDP'!</v>
      </c>
      <c r="F718" s="34" t="str">
        <f t="shared" si="176"/>
        <v>C:\Users\jaime.benazar\Quorum Business Solutions\Ecopetrol Prometeo - Documents\Planning Space Implementation\3. Analysis &amp; Design\Design\FC22\DRR Jaime\Neiva CPI\[DINA TERCIARIOS_CF_SEC_New_27-Mar-2024.xlsx]D-PSDP'!</v>
      </c>
      <c r="G718" s="32" t="s">
        <v>102</v>
      </c>
      <c r="H718" s="33"/>
      <c r="I718" s="33"/>
      <c r="J718" s="37"/>
    </row>
    <row r="719" spans="1:10" x14ac:dyDescent="0.3">
      <c r="A719" s="32" t="s">
        <v>21</v>
      </c>
      <c r="B719" s="32">
        <f t="shared" si="177"/>
        <v>2056</v>
      </c>
      <c r="C719" s="33" t="s">
        <v>34</v>
      </c>
      <c r="D719" s="34" t="s">
        <v>2002</v>
      </c>
      <c r="E719" s="35" t="str">
        <f t="shared" si="175"/>
        <v>PSDP'!</v>
      </c>
      <c r="F719" s="34" t="str">
        <f t="shared" si="176"/>
        <v>C:\Users\jaime.benazar\Quorum Business Solutions\Ecopetrol Prometeo - Documents\Planning Space Implementation\3. Analysis &amp; Design\Design\FC22\DRR Jaime\Neiva CPI\[DINA TERCIARIOS_CF_SEC_New_27-Mar-2024.xlsx]D-PSDP'!</v>
      </c>
      <c r="G719" s="32" t="s">
        <v>102</v>
      </c>
      <c r="H719" s="33"/>
      <c r="I719" s="33"/>
      <c r="J719" s="37"/>
    </row>
    <row r="720" spans="1:10" x14ac:dyDescent="0.3">
      <c r="A720" s="32" t="s">
        <v>21</v>
      </c>
      <c r="B720" s="32">
        <f t="shared" si="177"/>
        <v>2057</v>
      </c>
      <c r="C720" s="33" t="s">
        <v>34</v>
      </c>
      <c r="D720" s="34" t="s">
        <v>2002</v>
      </c>
      <c r="E720" s="35" t="str">
        <f t="shared" si="175"/>
        <v>PSDP'!</v>
      </c>
      <c r="F720" s="34" t="str">
        <f t="shared" si="176"/>
        <v>C:\Users\jaime.benazar\Quorum Business Solutions\Ecopetrol Prometeo - Documents\Planning Space Implementation\3. Analysis &amp; Design\Design\FC22\DRR Jaime\Neiva CPI\[DINA TERCIARIOS_CF_SEC_New_27-Mar-2024.xlsx]D-PSDP'!</v>
      </c>
      <c r="G720" s="32" t="s">
        <v>102</v>
      </c>
      <c r="H720" s="33"/>
      <c r="I720" s="33"/>
      <c r="J720" s="37"/>
    </row>
    <row r="721" spans="1:10" x14ac:dyDescent="0.3">
      <c r="A721" s="32" t="s">
        <v>21</v>
      </c>
      <c r="B721" s="32">
        <f t="shared" si="177"/>
        <v>2058</v>
      </c>
      <c r="C721" s="33" t="s">
        <v>34</v>
      </c>
      <c r="D721" s="34" t="s">
        <v>2002</v>
      </c>
      <c r="E721" s="35" t="str">
        <f t="shared" si="175"/>
        <v>PSDP'!</v>
      </c>
      <c r="F721" s="34" t="str">
        <f t="shared" si="176"/>
        <v>C:\Users\jaime.benazar\Quorum Business Solutions\Ecopetrol Prometeo - Documents\Planning Space Implementation\3. Analysis &amp; Design\Design\FC22\DRR Jaime\Neiva CPI\[DINA TERCIARIOS_CF_SEC_New_27-Mar-2024.xlsx]D-PSDP'!</v>
      </c>
      <c r="G721" s="32" t="s">
        <v>102</v>
      </c>
      <c r="H721" s="33"/>
      <c r="I721" s="33"/>
      <c r="J721" s="37"/>
    </row>
    <row r="722" spans="1:10" x14ac:dyDescent="0.3">
      <c r="A722" s="32" t="s">
        <v>21</v>
      </c>
      <c r="B722" s="32">
        <f t="shared" si="177"/>
        <v>2059</v>
      </c>
      <c r="C722" s="33" t="s">
        <v>34</v>
      </c>
      <c r="D722" s="34" t="s">
        <v>2002</v>
      </c>
      <c r="E722" s="35" t="str">
        <f t="shared" si="175"/>
        <v>PSDP'!</v>
      </c>
      <c r="F722" s="34" t="str">
        <f t="shared" si="176"/>
        <v>C:\Users\jaime.benazar\Quorum Business Solutions\Ecopetrol Prometeo - Documents\Planning Space Implementation\3. Analysis &amp; Design\Design\FC22\DRR Jaime\Neiva CPI\[DINA TERCIARIOS_CF_SEC_New_27-Mar-2024.xlsx]D-PSDP'!</v>
      </c>
      <c r="G722" s="32" t="s">
        <v>102</v>
      </c>
      <c r="H722" s="33"/>
      <c r="I722" s="33"/>
      <c r="J722" s="37"/>
    </row>
    <row r="723" spans="1:10" x14ac:dyDescent="0.3">
      <c r="A723" s="32" t="s">
        <v>26</v>
      </c>
      <c r="B723" s="32"/>
      <c r="C723" s="33" t="s">
        <v>34</v>
      </c>
      <c r="D723" s="34"/>
      <c r="E723" s="35"/>
      <c r="F723" s="34"/>
      <c r="G723" s="32"/>
      <c r="H723" s="33"/>
      <c r="I723" s="33"/>
      <c r="J723" s="33"/>
    </row>
    <row r="724" spans="1:10" x14ac:dyDescent="0.3">
      <c r="A724" s="32" t="s">
        <v>22</v>
      </c>
      <c r="B724" s="32">
        <v>2023</v>
      </c>
      <c r="C724" s="33" t="s">
        <v>34</v>
      </c>
      <c r="D724" s="34" t="s">
        <v>2002</v>
      </c>
      <c r="E724" s="35" t="str">
        <f t="shared" ref="E724:E744" si="178">_xlfn.CONCAT(A724,"'!")</f>
        <v>PSNP'!</v>
      </c>
      <c r="F724" s="34" t="str">
        <f t="shared" ref="F724:F744" si="179">_xlfn.CONCAT(D724:E724)</f>
        <v>C:\Users\jaime.benazar\Quorum Business Solutions\Ecopetrol Prometeo - Documents\Planning Space Implementation\3. Analysis &amp; Design\Design\FC22\DRR Jaime\Neiva CPI\[DINA TERCIARIOS_CF_SEC_New_27-Mar-2024.xlsx]D-PSNP'!</v>
      </c>
      <c r="G724" s="32" t="s">
        <v>102</v>
      </c>
      <c r="H724" s="33"/>
      <c r="I724" s="33"/>
      <c r="J724" s="37"/>
    </row>
    <row r="725" spans="1:10" x14ac:dyDescent="0.3">
      <c r="A725" s="32" t="s">
        <v>22</v>
      </c>
      <c r="B725" s="32">
        <f>+B724+1</f>
        <v>2024</v>
      </c>
      <c r="C725" s="33" t="s">
        <v>34</v>
      </c>
      <c r="D725" s="34" t="s">
        <v>2002</v>
      </c>
      <c r="E725" s="35" t="str">
        <f t="shared" si="178"/>
        <v>PSNP'!</v>
      </c>
      <c r="F725" s="34" t="str">
        <f t="shared" si="179"/>
        <v>C:\Users\jaime.benazar\Quorum Business Solutions\Ecopetrol Prometeo - Documents\Planning Space Implementation\3. Analysis &amp; Design\Design\FC22\DRR Jaime\Neiva CPI\[DINA TERCIARIOS_CF_SEC_New_27-Mar-2024.xlsx]D-PSNP'!</v>
      </c>
      <c r="G725" s="32" t="s">
        <v>102</v>
      </c>
      <c r="H725" s="33"/>
      <c r="I725" s="33"/>
      <c r="J725" s="37"/>
    </row>
    <row r="726" spans="1:10" x14ac:dyDescent="0.3">
      <c r="A726" s="32" t="s">
        <v>22</v>
      </c>
      <c r="B726" s="32">
        <f t="shared" ref="B726:B737" si="180">+B725+1</f>
        <v>2025</v>
      </c>
      <c r="C726" s="33" t="s">
        <v>34</v>
      </c>
      <c r="D726" s="34" t="s">
        <v>2002</v>
      </c>
      <c r="E726" s="35" t="str">
        <f t="shared" si="178"/>
        <v>PSNP'!</v>
      </c>
      <c r="F726" s="34" t="str">
        <f t="shared" si="179"/>
        <v>C:\Users\jaime.benazar\Quorum Business Solutions\Ecopetrol Prometeo - Documents\Planning Space Implementation\3. Analysis &amp; Design\Design\FC22\DRR Jaime\Neiva CPI\[DINA TERCIARIOS_CF_SEC_New_27-Mar-2024.xlsx]D-PSNP'!</v>
      </c>
      <c r="G726" s="32" t="s">
        <v>102</v>
      </c>
      <c r="H726" s="33"/>
      <c r="I726" s="33"/>
      <c r="J726" s="37"/>
    </row>
    <row r="727" spans="1:10" x14ac:dyDescent="0.3">
      <c r="A727" s="32" t="s">
        <v>22</v>
      </c>
      <c r="B727" s="32">
        <f t="shared" si="180"/>
        <v>2026</v>
      </c>
      <c r="C727" s="33" t="s">
        <v>34</v>
      </c>
      <c r="D727" s="34" t="s">
        <v>2002</v>
      </c>
      <c r="E727" s="35" t="str">
        <f t="shared" si="178"/>
        <v>PSNP'!</v>
      </c>
      <c r="F727" s="34" t="str">
        <f t="shared" si="179"/>
        <v>C:\Users\jaime.benazar\Quorum Business Solutions\Ecopetrol Prometeo - Documents\Planning Space Implementation\3. Analysis &amp; Design\Design\FC22\DRR Jaime\Neiva CPI\[DINA TERCIARIOS_CF_SEC_New_27-Mar-2024.xlsx]D-PSNP'!</v>
      </c>
      <c r="G727" s="32" t="s">
        <v>102</v>
      </c>
      <c r="H727" s="33"/>
      <c r="I727" s="33"/>
      <c r="J727" s="37"/>
    </row>
    <row r="728" spans="1:10" x14ac:dyDescent="0.3">
      <c r="A728" s="32" t="s">
        <v>22</v>
      </c>
      <c r="B728" s="32">
        <f t="shared" si="180"/>
        <v>2027</v>
      </c>
      <c r="C728" s="33" t="s">
        <v>34</v>
      </c>
      <c r="D728" s="34" t="s">
        <v>2002</v>
      </c>
      <c r="E728" s="35" t="str">
        <f t="shared" si="178"/>
        <v>PSNP'!</v>
      </c>
      <c r="F728" s="34" t="str">
        <f t="shared" si="179"/>
        <v>C:\Users\jaime.benazar\Quorum Business Solutions\Ecopetrol Prometeo - Documents\Planning Space Implementation\3. Analysis &amp; Design\Design\FC22\DRR Jaime\Neiva CPI\[DINA TERCIARIOS_CF_SEC_New_27-Mar-2024.xlsx]D-PSNP'!</v>
      </c>
      <c r="G728" s="32" t="s">
        <v>102</v>
      </c>
      <c r="H728" s="33"/>
      <c r="I728" s="33"/>
      <c r="J728" s="37"/>
    </row>
    <row r="729" spans="1:10" x14ac:dyDescent="0.3">
      <c r="A729" s="32" t="s">
        <v>22</v>
      </c>
      <c r="B729" s="32">
        <f t="shared" si="180"/>
        <v>2028</v>
      </c>
      <c r="C729" s="33" t="s">
        <v>34</v>
      </c>
      <c r="D729" s="34" t="s">
        <v>2002</v>
      </c>
      <c r="E729" s="35" t="str">
        <f t="shared" si="178"/>
        <v>PSNP'!</v>
      </c>
      <c r="F729" s="34" t="str">
        <f t="shared" si="179"/>
        <v>C:\Users\jaime.benazar\Quorum Business Solutions\Ecopetrol Prometeo - Documents\Planning Space Implementation\3. Analysis &amp; Design\Design\FC22\DRR Jaime\Neiva CPI\[DINA TERCIARIOS_CF_SEC_New_27-Mar-2024.xlsx]D-PSNP'!</v>
      </c>
      <c r="G729" s="32" t="s">
        <v>102</v>
      </c>
      <c r="H729" s="33"/>
      <c r="I729" s="33"/>
      <c r="J729" s="37"/>
    </row>
    <row r="730" spans="1:10" x14ac:dyDescent="0.3">
      <c r="A730" s="32" t="s">
        <v>22</v>
      </c>
      <c r="B730" s="32">
        <f t="shared" si="180"/>
        <v>2029</v>
      </c>
      <c r="C730" s="33" t="s">
        <v>34</v>
      </c>
      <c r="D730" s="34" t="s">
        <v>2002</v>
      </c>
      <c r="E730" s="35" t="str">
        <f t="shared" si="178"/>
        <v>PSNP'!</v>
      </c>
      <c r="F730" s="34" t="str">
        <f t="shared" si="179"/>
        <v>C:\Users\jaime.benazar\Quorum Business Solutions\Ecopetrol Prometeo - Documents\Planning Space Implementation\3. Analysis &amp; Design\Design\FC22\DRR Jaime\Neiva CPI\[DINA TERCIARIOS_CF_SEC_New_27-Mar-2024.xlsx]D-PSNP'!</v>
      </c>
      <c r="G730" s="32" t="s">
        <v>102</v>
      </c>
      <c r="H730" s="33"/>
      <c r="I730" s="33"/>
      <c r="J730" s="37"/>
    </row>
    <row r="731" spans="1:10" x14ac:dyDescent="0.3">
      <c r="A731" s="32" t="s">
        <v>22</v>
      </c>
      <c r="B731" s="32">
        <f t="shared" si="180"/>
        <v>2030</v>
      </c>
      <c r="C731" s="33" t="s">
        <v>34</v>
      </c>
      <c r="D731" s="34" t="s">
        <v>2002</v>
      </c>
      <c r="E731" s="35" t="str">
        <f t="shared" si="178"/>
        <v>PSNP'!</v>
      </c>
      <c r="F731" s="34" t="str">
        <f t="shared" si="179"/>
        <v>C:\Users\jaime.benazar\Quorum Business Solutions\Ecopetrol Prometeo - Documents\Planning Space Implementation\3. Analysis &amp; Design\Design\FC22\DRR Jaime\Neiva CPI\[DINA TERCIARIOS_CF_SEC_New_27-Mar-2024.xlsx]D-PSNP'!</v>
      </c>
      <c r="G731" s="32" t="s">
        <v>102</v>
      </c>
      <c r="H731" s="33"/>
      <c r="I731" s="33"/>
      <c r="J731" s="37"/>
    </row>
    <row r="732" spans="1:10" x14ac:dyDescent="0.3">
      <c r="A732" s="32" t="s">
        <v>22</v>
      </c>
      <c r="B732" s="32">
        <f t="shared" si="180"/>
        <v>2031</v>
      </c>
      <c r="C732" s="33" t="s">
        <v>34</v>
      </c>
      <c r="D732" s="34" t="s">
        <v>2002</v>
      </c>
      <c r="E732" s="35" t="str">
        <f t="shared" si="178"/>
        <v>PSNP'!</v>
      </c>
      <c r="F732" s="34" t="str">
        <f t="shared" si="179"/>
        <v>C:\Users\jaime.benazar\Quorum Business Solutions\Ecopetrol Prometeo - Documents\Planning Space Implementation\3. Analysis &amp; Design\Design\FC22\DRR Jaime\Neiva CPI\[DINA TERCIARIOS_CF_SEC_New_27-Mar-2024.xlsx]D-PSNP'!</v>
      </c>
      <c r="G732" s="32" t="s">
        <v>102</v>
      </c>
      <c r="H732" s="33"/>
      <c r="I732" s="33"/>
      <c r="J732" s="37"/>
    </row>
    <row r="733" spans="1:10" x14ac:dyDescent="0.3">
      <c r="A733" s="32" t="s">
        <v>22</v>
      </c>
      <c r="B733" s="32">
        <f t="shared" si="180"/>
        <v>2032</v>
      </c>
      <c r="C733" s="33" t="s">
        <v>34</v>
      </c>
      <c r="D733" s="34" t="s">
        <v>2002</v>
      </c>
      <c r="E733" s="35" t="str">
        <f t="shared" si="178"/>
        <v>PSNP'!</v>
      </c>
      <c r="F733" s="34" t="str">
        <f t="shared" si="179"/>
        <v>C:\Users\jaime.benazar\Quorum Business Solutions\Ecopetrol Prometeo - Documents\Planning Space Implementation\3. Analysis &amp; Design\Design\FC22\DRR Jaime\Neiva CPI\[DINA TERCIARIOS_CF_SEC_New_27-Mar-2024.xlsx]D-PSNP'!</v>
      </c>
      <c r="G733" s="32" t="s">
        <v>102</v>
      </c>
      <c r="H733" s="33"/>
      <c r="I733" s="33"/>
      <c r="J733" s="37"/>
    </row>
    <row r="734" spans="1:10" x14ac:dyDescent="0.3">
      <c r="A734" s="32" t="s">
        <v>22</v>
      </c>
      <c r="B734" s="32">
        <f t="shared" si="180"/>
        <v>2033</v>
      </c>
      <c r="C734" s="33" t="s">
        <v>34</v>
      </c>
      <c r="D734" s="34" t="s">
        <v>2002</v>
      </c>
      <c r="E734" s="35" t="str">
        <f t="shared" si="178"/>
        <v>PSNP'!</v>
      </c>
      <c r="F734" s="34" t="str">
        <f t="shared" si="179"/>
        <v>C:\Users\jaime.benazar\Quorum Business Solutions\Ecopetrol Prometeo - Documents\Planning Space Implementation\3. Analysis &amp; Design\Design\FC22\DRR Jaime\Neiva CPI\[DINA TERCIARIOS_CF_SEC_New_27-Mar-2024.xlsx]D-PSNP'!</v>
      </c>
      <c r="G734" s="32" t="s">
        <v>102</v>
      </c>
      <c r="H734" s="33"/>
      <c r="I734" s="33"/>
      <c r="J734" s="37"/>
    </row>
    <row r="735" spans="1:10" x14ac:dyDescent="0.3">
      <c r="A735" s="32" t="s">
        <v>22</v>
      </c>
      <c r="B735" s="32">
        <f t="shared" si="180"/>
        <v>2034</v>
      </c>
      <c r="C735" s="33" t="s">
        <v>34</v>
      </c>
      <c r="D735" s="34" t="s">
        <v>2002</v>
      </c>
      <c r="E735" s="35" t="str">
        <f t="shared" si="178"/>
        <v>PSNP'!</v>
      </c>
      <c r="F735" s="34" t="str">
        <f t="shared" si="179"/>
        <v>C:\Users\jaime.benazar\Quorum Business Solutions\Ecopetrol Prometeo - Documents\Planning Space Implementation\3. Analysis &amp; Design\Design\FC22\DRR Jaime\Neiva CPI\[DINA TERCIARIOS_CF_SEC_New_27-Mar-2024.xlsx]D-PSNP'!</v>
      </c>
      <c r="G735" s="32" t="s">
        <v>102</v>
      </c>
      <c r="H735" s="33"/>
      <c r="I735" s="33"/>
      <c r="J735" s="37"/>
    </row>
    <row r="736" spans="1:10" x14ac:dyDescent="0.3">
      <c r="A736" s="32" t="s">
        <v>22</v>
      </c>
      <c r="B736" s="32">
        <f t="shared" si="180"/>
        <v>2035</v>
      </c>
      <c r="C736" s="33" t="s">
        <v>34</v>
      </c>
      <c r="D736" s="34" t="s">
        <v>2002</v>
      </c>
      <c r="E736" s="35" t="str">
        <f t="shared" si="178"/>
        <v>PSNP'!</v>
      </c>
      <c r="F736" s="34" t="str">
        <f t="shared" si="179"/>
        <v>C:\Users\jaime.benazar\Quorum Business Solutions\Ecopetrol Prometeo - Documents\Planning Space Implementation\3. Analysis &amp; Design\Design\FC22\DRR Jaime\Neiva CPI\[DINA TERCIARIOS_CF_SEC_New_27-Mar-2024.xlsx]D-PSNP'!</v>
      </c>
      <c r="G736" s="32" t="s">
        <v>102</v>
      </c>
      <c r="H736" s="33"/>
      <c r="I736" s="33"/>
      <c r="J736" s="37"/>
    </row>
    <row r="737" spans="1:10" x14ac:dyDescent="0.3">
      <c r="A737" s="32" t="s">
        <v>22</v>
      </c>
      <c r="B737" s="32">
        <f t="shared" si="180"/>
        <v>2036</v>
      </c>
      <c r="C737" s="33" t="s">
        <v>34</v>
      </c>
      <c r="D737" s="34" t="s">
        <v>2002</v>
      </c>
      <c r="E737" s="35" t="str">
        <f t="shared" si="178"/>
        <v>PSNP'!</v>
      </c>
      <c r="F737" s="34" t="str">
        <f t="shared" si="179"/>
        <v>C:\Users\jaime.benazar\Quorum Business Solutions\Ecopetrol Prometeo - Documents\Planning Space Implementation\3. Analysis &amp; Design\Design\FC22\DRR Jaime\Neiva CPI\[DINA TERCIARIOS_CF_SEC_New_27-Mar-2024.xlsx]D-PSNP'!</v>
      </c>
      <c r="G737" s="32" t="s">
        <v>102</v>
      </c>
      <c r="H737" s="33"/>
      <c r="I737" s="33"/>
      <c r="J737" s="37"/>
    </row>
    <row r="738" spans="1:10" x14ac:dyDescent="0.3">
      <c r="A738" s="32" t="s">
        <v>22</v>
      </c>
      <c r="B738" s="32">
        <f>+B737+1</f>
        <v>2037</v>
      </c>
      <c r="C738" s="33" t="s">
        <v>34</v>
      </c>
      <c r="D738" s="34" t="s">
        <v>2002</v>
      </c>
      <c r="E738" s="35" t="str">
        <f t="shared" si="178"/>
        <v>PSNP'!</v>
      </c>
      <c r="F738" s="34" t="str">
        <f t="shared" si="179"/>
        <v>C:\Users\jaime.benazar\Quorum Business Solutions\Ecopetrol Prometeo - Documents\Planning Space Implementation\3. Analysis &amp; Design\Design\FC22\DRR Jaime\Neiva CPI\[DINA TERCIARIOS_CF_SEC_New_27-Mar-2024.xlsx]D-PSNP'!</v>
      </c>
      <c r="G738" s="32" t="s">
        <v>102</v>
      </c>
      <c r="H738" s="33"/>
      <c r="I738" s="33"/>
      <c r="J738" s="37"/>
    </row>
    <row r="739" spans="1:10" x14ac:dyDescent="0.3">
      <c r="A739" s="32" t="s">
        <v>22</v>
      </c>
      <c r="B739" s="32">
        <f t="shared" ref="B739:B741" si="181">+B738+1</f>
        <v>2038</v>
      </c>
      <c r="C739" s="33" t="s">
        <v>34</v>
      </c>
      <c r="D739" s="34" t="s">
        <v>2002</v>
      </c>
      <c r="E739" s="35" t="str">
        <f t="shared" si="178"/>
        <v>PSNP'!</v>
      </c>
      <c r="F739" s="34" t="str">
        <f t="shared" si="179"/>
        <v>C:\Users\jaime.benazar\Quorum Business Solutions\Ecopetrol Prometeo - Documents\Planning Space Implementation\3. Analysis &amp; Design\Design\FC22\DRR Jaime\Neiva CPI\[DINA TERCIARIOS_CF_SEC_New_27-Mar-2024.xlsx]D-PSNP'!</v>
      </c>
      <c r="G739" s="32" t="s">
        <v>102</v>
      </c>
      <c r="H739" s="33"/>
      <c r="I739" s="33"/>
      <c r="J739" s="37"/>
    </row>
    <row r="740" spans="1:10" x14ac:dyDescent="0.3">
      <c r="A740" s="32" t="s">
        <v>22</v>
      </c>
      <c r="B740" s="32">
        <f t="shared" si="181"/>
        <v>2039</v>
      </c>
      <c r="C740" s="33" t="s">
        <v>34</v>
      </c>
      <c r="D740" s="34" t="s">
        <v>2002</v>
      </c>
      <c r="E740" s="35" t="str">
        <f t="shared" si="178"/>
        <v>PSNP'!</v>
      </c>
      <c r="F740" s="34" t="str">
        <f t="shared" si="179"/>
        <v>C:\Users\jaime.benazar\Quorum Business Solutions\Ecopetrol Prometeo - Documents\Planning Space Implementation\3. Analysis &amp; Design\Design\FC22\DRR Jaime\Neiva CPI\[DINA TERCIARIOS_CF_SEC_New_27-Mar-2024.xlsx]D-PSNP'!</v>
      </c>
      <c r="G740" s="32" t="s">
        <v>102</v>
      </c>
      <c r="H740" s="33"/>
      <c r="I740" s="33"/>
      <c r="J740" s="37"/>
    </row>
    <row r="741" spans="1:10" x14ac:dyDescent="0.3">
      <c r="A741" s="32" t="s">
        <v>22</v>
      </c>
      <c r="B741" s="32">
        <f t="shared" si="181"/>
        <v>2040</v>
      </c>
      <c r="C741" s="33" t="s">
        <v>34</v>
      </c>
      <c r="D741" s="34" t="s">
        <v>2002</v>
      </c>
      <c r="E741" s="35" t="str">
        <f t="shared" si="178"/>
        <v>PSNP'!</v>
      </c>
      <c r="F741" s="34" t="str">
        <f t="shared" si="179"/>
        <v>C:\Users\jaime.benazar\Quorum Business Solutions\Ecopetrol Prometeo - Documents\Planning Space Implementation\3. Analysis &amp; Design\Design\FC22\DRR Jaime\Neiva CPI\[DINA TERCIARIOS_CF_SEC_New_27-Mar-2024.xlsx]D-PSNP'!</v>
      </c>
      <c r="G741" s="32" t="s">
        <v>102</v>
      </c>
      <c r="H741" s="33"/>
      <c r="I741" s="33"/>
      <c r="J741" s="37"/>
    </row>
    <row r="742" spans="1:10" x14ac:dyDescent="0.3">
      <c r="A742" s="32" t="s">
        <v>22</v>
      </c>
      <c r="B742" s="32">
        <f>+B741+1</f>
        <v>2041</v>
      </c>
      <c r="C742" s="33" t="s">
        <v>34</v>
      </c>
      <c r="D742" s="34" t="s">
        <v>2002</v>
      </c>
      <c r="E742" s="35" t="str">
        <f t="shared" si="178"/>
        <v>PSNP'!</v>
      </c>
      <c r="F742" s="34" t="str">
        <f t="shared" si="179"/>
        <v>C:\Users\jaime.benazar\Quorum Business Solutions\Ecopetrol Prometeo - Documents\Planning Space Implementation\3. Analysis &amp; Design\Design\FC22\DRR Jaime\Neiva CPI\[DINA TERCIARIOS_CF_SEC_New_27-Mar-2024.xlsx]D-PSNP'!</v>
      </c>
      <c r="G742" s="32" t="s">
        <v>102</v>
      </c>
      <c r="H742" s="33"/>
      <c r="I742" s="33"/>
      <c r="J742" s="37"/>
    </row>
    <row r="743" spans="1:10" x14ac:dyDescent="0.3">
      <c r="A743" s="32" t="s">
        <v>22</v>
      </c>
      <c r="B743" s="32">
        <f t="shared" ref="B743:B744" si="182">+B742+1</f>
        <v>2042</v>
      </c>
      <c r="C743" s="33" t="s">
        <v>34</v>
      </c>
      <c r="D743" s="34" t="s">
        <v>2002</v>
      </c>
      <c r="E743" s="35" t="str">
        <f t="shared" si="178"/>
        <v>PSNP'!</v>
      </c>
      <c r="F743" s="34" t="str">
        <f t="shared" si="179"/>
        <v>C:\Users\jaime.benazar\Quorum Business Solutions\Ecopetrol Prometeo - Documents\Planning Space Implementation\3. Analysis &amp; Design\Design\FC22\DRR Jaime\Neiva CPI\[DINA TERCIARIOS_CF_SEC_New_27-Mar-2024.xlsx]D-PSNP'!</v>
      </c>
      <c r="G743" s="32" t="s">
        <v>102</v>
      </c>
      <c r="H743" s="33"/>
      <c r="I743" s="33"/>
      <c r="J743" s="37"/>
    </row>
    <row r="744" spans="1:10" x14ac:dyDescent="0.3">
      <c r="A744" s="32" t="s">
        <v>22</v>
      </c>
      <c r="B744" s="32">
        <f t="shared" si="182"/>
        <v>2043</v>
      </c>
      <c r="C744" s="33" t="s">
        <v>34</v>
      </c>
      <c r="D744" s="34" t="s">
        <v>2002</v>
      </c>
      <c r="E744" s="35" t="str">
        <f t="shared" si="178"/>
        <v>PSNP'!</v>
      </c>
      <c r="F744" s="34" t="str">
        <f t="shared" si="179"/>
        <v>C:\Users\jaime.benazar\Quorum Business Solutions\Ecopetrol Prometeo - Documents\Planning Space Implementation\3. Analysis &amp; Design\Design\FC22\DRR Jaime\Neiva CPI\[DINA TERCIARIOS_CF_SEC_New_27-Mar-2024.xlsx]D-PSNP'!</v>
      </c>
      <c r="G744" s="32" t="s">
        <v>102</v>
      </c>
      <c r="H744" s="33"/>
      <c r="I744" s="33"/>
      <c r="J744" s="37"/>
    </row>
    <row r="745" spans="1:10" x14ac:dyDescent="0.3">
      <c r="A745" s="32" t="s">
        <v>22</v>
      </c>
      <c r="B745" s="32">
        <f>+B744+1</f>
        <v>2044</v>
      </c>
      <c r="C745" s="33" t="s">
        <v>34</v>
      </c>
      <c r="D745" s="34" t="s">
        <v>2002</v>
      </c>
      <c r="E745" s="35" t="str">
        <f t="shared" ref="E745:E760" si="183">_xlfn.CONCAT(A745,"'!")</f>
        <v>PSNP'!</v>
      </c>
      <c r="F745" s="34" t="str">
        <f t="shared" ref="F745:F760" si="184">_xlfn.CONCAT(D745:E745)</f>
        <v>C:\Users\jaime.benazar\Quorum Business Solutions\Ecopetrol Prometeo - Documents\Planning Space Implementation\3. Analysis &amp; Design\Design\FC22\DRR Jaime\Neiva CPI\[DINA TERCIARIOS_CF_SEC_New_27-Mar-2024.xlsx]D-PSNP'!</v>
      </c>
      <c r="G745" s="32" t="s">
        <v>102</v>
      </c>
      <c r="H745" s="33"/>
      <c r="I745" s="33"/>
      <c r="J745" s="37"/>
    </row>
    <row r="746" spans="1:10" x14ac:dyDescent="0.3">
      <c r="A746" s="32" t="s">
        <v>22</v>
      </c>
      <c r="B746" s="32">
        <f t="shared" ref="B746:B760" si="185">+B745+1</f>
        <v>2045</v>
      </c>
      <c r="C746" s="33" t="s">
        <v>34</v>
      </c>
      <c r="D746" s="34" t="s">
        <v>2002</v>
      </c>
      <c r="E746" s="35" t="str">
        <f t="shared" si="183"/>
        <v>PSNP'!</v>
      </c>
      <c r="F746" s="34" t="str">
        <f t="shared" si="184"/>
        <v>C:\Users\jaime.benazar\Quorum Business Solutions\Ecopetrol Prometeo - Documents\Planning Space Implementation\3. Analysis &amp; Design\Design\FC22\DRR Jaime\Neiva CPI\[DINA TERCIARIOS_CF_SEC_New_27-Mar-2024.xlsx]D-PSNP'!</v>
      </c>
      <c r="G746" s="32" t="s">
        <v>102</v>
      </c>
      <c r="H746" s="33"/>
      <c r="I746" s="33"/>
      <c r="J746" s="37"/>
    </row>
    <row r="747" spans="1:10" x14ac:dyDescent="0.3">
      <c r="A747" s="32" t="s">
        <v>22</v>
      </c>
      <c r="B747" s="32">
        <f t="shared" si="185"/>
        <v>2046</v>
      </c>
      <c r="C747" s="33" t="s">
        <v>34</v>
      </c>
      <c r="D747" s="34" t="s">
        <v>2002</v>
      </c>
      <c r="E747" s="35" t="str">
        <f t="shared" si="183"/>
        <v>PSNP'!</v>
      </c>
      <c r="F747" s="34" t="str">
        <f t="shared" si="184"/>
        <v>C:\Users\jaime.benazar\Quorum Business Solutions\Ecopetrol Prometeo - Documents\Planning Space Implementation\3. Analysis &amp; Design\Design\FC22\DRR Jaime\Neiva CPI\[DINA TERCIARIOS_CF_SEC_New_27-Mar-2024.xlsx]D-PSNP'!</v>
      </c>
      <c r="G747" s="32" t="s">
        <v>102</v>
      </c>
      <c r="H747" s="33"/>
      <c r="I747" s="33"/>
      <c r="J747" s="37"/>
    </row>
    <row r="748" spans="1:10" x14ac:dyDescent="0.3">
      <c r="A748" s="32" t="s">
        <v>22</v>
      </c>
      <c r="B748" s="32">
        <f t="shared" si="185"/>
        <v>2047</v>
      </c>
      <c r="C748" s="33" t="s">
        <v>34</v>
      </c>
      <c r="D748" s="34" t="s">
        <v>2002</v>
      </c>
      <c r="E748" s="35" t="str">
        <f t="shared" si="183"/>
        <v>PSNP'!</v>
      </c>
      <c r="F748" s="34" t="str">
        <f t="shared" si="184"/>
        <v>C:\Users\jaime.benazar\Quorum Business Solutions\Ecopetrol Prometeo - Documents\Planning Space Implementation\3. Analysis &amp; Design\Design\FC22\DRR Jaime\Neiva CPI\[DINA TERCIARIOS_CF_SEC_New_27-Mar-2024.xlsx]D-PSNP'!</v>
      </c>
      <c r="G748" s="32" t="s">
        <v>102</v>
      </c>
      <c r="H748" s="33"/>
      <c r="I748" s="33"/>
      <c r="J748" s="37"/>
    </row>
    <row r="749" spans="1:10" x14ac:dyDescent="0.3">
      <c r="A749" s="32" t="s">
        <v>22</v>
      </c>
      <c r="B749" s="32">
        <f t="shared" si="185"/>
        <v>2048</v>
      </c>
      <c r="C749" s="33" t="s">
        <v>34</v>
      </c>
      <c r="D749" s="34" t="s">
        <v>2002</v>
      </c>
      <c r="E749" s="35" t="str">
        <f t="shared" si="183"/>
        <v>PSNP'!</v>
      </c>
      <c r="F749" s="34" t="str">
        <f t="shared" si="184"/>
        <v>C:\Users\jaime.benazar\Quorum Business Solutions\Ecopetrol Prometeo - Documents\Planning Space Implementation\3. Analysis &amp; Design\Design\FC22\DRR Jaime\Neiva CPI\[DINA TERCIARIOS_CF_SEC_New_27-Mar-2024.xlsx]D-PSNP'!</v>
      </c>
      <c r="G749" s="32" t="s">
        <v>102</v>
      </c>
      <c r="H749" s="33"/>
      <c r="I749" s="33"/>
      <c r="J749" s="37"/>
    </row>
    <row r="750" spans="1:10" x14ac:dyDescent="0.3">
      <c r="A750" s="32" t="s">
        <v>22</v>
      </c>
      <c r="B750" s="32">
        <f t="shared" si="185"/>
        <v>2049</v>
      </c>
      <c r="C750" s="33" t="s">
        <v>34</v>
      </c>
      <c r="D750" s="34" t="s">
        <v>2002</v>
      </c>
      <c r="E750" s="35" t="str">
        <f t="shared" si="183"/>
        <v>PSNP'!</v>
      </c>
      <c r="F750" s="34" t="str">
        <f t="shared" si="184"/>
        <v>C:\Users\jaime.benazar\Quorum Business Solutions\Ecopetrol Prometeo - Documents\Planning Space Implementation\3. Analysis &amp; Design\Design\FC22\DRR Jaime\Neiva CPI\[DINA TERCIARIOS_CF_SEC_New_27-Mar-2024.xlsx]D-PSNP'!</v>
      </c>
      <c r="G750" s="32" t="s">
        <v>102</v>
      </c>
      <c r="H750" s="33"/>
      <c r="I750" s="33"/>
      <c r="J750" s="37"/>
    </row>
    <row r="751" spans="1:10" x14ac:dyDescent="0.3">
      <c r="A751" s="32" t="s">
        <v>22</v>
      </c>
      <c r="B751" s="32">
        <f t="shared" si="185"/>
        <v>2050</v>
      </c>
      <c r="C751" s="33" t="s">
        <v>34</v>
      </c>
      <c r="D751" s="34" t="s">
        <v>2002</v>
      </c>
      <c r="E751" s="35" t="str">
        <f t="shared" si="183"/>
        <v>PSNP'!</v>
      </c>
      <c r="F751" s="34" t="str">
        <f t="shared" si="184"/>
        <v>C:\Users\jaime.benazar\Quorum Business Solutions\Ecopetrol Prometeo - Documents\Planning Space Implementation\3. Analysis &amp; Design\Design\FC22\DRR Jaime\Neiva CPI\[DINA TERCIARIOS_CF_SEC_New_27-Mar-2024.xlsx]D-PSNP'!</v>
      </c>
      <c r="G751" s="32" t="s">
        <v>102</v>
      </c>
      <c r="H751" s="33"/>
      <c r="I751" s="33"/>
      <c r="J751" s="37"/>
    </row>
    <row r="752" spans="1:10" x14ac:dyDescent="0.3">
      <c r="A752" s="32" t="s">
        <v>22</v>
      </c>
      <c r="B752" s="32">
        <f t="shared" si="185"/>
        <v>2051</v>
      </c>
      <c r="C752" s="33" t="s">
        <v>34</v>
      </c>
      <c r="D752" s="34" t="s">
        <v>2002</v>
      </c>
      <c r="E752" s="35" t="str">
        <f t="shared" si="183"/>
        <v>PSNP'!</v>
      </c>
      <c r="F752" s="34" t="str">
        <f t="shared" si="184"/>
        <v>C:\Users\jaime.benazar\Quorum Business Solutions\Ecopetrol Prometeo - Documents\Planning Space Implementation\3. Analysis &amp; Design\Design\FC22\DRR Jaime\Neiva CPI\[DINA TERCIARIOS_CF_SEC_New_27-Mar-2024.xlsx]D-PSNP'!</v>
      </c>
      <c r="G752" s="32" t="s">
        <v>102</v>
      </c>
      <c r="H752" s="33"/>
      <c r="I752" s="33"/>
      <c r="J752" s="37"/>
    </row>
    <row r="753" spans="1:10" x14ac:dyDescent="0.3">
      <c r="A753" s="32" t="s">
        <v>22</v>
      </c>
      <c r="B753" s="32">
        <f t="shared" si="185"/>
        <v>2052</v>
      </c>
      <c r="C753" s="33" t="s">
        <v>34</v>
      </c>
      <c r="D753" s="34" t="s">
        <v>2002</v>
      </c>
      <c r="E753" s="35" t="str">
        <f t="shared" si="183"/>
        <v>PSNP'!</v>
      </c>
      <c r="F753" s="34" t="str">
        <f t="shared" si="184"/>
        <v>C:\Users\jaime.benazar\Quorum Business Solutions\Ecopetrol Prometeo - Documents\Planning Space Implementation\3. Analysis &amp; Design\Design\FC22\DRR Jaime\Neiva CPI\[DINA TERCIARIOS_CF_SEC_New_27-Mar-2024.xlsx]D-PSNP'!</v>
      </c>
      <c r="G753" s="32" t="s">
        <v>102</v>
      </c>
      <c r="H753" s="33"/>
      <c r="I753" s="33"/>
      <c r="J753" s="37"/>
    </row>
    <row r="754" spans="1:10" x14ac:dyDescent="0.3">
      <c r="A754" s="32" t="s">
        <v>22</v>
      </c>
      <c r="B754" s="32">
        <f t="shared" si="185"/>
        <v>2053</v>
      </c>
      <c r="C754" s="33" t="s">
        <v>34</v>
      </c>
      <c r="D754" s="34" t="s">
        <v>2002</v>
      </c>
      <c r="E754" s="35" t="str">
        <f t="shared" si="183"/>
        <v>PSNP'!</v>
      </c>
      <c r="F754" s="34" t="str">
        <f t="shared" si="184"/>
        <v>C:\Users\jaime.benazar\Quorum Business Solutions\Ecopetrol Prometeo - Documents\Planning Space Implementation\3. Analysis &amp; Design\Design\FC22\DRR Jaime\Neiva CPI\[DINA TERCIARIOS_CF_SEC_New_27-Mar-2024.xlsx]D-PSNP'!</v>
      </c>
      <c r="G754" s="32" t="s">
        <v>102</v>
      </c>
      <c r="H754" s="33"/>
      <c r="I754" s="33"/>
      <c r="J754" s="37"/>
    </row>
    <row r="755" spans="1:10" x14ac:dyDescent="0.3">
      <c r="A755" s="32" t="s">
        <v>22</v>
      </c>
      <c r="B755" s="32">
        <f t="shared" si="185"/>
        <v>2054</v>
      </c>
      <c r="C755" s="33" t="s">
        <v>34</v>
      </c>
      <c r="D755" s="34" t="s">
        <v>2002</v>
      </c>
      <c r="E755" s="35" t="str">
        <f t="shared" si="183"/>
        <v>PSNP'!</v>
      </c>
      <c r="F755" s="34" t="str">
        <f t="shared" si="184"/>
        <v>C:\Users\jaime.benazar\Quorum Business Solutions\Ecopetrol Prometeo - Documents\Planning Space Implementation\3. Analysis &amp; Design\Design\FC22\DRR Jaime\Neiva CPI\[DINA TERCIARIOS_CF_SEC_New_27-Mar-2024.xlsx]D-PSNP'!</v>
      </c>
      <c r="G755" s="32" t="s">
        <v>102</v>
      </c>
      <c r="H755" s="33"/>
      <c r="I755" s="33"/>
      <c r="J755" s="37"/>
    </row>
    <row r="756" spans="1:10" x14ac:dyDescent="0.3">
      <c r="A756" s="32" t="s">
        <v>22</v>
      </c>
      <c r="B756" s="32">
        <f t="shared" si="185"/>
        <v>2055</v>
      </c>
      <c r="C756" s="33" t="s">
        <v>34</v>
      </c>
      <c r="D756" s="34" t="s">
        <v>2002</v>
      </c>
      <c r="E756" s="35" t="str">
        <f t="shared" si="183"/>
        <v>PSNP'!</v>
      </c>
      <c r="F756" s="34" t="str">
        <f t="shared" si="184"/>
        <v>C:\Users\jaime.benazar\Quorum Business Solutions\Ecopetrol Prometeo - Documents\Planning Space Implementation\3. Analysis &amp; Design\Design\FC22\DRR Jaime\Neiva CPI\[DINA TERCIARIOS_CF_SEC_New_27-Mar-2024.xlsx]D-PSNP'!</v>
      </c>
      <c r="G756" s="32" t="s">
        <v>102</v>
      </c>
      <c r="H756" s="33"/>
      <c r="I756" s="33"/>
      <c r="J756" s="37"/>
    </row>
    <row r="757" spans="1:10" x14ac:dyDescent="0.3">
      <c r="A757" s="32" t="s">
        <v>22</v>
      </c>
      <c r="B757" s="32">
        <f t="shared" si="185"/>
        <v>2056</v>
      </c>
      <c r="C757" s="33" t="s">
        <v>34</v>
      </c>
      <c r="D757" s="34" t="s">
        <v>2002</v>
      </c>
      <c r="E757" s="35" t="str">
        <f t="shared" si="183"/>
        <v>PSNP'!</v>
      </c>
      <c r="F757" s="34" t="str">
        <f t="shared" si="184"/>
        <v>C:\Users\jaime.benazar\Quorum Business Solutions\Ecopetrol Prometeo - Documents\Planning Space Implementation\3. Analysis &amp; Design\Design\FC22\DRR Jaime\Neiva CPI\[DINA TERCIARIOS_CF_SEC_New_27-Mar-2024.xlsx]D-PSNP'!</v>
      </c>
      <c r="G757" s="32" t="s">
        <v>102</v>
      </c>
      <c r="H757" s="33"/>
      <c r="I757" s="33"/>
      <c r="J757" s="37"/>
    </row>
    <row r="758" spans="1:10" x14ac:dyDescent="0.3">
      <c r="A758" s="32" t="s">
        <v>22</v>
      </c>
      <c r="B758" s="32">
        <f t="shared" si="185"/>
        <v>2057</v>
      </c>
      <c r="C758" s="33" t="s">
        <v>34</v>
      </c>
      <c r="D758" s="34" t="s">
        <v>2002</v>
      </c>
      <c r="E758" s="35" t="str">
        <f t="shared" si="183"/>
        <v>PSNP'!</v>
      </c>
      <c r="F758" s="34" t="str">
        <f t="shared" si="184"/>
        <v>C:\Users\jaime.benazar\Quorum Business Solutions\Ecopetrol Prometeo - Documents\Planning Space Implementation\3. Analysis &amp; Design\Design\FC22\DRR Jaime\Neiva CPI\[DINA TERCIARIOS_CF_SEC_New_27-Mar-2024.xlsx]D-PSNP'!</v>
      </c>
      <c r="G758" s="32" t="s">
        <v>102</v>
      </c>
      <c r="H758" s="33"/>
      <c r="I758" s="33"/>
      <c r="J758" s="37"/>
    </row>
    <row r="759" spans="1:10" x14ac:dyDescent="0.3">
      <c r="A759" s="32" t="s">
        <v>22</v>
      </c>
      <c r="B759" s="32">
        <f t="shared" si="185"/>
        <v>2058</v>
      </c>
      <c r="C759" s="33" t="s">
        <v>34</v>
      </c>
      <c r="D759" s="34" t="s">
        <v>2002</v>
      </c>
      <c r="E759" s="35" t="str">
        <f t="shared" si="183"/>
        <v>PSNP'!</v>
      </c>
      <c r="F759" s="34" t="str">
        <f t="shared" si="184"/>
        <v>C:\Users\jaime.benazar\Quorum Business Solutions\Ecopetrol Prometeo - Documents\Planning Space Implementation\3. Analysis &amp; Design\Design\FC22\DRR Jaime\Neiva CPI\[DINA TERCIARIOS_CF_SEC_New_27-Mar-2024.xlsx]D-PSNP'!</v>
      </c>
      <c r="G759" s="32" t="s">
        <v>102</v>
      </c>
      <c r="H759" s="33"/>
      <c r="I759" s="33"/>
      <c r="J759" s="37"/>
    </row>
    <row r="760" spans="1:10" x14ac:dyDescent="0.3">
      <c r="A760" s="32" t="s">
        <v>22</v>
      </c>
      <c r="B760" s="32">
        <f t="shared" si="185"/>
        <v>2059</v>
      </c>
      <c r="C760" s="33" t="s">
        <v>34</v>
      </c>
      <c r="D760" s="34" t="s">
        <v>2002</v>
      </c>
      <c r="E760" s="35" t="str">
        <f t="shared" si="183"/>
        <v>PSNP'!</v>
      </c>
      <c r="F760" s="34" t="str">
        <f t="shared" si="184"/>
        <v>C:\Users\jaime.benazar\Quorum Business Solutions\Ecopetrol Prometeo - Documents\Planning Space Implementation\3. Analysis &amp; Design\Design\FC22\DRR Jaime\Neiva CPI\[DINA TERCIARIOS_CF_SEC_New_27-Mar-2024.xlsx]D-PSNP'!</v>
      </c>
      <c r="G760" s="32" t="s">
        <v>102</v>
      </c>
      <c r="H760" s="33"/>
      <c r="I760" s="33"/>
      <c r="J760" s="37"/>
    </row>
    <row r="761" spans="1:10" x14ac:dyDescent="0.3">
      <c r="A761" s="32" t="s">
        <v>26</v>
      </c>
      <c r="B761" s="32"/>
      <c r="C761" s="33" t="s">
        <v>34</v>
      </c>
      <c r="D761" s="34"/>
      <c r="E761" s="35"/>
      <c r="F761" s="34"/>
      <c r="G761" s="32"/>
      <c r="H761" s="33"/>
      <c r="I761" s="33"/>
      <c r="J761" s="33"/>
    </row>
    <row r="762" spans="1:10" x14ac:dyDescent="0.3">
      <c r="A762" s="32" t="s">
        <v>23</v>
      </c>
      <c r="B762" s="32">
        <v>2023</v>
      </c>
      <c r="C762" s="33" t="s">
        <v>34</v>
      </c>
      <c r="D762" s="34" t="s">
        <v>2002</v>
      </c>
      <c r="E762" s="35" t="str">
        <f t="shared" ref="E762:E782" si="186">_xlfn.CONCAT(A762,"'!")</f>
        <v>PSND'!</v>
      </c>
      <c r="F762" s="34" t="str">
        <f t="shared" ref="F762:F782" si="187">_xlfn.CONCAT(D762:E762)</f>
        <v>C:\Users\jaime.benazar\Quorum Business Solutions\Ecopetrol Prometeo - Documents\Planning Space Implementation\3. Analysis &amp; Design\Design\FC22\DRR Jaime\Neiva CPI\[DINA TERCIARIOS_CF_SEC_New_27-Mar-2024.xlsx]D-PSND'!</v>
      </c>
      <c r="G762" s="32" t="s">
        <v>102</v>
      </c>
      <c r="H762" s="33"/>
      <c r="I762" s="33"/>
      <c r="J762" s="37"/>
    </row>
    <row r="763" spans="1:10" x14ac:dyDescent="0.3">
      <c r="A763" s="32" t="s">
        <v>23</v>
      </c>
      <c r="B763" s="32">
        <f>+B762+1</f>
        <v>2024</v>
      </c>
      <c r="C763" s="33" t="s">
        <v>34</v>
      </c>
      <c r="D763" s="34" t="s">
        <v>2002</v>
      </c>
      <c r="E763" s="35" t="str">
        <f t="shared" si="186"/>
        <v>PSND'!</v>
      </c>
      <c r="F763" s="34" t="str">
        <f t="shared" si="187"/>
        <v>C:\Users\jaime.benazar\Quorum Business Solutions\Ecopetrol Prometeo - Documents\Planning Space Implementation\3. Analysis &amp; Design\Design\FC22\DRR Jaime\Neiva CPI\[DINA TERCIARIOS_CF_SEC_New_27-Mar-2024.xlsx]D-PSND'!</v>
      </c>
      <c r="G763" s="32" t="s">
        <v>102</v>
      </c>
      <c r="H763" s="33"/>
      <c r="I763" s="33"/>
      <c r="J763" s="37"/>
    </row>
    <row r="764" spans="1:10" x14ac:dyDescent="0.3">
      <c r="A764" s="32" t="s">
        <v>23</v>
      </c>
      <c r="B764" s="32">
        <f t="shared" ref="B764:B775" si="188">+B763+1</f>
        <v>2025</v>
      </c>
      <c r="C764" s="33" t="s">
        <v>34</v>
      </c>
      <c r="D764" s="34" t="s">
        <v>2002</v>
      </c>
      <c r="E764" s="35" t="str">
        <f t="shared" si="186"/>
        <v>PSND'!</v>
      </c>
      <c r="F764" s="34" t="str">
        <f t="shared" si="187"/>
        <v>C:\Users\jaime.benazar\Quorum Business Solutions\Ecopetrol Prometeo - Documents\Planning Space Implementation\3. Analysis &amp; Design\Design\FC22\DRR Jaime\Neiva CPI\[DINA TERCIARIOS_CF_SEC_New_27-Mar-2024.xlsx]D-PSND'!</v>
      </c>
      <c r="G764" s="32" t="s">
        <v>102</v>
      </c>
      <c r="H764" s="33"/>
      <c r="I764" s="33"/>
      <c r="J764" s="37"/>
    </row>
    <row r="765" spans="1:10" x14ac:dyDescent="0.3">
      <c r="A765" s="32" t="s">
        <v>23</v>
      </c>
      <c r="B765" s="32">
        <f t="shared" si="188"/>
        <v>2026</v>
      </c>
      <c r="C765" s="33" t="s">
        <v>34</v>
      </c>
      <c r="D765" s="34" t="s">
        <v>2002</v>
      </c>
      <c r="E765" s="35" t="str">
        <f t="shared" si="186"/>
        <v>PSND'!</v>
      </c>
      <c r="F765" s="34" t="str">
        <f t="shared" si="187"/>
        <v>C:\Users\jaime.benazar\Quorum Business Solutions\Ecopetrol Prometeo - Documents\Planning Space Implementation\3. Analysis &amp; Design\Design\FC22\DRR Jaime\Neiva CPI\[DINA TERCIARIOS_CF_SEC_New_27-Mar-2024.xlsx]D-PSND'!</v>
      </c>
      <c r="G765" s="32" t="s">
        <v>102</v>
      </c>
      <c r="H765" s="33"/>
      <c r="I765" s="33"/>
      <c r="J765" s="37"/>
    </row>
    <row r="766" spans="1:10" x14ac:dyDescent="0.3">
      <c r="A766" s="32" t="s">
        <v>23</v>
      </c>
      <c r="B766" s="32">
        <f t="shared" si="188"/>
        <v>2027</v>
      </c>
      <c r="C766" s="33" t="s">
        <v>34</v>
      </c>
      <c r="D766" s="34" t="s">
        <v>2002</v>
      </c>
      <c r="E766" s="35" t="str">
        <f t="shared" si="186"/>
        <v>PSND'!</v>
      </c>
      <c r="F766" s="34" t="str">
        <f t="shared" si="187"/>
        <v>C:\Users\jaime.benazar\Quorum Business Solutions\Ecopetrol Prometeo - Documents\Planning Space Implementation\3. Analysis &amp; Design\Design\FC22\DRR Jaime\Neiva CPI\[DINA TERCIARIOS_CF_SEC_New_27-Mar-2024.xlsx]D-PSND'!</v>
      </c>
      <c r="G766" s="32" t="s">
        <v>102</v>
      </c>
      <c r="H766" s="33"/>
      <c r="I766" s="33"/>
      <c r="J766" s="37"/>
    </row>
    <row r="767" spans="1:10" x14ac:dyDescent="0.3">
      <c r="A767" s="32" t="s">
        <v>23</v>
      </c>
      <c r="B767" s="32">
        <f t="shared" si="188"/>
        <v>2028</v>
      </c>
      <c r="C767" s="33" t="s">
        <v>34</v>
      </c>
      <c r="D767" s="34" t="s">
        <v>2002</v>
      </c>
      <c r="E767" s="35" t="str">
        <f t="shared" si="186"/>
        <v>PSND'!</v>
      </c>
      <c r="F767" s="34" t="str">
        <f t="shared" si="187"/>
        <v>C:\Users\jaime.benazar\Quorum Business Solutions\Ecopetrol Prometeo - Documents\Planning Space Implementation\3. Analysis &amp; Design\Design\FC22\DRR Jaime\Neiva CPI\[DINA TERCIARIOS_CF_SEC_New_27-Mar-2024.xlsx]D-PSND'!</v>
      </c>
      <c r="G767" s="32" t="s">
        <v>102</v>
      </c>
      <c r="H767" s="33"/>
      <c r="I767" s="33"/>
      <c r="J767" s="37"/>
    </row>
    <row r="768" spans="1:10" x14ac:dyDescent="0.3">
      <c r="A768" s="32" t="s">
        <v>23</v>
      </c>
      <c r="B768" s="32">
        <f t="shared" si="188"/>
        <v>2029</v>
      </c>
      <c r="C768" s="33" t="s">
        <v>34</v>
      </c>
      <c r="D768" s="34" t="s">
        <v>2002</v>
      </c>
      <c r="E768" s="35" t="str">
        <f t="shared" si="186"/>
        <v>PSND'!</v>
      </c>
      <c r="F768" s="34" t="str">
        <f t="shared" si="187"/>
        <v>C:\Users\jaime.benazar\Quorum Business Solutions\Ecopetrol Prometeo - Documents\Planning Space Implementation\3. Analysis &amp; Design\Design\FC22\DRR Jaime\Neiva CPI\[DINA TERCIARIOS_CF_SEC_New_27-Mar-2024.xlsx]D-PSND'!</v>
      </c>
      <c r="G768" s="32" t="s">
        <v>102</v>
      </c>
      <c r="H768" s="33"/>
      <c r="I768" s="33"/>
      <c r="J768" s="37"/>
    </row>
    <row r="769" spans="1:10" x14ac:dyDescent="0.3">
      <c r="A769" s="32" t="s">
        <v>23</v>
      </c>
      <c r="B769" s="32">
        <f t="shared" si="188"/>
        <v>2030</v>
      </c>
      <c r="C769" s="33" t="s">
        <v>34</v>
      </c>
      <c r="D769" s="34" t="s">
        <v>2002</v>
      </c>
      <c r="E769" s="35" t="str">
        <f t="shared" si="186"/>
        <v>PSND'!</v>
      </c>
      <c r="F769" s="34" t="str">
        <f t="shared" si="187"/>
        <v>C:\Users\jaime.benazar\Quorum Business Solutions\Ecopetrol Prometeo - Documents\Planning Space Implementation\3. Analysis &amp; Design\Design\FC22\DRR Jaime\Neiva CPI\[DINA TERCIARIOS_CF_SEC_New_27-Mar-2024.xlsx]D-PSND'!</v>
      </c>
      <c r="G769" s="32" t="s">
        <v>102</v>
      </c>
      <c r="H769" s="33"/>
      <c r="I769" s="33"/>
      <c r="J769" s="37"/>
    </row>
    <row r="770" spans="1:10" x14ac:dyDescent="0.3">
      <c r="A770" s="32" t="s">
        <v>23</v>
      </c>
      <c r="B770" s="32">
        <f t="shared" si="188"/>
        <v>2031</v>
      </c>
      <c r="C770" s="33" t="s">
        <v>34</v>
      </c>
      <c r="D770" s="34" t="s">
        <v>2002</v>
      </c>
      <c r="E770" s="35" t="str">
        <f t="shared" si="186"/>
        <v>PSND'!</v>
      </c>
      <c r="F770" s="34" t="str">
        <f t="shared" si="187"/>
        <v>C:\Users\jaime.benazar\Quorum Business Solutions\Ecopetrol Prometeo - Documents\Planning Space Implementation\3. Analysis &amp; Design\Design\FC22\DRR Jaime\Neiva CPI\[DINA TERCIARIOS_CF_SEC_New_27-Mar-2024.xlsx]D-PSND'!</v>
      </c>
      <c r="G770" s="32" t="s">
        <v>102</v>
      </c>
      <c r="H770" s="33"/>
      <c r="I770" s="33"/>
      <c r="J770" s="37"/>
    </row>
    <row r="771" spans="1:10" x14ac:dyDescent="0.3">
      <c r="A771" s="32" t="s">
        <v>23</v>
      </c>
      <c r="B771" s="32">
        <f t="shared" si="188"/>
        <v>2032</v>
      </c>
      <c r="C771" s="33" t="s">
        <v>34</v>
      </c>
      <c r="D771" s="34" t="s">
        <v>2002</v>
      </c>
      <c r="E771" s="35" t="str">
        <f t="shared" si="186"/>
        <v>PSND'!</v>
      </c>
      <c r="F771" s="34" t="str">
        <f t="shared" si="187"/>
        <v>C:\Users\jaime.benazar\Quorum Business Solutions\Ecopetrol Prometeo - Documents\Planning Space Implementation\3. Analysis &amp; Design\Design\FC22\DRR Jaime\Neiva CPI\[DINA TERCIARIOS_CF_SEC_New_27-Mar-2024.xlsx]D-PSND'!</v>
      </c>
      <c r="G771" s="32" t="s">
        <v>102</v>
      </c>
      <c r="H771" s="33"/>
      <c r="I771" s="33"/>
      <c r="J771" s="37"/>
    </row>
    <row r="772" spans="1:10" x14ac:dyDescent="0.3">
      <c r="A772" s="32" t="s">
        <v>23</v>
      </c>
      <c r="B772" s="32">
        <f t="shared" si="188"/>
        <v>2033</v>
      </c>
      <c r="C772" s="33" t="s">
        <v>34</v>
      </c>
      <c r="D772" s="34" t="s">
        <v>2002</v>
      </c>
      <c r="E772" s="35" t="str">
        <f t="shared" si="186"/>
        <v>PSND'!</v>
      </c>
      <c r="F772" s="34" t="str">
        <f t="shared" si="187"/>
        <v>C:\Users\jaime.benazar\Quorum Business Solutions\Ecopetrol Prometeo - Documents\Planning Space Implementation\3. Analysis &amp; Design\Design\FC22\DRR Jaime\Neiva CPI\[DINA TERCIARIOS_CF_SEC_New_27-Mar-2024.xlsx]D-PSND'!</v>
      </c>
      <c r="G772" s="32" t="s">
        <v>102</v>
      </c>
      <c r="H772" s="33"/>
      <c r="I772" s="33"/>
      <c r="J772" s="37"/>
    </row>
    <row r="773" spans="1:10" x14ac:dyDescent="0.3">
      <c r="A773" s="32" t="s">
        <v>23</v>
      </c>
      <c r="B773" s="32">
        <f t="shared" si="188"/>
        <v>2034</v>
      </c>
      <c r="C773" s="33" t="s">
        <v>34</v>
      </c>
      <c r="D773" s="34" t="s">
        <v>2002</v>
      </c>
      <c r="E773" s="35" t="str">
        <f t="shared" si="186"/>
        <v>PSND'!</v>
      </c>
      <c r="F773" s="34" t="str">
        <f t="shared" si="187"/>
        <v>C:\Users\jaime.benazar\Quorum Business Solutions\Ecopetrol Prometeo - Documents\Planning Space Implementation\3. Analysis &amp; Design\Design\FC22\DRR Jaime\Neiva CPI\[DINA TERCIARIOS_CF_SEC_New_27-Mar-2024.xlsx]D-PSND'!</v>
      </c>
      <c r="G773" s="32" t="s">
        <v>102</v>
      </c>
      <c r="H773" s="33"/>
      <c r="I773" s="33"/>
      <c r="J773" s="37"/>
    </row>
    <row r="774" spans="1:10" x14ac:dyDescent="0.3">
      <c r="A774" s="32" t="s">
        <v>23</v>
      </c>
      <c r="B774" s="32">
        <f t="shared" si="188"/>
        <v>2035</v>
      </c>
      <c r="C774" s="33" t="s">
        <v>34</v>
      </c>
      <c r="D774" s="34" t="s">
        <v>2002</v>
      </c>
      <c r="E774" s="35" t="str">
        <f t="shared" si="186"/>
        <v>PSND'!</v>
      </c>
      <c r="F774" s="34" t="str">
        <f t="shared" si="187"/>
        <v>C:\Users\jaime.benazar\Quorum Business Solutions\Ecopetrol Prometeo - Documents\Planning Space Implementation\3. Analysis &amp; Design\Design\FC22\DRR Jaime\Neiva CPI\[DINA TERCIARIOS_CF_SEC_New_27-Mar-2024.xlsx]D-PSND'!</v>
      </c>
      <c r="G774" s="32" t="s">
        <v>102</v>
      </c>
      <c r="H774" s="33"/>
      <c r="I774" s="33"/>
      <c r="J774" s="37"/>
    </row>
    <row r="775" spans="1:10" x14ac:dyDescent="0.3">
      <c r="A775" s="32" t="s">
        <v>23</v>
      </c>
      <c r="B775" s="32">
        <f t="shared" si="188"/>
        <v>2036</v>
      </c>
      <c r="C775" s="33" t="s">
        <v>34</v>
      </c>
      <c r="D775" s="34" t="s">
        <v>2002</v>
      </c>
      <c r="E775" s="35" t="str">
        <f t="shared" si="186"/>
        <v>PSND'!</v>
      </c>
      <c r="F775" s="34" t="str">
        <f t="shared" si="187"/>
        <v>C:\Users\jaime.benazar\Quorum Business Solutions\Ecopetrol Prometeo - Documents\Planning Space Implementation\3. Analysis &amp; Design\Design\FC22\DRR Jaime\Neiva CPI\[DINA TERCIARIOS_CF_SEC_New_27-Mar-2024.xlsx]D-PSND'!</v>
      </c>
      <c r="G775" s="32" t="s">
        <v>102</v>
      </c>
      <c r="H775" s="33"/>
      <c r="I775" s="33"/>
      <c r="J775" s="37"/>
    </row>
    <row r="776" spans="1:10" x14ac:dyDescent="0.3">
      <c r="A776" s="32" t="s">
        <v>23</v>
      </c>
      <c r="B776" s="32">
        <f>+B775+1</f>
        <v>2037</v>
      </c>
      <c r="C776" s="33" t="s">
        <v>34</v>
      </c>
      <c r="D776" s="34" t="s">
        <v>2002</v>
      </c>
      <c r="E776" s="35" t="str">
        <f t="shared" si="186"/>
        <v>PSND'!</v>
      </c>
      <c r="F776" s="34" t="str">
        <f t="shared" si="187"/>
        <v>C:\Users\jaime.benazar\Quorum Business Solutions\Ecopetrol Prometeo - Documents\Planning Space Implementation\3. Analysis &amp; Design\Design\FC22\DRR Jaime\Neiva CPI\[DINA TERCIARIOS_CF_SEC_New_27-Mar-2024.xlsx]D-PSND'!</v>
      </c>
      <c r="G776" s="32" t="s">
        <v>102</v>
      </c>
      <c r="H776" s="33"/>
      <c r="I776" s="33"/>
      <c r="J776" s="37"/>
    </row>
    <row r="777" spans="1:10" x14ac:dyDescent="0.3">
      <c r="A777" s="32" t="s">
        <v>23</v>
      </c>
      <c r="B777" s="32">
        <f t="shared" ref="B777:B779" si="189">+B776+1</f>
        <v>2038</v>
      </c>
      <c r="C777" s="33" t="s">
        <v>34</v>
      </c>
      <c r="D777" s="34" t="s">
        <v>2002</v>
      </c>
      <c r="E777" s="35" t="str">
        <f t="shared" si="186"/>
        <v>PSND'!</v>
      </c>
      <c r="F777" s="34" t="str">
        <f t="shared" si="187"/>
        <v>C:\Users\jaime.benazar\Quorum Business Solutions\Ecopetrol Prometeo - Documents\Planning Space Implementation\3. Analysis &amp; Design\Design\FC22\DRR Jaime\Neiva CPI\[DINA TERCIARIOS_CF_SEC_New_27-Mar-2024.xlsx]D-PSND'!</v>
      </c>
      <c r="G777" s="32" t="s">
        <v>102</v>
      </c>
      <c r="H777" s="33"/>
      <c r="I777" s="33"/>
      <c r="J777" s="37"/>
    </row>
    <row r="778" spans="1:10" x14ac:dyDescent="0.3">
      <c r="A778" s="32" t="s">
        <v>23</v>
      </c>
      <c r="B778" s="32">
        <f t="shared" si="189"/>
        <v>2039</v>
      </c>
      <c r="C778" s="33" t="s">
        <v>34</v>
      </c>
      <c r="D778" s="34" t="s">
        <v>2002</v>
      </c>
      <c r="E778" s="35" t="str">
        <f t="shared" si="186"/>
        <v>PSND'!</v>
      </c>
      <c r="F778" s="34" t="str">
        <f t="shared" si="187"/>
        <v>C:\Users\jaime.benazar\Quorum Business Solutions\Ecopetrol Prometeo - Documents\Planning Space Implementation\3. Analysis &amp; Design\Design\FC22\DRR Jaime\Neiva CPI\[DINA TERCIARIOS_CF_SEC_New_27-Mar-2024.xlsx]D-PSND'!</v>
      </c>
      <c r="G778" s="32" t="s">
        <v>102</v>
      </c>
      <c r="H778" s="33"/>
      <c r="I778" s="33"/>
      <c r="J778" s="37"/>
    </row>
    <row r="779" spans="1:10" x14ac:dyDescent="0.3">
      <c r="A779" s="32" t="s">
        <v>23</v>
      </c>
      <c r="B779" s="32">
        <f t="shared" si="189"/>
        <v>2040</v>
      </c>
      <c r="C779" s="33" t="s">
        <v>34</v>
      </c>
      <c r="D779" s="34" t="s">
        <v>2002</v>
      </c>
      <c r="E779" s="35" t="str">
        <f t="shared" si="186"/>
        <v>PSND'!</v>
      </c>
      <c r="F779" s="34" t="str">
        <f t="shared" si="187"/>
        <v>C:\Users\jaime.benazar\Quorum Business Solutions\Ecopetrol Prometeo - Documents\Planning Space Implementation\3. Analysis &amp; Design\Design\FC22\DRR Jaime\Neiva CPI\[DINA TERCIARIOS_CF_SEC_New_27-Mar-2024.xlsx]D-PSND'!</v>
      </c>
      <c r="G779" s="32" t="s">
        <v>102</v>
      </c>
      <c r="H779" s="33"/>
      <c r="I779" s="33"/>
      <c r="J779" s="37"/>
    </row>
    <row r="780" spans="1:10" x14ac:dyDescent="0.3">
      <c r="A780" s="32" t="s">
        <v>23</v>
      </c>
      <c r="B780" s="32">
        <f>+B779+1</f>
        <v>2041</v>
      </c>
      <c r="C780" s="33" t="s">
        <v>34</v>
      </c>
      <c r="D780" s="34" t="s">
        <v>2002</v>
      </c>
      <c r="E780" s="35" t="str">
        <f t="shared" si="186"/>
        <v>PSND'!</v>
      </c>
      <c r="F780" s="34" t="str">
        <f t="shared" si="187"/>
        <v>C:\Users\jaime.benazar\Quorum Business Solutions\Ecopetrol Prometeo - Documents\Planning Space Implementation\3. Analysis &amp; Design\Design\FC22\DRR Jaime\Neiva CPI\[DINA TERCIARIOS_CF_SEC_New_27-Mar-2024.xlsx]D-PSND'!</v>
      </c>
      <c r="G780" s="32" t="s">
        <v>102</v>
      </c>
      <c r="H780" s="33"/>
      <c r="I780" s="33"/>
      <c r="J780" s="37"/>
    </row>
    <row r="781" spans="1:10" x14ac:dyDescent="0.3">
      <c r="A781" s="32" t="s">
        <v>23</v>
      </c>
      <c r="B781" s="32">
        <f t="shared" ref="B781:B782" si="190">+B780+1</f>
        <v>2042</v>
      </c>
      <c r="C781" s="33" t="s">
        <v>34</v>
      </c>
      <c r="D781" s="34" t="s">
        <v>2002</v>
      </c>
      <c r="E781" s="35" t="str">
        <f t="shared" si="186"/>
        <v>PSND'!</v>
      </c>
      <c r="F781" s="34" t="str">
        <f t="shared" si="187"/>
        <v>C:\Users\jaime.benazar\Quorum Business Solutions\Ecopetrol Prometeo - Documents\Planning Space Implementation\3. Analysis &amp; Design\Design\FC22\DRR Jaime\Neiva CPI\[DINA TERCIARIOS_CF_SEC_New_27-Mar-2024.xlsx]D-PSND'!</v>
      </c>
      <c r="G781" s="32" t="s">
        <v>102</v>
      </c>
      <c r="H781" s="33"/>
      <c r="I781" s="33"/>
      <c r="J781" s="37"/>
    </row>
    <row r="782" spans="1:10" x14ac:dyDescent="0.3">
      <c r="A782" s="32" t="s">
        <v>23</v>
      </c>
      <c r="B782" s="32">
        <f t="shared" si="190"/>
        <v>2043</v>
      </c>
      <c r="C782" s="33" t="s">
        <v>34</v>
      </c>
      <c r="D782" s="34" t="s">
        <v>2002</v>
      </c>
      <c r="E782" s="35" t="str">
        <f t="shared" si="186"/>
        <v>PSND'!</v>
      </c>
      <c r="F782" s="34" t="str">
        <f t="shared" si="187"/>
        <v>C:\Users\jaime.benazar\Quorum Business Solutions\Ecopetrol Prometeo - Documents\Planning Space Implementation\3. Analysis &amp; Design\Design\FC22\DRR Jaime\Neiva CPI\[DINA TERCIARIOS_CF_SEC_New_27-Mar-2024.xlsx]D-PSND'!</v>
      </c>
      <c r="G782" s="32" t="s">
        <v>102</v>
      </c>
      <c r="H782" s="33"/>
      <c r="I782" s="33"/>
      <c r="J782" s="37"/>
    </row>
    <row r="783" spans="1:10" x14ac:dyDescent="0.3">
      <c r="A783" s="32" t="s">
        <v>23</v>
      </c>
      <c r="B783" s="32">
        <f>+B782+1</f>
        <v>2044</v>
      </c>
      <c r="C783" s="33" t="s">
        <v>34</v>
      </c>
      <c r="D783" s="34" t="s">
        <v>2002</v>
      </c>
      <c r="E783" s="35" t="str">
        <f t="shared" ref="E783:E798" si="191">_xlfn.CONCAT(A783,"'!")</f>
        <v>PSND'!</v>
      </c>
      <c r="F783" s="34" t="str">
        <f t="shared" ref="F783:F798" si="192">_xlfn.CONCAT(D783:E783)</f>
        <v>C:\Users\jaime.benazar\Quorum Business Solutions\Ecopetrol Prometeo - Documents\Planning Space Implementation\3. Analysis &amp; Design\Design\FC22\DRR Jaime\Neiva CPI\[DINA TERCIARIOS_CF_SEC_New_27-Mar-2024.xlsx]D-PSND'!</v>
      </c>
      <c r="G783" s="32" t="s">
        <v>102</v>
      </c>
      <c r="H783" s="33"/>
      <c r="I783" s="33"/>
      <c r="J783" s="37"/>
    </row>
    <row r="784" spans="1:10" x14ac:dyDescent="0.3">
      <c r="A784" s="32" t="s">
        <v>23</v>
      </c>
      <c r="B784" s="32">
        <f t="shared" ref="B784:B798" si="193">+B783+1</f>
        <v>2045</v>
      </c>
      <c r="C784" s="33" t="s">
        <v>34</v>
      </c>
      <c r="D784" s="34" t="s">
        <v>2002</v>
      </c>
      <c r="E784" s="35" t="str">
        <f t="shared" si="191"/>
        <v>PSND'!</v>
      </c>
      <c r="F784" s="34" t="str">
        <f t="shared" si="192"/>
        <v>C:\Users\jaime.benazar\Quorum Business Solutions\Ecopetrol Prometeo - Documents\Planning Space Implementation\3. Analysis &amp; Design\Design\FC22\DRR Jaime\Neiva CPI\[DINA TERCIARIOS_CF_SEC_New_27-Mar-2024.xlsx]D-PSND'!</v>
      </c>
      <c r="G784" s="32" t="s">
        <v>102</v>
      </c>
      <c r="H784" s="33"/>
      <c r="I784" s="33"/>
      <c r="J784" s="37"/>
    </row>
    <row r="785" spans="1:10" x14ac:dyDescent="0.3">
      <c r="A785" s="32" t="s">
        <v>23</v>
      </c>
      <c r="B785" s="32">
        <f t="shared" si="193"/>
        <v>2046</v>
      </c>
      <c r="C785" s="33" t="s">
        <v>34</v>
      </c>
      <c r="D785" s="34" t="s">
        <v>2002</v>
      </c>
      <c r="E785" s="35" t="str">
        <f t="shared" si="191"/>
        <v>PSND'!</v>
      </c>
      <c r="F785" s="34" t="str">
        <f t="shared" si="192"/>
        <v>C:\Users\jaime.benazar\Quorum Business Solutions\Ecopetrol Prometeo - Documents\Planning Space Implementation\3. Analysis &amp; Design\Design\FC22\DRR Jaime\Neiva CPI\[DINA TERCIARIOS_CF_SEC_New_27-Mar-2024.xlsx]D-PSND'!</v>
      </c>
      <c r="G785" s="32" t="s">
        <v>102</v>
      </c>
      <c r="H785" s="33"/>
      <c r="I785" s="33"/>
      <c r="J785" s="37"/>
    </row>
    <row r="786" spans="1:10" x14ac:dyDescent="0.3">
      <c r="A786" s="32" t="s">
        <v>23</v>
      </c>
      <c r="B786" s="32">
        <f t="shared" si="193"/>
        <v>2047</v>
      </c>
      <c r="C786" s="33" t="s">
        <v>34</v>
      </c>
      <c r="D786" s="34" t="s">
        <v>2002</v>
      </c>
      <c r="E786" s="35" t="str">
        <f t="shared" si="191"/>
        <v>PSND'!</v>
      </c>
      <c r="F786" s="34" t="str">
        <f t="shared" si="192"/>
        <v>C:\Users\jaime.benazar\Quorum Business Solutions\Ecopetrol Prometeo - Documents\Planning Space Implementation\3. Analysis &amp; Design\Design\FC22\DRR Jaime\Neiva CPI\[DINA TERCIARIOS_CF_SEC_New_27-Mar-2024.xlsx]D-PSND'!</v>
      </c>
      <c r="G786" s="32" t="s">
        <v>102</v>
      </c>
      <c r="H786" s="33"/>
      <c r="I786" s="33"/>
      <c r="J786" s="37"/>
    </row>
    <row r="787" spans="1:10" x14ac:dyDescent="0.3">
      <c r="A787" s="32" t="s">
        <v>23</v>
      </c>
      <c r="B787" s="32">
        <f t="shared" si="193"/>
        <v>2048</v>
      </c>
      <c r="C787" s="33" t="s">
        <v>34</v>
      </c>
      <c r="D787" s="34" t="s">
        <v>2002</v>
      </c>
      <c r="E787" s="35" t="str">
        <f t="shared" si="191"/>
        <v>PSND'!</v>
      </c>
      <c r="F787" s="34" t="str">
        <f t="shared" si="192"/>
        <v>C:\Users\jaime.benazar\Quorum Business Solutions\Ecopetrol Prometeo - Documents\Planning Space Implementation\3. Analysis &amp; Design\Design\FC22\DRR Jaime\Neiva CPI\[DINA TERCIARIOS_CF_SEC_New_27-Mar-2024.xlsx]D-PSND'!</v>
      </c>
      <c r="G787" s="32" t="s">
        <v>102</v>
      </c>
      <c r="H787" s="33"/>
      <c r="I787" s="33"/>
      <c r="J787" s="37"/>
    </row>
    <row r="788" spans="1:10" x14ac:dyDescent="0.3">
      <c r="A788" s="32" t="s">
        <v>23</v>
      </c>
      <c r="B788" s="32">
        <f t="shared" si="193"/>
        <v>2049</v>
      </c>
      <c r="C788" s="33" t="s">
        <v>34</v>
      </c>
      <c r="D788" s="34" t="s">
        <v>2002</v>
      </c>
      <c r="E788" s="35" t="str">
        <f t="shared" si="191"/>
        <v>PSND'!</v>
      </c>
      <c r="F788" s="34" t="str">
        <f t="shared" si="192"/>
        <v>C:\Users\jaime.benazar\Quorum Business Solutions\Ecopetrol Prometeo - Documents\Planning Space Implementation\3. Analysis &amp; Design\Design\FC22\DRR Jaime\Neiva CPI\[DINA TERCIARIOS_CF_SEC_New_27-Mar-2024.xlsx]D-PSND'!</v>
      </c>
      <c r="G788" s="32" t="s">
        <v>102</v>
      </c>
      <c r="H788" s="33"/>
      <c r="I788" s="33"/>
      <c r="J788" s="37"/>
    </row>
    <row r="789" spans="1:10" x14ac:dyDescent="0.3">
      <c r="A789" s="32" t="s">
        <v>23</v>
      </c>
      <c r="B789" s="32">
        <f t="shared" si="193"/>
        <v>2050</v>
      </c>
      <c r="C789" s="33" t="s">
        <v>34</v>
      </c>
      <c r="D789" s="34" t="s">
        <v>2002</v>
      </c>
      <c r="E789" s="35" t="str">
        <f t="shared" si="191"/>
        <v>PSND'!</v>
      </c>
      <c r="F789" s="34" t="str">
        <f t="shared" si="192"/>
        <v>C:\Users\jaime.benazar\Quorum Business Solutions\Ecopetrol Prometeo - Documents\Planning Space Implementation\3. Analysis &amp; Design\Design\FC22\DRR Jaime\Neiva CPI\[DINA TERCIARIOS_CF_SEC_New_27-Mar-2024.xlsx]D-PSND'!</v>
      </c>
      <c r="G789" s="32" t="s">
        <v>102</v>
      </c>
      <c r="H789" s="33"/>
      <c r="I789" s="33"/>
      <c r="J789" s="37"/>
    </row>
    <row r="790" spans="1:10" x14ac:dyDescent="0.3">
      <c r="A790" s="32" t="s">
        <v>23</v>
      </c>
      <c r="B790" s="32">
        <f t="shared" si="193"/>
        <v>2051</v>
      </c>
      <c r="C790" s="33" t="s">
        <v>34</v>
      </c>
      <c r="D790" s="34" t="s">
        <v>2002</v>
      </c>
      <c r="E790" s="35" t="str">
        <f t="shared" si="191"/>
        <v>PSND'!</v>
      </c>
      <c r="F790" s="34" t="str">
        <f t="shared" si="192"/>
        <v>C:\Users\jaime.benazar\Quorum Business Solutions\Ecopetrol Prometeo - Documents\Planning Space Implementation\3. Analysis &amp; Design\Design\FC22\DRR Jaime\Neiva CPI\[DINA TERCIARIOS_CF_SEC_New_27-Mar-2024.xlsx]D-PSND'!</v>
      </c>
      <c r="G790" s="32" t="s">
        <v>102</v>
      </c>
      <c r="H790" s="33"/>
      <c r="I790" s="33"/>
      <c r="J790" s="37"/>
    </row>
    <row r="791" spans="1:10" x14ac:dyDescent="0.3">
      <c r="A791" s="32" t="s">
        <v>23</v>
      </c>
      <c r="B791" s="32">
        <f t="shared" si="193"/>
        <v>2052</v>
      </c>
      <c r="C791" s="33" t="s">
        <v>34</v>
      </c>
      <c r="D791" s="34" t="s">
        <v>2002</v>
      </c>
      <c r="E791" s="35" t="str">
        <f t="shared" si="191"/>
        <v>PSND'!</v>
      </c>
      <c r="F791" s="34" t="str">
        <f t="shared" si="192"/>
        <v>C:\Users\jaime.benazar\Quorum Business Solutions\Ecopetrol Prometeo - Documents\Planning Space Implementation\3. Analysis &amp; Design\Design\FC22\DRR Jaime\Neiva CPI\[DINA TERCIARIOS_CF_SEC_New_27-Mar-2024.xlsx]D-PSND'!</v>
      </c>
      <c r="G791" s="32" t="s">
        <v>102</v>
      </c>
      <c r="H791" s="33"/>
      <c r="I791" s="33"/>
      <c r="J791" s="37"/>
    </row>
    <row r="792" spans="1:10" x14ac:dyDescent="0.3">
      <c r="A792" s="32" t="s">
        <v>23</v>
      </c>
      <c r="B792" s="32">
        <f t="shared" si="193"/>
        <v>2053</v>
      </c>
      <c r="C792" s="33" t="s">
        <v>34</v>
      </c>
      <c r="D792" s="34" t="s">
        <v>2002</v>
      </c>
      <c r="E792" s="35" t="str">
        <f t="shared" si="191"/>
        <v>PSND'!</v>
      </c>
      <c r="F792" s="34" t="str">
        <f t="shared" si="192"/>
        <v>C:\Users\jaime.benazar\Quorum Business Solutions\Ecopetrol Prometeo - Documents\Planning Space Implementation\3. Analysis &amp; Design\Design\FC22\DRR Jaime\Neiva CPI\[DINA TERCIARIOS_CF_SEC_New_27-Mar-2024.xlsx]D-PSND'!</v>
      </c>
      <c r="G792" s="32" t="s">
        <v>102</v>
      </c>
      <c r="H792" s="33"/>
      <c r="I792" s="33"/>
      <c r="J792" s="37"/>
    </row>
    <row r="793" spans="1:10" x14ac:dyDescent="0.3">
      <c r="A793" s="32" t="s">
        <v>23</v>
      </c>
      <c r="B793" s="32">
        <f t="shared" si="193"/>
        <v>2054</v>
      </c>
      <c r="C793" s="33" t="s">
        <v>34</v>
      </c>
      <c r="D793" s="34" t="s">
        <v>2002</v>
      </c>
      <c r="E793" s="35" t="str">
        <f t="shared" si="191"/>
        <v>PSND'!</v>
      </c>
      <c r="F793" s="34" t="str">
        <f t="shared" si="192"/>
        <v>C:\Users\jaime.benazar\Quorum Business Solutions\Ecopetrol Prometeo - Documents\Planning Space Implementation\3. Analysis &amp; Design\Design\FC22\DRR Jaime\Neiva CPI\[DINA TERCIARIOS_CF_SEC_New_27-Mar-2024.xlsx]D-PSND'!</v>
      </c>
      <c r="G793" s="32" t="s">
        <v>102</v>
      </c>
      <c r="H793" s="33"/>
      <c r="I793" s="33"/>
      <c r="J793" s="37"/>
    </row>
    <row r="794" spans="1:10" x14ac:dyDescent="0.3">
      <c r="A794" s="32" t="s">
        <v>23</v>
      </c>
      <c r="B794" s="32">
        <f t="shared" si="193"/>
        <v>2055</v>
      </c>
      <c r="C794" s="33" t="s">
        <v>34</v>
      </c>
      <c r="D794" s="34" t="s">
        <v>2002</v>
      </c>
      <c r="E794" s="35" t="str">
        <f t="shared" si="191"/>
        <v>PSND'!</v>
      </c>
      <c r="F794" s="34" t="str">
        <f t="shared" si="192"/>
        <v>C:\Users\jaime.benazar\Quorum Business Solutions\Ecopetrol Prometeo - Documents\Planning Space Implementation\3. Analysis &amp; Design\Design\FC22\DRR Jaime\Neiva CPI\[DINA TERCIARIOS_CF_SEC_New_27-Mar-2024.xlsx]D-PSND'!</v>
      </c>
      <c r="G794" s="32" t="s">
        <v>102</v>
      </c>
      <c r="H794" s="33"/>
      <c r="I794" s="33"/>
      <c r="J794" s="37"/>
    </row>
    <row r="795" spans="1:10" x14ac:dyDescent="0.3">
      <c r="A795" s="32" t="s">
        <v>23</v>
      </c>
      <c r="B795" s="32">
        <f t="shared" si="193"/>
        <v>2056</v>
      </c>
      <c r="C795" s="33" t="s">
        <v>34</v>
      </c>
      <c r="D795" s="34" t="s">
        <v>2002</v>
      </c>
      <c r="E795" s="35" t="str">
        <f t="shared" si="191"/>
        <v>PSND'!</v>
      </c>
      <c r="F795" s="34" t="str">
        <f t="shared" si="192"/>
        <v>C:\Users\jaime.benazar\Quorum Business Solutions\Ecopetrol Prometeo - Documents\Planning Space Implementation\3. Analysis &amp; Design\Design\FC22\DRR Jaime\Neiva CPI\[DINA TERCIARIOS_CF_SEC_New_27-Mar-2024.xlsx]D-PSND'!</v>
      </c>
      <c r="G795" s="32" t="s">
        <v>102</v>
      </c>
      <c r="H795" s="33"/>
      <c r="I795" s="33"/>
      <c r="J795" s="37"/>
    </row>
    <row r="796" spans="1:10" x14ac:dyDescent="0.3">
      <c r="A796" s="32" t="s">
        <v>23</v>
      </c>
      <c r="B796" s="32">
        <f t="shared" si="193"/>
        <v>2057</v>
      </c>
      <c r="C796" s="33" t="s">
        <v>34</v>
      </c>
      <c r="D796" s="34" t="s">
        <v>2002</v>
      </c>
      <c r="E796" s="35" t="str">
        <f t="shared" si="191"/>
        <v>PSND'!</v>
      </c>
      <c r="F796" s="34" t="str">
        <f t="shared" si="192"/>
        <v>C:\Users\jaime.benazar\Quorum Business Solutions\Ecopetrol Prometeo - Documents\Planning Space Implementation\3. Analysis &amp; Design\Design\FC22\DRR Jaime\Neiva CPI\[DINA TERCIARIOS_CF_SEC_New_27-Mar-2024.xlsx]D-PSND'!</v>
      </c>
      <c r="G796" s="32" t="s">
        <v>102</v>
      </c>
      <c r="H796" s="33"/>
      <c r="I796" s="33"/>
      <c r="J796" s="37"/>
    </row>
    <row r="797" spans="1:10" x14ac:dyDescent="0.3">
      <c r="A797" s="32" t="s">
        <v>23</v>
      </c>
      <c r="B797" s="32">
        <f t="shared" si="193"/>
        <v>2058</v>
      </c>
      <c r="C797" s="33" t="s">
        <v>34</v>
      </c>
      <c r="D797" s="34" t="s">
        <v>2002</v>
      </c>
      <c r="E797" s="35" t="str">
        <f t="shared" si="191"/>
        <v>PSND'!</v>
      </c>
      <c r="F797" s="34" t="str">
        <f t="shared" si="192"/>
        <v>C:\Users\jaime.benazar\Quorum Business Solutions\Ecopetrol Prometeo - Documents\Planning Space Implementation\3. Analysis &amp; Design\Design\FC22\DRR Jaime\Neiva CPI\[DINA TERCIARIOS_CF_SEC_New_27-Mar-2024.xlsx]D-PSND'!</v>
      </c>
      <c r="G797" s="32" t="s">
        <v>102</v>
      </c>
      <c r="H797" s="33"/>
      <c r="I797" s="33"/>
      <c r="J797" s="37"/>
    </row>
    <row r="798" spans="1:10" x14ac:dyDescent="0.3">
      <c r="A798" s="32" t="s">
        <v>23</v>
      </c>
      <c r="B798" s="32">
        <f t="shared" si="193"/>
        <v>2059</v>
      </c>
      <c r="C798" s="33" t="s">
        <v>34</v>
      </c>
      <c r="D798" s="34" t="s">
        <v>2002</v>
      </c>
      <c r="E798" s="35" t="str">
        <f t="shared" si="191"/>
        <v>PSND'!</v>
      </c>
      <c r="F798" s="34" t="str">
        <f t="shared" si="192"/>
        <v>C:\Users\jaime.benazar\Quorum Business Solutions\Ecopetrol Prometeo - Documents\Planning Space Implementation\3. Analysis &amp; Design\Design\FC22\DRR Jaime\Neiva CPI\[DINA TERCIARIOS_CF_SEC_New_27-Mar-2024.xlsx]D-PSND'!</v>
      </c>
      <c r="G798" s="32" t="s">
        <v>102</v>
      </c>
      <c r="H798" s="33"/>
      <c r="I798" s="33"/>
      <c r="J798" s="37"/>
    </row>
    <row r="799" spans="1:10" x14ac:dyDescent="0.3">
      <c r="A799" s="32" t="s">
        <v>26</v>
      </c>
      <c r="B799" s="32"/>
      <c r="C799" s="33" t="s">
        <v>34</v>
      </c>
      <c r="D799" s="34"/>
      <c r="E799" s="35"/>
      <c r="F799" s="34"/>
      <c r="G799" s="32"/>
      <c r="H799" s="33"/>
      <c r="I799" s="33"/>
      <c r="J799" s="33"/>
    </row>
    <row r="800" spans="1:10" x14ac:dyDescent="0.3">
      <c r="A800" s="32" t="s">
        <v>24</v>
      </c>
      <c r="B800" s="32">
        <v>2023</v>
      </c>
      <c r="C800" s="33" t="s">
        <v>34</v>
      </c>
      <c r="D800" s="34" t="s">
        <v>2002</v>
      </c>
      <c r="E800" s="35" t="str">
        <f t="shared" si="129"/>
        <v>PS'!</v>
      </c>
      <c r="F800" s="34" t="str">
        <f t="shared" si="130"/>
        <v>C:\Users\jaime.benazar\Quorum Business Solutions\Ecopetrol Prometeo - Documents\Planning Space Implementation\3. Analysis &amp; Design\Design\FC22\DRR Jaime\Neiva CPI\[DINA TERCIARIOS_CF_SEC_New_27-Mar-2024.xlsx]D-PS'!</v>
      </c>
      <c r="G800" s="32" t="s">
        <v>102</v>
      </c>
      <c r="H800" s="33">
        <v>12</v>
      </c>
      <c r="I800" s="33" t="str">
        <f t="shared" si="131"/>
        <v>='C:\Users\jaime.benazar\Quorum Business Solutions\Ecopetrol Prometeo - Documents\Planning Space Implementation\3. Analysis &amp; Design\Design\FC22\DRR Jaime\Neiva CPI\[DINA TERCIARIOS_CF_SEC_New_27-Mar-2024.xlsx]D-PS'!$BW$12</v>
      </c>
      <c r="J800" s="37" t="s">
        <v>2336</v>
      </c>
    </row>
    <row r="801" spans="1:10" x14ac:dyDescent="0.3">
      <c r="A801" s="32" t="s">
        <v>24</v>
      </c>
      <c r="B801" s="32">
        <f>+B800+1</f>
        <v>2024</v>
      </c>
      <c r="C801" s="33" t="s">
        <v>34</v>
      </c>
      <c r="D801" s="34" t="s">
        <v>2002</v>
      </c>
      <c r="E801" s="35" t="str">
        <f t="shared" si="129"/>
        <v>PS'!</v>
      </c>
      <c r="F801" s="34" t="str">
        <f t="shared" si="130"/>
        <v>C:\Users\jaime.benazar\Quorum Business Solutions\Ecopetrol Prometeo - Documents\Planning Space Implementation\3. Analysis &amp; Design\Design\FC22\DRR Jaime\Neiva CPI\[DINA TERCIARIOS_CF_SEC_New_27-Mar-2024.xlsx]D-PS'!</v>
      </c>
      <c r="G801" s="32" t="s">
        <v>102</v>
      </c>
      <c r="H801" s="33">
        <f>IF(A801&lt;&gt;A800,12,H800+1)</f>
        <v>13</v>
      </c>
      <c r="I801" s="33" t="str">
        <f t="shared" si="131"/>
        <v>='C:\Users\jaime.benazar\Quorum Business Solutions\Ecopetrol Prometeo - Documents\Planning Space Implementation\3. Analysis &amp; Design\Design\FC22\DRR Jaime\Neiva CPI\[DINA TERCIARIOS_CF_SEC_New_27-Mar-2024.xlsx]D-PS'!$BW$13</v>
      </c>
      <c r="J801" s="37" t="s">
        <v>2337</v>
      </c>
    </row>
    <row r="802" spans="1:10" x14ac:dyDescent="0.3">
      <c r="A802" s="32" t="s">
        <v>24</v>
      </c>
      <c r="B802" s="32">
        <f t="shared" ref="B802:B813" si="194">+B801+1</f>
        <v>2025</v>
      </c>
      <c r="C802" s="33" t="s">
        <v>34</v>
      </c>
      <c r="D802" s="34" t="s">
        <v>2002</v>
      </c>
      <c r="E802" s="35" t="str">
        <f t="shared" si="129"/>
        <v>PS'!</v>
      </c>
      <c r="F802" s="34" t="str">
        <f t="shared" si="130"/>
        <v>C:\Users\jaime.benazar\Quorum Business Solutions\Ecopetrol Prometeo - Documents\Planning Space Implementation\3. Analysis &amp; Design\Design\FC22\DRR Jaime\Neiva CPI\[DINA TERCIARIOS_CF_SEC_New_27-Mar-2024.xlsx]D-PS'!</v>
      </c>
      <c r="G802" s="32" t="s">
        <v>102</v>
      </c>
      <c r="H802" s="33">
        <f t="shared" ref="H802:H820" si="195">IF(A802&lt;&gt;A801,12,H801+1)</f>
        <v>14</v>
      </c>
      <c r="I802" s="33" t="str">
        <f t="shared" si="131"/>
        <v>='C:\Users\jaime.benazar\Quorum Business Solutions\Ecopetrol Prometeo - Documents\Planning Space Implementation\3. Analysis &amp; Design\Design\FC22\DRR Jaime\Neiva CPI\[DINA TERCIARIOS_CF_SEC_New_27-Mar-2024.xlsx]D-PS'!$BW$14</v>
      </c>
      <c r="J802" s="37" t="s">
        <v>2338</v>
      </c>
    </row>
    <row r="803" spans="1:10" x14ac:dyDescent="0.3">
      <c r="A803" s="32" t="s">
        <v>24</v>
      </c>
      <c r="B803" s="32">
        <f t="shared" si="194"/>
        <v>2026</v>
      </c>
      <c r="C803" s="33" t="s">
        <v>34</v>
      </c>
      <c r="D803" s="34" t="s">
        <v>2002</v>
      </c>
      <c r="E803" s="35" t="str">
        <f t="shared" si="129"/>
        <v>PS'!</v>
      </c>
      <c r="F803" s="34" t="str">
        <f t="shared" si="130"/>
        <v>C:\Users\jaime.benazar\Quorum Business Solutions\Ecopetrol Prometeo - Documents\Planning Space Implementation\3. Analysis &amp; Design\Design\FC22\DRR Jaime\Neiva CPI\[DINA TERCIARIOS_CF_SEC_New_27-Mar-2024.xlsx]D-PS'!</v>
      </c>
      <c r="G803" s="32" t="s">
        <v>102</v>
      </c>
      <c r="H803" s="33">
        <f t="shared" si="195"/>
        <v>15</v>
      </c>
      <c r="I803" s="33" t="str">
        <f t="shared" si="131"/>
        <v>='C:\Users\jaime.benazar\Quorum Business Solutions\Ecopetrol Prometeo - Documents\Planning Space Implementation\3. Analysis &amp; Design\Design\FC22\DRR Jaime\Neiva CPI\[DINA TERCIARIOS_CF_SEC_New_27-Mar-2024.xlsx]D-PS'!$BW$15</v>
      </c>
      <c r="J803" s="37" t="s">
        <v>2339</v>
      </c>
    </row>
    <row r="804" spans="1:10" x14ac:dyDescent="0.3">
      <c r="A804" s="32" t="s">
        <v>24</v>
      </c>
      <c r="B804" s="32">
        <f t="shared" si="194"/>
        <v>2027</v>
      </c>
      <c r="C804" s="33" t="s">
        <v>34</v>
      </c>
      <c r="D804" s="34" t="s">
        <v>2002</v>
      </c>
      <c r="E804" s="35" t="str">
        <f t="shared" si="129"/>
        <v>PS'!</v>
      </c>
      <c r="F804" s="34" t="str">
        <f t="shared" si="130"/>
        <v>C:\Users\jaime.benazar\Quorum Business Solutions\Ecopetrol Prometeo - Documents\Planning Space Implementation\3. Analysis &amp; Design\Design\FC22\DRR Jaime\Neiva CPI\[DINA TERCIARIOS_CF_SEC_New_27-Mar-2024.xlsx]D-PS'!</v>
      </c>
      <c r="G804" s="32" t="s">
        <v>102</v>
      </c>
      <c r="H804" s="33">
        <f t="shared" si="195"/>
        <v>16</v>
      </c>
      <c r="I804" s="33" t="str">
        <f t="shared" si="131"/>
        <v>='C:\Users\jaime.benazar\Quorum Business Solutions\Ecopetrol Prometeo - Documents\Planning Space Implementation\3. Analysis &amp; Design\Design\FC22\DRR Jaime\Neiva CPI\[DINA TERCIARIOS_CF_SEC_New_27-Mar-2024.xlsx]D-PS'!$BW$16</v>
      </c>
      <c r="J804" s="37" t="s">
        <v>2340</v>
      </c>
    </row>
    <row r="805" spans="1:10" x14ac:dyDescent="0.3">
      <c r="A805" s="32" t="s">
        <v>24</v>
      </c>
      <c r="B805" s="32">
        <f t="shared" si="194"/>
        <v>2028</v>
      </c>
      <c r="C805" s="33" t="s">
        <v>34</v>
      </c>
      <c r="D805" s="34" t="s">
        <v>2002</v>
      </c>
      <c r="E805" s="35" t="str">
        <f t="shared" si="129"/>
        <v>PS'!</v>
      </c>
      <c r="F805" s="34" t="str">
        <f t="shared" si="130"/>
        <v>C:\Users\jaime.benazar\Quorum Business Solutions\Ecopetrol Prometeo - Documents\Planning Space Implementation\3. Analysis &amp; Design\Design\FC22\DRR Jaime\Neiva CPI\[DINA TERCIARIOS_CF_SEC_New_27-Mar-2024.xlsx]D-PS'!</v>
      </c>
      <c r="G805" s="32" t="s">
        <v>102</v>
      </c>
      <c r="H805" s="33">
        <f t="shared" si="195"/>
        <v>17</v>
      </c>
      <c r="I805" s="33" t="str">
        <f t="shared" si="131"/>
        <v>='C:\Users\jaime.benazar\Quorum Business Solutions\Ecopetrol Prometeo - Documents\Planning Space Implementation\3. Analysis &amp; Design\Design\FC22\DRR Jaime\Neiva CPI\[DINA TERCIARIOS_CF_SEC_New_27-Mar-2024.xlsx]D-PS'!$BW$17</v>
      </c>
      <c r="J805" s="37" t="s">
        <v>2341</v>
      </c>
    </row>
    <row r="806" spans="1:10" x14ac:dyDescent="0.3">
      <c r="A806" s="32" t="s">
        <v>24</v>
      </c>
      <c r="B806" s="32">
        <f t="shared" si="194"/>
        <v>2029</v>
      </c>
      <c r="C806" s="33" t="s">
        <v>34</v>
      </c>
      <c r="D806" s="34" t="s">
        <v>2002</v>
      </c>
      <c r="E806" s="35" t="str">
        <f t="shared" si="129"/>
        <v>PS'!</v>
      </c>
      <c r="F806" s="34" t="str">
        <f t="shared" si="130"/>
        <v>C:\Users\jaime.benazar\Quorum Business Solutions\Ecopetrol Prometeo - Documents\Planning Space Implementation\3. Analysis &amp; Design\Design\FC22\DRR Jaime\Neiva CPI\[DINA TERCIARIOS_CF_SEC_New_27-Mar-2024.xlsx]D-PS'!</v>
      </c>
      <c r="G806" s="32" t="s">
        <v>102</v>
      </c>
      <c r="H806" s="33">
        <f t="shared" si="195"/>
        <v>18</v>
      </c>
      <c r="I806" s="33" t="str">
        <f t="shared" si="131"/>
        <v>='C:\Users\jaime.benazar\Quorum Business Solutions\Ecopetrol Prometeo - Documents\Planning Space Implementation\3. Analysis &amp; Design\Design\FC22\DRR Jaime\Neiva CPI\[DINA TERCIARIOS_CF_SEC_New_27-Mar-2024.xlsx]D-PS'!$BW$18</v>
      </c>
      <c r="J806" s="37" t="s">
        <v>2342</v>
      </c>
    </row>
    <row r="807" spans="1:10" x14ac:dyDescent="0.3">
      <c r="A807" s="32" t="s">
        <v>24</v>
      </c>
      <c r="B807" s="32">
        <f t="shared" si="194"/>
        <v>2030</v>
      </c>
      <c r="C807" s="33" t="s">
        <v>34</v>
      </c>
      <c r="D807" s="34" t="s">
        <v>2002</v>
      </c>
      <c r="E807" s="35" t="str">
        <f t="shared" si="129"/>
        <v>PS'!</v>
      </c>
      <c r="F807" s="34" t="str">
        <f t="shared" si="130"/>
        <v>C:\Users\jaime.benazar\Quorum Business Solutions\Ecopetrol Prometeo - Documents\Planning Space Implementation\3. Analysis &amp; Design\Design\FC22\DRR Jaime\Neiva CPI\[DINA TERCIARIOS_CF_SEC_New_27-Mar-2024.xlsx]D-PS'!</v>
      </c>
      <c r="G807" s="32" t="s">
        <v>102</v>
      </c>
      <c r="H807" s="33">
        <f t="shared" si="195"/>
        <v>19</v>
      </c>
      <c r="I807" s="33" t="str">
        <f t="shared" si="131"/>
        <v>='C:\Users\jaime.benazar\Quorum Business Solutions\Ecopetrol Prometeo - Documents\Planning Space Implementation\3. Analysis &amp; Design\Design\FC22\DRR Jaime\Neiva CPI\[DINA TERCIARIOS_CF_SEC_New_27-Mar-2024.xlsx]D-PS'!$BW$19</v>
      </c>
      <c r="J807" s="37" t="s">
        <v>2343</v>
      </c>
    </row>
    <row r="808" spans="1:10" x14ac:dyDescent="0.3">
      <c r="A808" s="32" t="s">
        <v>24</v>
      </c>
      <c r="B808" s="32">
        <f t="shared" si="194"/>
        <v>2031</v>
      </c>
      <c r="C808" s="33" t="s">
        <v>34</v>
      </c>
      <c r="D808" s="34" t="s">
        <v>2002</v>
      </c>
      <c r="E808" s="35" t="str">
        <f t="shared" si="129"/>
        <v>PS'!</v>
      </c>
      <c r="F808" s="34" t="str">
        <f t="shared" si="130"/>
        <v>C:\Users\jaime.benazar\Quorum Business Solutions\Ecopetrol Prometeo - Documents\Planning Space Implementation\3. Analysis &amp; Design\Design\FC22\DRR Jaime\Neiva CPI\[DINA TERCIARIOS_CF_SEC_New_27-Mar-2024.xlsx]D-PS'!</v>
      </c>
      <c r="G808" s="32" t="s">
        <v>102</v>
      </c>
      <c r="H808" s="33">
        <f t="shared" si="195"/>
        <v>20</v>
      </c>
      <c r="I808" s="33" t="str">
        <f t="shared" si="131"/>
        <v>='C:\Users\jaime.benazar\Quorum Business Solutions\Ecopetrol Prometeo - Documents\Planning Space Implementation\3. Analysis &amp; Design\Design\FC22\DRR Jaime\Neiva CPI\[DINA TERCIARIOS_CF_SEC_New_27-Mar-2024.xlsx]D-PS'!$BW$20</v>
      </c>
      <c r="J808" s="37" t="s">
        <v>2344</v>
      </c>
    </row>
    <row r="809" spans="1:10" x14ac:dyDescent="0.3">
      <c r="A809" s="32" t="s">
        <v>24</v>
      </c>
      <c r="B809" s="32">
        <f t="shared" si="194"/>
        <v>2032</v>
      </c>
      <c r="C809" s="33" t="s">
        <v>34</v>
      </c>
      <c r="D809" s="34" t="s">
        <v>2002</v>
      </c>
      <c r="E809" s="35" t="str">
        <f t="shared" si="129"/>
        <v>PS'!</v>
      </c>
      <c r="F809" s="34" t="str">
        <f t="shared" si="130"/>
        <v>C:\Users\jaime.benazar\Quorum Business Solutions\Ecopetrol Prometeo - Documents\Planning Space Implementation\3. Analysis &amp; Design\Design\FC22\DRR Jaime\Neiva CPI\[DINA TERCIARIOS_CF_SEC_New_27-Mar-2024.xlsx]D-PS'!</v>
      </c>
      <c r="G809" s="32" t="s">
        <v>102</v>
      </c>
      <c r="H809" s="33">
        <f t="shared" si="195"/>
        <v>21</v>
      </c>
      <c r="I809" s="33" t="str">
        <f t="shared" si="131"/>
        <v>='C:\Users\jaime.benazar\Quorum Business Solutions\Ecopetrol Prometeo - Documents\Planning Space Implementation\3. Analysis &amp; Design\Design\FC22\DRR Jaime\Neiva CPI\[DINA TERCIARIOS_CF_SEC_New_27-Mar-2024.xlsx]D-PS'!$BW$21</v>
      </c>
      <c r="J809" s="37" t="s">
        <v>2345</v>
      </c>
    </row>
    <row r="810" spans="1:10" x14ac:dyDescent="0.3">
      <c r="A810" s="32" t="s">
        <v>24</v>
      </c>
      <c r="B810" s="32">
        <f t="shared" si="194"/>
        <v>2033</v>
      </c>
      <c r="C810" s="33" t="s">
        <v>34</v>
      </c>
      <c r="D810" s="34" t="s">
        <v>2002</v>
      </c>
      <c r="E810" s="35" t="str">
        <f t="shared" si="129"/>
        <v>PS'!</v>
      </c>
      <c r="F810" s="34" t="str">
        <f t="shared" si="130"/>
        <v>C:\Users\jaime.benazar\Quorum Business Solutions\Ecopetrol Prometeo - Documents\Planning Space Implementation\3. Analysis &amp; Design\Design\FC22\DRR Jaime\Neiva CPI\[DINA TERCIARIOS_CF_SEC_New_27-Mar-2024.xlsx]D-PS'!</v>
      </c>
      <c r="G810" s="32" t="s">
        <v>102</v>
      </c>
      <c r="H810" s="33">
        <f t="shared" si="195"/>
        <v>22</v>
      </c>
      <c r="I810" s="33" t="str">
        <f t="shared" si="131"/>
        <v>='C:\Users\jaime.benazar\Quorum Business Solutions\Ecopetrol Prometeo - Documents\Planning Space Implementation\3. Analysis &amp; Design\Design\FC22\DRR Jaime\Neiva CPI\[DINA TERCIARIOS_CF_SEC_New_27-Mar-2024.xlsx]D-PS'!$BW$22</v>
      </c>
      <c r="J810" s="37" t="s">
        <v>2346</v>
      </c>
    </row>
    <row r="811" spans="1:10" x14ac:dyDescent="0.3">
      <c r="A811" s="32" t="s">
        <v>24</v>
      </c>
      <c r="B811" s="32">
        <f t="shared" si="194"/>
        <v>2034</v>
      </c>
      <c r="C811" s="33" t="s">
        <v>34</v>
      </c>
      <c r="D811" s="34" t="s">
        <v>2002</v>
      </c>
      <c r="E811" s="35" t="str">
        <f t="shared" si="129"/>
        <v>PS'!</v>
      </c>
      <c r="F811" s="34" t="str">
        <f t="shared" si="130"/>
        <v>C:\Users\jaime.benazar\Quorum Business Solutions\Ecopetrol Prometeo - Documents\Planning Space Implementation\3. Analysis &amp; Design\Design\FC22\DRR Jaime\Neiva CPI\[DINA TERCIARIOS_CF_SEC_New_27-Mar-2024.xlsx]D-PS'!</v>
      </c>
      <c r="G811" s="32" t="s">
        <v>102</v>
      </c>
      <c r="H811" s="33">
        <f t="shared" si="195"/>
        <v>23</v>
      </c>
      <c r="I811" s="33" t="str">
        <f t="shared" si="131"/>
        <v>='C:\Users\jaime.benazar\Quorum Business Solutions\Ecopetrol Prometeo - Documents\Planning Space Implementation\3. Analysis &amp; Design\Design\FC22\DRR Jaime\Neiva CPI\[DINA TERCIARIOS_CF_SEC_New_27-Mar-2024.xlsx]D-PS'!$BW$23</v>
      </c>
      <c r="J811" s="37" t="s">
        <v>2347</v>
      </c>
    </row>
    <row r="812" spans="1:10" x14ac:dyDescent="0.3">
      <c r="A812" s="32" t="s">
        <v>24</v>
      </c>
      <c r="B812" s="32">
        <f t="shared" si="194"/>
        <v>2035</v>
      </c>
      <c r="C812" s="33" t="s">
        <v>34</v>
      </c>
      <c r="D812" s="34" t="s">
        <v>2002</v>
      </c>
      <c r="E812" s="35" t="str">
        <f t="shared" si="129"/>
        <v>PS'!</v>
      </c>
      <c r="F812" s="34" t="str">
        <f t="shared" si="130"/>
        <v>C:\Users\jaime.benazar\Quorum Business Solutions\Ecopetrol Prometeo - Documents\Planning Space Implementation\3. Analysis &amp; Design\Design\FC22\DRR Jaime\Neiva CPI\[DINA TERCIARIOS_CF_SEC_New_27-Mar-2024.xlsx]D-PS'!</v>
      </c>
      <c r="G812" s="32" t="s">
        <v>102</v>
      </c>
      <c r="H812" s="33">
        <f t="shared" si="195"/>
        <v>24</v>
      </c>
      <c r="I812" s="33" t="str">
        <f t="shared" si="131"/>
        <v>='C:\Users\jaime.benazar\Quorum Business Solutions\Ecopetrol Prometeo - Documents\Planning Space Implementation\3. Analysis &amp; Design\Design\FC22\DRR Jaime\Neiva CPI\[DINA TERCIARIOS_CF_SEC_New_27-Mar-2024.xlsx]D-PS'!$BW$24</v>
      </c>
      <c r="J812" s="37" t="s">
        <v>2348</v>
      </c>
    </row>
    <row r="813" spans="1:10" x14ac:dyDescent="0.3">
      <c r="A813" s="32" t="s">
        <v>24</v>
      </c>
      <c r="B813" s="32">
        <f t="shared" si="194"/>
        <v>2036</v>
      </c>
      <c r="C813" s="33" t="s">
        <v>34</v>
      </c>
      <c r="D813" s="34" t="s">
        <v>2002</v>
      </c>
      <c r="E813" s="35" t="str">
        <f t="shared" si="129"/>
        <v>PS'!</v>
      </c>
      <c r="F813" s="34" t="str">
        <f t="shared" si="130"/>
        <v>C:\Users\jaime.benazar\Quorum Business Solutions\Ecopetrol Prometeo - Documents\Planning Space Implementation\3. Analysis &amp; Design\Design\FC22\DRR Jaime\Neiva CPI\[DINA TERCIARIOS_CF_SEC_New_27-Mar-2024.xlsx]D-PS'!</v>
      </c>
      <c r="G813" s="32" t="s">
        <v>102</v>
      </c>
      <c r="H813" s="33">
        <f t="shared" si="195"/>
        <v>25</v>
      </c>
      <c r="I813" s="33" t="str">
        <f t="shared" si="131"/>
        <v>='C:\Users\jaime.benazar\Quorum Business Solutions\Ecopetrol Prometeo - Documents\Planning Space Implementation\3. Analysis &amp; Design\Design\FC22\DRR Jaime\Neiva CPI\[DINA TERCIARIOS_CF_SEC_New_27-Mar-2024.xlsx]D-PS'!$BW$25</v>
      </c>
      <c r="J813" s="37" t="s">
        <v>2349</v>
      </c>
    </row>
    <row r="814" spans="1:10" x14ac:dyDescent="0.3">
      <c r="A814" s="32" t="s">
        <v>24</v>
      </c>
      <c r="B814" s="32">
        <f>+B813+1</f>
        <v>2037</v>
      </c>
      <c r="C814" s="33" t="s">
        <v>34</v>
      </c>
      <c r="D814" s="34" t="s">
        <v>2002</v>
      </c>
      <c r="E814" s="35" t="str">
        <f t="shared" si="129"/>
        <v>PS'!</v>
      </c>
      <c r="F814" s="34" t="str">
        <f t="shared" si="130"/>
        <v>C:\Users\jaime.benazar\Quorum Business Solutions\Ecopetrol Prometeo - Documents\Planning Space Implementation\3. Analysis &amp; Design\Design\FC22\DRR Jaime\Neiva CPI\[DINA TERCIARIOS_CF_SEC_New_27-Mar-2024.xlsx]D-PS'!</v>
      </c>
      <c r="G814" s="32" t="s">
        <v>102</v>
      </c>
      <c r="H814" s="33">
        <f t="shared" si="195"/>
        <v>26</v>
      </c>
      <c r="I814" s="33" t="str">
        <f t="shared" si="131"/>
        <v>='C:\Users\jaime.benazar\Quorum Business Solutions\Ecopetrol Prometeo - Documents\Planning Space Implementation\3. Analysis &amp; Design\Design\FC22\DRR Jaime\Neiva CPI\[DINA TERCIARIOS_CF_SEC_New_27-Mar-2024.xlsx]D-PS'!$BW$26</v>
      </c>
      <c r="J814" s="37" t="s">
        <v>2350</v>
      </c>
    </row>
    <row r="815" spans="1:10" x14ac:dyDescent="0.3">
      <c r="A815" s="32" t="s">
        <v>24</v>
      </c>
      <c r="B815" s="32">
        <f t="shared" ref="B815:B817" si="196">+B814+1</f>
        <v>2038</v>
      </c>
      <c r="C815" s="33" t="s">
        <v>34</v>
      </c>
      <c r="D815" s="34" t="s">
        <v>2002</v>
      </c>
      <c r="E815" s="35" t="str">
        <f t="shared" si="129"/>
        <v>PS'!</v>
      </c>
      <c r="F815" s="34" t="str">
        <f t="shared" si="130"/>
        <v>C:\Users\jaime.benazar\Quorum Business Solutions\Ecopetrol Prometeo - Documents\Planning Space Implementation\3. Analysis &amp; Design\Design\FC22\DRR Jaime\Neiva CPI\[DINA TERCIARIOS_CF_SEC_New_27-Mar-2024.xlsx]D-PS'!</v>
      </c>
      <c r="G815" s="32" t="s">
        <v>102</v>
      </c>
      <c r="H815" s="33">
        <f t="shared" si="195"/>
        <v>27</v>
      </c>
      <c r="I815" s="33" t="str">
        <f t="shared" si="131"/>
        <v>='C:\Users\jaime.benazar\Quorum Business Solutions\Ecopetrol Prometeo - Documents\Planning Space Implementation\3. Analysis &amp; Design\Design\FC22\DRR Jaime\Neiva CPI\[DINA TERCIARIOS_CF_SEC_New_27-Mar-2024.xlsx]D-PS'!$BW$27</v>
      </c>
      <c r="J815" s="37" t="s">
        <v>2351</v>
      </c>
    </row>
    <row r="816" spans="1:10" x14ac:dyDescent="0.3">
      <c r="A816" s="32" t="s">
        <v>24</v>
      </c>
      <c r="B816" s="32">
        <f t="shared" si="196"/>
        <v>2039</v>
      </c>
      <c r="C816" s="33" t="s">
        <v>34</v>
      </c>
      <c r="D816" s="34" t="s">
        <v>2002</v>
      </c>
      <c r="E816" s="35" t="str">
        <f t="shared" si="129"/>
        <v>PS'!</v>
      </c>
      <c r="F816" s="34" t="str">
        <f t="shared" si="130"/>
        <v>C:\Users\jaime.benazar\Quorum Business Solutions\Ecopetrol Prometeo - Documents\Planning Space Implementation\3. Analysis &amp; Design\Design\FC22\DRR Jaime\Neiva CPI\[DINA TERCIARIOS_CF_SEC_New_27-Mar-2024.xlsx]D-PS'!</v>
      </c>
      <c r="G816" s="32" t="s">
        <v>102</v>
      </c>
      <c r="H816" s="33">
        <f t="shared" si="195"/>
        <v>28</v>
      </c>
      <c r="I816" s="33" t="str">
        <f t="shared" si="131"/>
        <v>='C:\Users\jaime.benazar\Quorum Business Solutions\Ecopetrol Prometeo - Documents\Planning Space Implementation\3. Analysis &amp; Design\Design\FC22\DRR Jaime\Neiva CPI\[DINA TERCIARIOS_CF_SEC_New_27-Mar-2024.xlsx]D-PS'!$BW$28</v>
      </c>
      <c r="J816" s="37" t="s">
        <v>2352</v>
      </c>
    </row>
    <row r="817" spans="1:10" x14ac:dyDescent="0.3">
      <c r="A817" s="32" t="s">
        <v>24</v>
      </c>
      <c r="B817" s="32">
        <f t="shared" si="196"/>
        <v>2040</v>
      </c>
      <c r="C817" s="33" t="s">
        <v>34</v>
      </c>
      <c r="D817" s="34" t="s">
        <v>2002</v>
      </c>
      <c r="E817" s="35" t="str">
        <f t="shared" si="129"/>
        <v>PS'!</v>
      </c>
      <c r="F817" s="34" t="str">
        <f t="shared" si="130"/>
        <v>C:\Users\jaime.benazar\Quorum Business Solutions\Ecopetrol Prometeo - Documents\Planning Space Implementation\3. Analysis &amp; Design\Design\FC22\DRR Jaime\Neiva CPI\[DINA TERCIARIOS_CF_SEC_New_27-Mar-2024.xlsx]D-PS'!</v>
      </c>
      <c r="G817" s="32" t="s">
        <v>102</v>
      </c>
      <c r="H817" s="33">
        <f t="shared" si="195"/>
        <v>29</v>
      </c>
      <c r="I817" s="33" t="str">
        <f t="shared" si="131"/>
        <v>='C:\Users\jaime.benazar\Quorum Business Solutions\Ecopetrol Prometeo - Documents\Planning Space Implementation\3. Analysis &amp; Design\Design\FC22\DRR Jaime\Neiva CPI\[DINA TERCIARIOS_CF_SEC_New_27-Mar-2024.xlsx]D-PS'!$BW$29</v>
      </c>
      <c r="J817" s="37" t="s">
        <v>2353</v>
      </c>
    </row>
    <row r="818" spans="1:10" x14ac:dyDescent="0.3">
      <c r="A818" s="32" t="s">
        <v>24</v>
      </c>
      <c r="B818" s="32">
        <f>+B817+1</f>
        <v>2041</v>
      </c>
      <c r="C818" s="33" t="s">
        <v>34</v>
      </c>
      <c r="D818" s="34" t="s">
        <v>2002</v>
      </c>
      <c r="E818" s="35" t="str">
        <f t="shared" si="129"/>
        <v>PS'!</v>
      </c>
      <c r="F818" s="34" t="str">
        <f t="shared" si="130"/>
        <v>C:\Users\jaime.benazar\Quorum Business Solutions\Ecopetrol Prometeo - Documents\Planning Space Implementation\3. Analysis &amp; Design\Design\FC22\DRR Jaime\Neiva CPI\[DINA TERCIARIOS_CF_SEC_New_27-Mar-2024.xlsx]D-PS'!</v>
      </c>
      <c r="G818" s="32" t="s">
        <v>102</v>
      </c>
      <c r="H818" s="33">
        <f t="shared" si="195"/>
        <v>30</v>
      </c>
      <c r="I818" s="33" t="str">
        <f t="shared" si="131"/>
        <v>='C:\Users\jaime.benazar\Quorum Business Solutions\Ecopetrol Prometeo - Documents\Planning Space Implementation\3. Analysis &amp; Design\Design\FC22\DRR Jaime\Neiva CPI\[DINA TERCIARIOS_CF_SEC_New_27-Mar-2024.xlsx]D-PS'!$BW$30</v>
      </c>
      <c r="J818" s="37" t="s">
        <v>2354</v>
      </c>
    </row>
    <row r="819" spans="1:10" x14ac:dyDescent="0.3">
      <c r="A819" s="32" t="s">
        <v>24</v>
      </c>
      <c r="B819" s="32">
        <f t="shared" ref="B819:B820" si="197">+B818+1</f>
        <v>2042</v>
      </c>
      <c r="C819" s="33" t="s">
        <v>34</v>
      </c>
      <c r="D819" s="34" t="s">
        <v>2002</v>
      </c>
      <c r="E819" s="35" t="str">
        <f t="shared" si="129"/>
        <v>PS'!</v>
      </c>
      <c r="F819" s="34" t="str">
        <f t="shared" si="130"/>
        <v>C:\Users\jaime.benazar\Quorum Business Solutions\Ecopetrol Prometeo - Documents\Planning Space Implementation\3. Analysis &amp; Design\Design\FC22\DRR Jaime\Neiva CPI\[DINA TERCIARIOS_CF_SEC_New_27-Mar-2024.xlsx]D-PS'!</v>
      </c>
      <c r="G819" s="32" t="s">
        <v>102</v>
      </c>
      <c r="H819" s="33">
        <f t="shared" si="195"/>
        <v>31</v>
      </c>
      <c r="I819" s="33" t="str">
        <f t="shared" si="131"/>
        <v>='C:\Users\jaime.benazar\Quorum Business Solutions\Ecopetrol Prometeo - Documents\Planning Space Implementation\3. Analysis &amp; Design\Design\FC22\DRR Jaime\Neiva CPI\[DINA TERCIARIOS_CF_SEC_New_27-Mar-2024.xlsx]D-PS'!$BW$31</v>
      </c>
      <c r="J819" s="37" t="s">
        <v>2355</v>
      </c>
    </row>
    <row r="820" spans="1:10" x14ac:dyDescent="0.3">
      <c r="A820" s="32" t="s">
        <v>24</v>
      </c>
      <c r="B820" s="32">
        <f t="shared" si="197"/>
        <v>2043</v>
      </c>
      <c r="C820" s="33" t="s">
        <v>34</v>
      </c>
      <c r="D820" s="34" t="s">
        <v>2002</v>
      </c>
      <c r="E820" s="35" t="str">
        <f t="shared" si="129"/>
        <v>PS'!</v>
      </c>
      <c r="F820" s="34" t="str">
        <f t="shared" si="130"/>
        <v>C:\Users\jaime.benazar\Quorum Business Solutions\Ecopetrol Prometeo - Documents\Planning Space Implementation\3. Analysis &amp; Design\Design\FC22\DRR Jaime\Neiva CPI\[DINA TERCIARIOS_CF_SEC_New_27-Mar-2024.xlsx]D-PS'!</v>
      </c>
      <c r="G820" s="32" t="s">
        <v>102</v>
      </c>
      <c r="H820" s="33">
        <f t="shared" si="195"/>
        <v>32</v>
      </c>
      <c r="I820" s="33" t="str">
        <f t="shared" si="131"/>
        <v>='C:\Users\jaime.benazar\Quorum Business Solutions\Ecopetrol Prometeo - Documents\Planning Space Implementation\3. Analysis &amp; Design\Design\FC22\DRR Jaime\Neiva CPI\[DINA TERCIARIOS_CF_SEC_New_27-Mar-2024.xlsx]D-PS'!$BW$32</v>
      </c>
      <c r="J820" s="37" t="s">
        <v>2356</v>
      </c>
    </row>
    <row r="821" spans="1:10" x14ac:dyDescent="0.3">
      <c r="A821" s="32" t="s">
        <v>24</v>
      </c>
      <c r="B821" s="32">
        <f>+B820+1</f>
        <v>2044</v>
      </c>
      <c r="C821" s="33" t="s">
        <v>34</v>
      </c>
      <c r="D821" s="34" t="s">
        <v>2002</v>
      </c>
      <c r="E821" s="35" t="str">
        <f t="shared" ref="E821:E836" si="198">_xlfn.CONCAT(A821,"'!")</f>
        <v>PS'!</v>
      </c>
      <c r="F821" s="34" t="str">
        <f t="shared" ref="F821:F836" si="199">_xlfn.CONCAT(D821:E821)</f>
        <v>C:\Users\jaime.benazar\Quorum Business Solutions\Ecopetrol Prometeo - Documents\Planning Space Implementation\3. Analysis &amp; Design\Design\FC22\DRR Jaime\Neiva CPI\[DINA TERCIARIOS_CF_SEC_New_27-Mar-2024.xlsx]D-PS'!</v>
      </c>
      <c r="G821" s="32" t="s">
        <v>102</v>
      </c>
      <c r="H821" s="33">
        <f t="shared" ref="H821:H836" si="200">IF(A821&lt;&gt;A820,12,H820+1)</f>
        <v>33</v>
      </c>
      <c r="I821" s="33" t="str">
        <f t="shared" ref="I821:I836" si="201">_xlfn.CONCAT("='",F821:H821)</f>
        <v>='C:\Users\jaime.benazar\Quorum Business Solutions\Ecopetrol Prometeo - Documents\Planning Space Implementation\3. Analysis &amp; Design\Design\FC22\DRR Jaime\Neiva CPI\[DINA TERCIARIOS_CF_SEC_New_27-Mar-2024.xlsx]D-PS'!$BW$33</v>
      </c>
      <c r="J821" s="37" t="s">
        <v>2357</v>
      </c>
    </row>
    <row r="822" spans="1:10" x14ac:dyDescent="0.3">
      <c r="A822" s="32" t="s">
        <v>24</v>
      </c>
      <c r="B822" s="32">
        <f t="shared" ref="B822:B836" si="202">+B821+1</f>
        <v>2045</v>
      </c>
      <c r="C822" s="33" t="s">
        <v>34</v>
      </c>
      <c r="D822" s="34" t="s">
        <v>2002</v>
      </c>
      <c r="E822" s="35" t="str">
        <f t="shared" si="198"/>
        <v>PS'!</v>
      </c>
      <c r="F822" s="34" t="str">
        <f t="shared" si="199"/>
        <v>C:\Users\jaime.benazar\Quorum Business Solutions\Ecopetrol Prometeo - Documents\Planning Space Implementation\3. Analysis &amp; Design\Design\FC22\DRR Jaime\Neiva CPI\[DINA TERCIARIOS_CF_SEC_New_27-Mar-2024.xlsx]D-PS'!</v>
      </c>
      <c r="G822" s="32" t="s">
        <v>102</v>
      </c>
      <c r="H822" s="33">
        <f t="shared" si="200"/>
        <v>34</v>
      </c>
      <c r="I822" s="33" t="str">
        <f t="shared" si="201"/>
        <v>='C:\Users\jaime.benazar\Quorum Business Solutions\Ecopetrol Prometeo - Documents\Planning Space Implementation\3. Analysis &amp; Design\Design\FC22\DRR Jaime\Neiva CPI\[DINA TERCIARIOS_CF_SEC_New_27-Mar-2024.xlsx]D-PS'!$BW$34</v>
      </c>
      <c r="J822" s="37" t="s">
        <v>2358</v>
      </c>
    </row>
    <row r="823" spans="1:10" x14ac:dyDescent="0.3">
      <c r="A823" s="32" t="s">
        <v>24</v>
      </c>
      <c r="B823" s="32">
        <f t="shared" si="202"/>
        <v>2046</v>
      </c>
      <c r="C823" s="33" t="s">
        <v>34</v>
      </c>
      <c r="D823" s="34" t="s">
        <v>2002</v>
      </c>
      <c r="E823" s="35" t="str">
        <f t="shared" si="198"/>
        <v>PS'!</v>
      </c>
      <c r="F823" s="34" t="str">
        <f t="shared" si="199"/>
        <v>C:\Users\jaime.benazar\Quorum Business Solutions\Ecopetrol Prometeo - Documents\Planning Space Implementation\3. Analysis &amp; Design\Design\FC22\DRR Jaime\Neiva CPI\[DINA TERCIARIOS_CF_SEC_New_27-Mar-2024.xlsx]D-PS'!</v>
      </c>
      <c r="G823" s="32" t="s">
        <v>102</v>
      </c>
      <c r="H823" s="33">
        <f t="shared" si="200"/>
        <v>35</v>
      </c>
      <c r="I823" s="33" t="str">
        <f t="shared" si="201"/>
        <v>='C:\Users\jaime.benazar\Quorum Business Solutions\Ecopetrol Prometeo - Documents\Planning Space Implementation\3. Analysis &amp; Design\Design\FC22\DRR Jaime\Neiva CPI\[DINA TERCIARIOS_CF_SEC_New_27-Mar-2024.xlsx]D-PS'!$BW$35</v>
      </c>
      <c r="J823" s="37" t="s">
        <v>2359</v>
      </c>
    </row>
    <row r="824" spans="1:10" x14ac:dyDescent="0.3">
      <c r="A824" s="32" t="s">
        <v>24</v>
      </c>
      <c r="B824" s="32">
        <f t="shared" si="202"/>
        <v>2047</v>
      </c>
      <c r="C824" s="33" t="s">
        <v>34</v>
      </c>
      <c r="D824" s="34" t="s">
        <v>2002</v>
      </c>
      <c r="E824" s="35" t="str">
        <f t="shared" si="198"/>
        <v>PS'!</v>
      </c>
      <c r="F824" s="34" t="str">
        <f t="shared" si="199"/>
        <v>C:\Users\jaime.benazar\Quorum Business Solutions\Ecopetrol Prometeo - Documents\Planning Space Implementation\3. Analysis &amp; Design\Design\FC22\DRR Jaime\Neiva CPI\[DINA TERCIARIOS_CF_SEC_New_27-Mar-2024.xlsx]D-PS'!</v>
      </c>
      <c r="G824" s="32" t="s">
        <v>102</v>
      </c>
      <c r="H824" s="33">
        <f t="shared" si="200"/>
        <v>36</v>
      </c>
      <c r="I824" s="33" t="str">
        <f t="shared" si="201"/>
        <v>='C:\Users\jaime.benazar\Quorum Business Solutions\Ecopetrol Prometeo - Documents\Planning Space Implementation\3. Analysis &amp; Design\Design\FC22\DRR Jaime\Neiva CPI\[DINA TERCIARIOS_CF_SEC_New_27-Mar-2024.xlsx]D-PS'!$BW$36</v>
      </c>
      <c r="J824" s="37" t="s">
        <v>2360</v>
      </c>
    </row>
    <row r="825" spans="1:10" x14ac:dyDescent="0.3">
      <c r="A825" s="32" t="s">
        <v>24</v>
      </c>
      <c r="B825" s="32">
        <f t="shared" si="202"/>
        <v>2048</v>
      </c>
      <c r="C825" s="33" t="s">
        <v>34</v>
      </c>
      <c r="D825" s="34" t="s">
        <v>2002</v>
      </c>
      <c r="E825" s="35" t="str">
        <f t="shared" si="198"/>
        <v>PS'!</v>
      </c>
      <c r="F825" s="34" t="str">
        <f t="shared" si="199"/>
        <v>C:\Users\jaime.benazar\Quorum Business Solutions\Ecopetrol Prometeo - Documents\Planning Space Implementation\3. Analysis &amp; Design\Design\FC22\DRR Jaime\Neiva CPI\[DINA TERCIARIOS_CF_SEC_New_27-Mar-2024.xlsx]D-PS'!</v>
      </c>
      <c r="G825" s="32" t="s">
        <v>102</v>
      </c>
      <c r="H825" s="33">
        <f t="shared" si="200"/>
        <v>37</v>
      </c>
      <c r="I825" s="33" t="str">
        <f t="shared" si="201"/>
        <v>='C:\Users\jaime.benazar\Quorum Business Solutions\Ecopetrol Prometeo - Documents\Planning Space Implementation\3. Analysis &amp; Design\Design\FC22\DRR Jaime\Neiva CPI\[DINA TERCIARIOS_CF_SEC_New_27-Mar-2024.xlsx]D-PS'!$BW$37</v>
      </c>
      <c r="J825" s="37" t="s">
        <v>2361</v>
      </c>
    </row>
    <row r="826" spans="1:10" x14ac:dyDescent="0.3">
      <c r="A826" s="32" t="s">
        <v>24</v>
      </c>
      <c r="B826" s="32">
        <f t="shared" si="202"/>
        <v>2049</v>
      </c>
      <c r="C826" s="33" t="s">
        <v>34</v>
      </c>
      <c r="D826" s="34" t="s">
        <v>2002</v>
      </c>
      <c r="E826" s="35" t="str">
        <f t="shared" si="198"/>
        <v>PS'!</v>
      </c>
      <c r="F826" s="34" t="str">
        <f t="shared" si="199"/>
        <v>C:\Users\jaime.benazar\Quorum Business Solutions\Ecopetrol Prometeo - Documents\Planning Space Implementation\3. Analysis &amp; Design\Design\FC22\DRR Jaime\Neiva CPI\[DINA TERCIARIOS_CF_SEC_New_27-Mar-2024.xlsx]D-PS'!</v>
      </c>
      <c r="G826" s="32" t="s">
        <v>102</v>
      </c>
      <c r="H826" s="33">
        <f t="shared" si="200"/>
        <v>38</v>
      </c>
      <c r="I826" s="33" t="str">
        <f t="shared" si="201"/>
        <v>='C:\Users\jaime.benazar\Quorum Business Solutions\Ecopetrol Prometeo - Documents\Planning Space Implementation\3. Analysis &amp; Design\Design\FC22\DRR Jaime\Neiva CPI\[DINA TERCIARIOS_CF_SEC_New_27-Mar-2024.xlsx]D-PS'!$BW$38</v>
      </c>
      <c r="J826" s="37" t="s">
        <v>2362</v>
      </c>
    </row>
    <row r="827" spans="1:10" x14ac:dyDescent="0.3">
      <c r="A827" s="32" t="s">
        <v>24</v>
      </c>
      <c r="B827" s="32">
        <f t="shared" si="202"/>
        <v>2050</v>
      </c>
      <c r="C827" s="33" t="s">
        <v>34</v>
      </c>
      <c r="D827" s="34" t="s">
        <v>2002</v>
      </c>
      <c r="E827" s="35" t="str">
        <f t="shared" si="198"/>
        <v>PS'!</v>
      </c>
      <c r="F827" s="34" t="str">
        <f t="shared" si="199"/>
        <v>C:\Users\jaime.benazar\Quorum Business Solutions\Ecopetrol Prometeo - Documents\Planning Space Implementation\3. Analysis &amp; Design\Design\FC22\DRR Jaime\Neiva CPI\[DINA TERCIARIOS_CF_SEC_New_27-Mar-2024.xlsx]D-PS'!</v>
      </c>
      <c r="G827" s="32" t="s">
        <v>102</v>
      </c>
      <c r="H827" s="33">
        <f t="shared" si="200"/>
        <v>39</v>
      </c>
      <c r="I827" s="33" t="str">
        <f t="shared" si="201"/>
        <v>='C:\Users\jaime.benazar\Quorum Business Solutions\Ecopetrol Prometeo - Documents\Planning Space Implementation\3. Analysis &amp; Design\Design\FC22\DRR Jaime\Neiva CPI\[DINA TERCIARIOS_CF_SEC_New_27-Mar-2024.xlsx]D-PS'!$BW$39</v>
      </c>
      <c r="J827" s="37" t="s">
        <v>2363</v>
      </c>
    </row>
    <row r="828" spans="1:10" x14ac:dyDescent="0.3">
      <c r="A828" s="32" t="s">
        <v>24</v>
      </c>
      <c r="B828" s="32">
        <f t="shared" si="202"/>
        <v>2051</v>
      </c>
      <c r="C828" s="33" t="s">
        <v>34</v>
      </c>
      <c r="D828" s="34" t="s">
        <v>2002</v>
      </c>
      <c r="E828" s="35" t="str">
        <f t="shared" si="198"/>
        <v>PS'!</v>
      </c>
      <c r="F828" s="34" t="str">
        <f t="shared" si="199"/>
        <v>C:\Users\jaime.benazar\Quorum Business Solutions\Ecopetrol Prometeo - Documents\Planning Space Implementation\3. Analysis &amp; Design\Design\FC22\DRR Jaime\Neiva CPI\[DINA TERCIARIOS_CF_SEC_New_27-Mar-2024.xlsx]D-PS'!</v>
      </c>
      <c r="G828" s="32" t="s">
        <v>102</v>
      </c>
      <c r="H828" s="33">
        <f t="shared" si="200"/>
        <v>40</v>
      </c>
      <c r="I828" s="33" t="str">
        <f t="shared" si="201"/>
        <v>='C:\Users\jaime.benazar\Quorum Business Solutions\Ecopetrol Prometeo - Documents\Planning Space Implementation\3. Analysis &amp; Design\Design\FC22\DRR Jaime\Neiva CPI\[DINA TERCIARIOS_CF_SEC_New_27-Mar-2024.xlsx]D-PS'!$BW$40</v>
      </c>
      <c r="J828" s="37" t="s">
        <v>2364</v>
      </c>
    </row>
    <row r="829" spans="1:10" x14ac:dyDescent="0.3">
      <c r="A829" s="32" t="s">
        <v>24</v>
      </c>
      <c r="B829" s="32">
        <f t="shared" si="202"/>
        <v>2052</v>
      </c>
      <c r="C829" s="33" t="s">
        <v>34</v>
      </c>
      <c r="D829" s="34" t="s">
        <v>2002</v>
      </c>
      <c r="E829" s="35" t="str">
        <f t="shared" si="198"/>
        <v>PS'!</v>
      </c>
      <c r="F829" s="34" t="str">
        <f t="shared" si="199"/>
        <v>C:\Users\jaime.benazar\Quorum Business Solutions\Ecopetrol Prometeo - Documents\Planning Space Implementation\3. Analysis &amp; Design\Design\FC22\DRR Jaime\Neiva CPI\[DINA TERCIARIOS_CF_SEC_New_27-Mar-2024.xlsx]D-PS'!</v>
      </c>
      <c r="G829" s="32" t="s">
        <v>102</v>
      </c>
      <c r="H829" s="33">
        <f t="shared" si="200"/>
        <v>41</v>
      </c>
      <c r="I829" s="33" t="str">
        <f t="shared" si="201"/>
        <v>='C:\Users\jaime.benazar\Quorum Business Solutions\Ecopetrol Prometeo - Documents\Planning Space Implementation\3. Analysis &amp; Design\Design\FC22\DRR Jaime\Neiva CPI\[DINA TERCIARIOS_CF_SEC_New_27-Mar-2024.xlsx]D-PS'!$BW$41</v>
      </c>
      <c r="J829" s="37" t="s">
        <v>2365</v>
      </c>
    </row>
    <row r="830" spans="1:10" x14ac:dyDescent="0.3">
      <c r="A830" s="32" t="s">
        <v>24</v>
      </c>
      <c r="B830" s="32">
        <f t="shared" si="202"/>
        <v>2053</v>
      </c>
      <c r="C830" s="33" t="s">
        <v>34</v>
      </c>
      <c r="D830" s="34" t="s">
        <v>2002</v>
      </c>
      <c r="E830" s="35" t="str">
        <f t="shared" si="198"/>
        <v>PS'!</v>
      </c>
      <c r="F830" s="34" t="str">
        <f t="shared" si="199"/>
        <v>C:\Users\jaime.benazar\Quorum Business Solutions\Ecopetrol Prometeo - Documents\Planning Space Implementation\3. Analysis &amp; Design\Design\FC22\DRR Jaime\Neiva CPI\[DINA TERCIARIOS_CF_SEC_New_27-Mar-2024.xlsx]D-PS'!</v>
      </c>
      <c r="G830" s="32" t="s">
        <v>102</v>
      </c>
      <c r="H830" s="33">
        <f t="shared" si="200"/>
        <v>42</v>
      </c>
      <c r="I830" s="33" t="str">
        <f t="shared" si="201"/>
        <v>='C:\Users\jaime.benazar\Quorum Business Solutions\Ecopetrol Prometeo - Documents\Planning Space Implementation\3. Analysis &amp; Design\Design\FC22\DRR Jaime\Neiva CPI\[DINA TERCIARIOS_CF_SEC_New_27-Mar-2024.xlsx]D-PS'!$BW$42</v>
      </c>
      <c r="J830" s="37" t="s">
        <v>2366</v>
      </c>
    </row>
    <row r="831" spans="1:10" x14ac:dyDescent="0.3">
      <c r="A831" s="32" t="s">
        <v>24</v>
      </c>
      <c r="B831" s="32">
        <f t="shared" si="202"/>
        <v>2054</v>
      </c>
      <c r="C831" s="33" t="s">
        <v>34</v>
      </c>
      <c r="D831" s="34" t="s">
        <v>2002</v>
      </c>
      <c r="E831" s="35" t="str">
        <f t="shared" si="198"/>
        <v>PS'!</v>
      </c>
      <c r="F831" s="34" t="str">
        <f t="shared" si="199"/>
        <v>C:\Users\jaime.benazar\Quorum Business Solutions\Ecopetrol Prometeo - Documents\Planning Space Implementation\3. Analysis &amp; Design\Design\FC22\DRR Jaime\Neiva CPI\[DINA TERCIARIOS_CF_SEC_New_27-Mar-2024.xlsx]D-PS'!</v>
      </c>
      <c r="G831" s="32" t="s">
        <v>102</v>
      </c>
      <c r="H831" s="33">
        <f t="shared" si="200"/>
        <v>43</v>
      </c>
      <c r="I831" s="33" t="str">
        <f t="shared" si="201"/>
        <v>='C:\Users\jaime.benazar\Quorum Business Solutions\Ecopetrol Prometeo - Documents\Planning Space Implementation\3. Analysis &amp; Design\Design\FC22\DRR Jaime\Neiva CPI\[DINA TERCIARIOS_CF_SEC_New_27-Mar-2024.xlsx]D-PS'!$BW$43</v>
      </c>
      <c r="J831" s="37" t="s">
        <v>2367</v>
      </c>
    </row>
    <row r="832" spans="1:10" x14ac:dyDescent="0.3">
      <c r="A832" s="32" t="s">
        <v>24</v>
      </c>
      <c r="B832" s="32">
        <f t="shared" si="202"/>
        <v>2055</v>
      </c>
      <c r="C832" s="33" t="s">
        <v>34</v>
      </c>
      <c r="D832" s="34" t="s">
        <v>2002</v>
      </c>
      <c r="E832" s="35" t="str">
        <f t="shared" si="198"/>
        <v>PS'!</v>
      </c>
      <c r="F832" s="34" t="str">
        <f t="shared" si="199"/>
        <v>C:\Users\jaime.benazar\Quorum Business Solutions\Ecopetrol Prometeo - Documents\Planning Space Implementation\3. Analysis &amp; Design\Design\FC22\DRR Jaime\Neiva CPI\[DINA TERCIARIOS_CF_SEC_New_27-Mar-2024.xlsx]D-PS'!</v>
      </c>
      <c r="G832" s="32" t="s">
        <v>102</v>
      </c>
      <c r="H832" s="33">
        <f t="shared" si="200"/>
        <v>44</v>
      </c>
      <c r="I832" s="33" t="str">
        <f t="shared" si="201"/>
        <v>='C:\Users\jaime.benazar\Quorum Business Solutions\Ecopetrol Prometeo - Documents\Planning Space Implementation\3. Analysis &amp; Design\Design\FC22\DRR Jaime\Neiva CPI\[DINA TERCIARIOS_CF_SEC_New_27-Mar-2024.xlsx]D-PS'!$BW$44</v>
      </c>
      <c r="J832" s="37" t="s">
        <v>2368</v>
      </c>
    </row>
    <row r="833" spans="1:10" x14ac:dyDescent="0.3">
      <c r="A833" s="32" t="s">
        <v>24</v>
      </c>
      <c r="B833" s="32">
        <f t="shared" si="202"/>
        <v>2056</v>
      </c>
      <c r="C833" s="33" t="s">
        <v>34</v>
      </c>
      <c r="D833" s="34" t="s">
        <v>2002</v>
      </c>
      <c r="E833" s="35" t="str">
        <f t="shared" si="198"/>
        <v>PS'!</v>
      </c>
      <c r="F833" s="34" t="str">
        <f t="shared" si="199"/>
        <v>C:\Users\jaime.benazar\Quorum Business Solutions\Ecopetrol Prometeo - Documents\Planning Space Implementation\3. Analysis &amp; Design\Design\FC22\DRR Jaime\Neiva CPI\[DINA TERCIARIOS_CF_SEC_New_27-Mar-2024.xlsx]D-PS'!</v>
      </c>
      <c r="G833" s="32" t="s">
        <v>102</v>
      </c>
      <c r="H833" s="33">
        <f t="shared" si="200"/>
        <v>45</v>
      </c>
      <c r="I833" s="33" t="str">
        <f t="shared" si="201"/>
        <v>='C:\Users\jaime.benazar\Quorum Business Solutions\Ecopetrol Prometeo - Documents\Planning Space Implementation\3. Analysis &amp; Design\Design\FC22\DRR Jaime\Neiva CPI\[DINA TERCIARIOS_CF_SEC_New_27-Mar-2024.xlsx]D-PS'!$BW$45</v>
      </c>
      <c r="J833" s="37" t="s">
        <v>2369</v>
      </c>
    </row>
    <row r="834" spans="1:10" x14ac:dyDescent="0.3">
      <c r="A834" s="32" t="s">
        <v>24</v>
      </c>
      <c r="B834" s="32">
        <f t="shared" si="202"/>
        <v>2057</v>
      </c>
      <c r="C834" s="33" t="s">
        <v>34</v>
      </c>
      <c r="D834" s="34" t="s">
        <v>2002</v>
      </c>
      <c r="E834" s="35" t="str">
        <f t="shared" si="198"/>
        <v>PS'!</v>
      </c>
      <c r="F834" s="34" t="str">
        <f t="shared" si="199"/>
        <v>C:\Users\jaime.benazar\Quorum Business Solutions\Ecopetrol Prometeo - Documents\Planning Space Implementation\3. Analysis &amp; Design\Design\FC22\DRR Jaime\Neiva CPI\[DINA TERCIARIOS_CF_SEC_New_27-Mar-2024.xlsx]D-PS'!</v>
      </c>
      <c r="G834" s="32" t="s">
        <v>102</v>
      </c>
      <c r="H834" s="33">
        <f t="shared" si="200"/>
        <v>46</v>
      </c>
      <c r="I834" s="33" t="str">
        <f t="shared" si="201"/>
        <v>='C:\Users\jaime.benazar\Quorum Business Solutions\Ecopetrol Prometeo - Documents\Planning Space Implementation\3. Analysis &amp; Design\Design\FC22\DRR Jaime\Neiva CPI\[DINA TERCIARIOS_CF_SEC_New_27-Mar-2024.xlsx]D-PS'!$BW$46</v>
      </c>
      <c r="J834" s="37" t="s">
        <v>2370</v>
      </c>
    </row>
    <row r="835" spans="1:10" x14ac:dyDescent="0.3">
      <c r="A835" s="32" t="s">
        <v>24</v>
      </c>
      <c r="B835" s="32">
        <f t="shared" si="202"/>
        <v>2058</v>
      </c>
      <c r="C835" s="33" t="s">
        <v>34</v>
      </c>
      <c r="D835" s="34" t="s">
        <v>2002</v>
      </c>
      <c r="E835" s="35" t="str">
        <f t="shared" si="198"/>
        <v>PS'!</v>
      </c>
      <c r="F835" s="34" t="str">
        <f t="shared" si="199"/>
        <v>C:\Users\jaime.benazar\Quorum Business Solutions\Ecopetrol Prometeo - Documents\Planning Space Implementation\3. Analysis &amp; Design\Design\FC22\DRR Jaime\Neiva CPI\[DINA TERCIARIOS_CF_SEC_New_27-Mar-2024.xlsx]D-PS'!</v>
      </c>
      <c r="G835" s="32" t="s">
        <v>102</v>
      </c>
      <c r="H835" s="33">
        <f t="shared" si="200"/>
        <v>47</v>
      </c>
      <c r="I835" s="33" t="str">
        <f t="shared" si="201"/>
        <v>='C:\Users\jaime.benazar\Quorum Business Solutions\Ecopetrol Prometeo - Documents\Planning Space Implementation\3. Analysis &amp; Design\Design\FC22\DRR Jaime\Neiva CPI\[DINA TERCIARIOS_CF_SEC_New_27-Mar-2024.xlsx]D-PS'!$BW$47</v>
      </c>
      <c r="J835" s="37" t="s">
        <v>2371</v>
      </c>
    </row>
    <row r="836" spans="1:10" x14ac:dyDescent="0.3">
      <c r="A836" s="32" t="s">
        <v>24</v>
      </c>
      <c r="B836" s="32">
        <f t="shared" si="202"/>
        <v>2059</v>
      </c>
      <c r="C836" s="33" t="s">
        <v>34</v>
      </c>
      <c r="D836" s="34" t="s">
        <v>2002</v>
      </c>
      <c r="E836" s="35" t="str">
        <f t="shared" si="198"/>
        <v>PS'!</v>
      </c>
      <c r="F836" s="34" t="str">
        <f t="shared" si="199"/>
        <v>C:\Users\jaime.benazar\Quorum Business Solutions\Ecopetrol Prometeo - Documents\Planning Space Implementation\3. Analysis &amp; Design\Design\FC22\DRR Jaime\Neiva CPI\[DINA TERCIARIOS_CF_SEC_New_27-Mar-2024.xlsx]D-PS'!</v>
      </c>
      <c r="G836" s="32" t="s">
        <v>102</v>
      </c>
      <c r="H836" s="33">
        <f t="shared" si="200"/>
        <v>48</v>
      </c>
      <c r="I836" s="33" t="str">
        <f t="shared" si="201"/>
        <v>='C:\Users\jaime.benazar\Quorum Business Solutions\Ecopetrol Prometeo - Documents\Planning Space Implementation\3. Analysis &amp; Design\Design\FC22\DRR Jaime\Neiva CPI\[DINA TERCIARIOS_CF_SEC_New_27-Mar-2024.xlsx]D-PS'!$BW$48</v>
      </c>
      <c r="J836" s="37" t="s">
        <v>2372</v>
      </c>
    </row>
    <row r="837" spans="1:10" x14ac:dyDescent="0.3">
      <c r="A837" s="32" t="s">
        <v>26</v>
      </c>
      <c r="B837" s="32"/>
      <c r="C837" s="33" t="s">
        <v>34</v>
      </c>
      <c r="D837" s="34"/>
      <c r="E837" s="35"/>
      <c r="F837" s="34"/>
      <c r="G837" s="32"/>
      <c r="H837" s="33"/>
      <c r="I837" s="33"/>
      <c r="J837" s="33"/>
    </row>
    <row r="838" spans="1:10" x14ac:dyDescent="0.3">
      <c r="A838" s="32" t="s">
        <v>14</v>
      </c>
      <c r="B838" s="32">
        <v>2023</v>
      </c>
      <c r="C838" s="33" t="s">
        <v>37</v>
      </c>
      <c r="D838" s="34" t="s">
        <v>2002</v>
      </c>
      <c r="E838" s="35" t="str">
        <f>_xlfn.CONCAT(A838,"'!")</f>
        <v>PDP'!</v>
      </c>
      <c r="F838" s="34" t="str">
        <f>_xlfn.CONCAT(D838:E838)</f>
        <v>C:\Users\jaime.benazar\Quorum Business Solutions\Ecopetrol Prometeo - Documents\Planning Space Implementation\3. Analysis &amp; Design\Design\FC22\DRR Jaime\Neiva CPI\[DINA TERCIARIOS_CF_SEC_New_27-Mar-2024.xlsx]D-PDP'!</v>
      </c>
      <c r="G838" s="32" t="s">
        <v>119</v>
      </c>
      <c r="H838" s="33">
        <v>12</v>
      </c>
      <c r="I838" s="33" t="str">
        <f>_xlfn.CONCAT("='",F838:H838)</f>
        <v>='C:\Users\jaime.benazar\Quorum Business Solutions\Ecopetrol Prometeo - Documents\Planning Space Implementation\3. Analysis &amp; Design\Design\FC22\DRR Jaime\Neiva CPI\[DINA TERCIARIOS_CF_SEC_New_27-Mar-2024.xlsx]D-PDP'!$BZ$12</v>
      </c>
      <c r="J838" s="37" t="s">
        <v>2373</v>
      </c>
    </row>
    <row r="839" spans="1:10" x14ac:dyDescent="0.3">
      <c r="A839" s="32" t="s">
        <v>14</v>
      </c>
      <c r="B839" s="32">
        <f>+B838+1</f>
        <v>2024</v>
      </c>
      <c r="C839" s="33" t="s">
        <v>37</v>
      </c>
      <c r="D839" s="34" t="s">
        <v>2002</v>
      </c>
      <c r="E839" s="35" t="str">
        <f t="shared" ref="E839:E932" si="203">_xlfn.CONCAT(A839,"'!")</f>
        <v>PDP'!</v>
      </c>
      <c r="F839" s="34" t="str">
        <f t="shared" ref="F839:F932" si="204">_xlfn.CONCAT(D839:E839)</f>
        <v>C:\Users\jaime.benazar\Quorum Business Solutions\Ecopetrol Prometeo - Documents\Planning Space Implementation\3. Analysis &amp; Design\Design\FC22\DRR Jaime\Neiva CPI\[DINA TERCIARIOS_CF_SEC_New_27-Mar-2024.xlsx]D-PDP'!</v>
      </c>
      <c r="G839" s="32" t="s">
        <v>119</v>
      </c>
      <c r="H839" s="33">
        <f t="shared" ref="H839:H858" si="205">IF(A839&lt;&gt;A838,12,H838+1)</f>
        <v>13</v>
      </c>
      <c r="I839" s="33" t="str">
        <f t="shared" ref="I839:I932" si="206">_xlfn.CONCAT("='",F839:H839)</f>
        <v>='C:\Users\jaime.benazar\Quorum Business Solutions\Ecopetrol Prometeo - Documents\Planning Space Implementation\3. Analysis &amp; Design\Design\FC22\DRR Jaime\Neiva CPI\[DINA TERCIARIOS_CF_SEC_New_27-Mar-2024.xlsx]D-PDP'!$BZ$13</v>
      </c>
      <c r="J839" s="37" t="s">
        <v>2374</v>
      </c>
    </row>
    <row r="840" spans="1:10" x14ac:dyDescent="0.3">
      <c r="A840" s="32" t="s">
        <v>14</v>
      </c>
      <c r="B840" s="32">
        <f t="shared" ref="B840:B851" si="207">+B839+1</f>
        <v>2025</v>
      </c>
      <c r="C840" s="33" t="s">
        <v>37</v>
      </c>
      <c r="D840" s="34" t="s">
        <v>2002</v>
      </c>
      <c r="E840" s="35" t="str">
        <f t="shared" si="203"/>
        <v>PDP'!</v>
      </c>
      <c r="F840" s="34" t="str">
        <f t="shared" si="204"/>
        <v>C:\Users\jaime.benazar\Quorum Business Solutions\Ecopetrol Prometeo - Documents\Planning Space Implementation\3. Analysis &amp; Design\Design\FC22\DRR Jaime\Neiva CPI\[DINA TERCIARIOS_CF_SEC_New_27-Mar-2024.xlsx]D-PDP'!</v>
      </c>
      <c r="G840" s="32" t="s">
        <v>119</v>
      </c>
      <c r="H840" s="33">
        <f t="shared" si="205"/>
        <v>14</v>
      </c>
      <c r="I840" s="33" t="str">
        <f t="shared" si="206"/>
        <v>='C:\Users\jaime.benazar\Quorum Business Solutions\Ecopetrol Prometeo - Documents\Planning Space Implementation\3. Analysis &amp; Design\Design\FC22\DRR Jaime\Neiva CPI\[DINA TERCIARIOS_CF_SEC_New_27-Mar-2024.xlsx]D-PDP'!$BZ$14</v>
      </c>
      <c r="J840" s="37" t="s">
        <v>2375</v>
      </c>
    </row>
    <row r="841" spans="1:10" x14ac:dyDescent="0.3">
      <c r="A841" s="32" t="s">
        <v>14</v>
      </c>
      <c r="B841" s="32">
        <f t="shared" si="207"/>
        <v>2026</v>
      </c>
      <c r="C841" s="33" t="s">
        <v>37</v>
      </c>
      <c r="D841" s="34" t="s">
        <v>2002</v>
      </c>
      <c r="E841" s="35" t="str">
        <f t="shared" si="203"/>
        <v>PDP'!</v>
      </c>
      <c r="F841" s="34" t="str">
        <f t="shared" si="204"/>
        <v>C:\Users\jaime.benazar\Quorum Business Solutions\Ecopetrol Prometeo - Documents\Planning Space Implementation\3. Analysis &amp; Design\Design\FC22\DRR Jaime\Neiva CPI\[DINA TERCIARIOS_CF_SEC_New_27-Mar-2024.xlsx]D-PDP'!</v>
      </c>
      <c r="G841" s="32" t="s">
        <v>119</v>
      </c>
      <c r="H841" s="33">
        <f t="shared" si="205"/>
        <v>15</v>
      </c>
      <c r="I841" s="33" t="str">
        <f t="shared" si="206"/>
        <v>='C:\Users\jaime.benazar\Quorum Business Solutions\Ecopetrol Prometeo - Documents\Planning Space Implementation\3. Analysis &amp; Design\Design\FC22\DRR Jaime\Neiva CPI\[DINA TERCIARIOS_CF_SEC_New_27-Mar-2024.xlsx]D-PDP'!$BZ$15</v>
      </c>
      <c r="J841" s="37" t="s">
        <v>2376</v>
      </c>
    </row>
    <row r="842" spans="1:10" x14ac:dyDescent="0.3">
      <c r="A842" s="32" t="s">
        <v>14</v>
      </c>
      <c r="B842" s="32">
        <f t="shared" si="207"/>
        <v>2027</v>
      </c>
      <c r="C842" s="33" t="s">
        <v>37</v>
      </c>
      <c r="D842" s="34" t="s">
        <v>2002</v>
      </c>
      <c r="E842" s="35" t="str">
        <f t="shared" si="203"/>
        <v>PDP'!</v>
      </c>
      <c r="F842" s="34" t="str">
        <f t="shared" si="204"/>
        <v>C:\Users\jaime.benazar\Quorum Business Solutions\Ecopetrol Prometeo - Documents\Planning Space Implementation\3. Analysis &amp; Design\Design\FC22\DRR Jaime\Neiva CPI\[DINA TERCIARIOS_CF_SEC_New_27-Mar-2024.xlsx]D-PDP'!</v>
      </c>
      <c r="G842" s="32" t="s">
        <v>119</v>
      </c>
      <c r="H842" s="33">
        <f t="shared" si="205"/>
        <v>16</v>
      </c>
      <c r="I842" s="33" t="str">
        <f t="shared" si="206"/>
        <v>='C:\Users\jaime.benazar\Quorum Business Solutions\Ecopetrol Prometeo - Documents\Planning Space Implementation\3. Analysis &amp; Design\Design\FC22\DRR Jaime\Neiva CPI\[DINA TERCIARIOS_CF_SEC_New_27-Mar-2024.xlsx]D-PDP'!$BZ$16</v>
      </c>
      <c r="J842" s="37" t="s">
        <v>2377</v>
      </c>
    </row>
    <row r="843" spans="1:10" x14ac:dyDescent="0.3">
      <c r="A843" s="32" t="s">
        <v>14</v>
      </c>
      <c r="B843" s="32">
        <f t="shared" si="207"/>
        <v>2028</v>
      </c>
      <c r="C843" s="33" t="s">
        <v>37</v>
      </c>
      <c r="D843" s="34" t="s">
        <v>2002</v>
      </c>
      <c r="E843" s="35" t="str">
        <f t="shared" si="203"/>
        <v>PDP'!</v>
      </c>
      <c r="F843" s="34" t="str">
        <f t="shared" si="204"/>
        <v>C:\Users\jaime.benazar\Quorum Business Solutions\Ecopetrol Prometeo - Documents\Planning Space Implementation\3. Analysis &amp; Design\Design\FC22\DRR Jaime\Neiva CPI\[DINA TERCIARIOS_CF_SEC_New_27-Mar-2024.xlsx]D-PDP'!</v>
      </c>
      <c r="G843" s="32" t="s">
        <v>119</v>
      </c>
      <c r="H843" s="33">
        <f t="shared" si="205"/>
        <v>17</v>
      </c>
      <c r="I843" s="33" t="str">
        <f t="shared" si="206"/>
        <v>='C:\Users\jaime.benazar\Quorum Business Solutions\Ecopetrol Prometeo - Documents\Planning Space Implementation\3. Analysis &amp; Design\Design\FC22\DRR Jaime\Neiva CPI\[DINA TERCIARIOS_CF_SEC_New_27-Mar-2024.xlsx]D-PDP'!$BZ$17</v>
      </c>
      <c r="J843" s="37" t="s">
        <v>2378</v>
      </c>
    </row>
    <row r="844" spans="1:10" x14ac:dyDescent="0.3">
      <c r="A844" s="32" t="s">
        <v>14</v>
      </c>
      <c r="B844" s="32">
        <f t="shared" si="207"/>
        <v>2029</v>
      </c>
      <c r="C844" s="33" t="s">
        <v>37</v>
      </c>
      <c r="D844" s="34" t="s">
        <v>2002</v>
      </c>
      <c r="E844" s="35" t="str">
        <f t="shared" si="203"/>
        <v>PDP'!</v>
      </c>
      <c r="F844" s="34" t="str">
        <f t="shared" si="204"/>
        <v>C:\Users\jaime.benazar\Quorum Business Solutions\Ecopetrol Prometeo - Documents\Planning Space Implementation\3. Analysis &amp; Design\Design\FC22\DRR Jaime\Neiva CPI\[DINA TERCIARIOS_CF_SEC_New_27-Mar-2024.xlsx]D-PDP'!</v>
      </c>
      <c r="G844" s="32" t="s">
        <v>119</v>
      </c>
      <c r="H844" s="33">
        <f t="shared" si="205"/>
        <v>18</v>
      </c>
      <c r="I844" s="33" t="str">
        <f t="shared" si="206"/>
        <v>='C:\Users\jaime.benazar\Quorum Business Solutions\Ecopetrol Prometeo - Documents\Planning Space Implementation\3. Analysis &amp; Design\Design\FC22\DRR Jaime\Neiva CPI\[DINA TERCIARIOS_CF_SEC_New_27-Mar-2024.xlsx]D-PDP'!$BZ$18</v>
      </c>
      <c r="J844" s="37" t="s">
        <v>2379</v>
      </c>
    </row>
    <row r="845" spans="1:10" x14ac:dyDescent="0.3">
      <c r="A845" s="32" t="s">
        <v>14</v>
      </c>
      <c r="B845" s="32">
        <f t="shared" si="207"/>
        <v>2030</v>
      </c>
      <c r="C845" s="33" t="s">
        <v>37</v>
      </c>
      <c r="D845" s="34" t="s">
        <v>2002</v>
      </c>
      <c r="E845" s="35" t="str">
        <f t="shared" si="203"/>
        <v>PDP'!</v>
      </c>
      <c r="F845" s="34" t="str">
        <f t="shared" si="204"/>
        <v>C:\Users\jaime.benazar\Quorum Business Solutions\Ecopetrol Prometeo - Documents\Planning Space Implementation\3. Analysis &amp; Design\Design\FC22\DRR Jaime\Neiva CPI\[DINA TERCIARIOS_CF_SEC_New_27-Mar-2024.xlsx]D-PDP'!</v>
      </c>
      <c r="G845" s="32" t="s">
        <v>119</v>
      </c>
      <c r="H845" s="33">
        <f t="shared" si="205"/>
        <v>19</v>
      </c>
      <c r="I845" s="33" t="str">
        <f t="shared" si="206"/>
        <v>='C:\Users\jaime.benazar\Quorum Business Solutions\Ecopetrol Prometeo - Documents\Planning Space Implementation\3. Analysis &amp; Design\Design\FC22\DRR Jaime\Neiva CPI\[DINA TERCIARIOS_CF_SEC_New_27-Mar-2024.xlsx]D-PDP'!$BZ$19</v>
      </c>
      <c r="J845" s="37" t="s">
        <v>2380</v>
      </c>
    </row>
    <row r="846" spans="1:10" x14ac:dyDescent="0.3">
      <c r="A846" s="32" t="s">
        <v>14</v>
      </c>
      <c r="B846" s="32">
        <f t="shared" si="207"/>
        <v>2031</v>
      </c>
      <c r="C846" s="33" t="s">
        <v>37</v>
      </c>
      <c r="D846" s="34" t="s">
        <v>2002</v>
      </c>
      <c r="E846" s="35" t="str">
        <f t="shared" si="203"/>
        <v>PDP'!</v>
      </c>
      <c r="F846" s="34" t="str">
        <f t="shared" si="204"/>
        <v>C:\Users\jaime.benazar\Quorum Business Solutions\Ecopetrol Prometeo - Documents\Planning Space Implementation\3. Analysis &amp; Design\Design\FC22\DRR Jaime\Neiva CPI\[DINA TERCIARIOS_CF_SEC_New_27-Mar-2024.xlsx]D-PDP'!</v>
      </c>
      <c r="G846" s="32" t="s">
        <v>119</v>
      </c>
      <c r="H846" s="33">
        <f t="shared" si="205"/>
        <v>20</v>
      </c>
      <c r="I846" s="33" t="str">
        <f t="shared" si="206"/>
        <v>='C:\Users\jaime.benazar\Quorum Business Solutions\Ecopetrol Prometeo - Documents\Planning Space Implementation\3. Analysis &amp; Design\Design\FC22\DRR Jaime\Neiva CPI\[DINA TERCIARIOS_CF_SEC_New_27-Mar-2024.xlsx]D-PDP'!$BZ$20</v>
      </c>
      <c r="J846" s="37" t="s">
        <v>2381</v>
      </c>
    </row>
    <row r="847" spans="1:10" x14ac:dyDescent="0.3">
      <c r="A847" s="32" t="s">
        <v>14</v>
      </c>
      <c r="B847" s="32">
        <f t="shared" si="207"/>
        <v>2032</v>
      </c>
      <c r="C847" s="33" t="s">
        <v>37</v>
      </c>
      <c r="D847" s="34" t="s">
        <v>2002</v>
      </c>
      <c r="E847" s="35" t="str">
        <f t="shared" si="203"/>
        <v>PDP'!</v>
      </c>
      <c r="F847" s="34" t="str">
        <f t="shared" si="204"/>
        <v>C:\Users\jaime.benazar\Quorum Business Solutions\Ecopetrol Prometeo - Documents\Planning Space Implementation\3. Analysis &amp; Design\Design\FC22\DRR Jaime\Neiva CPI\[DINA TERCIARIOS_CF_SEC_New_27-Mar-2024.xlsx]D-PDP'!</v>
      </c>
      <c r="G847" s="32" t="s">
        <v>119</v>
      </c>
      <c r="H847" s="33">
        <f t="shared" si="205"/>
        <v>21</v>
      </c>
      <c r="I847" s="33" t="str">
        <f t="shared" si="206"/>
        <v>='C:\Users\jaime.benazar\Quorum Business Solutions\Ecopetrol Prometeo - Documents\Planning Space Implementation\3. Analysis &amp; Design\Design\FC22\DRR Jaime\Neiva CPI\[DINA TERCIARIOS_CF_SEC_New_27-Mar-2024.xlsx]D-PDP'!$BZ$21</v>
      </c>
      <c r="J847" s="37" t="s">
        <v>2382</v>
      </c>
    </row>
    <row r="848" spans="1:10" x14ac:dyDescent="0.3">
      <c r="A848" s="32" t="s">
        <v>14</v>
      </c>
      <c r="B848" s="32">
        <f t="shared" si="207"/>
        <v>2033</v>
      </c>
      <c r="C848" s="33" t="s">
        <v>37</v>
      </c>
      <c r="D848" s="34" t="s">
        <v>2002</v>
      </c>
      <c r="E848" s="35" t="str">
        <f t="shared" si="203"/>
        <v>PDP'!</v>
      </c>
      <c r="F848" s="34" t="str">
        <f t="shared" si="204"/>
        <v>C:\Users\jaime.benazar\Quorum Business Solutions\Ecopetrol Prometeo - Documents\Planning Space Implementation\3. Analysis &amp; Design\Design\FC22\DRR Jaime\Neiva CPI\[DINA TERCIARIOS_CF_SEC_New_27-Mar-2024.xlsx]D-PDP'!</v>
      </c>
      <c r="G848" s="32" t="s">
        <v>119</v>
      </c>
      <c r="H848" s="33">
        <f t="shared" si="205"/>
        <v>22</v>
      </c>
      <c r="I848" s="33" t="str">
        <f t="shared" si="206"/>
        <v>='C:\Users\jaime.benazar\Quorum Business Solutions\Ecopetrol Prometeo - Documents\Planning Space Implementation\3. Analysis &amp; Design\Design\FC22\DRR Jaime\Neiva CPI\[DINA TERCIARIOS_CF_SEC_New_27-Mar-2024.xlsx]D-PDP'!$BZ$22</v>
      </c>
      <c r="J848" s="37" t="s">
        <v>2383</v>
      </c>
    </row>
    <row r="849" spans="1:10" x14ac:dyDescent="0.3">
      <c r="A849" s="32" t="s">
        <v>14</v>
      </c>
      <c r="B849" s="32">
        <f t="shared" si="207"/>
        <v>2034</v>
      </c>
      <c r="C849" s="33" t="s">
        <v>37</v>
      </c>
      <c r="D849" s="34" t="s">
        <v>2002</v>
      </c>
      <c r="E849" s="35" t="str">
        <f t="shared" si="203"/>
        <v>PDP'!</v>
      </c>
      <c r="F849" s="34" t="str">
        <f t="shared" si="204"/>
        <v>C:\Users\jaime.benazar\Quorum Business Solutions\Ecopetrol Prometeo - Documents\Planning Space Implementation\3. Analysis &amp; Design\Design\FC22\DRR Jaime\Neiva CPI\[DINA TERCIARIOS_CF_SEC_New_27-Mar-2024.xlsx]D-PDP'!</v>
      </c>
      <c r="G849" s="32" t="s">
        <v>119</v>
      </c>
      <c r="H849" s="33">
        <f t="shared" si="205"/>
        <v>23</v>
      </c>
      <c r="I849" s="33" t="str">
        <f t="shared" si="206"/>
        <v>='C:\Users\jaime.benazar\Quorum Business Solutions\Ecopetrol Prometeo - Documents\Planning Space Implementation\3. Analysis &amp; Design\Design\FC22\DRR Jaime\Neiva CPI\[DINA TERCIARIOS_CF_SEC_New_27-Mar-2024.xlsx]D-PDP'!$BZ$23</v>
      </c>
      <c r="J849" s="37" t="s">
        <v>2384</v>
      </c>
    </row>
    <row r="850" spans="1:10" x14ac:dyDescent="0.3">
      <c r="A850" s="32" t="s">
        <v>14</v>
      </c>
      <c r="B850" s="32">
        <f t="shared" si="207"/>
        <v>2035</v>
      </c>
      <c r="C850" s="33" t="s">
        <v>37</v>
      </c>
      <c r="D850" s="34" t="s">
        <v>2002</v>
      </c>
      <c r="E850" s="35" t="str">
        <f t="shared" si="203"/>
        <v>PDP'!</v>
      </c>
      <c r="F850" s="34" t="str">
        <f t="shared" si="204"/>
        <v>C:\Users\jaime.benazar\Quorum Business Solutions\Ecopetrol Prometeo - Documents\Planning Space Implementation\3. Analysis &amp; Design\Design\FC22\DRR Jaime\Neiva CPI\[DINA TERCIARIOS_CF_SEC_New_27-Mar-2024.xlsx]D-PDP'!</v>
      </c>
      <c r="G850" s="32" t="s">
        <v>119</v>
      </c>
      <c r="H850" s="33">
        <f t="shared" si="205"/>
        <v>24</v>
      </c>
      <c r="I850" s="33" t="str">
        <f t="shared" si="206"/>
        <v>='C:\Users\jaime.benazar\Quorum Business Solutions\Ecopetrol Prometeo - Documents\Planning Space Implementation\3. Analysis &amp; Design\Design\FC22\DRR Jaime\Neiva CPI\[DINA TERCIARIOS_CF_SEC_New_27-Mar-2024.xlsx]D-PDP'!$BZ$24</v>
      </c>
      <c r="J850" s="37" t="s">
        <v>2385</v>
      </c>
    </row>
    <row r="851" spans="1:10" x14ac:dyDescent="0.3">
      <c r="A851" s="32" t="s">
        <v>14</v>
      </c>
      <c r="B851" s="32">
        <f t="shared" si="207"/>
        <v>2036</v>
      </c>
      <c r="C851" s="33" t="s">
        <v>37</v>
      </c>
      <c r="D851" s="34" t="s">
        <v>2002</v>
      </c>
      <c r="E851" s="35" t="str">
        <f t="shared" si="203"/>
        <v>PDP'!</v>
      </c>
      <c r="F851" s="34" t="str">
        <f t="shared" si="204"/>
        <v>C:\Users\jaime.benazar\Quorum Business Solutions\Ecopetrol Prometeo - Documents\Planning Space Implementation\3. Analysis &amp; Design\Design\FC22\DRR Jaime\Neiva CPI\[DINA TERCIARIOS_CF_SEC_New_27-Mar-2024.xlsx]D-PDP'!</v>
      </c>
      <c r="G851" s="32" t="s">
        <v>119</v>
      </c>
      <c r="H851" s="33">
        <f t="shared" si="205"/>
        <v>25</v>
      </c>
      <c r="I851" s="33" t="str">
        <f t="shared" si="206"/>
        <v>='C:\Users\jaime.benazar\Quorum Business Solutions\Ecopetrol Prometeo - Documents\Planning Space Implementation\3. Analysis &amp; Design\Design\FC22\DRR Jaime\Neiva CPI\[DINA TERCIARIOS_CF_SEC_New_27-Mar-2024.xlsx]D-PDP'!$BZ$25</v>
      </c>
      <c r="J851" s="37" t="s">
        <v>2386</v>
      </c>
    </row>
    <row r="852" spans="1:10" x14ac:dyDescent="0.3">
      <c r="A852" s="32" t="s">
        <v>14</v>
      </c>
      <c r="B852" s="32">
        <f>+B851+1</f>
        <v>2037</v>
      </c>
      <c r="C852" s="33" t="s">
        <v>37</v>
      </c>
      <c r="D852" s="34" t="s">
        <v>2002</v>
      </c>
      <c r="E852" s="35" t="str">
        <f t="shared" si="203"/>
        <v>PDP'!</v>
      </c>
      <c r="F852" s="34" t="str">
        <f t="shared" si="204"/>
        <v>C:\Users\jaime.benazar\Quorum Business Solutions\Ecopetrol Prometeo - Documents\Planning Space Implementation\3. Analysis &amp; Design\Design\FC22\DRR Jaime\Neiva CPI\[DINA TERCIARIOS_CF_SEC_New_27-Mar-2024.xlsx]D-PDP'!</v>
      </c>
      <c r="G852" s="32" t="s">
        <v>119</v>
      </c>
      <c r="H852" s="33">
        <f t="shared" si="205"/>
        <v>26</v>
      </c>
      <c r="I852" s="33" t="str">
        <f t="shared" si="206"/>
        <v>='C:\Users\jaime.benazar\Quorum Business Solutions\Ecopetrol Prometeo - Documents\Planning Space Implementation\3. Analysis &amp; Design\Design\FC22\DRR Jaime\Neiva CPI\[DINA TERCIARIOS_CF_SEC_New_27-Mar-2024.xlsx]D-PDP'!$BZ$26</v>
      </c>
      <c r="J852" s="37" t="s">
        <v>2387</v>
      </c>
    </row>
    <row r="853" spans="1:10" x14ac:dyDescent="0.3">
      <c r="A853" s="32" t="s">
        <v>14</v>
      </c>
      <c r="B853" s="32">
        <f t="shared" ref="B853:B855" si="208">+B852+1</f>
        <v>2038</v>
      </c>
      <c r="C853" s="33" t="s">
        <v>37</v>
      </c>
      <c r="D853" s="34" t="s">
        <v>2002</v>
      </c>
      <c r="E853" s="35" t="str">
        <f t="shared" si="203"/>
        <v>PDP'!</v>
      </c>
      <c r="F853" s="34" t="str">
        <f t="shared" si="204"/>
        <v>C:\Users\jaime.benazar\Quorum Business Solutions\Ecopetrol Prometeo - Documents\Planning Space Implementation\3. Analysis &amp; Design\Design\FC22\DRR Jaime\Neiva CPI\[DINA TERCIARIOS_CF_SEC_New_27-Mar-2024.xlsx]D-PDP'!</v>
      </c>
      <c r="G853" s="32" t="s">
        <v>119</v>
      </c>
      <c r="H853" s="33">
        <f t="shared" si="205"/>
        <v>27</v>
      </c>
      <c r="I853" s="33" t="str">
        <f t="shared" si="206"/>
        <v>='C:\Users\jaime.benazar\Quorum Business Solutions\Ecopetrol Prometeo - Documents\Planning Space Implementation\3. Analysis &amp; Design\Design\FC22\DRR Jaime\Neiva CPI\[DINA TERCIARIOS_CF_SEC_New_27-Mar-2024.xlsx]D-PDP'!$BZ$27</v>
      </c>
      <c r="J853" s="37" t="s">
        <v>2388</v>
      </c>
    </row>
    <row r="854" spans="1:10" x14ac:dyDescent="0.3">
      <c r="A854" s="32" t="s">
        <v>14</v>
      </c>
      <c r="B854" s="32">
        <f t="shared" si="208"/>
        <v>2039</v>
      </c>
      <c r="C854" s="33" t="s">
        <v>37</v>
      </c>
      <c r="D854" s="34" t="s">
        <v>2002</v>
      </c>
      <c r="E854" s="35" t="str">
        <f t="shared" si="203"/>
        <v>PDP'!</v>
      </c>
      <c r="F854" s="34" t="str">
        <f t="shared" si="204"/>
        <v>C:\Users\jaime.benazar\Quorum Business Solutions\Ecopetrol Prometeo - Documents\Planning Space Implementation\3. Analysis &amp; Design\Design\FC22\DRR Jaime\Neiva CPI\[DINA TERCIARIOS_CF_SEC_New_27-Mar-2024.xlsx]D-PDP'!</v>
      </c>
      <c r="G854" s="32" t="s">
        <v>119</v>
      </c>
      <c r="H854" s="33">
        <f t="shared" si="205"/>
        <v>28</v>
      </c>
      <c r="I854" s="33" t="str">
        <f t="shared" si="206"/>
        <v>='C:\Users\jaime.benazar\Quorum Business Solutions\Ecopetrol Prometeo - Documents\Planning Space Implementation\3. Analysis &amp; Design\Design\FC22\DRR Jaime\Neiva CPI\[DINA TERCIARIOS_CF_SEC_New_27-Mar-2024.xlsx]D-PDP'!$BZ$28</v>
      </c>
      <c r="J854" s="37" t="s">
        <v>2389</v>
      </c>
    </row>
    <row r="855" spans="1:10" x14ac:dyDescent="0.3">
      <c r="A855" s="32" t="s">
        <v>14</v>
      </c>
      <c r="B855" s="32">
        <f t="shared" si="208"/>
        <v>2040</v>
      </c>
      <c r="C855" s="33" t="s">
        <v>37</v>
      </c>
      <c r="D855" s="34" t="s">
        <v>2002</v>
      </c>
      <c r="E855" s="35" t="str">
        <f t="shared" si="203"/>
        <v>PDP'!</v>
      </c>
      <c r="F855" s="34" t="str">
        <f t="shared" si="204"/>
        <v>C:\Users\jaime.benazar\Quorum Business Solutions\Ecopetrol Prometeo - Documents\Planning Space Implementation\3. Analysis &amp; Design\Design\FC22\DRR Jaime\Neiva CPI\[DINA TERCIARIOS_CF_SEC_New_27-Mar-2024.xlsx]D-PDP'!</v>
      </c>
      <c r="G855" s="32" t="s">
        <v>119</v>
      </c>
      <c r="H855" s="33">
        <f t="shared" si="205"/>
        <v>29</v>
      </c>
      <c r="I855" s="33" t="str">
        <f t="shared" si="206"/>
        <v>='C:\Users\jaime.benazar\Quorum Business Solutions\Ecopetrol Prometeo - Documents\Planning Space Implementation\3. Analysis &amp; Design\Design\FC22\DRR Jaime\Neiva CPI\[DINA TERCIARIOS_CF_SEC_New_27-Mar-2024.xlsx]D-PDP'!$BZ$29</v>
      </c>
      <c r="J855" s="37" t="s">
        <v>2390</v>
      </c>
    </row>
    <row r="856" spans="1:10" x14ac:dyDescent="0.3">
      <c r="A856" s="32" t="s">
        <v>14</v>
      </c>
      <c r="B856" s="32">
        <f>+B855+1</f>
        <v>2041</v>
      </c>
      <c r="C856" s="33" t="s">
        <v>37</v>
      </c>
      <c r="D856" s="34" t="s">
        <v>2002</v>
      </c>
      <c r="E856" s="35" t="str">
        <f t="shared" si="203"/>
        <v>PDP'!</v>
      </c>
      <c r="F856" s="34" t="str">
        <f t="shared" si="204"/>
        <v>C:\Users\jaime.benazar\Quorum Business Solutions\Ecopetrol Prometeo - Documents\Planning Space Implementation\3. Analysis &amp; Design\Design\FC22\DRR Jaime\Neiva CPI\[DINA TERCIARIOS_CF_SEC_New_27-Mar-2024.xlsx]D-PDP'!</v>
      </c>
      <c r="G856" s="32" t="s">
        <v>119</v>
      </c>
      <c r="H856" s="33">
        <f t="shared" si="205"/>
        <v>30</v>
      </c>
      <c r="I856" s="33" t="str">
        <f t="shared" si="206"/>
        <v>='C:\Users\jaime.benazar\Quorum Business Solutions\Ecopetrol Prometeo - Documents\Planning Space Implementation\3. Analysis &amp; Design\Design\FC22\DRR Jaime\Neiva CPI\[DINA TERCIARIOS_CF_SEC_New_27-Mar-2024.xlsx]D-PDP'!$BZ$30</v>
      </c>
      <c r="J856" s="37" t="s">
        <v>2391</v>
      </c>
    </row>
    <row r="857" spans="1:10" x14ac:dyDescent="0.3">
      <c r="A857" s="32" t="s">
        <v>14</v>
      </c>
      <c r="B857" s="32">
        <f t="shared" ref="B857:B858" si="209">+B856+1</f>
        <v>2042</v>
      </c>
      <c r="C857" s="33" t="s">
        <v>37</v>
      </c>
      <c r="D857" s="34" t="s">
        <v>2002</v>
      </c>
      <c r="E857" s="35" t="str">
        <f t="shared" si="203"/>
        <v>PDP'!</v>
      </c>
      <c r="F857" s="34" t="str">
        <f t="shared" si="204"/>
        <v>C:\Users\jaime.benazar\Quorum Business Solutions\Ecopetrol Prometeo - Documents\Planning Space Implementation\3. Analysis &amp; Design\Design\FC22\DRR Jaime\Neiva CPI\[DINA TERCIARIOS_CF_SEC_New_27-Mar-2024.xlsx]D-PDP'!</v>
      </c>
      <c r="G857" s="32" t="s">
        <v>119</v>
      </c>
      <c r="H857" s="33">
        <f t="shared" si="205"/>
        <v>31</v>
      </c>
      <c r="I857" s="33" t="str">
        <f t="shared" si="206"/>
        <v>='C:\Users\jaime.benazar\Quorum Business Solutions\Ecopetrol Prometeo - Documents\Planning Space Implementation\3. Analysis &amp; Design\Design\FC22\DRR Jaime\Neiva CPI\[DINA TERCIARIOS_CF_SEC_New_27-Mar-2024.xlsx]D-PDP'!$BZ$31</v>
      </c>
      <c r="J857" s="37" t="s">
        <v>2392</v>
      </c>
    </row>
    <row r="858" spans="1:10" x14ac:dyDescent="0.3">
      <c r="A858" s="32" t="s">
        <v>14</v>
      </c>
      <c r="B858" s="32">
        <f t="shared" si="209"/>
        <v>2043</v>
      </c>
      <c r="C858" s="33" t="s">
        <v>37</v>
      </c>
      <c r="D858" s="34" t="s">
        <v>2002</v>
      </c>
      <c r="E858" s="35" t="str">
        <f t="shared" si="203"/>
        <v>PDP'!</v>
      </c>
      <c r="F858" s="34" t="str">
        <f t="shared" si="204"/>
        <v>C:\Users\jaime.benazar\Quorum Business Solutions\Ecopetrol Prometeo - Documents\Planning Space Implementation\3. Analysis &amp; Design\Design\FC22\DRR Jaime\Neiva CPI\[DINA TERCIARIOS_CF_SEC_New_27-Mar-2024.xlsx]D-PDP'!</v>
      </c>
      <c r="G858" s="32" t="s">
        <v>119</v>
      </c>
      <c r="H858" s="33">
        <f t="shared" si="205"/>
        <v>32</v>
      </c>
      <c r="I858" s="33" t="str">
        <f t="shared" si="206"/>
        <v>='C:\Users\jaime.benazar\Quorum Business Solutions\Ecopetrol Prometeo - Documents\Planning Space Implementation\3. Analysis &amp; Design\Design\FC22\DRR Jaime\Neiva CPI\[DINA TERCIARIOS_CF_SEC_New_27-Mar-2024.xlsx]D-PDP'!$BZ$32</v>
      </c>
      <c r="J858" s="37" t="s">
        <v>2393</v>
      </c>
    </row>
    <row r="859" spans="1:10" x14ac:dyDescent="0.3">
      <c r="A859" s="32" t="s">
        <v>14</v>
      </c>
      <c r="B859" s="32">
        <f>+B858+1</f>
        <v>2044</v>
      </c>
      <c r="C859" s="33" t="s">
        <v>37</v>
      </c>
      <c r="D859" s="34" t="s">
        <v>2002</v>
      </c>
      <c r="E859" s="35" t="str">
        <f t="shared" ref="E859:E874" si="210">_xlfn.CONCAT(A859,"'!")</f>
        <v>PDP'!</v>
      </c>
      <c r="F859" s="34" t="str">
        <f t="shared" ref="F859:F874" si="211">_xlfn.CONCAT(D859:E859)</f>
        <v>C:\Users\jaime.benazar\Quorum Business Solutions\Ecopetrol Prometeo - Documents\Planning Space Implementation\3. Analysis &amp; Design\Design\FC22\DRR Jaime\Neiva CPI\[DINA TERCIARIOS_CF_SEC_New_27-Mar-2024.xlsx]D-PDP'!</v>
      </c>
      <c r="G859" s="32" t="s">
        <v>119</v>
      </c>
      <c r="H859" s="33">
        <f t="shared" ref="H859:H874" si="212">IF(A859&lt;&gt;A858,12,H858+1)</f>
        <v>33</v>
      </c>
      <c r="I859" s="33" t="str">
        <f t="shared" ref="I859:I874" si="213">_xlfn.CONCAT("='",F859:H859)</f>
        <v>='C:\Users\jaime.benazar\Quorum Business Solutions\Ecopetrol Prometeo - Documents\Planning Space Implementation\3. Analysis &amp; Design\Design\FC22\DRR Jaime\Neiva CPI\[DINA TERCIARIOS_CF_SEC_New_27-Mar-2024.xlsx]D-PDP'!$BZ$33</v>
      </c>
      <c r="J859" s="37" t="s">
        <v>2394</v>
      </c>
    </row>
    <row r="860" spans="1:10" x14ac:dyDescent="0.3">
      <c r="A860" s="32" t="s">
        <v>14</v>
      </c>
      <c r="B860" s="32">
        <f t="shared" ref="B860:B874" si="214">+B859+1</f>
        <v>2045</v>
      </c>
      <c r="C860" s="33" t="s">
        <v>37</v>
      </c>
      <c r="D860" s="34" t="s">
        <v>2002</v>
      </c>
      <c r="E860" s="35" t="str">
        <f t="shared" si="210"/>
        <v>PDP'!</v>
      </c>
      <c r="F860" s="34" t="str">
        <f t="shared" si="211"/>
        <v>C:\Users\jaime.benazar\Quorum Business Solutions\Ecopetrol Prometeo - Documents\Planning Space Implementation\3. Analysis &amp; Design\Design\FC22\DRR Jaime\Neiva CPI\[DINA TERCIARIOS_CF_SEC_New_27-Mar-2024.xlsx]D-PDP'!</v>
      </c>
      <c r="G860" s="32" t="s">
        <v>119</v>
      </c>
      <c r="H860" s="33">
        <f t="shared" si="212"/>
        <v>34</v>
      </c>
      <c r="I860" s="33" t="str">
        <f t="shared" si="213"/>
        <v>='C:\Users\jaime.benazar\Quorum Business Solutions\Ecopetrol Prometeo - Documents\Planning Space Implementation\3. Analysis &amp; Design\Design\FC22\DRR Jaime\Neiva CPI\[DINA TERCIARIOS_CF_SEC_New_27-Mar-2024.xlsx]D-PDP'!$BZ$34</v>
      </c>
      <c r="J860" s="37" t="s">
        <v>2395</v>
      </c>
    </row>
    <row r="861" spans="1:10" x14ac:dyDescent="0.3">
      <c r="A861" s="32" t="s">
        <v>14</v>
      </c>
      <c r="B861" s="32">
        <f t="shared" si="214"/>
        <v>2046</v>
      </c>
      <c r="C861" s="33" t="s">
        <v>37</v>
      </c>
      <c r="D861" s="34" t="s">
        <v>2002</v>
      </c>
      <c r="E861" s="35" t="str">
        <f t="shared" si="210"/>
        <v>PDP'!</v>
      </c>
      <c r="F861" s="34" t="str">
        <f t="shared" si="211"/>
        <v>C:\Users\jaime.benazar\Quorum Business Solutions\Ecopetrol Prometeo - Documents\Planning Space Implementation\3. Analysis &amp; Design\Design\FC22\DRR Jaime\Neiva CPI\[DINA TERCIARIOS_CF_SEC_New_27-Mar-2024.xlsx]D-PDP'!</v>
      </c>
      <c r="G861" s="32" t="s">
        <v>119</v>
      </c>
      <c r="H861" s="33">
        <f t="shared" si="212"/>
        <v>35</v>
      </c>
      <c r="I861" s="33" t="str">
        <f t="shared" si="213"/>
        <v>='C:\Users\jaime.benazar\Quorum Business Solutions\Ecopetrol Prometeo - Documents\Planning Space Implementation\3. Analysis &amp; Design\Design\FC22\DRR Jaime\Neiva CPI\[DINA TERCIARIOS_CF_SEC_New_27-Mar-2024.xlsx]D-PDP'!$BZ$35</v>
      </c>
      <c r="J861" s="37" t="s">
        <v>2396</v>
      </c>
    </row>
    <row r="862" spans="1:10" x14ac:dyDescent="0.3">
      <c r="A862" s="32" t="s">
        <v>14</v>
      </c>
      <c r="B862" s="32">
        <f t="shared" si="214"/>
        <v>2047</v>
      </c>
      <c r="C862" s="33" t="s">
        <v>37</v>
      </c>
      <c r="D862" s="34" t="s">
        <v>2002</v>
      </c>
      <c r="E862" s="35" t="str">
        <f t="shared" si="210"/>
        <v>PDP'!</v>
      </c>
      <c r="F862" s="34" t="str">
        <f t="shared" si="211"/>
        <v>C:\Users\jaime.benazar\Quorum Business Solutions\Ecopetrol Prometeo - Documents\Planning Space Implementation\3. Analysis &amp; Design\Design\FC22\DRR Jaime\Neiva CPI\[DINA TERCIARIOS_CF_SEC_New_27-Mar-2024.xlsx]D-PDP'!</v>
      </c>
      <c r="G862" s="32" t="s">
        <v>119</v>
      </c>
      <c r="H862" s="33">
        <f t="shared" si="212"/>
        <v>36</v>
      </c>
      <c r="I862" s="33" t="str">
        <f t="shared" si="213"/>
        <v>='C:\Users\jaime.benazar\Quorum Business Solutions\Ecopetrol Prometeo - Documents\Planning Space Implementation\3. Analysis &amp; Design\Design\FC22\DRR Jaime\Neiva CPI\[DINA TERCIARIOS_CF_SEC_New_27-Mar-2024.xlsx]D-PDP'!$BZ$36</v>
      </c>
      <c r="J862" s="37" t="s">
        <v>2397</v>
      </c>
    </row>
    <row r="863" spans="1:10" x14ac:dyDescent="0.3">
      <c r="A863" s="32" t="s">
        <v>14</v>
      </c>
      <c r="B863" s="32">
        <f t="shared" si="214"/>
        <v>2048</v>
      </c>
      <c r="C863" s="33" t="s">
        <v>37</v>
      </c>
      <c r="D863" s="34" t="s">
        <v>2002</v>
      </c>
      <c r="E863" s="35" t="str">
        <f t="shared" si="210"/>
        <v>PDP'!</v>
      </c>
      <c r="F863" s="34" t="str">
        <f t="shared" si="211"/>
        <v>C:\Users\jaime.benazar\Quorum Business Solutions\Ecopetrol Prometeo - Documents\Planning Space Implementation\3. Analysis &amp; Design\Design\FC22\DRR Jaime\Neiva CPI\[DINA TERCIARIOS_CF_SEC_New_27-Mar-2024.xlsx]D-PDP'!</v>
      </c>
      <c r="G863" s="32" t="s">
        <v>119</v>
      </c>
      <c r="H863" s="33">
        <f t="shared" si="212"/>
        <v>37</v>
      </c>
      <c r="I863" s="33" t="str">
        <f t="shared" si="213"/>
        <v>='C:\Users\jaime.benazar\Quorum Business Solutions\Ecopetrol Prometeo - Documents\Planning Space Implementation\3. Analysis &amp; Design\Design\FC22\DRR Jaime\Neiva CPI\[DINA TERCIARIOS_CF_SEC_New_27-Mar-2024.xlsx]D-PDP'!$BZ$37</v>
      </c>
      <c r="J863" s="37" t="s">
        <v>2398</v>
      </c>
    </row>
    <row r="864" spans="1:10" x14ac:dyDescent="0.3">
      <c r="A864" s="32" t="s">
        <v>14</v>
      </c>
      <c r="B864" s="32">
        <f t="shared" si="214"/>
        <v>2049</v>
      </c>
      <c r="C864" s="33" t="s">
        <v>37</v>
      </c>
      <c r="D864" s="34" t="s">
        <v>2002</v>
      </c>
      <c r="E864" s="35" t="str">
        <f t="shared" si="210"/>
        <v>PDP'!</v>
      </c>
      <c r="F864" s="34" t="str">
        <f t="shared" si="211"/>
        <v>C:\Users\jaime.benazar\Quorum Business Solutions\Ecopetrol Prometeo - Documents\Planning Space Implementation\3. Analysis &amp; Design\Design\FC22\DRR Jaime\Neiva CPI\[DINA TERCIARIOS_CF_SEC_New_27-Mar-2024.xlsx]D-PDP'!</v>
      </c>
      <c r="G864" s="32" t="s">
        <v>119</v>
      </c>
      <c r="H864" s="33">
        <f t="shared" si="212"/>
        <v>38</v>
      </c>
      <c r="I864" s="33" t="str">
        <f t="shared" si="213"/>
        <v>='C:\Users\jaime.benazar\Quorum Business Solutions\Ecopetrol Prometeo - Documents\Planning Space Implementation\3. Analysis &amp; Design\Design\FC22\DRR Jaime\Neiva CPI\[DINA TERCIARIOS_CF_SEC_New_27-Mar-2024.xlsx]D-PDP'!$BZ$38</v>
      </c>
      <c r="J864" s="37" t="s">
        <v>2399</v>
      </c>
    </row>
    <row r="865" spans="1:10" x14ac:dyDescent="0.3">
      <c r="A865" s="32" t="s">
        <v>14</v>
      </c>
      <c r="B865" s="32">
        <f t="shared" si="214"/>
        <v>2050</v>
      </c>
      <c r="C865" s="33" t="s">
        <v>37</v>
      </c>
      <c r="D865" s="34" t="s">
        <v>2002</v>
      </c>
      <c r="E865" s="35" t="str">
        <f t="shared" si="210"/>
        <v>PDP'!</v>
      </c>
      <c r="F865" s="34" t="str">
        <f t="shared" si="211"/>
        <v>C:\Users\jaime.benazar\Quorum Business Solutions\Ecopetrol Prometeo - Documents\Planning Space Implementation\3. Analysis &amp; Design\Design\FC22\DRR Jaime\Neiva CPI\[DINA TERCIARIOS_CF_SEC_New_27-Mar-2024.xlsx]D-PDP'!</v>
      </c>
      <c r="G865" s="32" t="s">
        <v>119</v>
      </c>
      <c r="H865" s="33">
        <f t="shared" si="212"/>
        <v>39</v>
      </c>
      <c r="I865" s="33" t="str">
        <f t="shared" si="213"/>
        <v>='C:\Users\jaime.benazar\Quorum Business Solutions\Ecopetrol Prometeo - Documents\Planning Space Implementation\3. Analysis &amp; Design\Design\FC22\DRR Jaime\Neiva CPI\[DINA TERCIARIOS_CF_SEC_New_27-Mar-2024.xlsx]D-PDP'!$BZ$39</v>
      </c>
      <c r="J865" s="37" t="s">
        <v>2400</v>
      </c>
    </row>
    <row r="866" spans="1:10" x14ac:dyDescent="0.3">
      <c r="A866" s="32" t="s">
        <v>14</v>
      </c>
      <c r="B866" s="32">
        <f t="shared" si="214"/>
        <v>2051</v>
      </c>
      <c r="C866" s="33" t="s">
        <v>37</v>
      </c>
      <c r="D866" s="34" t="s">
        <v>2002</v>
      </c>
      <c r="E866" s="35" t="str">
        <f t="shared" si="210"/>
        <v>PDP'!</v>
      </c>
      <c r="F866" s="34" t="str">
        <f t="shared" si="211"/>
        <v>C:\Users\jaime.benazar\Quorum Business Solutions\Ecopetrol Prometeo - Documents\Planning Space Implementation\3. Analysis &amp; Design\Design\FC22\DRR Jaime\Neiva CPI\[DINA TERCIARIOS_CF_SEC_New_27-Mar-2024.xlsx]D-PDP'!</v>
      </c>
      <c r="G866" s="32" t="s">
        <v>119</v>
      </c>
      <c r="H866" s="33">
        <f t="shared" si="212"/>
        <v>40</v>
      </c>
      <c r="I866" s="33" t="str">
        <f t="shared" si="213"/>
        <v>='C:\Users\jaime.benazar\Quorum Business Solutions\Ecopetrol Prometeo - Documents\Planning Space Implementation\3. Analysis &amp; Design\Design\FC22\DRR Jaime\Neiva CPI\[DINA TERCIARIOS_CF_SEC_New_27-Mar-2024.xlsx]D-PDP'!$BZ$40</v>
      </c>
      <c r="J866" s="37" t="s">
        <v>2401</v>
      </c>
    </row>
    <row r="867" spans="1:10" x14ac:dyDescent="0.3">
      <c r="A867" s="32" t="s">
        <v>14</v>
      </c>
      <c r="B867" s="32">
        <f t="shared" si="214"/>
        <v>2052</v>
      </c>
      <c r="C867" s="33" t="s">
        <v>37</v>
      </c>
      <c r="D867" s="34" t="s">
        <v>2002</v>
      </c>
      <c r="E867" s="35" t="str">
        <f t="shared" si="210"/>
        <v>PDP'!</v>
      </c>
      <c r="F867" s="34" t="str">
        <f t="shared" si="211"/>
        <v>C:\Users\jaime.benazar\Quorum Business Solutions\Ecopetrol Prometeo - Documents\Planning Space Implementation\3. Analysis &amp; Design\Design\FC22\DRR Jaime\Neiva CPI\[DINA TERCIARIOS_CF_SEC_New_27-Mar-2024.xlsx]D-PDP'!</v>
      </c>
      <c r="G867" s="32" t="s">
        <v>119</v>
      </c>
      <c r="H867" s="33">
        <f t="shared" si="212"/>
        <v>41</v>
      </c>
      <c r="I867" s="33" t="str">
        <f t="shared" si="213"/>
        <v>='C:\Users\jaime.benazar\Quorum Business Solutions\Ecopetrol Prometeo - Documents\Planning Space Implementation\3. Analysis &amp; Design\Design\FC22\DRR Jaime\Neiva CPI\[DINA TERCIARIOS_CF_SEC_New_27-Mar-2024.xlsx]D-PDP'!$BZ$41</v>
      </c>
      <c r="J867" s="37" t="s">
        <v>2402</v>
      </c>
    </row>
    <row r="868" spans="1:10" x14ac:dyDescent="0.3">
      <c r="A868" s="32" t="s">
        <v>14</v>
      </c>
      <c r="B868" s="32">
        <f t="shared" si="214"/>
        <v>2053</v>
      </c>
      <c r="C868" s="33" t="s">
        <v>37</v>
      </c>
      <c r="D868" s="34" t="s">
        <v>2002</v>
      </c>
      <c r="E868" s="35" t="str">
        <f t="shared" si="210"/>
        <v>PDP'!</v>
      </c>
      <c r="F868" s="34" t="str">
        <f t="shared" si="211"/>
        <v>C:\Users\jaime.benazar\Quorum Business Solutions\Ecopetrol Prometeo - Documents\Planning Space Implementation\3. Analysis &amp; Design\Design\FC22\DRR Jaime\Neiva CPI\[DINA TERCIARIOS_CF_SEC_New_27-Mar-2024.xlsx]D-PDP'!</v>
      </c>
      <c r="G868" s="32" t="s">
        <v>119</v>
      </c>
      <c r="H868" s="33">
        <f t="shared" si="212"/>
        <v>42</v>
      </c>
      <c r="I868" s="33" t="str">
        <f t="shared" si="213"/>
        <v>='C:\Users\jaime.benazar\Quorum Business Solutions\Ecopetrol Prometeo - Documents\Planning Space Implementation\3. Analysis &amp; Design\Design\FC22\DRR Jaime\Neiva CPI\[DINA TERCIARIOS_CF_SEC_New_27-Mar-2024.xlsx]D-PDP'!$BZ$42</v>
      </c>
      <c r="J868" s="37" t="s">
        <v>2403</v>
      </c>
    </row>
    <row r="869" spans="1:10" x14ac:dyDescent="0.3">
      <c r="A869" s="32" t="s">
        <v>14</v>
      </c>
      <c r="B869" s="32">
        <f t="shared" si="214"/>
        <v>2054</v>
      </c>
      <c r="C869" s="33" t="s">
        <v>37</v>
      </c>
      <c r="D869" s="34" t="s">
        <v>2002</v>
      </c>
      <c r="E869" s="35" t="str">
        <f t="shared" si="210"/>
        <v>PDP'!</v>
      </c>
      <c r="F869" s="34" t="str">
        <f t="shared" si="211"/>
        <v>C:\Users\jaime.benazar\Quorum Business Solutions\Ecopetrol Prometeo - Documents\Planning Space Implementation\3. Analysis &amp; Design\Design\FC22\DRR Jaime\Neiva CPI\[DINA TERCIARIOS_CF_SEC_New_27-Mar-2024.xlsx]D-PDP'!</v>
      </c>
      <c r="G869" s="32" t="s">
        <v>119</v>
      </c>
      <c r="H869" s="33">
        <f t="shared" si="212"/>
        <v>43</v>
      </c>
      <c r="I869" s="33" t="str">
        <f t="shared" si="213"/>
        <v>='C:\Users\jaime.benazar\Quorum Business Solutions\Ecopetrol Prometeo - Documents\Planning Space Implementation\3. Analysis &amp; Design\Design\FC22\DRR Jaime\Neiva CPI\[DINA TERCIARIOS_CF_SEC_New_27-Mar-2024.xlsx]D-PDP'!$BZ$43</v>
      </c>
      <c r="J869" s="37" t="s">
        <v>2404</v>
      </c>
    </row>
    <row r="870" spans="1:10" x14ac:dyDescent="0.3">
      <c r="A870" s="32" t="s">
        <v>14</v>
      </c>
      <c r="B870" s="32">
        <f t="shared" si="214"/>
        <v>2055</v>
      </c>
      <c r="C870" s="33" t="s">
        <v>37</v>
      </c>
      <c r="D870" s="34" t="s">
        <v>2002</v>
      </c>
      <c r="E870" s="35" t="str">
        <f t="shared" si="210"/>
        <v>PDP'!</v>
      </c>
      <c r="F870" s="34" t="str">
        <f t="shared" si="211"/>
        <v>C:\Users\jaime.benazar\Quorum Business Solutions\Ecopetrol Prometeo - Documents\Planning Space Implementation\3. Analysis &amp; Design\Design\FC22\DRR Jaime\Neiva CPI\[DINA TERCIARIOS_CF_SEC_New_27-Mar-2024.xlsx]D-PDP'!</v>
      </c>
      <c r="G870" s="32" t="s">
        <v>119</v>
      </c>
      <c r="H870" s="33">
        <f t="shared" si="212"/>
        <v>44</v>
      </c>
      <c r="I870" s="33" t="str">
        <f t="shared" si="213"/>
        <v>='C:\Users\jaime.benazar\Quorum Business Solutions\Ecopetrol Prometeo - Documents\Planning Space Implementation\3. Analysis &amp; Design\Design\FC22\DRR Jaime\Neiva CPI\[DINA TERCIARIOS_CF_SEC_New_27-Mar-2024.xlsx]D-PDP'!$BZ$44</v>
      </c>
      <c r="J870" s="37" t="s">
        <v>2405</v>
      </c>
    </row>
    <row r="871" spans="1:10" x14ac:dyDescent="0.3">
      <c r="A871" s="32" t="s">
        <v>14</v>
      </c>
      <c r="B871" s="32">
        <f t="shared" si="214"/>
        <v>2056</v>
      </c>
      <c r="C871" s="33" t="s">
        <v>37</v>
      </c>
      <c r="D871" s="34" t="s">
        <v>2002</v>
      </c>
      <c r="E871" s="35" t="str">
        <f t="shared" si="210"/>
        <v>PDP'!</v>
      </c>
      <c r="F871" s="34" t="str">
        <f t="shared" si="211"/>
        <v>C:\Users\jaime.benazar\Quorum Business Solutions\Ecopetrol Prometeo - Documents\Planning Space Implementation\3. Analysis &amp; Design\Design\FC22\DRR Jaime\Neiva CPI\[DINA TERCIARIOS_CF_SEC_New_27-Mar-2024.xlsx]D-PDP'!</v>
      </c>
      <c r="G871" s="32" t="s">
        <v>119</v>
      </c>
      <c r="H871" s="33">
        <f t="shared" si="212"/>
        <v>45</v>
      </c>
      <c r="I871" s="33" t="str">
        <f t="shared" si="213"/>
        <v>='C:\Users\jaime.benazar\Quorum Business Solutions\Ecopetrol Prometeo - Documents\Planning Space Implementation\3. Analysis &amp; Design\Design\FC22\DRR Jaime\Neiva CPI\[DINA TERCIARIOS_CF_SEC_New_27-Mar-2024.xlsx]D-PDP'!$BZ$45</v>
      </c>
      <c r="J871" s="37" t="s">
        <v>2406</v>
      </c>
    </row>
    <row r="872" spans="1:10" x14ac:dyDescent="0.3">
      <c r="A872" s="32" t="s">
        <v>14</v>
      </c>
      <c r="B872" s="32">
        <f t="shared" si="214"/>
        <v>2057</v>
      </c>
      <c r="C872" s="33" t="s">
        <v>37</v>
      </c>
      <c r="D872" s="34" t="s">
        <v>2002</v>
      </c>
      <c r="E872" s="35" t="str">
        <f t="shared" si="210"/>
        <v>PDP'!</v>
      </c>
      <c r="F872" s="34" t="str">
        <f t="shared" si="211"/>
        <v>C:\Users\jaime.benazar\Quorum Business Solutions\Ecopetrol Prometeo - Documents\Planning Space Implementation\3. Analysis &amp; Design\Design\FC22\DRR Jaime\Neiva CPI\[DINA TERCIARIOS_CF_SEC_New_27-Mar-2024.xlsx]D-PDP'!</v>
      </c>
      <c r="G872" s="32" t="s">
        <v>119</v>
      </c>
      <c r="H872" s="33">
        <f t="shared" si="212"/>
        <v>46</v>
      </c>
      <c r="I872" s="33" t="str">
        <f t="shared" si="213"/>
        <v>='C:\Users\jaime.benazar\Quorum Business Solutions\Ecopetrol Prometeo - Documents\Planning Space Implementation\3. Analysis &amp; Design\Design\FC22\DRR Jaime\Neiva CPI\[DINA TERCIARIOS_CF_SEC_New_27-Mar-2024.xlsx]D-PDP'!$BZ$46</v>
      </c>
      <c r="J872" s="37" t="s">
        <v>2407</v>
      </c>
    </row>
    <row r="873" spans="1:10" x14ac:dyDescent="0.3">
      <c r="A873" s="32" t="s">
        <v>14</v>
      </c>
      <c r="B873" s="32">
        <f t="shared" si="214"/>
        <v>2058</v>
      </c>
      <c r="C873" s="33" t="s">
        <v>37</v>
      </c>
      <c r="D873" s="34" t="s">
        <v>2002</v>
      </c>
      <c r="E873" s="35" t="str">
        <f t="shared" si="210"/>
        <v>PDP'!</v>
      </c>
      <c r="F873" s="34" t="str">
        <f t="shared" si="211"/>
        <v>C:\Users\jaime.benazar\Quorum Business Solutions\Ecopetrol Prometeo - Documents\Planning Space Implementation\3. Analysis &amp; Design\Design\FC22\DRR Jaime\Neiva CPI\[DINA TERCIARIOS_CF_SEC_New_27-Mar-2024.xlsx]D-PDP'!</v>
      </c>
      <c r="G873" s="32" t="s">
        <v>119</v>
      </c>
      <c r="H873" s="33">
        <f t="shared" si="212"/>
        <v>47</v>
      </c>
      <c r="I873" s="33" t="str">
        <f t="shared" si="213"/>
        <v>='C:\Users\jaime.benazar\Quorum Business Solutions\Ecopetrol Prometeo - Documents\Planning Space Implementation\3. Analysis &amp; Design\Design\FC22\DRR Jaime\Neiva CPI\[DINA TERCIARIOS_CF_SEC_New_27-Mar-2024.xlsx]D-PDP'!$BZ$47</v>
      </c>
      <c r="J873" s="37" t="s">
        <v>2408</v>
      </c>
    </row>
    <row r="874" spans="1:10" x14ac:dyDescent="0.3">
      <c r="A874" s="32" t="s">
        <v>14</v>
      </c>
      <c r="B874" s="32">
        <f t="shared" si="214"/>
        <v>2059</v>
      </c>
      <c r="C874" s="33" t="s">
        <v>37</v>
      </c>
      <c r="D874" s="34" t="s">
        <v>2002</v>
      </c>
      <c r="E874" s="35" t="str">
        <f t="shared" si="210"/>
        <v>PDP'!</v>
      </c>
      <c r="F874" s="34" t="str">
        <f t="shared" si="211"/>
        <v>C:\Users\jaime.benazar\Quorum Business Solutions\Ecopetrol Prometeo - Documents\Planning Space Implementation\3. Analysis &amp; Design\Design\FC22\DRR Jaime\Neiva CPI\[DINA TERCIARIOS_CF_SEC_New_27-Mar-2024.xlsx]D-PDP'!</v>
      </c>
      <c r="G874" s="32" t="s">
        <v>119</v>
      </c>
      <c r="H874" s="33">
        <f t="shared" si="212"/>
        <v>48</v>
      </c>
      <c r="I874" s="33" t="str">
        <f t="shared" si="213"/>
        <v>='C:\Users\jaime.benazar\Quorum Business Solutions\Ecopetrol Prometeo - Documents\Planning Space Implementation\3. Analysis &amp; Design\Design\FC22\DRR Jaime\Neiva CPI\[DINA TERCIARIOS_CF_SEC_New_27-Mar-2024.xlsx]D-PDP'!$BZ$48</v>
      </c>
      <c r="J874" s="37" t="s">
        <v>2409</v>
      </c>
    </row>
    <row r="875" spans="1:10" x14ac:dyDescent="0.3">
      <c r="A875" s="32" t="s">
        <v>26</v>
      </c>
      <c r="B875" s="32"/>
      <c r="C875" s="33" t="s">
        <v>37</v>
      </c>
      <c r="D875" s="34"/>
      <c r="E875" s="35"/>
      <c r="F875" s="34"/>
      <c r="G875" s="32"/>
      <c r="H875" s="33"/>
      <c r="I875" s="33"/>
      <c r="J875" s="33"/>
    </row>
    <row r="876" spans="1:10" x14ac:dyDescent="0.3">
      <c r="A876" s="32" t="s">
        <v>15</v>
      </c>
      <c r="B876" s="32">
        <v>2023</v>
      </c>
      <c r="C876" s="33" t="s">
        <v>37</v>
      </c>
      <c r="D876" s="34" t="s">
        <v>2002</v>
      </c>
      <c r="E876" s="35" t="str">
        <f t="shared" si="203"/>
        <v>PNP'!</v>
      </c>
      <c r="F876" s="34" t="str">
        <f t="shared" si="204"/>
        <v>C:\Users\jaime.benazar\Quorum Business Solutions\Ecopetrol Prometeo - Documents\Planning Space Implementation\3. Analysis &amp; Design\Design\FC22\DRR Jaime\Neiva CPI\[DINA TERCIARIOS_CF_SEC_New_27-Mar-2024.xlsx]D-PNP'!</v>
      </c>
      <c r="G876" s="32" t="s">
        <v>119</v>
      </c>
      <c r="H876" s="33">
        <v>12</v>
      </c>
      <c r="I876" s="33" t="str">
        <f t="shared" si="206"/>
        <v>='C:\Users\jaime.benazar\Quorum Business Solutions\Ecopetrol Prometeo - Documents\Planning Space Implementation\3. Analysis &amp; Design\Design\FC22\DRR Jaime\Neiva CPI\[DINA TERCIARIOS_CF_SEC_New_27-Mar-2024.xlsx]D-PNP'!$BZ$12</v>
      </c>
      <c r="J876" s="37" t="s">
        <v>2410</v>
      </c>
    </row>
    <row r="877" spans="1:10" x14ac:dyDescent="0.3">
      <c r="A877" s="32" t="s">
        <v>15</v>
      </c>
      <c r="B877" s="32">
        <f>+B876+1</f>
        <v>2024</v>
      </c>
      <c r="C877" s="33" t="s">
        <v>37</v>
      </c>
      <c r="D877" s="34" t="s">
        <v>2002</v>
      </c>
      <c r="E877" s="35" t="str">
        <f t="shared" si="203"/>
        <v>PNP'!</v>
      </c>
      <c r="F877" s="34" t="str">
        <f t="shared" si="204"/>
        <v>C:\Users\jaime.benazar\Quorum Business Solutions\Ecopetrol Prometeo - Documents\Planning Space Implementation\3. Analysis &amp; Design\Design\FC22\DRR Jaime\Neiva CPI\[DINA TERCIARIOS_CF_SEC_New_27-Mar-2024.xlsx]D-PNP'!</v>
      </c>
      <c r="G877" s="32" t="s">
        <v>119</v>
      </c>
      <c r="H877" s="33">
        <f t="shared" ref="H877:H896" si="215">IF(A877&lt;&gt;A876,12,H876+1)</f>
        <v>13</v>
      </c>
      <c r="I877" s="33" t="str">
        <f t="shared" si="206"/>
        <v>='C:\Users\jaime.benazar\Quorum Business Solutions\Ecopetrol Prometeo - Documents\Planning Space Implementation\3. Analysis &amp; Design\Design\FC22\DRR Jaime\Neiva CPI\[DINA TERCIARIOS_CF_SEC_New_27-Mar-2024.xlsx]D-PNP'!$BZ$13</v>
      </c>
      <c r="J877" s="37" t="s">
        <v>2411</v>
      </c>
    </row>
    <row r="878" spans="1:10" x14ac:dyDescent="0.3">
      <c r="A878" s="32" t="s">
        <v>15</v>
      </c>
      <c r="B878" s="32">
        <f t="shared" ref="B878:B889" si="216">+B877+1</f>
        <v>2025</v>
      </c>
      <c r="C878" s="33" t="s">
        <v>37</v>
      </c>
      <c r="D878" s="34" t="s">
        <v>2002</v>
      </c>
      <c r="E878" s="35" t="str">
        <f t="shared" si="203"/>
        <v>PNP'!</v>
      </c>
      <c r="F878" s="34" t="str">
        <f t="shared" si="204"/>
        <v>C:\Users\jaime.benazar\Quorum Business Solutions\Ecopetrol Prometeo - Documents\Planning Space Implementation\3. Analysis &amp; Design\Design\FC22\DRR Jaime\Neiva CPI\[DINA TERCIARIOS_CF_SEC_New_27-Mar-2024.xlsx]D-PNP'!</v>
      </c>
      <c r="G878" s="32" t="s">
        <v>119</v>
      </c>
      <c r="H878" s="33">
        <f t="shared" si="215"/>
        <v>14</v>
      </c>
      <c r="I878" s="33" t="str">
        <f t="shared" si="206"/>
        <v>='C:\Users\jaime.benazar\Quorum Business Solutions\Ecopetrol Prometeo - Documents\Planning Space Implementation\3. Analysis &amp; Design\Design\FC22\DRR Jaime\Neiva CPI\[DINA TERCIARIOS_CF_SEC_New_27-Mar-2024.xlsx]D-PNP'!$BZ$14</v>
      </c>
      <c r="J878" s="37" t="s">
        <v>2412</v>
      </c>
    </row>
    <row r="879" spans="1:10" x14ac:dyDescent="0.3">
      <c r="A879" s="32" t="s">
        <v>15</v>
      </c>
      <c r="B879" s="32">
        <f t="shared" si="216"/>
        <v>2026</v>
      </c>
      <c r="C879" s="33" t="s">
        <v>37</v>
      </c>
      <c r="D879" s="34" t="s">
        <v>2002</v>
      </c>
      <c r="E879" s="35" t="str">
        <f t="shared" si="203"/>
        <v>PNP'!</v>
      </c>
      <c r="F879" s="34" t="str">
        <f t="shared" si="204"/>
        <v>C:\Users\jaime.benazar\Quorum Business Solutions\Ecopetrol Prometeo - Documents\Planning Space Implementation\3. Analysis &amp; Design\Design\FC22\DRR Jaime\Neiva CPI\[DINA TERCIARIOS_CF_SEC_New_27-Mar-2024.xlsx]D-PNP'!</v>
      </c>
      <c r="G879" s="32" t="s">
        <v>119</v>
      </c>
      <c r="H879" s="33">
        <f t="shared" si="215"/>
        <v>15</v>
      </c>
      <c r="I879" s="33" t="str">
        <f t="shared" si="206"/>
        <v>='C:\Users\jaime.benazar\Quorum Business Solutions\Ecopetrol Prometeo - Documents\Planning Space Implementation\3. Analysis &amp; Design\Design\FC22\DRR Jaime\Neiva CPI\[DINA TERCIARIOS_CF_SEC_New_27-Mar-2024.xlsx]D-PNP'!$BZ$15</v>
      </c>
      <c r="J879" s="37" t="s">
        <v>2413</v>
      </c>
    </row>
    <row r="880" spans="1:10" x14ac:dyDescent="0.3">
      <c r="A880" s="32" t="s">
        <v>15</v>
      </c>
      <c r="B880" s="32">
        <f t="shared" si="216"/>
        <v>2027</v>
      </c>
      <c r="C880" s="33" t="s">
        <v>37</v>
      </c>
      <c r="D880" s="34" t="s">
        <v>2002</v>
      </c>
      <c r="E880" s="35" t="str">
        <f t="shared" si="203"/>
        <v>PNP'!</v>
      </c>
      <c r="F880" s="34" t="str">
        <f t="shared" si="204"/>
        <v>C:\Users\jaime.benazar\Quorum Business Solutions\Ecopetrol Prometeo - Documents\Planning Space Implementation\3. Analysis &amp; Design\Design\FC22\DRR Jaime\Neiva CPI\[DINA TERCIARIOS_CF_SEC_New_27-Mar-2024.xlsx]D-PNP'!</v>
      </c>
      <c r="G880" s="32" t="s">
        <v>119</v>
      </c>
      <c r="H880" s="33">
        <f t="shared" si="215"/>
        <v>16</v>
      </c>
      <c r="I880" s="33" t="str">
        <f t="shared" si="206"/>
        <v>='C:\Users\jaime.benazar\Quorum Business Solutions\Ecopetrol Prometeo - Documents\Planning Space Implementation\3. Analysis &amp; Design\Design\FC22\DRR Jaime\Neiva CPI\[DINA TERCIARIOS_CF_SEC_New_27-Mar-2024.xlsx]D-PNP'!$BZ$16</v>
      </c>
      <c r="J880" s="37" t="s">
        <v>2414</v>
      </c>
    </row>
    <row r="881" spans="1:10" x14ac:dyDescent="0.3">
      <c r="A881" s="32" t="s">
        <v>15</v>
      </c>
      <c r="B881" s="32">
        <f t="shared" si="216"/>
        <v>2028</v>
      </c>
      <c r="C881" s="33" t="s">
        <v>37</v>
      </c>
      <c r="D881" s="34" t="s">
        <v>2002</v>
      </c>
      <c r="E881" s="35" t="str">
        <f t="shared" si="203"/>
        <v>PNP'!</v>
      </c>
      <c r="F881" s="34" t="str">
        <f t="shared" si="204"/>
        <v>C:\Users\jaime.benazar\Quorum Business Solutions\Ecopetrol Prometeo - Documents\Planning Space Implementation\3. Analysis &amp; Design\Design\FC22\DRR Jaime\Neiva CPI\[DINA TERCIARIOS_CF_SEC_New_27-Mar-2024.xlsx]D-PNP'!</v>
      </c>
      <c r="G881" s="32" t="s">
        <v>119</v>
      </c>
      <c r="H881" s="33">
        <f t="shared" si="215"/>
        <v>17</v>
      </c>
      <c r="I881" s="33" t="str">
        <f t="shared" si="206"/>
        <v>='C:\Users\jaime.benazar\Quorum Business Solutions\Ecopetrol Prometeo - Documents\Planning Space Implementation\3. Analysis &amp; Design\Design\FC22\DRR Jaime\Neiva CPI\[DINA TERCIARIOS_CF_SEC_New_27-Mar-2024.xlsx]D-PNP'!$BZ$17</v>
      </c>
      <c r="J881" s="37" t="s">
        <v>2415</v>
      </c>
    </row>
    <row r="882" spans="1:10" x14ac:dyDescent="0.3">
      <c r="A882" s="32" t="s">
        <v>15</v>
      </c>
      <c r="B882" s="32">
        <f t="shared" si="216"/>
        <v>2029</v>
      </c>
      <c r="C882" s="33" t="s">
        <v>37</v>
      </c>
      <c r="D882" s="34" t="s">
        <v>2002</v>
      </c>
      <c r="E882" s="35" t="str">
        <f t="shared" si="203"/>
        <v>PNP'!</v>
      </c>
      <c r="F882" s="34" t="str">
        <f t="shared" si="204"/>
        <v>C:\Users\jaime.benazar\Quorum Business Solutions\Ecopetrol Prometeo - Documents\Planning Space Implementation\3. Analysis &amp; Design\Design\FC22\DRR Jaime\Neiva CPI\[DINA TERCIARIOS_CF_SEC_New_27-Mar-2024.xlsx]D-PNP'!</v>
      </c>
      <c r="G882" s="32" t="s">
        <v>119</v>
      </c>
      <c r="H882" s="33">
        <f t="shared" si="215"/>
        <v>18</v>
      </c>
      <c r="I882" s="33" t="str">
        <f t="shared" si="206"/>
        <v>='C:\Users\jaime.benazar\Quorum Business Solutions\Ecopetrol Prometeo - Documents\Planning Space Implementation\3. Analysis &amp; Design\Design\FC22\DRR Jaime\Neiva CPI\[DINA TERCIARIOS_CF_SEC_New_27-Mar-2024.xlsx]D-PNP'!$BZ$18</v>
      </c>
      <c r="J882" s="37" t="s">
        <v>2416</v>
      </c>
    </row>
    <row r="883" spans="1:10" x14ac:dyDescent="0.3">
      <c r="A883" s="32" t="s">
        <v>15</v>
      </c>
      <c r="B883" s="32">
        <f t="shared" si="216"/>
        <v>2030</v>
      </c>
      <c r="C883" s="33" t="s">
        <v>37</v>
      </c>
      <c r="D883" s="34" t="s">
        <v>2002</v>
      </c>
      <c r="E883" s="35" t="str">
        <f t="shared" si="203"/>
        <v>PNP'!</v>
      </c>
      <c r="F883" s="34" t="str">
        <f t="shared" si="204"/>
        <v>C:\Users\jaime.benazar\Quorum Business Solutions\Ecopetrol Prometeo - Documents\Planning Space Implementation\3. Analysis &amp; Design\Design\FC22\DRR Jaime\Neiva CPI\[DINA TERCIARIOS_CF_SEC_New_27-Mar-2024.xlsx]D-PNP'!</v>
      </c>
      <c r="G883" s="32" t="s">
        <v>119</v>
      </c>
      <c r="H883" s="33">
        <f t="shared" si="215"/>
        <v>19</v>
      </c>
      <c r="I883" s="33" t="str">
        <f t="shared" si="206"/>
        <v>='C:\Users\jaime.benazar\Quorum Business Solutions\Ecopetrol Prometeo - Documents\Planning Space Implementation\3. Analysis &amp; Design\Design\FC22\DRR Jaime\Neiva CPI\[DINA TERCIARIOS_CF_SEC_New_27-Mar-2024.xlsx]D-PNP'!$BZ$19</v>
      </c>
      <c r="J883" s="37" t="s">
        <v>2417</v>
      </c>
    </row>
    <row r="884" spans="1:10" x14ac:dyDescent="0.3">
      <c r="A884" s="32" t="s">
        <v>15</v>
      </c>
      <c r="B884" s="32">
        <f t="shared" si="216"/>
        <v>2031</v>
      </c>
      <c r="C884" s="33" t="s">
        <v>37</v>
      </c>
      <c r="D884" s="34" t="s">
        <v>2002</v>
      </c>
      <c r="E884" s="35" t="str">
        <f t="shared" si="203"/>
        <v>PNP'!</v>
      </c>
      <c r="F884" s="34" t="str">
        <f t="shared" si="204"/>
        <v>C:\Users\jaime.benazar\Quorum Business Solutions\Ecopetrol Prometeo - Documents\Planning Space Implementation\3. Analysis &amp; Design\Design\FC22\DRR Jaime\Neiva CPI\[DINA TERCIARIOS_CF_SEC_New_27-Mar-2024.xlsx]D-PNP'!</v>
      </c>
      <c r="G884" s="32" t="s">
        <v>119</v>
      </c>
      <c r="H884" s="33">
        <f t="shared" si="215"/>
        <v>20</v>
      </c>
      <c r="I884" s="33" t="str">
        <f t="shared" si="206"/>
        <v>='C:\Users\jaime.benazar\Quorum Business Solutions\Ecopetrol Prometeo - Documents\Planning Space Implementation\3. Analysis &amp; Design\Design\FC22\DRR Jaime\Neiva CPI\[DINA TERCIARIOS_CF_SEC_New_27-Mar-2024.xlsx]D-PNP'!$BZ$20</v>
      </c>
      <c r="J884" s="37" t="s">
        <v>2418</v>
      </c>
    </row>
    <row r="885" spans="1:10" x14ac:dyDescent="0.3">
      <c r="A885" s="32" t="s">
        <v>15</v>
      </c>
      <c r="B885" s="32">
        <f t="shared" si="216"/>
        <v>2032</v>
      </c>
      <c r="C885" s="33" t="s">
        <v>37</v>
      </c>
      <c r="D885" s="34" t="s">
        <v>2002</v>
      </c>
      <c r="E885" s="35" t="str">
        <f t="shared" si="203"/>
        <v>PNP'!</v>
      </c>
      <c r="F885" s="34" t="str">
        <f t="shared" si="204"/>
        <v>C:\Users\jaime.benazar\Quorum Business Solutions\Ecopetrol Prometeo - Documents\Planning Space Implementation\3. Analysis &amp; Design\Design\FC22\DRR Jaime\Neiva CPI\[DINA TERCIARIOS_CF_SEC_New_27-Mar-2024.xlsx]D-PNP'!</v>
      </c>
      <c r="G885" s="32" t="s">
        <v>119</v>
      </c>
      <c r="H885" s="33">
        <f t="shared" si="215"/>
        <v>21</v>
      </c>
      <c r="I885" s="33" t="str">
        <f t="shared" si="206"/>
        <v>='C:\Users\jaime.benazar\Quorum Business Solutions\Ecopetrol Prometeo - Documents\Planning Space Implementation\3. Analysis &amp; Design\Design\FC22\DRR Jaime\Neiva CPI\[DINA TERCIARIOS_CF_SEC_New_27-Mar-2024.xlsx]D-PNP'!$BZ$21</v>
      </c>
      <c r="J885" s="37" t="s">
        <v>2419</v>
      </c>
    </row>
    <row r="886" spans="1:10" x14ac:dyDescent="0.3">
      <c r="A886" s="32" t="s">
        <v>15</v>
      </c>
      <c r="B886" s="32">
        <f t="shared" si="216"/>
        <v>2033</v>
      </c>
      <c r="C886" s="33" t="s">
        <v>37</v>
      </c>
      <c r="D886" s="34" t="s">
        <v>2002</v>
      </c>
      <c r="E886" s="35" t="str">
        <f t="shared" si="203"/>
        <v>PNP'!</v>
      </c>
      <c r="F886" s="34" t="str">
        <f t="shared" si="204"/>
        <v>C:\Users\jaime.benazar\Quorum Business Solutions\Ecopetrol Prometeo - Documents\Planning Space Implementation\3. Analysis &amp; Design\Design\FC22\DRR Jaime\Neiva CPI\[DINA TERCIARIOS_CF_SEC_New_27-Mar-2024.xlsx]D-PNP'!</v>
      </c>
      <c r="G886" s="32" t="s">
        <v>119</v>
      </c>
      <c r="H886" s="33">
        <f t="shared" si="215"/>
        <v>22</v>
      </c>
      <c r="I886" s="33" t="str">
        <f t="shared" si="206"/>
        <v>='C:\Users\jaime.benazar\Quorum Business Solutions\Ecopetrol Prometeo - Documents\Planning Space Implementation\3. Analysis &amp; Design\Design\FC22\DRR Jaime\Neiva CPI\[DINA TERCIARIOS_CF_SEC_New_27-Mar-2024.xlsx]D-PNP'!$BZ$22</v>
      </c>
      <c r="J886" s="37" t="s">
        <v>2420</v>
      </c>
    </row>
    <row r="887" spans="1:10" x14ac:dyDescent="0.3">
      <c r="A887" s="32" t="s">
        <v>15</v>
      </c>
      <c r="B887" s="32">
        <f t="shared" si="216"/>
        <v>2034</v>
      </c>
      <c r="C887" s="33" t="s">
        <v>37</v>
      </c>
      <c r="D887" s="34" t="s">
        <v>2002</v>
      </c>
      <c r="E887" s="35" t="str">
        <f t="shared" si="203"/>
        <v>PNP'!</v>
      </c>
      <c r="F887" s="34" t="str">
        <f t="shared" si="204"/>
        <v>C:\Users\jaime.benazar\Quorum Business Solutions\Ecopetrol Prometeo - Documents\Planning Space Implementation\3. Analysis &amp; Design\Design\FC22\DRR Jaime\Neiva CPI\[DINA TERCIARIOS_CF_SEC_New_27-Mar-2024.xlsx]D-PNP'!</v>
      </c>
      <c r="G887" s="32" t="s">
        <v>119</v>
      </c>
      <c r="H887" s="33">
        <f t="shared" si="215"/>
        <v>23</v>
      </c>
      <c r="I887" s="33" t="str">
        <f t="shared" si="206"/>
        <v>='C:\Users\jaime.benazar\Quorum Business Solutions\Ecopetrol Prometeo - Documents\Planning Space Implementation\3. Analysis &amp; Design\Design\FC22\DRR Jaime\Neiva CPI\[DINA TERCIARIOS_CF_SEC_New_27-Mar-2024.xlsx]D-PNP'!$BZ$23</v>
      </c>
      <c r="J887" s="37" t="s">
        <v>2421</v>
      </c>
    </row>
    <row r="888" spans="1:10" x14ac:dyDescent="0.3">
      <c r="A888" s="32" t="s">
        <v>15</v>
      </c>
      <c r="B888" s="32">
        <f t="shared" si="216"/>
        <v>2035</v>
      </c>
      <c r="C888" s="33" t="s">
        <v>37</v>
      </c>
      <c r="D888" s="34" t="s">
        <v>2002</v>
      </c>
      <c r="E888" s="35" t="str">
        <f t="shared" si="203"/>
        <v>PNP'!</v>
      </c>
      <c r="F888" s="34" t="str">
        <f t="shared" si="204"/>
        <v>C:\Users\jaime.benazar\Quorum Business Solutions\Ecopetrol Prometeo - Documents\Planning Space Implementation\3. Analysis &amp; Design\Design\FC22\DRR Jaime\Neiva CPI\[DINA TERCIARIOS_CF_SEC_New_27-Mar-2024.xlsx]D-PNP'!</v>
      </c>
      <c r="G888" s="32" t="s">
        <v>119</v>
      </c>
      <c r="H888" s="33">
        <f t="shared" si="215"/>
        <v>24</v>
      </c>
      <c r="I888" s="33" t="str">
        <f t="shared" si="206"/>
        <v>='C:\Users\jaime.benazar\Quorum Business Solutions\Ecopetrol Prometeo - Documents\Planning Space Implementation\3. Analysis &amp; Design\Design\FC22\DRR Jaime\Neiva CPI\[DINA TERCIARIOS_CF_SEC_New_27-Mar-2024.xlsx]D-PNP'!$BZ$24</v>
      </c>
      <c r="J888" s="37" t="s">
        <v>2422</v>
      </c>
    </row>
    <row r="889" spans="1:10" x14ac:dyDescent="0.3">
      <c r="A889" s="32" t="s">
        <v>15</v>
      </c>
      <c r="B889" s="32">
        <f t="shared" si="216"/>
        <v>2036</v>
      </c>
      <c r="C889" s="33" t="s">
        <v>37</v>
      </c>
      <c r="D889" s="34" t="s">
        <v>2002</v>
      </c>
      <c r="E889" s="35" t="str">
        <f t="shared" si="203"/>
        <v>PNP'!</v>
      </c>
      <c r="F889" s="34" t="str">
        <f t="shared" si="204"/>
        <v>C:\Users\jaime.benazar\Quorum Business Solutions\Ecopetrol Prometeo - Documents\Planning Space Implementation\3. Analysis &amp; Design\Design\FC22\DRR Jaime\Neiva CPI\[DINA TERCIARIOS_CF_SEC_New_27-Mar-2024.xlsx]D-PNP'!</v>
      </c>
      <c r="G889" s="32" t="s">
        <v>119</v>
      </c>
      <c r="H889" s="33">
        <f t="shared" si="215"/>
        <v>25</v>
      </c>
      <c r="I889" s="33" t="str">
        <f t="shared" si="206"/>
        <v>='C:\Users\jaime.benazar\Quorum Business Solutions\Ecopetrol Prometeo - Documents\Planning Space Implementation\3. Analysis &amp; Design\Design\FC22\DRR Jaime\Neiva CPI\[DINA TERCIARIOS_CF_SEC_New_27-Mar-2024.xlsx]D-PNP'!$BZ$25</v>
      </c>
      <c r="J889" s="37" t="s">
        <v>2423</v>
      </c>
    </row>
    <row r="890" spans="1:10" x14ac:dyDescent="0.3">
      <c r="A890" s="32" t="s">
        <v>15</v>
      </c>
      <c r="B890" s="32">
        <f>+B889+1</f>
        <v>2037</v>
      </c>
      <c r="C890" s="33" t="s">
        <v>37</v>
      </c>
      <c r="D890" s="34" t="s">
        <v>2002</v>
      </c>
      <c r="E890" s="35" t="str">
        <f t="shared" si="203"/>
        <v>PNP'!</v>
      </c>
      <c r="F890" s="34" t="str">
        <f t="shared" si="204"/>
        <v>C:\Users\jaime.benazar\Quorum Business Solutions\Ecopetrol Prometeo - Documents\Planning Space Implementation\3. Analysis &amp; Design\Design\FC22\DRR Jaime\Neiva CPI\[DINA TERCIARIOS_CF_SEC_New_27-Mar-2024.xlsx]D-PNP'!</v>
      </c>
      <c r="G890" s="32" t="s">
        <v>119</v>
      </c>
      <c r="H890" s="33">
        <f t="shared" si="215"/>
        <v>26</v>
      </c>
      <c r="I890" s="33" t="str">
        <f t="shared" si="206"/>
        <v>='C:\Users\jaime.benazar\Quorum Business Solutions\Ecopetrol Prometeo - Documents\Planning Space Implementation\3. Analysis &amp; Design\Design\FC22\DRR Jaime\Neiva CPI\[DINA TERCIARIOS_CF_SEC_New_27-Mar-2024.xlsx]D-PNP'!$BZ$26</v>
      </c>
      <c r="J890" s="37" t="s">
        <v>2424</v>
      </c>
    </row>
    <row r="891" spans="1:10" x14ac:dyDescent="0.3">
      <c r="A891" s="32" t="s">
        <v>15</v>
      </c>
      <c r="B891" s="32">
        <f t="shared" ref="B891:B893" si="217">+B890+1</f>
        <v>2038</v>
      </c>
      <c r="C891" s="33" t="s">
        <v>37</v>
      </c>
      <c r="D891" s="34" t="s">
        <v>2002</v>
      </c>
      <c r="E891" s="35" t="str">
        <f t="shared" si="203"/>
        <v>PNP'!</v>
      </c>
      <c r="F891" s="34" t="str">
        <f t="shared" si="204"/>
        <v>C:\Users\jaime.benazar\Quorum Business Solutions\Ecopetrol Prometeo - Documents\Planning Space Implementation\3. Analysis &amp; Design\Design\FC22\DRR Jaime\Neiva CPI\[DINA TERCIARIOS_CF_SEC_New_27-Mar-2024.xlsx]D-PNP'!</v>
      </c>
      <c r="G891" s="32" t="s">
        <v>119</v>
      </c>
      <c r="H891" s="33">
        <f t="shared" si="215"/>
        <v>27</v>
      </c>
      <c r="I891" s="33" t="str">
        <f t="shared" si="206"/>
        <v>='C:\Users\jaime.benazar\Quorum Business Solutions\Ecopetrol Prometeo - Documents\Planning Space Implementation\3. Analysis &amp; Design\Design\FC22\DRR Jaime\Neiva CPI\[DINA TERCIARIOS_CF_SEC_New_27-Mar-2024.xlsx]D-PNP'!$BZ$27</v>
      </c>
      <c r="J891" s="37" t="s">
        <v>2425</v>
      </c>
    </row>
    <row r="892" spans="1:10" x14ac:dyDescent="0.3">
      <c r="A892" s="32" t="s">
        <v>15</v>
      </c>
      <c r="B892" s="32">
        <f t="shared" si="217"/>
        <v>2039</v>
      </c>
      <c r="C892" s="33" t="s">
        <v>37</v>
      </c>
      <c r="D892" s="34" t="s">
        <v>2002</v>
      </c>
      <c r="E892" s="35" t="str">
        <f t="shared" si="203"/>
        <v>PNP'!</v>
      </c>
      <c r="F892" s="34" t="str">
        <f t="shared" si="204"/>
        <v>C:\Users\jaime.benazar\Quorum Business Solutions\Ecopetrol Prometeo - Documents\Planning Space Implementation\3. Analysis &amp; Design\Design\FC22\DRR Jaime\Neiva CPI\[DINA TERCIARIOS_CF_SEC_New_27-Mar-2024.xlsx]D-PNP'!</v>
      </c>
      <c r="G892" s="32" t="s">
        <v>119</v>
      </c>
      <c r="H892" s="33">
        <f t="shared" si="215"/>
        <v>28</v>
      </c>
      <c r="I892" s="33" t="str">
        <f t="shared" si="206"/>
        <v>='C:\Users\jaime.benazar\Quorum Business Solutions\Ecopetrol Prometeo - Documents\Planning Space Implementation\3. Analysis &amp; Design\Design\FC22\DRR Jaime\Neiva CPI\[DINA TERCIARIOS_CF_SEC_New_27-Mar-2024.xlsx]D-PNP'!$BZ$28</v>
      </c>
      <c r="J892" s="37" t="s">
        <v>2426</v>
      </c>
    </row>
    <row r="893" spans="1:10" x14ac:dyDescent="0.3">
      <c r="A893" s="32" t="s">
        <v>15</v>
      </c>
      <c r="B893" s="32">
        <f t="shared" si="217"/>
        <v>2040</v>
      </c>
      <c r="C893" s="33" t="s">
        <v>37</v>
      </c>
      <c r="D893" s="34" t="s">
        <v>2002</v>
      </c>
      <c r="E893" s="35" t="str">
        <f t="shared" si="203"/>
        <v>PNP'!</v>
      </c>
      <c r="F893" s="34" t="str">
        <f t="shared" si="204"/>
        <v>C:\Users\jaime.benazar\Quorum Business Solutions\Ecopetrol Prometeo - Documents\Planning Space Implementation\3. Analysis &amp; Design\Design\FC22\DRR Jaime\Neiva CPI\[DINA TERCIARIOS_CF_SEC_New_27-Mar-2024.xlsx]D-PNP'!</v>
      </c>
      <c r="G893" s="32" t="s">
        <v>119</v>
      </c>
      <c r="H893" s="33">
        <f t="shared" si="215"/>
        <v>29</v>
      </c>
      <c r="I893" s="33" t="str">
        <f t="shared" si="206"/>
        <v>='C:\Users\jaime.benazar\Quorum Business Solutions\Ecopetrol Prometeo - Documents\Planning Space Implementation\3. Analysis &amp; Design\Design\FC22\DRR Jaime\Neiva CPI\[DINA TERCIARIOS_CF_SEC_New_27-Mar-2024.xlsx]D-PNP'!$BZ$29</v>
      </c>
      <c r="J893" s="37" t="s">
        <v>2427</v>
      </c>
    </row>
    <row r="894" spans="1:10" x14ac:dyDescent="0.3">
      <c r="A894" s="32" t="s">
        <v>15</v>
      </c>
      <c r="B894" s="32">
        <f>+B893+1</f>
        <v>2041</v>
      </c>
      <c r="C894" s="33" t="s">
        <v>37</v>
      </c>
      <c r="D894" s="34" t="s">
        <v>2002</v>
      </c>
      <c r="E894" s="35" t="str">
        <f t="shared" si="203"/>
        <v>PNP'!</v>
      </c>
      <c r="F894" s="34" t="str">
        <f t="shared" si="204"/>
        <v>C:\Users\jaime.benazar\Quorum Business Solutions\Ecopetrol Prometeo - Documents\Planning Space Implementation\3. Analysis &amp; Design\Design\FC22\DRR Jaime\Neiva CPI\[DINA TERCIARIOS_CF_SEC_New_27-Mar-2024.xlsx]D-PNP'!</v>
      </c>
      <c r="G894" s="32" t="s">
        <v>119</v>
      </c>
      <c r="H894" s="33">
        <f t="shared" si="215"/>
        <v>30</v>
      </c>
      <c r="I894" s="33" t="str">
        <f t="shared" si="206"/>
        <v>='C:\Users\jaime.benazar\Quorum Business Solutions\Ecopetrol Prometeo - Documents\Planning Space Implementation\3. Analysis &amp; Design\Design\FC22\DRR Jaime\Neiva CPI\[DINA TERCIARIOS_CF_SEC_New_27-Mar-2024.xlsx]D-PNP'!$BZ$30</v>
      </c>
      <c r="J894" s="37" t="s">
        <v>2428</v>
      </c>
    </row>
    <row r="895" spans="1:10" x14ac:dyDescent="0.3">
      <c r="A895" s="32" t="s">
        <v>15</v>
      </c>
      <c r="B895" s="32">
        <f t="shared" ref="B895:B896" si="218">+B894+1</f>
        <v>2042</v>
      </c>
      <c r="C895" s="33" t="s">
        <v>37</v>
      </c>
      <c r="D895" s="34" t="s">
        <v>2002</v>
      </c>
      <c r="E895" s="35" t="str">
        <f t="shared" si="203"/>
        <v>PNP'!</v>
      </c>
      <c r="F895" s="34" t="str">
        <f t="shared" si="204"/>
        <v>C:\Users\jaime.benazar\Quorum Business Solutions\Ecopetrol Prometeo - Documents\Planning Space Implementation\3. Analysis &amp; Design\Design\FC22\DRR Jaime\Neiva CPI\[DINA TERCIARIOS_CF_SEC_New_27-Mar-2024.xlsx]D-PNP'!</v>
      </c>
      <c r="G895" s="32" t="s">
        <v>119</v>
      </c>
      <c r="H895" s="33">
        <f t="shared" si="215"/>
        <v>31</v>
      </c>
      <c r="I895" s="33" t="str">
        <f t="shared" si="206"/>
        <v>='C:\Users\jaime.benazar\Quorum Business Solutions\Ecopetrol Prometeo - Documents\Planning Space Implementation\3. Analysis &amp; Design\Design\FC22\DRR Jaime\Neiva CPI\[DINA TERCIARIOS_CF_SEC_New_27-Mar-2024.xlsx]D-PNP'!$BZ$31</v>
      </c>
      <c r="J895" s="37" t="s">
        <v>2429</v>
      </c>
    </row>
    <row r="896" spans="1:10" x14ac:dyDescent="0.3">
      <c r="A896" s="32" t="s">
        <v>15</v>
      </c>
      <c r="B896" s="32">
        <f t="shared" si="218"/>
        <v>2043</v>
      </c>
      <c r="C896" s="33" t="s">
        <v>37</v>
      </c>
      <c r="D896" s="34" t="s">
        <v>2002</v>
      </c>
      <c r="E896" s="35" t="str">
        <f t="shared" si="203"/>
        <v>PNP'!</v>
      </c>
      <c r="F896" s="34" t="str">
        <f t="shared" si="204"/>
        <v>C:\Users\jaime.benazar\Quorum Business Solutions\Ecopetrol Prometeo - Documents\Planning Space Implementation\3. Analysis &amp; Design\Design\FC22\DRR Jaime\Neiva CPI\[DINA TERCIARIOS_CF_SEC_New_27-Mar-2024.xlsx]D-PNP'!</v>
      </c>
      <c r="G896" s="32" t="s">
        <v>119</v>
      </c>
      <c r="H896" s="33">
        <f t="shared" si="215"/>
        <v>32</v>
      </c>
      <c r="I896" s="33" t="str">
        <f t="shared" si="206"/>
        <v>='C:\Users\jaime.benazar\Quorum Business Solutions\Ecopetrol Prometeo - Documents\Planning Space Implementation\3. Analysis &amp; Design\Design\FC22\DRR Jaime\Neiva CPI\[DINA TERCIARIOS_CF_SEC_New_27-Mar-2024.xlsx]D-PNP'!$BZ$32</v>
      </c>
      <c r="J896" s="37" t="s">
        <v>2430</v>
      </c>
    </row>
    <row r="897" spans="1:10" x14ac:dyDescent="0.3">
      <c r="A897" s="32" t="s">
        <v>15</v>
      </c>
      <c r="B897" s="32">
        <f>+B896+1</f>
        <v>2044</v>
      </c>
      <c r="C897" s="33" t="s">
        <v>37</v>
      </c>
      <c r="D897" s="34" t="s">
        <v>2002</v>
      </c>
      <c r="E897" s="35" t="str">
        <f t="shared" ref="E897:E912" si="219">_xlfn.CONCAT(A897,"'!")</f>
        <v>PNP'!</v>
      </c>
      <c r="F897" s="34" t="str">
        <f t="shared" ref="F897:F912" si="220">_xlfn.CONCAT(D897:E897)</f>
        <v>C:\Users\jaime.benazar\Quorum Business Solutions\Ecopetrol Prometeo - Documents\Planning Space Implementation\3. Analysis &amp; Design\Design\FC22\DRR Jaime\Neiva CPI\[DINA TERCIARIOS_CF_SEC_New_27-Mar-2024.xlsx]D-PNP'!</v>
      </c>
      <c r="G897" s="32" t="s">
        <v>119</v>
      </c>
      <c r="H897" s="33">
        <f t="shared" ref="H897:H912" si="221">IF(A897&lt;&gt;A896,12,H896+1)</f>
        <v>33</v>
      </c>
      <c r="I897" s="33" t="str">
        <f t="shared" ref="I897:I912" si="222">_xlfn.CONCAT("='",F897:H897)</f>
        <v>='C:\Users\jaime.benazar\Quorum Business Solutions\Ecopetrol Prometeo - Documents\Planning Space Implementation\3. Analysis &amp; Design\Design\FC22\DRR Jaime\Neiva CPI\[DINA TERCIARIOS_CF_SEC_New_27-Mar-2024.xlsx]D-PNP'!$BZ$33</v>
      </c>
      <c r="J897" s="37" t="s">
        <v>2431</v>
      </c>
    </row>
    <row r="898" spans="1:10" x14ac:dyDescent="0.3">
      <c r="A898" s="32" t="s">
        <v>15</v>
      </c>
      <c r="B898" s="32">
        <f t="shared" ref="B898:B912" si="223">+B897+1</f>
        <v>2045</v>
      </c>
      <c r="C898" s="33" t="s">
        <v>37</v>
      </c>
      <c r="D898" s="34" t="s">
        <v>2002</v>
      </c>
      <c r="E898" s="35" t="str">
        <f t="shared" si="219"/>
        <v>PNP'!</v>
      </c>
      <c r="F898" s="34" t="str">
        <f t="shared" si="220"/>
        <v>C:\Users\jaime.benazar\Quorum Business Solutions\Ecopetrol Prometeo - Documents\Planning Space Implementation\3. Analysis &amp; Design\Design\FC22\DRR Jaime\Neiva CPI\[DINA TERCIARIOS_CF_SEC_New_27-Mar-2024.xlsx]D-PNP'!</v>
      </c>
      <c r="G898" s="32" t="s">
        <v>119</v>
      </c>
      <c r="H898" s="33">
        <f t="shared" si="221"/>
        <v>34</v>
      </c>
      <c r="I898" s="33" t="str">
        <f t="shared" si="222"/>
        <v>='C:\Users\jaime.benazar\Quorum Business Solutions\Ecopetrol Prometeo - Documents\Planning Space Implementation\3. Analysis &amp; Design\Design\FC22\DRR Jaime\Neiva CPI\[DINA TERCIARIOS_CF_SEC_New_27-Mar-2024.xlsx]D-PNP'!$BZ$34</v>
      </c>
      <c r="J898" s="37" t="s">
        <v>2432</v>
      </c>
    </row>
    <row r="899" spans="1:10" x14ac:dyDescent="0.3">
      <c r="A899" s="32" t="s">
        <v>15</v>
      </c>
      <c r="B899" s="32">
        <f t="shared" si="223"/>
        <v>2046</v>
      </c>
      <c r="C899" s="33" t="s">
        <v>37</v>
      </c>
      <c r="D899" s="34" t="s">
        <v>2002</v>
      </c>
      <c r="E899" s="35" t="str">
        <f t="shared" si="219"/>
        <v>PNP'!</v>
      </c>
      <c r="F899" s="34" t="str">
        <f t="shared" si="220"/>
        <v>C:\Users\jaime.benazar\Quorum Business Solutions\Ecopetrol Prometeo - Documents\Planning Space Implementation\3. Analysis &amp; Design\Design\FC22\DRR Jaime\Neiva CPI\[DINA TERCIARIOS_CF_SEC_New_27-Mar-2024.xlsx]D-PNP'!</v>
      </c>
      <c r="G899" s="32" t="s">
        <v>119</v>
      </c>
      <c r="H899" s="33">
        <f t="shared" si="221"/>
        <v>35</v>
      </c>
      <c r="I899" s="33" t="str">
        <f t="shared" si="222"/>
        <v>='C:\Users\jaime.benazar\Quorum Business Solutions\Ecopetrol Prometeo - Documents\Planning Space Implementation\3. Analysis &amp; Design\Design\FC22\DRR Jaime\Neiva CPI\[DINA TERCIARIOS_CF_SEC_New_27-Mar-2024.xlsx]D-PNP'!$BZ$35</v>
      </c>
      <c r="J899" s="37" t="s">
        <v>2433</v>
      </c>
    </row>
    <row r="900" spans="1:10" x14ac:dyDescent="0.3">
      <c r="A900" s="32" t="s">
        <v>15</v>
      </c>
      <c r="B900" s="32">
        <f t="shared" si="223"/>
        <v>2047</v>
      </c>
      <c r="C900" s="33" t="s">
        <v>37</v>
      </c>
      <c r="D900" s="34" t="s">
        <v>2002</v>
      </c>
      <c r="E900" s="35" t="str">
        <f t="shared" si="219"/>
        <v>PNP'!</v>
      </c>
      <c r="F900" s="34" t="str">
        <f t="shared" si="220"/>
        <v>C:\Users\jaime.benazar\Quorum Business Solutions\Ecopetrol Prometeo - Documents\Planning Space Implementation\3. Analysis &amp; Design\Design\FC22\DRR Jaime\Neiva CPI\[DINA TERCIARIOS_CF_SEC_New_27-Mar-2024.xlsx]D-PNP'!</v>
      </c>
      <c r="G900" s="32" t="s">
        <v>119</v>
      </c>
      <c r="H900" s="33">
        <f t="shared" si="221"/>
        <v>36</v>
      </c>
      <c r="I900" s="33" t="str">
        <f t="shared" si="222"/>
        <v>='C:\Users\jaime.benazar\Quorum Business Solutions\Ecopetrol Prometeo - Documents\Planning Space Implementation\3. Analysis &amp; Design\Design\FC22\DRR Jaime\Neiva CPI\[DINA TERCIARIOS_CF_SEC_New_27-Mar-2024.xlsx]D-PNP'!$BZ$36</v>
      </c>
      <c r="J900" s="37" t="s">
        <v>2434</v>
      </c>
    </row>
    <row r="901" spans="1:10" x14ac:dyDescent="0.3">
      <c r="A901" s="32" t="s">
        <v>15</v>
      </c>
      <c r="B901" s="32">
        <f t="shared" si="223"/>
        <v>2048</v>
      </c>
      <c r="C901" s="33" t="s">
        <v>37</v>
      </c>
      <c r="D901" s="34" t="s">
        <v>2002</v>
      </c>
      <c r="E901" s="35" t="str">
        <f t="shared" si="219"/>
        <v>PNP'!</v>
      </c>
      <c r="F901" s="34" t="str">
        <f t="shared" si="220"/>
        <v>C:\Users\jaime.benazar\Quorum Business Solutions\Ecopetrol Prometeo - Documents\Planning Space Implementation\3. Analysis &amp; Design\Design\FC22\DRR Jaime\Neiva CPI\[DINA TERCIARIOS_CF_SEC_New_27-Mar-2024.xlsx]D-PNP'!</v>
      </c>
      <c r="G901" s="32" t="s">
        <v>119</v>
      </c>
      <c r="H901" s="33">
        <f t="shared" si="221"/>
        <v>37</v>
      </c>
      <c r="I901" s="33" t="str">
        <f t="shared" si="222"/>
        <v>='C:\Users\jaime.benazar\Quorum Business Solutions\Ecopetrol Prometeo - Documents\Planning Space Implementation\3. Analysis &amp; Design\Design\FC22\DRR Jaime\Neiva CPI\[DINA TERCIARIOS_CF_SEC_New_27-Mar-2024.xlsx]D-PNP'!$BZ$37</v>
      </c>
      <c r="J901" s="37" t="s">
        <v>2435</v>
      </c>
    </row>
    <row r="902" spans="1:10" x14ac:dyDescent="0.3">
      <c r="A902" s="32" t="s">
        <v>15</v>
      </c>
      <c r="B902" s="32">
        <f t="shared" si="223"/>
        <v>2049</v>
      </c>
      <c r="C902" s="33" t="s">
        <v>37</v>
      </c>
      <c r="D902" s="34" t="s">
        <v>2002</v>
      </c>
      <c r="E902" s="35" t="str">
        <f t="shared" si="219"/>
        <v>PNP'!</v>
      </c>
      <c r="F902" s="34" t="str">
        <f t="shared" si="220"/>
        <v>C:\Users\jaime.benazar\Quorum Business Solutions\Ecopetrol Prometeo - Documents\Planning Space Implementation\3. Analysis &amp; Design\Design\FC22\DRR Jaime\Neiva CPI\[DINA TERCIARIOS_CF_SEC_New_27-Mar-2024.xlsx]D-PNP'!</v>
      </c>
      <c r="G902" s="32" t="s">
        <v>119</v>
      </c>
      <c r="H902" s="33">
        <f t="shared" si="221"/>
        <v>38</v>
      </c>
      <c r="I902" s="33" t="str">
        <f t="shared" si="222"/>
        <v>='C:\Users\jaime.benazar\Quorum Business Solutions\Ecopetrol Prometeo - Documents\Planning Space Implementation\3. Analysis &amp; Design\Design\FC22\DRR Jaime\Neiva CPI\[DINA TERCIARIOS_CF_SEC_New_27-Mar-2024.xlsx]D-PNP'!$BZ$38</v>
      </c>
      <c r="J902" s="37" t="s">
        <v>2436</v>
      </c>
    </row>
    <row r="903" spans="1:10" x14ac:dyDescent="0.3">
      <c r="A903" s="32" t="s">
        <v>15</v>
      </c>
      <c r="B903" s="32">
        <f t="shared" si="223"/>
        <v>2050</v>
      </c>
      <c r="C903" s="33" t="s">
        <v>37</v>
      </c>
      <c r="D903" s="34" t="s">
        <v>2002</v>
      </c>
      <c r="E903" s="35" t="str">
        <f t="shared" si="219"/>
        <v>PNP'!</v>
      </c>
      <c r="F903" s="34" t="str">
        <f t="shared" si="220"/>
        <v>C:\Users\jaime.benazar\Quorum Business Solutions\Ecopetrol Prometeo - Documents\Planning Space Implementation\3. Analysis &amp; Design\Design\FC22\DRR Jaime\Neiva CPI\[DINA TERCIARIOS_CF_SEC_New_27-Mar-2024.xlsx]D-PNP'!</v>
      </c>
      <c r="G903" s="32" t="s">
        <v>119</v>
      </c>
      <c r="H903" s="33">
        <f t="shared" si="221"/>
        <v>39</v>
      </c>
      <c r="I903" s="33" t="str">
        <f t="shared" si="222"/>
        <v>='C:\Users\jaime.benazar\Quorum Business Solutions\Ecopetrol Prometeo - Documents\Planning Space Implementation\3. Analysis &amp; Design\Design\FC22\DRR Jaime\Neiva CPI\[DINA TERCIARIOS_CF_SEC_New_27-Mar-2024.xlsx]D-PNP'!$BZ$39</v>
      </c>
      <c r="J903" s="37" t="s">
        <v>2437</v>
      </c>
    </row>
    <row r="904" spans="1:10" x14ac:dyDescent="0.3">
      <c r="A904" s="32" t="s">
        <v>15</v>
      </c>
      <c r="B904" s="32">
        <f t="shared" si="223"/>
        <v>2051</v>
      </c>
      <c r="C904" s="33" t="s">
        <v>37</v>
      </c>
      <c r="D904" s="34" t="s">
        <v>2002</v>
      </c>
      <c r="E904" s="35" t="str">
        <f t="shared" si="219"/>
        <v>PNP'!</v>
      </c>
      <c r="F904" s="34" t="str">
        <f t="shared" si="220"/>
        <v>C:\Users\jaime.benazar\Quorum Business Solutions\Ecopetrol Prometeo - Documents\Planning Space Implementation\3. Analysis &amp; Design\Design\FC22\DRR Jaime\Neiva CPI\[DINA TERCIARIOS_CF_SEC_New_27-Mar-2024.xlsx]D-PNP'!</v>
      </c>
      <c r="G904" s="32" t="s">
        <v>119</v>
      </c>
      <c r="H904" s="33">
        <f t="shared" si="221"/>
        <v>40</v>
      </c>
      <c r="I904" s="33" t="str">
        <f t="shared" si="222"/>
        <v>='C:\Users\jaime.benazar\Quorum Business Solutions\Ecopetrol Prometeo - Documents\Planning Space Implementation\3. Analysis &amp; Design\Design\FC22\DRR Jaime\Neiva CPI\[DINA TERCIARIOS_CF_SEC_New_27-Mar-2024.xlsx]D-PNP'!$BZ$40</v>
      </c>
      <c r="J904" s="37" t="s">
        <v>2438</v>
      </c>
    </row>
    <row r="905" spans="1:10" x14ac:dyDescent="0.3">
      <c r="A905" s="32" t="s">
        <v>15</v>
      </c>
      <c r="B905" s="32">
        <f t="shared" si="223"/>
        <v>2052</v>
      </c>
      <c r="C905" s="33" t="s">
        <v>37</v>
      </c>
      <c r="D905" s="34" t="s">
        <v>2002</v>
      </c>
      <c r="E905" s="35" t="str">
        <f t="shared" si="219"/>
        <v>PNP'!</v>
      </c>
      <c r="F905" s="34" t="str">
        <f t="shared" si="220"/>
        <v>C:\Users\jaime.benazar\Quorum Business Solutions\Ecopetrol Prometeo - Documents\Planning Space Implementation\3. Analysis &amp; Design\Design\FC22\DRR Jaime\Neiva CPI\[DINA TERCIARIOS_CF_SEC_New_27-Mar-2024.xlsx]D-PNP'!</v>
      </c>
      <c r="G905" s="32" t="s">
        <v>119</v>
      </c>
      <c r="H905" s="33">
        <f t="shared" si="221"/>
        <v>41</v>
      </c>
      <c r="I905" s="33" t="str">
        <f t="shared" si="222"/>
        <v>='C:\Users\jaime.benazar\Quorum Business Solutions\Ecopetrol Prometeo - Documents\Planning Space Implementation\3. Analysis &amp; Design\Design\FC22\DRR Jaime\Neiva CPI\[DINA TERCIARIOS_CF_SEC_New_27-Mar-2024.xlsx]D-PNP'!$BZ$41</v>
      </c>
      <c r="J905" s="37" t="s">
        <v>2439</v>
      </c>
    </row>
    <row r="906" spans="1:10" x14ac:dyDescent="0.3">
      <c r="A906" s="32" t="s">
        <v>15</v>
      </c>
      <c r="B906" s="32">
        <f t="shared" si="223"/>
        <v>2053</v>
      </c>
      <c r="C906" s="33" t="s">
        <v>37</v>
      </c>
      <c r="D906" s="34" t="s">
        <v>2002</v>
      </c>
      <c r="E906" s="35" t="str">
        <f t="shared" si="219"/>
        <v>PNP'!</v>
      </c>
      <c r="F906" s="34" t="str">
        <f t="shared" si="220"/>
        <v>C:\Users\jaime.benazar\Quorum Business Solutions\Ecopetrol Prometeo - Documents\Planning Space Implementation\3. Analysis &amp; Design\Design\FC22\DRR Jaime\Neiva CPI\[DINA TERCIARIOS_CF_SEC_New_27-Mar-2024.xlsx]D-PNP'!</v>
      </c>
      <c r="G906" s="32" t="s">
        <v>119</v>
      </c>
      <c r="H906" s="33">
        <f t="shared" si="221"/>
        <v>42</v>
      </c>
      <c r="I906" s="33" t="str">
        <f t="shared" si="222"/>
        <v>='C:\Users\jaime.benazar\Quorum Business Solutions\Ecopetrol Prometeo - Documents\Planning Space Implementation\3. Analysis &amp; Design\Design\FC22\DRR Jaime\Neiva CPI\[DINA TERCIARIOS_CF_SEC_New_27-Mar-2024.xlsx]D-PNP'!$BZ$42</v>
      </c>
      <c r="J906" s="37" t="s">
        <v>2440</v>
      </c>
    </row>
    <row r="907" spans="1:10" x14ac:dyDescent="0.3">
      <c r="A907" s="32" t="s">
        <v>15</v>
      </c>
      <c r="B907" s="32">
        <f t="shared" si="223"/>
        <v>2054</v>
      </c>
      <c r="C907" s="33" t="s">
        <v>37</v>
      </c>
      <c r="D907" s="34" t="s">
        <v>2002</v>
      </c>
      <c r="E907" s="35" t="str">
        <f t="shared" si="219"/>
        <v>PNP'!</v>
      </c>
      <c r="F907" s="34" t="str">
        <f t="shared" si="220"/>
        <v>C:\Users\jaime.benazar\Quorum Business Solutions\Ecopetrol Prometeo - Documents\Planning Space Implementation\3. Analysis &amp; Design\Design\FC22\DRR Jaime\Neiva CPI\[DINA TERCIARIOS_CF_SEC_New_27-Mar-2024.xlsx]D-PNP'!</v>
      </c>
      <c r="G907" s="32" t="s">
        <v>119</v>
      </c>
      <c r="H907" s="33">
        <f t="shared" si="221"/>
        <v>43</v>
      </c>
      <c r="I907" s="33" t="str">
        <f t="shared" si="222"/>
        <v>='C:\Users\jaime.benazar\Quorum Business Solutions\Ecopetrol Prometeo - Documents\Planning Space Implementation\3. Analysis &amp; Design\Design\FC22\DRR Jaime\Neiva CPI\[DINA TERCIARIOS_CF_SEC_New_27-Mar-2024.xlsx]D-PNP'!$BZ$43</v>
      </c>
      <c r="J907" s="37" t="s">
        <v>2441</v>
      </c>
    </row>
    <row r="908" spans="1:10" x14ac:dyDescent="0.3">
      <c r="A908" s="32" t="s">
        <v>15</v>
      </c>
      <c r="B908" s="32">
        <f t="shared" si="223"/>
        <v>2055</v>
      </c>
      <c r="C908" s="33" t="s">
        <v>37</v>
      </c>
      <c r="D908" s="34" t="s">
        <v>2002</v>
      </c>
      <c r="E908" s="35" t="str">
        <f t="shared" si="219"/>
        <v>PNP'!</v>
      </c>
      <c r="F908" s="34" t="str">
        <f t="shared" si="220"/>
        <v>C:\Users\jaime.benazar\Quorum Business Solutions\Ecopetrol Prometeo - Documents\Planning Space Implementation\3. Analysis &amp; Design\Design\FC22\DRR Jaime\Neiva CPI\[DINA TERCIARIOS_CF_SEC_New_27-Mar-2024.xlsx]D-PNP'!</v>
      </c>
      <c r="G908" s="32" t="s">
        <v>119</v>
      </c>
      <c r="H908" s="33">
        <f t="shared" si="221"/>
        <v>44</v>
      </c>
      <c r="I908" s="33" t="str">
        <f t="shared" si="222"/>
        <v>='C:\Users\jaime.benazar\Quorum Business Solutions\Ecopetrol Prometeo - Documents\Planning Space Implementation\3. Analysis &amp; Design\Design\FC22\DRR Jaime\Neiva CPI\[DINA TERCIARIOS_CF_SEC_New_27-Mar-2024.xlsx]D-PNP'!$BZ$44</v>
      </c>
      <c r="J908" s="37" t="s">
        <v>2442</v>
      </c>
    </row>
    <row r="909" spans="1:10" x14ac:dyDescent="0.3">
      <c r="A909" s="32" t="s">
        <v>15</v>
      </c>
      <c r="B909" s="32">
        <f t="shared" si="223"/>
        <v>2056</v>
      </c>
      <c r="C909" s="33" t="s">
        <v>37</v>
      </c>
      <c r="D909" s="34" t="s">
        <v>2002</v>
      </c>
      <c r="E909" s="35" t="str">
        <f t="shared" si="219"/>
        <v>PNP'!</v>
      </c>
      <c r="F909" s="34" t="str">
        <f t="shared" si="220"/>
        <v>C:\Users\jaime.benazar\Quorum Business Solutions\Ecopetrol Prometeo - Documents\Planning Space Implementation\3. Analysis &amp; Design\Design\FC22\DRR Jaime\Neiva CPI\[DINA TERCIARIOS_CF_SEC_New_27-Mar-2024.xlsx]D-PNP'!</v>
      </c>
      <c r="G909" s="32" t="s">
        <v>119</v>
      </c>
      <c r="H909" s="33">
        <f t="shared" si="221"/>
        <v>45</v>
      </c>
      <c r="I909" s="33" t="str">
        <f t="shared" si="222"/>
        <v>='C:\Users\jaime.benazar\Quorum Business Solutions\Ecopetrol Prometeo - Documents\Planning Space Implementation\3. Analysis &amp; Design\Design\FC22\DRR Jaime\Neiva CPI\[DINA TERCIARIOS_CF_SEC_New_27-Mar-2024.xlsx]D-PNP'!$BZ$45</v>
      </c>
      <c r="J909" s="37" t="s">
        <v>2443</v>
      </c>
    </row>
    <row r="910" spans="1:10" x14ac:dyDescent="0.3">
      <c r="A910" s="32" t="s">
        <v>15</v>
      </c>
      <c r="B910" s="32">
        <f t="shared" si="223"/>
        <v>2057</v>
      </c>
      <c r="C910" s="33" t="s">
        <v>37</v>
      </c>
      <c r="D910" s="34" t="s">
        <v>2002</v>
      </c>
      <c r="E910" s="35" t="str">
        <f t="shared" si="219"/>
        <v>PNP'!</v>
      </c>
      <c r="F910" s="34" t="str">
        <f t="shared" si="220"/>
        <v>C:\Users\jaime.benazar\Quorum Business Solutions\Ecopetrol Prometeo - Documents\Planning Space Implementation\3. Analysis &amp; Design\Design\FC22\DRR Jaime\Neiva CPI\[DINA TERCIARIOS_CF_SEC_New_27-Mar-2024.xlsx]D-PNP'!</v>
      </c>
      <c r="G910" s="32" t="s">
        <v>119</v>
      </c>
      <c r="H910" s="33">
        <f t="shared" si="221"/>
        <v>46</v>
      </c>
      <c r="I910" s="33" t="str">
        <f t="shared" si="222"/>
        <v>='C:\Users\jaime.benazar\Quorum Business Solutions\Ecopetrol Prometeo - Documents\Planning Space Implementation\3. Analysis &amp; Design\Design\FC22\DRR Jaime\Neiva CPI\[DINA TERCIARIOS_CF_SEC_New_27-Mar-2024.xlsx]D-PNP'!$BZ$46</v>
      </c>
      <c r="J910" s="37" t="s">
        <v>2444</v>
      </c>
    </row>
    <row r="911" spans="1:10" x14ac:dyDescent="0.3">
      <c r="A911" s="32" t="s">
        <v>15</v>
      </c>
      <c r="B911" s="32">
        <f t="shared" si="223"/>
        <v>2058</v>
      </c>
      <c r="C911" s="33" t="s">
        <v>37</v>
      </c>
      <c r="D911" s="34" t="s">
        <v>2002</v>
      </c>
      <c r="E911" s="35" t="str">
        <f t="shared" si="219"/>
        <v>PNP'!</v>
      </c>
      <c r="F911" s="34" t="str">
        <f t="shared" si="220"/>
        <v>C:\Users\jaime.benazar\Quorum Business Solutions\Ecopetrol Prometeo - Documents\Planning Space Implementation\3. Analysis &amp; Design\Design\FC22\DRR Jaime\Neiva CPI\[DINA TERCIARIOS_CF_SEC_New_27-Mar-2024.xlsx]D-PNP'!</v>
      </c>
      <c r="G911" s="32" t="s">
        <v>119</v>
      </c>
      <c r="H911" s="33">
        <f t="shared" si="221"/>
        <v>47</v>
      </c>
      <c r="I911" s="33" t="str">
        <f t="shared" si="222"/>
        <v>='C:\Users\jaime.benazar\Quorum Business Solutions\Ecopetrol Prometeo - Documents\Planning Space Implementation\3. Analysis &amp; Design\Design\FC22\DRR Jaime\Neiva CPI\[DINA TERCIARIOS_CF_SEC_New_27-Mar-2024.xlsx]D-PNP'!$BZ$47</v>
      </c>
      <c r="J911" s="37" t="s">
        <v>2445</v>
      </c>
    </row>
    <row r="912" spans="1:10" x14ac:dyDescent="0.3">
      <c r="A912" s="32" t="s">
        <v>15</v>
      </c>
      <c r="B912" s="32">
        <f t="shared" si="223"/>
        <v>2059</v>
      </c>
      <c r="C912" s="33" t="s">
        <v>37</v>
      </c>
      <c r="D912" s="34" t="s">
        <v>2002</v>
      </c>
      <c r="E912" s="35" t="str">
        <f t="shared" si="219"/>
        <v>PNP'!</v>
      </c>
      <c r="F912" s="34" t="str">
        <f t="shared" si="220"/>
        <v>C:\Users\jaime.benazar\Quorum Business Solutions\Ecopetrol Prometeo - Documents\Planning Space Implementation\3. Analysis &amp; Design\Design\FC22\DRR Jaime\Neiva CPI\[DINA TERCIARIOS_CF_SEC_New_27-Mar-2024.xlsx]D-PNP'!</v>
      </c>
      <c r="G912" s="32" t="s">
        <v>119</v>
      </c>
      <c r="H912" s="33">
        <f t="shared" si="221"/>
        <v>48</v>
      </c>
      <c r="I912" s="33" t="str">
        <f t="shared" si="222"/>
        <v>='C:\Users\jaime.benazar\Quorum Business Solutions\Ecopetrol Prometeo - Documents\Planning Space Implementation\3. Analysis &amp; Design\Design\FC22\DRR Jaime\Neiva CPI\[DINA TERCIARIOS_CF_SEC_New_27-Mar-2024.xlsx]D-PNP'!$BZ$48</v>
      </c>
      <c r="J912" s="37" t="s">
        <v>2446</v>
      </c>
    </row>
    <row r="913" spans="1:10" x14ac:dyDescent="0.3">
      <c r="A913" s="32" t="s">
        <v>26</v>
      </c>
      <c r="B913" s="32"/>
      <c r="C913" s="33" t="s">
        <v>37</v>
      </c>
      <c r="D913" s="34"/>
      <c r="E913" s="35"/>
      <c r="F913" s="34"/>
      <c r="G913" s="32"/>
      <c r="H913" s="33"/>
      <c r="I913" s="33"/>
      <c r="J913" s="33"/>
    </row>
    <row r="914" spans="1:10" x14ac:dyDescent="0.3">
      <c r="A914" s="32" t="s">
        <v>16</v>
      </c>
      <c r="B914" s="32">
        <v>2023</v>
      </c>
      <c r="C914" s="33" t="s">
        <v>37</v>
      </c>
      <c r="D914" s="34" t="s">
        <v>2002</v>
      </c>
      <c r="E914" s="35" t="str">
        <f t="shared" si="203"/>
        <v>PND'!</v>
      </c>
      <c r="F914" s="34" t="str">
        <f t="shared" si="204"/>
        <v>C:\Users\jaime.benazar\Quorum Business Solutions\Ecopetrol Prometeo - Documents\Planning Space Implementation\3. Analysis &amp; Design\Design\FC22\DRR Jaime\Neiva CPI\[DINA TERCIARIOS_CF_SEC_New_27-Mar-2024.xlsx]D-PND'!</v>
      </c>
      <c r="G914" s="32" t="s">
        <v>119</v>
      </c>
      <c r="H914" s="33">
        <v>12</v>
      </c>
      <c r="I914" s="33" t="str">
        <f t="shared" si="206"/>
        <v>='C:\Users\jaime.benazar\Quorum Business Solutions\Ecopetrol Prometeo - Documents\Planning Space Implementation\3. Analysis &amp; Design\Design\FC22\DRR Jaime\Neiva CPI\[DINA TERCIARIOS_CF_SEC_New_27-Mar-2024.xlsx]D-PND'!$BZ$12</v>
      </c>
      <c r="J914" s="37" t="s">
        <v>2447</v>
      </c>
    </row>
    <row r="915" spans="1:10" x14ac:dyDescent="0.3">
      <c r="A915" s="32" t="s">
        <v>16</v>
      </c>
      <c r="B915" s="32">
        <f>+B914+1</f>
        <v>2024</v>
      </c>
      <c r="C915" s="33" t="s">
        <v>37</v>
      </c>
      <c r="D915" s="34" t="s">
        <v>2002</v>
      </c>
      <c r="E915" s="35" t="str">
        <f t="shared" si="203"/>
        <v>PND'!</v>
      </c>
      <c r="F915" s="34" t="str">
        <f t="shared" si="204"/>
        <v>C:\Users\jaime.benazar\Quorum Business Solutions\Ecopetrol Prometeo - Documents\Planning Space Implementation\3. Analysis &amp; Design\Design\FC22\DRR Jaime\Neiva CPI\[DINA TERCIARIOS_CF_SEC_New_27-Mar-2024.xlsx]D-PND'!</v>
      </c>
      <c r="G915" s="32" t="s">
        <v>119</v>
      </c>
      <c r="H915" s="33">
        <f t="shared" ref="H915:H934" si="224">IF(A915&lt;&gt;A914,12,H914+1)</f>
        <v>13</v>
      </c>
      <c r="I915" s="33" t="str">
        <f t="shared" si="206"/>
        <v>='C:\Users\jaime.benazar\Quorum Business Solutions\Ecopetrol Prometeo - Documents\Planning Space Implementation\3. Analysis &amp; Design\Design\FC22\DRR Jaime\Neiva CPI\[DINA TERCIARIOS_CF_SEC_New_27-Mar-2024.xlsx]D-PND'!$BZ$13</v>
      </c>
      <c r="J915" s="37" t="s">
        <v>2448</v>
      </c>
    </row>
    <row r="916" spans="1:10" x14ac:dyDescent="0.3">
      <c r="A916" s="32" t="s">
        <v>16</v>
      </c>
      <c r="B916" s="32">
        <f t="shared" ref="B916:B927" si="225">+B915+1</f>
        <v>2025</v>
      </c>
      <c r="C916" s="33" t="s">
        <v>37</v>
      </c>
      <c r="D916" s="34" t="s">
        <v>2002</v>
      </c>
      <c r="E916" s="35" t="str">
        <f t="shared" si="203"/>
        <v>PND'!</v>
      </c>
      <c r="F916" s="34" t="str">
        <f t="shared" si="204"/>
        <v>C:\Users\jaime.benazar\Quorum Business Solutions\Ecopetrol Prometeo - Documents\Planning Space Implementation\3. Analysis &amp; Design\Design\FC22\DRR Jaime\Neiva CPI\[DINA TERCIARIOS_CF_SEC_New_27-Mar-2024.xlsx]D-PND'!</v>
      </c>
      <c r="G916" s="32" t="s">
        <v>119</v>
      </c>
      <c r="H916" s="33">
        <f t="shared" si="224"/>
        <v>14</v>
      </c>
      <c r="I916" s="33" t="str">
        <f t="shared" si="206"/>
        <v>='C:\Users\jaime.benazar\Quorum Business Solutions\Ecopetrol Prometeo - Documents\Planning Space Implementation\3. Analysis &amp; Design\Design\FC22\DRR Jaime\Neiva CPI\[DINA TERCIARIOS_CF_SEC_New_27-Mar-2024.xlsx]D-PND'!$BZ$14</v>
      </c>
      <c r="J916" s="37" t="s">
        <v>2449</v>
      </c>
    </row>
    <row r="917" spans="1:10" x14ac:dyDescent="0.3">
      <c r="A917" s="32" t="s">
        <v>16</v>
      </c>
      <c r="B917" s="32">
        <f t="shared" si="225"/>
        <v>2026</v>
      </c>
      <c r="C917" s="33" t="s">
        <v>37</v>
      </c>
      <c r="D917" s="34" t="s">
        <v>2002</v>
      </c>
      <c r="E917" s="35" t="str">
        <f t="shared" si="203"/>
        <v>PND'!</v>
      </c>
      <c r="F917" s="34" t="str">
        <f t="shared" si="204"/>
        <v>C:\Users\jaime.benazar\Quorum Business Solutions\Ecopetrol Prometeo - Documents\Planning Space Implementation\3. Analysis &amp; Design\Design\FC22\DRR Jaime\Neiva CPI\[DINA TERCIARIOS_CF_SEC_New_27-Mar-2024.xlsx]D-PND'!</v>
      </c>
      <c r="G917" s="32" t="s">
        <v>119</v>
      </c>
      <c r="H917" s="33">
        <f t="shared" si="224"/>
        <v>15</v>
      </c>
      <c r="I917" s="33" t="str">
        <f t="shared" si="206"/>
        <v>='C:\Users\jaime.benazar\Quorum Business Solutions\Ecopetrol Prometeo - Documents\Planning Space Implementation\3. Analysis &amp; Design\Design\FC22\DRR Jaime\Neiva CPI\[DINA TERCIARIOS_CF_SEC_New_27-Mar-2024.xlsx]D-PND'!$BZ$15</v>
      </c>
      <c r="J917" s="37" t="s">
        <v>2450</v>
      </c>
    </row>
    <row r="918" spans="1:10" x14ac:dyDescent="0.3">
      <c r="A918" s="32" t="s">
        <v>16</v>
      </c>
      <c r="B918" s="32">
        <f t="shared" si="225"/>
        <v>2027</v>
      </c>
      <c r="C918" s="33" t="s">
        <v>37</v>
      </c>
      <c r="D918" s="34" t="s">
        <v>2002</v>
      </c>
      <c r="E918" s="35" t="str">
        <f t="shared" si="203"/>
        <v>PND'!</v>
      </c>
      <c r="F918" s="34" t="str">
        <f t="shared" si="204"/>
        <v>C:\Users\jaime.benazar\Quorum Business Solutions\Ecopetrol Prometeo - Documents\Planning Space Implementation\3. Analysis &amp; Design\Design\FC22\DRR Jaime\Neiva CPI\[DINA TERCIARIOS_CF_SEC_New_27-Mar-2024.xlsx]D-PND'!</v>
      </c>
      <c r="G918" s="32" t="s">
        <v>119</v>
      </c>
      <c r="H918" s="33">
        <f t="shared" si="224"/>
        <v>16</v>
      </c>
      <c r="I918" s="33" t="str">
        <f t="shared" si="206"/>
        <v>='C:\Users\jaime.benazar\Quorum Business Solutions\Ecopetrol Prometeo - Documents\Planning Space Implementation\3. Analysis &amp; Design\Design\FC22\DRR Jaime\Neiva CPI\[DINA TERCIARIOS_CF_SEC_New_27-Mar-2024.xlsx]D-PND'!$BZ$16</v>
      </c>
      <c r="J918" s="37" t="s">
        <v>2451</v>
      </c>
    </row>
    <row r="919" spans="1:10" x14ac:dyDescent="0.3">
      <c r="A919" s="32" t="s">
        <v>16</v>
      </c>
      <c r="B919" s="32">
        <f t="shared" si="225"/>
        <v>2028</v>
      </c>
      <c r="C919" s="33" t="s">
        <v>37</v>
      </c>
      <c r="D919" s="34" t="s">
        <v>2002</v>
      </c>
      <c r="E919" s="35" t="str">
        <f t="shared" si="203"/>
        <v>PND'!</v>
      </c>
      <c r="F919" s="34" t="str">
        <f t="shared" si="204"/>
        <v>C:\Users\jaime.benazar\Quorum Business Solutions\Ecopetrol Prometeo - Documents\Planning Space Implementation\3. Analysis &amp; Design\Design\FC22\DRR Jaime\Neiva CPI\[DINA TERCIARIOS_CF_SEC_New_27-Mar-2024.xlsx]D-PND'!</v>
      </c>
      <c r="G919" s="32" t="s">
        <v>119</v>
      </c>
      <c r="H919" s="33">
        <f t="shared" si="224"/>
        <v>17</v>
      </c>
      <c r="I919" s="33" t="str">
        <f t="shared" si="206"/>
        <v>='C:\Users\jaime.benazar\Quorum Business Solutions\Ecopetrol Prometeo - Documents\Planning Space Implementation\3. Analysis &amp; Design\Design\FC22\DRR Jaime\Neiva CPI\[DINA TERCIARIOS_CF_SEC_New_27-Mar-2024.xlsx]D-PND'!$BZ$17</v>
      </c>
      <c r="J919" s="37" t="s">
        <v>2452</v>
      </c>
    </row>
    <row r="920" spans="1:10" x14ac:dyDescent="0.3">
      <c r="A920" s="32" t="s">
        <v>16</v>
      </c>
      <c r="B920" s="32">
        <f t="shared" si="225"/>
        <v>2029</v>
      </c>
      <c r="C920" s="33" t="s">
        <v>37</v>
      </c>
      <c r="D920" s="34" t="s">
        <v>2002</v>
      </c>
      <c r="E920" s="35" t="str">
        <f t="shared" si="203"/>
        <v>PND'!</v>
      </c>
      <c r="F920" s="34" t="str">
        <f t="shared" si="204"/>
        <v>C:\Users\jaime.benazar\Quorum Business Solutions\Ecopetrol Prometeo - Documents\Planning Space Implementation\3. Analysis &amp; Design\Design\FC22\DRR Jaime\Neiva CPI\[DINA TERCIARIOS_CF_SEC_New_27-Mar-2024.xlsx]D-PND'!</v>
      </c>
      <c r="G920" s="32" t="s">
        <v>119</v>
      </c>
      <c r="H920" s="33">
        <f t="shared" si="224"/>
        <v>18</v>
      </c>
      <c r="I920" s="33" t="str">
        <f t="shared" si="206"/>
        <v>='C:\Users\jaime.benazar\Quorum Business Solutions\Ecopetrol Prometeo - Documents\Planning Space Implementation\3. Analysis &amp; Design\Design\FC22\DRR Jaime\Neiva CPI\[DINA TERCIARIOS_CF_SEC_New_27-Mar-2024.xlsx]D-PND'!$BZ$18</v>
      </c>
      <c r="J920" s="37" t="s">
        <v>2453</v>
      </c>
    </row>
    <row r="921" spans="1:10" x14ac:dyDescent="0.3">
      <c r="A921" s="32" t="s">
        <v>16</v>
      </c>
      <c r="B921" s="32">
        <f t="shared" si="225"/>
        <v>2030</v>
      </c>
      <c r="C921" s="33" t="s">
        <v>37</v>
      </c>
      <c r="D921" s="34" t="s">
        <v>2002</v>
      </c>
      <c r="E921" s="35" t="str">
        <f t="shared" si="203"/>
        <v>PND'!</v>
      </c>
      <c r="F921" s="34" t="str">
        <f t="shared" si="204"/>
        <v>C:\Users\jaime.benazar\Quorum Business Solutions\Ecopetrol Prometeo - Documents\Planning Space Implementation\3. Analysis &amp; Design\Design\FC22\DRR Jaime\Neiva CPI\[DINA TERCIARIOS_CF_SEC_New_27-Mar-2024.xlsx]D-PND'!</v>
      </c>
      <c r="G921" s="32" t="s">
        <v>119</v>
      </c>
      <c r="H921" s="33">
        <f t="shared" si="224"/>
        <v>19</v>
      </c>
      <c r="I921" s="33" t="str">
        <f t="shared" si="206"/>
        <v>='C:\Users\jaime.benazar\Quorum Business Solutions\Ecopetrol Prometeo - Documents\Planning Space Implementation\3. Analysis &amp; Design\Design\FC22\DRR Jaime\Neiva CPI\[DINA TERCIARIOS_CF_SEC_New_27-Mar-2024.xlsx]D-PND'!$BZ$19</v>
      </c>
      <c r="J921" s="37" t="s">
        <v>2454</v>
      </c>
    </row>
    <row r="922" spans="1:10" x14ac:dyDescent="0.3">
      <c r="A922" s="32" t="s">
        <v>16</v>
      </c>
      <c r="B922" s="32">
        <f t="shared" si="225"/>
        <v>2031</v>
      </c>
      <c r="C922" s="33" t="s">
        <v>37</v>
      </c>
      <c r="D922" s="34" t="s">
        <v>2002</v>
      </c>
      <c r="E922" s="35" t="str">
        <f t="shared" si="203"/>
        <v>PND'!</v>
      </c>
      <c r="F922" s="34" t="str">
        <f t="shared" si="204"/>
        <v>C:\Users\jaime.benazar\Quorum Business Solutions\Ecopetrol Prometeo - Documents\Planning Space Implementation\3. Analysis &amp; Design\Design\FC22\DRR Jaime\Neiva CPI\[DINA TERCIARIOS_CF_SEC_New_27-Mar-2024.xlsx]D-PND'!</v>
      </c>
      <c r="G922" s="32" t="s">
        <v>119</v>
      </c>
      <c r="H922" s="33">
        <f t="shared" si="224"/>
        <v>20</v>
      </c>
      <c r="I922" s="33" t="str">
        <f t="shared" si="206"/>
        <v>='C:\Users\jaime.benazar\Quorum Business Solutions\Ecopetrol Prometeo - Documents\Planning Space Implementation\3. Analysis &amp; Design\Design\FC22\DRR Jaime\Neiva CPI\[DINA TERCIARIOS_CF_SEC_New_27-Mar-2024.xlsx]D-PND'!$BZ$20</v>
      </c>
      <c r="J922" s="37" t="s">
        <v>2455</v>
      </c>
    </row>
    <row r="923" spans="1:10" x14ac:dyDescent="0.3">
      <c r="A923" s="32" t="s">
        <v>16</v>
      </c>
      <c r="B923" s="32">
        <f t="shared" si="225"/>
        <v>2032</v>
      </c>
      <c r="C923" s="33" t="s">
        <v>37</v>
      </c>
      <c r="D923" s="34" t="s">
        <v>2002</v>
      </c>
      <c r="E923" s="35" t="str">
        <f t="shared" si="203"/>
        <v>PND'!</v>
      </c>
      <c r="F923" s="34" t="str">
        <f t="shared" si="204"/>
        <v>C:\Users\jaime.benazar\Quorum Business Solutions\Ecopetrol Prometeo - Documents\Planning Space Implementation\3. Analysis &amp; Design\Design\FC22\DRR Jaime\Neiva CPI\[DINA TERCIARIOS_CF_SEC_New_27-Mar-2024.xlsx]D-PND'!</v>
      </c>
      <c r="G923" s="32" t="s">
        <v>119</v>
      </c>
      <c r="H923" s="33">
        <f t="shared" si="224"/>
        <v>21</v>
      </c>
      <c r="I923" s="33" t="str">
        <f t="shared" si="206"/>
        <v>='C:\Users\jaime.benazar\Quorum Business Solutions\Ecopetrol Prometeo - Documents\Planning Space Implementation\3. Analysis &amp; Design\Design\FC22\DRR Jaime\Neiva CPI\[DINA TERCIARIOS_CF_SEC_New_27-Mar-2024.xlsx]D-PND'!$BZ$21</v>
      </c>
      <c r="J923" s="37" t="s">
        <v>2456</v>
      </c>
    </row>
    <row r="924" spans="1:10" x14ac:dyDescent="0.3">
      <c r="A924" s="32" t="s">
        <v>16</v>
      </c>
      <c r="B924" s="32">
        <f t="shared" si="225"/>
        <v>2033</v>
      </c>
      <c r="C924" s="33" t="s">
        <v>37</v>
      </c>
      <c r="D924" s="34" t="s">
        <v>2002</v>
      </c>
      <c r="E924" s="35" t="str">
        <f t="shared" si="203"/>
        <v>PND'!</v>
      </c>
      <c r="F924" s="34" t="str">
        <f t="shared" si="204"/>
        <v>C:\Users\jaime.benazar\Quorum Business Solutions\Ecopetrol Prometeo - Documents\Planning Space Implementation\3. Analysis &amp; Design\Design\FC22\DRR Jaime\Neiva CPI\[DINA TERCIARIOS_CF_SEC_New_27-Mar-2024.xlsx]D-PND'!</v>
      </c>
      <c r="G924" s="32" t="s">
        <v>119</v>
      </c>
      <c r="H924" s="33">
        <f t="shared" si="224"/>
        <v>22</v>
      </c>
      <c r="I924" s="33" t="str">
        <f t="shared" si="206"/>
        <v>='C:\Users\jaime.benazar\Quorum Business Solutions\Ecopetrol Prometeo - Documents\Planning Space Implementation\3. Analysis &amp; Design\Design\FC22\DRR Jaime\Neiva CPI\[DINA TERCIARIOS_CF_SEC_New_27-Mar-2024.xlsx]D-PND'!$BZ$22</v>
      </c>
      <c r="J924" s="37" t="s">
        <v>2457</v>
      </c>
    </row>
    <row r="925" spans="1:10" x14ac:dyDescent="0.3">
      <c r="A925" s="32" t="s">
        <v>16</v>
      </c>
      <c r="B925" s="32">
        <f t="shared" si="225"/>
        <v>2034</v>
      </c>
      <c r="C925" s="33" t="s">
        <v>37</v>
      </c>
      <c r="D925" s="34" t="s">
        <v>2002</v>
      </c>
      <c r="E925" s="35" t="str">
        <f t="shared" si="203"/>
        <v>PND'!</v>
      </c>
      <c r="F925" s="34" t="str">
        <f t="shared" si="204"/>
        <v>C:\Users\jaime.benazar\Quorum Business Solutions\Ecopetrol Prometeo - Documents\Planning Space Implementation\3. Analysis &amp; Design\Design\FC22\DRR Jaime\Neiva CPI\[DINA TERCIARIOS_CF_SEC_New_27-Mar-2024.xlsx]D-PND'!</v>
      </c>
      <c r="G925" s="32" t="s">
        <v>119</v>
      </c>
      <c r="H925" s="33">
        <f t="shared" si="224"/>
        <v>23</v>
      </c>
      <c r="I925" s="33" t="str">
        <f t="shared" si="206"/>
        <v>='C:\Users\jaime.benazar\Quorum Business Solutions\Ecopetrol Prometeo - Documents\Planning Space Implementation\3. Analysis &amp; Design\Design\FC22\DRR Jaime\Neiva CPI\[DINA TERCIARIOS_CF_SEC_New_27-Mar-2024.xlsx]D-PND'!$BZ$23</v>
      </c>
      <c r="J925" s="37" t="s">
        <v>2458</v>
      </c>
    </row>
    <row r="926" spans="1:10" x14ac:dyDescent="0.3">
      <c r="A926" s="32" t="s">
        <v>16</v>
      </c>
      <c r="B926" s="32">
        <f t="shared" si="225"/>
        <v>2035</v>
      </c>
      <c r="C926" s="33" t="s">
        <v>37</v>
      </c>
      <c r="D926" s="34" t="s">
        <v>2002</v>
      </c>
      <c r="E926" s="35" t="str">
        <f t="shared" si="203"/>
        <v>PND'!</v>
      </c>
      <c r="F926" s="34" t="str">
        <f t="shared" si="204"/>
        <v>C:\Users\jaime.benazar\Quorum Business Solutions\Ecopetrol Prometeo - Documents\Planning Space Implementation\3. Analysis &amp; Design\Design\FC22\DRR Jaime\Neiva CPI\[DINA TERCIARIOS_CF_SEC_New_27-Mar-2024.xlsx]D-PND'!</v>
      </c>
      <c r="G926" s="32" t="s">
        <v>119</v>
      </c>
      <c r="H926" s="33">
        <f t="shared" si="224"/>
        <v>24</v>
      </c>
      <c r="I926" s="33" t="str">
        <f t="shared" si="206"/>
        <v>='C:\Users\jaime.benazar\Quorum Business Solutions\Ecopetrol Prometeo - Documents\Planning Space Implementation\3. Analysis &amp; Design\Design\FC22\DRR Jaime\Neiva CPI\[DINA TERCIARIOS_CF_SEC_New_27-Mar-2024.xlsx]D-PND'!$BZ$24</v>
      </c>
      <c r="J926" s="37" t="s">
        <v>2459</v>
      </c>
    </row>
    <row r="927" spans="1:10" x14ac:dyDescent="0.3">
      <c r="A927" s="32" t="s">
        <v>16</v>
      </c>
      <c r="B927" s="32">
        <f t="shared" si="225"/>
        <v>2036</v>
      </c>
      <c r="C927" s="33" t="s">
        <v>37</v>
      </c>
      <c r="D927" s="34" t="s">
        <v>2002</v>
      </c>
      <c r="E927" s="35" t="str">
        <f t="shared" si="203"/>
        <v>PND'!</v>
      </c>
      <c r="F927" s="34" t="str">
        <f t="shared" si="204"/>
        <v>C:\Users\jaime.benazar\Quorum Business Solutions\Ecopetrol Prometeo - Documents\Planning Space Implementation\3. Analysis &amp; Design\Design\FC22\DRR Jaime\Neiva CPI\[DINA TERCIARIOS_CF_SEC_New_27-Mar-2024.xlsx]D-PND'!</v>
      </c>
      <c r="G927" s="32" t="s">
        <v>119</v>
      </c>
      <c r="H927" s="33">
        <f t="shared" si="224"/>
        <v>25</v>
      </c>
      <c r="I927" s="33" t="str">
        <f t="shared" si="206"/>
        <v>='C:\Users\jaime.benazar\Quorum Business Solutions\Ecopetrol Prometeo - Documents\Planning Space Implementation\3. Analysis &amp; Design\Design\FC22\DRR Jaime\Neiva CPI\[DINA TERCIARIOS_CF_SEC_New_27-Mar-2024.xlsx]D-PND'!$BZ$25</v>
      </c>
      <c r="J927" s="37" t="s">
        <v>2460</v>
      </c>
    </row>
    <row r="928" spans="1:10" x14ac:dyDescent="0.3">
      <c r="A928" s="32" t="s">
        <v>16</v>
      </c>
      <c r="B928" s="32">
        <f>+B927+1</f>
        <v>2037</v>
      </c>
      <c r="C928" s="33" t="s">
        <v>37</v>
      </c>
      <c r="D928" s="34" t="s">
        <v>2002</v>
      </c>
      <c r="E928" s="35" t="str">
        <f t="shared" si="203"/>
        <v>PND'!</v>
      </c>
      <c r="F928" s="34" t="str">
        <f t="shared" si="204"/>
        <v>C:\Users\jaime.benazar\Quorum Business Solutions\Ecopetrol Prometeo - Documents\Planning Space Implementation\3. Analysis &amp; Design\Design\FC22\DRR Jaime\Neiva CPI\[DINA TERCIARIOS_CF_SEC_New_27-Mar-2024.xlsx]D-PND'!</v>
      </c>
      <c r="G928" s="32" t="s">
        <v>119</v>
      </c>
      <c r="H928" s="33">
        <f t="shared" si="224"/>
        <v>26</v>
      </c>
      <c r="I928" s="33" t="str">
        <f t="shared" si="206"/>
        <v>='C:\Users\jaime.benazar\Quorum Business Solutions\Ecopetrol Prometeo - Documents\Planning Space Implementation\3. Analysis &amp; Design\Design\FC22\DRR Jaime\Neiva CPI\[DINA TERCIARIOS_CF_SEC_New_27-Mar-2024.xlsx]D-PND'!$BZ$26</v>
      </c>
      <c r="J928" s="37" t="s">
        <v>2461</v>
      </c>
    </row>
    <row r="929" spans="1:10" x14ac:dyDescent="0.3">
      <c r="A929" s="32" t="s">
        <v>16</v>
      </c>
      <c r="B929" s="32">
        <f t="shared" ref="B929:B931" si="226">+B928+1</f>
        <v>2038</v>
      </c>
      <c r="C929" s="33" t="s">
        <v>37</v>
      </c>
      <c r="D929" s="34" t="s">
        <v>2002</v>
      </c>
      <c r="E929" s="35" t="str">
        <f t="shared" si="203"/>
        <v>PND'!</v>
      </c>
      <c r="F929" s="34" t="str">
        <f t="shared" si="204"/>
        <v>C:\Users\jaime.benazar\Quorum Business Solutions\Ecopetrol Prometeo - Documents\Planning Space Implementation\3. Analysis &amp; Design\Design\FC22\DRR Jaime\Neiva CPI\[DINA TERCIARIOS_CF_SEC_New_27-Mar-2024.xlsx]D-PND'!</v>
      </c>
      <c r="G929" s="32" t="s">
        <v>119</v>
      </c>
      <c r="H929" s="33">
        <f t="shared" si="224"/>
        <v>27</v>
      </c>
      <c r="I929" s="33" t="str">
        <f t="shared" si="206"/>
        <v>='C:\Users\jaime.benazar\Quorum Business Solutions\Ecopetrol Prometeo - Documents\Planning Space Implementation\3. Analysis &amp; Design\Design\FC22\DRR Jaime\Neiva CPI\[DINA TERCIARIOS_CF_SEC_New_27-Mar-2024.xlsx]D-PND'!$BZ$27</v>
      </c>
      <c r="J929" s="37" t="s">
        <v>2462</v>
      </c>
    </row>
    <row r="930" spans="1:10" x14ac:dyDescent="0.3">
      <c r="A930" s="32" t="s">
        <v>16</v>
      </c>
      <c r="B930" s="32">
        <f t="shared" si="226"/>
        <v>2039</v>
      </c>
      <c r="C930" s="33" t="s">
        <v>37</v>
      </c>
      <c r="D930" s="34" t="s">
        <v>2002</v>
      </c>
      <c r="E930" s="35" t="str">
        <f t="shared" si="203"/>
        <v>PND'!</v>
      </c>
      <c r="F930" s="34" t="str">
        <f t="shared" si="204"/>
        <v>C:\Users\jaime.benazar\Quorum Business Solutions\Ecopetrol Prometeo - Documents\Planning Space Implementation\3. Analysis &amp; Design\Design\FC22\DRR Jaime\Neiva CPI\[DINA TERCIARIOS_CF_SEC_New_27-Mar-2024.xlsx]D-PND'!</v>
      </c>
      <c r="G930" s="32" t="s">
        <v>119</v>
      </c>
      <c r="H930" s="33">
        <f t="shared" si="224"/>
        <v>28</v>
      </c>
      <c r="I930" s="33" t="str">
        <f t="shared" si="206"/>
        <v>='C:\Users\jaime.benazar\Quorum Business Solutions\Ecopetrol Prometeo - Documents\Planning Space Implementation\3. Analysis &amp; Design\Design\FC22\DRR Jaime\Neiva CPI\[DINA TERCIARIOS_CF_SEC_New_27-Mar-2024.xlsx]D-PND'!$BZ$28</v>
      </c>
      <c r="J930" s="37" t="s">
        <v>2463</v>
      </c>
    </row>
    <row r="931" spans="1:10" x14ac:dyDescent="0.3">
      <c r="A931" s="32" t="s">
        <v>16</v>
      </c>
      <c r="B931" s="32">
        <f t="shared" si="226"/>
        <v>2040</v>
      </c>
      <c r="C931" s="33" t="s">
        <v>37</v>
      </c>
      <c r="D931" s="34" t="s">
        <v>2002</v>
      </c>
      <c r="E931" s="35" t="str">
        <f t="shared" si="203"/>
        <v>PND'!</v>
      </c>
      <c r="F931" s="34" t="str">
        <f t="shared" si="204"/>
        <v>C:\Users\jaime.benazar\Quorum Business Solutions\Ecopetrol Prometeo - Documents\Planning Space Implementation\3. Analysis &amp; Design\Design\FC22\DRR Jaime\Neiva CPI\[DINA TERCIARIOS_CF_SEC_New_27-Mar-2024.xlsx]D-PND'!</v>
      </c>
      <c r="G931" s="32" t="s">
        <v>119</v>
      </c>
      <c r="H931" s="33">
        <f t="shared" si="224"/>
        <v>29</v>
      </c>
      <c r="I931" s="33" t="str">
        <f t="shared" si="206"/>
        <v>='C:\Users\jaime.benazar\Quorum Business Solutions\Ecopetrol Prometeo - Documents\Planning Space Implementation\3. Analysis &amp; Design\Design\FC22\DRR Jaime\Neiva CPI\[DINA TERCIARIOS_CF_SEC_New_27-Mar-2024.xlsx]D-PND'!$BZ$29</v>
      </c>
      <c r="J931" s="37" t="s">
        <v>2464</v>
      </c>
    </row>
    <row r="932" spans="1:10" x14ac:dyDescent="0.3">
      <c r="A932" s="32" t="s">
        <v>16</v>
      </c>
      <c r="B932" s="32">
        <f>+B931+1</f>
        <v>2041</v>
      </c>
      <c r="C932" s="33" t="s">
        <v>37</v>
      </c>
      <c r="D932" s="34" t="s">
        <v>2002</v>
      </c>
      <c r="E932" s="35" t="str">
        <f t="shared" si="203"/>
        <v>PND'!</v>
      </c>
      <c r="F932" s="34" t="str">
        <f t="shared" si="204"/>
        <v>C:\Users\jaime.benazar\Quorum Business Solutions\Ecopetrol Prometeo - Documents\Planning Space Implementation\3. Analysis &amp; Design\Design\FC22\DRR Jaime\Neiva CPI\[DINA TERCIARIOS_CF_SEC_New_27-Mar-2024.xlsx]D-PND'!</v>
      </c>
      <c r="G932" s="32" t="s">
        <v>119</v>
      </c>
      <c r="H932" s="33">
        <f t="shared" si="224"/>
        <v>30</v>
      </c>
      <c r="I932" s="33" t="str">
        <f t="shared" si="206"/>
        <v>='C:\Users\jaime.benazar\Quorum Business Solutions\Ecopetrol Prometeo - Documents\Planning Space Implementation\3. Analysis &amp; Design\Design\FC22\DRR Jaime\Neiva CPI\[DINA TERCIARIOS_CF_SEC_New_27-Mar-2024.xlsx]D-PND'!$BZ$30</v>
      </c>
      <c r="J932" s="37" t="s">
        <v>2465</v>
      </c>
    </row>
    <row r="933" spans="1:10" x14ac:dyDescent="0.3">
      <c r="A933" s="32" t="s">
        <v>16</v>
      </c>
      <c r="B933" s="32">
        <f t="shared" ref="B933:B934" si="227">+B932+1</f>
        <v>2042</v>
      </c>
      <c r="C933" s="33" t="s">
        <v>37</v>
      </c>
      <c r="D933" s="34" t="s">
        <v>2002</v>
      </c>
      <c r="E933" s="35" t="str">
        <f t="shared" ref="E933:E1238" si="228">_xlfn.CONCAT(A933,"'!")</f>
        <v>PND'!</v>
      </c>
      <c r="F933" s="34" t="str">
        <f t="shared" ref="F933:F1238" si="229">_xlfn.CONCAT(D933:E933)</f>
        <v>C:\Users\jaime.benazar\Quorum Business Solutions\Ecopetrol Prometeo - Documents\Planning Space Implementation\3. Analysis &amp; Design\Design\FC22\DRR Jaime\Neiva CPI\[DINA TERCIARIOS_CF_SEC_New_27-Mar-2024.xlsx]D-PND'!</v>
      </c>
      <c r="G933" s="32" t="s">
        <v>119</v>
      </c>
      <c r="H933" s="33">
        <f t="shared" si="224"/>
        <v>31</v>
      </c>
      <c r="I933" s="33" t="str">
        <f t="shared" ref="I933:I1238" si="230">_xlfn.CONCAT("='",F933:H933)</f>
        <v>='C:\Users\jaime.benazar\Quorum Business Solutions\Ecopetrol Prometeo - Documents\Planning Space Implementation\3. Analysis &amp; Design\Design\FC22\DRR Jaime\Neiva CPI\[DINA TERCIARIOS_CF_SEC_New_27-Mar-2024.xlsx]D-PND'!$BZ$31</v>
      </c>
      <c r="J933" s="37" t="s">
        <v>2466</v>
      </c>
    </row>
    <row r="934" spans="1:10" x14ac:dyDescent="0.3">
      <c r="A934" s="32" t="s">
        <v>16</v>
      </c>
      <c r="B934" s="32">
        <f t="shared" si="227"/>
        <v>2043</v>
      </c>
      <c r="C934" s="33" t="s">
        <v>37</v>
      </c>
      <c r="D934" s="34" t="s">
        <v>2002</v>
      </c>
      <c r="E934" s="35" t="str">
        <f t="shared" si="228"/>
        <v>PND'!</v>
      </c>
      <c r="F934" s="34" t="str">
        <f t="shared" si="229"/>
        <v>C:\Users\jaime.benazar\Quorum Business Solutions\Ecopetrol Prometeo - Documents\Planning Space Implementation\3. Analysis &amp; Design\Design\FC22\DRR Jaime\Neiva CPI\[DINA TERCIARIOS_CF_SEC_New_27-Mar-2024.xlsx]D-PND'!</v>
      </c>
      <c r="G934" s="32" t="s">
        <v>119</v>
      </c>
      <c r="H934" s="33">
        <f t="shared" si="224"/>
        <v>32</v>
      </c>
      <c r="I934" s="33" t="str">
        <f t="shared" si="230"/>
        <v>='C:\Users\jaime.benazar\Quorum Business Solutions\Ecopetrol Prometeo - Documents\Planning Space Implementation\3. Analysis &amp; Design\Design\FC22\DRR Jaime\Neiva CPI\[DINA TERCIARIOS_CF_SEC_New_27-Mar-2024.xlsx]D-PND'!$BZ$32</v>
      </c>
      <c r="J934" s="37" t="s">
        <v>2467</v>
      </c>
    </row>
    <row r="935" spans="1:10" x14ac:dyDescent="0.3">
      <c r="A935" s="32" t="s">
        <v>16</v>
      </c>
      <c r="B935" s="32">
        <f>+B934+1</f>
        <v>2044</v>
      </c>
      <c r="C935" s="33" t="s">
        <v>37</v>
      </c>
      <c r="D935" s="34" t="s">
        <v>2002</v>
      </c>
      <c r="E935" s="35" t="str">
        <f t="shared" ref="E935:E950" si="231">_xlfn.CONCAT(A935,"'!")</f>
        <v>PND'!</v>
      </c>
      <c r="F935" s="34" t="str">
        <f t="shared" ref="F935:F950" si="232">_xlfn.CONCAT(D935:E935)</f>
        <v>C:\Users\jaime.benazar\Quorum Business Solutions\Ecopetrol Prometeo - Documents\Planning Space Implementation\3. Analysis &amp; Design\Design\FC22\DRR Jaime\Neiva CPI\[DINA TERCIARIOS_CF_SEC_New_27-Mar-2024.xlsx]D-PND'!</v>
      </c>
      <c r="G935" s="32" t="s">
        <v>119</v>
      </c>
      <c r="H935" s="33">
        <f t="shared" ref="H935:H950" si="233">IF(A935&lt;&gt;A934,12,H934+1)</f>
        <v>33</v>
      </c>
      <c r="I935" s="33" t="str">
        <f t="shared" ref="I935:I950" si="234">_xlfn.CONCAT("='",F935:H935)</f>
        <v>='C:\Users\jaime.benazar\Quorum Business Solutions\Ecopetrol Prometeo - Documents\Planning Space Implementation\3. Analysis &amp; Design\Design\FC22\DRR Jaime\Neiva CPI\[DINA TERCIARIOS_CF_SEC_New_27-Mar-2024.xlsx]D-PND'!$BZ$33</v>
      </c>
      <c r="J935" s="37" t="s">
        <v>2468</v>
      </c>
    </row>
    <row r="936" spans="1:10" x14ac:dyDescent="0.3">
      <c r="A936" s="32" t="s">
        <v>16</v>
      </c>
      <c r="B936" s="32">
        <f t="shared" ref="B936:B950" si="235">+B935+1</f>
        <v>2045</v>
      </c>
      <c r="C936" s="33" t="s">
        <v>37</v>
      </c>
      <c r="D936" s="34" t="s">
        <v>2002</v>
      </c>
      <c r="E936" s="35" t="str">
        <f t="shared" si="231"/>
        <v>PND'!</v>
      </c>
      <c r="F936" s="34" t="str">
        <f t="shared" si="232"/>
        <v>C:\Users\jaime.benazar\Quorum Business Solutions\Ecopetrol Prometeo - Documents\Planning Space Implementation\3. Analysis &amp; Design\Design\FC22\DRR Jaime\Neiva CPI\[DINA TERCIARIOS_CF_SEC_New_27-Mar-2024.xlsx]D-PND'!</v>
      </c>
      <c r="G936" s="32" t="s">
        <v>119</v>
      </c>
      <c r="H936" s="33">
        <f t="shared" si="233"/>
        <v>34</v>
      </c>
      <c r="I936" s="33" t="str">
        <f t="shared" si="234"/>
        <v>='C:\Users\jaime.benazar\Quorum Business Solutions\Ecopetrol Prometeo - Documents\Planning Space Implementation\3. Analysis &amp; Design\Design\FC22\DRR Jaime\Neiva CPI\[DINA TERCIARIOS_CF_SEC_New_27-Mar-2024.xlsx]D-PND'!$BZ$34</v>
      </c>
      <c r="J936" s="37" t="s">
        <v>2469</v>
      </c>
    </row>
    <row r="937" spans="1:10" x14ac:dyDescent="0.3">
      <c r="A937" s="32" t="s">
        <v>16</v>
      </c>
      <c r="B937" s="32">
        <f t="shared" si="235"/>
        <v>2046</v>
      </c>
      <c r="C937" s="33" t="s">
        <v>37</v>
      </c>
      <c r="D937" s="34" t="s">
        <v>2002</v>
      </c>
      <c r="E937" s="35" t="str">
        <f t="shared" si="231"/>
        <v>PND'!</v>
      </c>
      <c r="F937" s="34" t="str">
        <f t="shared" si="232"/>
        <v>C:\Users\jaime.benazar\Quorum Business Solutions\Ecopetrol Prometeo - Documents\Planning Space Implementation\3. Analysis &amp; Design\Design\FC22\DRR Jaime\Neiva CPI\[DINA TERCIARIOS_CF_SEC_New_27-Mar-2024.xlsx]D-PND'!</v>
      </c>
      <c r="G937" s="32" t="s">
        <v>119</v>
      </c>
      <c r="H937" s="33">
        <f t="shared" si="233"/>
        <v>35</v>
      </c>
      <c r="I937" s="33" t="str">
        <f t="shared" si="234"/>
        <v>='C:\Users\jaime.benazar\Quorum Business Solutions\Ecopetrol Prometeo - Documents\Planning Space Implementation\3. Analysis &amp; Design\Design\FC22\DRR Jaime\Neiva CPI\[DINA TERCIARIOS_CF_SEC_New_27-Mar-2024.xlsx]D-PND'!$BZ$35</v>
      </c>
      <c r="J937" s="37" t="s">
        <v>2470</v>
      </c>
    </row>
    <row r="938" spans="1:10" x14ac:dyDescent="0.3">
      <c r="A938" s="32" t="s">
        <v>16</v>
      </c>
      <c r="B938" s="32">
        <f t="shared" si="235"/>
        <v>2047</v>
      </c>
      <c r="C938" s="33" t="s">
        <v>37</v>
      </c>
      <c r="D938" s="34" t="s">
        <v>2002</v>
      </c>
      <c r="E938" s="35" t="str">
        <f t="shared" si="231"/>
        <v>PND'!</v>
      </c>
      <c r="F938" s="34" t="str">
        <f t="shared" si="232"/>
        <v>C:\Users\jaime.benazar\Quorum Business Solutions\Ecopetrol Prometeo - Documents\Planning Space Implementation\3. Analysis &amp; Design\Design\FC22\DRR Jaime\Neiva CPI\[DINA TERCIARIOS_CF_SEC_New_27-Mar-2024.xlsx]D-PND'!</v>
      </c>
      <c r="G938" s="32" t="s">
        <v>119</v>
      </c>
      <c r="H938" s="33">
        <f t="shared" si="233"/>
        <v>36</v>
      </c>
      <c r="I938" s="33" t="str">
        <f t="shared" si="234"/>
        <v>='C:\Users\jaime.benazar\Quorum Business Solutions\Ecopetrol Prometeo - Documents\Planning Space Implementation\3. Analysis &amp; Design\Design\FC22\DRR Jaime\Neiva CPI\[DINA TERCIARIOS_CF_SEC_New_27-Mar-2024.xlsx]D-PND'!$BZ$36</v>
      </c>
      <c r="J938" s="37" t="s">
        <v>2471</v>
      </c>
    </row>
    <row r="939" spans="1:10" x14ac:dyDescent="0.3">
      <c r="A939" s="32" t="s">
        <v>16</v>
      </c>
      <c r="B939" s="32">
        <f t="shared" si="235"/>
        <v>2048</v>
      </c>
      <c r="C939" s="33" t="s">
        <v>37</v>
      </c>
      <c r="D939" s="34" t="s">
        <v>2002</v>
      </c>
      <c r="E939" s="35" t="str">
        <f t="shared" si="231"/>
        <v>PND'!</v>
      </c>
      <c r="F939" s="34" t="str">
        <f t="shared" si="232"/>
        <v>C:\Users\jaime.benazar\Quorum Business Solutions\Ecopetrol Prometeo - Documents\Planning Space Implementation\3. Analysis &amp; Design\Design\FC22\DRR Jaime\Neiva CPI\[DINA TERCIARIOS_CF_SEC_New_27-Mar-2024.xlsx]D-PND'!</v>
      </c>
      <c r="G939" s="32" t="s">
        <v>119</v>
      </c>
      <c r="H939" s="33">
        <f t="shared" si="233"/>
        <v>37</v>
      </c>
      <c r="I939" s="33" t="str">
        <f t="shared" si="234"/>
        <v>='C:\Users\jaime.benazar\Quorum Business Solutions\Ecopetrol Prometeo - Documents\Planning Space Implementation\3. Analysis &amp; Design\Design\FC22\DRR Jaime\Neiva CPI\[DINA TERCIARIOS_CF_SEC_New_27-Mar-2024.xlsx]D-PND'!$BZ$37</v>
      </c>
      <c r="J939" s="37" t="s">
        <v>2472</v>
      </c>
    </row>
    <row r="940" spans="1:10" x14ac:dyDescent="0.3">
      <c r="A940" s="32" t="s">
        <v>16</v>
      </c>
      <c r="B940" s="32">
        <f t="shared" si="235"/>
        <v>2049</v>
      </c>
      <c r="C940" s="33" t="s">
        <v>37</v>
      </c>
      <c r="D940" s="34" t="s">
        <v>2002</v>
      </c>
      <c r="E940" s="35" t="str">
        <f t="shared" si="231"/>
        <v>PND'!</v>
      </c>
      <c r="F940" s="34" t="str">
        <f t="shared" si="232"/>
        <v>C:\Users\jaime.benazar\Quorum Business Solutions\Ecopetrol Prometeo - Documents\Planning Space Implementation\3. Analysis &amp; Design\Design\FC22\DRR Jaime\Neiva CPI\[DINA TERCIARIOS_CF_SEC_New_27-Mar-2024.xlsx]D-PND'!</v>
      </c>
      <c r="G940" s="32" t="s">
        <v>119</v>
      </c>
      <c r="H940" s="33">
        <f t="shared" si="233"/>
        <v>38</v>
      </c>
      <c r="I940" s="33" t="str">
        <f t="shared" si="234"/>
        <v>='C:\Users\jaime.benazar\Quorum Business Solutions\Ecopetrol Prometeo - Documents\Planning Space Implementation\3. Analysis &amp; Design\Design\FC22\DRR Jaime\Neiva CPI\[DINA TERCIARIOS_CF_SEC_New_27-Mar-2024.xlsx]D-PND'!$BZ$38</v>
      </c>
      <c r="J940" s="37" t="s">
        <v>2473</v>
      </c>
    </row>
    <row r="941" spans="1:10" x14ac:dyDescent="0.3">
      <c r="A941" s="32" t="s">
        <v>16</v>
      </c>
      <c r="B941" s="32">
        <f t="shared" si="235"/>
        <v>2050</v>
      </c>
      <c r="C941" s="33" t="s">
        <v>37</v>
      </c>
      <c r="D941" s="34" t="s">
        <v>2002</v>
      </c>
      <c r="E941" s="35" t="str">
        <f t="shared" si="231"/>
        <v>PND'!</v>
      </c>
      <c r="F941" s="34" t="str">
        <f t="shared" si="232"/>
        <v>C:\Users\jaime.benazar\Quorum Business Solutions\Ecopetrol Prometeo - Documents\Planning Space Implementation\3. Analysis &amp; Design\Design\FC22\DRR Jaime\Neiva CPI\[DINA TERCIARIOS_CF_SEC_New_27-Mar-2024.xlsx]D-PND'!</v>
      </c>
      <c r="G941" s="32" t="s">
        <v>119</v>
      </c>
      <c r="H941" s="33">
        <f t="shared" si="233"/>
        <v>39</v>
      </c>
      <c r="I941" s="33" t="str">
        <f t="shared" si="234"/>
        <v>='C:\Users\jaime.benazar\Quorum Business Solutions\Ecopetrol Prometeo - Documents\Planning Space Implementation\3. Analysis &amp; Design\Design\FC22\DRR Jaime\Neiva CPI\[DINA TERCIARIOS_CF_SEC_New_27-Mar-2024.xlsx]D-PND'!$BZ$39</v>
      </c>
      <c r="J941" s="37" t="s">
        <v>2474</v>
      </c>
    </row>
    <row r="942" spans="1:10" x14ac:dyDescent="0.3">
      <c r="A942" s="32" t="s">
        <v>16</v>
      </c>
      <c r="B942" s="32">
        <f t="shared" si="235"/>
        <v>2051</v>
      </c>
      <c r="C942" s="33" t="s">
        <v>37</v>
      </c>
      <c r="D942" s="34" t="s">
        <v>2002</v>
      </c>
      <c r="E942" s="35" t="str">
        <f t="shared" si="231"/>
        <v>PND'!</v>
      </c>
      <c r="F942" s="34" t="str">
        <f t="shared" si="232"/>
        <v>C:\Users\jaime.benazar\Quorum Business Solutions\Ecopetrol Prometeo - Documents\Planning Space Implementation\3. Analysis &amp; Design\Design\FC22\DRR Jaime\Neiva CPI\[DINA TERCIARIOS_CF_SEC_New_27-Mar-2024.xlsx]D-PND'!</v>
      </c>
      <c r="G942" s="32" t="s">
        <v>119</v>
      </c>
      <c r="H942" s="33">
        <f t="shared" si="233"/>
        <v>40</v>
      </c>
      <c r="I942" s="33" t="str">
        <f t="shared" si="234"/>
        <v>='C:\Users\jaime.benazar\Quorum Business Solutions\Ecopetrol Prometeo - Documents\Planning Space Implementation\3. Analysis &amp; Design\Design\FC22\DRR Jaime\Neiva CPI\[DINA TERCIARIOS_CF_SEC_New_27-Mar-2024.xlsx]D-PND'!$BZ$40</v>
      </c>
      <c r="J942" s="37" t="s">
        <v>2475</v>
      </c>
    </row>
    <row r="943" spans="1:10" x14ac:dyDescent="0.3">
      <c r="A943" s="32" t="s">
        <v>16</v>
      </c>
      <c r="B943" s="32">
        <f t="shared" si="235"/>
        <v>2052</v>
      </c>
      <c r="C943" s="33" t="s">
        <v>37</v>
      </c>
      <c r="D943" s="34" t="s">
        <v>2002</v>
      </c>
      <c r="E943" s="35" t="str">
        <f t="shared" si="231"/>
        <v>PND'!</v>
      </c>
      <c r="F943" s="34" t="str">
        <f t="shared" si="232"/>
        <v>C:\Users\jaime.benazar\Quorum Business Solutions\Ecopetrol Prometeo - Documents\Planning Space Implementation\3. Analysis &amp; Design\Design\FC22\DRR Jaime\Neiva CPI\[DINA TERCIARIOS_CF_SEC_New_27-Mar-2024.xlsx]D-PND'!</v>
      </c>
      <c r="G943" s="32" t="s">
        <v>119</v>
      </c>
      <c r="H943" s="33">
        <f t="shared" si="233"/>
        <v>41</v>
      </c>
      <c r="I943" s="33" t="str">
        <f t="shared" si="234"/>
        <v>='C:\Users\jaime.benazar\Quorum Business Solutions\Ecopetrol Prometeo - Documents\Planning Space Implementation\3. Analysis &amp; Design\Design\FC22\DRR Jaime\Neiva CPI\[DINA TERCIARIOS_CF_SEC_New_27-Mar-2024.xlsx]D-PND'!$BZ$41</v>
      </c>
      <c r="J943" s="37" t="s">
        <v>2476</v>
      </c>
    </row>
    <row r="944" spans="1:10" x14ac:dyDescent="0.3">
      <c r="A944" s="32" t="s">
        <v>16</v>
      </c>
      <c r="B944" s="32">
        <f t="shared" si="235"/>
        <v>2053</v>
      </c>
      <c r="C944" s="33" t="s">
        <v>37</v>
      </c>
      <c r="D944" s="34" t="s">
        <v>2002</v>
      </c>
      <c r="E944" s="35" t="str">
        <f t="shared" si="231"/>
        <v>PND'!</v>
      </c>
      <c r="F944" s="34" t="str">
        <f t="shared" si="232"/>
        <v>C:\Users\jaime.benazar\Quorum Business Solutions\Ecopetrol Prometeo - Documents\Planning Space Implementation\3. Analysis &amp; Design\Design\FC22\DRR Jaime\Neiva CPI\[DINA TERCIARIOS_CF_SEC_New_27-Mar-2024.xlsx]D-PND'!</v>
      </c>
      <c r="G944" s="32" t="s">
        <v>119</v>
      </c>
      <c r="H944" s="33">
        <f t="shared" si="233"/>
        <v>42</v>
      </c>
      <c r="I944" s="33" t="str">
        <f t="shared" si="234"/>
        <v>='C:\Users\jaime.benazar\Quorum Business Solutions\Ecopetrol Prometeo - Documents\Planning Space Implementation\3. Analysis &amp; Design\Design\FC22\DRR Jaime\Neiva CPI\[DINA TERCIARIOS_CF_SEC_New_27-Mar-2024.xlsx]D-PND'!$BZ$42</v>
      </c>
      <c r="J944" s="37" t="s">
        <v>2477</v>
      </c>
    </row>
    <row r="945" spans="1:10" x14ac:dyDescent="0.3">
      <c r="A945" s="32" t="s">
        <v>16</v>
      </c>
      <c r="B945" s="32">
        <f t="shared" si="235"/>
        <v>2054</v>
      </c>
      <c r="C945" s="33" t="s">
        <v>37</v>
      </c>
      <c r="D945" s="34" t="s">
        <v>2002</v>
      </c>
      <c r="E945" s="35" t="str">
        <f t="shared" si="231"/>
        <v>PND'!</v>
      </c>
      <c r="F945" s="34" t="str">
        <f t="shared" si="232"/>
        <v>C:\Users\jaime.benazar\Quorum Business Solutions\Ecopetrol Prometeo - Documents\Planning Space Implementation\3. Analysis &amp; Design\Design\FC22\DRR Jaime\Neiva CPI\[DINA TERCIARIOS_CF_SEC_New_27-Mar-2024.xlsx]D-PND'!</v>
      </c>
      <c r="G945" s="32" t="s">
        <v>119</v>
      </c>
      <c r="H945" s="33">
        <f t="shared" si="233"/>
        <v>43</v>
      </c>
      <c r="I945" s="33" t="str">
        <f t="shared" si="234"/>
        <v>='C:\Users\jaime.benazar\Quorum Business Solutions\Ecopetrol Prometeo - Documents\Planning Space Implementation\3. Analysis &amp; Design\Design\FC22\DRR Jaime\Neiva CPI\[DINA TERCIARIOS_CF_SEC_New_27-Mar-2024.xlsx]D-PND'!$BZ$43</v>
      </c>
      <c r="J945" s="37" t="s">
        <v>2478</v>
      </c>
    </row>
    <row r="946" spans="1:10" x14ac:dyDescent="0.3">
      <c r="A946" s="32" t="s">
        <v>16</v>
      </c>
      <c r="B946" s="32">
        <f t="shared" si="235"/>
        <v>2055</v>
      </c>
      <c r="C946" s="33" t="s">
        <v>37</v>
      </c>
      <c r="D946" s="34" t="s">
        <v>2002</v>
      </c>
      <c r="E946" s="35" t="str">
        <f t="shared" si="231"/>
        <v>PND'!</v>
      </c>
      <c r="F946" s="34" t="str">
        <f t="shared" si="232"/>
        <v>C:\Users\jaime.benazar\Quorum Business Solutions\Ecopetrol Prometeo - Documents\Planning Space Implementation\3. Analysis &amp; Design\Design\FC22\DRR Jaime\Neiva CPI\[DINA TERCIARIOS_CF_SEC_New_27-Mar-2024.xlsx]D-PND'!</v>
      </c>
      <c r="G946" s="32" t="s">
        <v>119</v>
      </c>
      <c r="H946" s="33">
        <f t="shared" si="233"/>
        <v>44</v>
      </c>
      <c r="I946" s="33" t="str">
        <f t="shared" si="234"/>
        <v>='C:\Users\jaime.benazar\Quorum Business Solutions\Ecopetrol Prometeo - Documents\Planning Space Implementation\3. Analysis &amp; Design\Design\FC22\DRR Jaime\Neiva CPI\[DINA TERCIARIOS_CF_SEC_New_27-Mar-2024.xlsx]D-PND'!$BZ$44</v>
      </c>
      <c r="J946" s="37" t="s">
        <v>2479</v>
      </c>
    </row>
    <row r="947" spans="1:10" x14ac:dyDescent="0.3">
      <c r="A947" s="32" t="s">
        <v>16</v>
      </c>
      <c r="B947" s="32">
        <f t="shared" si="235"/>
        <v>2056</v>
      </c>
      <c r="C947" s="33" t="s">
        <v>37</v>
      </c>
      <c r="D947" s="34" t="s">
        <v>2002</v>
      </c>
      <c r="E947" s="35" t="str">
        <f t="shared" si="231"/>
        <v>PND'!</v>
      </c>
      <c r="F947" s="34" t="str">
        <f t="shared" si="232"/>
        <v>C:\Users\jaime.benazar\Quorum Business Solutions\Ecopetrol Prometeo - Documents\Planning Space Implementation\3. Analysis &amp; Design\Design\FC22\DRR Jaime\Neiva CPI\[DINA TERCIARIOS_CF_SEC_New_27-Mar-2024.xlsx]D-PND'!</v>
      </c>
      <c r="G947" s="32" t="s">
        <v>119</v>
      </c>
      <c r="H947" s="33">
        <f t="shared" si="233"/>
        <v>45</v>
      </c>
      <c r="I947" s="33" t="str">
        <f t="shared" si="234"/>
        <v>='C:\Users\jaime.benazar\Quorum Business Solutions\Ecopetrol Prometeo - Documents\Planning Space Implementation\3. Analysis &amp; Design\Design\FC22\DRR Jaime\Neiva CPI\[DINA TERCIARIOS_CF_SEC_New_27-Mar-2024.xlsx]D-PND'!$BZ$45</v>
      </c>
      <c r="J947" s="37" t="s">
        <v>2480</v>
      </c>
    </row>
    <row r="948" spans="1:10" x14ac:dyDescent="0.3">
      <c r="A948" s="32" t="s">
        <v>16</v>
      </c>
      <c r="B948" s="32">
        <f t="shared" si="235"/>
        <v>2057</v>
      </c>
      <c r="C948" s="33" t="s">
        <v>37</v>
      </c>
      <c r="D948" s="34" t="s">
        <v>2002</v>
      </c>
      <c r="E948" s="35" t="str">
        <f t="shared" si="231"/>
        <v>PND'!</v>
      </c>
      <c r="F948" s="34" t="str">
        <f t="shared" si="232"/>
        <v>C:\Users\jaime.benazar\Quorum Business Solutions\Ecopetrol Prometeo - Documents\Planning Space Implementation\3. Analysis &amp; Design\Design\FC22\DRR Jaime\Neiva CPI\[DINA TERCIARIOS_CF_SEC_New_27-Mar-2024.xlsx]D-PND'!</v>
      </c>
      <c r="G948" s="32" t="s">
        <v>119</v>
      </c>
      <c r="H948" s="33">
        <f t="shared" si="233"/>
        <v>46</v>
      </c>
      <c r="I948" s="33" t="str">
        <f t="shared" si="234"/>
        <v>='C:\Users\jaime.benazar\Quorum Business Solutions\Ecopetrol Prometeo - Documents\Planning Space Implementation\3. Analysis &amp; Design\Design\FC22\DRR Jaime\Neiva CPI\[DINA TERCIARIOS_CF_SEC_New_27-Mar-2024.xlsx]D-PND'!$BZ$46</v>
      </c>
      <c r="J948" s="37" t="s">
        <v>2481</v>
      </c>
    </row>
    <row r="949" spans="1:10" x14ac:dyDescent="0.3">
      <c r="A949" s="32" t="s">
        <v>16</v>
      </c>
      <c r="B949" s="32">
        <f t="shared" si="235"/>
        <v>2058</v>
      </c>
      <c r="C949" s="33" t="s">
        <v>37</v>
      </c>
      <c r="D949" s="34" t="s">
        <v>2002</v>
      </c>
      <c r="E949" s="35" t="str">
        <f t="shared" si="231"/>
        <v>PND'!</v>
      </c>
      <c r="F949" s="34" t="str">
        <f t="shared" si="232"/>
        <v>C:\Users\jaime.benazar\Quorum Business Solutions\Ecopetrol Prometeo - Documents\Planning Space Implementation\3. Analysis &amp; Design\Design\FC22\DRR Jaime\Neiva CPI\[DINA TERCIARIOS_CF_SEC_New_27-Mar-2024.xlsx]D-PND'!</v>
      </c>
      <c r="G949" s="32" t="s">
        <v>119</v>
      </c>
      <c r="H949" s="33">
        <f t="shared" si="233"/>
        <v>47</v>
      </c>
      <c r="I949" s="33" t="str">
        <f t="shared" si="234"/>
        <v>='C:\Users\jaime.benazar\Quorum Business Solutions\Ecopetrol Prometeo - Documents\Planning Space Implementation\3. Analysis &amp; Design\Design\FC22\DRR Jaime\Neiva CPI\[DINA TERCIARIOS_CF_SEC_New_27-Mar-2024.xlsx]D-PND'!$BZ$47</v>
      </c>
      <c r="J949" s="37" t="s">
        <v>2482</v>
      </c>
    </row>
    <row r="950" spans="1:10" x14ac:dyDescent="0.3">
      <c r="A950" s="32" t="s">
        <v>16</v>
      </c>
      <c r="B950" s="32">
        <f t="shared" si="235"/>
        <v>2059</v>
      </c>
      <c r="C950" s="33" t="s">
        <v>37</v>
      </c>
      <c r="D950" s="34" t="s">
        <v>2002</v>
      </c>
      <c r="E950" s="35" t="str">
        <f t="shared" si="231"/>
        <v>PND'!</v>
      </c>
      <c r="F950" s="34" t="str">
        <f t="shared" si="232"/>
        <v>C:\Users\jaime.benazar\Quorum Business Solutions\Ecopetrol Prometeo - Documents\Planning Space Implementation\3. Analysis &amp; Design\Design\FC22\DRR Jaime\Neiva CPI\[DINA TERCIARIOS_CF_SEC_New_27-Mar-2024.xlsx]D-PND'!</v>
      </c>
      <c r="G950" s="32" t="s">
        <v>119</v>
      </c>
      <c r="H950" s="33">
        <f t="shared" si="233"/>
        <v>48</v>
      </c>
      <c r="I950" s="33" t="str">
        <f t="shared" si="234"/>
        <v>='C:\Users\jaime.benazar\Quorum Business Solutions\Ecopetrol Prometeo - Documents\Planning Space Implementation\3. Analysis &amp; Design\Design\FC22\DRR Jaime\Neiva CPI\[DINA TERCIARIOS_CF_SEC_New_27-Mar-2024.xlsx]D-PND'!$BZ$48</v>
      </c>
      <c r="J950" s="37" t="s">
        <v>2483</v>
      </c>
    </row>
    <row r="951" spans="1:10" x14ac:dyDescent="0.3">
      <c r="A951" s="32" t="s">
        <v>26</v>
      </c>
      <c r="B951" s="32"/>
      <c r="C951" s="33" t="s">
        <v>37</v>
      </c>
      <c r="D951" s="34"/>
      <c r="E951" s="35"/>
      <c r="F951" s="34"/>
      <c r="G951" s="32"/>
      <c r="H951" s="33"/>
      <c r="I951" s="33"/>
      <c r="J951" s="33"/>
    </row>
    <row r="952" spans="1:10" x14ac:dyDescent="0.3">
      <c r="A952" s="32" t="s">
        <v>17</v>
      </c>
      <c r="B952" s="32">
        <v>2023</v>
      </c>
      <c r="C952" s="33" t="s">
        <v>37</v>
      </c>
      <c r="D952" s="34" t="s">
        <v>2002</v>
      </c>
      <c r="E952" s="35" t="str">
        <f t="shared" ref="E952:E972" si="236">_xlfn.CONCAT(A952,"'!")</f>
        <v>PRBDP'!</v>
      </c>
      <c r="F952" s="34" t="str">
        <f t="shared" ref="F952:F972" si="237">_xlfn.CONCAT(D952:E952)</f>
        <v>C:\Users\jaime.benazar\Quorum Business Solutions\Ecopetrol Prometeo - Documents\Planning Space Implementation\3. Analysis &amp; Design\Design\FC22\DRR Jaime\Neiva CPI\[DINA TERCIARIOS_CF_SEC_New_27-Mar-2024.xlsx]D-PRBDP'!</v>
      </c>
      <c r="G952" s="32" t="s">
        <v>119</v>
      </c>
      <c r="H952" s="33"/>
      <c r="I952" s="33"/>
      <c r="J952" s="37"/>
    </row>
    <row r="953" spans="1:10" x14ac:dyDescent="0.3">
      <c r="A953" s="32" t="s">
        <v>17</v>
      </c>
      <c r="B953" s="32">
        <f>+B952+1</f>
        <v>2024</v>
      </c>
      <c r="C953" s="33" t="s">
        <v>37</v>
      </c>
      <c r="D953" s="34" t="s">
        <v>2002</v>
      </c>
      <c r="E953" s="35" t="str">
        <f t="shared" si="236"/>
        <v>PRBDP'!</v>
      </c>
      <c r="F953" s="34" t="str">
        <f t="shared" si="237"/>
        <v>C:\Users\jaime.benazar\Quorum Business Solutions\Ecopetrol Prometeo - Documents\Planning Space Implementation\3. Analysis &amp; Design\Design\FC22\DRR Jaime\Neiva CPI\[DINA TERCIARIOS_CF_SEC_New_27-Mar-2024.xlsx]D-PRBDP'!</v>
      </c>
      <c r="G953" s="32" t="s">
        <v>119</v>
      </c>
      <c r="H953" s="33"/>
      <c r="I953" s="33"/>
      <c r="J953" s="37"/>
    </row>
    <row r="954" spans="1:10" x14ac:dyDescent="0.3">
      <c r="A954" s="32" t="s">
        <v>17</v>
      </c>
      <c r="B954" s="32">
        <f t="shared" ref="B954:B965" si="238">+B953+1</f>
        <v>2025</v>
      </c>
      <c r="C954" s="33" t="s">
        <v>37</v>
      </c>
      <c r="D954" s="34" t="s">
        <v>2002</v>
      </c>
      <c r="E954" s="35" t="str">
        <f t="shared" si="236"/>
        <v>PRBDP'!</v>
      </c>
      <c r="F954" s="34" t="str">
        <f t="shared" si="237"/>
        <v>C:\Users\jaime.benazar\Quorum Business Solutions\Ecopetrol Prometeo - Documents\Planning Space Implementation\3. Analysis &amp; Design\Design\FC22\DRR Jaime\Neiva CPI\[DINA TERCIARIOS_CF_SEC_New_27-Mar-2024.xlsx]D-PRBDP'!</v>
      </c>
      <c r="G954" s="32" t="s">
        <v>119</v>
      </c>
      <c r="H954" s="33"/>
      <c r="I954" s="33"/>
      <c r="J954" s="37"/>
    </row>
    <row r="955" spans="1:10" x14ac:dyDescent="0.3">
      <c r="A955" s="32" t="s">
        <v>17</v>
      </c>
      <c r="B955" s="32">
        <f t="shared" si="238"/>
        <v>2026</v>
      </c>
      <c r="C955" s="33" t="s">
        <v>37</v>
      </c>
      <c r="D955" s="34" t="s">
        <v>2002</v>
      </c>
      <c r="E955" s="35" t="str">
        <f t="shared" si="236"/>
        <v>PRBDP'!</v>
      </c>
      <c r="F955" s="34" t="str">
        <f t="shared" si="237"/>
        <v>C:\Users\jaime.benazar\Quorum Business Solutions\Ecopetrol Prometeo - Documents\Planning Space Implementation\3. Analysis &amp; Design\Design\FC22\DRR Jaime\Neiva CPI\[DINA TERCIARIOS_CF_SEC_New_27-Mar-2024.xlsx]D-PRBDP'!</v>
      </c>
      <c r="G955" s="32" t="s">
        <v>119</v>
      </c>
      <c r="H955" s="33"/>
      <c r="I955" s="33"/>
      <c r="J955" s="37"/>
    </row>
    <row r="956" spans="1:10" x14ac:dyDescent="0.3">
      <c r="A956" s="32" t="s">
        <v>17</v>
      </c>
      <c r="B956" s="32">
        <f t="shared" si="238"/>
        <v>2027</v>
      </c>
      <c r="C956" s="33" t="s">
        <v>37</v>
      </c>
      <c r="D956" s="34" t="s">
        <v>2002</v>
      </c>
      <c r="E956" s="35" t="str">
        <f t="shared" si="236"/>
        <v>PRBDP'!</v>
      </c>
      <c r="F956" s="34" t="str">
        <f t="shared" si="237"/>
        <v>C:\Users\jaime.benazar\Quorum Business Solutions\Ecopetrol Prometeo - Documents\Planning Space Implementation\3. Analysis &amp; Design\Design\FC22\DRR Jaime\Neiva CPI\[DINA TERCIARIOS_CF_SEC_New_27-Mar-2024.xlsx]D-PRBDP'!</v>
      </c>
      <c r="G956" s="32" t="s">
        <v>119</v>
      </c>
      <c r="H956" s="33"/>
      <c r="I956" s="33"/>
      <c r="J956" s="37"/>
    </row>
    <row r="957" spans="1:10" x14ac:dyDescent="0.3">
      <c r="A957" s="32" t="s">
        <v>17</v>
      </c>
      <c r="B957" s="32">
        <f t="shared" si="238"/>
        <v>2028</v>
      </c>
      <c r="C957" s="33" t="s">
        <v>37</v>
      </c>
      <c r="D957" s="34" t="s">
        <v>2002</v>
      </c>
      <c r="E957" s="35" t="str">
        <f t="shared" si="236"/>
        <v>PRBDP'!</v>
      </c>
      <c r="F957" s="34" t="str">
        <f t="shared" si="237"/>
        <v>C:\Users\jaime.benazar\Quorum Business Solutions\Ecopetrol Prometeo - Documents\Planning Space Implementation\3. Analysis &amp; Design\Design\FC22\DRR Jaime\Neiva CPI\[DINA TERCIARIOS_CF_SEC_New_27-Mar-2024.xlsx]D-PRBDP'!</v>
      </c>
      <c r="G957" s="32" t="s">
        <v>119</v>
      </c>
      <c r="H957" s="33"/>
      <c r="I957" s="33"/>
      <c r="J957" s="37"/>
    </row>
    <row r="958" spans="1:10" x14ac:dyDescent="0.3">
      <c r="A958" s="32" t="s">
        <v>17</v>
      </c>
      <c r="B958" s="32">
        <f t="shared" si="238"/>
        <v>2029</v>
      </c>
      <c r="C958" s="33" t="s">
        <v>37</v>
      </c>
      <c r="D958" s="34" t="s">
        <v>2002</v>
      </c>
      <c r="E958" s="35" t="str">
        <f t="shared" si="236"/>
        <v>PRBDP'!</v>
      </c>
      <c r="F958" s="34" t="str">
        <f t="shared" si="237"/>
        <v>C:\Users\jaime.benazar\Quorum Business Solutions\Ecopetrol Prometeo - Documents\Planning Space Implementation\3. Analysis &amp; Design\Design\FC22\DRR Jaime\Neiva CPI\[DINA TERCIARIOS_CF_SEC_New_27-Mar-2024.xlsx]D-PRBDP'!</v>
      </c>
      <c r="G958" s="32" t="s">
        <v>119</v>
      </c>
      <c r="H958" s="33"/>
      <c r="I958" s="33"/>
      <c r="J958" s="37"/>
    </row>
    <row r="959" spans="1:10" x14ac:dyDescent="0.3">
      <c r="A959" s="32" t="s">
        <v>17</v>
      </c>
      <c r="B959" s="32">
        <f t="shared" si="238"/>
        <v>2030</v>
      </c>
      <c r="C959" s="33" t="s">
        <v>37</v>
      </c>
      <c r="D959" s="34" t="s">
        <v>2002</v>
      </c>
      <c r="E959" s="35" t="str">
        <f t="shared" si="236"/>
        <v>PRBDP'!</v>
      </c>
      <c r="F959" s="34" t="str">
        <f t="shared" si="237"/>
        <v>C:\Users\jaime.benazar\Quorum Business Solutions\Ecopetrol Prometeo - Documents\Planning Space Implementation\3. Analysis &amp; Design\Design\FC22\DRR Jaime\Neiva CPI\[DINA TERCIARIOS_CF_SEC_New_27-Mar-2024.xlsx]D-PRBDP'!</v>
      </c>
      <c r="G959" s="32" t="s">
        <v>119</v>
      </c>
      <c r="H959" s="33"/>
      <c r="I959" s="33"/>
      <c r="J959" s="37"/>
    </row>
    <row r="960" spans="1:10" x14ac:dyDescent="0.3">
      <c r="A960" s="32" t="s">
        <v>17</v>
      </c>
      <c r="B960" s="32">
        <f t="shared" si="238"/>
        <v>2031</v>
      </c>
      <c r="C960" s="33" t="s">
        <v>37</v>
      </c>
      <c r="D960" s="34" t="s">
        <v>2002</v>
      </c>
      <c r="E960" s="35" t="str">
        <f t="shared" si="236"/>
        <v>PRBDP'!</v>
      </c>
      <c r="F960" s="34" t="str">
        <f t="shared" si="237"/>
        <v>C:\Users\jaime.benazar\Quorum Business Solutions\Ecopetrol Prometeo - Documents\Planning Space Implementation\3. Analysis &amp; Design\Design\FC22\DRR Jaime\Neiva CPI\[DINA TERCIARIOS_CF_SEC_New_27-Mar-2024.xlsx]D-PRBDP'!</v>
      </c>
      <c r="G960" s="32" t="s">
        <v>119</v>
      </c>
      <c r="H960" s="33"/>
      <c r="I960" s="33"/>
      <c r="J960" s="37"/>
    </row>
    <row r="961" spans="1:10" x14ac:dyDescent="0.3">
      <c r="A961" s="32" t="s">
        <v>17</v>
      </c>
      <c r="B961" s="32">
        <f t="shared" si="238"/>
        <v>2032</v>
      </c>
      <c r="C961" s="33" t="s">
        <v>37</v>
      </c>
      <c r="D961" s="34" t="s">
        <v>2002</v>
      </c>
      <c r="E961" s="35" t="str">
        <f t="shared" si="236"/>
        <v>PRBDP'!</v>
      </c>
      <c r="F961" s="34" t="str">
        <f t="shared" si="237"/>
        <v>C:\Users\jaime.benazar\Quorum Business Solutions\Ecopetrol Prometeo - Documents\Planning Space Implementation\3. Analysis &amp; Design\Design\FC22\DRR Jaime\Neiva CPI\[DINA TERCIARIOS_CF_SEC_New_27-Mar-2024.xlsx]D-PRBDP'!</v>
      </c>
      <c r="G961" s="32" t="s">
        <v>119</v>
      </c>
      <c r="H961" s="33"/>
      <c r="I961" s="33"/>
      <c r="J961" s="37"/>
    </row>
    <row r="962" spans="1:10" x14ac:dyDescent="0.3">
      <c r="A962" s="32" t="s">
        <v>17</v>
      </c>
      <c r="B962" s="32">
        <f t="shared" si="238"/>
        <v>2033</v>
      </c>
      <c r="C962" s="33" t="s">
        <v>37</v>
      </c>
      <c r="D962" s="34" t="s">
        <v>2002</v>
      </c>
      <c r="E962" s="35" t="str">
        <f t="shared" si="236"/>
        <v>PRBDP'!</v>
      </c>
      <c r="F962" s="34" t="str">
        <f t="shared" si="237"/>
        <v>C:\Users\jaime.benazar\Quorum Business Solutions\Ecopetrol Prometeo - Documents\Planning Space Implementation\3. Analysis &amp; Design\Design\FC22\DRR Jaime\Neiva CPI\[DINA TERCIARIOS_CF_SEC_New_27-Mar-2024.xlsx]D-PRBDP'!</v>
      </c>
      <c r="G962" s="32" t="s">
        <v>119</v>
      </c>
      <c r="H962" s="33"/>
      <c r="I962" s="33"/>
      <c r="J962" s="37"/>
    </row>
    <row r="963" spans="1:10" x14ac:dyDescent="0.3">
      <c r="A963" s="32" t="s">
        <v>17</v>
      </c>
      <c r="B963" s="32">
        <f t="shared" si="238"/>
        <v>2034</v>
      </c>
      <c r="C963" s="33" t="s">
        <v>37</v>
      </c>
      <c r="D963" s="34" t="s">
        <v>2002</v>
      </c>
      <c r="E963" s="35" t="str">
        <f t="shared" si="236"/>
        <v>PRBDP'!</v>
      </c>
      <c r="F963" s="34" t="str">
        <f t="shared" si="237"/>
        <v>C:\Users\jaime.benazar\Quorum Business Solutions\Ecopetrol Prometeo - Documents\Planning Space Implementation\3. Analysis &amp; Design\Design\FC22\DRR Jaime\Neiva CPI\[DINA TERCIARIOS_CF_SEC_New_27-Mar-2024.xlsx]D-PRBDP'!</v>
      </c>
      <c r="G963" s="32" t="s">
        <v>119</v>
      </c>
      <c r="H963" s="33"/>
      <c r="I963" s="33"/>
      <c r="J963" s="37"/>
    </row>
    <row r="964" spans="1:10" x14ac:dyDescent="0.3">
      <c r="A964" s="32" t="s">
        <v>17</v>
      </c>
      <c r="B964" s="32">
        <f t="shared" si="238"/>
        <v>2035</v>
      </c>
      <c r="C964" s="33" t="s">
        <v>37</v>
      </c>
      <c r="D964" s="34" t="s">
        <v>2002</v>
      </c>
      <c r="E964" s="35" t="str">
        <f t="shared" si="236"/>
        <v>PRBDP'!</v>
      </c>
      <c r="F964" s="34" t="str">
        <f t="shared" si="237"/>
        <v>C:\Users\jaime.benazar\Quorum Business Solutions\Ecopetrol Prometeo - Documents\Planning Space Implementation\3. Analysis &amp; Design\Design\FC22\DRR Jaime\Neiva CPI\[DINA TERCIARIOS_CF_SEC_New_27-Mar-2024.xlsx]D-PRBDP'!</v>
      </c>
      <c r="G964" s="32" t="s">
        <v>119</v>
      </c>
      <c r="H964" s="33"/>
      <c r="I964" s="33"/>
      <c r="J964" s="37"/>
    </row>
    <row r="965" spans="1:10" x14ac:dyDescent="0.3">
      <c r="A965" s="32" t="s">
        <v>17</v>
      </c>
      <c r="B965" s="32">
        <f t="shared" si="238"/>
        <v>2036</v>
      </c>
      <c r="C965" s="33" t="s">
        <v>37</v>
      </c>
      <c r="D965" s="34" t="s">
        <v>2002</v>
      </c>
      <c r="E965" s="35" t="str">
        <f t="shared" si="236"/>
        <v>PRBDP'!</v>
      </c>
      <c r="F965" s="34" t="str">
        <f t="shared" si="237"/>
        <v>C:\Users\jaime.benazar\Quorum Business Solutions\Ecopetrol Prometeo - Documents\Planning Space Implementation\3. Analysis &amp; Design\Design\FC22\DRR Jaime\Neiva CPI\[DINA TERCIARIOS_CF_SEC_New_27-Mar-2024.xlsx]D-PRBDP'!</v>
      </c>
      <c r="G965" s="32" t="s">
        <v>119</v>
      </c>
      <c r="H965" s="33"/>
      <c r="I965" s="33"/>
      <c r="J965" s="37"/>
    </row>
    <row r="966" spans="1:10" x14ac:dyDescent="0.3">
      <c r="A966" s="32" t="s">
        <v>17</v>
      </c>
      <c r="B966" s="32">
        <f>+B965+1</f>
        <v>2037</v>
      </c>
      <c r="C966" s="33" t="s">
        <v>37</v>
      </c>
      <c r="D966" s="34" t="s">
        <v>2002</v>
      </c>
      <c r="E966" s="35" t="str">
        <f t="shared" si="236"/>
        <v>PRBDP'!</v>
      </c>
      <c r="F966" s="34" t="str">
        <f t="shared" si="237"/>
        <v>C:\Users\jaime.benazar\Quorum Business Solutions\Ecopetrol Prometeo - Documents\Planning Space Implementation\3. Analysis &amp; Design\Design\FC22\DRR Jaime\Neiva CPI\[DINA TERCIARIOS_CF_SEC_New_27-Mar-2024.xlsx]D-PRBDP'!</v>
      </c>
      <c r="G966" s="32" t="s">
        <v>119</v>
      </c>
      <c r="H966" s="33"/>
      <c r="I966" s="33"/>
      <c r="J966" s="37"/>
    </row>
    <row r="967" spans="1:10" x14ac:dyDescent="0.3">
      <c r="A967" s="32" t="s">
        <v>17</v>
      </c>
      <c r="B967" s="32">
        <f t="shared" ref="B967:B969" si="239">+B966+1</f>
        <v>2038</v>
      </c>
      <c r="C967" s="33" t="s">
        <v>37</v>
      </c>
      <c r="D967" s="34" t="s">
        <v>2002</v>
      </c>
      <c r="E967" s="35" t="str">
        <f t="shared" si="236"/>
        <v>PRBDP'!</v>
      </c>
      <c r="F967" s="34" t="str">
        <f t="shared" si="237"/>
        <v>C:\Users\jaime.benazar\Quorum Business Solutions\Ecopetrol Prometeo - Documents\Planning Space Implementation\3. Analysis &amp; Design\Design\FC22\DRR Jaime\Neiva CPI\[DINA TERCIARIOS_CF_SEC_New_27-Mar-2024.xlsx]D-PRBDP'!</v>
      </c>
      <c r="G967" s="32" t="s">
        <v>119</v>
      </c>
      <c r="H967" s="33"/>
      <c r="I967" s="33"/>
      <c r="J967" s="37"/>
    </row>
    <row r="968" spans="1:10" x14ac:dyDescent="0.3">
      <c r="A968" s="32" t="s">
        <v>17</v>
      </c>
      <c r="B968" s="32">
        <f t="shared" si="239"/>
        <v>2039</v>
      </c>
      <c r="C968" s="33" t="s">
        <v>37</v>
      </c>
      <c r="D968" s="34" t="s">
        <v>2002</v>
      </c>
      <c r="E968" s="35" t="str">
        <f t="shared" si="236"/>
        <v>PRBDP'!</v>
      </c>
      <c r="F968" s="34" t="str">
        <f t="shared" si="237"/>
        <v>C:\Users\jaime.benazar\Quorum Business Solutions\Ecopetrol Prometeo - Documents\Planning Space Implementation\3. Analysis &amp; Design\Design\FC22\DRR Jaime\Neiva CPI\[DINA TERCIARIOS_CF_SEC_New_27-Mar-2024.xlsx]D-PRBDP'!</v>
      </c>
      <c r="G968" s="32" t="s">
        <v>119</v>
      </c>
      <c r="H968" s="33"/>
      <c r="I968" s="33"/>
      <c r="J968" s="37"/>
    </row>
    <row r="969" spans="1:10" x14ac:dyDescent="0.3">
      <c r="A969" s="32" t="s">
        <v>17</v>
      </c>
      <c r="B969" s="32">
        <f t="shared" si="239"/>
        <v>2040</v>
      </c>
      <c r="C969" s="33" t="s">
        <v>37</v>
      </c>
      <c r="D969" s="34" t="s">
        <v>2002</v>
      </c>
      <c r="E969" s="35" t="str">
        <f t="shared" si="236"/>
        <v>PRBDP'!</v>
      </c>
      <c r="F969" s="34" t="str">
        <f t="shared" si="237"/>
        <v>C:\Users\jaime.benazar\Quorum Business Solutions\Ecopetrol Prometeo - Documents\Planning Space Implementation\3. Analysis &amp; Design\Design\FC22\DRR Jaime\Neiva CPI\[DINA TERCIARIOS_CF_SEC_New_27-Mar-2024.xlsx]D-PRBDP'!</v>
      </c>
      <c r="G969" s="32" t="s">
        <v>119</v>
      </c>
      <c r="H969" s="33"/>
      <c r="I969" s="33"/>
      <c r="J969" s="37"/>
    </row>
    <row r="970" spans="1:10" x14ac:dyDescent="0.3">
      <c r="A970" s="32" t="s">
        <v>17</v>
      </c>
      <c r="B970" s="32">
        <f>+B969+1</f>
        <v>2041</v>
      </c>
      <c r="C970" s="33" t="s">
        <v>37</v>
      </c>
      <c r="D970" s="34" t="s">
        <v>2002</v>
      </c>
      <c r="E970" s="35" t="str">
        <f t="shared" si="236"/>
        <v>PRBDP'!</v>
      </c>
      <c r="F970" s="34" t="str">
        <f t="shared" si="237"/>
        <v>C:\Users\jaime.benazar\Quorum Business Solutions\Ecopetrol Prometeo - Documents\Planning Space Implementation\3. Analysis &amp; Design\Design\FC22\DRR Jaime\Neiva CPI\[DINA TERCIARIOS_CF_SEC_New_27-Mar-2024.xlsx]D-PRBDP'!</v>
      </c>
      <c r="G970" s="32" t="s">
        <v>119</v>
      </c>
      <c r="H970" s="33"/>
      <c r="I970" s="33"/>
      <c r="J970" s="37"/>
    </row>
    <row r="971" spans="1:10" x14ac:dyDescent="0.3">
      <c r="A971" s="32" t="s">
        <v>17</v>
      </c>
      <c r="B971" s="32">
        <f t="shared" ref="B971:B972" si="240">+B970+1</f>
        <v>2042</v>
      </c>
      <c r="C971" s="33" t="s">
        <v>37</v>
      </c>
      <c r="D971" s="34" t="s">
        <v>2002</v>
      </c>
      <c r="E971" s="35" t="str">
        <f t="shared" si="236"/>
        <v>PRBDP'!</v>
      </c>
      <c r="F971" s="34" t="str">
        <f t="shared" si="237"/>
        <v>C:\Users\jaime.benazar\Quorum Business Solutions\Ecopetrol Prometeo - Documents\Planning Space Implementation\3. Analysis &amp; Design\Design\FC22\DRR Jaime\Neiva CPI\[DINA TERCIARIOS_CF_SEC_New_27-Mar-2024.xlsx]D-PRBDP'!</v>
      </c>
      <c r="G971" s="32" t="s">
        <v>119</v>
      </c>
      <c r="H971" s="33"/>
      <c r="I971" s="33"/>
      <c r="J971" s="37"/>
    </row>
    <row r="972" spans="1:10" x14ac:dyDescent="0.3">
      <c r="A972" s="32" t="s">
        <v>17</v>
      </c>
      <c r="B972" s="32">
        <f t="shared" si="240"/>
        <v>2043</v>
      </c>
      <c r="C972" s="33" t="s">
        <v>37</v>
      </c>
      <c r="D972" s="34" t="s">
        <v>2002</v>
      </c>
      <c r="E972" s="35" t="str">
        <f t="shared" si="236"/>
        <v>PRBDP'!</v>
      </c>
      <c r="F972" s="34" t="str">
        <f t="shared" si="237"/>
        <v>C:\Users\jaime.benazar\Quorum Business Solutions\Ecopetrol Prometeo - Documents\Planning Space Implementation\3. Analysis &amp; Design\Design\FC22\DRR Jaime\Neiva CPI\[DINA TERCIARIOS_CF_SEC_New_27-Mar-2024.xlsx]D-PRBDP'!</v>
      </c>
      <c r="G972" s="32" t="s">
        <v>119</v>
      </c>
      <c r="H972" s="33"/>
      <c r="I972" s="33"/>
      <c r="J972" s="37"/>
    </row>
    <row r="973" spans="1:10" x14ac:dyDescent="0.3">
      <c r="A973" s="32" t="s">
        <v>17</v>
      </c>
      <c r="B973" s="32">
        <f>+B972+1</f>
        <v>2044</v>
      </c>
      <c r="C973" s="33" t="s">
        <v>37</v>
      </c>
      <c r="D973" s="34" t="s">
        <v>2002</v>
      </c>
      <c r="E973" s="35" t="str">
        <f t="shared" ref="E973:E988" si="241">_xlfn.CONCAT(A973,"'!")</f>
        <v>PRBDP'!</v>
      </c>
      <c r="F973" s="34" t="str">
        <f t="shared" ref="F973:F988" si="242">_xlfn.CONCAT(D973:E973)</f>
        <v>C:\Users\jaime.benazar\Quorum Business Solutions\Ecopetrol Prometeo - Documents\Planning Space Implementation\3. Analysis &amp; Design\Design\FC22\DRR Jaime\Neiva CPI\[DINA TERCIARIOS_CF_SEC_New_27-Mar-2024.xlsx]D-PRBDP'!</v>
      </c>
      <c r="G973" s="32" t="s">
        <v>119</v>
      </c>
      <c r="H973" s="33"/>
      <c r="I973" s="33"/>
      <c r="J973" s="37"/>
    </row>
    <row r="974" spans="1:10" x14ac:dyDescent="0.3">
      <c r="A974" s="32" t="s">
        <v>17</v>
      </c>
      <c r="B974" s="32">
        <f t="shared" ref="B974:B988" si="243">+B973+1</f>
        <v>2045</v>
      </c>
      <c r="C974" s="33" t="s">
        <v>37</v>
      </c>
      <c r="D974" s="34" t="s">
        <v>2002</v>
      </c>
      <c r="E974" s="35" t="str">
        <f t="shared" si="241"/>
        <v>PRBDP'!</v>
      </c>
      <c r="F974" s="34" t="str">
        <f t="shared" si="242"/>
        <v>C:\Users\jaime.benazar\Quorum Business Solutions\Ecopetrol Prometeo - Documents\Planning Space Implementation\3. Analysis &amp; Design\Design\FC22\DRR Jaime\Neiva CPI\[DINA TERCIARIOS_CF_SEC_New_27-Mar-2024.xlsx]D-PRBDP'!</v>
      </c>
      <c r="G974" s="32" t="s">
        <v>119</v>
      </c>
      <c r="H974" s="33"/>
      <c r="I974" s="33"/>
      <c r="J974" s="37"/>
    </row>
    <row r="975" spans="1:10" x14ac:dyDescent="0.3">
      <c r="A975" s="32" t="s">
        <v>17</v>
      </c>
      <c r="B975" s="32">
        <f t="shared" si="243"/>
        <v>2046</v>
      </c>
      <c r="C975" s="33" t="s">
        <v>37</v>
      </c>
      <c r="D975" s="34" t="s">
        <v>2002</v>
      </c>
      <c r="E975" s="35" t="str">
        <f t="shared" si="241"/>
        <v>PRBDP'!</v>
      </c>
      <c r="F975" s="34" t="str">
        <f t="shared" si="242"/>
        <v>C:\Users\jaime.benazar\Quorum Business Solutions\Ecopetrol Prometeo - Documents\Planning Space Implementation\3. Analysis &amp; Design\Design\FC22\DRR Jaime\Neiva CPI\[DINA TERCIARIOS_CF_SEC_New_27-Mar-2024.xlsx]D-PRBDP'!</v>
      </c>
      <c r="G975" s="32" t="s">
        <v>119</v>
      </c>
      <c r="H975" s="33"/>
      <c r="I975" s="33"/>
      <c r="J975" s="37"/>
    </row>
    <row r="976" spans="1:10" x14ac:dyDescent="0.3">
      <c r="A976" s="32" t="s">
        <v>17</v>
      </c>
      <c r="B976" s="32">
        <f t="shared" si="243"/>
        <v>2047</v>
      </c>
      <c r="C976" s="33" t="s">
        <v>37</v>
      </c>
      <c r="D976" s="34" t="s">
        <v>2002</v>
      </c>
      <c r="E976" s="35" t="str">
        <f t="shared" si="241"/>
        <v>PRBDP'!</v>
      </c>
      <c r="F976" s="34" t="str">
        <f t="shared" si="242"/>
        <v>C:\Users\jaime.benazar\Quorum Business Solutions\Ecopetrol Prometeo - Documents\Planning Space Implementation\3. Analysis &amp; Design\Design\FC22\DRR Jaime\Neiva CPI\[DINA TERCIARIOS_CF_SEC_New_27-Mar-2024.xlsx]D-PRBDP'!</v>
      </c>
      <c r="G976" s="32" t="s">
        <v>119</v>
      </c>
      <c r="H976" s="33"/>
      <c r="I976" s="33"/>
      <c r="J976" s="37"/>
    </row>
    <row r="977" spans="1:10" x14ac:dyDescent="0.3">
      <c r="A977" s="32" t="s">
        <v>17</v>
      </c>
      <c r="B977" s="32">
        <f t="shared" si="243"/>
        <v>2048</v>
      </c>
      <c r="C977" s="33" t="s">
        <v>37</v>
      </c>
      <c r="D977" s="34" t="s">
        <v>2002</v>
      </c>
      <c r="E977" s="35" t="str">
        <f t="shared" si="241"/>
        <v>PRBDP'!</v>
      </c>
      <c r="F977" s="34" t="str">
        <f t="shared" si="242"/>
        <v>C:\Users\jaime.benazar\Quorum Business Solutions\Ecopetrol Prometeo - Documents\Planning Space Implementation\3. Analysis &amp; Design\Design\FC22\DRR Jaime\Neiva CPI\[DINA TERCIARIOS_CF_SEC_New_27-Mar-2024.xlsx]D-PRBDP'!</v>
      </c>
      <c r="G977" s="32" t="s">
        <v>119</v>
      </c>
      <c r="H977" s="33"/>
      <c r="I977" s="33"/>
      <c r="J977" s="37"/>
    </row>
    <row r="978" spans="1:10" x14ac:dyDescent="0.3">
      <c r="A978" s="32" t="s">
        <v>17</v>
      </c>
      <c r="B978" s="32">
        <f t="shared" si="243"/>
        <v>2049</v>
      </c>
      <c r="C978" s="33" t="s">
        <v>37</v>
      </c>
      <c r="D978" s="34" t="s">
        <v>2002</v>
      </c>
      <c r="E978" s="35" t="str">
        <f t="shared" si="241"/>
        <v>PRBDP'!</v>
      </c>
      <c r="F978" s="34" t="str">
        <f t="shared" si="242"/>
        <v>C:\Users\jaime.benazar\Quorum Business Solutions\Ecopetrol Prometeo - Documents\Planning Space Implementation\3. Analysis &amp; Design\Design\FC22\DRR Jaime\Neiva CPI\[DINA TERCIARIOS_CF_SEC_New_27-Mar-2024.xlsx]D-PRBDP'!</v>
      </c>
      <c r="G978" s="32" t="s">
        <v>119</v>
      </c>
      <c r="H978" s="33"/>
      <c r="I978" s="33"/>
      <c r="J978" s="37"/>
    </row>
    <row r="979" spans="1:10" x14ac:dyDescent="0.3">
      <c r="A979" s="32" t="s">
        <v>17</v>
      </c>
      <c r="B979" s="32">
        <f t="shared" si="243"/>
        <v>2050</v>
      </c>
      <c r="C979" s="33" t="s">
        <v>37</v>
      </c>
      <c r="D979" s="34" t="s">
        <v>2002</v>
      </c>
      <c r="E979" s="35" t="str">
        <f t="shared" si="241"/>
        <v>PRBDP'!</v>
      </c>
      <c r="F979" s="34" t="str">
        <f t="shared" si="242"/>
        <v>C:\Users\jaime.benazar\Quorum Business Solutions\Ecopetrol Prometeo - Documents\Planning Space Implementation\3. Analysis &amp; Design\Design\FC22\DRR Jaime\Neiva CPI\[DINA TERCIARIOS_CF_SEC_New_27-Mar-2024.xlsx]D-PRBDP'!</v>
      </c>
      <c r="G979" s="32" t="s">
        <v>119</v>
      </c>
      <c r="H979" s="33"/>
      <c r="I979" s="33"/>
      <c r="J979" s="37"/>
    </row>
    <row r="980" spans="1:10" x14ac:dyDescent="0.3">
      <c r="A980" s="32" t="s">
        <v>17</v>
      </c>
      <c r="B980" s="32">
        <f t="shared" si="243"/>
        <v>2051</v>
      </c>
      <c r="C980" s="33" t="s">
        <v>37</v>
      </c>
      <c r="D980" s="34" t="s">
        <v>2002</v>
      </c>
      <c r="E980" s="35" t="str">
        <f t="shared" si="241"/>
        <v>PRBDP'!</v>
      </c>
      <c r="F980" s="34" t="str">
        <f t="shared" si="242"/>
        <v>C:\Users\jaime.benazar\Quorum Business Solutions\Ecopetrol Prometeo - Documents\Planning Space Implementation\3. Analysis &amp; Design\Design\FC22\DRR Jaime\Neiva CPI\[DINA TERCIARIOS_CF_SEC_New_27-Mar-2024.xlsx]D-PRBDP'!</v>
      </c>
      <c r="G980" s="32" t="s">
        <v>119</v>
      </c>
      <c r="H980" s="33"/>
      <c r="I980" s="33"/>
      <c r="J980" s="37"/>
    </row>
    <row r="981" spans="1:10" x14ac:dyDescent="0.3">
      <c r="A981" s="32" t="s">
        <v>17</v>
      </c>
      <c r="B981" s="32">
        <f t="shared" si="243"/>
        <v>2052</v>
      </c>
      <c r="C981" s="33" t="s">
        <v>37</v>
      </c>
      <c r="D981" s="34" t="s">
        <v>2002</v>
      </c>
      <c r="E981" s="35" t="str">
        <f t="shared" si="241"/>
        <v>PRBDP'!</v>
      </c>
      <c r="F981" s="34" t="str">
        <f t="shared" si="242"/>
        <v>C:\Users\jaime.benazar\Quorum Business Solutions\Ecopetrol Prometeo - Documents\Planning Space Implementation\3. Analysis &amp; Design\Design\FC22\DRR Jaime\Neiva CPI\[DINA TERCIARIOS_CF_SEC_New_27-Mar-2024.xlsx]D-PRBDP'!</v>
      </c>
      <c r="G981" s="32" t="s">
        <v>119</v>
      </c>
      <c r="H981" s="33"/>
      <c r="I981" s="33"/>
      <c r="J981" s="37"/>
    </row>
    <row r="982" spans="1:10" x14ac:dyDescent="0.3">
      <c r="A982" s="32" t="s">
        <v>17</v>
      </c>
      <c r="B982" s="32">
        <f t="shared" si="243"/>
        <v>2053</v>
      </c>
      <c r="C982" s="33" t="s">
        <v>37</v>
      </c>
      <c r="D982" s="34" t="s">
        <v>2002</v>
      </c>
      <c r="E982" s="35" t="str">
        <f t="shared" si="241"/>
        <v>PRBDP'!</v>
      </c>
      <c r="F982" s="34" t="str">
        <f t="shared" si="242"/>
        <v>C:\Users\jaime.benazar\Quorum Business Solutions\Ecopetrol Prometeo - Documents\Planning Space Implementation\3. Analysis &amp; Design\Design\FC22\DRR Jaime\Neiva CPI\[DINA TERCIARIOS_CF_SEC_New_27-Mar-2024.xlsx]D-PRBDP'!</v>
      </c>
      <c r="G982" s="32" t="s">
        <v>119</v>
      </c>
      <c r="H982" s="33"/>
      <c r="I982" s="33"/>
      <c r="J982" s="37"/>
    </row>
    <row r="983" spans="1:10" x14ac:dyDescent="0.3">
      <c r="A983" s="32" t="s">
        <v>17</v>
      </c>
      <c r="B983" s="32">
        <f t="shared" si="243"/>
        <v>2054</v>
      </c>
      <c r="C983" s="33" t="s">
        <v>37</v>
      </c>
      <c r="D983" s="34" t="s">
        <v>2002</v>
      </c>
      <c r="E983" s="35" t="str">
        <f t="shared" si="241"/>
        <v>PRBDP'!</v>
      </c>
      <c r="F983" s="34" t="str">
        <f t="shared" si="242"/>
        <v>C:\Users\jaime.benazar\Quorum Business Solutions\Ecopetrol Prometeo - Documents\Planning Space Implementation\3. Analysis &amp; Design\Design\FC22\DRR Jaime\Neiva CPI\[DINA TERCIARIOS_CF_SEC_New_27-Mar-2024.xlsx]D-PRBDP'!</v>
      </c>
      <c r="G983" s="32" t="s">
        <v>119</v>
      </c>
      <c r="H983" s="33"/>
      <c r="I983" s="33"/>
      <c r="J983" s="37"/>
    </row>
    <row r="984" spans="1:10" x14ac:dyDescent="0.3">
      <c r="A984" s="32" t="s">
        <v>17</v>
      </c>
      <c r="B984" s="32">
        <f t="shared" si="243"/>
        <v>2055</v>
      </c>
      <c r="C984" s="33" t="s">
        <v>37</v>
      </c>
      <c r="D984" s="34" t="s">
        <v>2002</v>
      </c>
      <c r="E984" s="35" t="str">
        <f t="shared" si="241"/>
        <v>PRBDP'!</v>
      </c>
      <c r="F984" s="34" t="str">
        <f t="shared" si="242"/>
        <v>C:\Users\jaime.benazar\Quorum Business Solutions\Ecopetrol Prometeo - Documents\Planning Space Implementation\3. Analysis &amp; Design\Design\FC22\DRR Jaime\Neiva CPI\[DINA TERCIARIOS_CF_SEC_New_27-Mar-2024.xlsx]D-PRBDP'!</v>
      </c>
      <c r="G984" s="32" t="s">
        <v>119</v>
      </c>
      <c r="H984" s="33"/>
      <c r="I984" s="33"/>
      <c r="J984" s="37"/>
    </row>
    <row r="985" spans="1:10" x14ac:dyDescent="0.3">
      <c r="A985" s="32" t="s">
        <v>17</v>
      </c>
      <c r="B985" s="32">
        <f t="shared" si="243"/>
        <v>2056</v>
      </c>
      <c r="C985" s="33" t="s">
        <v>37</v>
      </c>
      <c r="D985" s="34" t="s">
        <v>2002</v>
      </c>
      <c r="E985" s="35" t="str">
        <f t="shared" si="241"/>
        <v>PRBDP'!</v>
      </c>
      <c r="F985" s="34" t="str">
        <f t="shared" si="242"/>
        <v>C:\Users\jaime.benazar\Quorum Business Solutions\Ecopetrol Prometeo - Documents\Planning Space Implementation\3. Analysis &amp; Design\Design\FC22\DRR Jaime\Neiva CPI\[DINA TERCIARIOS_CF_SEC_New_27-Mar-2024.xlsx]D-PRBDP'!</v>
      </c>
      <c r="G985" s="32" t="s">
        <v>119</v>
      </c>
      <c r="H985" s="33"/>
      <c r="I985" s="33"/>
      <c r="J985" s="37"/>
    </row>
    <row r="986" spans="1:10" x14ac:dyDescent="0.3">
      <c r="A986" s="32" t="s">
        <v>17</v>
      </c>
      <c r="B986" s="32">
        <f t="shared" si="243"/>
        <v>2057</v>
      </c>
      <c r="C986" s="33" t="s">
        <v>37</v>
      </c>
      <c r="D986" s="34" t="s">
        <v>2002</v>
      </c>
      <c r="E986" s="35" t="str">
        <f t="shared" si="241"/>
        <v>PRBDP'!</v>
      </c>
      <c r="F986" s="34" t="str">
        <f t="shared" si="242"/>
        <v>C:\Users\jaime.benazar\Quorum Business Solutions\Ecopetrol Prometeo - Documents\Planning Space Implementation\3. Analysis &amp; Design\Design\FC22\DRR Jaime\Neiva CPI\[DINA TERCIARIOS_CF_SEC_New_27-Mar-2024.xlsx]D-PRBDP'!</v>
      </c>
      <c r="G986" s="32" t="s">
        <v>119</v>
      </c>
      <c r="H986" s="33"/>
      <c r="I986" s="33"/>
      <c r="J986" s="37"/>
    </row>
    <row r="987" spans="1:10" x14ac:dyDescent="0.3">
      <c r="A987" s="32" t="s">
        <v>17</v>
      </c>
      <c r="B987" s="32">
        <f t="shared" si="243"/>
        <v>2058</v>
      </c>
      <c r="C987" s="33" t="s">
        <v>37</v>
      </c>
      <c r="D987" s="34" t="s">
        <v>2002</v>
      </c>
      <c r="E987" s="35" t="str">
        <f t="shared" si="241"/>
        <v>PRBDP'!</v>
      </c>
      <c r="F987" s="34" t="str">
        <f t="shared" si="242"/>
        <v>C:\Users\jaime.benazar\Quorum Business Solutions\Ecopetrol Prometeo - Documents\Planning Space Implementation\3. Analysis &amp; Design\Design\FC22\DRR Jaime\Neiva CPI\[DINA TERCIARIOS_CF_SEC_New_27-Mar-2024.xlsx]D-PRBDP'!</v>
      </c>
      <c r="G987" s="32" t="s">
        <v>119</v>
      </c>
      <c r="H987" s="33"/>
      <c r="I987" s="33"/>
      <c r="J987" s="37"/>
    </row>
    <row r="988" spans="1:10" x14ac:dyDescent="0.3">
      <c r="A988" s="32" t="s">
        <v>17</v>
      </c>
      <c r="B988" s="32">
        <f t="shared" si="243"/>
        <v>2059</v>
      </c>
      <c r="C988" s="33" t="s">
        <v>37</v>
      </c>
      <c r="D988" s="34" t="s">
        <v>2002</v>
      </c>
      <c r="E988" s="35" t="str">
        <f t="shared" si="241"/>
        <v>PRBDP'!</v>
      </c>
      <c r="F988" s="34" t="str">
        <f t="shared" si="242"/>
        <v>C:\Users\jaime.benazar\Quorum Business Solutions\Ecopetrol Prometeo - Documents\Planning Space Implementation\3. Analysis &amp; Design\Design\FC22\DRR Jaime\Neiva CPI\[DINA TERCIARIOS_CF_SEC_New_27-Mar-2024.xlsx]D-PRBDP'!</v>
      </c>
      <c r="G988" s="32" t="s">
        <v>119</v>
      </c>
      <c r="H988" s="33"/>
      <c r="I988" s="33"/>
      <c r="J988" s="37"/>
    </row>
    <row r="989" spans="1:10" x14ac:dyDescent="0.3">
      <c r="A989" s="32" t="s">
        <v>26</v>
      </c>
      <c r="B989" s="32"/>
      <c r="C989" s="33" t="s">
        <v>37</v>
      </c>
      <c r="D989" s="34"/>
      <c r="E989" s="35"/>
      <c r="F989" s="34"/>
      <c r="G989" s="32"/>
      <c r="H989" s="33"/>
      <c r="I989" s="33"/>
      <c r="J989" s="33"/>
    </row>
    <row r="990" spans="1:10" x14ac:dyDescent="0.3">
      <c r="A990" s="32" t="s">
        <v>18</v>
      </c>
      <c r="B990" s="32">
        <v>2023</v>
      </c>
      <c r="C990" s="33" t="s">
        <v>37</v>
      </c>
      <c r="D990" s="34" t="s">
        <v>2002</v>
      </c>
      <c r="E990" s="35" t="str">
        <f t="shared" ref="E990:E1010" si="244">_xlfn.CONCAT(A990,"'!")</f>
        <v>PRBNP'!</v>
      </c>
      <c r="F990" s="34" t="str">
        <f t="shared" ref="F990:F1010" si="245">_xlfn.CONCAT(D990:E990)</f>
        <v>C:\Users\jaime.benazar\Quorum Business Solutions\Ecopetrol Prometeo - Documents\Planning Space Implementation\3. Analysis &amp; Design\Design\FC22\DRR Jaime\Neiva CPI\[DINA TERCIARIOS_CF_SEC_New_27-Mar-2024.xlsx]D-PRBNP'!</v>
      </c>
      <c r="G990" s="32" t="s">
        <v>119</v>
      </c>
      <c r="H990" s="33"/>
      <c r="I990" s="33"/>
      <c r="J990" s="37"/>
    </row>
    <row r="991" spans="1:10" x14ac:dyDescent="0.3">
      <c r="A991" s="32" t="s">
        <v>18</v>
      </c>
      <c r="B991" s="32">
        <f>+B990+1</f>
        <v>2024</v>
      </c>
      <c r="C991" s="33" t="s">
        <v>37</v>
      </c>
      <c r="D991" s="34" t="s">
        <v>2002</v>
      </c>
      <c r="E991" s="35" t="str">
        <f t="shared" si="244"/>
        <v>PRBNP'!</v>
      </c>
      <c r="F991" s="34" t="str">
        <f t="shared" si="245"/>
        <v>C:\Users\jaime.benazar\Quorum Business Solutions\Ecopetrol Prometeo - Documents\Planning Space Implementation\3. Analysis &amp; Design\Design\FC22\DRR Jaime\Neiva CPI\[DINA TERCIARIOS_CF_SEC_New_27-Mar-2024.xlsx]D-PRBNP'!</v>
      </c>
      <c r="G991" s="32" t="s">
        <v>119</v>
      </c>
      <c r="H991" s="33"/>
      <c r="I991" s="33"/>
      <c r="J991" s="37"/>
    </row>
    <row r="992" spans="1:10" x14ac:dyDescent="0.3">
      <c r="A992" s="32" t="s">
        <v>18</v>
      </c>
      <c r="B992" s="32">
        <f t="shared" ref="B992:B1003" si="246">+B991+1</f>
        <v>2025</v>
      </c>
      <c r="C992" s="33" t="s">
        <v>37</v>
      </c>
      <c r="D992" s="34" t="s">
        <v>2002</v>
      </c>
      <c r="E992" s="35" t="str">
        <f t="shared" si="244"/>
        <v>PRBNP'!</v>
      </c>
      <c r="F992" s="34" t="str">
        <f t="shared" si="245"/>
        <v>C:\Users\jaime.benazar\Quorum Business Solutions\Ecopetrol Prometeo - Documents\Planning Space Implementation\3. Analysis &amp; Design\Design\FC22\DRR Jaime\Neiva CPI\[DINA TERCIARIOS_CF_SEC_New_27-Mar-2024.xlsx]D-PRBNP'!</v>
      </c>
      <c r="G992" s="32" t="s">
        <v>119</v>
      </c>
      <c r="H992" s="33"/>
      <c r="I992" s="33"/>
      <c r="J992" s="37"/>
    </row>
    <row r="993" spans="1:10" x14ac:dyDescent="0.3">
      <c r="A993" s="32" t="s">
        <v>18</v>
      </c>
      <c r="B993" s="32">
        <f t="shared" si="246"/>
        <v>2026</v>
      </c>
      <c r="C993" s="33" t="s">
        <v>37</v>
      </c>
      <c r="D993" s="34" t="s">
        <v>2002</v>
      </c>
      <c r="E993" s="35" t="str">
        <f t="shared" si="244"/>
        <v>PRBNP'!</v>
      </c>
      <c r="F993" s="34" t="str">
        <f t="shared" si="245"/>
        <v>C:\Users\jaime.benazar\Quorum Business Solutions\Ecopetrol Prometeo - Documents\Planning Space Implementation\3. Analysis &amp; Design\Design\FC22\DRR Jaime\Neiva CPI\[DINA TERCIARIOS_CF_SEC_New_27-Mar-2024.xlsx]D-PRBNP'!</v>
      </c>
      <c r="G993" s="32" t="s">
        <v>119</v>
      </c>
      <c r="H993" s="33"/>
      <c r="I993" s="33"/>
      <c r="J993" s="37"/>
    </row>
    <row r="994" spans="1:10" x14ac:dyDescent="0.3">
      <c r="A994" s="32" t="s">
        <v>18</v>
      </c>
      <c r="B994" s="32">
        <f t="shared" si="246"/>
        <v>2027</v>
      </c>
      <c r="C994" s="33" t="s">
        <v>37</v>
      </c>
      <c r="D994" s="34" t="s">
        <v>2002</v>
      </c>
      <c r="E994" s="35" t="str">
        <f t="shared" si="244"/>
        <v>PRBNP'!</v>
      </c>
      <c r="F994" s="34" t="str">
        <f t="shared" si="245"/>
        <v>C:\Users\jaime.benazar\Quorum Business Solutions\Ecopetrol Prometeo - Documents\Planning Space Implementation\3. Analysis &amp; Design\Design\FC22\DRR Jaime\Neiva CPI\[DINA TERCIARIOS_CF_SEC_New_27-Mar-2024.xlsx]D-PRBNP'!</v>
      </c>
      <c r="G994" s="32" t="s">
        <v>119</v>
      </c>
      <c r="H994" s="33"/>
      <c r="I994" s="33"/>
      <c r="J994" s="37"/>
    </row>
    <row r="995" spans="1:10" x14ac:dyDescent="0.3">
      <c r="A995" s="32" t="s">
        <v>18</v>
      </c>
      <c r="B995" s="32">
        <f t="shared" si="246"/>
        <v>2028</v>
      </c>
      <c r="C995" s="33" t="s">
        <v>37</v>
      </c>
      <c r="D995" s="34" t="s">
        <v>2002</v>
      </c>
      <c r="E995" s="35" t="str">
        <f t="shared" si="244"/>
        <v>PRBNP'!</v>
      </c>
      <c r="F995" s="34" t="str">
        <f t="shared" si="245"/>
        <v>C:\Users\jaime.benazar\Quorum Business Solutions\Ecopetrol Prometeo - Documents\Planning Space Implementation\3. Analysis &amp; Design\Design\FC22\DRR Jaime\Neiva CPI\[DINA TERCIARIOS_CF_SEC_New_27-Mar-2024.xlsx]D-PRBNP'!</v>
      </c>
      <c r="G995" s="32" t="s">
        <v>119</v>
      </c>
      <c r="H995" s="33"/>
      <c r="I995" s="33"/>
      <c r="J995" s="37"/>
    </row>
    <row r="996" spans="1:10" x14ac:dyDescent="0.3">
      <c r="A996" s="32" t="s">
        <v>18</v>
      </c>
      <c r="B996" s="32">
        <f t="shared" si="246"/>
        <v>2029</v>
      </c>
      <c r="C996" s="33" t="s">
        <v>37</v>
      </c>
      <c r="D996" s="34" t="s">
        <v>2002</v>
      </c>
      <c r="E996" s="35" t="str">
        <f t="shared" si="244"/>
        <v>PRBNP'!</v>
      </c>
      <c r="F996" s="34" t="str">
        <f t="shared" si="245"/>
        <v>C:\Users\jaime.benazar\Quorum Business Solutions\Ecopetrol Prometeo - Documents\Planning Space Implementation\3. Analysis &amp; Design\Design\FC22\DRR Jaime\Neiva CPI\[DINA TERCIARIOS_CF_SEC_New_27-Mar-2024.xlsx]D-PRBNP'!</v>
      </c>
      <c r="G996" s="32" t="s">
        <v>119</v>
      </c>
      <c r="H996" s="33"/>
      <c r="I996" s="33"/>
      <c r="J996" s="37"/>
    </row>
    <row r="997" spans="1:10" x14ac:dyDescent="0.3">
      <c r="A997" s="32" t="s">
        <v>18</v>
      </c>
      <c r="B997" s="32">
        <f t="shared" si="246"/>
        <v>2030</v>
      </c>
      <c r="C997" s="33" t="s">
        <v>37</v>
      </c>
      <c r="D997" s="34" t="s">
        <v>2002</v>
      </c>
      <c r="E997" s="35" t="str">
        <f t="shared" si="244"/>
        <v>PRBNP'!</v>
      </c>
      <c r="F997" s="34" t="str">
        <f t="shared" si="245"/>
        <v>C:\Users\jaime.benazar\Quorum Business Solutions\Ecopetrol Prometeo - Documents\Planning Space Implementation\3. Analysis &amp; Design\Design\FC22\DRR Jaime\Neiva CPI\[DINA TERCIARIOS_CF_SEC_New_27-Mar-2024.xlsx]D-PRBNP'!</v>
      </c>
      <c r="G997" s="32" t="s">
        <v>119</v>
      </c>
      <c r="H997" s="33"/>
      <c r="I997" s="33"/>
      <c r="J997" s="37"/>
    </row>
    <row r="998" spans="1:10" x14ac:dyDescent="0.3">
      <c r="A998" s="32" t="s">
        <v>18</v>
      </c>
      <c r="B998" s="32">
        <f t="shared" si="246"/>
        <v>2031</v>
      </c>
      <c r="C998" s="33" t="s">
        <v>37</v>
      </c>
      <c r="D998" s="34" t="s">
        <v>2002</v>
      </c>
      <c r="E998" s="35" t="str">
        <f t="shared" si="244"/>
        <v>PRBNP'!</v>
      </c>
      <c r="F998" s="34" t="str">
        <f t="shared" si="245"/>
        <v>C:\Users\jaime.benazar\Quorum Business Solutions\Ecopetrol Prometeo - Documents\Planning Space Implementation\3. Analysis &amp; Design\Design\FC22\DRR Jaime\Neiva CPI\[DINA TERCIARIOS_CF_SEC_New_27-Mar-2024.xlsx]D-PRBNP'!</v>
      </c>
      <c r="G998" s="32" t="s">
        <v>119</v>
      </c>
      <c r="H998" s="33"/>
      <c r="I998" s="33"/>
      <c r="J998" s="37"/>
    </row>
    <row r="999" spans="1:10" x14ac:dyDescent="0.3">
      <c r="A999" s="32" t="s">
        <v>18</v>
      </c>
      <c r="B999" s="32">
        <f t="shared" si="246"/>
        <v>2032</v>
      </c>
      <c r="C999" s="33" t="s">
        <v>37</v>
      </c>
      <c r="D999" s="34" t="s">
        <v>2002</v>
      </c>
      <c r="E999" s="35" t="str">
        <f t="shared" si="244"/>
        <v>PRBNP'!</v>
      </c>
      <c r="F999" s="34" t="str">
        <f t="shared" si="245"/>
        <v>C:\Users\jaime.benazar\Quorum Business Solutions\Ecopetrol Prometeo - Documents\Planning Space Implementation\3. Analysis &amp; Design\Design\FC22\DRR Jaime\Neiva CPI\[DINA TERCIARIOS_CF_SEC_New_27-Mar-2024.xlsx]D-PRBNP'!</v>
      </c>
      <c r="G999" s="32" t="s">
        <v>119</v>
      </c>
      <c r="H999" s="33"/>
      <c r="I999" s="33"/>
      <c r="J999" s="37"/>
    </row>
    <row r="1000" spans="1:10" x14ac:dyDescent="0.3">
      <c r="A1000" s="32" t="s">
        <v>18</v>
      </c>
      <c r="B1000" s="32">
        <f t="shared" si="246"/>
        <v>2033</v>
      </c>
      <c r="C1000" s="33" t="s">
        <v>37</v>
      </c>
      <c r="D1000" s="34" t="s">
        <v>2002</v>
      </c>
      <c r="E1000" s="35" t="str">
        <f t="shared" si="244"/>
        <v>PRBNP'!</v>
      </c>
      <c r="F1000" s="34" t="str">
        <f t="shared" si="245"/>
        <v>C:\Users\jaime.benazar\Quorum Business Solutions\Ecopetrol Prometeo - Documents\Planning Space Implementation\3. Analysis &amp; Design\Design\FC22\DRR Jaime\Neiva CPI\[DINA TERCIARIOS_CF_SEC_New_27-Mar-2024.xlsx]D-PRBNP'!</v>
      </c>
      <c r="G1000" s="32" t="s">
        <v>119</v>
      </c>
      <c r="H1000" s="33"/>
      <c r="I1000" s="33"/>
      <c r="J1000" s="37"/>
    </row>
    <row r="1001" spans="1:10" x14ac:dyDescent="0.3">
      <c r="A1001" s="32" t="s">
        <v>18</v>
      </c>
      <c r="B1001" s="32">
        <f t="shared" si="246"/>
        <v>2034</v>
      </c>
      <c r="C1001" s="33" t="s">
        <v>37</v>
      </c>
      <c r="D1001" s="34" t="s">
        <v>2002</v>
      </c>
      <c r="E1001" s="35" t="str">
        <f t="shared" si="244"/>
        <v>PRBNP'!</v>
      </c>
      <c r="F1001" s="34" t="str">
        <f t="shared" si="245"/>
        <v>C:\Users\jaime.benazar\Quorum Business Solutions\Ecopetrol Prometeo - Documents\Planning Space Implementation\3. Analysis &amp; Design\Design\FC22\DRR Jaime\Neiva CPI\[DINA TERCIARIOS_CF_SEC_New_27-Mar-2024.xlsx]D-PRBNP'!</v>
      </c>
      <c r="G1001" s="32" t="s">
        <v>119</v>
      </c>
      <c r="H1001" s="33"/>
      <c r="I1001" s="33"/>
      <c r="J1001" s="37"/>
    </row>
    <row r="1002" spans="1:10" x14ac:dyDescent="0.3">
      <c r="A1002" s="32" t="s">
        <v>18</v>
      </c>
      <c r="B1002" s="32">
        <f t="shared" si="246"/>
        <v>2035</v>
      </c>
      <c r="C1002" s="33" t="s">
        <v>37</v>
      </c>
      <c r="D1002" s="34" t="s">
        <v>2002</v>
      </c>
      <c r="E1002" s="35" t="str">
        <f t="shared" si="244"/>
        <v>PRBNP'!</v>
      </c>
      <c r="F1002" s="34" t="str">
        <f t="shared" si="245"/>
        <v>C:\Users\jaime.benazar\Quorum Business Solutions\Ecopetrol Prometeo - Documents\Planning Space Implementation\3. Analysis &amp; Design\Design\FC22\DRR Jaime\Neiva CPI\[DINA TERCIARIOS_CF_SEC_New_27-Mar-2024.xlsx]D-PRBNP'!</v>
      </c>
      <c r="G1002" s="32" t="s">
        <v>119</v>
      </c>
      <c r="H1002" s="33"/>
      <c r="I1002" s="33"/>
      <c r="J1002" s="37"/>
    </row>
    <row r="1003" spans="1:10" x14ac:dyDescent="0.3">
      <c r="A1003" s="32" t="s">
        <v>18</v>
      </c>
      <c r="B1003" s="32">
        <f t="shared" si="246"/>
        <v>2036</v>
      </c>
      <c r="C1003" s="33" t="s">
        <v>37</v>
      </c>
      <c r="D1003" s="34" t="s">
        <v>2002</v>
      </c>
      <c r="E1003" s="35" t="str">
        <f t="shared" si="244"/>
        <v>PRBNP'!</v>
      </c>
      <c r="F1003" s="34" t="str">
        <f t="shared" si="245"/>
        <v>C:\Users\jaime.benazar\Quorum Business Solutions\Ecopetrol Prometeo - Documents\Planning Space Implementation\3. Analysis &amp; Design\Design\FC22\DRR Jaime\Neiva CPI\[DINA TERCIARIOS_CF_SEC_New_27-Mar-2024.xlsx]D-PRBNP'!</v>
      </c>
      <c r="G1003" s="32" t="s">
        <v>119</v>
      </c>
      <c r="H1003" s="33"/>
      <c r="I1003" s="33"/>
      <c r="J1003" s="37"/>
    </row>
    <row r="1004" spans="1:10" x14ac:dyDescent="0.3">
      <c r="A1004" s="32" t="s">
        <v>18</v>
      </c>
      <c r="B1004" s="32">
        <f>+B1003+1</f>
        <v>2037</v>
      </c>
      <c r="C1004" s="33" t="s">
        <v>37</v>
      </c>
      <c r="D1004" s="34" t="s">
        <v>2002</v>
      </c>
      <c r="E1004" s="35" t="str">
        <f t="shared" si="244"/>
        <v>PRBNP'!</v>
      </c>
      <c r="F1004" s="34" t="str">
        <f t="shared" si="245"/>
        <v>C:\Users\jaime.benazar\Quorum Business Solutions\Ecopetrol Prometeo - Documents\Planning Space Implementation\3. Analysis &amp; Design\Design\FC22\DRR Jaime\Neiva CPI\[DINA TERCIARIOS_CF_SEC_New_27-Mar-2024.xlsx]D-PRBNP'!</v>
      </c>
      <c r="G1004" s="32" t="s">
        <v>119</v>
      </c>
      <c r="H1004" s="33"/>
      <c r="I1004" s="33"/>
      <c r="J1004" s="37"/>
    </row>
    <row r="1005" spans="1:10" x14ac:dyDescent="0.3">
      <c r="A1005" s="32" t="s">
        <v>18</v>
      </c>
      <c r="B1005" s="32">
        <f t="shared" ref="B1005:B1007" si="247">+B1004+1</f>
        <v>2038</v>
      </c>
      <c r="C1005" s="33" t="s">
        <v>37</v>
      </c>
      <c r="D1005" s="34" t="s">
        <v>2002</v>
      </c>
      <c r="E1005" s="35" t="str">
        <f t="shared" si="244"/>
        <v>PRBNP'!</v>
      </c>
      <c r="F1005" s="34" t="str">
        <f t="shared" si="245"/>
        <v>C:\Users\jaime.benazar\Quorum Business Solutions\Ecopetrol Prometeo - Documents\Planning Space Implementation\3. Analysis &amp; Design\Design\FC22\DRR Jaime\Neiva CPI\[DINA TERCIARIOS_CF_SEC_New_27-Mar-2024.xlsx]D-PRBNP'!</v>
      </c>
      <c r="G1005" s="32" t="s">
        <v>119</v>
      </c>
      <c r="H1005" s="33"/>
      <c r="I1005" s="33"/>
      <c r="J1005" s="37"/>
    </row>
    <row r="1006" spans="1:10" x14ac:dyDescent="0.3">
      <c r="A1006" s="32" t="s">
        <v>18</v>
      </c>
      <c r="B1006" s="32">
        <f t="shared" si="247"/>
        <v>2039</v>
      </c>
      <c r="C1006" s="33" t="s">
        <v>37</v>
      </c>
      <c r="D1006" s="34" t="s">
        <v>2002</v>
      </c>
      <c r="E1006" s="35" t="str">
        <f t="shared" si="244"/>
        <v>PRBNP'!</v>
      </c>
      <c r="F1006" s="34" t="str">
        <f t="shared" si="245"/>
        <v>C:\Users\jaime.benazar\Quorum Business Solutions\Ecopetrol Prometeo - Documents\Planning Space Implementation\3. Analysis &amp; Design\Design\FC22\DRR Jaime\Neiva CPI\[DINA TERCIARIOS_CF_SEC_New_27-Mar-2024.xlsx]D-PRBNP'!</v>
      </c>
      <c r="G1006" s="32" t="s">
        <v>119</v>
      </c>
      <c r="H1006" s="33"/>
      <c r="I1006" s="33"/>
      <c r="J1006" s="37"/>
    </row>
    <row r="1007" spans="1:10" x14ac:dyDescent="0.3">
      <c r="A1007" s="32" t="s">
        <v>18</v>
      </c>
      <c r="B1007" s="32">
        <f t="shared" si="247"/>
        <v>2040</v>
      </c>
      <c r="C1007" s="33" t="s">
        <v>37</v>
      </c>
      <c r="D1007" s="34" t="s">
        <v>2002</v>
      </c>
      <c r="E1007" s="35" t="str">
        <f t="shared" si="244"/>
        <v>PRBNP'!</v>
      </c>
      <c r="F1007" s="34" t="str">
        <f t="shared" si="245"/>
        <v>C:\Users\jaime.benazar\Quorum Business Solutions\Ecopetrol Prometeo - Documents\Planning Space Implementation\3. Analysis &amp; Design\Design\FC22\DRR Jaime\Neiva CPI\[DINA TERCIARIOS_CF_SEC_New_27-Mar-2024.xlsx]D-PRBNP'!</v>
      </c>
      <c r="G1007" s="32" t="s">
        <v>119</v>
      </c>
      <c r="H1007" s="33"/>
      <c r="I1007" s="33"/>
      <c r="J1007" s="37"/>
    </row>
    <row r="1008" spans="1:10" x14ac:dyDescent="0.3">
      <c r="A1008" s="32" t="s">
        <v>18</v>
      </c>
      <c r="B1008" s="32">
        <f>+B1007+1</f>
        <v>2041</v>
      </c>
      <c r="C1008" s="33" t="s">
        <v>37</v>
      </c>
      <c r="D1008" s="34" t="s">
        <v>2002</v>
      </c>
      <c r="E1008" s="35" t="str">
        <f t="shared" si="244"/>
        <v>PRBNP'!</v>
      </c>
      <c r="F1008" s="34" t="str">
        <f t="shared" si="245"/>
        <v>C:\Users\jaime.benazar\Quorum Business Solutions\Ecopetrol Prometeo - Documents\Planning Space Implementation\3. Analysis &amp; Design\Design\FC22\DRR Jaime\Neiva CPI\[DINA TERCIARIOS_CF_SEC_New_27-Mar-2024.xlsx]D-PRBNP'!</v>
      </c>
      <c r="G1008" s="32" t="s">
        <v>119</v>
      </c>
      <c r="H1008" s="33"/>
      <c r="I1008" s="33"/>
      <c r="J1008" s="37"/>
    </row>
    <row r="1009" spans="1:10" x14ac:dyDescent="0.3">
      <c r="A1009" s="32" t="s">
        <v>18</v>
      </c>
      <c r="B1009" s="32">
        <f t="shared" ref="B1009:B1010" si="248">+B1008+1</f>
        <v>2042</v>
      </c>
      <c r="C1009" s="33" t="s">
        <v>37</v>
      </c>
      <c r="D1009" s="34" t="s">
        <v>2002</v>
      </c>
      <c r="E1009" s="35" t="str">
        <f t="shared" si="244"/>
        <v>PRBNP'!</v>
      </c>
      <c r="F1009" s="34" t="str">
        <f t="shared" si="245"/>
        <v>C:\Users\jaime.benazar\Quorum Business Solutions\Ecopetrol Prometeo - Documents\Planning Space Implementation\3. Analysis &amp; Design\Design\FC22\DRR Jaime\Neiva CPI\[DINA TERCIARIOS_CF_SEC_New_27-Mar-2024.xlsx]D-PRBNP'!</v>
      </c>
      <c r="G1009" s="32" t="s">
        <v>119</v>
      </c>
      <c r="H1009" s="33"/>
      <c r="I1009" s="33"/>
      <c r="J1009" s="37"/>
    </row>
    <row r="1010" spans="1:10" x14ac:dyDescent="0.3">
      <c r="A1010" s="32" t="s">
        <v>18</v>
      </c>
      <c r="B1010" s="32">
        <f t="shared" si="248"/>
        <v>2043</v>
      </c>
      <c r="C1010" s="33" t="s">
        <v>37</v>
      </c>
      <c r="D1010" s="34" t="s">
        <v>2002</v>
      </c>
      <c r="E1010" s="35" t="str">
        <f t="shared" si="244"/>
        <v>PRBNP'!</v>
      </c>
      <c r="F1010" s="34" t="str">
        <f t="shared" si="245"/>
        <v>C:\Users\jaime.benazar\Quorum Business Solutions\Ecopetrol Prometeo - Documents\Planning Space Implementation\3. Analysis &amp; Design\Design\FC22\DRR Jaime\Neiva CPI\[DINA TERCIARIOS_CF_SEC_New_27-Mar-2024.xlsx]D-PRBNP'!</v>
      </c>
      <c r="G1010" s="32" t="s">
        <v>119</v>
      </c>
      <c r="H1010" s="33"/>
      <c r="I1010" s="33"/>
      <c r="J1010" s="37"/>
    </row>
    <row r="1011" spans="1:10" x14ac:dyDescent="0.3">
      <c r="A1011" s="32" t="s">
        <v>18</v>
      </c>
      <c r="B1011" s="32">
        <f>+B1010+1</f>
        <v>2044</v>
      </c>
      <c r="C1011" s="33" t="s">
        <v>37</v>
      </c>
      <c r="D1011" s="34" t="s">
        <v>2002</v>
      </c>
      <c r="E1011" s="35" t="str">
        <f t="shared" ref="E1011:E1026" si="249">_xlfn.CONCAT(A1011,"'!")</f>
        <v>PRBNP'!</v>
      </c>
      <c r="F1011" s="34" t="str">
        <f t="shared" ref="F1011:F1026" si="250">_xlfn.CONCAT(D1011:E1011)</f>
        <v>C:\Users\jaime.benazar\Quorum Business Solutions\Ecopetrol Prometeo - Documents\Planning Space Implementation\3. Analysis &amp; Design\Design\FC22\DRR Jaime\Neiva CPI\[DINA TERCIARIOS_CF_SEC_New_27-Mar-2024.xlsx]D-PRBNP'!</v>
      </c>
      <c r="G1011" s="32" t="s">
        <v>119</v>
      </c>
      <c r="H1011" s="33"/>
      <c r="I1011" s="33"/>
      <c r="J1011" s="37"/>
    </row>
    <row r="1012" spans="1:10" x14ac:dyDescent="0.3">
      <c r="A1012" s="32" t="s">
        <v>18</v>
      </c>
      <c r="B1012" s="32">
        <f t="shared" ref="B1012:B1026" si="251">+B1011+1</f>
        <v>2045</v>
      </c>
      <c r="C1012" s="33" t="s">
        <v>37</v>
      </c>
      <c r="D1012" s="34" t="s">
        <v>2002</v>
      </c>
      <c r="E1012" s="35" t="str">
        <f t="shared" si="249"/>
        <v>PRBNP'!</v>
      </c>
      <c r="F1012" s="34" t="str">
        <f t="shared" si="250"/>
        <v>C:\Users\jaime.benazar\Quorum Business Solutions\Ecopetrol Prometeo - Documents\Planning Space Implementation\3. Analysis &amp; Design\Design\FC22\DRR Jaime\Neiva CPI\[DINA TERCIARIOS_CF_SEC_New_27-Mar-2024.xlsx]D-PRBNP'!</v>
      </c>
      <c r="G1012" s="32" t="s">
        <v>119</v>
      </c>
      <c r="H1012" s="33"/>
      <c r="I1012" s="33"/>
      <c r="J1012" s="37"/>
    </row>
    <row r="1013" spans="1:10" x14ac:dyDescent="0.3">
      <c r="A1013" s="32" t="s">
        <v>18</v>
      </c>
      <c r="B1013" s="32">
        <f t="shared" si="251"/>
        <v>2046</v>
      </c>
      <c r="C1013" s="33" t="s">
        <v>37</v>
      </c>
      <c r="D1013" s="34" t="s">
        <v>2002</v>
      </c>
      <c r="E1013" s="35" t="str">
        <f t="shared" si="249"/>
        <v>PRBNP'!</v>
      </c>
      <c r="F1013" s="34" t="str">
        <f t="shared" si="250"/>
        <v>C:\Users\jaime.benazar\Quorum Business Solutions\Ecopetrol Prometeo - Documents\Planning Space Implementation\3. Analysis &amp; Design\Design\FC22\DRR Jaime\Neiva CPI\[DINA TERCIARIOS_CF_SEC_New_27-Mar-2024.xlsx]D-PRBNP'!</v>
      </c>
      <c r="G1013" s="32" t="s">
        <v>119</v>
      </c>
      <c r="H1013" s="33"/>
      <c r="I1013" s="33"/>
      <c r="J1013" s="37"/>
    </row>
    <row r="1014" spans="1:10" x14ac:dyDescent="0.3">
      <c r="A1014" s="32" t="s">
        <v>18</v>
      </c>
      <c r="B1014" s="32">
        <f t="shared" si="251"/>
        <v>2047</v>
      </c>
      <c r="C1014" s="33" t="s">
        <v>37</v>
      </c>
      <c r="D1014" s="34" t="s">
        <v>2002</v>
      </c>
      <c r="E1014" s="35" t="str">
        <f t="shared" si="249"/>
        <v>PRBNP'!</v>
      </c>
      <c r="F1014" s="34" t="str">
        <f t="shared" si="250"/>
        <v>C:\Users\jaime.benazar\Quorum Business Solutions\Ecopetrol Prometeo - Documents\Planning Space Implementation\3. Analysis &amp; Design\Design\FC22\DRR Jaime\Neiva CPI\[DINA TERCIARIOS_CF_SEC_New_27-Mar-2024.xlsx]D-PRBNP'!</v>
      </c>
      <c r="G1014" s="32" t="s">
        <v>119</v>
      </c>
      <c r="H1014" s="33"/>
      <c r="I1014" s="33"/>
      <c r="J1014" s="37"/>
    </row>
    <row r="1015" spans="1:10" x14ac:dyDescent="0.3">
      <c r="A1015" s="32" t="s">
        <v>18</v>
      </c>
      <c r="B1015" s="32">
        <f t="shared" si="251"/>
        <v>2048</v>
      </c>
      <c r="C1015" s="33" t="s">
        <v>37</v>
      </c>
      <c r="D1015" s="34" t="s">
        <v>2002</v>
      </c>
      <c r="E1015" s="35" t="str">
        <f t="shared" si="249"/>
        <v>PRBNP'!</v>
      </c>
      <c r="F1015" s="34" t="str">
        <f t="shared" si="250"/>
        <v>C:\Users\jaime.benazar\Quorum Business Solutions\Ecopetrol Prometeo - Documents\Planning Space Implementation\3. Analysis &amp; Design\Design\FC22\DRR Jaime\Neiva CPI\[DINA TERCIARIOS_CF_SEC_New_27-Mar-2024.xlsx]D-PRBNP'!</v>
      </c>
      <c r="G1015" s="32" t="s">
        <v>119</v>
      </c>
      <c r="H1015" s="33"/>
      <c r="I1015" s="33"/>
      <c r="J1015" s="37"/>
    </row>
    <row r="1016" spans="1:10" x14ac:dyDescent="0.3">
      <c r="A1016" s="32" t="s">
        <v>18</v>
      </c>
      <c r="B1016" s="32">
        <f t="shared" si="251"/>
        <v>2049</v>
      </c>
      <c r="C1016" s="33" t="s">
        <v>37</v>
      </c>
      <c r="D1016" s="34" t="s">
        <v>2002</v>
      </c>
      <c r="E1016" s="35" t="str">
        <f t="shared" si="249"/>
        <v>PRBNP'!</v>
      </c>
      <c r="F1016" s="34" t="str">
        <f t="shared" si="250"/>
        <v>C:\Users\jaime.benazar\Quorum Business Solutions\Ecopetrol Prometeo - Documents\Planning Space Implementation\3. Analysis &amp; Design\Design\FC22\DRR Jaime\Neiva CPI\[DINA TERCIARIOS_CF_SEC_New_27-Mar-2024.xlsx]D-PRBNP'!</v>
      </c>
      <c r="G1016" s="32" t="s">
        <v>119</v>
      </c>
      <c r="H1016" s="33"/>
      <c r="I1016" s="33"/>
      <c r="J1016" s="37"/>
    </row>
    <row r="1017" spans="1:10" x14ac:dyDescent="0.3">
      <c r="A1017" s="32" t="s">
        <v>18</v>
      </c>
      <c r="B1017" s="32">
        <f t="shared" si="251"/>
        <v>2050</v>
      </c>
      <c r="C1017" s="33" t="s">
        <v>37</v>
      </c>
      <c r="D1017" s="34" t="s">
        <v>2002</v>
      </c>
      <c r="E1017" s="35" t="str">
        <f t="shared" si="249"/>
        <v>PRBNP'!</v>
      </c>
      <c r="F1017" s="34" t="str">
        <f t="shared" si="250"/>
        <v>C:\Users\jaime.benazar\Quorum Business Solutions\Ecopetrol Prometeo - Documents\Planning Space Implementation\3. Analysis &amp; Design\Design\FC22\DRR Jaime\Neiva CPI\[DINA TERCIARIOS_CF_SEC_New_27-Mar-2024.xlsx]D-PRBNP'!</v>
      </c>
      <c r="G1017" s="32" t="s">
        <v>119</v>
      </c>
      <c r="H1017" s="33"/>
      <c r="I1017" s="33"/>
      <c r="J1017" s="37"/>
    </row>
    <row r="1018" spans="1:10" x14ac:dyDescent="0.3">
      <c r="A1018" s="32" t="s">
        <v>18</v>
      </c>
      <c r="B1018" s="32">
        <f t="shared" si="251"/>
        <v>2051</v>
      </c>
      <c r="C1018" s="33" t="s">
        <v>37</v>
      </c>
      <c r="D1018" s="34" t="s">
        <v>2002</v>
      </c>
      <c r="E1018" s="35" t="str">
        <f t="shared" si="249"/>
        <v>PRBNP'!</v>
      </c>
      <c r="F1018" s="34" t="str">
        <f t="shared" si="250"/>
        <v>C:\Users\jaime.benazar\Quorum Business Solutions\Ecopetrol Prometeo - Documents\Planning Space Implementation\3. Analysis &amp; Design\Design\FC22\DRR Jaime\Neiva CPI\[DINA TERCIARIOS_CF_SEC_New_27-Mar-2024.xlsx]D-PRBNP'!</v>
      </c>
      <c r="G1018" s="32" t="s">
        <v>119</v>
      </c>
      <c r="H1018" s="33"/>
      <c r="I1018" s="33"/>
      <c r="J1018" s="37"/>
    </row>
    <row r="1019" spans="1:10" x14ac:dyDescent="0.3">
      <c r="A1019" s="32" t="s">
        <v>18</v>
      </c>
      <c r="B1019" s="32">
        <f t="shared" si="251"/>
        <v>2052</v>
      </c>
      <c r="C1019" s="33" t="s">
        <v>37</v>
      </c>
      <c r="D1019" s="34" t="s">
        <v>2002</v>
      </c>
      <c r="E1019" s="35" t="str">
        <f t="shared" si="249"/>
        <v>PRBNP'!</v>
      </c>
      <c r="F1019" s="34" t="str">
        <f t="shared" si="250"/>
        <v>C:\Users\jaime.benazar\Quorum Business Solutions\Ecopetrol Prometeo - Documents\Planning Space Implementation\3. Analysis &amp; Design\Design\FC22\DRR Jaime\Neiva CPI\[DINA TERCIARIOS_CF_SEC_New_27-Mar-2024.xlsx]D-PRBNP'!</v>
      </c>
      <c r="G1019" s="32" t="s">
        <v>119</v>
      </c>
      <c r="H1019" s="33"/>
      <c r="I1019" s="33"/>
      <c r="J1019" s="37"/>
    </row>
    <row r="1020" spans="1:10" x14ac:dyDescent="0.3">
      <c r="A1020" s="32" t="s">
        <v>18</v>
      </c>
      <c r="B1020" s="32">
        <f t="shared" si="251"/>
        <v>2053</v>
      </c>
      <c r="C1020" s="33" t="s">
        <v>37</v>
      </c>
      <c r="D1020" s="34" t="s">
        <v>2002</v>
      </c>
      <c r="E1020" s="35" t="str">
        <f t="shared" si="249"/>
        <v>PRBNP'!</v>
      </c>
      <c r="F1020" s="34" t="str">
        <f t="shared" si="250"/>
        <v>C:\Users\jaime.benazar\Quorum Business Solutions\Ecopetrol Prometeo - Documents\Planning Space Implementation\3. Analysis &amp; Design\Design\FC22\DRR Jaime\Neiva CPI\[DINA TERCIARIOS_CF_SEC_New_27-Mar-2024.xlsx]D-PRBNP'!</v>
      </c>
      <c r="G1020" s="32" t="s">
        <v>119</v>
      </c>
      <c r="H1020" s="33"/>
      <c r="I1020" s="33"/>
      <c r="J1020" s="37"/>
    </row>
    <row r="1021" spans="1:10" x14ac:dyDescent="0.3">
      <c r="A1021" s="32" t="s">
        <v>18</v>
      </c>
      <c r="B1021" s="32">
        <f t="shared" si="251"/>
        <v>2054</v>
      </c>
      <c r="C1021" s="33" t="s">
        <v>37</v>
      </c>
      <c r="D1021" s="34" t="s">
        <v>2002</v>
      </c>
      <c r="E1021" s="35" t="str">
        <f t="shared" si="249"/>
        <v>PRBNP'!</v>
      </c>
      <c r="F1021" s="34" t="str">
        <f t="shared" si="250"/>
        <v>C:\Users\jaime.benazar\Quorum Business Solutions\Ecopetrol Prometeo - Documents\Planning Space Implementation\3. Analysis &amp; Design\Design\FC22\DRR Jaime\Neiva CPI\[DINA TERCIARIOS_CF_SEC_New_27-Mar-2024.xlsx]D-PRBNP'!</v>
      </c>
      <c r="G1021" s="32" t="s">
        <v>119</v>
      </c>
      <c r="H1021" s="33"/>
      <c r="I1021" s="33"/>
      <c r="J1021" s="37"/>
    </row>
    <row r="1022" spans="1:10" x14ac:dyDescent="0.3">
      <c r="A1022" s="32" t="s">
        <v>18</v>
      </c>
      <c r="B1022" s="32">
        <f t="shared" si="251"/>
        <v>2055</v>
      </c>
      <c r="C1022" s="33" t="s">
        <v>37</v>
      </c>
      <c r="D1022" s="34" t="s">
        <v>2002</v>
      </c>
      <c r="E1022" s="35" t="str">
        <f t="shared" si="249"/>
        <v>PRBNP'!</v>
      </c>
      <c r="F1022" s="34" t="str">
        <f t="shared" si="250"/>
        <v>C:\Users\jaime.benazar\Quorum Business Solutions\Ecopetrol Prometeo - Documents\Planning Space Implementation\3. Analysis &amp; Design\Design\FC22\DRR Jaime\Neiva CPI\[DINA TERCIARIOS_CF_SEC_New_27-Mar-2024.xlsx]D-PRBNP'!</v>
      </c>
      <c r="G1022" s="32" t="s">
        <v>119</v>
      </c>
      <c r="H1022" s="33"/>
      <c r="I1022" s="33"/>
      <c r="J1022" s="37"/>
    </row>
    <row r="1023" spans="1:10" x14ac:dyDescent="0.3">
      <c r="A1023" s="32" t="s">
        <v>18</v>
      </c>
      <c r="B1023" s="32">
        <f t="shared" si="251"/>
        <v>2056</v>
      </c>
      <c r="C1023" s="33" t="s">
        <v>37</v>
      </c>
      <c r="D1023" s="34" t="s">
        <v>2002</v>
      </c>
      <c r="E1023" s="35" t="str">
        <f t="shared" si="249"/>
        <v>PRBNP'!</v>
      </c>
      <c r="F1023" s="34" t="str">
        <f t="shared" si="250"/>
        <v>C:\Users\jaime.benazar\Quorum Business Solutions\Ecopetrol Prometeo - Documents\Planning Space Implementation\3. Analysis &amp; Design\Design\FC22\DRR Jaime\Neiva CPI\[DINA TERCIARIOS_CF_SEC_New_27-Mar-2024.xlsx]D-PRBNP'!</v>
      </c>
      <c r="G1023" s="32" t="s">
        <v>119</v>
      </c>
      <c r="H1023" s="33"/>
      <c r="I1023" s="33"/>
      <c r="J1023" s="37"/>
    </row>
    <row r="1024" spans="1:10" x14ac:dyDescent="0.3">
      <c r="A1024" s="32" t="s">
        <v>18</v>
      </c>
      <c r="B1024" s="32">
        <f t="shared" si="251"/>
        <v>2057</v>
      </c>
      <c r="C1024" s="33" t="s">
        <v>37</v>
      </c>
      <c r="D1024" s="34" t="s">
        <v>2002</v>
      </c>
      <c r="E1024" s="35" t="str">
        <f t="shared" si="249"/>
        <v>PRBNP'!</v>
      </c>
      <c r="F1024" s="34" t="str">
        <f t="shared" si="250"/>
        <v>C:\Users\jaime.benazar\Quorum Business Solutions\Ecopetrol Prometeo - Documents\Planning Space Implementation\3. Analysis &amp; Design\Design\FC22\DRR Jaime\Neiva CPI\[DINA TERCIARIOS_CF_SEC_New_27-Mar-2024.xlsx]D-PRBNP'!</v>
      </c>
      <c r="G1024" s="32" t="s">
        <v>119</v>
      </c>
      <c r="H1024" s="33"/>
      <c r="I1024" s="33"/>
      <c r="J1024" s="37"/>
    </row>
    <row r="1025" spans="1:10" x14ac:dyDescent="0.3">
      <c r="A1025" s="32" t="s">
        <v>18</v>
      </c>
      <c r="B1025" s="32">
        <f t="shared" si="251"/>
        <v>2058</v>
      </c>
      <c r="C1025" s="33" t="s">
        <v>37</v>
      </c>
      <c r="D1025" s="34" t="s">
        <v>2002</v>
      </c>
      <c r="E1025" s="35" t="str">
        <f t="shared" si="249"/>
        <v>PRBNP'!</v>
      </c>
      <c r="F1025" s="34" t="str">
        <f t="shared" si="250"/>
        <v>C:\Users\jaime.benazar\Quorum Business Solutions\Ecopetrol Prometeo - Documents\Planning Space Implementation\3. Analysis &amp; Design\Design\FC22\DRR Jaime\Neiva CPI\[DINA TERCIARIOS_CF_SEC_New_27-Mar-2024.xlsx]D-PRBNP'!</v>
      </c>
      <c r="G1025" s="32" t="s">
        <v>119</v>
      </c>
      <c r="H1025" s="33"/>
      <c r="I1025" s="33"/>
      <c r="J1025" s="37"/>
    </row>
    <row r="1026" spans="1:10" x14ac:dyDescent="0.3">
      <c r="A1026" s="32" t="s">
        <v>18</v>
      </c>
      <c r="B1026" s="32">
        <f t="shared" si="251"/>
        <v>2059</v>
      </c>
      <c r="C1026" s="33" t="s">
        <v>37</v>
      </c>
      <c r="D1026" s="34" t="s">
        <v>2002</v>
      </c>
      <c r="E1026" s="35" t="str">
        <f t="shared" si="249"/>
        <v>PRBNP'!</v>
      </c>
      <c r="F1026" s="34" t="str">
        <f t="shared" si="250"/>
        <v>C:\Users\jaime.benazar\Quorum Business Solutions\Ecopetrol Prometeo - Documents\Planning Space Implementation\3. Analysis &amp; Design\Design\FC22\DRR Jaime\Neiva CPI\[DINA TERCIARIOS_CF_SEC_New_27-Mar-2024.xlsx]D-PRBNP'!</v>
      </c>
      <c r="G1026" s="32" t="s">
        <v>119</v>
      </c>
      <c r="H1026" s="33"/>
      <c r="I1026" s="33"/>
      <c r="J1026" s="37"/>
    </row>
    <row r="1027" spans="1:10" x14ac:dyDescent="0.3">
      <c r="A1027" s="32" t="s">
        <v>26</v>
      </c>
      <c r="B1027" s="32"/>
      <c r="C1027" s="33" t="s">
        <v>37</v>
      </c>
      <c r="D1027" s="34"/>
      <c r="E1027" s="35"/>
      <c r="F1027" s="34"/>
      <c r="G1027" s="32"/>
      <c r="H1027" s="33"/>
      <c r="I1027" s="33"/>
      <c r="J1027" s="33"/>
    </row>
    <row r="1028" spans="1:10" x14ac:dyDescent="0.3">
      <c r="A1028" s="32" t="s">
        <v>19</v>
      </c>
      <c r="B1028" s="32">
        <v>2023</v>
      </c>
      <c r="C1028" s="33" t="s">
        <v>37</v>
      </c>
      <c r="D1028" s="34" t="s">
        <v>2002</v>
      </c>
      <c r="E1028" s="35" t="str">
        <f t="shared" ref="E1028:E1048" si="252">_xlfn.CONCAT(A1028,"'!")</f>
        <v>PRBND'!</v>
      </c>
      <c r="F1028" s="34" t="str">
        <f t="shared" ref="F1028:F1048" si="253">_xlfn.CONCAT(D1028:E1028)</f>
        <v>C:\Users\jaime.benazar\Quorum Business Solutions\Ecopetrol Prometeo - Documents\Planning Space Implementation\3. Analysis &amp; Design\Design\FC22\DRR Jaime\Neiva CPI\[DINA TERCIARIOS_CF_SEC_New_27-Mar-2024.xlsx]D-PRBND'!</v>
      </c>
      <c r="G1028" s="32" t="s">
        <v>119</v>
      </c>
      <c r="H1028" s="33"/>
      <c r="I1028" s="33"/>
      <c r="J1028" s="37"/>
    </row>
    <row r="1029" spans="1:10" x14ac:dyDescent="0.3">
      <c r="A1029" s="32" t="s">
        <v>19</v>
      </c>
      <c r="B1029" s="32">
        <f>+B1028+1</f>
        <v>2024</v>
      </c>
      <c r="C1029" s="33" t="s">
        <v>37</v>
      </c>
      <c r="D1029" s="34" t="s">
        <v>2002</v>
      </c>
      <c r="E1029" s="35" t="str">
        <f t="shared" si="252"/>
        <v>PRBND'!</v>
      </c>
      <c r="F1029" s="34" t="str">
        <f t="shared" si="253"/>
        <v>C:\Users\jaime.benazar\Quorum Business Solutions\Ecopetrol Prometeo - Documents\Planning Space Implementation\3. Analysis &amp; Design\Design\FC22\DRR Jaime\Neiva CPI\[DINA TERCIARIOS_CF_SEC_New_27-Mar-2024.xlsx]D-PRBND'!</v>
      </c>
      <c r="G1029" s="32" t="s">
        <v>119</v>
      </c>
      <c r="H1029" s="33"/>
      <c r="I1029" s="33"/>
      <c r="J1029" s="37"/>
    </row>
    <row r="1030" spans="1:10" x14ac:dyDescent="0.3">
      <c r="A1030" s="32" t="s">
        <v>19</v>
      </c>
      <c r="B1030" s="32">
        <f t="shared" ref="B1030:B1041" si="254">+B1029+1</f>
        <v>2025</v>
      </c>
      <c r="C1030" s="33" t="s">
        <v>37</v>
      </c>
      <c r="D1030" s="34" t="s">
        <v>2002</v>
      </c>
      <c r="E1030" s="35" t="str">
        <f t="shared" si="252"/>
        <v>PRBND'!</v>
      </c>
      <c r="F1030" s="34" t="str">
        <f t="shared" si="253"/>
        <v>C:\Users\jaime.benazar\Quorum Business Solutions\Ecopetrol Prometeo - Documents\Planning Space Implementation\3. Analysis &amp; Design\Design\FC22\DRR Jaime\Neiva CPI\[DINA TERCIARIOS_CF_SEC_New_27-Mar-2024.xlsx]D-PRBND'!</v>
      </c>
      <c r="G1030" s="32" t="s">
        <v>119</v>
      </c>
      <c r="H1030" s="33"/>
      <c r="I1030" s="33"/>
      <c r="J1030" s="37"/>
    </row>
    <row r="1031" spans="1:10" x14ac:dyDescent="0.3">
      <c r="A1031" s="32" t="s">
        <v>19</v>
      </c>
      <c r="B1031" s="32">
        <f t="shared" si="254"/>
        <v>2026</v>
      </c>
      <c r="C1031" s="33" t="s">
        <v>37</v>
      </c>
      <c r="D1031" s="34" t="s">
        <v>2002</v>
      </c>
      <c r="E1031" s="35" t="str">
        <f t="shared" si="252"/>
        <v>PRBND'!</v>
      </c>
      <c r="F1031" s="34" t="str">
        <f t="shared" si="253"/>
        <v>C:\Users\jaime.benazar\Quorum Business Solutions\Ecopetrol Prometeo - Documents\Planning Space Implementation\3. Analysis &amp; Design\Design\FC22\DRR Jaime\Neiva CPI\[DINA TERCIARIOS_CF_SEC_New_27-Mar-2024.xlsx]D-PRBND'!</v>
      </c>
      <c r="G1031" s="32" t="s">
        <v>119</v>
      </c>
      <c r="H1031" s="33"/>
      <c r="I1031" s="33"/>
      <c r="J1031" s="37"/>
    </row>
    <row r="1032" spans="1:10" x14ac:dyDescent="0.3">
      <c r="A1032" s="32" t="s">
        <v>19</v>
      </c>
      <c r="B1032" s="32">
        <f t="shared" si="254"/>
        <v>2027</v>
      </c>
      <c r="C1032" s="33" t="s">
        <v>37</v>
      </c>
      <c r="D1032" s="34" t="s">
        <v>2002</v>
      </c>
      <c r="E1032" s="35" t="str">
        <f t="shared" si="252"/>
        <v>PRBND'!</v>
      </c>
      <c r="F1032" s="34" t="str">
        <f t="shared" si="253"/>
        <v>C:\Users\jaime.benazar\Quorum Business Solutions\Ecopetrol Prometeo - Documents\Planning Space Implementation\3. Analysis &amp; Design\Design\FC22\DRR Jaime\Neiva CPI\[DINA TERCIARIOS_CF_SEC_New_27-Mar-2024.xlsx]D-PRBND'!</v>
      </c>
      <c r="G1032" s="32" t="s">
        <v>119</v>
      </c>
      <c r="H1032" s="33"/>
      <c r="I1032" s="33"/>
      <c r="J1032" s="37"/>
    </row>
    <row r="1033" spans="1:10" x14ac:dyDescent="0.3">
      <c r="A1033" s="32" t="s">
        <v>19</v>
      </c>
      <c r="B1033" s="32">
        <f t="shared" si="254"/>
        <v>2028</v>
      </c>
      <c r="C1033" s="33" t="s">
        <v>37</v>
      </c>
      <c r="D1033" s="34" t="s">
        <v>2002</v>
      </c>
      <c r="E1033" s="35" t="str">
        <f t="shared" si="252"/>
        <v>PRBND'!</v>
      </c>
      <c r="F1033" s="34" t="str">
        <f t="shared" si="253"/>
        <v>C:\Users\jaime.benazar\Quorum Business Solutions\Ecopetrol Prometeo - Documents\Planning Space Implementation\3. Analysis &amp; Design\Design\FC22\DRR Jaime\Neiva CPI\[DINA TERCIARIOS_CF_SEC_New_27-Mar-2024.xlsx]D-PRBND'!</v>
      </c>
      <c r="G1033" s="32" t="s">
        <v>119</v>
      </c>
      <c r="H1033" s="33"/>
      <c r="I1033" s="33"/>
      <c r="J1033" s="37"/>
    </row>
    <row r="1034" spans="1:10" x14ac:dyDescent="0.3">
      <c r="A1034" s="32" t="s">
        <v>19</v>
      </c>
      <c r="B1034" s="32">
        <f t="shared" si="254"/>
        <v>2029</v>
      </c>
      <c r="C1034" s="33" t="s">
        <v>37</v>
      </c>
      <c r="D1034" s="34" t="s">
        <v>2002</v>
      </c>
      <c r="E1034" s="35" t="str">
        <f t="shared" si="252"/>
        <v>PRBND'!</v>
      </c>
      <c r="F1034" s="34" t="str">
        <f t="shared" si="253"/>
        <v>C:\Users\jaime.benazar\Quorum Business Solutions\Ecopetrol Prometeo - Documents\Planning Space Implementation\3. Analysis &amp; Design\Design\FC22\DRR Jaime\Neiva CPI\[DINA TERCIARIOS_CF_SEC_New_27-Mar-2024.xlsx]D-PRBND'!</v>
      </c>
      <c r="G1034" s="32" t="s">
        <v>119</v>
      </c>
      <c r="H1034" s="33"/>
      <c r="I1034" s="33"/>
      <c r="J1034" s="37"/>
    </row>
    <row r="1035" spans="1:10" x14ac:dyDescent="0.3">
      <c r="A1035" s="32" t="s">
        <v>19</v>
      </c>
      <c r="B1035" s="32">
        <f t="shared" si="254"/>
        <v>2030</v>
      </c>
      <c r="C1035" s="33" t="s">
        <v>37</v>
      </c>
      <c r="D1035" s="34" t="s">
        <v>2002</v>
      </c>
      <c r="E1035" s="35" t="str">
        <f t="shared" si="252"/>
        <v>PRBND'!</v>
      </c>
      <c r="F1035" s="34" t="str">
        <f t="shared" si="253"/>
        <v>C:\Users\jaime.benazar\Quorum Business Solutions\Ecopetrol Prometeo - Documents\Planning Space Implementation\3. Analysis &amp; Design\Design\FC22\DRR Jaime\Neiva CPI\[DINA TERCIARIOS_CF_SEC_New_27-Mar-2024.xlsx]D-PRBND'!</v>
      </c>
      <c r="G1035" s="32" t="s">
        <v>119</v>
      </c>
      <c r="H1035" s="33"/>
      <c r="I1035" s="33"/>
      <c r="J1035" s="37"/>
    </row>
    <row r="1036" spans="1:10" x14ac:dyDescent="0.3">
      <c r="A1036" s="32" t="s">
        <v>19</v>
      </c>
      <c r="B1036" s="32">
        <f t="shared" si="254"/>
        <v>2031</v>
      </c>
      <c r="C1036" s="33" t="s">
        <v>37</v>
      </c>
      <c r="D1036" s="34" t="s">
        <v>2002</v>
      </c>
      <c r="E1036" s="35" t="str">
        <f t="shared" si="252"/>
        <v>PRBND'!</v>
      </c>
      <c r="F1036" s="34" t="str">
        <f t="shared" si="253"/>
        <v>C:\Users\jaime.benazar\Quorum Business Solutions\Ecopetrol Prometeo - Documents\Planning Space Implementation\3. Analysis &amp; Design\Design\FC22\DRR Jaime\Neiva CPI\[DINA TERCIARIOS_CF_SEC_New_27-Mar-2024.xlsx]D-PRBND'!</v>
      </c>
      <c r="G1036" s="32" t="s">
        <v>119</v>
      </c>
      <c r="H1036" s="33"/>
      <c r="I1036" s="33"/>
      <c r="J1036" s="37"/>
    </row>
    <row r="1037" spans="1:10" x14ac:dyDescent="0.3">
      <c r="A1037" s="32" t="s">
        <v>19</v>
      </c>
      <c r="B1037" s="32">
        <f t="shared" si="254"/>
        <v>2032</v>
      </c>
      <c r="C1037" s="33" t="s">
        <v>37</v>
      </c>
      <c r="D1037" s="34" t="s">
        <v>2002</v>
      </c>
      <c r="E1037" s="35" t="str">
        <f t="shared" si="252"/>
        <v>PRBND'!</v>
      </c>
      <c r="F1037" s="34" t="str">
        <f t="shared" si="253"/>
        <v>C:\Users\jaime.benazar\Quorum Business Solutions\Ecopetrol Prometeo - Documents\Planning Space Implementation\3. Analysis &amp; Design\Design\FC22\DRR Jaime\Neiva CPI\[DINA TERCIARIOS_CF_SEC_New_27-Mar-2024.xlsx]D-PRBND'!</v>
      </c>
      <c r="G1037" s="32" t="s">
        <v>119</v>
      </c>
      <c r="H1037" s="33"/>
      <c r="I1037" s="33"/>
      <c r="J1037" s="37"/>
    </row>
    <row r="1038" spans="1:10" x14ac:dyDescent="0.3">
      <c r="A1038" s="32" t="s">
        <v>19</v>
      </c>
      <c r="B1038" s="32">
        <f t="shared" si="254"/>
        <v>2033</v>
      </c>
      <c r="C1038" s="33" t="s">
        <v>37</v>
      </c>
      <c r="D1038" s="34" t="s">
        <v>2002</v>
      </c>
      <c r="E1038" s="35" t="str">
        <f t="shared" si="252"/>
        <v>PRBND'!</v>
      </c>
      <c r="F1038" s="34" t="str">
        <f t="shared" si="253"/>
        <v>C:\Users\jaime.benazar\Quorum Business Solutions\Ecopetrol Prometeo - Documents\Planning Space Implementation\3. Analysis &amp; Design\Design\FC22\DRR Jaime\Neiva CPI\[DINA TERCIARIOS_CF_SEC_New_27-Mar-2024.xlsx]D-PRBND'!</v>
      </c>
      <c r="G1038" s="32" t="s">
        <v>119</v>
      </c>
      <c r="H1038" s="33"/>
      <c r="I1038" s="33"/>
      <c r="J1038" s="37"/>
    </row>
    <row r="1039" spans="1:10" x14ac:dyDescent="0.3">
      <c r="A1039" s="32" t="s">
        <v>19</v>
      </c>
      <c r="B1039" s="32">
        <f t="shared" si="254"/>
        <v>2034</v>
      </c>
      <c r="C1039" s="33" t="s">
        <v>37</v>
      </c>
      <c r="D1039" s="34" t="s">
        <v>2002</v>
      </c>
      <c r="E1039" s="35" t="str">
        <f t="shared" si="252"/>
        <v>PRBND'!</v>
      </c>
      <c r="F1039" s="34" t="str">
        <f t="shared" si="253"/>
        <v>C:\Users\jaime.benazar\Quorum Business Solutions\Ecopetrol Prometeo - Documents\Planning Space Implementation\3. Analysis &amp; Design\Design\FC22\DRR Jaime\Neiva CPI\[DINA TERCIARIOS_CF_SEC_New_27-Mar-2024.xlsx]D-PRBND'!</v>
      </c>
      <c r="G1039" s="32" t="s">
        <v>119</v>
      </c>
      <c r="H1039" s="33"/>
      <c r="I1039" s="33"/>
      <c r="J1039" s="37"/>
    </row>
    <row r="1040" spans="1:10" x14ac:dyDescent="0.3">
      <c r="A1040" s="32" t="s">
        <v>19</v>
      </c>
      <c r="B1040" s="32">
        <f t="shared" si="254"/>
        <v>2035</v>
      </c>
      <c r="C1040" s="33" t="s">
        <v>37</v>
      </c>
      <c r="D1040" s="34" t="s">
        <v>2002</v>
      </c>
      <c r="E1040" s="35" t="str">
        <f t="shared" si="252"/>
        <v>PRBND'!</v>
      </c>
      <c r="F1040" s="34" t="str">
        <f t="shared" si="253"/>
        <v>C:\Users\jaime.benazar\Quorum Business Solutions\Ecopetrol Prometeo - Documents\Planning Space Implementation\3. Analysis &amp; Design\Design\FC22\DRR Jaime\Neiva CPI\[DINA TERCIARIOS_CF_SEC_New_27-Mar-2024.xlsx]D-PRBND'!</v>
      </c>
      <c r="G1040" s="32" t="s">
        <v>119</v>
      </c>
      <c r="H1040" s="33"/>
      <c r="I1040" s="33"/>
      <c r="J1040" s="37"/>
    </row>
    <row r="1041" spans="1:10" x14ac:dyDescent="0.3">
      <c r="A1041" s="32" t="s">
        <v>19</v>
      </c>
      <c r="B1041" s="32">
        <f t="shared" si="254"/>
        <v>2036</v>
      </c>
      <c r="C1041" s="33" t="s">
        <v>37</v>
      </c>
      <c r="D1041" s="34" t="s">
        <v>2002</v>
      </c>
      <c r="E1041" s="35" t="str">
        <f t="shared" si="252"/>
        <v>PRBND'!</v>
      </c>
      <c r="F1041" s="34" t="str">
        <f t="shared" si="253"/>
        <v>C:\Users\jaime.benazar\Quorum Business Solutions\Ecopetrol Prometeo - Documents\Planning Space Implementation\3. Analysis &amp; Design\Design\FC22\DRR Jaime\Neiva CPI\[DINA TERCIARIOS_CF_SEC_New_27-Mar-2024.xlsx]D-PRBND'!</v>
      </c>
      <c r="G1041" s="32" t="s">
        <v>119</v>
      </c>
      <c r="H1041" s="33"/>
      <c r="I1041" s="33"/>
      <c r="J1041" s="37"/>
    </row>
    <row r="1042" spans="1:10" x14ac:dyDescent="0.3">
      <c r="A1042" s="32" t="s">
        <v>19</v>
      </c>
      <c r="B1042" s="32">
        <f>+B1041+1</f>
        <v>2037</v>
      </c>
      <c r="C1042" s="33" t="s">
        <v>37</v>
      </c>
      <c r="D1042" s="34" t="s">
        <v>2002</v>
      </c>
      <c r="E1042" s="35" t="str">
        <f t="shared" si="252"/>
        <v>PRBND'!</v>
      </c>
      <c r="F1042" s="34" t="str">
        <f t="shared" si="253"/>
        <v>C:\Users\jaime.benazar\Quorum Business Solutions\Ecopetrol Prometeo - Documents\Planning Space Implementation\3. Analysis &amp; Design\Design\FC22\DRR Jaime\Neiva CPI\[DINA TERCIARIOS_CF_SEC_New_27-Mar-2024.xlsx]D-PRBND'!</v>
      </c>
      <c r="G1042" s="32" t="s">
        <v>119</v>
      </c>
      <c r="H1042" s="33"/>
      <c r="I1042" s="33"/>
      <c r="J1042" s="37"/>
    </row>
    <row r="1043" spans="1:10" x14ac:dyDescent="0.3">
      <c r="A1043" s="32" t="s">
        <v>19</v>
      </c>
      <c r="B1043" s="32">
        <f t="shared" ref="B1043:B1045" si="255">+B1042+1</f>
        <v>2038</v>
      </c>
      <c r="C1043" s="33" t="s">
        <v>37</v>
      </c>
      <c r="D1043" s="34" t="s">
        <v>2002</v>
      </c>
      <c r="E1043" s="35" t="str">
        <f t="shared" si="252"/>
        <v>PRBND'!</v>
      </c>
      <c r="F1043" s="34" t="str">
        <f t="shared" si="253"/>
        <v>C:\Users\jaime.benazar\Quorum Business Solutions\Ecopetrol Prometeo - Documents\Planning Space Implementation\3. Analysis &amp; Design\Design\FC22\DRR Jaime\Neiva CPI\[DINA TERCIARIOS_CF_SEC_New_27-Mar-2024.xlsx]D-PRBND'!</v>
      </c>
      <c r="G1043" s="32" t="s">
        <v>119</v>
      </c>
      <c r="H1043" s="33"/>
      <c r="I1043" s="33"/>
      <c r="J1043" s="37"/>
    </row>
    <row r="1044" spans="1:10" x14ac:dyDescent="0.3">
      <c r="A1044" s="32" t="s">
        <v>19</v>
      </c>
      <c r="B1044" s="32">
        <f t="shared" si="255"/>
        <v>2039</v>
      </c>
      <c r="C1044" s="33" t="s">
        <v>37</v>
      </c>
      <c r="D1044" s="34" t="s">
        <v>2002</v>
      </c>
      <c r="E1044" s="35" t="str">
        <f t="shared" si="252"/>
        <v>PRBND'!</v>
      </c>
      <c r="F1044" s="34" t="str">
        <f t="shared" si="253"/>
        <v>C:\Users\jaime.benazar\Quorum Business Solutions\Ecopetrol Prometeo - Documents\Planning Space Implementation\3. Analysis &amp; Design\Design\FC22\DRR Jaime\Neiva CPI\[DINA TERCIARIOS_CF_SEC_New_27-Mar-2024.xlsx]D-PRBND'!</v>
      </c>
      <c r="G1044" s="32" t="s">
        <v>119</v>
      </c>
      <c r="H1044" s="33"/>
      <c r="I1044" s="33"/>
      <c r="J1044" s="37"/>
    </row>
    <row r="1045" spans="1:10" x14ac:dyDescent="0.3">
      <c r="A1045" s="32" t="s">
        <v>19</v>
      </c>
      <c r="B1045" s="32">
        <f t="shared" si="255"/>
        <v>2040</v>
      </c>
      <c r="C1045" s="33" t="s">
        <v>37</v>
      </c>
      <c r="D1045" s="34" t="s">
        <v>2002</v>
      </c>
      <c r="E1045" s="35" t="str">
        <f t="shared" si="252"/>
        <v>PRBND'!</v>
      </c>
      <c r="F1045" s="34" t="str">
        <f t="shared" si="253"/>
        <v>C:\Users\jaime.benazar\Quorum Business Solutions\Ecopetrol Prometeo - Documents\Planning Space Implementation\3. Analysis &amp; Design\Design\FC22\DRR Jaime\Neiva CPI\[DINA TERCIARIOS_CF_SEC_New_27-Mar-2024.xlsx]D-PRBND'!</v>
      </c>
      <c r="G1045" s="32" t="s">
        <v>119</v>
      </c>
      <c r="H1045" s="33"/>
      <c r="I1045" s="33"/>
      <c r="J1045" s="37"/>
    </row>
    <row r="1046" spans="1:10" x14ac:dyDescent="0.3">
      <c r="A1046" s="32" t="s">
        <v>19</v>
      </c>
      <c r="B1046" s="32">
        <f>+B1045+1</f>
        <v>2041</v>
      </c>
      <c r="C1046" s="33" t="s">
        <v>37</v>
      </c>
      <c r="D1046" s="34" t="s">
        <v>2002</v>
      </c>
      <c r="E1046" s="35" t="str">
        <f t="shared" si="252"/>
        <v>PRBND'!</v>
      </c>
      <c r="F1046" s="34" t="str">
        <f t="shared" si="253"/>
        <v>C:\Users\jaime.benazar\Quorum Business Solutions\Ecopetrol Prometeo - Documents\Planning Space Implementation\3. Analysis &amp; Design\Design\FC22\DRR Jaime\Neiva CPI\[DINA TERCIARIOS_CF_SEC_New_27-Mar-2024.xlsx]D-PRBND'!</v>
      </c>
      <c r="G1046" s="32" t="s">
        <v>119</v>
      </c>
      <c r="H1046" s="33"/>
      <c r="I1046" s="33"/>
      <c r="J1046" s="37"/>
    </row>
    <row r="1047" spans="1:10" x14ac:dyDescent="0.3">
      <c r="A1047" s="32" t="s">
        <v>19</v>
      </c>
      <c r="B1047" s="32">
        <f t="shared" ref="B1047:B1048" si="256">+B1046+1</f>
        <v>2042</v>
      </c>
      <c r="C1047" s="33" t="s">
        <v>37</v>
      </c>
      <c r="D1047" s="34" t="s">
        <v>2002</v>
      </c>
      <c r="E1047" s="35" t="str">
        <f t="shared" si="252"/>
        <v>PRBND'!</v>
      </c>
      <c r="F1047" s="34" t="str">
        <f t="shared" si="253"/>
        <v>C:\Users\jaime.benazar\Quorum Business Solutions\Ecopetrol Prometeo - Documents\Planning Space Implementation\3. Analysis &amp; Design\Design\FC22\DRR Jaime\Neiva CPI\[DINA TERCIARIOS_CF_SEC_New_27-Mar-2024.xlsx]D-PRBND'!</v>
      </c>
      <c r="G1047" s="32" t="s">
        <v>119</v>
      </c>
      <c r="H1047" s="33"/>
      <c r="I1047" s="33"/>
      <c r="J1047" s="37"/>
    </row>
    <row r="1048" spans="1:10" x14ac:dyDescent="0.3">
      <c r="A1048" s="32" t="s">
        <v>19</v>
      </c>
      <c r="B1048" s="32">
        <f t="shared" si="256"/>
        <v>2043</v>
      </c>
      <c r="C1048" s="33" t="s">
        <v>37</v>
      </c>
      <c r="D1048" s="34" t="s">
        <v>2002</v>
      </c>
      <c r="E1048" s="35" t="str">
        <f t="shared" si="252"/>
        <v>PRBND'!</v>
      </c>
      <c r="F1048" s="34" t="str">
        <f t="shared" si="253"/>
        <v>C:\Users\jaime.benazar\Quorum Business Solutions\Ecopetrol Prometeo - Documents\Planning Space Implementation\3. Analysis &amp; Design\Design\FC22\DRR Jaime\Neiva CPI\[DINA TERCIARIOS_CF_SEC_New_27-Mar-2024.xlsx]D-PRBND'!</v>
      </c>
      <c r="G1048" s="32" t="s">
        <v>119</v>
      </c>
      <c r="H1048" s="33"/>
      <c r="I1048" s="33"/>
      <c r="J1048" s="37"/>
    </row>
    <row r="1049" spans="1:10" x14ac:dyDescent="0.3">
      <c r="A1049" s="32" t="s">
        <v>19</v>
      </c>
      <c r="B1049" s="32">
        <f>+B1048+1</f>
        <v>2044</v>
      </c>
      <c r="C1049" s="33" t="s">
        <v>37</v>
      </c>
      <c r="D1049" s="34" t="s">
        <v>2002</v>
      </c>
      <c r="E1049" s="35" t="str">
        <f t="shared" ref="E1049:E1064" si="257">_xlfn.CONCAT(A1049,"'!")</f>
        <v>PRBND'!</v>
      </c>
      <c r="F1049" s="34" t="str">
        <f t="shared" ref="F1049:F1064" si="258">_xlfn.CONCAT(D1049:E1049)</f>
        <v>C:\Users\jaime.benazar\Quorum Business Solutions\Ecopetrol Prometeo - Documents\Planning Space Implementation\3. Analysis &amp; Design\Design\FC22\DRR Jaime\Neiva CPI\[DINA TERCIARIOS_CF_SEC_New_27-Mar-2024.xlsx]D-PRBND'!</v>
      </c>
      <c r="G1049" s="32" t="s">
        <v>119</v>
      </c>
      <c r="H1049" s="33"/>
      <c r="I1049" s="33"/>
      <c r="J1049" s="37"/>
    </row>
    <row r="1050" spans="1:10" x14ac:dyDescent="0.3">
      <c r="A1050" s="32" t="s">
        <v>19</v>
      </c>
      <c r="B1050" s="32">
        <f t="shared" ref="B1050:B1064" si="259">+B1049+1</f>
        <v>2045</v>
      </c>
      <c r="C1050" s="33" t="s">
        <v>37</v>
      </c>
      <c r="D1050" s="34" t="s">
        <v>2002</v>
      </c>
      <c r="E1050" s="35" t="str">
        <f t="shared" si="257"/>
        <v>PRBND'!</v>
      </c>
      <c r="F1050" s="34" t="str">
        <f t="shared" si="258"/>
        <v>C:\Users\jaime.benazar\Quorum Business Solutions\Ecopetrol Prometeo - Documents\Planning Space Implementation\3. Analysis &amp; Design\Design\FC22\DRR Jaime\Neiva CPI\[DINA TERCIARIOS_CF_SEC_New_27-Mar-2024.xlsx]D-PRBND'!</v>
      </c>
      <c r="G1050" s="32" t="s">
        <v>119</v>
      </c>
      <c r="H1050" s="33"/>
      <c r="I1050" s="33"/>
      <c r="J1050" s="37"/>
    </row>
    <row r="1051" spans="1:10" x14ac:dyDescent="0.3">
      <c r="A1051" s="32" t="s">
        <v>19</v>
      </c>
      <c r="B1051" s="32">
        <f t="shared" si="259"/>
        <v>2046</v>
      </c>
      <c r="C1051" s="33" t="s">
        <v>37</v>
      </c>
      <c r="D1051" s="34" t="s">
        <v>2002</v>
      </c>
      <c r="E1051" s="35" t="str">
        <f t="shared" si="257"/>
        <v>PRBND'!</v>
      </c>
      <c r="F1051" s="34" t="str">
        <f t="shared" si="258"/>
        <v>C:\Users\jaime.benazar\Quorum Business Solutions\Ecopetrol Prometeo - Documents\Planning Space Implementation\3. Analysis &amp; Design\Design\FC22\DRR Jaime\Neiva CPI\[DINA TERCIARIOS_CF_SEC_New_27-Mar-2024.xlsx]D-PRBND'!</v>
      </c>
      <c r="G1051" s="32" t="s">
        <v>119</v>
      </c>
      <c r="H1051" s="33"/>
      <c r="I1051" s="33"/>
      <c r="J1051" s="37"/>
    </row>
    <row r="1052" spans="1:10" x14ac:dyDescent="0.3">
      <c r="A1052" s="32" t="s">
        <v>19</v>
      </c>
      <c r="B1052" s="32">
        <f t="shared" si="259"/>
        <v>2047</v>
      </c>
      <c r="C1052" s="33" t="s">
        <v>37</v>
      </c>
      <c r="D1052" s="34" t="s">
        <v>2002</v>
      </c>
      <c r="E1052" s="35" t="str">
        <f t="shared" si="257"/>
        <v>PRBND'!</v>
      </c>
      <c r="F1052" s="34" t="str">
        <f t="shared" si="258"/>
        <v>C:\Users\jaime.benazar\Quorum Business Solutions\Ecopetrol Prometeo - Documents\Planning Space Implementation\3. Analysis &amp; Design\Design\FC22\DRR Jaime\Neiva CPI\[DINA TERCIARIOS_CF_SEC_New_27-Mar-2024.xlsx]D-PRBND'!</v>
      </c>
      <c r="G1052" s="32" t="s">
        <v>119</v>
      </c>
      <c r="H1052" s="33"/>
      <c r="I1052" s="33"/>
      <c r="J1052" s="37"/>
    </row>
    <row r="1053" spans="1:10" x14ac:dyDescent="0.3">
      <c r="A1053" s="32" t="s">
        <v>19</v>
      </c>
      <c r="B1053" s="32">
        <f t="shared" si="259"/>
        <v>2048</v>
      </c>
      <c r="C1053" s="33" t="s">
        <v>37</v>
      </c>
      <c r="D1053" s="34" t="s">
        <v>2002</v>
      </c>
      <c r="E1053" s="35" t="str">
        <f t="shared" si="257"/>
        <v>PRBND'!</v>
      </c>
      <c r="F1053" s="34" t="str">
        <f t="shared" si="258"/>
        <v>C:\Users\jaime.benazar\Quorum Business Solutions\Ecopetrol Prometeo - Documents\Planning Space Implementation\3. Analysis &amp; Design\Design\FC22\DRR Jaime\Neiva CPI\[DINA TERCIARIOS_CF_SEC_New_27-Mar-2024.xlsx]D-PRBND'!</v>
      </c>
      <c r="G1053" s="32" t="s">
        <v>119</v>
      </c>
      <c r="H1053" s="33"/>
      <c r="I1053" s="33"/>
      <c r="J1053" s="37"/>
    </row>
    <row r="1054" spans="1:10" x14ac:dyDescent="0.3">
      <c r="A1054" s="32" t="s">
        <v>19</v>
      </c>
      <c r="B1054" s="32">
        <f t="shared" si="259"/>
        <v>2049</v>
      </c>
      <c r="C1054" s="33" t="s">
        <v>37</v>
      </c>
      <c r="D1054" s="34" t="s">
        <v>2002</v>
      </c>
      <c r="E1054" s="35" t="str">
        <f t="shared" si="257"/>
        <v>PRBND'!</v>
      </c>
      <c r="F1054" s="34" t="str">
        <f t="shared" si="258"/>
        <v>C:\Users\jaime.benazar\Quorum Business Solutions\Ecopetrol Prometeo - Documents\Planning Space Implementation\3. Analysis &amp; Design\Design\FC22\DRR Jaime\Neiva CPI\[DINA TERCIARIOS_CF_SEC_New_27-Mar-2024.xlsx]D-PRBND'!</v>
      </c>
      <c r="G1054" s="32" t="s">
        <v>119</v>
      </c>
      <c r="H1054" s="33"/>
      <c r="I1054" s="33"/>
      <c r="J1054" s="37"/>
    </row>
    <row r="1055" spans="1:10" x14ac:dyDescent="0.3">
      <c r="A1055" s="32" t="s">
        <v>19</v>
      </c>
      <c r="B1055" s="32">
        <f t="shared" si="259"/>
        <v>2050</v>
      </c>
      <c r="C1055" s="33" t="s">
        <v>37</v>
      </c>
      <c r="D1055" s="34" t="s">
        <v>2002</v>
      </c>
      <c r="E1055" s="35" t="str">
        <f t="shared" si="257"/>
        <v>PRBND'!</v>
      </c>
      <c r="F1055" s="34" t="str">
        <f t="shared" si="258"/>
        <v>C:\Users\jaime.benazar\Quorum Business Solutions\Ecopetrol Prometeo - Documents\Planning Space Implementation\3. Analysis &amp; Design\Design\FC22\DRR Jaime\Neiva CPI\[DINA TERCIARIOS_CF_SEC_New_27-Mar-2024.xlsx]D-PRBND'!</v>
      </c>
      <c r="G1055" s="32" t="s">
        <v>119</v>
      </c>
      <c r="H1055" s="33"/>
      <c r="I1055" s="33"/>
      <c r="J1055" s="37"/>
    </row>
    <row r="1056" spans="1:10" x14ac:dyDescent="0.3">
      <c r="A1056" s="32" t="s">
        <v>19</v>
      </c>
      <c r="B1056" s="32">
        <f t="shared" si="259"/>
        <v>2051</v>
      </c>
      <c r="C1056" s="33" t="s">
        <v>37</v>
      </c>
      <c r="D1056" s="34" t="s">
        <v>2002</v>
      </c>
      <c r="E1056" s="35" t="str">
        <f t="shared" si="257"/>
        <v>PRBND'!</v>
      </c>
      <c r="F1056" s="34" t="str">
        <f t="shared" si="258"/>
        <v>C:\Users\jaime.benazar\Quorum Business Solutions\Ecopetrol Prometeo - Documents\Planning Space Implementation\3. Analysis &amp; Design\Design\FC22\DRR Jaime\Neiva CPI\[DINA TERCIARIOS_CF_SEC_New_27-Mar-2024.xlsx]D-PRBND'!</v>
      </c>
      <c r="G1056" s="32" t="s">
        <v>119</v>
      </c>
      <c r="H1056" s="33"/>
      <c r="I1056" s="33"/>
      <c r="J1056" s="37"/>
    </row>
    <row r="1057" spans="1:10" x14ac:dyDescent="0.3">
      <c r="A1057" s="32" t="s">
        <v>19</v>
      </c>
      <c r="B1057" s="32">
        <f t="shared" si="259"/>
        <v>2052</v>
      </c>
      <c r="C1057" s="33" t="s">
        <v>37</v>
      </c>
      <c r="D1057" s="34" t="s">
        <v>2002</v>
      </c>
      <c r="E1057" s="35" t="str">
        <f t="shared" si="257"/>
        <v>PRBND'!</v>
      </c>
      <c r="F1057" s="34" t="str">
        <f t="shared" si="258"/>
        <v>C:\Users\jaime.benazar\Quorum Business Solutions\Ecopetrol Prometeo - Documents\Planning Space Implementation\3. Analysis &amp; Design\Design\FC22\DRR Jaime\Neiva CPI\[DINA TERCIARIOS_CF_SEC_New_27-Mar-2024.xlsx]D-PRBND'!</v>
      </c>
      <c r="G1057" s="32" t="s">
        <v>119</v>
      </c>
      <c r="H1057" s="33"/>
      <c r="I1057" s="33"/>
      <c r="J1057" s="37"/>
    </row>
    <row r="1058" spans="1:10" x14ac:dyDescent="0.3">
      <c r="A1058" s="32" t="s">
        <v>19</v>
      </c>
      <c r="B1058" s="32">
        <f t="shared" si="259"/>
        <v>2053</v>
      </c>
      <c r="C1058" s="33" t="s">
        <v>37</v>
      </c>
      <c r="D1058" s="34" t="s">
        <v>2002</v>
      </c>
      <c r="E1058" s="35" t="str">
        <f t="shared" si="257"/>
        <v>PRBND'!</v>
      </c>
      <c r="F1058" s="34" t="str">
        <f t="shared" si="258"/>
        <v>C:\Users\jaime.benazar\Quorum Business Solutions\Ecopetrol Prometeo - Documents\Planning Space Implementation\3. Analysis &amp; Design\Design\FC22\DRR Jaime\Neiva CPI\[DINA TERCIARIOS_CF_SEC_New_27-Mar-2024.xlsx]D-PRBND'!</v>
      </c>
      <c r="G1058" s="32" t="s">
        <v>119</v>
      </c>
      <c r="H1058" s="33"/>
      <c r="I1058" s="33"/>
      <c r="J1058" s="37"/>
    </row>
    <row r="1059" spans="1:10" x14ac:dyDescent="0.3">
      <c r="A1059" s="32" t="s">
        <v>19</v>
      </c>
      <c r="B1059" s="32">
        <f t="shared" si="259"/>
        <v>2054</v>
      </c>
      <c r="C1059" s="33" t="s">
        <v>37</v>
      </c>
      <c r="D1059" s="34" t="s">
        <v>2002</v>
      </c>
      <c r="E1059" s="35" t="str">
        <f t="shared" si="257"/>
        <v>PRBND'!</v>
      </c>
      <c r="F1059" s="34" t="str">
        <f t="shared" si="258"/>
        <v>C:\Users\jaime.benazar\Quorum Business Solutions\Ecopetrol Prometeo - Documents\Planning Space Implementation\3. Analysis &amp; Design\Design\FC22\DRR Jaime\Neiva CPI\[DINA TERCIARIOS_CF_SEC_New_27-Mar-2024.xlsx]D-PRBND'!</v>
      </c>
      <c r="G1059" s="32" t="s">
        <v>119</v>
      </c>
      <c r="H1059" s="33"/>
      <c r="I1059" s="33"/>
      <c r="J1059" s="37"/>
    </row>
    <row r="1060" spans="1:10" x14ac:dyDescent="0.3">
      <c r="A1060" s="32" t="s">
        <v>19</v>
      </c>
      <c r="B1060" s="32">
        <f t="shared" si="259"/>
        <v>2055</v>
      </c>
      <c r="C1060" s="33" t="s">
        <v>37</v>
      </c>
      <c r="D1060" s="34" t="s">
        <v>2002</v>
      </c>
      <c r="E1060" s="35" t="str">
        <f t="shared" si="257"/>
        <v>PRBND'!</v>
      </c>
      <c r="F1060" s="34" t="str">
        <f t="shared" si="258"/>
        <v>C:\Users\jaime.benazar\Quorum Business Solutions\Ecopetrol Prometeo - Documents\Planning Space Implementation\3. Analysis &amp; Design\Design\FC22\DRR Jaime\Neiva CPI\[DINA TERCIARIOS_CF_SEC_New_27-Mar-2024.xlsx]D-PRBND'!</v>
      </c>
      <c r="G1060" s="32" t="s">
        <v>119</v>
      </c>
      <c r="H1060" s="33"/>
      <c r="I1060" s="33"/>
      <c r="J1060" s="37"/>
    </row>
    <row r="1061" spans="1:10" x14ac:dyDescent="0.3">
      <c r="A1061" s="32" t="s">
        <v>19</v>
      </c>
      <c r="B1061" s="32">
        <f t="shared" si="259"/>
        <v>2056</v>
      </c>
      <c r="C1061" s="33" t="s">
        <v>37</v>
      </c>
      <c r="D1061" s="34" t="s">
        <v>2002</v>
      </c>
      <c r="E1061" s="35" t="str">
        <f t="shared" si="257"/>
        <v>PRBND'!</v>
      </c>
      <c r="F1061" s="34" t="str">
        <f t="shared" si="258"/>
        <v>C:\Users\jaime.benazar\Quorum Business Solutions\Ecopetrol Prometeo - Documents\Planning Space Implementation\3. Analysis &amp; Design\Design\FC22\DRR Jaime\Neiva CPI\[DINA TERCIARIOS_CF_SEC_New_27-Mar-2024.xlsx]D-PRBND'!</v>
      </c>
      <c r="G1061" s="32" t="s">
        <v>119</v>
      </c>
      <c r="H1061" s="33"/>
      <c r="I1061" s="33"/>
      <c r="J1061" s="37"/>
    </row>
    <row r="1062" spans="1:10" x14ac:dyDescent="0.3">
      <c r="A1062" s="32" t="s">
        <v>19</v>
      </c>
      <c r="B1062" s="32">
        <f t="shared" si="259"/>
        <v>2057</v>
      </c>
      <c r="C1062" s="33" t="s">
        <v>37</v>
      </c>
      <c r="D1062" s="34" t="s">
        <v>2002</v>
      </c>
      <c r="E1062" s="35" t="str">
        <f t="shared" si="257"/>
        <v>PRBND'!</v>
      </c>
      <c r="F1062" s="34" t="str">
        <f t="shared" si="258"/>
        <v>C:\Users\jaime.benazar\Quorum Business Solutions\Ecopetrol Prometeo - Documents\Planning Space Implementation\3. Analysis &amp; Design\Design\FC22\DRR Jaime\Neiva CPI\[DINA TERCIARIOS_CF_SEC_New_27-Mar-2024.xlsx]D-PRBND'!</v>
      </c>
      <c r="G1062" s="32" t="s">
        <v>119</v>
      </c>
      <c r="H1062" s="33"/>
      <c r="I1062" s="33"/>
      <c r="J1062" s="37"/>
    </row>
    <row r="1063" spans="1:10" x14ac:dyDescent="0.3">
      <c r="A1063" s="32" t="s">
        <v>19</v>
      </c>
      <c r="B1063" s="32">
        <f t="shared" si="259"/>
        <v>2058</v>
      </c>
      <c r="C1063" s="33" t="s">
        <v>37</v>
      </c>
      <c r="D1063" s="34" t="s">
        <v>2002</v>
      </c>
      <c r="E1063" s="35" t="str">
        <f t="shared" si="257"/>
        <v>PRBND'!</v>
      </c>
      <c r="F1063" s="34" t="str">
        <f t="shared" si="258"/>
        <v>C:\Users\jaime.benazar\Quorum Business Solutions\Ecopetrol Prometeo - Documents\Planning Space Implementation\3. Analysis &amp; Design\Design\FC22\DRR Jaime\Neiva CPI\[DINA TERCIARIOS_CF_SEC_New_27-Mar-2024.xlsx]D-PRBND'!</v>
      </c>
      <c r="G1063" s="32" t="s">
        <v>119</v>
      </c>
      <c r="H1063" s="33"/>
      <c r="I1063" s="33"/>
      <c r="J1063" s="37"/>
    </row>
    <row r="1064" spans="1:10" x14ac:dyDescent="0.3">
      <c r="A1064" s="32" t="s">
        <v>19</v>
      </c>
      <c r="B1064" s="32">
        <f t="shared" si="259"/>
        <v>2059</v>
      </c>
      <c r="C1064" s="33" t="s">
        <v>37</v>
      </c>
      <c r="D1064" s="34" t="s">
        <v>2002</v>
      </c>
      <c r="E1064" s="35" t="str">
        <f t="shared" si="257"/>
        <v>PRBND'!</v>
      </c>
      <c r="F1064" s="34" t="str">
        <f t="shared" si="258"/>
        <v>C:\Users\jaime.benazar\Quorum Business Solutions\Ecopetrol Prometeo - Documents\Planning Space Implementation\3. Analysis &amp; Design\Design\FC22\DRR Jaime\Neiva CPI\[DINA TERCIARIOS_CF_SEC_New_27-Mar-2024.xlsx]D-PRBND'!</v>
      </c>
      <c r="G1064" s="32" t="s">
        <v>119</v>
      </c>
      <c r="H1064" s="33"/>
      <c r="I1064" s="33"/>
      <c r="J1064" s="37"/>
    </row>
    <row r="1065" spans="1:10" x14ac:dyDescent="0.3">
      <c r="A1065" s="32" t="s">
        <v>26</v>
      </c>
      <c r="B1065" s="32"/>
      <c r="C1065" s="33" t="s">
        <v>37</v>
      </c>
      <c r="D1065" s="34"/>
      <c r="E1065" s="35"/>
      <c r="F1065" s="34"/>
      <c r="G1065" s="32"/>
      <c r="H1065" s="33"/>
      <c r="I1065" s="33"/>
      <c r="J1065" s="33"/>
    </row>
    <row r="1066" spans="1:10" x14ac:dyDescent="0.3">
      <c r="A1066" s="32" t="s">
        <v>20</v>
      </c>
      <c r="B1066" s="32">
        <v>2023</v>
      </c>
      <c r="C1066" s="33" t="s">
        <v>37</v>
      </c>
      <c r="D1066" s="34" t="s">
        <v>2002</v>
      </c>
      <c r="E1066" s="35" t="str">
        <f t="shared" si="228"/>
        <v>PRB'!</v>
      </c>
      <c r="F1066" s="34" t="str">
        <f t="shared" si="229"/>
        <v>C:\Users\jaime.benazar\Quorum Business Solutions\Ecopetrol Prometeo - Documents\Planning Space Implementation\3. Analysis &amp; Design\Design\FC22\DRR Jaime\Neiva CPI\[DINA TERCIARIOS_CF_SEC_New_27-Mar-2024.xlsx]D-PRB'!</v>
      </c>
      <c r="G1066" s="32" t="s">
        <v>119</v>
      </c>
      <c r="H1066" s="33">
        <v>12</v>
      </c>
      <c r="I1066" s="33" t="str">
        <f t="shared" si="230"/>
        <v>='C:\Users\jaime.benazar\Quorum Business Solutions\Ecopetrol Prometeo - Documents\Planning Space Implementation\3. Analysis &amp; Design\Design\FC22\DRR Jaime\Neiva CPI\[DINA TERCIARIOS_CF_SEC_New_27-Mar-2024.xlsx]D-PRB'!$BZ$12</v>
      </c>
      <c r="J1066" s="37" t="s">
        <v>2484</v>
      </c>
    </row>
    <row r="1067" spans="1:10" x14ac:dyDescent="0.3">
      <c r="A1067" s="32" t="s">
        <v>20</v>
      </c>
      <c r="B1067" s="32">
        <f>+B1066+1</f>
        <v>2024</v>
      </c>
      <c r="C1067" s="33" t="s">
        <v>37</v>
      </c>
      <c r="D1067" s="34" t="s">
        <v>2002</v>
      </c>
      <c r="E1067" s="35" t="str">
        <f t="shared" si="228"/>
        <v>PRB'!</v>
      </c>
      <c r="F1067" s="34" t="str">
        <f t="shared" si="229"/>
        <v>C:\Users\jaime.benazar\Quorum Business Solutions\Ecopetrol Prometeo - Documents\Planning Space Implementation\3. Analysis &amp; Design\Design\FC22\DRR Jaime\Neiva CPI\[DINA TERCIARIOS_CF_SEC_New_27-Mar-2024.xlsx]D-PRB'!</v>
      </c>
      <c r="G1067" s="32" t="s">
        <v>119</v>
      </c>
      <c r="H1067" s="33">
        <f t="shared" ref="H1067:H1086" si="260">IF(A1067&lt;&gt;A1066,12,H1066+1)</f>
        <v>13</v>
      </c>
      <c r="I1067" s="33" t="str">
        <f t="shared" si="230"/>
        <v>='C:\Users\jaime.benazar\Quorum Business Solutions\Ecopetrol Prometeo - Documents\Planning Space Implementation\3. Analysis &amp; Design\Design\FC22\DRR Jaime\Neiva CPI\[DINA TERCIARIOS_CF_SEC_New_27-Mar-2024.xlsx]D-PRB'!$BZ$13</v>
      </c>
      <c r="J1067" s="37" t="s">
        <v>2485</v>
      </c>
    </row>
    <row r="1068" spans="1:10" x14ac:dyDescent="0.3">
      <c r="A1068" s="32" t="s">
        <v>20</v>
      </c>
      <c r="B1068" s="32">
        <f t="shared" ref="B1068:B1079" si="261">+B1067+1</f>
        <v>2025</v>
      </c>
      <c r="C1068" s="33" t="s">
        <v>37</v>
      </c>
      <c r="D1068" s="34" t="s">
        <v>2002</v>
      </c>
      <c r="E1068" s="35" t="str">
        <f t="shared" si="228"/>
        <v>PRB'!</v>
      </c>
      <c r="F1068" s="34" t="str">
        <f t="shared" si="229"/>
        <v>C:\Users\jaime.benazar\Quorum Business Solutions\Ecopetrol Prometeo - Documents\Planning Space Implementation\3. Analysis &amp; Design\Design\FC22\DRR Jaime\Neiva CPI\[DINA TERCIARIOS_CF_SEC_New_27-Mar-2024.xlsx]D-PRB'!</v>
      </c>
      <c r="G1068" s="32" t="s">
        <v>119</v>
      </c>
      <c r="H1068" s="33">
        <f t="shared" si="260"/>
        <v>14</v>
      </c>
      <c r="I1068" s="33" t="str">
        <f t="shared" si="230"/>
        <v>='C:\Users\jaime.benazar\Quorum Business Solutions\Ecopetrol Prometeo - Documents\Planning Space Implementation\3. Analysis &amp; Design\Design\FC22\DRR Jaime\Neiva CPI\[DINA TERCIARIOS_CF_SEC_New_27-Mar-2024.xlsx]D-PRB'!$BZ$14</v>
      </c>
      <c r="J1068" s="37" t="s">
        <v>2486</v>
      </c>
    </row>
    <row r="1069" spans="1:10" x14ac:dyDescent="0.3">
      <c r="A1069" s="32" t="s">
        <v>20</v>
      </c>
      <c r="B1069" s="32">
        <f t="shared" si="261"/>
        <v>2026</v>
      </c>
      <c r="C1069" s="33" t="s">
        <v>37</v>
      </c>
      <c r="D1069" s="34" t="s">
        <v>2002</v>
      </c>
      <c r="E1069" s="35" t="str">
        <f t="shared" si="228"/>
        <v>PRB'!</v>
      </c>
      <c r="F1069" s="34" t="str">
        <f t="shared" si="229"/>
        <v>C:\Users\jaime.benazar\Quorum Business Solutions\Ecopetrol Prometeo - Documents\Planning Space Implementation\3. Analysis &amp; Design\Design\FC22\DRR Jaime\Neiva CPI\[DINA TERCIARIOS_CF_SEC_New_27-Mar-2024.xlsx]D-PRB'!</v>
      </c>
      <c r="G1069" s="32" t="s">
        <v>119</v>
      </c>
      <c r="H1069" s="33">
        <f t="shared" si="260"/>
        <v>15</v>
      </c>
      <c r="I1069" s="33" t="str">
        <f t="shared" si="230"/>
        <v>='C:\Users\jaime.benazar\Quorum Business Solutions\Ecopetrol Prometeo - Documents\Planning Space Implementation\3. Analysis &amp; Design\Design\FC22\DRR Jaime\Neiva CPI\[DINA TERCIARIOS_CF_SEC_New_27-Mar-2024.xlsx]D-PRB'!$BZ$15</v>
      </c>
      <c r="J1069" s="37" t="s">
        <v>2487</v>
      </c>
    </row>
    <row r="1070" spans="1:10" x14ac:dyDescent="0.3">
      <c r="A1070" s="32" t="s">
        <v>20</v>
      </c>
      <c r="B1070" s="32">
        <f t="shared" si="261"/>
        <v>2027</v>
      </c>
      <c r="C1070" s="33" t="s">
        <v>37</v>
      </c>
      <c r="D1070" s="34" t="s">
        <v>2002</v>
      </c>
      <c r="E1070" s="35" t="str">
        <f t="shared" si="228"/>
        <v>PRB'!</v>
      </c>
      <c r="F1070" s="34" t="str">
        <f t="shared" si="229"/>
        <v>C:\Users\jaime.benazar\Quorum Business Solutions\Ecopetrol Prometeo - Documents\Planning Space Implementation\3. Analysis &amp; Design\Design\FC22\DRR Jaime\Neiva CPI\[DINA TERCIARIOS_CF_SEC_New_27-Mar-2024.xlsx]D-PRB'!</v>
      </c>
      <c r="G1070" s="32" t="s">
        <v>119</v>
      </c>
      <c r="H1070" s="33">
        <f t="shared" si="260"/>
        <v>16</v>
      </c>
      <c r="I1070" s="33" t="str">
        <f t="shared" si="230"/>
        <v>='C:\Users\jaime.benazar\Quorum Business Solutions\Ecopetrol Prometeo - Documents\Planning Space Implementation\3. Analysis &amp; Design\Design\FC22\DRR Jaime\Neiva CPI\[DINA TERCIARIOS_CF_SEC_New_27-Mar-2024.xlsx]D-PRB'!$BZ$16</v>
      </c>
      <c r="J1070" s="37" t="s">
        <v>2488</v>
      </c>
    </row>
    <row r="1071" spans="1:10" x14ac:dyDescent="0.3">
      <c r="A1071" s="32" t="s">
        <v>20</v>
      </c>
      <c r="B1071" s="32">
        <f t="shared" si="261"/>
        <v>2028</v>
      </c>
      <c r="C1071" s="33" t="s">
        <v>37</v>
      </c>
      <c r="D1071" s="34" t="s">
        <v>2002</v>
      </c>
      <c r="E1071" s="35" t="str">
        <f t="shared" si="228"/>
        <v>PRB'!</v>
      </c>
      <c r="F1071" s="34" t="str">
        <f t="shared" si="229"/>
        <v>C:\Users\jaime.benazar\Quorum Business Solutions\Ecopetrol Prometeo - Documents\Planning Space Implementation\3. Analysis &amp; Design\Design\FC22\DRR Jaime\Neiva CPI\[DINA TERCIARIOS_CF_SEC_New_27-Mar-2024.xlsx]D-PRB'!</v>
      </c>
      <c r="G1071" s="32" t="s">
        <v>119</v>
      </c>
      <c r="H1071" s="33">
        <f t="shared" si="260"/>
        <v>17</v>
      </c>
      <c r="I1071" s="33" t="str">
        <f t="shared" si="230"/>
        <v>='C:\Users\jaime.benazar\Quorum Business Solutions\Ecopetrol Prometeo - Documents\Planning Space Implementation\3. Analysis &amp; Design\Design\FC22\DRR Jaime\Neiva CPI\[DINA TERCIARIOS_CF_SEC_New_27-Mar-2024.xlsx]D-PRB'!$BZ$17</v>
      </c>
      <c r="J1071" s="37" t="s">
        <v>2489</v>
      </c>
    </row>
    <row r="1072" spans="1:10" x14ac:dyDescent="0.3">
      <c r="A1072" s="32" t="s">
        <v>20</v>
      </c>
      <c r="B1072" s="32">
        <f t="shared" si="261"/>
        <v>2029</v>
      </c>
      <c r="C1072" s="33" t="s">
        <v>37</v>
      </c>
      <c r="D1072" s="34" t="s">
        <v>2002</v>
      </c>
      <c r="E1072" s="35" t="str">
        <f t="shared" si="228"/>
        <v>PRB'!</v>
      </c>
      <c r="F1072" s="34" t="str">
        <f t="shared" si="229"/>
        <v>C:\Users\jaime.benazar\Quorum Business Solutions\Ecopetrol Prometeo - Documents\Planning Space Implementation\3. Analysis &amp; Design\Design\FC22\DRR Jaime\Neiva CPI\[DINA TERCIARIOS_CF_SEC_New_27-Mar-2024.xlsx]D-PRB'!</v>
      </c>
      <c r="G1072" s="32" t="s">
        <v>119</v>
      </c>
      <c r="H1072" s="33">
        <f t="shared" si="260"/>
        <v>18</v>
      </c>
      <c r="I1072" s="33" t="str">
        <f t="shared" si="230"/>
        <v>='C:\Users\jaime.benazar\Quorum Business Solutions\Ecopetrol Prometeo - Documents\Planning Space Implementation\3. Analysis &amp; Design\Design\FC22\DRR Jaime\Neiva CPI\[DINA TERCIARIOS_CF_SEC_New_27-Mar-2024.xlsx]D-PRB'!$BZ$18</v>
      </c>
      <c r="J1072" s="37" t="s">
        <v>2490</v>
      </c>
    </row>
    <row r="1073" spans="1:10" x14ac:dyDescent="0.3">
      <c r="A1073" s="32" t="s">
        <v>20</v>
      </c>
      <c r="B1073" s="32">
        <f t="shared" si="261"/>
        <v>2030</v>
      </c>
      <c r="C1073" s="33" t="s">
        <v>37</v>
      </c>
      <c r="D1073" s="34" t="s">
        <v>2002</v>
      </c>
      <c r="E1073" s="35" t="str">
        <f t="shared" si="228"/>
        <v>PRB'!</v>
      </c>
      <c r="F1073" s="34" t="str">
        <f t="shared" si="229"/>
        <v>C:\Users\jaime.benazar\Quorum Business Solutions\Ecopetrol Prometeo - Documents\Planning Space Implementation\3. Analysis &amp; Design\Design\FC22\DRR Jaime\Neiva CPI\[DINA TERCIARIOS_CF_SEC_New_27-Mar-2024.xlsx]D-PRB'!</v>
      </c>
      <c r="G1073" s="32" t="s">
        <v>119</v>
      </c>
      <c r="H1073" s="33">
        <f t="shared" si="260"/>
        <v>19</v>
      </c>
      <c r="I1073" s="33" t="str">
        <f t="shared" si="230"/>
        <v>='C:\Users\jaime.benazar\Quorum Business Solutions\Ecopetrol Prometeo - Documents\Planning Space Implementation\3. Analysis &amp; Design\Design\FC22\DRR Jaime\Neiva CPI\[DINA TERCIARIOS_CF_SEC_New_27-Mar-2024.xlsx]D-PRB'!$BZ$19</v>
      </c>
      <c r="J1073" s="37" t="s">
        <v>2491</v>
      </c>
    </row>
    <row r="1074" spans="1:10" x14ac:dyDescent="0.3">
      <c r="A1074" s="32" t="s">
        <v>20</v>
      </c>
      <c r="B1074" s="32">
        <f t="shared" si="261"/>
        <v>2031</v>
      </c>
      <c r="C1074" s="33" t="s">
        <v>37</v>
      </c>
      <c r="D1074" s="34" t="s">
        <v>2002</v>
      </c>
      <c r="E1074" s="35" t="str">
        <f t="shared" si="228"/>
        <v>PRB'!</v>
      </c>
      <c r="F1074" s="34" t="str">
        <f t="shared" si="229"/>
        <v>C:\Users\jaime.benazar\Quorum Business Solutions\Ecopetrol Prometeo - Documents\Planning Space Implementation\3. Analysis &amp; Design\Design\FC22\DRR Jaime\Neiva CPI\[DINA TERCIARIOS_CF_SEC_New_27-Mar-2024.xlsx]D-PRB'!</v>
      </c>
      <c r="G1074" s="32" t="s">
        <v>119</v>
      </c>
      <c r="H1074" s="33">
        <f t="shared" si="260"/>
        <v>20</v>
      </c>
      <c r="I1074" s="33" t="str">
        <f t="shared" si="230"/>
        <v>='C:\Users\jaime.benazar\Quorum Business Solutions\Ecopetrol Prometeo - Documents\Planning Space Implementation\3. Analysis &amp; Design\Design\FC22\DRR Jaime\Neiva CPI\[DINA TERCIARIOS_CF_SEC_New_27-Mar-2024.xlsx]D-PRB'!$BZ$20</v>
      </c>
      <c r="J1074" s="37" t="s">
        <v>2492</v>
      </c>
    </row>
    <row r="1075" spans="1:10" x14ac:dyDescent="0.3">
      <c r="A1075" s="32" t="s">
        <v>20</v>
      </c>
      <c r="B1075" s="32">
        <f t="shared" si="261"/>
        <v>2032</v>
      </c>
      <c r="C1075" s="33" t="s">
        <v>37</v>
      </c>
      <c r="D1075" s="34" t="s">
        <v>2002</v>
      </c>
      <c r="E1075" s="35" t="str">
        <f t="shared" si="228"/>
        <v>PRB'!</v>
      </c>
      <c r="F1075" s="34" t="str">
        <f t="shared" si="229"/>
        <v>C:\Users\jaime.benazar\Quorum Business Solutions\Ecopetrol Prometeo - Documents\Planning Space Implementation\3. Analysis &amp; Design\Design\FC22\DRR Jaime\Neiva CPI\[DINA TERCIARIOS_CF_SEC_New_27-Mar-2024.xlsx]D-PRB'!</v>
      </c>
      <c r="G1075" s="32" t="s">
        <v>119</v>
      </c>
      <c r="H1075" s="33">
        <f t="shared" si="260"/>
        <v>21</v>
      </c>
      <c r="I1075" s="33" t="str">
        <f t="shared" si="230"/>
        <v>='C:\Users\jaime.benazar\Quorum Business Solutions\Ecopetrol Prometeo - Documents\Planning Space Implementation\3. Analysis &amp; Design\Design\FC22\DRR Jaime\Neiva CPI\[DINA TERCIARIOS_CF_SEC_New_27-Mar-2024.xlsx]D-PRB'!$BZ$21</v>
      </c>
      <c r="J1075" s="37" t="s">
        <v>2493</v>
      </c>
    </row>
    <row r="1076" spans="1:10" x14ac:dyDescent="0.3">
      <c r="A1076" s="32" t="s">
        <v>20</v>
      </c>
      <c r="B1076" s="32">
        <f t="shared" si="261"/>
        <v>2033</v>
      </c>
      <c r="C1076" s="33" t="s">
        <v>37</v>
      </c>
      <c r="D1076" s="34" t="s">
        <v>2002</v>
      </c>
      <c r="E1076" s="35" t="str">
        <f t="shared" si="228"/>
        <v>PRB'!</v>
      </c>
      <c r="F1076" s="34" t="str">
        <f t="shared" si="229"/>
        <v>C:\Users\jaime.benazar\Quorum Business Solutions\Ecopetrol Prometeo - Documents\Planning Space Implementation\3. Analysis &amp; Design\Design\FC22\DRR Jaime\Neiva CPI\[DINA TERCIARIOS_CF_SEC_New_27-Mar-2024.xlsx]D-PRB'!</v>
      </c>
      <c r="G1076" s="32" t="s">
        <v>119</v>
      </c>
      <c r="H1076" s="33">
        <f t="shared" si="260"/>
        <v>22</v>
      </c>
      <c r="I1076" s="33" t="str">
        <f t="shared" si="230"/>
        <v>='C:\Users\jaime.benazar\Quorum Business Solutions\Ecopetrol Prometeo - Documents\Planning Space Implementation\3. Analysis &amp; Design\Design\FC22\DRR Jaime\Neiva CPI\[DINA TERCIARIOS_CF_SEC_New_27-Mar-2024.xlsx]D-PRB'!$BZ$22</v>
      </c>
      <c r="J1076" s="37" t="s">
        <v>2494</v>
      </c>
    </row>
    <row r="1077" spans="1:10" x14ac:dyDescent="0.3">
      <c r="A1077" s="32" t="s">
        <v>20</v>
      </c>
      <c r="B1077" s="32">
        <f t="shared" si="261"/>
        <v>2034</v>
      </c>
      <c r="C1077" s="33" t="s">
        <v>37</v>
      </c>
      <c r="D1077" s="34" t="s">
        <v>2002</v>
      </c>
      <c r="E1077" s="35" t="str">
        <f t="shared" si="228"/>
        <v>PRB'!</v>
      </c>
      <c r="F1077" s="34" t="str">
        <f t="shared" si="229"/>
        <v>C:\Users\jaime.benazar\Quorum Business Solutions\Ecopetrol Prometeo - Documents\Planning Space Implementation\3. Analysis &amp; Design\Design\FC22\DRR Jaime\Neiva CPI\[DINA TERCIARIOS_CF_SEC_New_27-Mar-2024.xlsx]D-PRB'!</v>
      </c>
      <c r="G1077" s="32" t="s">
        <v>119</v>
      </c>
      <c r="H1077" s="33">
        <f t="shared" si="260"/>
        <v>23</v>
      </c>
      <c r="I1077" s="33" t="str">
        <f t="shared" si="230"/>
        <v>='C:\Users\jaime.benazar\Quorum Business Solutions\Ecopetrol Prometeo - Documents\Planning Space Implementation\3. Analysis &amp; Design\Design\FC22\DRR Jaime\Neiva CPI\[DINA TERCIARIOS_CF_SEC_New_27-Mar-2024.xlsx]D-PRB'!$BZ$23</v>
      </c>
      <c r="J1077" s="37" t="s">
        <v>2495</v>
      </c>
    </row>
    <row r="1078" spans="1:10" x14ac:dyDescent="0.3">
      <c r="A1078" s="32" t="s">
        <v>20</v>
      </c>
      <c r="B1078" s="32">
        <f t="shared" si="261"/>
        <v>2035</v>
      </c>
      <c r="C1078" s="33" t="s">
        <v>37</v>
      </c>
      <c r="D1078" s="34" t="s">
        <v>2002</v>
      </c>
      <c r="E1078" s="35" t="str">
        <f t="shared" si="228"/>
        <v>PRB'!</v>
      </c>
      <c r="F1078" s="34" t="str">
        <f t="shared" si="229"/>
        <v>C:\Users\jaime.benazar\Quorum Business Solutions\Ecopetrol Prometeo - Documents\Planning Space Implementation\3. Analysis &amp; Design\Design\FC22\DRR Jaime\Neiva CPI\[DINA TERCIARIOS_CF_SEC_New_27-Mar-2024.xlsx]D-PRB'!</v>
      </c>
      <c r="G1078" s="32" t="s">
        <v>119</v>
      </c>
      <c r="H1078" s="33">
        <f t="shared" si="260"/>
        <v>24</v>
      </c>
      <c r="I1078" s="33" t="str">
        <f t="shared" si="230"/>
        <v>='C:\Users\jaime.benazar\Quorum Business Solutions\Ecopetrol Prometeo - Documents\Planning Space Implementation\3. Analysis &amp; Design\Design\FC22\DRR Jaime\Neiva CPI\[DINA TERCIARIOS_CF_SEC_New_27-Mar-2024.xlsx]D-PRB'!$BZ$24</v>
      </c>
      <c r="J1078" s="37" t="s">
        <v>2496</v>
      </c>
    </row>
    <row r="1079" spans="1:10" x14ac:dyDescent="0.3">
      <c r="A1079" s="32" t="s">
        <v>20</v>
      </c>
      <c r="B1079" s="32">
        <f t="shared" si="261"/>
        <v>2036</v>
      </c>
      <c r="C1079" s="33" t="s">
        <v>37</v>
      </c>
      <c r="D1079" s="34" t="s">
        <v>2002</v>
      </c>
      <c r="E1079" s="35" t="str">
        <f t="shared" si="228"/>
        <v>PRB'!</v>
      </c>
      <c r="F1079" s="34" t="str">
        <f t="shared" si="229"/>
        <v>C:\Users\jaime.benazar\Quorum Business Solutions\Ecopetrol Prometeo - Documents\Planning Space Implementation\3. Analysis &amp; Design\Design\FC22\DRR Jaime\Neiva CPI\[DINA TERCIARIOS_CF_SEC_New_27-Mar-2024.xlsx]D-PRB'!</v>
      </c>
      <c r="G1079" s="32" t="s">
        <v>119</v>
      </c>
      <c r="H1079" s="33">
        <f t="shared" si="260"/>
        <v>25</v>
      </c>
      <c r="I1079" s="33" t="str">
        <f t="shared" si="230"/>
        <v>='C:\Users\jaime.benazar\Quorum Business Solutions\Ecopetrol Prometeo - Documents\Planning Space Implementation\3. Analysis &amp; Design\Design\FC22\DRR Jaime\Neiva CPI\[DINA TERCIARIOS_CF_SEC_New_27-Mar-2024.xlsx]D-PRB'!$BZ$25</v>
      </c>
      <c r="J1079" s="37" t="s">
        <v>2497</v>
      </c>
    </row>
    <row r="1080" spans="1:10" x14ac:dyDescent="0.3">
      <c r="A1080" s="32" t="s">
        <v>20</v>
      </c>
      <c r="B1080" s="32">
        <f>+B1079+1</f>
        <v>2037</v>
      </c>
      <c r="C1080" s="33" t="s">
        <v>37</v>
      </c>
      <c r="D1080" s="34" t="s">
        <v>2002</v>
      </c>
      <c r="E1080" s="35" t="str">
        <f t="shared" si="228"/>
        <v>PRB'!</v>
      </c>
      <c r="F1080" s="34" t="str">
        <f t="shared" si="229"/>
        <v>C:\Users\jaime.benazar\Quorum Business Solutions\Ecopetrol Prometeo - Documents\Planning Space Implementation\3. Analysis &amp; Design\Design\FC22\DRR Jaime\Neiva CPI\[DINA TERCIARIOS_CF_SEC_New_27-Mar-2024.xlsx]D-PRB'!</v>
      </c>
      <c r="G1080" s="32" t="s">
        <v>119</v>
      </c>
      <c r="H1080" s="33">
        <f t="shared" si="260"/>
        <v>26</v>
      </c>
      <c r="I1080" s="33" t="str">
        <f t="shared" si="230"/>
        <v>='C:\Users\jaime.benazar\Quorum Business Solutions\Ecopetrol Prometeo - Documents\Planning Space Implementation\3. Analysis &amp; Design\Design\FC22\DRR Jaime\Neiva CPI\[DINA TERCIARIOS_CF_SEC_New_27-Mar-2024.xlsx]D-PRB'!$BZ$26</v>
      </c>
      <c r="J1080" s="37" t="s">
        <v>2498</v>
      </c>
    </row>
    <row r="1081" spans="1:10" x14ac:dyDescent="0.3">
      <c r="A1081" s="32" t="s">
        <v>20</v>
      </c>
      <c r="B1081" s="32">
        <f t="shared" ref="B1081:B1083" si="262">+B1080+1</f>
        <v>2038</v>
      </c>
      <c r="C1081" s="33" t="s">
        <v>37</v>
      </c>
      <c r="D1081" s="34" t="s">
        <v>2002</v>
      </c>
      <c r="E1081" s="35" t="str">
        <f t="shared" si="228"/>
        <v>PRB'!</v>
      </c>
      <c r="F1081" s="34" t="str">
        <f t="shared" si="229"/>
        <v>C:\Users\jaime.benazar\Quorum Business Solutions\Ecopetrol Prometeo - Documents\Planning Space Implementation\3. Analysis &amp; Design\Design\FC22\DRR Jaime\Neiva CPI\[DINA TERCIARIOS_CF_SEC_New_27-Mar-2024.xlsx]D-PRB'!</v>
      </c>
      <c r="G1081" s="32" t="s">
        <v>119</v>
      </c>
      <c r="H1081" s="33">
        <f t="shared" si="260"/>
        <v>27</v>
      </c>
      <c r="I1081" s="33" t="str">
        <f t="shared" si="230"/>
        <v>='C:\Users\jaime.benazar\Quorum Business Solutions\Ecopetrol Prometeo - Documents\Planning Space Implementation\3. Analysis &amp; Design\Design\FC22\DRR Jaime\Neiva CPI\[DINA TERCIARIOS_CF_SEC_New_27-Mar-2024.xlsx]D-PRB'!$BZ$27</v>
      </c>
      <c r="J1081" s="37" t="s">
        <v>2499</v>
      </c>
    </row>
    <row r="1082" spans="1:10" x14ac:dyDescent="0.3">
      <c r="A1082" s="32" t="s">
        <v>20</v>
      </c>
      <c r="B1082" s="32">
        <f t="shared" si="262"/>
        <v>2039</v>
      </c>
      <c r="C1082" s="33" t="s">
        <v>37</v>
      </c>
      <c r="D1082" s="34" t="s">
        <v>2002</v>
      </c>
      <c r="E1082" s="35" t="str">
        <f t="shared" si="228"/>
        <v>PRB'!</v>
      </c>
      <c r="F1082" s="34" t="str">
        <f t="shared" si="229"/>
        <v>C:\Users\jaime.benazar\Quorum Business Solutions\Ecopetrol Prometeo - Documents\Planning Space Implementation\3. Analysis &amp; Design\Design\FC22\DRR Jaime\Neiva CPI\[DINA TERCIARIOS_CF_SEC_New_27-Mar-2024.xlsx]D-PRB'!</v>
      </c>
      <c r="G1082" s="32" t="s">
        <v>119</v>
      </c>
      <c r="H1082" s="33">
        <f t="shared" si="260"/>
        <v>28</v>
      </c>
      <c r="I1082" s="33" t="str">
        <f t="shared" si="230"/>
        <v>='C:\Users\jaime.benazar\Quorum Business Solutions\Ecopetrol Prometeo - Documents\Planning Space Implementation\3. Analysis &amp; Design\Design\FC22\DRR Jaime\Neiva CPI\[DINA TERCIARIOS_CF_SEC_New_27-Mar-2024.xlsx]D-PRB'!$BZ$28</v>
      </c>
      <c r="J1082" s="37" t="s">
        <v>2500</v>
      </c>
    </row>
    <row r="1083" spans="1:10" x14ac:dyDescent="0.3">
      <c r="A1083" s="32" t="s">
        <v>20</v>
      </c>
      <c r="B1083" s="32">
        <f t="shared" si="262"/>
        <v>2040</v>
      </c>
      <c r="C1083" s="33" t="s">
        <v>37</v>
      </c>
      <c r="D1083" s="34" t="s">
        <v>2002</v>
      </c>
      <c r="E1083" s="35" t="str">
        <f t="shared" si="228"/>
        <v>PRB'!</v>
      </c>
      <c r="F1083" s="34" t="str">
        <f t="shared" si="229"/>
        <v>C:\Users\jaime.benazar\Quorum Business Solutions\Ecopetrol Prometeo - Documents\Planning Space Implementation\3. Analysis &amp; Design\Design\FC22\DRR Jaime\Neiva CPI\[DINA TERCIARIOS_CF_SEC_New_27-Mar-2024.xlsx]D-PRB'!</v>
      </c>
      <c r="G1083" s="32" t="s">
        <v>119</v>
      </c>
      <c r="H1083" s="33">
        <f t="shared" si="260"/>
        <v>29</v>
      </c>
      <c r="I1083" s="33" t="str">
        <f t="shared" si="230"/>
        <v>='C:\Users\jaime.benazar\Quorum Business Solutions\Ecopetrol Prometeo - Documents\Planning Space Implementation\3. Analysis &amp; Design\Design\FC22\DRR Jaime\Neiva CPI\[DINA TERCIARIOS_CF_SEC_New_27-Mar-2024.xlsx]D-PRB'!$BZ$29</v>
      </c>
      <c r="J1083" s="37" t="s">
        <v>2501</v>
      </c>
    </row>
    <row r="1084" spans="1:10" x14ac:dyDescent="0.3">
      <c r="A1084" s="32" t="s">
        <v>20</v>
      </c>
      <c r="B1084" s="32">
        <f>+B1083+1</f>
        <v>2041</v>
      </c>
      <c r="C1084" s="33" t="s">
        <v>37</v>
      </c>
      <c r="D1084" s="34" t="s">
        <v>2002</v>
      </c>
      <c r="E1084" s="35" t="str">
        <f t="shared" si="228"/>
        <v>PRB'!</v>
      </c>
      <c r="F1084" s="34" t="str">
        <f t="shared" si="229"/>
        <v>C:\Users\jaime.benazar\Quorum Business Solutions\Ecopetrol Prometeo - Documents\Planning Space Implementation\3. Analysis &amp; Design\Design\FC22\DRR Jaime\Neiva CPI\[DINA TERCIARIOS_CF_SEC_New_27-Mar-2024.xlsx]D-PRB'!</v>
      </c>
      <c r="G1084" s="32" t="s">
        <v>119</v>
      </c>
      <c r="H1084" s="33">
        <f t="shared" si="260"/>
        <v>30</v>
      </c>
      <c r="I1084" s="33" t="str">
        <f t="shared" si="230"/>
        <v>='C:\Users\jaime.benazar\Quorum Business Solutions\Ecopetrol Prometeo - Documents\Planning Space Implementation\3. Analysis &amp; Design\Design\FC22\DRR Jaime\Neiva CPI\[DINA TERCIARIOS_CF_SEC_New_27-Mar-2024.xlsx]D-PRB'!$BZ$30</v>
      </c>
      <c r="J1084" s="37" t="s">
        <v>2502</v>
      </c>
    </row>
    <row r="1085" spans="1:10" x14ac:dyDescent="0.3">
      <c r="A1085" s="32" t="s">
        <v>20</v>
      </c>
      <c r="B1085" s="32">
        <f t="shared" ref="B1085:B1086" si="263">+B1084+1</f>
        <v>2042</v>
      </c>
      <c r="C1085" s="33" t="s">
        <v>37</v>
      </c>
      <c r="D1085" s="34" t="s">
        <v>2002</v>
      </c>
      <c r="E1085" s="35" t="str">
        <f t="shared" si="228"/>
        <v>PRB'!</v>
      </c>
      <c r="F1085" s="34" t="str">
        <f t="shared" si="229"/>
        <v>C:\Users\jaime.benazar\Quorum Business Solutions\Ecopetrol Prometeo - Documents\Planning Space Implementation\3. Analysis &amp; Design\Design\FC22\DRR Jaime\Neiva CPI\[DINA TERCIARIOS_CF_SEC_New_27-Mar-2024.xlsx]D-PRB'!</v>
      </c>
      <c r="G1085" s="32" t="s">
        <v>119</v>
      </c>
      <c r="H1085" s="33">
        <f t="shared" si="260"/>
        <v>31</v>
      </c>
      <c r="I1085" s="33" t="str">
        <f t="shared" si="230"/>
        <v>='C:\Users\jaime.benazar\Quorum Business Solutions\Ecopetrol Prometeo - Documents\Planning Space Implementation\3. Analysis &amp; Design\Design\FC22\DRR Jaime\Neiva CPI\[DINA TERCIARIOS_CF_SEC_New_27-Mar-2024.xlsx]D-PRB'!$BZ$31</v>
      </c>
      <c r="J1085" s="37" t="s">
        <v>2503</v>
      </c>
    </row>
    <row r="1086" spans="1:10" x14ac:dyDescent="0.3">
      <c r="A1086" s="32" t="s">
        <v>20</v>
      </c>
      <c r="B1086" s="32">
        <f t="shared" si="263"/>
        <v>2043</v>
      </c>
      <c r="C1086" s="33" t="s">
        <v>37</v>
      </c>
      <c r="D1086" s="34" t="s">
        <v>2002</v>
      </c>
      <c r="E1086" s="35" t="str">
        <f t="shared" si="228"/>
        <v>PRB'!</v>
      </c>
      <c r="F1086" s="34" t="str">
        <f t="shared" si="229"/>
        <v>C:\Users\jaime.benazar\Quorum Business Solutions\Ecopetrol Prometeo - Documents\Planning Space Implementation\3. Analysis &amp; Design\Design\FC22\DRR Jaime\Neiva CPI\[DINA TERCIARIOS_CF_SEC_New_27-Mar-2024.xlsx]D-PRB'!</v>
      </c>
      <c r="G1086" s="32" t="s">
        <v>119</v>
      </c>
      <c r="H1086" s="33">
        <f t="shared" si="260"/>
        <v>32</v>
      </c>
      <c r="I1086" s="33" t="str">
        <f t="shared" si="230"/>
        <v>='C:\Users\jaime.benazar\Quorum Business Solutions\Ecopetrol Prometeo - Documents\Planning Space Implementation\3. Analysis &amp; Design\Design\FC22\DRR Jaime\Neiva CPI\[DINA TERCIARIOS_CF_SEC_New_27-Mar-2024.xlsx]D-PRB'!$BZ$32</v>
      </c>
      <c r="J1086" s="37" t="s">
        <v>2504</v>
      </c>
    </row>
    <row r="1087" spans="1:10" x14ac:dyDescent="0.3">
      <c r="A1087" s="32" t="s">
        <v>20</v>
      </c>
      <c r="B1087" s="32">
        <f>+B1086+1</f>
        <v>2044</v>
      </c>
      <c r="C1087" s="33" t="s">
        <v>37</v>
      </c>
      <c r="D1087" s="34" t="s">
        <v>2002</v>
      </c>
      <c r="E1087" s="35" t="str">
        <f t="shared" ref="E1087:E1102" si="264">_xlfn.CONCAT(A1087,"'!")</f>
        <v>PRB'!</v>
      </c>
      <c r="F1087" s="34" t="str">
        <f t="shared" ref="F1087:F1102" si="265">_xlfn.CONCAT(D1087:E1087)</f>
        <v>C:\Users\jaime.benazar\Quorum Business Solutions\Ecopetrol Prometeo - Documents\Planning Space Implementation\3. Analysis &amp; Design\Design\FC22\DRR Jaime\Neiva CPI\[DINA TERCIARIOS_CF_SEC_New_27-Mar-2024.xlsx]D-PRB'!</v>
      </c>
      <c r="G1087" s="32" t="s">
        <v>119</v>
      </c>
      <c r="H1087" s="33">
        <f t="shared" ref="H1087:H1102" si="266">IF(A1087&lt;&gt;A1086,12,H1086+1)</f>
        <v>33</v>
      </c>
      <c r="I1087" s="33" t="str">
        <f t="shared" ref="I1087:I1102" si="267">_xlfn.CONCAT("='",F1087:H1087)</f>
        <v>='C:\Users\jaime.benazar\Quorum Business Solutions\Ecopetrol Prometeo - Documents\Planning Space Implementation\3. Analysis &amp; Design\Design\FC22\DRR Jaime\Neiva CPI\[DINA TERCIARIOS_CF_SEC_New_27-Mar-2024.xlsx]D-PRB'!$BZ$33</v>
      </c>
      <c r="J1087" s="37" t="s">
        <v>2505</v>
      </c>
    </row>
    <row r="1088" spans="1:10" x14ac:dyDescent="0.3">
      <c r="A1088" s="32" t="s">
        <v>20</v>
      </c>
      <c r="B1088" s="32">
        <f t="shared" ref="B1088:B1102" si="268">+B1087+1</f>
        <v>2045</v>
      </c>
      <c r="C1088" s="33" t="s">
        <v>37</v>
      </c>
      <c r="D1088" s="34" t="s">
        <v>2002</v>
      </c>
      <c r="E1088" s="35" t="str">
        <f t="shared" si="264"/>
        <v>PRB'!</v>
      </c>
      <c r="F1088" s="34" t="str">
        <f t="shared" si="265"/>
        <v>C:\Users\jaime.benazar\Quorum Business Solutions\Ecopetrol Prometeo - Documents\Planning Space Implementation\3. Analysis &amp; Design\Design\FC22\DRR Jaime\Neiva CPI\[DINA TERCIARIOS_CF_SEC_New_27-Mar-2024.xlsx]D-PRB'!</v>
      </c>
      <c r="G1088" s="32" t="s">
        <v>119</v>
      </c>
      <c r="H1088" s="33">
        <f t="shared" si="266"/>
        <v>34</v>
      </c>
      <c r="I1088" s="33" t="str">
        <f t="shared" si="267"/>
        <v>='C:\Users\jaime.benazar\Quorum Business Solutions\Ecopetrol Prometeo - Documents\Planning Space Implementation\3. Analysis &amp; Design\Design\FC22\DRR Jaime\Neiva CPI\[DINA TERCIARIOS_CF_SEC_New_27-Mar-2024.xlsx]D-PRB'!$BZ$34</v>
      </c>
      <c r="J1088" s="37" t="s">
        <v>2506</v>
      </c>
    </row>
    <row r="1089" spans="1:10" x14ac:dyDescent="0.3">
      <c r="A1089" s="32" t="s">
        <v>20</v>
      </c>
      <c r="B1089" s="32">
        <f t="shared" si="268"/>
        <v>2046</v>
      </c>
      <c r="C1089" s="33" t="s">
        <v>37</v>
      </c>
      <c r="D1089" s="34" t="s">
        <v>2002</v>
      </c>
      <c r="E1089" s="35" t="str">
        <f t="shared" si="264"/>
        <v>PRB'!</v>
      </c>
      <c r="F1089" s="34" t="str">
        <f t="shared" si="265"/>
        <v>C:\Users\jaime.benazar\Quorum Business Solutions\Ecopetrol Prometeo - Documents\Planning Space Implementation\3. Analysis &amp; Design\Design\FC22\DRR Jaime\Neiva CPI\[DINA TERCIARIOS_CF_SEC_New_27-Mar-2024.xlsx]D-PRB'!</v>
      </c>
      <c r="G1089" s="32" t="s">
        <v>119</v>
      </c>
      <c r="H1089" s="33">
        <f t="shared" si="266"/>
        <v>35</v>
      </c>
      <c r="I1089" s="33" t="str">
        <f t="shared" si="267"/>
        <v>='C:\Users\jaime.benazar\Quorum Business Solutions\Ecopetrol Prometeo - Documents\Planning Space Implementation\3. Analysis &amp; Design\Design\FC22\DRR Jaime\Neiva CPI\[DINA TERCIARIOS_CF_SEC_New_27-Mar-2024.xlsx]D-PRB'!$BZ$35</v>
      </c>
      <c r="J1089" s="37" t="s">
        <v>2507</v>
      </c>
    </row>
    <row r="1090" spans="1:10" x14ac:dyDescent="0.3">
      <c r="A1090" s="32" t="s">
        <v>20</v>
      </c>
      <c r="B1090" s="32">
        <f t="shared" si="268"/>
        <v>2047</v>
      </c>
      <c r="C1090" s="33" t="s">
        <v>37</v>
      </c>
      <c r="D1090" s="34" t="s">
        <v>2002</v>
      </c>
      <c r="E1090" s="35" t="str">
        <f t="shared" si="264"/>
        <v>PRB'!</v>
      </c>
      <c r="F1090" s="34" t="str">
        <f t="shared" si="265"/>
        <v>C:\Users\jaime.benazar\Quorum Business Solutions\Ecopetrol Prometeo - Documents\Planning Space Implementation\3. Analysis &amp; Design\Design\FC22\DRR Jaime\Neiva CPI\[DINA TERCIARIOS_CF_SEC_New_27-Mar-2024.xlsx]D-PRB'!</v>
      </c>
      <c r="G1090" s="32" t="s">
        <v>119</v>
      </c>
      <c r="H1090" s="33">
        <f t="shared" si="266"/>
        <v>36</v>
      </c>
      <c r="I1090" s="33" t="str">
        <f t="shared" si="267"/>
        <v>='C:\Users\jaime.benazar\Quorum Business Solutions\Ecopetrol Prometeo - Documents\Planning Space Implementation\3. Analysis &amp; Design\Design\FC22\DRR Jaime\Neiva CPI\[DINA TERCIARIOS_CF_SEC_New_27-Mar-2024.xlsx]D-PRB'!$BZ$36</v>
      </c>
      <c r="J1090" s="37" t="s">
        <v>2508</v>
      </c>
    </row>
    <row r="1091" spans="1:10" x14ac:dyDescent="0.3">
      <c r="A1091" s="32" t="s">
        <v>20</v>
      </c>
      <c r="B1091" s="32">
        <f t="shared" si="268"/>
        <v>2048</v>
      </c>
      <c r="C1091" s="33" t="s">
        <v>37</v>
      </c>
      <c r="D1091" s="34" t="s">
        <v>2002</v>
      </c>
      <c r="E1091" s="35" t="str">
        <f t="shared" si="264"/>
        <v>PRB'!</v>
      </c>
      <c r="F1091" s="34" t="str">
        <f t="shared" si="265"/>
        <v>C:\Users\jaime.benazar\Quorum Business Solutions\Ecopetrol Prometeo - Documents\Planning Space Implementation\3. Analysis &amp; Design\Design\FC22\DRR Jaime\Neiva CPI\[DINA TERCIARIOS_CF_SEC_New_27-Mar-2024.xlsx]D-PRB'!</v>
      </c>
      <c r="G1091" s="32" t="s">
        <v>119</v>
      </c>
      <c r="H1091" s="33">
        <f t="shared" si="266"/>
        <v>37</v>
      </c>
      <c r="I1091" s="33" t="str">
        <f t="shared" si="267"/>
        <v>='C:\Users\jaime.benazar\Quorum Business Solutions\Ecopetrol Prometeo - Documents\Planning Space Implementation\3. Analysis &amp; Design\Design\FC22\DRR Jaime\Neiva CPI\[DINA TERCIARIOS_CF_SEC_New_27-Mar-2024.xlsx]D-PRB'!$BZ$37</v>
      </c>
      <c r="J1091" s="37" t="s">
        <v>2509</v>
      </c>
    </row>
    <row r="1092" spans="1:10" x14ac:dyDescent="0.3">
      <c r="A1092" s="32" t="s">
        <v>20</v>
      </c>
      <c r="B1092" s="32">
        <f t="shared" si="268"/>
        <v>2049</v>
      </c>
      <c r="C1092" s="33" t="s">
        <v>37</v>
      </c>
      <c r="D1092" s="34" t="s">
        <v>2002</v>
      </c>
      <c r="E1092" s="35" t="str">
        <f t="shared" si="264"/>
        <v>PRB'!</v>
      </c>
      <c r="F1092" s="34" t="str">
        <f t="shared" si="265"/>
        <v>C:\Users\jaime.benazar\Quorum Business Solutions\Ecopetrol Prometeo - Documents\Planning Space Implementation\3. Analysis &amp; Design\Design\FC22\DRR Jaime\Neiva CPI\[DINA TERCIARIOS_CF_SEC_New_27-Mar-2024.xlsx]D-PRB'!</v>
      </c>
      <c r="G1092" s="32" t="s">
        <v>119</v>
      </c>
      <c r="H1092" s="33">
        <f t="shared" si="266"/>
        <v>38</v>
      </c>
      <c r="I1092" s="33" t="str">
        <f t="shared" si="267"/>
        <v>='C:\Users\jaime.benazar\Quorum Business Solutions\Ecopetrol Prometeo - Documents\Planning Space Implementation\3. Analysis &amp; Design\Design\FC22\DRR Jaime\Neiva CPI\[DINA TERCIARIOS_CF_SEC_New_27-Mar-2024.xlsx]D-PRB'!$BZ$38</v>
      </c>
      <c r="J1092" s="37" t="s">
        <v>2510</v>
      </c>
    </row>
    <row r="1093" spans="1:10" x14ac:dyDescent="0.3">
      <c r="A1093" s="32" t="s">
        <v>20</v>
      </c>
      <c r="B1093" s="32">
        <f t="shared" si="268"/>
        <v>2050</v>
      </c>
      <c r="C1093" s="33" t="s">
        <v>37</v>
      </c>
      <c r="D1093" s="34" t="s">
        <v>2002</v>
      </c>
      <c r="E1093" s="35" t="str">
        <f t="shared" si="264"/>
        <v>PRB'!</v>
      </c>
      <c r="F1093" s="34" t="str">
        <f t="shared" si="265"/>
        <v>C:\Users\jaime.benazar\Quorum Business Solutions\Ecopetrol Prometeo - Documents\Planning Space Implementation\3. Analysis &amp; Design\Design\FC22\DRR Jaime\Neiva CPI\[DINA TERCIARIOS_CF_SEC_New_27-Mar-2024.xlsx]D-PRB'!</v>
      </c>
      <c r="G1093" s="32" t="s">
        <v>119</v>
      </c>
      <c r="H1093" s="33">
        <f t="shared" si="266"/>
        <v>39</v>
      </c>
      <c r="I1093" s="33" t="str">
        <f t="shared" si="267"/>
        <v>='C:\Users\jaime.benazar\Quorum Business Solutions\Ecopetrol Prometeo - Documents\Planning Space Implementation\3. Analysis &amp; Design\Design\FC22\DRR Jaime\Neiva CPI\[DINA TERCIARIOS_CF_SEC_New_27-Mar-2024.xlsx]D-PRB'!$BZ$39</v>
      </c>
      <c r="J1093" s="37" t="s">
        <v>2511</v>
      </c>
    </row>
    <row r="1094" spans="1:10" x14ac:dyDescent="0.3">
      <c r="A1094" s="32" t="s">
        <v>20</v>
      </c>
      <c r="B1094" s="32">
        <f t="shared" si="268"/>
        <v>2051</v>
      </c>
      <c r="C1094" s="33" t="s">
        <v>37</v>
      </c>
      <c r="D1094" s="34" t="s">
        <v>2002</v>
      </c>
      <c r="E1094" s="35" t="str">
        <f t="shared" si="264"/>
        <v>PRB'!</v>
      </c>
      <c r="F1094" s="34" t="str">
        <f t="shared" si="265"/>
        <v>C:\Users\jaime.benazar\Quorum Business Solutions\Ecopetrol Prometeo - Documents\Planning Space Implementation\3. Analysis &amp; Design\Design\FC22\DRR Jaime\Neiva CPI\[DINA TERCIARIOS_CF_SEC_New_27-Mar-2024.xlsx]D-PRB'!</v>
      </c>
      <c r="G1094" s="32" t="s">
        <v>119</v>
      </c>
      <c r="H1094" s="33">
        <f t="shared" si="266"/>
        <v>40</v>
      </c>
      <c r="I1094" s="33" t="str">
        <f t="shared" si="267"/>
        <v>='C:\Users\jaime.benazar\Quorum Business Solutions\Ecopetrol Prometeo - Documents\Planning Space Implementation\3. Analysis &amp; Design\Design\FC22\DRR Jaime\Neiva CPI\[DINA TERCIARIOS_CF_SEC_New_27-Mar-2024.xlsx]D-PRB'!$BZ$40</v>
      </c>
      <c r="J1094" s="37" t="s">
        <v>2512</v>
      </c>
    </row>
    <row r="1095" spans="1:10" x14ac:dyDescent="0.3">
      <c r="A1095" s="32" t="s">
        <v>20</v>
      </c>
      <c r="B1095" s="32">
        <f t="shared" si="268"/>
        <v>2052</v>
      </c>
      <c r="C1095" s="33" t="s">
        <v>37</v>
      </c>
      <c r="D1095" s="34" t="s">
        <v>2002</v>
      </c>
      <c r="E1095" s="35" t="str">
        <f t="shared" si="264"/>
        <v>PRB'!</v>
      </c>
      <c r="F1095" s="34" t="str">
        <f t="shared" si="265"/>
        <v>C:\Users\jaime.benazar\Quorum Business Solutions\Ecopetrol Prometeo - Documents\Planning Space Implementation\3. Analysis &amp; Design\Design\FC22\DRR Jaime\Neiva CPI\[DINA TERCIARIOS_CF_SEC_New_27-Mar-2024.xlsx]D-PRB'!</v>
      </c>
      <c r="G1095" s="32" t="s">
        <v>119</v>
      </c>
      <c r="H1095" s="33">
        <f t="shared" si="266"/>
        <v>41</v>
      </c>
      <c r="I1095" s="33" t="str">
        <f t="shared" si="267"/>
        <v>='C:\Users\jaime.benazar\Quorum Business Solutions\Ecopetrol Prometeo - Documents\Planning Space Implementation\3. Analysis &amp; Design\Design\FC22\DRR Jaime\Neiva CPI\[DINA TERCIARIOS_CF_SEC_New_27-Mar-2024.xlsx]D-PRB'!$BZ$41</v>
      </c>
      <c r="J1095" s="37" t="s">
        <v>2513</v>
      </c>
    </row>
    <row r="1096" spans="1:10" x14ac:dyDescent="0.3">
      <c r="A1096" s="32" t="s">
        <v>20</v>
      </c>
      <c r="B1096" s="32">
        <f t="shared" si="268"/>
        <v>2053</v>
      </c>
      <c r="C1096" s="33" t="s">
        <v>37</v>
      </c>
      <c r="D1096" s="34" t="s">
        <v>2002</v>
      </c>
      <c r="E1096" s="35" t="str">
        <f t="shared" si="264"/>
        <v>PRB'!</v>
      </c>
      <c r="F1096" s="34" t="str">
        <f t="shared" si="265"/>
        <v>C:\Users\jaime.benazar\Quorum Business Solutions\Ecopetrol Prometeo - Documents\Planning Space Implementation\3. Analysis &amp; Design\Design\FC22\DRR Jaime\Neiva CPI\[DINA TERCIARIOS_CF_SEC_New_27-Mar-2024.xlsx]D-PRB'!</v>
      </c>
      <c r="G1096" s="32" t="s">
        <v>119</v>
      </c>
      <c r="H1096" s="33">
        <f t="shared" si="266"/>
        <v>42</v>
      </c>
      <c r="I1096" s="33" t="str">
        <f t="shared" si="267"/>
        <v>='C:\Users\jaime.benazar\Quorum Business Solutions\Ecopetrol Prometeo - Documents\Planning Space Implementation\3. Analysis &amp; Design\Design\FC22\DRR Jaime\Neiva CPI\[DINA TERCIARIOS_CF_SEC_New_27-Mar-2024.xlsx]D-PRB'!$BZ$42</v>
      </c>
      <c r="J1096" s="37" t="s">
        <v>2514</v>
      </c>
    </row>
    <row r="1097" spans="1:10" x14ac:dyDescent="0.3">
      <c r="A1097" s="32" t="s">
        <v>20</v>
      </c>
      <c r="B1097" s="32">
        <f t="shared" si="268"/>
        <v>2054</v>
      </c>
      <c r="C1097" s="33" t="s">
        <v>37</v>
      </c>
      <c r="D1097" s="34" t="s">
        <v>2002</v>
      </c>
      <c r="E1097" s="35" t="str">
        <f t="shared" si="264"/>
        <v>PRB'!</v>
      </c>
      <c r="F1097" s="34" t="str">
        <f t="shared" si="265"/>
        <v>C:\Users\jaime.benazar\Quorum Business Solutions\Ecopetrol Prometeo - Documents\Planning Space Implementation\3. Analysis &amp; Design\Design\FC22\DRR Jaime\Neiva CPI\[DINA TERCIARIOS_CF_SEC_New_27-Mar-2024.xlsx]D-PRB'!</v>
      </c>
      <c r="G1097" s="32" t="s">
        <v>119</v>
      </c>
      <c r="H1097" s="33">
        <f t="shared" si="266"/>
        <v>43</v>
      </c>
      <c r="I1097" s="33" t="str">
        <f t="shared" si="267"/>
        <v>='C:\Users\jaime.benazar\Quorum Business Solutions\Ecopetrol Prometeo - Documents\Planning Space Implementation\3. Analysis &amp; Design\Design\FC22\DRR Jaime\Neiva CPI\[DINA TERCIARIOS_CF_SEC_New_27-Mar-2024.xlsx]D-PRB'!$BZ$43</v>
      </c>
      <c r="J1097" s="37" t="s">
        <v>2515</v>
      </c>
    </row>
    <row r="1098" spans="1:10" x14ac:dyDescent="0.3">
      <c r="A1098" s="32" t="s">
        <v>20</v>
      </c>
      <c r="B1098" s="32">
        <f t="shared" si="268"/>
        <v>2055</v>
      </c>
      <c r="C1098" s="33" t="s">
        <v>37</v>
      </c>
      <c r="D1098" s="34" t="s">
        <v>2002</v>
      </c>
      <c r="E1098" s="35" t="str">
        <f t="shared" si="264"/>
        <v>PRB'!</v>
      </c>
      <c r="F1098" s="34" t="str">
        <f t="shared" si="265"/>
        <v>C:\Users\jaime.benazar\Quorum Business Solutions\Ecopetrol Prometeo - Documents\Planning Space Implementation\3. Analysis &amp; Design\Design\FC22\DRR Jaime\Neiva CPI\[DINA TERCIARIOS_CF_SEC_New_27-Mar-2024.xlsx]D-PRB'!</v>
      </c>
      <c r="G1098" s="32" t="s">
        <v>119</v>
      </c>
      <c r="H1098" s="33">
        <f t="shared" si="266"/>
        <v>44</v>
      </c>
      <c r="I1098" s="33" t="str">
        <f t="shared" si="267"/>
        <v>='C:\Users\jaime.benazar\Quorum Business Solutions\Ecopetrol Prometeo - Documents\Planning Space Implementation\3. Analysis &amp; Design\Design\FC22\DRR Jaime\Neiva CPI\[DINA TERCIARIOS_CF_SEC_New_27-Mar-2024.xlsx]D-PRB'!$BZ$44</v>
      </c>
      <c r="J1098" s="37" t="s">
        <v>2516</v>
      </c>
    </row>
    <row r="1099" spans="1:10" x14ac:dyDescent="0.3">
      <c r="A1099" s="32" t="s">
        <v>20</v>
      </c>
      <c r="B1099" s="32">
        <f t="shared" si="268"/>
        <v>2056</v>
      </c>
      <c r="C1099" s="33" t="s">
        <v>37</v>
      </c>
      <c r="D1099" s="34" t="s">
        <v>2002</v>
      </c>
      <c r="E1099" s="35" t="str">
        <f t="shared" si="264"/>
        <v>PRB'!</v>
      </c>
      <c r="F1099" s="34" t="str">
        <f t="shared" si="265"/>
        <v>C:\Users\jaime.benazar\Quorum Business Solutions\Ecopetrol Prometeo - Documents\Planning Space Implementation\3. Analysis &amp; Design\Design\FC22\DRR Jaime\Neiva CPI\[DINA TERCIARIOS_CF_SEC_New_27-Mar-2024.xlsx]D-PRB'!</v>
      </c>
      <c r="G1099" s="32" t="s">
        <v>119</v>
      </c>
      <c r="H1099" s="33">
        <f t="shared" si="266"/>
        <v>45</v>
      </c>
      <c r="I1099" s="33" t="str">
        <f t="shared" si="267"/>
        <v>='C:\Users\jaime.benazar\Quorum Business Solutions\Ecopetrol Prometeo - Documents\Planning Space Implementation\3. Analysis &amp; Design\Design\FC22\DRR Jaime\Neiva CPI\[DINA TERCIARIOS_CF_SEC_New_27-Mar-2024.xlsx]D-PRB'!$BZ$45</v>
      </c>
      <c r="J1099" s="37" t="s">
        <v>2517</v>
      </c>
    </row>
    <row r="1100" spans="1:10" x14ac:dyDescent="0.3">
      <c r="A1100" s="32" t="s">
        <v>20</v>
      </c>
      <c r="B1100" s="32">
        <f t="shared" si="268"/>
        <v>2057</v>
      </c>
      <c r="C1100" s="33" t="s">
        <v>37</v>
      </c>
      <c r="D1100" s="34" t="s">
        <v>2002</v>
      </c>
      <c r="E1100" s="35" t="str">
        <f t="shared" si="264"/>
        <v>PRB'!</v>
      </c>
      <c r="F1100" s="34" t="str">
        <f t="shared" si="265"/>
        <v>C:\Users\jaime.benazar\Quorum Business Solutions\Ecopetrol Prometeo - Documents\Planning Space Implementation\3. Analysis &amp; Design\Design\FC22\DRR Jaime\Neiva CPI\[DINA TERCIARIOS_CF_SEC_New_27-Mar-2024.xlsx]D-PRB'!</v>
      </c>
      <c r="G1100" s="32" t="s">
        <v>119</v>
      </c>
      <c r="H1100" s="33">
        <f t="shared" si="266"/>
        <v>46</v>
      </c>
      <c r="I1100" s="33" t="str">
        <f t="shared" si="267"/>
        <v>='C:\Users\jaime.benazar\Quorum Business Solutions\Ecopetrol Prometeo - Documents\Planning Space Implementation\3. Analysis &amp; Design\Design\FC22\DRR Jaime\Neiva CPI\[DINA TERCIARIOS_CF_SEC_New_27-Mar-2024.xlsx]D-PRB'!$BZ$46</v>
      </c>
      <c r="J1100" s="37" t="s">
        <v>2518</v>
      </c>
    </row>
    <row r="1101" spans="1:10" x14ac:dyDescent="0.3">
      <c r="A1101" s="32" t="s">
        <v>20</v>
      </c>
      <c r="B1101" s="32">
        <f t="shared" si="268"/>
        <v>2058</v>
      </c>
      <c r="C1101" s="33" t="s">
        <v>37</v>
      </c>
      <c r="D1101" s="34" t="s">
        <v>2002</v>
      </c>
      <c r="E1101" s="35" t="str">
        <f t="shared" si="264"/>
        <v>PRB'!</v>
      </c>
      <c r="F1101" s="34" t="str">
        <f t="shared" si="265"/>
        <v>C:\Users\jaime.benazar\Quorum Business Solutions\Ecopetrol Prometeo - Documents\Planning Space Implementation\3. Analysis &amp; Design\Design\FC22\DRR Jaime\Neiva CPI\[DINA TERCIARIOS_CF_SEC_New_27-Mar-2024.xlsx]D-PRB'!</v>
      </c>
      <c r="G1101" s="32" t="s">
        <v>119</v>
      </c>
      <c r="H1101" s="33">
        <f t="shared" si="266"/>
        <v>47</v>
      </c>
      <c r="I1101" s="33" t="str">
        <f t="shared" si="267"/>
        <v>='C:\Users\jaime.benazar\Quorum Business Solutions\Ecopetrol Prometeo - Documents\Planning Space Implementation\3. Analysis &amp; Design\Design\FC22\DRR Jaime\Neiva CPI\[DINA TERCIARIOS_CF_SEC_New_27-Mar-2024.xlsx]D-PRB'!$BZ$47</v>
      </c>
      <c r="J1101" s="37" t="s">
        <v>2519</v>
      </c>
    </row>
    <row r="1102" spans="1:10" x14ac:dyDescent="0.3">
      <c r="A1102" s="32" t="s">
        <v>20</v>
      </c>
      <c r="B1102" s="32">
        <f t="shared" si="268"/>
        <v>2059</v>
      </c>
      <c r="C1102" s="33" t="s">
        <v>37</v>
      </c>
      <c r="D1102" s="34" t="s">
        <v>2002</v>
      </c>
      <c r="E1102" s="35" t="str">
        <f t="shared" si="264"/>
        <v>PRB'!</v>
      </c>
      <c r="F1102" s="34" t="str">
        <f t="shared" si="265"/>
        <v>C:\Users\jaime.benazar\Quorum Business Solutions\Ecopetrol Prometeo - Documents\Planning Space Implementation\3. Analysis &amp; Design\Design\FC22\DRR Jaime\Neiva CPI\[DINA TERCIARIOS_CF_SEC_New_27-Mar-2024.xlsx]D-PRB'!</v>
      </c>
      <c r="G1102" s="32" t="s">
        <v>119</v>
      </c>
      <c r="H1102" s="33">
        <f t="shared" si="266"/>
        <v>48</v>
      </c>
      <c r="I1102" s="33" t="str">
        <f t="shared" si="267"/>
        <v>='C:\Users\jaime.benazar\Quorum Business Solutions\Ecopetrol Prometeo - Documents\Planning Space Implementation\3. Analysis &amp; Design\Design\FC22\DRR Jaime\Neiva CPI\[DINA TERCIARIOS_CF_SEC_New_27-Mar-2024.xlsx]D-PRB'!$BZ$48</v>
      </c>
      <c r="J1102" s="37" t="s">
        <v>2520</v>
      </c>
    </row>
    <row r="1103" spans="1:10" x14ac:dyDescent="0.3">
      <c r="A1103" s="32" t="s">
        <v>26</v>
      </c>
      <c r="B1103" s="32"/>
      <c r="C1103" s="33" t="s">
        <v>37</v>
      </c>
      <c r="D1103" s="34"/>
      <c r="E1103" s="35"/>
      <c r="F1103" s="34"/>
      <c r="G1103" s="32"/>
      <c r="H1103" s="33"/>
      <c r="I1103" s="33"/>
      <c r="J1103" s="33"/>
    </row>
    <row r="1104" spans="1:10" x14ac:dyDescent="0.3">
      <c r="A1104" s="32" t="s">
        <v>21</v>
      </c>
      <c r="B1104" s="32">
        <v>2023</v>
      </c>
      <c r="C1104" s="33" t="s">
        <v>37</v>
      </c>
      <c r="D1104" s="34" t="s">
        <v>2002</v>
      </c>
      <c r="E1104" s="35" t="str">
        <f t="shared" ref="E1104:E1124" si="269">_xlfn.CONCAT(A1104,"'!")</f>
        <v>PSDP'!</v>
      </c>
      <c r="F1104" s="34" t="str">
        <f t="shared" ref="F1104:F1124" si="270">_xlfn.CONCAT(D1104:E1104)</f>
        <v>C:\Users\jaime.benazar\Quorum Business Solutions\Ecopetrol Prometeo - Documents\Planning Space Implementation\3. Analysis &amp; Design\Design\FC22\DRR Jaime\Neiva CPI\[DINA TERCIARIOS_CF_SEC_New_27-Mar-2024.xlsx]D-PSDP'!</v>
      </c>
      <c r="G1104" s="32" t="s">
        <v>119</v>
      </c>
      <c r="H1104" s="33"/>
      <c r="I1104" s="33"/>
      <c r="J1104" s="37"/>
    </row>
    <row r="1105" spans="1:10" x14ac:dyDescent="0.3">
      <c r="A1105" s="32" t="s">
        <v>21</v>
      </c>
      <c r="B1105" s="32">
        <f>+B1104+1</f>
        <v>2024</v>
      </c>
      <c r="C1105" s="33" t="s">
        <v>37</v>
      </c>
      <c r="D1105" s="34" t="s">
        <v>2002</v>
      </c>
      <c r="E1105" s="35" t="str">
        <f t="shared" si="269"/>
        <v>PSDP'!</v>
      </c>
      <c r="F1105" s="34" t="str">
        <f t="shared" si="270"/>
        <v>C:\Users\jaime.benazar\Quorum Business Solutions\Ecopetrol Prometeo - Documents\Planning Space Implementation\3. Analysis &amp; Design\Design\FC22\DRR Jaime\Neiva CPI\[DINA TERCIARIOS_CF_SEC_New_27-Mar-2024.xlsx]D-PSDP'!</v>
      </c>
      <c r="G1105" s="32" t="s">
        <v>119</v>
      </c>
      <c r="H1105" s="33"/>
      <c r="I1105" s="33"/>
      <c r="J1105" s="37"/>
    </row>
    <row r="1106" spans="1:10" x14ac:dyDescent="0.3">
      <c r="A1106" s="32" t="s">
        <v>21</v>
      </c>
      <c r="B1106" s="32">
        <f t="shared" ref="B1106:B1117" si="271">+B1105+1</f>
        <v>2025</v>
      </c>
      <c r="C1106" s="33" t="s">
        <v>37</v>
      </c>
      <c r="D1106" s="34" t="s">
        <v>2002</v>
      </c>
      <c r="E1106" s="35" t="str">
        <f t="shared" si="269"/>
        <v>PSDP'!</v>
      </c>
      <c r="F1106" s="34" t="str">
        <f t="shared" si="270"/>
        <v>C:\Users\jaime.benazar\Quorum Business Solutions\Ecopetrol Prometeo - Documents\Planning Space Implementation\3. Analysis &amp; Design\Design\FC22\DRR Jaime\Neiva CPI\[DINA TERCIARIOS_CF_SEC_New_27-Mar-2024.xlsx]D-PSDP'!</v>
      </c>
      <c r="G1106" s="32" t="s">
        <v>119</v>
      </c>
      <c r="H1106" s="33"/>
      <c r="I1106" s="33"/>
      <c r="J1106" s="37"/>
    </row>
    <row r="1107" spans="1:10" x14ac:dyDescent="0.3">
      <c r="A1107" s="32" t="s">
        <v>21</v>
      </c>
      <c r="B1107" s="32">
        <f t="shared" si="271"/>
        <v>2026</v>
      </c>
      <c r="C1107" s="33" t="s">
        <v>37</v>
      </c>
      <c r="D1107" s="34" t="s">
        <v>2002</v>
      </c>
      <c r="E1107" s="35" t="str">
        <f t="shared" si="269"/>
        <v>PSDP'!</v>
      </c>
      <c r="F1107" s="34" t="str">
        <f t="shared" si="270"/>
        <v>C:\Users\jaime.benazar\Quorum Business Solutions\Ecopetrol Prometeo - Documents\Planning Space Implementation\3. Analysis &amp; Design\Design\FC22\DRR Jaime\Neiva CPI\[DINA TERCIARIOS_CF_SEC_New_27-Mar-2024.xlsx]D-PSDP'!</v>
      </c>
      <c r="G1107" s="32" t="s">
        <v>119</v>
      </c>
      <c r="H1107" s="33"/>
      <c r="I1107" s="33"/>
      <c r="J1107" s="37"/>
    </row>
    <row r="1108" spans="1:10" x14ac:dyDescent="0.3">
      <c r="A1108" s="32" t="s">
        <v>21</v>
      </c>
      <c r="B1108" s="32">
        <f t="shared" si="271"/>
        <v>2027</v>
      </c>
      <c r="C1108" s="33" t="s">
        <v>37</v>
      </c>
      <c r="D1108" s="34" t="s">
        <v>2002</v>
      </c>
      <c r="E1108" s="35" t="str">
        <f t="shared" si="269"/>
        <v>PSDP'!</v>
      </c>
      <c r="F1108" s="34" t="str">
        <f t="shared" si="270"/>
        <v>C:\Users\jaime.benazar\Quorum Business Solutions\Ecopetrol Prometeo - Documents\Planning Space Implementation\3. Analysis &amp; Design\Design\FC22\DRR Jaime\Neiva CPI\[DINA TERCIARIOS_CF_SEC_New_27-Mar-2024.xlsx]D-PSDP'!</v>
      </c>
      <c r="G1108" s="32" t="s">
        <v>119</v>
      </c>
      <c r="H1108" s="33"/>
      <c r="I1108" s="33"/>
      <c r="J1108" s="37"/>
    </row>
    <row r="1109" spans="1:10" x14ac:dyDescent="0.3">
      <c r="A1109" s="32" t="s">
        <v>21</v>
      </c>
      <c r="B1109" s="32">
        <f t="shared" si="271"/>
        <v>2028</v>
      </c>
      <c r="C1109" s="33" t="s">
        <v>37</v>
      </c>
      <c r="D1109" s="34" t="s">
        <v>2002</v>
      </c>
      <c r="E1109" s="35" t="str">
        <f t="shared" si="269"/>
        <v>PSDP'!</v>
      </c>
      <c r="F1109" s="34" t="str">
        <f t="shared" si="270"/>
        <v>C:\Users\jaime.benazar\Quorum Business Solutions\Ecopetrol Prometeo - Documents\Planning Space Implementation\3. Analysis &amp; Design\Design\FC22\DRR Jaime\Neiva CPI\[DINA TERCIARIOS_CF_SEC_New_27-Mar-2024.xlsx]D-PSDP'!</v>
      </c>
      <c r="G1109" s="32" t="s">
        <v>119</v>
      </c>
      <c r="H1109" s="33"/>
      <c r="I1109" s="33"/>
      <c r="J1109" s="37"/>
    </row>
    <row r="1110" spans="1:10" x14ac:dyDescent="0.3">
      <c r="A1110" s="32" t="s">
        <v>21</v>
      </c>
      <c r="B1110" s="32">
        <f t="shared" si="271"/>
        <v>2029</v>
      </c>
      <c r="C1110" s="33" t="s">
        <v>37</v>
      </c>
      <c r="D1110" s="34" t="s">
        <v>2002</v>
      </c>
      <c r="E1110" s="35" t="str">
        <f t="shared" si="269"/>
        <v>PSDP'!</v>
      </c>
      <c r="F1110" s="34" t="str">
        <f t="shared" si="270"/>
        <v>C:\Users\jaime.benazar\Quorum Business Solutions\Ecopetrol Prometeo - Documents\Planning Space Implementation\3. Analysis &amp; Design\Design\FC22\DRR Jaime\Neiva CPI\[DINA TERCIARIOS_CF_SEC_New_27-Mar-2024.xlsx]D-PSDP'!</v>
      </c>
      <c r="G1110" s="32" t="s">
        <v>119</v>
      </c>
      <c r="H1110" s="33"/>
      <c r="I1110" s="33"/>
      <c r="J1110" s="37"/>
    </row>
    <row r="1111" spans="1:10" x14ac:dyDescent="0.3">
      <c r="A1111" s="32" t="s">
        <v>21</v>
      </c>
      <c r="B1111" s="32">
        <f t="shared" si="271"/>
        <v>2030</v>
      </c>
      <c r="C1111" s="33" t="s">
        <v>37</v>
      </c>
      <c r="D1111" s="34" t="s">
        <v>2002</v>
      </c>
      <c r="E1111" s="35" t="str">
        <f t="shared" si="269"/>
        <v>PSDP'!</v>
      </c>
      <c r="F1111" s="34" t="str">
        <f t="shared" si="270"/>
        <v>C:\Users\jaime.benazar\Quorum Business Solutions\Ecopetrol Prometeo - Documents\Planning Space Implementation\3. Analysis &amp; Design\Design\FC22\DRR Jaime\Neiva CPI\[DINA TERCIARIOS_CF_SEC_New_27-Mar-2024.xlsx]D-PSDP'!</v>
      </c>
      <c r="G1111" s="32" t="s">
        <v>119</v>
      </c>
      <c r="H1111" s="33"/>
      <c r="I1111" s="33"/>
      <c r="J1111" s="37"/>
    </row>
    <row r="1112" spans="1:10" x14ac:dyDescent="0.3">
      <c r="A1112" s="32" t="s">
        <v>21</v>
      </c>
      <c r="B1112" s="32">
        <f t="shared" si="271"/>
        <v>2031</v>
      </c>
      <c r="C1112" s="33" t="s">
        <v>37</v>
      </c>
      <c r="D1112" s="34" t="s">
        <v>2002</v>
      </c>
      <c r="E1112" s="35" t="str">
        <f t="shared" si="269"/>
        <v>PSDP'!</v>
      </c>
      <c r="F1112" s="34" t="str">
        <f t="shared" si="270"/>
        <v>C:\Users\jaime.benazar\Quorum Business Solutions\Ecopetrol Prometeo - Documents\Planning Space Implementation\3. Analysis &amp; Design\Design\FC22\DRR Jaime\Neiva CPI\[DINA TERCIARIOS_CF_SEC_New_27-Mar-2024.xlsx]D-PSDP'!</v>
      </c>
      <c r="G1112" s="32" t="s">
        <v>119</v>
      </c>
      <c r="H1112" s="33"/>
      <c r="I1112" s="33"/>
      <c r="J1112" s="37"/>
    </row>
    <row r="1113" spans="1:10" x14ac:dyDescent="0.3">
      <c r="A1113" s="32" t="s">
        <v>21</v>
      </c>
      <c r="B1113" s="32">
        <f t="shared" si="271"/>
        <v>2032</v>
      </c>
      <c r="C1113" s="33" t="s">
        <v>37</v>
      </c>
      <c r="D1113" s="34" t="s">
        <v>2002</v>
      </c>
      <c r="E1113" s="35" t="str">
        <f t="shared" si="269"/>
        <v>PSDP'!</v>
      </c>
      <c r="F1113" s="34" t="str">
        <f t="shared" si="270"/>
        <v>C:\Users\jaime.benazar\Quorum Business Solutions\Ecopetrol Prometeo - Documents\Planning Space Implementation\3. Analysis &amp; Design\Design\FC22\DRR Jaime\Neiva CPI\[DINA TERCIARIOS_CF_SEC_New_27-Mar-2024.xlsx]D-PSDP'!</v>
      </c>
      <c r="G1113" s="32" t="s">
        <v>119</v>
      </c>
      <c r="H1113" s="33"/>
      <c r="I1113" s="33"/>
      <c r="J1113" s="37"/>
    </row>
    <row r="1114" spans="1:10" x14ac:dyDescent="0.3">
      <c r="A1114" s="32" t="s">
        <v>21</v>
      </c>
      <c r="B1114" s="32">
        <f t="shared" si="271"/>
        <v>2033</v>
      </c>
      <c r="C1114" s="33" t="s">
        <v>37</v>
      </c>
      <c r="D1114" s="34" t="s">
        <v>2002</v>
      </c>
      <c r="E1114" s="35" t="str">
        <f t="shared" si="269"/>
        <v>PSDP'!</v>
      </c>
      <c r="F1114" s="34" t="str">
        <f t="shared" si="270"/>
        <v>C:\Users\jaime.benazar\Quorum Business Solutions\Ecopetrol Prometeo - Documents\Planning Space Implementation\3. Analysis &amp; Design\Design\FC22\DRR Jaime\Neiva CPI\[DINA TERCIARIOS_CF_SEC_New_27-Mar-2024.xlsx]D-PSDP'!</v>
      </c>
      <c r="G1114" s="32" t="s">
        <v>119</v>
      </c>
      <c r="H1114" s="33"/>
      <c r="I1114" s="33"/>
      <c r="J1114" s="37"/>
    </row>
    <row r="1115" spans="1:10" x14ac:dyDescent="0.3">
      <c r="A1115" s="32" t="s">
        <v>21</v>
      </c>
      <c r="B1115" s="32">
        <f t="shared" si="271"/>
        <v>2034</v>
      </c>
      <c r="C1115" s="33" t="s">
        <v>37</v>
      </c>
      <c r="D1115" s="34" t="s">
        <v>2002</v>
      </c>
      <c r="E1115" s="35" t="str">
        <f t="shared" si="269"/>
        <v>PSDP'!</v>
      </c>
      <c r="F1115" s="34" t="str">
        <f t="shared" si="270"/>
        <v>C:\Users\jaime.benazar\Quorum Business Solutions\Ecopetrol Prometeo - Documents\Planning Space Implementation\3. Analysis &amp; Design\Design\FC22\DRR Jaime\Neiva CPI\[DINA TERCIARIOS_CF_SEC_New_27-Mar-2024.xlsx]D-PSDP'!</v>
      </c>
      <c r="G1115" s="32" t="s">
        <v>119</v>
      </c>
      <c r="H1115" s="33"/>
      <c r="I1115" s="33"/>
      <c r="J1115" s="37"/>
    </row>
    <row r="1116" spans="1:10" x14ac:dyDescent="0.3">
      <c r="A1116" s="32" t="s">
        <v>21</v>
      </c>
      <c r="B1116" s="32">
        <f t="shared" si="271"/>
        <v>2035</v>
      </c>
      <c r="C1116" s="33" t="s">
        <v>37</v>
      </c>
      <c r="D1116" s="34" t="s">
        <v>2002</v>
      </c>
      <c r="E1116" s="35" t="str">
        <f t="shared" si="269"/>
        <v>PSDP'!</v>
      </c>
      <c r="F1116" s="34" t="str">
        <f t="shared" si="270"/>
        <v>C:\Users\jaime.benazar\Quorum Business Solutions\Ecopetrol Prometeo - Documents\Planning Space Implementation\3. Analysis &amp; Design\Design\FC22\DRR Jaime\Neiva CPI\[DINA TERCIARIOS_CF_SEC_New_27-Mar-2024.xlsx]D-PSDP'!</v>
      </c>
      <c r="G1116" s="32" t="s">
        <v>119</v>
      </c>
      <c r="H1116" s="33"/>
      <c r="I1116" s="33"/>
      <c r="J1116" s="37"/>
    </row>
    <row r="1117" spans="1:10" x14ac:dyDescent="0.3">
      <c r="A1117" s="32" t="s">
        <v>21</v>
      </c>
      <c r="B1117" s="32">
        <f t="shared" si="271"/>
        <v>2036</v>
      </c>
      <c r="C1117" s="33" t="s">
        <v>37</v>
      </c>
      <c r="D1117" s="34" t="s">
        <v>2002</v>
      </c>
      <c r="E1117" s="35" t="str">
        <f t="shared" si="269"/>
        <v>PSDP'!</v>
      </c>
      <c r="F1117" s="34" t="str">
        <f t="shared" si="270"/>
        <v>C:\Users\jaime.benazar\Quorum Business Solutions\Ecopetrol Prometeo - Documents\Planning Space Implementation\3. Analysis &amp; Design\Design\FC22\DRR Jaime\Neiva CPI\[DINA TERCIARIOS_CF_SEC_New_27-Mar-2024.xlsx]D-PSDP'!</v>
      </c>
      <c r="G1117" s="32" t="s">
        <v>119</v>
      </c>
      <c r="H1117" s="33"/>
      <c r="I1117" s="33"/>
      <c r="J1117" s="37"/>
    </row>
    <row r="1118" spans="1:10" x14ac:dyDescent="0.3">
      <c r="A1118" s="32" t="s">
        <v>21</v>
      </c>
      <c r="B1118" s="32">
        <f>+B1117+1</f>
        <v>2037</v>
      </c>
      <c r="C1118" s="33" t="s">
        <v>37</v>
      </c>
      <c r="D1118" s="34" t="s">
        <v>2002</v>
      </c>
      <c r="E1118" s="35" t="str">
        <f t="shared" si="269"/>
        <v>PSDP'!</v>
      </c>
      <c r="F1118" s="34" t="str">
        <f t="shared" si="270"/>
        <v>C:\Users\jaime.benazar\Quorum Business Solutions\Ecopetrol Prometeo - Documents\Planning Space Implementation\3. Analysis &amp; Design\Design\FC22\DRR Jaime\Neiva CPI\[DINA TERCIARIOS_CF_SEC_New_27-Mar-2024.xlsx]D-PSDP'!</v>
      </c>
      <c r="G1118" s="32" t="s">
        <v>119</v>
      </c>
      <c r="H1118" s="33"/>
      <c r="I1118" s="33"/>
      <c r="J1118" s="37"/>
    </row>
    <row r="1119" spans="1:10" x14ac:dyDescent="0.3">
      <c r="A1119" s="32" t="s">
        <v>21</v>
      </c>
      <c r="B1119" s="32">
        <f t="shared" ref="B1119:B1121" si="272">+B1118+1</f>
        <v>2038</v>
      </c>
      <c r="C1119" s="33" t="s">
        <v>37</v>
      </c>
      <c r="D1119" s="34" t="s">
        <v>2002</v>
      </c>
      <c r="E1119" s="35" t="str">
        <f t="shared" si="269"/>
        <v>PSDP'!</v>
      </c>
      <c r="F1119" s="34" t="str">
        <f t="shared" si="270"/>
        <v>C:\Users\jaime.benazar\Quorum Business Solutions\Ecopetrol Prometeo - Documents\Planning Space Implementation\3. Analysis &amp; Design\Design\FC22\DRR Jaime\Neiva CPI\[DINA TERCIARIOS_CF_SEC_New_27-Mar-2024.xlsx]D-PSDP'!</v>
      </c>
      <c r="G1119" s="32" t="s">
        <v>119</v>
      </c>
      <c r="H1119" s="33"/>
      <c r="I1119" s="33"/>
      <c r="J1119" s="37"/>
    </row>
    <row r="1120" spans="1:10" x14ac:dyDescent="0.3">
      <c r="A1120" s="32" t="s">
        <v>21</v>
      </c>
      <c r="B1120" s="32">
        <f t="shared" si="272"/>
        <v>2039</v>
      </c>
      <c r="C1120" s="33" t="s">
        <v>37</v>
      </c>
      <c r="D1120" s="34" t="s">
        <v>2002</v>
      </c>
      <c r="E1120" s="35" t="str">
        <f t="shared" si="269"/>
        <v>PSDP'!</v>
      </c>
      <c r="F1120" s="34" t="str">
        <f t="shared" si="270"/>
        <v>C:\Users\jaime.benazar\Quorum Business Solutions\Ecopetrol Prometeo - Documents\Planning Space Implementation\3. Analysis &amp; Design\Design\FC22\DRR Jaime\Neiva CPI\[DINA TERCIARIOS_CF_SEC_New_27-Mar-2024.xlsx]D-PSDP'!</v>
      </c>
      <c r="G1120" s="32" t="s">
        <v>119</v>
      </c>
      <c r="H1120" s="33"/>
      <c r="I1120" s="33"/>
      <c r="J1120" s="37"/>
    </row>
    <row r="1121" spans="1:10" x14ac:dyDescent="0.3">
      <c r="A1121" s="32" t="s">
        <v>21</v>
      </c>
      <c r="B1121" s="32">
        <f t="shared" si="272"/>
        <v>2040</v>
      </c>
      <c r="C1121" s="33" t="s">
        <v>37</v>
      </c>
      <c r="D1121" s="34" t="s">
        <v>2002</v>
      </c>
      <c r="E1121" s="35" t="str">
        <f t="shared" si="269"/>
        <v>PSDP'!</v>
      </c>
      <c r="F1121" s="34" t="str">
        <f t="shared" si="270"/>
        <v>C:\Users\jaime.benazar\Quorum Business Solutions\Ecopetrol Prometeo - Documents\Planning Space Implementation\3. Analysis &amp; Design\Design\FC22\DRR Jaime\Neiva CPI\[DINA TERCIARIOS_CF_SEC_New_27-Mar-2024.xlsx]D-PSDP'!</v>
      </c>
      <c r="G1121" s="32" t="s">
        <v>119</v>
      </c>
      <c r="H1121" s="33"/>
      <c r="I1121" s="33"/>
      <c r="J1121" s="37"/>
    </row>
    <row r="1122" spans="1:10" x14ac:dyDescent="0.3">
      <c r="A1122" s="32" t="s">
        <v>21</v>
      </c>
      <c r="B1122" s="32">
        <f>+B1121+1</f>
        <v>2041</v>
      </c>
      <c r="C1122" s="33" t="s">
        <v>37</v>
      </c>
      <c r="D1122" s="34" t="s">
        <v>2002</v>
      </c>
      <c r="E1122" s="35" t="str">
        <f t="shared" si="269"/>
        <v>PSDP'!</v>
      </c>
      <c r="F1122" s="34" t="str">
        <f t="shared" si="270"/>
        <v>C:\Users\jaime.benazar\Quorum Business Solutions\Ecopetrol Prometeo - Documents\Planning Space Implementation\3. Analysis &amp; Design\Design\FC22\DRR Jaime\Neiva CPI\[DINA TERCIARIOS_CF_SEC_New_27-Mar-2024.xlsx]D-PSDP'!</v>
      </c>
      <c r="G1122" s="32" t="s">
        <v>119</v>
      </c>
      <c r="H1122" s="33"/>
      <c r="I1122" s="33"/>
      <c r="J1122" s="37"/>
    </row>
    <row r="1123" spans="1:10" x14ac:dyDescent="0.3">
      <c r="A1123" s="32" t="s">
        <v>21</v>
      </c>
      <c r="B1123" s="32">
        <f t="shared" ref="B1123:B1124" si="273">+B1122+1</f>
        <v>2042</v>
      </c>
      <c r="C1123" s="33" t="s">
        <v>37</v>
      </c>
      <c r="D1123" s="34" t="s">
        <v>2002</v>
      </c>
      <c r="E1123" s="35" t="str">
        <f t="shared" si="269"/>
        <v>PSDP'!</v>
      </c>
      <c r="F1123" s="34" t="str">
        <f t="shared" si="270"/>
        <v>C:\Users\jaime.benazar\Quorum Business Solutions\Ecopetrol Prometeo - Documents\Planning Space Implementation\3. Analysis &amp; Design\Design\FC22\DRR Jaime\Neiva CPI\[DINA TERCIARIOS_CF_SEC_New_27-Mar-2024.xlsx]D-PSDP'!</v>
      </c>
      <c r="G1123" s="32" t="s">
        <v>119</v>
      </c>
      <c r="H1123" s="33"/>
      <c r="I1123" s="33"/>
      <c r="J1123" s="37"/>
    </row>
    <row r="1124" spans="1:10" x14ac:dyDescent="0.3">
      <c r="A1124" s="32" t="s">
        <v>21</v>
      </c>
      <c r="B1124" s="32">
        <f t="shared" si="273"/>
        <v>2043</v>
      </c>
      <c r="C1124" s="33" t="s">
        <v>37</v>
      </c>
      <c r="D1124" s="34" t="s">
        <v>2002</v>
      </c>
      <c r="E1124" s="35" t="str">
        <f t="shared" si="269"/>
        <v>PSDP'!</v>
      </c>
      <c r="F1124" s="34" t="str">
        <f t="shared" si="270"/>
        <v>C:\Users\jaime.benazar\Quorum Business Solutions\Ecopetrol Prometeo - Documents\Planning Space Implementation\3. Analysis &amp; Design\Design\FC22\DRR Jaime\Neiva CPI\[DINA TERCIARIOS_CF_SEC_New_27-Mar-2024.xlsx]D-PSDP'!</v>
      </c>
      <c r="G1124" s="32" t="s">
        <v>119</v>
      </c>
      <c r="H1124" s="33"/>
      <c r="I1124" s="33"/>
      <c r="J1124" s="37"/>
    </row>
    <row r="1125" spans="1:10" x14ac:dyDescent="0.3">
      <c r="A1125" s="32" t="s">
        <v>21</v>
      </c>
      <c r="B1125" s="32">
        <f>+B1124+1</f>
        <v>2044</v>
      </c>
      <c r="C1125" s="33" t="s">
        <v>37</v>
      </c>
      <c r="D1125" s="34" t="s">
        <v>2002</v>
      </c>
      <c r="E1125" s="35" t="str">
        <f t="shared" ref="E1125:E1140" si="274">_xlfn.CONCAT(A1125,"'!")</f>
        <v>PSDP'!</v>
      </c>
      <c r="F1125" s="34" t="str">
        <f t="shared" ref="F1125:F1140" si="275">_xlfn.CONCAT(D1125:E1125)</f>
        <v>C:\Users\jaime.benazar\Quorum Business Solutions\Ecopetrol Prometeo - Documents\Planning Space Implementation\3. Analysis &amp; Design\Design\FC22\DRR Jaime\Neiva CPI\[DINA TERCIARIOS_CF_SEC_New_27-Mar-2024.xlsx]D-PSDP'!</v>
      </c>
      <c r="G1125" s="32" t="s">
        <v>119</v>
      </c>
      <c r="H1125" s="33"/>
      <c r="I1125" s="33"/>
      <c r="J1125" s="37"/>
    </row>
    <row r="1126" spans="1:10" x14ac:dyDescent="0.3">
      <c r="A1126" s="32" t="s">
        <v>21</v>
      </c>
      <c r="B1126" s="32">
        <f t="shared" ref="B1126:B1140" si="276">+B1125+1</f>
        <v>2045</v>
      </c>
      <c r="C1126" s="33" t="s">
        <v>37</v>
      </c>
      <c r="D1126" s="34" t="s">
        <v>2002</v>
      </c>
      <c r="E1126" s="35" t="str">
        <f t="shared" si="274"/>
        <v>PSDP'!</v>
      </c>
      <c r="F1126" s="34" t="str">
        <f t="shared" si="275"/>
        <v>C:\Users\jaime.benazar\Quorum Business Solutions\Ecopetrol Prometeo - Documents\Planning Space Implementation\3. Analysis &amp; Design\Design\FC22\DRR Jaime\Neiva CPI\[DINA TERCIARIOS_CF_SEC_New_27-Mar-2024.xlsx]D-PSDP'!</v>
      </c>
      <c r="G1126" s="32" t="s">
        <v>119</v>
      </c>
      <c r="H1126" s="33"/>
      <c r="I1126" s="33"/>
      <c r="J1126" s="37"/>
    </row>
    <row r="1127" spans="1:10" x14ac:dyDescent="0.3">
      <c r="A1127" s="32" t="s">
        <v>21</v>
      </c>
      <c r="B1127" s="32">
        <f t="shared" si="276"/>
        <v>2046</v>
      </c>
      <c r="C1127" s="33" t="s">
        <v>37</v>
      </c>
      <c r="D1127" s="34" t="s">
        <v>2002</v>
      </c>
      <c r="E1127" s="35" t="str">
        <f t="shared" si="274"/>
        <v>PSDP'!</v>
      </c>
      <c r="F1127" s="34" t="str">
        <f t="shared" si="275"/>
        <v>C:\Users\jaime.benazar\Quorum Business Solutions\Ecopetrol Prometeo - Documents\Planning Space Implementation\3. Analysis &amp; Design\Design\FC22\DRR Jaime\Neiva CPI\[DINA TERCIARIOS_CF_SEC_New_27-Mar-2024.xlsx]D-PSDP'!</v>
      </c>
      <c r="G1127" s="32" t="s">
        <v>119</v>
      </c>
      <c r="H1127" s="33"/>
      <c r="I1127" s="33"/>
      <c r="J1127" s="37"/>
    </row>
    <row r="1128" spans="1:10" x14ac:dyDescent="0.3">
      <c r="A1128" s="32" t="s">
        <v>21</v>
      </c>
      <c r="B1128" s="32">
        <f t="shared" si="276"/>
        <v>2047</v>
      </c>
      <c r="C1128" s="33" t="s">
        <v>37</v>
      </c>
      <c r="D1128" s="34" t="s">
        <v>2002</v>
      </c>
      <c r="E1128" s="35" t="str">
        <f t="shared" si="274"/>
        <v>PSDP'!</v>
      </c>
      <c r="F1128" s="34" t="str">
        <f t="shared" si="275"/>
        <v>C:\Users\jaime.benazar\Quorum Business Solutions\Ecopetrol Prometeo - Documents\Planning Space Implementation\3. Analysis &amp; Design\Design\FC22\DRR Jaime\Neiva CPI\[DINA TERCIARIOS_CF_SEC_New_27-Mar-2024.xlsx]D-PSDP'!</v>
      </c>
      <c r="G1128" s="32" t="s">
        <v>119</v>
      </c>
      <c r="H1128" s="33"/>
      <c r="I1128" s="33"/>
      <c r="J1128" s="37"/>
    </row>
    <row r="1129" spans="1:10" x14ac:dyDescent="0.3">
      <c r="A1129" s="32" t="s">
        <v>21</v>
      </c>
      <c r="B1129" s="32">
        <f t="shared" si="276"/>
        <v>2048</v>
      </c>
      <c r="C1129" s="33" t="s">
        <v>37</v>
      </c>
      <c r="D1129" s="34" t="s">
        <v>2002</v>
      </c>
      <c r="E1129" s="35" t="str">
        <f t="shared" si="274"/>
        <v>PSDP'!</v>
      </c>
      <c r="F1129" s="34" t="str">
        <f t="shared" si="275"/>
        <v>C:\Users\jaime.benazar\Quorum Business Solutions\Ecopetrol Prometeo - Documents\Planning Space Implementation\3. Analysis &amp; Design\Design\FC22\DRR Jaime\Neiva CPI\[DINA TERCIARIOS_CF_SEC_New_27-Mar-2024.xlsx]D-PSDP'!</v>
      </c>
      <c r="G1129" s="32" t="s">
        <v>119</v>
      </c>
      <c r="H1129" s="33"/>
      <c r="I1129" s="33"/>
      <c r="J1129" s="37"/>
    </row>
    <row r="1130" spans="1:10" x14ac:dyDescent="0.3">
      <c r="A1130" s="32" t="s">
        <v>21</v>
      </c>
      <c r="B1130" s="32">
        <f t="shared" si="276"/>
        <v>2049</v>
      </c>
      <c r="C1130" s="33" t="s">
        <v>37</v>
      </c>
      <c r="D1130" s="34" t="s">
        <v>2002</v>
      </c>
      <c r="E1130" s="35" t="str">
        <f t="shared" si="274"/>
        <v>PSDP'!</v>
      </c>
      <c r="F1130" s="34" t="str">
        <f t="shared" si="275"/>
        <v>C:\Users\jaime.benazar\Quorum Business Solutions\Ecopetrol Prometeo - Documents\Planning Space Implementation\3. Analysis &amp; Design\Design\FC22\DRR Jaime\Neiva CPI\[DINA TERCIARIOS_CF_SEC_New_27-Mar-2024.xlsx]D-PSDP'!</v>
      </c>
      <c r="G1130" s="32" t="s">
        <v>119</v>
      </c>
      <c r="H1130" s="33"/>
      <c r="I1130" s="33"/>
      <c r="J1130" s="37"/>
    </row>
    <row r="1131" spans="1:10" x14ac:dyDescent="0.3">
      <c r="A1131" s="32" t="s">
        <v>21</v>
      </c>
      <c r="B1131" s="32">
        <f t="shared" si="276"/>
        <v>2050</v>
      </c>
      <c r="C1131" s="33" t="s">
        <v>37</v>
      </c>
      <c r="D1131" s="34" t="s">
        <v>2002</v>
      </c>
      <c r="E1131" s="35" t="str">
        <f t="shared" si="274"/>
        <v>PSDP'!</v>
      </c>
      <c r="F1131" s="34" t="str">
        <f t="shared" si="275"/>
        <v>C:\Users\jaime.benazar\Quorum Business Solutions\Ecopetrol Prometeo - Documents\Planning Space Implementation\3. Analysis &amp; Design\Design\FC22\DRR Jaime\Neiva CPI\[DINA TERCIARIOS_CF_SEC_New_27-Mar-2024.xlsx]D-PSDP'!</v>
      </c>
      <c r="G1131" s="32" t="s">
        <v>119</v>
      </c>
      <c r="H1131" s="33"/>
      <c r="I1131" s="33"/>
      <c r="J1131" s="37"/>
    </row>
    <row r="1132" spans="1:10" x14ac:dyDescent="0.3">
      <c r="A1132" s="32" t="s">
        <v>21</v>
      </c>
      <c r="B1132" s="32">
        <f t="shared" si="276"/>
        <v>2051</v>
      </c>
      <c r="C1132" s="33" t="s">
        <v>37</v>
      </c>
      <c r="D1132" s="34" t="s">
        <v>2002</v>
      </c>
      <c r="E1132" s="35" t="str">
        <f t="shared" si="274"/>
        <v>PSDP'!</v>
      </c>
      <c r="F1132" s="34" t="str">
        <f t="shared" si="275"/>
        <v>C:\Users\jaime.benazar\Quorum Business Solutions\Ecopetrol Prometeo - Documents\Planning Space Implementation\3. Analysis &amp; Design\Design\FC22\DRR Jaime\Neiva CPI\[DINA TERCIARIOS_CF_SEC_New_27-Mar-2024.xlsx]D-PSDP'!</v>
      </c>
      <c r="G1132" s="32" t="s">
        <v>119</v>
      </c>
      <c r="H1132" s="33"/>
      <c r="I1132" s="33"/>
      <c r="J1132" s="37"/>
    </row>
    <row r="1133" spans="1:10" x14ac:dyDescent="0.3">
      <c r="A1133" s="32" t="s">
        <v>21</v>
      </c>
      <c r="B1133" s="32">
        <f t="shared" si="276"/>
        <v>2052</v>
      </c>
      <c r="C1133" s="33" t="s">
        <v>37</v>
      </c>
      <c r="D1133" s="34" t="s">
        <v>2002</v>
      </c>
      <c r="E1133" s="35" t="str">
        <f t="shared" si="274"/>
        <v>PSDP'!</v>
      </c>
      <c r="F1133" s="34" t="str">
        <f t="shared" si="275"/>
        <v>C:\Users\jaime.benazar\Quorum Business Solutions\Ecopetrol Prometeo - Documents\Planning Space Implementation\3. Analysis &amp; Design\Design\FC22\DRR Jaime\Neiva CPI\[DINA TERCIARIOS_CF_SEC_New_27-Mar-2024.xlsx]D-PSDP'!</v>
      </c>
      <c r="G1133" s="32" t="s">
        <v>119</v>
      </c>
      <c r="H1133" s="33"/>
      <c r="I1133" s="33"/>
      <c r="J1133" s="37"/>
    </row>
    <row r="1134" spans="1:10" x14ac:dyDescent="0.3">
      <c r="A1134" s="32" t="s">
        <v>21</v>
      </c>
      <c r="B1134" s="32">
        <f t="shared" si="276"/>
        <v>2053</v>
      </c>
      <c r="C1134" s="33" t="s">
        <v>37</v>
      </c>
      <c r="D1134" s="34" t="s">
        <v>2002</v>
      </c>
      <c r="E1134" s="35" t="str">
        <f t="shared" si="274"/>
        <v>PSDP'!</v>
      </c>
      <c r="F1134" s="34" t="str">
        <f t="shared" si="275"/>
        <v>C:\Users\jaime.benazar\Quorum Business Solutions\Ecopetrol Prometeo - Documents\Planning Space Implementation\3. Analysis &amp; Design\Design\FC22\DRR Jaime\Neiva CPI\[DINA TERCIARIOS_CF_SEC_New_27-Mar-2024.xlsx]D-PSDP'!</v>
      </c>
      <c r="G1134" s="32" t="s">
        <v>119</v>
      </c>
      <c r="H1134" s="33"/>
      <c r="I1134" s="33"/>
      <c r="J1134" s="37"/>
    </row>
    <row r="1135" spans="1:10" x14ac:dyDescent="0.3">
      <c r="A1135" s="32" t="s">
        <v>21</v>
      </c>
      <c r="B1135" s="32">
        <f t="shared" si="276"/>
        <v>2054</v>
      </c>
      <c r="C1135" s="33" t="s">
        <v>37</v>
      </c>
      <c r="D1135" s="34" t="s">
        <v>2002</v>
      </c>
      <c r="E1135" s="35" t="str">
        <f t="shared" si="274"/>
        <v>PSDP'!</v>
      </c>
      <c r="F1135" s="34" t="str">
        <f t="shared" si="275"/>
        <v>C:\Users\jaime.benazar\Quorum Business Solutions\Ecopetrol Prometeo - Documents\Planning Space Implementation\3. Analysis &amp; Design\Design\FC22\DRR Jaime\Neiva CPI\[DINA TERCIARIOS_CF_SEC_New_27-Mar-2024.xlsx]D-PSDP'!</v>
      </c>
      <c r="G1135" s="32" t="s">
        <v>119</v>
      </c>
      <c r="H1135" s="33"/>
      <c r="I1135" s="33"/>
      <c r="J1135" s="37"/>
    </row>
    <row r="1136" spans="1:10" x14ac:dyDescent="0.3">
      <c r="A1136" s="32" t="s">
        <v>21</v>
      </c>
      <c r="B1136" s="32">
        <f t="shared" si="276"/>
        <v>2055</v>
      </c>
      <c r="C1136" s="33" t="s">
        <v>37</v>
      </c>
      <c r="D1136" s="34" t="s">
        <v>2002</v>
      </c>
      <c r="E1136" s="35" t="str">
        <f t="shared" si="274"/>
        <v>PSDP'!</v>
      </c>
      <c r="F1136" s="34" t="str">
        <f t="shared" si="275"/>
        <v>C:\Users\jaime.benazar\Quorum Business Solutions\Ecopetrol Prometeo - Documents\Planning Space Implementation\3. Analysis &amp; Design\Design\FC22\DRR Jaime\Neiva CPI\[DINA TERCIARIOS_CF_SEC_New_27-Mar-2024.xlsx]D-PSDP'!</v>
      </c>
      <c r="G1136" s="32" t="s">
        <v>119</v>
      </c>
      <c r="H1136" s="33"/>
      <c r="I1136" s="33"/>
      <c r="J1136" s="37"/>
    </row>
    <row r="1137" spans="1:10" x14ac:dyDescent="0.3">
      <c r="A1137" s="32" t="s">
        <v>21</v>
      </c>
      <c r="B1137" s="32">
        <f t="shared" si="276"/>
        <v>2056</v>
      </c>
      <c r="C1137" s="33" t="s">
        <v>37</v>
      </c>
      <c r="D1137" s="34" t="s">
        <v>2002</v>
      </c>
      <c r="E1137" s="35" t="str">
        <f t="shared" si="274"/>
        <v>PSDP'!</v>
      </c>
      <c r="F1137" s="34" t="str">
        <f t="shared" si="275"/>
        <v>C:\Users\jaime.benazar\Quorum Business Solutions\Ecopetrol Prometeo - Documents\Planning Space Implementation\3. Analysis &amp; Design\Design\FC22\DRR Jaime\Neiva CPI\[DINA TERCIARIOS_CF_SEC_New_27-Mar-2024.xlsx]D-PSDP'!</v>
      </c>
      <c r="G1137" s="32" t="s">
        <v>119</v>
      </c>
      <c r="H1137" s="33"/>
      <c r="I1137" s="33"/>
      <c r="J1137" s="37"/>
    </row>
    <row r="1138" spans="1:10" x14ac:dyDescent="0.3">
      <c r="A1138" s="32" t="s">
        <v>21</v>
      </c>
      <c r="B1138" s="32">
        <f t="shared" si="276"/>
        <v>2057</v>
      </c>
      <c r="C1138" s="33" t="s">
        <v>37</v>
      </c>
      <c r="D1138" s="34" t="s">
        <v>2002</v>
      </c>
      <c r="E1138" s="35" t="str">
        <f t="shared" si="274"/>
        <v>PSDP'!</v>
      </c>
      <c r="F1138" s="34" t="str">
        <f t="shared" si="275"/>
        <v>C:\Users\jaime.benazar\Quorum Business Solutions\Ecopetrol Prometeo - Documents\Planning Space Implementation\3. Analysis &amp; Design\Design\FC22\DRR Jaime\Neiva CPI\[DINA TERCIARIOS_CF_SEC_New_27-Mar-2024.xlsx]D-PSDP'!</v>
      </c>
      <c r="G1138" s="32" t="s">
        <v>119</v>
      </c>
      <c r="H1138" s="33"/>
      <c r="I1138" s="33"/>
      <c r="J1138" s="37"/>
    </row>
    <row r="1139" spans="1:10" x14ac:dyDescent="0.3">
      <c r="A1139" s="32" t="s">
        <v>21</v>
      </c>
      <c r="B1139" s="32">
        <f t="shared" si="276"/>
        <v>2058</v>
      </c>
      <c r="C1139" s="33" t="s">
        <v>37</v>
      </c>
      <c r="D1139" s="34" t="s">
        <v>2002</v>
      </c>
      <c r="E1139" s="35" t="str">
        <f t="shared" si="274"/>
        <v>PSDP'!</v>
      </c>
      <c r="F1139" s="34" t="str">
        <f t="shared" si="275"/>
        <v>C:\Users\jaime.benazar\Quorum Business Solutions\Ecopetrol Prometeo - Documents\Planning Space Implementation\3. Analysis &amp; Design\Design\FC22\DRR Jaime\Neiva CPI\[DINA TERCIARIOS_CF_SEC_New_27-Mar-2024.xlsx]D-PSDP'!</v>
      </c>
      <c r="G1139" s="32" t="s">
        <v>119</v>
      </c>
      <c r="H1139" s="33"/>
      <c r="I1139" s="33"/>
      <c r="J1139" s="37"/>
    </row>
    <row r="1140" spans="1:10" x14ac:dyDescent="0.3">
      <c r="A1140" s="32" t="s">
        <v>21</v>
      </c>
      <c r="B1140" s="32">
        <f t="shared" si="276"/>
        <v>2059</v>
      </c>
      <c r="C1140" s="33" t="s">
        <v>37</v>
      </c>
      <c r="D1140" s="34" t="s">
        <v>2002</v>
      </c>
      <c r="E1140" s="35" t="str">
        <f t="shared" si="274"/>
        <v>PSDP'!</v>
      </c>
      <c r="F1140" s="34" t="str">
        <f t="shared" si="275"/>
        <v>C:\Users\jaime.benazar\Quorum Business Solutions\Ecopetrol Prometeo - Documents\Planning Space Implementation\3. Analysis &amp; Design\Design\FC22\DRR Jaime\Neiva CPI\[DINA TERCIARIOS_CF_SEC_New_27-Mar-2024.xlsx]D-PSDP'!</v>
      </c>
      <c r="G1140" s="32" t="s">
        <v>119</v>
      </c>
      <c r="H1140" s="33"/>
      <c r="I1140" s="33"/>
      <c r="J1140" s="37"/>
    </row>
    <row r="1141" spans="1:10" x14ac:dyDescent="0.3">
      <c r="A1141" s="32" t="s">
        <v>26</v>
      </c>
      <c r="B1141" s="32"/>
      <c r="C1141" s="33" t="s">
        <v>37</v>
      </c>
      <c r="D1141" s="34"/>
      <c r="E1141" s="35"/>
      <c r="F1141" s="34"/>
      <c r="G1141" s="32"/>
      <c r="H1141" s="33"/>
      <c r="I1141" s="33"/>
      <c r="J1141" s="33"/>
    </row>
    <row r="1142" spans="1:10" x14ac:dyDescent="0.3">
      <c r="A1142" s="32" t="s">
        <v>22</v>
      </c>
      <c r="B1142" s="32">
        <v>2023</v>
      </c>
      <c r="C1142" s="33" t="s">
        <v>37</v>
      </c>
      <c r="D1142" s="34" t="s">
        <v>2002</v>
      </c>
      <c r="E1142" s="35" t="str">
        <f t="shared" ref="E1142:E1162" si="277">_xlfn.CONCAT(A1142,"'!")</f>
        <v>PSNP'!</v>
      </c>
      <c r="F1142" s="34" t="str">
        <f t="shared" ref="F1142:F1162" si="278">_xlfn.CONCAT(D1142:E1142)</f>
        <v>C:\Users\jaime.benazar\Quorum Business Solutions\Ecopetrol Prometeo - Documents\Planning Space Implementation\3. Analysis &amp; Design\Design\FC22\DRR Jaime\Neiva CPI\[DINA TERCIARIOS_CF_SEC_New_27-Mar-2024.xlsx]D-PSNP'!</v>
      </c>
      <c r="G1142" s="32" t="s">
        <v>119</v>
      </c>
      <c r="H1142" s="33"/>
      <c r="I1142" s="33"/>
      <c r="J1142" s="37"/>
    </row>
    <row r="1143" spans="1:10" x14ac:dyDescent="0.3">
      <c r="A1143" s="32" t="s">
        <v>22</v>
      </c>
      <c r="B1143" s="32">
        <f>+B1142+1</f>
        <v>2024</v>
      </c>
      <c r="C1143" s="33" t="s">
        <v>37</v>
      </c>
      <c r="D1143" s="34" t="s">
        <v>2002</v>
      </c>
      <c r="E1143" s="35" t="str">
        <f t="shared" si="277"/>
        <v>PSNP'!</v>
      </c>
      <c r="F1143" s="34" t="str">
        <f t="shared" si="278"/>
        <v>C:\Users\jaime.benazar\Quorum Business Solutions\Ecopetrol Prometeo - Documents\Planning Space Implementation\3. Analysis &amp; Design\Design\FC22\DRR Jaime\Neiva CPI\[DINA TERCIARIOS_CF_SEC_New_27-Mar-2024.xlsx]D-PSNP'!</v>
      </c>
      <c r="G1143" s="32" t="s">
        <v>119</v>
      </c>
      <c r="H1143" s="33"/>
      <c r="I1143" s="33"/>
      <c r="J1143" s="37"/>
    </row>
    <row r="1144" spans="1:10" x14ac:dyDescent="0.3">
      <c r="A1144" s="32" t="s">
        <v>22</v>
      </c>
      <c r="B1144" s="32">
        <f t="shared" ref="B1144:B1155" si="279">+B1143+1</f>
        <v>2025</v>
      </c>
      <c r="C1144" s="33" t="s">
        <v>37</v>
      </c>
      <c r="D1144" s="34" t="s">
        <v>2002</v>
      </c>
      <c r="E1144" s="35" t="str">
        <f t="shared" si="277"/>
        <v>PSNP'!</v>
      </c>
      <c r="F1144" s="34" t="str">
        <f t="shared" si="278"/>
        <v>C:\Users\jaime.benazar\Quorum Business Solutions\Ecopetrol Prometeo - Documents\Planning Space Implementation\3. Analysis &amp; Design\Design\FC22\DRR Jaime\Neiva CPI\[DINA TERCIARIOS_CF_SEC_New_27-Mar-2024.xlsx]D-PSNP'!</v>
      </c>
      <c r="G1144" s="32" t="s">
        <v>119</v>
      </c>
      <c r="H1144" s="33"/>
      <c r="I1144" s="33"/>
      <c r="J1144" s="37"/>
    </row>
    <row r="1145" spans="1:10" x14ac:dyDescent="0.3">
      <c r="A1145" s="32" t="s">
        <v>22</v>
      </c>
      <c r="B1145" s="32">
        <f t="shared" si="279"/>
        <v>2026</v>
      </c>
      <c r="C1145" s="33" t="s">
        <v>37</v>
      </c>
      <c r="D1145" s="34" t="s">
        <v>2002</v>
      </c>
      <c r="E1145" s="35" t="str">
        <f t="shared" si="277"/>
        <v>PSNP'!</v>
      </c>
      <c r="F1145" s="34" t="str">
        <f t="shared" si="278"/>
        <v>C:\Users\jaime.benazar\Quorum Business Solutions\Ecopetrol Prometeo - Documents\Planning Space Implementation\3. Analysis &amp; Design\Design\FC22\DRR Jaime\Neiva CPI\[DINA TERCIARIOS_CF_SEC_New_27-Mar-2024.xlsx]D-PSNP'!</v>
      </c>
      <c r="G1145" s="32" t="s">
        <v>119</v>
      </c>
      <c r="H1145" s="33"/>
      <c r="I1145" s="33"/>
      <c r="J1145" s="37"/>
    </row>
    <row r="1146" spans="1:10" x14ac:dyDescent="0.3">
      <c r="A1146" s="32" t="s">
        <v>22</v>
      </c>
      <c r="B1146" s="32">
        <f t="shared" si="279"/>
        <v>2027</v>
      </c>
      <c r="C1146" s="33" t="s">
        <v>37</v>
      </c>
      <c r="D1146" s="34" t="s">
        <v>2002</v>
      </c>
      <c r="E1146" s="35" t="str">
        <f t="shared" si="277"/>
        <v>PSNP'!</v>
      </c>
      <c r="F1146" s="34" t="str">
        <f t="shared" si="278"/>
        <v>C:\Users\jaime.benazar\Quorum Business Solutions\Ecopetrol Prometeo - Documents\Planning Space Implementation\3. Analysis &amp; Design\Design\FC22\DRR Jaime\Neiva CPI\[DINA TERCIARIOS_CF_SEC_New_27-Mar-2024.xlsx]D-PSNP'!</v>
      </c>
      <c r="G1146" s="32" t="s">
        <v>119</v>
      </c>
      <c r="H1146" s="33"/>
      <c r="I1146" s="33"/>
      <c r="J1146" s="37"/>
    </row>
    <row r="1147" spans="1:10" x14ac:dyDescent="0.3">
      <c r="A1147" s="32" t="s">
        <v>22</v>
      </c>
      <c r="B1147" s="32">
        <f t="shared" si="279"/>
        <v>2028</v>
      </c>
      <c r="C1147" s="33" t="s">
        <v>37</v>
      </c>
      <c r="D1147" s="34" t="s">
        <v>2002</v>
      </c>
      <c r="E1147" s="35" t="str">
        <f t="shared" si="277"/>
        <v>PSNP'!</v>
      </c>
      <c r="F1147" s="34" t="str">
        <f t="shared" si="278"/>
        <v>C:\Users\jaime.benazar\Quorum Business Solutions\Ecopetrol Prometeo - Documents\Planning Space Implementation\3. Analysis &amp; Design\Design\FC22\DRR Jaime\Neiva CPI\[DINA TERCIARIOS_CF_SEC_New_27-Mar-2024.xlsx]D-PSNP'!</v>
      </c>
      <c r="G1147" s="32" t="s">
        <v>119</v>
      </c>
      <c r="H1147" s="33"/>
      <c r="I1147" s="33"/>
      <c r="J1147" s="37"/>
    </row>
    <row r="1148" spans="1:10" x14ac:dyDescent="0.3">
      <c r="A1148" s="32" t="s">
        <v>22</v>
      </c>
      <c r="B1148" s="32">
        <f t="shared" si="279"/>
        <v>2029</v>
      </c>
      <c r="C1148" s="33" t="s">
        <v>37</v>
      </c>
      <c r="D1148" s="34" t="s">
        <v>2002</v>
      </c>
      <c r="E1148" s="35" t="str">
        <f t="shared" si="277"/>
        <v>PSNP'!</v>
      </c>
      <c r="F1148" s="34" t="str">
        <f t="shared" si="278"/>
        <v>C:\Users\jaime.benazar\Quorum Business Solutions\Ecopetrol Prometeo - Documents\Planning Space Implementation\3. Analysis &amp; Design\Design\FC22\DRR Jaime\Neiva CPI\[DINA TERCIARIOS_CF_SEC_New_27-Mar-2024.xlsx]D-PSNP'!</v>
      </c>
      <c r="G1148" s="32" t="s">
        <v>119</v>
      </c>
      <c r="H1148" s="33"/>
      <c r="I1148" s="33"/>
      <c r="J1148" s="37"/>
    </row>
    <row r="1149" spans="1:10" x14ac:dyDescent="0.3">
      <c r="A1149" s="32" t="s">
        <v>22</v>
      </c>
      <c r="B1149" s="32">
        <f t="shared" si="279"/>
        <v>2030</v>
      </c>
      <c r="C1149" s="33" t="s">
        <v>37</v>
      </c>
      <c r="D1149" s="34" t="s">
        <v>2002</v>
      </c>
      <c r="E1149" s="35" t="str">
        <f t="shared" si="277"/>
        <v>PSNP'!</v>
      </c>
      <c r="F1149" s="34" t="str">
        <f t="shared" si="278"/>
        <v>C:\Users\jaime.benazar\Quorum Business Solutions\Ecopetrol Prometeo - Documents\Planning Space Implementation\3. Analysis &amp; Design\Design\FC22\DRR Jaime\Neiva CPI\[DINA TERCIARIOS_CF_SEC_New_27-Mar-2024.xlsx]D-PSNP'!</v>
      </c>
      <c r="G1149" s="32" t="s">
        <v>119</v>
      </c>
      <c r="H1149" s="33"/>
      <c r="I1149" s="33"/>
      <c r="J1149" s="37"/>
    </row>
    <row r="1150" spans="1:10" x14ac:dyDescent="0.3">
      <c r="A1150" s="32" t="s">
        <v>22</v>
      </c>
      <c r="B1150" s="32">
        <f t="shared" si="279"/>
        <v>2031</v>
      </c>
      <c r="C1150" s="33" t="s">
        <v>37</v>
      </c>
      <c r="D1150" s="34" t="s">
        <v>2002</v>
      </c>
      <c r="E1150" s="35" t="str">
        <f t="shared" si="277"/>
        <v>PSNP'!</v>
      </c>
      <c r="F1150" s="34" t="str">
        <f t="shared" si="278"/>
        <v>C:\Users\jaime.benazar\Quorum Business Solutions\Ecopetrol Prometeo - Documents\Planning Space Implementation\3. Analysis &amp; Design\Design\FC22\DRR Jaime\Neiva CPI\[DINA TERCIARIOS_CF_SEC_New_27-Mar-2024.xlsx]D-PSNP'!</v>
      </c>
      <c r="G1150" s="32" t="s">
        <v>119</v>
      </c>
      <c r="H1150" s="33"/>
      <c r="I1150" s="33"/>
      <c r="J1150" s="37"/>
    </row>
    <row r="1151" spans="1:10" x14ac:dyDescent="0.3">
      <c r="A1151" s="32" t="s">
        <v>22</v>
      </c>
      <c r="B1151" s="32">
        <f t="shared" si="279"/>
        <v>2032</v>
      </c>
      <c r="C1151" s="33" t="s">
        <v>37</v>
      </c>
      <c r="D1151" s="34" t="s">
        <v>2002</v>
      </c>
      <c r="E1151" s="35" t="str">
        <f t="shared" si="277"/>
        <v>PSNP'!</v>
      </c>
      <c r="F1151" s="34" t="str">
        <f t="shared" si="278"/>
        <v>C:\Users\jaime.benazar\Quorum Business Solutions\Ecopetrol Prometeo - Documents\Planning Space Implementation\3. Analysis &amp; Design\Design\FC22\DRR Jaime\Neiva CPI\[DINA TERCIARIOS_CF_SEC_New_27-Mar-2024.xlsx]D-PSNP'!</v>
      </c>
      <c r="G1151" s="32" t="s">
        <v>119</v>
      </c>
      <c r="H1151" s="33"/>
      <c r="I1151" s="33"/>
      <c r="J1151" s="37"/>
    </row>
    <row r="1152" spans="1:10" x14ac:dyDescent="0.3">
      <c r="A1152" s="32" t="s">
        <v>22</v>
      </c>
      <c r="B1152" s="32">
        <f t="shared" si="279"/>
        <v>2033</v>
      </c>
      <c r="C1152" s="33" t="s">
        <v>37</v>
      </c>
      <c r="D1152" s="34" t="s">
        <v>2002</v>
      </c>
      <c r="E1152" s="35" t="str">
        <f t="shared" si="277"/>
        <v>PSNP'!</v>
      </c>
      <c r="F1152" s="34" t="str">
        <f t="shared" si="278"/>
        <v>C:\Users\jaime.benazar\Quorum Business Solutions\Ecopetrol Prometeo - Documents\Planning Space Implementation\3. Analysis &amp; Design\Design\FC22\DRR Jaime\Neiva CPI\[DINA TERCIARIOS_CF_SEC_New_27-Mar-2024.xlsx]D-PSNP'!</v>
      </c>
      <c r="G1152" s="32" t="s">
        <v>119</v>
      </c>
      <c r="H1152" s="33"/>
      <c r="I1152" s="33"/>
      <c r="J1152" s="37"/>
    </row>
    <row r="1153" spans="1:10" x14ac:dyDescent="0.3">
      <c r="A1153" s="32" t="s">
        <v>22</v>
      </c>
      <c r="B1153" s="32">
        <f t="shared" si="279"/>
        <v>2034</v>
      </c>
      <c r="C1153" s="33" t="s">
        <v>37</v>
      </c>
      <c r="D1153" s="34" t="s">
        <v>2002</v>
      </c>
      <c r="E1153" s="35" t="str">
        <f t="shared" si="277"/>
        <v>PSNP'!</v>
      </c>
      <c r="F1153" s="34" t="str">
        <f t="shared" si="278"/>
        <v>C:\Users\jaime.benazar\Quorum Business Solutions\Ecopetrol Prometeo - Documents\Planning Space Implementation\3. Analysis &amp; Design\Design\FC22\DRR Jaime\Neiva CPI\[DINA TERCIARIOS_CF_SEC_New_27-Mar-2024.xlsx]D-PSNP'!</v>
      </c>
      <c r="G1153" s="32" t="s">
        <v>119</v>
      </c>
      <c r="H1153" s="33"/>
      <c r="I1153" s="33"/>
      <c r="J1153" s="37"/>
    </row>
    <row r="1154" spans="1:10" x14ac:dyDescent="0.3">
      <c r="A1154" s="32" t="s">
        <v>22</v>
      </c>
      <c r="B1154" s="32">
        <f t="shared" si="279"/>
        <v>2035</v>
      </c>
      <c r="C1154" s="33" t="s">
        <v>37</v>
      </c>
      <c r="D1154" s="34" t="s">
        <v>2002</v>
      </c>
      <c r="E1154" s="35" t="str">
        <f t="shared" si="277"/>
        <v>PSNP'!</v>
      </c>
      <c r="F1154" s="34" t="str">
        <f t="shared" si="278"/>
        <v>C:\Users\jaime.benazar\Quorum Business Solutions\Ecopetrol Prometeo - Documents\Planning Space Implementation\3. Analysis &amp; Design\Design\FC22\DRR Jaime\Neiva CPI\[DINA TERCIARIOS_CF_SEC_New_27-Mar-2024.xlsx]D-PSNP'!</v>
      </c>
      <c r="G1154" s="32" t="s">
        <v>119</v>
      </c>
      <c r="H1154" s="33"/>
      <c r="I1154" s="33"/>
      <c r="J1154" s="37"/>
    </row>
    <row r="1155" spans="1:10" x14ac:dyDescent="0.3">
      <c r="A1155" s="32" t="s">
        <v>22</v>
      </c>
      <c r="B1155" s="32">
        <f t="shared" si="279"/>
        <v>2036</v>
      </c>
      <c r="C1155" s="33" t="s">
        <v>37</v>
      </c>
      <c r="D1155" s="34" t="s">
        <v>2002</v>
      </c>
      <c r="E1155" s="35" t="str">
        <f t="shared" si="277"/>
        <v>PSNP'!</v>
      </c>
      <c r="F1155" s="34" t="str">
        <f t="shared" si="278"/>
        <v>C:\Users\jaime.benazar\Quorum Business Solutions\Ecopetrol Prometeo - Documents\Planning Space Implementation\3. Analysis &amp; Design\Design\FC22\DRR Jaime\Neiva CPI\[DINA TERCIARIOS_CF_SEC_New_27-Mar-2024.xlsx]D-PSNP'!</v>
      </c>
      <c r="G1155" s="32" t="s">
        <v>119</v>
      </c>
      <c r="H1155" s="33"/>
      <c r="I1155" s="33"/>
      <c r="J1155" s="37"/>
    </row>
    <row r="1156" spans="1:10" x14ac:dyDescent="0.3">
      <c r="A1156" s="32" t="s">
        <v>22</v>
      </c>
      <c r="B1156" s="32">
        <f>+B1155+1</f>
        <v>2037</v>
      </c>
      <c r="C1156" s="33" t="s">
        <v>37</v>
      </c>
      <c r="D1156" s="34" t="s">
        <v>2002</v>
      </c>
      <c r="E1156" s="35" t="str">
        <f t="shared" si="277"/>
        <v>PSNP'!</v>
      </c>
      <c r="F1156" s="34" t="str">
        <f t="shared" si="278"/>
        <v>C:\Users\jaime.benazar\Quorum Business Solutions\Ecopetrol Prometeo - Documents\Planning Space Implementation\3. Analysis &amp; Design\Design\FC22\DRR Jaime\Neiva CPI\[DINA TERCIARIOS_CF_SEC_New_27-Mar-2024.xlsx]D-PSNP'!</v>
      </c>
      <c r="G1156" s="32" t="s">
        <v>119</v>
      </c>
      <c r="H1156" s="33"/>
      <c r="I1156" s="33"/>
      <c r="J1156" s="37"/>
    </row>
    <row r="1157" spans="1:10" x14ac:dyDescent="0.3">
      <c r="A1157" s="32" t="s">
        <v>22</v>
      </c>
      <c r="B1157" s="32">
        <f t="shared" ref="B1157:B1159" si="280">+B1156+1</f>
        <v>2038</v>
      </c>
      <c r="C1157" s="33" t="s">
        <v>37</v>
      </c>
      <c r="D1157" s="34" t="s">
        <v>2002</v>
      </c>
      <c r="E1157" s="35" t="str">
        <f t="shared" si="277"/>
        <v>PSNP'!</v>
      </c>
      <c r="F1157" s="34" t="str">
        <f t="shared" si="278"/>
        <v>C:\Users\jaime.benazar\Quorum Business Solutions\Ecopetrol Prometeo - Documents\Planning Space Implementation\3. Analysis &amp; Design\Design\FC22\DRR Jaime\Neiva CPI\[DINA TERCIARIOS_CF_SEC_New_27-Mar-2024.xlsx]D-PSNP'!</v>
      </c>
      <c r="G1157" s="32" t="s">
        <v>119</v>
      </c>
      <c r="H1157" s="33"/>
      <c r="I1157" s="33"/>
      <c r="J1157" s="37"/>
    </row>
    <row r="1158" spans="1:10" x14ac:dyDescent="0.3">
      <c r="A1158" s="32" t="s">
        <v>22</v>
      </c>
      <c r="B1158" s="32">
        <f t="shared" si="280"/>
        <v>2039</v>
      </c>
      <c r="C1158" s="33" t="s">
        <v>37</v>
      </c>
      <c r="D1158" s="34" t="s">
        <v>2002</v>
      </c>
      <c r="E1158" s="35" t="str">
        <f t="shared" si="277"/>
        <v>PSNP'!</v>
      </c>
      <c r="F1158" s="34" t="str">
        <f t="shared" si="278"/>
        <v>C:\Users\jaime.benazar\Quorum Business Solutions\Ecopetrol Prometeo - Documents\Planning Space Implementation\3. Analysis &amp; Design\Design\FC22\DRR Jaime\Neiva CPI\[DINA TERCIARIOS_CF_SEC_New_27-Mar-2024.xlsx]D-PSNP'!</v>
      </c>
      <c r="G1158" s="32" t="s">
        <v>119</v>
      </c>
      <c r="H1158" s="33"/>
      <c r="I1158" s="33"/>
      <c r="J1158" s="37"/>
    </row>
    <row r="1159" spans="1:10" x14ac:dyDescent="0.3">
      <c r="A1159" s="32" t="s">
        <v>22</v>
      </c>
      <c r="B1159" s="32">
        <f t="shared" si="280"/>
        <v>2040</v>
      </c>
      <c r="C1159" s="33" t="s">
        <v>37</v>
      </c>
      <c r="D1159" s="34" t="s">
        <v>2002</v>
      </c>
      <c r="E1159" s="35" t="str">
        <f t="shared" si="277"/>
        <v>PSNP'!</v>
      </c>
      <c r="F1159" s="34" t="str">
        <f t="shared" si="278"/>
        <v>C:\Users\jaime.benazar\Quorum Business Solutions\Ecopetrol Prometeo - Documents\Planning Space Implementation\3. Analysis &amp; Design\Design\FC22\DRR Jaime\Neiva CPI\[DINA TERCIARIOS_CF_SEC_New_27-Mar-2024.xlsx]D-PSNP'!</v>
      </c>
      <c r="G1159" s="32" t="s">
        <v>119</v>
      </c>
      <c r="H1159" s="33"/>
      <c r="I1159" s="33"/>
      <c r="J1159" s="37"/>
    </row>
    <row r="1160" spans="1:10" x14ac:dyDescent="0.3">
      <c r="A1160" s="32" t="s">
        <v>22</v>
      </c>
      <c r="B1160" s="32">
        <f>+B1159+1</f>
        <v>2041</v>
      </c>
      <c r="C1160" s="33" t="s">
        <v>37</v>
      </c>
      <c r="D1160" s="34" t="s">
        <v>2002</v>
      </c>
      <c r="E1160" s="35" t="str">
        <f t="shared" si="277"/>
        <v>PSNP'!</v>
      </c>
      <c r="F1160" s="34" t="str">
        <f t="shared" si="278"/>
        <v>C:\Users\jaime.benazar\Quorum Business Solutions\Ecopetrol Prometeo - Documents\Planning Space Implementation\3. Analysis &amp; Design\Design\FC22\DRR Jaime\Neiva CPI\[DINA TERCIARIOS_CF_SEC_New_27-Mar-2024.xlsx]D-PSNP'!</v>
      </c>
      <c r="G1160" s="32" t="s">
        <v>119</v>
      </c>
      <c r="H1160" s="33"/>
      <c r="I1160" s="33"/>
      <c r="J1160" s="37"/>
    </row>
    <row r="1161" spans="1:10" x14ac:dyDescent="0.3">
      <c r="A1161" s="32" t="s">
        <v>22</v>
      </c>
      <c r="B1161" s="32">
        <f t="shared" ref="B1161:B1162" si="281">+B1160+1</f>
        <v>2042</v>
      </c>
      <c r="C1161" s="33" t="s">
        <v>37</v>
      </c>
      <c r="D1161" s="34" t="s">
        <v>2002</v>
      </c>
      <c r="E1161" s="35" t="str">
        <f t="shared" si="277"/>
        <v>PSNP'!</v>
      </c>
      <c r="F1161" s="34" t="str">
        <f t="shared" si="278"/>
        <v>C:\Users\jaime.benazar\Quorum Business Solutions\Ecopetrol Prometeo - Documents\Planning Space Implementation\3. Analysis &amp; Design\Design\FC22\DRR Jaime\Neiva CPI\[DINA TERCIARIOS_CF_SEC_New_27-Mar-2024.xlsx]D-PSNP'!</v>
      </c>
      <c r="G1161" s="32" t="s">
        <v>119</v>
      </c>
      <c r="H1161" s="33"/>
      <c r="I1161" s="33"/>
      <c r="J1161" s="37"/>
    </row>
    <row r="1162" spans="1:10" x14ac:dyDescent="0.3">
      <c r="A1162" s="32" t="s">
        <v>22</v>
      </c>
      <c r="B1162" s="32">
        <f t="shared" si="281"/>
        <v>2043</v>
      </c>
      <c r="C1162" s="33" t="s">
        <v>37</v>
      </c>
      <c r="D1162" s="34" t="s">
        <v>2002</v>
      </c>
      <c r="E1162" s="35" t="str">
        <f t="shared" si="277"/>
        <v>PSNP'!</v>
      </c>
      <c r="F1162" s="34" t="str">
        <f t="shared" si="278"/>
        <v>C:\Users\jaime.benazar\Quorum Business Solutions\Ecopetrol Prometeo - Documents\Planning Space Implementation\3. Analysis &amp; Design\Design\FC22\DRR Jaime\Neiva CPI\[DINA TERCIARIOS_CF_SEC_New_27-Mar-2024.xlsx]D-PSNP'!</v>
      </c>
      <c r="G1162" s="32" t="s">
        <v>119</v>
      </c>
      <c r="H1162" s="33"/>
      <c r="I1162" s="33"/>
      <c r="J1162" s="37"/>
    </row>
    <row r="1163" spans="1:10" x14ac:dyDescent="0.3">
      <c r="A1163" s="32" t="s">
        <v>22</v>
      </c>
      <c r="B1163" s="32">
        <f>+B1162+1</f>
        <v>2044</v>
      </c>
      <c r="C1163" s="33" t="s">
        <v>37</v>
      </c>
      <c r="D1163" s="34" t="s">
        <v>2002</v>
      </c>
      <c r="E1163" s="35" t="str">
        <f t="shared" ref="E1163:E1178" si="282">_xlfn.CONCAT(A1163,"'!")</f>
        <v>PSNP'!</v>
      </c>
      <c r="F1163" s="34" t="str">
        <f t="shared" ref="F1163:F1178" si="283">_xlfn.CONCAT(D1163:E1163)</f>
        <v>C:\Users\jaime.benazar\Quorum Business Solutions\Ecopetrol Prometeo - Documents\Planning Space Implementation\3. Analysis &amp; Design\Design\FC22\DRR Jaime\Neiva CPI\[DINA TERCIARIOS_CF_SEC_New_27-Mar-2024.xlsx]D-PSNP'!</v>
      </c>
      <c r="G1163" s="32" t="s">
        <v>119</v>
      </c>
      <c r="H1163" s="33"/>
      <c r="I1163" s="33"/>
      <c r="J1163" s="37"/>
    </row>
    <row r="1164" spans="1:10" x14ac:dyDescent="0.3">
      <c r="A1164" s="32" t="s">
        <v>22</v>
      </c>
      <c r="B1164" s="32">
        <f t="shared" ref="B1164:B1178" si="284">+B1163+1</f>
        <v>2045</v>
      </c>
      <c r="C1164" s="33" t="s">
        <v>37</v>
      </c>
      <c r="D1164" s="34" t="s">
        <v>2002</v>
      </c>
      <c r="E1164" s="35" t="str">
        <f t="shared" si="282"/>
        <v>PSNP'!</v>
      </c>
      <c r="F1164" s="34" t="str">
        <f t="shared" si="283"/>
        <v>C:\Users\jaime.benazar\Quorum Business Solutions\Ecopetrol Prometeo - Documents\Planning Space Implementation\3. Analysis &amp; Design\Design\FC22\DRR Jaime\Neiva CPI\[DINA TERCIARIOS_CF_SEC_New_27-Mar-2024.xlsx]D-PSNP'!</v>
      </c>
      <c r="G1164" s="32" t="s">
        <v>119</v>
      </c>
      <c r="H1164" s="33"/>
      <c r="I1164" s="33"/>
      <c r="J1164" s="37"/>
    </row>
    <row r="1165" spans="1:10" x14ac:dyDescent="0.3">
      <c r="A1165" s="32" t="s">
        <v>22</v>
      </c>
      <c r="B1165" s="32">
        <f t="shared" si="284"/>
        <v>2046</v>
      </c>
      <c r="C1165" s="33" t="s">
        <v>37</v>
      </c>
      <c r="D1165" s="34" t="s">
        <v>2002</v>
      </c>
      <c r="E1165" s="35" t="str">
        <f t="shared" si="282"/>
        <v>PSNP'!</v>
      </c>
      <c r="F1165" s="34" t="str">
        <f t="shared" si="283"/>
        <v>C:\Users\jaime.benazar\Quorum Business Solutions\Ecopetrol Prometeo - Documents\Planning Space Implementation\3. Analysis &amp; Design\Design\FC22\DRR Jaime\Neiva CPI\[DINA TERCIARIOS_CF_SEC_New_27-Mar-2024.xlsx]D-PSNP'!</v>
      </c>
      <c r="G1165" s="32" t="s">
        <v>119</v>
      </c>
      <c r="H1165" s="33"/>
      <c r="I1165" s="33"/>
      <c r="J1165" s="37"/>
    </row>
    <row r="1166" spans="1:10" x14ac:dyDescent="0.3">
      <c r="A1166" s="32" t="s">
        <v>22</v>
      </c>
      <c r="B1166" s="32">
        <f t="shared" si="284"/>
        <v>2047</v>
      </c>
      <c r="C1166" s="33" t="s">
        <v>37</v>
      </c>
      <c r="D1166" s="34" t="s">
        <v>2002</v>
      </c>
      <c r="E1166" s="35" t="str">
        <f t="shared" si="282"/>
        <v>PSNP'!</v>
      </c>
      <c r="F1166" s="34" t="str">
        <f t="shared" si="283"/>
        <v>C:\Users\jaime.benazar\Quorum Business Solutions\Ecopetrol Prometeo - Documents\Planning Space Implementation\3. Analysis &amp; Design\Design\FC22\DRR Jaime\Neiva CPI\[DINA TERCIARIOS_CF_SEC_New_27-Mar-2024.xlsx]D-PSNP'!</v>
      </c>
      <c r="G1166" s="32" t="s">
        <v>119</v>
      </c>
      <c r="H1166" s="33"/>
      <c r="I1166" s="33"/>
      <c r="J1166" s="37"/>
    </row>
    <row r="1167" spans="1:10" x14ac:dyDescent="0.3">
      <c r="A1167" s="32" t="s">
        <v>22</v>
      </c>
      <c r="B1167" s="32">
        <f t="shared" si="284"/>
        <v>2048</v>
      </c>
      <c r="C1167" s="33" t="s">
        <v>37</v>
      </c>
      <c r="D1167" s="34" t="s">
        <v>2002</v>
      </c>
      <c r="E1167" s="35" t="str">
        <f t="shared" si="282"/>
        <v>PSNP'!</v>
      </c>
      <c r="F1167" s="34" t="str">
        <f t="shared" si="283"/>
        <v>C:\Users\jaime.benazar\Quorum Business Solutions\Ecopetrol Prometeo - Documents\Planning Space Implementation\3. Analysis &amp; Design\Design\FC22\DRR Jaime\Neiva CPI\[DINA TERCIARIOS_CF_SEC_New_27-Mar-2024.xlsx]D-PSNP'!</v>
      </c>
      <c r="G1167" s="32" t="s">
        <v>119</v>
      </c>
      <c r="H1167" s="33"/>
      <c r="I1167" s="33"/>
      <c r="J1167" s="37"/>
    </row>
    <row r="1168" spans="1:10" x14ac:dyDescent="0.3">
      <c r="A1168" s="32" t="s">
        <v>22</v>
      </c>
      <c r="B1168" s="32">
        <f t="shared" si="284"/>
        <v>2049</v>
      </c>
      <c r="C1168" s="33" t="s">
        <v>37</v>
      </c>
      <c r="D1168" s="34" t="s">
        <v>2002</v>
      </c>
      <c r="E1168" s="35" t="str">
        <f t="shared" si="282"/>
        <v>PSNP'!</v>
      </c>
      <c r="F1168" s="34" t="str">
        <f t="shared" si="283"/>
        <v>C:\Users\jaime.benazar\Quorum Business Solutions\Ecopetrol Prometeo - Documents\Planning Space Implementation\3. Analysis &amp; Design\Design\FC22\DRR Jaime\Neiva CPI\[DINA TERCIARIOS_CF_SEC_New_27-Mar-2024.xlsx]D-PSNP'!</v>
      </c>
      <c r="G1168" s="32" t="s">
        <v>119</v>
      </c>
      <c r="H1168" s="33"/>
      <c r="I1168" s="33"/>
      <c r="J1168" s="37"/>
    </row>
    <row r="1169" spans="1:10" x14ac:dyDescent="0.3">
      <c r="A1169" s="32" t="s">
        <v>22</v>
      </c>
      <c r="B1169" s="32">
        <f t="shared" si="284"/>
        <v>2050</v>
      </c>
      <c r="C1169" s="33" t="s">
        <v>37</v>
      </c>
      <c r="D1169" s="34" t="s">
        <v>2002</v>
      </c>
      <c r="E1169" s="35" t="str">
        <f t="shared" si="282"/>
        <v>PSNP'!</v>
      </c>
      <c r="F1169" s="34" t="str">
        <f t="shared" si="283"/>
        <v>C:\Users\jaime.benazar\Quorum Business Solutions\Ecopetrol Prometeo - Documents\Planning Space Implementation\3. Analysis &amp; Design\Design\FC22\DRR Jaime\Neiva CPI\[DINA TERCIARIOS_CF_SEC_New_27-Mar-2024.xlsx]D-PSNP'!</v>
      </c>
      <c r="G1169" s="32" t="s">
        <v>119</v>
      </c>
      <c r="H1169" s="33"/>
      <c r="I1169" s="33"/>
      <c r="J1169" s="37"/>
    </row>
    <row r="1170" spans="1:10" x14ac:dyDescent="0.3">
      <c r="A1170" s="32" t="s">
        <v>22</v>
      </c>
      <c r="B1170" s="32">
        <f t="shared" si="284"/>
        <v>2051</v>
      </c>
      <c r="C1170" s="33" t="s">
        <v>37</v>
      </c>
      <c r="D1170" s="34" t="s">
        <v>2002</v>
      </c>
      <c r="E1170" s="35" t="str">
        <f t="shared" si="282"/>
        <v>PSNP'!</v>
      </c>
      <c r="F1170" s="34" t="str">
        <f t="shared" si="283"/>
        <v>C:\Users\jaime.benazar\Quorum Business Solutions\Ecopetrol Prometeo - Documents\Planning Space Implementation\3. Analysis &amp; Design\Design\FC22\DRR Jaime\Neiva CPI\[DINA TERCIARIOS_CF_SEC_New_27-Mar-2024.xlsx]D-PSNP'!</v>
      </c>
      <c r="G1170" s="32" t="s">
        <v>119</v>
      </c>
      <c r="H1170" s="33"/>
      <c r="I1170" s="33"/>
      <c r="J1170" s="37"/>
    </row>
    <row r="1171" spans="1:10" x14ac:dyDescent="0.3">
      <c r="A1171" s="32" t="s">
        <v>22</v>
      </c>
      <c r="B1171" s="32">
        <f t="shared" si="284"/>
        <v>2052</v>
      </c>
      <c r="C1171" s="33" t="s">
        <v>37</v>
      </c>
      <c r="D1171" s="34" t="s">
        <v>2002</v>
      </c>
      <c r="E1171" s="35" t="str">
        <f t="shared" si="282"/>
        <v>PSNP'!</v>
      </c>
      <c r="F1171" s="34" t="str">
        <f t="shared" si="283"/>
        <v>C:\Users\jaime.benazar\Quorum Business Solutions\Ecopetrol Prometeo - Documents\Planning Space Implementation\3. Analysis &amp; Design\Design\FC22\DRR Jaime\Neiva CPI\[DINA TERCIARIOS_CF_SEC_New_27-Mar-2024.xlsx]D-PSNP'!</v>
      </c>
      <c r="G1171" s="32" t="s">
        <v>119</v>
      </c>
      <c r="H1171" s="33"/>
      <c r="I1171" s="33"/>
      <c r="J1171" s="37"/>
    </row>
    <row r="1172" spans="1:10" x14ac:dyDescent="0.3">
      <c r="A1172" s="32" t="s">
        <v>22</v>
      </c>
      <c r="B1172" s="32">
        <f t="shared" si="284"/>
        <v>2053</v>
      </c>
      <c r="C1172" s="33" t="s">
        <v>37</v>
      </c>
      <c r="D1172" s="34" t="s">
        <v>2002</v>
      </c>
      <c r="E1172" s="35" t="str">
        <f t="shared" si="282"/>
        <v>PSNP'!</v>
      </c>
      <c r="F1172" s="34" t="str">
        <f t="shared" si="283"/>
        <v>C:\Users\jaime.benazar\Quorum Business Solutions\Ecopetrol Prometeo - Documents\Planning Space Implementation\3. Analysis &amp; Design\Design\FC22\DRR Jaime\Neiva CPI\[DINA TERCIARIOS_CF_SEC_New_27-Mar-2024.xlsx]D-PSNP'!</v>
      </c>
      <c r="G1172" s="32" t="s">
        <v>119</v>
      </c>
      <c r="H1172" s="33"/>
      <c r="I1172" s="33"/>
      <c r="J1172" s="37"/>
    </row>
    <row r="1173" spans="1:10" x14ac:dyDescent="0.3">
      <c r="A1173" s="32" t="s">
        <v>22</v>
      </c>
      <c r="B1173" s="32">
        <f t="shared" si="284"/>
        <v>2054</v>
      </c>
      <c r="C1173" s="33" t="s">
        <v>37</v>
      </c>
      <c r="D1173" s="34" t="s">
        <v>2002</v>
      </c>
      <c r="E1173" s="35" t="str">
        <f t="shared" si="282"/>
        <v>PSNP'!</v>
      </c>
      <c r="F1173" s="34" t="str">
        <f t="shared" si="283"/>
        <v>C:\Users\jaime.benazar\Quorum Business Solutions\Ecopetrol Prometeo - Documents\Planning Space Implementation\3. Analysis &amp; Design\Design\FC22\DRR Jaime\Neiva CPI\[DINA TERCIARIOS_CF_SEC_New_27-Mar-2024.xlsx]D-PSNP'!</v>
      </c>
      <c r="G1173" s="32" t="s">
        <v>119</v>
      </c>
      <c r="H1173" s="33"/>
      <c r="I1173" s="33"/>
      <c r="J1173" s="37"/>
    </row>
    <row r="1174" spans="1:10" x14ac:dyDescent="0.3">
      <c r="A1174" s="32" t="s">
        <v>22</v>
      </c>
      <c r="B1174" s="32">
        <f t="shared" si="284"/>
        <v>2055</v>
      </c>
      <c r="C1174" s="33" t="s">
        <v>37</v>
      </c>
      <c r="D1174" s="34" t="s">
        <v>2002</v>
      </c>
      <c r="E1174" s="35" t="str">
        <f t="shared" si="282"/>
        <v>PSNP'!</v>
      </c>
      <c r="F1174" s="34" t="str">
        <f t="shared" si="283"/>
        <v>C:\Users\jaime.benazar\Quorum Business Solutions\Ecopetrol Prometeo - Documents\Planning Space Implementation\3. Analysis &amp; Design\Design\FC22\DRR Jaime\Neiva CPI\[DINA TERCIARIOS_CF_SEC_New_27-Mar-2024.xlsx]D-PSNP'!</v>
      </c>
      <c r="G1174" s="32" t="s">
        <v>119</v>
      </c>
      <c r="H1174" s="33"/>
      <c r="I1174" s="33"/>
      <c r="J1174" s="37"/>
    </row>
    <row r="1175" spans="1:10" x14ac:dyDescent="0.3">
      <c r="A1175" s="32" t="s">
        <v>22</v>
      </c>
      <c r="B1175" s="32">
        <f t="shared" si="284"/>
        <v>2056</v>
      </c>
      <c r="C1175" s="33" t="s">
        <v>37</v>
      </c>
      <c r="D1175" s="34" t="s">
        <v>2002</v>
      </c>
      <c r="E1175" s="35" t="str">
        <f t="shared" si="282"/>
        <v>PSNP'!</v>
      </c>
      <c r="F1175" s="34" t="str">
        <f t="shared" si="283"/>
        <v>C:\Users\jaime.benazar\Quorum Business Solutions\Ecopetrol Prometeo - Documents\Planning Space Implementation\3. Analysis &amp; Design\Design\FC22\DRR Jaime\Neiva CPI\[DINA TERCIARIOS_CF_SEC_New_27-Mar-2024.xlsx]D-PSNP'!</v>
      </c>
      <c r="G1175" s="32" t="s">
        <v>119</v>
      </c>
      <c r="H1175" s="33"/>
      <c r="I1175" s="33"/>
      <c r="J1175" s="37"/>
    </row>
    <row r="1176" spans="1:10" x14ac:dyDescent="0.3">
      <c r="A1176" s="32" t="s">
        <v>22</v>
      </c>
      <c r="B1176" s="32">
        <f t="shared" si="284"/>
        <v>2057</v>
      </c>
      <c r="C1176" s="33" t="s">
        <v>37</v>
      </c>
      <c r="D1176" s="34" t="s">
        <v>2002</v>
      </c>
      <c r="E1176" s="35" t="str">
        <f t="shared" si="282"/>
        <v>PSNP'!</v>
      </c>
      <c r="F1176" s="34" t="str">
        <f t="shared" si="283"/>
        <v>C:\Users\jaime.benazar\Quorum Business Solutions\Ecopetrol Prometeo - Documents\Planning Space Implementation\3. Analysis &amp; Design\Design\FC22\DRR Jaime\Neiva CPI\[DINA TERCIARIOS_CF_SEC_New_27-Mar-2024.xlsx]D-PSNP'!</v>
      </c>
      <c r="G1176" s="32" t="s">
        <v>119</v>
      </c>
      <c r="H1176" s="33"/>
      <c r="I1176" s="33"/>
      <c r="J1176" s="37"/>
    </row>
    <row r="1177" spans="1:10" x14ac:dyDescent="0.3">
      <c r="A1177" s="32" t="s">
        <v>22</v>
      </c>
      <c r="B1177" s="32">
        <f t="shared" si="284"/>
        <v>2058</v>
      </c>
      <c r="C1177" s="33" t="s">
        <v>37</v>
      </c>
      <c r="D1177" s="34" t="s">
        <v>2002</v>
      </c>
      <c r="E1177" s="35" t="str">
        <f t="shared" si="282"/>
        <v>PSNP'!</v>
      </c>
      <c r="F1177" s="34" t="str">
        <f t="shared" si="283"/>
        <v>C:\Users\jaime.benazar\Quorum Business Solutions\Ecopetrol Prometeo - Documents\Planning Space Implementation\3. Analysis &amp; Design\Design\FC22\DRR Jaime\Neiva CPI\[DINA TERCIARIOS_CF_SEC_New_27-Mar-2024.xlsx]D-PSNP'!</v>
      </c>
      <c r="G1177" s="32" t="s">
        <v>119</v>
      </c>
      <c r="H1177" s="33"/>
      <c r="I1177" s="33"/>
      <c r="J1177" s="37"/>
    </row>
    <row r="1178" spans="1:10" x14ac:dyDescent="0.3">
      <c r="A1178" s="32" t="s">
        <v>22</v>
      </c>
      <c r="B1178" s="32">
        <f t="shared" si="284"/>
        <v>2059</v>
      </c>
      <c r="C1178" s="33" t="s">
        <v>37</v>
      </c>
      <c r="D1178" s="34" t="s">
        <v>2002</v>
      </c>
      <c r="E1178" s="35" t="str">
        <f t="shared" si="282"/>
        <v>PSNP'!</v>
      </c>
      <c r="F1178" s="34" t="str">
        <f t="shared" si="283"/>
        <v>C:\Users\jaime.benazar\Quorum Business Solutions\Ecopetrol Prometeo - Documents\Planning Space Implementation\3. Analysis &amp; Design\Design\FC22\DRR Jaime\Neiva CPI\[DINA TERCIARIOS_CF_SEC_New_27-Mar-2024.xlsx]D-PSNP'!</v>
      </c>
      <c r="G1178" s="32" t="s">
        <v>119</v>
      </c>
      <c r="H1178" s="33"/>
      <c r="I1178" s="33"/>
      <c r="J1178" s="37"/>
    </row>
    <row r="1179" spans="1:10" x14ac:dyDescent="0.3">
      <c r="A1179" s="32" t="s">
        <v>26</v>
      </c>
      <c r="B1179" s="32"/>
      <c r="C1179" s="33" t="s">
        <v>37</v>
      </c>
      <c r="D1179" s="34"/>
      <c r="E1179" s="35"/>
      <c r="F1179" s="34"/>
      <c r="G1179" s="32"/>
      <c r="H1179" s="33"/>
      <c r="I1179" s="33"/>
      <c r="J1179" s="33"/>
    </row>
    <row r="1180" spans="1:10" x14ac:dyDescent="0.3">
      <c r="A1180" s="32" t="s">
        <v>23</v>
      </c>
      <c r="B1180" s="32">
        <v>2023</v>
      </c>
      <c r="C1180" s="33" t="s">
        <v>37</v>
      </c>
      <c r="D1180" s="34" t="s">
        <v>2002</v>
      </c>
      <c r="E1180" s="35" t="str">
        <f t="shared" ref="E1180:E1200" si="285">_xlfn.CONCAT(A1180,"'!")</f>
        <v>PSND'!</v>
      </c>
      <c r="F1180" s="34" t="str">
        <f t="shared" ref="F1180:F1200" si="286">_xlfn.CONCAT(D1180:E1180)</f>
        <v>C:\Users\jaime.benazar\Quorum Business Solutions\Ecopetrol Prometeo - Documents\Planning Space Implementation\3. Analysis &amp; Design\Design\FC22\DRR Jaime\Neiva CPI\[DINA TERCIARIOS_CF_SEC_New_27-Mar-2024.xlsx]D-PSND'!</v>
      </c>
      <c r="G1180" s="32" t="s">
        <v>119</v>
      </c>
      <c r="H1180" s="33"/>
      <c r="I1180" s="33"/>
      <c r="J1180" s="37"/>
    </row>
    <row r="1181" spans="1:10" x14ac:dyDescent="0.3">
      <c r="A1181" s="32" t="s">
        <v>23</v>
      </c>
      <c r="B1181" s="32">
        <f>+B1180+1</f>
        <v>2024</v>
      </c>
      <c r="C1181" s="33" t="s">
        <v>37</v>
      </c>
      <c r="D1181" s="34" t="s">
        <v>2002</v>
      </c>
      <c r="E1181" s="35" t="str">
        <f t="shared" si="285"/>
        <v>PSND'!</v>
      </c>
      <c r="F1181" s="34" t="str">
        <f t="shared" si="286"/>
        <v>C:\Users\jaime.benazar\Quorum Business Solutions\Ecopetrol Prometeo - Documents\Planning Space Implementation\3. Analysis &amp; Design\Design\FC22\DRR Jaime\Neiva CPI\[DINA TERCIARIOS_CF_SEC_New_27-Mar-2024.xlsx]D-PSND'!</v>
      </c>
      <c r="G1181" s="32" t="s">
        <v>119</v>
      </c>
      <c r="H1181" s="33"/>
      <c r="I1181" s="33"/>
      <c r="J1181" s="37"/>
    </row>
    <row r="1182" spans="1:10" x14ac:dyDescent="0.3">
      <c r="A1182" s="32" t="s">
        <v>23</v>
      </c>
      <c r="B1182" s="32">
        <f t="shared" ref="B1182:B1193" si="287">+B1181+1</f>
        <v>2025</v>
      </c>
      <c r="C1182" s="33" t="s">
        <v>37</v>
      </c>
      <c r="D1182" s="34" t="s">
        <v>2002</v>
      </c>
      <c r="E1182" s="35" t="str">
        <f t="shared" si="285"/>
        <v>PSND'!</v>
      </c>
      <c r="F1182" s="34" t="str">
        <f t="shared" si="286"/>
        <v>C:\Users\jaime.benazar\Quorum Business Solutions\Ecopetrol Prometeo - Documents\Planning Space Implementation\3. Analysis &amp; Design\Design\FC22\DRR Jaime\Neiva CPI\[DINA TERCIARIOS_CF_SEC_New_27-Mar-2024.xlsx]D-PSND'!</v>
      </c>
      <c r="G1182" s="32" t="s">
        <v>119</v>
      </c>
      <c r="H1182" s="33"/>
      <c r="I1182" s="33"/>
      <c r="J1182" s="37"/>
    </row>
    <row r="1183" spans="1:10" x14ac:dyDescent="0.3">
      <c r="A1183" s="32" t="s">
        <v>23</v>
      </c>
      <c r="B1183" s="32">
        <f t="shared" si="287"/>
        <v>2026</v>
      </c>
      <c r="C1183" s="33" t="s">
        <v>37</v>
      </c>
      <c r="D1183" s="34" t="s">
        <v>2002</v>
      </c>
      <c r="E1183" s="35" t="str">
        <f t="shared" si="285"/>
        <v>PSND'!</v>
      </c>
      <c r="F1183" s="34" t="str">
        <f t="shared" si="286"/>
        <v>C:\Users\jaime.benazar\Quorum Business Solutions\Ecopetrol Prometeo - Documents\Planning Space Implementation\3. Analysis &amp; Design\Design\FC22\DRR Jaime\Neiva CPI\[DINA TERCIARIOS_CF_SEC_New_27-Mar-2024.xlsx]D-PSND'!</v>
      </c>
      <c r="G1183" s="32" t="s">
        <v>119</v>
      </c>
      <c r="H1183" s="33"/>
      <c r="I1183" s="33"/>
      <c r="J1183" s="37"/>
    </row>
    <row r="1184" spans="1:10" x14ac:dyDescent="0.3">
      <c r="A1184" s="32" t="s">
        <v>23</v>
      </c>
      <c r="B1184" s="32">
        <f t="shared" si="287"/>
        <v>2027</v>
      </c>
      <c r="C1184" s="33" t="s">
        <v>37</v>
      </c>
      <c r="D1184" s="34" t="s">
        <v>2002</v>
      </c>
      <c r="E1184" s="35" t="str">
        <f t="shared" si="285"/>
        <v>PSND'!</v>
      </c>
      <c r="F1184" s="34" t="str">
        <f t="shared" si="286"/>
        <v>C:\Users\jaime.benazar\Quorum Business Solutions\Ecopetrol Prometeo - Documents\Planning Space Implementation\3. Analysis &amp; Design\Design\FC22\DRR Jaime\Neiva CPI\[DINA TERCIARIOS_CF_SEC_New_27-Mar-2024.xlsx]D-PSND'!</v>
      </c>
      <c r="G1184" s="32" t="s">
        <v>119</v>
      </c>
      <c r="H1184" s="33"/>
      <c r="I1184" s="33"/>
      <c r="J1184" s="37"/>
    </row>
    <row r="1185" spans="1:10" x14ac:dyDescent="0.3">
      <c r="A1185" s="32" t="s">
        <v>23</v>
      </c>
      <c r="B1185" s="32">
        <f t="shared" si="287"/>
        <v>2028</v>
      </c>
      <c r="C1185" s="33" t="s">
        <v>37</v>
      </c>
      <c r="D1185" s="34" t="s">
        <v>2002</v>
      </c>
      <c r="E1185" s="35" t="str">
        <f t="shared" si="285"/>
        <v>PSND'!</v>
      </c>
      <c r="F1185" s="34" t="str">
        <f t="shared" si="286"/>
        <v>C:\Users\jaime.benazar\Quorum Business Solutions\Ecopetrol Prometeo - Documents\Planning Space Implementation\3. Analysis &amp; Design\Design\FC22\DRR Jaime\Neiva CPI\[DINA TERCIARIOS_CF_SEC_New_27-Mar-2024.xlsx]D-PSND'!</v>
      </c>
      <c r="G1185" s="32" t="s">
        <v>119</v>
      </c>
      <c r="H1185" s="33"/>
      <c r="I1185" s="33"/>
      <c r="J1185" s="37"/>
    </row>
    <row r="1186" spans="1:10" x14ac:dyDescent="0.3">
      <c r="A1186" s="32" t="s">
        <v>23</v>
      </c>
      <c r="B1186" s="32">
        <f t="shared" si="287"/>
        <v>2029</v>
      </c>
      <c r="C1186" s="33" t="s">
        <v>37</v>
      </c>
      <c r="D1186" s="34" t="s">
        <v>2002</v>
      </c>
      <c r="E1186" s="35" t="str">
        <f t="shared" si="285"/>
        <v>PSND'!</v>
      </c>
      <c r="F1186" s="34" t="str">
        <f t="shared" si="286"/>
        <v>C:\Users\jaime.benazar\Quorum Business Solutions\Ecopetrol Prometeo - Documents\Planning Space Implementation\3. Analysis &amp; Design\Design\FC22\DRR Jaime\Neiva CPI\[DINA TERCIARIOS_CF_SEC_New_27-Mar-2024.xlsx]D-PSND'!</v>
      </c>
      <c r="G1186" s="32" t="s">
        <v>119</v>
      </c>
      <c r="H1186" s="33"/>
      <c r="I1186" s="33"/>
      <c r="J1186" s="37"/>
    </row>
    <row r="1187" spans="1:10" x14ac:dyDescent="0.3">
      <c r="A1187" s="32" t="s">
        <v>23</v>
      </c>
      <c r="B1187" s="32">
        <f t="shared" si="287"/>
        <v>2030</v>
      </c>
      <c r="C1187" s="33" t="s">
        <v>37</v>
      </c>
      <c r="D1187" s="34" t="s">
        <v>2002</v>
      </c>
      <c r="E1187" s="35" t="str">
        <f t="shared" si="285"/>
        <v>PSND'!</v>
      </c>
      <c r="F1187" s="34" t="str">
        <f t="shared" si="286"/>
        <v>C:\Users\jaime.benazar\Quorum Business Solutions\Ecopetrol Prometeo - Documents\Planning Space Implementation\3. Analysis &amp; Design\Design\FC22\DRR Jaime\Neiva CPI\[DINA TERCIARIOS_CF_SEC_New_27-Mar-2024.xlsx]D-PSND'!</v>
      </c>
      <c r="G1187" s="32" t="s">
        <v>119</v>
      </c>
      <c r="H1187" s="33"/>
      <c r="I1187" s="33"/>
      <c r="J1187" s="37"/>
    </row>
    <row r="1188" spans="1:10" x14ac:dyDescent="0.3">
      <c r="A1188" s="32" t="s">
        <v>23</v>
      </c>
      <c r="B1188" s="32">
        <f t="shared" si="287"/>
        <v>2031</v>
      </c>
      <c r="C1188" s="33" t="s">
        <v>37</v>
      </c>
      <c r="D1188" s="34" t="s">
        <v>2002</v>
      </c>
      <c r="E1188" s="35" t="str">
        <f t="shared" si="285"/>
        <v>PSND'!</v>
      </c>
      <c r="F1188" s="34" t="str">
        <f t="shared" si="286"/>
        <v>C:\Users\jaime.benazar\Quorum Business Solutions\Ecopetrol Prometeo - Documents\Planning Space Implementation\3. Analysis &amp; Design\Design\FC22\DRR Jaime\Neiva CPI\[DINA TERCIARIOS_CF_SEC_New_27-Mar-2024.xlsx]D-PSND'!</v>
      </c>
      <c r="G1188" s="32" t="s">
        <v>119</v>
      </c>
      <c r="H1188" s="33"/>
      <c r="I1188" s="33"/>
      <c r="J1188" s="37"/>
    </row>
    <row r="1189" spans="1:10" x14ac:dyDescent="0.3">
      <c r="A1189" s="32" t="s">
        <v>23</v>
      </c>
      <c r="B1189" s="32">
        <f t="shared" si="287"/>
        <v>2032</v>
      </c>
      <c r="C1189" s="33" t="s">
        <v>37</v>
      </c>
      <c r="D1189" s="34" t="s">
        <v>2002</v>
      </c>
      <c r="E1189" s="35" t="str">
        <f t="shared" si="285"/>
        <v>PSND'!</v>
      </c>
      <c r="F1189" s="34" t="str">
        <f t="shared" si="286"/>
        <v>C:\Users\jaime.benazar\Quorum Business Solutions\Ecopetrol Prometeo - Documents\Planning Space Implementation\3. Analysis &amp; Design\Design\FC22\DRR Jaime\Neiva CPI\[DINA TERCIARIOS_CF_SEC_New_27-Mar-2024.xlsx]D-PSND'!</v>
      </c>
      <c r="G1189" s="32" t="s">
        <v>119</v>
      </c>
      <c r="H1189" s="33"/>
      <c r="I1189" s="33"/>
      <c r="J1189" s="37"/>
    </row>
    <row r="1190" spans="1:10" x14ac:dyDescent="0.3">
      <c r="A1190" s="32" t="s">
        <v>23</v>
      </c>
      <c r="B1190" s="32">
        <f t="shared" si="287"/>
        <v>2033</v>
      </c>
      <c r="C1190" s="33" t="s">
        <v>37</v>
      </c>
      <c r="D1190" s="34" t="s">
        <v>2002</v>
      </c>
      <c r="E1190" s="35" t="str">
        <f t="shared" si="285"/>
        <v>PSND'!</v>
      </c>
      <c r="F1190" s="34" t="str">
        <f t="shared" si="286"/>
        <v>C:\Users\jaime.benazar\Quorum Business Solutions\Ecopetrol Prometeo - Documents\Planning Space Implementation\3. Analysis &amp; Design\Design\FC22\DRR Jaime\Neiva CPI\[DINA TERCIARIOS_CF_SEC_New_27-Mar-2024.xlsx]D-PSND'!</v>
      </c>
      <c r="G1190" s="32" t="s">
        <v>119</v>
      </c>
      <c r="H1190" s="33"/>
      <c r="I1190" s="33"/>
      <c r="J1190" s="37"/>
    </row>
    <row r="1191" spans="1:10" x14ac:dyDescent="0.3">
      <c r="A1191" s="32" t="s">
        <v>23</v>
      </c>
      <c r="B1191" s="32">
        <f t="shared" si="287"/>
        <v>2034</v>
      </c>
      <c r="C1191" s="33" t="s">
        <v>37</v>
      </c>
      <c r="D1191" s="34" t="s">
        <v>2002</v>
      </c>
      <c r="E1191" s="35" t="str">
        <f t="shared" si="285"/>
        <v>PSND'!</v>
      </c>
      <c r="F1191" s="34" t="str">
        <f t="shared" si="286"/>
        <v>C:\Users\jaime.benazar\Quorum Business Solutions\Ecopetrol Prometeo - Documents\Planning Space Implementation\3. Analysis &amp; Design\Design\FC22\DRR Jaime\Neiva CPI\[DINA TERCIARIOS_CF_SEC_New_27-Mar-2024.xlsx]D-PSND'!</v>
      </c>
      <c r="G1191" s="32" t="s">
        <v>119</v>
      </c>
      <c r="H1191" s="33"/>
      <c r="I1191" s="33"/>
      <c r="J1191" s="37"/>
    </row>
    <row r="1192" spans="1:10" x14ac:dyDescent="0.3">
      <c r="A1192" s="32" t="s">
        <v>23</v>
      </c>
      <c r="B1192" s="32">
        <f t="shared" si="287"/>
        <v>2035</v>
      </c>
      <c r="C1192" s="33" t="s">
        <v>37</v>
      </c>
      <c r="D1192" s="34" t="s">
        <v>2002</v>
      </c>
      <c r="E1192" s="35" t="str">
        <f t="shared" si="285"/>
        <v>PSND'!</v>
      </c>
      <c r="F1192" s="34" t="str">
        <f t="shared" si="286"/>
        <v>C:\Users\jaime.benazar\Quorum Business Solutions\Ecopetrol Prometeo - Documents\Planning Space Implementation\3. Analysis &amp; Design\Design\FC22\DRR Jaime\Neiva CPI\[DINA TERCIARIOS_CF_SEC_New_27-Mar-2024.xlsx]D-PSND'!</v>
      </c>
      <c r="G1192" s="32" t="s">
        <v>119</v>
      </c>
      <c r="H1192" s="33"/>
      <c r="I1192" s="33"/>
      <c r="J1192" s="37"/>
    </row>
    <row r="1193" spans="1:10" x14ac:dyDescent="0.3">
      <c r="A1193" s="32" t="s">
        <v>23</v>
      </c>
      <c r="B1193" s="32">
        <f t="shared" si="287"/>
        <v>2036</v>
      </c>
      <c r="C1193" s="33" t="s">
        <v>37</v>
      </c>
      <c r="D1193" s="34" t="s">
        <v>2002</v>
      </c>
      <c r="E1193" s="35" t="str">
        <f t="shared" si="285"/>
        <v>PSND'!</v>
      </c>
      <c r="F1193" s="34" t="str">
        <f t="shared" si="286"/>
        <v>C:\Users\jaime.benazar\Quorum Business Solutions\Ecopetrol Prometeo - Documents\Planning Space Implementation\3. Analysis &amp; Design\Design\FC22\DRR Jaime\Neiva CPI\[DINA TERCIARIOS_CF_SEC_New_27-Mar-2024.xlsx]D-PSND'!</v>
      </c>
      <c r="G1193" s="32" t="s">
        <v>119</v>
      </c>
      <c r="H1193" s="33"/>
      <c r="I1193" s="33"/>
      <c r="J1193" s="37"/>
    </row>
    <row r="1194" spans="1:10" x14ac:dyDescent="0.3">
      <c r="A1194" s="32" t="s">
        <v>23</v>
      </c>
      <c r="B1194" s="32">
        <f>+B1193+1</f>
        <v>2037</v>
      </c>
      <c r="C1194" s="33" t="s">
        <v>37</v>
      </c>
      <c r="D1194" s="34" t="s">
        <v>2002</v>
      </c>
      <c r="E1194" s="35" t="str">
        <f t="shared" si="285"/>
        <v>PSND'!</v>
      </c>
      <c r="F1194" s="34" t="str">
        <f t="shared" si="286"/>
        <v>C:\Users\jaime.benazar\Quorum Business Solutions\Ecopetrol Prometeo - Documents\Planning Space Implementation\3. Analysis &amp; Design\Design\FC22\DRR Jaime\Neiva CPI\[DINA TERCIARIOS_CF_SEC_New_27-Mar-2024.xlsx]D-PSND'!</v>
      </c>
      <c r="G1194" s="32" t="s">
        <v>119</v>
      </c>
      <c r="H1194" s="33"/>
      <c r="I1194" s="33"/>
      <c r="J1194" s="37"/>
    </row>
    <row r="1195" spans="1:10" x14ac:dyDescent="0.3">
      <c r="A1195" s="32" t="s">
        <v>23</v>
      </c>
      <c r="B1195" s="32">
        <f t="shared" ref="B1195:B1197" si="288">+B1194+1</f>
        <v>2038</v>
      </c>
      <c r="C1195" s="33" t="s">
        <v>37</v>
      </c>
      <c r="D1195" s="34" t="s">
        <v>2002</v>
      </c>
      <c r="E1195" s="35" t="str">
        <f t="shared" si="285"/>
        <v>PSND'!</v>
      </c>
      <c r="F1195" s="34" t="str">
        <f t="shared" si="286"/>
        <v>C:\Users\jaime.benazar\Quorum Business Solutions\Ecopetrol Prometeo - Documents\Planning Space Implementation\3. Analysis &amp; Design\Design\FC22\DRR Jaime\Neiva CPI\[DINA TERCIARIOS_CF_SEC_New_27-Mar-2024.xlsx]D-PSND'!</v>
      </c>
      <c r="G1195" s="32" t="s">
        <v>119</v>
      </c>
      <c r="H1195" s="33"/>
      <c r="I1195" s="33"/>
      <c r="J1195" s="37"/>
    </row>
    <row r="1196" spans="1:10" x14ac:dyDescent="0.3">
      <c r="A1196" s="32" t="s">
        <v>23</v>
      </c>
      <c r="B1196" s="32">
        <f t="shared" si="288"/>
        <v>2039</v>
      </c>
      <c r="C1196" s="33" t="s">
        <v>37</v>
      </c>
      <c r="D1196" s="34" t="s">
        <v>2002</v>
      </c>
      <c r="E1196" s="35" t="str">
        <f t="shared" si="285"/>
        <v>PSND'!</v>
      </c>
      <c r="F1196" s="34" t="str">
        <f t="shared" si="286"/>
        <v>C:\Users\jaime.benazar\Quorum Business Solutions\Ecopetrol Prometeo - Documents\Planning Space Implementation\3. Analysis &amp; Design\Design\FC22\DRR Jaime\Neiva CPI\[DINA TERCIARIOS_CF_SEC_New_27-Mar-2024.xlsx]D-PSND'!</v>
      </c>
      <c r="G1196" s="32" t="s">
        <v>119</v>
      </c>
      <c r="H1196" s="33"/>
      <c r="I1196" s="33"/>
      <c r="J1196" s="37"/>
    </row>
    <row r="1197" spans="1:10" x14ac:dyDescent="0.3">
      <c r="A1197" s="32" t="s">
        <v>23</v>
      </c>
      <c r="B1197" s="32">
        <f t="shared" si="288"/>
        <v>2040</v>
      </c>
      <c r="C1197" s="33" t="s">
        <v>37</v>
      </c>
      <c r="D1197" s="34" t="s">
        <v>2002</v>
      </c>
      <c r="E1197" s="35" t="str">
        <f t="shared" si="285"/>
        <v>PSND'!</v>
      </c>
      <c r="F1197" s="34" t="str">
        <f t="shared" si="286"/>
        <v>C:\Users\jaime.benazar\Quorum Business Solutions\Ecopetrol Prometeo - Documents\Planning Space Implementation\3. Analysis &amp; Design\Design\FC22\DRR Jaime\Neiva CPI\[DINA TERCIARIOS_CF_SEC_New_27-Mar-2024.xlsx]D-PSND'!</v>
      </c>
      <c r="G1197" s="32" t="s">
        <v>119</v>
      </c>
      <c r="H1197" s="33"/>
      <c r="I1197" s="33"/>
      <c r="J1197" s="37"/>
    </row>
    <row r="1198" spans="1:10" x14ac:dyDescent="0.3">
      <c r="A1198" s="32" t="s">
        <v>23</v>
      </c>
      <c r="B1198" s="32">
        <f>+B1197+1</f>
        <v>2041</v>
      </c>
      <c r="C1198" s="33" t="s">
        <v>37</v>
      </c>
      <c r="D1198" s="34" t="s">
        <v>2002</v>
      </c>
      <c r="E1198" s="35" t="str">
        <f t="shared" si="285"/>
        <v>PSND'!</v>
      </c>
      <c r="F1198" s="34" t="str">
        <f t="shared" si="286"/>
        <v>C:\Users\jaime.benazar\Quorum Business Solutions\Ecopetrol Prometeo - Documents\Planning Space Implementation\3. Analysis &amp; Design\Design\FC22\DRR Jaime\Neiva CPI\[DINA TERCIARIOS_CF_SEC_New_27-Mar-2024.xlsx]D-PSND'!</v>
      </c>
      <c r="G1198" s="32" t="s">
        <v>119</v>
      </c>
      <c r="H1198" s="33"/>
      <c r="I1198" s="33"/>
      <c r="J1198" s="37"/>
    </row>
    <row r="1199" spans="1:10" x14ac:dyDescent="0.3">
      <c r="A1199" s="32" t="s">
        <v>23</v>
      </c>
      <c r="B1199" s="32">
        <f t="shared" ref="B1199:B1200" si="289">+B1198+1</f>
        <v>2042</v>
      </c>
      <c r="C1199" s="33" t="s">
        <v>37</v>
      </c>
      <c r="D1199" s="34" t="s">
        <v>2002</v>
      </c>
      <c r="E1199" s="35" t="str">
        <f t="shared" si="285"/>
        <v>PSND'!</v>
      </c>
      <c r="F1199" s="34" t="str">
        <f t="shared" si="286"/>
        <v>C:\Users\jaime.benazar\Quorum Business Solutions\Ecopetrol Prometeo - Documents\Planning Space Implementation\3. Analysis &amp; Design\Design\FC22\DRR Jaime\Neiva CPI\[DINA TERCIARIOS_CF_SEC_New_27-Mar-2024.xlsx]D-PSND'!</v>
      </c>
      <c r="G1199" s="32" t="s">
        <v>119</v>
      </c>
      <c r="H1199" s="33"/>
      <c r="I1199" s="33"/>
      <c r="J1199" s="37"/>
    </row>
    <row r="1200" spans="1:10" x14ac:dyDescent="0.3">
      <c r="A1200" s="32" t="s">
        <v>23</v>
      </c>
      <c r="B1200" s="32">
        <f t="shared" si="289"/>
        <v>2043</v>
      </c>
      <c r="C1200" s="33" t="s">
        <v>37</v>
      </c>
      <c r="D1200" s="34" t="s">
        <v>2002</v>
      </c>
      <c r="E1200" s="35" t="str">
        <f t="shared" si="285"/>
        <v>PSND'!</v>
      </c>
      <c r="F1200" s="34" t="str">
        <f t="shared" si="286"/>
        <v>C:\Users\jaime.benazar\Quorum Business Solutions\Ecopetrol Prometeo - Documents\Planning Space Implementation\3. Analysis &amp; Design\Design\FC22\DRR Jaime\Neiva CPI\[DINA TERCIARIOS_CF_SEC_New_27-Mar-2024.xlsx]D-PSND'!</v>
      </c>
      <c r="G1200" s="32" t="s">
        <v>119</v>
      </c>
      <c r="H1200" s="33"/>
      <c r="I1200" s="33"/>
      <c r="J1200" s="37"/>
    </row>
    <row r="1201" spans="1:10" x14ac:dyDescent="0.3">
      <c r="A1201" s="32" t="s">
        <v>23</v>
      </c>
      <c r="B1201" s="32">
        <f>+B1200+1</f>
        <v>2044</v>
      </c>
      <c r="C1201" s="33" t="s">
        <v>37</v>
      </c>
      <c r="D1201" s="34" t="s">
        <v>2002</v>
      </c>
      <c r="E1201" s="35" t="str">
        <f t="shared" ref="E1201:E1216" si="290">_xlfn.CONCAT(A1201,"'!")</f>
        <v>PSND'!</v>
      </c>
      <c r="F1201" s="34" t="str">
        <f t="shared" ref="F1201:F1216" si="291">_xlfn.CONCAT(D1201:E1201)</f>
        <v>C:\Users\jaime.benazar\Quorum Business Solutions\Ecopetrol Prometeo - Documents\Planning Space Implementation\3. Analysis &amp; Design\Design\FC22\DRR Jaime\Neiva CPI\[DINA TERCIARIOS_CF_SEC_New_27-Mar-2024.xlsx]D-PSND'!</v>
      </c>
      <c r="G1201" s="32" t="s">
        <v>119</v>
      </c>
      <c r="H1201" s="33"/>
      <c r="I1201" s="33"/>
      <c r="J1201" s="37"/>
    </row>
    <row r="1202" spans="1:10" x14ac:dyDescent="0.3">
      <c r="A1202" s="32" t="s">
        <v>23</v>
      </c>
      <c r="B1202" s="32">
        <f t="shared" ref="B1202:B1216" si="292">+B1201+1</f>
        <v>2045</v>
      </c>
      <c r="C1202" s="33" t="s">
        <v>37</v>
      </c>
      <c r="D1202" s="34" t="s">
        <v>2002</v>
      </c>
      <c r="E1202" s="35" t="str">
        <f t="shared" si="290"/>
        <v>PSND'!</v>
      </c>
      <c r="F1202" s="34" t="str">
        <f t="shared" si="291"/>
        <v>C:\Users\jaime.benazar\Quorum Business Solutions\Ecopetrol Prometeo - Documents\Planning Space Implementation\3. Analysis &amp; Design\Design\FC22\DRR Jaime\Neiva CPI\[DINA TERCIARIOS_CF_SEC_New_27-Mar-2024.xlsx]D-PSND'!</v>
      </c>
      <c r="G1202" s="32" t="s">
        <v>119</v>
      </c>
      <c r="H1202" s="33"/>
      <c r="I1202" s="33"/>
      <c r="J1202" s="37"/>
    </row>
    <row r="1203" spans="1:10" x14ac:dyDescent="0.3">
      <c r="A1203" s="32" t="s">
        <v>23</v>
      </c>
      <c r="B1203" s="32">
        <f t="shared" si="292"/>
        <v>2046</v>
      </c>
      <c r="C1203" s="33" t="s">
        <v>37</v>
      </c>
      <c r="D1203" s="34" t="s">
        <v>2002</v>
      </c>
      <c r="E1203" s="35" t="str">
        <f t="shared" si="290"/>
        <v>PSND'!</v>
      </c>
      <c r="F1203" s="34" t="str">
        <f t="shared" si="291"/>
        <v>C:\Users\jaime.benazar\Quorum Business Solutions\Ecopetrol Prometeo - Documents\Planning Space Implementation\3. Analysis &amp; Design\Design\FC22\DRR Jaime\Neiva CPI\[DINA TERCIARIOS_CF_SEC_New_27-Mar-2024.xlsx]D-PSND'!</v>
      </c>
      <c r="G1203" s="32" t="s">
        <v>119</v>
      </c>
      <c r="H1203" s="33"/>
      <c r="I1203" s="33"/>
      <c r="J1203" s="37"/>
    </row>
    <row r="1204" spans="1:10" x14ac:dyDescent="0.3">
      <c r="A1204" s="32" t="s">
        <v>23</v>
      </c>
      <c r="B1204" s="32">
        <f t="shared" si="292"/>
        <v>2047</v>
      </c>
      <c r="C1204" s="33" t="s">
        <v>37</v>
      </c>
      <c r="D1204" s="34" t="s">
        <v>2002</v>
      </c>
      <c r="E1204" s="35" t="str">
        <f t="shared" si="290"/>
        <v>PSND'!</v>
      </c>
      <c r="F1204" s="34" t="str">
        <f t="shared" si="291"/>
        <v>C:\Users\jaime.benazar\Quorum Business Solutions\Ecopetrol Prometeo - Documents\Planning Space Implementation\3. Analysis &amp; Design\Design\FC22\DRR Jaime\Neiva CPI\[DINA TERCIARIOS_CF_SEC_New_27-Mar-2024.xlsx]D-PSND'!</v>
      </c>
      <c r="G1204" s="32" t="s">
        <v>119</v>
      </c>
      <c r="H1204" s="33"/>
      <c r="I1204" s="33"/>
      <c r="J1204" s="37"/>
    </row>
    <row r="1205" spans="1:10" x14ac:dyDescent="0.3">
      <c r="A1205" s="32" t="s">
        <v>23</v>
      </c>
      <c r="B1205" s="32">
        <f t="shared" si="292"/>
        <v>2048</v>
      </c>
      <c r="C1205" s="33" t="s">
        <v>37</v>
      </c>
      <c r="D1205" s="34" t="s">
        <v>2002</v>
      </c>
      <c r="E1205" s="35" t="str">
        <f t="shared" si="290"/>
        <v>PSND'!</v>
      </c>
      <c r="F1205" s="34" t="str">
        <f t="shared" si="291"/>
        <v>C:\Users\jaime.benazar\Quorum Business Solutions\Ecopetrol Prometeo - Documents\Planning Space Implementation\3. Analysis &amp; Design\Design\FC22\DRR Jaime\Neiva CPI\[DINA TERCIARIOS_CF_SEC_New_27-Mar-2024.xlsx]D-PSND'!</v>
      </c>
      <c r="G1205" s="32" t="s">
        <v>119</v>
      </c>
      <c r="H1205" s="33"/>
      <c r="I1205" s="33"/>
      <c r="J1205" s="37"/>
    </row>
    <row r="1206" spans="1:10" x14ac:dyDescent="0.3">
      <c r="A1206" s="32" t="s">
        <v>23</v>
      </c>
      <c r="B1206" s="32">
        <f t="shared" si="292"/>
        <v>2049</v>
      </c>
      <c r="C1206" s="33" t="s">
        <v>37</v>
      </c>
      <c r="D1206" s="34" t="s">
        <v>2002</v>
      </c>
      <c r="E1206" s="35" t="str">
        <f t="shared" si="290"/>
        <v>PSND'!</v>
      </c>
      <c r="F1206" s="34" t="str">
        <f t="shared" si="291"/>
        <v>C:\Users\jaime.benazar\Quorum Business Solutions\Ecopetrol Prometeo - Documents\Planning Space Implementation\3. Analysis &amp; Design\Design\FC22\DRR Jaime\Neiva CPI\[DINA TERCIARIOS_CF_SEC_New_27-Mar-2024.xlsx]D-PSND'!</v>
      </c>
      <c r="G1206" s="32" t="s">
        <v>119</v>
      </c>
      <c r="H1206" s="33"/>
      <c r="I1206" s="33"/>
      <c r="J1206" s="37"/>
    </row>
    <row r="1207" spans="1:10" x14ac:dyDescent="0.3">
      <c r="A1207" s="32" t="s">
        <v>23</v>
      </c>
      <c r="B1207" s="32">
        <f t="shared" si="292"/>
        <v>2050</v>
      </c>
      <c r="C1207" s="33" t="s">
        <v>37</v>
      </c>
      <c r="D1207" s="34" t="s">
        <v>2002</v>
      </c>
      <c r="E1207" s="35" t="str">
        <f t="shared" si="290"/>
        <v>PSND'!</v>
      </c>
      <c r="F1207" s="34" t="str">
        <f t="shared" si="291"/>
        <v>C:\Users\jaime.benazar\Quorum Business Solutions\Ecopetrol Prometeo - Documents\Planning Space Implementation\3. Analysis &amp; Design\Design\FC22\DRR Jaime\Neiva CPI\[DINA TERCIARIOS_CF_SEC_New_27-Mar-2024.xlsx]D-PSND'!</v>
      </c>
      <c r="G1207" s="32" t="s">
        <v>119</v>
      </c>
      <c r="H1207" s="33"/>
      <c r="I1207" s="33"/>
      <c r="J1207" s="37"/>
    </row>
    <row r="1208" spans="1:10" x14ac:dyDescent="0.3">
      <c r="A1208" s="32" t="s">
        <v>23</v>
      </c>
      <c r="B1208" s="32">
        <f t="shared" si="292"/>
        <v>2051</v>
      </c>
      <c r="C1208" s="33" t="s">
        <v>37</v>
      </c>
      <c r="D1208" s="34" t="s">
        <v>2002</v>
      </c>
      <c r="E1208" s="35" t="str">
        <f t="shared" si="290"/>
        <v>PSND'!</v>
      </c>
      <c r="F1208" s="34" t="str">
        <f t="shared" si="291"/>
        <v>C:\Users\jaime.benazar\Quorum Business Solutions\Ecopetrol Prometeo - Documents\Planning Space Implementation\3. Analysis &amp; Design\Design\FC22\DRR Jaime\Neiva CPI\[DINA TERCIARIOS_CF_SEC_New_27-Mar-2024.xlsx]D-PSND'!</v>
      </c>
      <c r="G1208" s="32" t="s">
        <v>119</v>
      </c>
      <c r="H1208" s="33"/>
      <c r="I1208" s="33"/>
      <c r="J1208" s="37"/>
    </row>
    <row r="1209" spans="1:10" x14ac:dyDescent="0.3">
      <c r="A1209" s="32" t="s">
        <v>23</v>
      </c>
      <c r="B1209" s="32">
        <f t="shared" si="292"/>
        <v>2052</v>
      </c>
      <c r="C1209" s="33" t="s">
        <v>37</v>
      </c>
      <c r="D1209" s="34" t="s">
        <v>2002</v>
      </c>
      <c r="E1209" s="35" t="str">
        <f t="shared" si="290"/>
        <v>PSND'!</v>
      </c>
      <c r="F1209" s="34" t="str">
        <f t="shared" si="291"/>
        <v>C:\Users\jaime.benazar\Quorum Business Solutions\Ecopetrol Prometeo - Documents\Planning Space Implementation\3. Analysis &amp; Design\Design\FC22\DRR Jaime\Neiva CPI\[DINA TERCIARIOS_CF_SEC_New_27-Mar-2024.xlsx]D-PSND'!</v>
      </c>
      <c r="G1209" s="32" t="s">
        <v>119</v>
      </c>
      <c r="H1209" s="33"/>
      <c r="I1209" s="33"/>
      <c r="J1209" s="37"/>
    </row>
    <row r="1210" spans="1:10" x14ac:dyDescent="0.3">
      <c r="A1210" s="32" t="s">
        <v>23</v>
      </c>
      <c r="B1210" s="32">
        <f t="shared" si="292"/>
        <v>2053</v>
      </c>
      <c r="C1210" s="33" t="s">
        <v>37</v>
      </c>
      <c r="D1210" s="34" t="s">
        <v>2002</v>
      </c>
      <c r="E1210" s="35" t="str">
        <f t="shared" si="290"/>
        <v>PSND'!</v>
      </c>
      <c r="F1210" s="34" t="str">
        <f t="shared" si="291"/>
        <v>C:\Users\jaime.benazar\Quorum Business Solutions\Ecopetrol Prometeo - Documents\Planning Space Implementation\3. Analysis &amp; Design\Design\FC22\DRR Jaime\Neiva CPI\[DINA TERCIARIOS_CF_SEC_New_27-Mar-2024.xlsx]D-PSND'!</v>
      </c>
      <c r="G1210" s="32" t="s">
        <v>119</v>
      </c>
      <c r="H1210" s="33"/>
      <c r="I1210" s="33"/>
      <c r="J1210" s="37"/>
    </row>
    <row r="1211" spans="1:10" x14ac:dyDescent="0.3">
      <c r="A1211" s="32" t="s">
        <v>23</v>
      </c>
      <c r="B1211" s="32">
        <f t="shared" si="292"/>
        <v>2054</v>
      </c>
      <c r="C1211" s="33" t="s">
        <v>37</v>
      </c>
      <c r="D1211" s="34" t="s">
        <v>2002</v>
      </c>
      <c r="E1211" s="35" t="str">
        <f t="shared" si="290"/>
        <v>PSND'!</v>
      </c>
      <c r="F1211" s="34" t="str">
        <f t="shared" si="291"/>
        <v>C:\Users\jaime.benazar\Quorum Business Solutions\Ecopetrol Prometeo - Documents\Planning Space Implementation\3. Analysis &amp; Design\Design\FC22\DRR Jaime\Neiva CPI\[DINA TERCIARIOS_CF_SEC_New_27-Mar-2024.xlsx]D-PSND'!</v>
      </c>
      <c r="G1211" s="32" t="s">
        <v>119</v>
      </c>
      <c r="H1211" s="33"/>
      <c r="I1211" s="33"/>
      <c r="J1211" s="37"/>
    </row>
    <row r="1212" spans="1:10" x14ac:dyDescent="0.3">
      <c r="A1212" s="32" t="s">
        <v>23</v>
      </c>
      <c r="B1212" s="32">
        <f t="shared" si="292"/>
        <v>2055</v>
      </c>
      <c r="C1212" s="33" t="s">
        <v>37</v>
      </c>
      <c r="D1212" s="34" t="s">
        <v>2002</v>
      </c>
      <c r="E1212" s="35" t="str">
        <f t="shared" si="290"/>
        <v>PSND'!</v>
      </c>
      <c r="F1212" s="34" t="str">
        <f t="shared" si="291"/>
        <v>C:\Users\jaime.benazar\Quorum Business Solutions\Ecopetrol Prometeo - Documents\Planning Space Implementation\3. Analysis &amp; Design\Design\FC22\DRR Jaime\Neiva CPI\[DINA TERCIARIOS_CF_SEC_New_27-Mar-2024.xlsx]D-PSND'!</v>
      </c>
      <c r="G1212" s="32" t="s">
        <v>119</v>
      </c>
      <c r="H1212" s="33"/>
      <c r="I1212" s="33"/>
      <c r="J1212" s="37"/>
    </row>
    <row r="1213" spans="1:10" x14ac:dyDescent="0.3">
      <c r="A1213" s="32" t="s">
        <v>23</v>
      </c>
      <c r="B1213" s="32">
        <f t="shared" si="292"/>
        <v>2056</v>
      </c>
      <c r="C1213" s="33" t="s">
        <v>37</v>
      </c>
      <c r="D1213" s="34" t="s">
        <v>2002</v>
      </c>
      <c r="E1213" s="35" t="str">
        <f t="shared" si="290"/>
        <v>PSND'!</v>
      </c>
      <c r="F1213" s="34" t="str">
        <f t="shared" si="291"/>
        <v>C:\Users\jaime.benazar\Quorum Business Solutions\Ecopetrol Prometeo - Documents\Planning Space Implementation\3. Analysis &amp; Design\Design\FC22\DRR Jaime\Neiva CPI\[DINA TERCIARIOS_CF_SEC_New_27-Mar-2024.xlsx]D-PSND'!</v>
      </c>
      <c r="G1213" s="32" t="s">
        <v>119</v>
      </c>
      <c r="H1213" s="33"/>
      <c r="I1213" s="33"/>
      <c r="J1213" s="37"/>
    </row>
    <row r="1214" spans="1:10" x14ac:dyDescent="0.3">
      <c r="A1214" s="32" t="s">
        <v>23</v>
      </c>
      <c r="B1214" s="32">
        <f t="shared" si="292"/>
        <v>2057</v>
      </c>
      <c r="C1214" s="33" t="s">
        <v>37</v>
      </c>
      <c r="D1214" s="34" t="s">
        <v>2002</v>
      </c>
      <c r="E1214" s="35" t="str">
        <f t="shared" si="290"/>
        <v>PSND'!</v>
      </c>
      <c r="F1214" s="34" t="str">
        <f t="shared" si="291"/>
        <v>C:\Users\jaime.benazar\Quorum Business Solutions\Ecopetrol Prometeo - Documents\Planning Space Implementation\3. Analysis &amp; Design\Design\FC22\DRR Jaime\Neiva CPI\[DINA TERCIARIOS_CF_SEC_New_27-Mar-2024.xlsx]D-PSND'!</v>
      </c>
      <c r="G1214" s="32" t="s">
        <v>119</v>
      </c>
      <c r="H1214" s="33"/>
      <c r="I1214" s="33"/>
      <c r="J1214" s="37"/>
    </row>
    <row r="1215" spans="1:10" x14ac:dyDescent="0.3">
      <c r="A1215" s="32" t="s">
        <v>23</v>
      </c>
      <c r="B1215" s="32">
        <f t="shared" si="292"/>
        <v>2058</v>
      </c>
      <c r="C1215" s="33" t="s">
        <v>37</v>
      </c>
      <c r="D1215" s="34" t="s">
        <v>2002</v>
      </c>
      <c r="E1215" s="35" t="str">
        <f t="shared" si="290"/>
        <v>PSND'!</v>
      </c>
      <c r="F1215" s="34" t="str">
        <f t="shared" si="291"/>
        <v>C:\Users\jaime.benazar\Quorum Business Solutions\Ecopetrol Prometeo - Documents\Planning Space Implementation\3. Analysis &amp; Design\Design\FC22\DRR Jaime\Neiva CPI\[DINA TERCIARIOS_CF_SEC_New_27-Mar-2024.xlsx]D-PSND'!</v>
      </c>
      <c r="G1215" s="32" t="s">
        <v>119</v>
      </c>
      <c r="H1215" s="33"/>
      <c r="I1215" s="33"/>
      <c r="J1215" s="37"/>
    </row>
    <row r="1216" spans="1:10" x14ac:dyDescent="0.3">
      <c r="A1216" s="32" t="s">
        <v>23</v>
      </c>
      <c r="B1216" s="32">
        <f t="shared" si="292"/>
        <v>2059</v>
      </c>
      <c r="C1216" s="33" t="s">
        <v>37</v>
      </c>
      <c r="D1216" s="34" t="s">
        <v>2002</v>
      </c>
      <c r="E1216" s="35" t="str">
        <f t="shared" si="290"/>
        <v>PSND'!</v>
      </c>
      <c r="F1216" s="34" t="str">
        <f t="shared" si="291"/>
        <v>C:\Users\jaime.benazar\Quorum Business Solutions\Ecopetrol Prometeo - Documents\Planning Space Implementation\3. Analysis &amp; Design\Design\FC22\DRR Jaime\Neiva CPI\[DINA TERCIARIOS_CF_SEC_New_27-Mar-2024.xlsx]D-PSND'!</v>
      </c>
      <c r="G1216" s="32" t="s">
        <v>119</v>
      </c>
      <c r="H1216" s="33"/>
      <c r="I1216" s="33"/>
      <c r="J1216" s="37"/>
    </row>
    <row r="1217" spans="1:10" x14ac:dyDescent="0.3">
      <c r="A1217" s="32" t="s">
        <v>26</v>
      </c>
      <c r="B1217" s="32"/>
      <c r="C1217" s="33" t="s">
        <v>37</v>
      </c>
      <c r="D1217" s="34"/>
      <c r="E1217" s="35"/>
      <c r="F1217" s="34"/>
      <c r="G1217" s="32"/>
      <c r="H1217" s="33"/>
      <c r="I1217" s="33"/>
      <c r="J1217" s="33"/>
    </row>
    <row r="1218" spans="1:10" x14ac:dyDescent="0.3">
      <c r="A1218" s="32" t="s">
        <v>24</v>
      </c>
      <c r="B1218" s="32">
        <v>2023</v>
      </c>
      <c r="C1218" s="33" t="s">
        <v>37</v>
      </c>
      <c r="D1218" s="34" t="s">
        <v>2002</v>
      </c>
      <c r="E1218" s="35" t="str">
        <f t="shared" si="228"/>
        <v>PS'!</v>
      </c>
      <c r="F1218" s="34" t="str">
        <f t="shared" si="229"/>
        <v>C:\Users\jaime.benazar\Quorum Business Solutions\Ecopetrol Prometeo - Documents\Planning Space Implementation\3. Analysis &amp; Design\Design\FC22\DRR Jaime\Neiva CPI\[DINA TERCIARIOS_CF_SEC_New_27-Mar-2024.xlsx]D-PS'!</v>
      </c>
      <c r="G1218" s="32" t="s">
        <v>119</v>
      </c>
      <c r="H1218" s="33">
        <v>12</v>
      </c>
      <c r="I1218" s="33" t="str">
        <f t="shared" si="230"/>
        <v>='C:\Users\jaime.benazar\Quorum Business Solutions\Ecopetrol Prometeo - Documents\Planning Space Implementation\3. Analysis &amp; Design\Design\FC22\DRR Jaime\Neiva CPI\[DINA TERCIARIOS_CF_SEC_New_27-Mar-2024.xlsx]D-PS'!$BZ$12</v>
      </c>
      <c r="J1218" s="37" t="s">
        <v>2521</v>
      </c>
    </row>
    <row r="1219" spans="1:10" x14ac:dyDescent="0.3">
      <c r="A1219" s="32" t="s">
        <v>24</v>
      </c>
      <c r="B1219" s="32">
        <f>+B1218+1</f>
        <v>2024</v>
      </c>
      <c r="C1219" s="33" t="s">
        <v>37</v>
      </c>
      <c r="D1219" s="34" t="s">
        <v>2002</v>
      </c>
      <c r="E1219" s="35" t="str">
        <f t="shared" si="228"/>
        <v>PS'!</v>
      </c>
      <c r="F1219" s="34" t="str">
        <f t="shared" si="229"/>
        <v>C:\Users\jaime.benazar\Quorum Business Solutions\Ecopetrol Prometeo - Documents\Planning Space Implementation\3. Analysis &amp; Design\Design\FC22\DRR Jaime\Neiva CPI\[DINA TERCIARIOS_CF_SEC_New_27-Mar-2024.xlsx]D-PS'!</v>
      </c>
      <c r="G1219" s="32" t="s">
        <v>119</v>
      </c>
      <c r="H1219" s="33">
        <f t="shared" ref="H1219:H1238" si="293">IF(A1219&lt;&gt;A1218,12,H1218+1)</f>
        <v>13</v>
      </c>
      <c r="I1219" s="33" t="str">
        <f t="shared" si="230"/>
        <v>='C:\Users\jaime.benazar\Quorum Business Solutions\Ecopetrol Prometeo - Documents\Planning Space Implementation\3. Analysis &amp; Design\Design\FC22\DRR Jaime\Neiva CPI\[DINA TERCIARIOS_CF_SEC_New_27-Mar-2024.xlsx]D-PS'!$BZ$13</v>
      </c>
      <c r="J1219" s="37" t="s">
        <v>2522</v>
      </c>
    </row>
    <row r="1220" spans="1:10" x14ac:dyDescent="0.3">
      <c r="A1220" s="32" t="s">
        <v>24</v>
      </c>
      <c r="B1220" s="32">
        <f t="shared" ref="B1220:B1231" si="294">+B1219+1</f>
        <v>2025</v>
      </c>
      <c r="C1220" s="33" t="s">
        <v>37</v>
      </c>
      <c r="D1220" s="34" t="s">
        <v>2002</v>
      </c>
      <c r="E1220" s="35" t="str">
        <f t="shared" si="228"/>
        <v>PS'!</v>
      </c>
      <c r="F1220" s="34" t="str">
        <f t="shared" si="229"/>
        <v>C:\Users\jaime.benazar\Quorum Business Solutions\Ecopetrol Prometeo - Documents\Planning Space Implementation\3. Analysis &amp; Design\Design\FC22\DRR Jaime\Neiva CPI\[DINA TERCIARIOS_CF_SEC_New_27-Mar-2024.xlsx]D-PS'!</v>
      </c>
      <c r="G1220" s="32" t="s">
        <v>119</v>
      </c>
      <c r="H1220" s="33">
        <f t="shared" si="293"/>
        <v>14</v>
      </c>
      <c r="I1220" s="33" t="str">
        <f t="shared" si="230"/>
        <v>='C:\Users\jaime.benazar\Quorum Business Solutions\Ecopetrol Prometeo - Documents\Planning Space Implementation\3. Analysis &amp; Design\Design\FC22\DRR Jaime\Neiva CPI\[DINA TERCIARIOS_CF_SEC_New_27-Mar-2024.xlsx]D-PS'!$BZ$14</v>
      </c>
      <c r="J1220" s="37" t="s">
        <v>2523</v>
      </c>
    </row>
    <row r="1221" spans="1:10" x14ac:dyDescent="0.3">
      <c r="A1221" s="32" t="s">
        <v>24</v>
      </c>
      <c r="B1221" s="32">
        <f t="shared" si="294"/>
        <v>2026</v>
      </c>
      <c r="C1221" s="33" t="s">
        <v>37</v>
      </c>
      <c r="D1221" s="34" t="s">
        <v>2002</v>
      </c>
      <c r="E1221" s="35" t="str">
        <f t="shared" si="228"/>
        <v>PS'!</v>
      </c>
      <c r="F1221" s="34" t="str">
        <f t="shared" si="229"/>
        <v>C:\Users\jaime.benazar\Quorum Business Solutions\Ecopetrol Prometeo - Documents\Planning Space Implementation\3. Analysis &amp; Design\Design\FC22\DRR Jaime\Neiva CPI\[DINA TERCIARIOS_CF_SEC_New_27-Mar-2024.xlsx]D-PS'!</v>
      </c>
      <c r="G1221" s="32" t="s">
        <v>119</v>
      </c>
      <c r="H1221" s="33">
        <f t="shared" si="293"/>
        <v>15</v>
      </c>
      <c r="I1221" s="33" t="str">
        <f t="shared" si="230"/>
        <v>='C:\Users\jaime.benazar\Quorum Business Solutions\Ecopetrol Prometeo - Documents\Planning Space Implementation\3. Analysis &amp; Design\Design\FC22\DRR Jaime\Neiva CPI\[DINA TERCIARIOS_CF_SEC_New_27-Mar-2024.xlsx]D-PS'!$BZ$15</v>
      </c>
      <c r="J1221" s="37" t="s">
        <v>2524</v>
      </c>
    </row>
    <row r="1222" spans="1:10" x14ac:dyDescent="0.3">
      <c r="A1222" s="32" t="s">
        <v>24</v>
      </c>
      <c r="B1222" s="32">
        <f t="shared" si="294"/>
        <v>2027</v>
      </c>
      <c r="C1222" s="33" t="s">
        <v>37</v>
      </c>
      <c r="D1222" s="34" t="s">
        <v>2002</v>
      </c>
      <c r="E1222" s="35" t="str">
        <f t="shared" si="228"/>
        <v>PS'!</v>
      </c>
      <c r="F1222" s="34" t="str">
        <f t="shared" si="229"/>
        <v>C:\Users\jaime.benazar\Quorum Business Solutions\Ecopetrol Prometeo - Documents\Planning Space Implementation\3. Analysis &amp; Design\Design\FC22\DRR Jaime\Neiva CPI\[DINA TERCIARIOS_CF_SEC_New_27-Mar-2024.xlsx]D-PS'!</v>
      </c>
      <c r="G1222" s="32" t="s">
        <v>119</v>
      </c>
      <c r="H1222" s="33">
        <f t="shared" si="293"/>
        <v>16</v>
      </c>
      <c r="I1222" s="33" t="str">
        <f t="shared" si="230"/>
        <v>='C:\Users\jaime.benazar\Quorum Business Solutions\Ecopetrol Prometeo - Documents\Planning Space Implementation\3. Analysis &amp; Design\Design\FC22\DRR Jaime\Neiva CPI\[DINA TERCIARIOS_CF_SEC_New_27-Mar-2024.xlsx]D-PS'!$BZ$16</v>
      </c>
      <c r="J1222" s="37" t="s">
        <v>2525</v>
      </c>
    </row>
    <row r="1223" spans="1:10" x14ac:dyDescent="0.3">
      <c r="A1223" s="32" t="s">
        <v>24</v>
      </c>
      <c r="B1223" s="32">
        <f t="shared" si="294"/>
        <v>2028</v>
      </c>
      <c r="C1223" s="33" t="s">
        <v>37</v>
      </c>
      <c r="D1223" s="34" t="s">
        <v>2002</v>
      </c>
      <c r="E1223" s="35" t="str">
        <f t="shared" si="228"/>
        <v>PS'!</v>
      </c>
      <c r="F1223" s="34" t="str">
        <f t="shared" si="229"/>
        <v>C:\Users\jaime.benazar\Quorum Business Solutions\Ecopetrol Prometeo - Documents\Planning Space Implementation\3. Analysis &amp; Design\Design\FC22\DRR Jaime\Neiva CPI\[DINA TERCIARIOS_CF_SEC_New_27-Mar-2024.xlsx]D-PS'!</v>
      </c>
      <c r="G1223" s="32" t="s">
        <v>119</v>
      </c>
      <c r="H1223" s="33">
        <f t="shared" si="293"/>
        <v>17</v>
      </c>
      <c r="I1223" s="33" t="str">
        <f t="shared" si="230"/>
        <v>='C:\Users\jaime.benazar\Quorum Business Solutions\Ecopetrol Prometeo - Documents\Planning Space Implementation\3. Analysis &amp; Design\Design\FC22\DRR Jaime\Neiva CPI\[DINA TERCIARIOS_CF_SEC_New_27-Mar-2024.xlsx]D-PS'!$BZ$17</v>
      </c>
      <c r="J1223" s="37" t="s">
        <v>2526</v>
      </c>
    </row>
    <row r="1224" spans="1:10" x14ac:dyDescent="0.3">
      <c r="A1224" s="32" t="s">
        <v>24</v>
      </c>
      <c r="B1224" s="32">
        <f t="shared" si="294"/>
        <v>2029</v>
      </c>
      <c r="C1224" s="33" t="s">
        <v>37</v>
      </c>
      <c r="D1224" s="34" t="s">
        <v>2002</v>
      </c>
      <c r="E1224" s="35" t="str">
        <f t="shared" si="228"/>
        <v>PS'!</v>
      </c>
      <c r="F1224" s="34" t="str">
        <f t="shared" si="229"/>
        <v>C:\Users\jaime.benazar\Quorum Business Solutions\Ecopetrol Prometeo - Documents\Planning Space Implementation\3. Analysis &amp; Design\Design\FC22\DRR Jaime\Neiva CPI\[DINA TERCIARIOS_CF_SEC_New_27-Mar-2024.xlsx]D-PS'!</v>
      </c>
      <c r="G1224" s="32" t="s">
        <v>119</v>
      </c>
      <c r="H1224" s="33">
        <f t="shared" si="293"/>
        <v>18</v>
      </c>
      <c r="I1224" s="33" t="str">
        <f t="shared" si="230"/>
        <v>='C:\Users\jaime.benazar\Quorum Business Solutions\Ecopetrol Prometeo - Documents\Planning Space Implementation\3. Analysis &amp; Design\Design\FC22\DRR Jaime\Neiva CPI\[DINA TERCIARIOS_CF_SEC_New_27-Mar-2024.xlsx]D-PS'!$BZ$18</v>
      </c>
      <c r="J1224" s="37" t="s">
        <v>2527</v>
      </c>
    </row>
    <row r="1225" spans="1:10" x14ac:dyDescent="0.3">
      <c r="A1225" s="32" t="s">
        <v>24</v>
      </c>
      <c r="B1225" s="32">
        <f t="shared" si="294"/>
        <v>2030</v>
      </c>
      <c r="C1225" s="33" t="s">
        <v>37</v>
      </c>
      <c r="D1225" s="34" t="s">
        <v>2002</v>
      </c>
      <c r="E1225" s="35" t="str">
        <f t="shared" si="228"/>
        <v>PS'!</v>
      </c>
      <c r="F1225" s="34" t="str">
        <f t="shared" si="229"/>
        <v>C:\Users\jaime.benazar\Quorum Business Solutions\Ecopetrol Prometeo - Documents\Planning Space Implementation\3. Analysis &amp; Design\Design\FC22\DRR Jaime\Neiva CPI\[DINA TERCIARIOS_CF_SEC_New_27-Mar-2024.xlsx]D-PS'!</v>
      </c>
      <c r="G1225" s="32" t="s">
        <v>119</v>
      </c>
      <c r="H1225" s="33">
        <f t="shared" si="293"/>
        <v>19</v>
      </c>
      <c r="I1225" s="33" t="str">
        <f t="shared" si="230"/>
        <v>='C:\Users\jaime.benazar\Quorum Business Solutions\Ecopetrol Prometeo - Documents\Planning Space Implementation\3. Analysis &amp; Design\Design\FC22\DRR Jaime\Neiva CPI\[DINA TERCIARIOS_CF_SEC_New_27-Mar-2024.xlsx]D-PS'!$BZ$19</v>
      </c>
      <c r="J1225" s="37" t="s">
        <v>2528</v>
      </c>
    </row>
    <row r="1226" spans="1:10" x14ac:dyDescent="0.3">
      <c r="A1226" s="32" t="s">
        <v>24</v>
      </c>
      <c r="B1226" s="32">
        <f t="shared" si="294"/>
        <v>2031</v>
      </c>
      <c r="C1226" s="33" t="s">
        <v>37</v>
      </c>
      <c r="D1226" s="34" t="s">
        <v>2002</v>
      </c>
      <c r="E1226" s="35" t="str">
        <f t="shared" si="228"/>
        <v>PS'!</v>
      </c>
      <c r="F1226" s="34" t="str">
        <f t="shared" si="229"/>
        <v>C:\Users\jaime.benazar\Quorum Business Solutions\Ecopetrol Prometeo - Documents\Planning Space Implementation\3. Analysis &amp; Design\Design\FC22\DRR Jaime\Neiva CPI\[DINA TERCIARIOS_CF_SEC_New_27-Mar-2024.xlsx]D-PS'!</v>
      </c>
      <c r="G1226" s="32" t="s">
        <v>119</v>
      </c>
      <c r="H1226" s="33">
        <f t="shared" si="293"/>
        <v>20</v>
      </c>
      <c r="I1226" s="33" t="str">
        <f t="shared" si="230"/>
        <v>='C:\Users\jaime.benazar\Quorum Business Solutions\Ecopetrol Prometeo - Documents\Planning Space Implementation\3. Analysis &amp; Design\Design\FC22\DRR Jaime\Neiva CPI\[DINA TERCIARIOS_CF_SEC_New_27-Mar-2024.xlsx]D-PS'!$BZ$20</v>
      </c>
      <c r="J1226" s="37" t="s">
        <v>2529</v>
      </c>
    </row>
    <row r="1227" spans="1:10" x14ac:dyDescent="0.3">
      <c r="A1227" s="32" t="s">
        <v>24</v>
      </c>
      <c r="B1227" s="32">
        <f t="shared" si="294"/>
        <v>2032</v>
      </c>
      <c r="C1227" s="33" t="s">
        <v>37</v>
      </c>
      <c r="D1227" s="34" t="s">
        <v>2002</v>
      </c>
      <c r="E1227" s="35" t="str">
        <f t="shared" si="228"/>
        <v>PS'!</v>
      </c>
      <c r="F1227" s="34" t="str">
        <f t="shared" si="229"/>
        <v>C:\Users\jaime.benazar\Quorum Business Solutions\Ecopetrol Prometeo - Documents\Planning Space Implementation\3. Analysis &amp; Design\Design\FC22\DRR Jaime\Neiva CPI\[DINA TERCIARIOS_CF_SEC_New_27-Mar-2024.xlsx]D-PS'!</v>
      </c>
      <c r="G1227" s="32" t="s">
        <v>119</v>
      </c>
      <c r="H1227" s="33">
        <f t="shared" si="293"/>
        <v>21</v>
      </c>
      <c r="I1227" s="33" t="str">
        <f t="shared" si="230"/>
        <v>='C:\Users\jaime.benazar\Quorum Business Solutions\Ecopetrol Prometeo - Documents\Planning Space Implementation\3. Analysis &amp; Design\Design\FC22\DRR Jaime\Neiva CPI\[DINA TERCIARIOS_CF_SEC_New_27-Mar-2024.xlsx]D-PS'!$BZ$21</v>
      </c>
      <c r="J1227" s="37" t="s">
        <v>2530</v>
      </c>
    </row>
    <row r="1228" spans="1:10" x14ac:dyDescent="0.3">
      <c r="A1228" s="32" t="s">
        <v>24</v>
      </c>
      <c r="B1228" s="32">
        <f t="shared" si="294"/>
        <v>2033</v>
      </c>
      <c r="C1228" s="33" t="s">
        <v>37</v>
      </c>
      <c r="D1228" s="34" t="s">
        <v>2002</v>
      </c>
      <c r="E1228" s="35" t="str">
        <f t="shared" si="228"/>
        <v>PS'!</v>
      </c>
      <c r="F1228" s="34" t="str">
        <f t="shared" si="229"/>
        <v>C:\Users\jaime.benazar\Quorum Business Solutions\Ecopetrol Prometeo - Documents\Planning Space Implementation\3. Analysis &amp; Design\Design\FC22\DRR Jaime\Neiva CPI\[DINA TERCIARIOS_CF_SEC_New_27-Mar-2024.xlsx]D-PS'!</v>
      </c>
      <c r="G1228" s="32" t="s">
        <v>119</v>
      </c>
      <c r="H1228" s="33">
        <f t="shared" si="293"/>
        <v>22</v>
      </c>
      <c r="I1228" s="33" t="str">
        <f t="shared" si="230"/>
        <v>='C:\Users\jaime.benazar\Quorum Business Solutions\Ecopetrol Prometeo - Documents\Planning Space Implementation\3. Analysis &amp; Design\Design\FC22\DRR Jaime\Neiva CPI\[DINA TERCIARIOS_CF_SEC_New_27-Mar-2024.xlsx]D-PS'!$BZ$22</v>
      </c>
      <c r="J1228" s="37" t="s">
        <v>2531</v>
      </c>
    </row>
    <row r="1229" spans="1:10" x14ac:dyDescent="0.3">
      <c r="A1229" s="32" t="s">
        <v>24</v>
      </c>
      <c r="B1229" s="32">
        <f t="shared" si="294"/>
        <v>2034</v>
      </c>
      <c r="C1229" s="33" t="s">
        <v>37</v>
      </c>
      <c r="D1229" s="34" t="s">
        <v>2002</v>
      </c>
      <c r="E1229" s="35" t="str">
        <f t="shared" si="228"/>
        <v>PS'!</v>
      </c>
      <c r="F1229" s="34" t="str">
        <f t="shared" si="229"/>
        <v>C:\Users\jaime.benazar\Quorum Business Solutions\Ecopetrol Prometeo - Documents\Planning Space Implementation\3. Analysis &amp; Design\Design\FC22\DRR Jaime\Neiva CPI\[DINA TERCIARIOS_CF_SEC_New_27-Mar-2024.xlsx]D-PS'!</v>
      </c>
      <c r="G1229" s="32" t="s">
        <v>119</v>
      </c>
      <c r="H1229" s="33">
        <f t="shared" si="293"/>
        <v>23</v>
      </c>
      <c r="I1229" s="33" t="str">
        <f t="shared" si="230"/>
        <v>='C:\Users\jaime.benazar\Quorum Business Solutions\Ecopetrol Prometeo - Documents\Planning Space Implementation\3. Analysis &amp; Design\Design\FC22\DRR Jaime\Neiva CPI\[DINA TERCIARIOS_CF_SEC_New_27-Mar-2024.xlsx]D-PS'!$BZ$23</v>
      </c>
      <c r="J1229" s="37" t="s">
        <v>2532</v>
      </c>
    </row>
    <row r="1230" spans="1:10" x14ac:dyDescent="0.3">
      <c r="A1230" s="32" t="s">
        <v>24</v>
      </c>
      <c r="B1230" s="32">
        <f t="shared" si="294"/>
        <v>2035</v>
      </c>
      <c r="C1230" s="33" t="s">
        <v>37</v>
      </c>
      <c r="D1230" s="34" t="s">
        <v>2002</v>
      </c>
      <c r="E1230" s="35" t="str">
        <f t="shared" si="228"/>
        <v>PS'!</v>
      </c>
      <c r="F1230" s="34" t="str">
        <f t="shared" si="229"/>
        <v>C:\Users\jaime.benazar\Quorum Business Solutions\Ecopetrol Prometeo - Documents\Planning Space Implementation\3. Analysis &amp; Design\Design\FC22\DRR Jaime\Neiva CPI\[DINA TERCIARIOS_CF_SEC_New_27-Mar-2024.xlsx]D-PS'!</v>
      </c>
      <c r="G1230" s="32" t="s">
        <v>119</v>
      </c>
      <c r="H1230" s="33">
        <f t="shared" si="293"/>
        <v>24</v>
      </c>
      <c r="I1230" s="33" t="str">
        <f t="shared" si="230"/>
        <v>='C:\Users\jaime.benazar\Quorum Business Solutions\Ecopetrol Prometeo - Documents\Planning Space Implementation\3. Analysis &amp; Design\Design\FC22\DRR Jaime\Neiva CPI\[DINA TERCIARIOS_CF_SEC_New_27-Mar-2024.xlsx]D-PS'!$BZ$24</v>
      </c>
      <c r="J1230" s="37" t="s">
        <v>2533</v>
      </c>
    </row>
    <row r="1231" spans="1:10" x14ac:dyDescent="0.3">
      <c r="A1231" s="32" t="s">
        <v>24</v>
      </c>
      <c r="B1231" s="32">
        <f t="shared" si="294"/>
        <v>2036</v>
      </c>
      <c r="C1231" s="33" t="s">
        <v>37</v>
      </c>
      <c r="D1231" s="34" t="s">
        <v>2002</v>
      </c>
      <c r="E1231" s="35" t="str">
        <f t="shared" si="228"/>
        <v>PS'!</v>
      </c>
      <c r="F1231" s="34" t="str">
        <f t="shared" si="229"/>
        <v>C:\Users\jaime.benazar\Quorum Business Solutions\Ecopetrol Prometeo - Documents\Planning Space Implementation\3. Analysis &amp; Design\Design\FC22\DRR Jaime\Neiva CPI\[DINA TERCIARIOS_CF_SEC_New_27-Mar-2024.xlsx]D-PS'!</v>
      </c>
      <c r="G1231" s="32" t="s">
        <v>119</v>
      </c>
      <c r="H1231" s="33">
        <f t="shared" si="293"/>
        <v>25</v>
      </c>
      <c r="I1231" s="33" t="str">
        <f t="shared" si="230"/>
        <v>='C:\Users\jaime.benazar\Quorum Business Solutions\Ecopetrol Prometeo - Documents\Planning Space Implementation\3. Analysis &amp; Design\Design\FC22\DRR Jaime\Neiva CPI\[DINA TERCIARIOS_CF_SEC_New_27-Mar-2024.xlsx]D-PS'!$BZ$25</v>
      </c>
      <c r="J1231" s="37" t="s">
        <v>2534</v>
      </c>
    </row>
    <row r="1232" spans="1:10" x14ac:dyDescent="0.3">
      <c r="A1232" s="32" t="s">
        <v>24</v>
      </c>
      <c r="B1232" s="32">
        <f>+B1231+1</f>
        <v>2037</v>
      </c>
      <c r="C1232" s="33" t="s">
        <v>37</v>
      </c>
      <c r="D1232" s="34" t="s">
        <v>2002</v>
      </c>
      <c r="E1232" s="35" t="str">
        <f t="shared" si="228"/>
        <v>PS'!</v>
      </c>
      <c r="F1232" s="34" t="str">
        <f t="shared" si="229"/>
        <v>C:\Users\jaime.benazar\Quorum Business Solutions\Ecopetrol Prometeo - Documents\Planning Space Implementation\3. Analysis &amp; Design\Design\FC22\DRR Jaime\Neiva CPI\[DINA TERCIARIOS_CF_SEC_New_27-Mar-2024.xlsx]D-PS'!</v>
      </c>
      <c r="G1232" s="32" t="s">
        <v>119</v>
      </c>
      <c r="H1232" s="33">
        <f t="shared" si="293"/>
        <v>26</v>
      </c>
      <c r="I1232" s="33" t="str">
        <f t="shared" si="230"/>
        <v>='C:\Users\jaime.benazar\Quorum Business Solutions\Ecopetrol Prometeo - Documents\Planning Space Implementation\3. Analysis &amp; Design\Design\FC22\DRR Jaime\Neiva CPI\[DINA TERCIARIOS_CF_SEC_New_27-Mar-2024.xlsx]D-PS'!$BZ$26</v>
      </c>
      <c r="J1232" s="37" t="s">
        <v>2535</v>
      </c>
    </row>
    <row r="1233" spans="1:10" x14ac:dyDescent="0.3">
      <c r="A1233" s="32" t="s">
        <v>24</v>
      </c>
      <c r="B1233" s="32">
        <f t="shared" ref="B1233:B1235" si="295">+B1232+1</f>
        <v>2038</v>
      </c>
      <c r="C1233" s="33" t="s">
        <v>37</v>
      </c>
      <c r="D1233" s="34" t="s">
        <v>2002</v>
      </c>
      <c r="E1233" s="35" t="str">
        <f t="shared" si="228"/>
        <v>PS'!</v>
      </c>
      <c r="F1233" s="34" t="str">
        <f t="shared" si="229"/>
        <v>C:\Users\jaime.benazar\Quorum Business Solutions\Ecopetrol Prometeo - Documents\Planning Space Implementation\3. Analysis &amp; Design\Design\FC22\DRR Jaime\Neiva CPI\[DINA TERCIARIOS_CF_SEC_New_27-Mar-2024.xlsx]D-PS'!</v>
      </c>
      <c r="G1233" s="32" t="s">
        <v>119</v>
      </c>
      <c r="H1233" s="33">
        <f t="shared" si="293"/>
        <v>27</v>
      </c>
      <c r="I1233" s="33" t="str">
        <f t="shared" si="230"/>
        <v>='C:\Users\jaime.benazar\Quorum Business Solutions\Ecopetrol Prometeo - Documents\Planning Space Implementation\3. Analysis &amp; Design\Design\FC22\DRR Jaime\Neiva CPI\[DINA TERCIARIOS_CF_SEC_New_27-Mar-2024.xlsx]D-PS'!$BZ$27</v>
      </c>
      <c r="J1233" s="37" t="s">
        <v>2536</v>
      </c>
    </row>
    <row r="1234" spans="1:10" x14ac:dyDescent="0.3">
      <c r="A1234" s="32" t="s">
        <v>24</v>
      </c>
      <c r="B1234" s="32">
        <f t="shared" si="295"/>
        <v>2039</v>
      </c>
      <c r="C1234" s="33" t="s">
        <v>37</v>
      </c>
      <c r="D1234" s="34" t="s">
        <v>2002</v>
      </c>
      <c r="E1234" s="35" t="str">
        <f t="shared" si="228"/>
        <v>PS'!</v>
      </c>
      <c r="F1234" s="34" t="str">
        <f t="shared" si="229"/>
        <v>C:\Users\jaime.benazar\Quorum Business Solutions\Ecopetrol Prometeo - Documents\Planning Space Implementation\3. Analysis &amp; Design\Design\FC22\DRR Jaime\Neiva CPI\[DINA TERCIARIOS_CF_SEC_New_27-Mar-2024.xlsx]D-PS'!</v>
      </c>
      <c r="G1234" s="32" t="s">
        <v>119</v>
      </c>
      <c r="H1234" s="33">
        <f t="shared" si="293"/>
        <v>28</v>
      </c>
      <c r="I1234" s="33" t="str">
        <f t="shared" si="230"/>
        <v>='C:\Users\jaime.benazar\Quorum Business Solutions\Ecopetrol Prometeo - Documents\Planning Space Implementation\3. Analysis &amp; Design\Design\FC22\DRR Jaime\Neiva CPI\[DINA TERCIARIOS_CF_SEC_New_27-Mar-2024.xlsx]D-PS'!$BZ$28</v>
      </c>
      <c r="J1234" s="37" t="s">
        <v>2537</v>
      </c>
    </row>
    <row r="1235" spans="1:10" x14ac:dyDescent="0.3">
      <c r="A1235" s="32" t="s">
        <v>24</v>
      </c>
      <c r="B1235" s="32">
        <f t="shared" si="295"/>
        <v>2040</v>
      </c>
      <c r="C1235" s="33" t="s">
        <v>37</v>
      </c>
      <c r="D1235" s="34" t="s">
        <v>2002</v>
      </c>
      <c r="E1235" s="35" t="str">
        <f t="shared" si="228"/>
        <v>PS'!</v>
      </c>
      <c r="F1235" s="34" t="str">
        <f t="shared" si="229"/>
        <v>C:\Users\jaime.benazar\Quorum Business Solutions\Ecopetrol Prometeo - Documents\Planning Space Implementation\3. Analysis &amp; Design\Design\FC22\DRR Jaime\Neiva CPI\[DINA TERCIARIOS_CF_SEC_New_27-Mar-2024.xlsx]D-PS'!</v>
      </c>
      <c r="G1235" s="32" t="s">
        <v>119</v>
      </c>
      <c r="H1235" s="33">
        <f t="shared" si="293"/>
        <v>29</v>
      </c>
      <c r="I1235" s="33" t="str">
        <f t="shared" si="230"/>
        <v>='C:\Users\jaime.benazar\Quorum Business Solutions\Ecopetrol Prometeo - Documents\Planning Space Implementation\3. Analysis &amp; Design\Design\FC22\DRR Jaime\Neiva CPI\[DINA TERCIARIOS_CF_SEC_New_27-Mar-2024.xlsx]D-PS'!$BZ$29</v>
      </c>
      <c r="J1235" s="37" t="s">
        <v>2538</v>
      </c>
    </row>
    <row r="1236" spans="1:10" x14ac:dyDescent="0.3">
      <c r="A1236" s="32" t="s">
        <v>24</v>
      </c>
      <c r="B1236" s="32">
        <f>+B1235+1</f>
        <v>2041</v>
      </c>
      <c r="C1236" s="33" t="s">
        <v>37</v>
      </c>
      <c r="D1236" s="34" t="s">
        <v>2002</v>
      </c>
      <c r="E1236" s="35" t="str">
        <f t="shared" si="228"/>
        <v>PS'!</v>
      </c>
      <c r="F1236" s="34" t="str">
        <f t="shared" si="229"/>
        <v>C:\Users\jaime.benazar\Quorum Business Solutions\Ecopetrol Prometeo - Documents\Planning Space Implementation\3. Analysis &amp; Design\Design\FC22\DRR Jaime\Neiva CPI\[DINA TERCIARIOS_CF_SEC_New_27-Mar-2024.xlsx]D-PS'!</v>
      </c>
      <c r="G1236" s="32" t="s">
        <v>119</v>
      </c>
      <c r="H1236" s="33">
        <f t="shared" si="293"/>
        <v>30</v>
      </c>
      <c r="I1236" s="33" t="str">
        <f t="shared" si="230"/>
        <v>='C:\Users\jaime.benazar\Quorum Business Solutions\Ecopetrol Prometeo - Documents\Planning Space Implementation\3. Analysis &amp; Design\Design\FC22\DRR Jaime\Neiva CPI\[DINA TERCIARIOS_CF_SEC_New_27-Mar-2024.xlsx]D-PS'!$BZ$30</v>
      </c>
      <c r="J1236" s="37" t="s">
        <v>2539</v>
      </c>
    </row>
    <row r="1237" spans="1:10" x14ac:dyDescent="0.3">
      <c r="A1237" s="32" t="s">
        <v>24</v>
      </c>
      <c r="B1237" s="32">
        <f t="shared" ref="B1237:B1238" si="296">+B1236+1</f>
        <v>2042</v>
      </c>
      <c r="C1237" s="33" t="s">
        <v>37</v>
      </c>
      <c r="D1237" s="34" t="s">
        <v>2002</v>
      </c>
      <c r="E1237" s="35" t="str">
        <f t="shared" si="228"/>
        <v>PS'!</v>
      </c>
      <c r="F1237" s="34" t="str">
        <f t="shared" si="229"/>
        <v>C:\Users\jaime.benazar\Quorum Business Solutions\Ecopetrol Prometeo - Documents\Planning Space Implementation\3. Analysis &amp; Design\Design\FC22\DRR Jaime\Neiva CPI\[DINA TERCIARIOS_CF_SEC_New_27-Mar-2024.xlsx]D-PS'!</v>
      </c>
      <c r="G1237" s="32" t="s">
        <v>119</v>
      </c>
      <c r="H1237" s="33">
        <f t="shared" si="293"/>
        <v>31</v>
      </c>
      <c r="I1237" s="33" t="str">
        <f t="shared" si="230"/>
        <v>='C:\Users\jaime.benazar\Quorum Business Solutions\Ecopetrol Prometeo - Documents\Planning Space Implementation\3. Analysis &amp; Design\Design\FC22\DRR Jaime\Neiva CPI\[DINA TERCIARIOS_CF_SEC_New_27-Mar-2024.xlsx]D-PS'!$BZ$31</v>
      </c>
      <c r="J1237" s="37" t="s">
        <v>2540</v>
      </c>
    </row>
    <row r="1238" spans="1:10" x14ac:dyDescent="0.3">
      <c r="A1238" s="32" t="s">
        <v>24</v>
      </c>
      <c r="B1238" s="32">
        <f t="shared" si="296"/>
        <v>2043</v>
      </c>
      <c r="C1238" s="33" t="s">
        <v>37</v>
      </c>
      <c r="D1238" s="34" t="s">
        <v>2002</v>
      </c>
      <c r="E1238" s="35" t="str">
        <f t="shared" si="228"/>
        <v>PS'!</v>
      </c>
      <c r="F1238" s="34" t="str">
        <f t="shared" si="229"/>
        <v>C:\Users\jaime.benazar\Quorum Business Solutions\Ecopetrol Prometeo - Documents\Planning Space Implementation\3. Analysis &amp; Design\Design\FC22\DRR Jaime\Neiva CPI\[DINA TERCIARIOS_CF_SEC_New_27-Mar-2024.xlsx]D-PS'!</v>
      </c>
      <c r="G1238" s="32" t="s">
        <v>119</v>
      </c>
      <c r="H1238" s="33">
        <f t="shared" si="293"/>
        <v>32</v>
      </c>
      <c r="I1238" s="33" t="str">
        <f t="shared" si="230"/>
        <v>='C:\Users\jaime.benazar\Quorum Business Solutions\Ecopetrol Prometeo - Documents\Planning Space Implementation\3. Analysis &amp; Design\Design\FC22\DRR Jaime\Neiva CPI\[DINA TERCIARIOS_CF_SEC_New_27-Mar-2024.xlsx]D-PS'!$BZ$32</v>
      </c>
      <c r="J1238" s="37" t="s">
        <v>2541</v>
      </c>
    </row>
    <row r="1239" spans="1:10" x14ac:dyDescent="0.3">
      <c r="A1239" s="32" t="s">
        <v>24</v>
      </c>
      <c r="B1239" s="32">
        <f>+B1238+1</f>
        <v>2044</v>
      </c>
      <c r="C1239" s="33" t="s">
        <v>37</v>
      </c>
      <c r="D1239" s="34" t="s">
        <v>2002</v>
      </c>
      <c r="E1239" s="35" t="str">
        <f t="shared" ref="E1239:E1254" si="297">_xlfn.CONCAT(A1239,"'!")</f>
        <v>PS'!</v>
      </c>
      <c r="F1239" s="34" t="str">
        <f t="shared" ref="F1239:F1254" si="298">_xlfn.CONCAT(D1239:E1239)</f>
        <v>C:\Users\jaime.benazar\Quorum Business Solutions\Ecopetrol Prometeo - Documents\Planning Space Implementation\3. Analysis &amp; Design\Design\FC22\DRR Jaime\Neiva CPI\[DINA TERCIARIOS_CF_SEC_New_27-Mar-2024.xlsx]D-PS'!</v>
      </c>
      <c r="G1239" s="32" t="s">
        <v>119</v>
      </c>
      <c r="H1239" s="33">
        <f t="shared" ref="H1239:H1254" si="299">IF(A1239&lt;&gt;A1238,12,H1238+1)</f>
        <v>33</v>
      </c>
      <c r="I1239" s="33" t="str">
        <f t="shared" ref="I1239:I1254" si="300">_xlfn.CONCAT("='",F1239:H1239)</f>
        <v>='C:\Users\jaime.benazar\Quorum Business Solutions\Ecopetrol Prometeo - Documents\Planning Space Implementation\3. Analysis &amp; Design\Design\FC22\DRR Jaime\Neiva CPI\[DINA TERCIARIOS_CF_SEC_New_27-Mar-2024.xlsx]D-PS'!$BZ$33</v>
      </c>
      <c r="J1239" s="37" t="s">
        <v>2542</v>
      </c>
    </row>
    <row r="1240" spans="1:10" x14ac:dyDescent="0.3">
      <c r="A1240" s="32" t="s">
        <v>24</v>
      </c>
      <c r="B1240" s="32">
        <f t="shared" ref="B1240:B1254" si="301">+B1239+1</f>
        <v>2045</v>
      </c>
      <c r="C1240" s="33" t="s">
        <v>37</v>
      </c>
      <c r="D1240" s="34" t="s">
        <v>2002</v>
      </c>
      <c r="E1240" s="35" t="str">
        <f t="shared" si="297"/>
        <v>PS'!</v>
      </c>
      <c r="F1240" s="34" t="str">
        <f t="shared" si="298"/>
        <v>C:\Users\jaime.benazar\Quorum Business Solutions\Ecopetrol Prometeo - Documents\Planning Space Implementation\3. Analysis &amp; Design\Design\FC22\DRR Jaime\Neiva CPI\[DINA TERCIARIOS_CF_SEC_New_27-Mar-2024.xlsx]D-PS'!</v>
      </c>
      <c r="G1240" s="32" t="s">
        <v>119</v>
      </c>
      <c r="H1240" s="33">
        <f t="shared" si="299"/>
        <v>34</v>
      </c>
      <c r="I1240" s="33" t="str">
        <f t="shared" si="300"/>
        <v>='C:\Users\jaime.benazar\Quorum Business Solutions\Ecopetrol Prometeo - Documents\Planning Space Implementation\3. Analysis &amp; Design\Design\FC22\DRR Jaime\Neiva CPI\[DINA TERCIARIOS_CF_SEC_New_27-Mar-2024.xlsx]D-PS'!$BZ$34</v>
      </c>
      <c r="J1240" s="37" t="s">
        <v>2543</v>
      </c>
    </row>
    <row r="1241" spans="1:10" x14ac:dyDescent="0.3">
      <c r="A1241" s="32" t="s">
        <v>24</v>
      </c>
      <c r="B1241" s="32">
        <f t="shared" si="301"/>
        <v>2046</v>
      </c>
      <c r="C1241" s="33" t="s">
        <v>37</v>
      </c>
      <c r="D1241" s="34" t="s">
        <v>2002</v>
      </c>
      <c r="E1241" s="35" t="str">
        <f t="shared" si="297"/>
        <v>PS'!</v>
      </c>
      <c r="F1241" s="34" t="str">
        <f t="shared" si="298"/>
        <v>C:\Users\jaime.benazar\Quorum Business Solutions\Ecopetrol Prometeo - Documents\Planning Space Implementation\3. Analysis &amp; Design\Design\FC22\DRR Jaime\Neiva CPI\[DINA TERCIARIOS_CF_SEC_New_27-Mar-2024.xlsx]D-PS'!</v>
      </c>
      <c r="G1241" s="32" t="s">
        <v>119</v>
      </c>
      <c r="H1241" s="33">
        <f t="shared" si="299"/>
        <v>35</v>
      </c>
      <c r="I1241" s="33" t="str">
        <f t="shared" si="300"/>
        <v>='C:\Users\jaime.benazar\Quorum Business Solutions\Ecopetrol Prometeo - Documents\Planning Space Implementation\3. Analysis &amp; Design\Design\FC22\DRR Jaime\Neiva CPI\[DINA TERCIARIOS_CF_SEC_New_27-Mar-2024.xlsx]D-PS'!$BZ$35</v>
      </c>
      <c r="J1241" s="37" t="s">
        <v>2544</v>
      </c>
    </row>
    <row r="1242" spans="1:10" x14ac:dyDescent="0.3">
      <c r="A1242" s="32" t="s">
        <v>24</v>
      </c>
      <c r="B1242" s="32">
        <f t="shared" si="301"/>
        <v>2047</v>
      </c>
      <c r="C1242" s="33" t="s">
        <v>37</v>
      </c>
      <c r="D1242" s="34" t="s">
        <v>2002</v>
      </c>
      <c r="E1242" s="35" t="str">
        <f t="shared" si="297"/>
        <v>PS'!</v>
      </c>
      <c r="F1242" s="34" t="str">
        <f t="shared" si="298"/>
        <v>C:\Users\jaime.benazar\Quorum Business Solutions\Ecopetrol Prometeo - Documents\Planning Space Implementation\3. Analysis &amp; Design\Design\FC22\DRR Jaime\Neiva CPI\[DINA TERCIARIOS_CF_SEC_New_27-Mar-2024.xlsx]D-PS'!</v>
      </c>
      <c r="G1242" s="32" t="s">
        <v>119</v>
      </c>
      <c r="H1242" s="33">
        <f t="shared" si="299"/>
        <v>36</v>
      </c>
      <c r="I1242" s="33" t="str">
        <f t="shared" si="300"/>
        <v>='C:\Users\jaime.benazar\Quorum Business Solutions\Ecopetrol Prometeo - Documents\Planning Space Implementation\3. Analysis &amp; Design\Design\FC22\DRR Jaime\Neiva CPI\[DINA TERCIARIOS_CF_SEC_New_27-Mar-2024.xlsx]D-PS'!$BZ$36</v>
      </c>
      <c r="J1242" s="37" t="s">
        <v>2545</v>
      </c>
    </row>
    <row r="1243" spans="1:10" x14ac:dyDescent="0.3">
      <c r="A1243" s="32" t="s">
        <v>24</v>
      </c>
      <c r="B1243" s="32">
        <f t="shared" si="301"/>
        <v>2048</v>
      </c>
      <c r="C1243" s="33" t="s">
        <v>37</v>
      </c>
      <c r="D1243" s="34" t="s">
        <v>2002</v>
      </c>
      <c r="E1243" s="35" t="str">
        <f t="shared" si="297"/>
        <v>PS'!</v>
      </c>
      <c r="F1243" s="34" t="str">
        <f t="shared" si="298"/>
        <v>C:\Users\jaime.benazar\Quorum Business Solutions\Ecopetrol Prometeo - Documents\Planning Space Implementation\3. Analysis &amp; Design\Design\FC22\DRR Jaime\Neiva CPI\[DINA TERCIARIOS_CF_SEC_New_27-Mar-2024.xlsx]D-PS'!</v>
      </c>
      <c r="G1243" s="32" t="s">
        <v>119</v>
      </c>
      <c r="H1243" s="33">
        <f t="shared" si="299"/>
        <v>37</v>
      </c>
      <c r="I1243" s="33" t="str">
        <f t="shared" si="300"/>
        <v>='C:\Users\jaime.benazar\Quorum Business Solutions\Ecopetrol Prometeo - Documents\Planning Space Implementation\3. Analysis &amp; Design\Design\FC22\DRR Jaime\Neiva CPI\[DINA TERCIARIOS_CF_SEC_New_27-Mar-2024.xlsx]D-PS'!$BZ$37</v>
      </c>
      <c r="J1243" s="37" t="s">
        <v>2546</v>
      </c>
    </row>
    <row r="1244" spans="1:10" x14ac:dyDescent="0.3">
      <c r="A1244" s="32" t="s">
        <v>24</v>
      </c>
      <c r="B1244" s="32">
        <f t="shared" si="301"/>
        <v>2049</v>
      </c>
      <c r="C1244" s="33" t="s">
        <v>37</v>
      </c>
      <c r="D1244" s="34" t="s">
        <v>2002</v>
      </c>
      <c r="E1244" s="35" t="str">
        <f t="shared" si="297"/>
        <v>PS'!</v>
      </c>
      <c r="F1244" s="34" t="str">
        <f t="shared" si="298"/>
        <v>C:\Users\jaime.benazar\Quorum Business Solutions\Ecopetrol Prometeo - Documents\Planning Space Implementation\3. Analysis &amp; Design\Design\FC22\DRR Jaime\Neiva CPI\[DINA TERCIARIOS_CF_SEC_New_27-Mar-2024.xlsx]D-PS'!</v>
      </c>
      <c r="G1244" s="32" t="s">
        <v>119</v>
      </c>
      <c r="H1244" s="33">
        <f t="shared" si="299"/>
        <v>38</v>
      </c>
      <c r="I1244" s="33" t="str">
        <f t="shared" si="300"/>
        <v>='C:\Users\jaime.benazar\Quorum Business Solutions\Ecopetrol Prometeo - Documents\Planning Space Implementation\3. Analysis &amp; Design\Design\FC22\DRR Jaime\Neiva CPI\[DINA TERCIARIOS_CF_SEC_New_27-Mar-2024.xlsx]D-PS'!$BZ$38</v>
      </c>
      <c r="J1244" s="37" t="s">
        <v>2547</v>
      </c>
    </row>
    <row r="1245" spans="1:10" x14ac:dyDescent="0.3">
      <c r="A1245" s="32" t="s">
        <v>24</v>
      </c>
      <c r="B1245" s="32">
        <f t="shared" si="301"/>
        <v>2050</v>
      </c>
      <c r="C1245" s="33" t="s">
        <v>37</v>
      </c>
      <c r="D1245" s="34" t="s">
        <v>2002</v>
      </c>
      <c r="E1245" s="35" t="str">
        <f t="shared" si="297"/>
        <v>PS'!</v>
      </c>
      <c r="F1245" s="34" t="str">
        <f t="shared" si="298"/>
        <v>C:\Users\jaime.benazar\Quorum Business Solutions\Ecopetrol Prometeo - Documents\Planning Space Implementation\3. Analysis &amp; Design\Design\FC22\DRR Jaime\Neiva CPI\[DINA TERCIARIOS_CF_SEC_New_27-Mar-2024.xlsx]D-PS'!</v>
      </c>
      <c r="G1245" s="32" t="s">
        <v>119</v>
      </c>
      <c r="H1245" s="33">
        <f t="shared" si="299"/>
        <v>39</v>
      </c>
      <c r="I1245" s="33" t="str">
        <f t="shared" si="300"/>
        <v>='C:\Users\jaime.benazar\Quorum Business Solutions\Ecopetrol Prometeo - Documents\Planning Space Implementation\3. Analysis &amp; Design\Design\FC22\DRR Jaime\Neiva CPI\[DINA TERCIARIOS_CF_SEC_New_27-Mar-2024.xlsx]D-PS'!$BZ$39</v>
      </c>
      <c r="J1245" s="37" t="s">
        <v>2548</v>
      </c>
    </row>
    <row r="1246" spans="1:10" x14ac:dyDescent="0.3">
      <c r="A1246" s="32" t="s">
        <v>24</v>
      </c>
      <c r="B1246" s="32">
        <f t="shared" si="301"/>
        <v>2051</v>
      </c>
      <c r="C1246" s="33" t="s">
        <v>37</v>
      </c>
      <c r="D1246" s="34" t="s">
        <v>2002</v>
      </c>
      <c r="E1246" s="35" t="str">
        <f t="shared" si="297"/>
        <v>PS'!</v>
      </c>
      <c r="F1246" s="34" t="str">
        <f t="shared" si="298"/>
        <v>C:\Users\jaime.benazar\Quorum Business Solutions\Ecopetrol Prometeo - Documents\Planning Space Implementation\3. Analysis &amp; Design\Design\FC22\DRR Jaime\Neiva CPI\[DINA TERCIARIOS_CF_SEC_New_27-Mar-2024.xlsx]D-PS'!</v>
      </c>
      <c r="G1246" s="32" t="s">
        <v>119</v>
      </c>
      <c r="H1246" s="33">
        <f t="shared" si="299"/>
        <v>40</v>
      </c>
      <c r="I1246" s="33" t="str">
        <f t="shared" si="300"/>
        <v>='C:\Users\jaime.benazar\Quorum Business Solutions\Ecopetrol Prometeo - Documents\Planning Space Implementation\3. Analysis &amp; Design\Design\FC22\DRR Jaime\Neiva CPI\[DINA TERCIARIOS_CF_SEC_New_27-Mar-2024.xlsx]D-PS'!$BZ$40</v>
      </c>
      <c r="J1246" s="37" t="s">
        <v>2549</v>
      </c>
    </row>
    <row r="1247" spans="1:10" x14ac:dyDescent="0.3">
      <c r="A1247" s="32" t="s">
        <v>24</v>
      </c>
      <c r="B1247" s="32">
        <f t="shared" si="301"/>
        <v>2052</v>
      </c>
      <c r="C1247" s="33" t="s">
        <v>37</v>
      </c>
      <c r="D1247" s="34" t="s">
        <v>2002</v>
      </c>
      <c r="E1247" s="35" t="str">
        <f t="shared" si="297"/>
        <v>PS'!</v>
      </c>
      <c r="F1247" s="34" t="str">
        <f t="shared" si="298"/>
        <v>C:\Users\jaime.benazar\Quorum Business Solutions\Ecopetrol Prometeo - Documents\Planning Space Implementation\3. Analysis &amp; Design\Design\FC22\DRR Jaime\Neiva CPI\[DINA TERCIARIOS_CF_SEC_New_27-Mar-2024.xlsx]D-PS'!</v>
      </c>
      <c r="G1247" s="32" t="s">
        <v>119</v>
      </c>
      <c r="H1247" s="33">
        <f t="shared" si="299"/>
        <v>41</v>
      </c>
      <c r="I1247" s="33" t="str">
        <f t="shared" si="300"/>
        <v>='C:\Users\jaime.benazar\Quorum Business Solutions\Ecopetrol Prometeo - Documents\Planning Space Implementation\3. Analysis &amp; Design\Design\FC22\DRR Jaime\Neiva CPI\[DINA TERCIARIOS_CF_SEC_New_27-Mar-2024.xlsx]D-PS'!$BZ$41</v>
      </c>
      <c r="J1247" s="37" t="s">
        <v>2550</v>
      </c>
    </row>
    <row r="1248" spans="1:10" x14ac:dyDescent="0.3">
      <c r="A1248" s="32" t="s">
        <v>24</v>
      </c>
      <c r="B1248" s="32">
        <f t="shared" si="301"/>
        <v>2053</v>
      </c>
      <c r="C1248" s="33" t="s">
        <v>37</v>
      </c>
      <c r="D1248" s="34" t="s">
        <v>2002</v>
      </c>
      <c r="E1248" s="35" t="str">
        <f t="shared" si="297"/>
        <v>PS'!</v>
      </c>
      <c r="F1248" s="34" t="str">
        <f t="shared" si="298"/>
        <v>C:\Users\jaime.benazar\Quorum Business Solutions\Ecopetrol Prometeo - Documents\Planning Space Implementation\3. Analysis &amp; Design\Design\FC22\DRR Jaime\Neiva CPI\[DINA TERCIARIOS_CF_SEC_New_27-Mar-2024.xlsx]D-PS'!</v>
      </c>
      <c r="G1248" s="32" t="s">
        <v>119</v>
      </c>
      <c r="H1248" s="33">
        <f t="shared" si="299"/>
        <v>42</v>
      </c>
      <c r="I1248" s="33" t="str">
        <f t="shared" si="300"/>
        <v>='C:\Users\jaime.benazar\Quorum Business Solutions\Ecopetrol Prometeo - Documents\Planning Space Implementation\3. Analysis &amp; Design\Design\FC22\DRR Jaime\Neiva CPI\[DINA TERCIARIOS_CF_SEC_New_27-Mar-2024.xlsx]D-PS'!$BZ$42</v>
      </c>
      <c r="J1248" s="37" t="s">
        <v>2551</v>
      </c>
    </row>
    <row r="1249" spans="1:10" x14ac:dyDescent="0.3">
      <c r="A1249" s="32" t="s">
        <v>24</v>
      </c>
      <c r="B1249" s="32">
        <f t="shared" si="301"/>
        <v>2054</v>
      </c>
      <c r="C1249" s="33" t="s">
        <v>37</v>
      </c>
      <c r="D1249" s="34" t="s">
        <v>2002</v>
      </c>
      <c r="E1249" s="35" t="str">
        <f t="shared" si="297"/>
        <v>PS'!</v>
      </c>
      <c r="F1249" s="34" t="str">
        <f t="shared" si="298"/>
        <v>C:\Users\jaime.benazar\Quorum Business Solutions\Ecopetrol Prometeo - Documents\Planning Space Implementation\3. Analysis &amp; Design\Design\FC22\DRR Jaime\Neiva CPI\[DINA TERCIARIOS_CF_SEC_New_27-Mar-2024.xlsx]D-PS'!</v>
      </c>
      <c r="G1249" s="32" t="s">
        <v>119</v>
      </c>
      <c r="H1249" s="33">
        <f t="shared" si="299"/>
        <v>43</v>
      </c>
      <c r="I1249" s="33" t="str">
        <f t="shared" si="300"/>
        <v>='C:\Users\jaime.benazar\Quorum Business Solutions\Ecopetrol Prometeo - Documents\Planning Space Implementation\3. Analysis &amp; Design\Design\FC22\DRR Jaime\Neiva CPI\[DINA TERCIARIOS_CF_SEC_New_27-Mar-2024.xlsx]D-PS'!$BZ$43</v>
      </c>
      <c r="J1249" s="37" t="s">
        <v>2552</v>
      </c>
    </row>
    <row r="1250" spans="1:10" x14ac:dyDescent="0.3">
      <c r="A1250" s="32" t="s">
        <v>24</v>
      </c>
      <c r="B1250" s="32">
        <f t="shared" si="301"/>
        <v>2055</v>
      </c>
      <c r="C1250" s="33" t="s">
        <v>37</v>
      </c>
      <c r="D1250" s="34" t="s">
        <v>2002</v>
      </c>
      <c r="E1250" s="35" t="str">
        <f t="shared" si="297"/>
        <v>PS'!</v>
      </c>
      <c r="F1250" s="34" t="str">
        <f t="shared" si="298"/>
        <v>C:\Users\jaime.benazar\Quorum Business Solutions\Ecopetrol Prometeo - Documents\Planning Space Implementation\3. Analysis &amp; Design\Design\FC22\DRR Jaime\Neiva CPI\[DINA TERCIARIOS_CF_SEC_New_27-Mar-2024.xlsx]D-PS'!</v>
      </c>
      <c r="G1250" s="32" t="s">
        <v>119</v>
      </c>
      <c r="H1250" s="33">
        <f t="shared" si="299"/>
        <v>44</v>
      </c>
      <c r="I1250" s="33" t="str">
        <f t="shared" si="300"/>
        <v>='C:\Users\jaime.benazar\Quorum Business Solutions\Ecopetrol Prometeo - Documents\Planning Space Implementation\3. Analysis &amp; Design\Design\FC22\DRR Jaime\Neiva CPI\[DINA TERCIARIOS_CF_SEC_New_27-Mar-2024.xlsx]D-PS'!$BZ$44</v>
      </c>
      <c r="J1250" s="37" t="s">
        <v>2553</v>
      </c>
    </row>
    <row r="1251" spans="1:10" x14ac:dyDescent="0.3">
      <c r="A1251" s="32" t="s">
        <v>24</v>
      </c>
      <c r="B1251" s="32">
        <f t="shared" si="301"/>
        <v>2056</v>
      </c>
      <c r="C1251" s="33" t="s">
        <v>37</v>
      </c>
      <c r="D1251" s="34" t="s">
        <v>2002</v>
      </c>
      <c r="E1251" s="35" t="str">
        <f t="shared" si="297"/>
        <v>PS'!</v>
      </c>
      <c r="F1251" s="34" t="str">
        <f t="shared" si="298"/>
        <v>C:\Users\jaime.benazar\Quorum Business Solutions\Ecopetrol Prometeo - Documents\Planning Space Implementation\3. Analysis &amp; Design\Design\FC22\DRR Jaime\Neiva CPI\[DINA TERCIARIOS_CF_SEC_New_27-Mar-2024.xlsx]D-PS'!</v>
      </c>
      <c r="G1251" s="32" t="s">
        <v>119</v>
      </c>
      <c r="H1251" s="33">
        <f t="shared" si="299"/>
        <v>45</v>
      </c>
      <c r="I1251" s="33" t="str">
        <f t="shared" si="300"/>
        <v>='C:\Users\jaime.benazar\Quorum Business Solutions\Ecopetrol Prometeo - Documents\Planning Space Implementation\3. Analysis &amp; Design\Design\FC22\DRR Jaime\Neiva CPI\[DINA TERCIARIOS_CF_SEC_New_27-Mar-2024.xlsx]D-PS'!$BZ$45</v>
      </c>
      <c r="J1251" s="37" t="s">
        <v>2554</v>
      </c>
    </row>
    <row r="1252" spans="1:10" x14ac:dyDescent="0.3">
      <c r="A1252" s="32" t="s">
        <v>24</v>
      </c>
      <c r="B1252" s="32">
        <f t="shared" si="301"/>
        <v>2057</v>
      </c>
      <c r="C1252" s="33" t="s">
        <v>37</v>
      </c>
      <c r="D1252" s="34" t="s">
        <v>2002</v>
      </c>
      <c r="E1252" s="35" t="str">
        <f t="shared" si="297"/>
        <v>PS'!</v>
      </c>
      <c r="F1252" s="34" t="str">
        <f t="shared" si="298"/>
        <v>C:\Users\jaime.benazar\Quorum Business Solutions\Ecopetrol Prometeo - Documents\Planning Space Implementation\3. Analysis &amp; Design\Design\FC22\DRR Jaime\Neiva CPI\[DINA TERCIARIOS_CF_SEC_New_27-Mar-2024.xlsx]D-PS'!</v>
      </c>
      <c r="G1252" s="32" t="s">
        <v>119</v>
      </c>
      <c r="H1252" s="33">
        <f t="shared" si="299"/>
        <v>46</v>
      </c>
      <c r="I1252" s="33" t="str">
        <f t="shared" si="300"/>
        <v>='C:\Users\jaime.benazar\Quorum Business Solutions\Ecopetrol Prometeo - Documents\Planning Space Implementation\3. Analysis &amp; Design\Design\FC22\DRR Jaime\Neiva CPI\[DINA TERCIARIOS_CF_SEC_New_27-Mar-2024.xlsx]D-PS'!$BZ$46</v>
      </c>
      <c r="J1252" s="37" t="s">
        <v>2555</v>
      </c>
    </row>
    <row r="1253" spans="1:10" x14ac:dyDescent="0.3">
      <c r="A1253" s="32" t="s">
        <v>24</v>
      </c>
      <c r="B1253" s="32">
        <f t="shared" si="301"/>
        <v>2058</v>
      </c>
      <c r="C1253" s="33" t="s">
        <v>37</v>
      </c>
      <c r="D1253" s="34" t="s">
        <v>2002</v>
      </c>
      <c r="E1253" s="35" t="str">
        <f t="shared" si="297"/>
        <v>PS'!</v>
      </c>
      <c r="F1253" s="34" t="str">
        <f t="shared" si="298"/>
        <v>C:\Users\jaime.benazar\Quorum Business Solutions\Ecopetrol Prometeo - Documents\Planning Space Implementation\3. Analysis &amp; Design\Design\FC22\DRR Jaime\Neiva CPI\[DINA TERCIARIOS_CF_SEC_New_27-Mar-2024.xlsx]D-PS'!</v>
      </c>
      <c r="G1253" s="32" t="s">
        <v>119</v>
      </c>
      <c r="H1253" s="33">
        <f t="shared" si="299"/>
        <v>47</v>
      </c>
      <c r="I1253" s="33" t="str">
        <f t="shared" si="300"/>
        <v>='C:\Users\jaime.benazar\Quorum Business Solutions\Ecopetrol Prometeo - Documents\Planning Space Implementation\3. Analysis &amp; Design\Design\FC22\DRR Jaime\Neiva CPI\[DINA TERCIARIOS_CF_SEC_New_27-Mar-2024.xlsx]D-PS'!$BZ$47</v>
      </c>
      <c r="J1253" s="37" t="s">
        <v>2556</v>
      </c>
    </row>
    <row r="1254" spans="1:10" x14ac:dyDescent="0.3">
      <c r="A1254" s="32" t="s">
        <v>24</v>
      </c>
      <c r="B1254" s="32">
        <f t="shared" si="301"/>
        <v>2059</v>
      </c>
      <c r="C1254" s="33" t="s">
        <v>37</v>
      </c>
      <c r="D1254" s="34" t="s">
        <v>2002</v>
      </c>
      <c r="E1254" s="35" t="str">
        <f t="shared" si="297"/>
        <v>PS'!</v>
      </c>
      <c r="F1254" s="34" t="str">
        <f t="shared" si="298"/>
        <v>C:\Users\jaime.benazar\Quorum Business Solutions\Ecopetrol Prometeo - Documents\Planning Space Implementation\3. Analysis &amp; Design\Design\FC22\DRR Jaime\Neiva CPI\[DINA TERCIARIOS_CF_SEC_New_27-Mar-2024.xlsx]D-PS'!</v>
      </c>
      <c r="G1254" s="32" t="s">
        <v>119</v>
      </c>
      <c r="H1254" s="33">
        <f t="shared" si="299"/>
        <v>48</v>
      </c>
      <c r="I1254" s="33" t="str">
        <f t="shared" si="300"/>
        <v>='C:\Users\jaime.benazar\Quorum Business Solutions\Ecopetrol Prometeo - Documents\Planning Space Implementation\3. Analysis &amp; Design\Design\FC22\DRR Jaime\Neiva CPI\[DINA TERCIARIOS_CF_SEC_New_27-Mar-2024.xlsx]D-PS'!$BZ$48</v>
      </c>
      <c r="J1254" s="37" t="s">
        <v>2557</v>
      </c>
    </row>
    <row r="1255" spans="1:10" x14ac:dyDescent="0.3">
      <c r="A1255" s="32" t="s">
        <v>26</v>
      </c>
      <c r="B1255" s="32"/>
      <c r="C1255" s="33" t="s">
        <v>37</v>
      </c>
      <c r="D1255" s="34"/>
      <c r="E1255" s="35"/>
      <c r="F1255" s="34"/>
      <c r="G1255" s="32"/>
      <c r="H1255" s="33"/>
      <c r="I1255" s="33"/>
      <c r="J1255" s="33"/>
    </row>
    <row r="1256" spans="1:10" x14ac:dyDescent="0.3">
      <c r="A1256" s="32" t="s">
        <v>14</v>
      </c>
      <c r="B1256" s="32">
        <v>2023</v>
      </c>
      <c r="C1256" s="33" t="s">
        <v>40</v>
      </c>
      <c r="D1256" s="34" t="s">
        <v>2002</v>
      </c>
      <c r="E1256" s="35" t="str">
        <f>_xlfn.CONCAT(A1256,"'!")</f>
        <v>PDP'!</v>
      </c>
      <c r="F1256" s="34" t="str">
        <f>_xlfn.CONCAT(D1256:E1256)</f>
        <v>C:\Users\jaime.benazar\Quorum Business Solutions\Ecopetrol Prometeo - Documents\Planning Space Implementation\3. Analysis &amp; Design\Design\FC22\DRR Jaime\Neiva CPI\[DINA TERCIARIOS_CF_SEC_New_27-Mar-2024.xlsx]D-PDP'!</v>
      </c>
      <c r="G1256" s="32" t="s">
        <v>120</v>
      </c>
      <c r="H1256" s="33">
        <v>12</v>
      </c>
      <c r="I1256" s="33" t="str">
        <f>_xlfn.CONCAT("='",F1256:H1256)</f>
        <v>='C:\Users\jaime.benazar\Quorum Business Solutions\Ecopetrol Prometeo - Documents\Planning Space Implementation\3. Analysis &amp; Design\Design\FC22\DRR Jaime\Neiva CPI\[DINA TERCIARIOS_CF_SEC_New_27-Mar-2024.xlsx]D-PDP'!$CA$12</v>
      </c>
      <c r="J1256" s="37" t="s">
        <v>2558</v>
      </c>
    </row>
    <row r="1257" spans="1:10" x14ac:dyDescent="0.3">
      <c r="A1257" s="32" t="s">
        <v>14</v>
      </c>
      <c r="B1257" s="32">
        <f>+B1256+1</f>
        <v>2024</v>
      </c>
      <c r="C1257" s="33" t="s">
        <v>40</v>
      </c>
      <c r="D1257" s="34" t="s">
        <v>2002</v>
      </c>
      <c r="E1257" s="35" t="str">
        <f t="shared" ref="E1257:E1350" si="302">_xlfn.CONCAT(A1257,"'!")</f>
        <v>PDP'!</v>
      </c>
      <c r="F1257" s="34" t="str">
        <f t="shared" ref="F1257:F1350" si="303">_xlfn.CONCAT(D1257:E1257)</f>
        <v>C:\Users\jaime.benazar\Quorum Business Solutions\Ecopetrol Prometeo - Documents\Planning Space Implementation\3. Analysis &amp; Design\Design\FC22\DRR Jaime\Neiva CPI\[DINA TERCIARIOS_CF_SEC_New_27-Mar-2024.xlsx]D-PDP'!</v>
      </c>
      <c r="G1257" s="32" t="s">
        <v>120</v>
      </c>
      <c r="H1257" s="33">
        <f t="shared" ref="H1257:H1276" si="304">IF(A1257&lt;&gt;A1256,12,H1256+1)</f>
        <v>13</v>
      </c>
      <c r="I1257" s="33" t="str">
        <f t="shared" ref="I1257:I1350" si="305">_xlfn.CONCAT("='",F1257:H1257)</f>
        <v>='C:\Users\jaime.benazar\Quorum Business Solutions\Ecopetrol Prometeo - Documents\Planning Space Implementation\3. Analysis &amp; Design\Design\FC22\DRR Jaime\Neiva CPI\[DINA TERCIARIOS_CF_SEC_New_27-Mar-2024.xlsx]D-PDP'!$CA$13</v>
      </c>
      <c r="J1257" s="37" t="s">
        <v>2559</v>
      </c>
    </row>
    <row r="1258" spans="1:10" x14ac:dyDescent="0.3">
      <c r="A1258" s="32" t="s">
        <v>14</v>
      </c>
      <c r="B1258" s="32">
        <f t="shared" ref="B1258:B1269" si="306">+B1257+1</f>
        <v>2025</v>
      </c>
      <c r="C1258" s="33" t="s">
        <v>40</v>
      </c>
      <c r="D1258" s="34" t="s">
        <v>2002</v>
      </c>
      <c r="E1258" s="35" t="str">
        <f t="shared" si="302"/>
        <v>PDP'!</v>
      </c>
      <c r="F1258" s="34" t="str">
        <f t="shared" si="303"/>
        <v>C:\Users\jaime.benazar\Quorum Business Solutions\Ecopetrol Prometeo - Documents\Planning Space Implementation\3. Analysis &amp; Design\Design\FC22\DRR Jaime\Neiva CPI\[DINA TERCIARIOS_CF_SEC_New_27-Mar-2024.xlsx]D-PDP'!</v>
      </c>
      <c r="G1258" s="32" t="s">
        <v>120</v>
      </c>
      <c r="H1258" s="33">
        <f t="shared" si="304"/>
        <v>14</v>
      </c>
      <c r="I1258" s="33" t="str">
        <f t="shared" si="305"/>
        <v>='C:\Users\jaime.benazar\Quorum Business Solutions\Ecopetrol Prometeo - Documents\Planning Space Implementation\3. Analysis &amp; Design\Design\FC22\DRR Jaime\Neiva CPI\[DINA TERCIARIOS_CF_SEC_New_27-Mar-2024.xlsx]D-PDP'!$CA$14</v>
      </c>
      <c r="J1258" s="37" t="s">
        <v>2560</v>
      </c>
    </row>
    <row r="1259" spans="1:10" x14ac:dyDescent="0.3">
      <c r="A1259" s="32" t="s">
        <v>14</v>
      </c>
      <c r="B1259" s="32">
        <f t="shared" si="306"/>
        <v>2026</v>
      </c>
      <c r="C1259" s="33" t="s">
        <v>40</v>
      </c>
      <c r="D1259" s="34" t="s">
        <v>2002</v>
      </c>
      <c r="E1259" s="35" t="str">
        <f t="shared" si="302"/>
        <v>PDP'!</v>
      </c>
      <c r="F1259" s="34" t="str">
        <f t="shared" si="303"/>
        <v>C:\Users\jaime.benazar\Quorum Business Solutions\Ecopetrol Prometeo - Documents\Planning Space Implementation\3. Analysis &amp; Design\Design\FC22\DRR Jaime\Neiva CPI\[DINA TERCIARIOS_CF_SEC_New_27-Mar-2024.xlsx]D-PDP'!</v>
      </c>
      <c r="G1259" s="32" t="s">
        <v>120</v>
      </c>
      <c r="H1259" s="33">
        <f t="shared" si="304"/>
        <v>15</v>
      </c>
      <c r="I1259" s="33" t="str">
        <f t="shared" si="305"/>
        <v>='C:\Users\jaime.benazar\Quorum Business Solutions\Ecopetrol Prometeo - Documents\Planning Space Implementation\3. Analysis &amp; Design\Design\FC22\DRR Jaime\Neiva CPI\[DINA TERCIARIOS_CF_SEC_New_27-Mar-2024.xlsx]D-PDP'!$CA$15</v>
      </c>
      <c r="J1259" s="37" t="s">
        <v>2561</v>
      </c>
    </row>
    <row r="1260" spans="1:10" x14ac:dyDescent="0.3">
      <c r="A1260" s="32" t="s">
        <v>14</v>
      </c>
      <c r="B1260" s="32">
        <f t="shared" si="306"/>
        <v>2027</v>
      </c>
      <c r="C1260" s="33" t="s">
        <v>40</v>
      </c>
      <c r="D1260" s="34" t="s">
        <v>2002</v>
      </c>
      <c r="E1260" s="35" t="str">
        <f t="shared" si="302"/>
        <v>PDP'!</v>
      </c>
      <c r="F1260" s="34" t="str">
        <f t="shared" si="303"/>
        <v>C:\Users\jaime.benazar\Quorum Business Solutions\Ecopetrol Prometeo - Documents\Planning Space Implementation\3. Analysis &amp; Design\Design\FC22\DRR Jaime\Neiva CPI\[DINA TERCIARIOS_CF_SEC_New_27-Mar-2024.xlsx]D-PDP'!</v>
      </c>
      <c r="G1260" s="32" t="s">
        <v>120</v>
      </c>
      <c r="H1260" s="33">
        <f t="shared" si="304"/>
        <v>16</v>
      </c>
      <c r="I1260" s="33" t="str">
        <f t="shared" si="305"/>
        <v>='C:\Users\jaime.benazar\Quorum Business Solutions\Ecopetrol Prometeo - Documents\Planning Space Implementation\3. Analysis &amp; Design\Design\FC22\DRR Jaime\Neiva CPI\[DINA TERCIARIOS_CF_SEC_New_27-Mar-2024.xlsx]D-PDP'!$CA$16</v>
      </c>
      <c r="J1260" s="37" t="s">
        <v>2562</v>
      </c>
    </row>
    <row r="1261" spans="1:10" x14ac:dyDescent="0.3">
      <c r="A1261" s="32" t="s">
        <v>14</v>
      </c>
      <c r="B1261" s="32">
        <f t="shared" si="306"/>
        <v>2028</v>
      </c>
      <c r="C1261" s="33" t="s">
        <v>40</v>
      </c>
      <c r="D1261" s="34" t="s">
        <v>2002</v>
      </c>
      <c r="E1261" s="35" t="str">
        <f t="shared" si="302"/>
        <v>PDP'!</v>
      </c>
      <c r="F1261" s="34" t="str">
        <f t="shared" si="303"/>
        <v>C:\Users\jaime.benazar\Quorum Business Solutions\Ecopetrol Prometeo - Documents\Planning Space Implementation\3. Analysis &amp; Design\Design\FC22\DRR Jaime\Neiva CPI\[DINA TERCIARIOS_CF_SEC_New_27-Mar-2024.xlsx]D-PDP'!</v>
      </c>
      <c r="G1261" s="32" t="s">
        <v>120</v>
      </c>
      <c r="H1261" s="33">
        <f t="shared" si="304"/>
        <v>17</v>
      </c>
      <c r="I1261" s="33" t="str">
        <f t="shared" si="305"/>
        <v>='C:\Users\jaime.benazar\Quorum Business Solutions\Ecopetrol Prometeo - Documents\Planning Space Implementation\3. Analysis &amp; Design\Design\FC22\DRR Jaime\Neiva CPI\[DINA TERCIARIOS_CF_SEC_New_27-Mar-2024.xlsx]D-PDP'!$CA$17</v>
      </c>
      <c r="J1261" s="37" t="s">
        <v>2563</v>
      </c>
    </row>
    <row r="1262" spans="1:10" x14ac:dyDescent="0.3">
      <c r="A1262" s="32" t="s">
        <v>14</v>
      </c>
      <c r="B1262" s="32">
        <f t="shared" si="306"/>
        <v>2029</v>
      </c>
      <c r="C1262" s="33" t="s">
        <v>40</v>
      </c>
      <c r="D1262" s="34" t="s">
        <v>2002</v>
      </c>
      <c r="E1262" s="35" t="str">
        <f t="shared" si="302"/>
        <v>PDP'!</v>
      </c>
      <c r="F1262" s="34" t="str">
        <f t="shared" si="303"/>
        <v>C:\Users\jaime.benazar\Quorum Business Solutions\Ecopetrol Prometeo - Documents\Planning Space Implementation\3. Analysis &amp; Design\Design\FC22\DRR Jaime\Neiva CPI\[DINA TERCIARIOS_CF_SEC_New_27-Mar-2024.xlsx]D-PDP'!</v>
      </c>
      <c r="G1262" s="32" t="s">
        <v>120</v>
      </c>
      <c r="H1262" s="33">
        <f t="shared" si="304"/>
        <v>18</v>
      </c>
      <c r="I1262" s="33" t="str">
        <f t="shared" si="305"/>
        <v>='C:\Users\jaime.benazar\Quorum Business Solutions\Ecopetrol Prometeo - Documents\Planning Space Implementation\3. Analysis &amp; Design\Design\FC22\DRR Jaime\Neiva CPI\[DINA TERCIARIOS_CF_SEC_New_27-Mar-2024.xlsx]D-PDP'!$CA$18</v>
      </c>
      <c r="J1262" s="37" t="s">
        <v>2564</v>
      </c>
    </row>
    <row r="1263" spans="1:10" x14ac:dyDescent="0.3">
      <c r="A1263" s="32" t="s">
        <v>14</v>
      </c>
      <c r="B1263" s="32">
        <f t="shared" si="306"/>
        <v>2030</v>
      </c>
      <c r="C1263" s="33" t="s">
        <v>40</v>
      </c>
      <c r="D1263" s="34" t="s">
        <v>2002</v>
      </c>
      <c r="E1263" s="35" t="str">
        <f t="shared" si="302"/>
        <v>PDP'!</v>
      </c>
      <c r="F1263" s="34" t="str">
        <f t="shared" si="303"/>
        <v>C:\Users\jaime.benazar\Quorum Business Solutions\Ecopetrol Prometeo - Documents\Planning Space Implementation\3. Analysis &amp; Design\Design\FC22\DRR Jaime\Neiva CPI\[DINA TERCIARIOS_CF_SEC_New_27-Mar-2024.xlsx]D-PDP'!</v>
      </c>
      <c r="G1263" s="32" t="s">
        <v>120</v>
      </c>
      <c r="H1263" s="33">
        <f t="shared" si="304"/>
        <v>19</v>
      </c>
      <c r="I1263" s="33" t="str">
        <f t="shared" si="305"/>
        <v>='C:\Users\jaime.benazar\Quorum Business Solutions\Ecopetrol Prometeo - Documents\Planning Space Implementation\3. Analysis &amp; Design\Design\FC22\DRR Jaime\Neiva CPI\[DINA TERCIARIOS_CF_SEC_New_27-Mar-2024.xlsx]D-PDP'!$CA$19</v>
      </c>
      <c r="J1263" s="37" t="s">
        <v>2565</v>
      </c>
    </row>
    <row r="1264" spans="1:10" x14ac:dyDescent="0.3">
      <c r="A1264" s="32" t="s">
        <v>14</v>
      </c>
      <c r="B1264" s="32">
        <f t="shared" si="306"/>
        <v>2031</v>
      </c>
      <c r="C1264" s="33" t="s">
        <v>40</v>
      </c>
      <c r="D1264" s="34" t="s">
        <v>2002</v>
      </c>
      <c r="E1264" s="35" t="str">
        <f t="shared" si="302"/>
        <v>PDP'!</v>
      </c>
      <c r="F1264" s="34" t="str">
        <f t="shared" si="303"/>
        <v>C:\Users\jaime.benazar\Quorum Business Solutions\Ecopetrol Prometeo - Documents\Planning Space Implementation\3. Analysis &amp; Design\Design\FC22\DRR Jaime\Neiva CPI\[DINA TERCIARIOS_CF_SEC_New_27-Mar-2024.xlsx]D-PDP'!</v>
      </c>
      <c r="G1264" s="32" t="s">
        <v>120</v>
      </c>
      <c r="H1264" s="33">
        <f t="shared" si="304"/>
        <v>20</v>
      </c>
      <c r="I1264" s="33" t="str">
        <f t="shared" si="305"/>
        <v>='C:\Users\jaime.benazar\Quorum Business Solutions\Ecopetrol Prometeo - Documents\Planning Space Implementation\3. Analysis &amp; Design\Design\FC22\DRR Jaime\Neiva CPI\[DINA TERCIARIOS_CF_SEC_New_27-Mar-2024.xlsx]D-PDP'!$CA$20</v>
      </c>
      <c r="J1264" s="37" t="s">
        <v>2566</v>
      </c>
    </row>
    <row r="1265" spans="1:10" x14ac:dyDescent="0.3">
      <c r="A1265" s="32" t="s">
        <v>14</v>
      </c>
      <c r="B1265" s="32">
        <f t="shared" si="306"/>
        <v>2032</v>
      </c>
      <c r="C1265" s="33" t="s">
        <v>40</v>
      </c>
      <c r="D1265" s="34" t="s">
        <v>2002</v>
      </c>
      <c r="E1265" s="35" t="str">
        <f t="shared" si="302"/>
        <v>PDP'!</v>
      </c>
      <c r="F1265" s="34" t="str">
        <f t="shared" si="303"/>
        <v>C:\Users\jaime.benazar\Quorum Business Solutions\Ecopetrol Prometeo - Documents\Planning Space Implementation\3. Analysis &amp; Design\Design\FC22\DRR Jaime\Neiva CPI\[DINA TERCIARIOS_CF_SEC_New_27-Mar-2024.xlsx]D-PDP'!</v>
      </c>
      <c r="G1265" s="32" t="s">
        <v>120</v>
      </c>
      <c r="H1265" s="33">
        <f t="shared" si="304"/>
        <v>21</v>
      </c>
      <c r="I1265" s="33" t="str">
        <f t="shared" si="305"/>
        <v>='C:\Users\jaime.benazar\Quorum Business Solutions\Ecopetrol Prometeo - Documents\Planning Space Implementation\3. Analysis &amp; Design\Design\FC22\DRR Jaime\Neiva CPI\[DINA TERCIARIOS_CF_SEC_New_27-Mar-2024.xlsx]D-PDP'!$CA$21</v>
      </c>
      <c r="J1265" s="37" t="s">
        <v>2567</v>
      </c>
    </row>
    <row r="1266" spans="1:10" x14ac:dyDescent="0.3">
      <c r="A1266" s="32" t="s">
        <v>14</v>
      </c>
      <c r="B1266" s="32">
        <f t="shared" si="306"/>
        <v>2033</v>
      </c>
      <c r="C1266" s="33" t="s">
        <v>40</v>
      </c>
      <c r="D1266" s="34" t="s">
        <v>2002</v>
      </c>
      <c r="E1266" s="35" t="str">
        <f t="shared" si="302"/>
        <v>PDP'!</v>
      </c>
      <c r="F1266" s="34" t="str">
        <f t="shared" si="303"/>
        <v>C:\Users\jaime.benazar\Quorum Business Solutions\Ecopetrol Prometeo - Documents\Planning Space Implementation\3. Analysis &amp; Design\Design\FC22\DRR Jaime\Neiva CPI\[DINA TERCIARIOS_CF_SEC_New_27-Mar-2024.xlsx]D-PDP'!</v>
      </c>
      <c r="G1266" s="32" t="s">
        <v>120</v>
      </c>
      <c r="H1266" s="33">
        <f t="shared" si="304"/>
        <v>22</v>
      </c>
      <c r="I1266" s="33" t="str">
        <f t="shared" si="305"/>
        <v>='C:\Users\jaime.benazar\Quorum Business Solutions\Ecopetrol Prometeo - Documents\Planning Space Implementation\3. Analysis &amp; Design\Design\FC22\DRR Jaime\Neiva CPI\[DINA TERCIARIOS_CF_SEC_New_27-Mar-2024.xlsx]D-PDP'!$CA$22</v>
      </c>
      <c r="J1266" s="37" t="s">
        <v>2568</v>
      </c>
    </row>
    <row r="1267" spans="1:10" x14ac:dyDescent="0.3">
      <c r="A1267" s="32" t="s">
        <v>14</v>
      </c>
      <c r="B1267" s="32">
        <f t="shared" si="306"/>
        <v>2034</v>
      </c>
      <c r="C1267" s="33" t="s">
        <v>40</v>
      </c>
      <c r="D1267" s="34" t="s">
        <v>2002</v>
      </c>
      <c r="E1267" s="35" t="str">
        <f t="shared" si="302"/>
        <v>PDP'!</v>
      </c>
      <c r="F1267" s="34" t="str">
        <f t="shared" si="303"/>
        <v>C:\Users\jaime.benazar\Quorum Business Solutions\Ecopetrol Prometeo - Documents\Planning Space Implementation\3. Analysis &amp; Design\Design\FC22\DRR Jaime\Neiva CPI\[DINA TERCIARIOS_CF_SEC_New_27-Mar-2024.xlsx]D-PDP'!</v>
      </c>
      <c r="G1267" s="32" t="s">
        <v>120</v>
      </c>
      <c r="H1267" s="33">
        <f t="shared" si="304"/>
        <v>23</v>
      </c>
      <c r="I1267" s="33" t="str">
        <f t="shared" si="305"/>
        <v>='C:\Users\jaime.benazar\Quorum Business Solutions\Ecopetrol Prometeo - Documents\Planning Space Implementation\3. Analysis &amp; Design\Design\FC22\DRR Jaime\Neiva CPI\[DINA TERCIARIOS_CF_SEC_New_27-Mar-2024.xlsx]D-PDP'!$CA$23</v>
      </c>
      <c r="J1267" s="37" t="s">
        <v>2569</v>
      </c>
    </row>
    <row r="1268" spans="1:10" x14ac:dyDescent="0.3">
      <c r="A1268" s="32" t="s">
        <v>14</v>
      </c>
      <c r="B1268" s="32">
        <f t="shared" si="306"/>
        <v>2035</v>
      </c>
      <c r="C1268" s="33" t="s">
        <v>40</v>
      </c>
      <c r="D1268" s="34" t="s">
        <v>2002</v>
      </c>
      <c r="E1268" s="35" t="str">
        <f t="shared" si="302"/>
        <v>PDP'!</v>
      </c>
      <c r="F1268" s="34" t="str">
        <f t="shared" si="303"/>
        <v>C:\Users\jaime.benazar\Quorum Business Solutions\Ecopetrol Prometeo - Documents\Planning Space Implementation\3. Analysis &amp; Design\Design\FC22\DRR Jaime\Neiva CPI\[DINA TERCIARIOS_CF_SEC_New_27-Mar-2024.xlsx]D-PDP'!</v>
      </c>
      <c r="G1268" s="32" t="s">
        <v>120</v>
      </c>
      <c r="H1268" s="33">
        <f t="shared" si="304"/>
        <v>24</v>
      </c>
      <c r="I1268" s="33" t="str">
        <f t="shared" si="305"/>
        <v>='C:\Users\jaime.benazar\Quorum Business Solutions\Ecopetrol Prometeo - Documents\Planning Space Implementation\3. Analysis &amp; Design\Design\FC22\DRR Jaime\Neiva CPI\[DINA TERCIARIOS_CF_SEC_New_27-Mar-2024.xlsx]D-PDP'!$CA$24</v>
      </c>
      <c r="J1268" s="37" t="s">
        <v>2570</v>
      </c>
    </row>
    <row r="1269" spans="1:10" x14ac:dyDescent="0.3">
      <c r="A1269" s="32" t="s">
        <v>14</v>
      </c>
      <c r="B1269" s="32">
        <f t="shared" si="306"/>
        <v>2036</v>
      </c>
      <c r="C1269" s="33" t="s">
        <v>40</v>
      </c>
      <c r="D1269" s="34" t="s">
        <v>2002</v>
      </c>
      <c r="E1269" s="35" t="str">
        <f t="shared" si="302"/>
        <v>PDP'!</v>
      </c>
      <c r="F1269" s="34" t="str">
        <f t="shared" si="303"/>
        <v>C:\Users\jaime.benazar\Quorum Business Solutions\Ecopetrol Prometeo - Documents\Planning Space Implementation\3. Analysis &amp; Design\Design\FC22\DRR Jaime\Neiva CPI\[DINA TERCIARIOS_CF_SEC_New_27-Mar-2024.xlsx]D-PDP'!</v>
      </c>
      <c r="G1269" s="32" t="s">
        <v>120</v>
      </c>
      <c r="H1269" s="33">
        <f t="shared" si="304"/>
        <v>25</v>
      </c>
      <c r="I1269" s="33" t="str">
        <f t="shared" si="305"/>
        <v>='C:\Users\jaime.benazar\Quorum Business Solutions\Ecopetrol Prometeo - Documents\Planning Space Implementation\3. Analysis &amp; Design\Design\FC22\DRR Jaime\Neiva CPI\[DINA TERCIARIOS_CF_SEC_New_27-Mar-2024.xlsx]D-PDP'!$CA$25</v>
      </c>
      <c r="J1269" s="37" t="s">
        <v>2571</v>
      </c>
    </row>
    <row r="1270" spans="1:10" x14ac:dyDescent="0.3">
      <c r="A1270" s="32" t="s">
        <v>14</v>
      </c>
      <c r="B1270" s="32">
        <f>+B1269+1</f>
        <v>2037</v>
      </c>
      <c r="C1270" s="33" t="s">
        <v>40</v>
      </c>
      <c r="D1270" s="34" t="s">
        <v>2002</v>
      </c>
      <c r="E1270" s="35" t="str">
        <f t="shared" si="302"/>
        <v>PDP'!</v>
      </c>
      <c r="F1270" s="34" t="str">
        <f t="shared" si="303"/>
        <v>C:\Users\jaime.benazar\Quorum Business Solutions\Ecopetrol Prometeo - Documents\Planning Space Implementation\3. Analysis &amp; Design\Design\FC22\DRR Jaime\Neiva CPI\[DINA TERCIARIOS_CF_SEC_New_27-Mar-2024.xlsx]D-PDP'!</v>
      </c>
      <c r="G1270" s="32" t="s">
        <v>120</v>
      </c>
      <c r="H1270" s="33">
        <f t="shared" si="304"/>
        <v>26</v>
      </c>
      <c r="I1270" s="33" t="str">
        <f t="shared" si="305"/>
        <v>='C:\Users\jaime.benazar\Quorum Business Solutions\Ecopetrol Prometeo - Documents\Planning Space Implementation\3. Analysis &amp; Design\Design\FC22\DRR Jaime\Neiva CPI\[DINA TERCIARIOS_CF_SEC_New_27-Mar-2024.xlsx]D-PDP'!$CA$26</v>
      </c>
      <c r="J1270" s="37" t="s">
        <v>2572</v>
      </c>
    </row>
    <row r="1271" spans="1:10" x14ac:dyDescent="0.3">
      <c r="A1271" s="32" t="s">
        <v>14</v>
      </c>
      <c r="B1271" s="32">
        <f t="shared" ref="B1271:B1273" si="307">+B1270+1</f>
        <v>2038</v>
      </c>
      <c r="C1271" s="33" t="s">
        <v>40</v>
      </c>
      <c r="D1271" s="34" t="s">
        <v>2002</v>
      </c>
      <c r="E1271" s="35" t="str">
        <f t="shared" si="302"/>
        <v>PDP'!</v>
      </c>
      <c r="F1271" s="34" t="str">
        <f t="shared" si="303"/>
        <v>C:\Users\jaime.benazar\Quorum Business Solutions\Ecopetrol Prometeo - Documents\Planning Space Implementation\3. Analysis &amp; Design\Design\FC22\DRR Jaime\Neiva CPI\[DINA TERCIARIOS_CF_SEC_New_27-Mar-2024.xlsx]D-PDP'!</v>
      </c>
      <c r="G1271" s="32" t="s">
        <v>120</v>
      </c>
      <c r="H1271" s="33">
        <f t="shared" si="304"/>
        <v>27</v>
      </c>
      <c r="I1271" s="33" t="str">
        <f t="shared" si="305"/>
        <v>='C:\Users\jaime.benazar\Quorum Business Solutions\Ecopetrol Prometeo - Documents\Planning Space Implementation\3. Analysis &amp; Design\Design\FC22\DRR Jaime\Neiva CPI\[DINA TERCIARIOS_CF_SEC_New_27-Mar-2024.xlsx]D-PDP'!$CA$27</v>
      </c>
      <c r="J1271" s="37" t="s">
        <v>2573</v>
      </c>
    </row>
    <row r="1272" spans="1:10" x14ac:dyDescent="0.3">
      <c r="A1272" s="32" t="s">
        <v>14</v>
      </c>
      <c r="B1272" s="32">
        <f t="shared" si="307"/>
        <v>2039</v>
      </c>
      <c r="C1272" s="33" t="s">
        <v>40</v>
      </c>
      <c r="D1272" s="34" t="s">
        <v>2002</v>
      </c>
      <c r="E1272" s="35" t="str">
        <f t="shared" si="302"/>
        <v>PDP'!</v>
      </c>
      <c r="F1272" s="34" t="str">
        <f t="shared" si="303"/>
        <v>C:\Users\jaime.benazar\Quorum Business Solutions\Ecopetrol Prometeo - Documents\Planning Space Implementation\3. Analysis &amp; Design\Design\FC22\DRR Jaime\Neiva CPI\[DINA TERCIARIOS_CF_SEC_New_27-Mar-2024.xlsx]D-PDP'!</v>
      </c>
      <c r="G1272" s="32" t="s">
        <v>120</v>
      </c>
      <c r="H1272" s="33">
        <f t="shared" si="304"/>
        <v>28</v>
      </c>
      <c r="I1272" s="33" t="str">
        <f t="shared" si="305"/>
        <v>='C:\Users\jaime.benazar\Quorum Business Solutions\Ecopetrol Prometeo - Documents\Planning Space Implementation\3. Analysis &amp; Design\Design\FC22\DRR Jaime\Neiva CPI\[DINA TERCIARIOS_CF_SEC_New_27-Mar-2024.xlsx]D-PDP'!$CA$28</v>
      </c>
      <c r="J1272" s="37" t="s">
        <v>2574</v>
      </c>
    </row>
    <row r="1273" spans="1:10" x14ac:dyDescent="0.3">
      <c r="A1273" s="32" t="s">
        <v>14</v>
      </c>
      <c r="B1273" s="32">
        <f t="shared" si="307"/>
        <v>2040</v>
      </c>
      <c r="C1273" s="33" t="s">
        <v>40</v>
      </c>
      <c r="D1273" s="34" t="s">
        <v>2002</v>
      </c>
      <c r="E1273" s="35" t="str">
        <f t="shared" si="302"/>
        <v>PDP'!</v>
      </c>
      <c r="F1273" s="34" t="str">
        <f t="shared" si="303"/>
        <v>C:\Users\jaime.benazar\Quorum Business Solutions\Ecopetrol Prometeo - Documents\Planning Space Implementation\3. Analysis &amp; Design\Design\FC22\DRR Jaime\Neiva CPI\[DINA TERCIARIOS_CF_SEC_New_27-Mar-2024.xlsx]D-PDP'!</v>
      </c>
      <c r="G1273" s="32" t="s">
        <v>120</v>
      </c>
      <c r="H1273" s="33">
        <f t="shared" si="304"/>
        <v>29</v>
      </c>
      <c r="I1273" s="33" t="str">
        <f t="shared" si="305"/>
        <v>='C:\Users\jaime.benazar\Quorum Business Solutions\Ecopetrol Prometeo - Documents\Planning Space Implementation\3. Analysis &amp; Design\Design\FC22\DRR Jaime\Neiva CPI\[DINA TERCIARIOS_CF_SEC_New_27-Mar-2024.xlsx]D-PDP'!$CA$29</v>
      </c>
      <c r="J1273" s="37" t="s">
        <v>2575</v>
      </c>
    </row>
    <row r="1274" spans="1:10" x14ac:dyDescent="0.3">
      <c r="A1274" s="32" t="s">
        <v>14</v>
      </c>
      <c r="B1274" s="32">
        <f>+B1273+1</f>
        <v>2041</v>
      </c>
      <c r="C1274" s="33" t="s">
        <v>40</v>
      </c>
      <c r="D1274" s="34" t="s">
        <v>2002</v>
      </c>
      <c r="E1274" s="35" t="str">
        <f t="shared" si="302"/>
        <v>PDP'!</v>
      </c>
      <c r="F1274" s="34" t="str">
        <f t="shared" si="303"/>
        <v>C:\Users\jaime.benazar\Quorum Business Solutions\Ecopetrol Prometeo - Documents\Planning Space Implementation\3. Analysis &amp; Design\Design\FC22\DRR Jaime\Neiva CPI\[DINA TERCIARIOS_CF_SEC_New_27-Mar-2024.xlsx]D-PDP'!</v>
      </c>
      <c r="G1274" s="32" t="s">
        <v>120</v>
      </c>
      <c r="H1274" s="33">
        <f t="shared" si="304"/>
        <v>30</v>
      </c>
      <c r="I1274" s="33" t="str">
        <f t="shared" si="305"/>
        <v>='C:\Users\jaime.benazar\Quorum Business Solutions\Ecopetrol Prometeo - Documents\Planning Space Implementation\3. Analysis &amp; Design\Design\FC22\DRR Jaime\Neiva CPI\[DINA TERCIARIOS_CF_SEC_New_27-Mar-2024.xlsx]D-PDP'!$CA$30</v>
      </c>
      <c r="J1274" s="37" t="s">
        <v>2576</v>
      </c>
    </row>
    <row r="1275" spans="1:10" x14ac:dyDescent="0.3">
      <c r="A1275" s="32" t="s">
        <v>14</v>
      </c>
      <c r="B1275" s="32">
        <f t="shared" ref="B1275:B1276" si="308">+B1274+1</f>
        <v>2042</v>
      </c>
      <c r="C1275" s="33" t="s">
        <v>40</v>
      </c>
      <c r="D1275" s="34" t="s">
        <v>2002</v>
      </c>
      <c r="E1275" s="35" t="str">
        <f t="shared" si="302"/>
        <v>PDP'!</v>
      </c>
      <c r="F1275" s="34" t="str">
        <f t="shared" si="303"/>
        <v>C:\Users\jaime.benazar\Quorum Business Solutions\Ecopetrol Prometeo - Documents\Planning Space Implementation\3. Analysis &amp; Design\Design\FC22\DRR Jaime\Neiva CPI\[DINA TERCIARIOS_CF_SEC_New_27-Mar-2024.xlsx]D-PDP'!</v>
      </c>
      <c r="G1275" s="32" t="s">
        <v>120</v>
      </c>
      <c r="H1275" s="33">
        <f t="shared" si="304"/>
        <v>31</v>
      </c>
      <c r="I1275" s="33" t="str">
        <f t="shared" si="305"/>
        <v>='C:\Users\jaime.benazar\Quorum Business Solutions\Ecopetrol Prometeo - Documents\Planning Space Implementation\3. Analysis &amp; Design\Design\FC22\DRR Jaime\Neiva CPI\[DINA TERCIARIOS_CF_SEC_New_27-Mar-2024.xlsx]D-PDP'!$CA$31</v>
      </c>
      <c r="J1275" s="37" t="s">
        <v>2577</v>
      </c>
    </row>
    <row r="1276" spans="1:10" x14ac:dyDescent="0.3">
      <c r="A1276" s="32" t="s">
        <v>14</v>
      </c>
      <c r="B1276" s="32">
        <f t="shared" si="308"/>
        <v>2043</v>
      </c>
      <c r="C1276" s="33" t="s">
        <v>40</v>
      </c>
      <c r="D1276" s="34" t="s">
        <v>2002</v>
      </c>
      <c r="E1276" s="35" t="str">
        <f t="shared" si="302"/>
        <v>PDP'!</v>
      </c>
      <c r="F1276" s="34" t="str">
        <f t="shared" si="303"/>
        <v>C:\Users\jaime.benazar\Quorum Business Solutions\Ecopetrol Prometeo - Documents\Planning Space Implementation\3. Analysis &amp; Design\Design\FC22\DRR Jaime\Neiva CPI\[DINA TERCIARIOS_CF_SEC_New_27-Mar-2024.xlsx]D-PDP'!</v>
      </c>
      <c r="G1276" s="32" t="s">
        <v>120</v>
      </c>
      <c r="H1276" s="33">
        <f t="shared" si="304"/>
        <v>32</v>
      </c>
      <c r="I1276" s="33" t="str">
        <f t="shared" si="305"/>
        <v>='C:\Users\jaime.benazar\Quorum Business Solutions\Ecopetrol Prometeo - Documents\Planning Space Implementation\3. Analysis &amp; Design\Design\FC22\DRR Jaime\Neiva CPI\[DINA TERCIARIOS_CF_SEC_New_27-Mar-2024.xlsx]D-PDP'!$CA$32</v>
      </c>
      <c r="J1276" s="37" t="s">
        <v>2578</v>
      </c>
    </row>
    <row r="1277" spans="1:10" x14ac:dyDescent="0.3">
      <c r="A1277" s="32" t="s">
        <v>14</v>
      </c>
      <c r="B1277" s="32">
        <f>+B1276+1</f>
        <v>2044</v>
      </c>
      <c r="C1277" s="33" t="s">
        <v>40</v>
      </c>
      <c r="D1277" s="34" t="s">
        <v>2002</v>
      </c>
      <c r="E1277" s="35" t="str">
        <f t="shared" ref="E1277:E1292" si="309">_xlfn.CONCAT(A1277,"'!")</f>
        <v>PDP'!</v>
      </c>
      <c r="F1277" s="34" t="str">
        <f t="shared" ref="F1277:F1292" si="310">_xlfn.CONCAT(D1277:E1277)</f>
        <v>C:\Users\jaime.benazar\Quorum Business Solutions\Ecopetrol Prometeo - Documents\Planning Space Implementation\3. Analysis &amp; Design\Design\FC22\DRR Jaime\Neiva CPI\[DINA TERCIARIOS_CF_SEC_New_27-Mar-2024.xlsx]D-PDP'!</v>
      </c>
      <c r="G1277" s="32" t="s">
        <v>120</v>
      </c>
      <c r="H1277" s="33">
        <f t="shared" ref="H1277:H1292" si="311">IF(A1277&lt;&gt;A1276,12,H1276+1)</f>
        <v>33</v>
      </c>
      <c r="I1277" s="33" t="str">
        <f t="shared" ref="I1277:I1292" si="312">_xlfn.CONCAT("='",F1277:H1277)</f>
        <v>='C:\Users\jaime.benazar\Quorum Business Solutions\Ecopetrol Prometeo - Documents\Planning Space Implementation\3. Analysis &amp; Design\Design\FC22\DRR Jaime\Neiva CPI\[DINA TERCIARIOS_CF_SEC_New_27-Mar-2024.xlsx]D-PDP'!$CA$33</v>
      </c>
      <c r="J1277" s="37" t="s">
        <v>2579</v>
      </c>
    </row>
    <row r="1278" spans="1:10" x14ac:dyDescent="0.3">
      <c r="A1278" s="32" t="s">
        <v>14</v>
      </c>
      <c r="B1278" s="32">
        <f t="shared" ref="B1278:B1292" si="313">+B1277+1</f>
        <v>2045</v>
      </c>
      <c r="C1278" s="33" t="s">
        <v>40</v>
      </c>
      <c r="D1278" s="34" t="s">
        <v>2002</v>
      </c>
      <c r="E1278" s="35" t="str">
        <f t="shared" si="309"/>
        <v>PDP'!</v>
      </c>
      <c r="F1278" s="34" t="str">
        <f t="shared" si="310"/>
        <v>C:\Users\jaime.benazar\Quorum Business Solutions\Ecopetrol Prometeo - Documents\Planning Space Implementation\3. Analysis &amp; Design\Design\FC22\DRR Jaime\Neiva CPI\[DINA TERCIARIOS_CF_SEC_New_27-Mar-2024.xlsx]D-PDP'!</v>
      </c>
      <c r="G1278" s="32" t="s">
        <v>120</v>
      </c>
      <c r="H1278" s="33">
        <f t="shared" si="311"/>
        <v>34</v>
      </c>
      <c r="I1278" s="33" t="str">
        <f t="shared" si="312"/>
        <v>='C:\Users\jaime.benazar\Quorum Business Solutions\Ecopetrol Prometeo - Documents\Planning Space Implementation\3. Analysis &amp; Design\Design\FC22\DRR Jaime\Neiva CPI\[DINA TERCIARIOS_CF_SEC_New_27-Mar-2024.xlsx]D-PDP'!$CA$34</v>
      </c>
      <c r="J1278" s="37" t="s">
        <v>2580</v>
      </c>
    </row>
    <row r="1279" spans="1:10" x14ac:dyDescent="0.3">
      <c r="A1279" s="32" t="s">
        <v>14</v>
      </c>
      <c r="B1279" s="32">
        <f t="shared" si="313"/>
        <v>2046</v>
      </c>
      <c r="C1279" s="33" t="s">
        <v>40</v>
      </c>
      <c r="D1279" s="34" t="s">
        <v>2002</v>
      </c>
      <c r="E1279" s="35" t="str">
        <f t="shared" si="309"/>
        <v>PDP'!</v>
      </c>
      <c r="F1279" s="34" t="str">
        <f t="shared" si="310"/>
        <v>C:\Users\jaime.benazar\Quorum Business Solutions\Ecopetrol Prometeo - Documents\Planning Space Implementation\3. Analysis &amp; Design\Design\FC22\DRR Jaime\Neiva CPI\[DINA TERCIARIOS_CF_SEC_New_27-Mar-2024.xlsx]D-PDP'!</v>
      </c>
      <c r="G1279" s="32" t="s">
        <v>120</v>
      </c>
      <c r="H1279" s="33">
        <f t="shared" si="311"/>
        <v>35</v>
      </c>
      <c r="I1279" s="33" t="str">
        <f t="shared" si="312"/>
        <v>='C:\Users\jaime.benazar\Quorum Business Solutions\Ecopetrol Prometeo - Documents\Planning Space Implementation\3. Analysis &amp; Design\Design\FC22\DRR Jaime\Neiva CPI\[DINA TERCIARIOS_CF_SEC_New_27-Mar-2024.xlsx]D-PDP'!$CA$35</v>
      </c>
      <c r="J1279" s="37" t="s">
        <v>2581</v>
      </c>
    </row>
    <row r="1280" spans="1:10" x14ac:dyDescent="0.3">
      <c r="A1280" s="32" t="s">
        <v>14</v>
      </c>
      <c r="B1280" s="32">
        <f t="shared" si="313"/>
        <v>2047</v>
      </c>
      <c r="C1280" s="33" t="s">
        <v>40</v>
      </c>
      <c r="D1280" s="34" t="s">
        <v>2002</v>
      </c>
      <c r="E1280" s="35" t="str">
        <f t="shared" si="309"/>
        <v>PDP'!</v>
      </c>
      <c r="F1280" s="34" t="str">
        <f t="shared" si="310"/>
        <v>C:\Users\jaime.benazar\Quorum Business Solutions\Ecopetrol Prometeo - Documents\Planning Space Implementation\3. Analysis &amp; Design\Design\FC22\DRR Jaime\Neiva CPI\[DINA TERCIARIOS_CF_SEC_New_27-Mar-2024.xlsx]D-PDP'!</v>
      </c>
      <c r="G1280" s="32" t="s">
        <v>120</v>
      </c>
      <c r="H1280" s="33">
        <f t="shared" si="311"/>
        <v>36</v>
      </c>
      <c r="I1280" s="33" t="str">
        <f t="shared" si="312"/>
        <v>='C:\Users\jaime.benazar\Quorum Business Solutions\Ecopetrol Prometeo - Documents\Planning Space Implementation\3. Analysis &amp; Design\Design\FC22\DRR Jaime\Neiva CPI\[DINA TERCIARIOS_CF_SEC_New_27-Mar-2024.xlsx]D-PDP'!$CA$36</v>
      </c>
      <c r="J1280" s="37" t="s">
        <v>2582</v>
      </c>
    </row>
    <row r="1281" spans="1:10" x14ac:dyDescent="0.3">
      <c r="A1281" s="32" t="s">
        <v>14</v>
      </c>
      <c r="B1281" s="32">
        <f t="shared" si="313"/>
        <v>2048</v>
      </c>
      <c r="C1281" s="33" t="s">
        <v>40</v>
      </c>
      <c r="D1281" s="34" t="s">
        <v>2002</v>
      </c>
      <c r="E1281" s="35" t="str">
        <f t="shared" si="309"/>
        <v>PDP'!</v>
      </c>
      <c r="F1281" s="34" t="str">
        <f t="shared" si="310"/>
        <v>C:\Users\jaime.benazar\Quorum Business Solutions\Ecopetrol Prometeo - Documents\Planning Space Implementation\3. Analysis &amp; Design\Design\FC22\DRR Jaime\Neiva CPI\[DINA TERCIARIOS_CF_SEC_New_27-Mar-2024.xlsx]D-PDP'!</v>
      </c>
      <c r="G1281" s="32" t="s">
        <v>120</v>
      </c>
      <c r="H1281" s="33">
        <f t="shared" si="311"/>
        <v>37</v>
      </c>
      <c r="I1281" s="33" t="str">
        <f t="shared" si="312"/>
        <v>='C:\Users\jaime.benazar\Quorum Business Solutions\Ecopetrol Prometeo - Documents\Planning Space Implementation\3. Analysis &amp; Design\Design\FC22\DRR Jaime\Neiva CPI\[DINA TERCIARIOS_CF_SEC_New_27-Mar-2024.xlsx]D-PDP'!$CA$37</v>
      </c>
      <c r="J1281" s="37" t="s">
        <v>2583</v>
      </c>
    </row>
    <row r="1282" spans="1:10" x14ac:dyDescent="0.3">
      <c r="A1282" s="32" t="s">
        <v>14</v>
      </c>
      <c r="B1282" s="32">
        <f t="shared" si="313"/>
        <v>2049</v>
      </c>
      <c r="C1282" s="33" t="s">
        <v>40</v>
      </c>
      <c r="D1282" s="34" t="s">
        <v>2002</v>
      </c>
      <c r="E1282" s="35" t="str">
        <f t="shared" si="309"/>
        <v>PDP'!</v>
      </c>
      <c r="F1282" s="34" t="str">
        <f t="shared" si="310"/>
        <v>C:\Users\jaime.benazar\Quorum Business Solutions\Ecopetrol Prometeo - Documents\Planning Space Implementation\3. Analysis &amp; Design\Design\FC22\DRR Jaime\Neiva CPI\[DINA TERCIARIOS_CF_SEC_New_27-Mar-2024.xlsx]D-PDP'!</v>
      </c>
      <c r="G1282" s="32" t="s">
        <v>120</v>
      </c>
      <c r="H1282" s="33">
        <f t="shared" si="311"/>
        <v>38</v>
      </c>
      <c r="I1282" s="33" t="str">
        <f t="shared" si="312"/>
        <v>='C:\Users\jaime.benazar\Quorum Business Solutions\Ecopetrol Prometeo - Documents\Planning Space Implementation\3. Analysis &amp; Design\Design\FC22\DRR Jaime\Neiva CPI\[DINA TERCIARIOS_CF_SEC_New_27-Mar-2024.xlsx]D-PDP'!$CA$38</v>
      </c>
      <c r="J1282" s="37" t="s">
        <v>2584</v>
      </c>
    </row>
    <row r="1283" spans="1:10" x14ac:dyDescent="0.3">
      <c r="A1283" s="32" t="s">
        <v>14</v>
      </c>
      <c r="B1283" s="32">
        <f t="shared" si="313"/>
        <v>2050</v>
      </c>
      <c r="C1283" s="33" t="s">
        <v>40</v>
      </c>
      <c r="D1283" s="34" t="s">
        <v>2002</v>
      </c>
      <c r="E1283" s="35" t="str">
        <f t="shared" si="309"/>
        <v>PDP'!</v>
      </c>
      <c r="F1283" s="34" t="str">
        <f t="shared" si="310"/>
        <v>C:\Users\jaime.benazar\Quorum Business Solutions\Ecopetrol Prometeo - Documents\Planning Space Implementation\3. Analysis &amp; Design\Design\FC22\DRR Jaime\Neiva CPI\[DINA TERCIARIOS_CF_SEC_New_27-Mar-2024.xlsx]D-PDP'!</v>
      </c>
      <c r="G1283" s="32" t="s">
        <v>120</v>
      </c>
      <c r="H1283" s="33">
        <f t="shared" si="311"/>
        <v>39</v>
      </c>
      <c r="I1283" s="33" t="str">
        <f t="shared" si="312"/>
        <v>='C:\Users\jaime.benazar\Quorum Business Solutions\Ecopetrol Prometeo - Documents\Planning Space Implementation\3. Analysis &amp; Design\Design\FC22\DRR Jaime\Neiva CPI\[DINA TERCIARIOS_CF_SEC_New_27-Mar-2024.xlsx]D-PDP'!$CA$39</v>
      </c>
      <c r="J1283" s="37" t="s">
        <v>2585</v>
      </c>
    </row>
    <row r="1284" spans="1:10" x14ac:dyDescent="0.3">
      <c r="A1284" s="32" t="s">
        <v>14</v>
      </c>
      <c r="B1284" s="32">
        <f t="shared" si="313"/>
        <v>2051</v>
      </c>
      <c r="C1284" s="33" t="s">
        <v>40</v>
      </c>
      <c r="D1284" s="34" t="s">
        <v>2002</v>
      </c>
      <c r="E1284" s="35" t="str">
        <f t="shared" si="309"/>
        <v>PDP'!</v>
      </c>
      <c r="F1284" s="34" t="str">
        <f t="shared" si="310"/>
        <v>C:\Users\jaime.benazar\Quorum Business Solutions\Ecopetrol Prometeo - Documents\Planning Space Implementation\3. Analysis &amp; Design\Design\FC22\DRR Jaime\Neiva CPI\[DINA TERCIARIOS_CF_SEC_New_27-Mar-2024.xlsx]D-PDP'!</v>
      </c>
      <c r="G1284" s="32" t="s">
        <v>120</v>
      </c>
      <c r="H1284" s="33">
        <f t="shared" si="311"/>
        <v>40</v>
      </c>
      <c r="I1284" s="33" t="str">
        <f t="shared" si="312"/>
        <v>='C:\Users\jaime.benazar\Quorum Business Solutions\Ecopetrol Prometeo - Documents\Planning Space Implementation\3. Analysis &amp; Design\Design\FC22\DRR Jaime\Neiva CPI\[DINA TERCIARIOS_CF_SEC_New_27-Mar-2024.xlsx]D-PDP'!$CA$40</v>
      </c>
      <c r="J1284" s="37" t="s">
        <v>2586</v>
      </c>
    </row>
    <row r="1285" spans="1:10" x14ac:dyDescent="0.3">
      <c r="A1285" s="32" t="s">
        <v>14</v>
      </c>
      <c r="B1285" s="32">
        <f t="shared" si="313"/>
        <v>2052</v>
      </c>
      <c r="C1285" s="33" t="s">
        <v>40</v>
      </c>
      <c r="D1285" s="34" t="s">
        <v>2002</v>
      </c>
      <c r="E1285" s="35" t="str">
        <f t="shared" si="309"/>
        <v>PDP'!</v>
      </c>
      <c r="F1285" s="34" t="str">
        <f t="shared" si="310"/>
        <v>C:\Users\jaime.benazar\Quorum Business Solutions\Ecopetrol Prometeo - Documents\Planning Space Implementation\3. Analysis &amp; Design\Design\FC22\DRR Jaime\Neiva CPI\[DINA TERCIARIOS_CF_SEC_New_27-Mar-2024.xlsx]D-PDP'!</v>
      </c>
      <c r="G1285" s="32" t="s">
        <v>120</v>
      </c>
      <c r="H1285" s="33">
        <f t="shared" si="311"/>
        <v>41</v>
      </c>
      <c r="I1285" s="33" t="str">
        <f t="shared" si="312"/>
        <v>='C:\Users\jaime.benazar\Quorum Business Solutions\Ecopetrol Prometeo - Documents\Planning Space Implementation\3. Analysis &amp; Design\Design\FC22\DRR Jaime\Neiva CPI\[DINA TERCIARIOS_CF_SEC_New_27-Mar-2024.xlsx]D-PDP'!$CA$41</v>
      </c>
      <c r="J1285" s="37" t="s">
        <v>2587</v>
      </c>
    </row>
    <row r="1286" spans="1:10" x14ac:dyDescent="0.3">
      <c r="A1286" s="32" t="s">
        <v>14</v>
      </c>
      <c r="B1286" s="32">
        <f t="shared" si="313"/>
        <v>2053</v>
      </c>
      <c r="C1286" s="33" t="s">
        <v>40</v>
      </c>
      <c r="D1286" s="34" t="s">
        <v>2002</v>
      </c>
      <c r="E1286" s="35" t="str">
        <f t="shared" si="309"/>
        <v>PDP'!</v>
      </c>
      <c r="F1286" s="34" t="str">
        <f t="shared" si="310"/>
        <v>C:\Users\jaime.benazar\Quorum Business Solutions\Ecopetrol Prometeo - Documents\Planning Space Implementation\3. Analysis &amp; Design\Design\FC22\DRR Jaime\Neiva CPI\[DINA TERCIARIOS_CF_SEC_New_27-Mar-2024.xlsx]D-PDP'!</v>
      </c>
      <c r="G1286" s="32" t="s">
        <v>120</v>
      </c>
      <c r="H1286" s="33">
        <f t="shared" si="311"/>
        <v>42</v>
      </c>
      <c r="I1286" s="33" t="str">
        <f t="shared" si="312"/>
        <v>='C:\Users\jaime.benazar\Quorum Business Solutions\Ecopetrol Prometeo - Documents\Planning Space Implementation\3. Analysis &amp; Design\Design\FC22\DRR Jaime\Neiva CPI\[DINA TERCIARIOS_CF_SEC_New_27-Mar-2024.xlsx]D-PDP'!$CA$42</v>
      </c>
      <c r="J1286" s="37" t="s">
        <v>2588</v>
      </c>
    </row>
    <row r="1287" spans="1:10" x14ac:dyDescent="0.3">
      <c r="A1287" s="32" t="s">
        <v>14</v>
      </c>
      <c r="B1287" s="32">
        <f t="shared" si="313"/>
        <v>2054</v>
      </c>
      <c r="C1287" s="33" t="s">
        <v>40</v>
      </c>
      <c r="D1287" s="34" t="s">
        <v>2002</v>
      </c>
      <c r="E1287" s="35" t="str">
        <f t="shared" si="309"/>
        <v>PDP'!</v>
      </c>
      <c r="F1287" s="34" t="str">
        <f t="shared" si="310"/>
        <v>C:\Users\jaime.benazar\Quorum Business Solutions\Ecopetrol Prometeo - Documents\Planning Space Implementation\3. Analysis &amp; Design\Design\FC22\DRR Jaime\Neiva CPI\[DINA TERCIARIOS_CF_SEC_New_27-Mar-2024.xlsx]D-PDP'!</v>
      </c>
      <c r="G1287" s="32" t="s">
        <v>120</v>
      </c>
      <c r="H1287" s="33">
        <f t="shared" si="311"/>
        <v>43</v>
      </c>
      <c r="I1287" s="33" t="str">
        <f t="shared" si="312"/>
        <v>='C:\Users\jaime.benazar\Quorum Business Solutions\Ecopetrol Prometeo - Documents\Planning Space Implementation\3. Analysis &amp; Design\Design\FC22\DRR Jaime\Neiva CPI\[DINA TERCIARIOS_CF_SEC_New_27-Mar-2024.xlsx]D-PDP'!$CA$43</v>
      </c>
      <c r="J1287" s="37" t="s">
        <v>2589</v>
      </c>
    </row>
    <row r="1288" spans="1:10" x14ac:dyDescent="0.3">
      <c r="A1288" s="32" t="s">
        <v>14</v>
      </c>
      <c r="B1288" s="32">
        <f t="shared" si="313"/>
        <v>2055</v>
      </c>
      <c r="C1288" s="33" t="s">
        <v>40</v>
      </c>
      <c r="D1288" s="34" t="s">
        <v>2002</v>
      </c>
      <c r="E1288" s="35" t="str">
        <f t="shared" si="309"/>
        <v>PDP'!</v>
      </c>
      <c r="F1288" s="34" t="str">
        <f t="shared" si="310"/>
        <v>C:\Users\jaime.benazar\Quorum Business Solutions\Ecopetrol Prometeo - Documents\Planning Space Implementation\3. Analysis &amp; Design\Design\FC22\DRR Jaime\Neiva CPI\[DINA TERCIARIOS_CF_SEC_New_27-Mar-2024.xlsx]D-PDP'!</v>
      </c>
      <c r="G1288" s="32" t="s">
        <v>120</v>
      </c>
      <c r="H1288" s="33">
        <f t="shared" si="311"/>
        <v>44</v>
      </c>
      <c r="I1288" s="33" t="str">
        <f t="shared" si="312"/>
        <v>='C:\Users\jaime.benazar\Quorum Business Solutions\Ecopetrol Prometeo - Documents\Planning Space Implementation\3. Analysis &amp; Design\Design\FC22\DRR Jaime\Neiva CPI\[DINA TERCIARIOS_CF_SEC_New_27-Mar-2024.xlsx]D-PDP'!$CA$44</v>
      </c>
      <c r="J1288" s="37" t="s">
        <v>2590</v>
      </c>
    </row>
    <row r="1289" spans="1:10" x14ac:dyDescent="0.3">
      <c r="A1289" s="32" t="s">
        <v>14</v>
      </c>
      <c r="B1289" s="32">
        <f t="shared" si="313"/>
        <v>2056</v>
      </c>
      <c r="C1289" s="33" t="s">
        <v>40</v>
      </c>
      <c r="D1289" s="34" t="s">
        <v>2002</v>
      </c>
      <c r="E1289" s="35" t="str">
        <f t="shared" si="309"/>
        <v>PDP'!</v>
      </c>
      <c r="F1289" s="34" t="str">
        <f t="shared" si="310"/>
        <v>C:\Users\jaime.benazar\Quorum Business Solutions\Ecopetrol Prometeo - Documents\Planning Space Implementation\3. Analysis &amp; Design\Design\FC22\DRR Jaime\Neiva CPI\[DINA TERCIARIOS_CF_SEC_New_27-Mar-2024.xlsx]D-PDP'!</v>
      </c>
      <c r="G1289" s="32" t="s">
        <v>120</v>
      </c>
      <c r="H1289" s="33">
        <f t="shared" si="311"/>
        <v>45</v>
      </c>
      <c r="I1289" s="33" t="str">
        <f t="shared" si="312"/>
        <v>='C:\Users\jaime.benazar\Quorum Business Solutions\Ecopetrol Prometeo - Documents\Planning Space Implementation\3. Analysis &amp; Design\Design\FC22\DRR Jaime\Neiva CPI\[DINA TERCIARIOS_CF_SEC_New_27-Mar-2024.xlsx]D-PDP'!$CA$45</v>
      </c>
      <c r="J1289" s="37" t="s">
        <v>2591</v>
      </c>
    </row>
    <row r="1290" spans="1:10" x14ac:dyDescent="0.3">
      <c r="A1290" s="32" t="s">
        <v>14</v>
      </c>
      <c r="B1290" s="32">
        <f t="shared" si="313"/>
        <v>2057</v>
      </c>
      <c r="C1290" s="33" t="s">
        <v>40</v>
      </c>
      <c r="D1290" s="34" t="s">
        <v>2002</v>
      </c>
      <c r="E1290" s="35" t="str">
        <f t="shared" si="309"/>
        <v>PDP'!</v>
      </c>
      <c r="F1290" s="34" t="str">
        <f t="shared" si="310"/>
        <v>C:\Users\jaime.benazar\Quorum Business Solutions\Ecopetrol Prometeo - Documents\Planning Space Implementation\3. Analysis &amp; Design\Design\FC22\DRR Jaime\Neiva CPI\[DINA TERCIARIOS_CF_SEC_New_27-Mar-2024.xlsx]D-PDP'!</v>
      </c>
      <c r="G1290" s="32" t="s">
        <v>120</v>
      </c>
      <c r="H1290" s="33">
        <f t="shared" si="311"/>
        <v>46</v>
      </c>
      <c r="I1290" s="33" t="str">
        <f t="shared" si="312"/>
        <v>='C:\Users\jaime.benazar\Quorum Business Solutions\Ecopetrol Prometeo - Documents\Planning Space Implementation\3. Analysis &amp; Design\Design\FC22\DRR Jaime\Neiva CPI\[DINA TERCIARIOS_CF_SEC_New_27-Mar-2024.xlsx]D-PDP'!$CA$46</v>
      </c>
      <c r="J1290" s="37" t="s">
        <v>2592</v>
      </c>
    </row>
    <row r="1291" spans="1:10" x14ac:dyDescent="0.3">
      <c r="A1291" s="32" t="s">
        <v>14</v>
      </c>
      <c r="B1291" s="32">
        <f t="shared" si="313"/>
        <v>2058</v>
      </c>
      <c r="C1291" s="33" t="s">
        <v>40</v>
      </c>
      <c r="D1291" s="34" t="s">
        <v>2002</v>
      </c>
      <c r="E1291" s="35" t="str">
        <f t="shared" si="309"/>
        <v>PDP'!</v>
      </c>
      <c r="F1291" s="34" t="str">
        <f t="shared" si="310"/>
        <v>C:\Users\jaime.benazar\Quorum Business Solutions\Ecopetrol Prometeo - Documents\Planning Space Implementation\3. Analysis &amp; Design\Design\FC22\DRR Jaime\Neiva CPI\[DINA TERCIARIOS_CF_SEC_New_27-Mar-2024.xlsx]D-PDP'!</v>
      </c>
      <c r="G1291" s="32" t="s">
        <v>120</v>
      </c>
      <c r="H1291" s="33">
        <f t="shared" si="311"/>
        <v>47</v>
      </c>
      <c r="I1291" s="33" t="str">
        <f t="shared" si="312"/>
        <v>='C:\Users\jaime.benazar\Quorum Business Solutions\Ecopetrol Prometeo - Documents\Planning Space Implementation\3. Analysis &amp; Design\Design\FC22\DRR Jaime\Neiva CPI\[DINA TERCIARIOS_CF_SEC_New_27-Mar-2024.xlsx]D-PDP'!$CA$47</v>
      </c>
      <c r="J1291" s="37" t="s">
        <v>2593</v>
      </c>
    </row>
    <row r="1292" spans="1:10" x14ac:dyDescent="0.3">
      <c r="A1292" s="32" t="s">
        <v>14</v>
      </c>
      <c r="B1292" s="32">
        <f t="shared" si="313"/>
        <v>2059</v>
      </c>
      <c r="C1292" s="33" t="s">
        <v>40</v>
      </c>
      <c r="D1292" s="34" t="s">
        <v>2002</v>
      </c>
      <c r="E1292" s="35" t="str">
        <f t="shared" si="309"/>
        <v>PDP'!</v>
      </c>
      <c r="F1292" s="34" t="str">
        <f t="shared" si="310"/>
        <v>C:\Users\jaime.benazar\Quorum Business Solutions\Ecopetrol Prometeo - Documents\Planning Space Implementation\3. Analysis &amp; Design\Design\FC22\DRR Jaime\Neiva CPI\[DINA TERCIARIOS_CF_SEC_New_27-Mar-2024.xlsx]D-PDP'!</v>
      </c>
      <c r="G1292" s="32" t="s">
        <v>120</v>
      </c>
      <c r="H1292" s="33">
        <f t="shared" si="311"/>
        <v>48</v>
      </c>
      <c r="I1292" s="33" t="str">
        <f t="shared" si="312"/>
        <v>='C:\Users\jaime.benazar\Quorum Business Solutions\Ecopetrol Prometeo - Documents\Planning Space Implementation\3. Analysis &amp; Design\Design\FC22\DRR Jaime\Neiva CPI\[DINA TERCIARIOS_CF_SEC_New_27-Mar-2024.xlsx]D-PDP'!$CA$48</v>
      </c>
      <c r="J1292" s="37" t="s">
        <v>2594</v>
      </c>
    </row>
    <row r="1293" spans="1:10" x14ac:dyDescent="0.3">
      <c r="A1293" s="32" t="s">
        <v>26</v>
      </c>
      <c r="B1293" s="32"/>
      <c r="C1293" s="33" t="s">
        <v>40</v>
      </c>
      <c r="D1293" s="34"/>
      <c r="E1293" s="35"/>
      <c r="F1293" s="34"/>
      <c r="G1293" s="32"/>
      <c r="H1293" s="33"/>
      <c r="I1293" s="33"/>
      <c r="J1293" s="33"/>
    </row>
    <row r="1294" spans="1:10" x14ac:dyDescent="0.3">
      <c r="A1294" s="32" t="s">
        <v>15</v>
      </c>
      <c r="B1294" s="32">
        <v>2023</v>
      </c>
      <c r="C1294" s="33" t="s">
        <v>40</v>
      </c>
      <c r="D1294" s="34" t="s">
        <v>2002</v>
      </c>
      <c r="E1294" s="35" t="str">
        <f t="shared" si="302"/>
        <v>PNP'!</v>
      </c>
      <c r="F1294" s="34" t="str">
        <f t="shared" si="303"/>
        <v>C:\Users\jaime.benazar\Quorum Business Solutions\Ecopetrol Prometeo - Documents\Planning Space Implementation\3. Analysis &amp; Design\Design\FC22\DRR Jaime\Neiva CPI\[DINA TERCIARIOS_CF_SEC_New_27-Mar-2024.xlsx]D-PNP'!</v>
      </c>
      <c r="G1294" s="32" t="s">
        <v>120</v>
      </c>
      <c r="H1294" s="33">
        <v>12</v>
      </c>
      <c r="I1294" s="33" t="str">
        <f t="shared" si="305"/>
        <v>='C:\Users\jaime.benazar\Quorum Business Solutions\Ecopetrol Prometeo - Documents\Planning Space Implementation\3. Analysis &amp; Design\Design\FC22\DRR Jaime\Neiva CPI\[DINA TERCIARIOS_CF_SEC_New_27-Mar-2024.xlsx]D-PNP'!$CA$12</v>
      </c>
      <c r="J1294" s="37" t="s">
        <v>2595</v>
      </c>
    </row>
    <row r="1295" spans="1:10" x14ac:dyDescent="0.3">
      <c r="A1295" s="32" t="s">
        <v>15</v>
      </c>
      <c r="B1295" s="32">
        <f>+B1294+1</f>
        <v>2024</v>
      </c>
      <c r="C1295" s="33" t="s">
        <v>40</v>
      </c>
      <c r="D1295" s="34" t="s">
        <v>2002</v>
      </c>
      <c r="E1295" s="35" t="str">
        <f t="shared" si="302"/>
        <v>PNP'!</v>
      </c>
      <c r="F1295" s="34" t="str">
        <f t="shared" si="303"/>
        <v>C:\Users\jaime.benazar\Quorum Business Solutions\Ecopetrol Prometeo - Documents\Planning Space Implementation\3. Analysis &amp; Design\Design\FC22\DRR Jaime\Neiva CPI\[DINA TERCIARIOS_CF_SEC_New_27-Mar-2024.xlsx]D-PNP'!</v>
      </c>
      <c r="G1295" s="32" t="s">
        <v>120</v>
      </c>
      <c r="H1295" s="33">
        <f t="shared" ref="H1295:H1314" si="314">IF(A1295&lt;&gt;A1294,12,H1294+1)</f>
        <v>13</v>
      </c>
      <c r="I1295" s="33" t="str">
        <f t="shared" si="305"/>
        <v>='C:\Users\jaime.benazar\Quorum Business Solutions\Ecopetrol Prometeo - Documents\Planning Space Implementation\3. Analysis &amp; Design\Design\FC22\DRR Jaime\Neiva CPI\[DINA TERCIARIOS_CF_SEC_New_27-Mar-2024.xlsx]D-PNP'!$CA$13</v>
      </c>
      <c r="J1295" s="37" t="s">
        <v>2596</v>
      </c>
    </row>
    <row r="1296" spans="1:10" x14ac:dyDescent="0.3">
      <c r="A1296" s="32" t="s">
        <v>15</v>
      </c>
      <c r="B1296" s="32">
        <f t="shared" ref="B1296:B1307" si="315">+B1295+1</f>
        <v>2025</v>
      </c>
      <c r="C1296" s="33" t="s">
        <v>40</v>
      </c>
      <c r="D1296" s="34" t="s">
        <v>2002</v>
      </c>
      <c r="E1296" s="35" t="str">
        <f t="shared" si="302"/>
        <v>PNP'!</v>
      </c>
      <c r="F1296" s="34" t="str">
        <f t="shared" si="303"/>
        <v>C:\Users\jaime.benazar\Quorum Business Solutions\Ecopetrol Prometeo - Documents\Planning Space Implementation\3. Analysis &amp; Design\Design\FC22\DRR Jaime\Neiva CPI\[DINA TERCIARIOS_CF_SEC_New_27-Mar-2024.xlsx]D-PNP'!</v>
      </c>
      <c r="G1296" s="32" t="s">
        <v>120</v>
      </c>
      <c r="H1296" s="33">
        <f t="shared" si="314"/>
        <v>14</v>
      </c>
      <c r="I1296" s="33" t="str">
        <f t="shared" si="305"/>
        <v>='C:\Users\jaime.benazar\Quorum Business Solutions\Ecopetrol Prometeo - Documents\Planning Space Implementation\3. Analysis &amp; Design\Design\FC22\DRR Jaime\Neiva CPI\[DINA TERCIARIOS_CF_SEC_New_27-Mar-2024.xlsx]D-PNP'!$CA$14</v>
      </c>
      <c r="J1296" s="37" t="s">
        <v>2597</v>
      </c>
    </row>
    <row r="1297" spans="1:10" x14ac:dyDescent="0.3">
      <c r="A1297" s="32" t="s">
        <v>15</v>
      </c>
      <c r="B1297" s="32">
        <f t="shared" si="315"/>
        <v>2026</v>
      </c>
      <c r="C1297" s="33" t="s">
        <v>40</v>
      </c>
      <c r="D1297" s="34" t="s">
        <v>2002</v>
      </c>
      <c r="E1297" s="35" t="str">
        <f t="shared" si="302"/>
        <v>PNP'!</v>
      </c>
      <c r="F1297" s="34" t="str">
        <f t="shared" si="303"/>
        <v>C:\Users\jaime.benazar\Quorum Business Solutions\Ecopetrol Prometeo - Documents\Planning Space Implementation\3. Analysis &amp; Design\Design\FC22\DRR Jaime\Neiva CPI\[DINA TERCIARIOS_CF_SEC_New_27-Mar-2024.xlsx]D-PNP'!</v>
      </c>
      <c r="G1297" s="32" t="s">
        <v>120</v>
      </c>
      <c r="H1297" s="33">
        <f t="shared" si="314"/>
        <v>15</v>
      </c>
      <c r="I1297" s="33" t="str">
        <f t="shared" si="305"/>
        <v>='C:\Users\jaime.benazar\Quorum Business Solutions\Ecopetrol Prometeo - Documents\Planning Space Implementation\3. Analysis &amp; Design\Design\FC22\DRR Jaime\Neiva CPI\[DINA TERCIARIOS_CF_SEC_New_27-Mar-2024.xlsx]D-PNP'!$CA$15</v>
      </c>
      <c r="J1297" s="37" t="s">
        <v>2598</v>
      </c>
    </row>
    <row r="1298" spans="1:10" x14ac:dyDescent="0.3">
      <c r="A1298" s="32" t="s">
        <v>15</v>
      </c>
      <c r="B1298" s="32">
        <f t="shared" si="315"/>
        <v>2027</v>
      </c>
      <c r="C1298" s="33" t="s">
        <v>40</v>
      </c>
      <c r="D1298" s="34" t="s">
        <v>2002</v>
      </c>
      <c r="E1298" s="35" t="str">
        <f t="shared" si="302"/>
        <v>PNP'!</v>
      </c>
      <c r="F1298" s="34" t="str">
        <f t="shared" si="303"/>
        <v>C:\Users\jaime.benazar\Quorum Business Solutions\Ecopetrol Prometeo - Documents\Planning Space Implementation\3. Analysis &amp; Design\Design\FC22\DRR Jaime\Neiva CPI\[DINA TERCIARIOS_CF_SEC_New_27-Mar-2024.xlsx]D-PNP'!</v>
      </c>
      <c r="G1298" s="32" t="s">
        <v>120</v>
      </c>
      <c r="H1298" s="33">
        <f t="shared" si="314"/>
        <v>16</v>
      </c>
      <c r="I1298" s="33" t="str">
        <f t="shared" si="305"/>
        <v>='C:\Users\jaime.benazar\Quorum Business Solutions\Ecopetrol Prometeo - Documents\Planning Space Implementation\3. Analysis &amp; Design\Design\FC22\DRR Jaime\Neiva CPI\[DINA TERCIARIOS_CF_SEC_New_27-Mar-2024.xlsx]D-PNP'!$CA$16</v>
      </c>
      <c r="J1298" s="37" t="s">
        <v>2599</v>
      </c>
    </row>
    <row r="1299" spans="1:10" x14ac:dyDescent="0.3">
      <c r="A1299" s="32" t="s">
        <v>15</v>
      </c>
      <c r="B1299" s="32">
        <f t="shared" si="315"/>
        <v>2028</v>
      </c>
      <c r="C1299" s="33" t="s">
        <v>40</v>
      </c>
      <c r="D1299" s="34" t="s">
        <v>2002</v>
      </c>
      <c r="E1299" s="35" t="str">
        <f t="shared" si="302"/>
        <v>PNP'!</v>
      </c>
      <c r="F1299" s="34" t="str">
        <f t="shared" si="303"/>
        <v>C:\Users\jaime.benazar\Quorum Business Solutions\Ecopetrol Prometeo - Documents\Planning Space Implementation\3. Analysis &amp; Design\Design\FC22\DRR Jaime\Neiva CPI\[DINA TERCIARIOS_CF_SEC_New_27-Mar-2024.xlsx]D-PNP'!</v>
      </c>
      <c r="G1299" s="32" t="s">
        <v>120</v>
      </c>
      <c r="H1299" s="33">
        <f t="shared" si="314"/>
        <v>17</v>
      </c>
      <c r="I1299" s="33" t="str">
        <f t="shared" si="305"/>
        <v>='C:\Users\jaime.benazar\Quorum Business Solutions\Ecopetrol Prometeo - Documents\Planning Space Implementation\3. Analysis &amp; Design\Design\FC22\DRR Jaime\Neiva CPI\[DINA TERCIARIOS_CF_SEC_New_27-Mar-2024.xlsx]D-PNP'!$CA$17</v>
      </c>
      <c r="J1299" s="37" t="s">
        <v>2600</v>
      </c>
    </row>
    <row r="1300" spans="1:10" x14ac:dyDescent="0.3">
      <c r="A1300" s="32" t="s">
        <v>15</v>
      </c>
      <c r="B1300" s="32">
        <f t="shared" si="315"/>
        <v>2029</v>
      </c>
      <c r="C1300" s="33" t="s">
        <v>40</v>
      </c>
      <c r="D1300" s="34" t="s">
        <v>2002</v>
      </c>
      <c r="E1300" s="35" t="str">
        <f t="shared" si="302"/>
        <v>PNP'!</v>
      </c>
      <c r="F1300" s="34" t="str">
        <f t="shared" si="303"/>
        <v>C:\Users\jaime.benazar\Quorum Business Solutions\Ecopetrol Prometeo - Documents\Planning Space Implementation\3. Analysis &amp; Design\Design\FC22\DRR Jaime\Neiva CPI\[DINA TERCIARIOS_CF_SEC_New_27-Mar-2024.xlsx]D-PNP'!</v>
      </c>
      <c r="G1300" s="32" t="s">
        <v>120</v>
      </c>
      <c r="H1300" s="33">
        <f t="shared" si="314"/>
        <v>18</v>
      </c>
      <c r="I1300" s="33" t="str">
        <f t="shared" si="305"/>
        <v>='C:\Users\jaime.benazar\Quorum Business Solutions\Ecopetrol Prometeo - Documents\Planning Space Implementation\3. Analysis &amp; Design\Design\FC22\DRR Jaime\Neiva CPI\[DINA TERCIARIOS_CF_SEC_New_27-Mar-2024.xlsx]D-PNP'!$CA$18</v>
      </c>
      <c r="J1300" s="37" t="s">
        <v>2601</v>
      </c>
    </row>
    <row r="1301" spans="1:10" x14ac:dyDescent="0.3">
      <c r="A1301" s="32" t="s">
        <v>15</v>
      </c>
      <c r="B1301" s="32">
        <f t="shared" si="315"/>
        <v>2030</v>
      </c>
      <c r="C1301" s="33" t="s">
        <v>40</v>
      </c>
      <c r="D1301" s="34" t="s">
        <v>2002</v>
      </c>
      <c r="E1301" s="35" t="str">
        <f t="shared" si="302"/>
        <v>PNP'!</v>
      </c>
      <c r="F1301" s="34" t="str">
        <f t="shared" si="303"/>
        <v>C:\Users\jaime.benazar\Quorum Business Solutions\Ecopetrol Prometeo - Documents\Planning Space Implementation\3. Analysis &amp; Design\Design\FC22\DRR Jaime\Neiva CPI\[DINA TERCIARIOS_CF_SEC_New_27-Mar-2024.xlsx]D-PNP'!</v>
      </c>
      <c r="G1301" s="32" t="s">
        <v>120</v>
      </c>
      <c r="H1301" s="33">
        <f t="shared" si="314"/>
        <v>19</v>
      </c>
      <c r="I1301" s="33" t="str">
        <f t="shared" si="305"/>
        <v>='C:\Users\jaime.benazar\Quorum Business Solutions\Ecopetrol Prometeo - Documents\Planning Space Implementation\3. Analysis &amp; Design\Design\FC22\DRR Jaime\Neiva CPI\[DINA TERCIARIOS_CF_SEC_New_27-Mar-2024.xlsx]D-PNP'!$CA$19</v>
      </c>
      <c r="J1301" s="37" t="s">
        <v>2602</v>
      </c>
    </row>
    <row r="1302" spans="1:10" x14ac:dyDescent="0.3">
      <c r="A1302" s="32" t="s">
        <v>15</v>
      </c>
      <c r="B1302" s="32">
        <f t="shared" si="315"/>
        <v>2031</v>
      </c>
      <c r="C1302" s="33" t="s">
        <v>40</v>
      </c>
      <c r="D1302" s="34" t="s">
        <v>2002</v>
      </c>
      <c r="E1302" s="35" t="str">
        <f t="shared" si="302"/>
        <v>PNP'!</v>
      </c>
      <c r="F1302" s="34" t="str">
        <f t="shared" si="303"/>
        <v>C:\Users\jaime.benazar\Quorum Business Solutions\Ecopetrol Prometeo - Documents\Planning Space Implementation\3. Analysis &amp; Design\Design\FC22\DRR Jaime\Neiva CPI\[DINA TERCIARIOS_CF_SEC_New_27-Mar-2024.xlsx]D-PNP'!</v>
      </c>
      <c r="G1302" s="32" t="s">
        <v>120</v>
      </c>
      <c r="H1302" s="33">
        <f t="shared" si="314"/>
        <v>20</v>
      </c>
      <c r="I1302" s="33" t="str">
        <f t="shared" si="305"/>
        <v>='C:\Users\jaime.benazar\Quorum Business Solutions\Ecopetrol Prometeo - Documents\Planning Space Implementation\3. Analysis &amp; Design\Design\FC22\DRR Jaime\Neiva CPI\[DINA TERCIARIOS_CF_SEC_New_27-Mar-2024.xlsx]D-PNP'!$CA$20</v>
      </c>
      <c r="J1302" s="37" t="s">
        <v>2603</v>
      </c>
    </row>
    <row r="1303" spans="1:10" x14ac:dyDescent="0.3">
      <c r="A1303" s="32" t="s">
        <v>15</v>
      </c>
      <c r="B1303" s="32">
        <f t="shared" si="315"/>
        <v>2032</v>
      </c>
      <c r="C1303" s="33" t="s">
        <v>40</v>
      </c>
      <c r="D1303" s="34" t="s">
        <v>2002</v>
      </c>
      <c r="E1303" s="35" t="str">
        <f t="shared" si="302"/>
        <v>PNP'!</v>
      </c>
      <c r="F1303" s="34" t="str">
        <f t="shared" si="303"/>
        <v>C:\Users\jaime.benazar\Quorum Business Solutions\Ecopetrol Prometeo - Documents\Planning Space Implementation\3. Analysis &amp; Design\Design\FC22\DRR Jaime\Neiva CPI\[DINA TERCIARIOS_CF_SEC_New_27-Mar-2024.xlsx]D-PNP'!</v>
      </c>
      <c r="G1303" s="32" t="s">
        <v>120</v>
      </c>
      <c r="H1303" s="33">
        <f t="shared" si="314"/>
        <v>21</v>
      </c>
      <c r="I1303" s="33" t="str">
        <f t="shared" si="305"/>
        <v>='C:\Users\jaime.benazar\Quorum Business Solutions\Ecopetrol Prometeo - Documents\Planning Space Implementation\3. Analysis &amp; Design\Design\FC22\DRR Jaime\Neiva CPI\[DINA TERCIARIOS_CF_SEC_New_27-Mar-2024.xlsx]D-PNP'!$CA$21</v>
      </c>
      <c r="J1303" s="37" t="s">
        <v>2604</v>
      </c>
    </row>
    <row r="1304" spans="1:10" x14ac:dyDescent="0.3">
      <c r="A1304" s="32" t="s">
        <v>15</v>
      </c>
      <c r="B1304" s="32">
        <f t="shared" si="315"/>
        <v>2033</v>
      </c>
      <c r="C1304" s="33" t="s">
        <v>40</v>
      </c>
      <c r="D1304" s="34" t="s">
        <v>2002</v>
      </c>
      <c r="E1304" s="35" t="str">
        <f t="shared" si="302"/>
        <v>PNP'!</v>
      </c>
      <c r="F1304" s="34" t="str">
        <f t="shared" si="303"/>
        <v>C:\Users\jaime.benazar\Quorum Business Solutions\Ecopetrol Prometeo - Documents\Planning Space Implementation\3. Analysis &amp; Design\Design\FC22\DRR Jaime\Neiva CPI\[DINA TERCIARIOS_CF_SEC_New_27-Mar-2024.xlsx]D-PNP'!</v>
      </c>
      <c r="G1304" s="32" t="s">
        <v>120</v>
      </c>
      <c r="H1304" s="33">
        <f t="shared" si="314"/>
        <v>22</v>
      </c>
      <c r="I1304" s="33" t="str">
        <f t="shared" si="305"/>
        <v>='C:\Users\jaime.benazar\Quorum Business Solutions\Ecopetrol Prometeo - Documents\Planning Space Implementation\3. Analysis &amp; Design\Design\FC22\DRR Jaime\Neiva CPI\[DINA TERCIARIOS_CF_SEC_New_27-Mar-2024.xlsx]D-PNP'!$CA$22</v>
      </c>
      <c r="J1304" s="37" t="s">
        <v>2605</v>
      </c>
    </row>
    <row r="1305" spans="1:10" x14ac:dyDescent="0.3">
      <c r="A1305" s="32" t="s">
        <v>15</v>
      </c>
      <c r="B1305" s="32">
        <f t="shared" si="315"/>
        <v>2034</v>
      </c>
      <c r="C1305" s="33" t="s">
        <v>40</v>
      </c>
      <c r="D1305" s="34" t="s">
        <v>2002</v>
      </c>
      <c r="E1305" s="35" t="str">
        <f t="shared" si="302"/>
        <v>PNP'!</v>
      </c>
      <c r="F1305" s="34" t="str">
        <f t="shared" si="303"/>
        <v>C:\Users\jaime.benazar\Quorum Business Solutions\Ecopetrol Prometeo - Documents\Planning Space Implementation\3. Analysis &amp; Design\Design\FC22\DRR Jaime\Neiva CPI\[DINA TERCIARIOS_CF_SEC_New_27-Mar-2024.xlsx]D-PNP'!</v>
      </c>
      <c r="G1305" s="32" t="s">
        <v>120</v>
      </c>
      <c r="H1305" s="33">
        <f t="shared" si="314"/>
        <v>23</v>
      </c>
      <c r="I1305" s="33" t="str">
        <f t="shared" si="305"/>
        <v>='C:\Users\jaime.benazar\Quorum Business Solutions\Ecopetrol Prometeo - Documents\Planning Space Implementation\3. Analysis &amp; Design\Design\FC22\DRR Jaime\Neiva CPI\[DINA TERCIARIOS_CF_SEC_New_27-Mar-2024.xlsx]D-PNP'!$CA$23</v>
      </c>
      <c r="J1305" s="37" t="s">
        <v>2606</v>
      </c>
    </row>
    <row r="1306" spans="1:10" x14ac:dyDescent="0.3">
      <c r="A1306" s="32" t="s">
        <v>15</v>
      </c>
      <c r="B1306" s="32">
        <f t="shared" si="315"/>
        <v>2035</v>
      </c>
      <c r="C1306" s="33" t="s">
        <v>40</v>
      </c>
      <c r="D1306" s="34" t="s">
        <v>2002</v>
      </c>
      <c r="E1306" s="35" t="str">
        <f t="shared" si="302"/>
        <v>PNP'!</v>
      </c>
      <c r="F1306" s="34" t="str">
        <f t="shared" si="303"/>
        <v>C:\Users\jaime.benazar\Quorum Business Solutions\Ecopetrol Prometeo - Documents\Planning Space Implementation\3. Analysis &amp; Design\Design\FC22\DRR Jaime\Neiva CPI\[DINA TERCIARIOS_CF_SEC_New_27-Mar-2024.xlsx]D-PNP'!</v>
      </c>
      <c r="G1306" s="32" t="s">
        <v>120</v>
      </c>
      <c r="H1306" s="33">
        <f t="shared" si="314"/>
        <v>24</v>
      </c>
      <c r="I1306" s="33" t="str">
        <f t="shared" si="305"/>
        <v>='C:\Users\jaime.benazar\Quorum Business Solutions\Ecopetrol Prometeo - Documents\Planning Space Implementation\3. Analysis &amp; Design\Design\FC22\DRR Jaime\Neiva CPI\[DINA TERCIARIOS_CF_SEC_New_27-Mar-2024.xlsx]D-PNP'!$CA$24</v>
      </c>
      <c r="J1306" s="37" t="s">
        <v>2607</v>
      </c>
    </row>
    <row r="1307" spans="1:10" x14ac:dyDescent="0.3">
      <c r="A1307" s="32" t="s">
        <v>15</v>
      </c>
      <c r="B1307" s="32">
        <f t="shared" si="315"/>
        <v>2036</v>
      </c>
      <c r="C1307" s="33" t="s">
        <v>40</v>
      </c>
      <c r="D1307" s="34" t="s">
        <v>2002</v>
      </c>
      <c r="E1307" s="35" t="str">
        <f t="shared" si="302"/>
        <v>PNP'!</v>
      </c>
      <c r="F1307" s="34" t="str">
        <f t="shared" si="303"/>
        <v>C:\Users\jaime.benazar\Quorum Business Solutions\Ecopetrol Prometeo - Documents\Planning Space Implementation\3. Analysis &amp; Design\Design\FC22\DRR Jaime\Neiva CPI\[DINA TERCIARIOS_CF_SEC_New_27-Mar-2024.xlsx]D-PNP'!</v>
      </c>
      <c r="G1307" s="32" t="s">
        <v>120</v>
      </c>
      <c r="H1307" s="33">
        <f t="shared" si="314"/>
        <v>25</v>
      </c>
      <c r="I1307" s="33" t="str">
        <f t="shared" si="305"/>
        <v>='C:\Users\jaime.benazar\Quorum Business Solutions\Ecopetrol Prometeo - Documents\Planning Space Implementation\3. Analysis &amp; Design\Design\FC22\DRR Jaime\Neiva CPI\[DINA TERCIARIOS_CF_SEC_New_27-Mar-2024.xlsx]D-PNP'!$CA$25</v>
      </c>
      <c r="J1307" s="37" t="s">
        <v>2608</v>
      </c>
    </row>
    <row r="1308" spans="1:10" x14ac:dyDescent="0.3">
      <c r="A1308" s="32" t="s">
        <v>15</v>
      </c>
      <c r="B1308" s="32">
        <f>+B1307+1</f>
        <v>2037</v>
      </c>
      <c r="C1308" s="33" t="s">
        <v>40</v>
      </c>
      <c r="D1308" s="34" t="s">
        <v>2002</v>
      </c>
      <c r="E1308" s="35" t="str">
        <f t="shared" si="302"/>
        <v>PNP'!</v>
      </c>
      <c r="F1308" s="34" t="str">
        <f t="shared" si="303"/>
        <v>C:\Users\jaime.benazar\Quorum Business Solutions\Ecopetrol Prometeo - Documents\Planning Space Implementation\3. Analysis &amp; Design\Design\FC22\DRR Jaime\Neiva CPI\[DINA TERCIARIOS_CF_SEC_New_27-Mar-2024.xlsx]D-PNP'!</v>
      </c>
      <c r="G1308" s="32" t="s">
        <v>120</v>
      </c>
      <c r="H1308" s="33">
        <f t="shared" si="314"/>
        <v>26</v>
      </c>
      <c r="I1308" s="33" t="str">
        <f t="shared" si="305"/>
        <v>='C:\Users\jaime.benazar\Quorum Business Solutions\Ecopetrol Prometeo - Documents\Planning Space Implementation\3. Analysis &amp; Design\Design\FC22\DRR Jaime\Neiva CPI\[DINA TERCIARIOS_CF_SEC_New_27-Mar-2024.xlsx]D-PNP'!$CA$26</v>
      </c>
      <c r="J1308" s="37" t="s">
        <v>2609</v>
      </c>
    </row>
    <row r="1309" spans="1:10" x14ac:dyDescent="0.3">
      <c r="A1309" s="32" t="s">
        <v>15</v>
      </c>
      <c r="B1309" s="32">
        <f t="shared" ref="B1309:B1311" si="316">+B1308+1</f>
        <v>2038</v>
      </c>
      <c r="C1309" s="33" t="s">
        <v>40</v>
      </c>
      <c r="D1309" s="34" t="s">
        <v>2002</v>
      </c>
      <c r="E1309" s="35" t="str">
        <f t="shared" si="302"/>
        <v>PNP'!</v>
      </c>
      <c r="F1309" s="34" t="str">
        <f t="shared" si="303"/>
        <v>C:\Users\jaime.benazar\Quorum Business Solutions\Ecopetrol Prometeo - Documents\Planning Space Implementation\3. Analysis &amp; Design\Design\FC22\DRR Jaime\Neiva CPI\[DINA TERCIARIOS_CF_SEC_New_27-Mar-2024.xlsx]D-PNP'!</v>
      </c>
      <c r="G1309" s="32" t="s">
        <v>120</v>
      </c>
      <c r="H1309" s="33">
        <f t="shared" si="314"/>
        <v>27</v>
      </c>
      <c r="I1309" s="33" t="str">
        <f t="shared" si="305"/>
        <v>='C:\Users\jaime.benazar\Quorum Business Solutions\Ecopetrol Prometeo - Documents\Planning Space Implementation\3. Analysis &amp; Design\Design\FC22\DRR Jaime\Neiva CPI\[DINA TERCIARIOS_CF_SEC_New_27-Mar-2024.xlsx]D-PNP'!$CA$27</v>
      </c>
      <c r="J1309" s="37" t="s">
        <v>2610</v>
      </c>
    </row>
    <row r="1310" spans="1:10" x14ac:dyDescent="0.3">
      <c r="A1310" s="32" t="s">
        <v>15</v>
      </c>
      <c r="B1310" s="32">
        <f t="shared" si="316"/>
        <v>2039</v>
      </c>
      <c r="C1310" s="33" t="s">
        <v>40</v>
      </c>
      <c r="D1310" s="34" t="s">
        <v>2002</v>
      </c>
      <c r="E1310" s="35" t="str">
        <f t="shared" si="302"/>
        <v>PNP'!</v>
      </c>
      <c r="F1310" s="34" t="str">
        <f t="shared" si="303"/>
        <v>C:\Users\jaime.benazar\Quorum Business Solutions\Ecopetrol Prometeo - Documents\Planning Space Implementation\3. Analysis &amp; Design\Design\FC22\DRR Jaime\Neiva CPI\[DINA TERCIARIOS_CF_SEC_New_27-Mar-2024.xlsx]D-PNP'!</v>
      </c>
      <c r="G1310" s="32" t="s">
        <v>120</v>
      </c>
      <c r="H1310" s="33">
        <f t="shared" si="314"/>
        <v>28</v>
      </c>
      <c r="I1310" s="33" t="str">
        <f t="shared" si="305"/>
        <v>='C:\Users\jaime.benazar\Quorum Business Solutions\Ecopetrol Prometeo - Documents\Planning Space Implementation\3. Analysis &amp; Design\Design\FC22\DRR Jaime\Neiva CPI\[DINA TERCIARIOS_CF_SEC_New_27-Mar-2024.xlsx]D-PNP'!$CA$28</v>
      </c>
      <c r="J1310" s="37" t="s">
        <v>2611</v>
      </c>
    </row>
    <row r="1311" spans="1:10" x14ac:dyDescent="0.3">
      <c r="A1311" s="32" t="s">
        <v>15</v>
      </c>
      <c r="B1311" s="32">
        <f t="shared" si="316"/>
        <v>2040</v>
      </c>
      <c r="C1311" s="33" t="s">
        <v>40</v>
      </c>
      <c r="D1311" s="34" t="s">
        <v>2002</v>
      </c>
      <c r="E1311" s="35" t="str">
        <f t="shared" si="302"/>
        <v>PNP'!</v>
      </c>
      <c r="F1311" s="34" t="str">
        <f t="shared" si="303"/>
        <v>C:\Users\jaime.benazar\Quorum Business Solutions\Ecopetrol Prometeo - Documents\Planning Space Implementation\3. Analysis &amp; Design\Design\FC22\DRR Jaime\Neiva CPI\[DINA TERCIARIOS_CF_SEC_New_27-Mar-2024.xlsx]D-PNP'!</v>
      </c>
      <c r="G1311" s="32" t="s">
        <v>120</v>
      </c>
      <c r="H1311" s="33">
        <f t="shared" si="314"/>
        <v>29</v>
      </c>
      <c r="I1311" s="33" t="str">
        <f t="shared" si="305"/>
        <v>='C:\Users\jaime.benazar\Quorum Business Solutions\Ecopetrol Prometeo - Documents\Planning Space Implementation\3. Analysis &amp; Design\Design\FC22\DRR Jaime\Neiva CPI\[DINA TERCIARIOS_CF_SEC_New_27-Mar-2024.xlsx]D-PNP'!$CA$29</v>
      </c>
      <c r="J1311" s="37" t="s">
        <v>2612</v>
      </c>
    </row>
    <row r="1312" spans="1:10" x14ac:dyDescent="0.3">
      <c r="A1312" s="32" t="s">
        <v>15</v>
      </c>
      <c r="B1312" s="32">
        <f>+B1311+1</f>
        <v>2041</v>
      </c>
      <c r="C1312" s="33" t="s">
        <v>40</v>
      </c>
      <c r="D1312" s="34" t="s">
        <v>2002</v>
      </c>
      <c r="E1312" s="35" t="str">
        <f t="shared" si="302"/>
        <v>PNP'!</v>
      </c>
      <c r="F1312" s="34" t="str">
        <f t="shared" si="303"/>
        <v>C:\Users\jaime.benazar\Quorum Business Solutions\Ecopetrol Prometeo - Documents\Planning Space Implementation\3. Analysis &amp; Design\Design\FC22\DRR Jaime\Neiva CPI\[DINA TERCIARIOS_CF_SEC_New_27-Mar-2024.xlsx]D-PNP'!</v>
      </c>
      <c r="G1312" s="32" t="s">
        <v>120</v>
      </c>
      <c r="H1312" s="33">
        <f t="shared" si="314"/>
        <v>30</v>
      </c>
      <c r="I1312" s="33" t="str">
        <f t="shared" si="305"/>
        <v>='C:\Users\jaime.benazar\Quorum Business Solutions\Ecopetrol Prometeo - Documents\Planning Space Implementation\3. Analysis &amp; Design\Design\FC22\DRR Jaime\Neiva CPI\[DINA TERCIARIOS_CF_SEC_New_27-Mar-2024.xlsx]D-PNP'!$CA$30</v>
      </c>
      <c r="J1312" s="37" t="s">
        <v>2613</v>
      </c>
    </row>
    <row r="1313" spans="1:10" x14ac:dyDescent="0.3">
      <c r="A1313" s="32" t="s">
        <v>15</v>
      </c>
      <c r="B1313" s="32">
        <f t="shared" ref="B1313:B1314" si="317">+B1312+1</f>
        <v>2042</v>
      </c>
      <c r="C1313" s="33" t="s">
        <v>40</v>
      </c>
      <c r="D1313" s="34" t="s">
        <v>2002</v>
      </c>
      <c r="E1313" s="35" t="str">
        <f t="shared" si="302"/>
        <v>PNP'!</v>
      </c>
      <c r="F1313" s="34" t="str">
        <f t="shared" si="303"/>
        <v>C:\Users\jaime.benazar\Quorum Business Solutions\Ecopetrol Prometeo - Documents\Planning Space Implementation\3. Analysis &amp; Design\Design\FC22\DRR Jaime\Neiva CPI\[DINA TERCIARIOS_CF_SEC_New_27-Mar-2024.xlsx]D-PNP'!</v>
      </c>
      <c r="G1313" s="32" t="s">
        <v>120</v>
      </c>
      <c r="H1313" s="33">
        <f t="shared" si="314"/>
        <v>31</v>
      </c>
      <c r="I1313" s="33" t="str">
        <f t="shared" si="305"/>
        <v>='C:\Users\jaime.benazar\Quorum Business Solutions\Ecopetrol Prometeo - Documents\Planning Space Implementation\3. Analysis &amp; Design\Design\FC22\DRR Jaime\Neiva CPI\[DINA TERCIARIOS_CF_SEC_New_27-Mar-2024.xlsx]D-PNP'!$CA$31</v>
      </c>
      <c r="J1313" s="37" t="s">
        <v>2614</v>
      </c>
    </row>
    <row r="1314" spans="1:10" x14ac:dyDescent="0.3">
      <c r="A1314" s="32" t="s">
        <v>15</v>
      </c>
      <c r="B1314" s="32">
        <f t="shared" si="317"/>
        <v>2043</v>
      </c>
      <c r="C1314" s="33" t="s">
        <v>40</v>
      </c>
      <c r="D1314" s="34" t="s">
        <v>2002</v>
      </c>
      <c r="E1314" s="35" t="str">
        <f t="shared" si="302"/>
        <v>PNP'!</v>
      </c>
      <c r="F1314" s="34" t="str">
        <f t="shared" si="303"/>
        <v>C:\Users\jaime.benazar\Quorum Business Solutions\Ecopetrol Prometeo - Documents\Planning Space Implementation\3. Analysis &amp; Design\Design\FC22\DRR Jaime\Neiva CPI\[DINA TERCIARIOS_CF_SEC_New_27-Mar-2024.xlsx]D-PNP'!</v>
      </c>
      <c r="G1314" s="32" t="s">
        <v>120</v>
      </c>
      <c r="H1314" s="33">
        <f t="shared" si="314"/>
        <v>32</v>
      </c>
      <c r="I1314" s="33" t="str">
        <f t="shared" si="305"/>
        <v>='C:\Users\jaime.benazar\Quorum Business Solutions\Ecopetrol Prometeo - Documents\Planning Space Implementation\3. Analysis &amp; Design\Design\FC22\DRR Jaime\Neiva CPI\[DINA TERCIARIOS_CF_SEC_New_27-Mar-2024.xlsx]D-PNP'!$CA$32</v>
      </c>
      <c r="J1314" s="37" t="s">
        <v>2615</v>
      </c>
    </row>
    <row r="1315" spans="1:10" x14ac:dyDescent="0.3">
      <c r="A1315" s="32" t="s">
        <v>15</v>
      </c>
      <c r="B1315" s="32">
        <f>+B1314+1</f>
        <v>2044</v>
      </c>
      <c r="C1315" s="33" t="s">
        <v>40</v>
      </c>
      <c r="D1315" s="34" t="s">
        <v>2002</v>
      </c>
      <c r="E1315" s="35" t="str">
        <f t="shared" ref="E1315:E1330" si="318">_xlfn.CONCAT(A1315,"'!")</f>
        <v>PNP'!</v>
      </c>
      <c r="F1315" s="34" t="str">
        <f t="shared" ref="F1315:F1330" si="319">_xlfn.CONCAT(D1315:E1315)</f>
        <v>C:\Users\jaime.benazar\Quorum Business Solutions\Ecopetrol Prometeo - Documents\Planning Space Implementation\3. Analysis &amp; Design\Design\FC22\DRR Jaime\Neiva CPI\[DINA TERCIARIOS_CF_SEC_New_27-Mar-2024.xlsx]D-PNP'!</v>
      </c>
      <c r="G1315" s="32" t="s">
        <v>120</v>
      </c>
      <c r="H1315" s="33">
        <f t="shared" ref="H1315:H1330" si="320">IF(A1315&lt;&gt;A1314,12,H1314+1)</f>
        <v>33</v>
      </c>
      <c r="I1315" s="33" t="str">
        <f t="shared" ref="I1315:I1330" si="321">_xlfn.CONCAT("='",F1315:H1315)</f>
        <v>='C:\Users\jaime.benazar\Quorum Business Solutions\Ecopetrol Prometeo - Documents\Planning Space Implementation\3. Analysis &amp; Design\Design\FC22\DRR Jaime\Neiva CPI\[DINA TERCIARIOS_CF_SEC_New_27-Mar-2024.xlsx]D-PNP'!$CA$33</v>
      </c>
      <c r="J1315" s="37" t="s">
        <v>2616</v>
      </c>
    </row>
    <row r="1316" spans="1:10" x14ac:dyDescent="0.3">
      <c r="A1316" s="32" t="s">
        <v>15</v>
      </c>
      <c r="B1316" s="32">
        <f t="shared" ref="B1316:B1330" si="322">+B1315+1</f>
        <v>2045</v>
      </c>
      <c r="C1316" s="33" t="s">
        <v>40</v>
      </c>
      <c r="D1316" s="34" t="s">
        <v>2002</v>
      </c>
      <c r="E1316" s="35" t="str">
        <f t="shared" si="318"/>
        <v>PNP'!</v>
      </c>
      <c r="F1316" s="34" t="str">
        <f t="shared" si="319"/>
        <v>C:\Users\jaime.benazar\Quorum Business Solutions\Ecopetrol Prometeo - Documents\Planning Space Implementation\3. Analysis &amp; Design\Design\FC22\DRR Jaime\Neiva CPI\[DINA TERCIARIOS_CF_SEC_New_27-Mar-2024.xlsx]D-PNP'!</v>
      </c>
      <c r="G1316" s="32" t="s">
        <v>120</v>
      </c>
      <c r="H1316" s="33">
        <f t="shared" si="320"/>
        <v>34</v>
      </c>
      <c r="I1316" s="33" t="str">
        <f t="shared" si="321"/>
        <v>='C:\Users\jaime.benazar\Quorum Business Solutions\Ecopetrol Prometeo - Documents\Planning Space Implementation\3. Analysis &amp; Design\Design\FC22\DRR Jaime\Neiva CPI\[DINA TERCIARIOS_CF_SEC_New_27-Mar-2024.xlsx]D-PNP'!$CA$34</v>
      </c>
      <c r="J1316" s="37" t="s">
        <v>2617</v>
      </c>
    </row>
    <row r="1317" spans="1:10" x14ac:dyDescent="0.3">
      <c r="A1317" s="32" t="s">
        <v>15</v>
      </c>
      <c r="B1317" s="32">
        <f t="shared" si="322"/>
        <v>2046</v>
      </c>
      <c r="C1317" s="33" t="s">
        <v>40</v>
      </c>
      <c r="D1317" s="34" t="s">
        <v>2002</v>
      </c>
      <c r="E1317" s="35" t="str">
        <f t="shared" si="318"/>
        <v>PNP'!</v>
      </c>
      <c r="F1317" s="34" t="str">
        <f t="shared" si="319"/>
        <v>C:\Users\jaime.benazar\Quorum Business Solutions\Ecopetrol Prometeo - Documents\Planning Space Implementation\3. Analysis &amp; Design\Design\FC22\DRR Jaime\Neiva CPI\[DINA TERCIARIOS_CF_SEC_New_27-Mar-2024.xlsx]D-PNP'!</v>
      </c>
      <c r="G1317" s="32" t="s">
        <v>120</v>
      </c>
      <c r="H1317" s="33">
        <f t="shared" si="320"/>
        <v>35</v>
      </c>
      <c r="I1317" s="33" t="str">
        <f t="shared" si="321"/>
        <v>='C:\Users\jaime.benazar\Quorum Business Solutions\Ecopetrol Prometeo - Documents\Planning Space Implementation\3. Analysis &amp; Design\Design\FC22\DRR Jaime\Neiva CPI\[DINA TERCIARIOS_CF_SEC_New_27-Mar-2024.xlsx]D-PNP'!$CA$35</v>
      </c>
      <c r="J1317" s="37" t="s">
        <v>2618</v>
      </c>
    </row>
    <row r="1318" spans="1:10" x14ac:dyDescent="0.3">
      <c r="A1318" s="32" t="s">
        <v>15</v>
      </c>
      <c r="B1318" s="32">
        <f t="shared" si="322"/>
        <v>2047</v>
      </c>
      <c r="C1318" s="33" t="s">
        <v>40</v>
      </c>
      <c r="D1318" s="34" t="s">
        <v>2002</v>
      </c>
      <c r="E1318" s="35" t="str">
        <f t="shared" si="318"/>
        <v>PNP'!</v>
      </c>
      <c r="F1318" s="34" t="str">
        <f t="shared" si="319"/>
        <v>C:\Users\jaime.benazar\Quorum Business Solutions\Ecopetrol Prometeo - Documents\Planning Space Implementation\3. Analysis &amp; Design\Design\FC22\DRR Jaime\Neiva CPI\[DINA TERCIARIOS_CF_SEC_New_27-Mar-2024.xlsx]D-PNP'!</v>
      </c>
      <c r="G1318" s="32" t="s">
        <v>120</v>
      </c>
      <c r="H1318" s="33">
        <f t="shared" si="320"/>
        <v>36</v>
      </c>
      <c r="I1318" s="33" t="str">
        <f t="shared" si="321"/>
        <v>='C:\Users\jaime.benazar\Quorum Business Solutions\Ecopetrol Prometeo - Documents\Planning Space Implementation\3. Analysis &amp; Design\Design\FC22\DRR Jaime\Neiva CPI\[DINA TERCIARIOS_CF_SEC_New_27-Mar-2024.xlsx]D-PNP'!$CA$36</v>
      </c>
      <c r="J1318" s="37" t="s">
        <v>2619</v>
      </c>
    </row>
    <row r="1319" spans="1:10" x14ac:dyDescent="0.3">
      <c r="A1319" s="32" t="s">
        <v>15</v>
      </c>
      <c r="B1319" s="32">
        <f t="shared" si="322"/>
        <v>2048</v>
      </c>
      <c r="C1319" s="33" t="s">
        <v>40</v>
      </c>
      <c r="D1319" s="34" t="s">
        <v>2002</v>
      </c>
      <c r="E1319" s="35" t="str">
        <f t="shared" si="318"/>
        <v>PNP'!</v>
      </c>
      <c r="F1319" s="34" t="str">
        <f t="shared" si="319"/>
        <v>C:\Users\jaime.benazar\Quorum Business Solutions\Ecopetrol Prometeo - Documents\Planning Space Implementation\3. Analysis &amp; Design\Design\FC22\DRR Jaime\Neiva CPI\[DINA TERCIARIOS_CF_SEC_New_27-Mar-2024.xlsx]D-PNP'!</v>
      </c>
      <c r="G1319" s="32" t="s">
        <v>120</v>
      </c>
      <c r="H1319" s="33">
        <f t="shared" si="320"/>
        <v>37</v>
      </c>
      <c r="I1319" s="33" t="str">
        <f t="shared" si="321"/>
        <v>='C:\Users\jaime.benazar\Quorum Business Solutions\Ecopetrol Prometeo - Documents\Planning Space Implementation\3. Analysis &amp; Design\Design\FC22\DRR Jaime\Neiva CPI\[DINA TERCIARIOS_CF_SEC_New_27-Mar-2024.xlsx]D-PNP'!$CA$37</v>
      </c>
      <c r="J1319" s="37" t="s">
        <v>2620</v>
      </c>
    </row>
    <row r="1320" spans="1:10" x14ac:dyDescent="0.3">
      <c r="A1320" s="32" t="s">
        <v>15</v>
      </c>
      <c r="B1320" s="32">
        <f t="shared" si="322"/>
        <v>2049</v>
      </c>
      <c r="C1320" s="33" t="s">
        <v>40</v>
      </c>
      <c r="D1320" s="34" t="s">
        <v>2002</v>
      </c>
      <c r="E1320" s="35" t="str">
        <f t="shared" si="318"/>
        <v>PNP'!</v>
      </c>
      <c r="F1320" s="34" t="str">
        <f t="shared" si="319"/>
        <v>C:\Users\jaime.benazar\Quorum Business Solutions\Ecopetrol Prometeo - Documents\Planning Space Implementation\3. Analysis &amp; Design\Design\FC22\DRR Jaime\Neiva CPI\[DINA TERCIARIOS_CF_SEC_New_27-Mar-2024.xlsx]D-PNP'!</v>
      </c>
      <c r="G1320" s="32" t="s">
        <v>120</v>
      </c>
      <c r="H1320" s="33">
        <f t="shared" si="320"/>
        <v>38</v>
      </c>
      <c r="I1320" s="33" t="str">
        <f t="shared" si="321"/>
        <v>='C:\Users\jaime.benazar\Quorum Business Solutions\Ecopetrol Prometeo - Documents\Planning Space Implementation\3. Analysis &amp; Design\Design\FC22\DRR Jaime\Neiva CPI\[DINA TERCIARIOS_CF_SEC_New_27-Mar-2024.xlsx]D-PNP'!$CA$38</v>
      </c>
      <c r="J1320" s="37" t="s">
        <v>2621</v>
      </c>
    </row>
    <row r="1321" spans="1:10" x14ac:dyDescent="0.3">
      <c r="A1321" s="32" t="s">
        <v>15</v>
      </c>
      <c r="B1321" s="32">
        <f t="shared" si="322"/>
        <v>2050</v>
      </c>
      <c r="C1321" s="33" t="s">
        <v>40</v>
      </c>
      <c r="D1321" s="34" t="s">
        <v>2002</v>
      </c>
      <c r="E1321" s="35" t="str">
        <f t="shared" si="318"/>
        <v>PNP'!</v>
      </c>
      <c r="F1321" s="34" t="str">
        <f t="shared" si="319"/>
        <v>C:\Users\jaime.benazar\Quorum Business Solutions\Ecopetrol Prometeo - Documents\Planning Space Implementation\3. Analysis &amp; Design\Design\FC22\DRR Jaime\Neiva CPI\[DINA TERCIARIOS_CF_SEC_New_27-Mar-2024.xlsx]D-PNP'!</v>
      </c>
      <c r="G1321" s="32" t="s">
        <v>120</v>
      </c>
      <c r="H1321" s="33">
        <f t="shared" si="320"/>
        <v>39</v>
      </c>
      <c r="I1321" s="33" t="str">
        <f t="shared" si="321"/>
        <v>='C:\Users\jaime.benazar\Quorum Business Solutions\Ecopetrol Prometeo - Documents\Planning Space Implementation\3. Analysis &amp; Design\Design\FC22\DRR Jaime\Neiva CPI\[DINA TERCIARIOS_CF_SEC_New_27-Mar-2024.xlsx]D-PNP'!$CA$39</v>
      </c>
      <c r="J1321" s="37" t="s">
        <v>2622</v>
      </c>
    </row>
    <row r="1322" spans="1:10" x14ac:dyDescent="0.3">
      <c r="A1322" s="32" t="s">
        <v>15</v>
      </c>
      <c r="B1322" s="32">
        <f t="shared" si="322"/>
        <v>2051</v>
      </c>
      <c r="C1322" s="33" t="s">
        <v>40</v>
      </c>
      <c r="D1322" s="34" t="s">
        <v>2002</v>
      </c>
      <c r="E1322" s="35" t="str">
        <f t="shared" si="318"/>
        <v>PNP'!</v>
      </c>
      <c r="F1322" s="34" t="str">
        <f t="shared" si="319"/>
        <v>C:\Users\jaime.benazar\Quorum Business Solutions\Ecopetrol Prometeo - Documents\Planning Space Implementation\3. Analysis &amp; Design\Design\FC22\DRR Jaime\Neiva CPI\[DINA TERCIARIOS_CF_SEC_New_27-Mar-2024.xlsx]D-PNP'!</v>
      </c>
      <c r="G1322" s="32" t="s">
        <v>120</v>
      </c>
      <c r="H1322" s="33">
        <f t="shared" si="320"/>
        <v>40</v>
      </c>
      <c r="I1322" s="33" t="str">
        <f t="shared" si="321"/>
        <v>='C:\Users\jaime.benazar\Quorum Business Solutions\Ecopetrol Prometeo - Documents\Planning Space Implementation\3. Analysis &amp; Design\Design\FC22\DRR Jaime\Neiva CPI\[DINA TERCIARIOS_CF_SEC_New_27-Mar-2024.xlsx]D-PNP'!$CA$40</v>
      </c>
      <c r="J1322" s="37" t="s">
        <v>2623</v>
      </c>
    </row>
    <row r="1323" spans="1:10" x14ac:dyDescent="0.3">
      <c r="A1323" s="32" t="s">
        <v>15</v>
      </c>
      <c r="B1323" s="32">
        <f t="shared" si="322"/>
        <v>2052</v>
      </c>
      <c r="C1323" s="33" t="s">
        <v>40</v>
      </c>
      <c r="D1323" s="34" t="s">
        <v>2002</v>
      </c>
      <c r="E1323" s="35" t="str">
        <f t="shared" si="318"/>
        <v>PNP'!</v>
      </c>
      <c r="F1323" s="34" t="str">
        <f t="shared" si="319"/>
        <v>C:\Users\jaime.benazar\Quorum Business Solutions\Ecopetrol Prometeo - Documents\Planning Space Implementation\3. Analysis &amp; Design\Design\FC22\DRR Jaime\Neiva CPI\[DINA TERCIARIOS_CF_SEC_New_27-Mar-2024.xlsx]D-PNP'!</v>
      </c>
      <c r="G1323" s="32" t="s">
        <v>120</v>
      </c>
      <c r="H1323" s="33">
        <f t="shared" si="320"/>
        <v>41</v>
      </c>
      <c r="I1323" s="33" t="str">
        <f t="shared" si="321"/>
        <v>='C:\Users\jaime.benazar\Quorum Business Solutions\Ecopetrol Prometeo - Documents\Planning Space Implementation\3. Analysis &amp; Design\Design\FC22\DRR Jaime\Neiva CPI\[DINA TERCIARIOS_CF_SEC_New_27-Mar-2024.xlsx]D-PNP'!$CA$41</v>
      </c>
      <c r="J1323" s="37" t="s">
        <v>2624</v>
      </c>
    </row>
    <row r="1324" spans="1:10" x14ac:dyDescent="0.3">
      <c r="A1324" s="32" t="s">
        <v>15</v>
      </c>
      <c r="B1324" s="32">
        <f t="shared" si="322"/>
        <v>2053</v>
      </c>
      <c r="C1324" s="33" t="s">
        <v>40</v>
      </c>
      <c r="D1324" s="34" t="s">
        <v>2002</v>
      </c>
      <c r="E1324" s="35" t="str">
        <f t="shared" si="318"/>
        <v>PNP'!</v>
      </c>
      <c r="F1324" s="34" t="str">
        <f t="shared" si="319"/>
        <v>C:\Users\jaime.benazar\Quorum Business Solutions\Ecopetrol Prometeo - Documents\Planning Space Implementation\3. Analysis &amp; Design\Design\FC22\DRR Jaime\Neiva CPI\[DINA TERCIARIOS_CF_SEC_New_27-Mar-2024.xlsx]D-PNP'!</v>
      </c>
      <c r="G1324" s="32" t="s">
        <v>120</v>
      </c>
      <c r="H1324" s="33">
        <f t="shared" si="320"/>
        <v>42</v>
      </c>
      <c r="I1324" s="33" t="str">
        <f t="shared" si="321"/>
        <v>='C:\Users\jaime.benazar\Quorum Business Solutions\Ecopetrol Prometeo - Documents\Planning Space Implementation\3. Analysis &amp; Design\Design\FC22\DRR Jaime\Neiva CPI\[DINA TERCIARIOS_CF_SEC_New_27-Mar-2024.xlsx]D-PNP'!$CA$42</v>
      </c>
      <c r="J1324" s="37" t="s">
        <v>2625</v>
      </c>
    </row>
    <row r="1325" spans="1:10" x14ac:dyDescent="0.3">
      <c r="A1325" s="32" t="s">
        <v>15</v>
      </c>
      <c r="B1325" s="32">
        <f t="shared" si="322"/>
        <v>2054</v>
      </c>
      <c r="C1325" s="33" t="s">
        <v>40</v>
      </c>
      <c r="D1325" s="34" t="s">
        <v>2002</v>
      </c>
      <c r="E1325" s="35" t="str">
        <f t="shared" si="318"/>
        <v>PNP'!</v>
      </c>
      <c r="F1325" s="34" t="str">
        <f t="shared" si="319"/>
        <v>C:\Users\jaime.benazar\Quorum Business Solutions\Ecopetrol Prometeo - Documents\Planning Space Implementation\3. Analysis &amp; Design\Design\FC22\DRR Jaime\Neiva CPI\[DINA TERCIARIOS_CF_SEC_New_27-Mar-2024.xlsx]D-PNP'!</v>
      </c>
      <c r="G1325" s="32" t="s">
        <v>120</v>
      </c>
      <c r="H1325" s="33">
        <f t="shared" si="320"/>
        <v>43</v>
      </c>
      <c r="I1325" s="33" t="str">
        <f t="shared" si="321"/>
        <v>='C:\Users\jaime.benazar\Quorum Business Solutions\Ecopetrol Prometeo - Documents\Planning Space Implementation\3. Analysis &amp; Design\Design\FC22\DRR Jaime\Neiva CPI\[DINA TERCIARIOS_CF_SEC_New_27-Mar-2024.xlsx]D-PNP'!$CA$43</v>
      </c>
      <c r="J1325" s="37" t="s">
        <v>2626</v>
      </c>
    </row>
    <row r="1326" spans="1:10" x14ac:dyDescent="0.3">
      <c r="A1326" s="32" t="s">
        <v>15</v>
      </c>
      <c r="B1326" s="32">
        <f t="shared" si="322"/>
        <v>2055</v>
      </c>
      <c r="C1326" s="33" t="s">
        <v>40</v>
      </c>
      <c r="D1326" s="34" t="s">
        <v>2002</v>
      </c>
      <c r="E1326" s="35" t="str">
        <f t="shared" si="318"/>
        <v>PNP'!</v>
      </c>
      <c r="F1326" s="34" t="str">
        <f t="shared" si="319"/>
        <v>C:\Users\jaime.benazar\Quorum Business Solutions\Ecopetrol Prometeo - Documents\Planning Space Implementation\3. Analysis &amp; Design\Design\FC22\DRR Jaime\Neiva CPI\[DINA TERCIARIOS_CF_SEC_New_27-Mar-2024.xlsx]D-PNP'!</v>
      </c>
      <c r="G1326" s="32" t="s">
        <v>120</v>
      </c>
      <c r="H1326" s="33">
        <f t="shared" si="320"/>
        <v>44</v>
      </c>
      <c r="I1326" s="33" t="str">
        <f t="shared" si="321"/>
        <v>='C:\Users\jaime.benazar\Quorum Business Solutions\Ecopetrol Prometeo - Documents\Planning Space Implementation\3. Analysis &amp; Design\Design\FC22\DRR Jaime\Neiva CPI\[DINA TERCIARIOS_CF_SEC_New_27-Mar-2024.xlsx]D-PNP'!$CA$44</v>
      </c>
      <c r="J1326" s="37" t="s">
        <v>2627</v>
      </c>
    </row>
    <row r="1327" spans="1:10" x14ac:dyDescent="0.3">
      <c r="A1327" s="32" t="s">
        <v>15</v>
      </c>
      <c r="B1327" s="32">
        <f t="shared" si="322"/>
        <v>2056</v>
      </c>
      <c r="C1327" s="33" t="s">
        <v>40</v>
      </c>
      <c r="D1327" s="34" t="s">
        <v>2002</v>
      </c>
      <c r="E1327" s="35" t="str">
        <f t="shared" si="318"/>
        <v>PNP'!</v>
      </c>
      <c r="F1327" s="34" t="str">
        <f t="shared" si="319"/>
        <v>C:\Users\jaime.benazar\Quorum Business Solutions\Ecopetrol Prometeo - Documents\Planning Space Implementation\3. Analysis &amp; Design\Design\FC22\DRR Jaime\Neiva CPI\[DINA TERCIARIOS_CF_SEC_New_27-Mar-2024.xlsx]D-PNP'!</v>
      </c>
      <c r="G1327" s="32" t="s">
        <v>120</v>
      </c>
      <c r="H1327" s="33">
        <f t="shared" si="320"/>
        <v>45</v>
      </c>
      <c r="I1327" s="33" t="str">
        <f t="shared" si="321"/>
        <v>='C:\Users\jaime.benazar\Quorum Business Solutions\Ecopetrol Prometeo - Documents\Planning Space Implementation\3. Analysis &amp; Design\Design\FC22\DRR Jaime\Neiva CPI\[DINA TERCIARIOS_CF_SEC_New_27-Mar-2024.xlsx]D-PNP'!$CA$45</v>
      </c>
      <c r="J1327" s="37" t="s">
        <v>2628</v>
      </c>
    </row>
    <row r="1328" spans="1:10" x14ac:dyDescent="0.3">
      <c r="A1328" s="32" t="s">
        <v>15</v>
      </c>
      <c r="B1328" s="32">
        <f t="shared" si="322"/>
        <v>2057</v>
      </c>
      <c r="C1328" s="33" t="s">
        <v>40</v>
      </c>
      <c r="D1328" s="34" t="s">
        <v>2002</v>
      </c>
      <c r="E1328" s="35" t="str">
        <f t="shared" si="318"/>
        <v>PNP'!</v>
      </c>
      <c r="F1328" s="34" t="str">
        <f t="shared" si="319"/>
        <v>C:\Users\jaime.benazar\Quorum Business Solutions\Ecopetrol Prometeo - Documents\Planning Space Implementation\3. Analysis &amp; Design\Design\FC22\DRR Jaime\Neiva CPI\[DINA TERCIARIOS_CF_SEC_New_27-Mar-2024.xlsx]D-PNP'!</v>
      </c>
      <c r="G1328" s="32" t="s">
        <v>120</v>
      </c>
      <c r="H1328" s="33">
        <f t="shared" si="320"/>
        <v>46</v>
      </c>
      <c r="I1328" s="33" t="str">
        <f t="shared" si="321"/>
        <v>='C:\Users\jaime.benazar\Quorum Business Solutions\Ecopetrol Prometeo - Documents\Planning Space Implementation\3. Analysis &amp; Design\Design\FC22\DRR Jaime\Neiva CPI\[DINA TERCIARIOS_CF_SEC_New_27-Mar-2024.xlsx]D-PNP'!$CA$46</v>
      </c>
      <c r="J1328" s="37" t="s">
        <v>2629</v>
      </c>
    </row>
    <row r="1329" spans="1:10" x14ac:dyDescent="0.3">
      <c r="A1329" s="32" t="s">
        <v>15</v>
      </c>
      <c r="B1329" s="32">
        <f t="shared" si="322"/>
        <v>2058</v>
      </c>
      <c r="C1329" s="33" t="s">
        <v>40</v>
      </c>
      <c r="D1329" s="34" t="s">
        <v>2002</v>
      </c>
      <c r="E1329" s="35" t="str">
        <f t="shared" si="318"/>
        <v>PNP'!</v>
      </c>
      <c r="F1329" s="34" t="str">
        <f t="shared" si="319"/>
        <v>C:\Users\jaime.benazar\Quorum Business Solutions\Ecopetrol Prometeo - Documents\Planning Space Implementation\3. Analysis &amp; Design\Design\FC22\DRR Jaime\Neiva CPI\[DINA TERCIARIOS_CF_SEC_New_27-Mar-2024.xlsx]D-PNP'!</v>
      </c>
      <c r="G1329" s="32" t="s">
        <v>120</v>
      </c>
      <c r="H1329" s="33">
        <f t="shared" si="320"/>
        <v>47</v>
      </c>
      <c r="I1329" s="33" t="str">
        <f t="shared" si="321"/>
        <v>='C:\Users\jaime.benazar\Quorum Business Solutions\Ecopetrol Prometeo - Documents\Planning Space Implementation\3. Analysis &amp; Design\Design\FC22\DRR Jaime\Neiva CPI\[DINA TERCIARIOS_CF_SEC_New_27-Mar-2024.xlsx]D-PNP'!$CA$47</v>
      </c>
      <c r="J1329" s="37" t="s">
        <v>2630</v>
      </c>
    </row>
    <row r="1330" spans="1:10" x14ac:dyDescent="0.3">
      <c r="A1330" s="32" t="s">
        <v>15</v>
      </c>
      <c r="B1330" s="32">
        <f t="shared" si="322"/>
        <v>2059</v>
      </c>
      <c r="C1330" s="33" t="s">
        <v>40</v>
      </c>
      <c r="D1330" s="34" t="s">
        <v>2002</v>
      </c>
      <c r="E1330" s="35" t="str">
        <f t="shared" si="318"/>
        <v>PNP'!</v>
      </c>
      <c r="F1330" s="34" t="str">
        <f t="shared" si="319"/>
        <v>C:\Users\jaime.benazar\Quorum Business Solutions\Ecopetrol Prometeo - Documents\Planning Space Implementation\3. Analysis &amp; Design\Design\FC22\DRR Jaime\Neiva CPI\[DINA TERCIARIOS_CF_SEC_New_27-Mar-2024.xlsx]D-PNP'!</v>
      </c>
      <c r="G1330" s="32" t="s">
        <v>120</v>
      </c>
      <c r="H1330" s="33">
        <f t="shared" si="320"/>
        <v>48</v>
      </c>
      <c r="I1330" s="33" t="str">
        <f t="shared" si="321"/>
        <v>='C:\Users\jaime.benazar\Quorum Business Solutions\Ecopetrol Prometeo - Documents\Planning Space Implementation\3. Analysis &amp; Design\Design\FC22\DRR Jaime\Neiva CPI\[DINA TERCIARIOS_CF_SEC_New_27-Mar-2024.xlsx]D-PNP'!$CA$48</v>
      </c>
      <c r="J1330" s="37" t="s">
        <v>2631</v>
      </c>
    </row>
    <row r="1331" spans="1:10" x14ac:dyDescent="0.3">
      <c r="A1331" s="32" t="s">
        <v>26</v>
      </c>
      <c r="B1331" s="32"/>
      <c r="C1331" s="33" t="s">
        <v>40</v>
      </c>
      <c r="D1331" s="34"/>
      <c r="E1331" s="35"/>
      <c r="F1331" s="34"/>
      <c r="G1331" s="32"/>
      <c r="H1331" s="33"/>
      <c r="I1331" s="33"/>
      <c r="J1331" s="33"/>
    </row>
    <row r="1332" spans="1:10" x14ac:dyDescent="0.3">
      <c r="A1332" s="32" t="s">
        <v>16</v>
      </c>
      <c r="B1332" s="32">
        <v>2023</v>
      </c>
      <c r="C1332" s="33" t="s">
        <v>40</v>
      </c>
      <c r="D1332" s="34" t="s">
        <v>2002</v>
      </c>
      <c r="E1332" s="35" t="str">
        <f t="shared" si="302"/>
        <v>PND'!</v>
      </c>
      <c r="F1332" s="34" t="str">
        <f t="shared" si="303"/>
        <v>C:\Users\jaime.benazar\Quorum Business Solutions\Ecopetrol Prometeo - Documents\Planning Space Implementation\3. Analysis &amp; Design\Design\FC22\DRR Jaime\Neiva CPI\[DINA TERCIARIOS_CF_SEC_New_27-Mar-2024.xlsx]D-PND'!</v>
      </c>
      <c r="G1332" s="32" t="s">
        <v>120</v>
      </c>
      <c r="H1332" s="33">
        <v>12</v>
      </c>
      <c r="I1332" s="33" t="str">
        <f t="shared" si="305"/>
        <v>='C:\Users\jaime.benazar\Quorum Business Solutions\Ecopetrol Prometeo - Documents\Planning Space Implementation\3. Analysis &amp; Design\Design\FC22\DRR Jaime\Neiva CPI\[DINA TERCIARIOS_CF_SEC_New_27-Mar-2024.xlsx]D-PND'!$CA$12</v>
      </c>
      <c r="J1332" s="37" t="s">
        <v>2632</v>
      </c>
    </row>
    <row r="1333" spans="1:10" x14ac:dyDescent="0.3">
      <c r="A1333" s="32" t="s">
        <v>16</v>
      </c>
      <c r="B1333" s="32">
        <f>+B1332+1</f>
        <v>2024</v>
      </c>
      <c r="C1333" s="33" t="s">
        <v>40</v>
      </c>
      <c r="D1333" s="34" t="s">
        <v>2002</v>
      </c>
      <c r="E1333" s="35" t="str">
        <f t="shared" si="302"/>
        <v>PND'!</v>
      </c>
      <c r="F1333" s="34" t="str">
        <f t="shared" si="303"/>
        <v>C:\Users\jaime.benazar\Quorum Business Solutions\Ecopetrol Prometeo - Documents\Planning Space Implementation\3. Analysis &amp; Design\Design\FC22\DRR Jaime\Neiva CPI\[DINA TERCIARIOS_CF_SEC_New_27-Mar-2024.xlsx]D-PND'!</v>
      </c>
      <c r="G1333" s="32" t="s">
        <v>120</v>
      </c>
      <c r="H1333" s="33">
        <f t="shared" ref="H1333:H1352" si="323">IF(A1333&lt;&gt;A1332,12,H1332+1)</f>
        <v>13</v>
      </c>
      <c r="I1333" s="33" t="str">
        <f t="shared" si="305"/>
        <v>='C:\Users\jaime.benazar\Quorum Business Solutions\Ecopetrol Prometeo - Documents\Planning Space Implementation\3. Analysis &amp; Design\Design\FC22\DRR Jaime\Neiva CPI\[DINA TERCIARIOS_CF_SEC_New_27-Mar-2024.xlsx]D-PND'!$CA$13</v>
      </c>
      <c r="J1333" s="37" t="s">
        <v>2633</v>
      </c>
    </row>
    <row r="1334" spans="1:10" x14ac:dyDescent="0.3">
      <c r="A1334" s="32" t="s">
        <v>16</v>
      </c>
      <c r="B1334" s="32">
        <f t="shared" ref="B1334:B1345" si="324">+B1333+1</f>
        <v>2025</v>
      </c>
      <c r="C1334" s="33" t="s">
        <v>40</v>
      </c>
      <c r="D1334" s="34" t="s">
        <v>2002</v>
      </c>
      <c r="E1334" s="35" t="str">
        <f t="shared" si="302"/>
        <v>PND'!</v>
      </c>
      <c r="F1334" s="34" t="str">
        <f t="shared" si="303"/>
        <v>C:\Users\jaime.benazar\Quorum Business Solutions\Ecopetrol Prometeo - Documents\Planning Space Implementation\3. Analysis &amp; Design\Design\FC22\DRR Jaime\Neiva CPI\[DINA TERCIARIOS_CF_SEC_New_27-Mar-2024.xlsx]D-PND'!</v>
      </c>
      <c r="G1334" s="32" t="s">
        <v>120</v>
      </c>
      <c r="H1334" s="33">
        <f t="shared" si="323"/>
        <v>14</v>
      </c>
      <c r="I1334" s="33" t="str">
        <f t="shared" si="305"/>
        <v>='C:\Users\jaime.benazar\Quorum Business Solutions\Ecopetrol Prometeo - Documents\Planning Space Implementation\3. Analysis &amp; Design\Design\FC22\DRR Jaime\Neiva CPI\[DINA TERCIARIOS_CF_SEC_New_27-Mar-2024.xlsx]D-PND'!$CA$14</v>
      </c>
      <c r="J1334" s="37" t="s">
        <v>2634</v>
      </c>
    </row>
    <row r="1335" spans="1:10" x14ac:dyDescent="0.3">
      <c r="A1335" s="32" t="s">
        <v>16</v>
      </c>
      <c r="B1335" s="32">
        <f t="shared" si="324"/>
        <v>2026</v>
      </c>
      <c r="C1335" s="33" t="s">
        <v>40</v>
      </c>
      <c r="D1335" s="34" t="s">
        <v>2002</v>
      </c>
      <c r="E1335" s="35" t="str">
        <f t="shared" si="302"/>
        <v>PND'!</v>
      </c>
      <c r="F1335" s="34" t="str">
        <f t="shared" si="303"/>
        <v>C:\Users\jaime.benazar\Quorum Business Solutions\Ecopetrol Prometeo - Documents\Planning Space Implementation\3. Analysis &amp; Design\Design\FC22\DRR Jaime\Neiva CPI\[DINA TERCIARIOS_CF_SEC_New_27-Mar-2024.xlsx]D-PND'!</v>
      </c>
      <c r="G1335" s="32" t="s">
        <v>120</v>
      </c>
      <c r="H1335" s="33">
        <f t="shared" si="323"/>
        <v>15</v>
      </c>
      <c r="I1335" s="33" t="str">
        <f t="shared" si="305"/>
        <v>='C:\Users\jaime.benazar\Quorum Business Solutions\Ecopetrol Prometeo - Documents\Planning Space Implementation\3. Analysis &amp; Design\Design\FC22\DRR Jaime\Neiva CPI\[DINA TERCIARIOS_CF_SEC_New_27-Mar-2024.xlsx]D-PND'!$CA$15</v>
      </c>
      <c r="J1335" s="37" t="s">
        <v>2635</v>
      </c>
    </row>
    <row r="1336" spans="1:10" x14ac:dyDescent="0.3">
      <c r="A1336" s="32" t="s">
        <v>16</v>
      </c>
      <c r="B1336" s="32">
        <f t="shared" si="324"/>
        <v>2027</v>
      </c>
      <c r="C1336" s="33" t="s">
        <v>40</v>
      </c>
      <c r="D1336" s="34" t="s">
        <v>2002</v>
      </c>
      <c r="E1336" s="35" t="str">
        <f t="shared" si="302"/>
        <v>PND'!</v>
      </c>
      <c r="F1336" s="34" t="str">
        <f t="shared" si="303"/>
        <v>C:\Users\jaime.benazar\Quorum Business Solutions\Ecopetrol Prometeo - Documents\Planning Space Implementation\3. Analysis &amp; Design\Design\FC22\DRR Jaime\Neiva CPI\[DINA TERCIARIOS_CF_SEC_New_27-Mar-2024.xlsx]D-PND'!</v>
      </c>
      <c r="G1336" s="32" t="s">
        <v>120</v>
      </c>
      <c r="H1336" s="33">
        <f t="shared" si="323"/>
        <v>16</v>
      </c>
      <c r="I1336" s="33" t="str">
        <f t="shared" si="305"/>
        <v>='C:\Users\jaime.benazar\Quorum Business Solutions\Ecopetrol Prometeo - Documents\Planning Space Implementation\3. Analysis &amp; Design\Design\FC22\DRR Jaime\Neiva CPI\[DINA TERCIARIOS_CF_SEC_New_27-Mar-2024.xlsx]D-PND'!$CA$16</v>
      </c>
      <c r="J1336" s="37" t="s">
        <v>2636</v>
      </c>
    </row>
    <row r="1337" spans="1:10" x14ac:dyDescent="0.3">
      <c r="A1337" s="32" t="s">
        <v>16</v>
      </c>
      <c r="B1337" s="32">
        <f t="shared" si="324"/>
        <v>2028</v>
      </c>
      <c r="C1337" s="33" t="s">
        <v>40</v>
      </c>
      <c r="D1337" s="34" t="s">
        <v>2002</v>
      </c>
      <c r="E1337" s="35" t="str">
        <f t="shared" si="302"/>
        <v>PND'!</v>
      </c>
      <c r="F1337" s="34" t="str">
        <f t="shared" si="303"/>
        <v>C:\Users\jaime.benazar\Quorum Business Solutions\Ecopetrol Prometeo - Documents\Planning Space Implementation\3. Analysis &amp; Design\Design\FC22\DRR Jaime\Neiva CPI\[DINA TERCIARIOS_CF_SEC_New_27-Mar-2024.xlsx]D-PND'!</v>
      </c>
      <c r="G1337" s="32" t="s">
        <v>120</v>
      </c>
      <c r="H1337" s="33">
        <f t="shared" si="323"/>
        <v>17</v>
      </c>
      <c r="I1337" s="33" t="str">
        <f t="shared" si="305"/>
        <v>='C:\Users\jaime.benazar\Quorum Business Solutions\Ecopetrol Prometeo - Documents\Planning Space Implementation\3. Analysis &amp; Design\Design\FC22\DRR Jaime\Neiva CPI\[DINA TERCIARIOS_CF_SEC_New_27-Mar-2024.xlsx]D-PND'!$CA$17</v>
      </c>
      <c r="J1337" s="37" t="s">
        <v>2637</v>
      </c>
    </row>
    <row r="1338" spans="1:10" x14ac:dyDescent="0.3">
      <c r="A1338" s="32" t="s">
        <v>16</v>
      </c>
      <c r="B1338" s="32">
        <f t="shared" si="324"/>
        <v>2029</v>
      </c>
      <c r="C1338" s="33" t="s">
        <v>40</v>
      </c>
      <c r="D1338" s="34" t="s">
        <v>2002</v>
      </c>
      <c r="E1338" s="35" t="str">
        <f t="shared" si="302"/>
        <v>PND'!</v>
      </c>
      <c r="F1338" s="34" t="str">
        <f t="shared" si="303"/>
        <v>C:\Users\jaime.benazar\Quorum Business Solutions\Ecopetrol Prometeo - Documents\Planning Space Implementation\3. Analysis &amp; Design\Design\FC22\DRR Jaime\Neiva CPI\[DINA TERCIARIOS_CF_SEC_New_27-Mar-2024.xlsx]D-PND'!</v>
      </c>
      <c r="G1338" s="32" t="s">
        <v>120</v>
      </c>
      <c r="H1338" s="33">
        <f t="shared" si="323"/>
        <v>18</v>
      </c>
      <c r="I1338" s="33" t="str">
        <f t="shared" si="305"/>
        <v>='C:\Users\jaime.benazar\Quorum Business Solutions\Ecopetrol Prometeo - Documents\Planning Space Implementation\3. Analysis &amp; Design\Design\FC22\DRR Jaime\Neiva CPI\[DINA TERCIARIOS_CF_SEC_New_27-Mar-2024.xlsx]D-PND'!$CA$18</v>
      </c>
      <c r="J1338" s="37" t="s">
        <v>2638</v>
      </c>
    </row>
    <row r="1339" spans="1:10" x14ac:dyDescent="0.3">
      <c r="A1339" s="32" t="s">
        <v>16</v>
      </c>
      <c r="B1339" s="32">
        <f t="shared" si="324"/>
        <v>2030</v>
      </c>
      <c r="C1339" s="33" t="s">
        <v>40</v>
      </c>
      <c r="D1339" s="34" t="s">
        <v>2002</v>
      </c>
      <c r="E1339" s="35" t="str">
        <f t="shared" si="302"/>
        <v>PND'!</v>
      </c>
      <c r="F1339" s="34" t="str">
        <f t="shared" si="303"/>
        <v>C:\Users\jaime.benazar\Quorum Business Solutions\Ecopetrol Prometeo - Documents\Planning Space Implementation\3. Analysis &amp; Design\Design\FC22\DRR Jaime\Neiva CPI\[DINA TERCIARIOS_CF_SEC_New_27-Mar-2024.xlsx]D-PND'!</v>
      </c>
      <c r="G1339" s="32" t="s">
        <v>120</v>
      </c>
      <c r="H1339" s="33">
        <f t="shared" si="323"/>
        <v>19</v>
      </c>
      <c r="I1339" s="33" t="str">
        <f t="shared" si="305"/>
        <v>='C:\Users\jaime.benazar\Quorum Business Solutions\Ecopetrol Prometeo - Documents\Planning Space Implementation\3. Analysis &amp; Design\Design\FC22\DRR Jaime\Neiva CPI\[DINA TERCIARIOS_CF_SEC_New_27-Mar-2024.xlsx]D-PND'!$CA$19</v>
      </c>
      <c r="J1339" s="37" t="s">
        <v>2639</v>
      </c>
    </row>
    <row r="1340" spans="1:10" x14ac:dyDescent="0.3">
      <c r="A1340" s="32" t="s">
        <v>16</v>
      </c>
      <c r="B1340" s="32">
        <f t="shared" si="324"/>
        <v>2031</v>
      </c>
      <c r="C1340" s="33" t="s">
        <v>40</v>
      </c>
      <c r="D1340" s="34" t="s">
        <v>2002</v>
      </c>
      <c r="E1340" s="35" t="str">
        <f t="shared" si="302"/>
        <v>PND'!</v>
      </c>
      <c r="F1340" s="34" t="str">
        <f t="shared" si="303"/>
        <v>C:\Users\jaime.benazar\Quorum Business Solutions\Ecopetrol Prometeo - Documents\Planning Space Implementation\3. Analysis &amp; Design\Design\FC22\DRR Jaime\Neiva CPI\[DINA TERCIARIOS_CF_SEC_New_27-Mar-2024.xlsx]D-PND'!</v>
      </c>
      <c r="G1340" s="32" t="s">
        <v>120</v>
      </c>
      <c r="H1340" s="33">
        <f t="shared" si="323"/>
        <v>20</v>
      </c>
      <c r="I1340" s="33" t="str">
        <f t="shared" si="305"/>
        <v>='C:\Users\jaime.benazar\Quorum Business Solutions\Ecopetrol Prometeo - Documents\Planning Space Implementation\3. Analysis &amp; Design\Design\FC22\DRR Jaime\Neiva CPI\[DINA TERCIARIOS_CF_SEC_New_27-Mar-2024.xlsx]D-PND'!$CA$20</v>
      </c>
      <c r="J1340" s="37" t="s">
        <v>2640</v>
      </c>
    </row>
    <row r="1341" spans="1:10" x14ac:dyDescent="0.3">
      <c r="A1341" s="32" t="s">
        <v>16</v>
      </c>
      <c r="B1341" s="32">
        <f t="shared" si="324"/>
        <v>2032</v>
      </c>
      <c r="C1341" s="33" t="s">
        <v>40</v>
      </c>
      <c r="D1341" s="34" t="s">
        <v>2002</v>
      </c>
      <c r="E1341" s="35" t="str">
        <f t="shared" si="302"/>
        <v>PND'!</v>
      </c>
      <c r="F1341" s="34" t="str">
        <f t="shared" si="303"/>
        <v>C:\Users\jaime.benazar\Quorum Business Solutions\Ecopetrol Prometeo - Documents\Planning Space Implementation\3. Analysis &amp; Design\Design\FC22\DRR Jaime\Neiva CPI\[DINA TERCIARIOS_CF_SEC_New_27-Mar-2024.xlsx]D-PND'!</v>
      </c>
      <c r="G1341" s="32" t="s">
        <v>120</v>
      </c>
      <c r="H1341" s="33">
        <f t="shared" si="323"/>
        <v>21</v>
      </c>
      <c r="I1341" s="33" t="str">
        <f t="shared" si="305"/>
        <v>='C:\Users\jaime.benazar\Quorum Business Solutions\Ecopetrol Prometeo - Documents\Planning Space Implementation\3. Analysis &amp; Design\Design\FC22\DRR Jaime\Neiva CPI\[DINA TERCIARIOS_CF_SEC_New_27-Mar-2024.xlsx]D-PND'!$CA$21</v>
      </c>
      <c r="J1341" s="37" t="s">
        <v>2641</v>
      </c>
    </row>
    <row r="1342" spans="1:10" x14ac:dyDescent="0.3">
      <c r="A1342" s="32" t="s">
        <v>16</v>
      </c>
      <c r="B1342" s="32">
        <f t="shared" si="324"/>
        <v>2033</v>
      </c>
      <c r="C1342" s="33" t="s">
        <v>40</v>
      </c>
      <c r="D1342" s="34" t="s">
        <v>2002</v>
      </c>
      <c r="E1342" s="35" t="str">
        <f t="shared" si="302"/>
        <v>PND'!</v>
      </c>
      <c r="F1342" s="34" t="str">
        <f t="shared" si="303"/>
        <v>C:\Users\jaime.benazar\Quorum Business Solutions\Ecopetrol Prometeo - Documents\Planning Space Implementation\3. Analysis &amp; Design\Design\FC22\DRR Jaime\Neiva CPI\[DINA TERCIARIOS_CF_SEC_New_27-Mar-2024.xlsx]D-PND'!</v>
      </c>
      <c r="G1342" s="32" t="s">
        <v>120</v>
      </c>
      <c r="H1342" s="33">
        <f t="shared" si="323"/>
        <v>22</v>
      </c>
      <c r="I1342" s="33" t="str">
        <f t="shared" si="305"/>
        <v>='C:\Users\jaime.benazar\Quorum Business Solutions\Ecopetrol Prometeo - Documents\Planning Space Implementation\3. Analysis &amp; Design\Design\FC22\DRR Jaime\Neiva CPI\[DINA TERCIARIOS_CF_SEC_New_27-Mar-2024.xlsx]D-PND'!$CA$22</v>
      </c>
      <c r="J1342" s="37" t="s">
        <v>2642</v>
      </c>
    </row>
    <row r="1343" spans="1:10" x14ac:dyDescent="0.3">
      <c r="A1343" s="32" t="s">
        <v>16</v>
      </c>
      <c r="B1343" s="32">
        <f t="shared" si="324"/>
        <v>2034</v>
      </c>
      <c r="C1343" s="33" t="s">
        <v>40</v>
      </c>
      <c r="D1343" s="34" t="s">
        <v>2002</v>
      </c>
      <c r="E1343" s="35" t="str">
        <f t="shared" si="302"/>
        <v>PND'!</v>
      </c>
      <c r="F1343" s="34" t="str">
        <f t="shared" si="303"/>
        <v>C:\Users\jaime.benazar\Quorum Business Solutions\Ecopetrol Prometeo - Documents\Planning Space Implementation\3. Analysis &amp; Design\Design\FC22\DRR Jaime\Neiva CPI\[DINA TERCIARIOS_CF_SEC_New_27-Mar-2024.xlsx]D-PND'!</v>
      </c>
      <c r="G1343" s="32" t="s">
        <v>120</v>
      </c>
      <c r="H1343" s="33">
        <f t="shared" si="323"/>
        <v>23</v>
      </c>
      <c r="I1343" s="33" t="str">
        <f t="shared" si="305"/>
        <v>='C:\Users\jaime.benazar\Quorum Business Solutions\Ecopetrol Prometeo - Documents\Planning Space Implementation\3. Analysis &amp; Design\Design\FC22\DRR Jaime\Neiva CPI\[DINA TERCIARIOS_CF_SEC_New_27-Mar-2024.xlsx]D-PND'!$CA$23</v>
      </c>
      <c r="J1343" s="37" t="s">
        <v>2643</v>
      </c>
    </row>
    <row r="1344" spans="1:10" x14ac:dyDescent="0.3">
      <c r="A1344" s="32" t="s">
        <v>16</v>
      </c>
      <c r="B1344" s="32">
        <f t="shared" si="324"/>
        <v>2035</v>
      </c>
      <c r="C1344" s="33" t="s">
        <v>40</v>
      </c>
      <c r="D1344" s="34" t="s">
        <v>2002</v>
      </c>
      <c r="E1344" s="35" t="str">
        <f t="shared" si="302"/>
        <v>PND'!</v>
      </c>
      <c r="F1344" s="34" t="str">
        <f t="shared" si="303"/>
        <v>C:\Users\jaime.benazar\Quorum Business Solutions\Ecopetrol Prometeo - Documents\Planning Space Implementation\3. Analysis &amp; Design\Design\FC22\DRR Jaime\Neiva CPI\[DINA TERCIARIOS_CF_SEC_New_27-Mar-2024.xlsx]D-PND'!</v>
      </c>
      <c r="G1344" s="32" t="s">
        <v>120</v>
      </c>
      <c r="H1344" s="33">
        <f t="shared" si="323"/>
        <v>24</v>
      </c>
      <c r="I1344" s="33" t="str">
        <f t="shared" si="305"/>
        <v>='C:\Users\jaime.benazar\Quorum Business Solutions\Ecopetrol Prometeo - Documents\Planning Space Implementation\3. Analysis &amp; Design\Design\FC22\DRR Jaime\Neiva CPI\[DINA TERCIARIOS_CF_SEC_New_27-Mar-2024.xlsx]D-PND'!$CA$24</v>
      </c>
      <c r="J1344" s="37" t="s">
        <v>2644</v>
      </c>
    </row>
    <row r="1345" spans="1:10" x14ac:dyDescent="0.3">
      <c r="A1345" s="32" t="s">
        <v>16</v>
      </c>
      <c r="B1345" s="32">
        <f t="shared" si="324"/>
        <v>2036</v>
      </c>
      <c r="C1345" s="33" t="s">
        <v>40</v>
      </c>
      <c r="D1345" s="34" t="s">
        <v>2002</v>
      </c>
      <c r="E1345" s="35" t="str">
        <f t="shared" si="302"/>
        <v>PND'!</v>
      </c>
      <c r="F1345" s="34" t="str">
        <f t="shared" si="303"/>
        <v>C:\Users\jaime.benazar\Quorum Business Solutions\Ecopetrol Prometeo - Documents\Planning Space Implementation\3. Analysis &amp; Design\Design\FC22\DRR Jaime\Neiva CPI\[DINA TERCIARIOS_CF_SEC_New_27-Mar-2024.xlsx]D-PND'!</v>
      </c>
      <c r="G1345" s="32" t="s">
        <v>120</v>
      </c>
      <c r="H1345" s="33">
        <f t="shared" si="323"/>
        <v>25</v>
      </c>
      <c r="I1345" s="33" t="str">
        <f t="shared" si="305"/>
        <v>='C:\Users\jaime.benazar\Quorum Business Solutions\Ecopetrol Prometeo - Documents\Planning Space Implementation\3. Analysis &amp; Design\Design\FC22\DRR Jaime\Neiva CPI\[DINA TERCIARIOS_CF_SEC_New_27-Mar-2024.xlsx]D-PND'!$CA$25</v>
      </c>
      <c r="J1345" s="37" t="s">
        <v>2645</v>
      </c>
    </row>
    <row r="1346" spans="1:10" x14ac:dyDescent="0.3">
      <c r="A1346" s="32" t="s">
        <v>16</v>
      </c>
      <c r="B1346" s="32">
        <f>+B1345+1</f>
        <v>2037</v>
      </c>
      <c r="C1346" s="33" t="s">
        <v>40</v>
      </c>
      <c r="D1346" s="34" t="s">
        <v>2002</v>
      </c>
      <c r="E1346" s="35" t="str">
        <f t="shared" si="302"/>
        <v>PND'!</v>
      </c>
      <c r="F1346" s="34" t="str">
        <f t="shared" si="303"/>
        <v>C:\Users\jaime.benazar\Quorum Business Solutions\Ecopetrol Prometeo - Documents\Planning Space Implementation\3. Analysis &amp; Design\Design\FC22\DRR Jaime\Neiva CPI\[DINA TERCIARIOS_CF_SEC_New_27-Mar-2024.xlsx]D-PND'!</v>
      </c>
      <c r="G1346" s="32" t="s">
        <v>120</v>
      </c>
      <c r="H1346" s="33">
        <f t="shared" si="323"/>
        <v>26</v>
      </c>
      <c r="I1346" s="33" t="str">
        <f t="shared" si="305"/>
        <v>='C:\Users\jaime.benazar\Quorum Business Solutions\Ecopetrol Prometeo - Documents\Planning Space Implementation\3. Analysis &amp; Design\Design\FC22\DRR Jaime\Neiva CPI\[DINA TERCIARIOS_CF_SEC_New_27-Mar-2024.xlsx]D-PND'!$CA$26</v>
      </c>
      <c r="J1346" s="37" t="s">
        <v>2646</v>
      </c>
    </row>
    <row r="1347" spans="1:10" x14ac:dyDescent="0.3">
      <c r="A1347" s="32" t="s">
        <v>16</v>
      </c>
      <c r="B1347" s="32">
        <f t="shared" ref="B1347:B1349" si="325">+B1346+1</f>
        <v>2038</v>
      </c>
      <c r="C1347" s="33" t="s">
        <v>40</v>
      </c>
      <c r="D1347" s="34" t="s">
        <v>2002</v>
      </c>
      <c r="E1347" s="35" t="str">
        <f t="shared" si="302"/>
        <v>PND'!</v>
      </c>
      <c r="F1347" s="34" t="str">
        <f t="shared" si="303"/>
        <v>C:\Users\jaime.benazar\Quorum Business Solutions\Ecopetrol Prometeo - Documents\Planning Space Implementation\3. Analysis &amp; Design\Design\FC22\DRR Jaime\Neiva CPI\[DINA TERCIARIOS_CF_SEC_New_27-Mar-2024.xlsx]D-PND'!</v>
      </c>
      <c r="G1347" s="32" t="s">
        <v>120</v>
      </c>
      <c r="H1347" s="33">
        <f t="shared" si="323"/>
        <v>27</v>
      </c>
      <c r="I1347" s="33" t="str">
        <f t="shared" si="305"/>
        <v>='C:\Users\jaime.benazar\Quorum Business Solutions\Ecopetrol Prometeo - Documents\Planning Space Implementation\3. Analysis &amp; Design\Design\FC22\DRR Jaime\Neiva CPI\[DINA TERCIARIOS_CF_SEC_New_27-Mar-2024.xlsx]D-PND'!$CA$27</v>
      </c>
      <c r="J1347" s="37" t="s">
        <v>2647</v>
      </c>
    </row>
    <row r="1348" spans="1:10" x14ac:dyDescent="0.3">
      <c r="A1348" s="32" t="s">
        <v>16</v>
      </c>
      <c r="B1348" s="32">
        <f t="shared" si="325"/>
        <v>2039</v>
      </c>
      <c r="C1348" s="33" t="s">
        <v>40</v>
      </c>
      <c r="D1348" s="34" t="s">
        <v>2002</v>
      </c>
      <c r="E1348" s="35" t="str">
        <f t="shared" si="302"/>
        <v>PND'!</v>
      </c>
      <c r="F1348" s="34" t="str">
        <f t="shared" si="303"/>
        <v>C:\Users\jaime.benazar\Quorum Business Solutions\Ecopetrol Prometeo - Documents\Planning Space Implementation\3. Analysis &amp; Design\Design\FC22\DRR Jaime\Neiva CPI\[DINA TERCIARIOS_CF_SEC_New_27-Mar-2024.xlsx]D-PND'!</v>
      </c>
      <c r="G1348" s="32" t="s">
        <v>120</v>
      </c>
      <c r="H1348" s="33">
        <f t="shared" si="323"/>
        <v>28</v>
      </c>
      <c r="I1348" s="33" t="str">
        <f t="shared" si="305"/>
        <v>='C:\Users\jaime.benazar\Quorum Business Solutions\Ecopetrol Prometeo - Documents\Planning Space Implementation\3. Analysis &amp; Design\Design\FC22\DRR Jaime\Neiva CPI\[DINA TERCIARIOS_CF_SEC_New_27-Mar-2024.xlsx]D-PND'!$CA$28</v>
      </c>
      <c r="J1348" s="37" t="s">
        <v>2648</v>
      </c>
    </row>
    <row r="1349" spans="1:10" x14ac:dyDescent="0.3">
      <c r="A1349" s="32" t="s">
        <v>16</v>
      </c>
      <c r="B1349" s="32">
        <f t="shared" si="325"/>
        <v>2040</v>
      </c>
      <c r="C1349" s="33" t="s">
        <v>40</v>
      </c>
      <c r="D1349" s="34" t="s">
        <v>2002</v>
      </c>
      <c r="E1349" s="35" t="str">
        <f t="shared" si="302"/>
        <v>PND'!</v>
      </c>
      <c r="F1349" s="34" t="str">
        <f t="shared" si="303"/>
        <v>C:\Users\jaime.benazar\Quorum Business Solutions\Ecopetrol Prometeo - Documents\Planning Space Implementation\3. Analysis &amp; Design\Design\FC22\DRR Jaime\Neiva CPI\[DINA TERCIARIOS_CF_SEC_New_27-Mar-2024.xlsx]D-PND'!</v>
      </c>
      <c r="G1349" s="32" t="s">
        <v>120</v>
      </c>
      <c r="H1349" s="33">
        <f t="shared" si="323"/>
        <v>29</v>
      </c>
      <c r="I1349" s="33" t="str">
        <f t="shared" si="305"/>
        <v>='C:\Users\jaime.benazar\Quorum Business Solutions\Ecopetrol Prometeo - Documents\Planning Space Implementation\3. Analysis &amp; Design\Design\FC22\DRR Jaime\Neiva CPI\[DINA TERCIARIOS_CF_SEC_New_27-Mar-2024.xlsx]D-PND'!$CA$29</v>
      </c>
      <c r="J1349" s="37" t="s">
        <v>2649</v>
      </c>
    </row>
    <row r="1350" spans="1:10" x14ac:dyDescent="0.3">
      <c r="A1350" s="32" t="s">
        <v>16</v>
      </c>
      <c r="B1350" s="32">
        <f>+B1349+1</f>
        <v>2041</v>
      </c>
      <c r="C1350" s="33" t="s">
        <v>40</v>
      </c>
      <c r="D1350" s="34" t="s">
        <v>2002</v>
      </c>
      <c r="E1350" s="35" t="str">
        <f t="shared" si="302"/>
        <v>PND'!</v>
      </c>
      <c r="F1350" s="34" t="str">
        <f t="shared" si="303"/>
        <v>C:\Users\jaime.benazar\Quorum Business Solutions\Ecopetrol Prometeo - Documents\Planning Space Implementation\3. Analysis &amp; Design\Design\FC22\DRR Jaime\Neiva CPI\[DINA TERCIARIOS_CF_SEC_New_27-Mar-2024.xlsx]D-PND'!</v>
      </c>
      <c r="G1350" s="32" t="s">
        <v>120</v>
      </c>
      <c r="H1350" s="33">
        <f t="shared" si="323"/>
        <v>30</v>
      </c>
      <c r="I1350" s="33" t="str">
        <f t="shared" si="305"/>
        <v>='C:\Users\jaime.benazar\Quorum Business Solutions\Ecopetrol Prometeo - Documents\Planning Space Implementation\3. Analysis &amp; Design\Design\FC22\DRR Jaime\Neiva CPI\[DINA TERCIARIOS_CF_SEC_New_27-Mar-2024.xlsx]D-PND'!$CA$30</v>
      </c>
      <c r="J1350" s="37" t="s">
        <v>2650</v>
      </c>
    </row>
    <row r="1351" spans="1:10" x14ac:dyDescent="0.3">
      <c r="A1351" s="32" t="s">
        <v>16</v>
      </c>
      <c r="B1351" s="32">
        <f t="shared" ref="B1351:B1352" si="326">+B1350+1</f>
        <v>2042</v>
      </c>
      <c r="C1351" s="33" t="s">
        <v>40</v>
      </c>
      <c r="D1351" s="34" t="s">
        <v>2002</v>
      </c>
      <c r="E1351" s="35" t="str">
        <f t="shared" ref="E1351:E1656" si="327">_xlfn.CONCAT(A1351,"'!")</f>
        <v>PND'!</v>
      </c>
      <c r="F1351" s="34" t="str">
        <f t="shared" ref="F1351:F1656" si="328">_xlfn.CONCAT(D1351:E1351)</f>
        <v>C:\Users\jaime.benazar\Quorum Business Solutions\Ecopetrol Prometeo - Documents\Planning Space Implementation\3. Analysis &amp; Design\Design\FC22\DRR Jaime\Neiva CPI\[DINA TERCIARIOS_CF_SEC_New_27-Mar-2024.xlsx]D-PND'!</v>
      </c>
      <c r="G1351" s="32" t="s">
        <v>120</v>
      </c>
      <c r="H1351" s="33">
        <f t="shared" si="323"/>
        <v>31</v>
      </c>
      <c r="I1351" s="33" t="str">
        <f t="shared" ref="I1351:I1656" si="329">_xlfn.CONCAT("='",F1351:H1351)</f>
        <v>='C:\Users\jaime.benazar\Quorum Business Solutions\Ecopetrol Prometeo - Documents\Planning Space Implementation\3. Analysis &amp; Design\Design\FC22\DRR Jaime\Neiva CPI\[DINA TERCIARIOS_CF_SEC_New_27-Mar-2024.xlsx]D-PND'!$CA$31</v>
      </c>
      <c r="J1351" s="37" t="s">
        <v>2651</v>
      </c>
    </row>
    <row r="1352" spans="1:10" x14ac:dyDescent="0.3">
      <c r="A1352" s="32" t="s">
        <v>16</v>
      </c>
      <c r="B1352" s="32">
        <f t="shared" si="326"/>
        <v>2043</v>
      </c>
      <c r="C1352" s="33" t="s">
        <v>40</v>
      </c>
      <c r="D1352" s="34" t="s">
        <v>2002</v>
      </c>
      <c r="E1352" s="35" t="str">
        <f t="shared" si="327"/>
        <v>PND'!</v>
      </c>
      <c r="F1352" s="34" t="str">
        <f t="shared" si="328"/>
        <v>C:\Users\jaime.benazar\Quorum Business Solutions\Ecopetrol Prometeo - Documents\Planning Space Implementation\3. Analysis &amp; Design\Design\FC22\DRR Jaime\Neiva CPI\[DINA TERCIARIOS_CF_SEC_New_27-Mar-2024.xlsx]D-PND'!</v>
      </c>
      <c r="G1352" s="32" t="s">
        <v>120</v>
      </c>
      <c r="H1352" s="33">
        <f t="shared" si="323"/>
        <v>32</v>
      </c>
      <c r="I1352" s="33" t="str">
        <f t="shared" si="329"/>
        <v>='C:\Users\jaime.benazar\Quorum Business Solutions\Ecopetrol Prometeo - Documents\Planning Space Implementation\3. Analysis &amp; Design\Design\FC22\DRR Jaime\Neiva CPI\[DINA TERCIARIOS_CF_SEC_New_27-Mar-2024.xlsx]D-PND'!$CA$32</v>
      </c>
      <c r="J1352" s="37" t="s">
        <v>2652</v>
      </c>
    </row>
    <row r="1353" spans="1:10" x14ac:dyDescent="0.3">
      <c r="A1353" s="32" t="s">
        <v>16</v>
      </c>
      <c r="B1353" s="32">
        <f>+B1352+1</f>
        <v>2044</v>
      </c>
      <c r="C1353" s="33" t="s">
        <v>40</v>
      </c>
      <c r="D1353" s="34" t="s">
        <v>2002</v>
      </c>
      <c r="E1353" s="35" t="str">
        <f t="shared" ref="E1353:E1368" si="330">_xlfn.CONCAT(A1353,"'!")</f>
        <v>PND'!</v>
      </c>
      <c r="F1353" s="34" t="str">
        <f t="shared" ref="F1353:F1368" si="331">_xlfn.CONCAT(D1353:E1353)</f>
        <v>C:\Users\jaime.benazar\Quorum Business Solutions\Ecopetrol Prometeo - Documents\Planning Space Implementation\3. Analysis &amp; Design\Design\FC22\DRR Jaime\Neiva CPI\[DINA TERCIARIOS_CF_SEC_New_27-Mar-2024.xlsx]D-PND'!</v>
      </c>
      <c r="G1353" s="32" t="s">
        <v>120</v>
      </c>
      <c r="H1353" s="33">
        <f t="shared" ref="H1353:H1368" si="332">IF(A1353&lt;&gt;A1352,12,H1352+1)</f>
        <v>33</v>
      </c>
      <c r="I1353" s="33" t="str">
        <f t="shared" ref="I1353:I1368" si="333">_xlfn.CONCAT("='",F1353:H1353)</f>
        <v>='C:\Users\jaime.benazar\Quorum Business Solutions\Ecopetrol Prometeo - Documents\Planning Space Implementation\3. Analysis &amp; Design\Design\FC22\DRR Jaime\Neiva CPI\[DINA TERCIARIOS_CF_SEC_New_27-Mar-2024.xlsx]D-PND'!$CA$33</v>
      </c>
      <c r="J1353" s="37" t="s">
        <v>2653</v>
      </c>
    </row>
    <row r="1354" spans="1:10" x14ac:dyDescent="0.3">
      <c r="A1354" s="32" t="s">
        <v>16</v>
      </c>
      <c r="B1354" s="32">
        <f t="shared" ref="B1354:B1368" si="334">+B1353+1</f>
        <v>2045</v>
      </c>
      <c r="C1354" s="33" t="s">
        <v>40</v>
      </c>
      <c r="D1354" s="34" t="s">
        <v>2002</v>
      </c>
      <c r="E1354" s="35" t="str">
        <f t="shared" si="330"/>
        <v>PND'!</v>
      </c>
      <c r="F1354" s="34" t="str">
        <f t="shared" si="331"/>
        <v>C:\Users\jaime.benazar\Quorum Business Solutions\Ecopetrol Prometeo - Documents\Planning Space Implementation\3. Analysis &amp; Design\Design\FC22\DRR Jaime\Neiva CPI\[DINA TERCIARIOS_CF_SEC_New_27-Mar-2024.xlsx]D-PND'!</v>
      </c>
      <c r="G1354" s="32" t="s">
        <v>120</v>
      </c>
      <c r="H1354" s="33">
        <f t="shared" si="332"/>
        <v>34</v>
      </c>
      <c r="I1354" s="33" t="str">
        <f t="shared" si="333"/>
        <v>='C:\Users\jaime.benazar\Quorum Business Solutions\Ecopetrol Prometeo - Documents\Planning Space Implementation\3. Analysis &amp; Design\Design\FC22\DRR Jaime\Neiva CPI\[DINA TERCIARIOS_CF_SEC_New_27-Mar-2024.xlsx]D-PND'!$CA$34</v>
      </c>
      <c r="J1354" s="37" t="s">
        <v>2654</v>
      </c>
    </row>
    <row r="1355" spans="1:10" x14ac:dyDescent="0.3">
      <c r="A1355" s="32" t="s">
        <v>16</v>
      </c>
      <c r="B1355" s="32">
        <f t="shared" si="334"/>
        <v>2046</v>
      </c>
      <c r="C1355" s="33" t="s">
        <v>40</v>
      </c>
      <c r="D1355" s="34" t="s">
        <v>2002</v>
      </c>
      <c r="E1355" s="35" t="str">
        <f t="shared" si="330"/>
        <v>PND'!</v>
      </c>
      <c r="F1355" s="34" t="str">
        <f t="shared" si="331"/>
        <v>C:\Users\jaime.benazar\Quorum Business Solutions\Ecopetrol Prometeo - Documents\Planning Space Implementation\3. Analysis &amp; Design\Design\FC22\DRR Jaime\Neiva CPI\[DINA TERCIARIOS_CF_SEC_New_27-Mar-2024.xlsx]D-PND'!</v>
      </c>
      <c r="G1355" s="32" t="s">
        <v>120</v>
      </c>
      <c r="H1355" s="33">
        <f t="shared" si="332"/>
        <v>35</v>
      </c>
      <c r="I1355" s="33" t="str">
        <f t="shared" si="333"/>
        <v>='C:\Users\jaime.benazar\Quorum Business Solutions\Ecopetrol Prometeo - Documents\Planning Space Implementation\3. Analysis &amp; Design\Design\FC22\DRR Jaime\Neiva CPI\[DINA TERCIARIOS_CF_SEC_New_27-Mar-2024.xlsx]D-PND'!$CA$35</v>
      </c>
      <c r="J1355" s="37" t="s">
        <v>2655</v>
      </c>
    </row>
    <row r="1356" spans="1:10" x14ac:dyDescent="0.3">
      <c r="A1356" s="32" t="s">
        <v>16</v>
      </c>
      <c r="B1356" s="32">
        <f t="shared" si="334"/>
        <v>2047</v>
      </c>
      <c r="C1356" s="33" t="s">
        <v>40</v>
      </c>
      <c r="D1356" s="34" t="s">
        <v>2002</v>
      </c>
      <c r="E1356" s="35" t="str">
        <f t="shared" si="330"/>
        <v>PND'!</v>
      </c>
      <c r="F1356" s="34" t="str">
        <f t="shared" si="331"/>
        <v>C:\Users\jaime.benazar\Quorum Business Solutions\Ecopetrol Prometeo - Documents\Planning Space Implementation\3. Analysis &amp; Design\Design\FC22\DRR Jaime\Neiva CPI\[DINA TERCIARIOS_CF_SEC_New_27-Mar-2024.xlsx]D-PND'!</v>
      </c>
      <c r="G1356" s="32" t="s">
        <v>120</v>
      </c>
      <c r="H1356" s="33">
        <f t="shared" si="332"/>
        <v>36</v>
      </c>
      <c r="I1356" s="33" t="str">
        <f t="shared" si="333"/>
        <v>='C:\Users\jaime.benazar\Quorum Business Solutions\Ecopetrol Prometeo - Documents\Planning Space Implementation\3. Analysis &amp; Design\Design\FC22\DRR Jaime\Neiva CPI\[DINA TERCIARIOS_CF_SEC_New_27-Mar-2024.xlsx]D-PND'!$CA$36</v>
      </c>
      <c r="J1356" s="37" t="s">
        <v>2656</v>
      </c>
    </row>
    <row r="1357" spans="1:10" x14ac:dyDescent="0.3">
      <c r="A1357" s="32" t="s">
        <v>16</v>
      </c>
      <c r="B1357" s="32">
        <f t="shared" si="334"/>
        <v>2048</v>
      </c>
      <c r="C1357" s="33" t="s">
        <v>40</v>
      </c>
      <c r="D1357" s="34" t="s">
        <v>2002</v>
      </c>
      <c r="E1357" s="35" t="str">
        <f t="shared" si="330"/>
        <v>PND'!</v>
      </c>
      <c r="F1357" s="34" t="str">
        <f t="shared" si="331"/>
        <v>C:\Users\jaime.benazar\Quorum Business Solutions\Ecopetrol Prometeo - Documents\Planning Space Implementation\3. Analysis &amp; Design\Design\FC22\DRR Jaime\Neiva CPI\[DINA TERCIARIOS_CF_SEC_New_27-Mar-2024.xlsx]D-PND'!</v>
      </c>
      <c r="G1357" s="32" t="s">
        <v>120</v>
      </c>
      <c r="H1357" s="33">
        <f t="shared" si="332"/>
        <v>37</v>
      </c>
      <c r="I1357" s="33" t="str">
        <f t="shared" si="333"/>
        <v>='C:\Users\jaime.benazar\Quorum Business Solutions\Ecopetrol Prometeo - Documents\Planning Space Implementation\3. Analysis &amp; Design\Design\FC22\DRR Jaime\Neiva CPI\[DINA TERCIARIOS_CF_SEC_New_27-Mar-2024.xlsx]D-PND'!$CA$37</v>
      </c>
      <c r="J1357" s="37" t="s">
        <v>2657</v>
      </c>
    </row>
    <row r="1358" spans="1:10" x14ac:dyDescent="0.3">
      <c r="A1358" s="32" t="s">
        <v>16</v>
      </c>
      <c r="B1358" s="32">
        <f t="shared" si="334"/>
        <v>2049</v>
      </c>
      <c r="C1358" s="33" t="s">
        <v>40</v>
      </c>
      <c r="D1358" s="34" t="s">
        <v>2002</v>
      </c>
      <c r="E1358" s="35" t="str">
        <f t="shared" si="330"/>
        <v>PND'!</v>
      </c>
      <c r="F1358" s="34" t="str">
        <f t="shared" si="331"/>
        <v>C:\Users\jaime.benazar\Quorum Business Solutions\Ecopetrol Prometeo - Documents\Planning Space Implementation\3. Analysis &amp; Design\Design\FC22\DRR Jaime\Neiva CPI\[DINA TERCIARIOS_CF_SEC_New_27-Mar-2024.xlsx]D-PND'!</v>
      </c>
      <c r="G1358" s="32" t="s">
        <v>120</v>
      </c>
      <c r="H1358" s="33">
        <f t="shared" si="332"/>
        <v>38</v>
      </c>
      <c r="I1358" s="33" t="str">
        <f t="shared" si="333"/>
        <v>='C:\Users\jaime.benazar\Quorum Business Solutions\Ecopetrol Prometeo - Documents\Planning Space Implementation\3. Analysis &amp; Design\Design\FC22\DRR Jaime\Neiva CPI\[DINA TERCIARIOS_CF_SEC_New_27-Mar-2024.xlsx]D-PND'!$CA$38</v>
      </c>
      <c r="J1358" s="37" t="s">
        <v>2658</v>
      </c>
    </row>
    <row r="1359" spans="1:10" x14ac:dyDescent="0.3">
      <c r="A1359" s="32" t="s">
        <v>16</v>
      </c>
      <c r="B1359" s="32">
        <f t="shared" si="334"/>
        <v>2050</v>
      </c>
      <c r="C1359" s="33" t="s">
        <v>40</v>
      </c>
      <c r="D1359" s="34" t="s">
        <v>2002</v>
      </c>
      <c r="E1359" s="35" t="str">
        <f t="shared" si="330"/>
        <v>PND'!</v>
      </c>
      <c r="F1359" s="34" t="str">
        <f t="shared" si="331"/>
        <v>C:\Users\jaime.benazar\Quorum Business Solutions\Ecopetrol Prometeo - Documents\Planning Space Implementation\3. Analysis &amp; Design\Design\FC22\DRR Jaime\Neiva CPI\[DINA TERCIARIOS_CF_SEC_New_27-Mar-2024.xlsx]D-PND'!</v>
      </c>
      <c r="G1359" s="32" t="s">
        <v>120</v>
      </c>
      <c r="H1359" s="33">
        <f t="shared" si="332"/>
        <v>39</v>
      </c>
      <c r="I1359" s="33" t="str">
        <f t="shared" si="333"/>
        <v>='C:\Users\jaime.benazar\Quorum Business Solutions\Ecopetrol Prometeo - Documents\Planning Space Implementation\3. Analysis &amp; Design\Design\FC22\DRR Jaime\Neiva CPI\[DINA TERCIARIOS_CF_SEC_New_27-Mar-2024.xlsx]D-PND'!$CA$39</v>
      </c>
      <c r="J1359" s="37" t="s">
        <v>2659</v>
      </c>
    </row>
    <row r="1360" spans="1:10" x14ac:dyDescent="0.3">
      <c r="A1360" s="32" t="s">
        <v>16</v>
      </c>
      <c r="B1360" s="32">
        <f t="shared" si="334"/>
        <v>2051</v>
      </c>
      <c r="C1360" s="33" t="s">
        <v>40</v>
      </c>
      <c r="D1360" s="34" t="s">
        <v>2002</v>
      </c>
      <c r="E1360" s="35" t="str">
        <f t="shared" si="330"/>
        <v>PND'!</v>
      </c>
      <c r="F1360" s="34" t="str">
        <f t="shared" si="331"/>
        <v>C:\Users\jaime.benazar\Quorum Business Solutions\Ecopetrol Prometeo - Documents\Planning Space Implementation\3. Analysis &amp; Design\Design\FC22\DRR Jaime\Neiva CPI\[DINA TERCIARIOS_CF_SEC_New_27-Mar-2024.xlsx]D-PND'!</v>
      </c>
      <c r="G1360" s="32" t="s">
        <v>120</v>
      </c>
      <c r="H1360" s="33">
        <f t="shared" si="332"/>
        <v>40</v>
      </c>
      <c r="I1360" s="33" t="str">
        <f t="shared" si="333"/>
        <v>='C:\Users\jaime.benazar\Quorum Business Solutions\Ecopetrol Prometeo - Documents\Planning Space Implementation\3. Analysis &amp; Design\Design\FC22\DRR Jaime\Neiva CPI\[DINA TERCIARIOS_CF_SEC_New_27-Mar-2024.xlsx]D-PND'!$CA$40</v>
      </c>
      <c r="J1360" s="37" t="s">
        <v>2660</v>
      </c>
    </row>
    <row r="1361" spans="1:10" x14ac:dyDescent="0.3">
      <c r="A1361" s="32" t="s">
        <v>16</v>
      </c>
      <c r="B1361" s="32">
        <f t="shared" si="334"/>
        <v>2052</v>
      </c>
      <c r="C1361" s="33" t="s">
        <v>40</v>
      </c>
      <c r="D1361" s="34" t="s">
        <v>2002</v>
      </c>
      <c r="E1361" s="35" t="str">
        <f t="shared" si="330"/>
        <v>PND'!</v>
      </c>
      <c r="F1361" s="34" t="str">
        <f t="shared" si="331"/>
        <v>C:\Users\jaime.benazar\Quorum Business Solutions\Ecopetrol Prometeo - Documents\Planning Space Implementation\3. Analysis &amp; Design\Design\FC22\DRR Jaime\Neiva CPI\[DINA TERCIARIOS_CF_SEC_New_27-Mar-2024.xlsx]D-PND'!</v>
      </c>
      <c r="G1361" s="32" t="s">
        <v>120</v>
      </c>
      <c r="H1361" s="33">
        <f t="shared" si="332"/>
        <v>41</v>
      </c>
      <c r="I1361" s="33" t="str">
        <f t="shared" si="333"/>
        <v>='C:\Users\jaime.benazar\Quorum Business Solutions\Ecopetrol Prometeo - Documents\Planning Space Implementation\3. Analysis &amp; Design\Design\FC22\DRR Jaime\Neiva CPI\[DINA TERCIARIOS_CF_SEC_New_27-Mar-2024.xlsx]D-PND'!$CA$41</v>
      </c>
      <c r="J1361" s="37" t="s">
        <v>2661</v>
      </c>
    </row>
    <row r="1362" spans="1:10" x14ac:dyDescent="0.3">
      <c r="A1362" s="32" t="s">
        <v>16</v>
      </c>
      <c r="B1362" s="32">
        <f t="shared" si="334"/>
        <v>2053</v>
      </c>
      <c r="C1362" s="33" t="s">
        <v>40</v>
      </c>
      <c r="D1362" s="34" t="s">
        <v>2002</v>
      </c>
      <c r="E1362" s="35" t="str">
        <f t="shared" si="330"/>
        <v>PND'!</v>
      </c>
      <c r="F1362" s="34" t="str">
        <f t="shared" si="331"/>
        <v>C:\Users\jaime.benazar\Quorum Business Solutions\Ecopetrol Prometeo - Documents\Planning Space Implementation\3. Analysis &amp; Design\Design\FC22\DRR Jaime\Neiva CPI\[DINA TERCIARIOS_CF_SEC_New_27-Mar-2024.xlsx]D-PND'!</v>
      </c>
      <c r="G1362" s="32" t="s">
        <v>120</v>
      </c>
      <c r="H1362" s="33">
        <f t="shared" si="332"/>
        <v>42</v>
      </c>
      <c r="I1362" s="33" t="str">
        <f t="shared" si="333"/>
        <v>='C:\Users\jaime.benazar\Quorum Business Solutions\Ecopetrol Prometeo - Documents\Planning Space Implementation\3. Analysis &amp; Design\Design\FC22\DRR Jaime\Neiva CPI\[DINA TERCIARIOS_CF_SEC_New_27-Mar-2024.xlsx]D-PND'!$CA$42</v>
      </c>
      <c r="J1362" s="37" t="s">
        <v>2662</v>
      </c>
    </row>
    <row r="1363" spans="1:10" x14ac:dyDescent="0.3">
      <c r="A1363" s="32" t="s">
        <v>16</v>
      </c>
      <c r="B1363" s="32">
        <f t="shared" si="334"/>
        <v>2054</v>
      </c>
      <c r="C1363" s="33" t="s">
        <v>40</v>
      </c>
      <c r="D1363" s="34" t="s">
        <v>2002</v>
      </c>
      <c r="E1363" s="35" t="str">
        <f t="shared" si="330"/>
        <v>PND'!</v>
      </c>
      <c r="F1363" s="34" t="str">
        <f t="shared" si="331"/>
        <v>C:\Users\jaime.benazar\Quorum Business Solutions\Ecopetrol Prometeo - Documents\Planning Space Implementation\3. Analysis &amp; Design\Design\FC22\DRR Jaime\Neiva CPI\[DINA TERCIARIOS_CF_SEC_New_27-Mar-2024.xlsx]D-PND'!</v>
      </c>
      <c r="G1363" s="32" t="s">
        <v>120</v>
      </c>
      <c r="H1363" s="33">
        <f t="shared" si="332"/>
        <v>43</v>
      </c>
      <c r="I1363" s="33" t="str">
        <f t="shared" si="333"/>
        <v>='C:\Users\jaime.benazar\Quorum Business Solutions\Ecopetrol Prometeo - Documents\Planning Space Implementation\3. Analysis &amp; Design\Design\FC22\DRR Jaime\Neiva CPI\[DINA TERCIARIOS_CF_SEC_New_27-Mar-2024.xlsx]D-PND'!$CA$43</v>
      </c>
      <c r="J1363" s="37" t="s">
        <v>2663</v>
      </c>
    </row>
    <row r="1364" spans="1:10" x14ac:dyDescent="0.3">
      <c r="A1364" s="32" t="s">
        <v>16</v>
      </c>
      <c r="B1364" s="32">
        <f t="shared" si="334"/>
        <v>2055</v>
      </c>
      <c r="C1364" s="33" t="s">
        <v>40</v>
      </c>
      <c r="D1364" s="34" t="s">
        <v>2002</v>
      </c>
      <c r="E1364" s="35" t="str">
        <f t="shared" si="330"/>
        <v>PND'!</v>
      </c>
      <c r="F1364" s="34" t="str">
        <f t="shared" si="331"/>
        <v>C:\Users\jaime.benazar\Quorum Business Solutions\Ecopetrol Prometeo - Documents\Planning Space Implementation\3. Analysis &amp; Design\Design\FC22\DRR Jaime\Neiva CPI\[DINA TERCIARIOS_CF_SEC_New_27-Mar-2024.xlsx]D-PND'!</v>
      </c>
      <c r="G1364" s="32" t="s">
        <v>120</v>
      </c>
      <c r="H1364" s="33">
        <f t="shared" si="332"/>
        <v>44</v>
      </c>
      <c r="I1364" s="33" t="str">
        <f t="shared" si="333"/>
        <v>='C:\Users\jaime.benazar\Quorum Business Solutions\Ecopetrol Prometeo - Documents\Planning Space Implementation\3. Analysis &amp; Design\Design\FC22\DRR Jaime\Neiva CPI\[DINA TERCIARIOS_CF_SEC_New_27-Mar-2024.xlsx]D-PND'!$CA$44</v>
      </c>
      <c r="J1364" s="37" t="s">
        <v>2664</v>
      </c>
    </row>
    <row r="1365" spans="1:10" x14ac:dyDescent="0.3">
      <c r="A1365" s="32" t="s">
        <v>16</v>
      </c>
      <c r="B1365" s="32">
        <f t="shared" si="334"/>
        <v>2056</v>
      </c>
      <c r="C1365" s="33" t="s">
        <v>40</v>
      </c>
      <c r="D1365" s="34" t="s">
        <v>2002</v>
      </c>
      <c r="E1365" s="35" t="str">
        <f t="shared" si="330"/>
        <v>PND'!</v>
      </c>
      <c r="F1365" s="34" t="str">
        <f t="shared" si="331"/>
        <v>C:\Users\jaime.benazar\Quorum Business Solutions\Ecopetrol Prometeo - Documents\Planning Space Implementation\3. Analysis &amp; Design\Design\FC22\DRR Jaime\Neiva CPI\[DINA TERCIARIOS_CF_SEC_New_27-Mar-2024.xlsx]D-PND'!</v>
      </c>
      <c r="G1365" s="32" t="s">
        <v>120</v>
      </c>
      <c r="H1365" s="33">
        <f t="shared" si="332"/>
        <v>45</v>
      </c>
      <c r="I1365" s="33" t="str">
        <f t="shared" si="333"/>
        <v>='C:\Users\jaime.benazar\Quorum Business Solutions\Ecopetrol Prometeo - Documents\Planning Space Implementation\3. Analysis &amp; Design\Design\FC22\DRR Jaime\Neiva CPI\[DINA TERCIARIOS_CF_SEC_New_27-Mar-2024.xlsx]D-PND'!$CA$45</v>
      </c>
      <c r="J1365" s="37" t="s">
        <v>2665</v>
      </c>
    </row>
    <row r="1366" spans="1:10" x14ac:dyDescent="0.3">
      <c r="A1366" s="32" t="s">
        <v>16</v>
      </c>
      <c r="B1366" s="32">
        <f t="shared" si="334"/>
        <v>2057</v>
      </c>
      <c r="C1366" s="33" t="s">
        <v>40</v>
      </c>
      <c r="D1366" s="34" t="s">
        <v>2002</v>
      </c>
      <c r="E1366" s="35" t="str">
        <f t="shared" si="330"/>
        <v>PND'!</v>
      </c>
      <c r="F1366" s="34" t="str">
        <f t="shared" si="331"/>
        <v>C:\Users\jaime.benazar\Quorum Business Solutions\Ecopetrol Prometeo - Documents\Planning Space Implementation\3. Analysis &amp; Design\Design\FC22\DRR Jaime\Neiva CPI\[DINA TERCIARIOS_CF_SEC_New_27-Mar-2024.xlsx]D-PND'!</v>
      </c>
      <c r="G1366" s="32" t="s">
        <v>120</v>
      </c>
      <c r="H1366" s="33">
        <f t="shared" si="332"/>
        <v>46</v>
      </c>
      <c r="I1366" s="33" t="str">
        <f t="shared" si="333"/>
        <v>='C:\Users\jaime.benazar\Quorum Business Solutions\Ecopetrol Prometeo - Documents\Planning Space Implementation\3. Analysis &amp; Design\Design\FC22\DRR Jaime\Neiva CPI\[DINA TERCIARIOS_CF_SEC_New_27-Mar-2024.xlsx]D-PND'!$CA$46</v>
      </c>
      <c r="J1366" s="37" t="s">
        <v>2666</v>
      </c>
    </row>
    <row r="1367" spans="1:10" x14ac:dyDescent="0.3">
      <c r="A1367" s="32" t="s">
        <v>16</v>
      </c>
      <c r="B1367" s="32">
        <f t="shared" si="334"/>
        <v>2058</v>
      </c>
      <c r="C1367" s="33" t="s">
        <v>40</v>
      </c>
      <c r="D1367" s="34" t="s">
        <v>2002</v>
      </c>
      <c r="E1367" s="35" t="str">
        <f t="shared" si="330"/>
        <v>PND'!</v>
      </c>
      <c r="F1367" s="34" t="str">
        <f t="shared" si="331"/>
        <v>C:\Users\jaime.benazar\Quorum Business Solutions\Ecopetrol Prometeo - Documents\Planning Space Implementation\3. Analysis &amp; Design\Design\FC22\DRR Jaime\Neiva CPI\[DINA TERCIARIOS_CF_SEC_New_27-Mar-2024.xlsx]D-PND'!</v>
      </c>
      <c r="G1367" s="32" t="s">
        <v>120</v>
      </c>
      <c r="H1367" s="33">
        <f t="shared" si="332"/>
        <v>47</v>
      </c>
      <c r="I1367" s="33" t="str">
        <f t="shared" si="333"/>
        <v>='C:\Users\jaime.benazar\Quorum Business Solutions\Ecopetrol Prometeo - Documents\Planning Space Implementation\3. Analysis &amp; Design\Design\FC22\DRR Jaime\Neiva CPI\[DINA TERCIARIOS_CF_SEC_New_27-Mar-2024.xlsx]D-PND'!$CA$47</v>
      </c>
      <c r="J1367" s="37" t="s">
        <v>2667</v>
      </c>
    </row>
    <row r="1368" spans="1:10" x14ac:dyDescent="0.3">
      <c r="A1368" s="32" t="s">
        <v>16</v>
      </c>
      <c r="B1368" s="32">
        <f t="shared" si="334"/>
        <v>2059</v>
      </c>
      <c r="C1368" s="33" t="s">
        <v>40</v>
      </c>
      <c r="D1368" s="34" t="s">
        <v>2002</v>
      </c>
      <c r="E1368" s="35" t="str">
        <f t="shared" si="330"/>
        <v>PND'!</v>
      </c>
      <c r="F1368" s="34" t="str">
        <f t="shared" si="331"/>
        <v>C:\Users\jaime.benazar\Quorum Business Solutions\Ecopetrol Prometeo - Documents\Planning Space Implementation\3. Analysis &amp; Design\Design\FC22\DRR Jaime\Neiva CPI\[DINA TERCIARIOS_CF_SEC_New_27-Mar-2024.xlsx]D-PND'!</v>
      </c>
      <c r="G1368" s="32" t="s">
        <v>120</v>
      </c>
      <c r="H1368" s="33">
        <f t="shared" si="332"/>
        <v>48</v>
      </c>
      <c r="I1368" s="33" t="str">
        <f t="shared" si="333"/>
        <v>='C:\Users\jaime.benazar\Quorum Business Solutions\Ecopetrol Prometeo - Documents\Planning Space Implementation\3. Analysis &amp; Design\Design\FC22\DRR Jaime\Neiva CPI\[DINA TERCIARIOS_CF_SEC_New_27-Mar-2024.xlsx]D-PND'!$CA$48</v>
      </c>
      <c r="J1368" s="37" t="s">
        <v>2668</v>
      </c>
    </row>
    <row r="1369" spans="1:10" x14ac:dyDescent="0.3">
      <c r="A1369" s="32" t="s">
        <v>26</v>
      </c>
      <c r="B1369" s="32"/>
      <c r="C1369" s="33" t="s">
        <v>40</v>
      </c>
      <c r="D1369" s="34"/>
      <c r="E1369" s="35"/>
      <c r="F1369" s="34"/>
      <c r="G1369" s="32"/>
      <c r="H1369" s="33"/>
      <c r="I1369" s="33"/>
      <c r="J1369" s="33"/>
    </row>
    <row r="1370" spans="1:10" x14ac:dyDescent="0.3">
      <c r="A1370" s="32" t="s">
        <v>17</v>
      </c>
      <c r="B1370" s="32">
        <v>2023</v>
      </c>
      <c r="C1370" s="33" t="s">
        <v>40</v>
      </c>
      <c r="D1370" s="34" t="s">
        <v>2002</v>
      </c>
      <c r="E1370" s="35" t="str">
        <f t="shared" ref="E1370:E1390" si="335">_xlfn.CONCAT(A1370,"'!")</f>
        <v>PRBDP'!</v>
      </c>
      <c r="F1370" s="34" t="str">
        <f t="shared" ref="F1370:F1390" si="336">_xlfn.CONCAT(D1370:E1370)</f>
        <v>C:\Users\jaime.benazar\Quorum Business Solutions\Ecopetrol Prometeo - Documents\Planning Space Implementation\3. Analysis &amp; Design\Design\FC22\DRR Jaime\Neiva CPI\[DINA TERCIARIOS_CF_SEC_New_27-Mar-2024.xlsx]D-PRBDP'!</v>
      </c>
      <c r="G1370" s="32" t="s">
        <v>120</v>
      </c>
      <c r="H1370" s="33"/>
      <c r="I1370" s="33"/>
      <c r="J1370" s="37"/>
    </row>
    <row r="1371" spans="1:10" x14ac:dyDescent="0.3">
      <c r="A1371" s="32" t="s">
        <v>17</v>
      </c>
      <c r="B1371" s="32">
        <f>+B1370+1</f>
        <v>2024</v>
      </c>
      <c r="C1371" s="33" t="s">
        <v>40</v>
      </c>
      <c r="D1371" s="34" t="s">
        <v>2002</v>
      </c>
      <c r="E1371" s="35" t="str">
        <f t="shared" si="335"/>
        <v>PRBDP'!</v>
      </c>
      <c r="F1371" s="34" t="str">
        <f t="shared" si="336"/>
        <v>C:\Users\jaime.benazar\Quorum Business Solutions\Ecopetrol Prometeo - Documents\Planning Space Implementation\3. Analysis &amp; Design\Design\FC22\DRR Jaime\Neiva CPI\[DINA TERCIARIOS_CF_SEC_New_27-Mar-2024.xlsx]D-PRBDP'!</v>
      </c>
      <c r="G1371" s="32" t="s">
        <v>120</v>
      </c>
      <c r="H1371" s="33"/>
      <c r="I1371" s="33"/>
      <c r="J1371" s="37"/>
    </row>
    <row r="1372" spans="1:10" x14ac:dyDescent="0.3">
      <c r="A1372" s="32" t="s">
        <v>17</v>
      </c>
      <c r="B1372" s="32">
        <f t="shared" ref="B1372:B1383" si="337">+B1371+1</f>
        <v>2025</v>
      </c>
      <c r="C1372" s="33" t="s">
        <v>40</v>
      </c>
      <c r="D1372" s="34" t="s">
        <v>2002</v>
      </c>
      <c r="E1372" s="35" t="str">
        <f t="shared" si="335"/>
        <v>PRBDP'!</v>
      </c>
      <c r="F1372" s="34" t="str">
        <f t="shared" si="336"/>
        <v>C:\Users\jaime.benazar\Quorum Business Solutions\Ecopetrol Prometeo - Documents\Planning Space Implementation\3. Analysis &amp; Design\Design\FC22\DRR Jaime\Neiva CPI\[DINA TERCIARIOS_CF_SEC_New_27-Mar-2024.xlsx]D-PRBDP'!</v>
      </c>
      <c r="G1372" s="32" t="s">
        <v>120</v>
      </c>
      <c r="H1372" s="33"/>
      <c r="I1372" s="33"/>
      <c r="J1372" s="37"/>
    </row>
    <row r="1373" spans="1:10" x14ac:dyDescent="0.3">
      <c r="A1373" s="32" t="s">
        <v>17</v>
      </c>
      <c r="B1373" s="32">
        <f t="shared" si="337"/>
        <v>2026</v>
      </c>
      <c r="C1373" s="33" t="s">
        <v>40</v>
      </c>
      <c r="D1373" s="34" t="s">
        <v>2002</v>
      </c>
      <c r="E1373" s="35" t="str">
        <f t="shared" si="335"/>
        <v>PRBDP'!</v>
      </c>
      <c r="F1373" s="34" t="str">
        <f t="shared" si="336"/>
        <v>C:\Users\jaime.benazar\Quorum Business Solutions\Ecopetrol Prometeo - Documents\Planning Space Implementation\3. Analysis &amp; Design\Design\FC22\DRR Jaime\Neiva CPI\[DINA TERCIARIOS_CF_SEC_New_27-Mar-2024.xlsx]D-PRBDP'!</v>
      </c>
      <c r="G1373" s="32" t="s">
        <v>120</v>
      </c>
      <c r="H1373" s="33"/>
      <c r="I1373" s="33"/>
      <c r="J1373" s="37"/>
    </row>
    <row r="1374" spans="1:10" x14ac:dyDescent="0.3">
      <c r="A1374" s="32" t="s">
        <v>17</v>
      </c>
      <c r="B1374" s="32">
        <f t="shared" si="337"/>
        <v>2027</v>
      </c>
      <c r="C1374" s="33" t="s">
        <v>40</v>
      </c>
      <c r="D1374" s="34" t="s">
        <v>2002</v>
      </c>
      <c r="E1374" s="35" t="str">
        <f t="shared" si="335"/>
        <v>PRBDP'!</v>
      </c>
      <c r="F1374" s="34" t="str">
        <f t="shared" si="336"/>
        <v>C:\Users\jaime.benazar\Quorum Business Solutions\Ecopetrol Prometeo - Documents\Planning Space Implementation\3. Analysis &amp; Design\Design\FC22\DRR Jaime\Neiva CPI\[DINA TERCIARIOS_CF_SEC_New_27-Mar-2024.xlsx]D-PRBDP'!</v>
      </c>
      <c r="G1374" s="32" t="s">
        <v>120</v>
      </c>
      <c r="H1374" s="33"/>
      <c r="I1374" s="33"/>
      <c r="J1374" s="37"/>
    </row>
    <row r="1375" spans="1:10" x14ac:dyDescent="0.3">
      <c r="A1375" s="32" t="s">
        <v>17</v>
      </c>
      <c r="B1375" s="32">
        <f t="shared" si="337"/>
        <v>2028</v>
      </c>
      <c r="C1375" s="33" t="s">
        <v>40</v>
      </c>
      <c r="D1375" s="34" t="s">
        <v>2002</v>
      </c>
      <c r="E1375" s="35" t="str">
        <f t="shared" si="335"/>
        <v>PRBDP'!</v>
      </c>
      <c r="F1375" s="34" t="str">
        <f t="shared" si="336"/>
        <v>C:\Users\jaime.benazar\Quorum Business Solutions\Ecopetrol Prometeo - Documents\Planning Space Implementation\3. Analysis &amp; Design\Design\FC22\DRR Jaime\Neiva CPI\[DINA TERCIARIOS_CF_SEC_New_27-Mar-2024.xlsx]D-PRBDP'!</v>
      </c>
      <c r="G1375" s="32" t="s">
        <v>120</v>
      </c>
      <c r="H1375" s="33"/>
      <c r="I1375" s="33"/>
      <c r="J1375" s="37"/>
    </row>
    <row r="1376" spans="1:10" x14ac:dyDescent="0.3">
      <c r="A1376" s="32" t="s">
        <v>17</v>
      </c>
      <c r="B1376" s="32">
        <f t="shared" si="337"/>
        <v>2029</v>
      </c>
      <c r="C1376" s="33" t="s">
        <v>40</v>
      </c>
      <c r="D1376" s="34" t="s">
        <v>2002</v>
      </c>
      <c r="E1376" s="35" t="str">
        <f t="shared" si="335"/>
        <v>PRBDP'!</v>
      </c>
      <c r="F1376" s="34" t="str">
        <f t="shared" si="336"/>
        <v>C:\Users\jaime.benazar\Quorum Business Solutions\Ecopetrol Prometeo - Documents\Planning Space Implementation\3. Analysis &amp; Design\Design\FC22\DRR Jaime\Neiva CPI\[DINA TERCIARIOS_CF_SEC_New_27-Mar-2024.xlsx]D-PRBDP'!</v>
      </c>
      <c r="G1376" s="32" t="s">
        <v>120</v>
      </c>
      <c r="H1376" s="33"/>
      <c r="I1376" s="33"/>
      <c r="J1376" s="37"/>
    </row>
    <row r="1377" spans="1:10" x14ac:dyDescent="0.3">
      <c r="A1377" s="32" t="s">
        <v>17</v>
      </c>
      <c r="B1377" s="32">
        <f t="shared" si="337"/>
        <v>2030</v>
      </c>
      <c r="C1377" s="33" t="s">
        <v>40</v>
      </c>
      <c r="D1377" s="34" t="s">
        <v>2002</v>
      </c>
      <c r="E1377" s="35" t="str">
        <f t="shared" si="335"/>
        <v>PRBDP'!</v>
      </c>
      <c r="F1377" s="34" t="str">
        <f t="shared" si="336"/>
        <v>C:\Users\jaime.benazar\Quorum Business Solutions\Ecopetrol Prometeo - Documents\Planning Space Implementation\3. Analysis &amp; Design\Design\FC22\DRR Jaime\Neiva CPI\[DINA TERCIARIOS_CF_SEC_New_27-Mar-2024.xlsx]D-PRBDP'!</v>
      </c>
      <c r="G1377" s="32" t="s">
        <v>120</v>
      </c>
      <c r="H1377" s="33"/>
      <c r="I1377" s="33"/>
      <c r="J1377" s="37"/>
    </row>
    <row r="1378" spans="1:10" x14ac:dyDescent="0.3">
      <c r="A1378" s="32" t="s">
        <v>17</v>
      </c>
      <c r="B1378" s="32">
        <f t="shared" si="337"/>
        <v>2031</v>
      </c>
      <c r="C1378" s="33" t="s">
        <v>40</v>
      </c>
      <c r="D1378" s="34" t="s">
        <v>2002</v>
      </c>
      <c r="E1378" s="35" t="str">
        <f t="shared" si="335"/>
        <v>PRBDP'!</v>
      </c>
      <c r="F1378" s="34" t="str">
        <f t="shared" si="336"/>
        <v>C:\Users\jaime.benazar\Quorum Business Solutions\Ecopetrol Prometeo - Documents\Planning Space Implementation\3. Analysis &amp; Design\Design\FC22\DRR Jaime\Neiva CPI\[DINA TERCIARIOS_CF_SEC_New_27-Mar-2024.xlsx]D-PRBDP'!</v>
      </c>
      <c r="G1378" s="32" t="s">
        <v>120</v>
      </c>
      <c r="H1378" s="33"/>
      <c r="I1378" s="33"/>
      <c r="J1378" s="37"/>
    </row>
    <row r="1379" spans="1:10" x14ac:dyDescent="0.3">
      <c r="A1379" s="32" t="s">
        <v>17</v>
      </c>
      <c r="B1379" s="32">
        <f t="shared" si="337"/>
        <v>2032</v>
      </c>
      <c r="C1379" s="33" t="s">
        <v>40</v>
      </c>
      <c r="D1379" s="34" t="s">
        <v>2002</v>
      </c>
      <c r="E1379" s="35" t="str">
        <f t="shared" si="335"/>
        <v>PRBDP'!</v>
      </c>
      <c r="F1379" s="34" t="str">
        <f t="shared" si="336"/>
        <v>C:\Users\jaime.benazar\Quorum Business Solutions\Ecopetrol Prometeo - Documents\Planning Space Implementation\3. Analysis &amp; Design\Design\FC22\DRR Jaime\Neiva CPI\[DINA TERCIARIOS_CF_SEC_New_27-Mar-2024.xlsx]D-PRBDP'!</v>
      </c>
      <c r="G1379" s="32" t="s">
        <v>120</v>
      </c>
      <c r="H1379" s="33"/>
      <c r="I1379" s="33"/>
      <c r="J1379" s="37"/>
    </row>
    <row r="1380" spans="1:10" x14ac:dyDescent="0.3">
      <c r="A1380" s="32" t="s">
        <v>17</v>
      </c>
      <c r="B1380" s="32">
        <f t="shared" si="337"/>
        <v>2033</v>
      </c>
      <c r="C1380" s="33" t="s">
        <v>40</v>
      </c>
      <c r="D1380" s="34" t="s">
        <v>2002</v>
      </c>
      <c r="E1380" s="35" t="str">
        <f t="shared" si="335"/>
        <v>PRBDP'!</v>
      </c>
      <c r="F1380" s="34" t="str">
        <f t="shared" si="336"/>
        <v>C:\Users\jaime.benazar\Quorum Business Solutions\Ecopetrol Prometeo - Documents\Planning Space Implementation\3. Analysis &amp; Design\Design\FC22\DRR Jaime\Neiva CPI\[DINA TERCIARIOS_CF_SEC_New_27-Mar-2024.xlsx]D-PRBDP'!</v>
      </c>
      <c r="G1380" s="32" t="s">
        <v>120</v>
      </c>
      <c r="H1380" s="33"/>
      <c r="I1380" s="33"/>
      <c r="J1380" s="37"/>
    </row>
    <row r="1381" spans="1:10" x14ac:dyDescent="0.3">
      <c r="A1381" s="32" t="s">
        <v>17</v>
      </c>
      <c r="B1381" s="32">
        <f t="shared" si="337"/>
        <v>2034</v>
      </c>
      <c r="C1381" s="33" t="s">
        <v>40</v>
      </c>
      <c r="D1381" s="34" t="s">
        <v>2002</v>
      </c>
      <c r="E1381" s="35" t="str">
        <f t="shared" si="335"/>
        <v>PRBDP'!</v>
      </c>
      <c r="F1381" s="34" t="str">
        <f t="shared" si="336"/>
        <v>C:\Users\jaime.benazar\Quorum Business Solutions\Ecopetrol Prometeo - Documents\Planning Space Implementation\3. Analysis &amp; Design\Design\FC22\DRR Jaime\Neiva CPI\[DINA TERCIARIOS_CF_SEC_New_27-Mar-2024.xlsx]D-PRBDP'!</v>
      </c>
      <c r="G1381" s="32" t="s">
        <v>120</v>
      </c>
      <c r="H1381" s="33"/>
      <c r="I1381" s="33"/>
      <c r="J1381" s="37"/>
    </row>
    <row r="1382" spans="1:10" x14ac:dyDescent="0.3">
      <c r="A1382" s="32" t="s">
        <v>17</v>
      </c>
      <c r="B1382" s="32">
        <f t="shared" si="337"/>
        <v>2035</v>
      </c>
      <c r="C1382" s="33" t="s">
        <v>40</v>
      </c>
      <c r="D1382" s="34" t="s">
        <v>2002</v>
      </c>
      <c r="E1382" s="35" t="str">
        <f t="shared" si="335"/>
        <v>PRBDP'!</v>
      </c>
      <c r="F1382" s="34" t="str">
        <f t="shared" si="336"/>
        <v>C:\Users\jaime.benazar\Quorum Business Solutions\Ecopetrol Prometeo - Documents\Planning Space Implementation\3. Analysis &amp; Design\Design\FC22\DRR Jaime\Neiva CPI\[DINA TERCIARIOS_CF_SEC_New_27-Mar-2024.xlsx]D-PRBDP'!</v>
      </c>
      <c r="G1382" s="32" t="s">
        <v>120</v>
      </c>
      <c r="H1382" s="33"/>
      <c r="I1382" s="33"/>
      <c r="J1382" s="37"/>
    </row>
    <row r="1383" spans="1:10" x14ac:dyDescent="0.3">
      <c r="A1383" s="32" t="s">
        <v>17</v>
      </c>
      <c r="B1383" s="32">
        <f t="shared" si="337"/>
        <v>2036</v>
      </c>
      <c r="C1383" s="33" t="s">
        <v>40</v>
      </c>
      <c r="D1383" s="34" t="s">
        <v>2002</v>
      </c>
      <c r="E1383" s="35" t="str">
        <f t="shared" si="335"/>
        <v>PRBDP'!</v>
      </c>
      <c r="F1383" s="34" t="str">
        <f t="shared" si="336"/>
        <v>C:\Users\jaime.benazar\Quorum Business Solutions\Ecopetrol Prometeo - Documents\Planning Space Implementation\3. Analysis &amp; Design\Design\FC22\DRR Jaime\Neiva CPI\[DINA TERCIARIOS_CF_SEC_New_27-Mar-2024.xlsx]D-PRBDP'!</v>
      </c>
      <c r="G1383" s="32" t="s">
        <v>120</v>
      </c>
      <c r="H1383" s="33"/>
      <c r="I1383" s="33"/>
      <c r="J1383" s="37"/>
    </row>
    <row r="1384" spans="1:10" x14ac:dyDescent="0.3">
      <c r="A1384" s="32" t="s">
        <v>17</v>
      </c>
      <c r="B1384" s="32">
        <f>+B1383+1</f>
        <v>2037</v>
      </c>
      <c r="C1384" s="33" t="s">
        <v>40</v>
      </c>
      <c r="D1384" s="34" t="s">
        <v>2002</v>
      </c>
      <c r="E1384" s="35" t="str">
        <f t="shared" si="335"/>
        <v>PRBDP'!</v>
      </c>
      <c r="F1384" s="34" t="str">
        <f t="shared" si="336"/>
        <v>C:\Users\jaime.benazar\Quorum Business Solutions\Ecopetrol Prometeo - Documents\Planning Space Implementation\3. Analysis &amp; Design\Design\FC22\DRR Jaime\Neiva CPI\[DINA TERCIARIOS_CF_SEC_New_27-Mar-2024.xlsx]D-PRBDP'!</v>
      </c>
      <c r="G1384" s="32" t="s">
        <v>120</v>
      </c>
      <c r="H1384" s="33"/>
      <c r="I1384" s="33"/>
      <c r="J1384" s="37"/>
    </row>
    <row r="1385" spans="1:10" x14ac:dyDescent="0.3">
      <c r="A1385" s="32" t="s">
        <v>17</v>
      </c>
      <c r="B1385" s="32">
        <f t="shared" ref="B1385:B1387" si="338">+B1384+1</f>
        <v>2038</v>
      </c>
      <c r="C1385" s="33" t="s">
        <v>40</v>
      </c>
      <c r="D1385" s="34" t="s">
        <v>2002</v>
      </c>
      <c r="E1385" s="35" t="str">
        <f t="shared" si="335"/>
        <v>PRBDP'!</v>
      </c>
      <c r="F1385" s="34" t="str">
        <f t="shared" si="336"/>
        <v>C:\Users\jaime.benazar\Quorum Business Solutions\Ecopetrol Prometeo - Documents\Planning Space Implementation\3. Analysis &amp; Design\Design\FC22\DRR Jaime\Neiva CPI\[DINA TERCIARIOS_CF_SEC_New_27-Mar-2024.xlsx]D-PRBDP'!</v>
      </c>
      <c r="G1385" s="32" t="s">
        <v>120</v>
      </c>
      <c r="H1385" s="33"/>
      <c r="I1385" s="33"/>
      <c r="J1385" s="37"/>
    </row>
    <row r="1386" spans="1:10" x14ac:dyDescent="0.3">
      <c r="A1386" s="32" t="s">
        <v>17</v>
      </c>
      <c r="B1386" s="32">
        <f t="shared" si="338"/>
        <v>2039</v>
      </c>
      <c r="C1386" s="33" t="s">
        <v>40</v>
      </c>
      <c r="D1386" s="34" t="s">
        <v>2002</v>
      </c>
      <c r="E1386" s="35" t="str">
        <f t="shared" si="335"/>
        <v>PRBDP'!</v>
      </c>
      <c r="F1386" s="34" t="str">
        <f t="shared" si="336"/>
        <v>C:\Users\jaime.benazar\Quorum Business Solutions\Ecopetrol Prometeo - Documents\Planning Space Implementation\3. Analysis &amp; Design\Design\FC22\DRR Jaime\Neiva CPI\[DINA TERCIARIOS_CF_SEC_New_27-Mar-2024.xlsx]D-PRBDP'!</v>
      </c>
      <c r="G1386" s="32" t="s">
        <v>120</v>
      </c>
      <c r="H1386" s="33"/>
      <c r="I1386" s="33"/>
      <c r="J1386" s="37"/>
    </row>
    <row r="1387" spans="1:10" x14ac:dyDescent="0.3">
      <c r="A1387" s="32" t="s">
        <v>17</v>
      </c>
      <c r="B1387" s="32">
        <f t="shared" si="338"/>
        <v>2040</v>
      </c>
      <c r="C1387" s="33" t="s">
        <v>40</v>
      </c>
      <c r="D1387" s="34" t="s">
        <v>2002</v>
      </c>
      <c r="E1387" s="35" t="str">
        <f t="shared" si="335"/>
        <v>PRBDP'!</v>
      </c>
      <c r="F1387" s="34" t="str">
        <f t="shared" si="336"/>
        <v>C:\Users\jaime.benazar\Quorum Business Solutions\Ecopetrol Prometeo - Documents\Planning Space Implementation\3. Analysis &amp; Design\Design\FC22\DRR Jaime\Neiva CPI\[DINA TERCIARIOS_CF_SEC_New_27-Mar-2024.xlsx]D-PRBDP'!</v>
      </c>
      <c r="G1387" s="32" t="s">
        <v>120</v>
      </c>
      <c r="H1387" s="33"/>
      <c r="I1387" s="33"/>
      <c r="J1387" s="37"/>
    </row>
    <row r="1388" spans="1:10" x14ac:dyDescent="0.3">
      <c r="A1388" s="32" t="s">
        <v>17</v>
      </c>
      <c r="B1388" s="32">
        <f>+B1387+1</f>
        <v>2041</v>
      </c>
      <c r="C1388" s="33" t="s">
        <v>40</v>
      </c>
      <c r="D1388" s="34" t="s">
        <v>2002</v>
      </c>
      <c r="E1388" s="35" t="str">
        <f t="shared" si="335"/>
        <v>PRBDP'!</v>
      </c>
      <c r="F1388" s="34" t="str">
        <f t="shared" si="336"/>
        <v>C:\Users\jaime.benazar\Quorum Business Solutions\Ecopetrol Prometeo - Documents\Planning Space Implementation\3. Analysis &amp; Design\Design\FC22\DRR Jaime\Neiva CPI\[DINA TERCIARIOS_CF_SEC_New_27-Mar-2024.xlsx]D-PRBDP'!</v>
      </c>
      <c r="G1388" s="32" t="s">
        <v>120</v>
      </c>
      <c r="H1388" s="33"/>
      <c r="I1388" s="33"/>
      <c r="J1388" s="37"/>
    </row>
    <row r="1389" spans="1:10" x14ac:dyDescent="0.3">
      <c r="A1389" s="32" t="s">
        <v>17</v>
      </c>
      <c r="B1389" s="32">
        <f t="shared" ref="B1389:B1390" si="339">+B1388+1</f>
        <v>2042</v>
      </c>
      <c r="C1389" s="33" t="s">
        <v>40</v>
      </c>
      <c r="D1389" s="34" t="s">
        <v>2002</v>
      </c>
      <c r="E1389" s="35" t="str">
        <f t="shared" si="335"/>
        <v>PRBDP'!</v>
      </c>
      <c r="F1389" s="34" t="str">
        <f t="shared" si="336"/>
        <v>C:\Users\jaime.benazar\Quorum Business Solutions\Ecopetrol Prometeo - Documents\Planning Space Implementation\3. Analysis &amp; Design\Design\FC22\DRR Jaime\Neiva CPI\[DINA TERCIARIOS_CF_SEC_New_27-Mar-2024.xlsx]D-PRBDP'!</v>
      </c>
      <c r="G1389" s="32" t="s">
        <v>120</v>
      </c>
      <c r="H1389" s="33"/>
      <c r="I1389" s="33"/>
      <c r="J1389" s="37"/>
    </row>
    <row r="1390" spans="1:10" x14ac:dyDescent="0.3">
      <c r="A1390" s="32" t="s">
        <v>17</v>
      </c>
      <c r="B1390" s="32">
        <f t="shared" si="339"/>
        <v>2043</v>
      </c>
      <c r="C1390" s="33" t="s">
        <v>40</v>
      </c>
      <c r="D1390" s="34" t="s">
        <v>2002</v>
      </c>
      <c r="E1390" s="35" t="str">
        <f t="shared" si="335"/>
        <v>PRBDP'!</v>
      </c>
      <c r="F1390" s="34" t="str">
        <f t="shared" si="336"/>
        <v>C:\Users\jaime.benazar\Quorum Business Solutions\Ecopetrol Prometeo - Documents\Planning Space Implementation\3. Analysis &amp; Design\Design\FC22\DRR Jaime\Neiva CPI\[DINA TERCIARIOS_CF_SEC_New_27-Mar-2024.xlsx]D-PRBDP'!</v>
      </c>
      <c r="G1390" s="32" t="s">
        <v>120</v>
      </c>
      <c r="H1390" s="33"/>
      <c r="I1390" s="33"/>
      <c r="J1390" s="37"/>
    </row>
    <row r="1391" spans="1:10" x14ac:dyDescent="0.3">
      <c r="A1391" s="32" t="s">
        <v>17</v>
      </c>
      <c r="B1391" s="32">
        <f>+B1390+1</f>
        <v>2044</v>
      </c>
      <c r="C1391" s="33" t="s">
        <v>40</v>
      </c>
      <c r="D1391" s="34" t="s">
        <v>2002</v>
      </c>
      <c r="E1391" s="35" t="str">
        <f t="shared" ref="E1391:E1406" si="340">_xlfn.CONCAT(A1391,"'!")</f>
        <v>PRBDP'!</v>
      </c>
      <c r="F1391" s="34" t="str">
        <f t="shared" ref="F1391:F1406" si="341">_xlfn.CONCAT(D1391:E1391)</f>
        <v>C:\Users\jaime.benazar\Quorum Business Solutions\Ecopetrol Prometeo - Documents\Planning Space Implementation\3. Analysis &amp; Design\Design\FC22\DRR Jaime\Neiva CPI\[DINA TERCIARIOS_CF_SEC_New_27-Mar-2024.xlsx]D-PRBDP'!</v>
      </c>
      <c r="G1391" s="32" t="s">
        <v>120</v>
      </c>
      <c r="H1391" s="33"/>
      <c r="I1391" s="33"/>
      <c r="J1391" s="37"/>
    </row>
    <row r="1392" spans="1:10" x14ac:dyDescent="0.3">
      <c r="A1392" s="32" t="s">
        <v>17</v>
      </c>
      <c r="B1392" s="32">
        <f t="shared" ref="B1392:B1406" si="342">+B1391+1</f>
        <v>2045</v>
      </c>
      <c r="C1392" s="33" t="s">
        <v>40</v>
      </c>
      <c r="D1392" s="34" t="s">
        <v>2002</v>
      </c>
      <c r="E1392" s="35" t="str">
        <f t="shared" si="340"/>
        <v>PRBDP'!</v>
      </c>
      <c r="F1392" s="34" t="str">
        <f t="shared" si="341"/>
        <v>C:\Users\jaime.benazar\Quorum Business Solutions\Ecopetrol Prometeo - Documents\Planning Space Implementation\3. Analysis &amp; Design\Design\FC22\DRR Jaime\Neiva CPI\[DINA TERCIARIOS_CF_SEC_New_27-Mar-2024.xlsx]D-PRBDP'!</v>
      </c>
      <c r="G1392" s="32" t="s">
        <v>120</v>
      </c>
      <c r="H1392" s="33"/>
      <c r="I1392" s="33"/>
      <c r="J1392" s="37"/>
    </row>
    <row r="1393" spans="1:10" x14ac:dyDescent="0.3">
      <c r="A1393" s="32" t="s">
        <v>17</v>
      </c>
      <c r="B1393" s="32">
        <f t="shared" si="342"/>
        <v>2046</v>
      </c>
      <c r="C1393" s="33" t="s">
        <v>40</v>
      </c>
      <c r="D1393" s="34" t="s">
        <v>2002</v>
      </c>
      <c r="E1393" s="35" t="str">
        <f t="shared" si="340"/>
        <v>PRBDP'!</v>
      </c>
      <c r="F1393" s="34" t="str">
        <f t="shared" si="341"/>
        <v>C:\Users\jaime.benazar\Quorum Business Solutions\Ecopetrol Prometeo - Documents\Planning Space Implementation\3. Analysis &amp; Design\Design\FC22\DRR Jaime\Neiva CPI\[DINA TERCIARIOS_CF_SEC_New_27-Mar-2024.xlsx]D-PRBDP'!</v>
      </c>
      <c r="G1393" s="32" t="s">
        <v>120</v>
      </c>
      <c r="H1393" s="33"/>
      <c r="I1393" s="33"/>
      <c r="J1393" s="37"/>
    </row>
    <row r="1394" spans="1:10" x14ac:dyDescent="0.3">
      <c r="A1394" s="32" t="s">
        <v>17</v>
      </c>
      <c r="B1394" s="32">
        <f t="shared" si="342"/>
        <v>2047</v>
      </c>
      <c r="C1394" s="33" t="s">
        <v>40</v>
      </c>
      <c r="D1394" s="34" t="s">
        <v>2002</v>
      </c>
      <c r="E1394" s="35" t="str">
        <f t="shared" si="340"/>
        <v>PRBDP'!</v>
      </c>
      <c r="F1394" s="34" t="str">
        <f t="shared" si="341"/>
        <v>C:\Users\jaime.benazar\Quorum Business Solutions\Ecopetrol Prometeo - Documents\Planning Space Implementation\3. Analysis &amp; Design\Design\FC22\DRR Jaime\Neiva CPI\[DINA TERCIARIOS_CF_SEC_New_27-Mar-2024.xlsx]D-PRBDP'!</v>
      </c>
      <c r="G1394" s="32" t="s">
        <v>120</v>
      </c>
      <c r="H1394" s="33"/>
      <c r="I1394" s="33"/>
      <c r="J1394" s="37"/>
    </row>
    <row r="1395" spans="1:10" x14ac:dyDescent="0.3">
      <c r="A1395" s="32" t="s">
        <v>17</v>
      </c>
      <c r="B1395" s="32">
        <f t="shared" si="342"/>
        <v>2048</v>
      </c>
      <c r="C1395" s="33" t="s">
        <v>40</v>
      </c>
      <c r="D1395" s="34" t="s">
        <v>2002</v>
      </c>
      <c r="E1395" s="35" t="str">
        <f t="shared" si="340"/>
        <v>PRBDP'!</v>
      </c>
      <c r="F1395" s="34" t="str">
        <f t="shared" si="341"/>
        <v>C:\Users\jaime.benazar\Quorum Business Solutions\Ecopetrol Prometeo - Documents\Planning Space Implementation\3. Analysis &amp; Design\Design\FC22\DRR Jaime\Neiva CPI\[DINA TERCIARIOS_CF_SEC_New_27-Mar-2024.xlsx]D-PRBDP'!</v>
      </c>
      <c r="G1395" s="32" t="s">
        <v>120</v>
      </c>
      <c r="H1395" s="33"/>
      <c r="I1395" s="33"/>
      <c r="J1395" s="37"/>
    </row>
    <row r="1396" spans="1:10" x14ac:dyDescent="0.3">
      <c r="A1396" s="32" t="s">
        <v>17</v>
      </c>
      <c r="B1396" s="32">
        <f t="shared" si="342"/>
        <v>2049</v>
      </c>
      <c r="C1396" s="33" t="s">
        <v>40</v>
      </c>
      <c r="D1396" s="34" t="s">
        <v>2002</v>
      </c>
      <c r="E1396" s="35" t="str">
        <f t="shared" si="340"/>
        <v>PRBDP'!</v>
      </c>
      <c r="F1396" s="34" t="str">
        <f t="shared" si="341"/>
        <v>C:\Users\jaime.benazar\Quorum Business Solutions\Ecopetrol Prometeo - Documents\Planning Space Implementation\3. Analysis &amp; Design\Design\FC22\DRR Jaime\Neiva CPI\[DINA TERCIARIOS_CF_SEC_New_27-Mar-2024.xlsx]D-PRBDP'!</v>
      </c>
      <c r="G1396" s="32" t="s">
        <v>120</v>
      </c>
      <c r="H1396" s="33"/>
      <c r="I1396" s="33"/>
      <c r="J1396" s="37"/>
    </row>
    <row r="1397" spans="1:10" x14ac:dyDescent="0.3">
      <c r="A1397" s="32" t="s">
        <v>17</v>
      </c>
      <c r="B1397" s="32">
        <f t="shared" si="342"/>
        <v>2050</v>
      </c>
      <c r="C1397" s="33" t="s">
        <v>40</v>
      </c>
      <c r="D1397" s="34" t="s">
        <v>2002</v>
      </c>
      <c r="E1397" s="35" t="str">
        <f t="shared" si="340"/>
        <v>PRBDP'!</v>
      </c>
      <c r="F1397" s="34" t="str">
        <f t="shared" si="341"/>
        <v>C:\Users\jaime.benazar\Quorum Business Solutions\Ecopetrol Prometeo - Documents\Planning Space Implementation\3. Analysis &amp; Design\Design\FC22\DRR Jaime\Neiva CPI\[DINA TERCIARIOS_CF_SEC_New_27-Mar-2024.xlsx]D-PRBDP'!</v>
      </c>
      <c r="G1397" s="32" t="s">
        <v>120</v>
      </c>
      <c r="H1397" s="33"/>
      <c r="I1397" s="33"/>
      <c r="J1397" s="37"/>
    </row>
    <row r="1398" spans="1:10" x14ac:dyDescent="0.3">
      <c r="A1398" s="32" t="s">
        <v>17</v>
      </c>
      <c r="B1398" s="32">
        <f t="shared" si="342"/>
        <v>2051</v>
      </c>
      <c r="C1398" s="33" t="s">
        <v>40</v>
      </c>
      <c r="D1398" s="34" t="s">
        <v>2002</v>
      </c>
      <c r="E1398" s="35" t="str">
        <f t="shared" si="340"/>
        <v>PRBDP'!</v>
      </c>
      <c r="F1398" s="34" t="str">
        <f t="shared" si="341"/>
        <v>C:\Users\jaime.benazar\Quorum Business Solutions\Ecopetrol Prometeo - Documents\Planning Space Implementation\3. Analysis &amp; Design\Design\FC22\DRR Jaime\Neiva CPI\[DINA TERCIARIOS_CF_SEC_New_27-Mar-2024.xlsx]D-PRBDP'!</v>
      </c>
      <c r="G1398" s="32" t="s">
        <v>120</v>
      </c>
      <c r="H1398" s="33"/>
      <c r="I1398" s="33"/>
      <c r="J1398" s="37"/>
    </row>
    <row r="1399" spans="1:10" x14ac:dyDescent="0.3">
      <c r="A1399" s="32" t="s">
        <v>17</v>
      </c>
      <c r="B1399" s="32">
        <f t="shared" si="342"/>
        <v>2052</v>
      </c>
      <c r="C1399" s="33" t="s">
        <v>40</v>
      </c>
      <c r="D1399" s="34" t="s">
        <v>2002</v>
      </c>
      <c r="E1399" s="35" t="str">
        <f t="shared" si="340"/>
        <v>PRBDP'!</v>
      </c>
      <c r="F1399" s="34" t="str">
        <f t="shared" si="341"/>
        <v>C:\Users\jaime.benazar\Quorum Business Solutions\Ecopetrol Prometeo - Documents\Planning Space Implementation\3. Analysis &amp; Design\Design\FC22\DRR Jaime\Neiva CPI\[DINA TERCIARIOS_CF_SEC_New_27-Mar-2024.xlsx]D-PRBDP'!</v>
      </c>
      <c r="G1399" s="32" t="s">
        <v>120</v>
      </c>
      <c r="H1399" s="33"/>
      <c r="I1399" s="33"/>
      <c r="J1399" s="37"/>
    </row>
    <row r="1400" spans="1:10" x14ac:dyDescent="0.3">
      <c r="A1400" s="32" t="s">
        <v>17</v>
      </c>
      <c r="B1400" s="32">
        <f t="shared" si="342"/>
        <v>2053</v>
      </c>
      <c r="C1400" s="33" t="s">
        <v>40</v>
      </c>
      <c r="D1400" s="34" t="s">
        <v>2002</v>
      </c>
      <c r="E1400" s="35" t="str">
        <f t="shared" si="340"/>
        <v>PRBDP'!</v>
      </c>
      <c r="F1400" s="34" t="str">
        <f t="shared" si="341"/>
        <v>C:\Users\jaime.benazar\Quorum Business Solutions\Ecopetrol Prometeo - Documents\Planning Space Implementation\3. Analysis &amp; Design\Design\FC22\DRR Jaime\Neiva CPI\[DINA TERCIARIOS_CF_SEC_New_27-Mar-2024.xlsx]D-PRBDP'!</v>
      </c>
      <c r="G1400" s="32" t="s">
        <v>120</v>
      </c>
      <c r="H1400" s="33"/>
      <c r="I1400" s="33"/>
      <c r="J1400" s="37"/>
    </row>
    <row r="1401" spans="1:10" x14ac:dyDescent="0.3">
      <c r="A1401" s="32" t="s">
        <v>17</v>
      </c>
      <c r="B1401" s="32">
        <f t="shared" si="342"/>
        <v>2054</v>
      </c>
      <c r="C1401" s="33" t="s">
        <v>40</v>
      </c>
      <c r="D1401" s="34" t="s">
        <v>2002</v>
      </c>
      <c r="E1401" s="35" t="str">
        <f t="shared" si="340"/>
        <v>PRBDP'!</v>
      </c>
      <c r="F1401" s="34" t="str">
        <f t="shared" si="341"/>
        <v>C:\Users\jaime.benazar\Quorum Business Solutions\Ecopetrol Prometeo - Documents\Planning Space Implementation\3. Analysis &amp; Design\Design\FC22\DRR Jaime\Neiva CPI\[DINA TERCIARIOS_CF_SEC_New_27-Mar-2024.xlsx]D-PRBDP'!</v>
      </c>
      <c r="G1401" s="32" t="s">
        <v>120</v>
      </c>
      <c r="H1401" s="33"/>
      <c r="I1401" s="33"/>
      <c r="J1401" s="37"/>
    </row>
    <row r="1402" spans="1:10" x14ac:dyDescent="0.3">
      <c r="A1402" s="32" t="s">
        <v>17</v>
      </c>
      <c r="B1402" s="32">
        <f t="shared" si="342"/>
        <v>2055</v>
      </c>
      <c r="C1402" s="33" t="s">
        <v>40</v>
      </c>
      <c r="D1402" s="34" t="s">
        <v>2002</v>
      </c>
      <c r="E1402" s="35" t="str">
        <f t="shared" si="340"/>
        <v>PRBDP'!</v>
      </c>
      <c r="F1402" s="34" t="str">
        <f t="shared" si="341"/>
        <v>C:\Users\jaime.benazar\Quorum Business Solutions\Ecopetrol Prometeo - Documents\Planning Space Implementation\3. Analysis &amp; Design\Design\FC22\DRR Jaime\Neiva CPI\[DINA TERCIARIOS_CF_SEC_New_27-Mar-2024.xlsx]D-PRBDP'!</v>
      </c>
      <c r="G1402" s="32" t="s">
        <v>120</v>
      </c>
      <c r="H1402" s="33"/>
      <c r="I1402" s="33"/>
      <c r="J1402" s="37"/>
    </row>
    <row r="1403" spans="1:10" x14ac:dyDescent="0.3">
      <c r="A1403" s="32" t="s">
        <v>17</v>
      </c>
      <c r="B1403" s="32">
        <f t="shared" si="342"/>
        <v>2056</v>
      </c>
      <c r="C1403" s="33" t="s">
        <v>40</v>
      </c>
      <c r="D1403" s="34" t="s">
        <v>2002</v>
      </c>
      <c r="E1403" s="35" t="str">
        <f t="shared" si="340"/>
        <v>PRBDP'!</v>
      </c>
      <c r="F1403" s="34" t="str">
        <f t="shared" si="341"/>
        <v>C:\Users\jaime.benazar\Quorum Business Solutions\Ecopetrol Prometeo - Documents\Planning Space Implementation\3. Analysis &amp; Design\Design\FC22\DRR Jaime\Neiva CPI\[DINA TERCIARIOS_CF_SEC_New_27-Mar-2024.xlsx]D-PRBDP'!</v>
      </c>
      <c r="G1403" s="32" t="s">
        <v>120</v>
      </c>
      <c r="H1403" s="33"/>
      <c r="I1403" s="33"/>
      <c r="J1403" s="37"/>
    </row>
    <row r="1404" spans="1:10" x14ac:dyDescent="0.3">
      <c r="A1404" s="32" t="s">
        <v>17</v>
      </c>
      <c r="B1404" s="32">
        <f t="shared" si="342"/>
        <v>2057</v>
      </c>
      <c r="C1404" s="33" t="s">
        <v>40</v>
      </c>
      <c r="D1404" s="34" t="s">
        <v>2002</v>
      </c>
      <c r="E1404" s="35" t="str">
        <f t="shared" si="340"/>
        <v>PRBDP'!</v>
      </c>
      <c r="F1404" s="34" t="str">
        <f t="shared" si="341"/>
        <v>C:\Users\jaime.benazar\Quorum Business Solutions\Ecopetrol Prometeo - Documents\Planning Space Implementation\3. Analysis &amp; Design\Design\FC22\DRR Jaime\Neiva CPI\[DINA TERCIARIOS_CF_SEC_New_27-Mar-2024.xlsx]D-PRBDP'!</v>
      </c>
      <c r="G1404" s="32" t="s">
        <v>120</v>
      </c>
      <c r="H1404" s="33"/>
      <c r="I1404" s="33"/>
      <c r="J1404" s="37"/>
    </row>
    <row r="1405" spans="1:10" x14ac:dyDescent="0.3">
      <c r="A1405" s="32" t="s">
        <v>17</v>
      </c>
      <c r="B1405" s="32">
        <f t="shared" si="342"/>
        <v>2058</v>
      </c>
      <c r="C1405" s="33" t="s">
        <v>40</v>
      </c>
      <c r="D1405" s="34" t="s">
        <v>2002</v>
      </c>
      <c r="E1405" s="35" t="str">
        <f t="shared" si="340"/>
        <v>PRBDP'!</v>
      </c>
      <c r="F1405" s="34" t="str">
        <f t="shared" si="341"/>
        <v>C:\Users\jaime.benazar\Quorum Business Solutions\Ecopetrol Prometeo - Documents\Planning Space Implementation\3. Analysis &amp; Design\Design\FC22\DRR Jaime\Neiva CPI\[DINA TERCIARIOS_CF_SEC_New_27-Mar-2024.xlsx]D-PRBDP'!</v>
      </c>
      <c r="G1405" s="32" t="s">
        <v>120</v>
      </c>
      <c r="H1405" s="33"/>
      <c r="I1405" s="33"/>
      <c r="J1405" s="37"/>
    </row>
    <row r="1406" spans="1:10" x14ac:dyDescent="0.3">
      <c r="A1406" s="32" t="s">
        <v>17</v>
      </c>
      <c r="B1406" s="32">
        <f t="shared" si="342"/>
        <v>2059</v>
      </c>
      <c r="C1406" s="33" t="s">
        <v>40</v>
      </c>
      <c r="D1406" s="34" t="s">
        <v>2002</v>
      </c>
      <c r="E1406" s="35" t="str">
        <f t="shared" si="340"/>
        <v>PRBDP'!</v>
      </c>
      <c r="F1406" s="34" t="str">
        <f t="shared" si="341"/>
        <v>C:\Users\jaime.benazar\Quorum Business Solutions\Ecopetrol Prometeo - Documents\Planning Space Implementation\3. Analysis &amp; Design\Design\FC22\DRR Jaime\Neiva CPI\[DINA TERCIARIOS_CF_SEC_New_27-Mar-2024.xlsx]D-PRBDP'!</v>
      </c>
      <c r="G1406" s="32" t="s">
        <v>120</v>
      </c>
      <c r="H1406" s="33"/>
      <c r="I1406" s="33"/>
      <c r="J1406" s="37"/>
    </row>
    <row r="1407" spans="1:10" x14ac:dyDescent="0.3">
      <c r="A1407" s="32" t="s">
        <v>26</v>
      </c>
      <c r="B1407" s="32"/>
      <c r="C1407" s="33" t="s">
        <v>40</v>
      </c>
      <c r="D1407" s="34"/>
      <c r="E1407" s="35"/>
      <c r="F1407" s="34"/>
      <c r="G1407" s="32"/>
      <c r="H1407" s="33"/>
      <c r="I1407" s="33"/>
      <c r="J1407" s="33"/>
    </row>
    <row r="1408" spans="1:10" x14ac:dyDescent="0.3">
      <c r="A1408" s="32" t="s">
        <v>18</v>
      </c>
      <c r="B1408" s="32">
        <v>2023</v>
      </c>
      <c r="C1408" s="33" t="s">
        <v>40</v>
      </c>
      <c r="D1408" s="34" t="s">
        <v>2002</v>
      </c>
      <c r="E1408" s="35" t="str">
        <f t="shared" ref="E1408:E1428" si="343">_xlfn.CONCAT(A1408,"'!")</f>
        <v>PRBNP'!</v>
      </c>
      <c r="F1408" s="34" t="str">
        <f t="shared" ref="F1408:F1428" si="344">_xlfn.CONCAT(D1408:E1408)</f>
        <v>C:\Users\jaime.benazar\Quorum Business Solutions\Ecopetrol Prometeo - Documents\Planning Space Implementation\3. Analysis &amp; Design\Design\FC22\DRR Jaime\Neiva CPI\[DINA TERCIARIOS_CF_SEC_New_27-Mar-2024.xlsx]D-PRBNP'!</v>
      </c>
      <c r="G1408" s="32" t="s">
        <v>120</v>
      </c>
      <c r="H1408" s="33"/>
      <c r="I1408" s="33"/>
      <c r="J1408" s="37"/>
    </row>
    <row r="1409" spans="1:10" x14ac:dyDescent="0.3">
      <c r="A1409" s="32" t="s">
        <v>18</v>
      </c>
      <c r="B1409" s="32">
        <f>+B1408+1</f>
        <v>2024</v>
      </c>
      <c r="C1409" s="33" t="s">
        <v>40</v>
      </c>
      <c r="D1409" s="34" t="s">
        <v>2002</v>
      </c>
      <c r="E1409" s="35" t="str">
        <f t="shared" si="343"/>
        <v>PRBNP'!</v>
      </c>
      <c r="F1409" s="34" t="str">
        <f t="shared" si="344"/>
        <v>C:\Users\jaime.benazar\Quorum Business Solutions\Ecopetrol Prometeo - Documents\Planning Space Implementation\3. Analysis &amp; Design\Design\FC22\DRR Jaime\Neiva CPI\[DINA TERCIARIOS_CF_SEC_New_27-Mar-2024.xlsx]D-PRBNP'!</v>
      </c>
      <c r="G1409" s="32" t="s">
        <v>120</v>
      </c>
      <c r="H1409" s="33"/>
      <c r="I1409" s="33"/>
      <c r="J1409" s="37"/>
    </row>
    <row r="1410" spans="1:10" x14ac:dyDescent="0.3">
      <c r="A1410" s="32" t="s">
        <v>18</v>
      </c>
      <c r="B1410" s="32">
        <f t="shared" ref="B1410:B1421" si="345">+B1409+1</f>
        <v>2025</v>
      </c>
      <c r="C1410" s="33" t="s">
        <v>40</v>
      </c>
      <c r="D1410" s="34" t="s">
        <v>2002</v>
      </c>
      <c r="E1410" s="35" t="str">
        <f t="shared" si="343"/>
        <v>PRBNP'!</v>
      </c>
      <c r="F1410" s="34" t="str">
        <f t="shared" si="344"/>
        <v>C:\Users\jaime.benazar\Quorum Business Solutions\Ecopetrol Prometeo - Documents\Planning Space Implementation\3. Analysis &amp; Design\Design\FC22\DRR Jaime\Neiva CPI\[DINA TERCIARIOS_CF_SEC_New_27-Mar-2024.xlsx]D-PRBNP'!</v>
      </c>
      <c r="G1410" s="32" t="s">
        <v>120</v>
      </c>
      <c r="H1410" s="33"/>
      <c r="I1410" s="33"/>
      <c r="J1410" s="37"/>
    </row>
    <row r="1411" spans="1:10" x14ac:dyDescent="0.3">
      <c r="A1411" s="32" t="s">
        <v>18</v>
      </c>
      <c r="B1411" s="32">
        <f t="shared" si="345"/>
        <v>2026</v>
      </c>
      <c r="C1411" s="33" t="s">
        <v>40</v>
      </c>
      <c r="D1411" s="34" t="s">
        <v>2002</v>
      </c>
      <c r="E1411" s="35" t="str">
        <f t="shared" si="343"/>
        <v>PRBNP'!</v>
      </c>
      <c r="F1411" s="34" t="str">
        <f t="shared" si="344"/>
        <v>C:\Users\jaime.benazar\Quorum Business Solutions\Ecopetrol Prometeo - Documents\Planning Space Implementation\3. Analysis &amp; Design\Design\FC22\DRR Jaime\Neiva CPI\[DINA TERCIARIOS_CF_SEC_New_27-Mar-2024.xlsx]D-PRBNP'!</v>
      </c>
      <c r="G1411" s="32" t="s">
        <v>120</v>
      </c>
      <c r="H1411" s="33"/>
      <c r="I1411" s="33"/>
      <c r="J1411" s="37"/>
    </row>
    <row r="1412" spans="1:10" x14ac:dyDescent="0.3">
      <c r="A1412" s="32" t="s">
        <v>18</v>
      </c>
      <c r="B1412" s="32">
        <f t="shared" si="345"/>
        <v>2027</v>
      </c>
      <c r="C1412" s="33" t="s">
        <v>40</v>
      </c>
      <c r="D1412" s="34" t="s">
        <v>2002</v>
      </c>
      <c r="E1412" s="35" t="str">
        <f t="shared" si="343"/>
        <v>PRBNP'!</v>
      </c>
      <c r="F1412" s="34" t="str">
        <f t="shared" si="344"/>
        <v>C:\Users\jaime.benazar\Quorum Business Solutions\Ecopetrol Prometeo - Documents\Planning Space Implementation\3. Analysis &amp; Design\Design\FC22\DRR Jaime\Neiva CPI\[DINA TERCIARIOS_CF_SEC_New_27-Mar-2024.xlsx]D-PRBNP'!</v>
      </c>
      <c r="G1412" s="32" t="s">
        <v>120</v>
      </c>
      <c r="H1412" s="33"/>
      <c r="I1412" s="33"/>
      <c r="J1412" s="37"/>
    </row>
    <row r="1413" spans="1:10" x14ac:dyDescent="0.3">
      <c r="A1413" s="32" t="s">
        <v>18</v>
      </c>
      <c r="B1413" s="32">
        <f t="shared" si="345"/>
        <v>2028</v>
      </c>
      <c r="C1413" s="33" t="s">
        <v>40</v>
      </c>
      <c r="D1413" s="34" t="s">
        <v>2002</v>
      </c>
      <c r="E1413" s="35" t="str">
        <f t="shared" si="343"/>
        <v>PRBNP'!</v>
      </c>
      <c r="F1413" s="34" t="str">
        <f t="shared" si="344"/>
        <v>C:\Users\jaime.benazar\Quorum Business Solutions\Ecopetrol Prometeo - Documents\Planning Space Implementation\3. Analysis &amp; Design\Design\FC22\DRR Jaime\Neiva CPI\[DINA TERCIARIOS_CF_SEC_New_27-Mar-2024.xlsx]D-PRBNP'!</v>
      </c>
      <c r="G1413" s="32" t="s">
        <v>120</v>
      </c>
      <c r="H1413" s="33"/>
      <c r="I1413" s="33"/>
      <c r="J1413" s="37"/>
    </row>
    <row r="1414" spans="1:10" x14ac:dyDescent="0.3">
      <c r="A1414" s="32" t="s">
        <v>18</v>
      </c>
      <c r="B1414" s="32">
        <f t="shared" si="345"/>
        <v>2029</v>
      </c>
      <c r="C1414" s="33" t="s">
        <v>40</v>
      </c>
      <c r="D1414" s="34" t="s">
        <v>2002</v>
      </c>
      <c r="E1414" s="35" t="str">
        <f t="shared" si="343"/>
        <v>PRBNP'!</v>
      </c>
      <c r="F1414" s="34" t="str">
        <f t="shared" si="344"/>
        <v>C:\Users\jaime.benazar\Quorum Business Solutions\Ecopetrol Prometeo - Documents\Planning Space Implementation\3. Analysis &amp; Design\Design\FC22\DRR Jaime\Neiva CPI\[DINA TERCIARIOS_CF_SEC_New_27-Mar-2024.xlsx]D-PRBNP'!</v>
      </c>
      <c r="G1414" s="32" t="s">
        <v>120</v>
      </c>
      <c r="H1414" s="33"/>
      <c r="I1414" s="33"/>
      <c r="J1414" s="37"/>
    </row>
    <row r="1415" spans="1:10" x14ac:dyDescent="0.3">
      <c r="A1415" s="32" t="s">
        <v>18</v>
      </c>
      <c r="B1415" s="32">
        <f t="shared" si="345"/>
        <v>2030</v>
      </c>
      <c r="C1415" s="33" t="s">
        <v>40</v>
      </c>
      <c r="D1415" s="34" t="s">
        <v>2002</v>
      </c>
      <c r="E1415" s="35" t="str">
        <f t="shared" si="343"/>
        <v>PRBNP'!</v>
      </c>
      <c r="F1415" s="34" t="str">
        <f t="shared" si="344"/>
        <v>C:\Users\jaime.benazar\Quorum Business Solutions\Ecopetrol Prometeo - Documents\Planning Space Implementation\3. Analysis &amp; Design\Design\FC22\DRR Jaime\Neiva CPI\[DINA TERCIARIOS_CF_SEC_New_27-Mar-2024.xlsx]D-PRBNP'!</v>
      </c>
      <c r="G1415" s="32" t="s">
        <v>120</v>
      </c>
      <c r="H1415" s="33"/>
      <c r="I1415" s="33"/>
      <c r="J1415" s="37"/>
    </row>
    <row r="1416" spans="1:10" x14ac:dyDescent="0.3">
      <c r="A1416" s="32" t="s">
        <v>18</v>
      </c>
      <c r="B1416" s="32">
        <f t="shared" si="345"/>
        <v>2031</v>
      </c>
      <c r="C1416" s="33" t="s">
        <v>40</v>
      </c>
      <c r="D1416" s="34" t="s">
        <v>2002</v>
      </c>
      <c r="E1416" s="35" t="str">
        <f t="shared" si="343"/>
        <v>PRBNP'!</v>
      </c>
      <c r="F1416" s="34" t="str">
        <f t="shared" si="344"/>
        <v>C:\Users\jaime.benazar\Quorum Business Solutions\Ecopetrol Prometeo - Documents\Planning Space Implementation\3. Analysis &amp; Design\Design\FC22\DRR Jaime\Neiva CPI\[DINA TERCIARIOS_CF_SEC_New_27-Mar-2024.xlsx]D-PRBNP'!</v>
      </c>
      <c r="G1416" s="32" t="s">
        <v>120</v>
      </c>
      <c r="H1416" s="33"/>
      <c r="I1416" s="33"/>
      <c r="J1416" s="37"/>
    </row>
    <row r="1417" spans="1:10" x14ac:dyDescent="0.3">
      <c r="A1417" s="32" t="s">
        <v>18</v>
      </c>
      <c r="B1417" s="32">
        <f t="shared" si="345"/>
        <v>2032</v>
      </c>
      <c r="C1417" s="33" t="s">
        <v>40</v>
      </c>
      <c r="D1417" s="34" t="s">
        <v>2002</v>
      </c>
      <c r="E1417" s="35" t="str">
        <f t="shared" si="343"/>
        <v>PRBNP'!</v>
      </c>
      <c r="F1417" s="34" t="str">
        <f t="shared" si="344"/>
        <v>C:\Users\jaime.benazar\Quorum Business Solutions\Ecopetrol Prometeo - Documents\Planning Space Implementation\3. Analysis &amp; Design\Design\FC22\DRR Jaime\Neiva CPI\[DINA TERCIARIOS_CF_SEC_New_27-Mar-2024.xlsx]D-PRBNP'!</v>
      </c>
      <c r="G1417" s="32" t="s">
        <v>120</v>
      </c>
      <c r="H1417" s="33"/>
      <c r="I1417" s="33"/>
      <c r="J1417" s="37"/>
    </row>
    <row r="1418" spans="1:10" x14ac:dyDescent="0.3">
      <c r="A1418" s="32" t="s">
        <v>18</v>
      </c>
      <c r="B1418" s="32">
        <f t="shared" si="345"/>
        <v>2033</v>
      </c>
      <c r="C1418" s="33" t="s">
        <v>40</v>
      </c>
      <c r="D1418" s="34" t="s">
        <v>2002</v>
      </c>
      <c r="E1418" s="35" t="str">
        <f t="shared" si="343"/>
        <v>PRBNP'!</v>
      </c>
      <c r="F1418" s="34" t="str">
        <f t="shared" si="344"/>
        <v>C:\Users\jaime.benazar\Quorum Business Solutions\Ecopetrol Prometeo - Documents\Planning Space Implementation\3. Analysis &amp; Design\Design\FC22\DRR Jaime\Neiva CPI\[DINA TERCIARIOS_CF_SEC_New_27-Mar-2024.xlsx]D-PRBNP'!</v>
      </c>
      <c r="G1418" s="32" t="s">
        <v>120</v>
      </c>
      <c r="H1418" s="33"/>
      <c r="I1418" s="33"/>
      <c r="J1418" s="37"/>
    </row>
    <row r="1419" spans="1:10" x14ac:dyDescent="0.3">
      <c r="A1419" s="32" t="s">
        <v>18</v>
      </c>
      <c r="B1419" s="32">
        <f t="shared" si="345"/>
        <v>2034</v>
      </c>
      <c r="C1419" s="33" t="s">
        <v>40</v>
      </c>
      <c r="D1419" s="34" t="s">
        <v>2002</v>
      </c>
      <c r="E1419" s="35" t="str">
        <f t="shared" si="343"/>
        <v>PRBNP'!</v>
      </c>
      <c r="F1419" s="34" t="str">
        <f t="shared" si="344"/>
        <v>C:\Users\jaime.benazar\Quorum Business Solutions\Ecopetrol Prometeo - Documents\Planning Space Implementation\3. Analysis &amp; Design\Design\FC22\DRR Jaime\Neiva CPI\[DINA TERCIARIOS_CF_SEC_New_27-Mar-2024.xlsx]D-PRBNP'!</v>
      </c>
      <c r="G1419" s="32" t="s">
        <v>120</v>
      </c>
      <c r="H1419" s="33"/>
      <c r="I1419" s="33"/>
      <c r="J1419" s="37"/>
    </row>
    <row r="1420" spans="1:10" x14ac:dyDescent="0.3">
      <c r="A1420" s="32" t="s">
        <v>18</v>
      </c>
      <c r="B1420" s="32">
        <f t="shared" si="345"/>
        <v>2035</v>
      </c>
      <c r="C1420" s="33" t="s">
        <v>40</v>
      </c>
      <c r="D1420" s="34" t="s">
        <v>2002</v>
      </c>
      <c r="E1420" s="35" t="str">
        <f t="shared" si="343"/>
        <v>PRBNP'!</v>
      </c>
      <c r="F1420" s="34" t="str">
        <f t="shared" si="344"/>
        <v>C:\Users\jaime.benazar\Quorum Business Solutions\Ecopetrol Prometeo - Documents\Planning Space Implementation\3. Analysis &amp; Design\Design\FC22\DRR Jaime\Neiva CPI\[DINA TERCIARIOS_CF_SEC_New_27-Mar-2024.xlsx]D-PRBNP'!</v>
      </c>
      <c r="G1420" s="32" t="s">
        <v>120</v>
      </c>
      <c r="H1420" s="33"/>
      <c r="I1420" s="33"/>
      <c r="J1420" s="37"/>
    </row>
    <row r="1421" spans="1:10" x14ac:dyDescent="0.3">
      <c r="A1421" s="32" t="s">
        <v>18</v>
      </c>
      <c r="B1421" s="32">
        <f t="shared" si="345"/>
        <v>2036</v>
      </c>
      <c r="C1421" s="33" t="s">
        <v>40</v>
      </c>
      <c r="D1421" s="34" t="s">
        <v>2002</v>
      </c>
      <c r="E1421" s="35" t="str">
        <f t="shared" si="343"/>
        <v>PRBNP'!</v>
      </c>
      <c r="F1421" s="34" t="str">
        <f t="shared" si="344"/>
        <v>C:\Users\jaime.benazar\Quorum Business Solutions\Ecopetrol Prometeo - Documents\Planning Space Implementation\3. Analysis &amp; Design\Design\FC22\DRR Jaime\Neiva CPI\[DINA TERCIARIOS_CF_SEC_New_27-Mar-2024.xlsx]D-PRBNP'!</v>
      </c>
      <c r="G1421" s="32" t="s">
        <v>120</v>
      </c>
      <c r="H1421" s="33"/>
      <c r="I1421" s="33"/>
      <c r="J1421" s="37"/>
    </row>
    <row r="1422" spans="1:10" x14ac:dyDescent="0.3">
      <c r="A1422" s="32" t="s">
        <v>18</v>
      </c>
      <c r="B1422" s="32">
        <f>+B1421+1</f>
        <v>2037</v>
      </c>
      <c r="C1422" s="33" t="s">
        <v>40</v>
      </c>
      <c r="D1422" s="34" t="s">
        <v>2002</v>
      </c>
      <c r="E1422" s="35" t="str">
        <f t="shared" si="343"/>
        <v>PRBNP'!</v>
      </c>
      <c r="F1422" s="34" t="str">
        <f t="shared" si="344"/>
        <v>C:\Users\jaime.benazar\Quorum Business Solutions\Ecopetrol Prometeo - Documents\Planning Space Implementation\3. Analysis &amp; Design\Design\FC22\DRR Jaime\Neiva CPI\[DINA TERCIARIOS_CF_SEC_New_27-Mar-2024.xlsx]D-PRBNP'!</v>
      </c>
      <c r="G1422" s="32" t="s">
        <v>120</v>
      </c>
      <c r="H1422" s="33"/>
      <c r="I1422" s="33"/>
      <c r="J1422" s="37"/>
    </row>
    <row r="1423" spans="1:10" x14ac:dyDescent="0.3">
      <c r="A1423" s="32" t="s">
        <v>18</v>
      </c>
      <c r="B1423" s="32">
        <f t="shared" ref="B1423:B1425" si="346">+B1422+1</f>
        <v>2038</v>
      </c>
      <c r="C1423" s="33" t="s">
        <v>40</v>
      </c>
      <c r="D1423" s="34" t="s">
        <v>2002</v>
      </c>
      <c r="E1423" s="35" t="str">
        <f t="shared" si="343"/>
        <v>PRBNP'!</v>
      </c>
      <c r="F1423" s="34" t="str">
        <f t="shared" si="344"/>
        <v>C:\Users\jaime.benazar\Quorum Business Solutions\Ecopetrol Prometeo - Documents\Planning Space Implementation\3. Analysis &amp; Design\Design\FC22\DRR Jaime\Neiva CPI\[DINA TERCIARIOS_CF_SEC_New_27-Mar-2024.xlsx]D-PRBNP'!</v>
      </c>
      <c r="G1423" s="32" t="s">
        <v>120</v>
      </c>
      <c r="H1423" s="33"/>
      <c r="I1423" s="33"/>
      <c r="J1423" s="37"/>
    </row>
    <row r="1424" spans="1:10" x14ac:dyDescent="0.3">
      <c r="A1424" s="32" t="s">
        <v>18</v>
      </c>
      <c r="B1424" s="32">
        <f t="shared" si="346"/>
        <v>2039</v>
      </c>
      <c r="C1424" s="33" t="s">
        <v>40</v>
      </c>
      <c r="D1424" s="34" t="s">
        <v>2002</v>
      </c>
      <c r="E1424" s="35" t="str">
        <f t="shared" si="343"/>
        <v>PRBNP'!</v>
      </c>
      <c r="F1424" s="34" t="str">
        <f t="shared" si="344"/>
        <v>C:\Users\jaime.benazar\Quorum Business Solutions\Ecopetrol Prometeo - Documents\Planning Space Implementation\3. Analysis &amp; Design\Design\FC22\DRR Jaime\Neiva CPI\[DINA TERCIARIOS_CF_SEC_New_27-Mar-2024.xlsx]D-PRBNP'!</v>
      </c>
      <c r="G1424" s="32" t="s">
        <v>120</v>
      </c>
      <c r="H1424" s="33"/>
      <c r="I1424" s="33"/>
      <c r="J1424" s="37"/>
    </row>
    <row r="1425" spans="1:10" x14ac:dyDescent="0.3">
      <c r="A1425" s="32" t="s">
        <v>18</v>
      </c>
      <c r="B1425" s="32">
        <f t="shared" si="346"/>
        <v>2040</v>
      </c>
      <c r="C1425" s="33" t="s">
        <v>40</v>
      </c>
      <c r="D1425" s="34" t="s">
        <v>2002</v>
      </c>
      <c r="E1425" s="35" t="str">
        <f t="shared" si="343"/>
        <v>PRBNP'!</v>
      </c>
      <c r="F1425" s="34" t="str">
        <f t="shared" si="344"/>
        <v>C:\Users\jaime.benazar\Quorum Business Solutions\Ecopetrol Prometeo - Documents\Planning Space Implementation\3. Analysis &amp; Design\Design\FC22\DRR Jaime\Neiva CPI\[DINA TERCIARIOS_CF_SEC_New_27-Mar-2024.xlsx]D-PRBNP'!</v>
      </c>
      <c r="G1425" s="32" t="s">
        <v>120</v>
      </c>
      <c r="H1425" s="33"/>
      <c r="I1425" s="33"/>
      <c r="J1425" s="37"/>
    </row>
    <row r="1426" spans="1:10" x14ac:dyDescent="0.3">
      <c r="A1426" s="32" t="s">
        <v>18</v>
      </c>
      <c r="B1426" s="32">
        <f>+B1425+1</f>
        <v>2041</v>
      </c>
      <c r="C1426" s="33" t="s">
        <v>40</v>
      </c>
      <c r="D1426" s="34" t="s">
        <v>2002</v>
      </c>
      <c r="E1426" s="35" t="str">
        <f t="shared" si="343"/>
        <v>PRBNP'!</v>
      </c>
      <c r="F1426" s="34" t="str">
        <f t="shared" si="344"/>
        <v>C:\Users\jaime.benazar\Quorum Business Solutions\Ecopetrol Prometeo - Documents\Planning Space Implementation\3. Analysis &amp; Design\Design\FC22\DRR Jaime\Neiva CPI\[DINA TERCIARIOS_CF_SEC_New_27-Mar-2024.xlsx]D-PRBNP'!</v>
      </c>
      <c r="G1426" s="32" t="s">
        <v>120</v>
      </c>
      <c r="H1426" s="33"/>
      <c r="I1426" s="33"/>
      <c r="J1426" s="37"/>
    </row>
    <row r="1427" spans="1:10" x14ac:dyDescent="0.3">
      <c r="A1427" s="32" t="s">
        <v>18</v>
      </c>
      <c r="B1427" s="32">
        <f t="shared" ref="B1427:B1428" si="347">+B1426+1</f>
        <v>2042</v>
      </c>
      <c r="C1427" s="33" t="s">
        <v>40</v>
      </c>
      <c r="D1427" s="34" t="s">
        <v>2002</v>
      </c>
      <c r="E1427" s="35" t="str">
        <f t="shared" si="343"/>
        <v>PRBNP'!</v>
      </c>
      <c r="F1427" s="34" t="str">
        <f t="shared" si="344"/>
        <v>C:\Users\jaime.benazar\Quorum Business Solutions\Ecopetrol Prometeo - Documents\Planning Space Implementation\3. Analysis &amp; Design\Design\FC22\DRR Jaime\Neiva CPI\[DINA TERCIARIOS_CF_SEC_New_27-Mar-2024.xlsx]D-PRBNP'!</v>
      </c>
      <c r="G1427" s="32" t="s">
        <v>120</v>
      </c>
      <c r="H1427" s="33"/>
      <c r="I1427" s="33"/>
      <c r="J1427" s="37"/>
    </row>
    <row r="1428" spans="1:10" x14ac:dyDescent="0.3">
      <c r="A1428" s="32" t="s">
        <v>18</v>
      </c>
      <c r="B1428" s="32">
        <f t="shared" si="347"/>
        <v>2043</v>
      </c>
      <c r="C1428" s="33" t="s">
        <v>40</v>
      </c>
      <c r="D1428" s="34" t="s">
        <v>2002</v>
      </c>
      <c r="E1428" s="35" t="str">
        <f t="shared" si="343"/>
        <v>PRBNP'!</v>
      </c>
      <c r="F1428" s="34" t="str">
        <f t="shared" si="344"/>
        <v>C:\Users\jaime.benazar\Quorum Business Solutions\Ecopetrol Prometeo - Documents\Planning Space Implementation\3. Analysis &amp; Design\Design\FC22\DRR Jaime\Neiva CPI\[DINA TERCIARIOS_CF_SEC_New_27-Mar-2024.xlsx]D-PRBNP'!</v>
      </c>
      <c r="G1428" s="32" t="s">
        <v>120</v>
      </c>
      <c r="H1428" s="33"/>
      <c r="I1428" s="33"/>
      <c r="J1428" s="37"/>
    </row>
    <row r="1429" spans="1:10" x14ac:dyDescent="0.3">
      <c r="A1429" s="32" t="s">
        <v>18</v>
      </c>
      <c r="B1429" s="32">
        <f>+B1428+1</f>
        <v>2044</v>
      </c>
      <c r="C1429" s="33" t="s">
        <v>40</v>
      </c>
      <c r="D1429" s="34" t="s">
        <v>2002</v>
      </c>
      <c r="E1429" s="35" t="str">
        <f t="shared" ref="E1429:E1444" si="348">_xlfn.CONCAT(A1429,"'!")</f>
        <v>PRBNP'!</v>
      </c>
      <c r="F1429" s="34" t="str">
        <f t="shared" ref="F1429:F1444" si="349">_xlfn.CONCAT(D1429:E1429)</f>
        <v>C:\Users\jaime.benazar\Quorum Business Solutions\Ecopetrol Prometeo - Documents\Planning Space Implementation\3. Analysis &amp; Design\Design\FC22\DRR Jaime\Neiva CPI\[DINA TERCIARIOS_CF_SEC_New_27-Mar-2024.xlsx]D-PRBNP'!</v>
      </c>
      <c r="G1429" s="32" t="s">
        <v>120</v>
      </c>
      <c r="H1429" s="33"/>
      <c r="I1429" s="33"/>
      <c r="J1429" s="37"/>
    </row>
    <row r="1430" spans="1:10" x14ac:dyDescent="0.3">
      <c r="A1430" s="32" t="s">
        <v>18</v>
      </c>
      <c r="B1430" s="32">
        <f t="shared" ref="B1430:B1444" si="350">+B1429+1</f>
        <v>2045</v>
      </c>
      <c r="C1430" s="33" t="s">
        <v>40</v>
      </c>
      <c r="D1430" s="34" t="s">
        <v>2002</v>
      </c>
      <c r="E1430" s="35" t="str">
        <f t="shared" si="348"/>
        <v>PRBNP'!</v>
      </c>
      <c r="F1430" s="34" t="str">
        <f t="shared" si="349"/>
        <v>C:\Users\jaime.benazar\Quorum Business Solutions\Ecopetrol Prometeo - Documents\Planning Space Implementation\3. Analysis &amp; Design\Design\FC22\DRR Jaime\Neiva CPI\[DINA TERCIARIOS_CF_SEC_New_27-Mar-2024.xlsx]D-PRBNP'!</v>
      </c>
      <c r="G1430" s="32" t="s">
        <v>120</v>
      </c>
      <c r="H1430" s="33"/>
      <c r="I1430" s="33"/>
      <c r="J1430" s="37"/>
    </row>
    <row r="1431" spans="1:10" x14ac:dyDescent="0.3">
      <c r="A1431" s="32" t="s">
        <v>18</v>
      </c>
      <c r="B1431" s="32">
        <f t="shared" si="350"/>
        <v>2046</v>
      </c>
      <c r="C1431" s="33" t="s">
        <v>40</v>
      </c>
      <c r="D1431" s="34" t="s">
        <v>2002</v>
      </c>
      <c r="E1431" s="35" t="str">
        <f t="shared" si="348"/>
        <v>PRBNP'!</v>
      </c>
      <c r="F1431" s="34" t="str">
        <f t="shared" si="349"/>
        <v>C:\Users\jaime.benazar\Quorum Business Solutions\Ecopetrol Prometeo - Documents\Planning Space Implementation\3. Analysis &amp; Design\Design\FC22\DRR Jaime\Neiva CPI\[DINA TERCIARIOS_CF_SEC_New_27-Mar-2024.xlsx]D-PRBNP'!</v>
      </c>
      <c r="G1431" s="32" t="s">
        <v>120</v>
      </c>
      <c r="H1431" s="33"/>
      <c r="I1431" s="33"/>
      <c r="J1431" s="37"/>
    </row>
    <row r="1432" spans="1:10" x14ac:dyDescent="0.3">
      <c r="A1432" s="32" t="s">
        <v>18</v>
      </c>
      <c r="B1432" s="32">
        <f t="shared" si="350"/>
        <v>2047</v>
      </c>
      <c r="C1432" s="33" t="s">
        <v>40</v>
      </c>
      <c r="D1432" s="34" t="s">
        <v>2002</v>
      </c>
      <c r="E1432" s="35" t="str">
        <f t="shared" si="348"/>
        <v>PRBNP'!</v>
      </c>
      <c r="F1432" s="34" t="str">
        <f t="shared" si="349"/>
        <v>C:\Users\jaime.benazar\Quorum Business Solutions\Ecopetrol Prometeo - Documents\Planning Space Implementation\3. Analysis &amp; Design\Design\FC22\DRR Jaime\Neiva CPI\[DINA TERCIARIOS_CF_SEC_New_27-Mar-2024.xlsx]D-PRBNP'!</v>
      </c>
      <c r="G1432" s="32" t="s">
        <v>120</v>
      </c>
      <c r="H1432" s="33"/>
      <c r="I1432" s="33"/>
      <c r="J1432" s="37"/>
    </row>
    <row r="1433" spans="1:10" x14ac:dyDescent="0.3">
      <c r="A1433" s="32" t="s">
        <v>18</v>
      </c>
      <c r="B1433" s="32">
        <f t="shared" si="350"/>
        <v>2048</v>
      </c>
      <c r="C1433" s="33" t="s">
        <v>40</v>
      </c>
      <c r="D1433" s="34" t="s">
        <v>2002</v>
      </c>
      <c r="E1433" s="35" t="str">
        <f t="shared" si="348"/>
        <v>PRBNP'!</v>
      </c>
      <c r="F1433" s="34" t="str">
        <f t="shared" si="349"/>
        <v>C:\Users\jaime.benazar\Quorum Business Solutions\Ecopetrol Prometeo - Documents\Planning Space Implementation\3. Analysis &amp; Design\Design\FC22\DRR Jaime\Neiva CPI\[DINA TERCIARIOS_CF_SEC_New_27-Mar-2024.xlsx]D-PRBNP'!</v>
      </c>
      <c r="G1433" s="32" t="s">
        <v>120</v>
      </c>
      <c r="H1433" s="33"/>
      <c r="I1433" s="33"/>
      <c r="J1433" s="37"/>
    </row>
    <row r="1434" spans="1:10" x14ac:dyDescent="0.3">
      <c r="A1434" s="32" t="s">
        <v>18</v>
      </c>
      <c r="B1434" s="32">
        <f t="shared" si="350"/>
        <v>2049</v>
      </c>
      <c r="C1434" s="33" t="s">
        <v>40</v>
      </c>
      <c r="D1434" s="34" t="s">
        <v>2002</v>
      </c>
      <c r="E1434" s="35" t="str">
        <f t="shared" si="348"/>
        <v>PRBNP'!</v>
      </c>
      <c r="F1434" s="34" t="str">
        <f t="shared" si="349"/>
        <v>C:\Users\jaime.benazar\Quorum Business Solutions\Ecopetrol Prometeo - Documents\Planning Space Implementation\3. Analysis &amp; Design\Design\FC22\DRR Jaime\Neiva CPI\[DINA TERCIARIOS_CF_SEC_New_27-Mar-2024.xlsx]D-PRBNP'!</v>
      </c>
      <c r="G1434" s="32" t="s">
        <v>120</v>
      </c>
      <c r="H1434" s="33"/>
      <c r="I1434" s="33"/>
      <c r="J1434" s="37"/>
    </row>
    <row r="1435" spans="1:10" x14ac:dyDescent="0.3">
      <c r="A1435" s="32" t="s">
        <v>18</v>
      </c>
      <c r="B1435" s="32">
        <f t="shared" si="350"/>
        <v>2050</v>
      </c>
      <c r="C1435" s="33" t="s">
        <v>40</v>
      </c>
      <c r="D1435" s="34" t="s">
        <v>2002</v>
      </c>
      <c r="E1435" s="35" t="str">
        <f t="shared" si="348"/>
        <v>PRBNP'!</v>
      </c>
      <c r="F1435" s="34" t="str">
        <f t="shared" si="349"/>
        <v>C:\Users\jaime.benazar\Quorum Business Solutions\Ecopetrol Prometeo - Documents\Planning Space Implementation\3. Analysis &amp; Design\Design\FC22\DRR Jaime\Neiva CPI\[DINA TERCIARIOS_CF_SEC_New_27-Mar-2024.xlsx]D-PRBNP'!</v>
      </c>
      <c r="G1435" s="32" t="s">
        <v>120</v>
      </c>
      <c r="H1435" s="33"/>
      <c r="I1435" s="33"/>
      <c r="J1435" s="37"/>
    </row>
    <row r="1436" spans="1:10" x14ac:dyDescent="0.3">
      <c r="A1436" s="32" t="s">
        <v>18</v>
      </c>
      <c r="B1436" s="32">
        <f t="shared" si="350"/>
        <v>2051</v>
      </c>
      <c r="C1436" s="33" t="s">
        <v>40</v>
      </c>
      <c r="D1436" s="34" t="s">
        <v>2002</v>
      </c>
      <c r="E1436" s="35" t="str">
        <f t="shared" si="348"/>
        <v>PRBNP'!</v>
      </c>
      <c r="F1436" s="34" t="str">
        <f t="shared" si="349"/>
        <v>C:\Users\jaime.benazar\Quorum Business Solutions\Ecopetrol Prometeo - Documents\Planning Space Implementation\3. Analysis &amp; Design\Design\FC22\DRR Jaime\Neiva CPI\[DINA TERCIARIOS_CF_SEC_New_27-Mar-2024.xlsx]D-PRBNP'!</v>
      </c>
      <c r="G1436" s="32" t="s">
        <v>120</v>
      </c>
      <c r="H1436" s="33"/>
      <c r="I1436" s="33"/>
      <c r="J1436" s="37"/>
    </row>
    <row r="1437" spans="1:10" x14ac:dyDescent="0.3">
      <c r="A1437" s="32" t="s">
        <v>18</v>
      </c>
      <c r="B1437" s="32">
        <f t="shared" si="350"/>
        <v>2052</v>
      </c>
      <c r="C1437" s="33" t="s">
        <v>40</v>
      </c>
      <c r="D1437" s="34" t="s">
        <v>2002</v>
      </c>
      <c r="E1437" s="35" t="str">
        <f t="shared" si="348"/>
        <v>PRBNP'!</v>
      </c>
      <c r="F1437" s="34" t="str">
        <f t="shared" si="349"/>
        <v>C:\Users\jaime.benazar\Quorum Business Solutions\Ecopetrol Prometeo - Documents\Planning Space Implementation\3. Analysis &amp; Design\Design\FC22\DRR Jaime\Neiva CPI\[DINA TERCIARIOS_CF_SEC_New_27-Mar-2024.xlsx]D-PRBNP'!</v>
      </c>
      <c r="G1437" s="32" t="s">
        <v>120</v>
      </c>
      <c r="H1437" s="33"/>
      <c r="I1437" s="33"/>
      <c r="J1437" s="37"/>
    </row>
    <row r="1438" spans="1:10" x14ac:dyDescent="0.3">
      <c r="A1438" s="32" t="s">
        <v>18</v>
      </c>
      <c r="B1438" s="32">
        <f t="shared" si="350"/>
        <v>2053</v>
      </c>
      <c r="C1438" s="33" t="s">
        <v>40</v>
      </c>
      <c r="D1438" s="34" t="s">
        <v>2002</v>
      </c>
      <c r="E1438" s="35" t="str">
        <f t="shared" si="348"/>
        <v>PRBNP'!</v>
      </c>
      <c r="F1438" s="34" t="str">
        <f t="shared" si="349"/>
        <v>C:\Users\jaime.benazar\Quorum Business Solutions\Ecopetrol Prometeo - Documents\Planning Space Implementation\3. Analysis &amp; Design\Design\FC22\DRR Jaime\Neiva CPI\[DINA TERCIARIOS_CF_SEC_New_27-Mar-2024.xlsx]D-PRBNP'!</v>
      </c>
      <c r="G1438" s="32" t="s">
        <v>120</v>
      </c>
      <c r="H1438" s="33"/>
      <c r="I1438" s="33"/>
      <c r="J1438" s="37"/>
    </row>
    <row r="1439" spans="1:10" x14ac:dyDescent="0.3">
      <c r="A1439" s="32" t="s">
        <v>18</v>
      </c>
      <c r="B1439" s="32">
        <f t="shared" si="350"/>
        <v>2054</v>
      </c>
      <c r="C1439" s="33" t="s">
        <v>40</v>
      </c>
      <c r="D1439" s="34" t="s">
        <v>2002</v>
      </c>
      <c r="E1439" s="35" t="str">
        <f t="shared" si="348"/>
        <v>PRBNP'!</v>
      </c>
      <c r="F1439" s="34" t="str">
        <f t="shared" si="349"/>
        <v>C:\Users\jaime.benazar\Quorum Business Solutions\Ecopetrol Prometeo - Documents\Planning Space Implementation\3. Analysis &amp; Design\Design\FC22\DRR Jaime\Neiva CPI\[DINA TERCIARIOS_CF_SEC_New_27-Mar-2024.xlsx]D-PRBNP'!</v>
      </c>
      <c r="G1439" s="32" t="s">
        <v>120</v>
      </c>
      <c r="H1439" s="33"/>
      <c r="I1439" s="33"/>
      <c r="J1439" s="37"/>
    </row>
    <row r="1440" spans="1:10" x14ac:dyDescent="0.3">
      <c r="A1440" s="32" t="s">
        <v>18</v>
      </c>
      <c r="B1440" s="32">
        <f t="shared" si="350"/>
        <v>2055</v>
      </c>
      <c r="C1440" s="33" t="s">
        <v>40</v>
      </c>
      <c r="D1440" s="34" t="s">
        <v>2002</v>
      </c>
      <c r="E1440" s="35" t="str">
        <f t="shared" si="348"/>
        <v>PRBNP'!</v>
      </c>
      <c r="F1440" s="34" t="str">
        <f t="shared" si="349"/>
        <v>C:\Users\jaime.benazar\Quorum Business Solutions\Ecopetrol Prometeo - Documents\Planning Space Implementation\3. Analysis &amp; Design\Design\FC22\DRR Jaime\Neiva CPI\[DINA TERCIARIOS_CF_SEC_New_27-Mar-2024.xlsx]D-PRBNP'!</v>
      </c>
      <c r="G1440" s="32" t="s">
        <v>120</v>
      </c>
      <c r="H1440" s="33"/>
      <c r="I1440" s="33"/>
      <c r="J1440" s="37"/>
    </row>
    <row r="1441" spans="1:10" x14ac:dyDescent="0.3">
      <c r="A1441" s="32" t="s">
        <v>18</v>
      </c>
      <c r="B1441" s="32">
        <f t="shared" si="350"/>
        <v>2056</v>
      </c>
      <c r="C1441" s="33" t="s">
        <v>40</v>
      </c>
      <c r="D1441" s="34" t="s">
        <v>2002</v>
      </c>
      <c r="E1441" s="35" t="str">
        <f t="shared" si="348"/>
        <v>PRBNP'!</v>
      </c>
      <c r="F1441" s="34" t="str">
        <f t="shared" si="349"/>
        <v>C:\Users\jaime.benazar\Quorum Business Solutions\Ecopetrol Prometeo - Documents\Planning Space Implementation\3. Analysis &amp; Design\Design\FC22\DRR Jaime\Neiva CPI\[DINA TERCIARIOS_CF_SEC_New_27-Mar-2024.xlsx]D-PRBNP'!</v>
      </c>
      <c r="G1441" s="32" t="s">
        <v>120</v>
      </c>
      <c r="H1441" s="33"/>
      <c r="I1441" s="33"/>
      <c r="J1441" s="37"/>
    </row>
    <row r="1442" spans="1:10" x14ac:dyDescent="0.3">
      <c r="A1442" s="32" t="s">
        <v>18</v>
      </c>
      <c r="B1442" s="32">
        <f t="shared" si="350"/>
        <v>2057</v>
      </c>
      <c r="C1442" s="33" t="s">
        <v>40</v>
      </c>
      <c r="D1442" s="34" t="s">
        <v>2002</v>
      </c>
      <c r="E1442" s="35" t="str">
        <f t="shared" si="348"/>
        <v>PRBNP'!</v>
      </c>
      <c r="F1442" s="34" t="str">
        <f t="shared" si="349"/>
        <v>C:\Users\jaime.benazar\Quorum Business Solutions\Ecopetrol Prometeo - Documents\Planning Space Implementation\3. Analysis &amp; Design\Design\FC22\DRR Jaime\Neiva CPI\[DINA TERCIARIOS_CF_SEC_New_27-Mar-2024.xlsx]D-PRBNP'!</v>
      </c>
      <c r="G1442" s="32" t="s">
        <v>120</v>
      </c>
      <c r="H1442" s="33"/>
      <c r="I1442" s="33"/>
      <c r="J1442" s="37"/>
    </row>
    <row r="1443" spans="1:10" x14ac:dyDescent="0.3">
      <c r="A1443" s="32" t="s">
        <v>18</v>
      </c>
      <c r="B1443" s="32">
        <f t="shared" si="350"/>
        <v>2058</v>
      </c>
      <c r="C1443" s="33" t="s">
        <v>40</v>
      </c>
      <c r="D1443" s="34" t="s">
        <v>2002</v>
      </c>
      <c r="E1443" s="35" t="str">
        <f t="shared" si="348"/>
        <v>PRBNP'!</v>
      </c>
      <c r="F1443" s="34" t="str">
        <f t="shared" si="349"/>
        <v>C:\Users\jaime.benazar\Quorum Business Solutions\Ecopetrol Prometeo - Documents\Planning Space Implementation\3. Analysis &amp; Design\Design\FC22\DRR Jaime\Neiva CPI\[DINA TERCIARIOS_CF_SEC_New_27-Mar-2024.xlsx]D-PRBNP'!</v>
      </c>
      <c r="G1443" s="32" t="s">
        <v>120</v>
      </c>
      <c r="H1443" s="33"/>
      <c r="I1443" s="33"/>
      <c r="J1443" s="37"/>
    </row>
    <row r="1444" spans="1:10" x14ac:dyDescent="0.3">
      <c r="A1444" s="32" t="s">
        <v>18</v>
      </c>
      <c r="B1444" s="32">
        <f t="shared" si="350"/>
        <v>2059</v>
      </c>
      <c r="C1444" s="33" t="s">
        <v>40</v>
      </c>
      <c r="D1444" s="34" t="s">
        <v>2002</v>
      </c>
      <c r="E1444" s="35" t="str">
        <f t="shared" si="348"/>
        <v>PRBNP'!</v>
      </c>
      <c r="F1444" s="34" t="str">
        <f t="shared" si="349"/>
        <v>C:\Users\jaime.benazar\Quorum Business Solutions\Ecopetrol Prometeo - Documents\Planning Space Implementation\3. Analysis &amp; Design\Design\FC22\DRR Jaime\Neiva CPI\[DINA TERCIARIOS_CF_SEC_New_27-Mar-2024.xlsx]D-PRBNP'!</v>
      </c>
      <c r="G1444" s="32" t="s">
        <v>120</v>
      </c>
      <c r="H1444" s="33"/>
      <c r="I1444" s="33"/>
      <c r="J1444" s="37"/>
    </row>
    <row r="1445" spans="1:10" x14ac:dyDescent="0.3">
      <c r="A1445" s="32" t="s">
        <v>26</v>
      </c>
      <c r="B1445" s="32"/>
      <c r="C1445" s="33" t="s">
        <v>40</v>
      </c>
      <c r="D1445" s="34"/>
      <c r="E1445" s="35"/>
      <c r="F1445" s="34"/>
      <c r="G1445" s="32"/>
      <c r="H1445" s="33"/>
      <c r="I1445" s="33"/>
      <c r="J1445" s="33"/>
    </row>
    <row r="1446" spans="1:10" x14ac:dyDescent="0.3">
      <c r="A1446" s="32" t="s">
        <v>19</v>
      </c>
      <c r="B1446" s="32">
        <v>2023</v>
      </c>
      <c r="C1446" s="33" t="s">
        <v>40</v>
      </c>
      <c r="D1446" s="34" t="s">
        <v>2002</v>
      </c>
      <c r="E1446" s="35" t="str">
        <f t="shared" ref="E1446:E1466" si="351">_xlfn.CONCAT(A1446,"'!")</f>
        <v>PRBND'!</v>
      </c>
      <c r="F1446" s="34" t="str">
        <f t="shared" ref="F1446:F1466" si="352">_xlfn.CONCAT(D1446:E1446)</f>
        <v>C:\Users\jaime.benazar\Quorum Business Solutions\Ecopetrol Prometeo - Documents\Planning Space Implementation\3. Analysis &amp; Design\Design\FC22\DRR Jaime\Neiva CPI\[DINA TERCIARIOS_CF_SEC_New_27-Mar-2024.xlsx]D-PRBND'!</v>
      </c>
      <c r="G1446" s="32" t="s">
        <v>120</v>
      </c>
      <c r="H1446" s="33"/>
      <c r="I1446" s="33"/>
      <c r="J1446" s="37"/>
    </row>
    <row r="1447" spans="1:10" x14ac:dyDescent="0.3">
      <c r="A1447" s="32" t="s">
        <v>19</v>
      </c>
      <c r="B1447" s="32">
        <f>+B1446+1</f>
        <v>2024</v>
      </c>
      <c r="C1447" s="33" t="s">
        <v>40</v>
      </c>
      <c r="D1447" s="34" t="s">
        <v>2002</v>
      </c>
      <c r="E1447" s="35" t="str">
        <f t="shared" si="351"/>
        <v>PRBND'!</v>
      </c>
      <c r="F1447" s="34" t="str">
        <f t="shared" si="352"/>
        <v>C:\Users\jaime.benazar\Quorum Business Solutions\Ecopetrol Prometeo - Documents\Planning Space Implementation\3. Analysis &amp; Design\Design\FC22\DRR Jaime\Neiva CPI\[DINA TERCIARIOS_CF_SEC_New_27-Mar-2024.xlsx]D-PRBND'!</v>
      </c>
      <c r="G1447" s="32" t="s">
        <v>120</v>
      </c>
      <c r="H1447" s="33"/>
      <c r="I1447" s="33"/>
      <c r="J1447" s="37"/>
    </row>
    <row r="1448" spans="1:10" x14ac:dyDescent="0.3">
      <c r="A1448" s="32" t="s">
        <v>19</v>
      </c>
      <c r="B1448" s="32">
        <f t="shared" ref="B1448:B1459" si="353">+B1447+1</f>
        <v>2025</v>
      </c>
      <c r="C1448" s="33" t="s">
        <v>40</v>
      </c>
      <c r="D1448" s="34" t="s">
        <v>2002</v>
      </c>
      <c r="E1448" s="35" t="str">
        <f t="shared" si="351"/>
        <v>PRBND'!</v>
      </c>
      <c r="F1448" s="34" t="str">
        <f t="shared" si="352"/>
        <v>C:\Users\jaime.benazar\Quorum Business Solutions\Ecopetrol Prometeo - Documents\Planning Space Implementation\3. Analysis &amp; Design\Design\FC22\DRR Jaime\Neiva CPI\[DINA TERCIARIOS_CF_SEC_New_27-Mar-2024.xlsx]D-PRBND'!</v>
      </c>
      <c r="G1448" s="32" t="s">
        <v>120</v>
      </c>
      <c r="H1448" s="33"/>
      <c r="I1448" s="33"/>
      <c r="J1448" s="37"/>
    </row>
    <row r="1449" spans="1:10" x14ac:dyDescent="0.3">
      <c r="A1449" s="32" t="s">
        <v>19</v>
      </c>
      <c r="B1449" s="32">
        <f t="shared" si="353"/>
        <v>2026</v>
      </c>
      <c r="C1449" s="33" t="s">
        <v>40</v>
      </c>
      <c r="D1449" s="34" t="s">
        <v>2002</v>
      </c>
      <c r="E1449" s="35" t="str">
        <f t="shared" si="351"/>
        <v>PRBND'!</v>
      </c>
      <c r="F1449" s="34" t="str">
        <f t="shared" si="352"/>
        <v>C:\Users\jaime.benazar\Quorum Business Solutions\Ecopetrol Prometeo - Documents\Planning Space Implementation\3. Analysis &amp; Design\Design\FC22\DRR Jaime\Neiva CPI\[DINA TERCIARIOS_CF_SEC_New_27-Mar-2024.xlsx]D-PRBND'!</v>
      </c>
      <c r="G1449" s="32" t="s">
        <v>120</v>
      </c>
      <c r="H1449" s="33"/>
      <c r="I1449" s="33"/>
      <c r="J1449" s="37"/>
    </row>
    <row r="1450" spans="1:10" x14ac:dyDescent="0.3">
      <c r="A1450" s="32" t="s">
        <v>19</v>
      </c>
      <c r="B1450" s="32">
        <f t="shared" si="353"/>
        <v>2027</v>
      </c>
      <c r="C1450" s="33" t="s">
        <v>40</v>
      </c>
      <c r="D1450" s="34" t="s">
        <v>2002</v>
      </c>
      <c r="E1450" s="35" t="str">
        <f t="shared" si="351"/>
        <v>PRBND'!</v>
      </c>
      <c r="F1450" s="34" t="str">
        <f t="shared" si="352"/>
        <v>C:\Users\jaime.benazar\Quorum Business Solutions\Ecopetrol Prometeo - Documents\Planning Space Implementation\3. Analysis &amp; Design\Design\FC22\DRR Jaime\Neiva CPI\[DINA TERCIARIOS_CF_SEC_New_27-Mar-2024.xlsx]D-PRBND'!</v>
      </c>
      <c r="G1450" s="32" t="s">
        <v>120</v>
      </c>
      <c r="H1450" s="33"/>
      <c r="I1450" s="33"/>
      <c r="J1450" s="37"/>
    </row>
    <row r="1451" spans="1:10" x14ac:dyDescent="0.3">
      <c r="A1451" s="32" t="s">
        <v>19</v>
      </c>
      <c r="B1451" s="32">
        <f t="shared" si="353"/>
        <v>2028</v>
      </c>
      <c r="C1451" s="33" t="s">
        <v>40</v>
      </c>
      <c r="D1451" s="34" t="s">
        <v>2002</v>
      </c>
      <c r="E1451" s="35" t="str">
        <f t="shared" si="351"/>
        <v>PRBND'!</v>
      </c>
      <c r="F1451" s="34" t="str">
        <f t="shared" si="352"/>
        <v>C:\Users\jaime.benazar\Quorum Business Solutions\Ecopetrol Prometeo - Documents\Planning Space Implementation\3. Analysis &amp; Design\Design\FC22\DRR Jaime\Neiva CPI\[DINA TERCIARIOS_CF_SEC_New_27-Mar-2024.xlsx]D-PRBND'!</v>
      </c>
      <c r="G1451" s="32" t="s">
        <v>120</v>
      </c>
      <c r="H1451" s="33"/>
      <c r="I1451" s="33"/>
      <c r="J1451" s="37"/>
    </row>
    <row r="1452" spans="1:10" x14ac:dyDescent="0.3">
      <c r="A1452" s="32" t="s">
        <v>19</v>
      </c>
      <c r="B1452" s="32">
        <f t="shared" si="353"/>
        <v>2029</v>
      </c>
      <c r="C1452" s="33" t="s">
        <v>40</v>
      </c>
      <c r="D1452" s="34" t="s">
        <v>2002</v>
      </c>
      <c r="E1452" s="35" t="str">
        <f t="shared" si="351"/>
        <v>PRBND'!</v>
      </c>
      <c r="F1452" s="34" t="str">
        <f t="shared" si="352"/>
        <v>C:\Users\jaime.benazar\Quorum Business Solutions\Ecopetrol Prometeo - Documents\Planning Space Implementation\3. Analysis &amp; Design\Design\FC22\DRR Jaime\Neiva CPI\[DINA TERCIARIOS_CF_SEC_New_27-Mar-2024.xlsx]D-PRBND'!</v>
      </c>
      <c r="G1452" s="32" t="s">
        <v>120</v>
      </c>
      <c r="H1452" s="33"/>
      <c r="I1452" s="33"/>
      <c r="J1452" s="37"/>
    </row>
    <row r="1453" spans="1:10" x14ac:dyDescent="0.3">
      <c r="A1453" s="32" t="s">
        <v>19</v>
      </c>
      <c r="B1453" s="32">
        <f t="shared" si="353"/>
        <v>2030</v>
      </c>
      <c r="C1453" s="33" t="s">
        <v>40</v>
      </c>
      <c r="D1453" s="34" t="s">
        <v>2002</v>
      </c>
      <c r="E1453" s="35" t="str">
        <f t="shared" si="351"/>
        <v>PRBND'!</v>
      </c>
      <c r="F1453" s="34" t="str">
        <f t="shared" si="352"/>
        <v>C:\Users\jaime.benazar\Quorum Business Solutions\Ecopetrol Prometeo - Documents\Planning Space Implementation\3. Analysis &amp; Design\Design\FC22\DRR Jaime\Neiva CPI\[DINA TERCIARIOS_CF_SEC_New_27-Mar-2024.xlsx]D-PRBND'!</v>
      </c>
      <c r="G1453" s="32" t="s">
        <v>120</v>
      </c>
      <c r="H1453" s="33"/>
      <c r="I1453" s="33"/>
      <c r="J1453" s="37"/>
    </row>
    <row r="1454" spans="1:10" x14ac:dyDescent="0.3">
      <c r="A1454" s="32" t="s">
        <v>19</v>
      </c>
      <c r="B1454" s="32">
        <f t="shared" si="353"/>
        <v>2031</v>
      </c>
      <c r="C1454" s="33" t="s">
        <v>40</v>
      </c>
      <c r="D1454" s="34" t="s">
        <v>2002</v>
      </c>
      <c r="E1454" s="35" t="str">
        <f t="shared" si="351"/>
        <v>PRBND'!</v>
      </c>
      <c r="F1454" s="34" t="str">
        <f t="shared" si="352"/>
        <v>C:\Users\jaime.benazar\Quorum Business Solutions\Ecopetrol Prometeo - Documents\Planning Space Implementation\3. Analysis &amp; Design\Design\FC22\DRR Jaime\Neiva CPI\[DINA TERCIARIOS_CF_SEC_New_27-Mar-2024.xlsx]D-PRBND'!</v>
      </c>
      <c r="G1454" s="32" t="s">
        <v>120</v>
      </c>
      <c r="H1454" s="33"/>
      <c r="I1454" s="33"/>
      <c r="J1454" s="37"/>
    </row>
    <row r="1455" spans="1:10" x14ac:dyDescent="0.3">
      <c r="A1455" s="32" t="s">
        <v>19</v>
      </c>
      <c r="B1455" s="32">
        <f t="shared" si="353"/>
        <v>2032</v>
      </c>
      <c r="C1455" s="33" t="s">
        <v>40</v>
      </c>
      <c r="D1455" s="34" t="s">
        <v>2002</v>
      </c>
      <c r="E1455" s="35" t="str">
        <f t="shared" si="351"/>
        <v>PRBND'!</v>
      </c>
      <c r="F1455" s="34" t="str">
        <f t="shared" si="352"/>
        <v>C:\Users\jaime.benazar\Quorum Business Solutions\Ecopetrol Prometeo - Documents\Planning Space Implementation\3. Analysis &amp; Design\Design\FC22\DRR Jaime\Neiva CPI\[DINA TERCIARIOS_CF_SEC_New_27-Mar-2024.xlsx]D-PRBND'!</v>
      </c>
      <c r="G1455" s="32" t="s">
        <v>120</v>
      </c>
      <c r="H1455" s="33"/>
      <c r="I1455" s="33"/>
      <c r="J1455" s="37"/>
    </row>
    <row r="1456" spans="1:10" x14ac:dyDescent="0.3">
      <c r="A1456" s="32" t="s">
        <v>19</v>
      </c>
      <c r="B1456" s="32">
        <f t="shared" si="353"/>
        <v>2033</v>
      </c>
      <c r="C1456" s="33" t="s">
        <v>40</v>
      </c>
      <c r="D1456" s="34" t="s">
        <v>2002</v>
      </c>
      <c r="E1456" s="35" t="str">
        <f t="shared" si="351"/>
        <v>PRBND'!</v>
      </c>
      <c r="F1456" s="34" t="str">
        <f t="shared" si="352"/>
        <v>C:\Users\jaime.benazar\Quorum Business Solutions\Ecopetrol Prometeo - Documents\Planning Space Implementation\3. Analysis &amp; Design\Design\FC22\DRR Jaime\Neiva CPI\[DINA TERCIARIOS_CF_SEC_New_27-Mar-2024.xlsx]D-PRBND'!</v>
      </c>
      <c r="G1456" s="32" t="s">
        <v>120</v>
      </c>
      <c r="H1456" s="33"/>
      <c r="I1456" s="33"/>
      <c r="J1456" s="37"/>
    </row>
    <row r="1457" spans="1:10" x14ac:dyDescent="0.3">
      <c r="A1457" s="32" t="s">
        <v>19</v>
      </c>
      <c r="B1457" s="32">
        <f t="shared" si="353"/>
        <v>2034</v>
      </c>
      <c r="C1457" s="33" t="s">
        <v>40</v>
      </c>
      <c r="D1457" s="34" t="s">
        <v>2002</v>
      </c>
      <c r="E1457" s="35" t="str">
        <f t="shared" si="351"/>
        <v>PRBND'!</v>
      </c>
      <c r="F1457" s="34" t="str">
        <f t="shared" si="352"/>
        <v>C:\Users\jaime.benazar\Quorum Business Solutions\Ecopetrol Prometeo - Documents\Planning Space Implementation\3. Analysis &amp; Design\Design\FC22\DRR Jaime\Neiva CPI\[DINA TERCIARIOS_CF_SEC_New_27-Mar-2024.xlsx]D-PRBND'!</v>
      </c>
      <c r="G1457" s="32" t="s">
        <v>120</v>
      </c>
      <c r="H1457" s="33"/>
      <c r="I1457" s="33"/>
      <c r="J1457" s="37"/>
    </row>
    <row r="1458" spans="1:10" x14ac:dyDescent="0.3">
      <c r="A1458" s="32" t="s">
        <v>19</v>
      </c>
      <c r="B1458" s="32">
        <f t="shared" si="353"/>
        <v>2035</v>
      </c>
      <c r="C1458" s="33" t="s">
        <v>40</v>
      </c>
      <c r="D1458" s="34" t="s">
        <v>2002</v>
      </c>
      <c r="E1458" s="35" t="str">
        <f t="shared" si="351"/>
        <v>PRBND'!</v>
      </c>
      <c r="F1458" s="34" t="str">
        <f t="shared" si="352"/>
        <v>C:\Users\jaime.benazar\Quorum Business Solutions\Ecopetrol Prometeo - Documents\Planning Space Implementation\3. Analysis &amp; Design\Design\FC22\DRR Jaime\Neiva CPI\[DINA TERCIARIOS_CF_SEC_New_27-Mar-2024.xlsx]D-PRBND'!</v>
      </c>
      <c r="G1458" s="32" t="s">
        <v>120</v>
      </c>
      <c r="H1458" s="33"/>
      <c r="I1458" s="33"/>
      <c r="J1458" s="37"/>
    </row>
    <row r="1459" spans="1:10" x14ac:dyDescent="0.3">
      <c r="A1459" s="32" t="s">
        <v>19</v>
      </c>
      <c r="B1459" s="32">
        <f t="shared" si="353"/>
        <v>2036</v>
      </c>
      <c r="C1459" s="33" t="s">
        <v>40</v>
      </c>
      <c r="D1459" s="34" t="s">
        <v>2002</v>
      </c>
      <c r="E1459" s="35" t="str">
        <f t="shared" si="351"/>
        <v>PRBND'!</v>
      </c>
      <c r="F1459" s="34" t="str">
        <f t="shared" si="352"/>
        <v>C:\Users\jaime.benazar\Quorum Business Solutions\Ecopetrol Prometeo - Documents\Planning Space Implementation\3. Analysis &amp; Design\Design\FC22\DRR Jaime\Neiva CPI\[DINA TERCIARIOS_CF_SEC_New_27-Mar-2024.xlsx]D-PRBND'!</v>
      </c>
      <c r="G1459" s="32" t="s">
        <v>120</v>
      </c>
      <c r="H1459" s="33"/>
      <c r="I1459" s="33"/>
      <c r="J1459" s="37"/>
    </row>
    <row r="1460" spans="1:10" x14ac:dyDescent="0.3">
      <c r="A1460" s="32" t="s">
        <v>19</v>
      </c>
      <c r="B1460" s="32">
        <f>+B1459+1</f>
        <v>2037</v>
      </c>
      <c r="C1460" s="33" t="s">
        <v>40</v>
      </c>
      <c r="D1460" s="34" t="s">
        <v>2002</v>
      </c>
      <c r="E1460" s="35" t="str">
        <f t="shared" si="351"/>
        <v>PRBND'!</v>
      </c>
      <c r="F1460" s="34" t="str">
        <f t="shared" si="352"/>
        <v>C:\Users\jaime.benazar\Quorum Business Solutions\Ecopetrol Prometeo - Documents\Planning Space Implementation\3. Analysis &amp; Design\Design\FC22\DRR Jaime\Neiva CPI\[DINA TERCIARIOS_CF_SEC_New_27-Mar-2024.xlsx]D-PRBND'!</v>
      </c>
      <c r="G1460" s="32" t="s">
        <v>120</v>
      </c>
      <c r="H1460" s="33"/>
      <c r="I1460" s="33"/>
      <c r="J1460" s="37"/>
    </row>
    <row r="1461" spans="1:10" x14ac:dyDescent="0.3">
      <c r="A1461" s="32" t="s">
        <v>19</v>
      </c>
      <c r="B1461" s="32">
        <f t="shared" ref="B1461:B1463" si="354">+B1460+1</f>
        <v>2038</v>
      </c>
      <c r="C1461" s="33" t="s">
        <v>40</v>
      </c>
      <c r="D1461" s="34" t="s">
        <v>2002</v>
      </c>
      <c r="E1461" s="35" t="str">
        <f t="shared" si="351"/>
        <v>PRBND'!</v>
      </c>
      <c r="F1461" s="34" t="str">
        <f t="shared" si="352"/>
        <v>C:\Users\jaime.benazar\Quorum Business Solutions\Ecopetrol Prometeo - Documents\Planning Space Implementation\3. Analysis &amp; Design\Design\FC22\DRR Jaime\Neiva CPI\[DINA TERCIARIOS_CF_SEC_New_27-Mar-2024.xlsx]D-PRBND'!</v>
      </c>
      <c r="G1461" s="32" t="s">
        <v>120</v>
      </c>
      <c r="H1461" s="33"/>
      <c r="I1461" s="33"/>
      <c r="J1461" s="37"/>
    </row>
    <row r="1462" spans="1:10" x14ac:dyDescent="0.3">
      <c r="A1462" s="32" t="s">
        <v>19</v>
      </c>
      <c r="B1462" s="32">
        <f t="shared" si="354"/>
        <v>2039</v>
      </c>
      <c r="C1462" s="33" t="s">
        <v>40</v>
      </c>
      <c r="D1462" s="34" t="s">
        <v>2002</v>
      </c>
      <c r="E1462" s="35" t="str">
        <f t="shared" si="351"/>
        <v>PRBND'!</v>
      </c>
      <c r="F1462" s="34" t="str">
        <f t="shared" si="352"/>
        <v>C:\Users\jaime.benazar\Quorum Business Solutions\Ecopetrol Prometeo - Documents\Planning Space Implementation\3. Analysis &amp; Design\Design\FC22\DRR Jaime\Neiva CPI\[DINA TERCIARIOS_CF_SEC_New_27-Mar-2024.xlsx]D-PRBND'!</v>
      </c>
      <c r="G1462" s="32" t="s">
        <v>120</v>
      </c>
      <c r="H1462" s="33"/>
      <c r="I1462" s="33"/>
      <c r="J1462" s="37"/>
    </row>
    <row r="1463" spans="1:10" x14ac:dyDescent="0.3">
      <c r="A1463" s="32" t="s">
        <v>19</v>
      </c>
      <c r="B1463" s="32">
        <f t="shared" si="354"/>
        <v>2040</v>
      </c>
      <c r="C1463" s="33" t="s">
        <v>40</v>
      </c>
      <c r="D1463" s="34" t="s">
        <v>2002</v>
      </c>
      <c r="E1463" s="35" t="str">
        <f t="shared" si="351"/>
        <v>PRBND'!</v>
      </c>
      <c r="F1463" s="34" t="str">
        <f t="shared" si="352"/>
        <v>C:\Users\jaime.benazar\Quorum Business Solutions\Ecopetrol Prometeo - Documents\Planning Space Implementation\3. Analysis &amp; Design\Design\FC22\DRR Jaime\Neiva CPI\[DINA TERCIARIOS_CF_SEC_New_27-Mar-2024.xlsx]D-PRBND'!</v>
      </c>
      <c r="G1463" s="32" t="s">
        <v>120</v>
      </c>
      <c r="H1463" s="33"/>
      <c r="I1463" s="33"/>
      <c r="J1463" s="37"/>
    </row>
    <row r="1464" spans="1:10" x14ac:dyDescent="0.3">
      <c r="A1464" s="32" t="s">
        <v>19</v>
      </c>
      <c r="B1464" s="32">
        <f>+B1463+1</f>
        <v>2041</v>
      </c>
      <c r="C1464" s="33" t="s">
        <v>40</v>
      </c>
      <c r="D1464" s="34" t="s">
        <v>2002</v>
      </c>
      <c r="E1464" s="35" t="str">
        <f t="shared" si="351"/>
        <v>PRBND'!</v>
      </c>
      <c r="F1464" s="34" t="str">
        <f t="shared" si="352"/>
        <v>C:\Users\jaime.benazar\Quorum Business Solutions\Ecopetrol Prometeo - Documents\Planning Space Implementation\3. Analysis &amp; Design\Design\FC22\DRR Jaime\Neiva CPI\[DINA TERCIARIOS_CF_SEC_New_27-Mar-2024.xlsx]D-PRBND'!</v>
      </c>
      <c r="G1464" s="32" t="s">
        <v>120</v>
      </c>
      <c r="H1464" s="33"/>
      <c r="I1464" s="33"/>
      <c r="J1464" s="37"/>
    </row>
    <row r="1465" spans="1:10" x14ac:dyDescent="0.3">
      <c r="A1465" s="32" t="s">
        <v>19</v>
      </c>
      <c r="B1465" s="32">
        <f t="shared" ref="B1465:B1466" si="355">+B1464+1</f>
        <v>2042</v>
      </c>
      <c r="C1465" s="33" t="s">
        <v>40</v>
      </c>
      <c r="D1465" s="34" t="s">
        <v>2002</v>
      </c>
      <c r="E1465" s="35" t="str">
        <f t="shared" si="351"/>
        <v>PRBND'!</v>
      </c>
      <c r="F1465" s="34" t="str">
        <f t="shared" si="352"/>
        <v>C:\Users\jaime.benazar\Quorum Business Solutions\Ecopetrol Prometeo - Documents\Planning Space Implementation\3. Analysis &amp; Design\Design\FC22\DRR Jaime\Neiva CPI\[DINA TERCIARIOS_CF_SEC_New_27-Mar-2024.xlsx]D-PRBND'!</v>
      </c>
      <c r="G1465" s="32" t="s">
        <v>120</v>
      </c>
      <c r="H1465" s="33"/>
      <c r="I1465" s="33"/>
      <c r="J1465" s="37"/>
    </row>
    <row r="1466" spans="1:10" x14ac:dyDescent="0.3">
      <c r="A1466" s="32" t="s">
        <v>19</v>
      </c>
      <c r="B1466" s="32">
        <f t="shared" si="355"/>
        <v>2043</v>
      </c>
      <c r="C1466" s="33" t="s">
        <v>40</v>
      </c>
      <c r="D1466" s="34" t="s">
        <v>2002</v>
      </c>
      <c r="E1466" s="35" t="str">
        <f t="shared" si="351"/>
        <v>PRBND'!</v>
      </c>
      <c r="F1466" s="34" t="str">
        <f t="shared" si="352"/>
        <v>C:\Users\jaime.benazar\Quorum Business Solutions\Ecopetrol Prometeo - Documents\Planning Space Implementation\3. Analysis &amp; Design\Design\FC22\DRR Jaime\Neiva CPI\[DINA TERCIARIOS_CF_SEC_New_27-Mar-2024.xlsx]D-PRBND'!</v>
      </c>
      <c r="G1466" s="32" t="s">
        <v>120</v>
      </c>
      <c r="H1466" s="33"/>
      <c r="I1466" s="33"/>
      <c r="J1466" s="37"/>
    </row>
    <row r="1467" spans="1:10" x14ac:dyDescent="0.3">
      <c r="A1467" s="32" t="s">
        <v>19</v>
      </c>
      <c r="B1467" s="32">
        <f>+B1466+1</f>
        <v>2044</v>
      </c>
      <c r="C1467" s="33" t="s">
        <v>40</v>
      </c>
      <c r="D1467" s="34" t="s">
        <v>2002</v>
      </c>
      <c r="E1467" s="35" t="str">
        <f t="shared" ref="E1467:E1482" si="356">_xlfn.CONCAT(A1467,"'!")</f>
        <v>PRBND'!</v>
      </c>
      <c r="F1467" s="34" t="str">
        <f t="shared" ref="F1467:F1482" si="357">_xlfn.CONCAT(D1467:E1467)</f>
        <v>C:\Users\jaime.benazar\Quorum Business Solutions\Ecopetrol Prometeo - Documents\Planning Space Implementation\3. Analysis &amp; Design\Design\FC22\DRR Jaime\Neiva CPI\[DINA TERCIARIOS_CF_SEC_New_27-Mar-2024.xlsx]D-PRBND'!</v>
      </c>
      <c r="G1467" s="32" t="s">
        <v>120</v>
      </c>
      <c r="H1467" s="33"/>
      <c r="I1467" s="33"/>
      <c r="J1467" s="37"/>
    </row>
    <row r="1468" spans="1:10" x14ac:dyDescent="0.3">
      <c r="A1468" s="32" t="s">
        <v>19</v>
      </c>
      <c r="B1468" s="32">
        <f t="shared" ref="B1468:B1482" si="358">+B1467+1</f>
        <v>2045</v>
      </c>
      <c r="C1468" s="33" t="s">
        <v>40</v>
      </c>
      <c r="D1468" s="34" t="s">
        <v>2002</v>
      </c>
      <c r="E1468" s="35" t="str">
        <f t="shared" si="356"/>
        <v>PRBND'!</v>
      </c>
      <c r="F1468" s="34" t="str">
        <f t="shared" si="357"/>
        <v>C:\Users\jaime.benazar\Quorum Business Solutions\Ecopetrol Prometeo - Documents\Planning Space Implementation\3. Analysis &amp; Design\Design\FC22\DRR Jaime\Neiva CPI\[DINA TERCIARIOS_CF_SEC_New_27-Mar-2024.xlsx]D-PRBND'!</v>
      </c>
      <c r="G1468" s="32" t="s">
        <v>120</v>
      </c>
      <c r="H1468" s="33"/>
      <c r="I1468" s="33"/>
      <c r="J1468" s="37"/>
    </row>
    <row r="1469" spans="1:10" x14ac:dyDescent="0.3">
      <c r="A1469" s="32" t="s">
        <v>19</v>
      </c>
      <c r="B1469" s="32">
        <f t="shared" si="358"/>
        <v>2046</v>
      </c>
      <c r="C1469" s="33" t="s">
        <v>40</v>
      </c>
      <c r="D1469" s="34" t="s">
        <v>2002</v>
      </c>
      <c r="E1469" s="35" t="str">
        <f t="shared" si="356"/>
        <v>PRBND'!</v>
      </c>
      <c r="F1469" s="34" t="str">
        <f t="shared" si="357"/>
        <v>C:\Users\jaime.benazar\Quorum Business Solutions\Ecopetrol Prometeo - Documents\Planning Space Implementation\3. Analysis &amp; Design\Design\FC22\DRR Jaime\Neiva CPI\[DINA TERCIARIOS_CF_SEC_New_27-Mar-2024.xlsx]D-PRBND'!</v>
      </c>
      <c r="G1469" s="32" t="s">
        <v>120</v>
      </c>
      <c r="H1469" s="33"/>
      <c r="I1469" s="33"/>
      <c r="J1469" s="37"/>
    </row>
    <row r="1470" spans="1:10" x14ac:dyDescent="0.3">
      <c r="A1470" s="32" t="s">
        <v>19</v>
      </c>
      <c r="B1470" s="32">
        <f t="shared" si="358"/>
        <v>2047</v>
      </c>
      <c r="C1470" s="33" t="s">
        <v>40</v>
      </c>
      <c r="D1470" s="34" t="s">
        <v>2002</v>
      </c>
      <c r="E1470" s="35" t="str">
        <f t="shared" si="356"/>
        <v>PRBND'!</v>
      </c>
      <c r="F1470" s="34" t="str">
        <f t="shared" si="357"/>
        <v>C:\Users\jaime.benazar\Quorum Business Solutions\Ecopetrol Prometeo - Documents\Planning Space Implementation\3. Analysis &amp; Design\Design\FC22\DRR Jaime\Neiva CPI\[DINA TERCIARIOS_CF_SEC_New_27-Mar-2024.xlsx]D-PRBND'!</v>
      </c>
      <c r="G1470" s="32" t="s">
        <v>120</v>
      </c>
      <c r="H1470" s="33"/>
      <c r="I1470" s="33"/>
      <c r="J1470" s="37"/>
    </row>
    <row r="1471" spans="1:10" x14ac:dyDescent="0.3">
      <c r="A1471" s="32" t="s">
        <v>19</v>
      </c>
      <c r="B1471" s="32">
        <f t="shared" si="358"/>
        <v>2048</v>
      </c>
      <c r="C1471" s="33" t="s">
        <v>40</v>
      </c>
      <c r="D1471" s="34" t="s">
        <v>2002</v>
      </c>
      <c r="E1471" s="35" t="str">
        <f t="shared" si="356"/>
        <v>PRBND'!</v>
      </c>
      <c r="F1471" s="34" t="str">
        <f t="shared" si="357"/>
        <v>C:\Users\jaime.benazar\Quorum Business Solutions\Ecopetrol Prometeo - Documents\Planning Space Implementation\3. Analysis &amp; Design\Design\FC22\DRR Jaime\Neiva CPI\[DINA TERCIARIOS_CF_SEC_New_27-Mar-2024.xlsx]D-PRBND'!</v>
      </c>
      <c r="G1471" s="32" t="s">
        <v>120</v>
      </c>
      <c r="H1471" s="33"/>
      <c r="I1471" s="33"/>
      <c r="J1471" s="37"/>
    </row>
    <row r="1472" spans="1:10" x14ac:dyDescent="0.3">
      <c r="A1472" s="32" t="s">
        <v>19</v>
      </c>
      <c r="B1472" s="32">
        <f t="shared" si="358"/>
        <v>2049</v>
      </c>
      <c r="C1472" s="33" t="s">
        <v>40</v>
      </c>
      <c r="D1472" s="34" t="s">
        <v>2002</v>
      </c>
      <c r="E1472" s="35" t="str">
        <f t="shared" si="356"/>
        <v>PRBND'!</v>
      </c>
      <c r="F1472" s="34" t="str">
        <f t="shared" si="357"/>
        <v>C:\Users\jaime.benazar\Quorum Business Solutions\Ecopetrol Prometeo - Documents\Planning Space Implementation\3. Analysis &amp; Design\Design\FC22\DRR Jaime\Neiva CPI\[DINA TERCIARIOS_CF_SEC_New_27-Mar-2024.xlsx]D-PRBND'!</v>
      </c>
      <c r="G1472" s="32" t="s">
        <v>120</v>
      </c>
      <c r="H1472" s="33"/>
      <c r="I1472" s="33"/>
      <c r="J1472" s="37"/>
    </row>
    <row r="1473" spans="1:10" x14ac:dyDescent="0.3">
      <c r="A1473" s="32" t="s">
        <v>19</v>
      </c>
      <c r="B1473" s="32">
        <f t="shared" si="358"/>
        <v>2050</v>
      </c>
      <c r="C1473" s="33" t="s">
        <v>40</v>
      </c>
      <c r="D1473" s="34" t="s">
        <v>2002</v>
      </c>
      <c r="E1473" s="35" t="str">
        <f t="shared" si="356"/>
        <v>PRBND'!</v>
      </c>
      <c r="F1473" s="34" t="str">
        <f t="shared" si="357"/>
        <v>C:\Users\jaime.benazar\Quorum Business Solutions\Ecopetrol Prometeo - Documents\Planning Space Implementation\3. Analysis &amp; Design\Design\FC22\DRR Jaime\Neiva CPI\[DINA TERCIARIOS_CF_SEC_New_27-Mar-2024.xlsx]D-PRBND'!</v>
      </c>
      <c r="G1473" s="32" t="s">
        <v>120</v>
      </c>
      <c r="H1473" s="33"/>
      <c r="I1473" s="33"/>
      <c r="J1473" s="37"/>
    </row>
    <row r="1474" spans="1:10" x14ac:dyDescent="0.3">
      <c r="A1474" s="32" t="s">
        <v>19</v>
      </c>
      <c r="B1474" s="32">
        <f t="shared" si="358"/>
        <v>2051</v>
      </c>
      <c r="C1474" s="33" t="s">
        <v>40</v>
      </c>
      <c r="D1474" s="34" t="s">
        <v>2002</v>
      </c>
      <c r="E1474" s="35" t="str">
        <f t="shared" si="356"/>
        <v>PRBND'!</v>
      </c>
      <c r="F1474" s="34" t="str">
        <f t="shared" si="357"/>
        <v>C:\Users\jaime.benazar\Quorum Business Solutions\Ecopetrol Prometeo - Documents\Planning Space Implementation\3. Analysis &amp; Design\Design\FC22\DRR Jaime\Neiva CPI\[DINA TERCIARIOS_CF_SEC_New_27-Mar-2024.xlsx]D-PRBND'!</v>
      </c>
      <c r="G1474" s="32" t="s">
        <v>120</v>
      </c>
      <c r="H1474" s="33"/>
      <c r="I1474" s="33"/>
      <c r="J1474" s="37"/>
    </row>
    <row r="1475" spans="1:10" x14ac:dyDescent="0.3">
      <c r="A1475" s="32" t="s">
        <v>19</v>
      </c>
      <c r="B1475" s="32">
        <f t="shared" si="358"/>
        <v>2052</v>
      </c>
      <c r="C1475" s="33" t="s">
        <v>40</v>
      </c>
      <c r="D1475" s="34" t="s">
        <v>2002</v>
      </c>
      <c r="E1475" s="35" t="str">
        <f t="shared" si="356"/>
        <v>PRBND'!</v>
      </c>
      <c r="F1475" s="34" t="str">
        <f t="shared" si="357"/>
        <v>C:\Users\jaime.benazar\Quorum Business Solutions\Ecopetrol Prometeo - Documents\Planning Space Implementation\3. Analysis &amp; Design\Design\FC22\DRR Jaime\Neiva CPI\[DINA TERCIARIOS_CF_SEC_New_27-Mar-2024.xlsx]D-PRBND'!</v>
      </c>
      <c r="G1475" s="32" t="s">
        <v>120</v>
      </c>
      <c r="H1475" s="33"/>
      <c r="I1475" s="33"/>
      <c r="J1475" s="37"/>
    </row>
    <row r="1476" spans="1:10" x14ac:dyDescent="0.3">
      <c r="A1476" s="32" t="s">
        <v>19</v>
      </c>
      <c r="B1476" s="32">
        <f t="shared" si="358"/>
        <v>2053</v>
      </c>
      <c r="C1476" s="33" t="s">
        <v>40</v>
      </c>
      <c r="D1476" s="34" t="s">
        <v>2002</v>
      </c>
      <c r="E1476" s="35" t="str">
        <f t="shared" si="356"/>
        <v>PRBND'!</v>
      </c>
      <c r="F1476" s="34" t="str">
        <f t="shared" si="357"/>
        <v>C:\Users\jaime.benazar\Quorum Business Solutions\Ecopetrol Prometeo - Documents\Planning Space Implementation\3. Analysis &amp; Design\Design\FC22\DRR Jaime\Neiva CPI\[DINA TERCIARIOS_CF_SEC_New_27-Mar-2024.xlsx]D-PRBND'!</v>
      </c>
      <c r="G1476" s="32" t="s">
        <v>120</v>
      </c>
      <c r="H1476" s="33"/>
      <c r="I1476" s="33"/>
      <c r="J1476" s="37"/>
    </row>
    <row r="1477" spans="1:10" x14ac:dyDescent="0.3">
      <c r="A1477" s="32" t="s">
        <v>19</v>
      </c>
      <c r="B1477" s="32">
        <f t="shared" si="358"/>
        <v>2054</v>
      </c>
      <c r="C1477" s="33" t="s">
        <v>40</v>
      </c>
      <c r="D1477" s="34" t="s">
        <v>2002</v>
      </c>
      <c r="E1477" s="35" t="str">
        <f t="shared" si="356"/>
        <v>PRBND'!</v>
      </c>
      <c r="F1477" s="34" t="str">
        <f t="shared" si="357"/>
        <v>C:\Users\jaime.benazar\Quorum Business Solutions\Ecopetrol Prometeo - Documents\Planning Space Implementation\3. Analysis &amp; Design\Design\FC22\DRR Jaime\Neiva CPI\[DINA TERCIARIOS_CF_SEC_New_27-Mar-2024.xlsx]D-PRBND'!</v>
      </c>
      <c r="G1477" s="32" t="s">
        <v>120</v>
      </c>
      <c r="H1477" s="33"/>
      <c r="I1477" s="33"/>
      <c r="J1477" s="37"/>
    </row>
    <row r="1478" spans="1:10" x14ac:dyDescent="0.3">
      <c r="A1478" s="32" t="s">
        <v>19</v>
      </c>
      <c r="B1478" s="32">
        <f t="shared" si="358"/>
        <v>2055</v>
      </c>
      <c r="C1478" s="33" t="s">
        <v>40</v>
      </c>
      <c r="D1478" s="34" t="s">
        <v>2002</v>
      </c>
      <c r="E1478" s="35" t="str">
        <f t="shared" si="356"/>
        <v>PRBND'!</v>
      </c>
      <c r="F1478" s="34" t="str">
        <f t="shared" si="357"/>
        <v>C:\Users\jaime.benazar\Quorum Business Solutions\Ecopetrol Prometeo - Documents\Planning Space Implementation\3. Analysis &amp; Design\Design\FC22\DRR Jaime\Neiva CPI\[DINA TERCIARIOS_CF_SEC_New_27-Mar-2024.xlsx]D-PRBND'!</v>
      </c>
      <c r="G1478" s="32" t="s">
        <v>120</v>
      </c>
      <c r="H1478" s="33"/>
      <c r="I1478" s="33"/>
      <c r="J1478" s="37"/>
    </row>
    <row r="1479" spans="1:10" x14ac:dyDescent="0.3">
      <c r="A1479" s="32" t="s">
        <v>19</v>
      </c>
      <c r="B1479" s="32">
        <f t="shared" si="358"/>
        <v>2056</v>
      </c>
      <c r="C1479" s="33" t="s">
        <v>40</v>
      </c>
      <c r="D1479" s="34" t="s">
        <v>2002</v>
      </c>
      <c r="E1479" s="35" t="str">
        <f t="shared" si="356"/>
        <v>PRBND'!</v>
      </c>
      <c r="F1479" s="34" t="str">
        <f t="shared" si="357"/>
        <v>C:\Users\jaime.benazar\Quorum Business Solutions\Ecopetrol Prometeo - Documents\Planning Space Implementation\3. Analysis &amp; Design\Design\FC22\DRR Jaime\Neiva CPI\[DINA TERCIARIOS_CF_SEC_New_27-Mar-2024.xlsx]D-PRBND'!</v>
      </c>
      <c r="G1479" s="32" t="s">
        <v>120</v>
      </c>
      <c r="H1479" s="33"/>
      <c r="I1479" s="33"/>
      <c r="J1479" s="37"/>
    </row>
    <row r="1480" spans="1:10" x14ac:dyDescent="0.3">
      <c r="A1480" s="32" t="s">
        <v>19</v>
      </c>
      <c r="B1480" s="32">
        <f t="shared" si="358"/>
        <v>2057</v>
      </c>
      <c r="C1480" s="33" t="s">
        <v>40</v>
      </c>
      <c r="D1480" s="34" t="s">
        <v>2002</v>
      </c>
      <c r="E1480" s="35" t="str">
        <f t="shared" si="356"/>
        <v>PRBND'!</v>
      </c>
      <c r="F1480" s="34" t="str">
        <f t="shared" si="357"/>
        <v>C:\Users\jaime.benazar\Quorum Business Solutions\Ecopetrol Prometeo - Documents\Planning Space Implementation\3. Analysis &amp; Design\Design\FC22\DRR Jaime\Neiva CPI\[DINA TERCIARIOS_CF_SEC_New_27-Mar-2024.xlsx]D-PRBND'!</v>
      </c>
      <c r="G1480" s="32" t="s">
        <v>120</v>
      </c>
      <c r="H1480" s="33"/>
      <c r="I1480" s="33"/>
      <c r="J1480" s="37"/>
    </row>
    <row r="1481" spans="1:10" x14ac:dyDescent="0.3">
      <c r="A1481" s="32" t="s">
        <v>19</v>
      </c>
      <c r="B1481" s="32">
        <f t="shared" si="358"/>
        <v>2058</v>
      </c>
      <c r="C1481" s="33" t="s">
        <v>40</v>
      </c>
      <c r="D1481" s="34" t="s">
        <v>2002</v>
      </c>
      <c r="E1481" s="35" t="str">
        <f t="shared" si="356"/>
        <v>PRBND'!</v>
      </c>
      <c r="F1481" s="34" t="str">
        <f t="shared" si="357"/>
        <v>C:\Users\jaime.benazar\Quorum Business Solutions\Ecopetrol Prometeo - Documents\Planning Space Implementation\3. Analysis &amp; Design\Design\FC22\DRR Jaime\Neiva CPI\[DINA TERCIARIOS_CF_SEC_New_27-Mar-2024.xlsx]D-PRBND'!</v>
      </c>
      <c r="G1481" s="32" t="s">
        <v>120</v>
      </c>
      <c r="H1481" s="33"/>
      <c r="I1481" s="33"/>
      <c r="J1481" s="37"/>
    </row>
    <row r="1482" spans="1:10" x14ac:dyDescent="0.3">
      <c r="A1482" s="32" t="s">
        <v>19</v>
      </c>
      <c r="B1482" s="32">
        <f t="shared" si="358"/>
        <v>2059</v>
      </c>
      <c r="C1482" s="33" t="s">
        <v>40</v>
      </c>
      <c r="D1482" s="34" t="s">
        <v>2002</v>
      </c>
      <c r="E1482" s="35" t="str">
        <f t="shared" si="356"/>
        <v>PRBND'!</v>
      </c>
      <c r="F1482" s="34" t="str">
        <f t="shared" si="357"/>
        <v>C:\Users\jaime.benazar\Quorum Business Solutions\Ecopetrol Prometeo - Documents\Planning Space Implementation\3. Analysis &amp; Design\Design\FC22\DRR Jaime\Neiva CPI\[DINA TERCIARIOS_CF_SEC_New_27-Mar-2024.xlsx]D-PRBND'!</v>
      </c>
      <c r="G1482" s="32" t="s">
        <v>120</v>
      </c>
      <c r="H1482" s="33"/>
      <c r="I1482" s="33"/>
      <c r="J1482" s="37"/>
    </row>
    <row r="1483" spans="1:10" x14ac:dyDescent="0.3">
      <c r="A1483" s="32" t="s">
        <v>26</v>
      </c>
      <c r="B1483" s="32"/>
      <c r="C1483" s="33" t="s">
        <v>40</v>
      </c>
      <c r="D1483" s="34"/>
      <c r="E1483" s="35"/>
      <c r="F1483" s="34"/>
      <c r="G1483" s="32"/>
      <c r="H1483" s="33"/>
      <c r="I1483" s="33"/>
      <c r="J1483" s="33"/>
    </row>
    <row r="1484" spans="1:10" x14ac:dyDescent="0.3">
      <c r="A1484" s="32" t="s">
        <v>20</v>
      </c>
      <c r="B1484" s="32">
        <v>2023</v>
      </c>
      <c r="C1484" s="33" t="s">
        <v>40</v>
      </c>
      <c r="D1484" s="34" t="s">
        <v>2002</v>
      </c>
      <c r="E1484" s="35" t="str">
        <f t="shared" si="327"/>
        <v>PRB'!</v>
      </c>
      <c r="F1484" s="34" t="str">
        <f t="shared" si="328"/>
        <v>C:\Users\jaime.benazar\Quorum Business Solutions\Ecopetrol Prometeo - Documents\Planning Space Implementation\3. Analysis &amp; Design\Design\FC22\DRR Jaime\Neiva CPI\[DINA TERCIARIOS_CF_SEC_New_27-Mar-2024.xlsx]D-PRB'!</v>
      </c>
      <c r="G1484" s="32" t="s">
        <v>120</v>
      </c>
      <c r="H1484" s="33">
        <v>12</v>
      </c>
      <c r="I1484" s="33" t="str">
        <f t="shared" si="329"/>
        <v>='C:\Users\jaime.benazar\Quorum Business Solutions\Ecopetrol Prometeo - Documents\Planning Space Implementation\3. Analysis &amp; Design\Design\FC22\DRR Jaime\Neiva CPI\[DINA TERCIARIOS_CF_SEC_New_27-Mar-2024.xlsx]D-PRB'!$CA$12</v>
      </c>
      <c r="J1484" s="37" t="s">
        <v>2669</v>
      </c>
    </row>
    <row r="1485" spans="1:10" x14ac:dyDescent="0.3">
      <c r="A1485" s="32" t="s">
        <v>20</v>
      </c>
      <c r="B1485" s="32">
        <f>+B1484+1</f>
        <v>2024</v>
      </c>
      <c r="C1485" s="33" t="s">
        <v>40</v>
      </c>
      <c r="D1485" s="34" t="s">
        <v>2002</v>
      </c>
      <c r="E1485" s="35" t="str">
        <f t="shared" si="327"/>
        <v>PRB'!</v>
      </c>
      <c r="F1485" s="34" t="str">
        <f t="shared" si="328"/>
        <v>C:\Users\jaime.benazar\Quorum Business Solutions\Ecopetrol Prometeo - Documents\Planning Space Implementation\3. Analysis &amp; Design\Design\FC22\DRR Jaime\Neiva CPI\[DINA TERCIARIOS_CF_SEC_New_27-Mar-2024.xlsx]D-PRB'!</v>
      </c>
      <c r="G1485" s="32" t="s">
        <v>120</v>
      </c>
      <c r="H1485" s="33">
        <f t="shared" ref="H1485:H1504" si="359">IF(A1485&lt;&gt;A1484,12,H1484+1)</f>
        <v>13</v>
      </c>
      <c r="I1485" s="33" t="str">
        <f t="shared" si="329"/>
        <v>='C:\Users\jaime.benazar\Quorum Business Solutions\Ecopetrol Prometeo - Documents\Planning Space Implementation\3. Analysis &amp; Design\Design\FC22\DRR Jaime\Neiva CPI\[DINA TERCIARIOS_CF_SEC_New_27-Mar-2024.xlsx]D-PRB'!$CA$13</v>
      </c>
      <c r="J1485" s="37" t="s">
        <v>2670</v>
      </c>
    </row>
    <row r="1486" spans="1:10" x14ac:dyDescent="0.3">
      <c r="A1486" s="32" t="s">
        <v>20</v>
      </c>
      <c r="B1486" s="32">
        <f t="shared" ref="B1486:B1497" si="360">+B1485+1</f>
        <v>2025</v>
      </c>
      <c r="C1486" s="33" t="s">
        <v>40</v>
      </c>
      <c r="D1486" s="34" t="s">
        <v>2002</v>
      </c>
      <c r="E1486" s="35" t="str">
        <f t="shared" si="327"/>
        <v>PRB'!</v>
      </c>
      <c r="F1486" s="34" t="str">
        <f t="shared" si="328"/>
        <v>C:\Users\jaime.benazar\Quorum Business Solutions\Ecopetrol Prometeo - Documents\Planning Space Implementation\3. Analysis &amp; Design\Design\FC22\DRR Jaime\Neiva CPI\[DINA TERCIARIOS_CF_SEC_New_27-Mar-2024.xlsx]D-PRB'!</v>
      </c>
      <c r="G1486" s="32" t="s">
        <v>120</v>
      </c>
      <c r="H1486" s="33">
        <f t="shared" si="359"/>
        <v>14</v>
      </c>
      <c r="I1486" s="33" t="str">
        <f t="shared" si="329"/>
        <v>='C:\Users\jaime.benazar\Quorum Business Solutions\Ecopetrol Prometeo - Documents\Planning Space Implementation\3. Analysis &amp; Design\Design\FC22\DRR Jaime\Neiva CPI\[DINA TERCIARIOS_CF_SEC_New_27-Mar-2024.xlsx]D-PRB'!$CA$14</v>
      </c>
      <c r="J1486" s="37" t="s">
        <v>2671</v>
      </c>
    </row>
    <row r="1487" spans="1:10" x14ac:dyDescent="0.3">
      <c r="A1487" s="32" t="s">
        <v>20</v>
      </c>
      <c r="B1487" s="32">
        <f t="shared" si="360"/>
        <v>2026</v>
      </c>
      <c r="C1487" s="33" t="s">
        <v>40</v>
      </c>
      <c r="D1487" s="34" t="s">
        <v>2002</v>
      </c>
      <c r="E1487" s="35" t="str">
        <f t="shared" si="327"/>
        <v>PRB'!</v>
      </c>
      <c r="F1487" s="34" t="str">
        <f t="shared" si="328"/>
        <v>C:\Users\jaime.benazar\Quorum Business Solutions\Ecopetrol Prometeo - Documents\Planning Space Implementation\3. Analysis &amp; Design\Design\FC22\DRR Jaime\Neiva CPI\[DINA TERCIARIOS_CF_SEC_New_27-Mar-2024.xlsx]D-PRB'!</v>
      </c>
      <c r="G1487" s="32" t="s">
        <v>120</v>
      </c>
      <c r="H1487" s="33">
        <f t="shared" si="359"/>
        <v>15</v>
      </c>
      <c r="I1487" s="33" t="str">
        <f t="shared" si="329"/>
        <v>='C:\Users\jaime.benazar\Quorum Business Solutions\Ecopetrol Prometeo - Documents\Planning Space Implementation\3. Analysis &amp; Design\Design\FC22\DRR Jaime\Neiva CPI\[DINA TERCIARIOS_CF_SEC_New_27-Mar-2024.xlsx]D-PRB'!$CA$15</v>
      </c>
      <c r="J1487" s="37" t="s">
        <v>2672</v>
      </c>
    </row>
    <row r="1488" spans="1:10" x14ac:dyDescent="0.3">
      <c r="A1488" s="32" t="s">
        <v>20</v>
      </c>
      <c r="B1488" s="32">
        <f t="shared" si="360"/>
        <v>2027</v>
      </c>
      <c r="C1488" s="33" t="s">
        <v>40</v>
      </c>
      <c r="D1488" s="34" t="s">
        <v>2002</v>
      </c>
      <c r="E1488" s="35" t="str">
        <f t="shared" si="327"/>
        <v>PRB'!</v>
      </c>
      <c r="F1488" s="34" t="str">
        <f t="shared" si="328"/>
        <v>C:\Users\jaime.benazar\Quorum Business Solutions\Ecopetrol Prometeo - Documents\Planning Space Implementation\3. Analysis &amp; Design\Design\FC22\DRR Jaime\Neiva CPI\[DINA TERCIARIOS_CF_SEC_New_27-Mar-2024.xlsx]D-PRB'!</v>
      </c>
      <c r="G1488" s="32" t="s">
        <v>120</v>
      </c>
      <c r="H1488" s="33">
        <f t="shared" si="359"/>
        <v>16</v>
      </c>
      <c r="I1488" s="33" t="str">
        <f t="shared" si="329"/>
        <v>='C:\Users\jaime.benazar\Quorum Business Solutions\Ecopetrol Prometeo - Documents\Planning Space Implementation\3. Analysis &amp; Design\Design\FC22\DRR Jaime\Neiva CPI\[DINA TERCIARIOS_CF_SEC_New_27-Mar-2024.xlsx]D-PRB'!$CA$16</v>
      </c>
      <c r="J1488" s="37" t="s">
        <v>2673</v>
      </c>
    </row>
    <row r="1489" spans="1:10" x14ac:dyDescent="0.3">
      <c r="A1489" s="32" t="s">
        <v>20</v>
      </c>
      <c r="B1489" s="32">
        <f t="shared" si="360"/>
        <v>2028</v>
      </c>
      <c r="C1489" s="33" t="s">
        <v>40</v>
      </c>
      <c r="D1489" s="34" t="s">
        <v>2002</v>
      </c>
      <c r="E1489" s="35" t="str">
        <f t="shared" si="327"/>
        <v>PRB'!</v>
      </c>
      <c r="F1489" s="34" t="str">
        <f t="shared" si="328"/>
        <v>C:\Users\jaime.benazar\Quorum Business Solutions\Ecopetrol Prometeo - Documents\Planning Space Implementation\3. Analysis &amp; Design\Design\FC22\DRR Jaime\Neiva CPI\[DINA TERCIARIOS_CF_SEC_New_27-Mar-2024.xlsx]D-PRB'!</v>
      </c>
      <c r="G1489" s="32" t="s">
        <v>120</v>
      </c>
      <c r="H1489" s="33">
        <f t="shared" si="359"/>
        <v>17</v>
      </c>
      <c r="I1489" s="33" t="str">
        <f t="shared" si="329"/>
        <v>='C:\Users\jaime.benazar\Quorum Business Solutions\Ecopetrol Prometeo - Documents\Planning Space Implementation\3. Analysis &amp; Design\Design\FC22\DRR Jaime\Neiva CPI\[DINA TERCIARIOS_CF_SEC_New_27-Mar-2024.xlsx]D-PRB'!$CA$17</v>
      </c>
      <c r="J1489" s="37" t="s">
        <v>2674</v>
      </c>
    </row>
    <row r="1490" spans="1:10" x14ac:dyDescent="0.3">
      <c r="A1490" s="32" t="s">
        <v>20</v>
      </c>
      <c r="B1490" s="32">
        <f t="shared" si="360"/>
        <v>2029</v>
      </c>
      <c r="C1490" s="33" t="s">
        <v>40</v>
      </c>
      <c r="D1490" s="34" t="s">
        <v>2002</v>
      </c>
      <c r="E1490" s="35" t="str">
        <f t="shared" si="327"/>
        <v>PRB'!</v>
      </c>
      <c r="F1490" s="34" t="str">
        <f t="shared" si="328"/>
        <v>C:\Users\jaime.benazar\Quorum Business Solutions\Ecopetrol Prometeo - Documents\Planning Space Implementation\3. Analysis &amp; Design\Design\FC22\DRR Jaime\Neiva CPI\[DINA TERCIARIOS_CF_SEC_New_27-Mar-2024.xlsx]D-PRB'!</v>
      </c>
      <c r="G1490" s="32" t="s">
        <v>120</v>
      </c>
      <c r="H1490" s="33">
        <f t="shared" si="359"/>
        <v>18</v>
      </c>
      <c r="I1490" s="33" t="str">
        <f t="shared" si="329"/>
        <v>='C:\Users\jaime.benazar\Quorum Business Solutions\Ecopetrol Prometeo - Documents\Planning Space Implementation\3. Analysis &amp; Design\Design\FC22\DRR Jaime\Neiva CPI\[DINA TERCIARIOS_CF_SEC_New_27-Mar-2024.xlsx]D-PRB'!$CA$18</v>
      </c>
      <c r="J1490" s="37" t="s">
        <v>2675</v>
      </c>
    </row>
    <row r="1491" spans="1:10" x14ac:dyDescent="0.3">
      <c r="A1491" s="32" t="s">
        <v>20</v>
      </c>
      <c r="B1491" s="32">
        <f t="shared" si="360"/>
        <v>2030</v>
      </c>
      <c r="C1491" s="33" t="s">
        <v>40</v>
      </c>
      <c r="D1491" s="34" t="s">
        <v>2002</v>
      </c>
      <c r="E1491" s="35" t="str">
        <f t="shared" si="327"/>
        <v>PRB'!</v>
      </c>
      <c r="F1491" s="34" t="str">
        <f t="shared" si="328"/>
        <v>C:\Users\jaime.benazar\Quorum Business Solutions\Ecopetrol Prometeo - Documents\Planning Space Implementation\3. Analysis &amp; Design\Design\FC22\DRR Jaime\Neiva CPI\[DINA TERCIARIOS_CF_SEC_New_27-Mar-2024.xlsx]D-PRB'!</v>
      </c>
      <c r="G1491" s="32" t="s">
        <v>120</v>
      </c>
      <c r="H1491" s="33">
        <f t="shared" si="359"/>
        <v>19</v>
      </c>
      <c r="I1491" s="33" t="str">
        <f t="shared" si="329"/>
        <v>='C:\Users\jaime.benazar\Quorum Business Solutions\Ecopetrol Prometeo - Documents\Planning Space Implementation\3. Analysis &amp; Design\Design\FC22\DRR Jaime\Neiva CPI\[DINA TERCIARIOS_CF_SEC_New_27-Mar-2024.xlsx]D-PRB'!$CA$19</v>
      </c>
      <c r="J1491" s="37" t="s">
        <v>2676</v>
      </c>
    </row>
    <row r="1492" spans="1:10" x14ac:dyDescent="0.3">
      <c r="A1492" s="32" t="s">
        <v>20</v>
      </c>
      <c r="B1492" s="32">
        <f t="shared" si="360"/>
        <v>2031</v>
      </c>
      <c r="C1492" s="33" t="s">
        <v>40</v>
      </c>
      <c r="D1492" s="34" t="s">
        <v>2002</v>
      </c>
      <c r="E1492" s="35" t="str">
        <f t="shared" si="327"/>
        <v>PRB'!</v>
      </c>
      <c r="F1492" s="34" t="str">
        <f t="shared" si="328"/>
        <v>C:\Users\jaime.benazar\Quorum Business Solutions\Ecopetrol Prometeo - Documents\Planning Space Implementation\3. Analysis &amp; Design\Design\FC22\DRR Jaime\Neiva CPI\[DINA TERCIARIOS_CF_SEC_New_27-Mar-2024.xlsx]D-PRB'!</v>
      </c>
      <c r="G1492" s="32" t="s">
        <v>120</v>
      </c>
      <c r="H1492" s="33">
        <f t="shared" si="359"/>
        <v>20</v>
      </c>
      <c r="I1492" s="33" t="str">
        <f t="shared" si="329"/>
        <v>='C:\Users\jaime.benazar\Quorum Business Solutions\Ecopetrol Prometeo - Documents\Planning Space Implementation\3. Analysis &amp; Design\Design\FC22\DRR Jaime\Neiva CPI\[DINA TERCIARIOS_CF_SEC_New_27-Mar-2024.xlsx]D-PRB'!$CA$20</v>
      </c>
      <c r="J1492" s="37" t="s">
        <v>2677</v>
      </c>
    </row>
    <row r="1493" spans="1:10" x14ac:dyDescent="0.3">
      <c r="A1493" s="32" t="s">
        <v>20</v>
      </c>
      <c r="B1493" s="32">
        <f t="shared" si="360"/>
        <v>2032</v>
      </c>
      <c r="C1493" s="33" t="s">
        <v>40</v>
      </c>
      <c r="D1493" s="34" t="s">
        <v>2002</v>
      </c>
      <c r="E1493" s="35" t="str">
        <f t="shared" si="327"/>
        <v>PRB'!</v>
      </c>
      <c r="F1493" s="34" t="str">
        <f t="shared" si="328"/>
        <v>C:\Users\jaime.benazar\Quorum Business Solutions\Ecopetrol Prometeo - Documents\Planning Space Implementation\3. Analysis &amp; Design\Design\FC22\DRR Jaime\Neiva CPI\[DINA TERCIARIOS_CF_SEC_New_27-Mar-2024.xlsx]D-PRB'!</v>
      </c>
      <c r="G1493" s="32" t="s">
        <v>120</v>
      </c>
      <c r="H1493" s="33">
        <f t="shared" si="359"/>
        <v>21</v>
      </c>
      <c r="I1493" s="33" t="str">
        <f t="shared" si="329"/>
        <v>='C:\Users\jaime.benazar\Quorum Business Solutions\Ecopetrol Prometeo - Documents\Planning Space Implementation\3. Analysis &amp; Design\Design\FC22\DRR Jaime\Neiva CPI\[DINA TERCIARIOS_CF_SEC_New_27-Mar-2024.xlsx]D-PRB'!$CA$21</v>
      </c>
      <c r="J1493" s="37" t="s">
        <v>2678</v>
      </c>
    </row>
    <row r="1494" spans="1:10" x14ac:dyDescent="0.3">
      <c r="A1494" s="32" t="s">
        <v>20</v>
      </c>
      <c r="B1494" s="32">
        <f t="shared" si="360"/>
        <v>2033</v>
      </c>
      <c r="C1494" s="33" t="s">
        <v>40</v>
      </c>
      <c r="D1494" s="34" t="s">
        <v>2002</v>
      </c>
      <c r="E1494" s="35" t="str">
        <f t="shared" si="327"/>
        <v>PRB'!</v>
      </c>
      <c r="F1494" s="34" t="str">
        <f t="shared" si="328"/>
        <v>C:\Users\jaime.benazar\Quorum Business Solutions\Ecopetrol Prometeo - Documents\Planning Space Implementation\3. Analysis &amp; Design\Design\FC22\DRR Jaime\Neiva CPI\[DINA TERCIARIOS_CF_SEC_New_27-Mar-2024.xlsx]D-PRB'!</v>
      </c>
      <c r="G1494" s="32" t="s">
        <v>120</v>
      </c>
      <c r="H1494" s="33">
        <f t="shared" si="359"/>
        <v>22</v>
      </c>
      <c r="I1494" s="33" t="str">
        <f t="shared" si="329"/>
        <v>='C:\Users\jaime.benazar\Quorum Business Solutions\Ecopetrol Prometeo - Documents\Planning Space Implementation\3. Analysis &amp; Design\Design\FC22\DRR Jaime\Neiva CPI\[DINA TERCIARIOS_CF_SEC_New_27-Mar-2024.xlsx]D-PRB'!$CA$22</v>
      </c>
      <c r="J1494" s="37" t="s">
        <v>2679</v>
      </c>
    </row>
    <row r="1495" spans="1:10" x14ac:dyDescent="0.3">
      <c r="A1495" s="32" t="s">
        <v>20</v>
      </c>
      <c r="B1495" s="32">
        <f t="shared" si="360"/>
        <v>2034</v>
      </c>
      <c r="C1495" s="33" t="s">
        <v>40</v>
      </c>
      <c r="D1495" s="34" t="s">
        <v>2002</v>
      </c>
      <c r="E1495" s="35" t="str">
        <f t="shared" si="327"/>
        <v>PRB'!</v>
      </c>
      <c r="F1495" s="34" t="str">
        <f t="shared" si="328"/>
        <v>C:\Users\jaime.benazar\Quorum Business Solutions\Ecopetrol Prometeo - Documents\Planning Space Implementation\3. Analysis &amp; Design\Design\FC22\DRR Jaime\Neiva CPI\[DINA TERCIARIOS_CF_SEC_New_27-Mar-2024.xlsx]D-PRB'!</v>
      </c>
      <c r="G1495" s="32" t="s">
        <v>120</v>
      </c>
      <c r="H1495" s="33">
        <f t="shared" si="359"/>
        <v>23</v>
      </c>
      <c r="I1495" s="33" t="str">
        <f t="shared" si="329"/>
        <v>='C:\Users\jaime.benazar\Quorum Business Solutions\Ecopetrol Prometeo - Documents\Planning Space Implementation\3. Analysis &amp; Design\Design\FC22\DRR Jaime\Neiva CPI\[DINA TERCIARIOS_CF_SEC_New_27-Mar-2024.xlsx]D-PRB'!$CA$23</v>
      </c>
      <c r="J1495" s="37" t="s">
        <v>2680</v>
      </c>
    </row>
    <row r="1496" spans="1:10" x14ac:dyDescent="0.3">
      <c r="A1496" s="32" t="s">
        <v>20</v>
      </c>
      <c r="B1496" s="32">
        <f t="shared" si="360"/>
        <v>2035</v>
      </c>
      <c r="C1496" s="33" t="s">
        <v>40</v>
      </c>
      <c r="D1496" s="34" t="s">
        <v>2002</v>
      </c>
      <c r="E1496" s="35" t="str">
        <f t="shared" si="327"/>
        <v>PRB'!</v>
      </c>
      <c r="F1496" s="34" t="str">
        <f t="shared" si="328"/>
        <v>C:\Users\jaime.benazar\Quorum Business Solutions\Ecopetrol Prometeo - Documents\Planning Space Implementation\3. Analysis &amp; Design\Design\FC22\DRR Jaime\Neiva CPI\[DINA TERCIARIOS_CF_SEC_New_27-Mar-2024.xlsx]D-PRB'!</v>
      </c>
      <c r="G1496" s="32" t="s">
        <v>120</v>
      </c>
      <c r="H1496" s="33">
        <f t="shared" si="359"/>
        <v>24</v>
      </c>
      <c r="I1496" s="33" t="str">
        <f t="shared" si="329"/>
        <v>='C:\Users\jaime.benazar\Quorum Business Solutions\Ecopetrol Prometeo - Documents\Planning Space Implementation\3. Analysis &amp; Design\Design\FC22\DRR Jaime\Neiva CPI\[DINA TERCIARIOS_CF_SEC_New_27-Mar-2024.xlsx]D-PRB'!$CA$24</v>
      </c>
      <c r="J1496" s="37" t="s">
        <v>2681</v>
      </c>
    </row>
    <row r="1497" spans="1:10" x14ac:dyDescent="0.3">
      <c r="A1497" s="32" t="s">
        <v>20</v>
      </c>
      <c r="B1497" s="32">
        <f t="shared" si="360"/>
        <v>2036</v>
      </c>
      <c r="C1497" s="33" t="s">
        <v>40</v>
      </c>
      <c r="D1497" s="34" t="s">
        <v>2002</v>
      </c>
      <c r="E1497" s="35" t="str">
        <f t="shared" si="327"/>
        <v>PRB'!</v>
      </c>
      <c r="F1497" s="34" t="str">
        <f t="shared" si="328"/>
        <v>C:\Users\jaime.benazar\Quorum Business Solutions\Ecopetrol Prometeo - Documents\Planning Space Implementation\3. Analysis &amp; Design\Design\FC22\DRR Jaime\Neiva CPI\[DINA TERCIARIOS_CF_SEC_New_27-Mar-2024.xlsx]D-PRB'!</v>
      </c>
      <c r="G1497" s="32" t="s">
        <v>120</v>
      </c>
      <c r="H1497" s="33">
        <f t="shared" si="359"/>
        <v>25</v>
      </c>
      <c r="I1497" s="33" t="str">
        <f t="shared" si="329"/>
        <v>='C:\Users\jaime.benazar\Quorum Business Solutions\Ecopetrol Prometeo - Documents\Planning Space Implementation\3. Analysis &amp; Design\Design\FC22\DRR Jaime\Neiva CPI\[DINA TERCIARIOS_CF_SEC_New_27-Mar-2024.xlsx]D-PRB'!$CA$25</v>
      </c>
      <c r="J1497" s="37" t="s">
        <v>2682</v>
      </c>
    </row>
    <row r="1498" spans="1:10" x14ac:dyDescent="0.3">
      <c r="A1498" s="32" t="s">
        <v>20</v>
      </c>
      <c r="B1498" s="32">
        <f>+B1497+1</f>
        <v>2037</v>
      </c>
      <c r="C1498" s="33" t="s">
        <v>40</v>
      </c>
      <c r="D1498" s="34" t="s">
        <v>2002</v>
      </c>
      <c r="E1498" s="35" t="str">
        <f t="shared" si="327"/>
        <v>PRB'!</v>
      </c>
      <c r="F1498" s="34" t="str">
        <f t="shared" si="328"/>
        <v>C:\Users\jaime.benazar\Quorum Business Solutions\Ecopetrol Prometeo - Documents\Planning Space Implementation\3. Analysis &amp; Design\Design\FC22\DRR Jaime\Neiva CPI\[DINA TERCIARIOS_CF_SEC_New_27-Mar-2024.xlsx]D-PRB'!</v>
      </c>
      <c r="G1498" s="32" t="s">
        <v>120</v>
      </c>
      <c r="H1498" s="33">
        <f t="shared" si="359"/>
        <v>26</v>
      </c>
      <c r="I1498" s="33" t="str">
        <f t="shared" si="329"/>
        <v>='C:\Users\jaime.benazar\Quorum Business Solutions\Ecopetrol Prometeo - Documents\Planning Space Implementation\3. Analysis &amp; Design\Design\FC22\DRR Jaime\Neiva CPI\[DINA TERCIARIOS_CF_SEC_New_27-Mar-2024.xlsx]D-PRB'!$CA$26</v>
      </c>
      <c r="J1498" s="37" t="s">
        <v>2683</v>
      </c>
    </row>
    <row r="1499" spans="1:10" x14ac:dyDescent="0.3">
      <c r="A1499" s="32" t="s">
        <v>20</v>
      </c>
      <c r="B1499" s="32">
        <f t="shared" ref="B1499:B1501" si="361">+B1498+1</f>
        <v>2038</v>
      </c>
      <c r="C1499" s="33" t="s">
        <v>40</v>
      </c>
      <c r="D1499" s="34" t="s">
        <v>2002</v>
      </c>
      <c r="E1499" s="35" t="str">
        <f t="shared" si="327"/>
        <v>PRB'!</v>
      </c>
      <c r="F1499" s="34" t="str">
        <f t="shared" si="328"/>
        <v>C:\Users\jaime.benazar\Quorum Business Solutions\Ecopetrol Prometeo - Documents\Planning Space Implementation\3. Analysis &amp; Design\Design\FC22\DRR Jaime\Neiva CPI\[DINA TERCIARIOS_CF_SEC_New_27-Mar-2024.xlsx]D-PRB'!</v>
      </c>
      <c r="G1499" s="32" t="s">
        <v>120</v>
      </c>
      <c r="H1499" s="33">
        <f t="shared" si="359"/>
        <v>27</v>
      </c>
      <c r="I1499" s="33" t="str">
        <f t="shared" si="329"/>
        <v>='C:\Users\jaime.benazar\Quorum Business Solutions\Ecopetrol Prometeo - Documents\Planning Space Implementation\3. Analysis &amp; Design\Design\FC22\DRR Jaime\Neiva CPI\[DINA TERCIARIOS_CF_SEC_New_27-Mar-2024.xlsx]D-PRB'!$CA$27</v>
      </c>
      <c r="J1499" s="37" t="s">
        <v>2684</v>
      </c>
    </row>
    <row r="1500" spans="1:10" x14ac:dyDescent="0.3">
      <c r="A1500" s="32" t="s">
        <v>20</v>
      </c>
      <c r="B1500" s="32">
        <f t="shared" si="361"/>
        <v>2039</v>
      </c>
      <c r="C1500" s="33" t="s">
        <v>40</v>
      </c>
      <c r="D1500" s="34" t="s">
        <v>2002</v>
      </c>
      <c r="E1500" s="35" t="str">
        <f t="shared" si="327"/>
        <v>PRB'!</v>
      </c>
      <c r="F1500" s="34" t="str">
        <f t="shared" si="328"/>
        <v>C:\Users\jaime.benazar\Quorum Business Solutions\Ecopetrol Prometeo - Documents\Planning Space Implementation\3. Analysis &amp; Design\Design\FC22\DRR Jaime\Neiva CPI\[DINA TERCIARIOS_CF_SEC_New_27-Mar-2024.xlsx]D-PRB'!</v>
      </c>
      <c r="G1500" s="32" t="s">
        <v>120</v>
      </c>
      <c r="H1500" s="33">
        <f t="shared" si="359"/>
        <v>28</v>
      </c>
      <c r="I1500" s="33" t="str">
        <f t="shared" si="329"/>
        <v>='C:\Users\jaime.benazar\Quorum Business Solutions\Ecopetrol Prometeo - Documents\Planning Space Implementation\3. Analysis &amp; Design\Design\FC22\DRR Jaime\Neiva CPI\[DINA TERCIARIOS_CF_SEC_New_27-Mar-2024.xlsx]D-PRB'!$CA$28</v>
      </c>
      <c r="J1500" s="37" t="s">
        <v>2685</v>
      </c>
    </row>
    <row r="1501" spans="1:10" x14ac:dyDescent="0.3">
      <c r="A1501" s="32" t="s">
        <v>20</v>
      </c>
      <c r="B1501" s="32">
        <f t="shared" si="361"/>
        <v>2040</v>
      </c>
      <c r="C1501" s="33" t="s">
        <v>40</v>
      </c>
      <c r="D1501" s="34" t="s">
        <v>2002</v>
      </c>
      <c r="E1501" s="35" t="str">
        <f t="shared" si="327"/>
        <v>PRB'!</v>
      </c>
      <c r="F1501" s="34" t="str">
        <f t="shared" si="328"/>
        <v>C:\Users\jaime.benazar\Quorum Business Solutions\Ecopetrol Prometeo - Documents\Planning Space Implementation\3. Analysis &amp; Design\Design\FC22\DRR Jaime\Neiva CPI\[DINA TERCIARIOS_CF_SEC_New_27-Mar-2024.xlsx]D-PRB'!</v>
      </c>
      <c r="G1501" s="32" t="s">
        <v>120</v>
      </c>
      <c r="H1501" s="33">
        <f t="shared" si="359"/>
        <v>29</v>
      </c>
      <c r="I1501" s="33" t="str">
        <f t="shared" si="329"/>
        <v>='C:\Users\jaime.benazar\Quorum Business Solutions\Ecopetrol Prometeo - Documents\Planning Space Implementation\3. Analysis &amp; Design\Design\FC22\DRR Jaime\Neiva CPI\[DINA TERCIARIOS_CF_SEC_New_27-Mar-2024.xlsx]D-PRB'!$CA$29</v>
      </c>
      <c r="J1501" s="37" t="s">
        <v>2686</v>
      </c>
    </row>
    <row r="1502" spans="1:10" x14ac:dyDescent="0.3">
      <c r="A1502" s="32" t="s">
        <v>20</v>
      </c>
      <c r="B1502" s="32">
        <f>+B1501+1</f>
        <v>2041</v>
      </c>
      <c r="C1502" s="33" t="s">
        <v>40</v>
      </c>
      <c r="D1502" s="34" t="s">
        <v>2002</v>
      </c>
      <c r="E1502" s="35" t="str">
        <f t="shared" si="327"/>
        <v>PRB'!</v>
      </c>
      <c r="F1502" s="34" t="str">
        <f t="shared" si="328"/>
        <v>C:\Users\jaime.benazar\Quorum Business Solutions\Ecopetrol Prometeo - Documents\Planning Space Implementation\3. Analysis &amp; Design\Design\FC22\DRR Jaime\Neiva CPI\[DINA TERCIARIOS_CF_SEC_New_27-Mar-2024.xlsx]D-PRB'!</v>
      </c>
      <c r="G1502" s="32" t="s">
        <v>120</v>
      </c>
      <c r="H1502" s="33">
        <f t="shared" si="359"/>
        <v>30</v>
      </c>
      <c r="I1502" s="33" t="str">
        <f t="shared" si="329"/>
        <v>='C:\Users\jaime.benazar\Quorum Business Solutions\Ecopetrol Prometeo - Documents\Planning Space Implementation\3. Analysis &amp; Design\Design\FC22\DRR Jaime\Neiva CPI\[DINA TERCIARIOS_CF_SEC_New_27-Mar-2024.xlsx]D-PRB'!$CA$30</v>
      </c>
      <c r="J1502" s="37" t="s">
        <v>2687</v>
      </c>
    </row>
    <row r="1503" spans="1:10" x14ac:dyDescent="0.3">
      <c r="A1503" s="32" t="s">
        <v>20</v>
      </c>
      <c r="B1503" s="32">
        <f t="shared" ref="B1503:B1504" si="362">+B1502+1</f>
        <v>2042</v>
      </c>
      <c r="C1503" s="33" t="s">
        <v>40</v>
      </c>
      <c r="D1503" s="34" t="s">
        <v>2002</v>
      </c>
      <c r="E1503" s="35" t="str">
        <f t="shared" si="327"/>
        <v>PRB'!</v>
      </c>
      <c r="F1503" s="34" t="str">
        <f t="shared" si="328"/>
        <v>C:\Users\jaime.benazar\Quorum Business Solutions\Ecopetrol Prometeo - Documents\Planning Space Implementation\3. Analysis &amp; Design\Design\FC22\DRR Jaime\Neiva CPI\[DINA TERCIARIOS_CF_SEC_New_27-Mar-2024.xlsx]D-PRB'!</v>
      </c>
      <c r="G1503" s="32" t="s">
        <v>120</v>
      </c>
      <c r="H1503" s="33">
        <f t="shared" si="359"/>
        <v>31</v>
      </c>
      <c r="I1503" s="33" t="str">
        <f t="shared" si="329"/>
        <v>='C:\Users\jaime.benazar\Quorum Business Solutions\Ecopetrol Prometeo - Documents\Planning Space Implementation\3. Analysis &amp; Design\Design\FC22\DRR Jaime\Neiva CPI\[DINA TERCIARIOS_CF_SEC_New_27-Mar-2024.xlsx]D-PRB'!$CA$31</v>
      </c>
      <c r="J1503" s="37" t="s">
        <v>2688</v>
      </c>
    </row>
    <row r="1504" spans="1:10" x14ac:dyDescent="0.3">
      <c r="A1504" s="32" t="s">
        <v>20</v>
      </c>
      <c r="B1504" s="32">
        <f t="shared" si="362"/>
        <v>2043</v>
      </c>
      <c r="C1504" s="33" t="s">
        <v>40</v>
      </c>
      <c r="D1504" s="34" t="s">
        <v>2002</v>
      </c>
      <c r="E1504" s="35" t="str">
        <f t="shared" si="327"/>
        <v>PRB'!</v>
      </c>
      <c r="F1504" s="34" t="str">
        <f t="shared" si="328"/>
        <v>C:\Users\jaime.benazar\Quorum Business Solutions\Ecopetrol Prometeo - Documents\Planning Space Implementation\3. Analysis &amp; Design\Design\FC22\DRR Jaime\Neiva CPI\[DINA TERCIARIOS_CF_SEC_New_27-Mar-2024.xlsx]D-PRB'!</v>
      </c>
      <c r="G1504" s="32" t="s">
        <v>120</v>
      </c>
      <c r="H1504" s="33">
        <f t="shared" si="359"/>
        <v>32</v>
      </c>
      <c r="I1504" s="33" t="str">
        <f t="shared" si="329"/>
        <v>='C:\Users\jaime.benazar\Quorum Business Solutions\Ecopetrol Prometeo - Documents\Planning Space Implementation\3. Analysis &amp; Design\Design\FC22\DRR Jaime\Neiva CPI\[DINA TERCIARIOS_CF_SEC_New_27-Mar-2024.xlsx]D-PRB'!$CA$32</v>
      </c>
      <c r="J1504" s="37" t="s">
        <v>2689</v>
      </c>
    </row>
    <row r="1505" spans="1:10" x14ac:dyDescent="0.3">
      <c r="A1505" s="32" t="s">
        <v>20</v>
      </c>
      <c r="B1505" s="32">
        <f>+B1504+1</f>
        <v>2044</v>
      </c>
      <c r="C1505" s="33" t="s">
        <v>40</v>
      </c>
      <c r="D1505" s="34" t="s">
        <v>2002</v>
      </c>
      <c r="E1505" s="35" t="str">
        <f t="shared" ref="E1505:E1520" si="363">_xlfn.CONCAT(A1505,"'!")</f>
        <v>PRB'!</v>
      </c>
      <c r="F1505" s="34" t="str">
        <f t="shared" ref="F1505:F1520" si="364">_xlfn.CONCAT(D1505:E1505)</f>
        <v>C:\Users\jaime.benazar\Quorum Business Solutions\Ecopetrol Prometeo - Documents\Planning Space Implementation\3. Analysis &amp; Design\Design\FC22\DRR Jaime\Neiva CPI\[DINA TERCIARIOS_CF_SEC_New_27-Mar-2024.xlsx]D-PRB'!</v>
      </c>
      <c r="G1505" s="32" t="s">
        <v>120</v>
      </c>
      <c r="H1505" s="33">
        <f t="shared" ref="H1505:H1520" si="365">IF(A1505&lt;&gt;A1504,12,H1504+1)</f>
        <v>33</v>
      </c>
      <c r="I1505" s="33" t="str">
        <f t="shared" ref="I1505:I1520" si="366">_xlfn.CONCAT("='",F1505:H1505)</f>
        <v>='C:\Users\jaime.benazar\Quorum Business Solutions\Ecopetrol Prometeo - Documents\Planning Space Implementation\3. Analysis &amp; Design\Design\FC22\DRR Jaime\Neiva CPI\[DINA TERCIARIOS_CF_SEC_New_27-Mar-2024.xlsx]D-PRB'!$CA$33</v>
      </c>
      <c r="J1505" s="37" t="s">
        <v>2690</v>
      </c>
    </row>
    <row r="1506" spans="1:10" x14ac:dyDescent="0.3">
      <c r="A1506" s="32" t="s">
        <v>20</v>
      </c>
      <c r="B1506" s="32">
        <f t="shared" ref="B1506:B1520" si="367">+B1505+1</f>
        <v>2045</v>
      </c>
      <c r="C1506" s="33" t="s">
        <v>40</v>
      </c>
      <c r="D1506" s="34" t="s">
        <v>2002</v>
      </c>
      <c r="E1506" s="35" t="str">
        <f t="shared" si="363"/>
        <v>PRB'!</v>
      </c>
      <c r="F1506" s="34" t="str">
        <f t="shared" si="364"/>
        <v>C:\Users\jaime.benazar\Quorum Business Solutions\Ecopetrol Prometeo - Documents\Planning Space Implementation\3. Analysis &amp; Design\Design\FC22\DRR Jaime\Neiva CPI\[DINA TERCIARIOS_CF_SEC_New_27-Mar-2024.xlsx]D-PRB'!</v>
      </c>
      <c r="G1506" s="32" t="s">
        <v>120</v>
      </c>
      <c r="H1506" s="33">
        <f t="shared" si="365"/>
        <v>34</v>
      </c>
      <c r="I1506" s="33" t="str">
        <f t="shared" si="366"/>
        <v>='C:\Users\jaime.benazar\Quorum Business Solutions\Ecopetrol Prometeo - Documents\Planning Space Implementation\3. Analysis &amp; Design\Design\FC22\DRR Jaime\Neiva CPI\[DINA TERCIARIOS_CF_SEC_New_27-Mar-2024.xlsx]D-PRB'!$CA$34</v>
      </c>
      <c r="J1506" s="37" t="s">
        <v>2691</v>
      </c>
    </row>
    <row r="1507" spans="1:10" x14ac:dyDescent="0.3">
      <c r="A1507" s="32" t="s">
        <v>20</v>
      </c>
      <c r="B1507" s="32">
        <f t="shared" si="367"/>
        <v>2046</v>
      </c>
      <c r="C1507" s="33" t="s">
        <v>40</v>
      </c>
      <c r="D1507" s="34" t="s">
        <v>2002</v>
      </c>
      <c r="E1507" s="35" t="str">
        <f t="shared" si="363"/>
        <v>PRB'!</v>
      </c>
      <c r="F1507" s="34" t="str">
        <f t="shared" si="364"/>
        <v>C:\Users\jaime.benazar\Quorum Business Solutions\Ecopetrol Prometeo - Documents\Planning Space Implementation\3. Analysis &amp; Design\Design\FC22\DRR Jaime\Neiva CPI\[DINA TERCIARIOS_CF_SEC_New_27-Mar-2024.xlsx]D-PRB'!</v>
      </c>
      <c r="G1507" s="32" t="s">
        <v>120</v>
      </c>
      <c r="H1507" s="33">
        <f t="shared" si="365"/>
        <v>35</v>
      </c>
      <c r="I1507" s="33" t="str">
        <f t="shared" si="366"/>
        <v>='C:\Users\jaime.benazar\Quorum Business Solutions\Ecopetrol Prometeo - Documents\Planning Space Implementation\3. Analysis &amp; Design\Design\FC22\DRR Jaime\Neiva CPI\[DINA TERCIARIOS_CF_SEC_New_27-Mar-2024.xlsx]D-PRB'!$CA$35</v>
      </c>
      <c r="J1507" s="37" t="s">
        <v>2692</v>
      </c>
    </row>
    <row r="1508" spans="1:10" x14ac:dyDescent="0.3">
      <c r="A1508" s="32" t="s">
        <v>20</v>
      </c>
      <c r="B1508" s="32">
        <f t="shared" si="367"/>
        <v>2047</v>
      </c>
      <c r="C1508" s="33" t="s">
        <v>40</v>
      </c>
      <c r="D1508" s="34" t="s">
        <v>2002</v>
      </c>
      <c r="E1508" s="35" t="str">
        <f t="shared" si="363"/>
        <v>PRB'!</v>
      </c>
      <c r="F1508" s="34" t="str">
        <f t="shared" si="364"/>
        <v>C:\Users\jaime.benazar\Quorum Business Solutions\Ecopetrol Prometeo - Documents\Planning Space Implementation\3. Analysis &amp; Design\Design\FC22\DRR Jaime\Neiva CPI\[DINA TERCIARIOS_CF_SEC_New_27-Mar-2024.xlsx]D-PRB'!</v>
      </c>
      <c r="G1508" s="32" t="s">
        <v>120</v>
      </c>
      <c r="H1508" s="33">
        <f t="shared" si="365"/>
        <v>36</v>
      </c>
      <c r="I1508" s="33" t="str">
        <f t="shared" si="366"/>
        <v>='C:\Users\jaime.benazar\Quorum Business Solutions\Ecopetrol Prometeo - Documents\Planning Space Implementation\3. Analysis &amp; Design\Design\FC22\DRR Jaime\Neiva CPI\[DINA TERCIARIOS_CF_SEC_New_27-Mar-2024.xlsx]D-PRB'!$CA$36</v>
      </c>
      <c r="J1508" s="37" t="s">
        <v>2693</v>
      </c>
    </row>
    <row r="1509" spans="1:10" x14ac:dyDescent="0.3">
      <c r="A1509" s="32" t="s">
        <v>20</v>
      </c>
      <c r="B1509" s="32">
        <f t="shared" si="367"/>
        <v>2048</v>
      </c>
      <c r="C1509" s="33" t="s">
        <v>40</v>
      </c>
      <c r="D1509" s="34" t="s">
        <v>2002</v>
      </c>
      <c r="E1509" s="35" t="str">
        <f t="shared" si="363"/>
        <v>PRB'!</v>
      </c>
      <c r="F1509" s="34" t="str">
        <f t="shared" si="364"/>
        <v>C:\Users\jaime.benazar\Quorum Business Solutions\Ecopetrol Prometeo - Documents\Planning Space Implementation\3. Analysis &amp; Design\Design\FC22\DRR Jaime\Neiva CPI\[DINA TERCIARIOS_CF_SEC_New_27-Mar-2024.xlsx]D-PRB'!</v>
      </c>
      <c r="G1509" s="32" t="s">
        <v>120</v>
      </c>
      <c r="H1509" s="33">
        <f t="shared" si="365"/>
        <v>37</v>
      </c>
      <c r="I1509" s="33" t="str">
        <f t="shared" si="366"/>
        <v>='C:\Users\jaime.benazar\Quorum Business Solutions\Ecopetrol Prometeo - Documents\Planning Space Implementation\3. Analysis &amp; Design\Design\FC22\DRR Jaime\Neiva CPI\[DINA TERCIARIOS_CF_SEC_New_27-Mar-2024.xlsx]D-PRB'!$CA$37</v>
      </c>
      <c r="J1509" s="37" t="s">
        <v>2694</v>
      </c>
    </row>
    <row r="1510" spans="1:10" x14ac:dyDescent="0.3">
      <c r="A1510" s="32" t="s">
        <v>20</v>
      </c>
      <c r="B1510" s="32">
        <f t="shared" si="367"/>
        <v>2049</v>
      </c>
      <c r="C1510" s="33" t="s">
        <v>40</v>
      </c>
      <c r="D1510" s="34" t="s">
        <v>2002</v>
      </c>
      <c r="E1510" s="35" t="str">
        <f t="shared" si="363"/>
        <v>PRB'!</v>
      </c>
      <c r="F1510" s="34" t="str">
        <f t="shared" si="364"/>
        <v>C:\Users\jaime.benazar\Quorum Business Solutions\Ecopetrol Prometeo - Documents\Planning Space Implementation\3. Analysis &amp; Design\Design\FC22\DRR Jaime\Neiva CPI\[DINA TERCIARIOS_CF_SEC_New_27-Mar-2024.xlsx]D-PRB'!</v>
      </c>
      <c r="G1510" s="32" t="s">
        <v>120</v>
      </c>
      <c r="H1510" s="33">
        <f t="shared" si="365"/>
        <v>38</v>
      </c>
      <c r="I1510" s="33" t="str">
        <f t="shared" si="366"/>
        <v>='C:\Users\jaime.benazar\Quorum Business Solutions\Ecopetrol Prometeo - Documents\Planning Space Implementation\3. Analysis &amp; Design\Design\FC22\DRR Jaime\Neiva CPI\[DINA TERCIARIOS_CF_SEC_New_27-Mar-2024.xlsx]D-PRB'!$CA$38</v>
      </c>
      <c r="J1510" s="37" t="s">
        <v>2695</v>
      </c>
    </row>
    <row r="1511" spans="1:10" x14ac:dyDescent="0.3">
      <c r="A1511" s="32" t="s">
        <v>20</v>
      </c>
      <c r="B1511" s="32">
        <f t="shared" si="367"/>
        <v>2050</v>
      </c>
      <c r="C1511" s="33" t="s">
        <v>40</v>
      </c>
      <c r="D1511" s="34" t="s">
        <v>2002</v>
      </c>
      <c r="E1511" s="35" t="str">
        <f t="shared" si="363"/>
        <v>PRB'!</v>
      </c>
      <c r="F1511" s="34" t="str">
        <f t="shared" si="364"/>
        <v>C:\Users\jaime.benazar\Quorum Business Solutions\Ecopetrol Prometeo - Documents\Planning Space Implementation\3. Analysis &amp; Design\Design\FC22\DRR Jaime\Neiva CPI\[DINA TERCIARIOS_CF_SEC_New_27-Mar-2024.xlsx]D-PRB'!</v>
      </c>
      <c r="G1511" s="32" t="s">
        <v>120</v>
      </c>
      <c r="H1511" s="33">
        <f t="shared" si="365"/>
        <v>39</v>
      </c>
      <c r="I1511" s="33" t="str">
        <f t="shared" si="366"/>
        <v>='C:\Users\jaime.benazar\Quorum Business Solutions\Ecopetrol Prometeo - Documents\Planning Space Implementation\3. Analysis &amp; Design\Design\FC22\DRR Jaime\Neiva CPI\[DINA TERCIARIOS_CF_SEC_New_27-Mar-2024.xlsx]D-PRB'!$CA$39</v>
      </c>
      <c r="J1511" s="37" t="s">
        <v>2696</v>
      </c>
    </row>
    <row r="1512" spans="1:10" x14ac:dyDescent="0.3">
      <c r="A1512" s="32" t="s">
        <v>20</v>
      </c>
      <c r="B1512" s="32">
        <f t="shared" si="367"/>
        <v>2051</v>
      </c>
      <c r="C1512" s="33" t="s">
        <v>40</v>
      </c>
      <c r="D1512" s="34" t="s">
        <v>2002</v>
      </c>
      <c r="E1512" s="35" t="str">
        <f t="shared" si="363"/>
        <v>PRB'!</v>
      </c>
      <c r="F1512" s="34" t="str">
        <f t="shared" si="364"/>
        <v>C:\Users\jaime.benazar\Quorum Business Solutions\Ecopetrol Prometeo - Documents\Planning Space Implementation\3. Analysis &amp; Design\Design\FC22\DRR Jaime\Neiva CPI\[DINA TERCIARIOS_CF_SEC_New_27-Mar-2024.xlsx]D-PRB'!</v>
      </c>
      <c r="G1512" s="32" t="s">
        <v>120</v>
      </c>
      <c r="H1512" s="33">
        <f t="shared" si="365"/>
        <v>40</v>
      </c>
      <c r="I1512" s="33" t="str">
        <f t="shared" si="366"/>
        <v>='C:\Users\jaime.benazar\Quorum Business Solutions\Ecopetrol Prometeo - Documents\Planning Space Implementation\3. Analysis &amp; Design\Design\FC22\DRR Jaime\Neiva CPI\[DINA TERCIARIOS_CF_SEC_New_27-Mar-2024.xlsx]D-PRB'!$CA$40</v>
      </c>
      <c r="J1512" s="37" t="s">
        <v>2697</v>
      </c>
    </row>
    <row r="1513" spans="1:10" x14ac:dyDescent="0.3">
      <c r="A1513" s="32" t="s">
        <v>20</v>
      </c>
      <c r="B1513" s="32">
        <f t="shared" si="367"/>
        <v>2052</v>
      </c>
      <c r="C1513" s="33" t="s">
        <v>40</v>
      </c>
      <c r="D1513" s="34" t="s">
        <v>2002</v>
      </c>
      <c r="E1513" s="35" t="str">
        <f t="shared" si="363"/>
        <v>PRB'!</v>
      </c>
      <c r="F1513" s="34" t="str">
        <f t="shared" si="364"/>
        <v>C:\Users\jaime.benazar\Quorum Business Solutions\Ecopetrol Prometeo - Documents\Planning Space Implementation\3. Analysis &amp; Design\Design\FC22\DRR Jaime\Neiva CPI\[DINA TERCIARIOS_CF_SEC_New_27-Mar-2024.xlsx]D-PRB'!</v>
      </c>
      <c r="G1513" s="32" t="s">
        <v>120</v>
      </c>
      <c r="H1513" s="33">
        <f t="shared" si="365"/>
        <v>41</v>
      </c>
      <c r="I1513" s="33" t="str">
        <f t="shared" si="366"/>
        <v>='C:\Users\jaime.benazar\Quorum Business Solutions\Ecopetrol Prometeo - Documents\Planning Space Implementation\3. Analysis &amp; Design\Design\FC22\DRR Jaime\Neiva CPI\[DINA TERCIARIOS_CF_SEC_New_27-Mar-2024.xlsx]D-PRB'!$CA$41</v>
      </c>
      <c r="J1513" s="37" t="s">
        <v>2698</v>
      </c>
    </row>
    <row r="1514" spans="1:10" x14ac:dyDescent="0.3">
      <c r="A1514" s="32" t="s">
        <v>20</v>
      </c>
      <c r="B1514" s="32">
        <f t="shared" si="367"/>
        <v>2053</v>
      </c>
      <c r="C1514" s="33" t="s">
        <v>40</v>
      </c>
      <c r="D1514" s="34" t="s">
        <v>2002</v>
      </c>
      <c r="E1514" s="35" t="str">
        <f t="shared" si="363"/>
        <v>PRB'!</v>
      </c>
      <c r="F1514" s="34" t="str">
        <f t="shared" si="364"/>
        <v>C:\Users\jaime.benazar\Quorum Business Solutions\Ecopetrol Prometeo - Documents\Planning Space Implementation\3. Analysis &amp; Design\Design\FC22\DRR Jaime\Neiva CPI\[DINA TERCIARIOS_CF_SEC_New_27-Mar-2024.xlsx]D-PRB'!</v>
      </c>
      <c r="G1514" s="32" t="s">
        <v>120</v>
      </c>
      <c r="H1514" s="33">
        <f t="shared" si="365"/>
        <v>42</v>
      </c>
      <c r="I1514" s="33" t="str">
        <f t="shared" si="366"/>
        <v>='C:\Users\jaime.benazar\Quorum Business Solutions\Ecopetrol Prometeo - Documents\Planning Space Implementation\3. Analysis &amp; Design\Design\FC22\DRR Jaime\Neiva CPI\[DINA TERCIARIOS_CF_SEC_New_27-Mar-2024.xlsx]D-PRB'!$CA$42</v>
      </c>
      <c r="J1514" s="37" t="s">
        <v>2699</v>
      </c>
    </row>
    <row r="1515" spans="1:10" x14ac:dyDescent="0.3">
      <c r="A1515" s="32" t="s">
        <v>20</v>
      </c>
      <c r="B1515" s="32">
        <f t="shared" si="367"/>
        <v>2054</v>
      </c>
      <c r="C1515" s="33" t="s">
        <v>40</v>
      </c>
      <c r="D1515" s="34" t="s">
        <v>2002</v>
      </c>
      <c r="E1515" s="35" t="str">
        <f t="shared" si="363"/>
        <v>PRB'!</v>
      </c>
      <c r="F1515" s="34" t="str">
        <f t="shared" si="364"/>
        <v>C:\Users\jaime.benazar\Quorum Business Solutions\Ecopetrol Prometeo - Documents\Planning Space Implementation\3. Analysis &amp; Design\Design\FC22\DRR Jaime\Neiva CPI\[DINA TERCIARIOS_CF_SEC_New_27-Mar-2024.xlsx]D-PRB'!</v>
      </c>
      <c r="G1515" s="32" t="s">
        <v>120</v>
      </c>
      <c r="H1515" s="33">
        <f t="shared" si="365"/>
        <v>43</v>
      </c>
      <c r="I1515" s="33" t="str">
        <f t="shared" si="366"/>
        <v>='C:\Users\jaime.benazar\Quorum Business Solutions\Ecopetrol Prometeo - Documents\Planning Space Implementation\3. Analysis &amp; Design\Design\FC22\DRR Jaime\Neiva CPI\[DINA TERCIARIOS_CF_SEC_New_27-Mar-2024.xlsx]D-PRB'!$CA$43</v>
      </c>
      <c r="J1515" s="37" t="s">
        <v>2700</v>
      </c>
    </row>
    <row r="1516" spans="1:10" x14ac:dyDescent="0.3">
      <c r="A1516" s="32" t="s">
        <v>20</v>
      </c>
      <c r="B1516" s="32">
        <f t="shared" si="367"/>
        <v>2055</v>
      </c>
      <c r="C1516" s="33" t="s">
        <v>40</v>
      </c>
      <c r="D1516" s="34" t="s">
        <v>2002</v>
      </c>
      <c r="E1516" s="35" t="str">
        <f t="shared" si="363"/>
        <v>PRB'!</v>
      </c>
      <c r="F1516" s="34" t="str">
        <f t="shared" si="364"/>
        <v>C:\Users\jaime.benazar\Quorum Business Solutions\Ecopetrol Prometeo - Documents\Planning Space Implementation\3. Analysis &amp; Design\Design\FC22\DRR Jaime\Neiva CPI\[DINA TERCIARIOS_CF_SEC_New_27-Mar-2024.xlsx]D-PRB'!</v>
      </c>
      <c r="G1516" s="32" t="s">
        <v>120</v>
      </c>
      <c r="H1516" s="33">
        <f t="shared" si="365"/>
        <v>44</v>
      </c>
      <c r="I1516" s="33" t="str">
        <f t="shared" si="366"/>
        <v>='C:\Users\jaime.benazar\Quorum Business Solutions\Ecopetrol Prometeo - Documents\Planning Space Implementation\3. Analysis &amp; Design\Design\FC22\DRR Jaime\Neiva CPI\[DINA TERCIARIOS_CF_SEC_New_27-Mar-2024.xlsx]D-PRB'!$CA$44</v>
      </c>
      <c r="J1516" s="37" t="s">
        <v>2701</v>
      </c>
    </row>
    <row r="1517" spans="1:10" x14ac:dyDescent="0.3">
      <c r="A1517" s="32" t="s">
        <v>20</v>
      </c>
      <c r="B1517" s="32">
        <f t="shared" si="367"/>
        <v>2056</v>
      </c>
      <c r="C1517" s="33" t="s">
        <v>40</v>
      </c>
      <c r="D1517" s="34" t="s">
        <v>2002</v>
      </c>
      <c r="E1517" s="35" t="str">
        <f t="shared" si="363"/>
        <v>PRB'!</v>
      </c>
      <c r="F1517" s="34" t="str">
        <f t="shared" si="364"/>
        <v>C:\Users\jaime.benazar\Quorum Business Solutions\Ecopetrol Prometeo - Documents\Planning Space Implementation\3. Analysis &amp; Design\Design\FC22\DRR Jaime\Neiva CPI\[DINA TERCIARIOS_CF_SEC_New_27-Mar-2024.xlsx]D-PRB'!</v>
      </c>
      <c r="G1517" s="32" t="s">
        <v>120</v>
      </c>
      <c r="H1517" s="33">
        <f t="shared" si="365"/>
        <v>45</v>
      </c>
      <c r="I1517" s="33" t="str">
        <f t="shared" si="366"/>
        <v>='C:\Users\jaime.benazar\Quorum Business Solutions\Ecopetrol Prometeo - Documents\Planning Space Implementation\3. Analysis &amp; Design\Design\FC22\DRR Jaime\Neiva CPI\[DINA TERCIARIOS_CF_SEC_New_27-Mar-2024.xlsx]D-PRB'!$CA$45</v>
      </c>
      <c r="J1517" s="37" t="s">
        <v>2702</v>
      </c>
    </row>
    <row r="1518" spans="1:10" x14ac:dyDescent="0.3">
      <c r="A1518" s="32" t="s">
        <v>20</v>
      </c>
      <c r="B1518" s="32">
        <f t="shared" si="367"/>
        <v>2057</v>
      </c>
      <c r="C1518" s="33" t="s">
        <v>40</v>
      </c>
      <c r="D1518" s="34" t="s">
        <v>2002</v>
      </c>
      <c r="E1518" s="35" t="str">
        <f t="shared" si="363"/>
        <v>PRB'!</v>
      </c>
      <c r="F1518" s="34" t="str">
        <f t="shared" si="364"/>
        <v>C:\Users\jaime.benazar\Quorum Business Solutions\Ecopetrol Prometeo - Documents\Planning Space Implementation\3. Analysis &amp; Design\Design\FC22\DRR Jaime\Neiva CPI\[DINA TERCIARIOS_CF_SEC_New_27-Mar-2024.xlsx]D-PRB'!</v>
      </c>
      <c r="G1518" s="32" t="s">
        <v>120</v>
      </c>
      <c r="H1518" s="33">
        <f t="shared" si="365"/>
        <v>46</v>
      </c>
      <c r="I1518" s="33" t="str">
        <f t="shared" si="366"/>
        <v>='C:\Users\jaime.benazar\Quorum Business Solutions\Ecopetrol Prometeo - Documents\Planning Space Implementation\3. Analysis &amp; Design\Design\FC22\DRR Jaime\Neiva CPI\[DINA TERCIARIOS_CF_SEC_New_27-Mar-2024.xlsx]D-PRB'!$CA$46</v>
      </c>
      <c r="J1518" s="37" t="s">
        <v>2703</v>
      </c>
    </row>
    <row r="1519" spans="1:10" x14ac:dyDescent="0.3">
      <c r="A1519" s="32" t="s">
        <v>20</v>
      </c>
      <c r="B1519" s="32">
        <f t="shared" si="367"/>
        <v>2058</v>
      </c>
      <c r="C1519" s="33" t="s">
        <v>40</v>
      </c>
      <c r="D1519" s="34" t="s">
        <v>2002</v>
      </c>
      <c r="E1519" s="35" t="str">
        <f t="shared" si="363"/>
        <v>PRB'!</v>
      </c>
      <c r="F1519" s="34" t="str">
        <f t="shared" si="364"/>
        <v>C:\Users\jaime.benazar\Quorum Business Solutions\Ecopetrol Prometeo - Documents\Planning Space Implementation\3. Analysis &amp; Design\Design\FC22\DRR Jaime\Neiva CPI\[DINA TERCIARIOS_CF_SEC_New_27-Mar-2024.xlsx]D-PRB'!</v>
      </c>
      <c r="G1519" s="32" t="s">
        <v>120</v>
      </c>
      <c r="H1519" s="33">
        <f t="shared" si="365"/>
        <v>47</v>
      </c>
      <c r="I1519" s="33" t="str">
        <f t="shared" si="366"/>
        <v>='C:\Users\jaime.benazar\Quorum Business Solutions\Ecopetrol Prometeo - Documents\Planning Space Implementation\3. Analysis &amp; Design\Design\FC22\DRR Jaime\Neiva CPI\[DINA TERCIARIOS_CF_SEC_New_27-Mar-2024.xlsx]D-PRB'!$CA$47</v>
      </c>
      <c r="J1519" s="37" t="s">
        <v>2704</v>
      </c>
    </row>
    <row r="1520" spans="1:10" x14ac:dyDescent="0.3">
      <c r="A1520" s="32" t="s">
        <v>20</v>
      </c>
      <c r="B1520" s="32">
        <f t="shared" si="367"/>
        <v>2059</v>
      </c>
      <c r="C1520" s="33" t="s">
        <v>40</v>
      </c>
      <c r="D1520" s="34" t="s">
        <v>2002</v>
      </c>
      <c r="E1520" s="35" t="str">
        <f t="shared" si="363"/>
        <v>PRB'!</v>
      </c>
      <c r="F1520" s="34" t="str">
        <f t="shared" si="364"/>
        <v>C:\Users\jaime.benazar\Quorum Business Solutions\Ecopetrol Prometeo - Documents\Planning Space Implementation\3. Analysis &amp; Design\Design\FC22\DRR Jaime\Neiva CPI\[DINA TERCIARIOS_CF_SEC_New_27-Mar-2024.xlsx]D-PRB'!</v>
      </c>
      <c r="G1520" s="32" t="s">
        <v>120</v>
      </c>
      <c r="H1520" s="33">
        <f t="shared" si="365"/>
        <v>48</v>
      </c>
      <c r="I1520" s="33" t="str">
        <f t="shared" si="366"/>
        <v>='C:\Users\jaime.benazar\Quorum Business Solutions\Ecopetrol Prometeo - Documents\Planning Space Implementation\3. Analysis &amp; Design\Design\FC22\DRR Jaime\Neiva CPI\[DINA TERCIARIOS_CF_SEC_New_27-Mar-2024.xlsx]D-PRB'!$CA$48</v>
      </c>
      <c r="J1520" s="37" t="s">
        <v>2705</v>
      </c>
    </row>
    <row r="1521" spans="1:10" x14ac:dyDescent="0.3">
      <c r="A1521" s="32" t="s">
        <v>26</v>
      </c>
      <c r="B1521" s="32"/>
      <c r="C1521" s="33" t="s">
        <v>40</v>
      </c>
      <c r="D1521" s="34"/>
      <c r="E1521" s="35"/>
      <c r="F1521" s="34"/>
      <c r="G1521" s="32"/>
      <c r="H1521" s="33"/>
      <c r="I1521" s="33"/>
      <c r="J1521" s="33"/>
    </row>
    <row r="1522" spans="1:10" x14ac:dyDescent="0.3">
      <c r="A1522" s="32" t="s">
        <v>21</v>
      </c>
      <c r="B1522" s="32">
        <v>2023</v>
      </c>
      <c r="C1522" s="33" t="s">
        <v>40</v>
      </c>
      <c r="D1522" s="34" t="s">
        <v>2002</v>
      </c>
      <c r="E1522" s="35" t="str">
        <f t="shared" ref="E1522:E1542" si="368">_xlfn.CONCAT(A1522,"'!")</f>
        <v>PSDP'!</v>
      </c>
      <c r="F1522" s="34" t="str">
        <f t="shared" ref="F1522:F1542" si="369">_xlfn.CONCAT(D1522:E1522)</f>
        <v>C:\Users\jaime.benazar\Quorum Business Solutions\Ecopetrol Prometeo - Documents\Planning Space Implementation\3. Analysis &amp; Design\Design\FC22\DRR Jaime\Neiva CPI\[DINA TERCIARIOS_CF_SEC_New_27-Mar-2024.xlsx]D-PSDP'!</v>
      </c>
      <c r="G1522" s="32" t="s">
        <v>120</v>
      </c>
      <c r="H1522" s="33"/>
      <c r="I1522" s="33"/>
      <c r="J1522" s="37"/>
    </row>
    <row r="1523" spans="1:10" x14ac:dyDescent="0.3">
      <c r="A1523" s="32" t="s">
        <v>21</v>
      </c>
      <c r="B1523" s="32">
        <f>+B1522+1</f>
        <v>2024</v>
      </c>
      <c r="C1523" s="33" t="s">
        <v>40</v>
      </c>
      <c r="D1523" s="34" t="s">
        <v>2002</v>
      </c>
      <c r="E1523" s="35" t="str">
        <f t="shared" si="368"/>
        <v>PSDP'!</v>
      </c>
      <c r="F1523" s="34" t="str">
        <f t="shared" si="369"/>
        <v>C:\Users\jaime.benazar\Quorum Business Solutions\Ecopetrol Prometeo - Documents\Planning Space Implementation\3. Analysis &amp; Design\Design\FC22\DRR Jaime\Neiva CPI\[DINA TERCIARIOS_CF_SEC_New_27-Mar-2024.xlsx]D-PSDP'!</v>
      </c>
      <c r="G1523" s="32" t="s">
        <v>120</v>
      </c>
      <c r="H1523" s="33"/>
      <c r="I1523" s="33"/>
      <c r="J1523" s="37"/>
    </row>
    <row r="1524" spans="1:10" x14ac:dyDescent="0.3">
      <c r="A1524" s="32" t="s">
        <v>21</v>
      </c>
      <c r="B1524" s="32">
        <f t="shared" ref="B1524:B1535" si="370">+B1523+1</f>
        <v>2025</v>
      </c>
      <c r="C1524" s="33" t="s">
        <v>40</v>
      </c>
      <c r="D1524" s="34" t="s">
        <v>2002</v>
      </c>
      <c r="E1524" s="35" t="str">
        <f t="shared" si="368"/>
        <v>PSDP'!</v>
      </c>
      <c r="F1524" s="34" t="str">
        <f t="shared" si="369"/>
        <v>C:\Users\jaime.benazar\Quorum Business Solutions\Ecopetrol Prometeo - Documents\Planning Space Implementation\3. Analysis &amp; Design\Design\FC22\DRR Jaime\Neiva CPI\[DINA TERCIARIOS_CF_SEC_New_27-Mar-2024.xlsx]D-PSDP'!</v>
      </c>
      <c r="G1524" s="32" t="s">
        <v>120</v>
      </c>
      <c r="H1524" s="33"/>
      <c r="I1524" s="33"/>
      <c r="J1524" s="37"/>
    </row>
    <row r="1525" spans="1:10" x14ac:dyDescent="0.3">
      <c r="A1525" s="32" t="s">
        <v>21</v>
      </c>
      <c r="B1525" s="32">
        <f t="shared" si="370"/>
        <v>2026</v>
      </c>
      <c r="C1525" s="33" t="s">
        <v>40</v>
      </c>
      <c r="D1525" s="34" t="s">
        <v>2002</v>
      </c>
      <c r="E1525" s="35" t="str">
        <f t="shared" si="368"/>
        <v>PSDP'!</v>
      </c>
      <c r="F1525" s="34" t="str">
        <f t="shared" si="369"/>
        <v>C:\Users\jaime.benazar\Quorum Business Solutions\Ecopetrol Prometeo - Documents\Planning Space Implementation\3. Analysis &amp; Design\Design\FC22\DRR Jaime\Neiva CPI\[DINA TERCIARIOS_CF_SEC_New_27-Mar-2024.xlsx]D-PSDP'!</v>
      </c>
      <c r="G1525" s="32" t="s">
        <v>120</v>
      </c>
      <c r="H1525" s="33"/>
      <c r="I1525" s="33"/>
      <c r="J1525" s="37"/>
    </row>
    <row r="1526" spans="1:10" x14ac:dyDescent="0.3">
      <c r="A1526" s="32" t="s">
        <v>21</v>
      </c>
      <c r="B1526" s="32">
        <f t="shared" si="370"/>
        <v>2027</v>
      </c>
      <c r="C1526" s="33" t="s">
        <v>40</v>
      </c>
      <c r="D1526" s="34" t="s">
        <v>2002</v>
      </c>
      <c r="E1526" s="35" t="str">
        <f t="shared" si="368"/>
        <v>PSDP'!</v>
      </c>
      <c r="F1526" s="34" t="str">
        <f t="shared" si="369"/>
        <v>C:\Users\jaime.benazar\Quorum Business Solutions\Ecopetrol Prometeo - Documents\Planning Space Implementation\3. Analysis &amp; Design\Design\FC22\DRR Jaime\Neiva CPI\[DINA TERCIARIOS_CF_SEC_New_27-Mar-2024.xlsx]D-PSDP'!</v>
      </c>
      <c r="G1526" s="32" t="s">
        <v>120</v>
      </c>
      <c r="H1526" s="33"/>
      <c r="I1526" s="33"/>
      <c r="J1526" s="37"/>
    </row>
    <row r="1527" spans="1:10" x14ac:dyDescent="0.3">
      <c r="A1527" s="32" t="s">
        <v>21</v>
      </c>
      <c r="B1527" s="32">
        <f t="shared" si="370"/>
        <v>2028</v>
      </c>
      <c r="C1527" s="33" t="s">
        <v>40</v>
      </c>
      <c r="D1527" s="34" t="s">
        <v>2002</v>
      </c>
      <c r="E1527" s="35" t="str">
        <f t="shared" si="368"/>
        <v>PSDP'!</v>
      </c>
      <c r="F1527" s="34" t="str">
        <f t="shared" si="369"/>
        <v>C:\Users\jaime.benazar\Quorum Business Solutions\Ecopetrol Prometeo - Documents\Planning Space Implementation\3. Analysis &amp; Design\Design\FC22\DRR Jaime\Neiva CPI\[DINA TERCIARIOS_CF_SEC_New_27-Mar-2024.xlsx]D-PSDP'!</v>
      </c>
      <c r="G1527" s="32" t="s">
        <v>120</v>
      </c>
      <c r="H1527" s="33"/>
      <c r="I1527" s="33"/>
      <c r="J1527" s="37"/>
    </row>
    <row r="1528" spans="1:10" x14ac:dyDescent="0.3">
      <c r="A1528" s="32" t="s">
        <v>21</v>
      </c>
      <c r="B1528" s="32">
        <f t="shared" si="370"/>
        <v>2029</v>
      </c>
      <c r="C1528" s="33" t="s">
        <v>40</v>
      </c>
      <c r="D1528" s="34" t="s">
        <v>2002</v>
      </c>
      <c r="E1528" s="35" t="str">
        <f t="shared" si="368"/>
        <v>PSDP'!</v>
      </c>
      <c r="F1528" s="34" t="str">
        <f t="shared" si="369"/>
        <v>C:\Users\jaime.benazar\Quorum Business Solutions\Ecopetrol Prometeo - Documents\Planning Space Implementation\3. Analysis &amp; Design\Design\FC22\DRR Jaime\Neiva CPI\[DINA TERCIARIOS_CF_SEC_New_27-Mar-2024.xlsx]D-PSDP'!</v>
      </c>
      <c r="G1528" s="32" t="s">
        <v>120</v>
      </c>
      <c r="H1528" s="33"/>
      <c r="I1528" s="33"/>
      <c r="J1528" s="37"/>
    </row>
    <row r="1529" spans="1:10" x14ac:dyDescent="0.3">
      <c r="A1529" s="32" t="s">
        <v>21</v>
      </c>
      <c r="B1529" s="32">
        <f t="shared" si="370"/>
        <v>2030</v>
      </c>
      <c r="C1529" s="33" t="s">
        <v>40</v>
      </c>
      <c r="D1529" s="34" t="s">
        <v>2002</v>
      </c>
      <c r="E1529" s="35" t="str">
        <f t="shared" si="368"/>
        <v>PSDP'!</v>
      </c>
      <c r="F1529" s="34" t="str">
        <f t="shared" si="369"/>
        <v>C:\Users\jaime.benazar\Quorum Business Solutions\Ecopetrol Prometeo - Documents\Planning Space Implementation\3. Analysis &amp; Design\Design\FC22\DRR Jaime\Neiva CPI\[DINA TERCIARIOS_CF_SEC_New_27-Mar-2024.xlsx]D-PSDP'!</v>
      </c>
      <c r="G1529" s="32" t="s">
        <v>120</v>
      </c>
      <c r="H1529" s="33"/>
      <c r="I1529" s="33"/>
      <c r="J1529" s="37"/>
    </row>
    <row r="1530" spans="1:10" x14ac:dyDescent="0.3">
      <c r="A1530" s="32" t="s">
        <v>21</v>
      </c>
      <c r="B1530" s="32">
        <f t="shared" si="370"/>
        <v>2031</v>
      </c>
      <c r="C1530" s="33" t="s">
        <v>40</v>
      </c>
      <c r="D1530" s="34" t="s">
        <v>2002</v>
      </c>
      <c r="E1530" s="35" t="str">
        <f t="shared" si="368"/>
        <v>PSDP'!</v>
      </c>
      <c r="F1530" s="34" t="str">
        <f t="shared" si="369"/>
        <v>C:\Users\jaime.benazar\Quorum Business Solutions\Ecopetrol Prometeo - Documents\Planning Space Implementation\3. Analysis &amp; Design\Design\FC22\DRR Jaime\Neiva CPI\[DINA TERCIARIOS_CF_SEC_New_27-Mar-2024.xlsx]D-PSDP'!</v>
      </c>
      <c r="G1530" s="32" t="s">
        <v>120</v>
      </c>
      <c r="H1530" s="33"/>
      <c r="I1530" s="33"/>
      <c r="J1530" s="37"/>
    </row>
    <row r="1531" spans="1:10" x14ac:dyDescent="0.3">
      <c r="A1531" s="32" t="s">
        <v>21</v>
      </c>
      <c r="B1531" s="32">
        <f t="shared" si="370"/>
        <v>2032</v>
      </c>
      <c r="C1531" s="33" t="s">
        <v>40</v>
      </c>
      <c r="D1531" s="34" t="s">
        <v>2002</v>
      </c>
      <c r="E1531" s="35" t="str">
        <f t="shared" si="368"/>
        <v>PSDP'!</v>
      </c>
      <c r="F1531" s="34" t="str">
        <f t="shared" si="369"/>
        <v>C:\Users\jaime.benazar\Quorum Business Solutions\Ecopetrol Prometeo - Documents\Planning Space Implementation\3. Analysis &amp; Design\Design\FC22\DRR Jaime\Neiva CPI\[DINA TERCIARIOS_CF_SEC_New_27-Mar-2024.xlsx]D-PSDP'!</v>
      </c>
      <c r="G1531" s="32" t="s">
        <v>120</v>
      </c>
      <c r="H1531" s="33"/>
      <c r="I1531" s="33"/>
      <c r="J1531" s="37"/>
    </row>
    <row r="1532" spans="1:10" x14ac:dyDescent="0.3">
      <c r="A1532" s="32" t="s">
        <v>21</v>
      </c>
      <c r="B1532" s="32">
        <f t="shared" si="370"/>
        <v>2033</v>
      </c>
      <c r="C1532" s="33" t="s">
        <v>40</v>
      </c>
      <c r="D1532" s="34" t="s">
        <v>2002</v>
      </c>
      <c r="E1532" s="35" t="str">
        <f t="shared" si="368"/>
        <v>PSDP'!</v>
      </c>
      <c r="F1532" s="34" t="str">
        <f t="shared" si="369"/>
        <v>C:\Users\jaime.benazar\Quorum Business Solutions\Ecopetrol Prometeo - Documents\Planning Space Implementation\3. Analysis &amp; Design\Design\FC22\DRR Jaime\Neiva CPI\[DINA TERCIARIOS_CF_SEC_New_27-Mar-2024.xlsx]D-PSDP'!</v>
      </c>
      <c r="G1532" s="32" t="s">
        <v>120</v>
      </c>
      <c r="H1532" s="33"/>
      <c r="I1532" s="33"/>
      <c r="J1532" s="37"/>
    </row>
    <row r="1533" spans="1:10" x14ac:dyDescent="0.3">
      <c r="A1533" s="32" t="s">
        <v>21</v>
      </c>
      <c r="B1533" s="32">
        <f t="shared" si="370"/>
        <v>2034</v>
      </c>
      <c r="C1533" s="33" t="s">
        <v>40</v>
      </c>
      <c r="D1533" s="34" t="s">
        <v>2002</v>
      </c>
      <c r="E1533" s="35" t="str">
        <f t="shared" si="368"/>
        <v>PSDP'!</v>
      </c>
      <c r="F1533" s="34" t="str">
        <f t="shared" si="369"/>
        <v>C:\Users\jaime.benazar\Quorum Business Solutions\Ecopetrol Prometeo - Documents\Planning Space Implementation\3. Analysis &amp; Design\Design\FC22\DRR Jaime\Neiva CPI\[DINA TERCIARIOS_CF_SEC_New_27-Mar-2024.xlsx]D-PSDP'!</v>
      </c>
      <c r="G1533" s="32" t="s">
        <v>120</v>
      </c>
      <c r="H1533" s="33"/>
      <c r="I1533" s="33"/>
      <c r="J1533" s="37"/>
    </row>
    <row r="1534" spans="1:10" x14ac:dyDescent="0.3">
      <c r="A1534" s="32" t="s">
        <v>21</v>
      </c>
      <c r="B1534" s="32">
        <f t="shared" si="370"/>
        <v>2035</v>
      </c>
      <c r="C1534" s="33" t="s">
        <v>40</v>
      </c>
      <c r="D1534" s="34" t="s">
        <v>2002</v>
      </c>
      <c r="E1534" s="35" t="str">
        <f t="shared" si="368"/>
        <v>PSDP'!</v>
      </c>
      <c r="F1534" s="34" t="str">
        <f t="shared" si="369"/>
        <v>C:\Users\jaime.benazar\Quorum Business Solutions\Ecopetrol Prometeo - Documents\Planning Space Implementation\3. Analysis &amp; Design\Design\FC22\DRR Jaime\Neiva CPI\[DINA TERCIARIOS_CF_SEC_New_27-Mar-2024.xlsx]D-PSDP'!</v>
      </c>
      <c r="G1534" s="32" t="s">
        <v>120</v>
      </c>
      <c r="H1534" s="33"/>
      <c r="I1534" s="33"/>
      <c r="J1534" s="37"/>
    </row>
    <row r="1535" spans="1:10" x14ac:dyDescent="0.3">
      <c r="A1535" s="32" t="s">
        <v>21</v>
      </c>
      <c r="B1535" s="32">
        <f t="shared" si="370"/>
        <v>2036</v>
      </c>
      <c r="C1535" s="33" t="s">
        <v>40</v>
      </c>
      <c r="D1535" s="34" t="s">
        <v>2002</v>
      </c>
      <c r="E1535" s="35" t="str">
        <f t="shared" si="368"/>
        <v>PSDP'!</v>
      </c>
      <c r="F1535" s="34" t="str">
        <f t="shared" si="369"/>
        <v>C:\Users\jaime.benazar\Quorum Business Solutions\Ecopetrol Prometeo - Documents\Planning Space Implementation\3. Analysis &amp; Design\Design\FC22\DRR Jaime\Neiva CPI\[DINA TERCIARIOS_CF_SEC_New_27-Mar-2024.xlsx]D-PSDP'!</v>
      </c>
      <c r="G1535" s="32" t="s">
        <v>120</v>
      </c>
      <c r="H1535" s="33"/>
      <c r="I1535" s="33"/>
      <c r="J1535" s="37"/>
    </row>
    <row r="1536" spans="1:10" x14ac:dyDescent="0.3">
      <c r="A1536" s="32" t="s">
        <v>21</v>
      </c>
      <c r="B1536" s="32">
        <f>+B1535+1</f>
        <v>2037</v>
      </c>
      <c r="C1536" s="33" t="s">
        <v>40</v>
      </c>
      <c r="D1536" s="34" t="s">
        <v>2002</v>
      </c>
      <c r="E1536" s="35" t="str">
        <f t="shared" si="368"/>
        <v>PSDP'!</v>
      </c>
      <c r="F1536" s="34" t="str">
        <f t="shared" si="369"/>
        <v>C:\Users\jaime.benazar\Quorum Business Solutions\Ecopetrol Prometeo - Documents\Planning Space Implementation\3. Analysis &amp; Design\Design\FC22\DRR Jaime\Neiva CPI\[DINA TERCIARIOS_CF_SEC_New_27-Mar-2024.xlsx]D-PSDP'!</v>
      </c>
      <c r="G1536" s="32" t="s">
        <v>120</v>
      </c>
      <c r="H1536" s="33"/>
      <c r="I1536" s="33"/>
      <c r="J1536" s="37"/>
    </row>
    <row r="1537" spans="1:10" x14ac:dyDescent="0.3">
      <c r="A1537" s="32" t="s">
        <v>21</v>
      </c>
      <c r="B1537" s="32">
        <f t="shared" ref="B1537:B1539" si="371">+B1536+1</f>
        <v>2038</v>
      </c>
      <c r="C1537" s="33" t="s">
        <v>40</v>
      </c>
      <c r="D1537" s="34" t="s">
        <v>2002</v>
      </c>
      <c r="E1537" s="35" t="str">
        <f t="shared" si="368"/>
        <v>PSDP'!</v>
      </c>
      <c r="F1537" s="34" t="str">
        <f t="shared" si="369"/>
        <v>C:\Users\jaime.benazar\Quorum Business Solutions\Ecopetrol Prometeo - Documents\Planning Space Implementation\3. Analysis &amp; Design\Design\FC22\DRR Jaime\Neiva CPI\[DINA TERCIARIOS_CF_SEC_New_27-Mar-2024.xlsx]D-PSDP'!</v>
      </c>
      <c r="G1537" s="32" t="s">
        <v>120</v>
      </c>
      <c r="H1537" s="33"/>
      <c r="I1537" s="33"/>
      <c r="J1537" s="37"/>
    </row>
    <row r="1538" spans="1:10" x14ac:dyDescent="0.3">
      <c r="A1538" s="32" t="s">
        <v>21</v>
      </c>
      <c r="B1538" s="32">
        <f t="shared" si="371"/>
        <v>2039</v>
      </c>
      <c r="C1538" s="33" t="s">
        <v>40</v>
      </c>
      <c r="D1538" s="34" t="s">
        <v>2002</v>
      </c>
      <c r="E1538" s="35" t="str">
        <f t="shared" si="368"/>
        <v>PSDP'!</v>
      </c>
      <c r="F1538" s="34" t="str">
        <f t="shared" si="369"/>
        <v>C:\Users\jaime.benazar\Quorum Business Solutions\Ecopetrol Prometeo - Documents\Planning Space Implementation\3. Analysis &amp; Design\Design\FC22\DRR Jaime\Neiva CPI\[DINA TERCIARIOS_CF_SEC_New_27-Mar-2024.xlsx]D-PSDP'!</v>
      </c>
      <c r="G1538" s="32" t="s">
        <v>120</v>
      </c>
      <c r="H1538" s="33"/>
      <c r="I1538" s="33"/>
      <c r="J1538" s="37"/>
    </row>
    <row r="1539" spans="1:10" x14ac:dyDescent="0.3">
      <c r="A1539" s="32" t="s">
        <v>21</v>
      </c>
      <c r="B1539" s="32">
        <f t="shared" si="371"/>
        <v>2040</v>
      </c>
      <c r="C1539" s="33" t="s">
        <v>40</v>
      </c>
      <c r="D1539" s="34" t="s">
        <v>2002</v>
      </c>
      <c r="E1539" s="35" t="str">
        <f t="shared" si="368"/>
        <v>PSDP'!</v>
      </c>
      <c r="F1539" s="34" t="str">
        <f t="shared" si="369"/>
        <v>C:\Users\jaime.benazar\Quorum Business Solutions\Ecopetrol Prometeo - Documents\Planning Space Implementation\3. Analysis &amp; Design\Design\FC22\DRR Jaime\Neiva CPI\[DINA TERCIARIOS_CF_SEC_New_27-Mar-2024.xlsx]D-PSDP'!</v>
      </c>
      <c r="G1539" s="32" t="s">
        <v>120</v>
      </c>
      <c r="H1539" s="33"/>
      <c r="I1539" s="33"/>
      <c r="J1539" s="37"/>
    </row>
    <row r="1540" spans="1:10" x14ac:dyDescent="0.3">
      <c r="A1540" s="32" t="s">
        <v>21</v>
      </c>
      <c r="B1540" s="32">
        <f>+B1539+1</f>
        <v>2041</v>
      </c>
      <c r="C1540" s="33" t="s">
        <v>40</v>
      </c>
      <c r="D1540" s="34" t="s">
        <v>2002</v>
      </c>
      <c r="E1540" s="35" t="str">
        <f t="shared" si="368"/>
        <v>PSDP'!</v>
      </c>
      <c r="F1540" s="34" t="str">
        <f t="shared" si="369"/>
        <v>C:\Users\jaime.benazar\Quorum Business Solutions\Ecopetrol Prometeo - Documents\Planning Space Implementation\3. Analysis &amp; Design\Design\FC22\DRR Jaime\Neiva CPI\[DINA TERCIARIOS_CF_SEC_New_27-Mar-2024.xlsx]D-PSDP'!</v>
      </c>
      <c r="G1540" s="32" t="s">
        <v>120</v>
      </c>
      <c r="H1540" s="33"/>
      <c r="I1540" s="33"/>
      <c r="J1540" s="37"/>
    </row>
    <row r="1541" spans="1:10" x14ac:dyDescent="0.3">
      <c r="A1541" s="32" t="s">
        <v>21</v>
      </c>
      <c r="B1541" s="32">
        <f t="shared" ref="B1541:B1542" si="372">+B1540+1</f>
        <v>2042</v>
      </c>
      <c r="C1541" s="33" t="s">
        <v>40</v>
      </c>
      <c r="D1541" s="34" t="s">
        <v>2002</v>
      </c>
      <c r="E1541" s="35" t="str">
        <f t="shared" si="368"/>
        <v>PSDP'!</v>
      </c>
      <c r="F1541" s="34" t="str">
        <f t="shared" si="369"/>
        <v>C:\Users\jaime.benazar\Quorum Business Solutions\Ecopetrol Prometeo - Documents\Planning Space Implementation\3. Analysis &amp; Design\Design\FC22\DRR Jaime\Neiva CPI\[DINA TERCIARIOS_CF_SEC_New_27-Mar-2024.xlsx]D-PSDP'!</v>
      </c>
      <c r="G1541" s="32" t="s">
        <v>120</v>
      </c>
      <c r="H1541" s="33"/>
      <c r="I1541" s="33"/>
      <c r="J1541" s="37"/>
    </row>
    <row r="1542" spans="1:10" x14ac:dyDescent="0.3">
      <c r="A1542" s="32" t="s">
        <v>21</v>
      </c>
      <c r="B1542" s="32">
        <f t="shared" si="372"/>
        <v>2043</v>
      </c>
      <c r="C1542" s="33" t="s">
        <v>40</v>
      </c>
      <c r="D1542" s="34" t="s">
        <v>2002</v>
      </c>
      <c r="E1542" s="35" t="str">
        <f t="shared" si="368"/>
        <v>PSDP'!</v>
      </c>
      <c r="F1542" s="34" t="str">
        <f t="shared" si="369"/>
        <v>C:\Users\jaime.benazar\Quorum Business Solutions\Ecopetrol Prometeo - Documents\Planning Space Implementation\3. Analysis &amp; Design\Design\FC22\DRR Jaime\Neiva CPI\[DINA TERCIARIOS_CF_SEC_New_27-Mar-2024.xlsx]D-PSDP'!</v>
      </c>
      <c r="G1542" s="32" t="s">
        <v>120</v>
      </c>
      <c r="H1542" s="33"/>
      <c r="I1542" s="33"/>
      <c r="J1542" s="37"/>
    </row>
    <row r="1543" spans="1:10" x14ac:dyDescent="0.3">
      <c r="A1543" s="32" t="s">
        <v>21</v>
      </c>
      <c r="B1543" s="32">
        <f>+B1542+1</f>
        <v>2044</v>
      </c>
      <c r="C1543" s="33" t="s">
        <v>40</v>
      </c>
      <c r="D1543" s="34" t="s">
        <v>2002</v>
      </c>
      <c r="E1543" s="35" t="str">
        <f t="shared" ref="E1543:E1558" si="373">_xlfn.CONCAT(A1543,"'!")</f>
        <v>PSDP'!</v>
      </c>
      <c r="F1543" s="34" t="str">
        <f t="shared" ref="F1543:F1558" si="374">_xlfn.CONCAT(D1543:E1543)</f>
        <v>C:\Users\jaime.benazar\Quorum Business Solutions\Ecopetrol Prometeo - Documents\Planning Space Implementation\3. Analysis &amp; Design\Design\FC22\DRR Jaime\Neiva CPI\[DINA TERCIARIOS_CF_SEC_New_27-Mar-2024.xlsx]D-PSDP'!</v>
      </c>
      <c r="G1543" s="32" t="s">
        <v>120</v>
      </c>
      <c r="H1543" s="33"/>
      <c r="I1543" s="33"/>
      <c r="J1543" s="37"/>
    </row>
    <row r="1544" spans="1:10" x14ac:dyDescent="0.3">
      <c r="A1544" s="32" t="s">
        <v>21</v>
      </c>
      <c r="B1544" s="32">
        <f t="shared" ref="B1544:B1558" si="375">+B1543+1</f>
        <v>2045</v>
      </c>
      <c r="C1544" s="33" t="s">
        <v>40</v>
      </c>
      <c r="D1544" s="34" t="s">
        <v>2002</v>
      </c>
      <c r="E1544" s="35" t="str">
        <f t="shared" si="373"/>
        <v>PSDP'!</v>
      </c>
      <c r="F1544" s="34" t="str">
        <f t="shared" si="374"/>
        <v>C:\Users\jaime.benazar\Quorum Business Solutions\Ecopetrol Prometeo - Documents\Planning Space Implementation\3. Analysis &amp; Design\Design\FC22\DRR Jaime\Neiva CPI\[DINA TERCIARIOS_CF_SEC_New_27-Mar-2024.xlsx]D-PSDP'!</v>
      </c>
      <c r="G1544" s="32" t="s">
        <v>120</v>
      </c>
      <c r="H1544" s="33"/>
      <c r="I1544" s="33"/>
      <c r="J1544" s="37"/>
    </row>
    <row r="1545" spans="1:10" x14ac:dyDescent="0.3">
      <c r="A1545" s="32" t="s">
        <v>21</v>
      </c>
      <c r="B1545" s="32">
        <f t="shared" si="375"/>
        <v>2046</v>
      </c>
      <c r="C1545" s="33" t="s">
        <v>40</v>
      </c>
      <c r="D1545" s="34" t="s">
        <v>2002</v>
      </c>
      <c r="E1545" s="35" t="str">
        <f t="shared" si="373"/>
        <v>PSDP'!</v>
      </c>
      <c r="F1545" s="34" t="str">
        <f t="shared" si="374"/>
        <v>C:\Users\jaime.benazar\Quorum Business Solutions\Ecopetrol Prometeo - Documents\Planning Space Implementation\3. Analysis &amp; Design\Design\FC22\DRR Jaime\Neiva CPI\[DINA TERCIARIOS_CF_SEC_New_27-Mar-2024.xlsx]D-PSDP'!</v>
      </c>
      <c r="G1545" s="32" t="s">
        <v>120</v>
      </c>
      <c r="H1545" s="33"/>
      <c r="I1545" s="33"/>
      <c r="J1545" s="37"/>
    </row>
    <row r="1546" spans="1:10" x14ac:dyDescent="0.3">
      <c r="A1546" s="32" t="s">
        <v>21</v>
      </c>
      <c r="B1546" s="32">
        <f t="shared" si="375"/>
        <v>2047</v>
      </c>
      <c r="C1546" s="33" t="s">
        <v>40</v>
      </c>
      <c r="D1546" s="34" t="s">
        <v>2002</v>
      </c>
      <c r="E1546" s="35" t="str">
        <f t="shared" si="373"/>
        <v>PSDP'!</v>
      </c>
      <c r="F1546" s="34" t="str">
        <f t="shared" si="374"/>
        <v>C:\Users\jaime.benazar\Quorum Business Solutions\Ecopetrol Prometeo - Documents\Planning Space Implementation\3. Analysis &amp; Design\Design\FC22\DRR Jaime\Neiva CPI\[DINA TERCIARIOS_CF_SEC_New_27-Mar-2024.xlsx]D-PSDP'!</v>
      </c>
      <c r="G1546" s="32" t="s">
        <v>120</v>
      </c>
      <c r="H1546" s="33"/>
      <c r="I1546" s="33"/>
      <c r="J1546" s="37"/>
    </row>
    <row r="1547" spans="1:10" x14ac:dyDescent="0.3">
      <c r="A1547" s="32" t="s">
        <v>21</v>
      </c>
      <c r="B1547" s="32">
        <f t="shared" si="375"/>
        <v>2048</v>
      </c>
      <c r="C1547" s="33" t="s">
        <v>40</v>
      </c>
      <c r="D1547" s="34" t="s">
        <v>2002</v>
      </c>
      <c r="E1547" s="35" t="str">
        <f t="shared" si="373"/>
        <v>PSDP'!</v>
      </c>
      <c r="F1547" s="34" t="str">
        <f t="shared" si="374"/>
        <v>C:\Users\jaime.benazar\Quorum Business Solutions\Ecopetrol Prometeo - Documents\Planning Space Implementation\3. Analysis &amp; Design\Design\FC22\DRR Jaime\Neiva CPI\[DINA TERCIARIOS_CF_SEC_New_27-Mar-2024.xlsx]D-PSDP'!</v>
      </c>
      <c r="G1547" s="32" t="s">
        <v>120</v>
      </c>
      <c r="H1547" s="33"/>
      <c r="I1547" s="33"/>
      <c r="J1547" s="37"/>
    </row>
    <row r="1548" spans="1:10" x14ac:dyDescent="0.3">
      <c r="A1548" s="32" t="s">
        <v>21</v>
      </c>
      <c r="B1548" s="32">
        <f t="shared" si="375"/>
        <v>2049</v>
      </c>
      <c r="C1548" s="33" t="s">
        <v>40</v>
      </c>
      <c r="D1548" s="34" t="s">
        <v>2002</v>
      </c>
      <c r="E1548" s="35" t="str">
        <f t="shared" si="373"/>
        <v>PSDP'!</v>
      </c>
      <c r="F1548" s="34" t="str">
        <f t="shared" si="374"/>
        <v>C:\Users\jaime.benazar\Quorum Business Solutions\Ecopetrol Prometeo - Documents\Planning Space Implementation\3. Analysis &amp; Design\Design\FC22\DRR Jaime\Neiva CPI\[DINA TERCIARIOS_CF_SEC_New_27-Mar-2024.xlsx]D-PSDP'!</v>
      </c>
      <c r="G1548" s="32" t="s">
        <v>120</v>
      </c>
      <c r="H1548" s="33"/>
      <c r="I1548" s="33"/>
      <c r="J1548" s="37"/>
    </row>
    <row r="1549" spans="1:10" x14ac:dyDescent="0.3">
      <c r="A1549" s="32" t="s">
        <v>21</v>
      </c>
      <c r="B1549" s="32">
        <f t="shared" si="375"/>
        <v>2050</v>
      </c>
      <c r="C1549" s="33" t="s">
        <v>40</v>
      </c>
      <c r="D1549" s="34" t="s">
        <v>2002</v>
      </c>
      <c r="E1549" s="35" t="str">
        <f t="shared" si="373"/>
        <v>PSDP'!</v>
      </c>
      <c r="F1549" s="34" t="str">
        <f t="shared" si="374"/>
        <v>C:\Users\jaime.benazar\Quorum Business Solutions\Ecopetrol Prometeo - Documents\Planning Space Implementation\3. Analysis &amp; Design\Design\FC22\DRR Jaime\Neiva CPI\[DINA TERCIARIOS_CF_SEC_New_27-Mar-2024.xlsx]D-PSDP'!</v>
      </c>
      <c r="G1549" s="32" t="s">
        <v>120</v>
      </c>
      <c r="H1549" s="33"/>
      <c r="I1549" s="33"/>
      <c r="J1549" s="37"/>
    </row>
    <row r="1550" spans="1:10" x14ac:dyDescent="0.3">
      <c r="A1550" s="32" t="s">
        <v>21</v>
      </c>
      <c r="B1550" s="32">
        <f t="shared" si="375"/>
        <v>2051</v>
      </c>
      <c r="C1550" s="33" t="s">
        <v>40</v>
      </c>
      <c r="D1550" s="34" t="s">
        <v>2002</v>
      </c>
      <c r="E1550" s="35" t="str">
        <f t="shared" si="373"/>
        <v>PSDP'!</v>
      </c>
      <c r="F1550" s="34" t="str">
        <f t="shared" si="374"/>
        <v>C:\Users\jaime.benazar\Quorum Business Solutions\Ecopetrol Prometeo - Documents\Planning Space Implementation\3. Analysis &amp; Design\Design\FC22\DRR Jaime\Neiva CPI\[DINA TERCIARIOS_CF_SEC_New_27-Mar-2024.xlsx]D-PSDP'!</v>
      </c>
      <c r="G1550" s="32" t="s">
        <v>120</v>
      </c>
      <c r="H1550" s="33"/>
      <c r="I1550" s="33"/>
      <c r="J1550" s="37"/>
    </row>
    <row r="1551" spans="1:10" x14ac:dyDescent="0.3">
      <c r="A1551" s="32" t="s">
        <v>21</v>
      </c>
      <c r="B1551" s="32">
        <f t="shared" si="375"/>
        <v>2052</v>
      </c>
      <c r="C1551" s="33" t="s">
        <v>40</v>
      </c>
      <c r="D1551" s="34" t="s">
        <v>2002</v>
      </c>
      <c r="E1551" s="35" t="str">
        <f t="shared" si="373"/>
        <v>PSDP'!</v>
      </c>
      <c r="F1551" s="34" t="str">
        <f t="shared" si="374"/>
        <v>C:\Users\jaime.benazar\Quorum Business Solutions\Ecopetrol Prometeo - Documents\Planning Space Implementation\3. Analysis &amp; Design\Design\FC22\DRR Jaime\Neiva CPI\[DINA TERCIARIOS_CF_SEC_New_27-Mar-2024.xlsx]D-PSDP'!</v>
      </c>
      <c r="G1551" s="32" t="s">
        <v>120</v>
      </c>
      <c r="H1551" s="33"/>
      <c r="I1551" s="33"/>
      <c r="J1551" s="37"/>
    </row>
    <row r="1552" spans="1:10" x14ac:dyDescent="0.3">
      <c r="A1552" s="32" t="s">
        <v>21</v>
      </c>
      <c r="B1552" s="32">
        <f t="shared" si="375"/>
        <v>2053</v>
      </c>
      <c r="C1552" s="33" t="s">
        <v>40</v>
      </c>
      <c r="D1552" s="34" t="s">
        <v>2002</v>
      </c>
      <c r="E1552" s="35" t="str">
        <f t="shared" si="373"/>
        <v>PSDP'!</v>
      </c>
      <c r="F1552" s="34" t="str">
        <f t="shared" si="374"/>
        <v>C:\Users\jaime.benazar\Quorum Business Solutions\Ecopetrol Prometeo - Documents\Planning Space Implementation\3. Analysis &amp; Design\Design\FC22\DRR Jaime\Neiva CPI\[DINA TERCIARIOS_CF_SEC_New_27-Mar-2024.xlsx]D-PSDP'!</v>
      </c>
      <c r="G1552" s="32" t="s">
        <v>120</v>
      </c>
      <c r="H1552" s="33"/>
      <c r="I1552" s="33"/>
      <c r="J1552" s="37"/>
    </row>
    <row r="1553" spans="1:10" x14ac:dyDescent="0.3">
      <c r="A1553" s="32" t="s">
        <v>21</v>
      </c>
      <c r="B1553" s="32">
        <f t="shared" si="375"/>
        <v>2054</v>
      </c>
      <c r="C1553" s="33" t="s">
        <v>40</v>
      </c>
      <c r="D1553" s="34" t="s">
        <v>2002</v>
      </c>
      <c r="E1553" s="35" t="str">
        <f t="shared" si="373"/>
        <v>PSDP'!</v>
      </c>
      <c r="F1553" s="34" t="str">
        <f t="shared" si="374"/>
        <v>C:\Users\jaime.benazar\Quorum Business Solutions\Ecopetrol Prometeo - Documents\Planning Space Implementation\3. Analysis &amp; Design\Design\FC22\DRR Jaime\Neiva CPI\[DINA TERCIARIOS_CF_SEC_New_27-Mar-2024.xlsx]D-PSDP'!</v>
      </c>
      <c r="G1553" s="32" t="s">
        <v>120</v>
      </c>
      <c r="H1553" s="33"/>
      <c r="I1553" s="33"/>
      <c r="J1553" s="37"/>
    </row>
    <row r="1554" spans="1:10" x14ac:dyDescent="0.3">
      <c r="A1554" s="32" t="s">
        <v>21</v>
      </c>
      <c r="B1554" s="32">
        <f t="shared" si="375"/>
        <v>2055</v>
      </c>
      <c r="C1554" s="33" t="s">
        <v>40</v>
      </c>
      <c r="D1554" s="34" t="s">
        <v>2002</v>
      </c>
      <c r="E1554" s="35" t="str">
        <f t="shared" si="373"/>
        <v>PSDP'!</v>
      </c>
      <c r="F1554" s="34" t="str">
        <f t="shared" si="374"/>
        <v>C:\Users\jaime.benazar\Quorum Business Solutions\Ecopetrol Prometeo - Documents\Planning Space Implementation\3. Analysis &amp; Design\Design\FC22\DRR Jaime\Neiva CPI\[DINA TERCIARIOS_CF_SEC_New_27-Mar-2024.xlsx]D-PSDP'!</v>
      </c>
      <c r="G1554" s="32" t="s">
        <v>120</v>
      </c>
      <c r="H1554" s="33"/>
      <c r="I1554" s="33"/>
      <c r="J1554" s="37"/>
    </row>
    <row r="1555" spans="1:10" x14ac:dyDescent="0.3">
      <c r="A1555" s="32" t="s">
        <v>21</v>
      </c>
      <c r="B1555" s="32">
        <f t="shared" si="375"/>
        <v>2056</v>
      </c>
      <c r="C1555" s="33" t="s">
        <v>40</v>
      </c>
      <c r="D1555" s="34" t="s">
        <v>2002</v>
      </c>
      <c r="E1555" s="35" t="str">
        <f t="shared" si="373"/>
        <v>PSDP'!</v>
      </c>
      <c r="F1555" s="34" t="str">
        <f t="shared" si="374"/>
        <v>C:\Users\jaime.benazar\Quorum Business Solutions\Ecopetrol Prometeo - Documents\Planning Space Implementation\3. Analysis &amp; Design\Design\FC22\DRR Jaime\Neiva CPI\[DINA TERCIARIOS_CF_SEC_New_27-Mar-2024.xlsx]D-PSDP'!</v>
      </c>
      <c r="G1555" s="32" t="s">
        <v>120</v>
      </c>
      <c r="H1555" s="33"/>
      <c r="I1555" s="33"/>
      <c r="J1555" s="37"/>
    </row>
    <row r="1556" spans="1:10" x14ac:dyDescent="0.3">
      <c r="A1556" s="32" t="s">
        <v>21</v>
      </c>
      <c r="B1556" s="32">
        <f t="shared" si="375"/>
        <v>2057</v>
      </c>
      <c r="C1556" s="33" t="s">
        <v>40</v>
      </c>
      <c r="D1556" s="34" t="s">
        <v>2002</v>
      </c>
      <c r="E1556" s="35" t="str">
        <f t="shared" si="373"/>
        <v>PSDP'!</v>
      </c>
      <c r="F1556" s="34" t="str">
        <f t="shared" si="374"/>
        <v>C:\Users\jaime.benazar\Quorum Business Solutions\Ecopetrol Prometeo - Documents\Planning Space Implementation\3. Analysis &amp; Design\Design\FC22\DRR Jaime\Neiva CPI\[DINA TERCIARIOS_CF_SEC_New_27-Mar-2024.xlsx]D-PSDP'!</v>
      </c>
      <c r="G1556" s="32" t="s">
        <v>120</v>
      </c>
      <c r="H1556" s="33"/>
      <c r="I1556" s="33"/>
      <c r="J1556" s="37"/>
    </row>
    <row r="1557" spans="1:10" x14ac:dyDescent="0.3">
      <c r="A1557" s="32" t="s">
        <v>21</v>
      </c>
      <c r="B1557" s="32">
        <f t="shared" si="375"/>
        <v>2058</v>
      </c>
      <c r="C1557" s="33" t="s">
        <v>40</v>
      </c>
      <c r="D1557" s="34" t="s">
        <v>2002</v>
      </c>
      <c r="E1557" s="35" t="str">
        <f t="shared" si="373"/>
        <v>PSDP'!</v>
      </c>
      <c r="F1557" s="34" t="str">
        <f t="shared" si="374"/>
        <v>C:\Users\jaime.benazar\Quorum Business Solutions\Ecopetrol Prometeo - Documents\Planning Space Implementation\3. Analysis &amp; Design\Design\FC22\DRR Jaime\Neiva CPI\[DINA TERCIARIOS_CF_SEC_New_27-Mar-2024.xlsx]D-PSDP'!</v>
      </c>
      <c r="G1557" s="32" t="s">
        <v>120</v>
      </c>
      <c r="H1557" s="33"/>
      <c r="I1557" s="33"/>
      <c r="J1557" s="37"/>
    </row>
    <row r="1558" spans="1:10" x14ac:dyDescent="0.3">
      <c r="A1558" s="32" t="s">
        <v>21</v>
      </c>
      <c r="B1558" s="32">
        <f t="shared" si="375"/>
        <v>2059</v>
      </c>
      <c r="C1558" s="33" t="s">
        <v>40</v>
      </c>
      <c r="D1558" s="34" t="s">
        <v>2002</v>
      </c>
      <c r="E1558" s="35" t="str">
        <f t="shared" si="373"/>
        <v>PSDP'!</v>
      </c>
      <c r="F1558" s="34" t="str">
        <f t="shared" si="374"/>
        <v>C:\Users\jaime.benazar\Quorum Business Solutions\Ecopetrol Prometeo - Documents\Planning Space Implementation\3. Analysis &amp; Design\Design\FC22\DRR Jaime\Neiva CPI\[DINA TERCIARIOS_CF_SEC_New_27-Mar-2024.xlsx]D-PSDP'!</v>
      </c>
      <c r="G1558" s="32" t="s">
        <v>120</v>
      </c>
      <c r="H1558" s="33"/>
      <c r="I1558" s="33"/>
      <c r="J1558" s="37"/>
    </row>
    <row r="1559" spans="1:10" x14ac:dyDescent="0.3">
      <c r="A1559" s="32" t="s">
        <v>26</v>
      </c>
      <c r="B1559" s="32"/>
      <c r="C1559" s="33" t="s">
        <v>40</v>
      </c>
      <c r="D1559" s="34"/>
      <c r="E1559" s="35"/>
      <c r="F1559" s="34"/>
      <c r="G1559" s="32"/>
      <c r="H1559" s="33"/>
      <c r="I1559" s="33"/>
      <c r="J1559" s="33"/>
    </row>
    <row r="1560" spans="1:10" x14ac:dyDescent="0.3">
      <c r="A1560" s="32" t="s">
        <v>22</v>
      </c>
      <c r="B1560" s="32">
        <v>2023</v>
      </c>
      <c r="C1560" s="33" t="s">
        <v>40</v>
      </c>
      <c r="D1560" s="34" t="s">
        <v>2002</v>
      </c>
      <c r="E1560" s="35" t="str">
        <f t="shared" ref="E1560:E1580" si="376">_xlfn.CONCAT(A1560,"'!")</f>
        <v>PSNP'!</v>
      </c>
      <c r="F1560" s="34" t="str">
        <f t="shared" ref="F1560:F1580" si="377">_xlfn.CONCAT(D1560:E1560)</f>
        <v>C:\Users\jaime.benazar\Quorum Business Solutions\Ecopetrol Prometeo - Documents\Planning Space Implementation\3. Analysis &amp; Design\Design\FC22\DRR Jaime\Neiva CPI\[DINA TERCIARIOS_CF_SEC_New_27-Mar-2024.xlsx]D-PSNP'!</v>
      </c>
      <c r="G1560" s="32" t="s">
        <v>120</v>
      </c>
      <c r="H1560" s="33"/>
      <c r="I1560" s="33"/>
      <c r="J1560" s="37"/>
    </row>
    <row r="1561" spans="1:10" x14ac:dyDescent="0.3">
      <c r="A1561" s="32" t="s">
        <v>22</v>
      </c>
      <c r="B1561" s="32">
        <f>+B1560+1</f>
        <v>2024</v>
      </c>
      <c r="C1561" s="33" t="s">
        <v>40</v>
      </c>
      <c r="D1561" s="34" t="s">
        <v>2002</v>
      </c>
      <c r="E1561" s="35" t="str">
        <f t="shared" si="376"/>
        <v>PSNP'!</v>
      </c>
      <c r="F1561" s="34" t="str">
        <f t="shared" si="377"/>
        <v>C:\Users\jaime.benazar\Quorum Business Solutions\Ecopetrol Prometeo - Documents\Planning Space Implementation\3. Analysis &amp; Design\Design\FC22\DRR Jaime\Neiva CPI\[DINA TERCIARIOS_CF_SEC_New_27-Mar-2024.xlsx]D-PSNP'!</v>
      </c>
      <c r="G1561" s="32" t="s">
        <v>120</v>
      </c>
      <c r="H1561" s="33"/>
      <c r="I1561" s="33"/>
      <c r="J1561" s="37"/>
    </row>
    <row r="1562" spans="1:10" x14ac:dyDescent="0.3">
      <c r="A1562" s="32" t="s">
        <v>22</v>
      </c>
      <c r="B1562" s="32">
        <f t="shared" ref="B1562:B1573" si="378">+B1561+1</f>
        <v>2025</v>
      </c>
      <c r="C1562" s="33" t="s">
        <v>40</v>
      </c>
      <c r="D1562" s="34" t="s">
        <v>2002</v>
      </c>
      <c r="E1562" s="35" t="str">
        <f t="shared" si="376"/>
        <v>PSNP'!</v>
      </c>
      <c r="F1562" s="34" t="str">
        <f t="shared" si="377"/>
        <v>C:\Users\jaime.benazar\Quorum Business Solutions\Ecopetrol Prometeo - Documents\Planning Space Implementation\3. Analysis &amp; Design\Design\FC22\DRR Jaime\Neiva CPI\[DINA TERCIARIOS_CF_SEC_New_27-Mar-2024.xlsx]D-PSNP'!</v>
      </c>
      <c r="G1562" s="32" t="s">
        <v>120</v>
      </c>
      <c r="H1562" s="33"/>
      <c r="I1562" s="33"/>
      <c r="J1562" s="37"/>
    </row>
    <row r="1563" spans="1:10" x14ac:dyDescent="0.3">
      <c r="A1563" s="32" t="s">
        <v>22</v>
      </c>
      <c r="B1563" s="32">
        <f t="shared" si="378"/>
        <v>2026</v>
      </c>
      <c r="C1563" s="33" t="s">
        <v>40</v>
      </c>
      <c r="D1563" s="34" t="s">
        <v>2002</v>
      </c>
      <c r="E1563" s="35" t="str">
        <f t="shared" si="376"/>
        <v>PSNP'!</v>
      </c>
      <c r="F1563" s="34" t="str">
        <f t="shared" si="377"/>
        <v>C:\Users\jaime.benazar\Quorum Business Solutions\Ecopetrol Prometeo - Documents\Planning Space Implementation\3. Analysis &amp; Design\Design\FC22\DRR Jaime\Neiva CPI\[DINA TERCIARIOS_CF_SEC_New_27-Mar-2024.xlsx]D-PSNP'!</v>
      </c>
      <c r="G1563" s="32" t="s">
        <v>120</v>
      </c>
      <c r="H1563" s="33"/>
      <c r="I1563" s="33"/>
      <c r="J1563" s="37"/>
    </row>
    <row r="1564" spans="1:10" x14ac:dyDescent="0.3">
      <c r="A1564" s="32" t="s">
        <v>22</v>
      </c>
      <c r="B1564" s="32">
        <f t="shared" si="378"/>
        <v>2027</v>
      </c>
      <c r="C1564" s="33" t="s">
        <v>40</v>
      </c>
      <c r="D1564" s="34" t="s">
        <v>2002</v>
      </c>
      <c r="E1564" s="35" t="str">
        <f t="shared" si="376"/>
        <v>PSNP'!</v>
      </c>
      <c r="F1564" s="34" t="str">
        <f t="shared" si="377"/>
        <v>C:\Users\jaime.benazar\Quorum Business Solutions\Ecopetrol Prometeo - Documents\Planning Space Implementation\3. Analysis &amp; Design\Design\FC22\DRR Jaime\Neiva CPI\[DINA TERCIARIOS_CF_SEC_New_27-Mar-2024.xlsx]D-PSNP'!</v>
      </c>
      <c r="G1564" s="32" t="s">
        <v>120</v>
      </c>
      <c r="H1564" s="33"/>
      <c r="I1564" s="33"/>
      <c r="J1564" s="37"/>
    </row>
    <row r="1565" spans="1:10" x14ac:dyDescent="0.3">
      <c r="A1565" s="32" t="s">
        <v>22</v>
      </c>
      <c r="B1565" s="32">
        <f t="shared" si="378"/>
        <v>2028</v>
      </c>
      <c r="C1565" s="33" t="s">
        <v>40</v>
      </c>
      <c r="D1565" s="34" t="s">
        <v>2002</v>
      </c>
      <c r="E1565" s="35" t="str">
        <f t="shared" si="376"/>
        <v>PSNP'!</v>
      </c>
      <c r="F1565" s="34" t="str">
        <f t="shared" si="377"/>
        <v>C:\Users\jaime.benazar\Quorum Business Solutions\Ecopetrol Prometeo - Documents\Planning Space Implementation\3. Analysis &amp; Design\Design\FC22\DRR Jaime\Neiva CPI\[DINA TERCIARIOS_CF_SEC_New_27-Mar-2024.xlsx]D-PSNP'!</v>
      </c>
      <c r="G1565" s="32" t="s">
        <v>120</v>
      </c>
      <c r="H1565" s="33"/>
      <c r="I1565" s="33"/>
      <c r="J1565" s="37"/>
    </row>
    <row r="1566" spans="1:10" x14ac:dyDescent="0.3">
      <c r="A1566" s="32" t="s">
        <v>22</v>
      </c>
      <c r="B1566" s="32">
        <f t="shared" si="378"/>
        <v>2029</v>
      </c>
      <c r="C1566" s="33" t="s">
        <v>40</v>
      </c>
      <c r="D1566" s="34" t="s">
        <v>2002</v>
      </c>
      <c r="E1566" s="35" t="str">
        <f t="shared" si="376"/>
        <v>PSNP'!</v>
      </c>
      <c r="F1566" s="34" t="str">
        <f t="shared" si="377"/>
        <v>C:\Users\jaime.benazar\Quorum Business Solutions\Ecopetrol Prometeo - Documents\Planning Space Implementation\3. Analysis &amp; Design\Design\FC22\DRR Jaime\Neiva CPI\[DINA TERCIARIOS_CF_SEC_New_27-Mar-2024.xlsx]D-PSNP'!</v>
      </c>
      <c r="G1566" s="32" t="s">
        <v>120</v>
      </c>
      <c r="H1566" s="33"/>
      <c r="I1566" s="33"/>
      <c r="J1566" s="37"/>
    </row>
    <row r="1567" spans="1:10" x14ac:dyDescent="0.3">
      <c r="A1567" s="32" t="s">
        <v>22</v>
      </c>
      <c r="B1567" s="32">
        <f t="shared" si="378"/>
        <v>2030</v>
      </c>
      <c r="C1567" s="33" t="s">
        <v>40</v>
      </c>
      <c r="D1567" s="34" t="s">
        <v>2002</v>
      </c>
      <c r="E1567" s="35" t="str">
        <f t="shared" si="376"/>
        <v>PSNP'!</v>
      </c>
      <c r="F1567" s="34" t="str">
        <f t="shared" si="377"/>
        <v>C:\Users\jaime.benazar\Quorum Business Solutions\Ecopetrol Prometeo - Documents\Planning Space Implementation\3. Analysis &amp; Design\Design\FC22\DRR Jaime\Neiva CPI\[DINA TERCIARIOS_CF_SEC_New_27-Mar-2024.xlsx]D-PSNP'!</v>
      </c>
      <c r="G1567" s="32" t="s">
        <v>120</v>
      </c>
      <c r="H1567" s="33"/>
      <c r="I1567" s="33"/>
      <c r="J1567" s="37"/>
    </row>
    <row r="1568" spans="1:10" x14ac:dyDescent="0.3">
      <c r="A1568" s="32" t="s">
        <v>22</v>
      </c>
      <c r="B1568" s="32">
        <f t="shared" si="378"/>
        <v>2031</v>
      </c>
      <c r="C1568" s="33" t="s">
        <v>40</v>
      </c>
      <c r="D1568" s="34" t="s">
        <v>2002</v>
      </c>
      <c r="E1568" s="35" t="str">
        <f t="shared" si="376"/>
        <v>PSNP'!</v>
      </c>
      <c r="F1568" s="34" t="str">
        <f t="shared" si="377"/>
        <v>C:\Users\jaime.benazar\Quorum Business Solutions\Ecopetrol Prometeo - Documents\Planning Space Implementation\3. Analysis &amp; Design\Design\FC22\DRR Jaime\Neiva CPI\[DINA TERCIARIOS_CF_SEC_New_27-Mar-2024.xlsx]D-PSNP'!</v>
      </c>
      <c r="G1568" s="32" t="s">
        <v>120</v>
      </c>
      <c r="H1568" s="33"/>
      <c r="I1568" s="33"/>
      <c r="J1568" s="37"/>
    </row>
    <row r="1569" spans="1:10" x14ac:dyDescent="0.3">
      <c r="A1569" s="32" t="s">
        <v>22</v>
      </c>
      <c r="B1569" s="32">
        <f t="shared" si="378"/>
        <v>2032</v>
      </c>
      <c r="C1569" s="33" t="s">
        <v>40</v>
      </c>
      <c r="D1569" s="34" t="s">
        <v>2002</v>
      </c>
      <c r="E1569" s="35" t="str">
        <f t="shared" si="376"/>
        <v>PSNP'!</v>
      </c>
      <c r="F1569" s="34" t="str">
        <f t="shared" si="377"/>
        <v>C:\Users\jaime.benazar\Quorum Business Solutions\Ecopetrol Prometeo - Documents\Planning Space Implementation\3. Analysis &amp; Design\Design\FC22\DRR Jaime\Neiva CPI\[DINA TERCIARIOS_CF_SEC_New_27-Mar-2024.xlsx]D-PSNP'!</v>
      </c>
      <c r="G1569" s="32" t="s">
        <v>120</v>
      </c>
      <c r="H1569" s="33"/>
      <c r="I1569" s="33"/>
      <c r="J1569" s="37"/>
    </row>
    <row r="1570" spans="1:10" x14ac:dyDescent="0.3">
      <c r="A1570" s="32" t="s">
        <v>22</v>
      </c>
      <c r="B1570" s="32">
        <f t="shared" si="378"/>
        <v>2033</v>
      </c>
      <c r="C1570" s="33" t="s">
        <v>40</v>
      </c>
      <c r="D1570" s="34" t="s">
        <v>2002</v>
      </c>
      <c r="E1570" s="35" t="str">
        <f t="shared" si="376"/>
        <v>PSNP'!</v>
      </c>
      <c r="F1570" s="34" t="str">
        <f t="shared" si="377"/>
        <v>C:\Users\jaime.benazar\Quorum Business Solutions\Ecopetrol Prometeo - Documents\Planning Space Implementation\3. Analysis &amp; Design\Design\FC22\DRR Jaime\Neiva CPI\[DINA TERCIARIOS_CF_SEC_New_27-Mar-2024.xlsx]D-PSNP'!</v>
      </c>
      <c r="G1570" s="32" t="s">
        <v>120</v>
      </c>
      <c r="H1570" s="33"/>
      <c r="I1570" s="33"/>
      <c r="J1570" s="37"/>
    </row>
    <row r="1571" spans="1:10" x14ac:dyDescent="0.3">
      <c r="A1571" s="32" t="s">
        <v>22</v>
      </c>
      <c r="B1571" s="32">
        <f t="shared" si="378"/>
        <v>2034</v>
      </c>
      <c r="C1571" s="33" t="s">
        <v>40</v>
      </c>
      <c r="D1571" s="34" t="s">
        <v>2002</v>
      </c>
      <c r="E1571" s="35" t="str">
        <f t="shared" si="376"/>
        <v>PSNP'!</v>
      </c>
      <c r="F1571" s="34" t="str">
        <f t="shared" si="377"/>
        <v>C:\Users\jaime.benazar\Quorum Business Solutions\Ecopetrol Prometeo - Documents\Planning Space Implementation\3. Analysis &amp; Design\Design\FC22\DRR Jaime\Neiva CPI\[DINA TERCIARIOS_CF_SEC_New_27-Mar-2024.xlsx]D-PSNP'!</v>
      </c>
      <c r="G1571" s="32" t="s">
        <v>120</v>
      </c>
      <c r="H1571" s="33"/>
      <c r="I1571" s="33"/>
      <c r="J1571" s="37"/>
    </row>
    <row r="1572" spans="1:10" x14ac:dyDescent="0.3">
      <c r="A1572" s="32" t="s">
        <v>22</v>
      </c>
      <c r="B1572" s="32">
        <f t="shared" si="378"/>
        <v>2035</v>
      </c>
      <c r="C1572" s="33" t="s">
        <v>40</v>
      </c>
      <c r="D1572" s="34" t="s">
        <v>2002</v>
      </c>
      <c r="E1572" s="35" t="str">
        <f t="shared" si="376"/>
        <v>PSNP'!</v>
      </c>
      <c r="F1572" s="34" t="str">
        <f t="shared" si="377"/>
        <v>C:\Users\jaime.benazar\Quorum Business Solutions\Ecopetrol Prometeo - Documents\Planning Space Implementation\3. Analysis &amp; Design\Design\FC22\DRR Jaime\Neiva CPI\[DINA TERCIARIOS_CF_SEC_New_27-Mar-2024.xlsx]D-PSNP'!</v>
      </c>
      <c r="G1572" s="32" t="s">
        <v>120</v>
      </c>
      <c r="H1572" s="33"/>
      <c r="I1572" s="33"/>
      <c r="J1572" s="37"/>
    </row>
    <row r="1573" spans="1:10" x14ac:dyDescent="0.3">
      <c r="A1573" s="32" t="s">
        <v>22</v>
      </c>
      <c r="B1573" s="32">
        <f t="shared" si="378"/>
        <v>2036</v>
      </c>
      <c r="C1573" s="33" t="s">
        <v>40</v>
      </c>
      <c r="D1573" s="34" t="s">
        <v>2002</v>
      </c>
      <c r="E1573" s="35" t="str">
        <f t="shared" si="376"/>
        <v>PSNP'!</v>
      </c>
      <c r="F1573" s="34" t="str">
        <f t="shared" si="377"/>
        <v>C:\Users\jaime.benazar\Quorum Business Solutions\Ecopetrol Prometeo - Documents\Planning Space Implementation\3. Analysis &amp; Design\Design\FC22\DRR Jaime\Neiva CPI\[DINA TERCIARIOS_CF_SEC_New_27-Mar-2024.xlsx]D-PSNP'!</v>
      </c>
      <c r="G1573" s="32" t="s">
        <v>120</v>
      </c>
      <c r="H1573" s="33"/>
      <c r="I1573" s="33"/>
      <c r="J1573" s="37"/>
    </row>
    <row r="1574" spans="1:10" x14ac:dyDescent="0.3">
      <c r="A1574" s="32" t="s">
        <v>22</v>
      </c>
      <c r="B1574" s="32">
        <f>+B1573+1</f>
        <v>2037</v>
      </c>
      <c r="C1574" s="33" t="s">
        <v>40</v>
      </c>
      <c r="D1574" s="34" t="s">
        <v>2002</v>
      </c>
      <c r="E1574" s="35" t="str">
        <f t="shared" si="376"/>
        <v>PSNP'!</v>
      </c>
      <c r="F1574" s="34" t="str">
        <f t="shared" si="377"/>
        <v>C:\Users\jaime.benazar\Quorum Business Solutions\Ecopetrol Prometeo - Documents\Planning Space Implementation\3. Analysis &amp; Design\Design\FC22\DRR Jaime\Neiva CPI\[DINA TERCIARIOS_CF_SEC_New_27-Mar-2024.xlsx]D-PSNP'!</v>
      </c>
      <c r="G1574" s="32" t="s">
        <v>120</v>
      </c>
      <c r="H1574" s="33"/>
      <c r="I1574" s="33"/>
      <c r="J1574" s="37"/>
    </row>
    <row r="1575" spans="1:10" x14ac:dyDescent="0.3">
      <c r="A1575" s="32" t="s">
        <v>22</v>
      </c>
      <c r="B1575" s="32">
        <f t="shared" ref="B1575:B1577" si="379">+B1574+1</f>
        <v>2038</v>
      </c>
      <c r="C1575" s="33" t="s">
        <v>40</v>
      </c>
      <c r="D1575" s="34" t="s">
        <v>2002</v>
      </c>
      <c r="E1575" s="35" t="str">
        <f t="shared" si="376"/>
        <v>PSNP'!</v>
      </c>
      <c r="F1575" s="34" t="str">
        <f t="shared" si="377"/>
        <v>C:\Users\jaime.benazar\Quorum Business Solutions\Ecopetrol Prometeo - Documents\Planning Space Implementation\3. Analysis &amp; Design\Design\FC22\DRR Jaime\Neiva CPI\[DINA TERCIARIOS_CF_SEC_New_27-Mar-2024.xlsx]D-PSNP'!</v>
      </c>
      <c r="G1575" s="32" t="s">
        <v>120</v>
      </c>
      <c r="H1575" s="33"/>
      <c r="I1575" s="33"/>
      <c r="J1575" s="37"/>
    </row>
    <row r="1576" spans="1:10" x14ac:dyDescent="0.3">
      <c r="A1576" s="32" t="s">
        <v>22</v>
      </c>
      <c r="B1576" s="32">
        <f t="shared" si="379"/>
        <v>2039</v>
      </c>
      <c r="C1576" s="33" t="s">
        <v>40</v>
      </c>
      <c r="D1576" s="34" t="s">
        <v>2002</v>
      </c>
      <c r="E1576" s="35" t="str">
        <f t="shared" si="376"/>
        <v>PSNP'!</v>
      </c>
      <c r="F1576" s="34" t="str">
        <f t="shared" si="377"/>
        <v>C:\Users\jaime.benazar\Quorum Business Solutions\Ecopetrol Prometeo - Documents\Planning Space Implementation\3. Analysis &amp; Design\Design\FC22\DRR Jaime\Neiva CPI\[DINA TERCIARIOS_CF_SEC_New_27-Mar-2024.xlsx]D-PSNP'!</v>
      </c>
      <c r="G1576" s="32" t="s">
        <v>120</v>
      </c>
      <c r="H1576" s="33"/>
      <c r="I1576" s="33"/>
      <c r="J1576" s="37"/>
    </row>
    <row r="1577" spans="1:10" x14ac:dyDescent="0.3">
      <c r="A1577" s="32" t="s">
        <v>22</v>
      </c>
      <c r="B1577" s="32">
        <f t="shared" si="379"/>
        <v>2040</v>
      </c>
      <c r="C1577" s="33" t="s">
        <v>40</v>
      </c>
      <c r="D1577" s="34" t="s">
        <v>2002</v>
      </c>
      <c r="E1577" s="35" t="str">
        <f t="shared" si="376"/>
        <v>PSNP'!</v>
      </c>
      <c r="F1577" s="34" t="str">
        <f t="shared" si="377"/>
        <v>C:\Users\jaime.benazar\Quorum Business Solutions\Ecopetrol Prometeo - Documents\Planning Space Implementation\3. Analysis &amp; Design\Design\FC22\DRR Jaime\Neiva CPI\[DINA TERCIARIOS_CF_SEC_New_27-Mar-2024.xlsx]D-PSNP'!</v>
      </c>
      <c r="G1577" s="32" t="s">
        <v>120</v>
      </c>
      <c r="H1577" s="33"/>
      <c r="I1577" s="33"/>
      <c r="J1577" s="37"/>
    </row>
    <row r="1578" spans="1:10" x14ac:dyDescent="0.3">
      <c r="A1578" s="32" t="s">
        <v>22</v>
      </c>
      <c r="B1578" s="32">
        <f>+B1577+1</f>
        <v>2041</v>
      </c>
      <c r="C1578" s="33" t="s">
        <v>40</v>
      </c>
      <c r="D1578" s="34" t="s">
        <v>2002</v>
      </c>
      <c r="E1578" s="35" t="str">
        <f t="shared" si="376"/>
        <v>PSNP'!</v>
      </c>
      <c r="F1578" s="34" t="str">
        <f t="shared" si="377"/>
        <v>C:\Users\jaime.benazar\Quorum Business Solutions\Ecopetrol Prometeo - Documents\Planning Space Implementation\3. Analysis &amp; Design\Design\FC22\DRR Jaime\Neiva CPI\[DINA TERCIARIOS_CF_SEC_New_27-Mar-2024.xlsx]D-PSNP'!</v>
      </c>
      <c r="G1578" s="32" t="s">
        <v>120</v>
      </c>
      <c r="H1578" s="33"/>
      <c r="I1578" s="33"/>
      <c r="J1578" s="37"/>
    </row>
    <row r="1579" spans="1:10" x14ac:dyDescent="0.3">
      <c r="A1579" s="32" t="s">
        <v>22</v>
      </c>
      <c r="B1579" s="32">
        <f t="shared" ref="B1579:B1580" si="380">+B1578+1</f>
        <v>2042</v>
      </c>
      <c r="C1579" s="33" t="s">
        <v>40</v>
      </c>
      <c r="D1579" s="34" t="s">
        <v>2002</v>
      </c>
      <c r="E1579" s="35" t="str">
        <f t="shared" si="376"/>
        <v>PSNP'!</v>
      </c>
      <c r="F1579" s="34" t="str">
        <f t="shared" si="377"/>
        <v>C:\Users\jaime.benazar\Quorum Business Solutions\Ecopetrol Prometeo - Documents\Planning Space Implementation\3. Analysis &amp; Design\Design\FC22\DRR Jaime\Neiva CPI\[DINA TERCIARIOS_CF_SEC_New_27-Mar-2024.xlsx]D-PSNP'!</v>
      </c>
      <c r="G1579" s="32" t="s">
        <v>120</v>
      </c>
      <c r="H1579" s="33"/>
      <c r="I1579" s="33"/>
      <c r="J1579" s="37"/>
    </row>
    <row r="1580" spans="1:10" x14ac:dyDescent="0.3">
      <c r="A1580" s="32" t="s">
        <v>22</v>
      </c>
      <c r="B1580" s="32">
        <f t="shared" si="380"/>
        <v>2043</v>
      </c>
      <c r="C1580" s="33" t="s">
        <v>40</v>
      </c>
      <c r="D1580" s="34" t="s">
        <v>2002</v>
      </c>
      <c r="E1580" s="35" t="str">
        <f t="shared" si="376"/>
        <v>PSNP'!</v>
      </c>
      <c r="F1580" s="34" t="str">
        <f t="shared" si="377"/>
        <v>C:\Users\jaime.benazar\Quorum Business Solutions\Ecopetrol Prometeo - Documents\Planning Space Implementation\3. Analysis &amp; Design\Design\FC22\DRR Jaime\Neiva CPI\[DINA TERCIARIOS_CF_SEC_New_27-Mar-2024.xlsx]D-PSNP'!</v>
      </c>
      <c r="G1580" s="32" t="s">
        <v>120</v>
      </c>
      <c r="H1580" s="33"/>
      <c r="I1580" s="33"/>
      <c r="J1580" s="37"/>
    </row>
    <row r="1581" spans="1:10" x14ac:dyDescent="0.3">
      <c r="A1581" s="32" t="s">
        <v>22</v>
      </c>
      <c r="B1581" s="32">
        <f>+B1580+1</f>
        <v>2044</v>
      </c>
      <c r="C1581" s="33" t="s">
        <v>40</v>
      </c>
      <c r="D1581" s="34" t="s">
        <v>2002</v>
      </c>
      <c r="E1581" s="35" t="str">
        <f t="shared" ref="E1581:E1596" si="381">_xlfn.CONCAT(A1581,"'!")</f>
        <v>PSNP'!</v>
      </c>
      <c r="F1581" s="34" t="str">
        <f t="shared" ref="F1581:F1596" si="382">_xlfn.CONCAT(D1581:E1581)</f>
        <v>C:\Users\jaime.benazar\Quorum Business Solutions\Ecopetrol Prometeo - Documents\Planning Space Implementation\3. Analysis &amp; Design\Design\FC22\DRR Jaime\Neiva CPI\[DINA TERCIARIOS_CF_SEC_New_27-Mar-2024.xlsx]D-PSNP'!</v>
      </c>
      <c r="G1581" s="32" t="s">
        <v>120</v>
      </c>
      <c r="H1581" s="33"/>
      <c r="I1581" s="33"/>
      <c r="J1581" s="37"/>
    </row>
    <row r="1582" spans="1:10" x14ac:dyDescent="0.3">
      <c r="A1582" s="32" t="s">
        <v>22</v>
      </c>
      <c r="B1582" s="32">
        <f t="shared" ref="B1582:B1596" si="383">+B1581+1</f>
        <v>2045</v>
      </c>
      <c r="C1582" s="33" t="s">
        <v>40</v>
      </c>
      <c r="D1582" s="34" t="s">
        <v>2002</v>
      </c>
      <c r="E1582" s="35" t="str">
        <f t="shared" si="381"/>
        <v>PSNP'!</v>
      </c>
      <c r="F1582" s="34" t="str">
        <f t="shared" si="382"/>
        <v>C:\Users\jaime.benazar\Quorum Business Solutions\Ecopetrol Prometeo - Documents\Planning Space Implementation\3. Analysis &amp; Design\Design\FC22\DRR Jaime\Neiva CPI\[DINA TERCIARIOS_CF_SEC_New_27-Mar-2024.xlsx]D-PSNP'!</v>
      </c>
      <c r="G1582" s="32" t="s">
        <v>120</v>
      </c>
      <c r="H1582" s="33"/>
      <c r="I1582" s="33"/>
      <c r="J1582" s="37"/>
    </row>
    <row r="1583" spans="1:10" x14ac:dyDescent="0.3">
      <c r="A1583" s="32" t="s">
        <v>22</v>
      </c>
      <c r="B1583" s="32">
        <f t="shared" si="383"/>
        <v>2046</v>
      </c>
      <c r="C1583" s="33" t="s">
        <v>40</v>
      </c>
      <c r="D1583" s="34" t="s">
        <v>2002</v>
      </c>
      <c r="E1583" s="35" t="str">
        <f t="shared" si="381"/>
        <v>PSNP'!</v>
      </c>
      <c r="F1583" s="34" t="str">
        <f t="shared" si="382"/>
        <v>C:\Users\jaime.benazar\Quorum Business Solutions\Ecopetrol Prometeo - Documents\Planning Space Implementation\3. Analysis &amp; Design\Design\FC22\DRR Jaime\Neiva CPI\[DINA TERCIARIOS_CF_SEC_New_27-Mar-2024.xlsx]D-PSNP'!</v>
      </c>
      <c r="G1583" s="32" t="s">
        <v>120</v>
      </c>
      <c r="H1583" s="33"/>
      <c r="I1583" s="33"/>
      <c r="J1583" s="37"/>
    </row>
    <row r="1584" spans="1:10" x14ac:dyDescent="0.3">
      <c r="A1584" s="32" t="s">
        <v>22</v>
      </c>
      <c r="B1584" s="32">
        <f t="shared" si="383"/>
        <v>2047</v>
      </c>
      <c r="C1584" s="33" t="s">
        <v>40</v>
      </c>
      <c r="D1584" s="34" t="s">
        <v>2002</v>
      </c>
      <c r="E1584" s="35" t="str">
        <f t="shared" si="381"/>
        <v>PSNP'!</v>
      </c>
      <c r="F1584" s="34" t="str">
        <f t="shared" si="382"/>
        <v>C:\Users\jaime.benazar\Quorum Business Solutions\Ecopetrol Prometeo - Documents\Planning Space Implementation\3. Analysis &amp; Design\Design\FC22\DRR Jaime\Neiva CPI\[DINA TERCIARIOS_CF_SEC_New_27-Mar-2024.xlsx]D-PSNP'!</v>
      </c>
      <c r="G1584" s="32" t="s">
        <v>120</v>
      </c>
      <c r="H1584" s="33"/>
      <c r="I1584" s="33"/>
      <c r="J1584" s="37"/>
    </row>
    <row r="1585" spans="1:10" x14ac:dyDescent="0.3">
      <c r="A1585" s="32" t="s">
        <v>22</v>
      </c>
      <c r="B1585" s="32">
        <f t="shared" si="383"/>
        <v>2048</v>
      </c>
      <c r="C1585" s="33" t="s">
        <v>40</v>
      </c>
      <c r="D1585" s="34" t="s">
        <v>2002</v>
      </c>
      <c r="E1585" s="35" t="str">
        <f t="shared" si="381"/>
        <v>PSNP'!</v>
      </c>
      <c r="F1585" s="34" t="str">
        <f t="shared" si="382"/>
        <v>C:\Users\jaime.benazar\Quorum Business Solutions\Ecopetrol Prometeo - Documents\Planning Space Implementation\3. Analysis &amp; Design\Design\FC22\DRR Jaime\Neiva CPI\[DINA TERCIARIOS_CF_SEC_New_27-Mar-2024.xlsx]D-PSNP'!</v>
      </c>
      <c r="G1585" s="32" t="s">
        <v>120</v>
      </c>
      <c r="H1585" s="33"/>
      <c r="I1585" s="33"/>
      <c r="J1585" s="37"/>
    </row>
    <row r="1586" spans="1:10" x14ac:dyDescent="0.3">
      <c r="A1586" s="32" t="s">
        <v>22</v>
      </c>
      <c r="B1586" s="32">
        <f t="shared" si="383"/>
        <v>2049</v>
      </c>
      <c r="C1586" s="33" t="s">
        <v>40</v>
      </c>
      <c r="D1586" s="34" t="s">
        <v>2002</v>
      </c>
      <c r="E1586" s="35" t="str">
        <f t="shared" si="381"/>
        <v>PSNP'!</v>
      </c>
      <c r="F1586" s="34" t="str">
        <f t="shared" si="382"/>
        <v>C:\Users\jaime.benazar\Quorum Business Solutions\Ecopetrol Prometeo - Documents\Planning Space Implementation\3. Analysis &amp; Design\Design\FC22\DRR Jaime\Neiva CPI\[DINA TERCIARIOS_CF_SEC_New_27-Mar-2024.xlsx]D-PSNP'!</v>
      </c>
      <c r="G1586" s="32" t="s">
        <v>120</v>
      </c>
      <c r="H1586" s="33"/>
      <c r="I1586" s="33"/>
      <c r="J1586" s="37"/>
    </row>
    <row r="1587" spans="1:10" x14ac:dyDescent="0.3">
      <c r="A1587" s="32" t="s">
        <v>22</v>
      </c>
      <c r="B1587" s="32">
        <f t="shared" si="383"/>
        <v>2050</v>
      </c>
      <c r="C1587" s="33" t="s">
        <v>40</v>
      </c>
      <c r="D1587" s="34" t="s">
        <v>2002</v>
      </c>
      <c r="E1587" s="35" t="str">
        <f t="shared" si="381"/>
        <v>PSNP'!</v>
      </c>
      <c r="F1587" s="34" t="str">
        <f t="shared" si="382"/>
        <v>C:\Users\jaime.benazar\Quorum Business Solutions\Ecopetrol Prometeo - Documents\Planning Space Implementation\3. Analysis &amp; Design\Design\FC22\DRR Jaime\Neiva CPI\[DINA TERCIARIOS_CF_SEC_New_27-Mar-2024.xlsx]D-PSNP'!</v>
      </c>
      <c r="G1587" s="32" t="s">
        <v>120</v>
      </c>
      <c r="H1587" s="33"/>
      <c r="I1587" s="33"/>
      <c r="J1587" s="37"/>
    </row>
    <row r="1588" spans="1:10" x14ac:dyDescent="0.3">
      <c r="A1588" s="32" t="s">
        <v>22</v>
      </c>
      <c r="B1588" s="32">
        <f t="shared" si="383"/>
        <v>2051</v>
      </c>
      <c r="C1588" s="33" t="s">
        <v>40</v>
      </c>
      <c r="D1588" s="34" t="s">
        <v>2002</v>
      </c>
      <c r="E1588" s="35" t="str">
        <f t="shared" si="381"/>
        <v>PSNP'!</v>
      </c>
      <c r="F1588" s="34" t="str">
        <f t="shared" si="382"/>
        <v>C:\Users\jaime.benazar\Quorum Business Solutions\Ecopetrol Prometeo - Documents\Planning Space Implementation\3. Analysis &amp; Design\Design\FC22\DRR Jaime\Neiva CPI\[DINA TERCIARIOS_CF_SEC_New_27-Mar-2024.xlsx]D-PSNP'!</v>
      </c>
      <c r="G1588" s="32" t="s">
        <v>120</v>
      </c>
      <c r="H1588" s="33"/>
      <c r="I1588" s="33"/>
      <c r="J1588" s="37"/>
    </row>
    <row r="1589" spans="1:10" x14ac:dyDescent="0.3">
      <c r="A1589" s="32" t="s">
        <v>22</v>
      </c>
      <c r="B1589" s="32">
        <f t="shared" si="383"/>
        <v>2052</v>
      </c>
      <c r="C1589" s="33" t="s">
        <v>40</v>
      </c>
      <c r="D1589" s="34" t="s">
        <v>2002</v>
      </c>
      <c r="E1589" s="35" t="str">
        <f t="shared" si="381"/>
        <v>PSNP'!</v>
      </c>
      <c r="F1589" s="34" t="str">
        <f t="shared" si="382"/>
        <v>C:\Users\jaime.benazar\Quorum Business Solutions\Ecopetrol Prometeo - Documents\Planning Space Implementation\3. Analysis &amp; Design\Design\FC22\DRR Jaime\Neiva CPI\[DINA TERCIARIOS_CF_SEC_New_27-Mar-2024.xlsx]D-PSNP'!</v>
      </c>
      <c r="G1589" s="32" t="s">
        <v>120</v>
      </c>
      <c r="H1589" s="33"/>
      <c r="I1589" s="33"/>
      <c r="J1589" s="37"/>
    </row>
    <row r="1590" spans="1:10" x14ac:dyDescent="0.3">
      <c r="A1590" s="32" t="s">
        <v>22</v>
      </c>
      <c r="B1590" s="32">
        <f t="shared" si="383"/>
        <v>2053</v>
      </c>
      <c r="C1590" s="33" t="s">
        <v>40</v>
      </c>
      <c r="D1590" s="34" t="s">
        <v>2002</v>
      </c>
      <c r="E1590" s="35" t="str">
        <f t="shared" si="381"/>
        <v>PSNP'!</v>
      </c>
      <c r="F1590" s="34" t="str">
        <f t="shared" si="382"/>
        <v>C:\Users\jaime.benazar\Quorum Business Solutions\Ecopetrol Prometeo - Documents\Planning Space Implementation\3. Analysis &amp; Design\Design\FC22\DRR Jaime\Neiva CPI\[DINA TERCIARIOS_CF_SEC_New_27-Mar-2024.xlsx]D-PSNP'!</v>
      </c>
      <c r="G1590" s="32" t="s">
        <v>120</v>
      </c>
      <c r="H1590" s="33"/>
      <c r="I1590" s="33"/>
      <c r="J1590" s="37"/>
    </row>
    <row r="1591" spans="1:10" x14ac:dyDescent="0.3">
      <c r="A1591" s="32" t="s">
        <v>22</v>
      </c>
      <c r="B1591" s="32">
        <f t="shared" si="383"/>
        <v>2054</v>
      </c>
      <c r="C1591" s="33" t="s">
        <v>40</v>
      </c>
      <c r="D1591" s="34" t="s">
        <v>2002</v>
      </c>
      <c r="E1591" s="35" t="str">
        <f t="shared" si="381"/>
        <v>PSNP'!</v>
      </c>
      <c r="F1591" s="34" t="str">
        <f t="shared" si="382"/>
        <v>C:\Users\jaime.benazar\Quorum Business Solutions\Ecopetrol Prometeo - Documents\Planning Space Implementation\3. Analysis &amp; Design\Design\FC22\DRR Jaime\Neiva CPI\[DINA TERCIARIOS_CF_SEC_New_27-Mar-2024.xlsx]D-PSNP'!</v>
      </c>
      <c r="G1591" s="32" t="s">
        <v>120</v>
      </c>
      <c r="H1591" s="33"/>
      <c r="I1591" s="33"/>
      <c r="J1591" s="37"/>
    </row>
    <row r="1592" spans="1:10" x14ac:dyDescent="0.3">
      <c r="A1592" s="32" t="s">
        <v>22</v>
      </c>
      <c r="B1592" s="32">
        <f t="shared" si="383"/>
        <v>2055</v>
      </c>
      <c r="C1592" s="33" t="s">
        <v>40</v>
      </c>
      <c r="D1592" s="34" t="s">
        <v>2002</v>
      </c>
      <c r="E1592" s="35" t="str">
        <f t="shared" si="381"/>
        <v>PSNP'!</v>
      </c>
      <c r="F1592" s="34" t="str">
        <f t="shared" si="382"/>
        <v>C:\Users\jaime.benazar\Quorum Business Solutions\Ecopetrol Prometeo - Documents\Planning Space Implementation\3. Analysis &amp; Design\Design\FC22\DRR Jaime\Neiva CPI\[DINA TERCIARIOS_CF_SEC_New_27-Mar-2024.xlsx]D-PSNP'!</v>
      </c>
      <c r="G1592" s="32" t="s">
        <v>120</v>
      </c>
      <c r="H1592" s="33"/>
      <c r="I1592" s="33"/>
      <c r="J1592" s="37"/>
    </row>
    <row r="1593" spans="1:10" x14ac:dyDescent="0.3">
      <c r="A1593" s="32" t="s">
        <v>22</v>
      </c>
      <c r="B1593" s="32">
        <f t="shared" si="383"/>
        <v>2056</v>
      </c>
      <c r="C1593" s="33" t="s">
        <v>40</v>
      </c>
      <c r="D1593" s="34" t="s">
        <v>2002</v>
      </c>
      <c r="E1593" s="35" t="str">
        <f t="shared" si="381"/>
        <v>PSNP'!</v>
      </c>
      <c r="F1593" s="34" t="str">
        <f t="shared" si="382"/>
        <v>C:\Users\jaime.benazar\Quorum Business Solutions\Ecopetrol Prometeo - Documents\Planning Space Implementation\3. Analysis &amp; Design\Design\FC22\DRR Jaime\Neiva CPI\[DINA TERCIARIOS_CF_SEC_New_27-Mar-2024.xlsx]D-PSNP'!</v>
      </c>
      <c r="G1593" s="32" t="s">
        <v>120</v>
      </c>
      <c r="H1593" s="33"/>
      <c r="I1593" s="33"/>
      <c r="J1593" s="37"/>
    </row>
    <row r="1594" spans="1:10" x14ac:dyDescent="0.3">
      <c r="A1594" s="32" t="s">
        <v>22</v>
      </c>
      <c r="B1594" s="32">
        <f t="shared" si="383"/>
        <v>2057</v>
      </c>
      <c r="C1594" s="33" t="s">
        <v>40</v>
      </c>
      <c r="D1594" s="34" t="s">
        <v>2002</v>
      </c>
      <c r="E1594" s="35" t="str">
        <f t="shared" si="381"/>
        <v>PSNP'!</v>
      </c>
      <c r="F1594" s="34" t="str">
        <f t="shared" si="382"/>
        <v>C:\Users\jaime.benazar\Quorum Business Solutions\Ecopetrol Prometeo - Documents\Planning Space Implementation\3. Analysis &amp; Design\Design\FC22\DRR Jaime\Neiva CPI\[DINA TERCIARIOS_CF_SEC_New_27-Mar-2024.xlsx]D-PSNP'!</v>
      </c>
      <c r="G1594" s="32" t="s">
        <v>120</v>
      </c>
      <c r="H1594" s="33"/>
      <c r="I1594" s="33"/>
      <c r="J1594" s="37"/>
    </row>
    <row r="1595" spans="1:10" x14ac:dyDescent="0.3">
      <c r="A1595" s="32" t="s">
        <v>22</v>
      </c>
      <c r="B1595" s="32">
        <f t="shared" si="383"/>
        <v>2058</v>
      </c>
      <c r="C1595" s="33" t="s">
        <v>40</v>
      </c>
      <c r="D1595" s="34" t="s">
        <v>2002</v>
      </c>
      <c r="E1595" s="35" t="str">
        <f t="shared" si="381"/>
        <v>PSNP'!</v>
      </c>
      <c r="F1595" s="34" t="str">
        <f t="shared" si="382"/>
        <v>C:\Users\jaime.benazar\Quorum Business Solutions\Ecopetrol Prometeo - Documents\Planning Space Implementation\3. Analysis &amp; Design\Design\FC22\DRR Jaime\Neiva CPI\[DINA TERCIARIOS_CF_SEC_New_27-Mar-2024.xlsx]D-PSNP'!</v>
      </c>
      <c r="G1595" s="32" t="s">
        <v>120</v>
      </c>
      <c r="H1595" s="33"/>
      <c r="I1595" s="33"/>
      <c r="J1595" s="37"/>
    </row>
    <row r="1596" spans="1:10" x14ac:dyDescent="0.3">
      <c r="A1596" s="32" t="s">
        <v>22</v>
      </c>
      <c r="B1596" s="32">
        <f t="shared" si="383"/>
        <v>2059</v>
      </c>
      <c r="C1596" s="33" t="s">
        <v>40</v>
      </c>
      <c r="D1596" s="34" t="s">
        <v>2002</v>
      </c>
      <c r="E1596" s="35" t="str">
        <f t="shared" si="381"/>
        <v>PSNP'!</v>
      </c>
      <c r="F1596" s="34" t="str">
        <f t="shared" si="382"/>
        <v>C:\Users\jaime.benazar\Quorum Business Solutions\Ecopetrol Prometeo - Documents\Planning Space Implementation\3. Analysis &amp; Design\Design\FC22\DRR Jaime\Neiva CPI\[DINA TERCIARIOS_CF_SEC_New_27-Mar-2024.xlsx]D-PSNP'!</v>
      </c>
      <c r="G1596" s="32" t="s">
        <v>120</v>
      </c>
      <c r="H1596" s="33"/>
      <c r="I1596" s="33"/>
      <c r="J1596" s="37"/>
    </row>
    <row r="1597" spans="1:10" x14ac:dyDescent="0.3">
      <c r="A1597" s="32" t="s">
        <v>26</v>
      </c>
      <c r="B1597" s="32"/>
      <c r="C1597" s="33" t="s">
        <v>40</v>
      </c>
      <c r="D1597" s="34"/>
      <c r="E1597" s="35"/>
      <c r="F1597" s="34"/>
      <c r="G1597" s="32"/>
      <c r="H1597" s="33"/>
      <c r="I1597" s="33"/>
      <c r="J1597" s="33"/>
    </row>
    <row r="1598" spans="1:10" x14ac:dyDescent="0.3">
      <c r="A1598" s="32" t="s">
        <v>23</v>
      </c>
      <c r="B1598" s="32">
        <v>2023</v>
      </c>
      <c r="C1598" s="33" t="s">
        <v>40</v>
      </c>
      <c r="D1598" s="34" t="s">
        <v>2002</v>
      </c>
      <c r="E1598" s="35" t="str">
        <f t="shared" ref="E1598:E1618" si="384">_xlfn.CONCAT(A1598,"'!")</f>
        <v>PSND'!</v>
      </c>
      <c r="F1598" s="34" t="str">
        <f t="shared" ref="F1598:F1618" si="385">_xlfn.CONCAT(D1598:E1598)</f>
        <v>C:\Users\jaime.benazar\Quorum Business Solutions\Ecopetrol Prometeo - Documents\Planning Space Implementation\3. Analysis &amp; Design\Design\FC22\DRR Jaime\Neiva CPI\[DINA TERCIARIOS_CF_SEC_New_27-Mar-2024.xlsx]D-PSND'!</v>
      </c>
      <c r="G1598" s="32" t="s">
        <v>120</v>
      </c>
      <c r="H1598" s="33"/>
      <c r="I1598" s="33"/>
      <c r="J1598" s="37"/>
    </row>
    <row r="1599" spans="1:10" x14ac:dyDescent="0.3">
      <c r="A1599" s="32" t="s">
        <v>23</v>
      </c>
      <c r="B1599" s="32">
        <f>+B1598+1</f>
        <v>2024</v>
      </c>
      <c r="C1599" s="33" t="s">
        <v>40</v>
      </c>
      <c r="D1599" s="34" t="s">
        <v>2002</v>
      </c>
      <c r="E1599" s="35" t="str">
        <f t="shared" si="384"/>
        <v>PSND'!</v>
      </c>
      <c r="F1599" s="34" t="str">
        <f t="shared" si="385"/>
        <v>C:\Users\jaime.benazar\Quorum Business Solutions\Ecopetrol Prometeo - Documents\Planning Space Implementation\3. Analysis &amp; Design\Design\FC22\DRR Jaime\Neiva CPI\[DINA TERCIARIOS_CF_SEC_New_27-Mar-2024.xlsx]D-PSND'!</v>
      </c>
      <c r="G1599" s="32" t="s">
        <v>120</v>
      </c>
      <c r="H1599" s="33"/>
      <c r="I1599" s="33"/>
      <c r="J1599" s="37"/>
    </row>
    <row r="1600" spans="1:10" x14ac:dyDescent="0.3">
      <c r="A1600" s="32" t="s">
        <v>23</v>
      </c>
      <c r="B1600" s="32">
        <f t="shared" ref="B1600:B1611" si="386">+B1599+1</f>
        <v>2025</v>
      </c>
      <c r="C1600" s="33" t="s">
        <v>40</v>
      </c>
      <c r="D1600" s="34" t="s">
        <v>2002</v>
      </c>
      <c r="E1600" s="35" t="str">
        <f t="shared" si="384"/>
        <v>PSND'!</v>
      </c>
      <c r="F1600" s="34" t="str">
        <f t="shared" si="385"/>
        <v>C:\Users\jaime.benazar\Quorum Business Solutions\Ecopetrol Prometeo - Documents\Planning Space Implementation\3. Analysis &amp; Design\Design\FC22\DRR Jaime\Neiva CPI\[DINA TERCIARIOS_CF_SEC_New_27-Mar-2024.xlsx]D-PSND'!</v>
      </c>
      <c r="G1600" s="32" t="s">
        <v>120</v>
      </c>
      <c r="H1600" s="33"/>
      <c r="I1600" s="33"/>
      <c r="J1600" s="37"/>
    </row>
    <row r="1601" spans="1:10" x14ac:dyDescent="0.3">
      <c r="A1601" s="32" t="s">
        <v>23</v>
      </c>
      <c r="B1601" s="32">
        <f t="shared" si="386"/>
        <v>2026</v>
      </c>
      <c r="C1601" s="33" t="s">
        <v>40</v>
      </c>
      <c r="D1601" s="34" t="s">
        <v>2002</v>
      </c>
      <c r="E1601" s="35" t="str">
        <f t="shared" si="384"/>
        <v>PSND'!</v>
      </c>
      <c r="F1601" s="34" t="str">
        <f t="shared" si="385"/>
        <v>C:\Users\jaime.benazar\Quorum Business Solutions\Ecopetrol Prometeo - Documents\Planning Space Implementation\3. Analysis &amp; Design\Design\FC22\DRR Jaime\Neiva CPI\[DINA TERCIARIOS_CF_SEC_New_27-Mar-2024.xlsx]D-PSND'!</v>
      </c>
      <c r="G1601" s="32" t="s">
        <v>120</v>
      </c>
      <c r="H1601" s="33"/>
      <c r="I1601" s="33"/>
      <c r="J1601" s="37"/>
    </row>
    <row r="1602" spans="1:10" x14ac:dyDescent="0.3">
      <c r="A1602" s="32" t="s">
        <v>23</v>
      </c>
      <c r="B1602" s="32">
        <f t="shared" si="386"/>
        <v>2027</v>
      </c>
      <c r="C1602" s="33" t="s">
        <v>40</v>
      </c>
      <c r="D1602" s="34" t="s">
        <v>2002</v>
      </c>
      <c r="E1602" s="35" t="str">
        <f t="shared" si="384"/>
        <v>PSND'!</v>
      </c>
      <c r="F1602" s="34" t="str">
        <f t="shared" si="385"/>
        <v>C:\Users\jaime.benazar\Quorum Business Solutions\Ecopetrol Prometeo - Documents\Planning Space Implementation\3. Analysis &amp; Design\Design\FC22\DRR Jaime\Neiva CPI\[DINA TERCIARIOS_CF_SEC_New_27-Mar-2024.xlsx]D-PSND'!</v>
      </c>
      <c r="G1602" s="32" t="s">
        <v>120</v>
      </c>
      <c r="H1602" s="33"/>
      <c r="I1602" s="33"/>
      <c r="J1602" s="37"/>
    </row>
    <row r="1603" spans="1:10" x14ac:dyDescent="0.3">
      <c r="A1603" s="32" t="s">
        <v>23</v>
      </c>
      <c r="B1603" s="32">
        <f t="shared" si="386"/>
        <v>2028</v>
      </c>
      <c r="C1603" s="33" t="s">
        <v>40</v>
      </c>
      <c r="D1603" s="34" t="s">
        <v>2002</v>
      </c>
      <c r="E1603" s="35" t="str">
        <f t="shared" si="384"/>
        <v>PSND'!</v>
      </c>
      <c r="F1603" s="34" t="str">
        <f t="shared" si="385"/>
        <v>C:\Users\jaime.benazar\Quorum Business Solutions\Ecopetrol Prometeo - Documents\Planning Space Implementation\3. Analysis &amp; Design\Design\FC22\DRR Jaime\Neiva CPI\[DINA TERCIARIOS_CF_SEC_New_27-Mar-2024.xlsx]D-PSND'!</v>
      </c>
      <c r="G1603" s="32" t="s">
        <v>120</v>
      </c>
      <c r="H1603" s="33"/>
      <c r="I1603" s="33"/>
      <c r="J1603" s="37"/>
    </row>
    <row r="1604" spans="1:10" x14ac:dyDescent="0.3">
      <c r="A1604" s="32" t="s">
        <v>23</v>
      </c>
      <c r="B1604" s="32">
        <f t="shared" si="386"/>
        <v>2029</v>
      </c>
      <c r="C1604" s="33" t="s">
        <v>40</v>
      </c>
      <c r="D1604" s="34" t="s">
        <v>2002</v>
      </c>
      <c r="E1604" s="35" t="str">
        <f t="shared" si="384"/>
        <v>PSND'!</v>
      </c>
      <c r="F1604" s="34" t="str">
        <f t="shared" si="385"/>
        <v>C:\Users\jaime.benazar\Quorum Business Solutions\Ecopetrol Prometeo - Documents\Planning Space Implementation\3. Analysis &amp; Design\Design\FC22\DRR Jaime\Neiva CPI\[DINA TERCIARIOS_CF_SEC_New_27-Mar-2024.xlsx]D-PSND'!</v>
      </c>
      <c r="G1604" s="32" t="s">
        <v>120</v>
      </c>
      <c r="H1604" s="33"/>
      <c r="I1604" s="33"/>
      <c r="J1604" s="37"/>
    </row>
    <row r="1605" spans="1:10" x14ac:dyDescent="0.3">
      <c r="A1605" s="32" t="s">
        <v>23</v>
      </c>
      <c r="B1605" s="32">
        <f t="shared" si="386"/>
        <v>2030</v>
      </c>
      <c r="C1605" s="33" t="s">
        <v>40</v>
      </c>
      <c r="D1605" s="34" t="s">
        <v>2002</v>
      </c>
      <c r="E1605" s="35" t="str">
        <f t="shared" si="384"/>
        <v>PSND'!</v>
      </c>
      <c r="F1605" s="34" t="str">
        <f t="shared" si="385"/>
        <v>C:\Users\jaime.benazar\Quorum Business Solutions\Ecopetrol Prometeo - Documents\Planning Space Implementation\3. Analysis &amp; Design\Design\FC22\DRR Jaime\Neiva CPI\[DINA TERCIARIOS_CF_SEC_New_27-Mar-2024.xlsx]D-PSND'!</v>
      </c>
      <c r="G1605" s="32" t="s">
        <v>120</v>
      </c>
      <c r="H1605" s="33"/>
      <c r="I1605" s="33"/>
      <c r="J1605" s="37"/>
    </row>
    <row r="1606" spans="1:10" x14ac:dyDescent="0.3">
      <c r="A1606" s="32" t="s">
        <v>23</v>
      </c>
      <c r="B1606" s="32">
        <f t="shared" si="386"/>
        <v>2031</v>
      </c>
      <c r="C1606" s="33" t="s">
        <v>40</v>
      </c>
      <c r="D1606" s="34" t="s">
        <v>2002</v>
      </c>
      <c r="E1606" s="35" t="str">
        <f t="shared" si="384"/>
        <v>PSND'!</v>
      </c>
      <c r="F1606" s="34" t="str">
        <f t="shared" si="385"/>
        <v>C:\Users\jaime.benazar\Quorum Business Solutions\Ecopetrol Prometeo - Documents\Planning Space Implementation\3. Analysis &amp; Design\Design\FC22\DRR Jaime\Neiva CPI\[DINA TERCIARIOS_CF_SEC_New_27-Mar-2024.xlsx]D-PSND'!</v>
      </c>
      <c r="G1606" s="32" t="s">
        <v>120</v>
      </c>
      <c r="H1606" s="33"/>
      <c r="I1606" s="33"/>
      <c r="J1606" s="37"/>
    </row>
    <row r="1607" spans="1:10" x14ac:dyDescent="0.3">
      <c r="A1607" s="32" t="s">
        <v>23</v>
      </c>
      <c r="B1607" s="32">
        <f t="shared" si="386"/>
        <v>2032</v>
      </c>
      <c r="C1607" s="33" t="s">
        <v>40</v>
      </c>
      <c r="D1607" s="34" t="s">
        <v>2002</v>
      </c>
      <c r="E1607" s="35" t="str">
        <f t="shared" si="384"/>
        <v>PSND'!</v>
      </c>
      <c r="F1607" s="34" t="str">
        <f t="shared" si="385"/>
        <v>C:\Users\jaime.benazar\Quorum Business Solutions\Ecopetrol Prometeo - Documents\Planning Space Implementation\3. Analysis &amp; Design\Design\FC22\DRR Jaime\Neiva CPI\[DINA TERCIARIOS_CF_SEC_New_27-Mar-2024.xlsx]D-PSND'!</v>
      </c>
      <c r="G1607" s="32" t="s">
        <v>120</v>
      </c>
      <c r="H1607" s="33"/>
      <c r="I1607" s="33"/>
      <c r="J1607" s="37"/>
    </row>
    <row r="1608" spans="1:10" x14ac:dyDescent="0.3">
      <c r="A1608" s="32" t="s">
        <v>23</v>
      </c>
      <c r="B1608" s="32">
        <f t="shared" si="386"/>
        <v>2033</v>
      </c>
      <c r="C1608" s="33" t="s">
        <v>40</v>
      </c>
      <c r="D1608" s="34" t="s">
        <v>2002</v>
      </c>
      <c r="E1608" s="35" t="str">
        <f t="shared" si="384"/>
        <v>PSND'!</v>
      </c>
      <c r="F1608" s="34" t="str">
        <f t="shared" si="385"/>
        <v>C:\Users\jaime.benazar\Quorum Business Solutions\Ecopetrol Prometeo - Documents\Planning Space Implementation\3. Analysis &amp; Design\Design\FC22\DRR Jaime\Neiva CPI\[DINA TERCIARIOS_CF_SEC_New_27-Mar-2024.xlsx]D-PSND'!</v>
      </c>
      <c r="G1608" s="32" t="s">
        <v>120</v>
      </c>
      <c r="H1608" s="33"/>
      <c r="I1608" s="33"/>
      <c r="J1608" s="37"/>
    </row>
    <row r="1609" spans="1:10" x14ac:dyDescent="0.3">
      <c r="A1609" s="32" t="s">
        <v>23</v>
      </c>
      <c r="B1609" s="32">
        <f t="shared" si="386"/>
        <v>2034</v>
      </c>
      <c r="C1609" s="33" t="s">
        <v>40</v>
      </c>
      <c r="D1609" s="34" t="s">
        <v>2002</v>
      </c>
      <c r="E1609" s="35" t="str">
        <f t="shared" si="384"/>
        <v>PSND'!</v>
      </c>
      <c r="F1609" s="34" t="str">
        <f t="shared" si="385"/>
        <v>C:\Users\jaime.benazar\Quorum Business Solutions\Ecopetrol Prometeo - Documents\Planning Space Implementation\3. Analysis &amp; Design\Design\FC22\DRR Jaime\Neiva CPI\[DINA TERCIARIOS_CF_SEC_New_27-Mar-2024.xlsx]D-PSND'!</v>
      </c>
      <c r="G1609" s="32" t="s">
        <v>120</v>
      </c>
      <c r="H1609" s="33"/>
      <c r="I1609" s="33"/>
      <c r="J1609" s="37"/>
    </row>
    <row r="1610" spans="1:10" x14ac:dyDescent="0.3">
      <c r="A1610" s="32" t="s">
        <v>23</v>
      </c>
      <c r="B1610" s="32">
        <f t="shared" si="386"/>
        <v>2035</v>
      </c>
      <c r="C1610" s="33" t="s">
        <v>40</v>
      </c>
      <c r="D1610" s="34" t="s">
        <v>2002</v>
      </c>
      <c r="E1610" s="35" t="str">
        <f t="shared" si="384"/>
        <v>PSND'!</v>
      </c>
      <c r="F1610" s="34" t="str">
        <f t="shared" si="385"/>
        <v>C:\Users\jaime.benazar\Quorum Business Solutions\Ecopetrol Prometeo - Documents\Planning Space Implementation\3. Analysis &amp; Design\Design\FC22\DRR Jaime\Neiva CPI\[DINA TERCIARIOS_CF_SEC_New_27-Mar-2024.xlsx]D-PSND'!</v>
      </c>
      <c r="G1610" s="32" t="s">
        <v>120</v>
      </c>
      <c r="H1610" s="33"/>
      <c r="I1610" s="33"/>
      <c r="J1610" s="37"/>
    </row>
    <row r="1611" spans="1:10" x14ac:dyDescent="0.3">
      <c r="A1611" s="32" t="s">
        <v>23</v>
      </c>
      <c r="B1611" s="32">
        <f t="shared" si="386"/>
        <v>2036</v>
      </c>
      <c r="C1611" s="33" t="s">
        <v>40</v>
      </c>
      <c r="D1611" s="34" t="s">
        <v>2002</v>
      </c>
      <c r="E1611" s="35" t="str">
        <f t="shared" si="384"/>
        <v>PSND'!</v>
      </c>
      <c r="F1611" s="34" t="str">
        <f t="shared" si="385"/>
        <v>C:\Users\jaime.benazar\Quorum Business Solutions\Ecopetrol Prometeo - Documents\Planning Space Implementation\3. Analysis &amp; Design\Design\FC22\DRR Jaime\Neiva CPI\[DINA TERCIARIOS_CF_SEC_New_27-Mar-2024.xlsx]D-PSND'!</v>
      </c>
      <c r="G1611" s="32" t="s">
        <v>120</v>
      </c>
      <c r="H1611" s="33"/>
      <c r="I1611" s="33"/>
      <c r="J1611" s="37"/>
    </row>
    <row r="1612" spans="1:10" x14ac:dyDescent="0.3">
      <c r="A1612" s="32" t="s">
        <v>23</v>
      </c>
      <c r="B1612" s="32">
        <f>+B1611+1</f>
        <v>2037</v>
      </c>
      <c r="C1612" s="33" t="s">
        <v>40</v>
      </c>
      <c r="D1612" s="34" t="s">
        <v>2002</v>
      </c>
      <c r="E1612" s="35" t="str">
        <f t="shared" si="384"/>
        <v>PSND'!</v>
      </c>
      <c r="F1612" s="34" t="str">
        <f t="shared" si="385"/>
        <v>C:\Users\jaime.benazar\Quorum Business Solutions\Ecopetrol Prometeo - Documents\Planning Space Implementation\3. Analysis &amp; Design\Design\FC22\DRR Jaime\Neiva CPI\[DINA TERCIARIOS_CF_SEC_New_27-Mar-2024.xlsx]D-PSND'!</v>
      </c>
      <c r="G1612" s="32" t="s">
        <v>120</v>
      </c>
      <c r="H1612" s="33"/>
      <c r="I1612" s="33"/>
      <c r="J1612" s="37"/>
    </row>
    <row r="1613" spans="1:10" x14ac:dyDescent="0.3">
      <c r="A1613" s="32" t="s">
        <v>23</v>
      </c>
      <c r="B1613" s="32">
        <f t="shared" ref="B1613:B1615" si="387">+B1612+1</f>
        <v>2038</v>
      </c>
      <c r="C1613" s="33" t="s">
        <v>40</v>
      </c>
      <c r="D1613" s="34" t="s">
        <v>2002</v>
      </c>
      <c r="E1613" s="35" t="str">
        <f t="shared" si="384"/>
        <v>PSND'!</v>
      </c>
      <c r="F1613" s="34" t="str">
        <f t="shared" si="385"/>
        <v>C:\Users\jaime.benazar\Quorum Business Solutions\Ecopetrol Prometeo - Documents\Planning Space Implementation\3. Analysis &amp; Design\Design\FC22\DRR Jaime\Neiva CPI\[DINA TERCIARIOS_CF_SEC_New_27-Mar-2024.xlsx]D-PSND'!</v>
      </c>
      <c r="G1613" s="32" t="s">
        <v>120</v>
      </c>
      <c r="H1613" s="33"/>
      <c r="I1613" s="33"/>
      <c r="J1613" s="37"/>
    </row>
    <row r="1614" spans="1:10" x14ac:dyDescent="0.3">
      <c r="A1614" s="32" t="s">
        <v>23</v>
      </c>
      <c r="B1614" s="32">
        <f t="shared" si="387"/>
        <v>2039</v>
      </c>
      <c r="C1614" s="33" t="s">
        <v>40</v>
      </c>
      <c r="D1614" s="34" t="s">
        <v>2002</v>
      </c>
      <c r="E1614" s="35" t="str">
        <f t="shared" si="384"/>
        <v>PSND'!</v>
      </c>
      <c r="F1614" s="34" t="str">
        <f t="shared" si="385"/>
        <v>C:\Users\jaime.benazar\Quorum Business Solutions\Ecopetrol Prometeo - Documents\Planning Space Implementation\3. Analysis &amp; Design\Design\FC22\DRR Jaime\Neiva CPI\[DINA TERCIARIOS_CF_SEC_New_27-Mar-2024.xlsx]D-PSND'!</v>
      </c>
      <c r="G1614" s="32" t="s">
        <v>120</v>
      </c>
      <c r="H1614" s="33"/>
      <c r="I1614" s="33"/>
      <c r="J1614" s="37"/>
    </row>
    <row r="1615" spans="1:10" x14ac:dyDescent="0.3">
      <c r="A1615" s="32" t="s">
        <v>23</v>
      </c>
      <c r="B1615" s="32">
        <f t="shared" si="387"/>
        <v>2040</v>
      </c>
      <c r="C1615" s="33" t="s">
        <v>40</v>
      </c>
      <c r="D1615" s="34" t="s">
        <v>2002</v>
      </c>
      <c r="E1615" s="35" t="str">
        <f t="shared" si="384"/>
        <v>PSND'!</v>
      </c>
      <c r="F1615" s="34" t="str">
        <f t="shared" si="385"/>
        <v>C:\Users\jaime.benazar\Quorum Business Solutions\Ecopetrol Prometeo - Documents\Planning Space Implementation\3. Analysis &amp; Design\Design\FC22\DRR Jaime\Neiva CPI\[DINA TERCIARIOS_CF_SEC_New_27-Mar-2024.xlsx]D-PSND'!</v>
      </c>
      <c r="G1615" s="32" t="s">
        <v>120</v>
      </c>
      <c r="H1615" s="33"/>
      <c r="I1615" s="33"/>
      <c r="J1615" s="37"/>
    </row>
    <row r="1616" spans="1:10" x14ac:dyDescent="0.3">
      <c r="A1616" s="32" t="s">
        <v>23</v>
      </c>
      <c r="B1616" s="32">
        <f>+B1615+1</f>
        <v>2041</v>
      </c>
      <c r="C1616" s="33" t="s">
        <v>40</v>
      </c>
      <c r="D1616" s="34" t="s">
        <v>2002</v>
      </c>
      <c r="E1616" s="35" t="str">
        <f t="shared" si="384"/>
        <v>PSND'!</v>
      </c>
      <c r="F1616" s="34" t="str">
        <f t="shared" si="385"/>
        <v>C:\Users\jaime.benazar\Quorum Business Solutions\Ecopetrol Prometeo - Documents\Planning Space Implementation\3. Analysis &amp; Design\Design\FC22\DRR Jaime\Neiva CPI\[DINA TERCIARIOS_CF_SEC_New_27-Mar-2024.xlsx]D-PSND'!</v>
      </c>
      <c r="G1616" s="32" t="s">
        <v>120</v>
      </c>
      <c r="H1616" s="33"/>
      <c r="I1616" s="33"/>
      <c r="J1616" s="37"/>
    </row>
    <row r="1617" spans="1:10" x14ac:dyDescent="0.3">
      <c r="A1617" s="32" t="s">
        <v>23</v>
      </c>
      <c r="B1617" s="32">
        <f t="shared" ref="B1617:B1618" si="388">+B1616+1</f>
        <v>2042</v>
      </c>
      <c r="C1617" s="33" t="s">
        <v>40</v>
      </c>
      <c r="D1617" s="34" t="s">
        <v>2002</v>
      </c>
      <c r="E1617" s="35" t="str">
        <f t="shared" si="384"/>
        <v>PSND'!</v>
      </c>
      <c r="F1617" s="34" t="str">
        <f t="shared" si="385"/>
        <v>C:\Users\jaime.benazar\Quorum Business Solutions\Ecopetrol Prometeo - Documents\Planning Space Implementation\3. Analysis &amp; Design\Design\FC22\DRR Jaime\Neiva CPI\[DINA TERCIARIOS_CF_SEC_New_27-Mar-2024.xlsx]D-PSND'!</v>
      </c>
      <c r="G1617" s="32" t="s">
        <v>120</v>
      </c>
      <c r="H1617" s="33"/>
      <c r="I1617" s="33"/>
      <c r="J1617" s="37"/>
    </row>
    <row r="1618" spans="1:10" x14ac:dyDescent="0.3">
      <c r="A1618" s="32" t="s">
        <v>23</v>
      </c>
      <c r="B1618" s="32">
        <f t="shared" si="388"/>
        <v>2043</v>
      </c>
      <c r="C1618" s="33" t="s">
        <v>40</v>
      </c>
      <c r="D1618" s="34" t="s">
        <v>2002</v>
      </c>
      <c r="E1618" s="35" t="str">
        <f t="shared" si="384"/>
        <v>PSND'!</v>
      </c>
      <c r="F1618" s="34" t="str">
        <f t="shared" si="385"/>
        <v>C:\Users\jaime.benazar\Quorum Business Solutions\Ecopetrol Prometeo - Documents\Planning Space Implementation\3. Analysis &amp; Design\Design\FC22\DRR Jaime\Neiva CPI\[DINA TERCIARIOS_CF_SEC_New_27-Mar-2024.xlsx]D-PSND'!</v>
      </c>
      <c r="G1618" s="32" t="s">
        <v>120</v>
      </c>
      <c r="H1618" s="33"/>
      <c r="I1618" s="33"/>
      <c r="J1618" s="37"/>
    </row>
    <row r="1619" spans="1:10" x14ac:dyDescent="0.3">
      <c r="A1619" s="32" t="s">
        <v>23</v>
      </c>
      <c r="B1619" s="32">
        <f>+B1618+1</f>
        <v>2044</v>
      </c>
      <c r="C1619" s="33" t="s">
        <v>40</v>
      </c>
      <c r="D1619" s="34" t="s">
        <v>2002</v>
      </c>
      <c r="E1619" s="35" t="str">
        <f t="shared" ref="E1619:E1634" si="389">_xlfn.CONCAT(A1619,"'!")</f>
        <v>PSND'!</v>
      </c>
      <c r="F1619" s="34" t="str">
        <f t="shared" ref="F1619:F1634" si="390">_xlfn.CONCAT(D1619:E1619)</f>
        <v>C:\Users\jaime.benazar\Quorum Business Solutions\Ecopetrol Prometeo - Documents\Planning Space Implementation\3. Analysis &amp; Design\Design\FC22\DRR Jaime\Neiva CPI\[DINA TERCIARIOS_CF_SEC_New_27-Mar-2024.xlsx]D-PSND'!</v>
      </c>
      <c r="G1619" s="32" t="s">
        <v>120</v>
      </c>
      <c r="H1619" s="33"/>
      <c r="I1619" s="33"/>
      <c r="J1619" s="37"/>
    </row>
    <row r="1620" spans="1:10" x14ac:dyDescent="0.3">
      <c r="A1620" s="32" t="s">
        <v>23</v>
      </c>
      <c r="B1620" s="32">
        <f t="shared" ref="B1620:B1634" si="391">+B1619+1</f>
        <v>2045</v>
      </c>
      <c r="C1620" s="33" t="s">
        <v>40</v>
      </c>
      <c r="D1620" s="34" t="s">
        <v>2002</v>
      </c>
      <c r="E1620" s="35" t="str">
        <f t="shared" si="389"/>
        <v>PSND'!</v>
      </c>
      <c r="F1620" s="34" t="str">
        <f t="shared" si="390"/>
        <v>C:\Users\jaime.benazar\Quorum Business Solutions\Ecopetrol Prometeo - Documents\Planning Space Implementation\3. Analysis &amp; Design\Design\FC22\DRR Jaime\Neiva CPI\[DINA TERCIARIOS_CF_SEC_New_27-Mar-2024.xlsx]D-PSND'!</v>
      </c>
      <c r="G1620" s="32" t="s">
        <v>120</v>
      </c>
      <c r="H1620" s="33"/>
      <c r="I1620" s="33"/>
      <c r="J1620" s="37"/>
    </row>
    <row r="1621" spans="1:10" x14ac:dyDescent="0.3">
      <c r="A1621" s="32" t="s">
        <v>23</v>
      </c>
      <c r="B1621" s="32">
        <f t="shared" si="391"/>
        <v>2046</v>
      </c>
      <c r="C1621" s="33" t="s">
        <v>40</v>
      </c>
      <c r="D1621" s="34" t="s">
        <v>2002</v>
      </c>
      <c r="E1621" s="35" t="str">
        <f t="shared" si="389"/>
        <v>PSND'!</v>
      </c>
      <c r="F1621" s="34" t="str">
        <f t="shared" si="390"/>
        <v>C:\Users\jaime.benazar\Quorum Business Solutions\Ecopetrol Prometeo - Documents\Planning Space Implementation\3. Analysis &amp; Design\Design\FC22\DRR Jaime\Neiva CPI\[DINA TERCIARIOS_CF_SEC_New_27-Mar-2024.xlsx]D-PSND'!</v>
      </c>
      <c r="G1621" s="32" t="s">
        <v>120</v>
      </c>
      <c r="H1621" s="33"/>
      <c r="I1621" s="33"/>
      <c r="J1621" s="37"/>
    </row>
    <row r="1622" spans="1:10" x14ac:dyDescent="0.3">
      <c r="A1622" s="32" t="s">
        <v>23</v>
      </c>
      <c r="B1622" s="32">
        <f t="shared" si="391"/>
        <v>2047</v>
      </c>
      <c r="C1622" s="33" t="s">
        <v>40</v>
      </c>
      <c r="D1622" s="34" t="s">
        <v>2002</v>
      </c>
      <c r="E1622" s="35" t="str">
        <f t="shared" si="389"/>
        <v>PSND'!</v>
      </c>
      <c r="F1622" s="34" t="str">
        <f t="shared" si="390"/>
        <v>C:\Users\jaime.benazar\Quorum Business Solutions\Ecopetrol Prometeo - Documents\Planning Space Implementation\3. Analysis &amp; Design\Design\FC22\DRR Jaime\Neiva CPI\[DINA TERCIARIOS_CF_SEC_New_27-Mar-2024.xlsx]D-PSND'!</v>
      </c>
      <c r="G1622" s="32" t="s">
        <v>120</v>
      </c>
      <c r="H1622" s="33"/>
      <c r="I1622" s="33"/>
      <c r="J1622" s="37"/>
    </row>
    <row r="1623" spans="1:10" x14ac:dyDescent="0.3">
      <c r="A1623" s="32" t="s">
        <v>23</v>
      </c>
      <c r="B1623" s="32">
        <f t="shared" si="391"/>
        <v>2048</v>
      </c>
      <c r="C1623" s="33" t="s">
        <v>40</v>
      </c>
      <c r="D1623" s="34" t="s">
        <v>2002</v>
      </c>
      <c r="E1623" s="35" t="str">
        <f t="shared" si="389"/>
        <v>PSND'!</v>
      </c>
      <c r="F1623" s="34" t="str">
        <f t="shared" si="390"/>
        <v>C:\Users\jaime.benazar\Quorum Business Solutions\Ecopetrol Prometeo - Documents\Planning Space Implementation\3. Analysis &amp; Design\Design\FC22\DRR Jaime\Neiva CPI\[DINA TERCIARIOS_CF_SEC_New_27-Mar-2024.xlsx]D-PSND'!</v>
      </c>
      <c r="G1623" s="32" t="s">
        <v>120</v>
      </c>
      <c r="H1623" s="33"/>
      <c r="I1623" s="33"/>
      <c r="J1623" s="37"/>
    </row>
    <row r="1624" spans="1:10" x14ac:dyDescent="0.3">
      <c r="A1624" s="32" t="s">
        <v>23</v>
      </c>
      <c r="B1624" s="32">
        <f t="shared" si="391"/>
        <v>2049</v>
      </c>
      <c r="C1624" s="33" t="s">
        <v>40</v>
      </c>
      <c r="D1624" s="34" t="s">
        <v>2002</v>
      </c>
      <c r="E1624" s="35" t="str">
        <f t="shared" si="389"/>
        <v>PSND'!</v>
      </c>
      <c r="F1624" s="34" t="str">
        <f t="shared" si="390"/>
        <v>C:\Users\jaime.benazar\Quorum Business Solutions\Ecopetrol Prometeo - Documents\Planning Space Implementation\3. Analysis &amp; Design\Design\FC22\DRR Jaime\Neiva CPI\[DINA TERCIARIOS_CF_SEC_New_27-Mar-2024.xlsx]D-PSND'!</v>
      </c>
      <c r="G1624" s="32" t="s">
        <v>120</v>
      </c>
      <c r="H1624" s="33"/>
      <c r="I1624" s="33"/>
      <c r="J1624" s="37"/>
    </row>
    <row r="1625" spans="1:10" x14ac:dyDescent="0.3">
      <c r="A1625" s="32" t="s">
        <v>23</v>
      </c>
      <c r="B1625" s="32">
        <f t="shared" si="391"/>
        <v>2050</v>
      </c>
      <c r="C1625" s="33" t="s">
        <v>40</v>
      </c>
      <c r="D1625" s="34" t="s">
        <v>2002</v>
      </c>
      <c r="E1625" s="35" t="str">
        <f t="shared" si="389"/>
        <v>PSND'!</v>
      </c>
      <c r="F1625" s="34" t="str">
        <f t="shared" si="390"/>
        <v>C:\Users\jaime.benazar\Quorum Business Solutions\Ecopetrol Prometeo - Documents\Planning Space Implementation\3. Analysis &amp; Design\Design\FC22\DRR Jaime\Neiva CPI\[DINA TERCIARIOS_CF_SEC_New_27-Mar-2024.xlsx]D-PSND'!</v>
      </c>
      <c r="G1625" s="32" t="s">
        <v>120</v>
      </c>
      <c r="H1625" s="33"/>
      <c r="I1625" s="33"/>
      <c r="J1625" s="37"/>
    </row>
    <row r="1626" spans="1:10" x14ac:dyDescent="0.3">
      <c r="A1626" s="32" t="s">
        <v>23</v>
      </c>
      <c r="B1626" s="32">
        <f t="shared" si="391"/>
        <v>2051</v>
      </c>
      <c r="C1626" s="33" t="s">
        <v>40</v>
      </c>
      <c r="D1626" s="34" t="s">
        <v>2002</v>
      </c>
      <c r="E1626" s="35" t="str">
        <f t="shared" si="389"/>
        <v>PSND'!</v>
      </c>
      <c r="F1626" s="34" t="str">
        <f t="shared" si="390"/>
        <v>C:\Users\jaime.benazar\Quorum Business Solutions\Ecopetrol Prometeo - Documents\Planning Space Implementation\3. Analysis &amp; Design\Design\FC22\DRR Jaime\Neiva CPI\[DINA TERCIARIOS_CF_SEC_New_27-Mar-2024.xlsx]D-PSND'!</v>
      </c>
      <c r="G1626" s="32" t="s">
        <v>120</v>
      </c>
      <c r="H1626" s="33"/>
      <c r="I1626" s="33"/>
      <c r="J1626" s="37"/>
    </row>
    <row r="1627" spans="1:10" x14ac:dyDescent="0.3">
      <c r="A1627" s="32" t="s">
        <v>23</v>
      </c>
      <c r="B1627" s="32">
        <f t="shared" si="391"/>
        <v>2052</v>
      </c>
      <c r="C1627" s="33" t="s">
        <v>40</v>
      </c>
      <c r="D1627" s="34" t="s">
        <v>2002</v>
      </c>
      <c r="E1627" s="35" t="str">
        <f t="shared" si="389"/>
        <v>PSND'!</v>
      </c>
      <c r="F1627" s="34" t="str">
        <f t="shared" si="390"/>
        <v>C:\Users\jaime.benazar\Quorum Business Solutions\Ecopetrol Prometeo - Documents\Planning Space Implementation\3. Analysis &amp; Design\Design\FC22\DRR Jaime\Neiva CPI\[DINA TERCIARIOS_CF_SEC_New_27-Mar-2024.xlsx]D-PSND'!</v>
      </c>
      <c r="G1627" s="32" t="s">
        <v>120</v>
      </c>
      <c r="H1627" s="33"/>
      <c r="I1627" s="33"/>
      <c r="J1627" s="37"/>
    </row>
    <row r="1628" spans="1:10" x14ac:dyDescent="0.3">
      <c r="A1628" s="32" t="s">
        <v>23</v>
      </c>
      <c r="B1628" s="32">
        <f t="shared" si="391"/>
        <v>2053</v>
      </c>
      <c r="C1628" s="33" t="s">
        <v>40</v>
      </c>
      <c r="D1628" s="34" t="s">
        <v>2002</v>
      </c>
      <c r="E1628" s="35" t="str">
        <f t="shared" si="389"/>
        <v>PSND'!</v>
      </c>
      <c r="F1628" s="34" t="str">
        <f t="shared" si="390"/>
        <v>C:\Users\jaime.benazar\Quorum Business Solutions\Ecopetrol Prometeo - Documents\Planning Space Implementation\3. Analysis &amp; Design\Design\FC22\DRR Jaime\Neiva CPI\[DINA TERCIARIOS_CF_SEC_New_27-Mar-2024.xlsx]D-PSND'!</v>
      </c>
      <c r="G1628" s="32" t="s">
        <v>120</v>
      </c>
      <c r="H1628" s="33"/>
      <c r="I1628" s="33"/>
      <c r="J1628" s="37"/>
    </row>
    <row r="1629" spans="1:10" x14ac:dyDescent="0.3">
      <c r="A1629" s="32" t="s">
        <v>23</v>
      </c>
      <c r="B1629" s="32">
        <f t="shared" si="391"/>
        <v>2054</v>
      </c>
      <c r="C1629" s="33" t="s">
        <v>40</v>
      </c>
      <c r="D1629" s="34" t="s">
        <v>2002</v>
      </c>
      <c r="E1629" s="35" t="str">
        <f t="shared" si="389"/>
        <v>PSND'!</v>
      </c>
      <c r="F1629" s="34" t="str">
        <f t="shared" si="390"/>
        <v>C:\Users\jaime.benazar\Quorum Business Solutions\Ecopetrol Prometeo - Documents\Planning Space Implementation\3. Analysis &amp; Design\Design\FC22\DRR Jaime\Neiva CPI\[DINA TERCIARIOS_CF_SEC_New_27-Mar-2024.xlsx]D-PSND'!</v>
      </c>
      <c r="G1629" s="32" t="s">
        <v>120</v>
      </c>
      <c r="H1629" s="33"/>
      <c r="I1629" s="33"/>
      <c r="J1629" s="37"/>
    </row>
    <row r="1630" spans="1:10" x14ac:dyDescent="0.3">
      <c r="A1630" s="32" t="s">
        <v>23</v>
      </c>
      <c r="B1630" s="32">
        <f t="shared" si="391"/>
        <v>2055</v>
      </c>
      <c r="C1630" s="33" t="s">
        <v>40</v>
      </c>
      <c r="D1630" s="34" t="s">
        <v>2002</v>
      </c>
      <c r="E1630" s="35" t="str">
        <f t="shared" si="389"/>
        <v>PSND'!</v>
      </c>
      <c r="F1630" s="34" t="str">
        <f t="shared" si="390"/>
        <v>C:\Users\jaime.benazar\Quorum Business Solutions\Ecopetrol Prometeo - Documents\Planning Space Implementation\3. Analysis &amp; Design\Design\FC22\DRR Jaime\Neiva CPI\[DINA TERCIARIOS_CF_SEC_New_27-Mar-2024.xlsx]D-PSND'!</v>
      </c>
      <c r="G1630" s="32" t="s">
        <v>120</v>
      </c>
      <c r="H1630" s="33"/>
      <c r="I1630" s="33"/>
      <c r="J1630" s="37"/>
    </row>
    <row r="1631" spans="1:10" x14ac:dyDescent="0.3">
      <c r="A1631" s="32" t="s">
        <v>23</v>
      </c>
      <c r="B1631" s="32">
        <f t="shared" si="391"/>
        <v>2056</v>
      </c>
      <c r="C1631" s="33" t="s">
        <v>40</v>
      </c>
      <c r="D1631" s="34" t="s">
        <v>2002</v>
      </c>
      <c r="E1631" s="35" t="str">
        <f t="shared" si="389"/>
        <v>PSND'!</v>
      </c>
      <c r="F1631" s="34" t="str">
        <f t="shared" si="390"/>
        <v>C:\Users\jaime.benazar\Quorum Business Solutions\Ecopetrol Prometeo - Documents\Planning Space Implementation\3. Analysis &amp; Design\Design\FC22\DRR Jaime\Neiva CPI\[DINA TERCIARIOS_CF_SEC_New_27-Mar-2024.xlsx]D-PSND'!</v>
      </c>
      <c r="G1631" s="32" t="s">
        <v>120</v>
      </c>
      <c r="H1631" s="33"/>
      <c r="I1631" s="33"/>
      <c r="J1631" s="37"/>
    </row>
    <row r="1632" spans="1:10" x14ac:dyDescent="0.3">
      <c r="A1632" s="32" t="s">
        <v>23</v>
      </c>
      <c r="B1632" s="32">
        <f t="shared" si="391"/>
        <v>2057</v>
      </c>
      <c r="C1632" s="33" t="s">
        <v>40</v>
      </c>
      <c r="D1632" s="34" t="s">
        <v>2002</v>
      </c>
      <c r="E1632" s="35" t="str">
        <f t="shared" si="389"/>
        <v>PSND'!</v>
      </c>
      <c r="F1632" s="34" t="str">
        <f t="shared" si="390"/>
        <v>C:\Users\jaime.benazar\Quorum Business Solutions\Ecopetrol Prometeo - Documents\Planning Space Implementation\3. Analysis &amp; Design\Design\FC22\DRR Jaime\Neiva CPI\[DINA TERCIARIOS_CF_SEC_New_27-Mar-2024.xlsx]D-PSND'!</v>
      </c>
      <c r="G1632" s="32" t="s">
        <v>120</v>
      </c>
      <c r="H1632" s="33"/>
      <c r="I1632" s="33"/>
      <c r="J1632" s="37"/>
    </row>
    <row r="1633" spans="1:10" x14ac:dyDescent="0.3">
      <c r="A1633" s="32" t="s">
        <v>23</v>
      </c>
      <c r="B1633" s="32">
        <f t="shared" si="391"/>
        <v>2058</v>
      </c>
      <c r="C1633" s="33" t="s">
        <v>40</v>
      </c>
      <c r="D1633" s="34" t="s">
        <v>2002</v>
      </c>
      <c r="E1633" s="35" t="str">
        <f t="shared" si="389"/>
        <v>PSND'!</v>
      </c>
      <c r="F1633" s="34" t="str">
        <f t="shared" si="390"/>
        <v>C:\Users\jaime.benazar\Quorum Business Solutions\Ecopetrol Prometeo - Documents\Planning Space Implementation\3. Analysis &amp; Design\Design\FC22\DRR Jaime\Neiva CPI\[DINA TERCIARIOS_CF_SEC_New_27-Mar-2024.xlsx]D-PSND'!</v>
      </c>
      <c r="G1633" s="32" t="s">
        <v>120</v>
      </c>
      <c r="H1633" s="33"/>
      <c r="I1633" s="33"/>
      <c r="J1633" s="37"/>
    </row>
    <row r="1634" spans="1:10" x14ac:dyDescent="0.3">
      <c r="A1634" s="32" t="s">
        <v>23</v>
      </c>
      <c r="B1634" s="32">
        <f t="shared" si="391"/>
        <v>2059</v>
      </c>
      <c r="C1634" s="33" t="s">
        <v>40</v>
      </c>
      <c r="D1634" s="34" t="s">
        <v>2002</v>
      </c>
      <c r="E1634" s="35" t="str">
        <f t="shared" si="389"/>
        <v>PSND'!</v>
      </c>
      <c r="F1634" s="34" t="str">
        <f t="shared" si="390"/>
        <v>C:\Users\jaime.benazar\Quorum Business Solutions\Ecopetrol Prometeo - Documents\Planning Space Implementation\3. Analysis &amp; Design\Design\FC22\DRR Jaime\Neiva CPI\[DINA TERCIARIOS_CF_SEC_New_27-Mar-2024.xlsx]D-PSND'!</v>
      </c>
      <c r="G1634" s="32" t="s">
        <v>120</v>
      </c>
      <c r="H1634" s="33"/>
      <c r="I1634" s="33"/>
      <c r="J1634" s="37"/>
    </row>
    <row r="1635" spans="1:10" x14ac:dyDescent="0.3">
      <c r="A1635" s="32" t="s">
        <v>26</v>
      </c>
      <c r="B1635" s="32"/>
      <c r="C1635" s="33" t="s">
        <v>40</v>
      </c>
      <c r="D1635" s="34"/>
      <c r="E1635" s="35"/>
      <c r="F1635" s="34"/>
      <c r="G1635" s="32"/>
      <c r="H1635" s="33"/>
      <c r="I1635" s="33"/>
      <c r="J1635" s="33"/>
    </row>
    <row r="1636" spans="1:10" x14ac:dyDescent="0.3">
      <c r="A1636" s="32" t="s">
        <v>24</v>
      </c>
      <c r="B1636" s="32">
        <v>2023</v>
      </c>
      <c r="C1636" s="33" t="s">
        <v>40</v>
      </c>
      <c r="D1636" s="34" t="s">
        <v>2002</v>
      </c>
      <c r="E1636" s="35" t="str">
        <f t="shared" si="327"/>
        <v>PS'!</v>
      </c>
      <c r="F1636" s="34" t="str">
        <f t="shared" si="328"/>
        <v>C:\Users\jaime.benazar\Quorum Business Solutions\Ecopetrol Prometeo - Documents\Planning Space Implementation\3. Analysis &amp; Design\Design\FC22\DRR Jaime\Neiva CPI\[DINA TERCIARIOS_CF_SEC_New_27-Mar-2024.xlsx]D-PS'!</v>
      </c>
      <c r="G1636" s="32" t="s">
        <v>120</v>
      </c>
      <c r="H1636" s="33">
        <v>12</v>
      </c>
      <c r="I1636" s="33" t="str">
        <f t="shared" si="329"/>
        <v>='C:\Users\jaime.benazar\Quorum Business Solutions\Ecopetrol Prometeo - Documents\Planning Space Implementation\3. Analysis &amp; Design\Design\FC22\DRR Jaime\Neiva CPI\[DINA TERCIARIOS_CF_SEC_New_27-Mar-2024.xlsx]D-PS'!$CA$12</v>
      </c>
      <c r="J1636" s="37" t="s">
        <v>2706</v>
      </c>
    </row>
    <row r="1637" spans="1:10" x14ac:dyDescent="0.3">
      <c r="A1637" s="32" t="s">
        <v>24</v>
      </c>
      <c r="B1637" s="32">
        <f>+B1636+1</f>
        <v>2024</v>
      </c>
      <c r="C1637" s="33" t="s">
        <v>40</v>
      </c>
      <c r="D1637" s="34" t="s">
        <v>2002</v>
      </c>
      <c r="E1637" s="35" t="str">
        <f t="shared" si="327"/>
        <v>PS'!</v>
      </c>
      <c r="F1637" s="34" t="str">
        <f t="shared" si="328"/>
        <v>C:\Users\jaime.benazar\Quorum Business Solutions\Ecopetrol Prometeo - Documents\Planning Space Implementation\3. Analysis &amp; Design\Design\FC22\DRR Jaime\Neiva CPI\[DINA TERCIARIOS_CF_SEC_New_27-Mar-2024.xlsx]D-PS'!</v>
      </c>
      <c r="G1637" s="32" t="s">
        <v>120</v>
      </c>
      <c r="H1637" s="33">
        <f t="shared" ref="H1637:H1656" si="392">IF(A1637&lt;&gt;A1636,12,H1636+1)</f>
        <v>13</v>
      </c>
      <c r="I1637" s="33" t="str">
        <f t="shared" si="329"/>
        <v>='C:\Users\jaime.benazar\Quorum Business Solutions\Ecopetrol Prometeo - Documents\Planning Space Implementation\3. Analysis &amp; Design\Design\FC22\DRR Jaime\Neiva CPI\[DINA TERCIARIOS_CF_SEC_New_27-Mar-2024.xlsx]D-PS'!$CA$13</v>
      </c>
      <c r="J1637" s="37" t="s">
        <v>2707</v>
      </c>
    </row>
    <row r="1638" spans="1:10" x14ac:dyDescent="0.3">
      <c r="A1638" s="32" t="s">
        <v>24</v>
      </c>
      <c r="B1638" s="32">
        <f t="shared" ref="B1638:B1649" si="393">+B1637+1</f>
        <v>2025</v>
      </c>
      <c r="C1638" s="33" t="s">
        <v>40</v>
      </c>
      <c r="D1638" s="34" t="s">
        <v>2002</v>
      </c>
      <c r="E1638" s="35" t="str">
        <f t="shared" si="327"/>
        <v>PS'!</v>
      </c>
      <c r="F1638" s="34" t="str">
        <f t="shared" si="328"/>
        <v>C:\Users\jaime.benazar\Quorum Business Solutions\Ecopetrol Prometeo - Documents\Planning Space Implementation\3. Analysis &amp; Design\Design\FC22\DRR Jaime\Neiva CPI\[DINA TERCIARIOS_CF_SEC_New_27-Mar-2024.xlsx]D-PS'!</v>
      </c>
      <c r="G1638" s="32" t="s">
        <v>120</v>
      </c>
      <c r="H1638" s="33">
        <f t="shared" si="392"/>
        <v>14</v>
      </c>
      <c r="I1638" s="33" t="str">
        <f t="shared" si="329"/>
        <v>='C:\Users\jaime.benazar\Quorum Business Solutions\Ecopetrol Prometeo - Documents\Planning Space Implementation\3. Analysis &amp; Design\Design\FC22\DRR Jaime\Neiva CPI\[DINA TERCIARIOS_CF_SEC_New_27-Mar-2024.xlsx]D-PS'!$CA$14</v>
      </c>
      <c r="J1638" s="37" t="s">
        <v>2708</v>
      </c>
    </row>
    <row r="1639" spans="1:10" x14ac:dyDescent="0.3">
      <c r="A1639" s="32" t="s">
        <v>24</v>
      </c>
      <c r="B1639" s="32">
        <f t="shared" si="393"/>
        <v>2026</v>
      </c>
      <c r="C1639" s="33" t="s">
        <v>40</v>
      </c>
      <c r="D1639" s="34" t="s">
        <v>2002</v>
      </c>
      <c r="E1639" s="35" t="str">
        <f t="shared" si="327"/>
        <v>PS'!</v>
      </c>
      <c r="F1639" s="34" t="str">
        <f t="shared" si="328"/>
        <v>C:\Users\jaime.benazar\Quorum Business Solutions\Ecopetrol Prometeo - Documents\Planning Space Implementation\3. Analysis &amp; Design\Design\FC22\DRR Jaime\Neiva CPI\[DINA TERCIARIOS_CF_SEC_New_27-Mar-2024.xlsx]D-PS'!</v>
      </c>
      <c r="G1639" s="32" t="s">
        <v>120</v>
      </c>
      <c r="H1639" s="33">
        <f t="shared" si="392"/>
        <v>15</v>
      </c>
      <c r="I1639" s="33" t="str">
        <f t="shared" si="329"/>
        <v>='C:\Users\jaime.benazar\Quorum Business Solutions\Ecopetrol Prometeo - Documents\Planning Space Implementation\3. Analysis &amp; Design\Design\FC22\DRR Jaime\Neiva CPI\[DINA TERCIARIOS_CF_SEC_New_27-Mar-2024.xlsx]D-PS'!$CA$15</v>
      </c>
      <c r="J1639" s="37" t="s">
        <v>2709</v>
      </c>
    </row>
    <row r="1640" spans="1:10" x14ac:dyDescent="0.3">
      <c r="A1640" s="32" t="s">
        <v>24</v>
      </c>
      <c r="B1640" s="32">
        <f t="shared" si="393"/>
        <v>2027</v>
      </c>
      <c r="C1640" s="33" t="s">
        <v>40</v>
      </c>
      <c r="D1640" s="34" t="s">
        <v>2002</v>
      </c>
      <c r="E1640" s="35" t="str">
        <f t="shared" si="327"/>
        <v>PS'!</v>
      </c>
      <c r="F1640" s="34" t="str">
        <f t="shared" si="328"/>
        <v>C:\Users\jaime.benazar\Quorum Business Solutions\Ecopetrol Prometeo - Documents\Planning Space Implementation\3. Analysis &amp; Design\Design\FC22\DRR Jaime\Neiva CPI\[DINA TERCIARIOS_CF_SEC_New_27-Mar-2024.xlsx]D-PS'!</v>
      </c>
      <c r="G1640" s="32" t="s">
        <v>120</v>
      </c>
      <c r="H1640" s="33">
        <f t="shared" si="392"/>
        <v>16</v>
      </c>
      <c r="I1640" s="33" t="str">
        <f t="shared" si="329"/>
        <v>='C:\Users\jaime.benazar\Quorum Business Solutions\Ecopetrol Prometeo - Documents\Planning Space Implementation\3. Analysis &amp; Design\Design\FC22\DRR Jaime\Neiva CPI\[DINA TERCIARIOS_CF_SEC_New_27-Mar-2024.xlsx]D-PS'!$CA$16</v>
      </c>
      <c r="J1640" s="37" t="s">
        <v>2710</v>
      </c>
    </row>
    <row r="1641" spans="1:10" x14ac:dyDescent="0.3">
      <c r="A1641" s="32" t="s">
        <v>24</v>
      </c>
      <c r="B1641" s="32">
        <f t="shared" si="393"/>
        <v>2028</v>
      </c>
      <c r="C1641" s="33" t="s">
        <v>40</v>
      </c>
      <c r="D1641" s="34" t="s">
        <v>2002</v>
      </c>
      <c r="E1641" s="35" t="str">
        <f t="shared" si="327"/>
        <v>PS'!</v>
      </c>
      <c r="F1641" s="34" t="str">
        <f t="shared" si="328"/>
        <v>C:\Users\jaime.benazar\Quorum Business Solutions\Ecopetrol Prometeo - Documents\Planning Space Implementation\3. Analysis &amp; Design\Design\FC22\DRR Jaime\Neiva CPI\[DINA TERCIARIOS_CF_SEC_New_27-Mar-2024.xlsx]D-PS'!</v>
      </c>
      <c r="G1641" s="32" t="s">
        <v>120</v>
      </c>
      <c r="H1641" s="33">
        <f t="shared" si="392"/>
        <v>17</v>
      </c>
      <c r="I1641" s="33" t="str">
        <f t="shared" si="329"/>
        <v>='C:\Users\jaime.benazar\Quorum Business Solutions\Ecopetrol Prometeo - Documents\Planning Space Implementation\3. Analysis &amp; Design\Design\FC22\DRR Jaime\Neiva CPI\[DINA TERCIARIOS_CF_SEC_New_27-Mar-2024.xlsx]D-PS'!$CA$17</v>
      </c>
      <c r="J1641" s="37" t="s">
        <v>2711</v>
      </c>
    </row>
    <row r="1642" spans="1:10" x14ac:dyDescent="0.3">
      <c r="A1642" s="32" t="s">
        <v>24</v>
      </c>
      <c r="B1642" s="32">
        <f t="shared" si="393"/>
        <v>2029</v>
      </c>
      <c r="C1642" s="33" t="s">
        <v>40</v>
      </c>
      <c r="D1642" s="34" t="s">
        <v>2002</v>
      </c>
      <c r="E1642" s="35" t="str">
        <f t="shared" si="327"/>
        <v>PS'!</v>
      </c>
      <c r="F1642" s="34" t="str">
        <f t="shared" si="328"/>
        <v>C:\Users\jaime.benazar\Quorum Business Solutions\Ecopetrol Prometeo - Documents\Planning Space Implementation\3. Analysis &amp; Design\Design\FC22\DRR Jaime\Neiva CPI\[DINA TERCIARIOS_CF_SEC_New_27-Mar-2024.xlsx]D-PS'!</v>
      </c>
      <c r="G1642" s="32" t="s">
        <v>120</v>
      </c>
      <c r="H1642" s="33">
        <f t="shared" si="392"/>
        <v>18</v>
      </c>
      <c r="I1642" s="33" t="str">
        <f t="shared" si="329"/>
        <v>='C:\Users\jaime.benazar\Quorum Business Solutions\Ecopetrol Prometeo - Documents\Planning Space Implementation\3. Analysis &amp; Design\Design\FC22\DRR Jaime\Neiva CPI\[DINA TERCIARIOS_CF_SEC_New_27-Mar-2024.xlsx]D-PS'!$CA$18</v>
      </c>
      <c r="J1642" s="37" t="s">
        <v>2712</v>
      </c>
    </row>
    <row r="1643" spans="1:10" x14ac:dyDescent="0.3">
      <c r="A1643" s="32" t="s">
        <v>24</v>
      </c>
      <c r="B1643" s="32">
        <f t="shared" si="393"/>
        <v>2030</v>
      </c>
      <c r="C1643" s="33" t="s">
        <v>40</v>
      </c>
      <c r="D1643" s="34" t="s">
        <v>2002</v>
      </c>
      <c r="E1643" s="35" t="str">
        <f t="shared" si="327"/>
        <v>PS'!</v>
      </c>
      <c r="F1643" s="34" t="str">
        <f t="shared" si="328"/>
        <v>C:\Users\jaime.benazar\Quorum Business Solutions\Ecopetrol Prometeo - Documents\Planning Space Implementation\3. Analysis &amp; Design\Design\FC22\DRR Jaime\Neiva CPI\[DINA TERCIARIOS_CF_SEC_New_27-Mar-2024.xlsx]D-PS'!</v>
      </c>
      <c r="G1643" s="32" t="s">
        <v>120</v>
      </c>
      <c r="H1643" s="33">
        <f t="shared" si="392"/>
        <v>19</v>
      </c>
      <c r="I1643" s="33" t="str">
        <f t="shared" si="329"/>
        <v>='C:\Users\jaime.benazar\Quorum Business Solutions\Ecopetrol Prometeo - Documents\Planning Space Implementation\3. Analysis &amp; Design\Design\FC22\DRR Jaime\Neiva CPI\[DINA TERCIARIOS_CF_SEC_New_27-Mar-2024.xlsx]D-PS'!$CA$19</v>
      </c>
      <c r="J1643" s="37" t="s">
        <v>2713</v>
      </c>
    </row>
    <row r="1644" spans="1:10" x14ac:dyDescent="0.3">
      <c r="A1644" s="32" t="s">
        <v>24</v>
      </c>
      <c r="B1644" s="32">
        <f t="shared" si="393"/>
        <v>2031</v>
      </c>
      <c r="C1644" s="33" t="s">
        <v>40</v>
      </c>
      <c r="D1644" s="34" t="s">
        <v>2002</v>
      </c>
      <c r="E1644" s="35" t="str">
        <f t="shared" si="327"/>
        <v>PS'!</v>
      </c>
      <c r="F1644" s="34" t="str">
        <f t="shared" si="328"/>
        <v>C:\Users\jaime.benazar\Quorum Business Solutions\Ecopetrol Prometeo - Documents\Planning Space Implementation\3. Analysis &amp; Design\Design\FC22\DRR Jaime\Neiva CPI\[DINA TERCIARIOS_CF_SEC_New_27-Mar-2024.xlsx]D-PS'!</v>
      </c>
      <c r="G1644" s="32" t="s">
        <v>120</v>
      </c>
      <c r="H1644" s="33">
        <f t="shared" si="392"/>
        <v>20</v>
      </c>
      <c r="I1644" s="33" t="str">
        <f t="shared" si="329"/>
        <v>='C:\Users\jaime.benazar\Quorum Business Solutions\Ecopetrol Prometeo - Documents\Planning Space Implementation\3. Analysis &amp; Design\Design\FC22\DRR Jaime\Neiva CPI\[DINA TERCIARIOS_CF_SEC_New_27-Mar-2024.xlsx]D-PS'!$CA$20</v>
      </c>
      <c r="J1644" s="37" t="s">
        <v>2714</v>
      </c>
    </row>
    <row r="1645" spans="1:10" x14ac:dyDescent="0.3">
      <c r="A1645" s="32" t="s">
        <v>24</v>
      </c>
      <c r="B1645" s="32">
        <f t="shared" si="393"/>
        <v>2032</v>
      </c>
      <c r="C1645" s="33" t="s">
        <v>40</v>
      </c>
      <c r="D1645" s="34" t="s">
        <v>2002</v>
      </c>
      <c r="E1645" s="35" t="str">
        <f t="shared" si="327"/>
        <v>PS'!</v>
      </c>
      <c r="F1645" s="34" t="str">
        <f t="shared" si="328"/>
        <v>C:\Users\jaime.benazar\Quorum Business Solutions\Ecopetrol Prometeo - Documents\Planning Space Implementation\3. Analysis &amp; Design\Design\FC22\DRR Jaime\Neiva CPI\[DINA TERCIARIOS_CF_SEC_New_27-Mar-2024.xlsx]D-PS'!</v>
      </c>
      <c r="G1645" s="32" t="s">
        <v>120</v>
      </c>
      <c r="H1645" s="33">
        <f t="shared" si="392"/>
        <v>21</v>
      </c>
      <c r="I1645" s="33" t="str">
        <f t="shared" si="329"/>
        <v>='C:\Users\jaime.benazar\Quorum Business Solutions\Ecopetrol Prometeo - Documents\Planning Space Implementation\3. Analysis &amp; Design\Design\FC22\DRR Jaime\Neiva CPI\[DINA TERCIARIOS_CF_SEC_New_27-Mar-2024.xlsx]D-PS'!$CA$21</v>
      </c>
      <c r="J1645" s="37" t="s">
        <v>2715</v>
      </c>
    </row>
    <row r="1646" spans="1:10" x14ac:dyDescent="0.3">
      <c r="A1646" s="32" t="s">
        <v>24</v>
      </c>
      <c r="B1646" s="32">
        <f t="shared" si="393"/>
        <v>2033</v>
      </c>
      <c r="C1646" s="33" t="s">
        <v>40</v>
      </c>
      <c r="D1646" s="34" t="s">
        <v>2002</v>
      </c>
      <c r="E1646" s="35" t="str">
        <f t="shared" si="327"/>
        <v>PS'!</v>
      </c>
      <c r="F1646" s="34" t="str">
        <f t="shared" si="328"/>
        <v>C:\Users\jaime.benazar\Quorum Business Solutions\Ecopetrol Prometeo - Documents\Planning Space Implementation\3. Analysis &amp; Design\Design\FC22\DRR Jaime\Neiva CPI\[DINA TERCIARIOS_CF_SEC_New_27-Mar-2024.xlsx]D-PS'!</v>
      </c>
      <c r="G1646" s="32" t="s">
        <v>120</v>
      </c>
      <c r="H1646" s="33">
        <f t="shared" si="392"/>
        <v>22</v>
      </c>
      <c r="I1646" s="33" t="str">
        <f t="shared" si="329"/>
        <v>='C:\Users\jaime.benazar\Quorum Business Solutions\Ecopetrol Prometeo - Documents\Planning Space Implementation\3. Analysis &amp; Design\Design\FC22\DRR Jaime\Neiva CPI\[DINA TERCIARIOS_CF_SEC_New_27-Mar-2024.xlsx]D-PS'!$CA$22</v>
      </c>
      <c r="J1646" s="37" t="s">
        <v>2716</v>
      </c>
    </row>
    <row r="1647" spans="1:10" x14ac:dyDescent="0.3">
      <c r="A1647" s="32" t="s">
        <v>24</v>
      </c>
      <c r="B1647" s="32">
        <f t="shared" si="393"/>
        <v>2034</v>
      </c>
      <c r="C1647" s="33" t="s">
        <v>40</v>
      </c>
      <c r="D1647" s="34" t="s">
        <v>2002</v>
      </c>
      <c r="E1647" s="35" t="str">
        <f t="shared" si="327"/>
        <v>PS'!</v>
      </c>
      <c r="F1647" s="34" t="str">
        <f t="shared" si="328"/>
        <v>C:\Users\jaime.benazar\Quorum Business Solutions\Ecopetrol Prometeo - Documents\Planning Space Implementation\3. Analysis &amp; Design\Design\FC22\DRR Jaime\Neiva CPI\[DINA TERCIARIOS_CF_SEC_New_27-Mar-2024.xlsx]D-PS'!</v>
      </c>
      <c r="G1647" s="32" t="s">
        <v>120</v>
      </c>
      <c r="H1647" s="33">
        <f t="shared" si="392"/>
        <v>23</v>
      </c>
      <c r="I1647" s="33" t="str">
        <f t="shared" si="329"/>
        <v>='C:\Users\jaime.benazar\Quorum Business Solutions\Ecopetrol Prometeo - Documents\Planning Space Implementation\3. Analysis &amp; Design\Design\FC22\DRR Jaime\Neiva CPI\[DINA TERCIARIOS_CF_SEC_New_27-Mar-2024.xlsx]D-PS'!$CA$23</v>
      </c>
      <c r="J1647" s="37" t="s">
        <v>2717</v>
      </c>
    </row>
    <row r="1648" spans="1:10" x14ac:dyDescent="0.3">
      <c r="A1648" s="32" t="s">
        <v>24</v>
      </c>
      <c r="B1648" s="32">
        <f t="shared" si="393"/>
        <v>2035</v>
      </c>
      <c r="C1648" s="33" t="s">
        <v>40</v>
      </c>
      <c r="D1648" s="34" t="s">
        <v>2002</v>
      </c>
      <c r="E1648" s="35" t="str">
        <f t="shared" si="327"/>
        <v>PS'!</v>
      </c>
      <c r="F1648" s="34" t="str">
        <f t="shared" si="328"/>
        <v>C:\Users\jaime.benazar\Quorum Business Solutions\Ecopetrol Prometeo - Documents\Planning Space Implementation\3. Analysis &amp; Design\Design\FC22\DRR Jaime\Neiva CPI\[DINA TERCIARIOS_CF_SEC_New_27-Mar-2024.xlsx]D-PS'!</v>
      </c>
      <c r="G1648" s="32" t="s">
        <v>120</v>
      </c>
      <c r="H1648" s="33">
        <f t="shared" si="392"/>
        <v>24</v>
      </c>
      <c r="I1648" s="33" t="str">
        <f t="shared" si="329"/>
        <v>='C:\Users\jaime.benazar\Quorum Business Solutions\Ecopetrol Prometeo - Documents\Planning Space Implementation\3. Analysis &amp; Design\Design\FC22\DRR Jaime\Neiva CPI\[DINA TERCIARIOS_CF_SEC_New_27-Mar-2024.xlsx]D-PS'!$CA$24</v>
      </c>
      <c r="J1648" s="37" t="s">
        <v>2718</v>
      </c>
    </row>
    <row r="1649" spans="1:10" x14ac:dyDescent="0.3">
      <c r="A1649" s="32" t="s">
        <v>24</v>
      </c>
      <c r="B1649" s="32">
        <f t="shared" si="393"/>
        <v>2036</v>
      </c>
      <c r="C1649" s="33" t="s">
        <v>40</v>
      </c>
      <c r="D1649" s="34" t="s">
        <v>2002</v>
      </c>
      <c r="E1649" s="35" t="str">
        <f t="shared" si="327"/>
        <v>PS'!</v>
      </c>
      <c r="F1649" s="34" t="str">
        <f t="shared" si="328"/>
        <v>C:\Users\jaime.benazar\Quorum Business Solutions\Ecopetrol Prometeo - Documents\Planning Space Implementation\3. Analysis &amp; Design\Design\FC22\DRR Jaime\Neiva CPI\[DINA TERCIARIOS_CF_SEC_New_27-Mar-2024.xlsx]D-PS'!</v>
      </c>
      <c r="G1649" s="32" t="s">
        <v>120</v>
      </c>
      <c r="H1649" s="33">
        <f t="shared" si="392"/>
        <v>25</v>
      </c>
      <c r="I1649" s="33" t="str">
        <f t="shared" si="329"/>
        <v>='C:\Users\jaime.benazar\Quorum Business Solutions\Ecopetrol Prometeo - Documents\Planning Space Implementation\3. Analysis &amp; Design\Design\FC22\DRR Jaime\Neiva CPI\[DINA TERCIARIOS_CF_SEC_New_27-Mar-2024.xlsx]D-PS'!$CA$25</v>
      </c>
      <c r="J1649" s="37" t="s">
        <v>2719</v>
      </c>
    </row>
    <row r="1650" spans="1:10" x14ac:dyDescent="0.3">
      <c r="A1650" s="32" t="s">
        <v>24</v>
      </c>
      <c r="B1650" s="32">
        <f>+B1649+1</f>
        <v>2037</v>
      </c>
      <c r="C1650" s="33" t="s">
        <v>40</v>
      </c>
      <c r="D1650" s="34" t="s">
        <v>2002</v>
      </c>
      <c r="E1650" s="35" t="str">
        <f t="shared" si="327"/>
        <v>PS'!</v>
      </c>
      <c r="F1650" s="34" t="str">
        <f t="shared" si="328"/>
        <v>C:\Users\jaime.benazar\Quorum Business Solutions\Ecopetrol Prometeo - Documents\Planning Space Implementation\3. Analysis &amp; Design\Design\FC22\DRR Jaime\Neiva CPI\[DINA TERCIARIOS_CF_SEC_New_27-Mar-2024.xlsx]D-PS'!</v>
      </c>
      <c r="G1650" s="32" t="s">
        <v>120</v>
      </c>
      <c r="H1650" s="33">
        <f t="shared" si="392"/>
        <v>26</v>
      </c>
      <c r="I1650" s="33" t="str">
        <f t="shared" si="329"/>
        <v>='C:\Users\jaime.benazar\Quorum Business Solutions\Ecopetrol Prometeo - Documents\Planning Space Implementation\3. Analysis &amp; Design\Design\FC22\DRR Jaime\Neiva CPI\[DINA TERCIARIOS_CF_SEC_New_27-Mar-2024.xlsx]D-PS'!$CA$26</v>
      </c>
      <c r="J1650" s="37" t="s">
        <v>2720</v>
      </c>
    </row>
    <row r="1651" spans="1:10" x14ac:dyDescent="0.3">
      <c r="A1651" s="32" t="s">
        <v>24</v>
      </c>
      <c r="B1651" s="32">
        <f t="shared" ref="B1651:B1653" si="394">+B1650+1</f>
        <v>2038</v>
      </c>
      <c r="C1651" s="33" t="s">
        <v>40</v>
      </c>
      <c r="D1651" s="34" t="s">
        <v>2002</v>
      </c>
      <c r="E1651" s="35" t="str">
        <f t="shared" si="327"/>
        <v>PS'!</v>
      </c>
      <c r="F1651" s="34" t="str">
        <f t="shared" si="328"/>
        <v>C:\Users\jaime.benazar\Quorum Business Solutions\Ecopetrol Prometeo - Documents\Planning Space Implementation\3. Analysis &amp; Design\Design\FC22\DRR Jaime\Neiva CPI\[DINA TERCIARIOS_CF_SEC_New_27-Mar-2024.xlsx]D-PS'!</v>
      </c>
      <c r="G1651" s="32" t="s">
        <v>120</v>
      </c>
      <c r="H1651" s="33">
        <f t="shared" si="392"/>
        <v>27</v>
      </c>
      <c r="I1651" s="33" t="str">
        <f t="shared" si="329"/>
        <v>='C:\Users\jaime.benazar\Quorum Business Solutions\Ecopetrol Prometeo - Documents\Planning Space Implementation\3. Analysis &amp; Design\Design\FC22\DRR Jaime\Neiva CPI\[DINA TERCIARIOS_CF_SEC_New_27-Mar-2024.xlsx]D-PS'!$CA$27</v>
      </c>
      <c r="J1651" s="37" t="s">
        <v>2721</v>
      </c>
    </row>
    <row r="1652" spans="1:10" x14ac:dyDescent="0.3">
      <c r="A1652" s="32" t="s">
        <v>24</v>
      </c>
      <c r="B1652" s="32">
        <f t="shared" si="394"/>
        <v>2039</v>
      </c>
      <c r="C1652" s="33" t="s">
        <v>40</v>
      </c>
      <c r="D1652" s="34" t="s">
        <v>2002</v>
      </c>
      <c r="E1652" s="35" t="str">
        <f t="shared" si="327"/>
        <v>PS'!</v>
      </c>
      <c r="F1652" s="34" t="str">
        <f t="shared" si="328"/>
        <v>C:\Users\jaime.benazar\Quorum Business Solutions\Ecopetrol Prometeo - Documents\Planning Space Implementation\3. Analysis &amp; Design\Design\FC22\DRR Jaime\Neiva CPI\[DINA TERCIARIOS_CF_SEC_New_27-Mar-2024.xlsx]D-PS'!</v>
      </c>
      <c r="G1652" s="32" t="s">
        <v>120</v>
      </c>
      <c r="H1652" s="33">
        <f t="shared" si="392"/>
        <v>28</v>
      </c>
      <c r="I1652" s="33" t="str">
        <f t="shared" si="329"/>
        <v>='C:\Users\jaime.benazar\Quorum Business Solutions\Ecopetrol Prometeo - Documents\Planning Space Implementation\3. Analysis &amp; Design\Design\FC22\DRR Jaime\Neiva CPI\[DINA TERCIARIOS_CF_SEC_New_27-Mar-2024.xlsx]D-PS'!$CA$28</v>
      </c>
      <c r="J1652" s="37" t="s">
        <v>2722</v>
      </c>
    </row>
    <row r="1653" spans="1:10" x14ac:dyDescent="0.3">
      <c r="A1653" s="32" t="s">
        <v>24</v>
      </c>
      <c r="B1653" s="32">
        <f t="shared" si="394"/>
        <v>2040</v>
      </c>
      <c r="C1653" s="33" t="s">
        <v>40</v>
      </c>
      <c r="D1653" s="34" t="s">
        <v>2002</v>
      </c>
      <c r="E1653" s="35" t="str">
        <f t="shared" si="327"/>
        <v>PS'!</v>
      </c>
      <c r="F1653" s="34" t="str">
        <f t="shared" si="328"/>
        <v>C:\Users\jaime.benazar\Quorum Business Solutions\Ecopetrol Prometeo - Documents\Planning Space Implementation\3. Analysis &amp; Design\Design\FC22\DRR Jaime\Neiva CPI\[DINA TERCIARIOS_CF_SEC_New_27-Mar-2024.xlsx]D-PS'!</v>
      </c>
      <c r="G1653" s="32" t="s">
        <v>120</v>
      </c>
      <c r="H1653" s="33">
        <f t="shared" si="392"/>
        <v>29</v>
      </c>
      <c r="I1653" s="33" t="str">
        <f t="shared" si="329"/>
        <v>='C:\Users\jaime.benazar\Quorum Business Solutions\Ecopetrol Prometeo - Documents\Planning Space Implementation\3. Analysis &amp; Design\Design\FC22\DRR Jaime\Neiva CPI\[DINA TERCIARIOS_CF_SEC_New_27-Mar-2024.xlsx]D-PS'!$CA$29</v>
      </c>
      <c r="J1653" s="37" t="s">
        <v>2723</v>
      </c>
    </row>
    <row r="1654" spans="1:10" x14ac:dyDescent="0.3">
      <c r="A1654" s="32" t="s">
        <v>24</v>
      </c>
      <c r="B1654" s="32">
        <f>+B1653+1</f>
        <v>2041</v>
      </c>
      <c r="C1654" s="33" t="s">
        <v>40</v>
      </c>
      <c r="D1654" s="34" t="s">
        <v>2002</v>
      </c>
      <c r="E1654" s="35" t="str">
        <f t="shared" si="327"/>
        <v>PS'!</v>
      </c>
      <c r="F1654" s="34" t="str">
        <f t="shared" si="328"/>
        <v>C:\Users\jaime.benazar\Quorum Business Solutions\Ecopetrol Prometeo - Documents\Planning Space Implementation\3. Analysis &amp; Design\Design\FC22\DRR Jaime\Neiva CPI\[DINA TERCIARIOS_CF_SEC_New_27-Mar-2024.xlsx]D-PS'!</v>
      </c>
      <c r="G1654" s="32" t="s">
        <v>120</v>
      </c>
      <c r="H1654" s="33">
        <f t="shared" si="392"/>
        <v>30</v>
      </c>
      <c r="I1654" s="33" t="str">
        <f t="shared" si="329"/>
        <v>='C:\Users\jaime.benazar\Quorum Business Solutions\Ecopetrol Prometeo - Documents\Planning Space Implementation\3. Analysis &amp; Design\Design\FC22\DRR Jaime\Neiva CPI\[DINA TERCIARIOS_CF_SEC_New_27-Mar-2024.xlsx]D-PS'!$CA$30</v>
      </c>
      <c r="J1654" s="37" t="s">
        <v>2724</v>
      </c>
    </row>
    <row r="1655" spans="1:10" x14ac:dyDescent="0.3">
      <c r="A1655" s="32" t="s">
        <v>24</v>
      </c>
      <c r="B1655" s="32">
        <f t="shared" ref="B1655:B1656" si="395">+B1654+1</f>
        <v>2042</v>
      </c>
      <c r="C1655" s="33" t="s">
        <v>40</v>
      </c>
      <c r="D1655" s="34" t="s">
        <v>2002</v>
      </c>
      <c r="E1655" s="35" t="str">
        <f t="shared" si="327"/>
        <v>PS'!</v>
      </c>
      <c r="F1655" s="34" t="str">
        <f t="shared" si="328"/>
        <v>C:\Users\jaime.benazar\Quorum Business Solutions\Ecopetrol Prometeo - Documents\Planning Space Implementation\3. Analysis &amp; Design\Design\FC22\DRR Jaime\Neiva CPI\[DINA TERCIARIOS_CF_SEC_New_27-Mar-2024.xlsx]D-PS'!</v>
      </c>
      <c r="G1655" s="32" t="s">
        <v>120</v>
      </c>
      <c r="H1655" s="33">
        <f t="shared" si="392"/>
        <v>31</v>
      </c>
      <c r="I1655" s="33" t="str">
        <f t="shared" si="329"/>
        <v>='C:\Users\jaime.benazar\Quorum Business Solutions\Ecopetrol Prometeo - Documents\Planning Space Implementation\3. Analysis &amp; Design\Design\FC22\DRR Jaime\Neiva CPI\[DINA TERCIARIOS_CF_SEC_New_27-Mar-2024.xlsx]D-PS'!$CA$31</v>
      </c>
      <c r="J1655" s="37" t="s">
        <v>2725</v>
      </c>
    </row>
    <row r="1656" spans="1:10" x14ac:dyDescent="0.3">
      <c r="A1656" s="32" t="s">
        <v>24</v>
      </c>
      <c r="B1656" s="32">
        <f t="shared" si="395"/>
        <v>2043</v>
      </c>
      <c r="C1656" s="33" t="s">
        <v>40</v>
      </c>
      <c r="D1656" s="34" t="s">
        <v>2002</v>
      </c>
      <c r="E1656" s="35" t="str">
        <f t="shared" si="327"/>
        <v>PS'!</v>
      </c>
      <c r="F1656" s="34" t="str">
        <f t="shared" si="328"/>
        <v>C:\Users\jaime.benazar\Quorum Business Solutions\Ecopetrol Prometeo - Documents\Planning Space Implementation\3. Analysis &amp; Design\Design\FC22\DRR Jaime\Neiva CPI\[DINA TERCIARIOS_CF_SEC_New_27-Mar-2024.xlsx]D-PS'!</v>
      </c>
      <c r="G1656" s="32" t="s">
        <v>120</v>
      </c>
      <c r="H1656" s="33">
        <f t="shared" si="392"/>
        <v>32</v>
      </c>
      <c r="I1656" s="33" t="str">
        <f t="shared" si="329"/>
        <v>='C:\Users\jaime.benazar\Quorum Business Solutions\Ecopetrol Prometeo - Documents\Planning Space Implementation\3. Analysis &amp; Design\Design\FC22\DRR Jaime\Neiva CPI\[DINA TERCIARIOS_CF_SEC_New_27-Mar-2024.xlsx]D-PS'!$CA$32</v>
      </c>
      <c r="J1656" s="37" t="s">
        <v>2726</v>
      </c>
    </row>
    <row r="1657" spans="1:10" x14ac:dyDescent="0.3">
      <c r="A1657" s="32" t="s">
        <v>24</v>
      </c>
      <c r="B1657" s="32">
        <f>+B1656+1</f>
        <v>2044</v>
      </c>
      <c r="C1657" s="33" t="s">
        <v>40</v>
      </c>
      <c r="D1657" s="34" t="s">
        <v>2002</v>
      </c>
      <c r="E1657" s="35" t="str">
        <f t="shared" ref="E1657:E1672" si="396">_xlfn.CONCAT(A1657,"'!")</f>
        <v>PS'!</v>
      </c>
      <c r="F1657" s="34" t="str">
        <f t="shared" ref="F1657:F1672" si="397">_xlfn.CONCAT(D1657:E1657)</f>
        <v>C:\Users\jaime.benazar\Quorum Business Solutions\Ecopetrol Prometeo - Documents\Planning Space Implementation\3. Analysis &amp; Design\Design\FC22\DRR Jaime\Neiva CPI\[DINA TERCIARIOS_CF_SEC_New_27-Mar-2024.xlsx]D-PS'!</v>
      </c>
      <c r="G1657" s="32" t="s">
        <v>120</v>
      </c>
      <c r="H1657" s="33">
        <f t="shared" ref="H1657:H1672" si="398">IF(A1657&lt;&gt;A1656,12,H1656+1)</f>
        <v>33</v>
      </c>
      <c r="I1657" s="33" t="str">
        <f t="shared" ref="I1657:I1672" si="399">_xlfn.CONCAT("='",F1657:H1657)</f>
        <v>='C:\Users\jaime.benazar\Quorum Business Solutions\Ecopetrol Prometeo - Documents\Planning Space Implementation\3. Analysis &amp; Design\Design\FC22\DRR Jaime\Neiva CPI\[DINA TERCIARIOS_CF_SEC_New_27-Mar-2024.xlsx]D-PS'!$CA$33</v>
      </c>
      <c r="J1657" s="37" t="s">
        <v>2727</v>
      </c>
    </row>
    <row r="1658" spans="1:10" x14ac:dyDescent="0.3">
      <c r="A1658" s="32" t="s">
        <v>24</v>
      </c>
      <c r="B1658" s="32">
        <f t="shared" ref="B1658:B1672" si="400">+B1657+1</f>
        <v>2045</v>
      </c>
      <c r="C1658" s="33" t="s">
        <v>40</v>
      </c>
      <c r="D1658" s="34" t="s">
        <v>2002</v>
      </c>
      <c r="E1658" s="35" t="str">
        <f t="shared" si="396"/>
        <v>PS'!</v>
      </c>
      <c r="F1658" s="34" t="str">
        <f t="shared" si="397"/>
        <v>C:\Users\jaime.benazar\Quorum Business Solutions\Ecopetrol Prometeo - Documents\Planning Space Implementation\3. Analysis &amp; Design\Design\FC22\DRR Jaime\Neiva CPI\[DINA TERCIARIOS_CF_SEC_New_27-Mar-2024.xlsx]D-PS'!</v>
      </c>
      <c r="G1658" s="32" t="s">
        <v>120</v>
      </c>
      <c r="H1658" s="33">
        <f t="shared" si="398"/>
        <v>34</v>
      </c>
      <c r="I1658" s="33" t="str">
        <f t="shared" si="399"/>
        <v>='C:\Users\jaime.benazar\Quorum Business Solutions\Ecopetrol Prometeo - Documents\Planning Space Implementation\3. Analysis &amp; Design\Design\FC22\DRR Jaime\Neiva CPI\[DINA TERCIARIOS_CF_SEC_New_27-Mar-2024.xlsx]D-PS'!$CA$34</v>
      </c>
      <c r="J1658" s="37" t="s">
        <v>2728</v>
      </c>
    </row>
    <row r="1659" spans="1:10" x14ac:dyDescent="0.3">
      <c r="A1659" s="32" t="s">
        <v>24</v>
      </c>
      <c r="B1659" s="32">
        <f t="shared" si="400"/>
        <v>2046</v>
      </c>
      <c r="C1659" s="33" t="s">
        <v>40</v>
      </c>
      <c r="D1659" s="34" t="s">
        <v>2002</v>
      </c>
      <c r="E1659" s="35" t="str">
        <f t="shared" si="396"/>
        <v>PS'!</v>
      </c>
      <c r="F1659" s="34" t="str">
        <f t="shared" si="397"/>
        <v>C:\Users\jaime.benazar\Quorum Business Solutions\Ecopetrol Prometeo - Documents\Planning Space Implementation\3. Analysis &amp; Design\Design\FC22\DRR Jaime\Neiva CPI\[DINA TERCIARIOS_CF_SEC_New_27-Mar-2024.xlsx]D-PS'!</v>
      </c>
      <c r="G1659" s="32" t="s">
        <v>120</v>
      </c>
      <c r="H1659" s="33">
        <f t="shared" si="398"/>
        <v>35</v>
      </c>
      <c r="I1659" s="33" t="str">
        <f t="shared" si="399"/>
        <v>='C:\Users\jaime.benazar\Quorum Business Solutions\Ecopetrol Prometeo - Documents\Planning Space Implementation\3. Analysis &amp; Design\Design\FC22\DRR Jaime\Neiva CPI\[DINA TERCIARIOS_CF_SEC_New_27-Mar-2024.xlsx]D-PS'!$CA$35</v>
      </c>
      <c r="J1659" s="37" t="s">
        <v>2729</v>
      </c>
    </row>
    <row r="1660" spans="1:10" x14ac:dyDescent="0.3">
      <c r="A1660" s="32" t="s">
        <v>24</v>
      </c>
      <c r="B1660" s="32">
        <f t="shared" si="400"/>
        <v>2047</v>
      </c>
      <c r="C1660" s="33" t="s">
        <v>40</v>
      </c>
      <c r="D1660" s="34" t="s">
        <v>2002</v>
      </c>
      <c r="E1660" s="35" t="str">
        <f t="shared" si="396"/>
        <v>PS'!</v>
      </c>
      <c r="F1660" s="34" t="str">
        <f t="shared" si="397"/>
        <v>C:\Users\jaime.benazar\Quorum Business Solutions\Ecopetrol Prometeo - Documents\Planning Space Implementation\3. Analysis &amp; Design\Design\FC22\DRR Jaime\Neiva CPI\[DINA TERCIARIOS_CF_SEC_New_27-Mar-2024.xlsx]D-PS'!</v>
      </c>
      <c r="G1660" s="32" t="s">
        <v>120</v>
      </c>
      <c r="H1660" s="33">
        <f t="shared" si="398"/>
        <v>36</v>
      </c>
      <c r="I1660" s="33" t="str">
        <f t="shared" si="399"/>
        <v>='C:\Users\jaime.benazar\Quorum Business Solutions\Ecopetrol Prometeo - Documents\Planning Space Implementation\3. Analysis &amp; Design\Design\FC22\DRR Jaime\Neiva CPI\[DINA TERCIARIOS_CF_SEC_New_27-Mar-2024.xlsx]D-PS'!$CA$36</v>
      </c>
      <c r="J1660" s="37" t="s">
        <v>2730</v>
      </c>
    </row>
    <row r="1661" spans="1:10" x14ac:dyDescent="0.3">
      <c r="A1661" s="32" t="s">
        <v>24</v>
      </c>
      <c r="B1661" s="32">
        <f t="shared" si="400"/>
        <v>2048</v>
      </c>
      <c r="C1661" s="33" t="s">
        <v>40</v>
      </c>
      <c r="D1661" s="34" t="s">
        <v>2002</v>
      </c>
      <c r="E1661" s="35" t="str">
        <f t="shared" si="396"/>
        <v>PS'!</v>
      </c>
      <c r="F1661" s="34" t="str">
        <f t="shared" si="397"/>
        <v>C:\Users\jaime.benazar\Quorum Business Solutions\Ecopetrol Prometeo - Documents\Planning Space Implementation\3. Analysis &amp; Design\Design\FC22\DRR Jaime\Neiva CPI\[DINA TERCIARIOS_CF_SEC_New_27-Mar-2024.xlsx]D-PS'!</v>
      </c>
      <c r="G1661" s="32" t="s">
        <v>120</v>
      </c>
      <c r="H1661" s="33">
        <f t="shared" si="398"/>
        <v>37</v>
      </c>
      <c r="I1661" s="33" t="str">
        <f t="shared" si="399"/>
        <v>='C:\Users\jaime.benazar\Quorum Business Solutions\Ecopetrol Prometeo - Documents\Planning Space Implementation\3. Analysis &amp; Design\Design\FC22\DRR Jaime\Neiva CPI\[DINA TERCIARIOS_CF_SEC_New_27-Mar-2024.xlsx]D-PS'!$CA$37</v>
      </c>
      <c r="J1661" s="37" t="s">
        <v>2731</v>
      </c>
    </row>
    <row r="1662" spans="1:10" x14ac:dyDescent="0.3">
      <c r="A1662" s="32" t="s">
        <v>24</v>
      </c>
      <c r="B1662" s="32">
        <f t="shared" si="400"/>
        <v>2049</v>
      </c>
      <c r="C1662" s="33" t="s">
        <v>40</v>
      </c>
      <c r="D1662" s="34" t="s">
        <v>2002</v>
      </c>
      <c r="E1662" s="35" t="str">
        <f t="shared" si="396"/>
        <v>PS'!</v>
      </c>
      <c r="F1662" s="34" t="str">
        <f t="shared" si="397"/>
        <v>C:\Users\jaime.benazar\Quorum Business Solutions\Ecopetrol Prometeo - Documents\Planning Space Implementation\3. Analysis &amp; Design\Design\FC22\DRR Jaime\Neiva CPI\[DINA TERCIARIOS_CF_SEC_New_27-Mar-2024.xlsx]D-PS'!</v>
      </c>
      <c r="G1662" s="32" t="s">
        <v>120</v>
      </c>
      <c r="H1662" s="33">
        <f t="shared" si="398"/>
        <v>38</v>
      </c>
      <c r="I1662" s="33" t="str">
        <f t="shared" si="399"/>
        <v>='C:\Users\jaime.benazar\Quorum Business Solutions\Ecopetrol Prometeo - Documents\Planning Space Implementation\3. Analysis &amp; Design\Design\FC22\DRR Jaime\Neiva CPI\[DINA TERCIARIOS_CF_SEC_New_27-Mar-2024.xlsx]D-PS'!$CA$38</v>
      </c>
      <c r="J1662" s="37" t="s">
        <v>2732</v>
      </c>
    </row>
    <row r="1663" spans="1:10" x14ac:dyDescent="0.3">
      <c r="A1663" s="32" t="s">
        <v>24</v>
      </c>
      <c r="B1663" s="32">
        <f t="shared" si="400"/>
        <v>2050</v>
      </c>
      <c r="C1663" s="33" t="s">
        <v>40</v>
      </c>
      <c r="D1663" s="34" t="s">
        <v>2002</v>
      </c>
      <c r="E1663" s="35" t="str">
        <f t="shared" si="396"/>
        <v>PS'!</v>
      </c>
      <c r="F1663" s="34" t="str">
        <f t="shared" si="397"/>
        <v>C:\Users\jaime.benazar\Quorum Business Solutions\Ecopetrol Prometeo - Documents\Planning Space Implementation\3. Analysis &amp; Design\Design\FC22\DRR Jaime\Neiva CPI\[DINA TERCIARIOS_CF_SEC_New_27-Mar-2024.xlsx]D-PS'!</v>
      </c>
      <c r="G1663" s="32" t="s">
        <v>120</v>
      </c>
      <c r="H1663" s="33">
        <f t="shared" si="398"/>
        <v>39</v>
      </c>
      <c r="I1663" s="33" t="str">
        <f t="shared" si="399"/>
        <v>='C:\Users\jaime.benazar\Quorum Business Solutions\Ecopetrol Prometeo - Documents\Planning Space Implementation\3. Analysis &amp; Design\Design\FC22\DRR Jaime\Neiva CPI\[DINA TERCIARIOS_CF_SEC_New_27-Mar-2024.xlsx]D-PS'!$CA$39</v>
      </c>
      <c r="J1663" s="37" t="s">
        <v>2733</v>
      </c>
    </row>
    <row r="1664" spans="1:10" x14ac:dyDescent="0.3">
      <c r="A1664" s="32" t="s">
        <v>24</v>
      </c>
      <c r="B1664" s="32">
        <f t="shared" si="400"/>
        <v>2051</v>
      </c>
      <c r="C1664" s="33" t="s">
        <v>40</v>
      </c>
      <c r="D1664" s="34" t="s">
        <v>2002</v>
      </c>
      <c r="E1664" s="35" t="str">
        <f t="shared" si="396"/>
        <v>PS'!</v>
      </c>
      <c r="F1664" s="34" t="str">
        <f t="shared" si="397"/>
        <v>C:\Users\jaime.benazar\Quorum Business Solutions\Ecopetrol Prometeo - Documents\Planning Space Implementation\3. Analysis &amp; Design\Design\FC22\DRR Jaime\Neiva CPI\[DINA TERCIARIOS_CF_SEC_New_27-Mar-2024.xlsx]D-PS'!</v>
      </c>
      <c r="G1664" s="32" t="s">
        <v>120</v>
      </c>
      <c r="H1664" s="33">
        <f t="shared" si="398"/>
        <v>40</v>
      </c>
      <c r="I1664" s="33" t="str">
        <f t="shared" si="399"/>
        <v>='C:\Users\jaime.benazar\Quorum Business Solutions\Ecopetrol Prometeo - Documents\Planning Space Implementation\3. Analysis &amp; Design\Design\FC22\DRR Jaime\Neiva CPI\[DINA TERCIARIOS_CF_SEC_New_27-Mar-2024.xlsx]D-PS'!$CA$40</v>
      </c>
      <c r="J1664" s="37" t="s">
        <v>2734</v>
      </c>
    </row>
    <row r="1665" spans="1:10" x14ac:dyDescent="0.3">
      <c r="A1665" s="32" t="s">
        <v>24</v>
      </c>
      <c r="B1665" s="32">
        <f t="shared" si="400"/>
        <v>2052</v>
      </c>
      <c r="C1665" s="33" t="s">
        <v>40</v>
      </c>
      <c r="D1665" s="34" t="s">
        <v>2002</v>
      </c>
      <c r="E1665" s="35" t="str">
        <f t="shared" si="396"/>
        <v>PS'!</v>
      </c>
      <c r="F1665" s="34" t="str">
        <f t="shared" si="397"/>
        <v>C:\Users\jaime.benazar\Quorum Business Solutions\Ecopetrol Prometeo - Documents\Planning Space Implementation\3. Analysis &amp; Design\Design\FC22\DRR Jaime\Neiva CPI\[DINA TERCIARIOS_CF_SEC_New_27-Mar-2024.xlsx]D-PS'!</v>
      </c>
      <c r="G1665" s="32" t="s">
        <v>120</v>
      </c>
      <c r="H1665" s="33">
        <f t="shared" si="398"/>
        <v>41</v>
      </c>
      <c r="I1665" s="33" t="str">
        <f t="shared" si="399"/>
        <v>='C:\Users\jaime.benazar\Quorum Business Solutions\Ecopetrol Prometeo - Documents\Planning Space Implementation\3. Analysis &amp; Design\Design\FC22\DRR Jaime\Neiva CPI\[DINA TERCIARIOS_CF_SEC_New_27-Mar-2024.xlsx]D-PS'!$CA$41</v>
      </c>
      <c r="J1665" s="37" t="s">
        <v>2735</v>
      </c>
    </row>
    <row r="1666" spans="1:10" x14ac:dyDescent="0.3">
      <c r="A1666" s="32" t="s">
        <v>24</v>
      </c>
      <c r="B1666" s="32">
        <f t="shared" si="400"/>
        <v>2053</v>
      </c>
      <c r="C1666" s="33" t="s">
        <v>40</v>
      </c>
      <c r="D1666" s="34" t="s">
        <v>2002</v>
      </c>
      <c r="E1666" s="35" t="str">
        <f t="shared" si="396"/>
        <v>PS'!</v>
      </c>
      <c r="F1666" s="34" t="str">
        <f t="shared" si="397"/>
        <v>C:\Users\jaime.benazar\Quorum Business Solutions\Ecopetrol Prometeo - Documents\Planning Space Implementation\3. Analysis &amp; Design\Design\FC22\DRR Jaime\Neiva CPI\[DINA TERCIARIOS_CF_SEC_New_27-Mar-2024.xlsx]D-PS'!</v>
      </c>
      <c r="G1666" s="32" t="s">
        <v>120</v>
      </c>
      <c r="H1666" s="33">
        <f t="shared" si="398"/>
        <v>42</v>
      </c>
      <c r="I1666" s="33" t="str">
        <f t="shared" si="399"/>
        <v>='C:\Users\jaime.benazar\Quorum Business Solutions\Ecopetrol Prometeo - Documents\Planning Space Implementation\3. Analysis &amp; Design\Design\FC22\DRR Jaime\Neiva CPI\[DINA TERCIARIOS_CF_SEC_New_27-Mar-2024.xlsx]D-PS'!$CA$42</v>
      </c>
      <c r="J1666" s="37" t="s">
        <v>2736</v>
      </c>
    </row>
    <row r="1667" spans="1:10" x14ac:dyDescent="0.3">
      <c r="A1667" s="32" t="s">
        <v>24</v>
      </c>
      <c r="B1667" s="32">
        <f t="shared" si="400"/>
        <v>2054</v>
      </c>
      <c r="C1667" s="33" t="s">
        <v>40</v>
      </c>
      <c r="D1667" s="34" t="s">
        <v>2002</v>
      </c>
      <c r="E1667" s="35" t="str">
        <f t="shared" si="396"/>
        <v>PS'!</v>
      </c>
      <c r="F1667" s="34" t="str">
        <f t="shared" si="397"/>
        <v>C:\Users\jaime.benazar\Quorum Business Solutions\Ecopetrol Prometeo - Documents\Planning Space Implementation\3. Analysis &amp; Design\Design\FC22\DRR Jaime\Neiva CPI\[DINA TERCIARIOS_CF_SEC_New_27-Mar-2024.xlsx]D-PS'!</v>
      </c>
      <c r="G1667" s="32" t="s">
        <v>120</v>
      </c>
      <c r="H1667" s="33">
        <f t="shared" si="398"/>
        <v>43</v>
      </c>
      <c r="I1667" s="33" t="str">
        <f t="shared" si="399"/>
        <v>='C:\Users\jaime.benazar\Quorum Business Solutions\Ecopetrol Prometeo - Documents\Planning Space Implementation\3. Analysis &amp; Design\Design\FC22\DRR Jaime\Neiva CPI\[DINA TERCIARIOS_CF_SEC_New_27-Mar-2024.xlsx]D-PS'!$CA$43</v>
      </c>
      <c r="J1667" s="37" t="s">
        <v>2737</v>
      </c>
    </row>
    <row r="1668" spans="1:10" x14ac:dyDescent="0.3">
      <c r="A1668" s="32" t="s">
        <v>24</v>
      </c>
      <c r="B1668" s="32">
        <f t="shared" si="400"/>
        <v>2055</v>
      </c>
      <c r="C1668" s="33" t="s">
        <v>40</v>
      </c>
      <c r="D1668" s="34" t="s">
        <v>2002</v>
      </c>
      <c r="E1668" s="35" t="str">
        <f t="shared" si="396"/>
        <v>PS'!</v>
      </c>
      <c r="F1668" s="34" t="str">
        <f t="shared" si="397"/>
        <v>C:\Users\jaime.benazar\Quorum Business Solutions\Ecopetrol Prometeo - Documents\Planning Space Implementation\3. Analysis &amp; Design\Design\FC22\DRR Jaime\Neiva CPI\[DINA TERCIARIOS_CF_SEC_New_27-Mar-2024.xlsx]D-PS'!</v>
      </c>
      <c r="G1668" s="32" t="s">
        <v>120</v>
      </c>
      <c r="H1668" s="33">
        <f t="shared" si="398"/>
        <v>44</v>
      </c>
      <c r="I1668" s="33" t="str">
        <f t="shared" si="399"/>
        <v>='C:\Users\jaime.benazar\Quorum Business Solutions\Ecopetrol Prometeo - Documents\Planning Space Implementation\3. Analysis &amp; Design\Design\FC22\DRR Jaime\Neiva CPI\[DINA TERCIARIOS_CF_SEC_New_27-Mar-2024.xlsx]D-PS'!$CA$44</v>
      </c>
      <c r="J1668" s="37" t="s">
        <v>2738</v>
      </c>
    </row>
    <row r="1669" spans="1:10" x14ac:dyDescent="0.3">
      <c r="A1669" s="32" t="s">
        <v>24</v>
      </c>
      <c r="B1669" s="32">
        <f t="shared" si="400"/>
        <v>2056</v>
      </c>
      <c r="C1669" s="33" t="s">
        <v>40</v>
      </c>
      <c r="D1669" s="34" t="s">
        <v>2002</v>
      </c>
      <c r="E1669" s="35" t="str">
        <f t="shared" si="396"/>
        <v>PS'!</v>
      </c>
      <c r="F1669" s="34" t="str">
        <f t="shared" si="397"/>
        <v>C:\Users\jaime.benazar\Quorum Business Solutions\Ecopetrol Prometeo - Documents\Planning Space Implementation\3. Analysis &amp; Design\Design\FC22\DRR Jaime\Neiva CPI\[DINA TERCIARIOS_CF_SEC_New_27-Mar-2024.xlsx]D-PS'!</v>
      </c>
      <c r="G1669" s="32" t="s">
        <v>120</v>
      </c>
      <c r="H1669" s="33">
        <f t="shared" si="398"/>
        <v>45</v>
      </c>
      <c r="I1669" s="33" t="str">
        <f t="shared" si="399"/>
        <v>='C:\Users\jaime.benazar\Quorum Business Solutions\Ecopetrol Prometeo - Documents\Planning Space Implementation\3. Analysis &amp; Design\Design\FC22\DRR Jaime\Neiva CPI\[DINA TERCIARIOS_CF_SEC_New_27-Mar-2024.xlsx]D-PS'!$CA$45</v>
      </c>
      <c r="J1669" s="37" t="s">
        <v>2739</v>
      </c>
    </row>
    <row r="1670" spans="1:10" x14ac:dyDescent="0.3">
      <c r="A1670" s="32" t="s">
        <v>24</v>
      </c>
      <c r="B1670" s="32">
        <f t="shared" si="400"/>
        <v>2057</v>
      </c>
      <c r="C1670" s="33" t="s">
        <v>40</v>
      </c>
      <c r="D1670" s="34" t="s">
        <v>2002</v>
      </c>
      <c r="E1670" s="35" t="str">
        <f t="shared" si="396"/>
        <v>PS'!</v>
      </c>
      <c r="F1670" s="34" t="str">
        <f t="shared" si="397"/>
        <v>C:\Users\jaime.benazar\Quorum Business Solutions\Ecopetrol Prometeo - Documents\Planning Space Implementation\3. Analysis &amp; Design\Design\FC22\DRR Jaime\Neiva CPI\[DINA TERCIARIOS_CF_SEC_New_27-Mar-2024.xlsx]D-PS'!</v>
      </c>
      <c r="G1670" s="32" t="s">
        <v>120</v>
      </c>
      <c r="H1670" s="33">
        <f t="shared" si="398"/>
        <v>46</v>
      </c>
      <c r="I1670" s="33" t="str">
        <f t="shared" si="399"/>
        <v>='C:\Users\jaime.benazar\Quorum Business Solutions\Ecopetrol Prometeo - Documents\Planning Space Implementation\3. Analysis &amp; Design\Design\FC22\DRR Jaime\Neiva CPI\[DINA TERCIARIOS_CF_SEC_New_27-Mar-2024.xlsx]D-PS'!$CA$46</v>
      </c>
      <c r="J1670" s="37" t="s">
        <v>2740</v>
      </c>
    </row>
    <row r="1671" spans="1:10" x14ac:dyDescent="0.3">
      <c r="A1671" s="32" t="s">
        <v>24</v>
      </c>
      <c r="B1671" s="32">
        <f t="shared" si="400"/>
        <v>2058</v>
      </c>
      <c r="C1671" s="33" t="s">
        <v>40</v>
      </c>
      <c r="D1671" s="34" t="s">
        <v>2002</v>
      </c>
      <c r="E1671" s="35" t="str">
        <f t="shared" si="396"/>
        <v>PS'!</v>
      </c>
      <c r="F1671" s="34" t="str">
        <f t="shared" si="397"/>
        <v>C:\Users\jaime.benazar\Quorum Business Solutions\Ecopetrol Prometeo - Documents\Planning Space Implementation\3. Analysis &amp; Design\Design\FC22\DRR Jaime\Neiva CPI\[DINA TERCIARIOS_CF_SEC_New_27-Mar-2024.xlsx]D-PS'!</v>
      </c>
      <c r="G1671" s="32" t="s">
        <v>120</v>
      </c>
      <c r="H1671" s="33">
        <f t="shared" si="398"/>
        <v>47</v>
      </c>
      <c r="I1671" s="33" t="str">
        <f t="shared" si="399"/>
        <v>='C:\Users\jaime.benazar\Quorum Business Solutions\Ecopetrol Prometeo - Documents\Planning Space Implementation\3. Analysis &amp; Design\Design\FC22\DRR Jaime\Neiva CPI\[DINA TERCIARIOS_CF_SEC_New_27-Mar-2024.xlsx]D-PS'!$CA$47</v>
      </c>
      <c r="J1671" s="37" t="s">
        <v>2741</v>
      </c>
    </row>
    <row r="1672" spans="1:10" x14ac:dyDescent="0.3">
      <c r="A1672" s="32" t="s">
        <v>24</v>
      </c>
      <c r="B1672" s="32">
        <f t="shared" si="400"/>
        <v>2059</v>
      </c>
      <c r="C1672" s="33" t="s">
        <v>40</v>
      </c>
      <c r="D1672" s="34" t="s">
        <v>2002</v>
      </c>
      <c r="E1672" s="35" t="str">
        <f t="shared" si="396"/>
        <v>PS'!</v>
      </c>
      <c r="F1672" s="34" t="str">
        <f t="shared" si="397"/>
        <v>C:\Users\jaime.benazar\Quorum Business Solutions\Ecopetrol Prometeo - Documents\Planning Space Implementation\3. Analysis &amp; Design\Design\FC22\DRR Jaime\Neiva CPI\[DINA TERCIARIOS_CF_SEC_New_27-Mar-2024.xlsx]D-PS'!</v>
      </c>
      <c r="G1672" s="32" t="s">
        <v>120</v>
      </c>
      <c r="H1672" s="33">
        <f t="shared" si="398"/>
        <v>48</v>
      </c>
      <c r="I1672" s="33" t="str">
        <f t="shared" si="399"/>
        <v>='C:\Users\jaime.benazar\Quorum Business Solutions\Ecopetrol Prometeo - Documents\Planning Space Implementation\3. Analysis &amp; Design\Design\FC22\DRR Jaime\Neiva CPI\[DINA TERCIARIOS_CF_SEC_New_27-Mar-2024.xlsx]D-PS'!$CA$48</v>
      </c>
      <c r="J1672" s="37" t="s">
        <v>2742</v>
      </c>
    </row>
    <row r="1673" spans="1:10" x14ac:dyDescent="0.3">
      <c r="A1673" s="32" t="s">
        <v>26</v>
      </c>
      <c r="B1673" s="32"/>
      <c r="C1673" s="33" t="s">
        <v>40</v>
      </c>
      <c r="D1673" s="34"/>
      <c r="E1673" s="35"/>
      <c r="F1673" s="34"/>
      <c r="G1673" s="32"/>
      <c r="H1673" s="33"/>
      <c r="I1673" s="33"/>
      <c r="J1673" s="33"/>
    </row>
    <row r="1674" spans="1:10" x14ac:dyDescent="0.3">
      <c r="A1674" s="32" t="s">
        <v>14</v>
      </c>
      <c r="B1674" s="32">
        <v>2023</v>
      </c>
      <c r="C1674" s="33" t="s">
        <v>46</v>
      </c>
      <c r="D1674" s="34" t="s">
        <v>2002</v>
      </c>
      <c r="E1674" s="35" t="str">
        <f>_xlfn.CONCAT(A1674,"'!")</f>
        <v>PDP'!</v>
      </c>
      <c r="F1674" s="34" t="str">
        <f>_xlfn.CONCAT(D1674:E1674)</f>
        <v>C:\Users\jaime.benazar\Quorum Business Solutions\Ecopetrol Prometeo - Documents\Planning Space Implementation\3. Analysis &amp; Design\Design\FC22\DRR Jaime\Neiva CPI\[DINA TERCIARIOS_CF_SEC_New_27-Mar-2024.xlsx]D-PDP'!</v>
      </c>
      <c r="G1674" s="32" t="s">
        <v>103</v>
      </c>
      <c r="H1674" s="33">
        <v>12</v>
      </c>
      <c r="I1674" s="33" t="str">
        <f>_xlfn.CONCAT("='",F1674:H1674)</f>
        <v>='C:\Users\jaime.benazar\Quorum Business Solutions\Ecopetrol Prometeo - Documents\Planning Space Implementation\3. Analysis &amp; Design\Design\FC22\DRR Jaime\Neiva CPI\[DINA TERCIARIOS_CF_SEC_New_27-Mar-2024.xlsx]D-PDP'!$BX$12</v>
      </c>
      <c r="J1674" s="37" t="s">
        <v>2743</v>
      </c>
    </row>
    <row r="1675" spans="1:10" x14ac:dyDescent="0.3">
      <c r="A1675" s="32" t="s">
        <v>14</v>
      </c>
      <c r="B1675" s="32">
        <f>+B1674+1</f>
        <v>2024</v>
      </c>
      <c r="C1675" s="33" t="s">
        <v>46</v>
      </c>
      <c r="D1675" s="34" t="s">
        <v>2002</v>
      </c>
      <c r="E1675" s="35" t="str">
        <f t="shared" ref="E1675:E1768" si="401">_xlfn.CONCAT(A1675,"'!")</f>
        <v>PDP'!</v>
      </c>
      <c r="F1675" s="34" t="str">
        <f t="shared" ref="F1675:F1768" si="402">_xlfn.CONCAT(D1675:E1675)</f>
        <v>C:\Users\jaime.benazar\Quorum Business Solutions\Ecopetrol Prometeo - Documents\Planning Space Implementation\3. Analysis &amp; Design\Design\FC22\DRR Jaime\Neiva CPI\[DINA TERCIARIOS_CF_SEC_New_27-Mar-2024.xlsx]D-PDP'!</v>
      </c>
      <c r="G1675" s="32" t="s">
        <v>103</v>
      </c>
      <c r="H1675" s="33">
        <f t="shared" ref="H1675:H1694" si="403">IF(A1675&lt;&gt;A1674,12,H1674+1)</f>
        <v>13</v>
      </c>
      <c r="I1675" s="33" t="str">
        <f t="shared" ref="I1675:I1694" si="404">_xlfn.CONCAT("='",F1675:H1675)</f>
        <v>='C:\Users\jaime.benazar\Quorum Business Solutions\Ecopetrol Prometeo - Documents\Planning Space Implementation\3. Analysis &amp; Design\Design\FC22\DRR Jaime\Neiva CPI\[DINA TERCIARIOS_CF_SEC_New_27-Mar-2024.xlsx]D-PDP'!$BX$13</v>
      </c>
      <c r="J1675" s="37" t="s">
        <v>2744</v>
      </c>
    </row>
    <row r="1676" spans="1:10" x14ac:dyDescent="0.3">
      <c r="A1676" s="32" t="s">
        <v>14</v>
      </c>
      <c r="B1676" s="32">
        <f t="shared" ref="B1676:B1687" si="405">+B1675+1</f>
        <v>2025</v>
      </c>
      <c r="C1676" s="33" t="s">
        <v>46</v>
      </c>
      <c r="D1676" s="34" t="s">
        <v>2002</v>
      </c>
      <c r="E1676" s="35" t="str">
        <f t="shared" si="401"/>
        <v>PDP'!</v>
      </c>
      <c r="F1676" s="34" t="str">
        <f t="shared" si="402"/>
        <v>C:\Users\jaime.benazar\Quorum Business Solutions\Ecopetrol Prometeo - Documents\Planning Space Implementation\3. Analysis &amp; Design\Design\FC22\DRR Jaime\Neiva CPI\[DINA TERCIARIOS_CF_SEC_New_27-Mar-2024.xlsx]D-PDP'!</v>
      </c>
      <c r="G1676" s="32" t="s">
        <v>103</v>
      </c>
      <c r="H1676" s="33">
        <f t="shared" si="403"/>
        <v>14</v>
      </c>
      <c r="I1676" s="33" t="str">
        <f t="shared" si="404"/>
        <v>='C:\Users\jaime.benazar\Quorum Business Solutions\Ecopetrol Prometeo - Documents\Planning Space Implementation\3. Analysis &amp; Design\Design\FC22\DRR Jaime\Neiva CPI\[DINA TERCIARIOS_CF_SEC_New_27-Mar-2024.xlsx]D-PDP'!$BX$14</v>
      </c>
      <c r="J1676" s="37" t="s">
        <v>2745</v>
      </c>
    </row>
    <row r="1677" spans="1:10" x14ac:dyDescent="0.3">
      <c r="A1677" s="32" t="s">
        <v>14</v>
      </c>
      <c r="B1677" s="32">
        <f t="shared" si="405"/>
        <v>2026</v>
      </c>
      <c r="C1677" s="33" t="s">
        <v>46</v>
      </c>
      <c r="D1677" s="34" t="s">
        <v>2002</v>
      </c>
      <c r="E1677" s="35" t="str">
        <f t="shared" si="401"/>
        <v>PDP'!</v>
      </c>
      <c r="F1677" s="34" t="str">
        <f t="shared" si="402"/>
        <v>C:\Users\jaime.benazar\Quorum Business Solutions\Ecopetrol Prometeo - Documents\Planning Space Implementation\3. Analysis &amp; Design\Design\FC22\DRR Jaime\Neiva CPI\[DINA TERCIARIOS_CF_SEC_New_27-Mar-2024.xlsx]D-PDP'!</v>
      </c>
      <c r="G1677" s="32" t="s">
        <v>103</v>
      </c>
      <c r="H1677" s="33">
        <f t="shared" si="403"/>
        <v>15</v>
      </c>
      <c r="I1677" s="33" t="str">
        <f t="shared" si="404"/>
        <v>='C:\Users\jaime.benazar\Quorum Business Solutions\Ecopetrol Prometeo - Documents\Planning Space Implementation\3. Analysis &amp; Design\Design\FC22\DRR Jaime\Neiva CPI\[DINA TERCIARIOS_CF_SEC_New_27-Mar-2024.xlsx]D-PDP'!$BX$15</v>
      </c>
      <c r="J1677" s="37" t="s">
        <v>2746</v>
      </c>
    </row>
    <row r="1678" spans="1:10" x14ac:dyDescent="0.3">
      <c r="A1678" s="32" t="s">
        <v>14</v>
      </c>
      <c r="B1678" s="32">
        <f t="shared" si="405"/>
        <v>2027</v>
      </c>
      <c r="C1678" s="33" t="s">
        <v>46</v>
      </c>
      <c r="D1678" s="34" t="s">
        <v>2002</v>
      </c>
      <c r="E1678" s="35" t="str">
        <f t="shared" si="401"/>
        <v>PDP'!</v>
      </c>
      <c r="F1678" s="34" t="str">
        <f t="shared" si="402"/>
        <v>C:\Users\jaime.benazar\Quorum Business Solutions\Ecopetrol Prometeo - Documents\Planning Space Implementation\3. Analysis &amp; Design\Design\FC22\DRR Jaime\Neiva CPI\[DINA TERCIARIOS_CF_SEC_New_27-Mar-2024.xlsx]D-PDP'!</v>
      </c>
      <c r="G1678" s="32" t="s">
        <v>103</v>
      </c>
      <c r="H1678" s="33">
        <f t="shared" si="403"/>
        <v>16</v>
      </c>
      <c r="I1678" s="33" t="str">
        <f t="shared" si="404"/>
        <v>='C:\Users\jaime.benazar\Quorum Business Solutions\Ecopetrol Prometeo - Documents\Planning Space Implementation\3. Analysis &amp; Design\Design\FC22\DRR Jaime\Neiva CPI\[DINA TERCIARIOS_CF_SEC_New_27-Mar-2024.xlsx]D-PDP'!$BX$16</v>
      </c>
      <c r="J1678" s="37" t="s">
        <v>2747</v>
      </c>
    </row>
    <row r="1679" spans="1:10" x14ac:dyDescent="0.3">
      <c r="A1679" s="32" t="s">
        <v>14</v>
      </c>
      <c r="B1679" s="32">
        <f t="shared" si="405"/>
        <v>2028</v>
      </c>
      <c r="C1679" s="33" t="s">
        <v>46</v>
      </c>
      <c r="D1679" s="34" t="s">
        <v>2002</v>
      </c>
      <c r="E1679" s="35" t="str">
        <f t="shared" si="401"/>
        <v>PDP'!</v>
      </c>
      <c r="F1679" s="34" t="str">
        <f t="shared" si="402"/>
        <v>C:\Users\jaime.benazar\Quorum Business Solutions\Ecopetrol Prometeo - Documents\Planning Space Implementation\3. Analysis &amp; Design\Design\FC22\DRR Jaime\Neiva CPI\[DINA TERCIARIOS_CF_SEC_New_27-Mar-2024.xlsx]D-PDP'!</v>
      </c>
      <c r="G1679" s="32" t="s">
        <v>103</v>
      </c>
      <c r="H1679" s="33">
        <f t="shared" si="403"/>
        <v>17</v>
      </c>
      <c r="I1679" s="33" t="str">
        <f t="shared" si="404"/>
        <v>='C:\Users\jaime.benazar\Quorum Business Solutions\Ecopetrol Prometeo - Documents\Planning Space Implementation\3. Analysis &amp; Design\Design\FC22\DRR Jaime\Neiva CPI\[DINA TERCIARIOS_CF_SEC_New_27-Mar-2024.xlsx]D-PDP'!$BX$17</v>
      </c>
      <c r="J1679" s="37" t="s">
        <v>2748</v>
      </c>
    </row>
    <row r="1680" spans="1:10" x14ac:dyDescent="0.3">
      <c r="A1680" s="32" t="s">
        <v>14</v>
      </c>
      <c r="B1680" s="32">
        <f t="shared" si="405"/>
        <v>2029</v>
      </c>
      <c r="C1680" s="33" t="s">
        <v>46</v>
      </c>
      <c r="D1680" s="34" t="s">
        <v>2002</v>
      </c>
      <c r="E1680" s="35" t="str">
        <f t="shared" si="401"/>
        <v>PDP'!</v>
      </c>
      <c r="F1680" s="34" t="str">
        <f t="shared" si="402"/>
        <v>C:\Users\jaime.benazar\Quorum Business Solutions\Ecopetrol Prometeo - Documents\Planning Space Implementation\3. Analysis &amp; Design\Design\FC22\DRR Jaime\Neiva CPI\[DINA TERCIARIOS_CF_SEC_New_27-Mar-2024.xlsx]D-PDP'!</v>
      </c>
      <c r="G1680" s="32" t="s">
        <v>103</v>
      </c>
      <c r="H1680" s="33">
        <f t="shared" si="403"/>
        <v>18</v>
      </c>
      <c r="I1680" s="33" t="str">
        <f t="shared" si="404"/>
        <v>='C:\Users\jaime.benazar\Quorum Business Solutions\Ecopetrol Prometeo - Documents\Planning Space Implementation\3. Analysis &amp; Design\Design\FC22\DRR Jaime\Neiva CPI\[DINA TERCIARIOS_CF_SEC_New_27-Mar-2024.xlsx]D-PDP'!$BX$18</v>
      </c>
      <c r="J1680" s="37" t="s">
        <v>2749</v>
      </c>
    </row>
    <row r="1681" spans="1:10" x14ac:dyDescent="0.3">
      <c r="A1681" s="32" t="s">
        <v>14</v>
      </c>
      <c r="B1681" s="32">
        <f t="shared" si="405"/>
        <v>2030</v>
      </c>
      <c r="C1681" s="33" t="s">
        <v>46</v>
      </c>
      <c r="D1681" s="34" t="s">
        <v>2002</v>
      </c>
      <c r="E1681" s="35" t="str">
        <f t="shared" si="401"/>
        <v>PDP'!</v>
      </c>
      <c r="F1681" s="34" t="str">
        <f t="shared" si="402"/>
        <v>C:\Users\jaime.benazar\Quorum Business Solutions\Ecopetrol Prometeo - Documents\Planning Space Implementation\3. Analysis &amp; Design\Design\FC22\DRR Jaime\Neiva CPI\[DINA TERCIARIOS_CF_SEC_New_27-Mar-2024.xlsx]D-PDP'!</v>
      </c>
      <c r="G1681" s="32" t="s">
        <v>103</v>
      </c>
      <c r="H1681" s="33">
        <f t="shared" si="403"/>
        <v>19</v>
      </c>
      <c r="I1681" s="33" t="str">
        <f t="shared" si="404"/>
        <v>='C:\Users\jaime.benazar\Quorum Business Solutions\Ecopetrol Prometeo - Documents\Planning Space Implementation\3. Analysis &amp; Design\Design\FC22\DRR Jaime\Neiva CPI\[DINA TERCIARIOS_CF_SEC_New_27-Mar-2024.xlsx]D-PDP'!$BX$19</v>
      </c>
      <c r="J1681" s="37" t="s">
        <v>2750</v>
      </c>
    </row>
    <row r="1682" spans="1:10" x14ac:dyDescent="0.3">
      <c r="A1682" s="32" t="s">
        <v>14</v>
      </c>
      <c r="B1682" s="32">
        <f t="shared" si="405"/>
        <v>2031</v>
      </c>
      <c r="C1682" s="33" t="s">
        <v>46</v>
      </c>
      <c r="D1682" s="34" t="s">
        <v>2002</v>
      </c>
      <c r="E1682" s="35" t="str">
        <f t="shared" si="401"/>
        <v>PDP'!</v>
      </c>
      <c r="F1682" s="34" t="str">
        <f t="shared" si="402"/>
        <v>C:\Users\jaime.benazar\Quorum Business Solutions\Ecopetrol Prometeo - Documents\Planning Space Implementation\3. Analysis &amp; Design\Design\FC22\DRR Jaime\Neiva CPI\[DINA TERCIARIOS_CF_SEC_New_27-Mar-2024.xlsx]D-PDP'!</v>
      </c>
      <c r="G1682" s="32" t="s">
        <v>103</v>
      </c>
      <c r="H1682" s="33">
        <f t="shared" si="403"/>
        <v>20</v>
      </c>
      <c r="I1682" s="33" t="str">
        <f t="shared" si="404"/>
        <v>='C:\Users\jaime.benazar\Quorum Business Solutions\Ecopetrol Prometeo - Documents\Planning Space Implementation\3. Analysis &amp; Design\Design\FC22\DRR Jaime\Neiva CPI\[DINA TERCIARIOS_CF_SEC_New_27-Mar-2024.xlsx]D-PDP'!$BX$20</v>
      </c>
      <c r="J1682" s="37" t="s">
        <v>2751</v>
      </c>
    </row>
    <row r="1683" spans="1:10" x14ac:dyDescent="0.3">
      <c r="A1683" s="32" t="s">
        <v>14</v>
      </c>
      <c r="B1683" s="32">
        <f t="shared" si="405"/>
        <v>2032</v>
      </c>
      <c r="C1683" s="33" t="s">
        <v>46</v>
      </c>
      <c r="D1683" s="34" t="s">
        <v>2002</v>
      </c>
      <c r="E1683" s="35" t="str">
        <f t="shared" si="401"/>
        <v>PDP'!</v>
      </c>
      <c r="F1683" s="34" t="str">
        <f t="shared" si="402"/>
        <v>C:\Users\jaime.benazar\Quorum Business Solutions\Ecopetrol Prometeo - Documents\Planning Space Implementation\3. Analysis &amp; Design\Design\FC22\DRR Jaime\Neiva CPI\[DINA TERCIARIOS_CF_SEC_New_27-Mar-2024.xlsx]D-PDP'!</v>
      </c>
      <c r="G1683" s="32" t="s">
        <v>103</v>
      </c>
      <c r="H1683" s="33">
        <f t="shared" si="403"/>
        <v>21</v>
      </c>
      <c r="I1683" s="33" t="str">
        <f t="shared" si="404"/>
        <v>='C:\Users\jaime.benazar\Quorum Business Solutions\Ecopetrol Prometeo - Documents\Planning Space Implementation\3. Analysis &amp; Design\Design\FC22\DRR Jaime\Neiva CPI\[DINA TERCIARIOS_CF_SEC_New_27-Mar-2024.xlsx]D-PDP'!$BX$21</v>
      </c>
      <c r="J1683" s="37" t="s">
        <v>2752</v>
      </c>
    </row>
    <row r="1684" spans="1:10" x14ac:dyDescent="0.3">
      <c r="A1684" s="32" t="s">
        <v>14</v>
      </c>
      <c r="B1684" s="32">
        <f t="shared" si="405"/>
        <v>2033</v>
      </c>
      <c r="C1684" s="33" t="s">
        <v>46</v>
      </c>
      <c r="D1684" s="34" t="s">
        <v>2002</v>
      </c>
      <c r="E1684" s="35" t="str">
        <f t="shared" si="401"/>
        <v>PDP'!</v>
      </c>
      <c r="F1684" s="34" t="str">
        <f t="shared" si="402"/>
        <v>C:\Users\jaime.benazar\Quorum Business Solutions\Ecopetrol Prometeo - Documents\Planning Space Implementation\3. Analysis &amp; Design\Design\FC22\DRR Jaime\Neiva CPI\[DINA TERCIARIOS_CF_SEC_New_27-Mar-2024.xlsx]D-PDP'!</v>
      </c>
      <c r="G1684" s="32" t="s">
        <v>103</v>
      </c>
      <c r="H1684" s="33">
        <f t="shared" si="403"/>
        <v>22</v>
      </c>
      <c r="I1684" s="33" t="str">
        <f t="shared" si="404"/>
        <v>='C:\Users\jaime.benazar\Quorum Business Solutions\Ecopetrol Prometeo - Documents\Planning Space Implementation\3. Analysis &amp; Design\Design\FC22\DRR Jaime\Neiva CPI\[DINA TERCIARIOS_CF_SEC_New_27-Mar-2024.xlsx]D-PDP'!$BX$22</v>
      </c>
      <c r="J1684" s="37" t="s">
        <v>2753</v>
      </c>
    </row>
    <row r="1685" spans="1:10" x14ac:dyDescent="0.3">
      <c r="A1685" s="32" t="s">
        <v>14</v>
      </c>
      <c r="B1685" s="32">
        <f t="shared" si="405"/>
        <v>2034</v>
      </c>
      <c r="C1685" s="33" t="s">
        <v>46</v>
      </c>
      <c r="D1685" s="34" t="s">
        <v>2002</v>
      </c>
      <c r="E1685" s="35" t="str">
        <f t="shared" si="401"/>
        <v>PDP'!</v>
      </c>
      <c r="F1685" s="34" t="str">
        <f t="shared" si="402"/>
        <v>C:\Users\jaime.benazar\Quorum Business Solutions\Ecopetrol Prometeo - Documents\Planning Space Implementation\3. Analysis &amp; Design\Design\FC22\DRR Jaime\Neiva CPI\[DINA TERCIARIOS_CF_SEC_New_27-Mar-2024.xlsx]D-PDP'!</v>
      </c>
      <c r="G1685" s="32" t="s">
        <v>103</v>
      </c>
      <c r="H1685" s="33">
        <f t="shared" si="403"/>
        <v>23</v>
      </c>
      <c r="I1685" s="33" t="str">
        <f t="shared" si="404"/>
        <v>='C:\Users\jaime.benazar\Quorum Business Solutions\Ecopetrol Prometeo - Documents\Planning Space Implementation\3. Analysis &amp; Design\Design\FC22\DRR Jaime\Neiva CPI\[DINA TERCIARIOS_CF_SEC_New_27-Mar-2024.xlsx]D-PDP'!$BX$23</v>
      </c>
      <c r="J1685" s="37" t="s">
        <v>2754</v>
      </c>
    </row>
    <row r="1686" spans="1:10" x14ac:dyDescent="0.3">
      <c r="A1686" s="32" t="s">
        <v>14</v>
      </c>
      <c r="B1686" s="32">
        <f t="shared" si="405"/>
        <v>2035</v>
      </c>
      <c r="C1686" s="33" t="s">
        <v>46</v>
      </c>
      <c r="D1686" s="34" t="s">
        <v>2002</v>
      </c>
      <c r="E1686" s="35" t="str">
        <f t="shared" si="401"/>
        <v>PDP'!</v>
      </c>
      <c r="F1686" s="34" t="str">
        <f t="shared" si="402"/>
        <v>C:\Users\jaime.benazar\Quorum Business Solutions\Ecopetrol Prometeo - Documents\Planning Space Implementation\3. Analysis &amp; Design\Design\FC22\DRR Jaime\Neiva CPI\[DINA TERCIARIOS_CF_SEC_New_27-Mar-2024.xlsx]D-PDP'!</v>
      </c>
      <c r="G1686" s="32" t="s">
        <v>103</v>
      </c>
      <c r="H1686" s="33">
        <f t="shared" si="403"/>
        <v>24</v>
      </c>
      <c r="I1686" s="33" t="str">
        <f t="shared" si="404"/>
        <v>='C:\Users\jaime.benazar\Quorum Business Solutions\Ecopetrol Prometeo - Documents\Planning Space Implementation\3. Analysis &amp; Design\Design\FC22\DRR Jaime\Neiva CPI\[DINA TERCIARIOS_CF_SEC_New_27-Mar-2024.xlsx]D-PDP'!$BX$24</v>
      </c>
      <c r="J1686" s="37" t="s">
        <v>2755</v>
      </c>
    </row>
    <row r="1687" spans="1:10" x14ac:dyDescent="0.3">
      <c r="A1687" s="32" t="s">
        <v>14</v>
      </c>
      <c r="B1687" s="32">
        <f t="shared" si="405"/>
        <v>2036</v>
      </c>
      <c r="C1687" s="33" t="s">
        <v>46</v>
      </c>
      <c r="D1687" s="34" t="s">
        <v>2002</v>
      </c>
      <c r="E1687" s="35" t="str">
        <f t="shared" si="401"/>
        <v>PDP'!</v>
      </c>
      <c r="F1687" s="34" t="str">
        <f t="shared" si="402"/>
        <v>C:\Users\jaime.benazar\Quorum Business Solutions\Ecopetrol Prometeo - Documents\Planning Space Implementation\3. Analysis &amp; Design\Design\FC22\DRR Jaime\Neiva CPI\[DINA TERCIARIOS_CF_SEC_New_27-Mar-2024.xlsx]D-PDP'!</v>
      </c>
      <c r="G1687" s="32" t="s">
        <v>103</v>
      </c>
      <c r="H1687" s="33">
        <f t="shared" si="403"/>
        <v>25</v>
      </c>
      <c r="I1687" s="33" t="str">
        <f t="shared" si="404"/>
        <v>='C:\Users\jaime.benazar\Quorum Business Solutions\Ecopetrol Prometeo - Documents\Planning Space Implementation\3. Analysis &amp; Design\Design\FC22\DRR Jaime\Neiva CPI\[DINA TERCIARIOS_CF_SEC_New_27-Mar-2024.xlsx]D-PDP'!$BX$25</v>
      </c>
      <c r="J1687" s="37" t="s">
        <v>2756</v>
      </c>
    </row>
    <row r="1688" spans="1:10" x14ac:dyDescent="0.3">
      <c r="A1688" s="32" t="s">
        <v>14</v>
      </c>
      <c r="B1688" s="32">
        <f>+B1687+1</f>
        <v>2037</v>
      </c>
      <c r="C1688" s="33" t="s">
        <v>46</v>
      </c>
      <c r="D1688" s="34" t="s">
        <v>2002</v>
      </c>
      <c r="E1688" s="35" t="str">
        <f t="shared" si="401"/>
        <v>PDP'!</v>
      </c>
      <c r="F1688" s="34" t="str">
        <f t="shared" si="402"/>
        <v>C:\Users\jaime.benazar\Quorum Business Solutions\Ecopetrol Prometeo - Documents\Planning Space Implementation\3. Analysis &amp; Design\Design\FC22\DRR Jaime\Neiva CPI\[DINA TERCIARIOS_CF_SEC_New_27-Mar-2024.xlsx]D-PDP'!</v>
      </c>
      <c r="G1688" s="32" t="s">
        <v>103</v>
      </c>
      <c r="H1688" s="33">
        <f t="shared" si="403"/>
        <v>26</v>
      </c>
      <c r="I1688" s="33" t="str">
        <f t="shared" si="404"/>
        <v>='C:\Users\jaime.benazar\Quorum Business Solutions\Ecopetrol Prometeo - Documents\Planning Space Implementation\3. Analysis &amp; Design\Design\FC22\DRR Jaime\Neiva CPI\[DINA TERCIARIOS_CF_SEC_New_27-Mar-2024.xlsx]D-PDP'!$BX$26</v>
      </c>
      <c r="J1688" s="37" t="s">
        <v>2757</v>
      </c>
    </row>
    <row r="1689" spans="1:10" x14ac:dyDescent="0.3">
      <c r="A1689" s="32" t="s">
        <v>14</v>
      </c>
      <c r="B1689" s="32">
        <f t="shared" ref="B1689:B1691" si="406">+B1688+1</f>
        <v>2038</v>
      </c>
      <c r="C1689" s="33" t="s">
        <v>46</v>
      </c>
      <c r="D1689" s="34" t="s">
        <v>2002</v>
      </c>
      <c r="E1689" s="35" t="str">
        <f t="shared" si="401"/>
        <v>PDP'!</v>
      </c>
      <c r="F1689" s="34" t="str">
        <f t="shared" si="402"/>
        <v>C:\Users\jaime.benazar\Quorum Business Solutions\Ecopetrol Prometeo - Documents\Planning Space Implementation\3. Analysis &amp; Design\Design\FC22\DRR Jaime\Neiva CPI\[DINA TERCIARIOS_CF_SEC_New_27-Mar-2024.xlsx]D-PDP'!</v>
      </c>
      <c r="G1689" s="32" t="s">
        <v>103</v>
      </c>
      <c r="H1689" s="33">
        <f t="shared" si="403"/>
        <v>27</v>
      </c>
      <c r="I1689" s="33" t="str">
        <f t="shared" si="404"/>
        <v>='C:\Users\jaime.benazar\Quorum Business Solutions\Ecopetrol Prometeo - Documents\Planning Space Implementation\3. Analysis &amp; Design\Design\FC22\DRR Jaime\Neiva CPI\[DINA TERCIARIOS_CF_SEC_New_27-Mar-2024.xlsx]D-PDP'!$BX$27</v>
      </c>
      <c r="J1689" s="37" t="s">
        <v>2758</v>
      </c>
    </row>
    <row r="1690" spans="1:10" x14ac:dyDescent="0.3">
      <c r="A1690" s="32" t="s">
        <v>14</v>
      </c>
      <c r="B1690" s="32">
        <f t="shared" si="406"/>
        <v>2039</v>
      </c>
      <c r="C1690" s="33" t="s">
        <v>46</v>
      </c>
      <c r="D1690" s="34" t="s">
        <v>2002</v>
      </c>
      <c r="E1690" s="35" t="str">
        <f t="shared" si="401"/>
        <v>PDP'!</v>
      </c>
      <c r="F1690" s="34" t="str">
        <f t="shared" si="402"/>
        <v>C:\Users\jaime.benazar\Quorum Business Solutions\Ecopetrol Prometeo - Documents\Planning Space Implementation\3. Analysis &amp; Design\Design\FC22\DRR Jaime\Neiva CPI\[DINA TERCIARIOS_CF_SEC_New_27-Mar-2024.xlsx]D-PDP'!</v>
      </c>
      <c r="G1690" s="32" t="s">
        <v>103</v>
      </c>
      <c r="H1690" s="33">
        <f t="shared" si="403"/>
        <v>28</v>
      </c>
      <c r="I1690" s="33" t="str">
        <f t="shared" si="404"/>
        <v>='C:\Users\jaime.benazar\Quorum Business Solutions\Ecopetrol Prometeo - Documents\Planning Space Implementation\3. Analysis &amp; Design\Design\FC22\DRR Jaime\Neiva CPI\[DINA TERCIARIOS_CF_SEC_New_27-Mar-2024.xlsx]D-PDP'!$BX$28</v>
      </c>
      <c r="J1690" s="37" t="s">
        <v>2759</v>
      </c>
    </row>
    <row r="1691" spans="1:10" x14ac:dyDescent="0.3">
      <c r="A1691" s="32" t="s">
        <v>14</v>
      </c>
      <c r="B1691" s="32">
        <f t="shared" si="406"/>
        <v>2040</v>
      </c>
      <c r="C1691" s="33" t="s">
        <v>46</v>
      </c>
      <c r="D1691" s="34" t="s">
        <v>2002</v>
      </c>
      <c r="E1691" s="35" t="str">
        <f t="shared" si="401"/>
        <v>PDP'!</v>
      </c>
      <c r="F1691" s="34" t="str">
        <f t="shared" si="402"/>
        <v>C:\Users\jaime.benazar\Quorum Business Solutions\Ecopetrol Prometeo - Documents\Planning Space Implementation\3. Analysis &amp; Design\Design\FC22\DRR Jaime\Neiva CPI\[DINA TERCIARIOS_CF_SEC_New_27-Mar-2024.xlsx]D-PDP'!</v>
      </c>
      <c r="G1691" s="32" t="s">
        <v>103</v>
      </c>
      <c r="H1691" s="33">
        <f t="shared" si="403"/>
        <v>29</v>
      </c>
      <c r="I1691" s="33" t="str">
        <f t="shared" si="404"/>
        <v>='C:\Users\jaime.benazar\Quorum Business Solutions\Ecopetrol Prometeo - Documents\Planning Space Implementation\3. Analysis &amp; Design\Design\FC22\DRR Jaime\Neiva CPI\[DINA TERCIARIOS_CF_SEC_New_27-Mar-2024.xlsx]D-PDP'!$BX$29</v>
      </c>
      <c r="J1691" s="37" t="s">
        <v>2760</v>
      </c>
    </row>
    <row r="1692" spans="1:10" x14ac:dyDescent="0.3">
      <c r="A1692" s="32" t="s">
        <v>14</v>
      </c>
      <c r="B1692" s="32">
        <f>+B1691+1</f>
        <v>2041</v>
      </c>
      <c r="C1692" s="33" t="s">
        <v>46</v>
      </c>
      <c r="D1692" s="34" t="s">
        <v>2002</v>
      </c>
      <c r="E1692" s="35" t="str">
        <f t="shared" si="401"/>
        <v>PDP'!</v>
      </c>
      <c r="F1692" s="34" t="str">
        <f t="shared" si="402"/>
        <v>C:\Users\jaime.benazar\Quorum Business Solutions\Ecopetrol Prometeo - Documents\Planning Space Implementation\3. Analysis &amp; Design\Design\FC22\DRR Jaime\Neiva CPI\[DINA TERCIARIOS_CF_SEC_New_27-Mar-2024.xlsx]D-PDP'!</v>
      </c>
      <c r="G1692" s="32" t="s">
        <v>103</v>
      </c>
      <c r="H1692" s="33">
        <f t="shared" si="403"/>
        <v>30</v>
      </c>
      <c r="I1692" s="33" t="str">
        <f t="shared" si="404"/>
        <v>='C:\Users\jaime.benazar\Quorum Business Solutions\Ecopetrol Prometeo - Documents\Planning Space Implementation\3. Analysis &amp; Design\Design\FC22\DRR Jaime\Neiva CPI\[DINA TERCIARIOS_CF_SEC_New_27-Mar-2024.xlsx]D-PDP'!$BX$30</v>
      </c>
      <c r="J1692" s="37" t="s">
        <v>2761</v>
      </c>
    </row>
    <row r="1693" spans="1:10" x14ac:dyDescent="0.3">
      <c r="A1693" s="32" t="s">
        <v>14</v>
      </c>
      <c r="B1693" s="32">
        <f t="shared" ref="B1693:B1694" si="407">+B1692+1</f>
        <v>2042</v>
      </c>
      <c r="C1693" s="33" t="s">
        <v>46</v>
      </c>
      <c r="D1693" s="34" t="s">
        <v>2002</v>
      </c>
      <c r="E1693" s="35" t="str">
        <f t="shared" si="401"/>
        <v>PDP'!</v>
      </c>
      <c r="F1693" s="34" t="str">
        <f t="shared" si="402"/>
        <v>C:\Users\jaime.benazar\Quorum Business Solutions\Ecopetrol Prometeo - Documents\Planning Space Implementation\3. Analysis &amp; Design\Design\FC22\DRR Jaime\Neiva CPI\[DINA TERCIARIOS_CF_SEC_New_27-Mar-2024.xlsx]D-PDP'!</v>
      </c>
      <c r="G1693" s="32" t="s">
        <v>103</v>
      </c>
      <c r="H1693" s="33">
        <f t="shared" si="403"/>
        <v>31</v>
      </c>
      <c r="I1693" s="33" t="str">
        <f t="shared" si="404"/>
        <v>='C:\Users\jaime.benazar\Quorum Business Solutions\Ecopetrol Prometeo - Documents\Planning Space Implementation\3. Analysis &amp; Design\Design\FC22\DRR Jaime\Neiva CPI\[DINA TERCIARIOS_CF_SEC_New_27-Mar-2024.xlsx]D-PDP'!$BX$31</v>
      </c>
      <c r="J1693" s="37" t="s">
        <v>2762</v>
      </c>
    </row>
    <row r="1694" spans="1:10" x14ac:dyDescent="0.3">
      <c r="A1694" s="32" t="s">
        <v>14</v>
      </c>
      <c r="B1694" s="32">
        <f t="shared" si="407"/>
        <v>2043</v>
      </c>
      <c r="C1694" s="33" t="s">
        <v>46</v>
      </c>
      <c r="D1694" s="34" t="s">
        <v>2002</v>
      </c>
      <c r="E1694" s="35" t="str">
        <f t="shared" si="401"/>
        <v>PDP'!</v>
      </c>
      <c r="F1694" s="34" t="str">
        <f t="shared" si="402"/>
        <v>C:\Users\jaime.benazar\Quorum Business Solutions\Ecopetrol Prometeo - Documents\Planning Space Implementation\3. Analysis &amp; Design\Design\FC22\DRR Jaime\Neiva CPI\[DINA TERCIARIOS_CF_SEC_New_27-Mar-2024.xlsx]D-PDP'!</v>
      </c>
      <c r="G1694" s="32" t="s">
        <v>103</v>
      </c>
      <c r="H1694" s="33">
        <f t="shared" si="403"/>
        <v>32</v>
      </c>
      <c r="I1694" s="33" t="str">
        <f t="shared" si="404"/>
        <v>='C:\Users\jaime.benazar\Quorum Business Solutions\Ecopetrol Prometeo - Documents\Planning Space Implementation\3. Analysis &amp; Design\Design\FC22\DRR Jaime\Neiva CPI\[DINA TERCIARIOS_CF_SEC_New_27-Mar-2024.xlsx]D-PDP'!$BX$32</v>
      </c>
      <c r="J1694" s="37" t="s">
        <v>2763</v>
      </c>
    </row>
    <row r="1695" spans="1:10" x14ac:dyDescent="0.3">
      <c r="A1695" s="32" t="s">
        <v>14</v>
      </c>
      <c r="B1695" s="32">
        <f>+B1694+1</f>
        <v>2044</v>
      </c>
      <c r="C1695" s="33" t="s">
        <v>46</v>
      </c>
      <c r="D1695" s="34" t="s">
        <v>2002</v>
      </c>
      <c r="E1695" s="35" t="str">
        <f t="shared" ref="E1695:E1710" si="408">_xlfn.CONCAT(A1695,"'!")</f>
        <v>PDP'!</v>
      </c>
      <c r="F1695" s="34" t="str">
        <f t="shared" ref="F1695:F1710" si="409">_xlfn.CONCAT(D1695:E1695)</f>
        <v>C:\Users\jaime.benazar\Quorum Business Solutions\Ecopetrol Prometeo - Documents\Planning Space Implementation\3. Analysis &amp; Design\Design\FC22\DRR Jaime\Neiva CPI\[DINA TERCIARIOS_CF_SEC_New_27-Mar-2024.xlsx]D-PDP'!</v>
      </c>
      <c r="G1695" s="32" t="s">
        <v>103</v>
      </c>
      <c r="H1695" s="33">
        <f t="shared" ref="H1695:H1710" si="410">IF(A1695&lt;&gt;A1694,12,H1694+1)</f>
        <v>33</v>
      </c>
      <c r="I1695" s="33" t="str">
        <f t="shared" ref="I1695:I1710" si="411">_xlfn.CONCAT("='",F1695:H1695)</f>
        <v>='C:\Users\jaime.benazar\Quorum Business Solutions\Ecopetrol Prometeo - Documents\Planning Space Implementation\3. Analysis &amp; Design\Design\FC22\DRR Jaime\Neiva CPI\[DINA TERCIARIOS_CF_SEC_New_27-Mar-2024.xlsx]D-PDP'!$BX$33</v>
      </c>
      <c r="J1695" s="37" t="s">
        <v>2764</v>
      </c>
    </row>
    <row r="1696" spans="1:10" x14ac:dyDescent="0.3">
      <c r="A1696" s="32" t="s">
        <v>14</v>
      </c>
      <c r="B1696" s="32">
        <f t="shared" ref="B1696:B1710" si="412">+B1695+1</f>
        <v>2045</v>
      </c>
      <c r="C1696" s="33" t="s">
        <v>46</v>
      </c>
      <c r="D1696" s="34" t="s">
        <v>2002</v>
      </c>
      <c r="E1696" s="35" t="str">
        <f t="shared" si="408"/>
        <v>PDP'!</v>
      </c>
      <c r="F1696" s="34" t="str">
        <f t="shared" si="409"/>
        <v>C:\Users\jaime.benazar\Quorum Business Solutions\Ecopetrol Prometeo - Documents\Planning Space Implementation\3. Analysis &amp; Design\Design\FC22\DRR Jaime\Neiva CPI\[DINA TERCIARIOS_CF_SEC_New_27-Mar-2024.xlsx]D-PDP'!</v>
      </c>
      <c r="G1696" s="32" t="s">
        <v>103</v>
      </c>
      <c r="H1696" s="33">
        <f t="shared" si="410"/>
        <v>34</v>
      </c>
      <c r="I1696" s="33" t="str">
        <f t="shared" si="411"/>
        <v>='C:\Users\jaime.benazar\Quorum Business Solutions\Ecopetrol Prometeo - Documents\Planning Space Implementation\3. Analysis &amp; Design\Design\FC22\DRR Jaime\Neiva CPI\[DINA TERCIARIOS_CF_SEC_New_27-Mar-2024.xlsx]D-PDP'!$BX$34</v>
      </c>
      <c r="J1696" s="37" t="s">
        <v>2765</v>
      </c>
    </row>
    <row r="1697" spans="1:10" x14ac:dyDescent="0.3">
      <c r="A1697" s="32" t="s">
        <v>14</v>
      </c>
      <c r="B1697" s="32">
        <f t="shared" si="412"/>
        <v>2046</v>
      </c>
      <c r="C1697" s="33" t="s">
        <v>46</v>
      </c>
      <c r="D1697" s="34" t="s">
        <v>2002</v>
      </c>
      <c r="E1697" s="35" t="str">
        <f t="shared" si="408"/>
        <v>PDP'!</v>
      </c>
      <c r="F1697" s="34" t="str">
        <f t="shared" si="409"/>
        <v>C:\Users\jaime.benazar\Quorum Business Solutions\Ecopetrol Prometeo - Documents\Planning Space Implementation\3. Analysis &amp; Design\Design\FC22\DRR Jaime\Neiva CPI\[DINA TERCIARIOS_CF_SEC_New_27-Mar-2024.xlsx]D-PDP'!</v>
      </c>
      <c r="G1697" s="32" t="s">
        <v>103</v>
      </c>
      <c r="H1697" s="33">
        <f t="shared" si="410"/>
        <v>35</v>
      </c>
      <c r="I1697" s="33" t="str">
        <f t="shared" si="411"/>
        <v>='C:\Users\jaime.benazar\Quorum Business Solutions\Ecopetrol Prometeo - Documents\Planning Space Implementation\3. Analysis &amp; Design\Design\FC22\DRR Jaime\Neiva CPI\[DINA TERCIARIOS_CF_SEC_New_27-Mar-2024.xlsx]D-PDP'!$BX$35</v>
      </c>
      <c r="J1697" s="37" t="s">
        <v>2766</v>
      </c>
    </row>
    <row r="1698" spans="1:10" x14ac:dyDescent="0.3">
      <c r="A1698" s="32" t="s">
        <v>14</v>
      </c>
      <c r="B1698" s="32">
        <f t="shared" si="412"/>
        <v>2047</v>
      </c>
      <c r="C1698" s="33" t="s">
        <v>46</v>
      </c>
      <c r="D1698" s="34" t="s">
        <v>2002</v>
      </c>
      <c r="E1698" s="35" t="str">
        <f t="shared" si="408"/>
        <v>PDP'!</v>
      </c>
      <c r="F1698" s="34" t="str">
        <f t="shared" si="409"/>
        <v>C:\Users\jaime.benazar\Quorum Business Solutions\Ecopetrol Prometeo - Documents\Planning Space Implementation\3. Analysis &amp; Design\Design\FC22\DRR Jaime\Neiva CPI\[DINA TERCIARIOS_CF_SEC_New_27-Mar-2024.xlsx]D-PDP'!</v>
      </c>
      <c r="G1698" s="32" t="s">
        <v>103</v>
      </c>
      <c r="H1698" s="33">
        <f t="shared" si="410"/>
        <v>36</v>
      </c>
      <c r="I1698" s="33" t="str">
        <f t="shared" si="411"/>
        <v>='C:\Users\jaime.benazar\Quorum Business Solutions\Ecopetrol Prometeo - Documents\Planning Space Implementation\3. Analysis &amp; Design\Design\FC22\DRR Jaime\Neiva CPI\[DINA TERCIARIOS_CF_SEC_New_27-Mar-2024.xlsx]D-PDP'!$BX$36</v>
      </c>
      <c r="J1698" s="37" t="s">
        <v>2767</v>
      </c>
    </row>
    <row r="1699" spans="1:10" x14ac:dyDescent="0.3">
      <c r="A1699" s="32" t="s">
        <v>14</v>
      </c>
      <c r="B1699" s="32">
        <f t="shared" si="412"/>
        <v>2048</v>
      </c>
      <c r="C1699" s="33" t="s">
        <v>46</v>
      </c>
      <c r="D1699" s="34" t="s">
        <v>2002</v>
      </c>
      <c r="E1699" s="35" t="str">
        <f t="shared" si="408"/>
        <v>PDP'!</v>
      </c>
      <c r="F1699" s="34" t="str">
        <f t="shared" si="409"/>
        <v>C:\Users\jaime.benazar\Quorum Business Solutions\Ecopetrol Prometeo - Documents\Planning Space Implementation\3. Analysis &amp; Design\Design\FC22\DRR Jaime\Neiva CPI\[DINA TERCIARIOS_CF_SEC_New_27-Mar-2024.xlsx]D-PDP'!</v>
      </c>
      <c r="G1699" s="32" t="s">
        <v>103</v>
      </c>
      <c r="H1699" s="33">
        <f t="shared" si="410"/>
        <v>37</v>
      </c>
      <c r="I1699" s="33" t="str">
        <f t="shared" si="411"/>
        <v>='C:\Users\jaime.benazar\Quorum Business Solutions\Ecopetrol Prometeo - Documents\Planning Space Implementation\3. Analysis &amp; Design\Design\FC22\DRR Jaime\Neiva CPI\[DINA TERCIARIOS_CF_SEC_New_27-Mar-2024.xlsx]D-PDP'!$BX$37</v>
      </c>
      <c r="J1699" s="37" t="s">
        <v>2768</v>
      </c>
    </row>
    <row r="1700" spans="1:10" x14ac:dyDescent="0.3">
      <c r="A1700" s="32" t="s">
        <v>14</v>
      </c>
      <c r="B1700" s="32">
        <f t="shared" si="412"/>
        <v>2049</v>
      </c>
      <c r="C1700" s="33" t="s">
        <v>46</v>
      </c>
      <c r="D1700" s="34" t="s">
        <v>2002</v>
      </c>
      <c r="E1700" s="35" t="str">
        <f t="shared" si="408"/>
        <v>PDP'!</v>
      </c>
      <c r="F1700" s="34" t="str">
        <f t="shared" si="409"/>
        <v>C:\Users\jaime.benazar\Quorum Business Solutions\Ecopetrol Prometeo - Documents\Planning Space Implementation\3. Analysis &amp; Design\Design\FC22\DRR Jaime\Neiva CPI\[DINA TERCIARIOS_CF_SEC_New_27-Mar-2024.xlsx]D-PDP'!</v>
      </c>
      <c r="G1700" s="32" t="s">
        <v>103</v>
      </c>
      <c r="H1700" s="33">
        <f t="shared" si="410"/>
        <v>38</v>
      </c>
      <c r="I1700" s="33" t="str">
        <f t="shared" si="411"/>
        <v>='C:\Users\jaime.benazar\Quorum Business Solutions\Ecopetrol Prometeo - Documents\Planning Space Implementation\3. Analysis &amp; Design\Design\FC22\DRR Jaime\Neiva CPI\[DINA TERCIARIOS_CF_SEC_New_27-Mar-2024.xlsx]D-PDP'!$BX$38</v>
      </c>
      <c r="J1700" s="37" t="s">
        <v>2769</v>
      </c>
    </row>
    <row r="1701" spans="1:10" x14ac:dyDescent="0.3">
      <c r="A1701" s="32" t="s">
        <v>14</v>
      </c>
      <c r="B1701" s="32">
        <f t="shared" si="412"/>
        <v>2050</v>
      </c>
      <c r="C1701" s="33" t="s">
        <v>46</v>
      </c>
      <c r="D1701" s="34" t="s">
        <v>2002</v>
      </c>
      <c r="E1701" s="35" t="str">
        <f t="shared" si="408"/>
        <v>PDP'!</v>
      </c>
      <c r="F1701" s="34" t="str">
        <f t="shared" si="409"/>
        <v>C:\Users\jaime.benazar\Quorum Business Solutions\Ecopetrol Prometeo - Documents\Planning Space Implementation\3. Analysis &amp; Design\Design\FC22\DRR Jaime\Neiva CPI\[DINA TERCIARIOS_CF_SEC_New_27-Mar-2024.xlsx]D-PDP'!</v>
      </c>
      <c r="G1701" s="32" t="s">
        <v>103</v>
      </c>
      <c r="H1701" s="33">
        <f t="shared" si="410"/>
        <v>39</v>
      </c>
      <c r="I1701" s="33" t="str">
        <f t="shared" si="411"/>
        <v>='C:\Users\jaime.benazar\Quorum Business Solutions\Ecopetrol Prometeo - Documents\Planning Space Implementation\3. Analysis &amp; Design\Design\FC22\DRR Jaime\Neiva CPI\[DINA TERCIARIOS_CF_SEC_New_27-Mar-2024.xlsx]D-PDP'!$BX$39</v>
      </c>
      <c r="J1701" s="37" t="s">
        <v>2770</v>
      </c>
    </row>
    <row r="1702" spans="1:10" x14ac:dyDescent="0.3">
      <c r="A1702" s="32" t="s">
        <v>14</v>
      </c>
      <c r="B1702" s="32">
        <f t="shared" si="412"/>
        <v>2051</v>
      </c>
      <c r="C1702" s="33" t="s">
        <v>46</v>
      </c>
      <c r="D1702" s="34" t="s">
        <v>2002</v>
      </c>
      <c r="E1702" s="35" t="str">
        <f t="shared" si="408"/>
        <v>PDP'!</v>
      </c>
      <c r="F1702" s="34" t="str">
        <f t="shared" si="409"/>
        <v>C:\Users\jaime.benazar\Quorum Business Solutions\Ecopetrol Prometeo - Documents\Planning Space Implementation\3. Analysis &amp; Design\Design\FC22\DRR Jaime\Neiva CPI\[DINA TERCIARIOS_CF_SEC_New_27-Mar-2024.xlsx]D-PDP'!</v>
      </c>
      <c r="G1702" s="32" t="s">
        <v>103</v>
      </c>
      <c r="H1702" s="33">
        <f t="shared" si="410"/>
        <v>40</v>
      </c>
      <c r="I1702" s="33" t="str">
        <f t="shared" si="411"/>
        <v>='C:\Users\jaime.benazar\Quorum Business Solutions\Ecopetrol Prometeo - Documents\Planning Space Implementation\3. Analysis &amp; Design\Design\FC22\DRR Jaime\Neiva CPI\[DINA TERCIARIOS_CF_SEC_New_27-Mar-2024.xlsx]D-PDP'!$BX$40</v>
      </c>
      <c r="J1702" s="37" t="s">
        <v>2771</v>
      </c>
    </row>
    <row r="1703" spans="1:10" x14ac:dyDescent="0.3">
      <c r="A1703" s="32" t="s">
        <v>14</v>
      </c>
      <c r="B1703" s="32">
        <f t="shared" si="412"/>
        <v>2052</v>
      </c>
      <c r="C1703" s="33" t="s">
        <v>46</v>
      </c>
      <c r="D1703" s="34" t="s">
        <v>2002</v>
      </c>
      <c r="E1703" s="35" t="str">
        <f t="shared" si="408"/>
        <v>PDP'!</v>
      </c>
      <c r="F1703" s="34" t="str">
        <f t="shared" si="409"/>
        <v>C:\Users\jaime.benazar\Quorum Business Solutions\Ecopetrol Prometeo - Documents\Planning Space Implementation\3. Analysis &amp; Design\Design\FC22\DRR Jaime\Neiva CPI\[DINA TERCIARIOS_CF_SEC_New_27-Mar-2024.xlsx]D-PDP'!</v>
      </c>
      <c r="G1703" s="32" t="s">
        <v>103</v>
      </c>
      <c r="H1703" s="33">
        <f t="shared" si="410"/>
        <v>41</v>
      </c>
      <c r="I1703" s="33" t="str">
        <f t="shared" si="411"/>
        <v>='C:\Users\jaime.benazar\Quorum Business Solutions\Ecopetrol Prometeo - Documents\Planning Space Implementation\3. Analysis &amp; Design\Design\FC22\DRR Jaime\Neiva CPI\[DINA TERCIARIOS_CF_SEC_New_27-Mar-2024.xlsx]D-PDP'!$BX$41</v>
      </c>
      <c r="J1703" s="37" t="s">
        <v>2772</v>
      </c>
    </row>
    <row r="1704" spans="1:10" x14ac:dyDescent="0.3">
      <c r="A1704" s="32" t="s">
        <v>14</v>
      </c>
      <c r="B1704" s="32">
        <f t="shared" si="412"/>
        <v>2053</v>
      </c>
      <c r="C1704" s="33" t="s">
        <v>46</v>
      </c>
      <c r="D1704" s="34" t="s">
        <v>2002</v>
      </c>
      <c r="E1704" s="35" t="str">
        <f t="shared" si="408"/>
        <v>PDP'!</v>
      </c>
      <c r="F1704" s="34" t="str">
        <f t="shared" si="409"/>
        <v>C:\Users\jaime.benazar\Quorum Business Solutions\Ecopetrol Prometeo - Documents\Planning Space Implementation\3. Analysis &amp; Design\Design\FC22\DRR Jaime\Neiva CPI\[DINA TERCIARIOS_CF_SEC_New_27-Mar-2024.xlsx]D-PDP'!</v>
      </c>
      <c r="G1704" s="32" t="s">
        <v>103</v>
      </c>
      <c r="H1704" s="33">
        <f t="shared" si="410"/>
        <v>42</v>
      </c>
      <c r="I1704" s="33" t="str">
        <f t="shared" si="411"/>
        <v>='C:\Users\jaime.benazar\Quorum Business Solutions\Ecopetrol Prometeo - Documents\Planning Space Implementation\3. Analysis &amp; Design\Design\FC22\DRR Jaime\Neiva CPI\[DINA TERCIARIOS_CF_SEC_New_27-Mar-2024.xlsx]D-PDP'!$BX$42</v>
      </c>
      <c r="J1704" s="37" t="s">
        <v>2773</v>
      </c>
    </row>
    <row r="1705" spans="1:10" x14ac:dyDescent="0.3">
      <c r="A1705" s="32" t="s">
        <v>14</v>
      </c>
      <c r="B1705" s="32">
        <f t="shared" si="412"/>
        <v>2054</v>
      </c>
      <c r="C1705" s="33" t="s">
        <v>46</v>
      </c>
      <c r="D1705" s="34" t="s">
        <v>2002</v>
      </c>
      <c r="E1705" s="35" t="str">
        <f t="shared" si="408"/>
        <v>PDP'!</v>
      </c>
      <c r="F1705" s="34" t="str">
        <f t="shared" si="409"/>
        <v>C:\Users\jaime.benazar\Quorum Business Solutions\Ecopetrol Prometeo - Documents\Planning Space Implementation\3. Analysis &amp; Design\Design\FC22\DRR Jaime\Neiva CPI\[DINA TERCIARIOS_CF_SEC_New_27-Mar-2024.xlsx]D-PDP'!</v>
      </c>
      <c r="G1705" s="32" t="s">
        <v>103</v>
      </c>
      <c r="H1705" s="33">
        <f t="shared" si="410"/>
        <v>43</v>
      </c>
      <c r="I1705" s="33" t="str">
        <f t="shared" si="411"/>
        <v>='C:\Users\jaime.benazar\Quorum Business Solutions\Ecopetrol Prometeo - Documents\Planning Space Implementation\3. Analysis &amp; Design\Design\FC22\DRR Jaime\Neiva CPI\[DINA TERCIARIOS_CF_SEC_New_27-Mar-2024.xlsx]D-PDP'!$BX$43</v>
      </c>
      <c r="J1705" s="37" t="s">
        <v>2774</v>
      </c>
    </row>
    <row r="1706" spans="1:10" x14ac:dyDescent="0.3">
      <c r="A1706" s="32" t="s">
        <v>14</v>
      </c>
      <c r="B1706" s="32">
        <f t="shared" si="412"/>
        <v>2055</v>
      </c>
      <c r="C1706" s="33" t="s">
        <v>46</v>
      </c>
      <c r="D1706" s="34" t="s">
        <v>2002</v>
      </c>
      <c r="E1706" s="35" t="str">
        <f t="shared" si="408"/>
        <v>PDP'!</v>
      </c>
      <c r="F1706" s="34" t="str">
        <f t="shared" si="409"/>
        <v>C:\Users\jaime.benazar\Quorum Business Solutions\Ecopetrol Prometeo - Documents\Planning Space Implementation\3. Analysis &amp; Design\Design\FC22\DRR Jaime\Neiva CPI\[DINA TERCIARIOS_CF_SEC_New_27-Mar-2024.xlsx]D-PDP'!</v>
      </c>
      <c r="G1706" s="32" t="s">
        <v>103</v>
      </c>
      <c r="H1706" s="33">
        <f t="shared" si="410"/>
        <v>44</v>
      </c>
      <c r="I1706" s="33" t="str">
        <f t="shared" si="411"/>
        <v>='C:\Users\jaime.benazar\Quorum Business Solutions\Ecopetrol Prometeo - Documents\Planning Space Implementation\3. Analysis &amp; Design\Design\FC22\DRR Jaime\Neiva CPI\[DINA TERCIARIOS_CF_SEC_New_27-Mar-2024.xlsx]D-PDP'!$BX$44</v>
      </c>
      <c r="J1706" s="37" t="s">
        <v>2775</v>
      </c>
    </row>
    <row r="1707" spans="1:10" x14ac:dyDescent="0.3">
      <c r="A1707" s="32" t="s">
        <v>14</v>
      </c>
      <c r="B1707" s="32">
        <f t="shared" si="412"/>
        <v>2056</v>
      </c>
      <c r="C1707" s="33" t="s">
        <v>46</v>
      </c>
      <c r="D1707" s="34" t="s">
        <v>2002</v>
      </c>
      <c r="E1707" s="35" t="str">
        <f t="shared" si="408"/>
        <v>PDP'!</v>
      </c>
      <c r="F1707" s="34" t="str">
        <f t="shared" si="409"/>
        <v>C:\Users\jaime.benazar\Quorum Business Solutions\Ecopetrol Prometeo - Documents\Planning Space Implementation\3. Analysis &amp; Design\Design\FC22\DRR Jaime\Neiva CPI\[DINA TERCIARIOS_CF_SEC_New_27-Mar-2024.xlsx]D-PDP'!</v>
      </c>
      <c r="G1707" s="32" t="s">
        <v>103</v>
      </c>
      <c r="H1707" s="33">
        <f t="shared" si="410"/>
        <v>45</v>
      </c>
      <c r="I1707" s="33" t="str">
        <f t="shared" si="411"/>
        <v>='C:\Users\jaime.benazar\Quorum Business Solutions\Ecopetrol Prometeo - Documents\Planning Space Implementation\3. Analysis &amp; Design\Design\FC22\DRR Jaime\Neiva CPI\[DINA TERCIARIOS_CF_SEC_New_27-Mar-2024.xlsx]D-PDP'!$BX$45</v>
      </c>
      <c r="J1707" s="37" t="s">
        <v>2776</v>
      </c>
    </row>
    <row r="1708" spans="1:10" x14ac:dyDescent="0.3">
      <c r="A1708" s="32" t="s">
        <v>14</v>
      </c>
      <c r="B1708" s="32">
        <f t="shared" si="412"/>
        <v>2057</v>
      </c>
      <c r="C1708" s="33" t="s">
        <v>46</v>
      </c>
      <c r="D1708" s="34" t="s">
        <v>2002</v>
      </c>
      <c r="E1708" s="35" t="str">
        <f t="shared" si="408"/>
        <v>PDP'!</v>
      </c>
      <c r="F1708" s="34" t="str">
        <f t="shared" si="409"/>
        <v>C:\Users\jaime.benazar\Quorum Business Solutions\Ecopetrol Prometeo - Documents\Planning Space Implementation\3. Analysis &amp; Design\Design\FC22\DRR Jaime\Neiva CPI\[DINA TERCIARIOS_CF_SEC_New_27-Mar-2024.xlsx]D-PDP'!</v>
      </c>
      <c r="G1708" s="32" t="s">
        <v>103</v>
      </c>
      <c r="H1708" s="33">
        <f t="shared" si="410"/>
        <v>46</v>
      </c>
      <c r="I1708" s="33" t="str">
        <f t="shared" si="411"/>
        <v>='C:\Users\jaime.benazar\Quorum Business Solutions\Ecopetrol Prometeo - Documents\Planning Space Implementation\3. Analysis &amp; Design\Design\FC22\DRR Jaime\Neiva CPI\[DINA TERCIARIOS_CF_SEC_New_27-Mar-2024.xlsx]D-PDP'!$BX$46</v>
      </c>
      <c r="J1708" s="37" t="s">
        <v>2777</v>
      </c>
    </row>
    <row r="1709" spans="1:10" x14ac:dyDescent="0.3">
      <c r="A1709" s="32" t="s">
        <v>14</v>
      </c>
      <c r="B1709" s="32">
        <f t="shared" si="412"/>
        <v>2058</v>
      </c>
      <c r="C1709" s="33" t="s">
        <v>46</v>
      </c>
      <c r="D1709" s="34" t="s">
        <v>2002</v>
      </c>
      <c r="E1709" s="35" t="str">
        <f t="shared" si="408"/>
        <v>PDP'!</v>
      </c>
      <c r="F1709" s="34" t="str">
        <f t="shared" si="409"/>
        <v>C:\Users\jaime.benazar\Quorum Business Solutions\Ecopetrol Prometeo - Documents\Planning Space Implementation\3. Analysis &amp; Design\Design\FC22\DRR Jaime\Neiva CPI\[DINA TERCIARIOS_CF_SEC_New_27-Mar-2024.xlsx]D-PDP'!</v>
      </c>
      <c r="G1709" s="32" t="s">
        <v>103</v>
      </c>
      <c r="H1709" s="33">
        <f t="shared" si="410"/>
        <v>47</v>
      </c>
      <c r="I1709" s="33" t="str">
        <f t="shared" si="411"/>
        <v>='C:\Users\jaime.benazar\Quorum Business Solutions\Ecopetrol Prometeo - Documents\Planning Space Implementation\3. Analysis &amp; Design\Design\FC22\DRR Jaime\Neiva CPI\[DINA TERCIARIOS_CF_SEC_New_27-Mar-2024.xlsx]D-PDP'!$BX$47</v>
      </c>
      <c r="J1709" s="37" t="s">
        <v>2778</v>
      </c>
    </row>
    <row r="1710" spans="1:10" x14ac:dyDescent="0.3">
      <c r="A1710" s="32" t="s">
        <v>14</v>
      </c>
      <c r="B1710" s="32">
        <f t="shared" si="412"/>
        <v>2059</v>
      </c>
      <c r="C1710" s="33" t="s">
        <v>46</v>
      </c>
      <c r="D1710" s="34" t="s">
        <v>2002</v>
      </c>
      <c r="E1710" s="35" t="str">
        <f t="shared" si="408"/>
        <v>PDP'!</v>
      </c>
      <c r="F1710" s="34" t="str">
        <f t="shared" si="409"/>
        <v>C:\Users\jaime.benazar\Quorum Business Solutions\Ecopetrol Prometeo - Documents\Planning Space Implementation\3. Analysis &amp; Design\Design\FC22\DRR Jaime\Neiva CPI\[DINA TERCIARIOS_CF_SEC_New_27-Mar-2024.xlsx]D-PDP'!</v>
      </c>
      <c r="G1710" s="32" t="s">
        <v>103</v>
      </c>
      <c r="H1710" s="33">
        <f t="shared" si="410"/>
        <v>48</v>
      </c>
      <c r="I1710" s="33" t="str">
        <f t="shared" si="411"/>
        <v>='C:\Users\jaime.benazar\Quorum Business Solutions\Ecopetrol Prometeo - Documents\Planning Space Implementation\3. Analysis &amp; Design\Design\FC22\DRR Jaime\Neiva CPI\[DINA TERCIARIOS_CF_SEC_New_27-Mar-2024.xlsx]D-PDP'!$BX$48</v>
      </c>
      <c r="J1710" s="37" t="s">
        <v>2779</v>
      </c>
    </row>
    <row r="1711" spans="1:10" x14ac:dyDescent="0.3">
      <c r="A1711" s="32" t="s">
        <v>26</v>
      </c>
      <c r="B1711" s="32"/>
      <c r="C1711" s="33" t="s">
        <v>46</v>
      </c>
      <c r="D1711" s="34"/>
      <c r="E1711" s="35"/>
      <c r="F1711" s="34"/>
      <c r="G1711" s="32"/>
      <c r="H1711" s="33"/>
      <c r="I1711" s="33"/>
      <c r="J1711" s="33"/>
    </row>
    <row r="1712" spans="1:10" x14ac:dyDescent="0.3">
      <c r="A1712" s="32" t="s">
        <v>15</v>
      </c>
      <c r="B1712" s="32">
        <v>2023</v>
      </c>
      <c r="C1712" s="33" t="s">
        <v>46</v>
      </c>
      <c r="D1712" s="34" t="s">
        <v>2002</v>
      </c>
      <c r="E1712" s="35" t="str">
        <f t="shared" si="401"/>
        <v>PNP'!</v>
      </c>
      <c r="F1712" s="34" t="str">
        <f t="shared" si="402"/>
        <v>C:\Users\jaime.benazar\Quorum Business Solutions\Ecopetrol Prometeo - Documents\Planning Space Implementation\3. Analysis &amp; Design\Design\FC22\DRR Jaime\Neiva CPI\[DINA TERCIARIOS_CF_SEC_New_27-Mar-2024.xlsx]D-PNP'!</v>
      </c>
      <c r="G1712" s="32" t="s">
        <v>103</v>
      </c>
      <c r="H1712" s="33">
        <v>12</v>
      </c>
      <c r="I1712" s="33" t="str">
        <f t="shared" ref="I1712:I1732" si="413">_xlfn.CONCAT("='",F1712:H1712)</f>
        <v>='C:\Users\jaime.benazar\Quorum Business Solutions\Ecopetrol Prometeo - Documents\Planning Space Implementation\3. Analysis &amp; Design\Design\FC22\DRR Jaime\Neiva CPI\[DINA TERCIARIOS_CF_SEC_New_27-Mar-2024.xlsx]D-PNP'!$BX$12</v>
      </c>
      <c r="J1712" s="37" t="s">
        <v>2780</v>
      </c>
    </row>
    <row r="1713" spans="1:10" x14ac:dyDescent="0.3">
      <c r="A1713" s="32" t="s">
        <v>15</v>
      </c>
      <c r="B1713" s="32">
        <f>+B1712+1</f>
        <v>2024</v>
      </c>
      <c r="C1713" s="33" t="s">
        <v>46</v>
      </c>
      <c r="D1713" s="34" t="s">
        <v>2002</v>
      </c>
      <c r="E1713" s="35" t="str">
        <f t="shared" si="401"/>
        <v>PNP'!</v>
      </c>
      <c r="F1713" s="34" t="str">
        <f t="shared" si="402"/>
        <v>C:\Users\jaime.benazar\Quorum Business Solutions\Ecopetrol Prometeo - Documents\Planning Space Implementation\3. Analysis &amp; Design\Design\FC22\DRR Jaime\Neiva CPI\[DINA TERCIARIOS_CF_SEC_New_27-Mar-2024.xlsx]D-PNP'!</v>
      </c>
      <c r="G1713" s="32" t="s">
        <v>103</v>
      </c>
      <c r="H1713" s="33">
        <f t="shared" ref="H1713:H1732" si="414">IF(A1713&lt;&gt;A1712,12,H1712+1)</f>
        <v>13</v>
      </c>
      <c r="I1713" s="33" t="str">
        <f t="shared" si="413"/>
        <v>='C:\Users\jaime.benazar\Quorum Business Solutions\Ecopetrol Prometeo - Documents\Planning Space Implementation\3. Analysis &amp; Design\Design\FC22\DRR Jaime\Neiva CPI\[DINA TERCIARIOS_CF_SEC_New_27-Mar-2024.xlsx]D-PNP'!$BX$13</v>
      </c>
      <c r="J1713" s="37" t="s">
        <v>2781</v>
      </c>
    </row>
    <row r="1714" spans="1:10" x14ac:dyDescent="0.3">
      <c r="A1714" s="32" t="s">
        <v>15</v>
      </c>
      <c r="B1714" s="32">
        <f t="shared" ref="B1714:B1725" si="415">+B1713+1</f>
        <v>2025</v>
      </c>
      <c r="C1714" s="33" t="s">
        <v>46</v>
      </c>
      <c r="D1714" s="34" t="s">
        <v>2002</v>
      </c>
      <c r="E1714" s="35" t="str">
        <f t="shared" si="401"/>
        <v>PNP'!</v>
      </c>
      <c r="F1714" s="34" t="str">
        <f t="shared" si="402"/>
        <v>C:\Users\jaime.benazar\Quorum Business Solutions\Ecopetrol Prometeo - Documents\Planning Space Implementation\3. Analysis &amp; Design\Design\FC22\DRR Jaime\Neiva CPI\[DINA TERCIARIOS_CF_SEC_New_27-Mar-2024.xlsx]D-PNP'!</v>
      </c>
      <c r="G1714" s="32" t="s">
        <v>103</v>
      </c>
      <c r="H1714" s="33">
        <f t="shared" si="414"/>
        <v>14</v>
      </c>
      <c r="I1714" s="33" t="str">
        <f t="shared" si="413"/>
        <v>='C:\Users\jaime.benazar\Quorum Business Solutions\Ecopetrol Prometeo - Documents\Planning Space Implementation\3. Analysis &amp; Design\Design\FC22\DRR Jaime\Neiva CPI\[DINA TERCIARIOS_CF_SEC_New_27-Mar-2024.xlsx]D-PNP'!$BX$14</v>
      </c>
      <c r="J1714" s="37" t="s">
        <v>2782</v>
      </c>
    </row>
    <row r="1715" spans="1:10" x14ac:dyDescent="0.3">
      <c r="A1715" s="32" t="s">
        <v>15</v>
      </c>
      <c r="B1715" s="32">
        <f t="shared" si="415"/>
        <v>2026</v>
      </c>
      <c r="C1715" s="33" t="s">
        <v>46</v>
      </c>
      <c r="D1715" s="34" t="s">
        <v>2002</v>
      </c>
      <c r="E1715" s="35" t="str">
        <f t="shared" si="401"/>
        <v>PNP'!</v>
      </c>
      <c r="F1715" s="34" t="str">
        <f t="shared" si="402"/>
        <v>C:\Users\jaime.benazar\Quorum Business Solutions\Ecopetrol Prometeo - Documents\Planning Space Implementation\3. Analysis &amp; Design\Design\FC22\DRR Jaime\Neiva CPI\[DINA TERCIARIOS_CF_SEC_New_27-Mar-2024.xlsx]D-PNP'!</v>
      </c>
      <c r="G1715" s="32" t="s">
        <v>103</v>
      </c>
      <c r="H1715" s="33">
        <f t="shared" si="414"/>
        <v>15</v>
      </c>
      <c r="I1715" s="33" t="str">
        <f t="shared" si="413"/>
        <v>='C:\Users\jaime.benazar\Quorum Business Solutions\Ecopetrol Prometeo - Documents\Planning Space Implementation\3. Analysis &amp; Design\Design\FC22\DRR Jaime\Neiva CPI\[DINA TERCIARIOS_CF_SEC_New_27-Mar-2024.xlsx]D-PNP'!$BX$15</v>
      </c>
      <c r="J1715" s="37" t="s">
        <v>2783</v>
      </c>
    </row>
    <row r="1716" spans="1:10" x14ac:dyDescent="0.3">
      <c r="A1716" s="32" t="s">
        <v>15</v>
      </c>
      <c r="B1716" s="32">
        <f t="shared" si="415"/>
        <v>2027</v>
      </c>
      <c r="C1716" s="33" t="s">
        <v>46</v>
      </c>
      <c r="D1716" s="34" t="s">
        <v>2002</v>
      </c>
      <c r="E1716" s="35" t="str">
        <f t="shared" si="401"/>
        <v>PNP'!</v>
      </c>
      <c r="F1716" s="34" t="str">
        <f t="shared" si="402"/>
        <v>C:\Users\jaime.benazar\Quorum Business Solutions\Ecopetrol Prometeo - Documents\Planning Space Implementation\3. Analysis &amp; Design\Design\FC22\DRR Jaime\Neiva CPI\[DINA TERCIARIOS_CF_SEC_New_27-Mar-2024.xlsx]D-PNP'!</v>
      </c>
      <c r="G1716" s="32" t="s">
        <v>103</v>
      </c>
      <c r="H1716" s="33">
        <f t="shared" si="414"/>
        <v>16</v>
      </c>
      <c r="I1716" s="33" t="str">
        <f t="shared" si="413"/>
        <v>='C:\Users\jaime.benazar\Quorum Business Solutions\Ecopetrol Prometeo - Documents\Planning Space Implementation\3. Analysis &amp; Design\Design\FC22\DRR Jaime\Neiva CPI\[DINA TERCIARIOS_CF_SEC_New_27-Mar-2024.xlsx]D-PNP'!$BX$16</v>
      </c>
      <c r="J1716" s="37" t="s">
        <v>2784</v>
      </c>
    </row>
    <row r="1717" spans="1:10" x14ac:dyDescent="0.3">
      <c r="A1717" s="32" t="s">
        <v>15</v>
      </c>
      <c r="B1717" s="32">
        <f t="shared" si="415"/>
        <v>2028</v>
      </c>
      <c r="C1717" s="33" t="s">
        <v>46</v>
      </c>
      <c r="D1717" s="34" t="s">
        <v>2002</v>
      </c>
      <c r="E1717" s="35" t="str">
        <f t="shared" si="401"/>
        <v>PNP'!</v>
      </c>
      <c r="F1717" s="34" t="str">
        <f t="shared" si="402"/>
        <v>C:\Users\jaime.benazar\Quorum Business Solutions\Ecopetrol Prometeo - Documents\Planning Space Implementation\3. Analysis &amp; Design\Design\FC22\DRR Jaime\Neiva CPI\[DINA TERCIARIOS_CF_SEC_New_27-Mar-2024.xlsx]D-PNP'!</v>
      </c>
      <c r="G1717" s="32" t="s">
        <v>103</v>
      </c>
      <c r="H1717" s="33">
        <f t="shared" si="414"/>
        <v>17</v>
      </c>
      <c r="I1717" s="33" t="str">
        <f t="shared" si="413"/>
        <v>='C:\Users\jaime.benazar\Quorum Business Solutions\Ecopetrol Prometeo - Documents\Planning Space Implementation\3. Analysis &amp; Design\Design\FC22\DRR Jaime\Neiva CPI\[DINA TERCIARIOS_CF_SEC_New_27-Mar-2024.xlsx]D-PNP'!$BX$17</v>
      </c>
      <c r="J1717" s="37" t="s">
        <v>2785</v>
      </c>
    </row>
    <row r="1718" spans="1:10" x14ac:dyDescent="0.3">
      <c r="A1718" s="32" t="s">
        <v>15</v>
      </c>
      <c r="B1718" s="32">
        <f t="shared" si="415"/>
        <v>2029</v>
      </c>
      <c r="C1718" s="33" t="s">
        <v>46</v>
      </c>
      <c r="D1718" s="34" t="s">
        <v>2002</v>
      </c>
      <c r="E1718" s="35" t="str">
        <f t="shared" si="401"/>
        <v>PNP'!</v>
      </c>
      <c r="F1718" s="34" t="str">
        <f t="shared" si="402"/>
        <v>C:\Users\jaime.benazar\Quorum Business Solutions\Ecopetrol Prometeo - Documents\Planning Space Implementation\3. Analysis &amp; Design\Design\FC22\DRR Jaime\Neiva CPI\[DINA TERCIARIOS_CF_SEC_New_27-Mar-2024.xlsx]D-PNP'!</v>
      </c>
      <c r="G1718" s="32" t="s">
        <v>103</v>
      </c>
      <c r="H1718" s="33">
        <f t="shared" si="414"/>
        <v>18</v>
      </c>
      <c r="I1718" s="33" t="str">
        <f t="shared" si="413"/>
        <v>='C:\Users\jaime.benazar\Quorum Business Solutions\Ecopetrol Prometeo - Documents\Planning Space Implementation\3. Analysis &amp; Design\Design\FC22\DRR Jaime\Neiva CPI\[DINA TERCIARIOS_CF_SEC_New_27-Mar-2024.xlsx]D-PNP'!$BX$18</v>
      </c>
      <c r="J1718" s="37" t="s">
        <v>2786</v>
      </c>
    </row>
    <row r="1719" spans="1:10" x14ac:dyDescent="0.3">
      <c r="A1719" s="32" t="s">
        <v>15</v>
      </c>
      <c r="B1719" s="32">
        <f t="shared" si="415"/>
        <v>2030</v>
      </c>
      <c r="C1719" s="33" t="s">
        <v>46</v>
      </c>
      <c r="D1719" s="34" t="s">
        <v>2002</v>
      </c>
      <c r="E1719" s="35" t="str">
        <f t="shared" si="401"/>
        <v>PNP'!</v>
      </c>
      <c r="F1719" s="34" t="str">
        <f t="shared" si="402"/>
        <v>C:\Users\jaime.benazar\Quorum Business Solutions\Ecopetrol Prometeo - Documents\Planning Space Implementation\3. Analysis &amp; Design\Design\FC22\DRR Jaime\Neiva CPI\[DINA TERCIARIOS_CF_SEC_New_27-Mar-2024.xlsx]D-PNP'!</v>
      </c>
      <c r="G1719" s="32" t="s">
        <v>103</v>
      </c>
      <c r="H1719" s="33">
        <f t="shared" si="414"/>
        <v>19</v>
      </c>
      <c r="I1719" s="33" t="str">
        <f t="shared" si="413"/>
        <v>='C:\Users\jaime.benazar\Quorum Business Solutions\Ecopetrol Prometeo - Documents\Planning Space Implementation\3. Analysis &amp; Design\Design\FC22\DRR Jaime\Neiva CPI\[DINA TERCIARIOS_CF_SEC_New_27-Mar-2024.xlsx]D-PNP'!$BX$19</v>
      </c>
      <c r="J1719" s="37" t="s">
        <v>2787</v>
      </c>
    </row>
    <row r="1720" spans="1:10" x14ac:dyDescent="0.3">
      <c r="A1720" s="32" t="s">
        <v>15</v>
      </c>
      <c r="B1720" s="32">
        <f t="shared" si="415"/>
        <v>2031</v>
      </c>
      <c r="C1720" s="33" t="s">
        <v>46</v>
      </c>
      <c r="D1720" s="34" t="s">
        <v>2002</v>
      </c>
      <c r="E1720" s="35" t="str">
        <f t="shared" si="401"/>
        <v>PNP'!</v>
      </c>
      <c r="F1720" s="34" t="str">
        <f t="shared" si="402"/>
        <v>C:\Users\jaime.benazar\Quorum Business Solutions\Ecopetrol Prometeo - Documents\Planning Space Implementation\3. Analysis &amp; Design\Design\FC22\DRR Jaime\Neiva CPI\[DINA TERCIARIOS_CF_SEC_New_27-Mar-2024.xlsx]D-PNP'!</v>
      </c>
      <c r="G1720" s="32" t="s">
        <v>103</v>
      </c>
      <c r="H1720" s="33">
        <f t="shared" si="414"/>
        <v>20</v>
      </c>
      <c r="I1720" s="33" t="str">
        <f t="shared" si="413"/>
        <v>='C:\Users\jaime.benazar\Quorum Business Solutions\Ecopetrol Prometeo - Documents\Planning Space Implementation\3. Analysis &amp; Design\Design\FC22\DRR Jaime\Neiva CPI\[DINA TERCIARIOS_CF_SEC_New_27-Mar-2024.xlsx]D-PNP'!$BX$20</v>
      </c>
      <c r="J1720" s="37" t="s">
        <v>2788</v>
      </c>
    </row>
    <row r="1721" spans="1:10" x14ac:dyDescent="0.3">
      <c r="A1721" s="32" t="s">
        <v>15</v>
      </c>
      <c r="B1721" s="32">
        <f t="shared" si="415"/>
        <v>2032</v>
      </c>
      <c r="C1721" s="33" t="s">
        <v>46</v>
      </c>
      <c r="D1721" s="34" t="s">
        <v>2002</v>
      </c>
      <c r="E1721" s="35" t="str">
        <f t="shared" si="401"/>
        <v>PNP'!</v>
      </c>
      <c r="F1721" s="34" t="str">
        <f t="shared" si="402"/>
        <v>C:\Users\jaime.benazar\Quorum Business Solutions\Ecopetrol Prometeo - Documents\Planning Space Implementation\3. Analysis &amp; Design\Design\FC22\DRR Jaime\Neiva CPI\[DINA TERCIARIOS_CF_SEC_New_27-Mar-2024.xlsx]D-PNP'!</v>
      </c>
      <c r="G1721" s="32" t="s">
        <v>103</v>
      </c>
      <c r="H1721" s="33">
        <f t="shared" si="414"/>
        <v>21</v>
      </c>
      <c r="I1721" s="33" t="str">
        <f t="shared" si="413"/>
        <v>='C:\Users\jaime.benazar\Quorum Business Solutions\Ecopetrol Prometeo - Documents\Planning Space Implementation\3. Analysis &amp; Design\Design\FC22\DRR Jaime\Neiva CPI\[DINA TERCIARIOS_CF_SEC_New_27-Mar-2024.xlsx]D-PNP'!$BX$21</v>
      </c>
      <c r="J1721" s="37" t="s">
        <v>2789</v>
      </c>
    </row>
    <row r="1722" spans="1:10" x14ac:dyDescent="0.3">
      <c r="A1722" s="32" t="s">
        <v>15</v>
      </c>
      <c r="B1722" s="32">
        <f t="shared" si="415"/>
        <v>2033</v>
      </c>
      <c r="C1722" s="33" t="s">
        <v>46</v>
      </c>
      <c r="D1722" s="34" t="s">
        <v>2002</v>
      </c>
      <c r="E1722" s="35" t="str">
        <f t="shared" si="401"/>
        <v>PNP'!</v>
      </c>
      <c r="F1722" s="34" t="str">
        <f t="shared" si="402"/>
        <v>C:\Users\jaime.benazar\Quorum Business Solutions\Ecopetrol Prometeo - Documents\Planning Space Implementation\3. Analysis &amp; Design\Design\FC22\DRR Jaime\Neiva CPI\[DINA TERCIARIOS_CF_SEC_New_27-Mar-2024.xlsx]D-PNP'!</v>
      </c>
      <c r="G1722" s="32" t="s">
        <v>103</v>
      </c>
      <c r="H1722" s="33">
        <f t="shared" si="414"/>
        <v>22</v>
      </c>
      <c r="I1722" s="33" t="str">
        <f t="shared" si="413"/>
        <v>='C:\Users\jaime.benazar\Quorum Business Solutions\Ecopetrol Prometeo - Documents\Planning Space Implementation\3. Analysis &amp; Design\Design\FC22\DRR Jaime\Neiva CPI\[DINA TERCIARIOS_CF_SEC_New_27-Mar-2024.xlsx]D-PNP'!$BX$22</v>
      </c>
      <c r="J1722" s="37" t="s">
        <v>2790</v>
      </c>
    </row>
    <row r="1723" spans="1:10" x14ac:dyDescent="0.3">
      <c r="A1723" s="32" t="s">
        <v>15</v>
      </c>
      <c r="B1723" s="32">
        <f t="shared" si="415"/>
        <v>2034</v>
      </c>
      <c r="C1723" s="33" t="s">
        <v>46</v>
      </c>
      <c r="D1723" s="34" t="s">
        <v>2002</v>
      </c>
      <c r="E1723" s="35" t="str">
        <f t="shared" si="401"/>
        <v>PNP'!</v>
      </c>
      <c r="F1723" s="34" t="str">
        <f t="shared" si="402"/>
        <v>C:\Users\jaime.benazar\Quorum Business Solutions\Ecopetrol Prometeo - Documents\Planning Space Implementation\3. Analysis &amp; Design\Design\FC22\DRR Jaime\Neiva CPI\[DINA TERCIARIOS_CF_SEC_New_27-Mar-2024.xlsx]D-PNP'!</v>
      </c>
      <c r="G1723" s="32" t="s">
        <v>103</v>
      </c>
      <c r="H1723" s="33">
        <f t="shared" si="414"/>
        <v>23</v>
      </c>
      <c r="I1723" s="33" t="str">
        <f t="shared" si="413"/>
        <v>='C:\Users\jaime.benazar\Quorum Business Solutions\Ecopetrol Prometeo - Documents\Planning Space Implementation\3. Analysis &amp; Design\Design\FC22\DRR Jaime\Neiva CPI\[DINA TERCIARIOS_CF_SEC_New_27-Mar-2024.xlsx]D-PNP'!$BX$23</v>
      </c>
      <c r="J1723" s="37" t="s">
        <v>2791</v>
      </c>
    </row>
    <row r="1724" spans="1:10" x14ac:dyDescent="0.3">
      <c r="A1724" s="32" t="s">
        <v>15</v>
      </c>
      <c r="B1724" s="32">
        <f t="shared" si="415"/>
        <v>2035</v>
      </c>
      <c r="C1724" s="33" t="s">
        <v>46</v>
      </c>
      <c r="D1724" s="34" t="s">
        <v>2002</v>
      </c>
      <c r="E1724" s="35" t="str">
        <f t="shared" si="401"/>
        <v>PNP'!</v>
      </c>
      <c r="F1724" s="34" t="str">
        <f t="shared" si="402"/>
        <v>C:\Users\jaime.benazar\Quorum Business Solutions\Ecopetrol Prometeo - Documents\Planning Space Implementation\3. Analysis &amp; Design\Design\FC22\DRR Jaime\Neiva CPI\[DINA TERCIARIOS_CF_SEC_New_27-Mar-2024.xlsx]D-PNP'!</v>
      </c>
      <c r="G1724" s="32" t="s">
        <v>103</v>
      </c>
      <c r="H1724" s="33">
        <f t="shared" si="414"/>
        <v>24</v>
      </c>
      <c r="I1724" s="33" t="str">
        <f t="shared" si="413"/>
        <v>='C:\Users\jaime.benazar\Quorum Business Solutions\Ecopetrol Prometeo - Documents\Planning Space Implementation\3. Analysis &amp; Design\Design\FC22\DRR Jaime\Neiva CPI\[DINA TERCIARIOS_CF_SEC_New_27-Mar-2024.xlsx]D-PNP'!$BX$24</v>
      </c>
      <c r="J1724" s="37" t="s">
        <v>2792</v>
      </c>
    </row>
    <row r="1725" spans="1:10" x14ac:dyDescent="0.3">
      <c r="A1725" s="32" t="s">
        <v>15</v>
      </c>
      <c r="B1725" s="32">
        <f t="shared" si="415"/>
        <v>2036</v>
      </c>
      <c r="C1725" s="33" t="s">
        <v>46</v>
      </c>
      <c r="D1725" s="34" t="s">
        <v>2002</v>
      </c>
      <c r="E1725" s="35" t="str">
        <f t="shared" si="401"/>
        <v>PNP'!</v>
      </c>
      <c r="F1725" s="34" t="str">
        <f t="shared" si="402"/>
        <v>C:\Users\jaime.benazar\Quorum Business Solutions\Ecopetrol Prometeo - Documents\Planning Space Implementation\3. Analysis &amp; Design\Design\FC22\DRR Jaime\Neiva CPI\[DINA TERCIARIOS_CF_SEC_New_27-Mar-2024.xlsx]D-PNP'!</v>
      </c>
      <c r="G1725" s="32" t="s">
        <v>103</v>
      </c>
      <c r="H1725" s="33">
        <f t="shared" si="414"/>
        <v>25</v>
      </c>
      <c r="I1725" s="33" t="str">
        <f t="shared" si="413"/>
        <v>='C:\Users\jaime.benazar\Quorum Business Solutions\Ecopetrol Prometeo - Documents\Planning Space Implementation\3. Analysis &amp; Design\Design\FC22\DRR Jaime\Neiva CPI\[DINA TERCIARIOS_CF_SEC_New_27-Mar-2024.xlsx]D-PNP'!$BX$25</v>
      </c>
      <c r="J1725" s="37" t="s">
        <v>2793</v>
      </c>
    </row>
    <row r="1726" spans="1:10" x14ac:dyDescent="0.3">
      <c r="A1726" s="32" t="s">
        <v>15</v>
      </c>
      <c r="B1726" s="32">
        <f>+B1725+1</f>
        <v>2037</v>
      </c>
      <c r="C1726" s="33" t="s">
        <v>46</v>
      </c>
      <c r="D1726" s="34" t="s">
        <v>2002</v>
      </c>
      <c r="E1726" s="35" t="str">
        <f t="shared" si="401"/>
        <v>PNP'!</v>
      </c>
      <c r="F1726" s="34" t="str">
        <f t="shared" si="402"/>
        <v>C:\Users\jaime.benazar\Quorum Business Solutions\Ecopetrol Prometeo - Documents\Planning Space Implementation\3. Analysis &amp; Design\Design\FC22\DRR Jaime\Neiva CPI\[DINA TERCIARIOS_CF_SEC_New_27-Mar-2024.xlsx]D-PNP'!</v>
      </c>
      <c r="G1726" s="32" t="s">
        <v>103</v>
      </c>
      <c r="H1726" s="33">
        <f t="shared" si="414"/>
        <v>26</v>
      </c>
      <c r="I1726" s="33" t="str">
        <f t="shared" si="413"/>
        <v>='C:\Users\jaime.benazar\Quorum Business Solutions\Ecopetrol Prometeo - Documents\Planning Space Implementation\3. Analysis &amp; Design\Design\FC22\DRR Jaime\Neiva CPI\[DINA TERCIARIOS_CF_SEC_New_27-Mar-2024.xlsx]D-PNP'!$BX$26</v>
      </c>
      <c r="J1726" s="37" t="s">
        <v>2794</v>
      </c>
    </row>
    <row r="1727" spans="1:10" x14ac:dyDescent="0.3">
      <c r="A1727" s="32" t="s">
        <v>15</v>
      </c>
      <c r="B1727" s="32">
        <f t="shared" ref="B1727:B1729" si="416">+B1726+1</f>
        <v>2038</v>
      </c>
      <c r="C1727" s="33" t="s">
        <v>46</v>
      </c>
      <c r="D1727" s="34" t="s">
        <v>2002</v>
      </c>
      <c r="E1727" s="35" t="str">
        <f t="shared" si="401"/>
        <v>PNP'!</v>
      </c>
      <c r="F1727" s="34" t="str">
        <f t="shared" si="402"/>
        <v>C:\Users\jaime.benazar\Quorum Business Solutions\Ecopetrol Prometeo - Documents\Planning Space Implementation\3. Analysis &amp; Design\Design\FC22\DRR Jaime\Neiva CPI\[DINA TERCIARIOS_CF_SEC_New_27-Mar-2024.xlsx]D-PNP'!</v>
      </c>
      <c r="G1727" s="32" t="s">
        <v>103</v>
      </c>
      <c r="H1727" s="33">
        <f t="shared" si="414"/>
        <v>27</v>
      </c>
      <c r="I1727" s="33" t="str">
        <f t="shared" si="413"/>
        <v>='C:\Users\jaime.benazar\Quorum Business Solutions\Ecopetrol Prometeo - Documents\Planning Space Implementation\3. Analysis &amp; Design\Design\FC22\DRR Jaime\Neiva CPI\[DINA TERCIARIOS_CF_SEC_New_27-Mar-2024.xlsx]D-PNP'!$BX$27</v>
      </c>
      <c r="J1727" s="37" t="s">
        <v>2795</v>
      </c>
    </row>
    <row r="1728" spans="1:10" x14ac:dyDescent="0.3">
      <c r="A1728" s="32" t="s">
        <v>15</v>
      </c>
      <c r="B1728" s="32">
        <f t="shared" si="416"/>
        <v>2039</v>
      </c>
      <c r="C1728" s="33" t="s">
        <v>46</v>
      </c>
      <c r="D1728" s="34" t="s">
        <v>2002</v>
      </c>
      <c r="E1728" s="35" t="str">
        <f t="shared" si="401"/>
        <v>PNP'!</v>
      </c>
      <c r="F1728" s="34" t="str">
        <f t="shared" si="402"/>
        <v>C:\Users\jaime.benazar\Quorum Business Solutions\Ecopetrol Prometeo - Documents\Planning Space Implementation\3. Analysis &amp; Design\Design\FC22\DRR Jaime\Neiva CPI\[DINA TERCIARIOS_CF_SEC_New_27-Mar-2024.xlsx]D-PNP'!</v>
      </c>
      <c r="G1728" s="32" t="s">
        <v>103</v>
      </c>
      <c r="H1728" s="33">
        <f t="shared" si="414"/>
        <v>28</v>
      </c>
      <c r="I1728" s="33" t="str">
        <f t="shared" si="413"/>
        <v>='C:\Users\jaime.benazar\Quorum Business Solutions\Ecopetrol Prometeo - Documents\Planning Space Implementation\3. Analysis &amp; Design\Design\FC22\DRR Jaime\Neiva CPI\[DINA TERCIARIOS_CF_SEC_New_27-Mar-2024.xlsx]D-PNP'!$BX$28</v>
      </c>
      <c r="J1728" s="37" t="s">
        <v>2796</v>
      </c>
    </row>
    <row r="1729" spans="1:10" x14ac:dyDescent="0.3">
      <c r="A1729" s="32" t="s">
        <v>15</v>
      </c>
      <c r="B1729" s="32">
        <f t="shared" si="416"/>
        <v>2040</v>
      </c>
      <c r="C1729" s="33" t="s">
        <v>46</v>
      </c>
      <c r="D1729" s="34" t="s">
        <v>2002</v>
      </c>
      <c r="E1729" s="35" t="str">
        <f t="shared" si="401"/>
        <v>PNP'!</v>
      </c>
      <c r="F1729" s="34" t="str">
        <f t="shared" si="402"/>
        <v>C:\Users\jaime.benazar\Quorum Business Solutions\Ecopetrol Prometeo - Documents\Planning Space Implementation\3. Analysis &amp; Design\Design\FC22\DRR Jaime\Neiva CPI\[DINA TERCIARIOS_CF_SEC_New_27-Mar-2024.xlsx]D-PNP'!</v>
      </c>
      <c r="G1729" s="32" t="s">
        <v>103</v>
      </c>
      <c r="H1729" s="33">
        <f t="shared" si="414"/>
        <v>29</v>
      </c>
      <c r="I1729" s="33" t="str">
        <f t="shared" si="413"/>
        <v>='C:\Users\jaime.benazar\Quorum Business Solutions\Ecopetrol Prometeo - Documents\Planning Space Implementation\3. Analysis &amp; Design\Design\FC22\DRR Jaime\Neiva CPI\[DINA TERCIARIOS_CF_SEC_New_27-Mar-2024.xlsx]D-PNP'!$BX$29</v>
      </c>
      <c r="J1729" s="37" t="s">
        <v>2797</v>
      </c>
    </row>
    <row r="1730" spans="1:10" x14ac:dyDescent="0.3">
      <c r="A1730" s="32" t="s">
        <v>15</v>
      </c>
      <c r="B1730" s="32">
        <f>+B1729+1</f>
        <v>2041</v>
      </c>
      <c r="C1730" s="33" t="s">
        <v>46</v>
      </c>
      <c r="D1730" s="34" t="s">
        <v>2002</v>
      </c>
      <c r="E1730" s="35" t="str">
        <f t="shared" si="401"/>
        <v>PNP'!</v>
      </c>
      <c r="F1730" s="34" t="str">
        <f t="shared" si="402"/>
        <v>C:\Users\jaime.benazar\Quorum Business Solutions\Ecopetrol Prometeo - Documents\Planning Space Implementation\3. Analysis &amp; Design\Design\FC22\DRR Jaime\Neiva CPI\[DINA TERCIARIOS_CF_SEC_New_27-Mar-2024.xlsx]D-PNP'!</v>
      </c>
      <c r="G1730" s="32" t="s">
        <v>103</v>
      </c>
      <c r="H1730" s="33">
        <f t="shared" si="414"/>
        <v>30</v>
      </c>
      <c r="I1730" s="33" t="str">
        <f t="shared" si="413"/>
        <v>='C:\Users\jaime.benazar\Quorum Business Solutions\Ecopetrol Prometeo - Documents\Planning Space Implementation\3. Analysis &amp; Design\Design\FC22\DRR Jaime\Neiva CPI\[DINA TERCIARIOS_CF_SEC_New_27-Mar-2024.xlsx]D-PNP'!$BX$30</v>
      </c>
      <c r="J1730" s="37" t="s">
        <v>2798</v>
      </c>
    </row>
    <row r="1731" spans="1:10" x14ac:dyDescent="0.3">
      <c r="A1731" s="32" t="s">
        <v>15</v>
      </c>
      <c r="B1731" s="32">
        <f t="shared" ref="B1731:B1732" si="417">+B1730+1</f>
        <v>2042</v>
      </c>
      <c r="C1731" s="33" t="s">
        <v>46</v>
      </c>
      <c r="D1731" s="34" t="s">
        <v>2002</v>
      </c>
      <c r="E1731" s="35" t="str">
        <f t="shared" si="401"/>
        <v>PNP'!</v>
      </c>
      <c r="F1731" s="34" t="str">
        <f t="shared" si="402"/>
        <v>C:\Users\jaime.benazar\Quorum Business Solutions\Ecopetrol Prometeo - Documents\Planning Space Implementation\3. Analysis &amp; Design\Design\FC22\DRR Jaime\Neiva CPI\[DINA TERCIARIOS_CF_SEC_New_27-Mar-2024.xlsx]D-PNP'!</v>
      </c>
      <c r="G1731" s="32" t="s">
        <v>103</v>
      </c>
      <c r="H1731" s="33">
        <f t="shared" si="414"/>
        <v>31</v>
      </c>
      <c r="I1731" s="33" t="str">
        <f t="shared" si="413"/>
        <v>='C:\Users\jaime.benazar\Quorum Business Solutions\Ecopetrol Prometeo - Documents\Planning Space Implementation\3. Analysis &amp; Design\Design\FC22\DRR Jaime\Neiva CPI\[DINA TERCIARIOS_CF_SEC_New_27-Mar-2024.xlsx]D-PNP'!$BX$31</v>
      </c>
      <c r="J1731" s="37" t="s">
        <v>2799</v>
      </c>
    </row>
    <row r="1732" spans="1:10" x14ac:dyDescent="0.3">
      <c r="A1732" s="32" t="s">
        <v>15</v>
      </c>
      <c r="B1732" s="32">
        <f t="shared" si="417"/>
        <v>2043</v>
      </c>
      <c r="C1732" s="33" t="s">
        <v>46</v>
      </c>
      <c r="D1732" s="34" t="s">
        <v>2002</v>
      </c>
      <c r="E1732" s="35" t="str">
        <f t="shared" si="401"/>
        <v>PNP'!</v>
      </c>
      <c r="F1732" s="34" t="str">
        <f t="shared" si="402"/>
        <v>C:\Users\jaime.benazar\Quorum Business Solutions\Ecopetrol Prometeo - Documents\Planning Space Implementation\3. Analysis &amp; Design\Design\FC22\DRR Jaime\Neiva CPI\[DINA TERCIARIOS_CF_SEC_New_27-Mar-2024.xlsx]D-PNP'!</v>
      </c>
      <c r="G1732" s="32" t="s">
        <v>103</v>
      </c>
      <c r="H1732" s="33">
        <f t="shared" si="414"/>
        <v>32</v>
      </c>
      <c r="I1732" s="33" t="str">
        <f t="shared" si="413"/>
        <v>='C:\Users\jaime.benazar\Quorum Business Solutions\Ecopetrol Prometeo - Documents\Planning Space Implementation\3. Analysis &amp; Design\Design\FC22\DRR Jaime\Neiva CPI\[DINA TERCIARIOS_CF_SEC_New_27-Mar-2024.xlsx]D-PNP'!$BX$32</v>
      </c>
      <c r="J1732" s="37" t="s">
        <v>2800</v>
      </c>
    </row>
    <row r="1733" spans="1:10" x14ac:dyDescent="0.3">
      <c r="A1733" s="32" t="s">
        <v>15</v>
      </c>
      <c r="B1733" s="32">
        <f>+B1732+1</f>
        <v>2044</v>
      </c>
      <c r="C1733" s="33" t="s">
        <v>46</v>
      </c>
      <c r="D1733" s="34" t="s">
        <v>2002</v>
      </c>
      <c r="E1733" s="35" t="str">
        <f t="shared" ref="E1733:E1748" si="418">_xlfn.CONCAT(A1733,"'!")</f>
        <v>PNP'!</v>
      </c>
      <c r="F1733" s="34" t="str">
        <f t="shared" ref="F1733:F1748" si="419">_xlfn.CONCAT(D1733:E1733)</f>
        <v>C:\Users\jaime.benazar\Quorum Business Solutions\Ecopetrol Prometeo - Documents\Planning Space Implementation\3. Analysis &amp; Design\Design\FC22\DRR Jaime\Neiva CPI\[DINA TERCIARIOS_CF_SEC_New_27-Mar-2024.xlsx]D-PNP'!</v>
      </c>
      <c r="G1733" s="32" t="s">
        <v>103</v>
      </c>
      <c r="H1733" s="33">
        <f t="shared" ref="H1733:H1748" si="420">IF(A1733&lt;&gt;A1732,12,H1732+1)</f>
        <v>33</v>
      </c>
      <c r="I1733" s="33" t="str">
        <f t="shared" ref="I1733:I1748" si="421">_xlfn.CONCAT("='",F1733:H1733)</f>
        <v>='C:\Users\jaime.benazar\Quorum Business Solutions\Ecopetrol Prometeo - Documents\Planning Space Implementation\3. Analysis &amp; Design\Design\FC22\DRR Jaime\Neiva CPI\[DINA TERCIARIOS_CF_SEC_New_27-Mar-2024.xlsx]D-PNP'!$BX$33</v>
      </c>
      <c r="J1733" s="37" t="s">
        <v>2801</v>
      </c>
    </row>
    <row r="1734" spans="1:10" x14ac:dyDescent="0.3">
      <c r="A1734" s="32" t="s">
        <v>15</v>
      </c>
      <c r="B1734" s="32">
        <f t="shared" ref="B1734:B1748" si="422">+B1733+1</f>
        <v>2045</v>
      </c>
      <c r="C1734" s="33" t="s">
        <v>46</v>
      </c>
      <c r="D1734" s="34" t="s">
        <v>2002</v>
      </c>
      <c r="E1734" s="35" t="str">
        <f t="shared" si="418"/>
        <v>PNP'!</v>
      </c>
      <c r="F1734" s="34" t="str">
        <f t="shared" si="419"/>
        <v>C:\Users\jaime.benazar\Quorum Business Solutions\Ecopetrol Prometeo - Documents\Planning Space Implementation\3. Analysis &amp; Design\Design\FC22\DRR Jaime\Neiva CPI\[DINA TERCIARIOS_CF_SEC_New_27-Mar-2024.xlsx]D-PNP'!</v>
      </c>
      <c r="G1734" s="32" t="s">
        <v>103</v>
      </c>
      <c r="H1734" s="33">
        <f t="shared" si="420"/>
        <v>34</v>
      </c>
      <c r="I1734" s="33" t="str">
        <f t="shared" si="421"/>
        <v>='C:\Users\jaime.benazar\Quorum Business Solutions\Ecopetrol Prometeo - Documents\Planning Space Implementation\3. Analysis &amp; Design\Design\FC22\DRR Jaime\Neiva CPI\[DINA TERCIARIOS_CF_SEC_New_27-Mar-2024.xlsx]D-PNP'!$BX$34</v>
      </c>
      <c r="J1734" s="37" t="s">
        <v>2802</v>
      </c>
    </row>
    <row r="1735" spans="1:10" x14ac:dyDescent="0.3">
      <c r="A1735" s="32" t="s">
        <v>15</v>
      </c>
      <c r="B1735" s="32">
        <f t="shared" si="422"/>
        <v>2046</v>
      </c>
      <c r="C1735" s="33" t="s">
        <v>46</v>
      </c>
      <c r="D1735" s="34" t="s">
        <v>2002</v>
      </c>
      <c r="E1735" s="35" t="str">
        <f t="shared" si="418"/>
        <v>PNP'!</v>
      </c>
      <c r="F1735" s="34" t="str">
        <f t="shared" si="419"/>
        <v>C:\Users\jaime.benazar\Quorum Business Solutions\Ecopetrol Prometeo - Documents\Planning Space Implementation\3. Analysis &amp; Design\Design\FC22\DRR Jaime\Neiva CPI\[DINA TERCIARIOS_CF_SEC_New_27-Mar-2024.xlsx]D-PNP'!</v>
      </c>
      <c r="G1735" s="32" t="s">
        <v>103</v>
      </c>
      <c r="H1735" s="33">
        <f t="shared" si="420"/>
        <v>35</v>
      </c>
      <c r="I1735" s="33" t="str">
        <f t="shared" si="421"/>
        <v>='C:\Users\jaime.benazar\Quorum Business Solutions\Ecopetrol Prometeo - Documents\Planning Space Implementation\3. Analysis &amp; Design\Design\FC22\DRR Jaime\Neiva CPI\[DINA TERCIARIOS_CF_SEC_New_27-Mar-2024.xlsx]D-PNP'!$BX$35</v>
      </c>
      <c r="J1735" s="37" t="s">
        <v>2803</v>
      </c>
    </row>
    <row r="1736" spans="1:10" x14ac:dyDescent="0.3">
      <c r="A1736" s="32" t="s">
        <v>15</v>
      </c>
      <c r="B1736" s="32">
        <f t="shared" si="422"/>
        <v>2047</v>
      </c>
      <c r="C1736" s="33" t="s">
        <v>46</v>
      </c>
      <c r="D1736" s="34" t="s">
        <v>2002</v>
      </c>
      <c r="E1736" s="35" t="str">
        <f t="shared" si="418"/>
        <v>PNP'!</v>
      </c>
      <c r="F1736" s="34" t="str">
        <f t="shared" si="419"/>
        <v>C:\Users\jaime.benazar\Quorum Business Solutions\Ecopetrol Prometeo - Documents\Planning Space Implementation\3. Analysis &amp; Design\Design\FC22\DRR Jaime\Neiva CPI\[DINA TERCIARIOS_CF_SEC_New_27-Mar-2024.xlsx]D-PNP'!</v>
      </c>
      <c r="G1736" s="32" t="s">
        <v>103</v>
      </c>
      <c r="H1736" s="33">
        <f t="shared" si="420"/>
        <v>36</v>
      </c>
      <c r="I1736" s="33" t="str">
        <f t="shared" si="421"/>
        <v>='C:\Users\jaime.benazar\Quorum Business Solutions\Ecopetrol Prometeo - Documents\Planning Space Implementation\3. Analysis &amp; Design\Design\FC22\DRR Jaime\Neiva CPI\[DINA TERCIARIOS_CF_SEC_New_27-Mar-2024.xlsx]D-PNP'!$BX$36</v>
      </c>
      <c r="J1736" s="37" t="s">
        <v>2804</v>
      </c>
    </row>
    <row r="1737" spans="1:10" x14ac:dyDescent="0.3">
      <c r="A1737" s="32" t="s">
        <v>15</v>
      </c>
      <c r="B1737" s="32">
        <f t="shared" si="422"/>
        <v>2048</v>
      </c>
      <c r="C1737" s="33" t="s">
        <v>46</v>
      </c>
      <c r="D1737" s="34" t="s">
        <v>2002</v>
      </c>
      <c r="E1737" s="35" t="str">
        <f t="shared" si="418"/>
        <v>PNP'!</v>
      </c>
      <c r="F1737" s="34" t="str">
        <f t="shared" si="419"/>
        <v>C:\Users\jaime.benazar\Quorum Business Solutions\Ecopetrol Prometeo - Documents\Planning Space Implementation\3. Analysis &amp; Design\Design\FC22\DRR Jaime\Neiva CPI\[DINA TERCIARIOS_CF_SEC_New_27-Mar-2024.xlsx]D-PNP'!</v>
      </c>
      <c r="G1737" s="32" t="s">
        <v>103</v>
      </c>
      <c r="H1737" s="33">
        <f t="shared" si="420"/>
        <v>37</v>
      </c>
      <c r="I1737" s="33" t="str">
        <f t="shared" si="421"/>
        <v>='C:\Users\jaime.benazar\Quorum Business Solutions\Ecopetrol Prometeo - Documents\Planning Space Implementation\3. Analysis &amp; Design\Design\FC22\DRR Jaime\Neiva CPI\[DINA TERCIARIOS_CF_SEC_New_27-Mar-2024.xlsx]D-PNP'!$BX$37</v>
      </c>
      <c r="J1737" s="37" t="s">
        <v>2805</v>
      </c>
    </row>
    <row r="1738" spans="1:10" x14ac:dyDescent="0.3">
      <c r="A1738" s="32" t="s">
        <v>15</v>
      </c>
      <c r="B1738" s="32">
        <f t="shared" si="422"/>
        <v>2049</v>
      </c>
      <c r="C1738" s="33" t="s">
        <v>46</v>
      </c>
      <c r="D1738" s="34" t="s">
        <v>2002</v>
      </c>
      <c r="E1738" s="35" t="str">
        <f t="shared" si="418"/>
        <v>PNP'!</v>
      </c>
      <c r="F1738" s="34" t="str">
        <f t="shared" si="419"/>
        <v>C:\Users\jaime.benazar\Quorum Business Solutions\Ecopetrol Prometeo - Documents\Planning Space Implementation\3. Analysis &amp; Design\Design\FC22\DRR Jaime\Neiva CPI\[DINA TERCIARIOS_CF_SEC_New_27-Mar-2024.xlsx]D-PNP'!</v>
      </c>
      <c r="G1738" s="32" t="s">
        <v>103</v>
      </c>
      <c r="H1738" s="33">
        <f t="shared" si="420"/>
        <v>38</v>
      </c>
      <c r="I1738" s="33" t="str">
        <f t="shared" si="421"/>
        <v>='C:\Users\jaime.benazar\Quorum Business Solutions\Ecopetrol Prometeo - Documents\Planning Space Implementation\3. Analysis &amp; Design\Design\FC22\DRR Jaime\Neiva CPI\[DINA TERCIARIOS_CF_SEC_New_27-Mar-2024.xlsx]D-PNP'!$BX$38</v>
      </c>
      <c r="J1738" s="37" t="s">
        <v>2806</v>
      </c>
    </row>
    <row r="1739" spans="1:10" x14ac:dyDescent="0.3">
      <c r="A1739" s="32" t="s">
        <v>15</v>
      </c>
      <c r="B1739" s="32">
        <f t="shared" si="422"/>
        <v>2050</v>
      </c>
      <c r="C1739" s="33" t="s">
        <v>46</v>
      </c>
      <c r="D1739" s="34" t="s">
        <v>2002</v>
      </c>
      <c r="E1739" s="35" t="str">
        <f t="shared" si="418"/>
        <v>PNP'!</v>
      </c>
      <c r="F1739" s="34" t="str">
        <f t="shared" si="419"/>
        <v>C:\Users\jaime.benazar\Quorum Business Solutions\Ecopetrol Prometeo - Documents\Planning Space Implementation\3. Analysis &amp; Design\Design\FC22\DRR Jaime\Neiva CPI\[DINA TERCIARIOS_CF_SEC_New_27-Mar-2024.xlsx]D-PNP'!</v>
      </c>
      <c r="G1739" s="32" t="s">
        <v>103</v>
      </c>
      <c r="H1739" s="33">
        <f t="shared" si="420"/>
        <v>39</v>
      </c>
      <c r="I1739" s="33" t="str">
        <f t="shared" si="421"/>
        <v>='C:\Users\jaime.benazar\Quorum Business Solutions\Ecopetrol Prometeo - Documents\Planning Space Implementation\3. Analysis &amp; Design\Design\FC22\DRR Jaime\Neiva CPI\[DINA TERCIARIOS_CF_SEC_New_27-Mar-2024.xlsx]D-PNP'!$BX$39</v>
      </c>
      <c r="J1739" s="37" t="s">
        <v>2807</v>
      </c>
    </row>
    <row r="1740" spans="1:10" x14ac:dyDescent="0.3">
      <c r="A1740" s="32" t="s">
        <v>15</v>
      </c>
      <c r="B1740" s="32">
        <f t="shared" si="422"/>
        <v>2051</v>
      </c>
      <c r="C1740" s="33" t="s">
        <v>46</v>
      </c>
      <c r="D1740" s="34" t="s">
        <v>2002</v>
      </c>
      <c r="E1740" s="35" t="str">
        <f t="shared" si="418"/>
        <v>PNP'!</v>
      </c>
      <c r="F1740" s="34" t="str">
        <f t="shared" si="419"/>
        <v>C:\Users\jaime.benazar\Quorum Business Solutions\Ecopetrol Prometeo - Documents\Planning Space Implementation\3. Analysis &amp; Design\Design\FC22\DRR Jaime\Neiva CPI\[DINA TERCIARIOS_CF_SEC_New_27-Mar-2024.xlsx]D-PNP'!</v>
      </c>
      <c r="G1740" s="32" t="s">
        <v>103</v>
      </c>
      <c r="H1740" s="33">
        <f t="shared" si="420"/>
        <v>40</v>
      </c>
      <c r="I1740" s="33" t="str">
        <f t="shared" si="421"/>
        <v>='C:\Users\jaime.benazar\Quorum Business Solutions\Ecopetrol Prometeo - Documents\Planning Space Implementation\3. Analysis &amp; Design\Design\FC22\DRR Jaime\Neiva CPI\[DINA TERCIARIOS_CF_SEC_New_27-Mar-2024.xlsx]D-PNP'!$BX$40</v>
      </c>
      <c r="J1740" s="37" t="s">
        <v>2808</v>
      </c>
    </row>
    <row r="1741" spans="1:10" x14ac:dyDescent="0.3">
      <c r="A1741" s="32" t="s">
        <v>15</v>
      </c>
      <c r="B1741" s="32">
        <f t="shared" si="422"/>
        <v>2052</v>
      </c>
      <c r="C1741" s="33" t="s">
        <v>46</v>
      </c>
      <c r="D1741" s="34" t="s">
        <v>2002</v>
      </c>
      <c r="E1741" s="35" t="str">
        <f t="shared" si="418"/>
        <v>PNP'!</v>
      </c>
      <c r="F1741" s="34" t="str">
        <f t="shared" si="419"/>
        <v>C:\Users\jaime.benazar\Quorum Business Solutions\Ecopetrol Prometeo - Documents\Planning Space Implementation\3. Analysis &amp; Design\Design\FC22\DRR Jaime\Neiva CPI\[DINA TERCIARIOS_CF_SEC_New_27-Mar-2024.xlsx]D-PNP'!</v>
      </c>
      <c r="G1741" s="32" t="s">
        <v>103</v>
      </c>
      <c r="H1741" s="33">
        <f t="shared" si="420"/>
        <v>41</v>
      </c>
      <c r="I1741" s="33" t="str">
        <f t="shared" si="421"/>
        <v>='C:\Users\jaime.benazar\Quorum Business Solutions\Ecopetrol Prometeo - Documents\Planning Space Implementation\3. Analysis &amp; Design\Design\FC22\DRR Jaime\Neiva CPI\[DINA TERCIARIOS_CF_SEC_New_27-Mar-2024.xlsx]D-PNP'!$BX$41</v>
      </c>
      <c r="J1741" s="37" t="s">
        <v>2809</v>
      </c>
    </row>
    <row r="1742" spans="1:10" x14ac:dyDescent="0.3">
      <c r="A1742" s="32" t="s">
        <v>15</v>
      </c>
      <c r="B1742" s="32">
        <f t="shared" si="422"/>
        <v>2053</v>
      </c>
      <c r="C1742" s="33" t="s">
        <v>46</v>
      </c>
      <c r="D1742" s="34" t="s">
        <v>2002</v>
      </c>
      <c r="E1742" s="35" t="str">
        <f t="shared" si="418"/>
        <v>PNP'!</v>
      </c>
      <c r="F1742" s="34" t="str">
        <f t="shared" si="419"/>
        <v>C:\Users\jaime.benazar\Quorum Business Solutions\Ecopetrol Prometeo - Documents\Planning Space Implementation\3. Analysis &amp; Design\Design\FC22\DRR Jaime\Neiva CPI\[DINA TERCIARIOS_CF_SEC_New_27-Mar-2024.xlsx]D-PNP'!</v>
      </c>
      <c r="G1742" s="32" t="s">
        <v>103</v>
      </c>
      <c r="H1742" s="33">
        <f t="shared" si="420"/>
        <v>42</v>
      </c>
      <c r="I1742" s="33" t="str">
        <f t="shared" si="421"/>
        <v>='C:\Users\jaime.benazar\Quorum Business Solutions\Ecopetrol Prometeo - Documents\Planning Space Implementation\3. Analysis &amp; Design\Design\FC22\DRR Jaime\Neiva CPI\[DINA TERCIARIOS_CF_SEC_New_27-Mar-2024.xlsx]D-PNP'!$BX$42</v>
      </c>
      <c r="J1742" s="37" t="s">
        <v>2810</v>
      </c>
    </row>
    <row r="1743" spans="1:10" x14ac:dyDescent="0.3">
      <c r="A1743" s="32" t="s">
        <v>15</v>
      </c>
      <c r="B1743" s="32">
        <f t="shared" si="422"/>
        <v>2054</v>
      </c>
      <c r="C1743" s="33" t="s">
        <v>46</v>
      </c>
      <c r="D1743" s="34" t="s">
        <v>2002</v>
      </c>
      <c r="E1743" s="35" t="str">
        <f t="shared" si="418"/>
        <v>PNP'!</v>
      </c>
      <c r="F1743" s="34" t="str">
        <f t="shared" si="419"/>
        <v>C:\Users\jaime.benazar\Quorum Business Solutions\Ecopetrol Prometeo - Documents\Planning Space Implementation\3. Analysis &amp; Design\Design\FC22\DRR Jaime\Neiva CPI\[DINA TERCIARIOS_CF_SEC_New_27-Mar-2024.xlsx]D-PNP'!</v>
      </c>
      <c r="G1743" s="32" t="s">
        <v>103</v>
      </c>
      <c r="H1743" s="33">
        <f t="shared" si="420"/>
        <v>43</v>
      </c>
      <c r="I1743" s="33" t="str">
        <f t="shared" si="421"/>
        <v>='C:\Users\jaime.benazar\Quorum Business Solutions\Ecopetrol Prometeo - Documents\Planning Space Implementation\3. Analysis &amp; Design\Design\FC22\DRR Jaime\Neiva CPI\[DINA TERCIARIOS_CF_SEC_New_27-Mar-2024.xlsx]D-PNP'!$BX$43</v>
      </c>
      <c r="J1743" s="37" t="s">
        <v>2811</v>
      </c>
    </row>
    <row r="1744" spans="1:10" x14ac:dyDescent="0.3">
      <c r="A1744" s="32" t="s">
        <v>15</v>
      </c>
      <c r="B1744" s="32">
        <f t="shared" si="422"/>
        <v>2055</v>
      </c>
      <c r="C1744" s="33" t="s">
        <v>46</v>
      </c>
      <c r="D1744" s="34" t="s">
        <v>2002</v>
      </c>
      <c r="E1744" s="35" t="str">
        <f t="shared" si="418"/>
        <v>PNP'!</v>
      </c>
      <c r="F1744" s="34" t="str">
        <f t="shared" si="419"/>
        <v>C:\Users\jaime.benazar\Quorum Business Solutions\Ecopetrol Prometeo - Documents\Planning Space Implementation\3. Analysis &amp; Design\Design\FC22\DRR Jaime\Neiva CPI\[DINA TERCIARIOS_CF_SEC_New_27-Mar-2024.xlsx]D-PNP'!</v>
      </c>
      <c r="G1744" s="32" t="s">
        <v>103</v>
      </c>
      <c r="H1744" s="33">
        <f t="shared" si="420"/>
        <v>44</v>
      </c>
      <c r="I1744" s="33" t="str">
        <f t="shared" si="421"/>
        <v>='C:\Users\jaime.benazar\Quorum Business Solutions\Ecopetrol Prometeo - Documents\Planning Space Implementation\3. Analysis &amp; Design\Design\FC22\DRR Jaime\Neiva CPI\[DINA TERCIARIOS_CF_SEC_New_27-Mar-2024.xlsx]D-PNP'!$BX$44</v>
      </c>
      <c r="J1744" s="37" t="s">
        <v>2812</v>
      </c>
    </row>
    <row r="1745" spans="1:10" x14ac:dyDescent="0.3">
      <c r="A1745" s="32" t="s">
        <v>15</v>
      </c>
      <c r="B1745" s="32">
        <f t="shared" si="422"/>
        <v>2056</v>
      </c>
      <c r="C1745" s="33" t="s">
        <v>46</v>
      </c>
      <c r="D1745" s="34" t="s">
        <v>2002</v>
      </c>
      <c r="E1745" s="35" t="str">
        <f t="shared" si="418"/>
        <v>PNP'!</v>
      </c>
      <c r="F1745" s="34" t="str">
        <f t="shared" si="419"/>
        <v>C:\Users\jaime.benazar\Quorum Business Solutions\Ecopetrol Prometeo - Documents\Planning Space Implementation\3. Analysis &amp; Design\Design\FC22\DRR Jaime\Neiva CPI\[DINA TERCIARIOS_CF_SEC_New_27-Mar-2024.xlsx]D-PNP'!</v>
      </c>
      <c r="G1745" s="32" t="s">
        <v>103</v>
      </c>
      <c r="H1745" s="33">
        <f t="shared" si="420"/>
        <v>45</v>
      </c>
      <c r="I1745" s="33" t="str">
        <f t="shared" si="421"/>
        <v>='C:\Users\jaime.benazar\Quorum Business Solutions\Ecopetrol Prometeo - Documents\Planning Space Implementation\3. Analysis &amp; Design\Design\FC22\DRR Jaime\Neiva CPI\[DINA TERCIARIOS_CF_SEC_New_27-Mar-2024.xlsx]D-PNP'!$BX$45</v>
      </c>
      <c r="J1745" s="37" t="s">
        <v>2813</v>
      </c>
    </row>
    <row r="1746" spans="1:10" x14ac:dyDescent="0.3">
      <c r="A1746" s="32" t="s">
        <v>15</v>
      </c>
      <c r="B1746" s="32">
        <f t="shared" si="422"/>
        <v>2057</v>
      </c>
      <c r="C1746" s="33" t="s">
        <v>46</v>
      </c>
      <c r="D1746" s="34" t="s">
        <v>2002</v>
      </c>
      <c r="E1746" s="35" t="str">
        <f t="shared" si="418"/>
        <v>PNP'!</v>
      </c>
      <c r="F1746" s="34" t="str">
        <f t="shared" si="419"/>
        <v>C:\Users\jaime.benazar\Quorum Business Solutions\Ecopetrol Prometeo - Documents\Planning Space Implementation\3. Analysis &amp; Design\Design\FC22\DRR Jaime\Neiva CPI\[DINA TERCIARIOS_CF_SEC_New_27-Mar-2024.xlsx]D-PNP'!</v>
      </c>
      <c r="G1746" s="32" t="s">
        <v>103</v>
      </c>
      <c r="H1746" s="33">
        <f t="shared" si="420"/>
        <v>46</v>
      </c>
      <c r="I1746" s="33" t="str">
        <f t="shared" si="421"/>
        <v>='C:\Users\jaime.benazar\Quorum Business Solutions\Ecopetrol Prometeo - Documents\Planning Space Implementation\3. Analysis &amp; Design\Design\FC22\DRR Jaime\Neiva CPI\[DINA TERCIARIOS_CF_SEC_New_27-Mar-2024.xlsx]D-PNP'!$BX$46</v>
      </c>
      <c r="J1746" s="37" t="s">
        <v>2814</v>
      </c>
    </row>
    <row r="1747" spans="1:10" x14ac:dyDescent="0.3">
      <c r="A1747" s="32" t="s">
        <v>15</v>
      </c>
      <c r="B1747" s="32">
        <f t="shared" si="422"/>
        <v>2058</v>
      </c>
      <c r="C1747" s="33" t="s">
        <v>46</v>
      </c>
      <c r="D1747" s="34" t="s">
        <v>2002</v>
      </c>
      <c r="E1747" s="35" t="str">
        <f t="shared" si="418"/>
        <v>PNP'!</v>
      </c>
      <c r="F1747" s="34" t="str">
        <f t="shared" si="419"/>
        <v>C:\Users\jaime.benazar\Quorum Business Solutions\Ecopetrol Prometeo - Documents\Planning Space Implementation\3. Analysis &amp; Design\Design\FC22\DRR Jaime\Neiva CPI\[DINA TERCIARIOS_CF_SEC_New_27-Mar-2024.xlsx]D-PNP'!</v>
      </c>
      <c r="G1747" s="32" t="s">
        <v>103</v>
      </c>
      <c r="H1747" s="33">
        <f t="shared" si="420"/>
        <v>47</v>
      </c>
      <c r="I1747" s="33" t="str">
        <f t="shared" si="421"/>
        <v>='C:\Users\jaime.benazar\Quorum Business Solutions\Ecopetrol Prometeo - Documents\Planning Space Implementation\3. Analysis &amp; Design\Design\FC22\DRR Jaime\Neiva CPI\[DINA TERCIARIOS_CF_SEC_New_27-Mar-2024.xlsx]D-PNP'!$BX$47</v>
      </c>
      <c r="J1747" s="37" t="s">
        <v>2815</v>
      </c>
    </row>
    <row r="1748" spans="1:10" x14ac:dyDescent="0.3">
      <c r="A1748" s="32" t="s">
        <v>15</v>
      </c>
      <c r="B1748" s="32">
        <f t="shared" si="422"/>
        <v>2059</v>
      </c>
      <c r="C1748" s="33" t="s">
        <v>46</v>
      </c>
      <c r="D1748" s="34" t="s">
        <v>2002</v>
      </c>
      <c r="E1748" s="35" t="str">
        <f t="shared" si="418"/>
        <v>PNP'!</v>
      </c>
      <c r="F1748" s="34" t="str">
        <f t="shared" si="419"/>
        <v>C:\Users\jaime.benazar\Quorum Business Solutions\Ecopetrol Prometeo - Documents\Planning Space Implementation\3. Analysis &amp; Design\Design\FC22\DRR Jaime\Neiva CPI\[DINA TERCIARIOS_CF_SEC_New_27-Mar-2024.xlsx]D-PNP'!</v>
      </c>
      <c r="G1748" s="32" t="s">
        <v>103</v>
      </c>
      <c r="H1748" s="33">
        <f t="shared" si="420"/>
        <v>48</v>
      </c>
      <c r="I1748" s="33" t="str">
        <f t="shared" si="421"/>
        <v>='C:\Users\jaime.benazar\Quorum Business Solutions\Ecopetrol Prometeo - Documents\Planning Space Implementation\3. Analysis &amp; Design\Design\FC22\DRR Jaime\Neiva CPI\[DINA TERCIARIOS_CF_SEC_New_27-Mar-2024.xlsx]D-PNP'!$BX$48</v>
      </c>
      <c r="J1748" s="37" t="s">
        <v>2816</v>
      </c>
    </row>
    <row r="1749" spans="1:10" x14ac:dyDescent="0.3">
      <c r="A1749" s="32" t="s">
        <v>26</v>
      </c>
      <c r="B1749" s="32"/>
      <c r="C1749" s="33" t="s">
        <v>46</v>
      </c>
      <c r="D1749" s="34"/>
      <c r="E1749" s="35"/>
      <c r="F1749" s="34"/>
      <c r="G1749" s="32"/>
      <c r="H1749" s="33"/>
      <c r="I1749" s="33"/>
      <c r="J1749" s="33"/>
    </row>
    <row r="1750" spans="1:10" x14ac:dyDescent="0.3">
      <c r="A1750" s="32" t="s">
        <v>16</v>
      </c>
      <c r="B1750" s="32">
        <v>2023</v>
      </c>
      <c r="C1750" s="33" t="s">
        <v>46</v>
      </c>
      <c r="D1750" s="34" t="s">
        <v>2002</v>
      </c>
      <c r="E1750" s="35" t="str">
        <f t="shared" si="401"/>
        <v>PND'!</v>
      </c>
      <c r="F1750" s="34" t="str">
        <f t="shared" si="402"/>
        <v>C:\Users\jaime.benazar\Quorum Business Solutions\Ecopetrol Prometeo - Documents\Planning Space Implementation\3. Analysis &amp; Design\Design\FC22\DRR Jaime\Neiva CPI\[DINA TERCIARIOS_CF_SEC_New_27-Mar-2024.xlsx]D-PND'!</v>
      </c>
      <c r="G1750" s="32" t="s">
        <v>103</v>
      </c>
      <c r="H1750" s="33">
        <v>12</v>
      </c>
      <c r="I1750" s="33" t="str">
        <f t="shared" ref="I1750:I1770" si="423">_xlfn.CONCAT("='",F1750:H1750)</f>
        <v>='C:\Users\jaime.benazar\Quorum Business Solutions\Ecopetrol Prometeo - Documents\Planning Space Implementation\3. Analysis &amp; Design\Design\FC22\DRR Jaime\Neiva CPI\[DINA TERCIARIOS_CF_SEC_New_27-Mar-2024.xlsx]D-PND'!$BX$12</v>
      </c>
      <c r="J1750" s="37" t="s">
        <v>2817</v>
      </c>
    </row>
    <row r="1751" spans="1:10" x14ac:dyDescent="0.3">
      <c r="A1751" s="32" t="s">
        <v>16</v>
      </c>
      <c r="B1751" s="32">
        <f>+B1750+1</f>
        <v>2024</v>
      </c>
      <c r="C1751" s="33" t="s">
        <v>46</v>
      </c>
      <c r="D1751" s="34" t="s">
        <v>2002</v>
      </c>
      <c r="E1751" s="35" t="str">
        <f t="shared" si="401"/>
        <v>PND'!</v>
      </c>
      <c r="F1751" s="34" t="str">
        <f t="shared" si="402"/>
        <v>C:\Users\jaime.benazar\Quorum Business Solutions\Ecopetrol Prometeo - Documents\Planning Space Implementation\3. Analysis &amp; Design\Design\FC22\DRR Jaime\Neiva CPI\[DINA TERCIARIOS_CF_SEC_New_27-Mar-2024.xlsx]D-PND'!</v>
      </c>
      <c r="G1751" s="32" t="s">
        <v>103</v>
      </c>
      <c r="H1751" s="33">
        <f t="shared" ref="H1751:H1770" si="424">IF(A1751&lt;&gt;A1750,12,H1750+1)</f>
        <v>13</v>
      </c>
      <c r="I1751" s="33" t="str">
        <f t="shared" si="423"/>
        <v>='C:\Users\jaime.benazar\Quorum Business Solutions\Ecopetrol Prometeo - Documents\Planning Space Implementation\3. Analysis &amp; Design\Design\FC22\DRR Jaime\Neiva CPI\[DINA TERCIARIOS_CF_SEC_New_27-Mar-2024.xlsx]D-PND'!$BX$13</v>
      </c>
      <c r="J1751" s="37" t="s">
        <v>2818</v>
      </c>
    </row>
    <row r="1752" spans="1:10" x14ac:dyDescent="0.3">
      <c r="A1752" s="32" t="s">
        <v>16</v>
      </c>
      <c r="B1752" s="32">
        <f t="shared" ref="B1752:B1763" si="425">+B1751+1</f>
        <v>2025</v>
      </c>
      <c r="C1752" s="33" t="s">
        <v>46</v>
      </c>
      <c r="D1752" s="34" t="s">
        <v>2002</v>
      </c>
      <c r="E1752" s="35" t="str">
        <f t="shared" si="401"/>
        <v>PND'!</v>
      </c>
      <c r="F1752" s="34" t="str">
        <f t="shared" si="402"/>
        <v>C:\Users\jaime.benazar\Quorum Business Solutions\Ecopetrol Prometeo - Documents\Planning Space Implementation\3. Analysis &amp; Design\Design\FC22\DRR Jaime\Neiva CPI\[DINA TERCIARIOS_CF_SEC_New_27-Mar-2024.xlsx]D-PND'!</v>
      </c>
      <c r="G1752" s="32" t="s">
        <v>103</v>
      </c>
      <c r="H1752" s="33">
        <f t="shared" si="424"/>
        <v>14</v>
      </c>
      <c r="I1752" s="33" t="str">
        <f t="shared" si="423"/>
        <v>='C:\Users\jaime.benazar\Quorum Business Solutions\Ecopetrol Prometeo - Documents\Planning Space Implementation\3. Analysis &amp; Design\Design\FC22\DRR Jaime\Neiva CPI\[DINA TERCIARIOS_CF_SEC_New_27-Mar-2024.xlsx]D-PND'!$BX$14</v>
      </c>
      <c r="J1752" s="37" t="s">
        <v>2819</v>
      </c>
    </row>
    <row r="1753" spans="1:10" x14ac:dyDescent="0.3">
      <c r="A1753" s="32" t="s">
        <v>16</v>
      </c>
      <c r="B1753" s="32">
        <f t="shared" si="425"/>
        <v>2026</v>
      </c>
      <c r="C1753" s="33" t="s">
        <v>46</v>
      </c>
      <c r="D1753" s="34" t="s">
        <v>2002</v>
      </c>
      <c r="E1753" s="35" t="str">
        <f t="shared" si="401"/>
        <v>PND'!</v>
      </c>
      <c r="F1753" s="34" t="str">
        <f t="shared" si="402"/>
        <v>C:\Users\jaime.benazar\Quorum Business Solutions\Ecopetrol Prometeo - Documents\Planning Space Implementation\3. Analysis &amp; Design\Design\FC22\DRR Jaime\Neiva CPI\[DINA TERCIARIOS_CF_SEC_New_27-Mar-2024.xlsx]D-PND'!</v>
      </c>
      <c r="G1753" s="32" t="s">
        <v>103</v>
      </c>
      <c r="H1753" s="33">
        <f t="shared" si="424"/>
        <v>15</v>
      </c>
      <c r="I1753" s="33" t="str">
        <f t="shared" si="423"/>
        <v>='C:\Users\jaime.benazar\Quorum Business Solutions\Ecopetrol Prometeo - Documents\Planning Space Implementation\3. Analysis &amp; Design\Design\FC22\DRR Jaime\Neiva CPI\[DINA TERCIARIOS_CF_SEC_New_27-Mar-2024.xlsx]D-PND'!$BX$15</v>
      </c>
      <c r="J1753" s="37" t="s">
        <v>2820</v>
      </c>
    </row>
    <row r="1754" spans="1:10" x14ac:dyDescent="0.3">
      <c r="A1754" s="32" t="s">
        <v>16</v>
      </c>
      <c r="B1754" s="32">
        <f t="shared" si="425"/>
        <v>2027</v>
      </c>
      <c r="C1754" s="33" t="s">
        <v>46</v>
      </c>
      <c r="D1754" s="34" t="s">
        <v>2002</v>
      </c>
      <c r="E1754" s="35" t="str">
        <f t="shared" si="401"/>
        <v>PND'!</v>
      </c>
      <c r="F1754" s="34" t="str">
        <f t="shared" si="402"/>
        <v>C:\Users\jaime.benazar\Quorum Business Solutions\Ecopetrol Prometeo - Documents\Planning Space Implementation\3. Analysis &amp; Design\Design\FC22\DRR Jaime\Neiva CPI\[DINA TERCIARIOS_CF_SEC_New_27-Mar-2024.xlsx]D-PND'!</v>
      </c>
      <c r="G1754" s="32" t="s">
        <v>103</v>
      </c>
      <c r="H1754" s="33">
        <f t="shared" si="424"/>
        <v>16</v>
      </c>
      <c r="I1754" s="33" t="str">
        <f t="shared" si="423"/>
        <v>='C:\Users\jaime.benazar\Quorum Business Solutions\Ecopetrol Prometeo - Documents\Planning Space Implementation\3. Analysis &amp; Design\Design\FC22\DRR Jaime\Neiva CPI\[DINA TERCIARIOS_CF_SEC_New_27-Mar-2024.xlsx]D-PND'!$BX$16</v>
      </c>
      <c r="J1754" s="37" t="s">
        <v>2821</v>
      </c>
    </row>
    <row r="1755" spans="1:10" x14ac:dyDescent="0.3">
      <c r="A1755" s="32" t="s">
        <v>16</v>
      </c>
      <c r="B1755" s="32">
        <f t="shared" si="425"/>
        <v>2028</v>
      </c>
      <c r="C1755" s="33" t="s">
        <v>46</v>
      </c>
      <c r="D1755" s="34" t="s">
        <v>2002</v>
      </c>
      <c r="E1755" s="35" t="str">
        <f t="shared" si="401"/>
        <v>PND'!</v>
      </c>
      <c r="F1755" s="34" t="str">
        <f t="shared" si="402"/>
        <v>C:\Users\jaime.benazar\Quorum Business Solutions\Ecopetrol Prometeo - Documents\Planning Space Implementation\3. Analysis &amp; Design\Design\FC22\DRR Jaime\Neiva CPI\[DINA TERCIARIOS_CF_SEC_New_27-Mar-2024.xlsx]D-PND'!</v>
      </c>
      <c r="G1755" s="32" t="s">
        <v>103</v>
      </c>
      <c r="H1755" s="33">
        <f t="shared" si="424"/>
        <v>17</v>
      </c>
      <c r="I1755" s="33" t="str">
        <f t="shared" si="423"/>
        <v>='C:\Users\jaime.benazar\Quorum Business Solutions\Ecopetrol Prometeo - Documents\Planning Space Implementation\3. Analysis &amp; Design\Design\FC22\DRR Jaime\Neiva CPI\[DINA TERCIARIOS_CF_SEC_New_27-Mar-2024.xlsx]D-PND'!$BX$17</v>
      </c>
      <c r="J1755" s="37" t="s">
        <v>2822</v>
      </c>
    </row>
    <row r="1756" spans="1:10" x14ac:dyDescent="0.3">
      <c r="A1756" s="32" t="s">
        <v>16</v>
      </c>
      <c r="B1756" s="32">
        <f t="shared" si="425"/>
        <v>2029</v>
      </c>
      <c r="C1756" s="33" t="s">
        <v>46</v>
      </c>
      <c r="D1756" s="34" t="s">
        <v>2002</v>
      </c>
      <c r="E1756" s="35" t="str">
        <f t="shared" si="401"/>
        <v>PND'!</v>
      </c>
      <c r="F1756" s="34" t="str">
        <f t="shared" si="402"/>
        <v>C:\Users\jaime.benazar\Quorum Business Solutions\Ecopetrol Prometeo - Documents\Planning Space Implementation\3. Analysis &amp; Design\Design\FC22\DRR Jaime\Neiva CPI\[DINA TERCIARIOS_CF_SEC_New_27-Mar-2024.xlsx]D-PND'!</v>
      </c>
      <c r="G1756" s="32" t="s">
        <v>103</v>
      </c>
      <c r="H1756" s="33">
        <f t="shared" si="424"/>
        <v>18</v>
      </c>
      <c r="I1756" s="33" t="str">
        <f t="shared" si="423"/>
        <v>='C:\Users\jaime.benazar\Quorum Business Solutions\Ecopetrol Prometeo - Documents\Planning Space Implementation\3. Analysis &amp; Design\Design\FC22\DRR Jaime\Neiva CPI\[DINA TERCIARIOS_CF_SEC_New_27-Mar-2024.xlsx]D-PND'!$BX$18</v>
      </c>
      <c r="J1756" s="37" t="s">
        <v>2823</v>
      </c>
    </row>
    <row r="1757" spans="1:10" x14ac:dyDescent="0.3">
      <c r="A1757" s="32" t="s">
        <v>16</v>
      </c>
      <c r="B1757" s="32">
        <f t="shared" si="425"/>
        <v>2030</v>
      </c>
      <c r="C1757" s="33" t="s">
        <v>46</v>
      </c>
      <c r="D1757" s="34" t="s">
        <v>2002</v>
      </c>
      <c r="E1757" s="35" t="str">
        <f t="shared" si="401"/>
        <v>PND'!</v>
      </c>
      <c r="F1757" s="34" t="str">
        <f t="shared" si="402"/>
        <v>C:\Users\jaime.benazar\Quorum Business Solutions\Ecopetrol Prometeo - Documents\Planning Space Implementation\3. Analysis &amp; Design\Design\FC22\DRR Jaime\Neiva CPI\[DINA TERCIARIOS_CF_SEC_New_27-Mar-2024.xlsx]D-PND'!</v>
      </c>
      <c r="G1757" s="32" t="s">
        <v>103</v>
      </c>
      <c r="H1757" s="33">
        <f t="shared" si="424"/>
        <v>19</v>
      </c>
      <c r="I1757" s="33" t="str">
        <f t="shared" si="423"/>
        <v>='C:\Users\jaime.benazar\Quorum Business Solutions\Ecopetrol Prometeo - Documents\Planning Space Implementation\3. Analysis &amp; Design\Design\FC22\DRR Jaime\Neiva CPI\[DINA TERCIARIOS_CF_SEC_New_27-Mar-2024.xlsx]D-PND'!$BX$19</v>
      </c>
      <c r="J1757" s="37" t="s">
        <v>2824</v>
      </c>
    </row>
    <row r="1758" spans="1:10" x14ac:dyDescent="0.3">
      <c r="A1758" s="32" t="s">
        <v>16</v>
      </c>
      <c r="B1758" s="32">
        <f t="shared" si="425"/>
        <v>2031</v>
      </c>
      <c r="C1758" s="33" t="s">
        <v>46</v>
      </c>
      <c r="D1758" s="34" t="s">
        <v>2002</v>
      </c>
      <c r="E1758" s="35" t="str">
        <f t="shared" si="401"/>
        <v>PND'!</v>
      </c>
      <c r="F1758" s="34" t="str">
        <f t="shared" si="402"/>
        <v>C:\Users\jaime.benazar\Quorum Business Solutions\Ecopetrol Prometeo - Documents\Planning Space Implementation\3. Analysis &amp; Design\Design\FC22\DRR Jaime\Neiva CPI\[DINA TERCIARIOS_CF_SEC_New_27-Mar-2024.xlsx]D-PND'!</v>
      </c>
      <c r="G1758" s="32" t="s">
        <v>103</v>
      </c>
      <c r="H1758" s="33">
        <f t="shared" si="424"/>
        <v>20</v>
      </c>
      <c r="I1758" s="33" t="str">
        <f t="shared" si="423"/>
        <v>='C:\Users\jaime.benazar\Quorum Business Solutions\Ecopetrol Prometeo - Documents\Planning Space Implementation\3. Analysis &amp; Design\Design\FC22\DRR Jaime\Neiva CPI\[DINA TERCIARIOS_CF_SEC_New_27-Mar-2024.xlsx]D-PND'!$BX$20</v>
      </c>
      <c r="J1758" s="37" t="s">
        <v>2825</v>
      </c>
    </row>
    <row r="1759" spans="1:10" x14ac:dyDescent="0.3">
      <c r="A1759" s="32" t="s">
        <v>16</v>
      </c>
      <c r="B1759" s="32">
        <f t="shared" si="425"/>
        <v>2032</v>
      </c>
      <c r="C1759" s="33" t="s">
        <v>46</v>
      </c>
      <c r="D1759" s="34" t="s">
        <v>2002</v>
      </c>
      <c r="E1759" s="35" t="str">
        <f t="shared" si="401"/>
        <v>PND'!</v>
      </c>
      <c r="F1759" s="34" t="str">
        <f t="shared" si="402"/>
        <v>C:\Users\jaime.benazar\Quorum Business Solutions\Ecopetrol Prometeo - Documents\Planning Space Implementation\3. Analysis &amp; Design\Design\FC22\DRR Jaime\Neiva CPI\[DINA TERCIARIOS_CF_SEC_New_27-Mar-2024.xlsx]D-PND'!</v>
      </c>
      <c r="G1759" s="32" t="s">
        <v>103</v>
      </c>
      <c r="H1759" s="33">
        <f t="shared" si="424"/>
        <v>21</v>
      </c>
      <c r="I1759" s="33" t="str">
        <f t="shared" si="423"/>
        <v>='C:\Users\jaime.benazar\Quorum Business Solutions\Ecopetrol Prometeo - Documents\Planning Space Implementation\3. Analysis &amp; Design\Design\FC22\DRR Jaime\Neiva CPI\[DINA TERCIARIOS_CF_SEC_New_27-Mar-2024.xlsx]D-PND'!$BX$21</v>
      </c>
      <c r="J1759" s="37" t="s">
        <v>2826</v>
      </c>
    </row>
    <row r="1760" spans="1:10" x14ac:dyDescent="0.3">
      <c r="A1760" s="32" t="s">
        <v>16</v>
      </c>
      <c r="B1760" s="32">
        <f t="shared" si="425"/>
        <v>2033</v>
      </c>
      <c r="C1760" s="33" t="s">
        <v>46</v>
      </c>
      <c r="D1760" s="34" t="s">
        <v>2002</v>
      </c>
      <c r="E1760" s="35" t="str">
        <f t="shared" si="401"/>
        <v>PND'!</v>
      </c>
      <c r="F1760" s="34" t="str">
        <f t="shared" si="402"/>
        <v>C:\Users\jaime.benazar\Quorum Business Solutions\Ecopetrol Prometeo - Documents\Planning Space Implementation\3. Analysis &amp; Design\Design\FC22\DRR Jaime\Neiva CPI\[DINA TERCIARIOS_CF_SEC_New_27-Mar-2024.xlsx]D-PND'!</v>
      </c>
      <c r="G1760" s="32" t="s">
        <v>103</v>
      </c>
      <c r="H1760" s="33">
        <f t="shared" si="424"/>
        <v>22</v>
      </c>
      <c r="I1760" s="33" t="str">
        <f t="shared" si="423"/>
        <v>='C:\Users\jaime.benazar\Quorum Business Solutions\Ecopetrol Prometeo - Documents\Planning Space Implementation\3. Analysis &amp; Design\Design\FC22\DRR Jaime\Neiva CPI\[DINA TERCIARIOS_CF_SEC_New_27-Mar-2024.xlsx]D-PND'!$BX$22</v>
      </c>
      <c r="J1760" s="37" t="s">
        <v>2827</v>
      </c>
    </row>
    <row r="1761" spans="1:10" x14ac:dyDescent="0.3">
      <c r="A1761" s="32" t="s">
        <v>16</v>
      </c>
      <c r="B1761" s="32">
        <f t="shared" si="425"/>
        <v>2034</v>
      </c>
      <c r="C1761" s="33" t="s">
        <v>46</v>
      </c>
      <c r="D1761" s="34" t="s">
        <v>2002</v>
      </c>
      <c r="E1761" s="35" t="str">
        <f t="shared" si="401"/>
        <v>PND'!</v>
      </c>
      <c r="F1761" s="34" t="str">
        <f t="shared" si="402"/>
        <v>C:\Users\jaime.benazar\Quorum Business Solutions\Ecopetrol Prometeo - Documents\Planning Space Implementation\3. Analysis &amp; Design\Design\FC22\DRR Jaime\Neiva CPI\[DINA TERCIARIOS_CF_SEC_New_27-Mar-2024.xlsx]D-PND'!</v>
      </c>
      <c r="G1761" s="32" t="s">
        <v>103</v>
      </c>
      <c r="H1761" s="33">
        <f t="shared" si="424"/>
        <v>23</v>
      </c>
      <c r="I1761" s="33" t="str">
        <f t="shared" si="423"/>
        <v>='C:\Users\jaime.benazar\Quorum Business Solutions\Ecopetrol Prometeo - Documents\Planning Space Implementation\3. Analysis &amp; Design\Design\FC22\DRR Jaime\Neiva CPI\[DINA TERCIARIOS_CF_SEC_New_27-Mar-2024.xlsx]D-PND'!$BX$23</v>
      </c>
      <c r="J1761" s="37" t="s">
        <v>2828</v>
      </c>
    </row>
    <row r="1762" spans="1:10" x14ac:dyDescent="0.3">
      <c r="A1762" s="32" t="s">
        <v>16</v>
      </c>
      <c r="B1762" s="32">
        <f t="shared" si="425"/>
        <v>2035</v>
      </c>
      <c r="C1762" s="33" t="s">
        <v>46</v>
      </c>
      <c r="D1762" s="34" t="s">
        <v>2002</v>
      </c>
      <c r="E1762" s="35" t="str">
        <f t="shared" si="401"/>
        <v>PND'!</v>
      </c>
      <c r="F1762" s="34" t="str">
        <f t="shared" si="402"/>
        <v>C:\Users\jaime.benazar\Quorum Business Solutions\Ecopetrol Prometeo - Documents\Planning Space Implementation\3. Analysis &amp; Design\Design\FC22\DRR Jaime\Neiva CPI\[DINA TERCIARIOS_CF_SEC_New_27-Mar-2024.xlsx]D-PND'!</v>
      </c>
      <c r="G1762" s="32" t="s">
        <v>103</v>
      </c>
      <c r="H1762" s="33">
        <f t="shared" si="424"/>
        <v>24</v>
      </c>
      <c r="I1762" s="33" t="str">
        <f t="shared" si="423"/>
        <v>='C:\Users\jaime.benazar\Quorum Business Solutions\Ecopetrol Prometeo - Documents\Planning Space Implementation\3. Analysis &amp; Design\Design\FC22\DRR Jaime\Neiva CPI\[DINA TERCIARIOS_CF_SEC_New_27-Mar-2024.xlsx]D-PND'!$BX$24</v>
      </c>
      <c r="J1762" s="37" t="s">
        <v>2829</v>
      </c>
    </row>
    <row r="1763" spans="1:10" x14ac:dyDescent="0.3">
      <c r="A1763" s="32" t="s">
        <v>16</v>
      </c>
      <c r="B1763" s="32">
        <f t="shared" si="425"/>
        <v>2036</v>
      </c>
      <c r="C1763" s="33" t="s">
        <v>46</v>
      </c>
      <c r="D1763" s="34" t="s">
        <v>2002</v>
      </c>
      <c r="E1763" s="35" t="str">
        <f t="shared" si="401"/>
        <v>PND'!</v>
      </c>
      <c r="F1763" s="34" t="str">
        <f t="shared" si="402"/>
        <v>C:\Users\jaime.benazar\Quorum Business Solutions\Ecopetrol Prometeo - Documents\Planning Space Implementation\3. Analysis &amp; Design\Design\FC22\DRR Jaime\Neiva CPI\[DINA TERCIARIOS_CF_SEC_New_27-Mar-2024.xlsx]D-PND'!</v>
      </c>
      <c r="G1763" s="32" t="s">
        <v>103</v>
      </c>
      <c r="H1763" s="33">
        <f t="shared" si="424"/>
        <v>25</v>
      </c>
      <c r="I1763" s="33" t="str">
        <f t="shared" si="423"/>
        <v>='C:\Users\jaime.benazar\Quorum Business Solutions\Ecopetrol Prometeo - Documents\Planning Space Implementation\3. Analysis &amp; Design\Design\FC22\DRR Jaime\Neiva CPI\[DINA TERCIARIOS_CF_SEC_New_27-Mar-2024.xlsx]D-PND'!$BX$25</v>
      </c>
      <c r="J1763" s="37" t="s">
        <v>2830</v>
      </c>
    </row>
    <row r="1764" spans="1:10" x14ac:dyDescent="0.3">
      <c r="A1764" s="32" t="s">
        <v>16</v>
      </c>
      <c r="B1764" s="32">
        <f>+B1763+1</f>
        <v>2037</v>
      </c>
      <c r="C1764" s="33" t="s">
        <v>46</v>
      </c>
      <c r="D1764" s="34" t="s">
        <v>2002</v>
      </c>
      <c r="E1764" s="35" t="str">
        <f t="shared" si="401"/>
        <v>PND'!</v>
      </c>
      <c r="F1764" s="34" t="str">
        <f t="shared" si="402"/>
        <v>C:\Users\jaime.benazar\Quorum Business Solutions\Ecopetrol Prometeo - Documents\Planning Space Implementation\3. Analysis &amp; Design\Design\FC22\DRR Jaime\Neiva CPI\[DINA TERCIARIOS_CF_SEC_New_27-Mar-2024.xlsx]D-PND'!</v>
      </c>
      <c r="G1764" s="32" t="s">
        <v>103</v>
      </c>
      <c r="H1764" s="33">
        <f t="shared" si="424"/>
        <v>26</v>
      </c>
      <c r="I1764" s="33" t="str">
        <f t="shared" si="423"/>
        <v>='C:\Users\jaime.benazar\Quorum Business Solutions\Ecopetrol Prometeo - Documents\Planning Space Implementation\3. Analysis &amp; Design\Design\FC22\DRR Jaime\Neiva CPI\[DINA TERCIARIOS_CF_SEC_New_27-Mar-2024.xlsx]D-PND'!$BX$26</v>
      </c>
      <c r="J1764" s="37" t="s">
        <v>2831</v>
      </c>
    </row>
    <row r="1765" spans="1:10" x14ac:dyDescent="0.3">
      <c r="A1765" s="32" t="s">
        <v>16</v>
      </c>
      <c r="B1765" s="32">
        <f t="shared" ref="B1765:B1767" si="426">+B1764+1</f>
        <v>2038</v>
      </c>
      <c r="C1765" s="33" t="s">
        <v>46</v>
      </c>
      <c r="D1765" s="34" t="s">
        <v>2002</v>
      </c>
      <c r="E1765" s="35" t="str">
        <f t="shared" si="401"/>
        <v>PND'!</v>
      </c>
      <c r="F1765" s="34" t="str">
        <f t="shared" si="402"/>
        <v>C:\Users\jaime.benazar\Quorum Business Solutions\Ecopetrol Prometeo - Documents\Planning Space Implementation\3. Analysis &amp; Design\Design\FC22\DRR Jaime\Neiva CPI\[DINA TERCIARIOS_CF_SEC_New_27-Mar-2024.xlsx]D-PND'!</v>
      </c>
      <c r="G1765" s="32" t="s">
        <v>103</v>
      </c>
      <c r="H1765" s="33">
        <f t="shared" si="424"/>
        <v>27</v>
      </c>
      <c r="I1765" s="33" t="str">
        <f t="shared" si="423"/>
        <v>='C:\Users\jaime.benazar\Quorum Business Solutions\Ecopetrol Prometeo - Documents\Planning Space Implementation\3. Analysis &amp; Design\Design\FC22\DRR Jaime\Neiva CPI\[DINA TERCIARIOS_CF_SEC_New_27-Mar-2024.xlsx]D-PND'!$BX$27</v>
      </c>
      <c r="J1765" s="37" t="s">
        <v>2832</v>
      </c>
    </row>
    <row r="1766" spans="1:10" x14ac:dyDescent="0.3">
      <c r="A1766" s="32" t="s">
        <v>16</v>
      </c>
      <c r="B1766" s="32">
        <f t="shared" si="426"/>
        <v>2039</v>
      </c>
      <c r="C1766" s="33" t="s">
        <v>46</v>
      </c>
      <c r="D1766" s="34" t="s">
        <v>2002</v>
      </c>
      <c r="E1766" s="35" t="str">
        <f t="shared" si="401"/>
        <v>PND'!</v>
      </c>
      <c r="F1766" s="34" t="str">
        <f t="shared" si="402"/>
        <v>C:\Users\jaime.benazar\Quorum Business Solutions\Ecopetrol Prometeo - Documents\Planning Space Implementation\3. Analysis &amp; Design\Design\FC22\DRR Jaime\Neiva CPI\[DINA TERCIARIOS_CF_SEC_New_27-Mar-2024.xlsx]D-PND'!</v>
      </c>
      <c r="G1766" s="32" t="s">
        <v>103</v>
      </c>
      <c r="H1766" s="33">
        <f t="shared" si="424"/>
        <v>28</v>
      </c>
      <c r="I1766" s="33" t="str">
        <f t="shared" si="423"/>
        <v>='C:\Users\jaime.benazar\Quorum Business Solutions\Ecopetrol Prometeo - Documents\Planning Space Implementation\3. Analysis &amp; Design\Design\FC22\DRR Jaime\Neiva CPI\[DINA TERCIARIOS_CF_SEC_New_27-Mar-2024.xlsx]D-PND'!$BX$28</v>
      </c>
      <c r="J1766" s="37" t="s">
        <v>2833</v>
      </c>
    </row>
    <row r="1767" spans="1:10" x14ac:dyDescent="0.3">
      <c r="A1767" s="32" t="s">
        <v>16</v>
      </c>
      <c r="B1767" s="32">
        <f t="shared" si="426"/>
        <v>2040</v>
      </c>
      <c r="C1767" s="33" t="s">
        <v>46</v>
      </c>
      <c r="D1767" s="34" t="s">
        <v>2002</v>
      </c>
      <c r="E1767" s="35" t="str">
        <f t="shared" si="401"/>
        <v>PND'!</v>
      </c>
      <c r="F1767" s="34" t="str">
        <f t="shared" si="402"/>
        <v>C:\Users\jaime.benazar\Quorum Business Solutions\Ecopetrol Prometeo - Documents\Planning Space Implementation\3. Analysis &amp; Design\Design\FC22\DRR Jaime\Neiva CPI\[DINA TERCIARIOS_CF_SEC_New_27-Mar-2024.xlsx]D-PND'!</v>
      </c>
      <c r="G1767" s="32" t="s">
        <v>103</v>
      </c>
      <c r="H1767" s="33">
        <f t="shared" si="424"/>
        <v>29</v>
      </c>
      <c r="I1767" s="33" t="str">
        <f t="shared" si="423"/>
        <v>='C:\Users\jaime.benazar\Quorum Business Solutions\Ecopetrol Prometeo - Documents\Planning Space Implementation\3. Analysis &amp; Design\Design\FC22\DRR Jaime\Neiva CPI\[DINA TERCIARIOS_CF_SEC_New_27-Mar-2024.xlsx]D-PND'!$BX$29</v>
      </c>
      <c r="J1767" s="37" t="s">
        <v>2834</v>
      </c>
    </row>
    <row r="1768" spans="1:10" x14ac:dyDescent="0.3">
      <c r="A1768" s="32" t="s">
        <v>16</v>
      </c>
      <c r="B1768" s="32">
        <f>+B1767+1</f>
        <v>2041</v>
      </c>
      <c r="C1768" s="33" t="s">
        <v>46</v>
      </c>
      <c r="D1768" s="34" t="s">
        <v>2002</v>
      </c>
      <c r="E1768" s="35" t="str">
        <f t="shared" si="401"/>
        <v>PND'!</v>
      </c>
      <c r="F1768" s="34" t="str">
        <f t="shared" si="402"/>
        <v>C:\Users\jaime.benazar\Quorum Business Solutions\Ecopetrol Prometeo - Documents\Planning Space Implementation\3. Analysis &amp; Design\Design\FC22\DRR Jaime\Neiva CPI\[DINA TERCIARIOS_CF_SEC_New_27-Mar-2024.xlsx]D-PND'!</v>
      </c>
      <c r="G1768" s="32" t="s">
        <v>103</v>
      </c>
      <c r="H1768" s="33">
        <f t="shared" si="424"/>
        <v>30</v>
      </c>
      <c r="I1768" s="33" t="str">
        <f t="shared" si="423"/>
        <v>='C:\Users\jaime.benazar\Quorum Business Solutions\Ecopetrol Prometeo - Documents\Planning Space Implementation\3. Analysis &amp; Design\Design\FC22\DRR Jaime\Neiva CPI\[DINA TERCIARIOS_CF_SEC_New_27-Mar-2024.xlsx]D-PND'!$BX$30</v>
      </c>
      <c r="J1768" s="37" t="s">
        <v>2835</v>
      </c>
    </row>
    <row r="1769" spans="1:10" x14ac:dyDescent="0.3">
      <c r="A1769" s="32" t="s">
        <v>16</v>
      </c>
      <c r="B1769" s="32">
        <f t="shared" ref="B1769:B1770" si="427">+B1768+1</f>
        <v>2042</v>
      </c>
      <c r="C1769" s="33" t="s">
        <v>46</v>
      </c>
      <c r="D1769" s="34" t="s">
        <v>2002</v>
      </c>
      <c r="E1769" s="35" t="str">
        <f t="shared" ref="E1769:E2074" si="428">_xlfn.CONCAT(A1769,"'!")</f>
        <v>PND'!</v>
      </c>
      <c r="F1769" s="34" t="str">
        <f t="shared" ref="F1769:F2074" si="429">_xlfn.CONCAT(D1769:E1769)</f>
        <v>C:\Users\jaime.benazar\Quorum Business Solutions\Ecopetrol Prometeo - Documents\Planning Space Implementation\3. Analysis &amp; Design\Design\FC22\DRR Jaime\Neiva CPI\[DINA TERCIARIOS_CF_SEC_New_27-Mar-2024.xlsx]D-PND'!</v>
      </c>
      <c r="G1769" s="32" t="s">
        <v>103</v>
      </c>
      <c r="H1769" s="33">
        <f t="shared" si="424"/>
        <v>31</v>
      </c>
      <c r="I1769" s="33" t="str">
        <f t="shared" si="423"/>
        <v>='C:\Users\jaime.benazar\Quorum Business Solutions\Ecopetrol Prometeo - Documents\Planning Space Implementation\3. Analysis &amp; Design\Design\FC22\DRR Jaime\Neiva CPI\[DINA TERCIARIOS_CF_SEC_New_27-Mar-2024.xlsx]D-PND'!$BX$31</v>
      </c>
      <c r="J1769" s="37" t="s">
        <v>2836</v>
      </c>
    </row>
    <row r="1770" spans="1:10" x14ac:dyDescent="0.3">
      <c r="A1770" s="32" t="s">
        <v>16</v>
      </c>
      <c r="B1770" s="32">
        <f t="shared" si="427"/>
        <v>2043</v>
      </c>
      <c r="C1770" s="33" t="s">
        <v>46</v>
      </c>
      <c r="D1770" s="34" t="s">
        <v>2002</v>
      </c>
      <c r="E1770" s="35" t="str">
        <f t="shared" si="428"/>
        <v>PND'!</v>
      </c>
      <c r="F1770" s="34" t="str">
        <f t="shared" si="429"/>
        <v>C:\Users\jaime.benazar\Quorum Business Solutions\Ecopetrol Prometeo - Documents\Planning Space Implementation\3. Analysis &amp; Design\Design\FC22\DRR Jaime\Neiva CPI\[DINA TERCIARIOS_CF_SEC_New_27-Mar-2024.xlsx]D-PND'!</v>
      </c>
      <c r="G1770" s="32" t="s">
        <v>103</v>
      </c>
      <c r="H1770" s="33">
        <f t="shared" si="424"/>
        <v>32</v>
      </c>
      <c r="I1770" s="33" t="str">
        <f t="shared" si="423"/>
        <v>='C:\Users\jaime.benazar\Quorum Business Solutions\Ecopetrol Prometeo - Documents\Planning Space Implementation\3. Analysis &amp; Design\Design\FC22\DRR Jaime\Neiva CPI\[DINA TERCIARIOS_CF_SEC_New_27-Mar-2024.xlsx]D-PND'!$BX$32</v>
      </c>
      <c r="J1770" s="37" t="s">
        <v>2837</v>
      </c>
    </row>
    <row r="1771" spans="1:10" x14ac:dyDescent="0.3">
      <c r="A1771" s="32" t="s">
        <v>16</v>
      </c>
      <c r="B1771" s="32">
        <f>+B1770+1</f>
        <v>2044</v>
      </c>
      <c r="C1771" s="33" t="s">
        <v>46</v>
      </c>
      <c r="D1771" s="34" t="s">
        <v>2002</v>
      </c>
      <c r="E1771" s="35" t="str">
        <f t="shared" ref="E1771:E1786" si="430">_xlfn.CONCAT(A1771,"'!")</f>
        <v>PND'!</v>
      </c>
      <c r="F1771" s="34" t="str">
        <f t="shared" ref="F1771:F1786" si="431">_xlfn.CONCAT(D1771:E1771)</f>
        <v>C:\Users\jaime.benazar\Quorum Business Solutions\Ecopetrol Prometeo - Documents\Planning Space Implementation\3. Analysis &amp; Design\Design\FC22\DRR Jaime\Neiva CPI\[DINA TERCIARIOS_CF_SEC_New_27-Mar-2024.xlsx]D-PND'!</v>
      </c>
      <c r="G1771" s="32" t="s">
        <v>103</v>
      </c>
      <c r="H1771" s="33">
        <f t="shared" ref="H1771:H1786" si="432">IF(A1771&lt;&gt;A1770,12,H1770+1)</f>
        <v>33</v>
      </c>
      <c r="I1771" s="33" t="str">
        <f t="shared" ref="I1771:I1786" si="433">_xlfn.CONCAT("='",F1771:H1771)</f>
        <v>='C:\Users\jaime.benazar\Quorum Business Solutions\Ecopetrol Prometeo - Documents\Planning Space Implementation\3. Analysis &amp; Design\Design\FC22\DRR Jaime\Neiva CPI\[DINA TERCIARIOS_CF_SEC_New_27-Mar-2024.xlsx]D-PND'!$BX$33</v>
      </c>
      <c r="J1771" s="37" t="s">
        <v>2838</v>
      </c>
    </row>
    <row r="1772" spans="1:10" x14ac:dyDescent="0.3">
      <c r="A1772" s="32" t="s">
        <v>16</v>
      </c>
      <c r="B1772" s="32">
        <f t="shared" ref="B1772:B1786" si="434">+B1771+1</f>
        <v>2045</v>
      </c>
      <c r="C1772" s="33" t="s">
        <v>46</v>
      </c>
      <c r="D1772" s="34" t="s">
        <v>2002</v>
      </c>
      <c r="E1772" s="35" t="str">
        <f t="shared" si="430"/>
        <v>PND'!</v>
      </c>
      <c r="F1772" s="34" t="str">
        <f t="shared" si="431"/>
        <v>C:\Users\jaime.benazar\Quorum Business Solutions\Ecopetrol Prometeo - Documents\Planning Space Implementation\3. Analysis &amp; Design\Design\FC22\DRR Jaime\Neiva CPI\[DINA TERCIARIOS_CF_SEC_New_27-Mar-2024.xlsx]D-PND'!</v>
      </c>
      <c r="G1772" s="32" t="s">
        <v>103</v>
      </c>
      <c r="H1772" s="33">
        <f t="shared" si="432"/>
        <v>34</v>
      </c>
      <c r="I1772" s="33" t="str">
        <f t="shared" si="433"/>
        <v>='C:\Users\jaime.benazar\Quorum Business Solutions\Ecopetrol Prometeo - Documents\Planning Space Implementation\3. Analysis &amp; Design\Design\FC22\DRR Jaime\Neiva CPI\[DINA TERCIARIOS_CF_SEC_New_27-Mar-2024.xlsx]D-PND'!$BX$34</v>
      </c>
      <c r="J1772" s="37" t="s">
        <v>2839</v>
      </c>
    </row>
    <row r="1773" spans="1:10" x14ac:dyDescent="0.3">
      <c r="A1773" s="32" t="s">
        <v>16</v>
      </c>
      <c r="B1773" s="32">
        <f t="shared" si="434"/>
        <v>2046</v>
      </c>
      <c r="C1773" s="33" t="s">
        <v>46</v>
      </c>
      <c r="D1773" s="34" t="s">
        <v>2002</v>
      </c>
      <c r="E1773" s="35" t="str">
        <f t="shared" si="430"/>
        <v>PND'!</v>
      </c>
      <c r="F1773" s="34" t="str">
        <f t="shared" si="431"/>
        <v>C:\Users\jaime.benazar\Quorum Business Solutions\Ecopetrol Prometeo - Documents\Planning Space Implementation\3. Analysis &amp; Design\Design\FC22\DRR Jaime\Neiva CPI\[DINA TERCIARIOS_CF_SEC_New_27-Mar-2024.xlsx]D-PND'!</v>
      </c>
      <c r="G1773" s="32" t="s">
        <v>103</v>
      </c>
      <c r="H1773" s="33">
        <f t="shared" si="432"/>
        <v>35</v>
      </c>
      <c r="I1773" s="33" t="str">
        <f t="shared" si="433"/>
        <v>='C:\Users\jaime.benazar\Quorum Business Solutions\Ecopetrol Prometeo - Documents\Planning Space Implementation\3. Analysis &amp; Design\Design\FC22\DRR Jaime\Neiva CPI\[DINA TERCIARIOS_CF_SEC_New_27-Mar-2024.xlsx]D-PND'!$BX$35</v>
      </c>
      <c r="J1773" s="37" t="s">
        <v>2840</v>
      </c>
    </row>
    <row r="1774" spans="1:10" x14ac:dyDescent="0.3">
      <c r="A1774" s="32" t="s">
        <v>16</v>
      </c>
      <c r="B1774" s="32">
        <f t="shared" si="434"/>
        <v>2047</v>
      </c>
      <c r="C1774" s="33" t="s">
        <v>46</v>
      </c>
      <c r="D1774" s="34" t="s">
        <v>2002</v>
      </c>
      <c r="E1774" s="35" t="str">
        <f t="shared" si="430"/>
        <v>PND'!</v>
      </c>
      <c r="F1774" s="34" t="str">
        <f t="shared" si="431"/>
        <v>C:\Users\jaime.benazar\Quorum Business Solutions\Ecopetrol Prometeo - Documents\Planning Space Implementation\3. Analysis &amp; Design\Design\FC22\DRR Jaime\Neiva CPI\[DINA TERCIARIOS_CF_SEC_New_27-Mar-2024.xlsx]D-PND'!</v>
      </c>
      <c r="G1774" s="32" t="s">
        <v>103</v>
      </c>
      <c r="H1774" s="33">
        <f t="shared" si="432"/>
        <v>36</v>
      </c>
      <c r="I1774" s="33" t="str">
        <f t="shared" si="433"/>
        <v>='C:\Users\jaime.benazar\Quorum Business Solutions\Ecopetrol Prometeo - Documents\Planning Space Implementation\3. Analysis &amp; Design\Design\FC22\DRR Jaime\Neiva CPI\[DINA TERCIARIOS_CF_SEC_New_27-Mar-2024.xlsx]D-PND'!$BX$36</v>
      </c>
      <c r="J1774" s="37" t="s">
        <v>2841</v>
      </c>
    </row>
    <row r="1775" spans="1:10" x14ac:dyDescent="0.3">
      <c r="A1775" s="32" t="s">
        <v>16</v>
      </c>
      <c r="B1775" s="32">
        <f t="shared" si="434"/>
        <v>2048</v>
      </c>
      <c r="C1775" s="33" t="s">
        <v>46</v>
      </c>
      <c r="D1775" s="34" t="s">
        <v>2002</v>
      </c>
      <c r="E1775" s="35" t="str">
        <f t="shared" si="430"/>
        <v>PND'!</v>
      </c>
      <c r="F1775" s="34" t="str">
        <f t="shared" si="431"/>
        <v>C:\Users\jaime.benazar\Quorum Business Solutions\Ecopetrol Prometeo - Documents\Planning Space Implementation\3. Analysis &amp; Design\Design\FC22\DRR Jaime\Neiva CPI\[DINA TERCIARIOS_CF_SEC_New_27-Mar-2024.xlsx]D-PND'!</v>
      </c>
      <c r="G1775" s="32" t="s">
        <v>103</v>
      </c>
      <c r="H1775" s="33">
        <f t="shared" si="432"/>
        <v>37</v>
      </c>
      <c r="I1775" s="33" t="str">
        <f t="shared" si="433"/>
        <v>='C:\Users\jaime.benazar\Quorum Business Solutions\Ecopetrol Prometeo - Documents\Planning Space Implementation\3. Analysis &amp; Design\Design\FC22\DRR Jaime\Neiva CPI\[DINA TERCIARIOS_CF_SEC_New_27-Mar-2024.xlsx]D-PND'!$BX$37</v>
      </c>
      <c r="J1775" s="37" t="s">
        <v>2842</v>
      </c>
    </row>
    <row r="1776" spans="1:10" x14ac:dyDescent="0.3">
      <c r="A1776" s="32" t="s">
        <v>16</v>
      </c>
      <c r="B1776" s="32">
        <f t="shared" si="434"/>
        <v>2049</v>
      </c>
      <c r="C1776" s="33" t="s">
        <v>46</v>
      </c>
      <c r="D1776" s="34" t="s">
        <v>2002</v>
      </c>
      <c r="E1776" s="35" t="str">
        <f t="shared" si="430"/>
        <v>PND'!</v>
      </c>
      <c r="F1776" s="34" t="str">
        <f t="shared" si="431"/>
        <v>C:\Users\jaime.benazar\Quorum Business Solutions\Ecopetrol Prometeo - Documents\Planning Space Implementation\3. Analysis &amp; Design\Design\FC22\DRR Jaime\Neiva CPI\[DINA TERCIARIOS_CF_SEC_New_27-Mar-2024.xlsx]D-PND'!</v>
      </c>
      <c r="G1776" s="32" t="s">
        <v>103</v>
      </c>
      <c r="H1776" s="33">
        <f t="shared" si="432"/>
        <v>38</v>
      </c>
      <c r="I1776" s="33" t="str">
        <f t="shared" si="433"/>
        <v>='C:\Users\jaime.benazar\Quorum Business Solutions\Ecopetrol Prometeo - Documents\Planning Space Implementation\3. Analysis &amp; Design\Design\FC22\DRR Jaime\Neiva CPI\[DINA TERCIARIOS_CF_SEC_New_27-Mar-2024.xlsx]D-PND'!$BX$38</v>
      </c>
      <c r="J1776" s="37" t="s">
        <v>2843</v>
      </c>
    </row>
    <row r="1777" spans="1:10" x14ac:dyDescent="0.3">
      <c r="A1777" s="32" t="s">
        <v>16</v>
      </c>
      <c r="B1777" s="32">
        <f t="shared" si="434"/>
        <v>2050</v>
      </c>
      <c r="C1777" s="33" t="s">
        <v>46</v>
      </c>
      <c r="D1777" s="34" t="s">
        <v>2002</v>
      </c>
      <c r="E1777" s="35" t="str">
        <f t="shared" si="430"/>
        <v>PND'!</v>
      </c>
      <c r="F1777" s="34" t="str">
        <f t="shared" si="431"/>
        <v>C:\Users\jaime.benazar\Quorum Business Solutions\Ecopetrol Prometeo - Documents\Planning Space Implementation\3. Analysis &amp; Design\Design\FC22\DRR Jaime\Neiva CPI\[DINA TERCIARIOS_CF_SEC_New_27-Mar-2024.xlsx]D-PND'!</v>
      </c>
      <c r="G1777" s="32" t="s">
        <v>103</v>
      </c>
      <c r="H1777" s="33">
        <f t="shared" si="432"/>
        <v>39</v>
      </c>
      <c r="I1777" s="33" t="str">
        <f t="shared" si="433"/>
        <v>='C:\Users\jaime.benazar\Quorum Business Solutions\Ecopetrol Prometeo - Documents\Planning Space Implementation\3. Analysis &amp; Design\Design\FC22\DRR Jaime\Neiva CPI\[DINA TERCIARIOS_CF_SEC_New_27-Mar-2024.xlsx]D-PND'!$BX$39</v>
      </c>
      <c r="J1777" s="37" t="s">
        <v>2844</v>
      </c>
    </row>
    <row r="1778" spans="1:10" x14ac:dyDescent="0.3">
      <c r="A1778" s="32" t="s">
        <v>16</v>
      </c>
      <c r="B1778" s="32">
        <f t="shared" si="434"/>
        <v>2051</v>
      </c>
      <c r="C1778" s="33" t="s">
        <v>46</v>
      </c>
      <c r="D1778" s="34" t="s">
        <v>2002</v>
      </c>
      <c r="E1778" s="35" t="str">
        <f t="shared" si="430"/>
        <v>PND'!</v>
      </c>
      <c r="F1778" s="34" t="str">
        <f t="shared" si="431"/>
        <v>C:\Users\jaime.benazar\Quorum Business Solutions\Ecopetrol Prometeo - Documents\Planning Space Implementation\3. Analysis &amp; Design\Design\FC22\DRR Jaime\Neiva CPI\[DINA TERCIARIOS_CF_SEC_New_27-Mar-2024.xlsx]D-PND'!</v>
      </c>
      <c r="G1778" s="32" t="s">
        <v>103</v>
      </c>
      <c r="H1778" s="33">
        <f t="shared" si="432"/>
        <v>40</v>
      </c>
      <c r="I1778" s="33" t="str">
        <f t="shared" si="433"/>
        <v>='C:\Users\jaime.benazar\Quorum Business Solutions\Ecopetrol Prometeo - Documents\Planning Space Implementation\3. Analysis &amp; Design\Design\FC22\DRR Jaime\Neiva CPI\[DINA TERCIARIOS_CF_SEC_New_27-Mar-2024.xlsx]D-PND'!$BX$40</v>
      </c>
      <c r="J1778" s="37" t="s">
        <v>2845</v>
      </c>
    </row>
    <row r="1779" spans="1:10" x14ac:dyDescent="0.3">
      <c r="A1779" s="32" t="s">
        <v>16</v>
      </c>
      <c r="B1779" s="32">
        <f t="shared" si="434"/>
        <v>2052</v>
      </c>
      <c r="C1779" s="33" t="s">
        <v>46</v>
      </c>
      <c r="D1779" s="34" t="s">
        <v>2002</v>
      </c>
      <c r="E1779" s="35" t="str">
        <f t="shared" si="430"/>
        <v>PND'!</v>
      </c>
      <c r="F1779" s="34" t="str">
        <f t="shared" si="431"/>
        <v>C:\Users\jaime.benazar\Quorum Business Solutions\Ecopetrol Prometeo - Documents\Planning Space Implementation\3. Analysis &amp; Design\Design\FC22\DRR Jaime\Neiva CPI\[DINA TERCIARIOS_CF_SEC_New_27-Mar-2024.xlsx]D-PND'!</v>
      </c>
      <c r="G1779" s="32" t="s">
        <v>103</v>
      </c>
      <c r="H1779" s="33">
        <f t="shared" si="432"/>
        <v>41</v>
      </c>
      <c r="I1779" s="33" t="str">
        <f t="shared" si="433"/>
        <v>='C:\Users\jaime.benazar\Quorum Business Solutions\Ecopetrol Prometeo - Documents\Planning Space Implementation\3. Analysis &amp; Design\Design\FC22\DRR Jaime\Neiva CPI\[DINA TERCIARIOS_CF_SEC_New_27-Mar-2024.xlsx]D-PND'!$BX$41</v>
      </c>
      <c r="J1779" s="37" t="s">
        <v>2846</v>
      </c>
    </row>
    <row r="1780" spans="1:10" x14ac:dyDescent="0.3">
      <c r="A1780" s="32" t="s">
        <v>16</v>
      </c>
      <c r="B1780" s="32">
        <f t="shared" si="434"/>
        <v>2053</v>
      </c>
      <c r="C1780" s="33" t="s">
        <v>46</v>
      </c>
      <c r="D1780" s="34" t="s">
        <v>2002</v>
      </c>
      <c r="E1780" s="35" t="str">
        <f t="shared" si="430"/>
        <v>PND'!</v>
      </c>
      <c r="F1780" s="34" t="str">
        <f t="shared" si="431"/>
        <v>C:\Users\jaime.benazar\Quorum Business Solutions\Ecopetrol Prometeo - Documents\Planning Space Implementation\3. Analysis &amp; Design\Design\FC22\DRR Jaime\Neiva CPI\[DINA TERCIARIOS_CF_SEC_New_27-Mar-2024.xlsx]D-PND'!</v>
      </c>
      <c r="G1780" s="32" t="s">
        <v>103</v>
      </c>
      <c r="H1780" s="33">
        <f t="shared" si="432"/>
        <v>42</v>
      </c>
      <c r="I1780" s="33" t="str">
        <f t="shared" si="433"/>
        <v>='C:\Users\jaime.benazar\Quorum Business Solutions\Ecopetrol Prometeo - Documents\Planning Space Implementation\3. Analysis &amp; Design\Design\FC22\DRR Jaime\Neiva CPI\[DINA TERCIARIOS_CF_SEC_New_27-Mar-2024.xlsx]D-PND'!$BX$42</v>
      </c>
      <c r="J1780" s="37" t="s">
        <v>2847</v>
      </c>
    </row>
    <row r="1781" spans="1:10" x14ac:dyDescent="0.3">
      <c r="A1781" s="32" t="s">
        <v>16</v>
      </c>
      <c r="B1781" s="32">
        <f t="shared" si="434"/>
        <v>2054</v>
      </c>
      <c r="C1781" s="33" t="s">
        <v>46</v>
      </c>
      <c r="D1781" s="34" t="s">
        <v>2002</v>
      </c>
      <c r="E1781" s="35" t="str">
        <f t="shared" si="430"/>
        <v>PND'!</v>
      </c>
      <c r="F1781" s="34" t="str">
        <f t="shared" si="431"/>
        <v>C:\Users\jaime.benazar\Quorum Business Solutions\Ecopetrol Prometeo - Documents\Planning Space Implementation\3. Analysis &amp; Design\Design\FC22\DRR Jaime\Neiva CPI\[DINA TERCIARIOS_CF_SEC_New_27-Mar-2024.xlsx]D-PND'!</v>
      </c>
      <c r="G1781" s="32" t="s">
        <v>103</v>
      </c>
      <c r="H1781" s="33">
        <f t="shared" si="432"/>
        <v>43</v>
      </c>
      <c r="I1781" s="33" t="str">
        <f t="shared" si="433"/>
        <v>='C:\Users\jaime.benazar\Quorum Business Solutions\Ecopetrol Prometeo - Documents\Planning Space Implementation\3. Analysis &amp; Design\Design\FC22\DRR Jaime\Neiva CPI\[DINA TERCIARIOS_CF_SEC_New_27-Mar-2024.xlsx]D-PND'!$BX$43</v>
      </c>
      <c r="J1781" s="37" t="s">
        <v>2848</v>
      </c>
    </row>
    <row r="1782" spans="1:10" x14ac:dyDescent="0.3">
      <c r="A1782" s="32" t="s">
        <v>16</v>
      </c>
      <c r="B1782" s="32">
        <f t="shared" si="434"/>
        <v>2055</v>
      </c>
      <c r="C1782" s="33" t="s">
        <v>46</v>
      </c>
      <c r="D1782" s="34" t="s">
        <v>2002</v>
      </c>
      <c r="E1782" s="35" t="str">
        <f t="shared" si="430"/>
        <v>PND'!</v>
      </c>
      <c r="F1782" s="34" t="str">
        <f t="shared" si="431"/>
        <v>C:\Users\jaime.benazar\Quorum Business Solutions\Ecopetrol Prometeo - Documents\Planning Space Implementation\3. Analysis &amp; Design\Design\FC22\DRR Jaime\Neiva CPI\[DINA TERCIARIOS_CF_SEC_New_27-Mar-2024.xlsx]D-PND'!</v>
      </c>
      <c r="G1782" s="32" t="s">
        <v>103</v>
      </c>
      <c r="H1782" s="33">
        <f t="shared" si="432"/>
        <v>44</v>
      </c>
      <c r="I1782" s="33" t="str">
        <f t="shared" si="433"/>
        <v>='C:\Users\jaime.benazar\Quorum Business Solutions\Ecopetrol Prometeo - Documents\Planning Space Implementation\3. Analysis &amp; Design\Design\FC22\DRR Jaime\Neiva CPI\[DINA TERCIARIOS_CF_SEC_New_27-Mar-2024.xlsx]D-PND'!$BX$44</v>
      </c>
      <c r="J1782" s="37" t="s">
        <v>2849</v>
      </c>
    </row>
    <row r="1783" spans="1:10" x14ac:dyDescent="0.3">
      <c r="A1783" s="32" t="s">
        <v>16</v>
      </c>
      <c r="B1783" s="32">
        <f t="shared" si="434"/>
        <v>2056</v>
      </c>
      <c r="C1783" s="33" t="s">
        <v>46</v>
      </c>
      <c r="D1783" s="34" t="s">
        <v>2002</v>
      </c>
      <c r="E1783" s="35" t="str">
        <f t="shared" si="430"/>
        <v>PND'!</v>
      </c>
      <c r="F1783" s="34" t="str">
        <f t="shared" si="431"/>
        <v>C:\Users\jaime.benazar\Quorum Business Solutions\Ecopetrol Prometeo - Documents\Planning Space Implementation\3. Analysis &amp; Design\Design\FC22\DRR Jaime\Neiva CPI\[DINA TERCIARIOS_CF_SEC_New_27-Mar-2024.xlsx]D-PND'!</v>
      </c>
      <c r="G1783" s="32" t="s">
        <v>103</v>
      </c>
      <c r="H1783" s="33">
        <f t="shared" si="432"/>
        <v>45</v>
      </c>
      <c r="I1783" s="33" t="str">
        <f t="shared" si="433"/>
        <v>='C:\Users\jaime.benazar\Quorum Business Solutions\Ecopetrol Prometeo - Documents\Planning Space Implementation\3. Analysis &amp; Design\Design\FC22\DRR Jaime\Neiva CPI\[DINA TERCIARIOS_CF_SEC_New_27-Mar-2024.xlsx]D-PND'!$BX$45</v>
      </c>
      <c r="J1783" s="37" t="s">
        <v>2850</v>
      </c>
    </row>
    <row r="1784" spans="1:10" x14ac:dyDescent="0.3">
      <c r="A1784" s="32" t="s">
        <v>16</v>
      </c>
      <c r="B1784" s="32">
        <f t="shared" si="434"/>
        <v>2057</v>
      </c>
      <c r="C1784" s="33" t="s">
        <v>46</v>
      </c>
      <c r="D1784" s="34" t="s">
        <v>2002</v>
      </c>
      <c r="E1784" s="35" t="str">
        <f t="shared" si="430"/>
        <v>PND'!</v>
      </c>
      <c r="F1784" s="34" t="str">
        <f t="shared" si="431"/>
        <v>C:\Users\jaime.benazar\Quorum Business Solutions\Ecopetrol Prometeo - Documents\Planning Space Implementation\3. Analysis &amp; Design\Design\FC22\DRR Jaime\Neiva CPI\[DINA TERCIARIOS_CF_SEC_New_27-Mar-2024.xlsx]D-PND'!</v>
      </c>
      <c r="G1784" s="32" t="s">
        <v>103</v>
      </c>
      <c r="H1784" s="33">
        <f t="shared" si="432"/>
        <v>46</v>
      </c>
      <c r="I1784" s="33" t="str">
        <f t="shared" si="433"/>
        <v>='C:\Users\jaime.benazar\Quorum Business Solutions\Ecopetrol Prometeo - Documents\Planning Space Implementation\3. Analysis &amp; Design\Design\FC22\DRR Jaime\Neiva CPI\[DINA TERCIARIOS_CF_SEC_New_27-Mar-2024.xlsx]D-PND'!$BX$46</v>
      </c>
      <c r="J1784" s="37" t="s">
        <v>2851</v>
      </c>
    </row>
    <row r="1785" spans="1:10" x14ac:dyDescent="0.3">
      <c r="A1785" s="32" t="s">
        <v>16</v>
      </c>
      <c r="B1785" s="32">
        <f t="shared" si="434"/>
        <v>2058</v>
      </c>
      <c r="C1785" s="33" t="s">
        <v>46</v>
      </c>
      <c r="D1785" s="34" t="s">
        <v>2002</v>
      </c>
      <c r="E1785" s="35" t="str">
        <f t="shared" si="430"/>
        <v>PND'!</v>
      </c>
      <c r="F1785" s="34" t="str">
        <f t="shared" si="431"/>
        <v>C:\Users\jaime.benazar\Quorum Business Solutions\Ecopetrol Prometeo - Documents\Planning Space Implementation\3. Analysis &amp; Design\Design\FC22\DRR Jaime\Neiva CPI\[DINA TERCIARIOS_CF_SEC_New_27-Mar-2024.xlsx]D-PND'!</v>
      </c>
      <c r="G1785" s="32" t="s">
        <v>103</v>
      </c>
      <c r="H1785" s="33">
        <f t="shared" si="432"/>
        <v>47</v>
      </c>
      <c r="I1785" s="33" t="str">
        <f t="shared" si="433"/>
        <v>='C:\Users\jaime.benazar\Quorum Business Solutions\Ecopetrol Prometeo - Documents\Planning Space Implementation\3. Analysis &amp; Design\Design\FC22\DRR Jaime\Neiva CPI\[DINA TERCIARIOS_CF_SEC_New_27-Mar-2024.xlsx]D-PND'!$BX$47</v>
      </c>
      <c r="J1785" s="37" t="s">
        <v>2852</v>
      </c>
    </row>
    <row r="1786" spans="1:10" x14ac:dyDescent="0.3">
      <c r="A1786" s="32" t="s">
        <v>16</v>
      </c>
      <c r="B1786" s="32">
        <f t="shared" si="434"/>
        <v>2059</v>
      </c>
      <c r="C1786" s="33" t="s">
        <v>46</v>
      </c>
      <c r="D1786" s="34" t="s">
        <v>2002</v>
      </c>
      <c r="E1786" s="35" t="str">
        <f t="shared" si="430"/>
        <v>PND'!</v>
      </c>
      <c r="F1786" s="34" t="str">
        <f t="shared" si="431"/>
        <v>C:\Users\jaime.benazar\Quorum Business Solutions\Ecopetrol Prometeo - Documents\Planning Space Implementation\3. Analysis &amp; Design\Design\FC22\DRR Jaime\Neiva CPI\[DINA TERCIARIOS_CF_SEC_New_27-Mar-2024.xlsx]D-PND'!</v>
      </c>
      <c r="G1786" s="32" t="s">
        <v>103</v>
      </c>
      <c r="H1786" s="33">
        <f t="shared" si="432"/>
        <v>48</v>
      </c>
      <c r="I1786" s="33" t="str">
        <f t="shared" si="433"/>
        <v>='C:\Users\jaime.benazar\Quorum Business Solutions\Ecopetrol Prometeo - Documents\Planning Space Implementation\3. Analysis &amp; Design\Design\FC22\DRR Jaime\Neiva CPI\[DINA TERCIARIOS_CF_SEC_New_27-Mar-2024.xlsx]D-PND'!$BX$48</v>
      </c>
      <c r="J1786" s="37" t="s">
        <v>2853</v>
      </c>
    </row>
    <row r="1787" spans="1:10" x14ac:dyDescent="0.3">
      <c r="A1787" s="32" t="s">
        <v>26</v>
      </c>
      <c r="B1787" s="32"/>
      <c r="C1787" s="33" t="s">
        <v>46</v>
      </c>
      <c r="D1787" s="34"/>
      <c r="E1787" s="35"/>
      <c r="F1787" s="34"/>
      <c r="G1787" s="32"/>
      <c r="H1787" s="33"/>
      <c r="I1787" s="33"/>
      <c r="J1787" s="33"/>
    </row>
    <row r="1788" spans="1:10" x14ac:dyDescent="0.3">
      <c r="A1788" s="32" t="s">
        <v>17</v>
      </c>
      <c r="B1788" s="32">
        <v>2023</v>
      </c>
      <c r="C1788" s="33" t="s">
        <v>46</v>
      </c>
      <c r="D1788" s="34" t="s">
        <v>2002</v>
      </c>
      <c r="E1788" s="35" t="str">
        <f t="shared" ref="E1788:E1808" si="435">_xlfn.CONCAT(A1788,"'!")</f>
        <v>PRBDP'!</v>
      </c>
      <c r="F1788" s="34" t="str">
        <f t="shared" ref="F1788:F1808" si="436">_xlfn.CONCAT(D1788:E1788)</f>
        <v>C:\Users\jaime.benazar\Quorum Business Solutions\Ecopetrol Prometeo - Documents\Planning Space Implementation\3. Analysis &amp; Design\Design\FC22\DRR Jaime\Neiva CPI\[DINA TERCIARIOS_CF_SEC_New_27-Mar-2024.xlsx]D-PRBDP'!</v>
      </c>
      <c r="G1788" s="32" t="s">
        <v>103</v>
      </c>
      <c r="H1788" s="33"/>
      <c r="I1788" s="33"/>
      <c r="J1788" s="37"/>
    </row>
    <row r="1789" spans="1:10" x14ac:dyDescent="0.3">
      <c r="A1789" s="32" t="s">
        <v>17</v>
      </c>
      <c r="B1789" s="32">
        <f>+B1788+1</f>
        <v>2024</v>
      </c>
      <c r="C1789" s="33" t="s">
        <v>46</v>
      </c>
      <c r="D1789" s="34" t="s">
        <v>2002</v>
      </c>
      <c r="E1789" s="35" t="str">
        <f t="shared" si="435"/>
        <v>PRBDP'!</v>
      </c>
      <c r="F1789" s="34" t="str">
        <f t="shared" si="436"/>
        <v>C:\Users\jaime.benazar\Quorum Business Solutions\Ecopetrol Prometeo - Documents\Planning Space Implementation\3. Analysis &amp; Design\Design\FC22\DRR Jaime\Neiva CPI\[DINA TERCIARIOS_CF_SEC_New_27-Mar-2024.xlsx]D-PRBDP'!</v>
      </c>
      <c r="G1789" s="32" t="s">
        <v>103</v>
      </c>
      <c r="H1789" s="33"/>
      <c r="I1789" s="33"/>
      <c r="J1789" s="37"/>
    </row>
    <row r="1790" spans="1:10" x14ac:dyDescent="0.3">
      <c r="A1790" s="32" t="s">
        <v>17</v>
      </c>
      <c r="B1790" s="32">
        <f t="shared" ref="B1790:B1801" si="437">+B1789+1</f>
        <v>2025</v>
      </c>
      <c r="C1790" s="33" t="s">
        <v>46</v>
      </c>
      <c r="D1790" s="34" t="s">
        <v>2002</v>
      </c>
      <c r="E1790" s="35" t="str">
        <f t="shared" si="435"/>
        <v>PRBDP'!</v>
      </c>
      <c r="F1790" s="34" t="str">
        <f t="shared" si="436"/>
        <v>C:\Users\jaime.benazar\Quorum Business Solutions\Ecopetrol Prometeo - Documents\Planning Space Implementation\3. Analysis &amp; Design\Design\FC22\DRR Jaime\Neiva CPI\[DINA TERCIARIOS_CF_SEC_New_27-Mar-2024.xlsx]D-PRBDP'!</v>
      </c>
      <c r="G1790" s="32" t="s">
        <v>103</v>
      </c>
      <c r="H1790" s="33"/>
      <c r="I1790" s="33"/>
      <c r="J1790" s="37"/>
    </row>
    <row r="1791" spans="1:10" x14ac:dyDescent="0.3">
      <c r="A1791" s="32" t="s">
        <v>17</v>
      </c>
      <c r="B1791" s="32">
        <f t="shared" si="437"/>
        <v>2026</v>
      </c>
      <c r="C1791" s="33" t="s">
        <v>46</v>
      </c>
      <c r="D1791" s="34" t="s">
        <v>2002</v>
      </c>
      <c r="E1791" s="35" t="str">
        <f t="shared" si="435"/>
        <v>PRBDP'!</v>
      </c>
      <c r="F1791" s="34" t="str">
        <f t="shared" si="436"/>
        <v>C:\Users\jaime.benazar\Quorum Business Solutions\Ecopetrol Prometeo - Documents\Planning Space Implementation\3. Analysis &amp; Design\Design\FC22\DRR Jaime\Neiva CPI\[DINA TERCIARIOS_CF_SEC_New_27-Mar-2024.xlsx]D-PRBDP'!</v>
      </c>
      <c r="G1791" s="32" t="s">
        <v>103</v>
      </c>
      <c r="H1791" s="33"/>
      <c r="I1791" s="33"/>
      <c r="J1791" s="37"/>
    </row>
    <row r="1792" spans="1:10" x14ac:dyDescent="0.3">
      <c r="A1792" s="32" t="s">
        <v>17</v>
      </c>
      <c r="B1792" s="32">
        <f t="shared" si="437"/>
        <v>2027</v>
      </c>
      <c r="C1792" s="33" t="s">
        <v>46</v>
      </c>
      <c r="D1792" s="34" t="s">
        <v>2002</v>
      </c>
      <c r="E1792" s="35" t="str">
        <f t="shared" si="435"/>
        <v>PRBDP'!</v>
      </c>
      <c r="F1792" s="34" t="str">
        <f t="shared" si="436"/>
        <v>C:\Users\jaime.benazar\Quorum Business Solutions\Ecopetrol Prometeo - Documents\Planning Space Implementation\3. Analysis &amp; Design\Design\FC22\DRR Jaime\Neiva CPI\[DINA TERCIARIOS_CF_SEC_New_27-Mar-2024.xlsx]D-PRBDP'!</v>
      </c>
      <c r="G1792" s="32" t="s">
        <v>103</v>
      </c>
      <c r="H1792" s="33"/>
      <c r="I1792" s="33"/>
      <c r="J1792" s="37"/>
    </row>
    <row r="1793" spans="1:10" x14ac:dyDescent="0.3">
      <c r="A1793" s="32" t="s">
        <v>17</v>
      </c>
      <c r="B1793" s="32">
        <f t="shared" si="437"/>
        <v>2028</v>
      </c>
      <c r="C1793" s="33" t="s">
        <v>46</v>
      </c>
      <c r="D1793" s="34" t="s">
        <v>2002</v>
      </c>
      <c r="E1793" s="35" t="str">
        <f t="shared" si="435"/>
        <v>PRBDP'!</v>
      </c>
      <c r="F1793" s="34" t="str">
        <f t="shared" si="436"/>
        <v>C:\Users\jaime.benazar\Quorum Business Solutions\Ecopetrol Prometeo - Documents\Planning Space Implementation\3. Analysis &amp; Design\Design\FC22\DRR Jaime\Neiva CPI\[DINA TERCIARIOS_CF_SEC_New_27-Mar-2024.xlsx]D-PRBDP'!</v>
      </c>
      <c r="G1793" s="32" t="s">
        <v>103</v>
      </c>
      <c r="H1793" s="33"/>
      <c r="I1793" s="33"/>
      <c r="J1793" s="37"/>
    </row>
    <row r="1794" spans="1:10" x14ac:dyDescent="0.3">
      <c r="A1794" s="32" t="s">
        <v>17</v>
      </c>
      <c r="B1794" s="32">
        <f t="shared" si="437"/>
        <v>2029</v>
      </c>
      <c r="C1794" s="33" t="s">
        <v>46</v>
      </c>
      <c r="D1794" s="34" t="s">
        <v>2002</v>
      </c>
      <c r="E1794" s="35" t="str">
        <f t="shared" si="435"/>
        <v>PRBDP'!</v>
      </c>
      <c r="F1794" s="34" t="str">
        <f t="shared" si="436"/>
        <v>C:\Users\jaime.benazar\Quorum Business Solutions\Ecopetrol Prometeo - Documents\Planning Space Implementation\3. Analysis &amp; Design\Design\FC22\DRR Jaime\Neiva CPI\[DINA TERCIARIOS_CF_SEC_New_27-Mar-2024.xlsx]D-PRBDP'!</v>
      </c>
      <c r="G1794" s="32" t="s">
        <v>103</v>
      </c>
      <c r="H1794" s="33"/>
      <c r="I1794" s="33"/>
      <c r="J1794" s="37"/>
    </row>
    <row r="1795" spans="1:10" x14ac:dyDescent="0.3">
      <c r="A1795" s="32" t="s">
        <v>17</v>
      </c>
      <c r="B1795" s="32">
        <f t="shared" si="437"/>
        <v>2030</v>
      </c>
      <c r="C1795" s="33" t="s">
        <v>46</v>
      </c>
      <c r="D1795" s="34" t="s">
        <v>2002</v>
      </c>
      <c r="E1795" s="35" t="str">
        <f t="shared" si="435"/>
        <v>PRBDP'!</v>
      </c>
      <c r="F1795" s="34" t="str">
        <f t="shared" si="436"/>
        <v>C:\Users\jaime.benazar\Quorum Business Solutions\Ecopetrol Prometeo - Documents\Planning Space Implementation\3. Analysis &amp; Design\Design\FC22\DRR Jaime\Neiva CPI\[DINA TERCIARIOS_CF_SEC_New_27-Mar-2024.xlsx]D-PRBDP'!</v>
      </c>
      <c r="G1795" s="32" t="s">
        <v>103</v>
      </c>
      <c r="H1795" s="33"/>
      <c r="I1795" s="33"/>
      <c r="J1795" s="37"/>
    </row>
    <row r="1796" spans="1:10" x14ac:dyDescent="0.3">
      <c r="A1796" s="32" t="s">
        <v>17</v>
      </c>
      <c r="B1796" s="32">
        <f t="shared" si="437"/>
        <v>2031</v>
      </c>
      <c r="C1796" s="33" t="s">
        <v>46</v>
      </c>
      <c r="D1796" s="34" t="s">
        <v>2002</v>
      </c>
      <c r="E1796" s="35" t="str">
        <f t="shared" si="435"/>
        <v>PRBDP'!</v>
      </c>
      <c r="F1796" s="34" t="str">
        <f t="shared" si="436"/>
        <v>C:\Users\jaime.benazar\Quorum Business Solutions\Ecopetrol Prometeo - Documents\Planning Space Implementation\3. Analysis &amp; Design\Design\FC22\DRR Jaime\Neiva CPI\[DINA TERCIARIOS_CF_SEC_New_27-Mar-2024.xlsx]D-PRBDP'!</v>
      </c>
      <c r="G1796" s="32" t="s">
        <v>103</v>
      </c>
      <c r="H1796" s="33"/>
      <c r="I1796" s="33"/>
      <c r="J1796" s="37"/>
    </row>
    <row r="1797" spans="1:10" x14ac:dyDescent="0.3">
      <c r="A1797" s="32" t="s">
        <v>17</v>
      </c>
      <c r="B1797" s="32">
        <f t="shared" si="437"/>
        <v>2032</v>
      </c>
      <c r="C1797" s="33" t="s">
        <v>46</v>
      </c>
      <c r="D1797" s="34" t="s">
        <v>2002</v>
      </c>
      <c r="E1797" s="35" t="str">
        <f t="shared" si="435"/>
        <v>PRBDP'!</v>
      </c>
      <c r="F1797" s="34" t="str">
        <f t="shared" si="436"/>
        <v>C:\Users\jaime.benazar\Quorum Business Solutions\Ecopetrol Prometeo - Documents\Planning Space Implementation\3. Analysis &amp; Design\Design\FC22\DRR Jaime\Neiva CPI\[DINA TERCIARIOS_CF_SEC_New_27-Mar-2024.xlsx]D-PRBDP'!</v>
      </c>
      <c r="G1797" s="32" t="s">
        <v>103</v>
      </c>
      <c r="H1797" s="33"/>
      <c r="I1797" s="33"/>
      <c r="J1797" s="37"/>
    </row>
    <row r="1798" spans="1:10" x14ac:dyDescent="0.3">
      <c r="A1798" s="32" t="s">
        <v>17</v>
      </c>
      <c r="B1798" s="32">
        <f t="shared" si="437"/>
        <v>2033</v>
      </c>
      <c r="C1798" s="33" t="s">
        <v>46</v>
      </c>
      <c r="D1798" s="34" t="s">
        <v>2002</v>
      </c>
      <c r="E1798" s="35" t="str">
        <f t="shared" si="435"/>
        <v>PRBDP'!</v>
      </c>
      <c r="F1798" s="34" t="str">
        <f t="shared" si="436"/>
        <v>C:\Users\jaime.benazar\Quorum Business Solutions\Ecopetrol Prometeo - Documents\Planning Space Implementation\3. Analysis &amp; Design\Design\FC22\DRR Jaime\Neiva CPI\[DINA TERCIARIOS_CF_SEC_New_27-Mar-2024.xlsx]D-PRBDP'!</v>
      </c>
      <c r="G1798" s="32" t="s">
        <v>103</v>
      </c>
      <c r="H1798" s="33"/>
      <c r="I1798" s="33"/>
      <c r="J1798" s="37"/>
    </row>
    <row r="1799" spans="1:10" x14ac:dyDescent="0.3">
      <c r="A1799" s="32" t="s">
        <v>17</v>
      </c>
      <c r="B1799" s="32">
        <f t="shared" si="437"/>
        <v>2034</v>
      </c>
      <c r="C1799" s="33" t="s">
        <v>46</v>
      </c>
      <c r="D1799" s="34" t="s">
        <v>2002</v>
      </c>
      <c r="E1799" s="35" t="str">
        <f t="shared" si="435"/>
        <v>PRBDP'!</v>
      </c>
      <c r="F1799" s="34" t="str">
        <f t="shared" si="436"/>
        <v>C:\Users\jaime.benazar\Quorum Business Solutions\Ecopetrol Prometeo - Documents\Planning Space Implementation\3. Analysis &amp; Design\Design\FC22\DRR Jaime\Neiva CPI\[DINA TERCIARIOS_CF_SEC_New_27-Mar-2024.xlsx]D-PRBDP'!</v>
      </c>
      <c r="G1799" s="32" t="s">
        <v>103</v>
      </c>
      <c r="H1799" s="33"/>
      <c r="I1799" s="33"/>
      <c r="J1799" s="37"/>
    </row>
    <row r="1800" spans="1:10" x14ac:dyDescent="0.3">
      <c r="A1800" s="32" t="s">
        <v>17</v>
      </c>
      <c r="B1800" s="32">
        <f t="shared" si="437"/>
        <v>2035</v>
      </c>
      <c r="C1800" s="33" t="s">
        <v>46</v>
      </c>
      <c r="D1800" s="34" t="s">
        <v>2002</v>
      </c>
      <c r="E1800" s="35" t="str">
        <f t="shared" si="435"/>
        <v>PRBDP'!</v>
      </c>
      <c r="F1800" s="34" t="str">
        <f t="shared" si="436"/>
        <v>C:\Users\jaime.benazar\Quorum Business Solutions\Ecopetrol Prometeo - Documents\Planning Space Implementation\3. Analysis &amp; Design\Design\FC22\DRR Jaime\Neiva CPI\[DINA TERCIARIOS_CF_SEC_New_27-Mar-2024.xlsx]D-PRBDP'!</v>
      </c>
      <c r="G1800" s="32" t="s">
        <v>103</v>
      </c>
      <c r="H1800" s="33"/>
      <c r="I1800" s="33"/>
      <c r="J1800" s="37"/>
    </row>
    <row r="1801" spans="1:10" x14ac:dyDescent="0.3">
      <c r="A1801" s="32" t="s">
        <v>17</v>
      </c>
      <c r="B1801" s="32">
        <f t="shared" si="437"/>
        <v>2036</v>
      </c>
      <c r="C1801" s="33" t="s">
        <v>46</v>
      </c>
      <c r="D1801" s="34" t="s">
        <v>2002</v>
      </c>
      <c r="E1801" s="35" t="str">
        <f t="shared" si="435"/>
        <v>PRBDP'!</v>
      </c>
      <c r="F1801" s="34" t="str">
        <f t="shared" si="436"/>
        <v>C:\Users\jaime.benazar\Quorum Business Solutions\Ecopetrol Prometeo - Documents\Planning Space Implementation\3. Analysis &amp; Design\Design\FC22\DRR Jaime\Neiva CPI\[DINA TERCIARIOS_CF_SEC_New_27-Mar-2024.xlsx]D-PRBDP'!</v>
      </c>
      <c r="G1801" s="32" t="s">
        <v>103</v>
      </c>
      <c r="H1801" s="33"/>
      <c r="I1801" s="33"/>
      <c r="J1801" s="37"/>
    </row>
    <row r="1802" spans="1:10" x14ac:dyDescent="0.3">
      <c r="A1802" s="32" t="s">
        <v>17</v>
      </c>
      <c r="B1802" s="32">
        <f>+B1801+1</f>
        <v>2037</v>
      </c>
      <c r="C1802" s="33" t="s">
        <v>46</v>
      </c>
      <c r="D1802" s="34" t="s">
        <v>2002</v>
      </c>
      <c r="E1802" s="35" t="str">
        <f t="shared" si="435"/>
        <v>PRBDP'!</v>
      </c>
      <c r="F1802" s="34" t="str">
        <f t="shared" si="436"/>
        <v>C:\Users\jaime.benazar\Quorum Business Solutions\Ecopetrol Prometeo - Documents\Planning Space Implementation\3. Analysis &amp; Design\Design\FC22\DRR Jaime\Neiva CPI\[DINA TERCIARIOS_CF_SEC_New_27-Mar-2024.xlsx]D-PRBDP'!</v>
      </c>
      <c r="G1802" s="32" t="s">
        <v>103</v>
      </c>
      <c r="H1802" s="33"/>
      <c r="I1802" s="33"/>
      <c r="J1802" s="37"/>
    </row>
    <row r="1803" spans="1:10" x14ac:dyDescent="0.3">
      <c r="A1803" s="32" t="s">
        <v>17</v>
      </c>
      <c r="B1803" s="32">
        <f t="shared" ref="B1803:B1805" si="438">+B1802+1</f>
        <v>2038</v>
      </c>
      <c r="C1803" s="33" t="s">
        <v>46</v>
      </c>
      <c r="D1803" s="34" t="s">
        <v>2002</v>
      </c>
      <c r="E1803" s="35" t="str">
        <f t="shared" si="435"/>
        <v>PRBDP'!</v>
      </c>
      <c r="F1803" s="34" t="str">
        <f t="shared" si="436"/>
        <v>C:\Users\jaime.benazar\Quorum Business Solutions\Ecopetrol Prometeo - Documents\Planning Space Implementation\3. Analysis &amp; Design\Design\FC22\DRR Jaime\Neiva CPI\[DINA TERCIARIOS_CF_SEC_New_27-Mar-2024.xlsx]D-PRBDP'!</v>
      </c>
      <c r="G1803" s="32" t="s">
        <v>103</v>
      </c>
      <c r="H1803" s="33"/>
      <c r="I1803" s="33"/>
      <c r="J1803" s="37"/>
    </row>
    <row r="1804" spans="1:10" x14ac:dyDescent="0.3">
      <c r="A1804" s="32" t="s">
        <v>17</v>
      </c>
      <c r="B1804" s="32">
        <f t="shared" si="438"/>
        <v>2039</v>
      </c>
      <c r="C1804" s="33" t="s">
        <v>46</v>
      </c>
      <c r="D1804" s="34" t="s">
        <v>2002</v>
      </c>
      <c r="E1804" s="35" t="str">
        <f t="shared" si="435"/>
        <v>PRBDP'!</v>
      </c>
      <c r="F1804" s="34" t="str">
        <f t="shared" si="436"/>
        <v>C:\Users\jaime.benazar\Quorum Business Solutions\Ecopetrol Prometeo - Documents\Planning Space Implementation\3. Analysis &amp; Design\Design\FC22\DRR Jaime\Neiva CPI\[DINA TERCIARIOS_CF_SEC_New_27-Mar-2024.xlsx]D-PRBDP'!</v>
      </c>
      <c r="G1804" s="32" t="s">
        <v>103</v>
      </c>
      <c r="H1804" s="33"/>
      <c r="I1804" s="33"/>
      <c r="J1804" s="37"/>
    </row>
    <row r="1805" spans="1:10" x14ac:dyDescent="0.3">
      <c r="A1805" s="32" t="s">
        <v>17</v>
      </c>
      <c r="B1805" s="32">
        <f t="shared" si="438"/>
        <v>2040</v>
      </c>
      <c r="C1805" s="33" t="s">
        <v>46</v>
      </c>
      <c r="D1805" s="34" t="s">
        <v>2002</v>
      </c>
      <c r="E1805" s="35" t="str">
        <f t="shared" si="435"/>
        <v>PRBDP'!</v>
      </c>
      <c r="F1805" s="34" t="str">
        <f t="shared" si="436"/>
        <v>C:\Users\jaime.benazar\Quorum Business Solutions\Ecopetrol Prometeo - Documents\Planning Space Implementation\3. Analysis &amp; Design\Design\FC22\DRR Jaime\Neiva CPI\[DINA TERCIARIOS_CF_SEC_New_27-Mar-2024.xlsx]D-PRBDP'!</v>
      </c>
      <c r="G1805" s="32" t="s">
        <v>103</v>
      </c>
      <c r="H1805" s="33"/>
      <c r="I1805" s="33"/>
      <c r="J1805" s="37"/>
    </row>
    <row r="1806" spans="1:10" x14ac:dyDescent="0.3">
      <c r="A1806" s="32" t="s">
        <v>17</v>
      </c>
      <c r="B1806" s="32">
        <f>+B1805+1</f>
        <v>2041</v>
      </c>
      <c r="C1806" s="33" t="s">
        <v>46</v>
      </c>
      <c r="D1806" s="34" t="s">
        <v>2002</v>
      </c>
      <c r="E1806" s="35" t="str">
        <f t="shared" si="435"/>
        <v>PRBDP'!</v>
      </c>
      <c r="F1806" s="34" t="str">
        <f t="shared" si="436"/>
        <v>C:\Users\jaime.benazar\Quorum Business Solutions\Ecopetrol Prometeo - Documents\Planning Space Implementation\3. Analysis &amp; Design\Design\FC22\DRR Jaime\Neiva CPI\[DINA TERCIARIOS_CF_SEC_New_27-Mar-2024.xlsx]D-PRBDP'!</v>
      </c>
      <c r="G1806" s="32" t="s">
        <v>103</v>
      </c>
      <c r="H1806" s="33"/>
      <c r="I1806" s="33"/>
      <c r="J1806" s="37"/>
    </row>
    <row r="1807" spans="1:10" x14ac:dyDescent="0.3">
      <c r="A1807" s="32" t="s">
        <v>17</v>
      </c>
      <c r="B1807" s="32">
        <f t="shared" ref="B1807:B1808" si="439">+B1806+1</f>
        <v>2042</v>
      </c>
      <c r="C1807" s="33" t="s">
        <v>46</v>
      </c>
      <c r="D1807" s="34" t="s">
        <v>2002</v>
      </c>
      <c r="E1807" s="35" t="str">
        <f t="shared" si="435"/>
        <v>PRBDP'!</v>
      </c>
      <c r="F1807" s="34" t="str">
        <f t="shared" si="436"/>
        <v>C:\Users\jaime.benazar\Quorum Business Solutions\Ecopetrol Prometeo - Documents\Planning Space Implementation\3. Analysis &amp; Design\Design\FC22\DRR Jaime\Neiva CPI\[DINA TERCIARIOS_CF_SEC_New_27-Mar-2024.xlsx]D-PRBDP'!</v>
      </c>
      <c r="G1807" s="32" t="s">
        <v>103</v>
      </c>
      <c r="H1807" s="33"/>
      <c r="I1807" s="33"/>
      <c r="J1807" s="37"/>
    </row>
    <row r="1808" spans="1:10" x14ac:dyDescent="0.3">
      <c r="A1808" s="32" t="s">
        <v>17</v>
      </c>
      <c r="B1808" s="32">
        <f t="shared" si="439"/>
        <v>2043</v>
      </c>
      <c r="C1808" s="33" t="s">
        <v>46</v>
      </c>
      <c r="D1808" s="34" t="s">
        <v>2002</v>
      </c>
      <c r="E1808" s="35" t="str">
        <f t="shared" si="435"/>
        <v>PRBDP'!</v>
      </c>
      <c r="F1808" s="34" t="str">
        <f t="shared" si="436"/>
        <v>C:\Users\jaime.benazar\Quorum Business Solutions\Ecopetrol Prometeo - Documents\Planning Space Implementation\3. Analysis &amp; Design\Design\FC22\DRR Jaime\Neiva CPI\[DINA TERCIARIOS_CF_SEC_New_27-Mar-2024.xlsx]D-PRBDP'!</v>
      </c>
      <c r="G1808" s="32" t="s">
        <v>103</v>
      </c>
      <c r="H1808" s="33"/>
      <c r="I1808" s="33"/>
      <c r="J1808" s="37"/>
    </row>
    <row r="1809" spans="1:10" x14ac:dyDescent="0.3">
      <c r="A1809" s="32" t="s">
        <v>17</v>
      </c>
      <c r="B1809" s="32">
        <f>+B1808+1</f>
        <v>2044</v>
      </c>
      <c r="C1809" s="33" t="s">
        <v>46</v>
      </c>
      <c r="D1809" s="34" t="s">
        <v>2002</v>
      </c>
      <c r="E1809" s="35" t="str">
        <f t="shared" ref="E1809:E1824" si="440">_xlfn.CONCAT(A1809,"'!")</f>
        <v>PRBDP'!</v>
      </c>
      <c r="F1809" s="34" t="str">
        <f t="shared" ref="F1809:F1824" si="441">_xlfn.CONCAT(D1809:E1809)</f>
        <v>C:\Users\jaime.benazar\Quorum Business Solutions\Ecopetrol Prometeo - Documents\Planning Space Implementation\3. Analysis &amp; Design\Design\FC22\DRR Jaime\Neiva CPI\[DINA TERCIARIOS_CF_SEC_New_27-Mar-2024.xlsx]D-PRBDP'!</v>
      </c>
      <c r="G1809" s="32" t="s">
        <v>103</v>
      </c>
      <c r="H1809" s="33"/>
      <c r="I1809" s="33"/>
      <c r="J1809" s="37"/>
    </row>
    <row r="1810" spans="1:10" x14ac:dyDescent="0.3">
      <c r="A1810" s="32" t="s">
        <v>17</v>
      </c>
      <c r="B1810" s="32">
        <f t="shared" ref="B1810:B1824" si="442">+B1809+1</f>
        <v>2045</v>
      </c>
      <c r="C1810" s="33" t="s">
        <v>46</v>
      </c>
      <c r="D1810" s="34" t="s">
        <v>2002</v>
      </c>
      <c r="E1810" s="35" t="str">
        <f t="shared" si="440"/>
        <v>PRBDP'!</v>
      </c>
      <c r="F1810" s="34" t="str">
        <f t="shared" si="441"/>
        <v>C:\Users\jaime.benazar\Quorum Business Solutions\Ecopetrol Prometeo - Documents\Planning Space Implementation\3. Analysis &amp; Design\Design\FC22\DRR Jaime\Neiva CPI\[DINA TERCIARIOS_CF_SEC_New_27-Mar-2024.xlsx]D-PRBDP'!</v>
      </c>
      <c r="G1810" s="32" t="s">
        <v>103</v>
      </c>
      <c r="H1810" s="33"/>
      <c r="I1810" s="33"/>
      <c r="J1810" s="37"/>
    </row>
    <row r="1811" spans="1:10" x14ac:dyDescent="0.3">
      <c r="A1811" s="32" t="s">
        <v>17</v>
      </c>
      <c r="B1811" s="32">
        <f t="shared" si="442"/>
        <v>2046</v>
      </c>
      <c r="C1811" s="33" t="s">
        <v>46</v>
      </c>
      <c r="D1811" s="34" t="s">
        <v>2002</v>
      </c>
      <c r="E1811" s="35" t="str">
        <f t="shared" si="440"/>
        <v>PRBDP'!</v>
      </c>
      <c r="F1811" s="34" t="str">
        <f t="shared" si="441"/>
        <v>C:\Users\jaime.benazar\Quorum Business Solutions\Ecopetrol Prometeo - Documents\Planning Space Implementation\3. Analysis &amp; Design\Design\FC22\DRR Jaime\Neiva CPI\[DINA TERCIARIOS_CF_SEC_New_27-Mar-2024.xlsx]D-PRBDP'!</v>
      </c>
      <c r="G1811" s="32" t="s">
        <v>103</v>
      </c>
      <c r="H1811" s="33"/>
      <c r="I1811" s="33"/>
      <c r="J1811" s="37"/>
    </row>
    <row r="1812" spans="1:10" x14ac:dyDescent="0.3">
      <c r="A1812" s="32" t="s">
        <v>17</v>
      </c>
      <c r="B1812" s="32">
        <f t="shared" si="442"/>
        <v>2047</v>
      </c>
      <c r="C1812" s="33" t="s">
        <v>46</v>
      </c>
      <c r="D1812" s="34" t="s">
        <v>2002</v>
      </c>
      <c r="E1812" s="35" t="str">
        <f t="shared" si="440"/>
        <v>PRBDP'!</v>
      </c>
      <c r="F1812" s="34" t="str">
        <f t="shared" si="441"/>
        <v>C:\Users\jaime.benazar\Quorum Business Solutions\Ecopetrol Prometeo - Documents\Planning Space Implementation\3. Analysis &amp; Design\Design\FC22\DRR Jaime\Neiva CPI\[DINA TERCIARIOS_CF_SEC_New_27-Mar-2024.xlsx]D-PRBDP'!</v>
      </c>
      <c r="G1812" s="32" t="s">
        <v>103</v>
      </c>
      <c r="H1812" s="33"/>
      <c r="I1812" s="33"/>
      <c r="J1812" s="37"/>
    </row>
    <row r="1813" spans="1:10" x14ac:dyDescent="0.3">
      <c r="A1813" s="32" t="s">
        <v>17</v>
      </c>
      <c r="B1813" s="32">
        <f t="shared" si="442"/>
        <v>2048</v>
      </c>
      <c r="C1813" s="33" t="s">
        <v>46</v>
      </c>
      <c r="D1813" s="34" t="s">
        <v>2002</v>
      </c>
      <c r="E1813" s="35" t="str">
        <f t="shared" si="440"/>
        <v>PRBDP'!</v>
      </c>
      <c r="F1813" s="34" t="str">
        <f t="shared" si="441"/>
        <v>C:\Users\jaime.benazar\Quorum Business Solutions\Ecopetrol Prometeo - Documents\Planning Space Implementation\3. Analysis &amp; Design\Design\FC22\DRR Jaime\Neiva CPI\[DINA TERCIARIOS_CF_SEC_New_27-Mar-2024.xlsx]D-PRBDP'!</v>
      </c>
      <c r="G1813" s="32" t="s">
        <v>103</v>
      </c>
      <c r="H1813" s="33"/>
      <c r="I1813" s="33"/>
      <c r="J1813" s="37"/>
    </row>
    <row r="1814" spans="1:10" x14ac:dyDescent="0.3">
      <c r="A1814" s="32" t="s">
        <v>17</v>
      </c>
      <c r="B1814" s="32">
        <f t="shared" si="442"/>
        <v>2049</v>
      </c>
      <c r="C1814" s="33" t="s">
        <v>46</v>
      </c>
      <c r="D1814" s="34" t="s">
        <v>2002</v>
      </c>
      <c r="E1814" s="35" t="str">
        <f t="shared" si="440"/>
        <v>PRBDP'!</v>
      </c>
      <c r="F1814" s="34" t="str">
        <f t="shared" si="441"/>
        <v>C:\Users\jaime.benazar\Quorum Business Solutions\Ecopetrol Prometeo - Documents\Planning Space Implementation\3. Analysis &amp; Design\Design\FC22\DRR Jaime\Neiva CPI\[DINA TERCIARIOS_CF_SEC_New_27-Mar-2024.xlsx]D-PRBDP'!</v>
      </c>
      <c r="G1814" s="32" t="s">
        <v>103</v>
      </c>
      <c r="H1814" s="33"/>
      <c r="I1814" s="33"/>
      <c r="J1814" s="37"/>
    </row>
    <row r="1815" spans="1:10" x14ac:dyDescent="0.3">
      <c r="A1815" s="32" t="s">
        <v>17</v>
      </c>
      <c r="B1815" s="32">
        <f t="shared" si="442"/>
        <v>2050</v>
      </c>
      <c r="C1815" s="33" t="s">
        <v>46</v>
      </c>
      <c r="D1815" s="34" t="s">
        <v>2002</v>
      </c>
      <c r="E1815" s="35" t="str">
        <f t="shared" si="440"/>
        <v>PRBDP'!</v>
      </c>
      <c r="F1815" s="34" t="str">
        <f t="shared" si="441"/>
        <v>C:\Users\jaime.benazar\Quorum Business Solutions\Ecopetrol Prometeo - Documents\Planning Space Implementation\3. Analysis &amp; Design\Design\FC22\DRR Jaime\Neiva CPI\[DINA TERCIARIOS_CF_SEC_New_27-Mar-2024.xlsx]D-PRBDP'!</v>
      </c>
      <c r="G1815" s="32" t="s">
        <v>103</v>
      </c>
      <c r="H1815" s="33"/>
      <c r="I1815" s="33"/>
      <c r="J1815" s="37"/>
    </row>
    <row r="1816" spans="1:10" x14ac:dyDescent="0.3">
      <c r="A1816" s="32" t="s">
        <v>17</v>
      </c>
      <c r="B1816" s="32">
        <f t="shared" si="442"/>
        <v>2051</v>
      </c>
      <c r="C1816" s="33" t="s">
        <v>46</v>
      </c>
      <c r="D1816" s="34" t="s">
        <v>2002</v>
      </c>
      <c r="E1816" s="35" t="str">
        <f t="shared" si="440"/>
        <v>PRBDP'!</v>
      </c>
      <c r="F1816" s="34" t="str">
        <f t="shared" si="441"/>
        <v>C:\Users\jaime.benazar\Quorum Business Solutions\Ecopetrol Prometeo - Documents\Planning Space Implementation\3. Analysis &amp; Design\Design\FC22\DRR Jaime\Neiva CPI\[DINA TERCIARIOS_CF_SEC_New_27-Mar-2024.xlsx]D-PRBDP'!</v>
      </c>
      <c r="G1816" s="32" t="s">
        <v>103</v>
      </c>
      <c r="H1816" s="33"/>
      <c r="I1816" s="33"/>
      <c r="J1816" s="37"/>
    </row>
    <row r="1817" spans="1:10" x14ac:dyDescent="0.3">
      <c r="A1817" s="32" t="s">
        <v>17</v>
      </c>
      <c r="B1817" s="32">
        <f t="shared" si="442"/>
        <v>2052</v>
      </c>
      <c r="C1817" s="33" t="s">
        <v>46</v>
      </c>
      <c r="D1817" s="34" t="s">
        <v>2002</v>
      </c>
      <c r="E1817" s="35" t="str">
        <f t="shared" si="440"/>
        <v>PRBDP'!</v>
      </c>
      <c r="F1817" s="34" t="str">
        <f t="shared" si="441"/>
        <v>C:\Users\jaime.benazar\Quorum Business Solutions\Ecopetrol Prometeo - Documents\Planning Space Implementation\3. Analysis &amp; Design\Design\FC22\DRR Jaime\Neiva CPI\[DINA TERCIARIOS_CF_SEC_New_27-Mar-2024.xlsx]D-PRBDP'!</v>
      </c>
      <c r="G1817" s="32" t="s">
        <v>103</v>
      </c>
      <c r="H1817" s="33"/>
      <c r="I1817" s="33"/>
      <c r="J1817" s="37"/>
    </row>
    <row r="1818" spans="1:10" x14ac:dyDescent="0.3">
      <c r="A1818" s="32" t="s">
        <v>17</v>
      </c>
      <c r="B1818" s="32">
        <f t="shared" si="442"/>
        <v>2053</v>
      </c>
      <c r="C1818" s="33" t="s">
        <v>46</v>
      </c>
      <c r="D1818" s="34" t="s">
        <v>2002</v>
      </c>
      <c r="E1818" s="35" t="str">
        <f t="shared" si="440"/>
        <v>PRBDP'!</v>
      </c>
      <c r="F1818" s="34" t="str">
        <f t="shared" si="441"/>
        <v>C:\Users\jaime.benazar\Quorum Business Solutions\Ecopetrol Prometeo - Documents\Planning Space Implementation\3. Analysis &amp; Design\Design\FC22\DRR Jaime\Neiva CPI\[DINA TERCIARIOS_CF_SEC_New_27-Mar-2024.xlsx]D-PRBDP'!</v>
      </c>
      <c r="G1818" s="32" t="s">
        <v>103</v>
      </c>
      <c r="H1818" s="33"/>
      <c r="I1818" s="33"/>
      <c r="J1818" s="37"/>
    </row>
    <row r="1819" spans="1:10" x14ac:dyDescent="0.3">
      <c r="A1819" s="32" t="s">
        <v>17</v>
      </c>
      <c r="B1819" s="32">
        <f t="shared" si="442"/>
        <v>2054</v>
      </c>
      <c r="C1819" s="33" t="s">
        <v>46</v>
      </c>
      <c r="D1819" s="34" t="s">
        <v>2002</v>
      </c>
      <c r="E1819" s="35" t="str">
        <f t="shared" si="440"/>
        <v>PRBDP'!</v>
      </c>
      <c r="F1819" s="34" t="str">
        <f t="shared" si="441"/>
        <v>C:\Users\jaime.benazar\Quorum Business Solutions\Ecopetrol Prometeo - Documents\Planning Space Implementation\3. Analysis &amp; Design\Design\FC22\DRR Jaime\Neiva CPI\[DINA TERCIARIOS_CF_SEC_New_27-Mar-2024.xlsx]D-PRBDP'!</v>
      </c>
      <c r="G1819" s="32" t="s">
        <v>103</v>
      </c>
      <c r="H1819" s="33"/>
      <c r="I1819" s="33"/>
      <c r="J1819" s="37"/>
    </row>
    <row r="1820" spans="1:10" x14ac:dyDescent="0.3">
      <c r="A1820" s="32" t="s">
        <v>17</v>
      </c>
      <c r="B1820" s="32">
        <f t="shared" si="442"/>
        <v>2055</v>
      </c>
      <c r="C1820" s="33" t="s">
        <v>46</v>
      </c>
      <c r="D1820" s="34" t="s">
        <v>2002</v>
      </c>
      <c r="E1820" s="35" t="str">
        <f t="shared" si="440"/>
        <v>PRBDP'!</v>
      </c>
      <c r="F1820" s="34" t="str">
        <f t="shared" si="441"/>
        <v>C:\Users\jaime.benazar\Quorum Business Solutions\Ecopetrol Prometeo - Documents\Planning Space Implementation\3. Analysis &amp; Design\Design\FC22\DRR Jaime\Neiva CPI\[DINA TERCIARIOS_CF_SEC_New_27-Mar-2024.xlsx]D-PRBDP'!</v>
      </c>
      <c r="G1820" s="32" t="s">
        <v>103</v>
      </c>
      <c r="H1820" s="33"/>
      <c r="I1820" s="33"/>
      <c r="J1820" s="37"/>
    </row>
    <row r="1821" spans="1:10" x14ac:dyDescent="0.3">
      <c r="A1821" s="32" t="s">
        <v>17</v>
      </c>
      <c r="B1821" s="32">
        <f t="shared" si="442"/>
        <v>2056</v>
      </c>
      <c r="C1821" s="33" t="s">
        <v>46</v>
      </c>
      <c r="D1821" s="34" t="s">
        <v>2002</v>
      </c>
      <c r="E1821" s="35" t="str">
        <f t="shared" si="440"/>
        <v>PRBDP'!</v>
      </c>
      <c r="F1821" s="34" t="str">
        <f t="shared" si="441"/>
        <v>C:\Users\jaime.benazar\Quorum Business Solutions\Ecopetrol Prometeo - Documents\Planning Space Implementation\3. Analysis &amp; Design\Design\FC22\DRR Jaime\Neiva CPI\[DINA TERCIARIOS_CF_SEC_New_27-Mar-2024.xlsx]D-PRBDP'!</v>
      </c>
      <c r="G1821" s="32" t="s">
        <v>103</v>
      </c>
      <c r="H1821" s="33"/>
      <c r="I1821" s="33"/>
      <c r="J1821" s="37"/>
    </row>
    <row r="1822" spans="1:10" x14ac:dyDescent="0.3">
      <c r="A1822" s="32" t="s">
        <v>17</v>
      </c>
      <c r="B1822" s="32">
        <f t="shared" si="442"/>
        <v>2057</v>
      </c>
      <c r="C1822" s="33" t="s">
        <v>46</v>
      </c>
      <c r="D1822" s="34" t="s">
        <v>2002</v>
      </c>
      <c r="E1822" s="35" t="str">
        <f t="shared" si="440"/>
        <v>PRBDP'!</v>
      </c>
      <c r="F1822" s="34" t="str">
        <f t="shared" si="441"/>
        <v>C:\Users\jaime.benazar\Quorum Business Solutions\Ecopetrol Prometeo - Documents\Planning Space Implementation\3. Analysis &amp; Design\Design\FC22\DRR Jaime\Neiva CPI\[DINA TERCIARIOS_CF_SEC_New_27-Mar-2024.xlsx]D-PRBDP'!</v>
      </c>
      <c r="G1822" s="32" t="s">
        <v>103</v>
      </c>
      <c r="H1822" s="33"/>
      <c r="I1822" s="33"/>
      <c r="J1822" s="37"/>
    </row>
    <row r="1823" spans="1:10" x14ac:dyDescent="0.3">
      <c r="A1823" s="32" t="s">
        <v>17</v>
      </c>
      <c r="B1823" s="32">
        <f t="shared" si="442"/>
        <v>2058</v>
      </c>
      <c r="C1823" s="33" t="s">
        <v>46</v>
      </c>
      <c r="D1823" s="34" t="s">
        <v>2002</v>
      </c>
      <c r="E1823" s="35" t="str">
        <f t="shared" si="440"/>
        <v>PRBDP'!</v>
      </c>
      <c r="F1823" s="34" t="str">
        <f t="shared" si="441"/>
        <v>C:\Users\jaime.benazar\Quorum Business Solutions\Ecopetrol Prometeo - Documents\Planning Space Implementation\3. Analysis &amp; Design\Design\FC22\DRR Jaime\Neiva CPI\[DINA TERCIARIOS_CF_SEC_New_27-Mar-2024.xlsx]D-PRBDP'!</v>
      </c>
      <c r="G1823" s="32" t="s">
        <v>103</v>
      </c>
      <c r="H1823" s="33"/>
      <c r="I1823" s="33"/>
      <c r="J1823" s="37"/>
    </row>
    <row r="1824" spans="1:10" x14ac:dyDescent="0.3">
      <c r="A1824" s="32" t="s">
        <v>17</v>
      </c>
      <c r="B1824" s="32">
        <f t="shared" si="442"/>
        <v>2059</v>
      </c>
      <c r="C1824" s="33" t="s">
        <v>46</v>
      </c>
      <c r="D1824" s="34" t="s">
        <v>2002</v>
      </c>
      <c r="E1824" s="35" t="str">
        <f t="shared" si="440"/>
        <v>PRBDP'!</v>
      </c>
      <c r="F1824" s="34" t="str">
        <f t="shared" si="441"/>
        <v>C:\Users\jaime.benazar\Quorum Business Solutions\Ecopetrol Prometeo - Documents\Planning Space Implementation\3. Analysis &amp; Design\Design\FC22\DRR Jaime\Neiva CPI\[DINA TERCIARIOS_CF_SEC_New_27-Mar-2024.xlsx]D-PRBDP'!</v>
      </c>
      <c r="G1824" s="32" t="s">
        <v>103</v>
      </c>
      <c r="H1824" s="33"/>
      <c r="I1824" s="33"/>
      <c r="J1824" s="37"/>
    </row>
    <row r="1825" spans="1:10" x14ac:dyDescent="0.3">
      <c r="A1825" s="32" t="s">
        <v>26</v>
      </c>
      <c r="B1825" s="32"/>
      <c r="C1825" s="33" t="s">
        <v>46</v>
      </c>
      <c r="D1825" s="34"/>
      <c r="E1825" s="35"/>
      <c r="F1825" s="34"/>
      <c r="G1825" s="32"/>
      <c r="H1825" s="33"/>
      <c r="I1825" s="33"/>
      <c r="J1825" s="33"/>
    </row>
    <row r="1826" spans="1:10" x14ac:dyDescent="0.3">
      <c r="A1826" s="32" t="s">
        <v>18</v>
      </c>
      <c r="B1826" s="32">
        <v>2023</v>
      </c>
      <c r="C1826" s="33" t="s">
        <v>46</v>
      </c>
      <c r="D1826" s="34" t="s">
        <v>2002</v>
      </c>
      <c r="E1826" s="35" t="str">
        <f t="shared" ref="E1826:E1846" si="443">_xlfn.CONCAT(A1826,"'!")</f>
        <v>PRBNP'!</v>
      </c>
      <c r="F1826" s="34" t="str">
        <f t="shared" ref="F1826:F1846" si="444">_xlfn.CONCAT(D1826:E1826)</f>
        <v>C:\Users\jaime.benazar\Quorum Business Solutions\Ecopetrol Prometeo - Documents\Planning Space Implementation\3. Analysis &amp; Design\Design\FC22\DRR Jaime\Neiva CPI\[DINA TERCIARIOS_CF_SEC_New_27-Mar-2024.xlsx]D-PRBNP'!</v>
      </c>
      <c r="G1826" s="32" t="s">
        <v>103</v>
      </c>
      <c r="H1826" s="33"/>
      <c r="I1826" s="33"/>
      <c r="J1826" s="37"/>
    </row>
    <row r="1827" spans="1:10" x14ac:dyDescent="0.3">
      <c r="A1827" s="32" t="s">
        <v>18</v>
      </c>
      <c r="B1827" s="32">
        <f>+B1826+1</f>
        <v>2024</v>
      </c>
      <c r="C1827" s="33" t="s">
        <v>46</v>
      </c>
      <c r="D1827" s="34" t="s">
        <v>2002</v>
      </c>
      <c r="E1827" s="35" t="str">
        <f t="shared" si="443"/>
        <v>PRBNP'!</v>
      </c>
      <c r="F1827" s="34" t="str">
        <f t="shared" si="444"/>
        <v>C:\Users\jaime.benazar\Quorum Business Solutions\Ecopetrol Prometeo - Documents\Planning Space Implementation\3. Analysis &amp; Design\Design\FC22\DRR Jaime\Neiva CPI\[DINA TERCIARIOS_CF_SEC_New_27-Mar-2024.xlsx]D-PRBNP'!</v>
      </c>
      <c r="G1827" s="32" t="s">
        <v>103</v>
      </c>
      <c r="H1827" s="33"/>
      <c r="I1827" s="33"/>
      <c r="J1827" s="37"/>
    </row>
    <row r="1828" spans="1:10" x14ac:dyDescent="0.3">
      <c r="A1828" s="32" t="s">
        <v>18</v>
      </c>
      <c r="B1828" s="32">
        <f t="shared" ref="B1828:B1839" si="445">+B1827+1</f>
        <v>2025</v>
      </c>
      <c r="C1828" s="33" t="s">
        <v>46</v>
      </c>
      <c r="D1828" s="34" t="s">
        <v>2002</v>
      </c>
      <c r="E1828" s="35" t="str">
        <f t="shared" si="443"/>
        <v>PRBNP'!</v>
      </c>
      <c r="F1828" s="34" t="str">
        <f t="shared" si="444"/>
        <v>C:\Users\jaime.benazar\Quorum Business Solutions\Ecopetrol Prometeo - Documents\Planning Space Implementation\3. Analysis &amp; Design\Design\FC22\DRR Jaime\Neiva CPI\[DINA TERCIARIOS_CF_SEC_New_27-Mar-2024.xlsx]D-PRBNP'!</v>
      </c>
      <c r="G1828" s="32" t="s">
        <v>103</v>
      </c>
      <c r="H1828" s="33"/>
      <c r="I1828" s="33"/>
      <c r="J1828" s="37"/>
    </row>
    <row r="1829" spans="1:10" x14ac:dyDescent="0.3">
      <c r="A1829" s="32" t="s">
        <v>18</v>
      </c>
      <c r="B1829" s="32">
        <f t="shared" si="445"/>
        <v>2026</v>
      </c>
      <c r="C1829" s="33" t="s">
        <v>46</v>
      </c>
      <c r="D1829" s="34" t="s">
        <v>2002</v>
      </c>
      <c r="E1829" s="35" t="str">
        <f t="shared" si="443"/>
        <v>PRBNP'!</v>
      </c>
      <c r="F1829" s="34" t="str">
        <f t="shared" si="444"/>
        <v>C:\Users\jaime.benazar\Quorum Business Solutions\Ecopetrol Prometeo - Documents\Planning Space Implementation\3. Analysis &amp; Design\Design\FC22\DRR Jaime\Neiva CPI\[DINA TERCIARIOS_CF_SEC_New_27-Mar-2024.xlsx]D-PRBNP'!</v>
      </c>
      <c r="G1829" s="32" t="s">
        <v>103</v>
      </c>
      <c r="H1829" s="33"/>
      <c r="I1829" s="33"/>
      <c r="J1829" s="37"/>
    </row>
    <row r="1830" spans="1:10" x14ac:dyDescent="0.3">
      <c r="A1830" s="32" t="s">
        <v>18</v>
      </c>
      <c r="B1830" s="32">
        <f t="shared" si="445"/>
        <v>2027</v>
      </c>
      <c r="C1830" s="33" t="s">
        <v>46</v>
      </c>
      <c r="D1830" s="34" t="s">
        <v>2002</v>
      </c>
      <c r="E1830" s="35" t="str">
        <f t="shared" si="443"/>
        <v>PRBNP'!</v>
      </c>
      <c r="F1830" s="34" t="str">
        <f t="shared" si="444"/>
        <v>C:\Users\jaime.benazar\Quorum Business Solutions\Ecopetrol Prometeo - Documents\Planning Space Implementation\3. Analysis &amp; Design\Design\FC22\DRR Jaime\Neiva CPI\[DINA TERCIARIOS_CF_SEC_New_27-Mar-2024.xlsx]D-PRBNP'!</v>
      </c>
      <c r="G1830" s="32" t="s">
        <v>103</v>
      </c>
      <c r="H1830" s="33"/>
      <c r="I1830" s="33"/>
      <c r="J1830" s="37"/>
    </row>
    <row r="1831" spans="1:10" x14ac:dyDescent="0.3">
      <c r="A1831" s="32" t="s">
        <v>18</v>
      </c>
      <c r="B1831" s="32">
        <f t="shared" si="445"/>
        <v>2028</v>
      </c>
      <c r="C1831" s="33" t="s">
        <v>46</v>
      </c>
      <c r="D1831" s="34" t="s">
        <v>2002</v>
      </c>
      <c r="E1831" s="35" t="str">
        <f t="shared" si="443"/>
        <v>PRBNP'!</v>
      </c>
      <c r="F1831" s="34" t="str">
        <f t="shared" si="444"/>
        <v>C:\Users\jaime.benazar\Quorum Business Solutions\Ecopetrol Prometeo - Documents\Planning Space Implementation\3. Analysis &amp; Design\Design\FC22\DRR Jaime\Neiva CPI\[DINA TERCIARIOS_CF_SEC_New_27-Mar-2024.xlsx]D-PRBNP'!</v>
      </c>
      <c r="G1831" s="32" t="s">
        <v>103</v>
      </c>
      <c r="H1831" s="33"/>
      <c r="I1831" s="33"/>
      <c r="J1831" s="37"/>
    </row>
    <row r="1832" spans="1:10" x14ac:dyDescent="0.3">
      <c r="A1832" s="32" t="s">
        <v>18</v>
      </c>
      <c r="B1832" s="32">
        <f t="shared" si="445"/>
        <v>2029</v>
      </c>
      <c r="C1832" s="33" t="s">
        <v>46</v>
      </c>
      <c r="D1832" s="34" t="s">
        <v>2002</v>
      </c>
      <c r="E1832" s="35" t="str">
        <f t="shared" si="443"/>
        <v>PRBNP'!</v>
      </c>
      <c r="F1832" s="34" t="str">
        <f t="shared" si="444"/>
        <v>C:\Users\jaime.benazar\Quorum Business Solutions\Ecopetrol Prometeo - Documents\Planning Space Implementation\3. Analysis &amp; Design\Design\FC22\DRR Jaime\Neiva CPI\[DINA TERCIARIOS_CF_SEC_New_27-Mar-2024.xlsx]D-PRBNP'!</v>
      </c>
      <c r="G1832" s="32" t="s">
        <v>103</v>
      </c>
      <c r="H1832" s="33"/>
      <c r="I1832" s="33"/>
      <c r="J1832" s="37"/>
    </row>
    <row r="1833" spans="1:10" x14ac:dyDescent="0.3">
      <c r="A1833" s="32" t="s">
        <v>18</v>
      </c>
      <c r="B1833" s="32">
        <f t="shared" si="445"/>
        <v>2030</v>
      </c>
      <c r="C1833" s="33" t="s">
        <v>46</v>
      </c>
      <c r="D1833" s="34" t="s">
        <v>2002</v>
      </c>
      <c r="E1833" s="35" t="str">
        <f t="shared" si="443"/>
        <v>PRBNP'!</v>
      </c>
      <c r="F1833" s="34" t="str">
        <f t="shared" si="444"/>
        <v>C:\Users\jaime.benazar\Quorum Business Solutions\Ecopetrol Prometeo - Documents\Planning Space Implementation\3. Analysis &amp; Design\Design\FC22\DRR Jaime\Neiva CPI\[DINA TERCIARIOS_CF_SEC_New_27-Mar-2024.xlsx]D-PRBNP'!</v>
      </c>
      <c r="G1833" s="32" t="s">
        <v>103</v>
      </c>
      <c r="H1833" s="33"/>
      <c r="I1833" s="33"/>
      <c r="J1833" s="37"/>
    </row>
    <row r="1834" spans="1:10" x14ac:dyDescent="0.3">
      <c r="A1834" s="32" t="s">
        <v>18</v>
      </c>
      <c r="B1834" s="32">
        <f t="shared" si="445"/>
        <v>2031</v>
      </c>
      <c r="C1834" s="33" t="s">
        <v>46</v>
      </c>
      <c r="D1834" s="34" t="s">
        <v>2002</v>
      </c>
      <c r="E1834" s="35" t="str">
        <f t="shared" si="443"/>
        <v>PRBNP'!</v>
      </c>
      <c r="F1834" s="34" t="str">
        <f t="shared" si="444"/>
        <v>C:\Users\jaime.benazar\Quorum Business Solutions\Ecopetrol Prometeo - Documents\Planning Space Implementation\3. Analysis &amp; Design\Design\FC22\DRR Jaime\Neiva CPI\[DINA TERCIARIOS_CF_SEC_New_27-Mar-2024.xlsx]D-PRBNP'!</v>
      </c>
      <c r="G1834" s="32" t="s">
        <v>103</v>
      </c>
      <c r="H1834" s="33"/>
      <c r="I1834" s="33"/>
      <c r="J1834" s="37"/>
    </row>
    <row r="1835" spans="1:10" x14ac:dyDescent="0.3">
      <c r="A1835" s="32" t="s">
        <v>18</v>
      </c>
      <c r="B1835" s="32">
        <f t="shared" si="445"/>
        <v>2032</v>
      </c>
      <c r="C1835" s="33" t="s">
        <v>46</v>
      </c>
      <c r="D1835" s="34" t="s">
        <v>2002</v>
      </c>
      <c r="E1835" s="35" t="str">
        <f t="shared" si="443"/>
        <v>PRBNP'!</v>
      </c>
      <c r="F1835" s="34" t="str">
        <f t="shared" si="444"/>
        <v>C:\Users\jaime.benazar\Quorum Business Solutions\Ecopetrol Prometeo - Documents\Planning Space Implementation\3. Analysis &amp; Design\Design\FC22\DRR Jaime\Neiva CPI\[DINA TERCIARIOS_CF_SEC_New_27-Mar-2024.xlsx]D-PRBNP'!</v>
      </c>
      <c r="G1835" s="32" t="s">
        <v>103</v>
      </c>
      <c r="H1835" s="33"/>
      <c r="I1835" s="33"/>
      <c r="J1835" s="37"/>
    </row>
    <row r="1836" spans="1:10" x14ac:dyDescent="0.3">
      <c r="A1836" s="32" t="s">
        <v>18</v>
      </c>
      <c r="B1836" s="32">
        <f t="shared" si="445"/>
        <v>2033</v>
      </c>
      <c r="C1836" s="33" t="s">
        <v>46</v>
      </c>
      <c r="D1836" s="34" t="s">
        <v>2002</v>
      </c>
      <c r="E1836" s="35" t="str">
        <f t="shared" si="443"/>
        <v>PRBNP'!</v>
      </c>
      <c r="F1836" s="34" t="str">
        <f t="shared" si="444"/>
        <v>C:\Users\jaime.benazar\Quorum Business Solutions\Ecopetrol Prometeo - Documents\Planning Space Implementation\3. Analysis &amp; Design\Design\FC22\DRR Jaime\Neiva CPI\[DINA TERCIARIOS_CF_SEC_New_27-Mar-2024.xlsx]D-PRBNP'!</v>
      </c>
      <c r="G1836" s="32" t="s">
        <v>103</v>
      </c>
      <c r="H1836" s="33"/>
      <c r="I1836" s="33"/>
      <c r="J1836" s="37"/>
    </row>
    <row r="1837" spans="1:10" x14ac:dyDescent="0.3">
      <c r="A1837" s="32" t="s">
        <v>18</v>
      </c>
      <c r="B1837" s="32">
        <f t="shared" si="445"/>
        <v>2034</v>
      </c>
      <c r="C1837" s="33" t="s">
        <v>46</v>
      </c>
      <c r="D1837" s="34" t="s">
        <v>2002</v>
      </c>
      <c r="E1837" s="35" t="str">
        <f t="shared" si="443"/>
        <v>PRBNP'!</v>
      </c>
      <c r="F1837" s="34" t="str">
        <f t="shared" si="444"/>
        <v>C:\Users\jaime.benazar\Quorum Business Solutions\Ecopetrol Prometeo - Documents\Planning Space Implementation\3. Analysis &amp; Design\Design\FC22\DRR Jaime\Neiva CPI\[DINA TERCIARIOS_CF_SEC_New_27-Mar-2024.xlsx]D-PRBNP'!</v>
      </c>
      <c r="G1837" s="32" t="s">
        <v>103</v>
      </c>
      <c r="H1837" s="33"/>
      <c r="I1837" s="33"/>
      <c r="J1837" s="37"/>
    </row>
    <row r="1838" spans="1:10" x14ac:dyDescent="0.3">
      <c r="A1838" s="32" t="s">
        <v>18</v>
      </c>
      <c r="B1838" s="32">
        <f t="shared" si="445"/>
        <v>2035</v>
      </c>
      <c r="C1838" s="33" t="s">
        <v>46</v>
      </c>
      <c r="D1838" s="34" t="s">
        <v>2002</v>
      </c>
      <c r="E1838" s="35" t="str">
        <f t="shared" si="443"/>
        <v>PRBNP'!</v>
      </c>
      <c r="F1838" s="34" t="str">
        <f t="shared" si="444"/>
        <v>C:\Users\jaime.benazar\Quorum Business Solutions\Ecopetrol Prometeo - Documents\Planning Space Implementation\3. Analysis &amp; Design\Design\FC22\DRR Jaime\Neiva CPI\[DINA TERCIARIOS_CF_SEC_New_27-Mar-2024.xlsx]D-PRBNP'!</v>
      </c>
      <c r="G1838" s="32" t="s">
        <v>103</v>
      </c>
      <c r="H1838" s="33"/>
      <c r="I1838" s="33"/>
      <c r="J1838" s="37"/>
    </row>
    <row r="1839" spans="1:10" x14ac:dyDescent="0.3">
      <c r="A1839" s="32" t="s">
        <v>18</v>
      </c>
      <c r="B1839" s="32">
        <f t="shared" si="445"/>
        <v>2036</v>
      </c>
      <c r="C1839" s="33" t="s">
        <v>46</v>
      </c>
      <c r="D1839" s="34" t="s">
        <v>2002</v>
      </c>
      <c r="E1839" s="35" t="str">
        <f t="shared" si="443"/>
        <v>PRBNP'!</v>
      </c>
      <c r="F1839" s="34" t="str">
        <f t="shared" si="444"/>
        <v>C:\Users\jaime.benazar\Quorum Business Solutions\Ecopetrol Prometeo - Documents\Planning Space Implementation\3. Analysis &amp; Design\Design\FC22\DRR Jaime\Neiva CPI\[DINA TERCIARIOS_CF_SEC_New_27-Mar-2024.xlsx]D-PRBNP'!</v>
      </c>
      <c r="G1839" s="32" t="s">
        <v>103</v>
      </c>
      <c r="H1839" s="33"/>
      <c r="I1839" s="33"/>
      <c r="J1839" s="37"/>
    </row>
    <row r="1840" spans="1:10" x14ac:dyDescent="0.3">
      <c r="A1840" s="32" t="s">
        <v>18</v>
      </c>
      <c r="B1840" s="32">
        <f>+B1839+1</f>
        <v>2037</v>
      </c>
      <c r="C1840" s="33" t="s">
        <v>46</v>
      </c>
      <c r="D1840" s="34" t="s">
        <v>2002</v>
      </c>
      <c r="E1840" s="35" t="str">
        <f t="shared" si="443"/>
        <v>PRBNP'!</v>
      </c>
      <c r="F1840" s="34" t="str">
        <f t="shared" si="444"/>
        <v>C:\Users\jaime.benazar\Quorum Business Solutions\Ecopetrol Prometeo - Documents\Planning Space Implementation\3. Analysis &amp; Design\Design\FC22\DRR Jaime\Neiva CPI\[DINA TERCIARIOS_CF_SEC_New_27-Mar-2024.xlsx]D-PRBNP'!</v>
      </c>
      <c r="G1840" s="32" t="s">
        <v>103</v>
      </c>
      <c r="H1840" s="33"/>
      <c r="I1840" s="33"/>
      <c r="J1840" s="37"/>
    </row>
    <row r="1841" spans="1:10" x14ac:dyDescent="0.3">
      <c r="A1841" s="32" t="s">
        <v>18</v>
      </c>
      <c r="B1841" s="32">
        <f t="shared" ref="B1841:B1843" si="446">+B1840+1</f>
        <v>2038</v>
      </c>
      <c r="C1841" s="33" t="s">
        <v>46</v>
      </c>
      <c r="D1841" s="34" t="s">
        <v>2002</v>
      </c>
      <c r="E1841" s="35" t="str">
        <f t="shared" si="443"/>
        <v>PRBNP'!</v>
      </c>
      <c r="F1841" s="34" t="str">
        <f t="shared" si="444"/>
        <v>C:\Users\jaime.benazar\Quorum Business Solutions\Ecopetrol Prometeo - Documents\Planning Space Implementation\3. Analysis &amp; Design\Design\FC22\DRR Jaime\Neiva CPI\[DINA TERCIARIOS_CF_SEC_New_27-Mar-2024.xlsx]D-PRBNP'!</v>
      </c>
      <c r="G1841" s="32" t="s">
        <v>103</v>
      </c>
      <c r="H1841" s="33"/>
      <c r="I1841" s="33"/>
      <c r="J1841" s="37"/>
    </row>
    <row r="1842" spans="1:10" x14ac:dyDescent="0.3">
      <c r="A1842" s="32" t="s">
        <v>18</v>
      </c>
      <c r="B1842" s="32">
        <f t="shared" si="446"/>
        <v>2039</v>
      </c>
      <c r="C1842" s="33" t="s">
        <v>46</v>
      </c>
      <c r="D1842" s="34" t="s">
        <v>2002</v>
      </c>
      <c r="E1842" s="35" t="str">
        <f t="shared" si="443"/>
        <v>PRBNP'!</v>
      </c>
      <c r="F1842" s="34" t="str">
        <f t="shared" si="444"/>
        <v>C:\Users\jaime.benazar\Quorum Business Solutions\Ecopetrol Prometeo - Documents\Planning Space Implementation\3. Analysis &amp; Design\Design\FC22\DRR Jaime\Neiva CPI\[DINA TERCIARIOS_CF_SEC_New_27-Mar-2024.xlsx]D-PRBNP'!</v>
      </c>
      <c r="G1842" s="32" t="s">
        <v>103</v>
      </c>
      <c r="H1842" s="33"/>
      <c r="I1842" s="33"/>
      <c r="J1842" s="37"/>
    </row>
    <row r="1843" spans="1:10" x14ac:dyDescent="0.3">
      <c r="A1843" s="32" t="s">
        <v>18</v>
      </c>
      <c r="B1843" s="32">
        <f t="shared" si="446"/>
        <v>2040</v>
      </c>
      <c r="C1843" s="33" t="s">
        <v>46</v>
      </c>
      <c r="D1843" s="34" t="s">
        <v>2002</v>
      </c>
      <c r="E1843" s="35" t="str">
        <f t="shared" si="443"/>
        <v>PRBNP'!</v>
      </c>
      <c r="F1843" s="34" t="str">
        <f t="shared" si="444"/>
        <v>C:\Users\jaime.benazar\Quorum Business Solutions\Ecopetrol Prometeo - Documents\Planning Space Implementation\3. Analysis &amp; Design\Design\FC22\DRR Jaime\Neiva CPI\[DINA TERCIARIOS_CF_SEC_New_27-Mar-2024.xlsx]D-PRBNP'!</v>
      </c>
      <c r="G1843" s="32" t="s">
        <v>103</v>
      </c>
      <c r="H1843" s="33"/>
      <c r="I1843" s="33"/>
      <c r="J1843" s="37"/>
    </row>
    <row r="1844" spans="1:10" x14ac:dyDescent="0.3">
      <c r="A1844" s="32" t="s">
        <v>18</v>
      </c>
      <c r="B1844" s="32">
        <f>+B1843+1</f>
        <v>2041</v>
      </c>
      <c r="C1844" s="33" t="s">
        <v>46</v>
      </c>
      <c r="D1844" s="34" t="s">
        <v>2002</v>
      </c>
      <c r="E1844" s="35" t="str">
        <f t="shared" si="443"/>
        <v>PRBNP'!</v>
      </c>
      <c r="F1844" s="34" t="str">
        <f t="shared" si="444"/>
        <v>C:\Users\jaime.benazar\Quorum Business Solutions\Ecopetrol Prometeo - Documents\Planning Space Implementation\3. Analysis &amp; Design\Design\FC22\DRR Jaime\Neiva CPI\[DINA TERCIARIOS_CF_SEC_New_27-Mar-2024.xlsx]D-PRBNP'!</v>
      </c>
      <c r="G1844" s="32" t="s">
        <v>103</v>
      </c>
      <c r="H1844" s="33"/>
      <c r="I1844" s="33"/>
      <c r="J1844" s="37"/>
    </row>
    <row r="1845" spans="1:10" x14ac:dyDescent="0.3">
      <c r="A1845" s="32" t="s">
        <v>18</v>
      </c>
      <c r="B1845" s="32">
        <f t="shared" ref="B1845:B1846" si="447">+B1844+1</f>
        <v>2042</v>
      </c>
      <c r="C1845" s="33" t="s">
        <v>46</v>
      </c>
      <c r="D1845" s="34" t="s">
        <v>2002</v>
      </c>
      <c r="E1845" s="35" t="str">
        <f t="shared" si="443"/>
        <v>PRBNP'!</v>
      </c>
      <c r="F1845" s="34" t="str">
        <f t="shared" si="444"/>
        <v>C:\Users\jaime.benazar\Quorum Business Solutions\Ecopetrol Prometeo - Documents\Planning Space Implementation\3. Analysis &amp; Design\Design\FC22\DRR Jaime\Neiva CPI\[DINA TERCIARIOS_CF_SEC_New_27-Mar-2024.xlsx]D-PRBNP'!</v>
      </c>
      <c r="G1845" s="32" t="s">
        <v>103</v>
      </c>
      <c r="H1845" s="33"/>
      <c r="I1845" s="33"/>
      <c r="J1845" s="37"/>
    </row>
    <row r="1846" spans="1:10" x14ac:dyDescent="0.3">
      <c r="A1846" s="32" t="s">
        <v>18</v>
      </c>
      <c r="B1846" s="32">
        <f t="shared" si="447"/>
        <v>2043</v>
      </c>
      <c r="C1846" s="33" t="s">
        <v>46</v>
      </c>
      <c r="D1846" s="34" t="s">
        <v>2002</v>
      </c>
      <c r="E1846" s="35" t="str">
        <f t="shared" si="443"/>
        <v>PRBNP'!</v>
      </c>
      <c r="F1846" s="34" t="str">
        <f t="shared" si="444"/>
        <v>C:\Users\jaime.benazar\Quorum Business Solutions\Ecopetrol Prometeo - Documents\Planning Space Implementation\3. Analysis &amp; Design\Design\FC22\DRR Jaime\Neiva CPI\[DINA TERCIARIOS_CF_SEC_New_27-Mar-2024.xlsx]D-PRBNP'!</v>
      </c>
      <c r="G1846" s="32" t="s">
        <v>103</v>
      </c>
      <c r="H1846" s="33"/>
      <c r="I1846" s="33"/>
      <c r="J1846" s="37"/>
    </row>
    <row r="1847" spans="1:10" x14ac:dyDescent="0.3">
      <c r="A1847" s="32" t="s">
        <v>18</v>
      </c>
      <c r="B1847" s="32">
        <f>+B1846+1</f>
        <v>2044</v>
      </c>
      <c r="C1847" s="33" t="s">
        <v>46</v>
      </c>
      <c r="D1847" s="34" t="s">
        <v>2002</v>
      </c>
      <c r="E1847" s="35" t="str">
        <f t="shared" ref="E1847:E1862" si="448">_xlfn.CONCAT(A1847,"'!")</f>
        <v>PRBNP'!</v>
      </c>
      <c r="F1847" s="34" t="str">
        <f t="shared" ref="F1847:F1862" si="449">_xlfn.CONCAT(D1847:E1847)</f>
        <v>C:\Users\jaime.benazar\Quorum Business Solutions\Ecopetrol Prometeo - Documents\Planning Space Implementation\3. Analysis &amp; Design\Design\FC22\DRR Jaime\Neiva CPI\[DINA TERCIARIOS_CF_SEC_New_27-Mar-2024.xlsx]D-PRBNP'!</v>
      </c>
      <c r="G1847" s="32" t="s">
        <v>103</v>
      </c>
      <c r="H1847" s="33"/>
      <c r="I1847" s="33"/>
      <c r="J1847" s="37"/>
    </row>
    <row r="1848" spans="1:10" x14ac:dyDescent="0.3">
      <c r="A1848" s="32" t="s">
        <v>18</v>
      </c>
      <c r="B1848" s="32">
        <f t="shared" ref="B1848:B1862" si="450">+B1847+1</f>
        <v>2045</v>
      </c>
      <c r="C1848" s="33" t="s">
        <v>46</v>
      </c>
      <c r="D1848" s="34" t="s">
        <v>2002</v>
      </c>
      <c r="E1848" s="35" t="str">
        <f t="shared" si="448"/>
        <v>PRBNP'!</v>
      </c>
      <c r="F1848" s="34" t="str">
        <f t="shared" si="449"/>
        <v>C:\Users\jaime.benazar\Quorum Business Solutions\Ecopetrol Prometeo - Documents\Planning Space Implementation\3. Analysis &amp; Design\Design\FC22\DRR Jaime\Neiva CPI\[DINA TERCIARIOS_CF_SEC_New_27-Mar-2024.xlsx]D-PRBNP'!</v>
      </c>
      <c r="G1848" s="32" t="s">
        <v>103</v>
      </c>
      <c r="H1848" s="33"/>
      <c r="I1848" s="33"/>
      <c r="J1848" s="37"/>
    </row>
    <row r="1849" spans="1:10" x14ac:dyDescent="0.3">
      <c r="A1849" s="32" t="s">
        <v>18</v>
      </c>
      <c r="B1849" s="32">
        <f t="shared" si="450"/>
        <v>2046</v>
      </c>
      <c r="C1849" s="33" t="s">
        <v>46</v>
      </c>
      <c r="D1849" s="34" t="s">
        <v>2002</v>
      </c>
      <c r="E1849" s="35" t="str">
        <f t="shared" si="448"/>
        <v>PRBNP'!</v>
      </c>
      <c r="F1849" s="34" t="str">
        <f t="shared" si="449"/>
        <v>C:\Users\jaime.benazar\Quorum Business Solutions\Ecopetrol Prometeo - Documents\Planning Space Implementation\3. Analysis &amp; Design\Design\FC22\DRR Jaime\Neiva CPI\[DINA TERCIARIOS_CF_SEC_New_27-Mar-2024.xlsx]D-PRBNP'!</v>
      </c>
      <c r="G1849" s="32" t="s">
        <v>103</v>
      </c>
      <c r="H1849" s="33"/>
      <c r="I1849" s="33"/>
      <c r="J1849" s="37"/>
    </row>
    <row r="1850" spans="1:10" x14ac:dyDescent="0.3">
      <c r="A1850" s="32" t="s">
        <v>18</v>
      </c>
      <c r="B1850" s="32">
        <f t="shared" si="450"/>
        <v>2047</v>
      </c>
      <c r="C1850" s="33" t="s">
        <v>46</v>
      </c>
      <c r="D1850" s="34" t="s">
        <v>2002</v>
      </c>
      <c r="E1850" s="35" t="str">
        <f t="shared" si="448"/>
        <v>PRBNP'!</v>
      </c>
      <c r="F1850" s="34" t="str">
        <f t="shared" si="449"/>
        <v>C:\Users\jaime.benazar\Quorum Business Solutions\Ecopetrol Prometeo - Documents\Planning Space Implementation\3. Analysis &amp; Design\Design\FC22\DRR Jaime\Neiva CPI\[DINA TERCIARIOS_CF_SEC_New_27-Mar-2024.xlsx]D-PRBNP'!</v>
      </c>
      <c r="G1850" s="32" t="s">
        <v>103</v>
      </c>
      <c r="H1850" s="33"/>
      <c r="I1850" s="33"/>
      <c r="J1850" s="37"/>
    </row>
    <row r="1851" spans="1:10" x14ac:dyDescent="0.3">
      <c r="A1851" s="32" t="s">
        <v>18</v>
      </c>
      <c r="B1851" s="32">
        <f t="shared" si="450"/>
        <v>2048</v>
      </c>
      <c r="C1851" s="33" t="s">
        <v>46</v>
      </c>
      <c r="D1851" s="34" t="s">
        <v>2002</v>
      </c>
      <c r="E1851" s="35" t="str">
        <f t="shared" si="448"/>
        <v>PRBNP'!</v>
      </c>
      <c r="F1851" s="34" t="str">
        <f t="shared" si="449"/>
        <v>C:\Users\jaime.benazar\Quorum Business Solutions\Ecopetrol Prometeo - Documents\Planning Space Implementation\3. Analysis &amp; Design\Design\FC22\DRR Jaime\Neiva CPI\[DINA TERCIARIOS_CF_SEC_New_27-Mar-2024.xlsx]D-PRBNP'!</v>
      </c>
      <c r="G1851" s="32" t="s">
        <v>103</v>
      </c>
      <c r="H1851" s="33"/>
      <c r="I1851" s="33"/>
      <c r="J1851" s="37"/>
    </row>
    <row r="1852" spans="1:10" x14ac:dyDescent="0.3">
      <c r="A1852" s="32" t="s">
        <v>18</v>
      </c>
      <c r="B1852" s="32">
        <f t="shared" si="450"/>
        <v>2049</v>
      </c>
      <c r="C1852" s="33" t="s">
        <v>46</v>
      </c>
      <c r="D1852" s="34" t="s">
        <v>2002</v>
      </c>
      <c r="E1852" s="35" t="str">
        <f t="shared" si="448"/>
        <v>PRBNP'!</v>
      </c>
      <c r="F1852" s="34" t="str">
        <f t="shared" si="449"/>
        <v>C:\Users\jaime.benazar\Quorum Business Solutions\Ecopetrol Prometeo - Documents\Planning Space Implementation\3. Analysis &amp; Design\Design\FC22\DRR Jaime\Neiva CPI\[DINA TERCIARIOS_CF_SEC_New_27-Mar-2024.xlsx]D-PRBNP'!</v>
      </c>
      <c r="G1852" s="32" t="s">
        <v>103</v>
      </c>
      <c r="H1852" s="33"/>
      <c r="I1852" s="33"/>
      <c r="J1852" s="37"/>
    </row>
    <row r="1853" spans="1:10" x14ac:dyDescent="0.3">
      <c r="A1853" s="32" t="s">
        <v>18</v>
      </c>
      <c r="B1853" s="32">
        <f t="shared" si="450"/>
        <v>2050</v>
      </c>
      <c r="C1853" s="33" t="s">
        <v>46</v>
      </c>
      <c r="D1853" s="34" t="s">
        <v>2002</v>
      </c>
      <c r="E1853" s="35" t="str">
        <f t="shared" si="448"/>
        <v>PRBNP'!</v>
      </c>
      <c r="F1853" s="34" t="str">
        <f t="shared" si="449"/>
        <v>C:\Users\jaime.benazar\Quorum Business Solutions\Ecopetrol Prometeo - Documents\Planning Space Implementation\3. Analysis &amp; Design\Design\FC22\DRR Jaime\Neiva CPI\[DINA TERCIARIOS_CF_SEC_New_27-Mar-2024.xlsx]D-PRBNP'!</v>
      </c>
      <c r="G1853" s="32" t="s">
        <v>103</v>
      </c>
      <c r="H1853" s="33"/>
      <c r="I1853" s="33"/>
      <c r="J1853" s="37"/>
    </row>
    <row r="1854" spans="1:10" x14ac:dyDescent="0.3">
      <c r="A1854" s="32" t="s">
        <v>18</v>
      </c>
      <c r="B1854" s="32">
        <f t="shared" si="450"/>
        <v>2051</v>
      </c>
      <c r="C1854" s="33" t="s">
        <v>46</v>
      </c>
      <c r="D1854" s="34" t="s">
        <v>2002</v>
      </c>
      <c r="E1854" s="35" t="str">
        <f t="shared" si="448"/>
        <v>PRBNP'!</v>
      </c>
      <c r="F1854" s="34" t="str">
        <f t="shared" si="449"/>
        <v>C:\Users\jaime.benazar\Quorum Business Solutions\Ecopetrol Prometeo - Documents\Planning Space Implementation\3. Analysis &amp; Design\Design\FC22\DRR Jaime\Neiva CPI\[DINA TERCIARIOS_CF_SEC_New_27-Mar-2024.xlsx]D-PRBNP'!</v>
      </c>
      <c r="G1854" s="32" t="s">
        <v>103</v>
      </c>
      <c r="H1854" s="33"/>
      <c r="I1854" s="33"/>
      <c r="J1854" s="37"/>
    </row>
    <row r="1855" spans="1:10" x14ac:dyDescent="0.3">
      <c r="A1855" s="32" t="s">
        <v>18</v>
      </c>
      <c r="B1855" s="32">
        <f t="shared" si="450"/>
        <v>2052</v>
      </c>
      <c r="C1855" s="33" t="s">
        <v>46</v>
      </c>
      <c r="D1855" s="34" t="s">
        <v>2002</v>
      </c>
      <c r="E1855" s="35" t="str">
        <f t="shared" si="448"/>
        <v>PRBNP'!</v>
      </c>
      <c r="F1855" s="34" t="str">
        <f t="shared" si="449"/>
        <v>C:\Users\jaime.benazar\Quorum Business Solutions\Ecopetrol Prometeo - Documents\Planning Space Implementation\3. Analysis &amp; Design\Design\FC22\DRR Jaime\Neiva CPI\[DINA TERCIARIOS_CF_SEC_New_27-Mar-2024.xlsx]D-PRBNP'!</v>
      </c>
      <c r="G1855" s="32" t="s">
        <v>103</v>
      </c>
      <c r="H1855" s="33"/>
      <c r="I1855" s="33"/>
      <c r="J1855" s="37"/>
    </row>
    <row r="1856" spans="1:10" x14ac:dyDescent="0.3">
      <c r="A1856" s="32" t="s">
        <v>18</v>
      </c>
      <c r="B1856" s="32">
        <f t="shared" si="450"/>
        <v>2053</v>
      </c>
      <c r="C1856" s="33" t="s">
        <v>46</v>
      </c>
      <c r="D1856" s="34" t="s">
        <v>2002</v>
      </c>
      <c r="E1856" s="35" t="str">
        <f t="shared" si="448"/>
        <v>PRBNP'!</v>
      </c>
      <c r="F1856" s="34" t="str">
        <f t="shared" si="449"/>
        <v>C:\Users\jaime.benazar\Quorum Business Solutions\Ecopetrol Prometeo - Documents\Planning Space Implementation\3. Analysis &amp; Design\Design\FC22\DRR Jaime\Neiva CPI\[DINA TERCIARIOS_CF_SEC_New_27-Mar-2024.xlsx]D-PRBNP'!</v>
      </c>
      <c r="G1856" s="32" t="s">
        <v>103</v>
      </c>
      <c r="H1856" s="33"/>
      <c r="I1856" s="33"/>
      <c r="J1856" s="37"/>
    </row>
    <row r="1857" spans="1:10" x14ac:dyDescent="0.3">
      <c r="A1857" s="32" t="s">
        <v>18</v>
      </c>
      <c r="B1857" s="32">
        <f t="shared" si="450"/>
        <v>2054</v>
      </c>
      <c r="C1857" s="33" t="s">
        <v>46</v>
      </c>
      <c r="D1857" s="34" t="s">
        <v>2002</v>
      </c>
      <c r="E1857" s="35" t="str">
        <f t="shared" si="448"/>
        <v>PRBNP'!</v>
      </c>
      <c r="F1857" s="34" t="str">
        <f t="shared" si="449"/>
        <v>C:\Users\jaime.benazar\Quorum Business Solutions\Ecopetrol Prometeo - Documents\Planning Space Implementation\3. Analysis &amp; Design\Design\FC22\DRR Jaime\Neiva CPI\[DINA TERCIARIOS_CF_SEC_New_27-Mar-2024.xlsx]D-PRBNP'!</v>
      </c>
      <c r="G1857" s="32" t="s">
        <v>103</v>
      </c>
      <c r="H1857" s="33"/>
      <c r="I1857" s="33"/>
      <c r="J1857" s="37"/>
    </row>
    <row r="1858" spans="1:10" x14ac:dyDescent="0.3">
      <c r="A1858" s="32" t="s">
        <v>18</v>
      </c>
      <c r="B1858" s="32">
        <f t="shared" si="450"/>
        <v>2055</v>
      </c>
      <c r="C1858" s="33" t="s">
        <v>46</v>
      </c>
      <c r="D1858" s="34" t="s">
        <v>2002</v>
      </c>
      <c r="E1858" s="35" t="str">
        <f t="shared" si="448"/>
        <v>PRBNP'!</v>
      </c>
      <c r="F1858" s="34" t="str">
        <f t="shared" si="449"/>
        <v>C:\Users\jaime.benazar\Quorum Business Solutions\Ecopetrol Prometeo - Documents\Planning Space Implementation\3. Analysis &amp; Design\Design\FC22\DRR Jaime\Neiva CPI\[DINA TERCIARIOS_CF_SEC_New_27-Mar-2024.xlsx]D-PRBNP'!</v>
      </c>
      <c r="G1858" s="32" t="s">
        <v>103</v>
      </c>
      <c r="H1858" s="33"/>
      <c r="I1858" s="33"/>
      <c r="J1858" s="37"/>
    </row>
    <row r="1859" spans="1:10" x14ac:dyDescent="0.3">
      <c r="A1859" s="32" t="s">
        <v>18</v>
      </c>
      <c r="B1859" s="32">
        <f t="shared" si="450"/>
        <v>2056</v>
      </c>
      <c r="C1859" s="33" t="s">
        <v>46</v>
      </c>
      <c r="D1859" s="34" t="s">
        <v>2002</v>
      </c>
      <c r="E1859" s="35" t="str">
        <f t="shared" si="448"/>
        <v>PRBNP'!</v>
      </c>
      <c r="F1859" s="34" t="str">
        <f t="shared" si="449"/>
        <v>C:\Users\jaime.benazar\Quorum Business Solutions\Ecopetrol Prometeo - Documents\Planning Space Implementation\3. Analysis &amp; Design\Design\FC22\DRR Jaime\Neiva CPI\[DINA TERCIARIOS_CF_SEC_New_27-Mar-2024.xlsx]D-PRBNP'!</v>
      </c>
      <c r="G1859" s="32" t="s">
        <v>103</v>
      </c>
      <c r="H1859" s="33"/>
      <c r="I1859" s="33"/>
      <c r="J1859" s="37"/>
    </row>
    <row r="1860" spans="1:10" x14ac:dyDescent="0.3">
      <c r="A1860" s="32" t="s">
        <v>18</v>
      </c>
      <c r="B1860" s="32">
        <f t="shared" si="450"/>
        <v>2057</v>
      </c>
      <c r="C1860" s="33" t="s">
        <v>46</v>
      </c>
      <c r="D1860" s="34" t="s">
        <v>2002</v>
      </c>
      <c r="E1860" s="35" t="str">
        <f t="shared" si="448"/>
        <v>PRBNP'!</v>
      </c>
      <c r="F1860" s="34" t="str">
        <f t="shared" si="449"/>
        <v>C:\Users\jaime.benazar\Quorum Business Solutions\Ecopetrol Prometeo - Documents\Planning Space Implementation\3. Analysis &amp; Design\Design\FC22\DRR Jaime\Neiva CPI\[DINA TERCIARIOS_CF_SEC_New_27-Mar-2024.xlsx]D-PRBNP'!</v>
      </c>
      <c r="G1860" s="32" t="s">
        <v>103</v>
      </c>
      <c r="H1860" s="33"/>
      <c r="I1860" s="33"/>
      <c r="J1860" s="37"/>
    </row>
    <row r="1861" spans="1:10" x14ac:dyDescent="0.3">
      <c r="A1861" s="32" t="s">
        <v>18</v>
      </c>
      <c r="B1861" s="32">
        <f t="shared" si="450"/>
        <v>2058</v>
      </c>
      <c r="C1861" s="33" t="s">
        <v>46</v>
      </c>
      <c r="D1861" s="34" t="s">
        <v>2002</v>
      </c>
      <c r="E1861" s="35" t="str">
        <f t="shared" si="448"/>
        <v>PRBNP'!</v>
      </c>
      <c r="F1861" s="34" t="str">
        <f t="shared" si="449"/>
        <v>C:\Users\jaime.benazar\Quorum Business Solutions\Ecopetrol Prometeo - Documents\Planning Space Implementation\3. Analysis &amp; Design\Design\FC22\DRR Jaime\Neiva CPI\[DINA TERCIARIOS_CF_SEC_New_27-Mar-2024.xlsx]D-PRBNP'!</v>
      </c>
      <c r="G1861" s="32" t="s">
        <v>103</v>
      </c>
      <c r="H1861" s="33"/>
      <c r="I1861" s="33"/>
      <c r="J1861" s="37"/>
    </row>
    <row r="1862" spans="1:10" x14ac:dyDescent="0.3">
      <c r="A1862" s="32" t="s">
        <v>18</v>
      </c>
      <c r="B1862" s="32">
        <f t="shared" si="450"/>
        <v>2059</v>
      </c>
      <c r="C1862" s="33" t="s">
        <v>46</v>
      </c>
      <c r="D1862" s="34" t="s">
        <v>2002</v>
      </c>
      <c r="E1862" s="35" t="str">
        <f t="shared" si="448"/>
        <v>PRBNP'!</v>
      </c>
      <c r="F1862" s="34" t="str">
        <f t="shared" si="449"/>
        <v>C:\Users\jaime.benazar\Quorum Business Solutions\Ecopetrol Prometeo - Documents\Planning Space Implementation\3. Analysis &amp; Design\Design\FC22\DRR Jaime\Neiva CPI\[DINA TERCIARIOS_CF_SEC_New_27-Mar-2024.xlsx]D-PRBNP'!</v>
      </c>
      <c r="G1862" s="32" t="s">
        <v>103</v>
      </c>
      <c r="H1862" s="33"/>
      <c r="I1862" s="33"/>
      <c r="J1862" s="37"/>
    </row>
    <row r="1863" spans="1:10" x14ac:dyDescent="0.3">
      <c r="A1863" s="32" t="s">
        <v>26</v>
      </c>
      <c r="B1863" s="32"/>
      <c r="C1863" s="33" t="s">
        <v>46</v>
      </c>
      <c r="D1863" s="34"/>
      <c r="E1863" s="35"/>
      <c r="F1863" s="34"/>
      <c r="G1863" s="32"/>
      <c r="H1863" s="33"/>
      <c r="I1863" s="33"/>
      <c r="J1863" s="33"/>
    </row>
    <row r="1864" spans="1:10" x14ac:dyDescent="0.3">
      <c r="A1864" s="32" t="s">
        <v>19</v>
      </c>
      <c r="B1864" s="32">
        <v>2023</v>
      </c>
      <c r="C1864" s="33" t="s">
        <v>46</v>
      </c>
      <c r="D1864" s="34" t="s">
        <v>2002</v>
      </c>
      <c r="E1864" s="35" t="str">
        <f t="shared" ref="E1864:E1884" si="451">_xlfn.CONCAT(A1864,"'!")</f>
        <v>PRBND'!</v>
      </c>
      <c r="F1864" s="34" t="str">
        <f t="shared" ref="F1864:F1884" si="452">_xlfn.CONCAT(D1864:E1864)</f>
        <v>C:\Users\jaime.benazar\Quorum Business Solutions\Ecopetrol Prometeo - Documents\Planning Space Implementation\3. Analysis &amp; Design\Design\FC22\DRR Jaime\Neiva CPI\[DINA TERCIARIOS_CF_SEC_New_27-Mar-2024.xlsx]D-PRBND'!</v>
      </c>
      <c r="G1864" s="32" t="s">
        <v>103</v>
      </c>
      <c r="H1864" s="33"/>
      <c r="I1864" s="33"/>
      <c r="J1864" s="37"/>
    </row>
    <row r="1865" spans="1:10" x14ac:dyDescent="0.3">
      <c r="A1865" s="32" t="s">
        <v>19</v>
      </c>
      <c r="B1865" s="32">
        <f>+B1864+1</f>
        <v>2024</v>
      </c>
      <c r="C1865" s="33" t="s">
        <v>46</v>
      </c>
      <c r="D1865" s="34" t="s">
        <v>2002</v>
      </c>
      <c r="E1865" s="35" t="str">
        <f t="shared" si="451"/>
        <v>PRBND'!</v>
      </c>
      <c r="F1865" s="34" t="str">
        <f t="shared" si="452"/>
        <v>C:\Users\jaime.benazar\Quorum Business Solutions\Ecopetrol Prometeo - Documents\Planning Space Implementation\3. Analysis &amp; Design\Design\FC22\DRR Jaime\Neiva CPI\[DINA TERCIARIOS_CF_SEC_New_27-Mar-2024.xlsx]D-PRBND'!</v>
      </c>
      <c r="G1865" s="32" t="s">
        <v>103</v>
      </c>
      <c r="H1865" s="33"/>
      <c r="I1865" s="33"/>
      <c r="J1865" s="37"/>
    </row>
    <row r="1866" spans="1:10" x14ac:dyDescent="0.3">
      <c r="A1866" s="32" t="s">
        <v>19</v>
      </c>
      <c r="B1866" s="32">
        <f t="shared" ref="B1866:B1877" si="453">+B1865+1</f>
        <v>2025</v>
      </c>
      <c r="C1866" s="33" t="s">
        <v>46</v>
      </c>
      <c r="D1866" s="34" t="s">
        <v>2002</v>
      </c>
      <c r="E1866" s="35" t="str">
        <f t="shared" si="451"/>
        <v>PRBND'!</v>
      </c>
      <c r="F1866" s="34" t="str">
        <f t="shared" si="452"/>
        <v>C:\Users\jaime.benazar\Quorum Business Solutions\Ecopetrol Prometeo - Documents\Planning Space Implementation\3. Analysis &amp; Design\Design\FC22\DRR Jaime\Neiva CPI\[DINA TERCIARIOS_CF_SEC_New_27-Mar-2024.xlsx]D-PRBND'!</v>
      </c>
      <c r="G1866" s="32" t="s">
        <v>103</v>
      </c>
      <c r="H1866" s="33"/>
      <c r="I1866" s="33"/>
      <c r="J1866" s="37"/>
    </row>
    <row r="1867" spans="1:10" x14ac:dyDescent="0.3">
      <c r="A1867" s="32" t="s">
        <v>19</v>
      </c>
      <c r="B1867" s="32">
        <f t="shared" si="453"/>
        <v>2026</v>
      </c>
      <c r="C1867" s="33" t="s">
        <v>46</v>
      </c>
      <c r="D1867" s="34" t="s">
        <v>2002</v>
      </c>
      <c r="E1867" s="35" t="str">
        <f t="shared" si="451"/>
        <v>PRBND'!</v>
      </c>
      <c r="F1867" s="34" t="str">
        <f t="shared" si="452"/>
        <v>C:\Users\jaime.benazar\Quorum Business Solutions\Ecopetrol Prometeo - Documents\Planning Space Implementation\3. Analysis &amp; Design\Design\FC22\DRR Jaime\Neiva CPI\[DINA TERCIARIOS_CF_SEC_New_27-Mar-2024.xlsx]D-PRBND'!</v>
      </c>
      <c r="G1867" s="32" t="s">
        <v>103</v>
      </c>
      <c r="H1867" s="33"/>
      <c r="I1867" s="33"/>
      <c r="J1867" s="37"/>
    </row>
    <row r="1868" spans="1:10" x14ac:dyDescent="0.3">
      <c r="A1868" s="32" t="s">
        <v>19</v>
      </c>
      <c r="B1868" s="32">
        <f t="shared" si="453"/>
        <v>2027</v>
      </c>
      <c r="C1868" s="33" t="s">
        <v>46</v>
      </c>
      <c r="D1868" s="34" t="s">
        <v>2002</v>
      </c>
      <c r="E1868" s="35" t="str">
        <f t="shared" si="451"/>
        <v>PRBND'!</v>
      </c>
      <c r="F1868" s="34" t="str">
        <f t="shared" si="452"/>
        <v>C:\Users\jaime.benazar\Quorum Business Solutions\Ecopetrol Prometeo - Documents\Planning Space Implementation\3. Analysis &amp; Design\Design\FC22\DRR Jaime\Neiva CPI\[DINA TERCIARIOS_CF_SEC_New_27-Mar-2024.xlsx]D-PRBND'!</v>
      </c>
      <c r="G1868" s="32" t="s">
        <v>103</v>
      </c>
      <c r="H1868" s="33"/>
      <c r="I1868" s="33"/>
      <c r="J1868" s="37"/>
    </row>
    <row r="1869" spans="1:10" x14ac:dyDescent="0.3">
      <c r="A1869" s="32" t="s">
        <v>19</v>
      </c>
      <c r="B1869" s="32">
        <f t="shared" si="453"/>
        <v>2028</v>
      </c>
      <c r="C1869" s="33" t="s">
        <v>46</v>
      </c>
      <c r="D1869" s="34" t="s">
        <v>2002</v>
      </c>
      <c r="E1869" s="35" t="str">
        <f t="shared" si="451"/>
        <v>PRBND'!</v>
      </c>
      <c r="F1869" s="34" t="str">
        <f t="shared" si="452"/>
        <v>C:\Users\jaime.benazar\Quorum Business Solutions\Ecopetrol Prometeo - Documents\Planning Space Implementation\3. Analysis &amp; Design\Design\FC22\DRR Jaime\Neiva CPI\[DINA TERCIARIOS_CF_SEC_New_27-Mar-2024.xlsx]D-PRBND'!</v>
      </c>
      <c r="G1869" s="32" t="s">
        <v>103</v>
      </c>
      <c r="H1869" s="33"/>
      <c r="I1869" s="33"/>
      <c r="J1869" s="37"/>
    </row>
    <row r="1870" spans="1:10" x14ac:dyDescent="0.3">
      <c r="A1870" s="32" t="s">
        <v>19</v>
      </c>
      <c r="B1870" s="32">
        <f t="shared" si="453"/>
        <v>2029</v>
      </c>
      <c r="C1870" s="33" t="s">
        <v>46</v>
      </c>
      <c r="D1870" s="34" t="s">
        <v>2002</v>
      </c>
      <c r="E1870" s="35" t="str">
        <f t="shared" si="451"/>
        <v>PRBND'!</v>
      </c>
      <c r="F1870" s="34" t="str">
        <f t="shared" si="452"/>
        <v>C:\Users\jaime.benazar\Quorum Business Solutions\Ecopetrol Prometeo - Documents\Planning Space Implementation\3. Analysis &amp; Design\Design\FC22\DRR Jaime\Neiva CPI\[DINA TERCIARIOS_CF_SEC_New_27-Mar-2024.xlsx]D-PRBND'!</v>
      </c>
      <c r="G1870" s="32" t="s">
        <v>103</v>
      </c>
      <c r="H1870" s="33"/>
      <c r="I1870" s="33"/>
      <c r="J1870" s="37"/>
    </row>
    <row r="1871" spans="1:10" x14ac:dyDescent="0.3">
      <c r="A1871" s="32" t="s">
        <v>19</v>
      </c>
      <c r="B1871" s="32">
        <f t="shared" si="453"/>
        <v>2030</v>
      </c>
      <c r="C1871" s="33" t="s">
        <v>46</v>
      </c>
      <c r="D1871" s="34" t="s">
        <v>2002</v>
      </c>
      <c r="E1871" s="35" t="str">
        <f t="shared" si="451"/>
        <v>PRBND'!</v>
      </c>
      <c r="F1871" s="34" t="str">
        <f t="shared" si="452"/>
        <v>C:\Users\jaime.benazar\Quorum Business Solutions\Ecopetrol Prometeo - Documents\Planning Space Implementation\3. Analysis &amp; Design\Design\FC22\DRR Jaime\Neiva CPI\[DINA TERCIARIOS_CF_SEC_New_27-Mar-2024.xlsx]D-PRBND'!</v>
      </c>
      <c r="G1871" s="32" t="s">
        <v>103</v>
      </c>
      <c r="H1871" s="33"/>
      <c r="I1871" s="33"/>
      <c r="J1871" s="37"/>
    </row>
    <row r="1872" spans="1:10" x14ac:dyDescent="0.3">
      <c r="A1872" s="32" t="s">
        <v>19</v>
      </c>
      <c r="B1872" s="32">
        <f t="shared" si="453"/>
        <v>2031</v>
      </c>
      <c r="C1872" s="33" t="s">
        <v>46</v>
      </c>
      <c r="D1872" s="34" t="s">
        <v>2002</v>
      </c>
      <c r="E1872" s="35" t="str">
        <f t="shared" si="451"/>
        <v>PRBND'!</v>
      </c>
      <c r="F1872" s="34" t="str">
        <f t="shared" si="452"/>
        <v>C:\Users\jaime.benazar\Quorum Business Solutions\Ecopetrol Prometeo - Documents\Planning Space Implementation\3. Analysis &amp; Design\Design\FC22\DRR Jaime\Neiva CPI\[DINA TERCIARIOS_CF_SEC_New_27-Mar-2024.xlsx]D-PRBND'!</v>
      </c>
      <c r="G1872" s="32" t="s">
        <v>103</v>
      </c>
      <c r="H1872" s="33"/>
      <c r="I1872" s="33"/>
      <c r="J1872" s="37"/>
    </row>
    <row r="1873" spans="1:10" x14ac:dyDescent="0.3">
      <c r="A1873" s="32" t="s">
        <v>19</v>
      </c>
      <c r="B1873" s="32">
        <f t="shared" si="453"/>
        <v>2032</v>
      </c>
      <c r="C1873" s="33" t="s">
        <v>46</v>
      </c>
      <c r="D1873" s="34" t="s">
        <v>2002</v>
      </c>
      <c r="E1873" s="35" t="str">
        <f t="shared" si="451"/>
        <v>PRBND'!</v>
      </c>
      <c r="F1873" s="34" t="str">
        <f t="shared" si="452"/>
        <v>C:\Users\jaime.benazar\Quorum Business Solutions\Ecopetrol Prometeo - Documents\Planning Space Implementation\3. Analysis &amp; Design\Design\FC22\DRR Jaime\Neiva CPI\[DINA TERCIARIOS_CF_SEC_New_27-Mar-2024.xlsx]D-PRBND'!</v>
      </c>
      <c r="G1873" s="32" t="s">
        <v>103</v>
      </c>
      <c r="H1873" s="33"/>
      <c r="I1873" s="33"/>
      <c r="J1873" s="37"/>
    </row>
    <row r="1874" spans="1:10" x14ac:dyDescent="0.3">
      <c r="A1874" s="32" t="s">
        <v>19</v>
      </c>
      <c r="B1874" s="32">
        <f t="shared" si="453"/>
        <v>2033</v>
      </c>
      <c r="C1874" s="33" t="s">
        <v>46</v>
      </c>
      <c r="D1874" s="34" t="s">
        <v>2002</v>
      </c>
      <c r="E1874" s="35" t="str">
        <f t="shared" si="451"/>
        <v>PRBND'!</v>
      </c>
      <c r="F1874" s="34" t="str">
        <f t="shared" si="452"/>
        <v>C:\Users\jaime.benazar\Quorum Business Solutions\Ecopetrol Prometeo - Documents\Planning Space Implementation\3. Analysis &amp; Design\Design\FC22\DRR Jaime\Neiva CPI\[DINA TERCIARIOS_CF_SEC_New_27-Mar-2024.xlsx]D-PRBND'!</v>
      </c>
      <c r="G1874" s="32" t="s">
        <v>103</v>
      </c>
      <c r="H1874" s="33"/>
      <c r="I1874" s="33"/>
      <c r="J1874" s="37"/>
    </row>
    <row r="1875" spans="1:10" x14ac:dyDescent="0.3">
      <c r="A1875" s="32" t="s">
        <v>19</v>
      </c>
      <c r="B1875" s="32">
        <f t="shared" si="453"/>
        <v>2034</v>
      </c>
      <c r="C1875" s="33" t="s">
        <v>46</v>
      </c>
      <c r="D1875" s="34" t="s">
        <v>2002</v>
      </c>
      <c r="E1875" s="35" t="str">
        <f t="shared" si="451"/>
        <v>PRBND'!</v>
      </c>
      <c r="F1875" s="34" t="str">
        <f t="shared" si="452"/>
        <v>C:\Users\jaime.benazar\Quorum Business Solutions\Ecopetrol Prometeo - Documents\Planning Space Implementation\3. Analysis &amp; Design\Design\FC22\DRR Jaime\Neiva CPI\[DINA TERCIARIOS_CF_SEC_New_27-Mar-2024.xlsx]D-PRBND'!</v>
      </c>
      <c r="G1875" s="32" t="s">
        <v>103</v>
      </c>
      <c r="H1875" s="33"/>
      <c r="I1875" s="33"/>
      <c r="J1875" s="37"/>
    </row>
    <row r="1876" spans="1:10" x14ac:dyDescent="0.3">
      <c r="A1876" s="32" t="s">
        <v>19</v>
      </c>
      <c r="B1876" s="32">
        <f t="shared" si="453"/>
        <v>2035</v>
      </c>
      <c r="C1876" s="33" t="s">
        <v>46</v>
      </c>
      <c r="D1876" s="34" t="s">
        <v>2002</v>
      </c>
      <c r="E1876" s="35" t="str">
        <f t="shared" si="451"/>
        <v>PRBND'!</v>
      </c>
      <c r="F1876" s="34" t="str">
        <f t="shared" si="452"/>
        <v>C:\Users\jaime.benazar\Quorum Business Solutions\Ecopetrol Prometeo - Documents\Planning Space Implementation\3. Analysis &amp; Design\Design\FC22\DRR Jaime\Neiva CPI\[DINA TERCIARIOS_CF_SEC_New_27-Mar-2024.xlsx]D-PRBND'!</v>
      </c>
      <c r="G1876" s="32" t="s">
        <v>103</v>
      </c>
      <c r="H1876" s="33"/>
      <c r="I1876" s="33"/>
      <c r="J1876" s="37"/>
    </row>
    <row r="1877" spans="1:10" x14ac:dyDescent="0.3">
      <c r="A1877" s="32" t="s">
        <v>19</v>
      </c>
      <c r="B1877" s="32">
        <f t="shared" si="453"/>
        <v>2036</v>
      </c>
      <c r="C1877" s="33" t="s">
        <v>46</v>
      </c>
      <c r="D1877" s="34" t="s">
        <v>2002</v>
      </c>
      <c r="E1877" s="35" t="str">
        <f t="shared" si="451"/>
        <v>PRBND'!</v>
      </c>
      <c r="F1877" s="34" t="str">
        <f t="shared" si="452"/>
        <v>C:\Users\jaime.benazar\Quorum Business Solutions\Ecopetrol Prometeo - Documents\Planning Space Implementation\3. Analysis &amp; Design\Design\FC22\DRR Jaime\Neiva CPI\[DINA TERCIARIOS_CF_SEC_New_27-Mar-2024.xlsx]D-PRBND'!</v>
      </c>
      <c r="G1877" s="32" t="s">
        <v>103</v>
      </c>
      <c r="H1877" s="33"/>
      <c r="I1877" s="33"/>
      <c r="J1877" s="37"/>
    </row>
    <row r="1878" spans="1:10" x14ac:dyDescent="0.3">
      <c r="A1878" s="32" t="s">
        <v>19</v>
      </c>
      <c r="B1878" s="32">
        <f>+B1877+1</f>
        <v>2037</v>
      </c>
      <c r="C1878" s="33" t="s">
        <v>46</v>
      </c>
      <c r="D1878" s="34" t="s">
        <v>2002</v>
      </c>
      <c r="E1878" s="35" t="str">
        <f t="shared" si="451"/>
        <v>PRBND'!</v>
      </c>
      <c r="F1878" s="34" t="str">
        <f t="shared" si="452"/>
        <v>C:\Users\jaime.benazar\Quorum Business Solutions\Ecopetrol Prometeo - Documents\Planning Space Implementation\3. Analysis &amp; Design\Design\FC22\DRR Jaime\Neiva CPI\[DINA TERCIARIOS_CF_SEC_New_27-Mar-2024.xlsx]D-PRBND'!</v>
      </c>
      <c r="G1878" s="32" t="s">
        <v>103</v>
      </c>
      <c r="H1878" s="33"/>
      <c r="I1878" s="33"/>
      <c r="J1878" s="37"/>
    </row>
    <row r="1879" spans="1:10" x14ac:dyDescent="0.3">
      <c r="A1879" s="32" t="s">
        <v>19</v>
      </c>
      <c r="B1879" s="32">
        <f t="shared" ref="B1879:B1881" si="454">+B1878+1</f>
        <v>2038</v>
      </c>
      <c r="C1879" s="33" t="s">
        <v>46</v>
      </c>
      <c r="D1879" s="34" t="s">
        <v>2002</v>
      </c>
      <c r="E1879" s="35" t="str">
        <f t="shared" si="451"/>
        <v>PRBND'!</v>
      </c>
      <c r="F1879" s="34" t="str">
        <f t="shared" si="452"/>
        <v>C:\Users\jaime.benazar\Quorum Business Solutions\Ecopetrol Prometeo - Documents\Planning Space Implementation\3. Analysis &amp; Design\Design\FC22\DRR Jaime\Neiva CPI\[DINA TERCIARIOS_CF_SEC_New_27-Mar-2024.xlsx]D-PRBND'!</v>
      </c>
      <c r="G1879" s="32" t="s">
        <v>103</v>
      </c>
      <c r="H1879" s="33"/>
      <c r="I1879" s="33"/>
      <c r="J1879" s="37"/>
    </row>
    <row r="1880" spans="1:10" x14ac:dyDescent="0.3">
      <c r="A1880" s="32" t="s">
        <v>19</v>
      </c>
      <c r="B1880" s="32">
        <f t="shared" si="454"/>
        <v>2039</v>
      </c>
      <c r="C1880" s="33" t="s">
        <v>46</v>
      </c>
      <c r="D1880" s="34" t="s">
        <v>2002</v>
      </c>
      <c r="E1880" s="35" t="str">
        <f t="shared" si="451"/>
        <v>PRBND'!</v>
      </c>
      <c r="F1880" s="34" t="str">
        <f t="shared" si="452"/>
        <v>C:\Users\jaime.benazar\Quorum Business Solutions\Ecopetrol Prometeo - Documents\Planning Space Implementation\3. Analysis &amp; Design\Design\FC22\DRR Jaime\Neiva CPI\[DINA TERCIARIOS_CF_SEC_New_27-Mar-2024.xlsx]D-PRBND'!</v>
      </c>
      <c r="G1880" s="32" t="s">
        <v>103</v>
      </c>
      <c r="H1880" s="33"/>
      <c r="I1880" s="33"/>
      <c r="J1880" s="37"/>
    </row>
    <row r="1881" spans="1:10" x14ac:dyDescent="0.3">
      <c r="A1881" s="32" t="s">
        <v>19</v>
      </c>
      <c r="B1881" s="32">
        <f t="shared" si="454"/>
        <v>2040</v>
      </c>
      <c r="C1881" s="33" t="s">
        <v>46</v>
      </c>
      <c r="D1881" s="34" t="s">
        <v>2002</v>
      </c>
      <c r="E1881" s="35" t="str">
        <f t="shared" si="451"/>
        <v>PRBND'!</v>
      </c>
      <c r="F1881" s="34" t="str">
        <f t="shared" si="452"/>
        <v>C:\Users\jaime.benazar\Quorum Business Solutions\Ecopetrol Prometeo - Documents\Planning Space Implementation\3. Analysis &amp; Design\Design\FC22\DRR Jaime\Neiva CPI\[DINA TERCIARIOS_CF_SEC_New_27-Mar-2024.xlsx]D-PRBND'!</v>
      </c>
      <c r="G1881" s="32" t="s">
        <v>103</v>
      </c>
      <c r="H1881" s="33"/>
      <c r="I1881" s="33"/>
      <c r="J1881" s="37"/>
    </row>
    <row r="1882" spans="1:10" x14ac:dyDescent="0.3">
      <c r="A1882" s="32" t="s">
        <v>19</v>
      </c>
      <c r="B1882" s="32">
        <f>+B1881+1</f>
        <v>2041</v>
      </c>
      <c r="C1882" s="33" t="s">
        <v>46</v>
      </c>
      <c r="D1882" s="34" t="s">
        <v>2002</v>
      </c>
      <c r="E1882" s="35" t="str">
        <f t="shared" si="451"/>
        <v>PRBND'!</v>
      </c>
      <c r="F1882" s="34" t="str">
        <f t="shared" si="452"/>
        <v>C:\Users\jaime.benazar\Quorum Business Solutions\Ecopetrol Prometeo - Documents\Planning Space Implementation\3. Analysis &amp; Design\Design\FC22\DRR Jaime\Neiva CPI\[DINA TERCIARIOS_CF_SEC_New_27-Mar-2024.xlsx]D-PRBND'!</v>
      </c>
      <c r="G1882" s="32" t="s">
        <v>103</v>
      </c>
      <c r="H1882" s="33"/>
      <c r="I1882" s="33"/>
      <c r="J1882" s="37"/>
    </row>
    <row r="1883" spans="1:10" x14ac:dyDescent="0.3">
      <c r="A1883" s="32" t="s">
        <v>19</v>
      </c>
      <c r="B1883" s="32">
        <f t="shared" ref="B1883:B1884" si="455">+B1882+1</f>
        <v>2042</v>
      </c>
      <c r="C1883" s="33" t="s">
        <v>46</v>
      </c>
      <c r="D1883" s="34" t="s">
        <v>2002</v>
      </c>
      <c r="E1883" s="35" t="str">
        <f t="shared" si="451"/>
        <v>PRBND'!</v>
      </c>
      <c r="F1883" s="34" t="str">
        <f t="shared" si="452"/>
        <v>C:\Users\jaime.benazar\Quorum Business Solutions\Ecopetrol Prometeo - Documents\Planning Space Implementation\3. Analysis &amp; Design\Design\FC22\DRR Jaime\Neiva CPI\[DINA TERCIARIOS_CF_SEC_New_27-Mar-2024.xlsx]D-PRBND'!</v>
      </c>
      <c r="G1883" s="32" t="s">
        <v>103</v>
      </c>
      <c r="H1883" s="33"/>
      <c r="I1883" s="33"/>
      <c r="J1883" s="37"/>
    </row>
    <row r="1884" spans="1:10" x14ac:dyDescent="0.3">
      <c r="A1884" s="32" t="s">
        <v>19</v>
      </c>
      <c r="B1884" s="32">
        <f t="shared" si="455"/>
        <v>2043</v>
      </c>
      <c r="C1884" s="33" t="s">
        <v>46</v>
      </c>
      <c r="D1884" s="34" t="s">
        <v>2002</v>
      </c>
      <c r="E1884" s="35" t="str">
        <f t="shared" si="451"/>
        <v>PRBND'!</v>
      </c>
      <c r="F1884" s="34" t="str">
        <f t="shared" si="452"/>
        <v>C:\Users\jaime.benazar\Quorum Business Solutions\Ecopetrol Prometeo - Documents\Planning Space Implementation\3. Analysis &amp; Design\Design\FC22\DRR Jaime\Neiva CPI\[DINA TERCIARIOS_CF_SEC_New_27-Mar-2024.xlsx]D-PRBND'!</v>
      </c>
      <c r="G1884" s="32" t="s">
        <v>103</v>
      </c>
      <c r="H1884" s="33"/>
      <c r="I1884" s="33"/>
      <c r="J1884" s="37"/>
    </row>
    <row r="1885" spans="1:10" x14ac:dyDescent="0.3">
      <c r="A1885" s="32" t="s">
        <v>19</v>
      </c>
      <c r="B1885" s="32">
        <f>+B1884+1</f>
        <v>2044</v>
      </c>
      <c r="C1885" s="33" t="s">
        <v>46</v>
      </c>
      <c r="D1885" s="34" t="s">
        <v>2002</v>
      </c>
      <c r="E1885" s="35" t="str">
        <f t="shared" ref="E1885:E1900" si="456">_xlfn.CONCAT(A1885,"'!")</f>
        <v>PRBND'!</v>
      </c>
      <c r="F1885" s="34" t="str">
        <f t="shared" ref="F1885:F1900" si="457">_xlfn.CONCAT(D1885:E1885)</f>
        <v>C:\Users\jaime.benazar\Quorum Business Solutions\Ecopetrol Prometeo - Documents\Planning Space Implementation\3. Analysis &amp; Design\Design\FC22\DRR Jaime\Neiva CPI\[DINA TERCIARIOS_CF_SEC_New_27-Mar-2024.xlsx]D-PRBND'!</v>
      </c>
      <c r="G1885" s="32" t="s">
        <v>103</v>
      </c>
      <c r="H1885" s="33"/>
      <c r="I1885" s="33"/>
      <c r="J1885" s="37"/>
    </row>
    <row r="1886" spans="1:10" x14ac:dyDescent="0.3">
      <c r="A1886" s="32" t="s">
        <v>19</v>
      </c>
      <c r="B1886" s="32">
        <f t="shared" ref="B1886:B1900" si="458">+B1885+1</f>
        <v>2045</v>
      </c>
      <c r="C1886" s="33" t="s">
        <v>46</v>
      </c>
      <c r="D1886" s="34" t="s">
        <v>2002</v>
      </c>
      <c r="E1886" s="35" t="str">
        <f t="shared" si="456"/>
        <v>PRBND'!</v>
      </c>
      <c r="F1886" s="34" t="str">
        <f t="shared" si="457"/>
        <v>C:\Users\jaime.benazar\Quorum Business Solutions\Ecopetrol Prometeo - Documents\Planning Space Implementation\3. Analysis &amp; Design\Design\FC22\DRR Jaime\Neiva CPI\[DINA TERCIARIOS_CF_SEC_New_27-Mar-2024.xlsx]D-PRBND'!</v>
      </c>
      <c r="G1886" s="32" t="s">
        <v>103</v>
      </c>
      <c r="H1886" s="33"/>
      <c r="I1886" s="33"/>
      <c r="J1886" s="37"/>
    </row>
    <row r="1887" spans="1:10" x14ac:dyDescent="0.3">
      <c r="A1887" s="32" t="s">
        <v>19</v>
      </c>
      <c r="B1887" s="32">
        <f t="shared" si="458"/>
        <v>2046</v>
      </c>
      <c r="C1887" s="33" t="s">
        <v>46</v>
      </c>
      <c r="D1887" s="34" t="s">
        <v>2002</v>
      </c>
      <c r="E1887" s="35" t="str">
        <f t="shared" si="456"/>
        <v>PRBND'!</v>
      </c>
      <c r="F1887" s="34" t="str">
        <f t="shared" si="457"/>
        <v>C:\Users\jaime.benazar\Quorum Business Solutions\Ecopetrol Prometeo - Documents\Planning Space Implementation\3. Analysis &amp; Design\Design\FC22\DRR Jaime\Neiva CPI\[DINA TERCIARIOS_CF_SEC_New_27-Mar-2024.xlsx]D-PRBND'!</v>
      </c>
      <c r="G1887" s="32" t="s">
        <v>103</v>
      </c>
      <c r="H1887" s="33"/>
      <c r="I1887" s="33"/>
      <c r="J1887" s="37"/>
    </row>
    <row r="1888" spans="1:10" x14ac:dyDescent="0.3">
      <c r="A1888" s="32" t="s">
        <v>19</v>
      </c>
      <c r="B1888" s="32">
        <f t="shared" si="458"/>
        <v>2047</v>
      </c>
      <c r="C1888" s="33" t="s">
        <v>46</v>
      </c>
      <c r="D1888" s="34" t="s">
        <v>2002</v>
      </c>
      <c r="E1888" s="35" t="str">
        <f t="shared" si="456"/>
        <v>PRBND'!</v>
      </c>
      <c r="F1888" s="34" t="str">
        <f t="shared" si="457"/>
        <v>C:\Users\jaime.benazar\Quorum Business Solutions\Ecopetrol Prometeo - Documents\Planning Space Implementation\3. Analysis &amp; Design\Design\FC22\DRR Jaime\Neiva CPI\[DINA TERCIARIOS_CF_SEC_New_27-Mar-2024.xlsx]D-PRBND'!</v>
      </c>
      <c r="G1888" s="32" t="s">
        <v>103</v>
      </c>
      <c r="H1888" s="33"/>
      <c r="I1888" s="33"/>
      <c r="J1888" s="37"/>
    </row>
    <row r="1889" spans="1:10" x14ac:dyDescent="0.3">
      <c r="A1889" s="32" t="s">
        <v>19</v>
      </c>
      <c r="B1889" s="32">
        <f t="shared" si="458"/>
        <v>2048</v>
      </c>
      <c r="C1889" s="33" t="s">
        <v>46</v>
      </c>
      <c r="D1889" s="34" t="s">
        <v>2002</v>
      </c>
      <c r="E1889" s="35" t="str">
        <f t="shared" si="456"/>
        <v>PRBND'!</v>
      </c>
      <c r="F1889" s="34" t="str">
        <f t="shared" si="457"/>
        <v>C:\Users\jaime.benazar\Quorum Business Solutions\Ecopetrol Prometeo - Documents\Planning Space Implementation\3. Analysis &amp; Design\Design\FC22\DRR Jaime\Neiva CPI\[DINA TERCIARIOS_CF_SEC_New_27-Mar-2024.xlsx]D-PRBND'!</v>
      </c>
      <c r="G1889" s="32" t="s">
        <v>103</v>
      </c>
      <c r="H1889" s="33"/>
      <c r="I1889" s="33"/>
      <c r="J1889" s="37"/>
    </row>
    <row r="1890" spans="1:10" x14ac:dyDescent="0.3">
      <c r="A1890" s="32" t="s">
        <v>19</v>
      </c>
      <c r="B1890" s="32">
        <f t="shared" si="458"/>
        <v>2049</v>
      </c>
      <c r="C1890" s="33" t="s">
        <v>46</v>
      </c>
      <c r="D1890" s="34" t="s">
        <v>2002</v>
      </c>
      <c r="E1890" s="35" t="str">
        <f t="shared" si="456"/>
        <v>PRBND'!</v>
      </c>
      <c r="F1890" s="34" t="str">
        <f t="shared" si="457"/>
        <v>C:\Users\jaime.benazar\Quorum Business Solutions\Ecopetrol Prometeo - Documents\Planning Space Implementation\3. Analysis &amp; Design\Design\FC22\DRR Jaime\Neiva CPI\[DINA TERCIARIOS_CF_SEC_New_27-Mar-2024.xlsx]D-PRBND'!</v>
      </c>
      <c r="G1890" s="32" t="s">
        <v>103</v>
      </c>
      <c r="H1890" s="33"/>
      <c r="I1890" s="33"/>
      <c r="J1890" s="37"/>
    </row>
    <row r="1891" spans="1:10" x14ac:dyDescent="0.3">
      <c r="A1891" s="32" t="s">
        <v>19</v>
      </c>
      <c r="B1891" s="32">
        <f t="shared" si="458"/>
        <v>2050</v>
      </c>
      <c r="C1891" s="33" t="s">
        <v>46</v>
      </c>
      <c r="D1891" s="34" t="s">
        <v>2002</v>
      </c>
      <c r="E1891" s="35" t="str">
        <f t="shared" si="456"/>
        <v>PRBND'!</v>
      </c>
      <c r="F1891" s="34" t="str">
        <f t="shared" si="457"/>
        <v>C:\Users\jaime.benazar\Quorum Business Solutions\Ecopetrol Prometeo - Documents\Planning Space Implementation\3. Analysis &amp; Design\Design\FC22\DRR Jaime\Neiva CPI\[DINA TERCIARIOS_CF_SEC_New_27-Mar-2024.xlsx]D-PRBND'!</v>
      </c>
      <c r="G1891" s="32" t="s">
        <v>103</v>
      </c>
      <c r="H1891" s="33"/>
      <c r="I1891" s="33"/>
      <c r="J1891" s="37"/>
    </row>
    <row r="1892" spans="1:10" x14ac:dyDescent="0.3">
      <c r="A1892" s="32" t="s">
        <v>19</v>
      </c>
      <c r="B1892" s="32">
        <f t="shared" si="458"/>
        <v>2051</v>
      </c>
      <c r="C1892" s="33" t="s">
        <v>46</v>
      </c>
      <c r="D1892" s="34" t="s">
        <v>2002</v>
      </c>
      <c r="E1892" s="35" t="str">
        <f t="shared" si="456"/>
        <v>PRBND'!</v>
      </c>
      <c r="F1892" s="34" t="str">
        <f t="shared" si="457"/>
        <v>C:\Users\jaime.benazar\Quorum Business Solutions\Ecopetrol Prometeo - Documents\Planning Space Implementation\3. Analysis &amp; Design\Design\FC22\DRR Jaime\Neiva CPI\[DINA TERCIARIOS_CF_SEC_New_27-Mar-2024.xlsx]D-PRBND'!</v>
      </c>
      <c r="G1892" s="32" t="s">
        <v>103</v>
      </c>
      <c r="H1892" s="33"/>
      <c r="I1892" s="33"/>
      <c r="J1892" s="37"/>
    </row>
    <row r="1893" spans="1:10" x14ac:dyDescent="0.3">
      <c r="A1893" s="32" t="s">
        <v>19</v>
      </c>
      <c r="B1893" s="32">
        <f t="shared" si="458"/>
        <v>2052</v>
      </c>
      <c r="C1893" s="33" t="s">
        <v>46</v>
      </c>
      <c r="D1893" s="34" t="s">
        <v>2002</v>
      </c>
      <c r="E1893" s="35" t="str">
        <f t="shared" si="456"/>
        <v>PRBND'!</v>
      </c>
      <c r="F1893" s="34" t="str">
        <f t="shared" si="457"/>
        <v>C:\Users\jaime.benazar\Quorum Business Solutions\Ecopetrol Prometeo - Documents\Planning Space Implementation\3. Analysis &amp; Design\Design\FC22\DRR Jaime\Neiva CPI\[DINA TERCIARIOS_CF_SEC_New_27-Mar-2024.xlsx]D-PRBND'!</v>
      </c>
      <c r="G1893" s="32" t="s">
        <v>103</v>
      </c>
      <c r="H1893" s="33"/>
      <c r="I1893" s="33"/>
      <c r="J1893" s="37"/>
    </row>
    <row r="1894" spans="1:10" x14ac:dyDescent="0.3">
      <c r="A1894" s="32" t="s">
        <v>19</v>
      </c>
      <c r="B1894" s="32">
        <f t="shared" si="458"/>
        <v>2053</v>
      </c>
      <c r="C1894" s="33" t="s">
        <v>46</v>
      </c>
      <c r="D1894" s="34" t="s">
        <v>2002</v>
      </c>
      <c r="E1894" s="35" t="str">
        <f t="shared" si="456"/>
        <v>PRBND'!</v>
      </c>
      <c r="F1894" s="34" t="str">
        <f t="shared" si="457"/>
        <v>C:\Users\jaime.benazar\Quorum Business Solutions\Ecopetrol Prometeo - Documents\Planning Space Implementation\3. Analysis &amp; Design\Design\FC22\DRR Jaime\Neiva CPI\[DINA TERCIARIOS_CF_SEC_New_27-Mar-2024.xlsx]D-PRBND'!</v>
      </c>
      <c r="G1894" s="32" t="s">
        <v>103</v>
      </c>
      <c r="H1894" s="33"/>
      <c r="I1894" s="33"/>
      <c r="J1894" s="37"/>
    </row>
    <row r="1895" spans="1:10" x14ac:dyDescent="0.3">
      <c r="A1895" s="32" t="s">
        <v>19</v>
      </c>
      <c r="B1895" s="32">
        <f t="shared" si="458"/>
        <v>2054</v>
      </c>
      <c r="C1895" s="33" t="s">
        <v>46</v>
      </c>
      <c r="D1895" s="34" t="s">
        <v>2002</v>
      </c>
      <c r="E1895" s="35" t="str">
        <f t="shared" si="456"/>
        <v>PRBND'!</v>
      </c>
      <c r="F1895" s="34" t="str">
        <f t="shared" si="457"/>
        <v>C:\Users\jaime.benazar\Quorum Business Solutions\Ecopetrol Prometeo - Documents\Planning Space Implementation\3. Analysis &amp; Design\Design\FC22\DRR Jaime\Neiva CPI\[DINA TERCIARIOS_CF_SEC_New_27-Mar-2024.xlsx]D-PRBND'!</v>
      </c>
      <c r="G1895" s="32" t="s">
        <v>103</v>
      </c>
      <c r="H1895" s="33"/>
      <c r="I1895" s="33"/>
      <c r="J1895" s="37"/>
    </row>
    <row r="1896" spans="1:10" x14ac:dyDescent="0.3">
      <c r="A1896" s="32" t="s">
        <v>19</v>
      </c>
      <c r="B1896" s="32">
        <f t="shared" si="458"/>
        <v>2055</v>
      </c>
      <c r="C1896" s="33" t="s">
        <v>46</v>
      </c>
      <c r="D1896" s="34" t="s">
        <v>2002</v>
      </c>
      <c r="E1896" s="35" t="str">
        <f t="shared" si="456"/>
        <v>PRBND'!</v>
      </c>
      <c r="F1896" s="34" t="str">
        <f t="shared" si="457"/>
        <v>C:\Users\jaime.benazar\Quorum Business Solutions\Ecopetrol Prometeo - Documents\Planning Space Implementation\3. Analysis &amp; Design\Design\FC22\DRR Jaime\Neiva CPI\[DINA TERCIARIOS_CF_SEC_New_27-Mar-2024.xlsx]D-PRBND'!</v>
      </c>
      <c r="G1896" s="32" t="s">
        <v>103</v>
      </c>
      <c r="H1896" s="33"/>
      <c r="I1896" s="33"/>
      <c r="J1896" s="37"/>
    </row>
    <row r="1897" spans="1:10" x14ac:dyDescent="0.3">
      <c r="A1897" s="32" t="s">
        <v>19</v>
      </c>
      <c r="B1897" s="32">
        <f t="shared" si="458"/>
        <v>2056</v>
      </c>
      <c r="C1897" s="33" t="s">
        <v>46</v>
      </c>
      <c r="D1897" s="34" t="s">
        <v>2002</v>
      </c>
      <c r="E1897" s="35" t="str">
        <f t="shared" si="456"/>
        <v>PRBND'!</v>
      </c>
      <c r="F1897" s="34" t="str">
        <f t="shared" si="457"/>
        <v>C:\Users\jaime.benazar\Quorum Business Solutions\Ecopetrol Prometeo - Documents\Planning Space Implementation\3. Analysis &amp; Design\Design\FC22\DRR Jaime\Neiva CPI\[DINA TERCIARIOS_CF_SEC_New_27-Mar-2024.xlsx]D-PRBND'!</v>
      </c>
      <c r="G1897" s="32" t="s">
        <v>103</v>
      </c>
      <c r="H1897" s="33"/>
      <c r="I1897" s="33"/>
      <c r="J1897" s="37"/>
    </row>
    <row r="1898" spans="1:10" x14ac:dyDescent="0.3">
      <c r="A1898" s="32" t="s">
        <v>19</v>
      </c>
      <c r="B1898" s="32">
        <f t="shared" si="458"/>
        <v>2057</v>
      </c>
      <c r="C1898" s="33" t="s">
        <v>46</v>
      </c>
      <c r="D1898" s="34" t="s">
        <v>2002</v>
      </c>
      <c r="E1898" s="35" t="str">
        <f t="shared" si="456"/>
        <v>PRBND'!</v>
      </c>
      <c r="F1898" s="34" t="str">
        <f t="shared" si="457"/>
        <v>C:\Users\jaime.benazar\Quorum Business Solutions\Ecopetrol Prometeo - Documents\Planning Space Implementation\3. Analysis &amp; Design\Design\FC22\DRR Jaime\Neiva CPI\[DINA TERCIARIOS_CF_SEC_New_27-Mar-2024.xlsx]D-PRBND'!</v>
      </c>
      <c r="G1898" s="32" t="s">
        <v>103</v>
      </c>
      <c r="H1898" s="33"/>
      <c r="I1898" s="33"/>
      <c r="J1898" s="37"/>
    </row>
    <row r="1899" spans="1:10" x14ac:dyDescent="0.3">
      <c r="A1899" s="32" t="s">
        <v>19</v>
      </c>
      <c r="B1899" s="32">
        <f t="shared" si="458"/>
        <v>2058</v>
      </c>
      <c r="C1899" s="33" t="s">
        <v>46</v>
      </c>
      <c r="D1899" s="34" t="s">
        <v>2002</v>
      </c>
      <c r="E1899" s="35" t="str">
        <f t="shared" si="456"/>
        <v>PRBND'!</v>
      </c>
      <c r="F1899" s="34" t="str">
        <f t="shared" si="457"/>
        <v>C:\Users\jaime.benazar\Quorum Business Solutions\Ecopetrol Prometeo - Documents\Planning Space Implementation\3. Analysis &amp; Design\Design\FC22\DRR Jaime\Neiva CPI\[DINA TERCIARIOS_CF_SEC_New_27-Mar-2024.xlsx]D-PRBND'!</v>
      </c>
      <c r="G1899" s="32" t="s">
        <v>103</v>
      </c>
      <c r="H1899" s="33"/>
      <c r="I1899" s="33"/>
      <c r="J1899" s="37"/>
    </row>
    <row r="1900" spans="1:10" x14ac:dyDescent="0.3">
      <c r="A1900" s="32" t="s">
        <v>19</v>
      </c>
      <c r="B1900" s="32">
        <f t="shared" si="458"/>
        <v>2059</v>
      </c>
      <c r="C1900" s="33" t="s">
        <v>46</v>
      </c>
      <c r="D1900" s="34" t="s">
        <v>2002</v>
      </c>
      <c r="E1900" s="35" t="str">
        <f t="shared" si="456"/>
        <v>PRBND'!</v>
      </c>
      <c r="F1900" s="34" t="str">
        <f t="shared" si="457"/>
        <v>C:\Users\jaime.benazar\Quorum Business Solutions\Ecopetrol Prometeo - Documents\Planning Space Implementation\3. Analysis &amp; Design\Design\FC22\DRR Jaime\Neiva CPI\[DINA TERCIARIOS_CF_SEC_New_27-Mar-2024.xlsx]D-PRBND'!</v>
      </c>
      <c r="G1900" s="32" t="s">
        <v>103</v>
      </c>
      <c r="H1900" s="33"/>
      <c r="I1900" s="33"/>
      <c r="J1900" s="37"/>
    </row>
    <row r="1901" spans="1:10" x14ac:dyDescent="0.3">
      <c r="A1901" s="32" t="s">
        <v>26</v>
      </c>
      <c r="B1901" s="32"/>
      <c r="C1901" s="33" t="s">
        <v>46</v>
      </c>
      <c r="D1901" s="34"/>
      <c r="E1901" s="35"/>
      <c r="F1901" s="34"/>
      <c r="G1901" s="32"/>
      <c r="H1901" s="33"/>
      <c r="I1901" s="33"/>
      <c r="J1901" s="33"/>
    </row>
    <row r="1902" spans="1:10" x14ac:dyDescent="0.3">
      <c r="A1902" s="32" t="s">
        <v>20</v>
      </c>
      <c r="B1902" s="32">
        <v>2023</v>
      </c>
      <c r="C1902" s="33" t="s">
        <v>46</v>
      </c>
      <c r="D1902" s="34" t="s">
        <v>2002</v>
      </c>
      <c r="E1902" s="35" t="str">
        <f t="shared" si="428"/>
        <v>PRB'!</v>
      </c>
      <c r="F1902" s="34" t="str">
        <f t="shared" si="429"/>
        <v>C:\Users\jaime.benazar\Quorum Business Solutions\Ecopetrol Prometeo - Documents\Planning Space Implementation\3. Analysis &amp; Design\Design\FC22\DRR Jaime\Neiva CPI\[DINA TERCIARIOS_CF_SEC_New_27-Mar-2024.xlsx]D-PRB'!</v>
      </c>
      <c r="G1902" s="32" t="s">
        <v>103</v>
      </c>
      <c r="H1902" s="33">
        <v>12</v>
      </c>
      <c r="I1902" s="33" t="str">
        <f t="shared" ref="I1902:I1922" si="459">_xlfn.CONCAT("='",F1902:H1902)</f>
        <v>='C:\Users\jaime.benazar\Quorum Business Solutions\Ecopetrol Prometeo - Documents\Planning Space Implementation\3. Analysis &amp; Design\Design\FC22\DRR Jaime\Neiva CPI\[DINA TERCIARIOS_CF_SEC_New_27-Mar-2024.xlsx]D-PRB'!$BX$12</v>
      </c>
      <c r="J1902" s="37" t="s">
        <v>2854</v>
      </c>
    </row>
    <row r="1903" spans="1:10" x14ac:dyDescent="0.3">
      <c r="A1903" s="32" t="s">
        <v>20</v>
      </c>
      <c r="B1903" s="32">
        <f>+B1902+1</f>
        <v>2024</v>
      </c>
      <c r="C1903" s="33" t="s">
        <v>46</v>
      </c>
      <c r="D1903" s="34" t="s">
        <v>2002</v>
      </c>
      <c r="E1903" s="35" t="str">
        <f t="shared" si="428"/>
        <v>PRB'!</v>
      </c>
      <c r="F1903" s="34" t="str">
        <f t="shared" si="429"/>
        <v>C:\Users\jaime.benazar\Quorum Business Solutions\Ecopetrol Prometeo - Documents\Planning Space Implementation\3. Analysis &amp; Design\Design\FC22\DRR Jaime\Neiva CPI\[DINA TERCIARIOS_CF_SEC_New_27-Mar-2024.xlsx]D-PRB'!</v>
      </c>
      <c r="G1903" s="32" t="s">
        <v>103</v>
      </c>
      <c r="H1903" s="33">
        <f t="shared" ref="H1903:H1922" si="460">IF(A1903&lt;&gt;A1902,12,H1902+1)</f>
        <v>13</v>
      </c>
      <c r="I1903" s="33" t="str">
        <f t="shared" si="459"/>
        <v>='C:\Users\jaime.benazar\Quorum Business Solutions\Ecopetrol Prometeo - Documents\Planning Space Implementation\3. Analysis &amp; Design\Design\FC22\DRR Jaime\Neiva CPI\[DINA TERCIARIOS_CF_SEC_New_27-Mar-2024.xlsx]D-PRB'!$BX$13</v>
      </c>
      <c r="J1903" s="37" t="s">
        <v>2855</v>
      </c>
    </row>
    <row r="1904" spans="1:10" x14ac:dyDescent="0.3">
      <c r="A1904" s="32" t="s">
        <v>20</v>
      </c>
      <c r="B1904" s="32">
        <f t="shared" ref="B1904:B1915" si="461">+B1903+1</f>
        <v>2025</v>
      </c>
      <c r="C1904" s="33" t="s">
        <v>46</v>
      </c>
      <c r="D1904" s="34" t="s">
        <v>2002</v>
      </c>
      <c r="E1904" s="35" t="str">
        <f t="shared" si="428"/>
        <v>PRB'!</v>
      </c>
      <c r="F1904" s="34" t="str">
        <f t="shared" si="429"/>
        <v>C:\Users\jaime.benazar\Quorum Business Solutions\Ecopetrol Prometeo - Documents\Planning Space Implementation\3. Analysis &amp; Design\Design\FC22\DRR Jaime\Neiva CPI\[DINA TERCIARIOS_CF_SEC_New_27-Mar-2024.xlsx]D-PRB'!</v>
      </c>
      <c r="G1904" s="32" t="s">
        <v>103</v>
      </c>
      <c r="H1904" s="33">
        <f t="shared" si="460"/>
        <v>14</v>
      </c>
      <c r="I1904" s="33" t="str">
        <f t="shared" si="459"/>
        <v>='C:\Users\jaime.benazar\Quorum Business Solutions\Ecopetrol Prometeo - Documents\Planning Space Implementation\3. Analysis &amp; Design\Design\FC22\DRR Jaime\Neiva CPI\[DINA TERCIARIOS_CF_SEC_New_27-Mar-2024.xlsx]D-PRB'!$BX$14</v>
      </c>
      <c r="J1904" s="37" t="s">
        <v>2856</v>
      </c>
    </row>
    <row r="1905" spans="1:10" x14ac:dyDescent="0.3">
      <c r="A1905" s="32" t="s">
        <v>20</v>
      </c>
      <c r="B1905" s="32">
        <f t="shared" si="461"/>
        <v>2026</v>
      </c>
      <c r="C1905" s="33" t="s">
        <v>46</v>
      </c>
      <c r="D1905" s="34" t="s">
        <v>2002</v>
      </c>
      <c r="E1905" s="35" t="str">
        <f t="shared" si="428"/>
        <v>PRB'!</v>
      </c>
      <c r="F1905" s="34" t="str">
        <f t="shared" si="429"/>
        <v>C:\Users\jaime.benazar\Quorum Business Solutions\Ecopetrol Prometeo - Documents\Planning Space Implementation\3. Analysis &amp; Design\Design\FC22\DRR Jaime\Neiva CPI\[DINA TERCIARIOS_CF_SEC_New_27-Mar-2024.xlsx]D-PRB'!</v>
      </c>
      <c r="G1905" s="32" t="s">
        <v>103</v>
      </c>
      <c r="H1905" s="33">
        <f t="shared" si="460"/>
        <v>15</v>
      </c>
      <c r="I1905" s="33" t="str">
        <f t="shared" si="459"/>
        <v>='C:\Users\jaime.benazar\Quorum Business Solutions\Ecopetrol Prometeo - Documents\Planning Space Implementation\3. Analysis &amp; Design\Design\FC22\DRR Jaime\Neiva CPI\[DINA TERCIARIOS_CF_SEC_New_27-Mar-2024.xlsx]D-PRB'!$BX$15</v>
      </c>
      <c r="J1905" s="37" t="s">
        <v>2857</v>
      </c>
    </row>
    <row r="1906" spans="1:10" x14ac:dyDescent="0.3">
      <c r="A1906" s="32" t="s">
        <v>20</v>
      </c>
      <c r="B1906" s="32">
        <f t="shared" si="461"/>
        <v>2027</v>
      </c>
      <c r="C1906" s="33" t="s">
        <v>46</v>
      </c>
      <c r="D1906" s="34" t="s">
        <v>2002</v>
      </c>
      <c r="E1906" s="35" t="str">
        <f t="shared" si="428"/>
        <v>PRB'!</v>
      </c>
      <c r="F1906" s="34" t="str">
        <f t="shared" si="429"/>
        <v>C:\Users\jaime.benazar\Quorum Business Solutions\Ecopetrol Prometeo - Documents\Planning Space Implementation\3. Analysis &amp; Design\Design\FC22\DRR Jaime\Neiva CPI\[DINA TERCIARIOS_CF_SEC_New_27-Mar-2024.xlsx]D-PRB'!</v>
      </c>
      <c r="G1906" s="32" t="s">
        <v>103</v>
      </c>
      <c r="H1906" s="33">
        <f t="shared" si="460"/>
        <v>16</v>
      </c>
      <c r="I1906" s="33" t="str">
        <f t="shared" si="459"/>
        <v>='C:\Users\jaime.benazar\Quorum Business Solutions\Ecopetrol Prometeo - Documents\Planning Space Implementation\3. Analysis &amp; Design\Design\FC22\DRR Jaime\Neiva CPI\[DINA TERCIARIOS_CF_SEC_New_27-Mar-2024.xlsx]D-PRB'!$BX$16</v>
      </c>
      <c r="J1906" s="37" t="s">
        <v>2858</v>
      </c>
    </row>
    <row r="1907" spans="1:10" x14ac:dyDescent="0.3">
      <c r="A1907" s="32" t="s">
        <v>20</v>
      </c>
      <c r="B1907" s="32">
        <f t="shared" si="461"/>
        <v>2028</v>
      </c>
      <c r="C1907" s="33" t="s">
        <v>46</v>
      </c>
      <c r="D1907" s="34" t="s">
        <v>2002</v>
      </c>
      <c r="E1907" s="35" t="str">
        <f t="shared" si="428"/>
        <v>PRB'!</v>
      </c>
      <c r="F1907" s="34" t="str">
        <f t="shared" si="429"/>
        <v>C:\Users\jaime.benazar\Quorum Business Solutions\Ecopetrol Prometeo - Documents\Planning Space Implementation\3. Analysis &amp; Design\Design\FC22\DRR Jaime\Neiva CPI\[DINA TERCIARIOS_CF_SEC_New_27-Mar-2024.xlsx]D-PRB'!</v>
      </c>
      <c r="G1907" s="32" t="s">
        <v>103</v>
      </c>
      <c r="H1907" s="33">
        <f t="shared" si="460"/>
        <v>17</v>
      </c>
      <c r="I1907" s="33" t="str">
        <f t="shared" si="459"/>
        <v>='C:\Users\jaime.benazar\Quorum Business Solutions\Ecopetrol Prometeo - Documents\Planning Space Implementation\3. Analysis &amp; Design\Design\FC22\DRR Jaime\Neiva CPI\[DINA TERCIARIOS_CF_SEC_New_27-Mar-2024.xlsx]D-PRB'!$BX$17</v>
      </c>
      <c r="J1907" s="37" t="s">
        <v>2859</v>
      </c>
    </row>
    <row r="1908" spans="1:10" x14ac:dyDescent="0.3">
      <c r="A1908" s="32" t="s">
        <v>20</v>
      </c>
      <c r="B1908" s="32">
        <f t="shared" si="461"/>
        <v>2029</v>
      </c>
      <c r="C1908" s="33" t="s">
        <v>46</v>
      </c>
      <c r="D1908" s="34" t="s">
        <v>2002</v>
      </c>
      <c r="E1908" s="35" t="str">
        <f t="shared" si="428"/>
        <v>PRB'!</v>
      </c>
      <c r="F1908" s="34" t="str">
        <f t="shared" si="429"/>
        <v>C:\Users\jaime.benazar\Quorum Business Solutions\Ecopetrol Prometeo - Documents\Planning Space Implementation\3. Analysis &amp; Design\Design\FC22\DRR Jaime\Neiva CPI\[DINA TERCIARIOS_CF_SEC_New_27-Mar-2024.xlsx]D-PRB'!</v>
      </c>
      <c r="G1908" s="32" t="s">
        <v>103</v>
      </c>
      <c r="H1908" s="33">
        <f t="shared" si="460"/>
        <v>18</v>
      </c>
      <c r="I1908" s="33" t="str">
        <f t="shared" si="459"/>
        <v>='C:\Users\jaime.benazar\Quorum Business Solutions\Ecopetrol Prometeo - Documents\Planning Space Implementation\3. Analysis &amp; Design\Design\FC22\DRR Jaime\Neiva CPI\[DINA TERCIARIOS_CF_SEC_New_27-Mar-2024.xlsx]D-PRB'!$BX$18</v>
      </c>
      <c r="J1908" s="37" t="s">
        <v>2860</v>
      </c>
    </row>
    <row r="1909" spans="1:10" x14ac:dyDescent="0.3">
      <c r="A1909" s="32" t="s">
        <v>20</v>
      </c>
      <c r="B1909" s="32">
        <f t="shared" si="461"/>
        <v>2030</v>
      </c>
      <c r="C1909" s="33" t="s">
        <v>46</v>
      </c>
      <c r="D1909" s="34" t="s">
        <v>2002</v>
      </c>
      <c r="E1909" s="35" t="str">
        <f t="shared" si="428"/>
        <v>PRB'!</v>
      </c>
      <c r="F1909" s="34" t="str">
        <f t="shared" si="429"/>
        <v>C:\Users\jaime.benazar\Quorum Business Solutions\Ecopetrol Prometeo - Documents\Planning Space Implementation\3. Analysis &amp; Design\Design\FC22\DRR Jaime\Neiva CPI\[DINA TERCIARIOS_CF_SEC_New_27-Mar-2024.xlsx]D-PRB'!</v>
      </c>
      <c r="G1909" s="32" t="s">
        <v>103</v>
      </c>
      <c r="H1909" s="33">
        <f t="shared" si="460"/>
        <v>19</v>
      </c>
      <c r="I1909" s="33" t="str">
        <f t="shared" si="459"/>
        <v>='C:\Users\jaime.benazar\Quorum Business Solutions\Ecopetrol Prometeo - Documents\Planning Space Implementation\3. Analysis &amp; Design\Design\FC22\DRR Jaime\Neiva CPI\[DINA TERCIARIOS_CF_SEC_New_27-Mar-2024.xlsx]D-PRB'!$BX$19</v>
      </c>
      <c r="J1909" s="37" t="s">
        <v>2861</v>
      </c>
    </row>
    <row r="1910" spans="1:10" x14ac:dyDescent="0.3">
      <c r="A1910" s="32" t="s">
        <v>20</v>
      </c>
      <c r="B1910" s="32">
        <f t="shared" si="461"/>
        <v>2031</v>
      </c>
      <c r="C1910" s="33" t="s">
        <v>46</v>
      </c>
      <c r="D1910" s="34" t="s">
        <v>2002</v>
      </c>
      <c r="E1910" s="35" t="str">
        <f t="shared" si="428"/>
        <v>PRB'!</v>
      </c>
      <c r="F1910" s="34" t="str">
        <f t="shared" si="429"/>
        <v>C:\Users\jaime.benazar\Quorum Business Solutions\Ecopetrol Prometeo - Documents\Planning Space Implementation\3. Analysis &amp; Design\Design\FC22\DRR Jaime\Neiva CPI\[DINA TERCIARIOS_CF_SEC_New_27-Mar-2024.xlsx]D-PRB'!</v>
      </c>
      <c r="G1910" s="32" t="s">
        <v>103</v>
      </c>
      <c r="H1910" s="33">
        <f t="shared" si="460"/>
        <v>20</v>
      </c>
      <c r="I1910" s="33" t="str">
        <f t="shared" si="459"/>
        <v>='C:\Users\jaime.benazar\Quorum Business Solutions\Ecopetrol Prometeo - Documents\Planning Space Implementation\3. Analysis &amp; Design\Design\FC22\DRR Jaime\Neiva CPI\[DINA TERCIARIOS_CF_SEC_New_27-Mar-2024.xlsx]D-PRB'!$BX$20</v>
      </c>
      <c r="J1910" s="37" t="s">
        <v>2862</v>
      </c>
    </row>
    <row r="1911" spans="1:10" x14ac:dyDescent="0.3">
      <c r="A1911" s="32" t="s">
        <v>20</v>
      </c>
      <c r="B1911" s="32">
        <f t="shared" si="461"/>
        <v>2032</v>
      </c>
      <c r="C1911" s="33" t="s">
        <v>46</v>
      </c>
      <c r="D1911" s="34" t="s">
        <v>2002</v>
      </c>
      <c r="E1911" s="35" t="str">
        <f t="shared" si="428"/>
        <v>PRB'!</v>
      </c>
      <c r="F1911" s="34" t="str">
        <f t="shared" si="429"/>
        <v>C:\Users\jaime.benazar\Quorum Business Solutions\Ecopetrol Prometeo - Documents\Planning Space Implementation\3. Analysis &amp; Design\Design\FC22\DRR Jaime\Neiva CPI\[DINA TERCIARIOS_CF_SEC_New_27-Mar-2024.xlsx]D-PRB'!</v>
      </c>
      <c r="G1911" s="32" t="s">
        <v>103</v>
      </c>
      <c r="H1911" s="33">
        <f t="shared" si="460"/>
        <v>21</v>
      </c>
      <c r="I1911" s="33" t="str">
        <f t="shared" si="459"/>
        <v>='C:\Users\jaime.benazar\Quorum Business Solutions\Ecopetrol Prometeo - Documents\Planning Space Implementation\3. Analysis &amp; Design\Design\FC22\DRR Jaime\Neiva CPI\[DINA TERCIARIOS_CF_SEC_New_27-Mar-2024.xlsx]D-PRB'!$BX$21</v>
      </c>
      <c r="J1911" s="37" t="s">
        <v>2863</v>
      </c>
    </row>
    <row r="1912" spans="1:10" x14ac:dyDescent="0.3">
      <c r="A1912" s="32" t="s">
        <v>20</v>
      </c>
      <c r="B1912" s="32">
        <f t="shared" si="461"/>
        <v>2033</v>
      </c>
      <c r="C1912" s="33" t="s">
        <v>46</v>
      </c>
      <c r="D1912" s="34" t="s">
        <v>2002</v>
      </c>
      <c r="E1912" s="35" t="str">
        <f t="shared" si="428"/>
        <v>PRB'!</v>
      </c>
      <c r="F1912" s="34" t="str">
        <f t="shared" si="429"/>
        <v>C:\Users\jaime.benazar\Quorum Business Solutions\Ecopetrol Prometeo - Documents\Planning Space Implementation\3. Analysis &amp; Design\Design\FC22\DRR Jaime\Neiva CPI\[DINA TERCIARIOS_CF_SEC_New_27-Mar-2024.xlsx]D-PRB'!</v>
      </c>
      <c r="G1912" s="32" t="s">
        <v>103</v>
      </c>
      <c r="H1912" s="33">
        <f t="shared" si="460"/>
        <v>22</v>
      </c>
      <c r="I1912" s="33" t="str">
        <f t="shared" si="459"/>
        <v>='C:\Users\jaime.benazar\Quorum Business Solutions\Ecopetrol Prometeo - Documents\Planning Space Implementation\3. Analysis &amp; Design\Design\FC22\DRR Jaime\Neiva CPI\[DINA TERCIARIOS_CF_SEC_New_27-Mar-2024.xlsx]D-PRB'!$BX$22</v>
      </c>
      <c r="J1912" s="37" t="s">
        <v>2864</v>
      </c>
    </row>
    <row r="1913" spans="1:10" x14ac:dyDescent="0.3">
      <c r="A1913" s="32" t="s">
        <v>20</v>
      </c>
      <c r="B1913" s="32">
        <f t="shared" si="461"/>
        <v>2034</v>
      </c>
      <c r="C1913" s="33" t="s">
        <v>46</v>
      </c>
      <c r="D1913" s="34" t="s">
        <v>2002</v>
      </c>
      <c r="E1913" s="35" t="str">
        <f t="shared" si="428"/>
        <v>PRB'!</v>
      </c>
      <c r="F1913" s="34" t="str">
        <f t="shared" si="429"/>
        <v>C:\Users\jaime.benazar\Quorum Business Solutions\Ecopetrol Prometeo - Documents\Planning Space Implementation\3. Analysis &amp; Design\Design\FC22\DRR Jaime\Neiva CPI\[DINA TERCIARIOS_CF_SEC_New_27-Mar-2024.xlsx]D-PRB'!</v>
      </c>
      <c r="G1913" s="32" t="s">
        <v>103</v>
      </c>
      <c r="H1913" s="33">
        <f t="shared" si="460"/>
        <v>23</v>
      </c>
      <c r="I1913" s="33" t="str">
        <f t="shared" si="459"/>
        <v>='C:\Users\jaime.benazar\Quorum Business Solutions\Ecopetrol Prometeo - Documents\Planning Space Implementation\3. Analysis &amp; Design\Design\FC22\DRR Jaime\Neiva CPI\[DINA TERCIARIOS_CF_SEC_New_27-Mar-2024.xlsx]D-PRB'!$BX$23</v>
      </c>
      <c r="J1913" s="37" t="s">
        <v>2865</v>
      </c>
    </row>
    <row r="1914" spans="1:10" x14ac:dyDescent="0.3">
      <c r="A1914" s="32" t="s">
        <v>20</v>
      </c>
      <c r="B1914" s="32">
        <f t="shared" si="461"/>
        <v>2035</v>
      </c>
      <c r="C1914" s="33" t="s">
        <v>46</v>
      </c>
      <c r="D1914" s="34" t="s">
        <v>2002</v>
      </c>
      <c r="E1914" s="35" t="str">
        <f t="shared" si="428"/>
        <v>PRB'!</v>
      </c>
      <c r="F1914" s="34" t="str">
        <f t="shared" si="429"/>
        <v>C:\Users\jaime.benazar\Quorum Business Solutions\Ecopetrol Prometeo - Documents\Planning Space Implementation\3. Analysis &amp; Design\Design\FC22\DRR Jaime\Neiva CPI\[DINA TERCIARIOS_CF_SEC_New_27-Mar-2024.xlsx]D-PRB'!</v>
      </c>
      <c r="G1914" s="32" t="s">
        <v>103</v>
      </c>
      <c r="H1914" s="33">
        <f t="shared" si="460"/>
        <v>24</v>
      </c>
      <c r="I1914" s="33" t="str">
        <f t="shared" si="459"/>
        <v>='C:\Users\jaime.benazar\Quorum Business Solutions\Ecopetrol Prometeo - Documents\Planning Space Implementation\3. Analysis &amp; Design\Design\FC22\DRR Jaime\Neiva CPI\[DINA TERCIARIOS_CF_SEC_New_27-Mar-2024.xlsx]D-PRB'!$BX$24</v>
      </c>
      <c r="J1914" s="37" t="s">
        <v>2866</v>
      </c>
    </row>
    <row r="1915" spans="1:10" x14ac:dyDescent="0.3">
      <c r="A1915" s="32" t="s">
        <v>20</v>
      </c>
      <c r="B1915" s="32">
        <f t="shared" si="461"/>
        <v>2036</v>
      </c>
      <c r="C1915" s="33" t="s">
        <v>46</v>
      </c>
      <c r="D1915" s="34" t="s">
        <v>2002</v>
      </c>
      <c r="E1915" s="35" t="str">
        <f t="shared" si="428"/>
        <v>PRB'!</v>
      </c>
      <c r="F1915" s="34" t="str">
        <f t="shared" si="429"/>
        <v>C:\Users\jaime.benazar\Quorum Business Solutions\Ecopetrol Prometeo - Documents\Planning Space Implementation\3. Analysis &amp; Design\Design\FC22\DRR Jaime\Neiva CPI\[DINA TERCIARIOS_CF_SEC_New_27-Mar-2024.xlsx]D-PRB'!</v>
      </c>
      <c r="G1915" s="32" t="s">
        <v>103</v>
      </c>
      <c r="H1915" s="33">
        <f t="shared" si="460"/>
        <v>25</v>
      </c>
      <c r="I1915" s="33" t="str">
        <f t="shared" si="459"/>
        <v>='C:\Users\jaime.benazar\Quorum Business Solutions\Ecopetrol Prometeo - Documents\Planning Space Implementation\3. Analysis &amp; Design\Design\FC22\DRR Jaime\Neiva CPI\[DINA TERCIARIOS_CF_SEC_New_27-Mar-2024.xlsx]D-PRB'!$BX$25</v>
      </c>
      <c r="J1915" s="37" t="s">
        <v>2867</v>
      </c>
    </row>
    <row r="1916" spans="1:10" x14ac:dyDescent="0.3">
      <c r="A1916" s="32" t="s">
        <v>20</v>
      </c>
      <c r="B1916" s="32">
        <f>+B1915+1</f>
        <v>2037</v>
      </c>
      <c r="C1916" s="33" t="s">
        <v>46</v>
      </c>
      <c r="D1916" s="34" t="s">
        <v>2002</v>
      </c>
      <c r="E1916" s="35" t="str">
        <f t="shared" si="428"/>
        <v>PRB'!</v>
      </c>
      <c r="F1916" s="34" t="str">
        <f t="shared" si="429"/>
        <v>C:\Users\jaime.benazar\Quorum Business Solutions\Ecopetrol Prometeo - Documents\Planning Space Implementation\3. Analysis &amp; Design\Design\FC22\DRR Jaime\Neiva CPI\[DINA TERCIARIOS_CF_SEC_New_27-Mar-2024.xlsx]D-PRB'!</v>
      </c>
      <c r="G1916" s="32" t="s">
        <v>103</v>
      </c>
      <c r="H1916" s="33">
        <f t="shared" si="460"/>
        <v>26</v>
      </c>
      <c r="I1916" s="33" t="str">
        <f t="shared" si="459"/>
        <v>='C:\Users\jaime.benazar\Quorum Business Solutions\Ecopetrol Prometeo - Documents\Planning Space Implementation\3. Analysis &amp; Design\Design\FC22\DRR Jaime\Neiva CPI\[DINA TERCIARIOS_CF_SEC_New_27-Mar-2024.xlsx]D-PRB'!$BX$26</v>
      </c>
      <c r="J1916" s="37" t="s">
        <v>2868</v>
      </c>
    </row>
    <row r="1917" spans="1:10" x14ac:dyDescent="0.3">
      <c r="A1917" s="32" t="s">
        <v>20</v>
      </c>
      <c r="B1917" s="32">
        <f t="shared" ref="B1917:B1919" si="462">+B1916+1</f>
        <v>2038</v>
      </c>
      <c r="C1917" s="33" t="s">
        <v>46</v>
      </c>
      <c r="D1917" s="34" t="s">
        <v>2002</v>
      </c>
      <c r="E1917" s="35" t="str">
        <f t="shared" si="428"/>
        <v>PRB'!</v>
      </c>
      <c r="F1917" s="34" t="str">
        <f t="shared" si="429"/>
        <v>C:\Users\jaime.benazar\Quorum Business Solutions\Ecopetrol Prometeo - Documents\Planning Space Implementation\3. Analysis &amp; Design\Design\FC22\DRR Jaime\Neiva CPI\[DINA TERCIARIOS_CF_SEC_New_27-Mar-2024.xlsx]D-PRB'!</v>
      </c>
      <c r="G1917" s="32" t="s">
        <v>103</v>
      </c>
      <c r="H1917" s="33">
        <f t="shared" si="460"/>
        <v>27</v>
      </c>
      <c r="I1917" s="33" t="str">
        <f t="shared" si="459"/>
        <v>='C:\Users\jaime.benazar\Quorum Business Solutions\Ecopetrol Prometeo - Documents\Planning Space Implementation\3. Analysis &amp; Design\Design\FC22\DRR Jaime\Neiva CPI\[DINA TERCIARIOS_CF_SEC_New_27-Mar-2024.xlsx]D-PRB'!$BX$27</v>
      </c>
      <c r="J1917" s="37" t="s">
        <v>2869</v>
      </c>
    </row>
    <row r="1918" spans="1:10" x14ac:dyDescent="0.3">
      <c r="A1918" s="32" t="s">
        <v>20</v>
      </c>
      <c r="B1918" s="32">
        <f t="shared" si="462"/>
        <v>2039</v>
      </c>
      <c r="C1918" s="33" t="s">
        <v>46</v>
      </c>
      <c r="D1918" s="34" t="s">
        <v>2002</v>
      </c>
      <c r="E1918" s="35" t="str">
        <f t="shared" si="428"/>
        <v>PRB'!</v>
      </c>
      <c r="F1918" s="34" t="str">
        <f t="shared" si="429"/>
        <v>C:\Users\jaime.benazar\Quorum Business Solutions\Ecopetrol Prometeo - Documents\Planning Space Implementation\3. Analysis &amp; Design\Design\FC22\DRR Jaime\Neiva CPI\[DINA TERCIARIOS_CF_SEC_New_27-Mar-2024.xlsx]D-PRB'!</v>
      </c>
      <c r="G1918" s="32" t="s">
        <v>103</v>
      </c>
      <c r="H1918" s="33">
        <f t="shared" si="460"/>
        <v>28</v>
      </c>
      <c r="I1918" s="33" t="str">
        <f t="shared" si="459"/>
        <v>='C:\Users\jaime.benazar\Quorum Business Solutions\Ecopetrol Prometeo - Documents\Planning Space Implementation\3. Analysis &amp; Design\Design\FC22\DRR Jaime\Neiva CPI\[DINA TERCIARIOS_CF_SEC_New_27-Mar-2024.xlsx]D-PRB'!$BX$28</v>
      </c>
      <c r="J1918" s="37" t="s">
        <v>2870</v>
      </c>
    </row>
    <row r="1919" spans="1:10" x14ac:dyDescent="0.3">
      <c r="A1919" s="32" t="s">
        <v>20</v>
      </c>
      <c r="B1919" s="32">
        <f t="shared" si="462"/>
        <v>2040</v>
      </c>
      <c r="C1919" s="33" t="s">
        <v>46</v>
      </c>
      <c r="D1919" s="34" t="s">
        <v>2002</v>
      </c>
      <c r="E1919" s="35" t="str">
        <f t="shared" si="428"/>
        <v>PRB'!</v>
      </c>
      <c r="F1919" s="34" t="str">
        <f t="shared" si="429"/>
        <v>C:\Users\jaime.benazar\Quorum Business Solutions\Ecopetrol Prometeo - Documents\Planning Space Implementation\3. Analysis &amp; Design\Design\FC22\DRR Jaime\Neiva CPI\[DINA TERCIARIOS_CF_SEC_New_27-Mar-2024.xlsx]D-PRB'!</v>
      </c>
      <c r="G1919" s="32" t="s">
        <v>103</v>
      </c>
      <c r="H1919" s="33">
        <f t="shared" si="460"/>
        <v>29</v>
      </c>
      <c r="I1919" s="33" t="str">
        <f t="shared" si="459"/>
        <v>='C:\Users\jaime.benazar\Quorum Business Solutions\Ecopetrol Prometeo - Documents\Planning Space Implementation\3. Analysis &amp; Design\Design\FC22\DRR Jaime\Neiva CPI\[DINA TERCIARIOS_CF_SEC_New_27-Mar-2024.xlsx]D-PRB'!$BX$29</v>
      </c>
      <c r="J1919" s="37" t="s">
        <v>2871</v>
      </c>
    </row>
    <row r="1920" spans="1:10" x14ac:dyDescent="0.3">
      <c r="A1920" s="32" t="s">
        <v>20</v>
      </c>
      <c r="B1920" s="32">
        <f>+B1919+1</f>
        <v>2041</v>
      </c>
      <c r="C1920" s="33" t="s">
        <v>46</v>
      </c>
      <c r="D1920" s="34" t="s">
        <v>2002</v>
      </c>
      <c r="E1920" s="35" t="str">
        <f t="shared" si="428"/>
        <v>PRB'!</v>
      </c>
      <c r="F1920" s="34" t="str">
        <f t="shared" si="429"/>
        <v>C:\Users\jaime.benazar\Quorum Business Solutions\Ecopetrol Prometeo - Documents\Planning Space Implementation\3. Analysis &amp; Design\Design\FC22\DRR Jaime\Neiva CPI\[DINA TERCIARIOS_CF_SEC_New_27-Mar-2024.xlsx]D-PRB'!</v>
      </c>
      <c r="G1920" s="32" t="s">
        <v>103</v>
      </c>
      <c r="H1920" s="33">
        <f t="shared" si="460"/>
        <v>30</v>
      </c>
      <c r="I1920" s="33" t="str">
        <f t="shared" si="459"/>
        <v>='C:\Users\jaime.benazar\Quorum Business Solutions\Ecopetrol Prometeo - Documents\Planning Space Implementation\3. Analysis &amp; Design\Design\FC22\DRR Jaime\Neiva CPI\[DINA TERCIARIOS_CF_SEC_New_27-Mar-2024.xlsx]D-PRB'!$BX$30</v>
      </c>
      <c r="J1920" s="37" t="s">
        <v>2872</v>
      </c>
    </row>
    <row r="1921" spans="1:10" x14ac:dyDescent="0.3">
      <c r="A1921" s="32" t="s">
        <v>20</v>
      </c>
      <c r="B1921" s="32">
        <f t="shared" ref="B1921:B1922" si="463">+B1920+1</f>
        <v>2042</v>
      </c>
      <c r="C1921" s="33" t="s">
        <v>46</v>
      </c>
      <c r="D1921" s="34" t="s">
        <v>2002</v>
      </c>
      <c r="E1921" s="35" t="str">
        <f t="shared" si="428"/>
        <v>PRB'!</v>
      </c>
      <c r="F1921" s="34" t="str">
        <f t="shared" si="429"/>
        <v>C:\Users\jaime.benazar\Quorum Business Solutions\Ecopetrol Prometeo - Documents\Planning Space Implementation\3. Analysis &amp; Design\Design\FC22\DRR Jaime\Neiva CPI\[DINA TERCIARIOS_CF_SEC_New_27-Mar-2024.xlsx]D-PRB'!</v>
      </c>
      <c r="G1921" s="32" t="s">
        <v>103</v>
      </c>
      <c r="H1921" s="33">
        <f t="shared" si="460"/>
        <v>31</v>
      </c>
      <c r="I1921" s="33" t="str">
        <f t="shared" si="459"/>
        <v>='C:\Users\jaime.benazar\Quorum Business Solutions\Ecopetrol Prometeo - Documents\Planning Space Implementation\3. Analysis &amp; Design\Design\FC22\DRR Jaime\Neiva CPI\[DINA TERCIARIOS_CF_SEC_New_27-Mar-2024.xlsx]D-PRB'!$BX$31</v>
      </c>
      <c r="J1921" s="37" t="s">
        <v>2873</v>
      </c>
    </row>
    <row r="1922" spans="1:10" x14ac:dyDescent="0.3">
      <c r="A1922" s="32" t="s">
        <v>20</v>
      </c>
      <c r="B1922" s="32">
        <f t="shared" si="463"/>
        <v>2043</v>
      </c>
      <c r="C1922" s="33" t="s">
        <v>46</v>
      </c>
      <c r="D1922" s="34" t="s">
        <v>2002</v>
      </c>
      <c r="E1922" s="35" t="str">
        <f t="shared" si="428"/>
        <v>PRB'!</v>
      </c>
      <c r="F1922" s="34" t="str">
        <f t="shared" si="429"/>
        <v>C:\Users\jaime.benazar\Quorum Business Solutions\Ecopetrol Prometeo - Documents\Planning Space Implementation\3. Analysis &amp; Design\Design\FC22\DRR Jaime\Neiva CPI\[DINA TERCIARIOS_CF_SEC_New_27-Mar-2024.xlsx]D-PRB'!</v>
      </c>
      <c r="G1922" s="32" t="s">
        <v>103</v>
      </c>
      <c r="H1922" s="33">
        <f t="shared" si="460"/>
        <v>32</v>
      </c>
      <c r="I1922" s="33" t="str">
        <f t="shared" si="459"/>
        <v>='C:\Users\jaime.benazar\Quorum Business Solutions\Ecopetrol Prometeo - Documents\Planning Space Implementation\3. Analysis &amp; Design\Design\FC22\DRR Jaime\Neiva CPI\[DINA TERCIARIOS_CF_SEC_New_27-Mar-2024.xlsx]D-PRB'!$BX$32</v>
      </c>
      <c r="J1922" s="37" t="s">
        <v>2874</v>
      </c>
    </row>
    <row r="1923" spans="1:10" x14ac:dyDescent="0.3">
      <c r="A1923" s="32" t="s">
        <v>20</v>
      </c>
      <c r="B1923" s="32">
        <f>+B1922+1</f>
        <v>2044</v>
      </c>
      <c r="C1923" s="33" t="s">
        <v>46</v>
      </c>
      <c r="D1923" s="34" t="s">
        <v>2002</v>
      </c>
      <c r="E1923" s="35" t="str">
        <f t="shared" ref="E1923:E1938" si="464">_xlfn.CONCAT(A1923,"'!")</f>
        <v>PRB'!</v>
      </c>
      <c r="F1923" s="34" t="str">
        <f t="shared" ref="F1923:F1938" si="465">_xlfn.CONCAT(D1923:E1923)</f>
        <v>C:\Users\jaime.benazar\Quorum Business Solutions\Ecopetrol Prometeo - Documents\Planning Space Implementation\3. Analysis &amp; Design\Design\FC22\DRR Jaime\Neiva CPI\[DINA TERCIARIOS_CF_SEC_New_27-Mar-2024.xlsx]D-PRB'!</v>
      </c>
      <c r="G1923" s="32" t="s">
        <v>103</v>
      </c>
      <c r="H1923" s="33">
        <f t="shared" ref="H1923:H1938" si="466">IF(A1923&lt;&gt;A1922,12,H1922+1)</f>
        <v>33</v>
      </c>
      <c r="I1923" s="33" t="str">
        <f t="shared" ref="I1923:I1938" si="467">_xlfn.CONCAT("='",F1923:H1923)</f>
        <v>='C:\Users\jaime.benazar\Quorum Business Solutions\Ecopetrol Prometeo - Documents\Planning Space Implementation\3. Analysis &amp; Design\Design\FC22\DRR Jaime\Neiva CPI\[DINA TERCIARIOS_CF_SEC_New_27-Mar-2024.xlsx]D-PRB'!$BX$33</v>
      </c>
      <c r="J1923" s="37" t="s">
        <v>2875</v>
      </c>
    </row>
    <row r="1924" spans="1:10" x14ac:dyDescent="0.3">
      <c r="A1924" s="32" t="s">
        <v>20</v>
      </c>
      <c r="B1924" s="32">
        <f t="shared" ref="B1924:B1938" si="468">+B1923+1</f>
        <v>2045</v>
      </c>
      <c r="C1924" s="33" t="s">
        <v>46</v>
      </c>
      <c r="D1924" s="34" t="s">
        <v>2002</v>
      </c>
      <c r="E1924" s="35" t="str">
        <f t="shared" si="464"/>
        <v>PRB'!</v>
      </c>
      <c r="F1924" s="34" t="str">
        <f t="shared" si="465"/>
        <v>C:\Users\jaime.benazar\Quorum Business Solutions\Ecopetrol Prometeo - Documents\Planning Space Implementation\3. Analysis &amp; Design\Design\FC22\DRR Jaime\Neiva CPI\[DINA TERCIARIOS_CF_SEC_New_27-Mar-2024.xlsx]D-PRB'!</v>
      </c>
      <c r="G1924" s="32" t="s">
        <v>103</v>
      </c>
      <c r="H1924" s="33">
        <f t="shared" si="466"/>
        <v>34</v>
      </c>
      <c r="I1924" s="33" t="str">
        <f t="shared" si="467"/>
        <v>='C:\Users\jaime.benazar\Quorum Business Solutions\Ecopetrol Prometeo - Documents\Planning Space Implementation\3. Analysis &amp; Design\Design\FC22\DRR Jaime\Neiva CPI\[DINA TERCIARIOS_CF_SEC_New_27-Mar-2024.xlsx]D-PRB'!$BX$34</v>
      </c>
      <c r="J1924" s="37" t="s">
        <v>2876</v>
      </c>
    </row>
    <row r="1925" spans="1:10" x14ac:dyDescent="0.3">
      <c r="A1925" s="32" t="s">
        <v>20</v>
      </c>
      <c r="B1925" s="32">
        <f t="shared" si="468"/>
        <v>2046</v>
      </c>
      <c r="C1925" s="33" t="s">
        <v>46</v>
      </c>
      <c r="D1925" s="34" t="s">
        <v>2002</v>
      </c>
      <c r="E1925" s="35" t="str">
        <f t="shared" si="464"/>
        <v>PRB'!</v>
      </c>
      <c r="F1925" s="34" t="str">
        <f t="shared" si="465"/>
        <v>C:\Users\jaime.benazar\Quorum Business Solutions\Ecopetrol Prometeo - Documents\Planning Space Implementation\3. Analysis &amp; Design\Design\FC22\DRR Jaime\Neiva CPI\[DINA TERCIARIOS_CF_SEC_New_27-Mar-2024.xlsx]D-PRB'!</v>
      </c>
      <c r="G1925" s="32" t="s">
        <v>103</v>
      </c>
      <c r="H1925" s="33">
        <f t="shared" si="466"/>
        <v>35</v>
      </c>
      <c r="I1925" s="33" t="str">
        <f t="shared" si="467"/>
        <v>='C:\Users\jaime.benazar\Quorum Business Solutions\Ecopetrol Prometeo - Documents\Planning Space Implementation\3. Analysis &amp; Design\Design\FC22\DRR Jaime\Neiva CPI\[DINA TERCIARIOS_CF_SEC_New_27-Mar-2024.xlsx]D-PRB'!$BX$35</v>
      </c>
      <c r="J1925" s="37" t="s">
        <v>2877</v>
      </c>
    </row>
    <row r="1926" spans="1:10" x14ac:dyDescent="0.3">
      <c r="A1926" s="32" t="s">
        <v>20</v>
      </c>
      <c r="B1926" s="32">
        <f t="shared" si="468"/>
        <v>2047</v>
      </c>
      <c r="C1926" s="33" t="s">
        <v>46</v>
      </c>
      <c r="D1926" s="34" t="s">
        <v>2002</v>
      </c>
      <c r="E1926" s="35" t="str">
        <f t="shared" si="464"/>
        <v>PRB'!</v>
      </c>
      <c r="F1926" s="34" t="str">
        <f t="shared" si="465"/>
        <v>C:\Users\jaime.benazar\Quorum Business Solutions\Ecopetrol Prometeo - Documents\Planning Space Implementation\3. Analysis &amp; Design\Design\FC22\DRR Jaime\Neiva CPI\[DINA TERCIARIOS_CF_SEC_New_27-Mar-2024.xlsx]D-PRB'!</v>
      </c>
      <c r="G1926" s="32" t="s">
        <v>103</v>
      </c>
      <c r="H1926" s="33">
        <f t="shared" si="466"/>
        <v>36</v>
      </c>
      <c r="I1926" s="33" t="str">
        <f t="shared" si="467"/>
        <v>='C:\Users\jaime.benazar\Quorum Business Solutions\Ecopetrol Prometeo - Documents\Planning Space Implementation\3. Analysis &amp; Design\Design\FC22\DRR Jaime\Neiva CPI\[DINA TERCIARIOS_CF_SEC_New_27-Mar-2024.xlsx]D-PRB'!$BX$36</v>
      </c>
      <c r="J1926" s="37" t="s">
        <v>2878</v>
      </c>
    </row>
    <row r="1927" spans="1:10" x14ac:dyDescent="0.3">
      <c r="A1927" s="32" t="s">
        <v>20</v>
      </c>
      <c r="B1927" s="32">
        <f t="shared" si="468"/>
        <v>2048</v>
      </c>
      <c r="C1927" s="33" t="s">
        <v>46</v>
      </c>
      <c r="D1927" s="34" t="s">
        <v>2002</v>
      </c>
      <c r="E1927" s="35" t="str">
        <f t="shared" si="464"/>
        <v>PRB'!</v>
      </c>
      <c r="F1927" s="34" t="str">
        <f t="shared" si="465"/>
        <v>C:\Users\jaime.benazar\Quorum Business Solutions\Ecopetrol Prometeo - Documents\Planning Space Implementation\3. Analysis &amp; Design\Design\FC22\DRR Jaime\Neiva CPI\[DINA TERCIARIOS_CF_SEC_New_27-Mar-2024.xlsx]D-PRB'!</v>
      </c>
      <c r="G1927" s="32" t="s">
        <v>103</v>
      </c>
      <c r="H1927" s="33">
        <f t="shared" si="466"/>
        <v>37</v>
      </c>
      <c r="I1927" s="33" t="str">
        <f t="shared" si="467"/>
        <v>='C:\Users\jaime.benazar\Quorum Business Solutions\Ecopetrol Prometeo - Documents\Planning Space Implementation\3. Analysis &amp; Design\Design\FC22\DRR Jaime\Neiva CPI\[DINA TERCIARIOS_CF_SEC_New_27-Mar-2024.xlsx]D-PRB'!$BX$37</v>
      </c>
      <c r="J1927" s="37" t="s">
        <v>2879</v>
      </c>
    </row>
    <row r="1928" spans="1:10" x14ac:dyDescent="0.3">
      <c r="A1928" s="32" t="s">
        <v>20</v>
      </c>
      <c r="B1928" s="32">
        <f t="shared" si="468"/>
        <v>2049</v>
      </c>
      <c r="C1928" s="33" t="s">
        <v>46</v>
      </c>
      <c r="D1928" s="34" t="s">
        <v>2002</v>
      </c>
      <c r="E1928" s="35" t="str">
        <f t="shared" si="464"/>
        <v>PRB'!</v>
      </c>
      <c r="F1928" s="34" t="str">
        <f t="shared" si="465"/>
        <v>C:\Users\jaime.benazar\Quorum Business Solutions\Ecopetrol Prometeo - Documents\Planning Space Implementation\3. Analysis &amp; Design\Design\FC22\DRR Jaime\Neiva CPI\[DINA TERCIARIOS_CF_SEC_New_27-Mar-2024.xlsx]D-PRB'!</v>
      </c>
      <c r="G1928" s="32" t="s">
        <v>103</v>
      </c>
      <c r="H1928" s="33">
        <f t="shared" si="466"/>
        <v>38</v>
      </c>
      <c r="I1928" s="33" t="str">
        <f t="shared" si="467"/>
        <v>='C:\Users\jaime.benazar\Quorum Business Solutions\Ecopetrol Prometeo - Documents\Planning Space Implementation\3. Analysis &amp; Design\Design\FC22\DRR Jaime\Neiva CPI\[DINA TERCIARIOS_CF_SEC_New_27-Mar-2024.xlsx]D-PRB'!$BX$38</v>
      </c>
      <c r="J1928" s="37" t="s">
        <v>2880</v>
      </c>
    </row>
    <row r="1929" spans="1:10" x14ac:dyDescent="0.3">
      <c r="A1929" s="32" t="s">
        <v>20</v>
      </c>
      <c r="B1929" s="32">
        <f t="shared" si="468"/>
        <v>2050</v>
      </c>
      <c r="C1929" s="33" t="s">
        <v>46</v>
      </c>
      <c r="D1929" s="34" t="s">
        <v>2002</v>
      </c>
      <c r="E1929" s="35" t="str">
        <f t="shared" si="464"/>
        <v>PRB'!</v>
      </c>
      <c r="F1929" s="34" t="str">
        <f t="shared" si="465"/>
        <v>C:\Users\jaime.benazar\Quorum Business Solutions\Ecopetrol Prometeo - Documents\Planning Space Implementation\3. Analysis &amp; Design\Design\FC22\DRR Jaime\Neiva CPI\[DINA TERCIARIOS_CF_SEC_New_27-Mar-2024.xlsx]D-PRB'!</v>
      </c>
      <c r="G1929" s="32" t="s">
        <v>103</v>
      </c>
      <c r="H1929" s="33">
        <f t="shared" si="466"/>
        <v>39</v>
      </c>
      <c r="I1929" s="33" t="str">
        <f t="shared" si="467"/>
        <v>='C:\Users\jaime.benazar\Quorum Business Solutions\Ecopetrol Prometeo - Documents\Planning Space Implementation\3. Analysis &amp; Design\Design\FC22\DRR Jaime\Neiva CPI\[DINA TERCIARIOS_CF_SEC_New_27-Mar-2024.xlsx]D-PRB'!$BX$39</v>
      </c>
      <c r="J1929" s="37" t="s">
        <v>2881</v>
      </c>
    </row>
    <row r="1930" spans="1:10" x14ac:dyDescent="0.3">
      <c r="A1930" s="32" t="s">
        <v>20</v>
      </c>
      <c r="B1930" s="32">
        <f t="shared" si="468"/>
        <v>2051</v>
      </c>
      <c r="C1930" s="33" t="s">
        <v>46</v>
      </c>
      <c r="D1930" s="34" t="s">
        <v>2002</v>
      </c>
      <c r="E1930" s="35" t="str">
        <f t="shared" si="464"/>
        <v>PRB'!</v>
      </c>
      <c r="F1930" s="34" t="str">
        <f t="shared" si="465"/>
        <v>C:\Users\jaime.benazar\Quorum Business Solutions\Ecopetrol Prometeo - Documents\Planning Space Implementation\3. Analysis &amp; Design\Design\FC22\DRR Jaime\Neiva CPI\[DINA TERCIARIOS_CF_SEC_New_27-Mar-2024.xlsx]D-PRB'!</v>
      </c>
      <c r="G1930" s="32" t="s">
        <v>103</v>
      </c>
      <c r="H1930" s="33">
        <f t="shared" si="466"/>
        <v>40</v>
      </c>
      <c r="I1930" s="33" t="str">
        <f t="shared" si="467"/>
        <v>='C:\Users\jaime.benazar\Quorum Business Solutions\Ecopetrol Prometeo - Documents\Planning Space Implementation\3. Analysis &amp; Design\Design\FC22\DRR Jaime\Neiva CPI\[DINA TERCIARIOS_CF_SEC_New_27-Mar-2024.xlsx]D-PRB'!$BX$40</v>
      </c>
      <c r="J1930" s="37" t="s">
        <v>2882</v>
      </c>
    </row>
    <row r="1931" spans="1:10" x14ac:dyDescent="0.3">
      <c r="A1931" s="32" t="s">
        <v>20</v>
      </c>
      <c r="B1931" s="32">
        <f t="shared" si="468"/>
        <v>2052</v>
      </c>
      <c r="C1931" s="33" t="s">
        <v>46</v>
      </c>
      <c r="D1931" s="34" t="s">
        <v>2002</v>
      </c>
      <c r="E1931" s="35" t="str">
        <f t="shared" si="464"/>
        <v>PRB'!</v>
      </c>
      <c r="F1931" s="34" t="str">
        <f t="shared" si="465"/>
        <v>C:\Users\jaime.benazar\Quorum Business Solutions\Ecopetrol Prometeo - Documents\Planning Space Implementation\3. Analysis &amp; Design\Design\FC22\DRR Jaime\Neiva CPI\[DINA TERCIARIOS_CF_SEC_New_27-Mar-2024.xlsx]D-PRB'!</v>
      </c>
      <c r="G1931" s="32" t="s">
        <v>103</v>
      </c>
      <c r="H1931" s="33">
        <f t="shared" si="466"/>
        <v>41</v>
      </c>
      <c r="I1931" s="33" t="str">
        <f t="shared" si="467"/>
        <v>='C:\Users\jaime.benazar\Quorum Business Solutions\Ecopetrol Prometeo - Documents\Planning Space Implementation\3. Analysis &amp; Design\Design\FC22\DRR Jaime\Neiva CPI\[DINA TERCIARIOS_CF_SEC_New_27-Mar-2024.xlsx]D-PRB'!$BX$41</v>
      </c>
      <c r="J1931" s="37" t="s">
        <v>2883</v>
      </c>
    </row>
    <row r="1932" spans="1:10" x14ac:dyDescent="0.3">
      <c r="A1932" s="32" t="s">
        <v>20</v>
      </c>
      <c r="B1932" s="32">
        <f t="shared" si="468"/>
        <v>2053</v>
      </c>
      <c r="C1932" s="33" t="s">
        <v>46</v>
      </c>
      <c r="D1932" s="34" t="s">
        <v>2002</v>
      </c>
      <c r="E1932" s="35" t="str">
        <f t="shared" si="464"/>
        <v>PRB'!</v>
      </c>
      <c r="F1932" s="34" t="str">
        <f t="shared" si="465"/>
        <v>C:\Users\jaime.benazar\Quorum Business Solutions\Ecopetrol Prometeo - Documents\Planning Space Implementation\3. Analysis &amp; Design\Design\FC22\DRR Jaime\Neiva CPI\[DINA TERCIARIOS_CF_SEC_New_27-Mar-2024.xlsx]D-PRB'!</v>
      </c>
      <c r="G1932" s="32" t="s">
        <v>103</v>
      </c>
      <c r="H1932" s="33">
        <f t="shared" si="466"/>
        <v>42</v>
      </c>
      <c r="I1932" s="33" t="str">
        <f t="shared" si="467"/>
        <v>='C:\Users\jaime.benazar\Quorum Business Solutions\Ecopetrol Prometeo - Documents\Planning Space Implementation\3. Analysis &amp; Design\Design\FC22\DRR Jaime\Neiva CPI\[DINA TERCIARIOS_CF_SEC_New_27-Mar-2024.xlsx]D-PRB'!$BX$42</v>
      </c>
      <c r="J1932" s="37" t="s">
        <v>2884</v>
      </c>
    </row>
    <row r="1933" spans="1:10" x14ac:dyDescent="0.3">
      <c r="A1933" s="32" t="s">
        <v>20</v>
      </c>
      <c r="B1933" s="32">
        <f t="shared" si="468"/>
        <v>2054</v>
      </c>
      <c r="C1933" s="33" t="s">
        <v>46</v>
      </c>
      <c r="D1933" s="34" t="s">
        <v>2002</v>
      </c>
      <c r="E1933" s="35" t="str">
        <f t="shared" si="464"/>
        <v>PRB'!</v>
      </c>
      <c r="F1933" s="34" t="str">
        <f t="shared" si="465"/>
        <v>C:\Users\jaime.benazar\Quorum Business Solutions\Ecopetrol Prometeo - Documents\Planning Space Implementation\3. Analysis &amp; Design\Design\FC22\DRR Jaime\Neiva CPI\[DINA TERCIARIOS_CF_SEC_New_27-Mar-2024.xlsx]D-PRB'!</v>
      </c>
      <c r="G1933" s="32" t="s">
        <v>103</v>
      </c>
      <c r="H1933" s="33">
        <f t="shared" si="466"/>
        <v>43</v>
      </c>
      <c r="I1933" s="33" t="str">
        <f t="shared" si="467"/>
        <v>='C:\Users\jaime.benazar\Quorum Business Solutions\Ecopetrol Prometeo - Documents\Planning Space Implementation\3. Analysis &amp; Design\Design\FC22\DRR Jaime\Neiva CPI\[DINA TERCIARIOS_CF_SEC_New_27-Mar-2024.xlsx]D-PRB'!$BX$43</v>
      </c>
      <c r="J1933" s="37" t="s">
        <v>2885</v>
      </c>
    </row>
    <row r="1934" spans="1:10" x14ac:dyDescent="0.3">
      <c r="A1934" s="32" t="s">
        <v>20</v>
      </c>
      <c r="B1934" s="32">
        <f t="shared" si="468"/>
        <v>2055</v>
      </c>
      <c r="C1934" s="33" t="s">
        <v>46</v>
      </c>
      <c r="D1934" s="34" t="s">
        <v>2002</v>
      </c>
      <c r="E1934" s="35" t="str">
        <f t="shared" si="464"/>
        <v>PRB'!</v>
      </c>
      <c r="F1934" s="34" t="str">
        <f t="shared" si="465"/>
        <v>C:\Users\jaime.benazar\Quorum Business Solutions\Ecopetrol Prometeo - Documents\Planning Space Implementation\3. Analysis &amp; Design\Design\FC22\DRR Jaime\Neiva CPI\[DINA TERCIARIOS_CF_SEC_New_27-Mar-2024.xlsx]D-PRB'!</v>
      </c>
      <c r="G1934" s="32" t="s">
        <v>103</v>
      </c>
      <c r="H1934" s="33">
        <f t="shared" si="466"/>
        <v>44</v>
      </c>
      <c r="I1934" s="33" t="str">
        <f t="shared" si="467"/>
        <v>='C:\Users\jaime.benazar\Quorum Business Solutions\Ecopetrol Prometeo - Documents\Planning Space Implementation\3. Analysis &amp; Design\Design\FC22\DRR Jaime\Neiva CPI\[DINA TERCIARIOS_CF_SEC_New_27-Mar-2024.xlsx]D-PRB'!$BX$44</v>
      </c>
      <c r="J1934" s="37" t="s">
        <v>2886</v>
      </c>
    </row>
    <row r="1935" spans="1:10" x14ac:dyDescent="0.3">
      <c r="A1935" s="32" t="s">
        <v>20</v>
      </c>
      <c r="B1935" s="32">
        <f t="shared" si="468"/>
        <v>2056</v>
      </c>
      <c r="C1935" s="33" t="s">
        <v>46</v>
      </c>
      <c r="D1935" s="34" t="s">
        <v>2002</v>
      </c>
      <c r="E1935" s="35" t="str">
        <f t="shared" si="464"/>
        <v>PRB'!</v>
      </c>
      <c r="F1935" s="34" t="str">
        <f t="shared" si="465"/>
        <v>C:\Users\jaime.benazar\Quorum Business Solutions\Ecopetrol Prometeo - Documents\Planning Space Implementation\3. Analysis &amp; Design\Design\FC22\DRR Jaime\Neiva CPI\[DINA TERCIARIOS_CF_SEC_New_27-Mar-2024.xlsx]D-PRB'!</v>
      </c>
      <c r="G1935" s="32" t="s">
        <v>103</v>
      </c>
      <c r="H1935" s="33">
        <f t="shared" si="466"/>
        <v>45</v>
      </c>
      <c r="I1935" s="33" t="str">
        <f t="shared" si="467"/>
        <v>='C:\Users\jaime.benazar\Quorum Business Solutions\Ecopetrol Prometeo - Documents\Planning Space Implementation\3. Analysis &amp; Design\Design\FC22\DRR Jaime\Neiva CPI\[DINA TERCIARIOS_CF_SEC_New_27-Mar-2024.xlsx]D-PRB'!$BX$45</v>
      </c>
      <c r="J1935" s="37" t="s">
        <v>2887</v>
      </c>
    </row>
    <row r="1936" spans="1:10" x14ac:dyDescent="0.3">
      <c r="A1936" s="32" t="s">
        <v>20</v>
      </c>
      <c r="B1936" s="32">
        <f t="shared" si="468"/>
        <v>2057</v>
      </c>
      <c r="C1936" s="33" t="s">
        <v>46</v>
      </c>
      <c r="D1936" s="34" t="s">
        <v>2002</v>
      </c>
      <c r="E1936" s="35" t="str">
        <f t="shared" si="464"/>
        <v>PRB'!</v>
      </c>
      <c r="F1936" s="34" t="str">
        <f t="shared" si="465"/>
        <v>C:\Users\jaime.benazar\Quorum Business Solutions\Ecopetrol Prometeo - Documents\Planning Space Implementation\3. Analysis &amp; Design\Design\FC22\DRR Jaime\Neiva CPI\[DINA TERCIARIOS_CF_SEC_New_27-Mar-2024.xlsx]D-PRB'!</v>
      </c>
      <c r="G1936" s="32" t="s">
        <v>103</v>
      </c>
      <c r="H1936" s="33">
        <f t="shared" si="466"/>
        <v>46</v>
      </c>
      <c r="I1936" s="33" t="str">
        <f t="shared" si="467"/>
        <v>='C:\Users\jaime.benazar\Quorum Business Solutions\Ecopetrol Prometeo - Documents\Planning Space Implementation\3. Analysis &amp; Design\Design\FC22\DRR Jaime\Neiva CPI\[DINA TERCIARIOS_CF_SEC_New_27-Mar-2024.xlsx]D-PRB'!$BX$46</v>
      </c>
      <c r="J1936" s="37" t="s">
        <v>2888</v>
      </c>
    </row>
    <row r="1937" spans="1:10" x14ac:dyDescent="0.3">
      <c r="A1937" s="32" t="s">
        <v>20</v>
      </c>
      <c r="B1937" s="32">
        <f t="shared" si="468"/>
        <v>2058</v>
      </c>
      <c r="C1937" s="33" t="s">
        <v>46</v>
      </c>
      <c r="D1937" s="34" t="s">
        <v>2002</v>
      </c>
      <c r="E1937" s="35" t="str">
        <f t="shared" si="464"/>
        <v>PRB'!</v>
      </c>
      <c r="F1937" s="34" t="str">
        <f t="shared" si="465"/>
        <v>C:\Users\jaime.benazar\Quorum Business Solutions\Ecopetrol Prometeo - Documents\Planning Space Implementation\3. Analysis &amp; Design\Design\FC22\DRR Jaime\Neiva CPI\[DINA TERCIARIOS_CF_SEC_New_27-Mar-2024.xlsx]D-PRB'!</v>
      </c>
      <c r="G1937" s="32" t="s">
        <v>103</v>
      </c>
      <c r="H1937" s="33">
        <f t="shared" si="466"/>
        <v>47</v>
      </c>
      <c r="I1937" s="33" t="str">
        <f t="shared" si="467"/>
        <v>='C:\Users\jaime.benazar\Quorum Business Solutions\Ecopetrol Prometeo - Documents\Planning Space Implementation\3. Analysis &amp; Design\Design\FC22\DRR Jaime\Neiva CPI\[DINA TERCIARIOS_CF_SEC_New_27-Mar-2024.xlsx]D-PRB'!$BX$47</v>
      </c>
      <c r="J1937" s="37" t="s">
        <v>2889</v>
      </c>
    </row>
    <row r="1938" spans="1:10" x14ac:dyDescent="0.3">
      <c r="A1938" s="32" t="s">
        <v>20</v>
      </c>
      <c r="B1938" s="32">
        <f t="shared" si="468"/>
        <v>2059</v>
      </c>
      <c r="C1938" s="33" t="s">
        <v>46</v>
      </c>
      <c r="D1938" s="34" t="s">
        <v>2002</v>
      </c>
      <c r="E1938" s="35" t="str">
        <f t="shared" si="464"/>
        <v>PRB'!</v>
      </c>
      <c r="F1938" s="34" t="str">
        <f t="shared" si="465"/>
        <v>C:\Users\jaime.benazar\Quorum Business Solutions\Ecopetrol Prometeo - Documents\Planning Space Implementation\3. Analysis &amp; Design\Design\FC22\DRR Jaime\Neiva CPI\[DINA TERCIARIOS_CF_SEC_New_27-Mar-2024.xlsx]D-PRB'!</v>
      </c>
      <c r="G1938" s="32" t="s">
        <v>103</v>
      </c>
      <c r="H1938" s="33">
        <f t="shared" si="466"/>
        <v>48</v>
      </c>
      <c r="I1938" s="33" t="str">
        <f t="shared" si="467"/>
        <v>='C:\Users\jaime.benazar\Quorum Business Solutions\Ecopetrol Prometeo - Documents\Planning Space Implementation\3. Analysis &amp; Design\Design\FC22\DRR Jaime\Neiva CPI\[DINA TERCIARIOS_CF_SEC_New_27-Mar-2024.xlsx]D-PRB'!$BX$48</v>
      </c>
      <c r="J1938" s="37" t="s">
        <v>2890</v>
      </c>
    </row>
    <row r="1939" spans="1:10" x14ac:dyDescent="0.3">
      <c r="A1939" s="32" t="s">
        <v>26</v>
      </c>
      <c r="B1939" s="32"/>
      <c r="C1939" s="33" t="s">
        <v>46</v>
      </c>
      <c r="D1939" s="34"/>
      <c r="E1939" s="35"/>
      <c r="F1939" s="34"/>
      <c r="G1939" s="32"/>
      <c r="H1939" s="33"/>
      <c r="I1939" s="33"/>
      <c r="J1939" s="33"/>
    </row>
    <row r="1940" spans="1:10" x14ac:dyDescent="0.3">
      <c r="A1940" s="32" t="s">
        <v>21</v>
      </c>
      <c r="B1940" s="32">
        <v>2023</v>
      </c>
      <c r="C1940" s="33" t="s">
        <v>46</v>
      </c>
      <c r="D1940" s="34" t="s">
        <v>2002</v>
      </c>
      <c r="E1940" s="35" t="str">
        <f t="shared" ref="E1940:E1960" si="469">_xlfn.CONCAT(A1940,"'!")</f>
        <v>PSDP'!</v>
      </c>
      <c r="F1940" s="34" t="str">
        <f t="shared" ref="F1940:F1960" si="470">_xlfn.CONCAT(D1940:E1940)</f>
        <v>C:\Users\jaime.benazar\Quorum Business Solutions\Ecopetrol Prometeo - Documents\Planning Space Implementation\3. Analysis &amp; Design\Design\FC22\DRR Jaime\Neiva CPI\[DINA TERCIARIOS_CF_SEC_New_27-Mar-2024.xlsx]D-PSDP'!</v>
      </c>
      <c r="G1940" s="32" t="s">
        <v>103</v>
      </c>
      <c r="H1940" s="33"/>
      <c r="I1940" s="33"/>
      <c r="J1940" s="37"/>
    </row>
    <row r="1941" spans="1:10" x14ac:dyDescent="0.3">
      <c r="A1941" s="32" t="s">
        <v>21</v>
      </c>
      <c r="B1941" s="32">
        <f>+B1940+1</f>
        <v>2024</v>
      </c>
      <c r="C1941" s="33" t="s">
        <v>46</v>
      </c>
      <c r="D1941" s="34" t="s">
        <v>2002</v>
      </c>
      <c r="E1941" s="35" t="str">
        <f t="shared" si="469"/>
        <v>PSDP'!</v>
      </c>
      <c r="F1941" s="34" t="str">
        <f t="shared" si="470"/>
        <v>C:\Users\jaime.benazar\Quorum Business Solutions\Ecopetrol Prometeo - Documents\Planning Space Implementation\3. Analysis &amp; Design\Design\FC22\DRR Jaime\Neiva CPI\[DINA TERCIARIOS_CF_SEC_New_27-Mar-2024.xlsx]D-PSDP'!</v>
      </c>
      <c r="G1941" s="32" t="s">
        <v>103</v>
      </c>
      <c r="H1941" s="33"/>
      <c r="I1941" s="33"/>
      <c r="J1941" s="37"/>
    </row>
    <row r="1942" spans="1:10" x14ac:dyDescent="0.3">
      <c r="A1942" s="32" t="s">
        <v>21</v>
      </c>
      <c r="B1942" s="32">
        <f t="shared" ref="B1942:B1953" si="471">+B1941+1</f>
        <v>2025</v>
      </c>
      <c r="C1942" s="33" t="s">
        <v>46</v>
      </c>
      <c r="D1942" s="34" t="s">
        <v>2002</v>
      </c>
      <c r="E1942" s="35" t="str">
        <f t="shared" si="469"/>
        <v>PSDP'!</v>
      </c>
      <c r="F1942" s="34" t="str">
        <f t="shared" si="470"/>
        <v>C:\Users\jaime.benazar\Quorum Business Solutions\Ecopetrol Prometeo - Documents\Planning Space Implementation\3. Analysis &amp; Design\Design\FC22\DRR Jaime\Neiva CPI\[DINA TERCIARIOS_CF_SEC_New_27-Mar-2024.xlsx]D-PSDP'!</v>
      </c>
      <c r="G1942" s="32" t="s">
        <v>103</v>
      </c>
      <c r="H1942" s="33"/>
      <c r="I1942" s="33"/>
      <c r="J1942" s="37"/>
    </row>
    <row r="1943" spans="1:10" x14ac:dyDescent="0.3">
      <c r="A1943" s="32" t="s">
        <v>21</v>
      </c>
      <c r="B1943" s="32">
        <f t="shared" si="471"/>
        <v>2026</v>
      </c>
      <c r="C1943" s="33" t="s">
        <v>46</v>
      </c>
      <c r="D1943" s="34" t="s">
        <v>2002</v>
      </c>
      <c r="E1943" s="35" t="str">
        <f t="shared" si="469"/>
        <v>PSDP'!</v>
      </c>
      <c r="F1943" s="34" t="str">
        <f t="shared" si="470"/>
        <v>C:\Users\jaime.benazar\Quorum Business Solutions\Ecopetrol Prometeo - Documents\Planning Space Implementation\3. Analysis &amp; Design\Design\FC22\DRR Jaime\Neiva CPI\[DINA TERCIARIOS_CF_SEC_New_27-Mar-2024.xlsx]D-PSDP'!</v>
      </c>
      <c r="G1943" s="32" t="s">
        <v>103</v>
      </c>
      <c r="H1943" s="33"/>
      <c r="I1943" s="33"/>
      <c r="J1943" s="37"/>
    </row>
    <row r="1944" spans="1:10" x14ac:dyDescent="0.3">
      <c r="A1944" s="32" t="s">
        <v>21</v>
      </c>
      <c r="B1944" s="32">
        <f t="shared" si="471"/>
        <v>2027</v>
      </c>
      <c r="C1944" s="33" t="s">
        <v>46</v>
      </c>
      <c r="D1944" s="34" t="s">
        <v>2002</v>
      </c>
      <c r="E1944" s="35" t="str">
        <f t="shared" si="469"/>
        <v>PSDP'!</v>
      </c>
      <c r="F1944" s="34" t="str">
        <f t="shared" si="470"/>
        <v>C:\Users\jaime.benazar\Quorum Business Solutions\Ecopetrol Prometeo - Documents\Planning Space Implementation\3. Analysis &amp; Design\Design\FC22\DRR Jaime\Neiva CPI\[DINA TERCIARIOS_CF_SEC_New_27-Mar-2024.xlsx]D-PSDP'!</v>
      </c>
      <c r="G1944" s="32" t="s">
        <v>103</v>
      </c>
      <c r="H1944" s="33"/>
      <c r="I1944" s="33"/>
      <c r="J1944" s="37"/>
    </row>
    <row r="1945" spans="1:10" x14ac:dyDescent="0.3">
      <c r="A1945" s="32" t="s">
        <v>21</v>
      </c>
      <c r="B1945" s="32">
        <f t="shared" si="471"/>
        <v>2028</v>
      </c>
      <c r="C1945" s="33" t="s">
        <v>46</v>
      </c>
      <c r="D1945" s="34" t="s">
        <v>2002</v>
      </c>
      <c r="E1945" s="35" t="str">
        <f t="shared" si="469"/>
        <v>PSDP'!</v>
      </c>
      <c r="F1945" s="34" t="str">
        <f t="shared" si="470"/>
        <v>C:\Users\jaime.benazar\Quorum Business Solutions\Ecopetrol Prometeo - Documents\Planning Space Implementation\3. Analysis &amp; Design\Design\FC22\DRR Jaime\Neiva CPI\[DINA TERCIARIOS_CF_SEC_New_27-Mar-2024.xlsx]D-PSDP'!</v>
      </c>
      <c r="G1945" s="32" t="s">
        <v>103</v>
      </c>
      <c r="H1945" s="33"/>
      <c r="I1945" s="33"/>
      <c r="J1945" s="37"/>
    </row>
    <row r="1946" spans="1:10" x14ac:dyDescent="0.3">
      <c r="A1946" s="32" t="s">
        <v>21</v>
      </c>
      <c r="B1946" s="32">
        <f t="shared" si="471"/>
        <v>2029</v>
      </c>
      <c r="C1946" s="33" t="s">
        <v>46</v>
      </c>
      <c r="D1946" s="34" t="s">
        <v>2002</v>
      </c>
      <c r="E1946" s="35" t="str">
        <f t="shared" si="469"/>
        <v>PSDP'!</v>
      </c>
      <c r="F1946" s="34" t="str">
        <f t="shared" si="470"/>
        <v>C:\Users\jaime.benazar\Quorum Business Solutions\Ecopetrol Prometeo - Documents\Planning Space Implementation\3. Analysis &amp; Design\Design\FC22\DRR Jaime\Neiva CPI\[DINA TERCIARIOS_CF_SEC_New_27-Mar-2024.xlsx]D-PSDP'!</v>
      </c>
      <c r="G1946" s="32" t="s">
        <v>103</v>
      </c>
      <c r="H1946" s="33"/>
      <c r="I1946" s="33"/>
      <c r="J1946" s="37"/>
    </row>
    <row r="1947" spans="1:10" x14ac:dyDescent="0.3">
      <c r="A1947" s="32" t="s">
        <v>21</v>
      </c>
      <c r="B1947" s="32">
        <f t="shared" si="471"/>
        <v>2030</v>
      </c>
      <c r="C1947" s="33" t="s">
        <v>46</v>
      </c>
      <c r="D1947" s="34" t="s">
        <v>2002</v>
      </c>
      <c r="E1947" s="35" t="str">
        <f t="shared" si="469"/>
        <v>PSDP'!</v>
      </c>
      <c r="F1947" s="34" t="str">
        <f t="shared" si="470"/>
        <v>C:\Users\jaime.benazar\Quorum Business Solutions\Ecopetrol Prometeo - Documents\Planning Space Implementation\3. Analysis &amp; Design\Design\FC22\DRR Jaime\Neiva CPI\[DINA TERCIARIOS_CF_SEC_New_27-Mar-2024.xlsx]D-PSDP'!</v>
      </c>
      <c r="G1947" s="32" t="s">
        <v>103</v>
      </c>
      <c r="H1947" s="33"/>
      <c r="I1947" s="33"/>
      <c r="J1947" s="37"/>
    </row>
    <row r="1948" spans="1:10" x14ac:dyDescent="0.3">
      <c r="A1948" s="32" t="s">
        <v>21</v>
      </c>
      <c r="B1948" s="32">
        <f t="shared" si="471"/>
        <v>2031</v>
      </c>
      <c r="C1948" s="33" t="s">
        <v>46</v>
      </c>
      <c r="D1948" s="34" t="s">
        <v>2002</v>
      </c>
      <c r="E1948" s="35" t="str">
        <f t="shared" si="469"/>
        <v>PSDP'!</v>
      </c>
      <c r="F1948" s="34" t="str">
        <f t="shared" si="470"/>
        <v>C:\Users\jaime.benazar\Quorum Business Solutions\Ecopetrol Prometeo - Documents\Planning Space Implementation\3. Analysis &amp; Design\Design\FC22\DRR Jaime\Neiva CPI\[DINA TERCIARIOS_CF_SEC_New_27-Mar-2024.xlsx]D-PSDP'!</v>
      </c>
      <c r="G1948" s="32" t="s">
        <v>103</v>
      </c>
      <c r="H1948" s="33"/>
      <c r="I1948" s="33"/>
      <c r="J1948" s="37"/>
    </row>
    <row r="1949" spans="1:10" x14ac:dyDescent="0.3">
      <c r="A1949" s="32" t="s">
        <v>21</v>
      </c>
      <c r="B1949" s="32">
        <f t="shared" si="471"/>
        <v>2032</v>
      </c>
      <c r="C1949" s="33" t="s">
        <v>46</v>
      </c>
      <c r="D1949" s="34" t="s">
        <v>2002</v>
      </c>
      <c r="E1949" s="35" t="str">
        <f t="shared" si="469"/>
        <v>PSDP'!</v>
      </c>
      <c r="F1949" s="34" t="str">
        <f t="shared" si="470"/>
        <v>C:\Users\jaime.benazar\Quorum Business Solutions\Ecopetrol Prometeo - Documents\Planning Space Implementation\3. Analysis &amp; Design\Design\FC22\DRR Jaime\Neiva CPI\[DINA TERCIARIOS_CF_SEC_New_27-Mar-2024.xlsx]D-PSDP'!</v>
      </c>
      <c r="G1949" s="32" t="s">
        <v>103</v>
      </c>
      <c r="H1949" s="33"/>
      <c r="I1949" s="33"/>
      <c r="J1949" s="37"/>
    </row>
    <row r="1950" spans="1:10" x14ac:dyDescent="0.3">
      <c r="A1950" s="32" t="s">
        <v>21</v>
      </c>
      <c r="B1950" s="32">
        <f t="shared" si="471"/>
        <v>2033</v>
      </c>
      <c r="C1950" s="33" t="s">
        <v>46</v>
      </c>
      <c r="D1950" s="34" t="s">
        <v>2002</v>
      </c>
      <c r="E1950" s="35" t="str">
        <f t="shared" si="469"/>
        <v>PSDP'!</v>
      </c>
      <c r="F1950" s="34" t="str">
        <f t="shared" si="470"/>
        <v>C:\Users\jaime.benazar\Quorum Business Solutions\Ecopetrol Prometeo - Documents\Planning Space Implementation\3. Analysis &amp; Design\Design\FC22\DRR Jaime\Neiva CPI\[DINA TERCIARIOS_CF_SEC_New_27-Mar-2024.xlsx]D-PSDP'!</v>
      </c>
      <c r="G1950" s="32" t="s">
        <v>103</v>
      </c>
      <c r="H1950" s="33"/>
      <c r="I1950" s="33"/>
      <c r="J1950" s="37"/>
    </row>
    <row r="1951" spans="1:10" x14ac:dyDescent="0.3">
      <c r="A1951" s="32" t="s">
        <v>21</v>
      </c>
      <c r="B1951" s="32">
        <f t="shared" si="471"/>
        <v>2034</v>
      </c>
      <c r="C1951" s="33" t="s">
        <v>46</v>
      </c>
      <c r="D1951" s="34" t="s">
        <v>2002</v>
      </c>
      <c r="E1951" s="35" t="str">
        <f t="shared" si="469"/>
        <v>PSDP'!</v>
      </c>
      <c r="F1951" s="34" t="str">
        <f t="shared" si="470"/>
        <v>C:\Users\jaime.benazar\Quorum Business Solutions\Ecopetrol Prometeo - Documents\Planning Space Implementation\3. Analysis &amp; Design\Design\FC22\DRR Jaime\Neiva CPI\[DINA TERCIARIOS_CF_SEC_New_27-Mar-2024.xlsx]D-PSDP'!</v>
      </c>
      <c r="G1951" s="32" t="s">
        <v>103</v>
      </c>
      <c r="H1951" s="33"/>
      <c r="I1951" s="33"/>
      <c r="J1951" s="37"/>
    </row>
    <row r="1952" spans="1:10" x14ac:dyDescent="0.3">
      <c r="A1952" s="32" t="s">
        <v>21</v>
      </c>
      <c r="B1952" s="32">
        <f t="shared" si="471"/>
        <v>2035</v>
      </c>
      <c r="C1952" s="33" t="s">
        <v>46</v>
      </c>
      <c r="D1952" s="34" t="s">
        <v>2002</v>
      </c>
      <c r="E1952" s="35" t="str">
        <f t="shared" si="469"/>
        <v>PSDP'!</v>
      </c>
      <c r="F1952" s="34" t="str">
        <f t="shared" si="470"/>
        <v>C:\Users\jaime.benazar\Quorum Business Solutions\Ecopetrol Prometeo - Documents\Planning Space Implementation\3. Analysis &amp; Design\Design\FC22\DRR Jaime\Neiva CPI\[DINA TERCIARIOS_CF_SEC_New_27-Mar-2024.xlsx]D-PSDP'!</v>
      </c>
      <c r="G1952" s="32" t="s">
        <v>103</v>
      </c>
      <c r="H1952" s="33"/>
      <c r="I1952" s="33"/>
      <c r="J1952" s="37"/>
    </row>
    <row r="1953" spans="1:10" x14ac:dyDescent="0.3">
      <c r="A1953" s="32" t="s">
        <v>21</v>
      </c>
      <c r="B1953" s="32">
        <f t="shared" si="471"/>
        <v>2036</v>
      </c>
      <c r="C1953" s="33" t="s">
        <v>46</v>
      </c>
      <c r="D1953" s="34" t="s">
        <v>2002</v>
      </c>
      <c r="E1953" s="35" t="str">
        <f t="shared" si="469"/>
        <v>PSDP'!</v>
      </c>
      <c r="F1953" s="34" t="str">
        <f t="shared" si="470"/>
        <v>C:\Users\jaime.benazar\Quorum Business Solutions\Ecopetrol Prometeo - Documents\Planning Space Implementation\3. Analysis &amp; Design\Design\FC22\DRR Jaime\Neiva CPI\[DINA TERCIARIOS_CF_SEC_New_27-Mar-2024.xlsx]D-PSDP'!</v>
      </c>
      <c r="G1953" s="32" t="s">
        <v>103</v>
      </c>
      <c r="H1953" s="33"/>
      <c r="I1953" s="33"/>
      <c r="J1953" s="37"/>
    </row>
    <row r="1954" spans="1:10" x14ac:dyDescent="0.3">
      <c r="A1954" s="32" t="s">
        <v>21</v>
      </c>
      <c r="B1954" s="32">
        <f>+B1953+1</f>
        <v>2037</v>
      </c>
      <c r="C1954" s="33" t="s">
        <v>46</v>
      </c>
      <c r="D1954" s="34" t="s">
        <v>2002</v>
      </c>
      <c r="E1954" s="35" t="str">
        <f t="shared" si="469"/>
        <v>PSDP'!</v>
      </c>
      <c r="F1954" s="34" t="str">
        <f t="shared" si="470"/>
        <v>C:\Users\jaime.benazar\Quorum Business Solutions\Ecopetrol Prometeo - Documents\Planning Space Implementation\3. Analysis &amp; Design\Design\FC22\DRR Jaime\Neiva CPI\[DINA TERCIARIOS_CF_SEC_New_27-Mar-2024.xlsx]D-PSDP'!</v>
      </c>
      <c r="G1954" s="32" t="s">
        <v>103</v>
      </c>
      <c r="H1954" s="33"/>
      <c r="I1954" s="33"/>
      <c r="J1954" s="37"/>
    </row>
    <row r="1955" spans="1:10" x14ac:dyDescent="0.3">
      <c r="A1955" s="32" t="s">
        <v>21</v>
      </c>
      <c r="B1955" s="32">
        <f t="shared" ref="B1955:B1957" si="472">+B1954+1</f>
        <v>2038</v>
      </c>
      <c r="C1955" s="33" t="s">
        <v>46</v>
      </c>
      <c r="D1955" s="34" t="s">
        <v>2002</v>
      </c>
      <c r="E1955" s="35" t="str">
        <f t="shared" si="469"/>
        <v>PSDP'!</v>
      </c>
      <c r="F1955" s="34" t="str">
        <f t="shared" si="470"/>
        <v>C:\Users\jaime.benazar\Quorum Business Solutions\Ecopetrol Prometeo - Documents\Planning Space Implementation\3. Analysis &amp; Design\Design\FC22\DRR Jaime\Neiva CPI\[DINA TERCIARIOS_CF_SEC_New_27-Mar-2024.xlsx]D-PSDP'!</v>
      </c>
      <c r="G1955" s="32" t="s">
        <v>103</v>
      </c>
      <c r="H1955" s="33"/>
      <c r="I1955" s="33"/>
      <c r="J1955" s="37"/>
    </row>
    <row r="1956" spans="1:10" x14ac:dyDescent="0.3">
      <c r="A1956" s="32" t="s">
        <v>21</v>
      </c>
      <c r="B1956" s="32">
        <f t="shared" si="472"/>
        <v>2039</v>
      </c>
      <c r="C1956" s="33" t="s">
        <v>46</v>
      </c>
      <c r="D1956" s="34" t="s">
        <v>2002</v>
      </c>
      <c r="E1956" s="35" t="str">
        <f t="shared" si="469"/>
        <v>PSDP'!</v>
      </c>
      <c r="F1956" s="34" t="str">
        <f t="shared" si="470"/>
        <v>C:\Users\jaime.benazar\Quorum Business Solutions\Ecopetrol Prometeo - Documents\Planning Space Implementation\3. Analysis &amp; Design\Design\FC22\DRR Jaime\Neiva CPI\[DINA TERCIARIOS_CF_SEC_New_27-Mar-2024.xlsx]D-PSDP'!</v>
      </c>
      <c r="G1956" s="32" t="s">
        <v>103</v>
      </c>
      <c r="H1956" s="33"/>
      <c r="I1956" s="33"/>
      <c r="J1956" s="37"/>
    </row>
    <row r="1957" spans="1:10" x14ac:dyDescent="0.3">
      <c r="A1957" s="32" t="s">
        <v>21</v>
      </c>
      <c r="B1957" s="32">
        <f t="shared" si="472"/>
        <v>2040</v>
      </c>
      <c r="C1957" s="33" t="s">
        <v>46</v>
      </c>
      <c r="D1957" s="34" t="s">
        <v>2002</v>
      </c>
      <c r="E1957" s="35" t="str">
        <f t="shared" si="469"/>
        <v>PSDP'!</v>
      </c>
      <c r="F1957" s="34" t="str">
        <f t="shared" si="470"/>
        <v>C:\Users\jaime.benazar\Quorum Business Solutions\Ecopetrol Prometeo - Documents\Planning Space Implementation\3. Analysis &amp; Design\Design\FC22\DRR Jaime\Neiva CPI\[DINA TERCIARIOS_CF_SEC_New_27-Mar-2024.xlsx]D-PSDP'!</v>
      </c>
      <c r="G1957" s="32" t="s">
        <v>103</v>
      </c>
      <c r="H1957" s="33"/>
      <c r="I1957" s="33"/>
      <c r="J1957" s="37"/>
    </row>
    <row r="1958" spans="1:10" x14ac:dyDescent="0.3">
      <c r="A1958" s="32" t="s">
        <v>21</v>
      </c>
      <c r="B1958" s="32">
        <f>+B1957+1</f>
        <v>2041</v>
      </c>
      <c r="C1958" s="33" t="s">
        <v>46</v>
      </c>
      <c r="D1958" s="34" t="s">
        <v>2002</v>
      </c>
      <c r="E1958" s="35" t="str">
        <f t="shared" si="469"/>
        <v>PSDP'!</v>
      </c>
      <c r="F1958" s="34" t="str">
        <f t="shared" si="470"/>
        <v>C:\Users\jaime.benazar\Quorum Business Solutions\Ecopetrol Prometeo - Documents\Planning Space Implementation\3. Analysis &amp; Design\Design\FC22\DRR Jaime\Neiva CPI\[DINA TERCIARIOS_CF_SEC_New_27-Mar-2024.xlsx]D-PSDP'!</v>
      </c>
      <c r="G1958" s="32" t="s">
        <v>103</v>
      </c>
      <c r="H1958" s="33"/>
      <c r="I1958" s="33"/>
      <c r="J1958" s="37"/>
    </row>
    <row r="1959" spans="1:10" x14ac:dyDescent="0.3">
      <c r="A1959" s="32" t="s">
        <v>21</v>
      </c>
      <c r="B1959" s="32">
        <f t="shared" ref="B1959:B1960" si="473">+B1958+1</f>
        <v>2042</v>
      </c>
      <c r="C1959" s="33" t="s">
        <v>46</v>
      </c>
      <c r="D1959" s="34" t="s">
        <v>2002</v>
      </c>
      <c r="E1959" s="35" t="str">
        <f t="shared" si="469"/>
        <v>PSDP'!</v>
      </c>
      <c r="F1959" s="34" t="str">
        <f t="shared" si="470"/>
        <v>C:\Users\jaime.benazar\Quorum Business Solutions\Ecopetrol Prometeo - Documents\Planning Space Implementation\3. Analysis &amp; Design\Design\FC22\DRR Jaime\Neiva CPI\[DINA TERCIARIOS_CF_SEC_New_27-Mar-2024.xlsx]D-PSDP'!</v>
      </c>
      <c r="G1959" s="32" t="s">
        <v>103</v>
      </c>
      <c r="H1959" s="33"/>
      <c r="I1959" s="33"/>
      <c r="J1959" s="37"/>
    </row>
    <row r="1960" spans="1:10" x14ac:dyDescent="0.3">
      <c r="A1960" s="32" t="s">
        <v>21</v>
      </c>
      <c r="B1960" s="32">
        <f t="shared" si="473"/>
        <v>2043</v>
      </c>
      <c r="C1960" s="33" t="s">
        <v>46</v>
      </c>
      <c r="D1960" s="34" t="s">
        <v>2002</v>
      </c>
      <c r="E1960" s="35" t="str">
        <f t="shared" si="469"/>
        <v>PSDP'!</v>
      </c>
      <c r="F1960" s="34" t="str">
        <f t="shared" si="470"/>
        <v>C:\Users\jaime.benazar\Quorum Business Solutions\Ecopetrol Prometeo - Documents\Planning Space Implementation\3. Analysis &amp; Design\Design\FC22\DRR Jaime\Neiva CPI\[DINA TERCIARIOS_CF_SEC_New_27-Mar-2024.xlsx]D-PSDP'!</v>
      </c>
      <c r="G1960" s="32" t="s">
        <v>103</v>
      </c>
      <c r="H1960" s="33"/>
      <c r="I1960" s="33"/>
      <c r="J1960" s="37"/>
    </row>
    <row r="1961" spans="1:10" x14ac:dyDescent="0.3">
      <c r="A1961" s="32" t="s">
        <v>21</v>
      </c>
      <c r="B1961" s="32">
        <f>+B1960+1</f>
        <v>2044</v>
      </c>
      <c r="C1961" s="33" t="s">
        <v>46</v>
      </c>
      <c r="D1961" s="34" t="s">
        <v>2002</v>
      </c>
      <c r="E1961" s="35" t="str">
        <f t="shared" ref="E1961:E1976" si="474">_xlfn.CONCAT(A1961,"'!")</f>
        <v>PSDP'!</v>
      </c>
      <c r="F1961" s="34" t="str">
        <f t="shared" ref="F1961:F1976" si="475">_xlfn.CONCAT(D1961:E1961)</f>
        <v>C:\Users\jaime.benazar\Quorum Business Solutions\Ecopetrol Prometeo - Documents\Planning Space Implementation\3. Analysis &amp; Design\Design\FC22\DRR Jaime\Neiva CPI\[DINA TERCIARIOS_CF_SEC_New_27-Mar-2024.xlsx]D-PSDP'!</v>
      </c>
      <c r="G1961" s="32" t="s">
        <v>103</v>
      </c>
      <c r="H1961" s="33"/>
      <c r="I1961" s="33"/>
      <c r="J1961" s="37"/>
    </row>
    <row r="1962" spans="1:10" x14ac:dyDescent="0.3">
      <c r="A1962" s="32" t="s">
        <v>21</v>
      </c>
      <c r="B1962" s="32">
        <f t="shared" ref="B1962:B1976" si="476">+B1961+1</f>
        <v>2045</v>
      </c>
      <c r="C1962" s="33" t="s">
        <v>46</v>
      </c>
      <c r="D1962" s="34" t="s">
        <v>2002</v>
      </c>
      <c r="E1962" s="35" t="str">
        <f t="shared" si="474"/>
        <v>PSDP'!</v>
      </c>
      <c r="F1962" s="34" t="str">
        <f t="shared" si="475"/>
        <v>C:\Users\jaime.benazar\Quorum Business Solutions\Ecopetrol Prometeo - Documents\Planning Space Implementation\3. Analysis &amp; Design\Design\FC22\DRR Jaime\Neiva CPI\[DINA TERCIARIOS_CF_SEC_New_27-Mar-2024.xlsx]D-PSDP'!</v>
      </c>
      <c r="G1962" s="32" t="s">
        <v>103</v>
      </c>
      <c r="H1962" s="33"/>
      <c r="I1962" s="33"/>
      <c r="J1962" s="37"/>
    </row>
    <row r="1963" spans="1:10" x14ac:dyDescent="0.3">
      <c r="A1963" s="32" t="s">
        <v>21</v>
      </c>
      <c r="B1963" s="32">
        <f t="shared" si="476"/>
        <v>2046</v>
      </c>
      <c r="C1963" s="33" t="s">
        <v>46</v>
      </c>
      <c r="D1963" s="34" t="s">
        <v>2002</v>
      </c>
      <c r="E1963" s="35" t="str">
        <f t="shared" si="474"/>
        <v>PSDP'!</v>
      </c>
      <c r="F1963" s="34" t="str">
        <f t="shared" si="475"/>
        <v>C:\Users\jaime.benazar\Quorum Business Solutions\Ecopetrol Prometeo - Documents\Planning Space Implementation\3. Analysis &amp; Design\Design\FC22\DRR Jaime\Neiva CPI\[DINA TERCIARIOS_CF_SEC_New_27-Mar-2024.xlsx]D-PSDP'!</v>
      </c>
      <c r="G1963" s="32" t="s">
        <v>103</v>
      </c>
      <c r="H1963" s="33"/>
      <c r="I1963" s="33"/>
      <c r="J1963" s="37"/>
    </row>
    <row r="1964" spans="1:10" x14ac:dyDescent="0.3">
      <c r="A1964" s="32" t="s">
        <v>21</v>
      </c>
      <c r="B1964" s="32">
        <f t="shared" si="476"/>
        <v>2047</v>
      </c>
      <c r="C1964" s="33" t="s">
        <v>46</v>
      </c>
      <c r="D1964" s="34" t="s">
        <v>2002</v>
      </c>
      <c r="E1964" s="35" t="str">
        <f t="shared" si="474"/>
        <v>PSDP'!</v>
      </c>
      <c r="F1964" s="34" t="str">
        <f t="shared" si="475"/>
        <v>C:\Users\jaime.benazar\Quorum Business Solutions\Ecopetrol Prometeo - Documents\Planning Space Implementation\3. Analysis &amp; Design\Design\FC22\DRR Jaime\Neiva CPI\[DINA TERCIARIOS_CF_SEC_New_27-Mar-2024.xlsx]D-PSDP'!</v>
      </c>
      <c r="G1964" s="32" t="s">
        <v>103</v>
      </c>
      <c r="H1964" s="33"/>
      <c r="I1964" s="33"/>
      <c r="J1964" s="37"/>
    </row>
    <row r="1965" spans="1:10" x14ac:dyDescent="0.3">
      <c r="A1965" s="32" t="s">
        <v>21</v>
      </c>
      <c r="B1965" s="32">
        <f t="shared" si="476"/>
        <v>2048</v>
      </c>
      <c r="C1965" s="33" t="s">
        <v>46</v>
      </c>
      <c r="D1965" s="34" t="s">
        <v>2002</v>
      </c>
      <c r="E1965" s="35" t="str">
        <f t="shared" si="474"/>
        <v>PSDP'!</v>
      </c>
      <c r="F1965" s="34" t="str">
        <f t="shared" si="475"/>
        <v>C:\Users\jaime.benazar\Quorum Business Solutions\Ecopetrol Prometeo - Documents\Planning Space Implementation\3. Analysis &amp; Design\Design\FC22\DRR Jaime\Neiva CPI\[DINA TERCIARIOS_CF_SEC_New_27-Mar-2024.xlsx]D-PSDP'!</v>
      </c>
      <c r="G1965" s="32" t="s">
        <v>103</v>
      </c>
      <c r="H1965" s="33"/>
      <c r="I1965" s="33"/>
      <c r="J1965" s="37"/>
    </row>
    <row r="1966" spans="1:10" x14ac:dyDescent="0.3">
      <c r="A1966" s="32" t="s">
        <v>21</v>
      </c>
      <c r="B1966" s="32">
        <f t="shared" si="476"/>
        <v>2049</v>
      </c>
      <c r="C1966" s="33" t="s">
        <v>46</v>
      </c>
      <c r="D1966" s="34" t="s">
        <v>2002</v>
      </c>
      <c r="E1966" s="35" t="str">
        <f t="shared" si="474"/>
        <v>PSDP'!</v>
      </c>
      <c r="F1966" s="34" t="str">
        <f t="shared" si="475"/>
        <v>C:\Users\jaime.benazar\Quorum Business Solutions\Ecopetrol Prometeo - Documents\Planning Space Implementation\3. Analysis &amp; Design\Design\FC22\DRR Jaime\Neiva CPI\[DINA TERCIARIOS_CF_SEC_New_27-Mar-2024.xlsx]D-PSDP'!</v>
      </c>
      <c r="G1966" s="32" t="s">
        <v>103</v>
      </c>
      <c r="H1966" s="33"/>
      <c r="I1966" s="33"/>
      <c r="J1966" s="37"/>
    </row>
    <row r="1967" spans="1:10" x14ac:dyDescent="0.3">
      <c r="A1967" s="32" t="s">
        <v>21</v>
      </c>
      <c r="B1967" s="32">
        <f t="shared" si="476"/>
        <v>2050</v>
      </c>
      <c r="C1967" s="33" t="s">
        <v>46</v>
      </c>
      <c r="D1967" s="34" t="s">
        <v>2002</v>
      </c>
      <c r="E1967" s="35" t="str">
        <f t="shared" si="474"/>
        <v>PSDP'!</v>
      </c>
      <c r="F1967" s="34" t="str">
        <f t="shared" si="475"/>
        <v>C:\Users\jaime.benazar\Quorum Business Solutions\Ecopetrol Prometeo - Documents\Planning Space Implementation\3. Analysis &amp; Design\Design\FC22\DRR Jaime\Neiva CPI\[DINA TERCIARIOS_CF_SEC_New_27-Mar-2024.xlsx]D-PSDP'!</v>
      </c>
      <c r="G1967" s="32" t="s">
        <v>103</v>
      </c>
      <c r="H1967" s="33"/>
      <c r="I1967" s="33"/>
      <c r="J1967" s="37"/>
    </row>
    <row r="1968" spans="1:10" x14ac:dyDescent="0.3">
      <c r="A1968" s="32" t="s">
        <v>21</v>
      </c>
      <c r="B1968" s="32">
        <f t="shared" si="476"/>
        <v>2051</v>
      </c>
      <c r="C1968" s="33" t="s">
        <v>46</v>
      </c>
      <c r="D1968" s="34" t="s">
        <v>2002</v>
      </c>
      <c r="E1968" s="35" t="str">
        <f t="shared" si="474"/>
        <v>PSDP'!</v>
      </c>
      <c r="F1968" s="34" t="str">
        <f t="shared" si="475"/>
        <v>C:\Users\jaime.benazar\Quorum Business Solutions\Ecopetrol Prometeo - Documents\Planning Space Implementation\3. Analysis &amp; Design\Design\FC22\DRR Jaime\Neiva CPI\[DINA TERCIARIOS_CF_SEC_New_27-Mar-2024.xlsx]D-PSDP'!</v>
      </c>
      <c r="G1968" s="32" t="s">
        <v>103</v>
      </c>
      <c r="H1968" s="33"/>
      <c r="I1968" s="33"/>
      <c r="J1968" s="37"/>
    </row>
    <row r="1969" spans="1:10" x14ac:dyDescent="0.3">
      <c r="A1969" s="32" t="s">
        <v>21</v>
      </c>
      <c r="B1969" s="32">
        <f t="shared" si="476"/>
        <v>2052</v>
      </c>
      <c r="C1969" s="33" t="s">
        <v>46</v>
      </c>
      <c r="D1969" s="34" t="s">
        <v>2002</v>
      </c>
      <c r="E1969" s="35" t="str">
        <f t="shared" si="474"/>
        <v>PSDP'!</v>
      </c>
      <c r="F1969" s="34" t="str">
        <f t="shared" si="475"/>
        <v>C:\Users\jaime.benazar\Quorum Business Solutions\Ecopetrol Prometeo - Documents\Planning Space Implementation\3. Analysis &amp; Design\Design\FC22\DRR Jaime\Neiva CPI\[DINA TERCIARIOS_CF_SEC_New_27-Mar-2024.xlsx]D-PSDP'!</v>
      </c>
      <c r="G1969" s="32" t="s">
        <v>103</v>
      </c>
      <c r="H1969" s="33"/>
      <c r="I1969" s="33"/>
      <c r="J1969" s="37"/>
    </row>
    <row r="1970" spans="1:10" x14ac:dyDescent="0.3">
      <c r="A1970" s="32" t="s">
        <v>21</v>
      </c>
      <c r="B1970" s="32">
        <f t="shared" si="476"/>
        <v>2053</v>
      </c>
      <c r="C1970" s="33" t="s">
        <v>46</v>
      </c>
      <c r="D1970" s="34" t="s">
        <v>2002</v>
      </c>
      <c r="E1970" s="35" t="str">
        <f t="shared" si="474"/>
        <v>PSDP'!</v>
      </c>
      <c r="F1970" s="34" t="str">
        <f t="shared" si="475"/>
        <v>C:\Users\jaime.benazar\Quorum Business Solutions\Ecopetrol Prometeo - Documents\Planning Space Implementation\3. Analysis &amp; Design\Design\FC22\DRR Jaime\Neiva CPI\[DINA TERCIARIOS_CF_SEC_New_27-Mar-2024.xlsx]D-PSDP'!</v>
      </c>
      <c r="G1970" s="32" t="s">
        <v>103</v>
      </c>
      <c r="H1970" s="33"/>
      <c r="I1970" s="33"/>
      <c r="J1970" s="37"/>
    </row>
    <row r="1971" spans="1:10" x14ac:dyDescent="0.3">
      <c r="A1971" s="32" t="s">
        <v>21</v>
      </c>
      <c r="B1971" s="32">
        <f t="shared" si="476"/>
        <v>2054</v>
      </c>
      <c r="C1971" s="33" t="s">
        <v>46</v>
      </c>
      <c r="D1971" s="34" t="s">
        <v>2002</v>
      </c>
      <c r="E1971" s="35" t="str">
        <f t="shared" si="474"/>
        <v>PSDP'!</v>
      </c>
      <c r="F1971" s="34" t="str">
        <f t="shared" si="475"/>
        <v>C:\Users\jaime.benazar\Quorum Business Solutions\Ecopetrol Prometeo - Documents\Planning Space Implementation\3. Analysis &amp; Design\Design\FC22\DRR Jaime\Neiva CPI\[DINA TERCIARIOS_CF_SEC_New_27-Mar-2024.xlsx]D-PSDP'!</v>
      </c>
      <c r="G1971" s="32" t="s">
        <v>103</v>
      </c>
      <c r="H1971" s="33"/>
      <c r="I1971" s="33"/>
      <c r="J1971" s="37"/>
    </row>
    <row r="1972" spans="1:10" x14ac:dyDescent="0.3">
      <c r="A1972" s="32" t="s">
        <v>21</v>
      </c>
      <c r="B1972" s="32">
        <f t="shared" si="476"/>
        <v>2055</v>
      </c>
      <c r="C1972" s="33" t="s">
        <v>46</v>
      </c>
      <c r="D1972" s="34" t="s">
        <v>2002</v>
      </c>
      <c r="E1972" s="35" t="str">
        <f t="shared" si="474"/>
        <v>PSDP'!</v>
      </c>
      <c r="F1972" s="34" t="str">
        <f t="shared" si="475"/>
        <v>C:\Users\jaime.benazar\Quorum Business Solutions\Ecopetrol Prometeo - Documents\Planning Space Implementation\3. Analysis &amp; Design\Design\FC22\DRR Jaime\Neiva CPI\[DINA TERCIARIOS_CF_SEC_New_27-Mar-2024.xlsx]D-PSDP'!</v>
      </c>
      <c r="G1972" s="32" t="s">
        <v>103</v>
      </c>
      <c r="H1972" s="33"/>
      <c r="I1972" s="33"/>
      <c r="J1972" s="37"/>
    </row>
    <row r="1973" spans="1:10" x14ac:dyDescent="0.3">
      <c r="A1973" s="32" t="s">
        <v>21</v>
      </c>
      <c r="B1973" s="32">
        <f t="shared" si="476"/>
        <v>2056</v>
      </c>
      <c r="C1973" s="33" t="s">
        <v>46</v>
      </c>
      <c r="D1973" s="34" t="s">
        <v>2002</v>
      </c>
      <c r="E1973" s="35" t="str">
        <f t="shared" si="474"/>
        <v>PSDP'!</v>
      </c>
      <c r="F1973" s="34" t="str">
        <f t="shared" si="475"/>
        <v>C:\Users\jaime.benazar\Quorum Business Solutions\Ecopetrol Prometeo - Documents\Planning Space Implementation\3. Analysis &amp; Design\Design\FC22\DRR Jaime\Neiva CPI\[DINA TERCIARIOS_CF_SEC_New_27-Mar-2024.xlsx]D-PSDP'!</v>
      </c>
      <c r="G1973" s="32" t="s">
        <v>103</v>
      </c>
      <c r="H1973" s="33"/>
      <c r="I1973" s="33"/>
      <c r="J1973" s="37"/>
    </row>
    <row r="1974" spans="1:10" x14ac:dyDescent="0.3">
      <c r="A1974" s="32" t="s">
        <v>21</v>
      </c>
      <c r="B1974" s="32">
        <f t="shared" si="476"/>
        <v>2057</v>
      </c>
      <c r="C1974" s="33" t="s">
        <v>46</v>
      </c>
      <c r="D1974" s="34" t="s">
        <v>2002</v>
      </c>
      <c r="E1974" s="35" t="str">
        <f t="shared" si="474"/>
        <v>PSDP'!</v>
      </c>
      <c r="F1974" s="34" t="str">
        <f t="shared" si="475"/>
        <v>C:\Users\jaime.benazar\Quorum Business Solutions\Ecopetrol Prometeo - Documents\Planning Space Implementation\3. Analysis &amp; Design\Design\FC22\DRR Jaime\Neiva CPI\[DINA TERCIARIOS_CF_SEC_New_27-Mar-2024.xlsx]D-PSDP'!</v>
      </c>
      <c r="G1974" s="32" t="s">
        <v>103</v>
      </c>
      <c r="H1974" s="33"/>
      <c r="I1974" s="33"/>
      <c r="J1974" s="37"/>
    </row>
    <row r="1975" spans="1:10" x14ac:dyDescent="0.3">
      <c r="A1975" s="32" t="s">
        <v>21</v>
      </c>
      <c r="B1975" s="32">
        <f t="shared" si="476"/>
        <v>2058</v>
      </c>
      <c r="C1975" s="33" t="s">
        <v>46</v>
      </c>
      <c r="D1975" s="34" t="s">
        <v>2002</v>
      </c>
      <c r="E1975" s="35" t="str">
        <f t="shared" si="474"/>
        <v>PSDP'!</v>
      </c>
      <c r="F1975" s="34" t="str">
        <f t="shared" si="475"/>
        <v>C:\Users\jaime.benazar\Quorum Business Solutions\Ecopetrol Prometeo - Documents\Planning Space Implementation\3. Analysis &amp; Design\Design\FC22\DRR Jaime\Neiva CPI\[DINA TERCIARIOS_CF_SEC_New_27-Mar-2024.xlsx]D-PSDP'!</v>
      </c>
      <c r="G1975" s="32" t="s">
        <v>103</v>
      </c>
      <c r="H1975" s="33"/>
      <c r="I1975" s="33"/>
      <c r="J1975" s="37"/>
    </row>
    <row r="1976" spans="1:10" x14ac:dyDescent="0.3">
      <c r="A1976" s="32" t="s">
        <v>21</v>
      </c>
      <c r="B1976" s="32">
        <f t="shared" si="476"/>
        <v>2059</v>
      </c>
      <c r="C1976" s="33" t="s">
        <v>46</v>
      </c>
      <c r="D1976" s="34" t="s">
        <v>2002</v>
      </c>
      <c r="E1976" s="35" t="str">
        <f t="shared" si="474"/>
        <v>PSDP'!</v>
      </c>
      <c r="F1976" s="34" t="str">
        <f t="shared" si="475"/>
        <v>C:\Users\jaime.benazar\Quorum Business Solutions\Ecopetrol Prometeo - Documents\Planning Space Implementation\3. Analysis &amp; Design\Design\FC22\DRR Jaime\Neiva CPI\[DINA TERCIARIOS_CF_SEC_New_27-Mar-2024.xlsx]D-PSDP'!</v>
      </c>
      <c r="G1976" s="32" t="s">
        <v>103</v>
      </c>
      <c r="H1976" s="33"/>
      <c r="I1976" s="33"/>
      <c r="J1976" s="37"/>
    </row>
    <row r="1977" spans="1:10" x14ac:dyDescent="0.3">
      <c r="A1977" s="32" t="s">
        <v>26</v>
      </c>
      <c r="B1977" s="32"/>
      <c r="C1977" s="33" t="s">
        <v>46</v>
      </c>
      <c r="D1977" s="34"/>
      <c r="E1977" s="35"/>
      <c r="F1977" s="34"/>
      <c r="G1977" s="32"/>
      <c r="H1977" s="33"/>
      <c r="I1977" s="33"/>
      <c r="J1977" s="33"/>
    </row>
    <row r="1978" spans="1:10" x14ac:dyDescent="0.3">
      <c r="A1978" s="32" t="s">
        <v>22</v>
      </c>
      <c r="B1978" s="32">
        <v>2023</v>
      </c>
      <c r="C1978" s="33" t="s">
        <v>46</v>
      </c>
      <c r="D1978" s="34" t="s">
        <v>2002</v>
      </c>
      <c r="E1978" s="35" t="str">
        <f t="shared" ref="E1978:E1998" si="477">_xlfn.CONCAT(A1978,"'!")</f>
        <v>PSNP'!</v>
      </c>
      <c r="F1978" s="34" t="str">
        <f t="shared" ref="F1978:F1998" si="478">_xlfn.CONCAT(D1978:E1978)</f>
        <v>C:\Users\jaime.benazar\Quorum Business Solutions\Ecopetrol Prometeo - Documents\Planning Space Implementation\3. Analysis &amp; Design\Design\FC22\DRR Jaime\Neiva CPI\[DINA TERCIARIOS_CF_SEC_New_27-Mar-2024.xlsx]D-PSNP'!</v>
      </c>
      <c r="G1978" s="32" t="s">
        <v>103</v>
      </c>
      <c r="H1978" s="33"/>
      <c r="I1978" s="33"/>
      <c r="J1978" s="37"/>
    </row>
    <row r="1979" spans="1:10" x14ac:dyDescent="0.3">
      <c r="A1979" s="32" t="s">
        <v>22</v>
      </c>
      <c r="B1979" s="32">
        <f>+B1978+1</f>
        <v>2024</v>
      </c>
      <c r="C1979" s="33" t="s">
        <v>46</v>
      </c>
      <c r="D1979" s="34" t="s">
        <v>2002</v>
      </c>
      <c r="E1979" s="35" t="str">
        <f t="shared" si="477"/>
        <v>PSNP'!</v>
      </c>
      <c r="F1979" s="34" t="str">
        <f t="shared" si="478"/>
        <v>C:\Users\jaime.benazar\Quorum Business Solutions\Ecopetrol Prometeo - Documents\Planning Space Implementation\3. Analysis &amp; Design\Design\FC22\DRR Jaime\Neiva CPI\[DINA TERCIARIOS_CF_SEC_New_27-Mar-2024.xlsx]D-PSNP'!</v>
      </c>
      <c r="G1979" s="32" t="s">
        <v>103</v>
      </c>
      <c r="H1979" s="33"/>
      <c r="I1979" s="33"/>
      <c r="J1979" s="37"/>
    </row>
    <row r="1980" spans="1:10" x14ac:dyDescent="0.3">
      <c r="A1980" s="32" t="s">
        <v>22</v>
      </c>
      <c r="B1980" s="32">
        <f t="shared" ref="B1980:B1991" si="479">+B1979+1</f>
        <v>2025</v>
      </c>
      <c r="C1980" s="33" t="s">
        <v>46</v>
      </c>
      <c r="D1980" s="34" t="s">
        <v>2002</v>
      </c>
      <c r="E1980" s="35" t="str">
        <f t="shared" si="477"/>
        <v>PSNP'!</v>
      </c>
      <c r="F1980" s="34" t="str">
        <f t="shared" si="478"/>
        <v>C:\Users\jaime.benazar\Quorum Business Solutions\Ecopetrol Prometeo - Documents\Planning Space Implementation\3. Analysis &amp; Design\Design\FC22\DRR Jaime\Neiva CPI\[DINA TERCIARIOS_CF_SEC_New_27-Mar-2024.xlsx]D-PSNP'!</v>
      </c>
      <c r="G1980" s="32" t="s">
        <v>103</v>
      </c>
      <c r="H1980" s="33"/>
      <c r="I1980" s="33"/>
      <c r="J1980" s="37"/>
    </row>
    <row r="1981" spans="1:10" x14ac:dyDescent="0.3">
      <c r="A1981" s="32" t="s">
        <v>22</v>
      </c>
      <c r="B1981" s="32">
        <f t="shared" si="479"/>
        <v>2026</v>
      </c>
      <c r="C1981" s="33" t="s">
        <v>46</v>
      </c>
      <c r="D1981" s="34" t="s">
        <v>2002</v>
      </c>
      <c r="E1981" s="35" t="str">
        <f t="shared" si="477"/>
        <v>PSNP'!</v>
      </c>
      <c r="F1981" s="34" t="str">
        <f t="shared" si="478"/>
        <v>C:\Users\jaime.benazar\Quorum Business Solutions\Ecopetrol Prometeo - Documents\Planning Space Implementation\3. Analysis &amp; Design\Design\FC22\DRR Jaime\Neiva CPI\[DINA TERCIARIOS_CF_SEC_New_27-Mar-2024.xlsx]D-PSNP'!</v>
      </c>
      <c r="G1981" s="32" t="s">
        <v>103</v>
      </c>
      <c r="H1981" s="33"/>
      <c r="I1981" s="33"/>
      <c r="J1981" s="37"/>
    </row>
    <row r="1982" spans="1:10" x14ac:dyDescent="0.3">
      <c r="A1982" s="32" t="s">
        <v>22</v>
      </c>
      <c r="B1982" s="32">
        <f t="shared" si="479"/>
        <v>2027</v>
      </c>
      <c r="C1982" s="33" t="s">
        <v>46</v>
      </c>
      <c r="D1982" s="34" t="s">
        <v>2002</v>
      </c>
      <c r="E1982" s="35" t="str">
        <f t="shared" si="477"/>
        <v>PSNP'!</v>
      </c>
      <c r="F1982" s="34" t="str">
        <f t="shared" si="478"/>
        <v>C:\Users\jaime.benazar\Quorum Business Solutions\Ecopetrol Prometeo - Documents\Planning Space Implementation\3. Analysis &amp; Design\Design\FC22\DRR Jaime\Neiva CPI\[DINA TERCIARIOS_CF_SEC_New_27-Mar-2024.xlsx]D-PSNP'!</v>
      </c>
      <c r="G1982" s="32" t="s">
        <v>103</v>
      </c>
      <c r="H1982" s="33"/>
      <c r="I1982" s="33"/>
      <c r="J1982" s="37"/>
    </row>
    <row r="1983" spans="1:10" x14ac:dyDescent="0.3">
      <c r="A1983" s="32" t="s">
        <v>22</v>
      </c>
      <c r="B1983" s="32">
        <f t="shared" si="479"/>
        <v>2028</v>
      </c>
      <c r="C1983" s="33" t="s">
        <v>46</v>
      </c>
      <c r="D1983" s="34" t="s">
        <v>2002</v>
      </c>
      <c r="E1983" s="35" t="str">
        <f t="shared" si="477"/>
        <v>PSNP'!</v>
      </c>
      <c r="F1983" s="34" t="str">
        <f t="shared" si="478"/>
        <v>C:\Users\jaime.benazar\Quorum Business Solutions\Ecopetrol Prometeo - Documents\Planning Space Implementation\3. Analysis &amp; Design\Design\FC22\DRR Jaime\Neiva CPI\[DINA TERCIARIOS_CF_SEC_New_27-Mar-2024.xlsx]D-PSNP'!</v>
      </c>
      <c r="G1983" s="32" t="s">
        <v>103</v>
      </c>
      <c r="H1983" s="33"/>
      <c r="I1983" s="33"/>
      <c r="J1983" s="37"/>
    </row>
    <row r="1984" spans="1:10" x14ac:dyDescent="0.3">
      <c r="A1984" s="32" t="s">
        <v>22</v>
      </c>
      <c r="B1984" s="32">
        <f t="shared" si="479"/>
        <v>2029</v>
      </c>
      <c r="C1984" s="33" t="s">
        <v>46</v>
      </c>
      <c r="D1984" s="34" t="s">
        <v>2002</v>
      </c>
      <c r="E1984" s="35" t="str">
        <f t="shared" si="477"/>
        <v>PSNP'!</v>
      </c>
      <c r="F1984" s="34" t="str">
        <f t="shared" si="478"/>
        <v>C:\Users\jaime.benazar\Quorum Business Solutions\Ecopetrol Prometeo - Documents\Planning Space Implementation\3. Analysis &amp; Design\Design\FC22\DRR Jaime\Neiva CPI\[DINA TERCIARIOS_CF_SEC_New_27-Mar-2024.xlsx]D-PSNP'!</v>
      </c>
      <c r="G1984" s="32" t="s">
        <v>103</v>
      </c>
      <c r="H1984" s="33"/>
      <c r="I1984" s="33"/>
      <c r="J1984" s="37"/>
    </row>
    <row r="1985" spans="1:10" x14ac:dyDescent="0.3">
      <c r="A1985" s="32" t="s">
        <v>22</v>
      </c>
      <c r="B1985" s="32">
        <f t="shared" si="479"/>
        <v>2030</v>
      </c>
      <c r="C1985" s="33" t="s">
        <v>46</v>
      </c>
      <c r="D1985" s="34" t="s">
        <v>2002</v>
      </c>
      <c r="E1985" s="35" t="str">
        <f t="shared" si="477"/>
        <v>PSNP'!</v>
      </c>
      <c r="F1985" s="34" t="str">
        <f t="shared" si="478"/>
        <v>C:\Users\jaime.benazar\Quorum Business Solutions\Ecopetrol Prometeo - Documents\Planning Space Implementation\3. Analysis &amp; Design\Design\FC22\DRR Jaime\Neiva CPI\[DINA TERCIARIOS_CF_SEC_New_27-Mar-2024.xlsx]D-PSNP'!</v>
      </c>
      <c r="G1985" s="32" t="s">
        <v>103</v>
      </c>
      <c r="H1985" s="33"/>
      <c r="I1985" s="33"/>
      <c r="J1985" s="37"/>
    </row>
    <row r="1986" spans="1:10" x14ac:dyDescent="0.3">
      <c r="A1986" s="32" t="s">
        <v>22</v>
      </c>
      <c r="B1986" s="32">
        <f t="shared" si="479"/>
        <v>2031</v>
      </c>
      <c r="C1986" s="33" t="s">
        <v>46</v>
      </c>
      <c r="D1986" s="34" t="s">
        <v>2002</v>
      </c>
      <c r="E1986" s="35" t="str">
        <f t="shared" si="477"/>
        <v>PSNP'!</v>
      </c>
      <c r="F1986" s="34" t="str">
        <f t="shared" si="478"/>
        <v>C:\Users\jaime.benazar\Quorum Business Solutions\Ecopetrol Prometeo - Documents\Planning Space Implementation\3. Analysis &amp; Design\Design\FC22\DRR Jaime\Neiva CPI\[DINA TERCIARIOS_CF_SEC_New_27-Mar-2024.xlsx]D-PSNP'!</v>
      </c>
      <c r="G1986" s="32" t="s">
        <v>103</v>
      </c>
      <c r="H1986" s="33"/>
      <c r="I1986" s="33"/>
      <c r="J1986" s="37"/>
    </row>
    <row r="1987" spans="1:10" x14ac:dyDescent="0.3">
      <c r="A1987" s="32" t="s">
        <v>22</v>
      </c>
      <c r="B1987" s="32">
        <f t="shared" si="479"/>
        <v>2032</v>
      </c>
      <c r="C1987" s="33" t="s">
        <v>46</v>
      </c>
      <c r="D1987" s="34" t="s">
        <v>2002</v>
      </c>
      <c r="E1987" s="35" t="str">
        <f t="shared" si="477"/>
        <v>PSNP'!</v>
      </c>
      <c r="F1987" s="34" t="str">
        <f t="shared" si="478"/>
        <v>C:\Users\jaime.benazar\Quorum Business Solutions\Ecopetrol Prometeo - Documents\Planning Space Implementation\3. Analysis &amp; Design\Design\FC22\DRR Jaime\Neiva CPI\[DINA TERCIARIOS_CF_SEC_New_27-Mar-2024.xlsx]D-PSNP'!</v>
      </c>
      <c r="G1987" s="32" t="s">
        <v>103</v>
      </c>
      <c r="H1987" s="33"/>
      <c r="I1987" s="33"/>
      <c r="J1987" s="37"/>
    </row>
    <row r="1988" spans="1:10" x14ac:dyDescent="0.3">
      <c r="A1988" s="32" t="s">
        <v>22</v>
      </c>
      <c r="B1988" s="32">
        <f t="shared" si="479"/>
        <v>2033</v>
      </c>
      <c r="C1988" s="33" t="s">
        <v>46</v>
      </c>
      <c r="D1988" s="34" t="s">
        <v>2002</v>
      </c>
      <c r="E1988" s="35" t="str">
        <f t="shared" si="477"/>
        <v>PSNP'!</v>
      </c>
      <c r="F1988" s="34" t="str">
        <f t="shared" si="478"/>
        <v>C:\Users\jaime.benazar\Quorum Business Solutions\Ecopetrol Prometeo - Documents\Planning Space Implementation\3. Analysis &amp; Design\Design\FC22\DRR Jaime\Neiva CPI\[DINA TERCIARIOS_CF_SEC_New_27-Mar-2024.xlsx]D-PSNP'!</v>
      </c>
      <c r="G1988" s="32" t="s">
        <v>103</v>
      </c>
      <c r="H1988" s="33"/>
      <c r="I1988" s="33"/>
      <c r="J1988" s="37"/>
    </row>
    <row r="1989" spans="1:10" x14ac:dyDescent="0.3">
      <c r="A1989" s="32" t="s">
        <v>22</v>
      </c>
      <c r="B1989" s="32">
        <f t="shared" si="479"/>
        <v>2034</v>
      </c>
      <c r="C1989" s="33" t="s">
        <v>46</v>
      </c>
      <c r="D1989" s="34" t="s">
        <v>2002</v>
      </c>
      <c r="E1989" s="35" t="str">
        <f t="shared" si="477"/>
        <v>PSNP'!</v>
      </c>
      <c r="F1989" s="34" t="str">
        <f t="shared" si="478"/>
        <v>C:\Users\jaime.benazar\Quorum Business Solutions\Ecopetrol Prometeo - Documents\Planning Space Implementation\3. Analysis &amp; Design\Design\FC22\DRR Jaime\Neiva CPI\[DINA TERCIARIOS_CF_SEC_New_27-Mar-2024.xlsx]D-PSNP'!</v>
      </c>
      <c r="G1989" s="32" t="s">
        <v>103</v>
      </c>
      <c r="H1989" s="33"/>
      <c r="I1989" s="33"/>
      <c r="J1989" s="37"/>
    </row>
    <row r="1990" spans="1:10" x14ac:dyDescent="0.3">
      <c r="A1990" s="32" t="s">
        <v>22</v>
      </c>
      <c r="B1990" s="32">
        <f t="shared" si="479"/>
        <v>2035</v>
      </c>
      <c r="C1990" s="33" t="s">
        <v>46</v>
      </c>
      <c r="D1990" s="34" t="s">
        <v>2002</v>
      </c>
      <c r="E1990" s="35" t="str">
        <f t="shared" si="477"/>
        <v>PSNP'!</v>
      </c>
      <c r="F1990" s="34" t="str">
        <f t="shared" si="478"/>
        <v>C:\Users\jaime.benazar\Quorum Business Solutions\Ecopetrol Prometeo - Documents\Planning Space Implementation\3. Analysis &amp; Design\Design\FC22\DRR Jaime\Neiva CPI\[DINA TERCIARIOS_CF_SEC_New_27-Mar-2024.xlsx]D-PSNP'!</v>
      </c>
      <c r="G1990" s="32" t="s">
        <v>103</v>
      </c>
      <c r="H1990" s="33"/>
      <c r="I1990" s="33"/>
      <c r="J1990" s="37"/>
    </row>
    <row r="1991" spans="1:10" x14ac:dyDescent="0.3">
      <c r="A1991" s="32" t="s">
        <v>22</v>
      </c>
      <c r="B1991" s="32">
        <f t="shared" si="479"/>
        <v>2036</v>
      </c>
      <c r="C1991" s="33" t="s">
        <v>46</v>
      </c>
      <c r="D1991" s="34" t="s">
        <v>2002</v>
      </c>
      <c r="E1991" s="35" t="str">
        <f t="shared" si="477"/>
        <v>PSNP'!</v>
      </c>
      <c r="F1991" s="34" t="str">
        <f t="shared" si="478"/>
        <v>C:\Users\jaime.benazar\Quorum Business Solutions\Ecopetrol Prometeo - Documents\Planning Space Implementation\3. Analysis &amp; Design\Design\FC22\DRR Jaime\Neiva CPI\[DINA TERCIARIOS_CF_SEC_New_27-Mar-2024.xlsx]D-PSNP'!</v>
      </c>
      <c r="G1991" s="32" t="s">
        <v>103</v>
      </c>
      <c r="H1991" s="33"/>
      <c r="I1991" s="33"/>
      <c r="J1991" s="37"/>
    </row>
    <row r="1992" spans="1:10" x14ac:dyDescent="0.3">
      <c r="A1992" s="32" t="s">
        <v>22</v>
      </c>
      <c r="B1992" s="32">
        <f>+B1991+1</f>
        <v>2037</v>
      </c>
      <c r="C1992" s="33" t="s">
        <v>46</v>
      </c>
      <c r="D1992" s="34" t="s">
        <v>2002</v>
      </c>
      <c r="E1992" s="35" t="str">
        <f t="shared" si="477"/>
        <v>PSNP'!</v>
      </c>
      <c r="F1992" s="34" t="str">
        <f t="shared" si="478"/>
        <v>C:\Users\jaime.benazar\Quorum Business Solutions\Ecopetrol Prometeo - Documents\Planning Space Implementation\3. Analysis &amp; Design\Design\FC22\DRR Jaime\Neiva CPI\[DINA TERCIARIOS_CF_SEC_New_27-Mar-2024.xlsx]D-PSNP'!</v>
      </c>
      <c r="G1992" s="32" t="s">
        <v>103</v>
      </c>
      <c r="H1992" s="33"/>
      <c r="I1992" s="33"/>
      <c r="J1992" s="37"/>
    </row>
    <row r="1993" spans="1:10" x14ac:dyDescent="0.3">
      <c r="A1993" s="32" t="s">
        <v>22</v>
      </c>
      <c r="B1993" s="32">
        <f t="shared" ref="B1993:B1995" si="480">+B1992+1</f>
        <v>2038</v>
      </c>
      <c r="C1993" s="33" t="s">
        <v>46</v>
      </c>
      <c r="D1993" s="34" t="s">
        <v>2002</v>
      </c>
      <c r="E1993" s="35" t="str">
        <f t="shared" si="477"/>
        <v>PSNP'!</v>
      </c>
      <c r="F1993" s="34" t="str">
        <f t="shared" si="478"/>
        <v>C:\Users\jaime.benazar\Quorum Business Solutions\Ecopetrol Prometeo - Documents\Planning Space Implementation\3. Analysis &amp; Design\Design\FC22\DRR Jaime\Neiva CPI\[DINA TERCIARIOS_CF_SEC_New_27-Mar-2024.xlsx]D-PSNP'!</v>
      </c>
      <c r="G1993" s="32" t="s">
        <v>103</v>
      </c>
      <c r="H1993" s="33"/>
      <c r="I1993" s="33"/>
      <c r="J1993" s="37"/>
    </row>
    <row r="1994" spans="1:10" x14ac:dyDescent="0.3">
      <c r="A1994" s="32" t="s">
        <v>22</v>
      </c>
      <c r="B1994" s="32">
        <f t="shared" si="480"/>
        <v>2039</v>
      </c>
      <c r="C1994" s="33" t="s">
        <v>46</v>
      </c>
      <c r="D1994" s="34" t="s">
        <v>2002</v>
      </c>
      <c r="E1994" s="35" t="str">
        <f t="shared" si="477"/>
        <v>PSNP'!</v>
      </c>
      <c r="F1994" s="34" t="str">
        <f t="shared" si="478"/>
        <v>C:\Users\jaime.benazar\Quorum Business Solutions\Ecopetrol Prometeo - Documents\Planning Space Implementation\3. Analysis &amp; Design\Design\FC22\DRR Jaime\Neiva CPI\[DINA TERCIARIOS_CF_SEC_New_27-Mar-2024.xlsx]D-PSNP'!</v>
      </c>
      <c r="G1994" s="32" t="s">
        <v>103</v>
      </c>
      <c r="H1994" s="33"/>
      <c r="I1994" s="33"/>
      <c r="J1994" s="37"/>
    </row>
    <row r="1995" spans="1:10" x14ac:dyDescent="0.3">
      <c r="A1995" s="32" t="s">
        <v>22</v>
      </c>
      <c r="B1995" s="32">
        <f t="shared" si="480"/>
        <v>2040</v>
      </c>
      <c r="C1995" s="33" t="s">
        <v>46</v>
      </c>
      <c r="D1995" s="34" t="s">
        <v>2002</v>
      </c>
      <c r="E1995" s="35" t="str">
        <f t="shared" si="477"/>
        <v>PSNP'!</v>
      </c>
      <c r="F1995" s="34" t="str">
        <f t="shared" si="478"/>
        <v>C:\Users\jaime.benazar\Quorum Business Solutions\Ecopetrol Prometeo - Documents\Planning Space Implementation\3. Analysis &amp; Design\Design\FC22\DRR Jaime\Neiva CPI\[DINA TERCIARIOS_CF_SEC_New_27-Mar-2024.xlsx]D-PSNP'!</v>
      </c>
      <c r="G1995" s="32" t="s">
        <v>103</v>
      </c>
      <c r="H1995" s="33"/>
      <c r="I1995" s="33"/>
      <c r="J1995" s="37"/>
    </row>
    <row r="1996" spans="1:10" x14ac:dyDescent="0.3">
      <c r="A1996" s="32" t="s">
        <v>22</v>
      </c>
      <c r="B1996" s="32">
        <f>+B1995+1</f>
        <v>2041</v>
      </c>
      <c r="C1996" s="33" t="s">
        <v>46</v>
      </c>
      <c r="D1996" s="34" t="s">
        <v>2002</v>
      </c>
      <c r="E1996" s="35" t="str">
        <f t="shared" si="477"/>
        <v>PSNP'!</v>
      </c>
      <c r="F1996" s="34" t="str">
        <f t="shared" si="478"/>
        <v>C:\Users\jaime.benazar\Quorum Business Solutions\Ecopetrol Prometeo - Documents\Planning Space Implementation\3. Analysis &amp; Design\Design\FC22\DRR Jaime\Neiva CPI\[DINA TERCIARIOS_CF_SEC_New_27-Mar-2024.xlsx]D-PSNP'!</v>
      </c>
      <c r="G1996" s="32" t="s">
        <v>103</v>
      </c>
      <c r="H1996" s="33"/>
      <c r="I1996" s="33"/>
      <c r="J1996" s="37"/>
    </row>
    <row r="1997" spans="1:10" x14ac:dyDescent="0.3">
      <c r="A1997" s="32" t="s">
        <v>22</v>
      </c>
      <c r="B1997" s="32">
        <f t="shared" ref="B1997:B1998" si="481">+B1996+1</f>
        <v>2042</v>
      </c>
      <c r="C1997" s="33" t="s">
        <v>46</v>
      </c>
      <c r="D1997" s="34" t="s">
        <v>2002</v>
      </c>
      <c r="E1997" s="35" t="str">
        <f t="shared" si="477"/>
        <v>PSNP'!</v>
      </c>
      <c r="F1997" s="34" t="str">
        <f t="shared" si="478"/>
        <v>C:\Users\jaime.benazar\Quorum Business Solutions\Ecopetrol Prometeo - Documents\Planning Space Implementation\3. Analysis &amp; Design\Design\FC22\DRR Jaime\Neiva CPI\[DINA TERCIARIOS_CF_SEC_New_27-Mar-2024.xlsx]D-PSNP'!</v>
      </c>
      <c r="G1997" s="32" t="s">
        <v>103</v>
      </c>
      <c r="H1997" s="33"/>
      <c r="I1997" s="33"/>
      <c r="J1997" s="37"/>
    </row>
    <row r="1998" spans="1:10" x14ac:dyDescent="0.3">
      <c r="A1998" s="32" t="s">
        <v>22</v>
      </c>
      <c r="B1998" s="32">
        <f t="shared" si="481"/>
        <v>2043</v>
      </c>
      <c r="C1998" s="33" t="s">
        <v>46</v>
      </c>
      <c r="D1998" s="34" t="s">
        <v>2002</v>
      </c>
      <c r="E1998" s="35" t="str">
        <f t="shared" si="477"/>
        <v>PSNP'!</v>
      </c>
      <c r="F1998" s="34" t="str">
        <f t="shared" si="478"/>
        <v>C:\Users\jaime.benazar\Quorum Business Solutions\Ecopetrol Prometeo - Documents\Planning Space Implementation\3. Analysis &amp; Design\Design\FC22\DRR Jaime\Neiva CPI\[DINA TERCIARIOS_CF_SEC_New_27-Mar-2024.xlsx]D-PSNP'!</v>
      </c>
      <c r="G1998" s="32" t="s">
        <v>103</v>
      </c>
      <c r="H1998" s="33"/>
      <c r="I1998" s="33"/>
      <c r="J1998" s="37"/>
    </row>
    <row r="1999" spans="1:10" x14ac:dyDescent="0.3">
      <c r="A1999" s="32" t="s">
        <v>22</v>
      </c>
      <c r="B1999" s="32">
        <f>+B1998+1</f>
        <v>2044</v>
      </c>
      <c r="C1999" s="33" t="s">
        <v>46</v>
      </c>
      <c r="D1999" s="34" t="s">
        <v>2002</v>
      </c>
      <c r="E1999" s="35" t="str">
        <f t="shared" ref="E1999:E2014" si="482">_xlfn.CONCAT(A1999,"'!")</f>
        <v>PSNP'!</v>
      </c>
      <c r="F1999" s="34" t="str">
        <f t="shared" ref="F1999:F2014" si="483">_xlfn.CONCAT(D1999:E1999)</f>
        <v>C:\Users\jaime.benazar\Quorum Business Solutions\Ecopetrol Prometeo - Documents\Planning Space Implementation\3. Analysis &amp; Design\Design\FC22\DRR Jaime\Neiva CPI\[DINA TERCIARIOS_CF_SEC_New_27-Mar-2024.xlsx]D-PSNP'!</v>
      </c>
      <c r="G1999" s="32" t="s">
        <v>103</v>
      </c>
      <c r="H1999" s="33"/>
      <c r="I1999" s="33"/>
      <c r="J1999" s="37"/>
    </row>
    <row r="2000" spans="1:10" x14ac:dyDescent="0.3">
      <c r="A2000" s="32" t="s">
        <v>22</v>
      </c>
      <c r="B2000" s="32">
        <f t="shared" ref="B2000:B2014" si="484">+B1999+1</f>
        <v>2045</v>
      </c>
      <c r="C2000" s="33" t="s">
        <v>46</v>
      </c>
      <c r="D2000" s="34" t="s">
        <v>2002</v>
      </c>
      <c r="E2000" s="35" t="str">
        <f t="shared" si="482"/>
        <v>PSNP'!</v>
      </c>
      <c r="F2000" s="34" t="str">
        <f t="shared" si="483"/>
        <v>C:\Users\jaime.benazar\Quorum Business Solutions\Ecopetrol Prometeo - Documents\Planning Space Implementation\3. Analysis &amp; Design\Design\FC22\DRR Jaime\Neiva CPI\[DINA TERCIARIOS_CF_SEC_New_27-Mar-2024.xlsx]D-PSNP'!</v>
      </c>
      <c r="G2000" s="32" t="s">
        <v>103</v>
      </c>
      <c r="H2000" s="33"/>
      <c r="I2000" s="33"/>
      <c r="J2000" s="37"/>
    </row>
    <row r="2001" spans="1:10" x14ac:dyDescent="0.3">
      <c r="A2001" s="32" t="s">
        <v>22</v>
      </c>
      <c r="B2001" s="32">
        <f t="shared" si="484"/>
        <v>2046</v>
      </c>
      <c r="C2001" s="33" t="s">
        <v>46</v>
      </c>
      <c r="D2001" s="34" t="s">
        <v>2002</v>
      </c>
      <c r="E2001" s="35" t="str">
        <f t="shared" si="482"/>
        <v>PSNP'!</v>
      </c>
      <c r="F2001" s="34" t="str">
        <f t="shared" si="483"/>
        <v>C:\Users\jaime.benazar\Quorum Business Solutions\Ecopetrol Prometeo - Documents\Planning Space Implementation\3. Analysis &amp; Design\Design\FC22\DRR Jaime\Neiva CPI\[DINA TERCIARIOS_CF_SEC_New_27-Mar-2024.xlsx]D-PSNP'!</v>
      </c>
      <c r="G2001" s="32" t="s">
        <v>103</v>
      </c>
      <c r="H2001" s="33"/>
      <c r="I2001" s="33"/>
      <c r="J2001" s="37"/>
    </row>
    <row r="2002" spans="1:10" x14ac:dyDescent="0.3">
      <c r="A2002" s="32" t="s">
        <v>22</v>
      </c>
      <c r="B2002" s="32">
        <f t="shared" si="484"/>
        <v>2047</v>
      </c>
      <c r="C2002" s="33" t="s">
        <v>46</v>
      </c>
      <c r="D2002" s="34" t="s">
        <v>2002</v>
      </c>
      <c r="E2002" s="35" t="str">
        <f t="shared" si="482"/>
        <v>PSNP'!</v>
      </c>
      <c r="F2002" s="34" t="str">
        <f t="shared" si="483"/>
        <v>C:\Users\jaime.benazar\Quorum Business Solutions\Ecopetrol Prometeo - Documents\Planning Space Implementation\3. Analysis &amp; Design\Design\FC22\DRR Jaime\Neiva CPI\[DINA TERCIARIOS_CF_SEC_New_27-Mar-2024.xlsx]D-PSNP'!</v>
      </c>
      <c r="G2002" s="32" t="s">
        <v>103</v>
      </c>
      <c r="H2002" s="33"/>
      <c r="I2002" s="33"/>
      <c r="J2002" s="37"/>
    </row>
    <row r="2003" spans="1:10" x14ac:dyDescent="0.3">
      <c r="A2003" s="32" t="s">
        <v>22</v>
      </c>
      <c r="B2003" s="32">
        <f t="shared" si="484"/>
        <v>2048</v>
      </c>
      <c r="C2003" s="33" t="s">
        <v>46</v>
      </c>
      <c r="D2003" s="34" t="s">
        <v>2002</v>
      </c>
      <c r="E2003" s="35" t="str">
        <f t="shared" si="482"/>
        <v>PSNP'!</v>
      </c>
      <c r="F2003" s="34" t="str">
        <f t="shared" si="483"/>
        <v>C:\Users\jaime.benazar\Quorum Business Solutions\Ecopetrol Prometeo - Documents\Planning Space Implementation\3. Analysis &amp; Design\Design\FC22\DRR Jaime\Neiva CPI\[DINA TERCIARIOS_CF_SEC_New_27-Mar-2024.xlsx]D-PSNP'!</v>
      </c>
      <c r="G2003" s="32" t="s">
        <v>103</v>
      </c>
      <c r="H2003" s="33"/>
      <c r="I2003" s="33"/>
      <c r="J2003" s="37"/>
    </row>
    <row r="2004" spans="1:10" x14ac:dyDescent="0.3">
      <c r="A2004" s="32" t="s">
        <v>22</v>
      </c>
      <c r="B2004" s="32">
        <f t="shared" si="484"/>
        <v>2049</v>
      </c>
      <c r="C2004" s="33" t="s">
        <v>46</v>
      </c>
      <c r="D2004" s="34" t="s">
        <v>2002</v>
      </c>
      <c r="E2004" s="35" t="str">
        <f t="shared" si="482"/>
        <v>PSNP'!</v>
      </c>
      <c r="F2004" s="34" t="str">
        <f t="shared" si="483"/>
        <v>C:\Users\jaime.benazar\Quorum Business Solutions\Ecopetrol Prometeo - Documents\Planning Space Implementation\3. Analysis &amp; Design\Design\FC22\DRR Jaime\Neiva CPI\[DINA TERCIARIOS_CF_SEC_New_27-Mar-2024.xlsx]D-PSNP'!</v>
      </c>
      <c r="G2004" s="32" t="s">
        <v>103</v>
      </c>
      <c r="H2004" s="33"/>
      <c r="I2004" s="33"/>
      <c r="J2004" s="37"/>
    </row>
    <row r="2005" spans="1:10" x14ac:dyDescent="0.3">
      <c r="A2005" s="32" t="s">
        <v>22</v>
      </c>
      <c r="B2005" s="32">
        <f t="shared" si="484"/>
        <v>2050</v>
      </c>
      <c r="C2005" s="33" t="s">
        <v>46</v>
      </c>
      <c r="D2005" s="34" t="s">
        <v>2002</v>
      </c>
      <c r="E2005" s="35" t="str">
        <f t="shared" si="482"/>
        <v>PSNP'!</v>
      </c>
      <c r="F2005" s="34" t="str">
        <f t="shared" si="483"/>
        <v>C:\Users\jaime.benazar\Quorum Business Solutions\Ecopetrol Prometeo - Documents\Planning Space Implementation\3. Analysis &amp; Design\Design\FC22\DRR Jaime\Neiva CPI\[DINA TERCIARIOS_CF_SEC_New_27-Mar-2024.xlsx]D-PSNP'!</v>
      </c>
      <c r="G2005" s="32" t="s">
        <v>103</v>
      </c>
      <c r="H2005" s="33"/>
      <c r="I2005" s="33"/>
      <c r="J2005" s="37"/>
    </row>
    <row r="2006" spans="1:10" x14ac:dyDescent="0.3">
      <c r="A2006" s="32" t="s">
        <v>22</v>
      </c>
      <c r="B2006" s="32">
        <f t="shared" si="484"/>
        <v>2051</v>
      </c>
      <c r="C2006" s="33" t="s">
        <v>46</v>
      </c>
      <c r="D2006" s="34" t="s">
        <v>2002</v>
      </c>
      <c r="E2006" s="35" t="str">
        <f t="shared" si="482"/>
        <v>PSNP'!</v>
      </c>
      <c r="F2006" s="34" t="str">
        <f t="shared" si="483"/>
        <v>C:\Users\jaime.benazar\Quorum Business Solutions\Ecopetrol Prometeo - Documents\Planning Space Implementation\3. Analysis &amp; Design\Design\FC22\DRR Jaime\Neiva CPI\[DINA TERCIARIOS_CF_SEC_New_27-Mar-2024.xlsx]D-PSNP'!</v>
      </c>
      <c r="G2006" s="32" t="s">
        <v>103</v>
      </c>
      <c r="H2006" s="33"/>
      <c r="I2006" s="33"/>
      <c r="J2006" s="37"/>
    </row>
    <row r="2007" spans="1:10" x14ac:dyDescent="0.3">
      <c r="A2007" s="32" t="s">
        <v>22</v>
      </c>
      <c r="B2007" s="32">
        <f t="shared" si="484"/>
        <v>2052</v>
      </c>
      <c r="C2007" s="33" t="s">
        <v>46</v>
      </c>
      <c r="D2007" s="34" t="s">
        <v>2002</v>
      </c>
      <c r="E2007" s="35" t="str">
        <f t="shared" si="482"/>
        <v>PSNP'!</v>
      </c>
      <c r="F2007" s="34" t="str">
        <f t="shared" si="483"/>
        <v>C:\Users\jaime.benazar\Quorum Business Solutions\Ecopetrol Prometeo - Documents\Planning Space Implementation\3. Analysis &amp; Design\Design\FC22\DRR Jaime\Neiva CPI\[DINA TERCIARIOS_CF_SEC_New_27-Mar-2024.xlsx]D-PSNP'!</v>
      </c>
      <c r="G2007" s="32" t="s">
        <v>103</v>
      </c>
      <c r="H2007" s="33"/>
      <c r="I2007" s="33"/>
      <c r="J2007" s="37"/>
    </row>
    <row r="2008" spans="1:10" x14ac:dyDescent="0.3">
      <c r="A2008" s="32" t="s">
        <v>22</v>
      </c>
      <c r="B2008" s="32">
        <f t="shared" si="484"/>
        <v>2053</v>
      </c>
      <c r="C2008" s="33" t="s">
        <v>46</v>
      </c>
      <c r="D2008" s="34" t="s">
        <v>2002</v>
      </c>
      <c r="E2008" s="35" t="str">
        <f t="shared" si="482"/>
        <v>PSNP'!</v>
      </c>
      <c r="F2008" s="34" t="str">
        <f t="shared" si="483"/>
        <v>C:\Users\jaime.benazar\Quorum Business Solutions\Ecopetrol Prometeo - Documents\Planning Space Implementation\3. Analysis &amp; Design\Design\FC22\DRR Jaime\Neiva CPI\[DINA TERCIARIOS_CF_SEC_New_27-Mar-2024.xlsx]D-PSNP'!</v>
      </c>
      <c r="G2008" s="32" t="s">
        <v>103</v>
      </c>
      <c r="H2008" s="33"/>
      <c r="I2008" s="33"/>
      <c r="J2008" s="37"/>
    </row>
    <row r="2009" spans="1:10" x14ac:dyDescent="0.3">
      <c r="A2009" s="32" t="s">
        <v>22</v>
      </c>
      <c r="B2009" s="32">
        <f t="shared" si="484"/>
        <v>2054</v>
      </c>
      <c r="C2009" s="33" t="s">
        <v>46</v>
      </c>
      <c r="D2009" s="34" t="s">
        <v>2002</v>
      </c>
      <c r="E2009" s="35" t="str">
        <f t="shared" si="482"/>
        <v>PSNP'!</v>
      </c>
      <c r="F2009" s="34" t="str">
        <f t="shared" si="483"/>
        <v>C:\Users\jaime.benazar\Quorum Business Solutions\Ecopetrol Prometeo - Documents\Planning Space Implementation\3. Analysis &amp; Design\Design\FC22\DRR Jaime\Neiva CPI\[DINA TERCIARIOS_CF_SEC_New_27-Mar-2024.xlsx]D-PSNP'!</v>
      </c>
      <c r="G2009" s="32" t="s">
        <v>103</v>
      </c>
      <c r="H2009" s="33"/>
      <c r="I2009" s="33"/>
      <c r="J2009" s="37"/>
    </row>
    <row r="2010" spans="1:10" x14ac:dyDescent="0.3">
      <c r="A2010" s="32" t="s">
        <v>22</v>
      </c>
      <c r="B2010" s="32">
        <f t="shared" si="484"/>
        <v>2055</v>
      </c>
      <c r="C2010" s="33" t="s">
        <v>46</v>
      </c>
      <c r="D2010" s="34" t="s">
        <v>2002</v>
      </c>
      <c r="E2010" s="35" t="str">
        <f t="shared" si="482"/>
        <v>PSNP'!</v>
      </c>
      <c r="F2010" s="34" t="str">
        <f t="shared" si="483"/>
        <v>C:\Users\jaime.benazar\Quorum Business Solutions\Ecopetrol Prometeo - Documents\Planning Space Implementation\3. Analysis &amp; Design\Design\FC22\DRR Jaime\Neiva CPI\[DINA TERCIARIOS_CF_SEC_New_27-Mar-2024.xlsx]D-PSNP'!</v>
      </c>
      <c r="G2010" s="32" t="s">
        <v>103</v>
      </c>
      <c r="H2010" s="33"/>
      <c r="I2010" s="33"/>
      <c r="J2010" s="37"/>
    </row>
    <row r="2011" spans="1:10" x14ac:dyDescent="0.3">
      <c r="A2011" s="32" t="s">
        <v>22</v>
      </c>
      <c r="B2011" s="32">
        <f t="shared" si="484"/>
        <v>2056</v>
      </c>
      <c r="C2011" s="33" t="s">
        <v>46</v>
      </c>
      <c r="D2011" s="34" t="s">
        <v>2002</v>
      </c>
      <c r="E2011" s="35" t="str">
        <f t="shared" si="482"/>
        <v>PSNP'!</v>
      </c>
      <c r="F2011" s="34" t="str">
        <f t="shared" si="483"/>
        <v>C:\Users\jaime.benazar\Quorum Business Solutions\Ecopetrol Prometeo - Documents\Planning Space Implementation\3. Analysis &amp; Design\Design\FC22\DRR Jaime\Neiva CPI\[DINA TERCIARIOS_CF_SEC_New_27-Mar-2024.xlsx]D-PSNP'!</v>
      </c>
      <c r="G2011" s="32" t="s">
        <v>103</v>
      </c>
      <c r="H2011" s="33"/>
      <c r="I2011" s="33"/>
      <c r="J2011" s="37"/>
    </row>
    <row r="2012" spans="1:10" x14ac:dyDescent="0.3">
      <c r="A2012" s="32" t="s">
        <v>22</v>
      </c>
      <c r="B2012" s="32">
        <f t="shared" si="484"/>
        <v>2057</v>
      </c>
      <c r="C2012" s="33" t="s">
        <v>46</v>
      </c>
      <c r="D2012" s="34" t="s">
        <v>2002</v>
      </c>
      <c r="E2012" s="35" t="str">
        <f t="shared" si="482"/>
        <v>PSNP'!</v>
      </c>
      <c r="F2012" s="34" t="str">
        <f t="shared" si="483"/>
        <v>C:\Users\jaime.benazar\Quorum Business Solutions\Ecopetrol Prometeo - Documents\Planning Space Implementation\3. Analysis &amp; Design\Design\FC22\DRR Jaime\Neiva CPI\[DINA TERCIARIOS_CF_SEC_New_27-Mar-2024.xlsx]D-PSNP'!</v>
      </c>
      <c r="G2012" s="32" t="s">
        <v>103</v>
      </c>
      <c r="H2012" s="33"/>
      <c r="I2012" s="33"/>
      <c r="J2012" s="37"/>
    </row>
    <row r="2013" spans="1:10" x14ac:dyDescent="0.3">
      <c r="A2013" s="32" t="s">
        <v>22</v>
      </c>
      <c r="B2013" s="32">
        <f t="shared" si="484"/>
        <v>2058</v>
      </c>
      <c r="C2013" s="33" t="s">
        <v>46</v>
      </c>
      <c r="D2013" s="34" t="s">
        <v>2002</v>
      </c>
      <c r="E2013" s="35" t="str">
        <f t="shared" si="482"/>
        <v>PSNP'!</v>
      </c>
      <c r="F2013" s="34" t="str">
        <f t="shared" si="483"/>
        <v>C:\Users\jaime.benazar\Quorum Business Solutions\Ecopetrol Prometeo - Documents\Planning Space Implementation\3. Analysis &amp; Design\Design\FC22\DRR Jaime\Neiva CPI\[DINA TERCIARIOS_CF_SEC_New_27-Mar-2024.xlsx]D-PSNP'!</v>
      </c>
      <c r="G2013" s="32" t="s">
        <v>103</v>
      </c>
      <c r="H2013" s="33"/>
      <c r="I2013" s="33"/>
      <c r="J2013" s="37"/>
    </row>
    <row r="2014" spans="1:10" x14ac:dyDescent="0.3">
      <c r="A2014" s="32" t="s">
        <v>22</v>
      </c>
      <c r="B2014" s="32">
        <f t="shared" si="484"/>
        <v>2059</v>
      </c>
      <c r="C2014" s="33" t="s">
        <v>46</v>
      </c>
      <c r="D2014" s="34" t="s">
        <v>2002</v>
      </c>
      <c r="E2014" s="35" t="str">
        <f t="shared" si="482"/>
        <v>PSNP'!</v>
      </c>
      <c r="F2014" s="34" t="str">
        <f t="shared" si="483"/>
        <v>C:\Users\jaime.benazar\Quorum Business Solutions\Ecopetrol Prometeo - Documents\Planning Space Implementation\3. Analysis &amp; Design\Design\FC22\DRR Jaime\Neiva CPI\[DINA TERCIARIOS_CF_SEC_New_27-Mar-2024.xlsx]D-PSNP'!</v>
      </c>
      <c r="G2014" s="32" t="s">
        <v>103</v>
      </c>
      <c r="H2014" s="33"/>
      <c r="I2014" s="33"/>
      <c r="J2014" s="37"/>
    </row>
    <row r="2015" spans="1:10" x14ac:dyDescent="0.3">
      <c r="A2015" s="32" t="s">
        <v>26</v>
      </c>
      <c r="B2015" s="32"/>
      <c r="C2015" s="33" t="s">
        <v>46</v>
      </c>
      <c r="D2015" s="34"/>
      <c r="E2015" s="35"/>
      <c r="F2015" s="34"/>
      <c r="G2015" s="32"/>
      <c r="H2015" s="33"/>
      <c r="I2015" s="33"/>
      <c r="J2015" s="33"/>
    </row>
    <row r="2016" spans="1:10" x14ac:dyDescent="0.3">
      <c r="A2016" s="32" t="s">
        <v>23</v>
      </c>
      <c r="B2016" s="32">
        <v>2023</v>
      </c>
      <c r="C2016" s="33" t="s">
        <v>46</v>
      </c>
      <c r="D2016" s="34" t="s">
        <v>2002</v>
      </c>
      <c r="E2016" s="35" t="str">
        <f t="shared" ref="E2016:E2036" si="485">_xlfn.CONCAT(A2016,"'!")</f>
        <v>PSND'!</v>
      </c>
      <c r="F2016" s="34" t="str">
        <f t="shared" ref="F2016:F2036" si="486">_xlfn.CONCAT(D2016:E2016)</f>
        <v>C:\Users\jaime.benazar\Quorum Business Solutions\Ecopetrol Prometeo - Documents\Planning Space Implementation\3. Analysis &amp; Design\Design\FC22\DRR Jaime\Neiva CPI\[DINA TERCIARIOS_CF_SEC_New_27-Mar-2024.xlsx]D-PSND'!</v>
      </c>
      <c r="G2016" s="32" t="s">
        <v>103</v>
      </c>
      <c r="H2016" s="33"/>
      <c r="I2016" s="33"/>
      <c r="J2016" s="37"/>
    </row>
    <row r="2017" spans="1:10" x14ac:dyDescent="0.3">
      <c r="A2017" s="32" t="s">
        <v>23</v>
      </c>
      <c r="B2017" s="32">
        <f>+B2016+1</f>
        <v>2024</v>
      </c>
      <c r="C2017" s="33" t="s">
        <v>46</v>
      </c>
      <c r="D2017" s="34" t="s">
        <v>2002</v>
      </c>
      <c r="E2017" s="35" t="str">
        <f t="shared" si="485"/>
        <v>PSND'!</v>
      </c>
      <c r="F2017" s="34" t="str">
        <f t="shared" si="486"/>
        <v>C:\Users\jaime.benazar\Quorum Business Solutions\Ecopetrol Prometeo - Documents\Planning Space Implementation\3. Analysis &amp; Design\Design\FC22\DRR Jaime\Neiva CPI\[DINA TERCIARIOS_CF_SEC_New_27-Mar-2024.xlsx]D-PSND'!</v>
      </c>
      <c r="G2017" s="32" t="s">
        <v>103</v>
      </c>
      <c r="H2017" s="33"/>
      <c r="I2017" s="33"/>
      <c r="J2017" s="37"/>
    </row>
    <row r="2018" spans="1:10" x14ac:dyDescent="0.3">
      <c r="A2018" s="32" t="s">
        <v>23</v>
      </c>
      <c r="B2018" s="32">
        <f t="shared" ref="B2018:B2029" si="487">+B2017+1</f>
        <v>2025</v>
      </c>
      <c r="C2018" s="33" t="s">
        <v>46</v>
      </c>
      <c r="D2018" s="34" t="s">
        <v>2002</v>
      </c>
      <c r="E2018" s="35" t="str">
        <f t="shared" si="485"/>
        <v>PSND'!</v>
      </c>
      <c r="F2018" s="34" t="str">
        <f t="shared" si="486"/>
        <v>C:\Users\jaime.benazar\Quorum Business Solutions\Ecopetrol Prometeo - Documents\Planning Space Implementation\3. Analysis &amp; Design\Design\FC22\DRR Jaime\Neiva CPI\[DINA TERCIARIOS_CF_SEC_New_27-Mar-2024.xlsx]D-PSND'!</v>
      </c>
      <c r="G2018" s="32" t="s">
        <v>103</v>
      </c>
      <c r="H2018" s="33"/>
      <c r="I2018" s="33"/>
      <c r="J2018" s="37"/>
    </row>
    <row r="2019" spans="1:10" x14ac:dyDescent="0.3">
      <c r="A2019" s="32" t="s">
        <v>23</v>
      </c>
      <c r="B2019" s="32">
        <f t="shared" si="487"/>
        <v>2026</v>
      </c>
      <c r="C2019" s="33" t="s">
        <v>46</v>
      </c>
      <c r="D2019" s="34" t="s">
        <v>2002</v>
      </c>
      <c r="E2019" s="35" t="str">
        <f t="shared" si="485"/>
        <v>PSND'!</v>
      </c>
      <c r="F2019" s="34" t="str">
        <f t="shared" si="486"/>
        <v>C:\Users\jaime.benazar\Quorum Business Solutions\Ecopetrol Prometeo - Documents\Planning Space Implementation\3. Analysis &amp; Design\Design\FC22\DRR Jaime\Neiva CPI\[DINA TERCIARIOS_CF_SEC_New_27-Mar-2024.xlsx]D-PSND'!</v>
      </c>
      <c r="G2019" s="32" t="s">
        <v>103</v>
      </c>
      <c r="H2019" s="33"/>
      <c r="I2019" s="33"/>
      <c r="J2019" s="37"/>
    </row>
    <row r="2020" spans="1:10" x14ac:dyDescent="0.3">
      <c r="A2020" s="32" t="s">
        <v>23</v>
      </c>
      <c r="B2020" s="32">
        <f t="shared" si="487"/>
        <v>2027</v>
      </c>
      <c r="C2020" s="33" t="s">
        <v>46</v>
      </c>
      <c r="D2020" s="34" t="s">
        <v>2002</v>
      </c>
      <c r="E2020" s="35" t="str">
        <f t="shared" si="485"/>
        <v>PSND'!</v>
      </c>
      <c r="F2020" s="34" t="str">
        <f t="shared" si="486"/>
        <v>C:\Users\jaime.benazar\Quorum Business Solutions\Ecopetrol Prometeo - Documents\Planning Space Implementation\3. Analysis &amp; Design\Design\FC22\DRR Jaime\Neiva CPI\[DINA TERCIARIOS_CF_SEC_New_27-Mar-2024.xlsx]D-PSND'!</v>
      </c>
      <c r="G2020" s="32" t="s">
        <v>103</v>
      </c>
      <c r="H2020" s="33"/>
      <c r="I2020" s="33"/>
      <c r="J2020" s="37"/>
    </row>
    <row r="2021" spans="1:10" x14ac:dyDescent="0.3">
      <c r="A2021" s="32" t="s">
        <v>23</v>
      </c>
      <c r="B2021" s="32">
        <f t="shared" si="487"/>
        <v>2028</v>
      </c>
      <c r="C2021" s="33" t="s">
        <v>46</v>
      </c>
      <c r="D2021" s="34" t="s">
        <v>2002</v>
      </c>
      <c r="E2021" s="35" t="str">
        <f t="shared" si="485"/>
        <v>PSND'!</v>
      </c>
      <c r="F2021" s="34" t="str">
        <f t="shared" si="486"/>
        <v>C:\Users\jaime.benazar\Quorum Business Solutions\Ecopetrol Prometeo - Documents\Planning Space Implementation\3. Analysis &amp; Design\Design\FC22\DRR Jaime\Neiva CPI\[DINA TERCIARIOS_CF_SEC_New_27-Mar-2024.xlsx]D-PSND'!</v>
      </c>
      <c r="G2021" s="32" t="s">
        <v>103</v>
      </c>
      <c r="H2021" s="33"/>
      <c r="I2021" s="33"/>
      <c r="J2021" s="37"/>
    </row>
    <row r="2022" spans="1:10" x14ac:dyDescent="0.3">
      <c r="A2022" s="32" t="s">
        <v>23</v>
      </c>
      <c r="B2022" s="32">
        <f t="shared" si="487"/>
        <v>2029</v>
      </c>
      <c r="C2022" s="33" t="s">
        <v>46</v>
      </c>
      <c r="D2022" s="34" t="s">
        <v>2002</v>
      </c>
      <c r="E2022" s="35" t="str">
        <f t="shared" si="485"/>
        <v>PSND'!</v>
      </c>
      <c r="F2022" s="34" t="str">
        <f t="shared" si="486"/>
        <v>C:\Users\jaime.benazar\Quorum Business Solutions\Ecopetrol Prometeo - Documents\Planning Space Implementation\3. Analysis &amp; Design\Design\FC22\DRR Jaime\Neiva CPI\[DINA TERCIARIOS_CF_SEC_New_27-Mar-2024.xlsx]D-PSND'!</v>
      </c>
      <c r="G2022" s="32" t="s">
        <v>103</v>
      </c>
      <c r="H2022" s="33"/>
      <c r="I2022" s="33"/>
      <c r="J2022" s="37"/>
    </row>
    <row r="2023" spans="1:10" x14ac:dyDescent="0.3">
      <c r="A2023" s="32" t="s">
        <v>23</v>
      </c>
      <c r="B2023" s="32">
        <f t="shared" si="487"/>
        <v>2030</v>
      </c>
      <c r="C2023" s="33" t="s">
        <v>46</v>
      </c>
      <c r="D2023" s="34" t="s">
        <v>2002</v>
      </c>
      <c r="E2023" s="35" t="str">
        <f t="shared" si="485"/>
        <v>PSND'!</v>
      </c>
      <c r="F2023" s="34" t="str">
        <f t="shared" si="486"/>
        <v>C:\Users\jaime.benazar\Quorum Business Solutions\Ecopetrol Prometeo - Documents\Planning Space Implementation\3. Analysis &amp; Design\Design\FC22\DRR Jaime\Neiva CPI\[DINA TERCIARIOS_CF_SEC_New_27-Mar-2024.xlsx]D-PSND'!</v>
      </c>
      <c r="G2023" s="32" t="s">
        <v>103</v>
      </c>
      <c r="H2023" s="33"/>
      <c r="I2023" s="33"/>
      <c r="J2023" s="37"/>
    </row>
    <row r="2024" spans="1:10" x14ac:dyDescent="0.3">
      <c r="A2024" s="32" t="s">
        <v>23</v>
      </c>
      <c r="B2024" s="32">
        <f t="shared" si="487"/>
        <v>2031</v>
      </c>
      <c r="C2024" s="33" t="s">
        <v>46</v>
      </c>
      <c r="D2024" s="34" t="s">
        <v>2002</v>
      </c>
      <c r="E2024" s="35" t="str">
        <f t="shared" si="485"/>
        <v>PSND'!</v>
      </c>
      <c r="F2024" s="34" t="str">
        <f t="shared" si="486"/>
        <v>C:\Users\jaime.benazar\Quorum Business Solutions\Ecopetrol Prometeo - Documents\Planning Space Implementation\3. Analysis &amp; Design\Design\FC22\DRR Jaime\Neiva CPI\[DINA TERCIARIOS_CF_SEC_New_27-Mar-2024.xlsx]D-PSND'!</v>
      </c>
      <c r="G2024" s="32" t="s">
        <v>103</v>
      </c>
      <c r="H2024" s="33"/>
      <c r="I2024" s="33"/>
      <c r="J2024" s="37"/>
    </row>
    <row r="2025" spans="1:10" x14ac:dyDescent="0.3">
      <c r="A2025" s="32" t="s">
        <v>23</v>
      </c>
      <c r="B2025" s="32">
        <f t="shared" si="487"/>
        <v>2032</v>
      </c>
      <c r="C2025" s="33" t="s">
        <v>46</v>
      </c>
      <c r="D2025" s="34" t="s">
        <v>2002</v>
      </c>
      <c r="E2025" s="35" t="str">
        <f t="shared" si="485"/>
        <v>PSND'!</v>
      </c>
      <c r="F2025" s="34" t="str">
        <f t="shared" si="486"/>
        <v>C:\Users\jaime.benazar\Quorum Business Solutions\Ecopetrol Prometeo - Documents\Planning Space Implementation\3. Analysis &amp; Design\Design\FC22\DRR Jaime\Neiva CPI\[DINA TERCIARIOS_CF_SEC_New_27-Mar-2024.xlsx]D-PSND'!</v>
      </c>
      <c r="G2025" s="32" t="s">
        <v>103</v>
      </c>
      <c r="H2025" s="33"/>
      <c r="I2025" s="33"/>
      <c r="J2025" s="37"/>
    </row>
    <row r="2026" spans="1:10" x14ac:dyDescent="0.3">
      <c r="A2026" s="32" t="s">
        <v>23</v>
      </c>
      <c r="B2026" s="32">
        <f t="shared" si="487"/>
        <v>2033</v>
      </c>
      <c r="C2026" s="33" t="s">
        <v>46</v>
      </c>
      <c r="D2026" s="34" t="s">
        <v>2002</v>
      </c>
      <c r="E2026" s="35" t="str">
        <f t="shared" si="485"/>
        <v>PSND'!</v>
      </c>
      <c r="F2026" s="34" t="str">
        <f t="shared" si="486"/>
        <v>C:\Users\jaime.benazar\Quorum Business Solutions\Ecopetrol Prometeo - Documents\Planning Space Implementation\3. Analysis &amp; Design\Design\FC22\DRR Jaime\Neiva CPI\[DINA TERCIARIOS_CF_SEC_New_27-Mar-2024.xlsx]D-PSND'!</v>
      </c>
      <c r="G2026" s="32" t="s">
        <v>103</v>
      </c>
      <c r="H2026" s="33"/>
      <c r="I2026" s="33"/>
      <c r="J2026" s="37"/>
    </row>
    <row r="2027" spans="1:10" x14ac:dyDescent="0.3">
      <c r="A2027" s="32" t="s">
        <v>23</v>
      </c>
      <c r="B2027" s="32">
        <f t="shared" si="487"/>
        <v>2034</v>
      </c>
      <c r="C2027" s="33" t="s">
        <v>46</v>
      </c>
      <c r="D2027" s="34" t="s">
        <v>2002</v>
      </c>
      <c r="E2027" s="35" t="str">
        <f t="shared" si="485"/>
        <v>PSND'!</v>
      </c>
      <c r="F2027" s="34" t="str">
        <f t="shared" si="486"/>
        <v>C:\Users\jaime.benazar\Quorum Business Solutions\Ecopetrol Prometeo - Documents\Planning Space Implementation\3. Analysis &amp; Design\Design\FC22\DRR Jaime\Neiva CPI\[DINA TERCIARIOS_CF_SEC_New_27-Mar-2024.xlsx]D-PSND'!</v>
      </c>
      <c r="G2027" s="32" t="s">
        <v>103</v>
      </c>
      <c r="H2027" s="33"/>
      <c r="I2027" s="33"/>
      <c r="J2027" s="37"/>
    </row>
    <row r="2028" spans="1:10" x14ac:dyDescent="0.3">
      <c r="A2028" s="32" t="s">
        <v>23</v>
      </c>
      <c r="B2028" s="32">
        <f t="shared" si="487"/>
        <v>2035</v>
      </c>
      <c r="C2028" s="33" t="s">
        <v>46</v>
      </c>
      <c r="D2028" s="34" t="s">
        <v>2002</v>
      </c>
      <c r="E2028" s="35" t="str">
        <f t="shared" si="485"/>
        <v>PSND'!</v>
      </c>
      <c r="F2028" s="34" t="str">
        <f t="shared" si="486"/>
        <v>C:\Users\jaime.benazar\Quorum Business Solutions\Ecopetrol Prometeo - Documents\Planning Space Implementation\3. Analysis &amp; Design\Design\FC22\DRR Jaime\Neiva CPI\[DINA TERCIARIOS_CF_SEC_New_27-Mar-2024.xlsx]D-PSND'!</v>
      </c>
      <c r="G2028" s="32" t="s">
        <v>103</v>
      </c>
      <c r="H2028" s="33"/>
      <c r="I2028" s="33"/>
      <c r="J2028" s="37"/>
    </row>
    <row r="2029" spans="1:10" x14ac:dyDescent="0.3">
      <c r="A2029" s="32" t="s">
        <v>23</v>
      </c>
      <c r="B2029" s="32">
        <f t="shared" si="487"/>
        <v>2036</v>
      </c>
      <c r="C2029" s="33" t="s">
        <v>46</v>
      </c>
      <c r="D2029" s="34" t="s">
        <v>2002</v>
      </c>
      <c r="E2029" s="35" t="str">
        <f t="shared" si="485"/>
        <v>PSND'!</v>
      </c>
      <c r="F2029" s="34" t="str">
        <f t="shared" si="486"/>
        <v>C:\Users\jaime.benazar\Quorum Business Solutions\Ecopetrol Prometeo - Documents\Planning Space Implementation\3. Analysis &amp; Design\Design\FC22\DRR Jaime\Neiva CPI\[DINA TERCIARIOS_CF_SEC_New_27-Mar-2024.xlsx]D-PSND'!</v>
      </c>
      <c r="G2029" s="32" t="s">
        <v>103</v>
      </c>
      <c r="H2029" s="33"/>
      <c r="I2029" s="33"/>
      <c r="J2029" s="37"/>
    </row>
    <row r="2030" spans="1:10" x14ac:dyDescent="0.3">
      <c r="A2030" s="32" t="s">
        <v>23</v>
      </c>
      <c r="B2030" s="32">
        <f>+B2029+1</f>
        <v>2037</v>
      </c>
      <c r="C2030" s="33" t="s">
        <v>46</v>
      </c>
      <c r="D2030" s="34" t="s">
        <v>2002</v>
      </c>
      <c r="E2030" s="35" t="str">
        <f t="shared" si="485"/>
        <v>PSND'!</v>
      </c>
      <c r="F2030" s="34" t="str">
        <f t="shared" si="486"/>
        <v>C:\Users\jaime.benazar\Quorum Business Solutions\Ecopetrol Prometeo - Documents\Planning Space Implementation\3. Analysis &amp; Design\Design\FC22\DRR Jaime\Neiva CPI\[DINA TERCIARIOS_CF_SEC_New_27-Mar-2024.xlsx]D-PSND'!</v>
      </c>
      <c r="G2030" s="32" t="s">
        <v>103</v>
      </c>
      <c r="H2030" s="33"/>
      <c r="I2030" s="33"/>
      <c r="J2030" s="37"/>
    </row>
    <row r="2031" spans="1:10" x14ac:dyDescent="0.3">
      <c r="A2031" s="32" t="s">
        <v>23</v>
      </c>
      <c r="B2031" s="32">
        <f t="shared" ref="B2031:B2033" si="488">+B2030+1</f>
        <v>2038</v>
      </c>
      <c r="C2031" s="33" t="s">
        <v>46</v>
      </c>
      <c r="D2031" s="34" t="s">
        <v>2002</v>
      </c>
      <c r="E2031" s="35" t="str">
        <f t="shared" si="485"/>
        <v>PSND'!</v>
      </c>
      <c r="F2031" s="34" t="str">
        <f t="shared" si="486"/>
        <v>C:\Users\jaime.benazar\Quorum Business Solutions\Ecopetrol Prometeo - Documents\Planning Space Implementation\3. Analysis &amp; Design\Design\FC22\DRR Jaime\Neiva CPI\[DINA TERCIARIOS_CF_SEC_New_27-Mar-2024.xlsx]D-PSND'!</v>
      </c>
      <c r="G2031" s="32" t="s">
        <v>103</v>
      </c>
      <c r="H2031" s="33"/>
      <c r="I2031" s="33"/>
      <c r="J2031" s="37"/>
    </row>
    <row r="2032" spans="1:10" x14ac:dyDescent="0.3">
      <c r="A2032" s="32" t="s">
        <v>23</v>
      </c>
      <c r="B2032" s="32">
        <f t="shared" si="488"/>
        <v>2039</v>
      </c>
      <c r="C2032" s="33" t="s">
        <v>46</v>
      </c>
      <c r="D2032" s="34" t="s">
        <v>2002</v>
      </c>
      <c r="E2032" s="35" t="str">
        <f t="shared" si="485"/>
        <v>PSND'!</v>
      </c>
      <c r="F2032" s="34" t="str">
        <f t="shared" si="486"/>
        <v>C:\Users\jaime.benazar\Quorum Business Solutions\Ecopetrol Prometeo - Documents\Planning Space Implementation\3. Analysis &amp; Design\Design\FC22\DRR Jaime\Neiva CPI\[DINA TERCIARIOS_CF_SEC_New_27-Mar-2024.xlsx]D-PSND'!</v>
      </c>
      <c r="G2032" s="32" t="s">
        <v>103</v>
      </c>
      <c r="H2032" s="33"/>
      <c r="I2032" s="33"/>
      <c r="J2032" s="37"/>
    </row>
    <row r="2033" spans="1:10" x14ac:dyDescent="0.3">
      <c r="A2033" s="32" t="s">
        <v>23</v>
      </c>
      <c r="B2033" s="32">
        <f t="shared" si="488"/>
        <v>2040</v>
      </c>
      <c r="C2033" s="33" t="s">
        <v>46</v>
      </c>
      <c r="D2033" s="34" t="s">
        <v>2002</v>
      </c>
      <c r="E2033" s="35" t="str">
        <f t="shared" si="485"/>
        <v>PSND'!</v>
      </c>
      <c r="F2033" s="34" t="str">
        <f t="shared" si="486"/>
        <v>C:\Users\jaime.benazar\Quorum Business Solutions\Ecopetrol Prometeo - Documents\Planning Space Implementation\3. Analysis &amp; Design\Design\FC22\DRR Jaime\Neiva CPI\[DINA TERCIARIOS_CF_SEC_New_27-Mar-2024.xlsx]D-PSND'!</v>
      </c>
      <c r="G2033" s="32" t="s">
        <v>103</v>
      </c>
      <c r="H2033" s="33"/>
      <c r="I2033" s="33"/>
      <c r="J2033" s="37"/>
    </row>
    <row r="2034" spans="1:10" x14ac:dyDescent="0.3">
      <c r="A2034" s="32" t="s">
        <v>23</v>
      </c>
      <c r="B2034" s="32">
        <f>+B2033+1</f>
        <v>2041</v>
      </c>
      <c r="C2034" s="33" t="s">
        <v>46</v>
      </c>
      <c r="D2034" s="34" t="s">
        <v>2002</v>
      </c>
      <c r="E2034" s="35" t="str">
        <f t="shared" si="485"/>
        <v>PSND'!</v>
      </c>
      <c r="F2034" s="34" t="str">
        <f t="shared" si="486"/>
        <v>C:\Users\jaime.benazar\Quorum Business Solutions\Ecopetrol Prometeo - Documents\Planning Space Implementation\3. Analysis &amp; Design\Design\FC22\DRR Jaime\Neiva CPI\[DINA TERCIARIOS_CF_SEC_New_27-Mar-2024.xlsx]D-PSND'!</v>
      </c>
      <c r="G2034" s="32" t="s">
        <v>103</v>
      </c>
      <c r="H2034" s="33"/>
      <c r="I2034" s="33"/>
      <c r="J2034" s="37"/>
    </row>
    <row r="2035" spans="1:10" x14ac:dyDescent="0.3">
      <c r="A2035" s="32" t="s">
        <v>23</v>
      </c>
      <c r="B2035" s="32">
        <f t="shared" ref="B2035:B2036" si="489">+B2034+1</f>
        <v>2042</v>
      </c>
      <c r="C2035" s="33" t="s">
        <v>46</v>
      </c>
      <c r="D2035" s="34" t="s">
        <v>2002</v>
      </c>
      <c r="E2035" s="35" t="str">
        <f t="shared" si="485"/>
        <v>PSND'!</v>
      </c>
      <c r="F2035" s="34" t="str">
        <f t="shared" si="486"/>
        <v>C:\Users\jaime.benazar\Quorum Business Solutions\Ecopetrol Prometeo - Documents\Planning Space Implementation\3. Analysis &amp; Design\Design\FC22\DRR Jaime\Neiva CPI\[DINA TERCIARIOS_CF_SEC_New_27-Mar-2024.xlsx]D-PSND'!</v>
      </c>
      <c r="G2035" s="32" t="s">
        <v>103</v>
      </c>
      <c r="H2035" s="33"/>
      <c r="I2035" s="33"/>
      <c r="J2035" s="37"/>
    </row>
    <row r="2036" spans="1:10" x14ac:dyDescent="0.3">
      <c r="A2036" s="32" t="s">
        <v>23</v>
      </c>
      <c r="B2036" s="32">
        <f t="shared" si="489"/>
        <v>2043</v>
      </c>
      <c r="C2036" s="33" t="s">
        <v>46</v>
      </c>
      <c r="D2036" s="34" t="s">
        <v>2002</v>
      </c>
      <c r="E2036" s="35" t="str">
        <f t="shared" si="485"/>
        <v>PSND'!</v>
      </c>
      <c r="F2036" s="34" t="str">
        <f t="shared" si="486"/>
        <v>C:\Users\jaime.benazar\Quorum Business Solutions\Ecopetrol Prometeo - Documents\Planning Space Implementation\3. Analysis &amp; Design\Design\FC22\DRR Jaime\Neiva CPI\[DINA TERCIARIOS_CF_SEC_New_27-Mar-2024.xlsx]D-PSND'!</v>
      </c>
      <c r="G2036" s="32" t="s">
        <v>103</v>
      </c>
      <c r="H2036" s="33"/>
      <c r="I2036" s="33"/>
      <c r="J2036" s="37"/>
    </row>
    <row r="2037" spans="1:10" x14ac:dyDescent="0.3">
      <c r="A2037" s="32" t="s">
        <v>23</v>
      </c>
      <c r="B2037" s="32">
        <f>+B2036+1</f>
        <v>2044</v>
      </c>
      <c r="C2037" s="33" t="s">
        <v>46</v>
      </c>
      <c r="D2037" s="34" t="s">
        <v>2002</v>
      </c>
      <c r="E2037" s="35" t="str">
        <f t="shared" ref="E2037:E2052" si="490">_xlfn.CONCAT(A2037,"'!")</f>
        <v>PSND'!</v>
      </c>
      <c r="F2037" s="34" t="str">
        <f t="shared" ref="F2037:F2052" si="491">_xlfn.CONCAT(D2037:E2037)</f>
        <v>C:\Users\jaime.benazar\Quorum Business Solutions\Ecopetrol Prometeo - Documents\Planning Space Implementation\3. Analysis &amp; Design\Design\FC22\DRR Jaime\Neiva CPI\[DINA TERCIARIOS_CF_SEC_New_27-Mar-2024.xlsx]D-PSND'!</v>
      </c>
      <c r="G2037" s="32" t="s">
        <v>103</v>
      </c>
      <c r="H2037" s="33"/>
      <c r="I2037" s="33"/>
      <c r="J2037" s="37"/>
    </row>
    <row r="2038" spans="1:10" x14ac:dyDescent="0.3">
      <c r="A2038" s="32" t="s">
        <v>23</v>
      </c>
      <c r="B2038" s="32">
        <f t="shared" ref="B2038:B2052" si="492">+B2037+1</f>
        <v>2045</v>
      </c>
      <c r="C2038" s="33" t="s">
        <v>46</v>
      </c>
      <c r="D2038" s="34" t="s">
        <v>2002</v>
      </c>
      <c r="E2038" s="35" t="str">
        <f t="shared" si="490"/>
        <v>PSND'!</v>
      </c>
      <c r="F2038" s="34" t="str">
        <f t="shared" si="491"/>
        <v>C:\Users\jaime.benazar\Quorum Business Solutions\Ecopetrol Prometeo - Documents\Planning Space Implementation\3. Analysis &amp; Design\Design\FC22\DRR Jaime\Neiva CPI\[DINA TERCIARIOS_CF_SEC_New_27-Mar-2024.xlsx]D-PSND'!</v>
      </c>
      <c r="G2038" s="32" t="s">
        <v>103</v>
      </c>
      <c r="H2038" s="33"/>
      <c r="I2038" s="33"/>
      <c r="J2038" s="37"/>
    </row>
    <row r="2039" spans="1:10" x14ac:dyDescent="0.3">
      <c r="A2039" s="32" t="s">
        <v>23</v>
      </c>
      <c r="B2039" s="32">
        <f t="shared" si="492"/>
        <v>2046</v>
      </c>
      <c r="C2039" s="33" t="s">
        <v>46</v>
      </c>
      <c r="D2039" s="34" t="s">
        <v>2002</v>
      </c>
      <c r="E2039" s="35" t="str">
        <f t="shared" si="490"/>
        <v>PSND'!</v>
      </c>
      <c r="F2039" s="34" t="str">
        <f t="shared" si="491"/>
        <v>C:\Users\jaime.benazar\Quorum Business Solutions\Ecopetrol Prometeo - Documents\Planning Space Implementation\3. Analysis &amp; Design\Design\FC22\DRR Jaime\Neiva CPI\[DINA TERCIARIOS_CF_SEC_New_27-Mar-2024.xlsx]D-PSND'!</v>
      </c>
      <c r="G2039" s="32" t="s">
        <v>103</v>
      </c>
      <c r="H2039" s="33"/>
      <c r="I2039" s="33"/>
      <c r="J2039" s="37"/>
    </row>
    <row r="2040" spans="1:10" x14ac:dyDescent="0.3">
      <c r="A2040" s="32" t="s">
        <v>23</v>
      </c>
      <c r="B2040" s="32">
        <f t="shared" si="492"/>
        <v>2047</v>
      </c>
      <c r="C2040" s="33" t="s">
        <v>46</v>
      </c>
      <c r="D2040" s="34" t="s">
        <v>2002</v>
      </c>
      <c r="E2040" s="35" t="str">
        <f t="shared" si="490"/>
        <v>PSND'!</v>
      </c>
      <c r="F2040" s="34" t="str">
        <f t="shared" si="491"/>
        <v>C:\Users\jaime.benazar\Quorum Business Solutions\Ecopetrol Prometeo - Documents\Planning Space Implementation\3. Analysis &amp; Design\Design\FC22\DRR Jaime\Neiva CPI\[DINA TERCIARIOS_CF_SEC_New_27-Mar-2024.xlsx]D-PSND'!</v>
      </c>
      <c r="G2040" s="32" t="s">
        <v>103</v>
      </c>
      <c r="H2040" s="33"/>
      <c r="I2040" s="33"/>
      <c r="J2040" s="37"/>
    </row>
    <row r="2041" spans="1:10" x14ac:dyDescent="0.3">
      <c r="A2041" s="32" t="s">
        <v>23</v>
      </c>
      <c r="B2041" s="32">
        <f t="shared" si="492"/>
        <v>2048</v>
      </c>
      <c r="C2041" s="33" t="s">
        <v>46</v>
      </c>
      <c r="D2041" s="34" t="s">
        <v>2002</v>
      </c>
      <c r="E2041" s="35" t="str">
        <f t="shared" si="490"/>
        <v>PSND'!</v>
      </c>
      <c r="F2041" s="34" t="str">
        <f t="shared" si="491"/>
        <v>C:\Users\jaime.benazar\Quorum Business Solutions\Ecopetrol Prometeo - Documents\Planning Space Implementation\3. Analysis &amp; Design\Design\FC22\DRR Jaime\Neiva CPI\[DINA TERCIARIOS_CF_SEC_New_27-Mar-2024.xlsx]D-PSND'!</v>
      </c>
      <c r="G2041" s="32" t="s">
        <v>103</v>
      </c>
      <c r="H2041" s="33"/>
      <c r="I2041" s="33"/>
      <c r="J2041" s="37"/>
    </row>
    <row r="2042" spans="1:10" x14ac:dyDescent="0.3">
      <c r="A2042" s="32" t="s">
        <v>23</v>
      </c>
      <c r="B2042" s="32">
        <f t="shared" si="492"/>
        <v>2049</v>
      </c>
      <c r="C2042" s="33" t="s">
        <v>46</v>
      </c>
      <c r="D2042" s="34" t="s">
        <v>2002</v>
      </c>
      <c r="E2042" s="35" t="str">
        <f t="shared" si="490"/>
        <v>PSND'!</v>
      </c>
      <c r="F2042" s="34" t="str">
        <f t="shared" si="491"/>
        <v>C:\Users\jaime.benazar\Quorum Business Solutions\Ecopetrol Prometeo - Documents\Planning Space Implementation\3. Analysis &amp; Design\Design\FC22\DRR Jaime\Neiva CPI\[DINA TERCIARIOS_CF_SEC_New_27-Mar-2024.xlsx]D-PSND'!</v>
      </c>
      <c r="G2042" s="32" t="s">
        <v>103</v>
      </c>
      <c r="H2042" s="33"/>
      <c r="I2042" s="33"/>
      <c r="J2042" s="37"/>
    </row>
    <row r="2043" spans="1:10" x14ac:dyDescent="0.3">
      <c r="A2043" s="32" t="s">
        <v>23</v>
      </c>
      <c r="B2043" s="32">
        <f t="shared" si="492"/>
        <v>2050</v>
      </c>
      <c r="C2043" s="33" t="s">
        <v>46</v>
      </c>
      <c r="D2043" s="34" t="s">
        <v>2002</v>
      </c>
      <c r="E2043" s="35" t="str">
        <f t="shared" si="490"/>
        <v>PSND'!</v>
      </c>
      <c r="F2043" s="34" t="str">
        <f t="shared" si="491"/>
        <v>C:\Users\jaime.benazar\Quorum Business Solutions\Ecopetrol Prometeo - Documents\Planning Space Implementation\3. Analysis &amp; Design\Design\FC22\DRR Jaime\Neiva CPI\[DINA TERCIARIOS_CF_SEC_New_27-Mar-2024.xlsx]D-PSND'!</v>
      </c>
      <c r="G2043" s="32" t="s">
        <v>103</v>
      </c>
      <c r="H2043" s="33"/>
      <c r="I2043" s="33"/>
      <c r="J2043" s="37"/>
    </row>
    <row r="2044" spans="1:10" x14ac:dyDescent="0.3">
      <c r="A2044" s="32" t="s">
        <v>23</v>
      </c>
      <c r="B2044" s="32">
        <f t="shared" si="492"/>
        <v>2051</v>
      </c>
      <c r="C2044" s="33" t="s">
        <v>46</v>
      </c>
      <c r="D2044" s="34" t="s">
        <v>2002</v>
      </c>
      <c r="E2044" s="35" t="str">
        <f t="shared" si="490"/>
        <v>PSND'!</v>
      </c>
      <c r="F2044" s="34" t="str">
        <f t="shared" si="491"/>
        <v>C:\Users\jaime.benazar\Quorum Business Solutions\Ecopetrol Prometeo - Documents\Planning Space Implementation\3. Analysis &amp; Design\Design\FC22\DRR Jaime\Neiva CPI\[DINA TERCIARIOS_CF_SEC_New_27-Mar-2024.xlsx]D-PSND'!</v>
      </c>
      <c r="G2044" s="32" t="s">
        <v>103</v>
      </c>
      <c r="H2044" s="33"/>
      <c r="I2044" s="33"/>
      <c r="J2044" s="37"/>
    </row>
    <row r="2045" spans="1:10" x14ac:dyDescent="0.3">
      <c r="A2045" s="32" t="s">
        <v>23</v>
      </c>
      <c r="B2045" s="32">
        <f t="shared" si="492"/>
        <v>2052</v>
      </c>
      <c r="C2045" s="33" t="s">
        <v>46</v>
      </c>
      <c r="D2045" s="34" t="s">
        <v>2002</v>
      </c>
      <c r="E2045" s="35" t="str">
        <f t="shared" si="490"/>
        <v>PSND'!</v>
      </c>
      <c r="F2045" s="34" t="str">
        <f t="shared" si="491"/>
        <v>C:\Users\jaime.benazar\Quorum Business Solutions\Ecopetrol Prometeo - Documents\Planning Space Implementation\3. Analysis &amp; Design\Design\FC22\DRR Jaime\Neiva CPI\[DINA TERCIARIOS_CF_SEC_New_27-Mar-2024.xlsx]D-PSND'!</v>
      </c>
      <c r="G2045" s="32" t="s">
        <v>103</v>
      </c>
      <c r="H2045" s="33"/>
      <c r="I2045" s="33"/>
      <c r="J2045" s="37"/>
    </row>
    <row r="2046" spans="1:10" x14ac:dyDescent="0.3">
      <c r="A2046" s="32" t="s">
        <v>23</v>
      </c>
      <c r="B2046" s="32">
        <f t="shared" si="492"/>
        <v>2053</v>
      </c>
      <c r="C2046" s="33" t="s">
        <v>46</v>
      </c>
      <c r="D2046" s="34" t="s">
        <v>2002</v>
      </c>
      <c r="E2046" s="35" t="str">
        <f t="shared" si="490"/>
        <v>PSND'!</v>
      </c>
      <c r="F2046" s="34" t="str">
        <f t="shared" si="491"/>
        <v>C:\Users\jaime.benazar\Quorum Business Solutions\Ecopetrol Prometeo - Documents\Planning Space Implementation\3. Analysis &amp; Design\Design\FC22\DRR Jaime\Neiva CPI\[DINA TERCIARIOS_CF_SEC_New_27-Mar-2024.xlsx]D-PSND'!</v>
      </c>
      <c r="G2046" s="32" t="s">
        <v>103</v>
      </c>
      <c r="H2046" s="33"/>
      <c r="I2046" s="33"/>
      <c r="J2046" s="37"/>
    </row>
    <row r="2047" spans="1:10" x14ac:dyDescent="0.3">
      <c r="A2047" s="32" t="s">
        <v>23</v>
      </c>
      <c r="B2047" s="32">
        <f t="shared" si="492"/>
        <v>2054</v>
      </c>
      <c r="C2047" s="33" t="s">
        <v>46</v>
      </c>
      <c r="D2047" s="34" t="s">
        <v>2002</v>
      </c>
      <c r="E2047" s="35" t="str">
        <f t="shared" si="490"/>
        <v>PSND'!</v>
      </c>
      <c r="F2047" s="34" t="str">
        <f t="shared" si="491"/>
        <v>C:\Users\jaime.benazar\Quorum Business Solutions\Ecopetrol Prometeo - Documents\Planning Space Implementation\3. Analysis &amp; Design\Design\FC22\DRR Jaime\Neiva CPI\[DINA TERCIARIOS_CF_SEC_New_27-Mar-2024.xlsx]D-PSND'!</v>
      </c>
      <c r="G2047" s="32" t="s">
        <v>103</v>
      </c>
      <c r="H2047" s="33"/>
      <c r="I2047" s="33"/>
      <c r="J2047" s="37"/>
    </row>
    <row r="2048" spans="1:10" x14ac:dyDescent="0.3">
      <c r="A2048" s="32" t="s">
        <v>23</v>
      </c>
      <c r="B2048" s="32">
        <f t="shared" si="492"/>
        <v>2055</v>
      </c>
      <c r="C2048" s="33" t="s">
        <v>46</v>
      </c>
      <c r="D2048" s="34" t="s">
        <v>2002</v>
      </c>
      <c r="E2048" s="35" t="str">
        <f t="shared" si="490"/>
        <v>PSND'!</v>
      </c>
      <c r="F2048" s="34" t="str">
        <f t="shared" si="491"/>
        <v>C:\Users\jaime.benazar\Quorum Business Solutions\Ecopetrol Prometeo - Documents\Planning Space Implementation\3. Analysis &amp; Design\Design\FC22\DRR Jaime\Neiva CPI\[DINA TERCIARIOS_CF_SEC_New_27-Mar-2024.xlsx]D-PSND'!</v>
      </c>
      <c r="G2048" s="32" t="s">
        <v>103</v>
      </c>
      <c r="H2048" s="33"/>
      <c r="I2048" s="33"/>
      <c r="J2048" s="37"/>
    </row>
    <row r="2049" spans="1:10" x14ac:dyDescent="0.3">
      <c r="A2049" s="32" t="s">
        <v>23</v>
      </c>
      <c r="B2049" s="32">
        <f t="shared" si="492"/>
        <v>2056</v>
      </c>
      <c r="C2049" s="33" t="s">
        <v>46</v>
      </c>
      <c r="D2049" s="34" t="s">
        <v>2002</v>
      </c>
      <c r="E2049" s="35" t="str">
        <f t="shared" si="490"/>
        <v>PSND'!</v>
      </c>
      <c r="F2049" s="34" t="str">
        <f t="shared" si="491"/>
        <v>C:\Users\jaime.benazar\Quorum Business Solutions\Ecopetrol Prometeo - Documents\Planning Space Implementation\3. Analysis &amp; Design\Design\FC22\DRR Jaime\Neiva CPI\[DINA TERCIARIOS_CF_SEC_New_27-Mar-2024.xlsx]D-PSND'!</v>
      </c>
      <c r="G2049" s="32" t="s">
        <v>103</v>
      </c>
      <c r="H2049" s="33"/>
      <c r="I2049" s="33"/>
      <c r="J2049" s="37"/>
    </row>
    <row r="2050" spans="1:10" x14ac:dyDescent="0.3">
      <c r="A2050" s="32" t="s">
        <v>23</v>
      </c>
      <c r="B2050" s="32">
        <f t="shared" si="492"/>
        <v>2057</v>
      </c>
      <c r="C2050" s="33" t="s">
        <v>46</v>
      </c>
      <c r="D2050" s="34" t="s">
        <v>2002</v>
      </c>
      <c r="E2050" s="35" t="str">
        <f t="shared" si="490"/>
        <v>PSND'!</v>
      </c>
      <c r="F2050" s="34" t="str">
        <f t="shared" si="491"/>
        <v>C:\Users\jaime.benazar\Quorum Business Solutions\Ecopetrol Prometeo - Documents\Planning Space Implementation\3. Analysis &amp; Design\Design\FC22\DRR Jaime\Neiva CPI\[DINA TERCIARIOS_CF_SEC_New_27-Mar-2024.xlsx]D-PSND'!</v>
      </c>
      <c r="G2050" s="32" t="s">
        <v>103</v>
      </c>
      <c r="H2050" s="33"/>
      <c r="I2050" s="33"/>
      <c r="J2050" s="37"/>
    </row>
    <row r="2051" spans="1:10" x14ac:dyDescent="0.3">
      <c r="A2051" s="32" t="s">
        <v>23</v>
      </c>
      <c r="B2051" s="32">
        <f t="shared" si="492"/>
        <v>2058</v>
      </c>
      <c r="C2051" s="33" t="s">
        <v>46</v>
      </c>
      <c r="D2051" s="34" t="s">
        <v>2002</v>
      </c>
      <c r="E2051" s="35" t="str">
        <f t="shared" si="490"/>
        <v>PSND'!</v>
      </c>
      <c r="F2051" s="34" t="str">
        <f t="shared" si="491"/>
        <v>C:\Users\jaime.benazar\Quorum Business Solutions\Ecopetrol Prometeo - Documents\Planning Space Implementation\3. Analysis &amp; Design\Design\FC22\DRR Jaime\Neiva CPI\[DINA TERCIARIOS_CF_SEC_New_27-Mar-2024.xlsx]D-PSND'!</v>
      </c>
      <c r="G2051" s="32" t="s">
        <v>103</v>
      </c>
      <c r="H2051" s="33"/>
      <c r="I2051" s="33"/>
      <c r="J2051" s="37"/>
    </row>
    <row r="2052" spans="1:10" x14ac:dyDescent="0.3">
      <c r="A2052" s="32" t="s">
        <v>23</v>
      </c>
      <c r="B2052" s="32">
        <f t="shared" si="492"/>
        <v>2059</v>
      </c>
      <c r="C2052" s="33" t="s">
        <v>46</v>
      </c>
      <c r="D2052" s="34" t="s">
        <v>2002</v>
      </c>
      <c r="E2052" s="35" t="str">
        <f t="shared" si="490"/>
        <v>PSND'!</v>
      </c>
      <c r="F2052" s="34" t="str">
        <f t="shared" si="491"/>
        <v>C:\Users\jaime.benazar\Quorum Business Solutions\Ecopetrol Prometeo - Documents\Planning Space Implementation\3. Analysis &amp; Design\Design\FC22\DRR Jaime\Neiva CPI\[DINA TERCIARIOS_CF_SEC_New_27-Mar-2024.xlsx]D-PSND'!</v>
      </c>
      <c r="G2052" s="32" t="s">
        <v>103</v>
      </c>
      <c r="H2052" s="33"/>
      <c r="I2052" s="33"/>
      <c r="J2052" s="37"/>
    </row>
    <row r="2053" spans="1:10" x14ac:dyDescent="0.3">
      <c r="A2053" s="32" t="s">
        <v>26</v>
      </c>
      <c r="B2053" s="32"/>
      <c r="C2053" s="33" t="s">
        <v>46</v>
      </c>
      <c r="D2053" s="34"/>
      <c r="E2053" s="35"/>
      <c r="F2053" s="34"/>
      <c r="G2053" s="32"/>
      <c r="H2053" s="33"/>
      <c r="I2053" s="33"/>
      <c r="J2053" s="33"/>
    </row>
    <row r="2054" spans="1:10" x14ac:dyDescent="0.3">
      <c r="A2054" s="32" t="s">
        <v>24</v>
      </c>
      <c r="B2054" s="32">
        <v>2023</v>
      </c>
      <c r="C2054" s="33" t="s">
        <v>46</v>
      </c>
      <c r="D2054" s="34" t="s">
        <v>2002</v>
      </c>
      <c r="E2054" s="35" t="str">
        <f t="shared" si="428"/>
        <v>PS'!</v>
      </c>
      <c r="F2054" s="34" t="str">
        <f t="shared" si="429"/>
        <v>C:\Users\jaime.benazar\Quorum Business Solutions\Ecopetrol Prometeo - Documents\Planning Space Implementation\3. Analysis &amp; Design\Design\FC22\DRR Jaime\Neiva CPI\[DINA TERCIARIOS_CF_SEC_New_27-Mar-2024.xlsx]D-PS'!</v>
      </c>
      <c r="G2054" s="32" t="s">
        <v>103</v>
      </c>
      <c r="H2054" s="33">
        <v>12</v>
      </c>
      <c r="I2054" s="33" t="str">
        <f t="shared" ref="I2054:I2074" si="493">_xlfn.CONCAT("='",F2054:H2054)</f>
        <v>='C:\Users\jaime.benazar\Quorum Business Solutions\Ecopetrol Prometeo - Documents\Planning Space Implementation\3. Analysis &amp; Design\Design\FC22\DRR Jaime\Neiva CPI\[DINA TERCIARIOS_CF_SEC_New_27-Mar-2024.xlsx]D-PS'!$BX$12</v>
      </c>
      <c r="J2054" s="37" t="s">
        <v>2891</v>
      </c>
    </row>
    <row r="2055" spans="1:10" x14ac:dyDescent="0.3">
      <c r="A2055" s="32" t="s">
        <v>24</v>
      </c>
      <c r="B2055" s="32">
        <f>+B2054+1</f>
        <v>2024</v>
      </c>
      <c r="C2055" s="33" t="s">
        <v>46</v>
      </c>
      <c r="D2055" s="34" t="s">
        <v>2002</v>
      </c>
      <c r="E2055" s="35" t="str">
        <f t="shared" si="428"/>
        <v>PS'!</v>
      </c>
      <c r="F2055" s="34" t="str">
        <f t="shared" si="429"/>
        <v>C:\Users\jaime.benazar\Quorum Business Solutions\Ecopetrol Prometeo - Documents\Planning Space Implementation\3. Analysis &amp; Design\Design\FC22\DRR Jaime\Neiva CPI\[DINA TERCIARIOS_CF_SEC_New_27-Mar-2024.xlsx]D-PS'!</v>
      </c>
      <c r="G2055" s="32" t="s">
        <v>103</v>
      </c>
      <c r="H2055" s="33">
        <f t="shared" ref="H2055:H2074" si="494">IF(A2055&lt;&gt;A2054,12,H2054+1)</f>
        <v>13</v>
      </c>
      <c r="I2055" s="33" t="str">
        <f t="shared" si="493"/>
        <v>='C:\Users\jaime.benazar\Quorum Business Solutions\Ecopetrol Prometeo - Documents\Planning Space Implementation\3. Analysis &amp; Design\Design\FC22\DRR Jaime\Neiva CPI\[DINA TERCIARIOS_CF_SEC_New_27-Mar-2024.xlsx]D-PS'!$BX$13</v>
      </c>
      <c r="J2055" s="37" t="s">
        <v>2892</v>
      </c>
    </row>
    <row r="2056" spans="1:10" x14ac:dyDescent="0.3">
      <c r="A2056" s="32" t="s">
        <v>24</v>
      </c>
      <c r="B2056" s="32">
        <f t="shared" ref="B2056:B2067" si="495">+B2055+1</f>
        <v>2025</v>
      </c>
      <c r="C2056" s="33" t="s">
        <v>46</v>
      </c>
      <c r="D2056" s="34" t="s">
        <v>2002</v>
      </c>
      <c r="E2056" s="35" t="str">
        <f t="shared" si="428"/>
        <v>PS'!</v>
      </c>
      <c r="F2056" s="34" t="str">
        <f t="shared" si="429"/>
        <v>C:\Users\jaime.benazar\Quorum Business Solutions\Ecopetrol Prometeo - Documents\Planning Space Implementation\3. Analysis &amp; Design\Design\FC22\DRR Jaime\Neiva CPI\[DINA TERCIARIOS_CF_SEC_New_27-Mar-2024.xlsx]D-PS'!</v>
      </c>
      <c r="G2056" s="32" t="s">
        <v>103</v>
      </c>
      <c r="H2056" s="33">
        <f t="shared" si="494"/>
        <v>14</v>
      </c>
      <c r="I2056" s="33" t="str">
        <f t="shared" si="493"/>
        <v>='C:\Users\jaime.benazar\Quorum Business Solutions\Ecopetrol Prometeo - Documents\Planning Space Implementation\3. Analysis &amp; Design\Design\FC22\DRR Jaime\Neiva CPI\[DINA TERCIARIOS_CF_SEC_New_27-Mar-2024.xlsx]D-PS'!$BX$14</v>
      </c>
      <c r="J2056" s="37" t="s">
        <v>2893</v>
      </c>
    </row>
    <row r="2057" spans="1:10" x14ac:dyDescent="0.3">
      <c r="A2057" s="32" t="s">
        <v>24</v>
      </c>
      <c r="B2057" s="32">
        <f t="shared" si="495"/>
        <v>2026</v>
      </c>
      <c r="C2057" s="33" t="s">
        <v>46</v>
      </c>
      <c r="D2057" s="34" t="s">
        <v>2002</v>
      </c>
      <c r="E2057" s="35" t="str">
        <f t="shared" si="428"/>
        <v>PS'!</v>
      </c>
      <c r="F2057" s="34" t="str">
        <f t="shared" si="429"/>
        <v>C:\Users\jaime.benazar\Quorum Business Solutions\Ecopetrol Prometeo - Documents\Planning Space Implementation\3. Analysis &amp; Design\Design\FC22\DRR Jaime\Neiva CPI\[DINA TERCIARIOS_CF_SEC_New_27-Mar-2024.xlsx]D-PS'!</v>
      </c>
      <c r="G2057" s="32" t="s">
        <v>103</v>
      </c>
      <c r="H2057" s="33">
        <f t="shared" si="494"/>
        <v>15</v>
      </c>
      <c r="I2057" s="33" t="str">
        <f t="shared" si="493"/>
        <v>='C:\Users\jaime.benazar\Quorum Business Solutions\Ecopetrol Prometeo - Documents\Planning Space Implementation\3. Analysis &amp; Design\Design\FC22\DRR Jaime\Neiva CPI\[DINA TERCIARIOS_CF_SEC_New_27-Mar-2024.xlsx]D-PS'!$BX$15</v>
      </c>
      <c r="J2057" s="37" t="s">
        <v>2894</v>
      </c>
    </row>
    <row r="2058" spans="1:10" x14ac:dyDescent="0.3">
      <c r="A2058" s="32" t="s">
        <v>24</v>
      </c>
      <c r="B2058" s="32">
        <f t="shared" si="495"/>
        <v>2027</v>
      </c>
      <c r="C2058" s="33" t="s">
        <v>46</v>
      </c>
      <c r="D2058" s="34" t="s">
        <v>2002</v>
      </c>
      <c r="E2058" s="35" t="str">
        <f t="shared" si="428"/>
        <v>PS'!</v>
      </c>
      <c r="F2058" s="34" t="str">
        <f t="shared" si="429"/>
        <v>C:\Users\jaime.benazar\Quorum Business Solutions\Ecopetrol Prometeo - Documents\Planning Space Implementation\3. Analysis &amp; Design\Design\FC22\DRR Jaime\Neiva CPI\[DINA TERCIARIOS_CF_SEC_New_27-Mar-2024.xlsx]D-PS'!</v>
      </c>
      <c r="G2058" s="32" t="s">
        <v>103</v>
      </c>
      <c r="H2058" s="33">
        <f t="shared" si="494"/>
        <v>16</v>
      </c>
      <c r="I2058" s="33" t="str">
        <f t="shared" si="493"/>
        <v>='C:\Users\jaime.benazar\Quorum Business Solutions\Ecopetrol Prometeo - Documents\Planning Space Implementation\3. Analysis &amp; Design\Design\FC22\DRR Jaime\Neiva CPI\[DINA TERCIARIOS_CF_SEC_New_27-Mar-2024.xlsx]D-PS'!$BX$16</v>
      </c>
      <c r="J2058" s="37" t="s">
        <v>2895</v>
      </c>
    </row>
    <row r="2059" spans="1:10" x14ac:dyDescent="0.3">
      <c r="A2059" s="32" t="s">
        <v>24</v>
      </c>
      <c r="B2059" s="32">
        <f t="shared" si="495"/>
        <v>2028</v>
      </c>
      <c r="C2059" s="33" t="s">
        <v>46</v>
      </c>
      <c r="D2059" s="34" t="s">
        <v>2002</v>
      </c>
      <c r="E2059" s="35" t="str">
        <f t="shared" si="428"/>
        <v>PS'!</v>
      </c>
      <c r="F2059" s="34" t="str">
        <f t="shared" si="429"/>
        <v>C:\Users\jaime.benazar\Quorum Business Solutions\Ecopetrol Prometeo - Documents\Planning Space Implementation\3. Analysis &amp; Design\Design\FC22\DRR Jaime\Neiva CPI\[DINA TERCIARIOS_CF_SEC_New_27-Mar-2024.xlsx]D-PS'!</v>
      </c>
      <c r="G2059" s="32" t="s">
        <v>103</v>
      </c>
      <c r="H2059" s="33">
        <f t="shared" si="494"/>
        <v>17</v>
      </c>
      <c r="I2059" s="33" t="str">
        <f t="shared" si="493"/>
        <v>='C:\Users\jaime.benazar\Quorum Business Solutions\Ecopetrol Prometeo - Documents\Planning Space Implementation\3. Analysis &amp; Design\Design\FC22\DRR Jaime\Neiva CPI\[DINA TERCIARIOS_CF_SEC_New_27-Mar-2024.xlsx]D-PS'!$BX$17</v>
      </c>
      <c r="J2059" s="37" t="s">
        <v>2896</v>
      </c>
    </row>
    <row r="2060" spans="1:10" x14ac:dyDescent="0.3">
      <c r="A2060" s="32" t="s">
        <v>24</v>
      </c>
      <c r="B2060" s="32">
        <f t="shared" si="495"/>
        <v>2029</v>
      </c>
      <c r="C2060" s="33" t="s">
        <v>46</v>
      </c>
      <c r="D2060" s="34" t="s">
        <v>2002</v>
      </c>
      <c r="E2060" s="35" t="str">
        <f t="shared" si="428"/>
        <v>PS'!</v>
      </c>
      <c r="F2060" s="34" t="str">
        <f t="shared" si="429"/>
        <v>C:\Users\jaime.benazar\Quorum Business Solutions\Ecopetrol Prometeo - Documents\Planning Space Implementation\3. Analysis &amp; Design\Design\FC22\DRR Jaime\Neiva CPI\[DINA TERCIARIOS_CF_SEC_New_27-Mar-2024.xlsx]D-PS'!</v>
      </c>
      <c r="G2060" s="32" t="s">
        <v>103</v>
      </c>
      <c r="H2060" s="33">
        <f t="shared" si="494"/>
        <v>18</v>
      </c>
      <c r="I2060" s="33" t="str">
        <f t="shared" si="493"/>
        <v>='C:\Users\jaime.benazar\Quorum Business Solutions\Ecopetrol Prometeo - Documents\Planning Space Implementation\3. Analysis &amp; Design\Design\FC22\DRR Jaime\Neiva CPI\[DINA TERCIARIOS_CF_SEC_New_27-Mar-2024.xlsx]D-PS'!$BX$18</v>
      </c>
      <c r="J2060" s="37" t="s">
        <v>2897</v>
      </c>
    </row>
    <row r="2061" spans="1:10" x14ac:dyDescent="0.3">
      <c r="A2061" s="32" t="s">
        <v>24</v>
      </c>
      <c r="B2061" s="32">
        <f t="shared" si="495"/>
        <v>2030</v>
      </c>
      <c r="C2061" s="33" t="s">
        <v>46</v>
      </c>
      <c r="D2061" s="34" t="s">
        <v>2002</v>
      </c>
      <c r="E2061" s="35" t="str">
        <f t="shared" si="428"/>
        <v>PS'!</v>
      </c>
      <c r="F2061" s="34" t="str">
        <f t="shared" si="429"/>
        <v>C:\Users\jaime.benazar\Quorum Business Solutions\Ecopetrol Prometeo - Documents\Planning Space Implementation\3. Analysis &amp; Design\Design\FC22\DRR Jaime\Neiva CPI\[DINA TERCIARIOS_CF_SEC_New_27-Mar-2024.xlsx]D-PS'!</v>
      </c>
      <c r="G2061" s="32" t="s">
        <v>103</v>
      </c>
      <c r="H2061" s="33">
        <f t="shared" si="494"/>
        <v>19</v>
      </c>
      <c r="I2061" s="33" t="str">
        <f t="shared" si="493"/>
        <v>='C:\Users\jaime.benazar\Quorum Business Solutions\Ecopetrol Prometeo - Documents\Planning Space Implementation\3. Analysis &amp; Design\Design\FC22\DRR Jaime\Neiva CPI\[DINA TERCIARIOS_CF_SEC_New_27-Mar-2024.xlsx]D-PS'!$BX$19</v>
      </c>
      <c r="J2061" s="37" t="s">
        <v>2898</v>
      </c>
    </row>
    <row r="2062" spans="1:10" x14ac:dyDescent="0.3">
      <c r="A2062" s="32" t="s">
        <v>24</v>
      </c>
      <c r="B2062" s="32">
        <f t="shared" si="495"/>
        <v>2031</v>
      </c>
      <c r="C2062" s="33" t="s">
        <v>46</v>
      </c>
      <c r="D2062" s="34" t="s">
        <v>2002</v>
      </c>
      <c r="E2062" s="35" t="str">
        <f t="shared" si="428"/>
        <v>PS'!</v>
      </c>
      <c r="F2062" s="34" t="str">
        <f t="shared" si="429"/>
        <v>C:\Users\jaime.benazar\Quorum Business Solutions\Ecopetrol Prometeo - Documents\Planning Space Implementation\3. Analysis &amp; Design\Design\FC22\DRR Jaime\Neiva CPI\[DINA TERCIARIOS_CF_SEC_New_27-Mar-2024.xlsx]D-PS'!</v>
      </c>
      <c r="G2062" s="32" t="s">
        <v>103</v>
      </c>
      <c r="H2062" s="33">
        <f t="shared" si="494"/>
        <v>20</v>
      </c>
      <c r="I2062" s="33" t="str">
        <f t="shared" si="493"/>
        <v>='C:\Users\jaime.benazar\Quorum Business Solutions\Ecopetrol Prometeo - Documents\Planning Space Implementation\3. Analysis &amp; Design\Design\FC22\DRR Jaime\Neiva CPI\[DINA TERCIARIOS_CF_SEC_New_27-Mar-2024.xlsx]D-PS'!$BX$20</v>
      </c>
      <c r="J2062" s="37" t="s">
        <v>2899</v>
      </c>
    </row>
    <row r="2063" spans="1:10" x14ac:dyDescent="0.3">
      <c r="A2063" s="32" t="s">
        <v>24</v>
      </c>
      <c r="B2063" s="32">
        <f t="shared" si="495"/>
        <v>2032</v>
      </c>
      <c r="C2063" s="33" t="s">
        <v>46</v>
      </c>
      <c r="D2063" s="34" t="s">
        <v>2002</v>
      </c>
      <c r="E2063" s="35" t="str">
        <f t="shared" si="428"/>
        <v>PS'!</v>
      </c>
      <c r="F2063" s="34" t="str">
        <f t="shared" si="429"/>
        <v>C:\Users\jaime.benazar\Quorum Business Solutions\Ecopetrol Prometeo - Documents\Planning Space Implementation\3. Analysis &amp; Design\Design\FC22\DRR Jaime\Neiva CPI\[DINA TERCIARIOS_CF_SEC_New_27-Mar-2024.xlsx]D-PS'!</v>
      </c>
      <c r="G2063" s="32" t="s">
        <v>103</v>
      </c>
      <c r="H2063" s="33">
        <f t="shared" si="494"/>
        <v>21</v>
      </c>
      <c r="I2063" s="33" t="str">
        <f t="shared" si="493"/>
        <v>='C:\Users\jaime.benazar\Quorum Business Solutions\Ecopetrol Prometeo - Documents\Planning Space Implementation\3. Analysis &amp; Design\Design\FC22\DRR Jaime\Neiva CPI\[DINA TERCIARIOS_CF_SEC_New_27-Mar-2024.xlsx]D-PS'!$BX$21</v>
      </c>
      <c r="J2063" s="37" t="s">
        <v>2900</v>
      </c>
    </row>
    <row r="2064" spans="1:10" x14ac:dyDescent="0.3">
      <c r="A2064" s="32" t="s">
        <v>24</v>
      </c>
      <c r="B2064" s="32">
        <f t="shared" si="495"/>
        <v>2033</v>
      </c>
      <c r="C2064" s="33" t="s">
        <v>46</v>
      </c>
      <c r="D2064" s="34" t="s">
        <v>2002</v>
      </c>
      <c r="E2064" s="35" t="str">
        <f t="shared" si="428"/>
        <v>PS'!</v>
      </c>
      <c r="F2064" s="34" t="str">
        <f t="shared" si="429"/>
        <v>C:\Users\jaime.benazar\Quorum Business Solutions\Ecopetrol Prometeo - Documents\Planning Space Implementation\3. Analysis &amp; Design\Design\FC22\DRR Jaime\Neiva CPI\[DINA TERCIARIOS_CF_SEC_New_27-Mar-2024.xlsx]D-PS'!</v>
      </c>
      <c r="G2064" s="32" t="s">
        <v>103</v>
      </c>
      <c r="H2064" s="33">
        <f t="shared" si="494"/>
        <v>22</v>
      </c>
      <c r="I2064" s="33" t="str">
        <f t="shared" si="493"/>
        <v>='C:\Users\jaime.benazar\Quorum Business Solutions\Ecopetrol Prometeo - Documents\Planning Space Implementation\3. Analysis &amp; Design\Design\FC22\DRR Jaime\Neiva CPI\[DINA TERCIARIOS_CF_SEC_New_27-Mar-2024.xlsx]D-PS'!$BX$22</v>
      </c>
      <c r="J2064" s="37" t="s">
        <v>2901</v>
      </c>
    </row>
    <row r="2065" spans="1:10" x14ac:dyDescent="0.3">
      <c r="A2065" s="32" t="s">
        <v>24</v>
      </c>
      <c r="B2065" s="32">
        <f t="shared" si="495"/>
        <v>2034</v>
      </c>
      <c r="C2065" s="33" t="s">
        <v>46</v>
      </c>
      <c r="D2065" s="34" t="s">
        <v>2002</v>
      </c>
      <c r="E2065" s="35" t="str">
        <f t="shared" si="428"/>
        <v>PS'!</v>
      </c>
      <c r="F2065" s="34" t="str">
        <f t="shared" si="429"/>
        <v>C:\Users\jaime.benazar\Quorum Business Solutions\Ecopetrol Prometeo - Documents\Planning Space Implementation\3. Analysis &amp; Design\Design\FC22\DRR Jaime\Neiva CPI\[DINA TERCIARIOS_CF_SEC_New_27-Mar-2024.xlsx]D-PS'!</v>
      </c>
      <c r="G2065" s="32" t="s">
        <v>103</v>
      </c>
      <c r="H2065" s="33">
        <f t="shared" si="494"/>
        <v>23</v>
      </c>
      <c r="I2065" s="33" t="str">
        <f t="shared" si="493"/>
        <v>='C:\Users\jaime.benazar\Quorum Business Solutions\Ecopetrol Prometeo - Documents\Planning Space Implementation\3. Analysis &amp; Design\Design\FC22\DRR Jaime\Neiva CPI\[DINA TERCIARIOS_CF_SEC_New_27-Mar-2024.xlsx]D-PS'!$BX$23</v>
      </c>
      <c r="J2065" s="37" t="s">
        <v>2902</v>
      </c>
    </row>
    <row r="2066" spans="1:10" x14ac:dyDescent="0.3">
      <c r="A2066" s="32" t="s">
        <v>24</v>
      </c>
      <c r="B2066" s="32">
        <f t="shared" si="495"/>
        <v>2035</v>
      </c>
      <c r="C2066" s="33" t="s">
        <v>46</v>
      </c>
      <c r="D2066" s="34" t="s">
        <v>2002</v>
      </c>
      <c r="E2066" s="35" t="str">
        <f t="shared" si="428"/>
        <v>PS'!</v>
      </c>
      <c r="F2066" s="34" t="str">
        <f t="shared" si="429"/>
        <v>C:\Users\jaime.benazar\Quorum Business Solutions\Ecopetrol Prometeo - Documents\Planning Space Implementation\3. Analysis &amp; Design\Design\FC22\DRR Jaime\Neiva CPI\[DINA TERCIARIOS_CF_SEC_New_27-Mar-2024.xlsx]D-PS'!</v>
      </c>
      <c r="G2066" s="32" t="s">
        <v>103</v>
      </c>
      <c r="H2066" s="33">
        <f t="shared" si="494"/>
        <v>24</v>
      </c>
      <c r="I2066" s="33" t="str">
        <f t="shared" si="493"/>
        <v>='C:\Users\jaime.benazar\Quorum Business Solutions\Ecopetrol Prometeo - Documents\Planning Space Implementation\3. Analysis &amp; Design\Design\FC22\DRR Jaime\Neiva CPI\[DINA TERCIARIOS_CF_SEC_New_27-Mar-2024.xlsx]D-PS'!$BX$24</v>
      </c>
      <c r="J2066" s="37" t="s">
        <v>2903</v>
      </c>
    </row>
    <row r="2067" spans="1:10" x14ac:dyDescent="0.3">
      <c r="A2067" s="32" t="s">
        <v>24</v>
      </c>
      <c r="B2067" s="32">
        <f t="shared" si="495"/>
        <v>2036</v>
      </c>
      <c r="C2067" s="33" t="s">
        <v>46</v>
      </c>
      <c r="D2067" s="34" t="s">
        <v>2002</v>
      </c>
      <c r="E2067" s="35" t="str">
        <f t="shared" si="428"/>
        <v>PS'!</v>
      </c>
      <c r="F2067" s="34" t="str">
        <f t="shared" si="429"/>
        <v>C:\Users\jaime.benazar\Quorum Business Solutions\Ecopetrol Prometeo - Documents\Planning Space Implementation\3. Analysis &amp; Design\Design\FC22\DRR Jaime\Neiva CPI\[DINA TERCIARIOS_CF_SEC_New_27-Mar-2024.xlsx]D-PS'!</v>
      </c>
      <c r="G2067" s="32" t="s">
        <v>103</v>
      </c>
      <c r="H2067" s="33">
        <f t="shared" si="494"/>
        <v>25</v>
      </c>
      <c r="I2067" s="33" t="str">
        <f t="shared" si="493"/>
        <v>='C:\Users\jaime.benazar\Quorum Business Solutions\Ecopetrol Prometeo - Documents\Planning Space Implementation\3. Analysis &amp; Design\Design\FC22\DRR Jaime\Neiva CPI\[DINA TERCIARIOS_CF_SEC_New_27-Mar-2024.xlsx]D-PS'!$BX$25</v>
      </c>
      <c r="J2067" s="37" t="s">
        <v>2904</v>
      </c>
    </row>
    <row r="2068" spans="1:10" x14ac:dyDescent="0.3">
      <c r="A2068" s="32" t="s">
        <v>24</v>
      </c>
      <c r="B2068" s="32">
        <f>+B2067+1</f>
        <v>2037</v>
      </c>
      <c r="C2068" s="33" t="s">
        <v>46</v>
      </c>
      <c r="D2068" s="34" t="s">
        <v>2002</v>
      </c>
      <c r="E2068" s="35" t="str">
        <f t="shared" si="428"/>
        <v>PS'!</v>
      </c>
      <c r="F2068" s="34" t="str">
        <f t="shared" si="429"/>
        <v>C:\Users\jaime.benazar\Quorum Business Solutions\Ecopetrol Prometeo - Documents\Planning Space Implementation\3. Analysis &amp; Design\Design\FC22\DRR Jaime\Neiva CPI\[DINA TERCIARIOS_CF_SEC_New_27-Mar-2024.xlsx]D-PS'!</v>
      </c>
      <c r="G2068" s="32" t="s">
        <v>103</v>
      </c>
      <c r="H2068" s="33">
        <f t="shared" si="494"/>
        <v>26</v>
      </c>
      <c r="I2068" s="33" t="str">
        <f t="shared" si="493"/>
        <v>='C:\Users\jaime.benazar\Quorum Business Solutions\Ecopetrol Prometeo - Documents\Planning Space Implementation\3. Analysis &amp; Design\Design\FC22\DRR Jaime\Neiva CPI\[DINA TERCIARIOS_CF_SEC_New_27-Mar-2024.xlsx]D-PS'!$BX$26</v>
      </c>
      <c r="J2068" s="37" t="s">
        <v>2905</v>
      </c>
    </row>
    <row r="2069" spans="1:10" x14ac:dyDescent="0.3">
      <c r="A2069" s="32" t="s">
        <v>24</v>
      </c>
      <c r="B2069" s="32">
        <f t="shared" ref="B2069:B2071" si="496">+B2068+1</f>
        <v>2038</v>
      </c>
      <c r="C2069" s="33" t="s">
        <v>46</v>
      </c>
      <c r="D2069" s="34" t="s">
        <v>2002</v>
      </c>
      <c r="E2069" s="35" t="str">
        <f t="shared" si="428"/>
        <v>PS'!</v>
      </c>
      <c r="F2069" s="34" t="str">
        <f t="shared" si="429"/>
        <v>C:\Users\jaime.benazar\Quorum Business Solutions\Ecopetrol Prometeo - Documents\Planning Space Implementation\3. Analysis &amp; Design\Design\FC22\DRR Jaime\Neiva CPI\[DINA TERCIARIOS_CF_SEC_New_27-Mar-2024.xlsx]D-PS'!</v>
      </c>
      <c r="G2069" s="32" t="s">
        <v>103</v>
      </c>
      <c r="H2069" s="33">
        <f t="shared" si="494"/>
        <v>27</v>
      </c>
      <c r="I2069" s="33" t="str">
        <f t="shared" si="493"/>
        <v>='C:\Users\jaime.benazar\Quorum Business Solutions\Ecopetrol Prometeo - Documents\Planning Space Implementation\3. Analysis &amp; Design\Design\FC22\DRR Jaime\Neiva CPI\[DINA TERCIARIOS_CF_SEC_New_27-Mar-2024.xlsx]D-PS'!$BX$27</v>
      </c>
      <c r="J2069" s="37" t="s">
        <v>2906</v>
      </c>
    </row>
    <row r="2070" spans="1:10" x14ac:dyDescent="0.3">
      <c r="A2070" s="32" t="s">
        <v>24</v>
      </c>
      <c r="B2070" s="32">
        <f t="shared" si="496"/>
        <v>2039</v>
      </c>
      <c r="C2070" s="33" t="s">
        <v>46</v>
      </c>
      <c r="D2070" s="34" t="s">
        <v>2002</v>
      </c>
      <c r="E2070" s="35" t="str">
        <f t="shared" si="428"/>
        <v>PS'!</v>
      </c>
      <c r="F2070" s="34" t="str">
        <f t="shared" si="429"/>
        <v>C:\Users\jaime.benazar\Quorum Business Solutions\Ecopetrol Prometeo - Documents\Planning Space Implementation\3. Analysis &amp; Design\Design\FC22\DRR Jaime\Neiva CPI\[DINA TERCIARIOS_CF_SEC_New_27-Mar-2024.xlsx]D-PS'!</v>
      </c>
      <c r="G2070" s="32" t="s">
        <v>103</v>
      </c>
      <c r="H2070" s="33">
        <f t="shared" si="494"/>
        <v>28</v>
      </c>
      <c r="I2070" s="33" t="str">
        <f t="shared" si="493"/>
        <v>='C:\Users\jaime.benazar\Quorum Business Solutions\Ecopetrol Prometeo - Documents\Planning Space Implementation\3. Analysis &amp; Design\Design\FC22\DRR Jaime\Neiva CPI\[DINA TERCIARIOS_CF_SEC_New_27-Mar-2024.xlsx]D-PS'!$BX$28</v>
      </c>
      <c r="J2070" s="37" t="s">
        <v>2907</v>
      </c>
    </row>
    <row r="2071" spans="1:10" x14ac:dyDescent="0.3">
      <c r="A2071" s="32" t="s">
        <v>24</v>
      </c>
      <c r="B2071" s="32">
        <f t="shared" si="496"/>
        <v>2040</v>
      </c>
      <c r="C2071" s="33" t="s">
        <v>46</v>
      </c>
      <c r="D2071" s="34" t="s">
        <v>2002</v>
      </c>
      <c r="E2071" s="35" t="str">
        <f t="shared" si="428"/>
        <v>PS'!</v>
      </c>
      <c r="F2071" s="34" t="str">
        <f t="shared" si="429"/>
        <v>C:\Users\jaime.benazar\Quorum Business Solutions\Ecopetrol Prometeo - Documents\Planning Space Implementation\3. Analysis &amp; Design\Design\FC22\DRR Jaime\Neiva CPI\[DINA TERCIARIOS_CF_SEC_New_27-Mar-2024.xlsx]D-PS'!</v>
      </c>
      <c r="G2071" s="32" t="s">
        <v>103</v>
      </c>
      <c r="H2071" s="33">
        <f t="shared" si="494"/>
        <v>29</v>
      </c>
      <c r="I2071" s="33" t="str">
        <f t="shared" si="493"/>
        <v>='C:\Users\jaime.benazar\Quorum Business Solutions\Ecopetrol Prometeo - Documents\Planning Space Implementation\3. Analysis &amp; Design\Design\FC22\DRR Jaime\Neiva CPI\[DINA TERCIARIOS_CF_SEC_New_27-Mar-2024.xlsx]D-PS'!$BX$29</v>
      </c>
      <c r="J2071" s="37" t="s">
        <v>2908</v>
      </c>
    </row>
    <row r="2072" spans="1:10" x14ac:dyDescent="0.3">
      <c r="A2072" s="32" t="s">
        <v>24</v>
      </c>
      <c r="B2072" s="32">
        <f>+B2071+1</f>
        <v>2041</v>
      </c>
      <c r="C2072" s="33" t="s">
        <v>46</v>
      </c>
      <c r="D2072" s="34" t="s">
        <v>2002</v>
      </c>
      <c r="E2072" s="35" t="str">
        <f t="shared" si="428"/>
        <v>PS'!</v>
      </c>
      <c r="F2072" s="34" t="str">
        <f t="shared" si="429"/>
        <v>C:\Users\jaime.benazar\Quorum Business Solutions\Ecopetrol Prometeo - Documents\Planning Space Implementation\3. Analysis &amp; Design\Design\FC22\DRR Jaime\Neiva CPI\[DINA TERCIARIOS_CF_SEC_New_27-Mar-2024.xlsx]D-PS'!</v>
      </c>
      <c r="G2072" s="32" t="s">
        <v>103</v>
      </c>
      <c r="H2072" s="33">
        <f t="shared" si="494"/>
        <v>30</v>
      </c>
      <c r="I2072" s="33" t="str">
        <f t="shared" si="493"/>
        <v>='C:\Users\jaime.benazar\Quorum Business Solutions\Ecopetrol Prometeo - Documents\Planning Space Implementation\3. Analysis &amp; Design\Design\FC22\DRR Jaime\Neiva CPI\[DINA TERCIARIOS_CF_SEC_New_27-Mar-2024.xlsx]D-PS'!$BX$30</v>
      </c>
      <c r="J2072" s="37" t="s">
        <v>2909</v>
      </c>
    </row>
    <row r="2073" spans="1:10" x14ac:dyDescent="0.3">
      <c r="A2073" s="32" t="s">
        <v>24</v>
      </c>
      <c r="B2073" s="32">
        <f t="shared" ref="B2073:B2074" si="497">+B2072+1</f>
        <v>2042</v>
      </c>
      <c r="C2073" s="33" t="s">
        <v>46</v>
      </c>
      <c r="D2073" s="34" t="s">
        <v>2002</v>
      </c>
      <c r="E2073" s="35" t="str">
        <f t="shared" si="428"/>
        <v>PS'!</v>
      </c>
      <c r="F2073" s="34" t="str">
        <f t="shared" si="429"/>
        <v>C:\Users\jaime.benazar\Quorum Business Solutions\Ecopetrol Prometeo - Documents\Planning Space Implementation\3. Analysis &amp; Design\Design\FC22\DRR Jaime\Neiva CPI\[DINA TERCIARIOS_CF_SEC_New_27-Mar-2024.xlsx]D-PS'!</v>
      </c>
      <c r="G2073" s="32" t="s">
        <v>103</v>
      </c>
      <c r="H2073" s="33">
        <f t="shared" si="494"/>
        <v>31</v>
      </c>
      <c r="I2073" s="33" t="str">
        <f t="shared" si="493"/>
        <v>='C:\Users\jaime.benazar\Quorum Business Solutions\Ecopetrol Prometeo - Documents\Planning Space Implementation\3. Analysis &amp; Design\Design\FC22\DRR Jaime\Neiva CPI\[DINA TERCIARIOS_CF_SEC_New_27-Mar-2024.xlsx]D-PS'!$BX$31</v>
      </c>
      <c r="J2073" s="37" t="s">
        <v>2910</v>
      </c>
    </row>
    <row r="2074" spans="1:10" x14ac:dyDescent="0.3">
      <c r="A2074" s="32" t="s">
        <v>24</v>
      </c>
      <c r="B2074" s="32">
        <f t="shared" si="497"/>
        <v>2043</v>
      </c>
      <c r="C2074" s="33" t="s">
        <v>46</v>
      </c>
      <c r="D2074" s="34" t="s">
        <v>2002</v>
      </c>
      <c r="E2074" s="35" t="str">
        <f t="shared" si="428"/>
        <v>PS'!</v>
      </c>
      <c r="F2074" s="34" t="str">
        <f t="shared" si="429"/>
        <v>C:\Users\jaime.benazar\Quorum Business Solutions\Ecopetrol Prometeo - Documents\Planning Space Implementation\3. Analysis &amp; Design\Design\FC22\DRR Jaime\Neiva CPI\[DINA TERCIARIOS_CF_SEC_New_27-Mar-2024.xlsx]D-PS'!</v>
      </c>
      <c r="G2074" s="32" t="s">
        <v>103</v>
      </c>
      <c r="H2074" s="33">
        <f t="shared" si="494"/>
        <v>32</v>
      </c>
      <c r="I2074" s="33" t="str">
        <f t="shared" si="493"/>
        <v>='C:\Users\jaime.benazar\Quorum Business Solutions\Ecopetrol Prometeo - Documents\Planning Space Implementation\3. Analysis &amp; Design\Design\FC22\DRR Jaime\Neiva CPI\[DINA TERCIARIOS_CF_SEC_New_27-Mar-2024.xlsx]D-PS'!$BX$32</v>
      </c>
      <c r="J2074" s="37" t="s">
        <v>2911</v>
      </c>
    </row>
    <row r="2075" spans="1:10" x14ac:dyDescent="0.3">
      <c r="A2075" s="32" t="s">
        <v>24</v>
      </c>
      <c r="B2075" s="32">
        <f>+B2074+1</f>
        <v>2044</v>
      </c>
      <c r="C2075" s="33" t="s">
        <v>46</v>
      </c>
      <c r="D2075" s="34" t="s">
        <v>2002</v>
      </c>
      <c r="E2075" s="35" t="str">
        <f t="shared" ref="E2075:E2090" si="498">_xlfn.CONCAT(A2075,"'!")</f>
        <v>PS'!</v>
      </c>
      <c r="F2075" s="34" t="str">
        <f t="shared" ref="F2075:F2090" si="499">_xlfn.CONCAT(D2075:E2075)</f>
        <v>C:\Users\jaime.benazar\Quorum Business Solutions\Ecopetrol Prometeo - Documents\Planning Space Implementation\3. Analysis &amp; Design\Design\FC22\DRR Jaime\Neiva CPI\[DINA TERCIARIOS_CF_SEC_New_27-Mar-2024.xlsx]D-PS'!</v>
      </c>
      <c r="G2075" s="32" t="s">
        <v>103</v>
      </c>
      <c r="H2075" s="33">
        <f t="shared" ref="H2075:H2090" si="500">IF(A2075&lt;&gt;A2074,12,H2074+1)</f>
        <v>33</v>
      </c>
      <c r="I2075" s="33" t="str">
        <f t="shared" ref="I2075:I2090" si="501">_xlfn.CONCAT("='",F2075:H2075)</f>
        <v>='C:\Users\jaime.benazar\Quorum Business Solutions\Ecopetrol Prometeo - Documents\Planning Space Implementation\3. Analysis &amp; Design\Design\FC22\DRR Jaime\Neiva CPI\[DINA TERCIARIOS_CF_SEC_New_27-Mar-2024.xlsx]D-PS'!$BX$33</v>
      </c>
      <c r="J2075" s="37" t="s">
        <v>2912</v>
      </c>
    </row>
    <row r="2076" spans="1:10" x14ac:dyDescent="0.3">
      <c r="A2076" s="32" t="s">
        <v>24</v>
      </c>
      <c r="B2076" s="32">
        <f t="shared" ref="B2076:B2090" si="502">+B2075+1</f>
        <v>2045</v>
      </c>
      <c r="C2076" s="33" t="s">
        <v>46</v>
      </c>
      <c r="D2076" s="34" t="s">
        <v>2002</v>
      </c>
      <c r="E2076" s="35" t="str">
        <f t="shared" si="498"/>
        <v>PS'!</v>
      </c>
      <c r="F2076" s="34" t="str">
        <f t="shared" si="499"/>
        <v>C:\Users\jaime.benazar\Quorum Business Solutions\Ecopetrol Prometeo - Documents\Planning Space Implementation\3. Analysis &amp; Design\Design\FC22\DRR Jaime\Neiva CPI\[DINA TERCIARIOS_CF_SEC_New_27-Mar-2024.xlsx]D-PS'!</v>
      </c>
      <c r="G2076" s="32" t="s">
        <v>103</v>
      </c>
      <c r="H2076" s="33">
        <f t="shared" si="500"/>
        <v>34</v>
      </c>
      <c r="I2076" s="33" t="str">
        <f t="shared" si="501"/>
        <v>='C:\Users\jaime.benazar\Quorum Business Solutions\Ecopetrol Prometeo - Documents\Planning Space Implementation\3. Analysis &amp; Design\Design\FC22\DRR Jaime\Neiva CPI\[DINA TERCIARIOS_CF_SEC_New_27-Mar-2024.xlsx]D-PS'!$BX$34</v>
      </c>
      <c r="J2076" s="37" t="s">
        <v>2913</v>
      </c>
    </row>
    <row r="2077" spans="1:10" x14ac:dyDescent="0.3">
      <c r="A2077" s="32" t="s">
        <v>24</v>
      </c>
      <c r="B2077" s="32">
        <f t="shared" si="502"/>
        <v>2046</v>
      </c>
      <c r="C2077" s="33" t="s">
        <v>46</v>
      </c>
      <c r="D2077" s="34" t="s">
        <v>2002</v>
      </c>
      <c r="E2077" s="35" t="str">
        <f t="shared" si="498"/>
        <v>PS'!</v>
      </c>
      <c r="F2077" s="34" t="str">
        <f t="shared" si="499"/>
        <v>C:\Users\jaime.benazar\Quorum Business Solutions\Ecopetrol Prometeo - Documents\Planning Space Implementation\3. Analysis &amp; Design\Design\FC22\DRR Jaime\Neiva CPI\[DINA TERCIARIOS_CF_SEC_New_27-Mar-2024.xlsx]D-PS'!</v>
      </c>
      <c r="G2077" s="32" t="s">
        <v>103</v>
      </c>
      <c r="H2077" s="33">
        <f t="shared" si="500"/>
        <v>35</v>
      </c>
      <c r="I2077" s="33" t="str">
        <f t="shared" si="501"/>
        <v>='C:\Users\jaime.benazar\Quorum Business Solutions\Ecopetrol Prometeo - Documents\Planning Space Implementation\3. Analysis &amp; Design\Design\FC22\DRR Jaime\Neiva CPI\[DINA TERCIARIOS_CF_SEC_New_27-Mar-2024.xlsx]D-PS'!$BX$35</v>
      </c>
      <c r="J2077" s="37" t="s">
        <v>2914</v>
      </c>
    </row>
    <row r="2078" spans="1:10" x14ac:dyDescent="0.3">
      <c r="A2078" s="32" t="s">
        <v>24</v>
      </c>
      <c r="B2078" s="32">
        <f t="shared" si="502"/>
        <v>2047</v>
      </c>
      <c r="C2078" s="33" t="s">
        <v>46</v>
      </c>
      <c r="D2078" s="34" t="s">
        <v>2002</v>
      </c>
      <c r="E2078" s="35" t="str">
        <f t="shared" si="498"/>
        <v>PS'!</v>
      </c>
      <c r="F2078" s="34" t="str">
        <f t="shared" si="499"/>
        <v>C:\Users\jaime.benazar\Quorum Business Solutions\Ecopetrol Prometeo - Documents\Planning Space Implementation\3. Analysis &amp; Design\Design\FC22\DRR Jaime\Neiva CPI\[DINA TERCIARIOS_CF_SEC_New_27-Mar-2024.xlsx]D-PS'!</v>
      </c>
      <c r="G2078" s="32" t="s">
        <v>103</v>
      </c>
      <c r="H2078" s="33">
        <f t="shared" si="500"/>
        <v>36</v>
      </c>
      <c r="I2078" s="33" t="str">
        <f t="shared" si="501"/>
        <v>='C:\Users\jaime.benazar\Quorum Business Solutions\Ecopetrol Prometeo - Documents\Planning Space Implementation\3. Analysis &amp; Design\Design\FC22\DRR Jaime\Neiva CPI\[DINA TERCIARIOS_CF_SEC_New_27-Mar-2024.xlsx]D-PS'!$BX$36</v>
      </c>
      <c r="J2078" s="37" t="s">
        <v>2915</v>
      </c>
    </row>
    <row r="2079" spans="1:10" x14ac:dyDescent="0.3">
      <c r="A2079" s="32" t="s">
        <v>24</v>
      </c>
      <c r="B2079" s="32">
        <f t="shared" si="502"/>
        <v>2048</v>
      </c>
      <c r="C2079" s="33" t="s">
        <v>46</v>
      </c>
      <c r="D2079" s="34" t="s">
        <v>2002</v>
      </c>
      <c r="E2079" s="35" t="str">
        <f t="shared" si="498"/>
        <v>PS'!</v>
      </c>
      <c r="F2079" s="34" t="str">
        <f t="shared" si="499"/>
        <v>C:\Users\jaime.benazar\Quorum Business Solutions\Ecopetrol Prometeo - Documents\Planning Space Implementation\3. Analysis &amp; Design\Design\FC22\DRR Jaime\Neiva CPI\[DINA TERCIARIOS_CF_SEC_New_27-Mar-2024.xlsx]D-PS'!</v>
      </c>
      <c r="G2079" s="32" t="s">
        <v>103</v>
      </c>
      <c r="H2079" s="33">
        <f t="shared" si="500"/>
        <v>37</v>
      </c>
      <c r="I2079" s="33" t="str">
        <f t="shared" si="501"/>
        <v>='C:\Users\jaime.benazar\Quorum Business Solutions\Ecopetrol Prometeo - Documents\Planning Space Implementation\3. Analysis &amp; Design\Design\FC22\DRR Jaime\Neiva CPI\[DINA TERCIARIOS_CF_SEC_New_27-Mar-2024.xlsx]D-PS'!$BX$37</v>
      </c>
      <c r="J2079" s="37" t="s">
        <v>2916</v>
      </c>
    </row>
    <row r="2080" spans="1:10" x14ac:dyDescent="0.3">
      <c r="A2080" s="32" t="s">
        <v>24</v>
      </c>
      <c r="B2080" s="32">
        <f t="shared" si="502"/>
        <v>2049</v>
      </c>
      <c r="C2080" s="33" t="s">
        <v>46</v>
      </c>
      <c r="D2080" s="34" t="s">
        <v>2002</v>
      </c>
      <c r="E2080" s="35" t="str">
        <f t="shared" si="498"/>
        <v>PS'!</v>
      </c>
      <c r="F2080" s="34" t="str">
        <f t="shared" si="499"/>
        <v>C:\Users\jaime.benazar\Quorum Business Solutions\Ecopetrol Prometeo - Documents\Planning Space Implementation\3. Analysis &amp; Design\Design\FC22\DRR Jaime\Neiva CPI\[DINA TERCIARIOS_CF_SEC_New_27-Mar-2024.xlsx]D-PS'!</v>
      </c>
      <c r="G2080" s="32" t="s">
        <v>103</v>
      </c>
      <c r="H2080" s="33">
        <f t="shared" si="500"/>
        <v>38</v>
      </c>
      <c r="I2080" s="33" t="str">
        <f t="shared" si="501"/>
        <v>='C:\Users\jaime.benazar\Quorum Business Solutions\Ecopetrol Prometeo - Documents\Planning Space Implementation\3. Analysis &amp; Design\Design\FC22\DRR Jaime\Neiva CPI\[DINA TERCIARIOS_CF_SEC_New_27-Mar-2024.xlsx]D-PS'!$BX$38</v>
      </c>
      <c r="J2080" s="37" t="s">
        <v>2917</v>
      </c>
    </row>
    <row r="2081" spans="1:10" x14ac:dyDescent="0.3">
      <c r="A2081" s="32" t="s">
        <v>24</v>
      </c>
      <c r="B2081" s="32">
        <f t="shared" si="502"/>
        <v>2050</v>
      </c>
      <c r="C2081" s="33" t="s">
        <v>46</v>
      </c>
      <c r="D2081" s="34" t="s">
        <v>2002</v>
      </c>
      <c r="E2081" s="35" t="str">
        <f t="shared" si="498"/>
        <v>PS'!</v>
      </c>
      <c r="F2081" s="34" t="str">
        <f t="shared" si="499"/>
        <v>C:\Users\jaime.benazar\Quorum Business Solutions\Ecopetrol Prometeo - Documents\Planning Space Implementation\3. Analysis &amp; Design\Design\FC22\DRR Jaime\Neiva CPI\[DINA TERCIARIOS_CF_SEC_New_27-Mar-2024.xlsx]D-PS'!</v>
      </c>
      <c r="G2081" s="32" t="s">
        <v>103</v>
      </c>
      <c r="H2081" s="33">
        <f t="shared" si="500"/>
        <v>39</v>
      </c>
      <c r="I2081" s="33" t="str">
        <f t="shared" si="501"/>
        <v>='C:\Users\jaime.benazar\Quorum Business Solutions\Ecopetrol Prometeo - Documents\Planning Space Implementation\3. Analysis &amp; Design\Design\FC22\DRR Jaime\Neiva CPI\[DINA TERCIARIOS_CF_SEC_New_27-Mar-2024.xlsx]D-PS'!$BX$39</v>
      </c>
      <c r="J2081" s="37" t="s">
        <v>2918</v>
      </c>
    </row>
    <row r="2082" spans="1:10" x14ac:dyDescent="0.3">
      <c r="A2082" s="32" t="s">
        <v>24</v>
      </c>
      <c r="B2082" s="32">
        <f t="shared" si="502"/>
        <v>2051</v>
      </c>
      <c r="C2082" s="33" t="s">
        <v>46</v>
      </c>
      <c r="D2082" s="34" t="s">
        <v>2002</v>
      </c>
      <c r="E2082" s="35" t="str">
        <f t="shared" si="498"/>
        <v>PS'!</v>
      </c>
      <c r="F2082" s="34" t="str">
        <f t="shared" si="499"/>
        <v>C:\Users\jaime.benazar\Quorum Business Solutions\Ecopetrol Prometeo - Documents\Planning Space Implementation\3. Analysis &amp; Design\Design\FC22\DRR Jaime\Neiva CPI\[DINA TERCIARIOS_CF_SEC_New_27-Mar-2024.xlsx]D-PS'!</v>
      </c>
      <c r="G2082" s="32" t="s">
        <v>103</v>
      </c>
      <c r="H2082" s="33">
        <f t="shared" si="500"/>
        <v>40</v>
      </c>
      <c r="I2082" s="33" t="str">
        <f t="shared" si="501"/>
        <v>='C:\Users\jaime.benazar\Quorum Business Solutions\Ecopetrol Prometeo - Documents\Planning Space Implementation\3. Analysis &amp; Design\Design\FC22\DRR Jaime\Neiva CPI\[DINA TERCIARIOS_CF_SEC_New_27-Mar-2024.xlsx]D-PS'!$BX$40</v>
      </c>
      <c r="J2082" s="37" t="s">
        <v>2919</v>
      </c>
    </row>
    <row r="2083" spans="1:10" x14ac:dyDescent="0.3">
      <c r="A2083" s="32" t="s">
        <v>24</v>
      </c>
      <c r="B2083" s="32">
        <f t="shared" si="502"/>
        <v>2052</v>
      </c>
      <c r="C2083" s="33" t="s">
        <v>46</v>
      </c>
      <c r="D2083" s="34" t="s">
        <v>2002</v>
      </c>
      <c r="E2083" s="35" t="str">
        <f t="shared" si="498"/>
        <v>PS'!</v>
      </c>
      <c r="F2083" s="34" t="str">
        <f t="shared" si="499"/>
        <v>C:\Users\jaime.benazar\Quorum Business Solutions\Ecopetrol Prometeo - Documents\Planning Space Implementation\3. Analysis &amp; Design\Design\FC22\DRR Jaime\Neiva CPI\[DINA TERCIARIOS_CF_SEC_New_27-Mar-2024.xlsx]D-PS'!</v>
      </c>
      <c r="G2083" s="32" t="s">
        <v>103</v>
      </c>
      <c r="H2083" s="33">
        <f t="shared" si="500"/>
        <v>41</v>
      </c>
      <c r="I2083" s="33" t="str">
        <f t="shared" si="501"/>
        <v>='C:\Users\jaime.benazar\Quorum Business Solutions\Ecopetrol Prometeo - Documents\Planning Space Implementation\3. Analysis &amp; Design\Design\FC22\DRR Jaime\Neiva CPI\[DINA TERCIARIOS_CF_SEC_New_27-Mar-2024.xlsx]D-PS'!$BX$41</v>
      </c>
      <c r="J2083" s="37" t="s">
        <v>2920</v>
      </c>
    </row>
    <row r="2084" spans="1:10" x14ac:dyDescent="0.3">
      <c r="A2084" s="32" t="s">
        <v>24</v>
      </c>
      <c r="B2084" s="32">
        <f t="shared" si="502"/>
        <v>2053</v>
      </c>
      <c r="C2084" s="33" t="s">
        <v>46</v>
      </c>
      <c r="D2084" s="34" t="s">
        <v>2002</v>
      </c>
      <c r="E2084" s="35" t="str">
        <f t="shared" si="498"/>
        <v>PS'!</v>
      </c>
      <c r="F2084" s="34" t="str">
        <f t="shared" si="499"/>
        <v>C:\Users\jaime.benazar\Quorum Business Solutions\Ecopetrol Prometeo - Documents\Planning Space Implementation\3. Analysis &amp; Design\Design\FC22\DRR Jaime\Neiva CPI\[DINA TERCIARIOS_CF_SEC_New_27-Mar-2024.xlsx]D-PS'!</v>
      </c>
      <c r="G2084" s="32" t="s">
        <v>103</v>
      </c>
      <c r="H2084" s="33">
        <f t="shared" si="500"/>
        <v>42</v>
      </c>
      <c r="I2084" s="33" t="str">
        <f t="shared" si="501"/>
        <v>='C:\Users\jaime.benazar\Quorum Business Solutions\Ecopetrol Prometeo - Documents\Planning Space Implementation\3. Analysis &amp; Design\Design\FC22\DRR Jaime\Neiva CPI\[DINA TERCIARIOS_CF_SEC_New_27-Mar-2024.xlsx]D-PS'!$BX$42</v>
      </c>
      <c r="J2084" s="37" t="s">
        <v>2921</v>
      </c>
    </row>
    <row r="2085" spans="1:10" x14ac:dyDescent="0.3">
      <c r="A2085" s="32" t="s">
        <v>24</v>
      </c>
      <c r="B2085" s="32">
        <f t="shared" si="502"/>
        <v>2054</v>
      </c>
      <c r="C2085" s="33" t="s">
        <v>46</v>
      </c>
      <c r="D2085" s="34" t="s">
        <v>2002</v>
      </c>
      <c r="E2085" s="35" t="str">
        <f t="shared" si="498"/>
        <v>PS'!</v>
      </c>
      <c r="F2085" s="34" t="str">
        <f t="shared" si="499"/>
        <v>C:\Users\jaime.benazar\Quorum Business Solutions\Ecopetrol Prometeo - Documents\Planning Space Implementation\3. Analysis &amp; Design\Design\FC22\DRR Jaime\Neiva CPI\[DINA TERCIARIOS_CF_SEC_New_27-Mar-2024.xlsx]D-PS'!</v>
      </c>
      <c r="G2085" s="32" t="s">
        <v>103</v>
      </c>
      <c r="H2085" s="33">
        <f t="shared" si="500"/>
        <v>43</v>
      </c>
      <c r="I2085" s="33" t="str">
        <f t="shared" si="501"/>
        <v>='C:\Users\jaime.benazar\Quorum Business Solutions\Ecopetrol Prometeo - Documents\Planning Space Implementation\3. Analysis &amp; Design\Design\FC22\DRR Jaime\Neiva CPI\[DINA TERCIARIOS_CF_SEC_New_27-Mar-2024.xlsx]D-PS'!$BX$43</v>
      </c>
      <c r="J2085" s="37" t="s">
        <v>2922</v>
      </c>
    </row>
    <row r="2086" spans="1:10" x14ac:dyDescent="0.3">
      <c r="A2086" s="32" t="s">
        <v>24</v>
      </c>
      <c r="B2086" s="32">
        <f t="shared" si="502"/>
        <v>2055</v>
      </c>
      <c r="C2086" s="33" t="s">
        <v>46</v>
      </c>
      <c r="D2086" s="34" t="s">
        <v>2002</v>
      </c>
      <c r="E2086" s="35" t="str">
        <f t="shared" si="498"/>
        <v>PS'!</v>
      </c>
      <c r="F2086" s="34" t="str">
        <f t="shared" si="499"/>
        <v>C:\Users\jaime.benazar\Quorum Business Solutions\Ecopetrol Prometeo - Documents\Planning Space Implementation\3. Analysis &amp; Design\Design\FC22\DRR Jaime\Neiva CPI\[DINA TERCIARIOS_CF_SEC_New_27-Mar-2024.xlsx]D-PS'!</v>
      </c>
      <c r="G2086" s="32" t="s">
        <v>103</v>
      </c>
      <c r="H2086" s="33">
        <f t="shared" si="500"/>
        <v>44</v>
      </c>
      <c r="I2086" s="33" t="str">
        <f t="shared" si="501"/>
        <v>='C:\Users\jaime.benazar\Quorum Business Solutions\Ecopetrol Prometeo - Documents\Planning Space Implementation\3. Analysis &amp; Design\Design\FC22\DRR Jaime\Neiva CPI\[DINA TERCIARIOS_CF_SEC_New_27-Mar-2024.xlsx]D-PS'!$BX$44</v>
      </c>
      <c r="J2086" s="37" t="s">
        <v>2923</v>
      </c>
    </row>
    <row r="2087" spans="1:10" x14ac:dyDescent="0.3">
      <c r="A2087" s="32" t="s">
        <v>24</v>
      </c>
      <c r="B2087" s="32">
        <f t="shared" si="502"/>
        <v>2056</v>
      </c>
      <c r="C2087" s="33" t="s">
        <v>46</v>
      </c>
      <c r="D2087" s="34" t="s">
        <v>2002</v>
      </c>
      <c r="E2087" s="35" t="str">
        <f t="shared" si="498"/>
        <v>PS'!</v>
      </c>
      <c r="F2087" s="34" t="str">
        <f t="shared" si="499"/>
        <v>C:\Users\jaime.benazar\Quorum Business Solutions\Ecopetrol Prometeo - Documents\Planning Space Implementation\3. Analysis &amp; Design\Design\FC22\DRR Jaime\Neiva CPI\[DINA TERCIARIOS_CF_SEC_New_27-Mar-2024.xlsx]D-PS'!</v>
      </c>
      <c r="G2087" s="32" t="s">
        <v>103</v>
      </c>
      <c r="H2087" s="33">
        <f t="shared" si="500"/>
        <v>45</v>
      </c>
      <c r="I2087" s="33" t="str">
        <f t="shared" si="501"/>
        <v>='C:\Users\jaime.benazar\Quorum Business Solutions\Ecopetrol Prometeo - Documents\Planning Space Implementation\3. Analysis &amp; Design\Design\FC22\DRR Jaime\Neiva CPI\[DINA TERCIARIOS_CF_SEC_New_27-Mar-2024.xlsx]D-PS'!$BX$45</v>
      </c>
      <c r="J2087" s="37" t="s">
        <v>2924</v>
      </c>
    </row>
    <row r="2088" spans="1:10" x14ac:dyDescent="0.3">
      <c r="A2088" s="32" t="s">
        <v>24</v>
      </c>
      <c r="B2088" s="32">
        <f t="shared" si="502"/>
        <v>2057</v>
      </c>
      <c r="C2088" s="33" t="s">
        <v>46</v>
      </c>
      <c r="D2088" s="34" t="s">
        <v>2002</v>
      </c>
      <c r="E2088" s="35" t="str">
        <f t="shared" si="498"/>
        <v>PS'!</v>
      </c>
      <c r="F2088" s="34" t="str">
        <f t="shared" si="499"/>
        <v>C:\Users\jaime.benazar\Quorum Business Solutions\Ecopetrol Prometeo - Documents\Planning Space Implementation\3. Analysis &amp; Design\Design\FC22\DRR Jaime\Neiva CPI\[DINA TERCIARIOS_CF_SEC_New_27-Mar-2024.xlsx]D-PS'!</v>
      </c>
      <c r="G2088" s="32" t="s">
        <v>103</v>
      </c>
      <c r="H2088" s="33">
        <f t="shared" si="500"/>
        <v>46</v>
      </c>
      <c r="I2088" s="33" t="str">
        <f t="shared" si="501"/>
        <v>='C:\Users\jaime.benazar\Quorum Business Solutions\Ecopetrol Prometeo - Documents\Planning Space Implementation\3. Analysis &amp; Design\Design\FC22\DRR Jaime\Neiva CPI\[DINA TERCIARIOS_CF_SEC_New_27-Mar-2024.xlsx]D-PS'!$BX$46</v>
      </c>
      <c r="J2088" s="37" t="s">
        <v>2925</v>
      </c>
    </row>
    <row r="2089" spans="1:10" x14ac:dyDescent="0.3">
      <c r="A2089" s="32" t="s">
        <v>24</v>
      </c>
      <c r="B2089" s="32">
        <f t="shared" si="502"/>
        <v>2058</v>
      </c>
      <c r="C2089" s="33" t="s">
        <v>46</v>
      </c>
      <c r="D2089" s="34" t="s">
        <v>2002</v>
      </c>
      <c r="E2089" s="35" t="str">
        <f t="shared" si="498"/>
        <v>PS'!</v>
      </c>
      <c r="F2089" s="34" t="str">
        <f t="shared" si="499"/>
        <v>C:\Users\jaime.benazar\Quorum Business Solutions\Ecopetrol Prometeo - Documents\Planning Space Implementation\3. Analysis &amp; Design\Design\FC22\DRR Jaime\Neiva CPI\[DINA TERCIARIOS_CF_SEC_New_27-Mar-2024.xlsx]D-PS'!</v>
      </c>
      <c r="G2089" s="32" t="s">
        <v>103</v>
      </c>
      <c r="H2089" s="33">
        <f t="shared" si="500"/>
        <v>47</v>
      </c>
      <c r="I2089" s="33" t="str">
        <f t="shared" si="501"/>
        <v>='C:\Users\jaime.benazar\Quorum Business Solutions\Ecopetrol Prometeo - Documents\Planning Space Implementation\3. Analysis &amp; Design\Design\FC22\DRR Jaime\Neiva CPI\[DINA TERCIARIOS_CF_SEC_New_27-Mar-2024.xlsx]D-PS'!$BX$47</v>
      </c>
      <c r="J2089" s="37" t="s">
        <v>2926</v>
      </c>
    </row>
    <row r="2090" spans="1:10" x14ac:dyDescent="0.3">
      <c r="A2090" s="32" t="s">
        <v>24</v>
      </c>
      <c r="B2090" s="32">
        <f t="shared" si="502"/>
        <v>2059</v>
      </c>
      <c r="C2090" s="33" t="s">
        <v>46</v>
      </c>
      <c r="D2090" s="34" t="s">
        <v>2002</v>
      </c>
      <c r="E2090" s="35" t="str">
        <f t="shared" si="498"/>
        <v>PS'!</v>
      </c>
      <c r="F2090" s="34" t="str">
        <f t="shared" si="499"/>
        <v>C:\Users\jaime.benazar\Quorum Business Solutions\Ecopetrol Prometeo - Documents\Planning Space Implementation\3. Analysis &amp; Design\Design\FC22\DRR Jaime\Neiva CPI\[DINA TERCIARIOS_CF_SEC_New_27-Mar-2024.xlsx]D-PS'!</v>
      </c>
      <c r="G2090" s="32" t="s">
        <v>103</v>
      </c>
      <c r="H2090" s="33">
        <f t="shared" si="500"/>
        <v>48</v>
      </c>
      <c r="I2090" s="33" t="str">
        <f t="shared" si="501"/>
        <v>='C:\Users\jaime.benazar\Quorum Business Solutions\Ecopetrol Prometeo - Documents\Planning Space Implementation\3. Analysis &amp; Design\Design\FC22\DRR Jaime\Neiva CPI\[DINA TERCIARIOS_CF_SEC_New_27-Mar-2024.xlsx]D-PS'!$BX$48</v>
      </c>
      <c r="J2090" s="37" t="s">
        <v>2927</v>
      </c>
    </row>
    <row r="2091" spans="1:10" x14ac:dyDescent="0.3">
      <c r="A2091" s="32" t="s">
        <v>26</v>
      </c>
      <c r="B2091" s="32"/>
      <c r="C2091" s="33" t="s">
        <v>46</v>
      </c>
      <c r="D2091" s="34"/>
      <c r="E2091" s="35"/>
      <c r="F2091" s="34"/>
      <c r="G2091" s="32"/>
      <c r="H2091" s="33"/>
      <c r="I2091" s="33"/>
      <c r="J2091" s="33"/>
    </row>
    <row r="2092" spans="1:10" x14ac:dyDescent="0.3">
      <c r="A2092" s="32" t="s">
        <v>14</v>
      </c>
      <c r="B2092" s="32">
        <v>2023</v>
      </c>
      <c r="C2092" s="33" t="s">
        <v>49</v>
      </c>
      <c r="D2092" s="34" t="s">
        <v>2002</v>
      </c>
      <c r="E2092" s="35" t="str">
        <f>_xlfn.CONCAT(A2092,"'!")</f>
        <v>PDP'!</v>
      </c>
      <c r="F2092" s="34" t="str">
        <f>_xlfn.CONCAT(D2092:E2092)</f>
        <v>C:\Users\jaime.benazar\Quorum Business Solutions\Ecopetrol Prometeo - Documents\Planning Space Implementation\3. Analysis &amp; Design\Design\FC22\DRR Jaime\Neiva CPI\[DINA TERCIARIOS_CF_SEC_New_27-Mar-2024.xlsx]D-PDP'!</v>
      </c>
      <c r="G2092" s="32" t="s">
        <v>121</v>
      </c>
      <c r="H2092" s="33">
        <v>12</v>
      </c>
      <c r="I2092" s="33" t="str">
        <f>_xlfn.CONCAT("='",F2092:H2092)</f>
        <v>='C:\Users\jaime.benazar\Quorum Business Solutions\Ecopetrol Prometeo - Documents\Planning Space Implementation\3. Analysis &amp; Design\Design\FC22\DRR Jaime\Neiva CPI\[DINA TERCIARIOS_CF_SEC_New_27-Mar-2024.xlsx]D-PDP'!$DC$12</v>
      </c>
      <c r="J2092" s="37" t="s">
        <v>2928</v>
      </c>
    </row>
    <row r="2093" spans="1:10" x14ac:dyDescent="0.3">
      <c r="A2093" s="32" t="s">
        <v>14</v>
      </c>
      <c r="B2093" s="32">
        <f>+B2092+1</f>
        <v>2024</v>
      </c>
      <c r="C2093" s="33" t="s">
        <v>49</v>
      </c>
      <c r="D2093" s="34" t="s">
        <v>2002</v>
      </c>
      <c r="E2093" s="35" t="str">
        <f t="shared" ref="E2093:E2186" si="503">_xlfn.CONCAT(A2093,"'!")</f>
        <v>PDP'!</v>
      </c>
      <c r="F2093" s="34" t="str">
        <f t="shared" ref="F2093:F2186" si="504">_xlfn.CONCAT(D2093:E2093)</f>
        <v>C:\Users\jaime.benazar\Quorum Business Solutions\Ecopetrol Prometeo - Documents\Planning Space Implementation\3. Analysis &amp; Design\Design\FC22\DRR Jaime\Neiva CPI\[DINA TERCIARIOS_CF_SEC_New_27-Mar-2024.xlsx]D-PDP'!</v>
      </c>
      <c r="G2093" s="32" t="s">
        <v>121</v>
      </c>
      <c r="H2093" s="33">
        <f t="shared" ref="H2093:H2112" si="505">IF(A2093&lt;&gt;A2092,12,H2092+1)</f>
        <v>13</v>
      </c>
      <c r="I2093" s="33" t="str">
        <f t="shared" ref="I2093:I2186" si="506">_xlfn.CONCAT("='",F2093:H2093)</f>
        <v>='C:\Users\jaime.benazar\Quorum Business Solutions\Ecopetrol Prometeo - Documents\Planning Space Implementation\3. Analysis &amp; Design\Design\FC22\DRR Jaime\Neiva CPI\[DINA TERCIARIOS_CF_SEC_New_27-Mar-2024.xlsx]D-PDP'!$DC$13</v>
      </c>
      <c r="J2093" s="37" t="s">
        <v>2929</v>
      </c>
    </row>
    <row r="2094" spans="1:10" x14ac:dyDescent="0.3">
      <c r="A2094" s="32" t="s">
        <v>14</v>
      </c>
      <c r="B2094" s="32">
        <f t="shared" ref="B2094:B2105" si="507">+B2093+1</f>
        <v>2025</v>
      </c>
      <c r="C2094" s="33" t="s">
        <v>49</v>
      </c>
      <c r="D2094" s="34" t="s">
        <v>2002</v>
      </c>
      <c r="E2094" s="35" t="str">
        <f t="shared" si="503"/>
        <v>PDP'!</v>
      </c>
      <c r="F2094" s="34" t="str">
        <f t="shared" si="504"/>
        <v>C:\Users\jaime.benazar\Quorum Business Solutions\Ecopetrol Prometeo - Documents\Planning Space Implementation\3. Analysis &amp; Design\Design\FC22\DRR Jaime\Neiva CPI\[DINA TERCIARIOS_CF_SEC_New_27-Mar-2024.xlsx]D-PDP'!</v>
      </c>
      <c r="G2094" s="32" t="s">
        <v>121</v>
      </c>
      <c r="H2094" s="33">
        <f t="shared" si="505"/>
        <v>14</v>
      </c>
      <c r="I2094" s="33" t="str">
        <f t="shared" si="506"/>
        <v>='C:\Users\jaime.benazar\Quorum Business Solutions\Ecopetrol Prometeo - Documents\Planning Space Implementation\3. Analysis &amp; Design\Design\FC22\DRR Jaime\Neiva CPI\[DINA TERCIARIOS_CF_SEC_New_27-Mar-2024.xlsx]D-PDP'!$DC$14</v>
      </c>
      <c r="J2094" s="37" t="s">
        <v>2930</v>
      </c>
    </row>
    <row r="2095" spans="1:10" x14ac:dyDescent="0.3">
      <c r="A2095" s="32" t="s">
        <v>14</v>
      </c>
      <c r="B2095" s="32">
        <f t="shared" si="507"/>
        <v>2026</v>
      </c>
      <c r="C2095" s="33" t="s">
        <v>49</v>
      </c>
      <c r="D2095" s="34" t="s">
        <v>2002</v>
      </c>
      <c r="E2095" s="35" t="str">
        <f t="shared" si="503"/>
        <v>PDP'!</v>
      </c>
      <c r="F2095" s="34" t="str">
        <f t="shared" si="504"/>
        <v>C:\Users\jaime.benazar\Quorum Business Solutions\Ecopetrol Prometeo - Documents\Planning Space Implementation\3. Analysis &amp; Design\Design\FC22\DRR Jaime\Neiva CPI\[DINA TERCIARIOS_CF_SEC_New_27-Mar-2024.xlsx]D-PDP'!</v>
      </c>
      <c r="G2095" s="32" t="s">
        <v>121</v>
      </c>
      <c r="H2095" s="33">
        <f t="shared" si="505"/>
        <v>15</v>
      </c>
      <c r="I2095" s="33" t="str">
        <f t="shared" si="506"/>
        <v>='C:\Users\jaime.benazar\Quorum Business Solutions\Ecopetrol Prometeo - Documents\Planning Space Implementation\3. Analysis &amp; Design\Design\FC22\DRR Jaime\Neiva CPI\[DINA TERCIARIOS_CF_SEC_New_27-Mar-2024.xlsx]D-PDP'!$DC$15</v>
      </c>
      <c r="J2095" s="37" t="s">
        <v>2931</v>
      </c>
    </row>
    <row r="2096" spans="1:10" x14ac:dyDescent="0.3">
      <c r="A2096" s="32" t="s">
        <v>14</v>
      </c>
      <c r="B2096" s="32">
        <f t="shared" si="507"/>
        <v>2027</v>
      </c>
      <c r="C2096" s="33" t="s">
        <v>49</v>
      </c>
      <c r="D2096" s="34" t="s">
        <v>2002</v>
      </c>
      <c r="E2096" s="35" t="str">
        <f t="shared" si="503"/>
        <v>PDP'!</v>
      </c>
      <c r="F2096" s="34" t="str">
        <f t="shared" si="504"/>
        <v>C:\Users\jaime.benazar\Quorum Business Solutions\Ecopetrol Prometeo - Documents\Planning Space Implementation\3. Analysis &amp; Design\Design\FC22\DRR Jaime\Neiva CPI\[DINA TERCIARIOS_CF_SEC_New_27-Mar-2024.xlsx]D-PDP'!</v>
      </c>
      <c r="G2096" s="32" t="s">
        <v>121</v>
      </c>
      <c r="H2096" s="33">
        <f t="shared" si="505"/>
        <v>16</v>
      </c>
      <c r="I2096" s="33" t="str">
        <f t="shared" si="506"/>
        <v>='C:\Users\jaime.benazar\Quorum Business Solutions\Ecopetrol Prometeo - Documents\Planning Space Implementation\3. Analysis &amp; Design\Design\FC22\DRR Jaime\Neiva CPI\[DINA TERCIARIOS_CF_SEC_New_27-Mar-2024.xlsx]D-PDP'!$DC$16</v>
      </c>
      <c r="J2096" s="37" t="s">
        <v>2932</v>
      </c>
    </row>
    <row r="2097" spans="1:10" x14ac:dyDescent="0.3">
      <c r="A2097" s="32" t="s">
        <v>14</v>
      </c>
      <c r="B2097" s="32">
        <f t="shared" si="507"/>
        <v>2028</v>
      </c>
      <c r="C2097" s="33" t="s">
        <v>49</v>
      </c>
      <c r="D2097" s="34" t="s">
        <v>2002</v>
      </c>
      <c r="E2097" s="35" t="str">
        <f t="shared" si="503"/>
        <v>PDP'!</v>
      </c>
      <c r="F2097" s="34" t="str">
        <f t="shared" si="504"/>
        <v>C:\Users\jaime.benazar\Quorum Business Solutions\Ecopetrol Prometeo - Documents\Planning Space Implementation\3. Analysis &amp; Design\Design\FC22\DRR Jaime\Neiva CPI\[DINA TERCIARIOS_CF_SEC_New_27-Mar-2024.xlsx]D-PDP'!</v>
      </c>
      <c r="G2097" s="32" t="s">
        <v>121</v>
      </c>
      <c r="H2097" s="33">
        <f t="shared" si="505"/>
        <v>17</v>
      </c>
      <c r="I2097" s="33" t="str">
        <f t="shared" si="506"/>
        <v>='C:\Users\jaime.benazar\Quorum Business Solutions\Ecopetrol Prometeo - Documents\Planning Space Implementation\3. Analysis &amp; Design\Design\FC22\DRR Jaime\Neiva CPI\[DINA TERCIARIOS_CF_SEC_New_27-Mar-2024.xlsx]D-PDP'!$DC$17</v>
      </c>
      <c r="J2097" s="37" t="s">
        <v>2933</v>
      </c>
    </row>
    <row r="2098" spans="1:10" x14ac:dyDescent="0.3">
      <c r="A2098" s="32" t="s">
        <v>14</v>
      </c>
      <c r="B2098" s="32">
        <f t="shared" si="507"/>
        <v>2029</v>
      </c>
      <c r="C2098" s="33" t="s">
        <v>49</v>
      </c>
      <c r="D2098" s="34" t="s">
        <v>2002</v>
      </c>
      <c r="E2098" s="35" t="str">
        <f t="shared" si="503"/>
        <v>PDP'!</v>
      </c>
      <c r="F2098" s="34" t="str">
        <f t="shared" si="504"/>
        <v>C:\Users\jaime.benazar\Quorum Business Solutions\Ecopetrol Prometeo - Documents\Planning Space Implementation\3. Analysis &amp; Design\Design\FC22\DRR Jaime\Neiva CPI\[DINA TERCIARIOS_CF_SEC_New_27-Mar-2024.xlsx]D-PDP'!</v>
      </c>
      <c r="G2098" s="32" t="s">
        <v>121</v>
      </c>
      <c r="H2098" s="33">
        <f t="shared" si="505"/>
        <v>18</v>
      </c>
      <c r="I2098" s="33" t="str">
        <f t="shared" si="506"/>
        <v>='C:\Users\jaime.benazar\Quorum Business Solutions\Ecopetrol Prometeo - Documents\Planning Space Implementation\3. Analysis &amp; Design\Design\FC22\DRR Jaime\Neiva CPI\[DINA TERCIARIOS_CF_SEC_New_27-Mar-2024.xlsx]D-PDP'!$DC$18</v>
      </c>
      <c r="J2098" s="37" t="s">
        <v>2934</v>
      </c>
    </row>
    <row r="2099" spans="1:10" x14ac:dyDescent="0.3">
      <c r="A2099" s="32" t="s">
        <v>14</v>
      </c>
      <c r="B2099" s="32">
        <f t="shared" si="507"/>
        <v>2030</v>
      </c>
      <c r="C2099" s="33" t="s">
        <v>49</v>
      </c>
      <c r="D2099" s="34" t="s">
        <v>2002</v>
      </c>
      <c r="E2099" s="35" t="str">
        <f t="shared" si="503"/>
        <v>PDP'!</v>
      </c>
      <c r="F2099" s="34" t="str">
        <f t="shared" si="504"/>
        <v>C:\Users\jaime.benazar\Quorum Business Solutions\Ecopetrol Prometeo - Documents\Planning Space Implementation\3. Analysis &amp; Design\Design\FC22\DRR Jaime\Neiva CPI\[DINA TERCIARIOS_CF_SEC_New_27-Mar-2024.xlsx]D-PDP'!</v>
      </c>
      <c r="G2099" s="32" t="s">
        <v>121</v>
      </c>
      <c r="H2099" s="33">
        <f t="shared" si="505"/>
        <v>19</v>
      </c>
      <c r="I2099" s="33" t="str">
        <f t="shared" si="506"/>
        <v>='C:\Users\jaime.benazar\Quorum Business Solutions\Ecopetrol Prometeo - Documents\Planning Space Implementation\3. Analysis &amp; Design\Design\FC22\DRR Jaime\Neiva CPI\[DINA TERCIARIOS_CF_SEC_New_27-Mar-2024.xlsx]D-PDP'!$DC$19</v>
      </c>
      <c r="J2099" s="37" t="s">
        <v>2935</v>
      </c>
    </row>
    <row r="2100" spans="1:10" x14ac:dyDescent="0.3">
      <c r="A2100" s="32" t="s">
        <v>14</v>
      </c>
      <c r="B2100" s="32">
        <f t="shared" si="507"/>
        <v>2031</v>
      </c>
      <c r="C2100" s="33" t="s">
        <v>49</v>
      </c>
      <c r="D2100" s="34" t="s">
        <v>2002</v>
      </c>
      <c r="E2100" s="35" t="str">
        <f t="shared" si="503"/>
        <v>PDP'!</v>
      </c>
      <c r="F2100" s="34" t="str">
        <f t="shared" si="504"/>
        <v>C:\Users\jaime.benazar\Quorum Business Solutions\Ecopetrol Prometeo - Documents\Planning Space Implementation\3. Analysis &amp; Design\Design\FC22\DRR Jaime\Neiva CPI\[DINA TERCIARIOS_CF_SEC_New_27-Mar-2024.xlsx]D-PDP'!</v>
      </c>
      <c r="G2100" s="32" t="s">
        <v>121</v>
      </c>
      <c r="H2100" s="33">
        <f t="shared" si="505"/>
        <v>20</v>
      </c>
      <c r="I2100" s="33" t="str">
        <f t="shared" si="506"/>
        <v>='C:\Users\jaime.benazar\Quorum Business Solutions\Ecopetrol Prometeo - Documents\Planning Space Implementation\3. Analysis &amp; Design\Design\FC22\DRR Jaime\Neiva CPI\[DINA TERCIARIOS_CF_SEC_New_27-Mar-2024.xlsx]D-PDP'!$DC$20</v>
      </c>
      <c r="J2100" s="37" t="s">
        <v>2936</v>
      </c>
    </row>
    <row r="2101" spans="1:10" x14ac:dyDescent="0.3">
      <c r="A2101" s="32" t="s">
        <v>14</v>
      </c>
      <c r="B2101" s="32">
        <f t="shared" si="507"/>
        <v>2032</v>
      </c>
      <c r="C2101" s="33" t="s">
        <v>49</v>
      </c>
      <c r="D2101" s="34" t="s">
        <v>2002</v>
      </c>
      <c r="E2101" s="35" t="str">
        <f t="shared" si="503"/>
        <v>PDP'!</v>
      </c>
      <c r="F2101" s="34" t="str">
        <f t="shared" si="504"/>
        <v>C:\Users\jaime.benazar\Quorum Business Solutions\Ecopetrol Prometeo - Documents\Planning Space Implementation\3. Analysis &amp; Design\Design\FC22\DRR Jaime\Neiva CPI\[DINA TERCIARIOS_CF_SEC_New_27-Mar-2024.xlsx]D-PDP'!</v>
      </c>
      <c r="G2101" s="32" t="s">
        <v>121</v>
      </c>
      <c r="H2101" s="33">
        <f t="shared" si="505"/>
        <v>21</v>
      </c>
      <c r="I2101" s="33" t="str">
        <f t="shared" si="506"/>
        <v>='C:\Users\jaime.benazar\Quorum Business Solutions\Ecopetrol Prometeo - Documents\Planning Space Implementation\3. Analysis &amp; Design\Design\FC22\DRR Jaime\Neiva CPI\[DINA TERCIARIOS_CF_SEC_New_27-Mar-2024.xlsx]D-PDP'!$DC$21</v>
      </c>
      <c r="J2101" s="37" t="s">
        <v>2937</v>
      </c>
    </row>
    <row r="2102" spans="1:10" x14ac:dyDescent="0.3">
      <c r="A2102" s="32" t="s">
        <v>14</v>
      </c>
      <c r="B2102" s="32">
        <f t="shared" si="507"/>
        <v>2033</v>
      </c>
      <c r="C2102" s="33" t="s">
        <v>49</v>
      </c>
      <c r="D2102" s="34" t="s">
        <v>2002</v>
      </c>
      <c r="E2102" s="35" t="str">
        <f t="shared" si="503"/>
        <v>PDP'!</v>
      </c>
      <c r="F2102" s="34" t="str">
        <f t="shared" si="504"/>
        <v>C:\Users\jaime.benazar\Quorum Business Solutions\Ecopetrol Prometeo - Documents\Planning Space Implementation\3. Analysis &amp; Design\Design\FC22\DRR Jaime\Neiva CPI\[DINA TERCIARIOS_CF_SEC_New_27-Mar-2024.xlsx]D-PDP'!</v>
      </c>
      <c r="G2102" s="32" t="s">
        <v>121</v>
      </c>
      <c r="H2102" s="33">
        <f t="shared" si="505"/>
        <v>22</v>
      </c>
      <c r="I2102" s="33" t="str">
        <f t="shared" si="506"/>
        <v>='C:\Users\jaime.benazar\Quorum Business Solutions\Ecopetrol Prometeo - Documents\Planning Space Implementation\3. Analysis &amp; Design\Design\FC22\DRR Jaime\Neiva CPI\[DINA TERCIARIOS_CF_SEC_New_27-Mar-2024.xlsx]D-PDP'!$DC$22</v>
      </c>
      <c r="J2102" s="37" t="s">
        <v>2938</v>
      </c>
    </row>
    <row r="2103" spans="1:10" x14ac:dyDescent="0.3">
      <c r="A2103" s="32" t="s">
        <v>14</v>
      </c>
      <c r="B2103" s="32">
        <f t="shared" si="507"/>
        <v>2034</v>
      </c>
      <c r="C2103" s="33" t="s">
        <v>49</v>
      </c>
      <c r="D2103" s="34" t="s">
        <v>2002</v>
      </c>
      <c r="E2103" s="35" t="str">
        <f t="shared" si="503"/>
        <v>PDP'!</v>
      </c>
      <c r="F2103" s="34" t="str">
        <f t="shared" si="504"/>
        <v>C:\Users\jaime.benazar\Quorum Business Solutions\Ecopetrol Prometeo - Documents\Planning Space Implementation\3. Analysis &amp; Design\Design\FC22\DRR Jaime\Neiva CPI\[DINA TERCIARIOS_CF_SEC_New_27-Mar-2024.xlsx]D-PDP'!</v>
      </c>
      <c r="G2103" s="32" t="s">
        <v>121</v>
      </c>
      <c r="H2103" s="33">
        <f t="shared" si="505"/>
        <v>23</v>
      </c>
      <c r="I2103" s="33" t="str">
        <f t="shared" si="506"/>
        <v>='C:\Users\jaime.benazar\Quorum Business Solutions\Ecopetrol Prometeo - Documents\Planning Space Implementation\3. Analysis &amp; Design\Design\FC22\DRR Jaime\Neiva CPI\[DINA TERCIARIOS_CF_SEC_New_27-Mar-2024.xlsx]D-PDP'!$DC$23</v>
      </c>
      <c r="J2103" s="37" t="s">
        <v>2939</v>
      </c>
    </row>
    <row r="2104" spans="1:10" x14ac:dyDescent="0.3">
      <c r="A2104" s="32" t="s">
        <v>14</v>
      </c>
      <c r="B2104" s="32">
        <f t="shared" si="507"/>
        <v>2035</v>
      </c>
      <c r="C2104" s="33" t="s">
        <v>49</v>
      </c>
      <c r="D2104" s="34" t="s">
        <v>2002</v>
      </c>
      <c r="E2104" s="35" t="str">
        <f t="shared" si="503"/>
        <v>PDP'!</v>
      </c>
      <c r="F2104" s="34" t="str">
        <f t="shared" si="504"/>
        <v>C:\Users\jaime.benazar\Quorum Business Solutions\Ecopetrol Prometeo - Documents\Planning Space Implementation\3. Analysis &amp; Design\Design\FC22\DRR Jaime\Neiva CPI\[DINA TERCIARIOS_CF_SEC_New_27-Mar-2024.xlsx]D-PDP'!</v>
      </c>
      <c r="G2104" s="32" t="s">
        <v>121</v>
      </c>
      <c r="H2104" s="33">
        <f t="shared" si="505"/>
        <v>24</v>
      </c>
      <c r="I2104" s="33" t="str">
        <f t="shared" si="506"/>
        <v>='C:\Users\jaime.benazar\Quorum Business Solutions\Ecopetrol Prometeo - Documents\Planning Space Implementation\3. Analysis &amp; Design\Design\FC22\DRR Jaime\Neiva CPI\[DINA TERCIARIOS_CF_SEC_New_27-Mar-2024.xlsx]D-PDP'!$DC$24</v>
      </c>
      <c r="J2104" s="37" t="s">
        <v>2940</v>
      </c>
    </row>
    <row r="2105" spans="1:10" x14ac:dyDescent="0.3">
      <c r="A2105" s="32" t="s">
        <v>14</v>
      </c>
      <c r="B2105" s="32">
        <f t="shared" si="507"/>
        <v>2036</v>
      </c>
      <c r="C2105" s="33" t="s">
        <v>49</v>
      </c>
      <c r="D2105" s="34" t="s">
        <v>2002</v>
      </c>
      <c r="E2105" s="35" t="str">
        <f t="shared" si="503"/>
        <v>PDP'!</v>
      </c>
      <c r="F2105" s="34" t="str">
        <f t="shared" si="504"/>
        <v>C:\Users\jaime.benazar\Quorum Business Solutions\Ecopetrol Prometeo - Documents\Planning Space Implementation\3. Analysis &amp; Design\Design\FC22\DRR Jaime\Neiva CPI\[DINA TERCIARIOS_CF_SEC_New_27-Mar-2024.xlsx]D-PDP'!</v>
      </c>
      <c r="G2105" s="32" t="s">
        <v>121</v>
      </c>
      <c r="H2105" s="33">
        <f t="shared" si="505"/>
        <v>25</v>
      </c>
      <c r="I2105" s="33" t="str">
        <f t="shared" si="506"/>
        <v>='C:\Users\jaime.benazar\Quorum Business Solutions\Ecopetrol Prometeo - Documents\Planning Space Implementation\3. Analysis &amp; Design\Design\FC22\DRR Jaime\Neiva CPI\[DINA TERCIARIOS_CF_SEC_New_27-Mar-2024.xlsx]D-PDP'!$DC$25</v>
      </c>
      <c r="J2105" s="37" t="s">
        <v>2941</v>
      </c>
    </row>
    <row r="2106" spans="1:10" x14ac:dyDescent="0.3">
      <c r="A2106" s="32" t="s">
        <v>14</v>
      </c>
      <c r="B2106" s="32">
        <f>+B2105+1</f>
        <v>2037</v>
      </c>
      <c r="C2106" s="33" t="s">
        <v>49</v>
      </c>
      <c r="D2106" s="34" t="s">
        <v>2002</v>
      </c>
      <c r="E2106" s="35" t="str">
        <f t="shared" si="503"/>
        <v>PDP'!</v>
      </c>
      <c r="F2106" s="34" t="str">
        <f t="shared" si="504"/>
        <v>C:\Users\jaime.benazar\Quorum Business Solutions\Ecopetrol Prometeo - Documents\Planning Space Implementation\3. Analysis &amp; Design\Design\FC22\DRR Jaime\Neiva CPI\[DINA TERCIARIOS_CF_SEC_New_27-Mar-2024.xlsx]D-PDP'!</v>
      </c>
      <c r="G2106" s="32" t="s">
        <v>121</v>
      </c>
      <c r="H2106" s="33">
        <f t="shared" si="505"/>
        <v>26</v>
      </c>
      <c r="I2106" s="33" t="str">
        <f t="shared" si="506"/>
        <v>='C:\Users\jaime.benazar\Quorum Business Solutions\Ecopetrol Prometeo - Documents\Planning Space Implementation\3. Analysis &amp; Design\Design\FC22\DRR Jaime\Neiva CPI\[DINA TERCIARIOS_CF_SEC_New_27-Mar-2024.xlsx]D-PDP'!$DC$26</v>
      </c>
      <c r="J2106" s="37" t="s">
        <v>2942</v>
      </c>
    </row>
    <row r="2107" spans="1:10" x14ac:dyDescent="0.3">
      <c r="A2107" s="32" t="s">
        <v>14</v>
      </c>
      <c r="B2107" s="32">
        <f t="shared" ref="B2107:B2109" si="508">+B2106+1</f>
        <v>2038</v>
      </c>
      <c r="C2107" s="33" t="s">
        <v>49</v>
      </c>
      <c r="D2107" s="34" t="s">
        <v>2002</v>
      </c>
      <c r="E2107" s="35" t="str">
        <f t="shared" si="503"/>
        <v>PDP'!</v>
      </c>
      <c r="F2107" s="34" t="str">
        <f t="shared" si="504"/>
        <v>C:\Users\jaime.benazar\Quorum Business Solutions\Ecopetrol Prometeo - Documents\Planning Space Implementation\3. Analysis &amp; Design\Design\FC22\DRR Jaime\Neiva CPI\[DINA TERCIARIOS_CF_SEC_New_27-Mar-2024.xlsx]D-PDP'!</v>
      </c>
      <c r="G2107" s="32" t="s">
        <v>121</v>
      </c>
      <c r="H2107" s="33">
        <f t="shared" si="505"/>
        <v>27</v>
      </c>
      <c r="I2107" s="33" t="str">
        <f t="shared" si="506"/>
        <v>='C:\Users\jaime.benazar\Quorum Business Solutions\Ecopetrol Prometeo - Documents\Planning Space Implementation\3. Analysis &amp; Design\Design\FC22\DRR Jaime\Neiva CPI\[DINA TERCIARIOS_CF_SEC_New_27-Mar-2024.xlsx]D-PDP'!$DC$27</v>
      </c>
      <c r="J2107" s="37" t="s">
        <v>2943</v>
      </c>
    </row>
    <row r="2108" spans="1:10" x14ac:dyDescent="0.3">
      <c r="A2108" s="32" t="s">
        <v>14</v>
      </c>
      <c r="B2108" s="32">
        <f t="shared" si="508"/>
        <v>2039</v>
      </c>
      <c r="C2108" s="33" t="s">
        <v>49</v>
      </c>
      <c r="D2108" s="34" t="s">
        <v>2002</v>
      </c>
      <c r="E2108" s="35" t="str">
        <f t="shared" si="503"/>
        <v>PDP'!</v>
      </c>
      <c r="F2108" s="34" t="str">
        <f t="shared" si="504"/>
        <v>C:\Users\jaime.benazar\Quorum Business Solutions\Ecopetrol Prometeo - Documents\Planning Space Implementation\3. Analysis &amp; Design\Design\FC22\DRR Jaime\Neiva CPI\[DINA TERCIARIOS_CF_SEC_New_27-Mar-2024.xlsx]D-PDP'!</v>
      </c>
      <c r="G2108" s="32" t="s">
        <v>121</v>
      </c>
      <c r="H2108" s="33">
        <f t="shared" si="505"/>
        <v>28</v>
      </c>
      <c r="I2108" s="33" t="str">
        <f t="shared" si="506"/>
        <v>='C:\Users\jaime.benazar\Quorum Business Solutions\Ecopetrol Prometeo - Documents\Planning Space Implementation\3. Analysis &amp; Design\Design\FC22\DRR Jaime\Neiva CPI\[DINA TERCIARIOS_CF_SEC_New_27-Mar-2024.xlsx]D-PDP'!$DC$28</v>
      </c>
      <c r="J2108" s="37" t="s">
        <v>2944</v>
      </c>
    </row>
    <row r="2109" spans="1:10" x14ac:dyDescent="0.3">
      <c r="A2109" s="32" t="s">
        <v>14</v>
      </c>
      <c r="B2109" s="32">
        <f t="shared" si="508"/>
        <v>2040</v>
      </c>
      <c r="C2109" s="33" t="s">
        <v>49</v>
      </c>
      <c r="D2109" s="34" t="s">
        <v>2002</v>
      </c>
      <c r="E2109" s="35" t="str">
        <f t="shared" si="503"/>
        <v>PDP'!</v>
      </c>
      <c r="F2109" s="34" t="str">
        <f t="shared" si="504"/>
        <v>C:\Users\jaime.benazar\Quorum Business Solutions\Ecopetrol Prometeo - Documents\Planning Space Implementation\3. Analysis &amp; Design\Design\FC22\DRR Jaime\Neiva CPI\[DINA TERCIARIOS_CF_SEC_New_27-Mar-2024.xlsx]D-PDP'!</v>
      </c>
      <c r="G2109" s="32" t="s">
        <v>121</v>
      </c>
      <c r="H2109" s="33">
        <f t="shared" si="505"/>
        <v>29</v>
      </c>
      <c r="I2109" s="33" t="str">
        <f t="shared" si="506"/>
        <v>='C:\Users\jaime.benazar\Quorum Business Solutions\Ecopetrol Prometeo - Documents\Planning Space Implementation\3. Analysis &amp; Design\Design\FC22\DRR Jaime\Neiva CPI\[DINA TERCIARIOS_CF_SEC_New_27-Mar-2024.xlsx]D-PDP'!$DC$29</v>
      </c>
      <c r="J2109" s="37" t="s">
        <v>2945</v>
      </c>
    </row>
    <row r="2110" spans="1:10" x14ac:dyDescent="0.3">
      <c r="A2110" s="32" t="s">
        <v>14</v>
      </c>
      <c r="B2110" s="32">
        <f>+B2109+1</f>
        <v>2041</v>
      </c>
      <c r="C2110" s="33" t="s">
        <v>49</v>
      </c>
      <c r="D2110" s="34" t="s">
        <v>2002</v>
      </c>
      <c r="E2110" s="35" t="str">
        <f t="shared" si="503"/>
        <v>PDP'!</v>
      </c>
      <c r="F2110" s="34" t="str">
        <f t="shared" si="504"/>
        <v>C:\Users\jaime.benazar\Quorum Business Solutions\Ecopetrol Prometeo - Documents\Planning Space Implementation\3. Analysis &amp; Design\Design\FC22\DRR Jaime\Neiva CPI\[DINA TERCIARIOS_CF_SEC_New_27-Mar-2024.xlsx]D-PDP'!</v>
      </c>
      <c r="G2110" s="32" t="s">
        <v>121</v>
      </c>
      <c r="H2110" s="33">
        <f t="shared" si="505"/>
        <v>30</v>
      </c>
      <c r="I2110" s="33" t="str">
        <f t="shared" si="506"/>
        <v>='C:\Users\jaime.benazar\Quorum Business Solutions\Ecopetrol Prometeo - Documents\Planning Space Implementation\3. Analysis &amp; Design\Design\FC22\DRR Jaime\Neiva CPI\[DINA TERCIARIOS_CF_SEC_New_27-Mar-2024.xlsx]D-PDP'!$DC$30</v>
      </c>
      <c r="J2110" s="37" t="s">
        <v>2946</v>
      </c>
    </row>
    <row r="2111" spans="1:10" x14ac:dyDescent="0.3">
      <c r="A2111" s="32" t="s">
        <v>14</v>
      </c>
      <c r="B2111" s="32">
        <f t="shared" ref="B2111:B2112" si="509">+B2110+1</f>
        <v>2042</v>
      </c>
      <c r="C2111" s="33" t="s">
        <v>49</v>
      </c>
      <c r="D2111" s="34" t="s">
        <v>2002</v>
      </c>
      <c r="E2111" s="35" t="str">
        <f t="shared" si="503"/>
        <v>PDP'!</v>
      </c>
      <c r="F2111" s="34" t="str">
        <f t="shared" si="504"/>
        <v>C:\Users\jaime.benazar\Quorum Business Solutions\Ecopetrol Prometeo - Documents\Planning Space Implementation\3. Analysis &amp; Design\Design\FC22\DRR Jaime\Neiva CPI\[DINA TERCIARIOS_CF_SEC_New_27-Mar-2024.xlsx]D-PDP'!</v>
      </c>
      <c r="G2111" s="32" t="s">
        <v>121</v>
      </c>
      <c r="H2111" s="33">
        <f t="shared" si="505"/>
        <v>31</v>
      </c>
      <c r="I2111" s="33" t="str">
        <f t="shared" si="506"/>
        <v>='C:\Users\jaime.benazar\Quorum Business Solutions\Ecopetrol Prometeo - Documents\Planning Space Implementation\3. Analysis &amp; Design\Design\FC22\DRR Jaime\Neiva CPI\[DINA TERCIARIOS_CF_SEC_New_27-Mar-2024.xlsx]D-PDP'!$DC$31</v>
      </c>
      <c r="J2111" s="37" t="s">
        <v>2947</v>
      </c>
    </row>
    <row r="2112" spans="1:10" x14ac:dyDescent="0.3">
      <c r="A2112" s="32" t="s">
        <v>14</v>
      </c>
      <c r="B2112" s="32">
        <f t="shared" si="509"/>
        <v>2043</v>
      </c>
      <c r="C2112" s="33" t="s">
        <v>49</v>
      </c>
      <c r="D2112" s="34" t="s">
        <v>2002</v>
      </c>
      <c r="E2112" s="35" t="str">
        <f t="shared" si="503"/>
        <v>PDP'!</v>
      </c>
      <c r="F2112" s="34" t="str">
        <f t="shared" si="504"/>
        <v>C:\Users\jaime.benazar\Quorum Business Solutions\Ecopetrol Prometeo - Documents\Planning Space Implementation\3. Analysis &amp; Design\Design\FC22\DRR Jaime\Neiva CPI\[DINA TERCIARIOS_CF_SEC_New_27-Mar-2024.xlsx]D-PDP'!</v>
      </c>
      <c r="G2112" s="32" t="s">
        <v>121</v>
      </c>
      <c r="H2112" s="33">
        <f t="shared" si="505"/>
        <v>32</v>
      </c>
      <c r="I2112" s="33" t="str">
        <f t="shared" si="506"/>
        <v>='C:\Users\jaime.benazar\Quorum Business Solutions\Ecopetrol Prometeo - Documents\Planning Space Implementation\3. Analysis &amp; Design\Design\FC22\DRR Jaime\Neiva CPI\[DINA TERCIARIOS_CF_SEC_New_27-Mar-2024.xlsx]D-PDP'!$DC$32</v>
      </c>
      <c r="J2112" s="37" t="s">
        <v>2948</v>
      </c>
    </row>
    <row r="2113" spans="1:10" x14ac:dyDescent="0.3">
      <c r="A2113" s="32" t="s">
        <v>14</v>
      </c>
      <c r="B2113" s="32">
        <f>+B2112+1</f>
        <v>2044</v>
      </c>
      <c r="C2113" s="33" t="s">
        <v>49</v>
      </c>
      <c r="D2113" s="34" t="s">
        <v>2002</v>
      </c>
      <c r="E2113" s="35" t="str">
        <f t="shared" ref="E2113:E2128" si="510">_xlfn.CONCAT(A2113,"'!")</f>
        <v>PDP'!</v>
      </c>
      <c r="F2113" s="34" t="str">
        <f t="shared" ref="F2113:F2128" si="511">_xlfn.CONCAT(D2113:E2113)</f>
        <v>C:\Users\jaime.benazar\Quorum Business Solutions\Ecopetrol Prometeo - Documents\Planning Space Implementation\3. Analysis &amp; Design\Design\FC22\DRR Jaime\Neiva CPI\[DINA TERCIARIOS_CF_SEC_New_27-Mar-2024.xlsx]D-PDP'!</v>
      </c>
      <c r="G2113" s="32" t="s">
        <v>121</v>
      </c>
      <c r="H2113" s="33">
        <f t="shared" ref="H2113:H2128" si="512">IF(A2113&lt;&gt;A2112,12,H2112+1)</f>
        <v>33</v>
      </c>
      <c r="I2113" s="33" t="str">
        <f t="shared" ref="I2113:I2128" si="513">_xlfn.CONCAT("='",F2113:H2113)</f>
        <v>='C:\Users\jaime.benazar\Quorum Business Solutions\Ecopetrol Prometeo - Documents\Planning Space Implementation\3. Analysis &amp; Design\Design\FC22\DRR Jaime\Neiva CPI\[DINA TERCIARIOS_CF_SEC_New_27-Mar-2024.xlsx]D-PDP'!$DC$33</v>
      </c>
      <c r="J2113" s="37" t="s">
        <v>2949</v>
      </c>
    </row>
    <row r="2114" spans="1:10" x14ac:dyDescent="0.3">
      <c r="A2114" s="32" t="s">
        <v>14</v>
      </c>
      <c r="B2114" s="32">
        <f t="shared" ref="B2114:B2128" si="514">+B2113+1</f>
        <v>2045</v>
      </c>
      <c r="C2114" s="33" t="s">
        <v>49</v>
      </c>
      <c r="D2114" s="34" t="s">
        <v>2002</v>
      </c>
      <c r="E2114" s="35" t="str">
        <f t="shared" si="510"/>
        <v>PDP'!</v>
      </c>
      <c r="F2114" s="34" t="str">
        <f t="shared" si="511"/>
        <v>C:\Users\jaime.benazar\Quorum Business Solutions\Ecopetrol Prometeo - Documents\Planning Space Implementation\3. Analysis &amp; Design\Design\FC22\DRR Jaime\Neiva CPI\[DINA TERCIARIOS_CF_SEC_New_27-Mar-2024.xlsx]D-PDP'!</v>
      </c>
      <c r="G2114" s="32" t="s">
        <v>121</v>
      </c>
      <c r="H2114" s="33">
        <f t="shared" si="512"/>
        <v>34</v>
      </c>
      <c r="I2114" s="33" t="str">
        <f t="shared" si="513"/>
        <v>='C:\Users\jaime.benazar\Quorum Business Solutions\Ecopetrol Prometeo - Documents\Planning Space Implementation\3. Analysis &amp; Design\Design\FC22\DRR Jaime\Neiva CPI\[DINA TERCIARIOS_CF_SEC_New_27-Mar-2024.xlsx]D-PDP'!$DC$34</v>
      </c>
      <c r="J2114" s="37" t="s">
        <v>2950</v>
      </c>
    </row>
    <row r="2115" spans="1:10" x14ac:dyDescent="0.3">
      <c r="A2115" s="32" t="s">
        <v>14</v>
      </c>
      <c r="B2115" s="32">
        <f t="shared" si="514"/>
        <v>2046</v>
      </c>
      <c r="C2115" s="33" t="s">
        <v>49</v>
      </c>
      <c r="D2115" s="34" t="s">
        <v>2002</v>
      </c>
      <c r="E2115" s="35" t="str">
        <f t="shared" si="510"/>
        <v>PDP'!</v>
      </c>
      <c r="F2115" s="34" t="str">
        <f t="shared" si="511"/>
        <v>C:\Users\jaime.benazar\Quorum Business Solutions\Ecopetrol Prometeo - Documents\Planning Space Implementation\3. Analysis &amp; Design\Design\FC22\DRR Jaime\Neiva CPI\[DINA TERCIARIOS_CF_SEC_New_27-Mar-2024.xlsx]D-PDP'!</v>
      </c>
      <c r="G2115" s="32" t="s">
        <v>121</v>
      </c>
      <c r="H2115" s="33">
        <f t="shared" si="512"/>
        <v>35</v>
      </c>
      <c r="I2115" s="33" t="str">
        <f t="shared" si="513"/>
        <v>='C:\Users\jaime.benazar\Quorum Business Solutions\Ecopetrol Prometeo - Documents\Planning Space Implementation\3. Analysis &amp; Design\Design\FC22\DRR Jaime\Neiva CPI\[DINA TERCIARIOS_CF_SEC_New_27-Mar-2024.xlsx]D-PDP'!$DC$35</v>
      </c>
      <c r="J2115" s="37" t="s">
        <v>2951</v>
      </c>
    </row>
    <row r="2116" spans="1:10" x14ac:dyDescent="0.3">
      <c r="A2116" s="32" t="s">
        <v>14</v>
      </c>
      <c r="B2116" s="32">
        <f t="shared" si="514"/>
        <v>2047</v>
      </c>
      <c r="C2116" s="33" t="s">
        <v>49</v>
      </c>
      <c r="D2116" s="34" t="s">
        <v>2002</v>
      </c>
      <c r="E2116" s="35" t="str">
        <f t="shared" si="510"/>
        <v>PDP'!</v>
      </c>
      <c r="F2116" s="34" t="str">
        <f t="shared" si="511"/>
        <v>C:\Users\jaime.benazar\Quorum Business Solutions\Ecopetrol Prometeo - Documents\Planning Space Implementation\3. Analysis &amp; Design\Design\FC22\DRR Jaime\Neiva CPI\[DINA TERCIARIOS_CF_SEC_New_27-Mar-2024.xlsx]D-PDP'!</v>
      </c>
      <c r="G2116" s="32" t="s">
        <v>121</v>
      </c>
      <c r="H2116" s="33">
        <f t="shared" si="512"/>
        <v>36</v>
      </c>
      <c r="I2116" s="33" t="str">
        <f t="shared" si="513"/>
        <v>='C:\Users\jaime.benazar\Quorum Business Solutions\Ecopetrol Prometeo - Documents\Planning Space Implementation\3. Analysis &amp; Design\Design\FC22\DRR Jaime\Neiva CPI\[DINA TERCIARIOS_CF_SEC_New_27-Mar-2024.xlsx]D-PDP'!$DC$36</v>
      </c>
      <c r="J2116" s="37" t="s">
        <v>2952</v>
      </c>
    </row>
    <row r="2117" spans="1:10" x14ac:dyDescent="0.3">
      <c r="A2117" s="32" t="s">
        <v>14</v>
      </c>
      <c r="B2117" s="32">
        <f t="shared" si="514"/>
        <v>2048</v>
      </c>
      <c r="C2117" s="33" t="s">
        <v>49</v>
      </c>
      <c r="D2117" s="34" t="s">
        <v>2002</v>
      </c>
      <c r="E2117" s="35" t="str">
        <f t="shared" si="510"/>
        <v>PDP'!</v>
      </c>
      <c r="F2117" s="34" t="str">
        <f t="shared" si="511"/>
        <v>C:\Users\jaime.benazar\Quorum Business Solutions\Ecopetrol Prometeo - Documents\Planning Space Implementation\3. Analysis &amp; Design\Design\FC22\DRR Jaime\Neiva CPI\[DINA TERCIARIOS_CF_SEC_New_27-Mar-2024.xlsx]D-PDP'!</v>
      </c>
      <c r="G2117" s="32" t="s">
        <v>121</v>
      </c>
      <c r="H2117" s="33">
        <f t="shared" si="512"/>
        <v>37</v>
      </c>
      <c r="I2117" s="33" t="str">
        <f t="shared" si="513"/>
        <v>='C:\Users\jaime.benazar\Quorum Business Solutions\Ecopetrol Prometeo - Documents\Planning Space Implementation\3. Analysis &amp; Design\Design\FC22\DRR Jaime\Neiva CPI\[DINA TERCIARIOS_CF_SEC_New_27-Mar-2024.xlsx]D-PDP'!$DC$37</v>
      </c>
      <c r="J2117" s="37" t="s">
        <v>2953</v>
      </c>
    </row>
    <row r="2118" spans="1:10" x14ac:dyDescent="0.3">
      <c r="A2118" s="32" t="s">
        <v>14</v>
      </c>
      <c r="B2118" s="32">
        <f t="shared" si="514"/>
        <v>2049</v>
      </c>
      <c r="C2118" s="33" t="s">
        <v>49</v>
      </c>
      <c r="D2118" s="34" t="s">
        <v>2002</v>
      </c>
      <c r="E2118" s="35" t="str">
        <f t="shared" si="510"/>
        <v>PDP'!</v>
      </c>
      <c r="F2118" s="34" t="str">
        <f t="shared" si="511"/>
        <v>C:\Users\jaime.benazar\Quorum Business Solutions\Ecopetrol Prometeo - Documents\Planning Space Implementation\3. Analysis &amp; Design\Design\FC22\DRR Jaime\Neiva CPI\[DINA TERCIARIOS_CF_SEC_New_27-Mar-2024.xlsx]D-PDP'!</v>
      </c>
      <c r="G2118" s="32" t="s">
        <v>121</v>
      </c>
      <c r="H2118" s="33">
        <f t="shared" si="512"/>
        <v>38</v>
      </c>
      <c r="I2118" s="33" t="str">
        <f t="shared" si="513"/>
        <v>='C:\Users\jaime.benazar\Quorum Business Solutions\Ecopetrol Prometeo - Documents\Planning Space Implementation\3. Analysis &amp; Design\Design\FC22\DRR Jaime\Neiva CPI\[DINA TERCIARIOS_CF_SEC_New_27-Mar-2024.xlsx]D-PDP'!$DC$38</v>
      </c>
      <c r="J2118" s="37" t="s">
        <v>2954</v>
      </c>
    </row>
    <row r="2119" spans="1:10" x14ac:dyDescent="0.3">
      <c r="A2119" s="32" t="s">
        <v>14</v>
      </c>
      <c r="B2119" s="32">
        <f t="shared" si="514"/>
        <v>2050</v>
      </c>
      <c r="C2119" s="33" t="s">
        <v>49</v>
      </c>
      <c r="D2119" s="34" t="s">
        <v>2002</v>
      </c>
      <c r="E2119" s="35" t="str">
        <f t="shared" si="510"/>
        <v>PDP'!</v>
      </c>
      <c r="F2119" s="34" t="str">
        <f t="shared" si="511"/>
        <v>C:\Users\jaime.benazar\Quorum Business Solutions\Ecopetrol Prometeo - Documents\Planning Space Implementation\3. Analysis &amp; Design\Design\FC22\DRR Jaime\Neiva CPI\[DINA TERCIARIOS_CF_SEC_New_27-Mar-2024.xlsx]D-PDP'!</v>
      </c>
      <c r="G2119" s="32" t="s">
        <v>121</v>
      </c>
      <c r="H2119" s="33">
        <f t="shared" si="512"/>
        <v>39</v>
      </c>
      <c r="I2119" s="33" t="str">
        <f t="shared" si="513"/>
        <v>='C:\Users\jaime.benazar\Quorum Business Solutions\Ecopetrol Prometeo - Documents\Planning Space Implementation\3. Analysis &amp; Design\Design\FC22\DRR Jaime\Neiva CPI\[DINA TERCIARIOS_CF_SEC_New_27-Mar-2024.xlsx]D-PDP'!$DC$39</v>
      </c>
      <c r="J2119" s="37" t="s">
        <v>2955</v>
      </c>
    </row>
    <row r="2120" spans="1:10" x14ac:dyDescent="0.3">
      <c r="A2120" s="32" t="s">
        <v>14</v>
      </c>
      <c r="B2120" s="32">
        <f t="shared" si="514"/>
        <v>2051</v>
      </c>
      <c r="C2120" s="33" t="s">
        <v>49</v>
      </c>
      <c r="D2120" s="34" t="s">
        <v>2002</v>
      </c>
      <c r="E2120" s="35" t="str">
        <f t="shared" si="510"/>
        <v>PDP'!</v>
      </c>
      <c r="F2120" s="34" t="str">
        <f t="shared" si="511"/>
        <v>C:\Users\jaime.benazar\Quorum Business Solutions\Ecopetrol Prometeo - Documents\Planning Space Implementation\3. Analysis &amp; Design\Design\FC22\DRR Jaime\Neiva CPI\[DINA TERCIARIOS_CF_SEC_New_27-Mar-2024.xlsx]D-PDP'!</v>
      </c>
      <c r="G2120" s="32" t="s">
        <v>121</v>
      </c>
      <c r="H2120" s="33">
        <f t="shared" si="512"/>
        <v>40</v>
      </c>
      <c r="I2120" s="33" t="str">
        <f t="shared" si="513"/>
        <v>='C:\Users\jaime.benazar\Quorum Business Solutions\Ecopetrol Prometeo - Documents\Planning Space Implementation\3. Analysis &amp; Design\Design\FC22\DRR Jaime\Neiva CPI\[DINA TERCIARIOS_CF_SEC_New_27-Mar-2024.xlsx]D-PDP'!$DC$40</v>
      </c>
      <c r="J2120" s="37" t="s">
        <v>2956</v>
      </c>
    </row>
    <row r="2121" spans="1:10" x14ac:dyDescent="0.3">
      <c r="A2121" s="32" t="s">
        <v>14</v>
      </c>
      <c r="B2121" s="32">
        <f t="shared" si="514"/>
        <v>2052</v>
      </c>
      <c r="C2121" s="33" t="s">
        <v>49</v>
      </c>
      <c r="D2121" s="34" t="s">
        <v>2002</v>
      </c>
      <c r="E2121" s="35" t="str">
        <f t="shared" si="510"/>
        <v>PDP'!</v>
      </c>
      <c r="F2121" s="34" t="str">
        <f t="shared" si="511"/>
        <v>C:\Users\jaime.benazar\Quorum Business Solutions\Ecopetrol Prometeo - Documents\Planning Space Implementation\3. Analysis &amp; Design\Design\FC22\DRR Jaime\Neiva CPI\[DINA TERCIARIOS_CF_SEC_New_27-Mar-2024.xlsx]D-PDP'!</v>
      </c>
      <c r="G2121" s="32" t="s">
        <v>121</v>
      </c>
      <c r="H2121" s="33">
        <f t="shared" si="512"/>
        <v>41</v>
      </c>
      <c r="I2121" s="33" t="str">
        <f t="shared" si="513"/>
        <v>='C:\Users\jaime.benazar\Quorum Business Solutions\Ecopetrol Prometeo - Documents\Planning Space Implementation\3. Analysis &amp; Design\Design\FC22\DRR Jaime\Neiva CPI\[DINA TERCIARIOS_CF_SEC_New_27-Mar-2024.xlsx]D-PDP'!$DC$41</v>
      </c>
      <c r="J2121" s="37" t="s">
        <v>2957</v>
      </c>
    </row>
    <row r="2122" spans="1:10" x14ac:dyDescent="0.3">
      <c r="A2122" s="32" t="s">
        <v>14</v>
      </c>
      <c r="B2122" s="32">
        <f t="shared" si="514"/>
        <v>2053</v>
      </c>
      <c r="C2122" s="33" t="s">
        <v>49</v>
      </c>
      <c r="D2122" s="34" t="s">
        <v>2002</v>
      </c>
      <c r="E2122" s="35" t="str">
        <f t="shared" si="510"/>
        <v>PDP'!</v>
      </c>
      <c r="F2122" s="34" t="str">
        <f t="shared" si="511"/>
        <v>C:\Users\jaime.benazar\Quorum Business Solutions\Ecopetrol Prometeo - Documents\Planning Space Implementation\3. Analysis &amp; Design\Design\FC22\DRR Jaime\Neiva CPI\[DINA TERCIARIOS_CF_SEC_New_27-Mar-2024.xlsx]D-PDP'!</v>
      </c>
      <c r="G2122" s="32" t="s">
        <v>121</v>
      </c>
      <c r="H2122" s="33">
        <f t="shared" si="512"/>
        <v>42</v>
      </c>
      <c r="I2122" s="33" t="str">
        <f t="shared" si="513"/>
        <v>='C:\Users\jaime.benazar\Quorum Business Solutions\Ecopetrol Prometeo - Documents\Planning Space Implementation\3. Analysis &amp; Design\Design\FC22\DRR Jaime\Neiva CPI\[DINA TERCIARIOS_CF_SEC_New_27-Mar-2024.xlsx]D-PDP'!$DC$42</v>
      </c>
      <c r="J2122" s="37" t="s">
        <v>2958</v>
      </c>
    </row>
    <row r="2123" spans="1:10" x14ac:dyDescent="0.3">
      <c r="A2123" s="32" t="s">
        <v>14</v>
      </c>
      <c r="B2123" s="32">
        <f t="shared" si="514"/>
        <v>2054</v>
      </c>
      <c r="C2123" s="33" t="s">
        <v>49</v>
      </c>
      <c r="D2123" s="34" t="s">
        <v>2002</v>
      </c>
      <c r="E2123" s="35" t="str">
        <f t="shared" si="510"/>
        <v>PDP'!</v>
      </c>
      <c r="F2123" s="34" t="str">
        <f t="shared" si="511"/>
        <v>C:\Users\jaime.benazar\Quorum Business Solutions\Ecopetrol Prometeo - Documents\Planning Space Implementation\3. Analysis &amp; Design\Design\FC22\DRR Jaime\Neiva CPI\[DINA TERCIARIOS_CF_SEC_New_27-Mar-2024.xlsx]D-PDP'!</v>
      </c>
      <c r="G2123" s="32" t="s">
        <v>121</v>
      </c>
      <c r="H2123" s="33">
        <f t="shared" si="512"/>
        <v>43</v>
      </c>
      <c r="I2123" s="33" t="str">
        <f t="shared" si="513"/>
        <v>='C:\Users\jaime.benazar\Quorum Business Solutions\Ecopetrol Prometeo - Documents\Planning Space Implementation\3. Analysis &amp; Design\Design\FC22\DRR Jaime\Neiva CPI\[DINA TERCIARIOS_CF_SEC_New_27-Mar-2024.xlsx]D-PDP'!$DC$43</v>
      </c>
      <c r="J2123" s="37" t="s">
        <v>2959</v>
      </c>
    </row>
    <row r="2124" spans="1:10" x14ac:dyDescent="0.3">
      <c r="A2124" s="32" t="s">
        <v>14</v>
      </c>
      <c r="B2124" s="32">
        <f t="shared" si="514"/>
        <v>2055</v>
      </c>
      <c r="C2124" s="33" t="s">
        <v>49</v>
      </c>
      <c r="D2124" s="34" t="s">
        <v>2002</v>
      </c>
      <c r="E2124" s="35" t="str">
        <f t="shared" si="510"/>
        <v>PDP'!</v>
      </c>
      <c r="F2124" s="34" t="str">
        <f t="shared" si="511"/>
        <v>C:\Users\jaime.benazar\Quorum Business Solutions\Ecopetrol Prometeo - Documents\Planning Space Implementation\3. Analysis &amp; Design\Design\FC22\DRR Jaime\Neiva CPI\[DINA TERCIARIOS_CF_SEC_New_27-Mar-2024.xlsx]D-PDP'!</v>
      </c>
      <c r="G2124" s="32" t="s">
        <v>121</v>
      </c>
      <c r="H2124" s="33">
        <f t="shared" si="512"/>
        <v>44</v>
      </c>
      <c r="I2124" s="33" t="str">
        <f t="shared" si="513"/>
        <v>='C:\Users\jaime.benazar\Quorum Business Solutions\Ecopetrol Prometeo - Documents\Planning Space Implementation\3. Analysis &amp; Design\Design\FC22\DRR Jaime\Neiva CPI\[DINA TERCIARIOS_CF_SEC_New_27-Mar-2024.xlsx]D-PDP'!$DC$44</v>
      </c>
      <c r="J2124" s="37" t="s">
        <v>2960</v>
      </c>
    </row>
    <row r="2125" spans="1:10" x14ac:dyDescent="0.3">
      <c r="A2125" s="32" t="s">
        <v>14</v>
      </c>
      <c r="B2125" s="32">
        <f t="shared" si="514"/>
        <v>2056</v>
      </c>
      <c r="C2125" s="33" t="s">
        <v>49</v>
      </c>
      <c r="D2125" s="34" t="s">
        <v>2002</v>
      </c>
      <c r="E2125" s="35" t="str">
        <f t="shared" si="510"/>
        <v>PDP'!</v>
      </c>
      <c r="F2125" s="34" t="str">
        <f t="shared" si="511"/>
        <v>C:\Users\jaime.benazar\Quorum Business Solutions\Ecopetrol Prometeo - Documents\Planning Space Implementation\3. Analysis &amp; Design\Design\FC22\DRR Jaime\Neiva CPI\[DINA TERCIARIOS_CF_SEC_New_27-Mar-2024.xlsx]D-PDP'!</v>
      </c>
      <c r="G2125" s="32" t="s">
        <v>121</v>
      </c>
      <c r="H2125" s="33">
        <f t="shared" si="512"/>
        <v>45</v>
      </c>
      <c r="I2125" s="33" t="str">
        <f t="shared" si="513"/>
        <v>='C:\Users\jaime.benazar\Quorum Business Solutions\Ecopetrol Prometeo - Documents\Planning Space Implementation\3. Analysis &amp; Design\Design\FC22\DRR Jaime\Neiva CPI\[DINA TERCIARIOS_CF_SEC_New_27-Mar-2024.xlsx]D-PDP'!$DC$45</v>
      </c>
      <c r="J2125" s="37" t="s">
        <v>2961</v>
      </c>
    </row>
    <row r="2126" spans="1:10" x14ac:dyDescent="0.3">
      <c r="A2126" s="32" t="s">
        <v>14</v>
      </c>
      <c r="B2126" s="32">
        <f t="shared" si="514"/>
        <v>2057</v>
      </c>
      <c r="C2126" s="33" t="s">
        <v>49</v>
      </c>
      <c r="D2126" s="34" t="s">
        <v>2002</v>
      </c>
      <c r="E2126" s="35" t="str">
        <f t="shared" si="510"/>
        <v>PDP'!</v>
      </c>
      <c r="F2126" s="34" t="str">
        <f t="shared" si="511"/>
        <v>C:\Users\jaime.benazar\Quorum Business Solutions\Ecopetrol Prometeo - Documents\Planning Space Implementation\3. Analysis &amp; Design\Design\FC22\DRR Jaime\Neiva CPI\[DINA TERCIARIOS_CF_SEC_New_27-Mar-2024.xlsx]D-PDP'!</v>
      </c>
      <c r="G2126" s="32" t="s">
        <v>121</v>
      </c>
      <c r="H2126" s="33">
        <f t="shared" si="512"/>
        <v>46</v>
      </c>
      <c r="I2126" s="33" t="str">
        <f t="shared" si="513"/>
        <v>='C:\Users\jaime.benazar\Quorum Business Solutions\Ecopetrol Prometeo - Documents\Planning Space Implementation\3. Analysis &amp; Design\Design\FC22\DRR Jaime\Neiva CPI\[DINA TERCIARIOS_CF_SEC_New_27-Mar-2024.xlsx]D-PDP'!$DC$46</v>
      </c>
      <c r="J2126" s="37" t="s">
        <v>2962</v>
      </c>
    </row>
    <row r="2127" spans="1:10" x14ac:dyDescent="0.3">
      <c r="A2127" s="32" t="s">
        <v>14</v>
      </c>
      <c r="B2127" s="32">
        <f t="shared" si="514"/>
        <v>2058</v>
      </c>
      <c r="C2127" s="33" t="s">
        <v>49</v>
      </c>
      <c r="D2127" s="34" t="s">
        <v>2002</v>
      </c>
      <c r="E2127" s="35" t="str">
        <f t="shared" si="510"/>
        <v>PDP'!</v>
      </c>
      <c r="F2127" s="34" t="str">
        <f t="shared" si="511"/>
        <v>C:\Users\jaime.benazar\Quorum Business Solutions\Ecopetrol Prometeo - Documents\Planning Space Implementation\3. Analysis &amp; Design\Design\FC22\DRR Jaime\Neiva CPI\[DINA TERCIARIOS_CF_SEC_New_27-Mar-2024.xlsx]D-PDP'!</v>
      </c>
      <c r="G2127" s="32" t="s">
        <v>121</v>
      </c>
      <c r="H2127" s="33">
        <f t="shared" si="512"/>
        <v>47</v>
      </c>
      <c r="I2127" s="33" t="str">
        <f t="shared" si="513"/>
        <v>='C:\Users\jaime.benazar\Quorum Business Solutions\Ecopetrol Prometeo - Documents\Planning Space Implementation\3. Analysis &amp; Design\Design\FC22\DRR Jaime\Neiva CPI\[DINA TERCIARIOS_CF_SEC_New_27-Mar-2024.xlsx]D-PDP'!$DC$47</v>
      </c>
      <c r="J2127" s="37" t="s">
        <v>2963</v>
      </c>
    </row>
    <row r="2128" spans="1:10" x14ac:dyDescent="0.3">
      <c r="A2128" s="32" t="s">
        <v>14</v>
      </c>
      <c r="B2128" s="32">
        <f t="shared" si="514"/>
        <v>2059</v>
      </c>
      <c r="C2128" s="33" t="s">
        <v>49</v>
      </c>
      <c r="D2128" s="34" t="s">
        <v>2002</v>
      </c>
      <c r="E2128" s="35" t="str">
        <f t="shared" si="510"/>
        <v>PDP'!</v>
      </c>
      <c r="F2128" s="34" t="str">
        <f t="shared" si="511"/>
        <v>C:\Users\jaime.benazar\Quorum Business Solutions\Ecopetrol Prometeo - Documents\Planning Space Implementation\3. Analysis &amp; Design\Design\FC22\DRR Jaime\Neiva CPI\[DINA TERCIARIOS_CF_SEC_New_27-Mar-2024.xlsx]D-PDP'!</v>
      </c>
      <c r="G2128" s="32" t="s">
        <v>121</v>
      </c>
      <c r="H2128" s="33">
        <f t="shared" si="512"/>
        <v>48</v>
      </c>
      <c r="I2128" s="33" t="str">
        <f t="shared" si="513"/>
        <v>='C:\Users\jaime.benazar\Quorum Business Solutions\Ecopetrol Prometeo - Documents\Planning Space Implementation\3. Analysis &amp; Design\Design\FC22\DRR Jaime\Neiva CPI\[DINA TERCIARIOS_CF_SEC_New_27-Mar-2024.xlsx]D-PDP'!$DC$48</v>
      </c>
      <c r="J2128" s="37" t="s">
        <v>2964</v>
      </c>
    </row>
    <row r="2129" spans="1:10" x14ac:dyDescent="0.3">
      <c r="A2129" s="32" t="s">
        <v>26</v>
      </c>
      <c r="B2129" s="32"/>
      <c r="C2129" s="33" t="s">
        <v>49</v>
      </c>
      <c r="D2129" s="34"/>
      <c r="E2129" s="35"/>
      <c r="F2129" s="34"/>
      <c r="G2129" s="32"/>
      <c r="H2129" s="33"/>
      <c r="I2129" s="33"/>
      <c r="J2129" s="33"/>
    </row>
    <row r="2130" spans="1:10" x14ac:dyDescent="0.3">
      <c r="A2130" s="32" t="s">
        <v>15</v>
      </c>
      <c r="B2130" s="32">
        <v>2023</v>
      </c>
      <c r="C2130" s="33" t="s">
        <v>49</v>
      </c>
      <c r="D2130" s="34" t="s">
        <v>2002</v>
      </c>
      <c r="E2130" s="35" t="str">
        <f t="shared" si="503"/>
        <v>PNP'!</v>
      </c>
      <c r="F2130" s="34" t="str">
        <f t="shared" si="504"/>
        <v>C:\Users\jaime.benazar\Quorum Business Solutions\Ecopetrol Prometeo - Documents\Planning Space Implementation\3. Analysis &amp; Design\Design\FC22\DRR Jaime\Neiva CPI\[DINA TERCIARIOS_CF_SEC_New_27-Mar-2024.xlsx]D-PNP'!</v>
      </c>
      <c r="G2130" s="32" t="s">
        <v>121</v>
      </c>
      <c r="H2130" s="33">
        <v>12</v>
      </c>
      <c r="I2130" s="33" t="str">
        <f t="shared" si="506"/>
        <v>='C:\Users\jaime.benazar\Quorum Business Solutions\Ecopetrol Prometeo - Documents\Planning Space Implementation\3. Analysis &amp; Design\Design\FC22\DRR Jaime\Neiva CPI\[DINA TERCIARIOS_CF_SEC_New_27-Mar-2024.xlsx]D-PNP'!$DC$12</v>
      </c>
      <c r="J2130" s="37" t="s">
        <v>2965</v>
      </c>
    </row>
    <row r="2131" spans="1:10" x14ac:dyDescent="0.3">
      <c r="A2131" s="32" t="s">
        <v>15</v>
      </c>
      <c r="B2131" s="32">
        <f>+B2130+1</f>
        <v>2024</v>
      </c>
      <c r="C2131" s="33" t="s">
        <v>49</v>
      </c>
      <c r="D2131" s="34" t="s">
        <v>2002</v>
      </c>
      <c r="E2131" s="35" t="str">
        <f t="shared" si="503"/>
        <v>PNP'!</v>
      </c>
      <c r="F2131" s="34" t="str">
        <f t="shared" si="504"/>
        <v>C:\Users\jaime.benazar\Quorum Business Solutions\Ecopetrol Prometeo - Documents\Planning Space Implementation\3. Analysis &amp; Design\Design\FC22\DRR Jaime\Neiva CPI\[DINA TERCIARIOS_CF_SEC_New_27-Mar-2024.xlsx]D-PNP'!</v>
      </c>
      <c r="G2131" s="32" t="s">
        <v>121</v>
      </c>
      <c r="H2131" s="33">
        <f t="shared" ref="H2131:H2150" si="515">IF(A2131&lt;&gt;A2130,12,H2130+1)</f>
        <v>13</v>
      </c>
      <c r="I2131" s="33" t="str">
        <f t="shared" si="506"/>
        <v>='C:\Users\jaime.benazar\Quorum Business Solutions\Ecopetrol Prometeo - Documents\Planning Space Implementation\3. Analysis &amp; Design\Design\FC22\DRR Jaime\Neiva CPI\[DINA TERCIARIOS_CF_SEC_New_27-Mar-2024.xlsx]D-PNP'!$DC$13</v>
      </c>
      <c r="J2131" s="37" t="s">
        <v>2966</v>
      </c>
    </row>
    <row r="2132" spans="1:10" x14ac:dyDescent="0.3">
      <c r="A2132" s="32" t="s">
        <v>15</v>
      </c>
      <c r="B2132" s="32">
        <f t="shared" ref="B2132:B2143" si="516">+B2131+1</f>
        <v>2025</v>
      </c>
      <c r="C2132" s="33" t="s">
        <v>49</v>
      </c>
      <c r="D2132" s="34" t="s">
        <v>2002</v>
      </c>
      <c r="E2132" s="35" t="str">
        <f t="shared" si="503"/>
        <v>PNP'!</v>
      </c>
      <c r="F2132" s="34" t="str">
        <f t="shared" si="504"/>
        <v>C:\Users\jaime.benazar\Quorum Business Solutions\Ecopetrol Prometeo - Documents\Planning Space Implementation\3. Analysis &amp; Design\Design\FC22\DRR Jaime\Neiva CPI\[DINA TERCIARIOS_CF_SEC_New_27-Mar-2024.xlsx]D-PNP'!</v>
      </c>
      <c r="G2132" s="32" t="s">
        <v>121</v>
      </c>
      <c r="H2132" s="33">
        <f t="shared" si="515"/>
        <v>14</v>
      </c>
      <c r="I2132" s="33" t="str">
        <f t="shared" si="506"/>
        <v>='C:\Users\jaime.benazar\Quorum Business Solutions\Ecopetrol Prometeo - Documents\Planning Space Implementation\3. Analysis &amp; Design\Design\FC22\DRR Jaime\Neiva CPI\[DINA TERCIARIOS_CF_SEC_New_27-Mar-2024.xlsx]D-PNP'!$DC$14</v>
      </c>
      <c r="J2132" s="37" t="s">
        <v>2967</v>
      </c>
    </row>
    <row r="2133" spans="1:10" x14ac:dyDescent="0.3">
      <c r="A2133" s="32" t="s">
        <v>15</v>
      </c>
      <c r="B2133" s="32">
        <f t="shared" si="516"/>
        <v>2026</v>
      </c>
      <c r="C2133" s="33" t="s">
        <v>49</v>
      </c>
      <c r="D2133" s="34" t="s">
        <v>2002</v>
      </c>
      <c r="E2133" s="35" t="str">
        <f t="shared" si="503"/>
        <v>PNP'!</v>
      </c>
      <c r="F2133" s="34" t="str">
        <f t="shared" si="504"/>
        <v>C:\Users\jaime.benazar\Quorum Business Solutions\Ecopetrol Prometeo - Documents\Planning Space Implementation\3. Analysis &amp; Design\Design\FC22\DRR Jaime\Neiva CPI\[DINA TERCIARIOS_CF_SEC_New_27-Mar-2024.xlsx]D-PNP'!</v>
      </c>
      <c r="G2133" s="32" t="s">
        <v>121</v>
      </c>
      <c r="H2133" s="33">
        <f t="shared" si="515"/>
        <v>15</v>
      </c>
      <c r="I2133" s="33" t="str">
        <f t="shared" si="506"/>
        <v>='C:\Users\jaime.benazar\Quorum Business Solutions\Ecopetrol Prometeo - Documents\Planning Space Implementation\3. Analysis &amp; Design\Design\FC22\DRR Jaime\Neiva CPI\[DINA TERCIARIOS_CF_SEC_New_27-Mar-2024.xlsx]D-PNP'!$DC$15</v>
      </c>
      <c r="J2133" s="37" t="s">
        <v>2968</v>
      </c>
    </row>
    <row r="2134" spans="1:10" x14ac:dyDescent="0.3">
      <c r="A2134" s="32" t="s">
        <v>15</v>
      </c>
      <c r="B2134" s="32">
        <f t="shared" si="516"/>
        <v>2027</v>
      </c>
      <c r="C2134" s="33" t="s">
        <v>49</v>
      </c>
      <c r="D2134" s="34" t="s">
        <v>2002</v>
      </c>
      <c r="E2134" s="35" t="str">
        <f t="shared" si="503"/>
        <v>PNP'!</v>
      </c>
      <c r="F2134" s="34" t="str">
        <f t="shared" si="504"/>
        <v>C:\Users\jaime.benazar\Quorum Business Solutions\Ecopetrol Prometeo - Documents\Planning Space Implementation\3. Analysis &amp; Design\Design\FC22\DRR Jaime\Neiva CPI\[DINA TERCIARIOS_CF_SEC_New_27-Mar-2024.xlsx]D-PNP'!</v>
      </c>
      <c r="G2134" s="32" t="s">
        <v>121</v>
      </c>
      <c r="H2134" s="33">
        <f t="shared" si="515"/>
        <v>16</v>
      </c>
      <c r="I2134" s="33" t="str">
        <f t="shared" si="506"/>
        <v>='C:\Users\jaime.benazar\Quorum Business Solutions\Ecopetrol Prometeo - Documents\Planning Space Implementation\3. Analysis &amp; Design\Design\FC22\DRR Jaime\Neiva CPI\[DINA TERCIARIOS_CF_SEC_New_27-Mar-2024.xlsx]D-PNP'!$DC$16</v>
      </c>
      <c r="J2134" s="37" t="s">
        <v>2969</v>
      </c>
    </row>
    <row r="2135" spans="1:10" x14ac:dyDescent="0.3">
      <c r="A2135" s="32" t="s">
        <v>15</v>
      </c>
      <c r="B2135" s="32">
        <f t="shared" si="516"/>
        <v>2028</v>
      </c>
      <c r="C2135" s="33" t="s">
        <v>49</v>
      </c>
      <c r="D2135" s="34" t="s">
        <v>2002</v>
      </c>
      <c r="E2135" s="35" t="str">
        <f t="shared" si="503"/>
        <v>PNP'!</v>
      </c>
      <c r="F2135" s="34" t="str">
        <f t="shared" si="504"/>
        <v>C:\Users\jaime.benazar\Quorum Business Solutions\Ecopetrol Prometeo - Documents\Planning Space Implementation\3. Analysis &amp; Design\Design\FC22\DRR Jaime\Neiva CPI\[DINA TERCIARIOS_CF_SEC_New_27-Mar-2024.xlsx]D-PNP'!</v>
      </c>
      <c r="G2135" s="32" t="s">
        <v>121</v>
      </c>
      <c r="H2135" s="33">
        <f t="shared" si="515"/>
        <v>17</v>
      </c>
      <c r="I2135" s="33" t="str">
        <f t="shared" si="506"/>
        <v>='C:\Users\jaime.benazar\Quorum Business Solutions\Ecopetrol Prometeo - Documents\Planning Space Implementation\3. Analysis &amp; Design\Design\FC22\DRR Jaime\Neiva CPI\[DINA TERCIARIOS_CF_SEC_New_27-Mar-2024.xlsx]D-PNP'!$DC$17</v>
      </c>
      <c r="J2135" s="37" t="s">
        <v>2970</v>
      </c>
    </row>
    <row r="2136" spans="1:10" x14ac:dyDescent="0.3">
      <c r="A2136" s="32" t="s">
        <v>15</v>
      </c>
      <c r="B2136" s="32">
        <f t="shared" si="516"/>
        <v>2029</v>
      </c>
      <c r="C2136" s="33" t="s">
        <v>49</v>
      </c>
      <c r="D2136" s="34" t="s">
        <v>2002</v>
      </c>
      <c r="E2136" s="35" t="str">
        <f t="shared" si="503"/>
        <v>PNP'!</v>
      </c>
      <c r="F2136" s="34" t="str">
        <f t="shared" si="504"/>
        <v>C:\Users\jaime.benazar\Quorum Business Solutions\Ecopetrol Prometeo - Documents\Planning Space Implementation\3. Analysis &amp; Design\Design\FC22\DRR Jaime\Neiva CPI\[DINA TERCIARIOS_CF_SEC_New_27-Mar-2024.xlsx]D-PNP'!</v>
      </c>
      <c r="G2136" s="32" t="s">
        <v>121</v>
      </c>
      <c r="H2136" s="33">
        <f t="shared" si="515"/>
        <v>18</v>
      </c>
      <c r="I2136" s="33" t="str">
        <f t="shared" si="506"/>
        <v>='C:\Users\jaime.benazar\Quorum Business Solutions\Ecopetrol Prometeo - Documents\Planning Space Implementation\3. Analysis &amp; Design\Design\FC22\DRR Jaime\Neiva CPI\[DINA TERCIARIOS_CF_SEC_New_27-Mar-2024.xlsx]D-PNP'!$DC$18</v>
      </c>
      <c r="J2136" s="37" t="s">
        <v>2971</v>
      </c>
    </row>
    <row r="2137" spans="1:10" x14ac:dyDescent="0.3">
      <c r="A2137" s="32" t="s">
        <v>15</v>
      </c>
      <c r="B2137" s="32">
        <f t="shared" si="516"/>
        <v>2030</v>
      </c>
      <c r="C2137" s="33" t="s">
        <v>49</v>
      </c>
      <c r="D2137" s="34" t="s">
        <v>2002</v>
      </c>
      <c r="E2137" s="35" t="str">
        <f t="shared" si="503"/>
        <v>PNP'!</v>
      </c>
      <c r="F2137" s="34" t="str">
        <f t="shared" si="504"/>
        <v>C:\Users\jaime.benazar\Quorum Business Solutions\Ecopetrol Prometeo - Documents\Planning Space Implementation\3. Analysis &amp; Design\Design\FC22\DRR Jaime\Neiva CPI\[DINA TERCIARIOS_CF_SEC_New_27-Mar-2024.xlsx]D-PNP'!</v>
      </c>
      <c r="G2137" s="32" t="s">
        <v>121</v>
      </c>
      <c r="H2137" s="33">
        <f t="shared" si="515"/>
        <v>19</v>
      </c>
      <c r="I2137" s="33" t="str">
        <f t="shared" si="506"/>
        <v>='C:\Users\jaime.benazar\Quorum Business Solutions\Ecopetrol Prometeo - Documents\Planning Space Implementation\3. Analysis &amp; Design\Design\FC22\DRR Jaime\Neiva CPI\[DINA TERCIARIOS_CF_SEC_New_27-Mar-2024.xlsx]D-PNP'!$DC$19</v>
      </c>
      <c r="J2137" s="37" t="s">
        <v>2972</v>
      </c>
    </row>
    <row r="2138" spans="1:10" x14ac:dyDescent="0.3">
      <c r="A2138" s="32" t="s">
        <v>15</v>
      </c>
      <c r="B2138" s="32">
        <f t="shared" si="516"/>
        <v>2031</v>
      </c>
      <c r="C2138" s="33" t="s">
        <v>49</v>
      </c>
      <c r="D2138" s="34" t="s">
        <v>2002</v>
      </c>
      <c r="E2138" s="35" t="str">
        <f t="shared" si="503"/>
        <v>PNP'!</v>
      </c>
      <c r="F2138" s="34" t="str">
        <f t="shared" si="504"/>
        <v>C:\Users\jaime.benazar\Quorum Business Solutions\Ecopetrol Prometeo - Documents\Planning Space Implementation\3. Analysis &amp; Design\Design\FC22\DRR Jaime\Neiva CPI\[DINA TERCIARIOS_CF_SEC_New_27-Mar-2024.xlsx]D-PNP'!</v>
      </c>
      <c r="G2138" s="32" t="s">
        <v>121</v>
      </c>
      <c r="H2138" s="33">
        <f t="shared" si="515"/>
        <v>20</v>
      </c>
      <c r="I2138" s="33" t="str">
        <f t="shared" si="506"/>
        <v>='C:\Users\jaime.benazar\Quorum Business Solutions\Ecopetrol Prometeo - Documents\Planning Space Implementation\3. Analysis &amp; Design\Design\FC22\DRR Jaime\Neiva CPI\[DINA TERCIARIOS_CF_SEC_New_27-Mar-2024.xlsx]D-PNP'!$DC$20</v>
      </c>
      <c r="J2138" s="37" t="s">
        <v>2973</v>
      </c>
    </row>
    <row r="2139" spans="1:10" x14ac:dyDescent="0.3">
      <c r="A2139" s="32" t="s">
        <v>15</v>
      </c>
      <c r="B2139" s="32">
        <f t="shared" si="516"/>
        <v>2032</v>
      </c>
      <c r="C2139" s="33" t="s">
        <v>49</v>
      </c>
      <c r="D2139" s="34" t="s">
        <v>2002</v>
      </c>
      <c r="E2139" s="35" t="str">
        <f t="shared" si="503"/>
        <v>PNP'!</v>
      </c>
      <c r="F2139" s="34" t="str">
        <f t="shared" si="504"/>
        <v>C:\Users\jaime.benazar\Quorum Business Solutions\Ecopetrol Prometeo - Documents\Planning Space Implementation\3. Analysis &amp; Design\Design\FC22\DRR Jaime\Neiva CPI\[DINA TERCIARIOS_CF_SEC_New_27-Mar-2024.xlsx]D-PNP'!</v>
      </c>
      <c r="G2139" s="32" t="s">
        <v>121</v>
      </c>
      <c r="H2139" s="33">
        <f t="shared" si="515"/>
        <v>21</v>
      </c>
      <c r="I2139" s="33" t="str">
        <f t="shared" si="506"/>
        <v>='C:\Users\jaime.benazar\Quorum Business Solutions\Ecopetrol Prometeo - Documents\Planning Space Implementation\3. Analysis &amp; Design\Design\FC22\DRR Jaime\Neiva CPI\[DINA TERCIARIOS_CF_SEC_New_27-Mar-2024.xlsx]D-PNP'!$DC$21</v>
      </c>
      <c r="J2139" s="37" t="s">
        <v>2974</v>
      </c>
    </row>
    <row r="2140" spans="1:10" x14ac:dyDescent="0.3">
      <c r="A2140" s="32" t="s">
        <v>15</v>
      </c>
      <c r="B2140" s="32">
        <f t="shared" si="516"/>
        <v>2033</v>
      </c>
      <c r="C2140" s="33" t="s">
        <v>49</v>
      </c>
      <c r="D2140" s="34" t="s">
        <v>2002</v>
      </c>
      <c r="E2140" s="35" t="str">
        <f t="shared" si="503"/>
        <v>PNP'!</v>
      </c>
      <c r="F2140" s="34" t="str">
        <f t="shared" si="504"/>
        <v>C:\Users\jaime.benazar\Quorum Business Solutions\Ecopetrol Prometeo - Documents\Planning Space Implementation\3. Analysis &amp; Design\Design\FC22\DRR Jaime\Neiva CPI\[DINA TERCIARIOS_CF_SEC_New_27-Mar-2024.xlsx]D-PNP'!</v>
      </c>
      <c r="G2140" s="32" t="s">
        <v>121</v>
      </c>
      <c r="H2140" s="33">
        <f t="shared" si="515"/>
        <v>22</v>
      </c>
      <c r="I2140" s="33" t="str">
        <f t="shared" si="506"/>
        <v>='C:\Users\jaime.benazar\Quorum Business Solutions\Ecopetrol Prometeo - Documents\Planning Space Implementation\3. Analysis &amp; Design\Design\FC22\DRR Jaime\Neiva CPI\[DINA TERCIARIOS_CF_SEC_New_27-Mar-2024.xlsx]D-PNP'!$DC$22</v>
      </c>
      <c r="J2140" s="37" t="s">
        <v>2975</v>
      </c>
    </row>
    <row r="2141" spans="1:10" x14ac:dyDescent="0.3">
      <c r="A2141" s="32" t="s">
        <v>15</v>
      </c>
      <c r="B2141" s="32">
        <f t="shared" si="516"/>
        <v>2034</v>
      </c>
      <c r="C2141" s="33" t="s">
        <v>49</v>
      </c>
      <c r="D2141" s="34" t="s">
        <v>2002</v>
      </c>
      <c r="E2141" s="35" t="str">
        <f t="shared" si="503"/>
        <v>PNP'!</v>
      </c>
      <c r="F2141" s="34" t="str">
        <f t="shared" si="504"/>
        <v>C:\Users\jaime.benazar\Quorum Business Solutions\Ecopetrol Prometeo - Documents\Planning Space Implementation\3. Analysis &amp; Design\Design\FC22\DRR Jaime\Neiva CPI\[DINA TERCIARIOS_CF_SEC_New_27-Mar-2024.xlsx]D-PNP'!</v>
      </c>
      <c r="G2141" s="32" t="s">
        <v>121</v>
      </c>
      <c r="H2141" s="33">
        <f t="shared" si="515"/>
        <v>23</v>
      </c>
      <c r="I2141" s="33" t="str">
        <f t="shared" si="506"/>
        <v>='C:\Users\jaime.benazar\Quorum Business Solutions\Ecopetrol Prometeo - Documents\Planning Space Implementation\3. Analysis &amp; Design\Design\FC22\DRR Jaime\Neiva CPI\[DINA TERCIARIOS_CF_SEC_New_27-Mar-2024.xlsx]D-PNP'!$DC$23</v>
      </c>
      <c r="J2141" s="37" t="s">
        <v>2976</v>
      </c>
    </row>
    <row r="2142" spans="1:10" x14ac:dyDescent="0.3">
      <c r="A2142" s="32" t="s">
        <v>15</v>
      </c>
      <c r="B2142" s="32">
        <f t="shared" si="516"/>
        <v>2035</v>
      </c>
      <c r="C2142" s="33" t="s">
        <v>49</v>
      </c>
      <c r="D2142" s="34" t="s">
        <v>2002</v>
      </c>
      <c r="E2142" s="35" t="str">
        <f t="shared" si="503"/>
        <v>PNP'!</v>
      </c>
      <c r="F2142" s="34" t="str">
        <f t="shared" si="504"/>
        <v>C:\Users\jaime.benazar\Quorum Business Solutions\Ecopetrol Prometeo - Documents\Planning Space Implementation\3. Analysis &amp; Design\Design\FC22\DRR Jaime\Neiva CPI\[DINA TERCIARIOS_CF_SEC_New_27-Mar-2024.xlsx]D-PNP'!</v>
      </c>
      <c r="G2142" s="32" t="s">
        <v>121</v>
      </c>
      <c r="H2142" s="33">
        <f t="shared" si="515"/>
        <v>24</v>
      </c>
      <c r="I2142" s="33" t="str">
        <f t="shared" si="506"/>
        <v>='C:\Users\jaime.benazar\Quorum Business Solutions\Ecopetrol Prometeo - Documents\Planning Space Implementation\3. Analysis &amp; Design\Design\FC22\DRR Jaime\Neiva CPI\[DINA TERCIARIOS_CF_SEC_New_27-Mar-2024.xlsx]D-PNP'!$DC$24</v>
      </c>
      <c r="J2142" s="37" t="s">
        <v>2977</v>
      </c>
    </row>
    <row r="2143" spans="1:10" x14ac:dyDescent="0.3">
      <c r="A2143" s="32" t="s">
        <v>15</v>
      </c>
      <c r="B2143" s="32">
        <f t="shared" si="516"/>
        <v>2036</v>
      </c>
      <c r="C2143" s="33" t="s">
        <v>49</v>
      </c>
      <c r="D2143" s="34" t="s">
        <v>2002</v>
      </c>
      <c r="E2143" s="35" t="str">
        <f t="shared" si="503"/>
        <v>PNP'!</v>
      </c>
      <c r="F2143" s="34" t="str">
        <f t="shared" si="504"/>
        <v>C:\Users\jaime.benazar\Quorum Business Solutions\Ecopetrol Prometeo - Documents\Planning Space Implementation\3. Analysis &amp; Design\Design\FC22\DRR Jaime\Neiva CPI\[DINA TERCIARIOS_CF_SEC_New_27-Mar-2024.xlsx]D-PNP'!</v>
      </c>
      <c r="G2143" s="32" t="s">
        <v>121</v>
      </c>
      <c r="H2143" s="33">
        <f t="shared" si="515"/>
        <v>25</v>
      </c>
      <c r="I2143" s="33" t="str">
        <f t="shared" si="506"/>
        <v>='C:\Users\jaime.benazar\Quorum Business Solutions\Ecopetrol Prometeo - Documents\Planning Space Implementation\3. Analysis &amp; Design\Design\FC22\DRR Jaime\Neiva CPI\[DINA TERCIARIOS_CF_SEC_New_27-Mar-2024.xlsx]D-PNP'!$DC$25</v>
      </c>
      <c r="J2143" s="37" t="s">
        <v>2978</v>
      </c>
    </row>
    <row r="2144" spans="1:10" x14ac:dyDescent="0.3">
      <c r="A2144" s="32" t="s">
        <v>15</v>
      </c>
      <c r="B2144" s="32">
        <f>+B2143+1</f>
        <v>2037</v>
      </c>
      <c r="C2144" s="33" t="s">
        <v>49</v>
      </c>
      <c r="D2144" s="34" t="s">
        <v>2002</v>
      </c>
      <c r="E2144" s="35" t="str">
        <f t="shared" si="503"/>
        <v>PNP'!</v>
      </c>
      <c r="F2144" s="34" t="str">
        <f t="shared" si="504"/>
        <v>C:\Users\jaime.benazar\Quorum Business Solutions\Ecopetrol Prometeo - Documents\Planning Space Implementation\3. Analysis &amp; Design\Design\FC22\DRR Jaime\Neiva CPI\[DINA TERCIARIOS_CF_SEC_New_27-Mar-2024.xlsx]D-PNP'!</v>
      </c>
      <c r="G2144" s="32" t="s">
        <v>121</v>
      </c>
      <c r="H2144" s="33">
        <f t="shared" si="515"/>
        <v>26</v>
      </c>
      <c r="I2144" s="33" t="str">
        <f t="shared" si="506"/>
        <v>='C:\Users\jaime.benazar\Quorum Business Solutions\Ecopetrol Prometeo - Documents\Planning Space Implementation\3. Analysis &amp; Design\Design\FC22\DRR Jaime\Neiva CPI\[DINA TERCIARIOS_CF_SEC_New_27-Mar-2024.xlsx]D-PNP'!$DC$26</v>
      </c>
      <c r="J2144" s="37" t="s">
        <v>2979</v>
      </c>
    </row>
    <row r="2145" spans="1:10" x14ac:dyDescent="0.3">
      <c r="A2145" s="32" t="s">
        <v>15</v>
      </c>
      <c r="B2145" s="32">
        <f t="shared" ref="B2145:B2147" si="517">+B2144+1</f>
        <v>2038</v>
      </c>
      <c r="C2145" s="33" t="s">
        <v>49</v>
      </c>
      <c r="D2145" s="34" t="s">
        <v>2002</v>
      </c>
      <c r="E2145" s="35" t="str">
        <f t="shared" si="503"/>
        <v>PNP'!</v>
      </c>
      <c r="F2145" s="34" t="str">
        <f t="shared" si="504"/>
        <v>C:\Users\jaime.benazar\Quorum Business Solutions\Ecopetrol Prometeo - Documents\Planning Space Implementation\3. Analysis &amp; Design\Design\FC22\DRR Jaime\Neiva CPI\[DINA TERCIARIOS_CF_SEC_New_27-Mar-2024.xlsx]D-PNP'!</v>
      </c>
      <c r="G2145" s="32" t="s">
        <v>121</v>
      </c>
      <c r="H2145" s="33">
        <f t="shared" si="515"/>
        <v>27</v>
      </c>
      <c r="I2145" s="33" t="str">
        <f t="shared" si="506"/>
        <v>='C:\Users\jaime.benazar\Quorum Business Solutions\Ecopetrol Prometeo - Documents\Planning Space Implementation\3. Analysis &amp; Design\Design\FC22\DRR Jaime\Neiva CPI\[DINA TERCIARIOS_CF_SEC_New_27-Mar-2024.xlsx]D-PNP'!$DC$27</v>
      </c>
      <c r="J2145" s="37" t="s">
        <v>2980</v>
      </c>
    </row>
    <row r="2146" spans="1:10" x14ac:dyDescent="0.3">
      <c r="A2146" s="32" t="s">
        <v>15</v>
      </c>
      <c r="B2146" s="32">
        <f t="shared" si="517"/>
        <v>2039</v>
      </c>
      <c r="C2146" s="33" t="s">
        <v>49</v>
      </c>
      <c r="D2146" s="34" t="s">
        <v>2002</v>
      </c>
      <c r="E2146" s="35" t="str">
        <f t="shared" si="503"/>
        <v>PNP'!</v>
      </c>
      <c r="F2146" s="34" t="str">
        <f t="shared" si="504"/>
        <v>C:\Users\jaime.benazar\Quorum Business Solutions\Ecopetrol Prometeo - Documents\Planning Space Implementation\3. Analysis &amp; Design\Design\FC22\DRR Jaime\Neiva CPI\[DINA TERCIARIOS_CF_SEC_New_27-Mar-2024.xlsx]D-PNP'!</v>
      </c>
      <c r="G2146" s="32" t="s">
        <v>121</v>
      </c>
      <c r="H2146" s="33">
        <f t="shared" si="515"/>
        <v>28</v>
      </c>
      <c r="I2146" s="33" t="str">
        <f t="shared" si="506"/>
        <v>='C:\Users\jaime.benazar\Quorum Business Solutions\Ecopetrol Prometeo - Documents\Planning Space Implementation\3. Analysis &amp; Design\Design\FC22\DRR Jaime\Neiva CPI\[DINA TERCIARIOS_CF_SEC_New_27-Mar-2024.xlsx]D-PNP'!$DC$28</v>
      </c>
      <c r="J2146" s="37" t="s">
        <v>2981</v>
      </c>
    </row>
    <row r="2147" spans="1:10" x14ac:dyDescent="0.3">
      <c r="A2147" s="32" t="s">
        <v>15</v>
      </c>
      <c r="B2147" s="32">
        <f t="shared" si="517"/>
        <v>2040</v>
      </c>
      <c r="C2147" s="33" t="s">
        <v>49</v>
      </c>
      <c r="D2147" s="34" t="s">
        <v>2002</v>
      </c>
      <c r="E2147" s="35" t="str">
        <f t="shared" si="503"/>
        <v>PNP'!</v>
      </c>
      <c r="F2147" s="34" t="str">
        <f t="shared" si="504"/>
        <v>C:\Users\jaime.benazar\Quorum Business Solutions\Ecopetrol Prometeo - Documents\Planning Space Implementation\3. Analysis &amp; Design\Design\FC22\DRR Jaime\Neiva CPI\[DINA TERCIARIOS_CF_SEC_New_27-Mar-2024.xlsx]D-PNP'!</v>
      </c>
      <c r="G2147" s="32" t="s">
        <v>121</v>
      </c>
      <c r="H2147" s="33">
        <f t="shared" si="515"/>
        <v>29</v>
      </c>
      <c r="I2147" s="33" t="str">
        <f t="shared" si="506"/>
        <v>='C:\Users\jaime.benazar\Quorum Business Solutions\Ecopetrol Prometeo - Documents\Planning Space Implementation\3. Analysis &amp; Design\Design\FC22\DRR Jaime\Neiva CPI\[DINA TERCIARIOS_CF_SEC_New_27-Mar-2024.xlsx]D-PNP'!$DC$29</v>
      </c>
      <c r="J2147" s="37" t="s">
        <v>2982</v>
      </c>
    </row>
    <row r="2148" spans="1:10" x14ac:dyDescent="0.3">
      <c r="A2148" s="32" t="s">
        <v>15</v>
      </c>
      <c r="B2148" s="32">
        <f>+B2147+1</f>
        <v>2041</v>
      </c>
      <c r="C2148" s="33" t="s">
        <v>49</v>
      </c>
      <c r="D2148" s="34" t="s">
        <v>2002</v>
      </c>
      <c r="E2148" s="35" t="str">
        <f t="shared" si="503"/>
        <v>PNP'!</v>
      </c>
      <c r="F2148" s="34" t="str">
        <f t="shared" si="504"/>
        <v>C:\Users\jaime.benazar\Quorum Business Solutions\Ecopetrol Prometeo - Documents\Planning Space Implementation\3. Analysis &amp; Design\Design\FC22\DRR Jaime\Neiva CPI\[DINA TERCIARIOS_CF_SEC_New_27-Mar-2024.xlsx]D-PNP'!</v>
      </c>
      <c r="G2148" s="32" t="s">
        <v>121</v>
      </c>
      <c r="H2148" s="33">
        <f t="shared" si="515"/>
        <v>30</v>
      </c>
      <c r="I2148" s="33" t="str">
        <f t="shared" si="506"/>
        <v>='C:\Users\jaime.benazar\Quorum Business Solutions\Ecopetrol Prometeo - Documents\Planning Space Implementation\3. Analysis &amp; Design\Design\FC22\DRR Jaime\Neiva CPI\[DINA TERCIARIOS_CF_SEC_New_27-Mar-2024.xlsx]D-PNP'!$DC$30</v>
      </c>
      <c r="J2148" s="37" t="s">
        <v>2983</v>
      </c>
    </row>
    <row r="2149" spans="1:10" x14ac:dyDescent="0.3">
      <c r="A2149" s="32" t="s">
        <v>15</v>
      </c>
      <c r="B2149" s="32">
        <f t="shared" ref="B2149:B2150" si="518">+B2148+1</f>
        <v>2042</v>
      </c>
      <c r="C2149" s="33" t="s">
        <v>49</v>
      </c>
      <c r="D2149" s="34" t="s">
        <v>2002</v>
      </c>
      <c r="E2149" s="35" t="str">
        <f t="shared" si="503"/>
        <v>PNP'!</v>
      </c>
      <c r="F2149" s="34" t="str">
        <f t="shared" si="504"/>
        <v>C:\Users\jaime.benazar\Quorum Business Solutions\Ecopetrol Prometeo - Documents\Planning Space Implementation\3. Analysis &amp; Design\Design\FC22\DRR Jaime\Neiva CPI\[DINA TERCIARIOS_CF_SEC_New_27-Mar-2024.xlsx]D-PNP'!</v>
      </c>
      <c r="G2149" s="32" t="s">
        <v>121</v>
      </c>
      <c r="H2149" s="33">
        <f t="shared" si="515"/>
        <v>31</v>
      </c>
      <c r="I2149" s="33" t="str">
        <f t="shared" si="506"/>
        <v>='C:\Users\jaime.benazar\Quorum Business Solutions\Ecopetrol Prometeo - Documents\Planning Space Implementation\3. Analysis &amp; Design\Design\FC22\DRR Jaime\Neiva CPI\[DINA TERCIARIOS_CF_SEC_New_27-Mar-2024.xlsx]D-PNP'!$DC$31</v>
      </c>
      <c r="J2149" s="37" t="s">
        <v>2984</v>
      </c>
    </row>
    <row r="2150" spans="1:10" x14ac:dyDescent="0.3">
      <c r="A2150" s="32" t="s">
        <v>15</v>
      </c>
      <c r="B2150" s="32">
        <f t="shared" si="518"/>
        <v>2043</v>
      </c>
      <c r="C2150" s="33" t="s">
        <v>49</v>
      </c>
      <c r="D2150" s="34" t="s">
        <v>2002</v>
      </c>
      <c r="E2150" s="35" t="str">
        <f t="shared" si="503"/>
        <v>PNP'!</v>
      </c>
      <c r="F2150" s="34" t="str">
        <f t="shared" si="504"/>
        <v>C:\Users\jaime.benazar\Quorum Business Solutions\Ecopetrol Prometeo - Documents\Planning Space Implementation\3. Analysis &amp; Design\Design\FC22\DRR Jaime\Neiva CPI\[DINA TERCIARIOS_CF_SEC_New_27-Mar-2024.xlsx]D-PNP'!</v>
      </c>
      <c r="G2150" s="32" t="s">
        <v>121</v>
      </c>
      <c r="H2150" s="33">
        <f t="shared" si="515"/>
        <v>32</v>
      </c>
      <c r="I2150" s="33" t="str">
        <f t="shared" si="506"/>
        <v>='C:\Users\jaime.benazar\Quorum Business Solutions\Ecopetrol Prometeo - Documents\Planning Space Implementation\3. Analysis &amp; Design\Design\FC22\DRR Jaime\Neiva CPI\[DINA TERCIARIOS_CF_SEC_New_27-Mar-2024.xlsx]D-PNP'!$DC$32</v>
      </c>
      <c r="J2150" s="37" t="s">
        <v>2985</v>
      </c>
    </row>
    <row r="2151" spans="1:10" x14ac:dyDescent="0.3">
      <c r="A2151" s="32" t="s">
        <v>15</v>
      </c>
      <c r="B2151" s="32">
        <f>+B2150+1</f>
        <v>2044</v>
      </c>
      <c r="C2151" s="33" t="s">
        <v>49</v>
      </c>
      <c r="D2151" s="34" t="s">
        <v>2002</v>
      </c>
      <c r="E2151" s="35" t="str">
        <f t="shared" ref="E2151:E2166" si="519">_xlfn.CONCAT(A2151,"'!")</f>
        <v>PNP'!</v>
      </c>
      <c r="F2151" s="34" t="str">
        <f t="shared" ref="F2151:F2166" si="520">_xlfn.CONCAT(D2151:E2151)</f>
        <v>C:\Users\jaime.benazar\Quorum Business Solutions\Ecopetrol Prometeo - Documents\Planning Space Implementation\3. Analysis &amp; Design\Design\FC22\DRR Jaime\Neiva CPI\[DINA TERCIARIOS_CF_SEC_New_27-Mar-2024.xlsx]D-PNP'!</v>
      </c>
      <c r="G2151" s="32" t="s">
        <v>121</v>
      </c>
      <c r="H2151" s="33">
        <f t="shared" ref="H2151:H2166" si="521">IF(A2151&lt;&gt;A2150,12,H2150+1)</f>
        <v>33</v>
      </c>
      <c r="I2151" s="33" t="str">
        <f t="shared" ref="I2151:I2166" si="522">_xlfn.CONCAT("='",F2151:H2151)</f>
        <v>='C:\Users\jaime.benazar\Quorum Business Solutions\Ecopetrol Prometeo - Documents\Planning Space Implementation\3. Analysis &amp; Design\Design\FC22\DRR Jaime\Neiva CPI\[DINA TERCIARIOS_CF_SEC_New_27-Mar-2024.xlsx]D-PNP'!$DC$33</v>
      </c>
      <c r="J2151" s="37" t="s">
        <v>2986</v>
      </c>
    </row>
    <row r="2152" spans="1:10" x14ac:dyDescent="0.3">
      <c r="A2152" s="32" t="s">
        <v>15</v>
      </c>
      <c r="B2152" s="32">
        <f t="shared" ref="B2152:B2166" si="523">+B2151+1</f>
        <v>2045</v>
      </c>
      <c r="C2152" s="33" t="s">
        <v>49</v>
      </c>
      <c r="D2152" s="34" t="s">
        <v>2002</v>
      </c>
      <c r="E2152" s="35" t="str">
        <f t="shared" si="519"/>
        <v>PNP'!</v>
      </c>
      <c r="F2152" s="34" t="str">
        <f t="shared" si="520"/>
        <v>C:\Users\jaime.benazar\Quorum Business Solutions\Ecopetrol Prometeo - Documents\Planning Space Implementation\3. Analysis &amp; Design\Design\FC22\DRR Jaime\Neiva CPI\[DINA TERCIARIOS_CF_SEC_New_27-Mar-2024.xlsx]D-PNP'!</v>
      </c>
      <c r="G2152" s="32" t="s">
        <v>121</v>
      </c>
      <c r="H2152" s="33">
        <f t="shared" si="521"/>
        <v>34</v>
      </c>
      <c r="I2152" s="33" t="str">
        <f t="shared" si="522"/>
        <v>='C:\Users\jaime.benazar\Quorum Business Solutions\Ecopetrol Prometeo - Documents\Planning Space Implementation\3. Analysis &amp; Design\Design\FC22\DRR Jaime\Neiva CPI\[DINA TERCIARIOS_CF_SEC_New_27-Mar-2024.xlsx]D-PNP'!$DC$34</v>
      </c>
      <c r="J2152" s="37" t="s">
        <v>2987</v>
      </c>
    </row>
    <row r="2153" spans="1:10" x14ac:dyDescent="0.3">
      <c r="A2153" s="32" t="s">
        <v>15</v>
      </c>
      <c r="B2153" s="32">
        <f t="shared" si="523"/>
        <v>2046</v>
      </c>
      <c r="C2153" s="33" t="s">
        <v>49</v>
      </c>
      <c r="D2153" s="34" t="s">
        <v>2002</v>
      </c>
      <c r="E2153" s="35" t="str">
        <f t="shared" si="519"/>
        <v>PNP'!</v>
      </c>
      <c r="F2153" s="34" t="str">
        <f t="shared" si="520"/>
        <v>C:\Users\jaime.benazar\Quorum Business Solutions\Ecopetrol Prometeo - Documents\Planning Space Implementation\3. Analysis &amp; Design\Design\FC22\DRR Jaime\Neiva CPI\[DINA TERCIARIOS_CF_SEC_New_27-Mar-2024.xlsx]D-PNP'!</v>
      </c>
      <c r="G2153" s="32" t="s">
        <v>121</v>
      </c>
      <c r="H2153" s="33">
        <f t="shared" si="521"/>
        <v>35</v>
      </c>
      <c r="I2153" s="33" t="str">
        <f t="shared" si="522"/>
        <v>='C:\Users\jaime.benazar\Quorum Business Solutions\Ecopetrol Prometeo - Documents\Planning Space Implementation\3. Analysis &amp; Design\Design\FC22\DRR Jaime\Neiva CPI\[DINA TERCIARIOS_CF_SEC_New_27-Mar-2024.xlsx]D-PNP'!$DC$35</v>
      </c>
      <c r="J2153" s="37" t="s">
        <v>2988</v>
      </c>
    </row>
    <row r="2154" spans="1:10" x14ac:dyDescent="0.3">
      <c r="A2154" s="32" t="s">
        <v>15</v>
      </c>
      <c r="B2154" s="32">
        <f t="shared" si="523"/>
        <v>2047</v>
      </c>
      <c r="C2154" s="33" t="s">
        <v>49</v>
      </c>
      <c r="D2154" s="34" t="s">
        <v>2002</v>
      </c>
      <c r="E2154" s="35" t="str">
        <f t="shared" si="519"/>
        <v>PNP'!</v>
      </c>
      <c r="F2154" s="34" t="str">
        <f t="shared" si="520"/>
        <v>C:\Users\jaime.benazar\Quorum Business Solutions\Ecopetrol Prometeo - Documents\Planning Space Implementation\3. Analysis &amp; Design\Design\FC22\DRR Jaime\Neiva CPI\[DINA TERCIARIOS_CF_SEC_New_27-Mar-2024.xlsx]D-PNP'!</v>
      </c>
      <c r="G2154" s="32" t="s">
        <v>121</v>
      </c>
      <c r="H2154" s="33">
        <f t="shared" si="521"/>
        <v>36</v>
      </c>
      <c r="I2154" s="33" t="str">
        <f t="shared" si="522"/>
        <v>='C:\Users\jaime.benazar\Quorum Business Solutions\Ecopetrol Prometeo - Documents\Planning Space Implementation\3. Analysis &amp; Design\Design\FC22\DRR Jaime\Neiva CPI\[DINA TERCIARIOS_CF_SEC_New_27-Mar-2024.xlsx]D-PNP'!$DC$36</v>
      </c>
      <c r="J2154" s="37" t="s">
        <v>2989</v>
      </c>
    </row>
    <row r="2155" spans="1:10" x14ac:dyDescent="0.3">
      <c r="A2155" s="32" t="s">
        <v>15</v>
      </c>
      <c r="B2155" s="32">
        <f t="shared" si="523"/>
        <v>2048</v>
      </c>
      <c r="C2155" s="33" t="s">
        <v>49</v>
      </c>
      <c r="D2155" s="34" t="s">
        <v>2002</v>
      </c>
      <c r="E2155" s="35" t="str">
        <f t="shared" si="519"/>
        <v>PNP'!</v>
      </c>
      <c r="F2155" s="34" t="str">
        <f t="shared" si="520"/>
        <v>C:\Users\jaime.benazar\Quorum Business Solutions\Ecopetrol Prometeo - Documents\Planning Space Implementation\3. Analysis &amp; Design\Design\FC22\DRR Jaime\Neiva CPI\[DINA TERCIARIOS_CF_SEC_New_27-Mar-2024.xlsx]D-PNP'!</v>
      </c>
      <c r="G2155" s="32" t="s">
        <v>121</v>
      </c>
      <c r="H2155" s="33">
        <f t="shared" si="521"/>
        <v>37</v>
      </c>
      <c r="I2155" s="33" t="str">
        <f t="shared" si="522"/>
        <v>='C:\Users\jaime.benazar\Quorum Business Solutions\Ecopetrol Prometeo - Documents\Planning Space Implementation\3. Analysis &amp; Design\Design\FC22\DRR Jaime\Neiva CPI\[DINA TERCIARIOS_CF_SEC_New_27-Mar-2024.xlsx]D-PNP'!$DC$37</v>
      </c>
      <c r="J2155" s="37" t="s">
        <v>2990</v>
      </c>
    </row>
    <row r="2156" spans="1:10" x14ac:dyDescent="0.3">
      <c r="A2156" s="32" t="s">
        <v>15</v>
      </c>
      <c r="B2156" s="32">
        <f t="shared" si="523"/>
        <v>2049</v>
      </c>
      <c r="C2156" s="33" t="s">
        <v>49</v>
      </c>
      <c r="D2156" s="34" t="s">
        <v>2002</v>
      </c>
      <c r="E2156" s="35" t="str">
        <f t="shared" si="519"/>
        <v>PNP'!</v>
      </c>
      <c r="F2156" s="34" t="str">
        <f t="shared" si="520"/>
        <v>C:\Users\jaime.benazar\Quorum Business Solutions\Ecopetrol Prometeo - Documents\Planning Space Implementation\3. Analysis &amp; Design\Design\FC22\DRR Jaime\Neiva CPI\[DINA TERCIARIOS_CF_SEC_New_27-Mar-2024.xlsx]D-PNP'!</v>
      </c>
      <c r="G2156" s="32" t="s">
        <v>121</v>
      </c>
      <c r="H2156" s="33">
        <f t="shared" si="521"/>
        <v>38</v>
      </c>
      <c r="I2156" s="33" t="str">
        <f t="shared" si="522"/>
        <v>='C:\Users\jaime.benazar\Quorum Business Solutions\Ecopetrol Prometeo - Documents\Planning Space Implementation\3. Analysis &amp; Design\Design\FC22\DRR Jaime\Neiva CPI\[DINA TERCIARIOS_CF_SEC_New_27-Mar-2024.xlsx]D-PNP'!$DC$38</v>
      </c>
      <c r="J2156" s="37" t="s">
        <v>2991</v>
      </c>
    </row>
    <row r="2157" spans="1:10" x14ac:dyDescent="0.3">
      <c r="A2157" s="32" t="s">
        <v>15</v>
      </c>
      <c r="B2157" s="32">
        <f t="shared" si="523"/>
        <v>2050</v>
      </c>
      <c r="C2157" s="33" t="s">
        <v>49</v>
      </c>
      <c r="D2157" s="34" t="s">
        <v>2002</v>
      </c>
      <c r="E2157" s="35" t="str">
        <f t="shared" si="519"/>
        <v>PNP'!</v>
      </c>
      <c r="F2157" s="34" t="str">
        <f t="shared" si="520"/>
        <v>C:\Users\jaime.benazar\Quorum Business Solutions\Ecopetrol Prometeo - Documents\Planning Space Implementation\3. Analysis &amp; Design\Design\FC22\DRR Jaime\Neiva CPI\[DINA TERCIARIOS_CF_SEC_New_27-Mar-2024.xlsx]D-PNP'!</v>
      </c>
      <c r="G2157" s="32" t="s">
        <v>121</v>
      </c>
      <c r="H2157" s="33">
        <f t="shared" si="521"/>
        <v>39</v>
      </c>
      <c r="I2157" s="33" t="str">
        <f t="shared" si="522"/>
        <v>='C:\Users\jaime.benazar\Quorum Business Solutions\Ecopetrol Prometeo - Documents\Planning Space Implementation\3. Analysis &amp; Design\Design\FC22\DRR Jaime\Neiva CPI\[DINA TERCIARIOS_CF_SEC_New_27-Mar-2024.xlsx]D-PNP'!$DC$39</v>
      </c>
      <c r="J2157" s="37" t="s">
        <v>2992</v>
      </c>
    </row>
    <row r="2158" spans="1:10" x14ac:dyDescent="0.3">
      <c r="A2158" s="32" t="s">
        <v>15</v>
      </c>
      <c r="B2158" s="32">
        <f t="shared" si="523"/>
        <v>2051</v>
      </c>
      <c r="C2158" s="33" t="s">
        <v>49</v>
      </c>
      <c r="D2158" s="34" t="s">
        <v>2002</v>
      </c>
      <c r="E2158" s="35" t="str">
        <f t="shared" si="519"/>
        <v>PNP'!</v>
      </c>
      <c r="F2158" s="34" t="str">
        <f t="shared" si="520"/>
        <v>C:\Users\jaime.benazar\Quorum Business Solutions\Ecopetrol Prometeo - Documents\Planning Space Implementation\3. Analysis &amp; Design\Design\FC22\DRR Jaime\Neiva CPI\[DINA TERCIARIOS_CF_SEC_New_27-Mar-2024.xlsx]D-PNP'!</v>
      </c>
      <c r="G2158" s="32" t="s">
        <v>121</v>
      </c>
      <c r="H2158" s="33">
        <f t="shared" si="521"/>
        <v>40</v>
      </c>
      <c r="I2158" s="33" t="str">
        <f t="shared" si="522"/>
        <v>='C:\Users\jaime.benazar\Quorum Business Solutions\Ecopetrol Prometeo - Documents\Planning Space Implementation\3. Analysis &amp; Design\Design\FC22\DRR Jaime\Neiva CPI\[DINA TERCIARIOS_CF_SEC_New_27-Mar-2024.xlsx]D-PNP'!$DC$40</v>
      </c>
      <c r="J2158" s="37" t="s">
        <v>2993</v>
      </c>
    </row>
    <row r="2159" spans="1:10" x14ac:dyDescent="0.3">
      <c r="A2159" s="32" t="s">
        <v>15</v>
      </c>
      <c r="B2159" s="32">
        <f t="shared" si="523"/>
        <v>2052</v>
      </c>
      <c r="C2159" s="33" t="s">
        <v>49</v>
      </c>
      <c r="D2159" s="34" t="s">
        <v>2002</v>
      </c>
      <c r="E2159" s="35" t="str">
        <f t="shared" si="519"/>
        <v>PNP'!</v>
      </c>
      <c r="F2159" s="34" t="str">
        <f t="shared" si="520"/>
        <v>C:\Users\jaime.benazar\Quorum Business Solutions\Ecopetrol Prometeo - Documents\Planning Space Implementation\3. Analysis &amp; Design\Design\FC22\DRR Jaime\Neiva CPI\[DINA TERCIARIOS_CF_SEC_New_27-Mar-2024.xlsx]D-PNP'!</v>
      </c>
      <c r="G2159" s="32" t="s">
        <v>121</v>
      </c>
      <c r="H2159" s="33">
        <f t="shared" si="521"/>
        <v>41</v>
      </c>
      <c r="I2159" s="33" t="str">
        <f t="shared" si="522"/>
        <v>='C:\Users\jaime.benazar\Quorum Business Solutions\Ecopetrol Prometeo - Documents\Planning Space Implementation\3. Analysis &amp; Design\Design\FC22\DRR Jaime\Neiva CPI\[DINA TERCIARIOS_CF_SEC_New_27-Mar-2024.xlsx]D-PNP'!$DC$41</v>
      </c>
      <c r="J2159" s="37" t="s">
        <v>2994</v>
      </c>
    </row>
    <row r="2160" spans="1:10" x14ac:dyDescent="0.3">
      <c r="A2160" s="32" t="s">
        <v>15</v>
      </c>
      <c r="B2160" s="32">
        <f t="shared" si="523"/>
        <v>2053</v>
      </c>
      <c r="C2160" s="33" t="s">
        <v>49</v>
      </c>
      <c r="D2160" s="34" t="s">
        <v>2002</v>
      </c>
      <c r="E2160" s="35" t="str">
        <f t="shared" si="519"/>
        <v>PNP'!</v>
      </c>
      <c r="F2160" s="34" t="str">
        <f t="shared" si="520"/>
        <v>C:\Users\jaime.benazar\Quorum Business Solutions\Ecopetrol Prometeo - Documents\Planning Space Implementation\3. Analysis &amp; Design\Design\FC22\DRR Jaime\Neiva CPI\[DINA TERCIARIOS_CF_SEC_New_27-Mar-2024.xlsx]D-PNP'!</v>
      </c>
      <c r="G2160" s="32" t="s">
        <v>121</v>
      </c>
      <c r="H2160" s="33">
        <f t="shared" si="521"/>
        <v>42</v>
      </c>
      <c r="I2160" s="33" t="str">
        <f t="shared" si="522"/>
        <v>='C:\Users\jaime.benazar\Quorum Business Solutions\Ecopetrol Prometeo - Documents\Planning Space Implementation\3. Analysis &amp; Design\Design\FC22\DRR Jaime\Neiva CPI\[DINA TERCIARIOS_CF_SEC_New_27-Mar-2024.xlsx]D-PNP'!$DC$42</v>
      </c>
      <c r="J2160" s="37" t="s">
        <v>2995</v>
      </c>
    </row>
    <row r="2161" spans="1:10" x14ac:dyDescent="0.3">
      <c r="A2161" s="32" t="s">
        <v>15</v>
      </c>
      <c r="B2161" s="32">
        <f t="shared" si="523"/>
        <v>2054</v>
      </c>
      <c r="C2161" s="33" t="s">
        <v>49</v>
      </c>
      <c r="D2161" s="34" t="s">
        <v>2002</v>
      </c>
      <c r="E2161" s="35" t="str">
        <f t="shared" si="519"/>
        <v>PNP'!</v>
      </c>
      <c r="F2161" s="34" t="str">
        <f t="shared" si="520"/>
        <v>C:\Users\jaime.benazar\Quorum Business Solutions\Ecopetrol Prometeo - Documents\Planning Space Implementation\3. Analysis &amp; Design\Design\FC22\DRR Jaime\Neiva CPI\[DINA TERCIARIOS_CF_SEC_New_27-Mar-2024.xlsx]D-PNP'!</v>
      </c>
      <c r="G2161" s="32" t="s">
        <v>121</v>
      </c>
      <c r="H2161" s="33">
        <f t="shared" si="521"/>
        <v>43</v>
      </c>
      <c r="I2161" s="33" t="str">
        <f t="shared" si="522"/>
        <v>='C:\Users\jaime.benazar\Quorum Business Solutions\Ecopetrol Prometeo - Documents\Planning Space Implementation\3. Analysis &amp; Design\Design\FC22\DRR Jaime\Neiva CPI\[DINA TERCIARIOS_CF_SEC_New_27-Mar-2024.xlsx]D-PNP'!$DC$43</v>
      </c>
      <c r="J2161" s="37" t="s">
        <v>2996</v>
      </c>
    </row>
    <row r="2162" spans="1:10" x14ac:dyDescent="0.3">
      <c r="A2162" s="32" t="s">
        <v>15</v>
      </c>
      <c r="B2162" s="32">
        <f t="shared" si="523"/>
        <v>2055</v>
      </c>
      <c r="C2162" s="33" t="s">
        <v>49</v>
      </c>
      <c r="D2162" s="34" t="s">
        <v>2002</v>
      </c>
      <c r="E2162" s="35" t="str">
        <f t="shared" si="519"/>
        <v>PNP'!</v>
      </c>
      <c r="F2162" s="34" t="str">
        <f t="shared" si="520"/>
        <v>C:\Users\jaime.benazar\Quorum Business Solutions\Ecopetrol Prometeo - Documents\Planning Space Implementation\3. Analysis &amp; Design\Design\FC22\DRR Jaime\Neiva CPI\[DINA TERCIARIOS_CF_SEC_New_27-Mar-2024.xlsx]D-PNP'!</v>
      </c>
      <c r="G2162" s="32" t="s">
        <v>121</v>
      </c>
      <c r="H2162" s="33">
        <f t="shared" si="521"/>
        <v>44</v>
      </c>
      <c r="I2162" s="33" t="str">
        <f t="shared" si="522"/>
        <v>='C:\Users\jaime.benazar\Quorum Business Solutions\Ecopetrol Prometeo - Documents\Planning Space Implementation\3. Analysis &amp; Design\Design\FC22\DRR Jaime\Neiva CPI\[DINA TERCIARIOS_CF_SEC_New_27-Mar-2024.xlsx]D-PNP'!$DC$44</v>
      </c>
      <c r="J2162" s="37" t="s">
        <v>2997</v>
      </c>
    </row>
    <row r="2163" spans="1:10" x14ac:dyDescent="0.3">
      <c r="A2163" s="32" t="s">
        <v>15</v>
      </c>
      <c r="B2163" s="32">
        <f t="shared" si="523"/>
        <v>2056</v>
      </c>
      <c r="C2163" s="33" t="s">
        <v>49</v>
      </c>
      <c r="D2163" s="34" t="s">
        <v>2002</v>
      </c>
      <c r="E2163" s="35" t="str">
        <f t="shared" si="519"/>
        <v>PNP'!</v>
      </c>
      <c r="F2163" s="34" t="str">
        <f t="shared" si="520"/>
        <v>C:\Users\jaime.benazar\Quorum Business Solutions\Ecopetrol Prometeo - Documents\Planning Space Implementation\3. Analysis &amp; Design\Design\FC22\DRR Jaime\Neiva CPI\[DINA TERCIARIOS_CF_SEC_New_27-Mar-2024.xlsx]D-PNP'!</v>
      </c>
      <c r="G2163" s="32" t="s">
        <v>121</v>
      </c>
      <c r="H2163" s="33">
        <f t="shared" si="521"/>
        <v>45</v>
      </c>
      <c r="I2163" s="33" t="str">
        <f t="shared" si="522"/>
        <v>='C:\Users\jaime.benazar\Quorum Business Solutions\Ecopetrol Prometeo - Documents\Planning Space Implementation\3. Analysis &amp; Design\Design\FC22\DRR Jaime\Neiva CPI\[DINA TERCIARIOS_CF_SEC_New_27-Mar-2024.xlsx]D-PNP'!$DC$45</v>
      </c>
      <c r="J2163" s="37" t="s">
        <v>2998</v>
      </c>
    </row>
    <row r="2164" spans="1:10" x14ac:dyDescent="0.3">
      <c r="A2164" s="32" t="s">
        <v>15</v>
      </c>
      <c r="B2164" s="32">
        <f t="shared" si="523"/>
        <v>2057</v>
      </c>
      <c r="C2164" s="33" t="s">
        <v>49</v>
      </c>
      <c r="D2164" s="34" t="s">
        <v>2002</v>
      </c>
      <c r="E2164" s="35" t="str">
        <f t="shared" si="519"/>
        <v>PNP'!</v>
      </c>
      <c r="F2164" s="34" t="str">
        <f t="shared" si="520"/>
        <v>C:\Users\jaime.benazar\Quorum Business Solutions\Ecopetrol Prometeo - Documents\Planning Space Implementation\3. Analysis &amp; Design\Design\FC22\DRR Jaime\Neiva CPI\[DINA TERCIARIOS_CF_SEC_New_27-Mar-2024.xlsx]D-PNP'!</v>
      </c>
      <c r="G2164" s="32" t="s">
        <v>121</v>
      </c>
      <c r="H2164" s="33">
        <f t="shared" si="521"/>
        <v>46</v>
      </c>
      <c r="I2164" s="33" t="str">
        <f t="shared" si="522"/>
        <v>='C:\Users\jaime.benazar\Quorum Business Solutions\Ecopetrol Prometeo - Documents\Planning Space Implementation\3. Analysis &amp; Design\Design\FC22\DRR Jaime\Neiva CPI\[DINA TERCIARIOS_CF_SEC_New_27-Mar-2024.xlsx]D-PNP'!$DC$46</v>
      </c>
      <c r="J2164" s="37" t="s">
        <v>2999</v>
      </c>
    </row>
    <row r="2165" spans="1:10" x14ac:dyDescent="0.3">
      <c r="A2165" s="32" t="s">
        <v>15</v>
      </c>
      <c r="B2165" s="32">
        <f t="shared" si="523"/>
        <v>2058</v>
      </c>
      <c r="C2165" s="33" t="s">
        <v>49</v>
      </c>
      <c r="D2165" s="34" t="s">
        <v>2002</v>
      </c>
      <c r="E2165" s="35" t="str">
        <f t="shared" si="519"/>
        <v>PNP'!</v>
      </c>
      <c r="F2165" s="34" t="str">
        <f t="shared" si="520"/>
        <v>C:\Users\jaime.benazar\Quorum Business Solutions\Ecopetrol Prometeo - Documents\Planning Space Implementation\3. Analysis &amp; Design\Design\FC22\DRR Jaime\Neiva CPI\[DINA TERCIARIOS_CF_SEC_New_27-Mar-2024.xlsx]D-PNP'!</v>
      </c>
      <c r="G2165" s="32" t="s">
        <v>121</v>
      </c>
      <c r="H2165" s="33">
        <f t="shared" si="521"/>
        <v>47</v>
      </c>
      <c r="I2165" s="33" t="str">
        <f t="shared" si="522"/>
        <v>='C:\Users\jaime.benazar\Quorum Business Solutions\Ecopetrol Prometeo - Documents\Planning Space Implementation\3. Analysis &amp; Design\Design\FC22\DRR Jaime\Neiva CPI\[DINA TERCIARIOS_CF_SEC_New_27-Mar-2024.xlsx]D-PNP'!$DC$47</v>
      </c>
      <c r="J2165" s="37" t="s">
        <v>3000</v>
      </c>
    </row>
    <row r="2166" spans="1:10" x14ac:dyDescent="0.3">
      <c r="A2166" s="32" t="s">
        <v>15</v>
      </c>
      <c r="B2166" s="32">
        <f t="shared" si="523"/>
        <v>2059</v>
      </c>
      <c r="C2166" s="33" t="s">
        <v>49</v>
      </c>
      <c r="D2166" s="34" t="s">
        <v>2002</v>
      </c>
      <c r="E2166" s="35" t="str">
        <f t="shared" si="519"/>
        <v>PNP'!</v>
      </c>
      <c r="F2166" s="34" t="str">
        <f t="shared" si="520"/>
        <v>C:\Users\jaime.benazar\Quorum Business Solutions\Ecopetrol Prometeo - Documents\Planning Space Implementation\3. Analysis &amp; Design\Design\FC22\DRR Jaime\Neiva CPI\[DINA TERCIARIOS_CF_SEC_New_27-Mar-2024.xlsx]D-PNP'!</v>
      </c>
      <c r="G2166" s="32" t="s">
        <v>121</v>
      </c>
      <c r="H2166" s="33">
        <f t="shared" si="521"/>
        <v>48</v>
      </c>
      <c r="I2166" s="33" t="str">
        <f t="shared" si="522"/>
        <v>='C:\Users\jaime.benazar\Quorum Business Solutions\Ecopetrol Prometeo - Documents\Planning Space Implementation\3. Analysis &amp; Design\Design\FC22\DRR Jaime\Neiva CPI\[DINA TERCIARIOS_CF_SEC_New_27-Mar-2024.xlsx]D-PNP'!$DC$48</v>
      </c>
      <c r="J2166" s="37" t="s">
        <v>3001</v>
      </c>
    </row>
    <row r="2167" spans="1:10" x14ac:dyDescent="0.3">
      <c r="A2167" s="32" t="s">
        <v>26</v>
      </c>
      <c r="B2167" s="32"/>
      <c r="C2167" s="33" t="s">
        <v>49</v>
      </c>
      <c r="D2167" s="34"/>
      <c r="E2167" s="35"/>
      <c r="F2167" s="34"/>
      <c r="G2167" s="32"/>
      <c r="H2167" s="33"/>
      <c r="I2167" s="33"/>
      <c r="J2167" s="33"/>
    </row>
    <row r="2168" spans="1:10" x14ac:dyDescent="0.3">
      <c r="A2168" s="32" t="s">
        <v>16</v>
      </c>
      <c r="B2168" s="32">
        <v>2023</v>
      </c>
      <c r="C2168" s="33" t="s">
        <v>49</v>
      </c>
      <c r="D2168" s="34" t="s">
        <v>2002</v>
      </c>
      <c r="E2168" s="35" t="str">
        <f t="shared" si="503"/>
        <v>PND'!</v>
      </c>
      <c r="F2168" s="34" t="str">
        <f t="shared" si="504"/>
        <v>C:\Users\jaime.benazar\Quorum Business Solutions\Ecopetrol Prometeo - Documents\Planning Space Implementation\3. Analysis &amp; Design\Design\FC22\DRR Jaime\Neiva CPI\[DINA TERCIARIOS_CF_SEC_New_27-Mar-2024.xlsx]D-PND'!</v>
      </c>
      <c r="G2168" s="32" t="s">
        <v>121</v>
      </c>
      <c r="H2168" s="33">
        <v>12</v>
      </c>
      <c r="I2168" s="33" t="str">
        <f t="shared" si="506"/>
        <v>='C:\Users\jaime.benazar\Quorum Business Solutions\Ecopetrol Prometeo - Documents\Planning Space Implementation\3. Analysis &amp; Design\Design\FC22\DRR Jaime\Neiva CPI\[DINA TERCIARIOS_CF_SEC_New_27-Mar-2024.xlsx]D-PND'!$DC$12</v>
      </c>
      <c r="J2168" s="37" t="s">
        <v>3002</v>
      </c>
    </row>
    <row r="2169" spans="1:10" x14ac:dyDescent="0.3">
      <c r="A2169" s="32" t="s">
        <v>16</v>
      </c>
      <c r="B2169" s="32">
        <f>+B2168+1</f>
        <v>2024</v>
      </c>
      <c r="C2169" s="33" t="s">
        <v>49</v>
      </c>
      <c r="D2169" s="34" t="s">
        <v>2002</v>
      </c>
      <c r="E2169" s="35" t="str">
        <f t="shared" si="503"/>
        <v>PND'!</v>
      </c>
      <c r="F2169" s="34" t="str">
        <f t="shared" si="504"/>
        <v>C:\Users\jaime.benazar\Quorum Business Solutions\Ecopetrol Prometeo - Documents\Planning Space Implementation\3. Analysis &amp; Design\Design\FC22\DRR Jaime\Neiva CPI\[DINA TERCIARIOS_CF_SEC_New_27-Mar-2024.xlsx]D-PND'!</v>
      </c>
      <c r="G2169" s="32" t="s">
        <v>121</v>
      </c>
      <c r="H2169" s="33">
        <f t="shared" ref="H2169:H2188" si="524">IF(A2169&lt;&gt;A2168,12,H2168+1)</f>
        <v>13</v>
      </c>
      <c r="I2169" s="33" t="str">
        <f t="shared" si="506"/>
        <v>='C:\Users\jaime.benazar\Quorum Business Solutions\Ecopetrol Prometeo - Documents\Planning Space Implementation\3. Analysis &amp; Design\Design\FC22\DRR Jaime\Neiva CPI\[DINA TERCIARIOS_CF_SEC_New_27-Mar-2024.xlsx]D-PND'!$DC$13</v>
      </c>
      <c r="J2169" s="37" t="s">
        <v>3003</v>
      </c>
    </row>
    <row r="2170" spans="1:10" x14ac:dyDescent="0.3">
      <c r="A2170" s="32" t="s">
        <v>16</v>
      </c>
      <c r="B2170" s="32">
        <f t="shared" ref="B2170:B2181" si="525">+B2169+1</f>
        <v>2025</v>
      </c>
      <c r="C2170" s="33" t="s">
        <v>49</v>
      </c>
      <c r="D2170" s="34" t="s">
        <v>2002</v>
      </c>
      <c r="E2170" s="35" t="str">
        <f t="shared" si="503"/>
        <v>PND'!</v>
      </c>
      <c r="F2170" s="34" t="str">
        <f t="shared" si="504"/>
        <v>C:\Users\jaime.benazar\Quorum Business Solutions\Ecopetrol Prometeo - Documents\Planning Space Implementation\3. Analysis &amp; Design\Design\FC22\DRR Jaime\Neiva CPI\[DINA TERCIARIOS_CF_SEC_New_27-Mar-2024.xlsx]D-PND'!</v>
      </c>
      <c r="G2170" s="32" t="s">
        <v>121</v>
      </c>
      <c r="H2170" s="33">
        <f t="shared" si="524"/>
        <v>14</v>
      </c>
      <c r="I2170" s="33" t="str">
        <f t="shared" si="506"/>
        <v>='C:\Users\jaime.benazar\Quorum Business Solutions\Ecopetrol Prometeo - Documents\Planning Space Implementation\3. Analysis &amp; Design\Design\FC22\DRR Jaime\Neiva CPI\[DINA TERCIARIOS_CF_SEC_New_27-Mar-2024.xlsx]D-PND'!$DC$14</v>
      </c>
      <c r="J2170" s="37" t="s">
        <v>3004</v>
      </c>
    </row>
    <row r="2171" spans="1:10" x14ac:dyDescent="0.3">
      <c r="A2171" s="32" t="s">
        <v>16</v>
      </c>
      <c r="B2171" s="32">
        <f t="shared" si="525"/>
        <v>2026</v>
      </c>
      <c r="C2171" s="33" t="s">
        <v>49</v>
      </c>
      <c r="D2171" s="34" t="s">
        <v>2002</v>
      </c>
      <c r="E2171" s="35" t="str">
        <f t="shared" si="503"/>
        <v>PND'!</v>
      </c>
      <c r="F2171" s="34" t="str">
        <f t="shared" si="504"/>
        <v>C:\Users\jaime.benazar\Quorum Business Solutions\Ecopetrol Prometeo - Documents\Planning Space Implementation\3. Analysis &amp; Design\Design\FC22\DRR Jaime\Neiva CPI\[DINA TERCIARIOS_CF_SEC_New_27-Mar-2024.xlsx]D-PND'!</v>
      </c>
      <c r="G2171" s="32" t="s">
        <v>121</v>
      </c>
      <c r="H2171" s="33">
        <f t="shared" si="524"/>
        <v>15</v>
      </c>
      <c r="I2171" s="33" t="str">
        <f t="shared" si="506"/>
        <v>='C:\Users\jaime.benazar\Quorum Business Solutions\Ecopetrol Prometeo - Documents\Planning Space Implementation\3. Analysis &amp; Design\Design\FC22\DRR Jaime\Neiva CPI\[DINA TERCIARIOS_CF_SEC_New_27-Mar-2024.xlsx]D-PND'!$DC$15</v>
      </c>
      <c r="J2171" s="37" t="s">
        <v>3005</v>
      </c>
    </row>
    <row r="2172" spans="1:10" x14ac:dyDescent="0.3">
      <c r="A2172" s="32" t="s">
        <v>16</v>
      </c>
      <c r="B2172" s="32">
        <f t="shared" si="525"/>
        <v>2027</v>
      </c>
      <c r="C2172" s="33" t="s">
        <v>49</v>
      </c>
      <c r="D2172" s="34" t="s">
        <v>2002</v>
      </c>
      <c r="E2172" s="35" t="str">
        <f t="shared" si="503"/>
        <v>PND'!</v>
      </c>
      <c r="F2172" s="34" t="str">
        <f t="shared" si="504"/>
        <v>C:\Users\jaime.benazar\Quorum Business Solutions\Ecopetrol Prometeo - Documents\Planning Space Implementation\3. Analysis &amp; Design\Design\FC22\DRR Jaime\Neiva CPI\[DINA TERCIARIOS_CF_SEC_New_27-Mar-2024.xlsx]D-PND'!</v>
      </c>
      <c r="G2172" s="32" t="s">
        <v>121</v>
      </c>
      <c r="H2172" s="33">
        <f t="shared" si="524"/>
        <v>16</v>
      </c>
      <c r="I2172" s="33" t="str">
        <f t="shared" si="506"/>
        <v>='C:\Users\jaime.benazar\Quorum Business Solutions\Ecopetrol Prometeo - Documents\Planning Space Implementation\3. Analysis &amp; Design\Design\FC22\DRR Jaime\Neiva CPI\[DINA TERCIARIOS_CF_SEC_New_27-Mar-2024.xlsx]D-PND'!$DC$16</v>
      </c>
      <c r="J2172" s="37" t="s">
        <v>3006</v>
      </c>
    </row>
    <row r="2173" spans="1:10" x14ac:dyDescent="0.3">
      <c r="A2173" s="32" t="s">
        <v>16</v>
      </c>
      <c r="B2173" s="32">
        <f t="shared" si="525"/>
        <v>2028</v>
      </c>
      <c r="C2173" s="33" t="s">
        <v>49</v>
      </c>
      <c r="D2173" s="34" t="s">
        <v>2002</v>
      </c>
      <c r="E2173" s="35" t="str">
        <f t="shared" si="503"/>
        <v>PND'!</v>
      </c>
      <c r="F2173" s="34" t="str">
        <f t="shared" si="504"/>
        <v>C:\Users\jaime.benazar\Quorum Business Solutions\Ecopetrol Prometeo - Documents\Planning Space Implementation\3. Analysis &amp; Design\Design\FC22\DRR Jaime\Neiva CPI\[DINA TERCIARIOS_CF_SEC_New_27-Mar-2024.xlsx]D-PND'!</v>
      </c>
      <c r="G2173" s="32" t="s">
        <v>121</v>
      </c>
      <c r="H2173" s="33">
        <f t="shared" si="524"/>
        <v>17</v>
      </c>
      <c r="I2173" s="33" t="str">
        <f t="shared" si="506"/>
        <v>='C:\Users\jaime.benazar\Quorum Business Solutions\Ecopetrol Prometeo - Documents\Planning Space Implementation\3. Analysis &amp; Design\Design\FC22\DRR Jaime\Neiva CPI\[DINA TERCIARIOS_CF_SEC_New_27-Mar-2024.xlsx]D-PND'!$DC$17</v>
      </c>
      <c r="J2173" s="37" t="s">
        <v>3007</v>
      </c>
    </row>
    <row r="2174" spans="1:10" x14ac:dyDescent="0.3">
      <c r="A2174" s="32" t="s">
        <v>16</v>
      </c>
      <c r="B2174" s="32">
        <f t="shared" si="525"/>
        <v>2029</v>
      </c>
      <c r="C2174" s="33" t="s">
        <v>49</v>
      </c>
      <c r="D2174" s="34" t="s">
        <v>2002</v>
      </c>
      <c r="E2174" s="35" t="str">
        <f t="shared" si="503"/>
        <v>PND'!</v>
      </c>
      <c r="F2174" s="34" t="str">
        <f t="shared" si="504"/>
        <v>C:\Users\jaime.benazar\Quorum Business Solutions\Ecopetrol Prometeo - Documents\Planning Space Implementation\3. Analysis &amp; Design\Design\FC22\DRR Jaime\Neiva CPI\[DINA TERCIARIOS_CF_SEC_New_27-Mar-2024.xlsx]D-PND'!</v>
      </c>
      <c r="G2174" s="32" t="s">
        <v>121</v>
      </c>
      <c r="H2174" s="33">
        <f t="shared" si="524"/>
        <v>18</v>
      </c>
      <c r="I2174" s="33" t="str">
        <f t="shared" si="506"/>
        <v>='C:\Users\jaime.benazar\Quorum Business Solutions\Ecopetrol Prometeo - Documents\Planning Space Implementation\3. Analysis &amp; Design\Design\FC22\DRR Jaime\Neiva CPI\[DINA TERCIARIOS_CF_SEC_New_27-Mar-2024.xlsx]D-PND'!$DC$18</v>
      </c>
      <c r="J2174" s="37" t="s">
        <v>3008</v>
      </c>
    </row>
    <row r="2175" spans="1:10" x14ac:dyDescent="0.3">
      <c r="A2175" s="32" t="s">
        <v>16</v>
      </c>
      <c r="B2175" s="32">
        <f t="shared" si="525"/>
        <v>2030</v>
      </c>
      <c r="C2175" s="33" t="s">
        <v>49</v>
      </c>
      <c r="D2175" s="34" t="s">
        <v>2002</v>
      </c>
      <c r="E2175" s="35" t="str">
        <f t="shared" si="503"/>
        <v>PND'!</v>
      </c>
      <c r="F2175" s="34" t="str">
        <f t="shared" si="504"/>
        <v>C:\Users\jaime.benazar\Quorum Business Solutions\Ecopetrol Prometeo - Documents\Planning Space Implementation\3. Analysis &amp; Design\Design\FC22\DRR Jaime\Neiva CPI\[DINA TERCIARIOS_CF_SEC_New_27-Mar-2024.xlsx]D-PND'!</v>
      </c>
      <c r="G2175" s="32" t="s">
        <v>121</v>
      </c>
      <c r="H2175" s="33">
        <f t="shared" si="524"/>
        <v>19</v>
      </c>
      <c r="I2175" s="33" t="str">
        <f t="shared" si="506"/>
        <v>='C:\Users\jaime.benazar\Quorum Business Solutions\Ecopetrol Prometeo - Documents\Planning Space Implementation\3. Analysis &amp; Design\Design\FC22\DRR Jaime\Neiva CPI\[DINA TERCIARIOS_CF_SEC_New_27-Mar-2024.xlsx]D-PND'!$DC$19</v>
      </c>
      <c r="J2175" s="37" t="s">
        <v>3009</v>
      </c>
    </row>
    <row r="2176" spans="1:10" x14ac:dyDescent="0.3">
      <c r="A2176" s="32" t="s">
        <v>16</v>
      </c>
      <c r="B2176" s="32">
        <f t="shared" si="525"/>
        <v>2031</v>
      </c>
      <c r="C2176" s="33" t="s">
        <v>49</v>
      </c>
      <c r="D2176" s="34" t="s">
        <v>2002</v>
      </c>
      <c r="E2176" s="35" t="str">
        <f t="shared" si="503"/>
        <v>PND'!</v>
      </c>
      <c r="F2176" s="34" t="str">
        <f t="shared" si="504"/>
        <v>C:\Users\jaime.benazar\Quorum Business Solutions\Ecopetrol Prometeo - Documents\Planning Space Implementation\3. Analysis &amp; Design\Design\FC22\DRR Jaime\Neiva CPI\[DINA TERCIARIOS_CF_SEC_New_27-Mar-2024.xlsx]D-PND'!</v>
      </c>
      <c r="G2176" s="32" t="s">
        <v>121</v>
      </c>
      <c r="H2176" s="33">
        <f t="shared" si="524"/>
        <v>20</v>
      </c>
      <c r="I2176" s="33" t="str">
        <f t="shared" si="506"/>
        <v>='C:\Users\jaime.benazar\Quorum Business Solutions\Ecopetrol Prometeo - Documents\Planning Space Implementation\3. Analysis &amp; Design\Design\FC22\DRR Jaime\Neiva CPI\[DINA TERCIARIOS_CF_SEC_New_27-Mar-2024.xlsx]D-PND'!$DC$20</v>
      </c>
      <c r="J2176" s="37" t="s">
        <v>3010</v>
      </c>
    </row>
    <row r="2177" spans="1:10" x14ac:dyDescent="0.3">
      <c r="A2177" s="32" t="s">
        <v>16</v>
      </c>
      <c r="B2177" s="32">
        <f t="shared" si="525"/>
        <v>2032</v>
      </c>
      <c r="C2177" s="33" t="s">
        <v>49</v>
      </c>
      <c r="D2177" s="34" t="s">
        <v>2002</v>
      </c>
      <c r="E2177" s="35" t="str">
        <f t="shared" si="503"/>
        <v>PND'!</v>
      </c>
      <c r="F2177" s="34" t="str">
        <f t="shared" si="504"/>
        <v>C:\Users\jaime.benazar\Quorum Business Solutions\Ecopetrol Prometeo - Documents\Planning Space Implementation\3. Analysis &amp; Design\Design\FC22\DRR Jaime\Neiva CPI\[DINA TERCIARIOS_CF_SEC_New_27-Mar-2024.xlsx]D-PND'!</v>
      </c>
      <c r="G2177" s="32" t="s">
        <v>121</v>
      </c>
      <c r="H2177" s="33">
        <f t="shared" si="524"/>
        <v>21</v>
      </c>
      <c r="I2177" s="33" t="str">
        <f t="shared" si="506"/>
        <v>='C:\Users\jaime.benazar\Quorum Business Solutions\Ecopetrol Prometeo - Documents\Planning Space Implementation\3. Analysis &amp; Design\Design\FC22\DRR Jaime\Neiva CPI\[DINA TERCIARIOS_CF_SEC_New_27-Mar-2024.xlsx]D-PND'!$DC$21</v>
      </c>
      <c r="J2177" s="37" t="s">
        <v>3011</v>
      </c>
    </row>
    <row r="2178" spans="1:10" x14ac:dyDescent="0.3">
      <c r="A2178" s="32" t="s">
        <v>16</v>
      </c>
      <c r="B2178" s="32">
        <f t="shared" si="525"/>
        <v>2033</v>
      </c>
      <c r="C2178" s="33" t="s">
        <v>49</v>
      </c>
      <c r="D2178" s="34" t="s">
        <v>2002</v>
      </c>
      <c r="E2178" s="35" t="str">
        <f t="shared" si="503"/>
        <v>PND'!</v>
      </c>
      <c r="F2178" s="34" t="str">
        <f t="shared" si="504"/>
        <v>C:\Users\jaime.benazar\Quorum Business Solutions\Ecopetrol Prometeo - Documents\Planning Space Implementation\3. Analysis &amp; Design\Design\FC22\DRR Jaime\Neiva CPI\[DINA TERCIARIOS_CF_SEC_New_27-Mar-2024.xlsx]D-PND'!</v>
      </c>
      <c r="G2178" s="32" t="s">
        <v>121</v>
      </c>
      <c r="H2178" s="33">
        <f t="shared" si="524"/>
        <v>22</v>
      </c>
      <c r="I2178" s="33" t="str">
        <f t="shared" si="506"/>
        <v>='C:\Users\jaime.benazar\Quorum Business Solutions\Ecopetrol Prometeo - Documents\Planning Space Implementation\3. Analysis &amp; Design\Design\FC22\DRR Jaime\Neiva CPI\[DINA TERCIARIOS_CF_SEC_New_27-Mar-2024.xlsx]D-PND'!$DC$22</v>
      </c>
      <c r="J2178" s="37" t="s">
        <v>3012</v>
      </c>
    </row>
    <row r="2179" spans="1:10" x14ac:dyDescent="0.3">
      <c r="A2179" s="32" t="s">
        <v>16</v>
      </c>
      <c r="B2179" s="32">
        <f t="shared" si="525"/>
        <v>2034</v>
      </c>
      <c r="C2179" s="33" t="s">
        <v>49</v>
      </c>
      <c r="D2179" s="34" t="s">
        <v>2002</v>
      </c>
      <c r="E2179" s="35" t="str">
        <f t="shared" si="503"/>
        <v>PND'!</v>
      </c>
      <c r="F2179" s="34" t="str">
        <f t="shared" si="504"/>
        <v>C:\Users\jaime.benazar\Quorum Business Solutions\Ecopetrol Prometeo - Documents\Planning Space Implementation\3. Analysis &amp; Design\Design\FC22\DRR Jaime\Neiva CPI\[DINA TERCIARIOS_CF_SEC_New_27-Mar-2024.xlsx]D-PND'!</v>
      </c>
      <c r="G2179" s="32" t="s">
        <v>121</v>
      </c>
      <c r="H2179" s="33">
        <f t="shared" si="524"/>
        <v>23</v>
      </c>
      <c r="I2179" s="33" t="str">
        <f t="shared" si="506"/>
        <v>='C:\Users\jaime.benazar\Quorum Business Solutions\Ecopetrol Prometeo - Documents\Planning Space Implementation\3. Analysis &amp; Design\Design\FC22\DRR Jaime\Neiva CPI\[DINA TERCIARIOS_CF_SEC_New_27-Mar-2024.xlsx]D-PND'!$DC$23</v>
      </c>
      <c r="J2179" s="37" t="s">
        <v>3013</v>
      </c>
    </row>
    <row r="2180" spans="1:10" x14ac:dyDescent="0.3">
      <c r="A2180" s="32" t="s">
        <v>16</v>
      </c>
      <c r="B2180" s="32">
        <f t="shared" si="525"/>
        <v>2035</v>
      </c>
      <c r="C2180" s="33" t="s">
        <v>49</v>
      </c>
      <c r="D2180" s="34" t="s">
        <v>2002</v>
      </c>
      <c r="E2180" s="35" t="str">
        <f t="shared" si="503"/>
        <v>PND'!</v>
      </c>
      <c r="F2180" s="34" t="str">
        <f t="shared" si="504"/>
        <v>C:\Users\jaime.benazar\Quorum Business Solutions\Ecopetrol Prometeo - Documents\Planning Space Implementation\3. Analysis &amp; Design\Design\FC22\DRR Jaime\Neiva CPI\[DINA TERCIARIOS_CF_SEC_New_27-Mar-2024.xlsx]D-PND'!</v>
      </c>
      <c r="G2180" s="32" t="s">
        <v>121</v>
      </c>
      <c r="H2180" s="33">
        <f t="shared" si="524"/>
        <v>24</v>
      </c>
      <c r="I2180" s="33" t="str">
        <f t="shared" si="506"/>
        <v>='C:\Users\jaime.benazar\Quorum Business Solutions\Ecopetrol Prometeo - Documents\Planning Space Implementation\3. Analysis &amp; Design\Design\FC22\DRR Jaime\Neiva CPI\[DINA TERCIARIOS_CF_SEC_New_27-Mar-2024.xlsx]D-PND'!$DC$24</v>
      </c>
      <c r="J2180" s="37" t="s">
        <v>3014</v>
      </c>
    </row>
    <row r="2181" spans="1:10" x14ac:dyDescent="0.3">
      <c r="A2181" s="32" t="s">
        <v>16</v>
      </c>
      <c r="B2181" s="32">
        <f t="shared" si="525"/>
        <v>2036</v>
      </c>
      <c r="C2181" s="33" t="s">
        <v>49</v>
      </c>
      <c r="D2181" s="34" t="s">
        <v>2002</v>
      </c>
      <c r="E2181" s="35" t="str">
        <f t="shared" si="503"/>
        <v>PND'!</v>
      </c>
      <c r="F2181" s="34" t="str">
        <f t="shared" si="504"/>
        <v>C:\Users\jaime.benazar\Quorum Business Solutions\Ecopetrol Prometeo - Documents\Planning Space Implementation\3. Analysis &amp; Design\Design\FC22\DRR Jaime\Neiva CPI\[DINA TERCIARIOS_CF_SEC_New_27-Mar-2024.xlsx]D-PND'!</v>
      </c>
      <c r="G2181" s="32" t="s">
        <v>121</v>
      </c>
      <c r="H2181" s="33">
        <f t="shared" si="524"/>
        <v>25</v>
      </c>
      <c r="I2181" s="33" t="str">
        <f t="shared" si="506"/>
        <v>='C:\Users\jaime.benazar\Quorum Business Solutions\Ecopetrol Prometeo - Documents\Planning Space Implementation\3. Analysis &amp; Design\Design\FC22\DRR Jaime\Neiva CPI\[DINA TERCIARIOS_CF_SEC_New_27-Mar-2024.xlsx]D-PND'!$DC$25</v>
      </c>
      <c r="J2181" s="37" t="s">
        <v>3015</v>
      </c>
    </row>
    <row r="2182" spans="1:10" x14ac:dyDescent="0.3">
      <c r="A2182" s="32" t="s">
        <v>16</v>
      </c>
      <c r="B2182" s="32">
        <f>+B2181+1</f>
        <v>2037</v>
      </c>
      <c r="C2182" s="33" t="s">
        <v>49</v>
      </c>
      <c r="D2182" s="34" t="s">
        <v>2002</v>
      </c>
      <c r="E2182" s="35" t="str">
        <f t="shared" si="503"/>
        <v>PND'!</v>
      </c>
      <c r="F2182" s="34" t="str">
        <f t="shared" si="504"/>
        <v>C:\Users\jaime.benazar\Quorum Business Solutions\Ecopetrol Prometeo - Documents\Planning Space Implementation\3. Analysis &amp; Design\Design\FC22\DRR Jaime\Neiva CPI\[DINA TERCIARIOS_CF_SEC_New_27-Mar-2024.xlsx]D-PND'!</v>
      </c>
      <c r="G2182" s="32" t="s">
        <v>121</v>
      </c>
      <c r="H2182" s="33">
        <f t="shared" si="524"/>
        <v>26</v>
      </c>
      <c r="I2182" s="33" t="str">
        <f t="shared" si="506"/>
        <v>='C:\Users\jaime.benazar\Quorum Business Solutions\Ecopetrol Prometeo - Documents\Planning Space Implementation\3. Analysis &amp; Design\Design\FC22\DRR Jaime\Neiva CPI\[DINA TERCIARIOS_CF_SEC_New_27-Mar-2024.xlsx]D-PND'!$DC$26</v>
      </c>
      <c r="J2182" s="37" t="s">
        <v>3016</v>
      </c>
    </row>
    <row r="2183" spans="1:10" x14ac:dyDescent="0.3">
      <c r="A2183" s="32" t="s">
        <v>16</v>
      </c>
      <c r="B2183" s="32">
        <f t="shared" ref="B2183:B2185" si="526">+B2182+1</f>
        <v>2038</v>
      </c>
      <c r="C2183" s="33" t="s">
        <v>49</v>
      </c>
      <c r="D2183" s="34" t="s">
        <v>2002</v>
      </c>
      <c r="E2183" s="35" t="str">
        <f t="shared" si="503"/>
        <v>PND'!</v>
      </c>
      <c r="F2183" s="34" t="str">
        <f t="shared" si="504"/>
        <v>C:\Users\jaime.benazar\Quorum Business Solutions\Ecopetrol Prometeo - Documents\Planning Space Implementation\3. Analysis &amp; Design\Design\FC22\DRR Jaime\Neiva CPI\[DINA TERCIARIOS_CF_SEC_New_27-Mar-2024.xlsx]D-PND'!</v>
      </c>
      <c r="G2183" s="32" t="s">
        <v>121</v>
      </c>
      <c r="H2183" s="33">
        <f t="shared" si="524"/>
        <v>27</v>
      </c>
      <c r="I2183" s="33" t="str">
        <f t="shared" si="506"/>
        <v>='C:\Users\jaime.benazar\Quorum Business Solutions\Ecopetrol Prometeo - Documents\Planning Space Implementation\3. Analysis &amp; Design\Design\FC22\DRR Jaime\Neiva CPI\[DINA TERCIARIOS_CF_SEC_New_27-Mar-2024.xlsx]D-PND'!$DC$27</v>
      </c>
      <c r="J2183" s="37" t="s">
        <v>3017</v>
      </c>
    </row>
    <row r="2184" spans="1:10" x14ac:dyDescent="0.3">
      <c r="A2184" s="32" t="s">
        <v>16</v>
      </c>
      <c r="B2184" s="32">
        <f t="shared" si="526"/>
        <v>2039</v>
      </c>
      <c r="C2184" s="33" t="s">
        <v>49</v>
      </c>
      <c r="D2184" s="34" t="s">
        <v>2002</v>
      </c>
      <c r="E2184" s="35" t="str">
        <f t="shared" si="503"/>
        <v>PND'!</v>
      </c>
      <c r="F2184" s="34" t="str">
        <f t="shared" si="504"/>
        <v>C:\Users\jaime.benazar\Quorum Business Solutions\Ecopetrol Prometeo - Documents\Planning Space Implementation\3. Analysis &amp; Design\Design\FC22\DRR Jaime\Neiva CPI\[DINA TERCIARIOS_CF_SEC_New_27-Mar-2024.xlsx]D-PND'!</v>
      </c>
      <c r="G2184" s="32" t="s">
        <v>121</v>
      </c>
      <c r="H2184" s="33">
        <f t="shared" si="524"/>
        <v>28</v>
      </c>
      <c r="I2184" s="33" t="str">
        <f t="shared" si="506"/>
        <v>='C:\Users\jaime.benazar\Quorum Business Solutions\Ecopetrol Prometeo - Documents\Planning Space Implementation\3. Analysis &amp; Design\Design\FC22\DRR Jaime\Neiva CPI\[DINA TERCIARIOS_CF_SEC_New_27-Mar-2024.xlsx]D-PND'!$DC$28</v>
      </c>
      <c r="J2184" s="37" t="s">
        <v>3018</v>
      </c>
    </row>
    <row r="2185" spans="1:10" x14ac:dyDescent="0.3">
      <c r="A2185" s="32" t="s">
        <v>16</v>
      </c>
      <c r="B2185" s="32">
        <f t="shared" si="526"/>
        <v>2040</v>
      </c>
      <c r="C2185" s="33" t="s">
        <v>49</v>
      </c>
      <c r="D2185" s="34" t="s">
        <v>2002</v>
      </c>
      <c r="E2185" s="35" t="str">
        <f t="shared" si="503"/>
        <v>PND'!</v>
      </c>
      <c r="F2185" s="34" t="str">
        <f t="shared" si="504"/>
        <v>C:\Users\jaime.benazar\Quorum Business Solutions\Ecopetrol Prometeo - Documents\Planning Space Implementation\3. Analysis &amp; Design\Design\FC22\DRR Jaime\Neiva CPI\[DINA TERCIARIOS_CF_SEC_New_27-Mar-2024.xlsx]D-PND'!</v>
      </c>
      <c r="G2185" s="32" t="s">
        <v>121</v>
      </c>
      <c r="H2185" s="33">
        <f t="shared" si="524"/>
        <v>29</v>
      </c>
      <c r="I2185" s="33" t="str">
        <f t="shared" si="506"/>
        <v>='C:\Users\jaime.benazar\Quorum Business Solutions\Ecopetrol Prometeo - Documents\Planning Space Implementation\3. Analysis &amp; Design\Design\FC22\DRR Jaime\Neiva CPI\[DINA TERCIARIOS_CF_SEC_New_27-Mar-2024.xlsx]D-PND'!$DC$29</v>
      </c>
      <c r="J2185" s="37" t="s">
        <v>3019</v>
      </c>
    </row>
    <row r="2186" spans="1:10" x14ac:dyDescent="0.3">
      <c r="A2186" s="32" t="s">
        <v>16</v>
      </c>
      <c r="B2186" s="32">
        <f>+B2185+1</f>
        <v>2041</v>
      </c>
      <c r="C2186" s="33" t="s">
        <v>49</v>
      </c>
      <c r="D2186" s="34" t="s">
        <v>2002</v>
      </c>
      <c r="E2186" s="35" t="str">
        <f t="shared" si="503"/>
        <v>PND'!</v>
      </c>
      <c r="F2186" s="34" t="str">
        <f t="shared" si="504"/>
        <v>C:\Users\jaime.benazar\Quorum Business Solutions\Ecopetrol Prometeo - Documents\Planning Space Implementation\3. Analysis &amp; Design\Design\FC22\DRR Jaime\Neiva CPI\[DINA TERCIARIOS_CF_SEC_New_27-Mar-2024.xlsx]D-PND'!</v>
      </c>
      <c r="G2186" s="32" t="s">
        <v>121</v>
      </c>
      <c r="H2186" s="33">
        <f t="shared" si="524"/>
        <v>30</v>
      </c>
      <c r="I2186" s="33" t="str">
        <f t="shared" si="506"/>
        <v>='C:\Users\jaime.benazar\Quorum Business Solutions\Ecopetrol Prometeo - Documents\Planning Space Implementation\3. Analysis &amp; Design\Design\FC22\DRR Jaime\Neiva CPI\[DINA TERCIARIOS_CF_SEC_New_27-Mar-2024.xlsx]D-PND'!$DC$30</v>
      </c>
      <c r="J2186" s="37" t="s">
        <v>3020</v>
      </c>
    </row>
    <row r="2187" spans="1:10" x14ac:dyDescent="0.3">
      <c r="A2187" s="32" t="s">
        <v>16</v>
      </c>
      <c r="B2187" s="32">
        <f t="shared" ref="B2187:B2188" si="527">+B2186+1</f>
        <v>2042</v>
      </c>
      <c r="C2187" s="33" t="s">
        <v>49</v>
      </c>
      <c r="D2187" s="34" t="s">
        <v>2002</v>
      </c>
      <c r="E2187" s="35" t="str">
        <f t="shared" ref="E2187:E2340" si="528">_xlfn.CONCAT(A2187,"'!")</f>
        <v>PND'!</v>
      </c>
      <c r="F2187" s="34" t="str">
        <f t="shared" ref="F2187:F2358" si="529">_xlfn.CONCAT(D2187:E2187)</f>
        <v>C:\Users\jaime.benazar\Quorum Business Solutions\Ecopetrol Prometeo - Documents\Planning Space Implementation\3. Analysis &amp; Design\Design\FC22\DRR Jaime\Neiva CPI\[DINA TERCIARIOS_CF_SEC_New_27-Mar-2024.xlsx]D-PND'!</v>
      </c>
      <c r="G2187" s="32" t="s">
        <v>121</v>
      </c>
      <c r="H2187" s="33">
        <f t="shared" si="524"/>
        <v>31</v>
      </c>
      <c r="I2187" s="33" t="str">
        <f t="shared" ref="I2187:I2340" si="530">_xlfn.CONCAT("='",F2187:H2187)</f>
        <v>='C:\Users\jaime.benazar\Quorum Business Solutions\Ecopetrol Prometeo - Documents\Planning Space Implementation\3. Analysis &amp; Design\Design\FC22\DRR Jaime\Neiva CPI\[DINA TERCIARIOS_CF_SEC_New_27-Mar-2024.xlsx]D-PND'!$DC$31</v>
      </c>
      <c r="J2187" s="37" t="s">
        <v>3021</v>
      </c>
    </row>
    <row r="2188" spans="1:10" x14ac:dyDescent="0.3">
      <c r="A2188" s="32" t="s">
        <v>16</v>
      </c>
      <c r="B2188" s="32">
        <f t="shared" si="527"/>
        <v>2043</v>
      </c>
      <c r="C2188" s="33" t="s">
        <v>49</v>
      </c>
      <c r="D2188" s="34" t="s">
        <v>2002</v>
      </c>
      <c r="E2188" s="35" t="str">
        <f t="shared" si="528"/>
        <v>PND'!</v>
      </c>
      <c r="F2188" s="34" t="str">
        <f t="shared" si="529"/>
        <v>C:\Users\jaime.benazar\Quorum Business Solutions\Ecopetrol Prometeo - Documents\Planning Space Implementation\3. Analysis &amp; Design\Design\FC22\DRR Jaime\Neiva CPI\[DINA TERCIARIOS_CF_SEC_New_27-Mar-2024.xlsx]D-PND'!</v>
      </c>
      <c r="G2188" s="32" t="s">
        <v>121</v>
      </c>
      <c r="H2188" s="33">
        <f t="shared" si="524"/>
        <v>32</v>
      </c>
      <c r="I2188" s="33" t="str">
        <f t="shared" si="530"/>
        <v>='C:\Users\jaime.benazar\Quorum Business Solutions\Ecopetrol Prometeo - Documents\Planning Space Implementation\3. Analysis &amp; Design\Design\FC22\DRR Jaime\Neiva CPI\[DINA TERCIARIOS_CF_SEC_New_27-Mar-2024.xlsx]D-PND'!$DC$32</v>
      </c>
      <c r="J2188" s="37" t="s">
        <v>3022</v>
      </c>
    </row>
    <row r="2189" spans="1:10" x14ac:dyDescent="0.3">
      <c r="A2189" s="32" t="s">
        <v>16</v>
      </c>
      <c r="B2189" s="32">
        <f>+B2188+1</f>
        <v>2044</v>
      </c>
      <c r="C2189" s="33" t="s">
        <v>49</v>
      </c>
      <c r="D2189" s="34" t="s">
        <v>2002</v>
      </c>
      <c r="E2189" s="35" t="str">
        <f t="shared" ref="E2189:E2204" si="531">_xlfn.CONCAT(A2189,"'!")</f>
        <v>PND'!</v>
      </c>
      <c r="F2189" s="34" t="str">
        <f t="shared" ref="F2189:F2204" si="532">_xlfn.CONCAT(D2189:E2189)</f>
        <v>C:\Users\jaime.benazar\Quorum Business Solutions\Ecopetrol Prometeo - Documents\Planning Space Implementation\3. Analysis &amp; Design\Design\FC22\DRR Jaime\Neiva CPI\[DINA TERCIARIOS_CF_SEC_New_27-Mar-2024.xlsx]D-PND'!</v>
      </c>
      <c r="G2189" s="32" t="s">
        <v>121</v>
      </c>
      <c r="H2189" s="33">
        <f t="shared" ref="H2189:H2204" si="533">IF(A2189&lt;&gt;A2188,12,H2188+1)</f>
        <v>33</v>
      </c>
      <c r="I2189" s="33" t="str">
        <f t="shared" ref="I2189:I2204" si="534">_xlfn.CONCAT("='",F2189:H2189)</f>
        <v>='C:\Users\jaime.benazar\Quorum Business Solutions\Ecopetrol Prometeo - Documents\Planning Space Implementation\3. Analysis &amp; Design\Design\FC22\DRR Jaime\Neiva CPI\[DINA TERCIARIOS_CF_SEC_New_27-Mar-2024.xlsx]D-PND'!$DC$33</v>
      </c>
      <c r="J2189" s="37" t="s">
        <v>3023</v>
      </c>
    </row>
    <row r="2190" spans="1:10" x14ac:dyDescent="0.3">
      <c r="A2190" s="32" t="s">
        <v>16</v>
      </c>
      <c r="B2190" s="32">
        <f t="shared" ref="B2190:B2204" si="535">+B2189+1</f>
        <v>2045</v>
      </c>
      <c r="C2190" s="33" t="s">
        <v>49</v>
      </c>
      <c r="D2190" s="34" t="s">
        <v>2002</v>
      </c>
      <c r="E2190" s="35" t="str">
        <f t="shared" si="531"/>
        <v>PND'!</v>
      </c>
      <c r="F2190" s="34" t="str">
        <f t="shared" si="532"/>
        <v>C:\Users\jaime.benazar\Quorum Business Solutions\Ecopetrol Prometeo - Documents\Planning Space Implementation\3. Analysis &amp; Design\Design\FC22\DRR Jaime\Neiva CPI\[DINA TERCIARIOS_CF_SEC_New_27-Mar-2024.xlsx]D-PND'!</v>
      </c>
      <c r="G2190" s="32" t="s">
        <v>121</v>
      </c>
      <c r="H2190" s="33">
        <f t="shared" si="533"/>
        <v>34</v>
      </c>
      <c r="I2190" s="33" t="str">
        <f t="shared" si="534"/>
        <v>='C:\Users\jaime.benazar\Quorum Business Solutions\Ecopetrol Prometeo - Documents\Planning Space Implementation\3. Analysis &amp; Design\Design\FC22\DRR Jaime\Neiva CPI\[DINA TERCIARIOS_CF_SEC_New_27-Mar-2024.xlsx]D-PND'!$DC$34</v>
      </c>
      <c r="J2190" s="37" t="s">
        <v>3024</v>
      </c>
    </row>
    <row r="2191" spans="1:10" x14ac:dyDescent="0.3">
      <c r="A2191" s="32" t="s">
        <v>16</v>
      </c>
      <c r="B2191" s="32">
        <f t="shared" si="535"/>
        <v>2046</v>
      </c>
      <c r="C2191" s="33" t="s">
        <v>49</v>
      </c>
      <c r="D2191" s="34" t="s">
        <v>2002</v>
      </c>
      <c r="E2191" s="35" t="str">
        <f t="shared" si="531"/>
        <v>PND'!</v>
      </c>
      <c r="F2191" s="34" t="str">
        <f t="shared" si="532"/>
        <v>C:\Users\jaime.benazar\Quorum Business Solutions\Ecopetrol Prometeo - Documents\Planning Space Implementation\3. Analysis &amp; Design\Design\FC22\DRR Jaime\Neiva CPI\[DINA TERCIARIOS_CF_SEC_New_27-Mar-2024.xlsx]D-PND'!</v>
      </c>
      <c r="G2191" s="32" t="s">
        <v>121</v>
      </c>
      <c r="H2191" s="33">
        <f t="shared" si="533"/>
        <v>35</v>
      </c>
      <c r="I2191" s="33" t="str">
        <f t="shared" si="534"/>
        <v>='C:\Users\jaime.benazar\Quorum Business Solutions\Ecopetrol Prometeo - Documents\Planning Space Implementation\3. Analysis &amp; Design\Design\FC22\DRR Jaime\Neiva CPI\[DINA TERCIARIOS_CF_SEC_New_27-Mar-2024.xlsx]D-PND'!$DC$35</v>
      </c>
      <c r="J2191" s="37" t="s">
        <v>3025</v>
      </c>
    </row>
    <row r="2192" spans="1:10" x14ac:dyDescent="0.3">
      <c r="A2192" s="32" t="s">
        <v>16</v>
      </c>
      <c r="B2192" s="32">
        <f t="shared" si="535"/>
        <v>2047</v>
      </c>
      <c r="C2192" s="33" t="s">
        <v>49</v>
      </c>
      <c r="D2192" s="34" t="s">
        <v>2002</v>
      </c>
      <c r="E2192" s="35" t="str">
        <f t="shared" si="531"/>
        <v>PND'!</v>
      </c>
      <c r="F2192" s="34" t="str">
        <f t="shared" si="532"/>
        <v>C:\Users\jaime.benazar\Quorum Business Solutions\Ecopetrol Prometeo - Documents\Planning Space Implementation\3. Analysis &amp; Design\Design\FC22\DRR Jaime\Neiva CPI\[DINA TERCIARIOS_CF_SEC_New_27-Mar-2024.xlsx]D-PND'!</v>
      </c>
      <c r="G2192" s="32" t="s">
        <v>121</v>
      </c>
      <c r="H2192" s="33">
        <f t="shared" si="533"/>
        <v>36</v>
      </c>
      <c r="I2192" s="33" t="str">
        <f t="shared" si="534"/>
        <v>='C:\Users\jaime.benazar\Quorum Business Solutions\Ecopetrol Prometeo - Documents\Planning Space Implementation\3. Analysis &amp; Design\Design\FC22\DRR Jaime\Neiva CPI\[DINA TERCIARIOS_CF_SEC_New_27-Mar-2024.xlsx]D-PND'!$DC$36</v>
      </c>
      <c r="J2192" s="37" t="s">
        <v>3026</v>
      </c>
    </row>
    <row r="2193" spans="1:10" x14ac:dyDescent="0.3">
      <c r="A2193" s="32" t="s">
        <v>16</v>
      </c>
      <c r="B2193" s="32">
        <f t="shared" si="535"/>
        <v>2048</v>
      </c>
      <c r="C2193" s="33" t="s">
        <v>49</v>
      </c>
      <c r="D2193" s="34" t="s">
        <v>2002</v>
      </c>
      <c r="E2193" s="35" t="str">
        <f t="shared" si="531"/>
        <v>PND'!</v>
      </c>
      <c r="F2193" s="34" t="str">
        <f t="shared" si="532"/>
        <v>C:\Users\jaime.benazar\Quorum Business Solutions\Ecopetrol Prometeo - Documents\Planning Space Implementation\3. Analysis &amp; Design\Design\FC22\DRR Jaime\Neiva CPI\[DINA TERCIARIOS_CF_SEC_New_27-Mar-2024.xlsx]D-PND'!</v>
      </c>
      <c r="G2193" s="32" t="s">
        <v>121</v>
      </c>
      <c r="H2193" s="33">
        <f t="shared" si="533"/>
        <v>37</v>
      </c>
      <c r="I2193" s="33" t="str">
        <f t="shared" si="534"/>
        <v>='C:\Users\jaime.benazar\Quorum Business Solutions\Ecopetrol Prometeo - Documents\Planning Space Implementation\3. Analysis &amp; Design\Design\FC22\DRR Jaime\Neiva CPI\[DINA TERCIARIOS_CF_SEC_New_27-Mar-2024.xlsx]D-PND'!$DC$37</v>
      </c>
      <c r="J2193" s="37" t="s">
        <v>3027</v>
      </c>
    </row>
    <row r="2194" spans="1:10" x14ac:dyDescent="0.3">
      <c r="A2194" s="32" t="s">
        <v>16</v>
      </c>
      <c r="B2194" s="32">
        <f t="shared" si="535"/>
        <v>2049</v>
      </c>
      <c r="C2194" s="33" t="s">
        <v>49</v>
      </c>
      <c r="D2194" s="34" t="s">
        <v>2002</v>
      </c>
      <c r="E2194" s="35" t="str">
        <f t="shared" si="531"/>
        <v>PND'!</v>
      </c>
      <c r="F2194" s="34" t="str">
        <f t="shared" si="532"/>
        <v>C:\Users\jaime.benazar\Quorum Business Solutions\Ecopetrol Prometeo - Documents\Planning Space Implementation\3. Analysis &amp; Design\Design\FC22\DRR Jaime\Neiva CPI\[DINA TERCIARIOS_CF_SEC_New_27-Mar-2024.xlsx]D-PND'!</v>
      </c>
      <c r="G2194" s="32" t="s">
        <v>121</v>
      </c>
      <c r="H2194" s="33">
        <f t="shared" si="533"/>
        <v>38</v>
      </c>
      <c r="I2194" s="33" t="str">
        <f t="shared" si="534"/>
        <v>='C:\Users\jaime.benazar\Quorum Business Solutions\Ecopetrol Prometeo - Documents\Planning Space Implementation\3. Analysis &amp; Design\Design\FC22\DRR Jaime\Neiva CPI\[DINA TERCIARIOS_CF_SEC_New_27-Mar-2024.xlsx]D-PND'!$DC$38</v>
      </c>
      <c r="J2194" s="37" t="s">
        <v>3028</v>
      </c>
    </row>
    <row r="2195" spans="1:10" x14ac:dyDescent="0.3">
      <c r="A2195" s="32" t="s">
        <v>16</v>
      </c>
      <c r="B2195" s="32">
        <f t="shared" si="535"/>
        <v>2050</v>
      </c>
      <c r="C2195" s="33" t="s">
        <v>49</v>
      </c>
      <c r="D2195" s="34" t="s">
        <v>2002</v>
      </c>
      <c r="E2195" s="35" t="str">
        <f t="shared" si="531"/>
        <v>PND'!</v>
      </c>
      <c r="F2195" s="34" t="str">
        <f t="shared" si="532"/>
        <v>C:\Users\jaime.benazar\Quorum Business Solutions\Ecopetrol Prometeo - Documents\Planning Space Implementation\3. Analysis &amp; Design\Design\FC22\DRR Jaime\Neiva CPI\[DINA TERCIARIOS_CF_SEC_New_27-Mar-2024.xlsx]D-PND'!</v>
      </c>
      <c r="G2195" s="32" t="s">
        <v>121</v>
      </c>
      <c r="H2195" s="33">
        <f t="shared" si="533"/>
        <v>39</v>
      </c>
      <c r="I2195" s="33" t="str">
        <f t="shared" si="534"/>
        <v>='C:\Users\jaime.benazar\Quorum Business Solutions\Ecopetrol Prometeo - Documents\Planning Space Implementation\3. Analysis &amp; Design\Design\FC22\DRR Jaime\Neiva CPI\[DINA TERCIARIOS_CF_SEC_New_27-Mar-2024.xlsx]D-PND'!$DC$39</v>
      </c>
      <c r="J2195" s="37" t="s">
        <v>3029</v>
      </c>
    </row>
    <row r="2196" spans="1:10" x14ac:dyDescent="0.3">
      <c r="A2196" s="32" t="s">
        <v>16</v>
      </c>
      <c r="B2196" s="32">
        <f t="shared" si="535"/>
        <v>2051</v>
      </c>
      <c r="C2196" s="33" t="s">
        <v>49</v>
      </c>
      <c r="D2196" s="34" t="s">
        <v>2002</v>
      </c>
      <c r="E2196" s="35" t="str">
        <f t="shared" si="531"/>
        <v>PND'!</v>
      </c>
      <c r="F2196" s="34" t="str">
        <f t="shared" si="532"/>
        <v>C:\Users\jaime.benazar\Quorum Business Solutions\Ecopetrol Prometeo - Documents\Planning Space Implementation\3. Analysis &amp; Design\Design\FC22\DRR Jaime\Neiva CPI\[DINA TERCIARIOS_CF_SEC_New_27-Mar-2024.xlsx]D-PND'!</v>
      </c>
      <c r="G2196" s="32" t="s">
        <v>121</v>
      </c>
      <c r="H2196" s="33">
        <f t="shared" si="533"/>
        <v>40</v>
      </c>
      <c r="I2196" s="33" t="str">
        <f t="shared" si="534"/>
        <v>='C:\Users\jaime.benazar\Quorum Business Solutions\Ecopetrol Prometeo - Documents\Planning Space Implementation\3. Analysis &amp; Design\Design\FC22\DRR Jaime\Neiva CPI\[DINA TERCIARIOS_CF_SEC_New_27-Mar-2024.xlsx]D-PND'!$DC$40</v>
      </c>
      <c r="J2196" s="37" t="s">
        <v>3030</v>
      </c>
    </row>
    <row r="2197" spans="1:10" x14ac:dyDescent="0.3">
      <c r="A2197" s="32" t="s">
        <v>16</v>
      </c>
      <c r="B2197" s="32">
        <f t="shared" si="535"/>
        <v>2052</v>
      </c>
      <c r="C2197" s="33" t="s">
        <v>49</v>
      </c>
      <c r="D2197" s="34" t="s">
        <v>2002</v>
      </c>
      <c r="E2197" s="35" t="str">
        <f t="shared" si="531"/>
        <v>PND'!</v>
      </c>
      <c r="F2197" s="34" t="str">
        <f t="shared" si="532"/>
        <v>C:\Users\jaime.benazar\Quorum Business Solutions\Ecopetrol Prometeo - Documents\Planning Space Implementation\3. Analysis &amp; Design\Design\FC22\DRR Jaime\Neiva CPI\[DINA TERCIARIOS_CF_SEC_New_27-Mar-2024.xlsx]D-PND'!</v>
      </c>
      <c r="G2197" s="32" t="s">
        <v>121</v>
      </c>
      <c r="H2197" s="33">
        <f t="shared" si="533"/>
        <v>41</v>
      </c>
      <c r="I2197" s="33" t="str">
        <f t="shared" si="534"/>
        <v>='C:\Users\jaime.benazar\Quorum Business Solutions\Ecopetrol Prometeo - Documents\Planning Space Implementation\3. Analysis &amp; Design\Design\FC22\DRR Jaime\Neiva CPI\[DINA TERCIARIOS_CF_SEC_New_27-Mar-2024.xlsx]D-PND'!$DC$41</v>
      </c>
      <c r="J2197" s="37" t="s">
        <v>3031</v>
      </c>
    </row>
    <row r="2198" spans="1:10" x14ac:dyDescent="0.3">
      <c r="A2198" s="32" t="s">
        <v>16</v>
      </c>
      <c r="B2198" s="32">
        <f t="shared" si="535"/>
        <v>2053</v>
      </c>
      <c r="C2198" s="33" t="s">
        <v>49</v>
      </c>
      <c r="D2198" s="34" t="s">
        <v>2002</v>
      </c>
      <c r="E2198" s="35" t="str">
        <f t="shared" si="531"/>
        <v>PND'!</v>
      </c>
      <c r="F2198" s="34" t="str">
        <f t="shared" si="532"/>
        <v>C:\Users\jaime.benazar\Quorum Business Solutions\Ecopetrol Prometeo - Documents\Planning Space Implementation\3. Analysis &amp; Design\Design\FC22\DRR Jaime\Neiva CPI\[DINA TERCIARIOS_CF_SEC_New_27-Mar-2024.xlsx]D-PND'!</v>
      </c>
      <c r="G2198" s="32" t="s">
        <v>121</v>
      </c>
      <c r="H2198" s="33">
        <f t="shared" si="533"/>
        <v>42</v>
      </c>
      <c r="I2198" s="33" t="str">
        <f t="shared" si="534"/>
        <v>='C:\Users\jaime.benazar\Quorum Business Solutions\Ecopetrol Prometeo - Documents\Planning Space Implementation\3. Analysis &amp; Design\Design\FC22\DRR Jaime\Neiva CPI\[DINA TERCIARIOS_CF_SEC_New_27-Mar-2024.xlsx]D-PND'!$DC$42</v>
      </c>
      <c r="J2198" s="37" t="s">
        <v>3032</v>
      </c>
    </row>
    <row r="2199" spans="1:10" x14ac:dyDescent="0.3">
      <c r="A2199" s="32" t="s">
        <v>16</v>
      </c>
      <c r="B2199" s="32">
        <f t="shared" si="535"/>
        <v>2054</v>
      </c>
      <c r="C2199" s="33" t="s">
        <v>49</v>
      </c>
      <c r="D2199" s="34" t="s">
        <v>2002</v>
      </c>
      <c r="E2199" s="35" t="str">
        <f t="shared" si="531"/>
        <v>PND'!</v>
      </c>
      <c r="F2199" s="34" t="str">
        <f t="shared" si="532"/>
        <v>C:\Users\jaime.benazar\Quorum Business Solutions\Ecopetrol Prometeo - Documents\Planning Space Implementation\3. Analysis &amp; Design\Design\FC22\DRR Jaime\Neiva CPI\[DINA TERCIARIOS_CF_SEC_New_27-Mar-2024.xlsx]D-PND'!</v>
      </c>
      <c r="G2199" s="32" t="s">
        <v>121</v>
      </c>
      <c r="H2199" s="33">
        <f t="shared" si="533"/>
        <v>43</v>
      </c>
      <c r="I2199" s="33" t="str">
        <f t="shared" si="534"/>
        <v>='C:\Users\jaime.benazar\Quorum Business Solutions\Ecopetrol Prometeo - Documents\Planning Space Implementation\3. Analysis &amp; Design\Design\FC22\DRR Jaime\Neiva CPI\[DINA TERCIARIOS_CF_SEC_New_27-Mar-2024.xlsx]D-PND'!$DC$43</v>
      </c>
      <c r="J2199" s="37" t="s">
        <v>3033</v>
      </c>
    </row>
    <row r="2200" spans="1:10" x14ac:dyDescent="0.3">
      <c r="A2200" s="32" t="s">
        <v>16</v>
      </c>
      <c r="B2200" s="32">
        <f t="shared" si="535"/>
        <v>2055</v>
      </c>
      <c r="C2200" s="33" t="s">
        <v>49</v>
      </c>
      <c r="D2200" s="34" t="s">
        <v>2002</v>
      </c>
      <c r="E2200" s="35" t="str">
        <f t="shared" si="531"/>
        <v>PND'!</v>
      </c>
      <c r="F2200" s="34" t="str">
        <f t="shared" si="532"/>
        <v>C:\Users\jaime.benazar\Quorum Business Solutions\Ecopetrol Prometeo - Documents\Planning Space Implementation\3. Analysis &amp; Design\Design\FC22\DRR Jaime\Neiva CPI\[DINA TERCIARIOS_CF_SEC_New_27-Mar-2024.xlsx]D-PND'!</v>
      </c>
      <c r="G2200" s="32" t="s">
        <v>121</v>
      </c>
      <c r="H2200" s="33">
        <f t="shared" si="533"/>
        <v>44</v>
      </c>
      <c r="I2200" s="33" t="str">
        <f t="shared" si="534"/>
        <v>='C:\Users\jaime.benazar\Quorum Business Solutions\Ecopetrol Prometeo - Documents\Planning Space Implementation\3. Analysis &amp; Design\Design\FC22\DRR Jaime\Neiva CPI\[DINA TERCIARIOS_CF_SEC_New_27-Mar-2024.xlsx]D-PND'!$DC$44</v>
      </c>
      <c r="J2200" s="37" t="s">
        <v>3034</v>
      </c>
    </row>
    <row r="2201" spans="1:10" x14ac:dyDescent="0.3">
      <c r="A2201" s="32" t="s">
        <v>16</v>
      </c>
      <c r="B2201" s="32">
        <f t="shared" si="535"/>
        <v>2056</v>
      </c>
      <c r="C2201" s="33" t="s">
        <v>49</v>
      </c>
      <c r="D2201" s="34" t="s">
        <v>2002</v>
      </c>
      <c r="E2201" s="35" t="str">
        <f t="shared" si="531"/>
        <v>PND'!</v>
      </c>
      <c r="F2201" s="34" t="str">
        <f t="shared" si="532"/>
        <v>C:\Users\jaime.benazar\Quorum Business Solutions\Ecopetrol Prometeo - Documents\Planning Space Implementation\3. Analysis &amp; Design\Design\FC22\DRR Jaime\Neiva CPI\[DINA TERCIARIOS_CF_SEC_New_27-Mar-2024.xlsx]D-PND'!</v>
      </c>
      <c r="G2201" s="32" t="s">
        <v>121</v>
      </c>
      <c r="H2201" s="33">
        <f t="shared" si="533"/>
        <v>45</v>
      </c>
      <c r="I2201" s="33" t="str">
        <f t="shared" si="534"/>
        <v>='C:\Users\jaime.benazar\Quorum Business Solutions\Ecopetrol Prometeo - Documents\Planning Space Implementation\3. Analysis &amp; Design\Design\FC22\DRR Jaime\Neiva CPI\[DINA TERCIARIOS_CF_SEC_New_27-Mar-2024.xlsx]D-PND'!$DC$45</v>
      </c>
      <c r="J2201" s="37" t="s">
        <v>3035</v>
      </c>
    </row>
    <row r="2202" spans="1:10" x14ac:dyDescent="0.3">
      <c r="A2202" s="32" t="s">
        <v>16</v>
      </c>
      <c r="B2202" s="32">
        <f t="shared" si="535"/>
        <v>2057</v>
      </c>
      <c r="C2202" s="33" t="s">
        <v>49</v>
      </c>
      <c r="D2202" s="34" t="s">
        <v>2002</v>
      </c>
      <c r="E2202" s="35" t="str">
        <f t="shared" si="531"/>
        <v>PND'!</v>
      </c>
      <c r="F2202" s="34" t="str">
        <f t="shared" si="532"/>
        <v>C:\Users\jaime.benazar\Quorum Business Solutions\Ecopetrol Prometeo - Documents\Planning Space Implementation\3. Analysis &amp; Design\Design\FC22\DRR Jaime\Neiva CPI\[DINA TERCIARIOS_CF_SEC_New_27-Mar-2024.xlsx]D-PND'!</v>
      </c>
      <c r="G2202" s="32" t="s">
        <v>121</v>
      </c>
      <c r="H2202" s="33">
        <f t="shared" si="533"/>
        <v>46</v>
      </c>
      <c r="I2202" s="33" t="str">
        <f t="shared" si="534"/>
        <v>='C:\Users\jaime.benazar\Quorum Business Solutions\Ecopetrol Prometeo - Documents\Planning Space Implementation\3. Analysis &amp; Design\Design\FC22\DRR Jaime\Neiva CPI\[DINA TERCIARIOS_CF_SEC_New_27-Mar-2024.xlsx]D-PND'!$DC$46</v>
      </c>
      <c r="J2202" s="37" t="s">
        <v>3036</v>
      </c>
    </row>
    <row r="2203" spans="1:10" x14ac:dyDescent="0.3">
      <c r="A2203" s="32" t="s">
        <v>16</v>
      </c>
      <c r="B2203" s="32">
        <f t="shared" si="535"/>
        <v>2058</v>
      </c>
      <c r="C2203" s="33" t="s">
        <v>49</v>
      </c>
      <c r="D2203" s="34" t="s">
        <v>2002</v>
      </c>
      <c r="E2203" s="35" t="str">
        <f t="shared" si="531"/>
        <v>PND'!</v>
      </c>
      <c r="F2203" s="34" t="str">
        <f t="shared" si="532"/>
        <v>C:\Users\jaime.benazar\Quorum Business Solutions\Ecopetrol Prometeo - Documents\Planning Space Implementation\3. Analysis &amp; Design\Design\FC22\DRR Jaime\Neiva CPI\[DINA TERCIARIOS_CF_SEC_New_27-Mar-2024.xlsx]D-PND'!</v>
      </c>
      <c r="G2203" s="32" t="s">
        <v>121</v>
      </c>
      <c r="H2203" s="33">
        <f t="shared" si="533"/>
        <v>47</v>
      </c>
      <c r="I2203" s="33" t="str">
        <f t="shared" si="534"/>
        <v>='C:\Users\jaime.benazar\Quorum Business Solutions\Ecopetrol Prometeo - Documents\Planning Space Implementation\3. Analysis &amp; Design\Design\FC22\DRR Jaime\Neiva CPI\[DINA TERCIARIOS_CF_SEC_New_27-Mar-2024.xlsx]D-PND'!$DC$47</v>
      </c>
      <c r="J2203" s="37" t="s">
        <v>3037</v>
      </c>
    </row>
    <row r="2204" spans="1:10" x14ac:dyDescent="0.3">
      <c r="A2204" s="32" t="s">
        <v>16</v>
      </c>
      <c r="B2204" s="32">
        <f t="shared" si="535"/>
        <v>2059</v>
      </c>
      <c r="C2204" s="33" t="s">
        <v>49</v>
      </c>
      <c r="D2204" s="34" t="s">
        <v>2002</v>
      </c>
      <c r="E2204" s="35" t="str">
        <f t="shared" si="531"/>
        <v>PND'!</v>
      </c>
      <c r="F2204" s="34" t="str">
        <f t="shared" si="532"/>
        <v>C:\Users\jaime.benazar\Quorum Business Solutions\Ecopetrol Prometeo - Documents\Planning Space Implementation\3. Analysis &amp; Design\Design\FC22\DRR Jaime\Neiva CPI\[DINA TERCIARIOS_CF_SEC_New_27-Mar-2024.xlsx]D-PND'!</v>
      </c>
      <c r="G2204" s="32" t="s">
        <v>121</v>
      </c>
      <c r="H2204" s="33">
        <f t="shared" si="533"/>
        <v>48</v>
      </c>
      <c r="I2204" s="33" t="str">
        <f t="shared" si="534"/>
        <v>='C:\Users\jaime.benazar\Quorum Business Solutions\Ecopetrol Prometeo - Documents\Planning Space Implementation\3. Analysis &amp; Design\Design\FC22\DRR Jaime\Neiva CPI\[DINA TERCIARIOS_CF_SEC_New_27-Mar-2024.xlsx]D-PND'!$DC$48</v>
      </c>
      <c r="J2204" s="37" t="s">
        <v>3038</v>
      </c>
    </row>
    <row r="2205" spans="1:10" x14ac:dyDescent="0.3">
      <c r="A2205" s="32" t="s">
        <v>26</v>
      </c>
      <c r="B2205" s="32"/>
      <c r="C2205" s="33" t="s">
        <v>49</v>
      </c>
      <c r="D2205" s="34"/>
      <c r="E2205" s="35"/>
      <c r="F2205" s="34"/>
      <c r="G2205" s="32"/>
      <c r="H2205" s="33"/>
      <c r="I2205" s="33"/>
      <c r="J2205" s="33"/>
    </row>
    <row r="2206" spans="1:10" x14ac:dyDescent="0.3">
      <c r="A2206" s="32" t="s">
        <v>17</v>
      </c>
      <c r="B2206" s="32">
        <v>2023</v>
      </c>
      <c r="C2206" s="33" t="s">
        <v>49</v>
      </c>
      <c r="D2206" s="34" t="s">
        <v>2002</v>
      </c>
      <c r="E2206" s="35" t="str">
        <f t="shared" ref="E2206:E2226" si="536">_xlfn.CONCAT(A2206,"'!")</f>
        <v>PRBDP'!</v>
      </c>
      <c r="F2206" s="34" t="str">
        <f t="shared" ref="F2206:F2226" si="537">_xlfn.CONCAT(D2206:E2206)</f>
        <v>C:\Users\jaime.benazar\Quorum Business Solutions\Ecopetrol Prometeo - Documents\Planning Space Implementation\3. Analysis &amp; Design\Design\FC22\DRR Jaime\Neiva CPI\[DINA TERCIARIOS_CF_SEC_New_27-Mar-2024.xlsx]D-PRBDP'!</v>
      </c>
      <c r="G2206" s="32" t="s">
        <v>121</v>
      </c>
      <c r="H2206" s="33"/>
      <c r="I2206" s="33"/>
      <c r="J2206" s="37"/>
    </row>
    <row r="2207" spans="1:10" x14ac:dyDescent="0.3">
      <c r="A2207" s="32" t="s">
        <v>17</v>
      </c>
      <c r="B2207" s="32">
        <f>+B2206+1</f>
        <v>2024</v>
      </c>
      <c r="C2207" s="33" t="s">
        <v>49</v>
      </c>
      <c r="D2207" s="34" t="s">
        <v>2002</v>
      </c>
      <c r="E2207" s="35" t="str">
        <f t="shared" si="536"/>
        <v>PRBDP'!</v>
      </c>
      <c r="F2207" s="34" t="str">
        <f t="shared" si="537"/>
        <v>C:\Users\jaime.benazar\Quorum Business Solutions\Ecopetrol Prometeo - Documents\Planning Space Implementation\3. Analysis &amp; Design\Design\FC22\DRR Jaime\Neiva CPI\[DINA TERCIARIOS_CF_SEC_New_27-Mar-2024.xlsx]D-PRBDP'!</v>
      </c>
      <c r="G2207" s="32" t="s">
        <v>121</v>
      </c>
      <c r="H2207" s="33"/>
      <c r="I2207" s="33"/>
      <c r="J2207" s="37"/>
    </row>
    <row r="2208" spans="1:10" x14ac:dyDescent="0.3">
      <c r="A2208" s="32" t="s">
        <v>17</v>
      </c>
      <c r="B2208" s="32">
        <f t="shared" ref="B2208:B2219" si="538">+B2207+1</f>
        <v>2025</v>
      </c>
      <c r="C2208" s="33" t="s">
        <v>49</v>
      </c>
      <c r="D2208" s="34" t="s">
        <v>2002</v>
      </c>
      <c r="E2208" s="35" t="str">
        <f t="shared" si="536"/>
        <v>PRBDP'!</v>
      </c>
      <c r="F2208" s="34" t="str">
        <f t="shared" si="537"/>
        <v>C:\Users\jaime.benazar\Quorum Business Solutions\Ecopetrol Prometeo - Documents\Planning Space Implementation\3. Analysis &amp; Design\Design\FC22\DRR Jaime\Neiva CPI\[DINA TERCIARIOS_CF_SEC_New_27-Mar-2024.xlsx]D-PRBDP'!</v>
      </c>
      <c r="G2208" s="32" t="s">
        <v>121</v>
      </c>
      <c r="H2208" s="33"/>
      <c r="I2208" s="33"/>
      <c r="J2208" s="37"/>
    </row>
    <row r="2209" spans="1:10" x14ac:dyDescent="0.3">
      <c r="A2209" s="32" t="s">
        <v>17</v>
      </c>
      <c r="B2209" s="32">
        <f t="shared" si="538"/>
        <v>2026</v>
      </c>
      <c r="C2209" s="33" t="s">
        <v>49</v>
      </c>
      <c r="D2209" s="34" t="s">
        <v>2002</v>
      </c>
      <c r="E2209" s="35" t="str">
        <f t="shared" si="536"/>
        <v>PRBDP'!</v>
      </c>
      <c r="F2209" s="34" t="str">
        <f t="shared" si="537"/>
        <v>C:\Users\jaime.benazar\Quorum Business Solutions\Ecopetrol Prometeo - Documents\Planning Space Implementation\3. Analysis &amp; Design\Design\FC22\DRR Jaime\Neiva CPI\[DINA TERCIARIOS_CF_SEC_New_27-Mar-2024.xlsx]D-PRBDP'!</v>
      </c>
      <c r="G2209" s="32" t="s">
        <v>121</v>
      </c>
      <c r="H2209" s="33"/>
      <c r="I2209" s="33"/>
      <c r="J2209" s="37"/>
    </row>
    <row r="2210" spans="1:10" x14ac:dyDescent="0.3">
      <c r="A2210" s="32" t="s">
        <v>17</v>
      </c>
      <c r="B2210" s="32">
        <f t="shared" si="538"/>
        <v>2027</v>
      </c>
      <c r="C2210" s="33" t="s">
        <v>49</v>
      </c>
      <c r="D2210" s="34" t="s">
        <v>2002</v>
      </c>
      <c r="E2210" s="35" t="str">
        <f t="shared" si="536"/>
        <v>PRBDP'!</v>
      </c>
      <c r="F2210" s="34" t="str">
        <f t="shared" si="537"/>
        <v>C:\Users\jaime.benazar\Quorum Business Solutions\Ecopetrol Prometeo - Documents\Planning Space Implementation\3. Analysis &amp; Design\Design\FC22\DRR Jaime\Neiva CPI\[DINA TERCIARIOS_CF_SEC_New_27-Mar-2024.xlsx]D-PRBDP'!</v>
      </c>
      <c r="G2210" s="32" t="s">
        <v>121</v>
      </c>
      <c r="H2210" s="33"/>
      <c r="I2210" s="33"/>
      <c r="J2210" s="37"/>
    </row>
    <row r="2211" spans="1:10" x14ac:dyDescent="0.3">
      <c r="A2211" s="32" t="s">
        <v>17</v>
      </c>
      <c r="B2211" s="32">
        <f t="shared" si="538"/>
        <v>2028</v>
      </c>
      <c r="C2211" s="33" t="s">
        <v>49</v>
      </c>
      <c r="D2211" s="34" t="s">
        <v>2002</v>
      </c>
      <c r="E2211" s="35" t="str">
        <f t="shared" si="536"/>
        <v>PRBDP'!</v>
      </c>
      <c r="F2211" s="34" t="str">
        <f t="shared" si="537"/>
        <v>C:\Users\jaime.benazar\Quorum Business Solutions\Ecopetrol Prometeo - Documents\Planning Space Implementation\3. Analysis &amp; Design\Design\FC22\DRR Jaime\Neiva CPI\[DINA TERCIARIOS_CF_SEC_New_27-Mar-2024.xlsx]D-PRBDP'!</v>
      </c>
      <c r="G2211" s="32" t="s">
        <v>121</v>
      </c>
      <c r="H2211" s="33"/>
      <c r="I2211" s="33"/>
      <c r="J2211" s="37"/>
    </row>
    <row r="2212" spans="1:10" x14ac:dyDescent="0.3">
      <c r="A2212" s="32" t="s">
        <v>17</v>
      </c>
      <c r="B2212" s="32">
        <f t="shared" si="538"/>
        <v>2029</v>
      </c>
      <c r="C2212" s="33" t="s">
        <v>49</v>
      </c>
      <c r="D2212" s="34" t="s">
        <v>2002</v>
      </c>
      <c r="E2212" s="35" t="str">
        <f t="shared" si="536"/>
        <v>PRBDP'!</v>
      </c>
      <c r="F2212" s="34" t="str">
        <f t="shared" si="537"/>
        <v>C:\Users\jaime.benazar\Quorum Business Solutions\Ecopetrol Prometeo - Documents\Planning Space Implementation\3. Analysis &amp; Design\Design\FC22\DRR Jaime\Neiva CPI\[DINA TERCIARIOS_CF_SEC_New_27-Mar-2024.xlsx]D-PRBDP'!</v>
      </c>
      <c r="G2212" s="32" t="s">
        <v>121</v>
      </c>
      <c r="H2212" s="33"/>
      <c r="I2212" s="33"/>
      <c r="J2212" s="37"/>
    </row>
    <row r="2213" spans="1:10" x14ac:dyDescent="0.3">
      <c r="A2213" s="32" t="s">
        <v>17</v>
      </c>
      <c r="B2213" s="32">
        <f t="shared" si="538"/>
        <v>2030</v>
      </c>
      <c r="C2213" s="33" t="s">
        <v>49</v>
      </c>
      <c r="D2213" s="34" t="s">
        <v>2002</v>
      </c>
      <c r="E2213" s="35" t="str">
        <f t="shared" si="536"/>
        <v>PRBDP'!</v>
      </c>
      <c r="F2213" s="34" t="str">
        <f t="shared" si="537"/>
        <v>C:\Users\jaime.benazar\Quorum Business Solutions\Ecopetrol Prometeo - Documents\Planning Space Implementation\3. Analysis &amp; Design\Design\FC22\DRR Jaime\Neiva CPI\[DINA TERCIARIOS_CF_SEC_New_27-Mar-2024.xlsx]D-PRBDP'!</v>
      </c>
      <c r="G2213" s="32" t="s">
        <v>121</v>
      </c>
      <c r="H2213" s="33"/>
      <c r="I2213" s="33"/>
      <c r="J2213" s="37"/>
    </row>
    <row r="2214" spans="1:10" x14ac:dyDescent="0.3">
      <c r="A2214" s="32" t="s">
        <v>17</v>
      </c>
      <c r="B2214" s="32">
        <f t="shared" si="538"/>
        <v>2031</v>
      </c>
      <c r="C2214" s="33" t="s">
        <v>49</v>
      </c>
      <c r="D2214" s="34" t="s">
        <v>2002</v>
      </c>
      <c r="E2214" s="35" t="str">
        <f t="shared" si="536"/>
        <v>PRBDP'!</v>
      </c>
      <c r="F2214" s="34" t="str">
        <f t="shared" si="537"/>
        <v>C:\Users\jaime.benazar\Quorum Business Solutions\Ecopetrol Prometeo - Documents\Planning Space Implementation\3. Analysis &amp; Design\Design\FC22\DRR Jaime\Neiva CPI\[DINA TERCIARIOS_CF_SEC_New_27-Mar-2024.xlsx]D-PRBDP'!</v>
      </c>
      <c r="G2214" s="32" t="s">
        <v>121</v>
      </c>
      <c r="H2214" s="33"/>
      <c r="I2214" s="33"/>
      <c r="J2214" s="37"/>
    </row>
    <row r="2215" spans="1:10" x14ac:dyDescent="0.3">
      <c r="A2215" s="32" t="s">
        <v>17</v>
      </c>
      <c r="B2215" s="32">
        <f t="shared" si="538"/>
        <v>2032</v>
      </c>
      <c r="C2215" s="33" t="s">
        <v>49</v>
      </c>
      <c r="D2215" s="34" t="s">
        <v>2002</v>
      </c>
      <c r="E2215" s="35" t="str">
        <f t="shared" si="536"/>
        <v>PRBDP'!</v>
      </c>
      <c r="F2215" s="34" t="str">
        <f t="shared" si="537"/>
        <v>C:\Users\jaime.benazar\Quorum Business Solutions\Ecopetrol Prometeo - Documents\Planning Space Implementation\3. Analysis &amp; Design\Design\FC22\DRR Jaime\Neiva CPI\[DINA TERCIARIOS_CF_SEC_New_27-Mar-2024.xlsx]D-PRBDP'!</v>
      </c>
      <c r="G2215" s="32" t="s">
        <v>121</v>
      </c>
      <c r="H2215" s="33"/>
      <c r="I2215" s="33"/>
      <c r="J2215" s="37"/>
    </row>
    <row r="2216" spans="1:10" x14ac:dyDescent="0.3">
      <c r="A2216" s="32" t="s">
        <v>17</v>
      </c>
      <c r="B2216" s="32">
        <f t="shared" si="538"/>
        <v>2033</v>
      </c>
      <c r="C2216" s="33" t="s">
        <v>49</v>
      </c>
      <c r="D2216" s="34" t="s">
        <v>2002</v>
      </c>
      <c r="E2216" s="35" t="str">
        <f t="shared" si="536"/>
        <v>PRBDP'!</v>
      </c>
      <c r="F2216" s="34" t="str">
        <f t="shared" si="537"/>
        <v>C:\Users\jaime.benazar\Quorum Business Solutions\Ecopetrol Prometeo - Documents\Planning Space Implementation\3. Analysis &amp; Design\Design\FC22\DRR Jaime\Neiva CPI\[DINA TERCIARIOS_CF_SEC_New_27-Mar-2024.xlsx]D-PRBDP'!</v>
      </c>
      <c r="G2216" s="32" t="s">
        <v>121</v>
      </c>
      <c r="H2216" s="33"/>
      <c r="I2216" s="33"/>
      <c r="J2216" s="37"/>
    </row>
    <row r="2217" spans="1:10" x14ac:dyDescent="0.3">
      <c r="A2217" s="32" t="s">
        <v>17</v>
      </c>
      <c r="B2217" s="32">
        <f t="shared" si="538"/>
        <v>2034</v>
      </c>
      <c r="C2217" s="33" t="s">
        <v>49</v>
      </c>
      <c r="D2217" s="34" t="s">
        <v>2002</v>
      </c>
      <c r="E2217" s="35" t="str">
        <f t="shared" si="536"/>
        <v>PRBDP'!</v>
      </c>
      <c r="F2217" s="34" t="str">
        <f t="shared" si="537"/>
        <v>C:\Users\jaime.benazar\Quorum Business Solutions\Ecopetrol Prometeo - Documents\Planning Space Implementation\3. Analysis &amp; Design\Design\FC22\DRR Jaime\Neiva CPI\[DINA TERCIARIOS_CF_SEC_New_27-Mar-2024.xlsx]D-PRBDP'!</v>
      </c>
      <c r="G2217" s="32" t="s">
        <v>121</v>
      </c>
      <c r="H2217" s="33"/>
      <c r="I2217" s="33"/>
      <c r="J2217" s="37"/>
    </row>
    <row r="2218" spans="1:10" x14ac:dyDescent="0.3">
      <c r="A2218" s="32" t="s">
        <v>17</v>
      </c>
      <c r="B2218" s="32">
        <f t="shared" si="538"/>
        <v>2035</v>
      </c>
      <c r="C2218" s="33" t="s">
        <v>49</v>
      </c>
      <c r="D2218" s="34" t="s">
        <v>2002</v>
      </c>
      <c r="E2218" s="35" t="str">
        <f t="shared" si="536"/>
        <v>PRBDP'!</v>
      </c>
      <c r="F2218" s="34" t="str">
        <f t="shared" si="537"/>
        <v>C:\Users\jaime.benazar\Quorum Business Solutions\Ecopetrol Prometeo - Documents\Planning Space Implementation\3. Analysis &amp; Design\Design\FC22\DRR Jaime\Neiva CPI\[DINA TERCIARIOS_CF_SEC_New_27-Mar-2024.xlsx]D-PRBDP'!</v>
      </c>
      <c r="G2218" s="32" t="s">
        <v>121</v>
      </c>
      <c r="H2218" s="33"/>
      <c r="I2218" s="33"/>
      <c r="J2218" s="37"/>
    </row>
    <row r="2219" spans="1:10" x14ac:dyDescent="0.3">
      <c r="A2219" s="32" t="s">
        <v>17</v>
      </c>
      <c r="B2219" s="32">
        <f t="shared" si="538"/>
        <v>2036</v>
      </c>
      <c r="C2219" s="33" t="s">
        <v>49</v>
      </c>
      <c r="D2219" s="34" t="s">
        <v>2002</v>
      </c>
      <c r="E2219" s="35" t="str">
        <f t="shared" si="536"/>
        <v>PRBDP'!</v>
      </c>
      <c r="F2219" s="34" t="str">
        <f t="shared" si="537"/>
        <v>C:\Users\jaime.benazar\Quorum Business Solutions\Ecopetrol Prometeo - Documents\Planning Space Implementation\3. Analysis &amp; Design\Design\FC22\DRR Jaime\Neiva CPI\[DINA TERCIARIOS_CF_SEC_New_27-Mar-2024.xlsx]D-PRBDP'!</v>
      </c>
      <c r="G2219" s="32" t="s">
        <v>121</v>
      </c>
      <c r="H2219" s="33"/>
      <c r="I2219" s="33"/>
      <c r="J2219" s="37"/>
    </row>
    <row r="2220" spans="1:10" x14ac:dyDescent="0.3">
      <c r="A2220" s="32" t="s">
        <v>17</v>
      </c>
      <c r="B2220" s="32">
        <f>+B2219+1</f>
        <v>2037</v>
      </c>
      <c r="C2220" s="33" t="s">
        <v>49</v>
      </c>
      <c r="D2220" s="34" t="s">
        <v>2002</v>
      </c>
      <c r="E2220" s="35" t="str">
        <f t="shared" si="536"/>
        <v>PRBDP'!</v>
      </c>
      <c r="F2220" s="34" t="str">
        <f t="shared" si="537"/>
        <v>C:\Users\jaime.benazar\Quorum Business Solutions\Ecopetrol Prometeo - Documents\Planning Space Implementation\3. Analysis &amp; Design\Design\FC22\DRR Jaime\Neiva CPI\[DINA TERCIARIOS_CF_SEC_New_27-Mar-2024.xlsx]D-PRBDP'!</v>
      </c>
      <c r="G2220" s="32" t="s">
        <v>121</v>
      </c>
      <c r="H2220" s="33"/>
      <c r="I2220" s="33"/>
      <c r="J2220" s="37"/>
    </row>
    <row r="2221" spans="1:10" x14ac:dyDescent="0.3">
      <c r="A2221" s="32" t="s">
        <v>17</v>
      </c>
      <c r="B2221" s="32">
        <f t="shared" ref="B2221:B2223" si="539">+B2220+1</f>
        <v>2038</v>
      </c>
      <c r="C2221" s="33" t="s">
        <v>49</v>
      </c>
      <c r="D2221" s="34" t="s">
        <v>2002</v>
      </c>
      <c r="E2221" s="35" t="str">
        <f t="shared" si="536"/>
        <v>PRBDP'!</v>
      </c>
      <c r="F2221" s="34" t="str">
        <f t="shared" si="537"/>
        <v>C:\Users\jaime.benazar\Quorum Business Solutions\Ecopetrol Prometeo - Documents\Planning Space Implementation\3. Analysis &amp; Design\Design\FC22\DRR Jaime\Neiva CPI\[DINA TERCIARIOS_CF_SEC_New_27-Mar-2024.xlsx]D-PRBDP'!</v>
      </c>
      <c r="G2221" s="32" t="s">
        <v>121</v>
      </c>
      <c r="H2221" s="33"/>
      <c r="I2221" s="33"/>
      <c r="J2221" s="37"/>
    </row>
    <row r="2222" spans="1:10" x14ac:dyDescent="0.3">
      <c r="A2222" s="32" t="s">
        <v>17</v>
      </c>
      <c r="B2222" s="32">
        <f t="shared" si="539"/>
        <v>2039</v>
      </c>
      <c r="C2222" s="33" t="s">
        <v>49</v>
      </c>
      <c r="D2222" s="34" t="s">
        <v>2002</v>
      </c>
      <c r="E2222" s="35" t="str">
        <f t="shared" si="536"/>
        <v>PRBDP'!</v>
      </c>
      <c r="F2222" s="34" t="str">
        <f t="shared" si="537"/>
        <v>C:\Users\jaime.benazar\Quorum Business Solutions\Ecopetrol Prometeo - Documents\Planning Space Implementation\3. Analysis &amp; Design\Design\FC22\DRR Jaime\Neiva CPI\[DINA TERCIARIOS_CF_SEC_New_27-Mar-2024.xlsx]D-PRBDP'!</v>
      </c>
      <c r="G2222" s="32" t="s">
        <v>121</v>
      </c>
      <c r="H2222" s="33"/>
      <c r="I2222" s="33"/>
      <c r="J2222" s="37"/>
    </row>
    <row r="2223" spans="1:10" x14ac:dyDescent="0.3">
      <c r="A2223" s="32" t="s">
        <v>17</v>
      </c>
      <c r="B2223" s="32">
        <f t="shared" si="539"/>
        <v>2040</v>
      </c>
      <c r="C2223" s="33" t="s">
        <v>49</v>
      </c>
      <c r="D2223" s="34" t="s">
        <v>2002</v>
      </c>
      <c r="E2223" s="35" t="str">
        <f t="shared" si="536"/>
        <v>PRBDP'!</v>
      </c>
      <c r="F2223" s="34" t="str">
        <f t="shared" si="537"/>
        <v>C:\Users\jaime.benazar\Quorum Business Solutions\Ecopetrol Prometeo - Documents\Planning Space Implementation\3. Analysis &amp; Design\Design\FC22\DRR Jaime\Neiva CPI\[DINA TERCIARIOS_CF_SEC_New_27-Mar-2024.xlsx]D-PRBDP'!</v>
      </c>
      <c r="G2223" s="32" t="s">
        <v>121</v>
      </c>
      <c r="H2223" s="33"/>
      <c r="I2223" s="33"/>
      <c r="J2223" s="37"/>
    </row>
    <row r="2224" spans="1:10" x14ac:dyDescent="0.3">
      <c r="A2224" s="32" t="s">
        <v>17</v>
      </c>
      <c r="B2224" s="32">
        <f>+B2223+1</f>
        <v>2041</v>
      </c>
      <c r="C2224" s="33" t="s">
        <v>49</v>
      </c>
      <c r="D2224" s="34" t="s">
        <v>2002</v>
      </c>
      <c r="E2224" s="35" t="str">
        <f t="shared" si="536"/>
        <v>PRBDP'!</v>
      </c>
      <c r="F2224" s="34" t="str">
        <f t="shared" si="537"/>
        <v>C:\Users\jaime.benazar\Quorum Business Solutions\Ecopetrol Prometeo - Documents\Planning Space Implementation\3. Analysis &amp; Design\Design\FC22\DRR Jaime\Neiva CPI\[DINA TERCIARIOS_CF_SEC_New_27-Mar-2024.xlsx]D-PRBDP'!</v>
      </c>
      <c r="G2224" s="32" t="s">
        <v>121</v>
      </c>
      <c r="H2224" s="33"/>
      <c r="I2224" s="33"/>
      <c r="J2224" s="37"/>
    </row>
    <row r="2225" spans="1:10" x14ac:dyDescent="0.3">
      <c r="A2225" s="32" t="s">
        <v>17</v>
      </c>
      <c r="B2225" s="32">
        <f t="shared" ref="B2225:B2226" si="540">+B2224+1</f>
        <v>2042</v>
      </c>
      <c r="C2225" s="33" t="s">
        <v>49</v>
      </c>
      <c r="D2225" s="34" t="s">
        <v>2002</v>
      </c>
      <c r="E2225" s="35" t="str">
        <f t="shared" si="536"/>
        <v>PRBDP'!</v>
      </c>
      <c r="F2225" s="34" t="str">
        <f t="shared" si="537"/>
        <v>C:\Users\jaime.benazar\Quorum Business Solutions\Ecopetrol Prometeo - Documents\Planning Space Implementation\3. Analysis &amp; Design\Design\FC22\DRR Jaime\Neiva CPI\[DINA TERCIARIOS_CF_SEC_New_27-Mar-2024.xlsx]D-PRBDP'!</v>
      </c>
      <c r="G2225" s="32" t="s">
        <v>121</v>
      </c>
      <c r="H2225" s="33"/>
      <c r="I2225" s="33"/>
      <c r="J2225" s="37"/>
    </row>
    <row r="2226" spans="1:10" x14ac:dyDescent="0.3">
      <c r="A2226" s="32" t="s">
        <v>17</v>
      </c>
      <c r="B2226" s="32">
        <f t="shared" si="540"/>
        <v>2043</v>
      </c>
      <c r="C2226" s="33" t="s">
        <v>49</v>
      </c>
      <c r="D2226" s="34" t="s">
        <v>2002</v>
      </c>
      <c r="E2226" s="35" t="str">
        <f t="shared" si="536"/>
        <v>PRBDP'!</v>
      </c>
      <c r="F2226" s="34" t="str">
        <f t="shared" si="537"/>
        <v>C:\Users\jaime.benazar\Quorum Business Solutions\Ecopetrol Prometeo - Documents\Planning Space Implementation\3. Analysis &amp; Design\Design\FC22\DRR Jaime\Neiva CPI\[DINA TERCIARIOS_CF_SEC_New_27-Mar-2024.xlsx]D-PRBDP'!</v>
      </c>
      <c r="G2226" s="32" t="s">
        <v>121</v>
      </c>
      <c r="H2226" s="33"/>
      <c r="I2226" s="33"/>
      <c r="J2226" s="37"/>
    </row>
    <row r="2227" spans="1:10" x14ac:dyDescent="0.3">
      <c r="A2227" s="32" t="s">
        <v>17</v>
      </c>
      <c r="B2227" s="32">
        <f>+B2226+1</f>
        <v>2044</v>
      </c>
      <c r="C2227" s="33" t="s">
        <v>49</v>
      </c>
      <c r="D2227" s="34" t="s">
        <v>2002</v>
      </c>
      <c r="E2227" s="35" t="str">
        <f t="shared" ref="E2227:E2242" si="541">_xlfn.CONCAT(A2227,"'!")</f>
        <v>PRBDP'!</v>
      </c>
      <c r="F2227" s="34" t="str">
        <f t="shared" ref="F2227:F2242" si="542">_xlfn.CONCAT(D2227:E2227)</f>
        <v>C:\Users\jaime.benazar\Quorum Business Solutions\Ecopetrol Prometeo - Documents\Planning Space Implementation\3. Analysis &amp; Design\Design\FC22\DRR Jaime\Neiva CPI\[DINA TERCIARIOS_CF_SEC_New_27-Mar-2024.xlsx]D-PRBDP'!</v>
      </c>
      <c r="G2227" s="32" t="s">
        <v>121</v>
      </c>
      <c r="H2227" s="33"/>
      <c r="I2227" s="33"/>
      <c r="J2227" s="37"/>
    </row>
    <row r="2228" spans="1:10" x14ac:dyDescent="0.3">
      <c r="A2228" s="32" t="s">
        <v>17</v>
      </c>
      <c r="B2228" s="32">
        <f t="shared" ref="B2228:B2242" si="543">+B2227+1</f>
        <v>2045</v>
      </c>
      <c r="C2228" s="33" t="s">
        <v>49</v>
      </c>
      <c r="D2228" s="34" t="s">
        <v>2002</v>
      </c>
      <c r="E2228" s="35" t="str">
        <f t="shared" si="541"/>
        <v>PRBDP'!</v>
      </c>
      <c r="F2228" s="34" t="str">
        <f t="shared" si="542"/>
        <v>C:\Users\jaime.benazar\Quorum Business Solutions\Ecopetrol Prometeo - Documents\Planning Space Implementation\3. Analysis &amp; Design\Design\FC22\DRR Jaime\Neiva CPI\[DINA TERCIARIOS_CF_SEC_New_27-Mar-2024.xlsx]D-PRBDP'!</v>
      </c>
      <c r="G2228" s="32" t="s">
        <v>121</v>
      </c>
      <c r="H2228" s="33"/>
      <c r="I2228" s="33"/>
      <c r="J2228" s="37"/>
    </row>
    <row r="2229" spans="1:10" x14ac:dyDescent="0.3">
      <c r="A2229" s="32" t="s">
        <v>17</v>
      </c>
      <c r="B2229" s="32">
        <f t="shared" si="543"/>
        <v>2046</v>
      </c>
      <c r="C2229" s="33" t="s">
        <v>49</v>
      </c>
      <c r="D2229" s="34" t="s">
        <v>2002</v>
      </c>
      <c r="E2229" s="35" t="str">
        <f t="shared" si="541"/>
        <v>PRBDP'!</v>
      </c>
      <c r="F2229" s="34" t="str">
        <f t="shared" si="542"/>
        <v>C:\Users\jaime.benazar\Quorum Business Solutions\Ecopetrol Prometeo - Documents\Planning Space Implementation\3. Analysis &amp; Design\Design\FC22\DRR Jaime\Neiva CPI\[DINA TERCIARIOS_CF_SEC_New_27-Mar-2024.xlsx]D-PRBDP'!</v>
      </c>
      <c r="G2229" s="32" t="s">
        <v>121</v>
      </c>
      <c r="H2229" s="33"/>
      <c r="I2229" s="33"/>
      <c r="J2229" s="37"/>
    </row>
    <row r="2230" spans="1:10" x14ac:dyDescent="0.3">
      <c r="A2230" s="32" t="s">
        <v>17</v>
      </c>
      <c r="B2230" s="32">
        <f t="shared" si="543"/>
        <v>2047</v>
      </c>
      <c r="C2230" s="33" t="s">
        <v>49</v>
      </c>
      <c r="D2230" s="34" t="s">
        <v>2002</v>
      </c>
      <c r="E2230" s="35" t="str">
        <f t="shared" si="541"/>
        <v>PRBDP'!</v>
      </c>
      <c r="F2230" s="34" t="str">
        <f t="shared" si="542"/>
        <v>C:\Users\jaime.benazar\Quorum Business Solutions\Ecopetrol Prometeo - Documents\Planning Space Implementation\3. Analysis &amp; Design\Design\FC22\DRR Jaime\Neiva CPI\[DINA TERCIARIOS_CF_SEC_New_27-Mar-2024.xlsx]D-PRBDP'!</v>
      </c>
      <c r="G2230" s="32" t="s">
        <v>121</v>
      </c>
      <c r="H2230" s="33"/>
      <c r="I2230" s="33"/>
      <c r="J2230" s="37"/>
    </row>
    <row r="2231" spans="1:10" x14ac:dyDescent="0.3">
      <c r="A2231" s="32" t="s">
        <v>17</v>
      </c>
      <c r="B2231" s="32">
        <f t="shared" si="543"/>
        <v>2048</v>
      </c>
      <c r="C2231" s="33" t="s">
        <v>49</v>
      </c>
      <c r="D2231" s="34" t="s">
        <v>2002</v>
      </c>
      <c r="E2231" s="35" t="str">
        <f t="shared" si="541"/>
        <v>PRBDP'!</v>
      </c>
      <c r="F2231" s="34" t="str">
        <f t="shared" si="542"/>
        <v>C:\Users\jaime.benazar\Quorum Business Solutions\Ecopetrol Prometeo - Documents\Planning Space Implementation\3. Analysis &amp; Design\Design\FC22\DRR Jaime\Neiva CPI\[DINA TERCIARIOS_CF_SEC_New_27-Mar-2024.xlsx]D-PRBDP'!</v>
      </c>
      <c r="G2231" s="32" t="s">
        <v>121</v>
      </c>
      <c r="H2231" s="33"/>
      <c r="I2231" s="33"/>
      <c r="J2231" s="37"/>
    </row>
    <row r="2232" spans="1:10" x14ac:dyDescent="0.3">
      <c r="A2232" s="32" t="s">
        <v>17</v>
      </c>
      <c r="B2232" s="32">
        <f t="shared" si="543"/>
        <v>2049</v>
      </c>
      <c r="C2232" s="33" t="s">
        <v>49</v>
      </c>
      <c r="D2232" s="34" t="s">
        <v>2002</v>
      </c>
      <c r="E2232" s="35" t="str">
        <f t="shared" si="541"/>
        <v>PRBDP'!</v>
      </c>
      <c r="F2232" s="34" t="str">
        <f t="shared" si="542"/>
        <v>C:\Users\jaime.benazar\Quorum Business Solutions\Ecopetrol Prometeo - Documents\Planning Space Implementation\3. Analysis &amp; Design\Design\FC22\DRR Jaime\Neiva CPI\[DINA TERCIARIOS_CF_SEC_New_27-Mar-2024.xlsx]D-PRBDP'!</v>
      </c>
      <c r="G2232" s="32" t="s">
        <v>121</v>
      </c>
      <c r="H2232" s="33"/>
      <c r="I2232" s="33"/>
      <c r="J2232" s="37"/>
    </row>
    <row r="2233" spans="1:10" x14ac:dyDescent="0.3">
      <c r="A2233" s="32" t="s">
        <v>17</v>
      </c>
      <c r="B2233" s="32">
        <f t="shared" si="543"/>
        <v>2050</v>
      </c>
      <c r="C2233" s="33" t="s">
        <v>49</v>
      </c>
      <c r="D2233" s="34" t="s">
        <v>2002</v>
      </c>
      <c r="E2233" s="35" t="str">
        <f t="shared" si="541"/>
        <v>PRBDP'!</v>
      </c>
      <c r="F2233" s="34" t="str">
        <f t="shared" si="542"/>
        <v>C:\Users\jaime.benazar\Quorum Business Solutions\Ecopetrol Prometeo - Documents\Planning Space Implementation\3. Analysis &amp; Design\Design\FC22\DRR Jaime\Neiva CPI\[DINA TERCIARIOS_CF_SEC_New_27-Mar-2024.xlsx]D-PRBDP'!</v>
      </c>
      <c r="G2233" s="32" t="s">
        <v>121</v>
      </c>
      <c r="H2233" s="33"/>
      <c r="I2233" s="33"/>
      <c r="J2233" s="37"/>
    </row>
    <row r="2234" spans="1:10" x14ac:dyDescent="0.3">
      <c r="A2234" s="32" t="s">
        <v>17</v>
      </c>
      <c r="B2234" s="32">
        <f t="shared" si="543"/>
        <v>2051</v>
      </c>
      <c r="C2234" s="33" t="s">
        <v>49</v>
      </c>
      <c r="D2234" s="34" t="s">
        <v>2002</v>
      </c>
      <c r="E2234" s="35" t="str">
        <f t="shared" si="541"/>
        <v>PRBDP'!</v>
      </c>
      <c r="F2234" s="34" t="str">
        <f t="shared" si="542"/>
        <v>C:\Users\jaime.benazar\Quorum Business Solutions\Ecopetrol Prometeo - Documents\Planning Space Implementation\3. Analysis &amp; Design\Design\FC22\DRR Jaime\Neiva CPI\[DINA TERCIARIOS_CF_SEC_New_27-Mar-2024.xlsx]D-PRBDP'!</v>
      </c>
      <c r="G2234" s="32" t="s">
        <v>121</v>
      </c>
      <c r="H2234" s="33"/>
      <c r="I2234" s="33"/>
      <c r="J2234" s="37"/>
    </row>
    <row r="2235" spans="1:10" x14ac:dyDescent="0.3">
      <c r="A2235" s="32" t="s">
        <v>17</v>
      </c>
      <c r="B2235" s="32">
        <f t="shared" si="543"/>
        <v>2052</v>
      </c>
      <c r="C2235" s="33" t="s">
        <v>49</v>
      </c>
      <c r="D2235" s="34" t="s">
        <v>2002</v>
      </c>
      <c r="E2235" s="35" t="str">
        <f t="shared" si="541"/>
        <v>PRBDP'!</v>
      </c>
      <c r="F2235" s="34" t="str">
        <f t="shared" si="542"/>
        <v>C:\Users\jaime.benazar\Quorum Business Solutions\Ecopetrol Prometeo - Documents\Planning Space Implementation\3. Analysis &amp; Design\Design\FC22\DRR Jaime\Neiva CPI\[DINA TERCIARIOS_CF_SEC_New_27-Mar-2024.xlsx]D-PRBDP'!</v>
      </c>
      <c r="G2235" s="32" t="s">
        <v>121</v>
      </c>
      <c r="H2235" s="33"/>
      <c r="I2235" s="33"/>
      <c r="J2235" s="37"/>
    </row>
    <row r="2236" spans="1:10" x14ac:dyDescent="0.3">
      <c r="A2236" s="32" t="s">
        <v>17</v>
      </c>
      <c r="B2236" s="32">
        <f t="shared" si="543"/>
        <v>2053</v>
      </c>
      <c r="C2236" s="33" t="s">
        <v>49</v>
      </c>
      <c r="D2236" s="34" t="s">
        <v>2002</v>
      </c>
      <c r="E2236" s="35" t="str">
        <f t="shared" si="541"/>
        <v>PRBDP'!</v>
      </c>
      <c r="F2236" s="34" t="str">
        <f t="shared" si="542"/>
        <v>C:\Users\jaime.benazar\Quorum Business Solutions\Ecopetrol Prometeo - Documents\Planning Space Implementation\3. Analysis &amp; Design\Design\FC22\DRR Jaime\Neiva CPI\[DINA TERCIARIOS_CF_SEC_New_27-Mar-2024.xlsx]D-PRBDP'!</v>
      </c>
      <c r="G2236" s="32" t="s">
        <v>121</v>
      </c>
      <c r="H2236" s="33"/>
      <c r="I2236" s="33"/>
      <c r="J2236" s="37"/>
    </row>
    <row r="2237" spans="1:10" x14ac:dyDescent="0.3">
      <c r="A2237" s="32" t="s">
        <v>17</v>
      </c>
      <c r="B2237" s="32">
        <f t="shared" si="543"/>
        <v>2054</v>
      </c>
      <c r="C2237" s="33" t="s">
        <v>49</v>
      </c>
      <c r="D2237" s="34" t="s">
        <v>2002</v>
      </c>
      <c r="E2237" s="35" t="str">
        <f t="shared" si="541"/>
        <v>PRBDP'!</v>
      </c>
      <c r="F2237" s="34" t="str">
        <f t="shared" si="542"/>
        <v>C:\Users\jaime.benazar\Quorum Business Solutions\Ecopetrol Prometeo - Documents\Planning Space Implementation\3. Analysis &amp; Design\Design\FC22\DRR Jaime\Neiva CPI\[DINA TERCIARIOS_CF_SEC_New_27-Mar-2024.xlsx]D-PRBDP'!</v>
      </c>
      <c r="G2237" s="32" t="s">
        <v>121</v>
      </c>
      <c r="H2237" s="33"/>
      <c r="I2237" s="33"/>
      <c r="J2237" s="37"/>
    </row>
    <row r="2238" spans="1:10" x14ac:dyDescent="0.3">
      <c r="A2238" s="32" t="s">
        <v>17</v>
      </c>
      <c r="B2238" s="32">
        <f t="shared" si="543"/>
        <v>2055</v>
      </c>
      <c r="C2238" s="33" t="s">
        <v>49</v>
      </c>
      <c r="D2238" s="34" t="s">
        <v>2002</v>
      </c>
      <c r="E2238" s="35" t="str">
        <f t="shared" si="541"/>
        <v>PRBDP'!</v>
      </c>
      <c r="F2238" s="34" t="str">
        <f t="shared" si="542"/>
        <v>C:\Users\jaime.benazar\Quorum Business Solutions\Ecopetrol Prometeo - Documents\Planning Space Implementation\3. Analysis &amp; Design\Design\FC22\DRR Jaime\Neiva CPI\[DINA TERCIARIOS_CF_SEC_New_27-Mar-2024.xlsx]D-PRBDP'!</v>
      </c>
      <c r="G2238" s="32" t="s">
        <v>121</v>
      </c>
      <c r="H2238" s="33"/>
      <c r="I2238" s="33"/>
      <c r="J2238" s="37"/>
    </row>
    <row r="2239" spans="1:10" x14ac:dyDescent="0.3">
      <c r="A2239" s="32" t="s">
        <v>17</v>
      </c>
      <c r="B2239" s="32">
        <f t="shared" si="543"/>
        <v>2056</v>
      </c>
      <c r="C2239" s="33" t="s">
        <v>49</v>
      </c>
      <c r="D2239" s="34" t="s">
        <v>2002</v>
      </c>
      <c r="E2239" s="35" t="str">
        <f t="shared" si="541"/>
        <v>PRBDP'!</v>
      </c>
      <c r="F2239" s="34" t="str">
        <f t="shared" si="542"/>
        <v>C:\Users\jaime.benazar\Quorum Business Solutions\Ecopetrol Prometeo - Documents\Planning Space Implementation\3. Analysis &amp; Design\Design\FC22\DRR Jaime\Neiva CPI\[DINA TERCIARIOS_CF_SEC_New_27-Mar-2024.xlsx]D-PRBDP'!</v>
      </c>
      <c r="G2239" s="32" t="s">
        <v>121</v>
      </c>
      <c r="H2239" s="33"/>
      <c r="I2239" s="33"/>
      <c r="J2239" s="37"/>
    </row>
    <row r="2240" spans="1:10" x14ac:dyDescent="0.3">
      <c r="A2240" s="32" t="s">
        <v>17</v>
      </c>
      <c r="B2240" s="32">
        <f t="shared" si="543"/>
        <v>2057</v>
      </c>
      <c r="C2240" s="33" t="s">
        <v>49</v>
      </c>
      <c r="D2240" s="34" t="s">
        <v>2002</v>
      </c>
      <c r="E2240" s="35" t="str">
        <f t="shared" si="541"/>
        <v>PRBDP'!</v>
      </c>
      <c r="F2240" s="34" t="str">
        <f t="shared" si="542"/>
        <v>C:\Users\jaime.benazar\Quorum Business Solutions\Ecopetrol Prometeo - Documents\Planning Space Implementation\3. Analysis &amp; Design\Design\FC22\DRR Jaime\Neiva CPI\[DINA TERCIARIOS_CF_SEC_New_27-Mar-2024.xlsx]D-PRBDP'!</v>
      </c>
      <c r="G2240" s="32" t="s">
        <v>121</v>
      </c>
      <c r="H2240" s="33"/>
      <c r="I2240" s="33"/>
      <c r="J2240" s="37"/>
    </row>
    <row r="2241" spans="1:10" x14ac:dyDescent="0.3">
      <c r="A2241" s="32" t="s">
        <v>17</v>
      </c>
      <c r="B2241" s="32">
        <f t="shared" si="543"/>
        <v>2058</v>
      </c>
      <c r="C2241" s="33" t="s">
        <v>49</v>
      </c>
      <c r="D2241" s="34" t="s">
        <v>2002</v>
      </c>
      <c r="E2241" s="35" t="str">
        <f t="shared" si="541"/>
        <v>PRBDP'!</v>
      </c>
      <c r="F2241" s="34" t="str">
        <f t="shared" si="542"/>
        <v>C:\Users\jaime.benazar\Quorum Business Solutions\Ecopetrol Prometeo - Documents\Planning Space Implementation\3. Analysis &amp; Design\Design\FC22\DRR Jaime\Neiva CPI\[DINA TERCIARIOS_CF_SEC_New_27-Mar-2024.xlsx]D-PRBDP'!</v>
      </c>
      <c r="G2241" s="32" t="s">
        <v>121</v>
      </c>
      <c r="H2241" s="33"/>
      <c r="I2241" s="33"/>
      <c r="J2241" s="37"/>
    </row>
    <row r="2242" spans="1:10" x14ac:dyDescent="0.3">
      <c r="A2242" s="32" t="s">
        <v>17</v>
      </c>
      <c r="B2242" s="32">
        <f t="shared" si="543"/>
        <v>2059</v>
      </c>
      <c r="C2242" s="33" t="s">
        <v>49</v>
      </c>
      <c r="D2242" s="34" t="s">
        <v>2002</v>
      </c>
      <c r="E2242" s="35" t="str">
        <f t="shared" si="541"/>
        <v>PRBDP'!</v>
      </c>
      <c r="F2242" s="34" t="str">
        <f t="shared" si="542"/>
        <v>C:\Users\jaime.benazar\Quorum Business Solutions\Ecopetrol Prometeo - Documents\Planning Space Implementation\3. Analysis &amp; Design\Design\FC22\DRR Jaime\Neiva CPI\[DINA TERCIARIOS_CF_SEC_New_27-Mar-2024.xlsx]D-PRBDP'!</v>
      </c>
      <c r="G2242" s="32" t="s">
        <v>121</v>
      </c>
      <c r="H2242" s="33"/>
      <c r="I2242" s="33"/>
      <c r="J2242" s="37"/>
    </row>
    <row r="2243" spans="1:10" x14ac:dyDescent="0.3">
      <c r="A2243" s="32" t="s">
        <v>26</v>
      </c>
      <c r="B2243" s="32"/>
      <c r="C2243" s="33" t="s">
        <v>49</v>
      </c>
      <c r="D2243" s="34"/>
      <c r="E2243" s="35"/>
      <c r="F2243" s="34"/>
      <c r="G2243" s="32"/>
      <c r="H2243" s="33"/>
      <c r="I2243" s="33"/>
      <c r="J2243" s="33"/>
    </row>
    <row r="2244" spans="1:10" x14ac:dyDescent="0.3">
      <c r="A2244" s="32" t="s">
        <v>18</v>
      </c>
      <c r="B2244" s="32">
        <v>2023</v>
      </c>
      <c r="C2244" s="33" t="s">
        <v>49</v>
      </c>
      <c r="D2244" s="34" t="s">
        <v>2002</v>
      </c>
      <c r="E2244" s="35" t="str">
        <f t="shared" ref="E2244:E2264" si="544">_xlfn.CONCAT(A2244,"'!")</f>
        <v>PRBNP'!</v>
      </c>
      <c r="F2244" s="34" t="str">
        <f t="shared" ref="F2244:F2264" si="545">_xlfn.CONCAT(D2244:E2244)</f>
        <v>C:\Users\jaime.benazar\Quorum Business Solutions\Ecopetrol Prometeo - Documents\Planning Space Implementation\3. Analysis &amp; Design\Design\FC22\DRR Jaime\Neiva CPI\[DINA TERCIARIOS_CF_SEC_New_27-Mar-2024.xlsx]D-PRBNP'!</v>
      </c>
      <c r="G2244" s="32" t="s">
        <v>121</v>
      </c>
      <c r="H2244" s="33"/>
      <c r="I2244" s="33"/>
      <c r="J2244" s="37"/>
    </row>
    <row r="2245" spans="1:10" x14ac:dyDescent="0.3">
      <c r="A2245" s="32" t="s">
        <v>18</v>
      </c>
      <c r="B2245" s="32">
        <f>+B2244+1</f>
        <v>2024</v>
      </c>
      <c r="C2245" s="33" t="s">
        <v>49</v>
      </c>
      <c r="D2245" s="34" t="s">
        <v>2002</v>
      </c>
      <c r="E2245" s="35" t="str">
        <f t="shared" si="544"/>
        <v>PRBNP'!</v>
      </c>
      <c r="F2245" s="34" t="str">
        <f t="shared" si="545"/>
        <v>C:\Users\jaime.benazar\Quorum Business Solutions\Ecopetrol Prometeo - Documents\Planning Space Implementation\3. Analysis &amp; Design\Design\FC22\DRR Jaime\Neiva CPI\[DINA TERCIARIOS_CF_SEC_New_27-Mar-2024.xlsx]D-PRBNP'!</v>
      </c>
      <c r="G2245" s="32" t="s">
        <v>121</v>
      </c>
      <c r="H2245" s="33"/>
      <c r="I2245" s="33"/>
      <c r="J2245" s="37"/>
    </row>
    <row r="2246" spans="1:10" x14ac:dyDescent="0.3">
      <c r="A2246" s="32" t="s">
        <v>18</v>
      </c>
      <c r="B2246" s="32">
        <f t="shared" ref="B2246:B2257" si="546">+B2245+1</f>
        <v>2025</v>
      </c>
      <c r="C2246" s="33" t="s">
        <v>49</v>
      </c>
      <c r="D2246" s="34" t="s">
        <v>2002</v>
      </c>
      <c r="E2246" s="35" t="str">
        <f t="shared" si="544"/>
        <v>PRBNP'!</v>
      </c>
      <c r="F2246" s="34" t="str">
        <f t="shared" si="545"/>
        <v>C:\Users\jaime.benazar\Quorum Business Solutions\Ecopetrol Prometeo - Documents\Planning Space Implementation\3. Analysis &amp; Design\Design\FC22\DRR Jaime\Neiva CPI\[DINA TERCIARIOS_CF_SEC_New_27-Mar-2024.xlsx]D-PRBNP'!</v>
      </c>
      <c r="G2246" s="32" t="s">
        <v>121</v>
      </c>
      <c r="H2246" s="33"/>
      <c r="I2246" s="33"/>
      <c r="J2246" s="37"/>
    </row>
    <row r="2247" spans="1:10" x14ac:dyDescent="0.3">
      <c r="A2247" s="32" t="s">
        <v>18</v>
      </c>
      <c r="B2247" s="32">
        <f t="shared" si="546"/>
        <v>2026</v>
      </c>
      <c r="C2247" s="33" t="s">
        <v>49</v>
      </c>
      <c r="D2247" s="34" t="s">
        <v>2002</v>
      </c>
      <c r="E2247" s="35" t="str">
        <f t="shared" si="544"/>
        <v>PRBNP'!</v>
      </c>
      <c r="F2247" s="34" t="str">
        <f t="shared" si="545"/>
        <v>C:\Users\jaime.benazar\Quorum Business Solutions\Ecopetrol Prometeo - Documents\Planning Space Implementation\3. Analysis &amp; Design\Design\FC22\DRR Jaime\Neiva CPI\[DINA TERCIARIOS_CF_SEC_New_27-Mar-2024.xlsx]D-PRBNP'!</v>
      </c>
      <c r="G2247" s="32" t="s">
        <v>121</v>
      </c>
      <c r="H2247" s="33"/>
      <c r="I2247" s="33"/>
      <c r="J2247" s="37"/>
    </row>
    <row r="2248" spans="1:10" x14ac:dyDescent="0.3">
      <c r="A2248" s="32" t="s">
        <v>18</v>
      </c>
      <c r="B2248" s="32">
        <f t="shared" si="546"/>
        <v>2027</v>
      </c>
      <c r="C2248" s="33" t="s">
        <v>49</v>
      </c>
      <c r="D2248" s="34" t="s">
        <v>2002</v>
      </c>
      <c r="E2248" s="35" t="str">
        <f t="shared" si="544"/>
        <v>PRBNP'!</v>
      </c>
      <c r="F2248" s="34" t="str">
        <f t="shared" si="545"/>
        <v>C:\Users\jaime.benazar\Quorum Business Solutions\Ecopetrol Prometeo - Documents\Planning Space Implementation\3. Analysis &amp; Design\Design\FC22\DRR Jaime\Neiva CPI\[DINA TERCIARIOS_CF_SEC_New_27-Mar-2024.xlsx]D-PRBNP'!</v>
      </c>
      <c r="G2248" s="32" t="s">
        <v>121</v>
      </c>
      <c r="H2248" s="33"/>
      <c r="I2248" s="33"/>
      <c r="J2248" s="37"/>
    </row>
    <row r="2249" spans="1:10" x14ac:dyDescent="0.3">
      <c r="A2249" s="32" t="s">
        <v>18</v>
      </c>
      <c r="B2249" s="32">
        <f t="shared" si="546"/>
        <v>2028</v>
      </c>
      <c r="C2249" s="33" t="s">
        <v>49</v>
      </c>
      <c r="D2249" s="34" t="s">
        <v>2002</v>
      </c>
      <c r="E2249" s="35" t="str">
        <f t="shared" si="544"/>
        <v>PRBNP'!</v>
      </c>
      <c r="F2249" s="34" t="str">
        <f t="shared" si="545"/>
        <v>C:\Users\jaime.benazar\Quorum Business Solutions\Ecopetrol Prometeo - Documents\Planning Space Implementation\3. Analysis &amp; Design\Design\FC22\DRR Jaime\Neiva CPI\[DINA TERCIARIOS_CF_SEC_New_27-Mar-2024.xlsx]D-PRBNP'!</v>
      </c>
      <c r="G2249" s="32" t="s">
        <v>121</v>
      </c>
      <c r="H2249" s="33"/>
      <c r="I2249" s="33"/>
      <c r="J2249" s="37"/>
    </row>
    <row r="2250" spans="1:10" x14ac:dyDescent="0.3">
      <c r="A2250" s="32" t="s">
        <v>18</v>
      </c>
      <c r="B2250" s="32">
        <f t="shared" si="546"/>
        <v>2029</v>
      </c>
      <c r="C2250" s="33" t="s">
        <v>49</v>
      </c>
      <c r="D2250" s="34" t="s">
        <v>2002</v>
      </c>
      <c r="E2250" s="35" t="str">
        <f t="shared" si="544"/>
        <v>PRBNP'!</v>
      </c>
      <c r="F2250" s="34" t="str">
        <f t="shared" si="545"/>
        <v>C:\Users\jaime.benazar\Quorum Business Solutions\Ecopetrol Prometeo - Documents\Planning Space Implementation\3. Analysis &amp; Design\Design\FC22\DRR Jaime\Neiva CPI\[DINA TERCIARIOS_CF_SEC_New_27-Mar-2024.xlsx]D-PRBNP'!</v>
      </c>
      <c r="G2250" s="32" t="s">
        <v>121</v>
      </c>
      <c r="H2250" s="33"/>
      <c r="I2250" s="33"/>
      <c r="J2250" s="37"/>
    </row>
    <row r="2251" spans="1:10" x14ac:dyDescent="0.3">
      <c r="A2251" s="32" t="s">
        <v>18</v>
      </c>
      <c r="B2251" s="32">
        <f t="shared" si="546"/>
        <v>2030</v>
      </c>
      <c r="C2251" s="33" t="s">
        <v>49</v>
      </c>
      <c r="D2251" s="34" t="s">
        <v>2002</v>
      </c>
      <c r="E2251" s="35" t="str">
        <f t="shared" si="544"/>
        <v>PRBNP'!</v>
      </c>
      <c r="F2251" s="34" t="str">
        <f t="shared" si="545"/>
        <v>C:\Users\jaime.benazar\Quorum Business Solutions\Ecopetrol Prometeo - Documents\Planning Space Implementation\3. Analysis &amp; Design\Design\FC22\DRR Jaime\Neiva CPI\[DINA TERCIARIOS_CF_SEC_New_27-Mar-2024.xlsx]D-PRBNP'!</v>
      </c>
      <c r="G2251" s="32" t="s">
        <v>121</v>
      </c>
      <c r="H2251" s="33"/>
      <c r="I2251" s="33"/>
      <c r="J2251" s="37"/>
    </row>
    <row r="2252" spans="1:10" x14ac:dyDescent="0.3">
      <c r="A2252" s="32" t="s">
        <v>18</v>
      </c>
      <c r="B2252" s="32">
        <f t="shared" si="546"/>
        <v>2031</v>
      </c>
      <c r="C2252" s="33" t="s">
        <v>49</v>
      </c>
      <c r="D2252" s="34" t="s">
        <v>2002</v>
      </c>
      <c r="E2252" s="35" t="str">
        <f t="shared" si="544"/>
        <v>PRBNP'!</v>
      </c>
      <c r="F2252" s="34" t="str">
        <f t="shared" si="545"/>
        <v>C:\Users\jaime.benazar\Quorum Business Solutions\Ecopetrol Prometeo - Documents\Planning Space Implementation\3. Analysis &amp; Design\Design\FC22\DRR Jaime\Neiva CPI\[DINA TERCIARIOS_CF_SEC_New_27-Mar-2024.xlsx]D-PRBNP'!</v>
      </c>
      <c r="G2252" s="32" t="s">
        <v>121</v>
      </c>
      <c r="H2252" s="33"/>
      <c r="I2252" s="33"/>
      <c r="J2252" s="37"/>
    </row>
    <row r="2253" spans="1:10" x14ac:dyDescent="0.3">
      <c r="A2253" s="32" t="s">
        <v>18</v>
      </c>
      <c r="B2253" s="32">
        <f t="shared" si="546"/>
        <v>2032</v>
      </c>
      <c r="C2253" s="33" t="s">
        <v>49</v>
      </c>
      <c r="D2253" s="34" t="s">
        <v>2002</v>
      </c>
      <c r="E2253" s="35" t="str">
        <f t="shared" si="544"/>
        <v>PRBNP'!</v>
      </c>
      <c r="F2253" s="34" t="str">
        <f t="shared" si="545"/>
        <v>C:\Users\jaime.benazar\Quorum Business Solutions\Ecopetrol Prometeo - Documents\Planning Space Implementation\3. Analysis &amp; Design\Design\FC22\DRR Jaime\Neiva CPI\[DINA TERCIARIOS_CF_SEC_New_27-Mar-2024.xlsx]D-PRBNP'!</v>
      </c>
      <c r="G2253" s="32" t="s">
        <v>121</v>
      </c>
      <c r="H2253" s="33"/>
      <c r="I2253" s="33"/>
      <c r="J2253" s="37"/>
    </row>
    <row r="2254" spans="1:10" x14ac:dyDescent="0.3">
      <c r="A2254" s="32" t="s">
        <v>18</v>
      </c>
      <c r="B2254" s="32">
        <f t="shared" si="546"/>
        <v>2033</v>
      </c>
      <c r="C2254" s="33" t="s">
        <v>49</v>
      </c>
      <c r="D2254" s="34" t="s">
        <v>2002</v>
      </c>
      <c r="E2254" s="35" t="str">
        <f t="shared" si="544"/>
        <v>PRBNP'!</v>
      </c>
      <c r="F2254" s="34" t="str">
        <f t="shared" si="545"/>
        <v>C:\Users\jaime.benazar\Quorum Business Solutions\Ecopetrol Prometeo - Documents\Planning Space Implementation\3. Analysis &amp; Design\Design\FC22\DRR Jaime\Neiva CPI\[DINA TERCIARIOS_CF_SEC_New_27-Mar-2024.xlsx]D-PRBNP'!</v>
      </c>
      <c r="G2254" s="32" t="s">
        <v>121</v>
      </c>
      <c r="H2254" s="33"/>
      <c r="I2254" s="33"/>
      <c r="J2254" s="37"/>
    </row>
    <row r="2255" spans="1:10" x14ac:dyDescent="0.3">
      <c r="A2255" s="32" t="s">
        <v>18</v>
      </c>
      <c r="B2255" s="32">
        <f t="shared" si="546"/>
        <v>2034</v>
      </c>
      <c r="C2255" s="33" t="s">
        <v>49</v>
      </c>
      <c r="D2255" s="34" t="s">
        <v>2002</v>
      </c>
      <c r="E2255" s="35" t="str">
        <f t="shared" si="544"/>
        <v>PRBNP'!</v>
      </c>
      <c r="F2255" s="34" t="str">
        <f t="shared" si="545"/>
        <v>C:\Users\jaime.benazar\Quorum Business Solutions\Ecopetrol Prometeo - Documents\Planning Space Implementation\3. Analysis &amp; Design\Design\FC22\DRR Jaime\Neiva CPI\[DINA TERCIARIOS_CF_SEC_New_27-Mar-2024.xlsx]D-PRBNP'!</v>
      </c>
      <c r="G2255" s="32" t="s">
        <v>121</v>
      </c>
      <c r="H2255" s="33"/>
      <c r="I2255" s="33"/>
      <c r="J2255" s="37"/>
    </row>
    <row r="2256" spans="1:10" x14ac:dyDescent="0.3">
      <c r="A2256" s="32" t="s">
        <v>18</v>
      </c>
      <c r="B2256" s="32">
        <f t="shared" si="546"/>
        <v>2035</v>
      </c>
      <c r="C2256" s="33" t="s">
        <v>49</v>
      </c>
      <c r="D2256" s="34" t="s">
        <v>2002</v>
      </c>
      <c r="E2256" s="35" t="str">
        <f t="shared" si="544"/>
        <v>PRBNP'!</v>
      </c>
      <c r="F2256" s="34" t="str">
        <f t="shared" si="545"/>
        <v>C:\Users\jaime.benazar\Quorum Business Solutions\Ecopetrol Prometeo - Documents\Planning Space Implementation\3. Analysis &amp; Design\Design\FC22\DRR Jaime\Neiva CPI\[DINA TERCIARIOS_CF_SEC_New_27-Mar-2024.xlsx]D-PRBNP'!</v>
      </c>
      <c r="G2256" s="32" t="s">
        <v>121</v>
      </c>
      <c r="H2256" s="33"/>
      <c r="I2256" s="33"/>
      <c r="J2256" s="37"/>
    </row>
    <row r="2257" spans="1:10" x14ac:dyDescent="0.3">
      <c r="A2257" s="32" t="s">
        <v>18</v>
      </c>
      <c r="B2257" s="32">
        <f t="shared" si="546"/>
        <v>2036</v>
      </c>
      <c r="C2257" s="33" t="s">
        <v>49</v>
      </c>
      <c r="D2257" s="34" t="s">
        <v>2002</v>
      </c>
      <c r="E2257" s="35" t="str">
        <f t="shared" si="544"/>
        <v>PRBNP'!</v>
      </c>
      <c r="F2257" s="34" t="str">
        <f t="shared" si="545"/>
        <v>C:\Users\jaime.benazar\Quorum Business Solutions\Ecopetrol Prometeo - Documents\Planning Space Implementation\3. Analysis &amp; Design\Design\FC22\DRR Jaime\Neiva CPI\[DINA TERCIARIOS_CF_SEC_New_27-Mar-2024.xlsx]D-PRBNP'!</v>
      </c>
      <c r="G2257" s="32" t="s">
        <v>121</v>
      </c>
      <c r="H2257" s="33"/>
      <c r="I2257" s="33"/>
      <c r="J2257" s="37"/>
    </row>
    <row r="2258" spans="1:10" x14ac:dyDescent="0.3">
      <c r="A2258" s="32" t="s">
        <v>18</v>
      </c>
      <c r="B2258" s="32">
        <f>+B2257+1</f>
        <v>2037</v>
      </c>
      <c r="C2258" s="33" t="s">
        <v>49</v>
      </c>
      <c r="D2258" s="34" t="s">
        <v>2002</v>
      </c>
      <c r="E2258" s="35" t="str">
        <f t="shared" si="544"/>
        <v>PRBNP'!</v>
      </c>
      <c r="F2258" s="34" t="str">
        <f t="shared" si="545"/>
        <v>C:\Users\jaime.benazar\Quorum Business Solutions\Ecopetrol Prometeo - Documents\Planning Space Implementation\3. Analysis &amp; Design\Design\FC22\DRR Jaime\Neiva CPI\[DINA TERCIARIOS_CF_SEC_New_27-Mar-2024.xlsx]D-PRBNP'!</v>
      </c>
      <c r="G2258" s="32" t="s">
        <v>121</v>
      </c>
      <c r="H2258" s="33"/>
      <c r="I2258" s="33"/>
      <c r="J2258" s="37"/>
    </row>
    <row r="2259" spans="1:10" x14ac:dyDescent="0.3">
      <c r="A2259" s="32" t="s">
        <v>18</v>
      </c>
      <c r="B2259" s="32">
        <f t="shared" ref="B2259:B2261" si="547">+B2258+1</f>
        <v>2038</v>
      </c>
      <c r="C2259" s="33" t="s">
        <v>49</v>
      </c>
      <c r="D2259" s="34" t="s">
        <v>2002</v>
      </c>
      <c r="E2259" s="35" t="str">
        <f t="shared" si="544"/>
        <v>PRBNP'!</v>
      </c>
      <c r="F2259" s="34" t="str">
        <f t="shared" si="545"/>
        <v>C:\Users\jaime.benazar\Quorum Business Solutions\Ecopetrol Prometeo - Documents\Planning Space Implementation\3. Analysis &amp; Design\Design\FC22\DRR Jaime\Neiva CPI\[DINA TERCIARIOS_CF_SEC_New_27-Mar-2024.xlsx]D-PRBNP'!</v>
      </c>
      <c r="G2259" s="32" t="s">
        <v>121</v>
      </c>
      <c r="H2259" s="33"/>
      <c r="I2259" s="33"/>
      <c r="J2259" s="37"/>
    </row>
    <row r="2260" spans="1:10" x14ac:dyDescent="0.3">
      <c r="A2260" s="32" t="s">
        <v>18</v>
      </c>
      <c r="B2260" s="32">
        <f t="shared" si="547"/>
        <v>2039</v>
      </c>
      <c r="C2260" s="33" t="s">
        <v>49</v>
      </c>
      <c r="D2260" s="34" t="s">
        <v>2002</v>
      </c>
      <c r="E2260" s="35" t="str">
        <f t="shared" si="544"/>
        <v>PRBNP'!</v>
      </c>
      <c r="F2260" s="34" t="str">
        <f t="shared" si="545"/>
        <v>C:\Users\jaime.benazar\Quorum Business Solutions\Ecopetrol Prometeo - Documents\Planning Space Implementation\3. Analysis &amp; Design\Design\FC22\DRR Jaime\Neiva CPI\[DINA TERCIARIOS_CF_SEC_New_27-Mar-2024.xlsx]D-PRBNP'!</v>
      </c>
      <c r="G2260" s="32" t="s">
        <v>121</v>
      </c>
      <c r="H2260" s="33"/>
      <c r="I2260" s="33"/>
      <c r="J2260" s="37"/>
    </row>
    <row r="2261" spans="1:10" x14ac:dyDescent="0.3">
      <c r="A2261" s="32" t="s">
        <v>18</v>
      </c>
      <c r="B2261" s="32">
        <f t="shared" si="547"/>
        <v>2040</v>
      </c>
      <c r="C2261" s="33" t="s">
        <v>49</v>
      </c>
      <c r="D2261" s="34" t="s">
        <v>2002</v>
      </c>
      <c r="E2261" s="35" t="str">
        <f t="shared" si="544"/>
        <v>PRBNP'!</v>
      </c>
      <c r="F2261" s="34" t="str">
        <f t="shared" si="545"/>
        <v>C:\Users\jaime.benazar\Quorum Business Solutions\Ecopetrol Prometeo - Documents\Planning Space Implementation\3. Analysis &amp; Design\Design\FC22\DRR Jaime\Neiva CPI\[DINA TERCIARIOS_CF_SEC_New_27-Mar-2024.xlsx]D-PRBNP'!</v>
      </c>
      <c r="G2261" s="32" t="s">
        <v>121</v>
      </c>
      <c r="H2261" s="33"/>
      <c r="I2261" s="33"/>
      <c r="J2261" s="37"/>
    </row>
    <row r="2262" spans="1:10" x14ac:dyDescent="0.3">
      <c r="A2262" s="32" t="s">
        <v>18</v>
      </c>
      <c r="B2262" s="32">
        <f>+B2261+1</f>
        <v>2041</v>
      </c>
      <c r="C2262" s="33" t="s">
        <v>49</v>
      </c>
      <c r="D2262" s="34" t="s">
        <v>2002</v>
      </c>
      <c r="E2262" s="35" t="str">
        <f t="shared" si="544"/>
        <v>PRBNP'!</v>
      </c>
      <c r="F2262" s="34" t="str">
        <f t="shared" si="545"/>
        <v>C:\Users\jaime.benazar\Quorum Business Solutions\Ecopetrol Prometeo - Documents\Planning Space Implementation\3. Analysis &amp; Design\Design\FC22\DRR Jaime\Neiva CPI\[DINA TERCIARIOS_CF_SEC_New_27-Mar-2024.xlsx]D-PRBNP'!</v>
      </c>
      <c r="G2262" s="32" t="s">
        <v>121</v>
      </c>
      <c r="H2262" s="33"/>
      <c r="I2262" s="33"/>
      <c r="J2262" s="37"/>
    </row>
    <row r="2263" spans="1:10" x14ac:dyDescent="0.3">
      <c r="A2263" s="32" t="s">
        <v>18</v>
      </c>
      <c r="B2263" s="32">
        <f t="shared" ref="B2263:B2264" si="548">+B2262+1</f>
        <v>2042</v>
      </c>
      <c r="C2263" s="33" t="s">
        <v>49</v>
      </c>
      <c r="D2263" s="34" t="s">
        <v>2002</v>
      </c>
      <c r="E2263" s="35" t="str">
        <f t="shared" si="544"/>
        <v>PRBNP'!</v>
      </c>
      <c r="F2263" s="34" t="str">
        <f t="shared" si="545"/>
        <v>C:\Users\jaime.benazar\Quorum Business Solutions\Ecopetrol Prometeo - Documents\Planning Space Implementation\3. Analysis &amp; Design\Design\FC22\DRR Jaime\Neiva CPI\[DINA TERCIARIOS_CF_SEC_New_27-Mar-2024.xlsx]D-PRBNP'!</v>
      </c>
      <c r="G2263" s="32" t="s">
        <v>121</v>
      </c>
      <c r="H2263" s="33"/>
      <c r="I2263" s="33"/>
      <c r="J2263" s="37"/>
    </row>
    <row r="2264" spans="1:10" x14ac:dyDescent="0.3">
      <c r="A2264" s="32" t="s">
        <v>18</v>
      </c>
      <c r="B2264" s="32">
        <f t="shared" si="548"/>
        <v>2043</v>
      </c>
      <c r="C2264" s="33" t="s">
        <v>49</v>
      </c>
      <c r="D2264" s="34" t="s">
        <v>2002</v>
      </c>
      <c r="E2264" s="35" t="str">
        <f t="shared" si="544"/>
        <v>PRBNP'!</v>
      </c>
      <c r="F2264" s="34" t="str">
        <f t="shared" si="545"/>
        <v>C:\Users\jaime.benazar\Quorum Business Solutions\Ecopetrol Prometeo - Documents\Planning Space Implementation\3. Analysis &amp; Design\Design\FC22\DRR Jaime\Neiva CPI\[DINA TERCIARIOS_CF_SEC_New_27-Mar-2024.xlsx]D-PRBNP'!</v>
      </c>
      <c r="G2264" s="32" t="s">
        <v>121</v>
      </c>
      <c r="H2264" s="33"/>
      <c r="I2264" s="33"/>
      <c r="J2264" s="37"/>
    </row>
    <row r="2265" spans="1:10" x14ac:dyDescent="0.3">
      <c r="A2265" s="32" t="s">
        <v>18</v>
      </c>
      <c r="B2265" s="32">
        <f>+B2264+1</f>
        <v>2044</v>
      </c>
      <c r="C2265" s="33" t="s">
        <v>49</v>
      </c>
      <c r="D2265" s="34" t="s">
        <v>2002</v>
      </c>
      <c r="E2265" s="35" t="str">
        <f t="shared" ref="E2265:E2280" si="549">_xlfn.CONCAT(A2265,"'!")</f>
        <v>PRBNP'!</v>
      </c>
      <c r="F2265" s="34" t="str">
        <f t="shared" ref="F2265:F2280" si="550">_xlfn.CONCAT(D2265:E2265)</f>
        <v>C:\Users\jaime.benazar\Quorum Business Solutions\Ecopetrol Prometeo - Documents\Planning Space Implementation\3. Analysis &amp; Design\Design\FC22\DRR Jaime\Neiva CPI\[DINA TERCIARIOS_CF_SEC_New_27-Mar-2024.xlsx]D-PRBNP'!</v>
      </c>
      <c r="G2265" s="32" t="s">
        <v>121</v>
      </c>
      <c r="H2265" s="33"/>
      <c r="I2265" s="33"/>
      <c r="J2265" s="37"/>
    </row>
    <row r="2266" spans="1:10" x14ac:dyDescent="0.3">
      <c r="A2266" s="32" t="s">
        <v>18</v>
      </c>
      <c r="B2266" s="32">
        <f t="shared" ref="B2266:B2280" si="551">+B2265+1</f>
        <v>2045</v>
      </c>
      <c r="C2266" s="33" t="s">
        <v>49</v>
      </c>
      <c r="D2266" s="34" t="s">
        <v>2002</v>
      </c>
      <c r="E2266" s="35" t="str">
        <f t="shared" si="549"/>
        <v>PRBNP'!</v>
      </c>
      <c r="F2266" s="34" t="str">
        <f t="shared" si="550"/>
        <v>C:\Users\jaime.benazar\Quorum Business Solutions\Ecopetrol Prometeo - Documents\Planning Space Implementation\3. Analysis &amp; Design\Design\FC22\DRR Jaime\Neiva CPI\[DINA TERCIARIOS_CF_SEC_New_27-Mar-2024.xlsx]D-PRBNP'!</v>
      </c>
      <c r="G2266" s="32" t="s">
        <v>121</v>
      </c>
      <c r="H2266" s="33"/>
      <c r="I2266" s="33"/>
      <c r="J2266" s="37"/>
    </row>
    <row r="2267" spans="1:10" x14ac:dyDescent="0.3">
      <c r="A2267" s="32" t="s">
        <v>18</v>
      </c>
      <c r="B2267" s="32">
        <f t="shared" si="551"/>
        <v>2046</v>
      </c>
      <c r="C2267" s="33" t="s">
        <v>49</v>
      </c>
      <c r="D2267" s="34" t="s">
        <v>2002</v>
      </c>
      <c r="E2267" s="35" t="str">
        <f t="shared" si="549"/>
        <v>PRBNP'!</v>
      </c>
      <c r="F2267" s="34" t="str">
        <f t="shared" si="550"/>
        <v>C:\Users\jaime.benazar\Quorum Business Solutions\Ecopetrol Prometeo - Documents\Planning Space Implementation\3. Analysis &amp; Design\Design\FC22\DRR Jaime\Neiva CPI\[DINA TERCIARIOS_CF_SEC_New_27-Mar-2024.xlsx]D-PRBNP'!</v>
      </c>
      <c r="G2267" s="32" t="s">
        <v>121</v>
      </c>
      <c r="H2267" s="33"/>
      <c r="I2267" s="33"/>
      <c r="J2267" s="37"/>
    </row>
    <row r="2268" spans="1:10" x14ac:dyDescent="0.3">
      <c r="A2268" s="32" t="s">
        <v>18</v>
      </c>
      <c r="B2268" s="32">
        <f t="shared" si="551"/>
        <v>2047</v>
      </c>
      <c r="C2268" s="33" t="s">
        <v>49</v>
      </c>
      <c r="D2268" s="34" t="s">
        <v>2002</v>
      </c>
      <c r="E2268" s="35" t="str">
        <f t="shared" si="549"/>
        <v>PRBNP'!</v>
      </c>
      <c r="F2268" s="34" t="str">
        <f t="shared" si="550"/>
        <v>C:\Users\jaime.benazar\Quorum Business Solutions\Ecopetrol Prometeo - Documents\Planning Space Implementation\3. Analysis &amp; Design\Design\FC22\DRR Jaime\Neiva CPI\[DINA TERCIARIOS_CF_SEC_New_27-Mar-2024.xlsx]D-PRBNP'!</v>
      </c>
      <c r="G2268" s="32" t="s">
        <v>121</v>
      </c>
      <c r="H2268" s="33"/>
      <c r="I2268" s="33"/>
      <c r="J2268" s="37"/>
    </row>
    <row r="2269" spans="1:10" x14ac:dyDescent="0.3">
      <c r="A2269" s="32" t="s">
        <v>18</v>
      </c>
      <c r="B2269" s="32">
        <f t="shared" si="551"/>
        <v>2048</v>
      </c>
      <c r="C2269" s="33" t="s">
        <v>49</v>
      </c>
      <c r="D2269" s="34" t="s">
        <v>2002</v>
      </c>
      <c r="E2269" s="35" t="str">
        <f t="shared" si="549"/>
        <v>PRBNP'!</v>
      </c>
      <c r="F2269" s="34" t="str">
        <f t="shared" si="550"/>
        <v>C:\Users\jaime.benazar\Quorum Business Solutions\Ecopetrol Prometeo - Documents\Planning Space Implementation\3. Analysis &amp; Design\Design\FC22\DRR Jaime\Neiva CPI\[DINA TERCIARIOS_CF_SEC_New_27-Mar-2024.xlsx]D-PRBNP'!</v>
      </c>
      <c r="G2269" s="32" t="s">
        <v>121</v>
      </c>
      <c r="H2269" s="33"/>
      <c r="I2269" s="33"/>
      <c r="J2269" s="37"/>
    </row>
    <row r="2270" spans="1:10" x14ac:dyDescent="0.3">
      <c r="A2270" s="32" t="s">
        <v>18</v>
      </c>
      <c r="B2270" s="32">
        <f t="shared" si="551"/>
        <v>2049</v>
      </c>
      <c r="C2270" s="33" t="s">
        <v>49</v>
      </c>
      <c r="D2270" s="34" t="s">
        <v>2002</v>
      </c>
      <c r="E2270" s="35" t="str">
        <f t="shared" si="549"/>
        <v>PRBNP'!</v>
      </c>
      <c r="F2270" s="34" t="str">
        <f t="shared" si="550"/>
        <v>C:\Users\jaime.benazar\Quorum Business Solutions\Ecopetrol Prometeo - Documents\Planning Space Implementation\3. Analysis &amp; Design\Design\FC22\DRR Jaime\Neiva CPI\[DINA TERCIARIOS_CF_SEC_New_27-Mar-2024.xlsx]D-PRBNP'!</v>
      </c>
      <c r="G2270" s="32" t="s">
        <v>121</v>
      </c>
      <c r="H2270" s="33"/>
      <c r="I2270" s="33"/>
      <c r="J2270" s="37"/>
    </row>
    <row r="2271" spans="1:10" x14ac:dyDescent="0.3">
      <c r="A2271" s="32" t="s">
        <v>18</v>
      </c>
      <c r="B2271" s="32">
        <f t="shared" si="551"/>
        <v>2050</v>
      </c>
      <c r="C2271" s="33" t="s">
        <v>49</v>
      </c>
      <c r="D2271" s="34" t="s">
        <v>2002</v>
      </c>
      <c r="E2271" s="35" t="str">
        <f t="shared" si="549"/>
        <v>PRBNP'!</v>
      </c>
      <c r="F2271" s="34" t="str">
        <f t="shared" si="550"/>
        <v>C:\Users\jaime.benazar\Quorum Business Solutions\Ecopetrol Prometeo - Documents\Planning Space Implementation\3. Analysis &amp; Design\Design\FC22\DRR Jaime\Neiva CPI\[DINA TERCIARIOS_CF_SEC_New_27-Mar-2024.xlsx]D-PRBNP'!</v>
      </c>
      <c r="G2271" s="32" t="s">
        <v>121</v>
      </c>
      <c r="H2271" s="33"/>
      <c r="I2271" s="33"/>
      <c r="J2271" s="37"/>
    </row>
    <row r="2272" spans="1:10" x14ac:dyDescent="0.3">
      <c r="A2272" s="32" t="s">
        <v>18</v>
      </c>
      <c r="B2272" s="32">
        <f t="shared" si="551"/>
        <v>2051</v>
      </c>
      <c r="C2272" s="33" t="s">
        <v>49</v>
      </c>
      <c r="D2272" s="34" t="s">
        <v>2002</v>
      </c>
      <c r="E2272" s="35" t="str">
        <f t="shared" si="549"/>
        <v>PRBNP'!</v>
      </c>
      <c r="F2272" s="34" t="str">
        <f t="shared" si="550"/>
        <v>C:\Users\jaime.benazar\Quorum Business Solutions\Ecopetrol Prometeo - Documents\Planning Space Implementation\3. Analysis &amp; Design\Design\FC22\DRR Jaime\Neiva CPI\[DINA TERCIARIOS_CF_SEC_New_27-Mar-2024.xlsx]D-PRBNP'!</v>
      </c>
      <c r="G2272" s="32" t="s">
        <v>121</v>
      </c>
      <c r="H2272" s="33"/>
      <c r="I2272" s="33"/>
      <c r="J2272" s="37"/>
    </row>
    <row r="2273" spans="1:10" x14ac:dyDescent="0.3">
      <c r="A2273" s="32" t="s">
        <v>18</v>
      </c>
      <c r="B2273" s="32">
        <f t="shared" si="551"/>
        <v>2052</v>
      </c>
      <c r="C2273" s="33" t="s">
        <v>49</v>
      </c>
      <c r="D2273" s="34" t="s">
        <v>2002</v>
      </c>
      <c r="E2273" s="35" t="str">
        <f t="shared" si="549"/>
        <v>PRBNP'!</v>
      </c>
      <c r="F2273" s="34" t="str">
        <f t="shared" si="550"/>
        <v>C:\Users\jaime.benazar\Quorum Business Solutions\Ecopetrol Prometeo - Documents\Planning Space Implementation\3. Analysis &amp; Design\Design\FC22\DRR Jaime\Neiva CPI\[DINA TERCIARIOS_CF_SEC_New_27-Mar-2024.xlsx]D-PRBNP'!</v>
      </c>
      <c r="G2273" s="32" t="s">
        <v>121</v>
      </c>
      <c r="H2273" s="33"/>
      <c r="I2273" s="33"/>
      <c r="J2273" s="37"/>
    </row>
    <row r="2274" spans="1:10" x14ac:dyDescent="0.3">
      <c r="A2274" s="32" t="s">
        <v>18</v>
      </c>
      <c r="B2274" s="32">
        <f t="shared" si="551"/>
        <v>2053</v>
      </c>
      <c r="C2274" s="33" t="s">
        <v>49</v>
      </c>
      <c r="D2274" s="34" t="s">
        <v>2002</v>
      </c>
      <c r="E2274" s="35" t="str">
        <f t="shared" si="549"/>
        <v>PRBNP'!</v>
      </c>
      <c r="F2274" s="34" t="str">
        <f t="shared" si="550"/>
        <v>C:\Users\jaime.benazar\Quorum Business Solutions\Ecopetrol Prometeo - Documents\Planning Space Implementation\3. Analysis &amp; Design\Design\FC22\DRR Jaime\Neiva CPI\[DINA TERCIARIOS_CF_SEC_New_27-Mar-2024.xlsx]D-PRBNP'!</v>
      </c>
      <c r="G2274" s="32" t="s">
        <v>121</v>
      </c>
      <c r="H2274" s="33"/>
      <c r="I2274" s="33"/>
      <c r="J2274" s="37"/>
    </row>
    <row r="2275" spans="1:10" x14ac:dyDescent="0.3">
      <c r="A2275" s="32" t="s">
        <v>18</v>
      </c>
      <c r="B2275" s="32">
        <f t="shared" si="551"/>
        <v>2054</v>
      </c>
      <c r="C2275" s="33" t="s">
        <v>49</v>
      </c>
      <c r="D2275" s="34" t="s">
        <v>2002</v>
      </c>
      <c r="E2275" s="35" t="str">
        <f t="shared" si="549"/>
        <v>PRBNP'!</v>
      </c>
      <c r="F2275" s="34" t="str">
        <f t="shared" si="550"/>
        <v>C:\Users\jaime.benazar\Quorum Business Solutions\Ecopetrol Prometeo - Documents\Planning Space Implementation\3. Analysis &amp; Design\Design\FC22\DRR Jaime\Neiva CPI\[DINA TERCIARIOS_CF_SEC_New_27-Mar-2024.xlsx]D-PRBNP'!</v>
      </c>
      <c r="G2275" s="32" t="s">
        <v>121</v>
      </c>
      <c r="H2275" s="33"/>
      <c r="I2275" s="33"/>
      <c r="J2275" s="37"/>
    </row>
    <row r="2276" spans="1:10" x14ac:dyDescent="0.3">
      <c r="A2276" s="32" t="s">
        <v>18</v>
      </c>
      <c r="B2276" s="32">
        <f t="shared" si="551"/>
        <v>2055</v>
      </c>
      <c r="C2276" s="33" t="s">
        <v>49</v>
      </c>
      <c r="D2276" s="34" t="s">
        <v>2002</v>
      </c>
      <c r="E2276" s="35" t="str">
        <f t="shared" si="549"/>
        <v>PRBNP'!</v>
      </c>
      <c r="F2276" s="34" t="str">
        <f t="shared" si="550"/>
        <v>C:\Users\jaime.benazar\Quorum Business Solutions\Ecopetrol Prometeo - Documents\Planning Space Implementation\3. Analysis &amp; Design\Design\FC22\DRR Jaime\Neiva CPI\[DINA TERCIARIOS_CF_SEC_New_27-Mar-2024.xlsx]D-PRBNP'!</v>
      </c>
      <c r="G2276" s="32" t="s">
        <v>121</v>
      </c>
      <c r="H2276" s="33"/>
      <c r="I2276" s="33"/>
      <c r="J2276" s="37"/>
    </row>
    <row r="2277" spans="1:10" x14ac:dyDescent="0.3">
      <c r="A2277" s="32" t="s">
        <v>18</v>
      </c>
      <c r="B2277" s="32">
        <f t="shared" si="551"/>
        <v>2056</v>
      </c>
      <c r="C2277" s="33" t="s">
        <v>49</v>
      </c>
      <c r="D2277" s="34" t="s">
        <v>2002</v>
      </c>
      <c r="E2277" s="35" t="str">
        <f t="shared" si="549"/>
        <v>PRBNP'!</v>
      </c>
      <c r="F2277" s="34" t="str">
        <f t="shared" si="550"/>
        <v>C:\Users\jaime.benazar\Quorum Business Solutions\Ecopetrol Prometeo - Documents\Planning Space Implementation\3. Analysis &amp; Design\Design\FC22\DRR Jaime\Neiva CPI\[DINA TERCIARIOS_CF_SEC_New_27-Mar-2024.xlsx]D-PRBNP'!</v>
      </c>
      <c r="G2277" s="32" t="s">
        <v>121</v>
      </c>
      <c r="H2277" s="33"/>
      <c r="I2277" s="33"/>
      <c r="J2277" s="37"/>
    </row>
    <row r="2278" spans="1:10" x14ac:dyDescent="0.3">
      <c r="A2278" s="32" t="s">
        <v>18</v>
      </c>
      <c r="B2278" s="32">
        <f t="shared" si="551"/>
        <v>2057</v>
      </c>
      <c r="C2278" s="33" t="s">
        <v>49</v>
      </c>
      <c r="D2278" s="34" t="s">
        <v>2002</v>
      </c>
      <c r="E2278" s="35" t="str">
        <f t="shared" si="549"/>
        <v>PRBNP'!</v>
      </c>
      <c r="F2278" s="34" t="str">
        <f t="shared" si="550"/>
        <v>C:\Users\jaime.benazar\Quorum Business Solutions\Ecopetrol Prometeo - Documents\Planning Space Implementation\3. Analysis &amp; Design\Design\FC22\DRR Jaime\Neiva CPI\[DINA TERCIARIOS_CF_SEC_New_27-Mar-2024.xlsx]D-PRBNP'!</v>
      </c>
      <c r="G2278" s="32" t="s">
        <v>121</v>
      </c>
      <c r="H2278" s="33"/>
      <c r="I2278" s="33"/>
      <c r="J2278" s="37"/>
    </row>
    <row r="2279" spans="1:10" x14ac:dyDescent="0.3">
      <c r="A2279" s="32" t="s">
        <v>18</v>
      </c>
      <c r="B2279" s="32">
        <f t="shared" si="551"/>
        <v>2058</v>
      </c>
      <c r="C2279" s="33" t="s">
        <v>49</v>
      </c>
      <c r="D2279" s="34" t="s">
        <v>2002</v>
      </c>
      <c r="E2279" s="35" t="str">
        <f t="shared" si="549"/>
        <v>PRBNP'!</v>
      </c>
      <c r="F2279" s="34" t="str">
        <f t="shared" si="550"/>
        <v>C:\Users\jaime.benazar\Quorum Business Solutions\Ecopetrol Prometeo - Documents\Planning Space Implementation\3. Analysis &amp; Design\Design\FC22\DRR Jaime\Neiva CPI\[DINA TERCIARIOS_CF_SEC_New_27-Mar-2024.xlsx]D-PRBNP'!</v>
      </c>
      <c r="G2279" s="32" t="s">
        <v>121</v>
      </c>
      <c r="H2279" s="33"/>
      <c r="I2279" s="33"/>
      <c r="J2279" s="37"/>
    </row>
    <row r="2280" spans="1:10" x14ac:dyDescent="0.3">
      <c r="A2280" s="32" t="s">
        <v>18</v>
      </c>
      <c r="B2280" s="32">
        <f t="shared" si="551"/>
        <v>2059</v>
      </c>
      <c r="C2280" s="33" t="s">
        <v>49</v>
      </c>
      <c r="D2280" s="34" t="s">
        <v>2002</v>
      </c>
      <c r="E2280" s="35" t="str">
        <f t="shared" si="549"/>
        <v>PRBNP'!</v>
      </c>
      <c r="F2280" s="34" t="str">
        <f t="shared" si="550"/>
        <v>C:\Users\jaime.benazar\Quorum Business Solutions\Ecopetrol Prometeo - Documents\Planning Space Implementation\3. Analysis &amp; Design\Design\FC22\DRR Jaime\Neiva CPI\[DINA TERCIARIOS_CF_SEC_New_27-Mar-2024.xlsx]D-PRBNP'!</v>
      </c>
      <c r="G2280" s="32" t="s">
        <v>121</v>
      </c>
      <c r="H2280" s="33"/>
      <c r="I2280" s="33"/>
      <c r="J2280" s="37"/>
    </row>
    <row r="2281" spans="1:10" x14ac:dyDescent="0.3">
      <c r="A2281" s="32" t="s">
        <v>26</v>
      </c>
      <c r="B2281" s="32"/>
      <c r="C2281" s="33" t="s">
        <v>49</v>
      </c>
      <c r="D2281" s="34"/>
      <c r="E2281" s="35"/>
      <c r="F2281" s="34"/>
      <c r="G2281" s="32"/>
      <c r="H2281" s="33"/>
      <c r="I2281" s="33"/>
      <c r="J2281" s="33"/>
    </row>
    <row r="2282" spans="1:10" x14ac:dyDescent="0.3">
      <c r="A2282" s="32" t="s">
        <v>19</v>
      </c>
      <c r="B2282" s="32">
        <v>2023</v>
      </c>
      <c r="C2282" s="33" t="s">
        <v>49</v>
      </c>
      <c r="D2282" s="34" t="s">
        <v>2002</v>
      </c>
      <c r="E2282" s="35" t="str">
        <f t="shared" ref="E2282:E2302" si="552">_xlfn.CONCAT(A2282,"'!")</f>
        <v>PRBND'!</v>
      </c>
      <c r="F2282" s="34" t="str">
        <f t="shared" ref="F2282:F2302" si="553">_xlfn.CONCAT(D2282:E2282)</f>
        <v>C:\Users\jaime.benazar\Quorum Business Solutions\Ecopetrol Prometeo - Documents\Planning Space Implementation\3. Analysis &amp; Design\Design\FC22\DRR Jaime\Neiva CPI\[DINA TERCIARIOS_CF_SEC_New_27-Mar-2024.xlsx]D-PRBND'!</v>
      </c>
      <c r="G2282" s="32" t="s">
        <v>121</v>
      </c>
      <c r="H2282" s="33"/>
      <c r="I2282" s="33"/>
      <c r="J2282" s="37"/>
    </row>
    <row r="2283" spans="1:10" x14ac:dyDescent="0.3">
      <c r="A2283" s="32" t="s">
        <v>19</v>
      </c>
      <c r="B2283" s="32">
        <f>+B2282+1</f>
        <v>2024</v>
      </c>
      <c r="C2283" s="33" t="s">
        <v>49</v>
      </c>
      <c r="D2283" s="34" t="s">
        <v>2002</v>
      </c>
      <c r="E2283" s="35" t="str">
        <f t="shared" si="552"/>
        <v>PRBND'!</v>
      </c>
      <c r="F2283" s="34" t="str">
        <f t="shared" si="553"/>
        <v>C:\Users\jaime.benazar\Quorum Business Solutions\Ecopetrol Prometeo - Documents\Planning Space Implementation\3. Analysis &amp; Design\Design\FC22\DRR Jaime\Neiva CPI\[DINA TERCIARIOS_CF_SEC_New_27-Mar-2024.xlsx]D-PRBND'!</v>
      </c>
      <c r="G2283" s="32" t="s">
        <v>121</v>
      </c>
      <c r="H2283" s="33"/>
      <c r="I2283" s="33"/>
      <c r="J2283" s="37"/>
    </row>
    <row r="2284" spans="1:10" x14ac:dyDescent="0.3">
      <c r="A2284" s="32" t="s">
        <v>19</v>
      </c>
      <c r="B2284" s="32">
        <f t="shared" ref="B2284:B2295" si="554">+B2283+1</f>
        <v>2025</v>
      </c>
      <c r="C2284" s="33" t="s">
        <v>49</v>
      </c>
      <c r="D2284" s="34" t="s">
        <v>2002</v>
      </c>
      <c r="E2284" s="35" t="str">
        <f t="shared" si="552"/>
        <v>PRBND'!</v>
      </c>
      <c r="F2284" s="34" t="str">
        <f t="shared" si="553"/>
        <v>C:\Users\jaime.benazar\Quorum Business Solutions\Ecopetrol Prometeo - Documents\Planning Space Implementation\3. Analysis &amp; Design\Design\FC22\DRR Jaime\Neiva CPI\[DINA TERCIARIOS_CF_SEC_New_27-Mar-2024.xlsx]D-PRBND'!</v>
      </c>
      <c r="G2284" s="32" t="s">
        <v>121</v>
      </c>
      <c r="H2284" s="33"/>
      <c r="I2284" s="33"/>
      <c r="J2284" s="37"/>
    </row>
    <row r="2285" spans="1:10" x14ac:dyDescent="0.3">
      <c r="A2285" s="32" t="s">
        <v>19</v>
      </c>
      <c r="B2285" s="32">
        <f t="shared" si="554"/>
        <v>2026</v>
      </c>
      <c r="C2285" s="33" t="s">
        <v>49</v>
      </c>
      <c r="D2285" s="34" t="s">
        <v>2002</v>
      </c>
      <c r="E2285" s="35" t="str">
        <f t="shared" si="552"/>
        <v>PRBND'!</v>
      </c>
      <c r="F2285" s="34" t="str">
        <f t="shared" si="553"/>
        <v>C:\Users\jaime.benazar\Quorum Business Solutions\Ecopetrol Prometeo - Documents\Planning Space Implementation\3. Analysis &amp; Design\Design\FC22\DRR Jaime\Neiva CPI\[DINA TERCIARIOS_CF_SEC_New_27-Mar-2024.xlsx]D-PRBND'!</v>
      </c>
      <c r="G2285" s="32" t="s">
        <v>121</v>
      </c>
      <c r="H2285" s="33"/>
      <c r="I2285" s="33"/>
      <c r="J2285" s="37"/>
    </row>
    <row r="2286" spans="1:10" x14ac:dyDescent="0.3">
      <c r="A2286" s="32" t="s">
        <v>19</v>
      </c>
      <c r="B2286" s="32">
        <f t="shared" si="554"/>
        <v>2027</v>
      </c>
      <c r="C2286" s="33" t="s">
        <v>49</v>
      </c>
      <c r="D2286" s="34" t="s">
        <v>2002</v>
      </c>
      <c r="E2286" s="35" t="str">
        <f t="shared" si="552"/>
        <v>PRBND'!</v>
      </c>
      <c r="F2286" s="34" t="str">
        <f t="shared" si="553"/>
        <v>C:\Users\jaime.benazar\Quorum Business Solutions\Ecopetrol Prometeo - Documents\Planning Space Implementation\3. Analysis &amp; Design\Design\FC22\DRR Jaime\Neiva CPI\[DINA TERCIARIOS_CF_SEC_New_27-Mar-2024.xlsx]D-PRBND'!</v>
      </c>
      <c r="G2286" s="32" t="s">
        <v>121</v>
      </c>
      <c r="H2286" s="33"/>
      <c r="I2286" s="33"/>
      <c r="J2286" s="37"/>
    </row>
    <row r="2287" spans="1:10" x14ac:dyDescent="0.3">
      <c r="A2287" s="32" t="s">
        <v>19</v>
      </c>
      <c r="B2287" s="32">
        <f t="shared" si="554"/>
        <v>2028</v>
      </c>
      <c r="C2287" s="33" t="s">
        <v>49</v>
      </c>
      <c r="D2287" s="34" t="s">
        <v>2002</v>
      </c>
      <c r="E2287" s="35" t="str">
        <f t="shared" si="552"/>
        <v>PRBND'!</v>
      </c>
      <c r="F2287" s="34" t="str">
        <f t="shared" si="553"/>
        <v>C:\Users\jaime.benazar\Quorum Business Solutions\Ecopetrol Prometeo - Documents\Planning Space Implementation\3. Analysis &amp; Design\Design\FC22\DRR Jaime\Neiva CPI\[DINA TERCIARIOS_CF_SEC_New_27-Mar-2024.xlsx]D-PRBND'!</v>
      </c>
      <c r="G2287" s="32" t="s">
        <v>121</v>
      </c>
      <c r="H2287" s="33"/>
      <c r="I2287" s="33"/>
      <c r="J2287" s="37"/>
    </row>
    <row r="2288" spans="1:10" x14ac:dyDescent="0.3">
      <c r="A2288" s="32" t="s">
        <v>19</v>
      </c>
      <c r="B2288" s="32">
        <f t="shared" si="554"/>
        <v>2029</v>
      </c>
      <c r="C2288" s="33" t="s">
        <v>49</v>
      </c>
      <c r="D2288" s="34" t="s">
        <v>2002</v>
      </c>
      <c r="E2288" s="35" t="str">
        <f t="shared" si="552"/>
        <v>PRBND'!</v>
      </c>
      <c r="F2288" s="34" t="str">
        <f t="shared" si="553"/>
        <v>C:\Users\jaime.benazar\Quorum Business Solutions\Ecopetrol Prometeo - Documents\Planning Space Implementation\3. Analysis &amp; Design\Design\FC22\DRR Jaime\Neiva CPI\[DINA TERCIARIOS_CF_SEC_New_27-Mar-2024.xlsx]D-PRBND'!</v>
      </c>
      <c r="G2288" s="32" t="s">
        <v>121</v>
      </c>
      <c r="H2288" s="33"/>
      <c r="I2288" s="33"/>
      <c r="J2288" s="37"/>
    </row>
    <row r="2289" spans="1:10" x14ac:dyDescent="0.3">
      <c r="A2289" s="32" t="s">
        <v>19</v>
      </c>
      <c r="B2289" s="32">
        <f t="shared" si="554"/>
        <v>2030</v>
      </c>
      <c r="C2289" s="33" t="s">
        <v>49</v>
      </c>
      <c r="D2289" s="34" t="s">
        <v>2002</v>
      </c>
      <c r="E2289" s="35" t="str">
        <f t="shared" si="552"/>
        <v>PRBND'!</v>
      </c>
      <c r="F2289" s="34" t="str">
        <f t="shared" si="553"/>
        <v>C:\Users\jaime.benazar\Quorum Business Solutions\Ecopetrol Prometeo - Documents\Planning Space Implementation\3. Analysis &amp; Design\Design\FC22\DRR Jaime\Neiva CPI\[DINA TERCIARIOS_CF_SEC_New_27-Mar-2024.xlsx]D-PRBND'!</v>
      </c>
      <c r="G2289" s="32" t="s">
        <v>121</v>
      </c>
      <c r="H2289" s="33"/>
      <c r="I2289" s="33"/>
      <c r="J2289" s="37"/>
    </row>
    <row r="2290" spans="1:10" x14ac:dyDescent="0.3">
      <c r="A2290" s="32" t="s">
        <v>19</v>
      </c>
      <c r="B2290" s="32">
        <f t="shared" si="554"/>
        <v>2031</v>
      </c>
      <c r="C2290" s="33" t="s">
        <v>49</v>
      </c>
      <c r="D2290" s="34" t="s">
        <v>2002</v>
      </c>
      <c r="E2290" s="35" t="str">
        <f t="shared" si="552"/>
        <v>PRBND'!</v>
      </c>
      <c r="F2290" s="34" t="str">
        <f t="shared" si="553"/>
        <v>C:\Users\jaime.benazar\Quorum Business Solutions\Ecopetrol Prometeo - Documents\Planning Space Implementation\3. Analysis &amp; Design\Design\FC22\DRR Jaime\Neiva CPI\[DINA TERCIARIOS_CF_SEC_New_27-Mar-2024.xlsx]D-PRBND'!</v>
      </c>
      <c r="G2290" s="32" t="s">
        <v>121</v>
      </c>
      <c r="H2290" s="33"/>
      <c r="I2290" s="33"/>
      <c r="J2290" s="37"/>
    </row>
    <row r="2291" spans="1:10" x14ac:dyDescent="0.3">
      <c r="A2291" s="32" t="s">
        <v>19</v>
      </c>
      <c r="B2291" s="32">
        <f t="shared" si="554"/>
        <v>2032</v>
      </c>
      <c r="C2291" s="33" t="s">
        <v>49</v>
      </c>
      <c r="D2291" s="34" t="s">
        <v>2002</v>
      </c>
      <c r="E2291" s="35" t="str">
        <f t="shared" si="552"/>
        <v>PRBND'!</v>
      </c>
      <c r="F2291" s="34" t="str">
        <f t="shared" si="553"/>
        <v>C:\Users\jaime.benazar\Quorum Business Solutions\Ecopetrol Prometeo - Documents\Planning Space Implementation\3. Analysis &amp; Design\Design\FC22\DRR Jaime\Neiva CPI\[DINA TERCIARIOS_CF_SEC_New_27-Mar-2024.xlsx]D-PRBND'!</v>
      </c>
      <c r="G2291" s="32" t="s">
        <v>121</v>
      </c>
      <c r="H2291" s="33"/>
      <c r="I2291" s="33"/>
      <c r="J2291" s="37"/>
    </row>
    <row r="2292" spans="1:10" x14ac:dyDescent="0.3">
      <c r="A2292" s="32" t="s">
        <v>19</v>
      </c>
      <c r="B2292" s="32">
        <f t="shared" si="554"/>
        <v>2033</v>
      </c>
      <c r="C2292" s="33" t="s">
        <v>49</v>
      </c>
      <c r="D2292" s="34" t="s">
        <v>2002</v>
      </c>
      <c r="E2292" s="35" t="str">
        <f t="shared" si="552"/>
        <v>PRBND'!</v>
      </c>
      <c r="F2292" s="34" t="str">
        <f t="shared" si="553"/>
        <v>C:\Users\jaime.benazar\Quorum Business Solutions\Ecopetrol Prometeo - Documents\Planning Space Implementation\3. Analysis &amp; Design\Design\FC22\DRR Jaime\Neiva CPI\[DINA TERCIARIOS_CF_SEC_New_27-Mar-2024.xlsx]D-PRBND'!</v>
      </c>
      <c r="G2292" s="32" t="s">
        <v>121</v>
      </c>
      <c r="H2292" s="33"/>
      <c r="I2292" s="33"/>
      <c r="J2292" s="37"/>
    </row>
    <row r="2293" spans="1:10" x14ac:dyDescent="0.3">
      <c r="A2293" s="32" t="s">
        <v>19</v>
      </c>
      <c r="B2293" s="32">
        <f t="shared" si="554"/>
        <v>2034</v>
      </c>
      <c r="C2293" s="33" t="s">
        <v>49</v>
      </c>
      <c r="D2293" s="34" t="s">
        <v>2002</v>
      </c>
      <c r="E2293" s="35" t="str">
        <f t="shared" si="552"/>
        <v>PRBND'!</v>
      </c>
      <c r="F2293" s="34" t="str">
        <f t="shared" si="553"/>
        <v>C:\Users\jaime.benazar\Quorum Business Solutions\Ecopetrol Prometeo - Documents\Planning Space Implementation\3. Analysis &amp; Design\Design\FC22\DRR Jaime\Neiva CPI\[DINA TERCIARIOS_CF_SEC_New_27-Mar-2024.xlsx]D-PRBND'!</v>
      </c>
      <c r="G2293" s="32" t="s">
        <v>121</v>
      </c>
      <c r="H2293" s="33"/>
      <c r="I2293" s="33"/>
      <c r="J2293" s="37"/>
    </row>
    <row r="2294" spans="1:10" x14ac:dyDescent="0.3">
      <c r="A2294" s="32" t="s">
        <v>19</v>
      </c>
      <c r="B2294" s="32">
        <f t="shared" si="554"/>
        <v>2035</v>
      </c>
      <c r="C2294" s="33" t="s">
        <v>49</v>
      </c>
      <c r="D2294" s="34" t="s">
        <v>2002</v>
      </c>
      <c r="E2294" s="35" t="str">
        <f t="shared" si="552"/>
        <v>PRBND'!</v>
      </c>
      <c r="F2294" s="34" t="str">
        <f t="shared" si="553"/>
        <v>C:\Users\jaime.benazar\Quorum Business Solutions\Ecopetrol Prometeo - Documents\Planning Space Implementation\3. Analysis &amp; Design\Design\FC22\DRR Jaime\Neiva CPI\[DINA TERCIARIOS_CF_SEC_New_27-Mar-2024.xlsx]D-PRBND'!</v>
      </c>
      <c r="G2294" s="32" t="s">
        <v>121</v>
      </c>
      <c r="H2294" s="33"/>
      <c r="I2294" s="33"/>
      <c r="J2294" s="37"/>
    </row>
    <row r="2295" spans="1:10" x14ac:dyDescent="0.3">
      <c r="A2295" s="32" t="s">
        <v>19</v>
      </c>
      <c r="B2295" s="32">
        <f t="shared" si="554"/>
        <v>2036</v>
      </c>
      <c r="C2295" s="33" t="s">
        <v>49</v>
      </c>
      <c r="D2295" s="34" t="s">
        <v>2002</v>
      </c>
      <c r="E2295" s="35" t="str">
        <f t="shared" si="552"/>
        <v>PRBND'!</v>
      </c>
      <c r="F2295" s="34" t="str">
        <f t="shared" si="553"/>
        <v>C:\Users\jaime.benazar\Quorum Business Solutions\Ecopetrol Prometeo - Documents\Planning Space Implementation\3. Analysis &amp; Design\Design\FC22\DRR Jaime\Neiva CPI\[DINA TERCIARIOS_CF_SEC_New_27-Mar-2024.xlsx]D-PRBND'!</v>
      </c>
      <c r="G2295" s="32" t="s">
        <v>121</v>
      </c>
      <c r="H2295" s="33"/>
      <c r="I2295" s="33"/>
      <c r="J2295" s="37"/>
    </row>
    <row r="2296" spans="1:10" x14ac:dyDescent="0.3">
      <c r="A2296" s="32" t="s">
        <v>19</v>
      </c>
      <c r="B2296" s="32">
        <f>+B2295+1</f>
        <v>2037</v>
      </c>
      <c r="C2296" s="33" t="s">
        <v>49</v>
      </c>
      <c r="D2296" s="34" t="s">
        <v>2002</v>
      </c>
      <c r="E2296" s="35" t="str">
        <f t="shared" si="552"/>
        <v>PRBND'!</v>
      </c>
      <c r="F2296" s="34" t="str">
        <f t="shared" si="553"/>
        <v>C:\Users\jaime.benazar\Quorum Business Solutions\Ecopetrol Prometeo - Documents\Planning Space Implementation\3. Analysis &amp; Design\Design\FC22\DRR Jaime\Neiva CPI\[DINA TERCIARIOS_CF_SEC_New_27-Mar-2024.xlsx]D-PRBND'!</v>
      </c>
      <c r="G2296" s="32" t="s">
        <v>121</v>
      </c>
      <c r="H2296" s="33"/>
      <c r="I2296" s="33"/>
      <c r="J2296" s="37"/>
    </row>
    <row r="2297" spans="1:10" x14ac:dyDescent="0.3">
      <c r="A2297" s="32" t="s">
        <v>19</v>
      </c>
      <c r="B2297" s="32">
        <f t="shared" ref="B2297:B2299" si="555">+B2296+1</f>
        <v>2038</v>
      </c>
      <c r="C2297" s="33" t="s">
        <v>49</v>
      </c>
      <c r="D2297" s="34" t="s">
        <v>2002</v>
      </c>
      <c r="E2297" s="35" t="str">
        <f t="shared" si="552"/>
        <v>PRBND'!</v>
      </c>
      <c r="F2297" s="34" t="str">
        <f t="shared" si="553"/>
        <v>C:\Users\jaime.benazar\Quorum Business Solutions\Ecopetrol Prometeo - Documents\Planning Space Implementation\3. Analysis &amp; Design\Design\FC22\DRR Jaime\Neiva CPI\[DINA TERCIARIOS_CF_SEC_New_27-Mar-2024.xlsx]D-PRBND'!</v>
      </c>
      <c r="G2297" s="32" t="s">
        <v>121</v>
      </c>
      <c r="H2297" s="33"/>
      <c r="I2297" s="33"/>
      <c r="J2297" s="37"/>
    </row>
    <row r="2298" spans="1:10" x14ac:dyDescent="0.3">
      <c r="A2298" s="32" t="s">
        <v>19</v>
      </c>
      <c r="B2298" s="32">
        <f t="shared" si="555"/>
        <v>2039</v>
      </c>
      <c r="C2298" s="33" t="s">
        <v>49</v>
      </c>
      <c r="D2298" s="34" t="s">
        <v>2002</v>
      </c>
      <c r="E2298" s="35" t="str">
        <f t="shared" si="552"/>
        <v>PRBND'!</v>
      </c>
      <c r="F2298" s="34" t="str">
        <f t="shared" si="553"/>
        <v>C:\Users\jaime.benazar\Quorum Business Solutions\Ecopetrol Prometeo - Documents\Planning Space Implementation\3. Analysis &amp; Design\Design\FC22\DRR Jaime\Neiva CPI\[DINA TERCIARIOS_CF_SEC_New_27-Mar-2024.xlsx]D-PRBND'!</v>
      </c>
      <c r="G2298" s="32" t="s">
        <v>121</v>
      </c>
      <c r="H2298" s="33"/>
      <c r="I2298" s="33"/>
      <c r="J2298" s="37"/>
    </row>
    <row r="2299" spans="1:10" x14ac:dyDescent="0.3">
      <c r="A2299" s="32" t="s">
        <v>19</v>
      </c>
      <c r="B2299" s="32">
        <f t="shared" si="555"/>
        <v>2040</v>
      </c>
      <c r="C2299" s="33" t="s">
        <v>49</v>
      </c>
      <c r="D2299" s="34" t="s">
        <v>2002</v>
      </c>
      <c r="E2299" s="35" t="str">
        <f t="shared" si="552"/>
        <v>PRBND'!</v>
      </c>
      <c r="F2299" s="34" t="str">
        <f t="shared" si="553"/>
        <v>C:\Users\jaime.benazar\Quorum Business Solutions\Ecopetrol Prometeo - Documents\Planning Space Implementation\3. Analysis &amp; Design\Design\FC22\DRR Jaime\Neiva CPI\[DINA TERCIARIOS_CF_SEC_New_27-Mar-2024.xlsx]D-PRBND'!</v>
      </c>
      <c r="G2299" s="32" t="s">
        <v>121</v>
      </c>
      <c r="H2299" s="33"/>
      <c r="I2299" s="33"/>
      <c r="J2299" s="37"/>
    </row>
    <row r="2300" spans="1:10" x14ac:dyDescent="0.3">
      <c r="A2300" s="32" t="s">
        <v>19</v>
      </c>
      <c r="B2300" s="32">
        <f>+B2299+1</f>
        <v>2041</v>
      </c>
      <c r="C2300" s="33" t="s">
        <v>49</v>
      </c>
      <c r="D2300" s="34" t="s">
        <v>2002</v>
      </c>
      <c r="E2300" s="35" t="str">
        <f t="shared" si="552"/>
        <v>PRBND'!</v>
      </c>
      <c r="F2300" s="34" t="str">
        <f t="shared" si="553"/>
        <v>C:\Users\jaime.benazar\Quorum Business Solutions\Ecopetrol Prometeo - Documents\Planning Space Implementation\3. Analysis &amp; Design\Design\FC22\DRR Jaime\Neiva CPI\[DINA TERCIARIOS_CF_SEC_New_27-Mar-2024.xlsx]D-PRBND'!</v>
      </c>
      <c r="G2300" s="32" t="s">
        <v>121</v>
      </c>
      <c r="H2300" s="33"/>
      <c r="I2300" s="33"/>
      <c r="J2300" s="37"/>
    </row>
    <row r="2301" spans="1:10" x14ac:dyDescent="0.3">
      <c r="A2301" s="32" t="s">
        <v>19</v>
      </c>
      <c r="B2301" s="32">
        <f t="shared" ref="B2301:B2302" si="556">+B2300+1</f>
        <v>2042</v>
      </c>
      <c r="C2301" s="33" t="s">
        <v>49</v>
      </c>
      <c r="D2301" s="34" t="s">
        <v>2002</v>
      </c>
      <c r="E2301" s="35" t="str">
        <f t="shared" si="552"/>
        <v>PRBND'!</v>
      </c>
      <c r="F2301" s="34" t="str">
        <f t="shared" si="553"/>
        <v>C:\Users\jaime.benazar\Quorum Business Solutions\Ecopetrol Prometeo - Documents\Planning Space Implementation\3. Analysis &amp; Design\Design\FC22\DRR Jaime\Neiva CPI\[DINA TERCIARIOS_CF_SEC_New_27-Mar-2024.xlsx]D-PRBND'!</v>
      </c>
      <c r="G2301" s="32" t="s">
        <v>121</v>
      </c>
      <c r="H2301" s="33"/>
      <c r="I2301" s="33"/>
      <c r="J2301" s="37"/>
    </row>
    <row r="2302" spans="1:10" x14ac:dyDescent="0.3">
      <c r="A2302" s="32" t="s">
        <v>19</v>
      </c>
      <c r="B2302" s="32">
        <f t="shared" si="556"/>
        <v>2043</v>
      </c>
      <c r="C2302" s="33" t="s">
        <v>49</v>
      </c>
      <c r="D2302" s="34" t="s">
        <v>2002</v>
      </c>
      <c r="E2302" s="35" t="str">
        <f t="shared" si="552"/>
        <v>PRBND'!</v>
      </c>
      <c r="F2302" s="34" t="str">
        <f t="shared" si="553"/>
        <v>C:\Users\jaime.benazar\Quorum Business Solutions\Ecopetrol Prometeo - Documents\Planning Space Implementation\3. Analysis &amp; Design\Design\FC22\DRR Jaime\Neiva CPI\[DINA TERCIARIOS_CF_SEC_New_27-Mar-2024.xlsx]D-PRBND'!</v>
      </c>
      <c r="G2302" s="32" t="s">
        <v>121</v>
      </c>
      <c r="H2302" s="33"/>
      <c r="I2302" s="33"/>
      <c r="J2302" s="37"/>
    </row>
    <row r="2303" spans="1:10" x14ac:dyDescent="0.3">
      <c r="A2303" s="32" t="s">
        <v>19</v>
      </c>
      <c r="B2303" s="32">
        <f>+B2302+1</f>
        <v>2044</v>
      </c>
      <c r="C2303" s="33" t="s">
        <v>49</v>
      </c>
      <c r="D2303" s="34" t="s">
        <v>2002</v>
      </c>
      <c r="E2303" s="35" t="str">
        <f t="shared" ref="E2303:E2318" si="557">_xlfn.CONCAT(A2303,"'!")</f>
        <v>PRBND'!</v>
      </c>
      <c r="F2303" s="34" t="str">
        <f t="shared" ref="F2303:F2318" si="558">_xlfn.CONCAT(D2303:E2303)</f>
        <v>C:\Users\jaime.benazar\Quorum Business Solutions\Ecopetrol Prometeo - Documents\Planning Space Implementation\3. Analysis &amp; Design\Design\FC22\DRR Jaime\Neiva CPI\[DINA TERCIARIOS_CF_SEC_New_27-Mar-2024.xlsx]D-PRBND'!</v>
      </c>
      <c r="G2303" s="32" t="s">
        <v>121</v>
      </c>
      <c r="H2303" s="33"/>
      <c r="I2303" s="33"/>
      <c r="J2303" s="37"/>
    </row>
    <row r="2304" spans="1:10" x14ac:dyDescent="0.3">
      <c r="A2304" s="32" t="s">
        <v>19</v>
      </c>
      <c r="B2304" s="32">
        <f t="shared" ref="B2304:B2318" si="559">+B2303+1</f>
        <v>2045</v>
      </c>
      <c r="C2304" s="33" t="s">
        <v>49</v>
      </c>
      <c r="D2304" s="34" t="s">
        <v>2002</v>
      </c>
      <c r="E2304" s="35" t="str">
        <f t="shared" si="557"/>
        <v>PRBND'!</v>
      </c>
      <c r="F2304" s="34" t="str">
        <f t="shared" si="558"/>
        <v>C:\Users\jaime.benazar\Quorum Business Solutions\Ecopetrol Prometeo - Documents\Planning Space Implementation\3. Analysis &amp; Design\Design\FC22\DRR Jaime\Neiva CPI\[DINA TERCIARIOS_CF_SEC_New_27-Mar-2024.xlsx]D-PRBND'!</v>
      </c>
      <c r="G2304" s="32" t="s">
        <v>121</v>
      </c>
      <c r="H2304" s="33"/>
      <c r="I2304" s="33"/>
      <c r="J2304" s="37"/>
    </row>
    <row r="2305" spans="1:10" x14ac:dyDescent="0.3">
      <c r="A2305" s="32" t="s">
        <v>19</v>
      </c>
      <c r="B2305" s="32">
        <f t="shared" si="559"/>
        <v>2046</v>
      </c>
      <c r="C2305" s="33" t="s">
        <v>49</v>
      </c>
      <c r="D2305" s="34" t="s">
        <v>2002</v>
      </c>
      <c r="E2305" s="35" t="str">
        <f t="shared" si="557"/>
        <v>PRBND'!</v>
      </c>
      <c r="F2305" s="34" t="str">
        <f t="shared" si="558"/>
        <v>C:\Users\jaime.benazar\Quorum Business Solutions\Ecopetrol Prometeo - Documents\Planning Space Implementation\3. Analysis &amp; Design\Design\FC22\DRR Jaime\Neiva CPI\[DINA TERCIARIOS_CF_SEC_New_27-Mar-2024.xlsx]D-PRBND'!</v>
      </c>
      <c r="G2305" s="32" t="s">
        <v>121</v>
      </c>
      <c r="H2305" s="33"/>
      <c r="I2305" s="33"/>
      <c r="J2305" s="37"/>
    </row>
    <row r="2306" spans="1:10" x14ac:dyDescent="0.3">
      <c r="A2306" s="32" t="s">
        <v>19</v>
      </c>
      <c r="B2306" s="32">
        <f t="shared" si="559"/>
        <v>2047</v>
      </c>
      <c r="C2306" s="33" t="s">
        <v>49</v>
      </c>
      <c r="D2306" s="34" t="s">
        <v>2002</v>
      </c>
      <c r="E2306" s="35" t="str">
        <f t="shared" si="557"/>
        <v>PRBND'!</v>
      </c>
      <c r="F2306" s="34" t="str">
        <f t="shared" si="558"/>
        <v>C:\Users\jaime.benazar\Quorum Business Solutions\Ecopetrol Prometeo - Documents\Planning Space Implementation\3. Analysis &amp; Design\Design\FC22\DRR Jaime\Neiva CPI\[DINA TERCIARIOS_CF_SEC_New_27-Mar-2024.xlsx]D-PRBND'!</v>
      </c>
      <c r="G2306" s="32" t="s">
        <v>121</v>
      </c>
      <c r="H2306" s="33"/>
      <c r="I2306" s="33"/>
      <c r="J2306" s="37"/>
    </row>
    <row r="2307" spans="1:10" x14ac:dyDescent="0.3">
      <c r="A2307" s="32" t="s">
        <v>19</v>
      </c>
      <c r="B2307" s="32">
        <f t="shared" si="559"/>
        <v>2048</v>
      </c>
      <c r="C2307" s="33" t="s">
        <v>49</v>
      </c>
      <c r="D2307" s="34" t="s">
        <v>2002</v>
      </c>
      <c r="E2307" s="35" t="str">
        <f t="shared" si="557"/>
        <v>PRBND'!</v>
      </c>
      <c r="F2307" s="34" t="str">
        <f t="shared" si="558"/>
        <v>C:\Users\jaime.benazar\Quorum Business Solutions\Ecopetrol Prometeo - Documents\Planning Space Implementation\3. Analysis &amp; Design\Design\FC22\DRR Jaime\Neiva CPI\[DINA TERCIARIOS_CF_SEC_New_27-Mar-2024.xlsx]D-PRBND'!</v>
      </c>
      <c r="G2307" s="32" t="s">
        <v>121</v>
      </c>
      <c r="H2307" s="33"/>
      <c r="I2307" s="33"/>
      <c r="J2307" s="37"/>
    </row>
    <row r="2308" spans="1:10" x14ac:dyDescent="0.3">
      <c r="A2308" s="32" t="s">
        <v>19</v>
      </c>
      <c r="B2308" s="32">
        <f t="shared" si="559"/>
        <v>2049</v>
      </c>
      <c r="C2308" s="33" t="s">
        <v>49</v>
      </c>
      <c r="D2308" s="34" t="s">
        <v>2002</v>
      </c>
      <c r="E2308" s="35" t="str">
        <f t="shared" si="557"/>
        <v>PRBND'!</v>
      </c>
      <c r="F2308" s="34" t="str">
        <f t="shared" si="558"/>
        <v>C:\Users\jaime.benazar\Quorum Business Solutions\Ecopetrol Prometeo - Documents\Planning Space Implementation\3. Analysis &amp; Design\Design\FC22\DRR Jaime\Neiva CPI\[DINA TERCIARIOS_CF_SEC_New_27-Mar-2024.xlsx]D-PRBND'!</v>
      </c>
      <c r="G2308" s="32" t="s">
        <v>121</v>
      </c>
      <c r="H2308" s="33"/>
      <c r="I2308" s="33"/>
      <c r="J2308" s="37"/>
    </row>
    <row r="2309" spans="1:10" x14ac:dyDescent="0.3">
      <c r="A2309" s="32" t="s">
        <v>19</v>
      </c>
      <c r="B2309" s="32">
        <f t="shared" si="559"/>
        <v>2050</v>
      </c>
      <c r="C2309" s="33" t="s">
        <v>49</v>
      </c>
      <c r="D2309" s="34" t="s">
        <v>2002</v>
      </c>
      <c r="E2309" s="35" t="str">
        <f t="shared" si="557"/>
        <v>PRBND'!</v>
      </c>
      <c r="F2309" s="34" t="str">
        <f t="shared" si="558"/>
        <v>C:\Users\jaime.benazar\Quorum Business Solutions\Ecopetrol Prometeo - Documents\Planning Space Implementation\3. Analysis &amp; Design\Design\FC22\DRR Jaime\Neiva CPI\[DINA TERCIARIOS_CF_SEC_New_27-Mar-2024.xlsx]D-PRBND'!</v>
      </c>
      <c r="G2309" s="32" t="s">
        <v>121</v>
      </c>
      <c r="H2309" s="33"/>
      <c r="I2309" s="33"/>
      <c r="J2309" s="37"/>
    </row>
    <row r="2310" spans="1:10" x14ac:dyDescent="0.3">
      <c r="A2310" s="32" t="s">
        <v>19</v>
      </c>
      <c r="B2310" s="32">
        <f t="shared" si="559"/>
        <v>2051</v>
      </c>
      <c r="C2310" s="33" t="s">
        <v>49</v>
      </c>
      <c r="D2310" s="34" t="s">
        <v>2002</v>
      </c>
      <c r="E2310" s="35" t="str">
        <f t="shared" si="557"/>
        <v>PRBND'!</v>
      </c>
      <c r="F2310" s="34" t="str">
        <f t="shared" si="558"/>
        <v>C:\Users\jaime.benazar\Quorum Business Solutions\Ecopetrol Prometeo - Documents\Planning Space Implementation\3. Analysis &amp; Design\Design\FC22\DRR Jaime\Neiva CPI\[DINA TERCIARIOS_CF_SEC_New_27-Mar-2024.xlsx]D-PRBND'!</v>
      </c>
      <c r="G2310" s="32" t="s">
        <v>121</v>
      </c>
      <c r="H2310" s="33"/>
      <c r="I2310" s="33"/>
      <c r="J2310" s="37"/>
    </row>
    <row r="2311" spans="1:10" x14ac:dyDescent="0.3">
      <c r="A2311" s="32" t="s">
        <v>19</v>
      </c>
      <c r="B2311" s="32">
        <f t="shared" si="559"/>
        <v>2052</v>
      </c>
      <c r="C2311" s="33" t="s">
        <v>49</v>
      </c>
      <c r="D2311" s="34" t="s">
        <v>2002</v>
      </c>
      <c r="E2311" s="35" t="str">
        <f t="shared" si="557"/>
        <v>PRBND'!</v>
      </c>
      <c r="F2311" s="34" t="str">
        <f t="shared" si="558"/>
        <v>C:\Users\jaime.benazar\Quorum Business Solutions\Ecopetrol Prometeo - Documents\Planning Space Implementation\3. Analysis &amp; Design\Design\FC22\DRR Jaime\Neiva CPI\[DINA TERCIARIOS_CF_SEC_New_27-Mar-2024.xlsx]D-PRBND'!</v>
      </c>
      <c r="G2311" s="32" t="s">
        <v>121</v>
      </c>
      <c r="H2311" s="33"/>
      <c r="I2311" s="33"/>
      <c r="J2311" s="37"/>
    </row>
    <row r="2312" spans="1:10" x14ac:dyDescent="0.3">
      <c r="A2312" s="32" t="s">
        <v>19</v>
      </c>
      <c r="B2312" s="32">
        <f t="shared" si="559"/>
        <v>2053</v>
      </c>
      <c r="C2312" s="33" t="s">
        <v>49</v>
      </c>
      <c r="D2312" s="34" t="s">
        <v>2002</v>
      </c>
      <c r="E2312" s="35" t="str">
        <f t="shared" si="557"/>
        <v>PRBND'!</v>
      </c>
      <c r="F2312" s="34" t="str">
        <f t="shared" si="558"/>
        <v>C:\Users\jaime.benazar\Quorum Business Solutions\Ecopetrol Prometeo - Documents\Planning Space Implementation\3. Analysis &amp; Design\Design\FC22\DRR Jaime\Neiva CPI\[DINA TERCIARIOS_CF_SEC_New_27-Mar-2024.xlsx]D-PRBND'!</v>
      </c>
      <c r="G2312" s="32" t="s">
        <v>121</v>
      </c>
      <c r="H2312" s="33"/>
      <c r="I2312" s="33"/>
      <c r="J2312" s="37"/>
    </row>
    <row r="2313" spans="1:10" x14ac:dyDescent="0.3">
      <c r="A2313" s="32" t="s">
        <v>19</v>
      </c>
      <c r="B2313" s="32">
        <f t="shared" si="559"/>
        <v>2054</v>
      </c>
      <c r="C2313" s="33" t="s">
        <v>49</v>
      </c>
      <c r="D2313" s="34" t="s">
        <v>2002</v>
      </c>
      <c r="E2313" s="35" t="str">
        <f t="shared" si="557"/>
        <v>PRBND'!</v>
      </c>
      <c r="F2313" s="34" t="str">
        <f t="shared" si="558"/>
        <v>C:\Users\jaime.benazar\Quorum Business Solutions\Ecopetrol Prometeo - Documents\Planning Space Implementation\3. Analysis &amp; Design\Design\FC22\DRR Jaime\Neiva CPI\[DINA TERCIARIOS_CF_SEC_New_27-Mar-2024.xlsx]D-PRBND'!</v>
      </c>
      <c r="G2313" s="32" t="s">
        <v>121</v>
      </c>
      <c r="H2313" s="33"/>
      <c r="I2313" s="33"/>
      <c r="J2313" s="37"/>
    </row>
    <row r="2314" spans="1:10" x14ac:dyDescent="0.3">
      <c r="A2314" s="32" t="s">
        <v>19</v>
      </c>
      <c r="B2314" s="32">
        <f t="shared" si="559"/>
        <v>2055</v>
      </c>
      <c r="C2314" s="33" t="s">
        <v>49</v>
      </c>
      <c r="D2314" s="34" t="s">
        <v>2002</v>
      </c>
      <c r="E2314" s="35" t="str">
        <f t="shared" si="557"/>
        <v>PRBND'!</v>
      </c>
      <c r="F2314" s="34" t="str">
        <f t="shared" si="558"/>
        <v>C:\Users\jaime.benazar\Quorum Business Solutions\Ecopetrol Prometeo - Documents\Planning Space Implementation\3. Analysis &amp; Design\Design\FC22\DRR Jaime\Neiva CPI\[DINA TERCIARIOS_CF_SEC_New_27-Mar-2024.xlsx]D-PRBND'!</v>
      </c>
      <c r="G2314" s="32" t="s">
        <v>121</v>
      </c>
      <c r="H2314" s="33"/>
      <c r="I2314" s="33"/>
      <c r="J2314" s="37"/>
    </row>
    <row r="2315" spans="1:10" x14ac:dyDescent="0.3">
      <c r="A2315" s="32" t="s">
        <v>19</v>
      </c>
      <c r="B2315" s="32">
        <f t="shared" si="559"/>
        <v>2056</v>
      </c>
      <c r="C2315" s="33" t="s">
        <v>49</v>
      </c>
      <c r="D2315" s="34" t="s">
        <v>2002</v>
      </c>
      <c r="E2315" s="35" t="str">
        <f t="shared" si="557"/>
        <v>PRBND'!</v>
      </c>
      <c r="F2315" s="34" t="str">
        <f t="shared" si="558"/>
        <v>C:\Users\jaime.benazar\Quorum Business Solutions\Ecopetrol Prometeo - Documents\Planning Space Implementation\3. Analysis &amp; Design\Design\FC22\DRR Jaime\Neiva CPI\[DINA TERCIARIOS_CF_SEC_New_27-Mar-2024.xlsx]D-PRBND'!</v>
      </c>
      <c r="G2315" s="32" t="s">
        <v>121</v>
      </c>
      <c r="H2315" s="33"/>
      <c r="I2315" s="33"/>
      <c r="J2315" s="37"/>
    </row>
    <row r="2316" spans="1:10" x14ac:dyDescent="0.3">
      <c r="A2316" s="32" t="s">
        <v>19</v>
      </c>
      <c r="B2316" s="32">
        <f t="shared" si="559"/>
        <v>2057</v>
      </c>
      <c r="C2316" s="33" t="s">
        <v>49</v>
      </c>
      <c r="D2316" s="34" t="s">
        <v>2002</v>
      </c>
      <c r="E2316" s="35" t="str">
        <f t="shared" si="557"/>
        <v>PRBND'!</v>
      </c>
      <c r="F2316" s="34" t="str">
        <f t="shared" si="558"/>
        <v>C:\Users\jaime.benazar\Quorum Business Solutions\Ecopetrol Prometeo - Documents\Planning Space Implementation\3. Analysis &amp; Design\Design\FC22\DRR Jaime\Neiva CPI\[DINA TERCIARIOS_CF_SEC_New_27-Mar-2024.xlsx]D-PRBND'!</v>
      </c>
      <c r="G2316" s="32" t="s">
        <v>121</v>
      </c>
      <c r="H2316" s="33"/>
      <c r="I2316" s="33"/>
      <c r="J2316" s="37"/>
    </row>
    <row r="2317" spans="1:10" x14ac:dyDescent="0.3">
      <c r="A2317" s="32" t="s">
        <v>19</v>
      </c>
      <c r="B2317" s="32">
        <f t="shared" si="559"/>
        <v>2058</v>
      </c>
      <c r="C2317" s="33" t="s">
        <v>49</v>
      </c>
      <c r="D2317" s="34" t="s">
        <v>2002</v>
      </c>
      <c r="E2317" s="35" t="str">
        <f t="shared" si="557"/>
        <v>PRBND'!</v>
      </c>
      <c r="F2317" s="34" t="str">
        <f t="shared" si="558"/>
        <v>C:\Users\jaime.benazar\Quorum Business Solutions\Ecopetrol Prometeo - Documents\Planning Space Implementation\3. Analysis &amp; Design\Design\FC22\DRR Jaime\Neiva CPI\[DINA TERCIARIOS_CF_SEC_New_27-Mar-2024.xlsx]D-PRBND'!</v>
      </c>
      <c r="G2317" s="32" t="s">
        <v>121</v>
      </c>
      <c r="H2317" s="33"/>
      <c r="I2317" s="33"/>
      <c r="J2317" s="37"/>
    </row>
    <row r="2318" spans="1:10" x14ac:dyDescent="0.3">
      <c r="A2318" s="32" t="s">
        <v>19</v>
      </c>
      <c r="B2318" s="32">
        <f t="shared" si="559"/>
        <v>2059</v>
      </c>
      <c r="C2318" s="33" t="s">
        <v>49</v>
      </c>
      <c r="D2318" s="34" t="s">
        <v>2002</v>
      </c>
      <c r="E2318" s="35" t="str">
        <f t="shared" si="557"/>
        <v>PRBND'!</v>
      </c>
      <c r="F2318" s="34" t="str">
        <f t="shared" si="558"/>
        <v>C:\Users\jaime.benazar\Quorum Business Solutions\Ecopetrol Prometeo - Documents\Planning Space Implementation\3. Analysis &amp; Design\Design\FC22\DRR Jaime\Neiva CPI\[DINA TERCIARIOS_CF_SEC_New_27-Mar-2024.xlsx]D-PRBND'!</v>
      </c>
      <c r="G2318" s="32" t="s">
        <v>121</v>
      </c>
      <c r="H2318" s="33"/>
      <c r="I2318" s="33"/>
      <c r="J2318" s="37"/>
    </row>
    <row r="2319" spans="1:10" x14ac:dyDescent="0.3">
      <c r="A2319" s="32" t="s">
        <v>26</v>
      </c>
      <c r="B2319" s="32"/>
      <c r="C2319" s="33" t="s">
        <v>49</v>
      </c>
      <c r="D2319" s="34"/>
      <c r="E2319" s="35"/>
      <c r="F2319" s="34"/>
      <c r="G2319" s="32"/>
      <c r="H2319" s="33"/>
      <c r="I2319" s="33"/>
      <c r="J2319" s="33"/>
    </row>
    <row r="2320" spans="1:10" x14ac:dyDescent="0.3">
      <c r="A2320" s="32" t="s">
        <v>20</v>
      </c>
      <c r="B2320" s="32">
        <v>2023</v>
      </c>
      <c r="C2320" s="33" t="s">
        <v>49</v>
      </c>
      <c r="D2320" s="34" t="s">
        <v>2002</v>
      </c>
      <c r="E2320" s="35" t="str">
        <f t="shared" si="528"/>
        <v>PRB'!</v>
      </c>
      <c r="F2320" s="34" t="str">
        <f t="shared" si="529"/>
        <v>C:\Users\jaime.benazar\Quorum Business Solutions\Ecopetrol Prometeo - Documents\Planning Space Implementation\3. Analysis &amp; Design\Design\FC22\DRR Jaime\Neiva CPI\[DINA TERCIARIOS_CF_SEC_New_27-Mar-2024.xlsx]D-PRB'!</v>
      </c>
      <c r="G2320" s="32" t="s">
        <v>121</v>
      </c>
      <c r="H2320" s="33">
        <v>12</v>
      </c>
      <c r="I2320" s="33" t="str">
        <f t="shared" si="530"/>
        <v>='C:\Users\jaime.benazar\Quorum Business Solutions\Ecopetrol Prometeo - Documents\Planning Space Implementation\3. Analysis &amp; Design\Design\FC22\DRR Jaime\Neiva CPI\[DINA TERCIARIOS_CF_SEC_New_27-Mar-2024.xlsx]D-PRB'!$DC$12</v>
      </c>
      <c r="J2320" s="37" t="s">
        <v>3039</v>
      </c>
    </row>
    <row r="2321" spans="1:10" x14ac:dyDescent="0.3">
      <c r="A2321" s="32" t="s">
        <v>20</v>
      </c>
      <c r="B2321" s="32">
        <f>+B2320+1</f>
        <v>2024</v>
      </c>
      <c r="C2321" s="33" t="s">
        <v>49</v>
      </c>
      <c r="D2321" s="34" t="s">
        <v>2002</v>
      </c>
      <c r="E2321" s="35" t="str">
        <f t="shared" si="528"/>
        <v>PRB'!</v>
      </c>
      <c r="F2321" s="34" t="str">
        <f t="shared" si="529"/>
        <v>C:\Users\jaime.benazar\Quorum Business Solutions\Ecopetrol Prometeo - Documents\Planning Space Implementation\3. Analysis &amp; Design\Design\FC22\DRR Jaime\Neiva CPI\[DINA TERCIARIOS_CF_SEC_New_27-Mar-2024.xlsx]D-PRB'!</v>
      </c>
      <c r="G2321" s="32" t="s">
        <v>121</v>
      </c>
      <c r="H2321" s="33">
        <f t="shared" ref="H2321:H2340" si="560">IF(A2321&lt;&gt;A2320,12,H2320+1)</f>
        <v>13</v>
      </c>
      <c r="I2321" s="33" t="str">
        <f t="shared" si="530"/>
        <v>='C:\Users\jaime.benazar\Quorum Business Solutions\Ecopetrol Prometeo - Documents\Planning Space Implementation\3. Analysis &amp; Design\Design\FC22\DRR Jaime\Neiva CPI\[DINA TERCIARIOS_CF_SEC_New_27-Mar-2024.xlsx]D-PRB'!$DC$13</v>
      </c>
      <c r="J2321" s="37" t="s">
        <v>3040</v>
      </c>
    </row>
    <row r="2322" spans="1:10" x14ac:dyDescent="0.3">
      <c r="A2322" s="32" t="s">
        <v>20</v>
      </c>
      <c r="B2322" s="32">
        <f t="shared" ref="B2322:B2333" si="561">+B2321+1</f>
        <v>2025</v>
      </c>
      <c r="C2322" s="33" t="s">
        <v>49</v>
      </c>
      <c r="D2322" s="34" t="s">
        <v>2002</v>
      </c>
      <c r="E2322" s="35" t="str">
        <f t="shared" si="528"/>
        <v>PRB'!</v>
      </c>
      <c r="F2322" s="34" t="str">
        <f t="shared" si="529"/>
        <v>C:\Users\jaime.benazar\Quorum Business Solutions\Ecopetrol Prometeo - Documents\Planning Space Implementation\3. Analysis &amp; Design\Design\FC22\DRR Jaime\Neiva CPI\[DINA TERCIARIOS_CF_SEC_New_27-Mar-2024.xlsx]D-PRB'!</v>
      </c>
      <c r="G2322" s="32" t="s">
        <v>121</v>
      </c>
      <c r="H2322" s="33">
        <f t="shared" si="560"/>
        <v>14</v>
      </c>
      <c r="I2322" s="33" t="str">
        <f t="shared" si="530"/>
        <v>='C:\Users\jaime.benazar\Quorum Business Solutions\Ecopetrol Prometeo - Documents\Planning Space Implementation\3. Analysis &amp; Design\Design\FC22\DRR Jaime\Neiva CPI\[DINA TERCIARIOS_CF_SEC_New_27-Mar-2024.xlsx]D-PRB'!$DC$14</v>
      </c>
      <c r="J2322" s="37" t="s">
        <v>3041</v>
      </c>
    </row>
    <row r="2323" spans="1:10" x14ac:dyDescent="0.3">
      <c r="A2323" s="32" t="s">
        <v>20</v>
      </c>
      <c r="B2323" s="32">
        <f t="shared" si="561"/>
        <v>2026</v>
      </c>
      <c r="C2323" s="33" t="s">
        <v>49</v>
      </c>
      <c r="D2323" s="34" t="s">
        <v>2002</v>
      </c>
      <c r="E2323" s="35" t="str">
        <f t="shared" si="528"/>
        <v>PRB'!</v>
      </c>
      <c r="F2323" s="34" t="str">
        <f t="shared" si="529"/>
        <v>C:\Users\jaime.benazar\Quorum Business Solutions\Ecopetrol Prometeo - Documents\Planning Space Implementation\3. Analysis &amp; Design\Design\FC22\DRR Jaime\Neiva CPI\[DINA TERCIARIOS_CF_SEC_New_27-Mar-2024.xlsx]D-PRB'!</v>
      </c>
      <c r="G2323" s="32" t="s">
        <v>121</v>
      </c>
      <c r="H2323" s="33">
        <f t="shared" si="560"/>
        <v>15</v>
      </c>
      <c r="I2323" s="33" t="str">
        <f t="shared" si="530"/>
        <v>='C:\Users\jaime.benazar\Quorum Business Solutions\Ecopetrol Prometeo - Documents\Planning Space Implementation\3. Analysis &amp; Design\Design\FC22\DRR Jaime\Neiva CPI\[DINA TERCIARIOS_CF_SEC_New_27-Mar-2024.xlsx]D-PRB'!$DC$15</v>
      </c>
      <c r="J2323" s="37" t="s">
        <v>3042</v>
      </c>
    </row>
    <row r="2324" spans="1:10" x14ac:dyDescent="0.3">
      <c r="A2324" s="32" t="s">
        <v>20</v>
      </c>
      <c r="B2324" s="32">
        <f t="shared" si="561"/>
        <v>2027</v>
      </c>
      <c r="C2324" s="33" t="s">
        <v>49</v>
      </c>
      <c r="D2324" s="34" t="s">
        <v>2002</v>
      </c>
      <c r="E2324" s="35" t="str">
        <f t="shared" si="528"/>
        <v>PRB'!</v>
      </c>
      <c r="F2324" s="34" t="str">
        <f t="shared" si="529"/>
        <v>C:\Users\jaime.benazar\Quorum Business Solutions\Ecopetrol Prometeo - Documents\Planning Space Implementation\3. Analysis &amp; Design\Design\FC22\DRR Jaime\Neiva CPI\[DINA TERCIARIOS_CF_SEC_New_27-Mar-2024.xlsx]D-PRB'!</v>
      </c>
      <c r="G2324" s="32" t="s">
        <v>121</v>
      </c>
      <c r="H2324" s="33">
        <f t="shared" si="560"/>
        <v>16</v>
      </c>
      <c r="I2324" s="33" t="str">
        <f t="shared" si="530"/>
        <v>='C:\Users\jaime.benazar\Quorum Business Solutions\Ecopetrol Prometeo - Documents\Planning Space Implementation\3. Analysis &amp; Design\Design\FC22\DRR Jaime\Neiva CPI\[DINA TERCIARIOS_CF_SEC_New_27-Mar-2024.xlsx]D-PRB'!$DC$16</v>
      </c>
      <c r="J2324" s="37" t="s">
        <v>3043</v>
      </c>
    </row>
    <row r="2325" spans="1:10" x14ac:dyDescent="0.3">
      <c r="A2325" s="32" t="s">
        <v>20</v>
      </c>
      <c r="B2325" s="32">
        <f t="shared" si="561"/>
        <v>2028</v>
      </c>
      <c r="C2325" s="33" t="s">
        <v>49</v>
      </c>
      <c r="D2325" s="34" t="s">
        <v>2002</v>
      </c>
      <c r="E2325" s="35" t="str">
        <f t="shared" si="528"/>
        <v>PRB'!</v>
      </c>
      <c r="F2325" s="34" t="str">
        <f t="shared" si="529"/>
        <v>C:\Users\jaime.benazar\Quorum Business Solutions\Ecopetrol Prometeo - Documents\Planning Space Implementation\3. Analysis &amp; Design\Design\FC22\DRR Jaime\Neiva CPI\[DINA TERCIARIOS_CF_SEC_New_27-Mar-2024.xlsx]D-PRB'!</v>
      </c>
      <c r="G2325" s="32" t="s">
        <v>121</v>
      </c>
      <c r="H2325" s="33">
        <f t="shared" si="560"/>
        <v>17</v>
      </c>
      <c r="I2325" s="33" t="str">
        <f t="shared" si="530"/>
        <v>='C:\Users\jaime.benazar\Quorum Business Solutions\Ecopetrol Prometeo - Documents\Planning Space Implementation\3. Analysis &amp; Design\Design\FC22\DRR Jaime\Neiva CPI\[DINA TERCIARIOS_CF_SEC_New_27-Mar-2024.xlsx]D-PRB'!$DC$17</v>
      </c>
      <c r="J2325" s="37" t="s">
        <v>3044</v>
      </c>
    </row>
    <row r="2326" spans="1:10" x14ac:dyDescent="0.3">
      <c r="A2326" s="32" t="s">
        <v>20</v>
      </c>
      <c r="B2326" s="32">
        <f t="shared" si="561"/>
        <v>2029</v>
      </c>
      <c r="C2326" s="33" t="s">
        <v>49</v>
      </c>
      <c r="D2326" s="34" t="s">
        <v>2002</v>
      </c>
      <c r="E2326" s="35" t="str">
        <f t="shared" si="528"/>
        <v>PRB'!</v>
      </c>
      <c r="F2326" s="34" t="str">
        <f t="shared" si="529"/>
        <v>C:\Users\jaime.benazar\Quorum Business Solutions\Ecopetrol Prometeo - Documents\Planning Space Implementation\3. Analysis &amp; Design\Design\FC22\DRR Jaime\Neiva CPI\[DINA TERCIARIOS_CF_SEC_New_27-Mar-2024.xlsx]D-PRB'!</v>
      </c>
      <c r="G2326" s="32" t="s">
        <v>121</v>
      </c>
      <c r="H2326" s="33">
        <f t="shared" si="560"/>
        <v>18</v>
      </c>
      <c r="I2326" s="33" t="str">
        <f t="shared" si="530"/>
        <v>='C:\Users\jaime.benazar\Quorum Business Solutions\Ecopetrol Prometeo - Documents\Planning Space Implementation\3. Analysis &amp; Design\Design\FC22\DRR Jaime\Neiva CPI\[DINA TERCIARIOS_CF_SEC_New_27-Mar-2024.xlsx]D-PRB'!$DC$18</v>
      </c>
      <c r="J2326" s="37" t="s">
        <v>3045</v>
      </c>
    </row>
    <row r="2327" spans="1:10" x14ac:dyDescent="0.3">
      <c r="A2327" s="32" t="s">
        <v>20</v>
      </c>
      <c r="B2327" s="32">
        <f t="shared" si="561"/>
        <v>2030</v>
      </c>
      <c r="C2327" s="33" t="s">
        <v>49</v>
      </c>
      <c r="D2327" s="34" t="s">
        <v>2002</v>
      </c>
      <c r="E2327" s="35" t="str">
        <f t="shared" si="528"/>
        <v>PRB'!</v>
      </c>
      <c r="F2327" s="34" t="str">
        <f t="shared" si="529"/>
        <v>C:\Users\jaime.benazar\Quorum Business Solutions\Ecopetrol Prometeo - Documents\Planning Space Implementation\3. Analysis &amp; Design\Design\FC22\DRR Jaime\Neiva CPI\[DINA TERCIARIOS_CF_SEC_New_27-Mar-2024.xlsx]D-PRB'!</v>
      </c>
      <c r="G2327" s="32" t="s">
        <v>121</v>
      </c>
      <c r="H2327" s="33">
        <f t="shared" si="560"/>
        <v>19</v>
      </c>
      <c r="I2327" s="33" t="str">
        <f t="shared" si="530"/>
        <v>='C:\Users\jaime.benazar\Quorum Business Solutions\Ecopetrol Prometeo - Documents\Planning Space Implementation\3. Analysis &amp; Design\Design\FC22\DRR Jaime\Neiva CPI\[DINA TERCIARIOS_CF_SEC_New_27-Mar-2024.xlsx]D-PRB'!$DC$19</v>
      </c>
      <c r="J2327" s="37" t="s">
        <v>3046</v>
      </c>
    </row>
    <row r="2328" spans="1:10" x14ac:dyDescent="0.3">
      <c r="A2328" s="32" t="s">
        <v>20</v>
      </c>
      <c r="B2328" s="32">
        <f t="shared" si="561"/>
        <v>2031</v>
      </c>
      <c r="C2328" s="33" t="s">
        <v>49</v>
      </c>
      <c r="D2328" s="34" t="s">
        <v>2002</v>
      </c>
      <c r="E2328" s="35" t="str">
        <f t="shared" si="528"/>
        <v>PRB'!</v>
      </c>
      <c r="F2328" s="34" t="str">
        <f t="shared" si="529"/>
        <v>C:\Users\jaime.benazar\Quorum Business Solutions\Ecopetrol Prometeo - Documents\Planning Space Implementation\3. Analysis &amp; Design\Design\FC22\DRR Jaime\Neiva CPI\[DINA TERCIARIOS_CF_SEC_New_27-Mar-2024.xlsx]D-PRB'!</v>
      </c>
      <c r="G2328" s="32" t="s">
        <v>121</v>
      </c>
      <c r="H2328" s="33">
        <f t="shared" si="560"/>
        <v>20</v>
      </c>
      <c r="I2328" s="33" t="str">
        <f t="shared" si="530"/>
        <v>='C:\Users\jaime.benazar\Quorum Business Solutions\Ecopetrol Prometeo - Documents\Planning Space Implementation\3. Analysis &amp; Design\Design\FC22\DRR Jaime\Neiva CPI\[DINA TERCIARIOS_CF_SEC_New_27-Mar-2024.xlsx]D-PRB'!$DC$20</v>
      </c>
      <c r="J2328" s="37" t="s">
        <v>3047</v>
      </c>
    </row>
    <row r="2329" spans="1:10" x14ac:dyDescent="0.3">
      <c r="A2329" s="32" t="s">
        <v>20</v>
      </c>
      <c r="B2329" s="32">
        <f t="shared" si="561"/>
        <v>2032</v>
      </c>
      <c r="C2329" s="33" t="s">
        <v>49</v>
      </c>
      <c r="D2329" s="34" t="s">
        <v>2002</v>
      </c>
      <c r="E2329" s="35" t="str">
        <f t="shared" si="528"/>
        <v>PRB'!</v>
      </c>
      <c r="F2329" s="34" t="str">
        <f t="shared" si="529"/>
        <v>C:\Users\jaime.benazar\Quorum Business Solutions\Ecopetrol Prometeo - Documents\Planning Space Implementation\3. Analysis &amp; Design\Design\FC22\DRR Jaime\Neiva CPI\[DINA TERCIARIOS_CF_SEC_New_27-Mar-2024.xlsx]D-PRB'!</v>
      </c>
      <c r="G2329" s="32" t="s">
        <v>121</v>
      </c>
      <c r="H2329" s="33">
        <f t="shared" si="560"/>
        <v>21</v>
      </c>
      <c r="I2329" s="33" t="str">
        <f t="shared" si="530"/>
        <v>='C:\Users\jaime.benazar\Quorum Business Solutions\Ecopetrol Prometeo - Documents\Planning Space Implementation\3. Analysis &amp; Design\Design\FC22\DRR Jaime\Neiva CPI\[DINA TERCIARIOS_CF_SEC_New_27-Mar-2024.xlsx]D-PRB'!$DC$21</v>
      </c>
      <c r="J2329" s="37" t="s">
        <v>3048</v>
      </c>
    </row>
    <row r="2330" spans="1:10" x14ac:dyDescent="0.3">
      <c r="A2330" s="32" t="s">
        <v>20</v>
      </c>
      <c r="B2330" s="32">
        <f t="shared" si="561"/>
        <v>2033</v>
      </c>
      <c r="C2330" s="33" t="s">
        <v>49</v>
      </c>
      <c r="D2330" s="34" t="s">
        <v>2002</v>
      </c>
      <c r="E2330" s="35" t="str">
        <f t="shared" si="528"/>
        <v>PRB'!</v>
      </c>
      <c r="F2330" s="34" t="str">
        <f t="shared" si="529"/>
        <v>C:\Users\jaime.benazar\Quorum Business Solutions\Ecopetrol Prometeo - Documents\Planning Space Implementation\3. Analysis &amp; Design\Design\FC22\DRR Jaime\Neiva CPI\[DINA TERCIARIOS_CF_SEC_New_27-Mar-2024.xlsx]D-PRB'!</v>
      </c>
      <c r="G2330" s="32" t="s">
        <v>121</v>
      </c>
      <c r="H2330" s="33">
        <f t="shared" si="560"/>
        <v>22</v>
      </c>
      <c r="I2330" s="33" t="str">
        <f t="shared" si="530"/>
        <v>='C:\Users\jaime.benazar\Quorum Business Solutions\Ecopetrol Prometeo - Documents\Planning Space Implementation\3. Analysis &amp; Design\Design\FC22\DRR Jaime\Neiva CPI\[DINA TERCIARIOS_CF_SEC_New_27-Mar-2024.xlsx]D-PRB'!$DC$22</v>
      </c>
      <c r="J2330" s="37" t="s">
        <v>3049</v>
      </c>
    </row>
    <row r="2331" spans="1:10" x14ac:dyDescent="0.3">
      <c r="A2331" s="32" t="s">
        <v>20</v>
      </c>
      <c r="B2331" s="32">
        <f t="shared" si="561"/>
        <v>2034</v>
      </c>
      <c r="C2331" s="33" t="s">
        <v>49</v>
      </c>
      <c r="D2331" s="34" t="s">
        <v>2002</v>
      </c>
      <c r="E2331" s="35" t="str">
        <f t="shared" si="528"/>
        <v>PRB'!</v>
      </c>
      <c r="F2331" s="34" t="str">
        <f t="shared" si="529"/>
        <v>C:\Users\jaime.benazar\Quorum Business Solutions\Ecopetrol Prometeo - Documents\Planning Space Implementation\3. Analysis &amp; Design\Design\FC22\DRR Jaime\Neiva CPI\[DINA TERCIARIOS_CF_SEC_New_27-Mar-2024.xlsx]D-PRB'!</v>
      </c>
      <c r="G2331" s="32" t="s">
        <v>121</v>
      </c>
      <c r="H2331" s="33">
        <f t="shared" si="560"/>
        <v>23</v>
      </c>
      <c r="I2331" s="33" t="str">
        <f t="shared" si="530"/>
        <v>='C:\Users\jaime.benazar\Quorum Business Solutions\Ecopetrol Prometeo - Documents\Planning Space Implementation\3. Analysis &amp; Design\Design\FC22\DRR Jaime\Neiva CPI\[DINA TERCIARIOS_CF_SEC_New_27-Mar-2024.xlsx]D-PRB'!$DC$23</v>
      </c>
      <c r="J2331" s="37" t="s">
        <v>3050</v>
      </c>
    </row>
    <row r="2332" spans="1:10" x14ac:dyDescent="0.3">
      <c r="A2332" s="32" t="s">
        <v>20</v>
      </c>
      <c r="B2332" s="32">
        <f t="shared" si="561"/>
        <v>2035</v>
      </c>
      <c r="C2332" s="33" t="s">
        <v>49</v>
      </c>
      <c r="D2332" s="34" t="s">
        <v>2002</v>
      </c>
      <c r="E2332" s="35" t="str">
        <f t="shared" si="528"/>
        <v>PRB'!</v>
      </c>
      <c r="F2332" s="34" t="str">
        <f t="shared" si="529"/>
        <v>C:\Users\jaime.benazar\Quorum Business Solutions\Ecopetrol Prometeo - Documents\Planning Space Implementation\3. Analysis &amp; Design\Design\FC22\DRR Jaime\Neiva CPI\[DINA TERCIARIOS_CF_SEC_New_27-Mar-2024.xlsx]D-PRB'!</v>
      </c>
      <c r="G2332" s="32" t="s">
        <v>121</v>
      </c>
      <c r="H2332" s="33">
        <f t="shared" si="560"/>
        <v>24</v>
      </c>
      <c r="I2332" s="33" t="str">
        <f t="shared" si="530"/>
        <v>='C:\Users\jaime.benazar\Quorum Business Solutions\Ecopetrol Prometeo - Documents\Planning Space Implementation\3. Analysis &amp; Design\Design\FC22\DRR Jaime\Neiva CPI\[DINA TERCIARIOS_CF_SEC_New_27-Mar-2024.xlsx]D-PRB'!$DC$24</v>
      </c>
      <c r="J2332" s="37" t="s">
        <v>3051</v>
      </c>
    </row>
    <row r="2333" spans="1:10" x14ac:dyDescent="0.3">
      <c r="A2333" s="32" t="s">
        <v>20</v>
      </c>
      <c r="B2333" s="32">
        <f t="shared" si="561"/>
        <v>2036</v>
      </c>
      <c r="C2333" s="33" t="s">
        <v>49</v>
      </c>
      <c r="D2333" s="34" t="s">
        <v>2002</v>
      </c>
      <c r="E2333" s="35" t="str">
        <f t="shared" si="528"/>
        <v>PRB'!</v>
      </c>
      <c r="F2333" s="34" t="str">
        <f t="shared" si="529"/>
        <v>C:\Users\jaime.benazar\Quorum Business Solutions\Ecopetrol Prometeo - Documents\Planning Space Implementation\3. Analysis &amp; Design\Design\FC22\DRR Jaime\Neiva CPI\[DINA TERCIARIOS_CF_SEC_New_27-Mar-2024.xlsx]D-PRB'!</v>
      </c>
      <c r="G2333" s="32" t="s">
        <v>121</v>
      </c>
      <c r="H2333" s="33">
        <f t="shared" si="560"/>
        <v>25</v>
      </c>
      <c r="I2333" s="33" t="str">
        <f t="shared" si="530"/>
        <v>='C:\Users\jaime.benazar\Quorum Business Solutions\Ecopetrol Prometeo - Documents\Planning Space Implementation\3. Analysis &amp; Design\Design\FC22\DRR Jaime\Neiva CPI\[DINA TERCIARIOS_CF_SEC_New_27-Mar-2024.xlsx]D-PRB'!$DC$25</v>
      </c>
      <c r="J2333" s="37" t="s">
        <v>3052</v>
      </c>
    </row>
    <row r="2334" spans="1:10" x14ac:dyDescent="0.3">
      <c r="A2334" s="32" t="s">
        <v>20</v>
      </c>
      <c r="B2334" s="32">
        <f>+B2333+1</f>
        <v>2037</v>
      </c>
      <c r="C2334" s="33" t="s">
        <v>49</v>
      </c>
      <c r="D2334" s="34" t="s">
        <v>2002</v>
      </c>
      <c r="E2334" s="35" t="str">
        <f t="shared" si="528"/>
        <v>PRB'!</v>
      </c>
      <c r="F2334" s="34" t="str">
        <f t="shared" si="529"/>
        <v>C:\Users\jaime.benazar\Quorum Business Solutions\Ecopetrol Prometeo - Documents\Planning Space Implementation\3. Analysis &amp; Design\Design\FC22\DRR Jaime\Neiva CPI\[DINA TERCIARIOS_CF_SEC_New_27-Mar-2024.xlsx]D-PRB'!</v>
      </c>
      <c r="G2334" s="32" t="s">
        <v>121</v>
      </c>
      <c r="H2334" s="33">
        <f t="shared" si="560"/>
        <v>26</v>
      </c>
      <c r="I2334" s="33" t="str">
        <f t="shared" si="530"/>
        <v>='C:\Users\jaime.benazar\Quorum Business Solutions\Ecopetrol Prometeo - Documents\Planning Space Implementation\3. Analysis &amp; Design\Design\FC22\DRR Jaime\Neiva CPI\[DINA TERCIARIOS_CF_SEC_New_27-Mar-2024.xlsx]D-PRB'!$DC$26</v>
      </c>
      <c r="J2334" s="37" t="s">
        <v>3053</v>
      </c>
    </row>
    <row r="2335" spans="1:10" x14ac:dyDescent="0.3">
      <c r="A2335" s="32" t="s">
        <v>20</v>
      </c>
      <c r="B2335" s="32">
        <f t="shared" ref="B2335:B2337" si="562">+B2334+1</f>
        <v>2038</v>
      </c>
      <c r="C2335" s="33" t="s">
        <v>49</v>
      </c>
      <c r="D2335" s="34" t="s">
        <v>2002</v>
      </c>
      <c r="E2335" s="35" t="str">
        <f t="shared" si="528"/>
        <v>PRB'!</v>
      </c>
      <c r="F2335" s="34" t="str">
        <f t="shared" si="529"/>
        <v>C:\Users\jaime.benazar\Quorum Business Solutions\Ecopetrol Prometeo - Documents\Planning Space Implementation\3. Analysis &amp; Design\Design\FC22\DRR Jaime\Neiva CPI\[DINA TERCIARIOS_CF_SEC_New_27-Mar-2024.xlsx]D-PRB'!</v>
      </c>
      <c r="G2335" s="32" t="s">
        <v>121</v>
      </c>
      <c r="H2335" s="33">
        <f t="shared" si="560"/>
        <v>27</v>
      </c>
      <c r="I2335" s="33" t="str">
        <f t="shared" si="530"/>
        <v>='C:\Users\jaime.benazar\Quorum Business Solutions\Ecopetrol Prometeo - Documents\Planning Space Implementation\3. Analysis &amp; Design\Design\FC22\DRR Jaime\Neiva CPI\[DINA TERCIARIOS_CF_SEC_New_27-Mar-2024.xlsx]D-PRB'!$DC$27</v>
      </c>
      <c r="J2335" s="37" t="s">
        <v>3054</v>
      </c>
    </row>
    <row r="2336" spans="1:10" x14ac:dyDescent="0.3">
      <c r="A2336" s="32" t="s">
        <v>20</v>
      </c>
      <c r="B2336" s="32">
        <f t="shared" si="562"/>
        <v>2039</v>
      </c>
      <c r="C2336" s="33" t="s">
        <v>49</v>
      </c>
      <c r="D2336" s="34" t="s">
        <v>2002</v>
      </c>
      <c r="E2336" s="35" t="str">
        <f t="shared" si="528"/>
        <v>PRB'!</v>
      </c>
      <c r="F2336" s="34" t="str">
        <f t="shared" si="529"/>
        <v>C:\Users\jaime.benazar\Quorum Business Solutions\Ecopetrol Prometeo - Documents\Planning Space Implementation\3. Analysis &amp; Design\Design\FC22\DRR Jaime\Neiva CPI\[DINA TERCIARIOS_CF_SEC_New_27-Mar-2024.xlsx]D-PRB'!</v>
      </c>
      <c r="G2336" s="32" t="s">
        <v>121</v>
      </c>
      <c r="H2336" s="33">
        <f t="shared" si="560"/>
        <v>28</v>
      </c>
      <c r="I2336" s="33" t="str">
        <f t="shared" si="530"/>
        <v>='C:\Users\jaime.benazar\Quorum Business Solutions\Ecopetrol Prometeo - Documents\Planning Space Implementation\3. Analysis &amp; Design\Design\FC22\DRR Jaime\Neiva CPI\[DINA TERCIARIOS_CF_SEC_New_27-Mar-2024.xlsx]D-PRB'!$DC$28</v>
      </c>
      <c r="J2336" s="37" t="s">
        <v>3055</v>
      </c>
    </row>
    <row r="2337" spans="1:10" x14ac:dyDescent="0.3">
      <c r="A2337" s="32" t="s">
        <v>20</v>
      </c>
      <c r="B2337" s="32">
        <f t="shared" si="562"/>
        <v>2040</v>
      </c>
      <c r="C2337" s="33" t="s">
        <v>49</v>
      </c>
      <c r="D2337" s="34" t="s">
        <v>2002</v>
      </c>
      <c r="E2337" s="35" t="str">
        <f t="shared" si="528"/>
        <v>PRB'!</v>
      </c>
      <c r="F2337" s="34" t="str">
        <f t="shared" si="529"/>
        <v>C:\Users\jaime.benazar\Quorum Business Solutions\Ecopetrol Prometeo - Documents\Planning Space Implementation\3. Analysis &amp; Design\Design\FC22\DRR Jaime\Neiva CPI\[DINA TERCIARIOS_CF_SEC_New_27-Mar-2024.xlsx]D-PRB'!</v>
      </c>
      <c r="G2337" s="32" t="s">
        <v>121</v>
      </c>
      <c r="H2337" s="33">
        <f t="shared" si="560"/>
        <v>29</v>
      </c>
      <c r="I2337" s="33" t="str">
        <f t="shared" si="530"/>
        <v>='C:\Users\jaime.benazar\Quorum Business Solutions\Ecopetrol Prometeo - Documents\Planning Space Implementation\3. Analysis &amp; Design\Design\FC22\DRR Jaime\Neiva CPI\[DINA TERCIARIOS_CF_SEC_New_27-Mar-2024.xlsx]D-PRB'!$DC$29</v>
      </c>
      <c r="J2337" s="37" t="s">
        <v>3056</v>
      </c>
    </row>
    <row r="2338" spans="1:10" x14ac:dyDescent="0.3">
      <c r="A2338" s="32" t="s">
        <v>20</v>
      </c>
      <c r="B2338" s="32">
        <f>+B2337+1</f>
        <v>2041</v>
      </c>
      <c r="C2338" s="33" t="s">
        <v>49</v>
      </c>
      <c r="D2338" s="34" t="s">
        <v>2002</v>
      </c>
      <c r="E2338" s="35" t="str">
        <f t="shared" si="528"/>
        <v>PRB'!</v>
      </c>
      <c r="F2338" s="34" t="str">
        <f t="shared" si="529"/>
        <v>C:\Users\jaime.benazar\Quorum Business Solutions\Ecopetrol Prometeo - Documents\Planning Space Implementation\3. Analysis &amp; Design\Design\FC22\DRR Jaime\Neiva CPI\[DINA TERCIARIOS_CF_SEC_New_27-Mar-2024.xlsx]D-PRB'!</v>
      </c>
      <c r="G2338" s="32" t="s">
        <v>121</v>
      </c>
      <c r="H2338" s="33">
        <f t="shared" si="560"/>
        <v>30</v>
      </c>
      <c r="I2338" s="33" t="str">
        <f t="shared" si="530"/>
        <v>='C:\Users\jaime.benazar\Quorum Business Solutions\Ecopetrol Prometeo - Documents\Planning Space Implementation\3. Analysis &amp; Design\Design\FC22\DRR Jaime\Neiva CPI\[DINA TERCIARIOS_CF_SEC_New_27-Mar-2024.xlsx]D-PRB'!$DC$30</v>
      </c>
      <c r="J2338" s="37" t="s">
        <v>3057</v>
      </c>
    </row>
    <row r="2339" spans="1:10" x14ac:dyDescent="0.3">
      <c r="A2339" s="32" t="s">
        <v>20</v>
      </c>
      <c r="B2339" s="32">
        <f t="shared" ref="B2339:B2340" si="563">+B2338+1</f>
        <v>2042</v>
      </c>
      <c r="C2339" s="33" t="s">
        <v>49</v>
      </c>
      <c r="D2339" s="34" t="s">
        <v>2002</v>
      </c>
      <c r="E2339" s="35" t="str">
        <f t="shared" si="528"/>
        <v>PRB'!</v>
      </c>
      <c r="F2339" s="34" t="str">
        <f t="shared" si="529"/>
        <v>C:\Users\jaime.benazar\Quorum Business Solutions\Ecopetrol Prometeo - Documents\Planning Space Implementation\3. Analysis &amp; Design\Design\FC22\DRR Jaime\Neiva CPI\[DINA TERCIARIOS_CF_SEC_New_27-Mar-2024.xlsx]D-PRB'!</v>
      </c>
      <c r="G2339" s="32" t="s">
        <v>121</v>
      </c>
      <c r="H2339" s="33">
        <f t="shared" si="560"/>
        <v>31</v>
      </c>
      <c r="I2339" s="33" t="str">
        <f t="shared" si="530"/>
        <v>='C:\Users\jaime.benazar\Quorum Business Solutions\Ecopetrol Prometeo - Documents\Planning Space Implementation\3. Analysis &amp; Design\Design\FC22\DRR Jaime\Neiva CPI\[DINA TERCIARIOS_CF_SEC_New_27-Mar-2024.xlsx]D-PRB'!$DC$31</v>
      </c>
      <c r="J2339" s="37" t="s">
        <v>3058</v>
      </c>
    </row>
    <row r="2340" spans="1:10" x14ac:dyDescent="0.3">
      <c r="A2340" s="32" t="s">
        <v>20</v>
      </c>
      <c r="B2340" s="32">
        <f t="shared" si="563"/>
        <v>2043</v>
      </c>
      <c r="C2340" s="33" t="s">
        <v>49</v>
      </c>
      <c r="D2340" s="34" t="s">
        <v>2002</v>
      </c>
      <c r="E2340" s="35" t="str">
        <f t="shared" si="528"/>
        <v>PRB'!</v>
      </c>
      <c r="F2340" s="34" t="str">
        <f t="shared" si="529"/>
        <v>C:\Users\jaime.benazar\Quorum Business Solutions\Ecopetrol Prometeo - Documents\Planning Space Implementation\3. Analysis &amp; Design\Design\FC22\DRR Jaime\Neiva CPI\[DINA TERCIARIOS_CF_SEC_New_27-Mar-2024.xlsx]D-PRB'!</v>
      </c>
      <c r="G2340" s="32" t="s">
        <v>121</v>
      </c>
      <c r="H2340" s="33">
        <f t="shared" si="560"/>
        <v>32</v>
      </c>
      <c r="I2340" s="33" t="str">
        <f t="shared" si="530"/>
        <v>='C:\Users\jaime.benazar\Quorum Business Solutions\Ecopetrol Prometeo - Documents\Planning Space Implementation\3. Analysis &amp; Design\Design\FC22\DRR Jaime\Neiva CPI\[DINA TERCIARIOS_CF_SEC_New_27-Mar-2024.xlsx]D-PRB'!$DC$32</v>
      </c>
      <c r="J2340" s="37" t="s">
        <v>3059</v>
      </c>
    </row>
    <row r="2341" spans="1:10" x14ac:dyDescent="0.3">
      <c r="A2341" s="32" t="s">
        <v>20</v>
      </c>
      <c r="B2341" s="32">
        <f>+B2340+1</f>
        <v>2044</v>
      </c>
      <c r="C2341" s="33" t="s">
        <v>49</v>
      </c>
      <c r="D2341" s="34" t="s">
        <v>2002</v>
      </c>
      <c r="E2341" s="35" t="str">
        <f t="shared" ref="E2341:E2356" si="564">_xlfn.CONCAT(A2341,"'!")</f>
        <v>PRB'!</v>
      </c>
      <c r="F2341" s="34" t="str">
        <f t="shared" ref="F2341:F2356" si="565">_xlfn.CONCAT(D2341:E2341)</f>
        <v>C:\Users\jaime.benazar\Quorum Business Solutions\Ecopetrol Prometeo - Documents\Planning Space Implementation\3. Analysis &amp; Design\Design\FC22\DRR Jaime\Neiva CPI\[DINA TERCIARIOS_CF_SEC_New_27-Mar-2024.xlsx]D-PRB'!</v>
      </c>
      <c r="G2341" s="32" t="s">
        <v>121</v>
      </c>
      <c r="H2341" s="33">
        <f t="shared" ref="H2341:H2356" si="566">IF(A2341&lt;&gt;A2340,12,H2340+1)</f>
        <v>33</v>
      </c>
      <c r="I2341" s="33" t="str">
        <f t="shared" ref="I2341:I2356" si="567">_xlfn.CONCAT("='",F2341:H2341)</f>
        <v>='C:\Users\jaime.benazar\Quorum Business Solutions\Ecopetrol Prometeo - Documents\Planning Space Implementation\3. Analysis &amp; Design\Design\FC22\DRR Jaime\Neiva CPI\[DINA TERCIARIOS_CF_SEC_New_27-Mar-2024.xlsx]D-PRB'!$DC$33</v>
      </c>
      <c r="J2341" s="37" t="s">
        <v>3060</v>
      </c>
    </row>
    <row r="2342" spans="1:10" x14ac:dyDescent="0.3">
      <c r="A2342" s="32" t="s">
        <v>20</v>
      </c>
      <c r="B2342" s="32">
        <f t="shared" ref="B2342:B2356" si="568">+B2341+1</f>
        <v>2045</v>
      </c>
      <c r="C2342" s="33" t="s">
        <v>49</v>
      </c>
      <c r="D2342" s="34" t="s">
        <v>2002</v>
      </c>
      <c r="E2342" s="35" t="str">
        <f t="shared" si="564"/>
        <v>PRB'!</v>
      </c>
      <c r="F2342" s="34" t="str">
        <f t="shared" si="565"/>
        <v>C:\Users\jaime.benazar\Quorum Business Solutions\Ecopetrol Prometeo - Documents\Planning Space Implementation\3. Analysis &amp; Design\Design\FC22\DRR Jaime\Neiva CPI\[DINA TERCIARIOS_CF_SEC_New_27-Mar-2024.xlsx]D-PRB'!</v>
      </c>
      <c r="G2342" s="32" t="s">
        <v>121</v>
      </c>
      <c r="H2342" s="33">
        <f t="shared" si="566"/>
        <v>34</v>
      </c>
      <c r="I2342" s="33" t="str">
        <f t="shared" si="567"/>
        <v>='C:\Users\jaime.benazar\Quorum Business Solutions\Ecopetrol Prometeo - Documents\Planning Space Implementation\3. Analysis &amp; Design\Design\FC22\DRR Jaime\Neiva CPI\[DINA TERCIARIOS_CF_SEC_New_27-Mar-2024.xlsx]D-PRB'!$DC$34</v>
      </c>
      <c r="J2342" s="37" t="s">
        <v>3061</v>
      </c>
    </row>
    <row r="2343" spans="1:10" x14ac:dyDescent="0.3">
      <c r="A2343" s="32" t="s">
        <v>20</v>
      </c>
      <c r="B2343" s="32">
        <f t="shared" si="568"/>
        <v>2046</v>
      </c>
      <c r="C2343" s="33" t="s">
        <v>49</v>
      </c>
      <c r="D2343" s="34" t="s">
        <v>2002</v>
      </c>
      <c r="E2343" s="35" t="str">
        <f t="shared" si="564"/>
        <v>PRB'!</v>
      </c>
      <c r="F2343" s="34" t="str">
        <f t="shared" si="565"/>
        <v>C:\Users\jaime.benazar\Quorum Business Solutions\Ecopetrol Prometeo - Documents\Planning Space Implementation\3. Analysis &amp; Design\Design\FC22\DRR Jaime\Neiva CPI\[DINA TERCIARIOS_CF_SEC_New_27-Mar-2024.xlsx]D-PRB'!</v>
      </c>
      <c r="G2343" s="32" t="s">
        <v>121</v>
      </c>
      <c r="H2343" s="33">
        <f t="shared" si="566"/>
        <v>35</v>
      </c>
      <c r="I2343" s="33" t="str">
        <f t="shared" si="567"/>
        <v>='C:\Users\jaime.benazar\Quorum Business Solutions\Ecopetrol Prometeo - Documents\Planning Space Implementation\3. Analysis &amp; Design\Design\FC22\DRR Jaime\Neiva CPI\[DINA TERCIARIOS_CF_SEC_New_27-Mar-2024.xlsx]D-PRB'!$DC$35</v>
      </c>
      <c r="J2343" s="37" t="s">
        <v>3062</v>
      </c>
    </row>
    <row r="2344" spans="1:10" x14ac:dyDescent="0.3">
      <c r="A2344" s="32" t="s">
        <v>20</v>
      </c>
      <c r="B2344" s="32">
        <f t="shared" si="568"/>
        <v>2047</v>
      </c>
      <c r="C2344" s="33" t="s">
        <v>49</v>
      </c>
      <c r="D2344" s="34" t="s">
        <v>2002</v>
      </c>
      <c r="E2344" s="35" t="str">
        <f t="shared" si="564"/>
        <v>PRB'!</v>
      </c>
      <c r="F2344" s="34" t="str">
        <f t="shared" si="565"/>
        <v>C:\Users\jaime.benazar\Quorum Business Solutions\Ecopetrol Prometeo - Documents\Planning Space Implementation\3. Analysis &amp; Design\Design\FC22\DRR Jaime\Neiva CPI\[DINA TERCIARIOS_CF_SEC_New_27-Mar-2024.xlsx]D-PRB'!</v>
      </c>
      <c r="G2344" s="32" t="s">
        <v>121</v>
      </c>
      <c r="H2344" s="33">
        <f t="shared" si="566"/>
        <v>36</v>
      </c>
      <c r="I2344" s="33" t="str">
        <f t="shared" si="567"/>
        <v>='C:\Users\jaime.benazar\Quorum Business Solutions\Ecopetrol Prometeo - Documents\Planning Space Implementation\3. Analysis &amp; Design\Design\FC22\DRR Jaime\Neiva CPI\[DINA TERCIARIOS_CF_SEC_New_27-Mar-2024.xlsx]D-PRB'!$DC$36</v>
      </c>
      <c r="J2344" s="37" t="s">
        <v>3063</v>
      </c>
    </row>
    <row r="2345" spans="1:10" x14ac:dyDescent="0.3">
      <c r="A2345" s="32" t="s">
        <v>20</v>
      </c>
      <c r="B2345" s="32">
        <f t="shared" si="568"/>
        <v>2048</v>
      </c>
      <c r="C2345" s="33" t="s">
        <v>49</v>
      </c>
      <c r="D2345" s="34" t="s">
        <v>2002</v>
      </c>
      <c r="E2345" s="35" t="str">
        <f t="shared" si="564"/>
        <v>PRB'!</v>
      </c>
      <c r="F2345" s="34" t="str">
        <f t="shared" si="565"/>
        <v>C:\Users\jaime.benazar\Quorum Business Solutions\Ecopetrol Prometeo - Documents\Planning Space Implementation\3. Analysis &amp; Design\Design\FC22\DRR Jaime\Neiva CPI\[DINA TERCIARIOS_CF_SEC_New_27-Mar-2024.xlsx]D-PRB'!</v>
      </c>
      <c r="G2345" s="32" t="s">
        <v>121</v>
      </c>
      <c r="H2345" s="33">
        <f t="shared" si="566"/>
        <v>37</v>
      </c>
      <c r="I2345" s="33" t="str">
        <f t="shared" si="567"/>
        <v>='C:\Users\jaime.benazar\Quorum Business Solutions\Ecopetrol Prometeo - Documents\Planning Space Implementation\3. Analysis &amp; Design\Design\FC22\DRR Jaime\Neiva CPI\[DINA TERCIARIOS_CF_SEC_New_27-Mar-2024.xlsx]D-PRB'!$DC$37</v>
      </c>
      <c r="J2345" s="37" t="s">
        <v>3064</v>
      </c>
    </row>
    <row r="2346" spans="1:10" x14ac:dyDescent="0.3">
      <c r="A2346" s="32" t="s">
        <v>20</v>
      </c>
      <c r="B2346" s="32">
        <f t="shared" si="568"/>
        <v>2049</v>
      </c>
      <c r="C2346" s="33" t="s">
        <v>49</v>
      </c>
      <c r="D2346" s="34" t="s">
        <v>2002</v>
      </c>
      <c r="E2346" s="35" t="str">
        <f t="shared" si="564"/>
        <v>PRB'!</v>
      </c>
      <c r="F2346" s="34" t="str">
        <f t="shared" si="565"/>
        <v>C:\Users\jaime.benazar\Quorum Business Solutions\Ecopetrol Prometeo - Documents\Planning Space Implementation\3. Analysis &amp; Design\Design\FC22\DRR Jaime\Neiva CPI\[DINA TERCIARIOS_CF_SEC_New_27-Mar-2024.xlsx]D-PRB'!</v>
      </c>
      <c r="G2346" s="32" t="s">
        <v>121</v>
      </c>
      <c r="H2346" s="33">
        <f t="shared" si="566"/>
        <v>38</v>
      </c>
      <c r="I2346" s="33" t="str">
        <f t="shared" si="567"/>
        <v>='C:\Users\jaime.benazar\Quorum Business Solutions\Ecopetrol Prometeo - Documents\Planning Space Implementation\3. Analysis &amp; Design\Design\FC22\DRR Jaime\Neiva CPI\[DINA TERCIARIOS_CF_SEC_New_27-Mar-2024.xlsx]D-PRB'!$DC$38</v>
      </c>
      <c r="J2346" s="37" t="s">
        <v>3065</v>
      </c>
    </row>
    <row r="2347" spans="1:10" x14ac:dyDescent="0.3">
      <c r="A2347" s="32" t="s">
        <v>20</v>
      </c>
      <c r="B2347" s="32">
        <f t="shared" si="568"/>
        <v>2050</v>
      </c>
      <c r="C2347" s="33" t="s">
        <v>49</v>
      </c>
      <c r="D2347" s="34" t="s">
        <v>2002</v>
      </c>
      <c r="E2347" s="35" t="str">
        <f t="shared" si="564"/>
        <v>PRB'!</v>
      </c>
      <c r="F2347" s="34" t="str">
        <f t="shared" si="565"/>
        <v>C:\Users\jaime.benazar\Quorum Business Solutions\Ecopetrol Prometeo - Documents\Planning Space Implementation\3. Analysis &amp; Design\Design\FC22\DRR Jaime\Neiva CPI\[DINA TERCIARIOS_CF_SEC_New_27-Mar-2024.xlsx]D-PRB'!</v>
      </c>
      <c r="G2347" s="32" t="s">
        <v>121</v>
      </c>
      <c r="H2347" s="33">
        <f t="shared" si="566"/>
        <v>39</v>
      </c>
      <c r="I2347" s="33" t="str">
        <f t="shared" si="567"/>
        <v>='C:\Users\jaime.benazar\Quorum Business Solutions\Ecopetrol Prometeo - Documents\Planning Space Implementation\3. Analysis &amp; Design\Design\FC22\DRR Jaime\Neiva CPI\[DINA TERCIARIOS_CF_SEC_New_27-Mar-2024.xlsx]D-PRB'!$DC$39</v>
      </c>
      <c r="J2347" s="37" t="s">
        <v>3066</v>
      </c>
    </row>
    <row r="2348" spans="1:10" x14ac:dyDescent="0.3">
      <c r="A2348" s="32" t="s">
        <v>20</v>
      </c>
      <c r="B2348" s="32">
        <f t="shared" si="568"/>
        <v>2051</v>
      </c>
      <c r="C2348" s="33" t="s">
        <v>49</v>
      </c>
      <c r="D2348" s="34" t="s">
        <v>2002</v>
      </c>
      <c r="E2348" s="35" t="str">
        <f t="shared" si="564"/>
        <v>PRB'!</v>
      </c>
      <c r="F2348" s="34" t="str">
        <f t="shared" si="565"/>
        <v>C:\Users\jaime.benazar\Quorum Business Solutions\Ecopetrol Prometeo - Documents\Planning Space Implementation\3. Analysis &amp; Design\Design\FC22\DRR Jaime\Neiva CPI\[DINA TERCIARIOS_CF_SEC_New_27-Mar-2024.xlsx]D-PRB'!</v>
      </c>
      <c r="G2348" s="32" t="s">
        <v>121</v>
      </c>
      <c r="H2348" s="33">
        <f t="shared" si="566"/>
        <v>40</v>
      </c>
      <c r="I2348" s="33" t="str">
        <f t="shared" si="567"/>
        <v>='C:\Users\jaime.benazar\Quorum Business Solutions\Ecopetrol Prometeo - Documents\Planning Space Implementation\3. Analysis &amp; Design\Design\FC22\DRR Jaime\Neiva CPI\[DINA TERCIARIOS_CF_SEC_New_27-Mar-2024.xlsx]D-PRB'!$DC$40</v>
      </c>
      <c r="J2348" s="37" t="s">
        <v>3067</v>
      </c>
    </row>
    <row r="2349" spans="1:10" x14ac:dyDescent="0.3">
      <c r="A2349" s="32" t="s">
        <v>20</v>
      </c>
      <c r="B2349" s="32">
        <f t="shared" si="568"/>
        <v>2052</v>
      </c>
      <c r="C2349" s="33" t="s">
        <v>49</v>
      </c>
      <c r="D2349" s="34" t="s">
        <v>2002</v>
      </c>
      <c r="E2349" s="35" t="str">
        <f t="shared" si="564"/>
        <v>PRB'!</v>
      </c>
      <c r="F2349" s="34" t="str">
        <f t="shared" si="565"/>
        <v>C:\Users\jaime.benazar\Quorum Business Solutions\Ecopetrol Prometeo - Documents\Planning Space Implementation\3. Analysis &amp; Design\Design\FC22\DRR Jaime\Neiva CPI\[DINA TERCIARIOS_CF_SEC_New_27-Mar-2024.xlsx]D-PRB'!</v>
      </c>
      <c r="G2349" s="32" t="s">
        <v>121</v>
      </c>
      <c r="H2349" s="33">
        <f t="shared" si="566"/>
        <v>41</v>
      </c>
      <c r="I2349" s="33" t="str">
        <f t="shared" si="567"/>
        <v>='C:\Users\jaime.benazar\Quorum Business Solutions\Ecopetrol Prometeo - Documents\Planning Space Implementation\3. Analysis &amp; Design\Design\FC22\DRR Jaime\Neiva CPI\[DINA TERCIARIOS_CF_SEC_New_27-Mar-2024.xlsx]D-PRB'!$DC$41</v>
      </c>
      <c r="J2349" s="37" t="s">
        <v>3068</v>
      </c>
    </row>
    <row r="2350" spans="1:10" x14ac:dyDescent="0.3">
      <c r="A2350" s="32" t="s">
        <v>20</v>
      </c>
      <c r="B2350" s="32">
        <f t="shared" si="568"/>
        <v>2053</v>
      </c>
      <c r="C2350" s="33" t="s">
        <v>49</v>
      </c>
      <c r="D2350" s="34" t="s">
        <v>2002</v>
      </c>
      <c r="E2350" s="35" t="str">
        <f t="shared" si="564"/>
        <v>PRB'!</v>
      </c>
      <c r="F2350" s="34" t="str">
        <f t="shared" si="565"/>
        <v>C:\Users\jaime.benazar\Quorum Business Solutions\Ecopetrol Prometeo - Documents\Planning Space Implementation\3. Analysis &amp; Design\Design\FC22\DRR Jaime\Neiva CPI\[DINA TERCIARIOS_CF_SEC_New_27-Mar-2024.xlsx]D-PRB'!</v>
      </c>
      <c r="G2350" s="32" t="s">
        <v>121</v>
      </c>
      <c r="H2350" s="33">
        <f t="shared" si="566"/>
        <v>42</v>
      </c>
      <c r="I2350" s="33" t="str">
        <f t="shared" si="567"/>
        <v>='C:\Users\jaime.benazar\Quorum Business Solutions\Ecopetrol Prometeo - Documents\Planning Space Implementation\3. Analysis &amp; Design\Design\FC22\DRR Jaime\Neiva CPI\[DINA TERCIARIOS_CF_SEC_New_27-Mar-2024.xlsx]D-PRB'!$DC$42</v>
      </c>
      <c r="J2350" s="37" t="s">
        <v>3069</v>
      </c>
    </row>
    <row r="2351" spans="1:10" x14ac:dyDescent="0.3">
      <c r="A2351" s="32" t="s">
        <v>20</v>
      </c>
      <c r="B2351" s="32">
        <f t="shared" si="568"/>
        <v>2054</v>
      </c>
      <c r="C2351" s="33" t="s">
        <v>49</v>
      </c>
      <c r="D2351" s="34" t="s">
        <v>2002</v>
      </c>
      <c r="E2351" s="35" t="str">
        <f t="shared" si="564"/>
        <v>PRB'!</v>
      </c>
      <c r="F2351" s="34" t="str">
        <f t="shared" si="565"/>
        <v>C:\Users\jaime.benazar\Quorum Business Solutions\Ecopetrol Prometeo - Documents\Planning Space Implementation\3. Analysis &amp; Design\Design\FC22\DRR Jaime\Neiva CPI\[DINA TERCIARIOS_CF_SEC_New_27-Mar-2024.xlsx]D-PRB'!</v>
      </c>
      <c r="G2351" s="32" t="s">
        <v>121</v>
      </c>
      <c r="H2351" s="33">
        <f t="shared" si="566"/>
        <v>43</v>
      </c>
      <c r="I2351" s="33" t="str">
        <f t="shared" si="567"/>
        <v>='C:\Users\jaime.benazar\Quorum Business Solutions\Ecopetrol Prometeo - Documents\Planning Space Implementation\3. Analysis &amp; Design\Design\FC22\DRR Jaime\Neiva CPI\[DINA TERCIARIOS_CF_SEC_New_27-Mar-2024.xlsx]D-PRB'!$DC$43</v>
      </c>
      <c r="J2351" s="37" t="s">
        <v>3070</v>
      </c>
    </row>
    <row r="2352" spans="1:10" x14ac:dyDescent="0.3">
      <c r="A2352" s="32" t="s">
        <v>20</v>
      </c>
      <c r="B2352" s="32">
        <f t="shared" si="568"/>
        <v>2055</v>
      </c>
      <c r="C2352" s="33" t="s">
        <v>49</v>
      </c>
      <c r="D2352" s="34" t="s">
        <v>2002</v>
      </c>
      <c r="E2352" s="35" t="str">
        <f t="shared" si="564"/>
        <v>PRB'!</v>
      </c>
      <c r="F2352" s="34" t="str">
        <f t="shared" si="565"/>
        <v>C:\Users\jaime.benazar\Quorum Business Solutions\Ecopetrol Prometeo - Documents\Planning Space Implementation\3. Analysis &amp; Design\Design\FC22\DRR Jaime\Neiva CPI\[DINA TERCIARIOS_CF_SEC_New_27-Mar-2024.xlsx]D-PRB'!</v>
      </c>
      <c r="G2352" s="32" t="s">
        <v>121</v>
      </c>
      <c r="H2352" s="33">
        <f t="shared" si="566"/>
        <v>44</v>
      </c>
      <c r="I2352" s="33" t="str">
        <f t="shared" si="567"/>
        <v>='C:\Users\jaime.benazar\Quorum Business Solutions\Ecopetrol Prometeo - Documents\Planning Space Implementation\3. Analysis &amp; Design\Design\FC22\DRR Jaime\Neiva CPI\[DINA TERCIARIOS_CF_SEC_New_27-Mar-2024.xlsx]D-PRB'!$DC$44</v>
      </c>
      <c r="J2352" s="37" t="s">
        <v>3071</v>
      </c>
    </row>
    <row r="2353" spans="1:10" x14ac:dyDescent="0.3">
      <c r="A2353" s="32" t="s">
        <v>20</v>
      </c>
      <c r="B2353" s="32">
        <f t="shared" si="568"/>
        <v>2056</v>
      </c>
      <c r="C2353" s="33" t="s">
        <v>49</v>
      </c>
      <c r="D2353" s="34" t="s">
        <v>2002</v>
      </c>
      <c r="E2353" s="35" t="str">
        <f t="shared" si="564"/>
        <v>PRB'!</v>
      </c>
      <c r="F2353" s="34" t="str">
        <f t="shared" si="565"/>
        <v>C:\Users\jaime.benazar\Quorum Business Solutions\Ecopetrol Prometeo - Documents\Planning Space Implementation\3. Analysis &amp; Design\Design\FC22\DRR Jaime\Neiva CPI\[DINA TERCIARIOS_CF_SEC_New_27-Mar-2024.xlsx]D-PRB'!</v>
      </c>
      <c r="G2353" s="32" t="s">
        <v>121</v>
      </c>
      <c r="H2353" s="33">
        <f t="shared" si="566"/>
        <v>45</v>
      </c>
      <c r="I2353" s="33" t="str">
        <f t="shared" si="567"/>
        <v>='C:\Users\jaime.benazar\Quorum Business Solutions\Ecopetrol Prometeo - Documents\Planning Space Implementation\3. Analysis &amp; Design\Design\FC22\DRR Jaime\Neiva CPI\[DINA TERCIARIOS_CF_SEC_New_27-Mar-2024.xlsx]D-PRB'!$DC$45</v>
      </c>
      <c r="J2353" s="37" t="s">
        <v>3072</v>
      </c>
    </row>
    <row r="2354" spans="1:10" x14ac:dyDescent="0.3">
      <c r="A2354" s="32" t="s">
        <v>20</v>
      </c>
      <c r="B2354" s="32">
        <f t="shared" si="568"/>
        <v>2057</v>
      </c>
      <c r="C2354" s="33" t="s">
        <v>49</v>
      </c>
      <c r="D2354" s="34" t="s">
        <v>2002</v>
      </c>
      <c r="E2354" s="35" t="str">
        <f t="shared" si="564"/>
        <v>PRB'!</v>
      </c>
      <c r="F2354" s="34" t="str">
        <f t="shared" si="565"/>
        <v>C:\Users\jaime.benazar\Quorum Business Solutions\Ecopetrol Prometeo - Documents\Planning Space Implementation\3. Analysis &amp; Design\Design\FC22\DRR Jaime\Neiva CPI\[DINA TERCIARIOS_CF_SEC_New_27-Mar-2024.xlsx]D-PRB'!</v>
      </c>
      <c r="G2354" s="32" t="s">
        <v>121</v>
      </c>
      <c r="H2354" s="33">
        <f t="shared" si="566"/>
        <v>46</v>
      </c>
      <c r="I2354" s="33" t="str">
        <f t="shared" si="567"/>
        <v>='C:\Users\jaime.benazar\Quorum Business Solutions\Ecopetrol Prometeo - Documents\Planning Space Implementation\3. Analysis &amp; Design\Design\FC22\DRR Jaime\Neiva CPI\[DINA TERCIARIOS_CF_SEC_New_27-Mar-2024.xlsx]D-PRB'!$DC$46</v>
      </c>
      <c r="J2354" s="37" t="s">
        <v>3073</v>
      </c>
    </row>
    <row r="2355" spans="1:10" x14ac:dyDescent="0.3">
      <c r="A2355" s="32" t="s">
        <v>20</v>
      </c>
      <c r="B2355" s="32">
        <f t="shared" si="568"/>
        <v>2058</v>
      </c>
      <c r="C2355" s="33" t="s">
        <v>49</v>
      </c>
      <c r="D2355" s="34" t="s">
        <v>2002</v>
      </c>
      <c r="E2355" s="35" t="str">
        <f t="shared" si="564"/>
        <v>PRB'!</v>
      </c>
      <c r="F2355" s="34" t="str">
        <f t="shared" si="565"/>
        <v>C:\Users\jaime.benazar\Quorum Business Solutions\Ecopetrol Prometeo - Documents\Planning Space Implementation\3. Analysis &amp; Design\Design\FC22\DRR Jaime\Neiva CPI\[DINA TERCIARIOS_CF_SEC_New_27-Mar-2024.xlsx]D-PRB'!</v>
      </c>
      <c r="G2355" s="32" t="s">
        <v>121</v>
      </c>
      <c r="H2355" s="33">
        <f t="shared" si="566"/>
        <v>47</v>
      </c>
      <c r="I2355" s="33" t="str">
        <f t="shared" si="567"/>
        <v>='C:\Users\jaime.benazar\Quorum Business Solutions\Ecopetrol Prometeo - Documents\Planning Space Implementation\3. Analysis &amp; Design\Design\FC22\DRR Jaime\Neiva CPI\[DINA TERCIARIOS_CF_SEC_New_27-Mar-2024.xlsx]D-PRB'!$DC$47</v>
      </c>
      <c r="J2355" s="37" t="s">
        <v>3074</v>
      </c>
    </row>
    <row r="2356" spans="1:10" x14ac:dyDescent="0.3">
      <c r="A2356" s="32" t="s">
        <v>20</v>
      </c>
      <c r="B2356" s="32">
        <f t="shared" si="568"/>
        <v>2059</v>
      </c>
      <c r="C2356" s="33" t="s">
        <v>49</v>
      </c>
      <c r="D2356" s="34" t="s">
        <v>2002</v>
      </c>
      <c r="E2356" s="35" t="str">
        <f t="shared" si="564"/>
        <v>PRB'!</v>
      </c>
      <c r="F2356" s="34" t="str">
        <f t="shared" si="565"/>
        <v>C:\Users\jaime.benazar\Quorum Business Solutions\Ecopetrol Prometeo - Documents\Planning Space Implementation\3. Analysis &amp; Design\Design\FC22\DRR Jaime\Neiva CPI\[DINA TERCIARIOS_CF_SEC_New_27-Mar-2024.xlsx]D-PRB'!</v>
      </c>
      <c r="G2356" s="32" t="s">
        <v>121</v>
      </c>
      <c r="H2356" s="33">
        <f t="shared" si="566"/>
        <v>48</v>
      </c>
      <c r="I2356" s="33" t="str">
        <f t="shared" si="567"/>
        <v>='C:\Users\jaime.benazar\Quorum Business Solutions\Ecopetrol Prometeo - Documents\Planning Space Implementation\3. Analysis &amp; Design\Design\FC22\DRR Jaime\Neiva CPI\[DINA TERCIARIOS_CF_SEC_New_27-Mar-2024.xlsx]D-PRB'!$DC$48</v>
      </c>
      <c r="J2356" s="37" t="s">
        <v>3075</v>
      </c>
    </row>
    <row r="2357" spans="1:10" x14ac:dyDescent="0.3">
      <c r="A2357" s="32" t="s">
        <v>26</v>
      </c>
      <c r="B2357" s="32"/>
      <c r="C2357" s="33" t="s">
        <v>49</v>
      </c>
      <c r="D2357" s="34"/>
      <c r="E2357" s="35"/>
      <c r="F2357" s="34"/>
      <c r="G2357" s="32"/>
      <c r="H2357" s="33"/>
      <c r="I2357" s="33"/>
      <c r="J2357" s="33"/>
    </row>
    <row r="2358" spans="1:10" x14ac:dyDescent="0.3">
      <c r="A2358" s="32" t="s">
        <v>21</v>
      </c>
      <c r="B2358" s="32">
        <v>2023</v>
      </c>
      <c r="C2358" s="33" t="s">
        <v>49</v>
      </c>
      <c r="D2358" s="34" t="s">
        <v>2002</v>
      </c>
      <c r="E2358" s="35" t="s">
        <v>106</v>
      </c>
      <c r="F2358" s="34" t="str">
        <f t="shared" si="529"/>
        <v>C:\Users\jaime.benazar\Quorum Business Solutions\Ecopetrol Prometeo - Documents\Planning Space Implementation\3. Analysis &amp; Design\Design\FC22\DRR Jaime\Neiva CPI\[DINA TERCIARIOS_CF_SEC_New_27-Mar-2024.xlsx]D-PSDP'!</v>
      </c>
      <c r="G2358" s="32" t="s">
        <v>121</v>
      </c>
      <c r="H2358" s="33"/>
      <c r="I2358" s="33"/>
      <c r="J2358" s="37"/>
    </row>
    <row r="2359" spans="1:10" x14ac:dyDescent="0.3">
      <c r="A2359" s="32" t="s">
        <v>21</v>
      </c>
      <c r="B2359" s="32">
        <v>2024</v>
      </c>
      <c r="C2359" s="33" t="s">
        <v>49</v>
      </c>
      <c r="D2359" s="34" t="s">
        <v>2002</v>
      </c>
      <c r="E2359" s="35" t="s">
        <v>106</v>
      </c>
      <c r="F2359" s="34" t="str">
        <f t="shared" ref="F2359:F2378" si="569">_xlfn.CONCAT(D2359:E2359)</f>
        <v>C:\Users\jaime.benazar\Quorum Business Solutions\Ecopetrol Prometeo - Documents\Planning Space Implementation\3. Analysis &amp; Design\Design\FC22\DRR Jaime\Neiva CPI\[DINA TERCIARIOS_CF_SEC_New_27-Mar-2024.xlsx]D-PSDP'!</v>
      </c>
      <c r="G2359" s="32" t="s">
        <v>121</v>
      </c>
      <c r="H2359" s="33"/>
      <c r="I2359" s="33"/>
      <c r="J2359" s="37"/>
    </row>
    <row r="2360" spans="1:10" x14ac:dyDescent="0.3">
      <c r="A2360" s="32" t="s">
        <v>21</v>
      </c>
      <c r="B2360" s="32">
        <v>2025</v>
      </c>
      <c r="C2360" s="33" t="s">
        <v>49</v>
      </c>
      <c r="D2360" s="34" t="s">
        <v>2002</v>
      </c>
      <c r="E2360" s="35" t="s">
        <v>106</v>
      </c>
      <c r="F2360" s="34" t="str">
        <f t="shared" si="569"/>
        <v>C:\Users\jaime.benazar\Quorum Business Solutions\Ecopetrol Prometeo - Documents\Planning Space Implementation\3. Analysis &amp; Design\Design\FC22\DRR Jaime\Neiva CPI\[DINA TERCIARIOS_CF_SEC_New_27-Mar-2024.xlsx]D-PSDP'!</v>
      </c>
      <c r="G2360" s="32" t="s">
        <v>121</v>
      </c>
      <c r="H2360" s="33"/>
      <c r="I2360" s="33"/>
      <c r="J2360" s="37"/>
    </row>
    <row r="2361" spans="1:10" x14ac:dyDescent="0.3">
      <c r="A2361" s="32" t="s">
        <v>21</v>
      </c>
      <c r="B2361" s="32">
        <v>2026</v>
      </c>
      <c r="C2361" s="33" t="s">
        <v>49</v>
      </c>
      <c r="D2361" s="34" t="s">
        <v>2002</v>
      </c>
      <c r="E2361" s="35" t="s">
        <v>106</v>
      </c>
      <c r="F2361" s="34" t="str">
        <f t="shared" si="569"/>
        <v>C:\Users\jaime.benazar\Quorum Business Solutions\Ecopetrol Prometeo - Documents\Planning Space Implementation\3. Analysis &amp; Design\Design\FC22\DRR Jaime\Neiva CPI\[DINA TERCIARIOS_CF_SEC_New_27-Mar-2024.xlsx]D-PSDP'!</v>
      </c>
      <c r="G2361" s="32" t="s">
        <v>121</v>
      </c>
      <c r="H2361" s="33"/>
      <c r="I2361" s="33"/>
      <c r="J2361" s="37"/>
    </row>
    <row r="2362" spans="1:10" x14ac:dyDescent="0.3">
      <c r="A2362" s="32" t="s">
        <v>21</v>
      </c>
      <c r="B2362" s="32">
        <v>2027</v>
      </c>
      <c r="C2362" s="33" t="s">
        <v>49</v>
      </c>
      <c r="D2362" s="34" t="s">
        <v>2002</v>
      </c>
      <c r="E2362" s="35" t="s">
        <v>106</v>
      </c>
      <c r="F2362" s="34" t="str">
        <f t="shared" si="569"/>
        <v>C:\Users\jaime.benazar\Quorum Business Solutions\Ecopetrol Prometeo - Documents\Planning Space Implementation\3. Analysis &amp; Design\Design\FC22\DRR Jaime\Neiva CPI\[DINA TERCIARIOS_CF_SEC_New_27-Mar-2024.xlsx]D-PSDP'!</v>
      </c>
      <c r="G2362" s="32" t="s">
        <v>121</v>
      </c>
      <c r="H2362" s="33"/>
      <c r="I2362" s="33"/>
      <c r="J2362" s="37"/>
    </row>
    <row r="2363" spans="1:10" x14ac:dyDescent="0.3">
      <c r="A2363" s="32" t="s">
        <v>21</v>
      </c>
      <c r="B2363" s="32">
        <v>2028</v>
      </c>
      <c r="C2363" s="33" t="s">
        <v>49</v>
      </c>
      <c r="D2363" s="34" t="s">
        <v>2002</v>
      </c>
      <c r="E2363" s="35" t="s">
        <v>106</v>
      </c>
      <c r="F2363" s="34" t="str">
        <f t="shared" si="569"/>
        <v>C:\Users\jaime.benazar\Quorum Business Solutions\Ecopetrol Prometeo - Documents\Planning Space Implementation\3. Analysis &amp; Design\Design\FC22\DRR Jaime\Neiva CPI\[DINA TERCIARIOS_CF_SEC_New_27-Mar-2024.xlsx]D-PSDP'!</v>
      </c>
      <c r="G2363" s="32" t="s">
        <v>121</v>
      </c>
      <c r="H2363" s="33"/>
      <c r="I2363" s="33"/>
      <c r="J2363" s="37"/>
    </row>
    <row r="2364" spans="1:10" x14ac:dyDescent="0.3">
      <c r="A2364" s="32" t="s">
        <v>21</v>
      </c>
      <c r="B2364" s="32">
        <v>2029</v>
      </c>
      <c r="C2364" s="33" t="s">
        <v>49</v>
      </c>
      <c r="D2364" s="34" t="s">
        <v>2002</v>
      </c>
      <c r="E2364" s="35" t="s">
        <v>106</v>
      </c>
      <c r="F2364" s="34" t="str">
        <f t="shared" si="569"/>
        <v>C:\Users\jaime.benazar\Quorum Business Solutions\Ecopetrol Prometeo - Documents\Planning Space Implementation\3. Analysis &amp; Design\Design\FC22\DRR Jaime\Neiva CPI\[DINA TERCIARIOS_CF_SEC_New_27-Mar-2024.xlsx]D-PSDP'!</v>
      </c>
      <c r="G2364" s="32" t="s">
        <v>121</v>
      </c>
      <c r="H2364" s="33"/>
      <c r="I2364" s="33"/>
      <c r="J2364" s="37"/>
    </row>
    <row r="2365" spans="1:10" x14ac:dyDescent="0.3">
      <c r="A2365" s="32" t="s">
        <v>21</v>
      </c>
      <c r="B2365" s="32">
        <v>2030</v>
      </c>
      <c r="C2365" s="33" t="s">
        <v>49</v>
      </c>
      <c r="D2365" s="34" t="s">
        <v>2002</v>
      </c>
      <c r="E2365" s="35" t="s">
        <v>106</v>
      </c>
      <c r="F2365" s="34" t="str">
        <f t="shared" si="569"/>
        <v>C:\Users\jaime.benazar\Quorum Business Solutions\Ecopetrol Prometeo - Documents\Planning Space Implementation\3. Analysis &amp; Design\Design\FC22\DRR Jaime\Neiva CPI\[DINA TERCIARIOS_CF_SEC_New_27-Mar-2024.xlsx]D-PSDP'!</v>
      </c>
      <c r="G2365" s="32" t="s">
        <v>121</v>
      </c>
      <c r="H2365" s="33"/>
      <c r="I2365" s="33"/>
      <c r="J2365" s="37"/>
    </row>
    <row r="2366" spans="1:10" x14ac:dyDescent="0.3">
      <c r="A2366" s="32" t="s">
        <v>21</v>
      </c>
      <c r="B2366" s="32">
        <v>2031</v>
      </c>
      <c r="C2366" s="33" t="s">
        <v>49</v>
      </c>
      <c r="D2366" s="34" t="s">
        <v>2002</v>
      </c>
      <c r="E2366" s="35" t="s">
        <v>106</v>
      </c>
      <c r="F2366" s="34" t="str">
        <f t="shared" si="569"/>
        <v>C:\Users\jaime.benazar\Quorum Business Solutions\Ecopetrol Prometeo - Documents\Planning Space Implementation\3. Analysis &amp; Design\Design\FC22\DRR Jaime\Neiva CPI\[DINA TERCIARIOS_CF_SEC_New_27-Mar-2024.xlsx]D-PSDP'!</v>
      </c>
      <c r="G2366" s="32" t="s">
        <v>121</v>
      </c>
      <c r="H2366" s="33"/>
      <c r="I2366" s="33"/>
      <c r="J2366" s="37"/>
    </row>
    <row r="2367" spans="1:10" x14ac:dyDescent="0.3">
      <c r="A2367" s="32" t="s">
        <v>21</v>
      </c>
      <c r="B2367" s="32">
        <v>2032</v>
      </c>
      <c r="C2367" s="33" t="s">
        <v>49</v>
      </c>
      <c r="D2367" s="34" t="s">
        <v>2002</v>
      </c>
      <c r="E2367" s="35" t="s">
        <v>106</v>
      </c>
      <c r="F2367" s="34" t="str">
        <f t="shared" si="569"/>
        <v>C:\Users\jaime.benazar\Quorum Business Solutions\Ecopetrol Prometeo - Documents\Planning Space Implementation\3. Analysis &amp; Design\Design\FC22\DRR Jaime\Neiva CPI\[DINA TERCIARIOS_CF_SEC_New_27-Mar-2024.xlsx]D-PSDP'!</v>
      </c>
      <c r="G2367" s="32" t="s">
        <v>121</v>
      </c>
      <c r="H2367" s="33"/>
      <c r="I2367" s="33"/>
      <c r="J2367" s="37"/>
    </row>
    <row r="2368" spans="1:10" x14ac:dyDescent="0.3">
      <c r="A2368" s="32" t="s">
        <v>21</v>
      </c>
      <c r="B2368" s="32">
        <v>2033</v>
      </c>
      <c r="C2368" s="33" t="s">
        <v>49</v>
      </c>
      <c r="D2368" s="34" t="s">
        <v>2002</v>
      </c>
      <c r="E2368" s="35" t="s">
        <v>106</v>
      </c>
      <c r="F2368" s="34" t="str">
        <f t="shared" si="569"/>
        <v>C:\Users\jaime.benazar\Quorum Business Solutions\Ecopetrol Prometeo - Documents\Planning Space Implementation\3. Analysis &amp; Design\Design\FC22\DRR Jaime\Neiva CPI\[DINA TERCIARIOS_CF_SEC_New_27-Mar-2024.xlsx]D-PSDP'!</v>
      </c>
      <c r="G2368" s="32" t="s">
        <v>121</v>
      </c>
      <c r="H2368" s="33"/>
      <c r="I2368" s="33"/>
      <c r="J2368" s="37"/>
    </row>
    <row r="2369" spans="1:10" x14ac:dyDescent="0.3">
      <c r="A2369" s="32" t="s">
        <v>21</v>
      </c>
      <c r="B2369" s="32">
        <v>2034</v>
      </c>
      <c r="C2369" s="33" t="s">
        <v>49</v>
      </c>
      <c r="D2369" s="34" t="s">
        <v>2002</v>
      </c>
      <c r="E2369" s="35" t="s">
        <v>106</v>
      </c>
      <c r="F2369" s="34" t="str">
        <f t="shared" si="569"/>
        <v>C:\Users\jaime.benazar\Quorum Business Solutions\Ecopetrol Prometeo - Documents\Planning Space Implementation\3. Analysis &amp; Design\Design\FC22\DRR Jaime\Neiva CPI\[DINA TERCIARIOS_CF_SEC_New_27-Mar-2024.xlsx]D-PSDP'!</v>
      </c>
      <c r="G2369" s="32" t="s">
        <v>121</v>
      </c>
      <c r="H2369" s="33"/>
      <c r="I2369" s="33"/>
      <c r="J2369" s="37"/>
    </row>
    <row r="2370" spans="1:10" x14ac:dyDescent="0.3">
      <c r="A2370" s="32" t="s">
        <v>21</v>
      </c>
      <c r="B2370" s="32">
        <v>2035</v>
      </c>
      <c r="C2370" s="33" t="s">
        <v>49</v>
      </c>
      <c r="D2370" s="34" t="s">
        <v>2002</v>
      </c>
      <c r="E2370" s="35" t="s">
        <v>106</v>
      </c>
      <c r="F2370" s="34" t="str">
        <f t="shared" si="569"/>
        <v>C:\Users\jaime.benazar\Quorum Business Solutions\Ecopetrol Prometeo - Documents\Planning Space Implementation\3. Analysis &amp; Design\Design\FC22\DRR Jaime\Neiva CPI\[DINA TERCIARIOS_CF_SEC_New_27-Mar-2024.xlsx]D-PSDP'!</v>
      </c>
      <c r="G2370" s="32" t="s">
        <v>121</v>
      </c>
      <c r="H2370" s="33"/>
      <c r="I2370" s="33"/>
      <c r="J2370" s="37"/>
    </row>
    <row r="2371" spans="1:10" x14ac:dyDescent="0.3">
      <c r="A2371" s="32" t="s">
        <v>21</v>
      </c>
      <c r="B2371" s="32">
        <v>2036</v>
      </c>
      <c r="C2371" s="33" t="s">
        <v>49</v>
      </c>
      <c r="D2371" s="34" t="s">
        <v>2002</v>
      </c>
      <c r="E2371" s="35" t="s">
        <v>106</v>
      </c>
      <c r="F2371" s="34" t="str">
        <f t="shared" si="569"/>
        <v>C:\Users\jaime.benazar\Quorum Business Solutions\Ecopetrol Prometeo - Documents\Planning Space Implementation\3. Analysis &amp; Design\Design\FC22\DRR Jaime\Neiva CPI\[DINA TERCIARIOS_CF_SEC_New_27-Mar-2024.xlsx]D-PSDP'!</v>
      </c>
      <c r="G2371" s="32" t="s">
        <v>121</v>
      </c>
      <c r="H2371" s="33"/>
      <c r="I2371" s="33"/>
      <c r="J2371" s="37"/>
    </row>
    <row r="2372" spans="1:10" x14ac:dyDescent="0.3">
      <c r="A2372" s="32" t="s">
        <v>21</v>
      </c>
      <c r="B2372" s="32">
        <v>2037</v>
      </c>
      <c r="C2372" s="33" t="s">
        <v>49</v>
      </c>
      <c r="D2372" s="34" t="s">
        <v>2002</v>
      </c>
      <c r="E2372" s="35" t="s">
        <v>106</v>
      </c>
      <c r="F2372" s="34" t="str">
        <f t="shared" si="569"/>
        <v>C:\Users\jaime.benazar\Quorum Business Solutions\Ecopetrol Prometeo - Documents\Planning Space Implementation\3. Analysis &amp; Design\Design\FC22\DRR Jaime\Neiva CPI\[DINA TERCIARIOS_CF_SEC_New_27-Mar-2024.xlsx]D-PSDP'!</v>
      </c>
      <c r="G2372" s="32" t="s">
        <v>121</v>
      </c>
      <c r="H2372" s="33"/>
      <c r="I2372" s="33"/>
      <c r="J2372" s="37"/>
    </row>
    <row r="2373" spans="1:10" x14ac:dyDescent="0.3">
      <c r="A2373" s="32" t="s">
        <v>21</v>
      </c>
      <c r="B2373" s="32">
        <v>2038</v>
      </c>
      <c r="C2373" s="33" t="s">
        <v>49</v>
      </c>
      <c r="D2373" s="34" t="s">
        <v>2002</v>
      </c>
      <c r="E2373" s="35" t="s">
        <v>106</v>
      </c>
      <c r="F2373" s="34" t="str">
        <f t="shared" si="569"/>
        <v>C:\Users\jaime.benazar\Quorum Business Solutions\Ecopetrol Prometeo - Documents\Planning Space Implementation\3. Analysis &amp; Design\Design\FC22\DRR Jaime\Neiva CPI\[DINA TERCIARIOS_CF_SEC_New_27-Mar-2024.xlsx]D-PSDP'!</v>
      </c>
      <c r="G2373" s="32" t="s">
        <v>121</v>
      </c>
      <c r="H2373" s="33"/>
      <c r="I2373" s="33"/>
      <c r="J2373" s="37"/>
    </row>
    <row r="2374" spans="1:10" x14ac:dyDescent="0.3">
      <c r="A2374" s="32" t="s">
        <v>21</v>
      </c>
      <c r="B2374" s="32">
        <v>2039</v>
      </c>
      <c r="C2374" s="33" t="s">
        <v>49</v>
      </c>
      <c r="D2374" s="34" t="s">
        <v>2002</v>
      </c>
      <c r="E2374" s="35" t="s">
        <v>106</v>
      </c>
      <c r="F2374" s="34" t="str">
        <f t="shared" si="569"/>
        <v>C:\Users\jaime.benazar\Quorum Business Solutions\Ecopetrol Prometeo - Documents\Planning Space Implementation\3. Analysis &amp; Design\Design\FC22\DRR Jaime\Neiva CPI\[DINA TERCIARIOS_CF_SEC_New_27-Mar-2024.xlsx]D-PSDP'!</v>
      </c>
      <c r="G2374" s="32" t="s">
        <v>121</v>
      </c>
      <c r="H2374" s="33"/>
      <c r="I2374" s="33"/>
      <c r="J2374" s="37"/>
    </row>
    <row r="2375" spans="1:10" x14ac:dyDescent="0.3">
      <c r="A2375" s="32" t="s">
        <v>21</v>
      </c>
      <c r="B2375" s="32">
        <v>2040</v>
      </c>
      <c r="C2375" s="33" t="s">
        <v>49</v>
      </c>
      <c r="D2375" s="34" t="s">
        <v>2002</v>
      </c>
      <c r="E2375" s="35" t="s">
        <v>106</v>
      </c>
      <c r="F2375" s="34" t="str">
        <f t="shared" si="569"/>
        <v>C:\Users\jaime.benazar\Quorum Business Solutions\Ecopetrol Prometeo - Documents\Planning Space Implementation\3. Analysis &amp; Design\Design\FC22\DRR Jaime\Neiva CPI\[DINA TERCIARIOS_CF_SEC_New_27-Mar-2024.xlsx]D-PSDP'!</v>
      </c>
      <c r="G2375" s="32" t="s">
        <v>121</v>
      </c>
      <c r="H2375" s="33"/>
      <c r="I2375" s="33"/>
      <c r="J2375" s="37"/>
    </row>
    <row r="2376" spans="1:10" x14ac:dyDescent="0.3">
      <c r="A2376" s="32" t="s">
        <v>21</v>
      </c>
      <c r="B2376" s="32">
        <v>2041</v>
      </c>
      <c r="C2376" s="33" t="s">
        <v>49</v>
      </c>
      <c r="D2376" s="34" t="s">
        <v>2002</v>
      </c>
      <c r="E2376" s="35" t="s">
        <v>106</v>
      </c>
      <c r="F2376" s="34" t="str">
        <f t="shared" si="569"/>
        <v>C:\Users\jaime.benazar\Quorum Business Solutions\Ecopetrol Prometeo - Documents\Planning Space Implementation\3. Analysis &amp; Design\Design\FC22\DRR Jaime\Neiva CPI\[DINA TERCIARIOS_CF_SEC_New_27-Mar-2024.xlsx]D-PSDP'!</v>
      </c>
      <c r="G2376" s="32" t="s">
        <v>121</v>
      </c>
      <c r="H2376" s="33"/>
      <c r="I2376" s="33"/>
      <c r="J2376" s="37"/>
    </row>
    <row r="2377" spans="1:10" x14ac:dyDescent="0.3">
      <c r="A2377" s="32" t="s">
        <v>21</v>
      </c>
      <c r="B2377" s="32">
        <v>2042</v>
      </c>
      <c r="C2377" s="33" t="s">
        <v>49</v>
      </c>
      <c r="D2377" s="34" t="s">
        <v>2002</v>
      </c>
      <c r="E2377" s="35" t="s">
        <v>106</v>
      </c>
      <c r="F2377" s="34" t="str">
        <f t="shared" si="569"/>
        <v>C:\Users\jaime.benazar\Quorum Business Solutions\Ecopetrol Prometeo - Documents\Planning Space Implementation\3. Analysis &amp; Design\Design\FC22\DRR Jaime\Neiva CPI\[DINA TERCIARIOS_CF_SEC_New_27-Mar-2024.xlsx]D-PSDP'!</v>
      </c>
      <c r="G2377" s="32" t="s">
        <v>121</v>
      </c>
      <c r="H2377" s="33"/>
      <c r="I2377" s="33"/>
      <c r="J2377" s="37"/>
    </row>
    <row r="2378" spans="1:10" x14ac:dyDescent="0.3">
      <c r="A2378" s="32" t="s">
        <v>21</v>
      </c>
      <c r="B2378" s="32">
        <v>2043</v>
      </c>
      <c r="C2378" s="33" t="s">
        <v>49</v>
      </c>
      <c r="D2378" s="34" t="s">
        <v>2002</v>
      </c>
      <c r="E2378" s="35" t="s">
        <v>106</v>
      </c>
      <c r="F2378" s="34" t="str">
        <f t="shared" si="569"/>
        <v>C:\Users\jaime.benazar\Quorum Business Solutions\Ecopetrol Prometeo - Documents\Planning Space Implementation\3. Analysis &amp; Design\Design\FC22\DRR Jaime\Neiva CPI\[DINA TERCIARIOS_CF_SEC_New_27-Mar-2024.xlsx]D-PSDP'!</v>
      </c>
      <c r="G2378" s="32" t="s">
        <v>121</v>
      </c>
      <c r="H2378" s="33"/>
      <c r="I2378" s="33"/>
      <c r="J2378" s="37"/>
    </row>
    <row r="2379" spans="1:10" x14ac:dyDescent="0.3">
      <c r="A2379" s="32" t="s">
        <v>21</v>
      </c>
      <c r="B2379" s="32">
        <v>2044</v>
      </c>
      <c r="C2379" s="33" t="s">
        <v>49</v>
      </c>
      <c r="D2379" s="34" t="s">
        <v>2002</v>
      </c>
      <c r="E2379" s="35" t="s">
        <v>106</v>
      </c>
      <c r="F2379" s="34" t="str">
        <f t="shared" ref="F2379:F2394" si="570">_xlfn.CONCAT(D2379:E2379)</f>
        <v>C:\Users\jaime.benazar\Quorum Business Solutions\Ecopetrol Prometeo - Documents\Planning Space Implementation\3. Analysis &amp; Design\Design\FC22\DRR Jaime\Neiva CPI\[DINA TERCIARIOS_CF_SEC_New_27-Mar-2024.xlsx]D-PSDP'!</v>
      </c>
      <c r="G2379" s="32" t="s">
        <v>121</v>
      </c>
      <c r="H2379" s="33"/>
      <c r="I2379" s="33"/>
      <c r="J2379" s="37"/>
    </row>
    <row r="2380" spans="1:10" x14ac:dyDescent="0.3">
      <c r="A2380" s="32" t="s">
        <v>21</v>
      </c>
      <c r="B2380" s="32">
        <v>2045</v>
      </c>
      <c r="C2380" s="33" t="s">
        <v>49</v>
      </c>
      <c r="D2380" s="34" t="s">
        <v>2002</v>
      </c>
      <c r="E2380" s="35" t="s">
        <v>106</v>
      </c>
      <c r="F2380" s="34" t="str">
        <f t="shared" si="570"/>
        <v>C:\Users\jaime.benazar\Quorum Business Solutions\Ecopetrol Prometeo - Documents\Planning Space Implementation\3. Analysis &amp; Design\Design\FC22\DRR Jaime\Neiva CPI\[DINA TERCIARIOS_CF_SEC_New_27-Mar-2024.xlsx]D-PSDP'!</v>
      </c>
      <c r="G2380" s="32" t="s">
        <v>121</v>
      </c>
      <c r="H2380" s="33"/>
      <c r="I2380" s="33"/>
      <c r="J2380" s="37"/>
    </row>
    <row r="2381" spans="1:10" x14ac:dyDescent="0.3">
      <c r="A2381" s="32" t="s">
        <v>21</v>
      </c>
      <c r="B2381" s="32">
        <v>2046</v>
      </c>
      <c r="C2381" s="33" t="s">
        <v>49</v>
      </c>
      <c r="D2381" s="34" t="s">
        <v>2002</v>
      </c>
      <c r="E2381" s="35" t="s">
        <v>106</v>
      </c>
      <c r="F2381" s="34" t="str">
        <f t="shared" si="570"/>
        <v>C:\Users\jaime.benazar\Quorum Business Solutions\Ecopetrol Prometeo - Documents\Planning Space Implementation\3. Analysis &amp; Design\Design\FC22\DRR Jaime\Neiva CPI\[DINA TERCIARIOS_CF_SEC_New_27-Mar-2024.xlsx]D-PSDP'!</v>
      </c>
      <c r="G2381" s="32" t="s">
        <v>121</v>
      </c>
      <c r="H2381" s="33"/>
      <c r="I2381" s="33"/>
      <c r="J2381" s="37"/>
    </row>
    <row r="2382" spans="1:10" x14ac:dyDescent="0.3">
      <c r="A2382" s="32" t="s">
        <v>21</v>
      </c>
      <c r="B2382" s="32">
        <v>2047</v>
      </c>
      <c r="C2382" s="33" t="s">
        <v>49</v>
      </c>
      <c r="D2382" s="34" t="s">
        <v>2002</v>
      </c>
      <c r="E2382" s="35" t="s">
        <v>106</v>
      </c>
      <c r="F2382" s="34" t="str">
        <f t="shared" si="570"/>
        <v>C:\Users\jaime.benazar\Quorum Business Solutions\Ecopetrol Prometeo - Documents\Planning Space Implementation\3. Analysis &amp; Design\Design\FC22\DRR Jaime\Neiva CPI\[DINA TERCIARIOS_CF_SEC_New_27-Mar-2024.xlsx]D-PSDP'!</v>
      </c>
      <c r="G2382" s="32" t="s">
        <v>121</v>
      </c>
      <c r="H2382" s="33"/>
      <c r="I2382" s="33"/>
      <c r="J2382" s="37"/>
    </row>
    <row r="2383" spans="1:10" x14ac:dyDescent="0.3">
      <c r="A2383" s="32" t="s">
        <v>21</v>
      </c>
      <c r="B2383" s="32">
        <v>2048</v>
      </c>
      <c r="C2383" s="33" t="s">
        <v>49</v>
      </c>
      <c r="D2383" s="34" t="s">
        <v>2002</v>
      </c>
      <c r="E2383" s="35" t="s">
        <v>106</v>
      </c>
      <c r="F2383" s="34" t="str">
        <f t="shared" si="570"/>
        <v>C:\Users\jaime.benazar\Quorum Business Solutions\Ecopetrol Prometeo - Documents\Planning Space Implementation\3. Analysis &amp; Design\Design\FC22\DRR Jaime\Neiva CPI\[DINA TERCIARIOS_CF_SEC_New_27-Mar-2024.xlsx]D-PSDP'!</v>
      </c>
      <c r="G2383" s="32" t="s">
        <v>121</v>
      </c>
      <c r="H2383" s="33"/>
      <c r="I2383" s="33"/>
      <c r="J2383" s="37"/>
    </row>
    <row r="2384" spans="1:10" x14ac:dyDescent="0.3">
      <c r="A2384" s="32" t="s">
        <v>21</v>
      </c>
      <c r="B2384" s="32">
        <v>2049</v>
      </c>
      <c r="C2384" s="33" t="s">
        <v>49</v>
      </c>
      <c r="D2384" s="34" t="s">
        <v>2002</v>
      </c>
      <c r="E2384" s="35" t="s">
        <v>106</v>
      </c>
      <c r="F2384" s="34" t="str">
        <f t="shared" si="570"/>
        <v>C:\Users\jaime.benazar\Quorum Business Solutions\Ecopetrol Prometeo - Documents\Planning Space Implementation\3. Analysis &amp; Design\Design\FC22\DRR Jaime\Neiva CPI\[DINA TERCIARIOS_CF_SEC_New_27-Mar-2024.xlsx]D-PSDP'!</v>
      </c>
      <c r="G2384" s="32" t="s">
        <v>121</v>
      </c>
      <c r="H2384" s="33"/>
      <c r="I2384" s="33"/>
      <c r="J2384" s="37"/>
    </row>
    <row r="2385" spans="1:10" x14ac:dyDescent="0.3">
      <c r="A2385" s="32" t="s">
        <v>21</v>
      </c>
      <c r="B2385" s="32">
        <v>2050</v>
      </c>
      <c r="C2385" s="33" t="s">
        <v>49</v>
      </c>
      <c r="D2385" s="34" t="s">
        <v>2002</v>
      </c>
      <c r="E2385" s="35" t="s">
        <v>106</v>
      </c>
      <c r="F2385" s="34" t="str">
        <f t="shared" si="570"/>
        <v>C:\Users\jaime.benazar\Quorum Business Solutions\Ecopetrol Prometeo - Documents\Planning Space Implementation\3. Analysis &amp; Design\Design\FC22\DRR Jaime\Neiva CPI\[DINA TERCIARIOS_CF_SEC_New_27-Mar-2024.xlsx]D-PSDP'!</v>
      </c>
      <c r="G2385" s="32" t="s">
        <v>121</v>
      </c>
      <c r="H2385" s="33"/>
      <c r="I2385" s="33"/>
      <c r="J2385" s="37"/>
    </row>
    <row r="2386" spans="1:10" x14ac:dyDescent="0.3">
      <c r="A2386" s="32" t="s">
        <v>21</v>
      </c>
      <c r="B2386" s="32">
        <v>2051</v>
      </c>
      <c r="C2386" s="33" t="s">
        <v>49</v>
      </c>
      <c r="D2386" s="34" t="s">
        <v>2002</v>
      </c>
      <c r="E2386" s="35" t="s">
        <v>106</v>
      </c>
      <c r="F2386" s="34" t="str">
        <f t="shared" si="570"/>
        <v>C:\Users\jaime.benazar\Quorum Business Solutions\Ecopetrol Prometeo - Documents\Planning Space Implementation\3. Analysis &amp; Design\Design\FC22\DRR Jaime\Neiva CPI\[DINA TERCIARIOS_CF_SEC_New_27-Mar-2024.xlsx]D-PSDP'!</v>
      </c>
      <c r="G2386" s="32" t="s">
        <v>121</v>
      </c>
      <c r="H2386" s="33"/>
      <c r="I2386" s="33"/>
      <c r="J2386" s="37"/>
    </row>
    <row r="2387" spans="1:10" x14ac:dyDescent="0.3">
      <c r="A2387" s="32" t="s">
        <v>21</v>
      </c>
      <c r="B2387" s="32">
        <v>2052</v>
      </c>
      <c r="C2387" s="33" t="s">
        <v>49</v>
      </c>
      <c r="D2387" s="34" t="s">
        <v>2002</v>
      </c>
      <c r="E2387" s="35" t="s">
        <v>106</v>
      </c>
      <c r="F2387" s="34" t="str">
        <f t="shared" si="570"/>
        <v>C:\Users\jaime.benazar\Quorum Business Solutions\Ecopetrol Prometeo - Documents\Planning Space Implementation\3. Analysis &amp; Design\Design\FC22\DRR Jaime\Neiva CPI\[DINA TERCIARIOS_CF_SEC_New_27-Mar-2024.xlsx]D-PSDP'!</v>
      </c>
      <c r="G2387" s="32" t="s">
        <v>121</v>
      </c>
      <c r="H2387" s="33"/>
      <c r="I2387" s="33"/>
      <c r="J2387" s="37"/>
    </row>
    <row r="2388" spans="1:10" x14ac:dyDescent="0.3">
      <c r="A2388" s="32" t="s">
        <v>21</v>
      </c>
      <c r="B2388" s="32">
        <v>2053</v>
      </c>
      <c r="C2388" s="33" t="s">
        <v>49</v>
      </c>
      <c r="D2388" s="34" t="s">
        <v>2002</v>
      </c>
      <c r="E2388" s="35" t="s">
        <v>106</v>
      </c>
      <c r="F2388" s="34" t="str">
        <f t="shared" si="570"/>
        <v>C:\Users\jaime.benazar\Quorum Business Solutions\Ecopetrol Prometeo - Documents\Planning Space Implementation\3. Analysis &amp; Design\Design\FC22\DRR Jaime\Neiva CPI\[DINA TERCIARIOS_CF_SEC_New_27-Mar-2024.xlsx]D-PSDP'!</v>
      </c>
      <c r="G2388" s="32" t="s">
        <v>121</v>
      </c>
      <c r="H2388" s="33"/>
      <c r="I2388" s="33"/>
      <c r="J2388" s="37"/>
    </row>
    <row r="2389" spans="1:10" x14ac:dyDescent="0.3">
      <c r="A2389" s="32" t="s">
        <v>21</v>
      </c>
      <c r="B2389" s="32">
        <v>2054</v>
      </c>
      <c r="C2389" s="33" t="s">
        <v>49</v>
      </c>
      <c r="D2389" s="34" t="s">
        <v>2002</v>
      </c>
      <c r="E2389" s="35" t="s">
        <v>106</v>
      </c>
      <c r="F2389" s="34" t="str">
        <f t="shared" si="570"/>
        <v>C:\Users\jaime.benazar\Quorum Business Solutions\Ecopetrol Prometeo - Documents\Planning Space Implementation\3. Analysis &amp; Design\Design\FC22\DRR Jaime\Neiva CPI\[DINA TERCIARIOS_CF_SEC_New_27-Mar-2024.xlsx]D-PSDP'!</v>
      </c>
      <c r="G2389" s="32" t="s">
        <v>121</v>
      </c>
      <c r="H2389" s="33"/>
      <c r="I2389" s="33"/>
      <c r="J2389" s="37"/>
    </row>
    <row r="2390" spans="1:10" x14ac:dyDescent="0.3">
      <c r="A2390" s="32" t="s">
        <v>21</v>
      </c>
      <c r="B2390" s="32">
        <v>2055</v>
      </c>
      <c r="C2390" s="33" t="s">
        <v>49</v>
      </c>
      <c r="D2390" s="34" t="s">
        <v>2002</v>
      </c>
      <c r="E2390" s="35" t="s">
        <v>106</v>
      </c>
      <c r="F2390" s="34" t="str">
        <f t="shared" si="570"/>
        <v>C:\Users\jaime.benazar\Quorum Business Solutions\Ecopetrol Prometeo - Documents\Planning Space Implementation\3. Analysis &amp; Design\Design\FC22\DRR Jaime\Neiva CPI\[DINA TERCIARIOS_CF_SEC_New_27-Mar-2024.xlsx]D-PSDP'!</v>
      </c>
      <c r="G2390" s="32" t="s">
        <v>121</v>
      </c>
      <c r="H2390" s="33"/>
      <c r="I2390" s="33"/>
      <c r="J2390" s="37"/>
    </row>
    <row r="2391" spans="1:10" x14ac:dyDescent="0.3">
      <c r="A2391" s="32" t="s">
        <v>21</v>
      </c>
      <c r="B2391" s="32">
        <v>2056</v>
      </c>
      <c r="C2391" s="33" t="s">
        <v>49</v>
      </c>
      <c r="D2391" s="34" t="s">
        <v>2002</v>
      </c>
      <c r="E2391" s="35" t="s">
        <v>106</v>
      </c>
      <c r="F2391" s="34" t="str">
        <f t="shared" si="570"/>
        <v>C:\Users\jaime.benazar\Quorum Business Solutions\Ecopetrol Prometeo - Documents\Planning Space Implementation\3. Analysis &amp; Design\Design\FC22\DRR Jaime\Neiva CPI\[DINA TERCIARIOS_CF_SEC_New_27-Mar-2024.xlsx]D-PSDP'!</v>
      </c>
      <c r="G2391" s="32" t="s">
        <v>121</v>
      </c>
      <c r="H2391" s="33"/>
      <c r="I2391" s="33"/>
      <c r="J2391" s="37"/>
    </row>
    <row r="2392" spans="1:10" x14ac:dyDescent="0.3">
      <c r="A2392" s="32" t="s">
        <v>21</v>
      </c>
      <c r="B2392" s="32">
        <v>2057</v>
      </c>
      <c r="C2392" s="33" t="s">
        <v>49</v>
      </c>
      <c r="D2392" s="34" t="s">
        <v>2002</v>
      </c>
      <c r="E2392" s="35" t="s">
        <v>106</v>
      </c>
      <c r="F2392" s="34" t="str">
        <f t="shared" si="570"/>
        <v>C:\Users\jaime.benazar\Quorum Business Solutions\Ecopetrol Prometeo - Documents\Planning Space Implementation\3. Analysis &amp; Design\Design\FC22\DRR Jaime\Neiva CPI\[DINA TERCIARIOS_CF_SEC_New_27-Mar-2024.xlsx]D-PSDP'!</v>
      </c>
      <c r="G2392" s="32" t="s">
        <v>121</v>
      </c>
      <c r="H2392" s="33"/>
      <c r="I2392" s="33"/>
      <c r="J2392" s="37"/>
    </row>
    <row r="2393" spans="1:10" x14ac:dyDescent="0.3">
      <c r="A2393" s="32" t="s">
        <v>21</v>
      </c>
      <c r="B2393" s="32">
        <v>2058</v>
      </c>
      <c r="C2393" s="33" t="s">
        <v>49</v>
      </c>
      <c r="D2393" s="34" t="s">
        <v>2002</v>
      </c>
      <c r="E2393" s="35" t="s">
        <v>106</v>
      </c>
      <c r="F2393" s="34" t="str">
        <f t="shared" si="570"/>
        <v>C:\Users\jaime.benazar\Quorum Business Solutions\Ecopetrol Prometeo - Documents\Planning Space Implementation\3. Analysis &amp; Design\Design\FC22\DRR Jaime\Neiva CPI\[DINA TERCIARIOS_CF_SEC_New_27-Mar-2024.xlsx]D-PSDP'!</v>
      </c>
      <c r="G2393" s="32" t="s">
        <v>121</v>
      </c>
      <c r="H2393" s="33"/>
      <c r="I2393" s="33"/>
      <c r="J2393" s="37"/>
    </row>
    <row r="2394" spans="1:10" x14ac:dyDescent="0.3">
      <c r="A2394" s="32" t="s">
        <v>21</v>
      </c>
      <c r="B2394" s="32">
        <v>2059</v>
      </c>
      <c r="C2394" s="33" t="s">
        <v>49</v>
      </c>
      <c r="D2394" s="34" t="s">
        <v>2002</v>
      </c>
      <c r="E2394" s="35" t="s">
        <v>106</v>
      </c>
      <c r="F2394" s="34" t="str">
        <f t="shared" si="570"/>
        <v>C:\Users\jaime.benazar\Quorum Business Solutions\Ecopetrol Prometeo - Documents\Planning Space Implementation\3. Analysis &amp; Design\Design\FC22\DRR Jaime\Neiva CPI\[DINA TERCIARIOS_CF_SEC_New_27-Mar-2024.xlsx]D-PSDP'!</v>
      </c>
      <c r="G2394" s="32" t="s">
        <v>121</v>
      </c>
      <c r="H2394" s="33"/>
      <c r="I2394" s="33"/>
      <c r="J2394" s="37"/>
    </row>
    <row r="2395" spans="1:10" x14ac:dyDescent="0.3">
      <c r="A2395" s="32" t="s">
        <v>26</v>
      </c>
      <c r="B2395" s="32"/>
      <c r="C2395" s="33" t="s">
        <v>49</v>
      </c>
      <c r="D2395" s="34"/>
      <c r="E2395" s="35"/>
      <c r="F2395" s="34"/>
      <c r="G2395" s="32"/>
      <c r="H2395" s="33"/>
      <c r="I2395" s="33"/>
      <c r="J2395" s="33"/>
    </row>
    <row r="2396" spans="1:10" x14ac:dyDescent="0.3">
      <c r="A2396" s="32" t="s">
        <v>22</v>
      </c>
      <c r="B2396" s="32">
        <v>2023</v>
      </c>
      <c r="C2396" s="33" t="s">
        <v>49</v>
      </c>
      <c r="D2396" s="34" t="s">
        <v>2002</v>
      </c>
      <c r="E2396" s="35" t="s">
        <v>107</v>
      </c>
      <c r="F2396" s="34" t="str">
        <f t="shared" ref="F2396:F2416" si="571">_xlfn.CONCAT(D2396:E2396)</f>
        <v>C:\Users\jaime.benazar\Quorum Business Solutions\Ecopetrol Prometeo - Documents\Planning Space Implementation\3. Analysis &amp; Design\Design\FC22\DRR Jaime\Neiva CPI\[DINA TERCIARIOS_CF_SEC_New_27-Mar-2024.xlsx]D-PSNP'!</v>
      </c>
      <c r="G2396" s="32" t="s">
        <v>121</v>
      </c>
      <c r="H2396" s="33"/>
      <c r="I2396" s="33"/>
      <c r="J2396" s="37"/>
    </row>
    <row r="2397" spans="1:10" x14ac:dyDescent="0.3">
      <c r="A2397" s="32" t="s">
        <v>22</v>
      </c>
      <c r="B2397" s="32">
        <v>2024</v>
      </c>
      <c r="C2397" s="33" t="s">
        <v>49</v>
      </c>
      <c r="D2397" s="34" t="s">
        <v>2002</v>
      </c>
      <c r="E2397" s="35" t="s">
        <v>107</v>
      </c>
      <c r="F2397" s="34" t="str">
        <f t="shared" si="571"/>
        <v>C:\Users\jaime.benazar\Quorum Business Solutions\Ecopetrol Prometeo - Documents\Planning Space Implementation\3. Analysis &amp; Design\Design\FC22\DRR Jaime\Neiva CPI\[DINA TERCIARIOS_CF_SEC_New_27-Mar-2024.xlsx]D-PSNP'!</v>
      </c>
      <c r="G2397" s="32" t="s">
        <v>121</v>
      </c>
      <c r="H2397" s="33"/>
      <c r="I2397" s="33"/>
      <c r="J2397" s="37"/>
    </row>
    <row r="2398" spans="1:10" x14ac:dyDescent="0.3">
      <c r="A2398" s="32" t="s">
        <v>22</v>
      </c>
      <c r="B2398" s="32">
        <v>2025</v>
      </c>
      <c r="C2398" s="33" t="s">
        <v>49</v>
      </c>
      <c r="D2398" s="34" t="s">
        <v>2002</v>
      </c>
      <c r="E2398" s="35" t="s">
        <v>107</v>
      </c>
      <c r="F2398" s="34" t="str">
        <f t="shared" si="571"/>
        <v>C:\Users\jaime.benazar\Quorum Business Solutions\Ecopetrol Prometeo - Documents\Planning Space Implementation\3. Analysis &amp; Design\Design\FC22\DRR Jaime\Neiva CPI\[DINA TERCIARIOS_CF_SEC_New_27-Mar-2024.xlsx]D-PSNP'!</v>
      </c>
      <c r="G2398" s="32" t="s">
        <v>121</v>
      </c>
      <c r="H2398" s="33"/>
      <c r="I2398" s="33"/>
      <c r="J2398" s="37"/>
    </row>
    <row r="2399" spans="1:10" x14ac:dyDescent="0.3">
      <c r="A2399" s="32" t="s">
        <v>22</v>
      </c>
      <c r="B2399" s="32">
        <v>2026</v>
      </c>
      <c r="C2399" s="33" t="s">
        <v>49</v>
      </c>
      <c r="D2399" s="34" t="s">
        <v>2002</v>
      </c>
      <c r="E2399" s="35" t="s">
        <v>107</v>
      </c>
      <c r="F2399" s="34" t="str">
        <f t="shared" si="571"/>
        <v>C:\Users\jaime.benazar\Quorum Business Solutions\Ecopetrol Prometeo - Documents\Planning Space Implementation\3. Analysis &amp; Design\Design\FC22\DRR Jaime\Neiva CPI\[DINA TERCIARIOS_CF_SEC_New_27-Mar-2024.xlsx]D-PSNP'!</v>
      </c>
      <c r="G2399" s="32" t="s">
        <v>121</v>
      </c>
      <c r="H2399" s="33"/>
      <c r="I2399" s="33"/>
      <c r="J2399" s="37"/>
    </row>
    <row r="2400" spans="1:10" x14ac:dyDescent="0.3">
      <c r="A2400" s="32" t="s">
        <v>22</v>
      </c>
      <c r="B2400" s="32">
        <v>2027</v>
      </c>
      <c r="C2400" s="33" t="s">
        <v>49</v>
      </c>
      <c r="D2400" s="34" t="s">
        <v>2002</v>
      </c>
      <c r="E2400" s="35" t="s">
        <v>107</v>
      </c>
      <c r="F2400" s="34" t="str">
        <f t="shared" si="571"/>
        <v>C:\Users\jaime.benazar\Quorum Business Solutions\Ecopetrol Prometeo - Documents\Planning Space Implementation\3. Analysis &amp; Design\Design\FC22\DRR Jaime\Neiva CPI\[DINA TERCIARIOS_CF_SEC_New_27-Mar-2024.xlsx]D-PSNP'!</v>
      </c>
      <c r="G2400" s="32" t="s">
        <v>121</v>
      </c>
      <c r="H2400" s="33"/>
      <c r="I2400" s="33"/>
      <c r="J2400" s="37"/>
    </row>
    <row r="2401" spans="1:10" x14ac:dyDescent="0.3">
      <c r="A2401" s="32" t="s">
        <v>22</v>
      </c>
      <c r="B2401" s="32">
        <v>2028</v>
      </c>
      <c r="C2401" s="33" t="s">
        <v>49</v>
      </c>
      <c r="D2401" s="34" t="s">
        <v>2002</v>
      </c>
      <c r="E2401" s="35" t="s">
        <v>107</v>
      </c>
      <c r="F2401" s="34" t="str">
        <f t="shared" si="571"/>
        <v>C:\Users\jaime.benazar\Quorum Business Solutions\Ecopetrol Prometeo - Documents\Planning Space Implementation\3. Analysis &amp; Design\Design\FC22\DRR Jaime\Neiva CPI\[DINA TERCIARIOS_CF_SEC_New_27-Mar-2024.xlsx]D-PSNP'!</v>
      </c>
      <c r="G2401" s="32" t="s">
        <v>121</v>
      </c>
      <c r="H2401" s="33"/>
      <c r="I2401" s="33"/>
      <c r="J2401" s="37"/>
    </row>
    <row r="2402" spans="1:10" x14ac:dyDescent="0.3">
      <c r="A2402" s="32" t="s">
        <v>22</v>
      </c>
      <c r="B2402" s="32">
        <v>2029</v>
      </c>
      <c r="C2402" s="33" t="s">
        <v>49</v>
      </c>
      <c r="D2402" s="34" t="s">
        <v>2002</v>
      </c>
      <c r="E2402" s="35" t="s">
        <v>107</v>
      </c>
      <c r="F2402" s="34" t="str">
        <f t="shared" si="571"/>
        <v>C:\Users\jaime.benazar\Quorum Business Solutions\Ecopetrol Prometeo - Documents\Planning Space Implementation\3. Analysis &amp; Design\Design\FC22\DRR Jaime\Neiva CPI\[DINA TERCIARIOS_CF_SEC_New_27-Mar-2024.xlsx]D-PSNP'!</v>
      </c>
      <c r="G2402" s="32" t="s">
        <v>121</v>
      </c>
      <c r="H2402" s="33"/>
      <c r="I2402" s="33"/>
      <c r="J2402" s="37"/>
    </row>
    <row r="2403" spans="1:10" x14ac:dyDescent="0.3">
      <c r="A2403" s="32" t="s">
        <v>22</v>
      </c>
      <c r="B2403" s="32">
        <v>2030</v>
      </c>
      <c r="C2403" s="33" t="s">
        <v>49</v>
      </c>
      <c r="D2403" s="34" t="s">
        <v>2002</v>
      </c>
      <c r="E2403" s="35" t="s">
        <v>107</v>
      </c>
      <c r="F2403" s="34" t="str">
        <f t="shared" si="571"/>
        <v>C:\Users\jaime.benazar\Quorum Business Solutions\Ecopetrol Prometeo - Documents\Planning Space Implementation\3. Analysis &amp; Design\Design\FC22\DRR Jaime\Neiva CPI\[DINA TERCIARIOS_CF_SEC_New_27-Mar-2024.xlsx]D-PSNP'!</v>
      </c>
      <c r="G2403" s="32" t="s">
        <v>121</v>
      </c>
      <c r="H2403" s="33"/>
      <c r="I2403" s="33"/>
      <c r="J2403" s="37"/>
    </row>
    <row r="2404" spans="1:10" x14ac:dyDescent="0.3">
      <c r="A2404" s="32" t="s">
        <v>22</v>
      </c>
      <c r="B2404" s="32">
        <v>2031</v>
      </c>
      <c r="C2404" s="33" t="s">
        <v>49</v>
      </c>
      <c r="D2404" s="34" t="s">
        <v>2002</v>
      </c>
      <c r="E2404" s="35" t="s">
        <v>107</v>
      </c>
      <c r="F2404" s="34" t="str">
        <f t="shared" si="571"/>
        <v>C:\Users\jaime.benazar\Quorum Business Solutions\Ecopetrol Prometeo - Documents\Planning Space Implementation\3. Analysis &amp; Design\Design\FC22\DRR Jaime\Neiva CPI\[DINA TERCIARIOS_CF_SEC_New_27-Mar-2024.xlsx]D-PSNP'!</v>
      </c>
      <c r="G2404" s="32" t="s">
        <v>121</v>
      </c>
      <c r="H2404" s="33"/>
      <c r="I2404" s="33"/>
      <c r="J2404" s="37"/>
    </row>
    <row r="2405" spans="1:10" x14ac:dyDescent="0.3">
      <c r="A2405" s="32" t="s">
        <v>22</v>
      </c>
      <c r="B2405" s="32">
        <v>2032</v>
      </c>
      <c r="C2405" s="33" t="s">
        <v>49</v>
      </c>
      <c r="D2405" s="34" t="s">
        <v>2002</v>
      </c>
      <c r="E2405" s="35" t="s">
        <v>107</v>
      </c>
      <c r="F2405" s="34" t="str">
        <f t="shared" si="571"/>
        <v>C:\Users\jaime.benazar\Quorum Business Solutions\Ecopetrol Prometeo - Documents\Planning Space Implementation\3. Analysis &amp; Design\Design\FC22\DRR Jaime\Neiva CPI\[DINA TERCIARIOS_CF_SEC_New_27-Mar-2024.xlsx]D-PSNP'!</v>
      </c>
      <c r="G2405" s="32" t="s">
        <v>121</v>
      </c>
      <c r="H2405" s="33"/>
      <c r="I2405" s="33"/>
      <c r="J2405" s="37"/>
    </row>
    <row r="2406" spans="1:10" x14ac:dyDescent="0.3">
      <c r="A2406" s="32" t="s">
        <v>22</v>
      </c>
      <c r="B2406" s="32">
        <v>2033</v>
      </c>
      <c r="C2406" s="33" t="s">
        <v>49</v>
      </c>
      <c r="D2406" s="34" t="s">
        <v>2002</v>
      </c>
      <c r="E2406" s="35" t="s">
        <v>107</v>
      </c>
      <c r="F2406" s="34" t="str">
        <f t="shared" si="571"/>
        <v>C:\Users\jaime.benazar\Quorum Business Solutions\Ecopetrol Prometeo - Documents\Planning Space Implementation\3. Analysis &amp; Design\Design\FC22\DRR Jaime\Neiva CPI\[DINA TERCIARIOS_CF_SEC_New_27-Mar-2024.xlsx]D-PSNP'!</v>
      </c>
      <c r="G2406" s="32" t="s">
        <v>121</v>
      </c>
      <c r="H2406" s="33"/>
      <c r="I2406" s="33"/>
      <c r="J2406" s="37"/>
    </row>
    <row r="2407" spans="1:10" x14ac:dyDescent="0.3">
      <c r="A2407" s="32" t="s">
        <v>22</v>
      </c>
      <c r="B2407" s="32">
        <v>2034</v>
      </c>
      <c r="C2407" s="33" t="s">
        <v>49</v>
      </c>
      <c r="D2407" s="34" t="s">
        <v>2002</v>
      </c>
      <c r="E2407" s="35" t="s">
        <v>107</v>
      </c>
      <c r="F2407" s="34" t="str">
        <f t="shared" si="571"/>
        <v>C:\Users\jaime.benazar\Quorum Business Solutions\Ecopetrol Prometeo - Documents\Planning Space Implementation\3. Analysis &amp; Design\Design\FC22\DRR Jaime\Neiva CPI\[DINA TERCIARIOS_CF_SEC_New_27-Mar-2024.xlsx]D-PSNP'!</v>
      </c>
      <c r="G2407" s="32" t="s">
        <v>121</v>
      </c>
      <c r="H2407" s="33"/>
      <c r="I2407" s="33"/>
      <c r="J2407" s="37"/>
    </row>
    <row r="2408" spans="1:10" x14ac:dyDescent="0.3">
      <c r="A2408" s="32" t="s">
        <v>22</v>
      </c>
      <c r="B2408" s="32">
        <v>2035</v>
      </c>
      <c r="C2408" s="33" t="s">
        <v>49</v>
      </c>
      <c r="D2408" s="34" t="s">
        <v>2002</v>
      </c>
      <c r="E2408" s="35" t="s">
        <v>107</v>
      </c>
      <c r="F2408" s="34" t="str">
        <f t="shared" si="571"/>
        <v>C:\Users\jaime.benazar\Quorum Business Solutions\Ecopetrol Prometeo - Documents\Planning Space Implementation\3. Analysis &amp; Design\Design\FC22\DRR Jaime\Neiva CPI\[DINA TERCIARIOS_CF_SEC_New_27-Mar-2024.xlsx]D-PSNP'!</v>
      </c>
      <c r="G2408" s="32" t="s">
        <v>121</v>
      </c>
      <c r="H2408" s="33"/>
      <c r="I2408" s="33"/>
      <c r="J2408" s="37"/>
    </row>
    <row r="2409" spans="1:10" x14ac:dyDescent="0.3">
      <c r="A2409" s="32" t="s">
        <v>22</v>
      </c>
      <c r="B2409" s="32">
        <v>2036</v>
      </c>
      <c r="C2409" s="33" t="s">
        <v>49</v>
      </c>
      <c r="D2409" s="34" t="s">
        <v>2002</v>
      </c>
      <c r="E2409" s="35" t="s">
        <v>107</v>
      </c>
      <c r="F2409" s="34" t="str">
        <f t="shared" si="571"/>
        <v>C:\Users\jaime.benazar\Quorum Business Solutions\Ecopetrol Prometeo - Documents\Planning Space Implementation\3. Analysis &amp; Design\Design\FC22\DRR Jaime\Neiva CPI\[DINA TERCIARIOS_CF_SEC_New_27-Mar-2024.xlsx]D-PSNP'!</v>
      </c>
      <c r="G2409" s="32" t="s">
        <v>121</v>
      </c>
      <c r="H2409" s="33"/>
      <c r="I2409" s="33"/>
      <c r="J2409" s="37"/>
    </row>
    <row r="2410" spans="1:10" x14ac:dyDescent="0.3">
      <c r="A2410" s="32" t="s">
        <v>22</v>
      </c>
      <c r="B2410" s="32">
        <v>2037</v>
      </c>
      <c r="C2410" s="33" t="s">
        <v>49</v>
      </c>
      <c r="D2410" s="34" t="s">
        <v>2002</v>
      </c>
      <c r="E2410" s="35" t="s">
        <v>107</v>
      </c>
      <c r="F2410" s="34" t="str">
        <f t="shared" si="571"/>
        <v>C:\Users\jaime.benazar\Quorum Business Solutions\Ecopetrol Prometeo - Documents\Planning Space Implementation\3. Analysis &amp; Design\Design\FC22\DRR Jaime\Neiva CPI\[DINA TERCIARIOS_CF_SEC_New_27-Mar-2024.xlsx]D-PSNP'!</v>
      </c>
      <c r="G2410" s="32" t="s">
        <v>121</v>
      </c>
      <c r="H2410" s="33"/>
      <c r="I2410" s="33"/>
      <c r="J2410" s="37"/>
    </row>
    <row r="2411" spans="1:10" x14ac:dyDescent="0.3">
      <c r="A2411" s="32" t="s">
        <v>22</v>
      </c>
      <c r="B2411" s="32">
        <v>2038</v>
      </c>
      <c r="C2411" s="33" t="s">
        <v>49</v>
      </c>
      <c r="D2411" s="34" t="s">
        <v>2002</v>
      </c>
      <c r="E2411" s="35" t="s">
        <v>107</v>
      </c>
      <c r="F2411" s="34" t="str">
        <f t="shared" si="571"/>
        <v>C:\Users\jaime.benazar\Quorum Business Solutions\Ecopetrol Prometeo - Documents\Planning Space Implementation\3. Analysis &amp; Design\Design\FC22\DRR Jaime\Neiva CPI\[DINA TERCIARIOS_CF_SEC_New_27-Mar-2024.xlsx]D-PSNP'!</v>
      </c>
      <c r="G2411" s="32" t="s">
        <v>121</v>
      </c>
      <c r="H2411" s="33"/>
      <c r="I2411" s="33"/>
      <c r="J2411" s="37"/>
    </row>
    <row r="2412" spans="1:10" x14ac:dyDescent="0.3">
      <c r="A2412" s="32" t="s">
        <v>22</v>
      </c>
      <c r="B2412" s="32">
        <v>2039</v>
      </c>
      <c r="C2412" s="33" t="s">
        <v>49</v>
      </c>
      <c r="D2412" s="34" t="s">
        <v>2002</v>
      </c>
      <c r="E2412" s="35" t="s">
        <v>107</v>
      </c>
      <c r="F2412" s="34" t="str">
        <f t="shared" si="571"/>
        <v>C:\Users\jaime.benazar\Quorum Business Solutions\Ecopetrol Prometeo - Documents\Planning Space Implementation\3. Analysis &amp; Design\Design\FC22\DRR Jaime\Neiva CPI\[DINA TERCIARIOS_CF_SEC_New_27-Mar-2024.xlsx]D-PSNP'!</v>
      </c>
      <c r="G2412" s="32" t="s">
        <v>121</v>
      </c>
      <c r="H2412" s="33"/>
      <c r="I2412" s="33"/>
      <c r="J2412" s="37"/>
    </row>
    <row r="2413" spans="1:10" x14ac:dyDescent="0.3">
      <c r="A2413" s="32" t="s">
        <v>22</v>
      </c>
      <c r="B2413" s="32">
        <v>2040</v>
      </c>
      <c r="C2413" s="33" t="s">
        <v>49</v>
      </c>
      <c r="D2413" s="34" t="s">
        <v>2002</v>
      </c>
      <c r="E2413" s="35" t="s">
        <v>107</v>
      </c>
      <c r="F2413" s="34" t="str">
        <f t="shared" si="571"/>
        <v>C:\Users\jaime.benazar\Quorum Business Solutions\Ecopetrol Prometeo - Documents\Planning Space Implementation\3. Analysis &amp; Design\Design\FC22\DRR Jaime\Neiva CPI\[DINA TERCIARIOS_CF_SEC_New_27-Mar-2024.xlsx]D-PSNP'!</v>
      </c>
      <c r="G2413" s="32" t="s">
        <v>121</v>
      </c>
      <c r="H2413" s="33"/>
      <c r="I2413" s="33"/>
      <c r="J2413" s="37"/>
    </row>
    <row r="2414" spans="1:10" x14ac:dyDescent="0.3">
      <c r="A2414" s="32" t="s">
        <v>22</v>
      </c>
      <c r="B2414" s="32">
        <v>2041</v>
      </c>
      <c r="C2414" s="33" t="s">
        <v>49</v>
      </c>
      <c r="D2414" s="34" t="s">
        <v>2002</v>
      </c>
      <c r="E2414" s="35" t="s">
        <v>107</v>
      </c>
      <c r="F2414" s="34" t="str">
        <f t="shared" si="571"/>
        <v>C:\Users\jaime.benazar\Quorum Business Solutions\Ecopetrol Prometeo - Documents\Planning Space Implementation\3. Analysis &amp; Design\Design\FC22\DRR Jaime\Neiva CPI\[DINA TERCIARIOS_CF_SEC_New_27-Mar-2024.xlsx]D-PSNP'!</v>
      </c>
      <c r="G2414" s="32" t="s">
        <v>121</v>
      </c>
      <c r="H2414" s="33"/>
      <c r="I2414" s="33"/>
      <c r="J2414" s="37"/>
    </row>
    <row r="2415" spans="1:10" x14ac:dyDescent="0.3">
      <c r="A2415" s="32" t="s">
        <v>22</v>
      </c>
      <c r="B2415" s="32">
        <v>2042</v>
      </c>
      <c r="C2415" s="33" t="s">
        <v>49</v>
      </c>
      <c r="D2415" s="34" t="s">
        <v>2002</v>
      </c>
      <c r="E2415" s="35" t="s">
        <v>107</v>
      </c>
      <c r="F2415" s="34" t="str">
        <f t="shared" si="571"/>
        <v>C:\Users\jaime.benazar\Quorum Business Solutions\Ecopetrol Prometeo - Documents\Planning Space Implementation\3. Analysis &amp; Design\Design\FC22\DRR Jaime\Neiva CPI\[DINA TERCIARIOS_CF_SEC_New_27-Mar-2024.xlsx]D-PSNP'!</v>
      </c>
      <c r="G2415" s="32" t="s">
        <v>121</v>
      </c>
      <c r="H2415" s="33"/>
      <c r="I2415" s="33"/>
      <c r="J2415" s="37"/>
    </row>
    <row r="2416" spans="1:10" x14ac:dyDescent="0.3">
      <c r="A2416" s="32" t="s">
        <v>22</v>
      </c>
      <c r="B2416" s="32">
        <v>2043</v>
      </c>
      <c r="C2416" s="33" t="s">
        <v>49</v>
      </c>
      <c r="D2416" s="34" t="s">
        <v>2002</v>
      </c>
      <c r="E2416" s="35" t="s">
        <v>107</v>
      </c>
      <c r="F2416" s="34" t="str">
        <f t="shared" si="571"/>
        <v>C:\Users\jaime.benazar\Quorum Business Solutions\Ecopetrol Prometeo - Documents\Planning Space Implementation\3. Analysis &amp; Design\Design\FC22\DRR Jaime\Neiva CPI\[DINA TERCIARIOS_CF_SEC_New_27-Mar-2024.xlsx]D-PSNP'!</v>
      </c>
      <c r="G2416" s="32" t="s">
        <v>121</v>
      </c>
      <c r="H2416" s="33"/>
      <c r="I2416" s="33"/>
      <c r="J2416" s="37"/>
    </row>
    <row r="2417" spans="1:10" x14ac:dyDescent="0.3">
      <c r="A2417" s="32" t="s">
        <v>22</v>
      </c>
      <c r="B2417" s="32">
        <v>2044</v>
      </c>
      <c r="C2417" s="33" t="s">
        <v>49</v>
      </c>
      <c r="D2417" s="34" t="s">
        <v>2002</v>
      </c>
      <c r="E2417" s="35" t="s">
        <v>107</v>
      </c>
      <c r="F2417" s="34" t="str">
        <f t="shared" ref="F2417:F2432" si="572">_xlfn.CONCAT(D2417:E2417)</f>
        <v>C:\Users\jaime.benazar\Quorum Business Solutions\Ecopetrol Prometeo - Documents\Planning Space Implementation\3. Analysis &amp; Design\Design\FC22\DRR Jaime\Neiva CPI\[DINA TERCIARIOS_CF_SEC_New_27-Mar-2024.xlsx]D-PSNP'!</v>
      </c>
      <c r="G2417" s="32" t="s">
        <v>121</v>
      </c>
      <c r="H2417" s="33"/>
      <c r="I2417" s="33"/>
      <c r="J2417" s="37"/>
    </row>
    <row r="2418" spans="1:10" x14ac:dyDescent="0.3">
      <c r="A2418" s="32" t="s">
        <v>22</v>
      </c>
      <c r="B2418" s="32">
        <v>2045</v>
      </c>
      <c r="C2418" s="33" t="s">
        <v>49</v>
      </c>
      <c r="D2418" s="34" t="s">
        <v>2002</v>
      </c>
      <c r="E2418" s="35" t="s">
        <v>107</v>
      </c>
      <c r="F2418" s="34" t="str">
        <f t="shared" si="572"/>
        <v>C:\Users\jaime.benazar\Quorum Business Solutions\Ecopetrol Prometeo - Documents\Planning Space Implementation\3. Analysis &amp; Design\Design\FC22\DRR Jaime\Neiva CPI\[DINA TERCIARIOS_CF_SEC_New_27-Mar-2024.xlsx]D-PSNP'!</v>
      </c>
      <c r="G2418" s="32" t="s">
        <v>121</v>
      </c>
      <c r="H2418" s="33"/>
      <c r="I2418" s="33"/>
      <c r="J2418" s="37"/>
    </row>
    <row r="2419" spans="1:10" x14ac:dyDescent="0.3">
      <c r="A2419" s="32" t="s">
        <v>22</v>
      </c>
      <c r="B2419" s="32">
        <v>2046</v>
      </c>
      <c r="C2419" s="33" t="s">
        <v>49</v>
      </c>
      <c r="D2419" s="34" t="s">
        <v>2002</v>
      </c>
      <c r="E2419" s="35" t="s">
        <v>107</v>
      </c>
      <c r="F2419" s="34" t="str">
        <f t="shared" si="572"/>
        <v>C:\Users\jaime.benazar\Quorum Business Solutions\Ecopetrol Prometeo - Documents\Planning Space Implementation\3. Analysis &amp; Design\Design\FC22\DRR Jaime\Neiva CPI\[DINA TERCIARIOS_CF_SEC_New_27-Mar-2024.xlsx]D-PSNP'!</v>
      </c>
      <c r="G2419" s="32" t="s">
        <v>121</v>
      </c>
      <c r="H2419" s="33"/>
      <c r="I2419" s="33"/>
      <c r="J2419" s="37"/>
    </row>
    <row r="2420" spans="1:10" x14ac:dyDescent="0.3">
      <c r="A2420" s="32" t="s">
        <v>22</v>
      </c>
      <c r="B2420" s="32">
        <v>2047</v>
      </c>
      <c r="C2420" s="33" t="s">
        <v>49</v>
      </c>
      <c r="D2420" s="34" t="s">
        <v>2002</v>
      </c>
      <c r="E2420" s="35" t="s">
        <v>107</v>
      </c>
      <c r="F2420" s="34" t="str">
        <f t="shared" si="572"/>
        <v>C:\Users\jaime.benazar\Quorum Business Solutions\Ecopetrol Prometeo - Documents\Planning Space Implementation\3. Analysis &amp; Design\Design\FC22\DRR Jaime\Neiva CPI\[DINA TERCIARIOS_CF_SEC_New_27-Mar-2024.xlsx]D-PSNP'!</v>
      </c>
      <c r="G2420" s="32" t="s">
        <v>121</v>
      </c>
      <c r="H2420" s="33"/>
      <c r="I2420" s="33"/>
      <c r="J2420" s="37"/>
    </row>
    <row r="2421" spans="1:10" x14ac:dyDescent="0.3">
      <c r="A2421" s="32" t="s">
        <v>22</v>
      </c>
      <c r="B2421" s="32">
        <v>2048</v>
      </c>
      <c r="C2421" s="33" t="s">
        <v>49</v>
      </c>
      <c r="D2421" s="34" t="s">
        <v>2002</v>
      </c>
      <c r="E2421" s="35" t="s">
        <v>107</v>
      </c>
      <c r="F2421" s="34" t="str">
        <f t="shared" si="572"/>
        <v>C:\Users\jaime.benazar\Quorum Business Solutions\Ecopetrol Prometeo - Documents\Planning Space Implementation\3. Analysis &amp; Design\Design\FC22\DRR Jaime\Neiva CPI\[DINA TERCIARIOS_CF_SEC_New_27-Mar-2024.xlsx]D-PSNP'!</v>
      </c>
      <c r="G2421" s="32" t="s">
        <v>121</v>
      </c>
      <c r="H2421" s="33"/>
      <c r="I2421" s="33"/>
      <c r="J2421" s="37"/>
    </row>
    <row r="2422" spans="1:10" x14ac:dyDescent="0.3">
      <c r="A2422" s="32" t="s">
        <v>22</v>
      </c>
      <c r="B2422" s="32">
        <v>2049</v>
      </c>
      <c r="C2422" s="33" t="s">
        <v>49</v>
      </c>
      <c r="D2422" s="34" t="s">
        <v>2002</v>
      </c>
      <c r="E2422" s="35" t="s">
        <v>107</v>
      </c>
      <c r="F2422" s="34" t="str">
        <f t="shared" si="572"/>
        <v>C:\Users\jaime.benazar\Quorum Business Solutions\Ecopetrol Prometeo - Documents\Planning Space Implementation\3. Analysis &amp; Design\Design\FC22\DRR Jaime\Neiva CPI\[DINA TERCIARIOS_CF_SEC_New_27-Mar-2024.xlsx]D-PSNP'!</v>
      </c>
      <c r="G2422" s="32" t="s">
        <v>121</v>
      </c>
      <c r="H2422" s="33"/>
      <c r="I2422" s="33"/>
      <c r="J2422" s="37"/>
    </row>
    <row r="2423" spans="1:10" x14ac:dyDescent="0.3">
      <c r="A2423" s="32" t="s">
        <v>22</v>
      </c>
      <c r="B2423" s="32">
        <v>2050</v>
      </c>
      <c r="C2423" s="33" t="s">
        <v>49</v>
      </c>
      <c r="D2423" s="34" t="s">
        <v>2002</v>
      </c>
      <c r="E2423" s="35" t="s">
        <v>107</v>
      </c>
      <c r="F2423" s="34" t="str">
        <f t="shared" si="572"/>
        <v>C:\Users\jaime.benazar\Quorum Business Solutions\Ecopetrol Prometeo - Documents\Planning Space Implementation\3. Analysis &amp; Design\Design\FC22\DRR Jaime\Neiva CPI\[DINA TERCIARIOS_CF_SEC_New_27-Mar-2024.xlsx]D-PSNP'!</v>
      </c>
      <c r="G2423" s="32" t="s">
        <v>121</v>
      </c>
      <c r="H2423" s="33"/>
      <c r="I2423" s="33"/>
      <c r="J2423" s="37"/>
    </row>
    <row r="2424" spans="1:10" x14ac:dyDescent="0.3">
      <c r="A2424" s="32" t="s">
        <v>22</v>
      </c>
      <c r="B2424" s="32">
        <v>2051</v>
      </c>
      <c r="C2424" s="33" t="s">
        <v>49</v>
      </c>
      <c r="D2424" s="34" t="s">
        <v>2002</v>
      </c>
      <c r="E2424" s="35" t="s">
        <v>107</v>
      </c>
      <c r="F2424" s="34" t="str">
        <f t="shared" si="572"/>
        <v>C:\Users\jaime.benazar\Quorum Business Solutions\Ecopetrol Prometeo - Documents\Planning Space Implementation\3. Analysis &amp; Design\Design\FC22\DRR Jaime\Neiva CPI\[DINA TERCIARIOS_CF_SEC_New_27-Mar-2024.xlsx]D-PSNP'!</v>
      </c>
      <c r="G2424" s="32" t="s">
        <v>121</v>
      </c>
      <c r="H2424" s="33"/>
      <c r="I2424" s="33"/>
      <c r="J2424" s="37"/>
    </row>
    <row r="2425" spans="1:10" x14ac:dyDescent="0.3">
      <c r="A2425" s="32" t="s">
        <v>22</v>
      </c>
      <c r="B2425" s="32">
        <v>2052</v>
      </c>
      <c r="C2425" s="33" t="s">
        <v>49</v>
      </c>
      <c r="D2425" s="34" t="s">
        <v>2002</v>
      </c>
      <c r="E2425" s="35" t="s">
        <v>107</v>
      </c>
      <c r="F2425" s="34" t="str">
        <f t="shared" si="572"/>
        <v>C:\Users\jaime.benazar\Quorum Business Solutions\Ecopetrol Prometeo - Documents\Planning Space Implementation\3. Analysis &amp; Design\Design\FC22\DRR Jaime\Neiva CPI\[DINA TERCIARIOS_CF_SEC_New_27-Mar-2024.xlsx]D-PSNP'!</v>
      </c>
      <c r="G2425" s="32" t="s">
        <v>121</v>
      </c>
      <c r="H2425" s="33"/>
      <c r="I2425" s="33"/>
      <c r="J2425" s="37"/>
    </row>
    <row r="2426" spans="1:10" x14ac:dyDescent="0.3">
      <c r="A2426" s="32" t="s">
        <v>22</v>
      </c>
      <c r="B2426" s="32">
        <v>2053</v>
      </c>
      <c r="C2426" s="33" t="s">
        <v>49</v>
      </c>
      <c r="D2426" s="34" t="s">
        <v>2002</v>
      </c>
      <c r="E2426" s="35" t="s">
        <v>107</v>
      </c>
      <c r="F2426" s="34" t="str">
        <f t="shared" si="572"/>
        <v>C:\Users\jaime.benazar\Quorum Business Solutions\Ecopetrol Prometeo - Documents\Planning Space Implementation\3. Analysis &amp; Design\Design\FC22\DRR Jaime\Neiva CPI\[DINA TERCIARIOS_CF_SEC_New_27-Mar-2024.xlsx]D-PSNP'!</v>
      </c>
      <c r="G2426" s="32" t="s">
        <v>121</v>
      </c>
      <c r="H2426" s="33"/>
      <c r="I2426" s="33"/>
      <c r="J2426" s="37"/>
    </row>
    <row r="2427" spans="1:10" x14ac:dyDescent="0.3">
      <c r="A2427" s="32" t="s">
        <v>22</v>
      </c>
      <c r="B2427" s="32">
        <v>2054</v>
      </c>
      <c r="C2427" s="33" t="s">
        <v>49</v>
      </c>
      <c r="D2427" s="34" t="s">
        <v>2002</v>
      </c>
      <c r="E2427" s="35" t="s">
        <v>107</v>
      </c>
      <c r="F2427" s="34" t="str">
        <f t="shared" si="572"/>
        <v>C:\Users\jaime.benazar\Quorum Business Solutions\Ecopetrol Prometeo - Documents\Planning Space Implementation\3. Analysis &amp; Design\Design\FC22\DRR Jaime\Neiva CPI\[DINA TERCIARIOS_CF_SEC_New_27-Mar-2024.xlsx]D-PSNP'!</v>
      </c>
      <c r="G2427" s="32" t="s">
        <v>121</v>
      </c>
      <c r="H2427" s="33"/>
      <c r="I2427" s="33"/>
      <c r="J2427" s="37"/>
    </row>
    <row r="2428" spans="1:10" x14ac:dyDescent="0.3">
      <c r="A2428" s="32" t="s">
        <v>22</v>
      </c>
      <c r="B2428" s="32">
        <v>2055</v>
      </c>
      <c r="C2428" s="33" t="s">
        <v>49</v>
      </c>
      <c r="D2428" s="34" t="s">
        <v>2002</v>
      </c>
      <c r="E2428" s="35" t="s">
        <v>107</v>
      </c>
      <c r="F2428" s="34" t="str">
        <f t="shared" si="572"/>
        <v>C:\Users\jaime.benazar\Quorum Business Solutions\Ecopetrol Prometeo - Documents\Planning Space Implementation\3. Analysis &amp; Design\Design\FC22\DRR Jaime\Neiva CPI\[DINA TERCIARIOS_CF_SEC_New_27-Mar-2024.xlsx]D-PSNP'!</v>
      </c>
      <c r="G2428" s="32" t="s">
        <v>121</v>
      </c>
      <c r="H2428" s="33"/>
      <c r="I2428" s="33"/>
      <c r="J2428" s="37"/>
    </row>
    <row r="2429" spans="1:10" x14ac:dyDescent="0.3">
      <c r="A2429" s="32" t="s">
        <v>22</v>
      </c>
      <c r="B2429" s="32">
        <v>2056</v>
      </c>
      <c r="C2429" s="33" t="s">
        <v>49</v>
      </c>
      <c r="D2429" s="34" t="s">
        <v>2002</v>
      </c>
      <c r="E2429" s="35" t="s">
        <v>107</v>
      </c>
      <c r="F2429" s="34" t="str">
        <f t="shared" si="572"/>
        <v>C:\Users\jaime.benazar\Quorum Business Solutions\Ecopetrol Prometeo - Documents\Planning Space Implementation\3. Analysis &amp; Design\Design\FC22\DRR Jaime\Neiva CPI\[DINA TERCIARIOS_CF_SEC_New_27-Mar-2024.xlsx]D-PSNP'!</v>
      </c>
      <c r="G2429" s="32" t="s">
        <v>121</v>
      </c>
      <c r="H2429" s="33"/>
      <c r="I2429" s="33"/>
      <c r="J2429" s="37"/>
    </row>
    <row r="2430" spans="1:10" x14ac:dyDescent="0.3">
      <c r="A2430" s="32" t="s">
        <v>22</v>
      </c>
      <c r="B2430" s="32">
        <v>2057</v>
      </c>
      <c r="C2430" s="33" t="s">
        <v>49</v>
      </c>
      <c r="D2430" s="34" t="s">
        <v>2002</v>
      </c>
      <c r="E2430" s="35" t="s">
        <v>107</v>
      </c>
      <c r="F2430" s="34" t="str">
        <f t="shared" si="572"/>
        <v>C:\Users\jaime.benazar\Quorum Business Solutions\Ecopetrol Prometeo - Documents\Planning Space Implementation\3. Analysis &amp; Design\Design\FC22\DRR Jaime\Neiva CPI\[DINA TERCIARIOS_CF_SEC_New_27-Mar-2024.xlsx]D-PSNP'!</v>
      </c>
      <c r="G2430" s="32" t="s">
        <v>121</v>
      </c>
      <c r="H2430" s="33"/>
      <c r="I2430" s="33"/>
      <c r="J2430" s="37"/>
    </row>
    <row r="2431" spans="1:10" x14ac:dyDescent="0.3">
      <c r="A2431" s="32" t="s">
        <v>22</v>
      </c>
      <c r="B2431" s="32">
        <v>2058</v>
      </c>
      <c r="C2431" s="33" t="s">
        <v>49</v>
      </c>
      <c r="D2431" s="34" t="s">
        <v>2002</v>
      </c>
      <c r="E2431" s="35" t="s">
        <v>107</v>
      </c>
      <c r="F2431" s="34" t="str">
        <f t="shared" si="572"/>
        <v>C:\Users\jaime.benazar\Quorum Business Solutions\Ecopetrol Prometeo - Documents\Planning Space Implementation\3. Analysis &amp; Design\Design\FC22\DRR Jaime\Neiva CPI\[DINA TERCIARIOS_CF_SEC_New_27-Mar-2024.xlsx]D-PSNP'!</v>
      </c>
      <c r="G2431" s="32" t="s">
        <v>121</v>
      </c>
      <c r="H2431" s="33"/>
      <c r="I2431" s="33"/>
      <c r="J2431" s="37"/>
    </row>
    <row r="2432" spans="1:10" x14ac:dyDescent="0.3">
      <c r="A2432" s="32" t="s">
        <v>22</v>
      </c>
      <c r="B2432" s="32">
        <v>2059</v>
      </c>
      <c r="C2432" s="33" t="s">
        <v>49</v>
      </c>
      <c r="D2432" s="34" t="s">
        <v>2002</v>
      </c>
      <c r="E2432" s="35" t="s">
        <v>107</v>
      </c>
      <c r="F2432" s="34" t="str">
        <f t="shared" si="572"/>
        <v>C:\Users\jaime.benazar\Quorum Business Solutions\Ecopetrol Prometeo - Documents\Planning Space Implementation\3. Analysis &amp; Design\Design\FC22\DRR Jaime\Neiva CPI\[DINA TERCIARIOS_CF_SEC_New_27-Mar-2024.xlsx]D-PSNP'!</v>
      </c>
      <c r="G2432" s="32" t="s">
        <v>121</v>
      </c>
      <c r="H2432" s="33"/>
      <c r="I2432" s="33"/>
      <c r="J2432" s="37"/>
    </row>
    <row r="2433" spans="1:10" x14ac:dyDescent="0.3">
      <c r="A2433" s="32" t="s">
        <v>26</v>
      </c>
      <c r="B2433" s="32"/>
      <c r="C2433" s="33" t="s">
        <v>49</v>
      </c>
      <c r="D2433" s="34"/>
      <c r="E2433" s="35"/>
      <c r="F2433" s="34"/>
      <c r="G2433" s="32"/>
      <c r="H2433" s="33"/>
      <c r="I2433" s="33"/>
      <c r="J2433" s="33"/>
    </row>
    <row r="2434" spans="1:10" x14ac:dyDescent="0.3">
      <c r="A2434" s="32" t="s">
        <v>23</v>
      </c>
      <c r="B2434" s="32">
        <v>2023</v>
      </c>
      <c r="C2434" s="33" t="s">
        <v>49</v>
      </c>
      <c r="D2434" s="34" t="s">
        <v>2002</v>
      </c>
      <c r="E2434" s="35" t="s">
        <v>108</v>
      </c>
      <c r="F2434" s="34" t="str">
        <f t="shared" ref="F2434:F2454" si="573">_xlfn.CONCAT(D2434:E2434)</f>
        <v>C:\Users\jaime.benazar\Quorum Business Solutions\Ecopetrol Prometeo - Documents\Planning Space Implementation\3. Analysis &amp; Design\Design\FC22\DRR Jaime\Neiva CPI\[DINA TERCIARIOS_CF_SEC_New_27-Mar-2024.xlsx]D-PSND'!</v>
      </c>
      <c r="G2434" s="32" t="s">
        <v>121</v>
      </c>
      <c r="H2434" s="33"/>
      <c r="I2434" s="33"/>
      <c r="J2434" s="37"/>
    </row>
    <row r="2435" spans="1:10" x14ac:dyDescent="0.3">
      <c r="A2435" s="32" t="s">
        <v>23</v>
      </c>
      <c r="B2435" s="32">
        <v>2024</v>
      </c>
      <c r="C2435" s="33" t="s">
        <v>49</v>
      </c>
      <c r="D2435" s="34" t="s">
        <v>2002</v>
      </c>
      <c r="E2435" s="35" t="s">
        <v>108</v>
      </c>
      <c r="F2435" s="34" t="str">
        <f t="shared" si="573"/>
        <v>C:\Users\jaime.benazar\Quorum Business Solutions\Ecopetrol Prometeo - Documents\Planning Space Implementation\3. Analysis &amp; Design\Design\FC22\DRR Jaime\Neiva CPI\[DINA TERCIARIOS_CF_SEC_New_27-Mar-2024.xlsx]D-PSND'!</v>
      </c>
      <c r="G2435" s="32" t="s">
        <v>121</v>
      </c>
      <c r="H2435" s="33"/>
      <c r="I2435" s="33"/>
      <c r="J2435" s="37"/>
    </row>
    <row r="2436" spans="1:10" x14ac:dyDescent="0.3">
      <c r="A2436" s="32" t="s">
        <v>23</v>
      </c>
      <c r="B2436" s="32">
        <v>2025</v>
      </c>
      <c r="C2436" s="33" t="s">
        <v>49</v>
      </c>
      <c r="D2436" s="34" t="s">
        <v>2002</v>
      </c>
      <c r="E2436" s="35" t="s">
        <v>108</v>
      </c>
      <c r="F2436" s="34" t="str">
        <f t="shared" si="573"/>
        <v>C:\Users\jaime.benazar\Quorum Business Solutions\Ecopetrol Prometeo - Documents\Planning Space Implementation\3. Analysis &amp; Design\Design\FC22\DRR Jaime\Neiva CPI\[DINA TERCIARIOS_CF_SEC_New_27-Mar-2024.xlsx]D-PSND'!</v>
      </c>
      <c r="G2436" s="32" t="s">
        <v>121</v>
      </c>
      <c r="H2436" s="33"/>
      <c r="I2436" s="33"/>
      <c r="J2436" s="37"/>
    </row>
    <row r="2437" spans="1:10" x14ac:dyDescent="0.3">
      <c r="A2437" s="32" t="s">
        <v>23</v>
      </c>
      <c r="B2437" s="32">
        <v>2026</v>
      </c>
      <c r="C2437" s="33" t="s">
        <v>49</v>
      </c>
      <c r="D2437" s="34" t="s">
        <v>2002</v>
      </c>
      <c r="E2437" s="35" t="s">
        <v>108</v>
      </c>
      <c r="F2437" s="34" t="str">
        <f t="shared" si="573"/>
        <v>C:\Users\jaime.benazar\Quorum Business Solutions\Ecopetrol Prometeo - Documents\Planning Space Implementation\3. Analysis &amp; Design\Design\FC22\DRR Jaime\Neiva CPI\[DINA TERCIARIOS_CF_SEC_New_27-Mar-2024.xlsx]D-PSND'!</v>
      </c>
      <c r="G2437" s="32" t="s">
        <v>121</v>
      </c>
      <c r="H2437" s="33"/>
      <c r="I2437" s="33"/>
      <c r="J2437" s="37"/>
    </row>
    <row r="2438" spans="1:10" x14ac:dyDescent="0.3">
      <c r="A2438" s="32" t="s">
        <v>23</v>
      </c>
      <c r="B2438" s="32">
        <v>2027</v>
      </c>
      <c r="C2438" s="33" t="s">
        <v>49</v>
      </c>
      <c r="D2438" s="34" t="s">
        <v>2002</v>
      </c>
      <c r="E2438" s="35" t="s">
        <v>108</v>
      </c>
      <c r="F2438" s="34" t="str">
        <f t="shared" si="573"/>
        <v>C:\Users\jaime.benazar\Quorum Business Solutions\Ecopetrol Prometeo - Documents\Planning Space Implementation\3. Analysis &amp; Design\Design\FC22\DRR Jaime\Neiva CPI\[DINA TERCIARIOS_CF_SEC_New_27-Mar-2024.xlsx]D-PSND'!</v>
      </c>
      <c r="G2438" s="32" t="s">
        <v>121</v>
      </c>
      <c r="H2438" s="33"/>
      <c r="I2438" s="33"/>
      <c r="J2438" s="37"/>
    </row>
    <row r="2439" spans="1:10" x14ac:dyDescent="0.3">
      <c r="A2439" s="32" t="s">
        <v>23</v>
      </c>
      <c r="B2439" s="32">
        <v>2028</v>
      </c>
      <c r="C2439" s="33" t="s">
        <v>49</v>
      </c>
      <c r="D2439" s="34" t="s">
        <v>2002</v>
      </c>
      <c r="E2439" s="35" t="s">
        <v>108</v>
      </c>
      <c r="F2439" s="34" t="str">
        <f t="shared" si="573"/>
        <v>C:\Users\jaime.benazar\Quorum Business Solutions\Ecopetrol Prometeo - Documents\Planning Space Implementation\3. Analysis &amp; Design\Design\FC22\DRR Jaime\Neiva CPI\[DINA TERCIARIOS_CF_SEC_New_27-Mar-2024.xlsx]D-PSND'!</v>
      </c>
      <c r="G2439" s="32" t="s">
        <v>121</v>
      </c>
      <c r="H2439" s="33"/>
      <c r="I2439" s="33"/>
      <c r="J2439" s="37"/>
    </row>
    <row r="2440" spans="1:10" x14ac:dyDescent="0.3">
      <c r="A2440" s="32" t="s">
        <v>23</v>
      </c>
      <c r="B2440" s="32">
        <v>2029</v>
      </c>
      <c r="C2440" s="33" t="s">
        <v>49</v>
      </c>
      <c r="D2440" s="34" t="s">
        <v>2002</v>
      </c>
      <c r="E2440" s="35" t="s">
        <v>108</v>
      </c>
      <c r="F2440" s="34" t="str">
        <f t="shared" si="573"/>
        <v>C:\Users\jaime.benazar\Quorum Business Solutions\Ecopetrol Prometeo - Documents\Planning Space Implementation\3. Analysis &amp; Design\Design\FC22\DRR Jaime\Neiva CPI\[DINA TERCIARIOS_CF_SEC_New_27-Mar-2024.xlsx]D-PSND'!</v>
      </c>
      <c r="G2440" s="32" t="s">
        <v>121</v>
      </c>
      <c r="H2440" s="33"/>
      <c r="I2440" s="33"/>
      <c r="J2440" s="37"/>
    </row>
    <row r="2441" spans="1:10" x14ac:dyDescent="0.3">
      <c r="A2441" s="32" t="s">
        <v>23</v>
      </c>
      <c r="B2441" s="32">
        <v>2030</v>
      </c>
      <c r="C2441" s="33" t="s">
        <v>49</v>
      </c>
      <c r="D2441" s="34" t="s">
        <v>2002</v>
      </c>
      <c r="E2441" s="35" t="s">
        <v>108</v>
      </c>
      <c r="F2441" s="34" t="str">
        <f t="shared" si="573"/>
        <v>C:\Users\jaime.benazar\Quorum Business Solutions\Ecopetrol Prometeo - Documents\Planning Space Implementation\3. Analysis &amp; Design\Design\FC22\DRR Jaime\Neiva CPI\[DINA TERCIARIOS_CF_SEC_New_27-Mar-2024.xlsx]D-PSND'!</v>
      </c>
      <c r="G2441" s="32" t="s">
        <v>121</v>
      </c>
      <c r="H2441" s="33"/>
      <c r="I2441" s="33"/>
      <c r="J2441" s="37"/>
    </row>
    <row r="2442" spans="1:10" x14ac:dyDescent="0.3">
      <c r="A2442" s="32" t="s">
        <v>23</v>
      </c>
      <c r="B2442" s="32">
        <v>2031</v>
      </c>
      <c r="C2442" s="33" t="s">
        <v>49</v>
      </c>
      <c r="D2442" s="34" t="s">
        <v>2002</v>
      </c>
      <c r="E2442" s="35" t="s">
        <v>108</v>
      </c>
      <c r="F2442" s="34" t="str">
        <f t="shared" si="573"/>
        <v>C:\Users\jaime.benazar\Quorum Business Solutions\Ecopetrol Prometeo - Documents\Planning Space Implementation\3. Analysis &amp; Design\Design\FC22\DRR Jaime\Neiva CPI\[DINA TERCIARIOS_CF_SEC_New_27-Mar-2024.xlsx]D-PSND'!</v>
      </c>
      <c r="G2442" s="32" t="s">
        <v>121</v>
      </c>
      <c r="H2442" s="33"/>
      <c r="I2442" s="33"/>
      <c r="J2442" s="37"/>
    </row>
    <row r="2443" spans="1:10" x14ac:dyDescent="0.3">
      <c r="A2443" s="32" t="s">
        <v>23</v>
      </c>
      <c r="B2443" s="32">
        <v>2032</v>
      </c>
      <c r="C2443" s="33" t="s">
        <v>49</v>
      </c>
      <c r="D2443" s="34" t="s">
        <v>2002</v>
      </c>
      <c r="E2443" s="35" t="s">
        <v>108</v>
      </c>
      <c r="F2443" s="34" t="str">
        <f t="shared" si="573"/>
        <v>C:\Users\jaime.benazar\Quorum Business Solutions\Ecopetrol Prometeo - Documents\Planning Space Implementation\3. Analysis &amp; Design\Design\FC22\DRR Jaime\Neiva CPI\[DINA TERCIARIOS_CF_SEC_New_27-Mar-2024.xlsx]D-PSND'!</v>
      </c>
      <c r="G2443" s="32" t="s">
        <v>121</v>
      </c>
      <c r="H2443" s="33"/>
      <c r="I2443" s="33"/>
      <c r="J2443" s="37"/>
    </row>
    <row r="2444" spans="1:10" x14ac:dyDescent="0.3">
      <c r="A2444" s="32" t="s">
        <v>23</v>
      </c>
      <c r="B2444" s="32">
        <v>2033</v>
      </c>
      <c r="C2444" s="33" t="s">
        <v>49</v>
      </c>
      <c r="D2444" s="34" t="s">
        <v>2002</v>
      </c>
      <c r="E2444" s="35" t="s">
        <v>108</v>
      </c>
      <c r="F2444" s="34" t="str">
        <f t="shared" si="573"/>
        <v>C:\Users\jaime.benazar\Quorum Business Solutions\Ecopetrol Prometeo - Documents\Planning Space Implementation\3. Analysis &amp; Design\Design\FC22\DRR Jaime\Neiva CPI\[DINA TERCIARIOS_CF_SEC_New_27-Mar-2024.xlsx]D-PSND'!</v>
      </c>
      <c r="G2444" s="32" t="s">
        <v>121</v>
      </c>
      <c r="H2444" s="33"/>
      <c r="I2444" s="33"/>
      <c r="J2444" s="37"/>
    </row>
    <row r="2445" spans="1:10" x14ac:dyDescent="0.3">
      <c r="A2445" s="32" t="s">
        <v>23</v>
      </c>
      <c r="B2445" s="32">
        <v>2034</v>
      </c>
      <c r="C2445" s="33" t="s">
        <v>49</v>
      </c>
      <c r="D2445" s="34" t="s">
        <v>2002</v>
      </c>
      <c r="E2445" s="35" t="s">
        <v>108</v>
      </c>
      <c r="F2445" s="34" t="str">
        <f t="shared" si="573"/>
        <v>C:\Users\jaime.benazar\Quorum Business Solutions\Ecopetrol Prometeo - Documents\Planning Space Implementation\3. Analysis &amp; Design\Design\FC22\DRR Jaime\Neiva CPI\[DINA TERCIARIOS_CF_SEC_New_27-Mar-2024.xlsx]D-PSND'!</v>
      </c>
      <c r="G2445" s="32" t="s">
        <v>121</v>
      </c>
      <c r="H2445" s="33"/>
      <c r="I2445" s="33"/>
      <c r="J2445" s="37"/>
    </row>
    <row r="2446" spans="1:10" x14ac:dyDescent="0.3">
      <c r="A2446" s="32" t="s">
        <v>23</v>
      </c>
      <c r="B2446" s="32">
        <v>2035</v>
      </c>
      <c r="C2446" s="33" t="s">
        <v>49</v>
      </c>
      <c r="D2446" s="34" t="s">
        <v>2002</v>
      </c>
      <c r="E2446" s="35" t="s">
        <v>108</v>
      </c>
      <c r="F2446" s="34" t="str">
        <f t="shared" si="573"/>
        <v>C:\Users\jaime.benazar\Quorum Business Solutions\Ecopetrol Prometeo - Documents\Planning Space Implementation\3. Analysis &amp; Design\Design\FC22\DRR Jaime\Neiva CPI\[DINA TERCIARIOS_CF_SEC_New_27-Mar-2024.xlsx]D-PSND'!</v>
      </c>
      <c r="G2446" s="32" t="s">
        <v>121</v>
      </c>
      <c r="H2446" s="33"/>
      <c r="I2446" s="33"/>
      <c r="J2446" s="37"/>
    </row>
    <row r="2447" spans="1:10" x14ac:dyDescent="0.3">
      <c r="A2447" s="32" t="s">
        <v>23</v>
      </c>
      <c r="B2447" s="32">
        <v>2036</v>
      </c>
      <c r="C2447" s="33" t="s">
        <v>49</v>
      </c>
      <c r="D2447" s="34" t="s">
        <v>2002</v>
      </c>
      <c r="E2447" s="35" t="s">
        <v>108</v>
      </c>
      <c r="F2447" s="34" t="str">
        <f t="shared" si="573"/>
        <v>C:\Users\jaime.benazar\Quorum Business Solutions\Ecopetrol Prometeo - Documents\Planning Space Implementation\3. Analysis &amp; Design\Design\FC22\DRR Jaime\Neiva CPI\[DINA TERCIARIOS_CF_SEC_New_27-Mar-2024.xlsx]D-PSND'!</v>
      </c>
      <c r="G2447" s="32" t="s">
        <v>121</v>
      </c>
      <c r="H2447" s="33"/>
      <c r="I2447" s="33"/>
      <c r="J2447" s="37"/>
    </row>
    <row r="2448" spans="1:10" x14ac:dyDescent="0.3">
      <c r="A2448" s="32" t="s">
        <v>23</v>
      </c>
      <c r="B2448" s="32">
        <v>2037</v>
      </c>
      <c r="C2448" s="33" t="s">
        <v>49</v>
      </c>
      <c r="D2448" s="34" t="s">
        <v>2002</v>
      </c>
      <c r="E2448" s="35" t="s">
        <v>108</v>
      </c>
      <c r="F2448" s="34" t="str">
        <f t="shared" si="573"/>
        <v>C:\Users\jaime.benazar\Quorum Business Solutions\Ecopetrol Prometeo - Documents\Planning Space Implementation\3. Analysis &amp; Design\Design\FC22\DRR Jaime\Neiva CPI\[DINA TERCIARIOS_CF_SEC_New_27-Mar-2024.xlsx]D-PSND'!</v>
      </c>
      <c r="G2448" s="32" t="s">
        <v>121</v>
      </c>
      <c r="H2448" s="33"/>
      <c r="I2448" s="33"/>
      <c r="J2448" s="37"/>
    </row>
    <row r="2449" spans="1:10" x14ac:dyDescent="0.3">
      <c r="A2449" s="32" t="s">
        <v>23</v>
      </c>
      <c r="B2449" s="32">
        <v>2038</v>
      </c>
      <c r="C2449" s="33" t="s">
        <v>49</v>
      </c>
      <c r="D2449" s="34" t="s">
        <v>2002</v>
      </c>
      <c r="E2449" s="35" t="s">
        <v>108</v>
      </c>
      <c r="F2449" s="34" t="str">
        <f t="shared" si="573"/>
        <v>C:\Users\jaime.benazar\Quorum Business Solutions\Ecopetrol Prometeo - Documents\Planning Space Implementation\3. Analysis &amp; Design\Design\FC22\DRR Jaime\Neiva CPI\[DINA TERCIARIOS_CF_SEC_New_27-Mar-2024.xlsx]D-PSND'!</v>
      </c>
      <c r="G2449" s="32" t="s">
        <v>121</v>
      </c>
      <c r="H2449" s="33"/>
      <c r="I2449" s="33"/>
      <c r="J2449" s="37"/>
    </row>
    <row r="2450" spans="1:10" x14ac:dyDescent="0.3">
      <c r="A2450" s="32" t="s">
        <v>23</v>
      </c>
      <c r="B2450" s="32">
        <v>2039</v>
      </c>
      <c r="C2450" s="33" t="s">
        <v>49</v>
      </c>
      <c r="D2450" s="34" t="s">
        <v>2002</v>
      </c>
      <c r="E2450" s="35" t="s">
        <v>108</v>
      </c>
      <c r="F2450" s="34" t="str">
        <f t="shared" si="573"/>
        <v>C:\Users\jaime.benazar\Quorum Business Solutions\Ecopetrol Prometeo - Documents\Planning Space Implementation\3. Analysis &amp; Design\Design\FC22\DRR Jaime\Neiva CPI\[DINA TERCIARIOS_CF_SEC_New_27-Mar-2024.xlsx]D-PSND'!</v>
      </c>
      <c r="G2450" s="32" t="s">
        <v>121</v>
      </c>
      <c r="H2450" s="33"/>
      <c r="I2450" s="33"/>
      <c r="J2450" s="37"/>
    </row>
    <row r="2451" spans="1:10" x14ac:dyDescent="0.3">
      <c r="A2451" s="32" t="s">
        <v>23</v>
      </c>
      <c r="B2451" s="32">
        <v>2040</v>
      </c>
      <c r="C2451" s="33" t="s">
        <v>49</v>
      </c>
      <c r="D2451" s="34" t="s">
        <v>2002</v>
      </c>
      <c r="E2451" s="35" t="s">
        <v>108</v>
      </c>
      <c r="F2451" s="34" t="str">
        <f t="shared" si="573"/>
        <v>C:\Users\jaime.benazar\Quorum Business Solutions\Ecopetrol Prometeo - Documents\Planning Space Implementation\3. Analysis &amp; Design\Design\FC22\DRR Jaime\Neiva CPI\[DINA TERCIARIOS_CF_SEC_New_27-Mar-2024.xlsx]D-PSND'!</v>
      </c>
      <c r="G2451" s="32" t="s">
        <v>121</v>
      </c>
      <c r="H2451" s="33"/>
      <c r="I2451" s="33"/>
      <c r="J2451" s="37"/>
    </row>
    <row r="2452" spans="1:10" x14ac:dyDescent="0.3">
      <c r="A2452" s="32" t="s">
        <v>23</v>
      </c>
      <c r="B2452" s="32">
        <v>2041</v>
      </c>
      <c r="C2452" s="33" t="s">
        <v>49</v>
      </c>
      <c r="D2452" s="34" t="s">
        <v>2002</v>
      </c>
      <c r="E2452" s="35" t="s">
        <v>108</v>
      </c>
      <c r="F2452" s="34" t="str">
        <f t="shared" si="573"/>
        <v>C:\Users\jaime.benazar\Quorum Business Solutions\Ecopetrol Prometeo - Documents\Planning Space Implementation\3. Analysis &amp; Design\Design\FC22\DRR Jaime\Neiva CPI\[DINA TERCIARIOS_CF_SEC_New_27-Mar-2024.xlsx]D-PSND'!</v>
      </c>
      <c r="G2452" s="32" t="s">
        <v>121</v>
      </c>
      <c r="H2452" s="33"/>
      <c r="I2452" s="33"/>
      <c r="J2452" s="37"/>
    </row>
    <row r="2453" spans="1:10" x14ac:dyDescent="0.3">
      <c r="A2453" s="32" t="s">
        <v>23</v>
      </c>
      <c r="B2453" s="32">
        <v>2042</v>
      </c>
      <c r="C2453" s="33" t="s">
        <v>49</v>
      </c>
      <c r="D2453" s="34" t="s">
        <v>2002</v>
      </c>
      <c r="E2453" s="35" t="s">
        <v>108</v>
      </c>
      <c r="F2453" s="34" t="str">
        <f t="shared" si="573"/>
        <v>C:\Users\jaime.benazar\Quorum Business Solutions\Ecopetrol Prometeo - Documents\Planning Space Implementation\3. Analysis &amp; Design\Design\FC22\DRR Jaime\Neiva CPI\[DINA TERCIARIOS_CF_SEC_New_27-Mar-2024.xlsx]D-PSND'!</v>
      </c>
      <c r="G2453" s="32" t="s">
        <v>121</v>
      </c>
      <c r="H2453" s="33"/>
      <c r="I2453" s="33"/>
      <c r="J2453" s="37"/>
    </row>
    <row r="2454" spans="1:10" x14ac:dyDescent="0.3">
      <c r="A2454" s="32" t="s">
        <v>23</v>
      </c>
      <c r="B2454" s="32">
        <v>2043</v>
      </c>
      <c r="C2454" s="33" t="s">
        <v>49</v>
      </c>
      <c r="D2454" s="34" t="s">
        <v>2002</v>
      </c>
      <c r="E2454" s="35" t="s">
        <v>108</v>
      </c>
      <c r="F2454" s="34" t="str">
        <f t="shared" si="573"/>
        <v>C:\Users\jaime.benazar\Quorum Business Solutions\Ecopetrol Prometeo - Documents\Planning Space Implementation\3. Analysis &amp; Design\Design\FC22\DRR Jaime\Neiva CPI\[DINA TERCIARIOS_CF_SEC_New_27-Mar-2024.xlsx]D-PSND'!</v>
      </c>
      <c r="G2454" s="32" t="s">
        <v>121</v>
      </c>
      <c r="H2454" s="33"/>
      <c r="I2454" s="33"/>
      <c r="J2454" s="37"/>
    </row>
    <row r="2455" spans="1:10" x14ac:dyDescent="0.3">
      <c r="A2455" s="32" t="s">
        <v>23</v>
      </c>
      <c r="B2455" s="32">
        <v>2044</v>
      </c>
      <c r="C2455" s="33" t="s">
        <v>49</v>
      </c>
      <c r="D2455" s="34" t="s">
        <v>2002</v>
      </c>
      <c r="E2455" s="35" t="s">
        <v>108</v>
      </c>
      <c r="F2455" s="34" t="str">
        <f t="shared" ref="F2455:F2470" si="574">_xlfn.CONCAT(D2455:E2455)</f>
        <v>C:\Users\jaime.benazar\Quorum Business Solutions\Ecopetrol Prometeo - Documents\Planning Space Implementation\3. Analysis &amp; Design\Design\FC22\DRR Jaime\Neiva CPI\[DINA TERCIARIOS_CF_SEC_New_27-Mar-2024.xlsx]D-PSND'!</v>
      </c>
      <c r="G2455" s="32" t="s">
        <v>121</v>
      </c>
      <c r="H2455" s="33"/>
      <c r="I2455" s="33"/>
      <c r="J2455" s="37"/>
    </row>
    <row r="2456" spans="1:10" x14ac:dyDescent="0.3">
      <c r="A2456" s="32" t="s">
        <v>23</v>
      </c>
      <c r="B2456" s="32">
        <v>2045</v>
      </c>
      <c r="C2456" s="33" t="s">
        <v>49</v>
      </c>
      <c r="D2456" s="34" t="s">
        <v>2002</v>
      </c>
      <c r="E2456" s="35" t="s">
        <v>108</v>
      </c>
      <c r="F2456" s="34" t="str">
        <f t="shared" si="574"/>
        <v>C:\Users\jaime.benazar\Quorum Business Solutions\Ecopetrol Prometeo - Documents\Planning Space Implementation\3. Analysis &amp; Design\Design\FC22\DRR Jaime\Neiva CPI\[DINA TERCIARIOS_CF_SEC_New_27-Mar-2024.xlsx]D-PSND'!</v>
      </c>
      <c r="G2456" s="32" t="s">
        <v>121</v>
      </c>
      <c r="H2456" s="33"/>
      <c r="I2456" s="33"/>
      <c r="J2456" s="37"/>
    </row>
    <row r="2457" spans="1:10" x14ac:dyDescent="0.3">
      <c r="A2457" s="32" t="s">
        <v>23</v>
      </c>
      <c r="B2457" s="32">
        <v>2046</v>
      </c>
      <c r="C2457" s="33" t="s">
        <v>49</v>
      </c>
      <c r="D2457" s="34" t="s">
        <v>2002</v>
      </c>
      <c r="E2457" s="35" t="s">
        <v>108</v>
      </c>
      <c r="F2457" s="34" t="str">
        <f t="shared" si="574"/>
        <v>C:\Users\jaime.benazar\Quorum Business Solutions\Ecopetrol Prometeo - Documents\Planning Space Implementation\3. Analysis &amp; Design\Design\FC22\DRR Jaime\Neiva CPI\[DINA TERCIARIOS_CF_SEC_New_27-Mar-2024.xlsx]D-PSND'!</v>
      </c>
      <c r="G2457" s="32" t="s">
        <v>121</v>
      </c>
      <c r="H2457" s="33"/>
      <c r="I2457" s="33"/>
      <c r="J2457" s="37"/>
    </row>
    <row r="2458" spans="1:10" x14ac:dyDescent="0.3">
      <c r="A2458" s="32" t="s">
        <v>23</v>
      </c>
      <c r="B2458" s="32">
        <v>2047</v>
      </c>
      <c r="C2458" s="33" t="s">
        <v>49</v>
      </c>
      <c r="D2458" s="34" t="s">
        <v>2002</v>
      </c>
      <c r="E2458" s="35" t="s">
        <v>108</v>
      </c>
      <c r="F2458" s="34" t="str">
        <f t="shared" si="574"/>
        <v>C:\Users\jaime.benazar\Quorum Business Solutions\Ecopetrol Prometeo - Documents\Planning Space Implementation\3. Analysis &amp; Design\Design\FC22\DRR Jaime\Neiva CPI\[DINA TERCIARIOS_CF_SEC_New_27-Mar-2024.xlsx]D-PSND'!</v>
      </c>
      <c r="G2458" s="32" t="s">
        <v>121</v>
      </c>
      <c r="H2458" s="33"/>
      <c r="I2458" s="33"/>
      <c r="J2458" s="37"/>
    </row>
    <row r="2459" spans="1:10" x14ac:dyDescent="0.3">
      <c r="A2459" s="32" t="s">
        <v>23</v>
      </c>
      <c r="B2459" s="32">
        <v>2048</v>
      </c>
      <c r="C2459" s="33" t="s">
        <v>49</v>
      </c>
      <c r="D2459" s="34" t="s">
        <v>2002</v>
      </c>
      <c r="E2459" s="35" t="s">
        <v>108</v>
      </c>
      <c r="F2459" s="34" t="str">
        <f t="shared" si="574"/>
        <v>C:\Users\jaime.benazar\Quorum Business Solutions\Ecopetrol Prometeo - Documents\Planning Space Implementation\3. Analysis &amp; Design\Design\FC22\DRR Jaime\Neiva CPI\[DINA TERCIARIOS_CF_SEC_New_27-Mar-2024.xlsx]D-PSND'!</v>
      </c>
      <c r="G2459" s="32" t="s">
        <v>121</v>
      </c>
      <c r="H2459" s="33"/>
      <c r="I2459" s="33"/>
      <c r="J2459" s="37"/>
    </row>
    <row r="2460" spans="1:10" x14ac:dyDescent="0.3">
      <c r="A2460" s="32" t="s">
        <v>23</v>
      </c>
      <c r="B2460" s="32">
        <v>2049</v>
      </c>
      <c r="C2460" s="33" t="s">
        <v>49</v>
      </c>
      <c r="D2460" s="34" t="s">
        <v>2002</v>
      </c>
      <c r="E2460" s="35" t="s">
        <v>108</v>
      </c>
      <c r="F2460" s="34" t="str">
        <f t="shared" si="574"/>
        <v>C:\Users\jaime.benazar\Quorum Business Solutions\Ecopetrol Prometeo - Documents\Planning Space Implementation\3. Analysis &amp; Design\Design\FC22\DRR Jaime\Neiva CPI\[DINA TERCIARIOS_CF_SEC_New_27-Mar-2024.xlsx]D-PSND'!</v>
      </c>
      <c r="G2460" s="32" t="s">
        <v>121</v>
      </c>
      <c r="H2460" s="33"/>
      <c r="I2460" s="33"/>
      <c r="J2460" s="37"/>
    </row>
    <row r="2461" spans="1:10" x14ac:dyDescent="0.3">
      <c r="A2461" s="32" t="s">
        <v>23</v>
      </c>
      <c r="B2461" s="32">
        <v>2050</v>
      </c>
      <c r="C2461" s="33" t="s">
        <v>49</v>
      </c>
      <c r="D2461" s="34" t="s">
        <v>2002</v>
      </c>
      <c r="E2461" s="35" t="s">
        <v>108</v>
      </c>
      <c r="F2461" s="34" t="str">
        <f t="shared" si="574"/>
        <v>C:\Users\jaime.benazar\Quorum Business Solutions\Ecopetrol Prometeo - Documents\Planning Space Implementation\3. Analysis &amp; Design\Design\FC22\DRR Jaime\Neiva CPI\[DINA TERCIARIOS_CF_SEC_New_27-Mar-2024.xlsx]D-PSND'!</v>
      </c>
      <c r="G2461" s="32" t="s">
        <v>121</v>
      </c>
      <c r="H2461" s="33"/>
      <c r="I2461" s="33"/>
      <c r="J2461" s="37"/>
    </row>
    <row r="2462" spans="1:10" x14ac:dyDescent="0.3">
      <c r="A2462" s="32" t="s">
        <v>23</v>
      </c>
      <c r="B2462" s="32">
        <v>2051</v>
      </c>
      <c r="C2462" s="33" t="s">
        <v>49</v>
      </c>
      <c r="D2462" s="34" t="s">
        <v>2002</v>
      </c>
      <c r="E2462" s="35" t="s">
        <v>108</v>
      </c>
      <c r="F2462" s="34" t="str">
        <f t="shared" si="574"/>
        <v>C:\Users\jaime.benazar\Quorum Business Solutions\Ecopetrol Prometeo - Documents\Planning Space Implementation\3. Analysis &amp; Design\Design\FC22\DRR Jaime\Neiva CPI\[DINA TERCIARIOS_CF_SEC_New_27-Mar-2024.xlsx]D-PSND'!</v>
      </c>
      <c r="G2462" s="32" t="s">
        <v>121</v>
      </c>
      <c r="H2462" s="33"/>
      <c r="I2462" s="33"/>
      <c r="J2462" s="37"/>
    </row>
    <row r="2463" spans="1:10" x14ac:dyDescent="0.3">
      <c r="A2463" s="32" t="s">
        <v>23</v>
      </c>
      <c r="B2463" s="32">
        <v>2052</v>
      </c>
      <c r="C2463" s="33" t="s">
        <v>49</v>
      </c>
      <c r="D2463" s="34" t="s">
        <v>2002</v>
      </c>
      <c r="E2463" s="35" t="s">
        <v>108</v>
      </c>
      <c r="F2463" s="34" t="str">
        <f t="shared" si="574"/>
        <v>C:\Users\jaime.benazar\Quorum Business Solutions\Ecopetrol Prometeo - Documents\Planning Space Implementation\3. Analysis &amp; Design\Design\FC22\DRR Jaime\Neiva CPI\[DINA TERCIARIOS_CF_SEC_New_27-Mar-2024.xlsx]D-PSND'!</v>
      </c>
      <c r="G2463" s="32" t="s">
        <v>121</v>
      </c>
      <c r="H2463" s="33"/>
      <c r="I2463" s="33"/>
      <c r="J2463" s="37"/>
    </row>
    <row r="2464" spans="1:10" x14ac:dyDescent="0.3">
      <c r="A2464" s="32" t="s">
        <v>23</v>
      </c>
      <c r="B2464" s="32">
        <v>2053</v>
      </c>
      <c r="C2464" s="33" t="s">
        <v>49</v>
      </c>
      <c r="D2464" s="34" t="s">
        <v>2002</v>
      </c>
      <c r="E2464" s="35" t="s">
        <v>108</v>
      </c>
      <c r="F2464" s="34" t="str">
        <f t="shared" si="574"/>
        <v>C:\Users\jaime.benazar\Quorum Business Solutions\Ecopetrol Prometeo - Documents\Planning Space Implementation\3. Analysis &amp; Design\Design\FC22\DRR Jaime\Neiva CPI\[DINA TERCIARIOS_CF_SEC_New_27-Mar-2024.xlsx]D-PSND'!</v>
      </c>
      <c r="G2464" s="32" t="s">
        <v>121</v>
      </c>
      <c r="H2464" s="33"/>
      <c r="I2464" s="33"/>
      <c r="J2464" s="37"/>
    </row>
    <row r="2465" spans="1:10" x14ac:dyDescent="0.3">
      <c r="A2465" s="32" t="s">
        <v>23</v>
      </c>
      <c r="B2465" s="32">
        <v>2054</v>
      </c>
      <c r="C2465" s="33" t="s">
        <v>49</v>
      </c>
      <c r="D2465" s="34" t="s">
        <v>2002</v>
      </c>
      <c r="E2465" s="35" t="s">
        <v>108</v>
      </c>
      <c r="F2465" s="34" t="str">
        <f t="shared" si="574"/>
        <v>C:\Users\jaime.benazar\Quorum Business Solutions\Ecopetrol Prometeo - Documents\Planning Space Implementation\3. Analysis &amp; Design\Design\FC22\DRR Jaime\Neiva CPI\[DINA TERCIARIOS_CF_SEC_New_27-Mar-2024.xlsx]D-PSND'!</v>
      </c>
      <c r="G2465" s="32" t="s">
        <v>121</v>
      </c>
      <c r="H2465" s="33"/>
      <c r="I2465" s="33"/>
      <c r="J2465" s="37"/>
    </row>
    <row r="2466" spans="1:10" x14ac:dyDescent="0.3">
      <c r="A2466" s="32" t="s">
        <v>23</v>
      </c>
      <c r="B2466" s="32">
        <v>2055</v>
      </c>
      <c r="C2466" s="33" t="s">
        <v>49</v>
      </c>
      <c r="D2466" s="34" t="s">
        <v>2002</v>
      </c>
      <c r="E2466" s="35" t="s">
        <v>108</v>
      </c>
      <c r="F2466" s="34" t="str">
        <f t="shared" si="574"/>
        <v>C:\Users\jaime.benazar\Quorum Business Solutions\Ecopetrol Prometeo - Documents\Planning Space Implementation\3. Analysis &amp; Design\Design\FC22\DRR Jaime\Neiva CPI\[DINA TERCIARIOS_CF_SEC_New_27-Mar-2024.xlsx]D-PSND'!</v>
      </c>
      <c r="G2466" s="32" t="s">
        <v>121</v>
      </c>
      <c r="H2466" s="33"/>
      <c r="I2466" s="33"/>
      <c r="J2466" s="37"/>
    </row>
    <row r="2467" spans="1:10" x14ac:dyDescent="0.3">
      <c r="A2467" s="32" t="s">
        <v>23</v>
      </c>
      <c r="B2467" s="32">
        <v>2056</v>
      </c>
      <c r="C2467" s="33" t="s">
        <v>49</v>
      </c>
      <c r="D2467" s="34" t="s">
        <v>2002</v>
      </c>
      <c r="E2467" s="35" t="s">
        <v>108</v>
      </c>
      <c r="F2467" s="34" t="str">
        <f t="shared" si="574"/>
        <v>C:\Users\jaime.benazar\Quorum Business Solutions\Ecopetrol Prometeo - Documents\Planning Space Implementation\3. Analysis &amp; Design\Design\FC22\DRR Jaime\Neiva CPI\[DINA TERCIARIOS_CF_SEC_New_27-Mar-2024.xlsx]D-PSND'!</v>
      </c>
      <c r="G2467" s="32" t="s">
        <v>121</v>
      </c>
      <c r="H2467" s="33"/>
      <c r="I2467" s="33"/>
      <c r="J2467" s="37"/>
    </row>
    <row r="2468" spans="1:10" x14ac:dyDescent="0.3">
      <c r="A2468" s="32" t="s">
        <v>23</v>
      </c>
      <c r="B2468" s="32">
        <v>2057</v>
      </c>
      <c r="C2468" s="33" t="s">
        <v>49</v>
      </c>
      <c r="D2468" s="34" t="s">
        <v>2002</v>
      </c>
      <c r="E2468" s="35" t="s">
        <v>108</v>
      </c>
      <c r="F2468" s="34" t="str">
        <f t="shared" si="574"/>
        <v>C:\Users\jaime.benazar\Quorum Business Solutions\Ecopetrol Prometeo - Documents\Planning Space Implementation\3. Analysis &amp; Design\Design\FC22\DRR Jaime\Neiva CPI\[DINA TERCIARIOS_CF_SEC_New_27-Mar-2024.xlsx]D-PSND'!</v>
      </c>
      <c r="G2468" s="32" t="s">
        <v>121</v>
      </c>
      <c r="H2468" s="33"/>
      <c r="I2468" s="33"/>
      <c r="J2468" s="37"/>
    </row>
    <row r="2469" spans="1:10" x14ac:dyDescent="0.3">
      <c r="A2469" s="32" t="s">
        <v>23</v>
      </c>
      <c r="B2469" s="32">
        <v>2058</v>
      </c>
      <c r="C2469" s="33" t="s">
        <v>49</v>
      </c>
      <c r="D2469" s="34" t="s">
        <v>2002</v>
      </c>
      <c r="E2469" s="35" t="s">
        <v>108</v>
      </c>
      <c r="F2469" s="34" t="str">
        <f t="shared" si="574"/>
        <v>C:\Users\jaime.benazar\Quorum Business Solutions\Ecopetrol Prometeo - Documents\Planning Space Implementation\3. Analysis &amp; Design\Design\FC22\DRR Jaime\Neiva CPI\[DINA TERCIARIOS_CF_SEC_New_27-Mar-2024.xlsx]D-PSND'!</v>
      </c>
      <c r="G2469" s="32" t="s">
        <v>121</v>
      </c>
      <c r="H2469" s="33"/>
      <c r="I2469" s="33"/>
      <c r="J2469" s="37"/>
    </row>
    <row r="2470" spans="1:10" x14ac:dyDescent="0.3">
      <c r="A2470" s="32" t="s">
        <v>23</v>
      </c>
      <c r="B2470" s="32">
        <v>2059</v>
      </c>
      <c r="C2470" s="33" t="s">
        <v>49</v>
      </c>
      <c r="D2470" s="34" t="s">
        <v>2002</v>
      </c>
      <c r="E2470" s="35" t="s">
        <v>108</v>
      </c>
      <c r="F2470" s="34" t="str">
        <f t="shared" si="574"/>
        <v>C:\Users\jaime.benazar\Quorum Business Solutions\Ecopetrol Prometeo - Documents\Planning Space Implementation\3. Analysis &amp; Design\Design\FC22\DRR Jaime\Neiva CPI\[DINA TERCIARIOS_CF_SEC_New_27-Mar-2024.xlsx]D-PSND'!</v>
      </c>
      <c r="G2470" s="32" t="s">
        <v>121</v>
      </c>
      <c r="H2470" s="33"/>
      <c r="I2470" s="33"/>
      <c r="J2470" s="37"/>
    </row>
    <row r="2471" spans="1:10" x14ac:dyDescent="0.3">
      <c r="A2471" s="32" t="s">
        <v>26</v>
      </c>
      <c r="B2471" s="32"/>
      <c r="C2471" s="33" t="s">
        <v>49</v>
      </c>
      <c r="D2471" s="34"/>
      <c r="E2471" s="35"/>
      <c r="F2471" s="34"/>
      <c r="G2471" s="32"/>
      <c r="H2471" s="33"/>
      <c r="I2471" s="33"/>
      <c r="J2471" s="33"/>
    </row>
    <row r="2472" spans="1:10" x14ac:dyDescent="0.3">
      <c r="A2472" s="32" t="s">
        <v>24</v>
      </c>
      <c r="B2472" s="32">
        <v>2023</v>
      </c>
      <c r="C2472" s="33" t="s">
        <v>49</v>
      </c>
      <c r="D2472" s="34" t="s">
        <v>2002</v>
      </c>
      <c r="E2472" s="35" t="str">
        <f t="shared" ref="E2472:E2492" si="575">_xlfn.CONCAT(A2472,"'!")</f>
        <v>PS'!</v>
      </c>
      <c r="F2472" s="34" t="str">
        <f t="shared" ref="F2472:F2492" si="576">_xlfn.CONCAT(D2472:E2472)</f>
        <v>C:\Users\jaime.benazar\Quorum Business Solutions\Ecopetrol Prometeo - Documents\Planning Space Implementation\3. Analysis &amp; Design\Design\FC22\DRR Jaime\Neiva CPI\[DINA TERCIARIOS_CF_SEC_New_27-Mar-2024.xlsx]D-PS'!</v>
      </c>
      <c r="G2472" s="32" t="s">
        <v>121</v>
      </c>
      <c r="H2472" s="33">
        <v>12</v>
      </c>
      <c r="I2472" s="33" t="str">
        <f t="shared" ref="I2472:I2508" si="577">_xlfn.CONCAT("='",F2472:H2472)</f>
        <v>='C:\Users\jaime.benazar\Quorum Business Solutions\Ecopetrol Prometeo - Documents\Planning Space Implementation\3. Analysis &amp; Design\Design\FC22\DRR Jaime\Neiva CPI\[DINA TERCIARIOS_CF_SEC_New_27-Mar-2024.xlsx]D-PS'!$DC$12</v>
      </c>
      <c r="J2472" s="37" t="s">
        <v>3076</v>
      </c>
    </row>
    <row r="2473" spans="1:10" x14ac:dyDescent="0.3">
      <c r="A2473" s="32" t="s">
        <v>24</v>
      </c>
      <c r="B2473" s="32">
        <f>+B2472+1</f>
        <v>2024</v>
      </c>
      <c r="C2473" s="33" t="s">
        <v>49</v>
      </c>
      <c r="D2473" s="34" t="s">
        <v>2002</v>
      </c>
      <c r="E2473" s="35" t="str">
        <f t="shared" si="575"/>
        <v>PS'!</v>
      </c>
      <c r="F2473" s="34" t="str">
        <f t="shared" si="576"/>
        <v>C:\Users\jaime.benazar\Quorum Business Solutions\Ecopetrol Prometeo - Documents\Planning Space Implementation\3. Analysis &amp; Design\Design\FC22\DRR Jaime\Neiva CPI\[DINA TERCIARIOS_CF_SEC_New_27-Mar-2024.xlsx]D-PS'!</v>
      </c>
      <c r="G2473" s="32" t="s">
        <v>121</v>
      </c>
      <c r="H2473" s="33">
        <f t="shared" ref="H2473:H2492" si="578">IF(A2473&lt;&gt;A2472,12,H2472+1)</f>
        <v>13</v>
      </c>
      <c r="I2473" s="33" t="str">
        <f t="shared" si="577"/>
        <v>='C:\Users\jaime.benazar\Quorum Business Solutions\Ecopetrol Prometeo - Documents\Planning Space Implementation\3. Analysis &amp; Design\Design\FC22\DRR Jaime\Neiva CPI\[DINA TERCIARIOS_CF_SEC_New_27-Mar-2024.xlsx]D-PS'!$DC$13</v>
      </c>
      <c r="J2473" s="37" t="s">
        <v>3077</v>
      </c>
    </row>
    <row r="2474" spans="1:10" x14ac:dyDescent="0.3">
      <c r="A2474" s="32" t="s">
        <v>24</v>
      </c>
      <c r="B2474" s="32">
        <f t="shared" ref="B2474:B2485" si="579">+B2473+1</f>
        <v>2025</v>
      </c>
      <c r="C2474" s="33" t="s">
        <v>49</v>
      </c>
      <c r="D2474" s="34" t="s">
        <v>2002</v>
      </c>
      <c r="E2474" s="35" t="str">
        <f t="shared" si="575"/>
        <v>PS'!</v>
      </c>
      <c r="F2474" s="34" t="str">
        <f t="shared" si="576"/>
        <v>C:\Users\jaime.benazar\Quorum Business Solutions\Ecopetrol Prometeo - Documents\Planning Space Implementation\3. Analysis &amp; Design\Design\FC22\DRR Jaime\Neiva CPI\[DINA TERCIARIOS_CF_SEC_New_27-Mar-2024.xlsx]D-PS'!</v>
      </c>
      <c r="G2474" s="32" t="s">
        <v>121</v>
      </c>
      <c r="H2474" s="33">
        <f t="shared" si="578"/>
        <v>14</v>
      </c>
      <c r="I2474" s="33" t="str">
        <f t="shared" si="577"/>
        <v>='C:\Users\jaime.benazar\Quorum Business Solutions\Ecopetrol Prometeo - Documents\Planning Space Implementation\3. Analysis &amp; Design\Design\FC22\DRR Jaime\Neiva CPI\[DINA TERCIARIOS_CF_SEC_New_27-Mar-2024.xlsx]D-PS'!$DC$14</v>
      </c>
      <c r="J2474" s="37" t="s">
        <v>3078</v>
      </c>
    </row>
    <row r="2475" spans="1:10" x14ac:dyDescent="0.3">
      <c r="A2475" s="32" t="s">
        <v>24</v>
      </c>
      <c r="B2475" s="32">
        <f t="shared" si="579"/>
        <v>2026</v>
      </c>
      <c r="C2475" s="33" t="s">
        <v>49</v>
      </c>
      <c r="D2475" s="34" t="s">
        <v>2002</v>
      </c>
      <c r="E2475" s="35" t="str">
        <f t="shared" si="575"/>
        <v>PS'!</v>
      </c>
      <c r="F2475" s="34" t="str">
        <f t="shared" si="576"/>
        <v>C:\Users\jaime.benazar\Quorum Business Solutions\Ecopetrol Prometeo - Documents\Planning Space Implementation\3. Analysis &amp; Design\Design\FC22\DRR Jaime\Neiva CPI\[DINA TERCIARIOS_CF_SEC_New_27-Mar-2024.xlsx]D-PS'!</v>
      </c>
      <c r="G2475" s="32" t="s">
        <v>121</v>
      </c>
      <c r="H2475" s="33">
        <f t="shared" si="578"/>
        <v>15</v>
      </c>
      <c r="I2475" s="33" t="str">
        <f t="shared" si="577"/>
        <v>='C:\Users\jaime.benazar\Quorum Business Solutions\Ecopetrol Prometeo - Documents\Planning Space Implementation\3. Analysis &amp; Design\Design\FC22\DRR Jaime\Neiva CPI\[DINA TERCIARIOS_CF_SEC_New_27-Mar-2024.xlsx]D-PS'!$DC$15</v>
      </c>
      <c r="J2475" s="37" t="s">
        <v>3079</v>
      </c>
    </row>
    <row r="2476" spans="1:10" x14ac:dyDescent="0.3">
      <c r="A2476" s="32" t="s">
        <v>24</v>
      </c>
      <c r="B2476" s="32">
        <f t="shared" si="579"/>
        <v>2027</v>
      </c>
      <c r="C2476" s="33" t="s">
        <v>49</v>
      </c>
      <c r="D2476" s="34" t="s">
        <v>2002</v>
      </c>
      <c r="E2476" s="35" t="str">
        <f t="shared" si="575"/>
        <v>PS'!</v>
      </c>
      <c r="F2476" s="34" t="str">
        <f t="shared" si="576"/>
        <v>C:\Users\jaime.benazar\Quorum Business Solutions\Ecopetrol Prometeo - Documents\Planning Space Implementation\3. Analysis &amp; Design\Design\FC22\DRR Jaime\Neiva CPI\[DINA TERCIARIOS_CF_SEC_New_27-Mar-2024.xlsx]D-PS'!</v>
      </c>
      <c r="G2476" s="32" t="s">
        <v>121</v>
      </c>
      <c r="H2476" s="33">
        <f t="shared" si="578"/>
        <v>16</v>
      </c>
      <c r="I2476" s="33" t="str">
        <f t="shared" si="577"/>
        <v>='C:\Users\jaime.benazar\Quorum Business Solutions\Ecopetrol Prometeo - Documents\Planning Space Implementation\3. Analysis &amp; Design\Design\FC22\DRR Jaime\Neiva CPI\[DINA TERCIARIOS_CF_SEC_New_27-Mar-2024.xlsx]D-PS'!$DC$16</v>
      </c>
      <c r="J2476" s="37" t="s">
        <v>3080</v>
      </c>
    </row>
    <row r="2477" spans="1:10" x14ac:dyDescent="0.3">
      <c r="A2477" s="32" t="s">
        <v>24</v>
      </c>
      <c r="B2477" s="32">
        <f t="shared" si="579"/>
        <v>2028</v>
      </c>
      <c r="C2477" s="33" t="s">
        <v>49</v>
      </c>
      <c r="D2477" s="34" t="s">
        <v>2002</v>
      </c>
      <c r="E2477" s="35" t="str">
        <f t="shared" si="575"/>
        <v>PS'!</v>
      </c>
      <c r="F2477" s="34" t="str">
        <f t="shared" si="576"/>
        <v>C:\Users\jaime.benazar\Quorum Business Solutions\Ecopetrol Prometeo - Documents\Planning Space Implementation\3. Analysis &amp; Design\Design\FC22\DRR Jaime\Neiva CPI\[DINA TERCIARIOS_CF_SEC_New_27-Mar-2024.xlsx]D-PS'!</v>
      </c>
      <c r="G2477" s="32" t="s">
        <v>121</v>
      </c>
      <c r="H2477" s="33">
        <f t="shared" si="578"/>
        <v>17</v>
      </c>
      <c r="I2477" s="33" t="str">
        <f t="shared" si="577"/>
        <v>='C:\Users\jaime.benazar\Quorum Business Solutions\Ecopetrol Prometeo - Documents\Planning Space Implementation\3. Analysis &amp; Design\Design\FC22\DRR Jaime\Neiva CPI\[DINA TERCIARIOS_CF_SEC_New_27-Mar-2024.xlsx]D-PS'!$DC$17</v>
      </c>
      <c r="J2477" s="37" t="s">
        <v>3081</v>
      </c>
    </row>
    <row r="2478" spans="1:10" x14ac:dyDescent="0.3">
      <c r="A2478" s="32" t="s">
        <v>24</v>
      </c>
      <c r="B2478" s="32">
        <f t="shared" si="579"/>
        <v>2029</v>
      </c>
      <c r="C2478" s="33" t="s">
        <v>49</v>
      </c>
      <c r="D2478" s="34" t="s">
        <v>2002</v>
      </c>
      <c r="E2478" s="35" t="str">
        <f t="shared" si="575"/>
        <v>PS'!</v>
      </c>
      <c r="F2478" s="34" t="str">
        <f t="shared" si="576"/>
        <v>C:\Users\jaime.benazar\Quorum Business Solutions\Ecopetrol Prometeo - Documents\Planning Space Implementation\3. Analysis &amp; Design\Design\FC22\DRR Jaime\Neiva CPI\[DINA TERCIARIOS_CF_SEC_New_27-Mar-2024.xlsx]D-PS'!</v>
      </c>
      <c r="G2478" s="32" t="s">
        <v>121</v>
      </c>
      <c r="H2478" s="33">
        <f t="shared" si="578"/>
        <v>18</v>
      </c>
      <c r="I2478" s="33" t="str">
        <f t="shared" si="577"/>
        <v>='C:\Users\jaime.benazar\Quorum Business Solutions\Ecopetrol Prometeo - Documents\Planning Space Implementation\3. Analysis &amp; Design\Design\FC22\DRR Jaime\Neiva CPI\[DINA TERCIARIOS_CF_SEC_New_27-Mar-2024.xlsx]D-PS'!$DC$18</v>
      </c>
      <c r="J2478" s="37" t="s">
        <v>3082</v>
      </c>
    </row>
    <row r="2479" spans="1:10" x14ac:dyDescent="0.3">
      <c r="A2479" s="32" t="s">
        <v>24</v>
      </c>
      <c r="B2479" s="32">
        <f t="shared" si="579"/>
        <v>2030</v>
      </c>
      <c r="C2479" s="33" t="s">
        <v>49</v>
      </c>
      <c r="D2479" s="34" t="s">
        <v>2002</v>
      </c>
      <c r="E2479" s="35" t="str">
        <f t="shared" si="575"/>
        <v>PS'!</v>
      </c>
      <c r="F2479" s="34" t="str">
        <f t="shared" si="576"/>
        <v>C:\Users\jaime.benazar\Quorum Business Solutions\Ecopetrol Prometeo - Documents\Planning Space Implementation\3. Analysis &amp; Design\Design\FC22\DRR Jaime\Neiva CPI\[DINA TERCIARIOS_CF_SEC_New_27-Mar-2024.xlsx]D-PS'!</v>
      </c>
      <c r="G2479" s="32" t="s">
        <v>121</v>
      </c>
      <c r="H2479" s="33">
        <f t="shared" si="578"/>
        <v>19</v>
      </c>
      <c r="I2479" s="33" t="str">
        <f t="shared" si="577"/>
        <v>='C:\Users\jaime.benazar\Quorum Business Solutions\Ecopetrol Prometeo - Documents\Planning Space Implementation\3. Analysis &amp; Design\Design\FC22\DRR Jaime\Neiva CPI\[DINA TERCIARIOS_CF_SEC_New_27-Mar-2024.xlsx]D-PS'!$DC$19</v>
      </c>
      <c r="J2479" s="37" t="s">
        <v>3083</v>
      </c>
    </row>
    <row r="2480" spans="1:10" x14ac:dyDescent="0.3">
      <c r="A2480" s="32" t="s">
        <v>24</v>
      </c>
      <c r="B2480" s="32">
        <f t="shared" si="579"/>
        <v>2031</v>
      </c>
      <c r="C2480" s="33" t="s">
        <v>49</v>
      </c>
      <c r="D2480" s="34" t="s">
        <v>2002</v>
      </c>
      <c r="E2480" s="35" t="str">
        <f t="shared" si="575"/>
        <v>PS'!</v>
      </c>
      <c r="F2480" s="34" t="str">
        <f t="shared" si="576"/>
        <v>C:\Users\jaime.benazar\Quorum Business Solutions\Ecopetrol Prometeo - Documents\Planning Space Implementation\3. Analysis &amp; Design\Design\FC22\DRR Jaime\Neiva CPI\[DINA TERCIARIOS_CF_SEC_New_27-Mar-2024.xlsx]D-PS'!</v>
      </c>
      <c r="G2480" s="32" t="s">
        <v>121</v>
      </c>
      <c r="H2480" s="33">
        <f t="shared" si="578"/>
        <v>20</v>
      </c>
      <c r="I2480" s="33" t="str">
        <f t="shared" si="577"/>
        <v>='C:\Users\jaime.benazar\Quorum Business Solutions\Ecopetrol Prometeo - Documents\Planning Space Implementation\3. Analysis &amp; Design\Design\FC22\DRR Jaime\Neiva CPI\[DINA TERCIARIOS_CF_SEC_New_27-Mar-2024.xlsx]D-PS'!$DC$20</v>
      </c>
      <c r="J2480" s="37" t="s">
        <v>3084</v>
      </c>
    </row>
    <row r="2481" spans="1:10" x14ac:dyDescent="0.3">
      <c r="A2481" s="32" t="s">
        <v>24</v>
      </c>
      <c r="B2481" s="32">
        <f t="shared" si="579"/>
        <v>2032</v>
      </c>
      <c r="C2481" s="33" t="s">
        <v>49</v>
      </c>
      <c r="D2481" s="34" t="s">
        <v>2002</v>
      </c>
      <c r="E2481" s="35" t="str">
        <f t="shared" si="575"/>
        <v>PS'!</v>
      </c>
      <c r="F2481" s="34" t="str">
        <f t="shared" si="576"/>
        <v>C:\Users\jaime.benazar\Quorum Business Solutions\Ecopetrol Prometeo - Documents\Planning Space Implementation\3. Analysis &amp; Design\Design\FC22\DRR Jaime\Neiva CPI\[DINA TERCIARIOS_CF_SEC_New_27-Mar-2024.xlsx]D-PS'!</v>
      </c>
      <c r="G2481" s="32" t="s">
        <v>121</v>
      </c>
      <c r="H2481" s="33">
        <f t="shared" si="578"/>
        <v>21</v>
      </c>
      <c r="I2481" s="33" t="str">
        <f t="shared" si="577"/>
        <v>='C:\Users\jaime.benazar\Quorum Business Solutions\Ecopetrol Prometeo - Documents\Planning Space Implementation\3. Analysis &amp; Design\Design\FC22\DRR Jaime\Neiva CPI\[DINA TERCIARIOS_CF_SEC_New_27-Mar-2024.xlsx]D-PS'!$DC$21</v>
      </c>
      <c r="J2481" s="37" t="s">
        <v>3085</v>
      </c>
    </row>
    <row r="2482" spans="1:10" x14ac:dyDescent="0.3">
      <c r="A2482" s="32" t="s">
        <v>24</v>
      </c>
      <c r="B2482" s="32">
        <f t="shared" si="579"/>
        <v>2033</v>
      </c>
      <c r="C2482" s="33" t="s">
        <v>49</v>
      </c>
      <c r="D2482" s="34" t="s">
        <v>2002</v>
      </c>
      <c r="E2482" s="35" t="str">
        <f t="shared" si="575"/>
        <v>PS'!</v>
      </c>
      <c r="F2482" s="34" t="str">
        <f t="shared" si="576"/>
        <v>C:\Users\jaime.benazar\Quorum Business Solutions\Ecopetrol Prometeo - Documents\Planning Space Implementation\3. Analysis &amp; Design\Design\FC22\DRR Jaime\Neiva CPI\[DINA TERCIARIOS_CF_SEC_New_27-Mar-2024.xlsx]D-PS'!</v>
      </c>
      <c r="G2482" s="32" t="s">
        <v>121</v>
      </c>
      <c r="H2482" s="33">
        <f t="shared" si="578"/>
        <v>22</v>
      </c>
      <c r="I2482" s="33" t="str">
        <f t="shared" si="577"/>
        <v>='C:\Users\jaime.benazar\Quorum Business Solutions\Ecopetrol Prometeo - Documents\Planning Space Implementation\3. Analysis &amp; Design\Design\FC22\DRR Jaime\Neiva CPI\[DINA TERCIARIOS_CF_SEC_New_27-Mar-2024.xlsx]D-PS'!$DC$22</v>
      </c>
      <c r="J2482" s="37" t="s">
        <v>3086</v>
      </c>
    </row>
    <row r="2483" spans="1:10" x14ac:dyDescent="0.3">
      <c r="A2483" s="32" t="s">
        <v>24</v>
      </c>
      <c r="B2483" s="32">
        <f t="shared" si="579"/>
        <v>2034</v>
      </c>
      <c r="C2483" s="33" t="s">
        <v>49</v>
      </c>
      <c r="D2483" s="34" t="s">
        <v>2002</v>
      </c>
      <c r="E2483" s="35" t="str">
        <f t="shared" si="575"/>
        <v>PS'!</v>
      </c>
      <c r="F2483" s="34" t="str">
        <f t="shared" si="576"/>
        <v>C:\Users\jaime.benazar\Quorum Business Solutions\Ecopetrol Prometeo - Documents\Planning Space Implementation\3. Analysis &amp; Design\Design\FC22\DRR Jaime\Neiva CPI\[DINA TERCIARIOS_CF_SEC_New_27-Mar-2024.xlsx]D-PS'!</v>
      </c>
      <c r="G2483" s="32" t="s">
        <v>121</v>
      </c>
      <c r="H2483" s="33">
        <f t="shared" si="578"/>
        <v>23</v>
      </c>
      <c r="I2483" s="33" t="str">
        <f t="shared" si="577"/>
        <v>='C:\Users\jaime.benazar\Quorum Business Solutions\Ecopetrol Prometeo - Documents\Planning Space Implementation\3. Analysis &amp; Design\Design\FC22\DRR Jaime\Neiva CPI\[DINA TERCIARIOS_CF_SEC_New_27-Mar-2024.xlsx]D-PS'!$DC$23</v>
      </c>
      <c r="J2483" s="37" t="s">
        <v>3087</v>
      </c>
    </row>
    <row r="2484" spans="1:10" x14ac:dyDescent="0.3">
      <c r="A2484" s="32" t="s">
        <v>24</v>
      </c>
      <c r="B2484" s="32">
        <f t="shared" si="579"/>
        <v>2035</v>
      </c>
      <c r="C2484" s="33" t="s">
        <v>49</v>
      </c>
      <c r="D2484" s="34" t="s">
        <v>2002</v>
      </c>
      <c r="E2484" s="35" t="str">
        <f t="shared" si="575"/>
        <v>PS'!</v>
      </c>
      <c r="F2484" s="34" t="str">
        <f t="shared" si="576"/>
        <v>C:\Users\jaime.benazar\Quorum Business Solutions\Ecopetrol Prometeo - Documents\Planning Space Implementation\3. Analysis &amp; Design\Design\FC22\DRR Jaime\Neiva CPI\[DINA TERCIARIOS_CF_SEC_New_27-Mar-2024.xlsx]D-PS'!</v>
      </c>
      <c r="G2484" s="32" t="s">
        <v>121</v>
      </c>
      <c r="H2484" s="33">
        <f t="shared" si="578"/>
        <v>24</v>
      </c>
      <c r="I2484" s="33" t="str">
        <f t="shared" si="577"/>
        <v>='C:\Users\jaime.benazar\Quorum Business Solutions\Ecopetrol Prometeo - Documents\Planning Space Implementation\3. Analysis &amp; Design\Design\FC22\DRR Jaime\Neiva CPI\[DINA TERCIARIOS_CF_SEC_New_27-Mar-2024.xlsx]D-PS'!$DC$24</v>
      </c>
      <c r="J2484" s="37" t="s">
        <v>3088</v>
      </c>
    </row>
    <row r="2485" spans="1:10" x14ac:dyDescent="0.3">
      <c r="A2485" s="32" t="s">
        <v>24</v>
      </c>
      <c r="B2485" s="32">
        <f t="shared" si="579"/>
        <v>2036</v>
      </c>
      <c r="C2485" s="33" t="s">
        <v>49</v>
      </c>
      <c r="D2485" s="34" t="s">
        <v>2002</v>
      </c>
      <c r="E2485" s="35" t="str">
        <f t="shared" si="575"/>
        <v>PS'!</v>
      </c>
      <c r="F2485" s="34" t="str">
        <f t="shared" si="576"/>
        <v>C:\Users\jaime.benazar\Quorum Business Solutions\Ecopetrol Prometeo - Documents\Planning Space Implementation\3. Analysis &amp; Design\Design\FC22\DRR Jaime\Neiva CPI\[DINA TERCIARIOS_CF_SEC_New_27-Mar-2024.xlsx]D-PS'!</v>
      </c>
      <c r="G2485" s="32" t="s">
        <v>121</v>
      </c>
      <c r="H2485" s="33">
        <f t="shared" si="578"/>
        <v>25</v>
      </c>
      <c r="I2485" s="33" t="str">
        <f t="shared" si="577"/>
        <v>='C:\Users\jaime.benazar\Quorum Business Solutions\Ecopetrol Prometeo - Documents\Planning Space Implementation\3. Analysis &amp; Design\Design\FC22\DRR Jaime\Neiva CPI\[DINA TERCIARIOS_CF_SEC_New_27-Mar-2024.xlsx]D-PS'!$DC$25</v>
      </c>
      <c r="J2485" s="37" t="s">
        <v>3089</v>
      </c>
    </row>
    <row r="2486" spans="1:10" x14ac:dyDescent="0.3">
      <c r="A2486" s="32" t="s">
        <v>24</v>
      </c>
      <c r="B2486" s="32">
        <f>+B2485+1</f>
        <v>2037</v>
      </c>
      <c r="C2486" s="33" t="s">
        <v>49</v>
      </c>
      <c r="D2486" s="34" t="s">
        <v>2002</v>
      </c>
      <c r="E2486" s="35" t="str">
        <f t="shared" si="575"/>
        <v>PS'!</v>
      </c>
      <c r="F2486" s="34" t="str">
        <f t="shared" si="576"/>
        <v>C:\Users\jaime.benazar\Quorum Business Solutions\Ecopetrol Prometeo - Documents\Planning Space Implementation\3. Analysis &amp; Design\Design\FC22\DRR Jaime\Neiva CPI\[DINA TERCIARIOS_CF_SEC_New_27-Mar-2024.xlsx]D-PS'!</v>
      </c>
      <c r="G2486" s="32" t="s">
        <v>121</v>
      </c>
      <c r="H2486" s="33">
        <f t="shared" si="578"/>
        <v>26</v>
      </c>
      <c r="I2486" s="33" t="str">
        <f t="shared" si="577"/>
        <v>='C:\Users\jaime.benazar\Quorum Business Solutions\Ecopetrol Prometeo - Documents\Planning Space Implementation\3. Analysis &amp; Design\Design\FC22\DRR Jaime\Neiva CPI\[DINA TERCIARIOS_CF_SEC_New_27-Mar-2024.xlsx]D-PS'!$DC$26</v>
      </c>
      <c r="J2486" s="37" t="s">
        <v>3090</v>
      </c>
    </row>
    <row r="2487" spans="1:10" x14ac:dyDescent="0.3">
      <c r="A2487" s="32" t="s">
        <v>24</v>
      </c>
      <c r="B2487" s="32">
        <f t="shared" ref="B2487:B2489" si="580">+B2486+1</f>
        <v>2038</v>
      </c>
      <c r="C2487" s="33" t="s">
        <v>49</v>
      </c>
      <c r="D2487" s="34" t="s">
        <v>2002</v>
      </c>
      <c r="E2487" s="35" t="str">
        <f t="shared" si="575"/>
        <v>PS'!</v>
      </c>
      <c r="F2487" s="34" t="str">
        <f t="shared" si="576"/>
        <v>C:\Users\jaime.benazar\Quorum Business Solutions\Ecopetrol Prometeo - Documents\Planning Space Implementation\3. Analysis &amp; Design\Design\FC22\DRR Jaime\Neiva CPI\[DINA TERCIARIOS_CF_SEC_New_27-Mar-2024.xlsx]D-PS'!</v>
      </c>
      <c r="G2487" s="32" t="s">
        <v>121</v>
      </c>
      <c r="H2487" s="33">
        <f t="shared" si="578"/>
        <v>27</v>
      </c>
      <c r="I2487" s="33" t="str">
        <f t="shared" si="577"/>
        <v>='C:\Users\jaime.benazar\Quorum Business Solutions\Ecopetrol Prometeo - Documents\Planning Space Implementation\3. Analysis &amp; Design\Design\FC22\DRR Jaime\Neiva CPI\[DINA TERCIARIOS_CF_SEC_New_27-Mar-2024.xlsx]D-PS'!$DC$27</v>
      </c>
      <c r="J2487" s="37" t="s">
        <v>3091</v>
      </c>
    </row>
    <row r="2488" spans="1:10" x14ac:dyDescent="0.3">
      <c r="A2488" s="32" t="s">
        <v>24</v>
      </c>
      <c r="B2488" s="32">
        <f t="shared" si="580"/>
        <v>2039</v>
      </c>
      <c r="C2488" s="33" t="s">
        <v>49</v>
      </c>
      <c r="D2488" s="34" t="s">
        <v>2002</v>
      </c>
      <c r="E2488" s="35" t="str">
        <f t="shared" si="575"/>
        <v>PS'!</v>
      </c>
      <c r="F2488" s="34" t="str">
        <f t="shared" si="576"/>
        <v>C:\Users\jaime.benazar\Quorum Business Solutions\Ecopetrol Prometeo - Documents\Planning Space Implementation\3. Analysis &amp; Design\Design\FC22\DRR Jaime\Neiva CPI\[DINA TERCIARIOS_CF_SEC_New_27-Mar-2024.xlsx]D-PS'!</v>
      </c>
      <c r="G2488" s="32" t="s">
        <v>121</v>
      </c>
      <c r="H2488" s="33">
        <f t="shared" si="578"/>
        <v>28</v>
      </c>
      <c r="I2488" s="33" t="str">
        <f t="shared" si="577"/>
        <v>='C:\Users\jaime.benazar\Quorum Business Solutions\Ecopetrol Prometeo - Documents\Planning Space Implementation\3. Analysis &amp; Design\Design\FC22\DRR Jaime\Neiva CPI\[DINA TERCIARIOS_CF_SEC_New_27-Mar-2024.xlsx]D-PS'!$DC$28</v>
      </c>
      <c r="J2488" s="37" t="s">
        <v>3092</v>
      </c>
    </row>
    <row r="2489" spans="1:10" x14ac:dyDescent="0.3">
      <c r="A2489" s="32" t="s">
        <v>24</v>
      </c>
      <c r="B2489" s="32">
        <f t="shared" si="580"/>
        <v>2040</v>
      </c>
      <c r="C2489" s="33" t="s">
        <v>49</v>
      </c>
      <c r="D2489" s="34" t="s">
        <v>2002</v>
      </c>
      <c r="E2489" s="35" t="str">
        <f t="shared" si="575"/>
        <v>PS'!</v>
      </c>
      <c r="F2489" s="34" t="str">
        <f t="shared" si="576"/>
        <v>C:\Users\jaime.benazar\Quorum Business Solutions\Ecopetrol Prometeo - Documents\Planning Space Implementation\3. Analysis &amp; Design\Design\FC22\DRR Jaime\Neiva CPI\[DINA TERCIARIOS_CF_SEC_New_27-Mar-2024.xlsx]D-PS'!</v>
      </c>
      <c r="G2489" s="32" t="s">
        <v>121</v>
      </c>
      <c r="H2489" s="33">
        <f t="shared" si="578"/>
        <v>29</v>
      </c>
      <c r="I2489" s="33" t="str">
        <f t="shared" si="577"/>
        <v>='C:\Users\jaime.benazar\Quorum Business Solutions\Ecopetrol Prometeo - Documents\Planning Space Implementation\3. Analysis &amp; Design\Design\FC22\DRR Jaime\Neiva CPI\[DINA TERCIARIOS_CF_SEC_New_27-Mar-2024.xlsx]D-PS'!$DC$29</v>
      </c>
      <c r="J2489" s="37" t="s">
        <v>3093</v>
      </c>
    </row>
    <row r="2490" spans="1:10" x14ac:dyDescent="0.3">
      <c r="A2490" s="32" t="s">
        <v>24</v>
      </c>
      <c r="B2490" s="32">
        <f>+B2489+1</f>
        <v>2041</v>
      </c>
      <c r="C2490" s="33" t="s">
        <v>49</v>
      </c>
      <c r="D2490" s="34" t="s">
        <v>2002</v>
      </c>
      <c r="E2490" s="35" t="str">
        <f t="shared" si="575"/>
        <v>PS'!</v>
      </c>
      <c r="F2490" s="34" t="str">
        <f t="shared" si="576"/>
        <v>C:\Users\jaime.benazar\Quorum Business Solutions\Ecopetrol Prometeo - Documents\Planning Space Implementation\3. Analysis &amp; Design\Design\FC22\DRR Jaime\Neiva CPI\[DINA TERCIARIOS_CF_SEC_New_27-Mar-2024.xlsx]D-PS'!</v>
      </c>
      <c r="G2490" s="32" t="s">
        <v>121</v>
      </c>
      <c r="H2490" s="33">
        <f t="shared" si="578"/>
        <v>30</v>
      </c>
      <c r="I2490" s="33" t="str">
        <f t="shared" si="577"/>
        <v>='C:\Users\jaime.benazar\Quorum Business Solutions\Ecopetrol Prometeo - Documents\Planning Space Implementation\3. Analysis &amp; Design\Design\FC22\DRR Jaime\Neiva CPI\[DINA TERCIARIOS_CF_SEC_New_27-Mar-2024.xlsx]D-PS'!$DC$30</v>
      </c>
      <c r="J2490" s="37" t="s">
        <v>3094</v>
      </c>
    </row>
    <row r="2491" spans="1:10" x14ac:dyDescent="0.3">
      <c r="A2491" s="32" t="s">
        <v>24</v>
      </c>
      <c r="B2491" s="32">
        <f t="shared" ref="B2491:B2492" si="581">+B2490+1</f>
        <v>2042</v>
      </c>
      <c r="C2491" s="33" t="s">
        <v>49</v>
      </c>
      <c r="D2491" s="34" t="s">
        <v>2002</v>
      </c>
      <c r="E2491" s="35" t="str">
        <f t="shared" si="575"/>
        <v>PS'!</v>
      </c>
      <c r="F2491" s="34" t="str">
        <f t="shared" si="576"/>
        <v>C:\Users\jaime.benazar\Quorum Business Solutions\Ecopetrol Prometeo - Documents\Planning Space Implementation\3. Analysis &amp; Design\Design\FC22\DRR Jaime\Neiva CPI\[DINA TERCIARIOS_CF_SEC_New_27-Mar-2024.xlsx]D-PS'!</v>
      </c>
      <c r="G2491" s="32" t="s">
        <v>121</v>
      </c>
      <c r="H2491" s="33">
        <f t="shared" si="578"/>
        <v>31</v>
      </c>
      <c r="I2491" s="33" t="str">
        <f t="shared" si="577"/>
        <v>='C:\Users\jaime.benazar\Quorum Business Solutions\Ecopetrol Prometeo - Documents\Planning Space Implementation\3. Analysis &amp; Design\Design\FC22\DRR Jaime\Neiva CPI\[DINA TERCIARIOS_CF_SEC_New_27-Mar-2024.xlsx]D-PS'!$DC$31</v>
      </c>
      <c r="J2491" s="37" t="s">
        <v>3095</v>
      </c>
    </row>
    <row r="2492" spans="1:10" x14ac:dyDescent="0.3">
      <c r="A2492" s="32" t="s">
        <v>24</v>
      </c>
      <c r="B2492" s="32">
        <f t="shared" si="581"/>
        <v>2043</v>
      </c>
      <c r="C2492" s="33" t="s">
        <v>49</v>
      </c>
      <c r="D2492" s="34" t="s">
        <v>2002</v>
      </c>
      <c r="E2492" s="35" t="str">
        <f t="shared" si="575"/>
        <v>PS'!</v>
      </c>
      <c r="F2492" s="34" t="str">
        <f t="shared" si="576"/>
        <v>C:\Users\jaime.benazar\Quorum Business Solutions\Ecopetrol Prometeo - Documents\Planning Space Implementation\3. Analysis &amp; Design\Design\FC22\DRR Jaime\Neiva CPI\[DINA TERCIARIOS_CF_SEC_New_27-Mar-2024.xlsx]D-PS'!</v>
      </c>
      <c r="G2492" s="32" t="s">
        <v>121</v>
      </c>
      <c r="H2492" s="33">
        <f t="shared" si="578"/>
        <v>32</v>
      </c>
      <c r="I2492" s="33" t="str">
        <f t="shared" si="577"/>
        <v>='C:\Users\jaime.benazar\Quorum Business Solutions\Ecopetrol Prometeo - Documents\Planning Space Implementation\3. Analysis &amp; Design\Design\FC22\DRR Jaime\Neiva CPI\[DINA TERCIARIOS_CF_SEC_New_27-Mar-2024.xlsx]D-PS'!$DC$32</v>
      </c>
      <c r="J2492" s="37" t="s">
        <v>3096</v>
      </c>
    </row>
    <row r="2493" spans="1:10" x14ac:dyDescent="0.3">
      <c r="A2493" s="32" t="s">
        <v>24</v>
      </c>
      <c r="B2493" s="32">
        <f>+B2492+1</f>
        <v>2044</v>
      </c>
      <c r="C2493" s="33" t="s">
        <v>49</v>
      </c>
      <c r="D2493" s="34" t="s">
        <v>2002</v>
      </c>
      <c r="E2493" s="35" t="str">
        <f t="shared" ref="E2493:E2508" si="582">_xlfn.CONCAT(A2493,"'!")</f>
        <v>PS'!</v>
      </c>
      <c r="F2493" s="34" t="str">
        <f t="shared" ref="F2493:F2508" si="583">_xlfn.CONCAT(D2493:E2493)</f>
        <v>C:\Users\jaime.benazar\Quorum Business Solutions\Ecopetrol Prometeo - Documents\Planning Space Implementation\3. Analysis &amp; Design\Design\FC22\DRR Jaime\Neiva CPI\[DINA TERCIARIOS_CF_SEC_New_27-Mar-2024.xlsx]D-PS'!</v>
      </c>
      <c r="G2493" s="32" t="s">
        <v>121</v>
      </c>
      <c r="H2493" s="33">
        <f t="shared" ref="H2493:H2508" si="584">IF(A2493&lt;&gt;A2492,12,H2492+1)</f>
        <v>33</v>
      </c>
      <c r="I2493" s="33" t="str">
        <f t="shared" si="577"/>
        <v>='C:\Users\jaime.benazar\Quorum Business Solutions\Ecopetrol Prometeo - Documents\Planning Space Implementation\3. Analysis &amp; Design\Design\FC22\DRR Jaime\Neiva CPI\[DINA TERCIARIOS_CF_SEC_New_27-Mar-2024.xlsx]D-PS'!$DC$33</v>
      </c>
      <c r="J2493" s="37" t="s">
        <v>3097</v>
      </c>
    </row>
    <row r="2494" spans="1:10" x14ac:dyDescent="0.3">
      <c r="A2494" s="32" t="s">
        <v>24</v>
      </c>
      <c r="B2494" s="32">
        <f t="shared" ref="B2494:B2508" si="585">+B2493+1</f>
        <v>2045</v>
      </c>
      <c r="C2494" s="33" t="s">
        <v>49</v>
      </c>
      <c r="D2494" s="34" t="s">
        <v>2002</v>
      </c>
      <c r="E2494" s="35" t="str">
        <f t="shared" si="582"/>
        <v>PS'!</v>
      </c>
      <c r="F2494" s="34" t="str">
        <f t="shared" si="583"/>
        <v>C:\Users\jaime.benazar\Quorum Business Solutions\Ecopetrol Prometeo - Documents\Planning Space Implementation\3. Analysis &amp; Design\Design\FC22\DRR Jaime\Neiva CPI\[DINA TERCIARIOS_CF_SEC_New_27-Mar-2024.xlsx]D-PS'!</v>
      </c>
      <c r="G2494" s="32" t="s">
        <v>121</v>
      </c>
      <c r="H2494" s="33">
        <f t="shared" si="584"/>
        <v>34</v>
      </c>
      <c r="I2494" s="33" t="str">
        <f t="shared" si="577"/>
        <v>='C:\Users\jaime.benazar\Quorum Business Solutions\Ecopetrol Prometeo - Documents\Planning Space Implementation\3. Analysis &amp; Design\Design\FC22\DRR Jaime\Neiva CPI\[DINA TERCIARIOS_CF_SEC_New_27-Mar-2024.xlsx]D-PS'!$DC$34</v>
      </c>
      <c r="J2494" s="37" t="s">
        <v>3098</v>
      </c>
    </row>
    <row r="2495" spans="1:10" x14ac:dyDescent="0.3">
      <c r="A2495" s="32" t="s">
        <v>24</v>
      </c>
      <c r="B2495" s="32">
        <f t="shared" si="585"/>
        <v>2046</v>
      </c>
      <c r="C2495" s="33" t="s">
        <v>49</v>
      </c>
      <c r="D2495" s="34" t="s">
        <v>2002</v>
      </c>
      <c r="E2495" s="35" t="str">
        <f t="shared" si="582"/>
        <v>PS'!</v>
      </c>
      <c r="F2495" s="34" t="str">
        <f t="shared" si="583"/>
        <v>C:\Users\jaime.benazar\Quorum Business Solutions\Ecopetrol Prometeo - Documents\Planning Space Implementation\3. Analysis &amp; Design\Design\FC22\DRR Jaime\Neiva CPI\[DINA TERCIARIOS_CF_SEC_New_27-Mar-2024.xlsx]D-PS'!</v>
      </c>
      <c r="G2495" s="32" t="s">
        <v>121</v>
      </c>
      <c r="H2495" s="33">
        <f t="shared" si="584"/>
        <v>35</v>
      </c>
      <c r="I2495" s="33" t="str">
        <f t="shared" si="577"/>
        <v>='C:\Users\jaime.benazar\Quorum Business Solutions\Ecopetrol Prometeo - Documents\Planning Space Implementation\3. Analysis &amp; Design\Design\FC22\DRR Jaime\Neiva CPI\[DINA TERCIARIOS_CF_SEC_New_27-Mar-2024.xlsx]D-PS'!$DC$35</v>
      </c>
      <c r="J2495" s="37" t="s">
        <v>3099</v>
      </c>
    </row>
    <row r="2496" spans="1:10" x14ac:dyDescent="0.3">
      <c r="A2496" s="32" t="s">
        <v>24</v>
      </c>
      <c r="B2496" s="32">
        <f t="shared" si="585"/>
        <v>2047</v>
      </c>
      <c r="C2496" s="33" t="s">
        <v>49</v>
      </c>
      <c r="D2496" s="34" t="s">
        <v>2002</v>
      </c>
      <c r="E2496" s="35" t="str">
        <f t="shared" si="582"/>
        <v>PS'!</v>
      </c>
      <c r="F2496" s="34" t="str">
        <f t="shared" si="583"/>
        <v>C:\Users\jaime.benazar\Quorum Business Solutions\Ecopetrol Prometeo - Documents\Planning Space Implementation\3. Analysis &amp; Design\Design\FC22\DRR Jaime\Neiva CPI\[DINA TERCIARIOS_CF_SEC_New_27-Mar-2024.xlsx]D-PS'!</v>
      </c>
      <c r="G2496" s="32" t="s">
        <v>121</v>
      </c>
      <c r="H2496" s="33">
        <f t="shared" si="584"/>
        <v>36</v>
      </c>
      <c r="I2496" s="33" t="str">
        <f t="shared" si="577"/>
        <v>='C:\Users\jaime.benazar\Quorum Business Solutions\Ecopetrol Prometeo - Documents\Planning Space Implementation\3. Analysis &amp; Design\Design\FC22\DRR Jaime\Neiva CPI\[DINA TERCIARIOS_CF_SEC_New_27-Mar-2024.xlsx]D-PS'!$DC$36</v>
      </c>
      <c r="J2496" s="37" t="s">
        <v>3100</v>
      </c>
    </row>
    <row r="2497" spans="1:10" x14ac:dyDescent="0.3">
      <c r="A2497" s="32" t="s">
        <v>24</v>
      </c>
      <c r="B2497" s="32">
        <f t="shared" si="585"/>
        <v>2048</v>
      </c>
      <c r="C2497" s="33" t="s">
        <v>49</v>
      </c>
      <c r="D2497" s="34" t="s">
        <v>2002</v>
      </c>
      <c r="E2497" s="35" t="str">
        <f t="shared" si="582"/>
        <v>PS'!</v>
      </c>
      <c r="F2497" s="34" t="str">
        <f t="shared" si="583"/>
        <v>C:\Users\jaime.benazar\Quorum Business Solutions\Ecopetrol Prometeo - Documents\Planning Space Implementation\3. Analysis &amp; Design\Design\FC22\DRR Jaime\Neiva CPI\[DINA TERCIARIOS_CF_SEC_New_27-Mar-2024.xlsx]D-PS'!</v>
      </c>
      <c r="G2497" s="32" t="s">
        <v>121</v>
      </c>
      <c r="H2497" s="33">
        <f t="shared" si="584"/>
        <v>37</v>
      </c>
      <c r="I2497" s="33" t="str">
        <f t="shared" si="577"/>
        <v>='C:\Users\jaime.benazar\Quorum Business Solutions\Ecopetrol Prometeo - Documents\Planning Space Implementation\3. Analysis &amp; Design\Design\FC22\DRR Jaime\Neiva CPI\[DINA TERCIARIOS_CF_SEC_New_27-Mar-2024.xlsx]D-PS'!$DC$37</v>
      </c>
      <c r="J2497" s="37" t="s">
        <v>3101</v>
      </c>
    </row>
    <row r="2498" spans="1:10" x14ac:dyDescent="0.3">
      <c r="A2498" s="32" t="s">
        <v>24</v>
      </c>
      <c r="B2498" s="32">
        <f t="shared" si="585"/>
        <v>2049</v>
      </c>
      <c r="C2498" s="33" t="s">
        <v>49</v>
      </c>
      <c r="D2498" s="34" t="s">
        <v>2002</v>
      </c>
      <c r="E2498" s="35" t="str">
        <f t="shared" si="582"/>
        <v>PS'!</v>
      </c>
      <c r="F2498" s="34" t="str">
        <f t="shared" si="583"/>
        <v>C:\Users\jaime.benazar\Quorum Business Solutions\Ecopetrol Prometeo - Documents\Planning Space Implementation\3. Analysis &amp; Design\Design\FC22\DRR Jaime\Neiva CPI\[DINA TERCIARIOS_CF_SEC_New_27-Mar-2024.xlsx]D-PS'!</v>
      </c>
      <c r="G2498" s="32" t="s">
        <v>121</v>
      </c>
      <c r="H2498" s="33">
        <f t="shared" si="584"/>
        <v>38</v>
      </c>
      <c r="I2498" s="33" t="str">
        <f t="shared" si="577"/>
        <v>='C:\Users\jaime.benazar\Quorum Business Solutions\Ecopetrol Prometeo - Documents\Planning Space Implementation\3. Analysis &amp; Design\Design\FC22\DRR Jaime\Neiva CPI\[DINA TERCIARIOS_CF_SEC_New_27-Mar-2024.xlsx]D-PS'!$DC$38</v>
      </c>
      <c r="J2498" s="37" t="s">
        <v>3102</v>
      </c>
    </row>
    <row r="2499" spans="1:10" x14ac:dyDescent="0.3">
      <c r="A2499" s="32" t="s">
        <v>24</v>
      </c>
      <c r="B2499" s="32">
        <f t="shared" si="585"/>
        <v>2050</v>
      </c>
      <c r="C2499" s="33" t="s">
        <v>49</v>
      </c>
      <c r="D2499" s="34" t="s">
        <v>2002</v>
      </c>
      <c r="E2499" s="35" t="str">
        <f t="shared" si="582"/>
        <v>PS'!</v>
      </c>
      <c r="F2499" s="34" t="str">
        <f t="shared" si="583"/>
        <v>C:\Users\jaime.benazar\Quorum Business Solutions\Ecopetrol Prometeo - Documents\Planning Space Implementation\3. Analysis &amp; Design\Design\FC22\DRR Jaime\Neiva CPI\[DINA TERCIARIOS_CF_SEC_New_27-Mar-2024.xlsx]D-PS'!</v>
      </c>
      <c r="G2499" s="32" t="s">
        <v>121</v>
      </c>
      <c r="H2499" s="33">
        <f t="shared" si="584"/>
        <v>39</v>
      </c>
      <c r="I2499" s="33" t="str">
        <f t="shared" si="577"/>
        <v>='C:\Users\jaime.benazar\Quorum Business Solutions\Ecopetrol Prometeo - Documents\Planning Space Implementation\3. Analysis &amp; Design\Design\FC22\DRR Jaime\Neiva CPI\[DINA TERCIARIOS_CF_SEC_New_27-Mar-2024.xlsx]D-PS'!$DC$39</v>
      </c>
      <c r="J2499" s="37" t="s">
        <v>3103</v>
      </c>
    </row>
    <row r="2500" spans="1:10" x14ac:dyDescent="0.3">
      <c r="A2500" s="32" t="s">
        <v>24</v>
      </c>
      <c r="B2500" s="32">
        <f t="shared" si="585"/>
        <v>2051</v>
      </c>
      <c r="C2500" s="33" t="s">
        <v>49</v>
      </c>
      <c r="D2500" s="34" t="s">
        <v>2002</v>
      </c>
      <c r="E2500" s="35" t="str">
        <f t="shared" si="582"/>
        <v>PS'!</v>
      </c>
      <c r="F2500" s="34" t="str">
        <f t="shared" si="583"/>
        <v>C:\Users\jaime.benazar\Quorum Business Solutions\Ecopetrol Prometeo - Documents\Planning Space Implementation\3. Analysis &amp; Design\Design\FC22\DRR Jaime\Neiva CPI\[DINA TERCIARIOS_CF_SEC_New_27-Mar-2024.xlsx]D-PS'!</v>
      </c>
      <c r="G2500" s="32" t="s">
        <v>121</v>
      </c>
      <c r="H2500" s="33">
        <f t="shared" si="584"/>
        <v>40</v>
      </c>
      <c r="I2500" s="33" t="str">
        <f t="shared" si="577"/>
        <v>='C:\Users\jaime.benazar\Quorum Business Solutions\Ecopetrol Prometeo - Documents\Planning Space Implementation\3. Analysis &amp; Design\Design\FC22\DRR Jaime\Neiva CPI\[DINA TERCIARIOS_CF_SEC_New_27-Mar-2024.xlsx]D-PS'!$DC$40</v>
      </c>
      <c r="J2500" s="37" t="s">
        <v>3104</v>
      </c>
    </row>
    <row r="2501" spans="1:10" x14ac:dyDescent="0.3">
      <c r="A2501" s="32" t="s">
        <v>24</v>
      </c>
      <c r="B2501" s="32">
        <f t="shared" si="585"/>
        <v>2052</v>
      </c>
      <c r="C2501" s="33" t="s">
        <v>49</v>
      </c>
      <c r="D2501" s="34" t="s">
        <v>2002</v>
      </c>
      <c r="E2501" s="35" t="str">
        <f t="shared" si="582"/>
        <v>PS'!</v>
      </c>
      <c r="F2501" s="34" t="str">
        <f t="shared" si="583"/>
        <v>C:\Users\jaime.benazar\Quorum Business Solutions\Ecopetrol Prometeo - Documents\Planning Space Implementation\3. Analysis &amp; Design\Design\FC22\DRR Jaime\Neiva CPI\[DINA TERCIARIOS_CF_SEC_New_27-Mar-2024.xlsx]D-PS'!</v>
      </c>
      <c r="G2501" s="32" t="s">
        <v>121</v>
      </c>
      <c r="H2501" s="33">
        <f t="shared" si="584"/>
        <v>41</v>
      </c>
      <c r="I2501" s="33" t="str">
        <f t="shared" si="577"/>
        <v>='C:\Users\jaime.benazar\Quorum Business Solutions\Ecopetrol Prometeo - Documents\Planning Space Implementation\3. Analysis &amp; Design\Design\FC22\DRR Jaime\Neiva CPI\[DINA TERCIARIOS_CF_SEC_New_27-Mar-2024.xlsx]D-PS'!$DC$41</v>
      </c>
      <c r="J2501" s="37" t="s">
        <v>3105</v>
      </c>
    </row>
    <row r="2502" spans="1:10" x14ac:dyDescent="0.3">
      <c r="A2502" s="32" t="s">
        <v>24</v>
      </c>
      <c r="B2502" s="32">
        <f t="shared" si="585"/>
        <v>2053</v>
      </c>
      <c r="C2502" s="33" t="s">
        <v>49</v>
      </c>
      <c r="D2502" s="34" t="s">
        <v>2002</v>
      </c>
      <c r="E2502" s="35" t="str">
        <f t="shared" si="582"/>
        <v>PS'!</v>
      </c>
      <c r="F2502" s="34" t="str">
        <f t="shared" si="583"/>
        <v>C:\Users\jaime.benazar\Quorum Business Solutions\Ecopetrol Prometeo - Documents\Planning Space Implementation\3. Analysis &amp; Design\Design\FC22\DRR Jaime\Neiva CPI\[DINA TERCIARIOS_CF_SEC_New_27-Mar-2024.xlsx]D-PS'!</v>
      </c>
      <c r="G2502" s="32" t="s">
        <v>121</v>
      </c>
      <c r="H2502" s="33">
        <f t="shared" si="584"/>
        <v>42</v>
      </c>
      <c r="I2502" s="33" t="str">
        <f t="shared" si="577"/>
        <v>='C:\Users\jaime.benazar\Quorum Business Solutions\Ecopetrol Prometeo - Documents\Planning Space Implementation\3. Analysis &amp; Design\Design\FC22\DRR Jaime\Neiva CPI\[DINA TERCIARIOS_CF_SEC_New_27-Mar-2024.xlsx]D-PS'!$DC$42</v>
      </c>
      <c r="J2502" s="37" t="s">
        <v>3106</v>
      </c>
    </row>
    <row r="2503" spans="1:10" x14ac:dyDescent="0.3">
      <c r="A2503" s="32" t="s">
        <v>24</v>
      </c>
      <c r="B2503" s="32">
        <f t="shared" si="585"/>
        <v>2054</v>
      </c>
      <c r="C2503" s="33" t="s">
        <v>49</v>
      </c>
      <c r="D2503" s="34" t="s">
        <v>2002</v>
      </c>
      <c r="E2503" s="35" t="str">
        <f t="shared" si="582"/>
        <v>PS'!</v>
      </c>
      <c r="F2503" s="34" t="str">
        <f t="shared" si="583"/>
        <v>C:\Users\jaime.benazar\Quorum Business Solutions\Ecopetrol Prometeo - Documents\Planning Space Implementation\3. Analysis &amp; Design\Design\FC22\DRR Jaime\Neiva CPI\[DINA TERCIARIOS_CF_SEC_New_27-Mar-2024.xlsx]D-PS'!</v>
      </c>
      <c r="G2503" s="32" t="s">
        <v>121</v>
      </c>
      <c r="H2503" s="33">
        <f t="shared" si="584"/>
        <v>43</v>
      </c>
      <c r="I2503" s="33" t="str">
        <f t="shared" si="577"/>
        <v>='C:\Users\jaime.benazar\Quorum Business Solutions\Ecopetrol Prometeo - Documents\Planning Space Implementation\3. Analysis &amp; Design\Design\FC22\DRR Jaime\Neiva CPI\[DINA TERCIARIOS_CF_SEC_New_27-Mar-2024.xlsx]D-PS'!$DC$43</v>
      </c>
      <c r="J2503" s="37" t="s">
        <v>3107</v>
      </c>
    </row>
    <row r="2504" spans="1:10" x14ac:dyDescent="0.3">
      <c r="A2504" s="32" t="s">
        <v>24</v>
      </c>
      <c r="B2504" s="32">
        <f t="shared" si="585"/>
        <v>2055</v>
      </c>
      <c r="C2504" s="33" t="s">
        <v>49</v>
      </c>
      <c r="D2504" s="34" t="s">
        <v>2002</v>
      </c>
      <c r="E2504" s="35" t="str">
        <f t="shared" si="582"/>
        <v>PS'!</v>
      </c>
      <c r="F2504" s="34" t="str">
        <f t="shared" si="583"/>
        <v>C:\Users\jaime.benazar\Quorum Business Solutions\Ecopetrol Prometeo - Documents\Planning Space Implementation\3. Analysis &amp; Design\Design\FC22\DRR Jaime\Neiva CPI\[DINA TERCIARIOS_CF_SEC_New_27-Mar-2024.xlsx]D-PS'!</v>
      </c>
      <c r="G2504" s="32" t="s">
        <v>121</v>
      </c>
      <c r="H2504" s="33">
        <f t="shared" si="584"/>
        <v>44</v>
      </c>
      <c r="I2504" s="33" t="str">
        <f t="shared" si="577"/>
        <v>='C:\Users\jaime.benazar\Quorum Business Solutions\Ecopetrol Prometeo - Documents\Planning Space Implementation\3. Analysis &amp; Design\Design\FC22\DRR Jaime\Neiva CPI\[DINA TERCIARIOS_CF_SEC_New_27-Mar-2024.xlsx]D-PS'!$DC$44</v>
      </c>
      <c r="J2504" s="37" t="s">
        <v>3108</v>
      </c>
    </row>
    <row r="2505" spans="1:10" x14ac:dyDescent="0.3">
      <c r="A2505" s="32" t="s">
        <v>24</v>
      </c>
      <c r="B2505" s="32">
        <f t="shared" si="585"/>
        <v>2056</v>
      </c>
      <c r="C2505" s="33" t="s">
        <v>49</v>
      </c>
      <c r="D2505" s="34" t="s">
        <v>2002</v>
      </c>
      <c r="E2505" s="35" t="str">
        <f t="shared" si="582"/>
        <v>PS'!</v>
      </c>
      <c r="F2505" s="34" t="str">
        <f t="shared" si="583"/>
        <v>C:\Users\jaime.benazar\Quorum Business Solutions\Ecopetrol Prometeo - Documents\Planning Space Implementation\3. Analysis &amp; Design\Design\FC22\DRR Jaime\Neiva CPI\[DINA TERCIARIOS_CF_SEC_New_27-Mar-2024.xlsx]D-PS'!</v>
      </c>
      <c r="G2505" s="32" t="s">
        <v>121</v>
      </c>
      <c r="H2505" s="33">
        <f t="shared" si="584"/>
        <v>45</v>
      </c>
      <c r="I2505" s="33" t="str">
        <f t="shared" si="577"/>
        <v>='C:\Users\jaime.benazar\Quorum Business Solutions\Ecopetrol Prometeo - Documents\Planning Space Implementation\3. Analysis &amp; Design\Design\FC22\DRR Jaime\Neiva CPI\[DINA TERCIARIOS_CF_SEC_New_27-Mar-2024.xlsx]D-PS'!$DC$45</v>
      </c>
      <c r="J2505" s="37" t="s">
        <v>3109</v>
      </c>
    </row>
    <row r="2506" spans="1:10" x14ac:dyDescent="0.3">
      <c r="A2506" s="32" t="s">
        <v>24</v>
      </c>
      <c r="B2506" s="32">
        <f t="shared" si="585"/>
        <v>2057</v>
      </c>
      <c r="C2506" s="33" t="s">
        <v>49</v>
      </c>
      <c r="D2506" s="34" t="s">
        <v>2002</v>
      </c>
      <c r="E2506" s="35" t="str">
        <f t="shared" si="582"/>
        <v>PS'!</v>
      </c>
      <c r="F2506" s="34" t="str">
        <f t="shared" si="583"/>
        <v>C:\Users\jaime.benazar\Quorum Business Solutions\Ecopetrol Prometeo - Documents\Planning Space Implementation\3. Analysis &amp; Design\Design\FC22\DRR Jaime\Neiva CPI\[DINA TERCIARIOS_CF_SEC_New_27-Mar-2024.xlsx]D-PS'!</v>
      </c>
      <c r="G2506" s="32" t="s">
        <v>121</v>
      </c>
      <c r="H2506" s="33">
        <f t="shared" si="584"/>
        <v>46</v>
      </c>
      <c r="I2506" s="33" t="str">
        <f t="shared" si="577"/>
        <v>='C:\Users\jaime.benazar\Quorum Business Solutions\Ecopetrol Prometeo - Documents\Planning Space Implementation\3. Analysis &amp; Design\Design\FC22\DRR Jaime\Neiva CPI\[DINA TERCIARIOS_CF_SEC_New_27-Mar-2024.xlsx]D-PS'!$DC$46</v>
      </c>
      <c r="J2506" s="37" t="s">
        <v>3110</v>
      </c>
    </row>
    <row r="2507" spans="1:10" x14ac:dyDescent="0.3">
      <c r="A2507" s="32" t="s">
        <v>24</v>
      </c>
      <c r="B2507" s="32">
        <f t="shared" si="585"/>
        <v>2058</v>
      </c>
      <c r="C2507" s="33" t="s">
        <v>49</v>
      </c>
      <c r="D2507" s="34" t="s">
        <v>2002</v>
      </c>
      <c r="E2507" s="35" t="str">
        <f t="shared" si="582"/>
        <v>PS'!</v>
      </c>
      <c r="F2507" s="34" t="str">
        <f t="shared" si="583"/>
        <v>C:\Users\jaime.benazar\Quorum Business Solutions\Ecopetrol Prometeo - Documents\Planning Space Implementation\3. Analysis &amp; Design\Design\FC22\DRR Jaime\Neiva CPI\[DINA TERCIARIOS_CF_SEC_New_27-Mar-2024.xlsx]D-PS'!</v>
      </c>
      <c r="G2507" s="32" t="s">
        <v>121</v>
      </c>
      <c r="H2507" s="33">
        <f t="shared" si="584"/>
        <v>47</v>
      </c>
      <c r="I2507" s="33" t="str">
        <f t="shared" si="577"/>
        <v>='C:\Users\jaime.benazar\Quorum Business Solutions\Ecopetrol Prometeo - Documents\Planning Space Implementation\3. Analysis &amp; Design\Design\FC22\DRR Jaime\Neiva CPI\[DINA TERCIARIOS_CF_SEC_New_27-Mar-2024.xlsx]D-PS'!$DC$47</v>
      </c>
      <c r="J2507" s="37" t="s">
        <v>3111</v>
      </c>
    </row>
    <row r="2508" spans="1:10" x14ac:dyDescent="0.3">
      <c r="A2508" s="32" t="s">
        <v>24</v>
      </c>
      <c r="B2508" s="32">
        <f t="shared" si="585"/>
        <v>2059</v>
      </c>
      <c r="C2508" s="33" t="s">
        <v>49</v>
      </c>
      <c r="D2508" s="34" t="s">
        <v>2002</v>
      </c>
      <c r="E2508" s="35" t="str">
        <f t="shared" si="582"/>
        <v>PS'!</v>
      </c>
      <c r="F2508" s="34" t="str">
        <f t="shared" si="583"/>
        <v>C:\Users\jaime.benazar\Quorum Business Solutions\Ecopetrol Prometeo - Documents\Planning Space Implementation\3. Analysis &amp; Design\Design\FC22\DRR Jaime\Neiva CPI\[DINA TERCIARIOS_CF_SEC_New_27-Mar-2024.xlsx]D-PS'!</v>
      </c>
      <c r="G2508" s="32" t="s">
        <v>121</v>
      </c>
      <c r="H2508" s="33">
        <f t="shared" si="584"/>
        <v>48</v>
      </c>
      <c r="I2508" s="33" t="str">
        <f t="shared" si="577"/>
        <v>='C:\Users\jaime.benazar\Quorum Business Solutions\Ecopetrol Prometeo - Documents\Planning Space Implementation\3. Analysis &amp; Design\Design\FC22\DRR Jaime\Neiva CPI\[DINA TERCIARIOS_CF_SEC_New_27-Mar-2024.xlsx]D-PS'!$DC$48</v>
      </c>
      <c r="J2508" s="37" t="s">
        <v>3112</v>
      </c>
    </row>
    <row r="2509" spans="1:10" x14ac:dyDescent="0.3">
      <c r="A2509" s="32" t="s">
        <v>26</v>
      </c>
      <c r="B2509" s="32"/>
      <c r="C2509" s="33" t="s">
        <v>49</v>
      </c>
      <c r="D2509" s="34"/>
      <c r="E2509" s="35"/>
      <c r="F2509" s="34"/>
      <c r="G2509" s="32"/>
      <c r="H2509" s="33"/>
      <c r="I2509" s="33"/>
      <c r="J2509" s="33"/>
    </row>
    <row r="2510" spans="1:10" x14ac:dyDescent="0.3">
      <c r="A2510" s="32" t="s">
        <v>14</v>
      </c>
      <c r="B2510" s="32">
        <v>2023</v>
      </c>
      <c r="C2510" s="33" t="s">
        <v>52</v>
      </c>
      <c r="D2510" s="34" t="s">
        <v>2002</v>
      </c>
      <c r="E2510" s="35" t="str">
        <f t="shared" ref="E2510:E2530" si="586">_xlfn.CONCAT(A2510,"'!")</f>
        <v>PDP'!</v>
      </c>
      <c r="F2510" s="34" t="str">
        <f t="shared" ref="F2510:F2530" si="587">_xlfn.CONCAT(D2510:E2510)</f>
        <v>C:\Users\jaime.benazar\Quorum Business Solutions\Ecopetrol Prometeo - Documents\Planning Space Implementation\3. Analysis &amp; Design\Design\FC22\DRR Jaime\Neiva CPI\[DINA TERCIARIOS_CF_SEC_New_27-Mar-2024.xlsx]D-PDP'!</v>
      </c>
      <c r="G2510" s="32" t="s">
        <v>122</v>
      </c>
      <c r="H2510" s="33">
        <v>12</v>
      </c>
      <c r="I2510" s="33" t="str">
        <f>_xlfn.CONCAT("='",F2510:H2510)</f>
        <v>='C:\Users\jaime.benazar\Quorum Business Solutions\Ecopetrol Prometeo - Documents\Planning Space Implementation\3. Analysis &amp; Design\Design\FC22\DRR Jaime\Neiva CPI\[DINA TERCIARIOS_CF_SEC_New_27-Mar-2024.xlsx]D-PDP'!$EA$12</v>
      </c>
      <c r="J2510" s="37" t="s">
        <v>3113</v>
      </c>
    </row>
    <row r="2511" spans="1:10" x14ac:dyDescent="0.3">
      <c r="A2511" s="32" t="s">
        <v>14</v>
      </c>
      <c r="B2511" s="32">
        <f>+B2510+1</f>
        <v>2024</v>
      </c>
      <c r="C2511" s="33" t="s">
        <v>52</v>
      </c>
      <c r="D2511" s="34" t="s">
        <v>2002</v>
      </c>
      <c r="E2511" s="35" t="str">
        <f t="shared" si="586"/>
        <v>PDP'!</v>
      </c>
      <c r="F2511" s="34" t="str">
        <f t="shared" si="587"/>
        <v>C:\Users\jaime.benazar\Quorum Business Solutions\Ecopetrol Prometeo - Documents\Planning Space Implementation\3. Analysis &amp; Design\Design\FC22\DRR Jaime\Neiva CPI\[DINA TERCIARIOS_CF_SEC_New_27-Mar-2024.xlsx]D-PDP'!</v>
      </c>
      <c r="G2511" s="32" t="s">
        <v>122</v>
      </c>
      <c r="H2511" s="33">
        <f t="shared" ref="H2511:H2530" si="588">IF(A2511&lt;&gt;A2510,12,H2510+1)</f>
        <v>13</v>
      </c>
      <c r="I2511" s="33" t="str">
        <f t="shared" ref="I2511:I2530" si="589">_xlfn.CONCAT("='",F2511:H2511)</f>
        <v>='C:\Users\jaime.benazar\Quorum Business Solutions\Ecopetrol Prometeo - Documents\Planning Space Implementation\3. Analysis &amp; Design\Design\FC22\DRR Jaime\Neiva CPI\[DINA TERCIARIOS_CF_SEC_New_27-Mar-2024.xlsx]D-PDP'!$EA$13</v>
      </c>
      <c r="J2511" s="37" t="s">
        <v>3114</v>
      </c>
    </row>
    <row r="2512" spans="1:10" x14ac:dyDescent="0.3">
      <c r="A2512" s="32" t="s">
        <v>14</v>
      </c>
      <c r="B2512" s="32">
        <f t="shared" ref="B2512:B2523" si="590">+B2511+1</f>
        <v>2025</v>
      </c>
      <c r="C2512" s="33" t="s">
        <v>52</v>
      </c>
      <c r="D2512" s="34" t="s">
        <v>2002</v>
      </c>
      <c r="E2512" s="35" t="str">
        <f t="shared" si="586"/>
        <v>PDP'!</v>
      </c>
      <c r="F2512" s="34" t="str">
        <f t="shared" si="587"/>
        <v>C:\Users\jaime.benazar\Quorum Business Solutions\Ecopetrol Prometeo - Documents\Planning Space Implementation\3. Analysis &amp; Design\Design\FC22\DRR Jaime\Neiva CPI\[DINA TERCIARIOS_CF_SEC_New_27-Mar-2024.xlsx]D-PDP'!</v>
      </c>
      <c r="G2512" s="32" t="s">
        <v>122</v>
      </c>
      <c r="H2512" s="33">
        <f t="shared" si="588"/>
        <v>14</v>
      </c>
      <c r="I2512" s="33" t="str">
        <f t="shared" si="589"/>
        <v>='C:\Users\jaime.benazar\Quorum Business Solutions\Ecopetrol Prometeo - Documents\Planning Space Implementation\3. Analysis &amp; Design\Design\FC22\DRR Jaime\Neiva CPI\[DINA TERCIARIOS_CF_SEC_New_27-Mar-2024.xlsx]D-PDP'!$EA$14</v>
      </c>
      <c r="J2512" s="37" t="s">
        <v>3115</v>
      </c>
    </row>
    <row r="2513" spans="1:10" x14ac:dyDescent="0.3">
      <c r="A2513" s="32" t="s">
        <v>14</v>
      </c>
      <c r="B2513" s="32">
        <f t="shared" si="590"/>
        <v>2026</v>
      </c>
      <c r="C2513" s="33" t="s">
        <v>52</v>
      </c>
      <c r="D2513" s="34" t="s">
        <v>2002</v>
      </c>
      <c r="E2513" s="35" t="str">
        <f t="shared" si="586"/>
        <v>PDP'!</v>
      </c>
      <c r="F2513" s="34" t="str">
        <f t="shared" si="587"/>
        <v>C:\Users\jaime.benazar\Quorum Business Solutions\Ecopetrol Prometeo - Documents\Planning Space Implementation\3. Analysis &amp; Design\Design\FC22\DRR Jaime\Neiva CPI\[DINA TERCIARIOS_CF_SEC_New_27-Mar-2024.xlsx]D-PDP'!</v>
      </c>
      <c r="G2513" s="32" t="s">
        <v>122</v>
      </c>
      <c r="H2513" s="33">
        <f t="shared" si="588"/>
        <v>15</v>
      </c>
      <c r="I2513" s="33" t="str">
        <f t="shared" si="589"/>
        <v>='C:\Users\jaime.benazar\Quorum Business Solutions\Ecopetrol Prometeo - Documents\Planning Space Implementation\3. Analysis &amp; Design\Design\FC22\DRR Jaime\Neiva CPI\[DINA TERCIARIOS_CF_SEC_New_27-Mar-2024.xlsx]D-PDP'!$EA$15</v>
      </c>
      <c r="J2513" s="37" t="s">
        <v>3116</v>
      </c>
    </row>
    <row r="2514" spans="1:10" x14ac:dyDescent="0.3">
      <c r="A2514" s="32" t="s">
        <v>14</v>
      </c>
      <c r="B2514" s="32">
        <f t="shared" si="590"/>
        <v>2027</v>
      </c>
      <c r="C2514" s="33" t="s">
        <v>52</v>
      </c>
      <c r="D2514" s="34" t="s">
        <v>2002</v>
      </c>
      <c r="E2514" s="35" t="str">
        <f t="shared" si="586"/>
        <v>PDP'!</v>
      </c>
      <c r="F2514" s="34" t="str">
        <f t="shared" si="587"/>
        <v>C:\Users\jaime.benazar\Quorum Business Solutions\Ecopetrol Prometeo - Documents\Planning Space Implementation\3. Analysis &amp; Design\Design\FC22\DRR Jaime\Neiva CPI\[DINA TERCIARIOS_CF_SEC_New_27-Mar-2024.xlsx]D-PDP'!</v>
      </c>
      <c r="G2514" s="32" t="s">
        <v>122</v>
      </c>
      <c r="H2514" s="33">
        <f t="shared" si="588"/>
        <v>16</v>
      </c>
      <c r="I2514" s="33" t="str">
        <f t="shared" si="589"/>
        <v>='C:\Users\jaime.benazar\Quorum Business Solutions\Ecopetrol Prometeo - Documents\Planning Space Implementation\3. Analysis &amp; Design\Design\FC22\DRR Jaime\Neiva CPI\[DINA TERCIARIOS_CF_SEC_New_27-Mar-2024.xlsx]D-PDP'!$EA$16</v>
      </c>
      <c r="J2514" s="37" t="s">
        <v>3117</v>
      </c>
    </row>
    <row r="2515" spans="1:10" x14ac:dyDescent="0.3">
      <c r="A2515" s="32" t="s">
        <v>14</v>
      </c>
      <c r="B2515" s="32">
        <f t="shared" si="590"/>
        <v>2028</v>
      </c>
      <c r="C2515" s="33" t="s">
        <v>52</v>
      </c>
      <c r="D2515" s="34" t="s">
        <v>2002</v>
      </c>
      <c r="E2515" s="35" t="str">
        <f t="shared" si="586"/>
        <v>PDP'!</v>
      </c>
      <c r="F2515" s="34" t="str">
        <f t="shared" si="587"/>
        <v>C:\Users\jaime.benazar\Quorum Business Solutions\Ecopetrol Prometeo - Documents\Planning Space Implementation\3. Analysis &amp; Design\Design\FC22\DRR Jaime\Neiva CPI\[DINA TERCIARIOS_CF_SEC_New_27-Mar-2024.xlsx]D-PDP'!</v>
      </c>
      <c r="G2515" s="32" t="s">
        <v>122</v>
      </c>
      <c r="H2515" s="33">
        <f t="shared" si="588"/>
        <v>17</v>
      </c>
      <c r="I2515" s="33" t="str">
        <f t="shared" si="589"/>
        <v>='C:\Users\jaime.benazar\Quorum Business Solutions\Ecopetrol Prometeo - Documents\Planning Space Implementation\3. Analysis &amp; Design\Design\FC22\DRR Jaime\Neiva CPI\[DINA TERCIARIOS_CF_SEC_New_27-Mar-2024.xlsx]D-PDP'!$EA$17</v>
      </c>
      <c r="J2515" s="37" t="s">
        <v>3118</v>
      </c>
    </row>
    <row r="2516" spans="1:10" x14ac:dyDescent="0.3">
      <c r="A2516" s="32" t="s">
        <v>14</v>
      </c>
      <c r="B2516" s="32">
        <f t="shared" si="590"/>
        <v>2029</v>
      </c>
      <c r="C2516" s="33" t="s">
        <v>52</v>
      </c>
      <c r="D2516" s="34" t="s">
        <v>2002</v>
      </c>
      <c r="E2516" s="35" t="str">
        <f t="shared" si="586"/>
        <v>PDP'!</v>
      </c>
      <c r="F2516" s="34" t="str">
        <f t="shared" si="587"/>
        <v>C:\Users\jaime.benazar\Quorum Business Solutions\Ecopetrol Prometeo - Documents\Planning Space Implementation\3. Analysis &amp; Design\Design\FC22\DRR Jaime\Neiva CPI\[DINA TERCIARIOS_CF_SEC_New_27-Mar-2024.xlsx]D-PDP'!</v>
      </c>
      <c r="G2516" s="32" t="s">
        <v>122</v>
      </c>
      <c r="H2516" s="33">
        <f t="shared" si="588"/>
        <v>18</v>
      </c>
      <c r="I2516" s="33" t="str">
        <f t="shared" si="589"/>
        <v>='C:\Users\jaime.benazar\Quorum Business Solutions\Ecopetrol Prometeo - Documents\Planning Space Implementation\3. Analysis &amp; Design\Design\FC22\DRR Jaime\Neiva CPI\[DINA TERCIARIOS_CF_SEC_New_27-Mar-2024.xlsx]D-PDP'!$EA$18</v>
      </c>
      <c r="J2516" s="37" t="s">
        <v>3119</v>
      </c>
    </row>
    <row r="2517" spans="1:10" x14ac:dyDescent="0.3">
      <c r="A2517" s="32" t="s">
        <v>14</v>
      </c>
      <c r="B2517" s="32">
        <f t="shared" si="590"/>
        <v>2030</v>
      </c>
      <c r="C2517" s="33" t="s">
        <v>52</v>
      </c>
      <c r="D2517" s="34" t="s">
        <v>2002</v>
      </c>
      <c r="E2517" s="35" t="str">
        <f t="shared" si="586"/>
        <v>PDP'!</v>
      </c>
      <c r="F2517" s="34" t="str">
        <f t="shared" si="587"/>
        <v>C:\Users\jaime.benazar\Quorum Business Solutions\Ecopetrol Prometeo - Documents\Planning Space Implementation\3. Analysis &amp; Design\Design\FC22\DRR Jaime\Neiva CPI\[DINA TERCIARIOS_CF_SEC_New_27-Mar-2024.xlsx]D-PDP'!</v>
      </c>
      <c r="G2517" s="32" t="s">
        <v>122</v>
      </c>
      <c r="H2517" s="33">
        <f t="shared" si="588"/>
        <v>19</v>
      </c>
      <c r="I2517" s="33" t="str">
        <f t="shared" si="589"/>
        <v>='C:\Users\jaime.benazar\Quorum Business Solutions\Ecopetrol Prometeo - Documents\Planning Space Implementation\3. Analysis &amp; Design\Design\FC22\DRR Jaime\Neiva CPI\[DINA TERCIARIOS_CF_SEC_New_27-Mar-2024.xlsx]D-PDP'!$EA$19</v>
      </c>
      <c r="J2517" s="37" t="s">
        <v>3120</v>
      </c>
    </row>
    <row r="2518" spans="1:10" x14ac:dyDescent="0.3">
      <c r="A2518" s="32" t="s">
        <v>14</v>
      </c>
      <c r="B2518" s="32">
        <f t="shared" si="590"/>
        <v>2031</v>
      </c>
      <c r="C2518" s="33" t="s">
        <v>52</v>
      </c>
      <c r="D2518" s="34" t="s">
        <v>2002</v>
      </c>
      <c r="E2518" s="35" t="str">
        <f t="shared" si="586"/>
        <v>PDP'!</v>
      </c>
      <c r="F2518" s="34" t="str">
        <f t="shared" si="587"/>
        <v>C:\Users\jaime.benazar\Quorum Business Solutions\Ecopetrol Prometeo - Documents\Planning Space Implementation\3. Analysis &amp; Design\Design\FC22\DRR Jaime\Neiva CPI\[DINA TERCIARIOS_CF_SEC_New_27-Mar-2024.xlsx]D-PDP'!</v>
      </c>
      <c r="G2518" s="32" t="s">
        <v>122</v>
      </c>
      <c r="H2518" s="33">
        <f t="shared" si="588"/>
        <v>20</v>
      </c>
      <c r="I2518" s="33" t="str">
        <f t="shared" si="589"/>
        <v>='C:\Users\jaime.benazar\Quorum Business Solutions\Ecopetrol Prometeo - Documents\Planning Space Implementation\3. Analysis &amp; Design\Design\FC22\DRR Jaime\Neiva CPI\[DINA TERCIARIOS_CF_SEC_New_27-Mar-2024.xlsx]D-PDP'!$EA$20</v>
      </c>
      <c r="J2518" s="37" t="s">
        <v>3121</v>
      </c>
    </row>
    <row r="2519" spans="1:10" x14ac:dyDescent="0.3">
      <c r="A2519" s="32" t="s">
        <v>14</v>
      </c>
      <c r="B2519" s="32">
        <f t="shared" si="590"/>
        <v>2032</v>
      </c>
      <c r="C2519" s="33" t="s">
        <v>52</v>
      </c>
      <c r="D2519" s="34" t="s">
        <v>2002</v>
      </c>
      <c r="E2519" s="35" t="str">
        <f t="shared" si="586"/>
        <v>PDP'!</v>
      </c>
      <c r="F2519" s="34" t="str">
        <f t="shared" si="587"/>
        <v>C:\Users\jaime.benazar\Quorum Business Solutions\Ecopetrol Prometeo - Documents\Planning Space Implementation\3. Analysis &amp; Design\Design\FC22\DRR Jaime\Neiva CPI\[DINA TERCIARIOS_CF_SEC_New_27-Mar-2024.xlsx]D-PDP'!</v>
      </c>
      <c r="G2519" s="32" t="s">
        <v>122</v>
      </c>
      <c r="H2519" s="33">
        <f t="shared" si="588"/>
        <v>21</v>
      </c>
      <c r="I2519" s="33" t="str">
        <f t="shared" si="589"/>
        <v>='C:\Users\jaime.benazar\Quorum Business Solutions\Ecopetrol Prometeo - Documents\Planning Space Implementation\3. Analysis &amp; Design\Design\FC22\DRR Jaime\Neiva CPI\[DINA TERCIARIOS_CF_SEC_New_27-Mar-2024.xlsx]D-PDP'!$EA$21</v>
      </c>
      <c r="J2519" s="37" t="s">
        <v>3122</v>
      </c>
    </row>
    <row r="2520" spans="1:10" x14ac:dyDescent="0.3">
      <c r="A2520" s="32" t="s">
        <v>14</v>
      </c>
      <c r="B2520" s="32">
        <f t="shared" si="590"/>
        <v>2033</v>
      </c>
      <c r="C2520" s="33" t="s">
        <v>52</v>
      </c>
      <c r="D2520" s="34" t="s">
        <v>2002</v>
      </c>
      <c r="E2520" s="35" t="str">
        <f t="shared" si="586"/>
        <v>PDP'!</v>
      </c>
      <c r="F2520" s="34" t="str">
        <f t="shared" si="587"/>
        <v>C:\Users\jaime.benazar\Quorum Business Solutions\Ecopetrol Prometeo - Documents\Planning Space Implementation\3. Analysis &amp; Design\Design\FC22\DRR Jaime\Neiva CPI\[DINA TERCIARIOS_CF_SEC_New_27-Mar-2024.xlsx]D-PDP'!</v>
      </c>
      <c r="G2520" s="32" t="s">
        <v>122</v>
      </c>
      <c r="H2520" s="33">
        <f t="shared" si="588"/>
        <v>22</v>
      </c>
      <c r="I2520" s="33" t="str">
        <f t="shared" si="589"/>
        <v>='C:\Users\jaime.benazar\Quorum Business Solutions\Ecopetrol Prometeo - Documents\Planning Space Implementation\3. Analysis &amp; Design\Design\FC22\DRR Jaime\Neiva CPI\[DINA TERCIARIOS_CF_SEC_New_27-Mar-2024.xlsx]D-PDP'!$EA$22</v>
      </c>
      <c r="J2520" s="37" t="s">
        <v>3123</v>
      </c>
    </row>
    <row r="2521" spans="1:10" x14ac:dyDescent="0.3">
      <c r="A2521" s="32" t="s">
        <v>14</v>
      </c>
      <c r="B2521" s="32">
        <f t="shared" si="590"/>
        <v>2034</v>
      </c>
      <c r="C2521" s="33" t="s">
        <v>52</v>
      </c>
      <c r="D2521" s="34" t="s">
        <v>2002</v>
      </c>
      <c r="E2521" s="35" t="str">
        <f t="shared" si="586"/>
        <v>PDP'!</v>
      </c>
      <c r="F2521" s="34" t="str">
        <f t="shared" si="587"/>
        <v>C:\Users\jaime.benazar\Quorum Business Solutions\Ecopetrol Prometeo - Documents\Planning Space Implementation\3. Analysis &amp; Design\Design\FC22\DRR Jaime\Neiva CPI\[DINA TERCIARIOS_CF_SEC_New_27-Mar-2024.xlsx]D-PDP'!</v>
      </c>
      <c r="G2521" s="32" t="s">
        <v>122</v>
      </c>
      <c r="H2521" s="33">
        <f t="shared" si="588"/>
        <v>23</v>
      </c>
      <c r="I2521" s="33" t="str">
        <f t="shared" si="589"/>
        <v>='C:\Users\jaime.benazar\Quorum Business Solutions\Ecopetrol Prometeo - Documents\Planning Space Implementation\3. Analysis &amp; Design\Design\FC22\DRR Jaime\Neiva CPI\[DINA TERCIARIOS_CF_SEC_New_27-Mar-2024.xlsx]D-PDP'!$EA$23</v>
      </c>
      <c r="J2521" s="37" t="s">
        <v>3124</v>
      </c>
    </row>
    <row r="2522" spans="1:10" x14ac:dyDescent="0.3">
      <c r="A2522" s="32" t="s">
        <v>14</v>
      </c>
      <c r="B2522" s="32">
        <f t="shared" si="590"/>
        <v>2035</v>
      </c>
      <c r="C2522" s="33" t="s">
        <v>52</v>
      </c>
      <c r="D2522" s="34" t="s">
        <v>2002</v>
      </c>
      <c r="E2522" s="35" t="str">
        <f t="shared" si="586"/>
        <v>PDP'!</v>
      </c>
      <c r="F2522" s="34" t="str">
        <f t="shared" si="587"/>
        <v>C:\Users\jaime.benazar\Quorum Business Solutions\Ecopetrol Prometeo - Documents\Planning Space Implementation\3. Analysis &amp; Design\Design\FC22\DRR Jaime\Neiva CPI\[DINA TERCIARIOS_CF_SEC_New_27-Mar-2024.xlsx]D-PDP'!</v>
      </c>
      <c r="G2522" s="32" t="s">
        <v>122</v>
      </c>
      <c r="H2522" s="33">
        <f t="shared" si="588"/>
        <v>24</v>
      </c>
      <c r="I2522" s="33" t="str">
        <f t="shared" si="589"/>
        <v>='C:\Users\jaime.benazar\Quorum Business Solutions\Ecopetrol Prometeo - Documents\Planning Space Implementation\3. Analysis &amp; Design\Design\FC22\DRR Jaime\Neiva CPI\[DINA TERCIARIOS_CF_SEC_New_27-Mar-2024.xlsx]D-PDP'!$EA$24</v>
      </c>
      <c r="J2522" s="37" t="s">
        <v>3125</v>
      </c>
    </row>
    <row r="2523" spans="1:10" x14ac:dyDescent="0.3">
      <c r="A2523" s="32" t="s">
        <v>14</v>
      </c>
      <c r="B2523" s="32">
        <f t="shared" si="590"/>
        <v>2036</v>
      </c>
      <c r="C2523" s="33" t="s">
        <v>52</v>
      </c>
      <c r="D2523" s="34" t="s">
        <v>2002</v>
      </c>
      <c r="E2523" s="35" t="str">
        <f t="shared" si="586"/>
        <v>PDP'!</v>
      </c>
      <c r="F2523" s="34" t="str">
        <f t="shared" si="587"/>
        <v>C:\Users\jaime.benazar\Quorum Business Solutions\Ecopetrol Prometeo - Documents\Planning Space Implementation\3. Analysis &amp; Design\Design\FC22\DRR Jaime\Neiva CPI\[DINA TERCIARIOS_CF_SEC_New_27-Mar-2024.xlsx]D-PDP'!</v>
      </c>
      <c r="G2523" s="32" t="s">
        <v>122</v>
      </c>
      <c r="H2523" s="33">
        <f t="shared" si="588"/>
        <v>25</v>
      </c>
      <c r="I2523" s="33" t="str">
        <f t="shared" si="589"/>
        <v>='C:\Users\jaime.benazar\Quorum Business Solutions\Ecopetrol Prometeo - Documents\Planning Space Implementation\3. Analysis &amp; Design\Design\FC22\DRR Jaime\Neiva CPI\[DINA TERCIARIOS_CF_SEC_New_27-Mar-2024.xlsx]D-PDP'!$EA$25</v>
      </c>
      <c r="J2523" s="37" t="s">
        <v>3126</v>
      </c>
    </row>
    <row r="2524" spans="1:10" x14ac:dyDescent="0.3">
      <c r="A2524" s="32" t="s">
        <v>14</v>
      </c>
      <c r="B2524" s="32">
        <f>+B2523+1</f>
        <v>2037</v>
      </c>
      <c r="C2524" s="33" t="s">
        <v>52</v>
      </c>
      <c r="D2524" s="34" t="s">
        <v>2002</v>
      </c>
      <c r="E2524" s="35" t="str">
        <f t="shared" si="586"/>
        <v>PDP'!</v>
      </c>
      <c r="F2524" s="34" t="str">
        <f t="shared" si="587"/>
        <v>C:\Users\jaime.benazar\Quorum Business Solutions\Ecopetrol Prometeo - Documents\Planning Space Implementation\3. Analysis &amp; Design\Design\FC22\DRR Jaime\Neiva CPI\[DINA TERCIARIOS_CF_SEC_New_27-Mar-2024.xlsx]D-PDP'!</v>
      </c>
      <c r="G2524" s="32" t="s">
        <v>122</v>
      </c>
      <c r="H2524" s="33">
        <f t="shared" si="588"/>
        <v>26</v>
      </c>
      <c r="I2524" s="33" t="str">
        <f t="shared" si="589"/>
        <v>='C:\Users\jaime.benazar\Quorum Business Solutions\Ecopetrol Prometeo - Documents\Planning Space Implementation\3. Analysis &amp; Design\Design\FC22\DRR Jaime\Neiva CPI\[DINA TERCIARIOS_CF_SEC_New_27-Mar-2024.xlsx]D-PDP'!$EA$26</v>
      </c>
      <c r="J2524" s="37" t="s">
        <v>3127</v>
      </c>
    </row>
    <row r="2525" spans="1:10" x14ac:dyDescent="0.3">
      <c r="A2525" s="32" t="s">
        <v>14</v>
      </c>
      <c r="B2525" s="32">
        <f t="shared" ref="B2525:B2527" si="591">+B2524+1</f>
        <v>2038</v>
      </c>
      <c r="C2525" s="33" t="s">
        <v>52</v>
      </c>
      <c r="D2525" s="34" t="s">
        <v>2002</v>
      </c>
      <c r="E2525" s="35" t="str">
        <f t="shared" si="586"/>
        <v>PDP'!</v>
      </c>
      <c r="F2525" s="34" t="str">
        <f t="shared" si="587"/>
        <v>C:\Users\jaime.benazar\Quorum Business Solutions\Ecopetrol Prometeo - Documents\Planning Space Implementation\3. Analysis &amp; Design\Design\FC22\DRR Jaime\Neiva CPI\[DINA TERCIARIOS_CF_SEC_New_27-Mar-2024.xlsx]D-PDP'!</v>
      </c>
      <c r="G2525" s="32" t="s">
        <v>122</v>
      </c>
      <c r="H2525" s="33">
        <f t="shared" si="588"/>
        <v>27</v>
      </c>
      <c r="I2525" s="33" t="str">
        <f t="shared" si="589"/>
        <v>='C:\Users\jaime.benazar\Quorum Business Solutions\Ecopetrol Prometeo - Documents\Planning Space Implementation\3. Analysis &amp; Design\Design\FC22\DRR Jaime\Neiva CPI\[DINA TERCIARIOS_CF_SEC_New_27-Mar-2024.xlsx]D-PDP'!$EA$27</v>
      </c>
      <c r="J2525" s="37" t="s">
        <v>3128</v>
      </c>
    </row>
    <row r="2526" spans="1:10" x14ac:dyDescent="0.3">
      <c r="A2526" s="32" t="s">
        <v>14</v>
      </c>
      <c r="B2526" s="32">
        <f t="shared" si="591"/>
        <v>2039</v>
      </c>
      <c r="C2526" s="33" t="s">
        <v>52</v>
      </c>
      <c r="D2526" s="34" t="s">
        <v>2002</v>
      </c>
      <c r="E2526" s="35" t="str">
        <f t="shared" si="586"/>
        <v>PDP'!</v>
      </c>
      <c r="F2526" s="34" t="str">
        <f t="shared" si="587"/>
        <v>C:\Users\jaime.benazar\Quorum Business Solutions\Ecopetrol Prometeo - Documents\Planning Space Implementation\3. Analysis &amp; Design\Design\FC22\DRR Jaime\Neiva CPI\[DINA TERCIARIOS_CF_SEC_New_27-Mar-2024.xlsx]D-PDP'!</v>
      </c>
      <c r="G2526" s="32" t="s">
        <v>122</v>
      </c>
      <c r="H2526" s="33">
        <f t="shared" si="588"/>
        <v>28</v>
      </c>
      <c r="I2526" s="33" t="str">
        <f t="shared" si="589"/>
        <v>='C:\Users\jaime.benazar\Quorum Business Solutions\Ecopetrol Prometeo - Documents\Planning Space Implementation\3. Analysis &amp; Design\Design\FC22\DRR Jaime\Neiva CPI\[DINA TERCIARIOS_CF_SEC_New_27-Mar-2024.xlsx]D-PDP'!$EA$28</v>
      </c>
      <c r="J2526" s="37" t="s">
        <v>3129</v>
      </c>
    </row>
    <row r="2527" spans="1:10" x14ac:dyDescent="0.3">
      <c r="A2527" s="32" t="s">
        <v>14</v>
      </c>
      <c r="B2527" s="32">
        <f t="shared" si="591"/>
        <v>2040</v>
      </c>
      <c r="C2527" s="33" t="s">
        <v>52</v>
      </c>
      <c r="D2527" s="34" t="s">
        <v>2002</v>
      </c>
      <c r="E2527" s="35" t="str">
        <f t="shared" si="586"/>
        <v>PDP'!</v>
      </c>
      <c r="F2527" s="34" t="str">
        <f t="shared" si="587"/>
        <v>C:\Users\jaime.benazar\Quorum Business Solutions\Ecopetrol Prometeo - Documents\Planning Space Implementation\3. Analysis &amp; Design\Design\FC22\DRR Jaime\Neiva CPI\[DINA TERCIARIOS_CF_SEC_New_27-Mar-2024.xlsx]D-PDP'!</v>
      </c>
      <c r="G2527" s="32" t="s">
        <v>122</v>
      </c>
      <c r="H2527" s="33">
        <f t="shared" si="588"/>
        <v>29</v>
      </c>
      <c r="I2527" s="33" t="str">
        <f t="shared" si="589"/>
        <v>='C:\Users\jaime.benazar\Quorum Business Solutions\Ecopetrol Prometeo - Documents\Planning Space Implementation\3. Analysis &amp; Design\Design\FC22\DRR Jaime\Neiva CPI\[DINA TERCIARIOS_CF_SEC_New_27-Mar-2024.xlsx]D-PDP'!$EA$29</v>
      </c>
      <c r="J2527" s="37" t="s">
        <v>3130</v>
      </c>
    </row>
    <row r="2528" spans="1:10" x14ac:dyDescent="0.3">
      <c r="A2528" s="32" t="s">
        <v>14</v>
      </c>
      <c r="B2528" s="32">
        <f>+B2527+1</f>
        <v>2041</v>
      </c>
      <c r="C2528" s="33" t="s">
        <v>52</v>
      </c>
      <c r="D2528" s="34" t="s">
        <v>2002</v>
      </c>
      <c r="E2528" s="35" t="str">
        <f t="shared" si="586"/>
        <v>PDP'!</v>
      </c>
      <c r="F2528" s="34" t="str">
        <f t="shared" si="587"/>
        <v>C:\Users\jaime.benazar\Quorum Business Solutions\Ecopetrol Prometeo - Documents\Planning Space Implementation\3. Analysis &amp; Design\Design\FC22\DRR Jaime\Neiva CPI\[DINA TERCIARIOS_CF_SEC_New_27-Mar-2024.xlsx]D-PDP'!</v>
      </c>
      <c r="G2528" s="32" t="s">
        <v>122</v>
      </c>
      <c r="H2528" s="33">
        <f t="shared" si="588"/>
        <v>30</v>
      </c>
      <c r="I2528" s="33" t="str">
        <f t="shared" si="589"/>
        <v>='C:\Users\jaime.benazar\Quorum Business Solutions\Ecopetrol Prometeo - Documents\Planning Space Implementation\3. Analysis &amp; Design\Design\FC22\DRR Jaime\Neiva CPI\[DINA TERCIARIOS_CF_SEC_New_27-Mar-2024.xlsx]D-PDP'!$EA$30</v>
      </c>
      <c r="J2528" s="37" t="s">
        <v>3131</v>
      </c>
    </row>
    <row r="2529" spans="1:10" x14ac:dyDescent="0.3">
      <c r="A2529" s="32" t="s">
        <v>14</v>
      </c>
      <c r="B2529" s="32">
        <f t="shared" ref="B2529:B2530" si="592">+B2528+1</f>
        <v>2042</v>
      </c>
      <c r="C2529" s="33" t="s">
        <v>52</v>
      </c>
      <c r="D2529" s="34" t="s">
        <v>2002</v>
      </c>
      <c r="E2529" s="35" t="str">
        <f t="shared" si="586"/>
        <v>PDP'!</v>
      </c>
      <c r="F2529" s="34" t="str">
        <f t="shared" si="587"/>
        <v>C:\Users\jaime.benazar\Quorum Business Solutions\Ecopetrol Prometeo - Documents\Planning Space Implementation\3. Analysis &amp; Design\Design\FC22\DRR Jaime\Neiva CPI\[DINA TERCIARIOS_CF_SEC_New_27-Mar-2024.xlsx]D-PDP'!</v>
      </c>
      <c r="G2529" s="32" t="s">
        <v>122</v>
      </c>
      <c r="H2529" s="33">
        <f t="shared" si="588"/>
        <v>31</v>
      </c>
      <c r="I2529" s="33" t="str">
        <f t="shared" si="589"/>
        <v>='C:\Users\jaime.benazar\Quorum Business Solutions\Ecopetrol Prometeo - Documents\Planning Space Implementation\3. Analysis &amp; Design\Design\FC22\DRR Jaime\Neiva CPI\[DINA TERCIARIOS_CF_SEC_New_27-Mar-2024.xlsx]D-PDP'!$EA$31</v>
      </c>
      <c r="J2529" s="37" t="s">
        <v>3132</v>
      </c>
    </row>
    <row r="2530" spans="1:10" x14ac:dyDescent="0.3">
      <c r="A2530" s="32" t="s">
        <v>14</v>
      </c>
      <c r="B2530" s="32">
        <f t="shared" si="592"/>
        <v>2043</v>
      </c>
      <c r="C2530" s="33" t="s">
        <v>52</v>
      </c>
      <c r="D2530" s="34" t="s">
        <v>2002</v>
      </c>
      <c r="E2530" s="35" t="str">
        <f t="shared" si="586"/>
        <v>PDP'!</v>
      </c>
      <c r="F2530" s="34" t="str">
        <f t="shared" si="587"/>
        <v>C:\Users\jaime.benazar\Quorum Business Solutions\Ecopetrol Prometeo - Documents\Planning Space Implementation\3. Analysis &amp; Design\Design\FC22\DRR Jaime\Neiva CPI\[DINA TERCIARIOS_CF_SEC_New_27-Mar-2024.xlsx]D-PDP'!</v>
      </c>
      <c r="G2530" s="32" t="s">
        <v>122</v>
      </c>
      <c r="H2530" s="33">
        <f t="shared" si="588"/>
        <v>32</v>
      </c>
      <c r="I2530" s="33" t="str">
        <f t="shared" si="589"/>
        <v>='C:\Users\jaime.benazar\Quorum Business Solutions\Ecopetrol Prometeo - Documents\Planning Space Implementation\3. Analysis &amp; Design\Design\FC22\DRR Jaime\Neiva CPI\[DINA TERCIARIOS_CF_SEC_New_27-Mar-2024.xlsx]D-PDP'!$EA$32</v>
      </c>
      <c r="J2530" s="37" t="s">
        <v>3133</v>
      </c>
    </row>
    <row r="2531" spans="1:10" x14ac:dyDescent="0.3">
      <c r="A2531" s="32" t="s">
        <v>14</v>
      </c>
      <c r="B2531" s="32">
        <f>+B2530+1</f>
        <v>2044</v>
      </c>
      <c r="C2531" s="33" t="s">
        <v>52</v>
      </c>
      <c r="D2531" s="34" t="s">
        <v>2002</v>
      </c>
      <c r="E2531" s="35" t="str">
        <f t="shared" ref="E2531:E2546" si="593">_xlfn.CONCAT(A2531,"'!")</f>
        <v>PDP'!</v>
      </c>
      <c r="F2531" s="34" t="str">
        <f t="shared" ref="F2531:F2546" si="594">_xlfn.CONCAT(D2531:E2531)</f>
        <v>C:\Users\jaime.benazar\Quorum Business Solutions\Ecopetrol Prometeo - Documents\Planning Space Implementation\3. Analysis &amp; Design\Design\FC22\DRR Jaime\Neiva CPI\[DINA TERCIARIOS_CF_SEC_New_27-Mar-2024.xlsx]D-PDP'!</v>
      </c>
      <c r="G2531" s="32" t="s">
        <v>122</v>
      </c>
      <c r="H2531" s="33">
        <f t="shared" ref="H2531:H2546" si="595">IF(A2531&lt;&gt;A2530,12,H2530+1)</f>
        <v>33</v>
      </c>
      <c r="I2531" s="33" t="str">
        <f t="shared" ref="I2531:I2546" si="596">_xlfn.CONCAT("='",F2531:H2531)</f>
        <v>='C:\Users\jaime.benazar\Quorum Business Solutions\Ecopetrol Prometeo - Documents\Planning Space Implementation\3. Analysis &amp; Design\Design\FC22\DRR Jaime\Neiva CPI\[DINA TERCIARIOS_CF_SEC_New_27-Mar-2024.xlsx]D-PDP'!$EA$33</v>
      </c>
      <c r="J2531" s="37" t="s">
        <v>3134</v>
      </c>
    </row>
    <row r="2532" spans="1:10" x14ac:dyDescent="0.3">
      <c r="A2532" s="32" t="s">
        <v>14</v>
      </c>
      <c r="B2532" s="32">
        <f t="shared" ref="B2532:B2546" si="597">+B2531+1</f>
        <v>2045</v>
      </c>
      <c r="C2532" s="33" t="s">
        <v>52</v>
      </c>
      <c r="D2532" s="34" t="s">
        <v>2002</v>
      </c>
      <c r="E2532" s="35" t="str">
        <f t="shared" si="593"/>
        <v>PDP'!</v>
      </c>
      <c r="F2532" s="34" t="str">
        <f t="shared" si="594"/>
        <v>C:\Users\jaime.benazar\Quorum Business Solutions\Ecopetrol Prometeo - Documents\Planning Space Implementation\3. Analysis &amp; Design\Design\FC22\DRR Jaime\Neiva CPI\[DINA TERCIARIOS_CF_SEC_New_27-Mar-2024.xlsx]D-PDP'!</v>
      </c>
      <c r="G2532" s="32" t="s">
        <v>122</v>
      </c>
      <c r="H2532" s="33">
        <f t="shared" si="595"/>
        <v>34</v>
      </c>
      <c r="I2532" s="33" t="str">
        <f t="shared" si="596"/>
        <v>='C:\Users\jaime.benazar\Quorum Business Solutions\Ecopetrol Prometeo - Documents\Planning Space Implementation\3. Analysis &amp; Design\Design\FC22\DRR Jaime\Neiva CPI\[DINA TERCIARIOS_CF_SEC_New_27-Mar-2024.xlsx]D-PDP'!$EA$34</v>
      </c>
      <c r="J2532" s="37" t="s">
        <v>3135</v>
      </c>
    </row>
    <row r="2533" spans="1:10" x14ac:dyDescent="0.3">
      <c r="A2533" s="32" t="s">
        <v>14</v>
      </c>
      <c r="B2533" s="32">
        <f t="shared" si="597"/>
        <v>2046</v>
      </c>
      <c r="C2533" s="33" t="s">
        <v>52</v>
      </c>
      <c r="D2533" s="34" t="s">
        <v>2002</v>
      </c>
      <c r="E2533" s="35" t="str">
        <f t="shared" si="593"/>
        <v>PDP'!</v>
      </c>
      <c r="F2533" s="34" t="str">
        <f t="shared" si="594"/>
        <v>C:\Users\jaime.benazar\Quorum Business Solutions\Ecopetrol Prometeo - Documents\Planning Space Implementation\3. Analysis &amp; Design\Design\FC22\DRR Jaime\Neiva CPI\[DINA TERCIARIOS_CF_SEC_New_27-Mar-2024.xlsx]D-PDP'!</v>
      </c>
      <c r="G2533" s="32" t="s">
        <v>122</v>
      </c>
      <c r="H2533" s="33">
        <f t="shared" si="595"/>
        <v>35</v>
      </c>
      <c r="I2533" s="33" t="str">
        <f t="shared" si="596"/>
        <v>='C:\Users\jaime.benazar\Quorum Business Solutions\Ecopetrol Prometeo - Documents\Planning Space Implementation\3. Analysis &amp; Design\Design\FC22\DRR Jaime\Neiva CPI\[DINA TERCIARIOS_CF_SEC_New_27-Mar-2024.xlsx]D-PDP'!$EA$35</v>
      </c>
      <c r="J2533" s="37" t="s">
        <v>3136</v>
      </c>
    </row>
    <row r="2534" spans="1:10" x14ac:dyDescent="0.3">
      <c r="A2534" s="32" t="s">
        <v>14</v>
      </c>
      <c r="B2534" s="32">
        <f t="shared" si="597"/>
        <v>2047</v>
      </c>
      <c r="C2534" s="33" t="s">
        <v>52</v>
      </c>
      <c r="D2534" s="34" t="s">
        <v>2002</v>
      </c>
      <c r="E2534" s="35" t="str">
        <f t="shared" si="593"/>
        <v>PDP'!</v>
      </c>
      <c r="F2534" s="34" t="str">
        <f t="shared" si="594"/>
        <v>C:\Users\jaime.benazar\Quorum Business Solutions\Ecopetrol Prometeo - Documents\Planning Space Implementation\3. Analysis &amp; Design\Design\FC22\DRR Jaime\Neiva CPI\[DINA TERCIARIOS_CF_SEC_New_27-Mar-2024.xlsx]D-PDP'!</v>
      </c>
      <c r="G2534" s="32" t="s">
        <v>122</v>
      </c>
      <c r="H2534" s="33">
        <f t="shared" si="595"/>
        <v>36</v>
      </c>
      <c r="I2534" s="33" t="str">
        <f t="shared" si="596"/>
        <v>='C:\Users\jaime.benazar\Quorum Business Solutions\Ecopetrol Prometeo - Documents\Planning Space Implementation\3. Analysis &amp; Design\Design\FC22\DRR Jaime\Neiva CPI\[DINA TERCIARIOS_CF_SEC_New_27-Mar-2024.xlsx]D-PDP'!$EA$36</v>
      </c>
      <c r="J2534" s="37" t="s">
        <v>3137</v>
      </c>
    </row>
    <row r="2535" spans="1:10" x14ac:dyDescent="0.3">
      <c r="A2535" s="32" t="s">
        <v>14</v>
      </c>
      <c r="B2535" s="32">
        <f t="shared" si="597"/>
        <v>2048</v>
      </c>
      <c r="C2535" s="33" t="s">
        <v>52</v>
      </c>
      <c r="D2535" s="34" t="s">
        <v>2002</v>
      </c>
      <c r="E2535" s="35" t="str">
        <f t="shared" si="593"/>
        <v>PDP'!</v>
      </c>
      <c r="F2535" s="34" t="str">
        <f t="shared" si="594"/>
        <v>C:\Users\jaime.benazar\Quorum Business Solutions\Ecopetrol Prometeo - Documents\Planning Space Implementation\3. Analysis &amp; Design\Design\FC22\DRR Jaime\Neiva CPI\[DINA TERCIARIOS_CF_SEC_New_27-Mar-2024.xlsx]D-PDP'!</v>
      </c>
      <c r="G2535" s="32" t="s">
        <v>122</v>
      </c>
      <c r="H2535" s="33">
        <f t="shared" si="595"/>
        <v>37</v>
      </c>
      <c r="I2535" s="33" t="str">
        <f t="shared" si="596"/>
        <v>='C:\Users\jaime.benazar\Quorum Business Solutions\Ecopetrol Prometeo - Documents\Planning Space Implementation\3. Analysis &amp; Design\Design\FC22\DRR Jaime\Neiva CPI\[DINA TERCIARIOS_CF_SEC_New_27-Mar-2024.xlsx]D-PDP'!$EA$37</v>
      </c>
      <c r="J2535" s="37" t="s">
        <v>3138</v>
      </c>
    </row>
    <row r="2536" spans="1:10" x14ac:dyDescent="0.3">
      <c r="A2536" s="32" t="s">
        <v>14</v>
      </c>
      <c r="B2536" s="32">
        <f t="shared" si="597"/>
        <v>2049</v>
      </c>
      <c r="C2536" s="33" t="s">
        <v>52</v>
      </c>
      <c r="D2536" s="34" t="s">
        <v>2002</v>
      </c>
      <c r="E2536" s="35" t="str">
        <f t="shared" si="593"/>
        <v>PDP'!</v>
      </c>
      <c r="F2536" s="34" t="str">
        <f t="shared" si="594"/>
        <v>C:\Users\jaime.benazar\Quorum Business Solutions\Ecopetrol Prometeo - Documents\Planning Space Implementation\3. Analysis &amp; Design\Design\FC22\DRR Jaime\Neiva CPI\[DINA TERCIARIOS_CF_SEC_New_27-Mar-2024.xlsx]D-PDP'!</v>
      </c>
      <c r="G2536" s="32" t="s">
        <v>122</v>
      </c>
      <c r="H2536" s="33">
        <f t="shared" si="595"/>
        <v>38</v>
      </c>
      <c r="I2536" s="33" t="str">
        <f t="shared" si="596"/>
        <v>='C:\Users\jaime.benazar\Quorum Business Solutions\Ecopetrol Prometeo - Documents\Planning Space Implementation\3. Analysis &amp; Design\Design\FC22\DRR Jaime\Neiva CPI\[DINA TERCIARIOS_CF_SEC_New_27-Mar-2024.xlsx]D-PDP'!$EA$38</v>
      </c>
      <c r="J2536" s="37" t="s">
        <v>3139</v>
      </c>
    </row>
    <row r="2537" spans="1:10" x14ac:dyDescent="0.3">
      <c r="A2537" s="32" t="s">
        <v>14</v>
      </c>
      <c r="B2537" s="32">
        <f t="shared" si="597"/>
        <v>2050</v>
      </c>
      <c r="C2537" s="33" t="s">
        <v>52</v>
      </c>
      <c r="D2537" s="34" t="s">
        <v>2002</v>
      </c>
      <c r="E2537" s="35" t="str">
        <f t="shared" si="593"/>
        <v>PDP'!</v>
      </c>
      <c r="F2537" s="34" t="str">
        <f t="shared" si="594"/>
        <v>C:\Users\jaime.benazar\Quorum Business Solutions\Ecopetrol Prometeo - Documents\Planning Space Implementation\3. Analysis &amp; Design\Design\FC22\DRR Jaime\Neiva CPI\[DINA TERCIARIOS_CF_SEC_New_27-Mar-2024.xlsx]D-PDP'!</v>
      </c>
      <c r="G2537" s="32" t="s">
        <v>122</v>
      </c>
      <c r="H2537" s="33">
        <f t="shared" si="595"/>
        <v>39</v>
      </c>
      <c r="I2537" s="33" t="str">
        <f t="shared" si="596"/>
        <v>='C:\Users\jaime.benazar\Quorum Business Solutions\Ecopetrol Prometeo - Documents\Planning Space Implementation\3. Analysis &amp; Design\Design\FC22\DRR Jaime\Neiva CPI\[DINA TERCIARIOS_CF_SEC_New_27-Mar-2024.xlsx]D-PDP'!$EA$39</v>
      </c>
      <c r="J2537" s="37" t="s">
        <v>3140</v>
      </c>
    </row>
    <row r="2538" spans="1:10" x14ac:dyDescent="0.3">
      <c r="A2538" s="32" t="s">
        <v>14</v>
      </c>
      <c r="B2538" s="32">
        <f t="shared" si="597"/>
        <v>2051</v>
      </c>
      <c r="C2538" s="33" t="s">
        <v>52</v>
      </c>
      <c r="D2538" s="34" t="s">
        <v>2002</v>
      </c>
      <c r="E2538" s="35" t="str">
        <f t="shared" si="593"/>
        <v>PDP'!</v>
      </c>
      <c r="F2538" s="34" t="str">
        <f t="shared" si="594"/>
        <v>C:\Users\jaime.benazar\Quorum Business Solutions\Ecopetrol Prometeo - Documents\Planning Space Implementation\3. Analysis &amp; Design\Design\FC22\DRR Jaime\Neiva CPI\[DINA TERCIARIOS_CF_SEC_New_27-Mar-2024.xlsx]D-PDP'!</v>
      </c>
      <c r="G2538" s="32" t="s">
        <v>122</v>
      </c>
      <c r="H2538" s="33">
        <f t="shared" si="595"/>
        <v>40</v>
      </c>
      <c r="I2538" s="33" t="str">
        <f t="shared" si="596"/>
        <v>='C:\Users\jaime.benazar\Quorum Business Solutions\Ecopetrol Prometeo - Documents\Planning Space Implementation\3. Analysis &amp; Design\Design\FC22\DRR Jaime\Neiva CPI\[DINA TERCIARIOS_CF_SEC_New_27-Mar-2024.xlsx]D-PDP'!$EA$40</v>
      </c>
      <c r="J2538" s="37" t="s">
        <v>3141</v>
      </c>
    </row>
    <row r="2539" spans="1:10" x14ac:dyDescent="0.3">
      <c r="A2539" s="32" t="s">
        <v>14</v>
      </c>
      <c r="B2539" s="32">
        <f t="shared" si="597"/>
        <v>2052</v>
      </c>
      <c r="C2539" s="33" t="s">
        <v>52</v>
      </c>
      <c r="D2539" s="34" t="s">
        <v>2002</v>
      </c>
      <c r="E2539" s="35" t="str">
        <f t="shared" si="593"/>
        <v>PDP'!</v>
      </c>
      <c r="F2539" s="34" t="str">
        <f t="shared" si="594"/>
        <v>C:\Users\jaime.benazar\Quorum Business Solutions\Ecopetrol Prometeo - Documents\Planning Space Implementation\3. Analysis &amp; Design\Design\FC22\DRR Jaime\Neiva CPI\[DINA TERCIARIOS_CF_SEC_New_27-Mar-2024.xlsx]D-PDP'!</v>
      </c>
      <c r="G2539" s="32" t="s">
        <v>122</v>
      </c>
      <c r="H2539" s="33">
        <f t="shared" si="595"/>
        <v>41</v>
      </c>
      <c r="I2539" s="33" t="str">
        <f t="shared" si="596"/>
        <v>='C:\Users\jaime.benazar\Quorum Business Solutions\Ecopetrol Prometeo - Documents\Planning Space Implementation\3. Analysis &amp; Design\Design\FC22\DRR Jaime\Neiva CPI\[DINA TERCIARIOS_CF_SEC_New_27-Mar-2024.xlsx]D-PDP'!$EA$41</v>
      </c>
      <c r="J2539" s="37" t="s">
        <v>3142</v>
      </c>
    </row>
    <row r="2540" spans="1:10" x14ac:dyDescent="0.3">
      <c r="A2540" s="32" t="s">
        <v>14</v>
      </c>
      <c r="B2540" s="32">
        <f t="shared" si="597"/>
        <v>2053</v>
      </c>
      <c r="C2540" s="33" t="s">
        <v>52</v>
      </c>
      <c r="D2540" s="34" t="s">
        <v>2002</v>
      </c>
      <c r="E2540" s="35" t="str">
        <f t="shared" si="593"/>
        <v>PDP'!</v>
      </c>
      <c r="F2540" s="34" t="str">
        <f t="shared" si="594"/>
        <v>C:\Users\jaime.benazar\Quorum Business Solutions\Ecopetrol Prometeo - Documents\Planning Space Implementation\3. Analysis &amp; Design\Design\FC22\DRR Jaime\Neiva CPI\[DINA TERCIARIOS_CF_SEC_New_27-Mar-2024.xlsx]D-PDP'!</v>
      </c>
      <c r="G2540" s="32" t="s">
        <v>122</v>
      </c>
      <c r="H2540" s="33">
        <f t="shared" si="595"/>
        <v>42</v>
      </c>
      <c r="I2540" s="33" t="str">
        <f t="shared" si="596"/>
        <v>='C:\Users\jaime.benazar\Quorum Business Solutions\Ecopetrol Prometeo - Documents\Planning Space Implementation\3. Analysis &amp; Design\Design\FC22\DRR Jaime\Neiva CPI\[DINA TERCIARIOS_CF_SEC_New_27-Mar-2024.xlsx]D-PDP'!$EA$42</v>
      </c>
      <c r="J2540" s="37" t="s">
        <v>3143</v>
      </c>
    </row>
    <row r="2541" spans="1:10" x14ac:dyDescent="0.3">
      <c r="A2541" s="32" t="s">
        <v>14</v>
      </c>
      <c r="B2541" s="32">
        <f t="shared" si="597"/>
        <v>2054</v>
      </c>
      <c r="C2541" s="33" t="s">
        <v>52</v>
      </c>
      <c r="D2541" s="34" t="s">
        <v>2002</v>
      </c>
      <c r="E2541" s="35" t="str">
        <f t="shared" si="593"/>
        <v>PDP'!</v>
      </c>
      <c r="F2541" s="34" t="str">
        <f t="shared" si="594"/>
        <v>C:\Users\jaime.benazar\Quorum Business Solutions\Ecopetrol Prometeo - Documents\Planning Space Implementation\3. Analysis &amp; Design\Design\FC22\DRR Jaime\Neiva CPI\[DINA TERCIARIOS_CF_SEC_New_27-Mar-2024.xlsx]D-PDP'!</v>
      </c>
      <c r="G2541" s="32" t="s">
        <v>122</v>
      </c>
      <c r="H2541" s="33">
        <f t="shared" si="595"/>
        <v>43</v>
      </c>
      <c r="I2541" s="33" t="str">
        <f t="shared" si="596"/>
        <v>='C:\Users\jaime.benazar\Quorum Business Solutions\Ecopetrol Prometeo - Documents\Planning Space Implementation\3. Analysis &amp; Design\Design\FC22\DRR Jaime\Neiva CPI\[DINA TERCIARIOS_CF_SEC_New_27-Mar-2024.xlsx]D-PDP'!$EA$43</v>
      </c>
      <c r="J2541" s="37" t="s">
        <v>3144</v>
      </c>
    </row>
    <row r="2542" spans="1:10" x14ac:dyDescent="0.3">
      <c r="A2542" s="32" t="s">
        <v>14</v>
      </c>
      <c r="B2542" s="32">
        <f t="shared" si="597"/>
        <v>2055</v>
      </c>
      <c r="C2542" s="33" t="s">
        <v>52</v>
      </c>
      <c r="D2542" s="34" t="s">
        <v>2002</v>
      </c>
      <c r="E2542" s="35" t="str">
        <f t="shared" si="593"/>
        <v>PDP'!</v>
      </c>
      <c r="F2542" s="34" t="str">
        <f t="shared" si="594"/>
        <v>C:\Users\jaime.benazar\Quorum Business Solutions\Ecopetrol Prometeo - Documents\Planning Space Implementation\3. Analysis &amp; Design\Design\FC22\DRR Jaime\Neiva CPI\[DINA TERCIARIOS_CF_SEC_New_27-Mar-2024.xlsx]D-PDP'!</v>
      </c>
      <c r="G2542" s="32" t="s">
        <v>122</v>
      </c>
      <c r="H2542" s="33">
        <f t="shared" si="595"/>
        <v>44</v>
      </c>
      <c r="I2542" s="33" t="str">
        <f t="shared" si="596"/>
        <v>='C:\Users\jaime.benazar\Quorum Business Solutions\Ecopetrol Prometeo - Documents\Planning Space Implementation\3. Analysis &amp; Design\Design\FC22\DRR Jaime\Neiva CPI\[DINA TERCIARIOS_CF_SEC_New_27-Mar-2024.xlsx]D-PDP'!$EA$44</v>
      </c>
      <c r="J2542" s="37" t="s">
        <v>3145</v>
      </c>
    </row>
    <row r="2543" spans="1:10" x14ac:dyDescent="0.3">
      <c r="A2543" s="32" t="s">
        <v>14</v>
      </c>
      <c r="B2543" s="32">
        <f t="shared" si="597"/>
        <v>2056</v>
      </c>
      <c r="C2543" s="33" t="s">
        <v>52</v>
      </c>
      <c r="D2543" s="34" t="s">
        <v>2002</v>
      </c>
      <c r="E2543" s="35" t="str">
        <f t="shared" si="593"/>
        <v>PDP'!</v>
      </c>
      <c r="F2543" s="34" t="str">
        <f t="shared" si="594"/>
        <v>C:\Users\jaime.benazar\Quorum Business Solutions\Ecopetrol Prometeo - Documents\Planning Space Implementation\3. Analysis &amp; Design\Design\FC22\DRR Jaime\Neiva CPI\[DINA TERCIARIOS_CF_SEC_New_27-Mar-2024.xlsx]D-PDP'!</v>
      </c>
      <c r="G2543" s="32" t="s">
        <v>122</v>
      </c>
      <c r="H2543" s="33">
        <f t="shared" si="595"/>
        <v>45</v>
      </c>
      <c r="I2543" s="33" t="str">
        <f t="shared" si="596"/>
        <v>='C:\Users\jaime.benazar\Quorum Business Solutions\Ecopetrol Prometeo - Documents\Planning Space Implementation\3. Analysis &amp; Design\Design\FC22\DRR Jaime\Neiva CPI\[DINA TERCIARIOS_CF_SEC_New_27-Mar-2024.xlsx]D-PDP'!$EA$45</v>
      </c>
      <c r="J2543" s="37" t="s">
        <v>3146</v>
      </c>
    </row>
    <row r="2544" spans="1:10" x14ac:dyDescent="0.3">
      <c r="A2544" s="32" t="s">
        <v>14</v>
      </c>
      <c r="B2544" s="32">
        <f t="shared" si="597"/>
        <v>2057</v>
      </c>
      <c r="C2544" s="33" t="s">
        <v>52</v>
      </c>
      <c r="D2544" s="34" t="s">
        <v>2002</v>
      </c>
      <c r="E2544" s="35" t="str">
        <f t="shared" si="593"/>
        <v>PDP'!</v>
      </c>
      <c r="F2544" s="34" t="str">
        <f t="shared" si="594"/>
        <v>C:\Users\jaime.benazar\Quorum Business Solutions\Ecopetrol Prometeo - Documents\Planning Space Implementation\3. Analysis &amp; Design\Design\FC22\DRR Jaime\Neiva CPI\[DINA TERCIARIOS_CF_SEC_New_27-Mar-2024.xlsx]D-PDP'!</v>
      </c>
      <c r="G2544" s="32" t="s">
        <v>122</v>
      </c>
      <c r="H2544" s="33">
        <f t="shared" si="595"/>
        <v>46</v>
      </c>
      <c r="I2544" s="33" t="str">
        <f t="shared" si="596"/>
        <v>='C:\Users\jaime.benazar\Quorum Business Solutions\Ecopetrol Prometeo - Documents\Planning Space Implementation\3. Analysis &amp; Design\Design\FC22\DRR Jaime\Neiva CPI\[DINA TERCIARIOS_CF_SEC_New_27-Mar-2024.xlsx]D-PDP'!$EA$46</v>
      </c>
      <c r="J2544" s="37" t="s">
        <v>3147</v>
      </c>
    </row>
    <row r="2545" spans="1:10" x14ac:dyDescent="0.3">
      <c r="A2545" s="32" t="s">
        <v>14</v>
      </c>
      <c r="B2545" s="32">
        <f t="shared" si="597"/>
        <v>2058</v>
      </c>
      <c r="C2545" s="33" t="s">
        <v>52</v>
      </c>
      <c r="D2545" s="34" t="s">
        <v>2002</v>
      </c>
      <c r="E2545" s="35" t="str">
        <f t="shared" si="593"/>
        <v>PDP'!</v>
      </c>
      <c r="F2545" s="34" t="str">
        <f t="shared" si="594"/>
        <v>C:\Users\jaime.benazar\Quorum Business Solutions\Ecopetrol Prometeo - Documents\Planning Space Implementation\3. Analysis &amp; Design\Design\FC22\DRR Jaime\Neiva CPI\[DINA TERCIARIOS_CF_SEC_New_27-Mar-2024.xlsx]D-PDP'!</v>
      </c>
      <c r="G2545" s="32" t="s">
        <v>122</v>
      </c>
      <c r="H2545" s="33">
        <f t="shared" si="595"/>
        <v>47</v>
      </c>
      <c r="I2545" s="33" t="str">
        <f t="shared" si="596"/>
        <v>='C:\Users\jaime.benazar\Quorum Business Solutions\Ecopetrol Prometeo - Documents\Planning Space Implementation\3. Analysis &amp; Design\Design\FC22\DRR Jaime\Neiva CPI\[DINA TERCIARIOS_CF_SEC_New_27-Mar-2024.xlsx]D-PDP'!$EA$47</v>
      </c>
      <c r="J2545" s="37" t="s">
        <v>3148</v>
      </c>
    </row>
    <row r="2546" spans="1:10" x14ac:dyDescent="0.3">
      <c r="A2546" s="32" t="s">
        <v>14</v>
      </c>
      <c r="B2546" s="32">
        <f t="shared" si="597"/>
        <v>2059</v>
      </c>
      <c r="C2546" s="33" t="s">
        <v>52</v>
      </c>
      <c r="D2546" s="34" t="s">
        <v>2002</v>
      </c>
      <c r="E2546" s="35" t="str">
        <f t="shared" si="593"/>
        <v>PDP'!</v>
      </c>
      <c r="F2546" s="34" t="str">
        <f t="shared" si="594"/>
        <v>C:\Users\jaime.benazar\Quorum Business Solutions\Ecopetrol Prometeo - Documents\Planning Space Implementation\3. Analysis &amp; Design\Design\FC22\DRR Jaime\Neiva CPI\[DINA TERCIARIOS_CF_SEC_New_27-Mar-2024.xlsx]D-PDP'!</v>
      </c>
      <c r="G2546" s="32" t="s">
        <v>122</v>
      </c>
      <c r="H2546" s="33">
        <f t="shared" si="595"/>
        <v>48</v>
      </c>
      <c r="I2546" s="33" t="str">
        <f t="shared" si="596"/>
        <v>='C:\Users\jaime.benazar\Quorum Business Solutions\Ecopetrol Prometeo - Documents\Planning Space Implementation\3. Analysis &amp; Design\Design\FC22\DRR Jaime\Neiva CPI\[DINA TERCIARIOS_CF_SEC_New_27-Mar-2024.xlsx]D-PDP'!$EA$48</v>
      </c>
      <c r="J2546" s="37" t="s">
        <v>3149</v>
      </c>
    </row>
    <row r="2547" spans="1:10" x14ac:dyDescent="0.3">
      <c r="A2547" s="32" t="s">
        <v>26</v>
      </c>
      <c r="B2547" s="32"/>
      <c r="C2547" s="33" t="s">
        <v>52</v>
      </c>
      <c r="D2547" s="34"/>
      <c r="E2547" s="35"/>
      <c r="F2547" s="34"/>
      <c r="G2547" s="32"/>
      <c r="H2547" s="33"/>
      <c r="I2547" s="33"/>
      <c r="J2547" s="33"/>
    </row>
    <row r="2548" spans="1:10" x14ac:dyDescent="0.3">
      <c r="A2548" s="32" t="s">
        <v>15</v>
      </c>
      <c r="B2548" s="32">
        <v>2023</v>
      </c>
      <c r="C2548" s="33" t="s">
        <v>52</v>
      </c>
      <c r="D2548" s="34" t="s">
        <v>2002</v>
      </c>
      <c r="E2548" s="35" t="str">
        <f t="shared" ref="E2548:E2568" si="598">_xlfn.CONCAT(A2548,"'!")</f>
        <v>PNP'!</v>
      </c>
      <c r="F2548" s="34" t="str">
        <f t="shared" ref="F2548:F2568" si="599">_xlfn.CONCAT(D2548:E2548)</f>
        <v>C:\Users\jaime.benazar\Quorum Business Solutions\Ecopetrol Prometeo - Documents\Planning Space Implementation\3. Analysis &amp; Design\Design\FC22\DRR Jaime\Neiva CPI\[DINA TERCIARIOS_CF_SEC_New_27-Mar-2024.xlsx]D-PNP'!</v>
      </c>
      <c r="G2548" s="32" t="s">
        <v>122</v>
      </c>
      <c r="H2548" s="33">
        <v>12</v>
      </c>
      <c r="I2548" s="33" t="str">
        <f t="shared" ref="I2548:I2568" si="600">_xlfn.CONCAT("='",F2548:H2548)</f>
        <v>='C:\Users\jaime.benazar\Quorum Business Solutions\Ecopetrol Prometeo - Documents\Planning Space Implementation\3. Analysis &amp; Design\Design\FC22\DRR Jaime\Neiva CPI\[DINA TERCIARIOS_CF_SEC_New_27-Mar-2024.xlsx]D-PNP'!$EA$12</v>
      </c>
      <c r="J2548" s="37" t="s">
        <v>3150</v>
      </c>
    </row>
    <row r="2549" spans="1:10" x14ac:dyDescent="0.3">
      <c r="A2549" s="32" t="s">
        <v>15</v>
      </c>
      <c r="B2549" s="32">
        <f>+B2548+1</f>
        <v>2024</v>
      </c>
      <c r="C2549" s="33" t="s">
        <v>52</v>
      </c>
      <c r="D2549" s="34" t="s">
        <v>2002</v>
      </c>
      <c r="E2549" s="35" t="str">
        <f t="shared" si="598"/>
        <v>PNP'!</v>
      </c>
      <c r="F2549" s="34" t="str">
        <f t="shared" si="599"/>
        <v>C:\Users\jaime.benazar\Quorum Business Solutions\Ecopetrol Prometeo - Documents\Planning Space Implementation\3. Analysis &amp; Design\Design\FC22\DRR Jaime\Neiva CPI\[DINA TERCIARIOS_CF_SEC_New_27-Mar-2024.xlsx]D-PNP'!</v>
      </c>
      <c r="G2549" s="32" t="s">
        <v>122</v>
      </c>
      <c r="H2549" s="33">
        <f t="shared" ref="H2549:H2568" si="601">IF(A2549&lt;&gt;A2548,12,H2548+1)</f>
        <v>13</v>
      </c>
      <c r="I2549" s="33" t="str">
        <f t="shared" si="600"/>
        <v>='C:\Users\jaime.benazar\Quorum Business Solutions\Ecopetrol Prometeo - Documents\Planning Space Implementation\3. Analysis &amp; Design\Design\FC22\DRR Jaime\Neiva CPI\[DINA TERCIARIOS_CF_SEC_New_27-Mar-2024.xlsx]D-PNP'!$EA$13</v>
      </c>
      <c r="J2549" s="37" t="s">
        <v>3151</v>
      </c>
    </row>
    <row r="2550" spans="1:10" x14ac:dyDescent="0.3">
      <c r="A2550" s="32" t="s">
        <v>15</v>
      </c>
      <c r="B2550" s="32">
        <f t="shared" ref="B2550:B2561" si="602">+B2549+1</f>
        <v>2025</v>
      </c>
      <c r="C2550" s="33" t="s">
        <v>52</v>
      </c>
      <c r="D2550" s="34" t="s">
        <v>2002</v>
      </c>
      <c r="E2550" s="35" t="str">
        <f t="shared" si="598"/>
        <v>PNP'!</v>
      </c>
      <c r="F2550" s="34" t="str">
        <f t="shared" si="599"/>
        <v>C:\Users\jaime.benazar\Quorum Business Solutions\Ecopetrol Prometeo - Documents\Planning Space Implementation\3. Analysis &amp; Design\Design\FC22\DRR Jaime\Neiva CPI\[DINA TERCIARIOS_CF_SEC_New_27-Mar-2024.xlsx]D-PNP'!</v>
      </c>
      <c r="G2550" s="32" t="s">
        <v>122</v>
      </c>
      <c r="H2550" s="33">
        <f t="shared" si="601"/>
        <v>14</v>
      </c>
      <c r="I2550" s="33" t="str">
        <f t="shared" si="600"/>
        <v>='C:\Users\jaime.benazar\Quorum Business Solutions\Ecopetrol Prometeo - Documents\Planning Space Implementation\3. Analysis &amp; Design\Design\FC22\DRR Jaime\Neiva CPI\[DINA TERCIARIOS_CF_SEC_New_27-Mar-2024.xlsx]D-PNP'!$EA$14</v>
      </c>
      <c r="J2550" s="37" t="s">
        <v>3152</v>
      </c>
    </row>
    <row r="2551" spans="1:10" x14ac:dyDescent="0.3">
      <c r="A2551" s="32" t="s">
        <v>15</v>
      </c>
      <c r="B2551" s="32">
        <f t="shared" si="602"/>
        <v>2026</v>
      </c>
      <c r="C2551" s="33" t="s">
        <v>52</v>
      </c>
      <c r="D2551" s="34" t="s">
        <v>2002</v>
      </c>
      <c r="E2551" s="35" t="str">
        <f t="shared" si="598"/>
        <v>PNP'!</v>
      </c>
      <c r="F2551" s="34" t="str">
        <f t="shared" si="599"/>
        <v>C:\Users\jaime.benazar\Quorum Business Solutions\Ecopetrol Prometeo - Documents\Planning Space Implementation\3. Analysis &amp; Design\Design\FC22\DRR Jaime\Neiva CPI\[DINA TERCIARIOS_CF_SEC_New_27-Mar-2024.xlsx]D-PNP'!</v>
      </c>
      <c r="G2551" s="32" t="s">
        <v>122</v>
      </c>
      <c r="H2551" s="33">
        <f t="shared" si="601"/>
        <v>15</v>
      </c>
      <c r="I2551" s="33" t="str">
        <f t="shared" si="600"/>
        <v>='C:\Users\jaime.benazar\Quorum Business Solutions\Ecopetrol Prometeo - Documents\Planning Space Implementation\3. Analysis &amp; Design\Design\FC22\DRR Jaime\Neiva CPI\[DINA TERCIARIOS_CF_SEC_New_27-Mar-2024.xlsx]D-PNP'!$EA$15</v>
      </c>
      <c r="J2551" s="37" t="s">
        <v>3153</v>
      </c>
    </row>
    <row r="2552" spans="1:10" x14ac:dyDescent="0.3">
      <c r="A2552" s="32" t="s">
        <v>15</v>
      </c>
      <c r="B2552" s="32">
        <f t="shared" si="602"/>
        <v>2027</v>
      </c>
      <c r="C2552" s="33" t="s">
        <v>52</v>
      </c>
      <c r="D2552" s="34" t="s">
        <v>2002</v>
      </c>
      <c r="E2552" s="35" t="str">
        <f t="shared" si="598"/>
        <v>PNP'!</v>
      </c>
      <c r="F2552" s="34" t="str">
        <f t="shared" si="599"/>
        <v>C:\Users\jaime.benazar\Quorum Business Solutions\Ecopetrol Prometeo - Documents\Planning Space Implementation\3. Analysis &amp; Design\Design\FC22\DRR Jaime\Neiva CPI\[DINA TERCIARIOS_CF_SEC_New_27-Mar-2024.xlsx]D-PNP'!</v>
      </c>
      <c r="G2552" s="32" t="s">
        <v>122</v>
      </c>
      <c r="H2552" s="33">
        <f t="shared" si="601"/>
        <v>16</v>
      </c>
      <c r="I2552" s="33" t="str">
        <f t="shared" si="600"/>
        <v>='C:\Users\jaime.benazar\Quorum Business Solutions\Ecopetrol Prometeo - Documents\Planning Space Implementation\3. Analysis &amp; Design\Design\FC22\DRR Jaime\Neiva CPI\[DINA TERCIARIOS_CF_SEC_New_27-Mar-2024.xlsx]D-PNP'!$EA$16</v>
      </c>
      <c r="J2552" s="37" t="s">
        <v>3154</v>
      </c>
    </row>
    <row r="2553" spans="1:10" x14ac:dyDescent="0.3">
      <c r="A2553" s="32" t="s">
        <v>15</v>
      </c>
      <c r="B2553" s="32">
        <f t="shared" si="602"/>
        <v>2028</v>
      </c>
      <c r="C2553" s="33" t="s">
        <v>52</v>
      </c>
      <c r="D2553" s="34" t="s">
        <v>2002</v>
      </c>
      <c r="E2553" s="35" t="str">
        <f t="shared" si="598"/>
        <v>PNP'!</v>
      </c>
      <c r="F2553" s="34" t="str">
        <f t="shared" si="599"/>
        <v>C:\Users\jaime.benazar\Quorum Business Solutions\Ecopetrol Prometeo - Documents\Planning Space Implementation\3. Analysis &amp; Design\Design\FC22\DRR Jaime\Neiva CPI\[DINA TERCIARIOS_CF_SEC_New_27-Mar-2024.xlsx]D-PNP'!</v>
      </c>
      <c r="G2553" s="32" t="s">
        <v>122</v>
      </c>
      <c r="H2553" s="33">
        <f t="shared" si="601"/>
        <v>17</v>
      </c>
      <c r="I2553" s="33" t="str">
        <f t="shared" si="600"/>
        <v>='C:\Users\jaime.benazar\Quorum Business Solutions\Ecopetrol Prometeo - Documents\Planning Space Implementation\3. Analysis &amp; Design\Design\FC22\DRR Jaime\Neiva CPI\[DINA TERCIARIOS_CF_SEC_New_27-Mar-2024.xlsx]D-PNP'!$EA$17</v>
      </c>
      <c r="J2553" s="37" t="s">
        <v>3155</v>
      </c>
    </row>
    <row r="2554" spans="1:10" x14ac:dyDescent="0.3">
      <c r="A2554" s="32" t="s">
        <v>15</v>
      </c>
      <c r="B2554" s="32">
        <f t="shared" si="602"/>
        <v>2029</v>
      </c>
      <c r="C2554" s="33" t="s">
        <v>52</v>
      </c>
      <c r="D2554" s="34" t="s">
        <v>2002</v>
      </c>
      <c r="E2554" s="35" t="str">
        <f t="shared" si="598"/>
        <v>PNP'!</v>
      </c>
      <c r="F2554" s="34" t="str">
        <f t="shared" si="599"/>
        <v>C:\Users\jaime.benazar\Quorum Business Solutions\Ecopetrol Prometeo - Documents\Planning Space Implementation\3. Analysis &amp; Design\Design\FC22\DRR Jaime\Neiva CPI\[DINA TERCIARIOS_CF_SEC_New_27-Mar-2024.xlsx]D-PNP'!</v>
      </c>
      <c r="G2554" s="32" t="s">
        <v>122</v>
      </c>
      <c r="H2554" s="33">
        <f t="shared" si="601"/>
        <v>18</v>
      </c>
      <c r="I2554" s="33" t="str">
        <f t="shared" si="600"/>
        <v>='C:\Users\jaime.benazar\Quorum Business Solutions\Ecopetrol Prometeo - Documents\Planning Space Implementation\3. Analysis &amp; Design\Design\FC22\DRR Jaime\Neiva CPI\[DINA TERCIARIOS_CF_SEC_New_27-Mar-2024.xlsx]D-PNP'!$EA$18</v>
      </c>
      <c r="J2554" s="37" t="s">
        <v>3156</v>
      </c>
    </row>
    <row r="2555" spans="1:10" x14ac:dyDescent="0.3">
      <c r="A2555" s="32" t="s">
        <v>15</v>
      </c>
      <c r="B2555" s="32">
        <f t="shared" si="602"/>
        <v>2030</v>
      </c>
      <c r="C2555" s="33" t="s">
        <v>52</v>
      </c>
      <c r="D2555" s="34" t="s">
        <v>2002</v>
      </c>
      <c r="E2555" s="35" t="str">
        <f t="shared" si="598"/>
        <v>PNP'!</v>
      </c>
      <c r="F2555" s="34" t="str">
        <f t="shared" si="599"/>
        <v>C:\Users\jaime.benazar\Quorum Business Solutions\Ecopetrol Prometeo - Documents\Planning Space Implementation\3. Analysis &amp; Design\Design\FC22\DRR Jaime\Neiva CPI\[DINA TERCIARIOS_CF_SEC_New_27-Mar-2024.xlsx]D-PNP'!</v>
      </c>
      <c r="G2555" s="32" t="s">
        <v>122</v>
      </c>
      <c r="H2555" s="33">
        <f t="shared" si="601"/>
        <v>19</v>
      </c>
      <c r="I2555" s="33" t="str">
        <f t="shared" si="600"/>
        <v>='C:\Users\jaime.benazar\Quorum Business Solutions\Ecopetrol Prometeo - Documents\Planning Space Implementation\3. Analysis &amp; Design\Design\FC22\DRR Jaime\Neiva CPI\[DINA TERCIARIOS_CF_SEC_New_27-Mar-2024.xlsx]D-PNP'!$EA$19</v>
      </c>
      <c r="J2555" s="37" t="s">
        <v>3157</v>
      </c>
    </row>
    <row r="2556" spans="1:10" x14ac:dyDescent="0.3">
      <c r="A2556" s="32" t="s">
        <v>15</v>
      </c>
      <c r="B2556" s="32">
        <f t="shared" si="602"/>
        <v>2031</v>
      </c>
      <c r="C2556" s="33" t="s">
        <v>52</v>
      </c>
      <c r="D2556" s="34" t="s">
        <v>2002</v>
      </c>
      <c r="E2556" s="35" t="str">
        <f t="shared" si="598"/>
        <v>PNP'!</v>
      </c>
      <c r="F2556" s="34" t="str">
        <f t="shared" si="599"/>
        <v>C:\Users\jaime.benazar\Quorum Business Solutions\Ecopetrol Prometeo - Documents\Planning Space Implementation\3. Analysis &amp; Design\Design\FC22\DRR Jaime\Neiva CPI\[DINA TERCIARIOS_CF_SEC_New_27-Mar-2024.xlsx]D-PNP'!</v>
      </c>
      <c r="G2556" s="32" t="s">
        <v>122</v>
      </c>
      <c r="H2556" s="33">
        <f t="shared" si="601"/>
        <v>20</v>
      </c>
      <c r="I2556" s="33" t="str">
        <f t="shared" si="600"/>
        <v>='C:\Users\jaime.benazar\Quorum Business Solutions\Ecopetrol Prometeo - Documents\Planning Space Implementation\3. Analysis &amp; Design\Design\FC22\DRR Jaime\Neiva CPI\[DINA TERCIARIOS_CF_SEC_New_27-Mar-2024.xlsx]D-PNP'!$EA$20</v>
      </c>
      <c r="J2556" s="37" t="s">
        <v>3158</v>
      </c>
    </row>
    <row r="2557" spans="1:10" x14ac:dyDescent="0.3">
      <c r="A2557" s="32" t="s">
        <v>15</v>
      </c>
      <c r="B2557" s="32">
        <f t="shared" si="602"/>
        <v>2032</v>
      </c>
      <c r="C2557" s="33" t="s">
        <v>52</v>
      </c>
      <c r="D2557" s="34" t="s">
        <v>2002</v>
      </c>
      <c r="E2557" s="35" t="str">
        <f t="shared" si="598"/>
        <v>PNP'!</v>
      </c>
      <c r="F2557" s="34" t="str">
        <f t="shared" si="599"/>
        <v>C:\Users\jaime.benazar\Quorum Business Solutions\Ecopetrol Prometeo - Documents\Planning Space Implementation\3. Analysis &amp; Design\Design\FC22\DRR Jaime\Neiva CPI\[DINA TERCIARIOS_CF_SEC_New_27-Mar-2024.xlsx]D-PNP'!</v>
      </c>
      <c r="G2557" s="32" t="s">
        <v>122</v>
      </c>
      <c r="H2557" s="33">
        <f t="shared" si="601"/>
        <v>21</v>
      </c>
      <c r="I2557" s="33" t="str">
        <f t="shared" si="600"/>
        <v>='C:\Users\jaime.benazar\Quorum Business Solutions\Ecopetrol Prometeo - Documents\Planning Space Implementation\3. Analysis &amp; Design\Design\FC22\DRR Jaime\Neiva CPI\[DINA TERCIARIOS_CF_SEC_New_27-Mar-2024.xlsx]D-PNP'!$EA$21</v>
      </c>
      <c r="J2557" s="37" t="s">
        <v>3159</v>
      </c>
    </row>
    <row r="2558" spans="1:10" x14ac:dyDescent="0.3">
      <c r="A2558" s="32" t="s">
        <v>15</v>
      </c>
      <c r="B2558" s="32">
        <f t="shared" si="602"/>
        <v>2033</v>
      </c>
      <c r="C2558" s="33" t="s">
        <v>52</v>
      </c>
      <c r="D2558" s="34" t="s">
        <v>2002</v>
      </c>
      <c r="E2558" s="35" t="str">
        <f t="shared" si="598"/>
        <v>PNP'!</v>
      </c>
      <c r="F2558" s="34" t="str">
        <f t="shared" si="599"/>
        <v>C:\Users\jaime.benazar\Quorum Business Solutions\Ecopetrol Prometeo - Documents\Planning Space Implementation\3. Analysis &amp; Design\Design\FC22\DRR Jaime\Neiva CPI\[DINA TERCIARIOS_CF_SEC_New_27-Mar-2024.xlsx]D-PNP'!</v>
      </c>
      <c r="G2558" s="32" t="s">
        <v>122</v>
      </c>
      <c r="H2558" s="33">
        <f t="shared" si="601"/>
        <v>22</v>
      </c>
      <c r="I2558" s="33" t="str">
        <f t="shared" si="600"/>
        <v>='C:\Users\jaime.benazar\Quorum Business Solutions\Ecopetrol Prometeo - Documents\Planning Space Implementation\3. Analysis &amp; Design\Design\FC22\DRR Jaime\Neiva CPI\[DINA TERCIARIOS_CF_SEC_New_27-Mar-2024.xlsx]D-PNP'!$EA$22</v>
      </c>
      <c r="J2558" s="37" t="s">
        <v>3160</v>
      </c>
    </row>
    <row r="2559" spans="1:10" x14ac:dyDescent="0.3">
      <c r="A2559" s="32" t="s">
        <v>15</v>
      </c>
      <c r="B2559" s="32">
        <f t="shared" si="602"/>
        <v>2034</v>
      </c>
      <c r="C2559" s="33" t="s">
        <v>52</v>
      </c>
      <c r="D2559" s="34" t="s">
        <v>2002</v>
      </c>
      <c r="E2559" s="35" t="str">
        <f t="shared" si="598"/>
        <v>PNP'!</v>
      </c>
      <c r="F2559" s="34" t="str">
        <f t="shared" si="599"/>
        <v>C:\Users\jaime.benazar\Quorum Business Solutions\Ecopetrol Prometeo - Documents\Planning Space Implementation\3. Analysis &amp; Design\Design\FC22\DRR Jaime\Neiva CPI\[DINA TERCIARIOS_CF_SEC_New_27-Mar-2024.xlsx]D-PNP'!</v>
      </c>
      <c r="G2559" s="32" t="s">
        <v>122</v>
      </c>
      <c r="H2559" s="33">
        <f t="shared" si="601"/>
        <v>23</v>
      </c>
      <c r="I2559" s="33" t="str">
        <f t="shared" si="600"/>
        <v>='C:\Users\jaime.benazar\Quorum Business Solutions\Ecopetrol Prometeo - Documents\Planning Space Implementation\3. Analysis &amp; Design\Design\FC22\DRR Jaime\Neiva CPI\[DINA TERCIARIOS_CF_SEC_New_27-Mar-2024.xlsx]D-PNP'!$EA$23</v>
      </c>
      <c r="J2559" s="37" t="s">
        <v>3161</v>
      </c>
    </row>
    <row r="2560" spans="1:10" x14ac:dyDescent="0.3">
      <c r="A2560" s="32" t="s">
        <v>15</v>
      </c>
      <c r="B2560" s="32">
        <f t="shared" si="602"/>
        <v>2035</v>
      </c>
      <c r="C2560" s="33" t="s">
        <v>52</v>
      </c>
      <c r="D2560" s="34" t="s">
        <v>2002</v>
      </c>
      <c r="E2560" s="35" t="str">
        <f t="shared" si="598"/>
        <v>PNP'!</v>
      </c>
      <c r="F2560" s="34" t="str">
        <f t="shared" si="599"/>
        <v>C:\Users\jaime.benazar\Quorum Business Solutions\Ecopetrol Prometeo - Documents\Planning Space Implementation\3. Analysis &amp; Design\Design\FC22\DRR Jaime\Neiva CPI\[DINA TERCIARIOS_CF_SEC_New_27-Mar-2024.xlsx]D-PNP'!</v>
      </c>
      <c r="G2560" s="32" t="s">
        <v>122</v>
      </c>
      <c r="H2560" s="33">
        <f t="shared" si="601"/>
        <v>24</v>
      </c>
      <c r="I2560" s="33" t="str">
        <f t="shared" si="600"/>
        <v>='C:\Users\jaime.benazar\Quorum Business Solutions\Ecopetrol Prometeo - Documents\Planning Space Implementation\3. Analysis &amp; Design\Design\FC22\DRR Jaime\Neiva CPI\[DINA TERCIARIOS_CF_SEC_New_27-Mar-2024.xlsx]D-PNP'!$EA$24</v>
      </c>
      <c r="J2560" s="37" t="s">
        <v>3162</v>
      </c>
    </row>
    <row r="2561" spans="1:10" x14ac:dyDescent="0.3">
      <c r="A2561" s="32" t="s">
        <v>15</v>
      </c>
      <c r="B2561" s="32">
        <f t="shared" si="602"/>
        <v>2036</v>
      </c>
      <c r="C2561" s="33" t="s">
        <v>52</v>
      </c>
      <c r="D2561" s="34" t="s">
        <v>2002</v>
      </c>
      <c r="E2561" s="35" t="str">
        <f t="shared" si="598"/>
        <v>PNP'!</v>
      </c>
      <c r="F2561" s="34" t="str">
        <f t="shared" si="599"/>
        <v>C:\Users\jaime.benazar\Quorum Business Solutions\Ecopetrol Prometeo - Documents\Planning Space Implementation\3. Analysis &amp; Design\Design\FC22\DRR Jaime\Neiva CPI\[DINA TERCIARIOS_CF_SEC_New_27-Mar-2024.xlsx]D-PNP'!</v>
      </c>
      <c r="G2561" s="32" t="s">
        <v>122</v>
      </c>
      <c r="H2561" s="33">
        <f t="shared" si="601"/>
        <v>25</v>
      </c>
      <c r="I2561" s="33" t="str">
        <f t="shared" si="600"/>
        <v>='C:\Users\jaime.benazar\Quorum Business Solutions\Ecopetrol Prometeo - Documents\Planning Space Implementation\3. Analysis &amp; Design\Design\FC22\DRR Jaime\Neiva CPI\[DINA TERCIARIOS_CF_SEC_New_27-Mar-2024.xlsx]D-PNP'!$EA$25</v>
      </c>
      <c r="J2561" s="37" t="s">
        <v>3163</v>
      </c>
    </row>
    <row r="2562" spans="1:10" x14ac:dyDescent="0.3">
      <c r="A2562" s="32" t="s">
        <v>15</v>
      </c>
      <c r="B2562" s="32">
        <f>+B2561+1</f>
        <v>2037</v>
      </c>
      <c r="C2562" s="33" t="s">
        <v>52</v>
      </c>
      <c r="D2562" s="34" t="s">
        <v>2002</v>
      </c>
      <c r="E2562" s="35" t="str">
        <f t="shared" si="598"/>
        <v>PNP'!</v>
      </c>
      <c r="F2562" s="34" t="str">
        <f t="shared" si="599"/>
        <v>C:\Users\jaime.benazar\Quorum Business Solutions\Ecopetrol Prometeo - Documents\Planning Space Implementation\3. Analysis &amp; Design\Design\FC22\DRR Jaime\Neiva CPI\[DINA TERCIARIOS_CF_SEC_New_27-Mar-2024.xlsx]D-PNP'!</v>
      </c>
      <c r="G2562" s="32" t="s">
        <v>122</v>
      </c>
      <c r="H2562" s="33">
        <f t="shared" si="601"/>
        <v>26</v>
      </c>
      <c r="I2562" s="33" t="str">
        <f t="shared" si="600"/>
        <v>='C:\Users\jaime.benazar\Quorum Business Solutions\Ecopetrol Prometeo - Documents\Planning Space Implementation\3. Analysis &amp; Design\Design\FC22\DRR Jaime\Neiva CPI\[DINA TERCIARIOS_CF_SEC_New_27-Mar-2024.xlsx]D-PNP'!$EA$26</v>
      </c>
      <c r="J2562" s="37" t="s">
        <v>3164</v>
      </c>
    </row>
    <row r="2563" spans="1:10" x14ac:dyDescent="0.3">
      <c r="A2563" s="32" t="s">
        <v>15</v>
      </c>
      <c r="B2563" s="32">
        <f t="shared" ref="B2563:B2565" si="603">+B2562+1</f>
        <v>2038</v>
      </c>
      <c r="C2563" s="33" t="s">
        <v>52</v>
      </c>
      <c r="D2563" s="34" t="s">
        <v>2002</v>
      </c>
      <c r="E2563" s="35" t="str">
        <f t="shared" si="598"/>
        <v>PNP'!</v>
      </c>
      <c r="F2563" s="34" t="str">
        <f t="shared" si="599"/>
        <v>C:\Users\jaime.benazar\Quorum Business Solutions\Ecopetrol Prometeo - Documents\Planning Space Implementation\3. Analysis &amp; Design\Design\FC22\DRR Jaime\Neiva CPI\[DINA TERCIARIOS_CF_SEC_New_27-Mar-2024.xlsx]D-PNP'!</v>
      </c>
      <c r="G2563" s="32" t="s">
        <v>122</v>
      </c>
      <c r="H2563" s="33">
        <f t="shared" si="601"/>
        <v>27</v>
      </c>
      <c r="I2563" s="33" t="str">
        <f t="shared" si="600"/>
        <v>='C:\Users\jaime.benazar\Quorum Business Solutions\Ecopetrol Prometeo - Documents\Planning Space Implementation\3. Analysis &amp; Design\Design\FC22\DRR Jaime\Neiva CPI\[DINA TERCIARIOS_CF_SEC_New_27-Mar-2024.xlsx]D-PNP'!$EA$27</v>
      </c>
      <c r="J2563" s="37" t="s">
        <v>3165</v>
      </c>
    </row>
    <row r="2564" spans="1:10" x14ac:dyDescent="0.3">
      <c r="A2564" s="32" t="s">
        <v>15</v>
      </c>
      <c r="B2564" s="32">
        <f t="shared" si="603"/>
        <v>2039</v>
      </c>
      <c r="C2564" s="33" t="s">
        <v>52</v>
      </c>
      <c r="D2564" s="34" t="s">
        <v>2002</v>
      </c>
      <c r="E2564" s="35" t="str">
        <f t="shared" si="598"/>
        <v>PNP'!</v>
      </c>
      <c r="F2564" s="34" t="str">
        <f t="shared" si="599"/>
        <v>C:\Users\jaime.benazar\Quorum Business Solutions\Ecopetrol Prometeo - Documents\Planning Space Implementation\3. Analysis &amp; Design\Design\FC22\DRR Jaime\Neiva CPI\[DINA TERCIARIOS_CF_SEC_New_27-Mar-2024.xlsx]D-PNP'!</v>
      </c>
      <c r="G2564" s="32" t="s">
        <v>122</v>
      </c>
      <c r="H2564" s="33">
        <f t="shared" si="601"/>
        <v>28</v>
      </c>
      <c r="I2564" s="33" t="str">
        <f t="shared" si="600"/>
        <v>='C:\Users\jaime.benazar\Quorum Business Solutions\Ecopetrol Prometeo - Documents\Planning Space Implementation\3. Analysis &amp; Design\Design\FC22\DRR Jaime\Neiva CPI\[DINA TERCIARIOS_CF_SEC_New_27-Mar-2024.xlsx]D-PNP'!$EA$28</v>
      </c>
      <c r="J2564" s="37" t="s">
        <v>3166</v>
      </c>
    </row>
    <row r="2565" spans="1:10" x14ac:dyDescent="0.3">
      <c r="A2565" s="32" t="s">
        <v>15</v>
      </c>
      <c r="B2565" s="32">
        <f t="shared" si="603"/>
        <v>2040</v>
      </c>
      <c r="C2565" s="33" t="s">
        <v>52</v>
      </c>
      <c r="D2565" s="34" t="s">
        <v>2002</v>
      </c>
      <c r="E2565" s="35" t="str">
        <f t="shared" si="598"/>
        <v>PNP'!</v>
      </c>
      <c r="F2565" s="34" t="str">
        <f t="shared" si="599"/>
        <v>C:\Users\jaime.benazar\Quorum Business Solutions\Ecopetrol Prometeo - Documents\Planning Space Implementation\3. Analysis &amp; Design\Design\FC22\DRR Jaime\Neiva CPI\[DINA TERCIARIOS_CF_SEC_New_27-Mar-2024.xlsx]D-PNP'!</v>
      </c>
      <c r="G2565" s="32" t="s">
        <v>122</v>
      </c>
      <c r="H2565" s="33">
        <f t="shared" si="601"/>
        <v>29</v>
      </c>
      <c r="I2565" s="33" t="str">
        <f t="shared" si="600"/>
        <v>='C:\Users\jaime.benazar\Quorum Business Solutions\Ecopetrol Prometeo - Documents\Planning Space Implementation\3. Analysis &amp; Design\Design\FC22\DRR Jaime\Neiva CPI\[DINA TERCIARIOS_CF_SEC_New_27-Mar-2024.xlsx]D-PNP'!$EA$29</v>
      </c>
      <c r="J2565" s="37" t="s">
        <v>3167</v>
      </c>
    </row>
    <row r="2566" spans="1:10" x14ac:dyDescent="0.3">
      <c r="A2566" s="32" t="s">
        <v>15</v>
      </c>
      <c r="B2566" s="32">
        <f>+B2565+1</f>
        <v>2041</v>
      </c>
      <c r="C2566" s="33" t="s">
        <v>52</v>
      </c>
      <c r="D2566" s="34" t="s">
        <v>2002</v>
      </c>
      <c r="E2566" s="35" t="str">
        <f t="shared" si="598"/>
        <v>PNP'!</v>
      </c>
      <c r="F2566" s="34" t="str">
        <f t="shared" si="599"/>
        <v>C:\Users\jaime.benazar\Quorum Business Solutions\Ecopetrol Prometeo - Documents\Planning Space Implementation\3. Analysis &amp; Design\Design\FC22\DRR Jaime\Neiva CPI\[DINA TERCIARIOS_CF_SEC_New_27-Mar-2024.xlsx]D-PNP'!</v>
      </c>
      <c r="G2566" s="32" t="s">
        <v>122</v>
      </c>
      <c r="H2566" s="33">
        <f t="shared" si="601"/>
        <v>30</v>
      </c>
      <c r="I2566" s="33" t="str">
        <f t="shared" si="600"/>
        <v>='C:\Users\jaime.benazar\Quorum Business Solutions\Ecopetrol Prometeo - Documents\Planning Space Implementation\3. Analysis &amp; Design\Design\FC22\DRR Jaime\Neiva CPI\[DINA TERCIARIOS_CF_SEC_New_27-Mar-2024.xlsx]D-PNP'!$EA$30</v>
      </c>
      <c r="J2566" s="37" t="s">
        <v>3168</v>
      </c>
    </row>
    <row r="2567" spans="1:10" x14ac:dyDescent="0.3">
      <c r="A2567" s="32" t="s">
        <v>15</v>
      </c>
      <c r="B2567" s="32">
        <f t="shared" ref="B2567:B2568" si="604">+B2566+1</f>
        <v>2042</v>
      </c>
      <c r="C2567" s="33" t="s">
        <v>52</v>
      </c>
      <c r="D2567" s="34" t="s">
        <v>2002</v>
      </c>
      <c r="E2567" s="35" t="str">
        <f t="shared" si="598"/>
        <v>PNP'!</v>
      </c>
      <c r="F2567" s="34" t="str">
        <f t="shared" si="599"/>
        <v>C:\Users\jaime.benazar\Quorum Business Solutions\Ecopetrol Prometeo - Documents\Planning Space Implementation\3. Analysis &amp; Design\Design\FC22\DRR Jaime\Neiva CPI\[DINA TERCIARIOS_CF_SEC_New_27-Mar-2024.xlsx]D-PNP'!</v>
      </c>
      <c r="G2567" s="32" t="s">
        <v>122</v>
      </c>
      <c r="H2567" s="33">
        <f t="shared" si="601"/>
        <v>31</v>
      </c>
      <c r="I2567" s="33" t="str">
        <f t="shared" si="600"/>
        <v>='C:\Users\jaime.benazar\Quorum Business Solutions\Ecopetrol Prometeo - Documents\Planning Space Implementation\3. Analysis &amp; Design\Design\FC22\DRR Jaime\Neiva CPI\[DINA TERCIARIOS_CF_SEC_New_27-Mar-2024.xlsx]D-PNP'!$EA$31</v>
      </c>
      <c r="J2567" s="37" t="s">
        <v>3169</v>
      </c>
    </row>
    <row r="2568" spans="1:10" x14ac:dyDescent="0.3">
      <c r="A2568" s="32" t="s">
        <v>15</v>
      </c>
      <c r="B2568" s="32">
        <f t="shared" si="604"/>
        <v>2043</v>
      </c>
      <c r="C2568" s="33" t="s">
        <v>52</v>
      </c>
      <c r="D2568" s="34" t="s">
        <v>2002</v>
      </c>
      <c r="E2568" s="35" t="str">
        <f t="shared" si="598"/>
        <v>PNP'!</v>
      </c>
      <c r="F2568" s="34" t="str">
        <f t="shared" si="599"/>
        <v>C:\Users\jaime.benazar\Quorum Business Solutions\Ecopetrol Prometeo - Documents\Planning Space Implementation\3. Analysis &amp; Design\Design\FC22\DRR Jaime\Neiva CPI\[DINA TERCIARIOS_CF_SEC_New_27-Mar-2024.xlsx]D-PNP'!</v>
      </c>
      <c r="G2568" s="32" t="s">
        <v>122</v>
      </c>
      <c r="H2568" s="33">
        <f t="shared" si="601"/>
        <v>32</v>
      </c>
      <c r="I2568" s="33" t="str">
        <f t="shared" si="600"/>
        <v>='C:\Users\jaime.benazar\Quorum Business Solutions\Ecopetrol Prometeo - Documents\Planning Space Implementation\3. Analysis &amp; Design\Design\FC22\DRR Jaime\Neiva CPI\[DINA TERCIARIOS_CF_SEC_New_27-Mar-2024.xlsx]D-PNP'!$EA$32</v>
      </c>
      <c r="J2568" s="37" t="s">
        <v>3170</v>
      </c>
    </row>
    <row r="2569" spans="1:10" x14ac:dyDescent="0.3">
      <c r="A2569" s="32" t="s">
        <v>15</v>
      </c>
      <c r="B2569" s="32">
        <f>+B2568+1</f>
        <v>2044</v>
      </c>
      <c r="C2569" s="33" t="s">
        <v>52</v>
      </c>
      <c r="D2569" s="34" t="s">
        <v>2002</v>
      </c>
      <c r="E2569" s="35" t="str">
        <f t="shared" ref="E2569:E2584" si="605">_xlfn.CONCAT(A2569,"'!")</f>
        <v>PNP'!</v>
      </c>
      <c r="F2569" s="34" t="str">
        <f t="shared" ref="F2569:F2584" si="606">_xlfn.CONCAT(D2569:E2569)</f>
        <v>C:\Users\jaime.benazar\Quorum Business Solutions\Ecopetrol Prometeo - Documents\Planning Space Implementation\3. Analysis &amp; Design\Design\FC22\DRR Jaime\Neiva CPI\[DINA TERCIARIOS_CF_SEC_New_27-Mar-2024.xlsx]D-PNP'!</v>
      </c>
      <c r="G2569" s="32" t="s">
        <v>122</v>
      </c>
      <c r="H2569" s="33">
        <f t="shared" ref="H2569:H2584" si="607">IF(A2569&lt;&gt;A2568,12,H2568+1)</f>
        <v>33</v>
      </c>
      <c r="I2569" s="33" t="str">
        <f t="shared" ref="I2569:I2584" si="608">_xlfn.CONCAT("='",F2569:H2569)</f>
        <v>='C:\Users\jaime.benazar\Quorum Business Solutions\Ecopetrol Prometeo - Documents\Planning Space Implementation\3. Analysis &amp; Design\Design\FC22\DRR Jaime\Neiva CPI\[DINA TERCIARIOS_CF_SEC_New_27-Mar-2024.xlsx]D-PNP'!$EA$33</v>
      </c>
      <c r="J2569" s="37" t="s">
        <v>3171</v>
      </c>
    </row>
    <row r="2570" spans="1:10" x14ac:dyDescent="0.3">
      <c r="A2570" s="32" t="s">
        <v>15</v>
      </c>
      <c r="B2570" s="32">
        <f t="shared" ref="B2570:B2584" si="609">+B2569+1</f>
        <v>2045</v>
      </c>
      <c r="C2570" s="33" t="s">
        <v>52</v>
      </c>
      <c r="D2570" s="34" t="s">
        <v>2002</v>
      </c>
      <c r="E2570" s="35" t="str">
        <f t="shared" si="605"/>
        <v>PNP'!</v>
      </c>
      <c r="F2570" s="34" t="str">
        <f t="shared" si="606"/>
        <v>C:\Users\jaime.benazar\Quorum Business Solutions\Ecopetrol Prometeo - Documents\Planning Space Implementation\3. Analysis &amp; Design\Design\FC22\DRR Jaime\Neiva CPI\[DINA TERCIARIOS_CF_SEC_New_27-Mar-2024.xlsx]D-PNP'!</v>
      </c>
      <c r="G2570" s="32" t="s">
        <v>122</v>
      </c>
      <c r="H2570" s="33">
        <f t="shared" si="607"/>
        <v>34</v>
      </c>
      <c r="I2570" s="33" t="str">
        <f t="shared" si="608"/>
        <v>='C:\Users\jaime.benazar\Quorum Business Solutions\Ecopetrol Prometeo - Documents\Planning Space Implementation\3. Analysis &amp; Design\Design\FC22\DRR Jaime\Neiva CPI\[DINA TERCIARIOS_CF_SEC_New_27-Mar-2024.xlsx]D-PNP'!$EA$34</v>
      </c>
      <c r="J2570" s="37" t="s">
        <v>3172</v>
      </c>
    </row>
    <row r="2571" spans="1:10" x14ac:dyDescent="0.3">
      <c r="A2571" s="32" t="s">
        <v>15</v>
      </c>
      <c r="B2571" s="32">
        <f t="shared" si="609"/>
        <v>2046</v>
      </c>
      <c r="C2571" s="33" t="s">
        <v>52</v>
      </c>
      <c r="D2571" s="34" t="s">
        <v>2002</v>
      </c>
      <c r="E2571" s="35" t="str">
        <f t="shared" si="605"/>
        <v>PNP'!</v>
      </c>
      <c r="F2571" s="34" t="str">
        <f t="shared" si="606"/>
        <v>C:\Users\jaime.benazar\Quorum Business Solutions\Ecopetrol Prometeo - Documents\Planning Space Implementation\3. Analysis &amp; Design\Design\FC22\DRR Jaime\Neiva CPI\[DINA TERCIARIOS_CF_SEC_New_27-Mar-2024.xlsx]D-PNP'!</v>
      </c>
      <c r="G2571" s="32" t="s">
        <v>122</v>
      </c>
      <c r="H2571" s="33">
        <f t="shared" si="607"/>
        <v>35</v>
      </c>
      <c r="I2571" s="33" t="str">
        <f t="shared" si="608"/>
        <v>='C:\Users\jaime.benazar\Quorum Business Solutions\Ecopetrol Prometeo - Documents\Planning Space Implementation\3. Analysis &amp; Design\Design\FC22\DRR Jaime\Neiva CPI\[DINA TERCIARIOS_CF_SEC_New_27-Mar-2024.xlsx]D-PNP'!$EA$35</v>
      </c>
      <c r="J2571" s="37" t="s">
        <v>3173</v>
      </c>
    </row>
    <row r="2572" spans="1:10" x14ac:dyDescent="0.3">
      <c r="A2572" s="32" t="s">
        <v>15</v>
      </c>
      <c r="B2572" s="32">
        <f t="shared" si="609"/>
        <v>2047</v>
      </c>
      <c r="C2572" s="33" t="s">
        <v>52</v>
      </c>
      <c r="D2572" s="34" t="s">
        <v>2002</v>
      </c>
      <c r="E2572" s="35" t="str">
        <f t="shared" si="605"/>
        <v>PNP'!</v>
      </c>
      <c r="F2572" s="34" t="str">
        <f t="shared" si="606"/>
        <v>C:\Users\jaime.benazar\Quorum Business Solutions\Ecopetrol Prometeo - Documents\Planning Space Implementation\3. Analysis &amp; Design\Design\FC22\DRR Jaime\Neiva CPI\[DINA TERCIARIOS_CF_SEC_New_27-Mar-2024.xlsx]D-PNP'!</v>
      </c>
      <c r="G2572" s="32" t="s">
        <v>122</v>
      </c>
      <c r="H2572" s="33">
        <f t="shared" si="607"/>
        <v>36</v>
      </c>
      <c r="I2572" s="33" t="str">
        <f t="shared" si="608"/>
        <v>='C:\Users\jaime.benazar\Quorum Business Solutions\Ecopetrol Prometeo - Documents\Planning Space Implementation\3. Analysis &amp; Design\Design\FC22\DRR Jaime\Neiva CPI\[DINA TERCIARIOS_CF_SEC_New_27-Mar-2024.xlsx]D-PNP'!$EA$36</v>
      </c>
      <c r="J2572" s="37" t="s">
        <v>3174</v>
      </c>
    </row>
    <row r="2573" spans="1:10" x14ac:dyDescent="0.3">
      <c r="A2573" s="32" t="s">
        <v>15</v>
      </c>
      <c r="B2573" s="32">
        <f t="shared" si="609"/>
        <v>2048</v>
      </c>
      <c r="C2573" s="33" t="s">
        <v>52</v>
      </c>
      <c r="D2573" s="34" t="s">
        <v>2002</v>
      </c>
      <c r="E2573" s="35" t="str">
        <f t="shared" si="605"/>
        <v>PNP'!</v>
      </c>
      <c r="F2573" s="34" t="str">
        <f t="shared" si="606"/>
        <v>C:\Users\jaime.benazar\Quorum Business Solutions\Ecopetrol Prometeo - Documents\Planning Space Implementation\3. Analysis &amp; Design\Design\FC22\DRR Jaime\Neiva CPI\[DINA TERCIARIOS_CF_SEC_New_27-Mar-2024.xlsx]D-PNP'!</v>
      </c>
      <c r="G2573" s="32" t="s">
        <v>122</v>
      </c>
      <c r="H2573" s="33">
        <f t="shared" si="607"/>
        <v>37</v>
      </c>
      <c r="I2573" s="33" t="str">
        <f t="shared" si="608"/>
        <v>='C:\Users\jaime.benazar\Quorum Business Solutions\Ecopetrol Prometeo - Documents\Planning Space Implementation\3. Analysis &amp; Design\Design\FC22\DRR Jaime\Neiva CPI\[DINA TERCIARIOS_CF_SEC_New_27-Mar-2024.xlsx]D-PNP'!$EA$37</v>
      </c>
      <c r="J2573" s="37" t="s">
        <v>3175</v>
      </c>
    </row>
    <row r="2574" spans="1:10" x14ac:dyDescent="0.3">
      <c r="A2574" s="32" t="s">
        <v>15</v>
      </c>
      <c r="B2574" s="32">
        <f t="shared" si="609"/>
        <v>2049</v>
      </c>
      <c r="C2574" s="33" t="s">
        <v>52</v>
      </c>
      <c r="D2574" s="34" t="s">
        <v>2002</v>
      </c>
      <c r="E2574" s="35" t="str">
        <f t="shared" si="605"/>
        <v>PNP'!</v>
      </c>
      <c r="F2574" s="34" t="str">
        <f t="shared" si="606"/>
        <v>C:\Users\jaime.benazar\Quorum Business Solutions\Ecopetrol Prometeo - Documents\Planning Space Implementation\3. Analysis &amp; Design\Design\FC22\DRR Jaime\Neiva CPI\[DINA TERCIARIOS_CF_SEC_New_27-Mar-2024.xlsx]D-PNP'!</v>
      </c>
      <c r="G2574" s="32" t="s">
        <v>122</v>
      </c>
      <c r="H2574" s="33">
        <f t="shared" si="607"/>
        <v>38</v>
      </c>
      <c r="I2574" s="33" t="str">
        <f t="shared" si="608"/>
        <v>='C:\Users\jaime.benazar\Quorum Business Solutions\Ecopetrol Prometeo - Documents\Planning Space Implementation\3. Analysis &amp; Design\Design\FC22\DRR Jaime\Neiva CPI\[DINA TERCIARIOS_CF_SEC_New_27-Mar-2024.xlsx]D-PNP'!$EA$38</v>
      </c>
      <c r="J2574" s="37" t="s">
        <v>3176</v>
      </c>
    </row>
    <row r="2575" spans="1:10" x14ac:dyDescent="0.3">
      <c r="A2575" s="32" t="s">
        <v>15</v>
      </c>
      <c r="B2575" s="32">
        <f t="shared" si="609"/>
        <v>2050</v>
      </c>
      <c r="C2575" s="33" t="s">
        <v>52</v>
      </c>
      <c r="D2575" s="34" t="s">
        <v>2002</v>
      </c>
      <c r="E2575" s="35" t="str">
        <f t="shared" si="605"/>
        <v>PNP'!</v>
      </c>
      <c r="F2575" s="34" t="str">
        <f t="shared" si="606"/>
        <v>C:\Users\jaime.benazar\Quorum Business Solutions\Ecopetrol Prometeo - Documents\Planning Space Implementation\3. Analysis &amp; Design\Design\FC22\DRR Jaime\Neiva CPI\[DINA TERCIARIOS_CF_SEC_New_27-Mar-2024.xlsx]D-PNP'!</v>
      </c>
      <c r="G2575" s="32" t="s">
        <v>122</v>
      </c>
      <c r="H2575" s="33">
        <f t="shared" si="607"/>
        <v>39</v>
      </c>
      <c r="I2575" s="33" t="str">
        <f t="shared" si="608"/>
        <v>='C:\Users\jaime.benazar\Quorum Business Solutions\Ecopetrol Prometeo - Documents\Planning Space Implementation\3. Analysis &amp; Design\Design\FC22\DRR Jaime\Neiva CPI\[DINA TERCIARIOS_CF_SEC_New_27-Mar-2024.xlsx]D-PNP'!$EA$39</v>
      </c>
      <c r="J2575" s="37" t="s">
        <v>3177</v>
      </c>
    </row>
    <row r="2576" spans="1:10" x14ac:dyDescent="0.3">
      <c r="A2576" s="32" t="s">
        <v>15</v>
      </c>
      <c r="B2576" s="32">
        <f t="shared" si="609"/>
        <v>2051</v>
      </c>
      <c r="C2576" s="33" t="s">
        <v>52</v>
      </c>
      <c r="D2576" s="34" t="s">
        <v>2002</v>
      </c>
      <c r="E2576" s="35" t="str">
        <f t="shared" si="605"/>
        <v>PNP'!</v>
      </c>
      <c r="F2576" s="34" t="str">
        <f t="shared" si="606"/>
        <v>C:\Users\jaime.benazar\Quorum Business Solutions\Ecopetrol Prometeo - Documents\Planning Space Implementation\3. Analysis &amp; Design\Design\FC22\DRR Jaime\Neiva CPI\[DINA TERCIARIOS_CF_SEC_New_27-Mar-2024.xlsx]D-PNP'!</v>
      </c>
      <c r="G2576" s="32" t="s">
        <v>122</v>
      </c>
      <c r="H2576" s="33">
        <f t="shared" si="607"/>
        <v>40</v>
      </c>
      <c r="I2576" s="33" t="str">
        <f t="shared" si="608"/>
        <v>='C:\Users\jaime.benazar\Quorum Business Solutions\Ecopetrol Prometeo - Documents\Planning Space Implementation\3. Analysis &amp; Design\Design\FC22\DRR Jaime\Neiva CPI\[DINA TERCIARIOS_CF_SEC_New_27-Mar-2024.xlsx]D-PNP'!$EA$40</v>
      </c>
      <c r="J2576" s="37" t="s">
        <v>3178</v>
      </c>
    </row>
    <row r="2577" spans="1:10" x14ac:dyDescent="0.3">
      <c r="A2577" s="32" t="s">
        <v>15</v>
      </c>
      <c r="B2577" s="32">
        <f t="shared" si="609"/>
        <v>2052</v>
      </c>
      <c r="C2577" s="33" t="s">
        <v>52</v>
      </c>
      <c r="D2577" s="34" t="s">
        <v>2002</v>
      </c>
      <c r="E2577" s="35" t="str">
        <f t="shared" si="605"/>
        <v>PNP'!</v>
      </c>
      <c r="F2577" s="34" t="str">
        <f t="shared" si="606"/>
        <v>C:\Users\jaime.benazar\Quorum Business Solutions\Ecopetrol Prometeo - Documents\Planning Space Implementation\3. Analysis &amp; Design\Design\FC22\DRR Jaime\Neiva CPI\[DINA TERCIARIOS_CF_SEC_New_27-Mar-2024.xlsx]D-PNP'!</v>
      </c>
      <c r="G2577" s="32" t="s">
        <v>122</v>
      </c>
      <c r="H2577" s="33">
        <f t="shared" si="607"/>
        <v>41</v>
      </c>
      <c r="I2577" s="33" t="str">
        <f t="shared" si="608"/>
        <v>='C:\Users\jaime.benazar\Quorum Business Solutions\Ecopetrol Prometeo - Documents\Planning Space Implementation\3. Analysis &amp; Design\Design\FC22\DRR Jaime\Neiva CPI\[DINA TERCIARIOS_CF_SEC_New_27-Mar-2024.xlsx]D-PNP'!$EA$41</v>
      </c>
      <c r="J2577" s="37" t="s">
        <v>3179</v>
      </c>
    </row>
    <row r="2578" spans="1:10" x14ac:dyDescent="0.3">
      <c r="A2578" s="32" t="s">
        <v>15</v>
      </c>
      <c r="B2578" s="32">
        <f t="shared" si="609"/>
        <v>2053</v>
      </c>
      <c r="C2578" s="33" t="s">
        <v>52</v>
      </c>
      <c r="D2578" s="34" t="s">
        <v>2002</v>
      </c>
      <c r="E2578" s="35" t="str">
        <f t="shared" si="605"/>
        <v>PNP'!</v>
      </c>
      <c r="F2578" s="34" t="str">
        <f t="shared" si="606"/>
        <v>C:\Users\jaime.benazar\Quorum Business Solutions\Ecopetrol Prometeo - Documents\Planning Space Implementation\3. Analysis &amp; Design\Design\FC22\DRR Jaime\Neiva CPI\[DINA TERCIARIOS_CF_SEC_New_27-Mar-2024.xlsx]D-PNP'!</v>
      </c>
      <c r="G2578" s="32" t="s">
        <v>122</v>
      </c>
      <c r="H2578" s="33">
        <f t="shared" si="607"/>
        <v>42</v>
      </c>
      <c r="I2578" s="33" t="str">
        <f t="shared" si="608"/>
        <v>='C:\Users\jaime.benazar\Quorum Business Solutions\Ecopetrol Prometeo - Documents\Planning Space Implementation\3. Analysis &amp; Design\Design\FC22\DRR Jaime\Neiva CPI\[DINA TERCIARIOS_CF_SEC_New_27-Mar-2024.xlsx]D-PNP'!$EA$42</v>
      </c>
      <c r="J2578" s="37" t="s">
        <v>3180</v>
      </c>
    </row>
    <row r="2579" spans="1:10" x14ac:dyDescent="0.3">
      <c r="A2579" s="32" t="s">
        <v>15</v>
      </c>
      <c r="B2579" s="32">
        <f t="shared" si="609"/>
        <v>2054</v>
      </c>
      <c r="C2579" s="33" t="s">
        <v>52</v>
      </c>
      <c r="D2579" s="34" t="s">
        <v>2002</v>
      </c>
      <c r="E2579" s="35" t="str">
        <f t="shared" si="605"/>
        <v>PNP'!</v>
      </c>
      <c r="F2579" s="34" t="str">
        <f t="shared" si="606"/>
        <v>C:\Users\jaime.benazar\Quorum Business Solutions\Ecopetrol Prometeo - Documents\Planning Space Implementation\3. Analysis &amp; Design\Design\FC22\DRR Jaime\Neiva CPI\[DINA TERCIARIOS_CF_SEC_New_27-Mar-2024.xlsx]D-PNP'!</v>
      </c>
      <c r="G2579" s="32" t="s">
        <v>122</v>
      </c>
      <c r="H2579" s="33">
        <f t="shared" si="607"/>
        <v>43</v>
      </c>
      <c r="I2579" s="33" t="str">
        <f t="shared" si="608"/>
        <v>='C:\Users\jaime.benazar\Quorum Business Solutions\Ecopetrol Prometeo - Documents\Planning Space Implementation\3. Analysis &amp; Design\Design\FC22\DRR Jaime\Neiva CPI\[DINA TERCIARIOS_CF_SEC_New_27-Mar-2024.xlsx]D-PNP'!$EA$43</v>
      </c>
      <c r="J2579" s="37" t="s">
        <v>3181</v>
      </c>
    </row>
    <row r="2580" spans="1:10" x14ac:dyDescent="0.3">
      <c r="A2580" s="32" t="s">
        <v>15</v>
      </c>
      <c r="B2580" s="32">
        <f t="shared" si="609"/>
        <v>2055</v>
      </c>
      <c r="C2580" s="33" t="s">
        <v>52</v>
      </c>
      <c r="D2580" s="34" t="s">
        <v>2002</v>
      </c>
      <c r="E2580" s="35" t="str">
        <f t="shared" si="605"/>
        <v>PNP'!</v>
      </c>
      <c r="F2580" s="34" t="str">
        <f t="shared" si="606"/>
        <v>C:\Users\jaime.benazar\Quorum Business Solutions\Ecopetrol Prometeo - Documents\Planning Space Implementation\3. Analysis &amp; Design\Design\FC22\DRR Jaime\Neiva CPI\[DINA TERCIARIOS_CF_SEC_New_27-Mar-2024.xlsx]D-PNP'!</v>
      </c>
      <c r="G2580" s="32" t="s">
        <v>122</v>
      </c>
      <c r="H2580" s="33">
        <f t="shared" si="607"/>
        <v>44</v>
      </c>
      <c r="I2580" s="33" t="str">
        <f t="shared" si="608"/>
        <v>='C:\Users\jaime.benazar\Quorum Business Solutions\Ecopetrol Prometeo - Documents\Planning Space Implementation\3. Analysis &amp; Design\Design\FC22\DRR Jaime\Neiva CPI\[DINA TERCIARIOS_CF_SEC_New_27-Mar-2024.xlsx]D-PNP'!$EA$44</v>
      </c>
      <c r="J2580" s="37" t="s">
        <v>3182</v>
      </c>
    </row>
    <row r="2581" spans="1:10" x14ac:dyDescent="0.3">
      <c r="A2581" s="32" t="s">
        <v>15</v>
      </c>
      <c r="B2581" s="32">
        <f t="shared" si="609"/>
        <v>2056</v>
      </c>
      <c r="C2581" s="33" t="s">
        <v>52</v>
      </c>
      <c r="D2581" s="34" t="s">
        <v>2002</v>
      </c>
      <c r="E2581" s="35" t="str">
        <f t="shared" si="605"/>
        <v>PNP'!</v>
      </c>
      <c r="F2581" s="34" t="str">
        <f t="shared" si="606"/>
        <v>C:\Users\jaime.benazar\Quorum Business Solutions\Ecopetrol Prometeo - Documents\Planning Space Implementation\3. Analysis &amp; Design\Design\FC22\DRR Jaime\Neiva CPI\[DINA TERCIARIOS_CF_SEC_New_27-Mar-2024.xlsx]D-PNP'!</v>
      </c>
      <c r="G2581" s="32" t="s">
        <v>122</v>
      </c>
      <c r="H2581" s="33">
        <f t="shared" si="607"/>
        <v>45</v>
      </c>
      <c r="I2581" s="33" t="str">
        <f t="shared" si="608"/>
        <v>='C:\Users\jaime.benazar\Quorum Business Solutions\Ecopetrol Prometeo - Documents\Planning Space Implementation\3. Analysis &amp; Design\Design\FC22\DRR Jaime\Neiva CPI\[DINA TERCIARIOS_CF_SEC_New_27-Mar-2024.xlsx]D-PNP'!$EA$45</v>
      </c>
      <c r="J2581" s="37" t="s">
        <v>3183</v>
      </c>
    </row>
    <row r="2582" spans="1:10" x14ac:dyDescent="0.3">
      <c r="A2582" s="32" t="s">
        <v>15</v>
      </c>
      <c r="B2582" s="32">
        <f t="shared" si="609"/>
        <v>2057</v>
      </c>
      <c r="C2582" s="33" t="s">
        <v>52</v>
      </c>
      <c r="D2582" s="34" t="s">
        <v>2002</v>
      </c>
      <c r="E2582" s="35" t="str">
        <f t="shared" si="605"/>
        <v>PNP'!</v>
      </c>
      <c r="F2582" s="34" t="str">
        <f t="shared" si="606"/>
        <v>C:\Users\jaime.benazar\Quorum Business Solutions\Ecopetrol Prometeo - Documents\Planning Space Implementation\3. Analysis &amp; Design\Design\FC22\DRR Jaime\Neiva CPI\[DINA TERCIARIOS_CF_SEC_New_27-Mar-2024.xlsx]D-PNP'!</v>
      </c>
      <c r="G2582" s="32" t="s">
        <v>122</v>
      </c>
      <c r="H2582" s="33">
        <f t="shared" si="607"/>
        <v>46</v>
      </c>
      <c r="I2582" s="33" t="str">
        <f t="shared" si="608"/>
        <v>='C:\Users\jaime.benazar\Quorum Business Solutions\Ecopetrol Prometeo - Documents\Planning Space Implementation\3. Analysis &amp; Design\Design\FC22\DRR Jaime\Neiva CPI\[DINA TERCIARIOS_CF_SEC_New_27-Mar-2024.xlsx]D-PNP'!$EA$46</v>
      </c>
      <c r="J2582" s="37" t="s">
        <v>3184</v>
      </c>
    </row>
    <row r="2583" spans="1:10" x14ac:dyDescent="0.3">
      <c r="A2583" s="32" t="s">
        <v>15</v>
      </c>
      <c r="B2583" s="32">
        <f t="shared" si="609"/>
        <v>2058</v>
      </c>
      <c r="C2583" s="33" t="s">
        <v>52</v>
      </c>
      <c r="D2583" s="34" t="s">
        <v>2002</v>
      </c>
      <c r="E2583" s="35" t="str">
        <f t="shared" si="605"/>
        <v>PNP'!</v>
      </c>
      <c r="F2583" s="34" t="str">
        <f t="shared" si="606"/>
        <v>C:\Users\jaime.benazar\Quorum Business Solutions\Ecopetrol Prometeo - Documents\Planning Space Implementation\3. Analysis &amp; Design\Design\FC22\DRR Jaime\Neiva CPI\[DINA TERCIARIOS_CF_SEC_New_27-Mar-2024.xlsx]D-PNP'!</v>
      </c>
      <c r="G2583" s="32" t="s">
        <v>122</v>
      </c>
      <c r="H2583" s="33">
        <f t="shared" si="607"/>
        <v>47</v>
      </c>
      <c r="I2583" s="33" t="str">
        <f t="shared" si="608"/>
        <v>='C:\Users\jaime.benazar\Quorum Business Solutions\Ecopetrol Prometeo - Documents\Planning Space Implementation\3. Analysis &amp; Design\Design\FC22\DRR Jaime\Neiva CPI\[DINA TERCIARIOS_CF_SEC_New_27-Mar-2024.xlsx]D-PNP'!$EA$47</v>
      </c>
      <c r="J2583" s="37" t="s">
        <v>3185</v>
      </c>
    </row>
    <row r="2584" spans="1:10" x14ac:dyDescent="0.3">
      <c r="A2584" s="32" t="s">
        <v>15</v>
      </c>
      <c r="B2584" s="32">
        <f t="shared" si="609"/>
        <v>2059</v>
      </c>
      <c r="C2584" s="33" t="s">
        <v>52</v>
      </c>
      <c r="D2584" s="34" t="s">
        <v>2002</v>
      </c>
      <c r="E2584" s="35" t="str">
        <f t="shared" si="605"/>
        <v>PNP'!</v>
      </c>
      <c r="F2584" s="34" t="str">
        <f t="shared" si="606"/>
        <v>C:\Users\jaime.benazar\Quorum Business Solutions\Ecopetrol Prometeo - Documents\Planning Space Implementation\3. Analysis &amp; Design\Design\FC22\DRR Jaime\Neiva CPI\[DINA TERCIARIOS_CF_SEC_New_27-Mar-2024.xlsx]D-PNP'!</v>
      </c>
      <c r="G2584" s="32" t="s">
        <v>122</v>
      </c>
      <c r="H2584" s="33">
        <f t="shared" si="607"/>
        <v>48</v>
      </c>
      <c r="I2584" s="33" t="str">
        <f t="shared" si="608"/>
        <v>='C:\Users\jaime.benazar\Quorum Business Solutions\Ecopetrol Prometeo - Documents\Planning Space Implementation\3. Analysis &amp; Design\Design\FC22\DRR Jaime\Neiva CPI\[DINA TERCIARIOS_CF_SEC_New_27-Mar-2024.xlsx]D-PNP'!$EA$48</v>
      </c>
      <c r="J2584" s="37" t="s">
        <v>3186</v>
      </c>
    </row>
    <row r="2585" spans="1:10" x14ac:dyDescent="0.3">
      <c r="A2585" s="32" t="s">
        <v>26</v>
      </c>
      <c r="B2585" s="32"/>
      <c r="C2585" s="33" t="s">
        <v>52</v>
      </c>
      <c r="D2585" s="34"/>
      <c r="E2585" s="35"/>
      <c r="F2585" s="34"/>
      <c r="G2585" s="32"/>
      <c r="H2585" s="33"/>
      <c r="I2585" s="33"/>
      <c r="J2585" s="33"/>
    </row>
    <row r="2586" spans="1:10" x14ac:dyDescent="0.3">
      <c r="A2586" s="32" t="s">
        <v>16</v>
      </c>
      <c r="B2586" s="32">
        <v>2023</v>
      </c>
      <c r="C2586" s="33" t="s">
        <v>52</v>
      </c>
      <c r="D2586" s="34" t="s">
        <v>2002</v>
      </c>
      <c r="E2586" s="35" t="str">
        <f t="shared" ref="E2586:E2606" si="610">_xlfn.CONCAT(A2586,"'!")</f>
        <v>PND'!</v>
      </c>
      <c r="F2586" s="34" t="str">
        <f t="shared" ref="F2586:F2606" si="611">_xlfn.CONCAT(D2586:E2586)</f>
        <v>C:\Users\jaime.benazar\Quorum Business Solutions\Ecopetrol Prometeo - Documents\Planning Space Implementation\3. Analysis &amp; Design\Design\FC22\DRR Jaime\Neiva CPI\[DINA TERCIARIOS_CF_SEC_New_27-Mar-2024.xlsx]D-PND'!</v>
      </c>
      <c r="G2586" s="32" t="s">
        <v>122</v>
      </c>
      <c r="H2586" s="33">
        <v>12</v>
      </c>
      <c r="I2586" s="33" t="str">
        <f t="shared" ref="I2586:I2606" si="612">_xlfn.CONCAT("='",F2586:H2586)</f>
        <v>='C:\Users\jaime.benazar\Quorum Business Solutions\Ecopetrol Prometeo - Documents\Planning Space Implementation\3. Analysis &amp; Design\Design\FC22\DRR Jaime\Neiva CPI\[DINA TERCIARIOS_CF_SEC_New_27-Mar-2024.xlsx]D-PND'!$EA$12</v>
      </c>
      <c r="J2586" s="37" t="s">
        <v>3187</v>
      </c>
    </row>
    <row r="2587" spans="1:10" x14ac:dyDescent="0.3">
      <c r="A2587" s="32" t="s">
        <v>16</v>
      </c>
      <c r="B2587" s="32">
        <f>+B2586+1</f>
        <v>2024</v>
      </c>
      <c r="C2587" s="33" t="s">
        <v>52</v>
      </c>
      <c r="D2587" s="34" t="s">
        <v>2002</v>
      </c>
      <c r="E2587" s="35" t="str">
        <f t="shared" si="610"/>
        <v>PND'!</v>
      </c>
      <c r="F2587" s="34" t="str">
        <f t="shared" si="611"/>
        <v>C:\Users\jaime.benazar\Quorum Business Solutions\Ecopetrol Prometeo - Documents\Planning Space Implementation\3. Analysis &amp; Design\Design\FC22\DRR Jaime\Neiva CPI\[DINA TERCIARIOS_CF_SEC_New_27-Mar-2024.xlsx]D-PND'!</v>
      </c>
      <c r="G2587" s="32" t="s">
        <v>122</v>
      </c>
      <c r="H2587" s="33">
        <f t="shared" ref="H2587:H2606" si="613">IF(A2587&lt;&gt;A2586,12,H2586+1)</f>
        <v>13</v>
      </c>
      <c r="I2587" s="33" t="str">
        <f t="shared" si="612"/>
        <v>='C:\Users\jaime.benazar\Quorum Business Solutions\Ecopetrol Prometeo - Documents\Planning Space Implementation\3. Analysis &amp; Design\Design\FC22\DRR Jaime\Neiva CPI\[DINA TERCIARIOS_CF_SEC_New_27-Mar-2024.xlsx]D-PND'!$EA$13</v>
      </c>
      <c r="J2587" s="37" t="s">
        <v>3188</v>
      </c>
    </row>
    <row r="2588" spans="1:10" x14ac:dyDescent="0.3">
      <c r="A2588" s="32" t="s">
        <v>16</v>
      </c>
      <c r="B2588" s="32">
        <f t="shared" ref="B2588:B2599" si="614">+B2587+1</f>
        <v>2025</v>
      </c>
      <c r="C2588" s="33" t="s">
        <v>52</v>
      </c>
      <c r="D2588" s="34" t="s">
        <v>2002</v>
      </c>
      <c r="E2588" s="35" t="str">
        <f t="shared" si="610"/>
        <v>PND'!</v>
      </c>
      <c r="F2588" s="34" t="str">
        <f t="shared" si="611"/>
        <v>C:\Users\jaime.benazar\Quorum Business Solutions\Ecopetrol Prometeo - Documents\Planning Space Implementation\3. Analysis &amp; Design\Design\FC22\DRR Jaime\Neiva CPI\[DINA TERCIARIOS_CF_SEC_New_27-Mar-2024.xlsx]D-PND'!</v>
      </c>
      <c r="G2588" s="32" t="s">
        <v>122</v>
      </c>
      <c r="H2588" s="33">
        <f t="shared" si="613"/>
        <v>14</v>
      </c>
      <c r="I2588" s="33" t="str">
        <f t="shared" si="612"/>
        <v>='C:\Users\jaime.benazar\Quorum Business Solutions\Ecopetrol Prometeo - Documents\Planning Space Implementation\3. Analysis &amp; Design\Design\FC22\DRR Jaime\Neiva CPI\[DINA TERCIARIOS_CF_SEC_New_27-Mar-2024.xlsx]D-PND'!$EA$14</v>
      </c>
      <c r="J2588" s="37" t="s">
        <v>3189</v>
      </c>
    </row>
    <row r="2589" spans="1:10" x14ac:dyDescent="0.3">
      <c r="A2589" s="32" t="s">
        <v>16</v>
      </c>
      <c r="B2589" s="32">
        <f t="shared" si="614"/>
        <v>2026</v>
      </c>
      <c r="C2589" s="33" t="s">
        <v>52</v>
      </c>
      <c r="D2589" s="34" t="s">
        <v>2002</v>
      </c>
      <c r="E2589" s="35" t="str">
        <f t="shared" si="610"/>
        <v>PND'!</v>
      </c>
      <c r="F2589" s="34" t="str">
        <f t="shared" si="611"/>
        <v>C:\Users\jaime.benazar\Quorum Business Solutions\Ecopetrol Prometeo - Documents\Planning Space Implementation\3. Analysis &amp; Design\Design\FC22\DRR Jaime\Neiva CPI\[DINA TERCIARIOS_CF_SEC_New_27-Mar-2024.xlsx]D-PND'!</v>
      </c>
      <c r="G2589" s="32" t="s">
        <v>122</v>
      </c>
      <c r="H2589" s="33">
        <f t="shared" si="613"/>
        <v>15</v>
      </c>
      <c r="I2589" s="33" t="str">
        <f t="shared" si="612"/>
        <v>='C:\Users\jaime.benazar\Quorum Business Solutions\Ecopetrol Prometeo - Documents\Planning Space Implementation\3. Analysis &amp; Design\Design\FC22\DRR Jaime\Neiva CPI\[DINA TERCIARIOS_CF_SEC_New_27-Mar-2024.xlsx]D-PND'!$EA$15</v>
      </c>
      <c r="J2589" s="37" t="s">
        <v>3190</v>
      </c>
    </row>
    <row r="2590" spans="1:10" x14ac:dyDescent="0.3">
      <c r="A2590" s="32" t="s">
        <v>16</v>
      </c>
      <c r="B2590" s="32">
        <f t="shared" si="614"/>
        <v>2027</v>
      </c>
      <c r="C2590" s="33" t="s">
        <v>52</v>
      </c>
      <c r="D2590" s="34" t="s">
        <v>2002</v>
      </c>
      <c r="E2590" s="35" t="str">
        <f t="shared" si="610"/>
        <v>PND'!</v>
      </c>
      <c r="F2590" s="34" t="str">
        <f t="shared" si="611"/>
        <v>C:\Users\jaime.benazar\Quorum Business Solutions\Ecopetrol Prometeo - Documents\Planning Space Implementation\3. Analysis &amp; Design\Design\FC22\DRR Jaime\Neiva CPI\[DINA TERCIARIOS_CF_SEC_New_27-Mar-2024.xlsx]D-PND'!</v>
      </c>
      <c r="G2590" s="32" t="s">
        <v>122</v>
      </c>
      <c r="H2590" s="33">
        <f t="shared" si="613"/>
        <v>16</v>
      </c>
      <c r="I2590" s="33" t="str">
        <f t="shared" si="612"/>
        <v>='C:\Users\jaime.benazar\Quorum Business Solutions\Ecopetrol Prometeo - Documents\Planning Space Implementation\3. Analysis &amp; Design\Design\FC22\DRR Jaime\Neiva CPI\[DINA TERCIARIOS_CF_SEC_New_27-Mar-2024.xlsx]D-PND'!$EA$16</v>
      </c>
      <c r="J2590" s="37" t="s">
        <v>3191</v>
      </c>
    </row>
    <row r="2591" spans="1:10" x14ac:dyDescent="0.3">
      <c r="A2591" s="32" t="s">
        <v>16</v>
      </c>
      <c r="B2591" s="32">
        <f t="shared" si="614"/>
        <v>2028</v>
      </c>
      <c r="C2591" s="33" t="s">
        <v>52</v>
      </c>
      <c r="D2591" s="34" t="s">
        <v>2002</v>
      </c>
      <c r="E2591" s="35" t="str">
        <f t="shared" si="610"/>
        <v>PND'!</v>
      </c>
      <c r="F2591" s="34" t="str">
        <f t="shared" si="611"/>
        <v>C:\Users\jaime.benazar\Quorum Business Solutions\Ecopetrol Prometeo - Documents\Planning Space Implementation\3. Analysis &amp; Design\Design\FC22\DRR Jaime\Neiva CPI\[DINA TERCIARIOS_CF_SEC_New_27-Mar-2024.xlsx]D-PND'!</v>
      </c>
      <c r="G2591" s="32" t="s">
        <v>122</v>
      </c>
      <c r="H2591" s="33">
        <f t="shared" si="613"/>
        <v>17</v>
      </c>
      <c r="I2591" s="33" t="str">
        <f t="shared" si="612"/>
        <v>='C:\Users\jaime.benazar\Quorum Business Solutions\Ecopetrol Prometeo - Documents\Planning Space Implementation\3. Analysis &amp; Design\Design\FC22\DRR Jaime\Neiva CPI\[DINA TERCIARIOS_CF_SEC_New_27-Mar-2024.xlsx]D-PND'!$EA$17</v>
      </c>
      <c r="J2591" s="37" t="s">
        <v>3192</v>
      </c>
    </row>
    <row r="2592" spans="1:10" x14ac:dyDescent="0.3">
      <c r="A2592" s="32" t="s">
        <v>16</v>
      </c>
      <c r="B2592" s="32">
        <f t="shared" si="614"/>
        <v>2029</v>
      </c>
      <c r="C2592" s="33" t="s">
        <v>52</v>
      </c>
      <c r="D2592" s="34" t="s">
        <v>2002</v>
      </c>
      <c r="E2592" s="35" t="str">
        <f t="shared" si="610"/>
        <v>PND'!</v>
      </c>
      <c r="F2592" s="34" t="str">
        <f t="shared" si="611"/>
        <v>C:\Users\jaime.benazar\Quorum Business Solutions\Ecopetrol Prometeo - Documents\Planning Space Implementation\3. Analysis &amp; Design\Design\FC22\DRR Jaime\Neiva CPI\[DINA TERCIARIOS_CF_SEC_New_27-Mar-2024.xlsx]D-PND'!</v>
      </c>
      <c r="G2592" s="32" t="s">
        <v>122</v>
      </c>
      <c r="H2592" s="33">
        <f t="shared" si="613"/>
        <v>18</v>
      </c>
      <c r="I2592" s="33" t="str">
        <f t="shared" si="612"/>
        <v>='C:\Users\jaime.benazar\Quorum Business Solutions\Ecopetrol Prometeo - Documents\Planning Space Implementation\3. Analysis &amp; Design\Design\FC22\DRR Jaime\Neiva CPI\[DINA TERCIARIOS_CF_SEC_New_27-Mar-2024.xlsx]D-PND'!$EA$18</v>
      </c>
      <c r="J2592" s="37" t="s">
        <v>3193</v>
      </c>
    </row>
    <row r="2593" spans="1:10" x14ac:dyDescent="0.3">
      <c r="A2593" s="32" t="s">
        <v>16</v>
      </c>
      <c r="B2593" s="32">
        <f t="shared" si="614"/>
        <v>2030</v>
      </c>
      <c r="C2593" s="33" t="s">
        <v>52</v>
      </c>
      <c r="D2593" s="34" t="s">
        <v>2002</v>
      </c>
      <c r="E2593" s="35" t="str">
        <f t="shared" si="610"/>
        <v>PND'!</v>
      </c>
      <c r="F2593" s="34" t="str">
        <f t="shared" si="611"/>
        <v>C:\Users\jaime.benazar\Quorum Business Solutions\Ecopetrol Prometeo - Documents\Planning Space Implementation\3. Analysis &amp; Design\Design\FC22\DRR Jaime\Neiva CPI\[DINA TERCIARIOS_CF_SEC_New_27-Mar-2024.xlsx]D-PND'!</v>
      </c>
      <c r="G2593" s="32" t="s">
        <v>122</v>
      </c>
      <c r="H2593" s="33">
        <f t="shared" si="613"/>
        <v>19</v>
      </c>
      <c r="I2593" s="33" t="str">
        <f t="shared" si="612"/>
        <v>='C:\Users\jaime.benazar\Quorum Business Solutions\Ecopetrol Prometeo - Documents\Planning Space Implementation\3. Analysis &amp; Design\Design\FC22\DRR Jaime\Neiva CPI\[DINA TERCIARIOS_CF_SEC_New_27-Mar-2024.xlsx]D-PND'!$EA$19</v>
      </c>
      <c r="J2593" s="37" t="s">
        <v>3194</v>
      </c>
    </row>
    <row r="2594" spans="1:10" x14ac:dyDescent="0.3">
      <c r="A2594" s="32" t="s">
        <v>16</v>
      </c>
      <c r="B2594" s="32">
        <f t="shared" si="614"/>
        <v>2031</v>
      </c>
      <c r="C2594" s="33" t="s">
        <v>52</v>
      </c>
      <c r="D2594" s="34" t="s">
        <v>2002</v>
      </c>
      <c r="E2594" s="35" t="str">
        <f t="shared" si="610"/>
        <v>PND'!</v>
      </c>
      <c r="F2594" s="34" t="str">
        <f t="shared" si="611"/>
        <v>C:\Users\jaime.benazar\Quorum Business Solutions\Ecopetrol Prometeo - Documents\Planning Space Implementation\3. Analysis &amp; Design\Design\FC22\DRR Jaime\Neiva CPI\[DINA TERCIARIOS_CF_SEC_New_27-Mar-2024.xlsx]D-PND'!</v>
      </c>
      <c r="G2594" s="32" t="s">
        <v>122</v>
      </c>
      <c r="H2594" s="33">
        <f t="shared" si="613"/>
        <v>20</v>
      </c>
      <c r="I2594" s="33" t="str">
        <f t="shared" si="612"/>
        <v>='C:\Users\jaime.benazar\Quorum Business Solutions\Ecopetrol Prometeo - Documents\Planning Space Implementation\3. Analysis &amp; Design\Design\FC22\DRR Jaime\Neiva CPI\[DINA TERCIARIOS_CF_SEC_New_27-Mar-2024.xlsx]D-PND'!$EA$20</v>
      </c>
      <c r="J2594" s="37" t="s">
        <v>3195</v>
      </c>
    </row>
    <row r="2595" spans="1:10" x14ac:dyDescent="0.3">
      <c r="A2595" s="32" t="s">
        <v>16</v>
      </c>
      <c r="B2595" s="32">
        <f t="shared" si="614"/>
        <v>2032</v>
      </c>
      <c r="C2595" s="33" t="s">
        <v>52</v>
      </c>
      <c r="D2595" s="34" t="s">
        <v>2002</v>
      </c>
      <c r="E2595" s="35" t="str">
        <f t="shared" si="610"/>
        <v>PND'!</v>
      </c>
      <c r="F2595" s="34" t="str">
        <f t="shared" si="611"/>
        <v>C:\Users\jaime.benazar\Quorum Business Solutions\Ecopetrol Prometeo - Documents\Planning Space Implementation\3. Analysis &amp; Design\Design\FC22\DRR Jaime\Neiva CPI\[DINA TERCIARIOS_CF_SEC_New_27-Mar-2024.xlsx]D-PND'!</v>
      </c>
      <c r="G2595" s="32" t="s">
        <v>122</v>
      </c>
      <c r="H2595" s="33">
        <f t="shared" si="613"/>
        <v>21</v>
      </c>
      <c r="I2595" s="33" t="str">
        <f t="shared" si="612"/>
        <v>='C:\Users\jaime.benazar\Quorum Business Solutions\Ecopetrol Prometeo - Documents\Planning Space Implementation\3. Analysis &amp; Design\Design\FC22\DRR Jaime\Neiva CPI\[DINA TERCIARIOS_CF_SEC_New_27-Mar-2024.xlsx]D-PND'!$EA$21</v>
      </c>
      <c r="J2595" s="37" t="s">
        <v>3196</v>
      </c>
    </row>
    <row r="2596" spans="1:10" x14ac:dyDescent="0.3">
      <c r="A2596" s="32" t="s">
        <v>16</v>
      </c>
      <c r="B2596" s="32">
        <f t="shared" si="614"/>
        <v>2033</v>
      </c>
      <c r="C2596" s="33" t="s">
        <v>52</v>
      </c>
      <c r="D2596" s="34" t="s">
        <v>2002</v>
      </c>
      <c r="E2596" s="35" t="str">
        <f t="shared" si="610"/>
        <v>PND'!</v>
      </c>
      <c r="F2596" s="34" t="str">
        <f t="shared" si="611"/>
        <v>C:\Users\jaime.benazar\Quorum Business Solutions\Ecopetrol Prometeo - Documents\Planning Space Implementation\3. Analysis &amp; Design\Design\FC22\DRR Jaime\Neiva CPI\[DINA TERCIARIOS_CF_SEC_New_27-Mar-2024.xlsx]D-PND'!</v>
      </c>
      <c r="G2596" s="32" t="s">
        <v>122</v>
      </c>
      <c r="H2596" s="33">
        <f t="shared" si="613"/>
        <v>22</v>
      </c>
      <c r="I2596" s="33" t="str">
        <f t="shared" si="612"/>
        <v>='C:\Users\jaime.benazar\Quorum Business Solutions\Ecopetrol Prometeo - Documents\Planning Space Implementation\3. Analysis &amp; Design\Design\FC22\DRR Jaime\Neiva CPI\[DINA TERCIARIOS_CF_SEC_New_27-Mar-2024.xlsx]D-PND'!$EA$22</v>
      </c>
      <c r="J2596" s="37" t="s">
        <v>3197</v>
      </c>
    </row>
    <row r="2597" spans="1:10" x14ac:dyDescent="0.3">
      <c r="A2597" s="32" t="s">
        <v>16</v>
      </c>
      <c r="B2597" s="32">
        <f t="shared" si="614"/>
        <v>2034</v>
      </c>
      <c r="C2597" s="33" t="s">
        <v>52</v>
      </c>
      <c r="D2597" s="34" t="s">
        <v>2002</v>
      </c>
      <c r="E2597" s="35" t="str">
        <f t="shared" si="610"/>
        <v>PND'!</v>
      </c>
      <c r="F2597" s="34" t="str">
        <f t="shared" si="611"/>
        <v>C:\Users\jaime.benazar\Quorum Business Solutions\Ecopetrol Prometeo - Documents\Planning Space Implementation\3. Analysis &amp; Design\Design\FC22\DRR Jaime\Neiva CPI\[DINA TERCIARIOS_CF_SEC_New_27-Mar-2024.xlsx]D-PND'!</v>
      </c>
      <c r="G2597" s="32" t="s">
        <v>122</v>
      </c>
      <c r="H2597" s="33">
        <f t="shared" si="613"/>
        <v>23</v>
      </c>
      <c r="I2597" s="33" t="str">
        <f t="shared" si="612"/>
        <v>='C:\Users\jaime.benazar\Quorum Business Solutions\Ecopetrol Prometeo - Documents\Planning Space Implementation\3. Analysis &amp; Design\Design\FC22\DRR Jaime\Neiva CPI\[DINA TERCIARIOS_CF_SEC_New_27-Mar-2024.xlsx]D-PND'!$EA$23</v>
      </c>
      <c r="J2597" s="37" t="s">
        <v>3198</v>
      </c>
    </row>
    <row r="2598" spans="1:10" x14ac:dyDescent="0.3">
      <c r="A2598" s="32" t="s">
        <v>16</v>
      </c>
      <c r="B2598" s="32">
        <f t="shared" si="614"/>
        <v>2035</v>
      </c>
      <c r="C2598" s="33" t="s">
        <v>52</v>
      </c>
      <c r="D2598" s="34" t="s">
        <v>2002</v>
      </c>
      <c r="E2598" s="35" t="str">
        <f t="shared" si="610"/>
        <v>PND'!</v>
      </c>
      <c r="F2598" s="34" t="str">
        <f t="shared" si="611"/>
        <v>C:\Users\jaime.benazar\Quorum Business Solutions\Ecopetrol Prometeo - Documents\Planning Space Implementation\3. Analysis &amp; Design\Design\FC22\DRR Jaime\Neiva CPI\[DINA TERCIARIOS_CF_SEC_New_27-Mar-2024.xlsx]D-PND'!</v>
      </c>
      <c r="G2598" s="32" t="s">
        <v>122</v>
      </c>
      <c r="H2598" s="33">
        <f t="shared" si="613"/>
        <v>24</v>
      </c>
      <c r="I2598" s="33" t="str">
        <f t="shared" si="612"/>
        <v>='C:\Users\jaime.benazar\Quorum Business Solutions\Ecopetrol Prometeo - Documents\Planning Space Implementation\3. Analysis &amp; Design\Design\FC22\DRR Jaime\Neiva CPI\[DINA TERCIARIOS_CF_SEC_New_27-Mar-2024.xlsx]D-PND'!$EA$24</v>
      </c>
      <c r="J2598" s="37" t="s">
        <v>3199</v>
      </c>
    </row>
    <row r="2599" spans="1:10" x14ac:dyDescent="0.3">
      <c r="A2599" s="32" t="s">
        <v>16</v>
      </c>
      <c r="B2599" s="32">
        <f t="shared" si="614"/>
        <v>2036</v>
      </c>
      <c r="C2599" s="33" t="s">
        <v>52</v>
      </c>
      <c r="D2599" s="34" t="s">
        <v>2002</v>
      </c>
      <c r="E2599" s="35" t="str">
        <f t="shared" si="610"/>
        <v>PND'!</v>
      </c>
      <c r="F2599" s="34" t="str">
        <f t="shared" si="611"/>
        <v>C:\Users\jaime.benazar\Quorum Business Solutions\Ecopetrol Prometeo - Documents\Planning Space Implementation\3. Analysis &amp; Design\Design\FC22\DRR Jaime\Neiva CPI\[DINA TERCIARIOS_CF_SEC_New_27-Mar-2024.xlsx]D-PND'!</v>
      </c>
      <c r="G2599" s="32" t="s">
        <v>122</v>
      </c>
      <c r="H2599" s="33">
        <f t="shared" si="613"/>
        <v>25</v>
      </c>
      <c r="I2599" s="33" t="str">
        <f t="shared" si="612"/>
        <v>='C:\Users\jaime.benazar\Quorum Business Solutions\Ecopetrol Prometeo - Documents\Planning Space Implementation\3. Analysis &amp; Design\Design\FC22\DRR Jaime\Neiva CPI\[DINA TERCIARIOS_CF_SEC_New_27-Mar-2024.xlsx]D-PND'!$EA$25</v>
      </c>
      <c r="J2599" s="37" t="s">
        <v>3200</v>
      </c>
    </row>
    <row r="2600" spans="1:10" x14ac:dyDescent="0.3">
      <c r="A2600" s="32" t="s">
        <v>16</v>
      </c>
      <c r="B2600" s="32">
        <f>+B2599+1</f>
        <v>2037</v>
      </c>
      <c r="C2600" s="33" t="s">
        <v>52</v>
      </c>
      <c r="D2600" s="34" t="s">
        <v>2002</v>
      </c>
      <c r="E2600" s="35" t="str">
        <f t="shared" si="610"/>
        <v>PND'!</v>
      </c>
      <c r="F2600" s="34" t="str">
        <f t="shared" si="611"/>
        <v>C:\Users\jaime.benazar\Quorum Business Solutions\Ecopetrol Prometeo - Documents\Planning Space Implementation\3. Analysis &amp; Design\Design\FC22\DRR Jaime\Neiva CPI\[DINA TERCIARIOS_CF_SEC_New_27-Mar-2024.xlsx]D-PND'!</v>
      </c>
      <c r="G2600" s="32" t="s">
        <v>122</v>
      </c>
      <c r="H2600" s="33">
        <f t="shared" si="613"/>
        <v>26</v>
      </c>
      <c r="I2600" s="33" t="str">
        <f t="shared" si="612"/>
        <v>='C:\Users\jaime.benazar\Quorum Business Solutions\Ecopetrol Prometeo - Documents\Planning Space Implementation\3. Analysis &amp; Design\Design\FC22\DRR Jaime\Neiva CPI\[DINA TERCIARIOS_CF_SEC_New_27-Mar-2024.xlsx]D-PND'!$EA$26</v>
      </c>
      <c r="J2600" s="37" t="s">
        <v>3201</v>
      </c>
    </row>
    <row r="2601" spans="1:10" x14ac:dyDescent="0.3">
      <c r="A2601" s="32" t="s">
        <v>16</v>
      </c>
      <c r="B2601" s="32">
        <f t="shared" ref="B2601:B2603" si="615">+B2600+1</f>
        <v>2038</v>
      </c>
      <c r="C2601" s="33" t="s">
        <v>52</v>
      </c>
      <c r="D2601" s="34" t="s">
        <v>2002</v>
      </c>
      <c r="E2601" s="35" t="str">
        <f t="shared" si="610"/>
        <v>PND'!</v>
      </c>
      <c r="F2601" s="34" t="str">
        <f t="shared" si="611"/>
        <v>C:\Users\jaime.benazar\Quorum Business Solutions\Ecopetrol Prometeo - Documents\Planning Space Implementation\3. Analysis &amp; Design\Design\FC22\DRR Jaime\Neiva CPI\[DINA TERCIARIOS_CF_SEC_New_27-Mar-2024.xlsx]D-PND'!</v>
      </c>
      <c r="G2601" s="32" t="s">
        <v>122</v>
      </c>
      <c r="H2601" s="33">
        <f t="shared" si="613"/>
        <v>27</v>
      </c>
      <c r="I2601" s="33" t="str">
        <f t="shared" si="612"/>
        <v>='C:\Users\jaime.benazar\Quorum Business Solutions\Ecopetrol Prometeo - Documents\Planning Space Implementation\3. Analysis &amp; Design\Design\FC22\DRR Jaime\Neiva CPI\[DINA TERCIARIOS_CF_SEC_New_27-Mar-2024.xlsx]D-PND'!$EA$27</v>
      </c>
      <c r="J2601" s="37" t="s">
        <v>3202</v>
      </c>
    </row>
    <row r="2602" spans="1:10" x14ac:dyDescent="0.3">
      <c r="A2602" s="32" t="s">
        <v>16</v>
      </c>
      <c r="B2602" s="32">
        <f t="shared" si="615"/>
        <v>2039</v>
      </c>
      <c r="C2602" s="33" t="s">
        <v>52</v>
      </c>
      <c r="D2602" s="34" t="s">
        <v>2002</v>
      </c>
      <c r="E2602" s="35" t="str">
        <f t="shared" si="610"/>
        <v>PND'!</v>
      </c>
      <c r="F2602" s="34" t="str">
        <f t="shared" si="611"/>
        <v>C:\Users\jaime.benazar\Quorum Business Solutions\Ecopetrol Prometeo - Documents\Planning Space Implementation\3. Analysis &amp; Design\Design\FC22\DRR Jaime\Neiva CPI\[DINA TERCIARIOS_CF_SEC_New_27-Mar-2024.xlsx]D-PND'!</v>
      </c>
      <c r="G2602" s="32" t="s">
        <v>122</v>
      </c>
      <c r="H2602" s="33">
        <f t="shared" si="613"/>
        <v>28</v>
      </c>
      <c r="I2602" s="33" t="str">
        <f t="shared" si="612"/>
        <v>='C:\Users\jaime.benazar\Quorum Business Solutions\Ecopetrol Prometeo - Documents\Planning Space Implementation\3. Analysis &amp; Design\Design\FC22\DRR Jaime\Neiva CPI\[DINA TERCIARIOS_CF_SEC_New_27-Mar-2024.xlsx]D-PND'!$EA$28</v>
      </c>
      <c r="J2602" s="37" t="s">
        <v>3203</v>
      </c>
    </row>
    <row r="2603" spans="1:10" x14ac:dyDescent="0.3">
      <c r="A2603" s="32" t="s">
        <v>16</v>
      </c>
      <c r="B2603" s="32">
        <f t="shared" si="615"/>
        <v>2040</v>
      </c>
      <c r="C2603" s="33" t="s">
        <v>52</v>
      </c>
      <c r="D2603" s="34" t="s">
        <v>2002</v>
      </c>
      <c r="E2603" s="35" t="str">
        <f t="shared" si="610"/>
        <v>PND'!</v>
      </c>
      <c r="F2603" s="34" t="str">
        <f t="shared" si="611"/>
        <v>C:\Users\jaime.benazar\Quorum Business Solutions\Ecopetrol Prometeo - Documents\Planning Space Implementation\3. Analysis &amp; Design\Design\FC22\DRR Jaime\Neiva CPI\[DINA TERCIARIOS_CF_SEC_New_27-Mar-2024.xlsx]D-PND'!</v>
      </c>
      <c r="G2603" s="32" t="s">
        <v>122</v>
      </c>
      <c r="H2603" s="33">
        <f t="shared" si="613"/>
        <v>29</v>
      </c>
      <c r="I2603" s="33" t="str">
        <f t="shared" si="612"/>
        <v>='C:\Users\jaime.benazar\Quorum Business Solutions\Ecopetrol Prometeo - Documents\Planning Space Implementation\3. Analysis &amp; Design\Design\FC22\DRR Jaime\Neiva CPI\[DINA TERCIARIOS_CF_SEC_New_27-Mar-2024.xlsx]D-PND'!$EA$29</v>
      </c>
      <c r="J2603" s="37" t="s">
        <v>3204</v>
      </c>
    </row>
    <row r="2604" spans="1:10" x14ac:dyDescent="0.3">
      <c r="A2604" s="32" t="s">
        <v>16</v>
      </c>
      <c r="B2604" s="32">
        <f>+B2603+1</f>
        <v>2041</v>
      </c>
      <c r="C2604" s="33" t="s">
        <v>52</v>
      </c>
      <c r="D2604" s="34" t="s">
        <v>2002</v>
      </c>
      <c r="E2604" s="35" t="str">
        <f t="shared" si="610"/>
        <v>PND'!</v>
      </c>
      <c r="F2604" s="34" t="str">
        <f t="shared" si="611"/>
        <v>C:\Users\jaime.benazar\Quorum Business Solutions\Ecopetrol Prometeo - Documents\Planning Space Implementation\3. Analysis &amp; Design\Design\FC22\DRR Jaime\Neiva CPI\[DINA TERCIARIOS_CF_SEC_New_27-Mar-2024.xlsx]D-PND'!</v>
      </c>
      <c r="G2604" s="32" t="s">
        <v>122</v>
      </c>
      <c r="H2604" s="33">
        <f t="shared" si="613"/>
        <v>30</v>
      </c>
      <c r="I2604" s="33" t="str">
        <f t="shared" si="612"/>
        <v>='C:\Users\jaime.benazar\Quorum Business Solutions\Ecopetrol Prometeo - Documents\Planning Space Implementation\3. Analysis &amp; Design\Design\FC22\DRR Jaime\Neiva CPI\[DINA TERCIARIOS_CF_SEC_New_27-Mar-2024.xlsx]D-PND'!$EA$30</v>
      </c>
      <c r="J2604" s="37" t="s">
        <v>3205</v>
      </c>
    </row>
    <row r="2605" spans="1:10" x14ac:dyDescent="0.3">
      <c r="A2605" s="32" t="s">
        <v>16</v>
      </c>
      <c r="B2605" s="32">
        <f t="shared" ref="B2605:B2606" si="616">+B2604+1</f>
        <v>2042</v>
      </c>
      <c r="C2605" s="33" t="s">
        <v>52</v>
      </c>
      <c r="D2605" s="34" t="s">
        <v>2002</v>
      </c>
      <c r="E2605" s="35" t="str">
        <f t="shared" si="610"/>
        <v>PND'!</v>
      </c>
      <c r="F2605" s="34" t="str">
        <f t="shared" si="611"/>
        <v>C:\Users\jaime.benazar\Quorum Business Solutions\Ecopetrol Prometeo - Documents\Planning Space Implementation\3. Analysis &amp; Design\Design\FC22\DRR Jaime\Neiva CPI\[DINA TERCIARIOS_CF_SEC_New_27-Mar-2024.xlsx]D-PND'!</v>
      </c>
      <c r="G2605" s="32" t="s">
        <v>122</v>
      </c>
      <c r="H2605" s="33">
        <f t="shared" si="613"/>
        <v>31</v>
      </c>
      <c r="I2605" s="33" t="str">
        <f t="shared" si="612"/>
        <v>='C:\Users\jaime.benazar\Quorum Business Solutions\Ecopetrol Prometeo - Documents\Planning Space Implementation\3. Analysis &amp; Design\Design\FC22\DRR Jaime\Neiva CPI\[DINA TERCIARIOS_CF_SEC_New_27-Mar-2024.xlsx]D-PND'!$EA$31</v>
      </c>
      <c r="J2605" s="37" t="s">
        <v>3206</v>
      </c>
    </row>
    <row r="2606" spans="1:10" x14ac:dyDescent="0.3">
      <c r="A2606" s="32" t="s">
        <v>16</v>
      </c>
      <c r="B2606" s="32">
        <f t="shared" si="616"/>
        <v>2043</v>
      </c>
      <c r="C2606" s="33" t="s">
        <v>52</v>
      </c>
      <c r="D2606" s="34" t="s">
        <v>2002</v>
      </c>
      <c r="E2606" s="35" t="str">
        <f t="shared" si="610"/>
        <v>PND'!</v>
      </c>
      <c r="F2606" s="34" t="str">
        <f t="shared" si="611"/>
        <v>C:\Users\jaime.benazar\Quorum Business Solutions\Ecopetrol Prometeo - Documents\Planning Space Implementation\3. Analysis &amp; Design\Design\FC22\DRR Jaime\Neiva CPI\[DINA TERCIARIOS_CF_SEC_New_27-Mar-2024.xlsx]D-PND'!</v>
      </c>
      <c r="G2606" s="32" t="s">
        <v>122</v>
      </c>
      <c r="H2606" s="33">
        <f t="shared" si="613"/>
        <v>32</v>
      </c>
      <c r="I2606" s="33" t="str">
        <f t="shared" si="612"/>
        <v>='C:\Users\jaime.benazar\Quorum Business Solutions\Ecopetrol Prometeo - Documents\Planning Space Implementation\3. Analysis &amp; Design\Design\FC22\DRR Jaime\Neiva CPI\[DINA TERCIARIOS_CF_SEC_New_27-Mar-2024.xlsx]D-PND'!$EA$32</v>
      </c>
      <c r="J2606" s="37" t="s">
        <v>3207</v>
      </c>
    </row>
    <row r="2607" spans="1:10" x14ac:dyDescent="0.3">
      <c r="A2607" s="32" t="s">
        <v>16</v>
      </c>
      <c r="B2607" s="32">
        <f>+B2606+1</f>
        <v>2044</v>
      </c>
      <c r="C2607" s="33" t="s">
        <v>52</v>
      </c>
      <c r="D2607" s="34" t="s">
        <v>2002</v>
      </c>
      <c r="E2607" s="35" t="str">
        <f t="shared" ref="E2607:E2622" si="617">_xlfn.CONCAT(A2607,"'!")</f>
        <v>PND'!</v>
      </c>
      <c r="F2607" s="34" t="str">
        <f t="shared" ref="F2607:F2622" si="618">_xlfn.CONCAT(D2607:E2607)</f>
        <v>C:\Users\jaime.benazar\Quorum Business Solutions\Ecopetrol Prometeo - Documents\Planning Space Implementation\3. Analysis &amp; Design\Design\FC22\DRR Jaime\Neiva CPI\[DINA TERCIARIOS_CF_SEC_New_27-Mar-2024.xlsx]D-PND'!</v>
      </c>
      <c r="G2607" s="32" t="s">
        <v>122</v>
      </c>
      <c r="H2607" s="33">
        <f t="shared" ref="H2607:H2622" si="619">IF(A2607&lt;&gt;A2606,12,H2606+1)</f>
        <v>33</v>
      </c>
      <c r="I2607" s="33" t="str">
        <f t="shared" ref="I2607:I2622" si="620">_xlfn.CONCAT("='",F2607:H2607)</f>
        <v>='C:\Users\jaime.benazar\Quorum Business Solutions\Ecopetrol Prometeo - Documents\Planning Space Implementation\3. Analysis &amp; Design\Design\FC22\DRR Jaime\Neiva CPI\[DINA TERCIARIOS_CF_SEC_New_27-Mar-2024.xlsx]D-PND'!$EA$33</v>
      </c>
      <c r="J2607" s="37" t="s">
        <v>3208</v>
      </c>
    </row>
    <row r="2608" spans="1:10" x14ac:dyDescent="0.3">
      <c r="A2608" s="32" t="s">
        <v>16</v>
      </c>
      <c r="B2608" s="32">
        <f t="shared" ref="B2608:B2622" si="621">+B2607+1</f>
        <v>2045</v>
      </c>
      <c r="C2608" s="33" t="s">
        <v>52</v>
      </c>
      <c r="D2608" s="34" t="s">
        <v>2002</v>
      </c>
      <c r="E2608" s="35" t="str">
        <f t="shared" si="617"/>
        <v>PND'!</v>
      </c>
      <c r="F2608" s="34" t="str">
        <f t="shared" si="618"/>
        <v>C:\Users\jaime.benazar\Quorum Business Solutions\Ecopetrol Prometeo - Documents\Planning Space Implementation\3. Analysis &amp; Design\Design\FC22\DRR Jaime\Neiva CPI\[DINA TERCIARIOS_CF_SEC_New_27-Mar-2024.xlsx]D-PND'!</v>
      </c>
      <c r="G2608" s="32" t="s">
        <v>122</v>
      </c>
      <c r="H2608" s="33">
        <f t="shared" si="619"/>
        <v>34</v>
      </c>
      <c r="I2608" s="33" t="str">
        <f t="shared" si="620"/>
        <v>='C:\Users\jaime.benazar\Quorum Business Solutions\Ecopetrol Prometeo - Documents\Planning Space Implementation\3. Analysis &amp; Design\Design\FC22\DRR Jaime\Neiva CPI\[DINA TERCIARIOS_CF_SEC_New_27-Mar-2024.xlsx]D-PND'!$EA$34</v>
      </c>
      <c r="J2608" s="37" t="s">
        <v>3209</v>
      </c>
    </row>
    <row r="2609" spans="1:10" x14ac:dyDescent="0.3">
      <c r="A2609" s="32" t="s">
        <v>16</v>
      </c>
      <c r="B2609" s="32">
        <f t="shared" si="621"/>
        <v>2046</v>
      </c>
      <c r="C2609" s="33" t="s">
        <v>52</v>
      </c>
      <c r="D2609" s="34" t="s">
        <v>2002</v>
      </c>
      <c r="E2609" s="35" t="str">
        <f t="shared" si="617"/>
        <v>PND'!</v>
      </c>
      <c r="F2609" s="34" t="str">
        <f t="shared" si="618"/>
        <v>C:\Users\jaime.benazar\Quorum Business Solutions\Ecopetrol Prometeo - Documents\Planning Space Implementation\3. Analysis &amp; Design\Design\FC22\DRR Jaime\Neiva CPI\[DINA TERCIARIOS_CF_SEC_New_27-Mar-2024.xlsx]D-PND'!</v>
      </c>
      <c r="G2609" s="32" t="s">
        <v>122</v>
      </c>
      <c r="H2609" s="33">
        <f t="shared" si="619"/>
        <v>35</v>
      </c>
      <c r="I2609" s="33" t="str">
        <f t="shared" si="620"/>
        <v>='C:\Users\jaime.benazar\Quorum Business Solutions\Ecopetrol Prometeo - Documents\Planning Space Implementation\3. Analysis &amp; Design\Design\FC22\DRR Jaime\Neiva CPI\[DINA TERCIARIOS_CF_SEC_New_27-Mar-2024.xlsx]D-PND'!$EA$35</v>
      </c>
      <c r="J2609" s="37" t="s">
        <v>3210</v>
      </c>
    </row>
    <row r="2610" spans="1:10" x14ac:dyDescent="0.3">
      <c r="A2610" s="32" t="s">
        <v>16</v>
      </c>
      <c r="B2610" s="32">
        <f t="shared" si="621"/>
        <v>2047</v>
      </c>
      <c r="C2610" s="33" t="s">
        <v>52</v>
      </c>
      <c r="D2610" s="34" t="s">
        <v>2002</v>
      </c>
      <c r="E2610" s="35" t="str">
        <f t="shared" si="617"/>
        <v>PND'!</v>
      </c>
      <c r="F2610" s="34" t="str">
        <f t="shared" si="618"/>
        <v>C:\Users\jaime.benazar\Quorum Business Solutions\Ecopetrol Prometeo - Documents\Planning Space Implementation\3. Analysis &amp; Design\Design\FC22\DRR Jaime\Neiva CPI\[DINA TERCIARIOS_CF_SEC_New_27-Mar-2024.xlsx]D-PND'!</v>
      </c>
      <c r="G2610" s="32" t="s">
        <v>122</v>
      </c>
      <c r="H2610" s="33">
        <f t="shared" si="619"/>
        <v>36</v>
      </c>
      <c r="I2610" s="33" t="str">
        <f t="shared" si="620"/>
        <v>='C:\Users\jaime.benazar\Quorum Business Solutions\Ecopetrol Prometeo - Documents\Planning Space Implementation\3. Analysis &amp; Design\Design\FC22\DRR Jaime\Neiva CPI\[DINA TERCIARIOS_CF_SEC_New_27-Mar-2024.xlsx]D-PND'!$EA$36</v>
      </c>
      <c r="J2610" s="37" t="s">
        <v>3211</v>
      </c>
    </row>
    <row r="2611" spans="1:10" x14ac:dyDescent="0.3">
      <c r="A2611" s="32" t="s">
        <v>16</v>
      </c>
      <c r="B2611" s="32">
        <f t="shared" si="621"/>
        <v>2048</v>
      </c>
      <c r="C2611" s="33" t="s">
        <v>52</v>
      </c>
      <c r="D2611" s="34" t="s">
        <v>2002</v>
      </c>
      <c r="E2611" s="35" t="str">
        <f t="shared" si="617"/>
        <v>PND'!</v>
      </c>
      <c r="F2611" s="34" t="str">
        <f t="shared" si="618"/>
        <v>C:\Users\jaime.benazar\Quorum Business Solutions\Ecopetrol Prometeo - Documents\Planning Space Implementation\3. Analysis &amp; Design\Design\FC22\DRR Jaime\Neiva CPI\[DINA TERCIARIOS_CF_SEC_New_27-Mar-2024.xlsx]D-PND'!</v>
      </c>
      <c r="G2611" s="32" t="s">
        <v>122</v>
      </c>
      <c r="H2611" s="33">
        <f t="shared" si="619"/>
        <v>37</v>
      </c>
      <c r="I2611" s="33" t="str">
        <f t="shared" si="620"/>
        <v>='C:\Users\jaime.benazar\Quorum Business Solutions\Ecopetrol Prometeo - Documents\Planning Space Implementation\3. Analysis &amp; Design\Design\FC22\DRR Jaime\Neiva CPI\[DINA TERCIARIOS_CF_SEC_New_27-Mar-2024.xlsx]D-PND'!$EA$37</v>
      </c>
      <c r="J2611" s="37" t="s">
        <v>3212</v>
      </c>
    </row>
    <row r="2612" spans="1:10" x14ac:dyDescent="0.3">
      <c r="A2612" s="32" t="s">
        <v>16</v>
      </c>
      <c r="B2612" s="32">
        <f t="shared" si="621"/>
        <v>2049</v>
      </c>
      <c r="C2612" s="33" t="s">
        <v>52</v>
      </c>
      <c r="D2612" s="34" t="s">
        <v>2002</v>
      </c>
      <c r="E2612" s="35" t="str">
        <f t="shared" si="617"/>
        <v>PND'!</v>
      </c>
      <c r="F2612" s="34" t="str">
        <f t="shared" si="618"/>
        <v>C:\Users\jaime.benazar\Quorum Business Solutions\Ecopetrol Prometeo - Documents\Planning Space Implementation\3. Analysis &amp; Design\Design\FC22\DRR Jaime\Neiva CPI\[DINA TERCIARIOS_CF_SEC_New_27-Mar-2024.xlsx]D-PND'!</v>
      </c>
      <c r="G2612" s="32" t="s">
        <v>122</v>
      </c>
      <c r="H2612" s="33">
        <f t="shared" si="619"/>
        <v>38</v>
      </c>
      <c r="I2612" s="33" t="str">
        <f t="shared" si="620"/>
        <v>='C:\Users\jaime.benazar\Quorum Business Solutions\Ecopetrol Prometeo - Documents\Planning Space Implementation\3. Analysis &amp; Design\Design\FC22\DRR Jaime\Neiva CPI\[DINA TERCIARIOS_CF_SEC_New_27-Mar-2024.xlsx]D-PND'!$EA$38</v>
      </c>
      <c r="J2612" s="37" t="s">
        <v>3213</v>
      </c>
    </row>
    <row r="2613" spans="1:10" x14ac:dyDescent="0.3">
      <c r="A2613" s="32" t="s">
        <v>16</v>
      </c>
      <c r="B2613" s="32">
        <f t="shared" si="621"/>
        <v>2050</v>
      </c>
      <c r="C2613" s="33" t="s">
        <v>52</v>
      </c>
      <c r="D2613" s="34" t="s">
        <v>2002</v>
      </c>
      <c r="E2613" s="35" t="str">
        <f t="shared" si="617"/>
        <v>PND'!</v>
      </c>
      <c r="F2613" s="34" t="str">
        <f t="shared" si="618"/>
        <v>C:\Users\jaime.benazar\Quorum Business Solutions\Ecopetrol Prometeo - Documents\Planning Space Implementation\3. Analysis &amp; Design\Design\FC22\DRR Jaime\Neiva CPI\[DINA TERCIARIOS_CF_SEC_New_27-Mar-2024.xlsx]D-PND'!</v>
      </c>
      <c r="G2613" s="32" t="s">
        <v>122</v>
      </c>
      <c r="H2613" s="33">
        <f t="shared" si="619"/>
        <v>39</v>
      </c>
      <c r="I2613" s="33" t="str">
        <f t="shared" si="620"/>
        <v>='C:\Users\jaime.benazar\Quorum Business Solutions\Ecopetrol Prometeo - Documents\Planning Space Implementation\3. Analysis &amp; Design\Design\FC22\DRR Jaime\Neiva CPI\[DINA TERCIARIOS_CF_SEC_New_27-Mar-2024.xlsx]D-PND'!$EA$39</v>
      </c>
      <c r="J2613" s="37" t="s">
        <v>3214</v>
      </c>
    </row>
    <row r="2614" spans="1:10" x14ac:dyDescent="0.3">
      <c r="A2614" s="32" t="s">
        <v>16</v>
      </c>
      <c r="B2614" s="32">
        <f t="shared" si="621"/>
        <v>2051</v>
      </c>
      <c r="C2614" s="33" t="s">
        <v>52</v>
      </c>
      <c r="D2614" s="34" t="s">
        <v>2002</v>
      </c>
      <c r="E2614" s="35" t="str">
        <f t="shared" si="617"/>
        <v>PND'!</v>
      </c>
      <c r="F2614" s="34" t="str">
        <f t="shared" si="618"/>
        <v>C:\Users\jaime.benazar\Quorum Business Solutions\Ecopetrol Prometeo - Documents\Planning Space Implementation\3. Analysis &amp; Design\Design\FC22\DRR Jaime\Neiva CPI\[DINA TERCIARIOS_CF_SEC_New_27-Mar-2024.xlsx]D-PND'!</v>
      </c>
      <c r="G2614" s="32" t="s">
        <v>122</v>
      </c>
      <c r="H2614" s="33">
        <f t="shared" si="619"/>
        <v>40</v>
      </c>
      <c r="I2614" s="33" t="str">
        <f t="shared" si="620"/>
        <v>='C:\Users\jaime.benazar\Quorum Business Solutions\Ecopetrol Prometeo - Documents\Planning Space Implementation\3. Analysis &amp; Design\Design\FC22\DRR Jaime\Neiva CPI\[DINA TERCIARIOS_CF_SEC_New_27-Mar-2024.xlsx]D-PND'!$EA$40</v>
      </c>
      <c r="J2614" s="37" t="s">
        <v>3215</v>
      </c>
    </row>
    <row r="2615" spans="1:10" x14ac:dyDescent="0.3">
      <c r="A2615" s="32" t="s">
        <v>16</v>
      </c>
      <c r="B2615" s="32">
        <f t="shared" si="621"/>
        <v>2052</v>
      </c>
      <c r="C2615" s="33" t="s">
        <v>52</v>
      </c>
      <c r="D2615" s="34" t="s">
        <v>2002</v>
      </c>
      <c r="E2615" s="35" t="str">
        <f t="shared" si="617"/>
        <v>PND'!</v>
      </c>
      <c r="F2615" s="34" t="str">
        <f t="shared" si="618"/>
        <v>C:\Users\jaime.benazar\Quorum Business Solutions\Ecopetrol Prometeo - Documents\Planning Space Implementation\3. Analysis &amp; Design\Design\FC22\DRR Jaime\Neiva CPI\[DINA TERCIARIOS_CF_SEC_New_27-Mar-2024.xlsx]D-PND'!</v>
      </c>
      <c r="G2615" s="32" t="s">
        <v>122</v>
      </c>
      <c r="H2615" s="33">
        <f t="shared" si="619"/>
        <v>41</v>
      </c>
      <c r="I2615" s="33" t="str">
        <f t="shared" si="620"/>
        <v>='C:\Users\jaime.benazar\Quorum Business Solutions\Ecopetrol Prometeo - Documents\Planning Space Implementation\3. Analysis &amp; Design\Design\FC22\DRR Jaime\Neiva CPI\[DINA TERCIARIOS_CF_SEC_New_27-Mar-2024.xlsx]D-PND'!$EA$41</v>
      </c>
      <c r="J2615" s="37" t="s">
        <v>3216</v>
      </c>
    </row>
    <row r="2616" spans="1:10" x14ac:dyDescent="0.3">
      <c r="A2616" s="32" t="s">
        <v>16</v>
      </c>
      <c r="B2616" s="32">
        <f t="shared" si="621"/>
        <v>2053</v>
      </c>
      <c r="C2616" s="33" t="s">
        <v>52</v>
      </c>
      <c r="D2616" s="34" t="s">
        <v>2002</v>
      </c>
      <c r="E2616" s="35" t="str">
        <f t="shared" si="617"/>
        <v>PND'!</v>
      </c>
      <c r="F2616" s="34" t="str">
        <f t="shared" si="618"/>
        <v>C:\Users\jaime.benazar\Quorum Business Solutions\Ecopetrol Prometeo - Documents\Planning Space Implementation\3. Analysis &amp; Design\Design\FC22\DRR Jaime\Neiva CPI\[DINA TERCIARIOS_CF_SEC_New_27-Mar-2024.xlsx]D-PND'!</v>
      </c>
      <c r="G2616" s="32" t="s">
        <v>122</v>
      </c>
      <c r="H2616" s="33">
        <f t="shared" si="619"/>
        <v>42</v>
      </c>
      <c r="I2616" s="33" t="str">
        <f t="shared" si="620"/>
        <v>='C:\Users\jaime.benazar\Quorum Business Solutions\Ecopetrol Prometeo - Documents\Planning Space Implementation\3. Analysis &amp; Design\Design\FC22\DRR Jaime\Neiva CPI\[DINA TERCIARIOS_CF_SEC_New_27-Mar-2024.xlsx]D-PND'!$EA$42</v>
      </c>
      <c r="J2616" s="37" t="s">
        <v>3217</v>
      </c>
    </row>
    <row r="2617" spans="1:10" x14ac:dyDescent="0.3">
      <c r="A2617" s="32" t="s">
        <v>16</v>
      </c>
      <c r="B2617" s="32">
        <f t="shared" si="621"/>
        <v>2054</v>
      </c>
      <c r="C2617" s="33" t="s">
        <v>52</v>
      </c>
      <c r="D2617" s="34" t="s">
        <v>2002</v>
      </c>
      <c r="E2617" s="35" t="str">
        <f t="shared" si="617"/>
        <v>PND'!</v>
      </c>
      <c r="F2617" s="34" t="str">
        <f t="shared" si="618"/>
        <v>C:\Users\jaime.benazar\Quorum Business Solutions\Ecopetrol Prometeo - Documents\Planning Space Implementation\3. Analysis &amp; Design\Design\FC22\DRR Jaime\Neiva CPI\[DINA TERCIARIOS_CF_SEC_New_27-Mar-2024.xlsx]D-PND'!</v>
      </c>
      <c r="G2617" s="32" t="s">
        <v>122</v>
      </c>
      <c r="H2617" s="33">
        <f t="shared" si="619"/>
        <v>43</v>
      </c>
      <c r="I2617" s="33" t="str">
        <f t="shared" si="620"/>
        <v>='C:\Users\jaime.benazar\Quorum Business Solutions\Ecopetrol Prometeo - Documents\Planning Space Implementation\3. Analysis &amp; Design\Design\FC22\DRR Jaime\Neiva CPI\[DINA TERCIARIOS_CF_SEC_New_27-Mar-2024.xlsx]D-PND'!$EA$43</v>
      </c>
      <c r="J2617" s="37" t="s">
        <v>3218</v>
      </c>
    </row>
    <row r="2618" spans="1:10" x14ac:dyDescent="0.3">
      <c r="A2618" s="32" t="s">
        <v>16</v>
      </c>
      <c r="B2618" s="32">
        <f t="shared" si="621"/>
        <v>2055</v>
      </c>
      <c r="C2618" s="33" t="s">
        <v>52</v>
      </c>
      <c r="D2618" s="34" t="s">
        <v>2002</v>
      </c>
      <c r="E2618" s="35" t="str">
        <f t="shared" si="617"/>
        <v>PND'!</v>
      </c>
      <c r="F2618" s="34" t="str">
        <f t="shared" si="618"/>
        <v>C:\Users\jaime.benazar\Quorum Business Solutions\Ecopetrol Prometeo - Documents\Planning Space Implementation\3. Analysis &amp; Design\Design\FC22\DRR Jaime\Neiva CPI\[DINA TERCIARIOS_CF_SEC_New_27-Mar-2024.xlsx]D-PND'!</v>
      </c>
      <c r="G2618" s="32" t="s">
        <v>122</v>
      </c>
      <c r="H2618" s="33">
        <f t="shared" si="619"/>
        <v>44</v>
      </c>
      <c r="I2618" s="33" t="str">
        <f t="shared" si="620"/>
        <v>='C:\Users\jaime.benazar\Quorum Business Solutions\Ecopetrol Prometeo - Documents\Planning Space Implementation\3. Analysis &amp; Design\Design\FC22\DRR Jaime\Neiva CPI\[DINA TERCIARIOS_CF_SEC_New_27-Mar-2024.xlsx]D-PND'!$EA$44</v>
      </c>
      <c r="J2618" s="37" t="s">
        <v>3219</v>
      </c>
    </row>
    <row r="2619" spans="1:10" x14ac:dyDescent="0.3">
      <c r="A2619" s="32" t="s">
        <v>16</v>
      </c>
      <c r="B2619" s="32">
        <f t="shared" si="621"/>
        <v>2056</v>
      </c>
      <c r="C2619" s="33" t="s">
        <v>52</v>
      </c>
      <c r="D2619" s="34" t="s">
        <v>2002</v>
      </c>
      <c r="E2619" s="35" t="str">
        <f t="shared" si="617"/>
        <v>PND'!</v>
      </c>
      <c r="F2619" s="34" t="str">
        <f t="shared" si="618"/>
        <v>C:\Users\jaime.benazar\Quorum Business Solutions\Ecopetrol Prometeo - Documents\Planning Space Implementation\3. Analysis &amp; Design\Design\FC22\DRR Jaime\Neiva CPI\[DINA TERCIARIOS_CF_SEC_New_27-Mar-2024.xlsx]D-PND'!</v>
      </c>
      <c r="G2619" s="32" t="s">
        <v>122</v>
      </c>
      <c r="H2619" s="33">
        <f t="shared" si="619"/>
        <v>45</v>
      </c>
      <c r="I2619" s="33" t="str">
        <f t="shared" si="620"/>
        <v>='C:\Users\jaime.benazar\Quorum Business Solutions\Ecopetrol Prometeo - Documents\Planning Space Implementation\3. Analysis &amp; Design\Design\FC22\DRR Jaime\Neiva CPI\[DINA TERCIARIOS_CF_SEC_New_27-Mar-2024.xlsx]D-PND'!$EA$45</v>
      </c>
      <c r="J2619" s="37" t="s">
        <v>3220</v>
      </c>
    </row>
    <row r="2620" spans="1:10" x14ac:dyDescent="0.3">
      <c r="A2620" s="32" t="s">
        <v>16</v>
      </c>
      <c r="B2620" s="32">
        <f t="shared" si="621"/>
        <v>2057</v>
      </c>
      <c r="C2620" s="33" t="s">
        <v>52</v>
      </c>
      <c r="D2620" s="34" t="s">
        <v>2002</v>
      </c>
      <c r="E2620" s="35" t="str">
        <f t="shared" si="617"/>
        <v>PND'!</v>
      </c>
      <c r="F2620" s="34" t="str">
        <f t="shared" si="618"/>
        <v>C:\Users\jaime.benazar\Quorum Business Solutions\Ecopetrol Prometeo - Documents\Planning Space Implementation\3. Analysis &amp; Design\Design\FC22\DRR Jaime\Neiva CPI\[DINA TERCIARIOS_CF_SEC_New_27-Mar-2024.xlsx]D-PND'!</v>
      </c>
      <c r="G2620" s="32" t="s">
        <v>122</v>
      </c>
      <c r="H2620" s="33">
        <f t="shared" si="619"/>
        <v>46</v>
      </c>
      <c r="I2620" s="33" t="str">
        <f t="shared" si="620"/>
        <v>='C:\Users\jaime.benazar\Quorum Business Solutions\Ecopetrol Prometeo - Documents\Planning Space Implementation\3. Analysis &amp; Design\Design\FC22\DRR Jaime\Neiva CPI\[DINA TERCIARIOS_CF_SEC_New_27-Mar-2024.xlsx]D-PND'!$EA$46</v>
      </c>
      <c r="J2620" s="37" t="s">
        <v>3221</v>
      </c>
    </row>
    <row r="2621" spans="1:10" x14ac:dyDescent="0.3">
      <c r="A2621" s="32" t="s">
        <v>16</v>
      </c>
      <c r="B2621" s="32">
        <f t="shared" si="621"/>
        <v>2058</v>
      </c>
      <c r="C2621" s="33" t="s">
        <v>52</v>
      </c>
      <c r="D2621" s="34" t="s">
        <v>2002</v>
      </c>
      <c r="E2621" s="35" t="str">
        <f t="shared" si="617"/>
        <v>PND'!</v>
      </c>
      <c r="F2621" s="34" t="str">
        <f t="shared" si="618"/>
        <v>C:\Users\jaime.benazar\Quorum Business Solutions\Ecopetrol Prometeo - Documents\Planning Space Implementation\3. Analysis &amp; Design\Design\FC22\DRR Jaime\Neiva CPI\[DINA TERCIARIOS_CF_SEC_New_27-Mar-2024.xlsx]D-PND'!</v>
      </c>
      <c r="G2621" s="32" t="s">
        <v>122</v>
      </c>
      <c r="H2621" s="33">
        <f t="shared" si="619"/>
        <v>47</v>
      </c>
      <c r="I2621" s="33" t="str">
        <f t="shared" si="620"/>
        <v>='C:\Users\jaime.benazar\Quorum Business Solutions\Ecopetrol Prometeo - Documents\Planning Space Implementation\3. Analysis &amp; Design\Design\FC22\DRR Jaime\Neiva CPI\[DINA TERCIARIOS_CF_SEC_New_27-Mar-2024.xlsx]D-PND'!$EA$47</v>
      </c>
      <c r="J2621" s="37" t="s">
        <v>3222</v>
      </c>
    </row>
    <row r="2622" spans="1:10" x14ac:dyDescent="0.3">
      <c r="A2622" s="32" t="s">
        <v>16</v>
      </c>
      <c r="B2622" s="32">
        <f t="shared" si="621"/>
        <v>2059</v>
      </c>
      <c r="C2622" s="33" t="s">
        <v>52</v>
      </c>
      <c r="D2622" s="34" t="s">
        <v>2002</v>
      </c>
      <c r="E2622" s="35" t="str">
        <f t="shared" si="617"/>
        <v>PND'!</v>
      </c>
      <c r="F2622" s="34" t="str">
        <f t="shared" si="618"/>
        <v>C:\Users\jaime.benazar\Quorum Business Solutions\Ecopetrol Prometeo - Documents\Planning Space Implementation\3. Analysis &amp; Design\Design\FC22\DRR Jaime\Neiva CPI\[DINA TERCIARIOS_CF_SEC_New_27-Mar-2024.xlsx]D-PND'!</v>
      </c>
      <c r="G2622" s="32" t="s">
        <v>122</v>
      </c>
      <c r="H2622" s="33">
        <f t="shared" si="619"/>
        <v>48</v>
      </c>
      <c r="I2622" s="33" t="str">
        <f t="shared" si="620"/>
        <v>='C:\Users\jaime.benazar\Quorum Business Solutions\Ecopetrol Prometeo - Documents\Planning Space Implementation\3. Analysis &amp; Design\Design\FC22\DRR Jaime\Neiva CPI\[DINA TERCIARIOS_CF_SEC_New_27-Mar-2024.xlsx]D-PND'!$EA$48</v>
      </c>
      <c r="J2622" s="37" t="s">
        <v>3223</v>
      </c>
    </row>
    <row r="2623" spans="1:10" x14ac:dyDescent="0.3">
      <c r="A2623" s="32" t="s">
        <v>26</v>
      </c>
      <c r="B2623" s="32"/>
      <c r="C2623" s="33" t="s">
        <v>52</v>
      </c>
      <c r="D2623" s="34"/>
      <c r="E2623" s="35"/>
      <c r="F2623" s="34"/>
      <c r="G2623" s="32"/>
      <c r="H2623" s="33"/>
      <c r="I2623" s="33"/>
      <c r="J2623" s="33"/>
    </row>
    <row r="2624" spans="1:10" x14ac:dyDescent="0.3">
      <c r="A2624" s="32" t="s">
        <v>17</v>
      </c>
      <c r="B2624" s="32">
        <v>2023</v>
      </c>
      <c r="C2624" s="33" t="s">
        <v>52</v>
      </c>
      <c r="D2624" s="34" t="s">
        <v>2002</v>
      </c>
      <c r="E2624" s="35" t="str">
        <f t="shared" ref="E2624:E2644" si="622">_xlfn.CONCAT(A2624,"'!")</f>
        <v>PRBDP'!</v>
      </c>
      <c r="F2624" s="34" t="str">
        <f t="shared" ref="F2624:F2644" si="623">_xlfn.CONCAT(D2624:E2624)</f>
        <v>C:\Users\jaime.benazar\Quorum Business Solutions\Ecopetrol Prometeo - Documents\Planning Space Implementation\3. Analysis &amp; Design\Design\FC22\DRR Jaime\Neiva CPI\[DINA TERCIARIOS_CF_SEC_New_27-Mar-2024.xlsx]D-PRBDP'!</v>
      </c>
      <c r="G2624" s="32" t="s">
        <v>122</v>
      </c>
      <c r="H2624" s="33"/>
      <c r="I2624" s="33"/>
      <c r="J2624" s="37"/>
    </row>
    <row r="2625" spans="1:10" x14ac:dyDescent="0.3">
      <c r="A2625" s="32" t="s">
        <v>17</v>
      </c>
      <c r="B2625" s="32">
        <f>+B2624+1</f>
        <v>2024</v>
      </c>
      <c r="C2625" s="33" t="s">
        <v>52</v>
      </c>
      <c r="D2625" s="34" t="s">
        <v>2002</v>
      </c>
      <c r="E2625" s="35" t="str">
        <f t="shared" si="622"/>
        <v>PRBDP'!</v>
      </c>
      <c r="F2625" s="34" t="str">
        <f t="shared" si="623"/>
        <v>C:\Users\jaime.benazar\Quorum Business Solutions\Ecopetrol Prometeo - Documents\Planning Space Implementation\3. Analysis &amp; Design\Design\FC22\DRR Jaime\Neiva CPI\[DINA TERCIARIOS_CF_SEC_New_27-Mar-2024.xlsx]D-PRBDP'!</v>
      </c>
      <c r="G2625" s="32" t="s">
        <v>122</v>
      </c>
      <c r="H2625" s="33"/>
      <c r="I2625" s="33"/>
      <c r="J2625" s="37"/>
    </row>
    <row r="2626" spans="1:10" x14ac:dyDescent="0.3">
      <c r="A2626" s="32" t="s">
        <v>17</v>
      </c>
      <c r="B2626" s="32">
        <f t="shared" ref="B2626:B2637" si="624">+B2625+1</f>
        <v>2025</v>
      </c>
      <c r="C2626" s="33" t="s">
        <v>52</v>
      </c>
      <c r="D2626" s="34" t="s">
        <v>2002</v>
      </c>
      <c r="E2626" s="35" t="str">
        <f t="shared" si="622"/>
        <v>PRBDP'!</v>
      </c>
      <c r="F2626" s="34" t="str">
        <f t="shared" si="623"/>
        <v>C:\Users\jaime.benazar\Quorum Business Solutions\Ecopetrol Prometeo - Documents\Planning Space Implementation\3. Analysis &amp; Design\Design\FC22\DRR Jaime\Neiva CPI\[DINA TERCIARIOS_CF_SEC_New_27-Mar-2024.xlsx]D-PRBDP'!</v>
      </c>
      <c r="G2626" s="32" t="s">
        <v>122</v>
      </c>
      <c r="H2626" s="33"/>
      <c r="I2626" s="33"/>
      <c r="J2626" s="37"/>
    </row>
    <row r="2627" spans="1:10" x14ac:dyDescent="0.3">
      <c r="A2627" s="32" t="s">
        <v>17</v>
      </c>
      <c r="B2627" s="32">
        <f t="shared" si="624"/>
        <v>2026</v>
      </c>
      <c r="C2627" s="33" t="s">
        <v>52</v>
      </c>
      <c r="D2627" s="34" t="s">
        <v>2002</v>
      </c>
      <c r="E2627" s="35" t="str">
        <f t="shared" si="622"/>
        <v>PRBDP'!</v>
      </c>
      <c r="F2627" s="34" t="str">
        <f t="shared" si="623"/>
        <v>C:\Users\jaime.benazar\Quorum Business Solutions\Ecopetrol Prometeo - Documents\Planning Space Implementation\3. Analysis &amp; Design\Design\FC22\DRR Jaime\Neiva CPI\[DINA TERCIARIOS_CF_SEC_New_27-Mar-2024.xlsx]D-PRBDP'!</v>
      </c>
      <c r="G2627" s="32" t="s">
        <v>122</v>
      </c>
      <c r="H2627" s="33"/>
      <c r="I2627" s="33"/>
      <c r="J2627" s="37"/>
    </row>
    <row r="2628" spans="1:10" x14ac:dyDescent="0.3">
      <c r="A2628" s="32" t="s">
        <v>17</v>
      </c>
      <c r="B2628" s="32">
        <f t="shared" si="624"/>
        <v>2027</v>
      </c>
      <c r="C2628" s="33" t="s">
        <v>52</v>
      </c>
      <c r="D2628" s="34" t="s">
        <v>2002</v>
      </c>
      <c r="E2628" s="35" t="str">
        <f t="shared" si="622"/>
        <v>PRBDP'!</v>
      </c>
      <c r="F2628" s="34" t="str">
        <f t="shared" si="623"/>
        <v>C:\Users\jaime.benazar\Quorum Business Solutions\Ecopetrol Prometeo - Documents\Planning Space Implementation\3. Analysis &amp; Design\Design\FC22\DRR Jaime\Neiva CPI\[DINA TERCIARIOS_CF_SEC_New_27-Mar-2024.xlsx]D-PRBDP'!</v>
      </c>
      <c r="G2628" s="32" t="s">
        <v>122</v>
      </c>
      <c r="H2628" s="33"/>
      <c r="I2628" s="33"/>
      <c r="J2628" s="37"/>
    </row>
    <row r="2629" spans="1:10" x14ac:dyDescent="0.3">
      <c r="A2629" s="32" t="s">
        <v>17</v>
      </c>
      <c r="B2629" s="32">
        <f t="shared" si="624"/>
        <v>2028</v>
      </c>
      <c r="C2629" s="33" t="s">
        <v>52</v>
      </c>
      <c r="D2629" s="34" t="s">
        <v>2002</v>
      </c>
      <c r="E2629" s="35" t="str">
        <f t="shared" si="622"/>
        <v>PRBDP'!</v>
      </c>
      <c r="F2629" s="34" t="str">
        <f t="shared" si="623"/>
        <v>C:\Users\jaime.benazar\Quorum Business Solutions\Ecopetrol Prometeo - Documents\Planning Space Implementation\3. Analysis &amp; Design\Design\FC22\DRR Jaime\Neiva CPI\[DINA TERCIARIOS_CF_SEC_New_27-Mar-2024.xlsx]D-PRBDP'!</v>
      </c>
      <c r="G2629" s="32" t="s">
        <v>122</v>
      </c>
      <c r="H2629" s="33"/>
      <c r="I2629" s="33"/>
      <c r="J2629" s="37"/>
    </row>
    <row r="2630" spans="1:10" x14ac:dyDescent="0.3">
      <c r="A2630" s="32" t="s">
        <v>17</v>
      </c>
      <c r="B2630" s="32">
        <f t="shared" si="624"/>
        <v>2029</v>
      </c>
      <c r="C2630" s="33" t="s">
        <v>52</v>
      </c>
      <c r="D2630" s="34" t="s">
        <v>2002</v>
      </c>
      <c r="E2630" s="35" t="str">
        <f t="shared" si="622"/>
        <v>PRBDP'!</v>
      </c>
      <c r="F2630" s="34" t="str">
        <f t="shared" si="623"/>
        <v>C:\Users\jaime.benazar\Quorum Business Solutions\Ecopetrol Prometeo - Documents\Planning Space Implementation\3. Analysis &amp; Design\Design\FC22\DRR Jaime\Neiva CPI\[DINA TERCIARIOS_CF_SEC_New_27-Mar-2024.xlsx]D-PRBDP'!</v>
      </c>
      <c r="G2630" s="32" t="s">
        <v>122</v>
      </c>
      <c r="H2630" s="33"/>
      <c r="I2630" s="33"/>
      <c r="J2630" s="37"/>
    </row>
    <row r="2631" spans="1:10" x14ac:dyDescent="0.3">
      <c r="A2631" s="32" t="s">
        <v>17</v>
      </c>
      <c r="B2631" s="32">
        <f t="shared" si="624"/>
        <v>2030</v>
      </c>
      <c r="C2631" s="33" t="s">
        <v>52</v>
      </c>
      <c r="D2631" s="34" t="s">
        <v>2002</v>
      </c>
      <c r="E2631" s="35" t="str">
        <f t="shared" si="622"/>
        <v>PRBDP'!</v>
      </c>
      <c r="F2631" s="34" t="str">
        <f t="shared" si="623"/>
        <v>C:\Users\jaime.benazar\Quorum Business Solutions\Ecopetrol Prometeo - Documents\Planning Space Implementation\3. Analysis &amp; Design\Design\FC22\DRR Jaime\Neiva CPI\[DINA TERCIARIOS_CF_SEC_New_27-Mar-2024.xlsx]D-PRBDP'!</v>
      </c>
      <c r="G2631" s="32" t="s">
        <v>122</v>
      </c>
      <c r="H2631" s="33"/>
      <c r="I2631" s="33"/>
      <c r="J2631" s="37"/>
    </row>
    <row r="2632" spans="1:10" x14ac:dyDescent="0.3">
      <c r="A2632" s="32" t="s">
        <v>17</v>
      </c>
      <c r="B2632" s="32">
        <f t="shared" si="624"/>
        <v>2031</v>
      </c>
      <c r="C2632" s="33" t="s">
        <v>52</v>
      </c>
      <c r="D2632" s="34" t="s">
        <v>2002</v>
      </c>
      <c r="E2632" s="35" t="str">
        <f t="shared" si="622"/>
        <v>PRBDP'!</v>
      </c>
      <c r="F2632" s="34" t="str">
        <f t="shared" si="623"/>
        <v>C:\Users\jaime.benazar\Quorum Business Solutions\Ecopetrol Prometeo - Documents\Planning Space Implementation\3. Analysis &amp; Design\Design\FC22\DRR Jaime\Neiva CPI\[DINA TERCIARIOS_CF_SEC_New_27-Mar-2024.xlsx]D-PRBDP'!</v>
      </c>
      <c r="G2632" s="32" t="s">
        <v>122</v>
      </c>
      <c r="H2632" s="33"/>
      <c r="I2632" s="33"/>
      <c r="J2632" s="37"/>
    </row>
    <row r="2633" spans="1:10" x14ac:dyDescent="0.3">
      <c r="A2633" s="32" t="s">
        <v>17</v>
      </c>
      <c r="B2633" s="32">
        <f t="shared" si="624"/>
        <v>2032</v>
      </c>
      <c r="C2633" s="33" t="s">
        <v>52</v>
      </c>
      <c r="D2633" s="34" t="s">
        <v>2002</v>
      </c>
      <c r="E2633" s="35" t="str">
        <f t="shared" si="622"/>
        <v>PRBDP'!</v>
      </c>
      <c r="F2633" s="34" t="str">
        <f t="shared" si="623"/>
        <v>C:\Users\jaime.benazar\Quorum Business Solutions\Ecopetrol Prometeo - Documents\Planning Space Implementation\3. Analysis &amp; Design\Design\FC22\DRR Jaime\Neiva CPI\[DINA TERCIARIOS_CF_SEC_New_27-Mar-2024.xlsx]D-PRBDP'!</v>
      </c>
      <c r="G2633" s="32" t="s">
        <v>122</v>
      </c>
      <c r="H2633" s="33"/>
      <c r="I2633" s="33"/>
      <c r="J2633" s="37"/>
    </row>
    <row r="2634" spans="1:10" x14ac:dyDescent="0.3">
      <c r="A2634" s="32" t="s">
        <v>17</v>
      </c>
      <c r="B2634" s="32">
        <f t="shared" si="624"/>
        <v>2033</v>
      </c>
      <c r="C2634" s="33" t="s">
        <v>52</v>
      </c>
      <c r="D2634" s="34" t="s">
        <v>2002</v>
      </c>
      <c r="E2634" s="35" t="str">
        <f t="shared" si="622"/>
        <v>PRBDP'!</v>
      </c>
      <c r="F2634" s="34" t="str">
        <f t="shared" si="623"/>
        <v>C:\Users\jaime.benazar\Quorum Business Solutions\Ecopetrol Prometeo - Documents\Planning Space Implementation\3. Analysis &amp; Design\Design\FC22\DRR Jaime\Neiva CPI\[DINA TERCIARIOS_CF_SEC_New_27-Mar-2024.xlsx]D-PRBDP'!</v>
      </c>
      <c r="G2634" s="32" t="s">
        <v>122</v>
      </c>
      <c r="H2634" s="33"/>
      <c r="I2634" s="33"/>
      <c r="J2634" s="37"/>
    </row>
    <row r="2635" spans="1:10" x14ac:dyDescent="0.3">
      <c r="A2635" s="32" t="s">
        <v>17</v>
      </c>
      <c r="B2635" s="32">
        <f t="shared" si="624"/>
        <v>2034</v>
      </c>
      <c r="C2635" s="33" t="s">
        <v>52</v>
      </c>
      <c r="D2635" s="34" t="s">
        <v>2002</v>
      </c>
      <c r="E2635" s="35" t="str">
        <f t="shared" si="622"/>
        <v>PRBDP'!</v>
      </c>
      <c r="F2635" s="34" t="str">
        <f t="shared" si="623"/>
        <v>C:\Users\jaime.benazar\Quorum Business Solutions\Ecopetrol Prometeo - Documents\Planning Space Implementation\3. Analysis &amp; Design\Design\FC22\DRR Jaime\Neiva CPI\[DINA TERCIARIOS_CF_SEC_New_27-Mar-2024.xlsx]D-PRBDP'!</v>
      </c>
      <c r="G2635" s="32" t="s">
        <v>122</v>
      </c>
      <c r="H2635" s="33"/>
      <c r="I2635" s="33"/>
      <c r="J2635" s="37"/>
    </row>
    <row r="2636" spans="1:10" x14ac:dyDescent="0.3">
      <c r="A2636" s="32" t="s">
        <v>17</v>
      </c>
      <c r="B2636" s="32">
        <f t="shared" si="624"/>
        <v>2035</v>
      </c>
      <c r="C2636" s="33" t="s">
        <v>52</v>
      </c>
      <c r="D2636" s="34" t="s">
        <v>2002</v>
      </c>
      <c r="E2636" s="35" t="str">
        <f t="shared" si="622"/>
        <v>PRBDP'!</v>
      </c>
      <c r="F2636" s="34" t="str">
        <f t="shared" si="623"/>
        <v>C:\Users\jaime.benazar\Quorum Business Solutions\Ecopetrol Prometeo - Documents\Planning Space Implementation\3. Analysis &amp; Design\Design\FC22\DRR Jaime\Neiva CPI\[DINA TERCIARIOS_CF_SEC_New_27-Mar-2024.xlsx]D-PRBDP'!</v>
      </c>
      <c r="G2636" s="32" t="s">
        <v>122</v>
      </c>
      <c r="H2636" s="33"/>
      <c r="I2636" s="33"/>
      <c r="J2636" s="37"/>
    </row>
    <row r="2637" spans="1:10" x14ac:dyDescent="0.3">
      <c r="A2637" s="32" t="s">
        <v>17</v>
      </c>
      <c r="B2637" s="32">
        <f t="shared" si="624"/>
        <v>2036</v>
      </c>
      <c r="C2637" s="33" t="s">
        <v>52</v>
      </c>
      <c r="D2637" s="34" t="s">
        <v>2002</v>
      </c>
      <c r="E2637" s="35" t="str">
        <f t="shared" si="622"/>
        <v>PRBDP'!</v>
      </c>
      <c r="F2637" s="34" t="str">
        <f t="shared" si="623"/>
        <v>C:\Users\jaime.benazar\Quorum Business Solutions\Ecopetrol Prometeo - Documents\Planning Space Implementation\3. Analysis &amp; Design\Design\FC22\DRR Jaime\Neiva CPI\[DINA TERCIARIOS_CF_SEC_New_27-Mar-2024.xlsx]D-PRBDP'!</v>
      </c>
      <c r="G2637" s="32" t="s">
        <v>122</v>
      </c>
      <c r="H2637" s="33"/>
      <c r="I2637" s="33"/>
      <c r="J2637" s="37"/>
    </row>
    <row r="2638" spans="1:10" x14ac:dyDescent="0.3">
      <c r="A2638" s="32" t="s">
        <v>17</v>
      </c>
      <c r="B2638" s="32">
        <f>+B2637+1</f>
        <v>2037</v>
      </c>
      <c r="C2638" s="33" t="s">
        <v>52</v>
      </c>
      <c r="D2638" s="34" t="s">
        <v>2002</v>
      </c>
      <c r="E2638" s="35" t="str">
        <f t="shared" si="622"/>
        <v>PRBDP'!</v>
      </c>
      <c r="F2638" s="34" t="str">
        <f t="shared" si="623"/>
        <v>C:\Users\jaime.benazar\Quorum Business Solutions\Ecopetrol Prometeo - Documents\Planning Space Implementation\3. Analysis &amp; Design\Design\FC22\DRR Jaime\Neiva CPI\[DINA TERCIARIOS_CF_SEC_New_27-Mar-2024.xlsx]D-PRBDP'!</v>
      </c>
      <c r="G2638" s="32" t="s">
        <v>122</v>
      </c>
      <c r="H2638" s="33"/>
      <c r="I2638" s="33"/>
      <c r="J2638" s="37"/>
    </row>
    <row r="2639" spans="1:10" x14ac:dyDescent="0.3">
      <c r="A2639" s="32" t="s">
        <v>17</v>
      </c>
      <c r="B2639" s="32">
        <f t="shared" ref="B2639:B2641" si="625">+B2638+1</f>
        <v>2038</v>
      </c>
      <c r="C2639" s="33" t="s">
        <v>52</v>
      </c>
      <c r="D2639" s="34" t="s">
        <v>2002</v>
      </c>
      <c r="E2639" s="35" t="str">
        <f t="shared" si="622"/>
        <v>PRBDP'!</v>
      </c>
      <c r="F2639" s="34" t="str">
        <f t="shared" si="623"/>
        <v>C:\Users\jaime.benazar\Quorum Business Solutions\Ecopetrol Prometeo - Documents\Planning Space Implementation\3. Analysis &amp; Design\Design\FC22\DRR Jaime\Neiva CPI\[DINA TERCIARIOS_CF_SEC_New_27-Mar-2024.xlsx]D-PRBDP'!</v>
      </c>
      <c r="G2639" s="32" t="s">
        <v>122</v>
      </c>
      <c r="H2639" s="33"/>
      <c r="I2639" s="33"/>
      <c r="J2639" s="37"/>
    </row>
    <row r="2640" spans="1:10" x14ac:dyDescent="0.3">
      <c r="A2640" s="32" t="s">
        <v>17</v>
      </c>
      <c r="B2640" s="32">
        <f t="shared" si="625"/>
        <v>2039</v>
      </c>
      <c r="C2640" s="33" t="s">
        <v>52</v>
      </c>
      <c r="D2640" s="34" t="s">
        <v>2002</v>
      </c>
      <c r="E2640" s="35" t="str">
        <f t="shared" si="622"/>
        <v>PRBDP'!</v>
      </c>
      <c r="F2640" s="34" t="str">
        <f t="shared" si="623"/>
        <v>C:\Users\jaime.benazar\Quorum Business Solutions\Ecopetrol Prometeo - Documents\Planning Space Implementation\3. Analysis &amp; Design\Design\FC22\DRR Jaime\Neiva CPI\[DINA TERCIARIOS_CF_SEC_New_27-Mar-2024.xlsx]D-PRBDP'!</v>
      </c>
      <c r="G2640" s="32" t="s">
        <v>122</v>
      </c>
      <c r="H2640" s="33"/>
      <c r="I2640" s="33"/>
      <c r="J2640" s="37"/>
    </row>
    <row r="2641" spans="1:10" x14ac:dyDescent="0.3">
      <c r="A2641" s="32" t="s">
        <v>17</v>
      </c>
      <c r="B2641" s="32">
        <f t="shared" si="625"/>
        <v>2040</v>
      </c>
      <c r="C2641" s="33" t="s">
        <v>52</v>
      </c>
      <c r="D2641" s="34" t="s">
        <v>2002</v>
      </c>
      <c r="E2641" s="35" t="str">
        <f t="shared" si="622"/>
        <v>PRBDP'!</v>
      </c>
      <c r="F2641" s="34" t="str">
        <f t="shared" si="623"/>
        <v>C:\Users\jaime.benazar\Quorum Business Solutions\Ecopetrol Prometeo - Documents\Planning Space Implementation\3. Analysis &amp; Design\Design\FC22\DRR Jaime\Neiva CPI\[DINA TERCIARIOS_CF_SEC_New_27-Mar-2024.xlsx]D-PRBDP'!</v>
      </c>
      <c r="G2641" s="32" t="s">
        <v>122</v>
      </c>
      <c r="H2641" s="33"/>
      <c r="I2641" s="33"/>
      <c r="J2641" s="37"/>
    </row>
    <row r="2642" spans="1:10" x14ac:dyDescent="0.3">
      <c r="A2642" s="32" t="s">
        <v>17</v>
      </c>
      <c r="B2642" s="32">
        <f>+B2641+1</f>
        <v>2041</v>
      </c>
      <c r="C2642" s="33" t="s">
        <v>52</v>
      </c>
      <c r="D2642" s="34" t="s">
        <v>2002</v>
      </c>
      <c r="E2642" s="35" t="str">
        <f t="shared" si="622"/>
        <v>PRBDP'!</v>
      </c>
      <c r="F2642" s="34" t="str">
        <f t="shared" si="623"/>
        <v>C:\Users\jaime.benazar\Quorum Business Solutions\Ecopetrol Prometeo - Documents\Planning Space Implementation\3. Analysis &amp; Design\Design\FC22\DRR Jaime\Neiva CPI\[DINA TERCIARIOS_CF_SEC_New_27-Mar-2024.xlsx]D-PRBDP'!</v>
      </c>
      <c r="G2642" s="32" t="s">
        <v>122</v>
      </c>
      <c r="H2642" s="33"/>
      <c r="I2642" s="33"/>
      <c r="J2642" s="37"/>
    </row>
    <row r="2643" spans="1:10" x14ac:dyDescent="0.3">
      <c r="A2643" s="32" t="s">
        <v>17</v>
      </c>
      <c r="B2643" s="32">
        <f t="shared" ref="B2643:B2644" si="626">+B2642+1</f>
        <v>2042</v>
      </c>
      <c r="C2643" s="33" t="s">
        <v>52</v>
      </c>
      <c r="D2643" s="34" t="s">
        <v>2002</v>
      </c>
      <c r="E2643" s="35" t="str">
        <f t="shared" si="622"/>
        <v>PRBDP'!</v>
      </c>
      <c r="F2643" s="34" t="str">
        <f t="shared" si="623"/>
        <v>C:\Users\jaime.benazar\Quorum Business Solutions\Ecopetrol Prometeo - Documents\Planning Space Implementation\3. Analysis &amp; Design\Design\FC22\DRR Jaime\Neiva CPI\[DINA TERCIARIOS_CF_SEC_New_27-Mar-2024.xlsx]D-PRBDP'!</v>
      </c>
      <c r="G2643" s="32" t="s">
        <v>122</v>
      </c>
      <c r="H2643" s="33"/>
      <c r="I2643" s="33"/>
      <c r="J2643" s="37"/>
    </row>
    <row r="2644" spans="1:10" x14ac:dyDescent="0.3">
      <c r="A2644" s="32" t="s">
        <v>17</v>
      </c>
      <c r="B2644" s="32">
        <f t="shared" si="626"/>
        <v>2043</v>
      </c>
      <c r="C2644" s="33" t="s">
        <v>52</v>
      </c>
      <c r="D2644" s="34" t="s">
        <v>2002</v>
      </c>
      <c r="E2644" s="35" t="str">
        <f t="shared" si="622"/>
        <v>PRBDP'!</v>
      </c>
      <c r="F2644" s="34" t="str">
        <f t="shared" si="623"/>
        <v>C:\Users\jaime.benazar\Quorum Business Solutions\Ecopetrol Prometeo - Documents\Planning Space Implementation\3. Analysis &amp; Design\Design\FC22\DRR Jaime\Neiva CPI\[DINA TERCIARIOS_CF_SEC_New_27-Mar-2024.xlsx]D-PRBDP'!</v>
      </c>
      <c r="G2644" s="32" t="s">
        <v>122</v>
      </c>
      <c r="H2644" s="33"/>
      <c r="I2644" s="33"/>
      <c r="J2644" s="37"/>
    </row>
    <row r="2645" spans="1:10" x14ac:dyDescent="0.3">
      <c r="A2645" s="32" t="s">
        <v>17</v>
      </c>
      <c r="B2645" s="32">
        <f>+B2644+1</f>
        <v>2044</v>
      </c>
      <c r="C2645" s="33" t="s">
        <v>52</v>
      </c>
      <c r="D2645" s="34" t="s">
        <v>2002</v>
      </c>
      <c r="E2645" s="35" t="str">
        <f t="shared" ref="E2645:E2660" si="627">_xlfn.CONCAT(A2645,"'!")</f>
        <v>PRBDP'!</v>
      </c>
      <c r="F2645" s="34" t="str">
        <f t="shared" ref="F2645:F2660" si="628">_xlfn.CONCAT(D2645:E2645)</f>
        <v>C:\Users\jaime.benazar\Quorum Business Solutions\Ecopetrol Prometeo - Documents\Planning Space Implementation\3. Analysis &amp; Design\Design\FC22\DRR Jaime\Neiva CPI\[DINA TERCIARIOS_CF_SEC_New_27-Mar-2024.xlsx]D-PRBDP'!</v>
      </c>
      <c r="G2645" s="32" t="s">
        <v>122</v>
      </c>
      <c r="H2645" s="33"/>
      <c r="I2645" s="33"/>
      <c r="J2645" s="37"/>
    </row>
    <row r="2646" spans="1:10" x14ac:dyDescent="0.3">
      <c r="A2646" s="32" t="s">
        <v>17</v>
      </c>
      <c r="B2646" s="32">
        <f t="shared" ref="B2646:B2660" si="629">+B2645+1</f>
        <v>2045</v>
      </c>
      <c r="C2646" s="33" t="s">
        <v>52</v>
      </c>
      <c r="D2646" s="34" t="s">
        <v>2002</v>
      </c>
      <c r="E2646" s="35" t="str">
        <f t="shared" si="627"/>
        <v>PRBDP'!</v>
      </c>
      <c r="F2646" s="34" t="str">
        <f t="shared" si="628"/>
        <v>C:\Users\jaime.benazar\Quorum Business Solutions\Ecopetrol Prometeo - Documents\Planning Space Implementation\3. Analysis &amp; Design\Design\FC22\DRR Jaime\Neiva CPI\[DINA TERCIARIOS_CF_SEC_New_27-Mar-2024.xlsx]D-PRBDP'!</v>
      </c>
      <c r="G2646" s="32" t="s">
        <v>122</v>
      </c>
      <c r="H2646" s="33"/>
      <c r="I2646" s="33"/>
      <c r="J2646" s="37"/>
    </row>
    <row r="2647" spans="1:10" x14ac:dyDescent="0.3">
      <c r="A2647" s="32" t="s">
        <v>17</v>
      </c>
      <c r="B2647" s="32">
        <f t="shared" si="629"/>
        <v>2046</v>
      </c>
      <c r="C2647" s="33" t="s">
        <v>52</v>
      </c>
      <c r="D2647" s="34" t="s">
        <v>2002</v>
      </c>
      <c r="E2647" s="35" t="str">
        <f t="shared" si="627"/>
        <v>PRBDP'!</v>
      </c>
      <c r="F2647" s="34" t="str">
        <f t="shared" si="628"/>
        <v>C:\Users\jaime.benazar\Quorum Business Solutions\Ecopetrol Prometeo - Documents\Planning Space Implementation\3. Analysis &amp; Design\Design\FC22\DRR Jaime\Neiva CPI\[DINA TERCIARIOS_CF_SEC_New_27-Mar-2024.xlsx]D-PRBDP'!</v>
      </c>
      <c r="G2647" s="32" t="s">
        <v>122</v>
      </c>
      <c r="H2647" s="33"/>
      <c r="I2647" s="33"/>
      <c r="J2647" s="37"/>
    </row>
    <row r="2648" spans="1:10" x14ac:dyDescent="0.3">
      <c r="A2648" s="32" t="s">
        <v>17</v>
      </c>
      <c r="B2648" s="32">
        <f t="shared" si="629"/>
        <v>2047</v>
      </c>
      <c r="C2648" s="33" t="s">
        <v>52</v>
      </c>
      <c r="D2648" s="34" t="s">
        <v>2002</v>
      </c>
      <c r="E2648" s="35" t="str">
        <f t="shared" si="627"/>
        <v>PRBDP'!</v>
      </c>
      <c r="F2648" s="34" t="str">
        <f t="shared" si="628"/>
        <v>C:\Users\jaime.benazar\Quorum Business Solutions\Ecopetrol Prometeo - Documents\Planning Space Implementation\3. Analysis &amp; Design\Design\FC22\DRR Jaime\Neiva CPI\[DINA TERCIARIOS_CF_SEC_New_27-Mar-2024.xlsx]D-PRBDP'!</v>
      </c>
      <c r="G2648" s="32" t="s">
        <v>122</v>
      </c>
      <c r="H2648" s="33"/>
      <c r="I2648" s="33"/>
      <c r="J2648" s="37"/>
    </row>
    <row r="2649" spans="1:10" x14ac:dyDescent="0.3">
      <c r="A2649" s="32" t="s">
        <v>17</v>
      </c>
      <c r="B2649" s="32">
        <f t="shared" si="629"/>
        <v>2048</v>
      </c>
      <c r="C2649" s="33" t="s">
        <v>52</v>
      </c>
      <c r="D2649" s="34" t="s">
        <v>2002</v>
      </c>
      <c r="E2649" s="35" t="str">
        <f t="shared" si="627"/>
        <v>PRBDP'!</v>
      </c>
      <c r="F2649" s="34" t="str">
        <f t="shared" si="628"/>
        <v>C:\Users\jaime.benazar\Quorum Business Solutions\Ecopetrol Prometeo - Documents\Planning Space Implementation\3. Analysis &amp; Design\Design\FC22\DRR Jaime\Neiva CPI\[DINA TERCIARIOS_CF_SEC_New_27-Mar-2024.xlsx]D-PRBDP'!</v>
      </c>
      <c r="G2649" s="32" t="s">
        <v>122</v>
      </c>
      <c r="H2649" s="33"/>
      <c r="I2649" s="33"/>
      <c r="J2649" s="37"/>
    </row>
    <row r="2650" spans="1:10" x14ac:dyDescent="0.3">
      <c r="A2650" s="32" t="s">
        <v>17</v>
      </c>
      <c r="B2650" s="32">
        <f t="shared" si="629"/>
        <v>2049</v>
      </c>
      <c r="C2650" s="33" t="s">
        <v>52</v>
      </c>
      <c r="D2650" s="34" t="s">
        <v>2002</v>
      </c>
      <c r="E2650" s="35" t="str">
        <f t="shared" si="627"/>
        <v>PRBDP'!</v>
      </c>
      <c r="F2650" s="34" t="str">
        <f t="shared" si="628"/>
        <v>C:\Users\jaime.benazar\Quorum Business Solutions\Ecopetrol Prometeo - Documents\Planning Space Implementation\3. Analysis &amp; Design\Design\FC22\DRR Jaime\Neiva CPI\[DINA TERCIARIOS_CF_SEC_New_27-Mar-2024.xlsx]D-PRBDP'!</v>
      </c>
      <c r="G2650" s="32" t="s">
        <v>122</v>
      </c>
      <c r="H2650" s="33"/>
      <c r="I2650" s="33"/>
      <c r="J2650" s="37"/>
    </row>
    <row r="2651" spans="1:10" x14ac:dyDescent="0.3">
      <c r="A2651" s="32" t="s">
        <v>17</v>
      </c>
      <c r="B2651" s="32">
        <f t="shared" si="629"/>
        <v>2050</v>
      </c>
      <c r="C2651" s="33" t="s">
        <v>52</v>
      </c>
      <c r="D2651" s="34" t="s">
        <v>2002</v>
      </c>
      <c r="E2651" s="35" t="str">
        <f t="shared" si="627"/>
        <v>PRBDP'!</v>
      </c>
      <c r="F2651" s="34" t="str">
        <f t="shared" si="628"/>
        <v>C:\Users\jaime.benazar\Quorum Business Solutions\Ecopetrol Prometeo - Documents\Planning Space Implementation\3. Analysis &amp; Design\Design\FC22\DRR Jaime\Neiva CPI\[DINA TERCIARIOS_CF_SEC_New_27-Mar-2024.xlsx]D-PRBDP'!</v>
      </c>
      <c r="G2651" s="32" t="s">
        <v>122</v>
      </c>
      <c r="H2651" s="33"/>
      <c r="I2651" s="33"/>
      <c r="J2651" s="37"/>
    </row>
    <row r="2652" spans="1:10" x14ac:dyDescent="0.3">
      <c r="A2652" s="32" t="s">
        <v>17</v>
      </c>
      <c r="B2652" s="32">
        <f t="shared" si="629"/>
        <v>2051</v>
      </c>
      <c r="C2652" s="33" t="s">
        <v>52</v>
      </c>
      <c r="D2652" s="34" t="s">
        <v>2002</v>
      </c>
      <c r="E2652" s="35" t="str">
        <f t="shared" si="627"/>
        <v>PRBDP'!</v>
      </c>
      <c r="F2652" s="34" t="str">
        <f t="shared" si="628"/>
        <v>C:\Users\jaime.benazar\Quorum Business Solutions\Ecopetrol Prometeo - Documents\Planning Space Implementation\3. Analysis &amp; Design\Design\FC22\DRR Jaime\Neiva CPI\[DINA TERCIARIOS_CF_SEC_New_27-Mar-2024.xlsx]D-PRBDP'!</v>
      </c>
      <c r="G2652" s="32" t="s">
        <v>122</v>
      </c>
      <c r="H2652" s="33"/>
      <c r="I2652" s="33"/>
      <c r="J2652" s="37"/>
    </row>
    <row r="2653" spans="1:10" x14ac:dyDescent="0.3">
      <c r="A2653" s="32" t="s">
        <v>17</v>
      </c>
      <c r="B2653" s="32">
        <f t="shared" si="629"/>
        <v>2052</v>
      </c>
      <c r="C2653" s="33" t="s">
        <v>52</v>
      </c>
      <c r="D2653" s="34" t="s">
        <v>2002</v>
      </c>
      <c r="E2653" s="35" t="str">
        <f t="shared" si="627"/>
        <v>PRBDP'!</v>
      </c>
      <c r="F2653" s="34" t="str">
        <f t="shared" si="628"/>
        <v>C:\Users\jaime.benazar\Quorum Business Solutions\Ecopetrol Prometeo - Documents\Planning Space Implementation\3. Analysis &amp; Design\Design\FC22\DRR Jaime\Neiva CPI\[DINA TERCIARIOS_CF_SEC_New_27-Mar-2024.xlsx]D-PRBDP'!</v>
      </c>
      <c r="G2653" s="32" t="s">
        <v>122</v>
      </c>
      <c r="H2653" s="33"/>
      <c r="I2653" s="33"/>
      <c r="J2653" s="37"/>
    </row>
    <row r="2654" spans="1:10" x14ac:dyDescent="0.3">
      <c r="A2654" s="32" t="s">
        <v>17</v>
      </c>
      <c r="B2654" s="32">
        <f t="shared" si="629"/>
        <v>2053</v>
      </c>
      <c r="C2654" s="33" t="s">
        <v>52</v>
      </c>
      <c r="D2654" s="34" t="s">
        <v>2002</v>
      </c>
      <c r="E2654" s="35" t="str">
        <f t="shared" si="627"/>
        <v>PRBDP'!</v>
      </c>
      <c r="F2654" s="34" t="str">
        <f t="shared" si="628"/>
        <v>C:\Users\jaime.benazar\Quorum Business Solutions\Ecopetrol Prometeo - Documents\Planning Space Implementation\3. Analysis &amp; Design\Design\FC22\DRR Jaime\Neiva CPI\[DINA TERCIARIOS_CF_SEC_New_27-Mar-2024.xlsx]D-PRBDP'!</v>
      </c>
      <c r="G2654" s="32" t="s">
        <v>122</v>
      </c>
      <c r="H2654" s="33"/>
      <c r="I2654" s="33"/>
      <c r="J2654" s="37"/>
    </row>
    <row r="2655" spans="1:10" x14ac:dyDescent="0.3">
      <c r="A2655" s="32" t="s">
        <v>17</v>
      </c>
      <c r="B2655" s="32">
        <f t="shared" si="629"/>
        <v>2054</v>
      </c>
      <c r="C2655" s="33" t="s">
        <v>52</v>
      </c>
      <c r="D2655" s="34" t="s">
        <v>2002</v>
      </c>
      <c r="E2655" s="35" t="str">
        <f t="shared" si="627"/>
        <v>PRBDP'!</v>
      </c>
      <c r="F2655" s="34" t="str">
        <f t="shared" si="628"/>
        <v>C:\Users\jaime.benazar\Quorum Business Solutions\Ecopetrol Prometeo - Documents\Planning Space Implementation\3. Analysis &amp; Design\Design\FC22\DRR Jaime\Neiva CPI\[DINA TERCIARIOS_CF_SEC_New_27-Mar-2024.xlsx]D-PRBDP'!</v>
      </c>
      <c r="G2655" s="32" t="s">
        <v>122</v>
      </c>
      <c r="H2655" s="33"/>
      <c r="I2655" s="33"/>
      <c r="J2655" s="37"/>
    </row>
    <row r="2656" spans="1:10" x14ac:dyDescent="0.3">
      <c r="A2656" s="32" t="s">
        <v>17</v>
      </c>
      <c r="B2656" s="32">
        <f t="shared" si="629"/>
        <v>2055</v>
      </c>
      <c r="C2656" s="33" t="s">
        <v>52</v>
      </c>
      <c r="D2656" s="34" t="s">
        <v>2002</v>
      </c>
      <c r="E2656" s="35" t="str">
        <f t="shared" si="627"/>
        <v>PRBDP'!</v>
      </c>
      <c r="F2656" s="34" t="str">
        <f t="shared" si="628"/>
        <v>C:\Users\jaime.benazar\Quorum Business Solutions\Ecopetrol Prometeo - Documents\Planning Space Implementation\3. Analysis &amp; Design\Design\FC22\DRR Jaime\Neiva CPI\[DINA TERCIARIOS_CF_SEC_New_27-Mar-2024.xlsx]D-PRBDP'!</v>
      </c>
      <c r="G2656" s="32" t="s">
        <v>122</v>
      </c>
      <c r="H2656" s="33"/>
      <c r="I2656" s="33"/>
      <c r="J2656" s="37"/>
    </row>
    <row r="2657" spans="1:10" x14ac:dyDescent="0.3">
      <c r="A2657" s="32" t="s">
        <v>17</v>
      </c>
      <c r="B2657" s="32">
        <f t="shared" si="629"/>
        <v>2056</v>
      </c>
      <c r="C2657" s="33" t="s">
        <v>52</v>
      </c>
      <c r="D2657" s="34" t="s">
        <v>2002</v>
      </c>
      <c r="E2657" s="35" t="str">
        <f t="shared" si="627"/>
        <v>PRBDP'!</v>
      </c>
      <c r="F2657" s="34" t="str">
        <f t="shared" si="628"/>
        <v>C:\Users\jaime.benazar\Quorum Business Solutions\Ecopetrol Prometeo - Documents\Planning Space Implementation\3. Analysis &amp; Design\Design\FC22\DRR Jaime\Neiva CPI\[DINA TERCIARIOS_CF_SEC_New_27-Mar-2024.xlsx]D-PRBDP'!</v>
      </c>
      <c r="G2657" s="32" t="s">
        <v>122</v>
      </c>
      <c r="H2657" s="33"/>
      <c r="I2657" s="33"/>
      <c r="J2657" s="37"/>
    </row>
    <row r="2658" spans="1:10" x14ac:dyDescent="0.3">
      <c r="A2658" s="32" t="s">
        <v>17</v>
      </c>
      <c r="B2658" s="32">
        <f t="shared" si="629"/>
        <v>2057</v>
      </c>
      <c r="C2658" s="33" t="s">
        <v>52</v>
      </c>
      <c r="D2658" s="34" t="s">
        <v>2002</v>
      </c>
      <c r="E2658" s="35" t="str">
        <f t="shared" si="627"/>
        <v>PRBDP'!</v>
      </c>
      <c r="F2658" s="34" t="str">
        <f t="shared" si="628"/>
        <v>C:\Users\jaime.benazar\Quorum Business Solutions\Ecopetrol Prometeo - Documents\Planning Space Implementation\3. Analysis &amp; Design\Design\FC22\DRR Jaime\Neiva CPI\[DINA TERCIARIOS_CF_SEC_New_27-Mar-2024.xlsx]D-PRBDP'!</v>
      </c>
      <c r="G2658" s="32" t="s">
        <v>122</v>
      </c>
      <c r="H2658" s="33"/>
      <c r="I2658" s="33"/>
      <c r="J2658" s="37"/>
    </row>
    <row r="2659" spans="1:10" x14ac:dyDescent="0.3">
      <c r="A2659" s="32" t="s">
        <v>17</v>
      </c>
      <c r="B2659" s="32">
        <f t="shared" si="629"/>
        <v>2058</v>
      </c>
      <c r="C2659" s="33" t="s">
        <v>52</v>
      </c>
      <c r="D2659" s="34" t="s">
        <v>2002</v>
      </c>
      <c r="E2659" s="35" t="str">
        <f t="shared" si="627"/>
        <v>PRBDP'!</v>
      </c>
      <c r="F2659" s="34" t="str">
        <f t="shared" si="628"/>
        <v>C:\Users\jaime.benazar\Quorum Business Solutions\Ecopetrol Prometeo - Documents\Planning Space Implementation\3. Analysis &amp; Design\Design\FC22\DRR Jaime\Neiva CPI\[DINA TERCIARIOS_CF_SEC_New_27-Mar-2024.xlsx]D-PRBDP'!</v>
      </c>
      <c r="G2659" s="32" t="s">
        <v>122</v>
      </c>
      <c r="H2659" s="33"/>
      <c r="I2659" s="33"/>
      <c r="J2659" s="37"/>
    </row>
    <row r="2660" spans="1:10" x14ac:dyDescent="0.3">
      <c r="A2660" s="32" t="s">
        <v>17</v>
      </c>
      <c r="B2660" s="32">
        <f t="shared" si="629"/>
        <v>2059</v>
      </c>
      <c r="C2660" s="33" t="s">
        <v>52</v>
      </c>
      <c r="D2660" s="34" t="s">
        <v>2002</v>
      </c>
      <c r="E2660" s="35" t="str">
        <f t="shared" si="627"/>
        <v>PRBDP'!</v>
      </c>
      <c r="F2660" s="34" t="str">
        <f t="shared" si="628"/>
        <v>C:\Users\jaime.benazar\Quorum Business Solutions\Ecopetrol Prometeo - Documents\Planning Space Implementation\3. Analysis &amp; Design\Design\FC22\DRR Jaime\Neiva CPI\[DINA TERCIARIOS_CF_SEC_New_27-Mar-2024.xlsx]D-PRBDP'!</v>
      </c>
      <c r="G2660" s="32" t="s">
        <v>122</v>
      </c>
      <c r="H2660" s="33"/>
      <c r="I2660" s="33"/>
      <c r="J2660" s="37"/>
    </row>
    <row r="2661" spans="1:10" x14ac:dyDescent="0.3">
      <c r="A2661" s="32" t="s">
        <v>26</v>
      </c>
      <c r="B2661" s="32"/>
      <c r="C2661" s="33" t="s">
        <v>52</v>
      </c>
      <c r="D2661" s="34"/>
      <c r="E2661" s="35"/>
      <c r="F2661" s="34"/>
      <c r="G2661" s="32"/>
      <c r="H2661" s="33"/>
      <c r="I2661" s="33"/>
      <c r="J2661" s="33"/>
    </row>
    <row r="2662" spans="1:10" x14ac:dyDescent="0.3">
      <c r="A2662" s="32" t="s">
        <v>18</v>
      </c>
      <c r="B2662" s="32">
        <v>2023</v>
      </c>
      <c r="C2662" s="33" t="s">
        <v>52</v>
      </c>
      <c r="D2662" s="34" t="s">
        <v>2002</v>
      </c>
      <c r="E2662" s="35" t="str">
        <f t="shared" ref="E2662:E2682" si="630">_xlfn.CONCAT(A2662,"'!")</f>
        <v>PRBNP'!</v>
      </c>
      <c r="F2662" s="34" t="str">
        <f t="shared" ref="F2662:F2682" si="631">_xlfn.CONCAT(D2662:E2662)</f>
        <v>C:\Users\jaime.benazar\Quorum Business Solutions\Ecopetrol Prometeo - Documents\Planning Space Implementation\3. Analysis &amp; Design\Design\FC22\DRR Jaime\Neiva CPI\[DINA TERCIARIOS_CF_SEC_New_27-Mar-2024.xlsx]D-PRBNP'!</v>
      </c>
      <c r="G2662" s="32" t="s">
        <v>122</v>
      </c>
      <c r="H2662" s="33"/>
      <c r="I2662" s="33"/>
      <c r="J2662" s="37"/>
    </row>
    <row r="2663" spans="1:10" x14ac:dyDescent="0.3">
      <c r="A2663" s="32" t="s">
        <v>18</v>
      </c>
      <c r="B2663" s="32">
        <f>+B2662+1</f>
        <v>2024</v>
      </c>
      <c r="C2663" s="33" t="s">
        <v>52</v>
      </c>
      <c r="D2663" s="34" t="s">
        <v>2002</v>
      </c>
      <c r="E2663" s="35" t="str">
        <f t="shared" si="630"/>
        <v>PRBNP'!</v>
      </c>
      <c r="F2663" s="34" t="str">
        <f t="shared" si="631"/>
        <v>C:\Users\jaime.benazar\Quorum Business Solutions\Ecopetrol Prometeo - Documents\Planning Space Implementation\3. Analysis &amp; Design\Design\FC22\DRR Jaime\Neiva CPI\[DINA TERCIARIOS_CF_SEC_New_27-Mar-2024.xlsx]D-PRBNP'!</v>
      </c>
      <c r="G2663" s="32" t="s">
        <v>122</v>
      </c>
      <c r="H2663" s="33"/>
      <c r="I2663" s="33"/>
      <c r="J2663" s="37"/>
    </row>
    <row r="2664" spans="1:10" x14ac:dyDescent="0.3">
      <c r="A2664" s="32" t="s">
        <v>18</v>
      </c>
      <c r="B2664" s="32">
        <f t="shared" ref="B2664:B2675" si="632">+B2663+1</f>
        <v>2025</v>
      </c>
      <c r="C2664" s="33" t="s">
        <v>52</v>
      </c>
      <c r="D2664" s="34" t="s">
        <v>2002</v>
      </c>
      <c r="E2664" s="35" t="str">
        <f t="shared" si="630"/>
        <v>PRBNP'!</v>
      </c>
      <c r="F2664" s="34" t="str">
        <f t="shared" si="631"/>
        <v>C:\Users\jaime.benazar\Quorum Business Solutions\Ecopetrol Prometeo - Documents\Planning Space Implementation\3. Analysis &amp; Design\Design\FC22\DRR Jaime\Neiva CPI\[DINA TERCIARIOS_CF_SEC_New_27-Mar-2024.xlsx]D-PRBNP'!</v>
      </c>
      <c r="G2664" s="32" t="s">
        <v>122</v>
      </c>
      <c r="H2664" s="33"/>
      <c r="I2664" s="33"/>
      <c r="J2664" s="37"/>
    </row>
    <row r="2665" spans="1:10" x14ac:dyDescent="0.3">
      <c r="A2665" s="32" t="s">
        <v>18</v>
      </c>
      <c r="B2665" s="32">
        <f t="shared" si="632"/>
        <v>2026</v>
      </c>
      <c r="C2665" s="33" t="s">
        <v>52</v>
      </c>
      <c r="D2665" s="34" t="s">
        <v>2002</v>
      </c>
      <c r="E2665" s="35" t="str">
        <f t="shared" si="630"/>
        <v>PRBNP'!</v>
      </c>
      <c r="F2665" s="34" t="str">
        <f t="shared" si="631"/>
        <v>C:\Users\jaime.benazar\Quorum Business Solutions\Ecopetrol Prometeo - Documents\Planning Space Implementation\3. Analysis &amp; Design\Design\FC22\DRR Jaime\Neiva CPI\[DINA TERCIARIOS_CF_SEC_New_27-Mar-2024.xlsx]D-PRBNP'!</v>
      </c>
      <c r="G2665" s="32" t="s">
        <v>122</v>
      </c>
      <c r="H2665" s="33"/>
      <c r="I2665" s="33"/>
      <c r="J2665" s="37"/>
    </row>
    <row r="2666" spans="1:10" x14ac:dyDescent="0.3">
      <c r="A2666" s="32" t="s">
        <v>18</v>
      </c>
      <c r="B2666" s="32">
        <f t="shared" si="632"/>
        <v>2027</v>
      </c>
      <c r="C2666" s="33" t="s">
        <v>52</v>
      </c>
      <c r="D2666" s="34" t="s">
        <v>2002</v>
      </c>
      <c r="E2666" s="35" t="str">
        <f t="shared" si="630"/>
        <v>PRBNP'!</v>
      </c>
      <c r="F2666" s="34" t="str">
        <f t="shared" si="631"/>
        <v>C:\Users\jaime.benazar\Quorum Business Solutions\Ecopetrol Prometeo - Documents\Planning Space Implementation\3. Analysis &amp; Design\Design\FC22\DRR Jaime\Neiva CPI\[DINA TERCIARIOS_CF_SEC_New_27-Mar-2024.xlsx]D-PRBNP'!</v>
      </c>
      <c r="G2666" s="32" t="s">
        <v>122</v>
      </c>
      <c r="H2666" s="33"/>
      <c r="I2666" s="33"/>
      <c r="J2666" s="37"/>
    </row>
    <row r="2667" spans="1:10" x14ac:dyDescent="0.3">
      <c r="A2667" s="32" t="s">
        <v>18</v>
      </c>
      <c r="B2667" s="32">
        <f t="shared" si="632"/>
        <v>2028</v>
      </c>
      <c r="C2667" s="33" t="s">
        <v>52</v>
      </c>
      <c r="D2667" s="34" t="s">
        <v>2002</v>
      </c>
      <c r="E2667" s="35" t="str">
        <f t="shared" si="630"/>
        <v>PRBNP'!</v>
      </c>
      <c r="F2667" s="34" t="str">
        <f t="shared" si="631"/>
        <v>C:\Users\jaime.benazar\Quorum Business Solutions\Ecopetrol Prometeo - Documents\Planning Space Implementation\3. Analysis &amp; Design\Design\FC22\DRR Jaime\Neiva CPI\[DINA TERCIARIOS_CF_SEC_New_27-Mar-2024.xlsx]D-PRBNP'!</v>
      </c>
      <c r="G2667" s="32" t="s">
        <v>122</v>
      </c>
      <c r="H2667" s="33"/>
      <c r="I2667" s="33"/>
      <c r="J2667" s="37"/>
    </row>
    <row r="2668" spans="1:10" x14ac:dyDescent="0.3">
      <c r="A2668" s="32" t="s">
        <v>18</v>
      </c>
      <c r="B2668" s="32">
        <f t="shared" si="632"/>
        <v>2029</v>
      </c>
      <c r="C2668" s="33" t="s">
        <v>52</v>
      </c>
      <c r="D2668" s="34" t="s">
        <v>2002</v>
      </c>
      <c r="E2668" s="35" t="str">
        <f t="shared" si="630"/>
        <v>PRBNP'!</v>
      </c>
      <c r="F2668" s="34" t="str">
        <f t="shared" si="631"/>
        <v>C:\Users\jaime.benazar\Quorum Business Solutions\Ecopetrol Prometeo - Documents\Planning Space Implementation\3. Analysis &amp; Design\Design\FC22\DRR Jaime\Neiva CPI\[DINA TERCIARIOS_CF_SEC_New_27-Mar-2024.xlsx]D-PRBNP'!</v>
      </c>
      <c r="G2668" s="32" t="s">
        <v>122</v>
      </c>
      <c r="H2668" s="33"/>
      <c r="I2668" s="33"/>
      <c r="J2668" s="37"/>
    </row>
    <row r="2669" spans="1:10" x14ac:dyDescent="0.3">
      <c r="A2669" s="32" t="s">
        <v>18</v>
      </c>
      <c r="B2669" s="32">
        <f t="shared" si="632"/>
        <v>2030</v>
      </c>
      <c r="C2669" s="33" t="s">
        <v>52</v>
      </c>
      <c r="D2669" s="34" t="s">
        <v>2002</v>
      </c>
      <c r="E2669" s="35" t="str">
        <f t="shared" si="630"/>
        <v>PRBNP'!</v>
      </c>
      <c r="F2669" s="34" t="str">
        <f t="shared" si="631"/>
        <v>C:\Users\jaime.benazar\Quorum Business Solutions\Ecopetrol Prometeo - Documents\Planning Space Implementation\3. Analysis &amp; Design\Design\FC22\DRR Jaime\Neiva CPI\[DINA TERCIARIOS_CF_SEC_New_27-Mar-2024.xlsx]D-PRBNP'!</v>
      </c>
      <c r="G2669" s="32" t="s">
        <v>122</v>
      </c>
      <c r="H2669" s="33"/>
      <c r="I2669" s="33"/>
      <c r="J2669" s="37"/>
    </row>
    <row r="2670" spans="1:10" x14ac:dyDescent="0.3">
      <c r="A2670" s="32" t="s">
        <v>18</v>
      </c>
      <c r="B2670" s="32">
        <f t="shared" si="632"/>
        <v>2031</v>
      </c>
      <c r="C2670" s="33" t="s">
        <v>52</v>
      </c>
      <c r="D2670" s="34" t="s">
        <v>2002</v>
      </c>
      <c r="E2670" s="35" t="str">
        <f t="shared" si="630"/>
        <v>PRBNP'!</v>
      </c>
      <c r="F2670" s="34" t="str">
        <f t="shared" si="631"/>
        <v>C:\Users\jaime.benazar\Quorum Business Solutions\Ecopetrol Prometeo - Documents\Planning Space Implementation\3. Analysis &amp; Design\Design\FC22\DRR Jaime\Neiva CPI\[DINA TERCIARIOS_CF_SEC_New_27-Mar-2024.xlsx]D-PRBNP'!</v>
      </c>
      <c r="G2670" s="32" t="s">
        <v>122</v>
      </c>
      <c r="H2670" s="33"/>
      <c r="I2670" s="33"/>
      <c r="J2670" s="37"/>
    </row>
    <row r="2671" spans="1:10" x14ac:dyDescent="0.3">
      <c r="A2671" s="32" t="s">
        <v>18</v>
      </c>
      <c r="B2671" s="32">
        <f t="shared" si="632"/>
        <v>2032</v>
      </c>
      <c r="C2671" s="33" t="s">
        <v>52</v>
      </c>
      <c r="D2671" s="34" t="s">
        <v>2002</v>
      </c>
      <c r="E2671" s="35" t="str">
        <f t="shared" si="630"/>
        <v>PRBNP'!</v>
      </c>
      <c r="F2671" s="34" t="str">
        <f t="shared" si="631"/>
        <v>C:\Users\jaime.benazar\Quorum Business Solutions\Ecopetrol Prometeo - Documents\Planning Space Implementation\3. Analysis &amp; Design\Design\FC22\DRR Jaime\Neiva CPI\[DINA TERCIARIOS_CF_SEC_New_27-Mar-2024.xlsx]D-PRBNP'!</v>
      </c>
      <c r="G2671" s="32" t="s">
        <v>122</v>
      </c>
      <c r="H2671" s="33"/>
      <c r="I2671" s="33"/>
      <c r="J2671" s="37"/>
    </row>
    <row r="2672" spans="1:10" x14ac:dyDescent="0.3">
      <c r="A2672" s="32" t="s">
        <v>18</v>
      </c>
      <c r="B2672" s="32">
        <f t="shared" si="632"/>
        <v>2033</v>
      </c>
      <c r="C2672" s="33" t="s">
        <v>52</v>
      </c>
      <c r="D2672" s="34" t="s">
        <v>2002</v>
      </c>
      <c r="E2672" s="35" t="str">
        <f t="shared" si="630"/>
        <v>PRBNP'!</v>
      </c>
      <c r="F2672" s="34" t="str">
        <f t="shared" si="631"/>
        <v>C:\Users\jaime.benazar\Quorum Business Solutions\Ecopetrol Prometeo - Documents\Planning Space Implementation\3. Analysis &amp; Design\Design\FC22\DRR Jaime\Neiva CPI\[DINA TERCIARIOS_CF_SEC_New_27-Mar-2024.xlsx]D-PRBNP'!</v>
      </c>
      <c r="G2672" s="32" t="s">
        <v>122</v>
      </c>
      <c r="H2672" s="33"/>
      <c r="I2672" s="33"/>
      <c r="J2672" s="37"/>
    </row>
    <row r="2673" spans="1:10" x14ac:dyDescent="0.3">
      <c r="A2673" s="32" t="s">
        <v>18</v>
      </c>
      <c r="B2673" s="32">
        <f t="shared" si="632"/>
        <v>2034</v>
      </c>
      <c r="C2673" s="33" t="s">
        <v>52</v>
      </c>
      <c r="D2673" s="34" t="s">
        <v>2002</v>
      </c>
      <c r="E2673" s="35" t="str">
        <f t="shared" si="630"/>
        <v>PRBNP'!</v>
      </c>
      <c r="F2673" s="34" t="str">
        <f t="shared" si="631"/>
        <v>C:\Users\jaime.benazar\Quorum Business Solutions\Ecopetrol Prometeo - Documents\Planning Space Implementation\3. Analysis &amp; Design\Design\FC22\DRR Jaime\Neiva CPI\[DINA TERCIARIOS_CF_SEC_New_27-Mar-2024.xlsx]D-PRBNP'!</v>
      </c>
      <c r="G2673" s="32" t="s">
        <v>122</v>
      </c>
      <c r="H2673" s="33"/>
      <c r="I2673" s="33"/>
      <c r="J2673" s="37"/>
    </row>
    <row r="2674" spans="1:10" x14ac:dyDescent="0.3">
      <c r="A2674" s="32" t="s">
        <v>18</v>
      </c>
      <c r="B2674" s="32">
        <f t="shared" si="632"/>
        <v>2035</v>
      </c>
      <c r="C2674" s="33" t="s">
        <v>52</v>
      </c>
      <c r="D2674" s="34" t="s">
        <v>2002</v>
      </c>
      <c r="E2674" s="35" t="str">
        <f t="shared" si="630"/>
        <v>PRBNP'!</v>
      </c>
      <c r="F2674" s="34" t="str">
        <f t="shared" si="631"/>
        <v>C:\Users\jaime.benazar\Quorum Business Solutions\Ecopetrol Prometeo - Documents\Planning Space Implementation\3. Analysis &amp; Design\Design\FC22\DRR Jaime\Neiva CPI\[DINA TERCIARIOS_CF_SEC_New_27-Mar-2024.xlsx]D-PRBNP'!</v>
      </c>
      <c r="G2674" s="32" t="s">
        <v>122</v>
      </c>
      <c r="H2674" s="33"/>
      <c r="I2674" s="33"/>
      <c r="J2674" s="37"/>
    </row>
    <row r="2675" spans="1:10" x14ac:dyDescent="0.3">
      <c r="A2675" s="32" t="s">
        <v>18</v>
      </c>
      <c r="B2675" s="32">
        <f t="shared" si="632"/>
        <v>2036</v>
      </c>
      <c r="C2675" s="33" t="s">
        <v>52</v>
      </c>
      <c r="D2675" s="34" t="s">
        <v>2002</v>
      </c>
      <c r="E2675" s="35" t="str">
        <f t="shared" si="630"/>
        <v>PRBNP'!</v>
      </c>
      <c r="F2675" s="34" t="str">
        <f t="shared" si="631"/>
        <v>C:\Users\jaime.benazar\Quorum Business Solutions\Ecopetrol Prometeo - Documents\Planning Space Implementation\3. Analysis &amp; Design\Design\FC22\DRR Jaime\Neiva CPI\[DINA TERCIARIOS_CF_SEC_New_27-Mar-2024.xlsx]D-PRBNP'!</v>
      </c>
      <c r="G2675" s="32" t="s">
        <v>122</v>
      </c>
      <c r="H2675" s="33"/>
      <c r="I2675" s="33"/>
      <c r="J2675" s="37"/>
    </row>
    <row r="2676" spans="1:10" x14ac:dyDescent="0.3">
      <c r="A2676" s="32" t="s">
        <v>18</v>
      </c>
      <c r="B2676" s="32">
        <f>+B2675+1</f>
        <v>2037</v>
      </c>
      <c r="C2676" s="33" t="s">
        <v>52</v>
      </c>
      <c r="D2676" s="34" t="s">
        <v>2002</v>
      </c>
      <c r="E2676" s="35" t="str">
        <f t="shared" si="630"/>
        <v>PRBNP'!</v>
      </c>
      <c r="F2676" s="34" t="str">
        <f t="shared" si="631"/>
        <v>C:\Users\jaime.benazar\Quorum Business Solutions\Ecopetrol Prometeo - Documents\Planning Space Implementation\3. Analysis &amp; Design\Design\FC22\DRR Jaime\Neiva CPI\[DINA TERCIARIOS_CF_SEC_New_27-Mar-2024.xlsx]D-PRBNP'!</v>
      </c>
      <c r="G2676" s="32" t="s">
        <v>122</v>
      </c>
      <c r="H2676" s="33"/>
      <c r="I2676" s="33"/>
      <c r="J2676" s="37"/>
    </row>
    <row r="2677" spans="1:10" x14ac:dyDescent="0.3">
      <c r="A2677" s="32" t="s">
        <v>18</v>
      </c>
      <c r="B2677" s="32">
        <f t="shared" ref="B2677:B2679" si="633">+B2676+1</f>
        <v>2038</v>
      </c>
      <c r="C2677" s="33" t="s">
        <v>52</v>
      </c>
      <c r="D2677" s="34" t="s">
        <v>2002</v>
      </c>
      <c r="E2677" s="35" t="str">
        <f t="shared" si="630"/>
        <v>PRBNP'!</v>
      </c>
      <c r="F2677" s="34" t="str">
        <f t="shared" si="631"/>
        <v>C:\Users\jaime.benazar\Quorum Business Solutions\Ecopetrol Prometeo - Documents\Planning Space Implementation\3. Analysis &amp; Design\Design\FC22\DRR Jaime\Neiva CPI\[DINA TERCIARIOS_CF_SEC_New_27-Mar-2024.xlsx]D-PRBNP'!</v>
      </c>
      <c r="G2677" s="32" t="s">
        <v>122</v>
      </c>
      <c r="H2677" s="33"/>
      <c r="I2677" s="33"/>
      <c r="J2677" s="37"/>
    </row>
    <row r="2678" spans="1:10" x14ac:dyDescent="0.3">
      <c r="A2678" s="32" t="s">
        <v>18</v>
      </c>
      <c r="B2678" s="32">
        <f t="shared" si="633"/>
        <v>2039</v>
      </c>
      <c r="C2678" s="33" t="s">
        <v>52</v>
      </c>
      <c r="D2678" s="34" t="s">
        <v>2002</v>
      </c>
      <c r="E2678" s="35" t="str">
        <f t="shared" si="630"/>
        <v>PRBNP'!</v>
      </c>
      <c r="F2678" s="34" t="str">
        <f t="shared" si="631"/>
        <v>C:\Users\jaime.benazar\Quorum Business Solutions\Ecopetrol Prometeo - Documents\Planning Space Implementation\3. Analysis &amp; Design\Design\FC22\DRR Jaime\Neiva CPI\[DINA TERCIARIOS_CF_SEC_New_27-Mar-2024.xlsx]D-PRBNP'!</v>
      </c>
      <c r="G2678" s="32" t="s">
        <v>122</v>
      </c>
      <c r="H2678" s="33"/>
      <c r="I2678" s="33"/>
      <c r="J2678" s="37"/>
    </row>
    <row r="2679" spans="1:10" x14ac:dyDescent="0.3">
      <c r="A2679" s="32" t="s">
        <v>18</v>
      </c>
      <c r="B2679" s="32">
        <f t="shared" si="633"/>
        <v>2040</v>
      </c>
      <c r="C2679" s="33" t="s">
        <v>52</v>
      </c>
      <c r="D2679" s="34" t="s">
        <v>2002</v>
      </c>
      <c r="E2679" s="35" t="str">
        <f t="shared" si="630"/>
        <v>PRBNP'!</v>
      </c>
      <c r="F2679" s="34" t="str">
        <f t="shared" si="631"/>
        <v>C:\Users\jaime.benazar\Quorum Business Solutions\Ecopetrol Prometeo - Documents\Planning Space Implementation\3. Analysis &amp; Design\Design\FC22\DRR Jaime\Neiva CPI\[DINA TERCIARIOS_CF_SEC_New_27-Mar-2024.xlsx]D-PRBNP'!</v>
      </c>
      <c r="G2679" s="32" t="s">
        <v>122</v>
      </c>
      <c r="H2679" s="33"/>
      <c r="I2679" s="33"/>
      <c r="J2679" s="37"/>
    </row>
    <row r="2680" spans="1:10" x14ac:dyDescent="0.3">
      <c r="A2680" s="32" t="s">
        <v>18</v>
      </c>
      <c r="B2680" s="32">
        <f>+B2679+1</f>
        <v>2041</v>
      </c>
      <c r="C2680" s="33" t="s">
        <v>52</v>
      </c>
      <c r="D2680" s="34" t="s">
        <v>2002</v>
      </c>
      <c r="E2680" s="35" t="str">
        <f t="shared" si="630"/>
        <v>PRBNP'!</v>
      </c>
      <c r="F2680" s="34" t="str">
        <f t="shared" si="631"/>
        <v>C:\Users\jaime.benazar\Quorum Business Solutions\Ecopetrol Prometeo - Documents\Planning Space Implementation\3. Analysis &amp; Design\Design\FC22\DRR Jaime\Neiva CPI\[DINA TERCIARIOS_CF_SEC_New_27-Mar-2024.xlsx]D-PRBNP'!</v>
      </c>
      <c r="G2680" s="32" t="s">
        <v>122</v>
      </c>
      <c r="H2680" s="33"/>
      <c r="I2680" s="33"/>
      <c r="J2680" s="37"/>
    </row>
    <row r="2681" spans="1:10" x14ac:dyDescent="0.3">
      <c r="A2681" s="32" t="s">
        <v>18</v>
      </c>
      <c r="B2681" s="32">
        <f t="shared" ref="B2681:B2682" si="634">+B2680+1</f>
        <v>2042</v>
      </c>
      <c r="C2681" s="33" t="s">
        <v>52</v>
      </c>
      <c r="D2681" s="34" t="s">
        <v>2002</v>
      </c>
      <c r="E2681" s="35" t="str">
        <f t="shared" si="630"/>
        <v>PRBNP'!</v>
      </c>
      <c r="F2681" s="34" t="str">
        <f t="shared" si="631"/>
        <v>C:\Users\jaime.benazar\Quorum Business Solutions\Ecopetrol Prometeo - Documents\Planning Space Implementation\3. Analysis &amp; Design\Design\FC22\DRR Jaime\Neiva CPI\[DINA TERCIARIOS_CF_SEC_New_27-Mar-2024.xlsx]D-PRBNP'!</v>
      </c>
      <c r="G2681" s="32" t="s">
        <v>122</v>
      </c>
      <c r="H2681" s="33"/>
      <c r="I2681" s="33"/>
      <c r="J2681" s="37"/>
    </row>
    <row r="2682" spans="1:10" x14ac:dyDescent="0.3">
      <c r="A2682" s="32" t="s">
        <v>18</v>
      </c>
      <c r="B2682" s="32">
        <f t="shared" si="634"/>
        <v>2043</v>
      </c>
      <c r="C2682" s="33" t="s">
        <v>52</v>
      </c>
      <c r="D2682" s="34" t="s">
        <v>2002</v>
      </c>
      <c r="E2682" s="35" t="str">
        <f t="shared" si="630"/>
        <v>PRBNP'!</v>
      </c>
      <c r="F2682" s="34" t="str">
        <f t="shared" si="631"/>
        <v>C:\Users\jaime.benazar\Quorum Business Solutions\Ecopetrol Prometeo - Documents\Planning Space Implementation\3. Analysis &amp; Design\Design\FC22\DRR Jaime\Neiva CPI\[DINA TERCIARIOS_CF_SEC_New_27-Mar-2024.xlsx]D-PRBNP'!</v>
      </c>
      <c r="G2682" s="32" t="s">
        <v>122</v>
      </c>
      <c r="H2682" s="33"/>
      <c r="I2682" s="33"/>
      <c r="J2682" s="37"/>
    </row>
    <row r="2683" spans="1:10" x14ac:dyDescent="0.3">
      <c r="A2683" s="32" t="s">
        <v>18</v>
      </c>
      <c r="B2683" s="32">
        <f>+B2682+1</f>
        <v>2044</v>
      </c>
      <c r="C2683" s="33" t="s">
        <v>52</v>
      </c>
      <c r="D2683" s="34" t="s">
        <v>2002</v>
      </c>
      <c r="E2683" s="35" t="str">
        <f t="shared" ref="E2683:E2698" si="635">_xlfn.CONCAT(A2683,"'!")</f>
        <v>PRBNP'!</v>
      </c>
      <c r="F2683" s="34" t="str">
        <f t="shared" ref="F2683:F2698" si="636">_xlfn.CONCAT(D2683:E2683)</f>
        <v>C:\Users\jaime.benazar\Quorum Business Solutions\Ecopetrol Prometeo - Documents\Planning Space Implementation\3. Analysis &amp; Design\Design\FC22\DRR Jaime\Neiva CPI\[DINA TERCIARIOS_CF_SEC_New_27-Mar-2024.xlsx]D-PRBNP'!</v>
      </c>
      <c r="G2683" s="32" t="s">
        <v>122</v>
      </c>
      <c r="H2683" s="33"/>
      <c r="I2683" s="33"/>
      <c r="J2683" s="37"/>
    </row>
    <row r="2684" spans="1:10" x14ac:dyDescent="0.3">
      <c r="A2684" s="32" t="s">
        <v>18</v>
      </c>
      <c r="B2684" s="32">
        <f t="shared" ref="B2684:B2698" si="637">+B2683+1</f>
        <v>2045</v>
      </c>
      <c r="C2684" s="33" t="s">
        <v>52</v>
      </c>
      <c r="D2684" s="34" t="s">
        <v>2002</v>
      </c>
      <c r="E2684" s="35" t="str">
        <f t="shared" si="635"/>
        <v>PRBNP'!</v>
      </c>
      <c r="F2684" s="34" t="str">
        <f t="shared" si="636"/>
        <v>C:\Users\jaime.benazar\Quorum Business Solutions\Ecopetrol Prometeo - Documents\Planning Space Implementation\3. Analysis &amp; Design\Design\FC22\DRR Jaime\Neiva CPI\[DINA TERCIARIOS_CF_SEC_New_27-Mar-2024.xlsx]D-PRBNP'!</v>
      </c>
      <c r="G2684" s="32" t="s">
        <v>122</v>
      </c>
      <c r="H2684" s="33"/>
      <c r="I2684" s="33"/>
      <c r="J2684" s="37"/>
    </row>
    <row r="2685" spans="1:10" x14ac:dyDescent="0.3">
      <c r="A2685" s="32" t="s">
        <v>18</v>
      </c>
      <c r="B2685" s="32">
        <f t="shared" si="637"/>
        <v>2046</v>
      </c>
      <c r="C2685" s="33" t="s">
        <v>52</v>
      </c>
      <c r="D2685" s="34" t="s">
        <v>2002</v>
      </c>
      <c r="E2685" s="35" t="str">
        <f t="shared" si="635"/>
        <v>PRBNP'!</v>
      </c>
      <c r="F2685" s="34" t="str">
        <f t="shared" si="636"/>
        <v>C:\Users\jaime.benazar\Quorum Business Solutions\Ecopetrol Prometeo - Documents\Planning Space Implementation\3. Analysis &amp; Design\Design\FC22\DRR Jaime\Neiva CPI\[DINA TERCIARIOS_CF_SEC_New_27-Mar-2024.xlsx]D-PRBNP'!</v>
      </c>
      <c r="G2685" s="32" t="s">
        <v>122</v>
      </c>
      <c r="H2685" s="33"/>
      <c r="I2685" s="33"/>
      <c r="J2685" s="37"/>
    </row>
    <row r="2686" spans="1:10" x14ac:dyDescent="0.3">
      <c r="A2686" s="32" t="s">
        <v>18</v>
      </c>
      <c r="B2686" s="32">
        <f t="shared" si="637"/>
        <v>2047</v>
      </c>
      <c r="C2686" s="33" t="s">
        <v>52</v>
      </c>
      <c r="D2686" s="34" t="s">
        <v>2002</v>
      </c>
      <c r="E2686" s="35" t="str">
        <f t="shared" si="635"/>
        <v>PRBNP'!</v>
      </c>
      <c r="F2686" s="34" t="str">
        <f t="shared" si="636"/>
        <v>C:\Users\jaime.benazar\Quorum Business Solutions\Ecopetrol Prometeo - Documents\Planning Space Implementation\3. Analysis &amp; Design\Design\FC22\DRR Jaime\Neiva CPI\[DINA TERCIARIOS_CF_SEC_New_27-Mar-2024.xlsx]D-PRBNP'!</v>
      </c>
      <c r="G2686" s="32" t="s">
        <v>122</v>
      </c>
      <c r="H2686" s="33"/>
      <c r="I2686" s="33"/>
      <c r="J2686" s="37"/>
    </row>
    <row r="2687" spans="1:10" x14ac:dyDescent="0.3">
      <c r="A2687" s="32" t="s">
        <v>18</v>
      </c>
      <c r="B2687" s="32">
        <f t="shared" si="637"/>
        <v>2048</v>
      </c>
      <c r="C2687" s="33" t="s">
        <v>52</v>
      </c>
      <c r="D2687" s="34" t="s">
        <v>2002</v>
      </c>
      <c r="E2687" s="35" t="str">
        <f t="shared" si="635"/>
        <v>PRBNP'!</v>
      </c>
      <c r="F2687" s="34" t="str">
        <f t="shared" si="636"/>
        <v>C:\Users\jaime.benazar\Quorum Business Solutions\Ecopetrol Prometeo - Documents\Planning Space Implementation\3. Analysis &amp; Design\Design\FC22\DRR Jaime\Neiva CPI\[DINA TERCIARIOS_CF_SEC_New_27-Mar-2024.xlsx]D-PRBNP'!</v>
      </c>
      <c r="G2687" s="32" t="s">
        <v>122</v>
      </c>
      <c r="H2687" s="33"/>
      <c r="I2687" s="33"/>
      <c r="J2687" s="37"/>
    </row>
    <row r="2688" spans="1:10" x14ac:dyDescent="0.3">
      <c r="A2688" s="32" t="s">
        <v>18</v>
      </c>
      <c r="B2688" s="32">
        <f t="shared" si="637"/>
        <v>2049</v>
      </c>
      <c r="C2688" s="33" t="s">
        <v>52</v>
      </c>
      <c r="D2688" s="34" t="s">
        <v>2002</v>
      </c>
      <c r="E2688" s="35" t="str">
        <f t="shared" si="635"/>
        <v>PRBNP'!</v>
      </c>
      <c r="F2688" s="34" t="str">
        <f t="shared" si="636"/>
        <v>C:\Users\jaime.benazar\Quorum Business Solutions\Ecopetrol Prometeo - Documents\Planning Space Implementation\3. Analysis &amp; Design\Design\FC22\DRR Jaime\Neiva CPI\[DINA TERCIARIOS_CF_SEC_New_27-Mar-2024.xlsx]D-PRBNP'!</v>
      </c>
      <c r="G2688" s="32" t="s">
        <v>122</v>
      </c>
      <c r="H2688" s="33"/>
      <c r="I2688" s="33"/>
      <c r="J2688" s="37"/>
    </row>
    <row r="2689" spans="1:10" x14ac:dyDescent="0.3">
      <c r="A2689" s="32" t="s">
        <v>18</v>
      </c>
      <c r="B2689" s="32">
        <f t="shared" si="637"/>
        <v>2050</v>
      </c>
      <c r="C2689" s="33" t="s">
        <v>52</v>
      </c>
      <c r="D2689" s="34" t="s">
        <v>2002</v>
      </c>
      <c r="E2689" s="35" t="str">
        <f t="shared" si="635"/>
        <v>PRBNP'!</v>
      </c>
      <c r="F2689" s="34" t="str">
        <f t="shared" si="636"/>
        <v>C:\Users\jaime.benazar\Quorum Business Solutions\Ecopetrol Prometeo - Documents\Planning Space Implementation\3. Analysis &amp; Design\Design\FC22\DRR Jaime\Neiva CPI\[DINA TERCIARIOS_CF_SEC_New_27-Mar-2024.xlsx]D-PRBNP'!</v>
      </c>
      <c r="G2689" s="32" t="s">
        <v>122</v>
      </c>
      <c r="H2689" s="33"/>
      <c r="I2689" s="33"/>
      <c r="J2689" s="37"/>
    </row>
    <row r="2690" spans="1:10" x14ac:dyDescent="0.3">
      <c r="A2690" s="32" t="s">
        <v>18</v>
      </c>
      <c r="B2690" s="32">
        <f t="shared" si="637"/>
        <v>2051</v>
      </c>
      <c r="C2690" s="33" t="s">
        <v>52</v>
      </c>
      <c r="D2690" s="34" t="s">
        <v>2002</v>
      </c>
      <c r="E2690" s="35" t="str">
        <f t="shared" si="635"/>
        <v>PRBNP'!</v>
      </c>
      <c r="F2690" s="34" t="str">
        <f t="shared" si="636"/>
        <v>C:\Users\jaime.benazar\Quorum Business Solutions\Ecopetrol Prometeo - Documents\Planning Space Implementation\3. Analysis &amp; Design\Design\FC22\DRR Jaime\Neiva CPI\[DINA TERCIARIOS_CF_SEC_New_27-Mar-2024.xlsx]D-PRBNP'!</v>
      </c>
      <c r="G2690" s="32" t="s">
        <v>122</v>
      </c>
      <c r="H2690" s="33"/>
      <c r="I2690" s="33"/>
      <c r="J2690" s="37"/>
    </row>
    <row r="2691" spans="1:10" x14ac:dyDescent="0.3">
      <c r="A2691" s="32" t="s">
        <v>18</v>
      </c>
      <c r="B2691" s="32">
        <f t="shared" si="637"/>
        <v>2052</v>
      </c>
      <c r="C2691" s="33" t="s">
        <v>52</v>
      </c>
      <c r="D2691" s="34" t="s">
        <v>2002</v>
      </c>
      <c r="E2691" s="35" t="str">
        <f t="shared" si="635"/>
        <v>PRBNP'!</v>
      </c>
      <c r="F2691" s="34" t="str">
        <f t="shared" si="636"/>
        <v>C:\Users\jaime.benazar\Quorum Business Solutions\Ecopetrol Prometeo - Documents\Planning Space Implementation\3. Analysis &amp; Design\Design\FC22\DRR Jaime\Neiva CPI\[DINA TERCIARIOS_CF_SEC_New_27-Mar-2024.xlsx]D-PRBNP'!</v>
      </c>
      <c r="G2691" s="32" t="s">
        <v>122</v>
      </c>
      <c r="H2691" s="33"/>
      <c r="I2691" s="33"/>
      <c r="J2691" s="37"/>
    </row>
    <row r="2692" spans="1:10" x14ac:dyDescent="0.3">
      <c r="A2692" s="32" t="s">
        <v>18</v>
      </c>
      <c r="B2692" s="32">
        <f t="shared" si="637"/>
        <v>2053</v>
      </c>
      <c r="C2692" s="33" t="s">
        <v>52</v>
      </c>
      <c r="D2692" s="34" t="s">
        <v>2002</v>
      </c>
      <c r="E2692" s="35" t="str">
        <f t="shared" si="635"/>
        <v>PRBNP'!</v>
      </c>
      <c r="F2692" s="34" t="str">
        <f t="shared" si="636"/>
        <v>C:\Users\jaime.benazar\Quorum Business Solutions\Ecopetrol Prometeo - Documents\Planning Space Implementation\3. Analysis &amp; Design\Design\FC22\DRR Jaime\Neiva CPI\[DINA TERCIARIOS_CF_SEC_New_27-Mar-2024.xlsx]D-PRBNP'!</v>
      </c>
      <c r="G2692" s="32" t="s">
        <v>122</v>
      </c>
      <c r="H2692" s="33"/>
      <c r="I2692" s="33"/>
      <c r="J2692" s="37"/>
    </row>
    <row r="2693" spans="1:10" x14ac:dyDescent="0.3">
      <c r="A2693" s="32" t="s">
        <v>18</v>
      </c>
      <c r="B2693" s="32">
        <f t="shared" si="637"/>
        <v>2054</v>
      </c>
      <c r="C2693" s="33" t="s">
        <v>52</v>
      </c>
      <c r="D2693" s="34" t="s">
        <v>2002</v>
      </c>
      <c r="E2693" s="35" t="str">
        <f t="shared" si="635"/>
        <v>PRBNP'!</v>
      </c>
      <c r="F2693" s="34" t="str">
        <f t="shared" si="636"/>
        <v>C:\Users\jaime.benazar\Quorum Business Solutions\Ecopetrol Prometeo - Documents\Planning Space Implementation\3. Analysis &amp; Design\Design\FC22\DRR Jaime\Neiva CPI\[DINA TERCIARIOS_CF_SEC_New_27-Mar-2024.xlsx]D-PRBNP'!</v>
      </c>
      <c r="G2693" s="32" t="s">
        <v>122</v>
      </c>
      <c r="H2693" s="33"/>
      <c r="I2693" s="33"/>
      <c r="J2693" s="37"/>
    </row>
    <row r="2694" spans="1:10" x14ac:dyDescent="0.3">
      <c r="A2694" s="32" t="s">
        <v>18</v>
      </c>
      <c r="B2694" s="32">
        <f t="shared" si="637"/>
        <v>2055</v>
      </c>
      <c r="C2694" s="33" t="s">
        <v>52</v>
      </c>
      <c r="D2694" s="34" t="s">
        <v>2002</v>
      </c>
      <c r="E2694" s="35" t="str">
        <f t="shared" si="635"/>
        <v>PRBNP'!</v>
      </c>
      <c r="F2694" s="34" t="str">
        <f t="shared" si="636"/>
        <v>C:\Users\jaime.benazar\Quorum Business Solutions\Ecopetrol Prometeo - Documents\Planning Space Implementation\3. Analysis &amp; Design\Design\FC22\DRR Jaime\Neiva CPI\[DINA TERCIARIOS_CF_SEC_New_27-Mar-2024.xlsx]D-PRBNP'!</v>
      </c>
      <c r="G2694" s="32" t="s">
        <v>122</v>
      </c>
      <c r="H2694" s="33"/>
      <c r="I2694" s="33"/>
      <c r="J2694" s="37"/>
    </row>
    <row r="2695" spans="1:10" x14ac:dyDescent="0.3">
      <c r="A2695" s="32" t="s">
        <v>18</v>
      </c>
      <c r="B2695" s="32">
        <f t="shared" si="637"/>
        <v>2056</v>
      </c>
      <c r="C2695" s="33" t="s">
        <v>52</v>
      </c>
      <c r="D2695" s="34" t="s">
        <v>2002</v>
      </c>
      <c r="E2695" s="35" t="str">
        <f t="shared" si="635"/>
        <v>PRBNP'!</v>
      </c>
      <c r="F2695" s="34" t="str">
        <f t="shared" si="636"/>
        <v>C:\Users\jaime.benazar\Quorum Business Solutions\Ecopetrol Prometeo - Documents\Planning Space Implementation\3. Analysis &amp; Design\Design\FC22\DRR Jaime\Neiva CPI\[DINA TERCIARIOS_CF_SEC_New_27-Mar-2024.xlsx]D-PRBNP'!</v>
      </c>
      <c r="G2695" s="32" t="s">
        <v>122</v>
      </c>
      <c r="H2695" s="33"/>
      <c r="I2695" s="33"/>
      <c r="J2695" s="37"/>
    </row>
    <row r="2696" spans="1:10" x14ac:dyDescent="0.3">
      <c r="A2696" s="32" t="s">
        <v>18</v>
      </c>
      <c r="B2696" s="32">
        <f t="shared" si="637"/>
        <v>2057</v>
      </c>
      <c r="C2696" s="33" t="s">
        <v>52</v>
      </c>
      <c r="D2696" s="34" t="s">
        <v>2002</v>
      </c>
      <c r="E2696" s="35" t="str">
        <f t="shared" si="635"/>
        <v>PRBNP'!</v>
      </c>
      <c r="F2696" s="34" t="str">
        <f t="shared" si="636"/>
        <v>C:\Users\jaime.benazar\Quorum Business Solutions\Ecopetrol Prometeo - Documents\Planning Space Implementation\3. Analysis &amp; Design\Design\FC22\DRR Jaime\Neiva CPI\[DINA TERCIARIOS_CF_SEC_New_27-Mar-2024.xlsx]D-PRBNP'!</v>
      </c>
      <c r="G2696" s="32" t="s">
        <v>122</v>
      </c>
      <c r="H2696" s="33"/>
      <c r="I2696" s="33"/>
      <c r="J2696" s="37"/>
    </row>
    <row r="2697" spans="1:10" x14ac:dyDescent="0.3">
      <c r="A2697" s="32" t="s">
        <v>18</v>
      </c>
      <c r="B2697" s="32">
        <f t="shared" si="637"/>
        <v>2058</v>
      </c>
      <c r="C2697" s="33" t="s">
        <v>52</v>
      </c>
      <c r="D2697" s="34" t="s">
        <v>2002</v>
      </c>
      <c r="E2697" s="35" t="str">
        <f t="shared" si="635"/>
        <v>PRBNP'!</v>
      </c>
      <c r="F2697" s="34" t="str">
        <f t="shared" si="636"/>
        <v>C:\Users\jaime.benazar\Quorum Business Solutions\Ecopetrol Prometeo - Documents\Planning Space Implementation\3. Analysis &amp; Design\Design\FC22\DRR Jaime\Neiva CPI\[DINA TERCIARIOS_CF_SEC_New_27-Mar-2024.xlsx]D-PRBNP'!</v>
      </c>
      <c r="G2697" s="32" t="s">
        <v>122</v>
      </c>
      <c r="H2697" s="33"/>
      <c r="I2697" s="33"/>
      <c r="J2697" s="37"/>
    </row>
    <row r="2698" spans="1:10" x14ac:dyDescent="0.3">
      <c r="A2698" s="32" t="s">
        <v>18</v>
      </c>
      <c r="B2698" s="32">
        <f t="shared" si="637"/>
        <v>2059</v>
      </c>
      <c r="C2698" s="33" t="s">
        <v>52</v>
      </c>
      <c r="D2698" s="34" t="s">
        <v>2002</v>
      </c>
      <c r="E2698" s="35" t="str">
        <f t="shared" si="635"/>
        <v>PRBNP'!</v>
      </c>
      <c r="F2698" s="34" t="str">
        <f t="shared" si="636"/>
        <v>C:\Users\jaime.benazar\Quorum Business Solutions\Ecopetrol Prometeo - Documents\Planning Space Implementation\3. Analysis &amp; Design\Design\FC22\DRR Jaime\Neiva CPI\[DINA TERCIARIOS_CF_SEC_New_27-Mar-2024.xlsx]D-PRBNP'!</v>
      </c>
      <c r="G2698" s="32" t="s">
        <v>122</v>
      </c>
      <c r="H2698" s="33"/>
      <c r="I2698" s="33"/>
      <c r="J2698" s="37"/>
    </row>
    <row r="2699" spans="1:10" x14ac:dyDescent="0.3">
      <c r="A2699" s="32" t="s">
        <v>26</v>
      </c>
      <c r="B2699" s="32"/>
      <c r="C2699" s="33" t="s">
        <v>52</v>
      </c>
      <c r="D2699" s="34"/>
      <c r="E2699" s="35"/>
      <c r="F2699" s="34"/>
      <c r="G2699" s="32"/>
      <c r="H2699" s="33"/>
      <c r="I2699" s="33"/>
      <c r="J2699" s="33"/>
    </row>
    <row r="2700" spans="1:10" x14ac:dyDescent="0.3">
      <c r="A2700" s="32" t="s">
        <v>19</v>
      </c>
      <c r="B2700" s="32">
        <v>2023</v>
      </c>
      <c r="C2700" s="33" t="s">
        <v>52</v>
      </c>
      <c r="D2700" s="34" t="s">
        <v>2002</v>
      </c>
      <c r="E2700" s="35" t="str">
        <f t="shared" ref="E2700:E2720" si="638">_xlfn.CONCAT(A2700,"'!")</f>
        <v>PRBND'!</v>
      </c>
      <c r="F2700" s="34" t="str">
        <f t="shared" ref="F2700:F2720" si="639">_xlfn.CONCAT(D2700:E2700)</f>
        <v>C:\Users\jaime.benazar\Quorum Business Solutions\Ecopetrol Prometeo - Documents\Planning Space Implementation\3. Analysis &amp; Design\Design\FC22\DRR Jaime\Neiva CPI\[DINA TERCIARIOS_CF_SEC_New_27-Mar-2024.xlsx]D-PRBND'!</v>
      </c>
      <c r="G2700" s="32" t="s">
        <v>122</v>
      </c>
      <c r="H2700" s="33"/>
      <c r="I2700" s="33"/>
      <c r="J2700" s="37"/>
    </row>
    <row r="2701" spans="1:10" x14ac:dyDescent="0.3">
      <c r="A2701" s="32" t="s">
        <v>19</v>
      </c>
      <c r="B2701" s="32">
        <f>+B2700+1</f>
        <v>2024</v>
      </c>
      <c r="C2701" s="33" t="s">
        <v>52</v>
      </c>
      <c r="D2701" s="34" t="s">
        <v>2002</v>
      </c>
      <c r="E2701" s="35" t="str">
        <f t="shared" si="638"/>
        <v>PRBND'!</v>
      </c>
      <c r="F2701" s="34" t="str">
        <f t="shared" si="639"/>
        <v>C:\Users\jaime.benazar\Quorum Business Solutions\Ecopetrol Prometeo - Documents\Planning Space Implementation\3. Analysis &amp; Design\Design\FC22\DRR Jaime\Neiva CPI\[DINA TERCIARIOS_CF_SEC_New_27-Mar-2024.xlsx]D-PRBND'!</v>
      </c>
      <c r="G2701" s="32" t="s">
        <v>122</v>
      </c>
      <c r="H2701" s="33"/>
      <c r="I2701" s="33"/>
      <c r="J2701" s="37"/>
    </row>
    <row r="2702" spans="1:10" x14ac:dyDescent="0.3">
      <c r="A2702" s="32" t="s">
        <v>19</v>
      </c>
      <c r="B2702" s="32">
        <f t="shared" ref="B2702:B2713" si="640">+B2701+1</f>
        <v>2025</v>
      </c>
      <c r="C2702" s="33" t="s">
        <v>52</v>
      </c>
      <c r="D2702" s="34" t="s">
        <v>2002</v>
      </c>
      <c r="E2702" s="35" t="str">
        <f t="shared" si="638"/>
        <v>PRBND'!</v>
      </c>
      <c r="F2702" s="34" t="str">
        <f t="shared" si="639"/>
        <v>C:\Users\jaime.benazar\Quorum Business Solutions\Ecopetrol Prometeo - Documents\Planning Space Implementation\3. Analysis &amp; Design\Design\FC22\DRR Jaime\Neiva CPI\[DINA TERCIARIOS_CF_SEC_New_27-Mar-2024.xlsx]D-PRBND'!</v>
      </c>
      <c r="G2702" s="32" t="s">
        <v>122</v>
      </c>
      <c r="H2702" s="33"/>
      <c r="I2702" s="33"/>
      <c r="J2702" s="37"/>
    </row>
    <row r="2703" spans="1:10" x14ac:dyDescent="0.3">
      <c r="A2703" s="32" t="s">
        <v>19</v>
      </c>
      <c r="B2703" s="32">
        <f t="shared" si="640"/>
        <v>2026</v>
      </c>
      <c r="C2703" s="33" t="s">
        <v>52</v>
      </c>
      <c r="D2703" s="34" t="s">
        <v>2002</v>
      </c>
      <c r="E2703" s="35" t="str">
        <f t="shared" si="638"/>
        <v>PRBND'!</v>
      </c>
      <c r="F2703" s="34" t="str">
        <f t="shared" si="639"/>
        <v>C:\Users\jaime.benazar\Quorum Business Solutions\Ecopetrol Prometeo - Documents\Planning Space Implementation\3. Analysis &amp; Design\Design\FC22\DRR Jaime\Neiva CPI\[DINA TERCIARIOS_CF_SEC_New_27-Mar-2024.xlsx]D-PRBND'!</v>
      </c>
      <c r="G2703" s="32" t="s">
        <v>122</v>
      </c>
      <c r="H2703" s="33"/>
      <c r="I2703" s="33"/>
      <c r="J2703" s="37"/>
    </row>
    <row r="2704" spans="1:10" x14ac:dyDescent="0.3">
      <c r="A2704" s="32" t="s">
        <v>19</v>
      </c>
      <c r="B2704" s="32">
        <f t="shared" si="640"/>
        <v>2027</v>
      </c>
      <c r="C2704" s="33" t="s">
        <v>52</v>
      </c>
      <c r="D2704" s="34" t="s">
        <v>2002</v>
      </c>
      <c r="E2704" s="35" t="str">
        <f t="shared" si="638"/>
        <v>PRBND'!</v>
      </c>
      <c r="F2704" s="34" t="str">
        <f t="shared" si="639"/>
        <v>C:\Users\jaime.benazar\Quorum Business Solutions\Ecopetrol Prometeo - Documents\Planning Space Implementation\3. Analysis &amp; Design\Design\FC22\DRR Jaime\Neiva CPI\[DINA TERCIARIOS_CF_SEC_New_27-Mar-2024.xlsx]D-PRBND'!</v>
      </c>
      <c r="G2704" s="32" t="s">
        <v>122</v>
      </c>
      <c r="H2704" s="33"/>
      <c r="I2704" s="33"/>
      <c r="J2704" s="37"/>
    </row>
    <row r="2705" spans="1:10" x14ac:dyDescent="0.3">
      <c r="A2705" s="32" t="s">
        <v>19</v>
      </c>
      <c r="B2705" s="32">
        <f t="shared" si="640"/>
        <v>2028</v>
      </c>
      <c r="C2705" s="33" t="s">
        <v>52</v>
      </c>
      <c r="D2705" s="34" t="s">
        <v>2002</v>
      </c>
      <c r="E2705" s="35" t="str">
        <f t="shared" si="638"/>
        <v>PRBND'!</v>
      </c>
      <c r="F2705" s="34" t="str">
        <f t="shared" si="639"/>
        <v>C:\Users\jaime.benazar\Quorum Business Solutions\Ecopetrol Prometeo - Documents\Planning Space Implementation\3. Analysis &amp; Design\Design\FC22\DRR Jaime\Neiva CPI\[DINA TERCIARIOS_CF_SEC_New_27-Mar-2024.xlsx]D-PRBND'!</v>
      </c>
      <c r="G2705" s="32" t="s">
        <v>122</v>
      </c>
      <c r="H2705" s="33"/>
      <c r="I2705" s="33"/>
      <c r="J2705" s="37"/>
    </row>
    <row r="2706" spans="1:10" x14ac:dyDescent="0.3">
      <c r="A2706" s="32" t="s">
        <v>19</v>
      </c>
      <c r="B2706" s="32">
        <f t="shared" si="640"/>
        <v>2029</v>
      </c>
      <c r="C2706" s="33" t="s">
        <v>52</v>
      </c>
      <c r="D2706" s="34" t="s">
        <v>2002</v>
      </c>
      <c r="E2706" s="35" t="str">
        <f t="shared" si="638"/>
        <v>PRBND'!</v>
      </c>
      <c r="F2706" s="34" t="str">
        <f t="shared" si="639"/>
        <v>C:\Users\jaime.benazar\Quorum Business Solutions\Ecopetrol Prometeo - Documents\Planning Space Implementation\3. Analysis &amp; Design\Design\FC22\DRR Jaime\Neiva CPI\[DINA TERCIARIOS_CF_SEC_New_27-Mar-2024.xlsx]D-PRBND'!</v>
      </c>
      <c r="G2706" s="32" t="s">
        <v>122</v>
      </c>
      <c r="H2706" s="33"/>
      <c r="I2706" s="33"/>
      <c r="J2706" s="37"/>
    </row>
    <row r="2707" spans="1:10" x14ac:dyDescent="0.3">
      <c r="A2707" s="32" t="s">
        <v>19</v>
      </c>
      <c r="B2707" s="32">
        <f t="shared" si="640"/>
        <v>2030</v>
      </c>
      <c r="C2707" s="33" t="s">
        <v>52</v>
      </c>
      <c r="D2707" s="34" t="s">
        <v>2002</v>
      </c>
      <c r="E2707" s="35" t="str">
        <f t="shared" si="638"/>
        <v>PRBND'!</v>
      </c>
      <c r="F2707" s="34" t="str">
        <f t="shared" si="639"/>
        <v>C:\Users\jaime.benazar\Quorum Business Solutions\Ecopetrol Prometeo - Documents\Planning Space Implementation\3. Analysis &amp; Design\Design\FC22\DRR Jaime\Neiva CPI\[DINA TERCIARIOS_CF_SEC_New_27-Mar-2024.xlsx]D-PRBND'!</v>
      </c>
      <c r="G2707" s="32" t="s">
        <v>122</v>
      </c>
      <c r="H2707" s="33"/>
      <c r="I2707" s="33"/>
      <c r="J2707" s="37"/>
    </row>
    <row r="2708" spans="1:10" x14ac:dyDescent="0.3">
      <c r="A2708" s="32" t="s">
        <v>19</v>
      </c>
      <c r="B2708" s="32">
        <f t="shared" si="640"/>
        <v>2031</v>
      </c>
      <c r="C2708" s="33" t="s">
        <v>52</v>
      </c>
      <c r="D2708" s="34" t="s">
        <v>2002</v>
      </c>
      <c r="E2708" s="35" t="str">
        <f t="shared" si="638"/>
        <v>PRBND'!</v>
      </c>
      <c r="F2708" s="34" t="str">
        <f t="shared" si="639"/>
        <v>C:\Users\jaime.benazar\Quorum Business Solutions\Ecopetrol Prometeo - Documents\Planning Space Implementation\3. Analysis &amp; Design\Design\FC22\DRR Jaime\Neiva CPI\[DINA TERCIARIOS_CF_SEC_New_27-Mar-2024.xlsx]D-PRBND'!</v>
      </c>
      <c r="G2708" s="32" t="s">
        <v>122</v>
      </c>
      <c r="H2708" s="33"/>
      <c r="I2708" s="33"/>
      <c r="J2708" s="37"/>
    </row>
    <row r="2709" spans="1:10" x14ac:dyDescent="0.3">
      <c r="A2709" s="32" t="s">
        <v>19</v>
      </c>
      <c r="B2709" s="32">
        <f t="shared" si="640"/>
        <v>2032</v>
      </c>
      <c r="C2709" s="33" t="s">
        <v>52</v>
      </c>
      <c r="D2709" s="34" t="s">
        <v>2002</v>
      </c>
      <c r="E2709" s="35" t="str">
        <f t="shared" si="638"/>
        <v>PRBND'!</v>
      </c>
      <c r="F2709" s="34" t="str">
        <f t="shared" si="639"/>
        <v>C:\Users\jaime.benazar\Quorum Business Solutions\Ecopetrol Prometeo - Documents\Planning Space Implementation\3. Analysis &amp; Design\Design\FC22\DRR Jaime\Neiva CPI\[DINA TERCIARIOS_CF_SEC_New_27-Mar-2024.xlsx]D-PRBND'!</v>
      </c>
      <c r="G2709" s="32" t="s">
        <v>122</v>
      </c>
      <c r="H2709" s="33"/>
      <c r="I2709" s="33"/>
      <c r="J2709" s="37"/>
    </row>
    <row r="2710" spans="1:10" x14ac:dyDescent="0.3">
      <c r="A2710" s="32" t="s">
        <v>19</v>
      </c>
      <c r="B2710" s="32">
        <f t="shared" si="640"/>
        <v>2033</v>
      </c>
      <c r="C2710" s="33" t="s">
        <v>52</v>
      </c>
      <c r="D2710" s="34" t="s">
        <v>2002</v>
      </c>
      <c r="E2710" s="35" t="str">
        <f t="shared" si="638"/>
        <v>PRBND'!</v>
      </c>
      <c r="F2710" s="34" t="str">
        <f t="shared" si="639"/>
        <v>C:\Users\jaime.benazar\Quorum Business Solutions\Ecopetrol Prometeo - Documents\Planning Space Implementation\3. Analysis &amp; Design\Design\FC22\DRR Jaime\Neiva CPI\[DINA TERCIARIOS_CF_SEC_New_27-Mar-2024.xlsx]D-PRBND'!</v>
      </c>
      <c r="G2710" s="32" t="s">
        <v>122</v>
      </c>
      <c r="H2710" s="33"/>
      <c r="I2710" s="33"/>
      <c r="J2710" s="37"/>
    </row>
    <row r="2711" spans="1:10" x14ac:dyDescent="0.3">
      <c r="A2711" s="32" t="s">
        <v>19</v>
      </c>
      <c r="B2711" s="32">
        <f t="shared" si="640"/>
        <v>2034</v>
      </c>
      <c r="C2711" s="33" t="s">
        <v>52</v>
      </c>
      <c r="D2711" s="34" t="s">
        <v>2002</v>
      </c>
      <c r="E2711" s="35" t="str">
        <f t="shared" si="638"/>
        <v>PRBND'!</v>
      </c>
      <c r="F2711" s="34" t="str">
        <f t="shared" si="639"/>
        <v>C:\Users\jaime.benazar\Quorum Business Solutions\Ecopetrol Prometeo - Documents\Planning Space Implementation\3. Analysis &amp; Design\Design\FC22\DRR Jaime\Neiva CPI\[DINA TERCIARIOS_CF_SEC_New_27-Mar-2024.xlsx]D-PRBND'!</v>
      </c>
      <c r="G2711" s="32" t="s">
        <v>122</v>
      </c>
      <c r="H2711" s="33"/>
      <c r="I2711" s="33"/>
      <c r="J2711" s="37"/>
    </row>
    <row r="2712" spans="1:10" x14ac:dyDescent="0.3">
      <c r="A2712" s="32" t="s">
        <v>19</v>
      </c>
      <c r="B2712" s="32">
        <f t="shared" si="640"/>
        <v>2035</v>
      </c>
      <c r="C2712" s="33" t="s">
        <v>52</v>
      </c>
      <c r="D2712" s="34" t="s">
        <v>2002</v>
      </c>
      <c r="E2712" s="35" t="str">
        <f t="shared" si="638"/>
        <v>PRBND'!</v>
      </c>
      <c r="F2712" s="34" t="str">
        <f t="shared" si="639"/>
        <v>C:\Users\jaime.benazar\Quorum Business Solutions\Ecopetrol Prometeo - Documents\Planning Space Implementation\3. Analysis &amp; Design\Design\FC22\DRR Jaime\Neiva CPI\[DINA TERCIARIOS_CF_SEC_New_27-Mar-2024.xlsx]D-PRBND'!</v>
      </c>
      <c r="G2712" s="32" t="s">
        <v>122</v>
      </c>
      <c r="H2712" s="33"/>
      <c r="I2712" s="33"/>
      <c r="J2712" s="37"/>
    </row>
    <row r="2713" spans="1:10" x14ac:dyDescent="0.3">
      <c r="A2713" s="32" t="s">
        <v>19</v>
      </c>
      <c r="B2713" s="32">
        <f t="shared" si="640"/>
        <v>2036</v>
      </c>
      <c r="C2713" s="33" t="s">
        <v>52</v>
      </c>
      <c r="D2713" s="34" t="s">
        <v>2002</v>
      </c>
      <c r="E2713" s="35" t="str">
        <f t="shared" si="638"/>
        <v>PRBND'!</v>
      </c>
      <c r="F2713" s="34" t="str">
        <f t="shared" si="639"/>
        <v>C:\Users\jaime.benazar\Quorum Business Solutions\Ecopetrol Prometeo - Documents\Planning Space Implementation\3. Analysis &amp; Design\Design\FC22\DRR Jaime\Neiva CPI\[DINA TERCIARIOS_CF_SEC_New_27-Mar-2024.xlsx]D-PRBND'!</v>
      </c>
      <c r="G2713" s="32" t="s">
        <v>122</v>
      </c>
      <c r="H2713" s="33"/>
      <c r="I2713" s="33"/>
      <c r="J2713" s="37"/>
    </row>
    <row r="2714" spans="1:10" x14ac:dyDescent="0.3">
      <c r="A2714" s="32" t="s">
        <v>19</v>
      </c>
      <c r="B2714" s="32">
        <f>+B2713+1</f>
        <v>2037</v>
      </c>
      <c r="C2714" s="33" t="s">
        <v>52</v>
      </c>
      <c r="D2714" s="34" t="s">
        <v>2002</v>
      </c>
      <c r="E2714" s="35" t="str">
        <f t="shared" si="638"/>
        <v>PRBND'!</v>
      </c>
      <c r="F2714" s="34" t="str">
        <f t="shared" si="639"/>
        <v>C:\Users\jaime.benazar\Quorum Business Solutions\Ecopetrol Prometeo - Documents\Planning Space Implementation\3. Analysis &amp; Design\Design\FC22\DRR Jaime\Neiva CPI\[DINA TERCIARIOS_CF_SEC_New_27-Mar-2024.xlsx]D-PRBND'!</v>
      </c>
      <c r="G2714" s="32" t="s">
        <v>122</v>
      </c>
      <c r="H2714" s="33"/>
      <c r="I2714" s="33"/>
      <c r="J2714" s="37"/>
    </row>
    <row r="2715" spans="1:10" x14ac:dyDescent="0.3">
      <c r="A2715" s="32" t="s">
        <v>19</v>
      </c>
      <c r="B2715" s="32">
        <f t="shared" ref="B2715:B2717" si="641">+B2714+1</f>
        <v>2038</v>
      </c>
      <c r="C2715" s="33" t="s">
        <v>52</v>
      </c>
      <c r="D2715" s="34" t="s">
        <v>2002</v>
      </c>
      <c r="E2715" s="35" t="str">
        <f t="shared" si="638"/>
        <v>PRBND'!</v>
      </c>
      <c r="F2715" s="34" t="str">
        <f t="shared" si="639"/>
        <v>C:\Users\jaime.benazar\Quorum Business Solutions\Ecopetrol Prometeo - Documents\Planning Space Implementation\3. Analysis &amp; Design\Design\FC22\DRR Jaime\Neiva CPI\[DINA TERCIARIOS_CF_SEC_New_27-Mar-2024.xlsx]D-PRBND'!</v>
      </c>
      <c r="G2715" s="32" t="s">
        <v>122</v>
      </c>
      <c r="H2715" s="33"/>
      <c r="I2715" s="33"/>
      <c r="J2715" s="37"/>
    </row>
    <row r="2716" spans="1:10" x14ac:dyDescent="0.3">
      <c r="A2716" s="32" t="s">
        <v>19</v>
      </c>
      <c r="B2716" s="32">
        <f t="shared" si="641"/>
        <v>2039</v>
      </c>
      <c r="C2716" s="33" t="s">
        <v>52</v>
      </c>
      <c r="D2716" s="34" t="s">
        <v>2002</v>
      </c>
      <c r="E2716" s="35" t="str">
        <f t="shared" si="638"/>
        <v>PRBND'!</v>
      </c>
      <c r="F2716" s="34" t="str">
        <f t="shared" si="639"/>
        <v>C:\Users\jaime.benazar\Quorum Business Solutions\Ecopetrol Prometeo - Documents\Planning Space Implementation\3. Analysis &amp; Design\Design\FC22\DRR Jaime\Neiva CPI\[DINA TERCIARIOS_CF_SEC_New_27-Mar-2024.xlsx]D-PRBND'!</v>
      </c>
      <c r="G2716" s="32" t="s">
        <v>122</v>
      </c>
      <c r="H2716" s="33"/>
      <c r="I2716" s="33"/>
      <c r="J2716" s="37"/>
    </row>
    <row r="2717" spans="1:10" x14ac:dyDescent="0.3">
      <c r="A2717" s="32" t="s">
        <v>19</v>
      </c>
      <c r="B2717" s="32">
        <f t="shared" si="641"/>
        <v>2040</v>
      </c>
      <c r="C2717" s="33" t="s">
        <v>52</v>
      </c>
      <c r="D2717" s="34" t="s">
        <v>2002</v>
      </c>
      <c r="E2717" s="35" t="str">
        <f t="shared" si="638"/>
        <v>PRBND'!</v>
      </c>
      <c r="F2717" s="34" t="str">
        <f t="shared" si="639"/>
        <v>C:\Users\jaime.benazar\Quorum Business Solutions\Ecopetrol Prometeo - Documents\Planning Space Implementation\3. Analysis &amp; Design\Design\FC22\DRR Jaime\Neiva CPI\[DINA TERCIARIOS_CF_SEC_New_27-Mar-2024.xlsx]D-PRBND'!</v>
      </c>
      <c r="G2717" s="32" t="s">
        <v>122</v>
      </c>
      <c r="H2717" s="33"/>
      <c r="I2717" s="33"/>
      <c r="J2717" s="37"/>
    </row>
    <row r="2718" spans="1:10" x14ac:dyDescent="0.3">
      <c r="A2718" s="32" t="s">
        <v>19</v>
      </c>
      <c r="B2718" s="32">
        <f>+B2717+1</f>
        <v>2041</v>
      </c>
      <c r="C2718" s="33" t="s">
        <v>52</v>
      </c>
      <c r="D2718" s="34" t="s">
        <v>2002</v>
      </c>
      <c r="E2718" s="35" t="str">
        <f t="shared" si="638"/>
        <v>PRBND'!</v>
      </c>
      <c r="F2718" s="34" t="str">
        <f t="shared" si="639"/>
        <v>C:\Users\jaime.benazar\Quorum Business Solutions\Ecopetrol Prometeo - Documents\Planning Space Implementation\3. Analysis &amp; Design\Design\FC22\DRR Jaime\Neiva CPI\[DINA TERCIARIOS_CF_SEC_New_27-Mar-2024.xlsx]D-PRBND'!</v>
      </c>
      <c r="G2718" s="32" t="s">
        <v>122</v>
      </c>
      <c r="H2718" s="33"/>
      <c r="I2718" s="33"/>
      <c r="J2718" s="37"/>
    </row>
    <row r="2719" spans="1:10" x14ac:dyDescent="0.3">
      <c r="A2719" s="32" t="s">
        <v>19</v>
      </c>
      <c r="B2719" s="32">
        <f t="shared" ref="B2719:B2720" si="642">+B2718+1</f>
        <v>2042</v>
      </c>
      <c r="C2719" s="33" t="s">
        <v>52</v>
      </c>
      <c r="D2719" s="34" t="s">
        <v>2002</v>
      </c>
      <c r="E2719" s="35" t="str">
        <f t="shared" si="638"/>
        <v>PRBND'!</v>
      </c>
      <c r="F2719" s="34" t="str">
        <f t="shared" si="639"/>
        <v>C:\Users\jaime.benazar\Quorum Business Solutions\Ecopetrol Prometeo - Documents\Planning Space Implementation\3. Analysis &amp; Design\Design\FC22\DRR Jaime\Neiva CPI\[DINA TERCIARIOS_CF_SEC_New_27-Mar-2024.xlsx]D-PRBND'!</v>
      </c>
      <c r="G2719" s="32" t="s">
        <v>122</v>
      </c>
      <c r="H2719" s="33"/>
      <c r="I2719" s="33"/>
      <c r="J2719" s="37"/>
    </row>
    <row r="2720" spans="1:10" x14ac:dyDescent="0.3">
      <c r="A2720" s="32" t="s">
        <v>19</v>
      </c>
      <c r="B2720" s="32">
        <f t="shared" si="642"/>
        <v>2043</v>
      </c>
      <c r="C2720" s="33" t="s">
        <v>52</v>
      </c>
      <c r="D2720" s="34" t="s">
        <v>2002</v>
      </c>
      <c r="E2720" s="35" t="str">
        <f t="shared" si="638"/>
        <v>PRBND'!</v>
      </c>
      <c r="F2720" s="34" t="str">
        <f t="shared" si="639"/>
        <v>C:\Users\jaime.benazar\Quorum Business Solutions\Ecopetrol Prometeo - Documents\Planning Space Implementation\3. Analysis &amp; Design\Design\FC22\DRR Jaime\Neiva CPI\[DINA TERCIARIOS_CF_SEC_New_27-Mar-2024.xlsx]D-PRBND'!</v>
      </c>
      <c r="G2720" s="32" t="s">
        <v>122</v>
      </c>
      <c r="H2720" s="33"/>
      <c r="I2720" s="33"/>
      <c r="J2720" s="37"/>
    </row>
    <row r="2721" spans="1:10" x14ac:dyDescent="0.3">
      <c r="A2721" s="32" t="s">
        <v>19</v>
      </c>
      <c r="B2721" s="32">
        <f>+B2720+1</f>
        <v>2044</v>
      </c>
      <c r="C2721" s="33" t="s">
        <v>52</v>
      </c>
      <c r="D2721" s="34" t="s">
        <v>2002</v>
      </c>
      <c r="E2721" s="35" t="str">
        <f t="shared" ref="E2721:E2736" si="643">_xlfn.CONCAT(A2721,"'!")</f>
        <v>PRBND'!</v>
      </c>
      <c r="F2721" s="34" t="str">
        <f t="shared" ref="F2721:F2736" si="644">_xlfn.CONCAT(D2721:E2721)</f>
        <v>C:\Users\jaime.benazar\Quorum Business Solutions\Ecopetrol Prometeo - Documents\Planning Space Implementation\3. Analysis &amp; Design\Design\FC22\DRR Jaime\Neiva CPI\[DINA TERCIARIOS_CF_SEC_New_27-Mar-2024.xlsx]D-PRBND'!</v>
      </c>
      <c r="G2721" s="32" t="s">
        <v>122</v>
      </c>
      <c r="H2721" s="33"/>
      <c r="I2721" s="33"/>
      <c r="J2721" s="37"/>
    </row>
    <row r="2722" spans="1:10" x14ac:dyDescent="0.3">
      <c r="A2722" s="32" t="s">
        <v>19</v>
      </c>
      <c r="B2722" s="32">
        <f t="shared" ref="B2722:B2736" si="645">+B2721+1</f>
        <v>2045</v>
      </c>
      <c r="C2722" s="33" t="s">
        <v>52</v>
      </c>
      <c r="D2722" s="34" t="s">
        <v>2002</v>
      </c>
      <c r="E2722" s="35" t="str">
        <f t="shared" si="643"/>
        <v>PRBND'!</v>
      </c>
      <c r="F2722" s="34" t="str">
        <f t="shared" si="644"/>
        <v>C:\Users\jaime.benazar\Quorum Business Solutions\Ecopetrol Prometeo - Documents\Planning Space Implementation\3. Analysis &amp; Design\Design\FC22\DRR Jaime\Neiva CPI\[DINA TERCIARIOS_CF_SEC_New_27-Mar-2024.xlsx]D-PRBND'!</v>
      </c>
      <c r="G2722" s="32" t="s">
        <v>122</v>
      </c>
      <c r="H2722" s="33"/>
      <c r="I2722" s="33"/>
      <c r="J2722" s="37"/>
    </row>
    <row r="2723" spans="1:10" x14ac:dyDescent="0.3">
      <c r="A2723" s="32" t="s">
        <v>19</v>
      </c>
      <c r="B2723" s="32">
        <f t="shared" si="645"/>
        <v>2046</v>
      </c>
      <c r="C2723" s="33" t="s">
        <v>52</v>
      </c>
      <c r="D2723" s="34" t="s">
        <v>2002</v>
      </c>
      <c r="E2723" s="35" t="str">
        <f t="shared" si="643"/>
        <v>PRBND'!</v>
      </c>
      <c r="F2723" s="34" t="str">
        <f t="shared" si="644"/>
        <v>C:\Users\jaime.benazar\Quorum Business Solutions\Ecopetrol Prometeo - Documents\Planning Space Implementation\3. Analysis &amp; Design\Design\FC22\DRR Jaime\Neiva CPI\[DINA TERCIARIOS_CF_SEC_New_27-Mar-2024.xlsx]D-PRBND'!</v>
      </c>
      <c r="G2723" s="32" t="s">
        <v>122</v>
      </c>
      <c r="H2723" s="33"/>
      <c r="I2723" s="33"/>
      <c r="J2723" s="37"/>
    </row>
    <row r="2724" spans="1:10" x14ac:dyDescent="0.3">
      <c r="A2724" s="32" t="s">
        <v>19</v>
      </c>
      <c r="B2724" s="32">
        <f t="shared" si="645"/>
        <v>2047</v>
      </c>
      <c r="C2724" s="33" t="s">
        <v>52</v>
      </c>
      <c r="D2724" s="34" t="s">
        <v>2002</v>
      </c>
      <c r="E2724" s="35" t="str">
        <f t="shared" si="643"/>
        <v>PRBND'!</v>
      </c>
      <c r="F2724" s="34" t="str">
        <f t="shared" si="644"/>
        <v>C:\Users\jaime.benazar\Quorum Business Solutions\Ecopetrol Prometeo - Documents\Planning Space Implementation\3. Analysis &amp; Design\Design\FC22\DRR Jaime\Neiva CPI\[DINA TERCIARIOS_CF_SEC_New_27-Mar-2024.xlsx]D-PRBND'!</v>
      </c>
      <c r="G2724" s="32" t="s">
        <v>122</v>
      </c>
      <c r="H2724" s="33"/>
      <c r="I2724" s="33"/>
      <c r="J2724" s="37"/>
    </row>
    <row r="2725" spans="1:10" x14ac:dyDescent="0.3">
      <c r="A2725" s="32" t="s">
        <v>19</v>
      </c>
      <c r="B2725" s="32">
        <f t="shared" si="645"/>
        <v>2048</v>
      </c>
      <c r="C2725" s="33" t="s">
        <v>52</v>
      </c>
      <c r="D2725" s="34" t="s">
        <v>2002</v>
      </c>
      <c r="E2725" s="35" t="str">
        <f t="shared" si="643"/>
        <v>PRBND'!</v>
      </c>
      <c r="F2725" s="34" t="str">
        <f t="shared" si="644"/>
        <v>C:\Users\jaime.benazar\Quorum Business Solutions\Ecopetrol Prometeo - Documents\Planning Space Implementation\3. Analysis &amp; Design\Design\FC22\DRR Jaime\Neiva CPI\[DINA TERCIARIOS_CF_SEC_New_27-Mar-2024.xlsx]D-PRBND'!</v>
      </c>
      <c r="G2725" s="32" t="s">
        <v>122</v>
      </c>
      <c r="H2725" s="33"/>
      <c r="I2725" s="33"/>
      <c r="J2725" s="37"/>
    </row>
    <row r="2726" spans="1:10" x14ac:dyDescent="0.3">
      <c r="A2726" s="32" t="s">
        <v>19</v>
      </c>
      <c r="B2726" s="32">
        <f t="shared" si="645"/>
        <v>2049</v>
      </c>
      <c r="C2726" s="33" t="s">
        <v>52</v>
      </c>
      <c r="D2726" s="34" t="s">
        <v>2002</v>
      </c>
      <c r="E2726" s="35" t="str">
        <f t="shared" si="643"/>
        <v>PRBND'!</v>
      </c>
      <c r="F2726" s="34" t="str">
        <f t="shared" si="644"/>
        <v>C:\Users\jaime.benazar\Quorum Business Solutions\Ecopetrol Prometeo - Documents\Planning Space Implementation\3. Analysis &amp; Design\Design\FC22\DRR Jaime\Neiva CPI\[DINA TERCIARIOS_CF_SEC_New_27-Mar-2024.xlsx]D-PRBND'!</v>
      </c>
      <c r="G2726" s="32" t="s">
        <v>122</v>
      </c>
      <c r="H2726" s="33"/>
      <c r="I2726" s="33"/>
      <c r="J2726" s="37"/>
    </row>
    <row r="2727" spans="1:10" x14ac:dyDescent="0.3">
      <c r="A2727" s="32" t="s">
        <v>19</v>
      </c>
      <c r="B2727" s="32">
        <f t="shared" si="645"/>
        <v>2050</v>
      </c>
      <c r="C2727" s="33" t="s">
        <v>52</v>
      </c>
      <c r="D2727" s="34" t="s">
        <v>2002</v>
      </c>
      <c r="E2727" s="35" t="str">
        <f t="shared" si="643"/>
        <v>PRBND'!</v>
      </c>
      <c r="F2727" s="34" t="str">
        <f t="shared" si="644"/>
        <v>C:\Users\jaime.benazar\Quorum Business Solutions\Ecopetrol Prometeo - Documents\Planning Space Implementation\3. Analysis &amp; Design\Design\FC22\DRR Jaime\Neiva CPI\[DINA TERCIARIOS_CF_SEC_New_27-Mar-2024.xlsx]D-PRBND'!</v>
      </c>
      <c r="G2727" s="32" t="s">
        <v>122</v>
      </c>
      <c r="H2727" s="33"/>
      <c r="I2727" s="33"/>
      <c r="J2727" s="37"/>
    </row>
    <row r="2728" spans="1:10" x14ac:dyDescent="0.3">
      <c r="A2728" s="32" t="s">
        <v>19</v>
      </c>
      <c r="B2728" s="32">
        <f t="shared" si="645"/>
        <v>2051</v>
      </c>
      <c r="C2728" s="33" t="s">
        <v>52</v>
      </c>
      <c r="D2728" s="34" t="s">
        <v>2002</v>
      </c>
      <c r="E2728" s="35" t="str">
        <f t="shared" si="643"/>
        <v>PRBND'!</v>
      </c>
      <c r="F2728" s="34" t="str">
        <f t="shared" si="644"/>
        <v>C:\Users\jaime.benazar\Quorum Business Solutions\Ecopetrol Prometeo - Documents\Planning Space Implementation\3. Analysis &amp; Design\Design\FC22\DRR Jaime\Neiva CPI\[DINA TERCIARIOS_CF_SEC_New_27-Mar-2024.xlsx]D-PRBND'!</v>
      </c>
      <c r="G2728" s="32" t="s">
        <v>122</v>
      </c>
      <c r="H2728" s="33"/>
      <c r="I2728" s="33"/>
      <c r="J2728" s="37"/>
    </row>
    <row r="2729" spans="1:10" x14ac:dyDescent="0.3">
      <c r="A2729" s="32" t="s">
        <v>19</v>
      </c>
      <c r="B2729" s="32">
        <f t="shared" si="645"/>
        <v>2052</v>
      </c>
      <c r="C2729" s="33" t="s">
        <v>52</v>
      </c>
      <c r="D2729" s="34" t="s">
        <v>2002</v>
      </c>
      <c r="E2729" s="35" t="str">
        <f t="shared" si="643"/>
        <v>PRBND'!</v>
      </c>
      <c r="F2729" s="34" t="str">
        <f t="shared" si="644"/>
        <v>C:\Users\jaime.benazar\Quorum Business Solutions\Ecopetrol Prometeo - Documents\Planning Space Implementation\3. Analysis &amp; Design\Design\FC22\DRR Jaime\Neiva CPI\[DINA TERCIARIOS_CF_SEC_New_27-Mar-2024.xlsx]D-PRBND'!</v>
      </c>
      <c r="G2729" s="32" t="s">
        <v>122</v>
      </c>
      <c r="H2729" s="33"/>
      <c r="I2729" s="33"/>
      <c r="J2729" s="37"/>
    </row>
    <row r="2730" spans="1:10" x14ac:dyDescent="0.3">
      <c r="A2730" s="32" t="s">
        <v>19</v>
      </c>
      <c r="B2730" s="32">
        <f t="shared" si="645"/>
        <v>2053</v>
      </c>
      <c r="C2730" s="33" t="s">
        <v>52</v>
      </c>
      <c r="D2730" s="34" t="s">
        <v>2002</v>
      </c>
      <c r="E2730" s="35" t="str">
        <f t="shared" si="643"/>
        <v>PRBND'!</v>
      </c>
      <c r="F2730" s="34" t="str">
        <f t="shared" si="644"/>
        <v>C:\Users\jaime.benazar\Quorum Business Solutions\Ecopetrol Prometeo - Documents\Planning Space Implementation\3. Analysis &amp; Design\Design\FC22\DRR Jaime\Neiva CPI\[DINA TERCIARIOS_CF_SEC_New_27-Mar-2024.xlsx]D-PRBND'!</v>
      </c>
      <c r="G2730" s="32" t="s">
        <v>122</v>
      </c>
      <c r="H2730" s="33"/>
      <c r="I2730" s="33"/>
      <c r="J2730" s="37"/>
    </row>
    <row r="2731" spans="1:10" x14ac:dyDescent="0.3">
      <c r="A2731" s="32" t="s">
        <v>19</v>
      </c>
      <c r="B2731" s="32">
        <f t="shared" si="645"/>
        <v>2054</v>
      </c>
      <c r="C2731" s="33" t="s">
        <v>52</v>
      </c>
      <c r="D2731" s="34" t="s">
        <v>2002</v>
      </c>
      <c r="E2731" s="35" t="str">
        <f t="shared" si="643"/>
        <v>PRBND'!</v>
      </c>
      <c r="F2731" s="34" t="str">
        <f t="shared" si="644"/>
        <v>C:\Users\jaime.benazar\Quorum Business Solutions\Ecopetrol Prometeo - Documents\Planning Space Implementation\3. Analysis &amp; Design\Design\FC22\DRR Jaime\Neiva CPI\[DINA TERCIARIOS_CF_SEC_New_27-Mar-2024.xlsx]D-PRBND'!</v>
      </c>
      <c r="G2731" s="32" t="s">
        <v>122</v>
      </c>
      <c r="H2731" s="33"/>
      <c r="I2731" s="33"/>
      <c r="J2731" s="37"/>
    </row>
    <row r="2732" spans="1:10" x14ac:dyDescent="0.3">
      <c r="A2732" s="32" t="s">
        <v>19</v>
      </c>
      <c r="B2732" s="32">
        <f t="shared" si="645"/>
        <v>2055</v>
      </c>
      <c r="C2732" s="33" t="s">
        <v>52</v>
      </c>
      <c r="D2732" s="34" t="s">
        <v>2002</v>
      </c>
      <c r="E2732" s="35" t="str">
        <f t="shared" si="643"/>
        <v>PRBND'!</v>
      </c>
      <c r="F2732" s="34" t="str">
        <f t="shared" si="644"/>
        <v>C:\Users\jaime.benazar\Quorum Business Solutions\Ecopetrol Prometeo - Documents\Planning Space Implementation\3. Analysis &amp; Design\Design\FC22\DRR Jaime\Neiva CPI\[DINA TERCIARIOS_CF_SEC_New_27-Mar-2024.xlsx]D-PRBND'!</v>
      </c>
      <c r="G2732" s="32" t="s">
        <v>122</v>
      </c>
      <c r="H2732" s="33"/>
      <c r="I2732" s="33"/>
      <c r="J2732" s="37"/>
    </row>
    <row r="2733" spans="1:10" x14ac:dyDescent="0.3">
      <c r="A2733" s="32" t="s">
        <v>19</v>
      </c>
      <c r="B2733" s="32">
        <f t="shared" si="645"/>
        <v>2056</v>
      </c>
      <c r="C2733" s="33" t="s">
        <v>52</v>
      </c>
      <c r="D2733" s="34" t="s">
        <v>2002</v>
      </c>
      <c r="E2733" s="35" t="str">
        <f t="shared" si="643"/>
        <v>PRBND'!</v>
      </c>
      <c r="F2733" s="34" t="str">
        <f t="shared" si="644"/>
        <v>C:\Users\jaime.benazar\Quorum Business Solutions\Ecopetrol Prometeo - Documents\Planning Space Implementation\3. Analysis &amp; Design\Design\FC22\DRR Jaime\Neiva CPI\[DINA TERCIARIOS_CF_SEC_New_27-Mar-2024.xlsx]D-PRBND'!</v>
      </c>
      <c r="G2733" s="32" t="s">
        <v>122</v>
      </c>
      <c r="H2733" s="33"/>
      <c r="I2733" s="33"/>
      <c r="J2733" s="37"/>
    </row>
    <row r="2734" spans="1:10" x14ac:dyDescent="0.3">
      <c r="A2734" s="32" t="s">
        <v>19</v>
      </c>
      <c r="B2734" s="32">
        <f t="shared" si="645"/>
        <v>2057</v>
      </c>
      <c r="C2734" s="33" t="s">
        <v>52</v>
      </c>
      <c r="D2734" s="34" t="s">
        <v>2002</v>
      </c>
      <c r="E2734" s="35" t="str">
        <f t="shared" si="643"/>
        <v>PRBND'!</v>
      </c>
      <c r="F2734" s="34" t="str">
        <f t="shared" si="644"/>
        <v>C:\Users\jaime.benazar\Quorum Business Solutions\Ecopetrol Prometeo - Documents\Planning Space Implementation\3. Analysis &amp; Design\Design\FC22\DRR Jaime\Neiva CPI\[DINA TERCIARIOS_CF_SEC_New_27-Mar-2024.xlsx]D-PRBND'!</v>
      </c>
      <c r="G2734" s="32" t="s">
        <v>122</v>
      </c>
      <c r="H2734" s="33"/>
      <c r="I2734" s="33"/>
      <c r="J2734" s="37"/>
    </row>
    <row r="2735" spans="1:10" x14ac:dyDescent="0.3">
      <c r="A2735" s="32" t="s">
        <v>19</v>
      </c>
      <c r="B2735" s="32">
        <f t="shared" si="645"/>
        <v>2058</v>
      </c>
      <c r="C2735" s="33" t="s">
        <v>52</v>
      </c>
      <c r="D2735" s="34" t="s">
        <v>2002</v>
      </c>
      <c r="E2735" s="35" t="str">
        <f t="shared" si="643"/>
        <v>PRBND'!</v>
      </c>
      <c r="F2735" s="34" t="str">
        <f t="shared" si="644"/>
        <v>C:\Users\jaime.benazar\Quorum Business Solutions\Ecopetrol Prometeo - Documents\Planning Space Implementation\3. Analysis &amp; Design\Design\FC22\DRR Jaime\Neiva CPI\[DINA TERCIARIOS_CF_SEC_New_27-Mar-2024.xlsx]D-PRBND'!</v>
      </c>
      <c r="G2735" s="32" t="s">
        <v>122</v>
      </c>
      <c r="H2735" s="33"/>
      <c r="I2735" s="33"/>
      <c r="J2735" s="37"/>
    </row>
    <row r="2736" spans="1:10" x14ac:dyDescent="0.3">
      <c r="A2736" s="32" t="s">
        <v>19</v>
      </c>
      <c r="B2736" s="32">
        <f t="shared" si="645"/>
        <v>2059</v>
      </c>
      <c r="C2736" s="33" t="s">
        <v>52</v>
      </c>
      <c r="D2736" s="34" t="s">
        <v>2002</v>
      </c>
      <c r="E2736" s="35" t="str">
        <f t="shared" si="643"/>
        <v>PRBND'!</v>
      </c>
      <c r="F2736" s="34" t="str">
        <f t="shared" si="644"/>
        <v>C:\Users\jaime.benazar\Quorum Business Solutions\Ecopetrol Prometeo - Documents\Planning Space Implementation\3. Analysis &amp; Design\Design\FC22\DRR Jaime\Neiva CPI\[DINA TERCIARIOS_CF_SEC_New_27-Mar-2024.xlsx]D-PRBND'!</v>
      </c>
      <c r="G2736" s="32" t="s">
        <v>122</v>
      </c>
      <c r="H2736" s="33"/>
      <c r="I2736" s="33"/>
      <c r="J2736" s="37"/>
    </row>
    <row r="2737" spans="1:10" x14ac:dyDescent="0.3">
      <c r="A2737" s="32" t="s">
        <v>26</v>
      </c>
      <c r="B2737" s="32"/>
      <c r="C2737" s="33" t="s">
        <v>52</v>
      </c>
      <c r="D2737" s="34"/>
      <c r="E2737" s="35"/>
      <c r="F2737" s="34"/>
      <c r="G2737" s="32"/>
      <c r="H2737" s="33"/>
      <c r="I2737" s="33"/>
      <c r="J2737" s="33"/>
    </row>
    <row r="2738" spans="1:10" x14ac:dyDescent="0.3">
      <c r="A2738" s="32" t="s">
        <v>20</v>
      </c>
      <c r="B2738" s="32">
        <v>2023</v>
      </c>
      <c r="C2738" s="33" t="s">
        <v>52</v>
      </c>
      <c r="D2738" s="34" t="s">
        <v>2002</v>
      </c>
      <c r="E2738" s="35" t="str">
        <f t="shared" ref="E2738:E2910" si="646">_xlfn.CONCAT(A2738,"'!")</f>
        <v>PRB'!</v>
      </c>
      <c r="F2738" s="34" t="str">
        <f t="shared" ref="F2738:F2910" si="647">_xlfn.CONCAT(D2738:E2738)</f>
        <v>C:\Users\jaime.benazar\Quorum Business Solutions\Ecopetrol Prometeo - Documents\Planning Space Implementation\3. Analysis &amp; Design\Design\FC22\DRR Jaime\Neiva CPI\[DINA TERCIARIOS_CF_SEC_New_27-Mar-2024.xlsx]D-PRB'!</v>
      </c>
      <c r="G2738" s="32" t="s">
        <v>122</v>
      </c>
      <c r="H2738" s="33">
        <v>12</v>
      </c>
      <c r="I2738" s="33" t="str">
        <f t="shared" ref="I2738:I2758" si="648">_xlfn.CONCAT("='",F2738:H2738)</f>
        <v>='C:\Users\jaime.benazar\Quorum Business Solutions\Ecopetrol Prometeo - Documents\Planning Space Implementation\3. Analysis &amp; Design\Design\FC22\DRR Jaime\Neiva CPI\[DINA TERCIARIOS_CF_SEC_New_27-Mar-2024.xlsx]D-PRB'!$EA$12</v>
      </c>
      <c r="J2738" s="37" t="s">
        <v>3224</v>
      </c>
    </row>
    <row r="2739" spans="1:10" x14ac:dyDescent="0.3">
      <c r="A2739" s="32" t="s">
        <v>20</v>
      </c>
      <c r="B2739" s="32">
        <f>+B2738+1</f>
        <v>2024</v>
      </c>
      <c r="C2739" s="33" t="s">
        <v>52</v>
      </c>
      <c r="D2739" s="34" t="s">
        <v>2002</v>
      </c>
      <c r="E2739" s="35" t="str">
        <f t="shared" si="646"/>
        <v>PRB'!</v>
      </c>
      <c r="F2739" s="34" t="str">
        <f t="shared" si="647"/>
        <v>C:\Users\jaime.benazar\Quorum Business Solutions\Ecopetrol Prometeo - Documents\Planning Space Implementation\3. Analysis &amp; Design\Design\FC22\DRR Jaime\Neiva CPI\[DINA TERCIARIOS_CF_SEC_New_27-Mar-2024.xlsx]D-PRB'!</v>
      </c>
      <c r="G2739" s="32" t="s">
        <v>122</v>
      </c>
      <c r="H2739" s="33">
        <f t="shared" ref="H2739:H2758" si="649">IF(A2739&lt;&gt;A2738,12,H2738+1)</f>
        <v>13</v>
      </c>
      <c r="I2739" s="33" t="str">
        <f t="shared" si="648"/>
        <v>='C:\Users\jaime.benazar\Quorum Business Solutions\Ecopetrol Prometeo - Documents\Planning Space Implementation\3. Analysis &amp; Design\Design\FC22\DRR Jaime\Neiva CPI\[DINA TERCIARIOS_CF_SEC_New_27-Mar-2024.xlsx]D-PRB'!$EA$13</v>
      </c>
      <c r="J2739" s="37" t="s">
        <v>3225</v>
      </c>
    </row>
    <row r="2740" spans="1:10" x14ac:dyDescent="0.3">
      <c r="A2740" s="32" t="s">
        <v>20</v>
      </c>
      <c r="B2740" s="32">
        <f t="shared" ref="B2740:B2751" si="650">+B2739+1</f>
        <v>2025</v>
      </c>
      <c r="C2740" s="33" t="s">
        <v>52</v>
      </c>
      <c r="D2740" s="34" t="s">
        <v>2002</v>
      </c>
      <c r="E2740" s="35" t="str">
        <f t="shared" si="646"/>
        <v>PRB'!</v>
      </c>
      <c r="F2740" s="34" t="str">
        <f t="shared" si="647"/>
        <v>C:\Users\jaime.benazar\Quorum Business Solutions\Ecopetrol Prometeo - Documents\Planning Space Implementation\3. Analysis &amp; Design\Design\FC22\DRR Jaime\Neiva CPI\[DINA TERCIARIOS_CF_SEC_New_27-Mar-2024.xlsx]D-PRB'!</v>
      </c>
      <c r="G2740" s="32" t="s">
        <v>122</v>
      </c>
      <c r="H2740" s="33">
        <f t="shared" si="649"/>
        <v>14</v>
      </c>
      <c r="I2740" s="33" t="str">
        <f t="shared" si="648"/>
        <v>='C:\Users\jaime.benazar\Quorum Business Solutions\Ecopetrol Prometeo - Documents\Planning Space Implementation\3. Analysis &amp; Design\Design\FC22\DRR Jaime\Neiva CPI\[DINA TERCIARIOS_CF_SEC_New_27-Mar-2024.xlsx]D-PRB'!$EA$14</v>
      </c>
      <c r="J2740" s="37" t="s">
        <v>3226</v>
      </c>
    </row>
    <row r="2741" spans="1:10" x14ac:dyDescent="0.3">
      <c r="A2741" s="32" t="s">
        <v>20</v>
      </c>
      <c r="B2741" s="32">
        <f t="shared" si="650"/>
        <v>2026</v>
      </c>
      <c r="C2741" s="33" t="s">
        <v>52</v>
      </c>
      <c r="D2741" s="34" t="s">
        <v>2002</v>
      </c>
      <c r="E2741" s="35" t="str">
        <f t="shared" si="646"/>
        <v>PRB'!</v>
      </c>
      <c r="F2741" s="34" t="str">
        <f t="shared" si="647"/>
        <v>C:\Users\jaime.benazar\Quorum Business Solutions\Ecopetrol Prometeo - Documents\Planning Space Implementation\3. Analysis &amp; Design\Design\FC22\DRR Jaime\Neiva CPI\[DINA TERCIARIOS_CF_SEC_New_27-Mar-2024.xlsx]D-PRB'!</v>
      </c>
      <c r="G2741" s="32" t="s">
        <v>122</v>
      </c>
      <c r="H2741" s="33">
        <f t="shared" si="649"/>
        <v>15</v>
      </c>
      <c r="I2741" s="33" t="str">
        <f t="shared" si="648"/>
        <v>='C:\Users\jaime.benazar\Quorum Business Solutions\Ecopetrol Prometeo - Documents\Planning Space Implementation\3. Analysis &amp; Design\Design\FC22\DRR Jaime\Neiva CPI\[DINA TERCIARIOS_CF_SEC_New_27-Mar-2024.xlsx]D-PRB'!$EA$15</v>
      </c>
      <c r="J2741" s="37" t="s">
        <v>3227</v>
      </c>
    </row>
    <row r="2742" spans="1:10" x14ac:dyDescent="0.3">
      <c r="A2742" s="32" t="s">
        <v>20</v>
      </c>
      <c r="B2742" s="32">
        <f t="shared" si="650"/>
        <v>2027</v>
      </c>
      <c r="C2742" s="33" t="s">
        <v>52</v>
      </c>
      <c r="D2742" s="34" t="s">
        <v>2002</v>
      </c>
      <c r="E2742" s="35" t="str">
        <f t="shared" si="646"/>
        <v>PRB'!</v>
      </c>
      <c r="F2742" s="34" t="str">
        <f t="shared" si="647"/>
        <v>C:\Users\jaime.benazar\Quorum Business Solutions\Ecopetrol Prometeo - Documents\Planning Space Implementation\3. Analysis &amp; Design\Design\FC22\DRR Jaime\Neiva CPI\[DINA TERCIARIOS_CF_SEC_New_27-Mar-2024.xlsx]D-PRB'!</v>
      </c>
      <c r="G2742" s="32" t="s">
        <v>122</v>
      </c>
      <c r="H2742" s="33">
        <f t="shared" si="649"/>
        <v>16</v>
      </c>
      <c r="I2742" s="33" t="str">
        <f t="shared" si="648"/>
        <v>='C:\Users\jaime.benazar\Quorum Business Solutions\Ecopetrol Prometeo - Documents\Planning Space Implementation\3. Analysis &amp; Design\Design\FC22\DRR Jaime\Neiva CPI\[DINA TERCIARIOS_CF_SEC_New_27-Mar-2024.xlsx]D-PRB'!$EA$16</v>
      </c>
      <c r="J2742" s="37" t="s">
        <v>3228</v>
      </c>
    </row>
    <row r="2743" spans="1:10" x14ac:dyDescent="0.3">
      <c r="A2743" s="32" t="s">
        <v>20</v>
      </c>
      <c r="B2743" s="32">
        <f t="shared" si="650"/>
        <v>2028</v>
      </c>
      <c r="C2743" s="33" t="s">
        <v>52</v>
      </c>
      <c r="D2743" s="34" t="s">
        <v>2002</v>
      </c>
      <c r="E2743" s="35" t="str">
        <f t="shared" si="646"/>
        <v>PRB'!</v>
      </c>
      <c r="F2743" s="34" t="str">
        <f t="shared" si="647"/>
        <v>C:\Users\jaime.benazar\Quorum Business Solutions\Ecopetrol Prometeo - Documents\Planning Space Implementation\3. Analysis &amp; Design\Design\FC22\DRR Jaime\Neiva CPI\[DINA TERCIARIOS_CF_SEC_New_27-Mar-2024.xlsx]D-PRB'!</v>
      </c>
      <c r="G2743" s="32" t="s">
        <v>122</v>
      </c>
      <c r="H2743" s="33">
        <f t="shared" si="649"/>
        <v>17</v>
      </c>
      <c r="I2743" s="33" t="str">
        <f t="shared" si="648"/>
        <v>='C:\Users\jaime.benazar\Quorum Business Solutions\Ecopetrol Prometeo - Documents\Planning Space Implementation\3. Analysis &amp; Design\Design\FC22\DRR Jaime\Neiva CPI\[DINA TERCIARIOS_CF_SEC_New_27-Mar-2024.xlsx]D-PRB'!$EA$17</v>
      </c>
      <c r="J2743" s="37" t="s">
        <v>3229</v>
      </c>
    </row>
    <row r="2744" spans="1:10" x14ac:dyDescent="0.3">
      <c r="A2744" s="32" t="s">
        <v>20</v>
      </c>
      <c r="B2744" s="32">
        <f t="shared" si="650"/>
        <v>2029</v>
      </c>
      <c r="C2744" s="33" t="s">
        <v>52</v>
      </c>
      <c r="D2744" s="34" t="s">
        <v>2002</v>
      </c>
      <c r="E2744" s="35" t="str">
        <f t="shared" si="646"/>
        <v>PRB'!</v>
      </c>
      <c r="F2744" s="34" t="str">
        <f t="shared" si="647"/>
        <v>C:\Users\jaime.benazar\Quorum Business Solutions\Ecopetrol Prometeo - Documents\Planning Space Implementation\3. Analysis &amp; Design\Design\FC22\DRR Jaime\Neiva CPI\[DINA TERCIARIOS_CF_SEC_New_27-Mar-2024.xlsx]D-PRB'!</v>
      </c>
      <c r="G2744" s="32" t="s">
        <v>122</v>
      </c>
      <c r="H2744" s="33">
        <f t="shared" si="649"/>
        <v>18</v>
      </c>
      <c r="I2744" s="33" t="str">
        <f t="shared" si="648"/>
        <v>='C:\Users\jaime.benazar\Quorum Business Solutions\Ecopetrol Prometeo - Documents\Planning Space Implementation\3. Analysis &amp; Design\Design\FC22\DRR Jaime\Neiva CPI\[DINA TERCIARIOS_CF_SEC_New_27-Mar-2024.xlsx]D-PRB'!$EA$18</v>
      </c>
      <c r="J2744" s="37" t="s">
        <v>3230</v>
      </c>
    </row>
    <row r="2745" spans="1:10" x14ac:dyDescent="0.3">
      <c r="A2745" s="32" t="s">
        <v>20</v>
      </c>
      <c r="B2745" s="32">
        <f t="shared" si="650"/>
        <v>2030</v>
      </c>
      <c r="C2745" s="33" t="s">
        <v>52</v>
      </c>
      <c r="D2745" s="34" t="s">
        <v>2002</v>
      </c>
      <c r="E2745" s="35" t="str">
        <f t="shared" si="646"/>
        <v>PRB'!</v>
      </c>
      <c r="F2745" s="34" t="str">
        <f t="shared" si="647"/>
        <v>C:\Users\jaime.benazar\Quorum Business Solutions\Ecopetrol Prometeo - Documents\Planning Space Implementation\3. Analysis &amp; Design\Design\FC22\DRR Jaime\Neiva CPI\[DINA TERCIARIOS_CF_SEC_New_27-Mar-2024.xlsx]D-PRB'!</v>
      </c>
      <c r="G2745" s="32" t="s">
        <v>122</v>
      </c>
      <c r="H2745" s="33">
        <f t="shared" si="649"/>
        <v>19</v>
      </c>
      <c r="I2745" s="33" t="str">
        <f t="shared" si="648"/>
        <v>='C:\Users\jaime.benazar\Quorum Business Solutions\Ecopetrol Prometeo - Documents\Planning Space Implementation\3. Analysis &amp; Design\Design\FC22\DRR Jaime\Neiva CPI\[DINA TERCIARIOS_CF_SEC_New_27-Mar-2024.xlsx]D-PRB'!$EA$19</v>
      </c>
      <c r="J2745" s="37" t="s">
        <v>3231</v>
      </c>
    </row>
    <row r="2746" spans="1:10" x14ac:dyDescent="0.3">
      <c r="A2746" s="32" t="s">
        <v>20</v>
      </c>
      <c r="B2746" s="32">
        <f t="shared" si="650"/>
        <v>2031</v>
      </c>
      <c r="C2746" s="33" t="s">
        <v>52</v>
      </c>
      <c r="D2746" s="34" t="s">
        <v>2002</v>
      </c>
      <c r="E2746" s="35" t="str">
        <f t="shared" si="646"/>
        <v>PRB'!</v>
      </c>
      <c r="F2746" s="34" t="str">
        <f t="shared" si="647"/>
        <v>C:\Users\jaime.benazar\Quorum Business Solutions\Ecopetrol Prometeo - Documents\Planning Space Implementation\3. Analysis &amp; Design\Design\FC22\DRR Jaime\Neiva CPI\[DINA TERCIARIOS_CF_SEC_New_27-Mar-2024.xlsx]D-PRB'!</v>
      </c>
      <c r="G2746" s="32" t="s">
        <v>122</v>
      </c>
      <c r="H2746" s="33">
        <f t="shared" si="649"/>
        <v>20</v>
      </c>
      <c r="I2746" s="33" t="str">
        <f t="shared" si="648"/>
        <v>='C:\Users\jaime.benazar\Quorum Business Solutions\Ecopetrol Prometeo - Documents\Planning Space Implementation\3. Analysis &amp; Design\Design\FC22\DRR Jaime\Neiva CPI\[DINA TERCIARIOS_CF_SEC_New_27-Mar-2024.xlsx]D-PRB'!$EA$20</v>
      </c>
      <c r="J2746" s="37" t="s">
        <v>3232</v>
      </c>
    </row>
    <row r="2747" spans="1:10" x14ac:dyDescent="0.3">
      <c r="A2747" s="32" t="s">
        <v>20</v>
      </c>
      <c r="B2747" s="32">
        <f t="shared" si="650"/>
        <v>2032</v>
      </c>
      <c r="C2747" s="33" t="s">
        <v>52</v>
      </c>
      <c r="D2747" s="34" t="s">
        <v>2002</v>
      </c>
      <c r="E2747" s="35" t="str">
        <f t="shared" si="646"/>
        <v>PRB'!</v>
      </c>
      <c r="F2747" s="34" t="str">
        <f t="shared" si="647"/>
        <v>C:\Users\jaime.benazar\Quorum Business Solutions\Ecopetrol Prometeo - Documents\Planning Space Implementation\3. Analysis &amp; Design\Design\FC22\DRR Jaime\Neiva CPI\[DINA TERCIARIOS_CF_SEC_New_27-Mar-2024.xlsx]D-PRB'!</v>
      </c>
      <c r="G2747" s="32" t="s">
        <v>122</v>
      </c>
      <c r="H2747" s="33">
        <f t="shared" si="649"/>
        <v>21</v>
      </c>
      <c r="I2747" s="33" t="str">
        <f t="shared" si="648"/>
        <v>='C:\Users\jaime.benazar\Quorum Business Solutions\Ecopetrol Prometeo - Documents\Planning Space Implementation\3. Analysis &amp; Design\Design\FC22\DRR Jaime\Neiva CPI\[DINA TERCIARIOS_CF_SEC_New_27-Mar-2024.xlsx]D-PRB'!$EA$21</v>
      </c>
      <c r="J2747" s="37" t="s">
        <v>3233</v>
      </c>
    </row>
    <row r="2748" spans="1:10" x14ac:dyDescent="0.3">
      <c r="A2748" s="32" t="s">
        <v>20</v>
      </c>
      <c r="B2748" s="32">
        <f t="shared" si="650"/>
        <v>2033</v>
      </c>
      <c r="C2748" s="33" t="s">
        <v>52</v>
      </c>
      <c r="D2748" s="34" t="s">
        <v>2002</v>
      </c>
      <c r="E2748" s="35" t="str">
        <f t="shared" si="646"/>
        <v>PRB'!</v>
      </c>
      <c r="F2748" s="34" t="str">
        <f t="shared" si="647"/>
        <v>C:\Users\jaime.benazar\Quorum Business Solutions\Ecopetrol Prometeo - Documents\Planning Space Implementation\3. Analysis &amp; Design\Design\FC22\DRR Jaime\Neiva CPI\[DINA TERCIARIOS_CF_SEC_New_27-Mar-2024.xlsx]D-PRB'!</v>
      </c>
      <c r="G2748" s="32" t="s">
        <v>122</v>
      </c>
      <c r="H2748" s="33">
        <f t="shared" si="649"/>
        <v>22</v>
      </c>
      <c r="I2748" s="33" t="str">
        <f t="shared" si="648"/>
        <v>='C:\Users\jaime.benazar\Quorum Business Solutions\Ecopetrol Prometeo - Documents\Planning Space Implementation\3. Analysis &amp; Design\Design\FC22\DRR Jaime\Neiva CPI\[DINA TERCIARIOS_CF_SEC_New_27-Mar-2024.xlsx]D-PRB'!$EA$22</v>
      </c>
      <c r="J2748" s="37" t="s">
        <v>3234</v>
      </c>
    </row>
    <row r="2749" spans="1:10" x14ac:dyDescent="0.3">
      <c r="A2749" s="32" t="s">
        <v>20</v>
      </c>
      <c r="B2749" s="32">
        <f t="shared" si="650"/>
        <v>2034</v>
      </c>
      <c r="C2749" s="33" t="s">
        <v>52</v>
      </c>
      <c r="D2749" s="34" t="s">
        <v>2002</v>
      </c>
      <c r="E2749" s="35" t="str">
        <f t="shared" si="646"/>
        <v>PRB'!</v>
      </c>
      <c r="F2749" s="34" t="str">
        <f t="shared" si="647"/>
        <v>C:\Users\jaime.benazar\Quorum Business Solutions\Ecopetrol Prometeo - Documents\Planning Space Implementation\3. Analysis &amp; Design\Design\FC22\DRR Jaime\Neiva CPI\[DINA TERCIARIOS_CF_SEC_New_27-Mar-2024.xlsx]D-PRB'!</v>
      </c>
      <c r="G2749" s="32" t="s">
        <v>122</v>
      </c>
      <c r="H2749" s="33">
        <f t="shared" si="649"/>
        <v>23</v>
      </c>
      <c r="I2749" s="33" t="str">
        <f t="shared" si="648"/>
        <v>='C:\Users\jaime.benazar\Quorum Business Solutions\Ecopetrol Prometeo - Documents\Planning Space Implementation\3. Analysis &amp; Design\Design\FC22\DRR Jaime\Neiva CPI\[DINA TERCIARIOS_CF_SEC_New_27-Mar-2024.xlsx]D-PRB'!$EA$23</v>
      </c>
      <c r="J2749" s="37" t="s">
        <v>3235</v>
      </c>
    </row>
    <row r="2750" spans="1:10" x14ac:dyDescent="0.3">
      <c r="A2750" s="32" t="s">
        <v>20</v>
      </c>
      <c r="B2750" s="32">
        <f t="shared" si="650"/>
        <v>2035</v>
      </c>
      <c r="C2750" s="33" t="s">
        <v>52</v>
      </c>
      <c r="D2750" s="34" t="s">
        <v>2002</v>
      </c>
      <c r="E2750" s="35" t="str">
        <f t="shared" si="646"/>
        <v>PRB'!</v>
      </c>
      <c r="F2750" s="34" t="str">
        <f t="shared" si="647"/>
        <v>C:\Users\jaime.benazar\Quorum Business Solutions\Ecopetrol Prometeo - Documents\Planning Space Implementation\3. Analysis &amp; Design\Design\FC22\DRR Jaime\Neiva CPI\[DINA TERCIARIOS_CF_SEC_New_27-Mar-2024.xlsx]D-PRB'!</v>
      </c>
      <c r="G2750" s="32" t="s">
        <v>122</v>
      </c>
      <c r="H2750" s="33">
        <f t="shared" si="649"/>
        <v>24</v>
      </c>
      <c r="I2750" s="33" t="str">
        <f t="shared" si="648"/>
        <v>='C:\Users\jaime.benazar\Quorum Business Solutions\Ecopetrol Prometeo - Documents\Planning Space Implementation\3. Analysis &amp; Design\Design\FC22\DRR Jaime\Neiva CPI\[DINA TERCIARIOS_CF_SEC_New_27-Mar-2024.xlsx]D-PRB'!$EA$24</v>
      </c>
      <c r="J2750" s="37" t="s">
        <v>3236</v>
      </c>
    </row>
    <row r="2751" spans="1:10" x14ac:dyDescent="0.3">
      <c r="A2751" s="32" t="s">
        <v>20</v>
      </c>
      <c r="B2751" s="32">
        <f t="shared" si="650"/>
        <v>2036</v>
      </c>
      <c r="C2751" s="33" t="s">
        <v>52</v>
      </c>
      <c r="D2751" s="34" t="s">
        <v>2002</v>
      </c>
      <c r="E2751" s="35" t="str">
        <f t="shared" si="646"/>
        <v>PRB'!</v>
      </c>
      <c r="F2751" s="34" t="str">
        <f t="shared" si="647"/>
        <v>C:\Users\jaime.benazar\Quorum Business Solutions\Ecopetrol Prometeo - Documents\Planning Space Implementation\3. Analysis &amp; Design\Design\FC22\DRR Jaime\Neiva CPI\[DINA TERCIARIOS_CF_SEC_New_27-Mar-2024.xlsx]D-PRB'!</v>
      </c>
      <c r="G2751" s="32" t="s">
        <v>122</v>
      </c>
      <c r="H2751" s="33">
        <f t="shared" si="649"/>
        <v>25</v>
      </c>
      <c r="I2751" s="33" t="str">
        <f t="shared" si="648"/>
        <v>='C:\Users\jaime.benazar\Quorum Business Solutions\Ecopetrol Prometeo - Documents\Planning Space Implementation\3. Analysis &amp; Design\Design\FC22\DRR Jaime\Neiva CPI\[DINA TERCIARIOS_CF_SEC_New_27-Mar-2024.xlsx]D-PRB'!$EA$25</v>
      </c>
      <c r="J2751" s="37" t="s">
        <v>3237</v>
      </c>
    </row>
    <row r="2752" spans="1:10" x14ac:dyDescent="0.3">
      <c r="A2752" s="32" t="s">
        <v>20</v>
      </c>
      <c r="B2752" s="32">
        <f>+B2751+1</f>
        <v>2037</v>
      </c>
      <c r="C2752" s="33" t="s">
        <v>52</v>
      </c>
      <c r="D2752" s="34" t="s">
        <v>2002</v>
      </c>
      <c r="E2752" s="35" t="str">
        <f t="shared" si="646"/>
        <v>PRB'!</v>
      </c>
      <c r="F2752" s="34" t="str">
        <f t="shared" si="647"/>
        <v>C:\Users\jaime.benazar\Quorum Business Solutions\Ecopetrol Prometeo - Documents\Planning Space Implementation\3. Analysis &amp; Design\Design\FC22\DRR Jaime\Neiva CPI\[DINA TERCIARIOS_CF_SEC_New_27-Mar-2024.xlsx]D-PRB'!</v>
      </c>
      <c r="G2752" s="32" t="s">
        <v>122</v>
      </c>
      <c r="H2752" s="33">
        <f t="shared" si="649"/>
        <v>26</v>
      </c>
      <c r="I2752" s="33" t="str">
        <f t="shared" si="648"/>
        <v>='C:\Users\jaime.benazar\Quorum Business Solutions\Ecopetrol Prometeo - Documents\Planning Space Implementation\3. Analysis &amp; Design\Design\FC22\DRR Jaime\Neiva CPI\[DINA TERCIARIOS_CF_SEC_New_27-Mar-2024.xlsx]D-PRB'!$EA$26</v>
      </c>
      <c r="J2752" s="37" t="s">
        <v>3238</v>
      </c>
    </row>
    <row r="2753" spans="1:10" x14ac:dyDescent="0.3">
      <c r="A2753" s="32" t="s">
        <v>20</v>
      </c>
      <c r="B2753" s="32">
        <f t="shared" ref="B2753:B2755" si="651">+B2752+1</f>
        <v>2038</v>
      </c>
      <c r="C2753" s="33" t="s">
        <v>52</v>
      </c>
      <c r="D2753" s="34" t="s">
        <v>2002</v>
      </c>
      <c r="E2753" s="35" t="str">
        <f t="shared" si="646"/>
        <v>PRB'!</v>
      </c>
      <c r="F2753" s="34" t="str">
        <f t="shared" si="647"/>
        <v>C:\Users\jaime.benazar\Quorum Business Solutions\Ecopetrol Prometeo - Documents\Planning Space Implementation\3. Analysis &amp; Design\Design\FC22\DRR Jaime\Neiva CPI\[DINA TERCIARIOS_CF_SEC_New_27-Mar-2024.xlsx]D-PRB'!</v>
      </c>
      <c r="G2753" s="32" t="s">
        <v>122</v>
      </c>
      <c r="H2753" s="33">
        <f t="shared" si="649"/>
        <v>27</v>
      </c>
      <c r="I2753" s="33" t="str">
        <f t="shared" si="648"/>
        <v>='C:\Users\jaime.benazar\Quorum Business Solutions\Ecopetrol Prometeo - Documents\Planning Space Implementation\3. Analysis &amp; Design\Design\FC22\DRR Jaime\Neiva CPI\[DINA TERCIARIOS_CF_SEC_New_27-Mar-2024.xlsx]D-PRB'!$EA$27</v>
      </c>
      <c r="J2753" s="37" t="s">
        <v>3239</v>
      </c>
    </row>
    <row r="2754" spans="1:10" x14ac:dyDescent="0.3">
      <c r="A2754" s="32" t="s">
        <v>20</v>
      </c>
      <c r="B2754" s="32">
        <f t="shared" si="651"/>
        <v>2039</v>
      </c>
      <c r="C2754" s="33" t="s">
        <v>52</v>
      </c>
      <c r="D2754" s="34" t="s">
        <v>2002</v>
      </c>
      <c r="E2754" s="35" t="str">
        <f t="shared" si="646"/>
        <v>PRB'!</v>
      </c>
      <c r="F2754" s="34" t="str">
        <f t="shared" si="647"/>
        <v>C:\Users\jaime.benazar\Quorum Business Solutions\Ecopetrol Prometeo - Documents\Planning Space Implementation\3. Analysis &amp; Design\Design\FC22\DRR Jaime\Neiva CPI\[DINA TERCIARIOS_CF_SEC_New_27-Mar-2024.xlsx]D-PRB'!</v>
      </c>
      <c r="G2754" s="32" t="s">
        <v>122</v>
      </c>
      <c r="H2754" s="33">
        <f t="shared" si="649"/>
        <v>28</v>
      </c>
      <c r="I2754" s="33" t="str">
        <f t="shared" si="648"/>
        <v>='C:\Users\jaime.benazar\Quorum Business Solutions\Ecopetrol Prometeo - Documents\Planning Space Implementation\3. Analysis &amp; Design\Design\FC22\DRR Jaime\Neiva CPI\[DINA TERCIARIOS_CF_SEC_New_27-Mar-2024.xlsx]D-PRB'!$EA$28</v>
      </c>
      <c r="J2754" s="37" t="s">
        <v>3240</v>
      </c>
    </row>
    <row r="2755" spans="1:10" x14ac:dyDescent="0.3">
      <c r="A2755" s="32" t="s">
        <v>20</v>
      </c>
      <c r="B2755" s="32">
        <f t="shared" si="651"/>
        <v>2040</v>
      </c>
      <c r="C2755" s="33" t="s">
        <v>52</v>
      </c>
      <c r="D2755" s="34" t="s">
        <v>2002</v>
      </c>
      <c r="E2755" s="35" t="str">
        <f t="shared" si="646"/>
        <v>PRB'!</v>
      </c>
      <c r="F2755" s="34" t="str">
        <f t="shared" si="647"/>
        <v>C:\Users\jaime.benazar\Quorum Business Solutions\Ecopetrol Prometeo - Documents\Planning Space Implementation\3. Analysis &amp; Design\Design\FC22\DRR Jaime\Neiva CPI\[DINA TERCIARIOS_CF_SEC_New_27-Mar-2024.xlsx]D-PRB'!</v>
      </c>
      <c r="G2755" s="32" t="s">
        <v>122</v>
      </c>
      <c r="H2755" s="33">
        <f t="shared" si="649"/>
        <v>29</v>
      </c>
      <c r="I2755" s="33" t="str">
        <f t="shared" si="648"/>
        <v>='C:\Users\jaime.benazar\Quorum Business Solutions\Ecopetrol Prometeo - Documents\Planning Space Implementation\3. Analysis &amp; Design\Design\FC22\DRR Jaime\Neiva CPI\[DINA TERCIARIOS_CF_SEC_New_27-Mar-2024.xlsx]D-PRB'!$EA$29</v>
      </c>
      <c r="J2755" s="37" t="s">
        <v>3241</v>
      </c>
    </row>
    <row r="2756" spans="1:10" x14ac:dyDescent="0.3">
      <c r="A2756" s="32" t="s">
        <v>20</v>
      </c>
      <c r="B2756" s="32">
        <f>+B2755+1</f>
        <v>2041</v>
      </c>
      <c r="C2756" s="33" t="s">
        <v>52</v>
      </c>
      <c r="D2756" s="34" t="s">
        <v>2002</v>
      </c>
      <c r="E2756" s="35" t="str">
        <f t="shared" si="646"/>
        <v>PRB'!</v>
      </c>
      <c r="F2756" s="34" t="str">
        <f t="shared" si="647"/>
        <v>C:\Users\jaime.benazar\Quorum Business Solutions\Ecopetrol Prometeo - Documents\Planning Space Implementation\3. Analysis &amp; Design\Design\FC22\DRR Jaime\Neiva CPI\[DINA TERCIARIOS_CF_SEC_New_27-Mar-2024.xlsx]D-PRB'!</v>
      </c>
      <c r="G2756" s="32" t="s">
        <v>122</v>
      </c>
      <c r="H2756" s="33">
        <f t="shared" si="649"/>
        <v>30</v>
      </c>
      <c r="I2756" s="33" t="str">
        <f t="shared" si="648"/>
        <v>='C:\Users\jaime.benazar\Quorum Business Solutions\Ecopetrol Prometeo - Documents\Planning Space Implementation\3. Analysis &amp; Design\Design\FC22\DRR Jaime\Neiva CPI\[DINA TERCIARIOS_CF_SEC_New_27-Mar-2024.xlsx]D-PRB'!$EA$30</v>
      </c>
      <c r="J2756" s="37" t="s">
        <v>3242</v>
      </c>
    </row>
    <row r="2757" spans="1:10" x14ac:dyDescent="0.3">
      <c r="A2757" s="32" t="s">
        <v>20</v>
      </c>
      <c r="B2757" s="32">
        <f t="shared" ref="B2757:B2758" si="652">+B2756+1</f>
        <v>2042</v>
      </c>
      <c r="C2757" s="33" t="s">
        <v>52</v>
      </c>
      <c r="D2757" s="34" t="s">
        <v>2002</v>
      </c>
      <c r="E2757" s="35" t="str">
        <f t="shared" si="646"/>
        <v>PRB'!</v>
      </c>
      <c r="F2757" s="34" t="str">
        <f t="shared" si="647"/>
        <v>C:\Users\jaime.benazar\Quorum Business Solutions\Ecopetrol Prometeo - Documents\Planning Space Implementation\3. Analysis &amp; Design\Design\FC22\DRR Jaime\Neiva CPI\[DINA TERCIARIOS_CF_SEC_New_27-Mar-2024.xlsx]D-PRB'!</v>
      </c>
      <c r="G2757" s="32" t="s">
        <v>122</v>
      </c>
      <c r="H2757" s="33">
        <f t="shared" si="649"/>
        <v>31</v>
      </c>
      <c r="I2757" s="33" t="str">
        <f t="shared" si="648"/>
        <v>='C:\Users\jaime.benazar\Quorum Business Solutions\Ecopetrol Prometeo - Documents\Planning Space Implementation\3. Analysis &amp; Design\Design\FC22\DRR Jaime\Neiva CPI\[DINA TERCIARIOS_CF_SEC_New_27-Mar-2024.xlsx]D-PRB'!$EA$31</v>
      </c>
      <c r="J2757" s="37" t="s">
        <v>3243</v>
      </c>
    </row>
    <row r="2758" spans="1:10" x14ac:dyDescent="0.3">
      <c r="A2758" s="32" t="s">
        <v>20</v>
      </c>
      <c r="B2758" s="32">
        <f t="shared" si="652"/>
        <v>2043</v>
      </c>
      <c r="C2758" s="33" t="s">
        <v>52</v>
      </c>
      <c r="D2758" s="34" t="s">
        <v>2002</v>
      </c>
      <c r="E2758" s="35" t="str">
        <f t="shared" si="646"/>
        <v>PRB'!</v>
      </c>
      <c r="F2758" s="34" t="str">
        <f t="shared" si="647"/>
        <v>C:\Users\jaime.benazar\Quorum Business Solutions\Ecopetrol Prometeo - Documents\Planning Space Implementation\3. Analysis &amp; Design\Design\FC22\DRR Jaime\Neiva CPI\[DINA TERCIARIOS_CF_SEC_New_27-Mar-2024.xlsx]D-PRB'!</v>
      </c>
      <c r="G2758" s="32" t="s">
        <v>122</v>
      </c>
      <c r="H2758" s="33">
        <f t="shared" si="649"/>
        <v>32</v>
      </c>
      <c r="I2758" s="33" t="str">
        <f t="shared" si="648"/>
        <v>='C:\Users\jaime.benazar\Quorum Business Solutions\Ecopetrol Prometeo - Documents\Planning Space Implementation\3. Analysis &amp; Design\Design\FC22\DRR Jaime\Neiva CPI\[DINA TERCIARIOS_CF_SEC_New_27-Mar-2024.xlsx]D-PRB'!$EA$32</v>
      </c>
      <c r="J2758" s="37" t="s">
        <v>3244</v>
      </c>
    </row>
    <row r="2759" spans="1:10" x14ac:dyDescent="0.3">
      <c r="A2759" s="32" t="s">
        <v>20</v>
      </c>
      <c r="B2759" s="32">
        <f>+B2758+1</f>
        <v>2044</v>
      </c>
      <c r="C2759" s="33" t="s">
        <v>52</v>
      </c>
      <c r="D2759" s="34" t="s">
        <v>2002</v>
      </c>
      <c r="E2759" s="35" t="str">
        <f t="shared" ref="E2759:E2774" si="653">_xlfn.CONCAT(A2759,"'!")</f>
        <v>PRB'!</v>
      </c>
      <c r="F2759" s="34" t="str">
        <f t="shared" ref="F2759:F2774" si="654">_xlfn.CONCAT(D2759:E2759)</f>
        <v>C:\Users\jaime.benazar\Quorum Business Solutions\Ecopetrol Prometeo - Documents\Planning Space Implementation\3. Analysis &amp; Design\Design\FC22\DRR Jaime\Neiva CPI\[DINA TERCIARIOS_CF_SEC_New_27-Mar-2024.xlsx]D-PRB'!</v>
      </c>
      <c r="G2759" s="32" t="s">
        <v>122</v>
      </c>
      <c r="H2759" s="33">
        <f t="shared" ref="H2759:H2774" si="655">IF(A2759&lt;&gt;A2758,12,H2758+1)</f>
        <v>33</v>
      </c>
      <c r="I2759" s="33" t="str">
        <f t="shared" ref="I2759:I2774" si="656">_xlfn.CONCAT("='",F2759:H2759)</f>
        <v>='C:\Users\jaime.benazar\Quorum Business Solutions\Ecopetrol Prometeo - Documents\Planning Space Implementation\3. Analysis &amp; Design\Design\FC22\DRR Jaime\Neiva CPI\[DINA TERCIARIOS_CF_SEC_New_27-Mar-2024.xlsx]D-PRB'!$EA$33</v>
      </c>
      <c r="J2759" s="37" t="s">
        <v>3245</v>
      </c>
    </row>
    <row r="2760" spans="1:10" x14ac:dyDescent="0.3">
      <c r="A2760" s="32" t="s">
        <v>20</v>
      </c>
      <c r="B2760" s="32">
        <f t="shared" ref="B2760:B2774" si="657">+B2759+1</f>
        <v>2045</v>
      </c>
      <c r="C2760" s="33" t="s">
        <v>52</v>
      </c>
      <c r="D2760" s="34" t="s">
        <v>2002</v>
      </c>
      <c r="E2760" s="35" t="str">
        <f t="shared" si="653"/>
        <v>PRB'!</v>
      </c>
      <c r="F2760" s="34" t="str">
        <f t="shared" si="654"/>
        <v>C:\Users\jaime.benazar\Quorum Business Solutions\Ecopetrol Prometeo - Documents\Planning Space Implementation\3. Analysis &amp; Design\Design\FC22\DRR Jaime\Neiva CPI\[DINA TERCIARIOS_CF_SEC_New_27-Mar-2024.xlsx]D-PRB'!</v>
      </c>
      <c r="G2760" s="32" t="s">
        <v>122</v>
      </c>
      <c r="H2760" s="33">
        <f t="shared" si="655"/>
        <v>34</v>
      </c>
      <c r="I2760" s="33" t="str">
        <f t="shared" si="656"/>
        <v>='C:\Users\jaime.benazar\Quorum Business Solutions\Ecopetrol Prometeo - Documents\Planning Space Implementation\3. Analysis &amp; Design\Design\FC22\DRR Jaime\Neiva CPI\[DINA TERCIARIOS_CF_SEC_New_27-Mar-2024.xlsx]D-PRB'!$EA$34</v>
      </c>
      <c r="J2760" s="37" t="s">
        <v>3246</v>
      </c>
    </row>
    <row r="2761" spans="1:10" x14ac:dyDescent="0.3">
      <c r="A2761" s="32" t="s">
        <v>20</v>
      </c>
      <c r="B2761" s="32">
        <f t="shared" si="657"/>
        <v>2046</v>
      </c>
      <c r="C2761" s="33" t="s">
        <v>52</v>
      </c>
      <c r="D2761" s="34" t="s">
        <v>2002</v>
      </c>
      <c r="E2761" s="35" t="str">
        <f t="shared" si="653"/>
        <v>PRB'!</v>
      </c>
      <c r="F2761" s="34" t="str">
        <f t="shared" si="654"/>
        <v>C:\Users\jaime.benazar\Quorum Business Solutions\Ecopetrol Prometeo - Documents\Planning Space Implementation\3. Analysis &amp; Design\Design\FC22\DRR Jaime\Neiva CPI\[DINA TERCIARIOS_CF_SEC_New_27-Mar-2024.xlsx]D-PRB'!</v>
      </c>
      <c r="G2761" s="32" t="s">
        <v>122</v>
      </c>
      <c r="H2761" s="33">
        <f t="shared" si="655"/>
        <v>35</v>
      </c>
      <c r="I2761" s="33" t="str">
        <f t="shared" si="656"/>
        <v>='C:\Users\jaime.benazar\Quorum Business Solutions\Ecopetrol Prometeo - Documents\Planning Space Implementation\3. Analysis &amp; Design\Design\FC22\DRR Jaime\Neiva CPI\[DINA TERCIARIOS_CF_SEC_New_27-Mar-2024.xlsx]D-PRB'!$EA$35</v>
      </c>
      <c r="J2761" s="37" t="s">
        <v>3247</v>
      </c>
    </row>
    <row r="2762" spans="1:10" x14ac:dyDescent="0.3">
      <c r="A2762" s="32" t="s">
        <v>20</v>
      </c>
      <c r="B2762" s="32">
        <f t="shared" si="657"/>
        <v>2047</v>
      </c>
      <c r="C2762" s="33" t="s">
        <v>52</v>
      </c>
      <c r="D2762" s="34" t="s">
        <v>2002</v>
      </c>
      <c r="E2762" s="35" t="str">
        <f t="shared" si="653"/>
        <v>PRB'!</v>
      </c>
      <c r="F2762" s="34" t="str">
        <f t="shared" si="654"/>
        <v>C:\Users\jaime.benazar\Quorum Business Solutions\Ecopetrol Prometeo - Documents\Planning Space Implementation\3. Analysis &amp; Design\Design\FC22\DRR Jaime\Neiva CPI\[DINA TERCIARIOS_CF_SEC_New_27-Mar-2024.xlsx]D-PRB'!</v>
      </c>
      <c r="G2762" s="32" t="s">
        <v>122</v>
      </c>
      <c r="H2762" s="33">
        <f t="shared" si="655"/>
        <v>36</v>
      </c>
      <c r="I2762" s="33" t="str">
        <f t="shared" si="656"/>
        <v>='C:\Users\jaime.benazar\Quorum Business Solutions\Ecopetrol Prometeo - Documents\Planning Space Implementation\3. Analysis &amp; Design\Design\FC22\DRR Jaime\Neiva CPI\[DINA TERCIARIOS_CF_SEC_New_27-Mar-2024.xlsx]D-PRB'!$EA$36</v>
      </c>
      <c r="J2762" s="37" t="s">
        <v>3248</v>
      </c>
    </row>
    <row r="2763" spans="1:10" x14ac:dyDescent="0.3">
      <c r="A2763" s="32" t="s">
        <v>20</v>
      </c>
      <c r="B2763" s="32">
        <f t="shared" si="657"/>
        <v>2048</v>
      </c>
      <c r="C2763" s="33" t="s">
        <v>52</v>
      </c>
      <c r="D2763" s="34" t="s">
        <v>2002</v>
      </c>
      <c r="E2763" s="35" t="str">
        <f t="shared" si="653"/>
        <v>PRB'!</v>
      </c>
      <c r="F2763" s="34" t="str">
        <f t="shared" si="654"/>
        <v>C:\Users\jaime.benazar\Quorum Business Solutions\Ecopetrol Prometeo - Documents\Planning Space Implementation\3. Analysis &amp; Design\Design\FC22\DRR Jaime\Neiva CPI\[DINA TERCIARIOS_CF_SEC_New_27-Mar-2024.xlsx]D-PRB'!</v>
      </c>
      <c r="G2763" s="32" t="s">
        <v>122</v>
      </c>
      <c r="H2763" s="33">
        <f t="shared" si="655"/>
        <v>37</v>
      </c>
      <c r="I2763" s="33" t="str">
        <f t="shared" si="656"/>
        <v>='C:\Users\jaime.benazar\Quorum Business Solutions\Ecopetrol Prometeo - Documents\Planning Space Implementation\3. Analysis &amp; Design\Design\FC22\DRR Jaime\Neiva CPI\[DINA TERCIARIOS_CF_SEC_New_27-Mar-2024.xlsx]D-PRB'!$EA$37</v>
      </c>
      <c r="J2763" s="37" t="s">
        <v>3249</v>
      </c>
    </row>
    <row r="2764" spans="1:10" x14ac:dyDescent="0.3">
      <c r="A2764" s="32" t="s">
        <v>20</v>
      </c>
      <c r="B2764" s="32">
        <f t="shared" si="657"/>
        <v>2049</v>
      </c>
      <c r="C2764" s="33" t="s">
        <v>52</v>
      </c>
      <c r="D2764" s="34" t="s">
        <v>2002</v>
      </c>
      <c r="E2764" s="35" t="str">
        <f t="shared" si="653"/>
        <v>PRB'!</v>
      </c>
      <c r="F2764" s="34" t="str">
        <f t="shared" si="654"/>
        <v>C:\Users\jaime.benazar\Quorum Business Solutions\Ecopetrol Prometeo - Documents\Planning Space Implementation\3. Analysis &amp; Design\Design\FC22\DRR Jaime\Neiva CPI\[DINA TERCIARIOS_CF_SEC_New_27-Mar-2024.xlsx]D-PRB'!</v>
      </c>
      <c r="G2764" s="32" t="s">
        <v>122</v>
      </c>
      <c r="H2764" s="33">
        <f t="shared" si="655"/>
        <v>38</v>
      </c>
      <c r="I2764" s="33" t="str">
        <f t="shared" si="656"/>
        <v>='C:\Users\jaime.benazar\Quorum Business Solutions\Ecopetrol Prometeo - Documents\Planning Space Implementation\3. Analysis &amp; Design\Design\FC22\DRR Jaime\Neiva CPI\[DINA TERCIARIOS_CF_SEC_New_27-Mar-2024.xlsx]D-PRB'!$EA$38</v>
      </c>
      <c r="J2764" s="37" t="s">
        <v>3250</v>
      </c>
    </row>
    <row r="2765" spans="1:10" x14ac:dyDescent="0.3">
      <c r="A2765" s="32" t="s">
        <v>20</v>
      </c>
      <c r="B2765" s="32">
        <f t="shared" si="657"/>
        <v>2050</v>
      </c>
      <c r="C2765" s="33" t="s">
        <v>52</v>
      </c>
      <c r="D2765" s="34" t="s">
        <v>2002</v>
      </c>
      <c r="E2765" s="35" t="str">
        <f t="shared" si="653"/>
        <v>PRB'!</v>
      </c>
      <c r="F2765" s="34" t="str">
        <f t="shared" si="654"/>
        <v>C:\Users\jaime.benazar\Quorum Business Solutions\Ecopetrol Prometeo - Documents\Planning Space Implementation\3. Analysis &amp; Design\Design\FC22\DRR Jaime\Neiva CPI\[DINA TERCIARIOS_CF_SEC_New_27-Mar-2024.xlsx]D-PRB'!</v>
      </c>
      <c r="G2765" s="32" t="s">
        <v>122</v>
      </c>
      <c r="H2765" s="33">
        <f t="shared" si="655"/>
        <v>39</v>
      </c>
      <c r="I2765" s="33" t="str">
        <f t="shared" si="656"/>
        <v>='C:\Users\jaime.benazar\Quorum Business Solutions\Ecopetrol Prometeo - Documents\Planning Space Implementation\3. Analysis &amp; Design\Design\FC22\DRR Jaime\Neiva CPI\[DINA TERCIARIOS_CF_SEC_New_27-Mar-2024.xlsx]D-PRB'!$EA$39</v>
      </c>
      <c r="J2765" s="37" t="s">
        <v>3251</v>
      </c>
    </row>
    <row r="2766" spans="1:10" x14ac:dyDescent="0.3">
      <c r="A2766" s="32" t="s">
        <v>20</v>
      </c>
      <c r="B2766" s="32">
        <f t="shared" si="657"/>
        <v>2051</v>
      </c>
      <c r="C2766" s="33" t="s">
        <v>52</v>
      </c>
      <c r="D2766" s="34" t="s">
        <v>2002</v>
      </c>
      <c r="E2766" s="35" t="str">
        <f t="shared" si="653"/>
        <v>PRB'!</v>
      </c>
      <c r="F2766" s="34" t="str">
        <f t="shared" si="654"/>
        <v>C:\Users\jaime.benazar\Quorum Business Solutions\Ecopetrol Prometeo - Documents\Planning Space Implementation\3. Analysis &amp; Design\Design\FC22\DRR Jaime\Neiva CPI\[DINA TERCIARIOS_CF_SEC_New_27-Mar-2024.xlsx]D-PRB'!</v>
      </c>
      <c r="G2766" s="32" t="s">
        <v>122</v>
      </c>
      <c r="H2766" s="33">
        <f t="shared" si="655"/>
        <v>40</v>
      </c>
      <c r="I2766" s="33" t="str">
        <f t="shared" si="656"/>
        <v>='C:\Users\jaime.benazar\Quorum Business Solutions\Ecopetrol Prometeo - Documents\Planning Space Implementation\3. Analysis &amp; Design\Design\FC22\DRR Jaime\Neiva CPI\[DINA TERCIARIOS_CF_SEC_New_27-Mar-2024.xlsx]D-PRB'!$EA$40</v>
      </c>
      <c r="J2766" s="37" t="s">
        <v>3252</v>
      </c>
    </row>
    <row r="2767" spans="1:10" x14ac:dyDescent="0.3">
      <c r="A2767" s="32" t="s">
        <v>20</v>
      </c>
      <c r="B2767" s="32">
        <f t="shared" si="657"/>
        <v>2052</v>
      </c>
      <c r="C2767" s="33" t="s">
        <v>52</v>
      </c>
      <c r="D2767" s="34" t="s">
        <v>2002</v>
      </c>
      <c r="E2767" s="35" t="str">
        <f t="shared" si="653"/>
        <v>PRB'!</v>
      </c>
      <c r="F2767" s="34" t="str">
        <f t="shared" si="654"/>
        <v>C:\Users\jaime.benazar\Quorum Business Solutions\Ecopetrol Prometeo - Documents\Planning Space Implementation\3. Analysis &amp; Design\Design\FC22\DRR Jaime\Neiva CPI\[DINA TERCIARIOS_CF_SEC_New_27-Mar-2024.xlsx]D-PRB'!</v>
      </c>
      <c r="G2767" s="32" t="s">
        <v>122</v>
      </c>
      <c r="H2767" s="33">
        <f t="shared" si="655"/>
        <v>41</v>
      </c>
      <c r="I2767" s="33" t="str">
        <f t="shared" si="656"/>
        <v>='C:\Users\jaime.benazar\Quorum Business Solutions\Ecopetrol Prometeo - Documents\Planning Space Implementation\3. Analysis &amp; Design\Design\FC22\DRR Jaime\Neiva CPI\[DINA TERCIARIOS_CF_SEC_New_27-Mar-2024.xlsx]D-PRB'!$EA$41</v>
      </c>
      <c r="J2767" s="37" t="s">
        <v>3253</v>
      </c>
    </row>
    <row r="2768" spans="1:10" x14ac:dyDescent="0.3">
      <c r="A2768" s="32" t="s">
        <v>20</v>
      </c>
      <c r="B2768" s="32">
        <f t="shared" si="657"/>
        <v>2053</v>
      </c>
      <c r="C2768" s="33" t="s">
        <v>52</v>
      </c>
      <c r="D2768" s="34" t="s">
        <v>2002</v>
      </c>
      <c r="E2768" s="35" t="str">
        <f t="shared" si="653"/>
        <v>PRB'!</v>
      </c>
      <c r="F2768" s="34" t="str">
        <f t="shared" si="654"/>
        <v>C:\Users\jaime.benazar\Quorum Business Solutions\Ecopetrol Prometeo - Documents\Planning Space Implementation\3. Analysis &amp; Design\Design\FC22\DRR Jaime\Neiva CPI\[DINA TERCIARIOS_CF_SEC_New_27-Mar-2024.xlsx]D-PRB'!</v>
      </c>
      <c r="G2768" s="32" t="s">
        <v>122</v>
      </c>
      <c r="H2768" s="33">
        <f t="shared" si="655"/>
        <v>42</v>
      </c>
      <c r="I2768" s="33" t="str">
        <f t="shared" si="656"/>
        <v>='C:\Users\jaime.benazar\Quorum Business Solutions\Ecopetrol Prometeo - Documents\Planning Space Implementation\3. Analysis &amp; Design\Design\FC22\DRR Jaime\Neiva CPI\[DINA TERCIARIOS_CF_SEC_New_27-Mar-2024.xlsx]D-PRB'!$EA$42</v>
      </c>
      <c r="J2768" s="37" t="s">
        <v>3254</v>
      </c>
    </row>
    <row r="2769" spans="1:10" x14ac:dyDescent="0.3">
      <c r="A2769" s="32" t="s">
        <v>20</v>
      </c>
      <c r="B2769" s="32">
        <f t="shared" si="657"/>
        <v>2054</v>
      </c>
      <c r="C2769" s="33" t="s">
        <v>52</v>
      </c>
      <c r="D2769" s="34" t="s">
        <v>2002</v>
      </c>
      <c r="E2769" s="35" t="str">
        <f t="shared" si="653"/>
        <v>PRB'!</v>
      </c>
      <c r="F2769" s="34" t="str">
        <f t="shared" si="654"/>
        <v>C:\Users\jaime.benazar\Quorum Business Solutions\Ecopetrol Prometeo - Documents\Planning Space Implementation\3. Analysis &amp; Design\Design\FC22\DRR Jaime\Neiva CPI\[DINA TERCIARIOS_CF_SEC_New_27-Mar-2024.xlsx]D-PRB'!</v>
      </c>
      <c r="G2769" s="32" t="s">
        <v>122</v>
      </c>
      <c r="H2769" s="33">
        <f t="shared" si="655"/>
        <v>43</v>
      </c>
      <c r="I2769" s="33" t="str">
        <f t="shared" si="656"/>
        <v>='C:\Users\jaime.benazar\Quorum Business Solutions\Ecopetrol Prometeo - Documents\Planning Space Implementation\3. Analysis &amp; Design\Design\FC22\DRR Jaime\Neiva CPI\[DINA TERCIARIOS_CF_SEC_New_27-Mar-2024.xlsx]D-PRB'!$EA$43</v>
      </c>
      <c r="J2769" s="37" t="s">
        <v>3255</v>
      </c>
    </row>
    <row r="2770" spans="1:10" x14ac:dyDescent="0.3">
      <c r="A2770" s="32" t="s">
        <v>20</v>
      </c>
      <c r="B2770" s="32">
        <f t="shared" si="657"/>
        <v>2055</v>
      </c>
      <c r="C2770" s="33" t="s">
        <v>52</v>
      </c>
      <c r="D2770" s="34" t="s">
        <v>2002</v>
      </c>
      <c r="E2770" s="35" t="str">
        <f t="shared" si="653"/>
        <v>PRB'!</v>
      </c>
      <c r="F2770" s="34" t="str">
        <f t="shared" si="654"/>
        <v>C:\Users\jaime.benazar\Quorum Business Solutions\Ecopetrol Prometeo - Documents\Planning Space Implementation\3. Analysis &amp; Design\Design\FC22\DRR Jaime\Neiva CPI\[DINA TERCIARIOS_CF_SEC_New_27-Mar-2024.xlsx]D-PRB'!</v>
      </c>
      <c r="G2770" s="32" t="s">
        <v>122</v>
      </c>
      <c r="H2770" s="33">
        <f t="shared" si="655"/>
        <v>44</v>
      </c>
      <c r="I2770" s="33" t="str">
        <f t="shared" si="656"/>
        <v>='C:\Users\jaime.benazar\Quorum Business Solutions\Ecopetrol Prometeo - Documents\Planning Space Implementation\3. Analysis &amp; Design\Design\FC22\DRR Jaime\Neiva CPI\[DINA TERCIARIOS_CF_SEC_New_27-Mar-2024.xlsx]D-PRB'!$EA$44</v>
      </c>
      <c r="J2770" s="37" t="s">
        <v>3256</v>
      </c>
    </row>
    <row r="2771" spans="1:10" x14ac:dyDescent="0.3">
      <c r="A2771" s="32" t="s">
        <v>20</v>
      </c>
      <c r="B2771" s="32">
        <f t="shared" si="657"/>
        <v>2056</v>
      </c>
      <c r="C2771" s="33" t="s">
        <v>52</v>
      </c>
      <c r="D2771" s="34" t="s">
        <v>2002</v>
      </c>
      <c r="E2771" s="35" t="str">
        <f t="shared" si="653"/>
        <v>PRB'!</v>
      </c>
      <c r="F2771" s="34" t="str">
        <f t="shared" si="654"/>
        <v>C:\Users\jaime.benazar\Quorum Business Solutions\Ecopetrol Prometeo - Documents\Planning Space Implementation\3. Analysis &amp; Design\Design\FC22\DRR Jaime\Neiva CPI\[DINA TERCIARIOS_CF_SEC_New_27-Mar-2024.xlsx]D-PRB'!</v>
      </c>
      <c r="G2771" s="32" t="s">
        <v>122</v>
      </c>
      <c r="H2771" s="33">
        <f t="shared" si="655"/>
        <v>45</v>
      </c>
      <c r="I2771" s="33" t="str">
        <f t="shared" si="656"/>
        <v>='C:\Users\jaime.benazar\Quorum Business Solutions\Ecopetrol Prometeo - Documents\Planning Space Implementation\3. Analysis &amp; Design\Design\FC22\DRR Jaime\Neiva CPI\[DINA TERCIARIOS_CF_SEC_New_27-Mar-2024.xlsx]D-PRB'!$EA$45</v>
      </c>
      <c r="J2771" s="37" t="s">
        <v>3257</v>
      </c>
    </row>
    <row r="2772" spans="1:10" x14ac:dyDescent="0.3">
      <c r="A2772" s="32" t="s">
        <v>20</v>
      </c>
      <c r="B2772" s="32">
        <f t="shared" si="657"/>
        <v>2057</v>
      </c>
      <c r="C2772" s="33" t="s">
        <v>52</v>
      </c>
      <c r="D2772" s="34" t="s">
        <v>2002</v>
      </c>
      <c r="E2772" s="35" t="str">
        <f t="shared" si="653"/>
        <v>PRB'!</v>
      </c>
      <c r="F2772" s="34" t="str">
        <f t="shared" si="654"/>
        <v>C:\Users\jaime.benazar\Quorum Business Solutions\Ecopetrol Prometeo - Documents\Planning Space Implementation\3. Analysis &amp; Design\Design\FC22\DRR Jaime\Neiva CPI\[DINA TERCIARIOS_CF_SEC_New_27-Mar-2024.xlsx]D-PRB'!</v>
      </c>
      <c r="G2772" s="32" t="s">
        <v>122</v>
      </c>
      <c r="H2772" s="33">
        <f t="shared" si="655"/>
        <v>46</v>
      </c>
      <c r="I2772" s="33" t="str">
        <f t="shared" si="656"/>
        <v>='C:\Users\jaime.benazar\Quorum Business Solutions\Ecopetrol Prometeo - Documents\Planning Space Implementation\3. Analysis &amp; Design\Design\FC22\DRR Jaime\Neiva CPI\[DINA TERCIARIOS_CF_SEC_New_27-Mar-2024.xlsx]D-PRB'!$EA$46</v>
      </c>
      <c r="J2772" s="37" t="s">
        <v>3258</v>
      </c>
    </row>
    <row r="2773" spans="1:10" x14ac:dyDescent="0.3">
      <c r="A2773" s="32" t="s">
        <v>20</v>
      </c>
      <c r="B2773" s="32">
        <f t="shared" si="657"/>
        <v>2058</v>
      </c>
      <c r="C2773" s="33" t="s">
        <v>52</v>
      </c>
      <c r="D2773" s="34" t="s">
        <v>2002</v>
      </c>
      <c r="E2773" s="35" t="str">
        <f t="shared" si="653"/>
        <v>PRB'!</v>
      </c>
      <c r="F2773" s="34" t="str">
        <f t="shared" si="654"/>
        <v>C:\Users\jaime.benazar\Quorum Business Solutions\Ecopetrol Prometeo - Documents\Planning Space Implementation\3. Analysis &amp; Design\Design\FC22\DRR Jaime\Neiva CPI\[DINA TERCIARIOS_CF_SEC_New_27-Mar-2024.xlsx]D-PRB'!</v>
      </c>
      <c r="G2773" s="32" t="s">
        <v>122</v>
      </c>
      <c r="H2773" s="33">
        <f t="shared" si="655"/>
        <v>47</v>
      </c>
      <c r="I2773" s="33" t="str">
        <f t="shared" si="656"/>
        <v>='C:\Users\jaime.benazar\Quorum Business Solutions\Ecopetrol Prometeo - Documents\Planning Space Implementation\3. Analysis &amp; Design\Design\FC22\DRR Jaime\Neiva CPI\[DINA TERCIARIOS_CF_SEC_New_27-Mar-2024.xlsx]D-PRB'!$EA$47</v>
      </c>
      <c r="J2773" s="37" t="s">
        <v>3259</v>
      </c>
    </row>
    <row r="2774" spans="1:10" x14ac:dyDescent="0.3">
      <c r="A2774" s="32" t="s">
        <v>20</v>
      </c>
      <c r="B2774" s="32">
        <f t="shared" si="657"/>
        <v>2059</v>
      </c>
      <c r="C2774" s="33" t="s">
        <v>52</v>
      </c>
      <c r="D2774" s="34" t="s">
        <v>2002</v>
      </c>
      <c r="E2774" s="35" t="str">
        <f t="shared" si="653"/>
        <v>PRB'!</v>
      </c>
      <c r="F2774" s="34" t="str">
        <f t="shared" si="654"/>
        <v>C:\Users\jaime.benazar\Quorum Business Solutions\Ecopetrol Prometeo - Documents\Planning Space Implementation\3. Analysis &amp; Design\Design\FC22\DRR Jaime\Neiva CPI\[DINA TERCIARIOS_CF_SEC_New_27-Mar-2024.xlsx]D-PRB'!</v>
      </c>
      <c r="G2774" s="32" t="s">
        <v>122</v>
      </c>
      <c r="H2774" s="33">
        <f t="shared" si="655"/>
        <v>48</v>
      </c>
      <c r="I2774" s="33" t="str">
        <f t="shared" si="656"/>
        <v>='C:\Users\jaime.benazar\Quorum Business Solutions\Ecopetrol Prometeo - Documents\Planning Space Implementation\3. Analysis &amp; Design\Design\FC22\DRR Jaime\Neiva CPI\[DINA TERCIARIOS_CF_SEC_New_27-Mar-2024.xlsx]D-PRB'!$EA$48</v>
      </c>
      <c r="J2774" s="37" t="s">
        <v>3260</v>
      </c>
    </row>
    <row r="2775" spans="1:10" x14ac:dyDescent="0.3">
      <c r="A2775" s="32" t="s">
        <v>26</v>
      </c>
      <c r="B2775" s="32"/>
      <c r="C2775" s="33" t="s">
        <v>52</v>
      </c>
      <c r="D2775" s="34"/>
      <c r="E2775" s="35"/>
      <c r="F2775" s="34"/>
      <c r="G2775" s="32"/>
      <c r="H2775" s="33"/>
      <c r="I2775" s="33"/>
      <c r="J2775" s="33"/>
    </row>
    <row r="2776" spans="1:10" x14ac:dyDescent="0.3">
      <c r="A2776" s="32" t="s">
        <v>21</v>
      </c>
      <c r="B2776" s="32">
        <v>2023</v>
      </c>
      <c r="C2776" s="33" t="s">
        <v>52</v>
      </c>
      <c r="D2776" s="34" t="s">
        <v>2002</v>
      </c>
      <c r="E2776" s="35" t="str">
        <f t="shared" ref="E2776:E2796" si="658">_xlfn.CONCAT(A2776,"'!")</f>
        <v>PSDP'!</v>
      </c>
      <c r="F2776" s="34" t="str">
        <f t="shared" ref="F2776:F2796" si="659">_xlfn.CONCAT(D2776:E2776)</f>
        <v>C:\Users\jaime.benazar\Quorum Business Solutions\Ecopetrol Prometeo - Documents\Planning Space Implementation\3. Analysis &amp; Design\Design\FC22\DRR Jaime\Neiva CPI\[DINA TERCIARIOS_CF_SEC_New_27-Mar-2024.xlsx]D-PSDP'!</v>
      </c>
      <c r="G2776" s="32" t="s">
        <v>122</v>
      </c>
      <c r="H2776" s="33"/>
      <c r="I2776" s="33"/>
      <c r="J2776" s="37"/>
    </row>
    <row r="2777" spans="1:10" x14ac:dyDescent="0.3">
      <c r="A2777" s="32" t="s">
        <v>21</v>
      </c>
      <c r="B2777" s="32">
        <f>+B2776+1</f>
        <v>2024</v>
      </c>
      <c r="C2777" s="33" t="s">
        <v>52</v>
      </c>
      <c r="D2777" s="34" t="s">
        <v>2002</v>
      </c>
      <c r="E2777" s="35" t="str">
        <f t="shared" si="658"/>
        <v>PSDP'!</v>
      </c>
      <c r="F2777" s="34" t="str">
        <f t="shared" si="659"/>
        <v>C:\Users\jaime.benazar\Quorum Business Solutions\Ecopetrol Prometeo - Documents\Planning Space Implementation\3. Analysis &amp; Design\Design\FC22\DRR Jaime\Neiva CPI\[DINA TERCIARIOS_CF_SEC_New_27-Mar-2024.xlsx]D-PSDP'!</v>
      </c>
      <c r="G2777" s="32" t="s">
        <v>122</v>
      </c>
      <c r="H2777" s="33"/>
      <c r="I2777" s="33"/>
      <c r="J2777" s="37"/>
    </row>
    <row r="2778" spans="1:10" x14ac:dyDescent="0.3">
      <c r="A2778" s="32" t="s">
        <v>21</v>
      </c>
      <c r="B2778" s="32">
        <f t="shared" ref="B2778:B2789" si="660">+B2777+1</f>
        <v>2025</v>
      </c>
      <c r="C2778" s="33" t="s">
        <v>52</v>
      </c>
      <c r="D2778" s="34" t="s">
        <v>2002</v>
      </c>
      <c r="E2778" s="35" t="str">
        <f t="shared" si="658"/>
        <v>PSDP'!</v>
      </c>
      <c r="F2778" s="34" t="str">
        <f t="shared" si="659"/>
        <v>C:\Users\jaime.benazar\Quorum Business Solutions\Ecopetrol Prometeo - Documents\Planning Space Implementation\3. Analysis &amp; Design\Design\FC22\DRR Jaime\Neiva CPI\[DINA TERCIARIOS_CF_SEC_New_27-Mar-2024.xlsx]D-PSDP'!</v>
      </c>
      <c r="G2778" s="32" t="s">
        <v>122</v>
      </c>
      <c r="H2778" s="33"/>
      <c r="I2778" s="33"/>
      <c r="J2778" s="37"/>
    </row>
    <row r="2779" spans="1:10" x14ac:dyDescent="0.3">
      <c r="A2779" s="32" t="s">
        <v>21</v>
      </c>
      <c r="B2779" s="32">
        <f t="shared" si="660"/>
        <v>2026</v>
      </c>
      <c r="C2779" s="33" t="s">
        <v>52</v>
      </c>
      <c r="D2779" s="34" t="s">
        <v>2002</v>
      </c>
      <c r="E2779" s="35" t="str">
        <f t="shared" si="658"/>
        <v>PSDP'!</v>
      </c>
      <c r="F2779" s="34" t="str">
        <f t="shared" si="659"/>
        <v>C:\Users\jaime.benazar\Quorum Business Solutions\Ecopetrol Prometeo - Documents\Planning Space Implementation\3. Analysis &amp; Design\Design\FC22\DRR Jaime\Neiva CPI\[DINA TERCIARIOS_CF_SEC_New_27-Mar-2024.xlsx]D-PSDP'!</v>
      </c>
      <c r="G2779" s="32" t="s">
        <v>122</v>
      </c>
      <c r="H2779" s="33"/>
      <c r="I2779" s="33"/>
      <c r="J2779" s="37"/>
    </row>
    <row r="2780" spans="1:10" x14ac:dyDescent="0.3">
      <c r="A2780" s="32" t="s">
        <v>21</v>
      </c>
      <c r="B2780" s="32">
        <f t="shared" si="660"/>
        <v>2027</v>
      </c>
      <c r="C2780" s="33" t="s">
        <v>52</v>
      </c>
      <c r="D2780" s="34" t="s">
        <v>2002</v>
      </c>
      <c r="E2780" s="35" t="str">
        <f t="shared" si="658"/>
        <v>PSDP'!</v>
      </c>
      <c r="F2780" s="34" t="str">
        <f t="shared" si="659"/>
        <v>C:\Users\jaime.benazar\Quorum Business Solutions\Ecopetrol Prometeo - Documents\Planning Space Implementation\3. Analysis &amp; Design\Design\FC22\DRR Jaime\Neiva CPI\[DINA TERCIARIOS_CF_SEC_New_27-Mar-2024.xlsx]D-PSDP'!</v>
      </c>
      <c r="G2780" s="32" t="s">
        <v>122</v>
      </c>
      <c r="H2780" s="33"/>
      <c r="I2780" s="33"/>
      <c r="J2780" s="37"/>
    </row>
    <row r="2781" spans="1:10" x14ac:dyDescent="0.3">
      <c r="A2781" s="32" t="s">
        <v>21</v>
      </c>
      <c r="B2781" s="32">
        <f t="shared" si="660"/>
        <v>2028</v>
      </c>
      <c r="C2781" s="33" t="s">
        <v>52</v>
      </c>
      <c r="D2781" s="34" t="s">
        <v>2002</v>
      </c>
      <c r="E2781" s="35" t="str">
        <f t="shared" si="658"/>
        <v>PSDP'!</v>
      </c>
      <c r="F2781" s="34" t="str">
        <f t="shared" si="659"/>
        <v>C:\Users\jaime.benazar\Quorum Business Solutions\Ecopetrol Prometeo - Documents\Planning Space Implementation\3. Analysis &amp; Design\Design\FC22\DRR Jaime\Neiva CPI\[DINA TERCIARIOS_CF_SEC_New_27-Mar-2024.xlsx]D-PSDP'!</v>
      </c>
      <c r="G2781" s="32" t="s">
        <v>122</v>
      </c>
      <c r="H2781" s="33"/>
      <c r="I2781" s="33"/>
      <c r="J2781" s="37"/>
    </row>
    <row r="2782" spans="1:10" x14ac:dyDescent="0.3">
      <c r="A2782" s="32" t="s">
        <v>21</v>
      </c>
      <c r="B2782" s="32">
        <f t="shared" si="660"/>
        <v>2029</v>
      </c>
      <c r="C2782" s="33" t="s">
        <v>52</v>
      </c>
      <c r="D2782" s="34" t="s">
        <v>2002</v>
      </c>
      <c r="E2782" s="35" t="str">
        <f t="shared" si="658"/>
        <v>PSDP'!</v>
      </c>
      <c r="F2782" s="34" t="str">
        <f t="shared" si="659"/>
        <v>C:\Users\jaime.benazar\Quorum Business Solutions\Ecopetrol Prometeo - Documents\Planning Space Implementation\3. Analysis &amp; Design\Design\FC22\DRR Jaime\Neiva CPI\[DINA TERCIARIOS_CF_SEC_New_27-Mar-2024.xlsx]D-PSDP'!</v>
      </c>
      <c r="G2782" s="32" t="s">
        <v>122</v>
      </c>
      <c r="H2782" s="33"/>
      <c r="I2782" s="33"/>
      <c r="J2782" s="37"/>
    </row>
    <row r="2783" spans="1:10" x14ac:dyDescent="0.3">
      <c r="A2783" s="32" t="s">
        <v>21</v>
      </c>
      <c r="B2783" s="32">
        <f t="shared" si="660"/>
        <v>2030</v>
      </c>
      <c r="C2783" s="33" t="s">
        <v>52</v>
      </c>
      <c r="D2783" s="34" t="s">
        <v>2002</v>
      </c>
      <c r="E2783" s="35" t="str">
        <f t="shared" si="658"/>
        <v>PSDP'!</v>
      </c>
      <c r="F2783" s="34" t="str">
        <f t="shared" si="659"/>
        <v>C:\Users\jaime.benazar\Quorum Business Solutions\Ecopetrol Prometeo - Documents\Planning Space Implementation\3. Analysis &amp; Design\Design\FC22\DRR Jaime\Neiva CPI\[DINA TERCIARIOS_CF_SEC_New_27-Mar-2024.xlsx]D-PSDP'!</v>
      </c>
      <c r="G2783" s="32" t="s">
        <v>122</v>
      </c>
      <c r="H2783" s="33"/>
      <c r="I2783" s="33"/>
      <c r="J2783" s="37"/>
    </row>
    <row r="2784" spans="1:10" x14ac:dyDescent="0.3">
      <c r="A2784" s="32" t="s">
        <v>21</v>
      </c>
      <c r="B2784" s="32">
        <f t="shared" si="660"/>
        <v>2031</v>
      </c>
      <c r="C2784" s="33" t="s">
        <v>52</v>
      </c>
      <c r="D2784" s="34" t="s">
        <v>2002</v>
      </c>
      <c r="E2784" s="35" t="str">
        <f t="shared" si="658"/>
        <v>PSDP'!</v>
      </c>
      <c r="F2784" s="34" t="str">
        <f t="shared" si="659"/>
        <v>C:\Users\jaime.benazar\Quorum Business Solutions\Ecopetrol Prometeo - Documents\Planning Space Implementation\3. Analysis &amp; Design\Design\FC22\DRR Jaime\Neiva CPI\[DINA TERCIARIOS_CF_SEC_New_27-Mar-2024.xlsx]D-PSDP'!</v>
      </c>
      <c r="G2784" s="32" t="s">
        <v>122</v>
      </c>
      <c r="H2784" s="33"/>
      <c r="I2784" s="33"/>
      <c r="J2784" s="37"/>
    </row>
    <row r="2785" spans="1:10" x14ac:dyDescent="0.3">
      <c r="A2785" s="32" t="s">
        <v>21</v>
      </c>
      <c r="B2785" s="32">
        <f t="shared" si="660"/>
        <v>2032</v>
      </c>
      <c r="C2785" s="33" t="s">
        <v>52</v>
      </c>
      <c r="D2785" s="34" t="s">
        <v>2002</v>
      </c>
      <c r="E2785" s="35" t="str">
        <f t="shared" si="658"/>
        <v>PSDP'!</v>
      </c>
      <c r="F2785" s="34" t="str">
        <f t="shared" si="659"/>
        <v>C:\Users\jaime.benazar\Quorum Business Solutions\Ecopetrol Prometeo - Documents\Planning Space Implementation\3. Analysis &amp; Design\Design\FC22\DRR Jaime\Neiva CPI\[DINA TERCIARIOS_CF_SEC_New_27-Mar-2024.xlsx]D-PSDP'!</v>
      </c>
      <c r="G2785" s="32" t="s">
        <v>122</v>
      </c>
      <c r="H2785" s="33"/>
      <c r="I2785" s="33"/>
      <c r="J2785" s="37"/>
    </row>
    <row r="2786" spans="1:10" x14ac:dyDescent="0.3">
      <c r="A2786" s="32" t="s">
        <v>21</v>
      </c>
      <c r="B2786" s="32">
        <f t="shared" si="660"/>
        <v>2033</v>
      </c>
      <c r="C2786" s="33" t="s">
        <v>52</v>
      </c>
      <c r="D2786" s="34" t="s">
        <v>2002</v>
      </c>
      <c r="E2786" s="35" t="str">
        <f t="shared" si="658"/>
        <v>PSDP'!</v>
      </c>
      <c r="F2786" s="34" t="str">
        <f t="shared" si="659"/>
        <v>C:\Users\jaime.benazar\Quorum Business Solutions\Ecopetrol Prometeo - Documents\Planning Space Implementation\3. Analysis &amp; Design\Design\FC22\DRR Jaime\Neiva CPI\[DINA TERCIARIOS_CF_SEC_New_27-Mar-2024.xlsx]D-PSDP'!</v>
      </c>
      <c r="G2786" s="32" t="s">
        <v>122</v>
      </c>
      <c r="H2786" s="33"/>
      <c r="I2786" s="33"/>
      <c r="J2786" s="37"/>
    </row>
    <row r="2787" spans="1:10" x14ac:dyDescent="0.3">
      <c r="A2787" s="32" t="s">
        <v>21</v>
      </c>
      <c r="B2787" s="32">
        <f t="shared" si="660"/>
        <v>2034</v>
      </c>
      <c r="C2787" s="33" t="s">
        <v>52</v>
      </c>
      <c r="D2787" s="34" t="s">
        <v>2002</v>
      </c>
      <c r="E2787" s="35" t="str">
        <f t="shared" si="658"/>
        <v>PSDP'!</v>
      </c>
      <c r="F2787" s="34" t="str">
        <f t="shared" si="659"/>
        <v>C:\Users\jaime.benazar\Quorum Business Solutions\Ecopetrol Prometeo - Documents\Planning Space Implementation\3. Analysis &amp; Design\Design\FC22\DRR Jaime\Neiva CPI\[DINA TERCIARIOS_CF_SEC_New_27-Mar-2024.xlsx]D-PSDP'!</v>
      </c>
      <c r="G2787" s="32" t="s">
        <v>122</v>
      </c>
      <c r="H2787" s="33"/>
      <c r="I2787" s="33"/>
      <c r="J2787" s="37"/>
    </row>
    <row r="2788" spans="1:10" x14ac:dyDescent="0.3">
      <c r="A2788" s="32" t="s">
        <v>21</v>
      </c>
      <c r="B2788" s="32">
        <f t="shared" si="660"/>
        <v>2035</v>
      </c>
      <c r="C2788" s="33" t="s">
        <v>52</v>
      </c>
      <c r="D2788" s="34" t="s">
        <v>2002</v>
      </c>
      <c r="E2788" s="35" t="str">
        <f t="shared" si="658"/>
        <v>PSDP'!</v>
      </c>
      <c r="F2788" s="34" t="str">
        <f t="shared" si="659"/>
        <v>C:\Users\jaime.benazar\Quorum Business Solutions\Ecopetrol Prometeo - Documents\Planning Space Implementation\3. Analysis &amp; Design\Design\FC22\DRR Jaime\Neiva CPI\[DINA TERCIARIOS_CF_SEC_New_27-Mar-2024.xlsx]D-PSDP'!</v>
      </c>
      <c r="G2788" s="32" t="s">
        <v>122</v>
      </c>
      <c r="H2788" s="33"/>
      <c r="I2788" s="33"/>
      <c r="J2788" s="37"/>
    </row>
    <row r="2789" spans="1:10" x14ac:dyDescent="0.3">
      <c r="A2789" s="32" t="s">
        <v>21</v>
      </c>
      <c r="B2789" s="32">
        <f t="shared" si="660"/>
        <v>2036</v>
      </c>
      <c r="C2789" s="33" t="s">
        <v>52</v>
      </c>
      <c r="D2789" s="34" t="s">
        <v>2002</v>
      </c>
      <c r="E2789" s="35" t="str">
        <f t="shared" si="658"/>
        <v>PSDP'!</v>
      </c>
      <c r="F2789" s="34" t="str">
        <f t="shared" si="659"/>
        <v>C:\Users\jaime.benazar\Quorum Business Solutions\Ecopetrol Prometeo - Documents\Planning Space Implementation\3. Analysis &amp; Design\Design\FC22\DRR Jaime\Neiva CPI\[DINA TERCIARIOS_CF_SEC_New_27-Mar-2024.xlsx]D-PSDP'!</v>
      </c>
      <c r="G2789" s="32" t="s">
        <v>122</v>
      </c>
      <c r="H2789" s="33"/>
      <c r="I2789" s="33"/>
      <c r="J2789" s="37"/>
    </row>
    <row r="2790" spans="1:10" x14ac:dyDescent="0.3">
      <c r="A2790" s="32" t="s">
        <v>21</v>
      </c>
      <c r="B2790" s="32">
        <f>+B2789+1</f>
        <v>2037</v>
      </c>
      <c r="C2790" s="33" t="s">
        <v>52</v>
      </c>
      <c r="D2790" s="34" t="s">
        <v>2002</v>
      </c>
      <c r="E2790" s="35" t="str">
        <f t="shared" si="658"/>
        <v>PSDP'!</v>
      </c>
      <c r="F2790" s="34" t="str">
        <f t="shared" si="659"/>
        <v>C:\Users\jaime.benazar\Quorum Business Solutions\Ecopetrol Prometeo - Documents\Planning Space Implementation\3. Analysis &amp; Design\Design\FC22\DRR Jaime\Neiva CPI\[DINA TERCIARIOS_CF_SEC_New_27-Mar-2024.xlsx]D-PSDP'!</v>
      </c>
      <c r="G2790" s="32" t="s">
        <v>122</v>
      </c>
      <c r="H2790" s="33"/>
      <c r="I2790" s="33"/>
      <c r="J2790" s="37"/>
    </row>
    <row r="2791" spans="1:10" x14ac:dyDescent="0.3">
      <c r="A2791" s="32" t="s">
        <v>21</v>
      </c>
      <c r="B2791" s="32">
        <f t="shared" ref="B2791:B2793" si="661">+B2790+1</f>
        <v>2038</v>
      </c>
      <c r="C2791" s="33" t="s">
        <v>52</v>
      </c>
      <c r="D2791" s="34" t="s">
        <v>2002</v>
      </c>
      <c r="E2791" s="35" t="str">
        <f t="shared" si="658"/>
        <v>PSDP'!</v>
      </c>
      <c r="F2791" s="34" t="str">
        <f t="shared" si="659"/>
        <v>C:\Users\jaime.benazar\Quorum Business Solutions\Ecopetrol Prometeo - Documents\Planning Space Implementation\3. Analysis &amp; Design\Design\FC22\DRR Jaime\Neiva CPI\[DINA TERCIARIOS_CF_SEC_New_27-Mar-2024.xlsx]D-PSDP'!</v>
      </c>
      <c r="G2791" s="32" t="s">
        <v>122</v>
      </c>
      <c r="H2791" s="33"/>
      <c r="I2791" s="33"/>
      <c r="J2791" s="37"/>
    </row>
    <row r="2792" spans="1:10" x14ac:dyDescent="0.3">
      <c r="A2792" s="32" t="s">
        <v>21</v>
      </c>
      <c r="B2792" s="32">
        <f t="shared" si="661"/>
        <v>2039</v>
      </c>
      <c r="C2792" s="33" t="s">
        <v>52</v>
      </c>
      <c r="D2792" s="34" t="s">
        <v>2002</v>
      </c>
      <c r="E2792" s="35" t="str">
        <f t="shared" si="658"/>
        <v>PSDP'!</v>
      </c>
      <c r="F2792" s="34" t="str">
        <f t="shared" si="659"/>
        <v>C:\Users\jaime.benazar\Quorum Business Solutions\Ecopetrol Prometeo - Documents\Planning Space Implementation\3. Analysis &amp; Design\Design\FC22\DRR Jaime\Neiva CPI\[DINA TERCIARIOS_CF_SEC_New_27-Mar-2024.xlsx]D-PSDP'!</v>
      </c>
      <c r="G2792" s="32" t="s">
        <v>122</v>
      </c>
      <c r="H2792" s="33"/>
      <c r="I2792" s="33"/>
      <c r="J2792" s="37"/>
    </row>
    <row r="2793" spans="1:10" x14ac:dyDescent="0.3">
      <c r="A2793" s="32" t="s">
        <v>21</v>
      </c>
      <c r="B2793" s="32">
        <f t="shared" si="661"/>
        <v>2040</v>
      </c>
      <c r="C2793" s="33" t="s">
        <v>52</v>
      </c>
      <c r="D2793" s="34" t="s">
        <v>2002</v>
      </c>
      <c r="E2793" s="35" t="str">
        <f t="shared" si="658"/>
        <v>PSDP'!</v>
      </c>
      <c r="F2793" s="34" t="str">
        <f t="shared" si="659"/>
        <v>C:\Users\jaime.benazar\Quorum Business Solutions\Ecopetrol Prometeo - Documents\Planning Space Implementation\3. Analysis &amp; Design\Design\FC22\DRR Jaime\Neiva CPI\[DINA TERCIARIOS_CF_SEC_New_27-Mar-2024.xlsx]D-PSDP'!</v>
      </c>
      <c r="G2793" s="32" t="s">
        <v>122</v>
      </c>
      <c r="H2793" s="33"/>
      <c r="I2793" s="33"/>
      <c r="J2793" s="37"/>
    </row>
    <row r="2794" spans="1:10" x14ac:dyDescent="0.3">
      <c r="A2794" s="32" t="s">
        <v>21</v>
      </c>
      <c r="B2794" s="32">
        <f>+B2793+1</f>
        <v>2041</v>
      </c>
      <c r="C2794" s="33" t="s">
        <v>52</v>
      </c>
      <c r="D2794" s="34" t="s">
        <v>2002</v>
      </c>
      <c r="E2794" s="35" t="str">
        <f t="shared" si="658"/>
        <v>PSDP'!</v>
      </c>
      <c r="F2794" s="34" t="str">
        <f t="shared" si="659"/>
        <v>C:\Users\jaime.benazar\Quorum Business Solutions\Ecopetrol Prometeo - Documents\Planning Space Implementation\3. Analysis &amp; Design\Design\FC22\DRR Jaime\Neiva CPI\[DINA TERCIARIOS_CF_SEC_New_27-Mar-2024.xlsx]D-PSDP'!</v>
      </c>
      <c r="G2794" s="32" t="s">
        <v>122</v>
      </c>
      <c r="H2794" s="33"/>
      <c r="I2794" s="33"/>
      <c r="J2794" s="37"/>
    </row>
    <row r="2795" spans="1:10" x14ac:dyDescent="0.3">
      <c r="A2795" s="32" t="s">
        <v>21</v>
      </c>
      <c r="B2795" s="32">
        <f t="shared" ref="B2795:B2796" si="662">+B2794+1</f>
        <v>2042</v>
      </c>
      <c r="C2795" s="33" t="s">
        <v>52</v>
      </c>
      <c r="D2795" s="34" t="s">
        <v>2002</v>
      </c>
      <c r="E2795" s="35" t="str">
        <f t="shared" si="658"/>
        <v>PSDP'!</v>
      </c>
      <c r="F2795" s="34" t="str">
        <f t="shared" si="659"/>
        <v>C:\Users\jaime.benazar\Quorum Business Solutions\Ecopetrol Prometeo - Documents\Planning Space Implementation\3. Analysis &amp; Design\Design\FC22\DRR Jaime\Neiva CPI\[DINA TERCIARIOS_CF_SEC_New_27-Mar-2024.xlsx]D-PSDP'!</v>
      </c>
      <c r="G2795" s="32" t="s">
        <v>122</v>
      </c>
      <c r="H2795" s="33"/>
      <c r="I2795" s="33"/>
      <c r="J2795" s="37"/>
    </row>
    <row r="2796" spans="1:10" x14ac:dyDescent="0.3">
      <c r="A2796" s="32" t="s">
        <v>21</v>
      </c>
      <c r="B2796" s="32">
        <f t="shared" si="662"/>
        <v>2043</v>
      </c>
      <c r="C2796" s="33" t="s">
        <v>52</v>
      </c>
      <c r="D2796" s="34" t="s">
        <v>2002</v>
      </c>
      <c r="E2796" s="35" t="str">
        <f t="shared" si="658"/>
        <v>PSDP'!</v>
      </c>
      <c r="F2796" s="34" t="str">
        <f t="shared" si="659"/>
        <v>C:\Users\jaime.benazar\Quorum Business Solutions\Ecopetrol Prometeo - Documents\Planning Space Implementation\3. Analysis &amp; Design\Design\FC22\DRR Jaime\Neiva CPI\[DINA TERCIARIOS_CF_SEC_New_27-Mar-2024.xlsx]D-PSDP'!</v>
      </c>
      <c r="G2796" s="32" t="s">
        <v>122</v>
      </c>
      <c r="H2796" s="33"/>
      <c r="I2796" s="33"/>
      <c r="J2796" s="37"/>
    </row>
    <row r="2797" spans="1:10" x14ac:dyDescent="0.3">
      <c r="A2797" s="32" t="s">
        <v>21</v>
      </c>
      <c r="B2797" s="32">
        <f>+B2796+1</f>
        <v>2044</v>
      </c>
      <c r="C2797" s="33" t="s">
        <v>52</v>
      </c>
      <c r="D2797" s="34" t="s">
        <v>2002</v>
      </c>
      <c r="E2797" s="35" t="str">
        <f t="shared" ref="E2797:E2812" si="663">_xlfn.CONCAT(A2797,"'!")</f>
        <v>PSDP'!</v>
      </c>
      <c r="F2797" s="34" t="str">
        <f t="shared" ref="F2797:F2812" si="664">_xlfn.CONCAT(D2797:E2797)</f>
        <v>C:\Users\jaime.benazar\Quorum Business Solutions\Ecopetrol Prometeo - Documents\Planning Space Implementation\3. Analysis &amp; Design\Design\FC22\DRR Jaime\Neiva CPI\[DINA TERCIARIOS_CF_SEC_New_27-Mar-2024.xlsx]D-PSDP'!</v>
      </c>
      <c r="G2797" s="32" t="s">
        <v>122</v>
      </c>
      <c r="H2797" s="33"/>
      <c r="I2797" s="33"/>
      <c r="J2797" s="37"/>
    </row>
    <row r="2798" spans="1:10" x14ac:dyDescent="0.3">
      <c r="A2798" s="32" t="s">
        <v>21</v>
      </c>
      <c r="B2798" s="32">
        <f t="shared" ref="B2798:B2812" si="665">+B2797+1</f>
        <v>2045</v>
      </c>
      <c r="C2798" s="33" t="s">
        <v>52</v>
      </c>
      <c r="D2798" s="34" t="s">
        <v>2002</v>
      </c>
      <c r="E2798" s="35" t="str">
        <f t="shared" si="663"/>
        <v>PSDP'!</v>
      </c>
      <c r="F2798" s="34" t="str">
        <f t="shared" si="664"/>
        <v>C:\Users\jaime.benazar\Quorum Business Solutions\Ecopetrol Prometeo - Documents\Planning Space Implementation\3. Analysis &amp; Design\Design\FC22\DRR Jaime\Neiva CPI\[DINA TERCIARIOS_CF_SEC_New_27-Mar-2024.xlsx]D-PSDP'!</v>
      </c>
      <c r="G2798" s="32" t="s">
        <v>122</v>
      </c>
      <c r="H2798" s="33"/>
      <c r="I2798" s="33"/>
      <c r="J2798" s="37"/>
    </row>
    <row r="2799" spans="1:10" x14ac:dyDescent="0.3">
      <c r="A2799" s="32" t="s">
        <v>21</v>
      </c>
      <c r="B2799" s="32">
        <f t="shared" si="665"/>
        <v>2046</v>
      </c>
      <c r="C2799" s="33" t="s">
        <v>52</v>
      </c>
      <c r="D2799" s="34" t="s">
        <v>2002</v>
      </c>
      <c r="E2799" s="35" t="str">
        <f t="shared" si="663"/>
        <v>PSDP'!</v>
      </c>
      <c r="F2799" s="34" t="str">
        <f t="shared" si="664"/>
        <v>C:\Users\jaime.benazar\Quorum Business Solutions\Ecopetrol Prometeo - Documents\Planning Space Implementation\3. Analysis &amp; Design\Design\FC22\DRR Jaime\Neiva CPI\[DINA TERCIARIOS_CF_SEC_New_27-Mar-2024.xlsx]D-PSDP'!</v>
      </c>
      <c r="G2799" s="32" t="s">
        <v>122</v>
      </c>
      <c r="H2799" s="33"/>
      <c r="I2799" s="33"/>
      <c r="J2799" s="37"/>
    </row>
    <row r="2800" spans="1:10" x14ac:dyDescent="0.3">
      <c r="A2800" s="32" t="s">
        <v>21</v>
      </c>
      <c r="B2800" s="32">
        <f t="shared" si="665"/>
        <v>2047</v>
      </c>
      <c r="C2800" s="33" t="s">
        <v>52</v>
      </c>
      <c r="D2800" s="34" t="s">
        <v>2002</v>
      </c>
      <c r="E2800" s="35" t="str">
        <f t="shared" si="663"/>
        <v>PSDP'!</v>
      </c>
      <c r="F2800" s="34" t="str">
        <f t="shared" si="664"/>
        <v>C:\Users\jaime.benazar\Quorum Business Solutions\Ecopetrol Prometeo - Documents\Planning Space Implementation\3. Analysis &amp; Design\Design\FC22\DRR Jaime\Neiva CPI\[DINA TERCIARIOS_CF_SEC_New_27-Mar-2024.xlsx]D-PSDP'!</v>
      </c>
      <c r="G2800" s="32" t="s">
        <v>122</v>
      </c>
      <c r="H2800" s="33"/>
      <c r="I2800" s="33"/>
      <c r="J2800" s="37"/>
    </row>
    <row r="2801" spans="1:10" x14ac:dyDescent="0.3">
      <c r="A2801" s="32" t="s">
        <v>21</v>
      </c>
      <c r="B2801" s="32">
        <f t="shared" si="665"/>
        <v>2048</v>
      </c>
      <c r="C2801" s="33" t="s">
        <v>52</v>
      </c>
      <c r="D2801" s="34" t="s">
        <v>2002</v>
      </c>
      <c r="E2801" s="35" t="str">
        <f t="shared" si="663"/>
        <v>PSDP'!</v>
      </c>
      <c r="F2801" s="34" t="str">
        <f t="shared" si="664"/>
        <v>C:\Users\jaime.benazar\Quorum Business Solutions\Ecopetrol Prometeo - Documents\Planning Space Implementation\3. Analysis &amp; Design\Design\FC22\DRR Jaime\Neiva CPI\[DINA TERCIARIOS_CF_SEC_New_27-Mar-2024.xlsx]D-PSDP'!</v>
      </c>
      <c r="G2801" s="32" t="s">
        <v>122</v>
      </c>
      <c r="H2801" s="33"/>
      <c r="I2801" s="33"/>
      <c r="J2801" s="37"/>
    </row>
    <row r="2802" spans="1:10" x14ac:dyDescent="0.3">
      <c r="A2802" s="32" t="s">
        <v>21</v>
      </c>
      <c r="B2802" s="32">
        <f t="shared" si="665"/>
        <v>2049</v>
      </c>
      <c r="C2802" s="33" t="s">
        <v>52</v>
      </c>
      <c r="D2802" s="34" t="s">
        <v>2002</v>
      </c>
      <c r="E2802" s="35" t="str">
        <f t="shared" si="663"/>
        <v>PSDP'!</v>
      </c>
      <c r="F2802" s="34" t="str">
        <f t="shared" si="664"/>
        <v>C:\Users\jaime.benazar\Quorum Business Solutions\Ecopetrol Prometeo - Documents\Planning Space Implementation\3. Analysis &amp; Design\Design\FC22\DRR Jaime\Neiva CPI\[DINA TERCIARIOS_CF_SEC_New_27-Mar-2024.xlsx]D-PSDP'!</v>
      </c>
      <c r="G2802" s="32" t="s">
        <v>122</v>
      </c>
      <c r="H2802" s="33"/>
      <c r="I2802" s="33"/>
      <c r="J2802" s="37"/>
    </row>
    <row r="2803" spans="1:10" x14ac:dyDescent="0.3">
      <c r="A2803" s="32" t="s">
        <v>21</v>
      </c>
      <c r="B2803" s="32">
        <f t="shared" si="665"/>
        <v>2050</v>
      </c>
      <c r="C2803" s="33" t="s">
        <v>52</v>
      </c>
      <c r="D2803" s="34" t="s">
        <v>2002</v>
      </c>
      <c r="E2803" s="35" t="str">
        <f t="shared" si="663"/>
        <v>PSDP'!</v>
      </c>
      <c r="F2803" s="34" t="str">
        <f t="shared" si="664"/>
        <v>C:\Users\jaime.benazar\Quorum Business Solutions\Ecopetrol Prometeo - Documents\Planning Space Implementation\3. Analysis &amp; Design\Design\FC22\DRR Jaime\Neiva CPI\[DINA TERCIARIOS_CF_SEC_New_27-Mar-2024.xlsx]D-PSDP'!</v>
      </c>
      <c r="G2803" s="32" t="s">
        <v>122</v>
      </c>
      <c r="H2803" s="33"/>
      <c r="I2803" s="33"/>
      <c r="J2803" s="37"/>
    </row>
    <row r="2804" spans="1:10" x14ac:dyDescent="0.3">
      <c r="A2804" s="32" t="s">
        <v>21</v>
      </c>
      <c r="B2804" s="32">
        <f t="shared" si="665"/>
        <v>2051</v>
      </c>
      <c r="C2804" s="33" t="s">
        <v>52</v>
      </c>
      <c r="D2804" s="34" t="s">
        <v>2002</v>
      </c>
      <c r="E2804" s="35" t="str">
        <f t="shared" si="663"/>
        <v>PSDP'!</v>
      </c>
      <c r="F2804" s="34" t="str">
        <f t="shared" si="664"/>
        <v>C:\Users\jaime.benazar\Quorum Business Solutions\Ecopetrol Prometeo - Documents\Planning Space Implementation\3. Analysis &amp; Design\Design\FC22\DRR Jaime\Neiva CPI\[DINA TERCIARIOS_CF_SEC_New_27-Mar-2024.xlsx]D-PSDP'!</v>
      </c>
      <c r="G2804" s="32" t="s">
        <v>122</v>
      </c>
      <c r="H2804" s="33"/>
      <c r="I2804" s="33"/>
      <c r="J2804" s="37"/>
    </row>
    <row r="2805" spans="1:10" x14ac:dyDescent="0.3">
      <c r="A2805" s="32" t="s">
        <v>21</v>
      </c>
      <c r="B2805" s="32">
        <f t="shared" si="665"/>
        <v>2052</v>
      </c>
      <c r="C2805" s="33" t="s">
        <v>52</v>
      </c>
      <c r="D2805" s="34" t="s">
        <v>2002</v>
      </c>
      <c r="E2805" s="35" t="str">
        <f t="shared" si="663"/>
        <v>PSDP'!</v>
      </c>
      <c r="F2805" s="34" t="str">
        <f t="shared" si="664"/>
        <v>C:\Users\jaime.benazar\Quorum Business Solutions\Ecopetrol Prometeo - Documents\Planning Space Implementation\3. Analysis &amp; Design\Design\FC22\DRR Jaime\Neiva CPI\[DINA TERCIARIOS_CF_SEC_New_27-Mar-2024.xlsx]D-PSDP'!</v>
      </c>
      <c r="G2805" s="32" t="s">
        <v>122</v>
      </c>
      <c r="H2805" s="33"/>
      <c r="I2805" s="33"/>
      <c r="J2805" s="37"/>
    </row>
    <row r="2806" spans="1:10" x14ac:dyDescent="0.3">
      <c r="A2806" s="32" t="s">
        <v>21</v>
      </c>
      <c r="B2806" s="32">
        <f t="shared" si="665"/>
        <v>2053</v>
      </c>
      <c r="C2806" s="33" t="s">
        <v>52</v>
      </c>
      <c r="D2806" s="34" t="s">
        <v>2002</v>
      </c>
      <c r="E2806" s="35" t="str">
        <f t="shared" si="663"/>
        <v>PSDP'!</v>
      </c>
      <c r="F2806" s="34" t="str">
        <f t="shared" si="664"/>
        <v>C:\Users\jaime.benazar\Quorum Business Solutions\Ecopetrol Prometeo - Documents\Planning Space Implementation\3. Analysis &amp; Design\Design\FC22\DRR Jaime\Neiva CPI\[DINA TERCIARIOS_CF_SEC_New_27-Mar-2024.xlsx]D-PSDP'!</v>
      </c>
      <c r="G2806" s="32" t="s">
        <v>122</v>
      </c>
      <c r="H2806" s="33"/>
      <c r="I2806" s="33"/>
      <c r="J2806" s="37"/>
    </row>
    <row r="2807" spans="1:10" x14ac:dyDescent="0.3">
      <c r="A2807" s="32" t="s">
        <v>21</v>
      </c>
      <c r="B2807" s="32">
        <f t="shared" si="665"/>
        <v>2054</v>
      </c>
      <c r="C2807" s="33" t="s">
        <v>52</v>
      </c>
      <c r="D2807" s="34" t="s">
        <v>2002</v>
      </c>
      <c r="E2807" s="35" t="str">
        <f t="shared" si="663"/>
        <v>PSDP'!</v>
      </c>
      <c r="F2807" s="34" t="str">
        <f t="shared" si="664"/>
        <v>C:\Users\jaime.benazar\Quorum Business Solutions\Ecopetrol Prometeo - Documents\Planning Space Implementation\3. Analysis &amp; Design\Design\FC22\DRR Jaime\Neiva CPI\[DINA TERCIARIOS_CF_SEC_New_27-Mar-2024.xlsx]D-PSDP'!</v>
      </c>
      <c r="G2807" s="32" t="s">
        <v>122</v>
      </c>
      <c r="H2807" s="33"/>
      <c r="I2807" s="33"/>
      <c r="J2807" s="37"/>
    </row>
    <row r="2808" spans="1:10" x14ac:dyDescent="0.3">
      <c r="A2808" s="32" t="s">
        <v>21</v>
      </c>
      <c r="B2808" s="32">
        <f t="shared" si="665"/>
        <v>2055</v>
      </c>
      <c r="C2808" s="33" t="s">
        <v>52</v>
      </c>
      <c r="D2808" s="34" t="s">
        <v>2002</v>
      </c>
      <c r="E2808" s="35" t="str">
        <f t="shared" si="663"/>
        <v>PSDP'!</v>
      </c>
      <c r="F2808" s="34" t="str">
        <f t="shared" si="664"/>
        <v>C:\Users\jaime.benazar\Quorum Business Solutions\Ecopetrol Prometeo - Documents\Planning Space Implementation\3. Analysis &amp; Design\Design\FC22\DRR Jaime\Neiva CPI\[DINA TERCIARIOS_CF_SEC_New_27-Mar-2024.xlsx]D-PSDP'!</v>
      </c>
      <c r="G2808" s="32" t="s">
        <v>122</v>
      </c>
      <c r="H2808" s="33"/>
      <c r="I2808" s="33"/>
      <c r="J2808" s="37"/>
    </row>
    <row r="2809" spans="1:10" x14ac:dyDescent="0.3">
      <c r="A2809" s="32" t="s">
        <v>21</v>
      </c>
      <c r="B2809" s="32">
        <f t="shared" si="665"/>
        <v>2056</v>
      </c>
      <c r="C2809" s="33" t="s">
        <v>52</v>
      </c>
      <c r="D2809" s="34" t="s">
        <v>2002</v>
      </c>
      <c r="E2809" s="35" t="str">
        <f t="shared" si="663"/>
        <v>PSDP'!</v>
      </c>
      <c r="F2809" s="34" t="str">
        <f t="shared" si="664"/>
        <v>C:\Users\jaime.benazar\Quorum Business Solutions\Ecopetrol Prometeo - Documents\Planning Space Implementation\3. Analysis &amp; Design\Design\FC22\DRR Jaime\Neiva CPI\[DINA TERCIARIOS_CF_SEC_New_27-Mar-2024.xlsx]D-PSDP'!</v>
      </c>
      <c r="G2809" s="32" t="s">
        <v>122</v>
      </c>
      <c r="H2809" s="33"/>
      <c r="I2809" s="33"/>
      <c r="J2809" s="37"/>
    </row>
    <row r="2810" spans="1:10" x14ac:dyDescent="0.3">
      <c r="A2810" s="32" t="s">
        <v>21</v>
      </c>
      <c r="B2810" s="32">
        <f t="shared" si="665"/>
        <v>2057</v>
      </c>
      <c r="C2810" s="33" t="s">
        <v>52</v>
      </c>
      <c r="D2810" s="34" t="s">
        <v>2002</v>
      </c>
      <c r="E2810" s="35" t="str">
        <f t="shared" si="663"/>
        <v>PSDP'!</v>
      </c>
      <c r="F2810" s="34" t="str">
        <f t="shared" si="664"/>
        <v>C:\Users\jaime.benazar\Quorum Business Solutions\Ecopetrol Prometeo - Documents\Planning Space Implementation\3. Analysis &amp; Design\Design\FC22\DRR Jaime\Neiva CPI\[DINA TERCIARIOS_CF_SEC_New_27-Mar-2024.xlsx]D-PSDP'!</v>
      </c>
      <c r="G2810" s="32" t="s">
        <v>122</v>
      </c>
      <c r="H2810" s="33"/>
      <c r="I2810" s="33"/>
      <c r="J2810" s="37"/>
    </row>
    <row r="2811" spans="1:10" x14ac:dyDescent="0.3">
      <c r="A2811" s="32" t="s">
        <v>21</v>
      </c>
      <c r="B2811" s="32">
        <f t="shared" si="665"/>
        <v>2058</v>
      </c>
      <c r="C2811" s="33" t="s">
        <v>52</v>
      </c>
      <c r="D2811" s="34" t="s">
        <v>2002</v>
      </c>
      <c r="E2811" s="35" t="str">
        <f t="shared" si="663"/>
        <v>PSDP'!</v>
      </c>
      <c r="F2811" s="34" t="str">
        <f t="shared" si="664"/>
        <v>C:\Users\jaime.benazar\Quorum Business Solutions\Ecopetrol Prometeo - Documents\Planning Space Implementation\3. Analysis &amp; Design\Design\FC22\DRR Jaime\Neiva CPI\[DINA TERCIARIOS_CF_SEC_New_27-Mar-2024.xlsx]D-PSDP'!</v>
      </c>
      <c r="G2811" s="32" t="s">
        <v>122</v>
      </c>
      <c r="H2811" s="33"/>
      <c r="I2811" s="33"/>
      <c r="J2811" s="37"/>
    </row>
    <row r="2812" spans="1:10" x14ac:dyDescent="0.3">
      <c r="A2812" s="32" t="s">
        <v>21</v>
      </c>
      <c r="B2812" s="32">
        <f t="shared" si="665"/>
        <v>2059</v>
      </c>
      <c r="C2812" s="33" t="s">
        <v>52</v>
      </c>
      <c r="D2812" s="34" t="s">
        <v>2002</v>
      </c>
      <c r="E2812" s="35" t="str">
        <f t="shared" si="663"/>
        <v>PSDP'!</v>
      </c>
      <c r="F2812" s="34" t="str">
        <f t="shared" si="664"/>
        <v>C:\Users\jaime.benazar\Quorum Business Solutions\Ecopetrol Prometeo - Documents\Planning Space Implementation\3. Analysis &amp; Design\Design\FC22\DRR Jaime\Neiva CPI\[DINA TERCIARIOS_CF_SEC_New_27-Mar-2024.xlsx]D-PSDP'!</v>
      </c>
      <c r="G2812" s="32" t="s">
        <v>122</v>
      </c>
      <c r="H2812" s="33"/>
      <c r="I2812" s="33"/>
      <c r="J2812" s="37"/>
    </row>
    <row r="2813" spans="1:10" x14ac:dyDescent="0.3">
      <c r="A2813" s="32" t="s">
        <v>26</v>
      </c>
      <c r="B2813" s="32"/>
      <c r="C2813" s="33" t="s">
        <v>52</v>
      </c>
      <c r="D2813" s="34"/>
      <c r="E2813" s="35"/>
      <c r="F2813" s="34"/>
      <c r="G2813" s="32"/>
      <c r="H2813" s="33"/>
      <c r="I2813" s="33"/>
      <c r="J2813" s="33"/>
    </row>
    <row r="2814" spans="1:10" x14ac:dyDescent="0.3">
      <c r="A2814" s="32" t="s">
        <v>22</v>
      </c>
      <c r="B2814" s="32">
        <v>2023</v>
      </c>
      <c r="C2814" s="33" t="s">
        <v>52</v>
      </c>
      <c r="D2814" s="34" t="s">
        <v>2002</v>
      </c>
      <c r="E2814" s="35" t="str">
        <f t="shared" ref="E2814:E2834" si="666">_xlfn.CONCAT(A2814,"'!")</f>
        <v>PSNP'!</v>
      </c>
      <c r="F2814" s="34" t="str">
        <f t="shared" ref="F2814:F2834" si="667">_xlfn.CONCAT(D2814:E2814)</f>
        <v>C:\Users\jaime.benazar\Quorum Business Solutions\Ecopetrol Prometeo - Documents\Planning Space Implementation\3. Analysis &amp; Design\Design\FC22\DRR Jaime\Neiva CPI\[DINA TERCIARIOS_CF_SEC_New_27-Mar-2024.xlsx]D-PSNP'!</v>
      </c>
      <c r="G2814" s="32" t="s">
        <v>122</v>
      </c>
      <c r="H2814" s="33"/>
      <c r="I2814" s="33"/>
      <c r="J2814" s="37"/>
    </row>
    <row r="2815" spans="1:10" x14ac:dyDescent="0.3">
      <c r="A2815" s="32" t="s">
        <v>22</v>
      </c>
      <c r="B2815" s="32">
        <f>+B2814+1</f>
        <v>2024</v>
      </c>
      <c r="C2815" s="33" t="s">
        <v>52</v>
      </c>
      <c r="D2815" s="34" t="s">
        <v>2002</v>
      </c>
      <c r="E2815" s="35" t="str">
        <f t="shared" si="666"/>
        <v>PSNP'!</v>
      </c>
      <c r="F2815" s="34" t="str">
        <f t="shared" si="667"/>
        <v>C:\Users\jaime.benazar\Quorum Business Solutions\Ecopetrol Prometeo - Documents\Planning Space Implementation\3. Analysis &amp; Design\Design\FC22\DRR Jaime\Neiva CPI\[DINA TERCIARIOS_CF_SEC_New_27-Mar-2024.xlsx]D-PSNP'!</v>
      </c>
      <c r="G2815" s="32" t="s">
        <v>122</v>
      </c>
      <c r="H2815" s="33"/>
      <c r="I2815" s="33"/>
      <c r="J2815" s="37"/>
    </row>
    <row r="2816" spans="1:10" x14ac:dyDescent="0.3">
      <c r="A2816" s="32" t="s">
        <v>22</v>
      </c>
      <c r="B2816" s="32">
        <f t="shared" ref="B2816:B2827" si="668">+B2815+1</f>
        <v>2025</v>
      </c>
      <c r="C2816" s="33" t="s">
        <v>52</v>
      </c>
      <c r="D2816" s="34" t="s">
        <v>2002</v>
      </c>
      <c r="E2816" s="35" t="str">
        <f t="shared" si="666"/>
        <v>PSNP'!</v>
      </c>
      <c r="F2816" s="34" t="str">
        <f t="shared" si="667"/>
        <v>C:\Users\jaime.benazar\Quorum Business Solutions\Ecopetrol Prometeo - Documents\Planning Space Implementation\3. Analysis &amp; Design\Design\FC22\DRR Jaime\Neiva CPI\[DINA TERCIARIOS_CF_SEC_New_27-Mar-2024.xlsx]D-PSNP'!</v>
      </c>
      <c r="G2816" s="32" t="s">
        <v>122</v>
      </c>
      <c r="H2816" s="33"/>
      <c r="I2816" s="33"/>
      <c r="J2816" s="37"/>
    </row>
    <row r="2817" spans="1:10" x14ac:dyDescent="0.3">
      <c r="A2817" s="32" t="s">
        <v>22</v>
      </c>
      <c r="B2817" s="32">
        <f t="shared" si="668"/>
        <v>2026</v>
      </c>
      <c r="C2817" s="33" t="s">
        <v>52</v>
      </c>
      <c r="D2817" s="34" t="s">
        <v>2002</v>
      </c>
      <c r="E2817" s="35" t="str">
        <f t="shared" si="666"/>
        <v>PSNP'!</v>
      </c>
      <c r="F2817" s="34" t="str">
        <f t="shared" si="667"/>
        <v>C:\Users\jaime.benazar\Quorum Business Solutions\Ecopetrol Prometeo - Documents\Planning Space Implementation\3. Analysis &amp; Design\Design\FC22\DRR Jaime\Neiva CPI\[DINA TERCIARIOS_CF_SEC_New_27-Mar-2024.xlsx]D-PSNP'!</v>
      </c>
      <c r="G2817" s="32" t="s">
        <v>122</v>
      </c>
      <c r="H2817" s="33"/>
      <c r="I2817" s="33"/>
      <c r="J2817" s="37"/>
    </row>
    <row r="2818" spans="1:10" x14ac:dyDescent="0.3">
      <c r="A2818" s="32" t="s">
        <v>22</v>
      </c>
      <c r="B2818" s="32">
        <f t="shared" si="668"/>
        <v>2027</v>
      </c>
      <c r="C2818" s="33" t="s">
        <v>52</v>
      </c>
      <c r="D2818" s="34" t="s">
        <v>2002</v>
      </c>
      <c r="E2818" s="35" t="str">
        <f t="shared" si="666"/>
        <v>PSNP'!</v>
      </c>
      <c r="F2818" s="34" t="str">
        <f t="shared" si="667"/>
        <v>C:\Users\jaime.benazar\Quorum Business Solutions\Ecopetrol Prometeo - Documents\Planning Space Implementation\3. Analysis &amp; Design\Design\FC22\DRR Jaime\Neiva CPI\[DINA TERCIARIOS_CF_SEC_New_27-Mar-2024.xlsx]D-PSNP'!</v>
      </c>
      <c r="G2818" s="32" t="s">
        <v>122</v>
      </c>
      <c r="H2818" s="33"/>
      <c r="I2818" s="33"/>
      <c r="J2818" s="37"/>
    </row>
    <row r="2819" spans="1:10" x14ac:dyDescent="0.3">
      <c r="A2819" s="32" t="s">
        <v>22</v>
      </c>
      <c r="B2819" s="32">
        <f t="shared" si="668"/>
        <v>2028</v>
      </c>
      <c r="C2819" s="33" t="s">
        <v>52</v>
      </c>
      <c r="D2819" s="34" t="s">
        <v>2002</v>
      </c>
      <c r="E2819" s="35" t="str">
        <f t="shared" si="666"/>
        <v>PSNP'!</v>
      </c>
      <c r="F2819" s="34" t="str">
        <f t="shared" si="667"/>
        <v>C:\Users\jaime.benazar\Quorum Business Solutions\Ecopetrol Prometeo - Documents\Planning Space Implementation\3. Analysis &amp; Design\Design\FC22\DRR Jaime\Neiva CPI\[DINA TERCIARIOS_CF_SEC_New_27-Mar-2024.xlsx]D-PSNP'!</v>
      </c>
      <c r="G2819" s="32" t="s">
        <v>122</v>
      </c>
      <c r="H2819" s="33"/>
      <c r="I2819" s="33"/>
      <c r="J2819" s="37"/>
    </row>
    <row r="2820" spans="1:10" x14ac:dyDescent="0.3">
      <c r="A2820" s="32" t="s">
        <v>22</v>
      </c>
      <c r="B2820" s="32">
        <f t="shared" si="668"/>
        <v>2029</v>
      </c>
      <c r="C2820" s="33" t="s">
        <v>52</v>
      </c>
      <c r="D2820" s="34" t="s">
        <v>2002</v>
      </c>
      <c r="E2820" s="35" t="str">
        <f t="shared" si="666"/>
        <v>PSNP'!</v>
      </c>
      <c r="F2820" s="34" t="str">
        <f t="shared" si="667"/>
        <v>C:\Users\jaime.benazar\Quorum Business Solutions\Ecopetrol Prometeo - Documents\Planning Space Implementation\3. Analysis &amp; Design\Design\FC22\DRR Jaime\Neiva CPI\[DINA TERCIARIOS_CF_SEC_New_27-Mar-2024.xlsx]D-PSNP'!</v>
      </c>
      <c r="G2820" s="32" t="s">
        <v>122</v>
      </c>
      <c r="H2820" s="33"/>
      <c r="I2820" s="33"/>
      <c r="J2820" s="37"/>
    </row>
    <row r="2821" spans="1:10" x14ac:dyDescent="0.3">
      <c r="A2821" s="32" t="s">
        <v>22</v>
      </c>
      <c r="B2821" s="32">
        <f t="shared" si="668"/>
        <v>2030</v>
      </c>
      <c r="C2821" s="33" t="s">
        <v>52</v>
      </c>
      <c r="D2821" s="34" t="s">
        <v>2002</v>
      </c>
      <c r="E2821" s="35" t="str">
        <f t="shared" si="666"/>
        <v>PSNP'!</v>
      </c>
      <c r="F2821" s="34" t="str">
        <f t="shared" si="667"/>
        <v>C:\Users\jaime.benazar\Quorum Business Solutions\Ecopetrol Prometeo - Documents\Planning Space Implementation\3. Analysis &amp; Design\Design\FC22\DRR Jaime\Neiva CPI\[DINA TERCIARIOS_CF_SEC_New_27-Mar-2024.xlsx]D-PSNP'!</v>
      </c>
      <c r="G2821" s="32" t="s">
        <v>122</v>
      </c>
      <c r="H2821" s="33"/>
      <c r="I2821" s="33"/>
      <c r="J2821" s="37"/>
    </row>
    <row r="2822" spans="1:10" x14ac:dyDescent="0.3">
      <c r="A2822" s="32" t="s">
        <v>22</v>
      </c>
      <c r="B2822" s="32">
        <f t="shared" si="668"/>
        <v>2031</v>
      </c>
      <c r="C2822" s="33" t="s">
        <v>52</v>
      </c>
      <c r="D2822" s="34" t="s">
        <v>2002</v>
      </c>
      <c r="E2822" s="35" t="str">
        <f t="shared" si="666"/>
        <v>PSNP'!</v>
      </c>
      <c r="F2822" s="34" t="str">
        <f t="shared" si="667"/>
        <v>C:\Users\jaime.benazar\Quorum Business Solutions\Ecopetrol Prometeo - Documents\Planning Space Implementation\3. Analysis &amp; Design\Design\FC22\DRR Jaime\Neiva CPI\[DINA TERCIARIOS_CF_SEC_New_27-Mar-2024.xlsx]D-PSNP'!</v>
      </c>
      <c r="G2822" s="32" t="s">
        <v>122</v>
      </c>
      <c r="H2822" s="33"/>
      <c r="I2822" s="33"/>
      <c r="J2822" s="37"/>
    </row>
    <row r="2823" spans="1:10" x14ac:dyDescent="0.3">
      <c r="A2823" s="32" t="s">
        <v>22</v>
      </c>
      <c r="B2823" s="32">
        <f t="shared" si="668"/>
        <v>2032</v>
      </c>
      <c r="C2823" s="33" t="s">
        <v>52</v>
      </c>
      <c r="D2823" s="34" t="s">
        <v>2002</v>
      </c>
      <c r="E2823" s="35" t="str">
        <f t="shared" si="666"/>
        <v>PSNP'!</v>
      </c>
      <c r="F2823" s="34" t="str">
        <f t="shared" si="667"/>
        <v>C:\Users\jaime.benazar\Quorum Business Solutions\Ecopetrol Prometeo - Documents\Planning Space Implementation\3. Analysis &amp; Design\Design\FC22\DRR Jaime\Neiva CPI\[DINA TERCIARIOS_CF_SEC_New_27-Mar-2024.xlsx]D-PSNP'!</v>
      </c>
      <c r="G2823" s="32" t="s">
        <v>122</v>
      </c>
      <c r="H2823" s="33"/>
      <c r="I2823" s="33"/>
      <c r="J2823" s="37"/>
    </row>
    <row r="2824" spans="1:10" x14ac:dyDescent="0.3">
      <c r="A2824" s="32" t="s">
        <v>22</v>
      </c>
      <c r="B2824" s="32">
        <f t="shared" si="668"/>
        <v>2033</v>
      </c>
      <c r="C2824" s="33" t="s">
        <v>52</v>
      </c>
      <c r="D2824" s="34" t="s">
        <v>2002</v>
      </c>
      <c r="E2824" s="35" t="str">
        <f t="shared" si="666"/>
        <v>PSNP'!</v>
      </c>
      <c r="F2824" s="34" t="str">
        <f t="shared" si="667"/>
        <v>C:\Users\jaime.benazar\Quorum Business Solutions\Ecopetrol Prometeo - Documents\Planning Space Implementation\3. Analysis &amp; Design\Design\FC22\DRR Jaime\Neiva CPI\[DINA TERCIARIOS_CF_SEC_New_27-Mar-2024.xlsx]D-PSNP'!</v>
      </c>
      <c r="G2824" s="32" t="s">
        <v>122</v>
      </c>
      <c r="H2824" s="33"/>
      <c r="I2824" s="33"/>
      <c r="J2824" s="37"/>
    </row>
    <row r="2825" spans="1:10" x14ac:dyDescent="0.3">
      <c r="A2825" s="32" t="s">
        <v>22</v>
      </c>
      <c r="B2825" s="32">
        <f t="shared" si="668"/>
        <v>2034</v>
      </c>
      <c r="C2825" s="33" t="s">
        <v>52</v>
      </c>
      <c r="D2825" s="34" t="s">
        <v>2002</v>
      </c>
      <c r="E2825" s="35" t="str">
        <f t="shared" si="666"/>
        <v>PSNP'!</v>
      </c>
      <c r="F2825" s="34" t="str">
        <f t="shared" si="667"/>
        <v>C:\Users\jaime.benazar\Quorum Business Solutions\Ecopetrol Prometeo - Documents\Planning Space Implementation\3. Analysis &amp; Design\Design\FC22\DRR Jaime\Neiva CPI\[DINA TERCIARIOS_CF_SEC_New_27-Mar-2024.xlsx]D-PSNP'!</v>
      </c>
      <c r="G2825" s="32" t="s">
        <v>122</v>
      </c>
      <c r="H2825" s="33"/>
      <c r="I2825" s="33"/>
      <c r="J2825" s="37"/>
    </row>
    <row r="2826" spans="1:10" x14ac:dyDescent="0.3">
      <c r="A2826" s="32" t="s">
        <v>22</v>
      </c>
      <c r="B2826" s="32">
        <f t="shared" si="668"/>
        <v>2035</v>
      </c>
      <c r="C2826" s="33" t="s">
        <v>52</v>
      </c>
      <c r="D2826" s="34" t="s">
        <v>2002</v>
      </c>
      <c r="E2826" s="35" t="str">
        <f t="shared" si="666"/>
        <v>PSNP'!</v>
      </c>
      <c r="F2826" s="34" t="str">
        <f t="shared" si="667"/>
        <v>C:\Users\jaime.benazar\Quorum Business Solutions\Ecopetrol Prometeo - Documents\Planning Space Implementation\3. Analysis &amp; Design\Design\FC22\DRR Jaime\Neiva CPI\[DINA TERCIARIOS_CF_SEC_New_27-Mar-2024.xlsx]D-PSNP'!</v>
      </c>
      <c r="G2826" s="32" t="s">
        <v>122</v>
      </c>
      <c r="H2826" s="33"/>
      <c r="I2826" s="33"/>
      <c r="J2826" s="37"/>
    </row>
    <row r="2827" spans="1:10" x14ac:dyDescent="0.3">
      <c r="A2827" s="32" t="s">
        <v>22</v>
      </c>
      <c r="B2827" s="32">
        <f t="shared" si="668"/>
        <v>2036</v>
      </c>
      <c r="C2827" s="33" t="s">
        <v>52</v>
      </c>
      <c r="D2827" s="34" t="s">
        <v>2002</v>
      </c>
      <c r="E2827" s="35" t="str">
        <f t="shared" si="666"/>
        <v>PSNP'!</v>
      </c>
      <c r="F2827" s="34" t="str">
        <f t="shared" si="667"/>
        <v>C:\Users\jaime.benazar\Quorum Business Solutions\Ecopetrol Prometeo - Documents\Planning Space Implementation\3. Analysis &amp; Design\Design\FC22\DRR Jaime\Neiva CPI\[DINA TERCIARIOS_CF_SEC_New_27-Mar-2024.xlsx]D-PSNP'!</v>
      </c>
      <c r="G2827" s="32" t="s">
        <v>122</v>
      </c>
      <c r="H2827" s="33"/>
      <c r="I2827" s="33"/>
      <c r="J2827" s="37"/>
    </row>
    <row r="2828" spans="1:10" x14ac:dyDescent="0.3">
      <c r="A2828" s="32" t="s">
        <v>22</v>
      </c>
      <c r="B2828" s="32">
        <f>+B2827+1</f>
        <v>2037</v>
      </c>
      <c r="C2828" s="33" t="s">
        <v>52</v>
      </c>
      <c r="D2828" s="34" t="s">
        <v>2002</v>
      </c>
      <c r="E2828" s="35" t="str">
        <f t="shared" si="666"/>
        <v>PSNP'!</v>
      </c>
      <c r="F2828" s="34" t="str">
        <f t="shared" si="667"/>
        <v>C:\Users\jaime.benazar\Quorum Business Solutions\Ecopetrol Prometeo - Documents\Planning Space Implementation\3. Analysis &amp; Design\Design\FC22\DRR Jaime\Neiva CPI\[DINA TERCIARIOS_CF_SEC_New_27-Mar-2024.xlsx]D-PSNP'!</v>
      </c>
      <c r="G2828" s="32" t="s">
        <v>122</v>
      </c>
      <c r="H2828" s="33"/>
      <c r="I2828" s="33"/>
      <c r="J2828" s="37"/>
    </row>
    <row r="2829" spans="1:10" x14ac:dyDescent="0.3">
      <c r="A2829" s="32" t="s">
        <v>22</v>
      </c>
      <c r="B2829" s="32">
        <f t="shared" ref="B2829:B2831" si="669">+B2828+1</f>
        <v>2038</v>
      </c>
      <c r="C2829" s="33" t="s">
        <v>52</v>
      </c>
      <c r="D2829" s="34" t="s">
        <v>2002</v>
      </c>
      <c r="E2829" s="35" t="str">
        <f t="shared" si="666"/>
        <v>PSNP'!</v>
      </c>
      <c r="F2829" s="34" t="str">
        <f t="shared" si="667"/>
        <v>C:\Users\jaime.benazar\Quorum Business Solutions\Ecopetrol Prometeo - Documents\Planning Space Implementation\3. Analysis &amp; Design\Design\FC22\DRR Jaime\Neiva CPI\[DINA TERCIARIOS_CF_SEC_New_27-Mar-2024.xlsx]D-PSNP'!</v>
      </c>
      <c r="G2829" s="32" t="s">
        <v>122</v>
      </c>
      <c r="H2829" s="33"/>
      <c r="I2829" s="33"/>
      <c r="J2829" s="37"/>
    </row>
    <row r="2830" spans="1:10" x14ac:dyDescent="0.3">
      <c r="A2830" s="32" t="s">
        <v>22</v>
      </c>
      <c r="B2830" s="32">
        <f t="shared" si="669"/>
        <v>2039</v>
      </c>
      <c r="C2830" s="33" t="s">
        <v>52</v>
      </c>
      <c r="D2830" s="34" t="s">
        <v>2002</v>
      </c>
      <c r="E2830" s="35" t="str">
        <f t="shared" si="666"/>
        <v>PSNP'!</v>
      </c>
      <c r="F2830" s="34" t="str">
        <f t="shared" si="667"/>
        <v>C:\Users\jaime.benazar\Quorum Business Solutions\Ecopetrol Prometeo - Documents\Planning Space Implementation\3. Analysis &amp; Design\Design\FC22\DRR Jaime\Neiva CPI\[DINA TERCIARIOS_CF_SEC_New_27-Mar-2024.xlsx]D-PSNP'!</v>
      </c>
      <c r="G2830" s="32" t="s">
        <v>122</v>
      </c>
      <c r="H2830" s="33"/>
      <c r="I2830" s="33"/>
      <c r="J2830" s="37"/>
    </row>
    <row r="2831" spans="1:10" x14ac:dyDescent="0.3">
      <c r="A2831" s="32" t="s">
        <v>22</v>
      </c>
      <c r="B2831" s="32">
        <f t="shared" si="669"/>
        <v>2040</v>
      </c>
      <c r="C2831" s="33" t="s">
        <v>52</v>
      </c>
      <c r="D2831" s="34" t="s">
        <v>2002</v>
      </c>
      <c r="E2831" s="35" t="str">
        <f t="shared" si="666"/>
        <v>PSNP'!</v>
      </c>
      <c r="F2831" s="34" t="str">
        <f t="shared" si="667"/>
        <v>C:\Users\jaime.benazar\Quorum Business Solutions\Ecopetrol Prometeo - Documents\Planning Space Implementation\3. Analysis &amp; Design\Design\FC22\DRR Jaime\Neiva CPI\[DINA TERCIARIOS_CF_SEC_New_27-Mar-2024.xlsx]D-PSNP'!</v>
      </c>
      <c r="G2831" s="32" t="s">
        <v>122</v>
      </c>
      <c r="H2831" s="33"/>
      <c r="I2831" s="33"/>
      <c r="J2831" s="37"/>
    </row>
    <row r="2832" spans="1:10" x14ac:dyDescent="0.3">
      <c r="A2832" s="32" t="s">
        <v>22</v>
      </c>
      <c r="B2832" s="32">
        <f>+B2831+1</f>
        <v>2041</v>
      </c>
      <c r="C2832" s="33" t="s">
        <v>52</v>
      </c>
      <c r="D2832" s="34" t="s">
        <v>2002</v>
      </c>
      <c r="E2832" s="35" t="str">
        <f t="shared" si="666"/>
        <v>PSNP'!</v>
      </c>
      <c r="F2832" s="34" t="str">
        <f t="shared" si="667"/>
        <v>C:\Users\jaime.benazar\Quorum Business Solutions\Ecopetrol Prometeo - Documents\Planning Space Implementation\3. Analysis &amp; Design\Design\FC22\DRR Jaime\Neiva CPI\[DINA TERCIARIOS_CF_SEC_New_27-Mar-2024.xlsx]D-PSNP'!</v>
      </c>
      <c r="G2832" s="32" t="s">
        <v>122</v>
      </c>
      <c r="H2832" s="33"/>
      <c r="I2832" s="33"/>
      <c r="J2832" s="37"/>
    </row>
    <row r="2833" spans="1:10" x14ac:dyDescent="0.3">
      <c r="A2833" s="32" t="s">
        <v>22</v>
      </c>
      <c r="B2833" s="32">
        <f t="shared" ref="B2833:B2834" si="670">+B2832+1</f>
        <v>2042</v>
      </c>
      <c r="C2833" s="33" t="s">
        <v>52</v>
      </c>
      <c r="D2833" s="34" t="s">
        <v>2002</v>
      </c>
      <c r="E2833" s="35" t="str">
        <f t="shared" si="666"/>
        <v>PSNP'!</v>
      </c>
      <c r="F2833" s="34" t="str">
        <f t="shared" si="667"/>
        <v>C:\Users\jaime.benazar\Quorum Business Solutions\Ecopetrol Prometeo - Documents\Planning Space Implementation\3. Analysis &amp; Design\Design\FC22\DRR Jaime\Neiva CPI\[DINA TERCIARIOS_CF_SEC_New_27-Mar-2024.xlsx]D-PSNP'!</v>
      </c>
      <c r="G2833" s="32" t="s">
        <v>122</v>
      </c>
      <c r="H2833" s="33"/>
      <c r="I2833" s="33"/>
      <c r="J2833" s="37"/>
    </row>
    <row r="2834" spans="1:10" x14ac:dyDescent="0.3">
      <c r="A2834" s="32" t="s">
        <v>22</v>
      </c>
      <c r="B2834" s="32">
        <f t="shared" si="670"/>
        <v>2043</v>
      </c>
      <c r="C2834" s="33" t="s">
        <v>52</v>
      </c>
      <c r="D2834" s="34" t="s">
        <v>2002</v>
      </c>
      <c r="E2834" s="35" t="str">
        <f t="shared" si="666"/>
        <v>PSNP'!</v>
      </c>
      <c r="F2834" s="34" t="str">
        <f t="shared" si="667"/>
        <v>C:\Users\jaime.benazar\Quorum Business Solutions\Ecopetrol Prometeo - Documents\Planning Space Implementation\3. Analysis &amp; Design\Design\FC22\DRR Jaime\Neiva CPI\[DINA TERCIARIOS_CF_SEC_New_27-Mar-2024.xlsx]D-PSNP'!</v>
      </c>
      <c r="G2834" s="32" t="s">
        <v>122</v>
      </c>
      <c r="H2834" s="33"/>
      <c r="I2834" s="33"/>
      <c r="J2834" s="37"/>
    </row>
    <row r="2835" spans="1:10" x14ac:dyDescent="0.3">
      <c r="A2835" s="32" t="s">
        <v>22</v>
      </c>
      <c r="B2835" s="32">
        <f>+B2834+1</f>
        <v>2044</v>
      </c>
      <c r="C2835" s="33" t="s">
        <v>52</v>
      </c>
      <c r="D2835" s="34" t="s">
        <v>2002</v>
      </c>
      <c r="E2835" s="35" t="str">
        <f t="shared" ref="E2835:E2850" si="671">_xlfn.CONCAT(A2835,"'!")</f>
        <v>PSNP'!</v>
      </c>
      <c r="F2835" s="34" t="str">
        <f t="shared" ref="F2835:F2850" si="672">_xlfn.CONCAT(D2835:E2835)</f>
        <v>C:\Users\jaime.benazar\Quorum Business Solutions\Ecopetrol Prometeo - Documents\Planning Space Implementation\3. Analysis &amp; Design\Design\FC22\DRR Jaime\Neiva CPI\[DINA TERCIARIOS_CF_SEC_New_27-Mar-2024.xlsx]D-PSNP'!</v>
      </c>
      <c r="G2835" s="32" t="s">
        <v>122</v>
      </c>
      <c r="H2835" s="33"/>
      <c r="I2835" s="33"/>
      <c r="J2835" s="37"/>
    </row>
    <row r="2836" spans="1:10" x14ac:dyDescent="0.3">
      <c r="A2836" s="32" t="s">
        <v>22</v>
      </c>
      <c r="B2836" s="32">
        <f t="shared" ref="B2836:B2850" si="673">+B2835+1</f>
        <v>2045</v>
      </c>
      <c r="C2836" s="33" t="s">
        <v>52</v>
      </c>
      <c r="D2836" s="34" t="s">
        <v>2002</v>
      </c>
      <c r="E2836" s="35" t="str">
        <f t="shared" si="671"/>
        <v>PSNP'!</v>
      </c>
      <c r="F2836" s="34" t="str">
        <f t="shared" si="672"/>
        <v>C:\Users\jaime.benazar\Quorum Business Solutions\Ecopetrol Prometeo - Documents\Planning Space Implementation\3. Analysis &amp; Design\Design\FC22\DRR Jaime\Neiva CPI\[DINA TERCIARIOS_CF_SEC_New_27-Mar-2024.xlsx]D-PSNP'!</v>
      </c>
      <c r="G2836" s="32" t="s">
        <v>122</v>
      </c>
      <c r="H2836" s="33"/>
      <c r="I2836" s="33"/>
      <c r="J2836" s="37"/>
    </row>
    <row r="2837" spans="1:10" x14ac:dyDescent="0.3">
      <c r="A2837" s="32" t="s">
        <v>22</v>
      </c>
      <c r="B2837" s="32">
        <f t="shared" si="673"/>
        <v>2046</v>
      </c>
      <c r="C2837" s="33" t="s">
        <v>52</v>
      </c>
      <c r="D2837" s="34" t="s">
        <v>2002</v>
      </c>
      <c r="E2837" s="35" t="str">
        <f t="shared" si="671"/>
        <v>PSNP'!</v>
      </c>
      <c r="F2837" s="34" t="str">
        <f t="shared" si="672"/>
        <v>C:\Users\jaime.benazar\Quorum Business Solutions\Ecopetrol Prometeo - Documents\Planning Space Implementation\3. Analysis &amp; Design\Design\FC22\DRR Jaime\Neiva CPI\[DINA TERCIARIOS_CF_SEC_New_27-Mar-2024.xlsx]D-PSNP'!</v>
      </c>
      <c r="G2837" s="32" t="s">
        <v>122</v>
      </c>
      <c r="H2837" s="33"/>
      <c r="I2837" s="33"/>
      <c r="J2837" s="37"/>
    </row>
    <row r="2838" spans="1:10" x14ac:dyDescent="0.3">
      <c r="A2838" s="32" t="s">
        <v>22</v>
      </c>
      <c r="B2838" s="32">
        <f t="shared" si="673"/>
        <v>2047</v>
      </c>
      <c r="C2838" s="33" t="s">
        <v>52</v>
      </c>
      <c r="D2838" s="34" t="s">
        <v>2002</v>
      </c>
      <c r="E2838" s="35" t="str">
        <f t="shared" si="671"/>
        <v>PSNP'!</v>
      </c>
      <c r="F2838" s="34" t="str">
        <f t="shared" si="672"/>
        <v>C:\Users\jaime.benazar\Quorum Business Solutions\Ecopetrol Prometeo - Documents\Planning Space Implementation\3. Analysis &amp; Design\Design\FC22\DRR Jaime\Neiva CPI\[DINA TERCIARIOS_CF_SEC_New_27-Mar-2024.xlsx]D-PSNP'!</v>
      </c>
      <c r="G2838" s="32" t="s">
        <v>122</v>
      </c>
      <c r="H2838" s="33"/>
      <c r="I2838" s="33"/>
      <c r="J2838" s="37"/>
    </row>
    <row r="2839" spans="1:10" x14ac:dyDescent="0.3">
      <c r="A2839" s="32" t="s">
        <v>22</v>
      </c>
      <c r="B2839" s="32">
        <f t="shared" si="673"/>
        <v>2048</v>
      </c>
      <c r="C2839" s="33" t="s">
        <v>52</v>
      </c>
      <c r="D2839" s="34" t="s">
        <v>2002</v>
      </c>
      <c r="E2839" s="35" t="str">
        <f t="shared" si="671"/>
        <v>PSNP'!</v>
      </c>
      <c r="F2839" s="34" t="str">
        <f t="shared" si="672"/>
        <v>C:\Users\jaime.benazar\Quorum Business Solutions\Ecopetrol Prometeo - Documents\Planning Space Implementation\3. Analysis &amp; Design\Design\FC22\DRR Jaime\Neiva CPI\[DINA TERCIARIOS_CF_SEC_New_27-Mar-2024.xlsx]D-PSNP'!</v>
      </c>
      <c r="G2839" s="32" t="s">
        <v>122</v>
      </c>
      <c r="H2839" s="33"/>
      <c r="I2839" s="33"/>
      <c r="J2839" s="37"/>
    </row>
    <row r="2840" spans="1:10" x14ac:dyDescent="0.3">
      <c r="A2840" s="32" t="s">
        <v>22</v>
      </c>
      <c r="B2840" s="32">
        <f t="shared" si="673"/>
        <v>2049</v>
      </c>
      <c r="C2840" s="33" t="s">
        <v>52</v>
      </c>
      <c r="D2840" s="34" t="s">
        <v>2002</v>
      </c>
      <c r="E2840" s="35" t="str">
        <f t="shared" si="671"/>
        <v>PSNP'!</v>
      </c>
      <c r="F2840" s="34" t="str">
        <f t="shared" si="672"/>
        <v>C:\Users\jaime.benazar\Quorum Business Solutions\Ecopetrol Prometeo - Documents\Planning Space Implementation\3. Analysis &amp; Design\Design\FC22\DRR Jaime\Neiva CPI\[DINA TERCIARIOS_CF_SEC_New_27-Mar-2024.xlsx]D-PSNP'!</v>
      </c>
      <c r="G2840" s="32" t="s">
        <v>122</v>
      </c>
      <c r="H2840" s="33"/>
      <c r="I2840" s="33"/>
      <c r="J2840" s="37"/>
    </row>
    <row r="2841" spans="1:10" x14ac:dyDescent="0.3">
      <c r="A2841" s="32" t="s">
        <v>22</v>
      </c>
      <c r="B2841" s="32">
        <f t="shared" si="673"/>
        <v>2050</v>
      </c>
      <c r="C2841" s="33" t="s">
        <v>52</v>
      </c>
      <c r="D2841" s="34" t="s">
        <v>2002</v>
      </c>
      <c r="E2841" s="35" t="str">
        <f t="shared" si="671"/>
        <v>PSNP'!</v>
      </c>
      <c r="F2841" s="34" t="str">
        <f t="shared" si="672"/>
        <v>C:\Users\jaime.benazar\Quorum Business Solutions\Ecopetrol Prometeo - Documents\Planning Space Implementation\3. Analysis &amp; Design\Design\FC22\DRR Jaime\Neiva CPI\[DINA TERCIARIOS_CF_SEC_New_27-Mar-2024.xlsx]D-PSNP'!</v>
      </c>
      <c r="G2841" s="32" t="s">
        <v>122</v>
      </c>
      <c r="H2841" s="33"/>
      <c r="I2841" s="33"/>
      <c r="J2841" s="37"/>
    </row>
    <row r="2842" spans="1:10" x14ac:dyDescent="0.3">
      <c r="A2842" s="32" t="s">
        <v>22</v>
      </c>
      <c r="B2842" s="32">
        <f t="shared" si="673"/>
        <v>2051</v>
      </c>
      <c r="C2842" s="33" t="s">
        <v>52</v>
      </c>
      <c r="D2842" s="34" t="s">
        <v>2002</v>
      </c>
      <c r="E2842" s="35" t="str">
        <f t="shared" si="671"/>
        <v>PSNP'!</v>
      </c>
      <c r="F2842" s="34" t="str">
        <f t="shared" si="672"/>
        <v>C:\Users\jaime.benazar\Quorum Business Solutions\Ecopetrol Prometeo - Documents\Planning Space Implementation\3. Analysis &amp; Design\Design\FC22\DRR Jaime\Neiva CPI\[DINA TERCIARIOS_CF_SEC_New_27-Mar-2024.xlsx]D-PSNP'!</v>
      </c>
      <c r="G2842" s="32" t="s">
        <v>122</v>
      </c>
      <c r="H2842" s="33"/>
      <c r="I2842" s="33"/>
      <c r="J2842" s="37"/>
    </row>
    <row r="2843" spans="1:10" x14ac:dyDescent="0.3">
      <c r="A2843" s="32" t="s">
        <v>22</v>
      </c>
      <c r="B2843" s="32">
        <f t="shared" si="673"/>
        <v>2052</v>
      </c>
      <c r="C2843" s="33" t="s">
        <v>52</v>
      </c>
      <c r="D2843" s="34" t="s">
        <v>2002</v>
      </c>
      <c r="E2843" s="35" t="str">
        <f t="shared" si="671"/>
        <v>PSNP'!</v>
      </c>
      <c r="F2843" s="34" t="str">
        <f t="shared" si="672"/>
        <v>C:\Users\jaime.benazar\Quorum Business Solutions\Ecopetrol Prometeo - Documents\Planning Space Implementation\3. Analysis &amp; Design\Design\FC22\DRR Jaime\Neiva CPI\[DINA TERCIARIOS_CF_SEC_New_27-Mar-2024.xlsx]D-PSNP'!</v>
      </c>
      <c r="G2843" s="32" t="s">
        <v>122</v>
      </c>
      <c r="H2843" s="33"/>
      <c r="I2843" s="33"/>
      <c r="J2843" s="37"/>
    </row>
    <row r="2844" spans="1:10" x14ac:dyDescent="0.3">
      <c r="A2844" s="32" t="s">
        <v>22</v>
      </c>
      <c r="B2844" s="32">
        <f t="shared" si="673"/>
        <v>2053</v>
      </c>
      <c r="C2844" s="33" t="s">
        <v>52</v>
      </c>
      <c r="D2844" s="34" t="s">
        <v>2002</v>
      </c>
      <c r="E2844" s="35" t="str">
        <f t="shared" si="671"/>
        <v>PSNP'!</v>
      </c>
      <c r="F2844" s="34" t="str">
        <f t="shared" si="672"/>
        <v>C:\Users\jaime.benazar\Quorum Business Solutions\Ecopetrol Prometeo - Documents\Planning Space Implementation\3. Analysis &amp; Design\Design\FC22\DRR Jaime\Neiva CPI\[DINA TERCIARIOS_CF_SEC_New_27-Mar-2024.xlsx]D-PSNP'!</v>
      </c>
      <c r="G2844" s="32" t="s">
        <v>122</v>
      </c>
      <c r="H2844" s="33"/>
      <c r="I2844" s="33"/>
      <c r="J2844" s="37"/>
    </row>
    <row r="2845" spans="1:10" x14ac:dyDescent="0.3">
      <c r="A2845" s="32" t="s">
        <v>22</v>
      </c>
      <c r="B2845" s="32">
        <f t="shared" si="673"/>
        <v>2054</v>
      </c>
      <c r="C2845" s="33" t="s">
        <v>52</v>
      </c>
      <c r="D2845" s="34" t="s">
        <v>2002</v>
      </c>
      <c r="E2845" s="35" t="str">
        <f t="shared" si="671"/>
        <v>PSNP'!</v>
      </c>
      <c r="F2845" s="34" t="str">
        <f t="shared" si="672"/>
        <v>C:\Users\jaime.benazar\Quorum Business Solutions\Ecopetrol Prometeo - Documents\Planning Space Implementation\3. Analysis &amp; Design\Design\FC22\DRR Jaime\Neiva CPI\[DINA TERCIARIOS_CF_SEC_New_27-Mar-2024.xlsx]D-PSNP'!</v>
      </c>
      <c r="G2845" s="32" t="s">
        <v>122</v>
      </c>
      <c r="H2845" s="33"/>
      <c r="I2845" s="33"/>
      <c r="J2845" s="37"/>
    </row>
    <row r="2846" spans="1:10" x14ac:dyDescent="0.3">
      <c r="A2846" s="32" t="s">
        <v>22</v>
      </c>
      <c r="B2846" s="32">
        <f t="shared" si="673"/>
        <v>2055</v>
      </c>
      <c r="C2846" s="33" t="s">
        <v>52</v>
      </c>
      <c r="D2846" s="34" t="s">
        <v>2002</v>
      </c>
      <c r="E2846" s="35" t="str">
        <f t="shared" si="671"/>
        <v>PSNP'!</v>
      </c>
      <c r="F2846" s="34" t="str">
        <f t="shared" si="672"/>
        <v>C:\Users\jaime.benazar\Quorum Business Solutions\Ecopetrol Prometeo - Documents\Planning Space Implementation\3. Analysis &amp; Design\Design\FC22\DRR Jaime\Neiva CPI\[DINA TERCIARIOS_CF_SEC_New_27-Mar-2024.xlsx]D-PSNP'!</v>
      </c>
      <c r="G2846" s="32" t="s">
        <v>122</v>
      </c>
      <c r="H2846" s="33"/>
      <c r="I2846" s="33"/>
      <c r="J2846" s="37"/>
    </row>
    <row r="2847" spans="1:10" x14ac:dyDescent="0.3">
      <c r="A2847" s="32" t="s">
        <v>22</v>
      </c>
      <c r="B2847" s="32">
        <f t="shared" si="673"/>
        <v>2056</v>
      </c>
      <c r="C2847" s="33" t="s">
        <v>52</v>
      </c>
      <c r="D2847" s="34" t="s">
        <v>2002</v>
      </c>
      <c r="E2847" s="35" t="str">
        <f t="shared" si="671"/>
        <v>PSNP'!</v>
      </c>
      <c r="F2847" s="34" t="str">
        <f t="shared" si="672"/>
        <v>C:\Users\jaime.benazar\Quorum Business Solutions\Ecopetrol Prometeo - Documents\Planning Space Implementation\3. Analysis &amp; Design\Design\FC22\DRR Jaime\Neiva CPI\[DINA TERCIARIOS_CF_SEC_New_27-Mar-2024.xlsx]D-PSNP'!</v>
      </c>
      <c r="G2847" s="32" t="s">
        <v>122</v>
      </c>
      <c r="H2847" s="33"/>
      <c r="I2847" s="33"/>
      <c r="J2847" s="37"/>
    </row>
    <row r="2848" spans="1:10" x14ac:dyDescent="0.3">
      <c r="A2848" s="32" t="s">
        <v>22</v>
      </c>
      <c r="B2848" s="32">
        <f t="shared" si="673"/>
        <v>2057</v>
      </c>
      <c r="C2848" s="33" t="s">
        <v>52</v>
      </c>
      <c r="D2848" s="34" t="s">
        <v>2002</v>
      </c>
      <c r="E2848" s="35" t="str">
        <f t="shared" si="671"/>
        <v>PSNP'!</v>
      </c>
      <c r="F2848" s="34" t="str">
        <f t="shared" si="672"/>
        <v>C:\Users\jaime.benazar\Quorum Business Solutions\Ecopetrol Prometeo - Documents\Planning Space Implementation\3. Analysis &amp; Design\Design\FC22\DRR Jaime\Neiva CPI\[DINA TERCIARIOS_CF_SEC_New_27-Mar-2024.xlsx]D-PSNP'!</v>
      </c>
      <c r="G2848" s="32" t="s">
        <v>122</v>
      </c>
      <c r="H2848" s="33"/>
      <c r="I2848" s="33"/>
      <c r="J2848" s="37"/>
    </row>
    <row r="2849" spans="1:10" x14ac:dyDescent="0.3">
      <c r="A2849" s="32" t="s">
        <v>22</v>
      </c>
      <c r="B2849" s="32">
        <f t="shared" si="673"/>
        <v>2058</v>
      </c>
      <c r="C2849" s="33" t="s">
        <v>52</v>
      </c>
      <c r="D2849" s="34" t="s">
        <v>2002</v>
      </c>
      <c r="E2849" s="35" t="str">
        <f t="shared" si="671"/>
        <v>PSNP'!</v>
      </c>
      <c r="F2849" s="34" t="str">
        <f t="shared" si="672"/>
        <v>C:\Users\jaime.benazar\Quorum Business Solutions\Ecopetrol Prometeo - Documents\Planning Space Implementation\3. Analysis &amp; Design\Design\FC22\DRR Jaime\Neiva CPI\[DINA TERCIARIOS_CF_SEC_New_27-Mar-2024.xlsx]D-PSNP'!</v>
      </c>
      <c r="G2849" s="32" t="s">
        <v>122</v>
      </c>
      <c r="H2849" s="33"/>
      <c r="I2849" s="33"/>
      <c r="J2849" s="37"/>
    </row>
    <row r="2850" spans="1:10" x14ac:dyDescent="0.3">
      <c r="A2850" s="32" t="s">
        <v>22</v>
      </c>
      <c r="B2850" s="32">
        <f t="shared" si="673"/>
        <v>2059</v>
      </c>
      <c r="C2850" s="33" t="s">
        <v>52</v>
      </c>
      <c r="D2850" s="34" t="s">
        <v>2002</v>
      </c>
      <c r="E2850" s="35" t="str">
        <f t="shared" si="671"/>
        <v>PSNP'!</v>
      </c>
      <c r="F2850" s="34" t="str">
        <f t="shared" si="672"/>
        <v>C:\Users\jaime.benazar\Quorum Business Solutions\Ecopetrol Prometeo - Documents\Planning Space Implementation\3. Analysis &amp; Design\Design\FC22\DRR Jaime\Neiva CPI\[DINA TERCIARIOS_CF_SEC_New_27-Mar-2024.xlsx]D-PSNP'!</v>
      </c>
      <c r="G2850" s="32" t="s">
        <v>122</v>
      </c>
      <c r="H2850" s="33"/>
      <c r="I2850" s="33"/>
      <c r="J2850" s="37"/>
    </row>
    <row r="2851" spans="1:10" x14ac:dyDescent="0.3">
      <c r="A2851" s="32" t="s">
        <v>26</v>
      </c>
      <c r="B2851" s="32"/>
      <c r="C2851" s="33" t="s">
        <v>52</v>
      </c>
      <c r="D2851" s="34"/>
      <c r="E2851" s="35"/>
      <c r="F2851" s="34"/>
      <c r="G2851" s="32"/>
      <c r="H2851" s="33"/>
      <c r="I2851" s="33"/>
      <c r="J2851" s="33"/>
    </row>
    <row r="2852" spans="1:10" x14ac:dyDescent="0.3">
      <c r="A2852" s="32" t="s">
        <v>23</v>
      </c>
      <c r="B2852" s="32">
        <v>2023</v>
      </c>
      <c r="C2852" s="33" t="s">
        <v>52</v>
      </c>
      <c r="D2852" s="34" t="s">
        <v>2002</v>
      </c>
      <c r="E2852" s="35" t="str">
        <f t="shared" ref="E2852:E2872" si="674">_xlfn.CONCAT(A2852,"'!")</f>
        <v>PSND'!</v>
      </c>
      <c r="F2852" s="34" t="str">
        <f t="shared" ref="F2852:F2872" si="675">_xlfn.CONCAT(D2852:E2852)</f>
        <v>C:\Users\jaime.benazar\Quorum Business Solutions\Ecopetrol Prometeo - Documents\Planning Space Implementation\3. Analysis &amp; Design\Design\FC22\DRR Jaime\Neiva CPI\[DINA TERCIARIOS_CF_SEC_New_27-Mar-2024.xlsx]D-PSND'!</v>
      </c>
      <c r="G2852" s="32" t="s">
        <v>122</v>
      </c>
      <c r="H2852" s="33"/>
      <c r="I2852" s="33"/>
      <c r="J2852" s="37"/>
    </row>
    <row r="2853" spans="1:10" x14ac:dyDescent="0.3">
      <c r="A2853" s="32" t="s">
        <v>23</v>
      </c>
      <c r="B2853" s="32">
        <f>+B2852+1</f>
        <v>2024</v>
      </c>
      <c r="C2853" s="33" t="s">
        <v>52</v>
      </c>
      <c r="D2853" s="34" t="s">
        <v>2002</v>
      </c>
      <c r="E2853" s="35" t="str">
        <f t="shared" si="674"/>
        <v>PSND'!</v>
      </c>
      <c r="F2853" s="34" t="str">
        <f t="shared" si="675"/>
        <v>C:\Users\jaime.benazar\Quorum Business Solutions\Ecopetrol Prometeo - Documents\Planning Space Implementation\3. Analysis &amp; Design\Design\FC22\DRR Jaime\Neiva CPI\[DINA TERCIARIOS_CF_SEC_New_27-Mar-2024.xlsx]D-PSND'!</v>
      </c>
      <c r="G2853" s="32" t="s">
        <v>122</v>
      </c>
      <c r="H2853" s="33"/>
      <c r="I2853" s="33"/>
      <c r="J2853" s="37"/>
    </row>
    <row r="2854" spans="1:10" x14ac:dyDescent="0.3">
      <c r="A2854" s="32" t="s">
        <v>23</v>
      </c>
      <c r="B2854" s="32">
        <f t="shared" ref="B2854:B2865" si="676">+B2853+1</f>
        <v>2025</v>
      </c>
      <c r="C2854" s="33" t="s">
        <v>52</v>
      </c>
      <c r="D2854" s="34" t="s">
        <v>2002</v>
      </c>
      <c r="E2854" s="35" t="str">
        <f t="shared" si="674"/>
        <v>PSND'!</v>
      </c>
      <c r="F2854" s="34" t="str">
        <f t="shared" si="675"/>
        <v>C:\Users\jaime.benazar\Quorum Business Solutions\Ecopetrol Prometeo - Documents\Planning Space Implementation\3. Analysis &amp; Design\Design\FC22\DRR Jaime\Neiva CPI\[DINA TERCIARIOS_CF_SEC_New_27-Mar-2024.xlsx]D-PSND'!</v>
      </c>
      <c r="G2854" s="32" t="s">
        <v>122</v>
      </c>
      <c r="H2854" s="33"/>
      <c r="I2854" s="33"/>
      <c r="J2854" s="37"/>
    </row>
    <row r="2855" spans="1:10" x14ac:dyDescent="0.3">
      <c r="A2855" s="32" t="s">
        <v>23</v>
      </c>
      <c r="B2855" s="32">
        <f t="shared" si="676"/>
        <v>2026</v>
      </c>
      <c r="C2855" s="33" t="s">
        <v>52</v>
      </c>
      <c r="D2855" s="34" t="s">
        <v>2002</v>
      </c>
      <c r="E2855" s="35" t="str">
        <f t="shared" si="674"/>
        <v>PSND'!</v>
      </c>
      <c r="F2855" s="34" t="str">
        <f t="shared" si="675"/>
        <v>C:\Users\jaime.benazar\Quorum Business Solutions\Ecopetrol Prometeo - Documents\Planning Space Implementation\3. Analysis &amp; Design\Design\FC22\DRR Jaime\Neiva CPI\[DINA TERCIARIOS_CF_SEC_New_27-Mar-2024.xlsx]D-PSND'!</v>
      </c>
      <c r="G2855" s="32" t="s">
        <v>122</v>
      </c>
      <c r="H2855" s="33"/>
      <c r="I2855" s="33"/>
      <c r="J2855" s="37"/>
    </row>
    <row r="2856" spans="1:10" x14ac:dyDescent="0.3">
      <c r="A2856" s="32" t="s">
        <v>23</v>
      </c>
      <c r="B2856" s="32">
        <f t="shared" si="676"/>
        <v>2027</v>
      </c>
      <c r="C2856" s="33" t="s">
        <v>52</v>
      </c>
      <c r="D2856" s="34" t="s">
        <v>2002</v>
      </c>
      <c r="E2856" s="35" t="str">
        <f t="shared" si="674"/>
        <v>PSND'!</v>
      </c>
      <c r="F2856" s="34" t="str">
        <f t="shared" si="675"/>
        <v>C:\Users\jaime.benazar\Quorum Business Solutions\Ecopetrol Prometeo - Documents\Planning Space Implementation\3. Analysis &amp; Design\Design\FC22\DRR Jaime\Neiva CPI\[DINA TERCIARIOS_CF_SEC_New_27-Mar-2024.xlsx]D-PSND'!</v>
      </c>
      <c r="G2856" s="32" t="s">
        <v>122</v>
      </c>
      <c r="H2856" s="33"/>
      <c r="I2856" s="33"/>
      <c r="J2856" s="37"/>
    </row>
    <row r="2857" spans="1:10" x14ac:dyDescent="0.3">
      <c r="A2857" s="32" t="s">
        <v>23</v>
      </c>
      <c r="B2857" s="32">
        <f t="shared" si="676"/>
        <v>2028</v>
      </c>
      <c r="C2857" s="33" t="s">
        <v>52</v>
      </c>
      <c r="D2857" s="34" t="s">
        <v>2002</v>
      </c>
      <c r="E2857" s="35" t="str">
        <f t="shared" si="674"/>
        <v>PSND'!</v>
      </c>
      <c r="F2857" s="34" t="str">
        <f t="shared" si="675"/>
        <v>C:\Users\jaime.benazar\Quorum Business Solutions\Ecopetrol Prometeo - Documents\Planning Space Implementation\3. Analysis &amp; Design\Design\FC22\DRR Jaime\Neiva CPI\[DINA TERCIARIOS_CF_SEC_New_27-Mar-2024.xlsx]D-PSND'!</v>
      </c>
      <c r="G2857" s="32" t="s">
        <v>122</v>
      </c>
      <c r="H2857" s="33"/>
      <c r="I2857" s="33"/>
      <c r="J2857" s="37"/>
    </row>
    <row r="2858" spans="1:10" x14ac:dyDescent="0.3">
      <c r="A2858" s="32" t="s">
        <v>23</v>
      </c>
      <c r="B2858" s="32">
        <f t="shared" si="676"/>
        <v>2029</v>
      </c>
      <c r="C2858" s="33" t="s">
        <v>52</v>
      </c>
      <c r="D2858" s="34" t="s">
        <v>2002</v>
      </c>
      <c r="E2858" s="35" t="str">
        <f t="shared" si="674"/>
        <v>PSND'!</v>
      </c>
      <c r="F2858" s="34" t="str">
        <f t="shared" si="675"/>
        <v>C:\Users\jaime.benazar\Quorum Business Solutions\Ecopetrol Prometeo - Documents\Planning Space Implementation\3. Analysis &amp; Design\Design\FC22\DRR Jaime\Neiva CPI\[DINA TERCIARIOS_CF_SEC_New_27-Mar-2024.xlsx]D-PSND'!</v>
      </c>
      <c r="G2858" s="32" t="s">
        <v>122</v>
      </c>
      <c r="H2858" s="33"/>
      <c r="I2858" s="33"/>
      <c r="J2858" s="37"/>
    </row>
    <row r="2859" spans="1:10" x14ac:dyDescent="0.3">
      <c r="A2859" s="32" t="s">
        <v>23</v>
      </c>
      <c r="B2859" s="32">
        <f t="shared" si="676"/>
        <v>2030</v>
      </c>
      <c r="C2859" s="33" t="s">
        <v>52</v>
      </c>
      <c r="D2859" s="34" t="s">
        <v>2002</v>
      </c>
      <c r="E2859" s="35" t="str">
        <f t="shared" si="674"/>
        <v>PSND'!</v>
      </c>
      <c r="F2859" s="34" t="str">
        <f t="shared" si="675"/>
        <v>C:\Users\jaime.benazar\Quorum Business Solutions\Ecopetrol Prometeo - Documents\Planning Space Implementation\3. Analysis &amp; Design\Design\FC22\DRR Jaime\Neiva CPI\[DINA TERCIARIOS_CF_SEC_New_27-Mar-2024.xlsx]D-PSND'!</v>
      </c>
      <c r="G2859" s="32" t="s">
        <v>122</v>
      </c>
      <c r="H2859" s="33"/>
      <c r="I2859" s="33"/>
      <c r="J2859" s="37"/>
    </row>
    <row r="2860" spans="1:10" x14ac:dyDescent="0.3">
      <c r="A2860" s="32" t="s">
        <v>23</v>
      </c>
      <c r="B2860" s="32">
        <f t="shared" si="676"/>
        <v>2031</v>
      </c>
      <c r="C2860" s="33" t="s">
        <v>52</v>
      </c>
      <c r="D2860" s="34" t="s">
        <v>2002</v>
      </c>
      <c r="E2860" s="35" t="str">
        <f t="shared" si="674"/>
        <v>PSND'!</v>
      </c>
      <c r="F2860" s="34" t="str">
        <f t="shared" si="675"/>
        <v>C:\Users\jaime.benazar\Quorum Business Solutions\Ecopetrol Prometeo - Documents\Planning Space Implementation\3. Analysis &amp; Design\Design\FC22\DRR Jaime\Neiva CPI\[DINA TERCIARIOS_CF_SEC_New_27-Mar-2024.xlsx]D-PSND'!</v>
      </c>
      <c r="G2860" s="32" t="s">
        <v>122</v>
      </c>
      <c r="H2860" s="33"/>
      <c r="I2860" s="33"/>
      <c r="J2860" s="37"/>
    </row>
    <row r="2861" spans="1:10" x14ac:dyDescent="0.3">
      <c r="A2861" s="32" t="s">
        <v>23</v>
      </c>
      <c r="B2861" s="32">
        <f t="shared" si="676"/>
        <v>2032</v>
      </c>
      <c r="C2861" s="33" t="s">
        <v>52</v>
      </c>
      <c r="D2861" s="34" t="s">
        <v>2002</v>
      </c>
      <c r="E2861" s="35" t="str">
        <f t="shared" si="674"/>
        <v>PSND'!</v>
      </c>
      <c r="F2861" s="34" t="str">
        <f t="shared" si="675"/>
        <v>C:\Users\jaime.benazar\Quorum Business Solutions\Ecopetrol Prometeo - Documents\Planning Space Implementation\3. Analysis &amp; Design\Design\FC22\DRR Jaime\Neiva CPI\[DINA TERCIARIOS_CF_SEC_New_27-Mar-2024.xlsx]D-PSND'!</v>
      </c>
      <c r="G2861" s="32" t="s">
        <v>122</v>
      </c>
      <c r="H2861" s="33"/>
      <c r="I2861" s="33"/>
      <c r="J2861" s="37"/>
    </row>
    <row r="2862" spans="1:10" x14ac:dyDescent="0.3">
      <c r="A2862" s="32" t="s">
        <v>23</v>
      </c>
      <c r="B2862" s="32">
        <f t="shared" si="676"/>
        <v>2033</v>
      </c>
      <c r="C2862" s="33" t="s">
        <v>52</v>
      </c>
      <c r="D2862" s="34" t="s">
        <v>2002</v>
      </c>
      <c r="E2862" s="35" t="str">
        <f t="shared" si="674"/>
        <v>PSND'!</v>
      </c>
      <c r="F2862" s="34" t="str">
        <f t="shared" si="675"/>
        <v>C:\Users\jaime.benazar\Quorum Business Solutions\Ecopetrol Prometeo - Documents\Planning Space Implementation\3. Analysis &amp; Design\Design\FC22\DRR Jaime\Neiva CPI\[DINA TERCIARIOS_CF_SEC_New_27-Mar-2024.xlsx]D-PSND'!</v>
      </c>
      <c r="G2862" s="32" t="s">
        <v>122</v>
      </c>
      <c r="H2862" s="33"/>
      <c r="I2862" s="33"/>
      <c r="J2862" s="37"/>
    </row>
    <row r="2863" spans="1:10" x14ac:dyDescent="0.3">
      <c r="A2863" s="32" t="s">
        <v>23</v>
      </c>
      <c r="B2863" s="32">
        <f t="shared" si="676"/>
        <v>2034</v>
      </c>
      <c r="C2863" s="33" t="s">
        <v>52</v>
      </c>
      <c r="D2863" s="34" t="s">
        <v>2002</v>
      </c>
      <c r="E2863" s="35" t="str">
        <f t="shared" si="674"/>
        <v>PSND'!</v>
      </c>
      <c r="F2863" s="34" t="str">
        <f t="shared" si="675"/>
        <v>C:\Users\jaime.benazar\Quorum Business Solutions\Ecopetrol Prometeo - Documents\Planning Space Implementation\3. Analysis &amp; Design\Design\FC22\DRR Jaime\Neiva CPI\[DINA TERCIARIOS_CF_SEC_New_27-Mar-2024.xlsx]D-PSND'!</v>
      </c>
      <c r="G2863" s="32" t="s">
        <v>122</v>
      </c>
      <c r="H2863" s="33"/>
      <c r="I2863" s="33"/>
      <c r="J2863" s="37"/>
    </row>
    <row r="2864" spans="1:10" x14ac:dyDescent="0.3">
      <c r="A2864" s="32" t="s">
        <v>23</v>
      </c>
      <c r="B2864" s="32">
        <f t="shared" si="676"/>
        <v>2035</v>
      </c>
      <c r="C2864" s="33" t="s">
        <v>52</v>
      </c>
      <c r="D2864" s="34" t="s">
        <v>2002</v>
      </c>
      <c r="E2864" s="35" t="str">
        <f t="shared" si="674"/>
        <v>PSND'!</v>
      </c>
      <c r="F2864" s="34" t="str">
        <f t="shared" si="675"/>
        <v>C:\Users\jaime.benazar\Quorum Business Solutions\Ecopetrol Prometeo - Documents\Planning Space Implementation\3. Analysis &amp; Design\Design\FC22\DRR Jaime\Neiva CPI\[DINA TERCIARIOS_CF_SEC_New_27-Mar-2024.xlsx]D-PSND'!</v>
      </c>
      <c r="G2864" s="32" t="s">
        <v>122</v>
      </c>
      <c r="H2864" s="33"/>
      <c r="I2864" s="33"/>
      <c r="J2864" s="37"/>
    </row>
    <row r="2865" spans="1:10" x14ac:dyDescent="0.3">
      <c r="A2865" s="32" t="s">
        <v>23</v>
      </c>
      <c r="B2865" s="32">
        <f t="shared" si="676"/>
        <v>2036</v>
      </c>
      <c r="C2865" s="33" t="s">
        <v>52</v>
      </c>
      <c r="D2865" s="34" t="s">
        <v>2002</v>
      </c>
      <c r="E2865" s="35" t="str">
        <f t="shared" si="674"/>
        <v>PSND'!</v>
      </c>
      <c r="F2865" s="34" t="str">
        <f t="shared" si="675"/>
        <v>C:\Users\jaime.benazar\Quorum Business Solutions\Ecopetrol Prometeo - Documents\Planning Space Implementation\3. Analysis &amp; Design\Design\FC22\DRR Jaime\Neiva CPI\[DINA TERCIARIOS_CF_SEC_New_27-Mar-2024.xlsx]D-PSND'!</v>
      </c>
      <c r="G2865" s="32" t="s">
        <v>122</v>
      </c>
      <c r="H2865" s="33"/>
      <c r="I2865" s="33"/>
      <c r="J2865" s="37"/>
    </row>
    <row r="2866" spans="1:10" x14ac:dyDescent="0.3">
      <c r="A2866" s="32" t="s">
        <v>23</v>
      </c>
      <c r="B2866" s="32">
        <f>+B2865+1</f>
        <v>2037</v>
      </c>
      <c r="C2866" s="33" t="s">
        <v>52</v>
      </c>
      <c r="D2866" s="34" t="s">
        <v>2002</v>
      </c>
      <c r="E2866" s="35" t="str">
        <f t="shared" si="674"/>
        <v>PSND'!</v>
      </c>
      <c r="F2866" s="34" t="str">
        <f t="shared" si="675"/>
        <v>C:\Users\jaime.benazar\Quorum Business Solutions\Ecopetrol Prometeo - Documents\Planning Space Implementation\3. Analysis &amp; Design\Design\FC22\DRR Jaime\Neiva CPI\[DINA TERCIARIOS_CF_SEC_New_27-Mar-2024.xlsx]D-PSND'!</v>
      </c>
      <c r="G2866" s="32" t="s">
        <v>122</v>
      </c>
      <c r="H2866" s="33"/>
      <c r="I2866" s="33"/>
      <c r="J2866" s="37"/>
    </row>
    <row r="2867" spans="1:10" x14ac:dyDescent="0.3">
      <c r="A2867" s="32" t="s">
        <v>23</v>
      </c>
      <c r="B2867" s="32">
        <f t="shared" ref="B2867:B2869" si="677">+B2866+1</f>
        <v>2038</v>
      </c>
      <c r="C2867" s="33" t="s">
        <v>52</v>
      </c>
      <c r="D2867" s="34" t="s">
        <v>2002</v>
      </c>
      <c r="E2867" s="35" t="str">
        <f t="shared" si="674"/>
        <v>PSND'!</v>
      </c>
      <c r="F2867" s="34" t="str">
        <f t="shared" si="675"/>
        <v>C:\Users\jaime.benazar\Quorum Business Solutions\Ecopetrol Prometeo - Documents\Planning Space Implementation\3. Analysis &amp; Design\Design\FC22\DRR Jaime\Neiva CPI\[DINA TERCIARIOS_CF_SEC_New_27-Mar-2024.xlsx]D-PSND'!</v>
      </c>
      <c r="G2867" s="32" t="s">
        <v>122</v>
      </c>
      <c r="H2867" s="33"/>
      <c r="I2867" s="33"/>
      <c r="J2867" s="37"/>
    </row>
    <row r="2868" spans="1:10" x14ac:dyDescent="0.3">
      <c r="A2868" s="32" t="s">
        <v>23</v>
      </c>
      <c r="B2868" s="32">
        <f t="shared" si="677"/>
        <v>2039</v>
      </c>
      <c r="C2868" s="33" t="s">
        <v>52</v>
      </c>
      <c r="D2868" s="34" t="s">
        <v>2002</v>
      </c>
      <c r="E2868" s="35" t="str">
        <f t="shared" si="674"/>
        <v>PSND'!</v>
      </c>
      <c r="F2868" s="34" t="str">
        <f t="shared" si="675"/>
        <v>C:\Users\jaime.benazar\Quorum Business Solutions\Ecopetrol Prometeo - Documents\Planning Space Implementation\3. Analysis &amp; Design\Design\FC22\DRR Jaime\Neiva CPI\[DINA TERCIARIOS_CF_SEC_New_27-Mar-2024.xlsx]D-PSND'!</v>
      </c>
      <c r="G2868" s="32" t="s">
        <v>122</v>
      </c>
      <c r="H2868" s="33"/>
      <c r="I2868" s="33"/>
      <c r="J2868" s="37"/>
    </row>
    <row r="2869" spans="1:10" x14ac:dyDescent="0.3">
      <c r="A2869" s="32" t="s">
        <v>23</v>
      </c>
      <c r="B2869" s="32">
        <f t="shared" si="677"/>
        <v>2040</v>
      </c>
      <c r="C2869" s="33" t="s">
        <v>52</v>
      </c>
      <c r="D2869" s="34" t="s">
        <v>2002</v>
      </c>
      <c r="E2869" s="35" t="str">
        <f t="shared" si="674"/>
        <v>PSND'!</v>
      </c>
      <c r="F2869" s="34" t="str">
        <f t="shared" si="675"/>
        <v>C:\Users\jaime.benazar\Quorum Business Solutions\Ecopetrol Prometeo - Documents\Planning Space Implementation\3. Analysis &amp; Design\Design\FC22\DRR Jaime\Neiva CPI\[DINA TERCIARIOS_CF_SEC_New_27-Mar-2024.xlsx]D-PSND'!</v>
      </c>
      <c r="G2869" s="32" t="s">
        <v>122</v>
      </c>
      <c r="H2869" s="33"/>
      <c r="I2869" s="33"/>
      <c r="J2869" s="37"/>
    </row>
    <row r="2870" spans="1:10" x14ac:dyDescent="0.3">
      <c r="A2870" s="32" t="s">
        <v>23</v>
      </c>
      <c r="B2870" s="32">
        <f>+B2869+1</f>
        <v>2041</v>
      </c>
      <c r="C2870" s="33" t="s">
        <v>52</v>
      </c>
      <c r="D2870" s="34" t="s">
        <v>2002</v>
      </c>
      <c r="E2870" s="35" t="str">
        <f t="shared" si="674"/>
        <v>PSND'!</v>
      </c>
      <c r="F2870" s="34" t="str">
        <f t="shared" si="675"/>
        <v>C:\Users\jaime.benazar\Quorum Business Solutions\Ecopetrol Prometeo - Documents\Planning Space Implementation\3. Analysis &amp; Design\Design\FC22\DRR Jaime\Neiva CPI\[DINA TERCIARIOS_CF_SEC_New_27-Mar-2024.xlsx]D-PSND'!</v>
      </c>
      <c r="G2870" s="32" t="s">
        <v>122</v>
      </c>
      <c r="H2870" s="33"/>
      <c r="I2870" s="33"/>
      <c r="J2870" s="37"/>
    </row>
    <row r="2871" spans="1:10" x14ac:dyDescent="0.3">
      <c r="A2871" s="32" t="s">
        <v>23</v>
      </c>
      <c r="B2871" s="32">
        <f t="shared" ref="B2871:B2872" si="678">+B2870+1</f>
        <v>2042</v>
      </c>
      <c r="C2871" s="33" t="s">
        <v>52</v>
      </c>
      <c r="D2871" s="34" t="s">
        <v>2002</v>
      </c>
      <c r="E2871" s="35" t="str">
        <f t="shared" si="674"/>
        <v>PSND'!</v>
      </c>
      <c r="F2871" s="34" t="str">
        <f t="shared" si="675"/>
        <v>C:\Users\jaime.benazar\Quorum Business Solutions\Ecopetrol Prometeo - Documents\Planning Space Implementation\3. Analysis &amp; Design\Design\FC22\DRR Jaime\Neiva CPI\[DINA TERCIARIOS_CF_SEC_New_27-Mar-2024.xlsx]D-PSND'!</v>
      </c>
      <c r="G2871" s="32" t="s">
        <v>122</v>
      </c>
      <c r="H2871" s="33"/>
      <c r="I2871" s="33"/>
      <c r="J2871" s="37"/>
    </row>
    <row r="2872" spans="1:10" x14ac:dyDescent="0.3">
      <c r="A2872" s="32" t="s">
        <v>23</v>
      </c>
      <c r="B2872" s="32">
        <f t="shared" si="678"/>
        <v>2043</v>
      </c>
      <c r="C2872" s="33" t="s">
        <v>52</v>
      </c>
      <c r="D2872" s="34" t="s">
        <v>2002</v>
      </c>
      <c r="E2872" s="35" t="str">
        <f t="shared" si="674"/>
        <v>PSND'!</v>
      </c>
      <c r="F2872" s="34" t="str">
        <f t="shared" si="675"/>
        <v>C:\Users\jaime.benazar\Quorum Business Solutions\Ecopetrol Prometeo - Documents\Planning Space Implementation\3. Analysis &amp; Design\Design\FC22\DRR Jaime\Neiva CPI\[DINA TERCIARIOS_CF_SEC_New_27-Mar-2024.xlsx]D-PSND'!</v>
      </c>
      <c r="G2872" s="32" t="s">
        <v>122</v>
      </c>
      <c r="H2872" s="33"/>
      <c r="I2872" s="33"/>
      <c r="J2872" s="37"/>
    </row>
    <row r="2873" spans="1:10" x14ac:dyDescent="0.3">
      <c r="A2873" s="32" t="s">
        <v>23</v>
      </c>
      <c r="B2873" s="32">
        <f>+B2872+1</f>
        <v>2044</v>
      </c>
      <c r="C2873" s="33" t="s">
        <v>52</v>
      </c>
      <c r="D2873" s="34" t="s">
        <v>2002</v>
      </c>
      <c r="E2873" s="35" t="str">
        <f t="shared" ref="E2873:E2888" si="679">_xlfn.CONCAT(A2873,"'!")</f>
        <v>PSND'!</v>
      </c>
      <c r="F2873" s="34" t="str">
        <f t="shared" ref="F2873:F2888" si="680">_xlfn.CONCAT(D2873:E2873)</f>
        <v>C:\Users\jaime.benazar\Quorum Business Solutions\Ecopetrol Prometeo - Documents\Planning Space Implementation\3. Analysis &amp; Design\Design\FC22\DRR Jaime\Neiva CPI\[DINA TERCIARIOS_CF_SEC_New_27-Mar-2024.xlsx]D-PSND'!</v>
      </c>
      <c r="G2873" s="32" t="s">
        <v>122</v>
      </c>
      <c r="H2873" s="33"/>
      <c r="I2873" s="33"/>
      <c r="J2873" s="37"/>
    </row>
    <row r="2874" spans="1:10" x14ac:dyDescent="0.3">
      <c r="A2874" s="32" t="s">
        <v>23</v>
      </c>
      <c r="B2874" s="32">
        <f t="shared" ref="B2874:B2888" si="681">+B2873+1</f>
        <v>2045</v>
      </c>
      <c r="C2874" s="33" t="s">
        <v>52</v>
      </c>
      <c r="D2874" s="34" t="s">
        <v>2002</v>
      </c>
      <c r="E2874" s="35" t="str">
        <f t="shared" si="679"/>
        <v>PSND'!</v>
      </c>
      <c r="F2874" s="34" t="str">
        <f t="shared" si="680"/>
        <v>C:\Users\jaime.benazar\Quorum Business Solutions\Ecopetrol Prometeo - Documents\Planning Space Implementation\3. Analysis &amp; Design\Design\FC22\DRR Jaime\Neiva CPI\[DINA TERCIARIOS_CF_SEC_New_27-Mar-2024.xlsx]D-PSND'!</v>
      </c>
      <c r="G2874" s="32" t="s">
        <v>122</v>
      </c>
      <c r="H2874" s="33"/>
      <c r="I2874" s="33"/>
      <c r="J2874" s="37"/>
    </row>
    <row r="2875" spans="1:10" x14ac:dyDescent="0.3">
      <c r="A2875" s="32" t="s">
        <v>23</v>
      </c>
      <c r="B2875" s="32">
        <f t="shared" si="681"/>
        <v>2046</v>
      </c>
      <c r="C2875" s="33" t="s">
        <v>52</v>
      </c>
      <c r="D2875" s="34" t="s">
        <v>2002</v>
      </c>
      <c r="E2875" s="35" t="str">
        <f t="shared" si="679"/>
        <v>PSND'!</v>
      </c>
      <c r="F2875" s="34" t="str">
        <f t="shared" si="680"/>
        <v>C:\Users\jaime.benazar\Quorum Business Solutions\Ecopetrol Prometeo - Documents\Planning Space Implementation\3. Analysis &amp; Design\Design\FC22\DRR Jaime\Neiva CPI\[DINA TERCIARIOS_CF_SEC_New_27-Mar-2024.xlsx]D-PSND'!</v>
      </c>
      <c r="G2875" s="32" t="s">
        <v>122</v>
      </c>
      <c r="H2875" s="33"/>
      <c r="I2875" s="33"/>
      <c r="J2875" s="37"/>
    </row>
    <row r="2876" spans="1:10" x14ac:dyDescent="0.3">
      <c r="A2876" s="32" t="s">
        <v>23</v>
      </c>
      <c r="B2876" s="32">
        <f t="shared" si="681"/>
        <v>2047</v>
      </c>
      <c r="C2876" s="33" t="s">
        <v>52</v>
      </c>
      <c r="D2876" s="34" t="s">
        <v>2002</v>
      </c>
      <c r="E2876" s="35" t="str">
        <f t="shared" si="679"/>
        <v>PSND'!</v>
      </c>
      <c r="F2876" s="34" t="str">
        <f t="shared" si="680"/>
        <v>C:\Users\jaime.benazar\Quorum Business Solutions\Ecopetrol Prometeo - Documents\Planning Space Implementation\3. Analysis &amp; Design\Design\FC22\DRR Jaime\Neiva CPI\[DINA TERCIARIOS_CF_SEC_New_27-Mar-2024.xlsx]D-PSND'!</v>
      </c>
      <c r="G2876" s="32" t="s">
        <v>122</v>
      </c>
      <c r="H2876" s="33"/>
      <c r="I2876" s="33"/>
      <c r="J2876" s="37"/>
    </row>
    <row r="2877" spans="1:10" x14ac:dyDescent="0.3">
      <c r="A2877" s="32" t="s">
        <v>23</v>
      </c>
      <c r="B2877" s="32">
        <f t="shared" si="681"/>
        <v>2048</v>
      </c>
      <c r="C2877" s="33" t="s">
        <v>52</v>
      </c>
      <c r="D2877" s="34" t="s">
        <v>2002</v>
      </c>
      <c r="E2877" s="35" t="str">
        <f t="shared" si="679"/>
        <v>PSND'!</v>
      </c>
      <c r="F2877" s="34" t="str">
        <f t="shared" si="680"/>
        <v>C:\Users\jaime.benazar\Quorum Business Solutions\Ecopetrol Prometeo - Documents\Planning Space Implementation\3. Analysis &amp; Design\Design\FC22\DRR Jaime\Neiva CPI\[DINA TERCIARIOS_CF_SEC_New_27-Mar-2024.xlsx]D-PSND'!</v>
      </c>
      <c r="G2877" s="32" t="s">
        <v>122</v>
      </c>
      <c r="H2877" s="33"/>
      <c r="I2877" s="33"/>
      <c r="J2877" s="37"/>
    </row>
    <row r="2878" spans="1:10" x14ac:dyDescent="0.3">
      <c r="A2878" s="32" t="s">
        <v>23</v>
      </c>
      <c r="B2878" s="32">
        <f t="shared" si="681"/>
        <v>2049</v>
      </c>
      <c r="C2878" s="33" t="s">
        <v>52</v>
      </c>
      <c r="D2878" s="34" t="s">
        <v>2002</v>
      </c>
      <c r="E2878" s="35" t="str">
        <f t="shared" si="679"/>
        <v>PSND'!</v>
      </c>
      <c r="F2878" s="34" t="str">
        <f t="shared" si="680"/>
        <v>C:\Users\jaime.benazar\Quorum Business Solutions\Ecopetrol Prometeo - Documents\Planning Space Implementation\3. Analysis &amp; Design\Design\FC22\DRR Jaime\Neiva CPI\[DINA TERCIARIOS_CF_SEC_New_27-Mar-2024.xlsx]D-PSND'!</v>
      </c>
      <c r="G2878" s="32" t="s">
        <v>122</v>
      </c>
      <c r="H2878" s="33"/>
      <c r="I2878" s="33"/>
      <c r="J2878" s="37"/>
    </row>
    <row r="2879" spans="1:10" x14ac:dyDescent="0.3">
      <c r="A2879" s="32" t="s">
        <v>23</v>
      </c>
      <c r="B2879" s="32">
        <f t="shared" si="681"/>
        <v>2050</v>
      </c>
      <c r="C2879" s="33" t="s">
        <v>52</v>
      </c>
      <c r="D2879" s="34" t="s">
        <v>2002</v>
      </c>
      <c r="E2879" s="35" t="str">
        <f t="shared" si="679"/>
        <v>PSND'!</v>
      </c>
      <c r="F2879" s="34" t="str">
        <f t="shared" si="680"/>
        <v>C:\Users\jaime.benazar\Quorum Business Solutions\Ecopetrol Prometeo - Documents\Planning Space Implementation\3. Analysis &amp; Design\Design\FC22\DRR Jaime\Neiva CPI\[DINA TERCIARIOS_CF_SEC_New_27-Mar-2024.xlsx]D-PSND'!</v>
      </c>
      <c r="G2879" s="32" t="s">
        <v>122</v>
      </c>
      <c r="H2879" s="33"/>
      <c r="I2879" s="33"/>
      <c r="J2879" s="37"/>
    </row>
    <row r="2880" spans="1:10" x14ac:dyDescent="0.3">
      <c r="A2880" s="32" t="s">
        <v>23</v>
      </c>
      <c r="B2880" s="32">
        <f t="shared" si="681"/>
        <v>2051</v>
      </c>
      <c r="C2880" s="33" t="s">
        <v>52</v>
      </c>
      <c r="D2880" s="34" t="s">
        <v>2002</v>
      </c>
      <c r="E2880" s="35" t="str">
        <f t="shared" si="679"/>
        <v>PSND'!</v>
      </c>
      <c r="F2880" s="34" t="str">
        <f t="shared" si="680"/>
        <v>C:\Users\jaime.benazar\Quorum Business Solutions\Ecopetrol Prometeo - Documents\Planning Space Implementation\3. Analysis &amp; Design\Design\FC22\DRR Jaime\Neiva CPI\[DINA TERCIARIOS_CF_SEC_New_27-Mar-2024.xlsx]D-PSND'!</v>
      </c>
      <c r="G2880" s="32" t="s">
        <v>122</v>
      </c>
      <c r="H2880" s="33"/>
      <c r="I2880" s="33"/>
      <c r="J2880" s="37"/>
    </row>
    <row r="2881" spans="1:10" x14ac:dyDescent="0.3">
      <c r="A2881" s="32" t="s">
        <v>23</v>
      </c>
      <c r="B2881" s="32">
        <f t="shared" si="681"/>
        <v>2052</v>
      </c>
      <c r="C2881" s="33" t="s">
        <v>52</v>
      </c>
      <c r="D2881" s="34" t="s">
        <v>2002</v>
      </c>
      <c r="E2881" s="35" t="str">
        <f t="shared" si="679"/>
        <v>PSND'!</v>
      </c>
      <c r="F2881" s="34" t="str">
        <f t="shared" si="680"/>
        <v>C:\Users\jaime.benazar\Quorum Business Solutions\Ecopetrol Prometeo - Documents\Planning Space Implementation\3. Analysis &amp; Design\Design\FC22\DRR Jaime\Neiva CPI\[DINA TERCIARIOS_CF_SEC_New_27-Mar-2024.xlsx]D-PSND'!</v>
      </c>
      <c r="G2881" s="32" t="s">
        <v>122</v>
      </c>
      <c r="H2881" s="33"/>
      <c r="I2881" s="33"/>
      <c r="J2881" s="37"/>
    </row>
    <row r="2882" spans="1:10" x14ac:dyDescent="0.3">
      <c r="A2882" s="32" t="s">
        <v>23</v>
      </c>
      <c r="B2882" s="32">
        <f t="shared" si="681"/>
        <v>2053</v>
      </c>
      <c r="C2882" s="33" t="s">
        <v>52</v>
      </c>
      <c r="D2882" s="34" t="s">
        <v>2002</v>
      </c>
      <c r="E2882" s="35" t="str">
        <f t="shared" si="679"/>
        <v>PSND'!</v>
      </c>
      <c r="F2882" s="34" t="str">
        <f t="shared" si="680"/>
        <v>C:\Users\jaime.benazar\Quorum Business Solutions\Ecopetrol Prometeo - Documents\Planning Space Implementation\3. Analysis &amp; Design\Design\FC22\DRR Jaime\Neiva CPI\[DINA TERCIARIOS_CF_SEC_New_27-Mar-2024.xlsx]D-PSND'!</v>
      </c>
      <c r="G2882" s="32" t="s">
        <v>122</v>
      </c>
      <c r="H2882" s="33"/>
      <c r="I2882" s="33"/>
      <c r="J2882" s="37"/>
    </row>
    <row r="2883" spans="1:10" x14ac:dyDescent="0.3">
      <c r="A2883" s="32" t="s">
        <v>23</v>
      </c>
      <c r="B2883" s="32">
        <f t="shared" si="681"/>
        <v>2054</v>
      </c>
      <c r="C2883" s="33" t="s">
        <v>52</v>
      </c>
      <c r="D2883" s="34" t="s">
        <v>2002</v>
      </c>
      <c r="E2883" s="35" t="str">
        <f t="shared" si="679"/>
        <v>PSND'!</v>
      </c>
      <c r="F2883" s="34" t="str">
        <f t="shared" si="680"/>
        <v>C:\Users\jaime.benazar\Quorum Business Solutions\Ecopetrol Prometeo - Documents\Planning Space Implementation\3. Analysis &amp; Design\Design\FC22\DRR Jaime\Neiva CPI\[DINA TERCIARIOS_CF_SEC_New_27-Mar-2024.xlsx]D-PSND'!</v>
      </c>
      <c r="G2883" s="32" t="s">
        <v>122</v>
      </c>
      <c r="H2883" s="33"/>
      <c r="I2883" s="33"/>
      <c r="J2883" s="37"/>
    </row>
    <row r="2884" spans="1:10" x14ac:dyDescent="0.3">
      <c r="A2884" s="32" t="s">
        <v>23</v>
      </c>
      <c r="B2884" s="32">
        <f t="shared" si="681"/>
        <v>2055</v>
      </c>
      <c r="C2884" s="33" t="s">
        <v>52</v>
      </c>
      <c r="D2884" s="34" t="s">
        <v>2002</v>
      </c>
      <c r="E2884" s="35" t="str">
        <f t="shared" si="679"/>
        <v>PSND'!</v>
      </c>
      <c r="F2884" s="34" t="str">
        <f t="shared" si="680"/>
        <v>C:\Users\jaime.benazar\Quorum Business Solutions\Ecopetrol Prometeo - Documents\Planning Space Implementation\3. Analysis &amp; Design\Design\FC22\DRR Jaime\Neiva CPI\[DINA TERCIARIOS_CF_SEC_New_27-Mar-2024.xlsx]D-PSND'!</v>
      </c>
      <c r="G2884" s="32" t="s">
        <v>122</v>
      </c>
      <c r="H2884" s="33"/>
      <c r="I2884" s="33"/>
      <c r="J2884" s="37"/>
    </row>
    <row r="2885" spans="1:10" x14ac:dyDescent="0.3">
      <c r="A2885" s="32" t="s">
        <v>23</v>
      </c>
      <c r="B2885" s="32">
        <f t="shared" si="681"/>
        <v>2056</v>
      </c>
      <c r="C2885" s="33" t="s">
        <v>52</v>
      </c>
      <c r="D2885" s="34" t="s">
        <v>2002</v>
      </c>
      <c r="E2885" s="35" t="str">
        <f t="shared" si="679"/>
        <v>PSND'!</v>
      </c>
      <c r="F2885" s="34" t="str">
        <f t="shared" si="680"/>
        <v>C:\Users\jaime.benazar\Quorum Business Solutions\Ecopetrol Prometeo - Documents\Planning Space Implementation\3. Analysis &amp; Design\Design\FC22\DRR Jaime\Neiva CPI\[DINA TERCIARIOS_CF_SEC_New_27-Mar-2024.xlsx]D-PSND'!</v>
      </c>
      <c r="G2885" s="32" t="s">
        <v>122</v>
      </c>
      <c r="H2885" s="33"/>
      <c r="I2885" s="33"/>
      <c r="J2885" s="37"/>
    </row>
    <row r="2886" spans="1:10" x14ac:dyDescent="0.3">
      <c r="A2886" s="32" t="s">
        <v>23</v>
      </c>
      <c r="B2886" s="32">
        <f t="shared" si="681"/>
        <v>2057</v>
      </c>
      <c r="C2886" s="33" t="s">
        <v>52</v>
      </c>
      <c r="D2886" s="34" t="s">
        <v>2002</v>
      </c>
      <c r="E2886" s="35" t="str">
        <f t="shared" si="679"/>
        <v>PSND'!</v>
      </c>
      <c r="F2886" s="34" t="str">
        <f t="shared" si="680"/>
        <v>C:\Users\jaime.benazar\Quorum Business Solutions\Ecopetrol Prometeo - Documents\Planning Space Implementation\3. Analysis &amp; Design\Design\FC22\DRR Jaime\Neiva CPI\[DINA TERCIARIOS_CF_SEC_New_27-Mar-2024.xlsx]D-PSND'!</v>
      </c>
      <c r="G2886" s="32" t="s">
        <v>122</v>
      </c>
      <c r="H2886" s="33"/>
      <c r="I2886" s="33"/>
      <c r="J2886" s="37"/>
    </row>
    <row r="2887" spans="1:10" x14ac:dyDescent="0.3">
      <c r="A2887" s="32" t="s">
        <v>23</v>
      </c>
      <c r="B2887" s="32">
        <f t="shared" si="681"/>
        <v>2058</v>
      </c>
      <c r="C2887" s="33" t="s">
        <v>52</v>
      </c>
      <c r="D2887" s="34" t="s">
        <v>2002</v>
      </c>
      <c r="E2887" s="35" t="str">
        <f t="shared" si="679"/>
        <v>PSND'!</v>
      </c>
      <c r="F2887" s="34" t="str">
        <f t="shared" si="680"/>
        <v>C:\Users\jaime.benazar\Quorum Business Solutions\Ecopetrol Prometeo - Documents\Planning Space Implementation\3. Analysis &amp; Design\Design\FC22\DRR Jaime\Neiva CPI\[DINA TERCIARIOS_CF_SEC_New_27-Mar-2024.xlsx]D-PSND'!</v>
      </c>
      <c r="G2887" s="32" t="s">
        <v>122</v>
      </c>
      <c r="H2887" s="33"/>
      <c r="I2887" s="33"/>
      <c r="J2887" s="37"/>
    </row>
    <row r="2888" spans="1:10" x14ac:dyDescent="0.3">
      <c r="A2888" s="32" t="s">
        <v>23</v>
      </c>
      <c r="B2888" s="32">
        <f t="shared" si="681"/>
        <v>2059</v>
      </c>
      <c r="C2888" s="33" t="s">
        <v>52</v>
      </c>
      <c r="D2888" s="34" t="s">
        <v>2002</v>
      </c>
      <c r="E2888" s="35" t="str">
        <f t="shared" si="679"/>
        <v>PSND'!</v>
      </c>
      <c r="F2888" s="34" t="str">
        <f t="shared" si="680"/>
        <v>C:\Users\jaime.benazar\Quorum Business Solutions\Ecopetrol Prometeo - Documents\Planning Space Implementation\3. Analysis &amp; Design\Design\FC22\DRR Jaime\Neiva CPI\[DINA TERCIARIOS_CF_SEC_New_27-Mar-2024.xlsx]D-PSND'!</v>
      </c>
      <c r="G2888" s="32" t="s">
        <v>122</v>
      </c>
      <c r="H2888" s="33"/>
      <c r="I2888" s="33"/>
      <c r="J2888" s="37"/>
    </row>
    <row r="2889" spans="1:10" x14ac:dyDescent="0.3">
      <c r="A2889" s="32" t="s">
        <v>26</v>
      </c>
      <c r="B2889" s="32"/>
      <c r="C2889" s="33" t="s">
        <v>52</v>
      </c>
      <c r="D2889" s="34"/>
      <c r="E2889" s="35"/>
      <c r="F2889" s="34"/>
      <c r="G2889" s="32"/>
      <c r="H2889" s="33"/>
      <c r="I2889" s="33"/>
      <c r="J2889" s="33"/>
    </row>
    <row r="2890" spans="1:10" x14ac:dyDescent="0.3">
      <c r="A2890" s="32" t="s">
        <v>24</v>
      </c>
      <c r="B2890" s="32">
        <v>2023</v>
      </c>
      <c r="C2890" s="33" t="s">
        <v>52</v>
      </c>
      <c r="D2890" s="34" t="s">
        <v>2002</v>
      </c>
      <c r="E2890" s="35" t="str">
        <f t="shared" si="646"/>
        <v>PS'!</v>
      </c>
      <c r="F2890" s="34" t="str">
        <f t="shared" si="647"/>
        <v>C:\Users\jaime.benazar\Quorum Business Solutions\Ecopetrol Prometeo - Documents\Planning Space Implementation\3. Analysis &amp; Design\Design\FC22\DRR Jaime\Neiva CPI\[DINA TERCIARIOS_CF_SEC_New_27-Mar-2024.xlsx]D-PS'!</v>
      </c>
      <c r="G2890" s="32" t="s">
        <v>122</v>
      </c>
      <c r="H2890" s="33">
        <v>12</v>
      </c>
      <c r="I2890" s="33" t="str">
        <f t="shared" ref="I2890:I2910" si="682">_xlfn.CONCAT("='",F2890:H2890)</f>
        <v>='C:\Users\jaime.benazar\Quorum Business Solutions\Ecopetrol Prometeo - Documents\Planning Space Implementation\3. Analysis &amp; Design\Design\FC22\DRR Jaime\Neiva CPI\[DINA TERCIARIOS_CF_SEC_New_27-Mar-2024.xlsx]D-PS'!$EA$12</v>
      </c>
      <c r="J2890" s="33" t="s">
        <v>3261</v>
      </c>
    </row>
    <row r="2891" spans="1:10" x14ac:dyDescent="0.3">
      <c r="A2891" s="32" t="s">
        <v>24</v>
      </c>
      <c r="B2891" s="32">
        <f>+B2890+1</f>
        <v>2024</v>
      </c>
      <c r="C2891" s="33" t="s">
        <v>52</v>
      </c>
      <c r="D2891" s="34" t="s">
        <v>2002</v>
      </c>
      <c r="E2891" s="35" t="str">
        <f t="shared" si="646"/>
        <v>PS'!</v>
      </c>
      <c r="F2891" s="34" t="str">
        <f t="shared" si="647"/>
        <v>C:\Users\jaime.benazar\Quorum Business Solutions\Ecopetrol Prometeo - Documents\Planning Space Implementation\3. Analysis &amp; Design\Design\FC22\DRR Jaime\Neiva CPI\[DINA TERCIARIOS_CF_SEC_New_27-Mar-2024.xlsx]D-PS'!</v>
      </c>
      <c r="G2891" s="32" t="s">
        <v>122</v>
      </c>
      <c r="H2891" s="33">
        <f t="shared" ref="H2891:H2910" si="683">IF(A2891&lt;&gt;A2890,12,H2890+1)</f>
        <v>13</v>
      </c>
      <c r="I2891" s="33" t="str">
        <f t="shared" si="682"/>
        <v>='C:\Users\jaime.benazar\Quorum Business Solutions\Ecopetrol Prometeo - Documents\Planning Space Implementation\3. Analysis &amp; Design\Design\FC22\DRR Jaime\Neiva CPI\[DINA TERCIARIOS_CF_SEC_New_27-Mar-2024.xlsx]D-PS'!$EA$13</v>
      </c>
      <c r="J2891" s="33" t="s">
        <v>3262</v>
      </c>
    </row>
    <row r="2892" spans="1:10" x14ac:dyDescent="0.3">
      <c r="A2892" s="32" t="s">
        <v>24</v>
      </c>
      <c r="B2892" s="32">
        <f t="shared" ref="B2892:B2903" si="684">+B2891+1</f>
        <v>2025</v>
      </c>
      <c r="C2892" s="33" t="s">
        <v>52</v>
      </c>
      <c r="D2892" s="34" t="s">
        <v>2002</v>
      </c>
      <c r="E2892" s="35" t="str">
        <f t="shared" si="646"/>
        <v>PS'!</v>
      </c>
      <c r="F2892" s="34" t="str">
        <f t="shared" si="647"/>
        <v>C:\Users\jaime.benazar\Quorum Business Solutions\Ecopetrol Prometeo - Documents\Planning Space Implementation\3. Analysis &amp; Design\Design\FC22\DRR Jaime\Neiva CPI\[DINA TERCIARIOS_CF_SEC_New_27-Mar-2024.xlsx]D-PS'!</v>
      </c>
      <c r="G2892" s="32" t="s">
        <v>122</v>
      </c>
      <c r="H2892" s="33">
        <f t="shared" si="683"/>
        <v>14</v>
      </c>
      <c r="I2892" s="33" t="str">
        <f t="shared" si="682"/>
        <v>='C:\Users\jaime.benazar\Quorum Business Solutions\Ecopetrol Prometeo - Documents\Planning Space Implementation\3. Analysis &amp; Design\Design\FC22\DRR Jaime\Neiva CPI\[DINA TERCIARIOS_CF_SEC_New_27-Mar-2024.xlsx]D-PS'!$EA$14</v>
      </c>
      <c r="J2892" s="33" t="s">
        <v>3263</v>
      </c>
    </row>
    <row r="2893" spans="1:10" x14ac:dyDescent="0.3">
      <c r="A2893" s="32" t="s">
        <v>24</v>
      </c>
      <c r="B2893" s="32">
        <f t="shared" si="684"/>
        <v>2026</v>
      </c>
      <c r="C2893" s="33" t="s">
        <v>52</v>
      </c>
      <c r="D2893" s="34" t="s">
        <v>2002</v>
      </c>
      <c r="E2893" s="35" t="str">
        <f t="shared" si="646"/>
        <v>PS'!</v>
      </c>
      <c r="F2893" s="34" t="str">
        <f t="shared" si="647"/>
        <v>C:\Users\jaime.benazar\Quorum Business Solutions\Ecopetrol Prometeo - Documents\Planning Space Implementation\3. Analysis &amp; Design\Design\FC22\DRR Jaime\Neiva CPI\[DINA TERCIARIOS_CF_SEC_New_27-Mar-2024.xlsx]D-PS'!</v>
      </c>
      <c r="G2893" s="32" t="s">
        <v>122</v>
      </c>
      <c r="H2893" s="33">
        <f t="shared" si="683"/>
        <v>15</v>
      </c>
      <c r="I2893" s="33" t="str">
        <f t="shared" si="682"/>
        <v>='C:\Users\jaime.benazar\Quorum Business Solutions\Ecopetrol Prometeo - Documents\Planning Space Implementation\3. Analysis &amp; Design\Design\FC22\DRR Jaime\Neiva CPI\[DINA TERCIARIOS_CF_SEC_New_27-Mar-2024.xlsx]D-PS'!$EA$15</v>
      </c>
      <c r="J2893" s="33" t="s">
        <v>3264</v>
      </c>
    </row>
    <row r="2894" spans="1:10" x14ac:dyDescent="0.3">
      <c r="A2894" s="32" t="s">
        <v>24</v>
      </c>
      <c r="B2894" s="32">
        <f t="shared" si="684"/>
        <v>2027</v>
      </c>
      <c r="C2894" s="33" t="s">
        <v>52</v>
      </c>
      <c r="D2894" s="34" t="s">
        <v>2002</v>
      </c>
      <c r="E2894" s="35" t="str">
        <f t="shared" si="646"/>
        <v>PS'!</v>
      </c>
      <c r="F2894" s="34" t="str">
        <f t="shared" si="647"/>
        <v>C:\Users\jaime.benazar\Quorum Business Solutions\Ecopetrol Prometeo - Documents\Planning Space Implementation\3. Analysis &amp; Design\Design\FC22\DRR Jaime\Neiva CPI\[DINA TERCIARIOS_CF_SEC_New_27-Mar-2024.xlsx]D-PS'!</v>
      </c>
      <c r="G2894" s="32" t="s">
        <v>122</v>
      </c>
      <c r="H2894" s="33">
        <f t="shared" si="683"/>
        <v>16</v>
      </c>
      <c r="I2894" s="33" t="str">
        <f t="shared" si="682"/>
        <v>='C:\Users\jaime.benazar\Quorum Business Solutions\Ecopetrol Prometeo - Documents\Planning Space Implementation\3. Analysis &amp; Design\Design\FC22\DRR Jaime\Neiva CPI\[DINA TERCIARIOS_CF_SEC_New_27-Mar-2024.xlsx]D-PS'!$EA$16</v>
      </c>
      <c r="J2894" s="33" t="s">
        <v>3265</v>
      </c>
    </row>
    <row r="2895" spans="1:10" x14ac:dyDescent="0.3">
      <c r="A2895" s="32" t="s">
        <v>24</v>
      </c>
      <c r="B2895" s="32">
        <f t="shared" si="684"/>
        <v>2028</v>
      </c>
      <c r="C2895" s="33" t="s">
        <v>52</v>
      </c>
      <c r="D2895" s="34" t="s">
        <v>2002</v>
      </c>
      <c r="E2895" s="35" t="str">
        <f t="shared" si="646"/>
        <v>PS'!</v>
      </c>
      <c r="F2895" s="34" t="str">
        <f t="shared" si="647"/>
        <v>C:\Users\jaime.benazar\Quorum Business Solutions\Ecopetrol Prometeo - Documents\Planning Space Implementation\3. Analysis &amp; Design\Design\FC22\DRR Jaime\Neiva CPI\[DINA TERCIARIOS_CF_SEC_New_27-Mar-2024.xlsx]D-PS'!</v>
      </c>
      <c r="G2895" s="32" t="s">
        <v>122</v>
      </c>
      <c r="H2895" s="33">
        <f t="shared" si="683"/>
        <v>17</v>
      </c>
      <c r="I2895" s="33" t="str">
        <f t="shared" si="682"/>
        <v>='C:\Users\jaime.benazar\Quorum Business Solutions\Ecopetrol Prometeo - Documents\Planning Space Implementation\3. Analysis &amp; Design\Design\FC22\DRR Jaime\Neiva CPI\[DINA TERCIARIOS_CF_SEC_New_27-Mar-2024.xlsx]D-PS'!$EA$17</v>
      </c>
      <c r="J2895" s="33" t="s">
        <v>3266</v>
      </c>
    </row>
    <row r="2896" spans="1:10" x14ac:dyDescent="0.3">
      <c r="A2896" s="32" t="s">
        <v>24</v>
      </c>
      <c r="B2896" s="32">
        <f t="shared" si="684"/>
        <v>2029</v>
      </c>
      <c r="C2896" s="33" t="s">
        <v>52</v>
      </c>
      <c r="D2896" s="34" t="s">
        <v>2002</v>
      </c>
      <c r="E2896" s="35" t="str">
        <f t="shared" si="646"/>
        <v>PS'!</v>
      </c>
      <c r="F2896" s="34" t="str">
        <f t="shared" si="647"/>
        <v>C:\Users\jaime.benazar\Quorum Business Solutions\Ecopetrol Prometeo - Documents\Planning Space Implementation\3. Analysis &amp; Design\Design\FC22\DRR Jaime\Neiva CPI\[DINA TERCIARIOS_CF_SEC_New_27-Mar-2024.xlsx]D-PS'!</v>
      </c>
      <c r="G2896" s="32" t="s">
        <v>122</v>
      </c>
      <c r="H2896" s="33">
        <f t="shared" si="683"/>
        <v>18</v>
      </c>
      <c r="I2896" s="33" t="str">
        <f t="shared" si="682"/>
        <v>='C:\Users\jaime.benazar\Quorum Business Solutions\Ecopetrol Prometeo - Documents\Planning Space Implementation\3. Analysis &amp; Design\Design\FC22\DRR Jaime\Neiva CPI\[DINA TERCIARIOS_CF_SEC_New_27-Mar-2024.xlsx]D-PS'!$EA$18</v>
      </c>
      <c r="J2896" s="33" t="s">
        <v>3267</v>
      </c>
    </row>
    <row r="2897" spans="1:10" x14ac:dyDescent="0.3">
      <c r="A2897" s="32" t="s">
        <v>24</v>
      </c>
      <c r="B2897" s="32">
        <f t="shared" si="684"/>
        <v>2030</v>
      </c>
      <c r="C2897" s="33" t="s">
        <v>52</v>
      </c>
      <c r="D2897" s="34" t="s">
        <v>2002</v>
      </c>
      <c r="E2897" s="35" t="str">
        <f t="shared" si="646"/>
        <v>PS'!</v>
      </c>
      <c r="F2897" s="34" t="str">
        <f t="shared" si="647"/>
        <v>C:\Users\jaime.benazar\Quorum Business Solutions\Ecopetrol Prometeo - Documents\Planning Space Implementation\3. Analysis &amp; Design\Design\FC22\DRR Jaime\Neiva CPI\[DINA TERCIARIOS_CF_SEC_New_27-Mar-2024.xlsx]D-PS'!</v>
      </c>
      <c r="G2897" s="32" t="s">
        <v>122</v>
      </c>
      <c r="H2897" s="33">
        <f t="shared" si="683"/>
        <v>19</v>
      </c>
      <c r="I2897" s="33" t="str">
        <f t="shared" si="682"/>
        <v>='C:\Users\jaime.benazar\Quorum Business Solutions\Ecopetrol Prometeo - Documents\Planning Space Implementation\3. Analysis &amp; Design\Design\FC22\DRR Jaime\Neiva CPI\[DINA TERCIARIOS_CF_SEC_New_27-Mar-2024.xlsx]D-PS'!$EA$19</v>
      </c>
      <c r="J2897" s="33" t="s">
        <v>3268</v>
      </c>
    </row>
    <row r="2898" spans="1:10" x14ac:dyDescent="0.3">
      <c r="A2898" s="32" t="s">
        <v>24</v>
      </c>
      <c r="B2898" s="32">
        <f t="shared" si="684"/>
        <v>2031</v>
      </c>
      <c r="C2898" s="33" t="s">
        <v>52</v>
      </c>
      <c r="D2898" s="34" t="s">
        <v>2002</v>
      </c>
      <c r="E2898" s="35" t="str">
        <f t="shared" si="646"/>
        <v>PS'!</v>
      </c>
      <c r="F2898" s="34" t="str">
        <f t="shared" si="647"/>
        <v>C:\Users\jaime.benazar\Quorum Business Solutions\Ecopetrol Prometeo - Documents\Planning Space Implementation\3. Analysis &amp; Design\Design\FC22\DRR Jaime\Neiva CPI\[DINA TERCIARIOS_CF_SEC_New_27-Mar-2024.xlsx]D-PS'!</v>
      </c>
      <c r="G2898" s="32" t="s">
        <v>122</v>
      </c>
      <c r="H2898" s="33">
        <f t="shared" si="683"/>
        <v>20</v>
      </c>
      <c r="I2898" s="33" t="str">
        <f t="shared" si="682"/>
        <v>='C:\Users\jaime.benazar\Quorum Business Solutions\Ecopetrol Prometeo - Documents\Planning Space Implementation\3. Analysis &amp; Design\Design\FC22\DRR Jaime\Neiva CPI\[DINA TERCIARIOS_CF_SEC_New_27-Mar-2024.xlsx]D-PS'!$EA$20</v>
      </c>
      <c r="J2898" s="33" t="s">
        <v>3269</v>
      </c>
    </row>
    <row r="2899" spans="1:10" x14ac:dyDescent="0.3">
      <c r="A2899" s="32" t="s">
        <v>24</v>
      </c>
      <c r="B2899" s="32">
        <f t="shared" si="684"/>
        <v>2032</v>
      </c>
      <c r="C2899" s="33" t="s">
        <v>52</v>
      </c>
      <c r="D2899" s="34" t="s">
        <v>2002</v>
      </c>
      <c r="E2899" s="35" t="str">
        <f t="shared" si="646"/>
        <v>PS'!</v>
      </c>
      <c r="F2899" s="34" t="str">
        <f t="shared" si="647"/>
        <v>C:\Users\jaime.benazar\Quorum Business Solutions\Ecopetrol Prometeo - Documents\Planning Space Implementation\3. Analysis &amp; Design\Design\FC22\DRR Jaime\Neiva CPI\[DINA TERCIARIOS_CF_SEC_New_27-Mar-2024.xlsx]D-PS'!</v>
      </c>
      <c r="G2899" s="32" t="s">
        <v>122</v>
      </c>
      <c r="H2899" s="33">
        <f t="shared" si="683"/>
        <v>21</v>
      </c>
      <c r="I2899" s="33" t="str">
        <f t="shared" si="682"/>
        <v>='C:\Users\jaime.benazar\Quorum Business Solutions\Ecopetrol Prometeo - Documents\Planning Space Implementation\3. Analysis &amp; Design\Design\FC22\DRR Jaime\Neiva CPI\[DINA TERCIARIOS_CF_SEC_New_27-Mar-2024.xlsx]D-PS'!$EA$21</v>
      </c>
      <c r="J2899" s="33" t="s">
        <v>3270</v>
      </c>
    </row>
    <row r="2900" spans="1:10" x14ac:dyDescent="0.3">
      <c r="A2900" s="32" t="s">
        <v>24</v>
      </c>
      <c r="B2900" s="32">
        <f t="shared" si="684"/>
        <v>2033</v>
      </c>
      <c r="C2900" s="33" t="s">
        <v>52</v>
      </c>
      <c r="D2900" s="34" t="s">
        <v>2002</v>
      </c>
      <c r="E2900" s="35" t="str">
        <f t="shared" si="646"/>
        <v>PS'!</v>
      </c>
      <c r="F2900" s="34" t="str">
        <f t="shared" si="647"/>
        <v>C:\Users\jaime.benazar\Quorum Business Solutions\Ecopetrol Prometeo - Documents\Planning Space Implementation\3. Analysis &amp; Design\Design\FC22\DRR Jaime\Neiva CPI\[DINA TERCIARIOS_CF_SEC_New_27-Mar-2024.xlsx]D-PS'!</v>
      </c>
      <c r="G2900" s="32" t="s">
        <v>122</v>
      </c>
      <c r="H2900" s="33">
        <f t="shared" si="683"/>
        <v>22</v>
      </c>
      <c r="I2900" s="33" t="str">
        <f t="shared" si="682"/>
        <v>='C:\Users\jaime.benazar\Quorum Business Solutions\Ecopetrol Prometeo - Documents\Planning Space Implementation\3. Analysis &amp; Design\Design\FC22\DRR Jaime\Neiva CPI\[DINA TERCIARIOS_CF_SEC_New_27-Mar-2024.xlsx]D-PS'!$EA$22</v>
      </c>
      <c r="J2900" s="33" t="s">
        <v>3271</v>
      </c>
    </row>
    <row r="2901" spans="1:10" x14ac:dyDescent="0.3">
      <c r="A2901" s="32" t="s">
        <v>24</v>
      </c>
      <c r="B2901" s="32">
        <f t="shared" si="684"/>
        <v>2034</v>
      </c>
      <c r="C2901" s="33" t="s">
        <v>52</v>
      </c>
      <c r="D2901" s="34" t="s">
        <v>2002</v>
      </c>
      <c r="E2901" s="35" t="str">
        <f t="shared" si="646"/>
        <v>PS'!</v>
      </c>
      <c r="F2901" s="34" t="str">
        <f t="shared" si="647"/>
        <v>C:\Users\jaime.benazar\Quorum Business Solutions\Ecopetrol Prometeo - Documents\Planning Space Implementation\3. Analysis &amp; Design\Design\FC22\DRR Jaime\Neiva CPI\[DINA TERCIARIOS_CF_SEC_New_27-Mar-2024.xlsx]D-PS'!</v>
      </c>
      <c r="G2901" s="32" t="s">
        <v>122</v>
      </c>
      <c r="H2901" s="33">
        <f t="shared" si="683"/>
        <v>23</v>
      </c>
      <c r="I2901" s="33" t="str">
        <f t="shared" si="682"/>
        <v>='C:\Users\jaime.benazar\Quorum Business Solutions\Ecopetrol Prometeo - Documents\Planning Space Implementation\3. Analysis &amp; Design\Design\FC22\DRR Jaime\Neiva CPI\[DINA TERCIARIOS_CF_SEC_New_27-Mar-2024.xlsx]D-PS'!$EA$23</v>
      </c>
      <c r="J2901" s="33" t="s">
        <v>3272</v>
      </c>
    </row>
    <row r="2902" spans="1:10" x14ac:dyDescent="0.3">
      <c r="A2902" s="32" t="s">
        <v>24</v>
      </c>
      <c r="B2902" s="32">
        <f t="shared" si="684"/>
        <v>2035</v>
      </c>
      <c r="C2902" s="33" t="s">
        <v>52</v>
      </c>
      <c r="D2902" s="34" t="s">
        <v>2002</v>
      </c>
      <c r="E2902" s="35" t="str">
        <f t="shared" si="646"/>
        <v>PS'!</v>
      </c>
      <c r="F2902" s="34" t="str">
        <f t="shared" si="647"/>
        <v>C:\Users\jaime.benazar\Quorum Business Solutions\Ecopetrol Prometeo - Documents\Planning Space Implementation\3. Analysis &amp; Design\Design\FC22\DRR Jaime\Neiva CPI\[DINA TERCIARIOS_CF_SEC_New_27-Mar-2024.xlsx]D-PS'!</v>
      </c>
      <c r="G2902" s="32" t="s">
        <v>122</v>
      </c>
      <c r="H2902" s="33">
        <f t="shared" si="683"/>
        <v>24</v>
      </c>
      <c r="I2902" s="33" t="str">
        <f t="shared" si="682"/>
        <v>='C:\Users\jaime.benazar\Quorum Business Solutions\Ecopetrol Prometeo - Documents\Planning Space Implementation\3. Analysis &amp; Design\Design\FC22\DRR Jaime\Neiva CPI\[DINA TERCIARIOS_CF_SEC_New_27-Mar-2024.xlsx]D-PS'!$EA$24</v>
      </c>
      <c r="J2902" s="33" t="s">
        <v>3273</v>
      </c>
    </row>
    <row r="2903" spans="1:10" x14ac:dyDescent="0.3">
      <c r="A2903" s="32" t="s">
        <v>24</v>
      </c>
      <c r="B2903" s="32">
        <f t="shared" si="684"/>
        <v>2036</v>
      </c>
      <c r="C2903" s="33" t="s">
        <v>52</v>
      </c>
      <c r="D2903" s="34" t="s">
        <v>2002</v>
      </c>
      <c r="E2903" s="35" t="str">
        <f t="shared" si="646"/>
        <v>PS'!</v>
      </c>
      <c r="F2903" s="34" t="str">
        <f t="shared" si="647"/>
        <v>C:\Users\jaime.benazar\Quorum Business Solutions\Ecopetrol Prometeo - Documents\Planning Space Implementation\3. Analysis &amp; Design\Design\FC22\DRR Jaime\Neiva CPI\[DINA TERCIARIOS_CF_SEC_New_27-Mar-2024.xlsx]D-PS'!</v>
      </c>
      <c r="G2903" s="32" t="s">
        <v>122</v>
      </c>
      <c r="H2903" s="33">
        <f t="shared" si="683"/>
        <v>25</v>
      </c>
      <c r="I2903" s="33" t="str">
        <f t="shared" si="682"/>
        <v>='C:\Users\jaime.benazar\Quorum Business Solutions\Ecopetrol Prometeo - Documents\Planning Space Implementation\3. Analysis &amp; Design\Design\FC22\DRR Jaime\Neiva CPI\[DINA TERCIARIOS_CF_SEC_New_27-Mar-2024.xlsx]D-PS'!$EA$25</v>
      </c>
      <c r="J2903" s="33" t="s">
        <v>3274</v>
      </c>
    </row>
    <row r="2904" spans="1:10" x14ac:dyDescent="0.3">
      <c r="A2904" s="32" t="s">
        <v>24</v>
      </c>
      <c r="B2904" s="32">
        <f>+B2903+1</f>
        <v>2037</v>
      </c>
      <c r="C2904" s="33" t="s">
        <v>52</v>
      </c>
      <c r="D2904" s="34" t="s">
        <v>2002</v>
      </c>
      <c r="E2904" s="35" t="str">
        <f t="shared" si="646"/>
        <v>PS'!</v>
      </c>
      <c r="F2904" s="34" t="str">
        <f t="shared" si="647"/>
        <v>C:\Users\jaime.benazar\Quorum Business Solutions\Ecopetrol Prometeo - Documents\Planning Space Implementation\3. Analysis &amp; Design\Design\FC22\DRR Jaime\Neiva CPI\[DINA TERCIARIOS_CF_SEC_New_27-Mar-2024.xlsx]D-PS'!</v>
      </c>
      <c r="G2904" s="32" t="s">
        <v>122</v>
      </c>
      <c r="H2904" s="33">
        <f t="shared" si="683"/>
        <v>26</v>
      </c>
      <c r="I2904" s="33" t="str">
        <f t="shared" si="682"/>
        <v>='C:\Users\jaime.benazar\Quorum Business Solutions\Ecopetrol Prometeo - Documents\Planning Space Implementation\3. Analysis &amp; Design\Design\FC22\DRR Jaime\Neiva CPI\[DINA TERCIARIOS_CF_SEC_New_27-Mar-2024.xlsx]D-PS'!$EA$26</v>
      </c>
      <c r="J2904" s="33" t="s">
        <v>3275</v>
      </c>
    </row>
    <row r="2905" spans="1:10" x14ac:dyDescent="0.3">
      <c r="A2905" s="32" t="s">
        <v>24</v>
      </c>
      <c r="B2905" s="32">
        <f t="shared" ref="B2905:B2907" si="685">+B2904+1</f>
        <v>2038</v>
      </c>
      <c r="C2905" s="33" t="s">
        <v>52</v>
      </c>
      <c r="D2905" s="34" t="s">
        <v>2002</v>
      </c>
      <c r="E2905" s="35" t="str">
        <f t="shared" si="646"/>
        <v>PS'!</v>
      </c>
      <c r="F2905" s="34" t="str">
        <f t="shared" si="647"/>
        <v>C:\Users\jaime.benazar\Quorum Business Solutions\Ecopetrol Prometeo - Documents\Planning Space Implementation\3. Analysis &amp; Design\Design\FC22\DRR Jaime\Neiva CPI\[DINA TERCIARIOS_CF_SEC_New_27-Mar-2024.xlsx]D-PS'!</v>
      </c>
      <c r="G2905" s="32" t="s">
        <v>122</v>
      </c>
      <c r="H2905" s="33">
        <f t="shared" si="683"/>
        <v>27</v>
      </c>
      <c r="I2905" s="33" t="str">
        <f t="shared" si="682"/>
        <v>='C:\Users\jaime.benazar\Quorum Business Solutions\Ecopetrol Prometeo - Documents\Planning Space Implementation\3. Analysis &amp; Design\Design\FC22\DRR Jaime\Neiva CPI\[DINA TERCIARIOS_CF_SEC_New_27-Mar-2024.xlsx]D-PS'!$EA$27</v>
      </c>
      <c r="J2905" s="33" t="s">
        <v>3276</v>
      </c>
    </row>
    <row r="2906" spans="1:10" x14ac:dyDescent="0.3">
      <c r="A2906" s="32" t="s">
        <v>24</v>
      </c>
      <c r="B2906" s="32">
        <f t="shared" si="685"/>
        <v>2039</v>
      </c>
      <c r="C2906" s="33" t="s">
        <v>52</v>
      </c>
      <c r="D2906" s="34" t="s">
        <v>2002</v>
      </c>
      <c r="E2906" s="35" t="str">
        <f t="shared" si="646"/>
        <v>PS'!</v>
      </c>
      <c r="F2906" s="34" t="str">
        <f t="shared" si="647"/>
        <v>C:\Users\jaime.benazar\Quorum Business Solutions\Ecopetrol Prometeo - Documents\Planning Space Implementation\3. Analysis &amp; Design\Design\FC22\DRR Jaime\Neiva CPI\[DINA TERCIARIOS_CF_SEC_New_27-Mar-2024.xlsx]D-PS'!</v>
      </c>
      <c r="G2906" s="32" t="s">
        <v>122</v>
      </c>
      <c r="H2906" s="33">
        <f t="shared" si="683"/>
        <v>28</v>
      </c>
      <c r="I2906" s="33" t="str">
        <f t="shared" si="682"/>
        <v>='C:\Users\jaime.benazar\Quorum Business Solutions\Ecopetrol Prometeo - Documents\Planning Space Implementation\3. Analysis &amp; Design\Design\FC22\DRR Jaime\Neiva CPI\[DINA TERCIARIOS_CF_SEC_New_27-Mar-2024.xlsx]D-PS'!$EA$28</v>
      </c>
      <c r="J2906" s="33" t="s">
        <v>3277</v>
      </c>
    </row>
    <row r="2907" spans="1:10" x14ac:dyDescent="0.3">
      <c r="A2907" s="32" t="s">
        <v>24</v>
      </c>
      <c r="B2907" s="32">
        <f t="shared" si="685"/>
        <v>2040</v>
      </c>
      <c r="C2907" s="33" t="s">
        <v>52</v>
      </c>
      <c r="D2907" s="34" t="s">
        <v>2002</v>
      </c>
      <c r="E2907" s="35" t="str">
        <f t="shared" si="646"/>
        <v>PS'!</v>
      </c>
      <c r="F2907" s="34" t="str">
        <f t="shared" si="647"/>
        <v>C:\Users\jaime.benazar\Quorum Business Solutions\Ecopetrol Prometeo - Documents\Planning Space Implementation\3. Analysis &amp; Design\Design\FC22\DRR Jaime\Neiva CPI\[DINA TERCIARIOS_CF_SEC_New_27-Mar-2024.xlsx]D-PS'!</v>
      </c>
      <c r="G2907" s="32" t="s">
        <v>122</v>
      </c>
      <c r="H2907" s="33">
        <f t="shared" si="683"/>
        <v>29</v>
      </c>
      <c r="I2907" s="33" t="str">
        <f t="shared" si="682"/>
        <v>='C:\Users\jaime.benazar\Quorum Business Solutions\Ecopetrol Prometeo - Documents\Planning Space Implementation\3. Analysis &amp; Design\Design\FC22\DRR Jaime\Neiva CPI\[DINA TERCIARIOS_CF_SEC_New_27-Mar-2024.xlsx]D-PS'!$EA$29</v>
      </c>
      <c r="J2907" s="33" t="s">
        <v>3278</v>
      </c>
    </row>
    <row r="2908" spans="1:10" x14ac:dyDescent="0.3">
      <c r="A2908" s="32" t="s">
        <v>24</v>
      </c>
      <c r="B2908" s="32">
        <f>+B2907+1</f>
        <v>2041</v>
      </c>
      <c r="C2908" s="33" t="s">
        <v>52</v>
      </c>
      <c r="D2908" s="34" t="s">
        <v>2002</v>
      </c>
      <c r="E2908" s="35" t="str">
        <f t="shared" si="646"/>
        <v>PS'!</v>
      </c>
      <c r="F2908" s="34" t="str">
        <f t="shared" si="647"/>
        <v>C:\Users\jaime.benazar\Quorum Business Solutions\Ecopetrol Prometeo - Documents\Planning Space Implementation\3. Analysis &amp; Design\Design\FC22\DRR Jaime\Neiva CPI\[DINA TERCIARIOS_CF_SEC_New_27-Mar-2024.xlsx]D-PS'!</v>
      </c>
      <c r="G2908" s="32" t="s">
        <v>122</v>
      </c>
      <c r="H2908" s="33">
        <f t="shared" si="683"/>
        <v>30</v>
      </c>
      <c r="I2908" s="33" t="str">
        <f t="shared" si="682"/>
        <v>='C:\Users\jaime.benazar\Quorum Business Solutions\Ecopetrol Prometeo - Documents\Planning Space Implementation\3. Analysis &amp; Design\Design\FC22\DRR Jaime\Neiva CPI\[DINA TERCIARIOS_CF_SEC_New_27-Mar-2024.xlsx]D-PS'!$EA$30</v>
      </c>
      <c r="J2908" s="33" t="s">
        <v>3279</v>
      </c>
    </row>
    <row r="2909" spans="1:10" x14ac:dyDescent="0.3">
      <c r="A2909" s="32" t="s">
        <v>24</v>
      </c>
      <c r="B2909" s="32">
        <f t="shared" ref="B2909:B2910" si="686">+B2908+1</f>
        <v>2042</v>
      </c>
      <c r="C2909" s="33" t="s">
        <v>52</v>
      </c>
      <c r="D2909" s="34" t="s">
        <v>2002</v>
      </c>
      <c r="E2909" s="35" t="str">
        <f t="shared" si="646"/>
        <v>PS'!</v>
      </c>
      <c r="F2909" s="34" t="str">
        <f t="shared" si="647"/>
        <v>C:\Users\jaime.benazar\Quorum Business Solutions\Ecopetrol Prometeo - Documents\Planning Space Implementation\3. Analysis &amp; Design\Design\FC22\DRR Jaime\Neiva CPI\[DINA TERCIARIOS_CF_SEC_New_27-Mar-2024.xlsx]D-PS'!</v>
      </c>
      <c r="G2909" s="32" t="s">
        <v>122</v>
      </c>
      <c r="H2909" s="33">
        <f t="shared" si="683"/>
        <v>31</v>
      </c>
      <c r="I2909" s="33" t="str">
        <f t="shared" si="682"/>
        <v>='C:\Users\jaime.benazar\Quorum Business Solutions\Ecopetrol Prometeo - Documents\Planning Space Implementation\3. Analysis &amp; Design\Design\FC22\DRR Jaime\Neiva CPI\[DINA TERCIARIOS_CF_SEC_New_27-Mar-2024.xlsx]D-PS'!$EA$31</v>
      </c>
      <c r="J2909" s="33" t="s">
        <v>3280</v>
      </c>
    </row>
    <row r="2910" spans="1:10" x14ac:dyDescent="0.3">
      <c r="A2910" s="32" t="s">
        <v>24</v>
      </c>
      <c r="B2910" s="32">
        <f t="shared" si="686"/>
        <v>2043</v>
      </c>
      <c r="C2910" s="33" t="s">
        <v>52</v>
      </c>
      <c r="D2910" s="34" t="s">
        <v>2002</v>
      </c>
      <c r="E2910" s="35" t="str">
        <f t="shared" si="646"/>
        <v>PS'!</v>
      </c>
      <c r="F2910" s="34" t="str">
        <f t="shared" si="647"/>
        <v>C:\Users\jaime.benazar\Quorum Business Solutions\Ecopetrol Prometeo - Documents\Planning Space Implementation\3. Analysis &amp; Design\Design\FC22\DRR Jaime\Neiva CPI\[DINA TERCIARIOS_CF_SEC_New_27-Mar-2024.xlsx]D-PS'!</v>
      </c>
      <c r="G2910" s="32" t="s">
        <v>122</v>
      </c>
      <c r="H2910" s="33">
        <f t="shared" si="683"/>
        <v>32</v>
      </c>
      <c r="I2910" s="33" t="str">
        <f t="shared" si="682"/>
        <v>='C:\Users\jaime.benazar\Quorum Business Solutions\Ecopetrol Prometeo - Documents\Planning Space Implementation\3. Analysis &amp; Design\Design\FC22\DRR Jaime\Neiva CPI\[DINA TERCIARIOS_CF_SEC_New_27-Mar-2024.xlsx]D-PS'!$EA$32</v>
      </c>
      <c r="J2910" s="33" t="s">
        <v>3281</v>
      </c>
    </row>
    <row r="2911" spans="1:10" x14ac:dyDescent="0.3">
      <c r="A2911" s="32" t="s">
        <v>24</v>
      </c>
      <c r="B2911" s="32">
        <f>+B2910+1</f>
        <v>2044</v>
      </c>
      <c r="C2911" s="33" t="s">
        <v>52</v>
      </c>
      <c r="D2911" s="34" t="s">
        <v>2002</v>
      </c>
      <c r="E2911" s="35" t="str">
        <f t="shared" ref="E2911:E2926" si="687">_xlfn.CONCAT(A2911,"'!")</f>
        <v>PS'!</v>
      </c>
      <c r="F2911" s="34" t="str">
        <f t="shared" ref="F2911:F2926" si="688">_xlfn.CONCAT(D2911:E2911)</f>
        <v>C:\Users\jaime.benazar\Quorum Business Solutions\Ecopetrol Prometeo - Documents\Planning Space Implementation\3. Analysis &amp; Design\Design\FC22\DRR Jaime\Neiva CPI\[DINA TERCIARIOS_CF_SEC_New_27-Mar-2024.xlsx]D-PS'!</v>
      </c>
      <c r="G2911" s="32" t="s">
        <v>122</v>
      </c>
      <c r="H2911" s="33">
        <f t="shared" ref="H2911:H2926" si="689">IF(A2911&lt;&gt;A2910,12,H2910+1)</f>
        <v>33</v>
      </c>
      <c r="I2911" s="33" t="str">
        <f t="shared" ref="I2911:I2926" si="690">_xlfn.CONCAT("='",F2911:H2911)</f>
        <v>='C:\Users\jaime.benazar\Quorum Business Solutions\Ecopetrol Prometeo - Documents\Planning Space Implementation\3. Analysis &amp; Design\Design\FC22\DRR Jaime\Neiva CPI\[DINA TERCIARIOS_CF_SEC_New_27-Mar-2024.xlsx]D-PS'!$EA$33</v>
      </c>
      <c r="J2911" s="33" t="s">
        <v>3282</v>
      </c>
    </row>
    <row r="2912" spans="1:10" x14ac:dyDescent="0.3">
      <c r="A2912" s="32" t="s">
        <v>24</v>
      </c>
      <c r="B2912" s="32">
        <f t="shared" ref="B2912:B2926" si="691">+B2911+1</f>
        <v>2045</v>
      </c>
      <c r="C2912" s="33" t="s">
        <v>52</v>
      </c>
      <c r="D2912" s="34" t="s">
        <v>2002</v>
      </c>
      <c r="E2912" s="35" t="str">
        <f t="shared" si="687"/>
        <v>PS'!</v>
      </c>
      <c r="F2912" s="34" t="str">
        <f t="shared" si="688"/>
        <v>C:\Users\jaime.benazar\Quorum Business Solutions\Ecopetrol Prometeo - Documents\Planning Space Implementation\3. Analysis &amp; Design\Design\FC22\DRR Jaime\Neiva CPI\[DINA TERCIARIOS_CF_SEC_New_27-Mar-2024.xlsx]D-PS'!</v>
      </c>
      <c r="G2912" s="32" t="s">
        <v>122</v>
      </c>
      <c r="H2912" s="33">
        <f t="shared" si="689"/>
        <v>34</v>
      </c>
      <c r="I2912" s="33" t="str">
        <f t="shared" si="690"/>
        <v>='C:\Users\jaime.benazar\Quorum Business Solutions\Ecopetrol Prometeo - Documents\Planning Space Implementation\3. Analysis &amp; Design\Design\FC22\DRR Jaime\Neiva CPI\[DINA TERCIARIOS_CF_SEC_New_27-Mar-2024.xlsx]D-PS'!$EA$34</v>
      </c>
      <c r="J2912" s="33" t="s">
        <v>3283</v>
      </c>
    </row>
    <row r="2913" spans="1:10" x14ac:dyDescent="0.3">
      <c r="A2913" s="32" t="s">
        <v>24</v>
      </c>
      <c r="B2913" s="32">
        <f t="shared" si="691"/>
        <v>2046</v>
      </c>
      <c r="C2913" s="33" t="s">
        <v>52</v>
      </c>
      <c r="D2913" s="34" t="s">
        <v>2002</v>
      </c>
      <c r="E2913" s="35" t="str">
        <f t="shared" si="687"/>
        <v>PS'!</v>
      </c>
      <c r="F2913" s="34" t="str">
        <f t="shared" si="688"/>
        <v>C:\Users\jaime.benazar\Quorum Business Solutions\Ecopetrol Prometeo - Documents\Planning Space Implementation\3. Analysis &amp; Design\Design\FC22\DRR Jaime\Neiva CPI\[DINA TERCIARIOS_CF_SEC_New_27-Mar-2024.xlsx]D-PS'!</v>
      </c>
      <c r="G2913" s="32" t="s">
        <v>122</v>
      </c>
      <c r="H2913" s="33">
        <f t="shared" si="689"/>
        <v>35</v>
      </c>
      <c r="I2913" s="33" t="str">
        <f t="shared" si="690"/>
        <v>='C:\Users\jaime.benazar\Quorum Business Solutions\Ecopetrol Prometeo - Documents\Planning Space Implementation\3. Analysis &amp; Design\Design\FC22\DRR Jaime\Neiva CPI\[DINA TERCIARIOS_CF_SEC_New_27-Mar-2024.xlsx]D-PS'!$EA$35</v>
      </c>
      <c r="J2913" s="33" t="s">
        <v>3284</v>
      </c>
    </row>
    <row r="2914" spans="1:10" x14ac:dyDescent="0.3">
      <c r="A2914" s="32" t="s">
        <v>24</v>
      </c>
      <c r="B2914" s="32">
        <f t="shared" si="691"/>
        <v>2047</v>
      </c>
      <c r="C2914" s="33" t="s">
        <v>52</v>
      </c>
      <c r="D2914" s="34" t="s">
        <v>2002</v>
      </c>
      <c r="E2914" s="35" t="str">
        <f t="shared" si="687"/>
        <v>PS'!</v>
      </c>
      <c r="F2914" s="34" t="str">
        <f t="shared" si="688"/>
        <v>C:\Users\jaime.benazar\Quorum Business Solutions\Ecopetrol Prometeo - Documents\Planning Space Implementation\3. Analysis &amp; Design\Design\FC22\DRR Jaime\Neiva CPI\[DINA TERCIARIOS_CF_SEC_New_27-Mar-2024.xlsx]D-PS'!</v>
      </c>
      <c r="G2914" s="32" t="s">
        <v>122</v>
      </c>
      <c r="H2914" s="33">
        <f t="shared" si="689"/>
        <v>36</v>
      </c>
      <c r="I2914" s="33" t="str">
        <f t="shared" si="690"/>
        <v>='C:\Users\jaime.benazar\Quorum Business Solutions\Ecopetrol Prometeo - Documents\Planning Space Implementation\3. Analysis &amp; Design\Design\FC22\DRR Jaime\Neiva CPI\[DINA TERCIARIOS_CF_SEC_New_27-Mar-2024.xlsx]D-PS'!$EA$36</v>
      </c>
      <c r="J2914" s="33" t="s">
        <v>3285</v>
      </c>
    </row>
    <row r="2915" spans="1:10" x14ac:dyDescent="0.3">
      <c r="A2915" s="32" t="s">
        <v>24</v>
      </c>
      <c r="B2915" s="32">
        <f t="shared" si="691"/>
        <v>2048</v>
      </c>
      <c r="C2915" s="33" t="s">
        <v>52</v>
      </c>
      <c r="D2915" s="34" t="s">
        <v>2002</v>
      </c>
      <c r="E2915" s="35" t="str">
        <f t="shared" si="687"/>
        <v>PS'!</v>
      </c>
      <c r="F2915" s="34" t="str">
        <f t="shared" si="688"/>
        <v>C:\Users\jaime.benazar\Quorum Business Solutions\Ecopetrol Prometeo - Documents\Planning Space Implementation\3. Analysis &amp; Design\Design\FC22\DRR Jaime\Neiva CPI\[DINA TERCIARIOS_CF_SEC_New_27-Mar-2024.xlsx]D-PS'!</v>
      </c>
      <c r="G2915" s="32" t="s">
        <v>122</v>
      </c>
      <c r="H2915" s="33">
        <f t="shared" si="689"/>
        <v>37</v>
      </c>
      <c r="I2915" s="33" t="str">
        <f t="shared" si="690"/>
        <v>='C:\Users\jaime.benazar\Quorum Business Solutions\Ecopetrol Prometeo - Documents\Planning Space Implementation\3. Analysis &amp; Design\Design\FC22\DRR Jaime\Neiva CPI\[DINA TERCIARIOS_CF_SEC_New_27-Mar-2024.xlsx]D-PS'!$EA$37</v>
      </c>
      <c r="J2915" s="33" t="s">
        <v>3286</v>
      </c>
    </row>
    <row r="2916" spans="1:10" x14ac:dyDescent="0.3">
      <c r="A2916" s="32" t="s">
        <v>24</v>
      </c>
      <c r="B2916" s="32">
        <f t="shared" si="691"/>
        <v>2049</v>
      </c>
      <c r="C2916" s="33" t="s">
        <v>52</v>
      </c>
      <c r="D2916" s="34" t="s">
        <v>2002</v>
      </c>
      <c r="E2916" s="35" t="str">
        <f t="shared" si="687"/>
        <v>PS'!</v>
      </c>
      <c r="F2916" s="34" t="str">
        <f t="shared" si="688"/>
        <v>C:\Users\jaime.benazar\Quorum Business Solutions\Ecopetrol Prometeo - Documents\Planning Space Implementation\3. Analysis &amp; Design\Design\FC22\DRR Jaime\Neiva CPI\[DINA TERCIARIOS_CF_SEC_New_27-Mar-2024.xlsx]D-PS'!</v>
      </c>
      <c r="G2916" s="32" t="s">
        <v>122</v>
      </c>
      <c r="H2916" s="33">
        <f t="shared" si="689"/>
        <v>38</v>
      </c>
      <c r="I2916" s="33" t="str">
        <f t="shared" si="690"/>
        <v>='C:\Users\jaime.benazar\Quorum Business Solutions\Ecopetrol Prometeo - Documents\Planning Space Implementation\3. Analysis &amp; Design\Design\FC22\DRR Jaime\Neiva CPI\[DINA TERCIARIOS_CF_SEC_New_27-Mar-2024.xlsx]D-PS'!$EA$38</v>
      </c>
      <c r="J2916" s="33" t="s">
        <v>3287</v>
      </c>
    </row>
    <row r="2917" spans="1:10" x14ac:dyDescent="0.3">
      <c r="A2917" s="32" t="s">
        <v>24</v>
      </c>
      <c r="B2917" s="32">
        <f t="shared" si="691"/>
        <v>2050</v>
      </c>
      <c r="C2917" s="33" t="s">
        <v>52</v>
      </c>
      <c r="D2917" s="34" t="s">
        <v>2002</v>
      </c>
      <c r="E2917" s="35" t="str">
        <f t="shared" si="687"/>
        <v>PS'!</v>
      </c>
      <c r="F2917" s="34" t="str">
        <f t="shared" si="688"/>
        <v>C:\Users\jaime.benazar\Quorum Business Solutions\Ecopetrol Prometeo - Documents\Planning Space Implementation\3. Analysis &amp; Design\Design\FC22\DRR Jaime\Neiva CPI\[DINA TERCIARIOS_CF_SEC_New_27-Mar-2024.xlsx]D-PS'!</v>
      </c>
      <c r="G2917" s="32" t="s">
        <v>122</v>
      </c>
      <c r="H2917" s="33">
        <f t="shared" si="689"/>
        <v>39</v>
      </c>
      <c r="I2917" s="33" t="str">
        <f t="shared" si="690"/>
        <v>='C:\Users\jaime.benazar\Quorum Business Solutions\Ecopetrol Prometeo - Documents\Planning Space Implementation\3. Analysis &amp; Design\Design\FC22\DRR Jaime\Neiva CPI\[DINA TERCIARIOS_CF_SEC_New_27-Mar-2024.xlsx]D-PS'!$EA$39</v>
      </c>
      <c r="J2917" s="33" t="s">
        <v>3288</v>
      </c>
    </row>
    <row r="2918" spans="1:10" x14ac:dyDescent="0.3">
      <c r="A2918" s="32" t="s">
        <v>24</v>
      </c>
      <c r="B2918" s="32">
        <f t="shared" si="691"/>
        <v>2051</v>
      </c>
      <c r="C2918" s="33" t="s">
        <v>52</v>
      </c>
      <c r="D2918" s="34" t="s">
        <v>2002</v>
      </c>
      <c r="E2918" s="35" t="str">
        <f t="shared" si="687"/>
        <v>PS'!</v>
      </c>
      <c r="F2918" s="34" t="str">
        <f t="shared" si="688"/>
        <v>C:\Users\jaime.benazar\Quorum Business Solutions\Ecopetrol Prometeo - Documents\Planning Space Implementation\3. Analysis &amp; Design\Design\FC22\DRR Jaime\Neiva CPI\[DINA TERCIARIOS_CF_SEC_New_27-Mar-2024.xlsx]D-PS'!</v>
      </c>
      <c r="G2918" s="32" t="s">
        <v>122</v>
      </c>
      <c r="H2918" s="33">
        <f t="shared" si="689"/>
        <v>40</v>
      </c>
      <c r="I2918" s="33" t="str">
        <f t="shared" si="690"/>
        <v>='C:\Users\jaime.benazar\Quorum Business Solutions\Ecopetrol Prometeo - Documents\Planning Space Implementation\3. Analysis &amp; Design\Design\FC22\DRR Jaime\Neiva CPI\[DINA TERCIARIOS_CF_SEC_New_27-Mar-2024.xlsx]D-PS'!$EA$40</v>
      </c>
      <c r="J2918" s="33" t="s">
        <v>3289</v>
      </c>
    </row>
    <row r="2919" spans="1:10" x14ac:dyDescent="0.3">
      <c r="A2919" s="32" t="s">
        <v>24</v>
      </c>
      <c r="B2919" s="32">
        <f t="shared" si="691"/>
        <v>2052</v>
      </c>
      <c r="C2919" s="33" t="s">
        <v>52</v>
      </c>
      <c r="D2919" s="34" t="s">
        <v>2002</v>
      </c>
      <c r="E2919" s="35" t="str">
        <f t="shared" si="687"/>
        <v>PS'!</v>
      </c>
      <c r="F2919" s="34" t="str">
        <f t="shared" si="688"/>
        <v>C:\Users\jaime.benazar\Quorum Business Solutions\Ecopetrol Prometeo - Documents\Planning Space Implementation\3. Analysis &amp; Design\Design\FC22\DRR Jaime\Neiva CPI\[DINA TERCIARIOS_CF_SEC_New_27-Mar-2024.xlsx]D-PS'!</v>
      </c>
      <c r="G2919" s="32" t="s">
        <v>122</v>
      </c>
      <c r="H2919" s="33">
        <f t="shared" si="689"/>
        <v>41</v>
      </c>
      <c r="I2919" s="33" t="str">
        <f t="shared" si="690"/>
        <v>='C:\Users\jaime.benazar\Quorum Business Solutions\Ecopetrol Prometeo - Documents\Planning Space Implementation\3. Analysis &amp; Design\Design\FC22\DRR Jaime\Neiva CPI\[DINA TERCIARIOS_CF_SEC_New_27-Mar-2024.xlsx]D-PS'!$EA$41</v>
      </c>
      <c r="J2919" s="33" t="s">
        <v>3290</v>
      </c>
    </row>
    <row r="2920" spans="1:10" x14ac:dyDescent="0.3">
      <c r="A2920" s="32" t="s">
        <v>24</v>
      </c>
      <c r="B2920" s="32">
        <f t="shared" si="691"/>
        <v>2053</v>
      </c>
      <c r="C2920" s="33" t="s">
        <v>52</v>
      </c>
      <c r="D2920" s="34" t="s">
        <v>2002</v>
      </c>
      <c r="E2920" s="35" t="str">
        <f t="shared" si="687"/>
        <v>PS'!</v>
      </c>
      <c r="F2920" s="34" t="str">
        <f t="shared" si="688"/>
        <v>C:\Users\jaime.benazar\Quorum Business Solutions\Ecopetrol Prometeo - Documents\Planning Space Implementation\3. Analysis &amp; Design\Design\FC22\DRR Jaime\Neiva CPI\[DINA TERCIARIOS_CF_SEC_New_27-Mar-2024.xlsx]D-PS'!</v>
      </c>
      <c r="G2920" s="32" t="s">
        <v>122</v>
      </c>
      <c r="H2920" s="33">
        <f t="shared" si="689"/>
        <v>42</v>
      </c>
      <c r="I2920" s="33" t="str">
        <f t="shared" si="690"/>
        <v>='C:\Users\jaime.benazar\Quorum Business Solutions\Ecopetrol Prometeo - Documents\Planning Space Implementation\3. Analysis &amp; Design\Design\FC22\DRR Jaime\Neiva CPI\[DINA TERCIARIOS_CF_SEC_New_27-Mar-2024.xlsx]D-PS'!$EA$42</v>
      </c>
      <c r="J2920" s="33" t="s">
        <v>3291</v>
      </c>
    </row>
    <row r="2921" spans="1:10" x14ac:dyDescent="0.3">
      <c r="A2921" s="32" t="s">
        <v>24</v>
      </c>
      <c r="B2921" s="32">
        <f t="shared" si="691"/>
        <v>2054</v>
      </c>
      <c r="C2921" s="33" t="s">
        <v>52</v>
      </c>
      <c r="D2921" s="34" t="s">
        <v>2002</v>
      </c>
      <c r="E2921" s="35" t="str">
        <f t="shared" si="687"/>
        <v>PS'!</v>
      </c>
      <c r="F2921" s="34" t="str">
        <f t="shared" si="688"/>
        <v>C:\Users\jaime.benazar\Quorum Business Solutions\Ecopetrol Prometeo - Documents\Planning Space Implementation\3. Analysis &amp; Design\Design\FC22\DRR Jaime\Neiva CPI\[DINA TERCIARIOS_CF_SEC_New_27-Mar-2024.xlsx]D-PS'!</v>
      </c>
      <c r="G2921" s="32" t="s">
        <v>122</v>
      </c>
      <c r="H2921" s="33">
        <f t="shared" si="689"/>
        <v>43</v>
      </c>
      <c r="I2921" s="33" t="str">
        <f t="shared" si="690"/>
        <v>='C:\Users\jaime.benazar\Quorum Business Solutions\Ecopetrol Prometeo - Documents\Planning Space Implementation\3. Analysis &amp; Design\Design\FC22\DRR Jaime\Neiva CPI\[DINA TERCIARIOS_CF_SEC_New_27-Mar-2024.xlsx]D-PS'!$EA$43</v>
      </c>
      <c r="J2921" s="33" t="s">
        <v>3292</v>
      </c>
    </row>
    <row r="2922" spans="1:10" x14ac:dyDescent="0.3">
      <c r="A2922" s="32" t="s">
        <v>24</v>
      </c>
      <c r="B2922" s="32">
        <f t="shared" si="691"/>
        <v>2055</v>
      </c>
      <c r="C2922" s="33" t="s">
        <v>52</v>
      </c>
      <c r="D2922" s="34" t="s">
        <v>2002</v>
      </c>
      <c r="E2922" s="35" t="str">
        <f t="shared" si="687"/>
        <v>PS'!</v>
      </c>
      <c r="F2922" s="34" t="str">
        <f t="shared" si="688"/>
        <v>C:\Users\jaime.benazar\Quorum Business Solutions\Ecopetrol Prometeo - Documents\Planning Space Implementation\3. Analysis &amp; Design\Design\FC22\DRR Jaime\Neiva CPI\[DINA TERCIARIOS_CF_SEC_New_27-Mar-2024.xlsx]D-PS'!</v>
      </c>
      <c r="G2922" s="32" t="s">
        <v>122</v>
      </c>
      <c r="H2922" s="33">
        <f t="shared" si="689"/>
        <v>44</v>
      </c>
      <c r="I2922" s="33" t="str">
        <f t="shared" si="690"/>
        <v>='C:\Users\jaime.benazar\Quorum Business Solutions\Ecopetrol Prometeo - Documents\Planning Space Implementation\3. Analysis &amp; Design\Design\FC22\DRR Jaime\Neiva CPI\[DINA TERCIARIOS_CF_SEC_New_27-Mar-2024.xlsx]D-PS'!$EA$44</v>
      </c>
      <c r="J2922" s="33" t="s">
        <v>3293</v>
      </c>
    </row>
    <row r="2923" spans="1:10" x14ac:dyDescent="0.3">
      <c r="A2923" s="32" t="s">
        <v>24</v>
      </c>
      <c r="B2923" s="32">
        <f t="shared" si="691"/>
        <v>2056</v>
      </c>
      <c r="C2923" s="33" t="s">
        <v>52</v>
      </c>
      <c r="D2923" s="34" t="s">
        <v>2002</v>
      </c>
      <c r="E2923" s="35" t="str">
        <f t="shared" si="687"/>
        <v>PS'!</v>
      </c>
      <c r="F2923" s="34" t="str">
        <f t="shared" si="688"/>
        <v>C:\Users\jaime.benazar\Quorum Business Solutions\Ecopetrol Prometeo - Documents\Planning Space Implementation\3. Analysis &amp; Design\Design\FC22\DRR Jaime\Neiva CPI\[DINA TERCIARIOS_CF_SEC_New_27-Mar-2024.xlsx]D-PS'!</v>
      </c>
      <c r="G2923" s="32" t="s">
        <v>122</v>
      </c>
      <c r="H2923" s="33">
        <f t="shared" si="689"/>
        <v>45</v>
      </c>
      <c r="I2923" s="33" t="str">
        <f t="shared" si="690"/>
        <v>='C:\Users\jaime.benazar\Quorum Business Solutions\Ecopetrol Prometeo - Documents\Planning Space Implementation\3. Analysis &amp; Design\Design\FC22\DRR Jaime\Neiva CPI\[DINA TERCIARIOS_CF_SEC_New_27-Mar-2024.xlsx]D-PS'!$EA$45</v>
      </c>
      <c r="J2923" s="33" t="s">
        <v>3294</v>
      </c>
    </row>
    <row r="2924" spans="1:10" x14ac:dyDescent="0.3">
      <c r="A2924" s="32" t="s">
        <v>24</v>
      </c>
      <c r="B2924" s="32">
        <f t="shared" si="691"/>
        <v>2057</v>
      </c>
      <c r="C2924" s="33" t="s">
        <v>52</v>
      </c>
      <c r="D2924" s="34" t="s">
        <v>2002</v>
      </c>
      <c r="E2924" s="35" t="str">
        <f t="shared" si="687"/>
        <v>PS'!</v>
      </c>
      <c r="F2924" s="34" t="str">
        <f t="shared" si="688"/>
        <v>C:\Users\jaime.benazar\Quorum Business Solutions\Ecopetrol Prometeo - Documents\Planning Space Implementation\3. Analysis &amp; Design\Design\FC22\DRR Jaime\Neiva CPI\[DINA TERCIARIOS_CF_SEC_New_27-Mar-2024.xlsx]D-PS'!</v>
      </c>
      <c r="G2924" s="32" t="s">
        <v>122</v>
      </c>
      <c r="H2924" s="33">
        <f t="shared" si="689"/>
        <v>46</v>
      </c>
      <c r="I2924" s="33" t="str">
        <f t="shared" si="690"/>
        <v>='C:\Users\jaime.benazar\Quorum Business Solutions\Ecopetrol Prometeo - Documents\Planning Space Implementation\3. Analysis &amp; Design\Design\FC22\DRR Jaime\Neiva CPI\[DINA TERCIARIOS_CF_SEC_New_27-Mar-2024.xlsx]D-PS'!$EA$46</v>
      </c>
      <c r="J2924" s="33" t="s">
        <v>3295</v>
      </c>
    </row>
    <row r="2925" spans="1:10" x14ac:dyDescent="0.3">
      <c r="A2925" s="32" t="s">
        <v>24</v>
      </c>
      <c r="B2925" s="32">
        <f t="shared" si="691"/>
        <v>2058</v>
      </c>
      <c r="C2925" s="33" t="s">
        <v>52</v>
      </c>
      <c r="D2925" s="34" t="s">
        <v>2002</v>
      </c>
      <c r="E2925" s="35" t="str">
        <f t="shared" si="687"/>
        <v>PS'!</v>
      </c>
      <c r="F2925" s="34" t="str">
        <f t="shared" si="688"/>
        <v>C:\Users\jaime.benazar\Quorum Business Solutions\Ecopetrol Prometeo - Documents\Planning Space Implementation\3. Analysis &amp; Design\Design\FC22\DRR Jaime\Neiva CPI\[DINA TERCIARIOS_CF_SEC_New_27-Mar-2024.xlsx]D-PS'!</v>
      </c>
      <c r="G2925" s="32" t="s">
        <v>122</v>
      </c>
      <c r="H2925" s="33">
        <f t="shared" si="689"/>
        <v>47</v>
      </c>
      <c r="I2925" s="33" t="str">
        <f t="shared" si="690"/>
        <v>='C:\Users\jaime.benazar\Quorum Business Solutions\Ecopetrol Prometeo - Documents\Planning Space Implementation\3. Analysis &amp; Design\Design\FC22\DRR Jaime\Neiva CPI\[DINA TERCIARIOS_CF_SEC_New_27-Mar-2024.xlsx]D-PS'!$EA$47</v>
      </c>
      <c r="J2925" s="33" t="s">
        <v>3296</v>
      </c>
    </row>
    <row r="2926" spans="1:10" x14ac:dyDescent="0.3">
      <c r="A2926" s="32" t="s">
        <v>24</v>
      </c>
      <c r="B2926" s="32">
        <f t="shared" si="691"/>
        <v>2059</v>
      </c>
      <c r="C2926" s="33" t="s">
        <v>52</v>
      </c>
      <c r="D2926" s="34" t="s">
        <v>2002</v>
      </c>
      <c r="E2926" s="35" t="str">
        <f t="shared" si="687"/>
        <v>PS'!</v>
      </c>
      <c r="F2926" s="34" t="str">
        <f t="shared" si="688"/>
        <v>C:\Users\jaime.benazar\Quorum Business Solutions\Ecopetrol Prometeo - Documents\Planning Space Implementation\3. Analysis &amp; Design\Design\FC22\DRR Jaime\Neiva CPI\[DINA TERCIARIOS_CF_SEC_New_27-Mar-2024.xlsx]D-PS'!</v>
      </c>
      <c r="G2926" s="32" t="s">
        <v>122</v>
      </c>
      <c r="H2926" s="33">
        <f t="shared" si="689"/>
        <v>48</v>
      </c>
      <c r="I2926" s="33" t="str">
        <f t="shared" si="690"/>
        <v>='C:\Users\jaime.benazar\Quorum Business Solutions\Ecopetrol Prometeo - Documents\Planning Space Implementation\3. Analysis &amp; Design\Design\FC22\DRR Jaime\Neiva CPI\[DINA TERCIARIOS_CF_SEC_New_27-Mar-2024.xlsx]D-PS'!$EA$48</v>
      </c>
      <c r="J2926" s="33" t="s">
        <v>3297</v>
      </c>
    </row>
    <row r="2927" spans="1:10" x14ac:dyDescent="0.3">
      <c r="A2927" s="32" t="s">
        <v>26</v>
      </c>
      <c r="B2927" s="32"/>
      <c r="C2927" s="33" t="s">
        <v>52</v>
      </c>
      <c r="D2927" s="34"/>
      <c r="E2927" s="35"/>
      <c r="F2927" s="34"/>
      <c r="G2927" s="32"/>
      <c r="H2927" s="33"/>
      <c r="I2927" s="33"/>
      <c r="J2927" s="33"/>
    </row>
    <row r="2928" spans="1:10" x14ac:dyDescent="0.3">
      <c r="A2928" s="32" t="s">
        <v>14</v>
      </c>
      <c r="B2928" s="32">
        <v>2023</v>
      </c>
      <c r="C2928" s="33" t="s">
        <v>110</v>
      </c>
      <c r="D2928" s="34" t="s">
        <v>2002</v>
      </c>
      <c r="E2928" s="35" t="str">
        <f>_xlfn.CONCAT(A2928,"'!")</f>
        <v>PDP'!</v>
      </c>
      <c r="F2928" s="34" t="str">
        <f>_xlfn.CONCAT(D2928:E2928)</f>
        <v>C:\Users\jaime.benazar\Quorum Business Solutions\Ecopetrol Prometeo - Documents\Planning Space Implementation\3. Analysis &amp; Design\Design\FC22\DRR Jaime\Neiva CPI\[DINA TERCIARIOS_CF_SEC_New_27-Mar-2024.xlsx]D-PDP'!</v>
      </c>
      <c r="G2928" s="32" t="s">
        <v>123</v>
      </c>
      <c r="H2928" s="33">
        <v>12</v>
      </c>
      <c r="I2928" s="33" t="str">
        <f>_xlfn.CONCAT("='",F2928:H2928)</f>
        <v>='C:\Users\jaime.benazar\Quorum Business Solutions\Ecopetrol Prometeo - Documents\Planning Space Implementation\3. Analysis &amp; Design\Design\FC22\DRR Jaime\Neiva CPI\[DINA TERCIARIOS_CF_SEC_New_27-Mar-2024.xlsx]D-PDP'!$DT$12</v>
      </c>
      <c r="J2928" s="37" t="s">
        <v>3298</v>
      </c>
    </row>
    <row r="2929" spans="1:10" x14ac:dyDescent="0.3">
      <c r="A2929" s="32" t="s">
        <v>14</v>
      </c>
      <c r="B2929" s="32">
        <f>+B2928+1</f>
        <v>2024</v>
      </c>
      <c r="C2929" s="33" t="s">
        <v>110</v>
      </c>
      <c r="D2929" s="34" t="s">
        <v>2002</v>
      </c>
      <c r="E2929" s="35" t="str">
        <f t="shared" ref="E2929:E3022" si="692">_xlfn.CONCAT(A2929,"'!")</f>
        <v>PDP'!</v>
      </c>
      <c r="F2929" s="34" t="str">
        <f t="shared" ref="F2929:F3022" si="693">_xlfn.CONCAT(D2929:E2929)</f>
        <v>C:\Users\jaime.benazar\Quorum Business Solutions\Ecopetrol Prometeo - Documents\Planning Space Implementation\3. Analysis &amp; Design\Design\FC22\DRR Jaime\Neiva CPI\[DINA TERCIARIOS_CF_SEC_New_27-Mar-2024.xlsx]D-PDP'!</v>
      </c>
      <c r="G2929" s="32" t="s">
        <v>123</v>
      </c>
      <c r="H2929" s="33">
        <f t="shared" ref="H2929:H2948" si="694">IF(A2929&lt;&gt;A2928,12,H2928+1)</f>
        <v>13</v>
      </c>
      <c r="I2929" s="33" t="str">
        <f t="shared" ref="I2929:I2948" si="695">_xlfn.CONCAT("='",F2929:H2929)</f>
        <v>='C:\Users\jaime.benazar\Quorum Business Solutions\Ecopetrol Prometeo - Documents\Planning Space Implementation\3. Analysis &amp; Design\Design\FC22\DRR Jaime\Neiva CPI\[DINA TERCIARIOS_CF_SEC_New_27-Mar-2024.xlsx]D-PDP'!$DT$13</v>
      </c>
      <c r="J2929" s="37" t="s">
        <v>3299</v>
      </c>
    </row>
    <row r="2930" spans="1:10" x14ac:dyDescent="0.3">
      <c r="A2930" s="32" t="s">
        <v>14</v>
      </c>
      <c r="B2930" s="32">
        <f t="shared" ref="B2930:B2941" si="696">+B2929+1</f>
        <v>2025</v>
      </c>
      <c r="C2930" s="33" t="s">
        <v>110</v>
      </c>
      <c r="D2930" s="34" t="s">
        <v>2002</v>
      </c>
      <c r="E2930" s="35" t="str">
        <f t="shared" si="692"/>
        <v>PDP'!</v>
      </c>
      <c r="F2930" s="34" t="str">
        <f t="shared" si="693"/>
        <v>C:\Users\jaime.benazar\Quorum Business Solutions\Ecopetrol Prometeo - Documents\Planning Space Implementation\3. Analysis &amp; Design\Design\FC22\DRR Jaime\Neiva CPI\[DINA TERCIARIOS_CF_SEC_New_27-Mar-2024.xlsx]D-PDP'!</v>
      </c>
      <c r="G2930" s="32" t="s">
        <v>123</v>
      </c>
      <c r="H2930" s="33">
        <f t="shared" si="694"/>
        <v>14</v>
      </c>
      <c r="I2930" s="33" t="str">
        <f t="shared" si="695"/>
        <v>='C:\Users\jaime.benazar\Quorum Business Solutions\Ecopetrol Prometeo - Documents\Planning Space Implementation\3. Analysis &amp; Design\Design\FC22\DRR Jaime\Neiva CPI\[DINA TERCIARIOS_CF_SEC_New_27-Mar-2024.xlsx]D-PDP'!$DT$14</v>
      </c>
      <c r="J2930" s="37" t="s">
        <v>3300</v>
      </c>
    </row>
    <row r="2931" spans="1:10" x14ac:dyDescent="0.3">
      <c r="A2931" s="32" t="s">
        <v>14</v>
      </c>
      <c r="B2931" s="32">
        <f t="shared" si="696"/>
        <v>2026</v>
      </c>
      <c r="C2931" s="33" t="s">
        <v>110</v>
      </c>
      <c r="D2931" s="34" t="s">
        <v>2002</v>
      </c>
      <c r="E2931" s="35" t="str">
        <f t="shared" si="692"/>
        <v>PDP'!</v>
      </c>
      <c r="F2931" s="34" t="str">
        <f t="shared" si="693"/>
        <v>C:\Users\jaime.benazar\Quorum Business Solutions\Ecopetrol Prometeo - Documents\Planning Space Implementation\3. Analysis &amp; Design\Design\FC22\DRR Jaime\Neiva CPI\[DINA TERCIARIOS_CF_SEC_New_27-Mar-2024.xlsx]D-PDP'!</v>
      </c>
      <c r="G2931" s="32" t="s">
        <v>123</v>
      </c>
      <c r="H2931" s="33">
        <f t="shared" si="694"/>
        <v>15</v>
      </c>
      <c r="I2931" s="33" t="str">
        <f t="shared" si="695"/>
        <v>='C:\Users\jaime.benazar\Quorum Business Solutions\Ecopetrol Prometeo - Documents\Planning Space Implementation\3. Analysis &amp; Design\Design\FC22\DRR Jaime\Neiva CPI\[DINA TERCIARIOS_CF_SEC_New_27-Mar-2024.xlsx]D-PDP'!$DT$15</v>
      </c>
      <c r="J2931" s="37" t="s">
        <v>3301</v>
      </c>
    </row>
    <row r="2932" spans="1:10" x14ac:dyDescent="0.3">
      <c r="A2932" s="32" t="s">
        <v>14</v>
      </c>
      <c r="B2932" s="32">
        <f t="shared" si="696"/>
        <v>2027</v>
      </c>
      <c r="C2932" s="33" t="s">
        <v>110</v>
      </c>
      <c r="D2932" s="34" t="s">
        <v>2002</v>
      </c>
      <c r="E2932" s="35" t="str">
        <f t="shared" si="692"/>
        <v>PDP'!</v>
      </c>
      <c r="F2932" s="34" t="str">
        <f t="shared" si="693"/>
        <v>C:\Users\jaime.benazar\Quorum Business Solutions\Ecopetrol Prometeo - Documents\Planning Space Implementation\3. Analysis &amp; Design\Design\FC22\DRR Jaime\Neiva CPI\[DINA TERCIARIOS_CF_SEC_New_27-Mar-2024.xlsx]D-PDP'!</v>
      </c>
      <c r="G2932" s="32" t="s">
        <v>123</v>
      </c>
      <c r="H2932" s="33">
        <f t="shared" si="694"/>
        <v>16</v>
      </c>
      <c r="I2932" s="33" t="str">
        <f t="shared" si="695"/>
        <v>='C:\Users\jaime.benazar\Quorum Business Solutions\Ecopetrol Prometeo - Documents\Planning Space Implementation\3. Analysis &amp; Design\Design\FC22\DRR Jaime\Neiva CPI\[DINA TERCIARIOS_CF_SEC_New_27-Mar-2024.xlsx]D-PDP'!$DT$16</v>
      </c>
      <c r="J2932" s="37" t="s">
        <v>3302</v>
      </c>
    </row>
    <row r="2933" spans="1:10" x14ac:dyDescent="0.3">
      <c r="A2933" s="32" t="s">
        <v>14</v>
      </c>
      <c r="B2933" s="32">
        <f t="shared" si="696"/>
        <v>2028</v>
      </c>
      <c r="C2933" s="33" t="s">
        <v>110</v>
      </c>
      <c r="D2933" s="34" t="s">
        <v>2002</v>
      </c>
      <c r="E2933" s="35" t="str">
        <f t="shared" si="692"/>
        <v>PDP'!</v>
      </c>
      <c r="F2933" s="34" t="str">
        <f t="shared" si="693"/>
        <v>C:\Users\jaime.benazar\Quorum Business Solutions\Ecopetrol Prometeo - Documents\Planning Space Implementation\3. Analysis &amp; Design\Design\FC22\DRR Jaime\Neiva CPI\[DINA TERCIARIOS_CF_SEC_New_27-Mar-2024.xlsx]D-PDP'!</v>
      </c>
      <c r="G2933" s="32" t="s">
        <v>123</v>
      </c>
      <c r="H2933" s="33">
        <f t="shared" si="694"/>
        <v>17</v>
      </c>
      <c r="I2933" s="33" t="str">
        <f t="shared" si="695"/>
        <v>='C:\Users\jaime.benazar\Quorum Business Solutions\Ecopetrol Prometeo - Documents\Planning Space Implementation\3. Analysis &amp; Design\Design\FC22\DRR Jaime\Neiva CPI\[DINA TERCIARIOS_CF_SEC_New_27-Mar-2024.xlsx]D-PDP'!$DT$17</v>
      </c>
      <c r="J2933" s="37" t="s">
        <v>3303</v>
      </c>
    </row>
    <row r="2934" spans="1:10" x14ac:dyDescent="0.3">
      <c r="A2934" s="32" t="s">
        <v>14</v>
      </c>
      <c r="B2934" s="32">
        <f t="shared" si="696"/>
        <v>2029</v>
      </c>
      <c r="C2934" s="33" t="s">
        <v>110</v>
      </c>
      <c r="D2934" s="34" t="s">
        <v>2002</v>
      </c>
      <c r="E2934" s="35" t="str">
        <f t="shared" si="692"/>
        <v>PDP'!</v>
      </c>
      <c r="F2934" s="34" t="str">
        <f t="shared" si="693"/>
        <v>C:\Users\jaime.benazar\Quorum Business Solutions\Ecopetrol Prometeo - Documents\Planning Space Implementation\3. Analysis &amp; Design\Design\FC22\DRR Jaime\Neiva CPI\[DINA TERCIARIOS_CF_SEC_New_27-Mar-2024.xlsx]D-PDP'!</v>
      </c>
      <c r="G2934" s="32" t="s">
        <v>123</v>
      </c>
      <c r="H2934" s="33">
        <f t="shared" si="694"/>
        <v>18</v>
      </c>
      <c r="I2934" s="33" t="str">
        <f t="shared" si="695"/>
        <v>='C:\Users\jaime.benazar\Quorum Business Solutions\Ecopetrol Prometeo - Documents\Planning Space Implementation\3. Analysis &amp; Design\Design\FC22\DRR Jaime\Neiva CPI\[DINA TERCIARIOS_CF_SEC_New_27-Mar-2024.xlsx]D-PDP'!$DT$18</v>
      </c>
      <c r="J2934" s="37" t="s">
        <v>3304</v>
      </c>
    </row>
    <row r="2935" spans="1:10" x14ac:dyDescent="0.3">
      <c r="A2935" s="32" t="s">
        <v>14</v>
      </c>
      <c r="B2935" s="32">
        <f t="shared" si="696"/>
        <v>2030</v>
      </c>
      <c r="C2935" s="33" t="s">
        <v>110</v>
      </c>
      <c r="D2935" s="34" t="s">
        <v>2002</v>
      </c>
      <c r="E2935" s="35" t="str">
        <f t="shared" si="692"/>
        <v>PDP'!</v>
      </c>
      <c r="F2935" s="34" t="str">
        <f t="shared" si="693"/>
        <v>C:\Users\jaime.benazar\Quorum Business Solutions\Ecopetrol Prometeo - Documents\Planning Space Implementation\3. Analysis &amp; Design\Design\FC22\DRR Jaime\Neiva CPI\[DINA TERCIARIOS_CF_SEC_New_27-Mar-2024.xlsx]D-PDP'!</v>
      </c>
      <c r="G2935" s="32" t="s">
        <v>123</v>
      </c>
      <c r="H2935" s="33">
        <f t="shared" si="694"/>
        <v>19</v>
      </c>
      <c r="I2935" s="33" t="str">
        <f t="shared" si="695"/>
        <v>='C:\Users\jaime.benazar\Quorum Business Solutions\Ecopetrol Prometeo - Documents\Planning Space Implementation\3. Analysis &amp; Design\Design\FC22\DRR Jaime\Neiva CPI\[DINA TERCIARIOS_CF_SEC_New_27-Mar-2024.xlsx]D-PDP'!$DT$19</v>
      </c>
      <c r="J2935" s="37" t="s">
        <v>3305</v>
      </c>
    </row>
    <row r="2936" spans="1:10" x14ac:dyDescent="0.3">
      <c r="A2936" s="32" t="s">
        <v>14</v>
      </c>
      <c r="B2936" s="32">
        <f t="shared" si="696"/>
        <v>2031</v>
      </c>
      <c r="C2936" s="33" t="s">
        <v>110</v>
      </c>
      <c r="D2936" s="34" t="s">
        <v>2002</v>
      </c>
      <c r="E2936" s="35" t="str">
        <f t="shared" si="692"/>
        <v>PDP'!</v>
      </c>
      <c r="F2936" s="34" t="str">
        <f t="shared" si="693"/>
        <v>C:\Users\jaime.benazar\Quorum Business Solutions\Ecopetrol Prometeo - Documents\Planning Space Implementation\3. Analysis &amp; Design\Design\FC22\DRR Jaime\Neiva CPI\[DINA TERCIARIOS_CF_SEC_New_27-Mar-2024.xlsx]D-PDP'!</v>
      </c>
      <c r="G2936" s="32" t="s">
        <v>123</v>
      </c>
      <c r="H2936" s="33">
        <f t="shared" si="694"/>
        <v>20</v>
      </c>
      <c r="I2936" s="33" t="str">
        <f t="shared" si="695"/>
        <v>='C:\Users\jaime.benazar\Quorum Business Solutions\Ecopetrol Prometeo - Documents\Planning Space Implementation\3. Analysis &amp; Design\Design\FC22\DRR Jaime\Neiva CPI\[DINA TERCIARIOS_CF_SEC_New_27-Mar-2024.xlsx]D-PDP'!$DT$20</v>
      </c>
      <c r="J2936" s="37" t="s">
        <v>3306</v>
      </c>
    </row>
    <row r="2937" spans="1:10" x14ac:dyDescent="0.3">
      <c r="A2937" s="32" t="s">
        <v>14</v>
      </c>
      <c r="B2937" s="32">
        <f t="shared" si="696"/>
        <v>2032</v>
      </c>
      <c r="C2937" s="33" t="s">
        <v>110</v>
      </c>
      <c r="D2937" s="34" t="s">
        <v>2002</v>
      </c>
      <c r="E2937" s="35" t="str">
        <f t="shared" si="692"/>
        <v>PDP'!</v>
      </c>
      <c r="F2937" s="34" t="str">
        <f t="shared" si="693"/>
        <v>C:\Users\jaime.benazar\Quorum Business Solutions\Ecopetrol Prometeo - Documents\Planning Space Implementation\3. Analysis &amp; Design\Design\FC22\DRR Jaime\Neiva CPI\[DINA TERCIARIOS_CF_SEC_New_27-Mar-2024.xlsx]D-PDP'!</v>
      </c>
      <c r="G2937" s="32" t="s">
        <v>123</v>
      </c>
      <c r="H2937" s="33">
        <f t="shared" si="694"/>
        <v>21</v>
      </c>
      <c r="I2937" s="33" t="str">
        <f t="shared" si="695"/>
        <v>='C:\Users\jaime.benazar\Quorum Business Solutions\Ecopetrol Prometeo - Documents\Planning Space Implementation\3. Analysis &amp; Design\Design\FC22\DRR Jaime\Neiva CPI\[DINA TERCIARIOS_CF_SEC_New_27-Mar-2024.xlsx]D-PDP'!$DT$21</v>
      </c>
      <c r="J2937" s="37" t="s">
        <v>3307</v>
      </c>
    </row>
    <row r="2938" spans="1:10" x14ac:dyDescent="0.3">
      <c r="A2938" s="32" t="s">
        <v>14</v>
      </c>
      <c r="B2938" s="32">
        <f t="shared" si="696"/>
        <v>2033</v>
      </c>
      <c r="C2938" s="33" t="s">
        <v>110</v>
      </c>
      <c r="D2938" s="34" t="s">
        <v>2002</v>
      </c>
      <c r="E2938" s="35" t="str">
        <f t="shared" si="692"/>
        <v>PDP'!</v>
      </c>
      <c r="F2938" s="34" t="str">
        <f t="shared" si="693"/>
        <v>C:\Users\jaime.benazar\Quorum Business Solutions\Ecopetrol Prometeo - Documents\Planning Space Implementation\3. Analysis &amp; Design\Design\FC22\DRR Jaime\Neiva CPI\[DINA TERCIARIOS_CF_SEC_New_27-Mar-2024.xlsx]D-PDP'!</v>
      </c>
      <c r="G2938" s="32" t="s">
        <v>123</v>
      </c>
      <c r="H2938" s="33">
        <f t="shared" si="694"/>
        <v>22</v>
      </c>
      <c r="I2938" s="33" t="str">
        <f t="shared" si="695"/>
        <v>='C:\Users\jaime.benazar\Quorum Business Solutions\Ecopetrol Prometeo - Documents\Planning Space Implementation\3. Analysis &amp; Design\Design\FC22\DRR Jaime\Neiva CPI\[DINA TERCIARIOS_CF_SEC_New_27-Mar-2024.xlsx]D-PDP'!$DT$22</v>
      </c>
      <c r="J2938" s="37" t="s">
        <v>3308</v>
      </c>
    </row>
    <row r="2939" spans="1:10" x14ac:dyDescent="0.3">
      <c r="A2939" s="32" t="s">
        <v>14</v>
      </c>
      <c r="B2939" s="32">
        <f t="shared" si="696"/>
        <v>2034</v>
      </c>
      <c r="C2939" s="33" t="s">
        <v>110</v>
      </c>
      <c r="D2939" s="34" t="s">
        <v>2002</v>
      </c>
      <c r="E2939" s="35" t="str">
        <f t="shared" si="692"/>
        <v>PDP'!</v>
      </c>
      <c r="F2939" s="34" t="str">
        <f t="shared" si="693"/>
        <v>C:\Users\jaime.benazar\Quorum Business Solutions\Ecopetrol Prometeo - Documents\Planning Space Implementation\3. Analysis &amp; Design\Design\FC22\DRR Jaime\Neiva CPI\[DINA TERCIARIOS_CF_SEC_New_27-Mar-2024.xlsx]D-PDP'!</v>
      </c>
      <c r="G2939" s="32" t="s">
        <v>123</v>
      </c>
      <c r="H2939" s="33">
        <f t="shared" si="694"/>
        <v>23</v>
      </c>
      <c r="I2939" s="33" t="str">
        <f t="shared" si="695"/>
        <v>='C:\Users\jaime.benazar\Quorum Business Solutions\Ecopetrol Prometeo - Documents\Planning Space Implementation\3. Analysis &amp; Design\Design\FC22\DRR Jaime\Neiva CPI\[DINA TERCIARIOS_CF_SEC_New_27-Mar-2024.xlsx]D-PDP'!$DT$23</v>
      </c>
      <c r="J2939" s="37" t="s">
        <v>3309</v>
      </c>
    </row>
    <row r="2940" spans="1:10" x14ac:dyDescent="0.3">
      <c r="A2940" s="32" t="s">
        <v>14</v>
      </c>
      <c r="B2940" s="32">
        <f t="shared" si="696"/>
        <v>2035</v>
      </c>
      <c r="C2940" s="33" t="s">
        <v>110</v>
      </c>
      <c r="D2940" s="34" t="s">
        <v>2002</v>
      </c>
      <c r="E2940" s="35" t="str">
        <f t="shared" si="692"/>
        <v>PDP'!</v>
      </c>
      <c r="F2940" s="34" t="str">
        <f t="shared" si="693"/>
        <v>C:\Users\jaime.benazar\Quorum Business Solutions\Ecopetrol Prometeo - Documents\Planning Space Implementation\3. Analysis &amp; Design\Design\FC22\DRR Jaime\Neiva CPI\[DINA TERCIARIOS_CF_SEC_New_27-Mar-2024.xlsx]D-PDP'!</v>
      </c>
      <c r="G2940" s="32" t="s">
        <v>123</v>
      </c>
      <c r="H2940" s="33">
        <f t="shared" si="694"/>
        <v>24</v>
      </c>
      <c r="I2940" s="33" t="str">
        <f t="shared" si="695"/>
        <v>='C:\Users\jaime.benazar\Quorum Business Solutions\Ecopetrol Prometeo - Documents\Planning Space Implementation\3. Analysis &amp; Design\Design\FC22\DRR Jaime\Neiva CPI\[DINA TERCIARIOS_CF_SEC_New_27-Mar-2024.xlsx]D-PDP'!$DT$24</v>
      </c>
      <c r="J2940" s="37" t="s">
        <v>3310</v>
      </c>
    </row>
    <row r="2941" spans="1:10" x14ac:dyDescent="0.3">
      <c r="A2941" s="32" t="s">
        <v>14</v>
      </c>
      <c r="B2941" s="32">
        <f t="shared" si="696"/>
        <v>2036</v>
      </c>
      <c r="C2941" s="33" t="s">
        <v>110</v>
      </c>
      <c r="D2941" s="34" t="s">
        <v>2002</v>
      </c>
      <c r="E2941" s="35" t="str">
        <f t="shared" si="692"/>
        <v>PDP'!</v>
      </c>
      <c r="F2941" s="34" t="str">
        <f t="shared" si="693"/>
        <v>C:\Users\jaime.benazar\Quorum Business Solutions\Ecopetrol Prometeo - Documents\Planning Space Implementation\3. Analysis &amp; Design\Design\FC22\DRR Jaime\Neiva CPI\[DINA TERCIARIOS_CF_SEC_New_27-Mar-2024.xlsx]D-PDP'!</v>
      </c>
      <c r="G2941" s="32" t="s">
        <v>123</v>
      </c>
      <c r="H2941" s="33">
        <f t="shared" si="694"/>
        <v>25</v>
      </c>
      <c r="I2941" s="33" t="str">
        <f t="shared" si="695"/>
        <v>='C:\Users\jaime.benazar\Quorum Business Solutions\Ecopetrol Prometeo - Documents\Planning Space Implementation\3. Analysis &amp; Design\Design\FC22\DRR Jaime\Neiva CPI\[DINA TERCIARIOS_CF_SEC_New_27-Mar-2024.xlsx]D-PDP'!$DT$25</v>
      </c>
      <c r="J2941" s="37" t="s">
        <v>3311</v>
      </c>
    </row>
    <row r="2942" spans="1:10" x14ac:dyDescent="0.3">
      <c r="A2942" s="32" t="s">
        <v>14</v>
      </c>
      <c r="B2942" s="32">
        <f>+B2941+1</f>
        <v>2037</v>
      </c>
      <c r="C2942" s="33" t="s">
        <v>110</v>
      </c>
      <c r="D2942" s="34" t="s">
        <v>2002</v>
      </c>
      <c r="E2942" s="35" t="str">
        <f t="shared" si="692"/>
        <v>PDP'!</v>
      </c>
      <c r="F2942" s="34" t="str">
        <f t="shared" si="693"/>
        <v>C:\Users\jaime.benazar\Quorum Business Solutions\Ecopetrol Prometeo - Documents\Planning Space Implementation\3. Analysis &amp; Design\Design\FC22\DRR Jaime\Neiva CPI\[DINA TERCIARIOS_CF_SEC_New_27-Mar-2024.xlsx]D-PDP'!</v>
      </c>
      <c r="G2942" s="32" t="s">
        <v>123</v>
      </c>
      <c r="H2942" s="33">
        <f t="shared" si="694"/>
        <v>26</v>
      </c>
      <c r="I2942" s="33" t="str">
        <f t="shared" si="695"/>
        <v>='C:\Users\jaime.benazar\Quorum Business Solutions\Ecopetrol Prometeo - Documents\Planning Space Implementation\3. Analysis &amp; Design\Design\FC22\DRR Jaime\Neiva CPI\[DINA TERCIARIOS_CF_SEC_New_27-Mar-2024.xlsx]D-PDP'!$DT$26</v>
      </c>
      <c r="J2942" s="37" t="s">
        <v>3312</v>
      </c>
    </row>
    <row r="2943" spans="1:10" x14ac:dyDescent="0.3">
      <c r="A2943" s="32" t="s">
        <v>14</v>
      </c>
      <c r="B2943" s="32">
        <f t="shared" ref="B2943:B2945" si="697">+B2942+1</f>
        <v>2038</v>
      </c>
      <c r="C2943" s="33" t="s">
        <v>110</v>
      </c>
      <c r="D2943" s="34" t="s">
        <v>2002</v>
      </c>
      <c r="E2943" s="35" t="str">
        <f t="shared" si="692"/>
        <v>PDP'!</v>
      </c>
      <c r="F2943" s="34" t="str">
        <f t="shared" si="693"/>
        <v>C:\Users\jaime.benazar\Quorum Business Solutions\Ecopetrol Prometeo - Documents\Planning Space Implementation\3. Analysis &amp; Design\Design\FC22\DRR Jaime\Neiva CPI\[DINA TERCIARIOS_CF_SEC_New_27-Mar-2024.xlsx]D-PDP'!</v>
      </c>
      <c r="G2943" s="32" t="s">
        <v>123</v>
      </c>
      <c r="H2943" s="33">
        <f t="shared" si="694"/>
        <v>27</v>
      </c>
      <c r="I2943" s="33" t="str">
        <f t="shared" si="695"/>
        <v>='C:\Users\jaime.benazar\Quorum Business Solutions\Ecopetrol Prometeo - Documents\Planning Space Implementation\3. Analysis &amp; Design\Design\FC22\DRR Jaime\Neiva CPI\[DINA TERCIARIOS_CF_SEC_New_27-Mar-2024.xlsx]D-PDP'!$DT$27</v>
      </c>
      <c r="J2943" s="37" t="s">
        <v>3313</v>
      </c>
    </row>
    <row r="2944" spans="1:10" x14ac:dyDescent="0.3">
      <c r="A2944" s="32" t="s">
        <v>14</v>
      </c>
      <c r="B2944" s="32">
        <f t="shared" si="697"/>
        <v>2039</v>
      </c>
      <c r="C2944" s="33" t="s">
        <v>110</v>
      </c>
      <c r="D2944" s="34" t="s">
        <v>2002</v>
      </c>
      <c r="E2944" s="35" t="str">
        <f t="shared" si="692"/>
        <v>PDP'!</v>
      </c>
      <c r="F2944" s="34" t="str">
        <f t="shared" si="693"/>
        <v>C:\Users\jaime.benazar\Quorum Business Solutions\Ecopetrol Prometeo - Documents\Planning Space Implementation\3. Analysis &amp; Design\Design\FC22\DRR Jaime\Neiva CPI\[DINA TERCIARIOS_CF_SEC_New_27-Mar-2024.xlsx]D-PDP'!</v>
      </c>
      <c r="G2944" s="32" t="s">
        <v>123</v>
      </c>
      <c r="H2944" s="33">
        <f t="shared" si="694"/>
        <v>28</v>
      </c>
      <c r="I2944" s="33" t="str">
        <f t="shared" si="695"/>
        <v>='C:\Users\jaime.benazar\Quorum Business Solutions\Ecopetrol Prometeo - Documents\Planning Space Implementation\3. Analysis &amp; Design\Design\FC22\DRR Jaime\Neiva CPI\[DINA TERCIARIOS_CF_SEC_New_27-Mar-2024.xlsx]D-PDP'!$DT$28</v>
      </c>
      <c r="J2944" s="37" t="s">
        <v>3314</v>
      </c>
    </row>
    <row r="2945" spans="1:10" x14ac:dyDescent="0.3">
      <c r="A2945" s="32" t="s">
        <v>14</v>
      </c>
      <c r="B2945" s="32">
        <f t="shared" si="697"/>
        <v>2040</v>
      </c>
      <c r="C2945" s="33" t="s">
        <v>110</v>
      </c>
      <c r="D2945" s="34" t="s">
        <v>2002</v>
      </c>
      <c r="E2945" s="35" t="str">
        <f t="shared" si="692"/>
        <v>PDP'!</v>
      </c>
      <c r="F2945" s="34" t="str">
        <f t="shared" si="693"/>
        <v>C:\Users\jaime.benazar\Quorum Business Solutions\Ecopetrol Prometeo - Documents\Planning Space Implementation\3. Analysis &amp; Design\Design\FC22\DRR Jaime\Neiva CPI\[DINA TERCIARIOS_CF_SEC_New_27-Mar-2024.xlsx]D-PDP'!</v>
      </c>
      <c r="G2945" s="32" t="s">
        <v>123</v>
      </c>
      <c r="H2945" s="33">
        <f t="shared" si="694"/>
        <v>29</v>
      </c>
      <c r="I2945" s="33" t="str">
        <f t="shared" si="695"/>
        <v>='C:\Users\jaime.benazar\Quorum Business Solutions\Ecopetrol Prometeo - Documents\Planning Space Implementation\3. Analysis &amp; Design\Design\FC22\DRR Jaime\Neiva CPI\[DINA TERCIARIOS_CF_SEC_New_27-Mar-2024.xlsx]D-PDP'!$DT$29</v>
      </c>
      <c r="J2945" s="37" t="s">
        <v>3315</v>
      </c>
    </row>
    <row r="2946" spans="1:10" x14ac:dyDescent="0.3">
      <c r="A2946" s="32" t="s">
        <v>14</v>
      </c>
      <c r="B2946" s="32">
        <f>+B2945+1</f>
        <v>2041</v>
      </c>
      <c r="C2946" s="33" t="s">
        <v>110</v>
      </c>
      <c r="D2946" s="34" t="s">
        <v>2002</v>
      </c>
      <c r="E2946" s="35" t="str">
        <f t="shared" si="692"/>
        <v>PDP'!</v>
      </c>
      <c r="F2946" s="34" t="str">
        <f t="shared" si="693"/>
        <v>C:\Users\jaime.benazar\Quorum Business Solutions\Ecopetrol Prometeo - Documents\Planning Space Implementation\3. Analysis &amp; Design\Design\FC22\DRR Jaime\Neiva CPI\[DINA TERCIARIOS_CF_SEC_New_27-Mar-2024.xlsx]D-PDP'!</v>
      </c>
      <c r="G2946" s="32" t="s">
        <v>123</v>
      </c>
      <c r="H2946" s="33">
        <f t="shared" si="694"/>
        <v>30</v>
      </c>
      <c r="I2946" s="33" t="str">
        <f t="shared" si="695"/>
        <v>='C:\Users\jaime.benazar\Quorum Business Solutions\Ecopetrol Prometeo - Documents\Planning Space Implementation\3. Analysis &amp; Design\Design\FC22\DRR Jaime\Neiva CPI\[DINA TERCIARIOS_CF_SEC_New_27-Mar-2024.xlsx]D-PDP'!$DT$30</v>
      </c>
      <c r="J2946" s="37" t="s">
        <v>3316</v>
      </c>
    </row>
    <row r="2947" spans="1:10" x14ac:dyDescent="0.3">
      <c r="A2947" s="32" t="s">
        <v>14</v>
      </c>
      <c r="B2947" s="32">
        <f t="shared" ref="B2947:B2948" si="698">+B2946+1</f>
        <v>2042</v>
      </c>
      <c r="C2947" s="33" t="s">
        <v>110</v>
      </c>
      <c r="D2947" s="34" t="s">
        <v>2002</v>
      </c>
      <c r="E2947" s="35" t="str">
        <f t="shared" si="692"/>
        <v>PDP'!</v>
      </c>
      <c r="F2947" s="34" t="str">
        <f t="shared" si="693"/>
        <v>C:\Users\jaime.benazar\Quorum Business Solutions\Ecopetrol Prometeo - Documents\Planning Space Implementation\3. Analysis &amp; Design\Design\FC22\DRR Jaime\Neiva CPI\[DINA TERCIARIOS_CF_SEC_New_27-Mar-2024.xlsx]D-PDP'!</v>
      </c>
      <c r="G2947" s="32" t="s">
        <v>123</v>
      </c>
      <c r="H2947" s="33">
        <f t="shared" si="694"/>
        <v>31</v>
      </c>
      <c r="I2947" s="33" t="str">
        <f t="shared" si="695"/>
        <v>='C:\Users\jaime.benazar\Quorum Business Solutions\Ecopetrol Prometeo - Documents\Planning Space Implementation\3. Analysis &amp; Design\Design\FC22\DRR Jaime\Neiva CPI\[DINA TERCIARIOS_CF_SEC_New_27-Mar-2024.xlsx]D-PDP'!$DT$31</v>
      </c>
      <c r="J2947" s="37" t="s">
        <v>3317</v>
      </c>
    </row>
    <row r="2948" spans="1:10" x14ac:dyDescent="0.3">
      <c r="A2948" s="32" t="s">
        <v>14</v>
      </c>
      <c r="B2948" s="32">
        <f t="shared" si="698"/>
        <v>2043</v>
      </c>
      <c r="C2948" s="33" t="s">
        <v>110</v>
      </c>
      <c r="D2948" s="34" t="s">
        <v>2002</v>
      </c>
      <c r="E2948" s="35" t="str">
        <f t="shared" si="692"/>
        <v>PDP'!</v>
      </c>
      <c r="F2948" s="34" t="str">
        <f t="shared" si="693"/>
        <v>C:\Users\jaime.benazar\Quorum Business Solutions\Ecopetrol Prometeo - Documents\Planning Space Implementation\3. Analysis &amp; Design\Design\FC22\DRR Jaime\Neiva CPI\[DINA TERCIARIOS_CF_SEC_New_27-Mar-2024.xlsx]D-PDP'!</v>
      </c>
      <c r="G2948" s="32" t="s">
        <v>123</v>
      </c>
      <c r="H2948" s="33">
        <f t="shared" si="694"/>
        <v>32</v>
      </c>
      <c r="I2948" s="33" t="str">
        <f t="shared" si="695"/>
        <v>='C:\Users\jaime.benazar\Quorum Business Solutions\Ecopetrol Prometeo - Documents\Planning Space Implementation\3. Analysis &amp; Design\Design\FC22\DRR Jaime\Neiva CPI\[DINA TERCIARIOS_CF_SEC_New_27-Mar-2024.xlsx]D-PDP'!$DT$32</v>
      </c>
      <c r="J2948" s="37" t="s">
        <v>3318</v>
      </c>
    </row>
    <row r="2949" spans="1:10" x14ac:dyDescent="0.3">
      <c r="A2949" s="32" t="s">
        <v>14</v>
      </c>
      <c r="B2949" s="32">
        <f>+B2948+1</f>
        <v>2044</v>
      </c>
      <c r="C2949" s="33" t="s">
        <v>110</v>
      </c>
      <c r="D2949" s="34" t="s">
        <v>2002</v>
      </c>
      <c r="E2949" s="35" t="str">
        <f t="shared" ref="E2949:E2964" si="699">_xlfn.CONCAT(A2949,"'!")</f>
        <v>PDP'!</v>
      </c>
      <c r="F2949" s="34" t="str">
        <f t="shared" ref="F2949:F2964" si="700">_xlfn.CONCAT(D2949:E2949)</f>
        <v>C:\Users\jaime.benazar\Quorum Business Solutions\Ecopetrol Prometeo - Documents\Planning Space Implementation\3. Analysis &amp; Design\Design\FC22\DRR Jaime\Neiva CPI\[DINA TERCIARIOS_CF_SEC_New_27-Mar-2024.xlsx]D-PDP'!</v>
      </c>
      <c r="G2949" s="32" t="s">
        <v>123</v>
      </c>
      <c r="H2949" s="33">
        <f t="shared" ref="H2949:H2964" si="701">IF(A2949&lt;&gt;A2948,12,H2948+1)</f>
        <v>33</v>
      </c>
      <c r="I2949" s="33" t="str">
        <f t="shared" ref="I2949:I2964" si="702">_xlfn.CONCAT("='",F2949:H2949)</f>
        <v>='C:\Users\jaime.benazar\Quorum Business Solutions\Ecopetrol Prometeo - Documents\Planning Space Implementation\3. Analysis &amp; Design\Design\FC22\DRR Jaime\Neiva CPI\[DINA TERCIARIOS_CF_SEC_New_27-Mar-2024.xlsx]D-PDP'!$DT$33</v>
      </c>
      <c r="J2949" s="37" t="s">
        <v>3319</v>
      </c>
    </row>
    <row r="2950" spans="1:10" x14ac:dyDescent="0.3">
      <c r="A2950" s="32" t="s">
        <v>14</v>
      </c>
      <c r="B2950" s="32">
        <f t="shared" ref="B2950:B2964" si="703">+B2949+1</f>
        <v>2045</v>
      </c>
      <c r="C2950" s="33" t="s">
        <v>110</v>
      </c>
      <c r="D2950" s="34" t="s">
        <v>2002</v>
      </c>
      <c r="E2950" s="35" t="str">
        <f t="shared" si="699"/>
        <v>PDP'!</v>
      </c>
      <c r="F2950" s="34" t="str">
        <f t="shared" si="700"/>
        <v>C:\Users\jaime.benazar\Quorum Business Solutions\Ecopetrol Prometeo - Documents\Planning Space Implementation\3. Analysis &amp; Design\Design\FC22\DRR Jaime\Neiva CPI\[DINA TERCIARIOS_CF_SEC_New_27-Mar-2024.xlsx]D-PDP'!</v>
      </c>
      <c r="G2950" s="32" t="s">
        <v>123</v>
      </c>
      <c r="H2950" s="33">
        <f t="shared" si="701"/>
        <v>34</v>
      </c>
      <c r="I2950" s="33" t="str">
        <f t="shared" si="702"/>
        <v>='C:\Users\jaime.benazar\Quorum Business Solutions\Ecopetrol Prometeo - Documents\Planning Space Implementation\3. Analysis &amp; Design\Design\FC22\DRR Jaime\Neiva CPI\[DINA TERCIARIOS_CF_SEC_New_27-Mar-2024.xlsx]D-PDP'!$DT$34</v>
      </c>
      <c r="J2950" s="37" t="s">
        <v>3320</v>
      </c>
    </row>
    <row r="2951" spans="1:10" x14ac:dyDescent="0.3">
      <c r="A2951" s="32" t="s">
        <v>14</v>
      </c>
      <c r="B2951" s="32">
        <f t="shared" si="703"/>
        <v>2046</v>
      </c>
      <c r="C2951" s="33" t="s">
        <v>110</v>
      </c>
      <c r="D2951" s="34" t="s">
        <v>2002</v>
      </c>
      <c r="E2951" s="35" t="str">
        <f t="shared" si="699"/>
        <v>PDP'!</v>
      </c>
      <c r="F2951" s="34" t="str">
        <f t="shared" si="700"/>
        <v>C:\Users\jaime.benazar\Quorum Business Solutions\Ecopetrol Prometeo - Documents\Planning Space Implementation\3. Analysis &amp; Design\Design\FC22\DRR Jaime\Neiva CPI\[DINA TERCIARIOS_CF_SEC_New_27-Mar-2024.xlsx]D-PDP'!</v>
      </c>
      <c r="G2951" s="32" t="s">
        <v>123</v>
      </c>
      <c r="H2951" s="33">
        <f t="shared" si="701"/>
        <v>35</v>
      </c>
      <c r="I2951" s="33" t="str">
        <f t="shared" si="702"/>
        <v>='C:\Users\jaime.benazar\Quorum Business Solutions\Ecopetrol Prometeo - Documents\Planning Space Implementation\3. Analysis &amp; Design\Design\FC22\DRR Jaime\Neiva CPI\[DINA TERCIARIOS_CF_SEC_New_27-Mar-2024.xlsx]D-PDP'!$DT$35</v>
      </c>
      <c r="J2951" s="37" t="s">
        <v>3321</v>
      </c>
    </row>
    <row r="2952" spans="1:10" x14ac:dyDescent="0.3">
      <c r="A2952" s="32" t="s">
        <v>14</v>
      </c>
      <c r="B2952" s="32">
        <f t="shared" si="703"/>
        <v>2047</v>
      </c>
      <c r="C2952" s="33" t="s">
        <v>110</v>
      </c>
      <c r="D2952" s="34" t="s">
        <v>2002</v>
      </c>
      <c r="E2952" s="35" t="str">
        <f t="shared" si="699"/>
        <v>PDP'!</v>
      </c>
      <c r="F2952" s="34" t="str">
        <f t="shared" si="700"/>
        <v>C:\Users\jaime.benazar\Quorum Business Solutions\Ecopetrol Prometeo - Documents\Planning Space Implementation\3. Analysis &amp; Design\Design\FC22\DRR Jaime\Neiva CPI\[DINA TERCIARIOS_CF_SEC_New_27-Mar-2024.xlsx]D-PDP'!</v>
      </c>
      <c r="G2952" s="32" t="s">
        <v>123</v>
      </c>
      <c r="H2952" s="33">
        <f t="shared" si="701"/>
        <v>36</v>
      </c>
      <c r="I2952" s="33" t="str">
        <f t="shared" si="702"/>
        <v>='C:\Users\jaime.benazar\Quorum Business Solutions\Ecopetrol Prometeo - Documents\Planning Space Implementation\3. Analysis &amp; Design\Design\FC22\DRR Jaime\Neiva CPI\[DINA TERCIARIOS_CF_SEC_New_27-Mar-2024.xlsx]D-PDP'!$DT$36</v>
      </c>
      <c r="J2952" s="37" t="s">
        <v>3322</v>
      </c>
    </row>
    <row r="2953" spans="1:10" x14ac:dyDescent="0.3">
      <c r="A2953" s="32" t="s">
        <v>14</v>
      </c>
      <c r="B2953" s="32">
        <f t="shared" si="703"/>
        <v>2048</v>
      </c>
      <c r="C2953" s="33" t="s">
        <v>110</v>
      </c>
      <c r="D2953" s="34" t="s">
        <v>2002</v>
      </c>
      <c r="E2953" s="35" t="str">
        <f t="shared" si="699"/>
        <v>PDP'!</v>
      </c>
      <c r="F2953" s="34" t="str">
        <f t="shared" si="700"/>
        <v>C:\Users\jaime.benazar\Quorum Business Solutions\Ecopetrol Prometeo - Documents\Planning Space Implementation\3. Analysis &amp; Design\Design\FC22\DRR Jaime\Neiva CPI\[DINA TERCIARIOS_CF_SEC_New_27-Mar-2024.xlsx]D-PDP'!</v>
      </c>
      <c r="G2953" s="32" t="s">
        <v>123</v>
      </c>
      <c r="H2953" s="33">
        <f t="shared" si="701"/>
        <v>37</v>
      </c>
      <c r="I2953" s="33" t="str">
        <f t="shared" si="702"/>
        <v>='C:\Users\jaime.benazar\Quorum Business Solutions\Ecopetrol Prometeo - Documents\Planning Space Implementation\3. Analysis &amp; Design\Design\FC22\DRR Jaime\Neiva CPI\[DINA TERCIARIOS_CF_SEC_New_27-Mar-2024.xlsx]D-PDP'!$DT$37</v>
      </c>
      <c r="J2953" s="37" t="s">
        <v>3323</v>
      </c>
    </row>
    <row r="2954" spans="1:10" x14ac:dyDescent="0.3">
      <c r="A2954" s="32" t="s">
        <v>14</v>
      </c>
      <c r="B2954" s="32">
        <f t="shared" si="703"/>
        <v>2049</v>
      </c>
      <c r="C2954" s="33" t="s">
        <v>110</v>
      </c>
      <c r="D2954" s="34" t="s">
        <v>2002</v>
      </c>
      <c r="E2954" s="35" t="str">
        <f t="shared" si="699"/>
        <v>PDP'!</v>
      </c>
      <c r="F2954" s="34" t="str">
        <f t="shared" si="700"/>
        <v>C:\Users\jaime.benazar\Quorum Business Solutions\Ecopetrol Prometeo - Documents\Planning Space Implementation\3. Analysis &amp; Design\Design\FC22\DRR Jaime\Neiva CPI\[DINA TERCIARIOS_CF_SEC_New_27-Mar-2024.xlsx]D-PDP'!</v>
      </c>
      <c r="G2954" s="32" t="s">
        <v>123</v>
      </c>
      <c r="H2954" s="33">
        <f t="shared" si="701"/>
        <v>38</v>
      </c>
      <c r="I2954" s="33" t="str">
        <f t="shared" si="702"/>
        <v>='C:\Users\jaime.benazar\Quorum Business Solutions\Ecopetrol Prometeo - Documents\Planning Space Implementation\3. Analysis &amp; Design\Design\FC22\DRR Jaime\Neiva CPI\[DINA TERCIARIOS_CF_SEC_New_27-Mar-2024.xlsx]D-PDP'!$DT$38</v>
      </c>
      <c r="J2954" s="37" t="s">
        <v>3324</v>
      </c>
    </row>
    <row r="2955" spans="1:10" x14ac:dyDescent="0.3">
      <c r="A2955" s="32" t="s">
        <v>14</v>
      </c>
      <c r="B2955" s="32">
        <f t="shared" si="703"/>
        <v>2050</v>
      </c>
      <c r="C2955" s="33" t="s">
        <v>110</v>
      </c>
      <c r="D2955" s="34" t="s">
        <v>2002</v>
      </c>
      <c r="E2955" s="35" t="str">
        <f t="shared" si="699"/>
        <v>PDP'!</v>
      </c>
      <c r="F2955" s="34" t="str">
        <f t="shared" si="700"/>
        <v>C:\Users\jaime.benazar\Quorum Business Solutions\Ecopetrol Prometeo - Documents\Planning Space Implementation\3. Analysis &amp; Design\Design\FC22\DRR Jaime\Neiva CPI\[DINA TERCIARIOS_CF_SEC_New_27-Mar-2024.xlsx]D-PDP'!</v>
      </c>
      <c r="G2955" s="32" t="s">
        <v>123</v>
      </c>
      <c r="H2955" s="33">
        <f t="shared" si="701"/>
        <v>39</v>
      </c>
      <c r="I2955" s="33" t="str">
        <f t="shared" si="702"/>
        <v>='C:\Users\jaime.benazar\Quorum Business Solutions\Ecopetrol Prometeo - Documents\Planning Space Implementation\3. Analysis &amp; Design\Design\FC22\DRR Jaime\Neiva CPI\[DINA TERCIARIOS_CF_SEC_New_27-Mar-2024.xlsx]D-PDP'!$DT$39</v>
      </c>
      <c r="J2955" s="37" t="s">
        <v>3325</v>
      </c>
    </row>
    <row r="2956" spans="1:10" x14ac:dyDescent="0.3">
      <c r="A2956" s="32" t="s">
        <v>14</v>
      </c>
      <c r="B2956" s="32">
        <f t="shared" si="703"/>
        <v>2051</v>
      </c>
      <c r="C2956" s="33" t="s">
        <v>110</v>
      </c>
      <c r="D2956" s="34" t="s">
        <v>2002</v>
      </c>
      <c r="E2956" s="35" t="str">
        <f t="shared" si="699"/>
        <v>PDP'!</v>
      </c>
      <c r="F2956" s="34" t="str">
        <f t="shared" si="700"/>
        <v>C:\Users\jaime.benazar\Quorum Business Solutions\Ecopetrol Prometeo - Documents\Planning Space Implementation\3. Analysis &amp; Design\Design\FC22\DRR Jaime\Neiva CPI\[DINA TERCIARIOS_CF_SEC_New_27-Mar-2024.xlsx]D-PDP'!</v>
      </c>
      <c r="G2956" s="32" t="s">
        <v>123</v>
      </c>
      <c r="H2956" s="33">
        <f t="shared" si="701"/>
        <v>40</v>
      </c>
      <c r="I2956" s="33" t="str">
        <f t="shared" si="702"/>
        <v>='C:\Users\jaime.benazar\Quorum Business Solutions\Ecopetrol Prometeo - Documents\Planning Space Implementation\3. Analysis &amp; Design\Design\FC22\DRR Jaime\Neiva CPI\[DINA TERCIARIOS_CF_SEC_New_27-Mar-2024.xlsx]D-PDP'!$DT$40</v>
      </c>
      <c r="J2956" s="37" t="s">
        <v>3326</v>
      </c>
    </row>
    <row r="2957" spans="1:10" x14ac:dyDescent="0.3">
      <c r="A2957" s="32" t="s">
        <v>14</v>
      </c>
      <c r="B2957" s="32">
        <f t="shared" si="703"/>
        <v>2052</v>
      </c>
      <c r="C2957" s="33" t="s">
        <v>110</v>
      </c>
      <c r="D2957" s="34" t="s">
        <v>2002</v>
      </c>
      <c r="E2957" s="35" t="str">
        <f t="shared" si="699"/>
        <v>PDP'!</v>
      </c>
      <c r="F2957" s="34" t="str">
        <f t="shared" si="700"/>
        <v>C:\Users\jaime.benazar\Quorum Business Solutions\Ecopetrol Prometeo - Documents\Planning Space Implementation\3. Analysis &amp; Design\Design\FC22\DRR Jaime\Neiva CPI\[DINA TERCIARIOS_CF_SEC_New_27-Mar-2024.xlsx]D-PDP'!</v>
      </c>
      <c r="G2957" s="32" t="s">
        <v>123</v>
      </c>
      <c r="H2957" s="33">
        <f t="shared" si="701"/>
        <v>41</v>
      </c>
      <c r="I2957" s="33" t="str">
        <f t="shared" si="702"/>
        <v>='C:\Users\jaime.benazar\Quorum Business Solutions\Ecopetrol Prometeo - Documents\Planning Space Implementation\3. Analysis &amp; Design\Design\FC22\DRR Jaime\Neiva CPI\[DINA TERCIARIOS_CF_SEC_New_27-Mar-2024.xlsx]D-PDP'!$DT$41</v>
      </c>
      <c r="J2957" s="37" t="s">
        <v>3327</v>
      </c>
    </row>
    <row r="2958" spans="1:10" x14ac:dyDescent="0.3">
      <c r="A2958" s="32" t="s">
        <v>14</v>
      </c>
      <c r="B2958" s="32">
        <f t="shared" si="703"/>
        <v>2053</v>
      </c>
      <c r="C2958" s="33" t="s">
        <v>110</v>
      </c>
      <c r="D2958" s="34" t="s">
        <v>2002</v>
      </c>
      <c r="E2958" s="35" t="str">
        <f t="shared" si="699"/>
        <v>PDP'!</v>
      </c>
      <c r="F2958" s="34" t="str">
        <f t="shared" si="700"/>
        <v>C:\Users\jaime.benazar\Quorum Business Solutions\Ecopetrol Prometeo - Documents\Planning Space Implementation\3. Analysis &amp; Design\Design\FC22\DRR Jaime\Neiva CPI\[DINA TERCIARIOS_CF_SEC_New_27-Mar-2024.xlsx]D-PDP'!</v>
      </c>
      <c r="G2958" s="32" t="s">
        <v>123</v>
      </c>
      <c r="H2958" s="33">
        <f t="shared" si="701"/>
        <v>42</v>
      </c>
      <c r="I2958" s="33" t="str">
        <f t="shared" si="702"/>
        <v>='C:\Users\jaime.benazar\Quorum Business Solutions\Ecopetrol Prometeo - Documents\Planning Space Implementation\3. Analysis &amp; Design\Design\FC22\DRR Jaime\Neiva CPI\[DINA TERCIARIOS_CF_SEC_New_27-Mar-2024.xlsx]D-PDP'!$DT$42</v>
      </c>
      <c r="J2958" s="37" t="s">
        <v>3328</v>
      </c>
    </row>
    <row r="2959" spans="1:10" x14ac:dyDescent="0.3">
      <c r="A2959" s="32" t="s">
        <v>14</v>
      </c>
      <c r="B2959" s="32">
        <f t="shared" si="703"/>
        <v>2054</v>
      </c>
      <c r="C2959" s="33" t="s">
        <v>110</v>
      </c>
      <c r="D2959" s="34" t="s">
        <v>2002</v>
      </c>
      <c r="E2959" s="35" t="str">
        <f t="shared" si="699"/>
        <v>PDP'!</v>
      </c>
      <c r="F2959" s="34" t="str">
        <f t="shared" si="700"/>
        <v>C:\Users\jaime.benazar\Quorum Business Solutions\Ecopetrol Prometeo - Documents\Planning Space Implementation\3. Analysis &amp; Design\Design\FC22\DRR Jaime\Neiva CPI\[DINA TERCIARIOS_CF_SEC_New_27-Mar-2024.xlsx]D-PDP'!</v>
      </c>
      <c r="G2959" s="32" t="s">
        <v>123</v>
      </c>
      <c r="H2959" s="33">
        <f t="shared" si="701"/>
        <v>43</v>
      </c>
      <c r="I2959" s="33" t="str">
        <f t="shared" si="702"/>
        <v>='C:\Users\jaime.benazar\Quorum Business Solutions\Ecopetrol Prometeo - Documents\Planning Space Implementation\3. Analysis &amp; Design\Design\FC22\DRR Jaime\Neiva CPI\[DINA TERCIARIOS_CF_SEC_New_27-Mar-2024.xlsx]D-PDP'!$DT$43</v>
      </c>
      <c r="J2959" s="37" t="s">
        <v>3329</v>
      </c>
    </row>
    <row r="2960" spans="1:10" x14ac:dyDescent="0.3">
      <c r="A2960" s="32" t="s">
        <v>14</v>
      </c>
      <c r="B2960" s="32">
        <f t="shared" si="703"/>
        <v>2055</v>
      </c>
      <c r="C2960" s="33" t="s">
        <v>110</v>
      </c>
      <c r="D2960" s="34" t="s">
        <v>2002</v>
      </c>
      <c r="E2960" s="35" t="str">
        <f t="shared" si="699"/>
        <v>PDP'!</v>
      </c>
      <c r="F2960" s="34" t="str">
        <f t="shared" si="700"/>
        <v>C:\Users\jaime.benazar\Quorum Business Solutions\Ecopetrol Prometeo - Documents\Planning Space Implementation\3. Analysis &amp; Design\Design\FC22\DRR Jaime\Neiva CPI\[DINA TERCIARIOS_CF_SEC_New_27-Mar-2024.xlsx]D-PDP'!</v>
      </c>
      <c r="G2960" s="32" t="s">
        <v>123</v>
      </c>
      <c r="H2960" s="33">
        <f t="shared" si="701"/>
        <v>44</v>
      </c>
      <c r="I2960" s="33" t="str">
        <f t="shared" si="702"/>
        <v>='C:\Users\jaime.benazar\Quorum Business Solutions\Ecopetrol Prometeo - Documents\Planning Space Implementation\3. Analysis &amp; Design\Design\FC22\DRR Jaime\Neiva CPI\[DINA TERCIARIOS_CF_SEC_New_27-Mar-2024.xlsx]D-PDP'!$DT$44</v>
      </c>
      <c r="J2960" s="37" t="s">
        <v>3330</v>
      </c>
    </row>
    <row r="2961" spans="1:10" x14ac:dyDescent="0.3">
      <c r="A2961" s="32" t="s">
        <v>14</v>
      </c>
      <c r="B2961" s="32">
        <f t="shared" si="703"/>
        <v>2056</v>
      </c>
      <c r="C2961" s="33" t="s">
        <v>110</v>
      </c>
      <c r="D2961" s="34" t="s">
        <v>2002</v>
      </c>
      <c r="E2961" s="35" t="str">
        <f t="shared" si="699"/>
        <v>PDP'!</v>
      </c>
      <c r="F2961" s="34" t="str">
        <f t="shared" si="700"/>
        <v>C:\Users\jaime.benazar\Quorum Business Solutions\Ecopetrol Prometeo - Documents\Planning Space Implementation\3. Analysis &amp; Design\Design\FC22\DRR Jaime\Neiva CPI\[DINA TERCIARIOS_CF_SEC_New_27-Mar-2024.xlsx]D-PDP'!</v>
      </c>
      <c r="G2961" s="32" t="s">
        <v>123</v>
      </c>
      <c r="H2961" s="33">
        <f t="shared" si="701"/>
        <v>45</v>
      </c>
      <c r="I2961" s="33" t="str">
        <f t="shared" si="702"/>
        <v>='C:\Users\jaime.benazar\Quorum Business Solutions\Ecopetrol Prometeo - Documents\Planning Space Implementation\3. Analysis &amp; Design\Design\FC22\DRR Jaime\Neiva CPI\[DINA TERCIARIOS_CF_SEC_New_27-Mar-2024.xlsx]D-PDP'!$DT$45</v>
      </c>
      <c r="J2961" s="37" t="s">
        <v>3331</v>
      </c>
    </row>
    <row r="2962" spans="1:10" x14ac:dyDescent="0.3">
      <c r="A2962" s="32" t="s">
        <v>14</v>
      </c>
      <c r="B2962" s="32">
        <f t="shared" si="703"/>
        <v>2057</v>
      </c>
      <c r="C2962" s="33" t="s">
        <v>110</v>
      </c>
      <c r="D2962" s="34" t="s">
        <v>2002</v>
      </c>
      <c r="E2962" s="35" t="str">
        <f t="shared" si="699"/>
        <v>PDP'!</v>
      </c>
      <c r="F2962" s="34" t="str">
        <f t="shared" si="700"/>
        <v>C:\Users\jaime.benazar\Quorum Business Solutions\Ecopetrol Prometeo - Documents\Planning Space Implementation\3. Analysis &amp; Design\Design\FC22\DRR Jaime\Neiva CPI\[DINA TERCIARIOS_CF_SEC_New_27-Mar-2024.xlsx]D-PDP'!</v>
      </c>
      <c r="G2962" s="32" t="s">
        <v>123</v>
      </c>
      <c r="H2962" s="33">
        <f t="shared" si="701"/>
        <v>46</v>
      </c>
      <c r="I2962" s="33" t="str">
        <f t="shared" si="702"/>
        <v>='C:\Users\jaime.benazar\Quorum Business Solutions\Ecopetrol Prometeo - Documents\Planning Space Implementation\3. Analysis &amp; Design\Design\FC22\DRR Jaime\Neiva CPI\[DINA TERCIARIOS_CF_SEC_New_27-Mar-2024.xlsx]D-PDP'!$DT$46</v>
      </c>
      <c r="J2962" s="37" t="s">
        <v>3332</v>
      </c>
    </row>
    <row r="2963" spans="1:10" x14ac:dyDescent="0.3">
      <c r="A2963" s="32" t="s">
        <v>14</v>
      </c>
      <c r="B2963" s="32">
        <f t="shared" si="703"/>
        <v>2058</v>
      </c>
      <c r="C2963" s="33" t="s">
        <v>110</v>
      </c>
      <c r="D2963" s="34" t="s">
        <v>2002</v>
      </c>
      <c r="E2963" s="35" t="str">
        <f t="shared" si="699"/>
        <v>PDP'!</v>
      </c>
      <c r="F2963" s="34" t="str">
        <f t="shared" si="700"/>
        <v>C:\Users\jaime.benazar\Quorum Business Solutions\Ecopetrol Prometeo - Documents\Planning Space Implementation\3. Analysis &amp; Design\Design\FC22\DRR Jaime\Neiva CPI\[DINA TERCIARIOS_CF_SEC_New_27-Mar-2024.xlsx]D-PDP'!</v>
      </c>
      <c r="G2963" s="32" t="s">
        <v>123</v>
      </c>
      <c r="H2963" s="33">
        <f t="shared" si="701"/>
        <v>47</v>
      </c>
      <c r="I2963" s="33" t="str">
        <f t="shared" si="702"/>
        <v>='C:\Users\jaime.benazar\Quorum Business Solutions\Ecopetrol Prometeo - Documents\Planning Space Implementation\3. Analysis &amp; Design\Design\FC22\DRR Jaime\Neiva CPI\[DINA TERCIARIOS_CF_SEC_New_27-Mar-2024.xlsx]D-PDP'!$DT$47</v>
      </c>
      <c r="J2963" s="37" t="s">
        <v>3333</v>
      </c>
    </row>
    <row r="2964" spans="1:10" x14ac:dyDescent="0.3">
      <c r="A2964" s="32" t="s">
        <v>14</v>
      </c>
      <c r="B2964" s="32">
        <f t="shared" si="703"/>
        <v>2059</v>
      </c>
      <c r="C2964" s="33" t="s">
        <v>110</v>
      </c>
      <c r="D2964" s="34" t="s">
        <v>2002</v>
      </c>
      <c r="E2964" s="35" t="str">
        <f t="shared" si="699"/>
        <v>PDP'!</v>
      </c>
      <c r="F2964" s="34" t="str">
        <f t="shared" si="700"/>
        <v>C:\Users\jaime.benazar\Quorum Business Solutions\Ecopetrol Prometeo - Documents\Planning Space Implementation\3. Analysis &amp; Design\Design\FC22\DRR Jaime\Neiva CPI\[DINA TERCIARIOS_CF_SEC_New_27-Mar-2024.xlsx]D-PDP'!</v>
      </c>
      <c r="G2964" s="32" t="s">
        <v>123</v>
      </c>
      <c r="H2964" s="33">
        <f t="shared" si="701"/>
        <v>48</v>
      </c>
      <c r="I2964" s="33" t="str">
        <f t="shared" si="702"/>
        <v>='C:\Users\jaime.benazar\Quorum Business Solutions\Ecopetrol Prometeo - Documents\Planning Space Implementation\3. Analysis &amp; Design\Design\FC22\DRR Jaime\Neiva CPI\[DINA TERCIARIOS_CF_SEC_New_27-Mar-2024.xlsx]D-PDP'!$DT$48</v>
      </c>
      <c r="J2964" s="37" t="s">
        <v>3334</v>
      </c>
    </row>
    <row r="2965" spans="1:10" x14ac:dyDescent="0.3">
      <c r="A2965" s="32" t="s">
        <v>26</v>
      </c>
      <c r="B2965" s="32"/>
      <c r="C2965" s="33" t="s">
        <v>110</v>
      </c>
      <c r="D2965" s="34"/>
      <c r="E2965" s="35"/>
      <c r="F2965" s="34"/>
      <c r="G2965" s="32"/>
      <c r="H2965" s="33"/>
      <c r="I2965" s="33"/>
      <c r="J2965" s="33"/>
    </row>
    <row r="2966" spans="1:10" x14ac:dyDescent="0.3">
      <c r="A2966" s="32" t="s">
        <v>15</v>
      </c>
      <c r="B2966" s="32">
        <v>2023</v>
      </c>
      <c r="C2966" s="33" t="s">
        <v>110</v>
      </c>
      <c r="D2966" s="34" t="s">
        <v>2002</v>
      </c>
      <c r="E2966" s="35" t="str">
        <f t="shared" si="692"/>
        <v>PNP'!</v>
      </c>
      <c r="F2966" s="34" t="str">
        <f t="shared" si="693"/>
        <v>C:\Users\jaime.benazar\Quorum Business Solutions\Ecopetrol Prometeo - Documents\Planning Space Implementation\3. Analysis &amp; Design\Design\FC22\DRR Jaime\Neiva CPI\[DINA TERCIARIOS_CF_SEC_New_27-Mar-2024.xlsx]D-PNP'!</v>
      </c>
      <c r="G2966" s="32" t="s">
        <v>123</v>
      </c>
      <c r="H2966" s="33">
        <v>12</v>
      </c>
      <c r="I2966" s="33" t="str">
        <f t="shared" ref="I2966:I2986" si="704">_xlfn.CONCAT("='",F2966:H2966)</f>
        <v>='C:\Users\jaime.benazar\Quorum Business Solutions\Ecopetrol Prometeo - Documents\Planning Space Implementation\3. Analysis &amp; Design\Design\FC22\DRR Jaime\Neiva CPI\[DINA TERCIARIOS_CF_SEC_New_27-Mar-2024.xlsx]D-PNP'!$DT$12</v>
      </c>
      <c r="J2966" s="37" t="s">
        <v>3335</v>
      </c>
    </row>
    <row r="2967" spans="1:10" x14ac:dyDescent="0.3">
      <c r="A2967" s="32" t="s">
        <v>15</v>
      </c>
      <c r="B2967" s="32">
        <f>+B2966+1</f>
        <v>2024</v>
      </c>
      <c r="C2967" s="33" t="s">
        <v>110</v>
      </c>
      <c r="D2967" s="34" t="s">
        <v>2002</v>
      </c>
      <c r="E2967" s="35" t="str">
        <f t="shared" si="692"/>
        <v>PNP'!</v>
      </c>
      <c r="F2967" s="34" t="str">
        <f t="shared" si="693"/>
        <v>C:\Users\jaime.benazar\Quorum Business Solutions\Ecopetrol Prometeo - Documents\Planning Space Implementation\3. Analysis &amp; Design\Design\FC22\DRR Jaime\Neiva CPI\[DINA TERCIARIOS_CF_SEC_New_27-Mar-2024.xlsx]D-PNP'!</v>
      </c>
      <c r="G2967" s="32" t="s">
        <v>123</v>
      </c>
      <c r="H2967" s="33">
        <f t="shared" ref="H2967:H2986" si="705">IF(A2967&lt;&gt;A2966,12,H2966+1)</f>
        <v>13</v>
      </c>
      <c r="I2967" s="33" t="str">
        <f t="shared" si="704"/>
        <v>='C:\Users\jaime.benazar\Quorum Business Solutions\Ecopetrol Prometeo - Documents\Planning Space Implementation\3. Analysis &amp; Design\Design\FC22\DRR Jaime\Neiva CPI\[DINA TERCIARIOS_CF_SEC_New_27-Mar-2024.xlsx]D-PNP'!$DT$13</v>
      </c>
      <c r="J2967" s="37" t="s">
        <v>3336</v>
      </c>
    </row>
    <row r="2968" spans="1:10" x14ac:dyDescent="0.3">
      <c r="A2968" s="32" t="s">
        <v>15</v>
      </c>
      <c r="B2968" s="32">
        <f t="shared" ref="B2968:B2979" si="706">+B2967+1</f>
        <v>2025</v>
      </c>
      <c r="C2968" s="33" t="s">
        <v>110</v>
      </c>
      <c r="D2968" s="34" t="s">
        <v>2002</v>
      </c>
      <c r="E2968" s="35" t="str">
        <f t="shared" si="692"/>
        <v>PNP'!</v>
      </c>
      <c r="F2968" s="34" t="str">
        <f t="shared" si="693"/>
        <v>C:\Users\jaime.benazar\Quorum Business Solutions\Ecopetrol Prometeo - Documents\Planning Space Implementation\3. Analysis &amp; Design\Design\FC22\DRR Jaime\Neiva CPI\[DINA TERCIARIOS_CF_SEC_New_27-Mar-2024.xlsx]D-PNP'!</v>
      </c>
      <c r="G2968" s="32" t="s">
        <v>123</v>
      </c>
      <c r="H2968" s="33">
        <f t="shared" si="705"/>
        <v>14</v>
      </c>
      <c r="I2968" s="33" t="str">
        <f t="shared" si="704"/>
        <v>='C:\Users\jaime.benazar\Quorum Business Solutions\Ecopetrol Prometeo - Documents\Planning Space Implementation\3. Analysis &amp; Design\Design\FC22\DRR Jaime\Neiva CPI\[DINA TERCIARIOS_CF_SEC_New_27-Mar-2024.xlsx]D-PNP'!$DT$14</v>
      </c>
      <c r="J2968" s="37" t="s">
        <v>3337</v>
      </c>
    </row>
    <row r="2969" spans="1:10" x14ac:dyDescent="0.3">
      <c r="A2969" s="32" t="s">
        <v>15</v>
      </c>
      <c r="B2969" s="32">
        <f t="shared" si="706"/>
        <v>2026</v>
      </c>
      <c r="C2969" s="33" t="s">
        <v>110</v>
      </c>
      <c r="D2969" s="34" t="s">
        <v>2002</v>
      </c>
      <c r="E2969" s="35" t="str">
        <f t="shared" si="692"/>
        <v>PNP'!</v>
      </c>
      <c r="F2969" s="34" t="str">
        <f t="shared" si="693"/>
        <v>C:\Users\jaime.benazar\Quorum Business Solutions\Ecopetrol Prometeo - Documents\Planning Space Implementation\3. Analysis &amp; Design\Design\FC22\DRR Jaime\Neiva CPI\[DINA TERCIARIOS_CF_SEC_New_27-Mar-2024.xlsx]D-PNP'!</v>
      </c>
      <c r="G2969" s="32" t="s">
        <v>123</v>
      </c>
      <c r="H2969" s="33">
        <f t="shared" si="705"/>
        <v>15</v>
      </c>
      <c r="I2969" s="33" t="str">
        <f t="shared" si="704"/>
        <v>='C:\Users\jaime.benazar\Quorum Business Solutions\Ecopetrol Prometeo - Documents\Planning Space Implementation\3. Analysis &amp; Design\Design\FC22\DRR Jaime\Neiva CPI\[DINA TERCIARIOS_CF_SEC_New_27-Mar-2024.xlsx]D-PNP'!$DT$15</v>
      </c>
      <c r="J2969" s="37" t="s">
        <v>3338</v>
      </c>
    </row>
    <row r="2970" spans="1:10" x14ac:dyDescent="0.3">
      <c r="A2970" s="32" t="s">
        <v>15</v>
      </c>
      <c r="B2970" s="32">
        <f t="shared" si="706"/>
        <v>2027</v>
      </c>
      <c r="C2970" s="33" t="s">
        <v>110</v>
      </c>
      <c r="D2970" s="34" t="s">
        <v>2002</v>
      </c>
      <c r="E2970" s="35" t="str">
        <f t="shared" si="692"/>
        <v>PNP'!</v>
      </c>
      <c r="F2970" s="34" t="str">
        <f t="shared" si="693"/>
        <v>C:\Users\jaime.benazar\Quorum Business Solutions\Ecopetrol Prometeo - Documents\Planning Space Implementation\3. Analysis &amp; Design\Design\FC22\DRR Jaime\Neiva CPI\[DINA TERCIARIOS_CF_SEC_New_27-Mar-2024.xlsx]D-PNP'!</v>
      </c>
      <c r="G2970" s="32" t="s">
        <v>123</v>
      </c>
      <c r="H2970" s="33">
        <f t="shared" si="705"/>
        <v>16</v>
      </c>
      <c r="I2970" s="33" t="str">
        <f t="shared" si="704"/>
        <v>='C:\Users\jaime.benazar\Quorum Business Solutions\Ecopetrol Prometeo - Documents\Planning Space Implementation\3. Analysis &amp; Design\Design\FC22\DRR Jaime\Neiva CPI\[DINA TERCIARIOS_CF_SEC_New_27-Mar-2024.xlsx]D-PNP'!$DT$16</v>
      </c>
      <c r="J2970" s="37" t="s">
        <v>3339</v>
      </c>
    </row>
    <row r="2971" spans="1:10" x14ac:dyDescent="0.3">
      <c r="A2971" s="32" t="s">
        <v>15</v>
      </c>
      <c r="B2971" s="32">
        <f t="shared" si="706"/>
        <v>2028</v>
      </c>
      <c r="C2971" s="33" t="s">
        <v>110</v>
      </c>
      <c r="D2971" s="34" t="s">
        <v>2002</v>
      </c>
      <c r="E2971" s="35" t="str">
        <f t="shared" si="692"/>
        <v>PNP'!</v>
      </c>
      <c r="F2971" s="34" t="str">
        <f t="shared" si="693"/>
        <v>C:\Users\jaime.benazar\Quorum Business Solutions\Ecopetrol Prometeo - Documents\Planning Space Implementation\3. Analysis &amp; Design\Design\FC22\DRR Jaime\Neiva CPI\[DINA TERCIARIOS_CF_SEC_New_27-Mar-2024.xlsx]D-PNP'!</v>
      </c>
      <c r="G2971" s="32" t="s">
        <v>123</v>
      </c>
      <c r="H2971" s="33">
        <f t="shared" si="705"/>
        <v>17</v>
      </c>
      <c r="I2971" s="33" t="str">
        <f t="shared" si="704"/>
        <v>='C:\Users\jaime.benazar\Quorum Business Solutions\Ecopetrol Prometeo - Documents\Planning Space Implementation\3. Analysis &amp; Design\Design\FC22\DRR Jaime\Neiva CPI\[DINA TERCIARIOS_CF_SEC_New_27-Mar-2024.xlsx]D-PNP'!$DT$17</v>
      </c>
      <c r="J2971" s="37" t="s">
        <v>3340</v>
      </c>
    </row>
    <row r="2972" spans="1:10" x14ac:dyDescent="0.3">
      <c r="A2972" s="32" t="s">
        <v>15</v>
      </c>
      <c r="B2972" s="32">
        <f t="shared" si="706"/>
        <v>2029</v>
      </c>
      <c r="C2972" s="33" t="s">
        <v>110</v>
      </c>
      <c r="D2972" s="34" t="s">
        <v>2002</v>
      </c>
      <c r="E2972" s="35" t="str">
        <f t="shared" si="692"/>
        <v>PNP'!</v>
      </c>
      <c r="F2972" s="34" t="str">
        <f t="shared" si="693"/>
        <v>C:\Users\jaime.benazar\Quorum Business Solutions\Ecopetrol Prometeo - Documents\Planning Space Implementation\3. Analysis &amp; Design\Design\FC22\DRR Jaime\Neiva CPI\[DINA TERCIARIOS_CF_SEC_New_27-Mar-2024.xlsx]D-PNP'!</v>
      </c>
      <c r="G2972" s="32" t="s">
        <v>123</v>
      </c>
      <c r="H2972" s="33">
        <f t="shared" si="705"/>
        <v>18</v>
      </c>
      <c r="I2972" s="33" t="str">
        <f t="shared" si="704"/>
        <v>='C:\Users\jaime.benazar\Quorum Business Solutions\Ecopetrol Prometeo - Documents\Planning Space Implementation\3. Analysis &amp; Design\Design\FC22\DRR Jaime\Neiva CPI\[DINA TERCIARIOS_CF_SEC_New_27-Mar-2024.xlsx]D-PNP'!$DT$18</v>
      </c>
      <c r="J2972" s="37" t="s">
        <v>3341</v>
      </c>
    </row>
    <row r="2973" spans="1:10" x14ac:dyDescent="0.3">
      <c r="A2973" s="32" t="s">
        <v>15</v>
      </c>
      <c r="B2973" s="32">
        <f t="shared" si="706"/>
        <v>2030</v>
      </c>
      <c r="C2973" s="33" t="s">
        <v>110</v>
      </c>
      <c r="D2973" s="34" t="s">
        <v>2002</v>
      </c>
      <c r="E2973" s="35" t="str">
        <f t="shared" si="692"/>
        <v>PNP'!</v>
      </c>
      <c r="F2973" s="34" t="str">
        <f t="shared" si="693"/>
        <v>C:\Users\jaime.benazar\Quorum Business Solutions\Ecopetrol Prometeo - Documents\Planning Space Implementation\3. Analysis &amp; Design\Design\FC22\DRR Jaime\Neiva CPI\[DINA TERCIARIOS_CF_SEC_New_27-Mar-2024.xlsx]D-PNP'!</v>
      </c>
      <c r="G2973" s="32" t="s">
        <v>123</v>
      </c>
      <c r="H2973" s="33">
        <f t="shared" si="705"/>
        <v>19</v>
      </c>
      <c r="I2973" s="33" t="str">
        <f t="shared" si="704"/>
        <v>='C:\Users\jaime.benazar\Quorum Business Solutions\Ecopetrol Prometeo - Documents\Planning Space Implementation\3. Analysis &amp; Design\Design\FC22\DRR Jaime\Neiva CPI\[DINA TERCIARIOS_CF_SEC_New_27-Mar-2024.xlsx]D-PNP'!$DT$19</v>
      </c>
      <c r="J2973" s="37" t="s">
        <v>3342</v>
      </c>
    </row>
    <row r="2974" spans="1:10" x14ac:dyDescent="0.3">
      <c r="A2974" s="32" t="s">
        <v>15</v>
      </c>
      <c r="B2974" s="32">
        <f t="shared" si="706"/>
        <v>2031</v>
      </c>
      <c r="C2974" s="33" t="s">
        <v>110</v>
      </c>
      <c r="D2974" s="34" t="s">
        <v>2002</v>
      </c>
      <c r="E2974" s="35" t="str">
        <f t="shared" si="692"/>
        <v>PNP'!</v>
      </c>
      <c r="F2974" s="34" t="str">
        <f t="shared" si="693"/>
        <v>C:\Users\jaime.benazar\Quorum Business Solutions\Ecopetrol Prometeo - Documents\Planning Space Implementation\3. Analysis &amp; Design\Design\FC22\DRR Jaime\Neiva CPI\[DINA TERCIARIOS_CF_SEC_New_27-Mar-2024.xlsx]D-PNP'!</v>
      </c>
      <c r="G2974" s="32" t="s">
        <v>123</v>
      </c>
      <c r="H2974" s="33">
        <f t="shared" si="705"/>
        <v>20</v>
      </c>
      <c r="I2974" s="33" t="str">
        <f t="shared" si="704"/>
        <v>='C:\Users\jaime.benazar\Quorum Business Solutions\Ecopetrol Prometeo - Documents\Planning Space Implementation\3. Analysis &amp; Design\Design\FC22\DRR Jaime\Neiva CPI\[DINA TERCIARIOS_CF_SEC_New_27-Mar-2024.xlsx]D-PNP'!$DT$20</v>
      </c>
      <c r="J2974" s="37" t="s">
        <v>3343</v>
      </c>
    </row>
    <row r="2975" spans="1:10" x14ac:dyDescent="0.3">
      <c r="A2975" s="32" t="s">
        <v>15</v>
      </c>
      <c r="B2975" s="32">
        <f t="shared" si="706"/>
        <v>2032</v>
      </c>
      <c r="C2975" s="33" t="s">
        <v>110</v>
      </c>
      <c r="D2975" s="34" t="s">
        <v>2002</v>
      </c>
      <c r="E2975" s="35" t="str">
        <f t="shared" si="692"/>
        <v>PNP'!</v>
      </c>
      <c r="F2975" s="34" t="str">
        <f t="shared" si="693"/>
        <v>C:\Users\jaime.benazar\Quorum Business Solutions\Ecopetrol Prometeo - Documents\Planning Space Implementation\3. Analysis &amp; Design\Design\FC22\DRR Jaime\Neiva CPI\[DINA TERCIARIOS_CF_SEC_New_27-Mar-2024.xlsx]D-PNP'!</v>
      </c>
      <c r="G2975" s="32" t="s">
        <v>123</v>
      </c>
      <c r="H2975" s="33">
        <f t="shared" si="705"/>
        <v>21</v>
      </c>
      <c r="I2975" s="33" t="str">
        <f t="shared" si="704"/>
        <v>='C:\Users\jaime.benazar\Quorum Business Solutions\Ecopetrol Prometeo - Documents\Planning Space Implementation\3. Analysis &amp; Design\Design\FC22\DRR Jaime\Neiva CPI\[DINA TERCIARIOS_CF_SEC_New_27-Mar-2024.xlsx]D-PNP'!$DT$21</v>
      </c>
      <c r="J2975" s="37" t="s">
        <v>3344</v>
      </c>
    </row>
    <row r="2976" spans="1:10" x14ac:dyDescent="0.3">
      <c r="A2976" s="32" t="s">
        <v>15</v>
      </c>
      <c r="B2976" s="32">
        <f t="shared" si="706"/>
        <v>2033</v>
      </c>
      <c r="C2976" s="33" t="s">
        <v>110</v>
      </c>
      <c r="D2976" s="34" t="s">
        <v>2002</v>
      </c>
      <c r="E2976" s="35" t="str">
        <f t="shared" si="692"/>
        <v>PNP'!</v>
      </c>
      <c r="F2976" s="34" t="str">
        <f t="shared" si="693"/>
        <v>C:\Users\jaime.benazar\Quorum Business Solutions\Ecopetrol Prometeo - Documents\Planning Space Implementation\3. Analysis &amp; Design\Design\FC22\DRR Jaime\Neiva CPI\[DINA TERCIARIOS_CF_SEC_New_27-Mar-2024.xlsx]D-PNP'!</v>
      </c>
      <c r="G2976" s="32" t="s">
        <v>123</v>
      </c>
      <c r="H2976" s="33">
        <f t="shared" si="705"/>
        <v>22</v>
      </c>
      <c r="I2976" s="33" t="str">
        <f t="shared" si="704"/>
        <v>='C:\Users\jaime.benazar\Quorum Business Solutions\Ecopetrol Prometeo - Documents\Planning Space Implementation\3. Analysis &amp; Design\Design\FC22\DRR Jaime\Neiva CPI\[DINA TERCIARIOS_CF_SEC_New_27-Mar-2024.xlsx]D-PNP'!$DT$22</v>
      </c>
      <c r="J2976" s="37" t="s">
        <v>3345</v>
      </c>
    </row>
    <row r="2977" spans="1:10" x14ac:dyDescent="0.3">
      <c r="A2977" s="32" t="s">
        <v>15</v>
      </c>
      <c r="B2977" s="32">
        <f t="shared" si="706"/>
        <v>2034</v>
      </c>
      <c r="C2977" s="33" t="s">
        <v>110</v>
      </c>
      <c r="D2977" s="34" t="s">
        <v>2002</v>
      </c>
      <c r="E2977" s="35" t="str">
        <f t="shared" si="692"/>
        <v>PNP'!</v>
      </c>
      <c r="F2977" s="34" t="str">
        <f t="shared" si="693"/>
        <v>C:\Users\jaime.benazar\Quorum Business Solutions\Ecopetrol Prometeo - Documents\Planning Space Implementation\3. Analysis &amp; Design\Design\FC22\DRR Jaime\Neiva CPI\[DINA TERCIARIOS_CF_SEC_New_27-Mar-2024.xlsx]D-PNP'!</v>
      </c>
      <c r="G2977" s="32" t="s">
        <v>123</v>
      </c>
      <c r="H2977" s="33">
        <f t="shared" si="705"/>
        <v>23</v>
      </c>
      <c r="I2977" s="33" t="str">
        <f t="shared" si="704"/>
        <v>='C:\Users\jaime.benazar\Quorum Business Solutions\Ecopetrol Prometeo - Documents\Planning Space Implementation\3. Analysis &amp; Design\Design\FC22\DRR Jaime\Neiva CPI\[DINA TERCIARIOS_CF_SEC_New_27-Mar-2024.xlsx]D-PNP'!$DT$23</v>
      </c>
      <c r="J2977" s="37" t="s">
        <v>3346</v>
      </c>
    </row>
    <row r="2978" spans="1:10" x14ac:dyDescent="0.3">
      <c r="A2978" s="32" t="s">
        <v>15</v>
      </c>
      <c r="B2978" s="32">
        <f t="shared" si="706"/>
        <v>2035</v>
      </c>
      <c r="C2978" s="33" t="s">
        <v>110</v>
      </c>
      <c r="D2978" s="34" t="s">
        <v>2002</v>
      </c>
      <c r="E2978" s="35" t="str">
        <f t="shared" si="692"/>
        <v>PNP'!</v>
      </c>
      <c r="F2978" s="34" t="str">
        <f t="shared" si="693"/>
        <v>C:\Users\jaime.benazar\Quorum Business Solutions\Ecopetrol Prometeo - Documents\Planning Space Implementation\3. Analysis &amp; Design\Design\FC22\DRR Jaime\Neiva CPI\[DINA TERCIARIOS_CF_SEC_New_27-Mar-2024.xlsx]D-PNP'!</v>
      </c>
      <c r="G2978" s="32" t="s">
        <v>123</v>
      </c>
      <c r="H2978" s="33">
        <f t="shared" si="705"/>
        <v>24</v>
      </c>
      <c r="I2978" s="33" t="str">
        <f t="shared" si="704"/>
        <v>='C:\Users\jaime.benazar\Quorum Business Solutions\Ecopetrol Prometeo - Documents\Planning Space Implementation\3. Analysis &amp; Design\Design\FC22\DRR Jaime\Neiva CPI\[DINA TERCIARIOS_CF_SEC_New_27-Mar-2024.xlsx]D-PNP'!$DT$24</v>
      </c>
      <c r="J2978" s="37" t="s">
        <v>3347</v>
      </c>
    </row>
    <row r="2979" spans="1:10" x14ac:dyDescent="0.3">
      <c r="A2979" s="32" t="s">
        <v>15</v>
      </c>
      <c r="B2979" s="32">
        <f t="shared" si="706"/>
        <v>2036</v>
      </c>
      <c r="C2979" s="33" t="s">
        <v>110</v>
      </c>
      <c r="D2979" s="34" t="s">
        <v>2002</v>
      </c>
      <c r="E2979" s="35" t="str">
        <f t="shared" si="692"/>
        <v>PNP'!</v>
      </c>
      <c r="F2979" s="34" t="str">
        <f t="shared" si="693"/>
        <v>C:\Users\jaime.benazar\Quorum Business Solutions\Ecopetrol Prometeo - Documents\Planning Space Implementation\3. Analysis &amp; Design\Design\FC22\DRR Jaime\Neiva CPI\[DINA TERCIARIOS_CF_SEC_New_27-Mar-2024.xlsx]D-PNP'!</v>
      </c>
      <c r="G2979" s="32" t="s">
        <v>123</v>
      </c>
      <c r="H2979" s="33">
        <f t="shared" si="705"/>
        <v>25</v>
      </c>
      <c r="I2979" s="33" t="str">
        <f t="shared" si="704"/>
        <v>='C:\Users\jaime.benazar\Quorum Business Solutions\Ecopetrol Prometeo - Documents\Planning Space Implementation\3. Analysis &amp; Design\Design\FC22\DRR Jaime\Neiva CPI\[DINA TERCIARIOS_CF_SEC_New_27-Mar-2024.xlsx]D-PNP'!$DT$25</v>
      </c>
      <c r="J2979" s="37" t="s">
        <v>3348</v>
      </c>
    </row>
    <row r="2980" spans="1:10" x14ac:dyDescent="0.3">
      <c r="A2980" s="32" t="s">
        <v>15</v>
      </c>
      <c r="B2980" s="32">
        <f>+B2979+1</f>
        <v>2037</v>
      </c>
      <c r="C2980" s="33" t="s">
        <v>110</v>
      </c>
      <c r="D2980" s="34" t="s">
        <v>2002</v>
      </c>
      <c r="E2980" s="35" t="str">
        <f t="shared" si="692"/>
        <v>PNP'!</v>
      </c>
      <c r="F2980" s="34" t="str">
        <f t="shared" si="693"/>
        <v>C:\Users\jaime.benazar\Quorum Business Solutions\Ecopetrol Prometeo - Documents\Planning Space Implementation\3. Analysis &amp; Design\Design\FC22\DRR Jaime\Neiva CPI\[DINA TERCIARIOS_CF_SEC_New_27-Mar-2024.xlsx]D-PNP'!</v>
      </c>
      <c r="G2980" s="32" t="s">
        <v>123</v>
      </c>
      <c r="H2980" s="33">
        <f t="shared" si="705"/>
        <v>26</v>
      </c>
      <c r="I2980" s="33" t="str">
        <f t="shared" si="704"/>
        <v>='C:\Users\jaime.benazar\Quorum Business Solutions\Ecopetrol Prometeo - Documents\Planning Space Implementation\3. Analysis &amp; Design\Design\FC22\DRR Jaime\Neiva CPI\[DINA TERCIARIOS_CF_SEC_New_27-Mar-2024.xlsx]D-PNP'!$DT$26</v>
      </c>
      <c r="J2980" s="37" t="s">
        <v>3349</v>
      </c>
    </row>
    <row r="2981" spans="1:10" x14ac:dyDescent="0.3">
      <c r="A2981" s="32" t="s">
        <v>15</v>
      </c>
      <c r="B2981" s="32">
        <f t="shared" ref="B2981:B2983" si="707">+B2980+1</f>
        <v>2038</v>
      </c>
      <c r="C2981" s="33" t="s">
        <v>110</v>
      </c>
      <c r="D2981" s="34" t="s">
        <v>2002</v>
      </c>
      <c r="E2981" s="35" t="str">
        <f t="shared" si="692"/>
        <v>PNP'!</v>
      </c>
      <c r="F2981" s="34" t="str">
        <f t="shared" si="693"/>
        <v>C:\Users\jaime.benazar\Quorum Business Solutions\Ecopetrol Prometeo - Documents\Planning Space Implementation\3. Analysis &amp; Design\Design\FC22\DRR Jaime\Neiva CPI\[DINA TERCIARIOS_CF_SEC_New_27-Mar-2024.xlsx]D-PNP'!</v>
      </c>
      <c r="G2981" s="32" t="s">
        <v>123</v>
      </c>
      <c r="H2981" s="33">
        <f t="shared" si="705"/>
        <v>27</v>
      </c>
      <c r="I2981" s="33" t="str">
        <f t="shared" si="704"/>
        <v>='C:\Users\jaime.benazar\Quorum Business Solutions\Ecopetrol Prometeo - Documents\Planning Space Implementation\3. Analysis &amp; Design\Design\FC22\DRR Jaime\Neiva CPI\[DINA TERCIARIOS_CF_SEC_New_27-Mar-2024.xlsx]D-PNP'!$DT$27</v>
      </c>
      <c r="J2981" s="37" t="s">
        <v>3350</v>
      </c>
    </row>
    <row r="2982" spans="1:10" x14ac:dyDescent="0.3">
      <c r="A2982" s="32" t="s">
        <v>15</v>
      </c>
      <c r="B2982" s="32">
        <f t="shared" si="707"/>
        <v>2039</v>
      </c>
      <c r="C2982" s="33" t="s">
        <v>110</v>
      </c>
      <c r="D2982" s="34" t="s">
        <v>2002</v>
      </c>
      <c r="E2982" s="35" t="str">
        <f t="shared" si="692"/>
        <v>PNP'!</v>
      </c>
      <c r="F2982" s="34" t="str">
        <f t="shared" si="693"/>
        <v>C:\Users\jaime.benazar\Quorum Business Solutions\Ecopetrol Prometeo - Documents\Planning Space Implementation\3. Analysis &amp; Design\Design\FC22\DRR Jaime\Neiva CPI\[DINA TERCIARIOS_CF_SEC_New_27-Mar-2024.xlsx]D-PNP'!</v>
      </c>
      <c r="G2982" s="32" t="s">
        <v>123</v>
      </c>
      <c r="H2982" s="33">
        <f t="shared" si="705"/>
        <v>28</v>
      </c>
      <c r="I2982" s="33" t="str">
        <f t="shared" si="704"/>
        <v>='C:\Users\jaime.benazar\Quorum Business Solutions\Ecopetrol Prometeo - Documents\Planning Space Implementation\3. Analysis &amp; Design\Design\FC22\DRR Jaime\Neiva CPI\[DINA TERCIARIOS_CF_SEC_New_27-Mar-2024.xlsx]D-PNP'!$DT$28</v>
      </c>
      <c r="J2982" s="37" t="s">
        <v>3351</v>
      </c>
    </row>
    <row r="2983" spans="1:10" x14ac:dyDescent="0.3">
      <c r="A2983" s="32" t="s">
        <v>15</v>
      </c>
      <c r="B2983" s="32">
        <f t="shared" si="707"/>
        <v>2040</v>
      </c>
      <c r="C2983" s="33" t="s">
        <v>110</v>
      </c>
      <c r="D2983" s="34" t="s">
        <v>2002</v>
      </c>
      <c r="E2983" s="35" t="str">
        <f t="shared" si="692"/>
        <v>PNP'!</v>
      </c>
      <c r="F2983" s="34" t="str">
        <f t="shared" si="693"/>
        <v>C:\Users\jaime.benazar\Quorum Business Solutions\Ecopetrol Prometeo - Documents\Planning Space Implementation\3. Analysis &amp; Design\Design\FC22\DRR Jaime\Neiva CPI\[DINA TERCIARIOS_CF_SEC_New_27-Mar-2024.xlsx]D-PNP'!</v>
      </c>
      <c r="G2983" s="32" t="s">
        <v>123</v>
      </c>
      <c r="H2983" s="33">
        <f t="shared" si="705"/>
        <v>29</v>
      </c>
      <c r="I2983" s="33" t="str">
        <f t="shared" si="704"/>
        <v>='C:\Users\jaime.benazar\Quorum Business Solutions\Ecopetrol Prometeo - Documents\Planning Space Implementation\3. Analysis &amp; Design\Design\FC22\DRR Jaime\Neiva CPI\[DINA TERCIARIOS_CF_SEC_New_27-Mar-2024.xlsx]D-PNP'!$DT$29</v>
      </c>
      <c r="J2983" s="37" t="s">
        <v>3352</v>
      </c>
    </row>
    <row r="2984" spans="1:10" x14ac:dyDescent="0.3">
      <c r="A2984" s="32" t="s">
        <v>15</v>
      </c>
      <c r="B2984" s="32">
        <f>+B2983+1</f>
        <v>2041</v>
      </c>
      <c r="C2984" s="33" t="s">
        <v>110</v>
      </c>
      <c r="D2984" s="34" t="s">
        <v>2002</v>
      </c>
      <c r="E2984" s="35" t="str">
        <f t="shared" si="692"/>
        <v>PNP'!</v>
      </c>
      <c r="F2984" s="34" t="str">
        <f t="shared" si="693"/>
        <v>C:\Users\jaime.benazar\Quorum Business Solutions\Ecopetrol Prometeo - Documents\Planning Space Implementation\3. Analysis &amp; Design\Design\FC22\DRR Jaime\Neiva CPI\[DINA TERCIARIOS_CF_SEC_New_27-Mar-2024.xlsx]D-PNP'!</v>
      </c>
      <c r="G2984" s="32" t="s">
        <v>123</v>
      </c>
      <c r="H2984" s="33">
        <f t="shared" si="705"/>
        <v>30</v>
      </c>
      <c r="I2984" s="33" t="str">
        <f t="shared" si="704"/>
        <v>='C:\Users\jaime.benazar\Quorum Business Solutions\Ecopetrol Prometeo - Documents\Planning Space Implementation\3. Analysis &amp; Design\Design\FC22\DRR Jaime\Neiva CPI\[DINA TERCIARIOS_CF_SEC_New_27-Mar-2024.xlsx]D-PNP'!$DT$30</v>
      </c>
      <c r="J2984" s="37" t="s">
        <v>3353</v>
      </c>
    </row>
    <row r="2985" spans="1:10" x14ac:dyDescent="0.3">
      <c r="A2985" s="32" t="s">
        <v>15</v>
      </c>
      <c r="B2985" s="32">
        <f t="shared" ref="B2985:B2986" si="708">+B2984+1</f>
        <v>2042</v>
      </c>
      <c r="C2985" s="33" t="s">
        <v>110</v>
      </c>
      <c r="D2985" s="34" t="s">
        <v>2002</v>
      </c>
      <c r="E2985" s="35" t="str">
        <f t="shared" si="692"/>
        <v>PNP'!</v>
      </c>
      <c r="F2985" s="34" t="str">
        <f t="shared" si="693"/>
        <v>C:\Users\jaime.benazar\Quorum Business Solutions\Ecopetrol Prometeo - Documents\Planning Space Implementation\3. Analysis &amp; Design\Design\FC22\DRR Jaime\Neiva CPI\[DINA TERCIARIOS_CF_SEC_New_27-Mar-2024.xlsx]D-PNP'!</v>
      </c>
      <c r="G2985" s="32" t="s">
        <v>123</v>
      </c>
      <c r="H2985" s="33">
        <f t="shared" si="705"/>
        <v>31</v>
      </c>
      <c r="I2985" s="33" t="str">
        <f t="shared" si="704"/>
        <v>='C:\Users\jaime.benazar\Quorum Business Solutions\Ecopetrol Prometeo - Documents\Planning Space Implementation\3. Analysis &amp; Design\Design\FC22\DRR Jaime\Neiva CPI\[DINA TERCIARIOS_CF_SEC_New_27-Mar-2024.xlsx]D-PNP'!$DT$31</v>
      </c>
      <c r="J2985" s="37" t="s">
        <v>3354</v>
      </c>
    </row>
    <row r="2986" spans="1:10" x14ac:dyDescent="0.3">
      <c r="A2986" s="32" t="s">
        <v>15</v>
      </c>
      <c r="B2986" s="32">
        <f t="shared" si="708"/>
        <v>2043</v>
      </c>
      <c r="C2986" s="33" t="s">
        <v>110</v>
      </c>
      <c r="D2986" s="34" t="s">
        <v>2002</v>
      </c>
      <c r="E2986" s="35" t="str">
        <f t="shared" si="692"/>
        <v>PNP'!</v>
      </c>
      <c r="F2986" s="34" t="str">
        <f t="shared" si="693"/>
        <v>C:\Users\jaime.benazar\Quorum Business Solutions\Ecopetrol Prometeo - Documents\Planning Space Implementation\3. Analysis &amp; Design\Design\FC22\DRR Jaime\Neiva CPI\[DINA TERCIARIOS_CF_SEC_New_27-Mar-2024.xlsx]D-PNP'!</v>
      </c>
      <c r="G2986" s="32" t="s">
        <v>123</v>
      </c>
      <c r="H2986" s="33">
        <f t="shared" si="705"/>
        <v>32</v>
      </c>
      <c r="I2986" s="33" t="str">
        <f t="shared" si="704"/>
        <v>='C:\Users\jaime.benazar\Quorum Business Solutions\Ecopetrol Prometeo - Documents\Planning Space Implementation\3. Analysis &amp; Design\Design\FC22\DRR Jaime\Neiva CPI\[DINA TERCIARIOS_CF_SEC_New_27-Mar-2024.xlsx]D-PNP'!$DT$32</v>
      </c>
      <c r="J2986" s="37" t="s">
        <v>3355</v>
      </c>
    </row>
    <row r="2987" spans="1:10" x14ac:dyDescent="0.3">
      <c r="A2987" s="32" t="s">
        <v>15</v>
      </c>
      <c r="B2987" s="32">
        <f>+B2986+1</f>
        <v>2044</v>
      </c>
      <c r="C2987" s="33" t="s">
        <v>110</v>
      </c>
      <c r="D2987" s="34" t="s">
        <v>2002</v>
      </c>
      <c r="E2987" s="35" t="str">
        <f t="shared" ref="E2987:E3002" si="709">_xlfn.CONCAT(A2987,"'!")</f>
        <v>PNP'!</v>
      </c>
      <c r="F2987" s="34" t="str">
        <f t="shared" ref="F2987:F3002" si="710">_xlfn.CONCAT(D2987:E2987)</f>
        <v>C:\Users\jaime.benazar\Quorum Business Solutions\Ecopetrol Prometeo - Documents\Planning Space Implementation\3. Analysis &amp; Design\Design\FC22\DRR Jaime\Neiva CPI\[DINA TERCIARIOS_CF_SEC_New_27-Mar-2024.xlsx]D-PNP'!</v>
      </c>
      <c r="G2987" s="32" t="s">
        <v>123</v>
      </c>
      <c r="H2987" s="33">
        <f t="shared" ref="H2987:H3002" si="711">IF(A2987&lt;&gt;A2986,12,H2986+1)</f>
        <v>33</v>
      </c>
      <c r="I2987" s="33" t="str">
        <f t="shared" ref="I2987:I3002" si="712">_xlfn.CONCAT("='",F2987:H2987)</f>
        <v>='C:\Users\jaime.benazar\Quorum Business Solutions\Ecopetrol Prometeo - Documents\Planning Space Implementation\3. Analysis &amp; Design\Design\FC22\DRR Jaime\Neiva CPI\[DINA TERCIARIOS_CF_SEC_New_27-Mar-2024.xlsx]D-PNP'!$DT$33</v>
      </c>
      <c r="J2987" s="37" t="s">
        <v>3356</v>
      </c>
    </row>
    <row r="2988" spans="1:10" x14ac:dyDescent="0.3">
      <c r="A2988" s="32" t="s">
        <v>15</v>
      </c>
      <c r="B2988" s="32">
        <f t="shared" ref="B2988:B3002" si="713">+B2987+1</f>
        <v>2045</v>
      </c>
      <c r="C2988" s="33" t="s">
        <v>110</v>
      </c>
      <c r="D2988" s="34" t="s">
        <v>2002</v>
      </c>
      <c r="E2988" s="35" t="str">
        <f t="shared" si="709"/>
        <v>PNP'!</v>
      </c>
      <c r="F2988" s="34" t="str">
        <f t="shared" si="710"/>
        <v>C:\Users\jaime.benazar\Quorum Business Solutions\Ecopetrol Prometeo - Documents\Planning Space Implementation\3. Analysis &amp; Design\Design\FC22\DRR Jaime\Neiva CPI\[DINA TERCIARIOS_CF_SEC_New_27-Mar-2024.xlsx]D-PNP'!</v>
      </c>
      <c r="G2988" s="32" t="s">
        <v>123</v>
      </c>
      <c r="H2988" s="33">
        <f t="shared" si="711"/>
        <v>34</v>
      </c>
      <c r="I2988" s="33" t="str">
        <f t="shared" si="712"/>
        <v>='C:\Users\jaime.benazar\Quorum Business Solutions\Ecopetrol Prometeo - Documents\Planning Space Implementation\3. Analysis &amp; Design\Design\FC22\DRR Jaime\Neiva CPI\[DINA TERCIARIOS_CF_SEC_New_27-Mar-2024.xlsx]D-PNP'!$DT$34</v>
      </c>
      <c r="J2988" s="37" t="s">
        <v>3357</v>
      </c>
    </row>
    <row r="2989" spans="1:10" x14ac:dyDescent="0.3">
      <c r="A2989" s="32" t="s">
        <v>15</v>
      </c>
      <c r="B2989" s="32">
        <f t="shared" si="713"/>
        <v>2046</v>
      </c>
      <c r="C2989" s="33" t="s">
        <v>110</v>
      </c>
      <c r="D2989" s="34" t="s">
        <v>2002</v>
      </c>
      <c r="E2989" s="35" t="str">
        <f t="shared" si="709"/>
        <v>PNP'!</v>
      </c>
      <c r="F2989" s="34" t="str">
        <f t="shared" si="710"/>
        <v>C:\Users\jaime.benazar\Quorum Business Solutions\Ecopetrol Prometeo - Documents\Planning Space Implementation\3. Analysis &amp; Design\Design\FC22\DRR Jaime\Neiva CPI\[DINA TERCIARIOS_CF_SEC_New_27-Mar-2024.xlsx]D-PNP'!</v>
      </c>
      <c r="G2989" s="32" t="s">
        <v>123</v>
      </c>
      <c r="H2989" s="33">
        <f t="shared" si="711"/>
        <v>35</v>
      </c>
      <c r="I2989" s="33" t="str">
        <f t="shared" si="712"/>
        <v>='C:\Users\jaime.benazar\Quorum Business Solutions\Ecopetrol Prometeo - Documents\Planning Space Implementation\3. Analysis &amp; Design\Design\FC22\DRR Jaime\Neiva CPI\[DINA TERCIARIOS_CF_SEC_New_27-Mar-2024.xlsx]D-PNP'!$DT$35</v>
      </c>
      <c r="J2989" s="37" t="s">
        <v>3358</v>
      </c>
    </row>
    <row r="2990" spans="1:10" x14ac:dyDescent="0.3">
      <c r="A2990" s="32" t="s">
        <v>15</v>
      </c>
      <c r="B2990" s="32">
        <f t="shared" si="713"/>
        <v>2047</v>
      </c>
      <c r="C2990" s="33" t="s">
        <v>110</v>
      </c>
      <c r="D2990" s="34" t="s">
        <v>2002</v>
      </c>
      <c r="E2990" s="35" t="str">
        <f t="shared" si="709"/>
        <v>PNP'!</v>
      </c>
      <c r="F2990" s="34" t="str">
        <f t="shared" si="710"/>
        <v>C:\Users\jaime.benazar\Quorum Business Solutions\Ecopetrol Prometeo - Documents\Planning Space Implementation\3. Analysis &amp; Design\Design\FC22\DRR Jaime\Neiva CPI\[DINA TERCIARIOS_CF_SEC_New_27-Mar-2024.xlsx]D-PNP'!</v>
      </c>
      <c r="G2990" s="32" t="s">
        <v>123</v>
      </c>
      <c r="H2990" s="33">
        <f t="shared" si="711"/>
        <v>36</v>
      </c>
      <c r="I2990" s="33" t="str">
        <f t="shared" si="712"/>
        <v>='C:\Users\jaime.benazar\Quorum Business Solutions\Ecopetrol Prometeo - Documents\Planning Space Implementation\3. Analysis &amp; Design\Design\FC22\DRR Jaime\Neiva CPI\[DINA TERCIARIOS_CF_SEC_New_27-Mar-2024.xlsx]D-PNP'!$DT$36</v>
      </c>
      <c r="J2990" s="37" t="s">
        <v>3359</v>
      </c>
    </row>
    <row r="2991" spans="1:10" x14ac:dyDescent="0.3">
      <c r="A2991" s="32" t="s">
        <v>15</v>
      </c>
      <c r="B2991" s="32">
        <f t="shared" si="713"/>
        <v>2048</v>
      </c>
      <c r="C2991" s="33" t="s">
        <v>110</v>
      </c>
      <c r="D2991" s="34" t="s">
        <v>2002</v>
      </c>
      <c r="E2991" s="35" t="str">
        <f t="shared" si="709"/>
        <v>PNP'!</v>
      </c>
      <c r="F2991" s="34" t="str">
        <f t="shared" si="710"/>
        <v>C:\Users\jaime.benazar\Quorum Business Solutions\Ecopetrol Prometeo - Documents\Planning Space Implementation\3. Analysis &amp; Design\Design\FC22\DRR Jaime\Neiva CPI\[DINA TERCIARIOS_CF_SEC_New_27-Mar-2024.xlsx]D-PNP'!</v>
      </c>
      <c r="G2991" s="32" t="s">
        <v>123</v>
      </c>
      <c r="H2991" s="33">
        <f t="shared" si="711"/>
        <v>37</v>
      </c>
      <c r="I2991" s="33" t="str">
        <f t="shared" si="712"/>
        <v>='C:\Users\jaime.benazar\Quorum Business Solutions\Ecopetrol Prometeo - Documents\Planning Space Implementation\3. Analysis &amp; Design\Design\FC22\DRR Jaime\Neiva CPI\[DINA TERCIARIOS_CF_SEC_New_27-Mar-2024.xlsx]D-PNP'!$DT$37</v>
      </c>
      <c r="J2991" s="37" t="s">
        <v>3360</v>
      </c>
    </row>
    <row r="2992" spans="1:10" x14ac:dyDescent="0.3">
      <c r="A2992" s="32" t="s">
        <v>15</v>
      </c>
      <c r="B2992" s="32">
        <f t="shared" si="713"/>
        <v>2049</v>
      </c>
      <c r="C2992" s="33" t="s">
        <v>110</v>
      </c>
      <c r="D2992" s="34" t="s">
        <v>2002</v>
      </c>
      <c r="E2992" s="35" t="str">
        <f t="shared" si="709"/>
        <v>PNP'!</v>
      </c>
      <c r="F2992" s="34" t="str">
        <f t="shared" si="710"/>
        <v>C:\Users\jaime.benazar\Quorum Business Solutions\Ecopetrol Prometeo - Documents\Planning Space Implementation\3. Analysis &amp; Design\Design\FC22\DRR Jaime\Neiva CPI\[DINA TERCIARIOS_CF_SEC_New_27-Mar-2024.xlsx]D-PNP'!</v>
      </c>
      <c r="G2992" s="32" t="s">
        <v>123</v>
      </c>
      <c r="H2992" s="33">
        <f t="shared" si="711"/>
        <v>38</v>
      </c>
      <c r="I2992" s="33" t="str">
        <f t="shared" si="712"/>
        <v>='C:\Users\jaime.benazar\Quorum Business Solutions\Ecopetrol Prometeo - Documents\Planning Space Implementation\3. Analysis &amp; Design\Design\FC22\DRR Jaime\Neiva CPI\[DINA TERCIARIOS_CF_SEC_New_27-Mar-2024.xlsx]D-PNP'!$DT$38</v>
      </c>
      <c r="J2992" s="37" t="s">
        <v>3361</v>
      </c>
    </row>
    <row r="2993" spans="1:10" x14ac:dyDescent="0.3">
      <c r="A2993" s="32" t="s">
        <v>15</v>
      </c>
      <c r="B2993" s="32">
        <f t="shared" si="713"/>
        <v>2050</v>
      </c>
      <c r="C2993" s="33" t="s">
        <v>110</v>
      </c>
      <c r="D2993" s="34" t="s">
        <v>2002</v>
      </c>
      <c r="E2993" s="35" t="str">
        <f t="shared" si="709"/>
        <v>PNP'!</v>
      </c>
      <c r="F2993" s="34" t="str">
        <f t="shared" si="710"/>
        <v>C:\Users\jaime.benazar\Quorum Business Solutions\Ecopetrol Prometeo - Documents\Planning Space Implementation\3. Analysis &amp; Design\Design\FC22\DRR Jaime\Neiva CPI\[DINA TERCIARIOS_CF_SEC_New_27-Mar-2024.xlsx]D-PNP'!</v>
      </c>
      <c r="G2993" s="32" t="s">
        <v>123</v>
      </c>
      <c r="H2993" s="33">
        <f t="shared" si="711"/>
        <v>39</v>
      </c>
      <c r="I2993" s="33" t="str">
        <f t="shared" si="712"/>
        <v>='C:\Users\jaime.benazar\Quorum Business Solutions\Ecopetrol Prometeo - Documents\Planning Space Implementation\3. Analysis &amp; Design\Design\FC22\DRR Jaime\Neiva CPI\[DINA TERCIARIOS_CF_SEC_New_27-Mar-2024.xlsx]D-PNP'!$DT$39</v>
      </c>
      <c r="J2993" s="37" t="s">
        <v>3362</v>
      </c>
    </row>
    <row r="2994" spans="1:10" x14ac:dyDescent="0.3">
      <c r="A2994" s="32" t="s">
        <v>15</v>
      </c>
      <c r="B2994" s="32">
        <f t="shared" si="713"/>
        <v>2051</v>
      </c>
      <c r="C2994" s="33" t="s">
        <v>110</v>
      </c>
      <c r="D2994" s="34" t="s">
        <v>2002</v>
      </c>
      <c r="E2994" s="35" t="str">
        <f t="shared" si="709"/>
        <v>PNP'!</v>
      </c>
      <c r="F2994" s="34" t="str">
        <f t="shared" si="710"/>
        <v>C:\Users\jaime.benazar\Quorum Business Solutions\Ecopetrol Prometeo - Documents\Planning Space Implementation\3. Analysis &amp; Design\Design\FC22\DRR Jaime\Neiva CPI\[DINA TERCIARIOS_CF_SEC_New_27-Mar-2024.xlsx]D-PNP'!</v>
      </c>
      <c r="G2994" s="32" t="s">
        <v>123</v>
      </c>
      <c r="H2994" s="33">
        <f t="shared" si="711"/>
        <v>40</v>
      </c>
      <c r="I2994" s="33" t="str">
        <f t="shared" si="712"/>
        <v>='C:\Users\jaime.benazar\Quorum Business Solutions\Ecopetrol Prometeo - Documents\Planning Space Implementation\3. Analysis &amp; Design\Design\FC22\DRR Jaime\Neiva CPI\[DINA TERCIARIOS_CF_SEC_New_27-Mar-2024.xlsx]D-PNP'!$DT$40</v>
      </c>
      <c r="J2994" s="37" t="s">
        <v>3363</v>
      </c>
    </row>
    <row r="2995" spans="1:10" x14ac:dyDescent="0.3">
      <c r="A2995" s="32" t="s">
        <v>15</v>
      </c>
      <c r="B2995" s="32">
        <f t="shared" si="713"/>
        <v>2052</v>
      </c>
      <c r="C2995" s="33" t="s">
        <v>110</v>
      </c>
      <c r="D2995" s="34" t="s">
        <v>2002</v>
      </c>
      <c r="E2995" s="35" t="str">
        <f t="shared" si="709"/>
        <v>PNP'!</v>
      </c>
      <c r="F2995" s="34" t="str">
        <f t="shared" si="710"/>
        <v>C:\Users\jaime.benazar\Quorum Business Solutions\Ecopetrol Prometeo - Documents\Planning Space Implementation\3. Analysis &amp; Design\Design\FC22\DRR Jaime\Neiva CPI\[DINA TERCIARIOS_CF_SEC_New_27-Mar-2024.xlsx]D-PNP'!</v>
      </c>
      <c r="G2995" s="32" t="s">
        <v>123</v>
      </c>
      <c r="H2995" s="33">
        <f t="shared" si="711"/>
        <v>41</v>
      </c>
      <c r="I2995" s="33" t="str">
        <f t="shared" si="712"/>
        <v>='C:\Users\jaime.benazar\Quorum Business Solutions\Ecopetrol Prometeo - Documents\Planning Space Implementation\3. Analysis &amp; Design\Design\FC22\DRR Jaime\Neiva CPI\[DINA TERCIARIOS_CF_SEC_New_27-Mar-2024.xlsx]D-PNP'!$DT$41</v>
      </c>
      <c r="J2995" s="37" t="s">
        <v>3364</v>
      </c>
    </row>
    <row r="2996" spans="1:10" x14ac:dyDescent="0.3">
      <c r="A2996" s="32" t="s">
        <v>15</v>
      </c>
      <c r="B2996" s="32">
        <f t="shared" si="713"/>
        <v>2053</v>
      </c>
      <c r="C2996" s="33" t="s">
        <v>110</v>
      </c>
      <c r="D2996" s="34" t="s">
        <v>2002</v>
      </c>
      <c r="E2996" s="35" t="str">
        <f t="shared" si="709"/>
        <v>PNP'!</v>
      </c>
      <c r="F2996" s="34" t="str">
        <f t="shared" si="710"/>
        <v>C:\Users\jaime.benazar\Quorum Business Solutions\Ecopetrol Prometeo - Documents\Planning Space Implementation\3. Analysis &amp; Design\Design\FC22\DRR Jaime\Neiva CPI\[DINA TERCIARIOS_CF_SEC_New_27-Mar-2024.xlsx]D-PNP'!</v>
      </c>
      <c r="G2996" s="32" t="s">
        <v>123</v>
      </c>
      <c r="H2996" s="33">
        <f t="shared" si="711"/>
        <v>42</v>
      </c>
      <c r="I2996" s="33" t="str">
        <f t="shared" si="712"/>
        <v>='C:\Users\jaime.benazar\Quorum Business Solutions\Ecopetrol Prometeo - Documents\Planning Space Implementation\3. Analysis &amp; Design\Design\FC22\DRR Jaime\Neiva CPI\[DINA TERCIARIOS_CF_SEC_New_27-Mar-2024.xlsx]D-PNP'!$DT$42</v>
      </c>
      <c r="J2996" s="37" t="s">
        <v>3365</v>
      </c>
    </row>
    <row r="2997" spans="1:10" x14ac:dyDescent="0.3">
      <c r="A2997" s="32" t="s">
        <v>15</v>
      </c>
      <c r="B2997" s="32">
        <f t="shared" si="713"/>
        <v>2054</v>
      </c>
      <c r="C2997" s="33" t="s">
        <v>110</v>
      </c>
      <c r="D2997" s="34" t="s">
        <v>2002</v>
      </c>
      <c r="E2997" s="35" t="str">
        <f t="shared" si="709"/>
        <v>PNP'!</v>
      </c>
      <c r="F2997" s="34" t="str">
        <f t="shared" si="710"/>
        <v>C:\Users\jaime.benazar\Quorum Business Solutions\Ecopetrol Prometeo - Documents\Planning Space Implementation\3. Analysis &amp; Design\Design\FC22\DRR Jaime\Neiva CPI\[DINA TERCIARIOS_CF_SEC_New_27-Mar-2024.xlsx]D-PNP'!</v>
      </c>
      <c r="G2997" s="32" t="s">
        <v>123</v>
      </c>
      <c r="H2997" s="33">
        <f t="shared" si="711"/>
        <v>43</v>
      </c>
      <c r="I2997" s="33" t="str">
        <f t="shared" si="712"/>
        <v>='C:\Users\jaime.benazar\Quorum Business Solutions\Ecopetrol Prometeo - Documents\Planning Space Implementation\3. Analysis &amp; Design\Design\FC22\DRR Jaime\Neiva CPI\[DINA TERCIARIOS_CF_SEC_New_27-Mar-2024.xlsx]D-PNP'!$DT$43</v>
      </c>
      <c r="J2997" s="37" t="s">
        <v>3366</v>
      </c>
    </row>
    <row r="2998" spans="1:10" x14ac:dyDescent="0.3">
      <c r="A2998" s="32" t="s">
        <v>15</v>
      </c>
      <c r="B2998" s="32">
        <f t="shared" si="713"/>
        <v>2055</v>
      </c>
      <c r="C2998" s="33" t="s">
        <v>110</v>
      </c>
      <c r="D2998" s="34" t="s">
        <v>2002</v>
      </c>
      <c r="E2998" s="35" t="str">
        <f t="shared" si="709"/>
        <v>PNP'!</v>
      </c>
      <c r="F2998" s="34" t="str">
        <f t="shared" si="710"/>
        <v>C:\Users\jaime.benazar\Quorum Business Solutions\Ecopetrol Prometeo - Documents\Planning Space Implementation\3. Analysis &amp; Design\Design\FC22\DRR Jaime\Neiva CPI\[DINA TERCIARIOS_CF_SEC_New_27-Mar-2024.xlsx]D-PNP'!</v>
      </c>
      <c r="G2998" s="32" t="s">
        <v>123</v>
      </c>
      <c r="H2998" s="33">
        <f t="shared" si="711"/>
        <v>44</v>
      </c>
      <c r="I2998" s="33" t="str">
        <f t="shared" si="712"/>
        <v>='C:\Users\jaime.benazar\Quorum Business Solutions\Ecopetrol Prometeo - Documents\Planning Space Implementation\3. Analysis &amp; Design\Design\FC22\DRR Jaime\Neiva CPI\[DINA TERCIARIOS_CF_SEC_New_27-Mar-2024.xlsx]D-PNP'!$DT$44</v>
      </c>
      <c r="J2998" s="37" t="s">
        <v>3367</v>
      </c>
    </row>
    <row r="2999" spans="1:10" x14ac:dyDescent="0.3">
      <c r="A2999" s="32" t="s">
        <v>15</v>
      </c>
      <c r="B2999" s="32">
        <f t="shared" si="713"/>
        <v>2056</v>
      </c>
      <c r="C2999" s="33" t="s">
        <v>110</v>
      </c>
      <c r="D2999" s="34" t="s">
        <v>2002</v>
      </c>
      <c r="E2999" s="35" t="str">
        <f t="shared" si="709"/>
        <v>PNP'!</v>
      </c>
      <c r="F2999" s="34" t="str">
        <f t="shared" si="710"/>
        <v>C:\Users\jaime.benazar\Quorum Business Solutions\Ecopetrol Prometeo - Documents\Planning Space Implementation\3. Analysis &amp; Design\Design\FC22\DRR Jaime\Neiva CPI\[DINA TERCIARIOS_CF_SEC_New_27-Mar-2024.xlsx]D-PNP'!</v>
      </c>
      <c r="G2999" s="32" t="s">
        <v>123</v>
      </c>
      <c r="H2999" s="33">
        <f t="shared" si="711"/>
        <v>45</v>
      </c>
      <c r="I2999" s="33" t="str">
        <f t="shared" si="712"/>
        <v>='C:\Users\jaime.benazar\Quorum Business Solutions\Ecopetrol Prometeo - Documents\Planning Space Implementation\3. Analysis &amp; Design\Design\FC22\DRR Jaime\Neiva CPI\[DINA TERCIARIOS_CF_SEC_New_27-Mar-2024.xlsx]D-PNP'!$DT$45</v>
      </c>
      <c r="J2999" s="37" t="s">
        <v>3368</v>
      </c>
    </row>
    <row r="3000" spans="1:10" x14ac:dyDescent="0.3">
      <c r="A3000" s="32" t="s">
        <v>15</v>
      </c>
      <c r="B3000" s="32">
        <f t="shared" si="713"/>
        <v>2057</v>
      </c>
      <c r="C3000" s="33" t="s">
        <v>110</v>
      </c>
      <c r="D3000" s="34" t="s">
        <v>2002</v>
      </c>
      <c r="E3000" s="35" t="str">
        <f t="shared" si="709"/>
        <v>PNP'!</v>
      </c>
      <c r="F3000" s="34" t="str">
        <f t="shared" si="710"/>
        <v>C:\Users\jaime.benazar\Quorum Business Solutions\Ecopetrol Prometeo - Documents\Planning Space Implementation\3. Analysis &amp; Design\Design\FC22\DRR Jaime\Neiva CPI\[DINA TERCIARIOS_CF_SEC_New_27-Mar-2024.xlsx]D-PNP'!</v>
      </c>
      <c r="G3000" s="32" t="s">
        <v>123</v>
      </c>
      <c r="H3000" s="33">
        <f t="shared" si="711"/>
        <v>46</v>
      </c>
      <c r="I3000" s="33" t="str">
        <f t="shared" si="712"/>
        <v>='C:\Users\jaime.benazar\Quorum Business Solutions\Ecopetrol Prometeo - Documents\Planning Space Implementation\3. Analysis &amp; Design\Design\FC22\DRR Jaime\Neiva CPI\[DINA TERCIARIOS_CF_SEC_New_27-Mar-2024.xlsx]D-PNP'!$DT$46</v>
      </c>
      <c r="J3000" s="37" t="s">
        <v>3369</v>
      </c>
    </row>
    <row r="3001" spans="1:10" x14ac:dyDescent="0.3">
      <c r="A3001" s="32" t="s">
        <v>15</v>
      </c>
      <c r="B3001" s="32">
        <f t="shared" si="713"/>
        <v>2058</v>
      </c>
      <c r="C3001" s="33" t="s">
        <v>110</v>
      </c>
      <c r="D3001" s="34" t="s">
        <v>2002</v>
      </c>
      <c r="E3001" s="35" t="str">
        <f t="shared" si="709"/>
        <v>PNP'!</v>
      </c>
      <c r="F3001" s="34" t="str">
        <f t="shared" si="710"/>
        <v>C:\Users\jaime.benazar\Quorum Business Solutions\Ecopetrol Prometeo - Documents\Planning Space Implementation\3. Analysis &amp; Design\Design\FC22\DRR Jaime\Neiva CPI\[DINA TERCIARIOS_CF_SEC_New_27-Mar-2024.xlsx]D-PNP'!</v>
      </c>
      <c r="G3001" s="32" t="s">
        <v>123</v>
      </c>
      <c r="H3001" s="33">
        <f t="shared" si="711"/>
        <v>47</v>
      </c>
      <c r="I3001" s="33" t="str">
        <f t="shared" si="712"/>
        <v>='C:\Users\jaime.benazar\Quorum Business Solutions\Ecopetrol Prometeo - Documents\Planning Space Implementation\3. Analysis &amp; Design\Design\FC22\DRR Jaime\Neiva CPI\[DINA TERCIARIOS_CF_SEC_New_27-Mar-2024.xlsx]D-PNP'!$DT$47</v>
      </c>
      <c r="J3001" s="37" t="s">
        <v>3370</v>
      </c>
    </row>
    <row r="3002" spans="1:10" x14ac:dyDescent="0.3">
      <c r="A3002" s="32" t="s">
        <v>15</v>
      </c>
      <c r="B3002" s="32">
        <f t="shared" si="713"/>
        <v>2059</v>
      </c>
      <c r="C3002" s="33" t="s">
        <v>110</v>
      </c>
      <c r="D3002" s="34" t="s">
        <v>2002</v>
      </c>
      <c r="E3002" s="35" t="str">
        <f t="shared" si="709"/>
        <v>PNP'!</v>
      </c>
      <c r="F3002" s="34" t="str">
        <f t="shared" si="710"/>
        <v>C:\Users\jaime.benazar\Quorum Business Solutions\Ecopetrol Prometeo - Documents\Planning Space Implementation\3. Analysis &amp; Design\Design\FC22\DRR Jaime\Neiva CPI\[DINA TERCIARIOS_CF_SEC_New_27-Mar-2024.xlsx]D-PNP'!</v>
      </c>
      <c r="G3002" s="32" t="s">
        <v>123</v>
      </c>
      <c r="H3002" s="33">
        <f t="shared" si="711"/>
        <v>48</v>
      </c>
      <c r="I3002" s="33" t="str">
        <f t="shared" si="712"/>
        <v>='C:\Users\jaime.benazar\Quorum Business Solutions\Ecopetrol Prometeo - Documents\Planning Space Implementation\3. Analysis &amp; Design\Design\FC22\DRR Jaime\Neiva CPI\[DINA TERCIARIOS_CF_SEC_New_27-Mar-2024.xlsx]D-PNP'!$DT$48</v>
      </c>
      <c r="J3002" s="37" t="s">
        <v>3371</v>
      </c>
    </row>
    <row r="3003" spans="1:10" x14ac:dyDescent="0.3">
      <c r="A3003" s="32" t="s">
        <v>26</v>
      </c>
      <c r="B3003" s="32"/>
      <c r="C3003" s="33" t="s">
        <v>110</v>
      </c>
      <c r="D3003" s="34"/>
      <c r="E3003" s="35"/>
      <c r="F3003" s="34"/>
      <c r="G3003" s="32"/>
      <c r="H3003" s="33"/>
      <c r="I3003" s="33"/>
      <c r="J3003" s="33"/>
    </row>
    <row r="3004" spans="1:10" x14ac:dyDescent="0.3">
      <c r="A3004" s="32" t="s">
        <v>16</v>
      </c>
      <c r="B3004" s="32">
        <v>2023</v>
      </c>
      <c r="C3004" s="33" t="s">
        <v>110</v>
      </c>
      <c r="D3004" s="34" t="s">
        <v>2002</v>
      </c>
      <c r="E3004" s="35" t="str">
        <f t="shared" si="692"/>
        <v>PND'!</v>
      </c>
      <c r="F3004" s="34" t="str">
        <f t="shared" si="693"/>
        <v>C:\Users\jaime.benazar\Quorum Business Solutions\Ecopetrol Prometeo - Documents\Planning Space Implementation\3. Analysis &amp; Design\Design\FC22\DRR Jaime\Neiva CPI\[DINA TERCIARIOS_CF_SEC_New_27-Mar-2024.xlsx]D-PND'!</v>
      </c>
      <c r="G3004" s="32" t="s">
        <v>123</v>
      </c>
      <c r="H3004" s="33">
        <v>12</v>
      </c>
      <c r="I3004" s="33" t="str">
        <f t="shared" ref="I3004:I3024" si="714">_xlfn.CONCAT("='",F3004:H3004)</f>
        <v>='C:\Users\jaime.benazar\Quorum Business Solutions\Ecopetrol Prometeo - Documents\Planning Space Implementation\3. Analysis &amp; Design\Design\FC22\DRR Jaime\Neiva CPI\[DINA TERCIARIOS_CF_SEC_New_27-Mar-2024.xlsx]D-PND'!$DT$12</v>
      </c>
      <c r="J3004" s="37" t="s">
        <v>3372</v>
      </c>
    </row>
    <row r="3005" spans="1:10" x14ac:dyDescent="0.3">
      <c r="A3005" s="32" t="s">
        <v>16</v>
      </c>
      <c r="B3005" s="32">
        <f>+B3004+1</f>
        <v>2024</v>
      </c>
      <c r="C3005" s="33" t="s">
        <v>110</v>
      </c>
      <c r="D3005" s="34" t="s">
        <v>2002</v>
      </c>
      <c r="E3005" s="35" t="str">
        <f t="shared" si="692"/>
        <v>PND'!</v>
      </c>
      <c r="F3005" s="34" t="str">
        <f t="shared" si="693"/>
        <v>C:\Users\jaime.benazar\Quorum Business Solutions\Ecopetrol Prometeo - Documents\Planning Space Implementation\3. Analysis &amp; Design\Design\FC22\DRR Jaime\Neiva CPI\[DINA TERCIARIOS_CF_SEC_New_27-Mar-2024.xlsx]D-PND'!</v>
      </c>
      <c r="G3005" s="32" t="s">
        <v>123</v>
      </c>
      <c r="H3005" s="33">
        <f t="shared" ref="H3005:H3024" si="715">IF(A3005&lt;&gt;A3004,12,H3004+1)</f>
        <v>13</v>
      </c>
      <c r="I3005" s="33" t="str">
        <f t="shared" si="714"/>
        <v>='C:\Users\jaime.benazar\Quorum Business Solutions\Ecopetrol Prometeo - Documents\Planning Space Implementation\3. Analysis &amp; Design\Design\FC22\DRR Jaime\Neiva CPI\[DINA TERCIARIOS_CF_SEC_New_27-Mar-2024.xlsx]D-PND'!$DT$13</v>
      </c>
      <c r="J3005" s="37" t="s">
        <v>3373</v>
      </c>
    </row>
    <row r="3006" spans="1:10" x14ac:dyDescent="0.3">
      <c r="A3006" s="32" t="s">
        <v>16</v>
      </c>
      <c r="B3006" s="32">
        <f t="shared" ref="B3006:B3017" si="716">+B3005+1</f>
        <v>2025</v>
      </c>
      <c r="C3006" s="33" t="s">
        <v>110</v>
      </c>
      <c r="D3006" s="34" t="s">
        <v>2002</v>
      </c>
      <c r="E3006" s="35" t="str">
        <f t="shared" si="692"/>
        <v>PND'!</v>
      </c>
      <c r="F3006" s="34" t="str">
        <f t="shared" si="693"/>
        <v>C:\Users\jaime.benazar\Quorum Business Solutions\Ecopetrol Prometeo - Documents\Planning Space Implementation\3. Analysis &amp; Design\Design\FC22\DRR Jaime\Neiva CPI\[DINA TERCIARIOS_CF_SEC_New_27-Mar-2024.xlsx]D-PND'!</v>
      </c>
      <c r="G3006" s="32" t="s">
        <v>123</v>
      </c>
      <c r="H3006" s="33">
        <f t="shared" si="715"/>
        <v>14</v>
      </c>
      <c r="I3006" s="33" t="str">
        <f t="shared" si="714"/>
        <v>='C:\Users\jaime.benazar\Quorum Business Solutions\Ecopetrol Prometeo - Documents\Planning Space Implementation\3. Analysis &amp; Design\Design\FC22\DRR Jaime\Neiva CPI\[DINA TERCIARIOS_CF_SEC_New_27-Mar-2024.xlsx]D-PND'!$DT$14</v>
      </c>
      <c r="J3006" s="37" t="s">
        <v>3374</v>
      </c>
    </row>
    <row r="3007" spans="1:10" x14ac:dyDescent="0.3">
      <c r="A3007" s="32" t="s">
        <v>16</v>
      </c>
      <c r="B3007" s="32">
        <f t="shared" si="716"/>
        <v>2026</v>
      </c>
      <c r="C3007" s="33" t="s">
        <v>110</v>
      </c>
      <c r="D3007" s="34" t="s">
        <v>2002</v>
      </c>
      <c r="E3007" s="35" t="str">
        <f t="shared" si="692"/>
        <v>PND'!</v>
      </c>
      <c r="F3007" s="34" t="str">
        <f t="shared" si="693"/>
        <v>C:\Users\jaime.benazar\Quorum Business Solutions\Ecopetrol Prometeo - Documents\Planning Space Implementation\3. Analysis &amp; Design\Design\FC22\DRR Jaime\Neiva CPI\[DINA TERCIARIOS_CF_SEC_New_27-Mar-2024.xlsx]D-PND'!</v>
      </c>
      <c r="G3007" s="32" t="s">
        <v>123</v>
      </c>
      <c r="H3007" s="33">
        <f t="shared" si="715"/>
        <v>15</v>
      </c>
      <c r="I3007" s="33" t="str">
        <f t="shared" si="714"/>
        <v>='C:\Users\jaime.benazar\Quorum Business Solutions\Ecopetrol Prometeo - Documents\Planning Space Implementation\3. Analysis &amp; Design\Design\FC22\DRR Jaime\Neiva CPI\[DINA TERCIARIOS_CF_SEC_New_27-Mar-2024.xlsx]D-PND'!$DT$15</v>
      </c>
      <c r="J3007" s="37" t="s">
        <v>3375</v>
      </c>
    </row>
    <row r="3008" spans="1:10" x14ac:dyDescent="0.3">
      <c r="A3008" s="32" t="s">
        <v>16</v>
      </c>
      <c r="B3008" s="32">
        <f t="shared" si="716"/>
        <v>2027</v>
      </c>
      <c r="C3008" s="33" t="s">
        <v>110</v>
      </c>
      <c r="D3008" s="34" t="s">
        <v>2002</v>
      </c>
      <c r="E3008" s="35" t="str">
        <f t="shared" si="692"/>
        <v>PND'!</v>
      </c>
      <c r="F3008" s="34" t="str">
        <f t="shared" si="693"/>
        <v>C:\Users\jaime.benazar\Quorum Business Solutions\Ecopetrol Prometeo - Documents\Planning Space Implementation\3. Analysis &amp; Design\Design\FC22\DRR Jaime\Neiva CPI\[DINA TERCIARIOS_CF_SEC_New_27-Mar-2024.xlsx]D-PND'!</v>
      </c>
      <c r="G3008" s="32" t="s">
        <v>123</v>
      </c>
      <c r="H3008" s="33">
        <f t="shared" si="715"/>
        <v>16</v>
      </c>
      <c r="I3008" s="33" t="str">
        <f t="shared" si="714"/>
        <v>='C:\Users\jaime.benazar\Quorum Business Solutions\Ecopetrol Prometeo - Documents\Planning Space Implementation\3. Analysis &amp; Design\Design\FC22\DRR Jaime\Neiva CPI\[DINA TERCIARIOS_CF_SEC_New_27-Mar-2024.xlsx]D-PND'!$DT$16</v>
      </c>
      <c r="J3008" s="37" t="s">
        <v>3376</v>
      </c>
    </row>
    <row r="3009" spans="1:10" x14ac:dyDescent="0.3">
      <c r="A3009" s="32" t="s">
        <v>16</v>
      </c>
      <c r="B3009" s="32">
        <f t="shared" si="716"/>
        <v>2028</v>
      </c>
      <c r="C3009" s="33" t="s">
        <v>110</v>
      </c>
      <c r="D3009" s="34" t="s">
        <v>2002</v>
      </c>
      <c r="E3009" s="35" t="str">
        <f t="shared" si="692"/>
        <v>PND'!</v>
      </c>
      <c r="F3009" s="34" t="str">
        <f t="shared" si="693"/>
        <v>C:\Users\jaime.benazar\Quorum Business Solutions\Ecopetrol Prometeo - Documents\Planning Space Implementation\3. Analysis &amp; Design\Design\FC22\DRR Jaime\Neiva CPI\[DINA TERCIARIOS_CF_SEC_New_27-Mar-2024.xlsx]D-PND'!</v>
      </c>
      <c r="G3009" s="32" t="s">
        <v>123</v>
      </c>
      <c r="H3009" s="33">
        <f t="shared" si="715"/>
        <v>17</v>
      </c>
      <c r="I3009" s="33" t="str">
        <f t="shared" si="714"/>
        <v>='C:\Users\jaime.benazar\Quorum Business Solutions\Ecopetrol Prometeo - Documents\Planning Space Implementation\3. Analysis &amp; Design\Design\FC22\DRR Jaime\Neiva CPI\[DINA TERCIARIOS_CF_SEC_New_27-Mar-2024.xlsx]D-PND'!$DT$17</v>
      </c>
      <c r="J3009" s="37" t="s">
        <v>3377</v>
      </c>
    </row>
    <row r="3010" spans="1:10" x14ac:dyDescent="0.3">
      <c r="A3010" s="32" t="s">
        <v>16</v>
      </c>
      <c r="B3010" s="32">
        <f t="shared" si="716"/>
        <v>2029</v>
      </c>
      <c r="C3010" s="33" t="s">
        <v>110</v>
      </c>
      <c r="D3010" s="34" t="s">
        <v>2002</v>
      </c>
      <c r="E3010" s="35" t="str">
        <f t="shared" si="692"/>
        <v>PND'!</v>
      </c>
      <c r="F3010" s="34" t="str">
        <f t="shared" si="693"/>
        <v>C:\Users\jaime.benazar\Quorum Business Solutions\Ecopetrol Prometeo - Documents\Planning Space Implementation\3. Analysis &amp; Design\Design\FC22\DRR Jaime\Neiva CPI\[DINA TERCIARIOS_CF_SEC_New_27-Mar-2024.xlsx]D-PND'!</v>
      </c>
      <c r="G3010" s="32" t="s">
        <v>123</v>
      </c>
      <c r="H3010" s="33">
        <f t="shared" si="715"/>
        <v>18</v>
      </c>
      <c r="I3010" s="33" t="str">
        <f t="shared" si="714"/>
        <v>='C:\Users\jaime.benazar\Quorum Business Solutions\Ecopetrol Prometeo - Documents\Planning Space Implementation\3. Analysis &amp; Design\Design\FC22\DRR Jaime\Neiva CPI\[DINA TERCIARIOS_CF_SEC_New_27-Mar-2024.xlsx]D-PND'!$DT$18</v>
      </c>
      <c r="J3010" s="37" t="s">
        <v>3378</v>
      </c>
    </row>
    <row r="3011" spans="1:10" x14ac:dyDescent="0.3">
      <c r="A3011" s="32" t="s">
        <v>16</v>
      </c>
      <c r="B3011" s="32">
        <f t="shared" si="716"/>
        <v>2030</v>
      </c>
      <c r="C3011" s="33" t="s">
        <v>110</v>
      </c>
      <c r="D3011" s="34" t="s">
        <v>2002</v>
      </c>
      <c r="E3011" s="35" t="str">
        <f t="shared" si="692"/>
        <v>PND'!</v>
      </c>
      <c r="F3011" s="34" t="str">
        <f t="shared" si="693"/>
        <v>C:\Users\jaime.benazar\Quorum Business Solutions\Ecopetrol Prometeo - Documents\Planning Space Implementation\3. Analysis &amp; Design\Design\FC22\DRR Jaime\Neiva CPI\[DINA TERCIARIOS_CF_SEC_New_27-Mar-2024.xlsx]D-PND'!</v>
      </c>
      <c r="G3011" s="32" t="s">
        <v>123</v>
      </c>
      <c r="H3011" s="33">
        <f t="shared" si="715"/>
        <v>19</v>
      </c>
      <c r="I3011" s="33" t="str">
        <f t="shared" si="714"/>
        <v>='C:\Users\jaime.benazar\Quorum Business Solutions\Ecopetrol Prometeo - Documents\Planning Space Implementation\3. Analysis &amp; Design\Design\FC22\DRR Jaime\Neiva CPI\[DINA TERCIARIOS_CF_SEC_New_27-Mar-2024.xlsx]D-PND'!$DT$19</v>
      </c>
      <c r="J3011" s="37" t="s">
        <v>3379</v>
      </c>
    </row>
    <row r="3012" spans="1:10" x14ac:dyDescent="0.3">
      <c r="A3012" s="32" t="s">
        <v>16</v>
      </c>
      <c r="B3012" s="32">
        <f t="shared" si="716"/>
        <v>2031</v>
      </c>
      <c r="C3012" s="33" t="s">
        <v>110</v>
      </c>
      <c r="D3012" s="34" t="s">
        <v>2002</v>
      </c>
      <c r="E3012" s="35" t="str">
        <f t="shared" si="692"/>
        <v>PND'!</v>
      </c>
      <c r="F3012" s="34" t="str">
        <f t="shared" si="693"/>
        <v>C:\Users\jaime.benazar\Quorum Business Solutions\Ecopetrol Prometeo - Documents\Planning Space Implementation\3. Analysis &amp; Design\Design\FC22\DRR Jaime\Neiva CPI\[DINA TERCIARIOS_CF_SEC_New_27-Mar-2024.xlsx]D-PND'!</v>
      </c>
      <c r="G3012" s="32" t="s">
        <v>123</v>
      </c>
      <c r="H3012" s="33">
        <f t="shared" si="715"/>
        <v>20</v>
      </c>
      <c r="I3012" s="33" t="str">
        <f t="shared" si="714"/>
        <v>='C:\Users\jaime.benazar\Quorum Business Solutions\Ecopetrol Prometeo - Documents\Planning Space Implementation\3. Analysis &amp; Design\Design\FC22\DRR Jaime\Neiva CPI\[DINA TERCIARIOS_CF_SEC_New_27-Mar-2024.xlsx]D-PND'!$DT$20</v>
      </c>
      <c r="J3012" s="37" t="s">
        <v>3380</v>
      </c>
    </row>
    <row r="3013" spans="1:10" x14ac:dyDescent="0.3">
      <c r="A3013" s="32" t="s">
        <v>16</v>
      </c>
      <c r="B3013" s="32">
        <f t="shared" si="716"/>
        <v>2032</v>
      </c>
      <c r="C3013" s="33" t="s">
        <v>110</v>
      </c>
      <c r="D3013" s="34" t="s">
        <v>2002</v>
      </c>
      <c r="E3013" s="35" t="str">
        <f t="shared" si="692"/>
        <v>PND'!</v>
      </c>
      <c r="F3013" s="34" t="str">
        <f t="shared" si="693"/>
        <v>C:\Users\jaime.benazar\Quorum Business Solutions\Ecopetrol Prometeo - Documents\Planning Space Implementation\3. Analysis &amp; Design\Design\FC22\DRR Jaime\Neiva CPI\[DINA TERCIARIOS_CF_SEC_New_27-Mar-2024.xlsx]D-PND'!</v>
      </c>
      <c r="G3013" s="32" t="s">
        <v>123</v>
      </c>
      <c r="H3013" s="33">
        <f t="shared" si="715"/>
        <v>21</v>
      </c>
      <c r="I3013" s="33" t="str">
        <f t="shared" si="714"/>
        <v>='C:\Users\jaime.benazar\Quorum Business Solutions\Ecopetrol Prometeo - Documents\Planning Space Implementation\3. Analysis &amp; Design\Design\FC22\DRR Jaime\Neiva CPI\[DINA TERCIARIOS_CF_SEC_New_27-Mar-2024.xlsx]D-PND'!$DT$21</v>
      </c>
      <c r="J3013" s="37" t="s">
        <v>3381</v>
      </c>
    </row>
    <row r="3014" spans="1:10" x14ac:dyDescent="0.3">
      <c r="A3014" s="32" t="s">
        <v>16</v>
      </c>
      <c r="B3014" s="32">
        <f t="shared" si="716"/>
        <v>2033</v>
      </c>
      <c r="C3014" s="33" t="s">
        <v>110</v>
      </c>
      <c r="D3014" s="34" t="s">
        <v>2002</v>
      </c>
      <c r="E3014" s="35" t="str">
        <f t="shared" si="692"/>
        <v>PND'!</v>
      </c>
      <c r="F3014" s="34" t="str">
        <f t="shared" si="693"/>
        <v>C:\Users\jaime.benazar\Quorum Business Solutions\Ecopetrol Prometeo - Documents\Planning Space Implementation\3. Analysis &amp; Design\Design\FC22\DRR Jaime\Neiva CPI\[DINA TERCIARIOS_CF_SEC_New_27-Mar-2024.xlsx]D-PND'!</v>
      </c>
      <c r="G3014" s="32" t="s">
        <v>123</v>
      </c>
      <c r="H3014" s="33">
        <f t="shared" si="715"/>
        <v>22</v>
      </c>
      <c r="I3014" s="33" t="str">
        <f t="shared" si="714"/>
        <v>='C:\Users\jaime.benazar\Quorum Business Solutions\Ecopetrol Prometeo - Documents\Planning Space Implementation\3. Analysis &amp; Design\Design\FC22\DRR Jaime\Neiva CPI\[DINA TERCIARIOS_CF_SEC_New_27-Mar-2024.xlsx]D-PND'!$DT$22</v>
      </c>
      <c r="J3014" s="37" t="s">
        <v>3382</v>
      </c>
    </row>
    <row r="3015" spans="1:10" x14ac:dyDescent="0.3">
      <c r="A3015" s="32" t="s">
        <v>16</v>
      </c>
      <c r="B3015" s="32">
        <f t="shared" si="716"/>
        <v>2034</v>
      </c>
      <c r="C3015" s="33" t="s">
        <v>110</v>
      </c>
      <c r="D3015" s="34" t="s">
        <v>2002</v>
      </c>
      <c r="E3015" s="35" t="str">
        <f t="shared" si="692"/>
        <v>PND'!</v>
      </c>
      <c r="F3015" s="34" t="str">
        <f t="shared" si="693"/>
        <v>C:\Users\jaime.benazar\Quorum Business Solutions\Ecopetrol Prometeo - Documents\Planning Space Implementation\3. Analysis &amp; Design\Design\FC22\DRR Jaime\Neiva CPI\[DINA TERCIARIOS_CF_SEC_New_27-Mar-2024.xlsx]D-PND'!</v>
      </c>
      <c r="G3015" s="32" t="s">
        <v>123</v>
      </c>
      <c r="H3015" s="33">
        <f t="shared" si="715"/>
        <v>23</v>
      </c>
      <c r="I3015" s="33" t="str">
        <f t="shared" si="714"/>
        <v>='C:\Users\jaime.benazar\Quorum Business Solutions\Ecopetrol Prometeo - Documents\Planning Space Implementation\3. Analysis &amp; Design\Design\FC22\DRR Jaime\Neiva CPI\[DINA TERCIARIOS_CF_SEC_New_27-Mar-2024.xlsx]D-PND'!$DT$23</v>
      </c>
      <c r="J3015" s="37" t="s">
        <v>3383</v>
      </c>
    </row>
    <row r="3016" spans="1:10" x14ac:dyDescent="0.3">
      <c r="A3016" s="32" t="s">
        <v>16</v>
      </c>
      <c r="B3016" s="32">
        <f t="shared" si="716"/>
        <v>2035</v>
      </c>
      <c r="C3016" s="33" t="s">
        <v>110</v>
      </c>
      <c r="D3016" s="34" t="s">
        <v>2002</v>
      </c>
      <c r="E3016" s="35" t="str">
        <f t="shared" si="692"/>
        <v>PND'!</v>
      </c>
      <c r="F3016" s="34" t="str">
        <f t="shared" si="693"/>
        <v>C:\Users\jaime.benazar\Quorum Business Solutions\Ecopetrol Prometeo - Documents\Planning Space Implementation\3. Analysis &amp; Design\Design\FC22\DRR Jaime\Neiva CPI\[DINA TERCIARIOS_CF_SEC_New_27-Mar-2024.xlsx]D-PND'!</v>
      </c>
      <c r="G3016" s="32" t="s">
        <v>123</v>
      </c>
      <c r="H3016" s="33">
        <f t="shared" si="715"/>
        <v>24</v>
      </c>
      <c r="I3016" s="33" t="str">
        <f t="shared" si="714"/>
        <v>='C:\Users\jaime.benazar\Quorum Business Solutions\Ecopetrol Prometeo - Documents\Planning Space Implementation\3. Analysis &amp; Design\Design\FC22\DRR Jaime\Neiva CPI\[DINA TERCIARIOS_CF_SEC_New_27-Mar-2024.xlsx]D-PND'!$DT$24</v>
      </c>
      <c r="J3016" s="37" t="s">
        <v>3384</v>
      </c>
    </row>
    <row r="3017" spans="1:10" x14ac:dyDescent="0.3">
      <c r="A3017" s="32" t="s">
        <v>16</v>
      </c>
      <c r="B3017" s="32">
        <f t="shared" si="716"/>
        <v>2036</v>
      </c>
      <c r="C3017" s="33" t="s">
        <v>110</v>
      </c>
      <c r="D3017" s="34" t="s">
        <v>2002</v>
      </c>
      <c r="E3017" s="35" t="str">
        <f t="shared" si="692"/>
        <v>PND'!</v>
      </c>
      <c r="F3017" s="34" t="str">
        <f t="shared" si="693"/>
        <v>C:\Users\jaime.benazar\Quorum Business Solutions\Ecopetrol Prometeo - Documents\Planning Space Implementation\3. Analysis &amp; Design\Design\FC22\DRR Jaime\Neiva CPI\[DINA TERCIARIOS_CF_SEC_New_27-Mar-2024.xlsx]D-PND'!</v>
      </c>
      <c r="G3017" s="32" t="s">
        <v>123</v>
      </c>
      <c r="H3017" s="33">
        <f t="shared" si="715"/>
        <v>25</v>
      </c>
      <c r="I3017" s="33" t="str">
        <f t="shared" si="714"/>
        <v>='C:\Users\jaime.benazar\Quorum Business Solutions\Ecopetrol Prometeo - Documents\Planning Space Implementation\3. Analysis &amp; Design\Design\FC22\DRR Jaime\Neiva CPI\[DINA TERCIARIOS_CF_SEC_New_27-Mar-2024.xlsx]D-PND'!$DT$25</v>
      </c>
      <c r="J3017" s="37" t="s">
        <v>3385</v>
      </c>
    </row>
    <row r="3018" spans="1:10" x14ac:dyDescent="0.3">
      <c r="A3018" s="32" t="s">
        <v>16</v>
      </c>
      <c r="B3018" s="32">
        <f>+B3017+1</f>
        <v>2037</v>
      </c>
      <c r="C3018" s="33" t="s">
        <v>110</v>
      </c>
      <c r="D3018" s="34" t="s">
        <v>2002</v>
      </c>
      <c r="E3018" s="35" t="str">
        <f t="shared" si="692"/>
        <v>PND'!</v>
      </c>
      <c r="F3018" s="34" t="str">
        <f t="shared" si="693"/>
        <v>C:\Users\jaime.benazar\Quorum Business Solutions\Ecopetrol Prometeo - Documents\Planning Space Implementation\3. Analysis &amp; Design\Design\FC22\DRR Jaime\Neiva CPI\[DINA TERCIARIOS_CF_SEC_New_27-Mar-2024.xlsx]D-PND'!</v>
      </c>
      <c r="G3018" s="32" t="s">
        <v>123</v>
      </c>
      <c r="H3018" s="33">
        <f t="shared" si="715"/>
        <v>26</v>
      </c>
      <c r="I3018" s="33" t="str">
        <f t="shared" si="714"/>
        <v>='C:\Users\jaime.benazar\Quorum Business Solutions\Ecopetrol Prometeo - Documents\Planning Space Implementation\3. Analysis &amp; Design\Design\FC22\DRR Jaime\Neiva CPI\[DINA TERCIARIOS_CF_SEC_New_27-Mar-2024.xlsx]D-PND'!$DT$26</v>
      </c>
      <c r="J3018" s="37" t="s">
        <v>3386</v>
      </c>
    </row>
    <row r="3019" spans="1:10" x14ac:dyDescent="0.3">
      <c r="A3019" s="32" t="s">
        <v>16</v>
      </c>
      <c r="B3019" s="32">
        <f t="shared" ref="B3019:B3021" si="717">+B3018+1</f>
        <v>2038</v>
      </c>
      <c r="C3019" s="33" t="s">
        <v>110</v>
      </c>
      <c r="D3019" s="34" t="s">
        <v>2002</v>
      </c>
      <c r="E3019" s="35" t="str">
        <f t="shared" si="692"/>
        <v>PND'!</v>
      </c>
      <c r="F3019" s="34" t="str">
        <f t="shared" si="693"/>
        <v>C:\Users\jaime.benazar\Quorum Business Solutions\Ecopetrol Prometeo - Documents\Planning Space Implementation\3. Analysis &amp; Design\Design\FC22\DRR Jaime\Neiva CPI\[DINA TERCIARIOS_CF_SEC_New_27-Mar-2024.xlsx]D-PND'!</v>
      </c>
      <c r="G3019" s="32" t="s">
        <v>123</v>
      </c>
      <c r="H3019" s="33">
        <f t="shared" si="715"/>
        <v>27</v>
      </c>
      <c r="I3019" s="33" t="str">
        <f t="shared" si="714"/>
        <v>='C:\Users\jaime.benazar\Quorum Business Solutions\Ecopetrol Prometeo - Documents\Planning Space Implementation\3. Analysis &amp; Design\Design\FC22\DRR Jaime\Neiva CPI\[DINA TERCIARIOS_CF_SEC_New_27-Mar-2024.xlsx]D-PND'!$DT$27</v>
      </c>
      <c r="J3019" s="37" t="s">
        <v>3387</v>
      </c>
    </row>
    <row r="3020" spans="1:10" x14ac:dyDescent="0.3">
      <c r="A3020" s="32" t="s">
        <v>16</v>
      </c>
      <c r="B3020" s="32">
        <f t="shared" si="717"/>
        <v>2039</v>
      </c>
      <c r="C3020" s="33" t="s">
        <v>110</v>
      </c>
      <c r="D3020" s="34" t="s">
        <v>2002</v>
      </c>
      <c r="E3020" s="35" t="str">
        <f t="shared" si="692"/>
        <v>PND'!</v>
      </c>
      <c r="F3020" s="34" t="str">
        <f t="shared" si="693"/>
        <v>C:\Users\jaime.benazar\Quorum Business Solutions\Ecopetrol Prometeo - Documents\Planning Space Implementation\3. Analysis &amp; Design\Design\FC22\DRR Jaime\Neiva CPI\[DINA TERCIARIOS_CF_SEC_New_27-Mar-2024.xlsx]D-PND'!</v>
      </c>
      <c r="G3020" s="32" t="s">
        <v>123</v>
      </c>
      <c r="H3020" s="33">
        <f t="shared" si="715"/>
        <v>28</v>
      </c>
      <c r="I3020" s="33" t="str">
        <f t="shared" si="714"/>
        <v>='C:\Users\jaime.benazar\Quorum Business Solutions\Ecopetrol Prometeo - Documents\Planning Space Implementation\3. Analysis &amp; Design\Design\FC22\DRR Jaime\Neiva CPI\[DINA TERCIARIOS_CF_SEC_New_27-Mar-2024.xlsx]D-PND'!$DT$28</v>
      </c>
      <c r="J3020" s="37" t="s">
        <v>3388</v>
      </c>
    </row>
    <row r="3021" spans="1:10" x14ac:dyDescent="0.3">
      <c r="A3021" s="32" t="s">
        <v>16</v>
      </c>
      <c r="B3021" s="32">
        <f t="shared" si="717"/>
        <v>2040</v>
      </c>
      <c r="C3021" s="33" t="s">
        <v>110</v>
      </c>
      <c r="D3021" s="34" t="s">
        <v>2002</v>
      </c>
      <c r="E3021" s="35" t="str">
        <f t="shared" si="692"/>
        <v>PND'!</v>
      </c>
      <c r="F3021" s="34" t="str">
        <f t="shared" si="693"/>
        <v>C:\Users\jaime.benazar\Quorum Business Solutions\Ecopetrol Prometeo - Documents\Planning Space Implementation\3. Analysis &amp; Design\Design\FC22\DRR Jaime\Neiva CPI\[DINA TERCIARIOS_CF_SEC_New_27-Mar-2024.xlsx]D-PND'!</v>
      </c>
      <c r="G3021" s="32" t="s">
        <v>123</v>
      </c>
      <c r="H3021" s="33">
        <f t="shared" si="715"/>
        <v>29</v>
      </c>
      <c r="I3021" s="33" t="str">
        <f t="shared" si="714"/>
        <v>='C:\Users\jaime.benazar\Quorum Business Solutions\Ecopetrol Prometeo - Documents\Planning Space Implementation\3. Analysis &amp; Design\Design\FC22\DRR Jaime\Neiva CPI\[DINA TERCIARIOS_CF_SEC_New_27-Mar-2024.xlsx]D-PND'!$DT$29</v>
      </c>
      <c r="J3021" s="37" t="s">
        <v>3389</v>
      </c>
    </row>
    <row r="3022" spans="1:10" x14ac:dyDescent="0.3">
      <c r="A3022" s="32" t="s">
        <v>16</v>
      </c>
      <c r="B3022" s="32">
        <f>+B3021+1</f>
        <v>2041</v>
      </c>
      <c r="C3022" s="33" t="s">
        <v>110</v>
      </c>
      <c r="D3022" s="34" t="s">
        <v>2002</v>
      </c>
      <c r="E3022" s="35" t="str">
        <f t="shared" si="692"/>
        <v>PND'!</v>
      </c>
      <c r="F3022" s="34" t="str">
        <f t="shared" si="693"/>
        <v>C:\Users\jaime.benazar\Quorum Business Solutions\Ecopetrol Prometeo - Documents\Planning Space Implementation\3. Analysis &amp; Design\Design\FC22\DRR Jaime\Neiva CPI\[DINA TERCIARIOS_CF_SEC_New_27-Mar-2024.xlsx]D-PND'!</v>
      </c>
      <c r="G3022" s="32" t="s">
        <v>123</v>
      </c>
      <c r="H3022" s="33">
        <f t="shared" si="715"/>
        <v>30</v>
      </c>
      <c r="I3022" s="33" t="str">
        <f t="shared" si="714"/>
        <v>='C:\Users\jaime.benazar\Quorum Business Solutions\Ecopetrol Prometeo - Documents\Planning Space Implementation\3. Analysis &amp; Design\Design\FC22\DRR Jaime\Neiva CPI\[DINA TERCIARIOS_CF_SEC_New_27-Mar-2024.xlsx]D-PND'!$DT$30</v>
      </c>
      <c r="J3022" s="37" t="s">
        <v>3390</v>
      </c>
    </row>
    <row r="3023" spans="1:10" x14ac:dyDescent="0.3">
      <c r="A3023" s="32" t="s">
        <v>16</v>
      </c>
      <c r="B3023" s="32">
        <f t="shared" ref="B3023:B3024" si="718">+B3022+1</f>
        <v>2042</v>
      </c>
      <c r="C3023" s="33" t="s">
        <v>110</v>
      </c>
      <c r="D3023" s="34" t="s">
        <v>2002</v>
      </c>
      <c r="E3023" s="35" t="str">
        <f t="shared" ref="E3023:E3345" si="719">_xlfn.CONCAT(A3023,"'!")</f>
        <v>PND'!</v>
      </c>
      <c r="F3023" s="34" t="str">
        <f t="shared" ref="F3023:F3328" si="720">_xlfn.CONCAT(D3023:E3023)</f>
        <v>C:\Users\jaime.benazar\Quorum Business Solutions\Ecopetrol Prometeo - Documents\Planning Space Implementation\3. Analysis &amp; Design\Design\FC22\DRR Jaime\Neiva CPI\[DINA TERCIARIOS_CF_SEC_New_27-Mar-2024.xlsx]D-PND'!</v>
      </c>
      <c r="G3023" s="32" t="s">
        <v>123</v>
      </c>
      <c r="H3023" s="33">
        <f t="shared" si="715"/>
        <v>31</v>
      </c>
      <c r="I3023" s="33" t="str">
        <f t="shared" si="714"/>
        <v>='C:\Users\jaime.benazar\Quorum Business Solutions\Ecopetrol Prometeo - Documents\Planning Space Implementation\3. Analysis &amp; Design\Design\FC22\DRR Jaime\Neiva CPI\[DINA TERCIARIOS_CF_SEC_New_27-Mar-2024.xlsx]D-PND'!$DT$31</v>
      </c>
      <c r="J3023" s="37" t="s">
        <v>3391</v>
      </c>
    </row>
    <row r="3024" spans="1:10" x14ac:dyDescent="0.3">
      <c r="A3024" s="32" t="s">
        <v>16</v>
      </c>
      <c r="B3024" s="32">
        <f t="shared" si="718"/>
        <v>2043</v>
      </c>
      <c r="C3024" s="33" t="s">
        <v>110</v>
      </c>
      <c r="D3024" s="34" t="s">
        <v>2002</v>
      </c>
      <c r="E3024" s="35" t="str">
        <f t="shared" si="719"/>
        <v>PND'!</v>
      </c>
      <c r="F3024" s="34" t="str">
        <f t="shared" si="720"/>
        <v>C:\Users\jaime.benazar\Quorum Business Solutions\Ecopetrol Prometeo - Documents\Planning Space Implementation\3. Analysis &amp; Design\Design\FC22\DRR Jaime\Neiva CPI\[DINA TERCIARIOS_CF_SEC_New_27-Mar-2024.xlsx]D-PND'!</v>
      </c>
      <c r="G3024" s="32" t="s">
        <v>123</v>
      </c>
      <c r="H3024" s="33">
        <f t="shared" si="715"/>
        <v>32</v>
      </c>
      <c r="I3024" s="33" t="str">
        <f t="shared" si="714"/>
        <v>='C:\Users\jaime.benazar\Quorum Business Solutions\Ecopetrol Prometeo - Documents\Planning Space Implementation\3. Analysis &amp; Design\Design\FC22\DRR Jaime\Neiva CPI\[DINA TERCIARIOS_CF_SEC_New_27-Mar-2024.xlsx]D-PND'!$DT$32</v>
      </c>
      <c r="J3024" s="37" t="s">
        <v>3392</v>
      </c>
    </row>
    <row r="3025" spans="1:10" x14ac:dyDescent="0.3">
      <c r="A3025" s="32" t="s">
        <v>16</v>
      </c>
      <c r="B3025" s="32">
        <f>+B3024+1</f>
        <v>2044</v>
      </c>
      <c r="C3025" s="33" t="s">
        <v>110</v>
      </c>
      <c r="D3025" s="34" t="s">
        <v>2002</v>
      </c>
      <c r="E3025" s="35" t="str">
        <f t="shared" ref="E3025:E3040" si="721">_xlfn.CONCAT(A3025,"'!")</f>
        <v>PND'!</v>
      </c>
      <c r="F3025" s="34" t="str">
        <f t="shared" ref="F3025:F3040" si="722">_xlfn.CONCAT(D3025:E3025)</f>
        <v>C:\Users\jaime.benazar\Quorum Business Solutions\Ecopetrol Prometeo - Documents\Planning Space Implementation\3. Analysis &amp; Design\Design\FC22\DRR Jaime\Neiva CPI\[DINA TERCIARIOS_CF_SEC_New_27-Mar-2024.xlsx]D-PND'!</v>
      </c>
      <c r="G3025" s="32" t="s">
        <v>123</v>
      </c>
      <c r="H3025" s="33">
        <f t="shared" ref="H3025:H3040" si="723">IF(A3025&lt;&gt;A3024,12,H3024+1)</f>
        <v>33</v>
      </c>
      <c r="I3025" s="33" t="str">
        <f t="shared" ref="I3025:I3040" si="724">_xlfn.CONCAT("='",F3025:H3025)</f>
        <v>='C:\Users\jaime.benazar\Quorum Business Solutions\Ecopetrol Prometeo - Documents\Planning Space Implementation\3. Analysis &amp; Design\Design\FC22\DRR Jaime\Neiva CPI\[DINA TERCIARIOS_CF_SEC_New_27-Mar-2024.xlsx]D-PND'!$DT$33</v>
      </c>
      <c r="J3025" s="37" t="s">
        <v>3393</v>
      </c>
    </row>
    <row r="3026" spans="1:10" x14ac:dyDescent="0.3">
      <c r="A3026" s="32" t="s">
        <v>16</v>
      </c>
      <c r="B3026" s="32">
        <f t="shared" ref="B3026:B3040" si="725">+B3025+1</f>
        <v>2045</v>
      </c>
      <c r="C3026" s="33" t="s">
        <v>110</v>
      </c>
      <c r="D3026" s="34" t="s">
        <v>2002</v>
      </c>
      <c r="E3026" s="35" t="str">
        <f t="shared" si="721"/>
        <v>PND'!</v>
      </c>
      <c r="F3026" s="34" t="str">
        <f t="shared" si="722"/>
        <v>C:\Users\jaime.benazar\Quorum Business Solutions\Ecopetrol Prometeo - Documents\Planning Space Implementation\3. Analysis &amp; Design\Design\FC22\DRR Jaime\Neiva CPI\[DINA TERCIARIOS_CF_SEC_New_27-Mar-2024.xlsx]D-PND'!</v>
      </c>
      <c r="G3026" s="32" t="s">
        <v>123</v>
      </c>
      <c r="H3026" s="33">
        <f t="shared" si="723"/>
        <v>34</v>
      </c>
      <c r="I3026" s="33" t="str">
        <f t="shared" si="724"/>
        <v>='C:\Users\jaime.benazar\Quorum Business Solutions\Ecopetrol Prometeo - Documents\Planning Space Implementation\3. Analysis &amp; Design\Design\FC22\DRR Jaime\Neiva CPI\[DINA TERCIARIOS_CF_SEC_New_27-Mar-2024.xlsx]D-PND'!$DT$34</v>
      </c>
      <c r="J3026" s="37" t="s">
        <v>3394</v>
      </c>
    </row>
    <row r="3027" spans="1:10" x14ac:dyDescent="0.3">
      <c r="A3027" s="32" t="s">
        <v>16</v>
      </c>
      <c r="B3027" s="32">
        <f t="shared" si="725"/>
        <v>2046</v>
      </c>
      <c r="C3027" s="33" t="s">
        <v>110</v>
      </c>
      <c r="D3027" s="34" t="s">
        <v>2002</v>
      </c>
      <c r="E3027" s="35" t="str">
        <f t="shared" si="721"/>
        <v>PND'!</v>
      </c>
      <c r="F3027" s="34" t="str">
        <f t="shared" si="722"/>
        <v>C:\Users\jaime.benazar\Quorum Business Solutions\Ecopetrol Prometeo - Documents\Planning Space Implementation\3. Analysis &amp; Design\Design\FC22\DRR Jaime\Neiva CPI\[DINA TERCIARIOS_CF_SEC_New_27-Mar-2024.xlsx]D-PND'!</v>
      </c>
      <c r="G3027" s="32" t="s">
        <v>123</v>
      </c>
      <c r="H3027" s="33">
        <f t="shared" si="723"/>
        <v>35</v>
      </c>
      <c r="I3027" s="33" t="str">
        <f t="shared" si="724"/>
        <v>='C:\Users\jaime.benazar\Quorum Business Solutions\Ecopetrol Prometeo - Documents\Planning Space Implementation\3. Analysis &amp; Design\Design\FC22\DRR Jaime\Neiva CPI\[DINA TERCIARIOS_CF_SEC_New_27-Mar-2024.xlsx]D-PND'!$DT$35</v>
      </c>
      <c r="J3027" s="37" t="s">
        <v>3395</v>
      </c>
    </row>
    <row r="3028" spans="1:10" x14ac:dyDescent="0.3">
      <c r="A3028" s="32" t="s">
        <v>16</v>
      </c>
      <c r="B3028" s="32">
        <f t="shared" si="725"/>
        <v>2047</v>
      </c>
      <c r="C3028" s="33" t="s">
        <v>110</v>
      </c>
      <c r="D3028" s="34" t="s">
        <v>2002</v>
      </c>
      <c r="E3028" s="35" t="str">
        <f t="shared" si="721"/>
        <v>PND'!</v>
      </c>
      <c r="F3028" s="34" t="str">
        <f t="shared" si="722"/>
        <v>C:\Users\jaime.benazar\Quorum Business Solutions\Ecopetrol Prometeo - Documents\Planning Space Implementation\3. Analysis &amp; Design\Design\FC22\DRR Jaime\Neiva CPI\[DINA TERCIARIOS_CF_SEC_New_27-Mar-2024.xlsx]D-PND'!</v>
      </c>
      <c r="G3028" s="32" t="s">
        <v>123</v>
      </c>
      <c r="H3028" s="33">
        <f t="shared" si="723"/>
        <v>36</v>
      </c>
      <c r="I3028" s="33" t="str">
        <f t="shared" si="724"/>
        <v>='C:\Users\jaime.benazar\Quorum Business Solutions\Ecopetrol Prometeo - Documents\Planning Space Implementation\3. Analysis &amp; Design\Design\FC22\DRR Jaime\Neiva CPI\[DINA TERCIARIOS_CF_SEC_New_27-Mar-2024.xlsx]D-PND'!$DT$36</v>
      </c>
      <c r="J3028" s="37" t="s">
        <v>3396</v>
      </c>
    </row>
    <row r="3029" spans="1:10" x14ac:dyDescent="0.3">
      <c r="A3029" s="32" t="s">
        <v>16</v>
      </c>
      <c r="B3029" s="32">
        <f t="shared" si="725"/>
        <v>2048</v>
      </c>
      <c r="C3029" s="33" t="s">
        <v>110</v>
      </c>
      <c r="D3029" s="34" t="s">
        <v>2002</v>
      </c>
      <c r="E3029" s="35" t="str">
        <f t="shared" si="721"/>
        <v>PND'!</v>
      </c>
      <c r="F3029" s="34" t="str">
        <f t="shared" si="722"/>
        <v>C:\Users\jaime.benazar\Quorum Business Solutions\Ecopetrol Prometeo - Documents\Planning Space Implementation\3. Analysis &amp; Design\Design\FC22\DRR Jaime\Neiva CPI\[DINA TERCIARIOS_CF_SEC_New_27-Mar-2024.xlsx]D-PND'!</v>
      </c>
      <c r="G3029" s="32" t="s">
        <v>123</v>
      </c>
      <c r="H3029" s="33">
        <f t="shared" si="723"/>
        <v>37</v>
      </c>
      <c r="I3029" s="33" t="str">
        <f t="shared" si="724"/>
        <v>='C:\Users\jaime.benazar\Quorum Business Solutions\Ecopetrol Prometeo - Documents\Planning Space Implementation\3. Analysis &amp; Design\Design\FC22\DRR Jaime\Neiva CPI\[DINA TERCIARIOS_CF_SEC_New_27-Mar-2024.xlsx]D-PND'!$DT$37</v>
      </c>
      <c r="J3029" s="37" t="s">
        <v>3397</v>
      </c>
    </row>
    <row r="3030" spans="1:10" x14ac:dyDescent="0.3">
      <c r="A3030" s="32" t="s">
        <v>16</v>
      </c>
      <c r="B3030" s="32">
        <f t="shared" si="725"/>
        <v>2049</v>
      </c>
      <c r="C3030" s="33" t="s">
        <v>110</v>
      </c>
      <c r="D3030" s="34" t="s">
        <v>2002</v>
      </c>
      <c r="E3030" s="35" t="str">
        <f t="shared" si="721"/>
        <v>PND'!</v>
      </c>
      <c r="F3030" s="34" t="str">
        <f t="shared" si="722"/>
        <v>C:\Users\jaime.benazar\Quorum Business Solutions\Ecopetrol Prometeo - Documents\Planning Space Implementation\3. Analysis &amp; Design\Design\FC22\DRR Jaime\Neiva CPI\[DINA TERCIARIOS_CF_SEC_New_27-Mar-2024.xlsx]D-PND'!</v>
      </c>
      <c r="G3030" s="32" t="s">
        <v>123</v>
      </c>
      <c r="H3030" s="33">
        <f t="shared" si="723"/>
        <v>38</v>
      </c>
      <c r="I3030" s="33" t="str">
        <f t="shared" si="724"/>
        <v>='C:\Users\jaime.benazar\Quorum Business Solutions\Ecopetrol Prometeo - Documents\Planning Space Implementation\3. Analysis &amp; Design\Design\FC22\DRR Jaime\Neiva CPI\[DINA TERCIARIOS_CF_SEC_New_27-Mar-2024.xlsx]D-PND'!$DT$38</v>
      </c>
      <c r="J3030" s="37" t="s">
        <v>3398</v>
      </c>
    </row>
    <row r="3031" spans="1:10" x14ac:dyDescent="0.3">
      <c r="A3031" s="32" t="s">
        <v>16</v>
      </c>
      <c r="B3031" s="32">
        <f t="shared" si="725"/>
        <v>2050</v>
      </c>
      <c r="C3031" s="33" t="s">
        <v>110</v>
      </c>
      <c r="D3031" s="34" t="s">
        <v>2002</v>
      </c>
      <c r="E3031" s="35" t="str">
        <f t="shared" si="721"/>
        <v>PND'!</v>
      </c>
      <c r="F3031" s="34" t="str">
        <f t="shared" si="722"/>
        <v>C:\Users\jaime.benazar\Quorum Business Solutions\Ecopetrol Prometeo - Documents\Planning Space Implementation\3. Analysis &amp; Design\Design\FC22\DRR Jaime\Neiva CPI\[DINA TERCIARIOS_CF_SEC_New_27-Mar-2024.xlsx]D-PND'!</v>
      </c>
      <c r="G3031" s="32" t="s">
        <v>123</v>
      </c>
      <c r="H3031" s="33">
        <f t="shared" si="723"/>
        <v>39</v>
      </c>
      <c r="I3031" s="33" t="str">
        <f t="shared" si="724"/>
        <v>='C:\Users\jaime.benazar\Quorum Business Solutions\Ecopetrol Prometeo - Documents\Planning Space Implementation\3. Analysis &amp; Design\Design\FC22\DRR Jaime\Neiva CPI\[DINA TERCIARIOS_CF_SEC_New_27-Mar-2024.xlsx]D-PND'!$DT$39</v>
      </c>
      <c r="J3031" s="37" t="s">
        <v>3399</v>
      </c>
    </row>
    <row r="3032" spans="1:10" x14ac:dyDescent="0.3">
      <c r="A3032" s="32" t="s">
        <v>16</v>
      </c>
      <c r="B3032" s="32">
        <f t="shared" si="725"/>
        <v>2051</v>
      </c>
      <c r="C3032" s="33" t="s">
        <v>110</v>
      </c>
      <c r="D3032" s="34" t="s">
        <v>2002</v>
      </c>
      <c r="E3032" s="35" t="str">
        <f t="shared" si="721"/>
        <v>PND'!</v>
      </c>
      <c r="F3032" s="34" t="str">
        <f t="shared" si="722"/>
        <v>C:\Users\jaime.benazar\Quorum Business Solutions\Ecopetrol Prometeo - Documents\Planning Space Implementation\3. Analysis &amp; Design\Design\FC22\DRR Jaime\Neiva CPI\[DINA TERCIARIOS_CF_SEC_New_27-Mar-2024.xlsx]D-PND'!</v>
      </c>
      <c r="G3032" s="32" t="s">
        <v>123</v>
      </c>
      <c r="H3032" s="33">
        <f t="shared" si="723"/>
        <v>40</v>
      </c>
      <c r="I3032" s="33" t="str">
        <f t="shared" si="724"/>
        <v>='C:\Users\jaime.benazar\Quorum Business Solutions\Ecopetrol Prometeo - Documents\Planning Space Implementation\3. Analysis &amp; Design\Design\FC22\DRR Jaime\Neiva CPI\[DINA TERCIARIOS_CF_SEC_New_27-Mar-2024.xlsx]D-PND'!$DT$40</v>
      </c>
      <c r="J3032" s="37" t="s">
        <v>3400</v>
      </c>
    </row>
    <row r="3033" spans="1:10" x14ac:dyDescent="0.3">
      <c r="A3033" s="32" t="s">
        <v>16</v>
      </c>
      <c r="B3033" s="32">
        <f t="shared" si="725"/>
        <v>2052</v>
      </c>
      <c r="C3033" s="33" t="s">
        <v>110</v>
      </c>
      <c r="D3033" s="34" t="s">
        <v>2002</v>
      </c>
      <c r="E3033" s="35" t="str">
        <f t="shared" si="721"/>
        <v>PND'!</v>
      </c>
      <c r="F3033" s="34" t="str">
        <f t="shared" si="722"/>
        <v>C:\Users\jaime.benazar\Quorum Business Solutions\Ecopetrol Prometeo - Documents\Planning Space Implementation\3. Analysis &amp; Design\Design\FC22\DRR Jaime\Neiva CPI\[DINA TERCIARIOS_CF_SEC_New_27-Mar-2024.xlsx]D-PND'!</v>
      </c>
      <c r="G3033" s="32" t="s">
        <v>123</v>
      </c>
      <c r="H3033" s="33">
        <f t="shared" si="723"/>
        <v>41</v>
      </c>
      <c r="I3033" s="33" t="str">
        <f t="shared" si="724"/>
        <v>='C:\Users\jaime.benazar\Quorum Business Solutions\Ecopetrol Prometeo - Documents\Planning Space Implementation\3. Analysis &amp; Design\Design\FC22\DRR Jaime\Neiva CPI\[DINA TERCIARIOS_CF_SEC_New_27-Mar-2024.xlsx]D-PND'!$DT$41</v>
      </c>
      <c r="J3033" s="37" t="s">
        <v>3401</v>
      </c>
    </row>
    <row r="3034" spans="1:10" x14ac:dyDescent="0.3">
      <c r="A3034" s="32" t="s">
        <v>16</v>
      </c>
      <c r="B3034" s="32">
        <f t="shared" si="725"/>
        <v>2053</v>
      </c>
      <c r="C3034" s="33" t="s">
        <v>110</v>
      </c>
      <c r="D3034" s="34" t="s">
        <v>2002</v>
      </c>
      <c r="E3034" s="35" t="str">
        <f t="shared" si="721"/>
        <v>PND'!</v>
      </c>
      <c r="F3034" s="34" t="str">
        <f t="shared" si="722"/>
        <v>C:\Users\jaime.benazar\Quorum Business Solutions\Ecopetrol Prometeo - Documents\Planning Space Implementation\3. Analysis &amp; Design\Design\FC22\DRR Jaime\Neiva CPI\[DINA TERCIARIOS_CF_SEC_New_27-Mar-2024.xlsx]D-PND'!</v>
      </c>
      <c r="G3034" s="32" t="s">
        <v>123</v>
      </c>
      <c r="H3034" s="33">
        <f t="shared" si="723"/>
        <v>42</v>
      </c>
      <c r="I3034" s="33" t="str">
        <f t="shared" si="724"/>
        <v>='C:\Users\jaime.benazar\Quorum Business Solutions\Ecopetrol Prometeo - Documents\Planning Space Implementation\3. Analysis &amp; Design\Design\FC22\DRR Jaime\Neiva CPI\[DINA TERCIARIOS_CF_SEC_New_27-Mar-2024.xlsx]D-PND'!$DT$42</v>
      </c>
      <c r="J3034" s="37" t="s">
        <v>3402</v>
      </c>
    </row>
    <row r="3035" spans="1:10" x14ac:dyDescent="0.3">
      <c r="A3035" s="32" t="s">
        <v>16</v>
      </c>
      <c r="B3035" s="32">
        <f t="shared" si="725"/>
        <v>2054</v>
      </c>
      <c r="C3035" s="33" t="s">
        <v>110</v>
      </c>
      <c r="D3035" s="34" t="s">
        <v>2002</v>
      </c>
      <c r="E3035" s="35" t="str">
        <f t="shared" si="721"/>
        <v>PND'!</v>
      </c>
      <c r="F3035" s="34" t="str">
        <f t="shared" si="722"/>
        <v>C:\Users\jaime.benazar\Quorum Business Solutions\Ecopetrol Prometeo - Documents\Planning Space Implementation\3. Analysis &amp; Design\Design\FC22\DRR Jaime\Neiva CPI\[DINA TERCIARIOS_CF_SEC_New_27-Mar-2024.xlsx]D-PND'!</v>
      </c>
      <c r="G3035" s="32" t="s">
        <v>123</v>
      </c>
      <c r="H3035" s="33">
        <f t="shared" si="723"/>
        <v>43</v>
      </c>
      <c r="I3035" s="33" t="str">
        <f t="shared" si="724"/>
        <v>='C:\Users\jaime.benazar\Quorum Business Solutions\Ecopetrol Prometeo - Documents\Planning Space Implementation\3. Analysis &amp; Design\Design\FC22\DRR Jaime\Neiva CPI\[DINA TERCIARIOS_CF_SEC_New_27-Mar-2024.xlsx]D-PND'!$DT$43</v>
      </c>
      <c r="J3035" s="37" t="s">
        <v>3403</v>
      </c>
    </row>
    <row r="3036" spans="1:10" x14ac:dyDescent="0.3">
      <c r="A3036" s="32" t="s">
        <v>16</v>
      </c>
      <c r="B3036" s="32">
        <f t="shared" si="725"/>
        <v>2055</v>
      </c>
      <c r="C3036" s="33" t="s">
        <v>110</v>
      </c>
      <c r="D3036" s="34" t="s">
        <v>2002</v>
      </c>
      <c r="E3036" s="35" t="str">
        <f t="shared" si="721"/>
        <v>PND'!</v>
      </c>
      <c r="F3036" s="34" t="str">
        <f t="shared" si="722"/>
        <v>C:\Users\jaime.benazar\Quorum Business Solutions\Ecopetrol Prometeo - Documents\Planning Space Implementation\3. Analysis &amp; Design\Design\FC22\DRR Jaime\Neiva CPI\[DINA TERCIARIOS_CF_SEC_New_27-Mar-2024.xlsx]D-PND'!</v>
      </c>
      <c r="G3036" s="32" t="s">
        <v>123</v>
      </c>
      <c r="H3036" s="33">
        <f t="shared" si="723"/>
        <v>44</v>
      </c>
      <c r="I3036" s="33" t="str">
        <f t="shared" si="724"/>
        <v>='C:\Users\jaime.benazar\Quorum Business Solutions\Ecopetrol Prometeo - Documents\Planning Space Implementation\3. Analysis &amp; Design\Design\FC22\DRR Jaime\Neiva CPI\[DINA TERCIARIOS_CF_SEC_New_27-Mar-2024.xlsx]D-PND'!$DT$44</v>
      </c>
      <c r="J3036" s="37" t="s">
        <v>3404</v>
      </c>
    </row>
    <row r="3037" spans="1:10" x14ac:dyDescent="0.3">
      <c r="A3037" s="32" t="s">
        <v>16</v>
      </c>
      <c r="B3037" s="32">
        <f t="shared" si="725"/>
        <v>2056</v>
      </c>
      <c r="C3037" s="33" t="s">
        <v>110</v>
      </c>
      <c r="D3037" s="34" t="s">
        <v>2002</v>
      </c>
      <c r="E3037" s="35" t="str">
        <f t="shared" si="721"/>
        <v>PND'!</v>
      </c>
      <c r="F3037" s="34" t="str">
        <f t="shared" si="722"/>
        <v>C:\Users\jaime.benazar\Quorum Business Solutions\Ecopetrol Prometeo - Documents\Planning Space Implementation\3. Analysis &amp; Design\Design\FC22\DRR Jaime\Neiva CPI\[DINA TERCIARIOS_CF_SEC_New_27-Mar-2024.xlsx]D-PND'!</v>
      </c>
      <c r="G3037" s="32" t="s">
        <v>123</v>
      </c>
      <c r="H3037" s="33">
        <f t="shared" si="723"/>
        <v>45</v>
      </c>
      <c r="I3037" s="33" t="str">
        <f t="shared" si="724"/>
        <v>='C:\Users\jaime.benazar\Quorum Business Solutions\Ecopetrol Prometeo - Documents\Planning Space Implementation\3. Analysis &amp; Design\Design\FC22\DRR Jaime\Neiva CPI\[DINA TERCIARIOS_CF_SEC_New_27-Mar-2024.xlsx]D-PND'!$DT$45</v>
      </c>
      <c r="J3037" s="37" t="s">
        <v>3405</v>
      </c>
    </row>
    <row r="3038" spans="1:10" x14ac:dyDescent="0.3">
      <c r="A3038" s="32" t="s">
        <v>16</v>
      </c>
      <c r="B3038" s="32">
        <f t="shared" si="725"/>
        <v>2057</v>
      </c>
      <c r="C3038" s="33" t="s">
        <v>110</v>
      </c>
      <c r="D3038" s="34" t="s">
        <v>2002</v>
      </c>
      <c r="E3038" s="35" t="str">
        <f t="shared" si="721"/>
        <v>PND'!</v>
      </c>
      <c r="F3038" s="34" t="str">
        <f t="shared" si="722"/>
        <v>C:\Users\jaime.benazar\Quorum Business Solutions\Ecopetrol Prometeo - Documents\Planning Space Implementation\3. Analysis &amp; Design\Design\FC22\DRR Jaime\Neiva CPI\[DINA TERCIARIOS_CF_SEC_New_27-Mar-2024.xlsx]D-PND'!</v>
      </c>
      <c r="G3038" s="32" t="s">
        <v>123</v>
      </c>
      <c r="H3038" s="33">
        <f t="shared" si="723"/>
        <v>46</v>
      </c>
      <c r="I3038" s="33" t="str">
        <f t="shared" si="724"/>
        <v>='C:\Users\jaime.benazar\Quorum Business Solutions\Ecopetrol Prometeo - Documents\Planning Space Implementation\3. Analysis &amp; Design\Design\FC22\DRR Jaime\Neiva CPI\[DINA TERCIARIOS_CF_SEC_New_27-Mar-2024.xlsx]D-PND'!$DT$46</v>
      </c>
      <c r="J3038" s="37" t="s">
        <v>3406</v>
      </c>
    </row>
    <row r="3039" spans="1:10" x14ac:dyDescent="0.3">
      <c r="A3039" s="32" t="s">
        <v>16</v>
      </c>
      <c r="B3039" s="32">
        <f t="shared" si="725"/>
        <v>2058</v>
      </c>
      <c r="C3039" s="33" t="s">
        <v>110</v>
      </c>
      <c r="D3039" s="34" t="s">
        <v>2002</v>
      </c>
      <c r="E3039" s="35" t="str">
        <f t="shared" si="721"/>
        <v>PND'!</v>
      </c>
      <c r="F3039" s="34" t="str">
        <f t="shared" si="722"/>
        <v>C:\Users\jaime.benazar\Quorum Business Solutions\Ecopetrol Prometeo - Documents\Planning Space Implementation\3. Analysis &amp; Design\Design\FC22\DRR Jaime\Neiva CPI\[DINA TERCIARIOS_CF_SEC_New_27-Mar-2024.xlsx]D-PND'!</v>
      </c>
      <c r="G3039" s="32" t="s">
        <v>123</v>
      </c>
      <c r="H3039" s="33">
        <f t="shared" si="723"/>
        <v>47</v>
      </c>
      <c r="I3039" s="33" t="str">
        <f t="shared" si="724"/>
        <v>='C:\Users\jaime.benazar\Quorum Business Solutions\Ecopetrol Prometeo - Documents\Planning Space Implementation\3. Analysis &amp; Design\Design\FC22\DRR Jaime\Neiva CPI\[DINA TERCIARIOS_CF_SEC_New_27-Mar-2024.xlsx]D-PND'!$DT$47</v>
      </c>
      <c r="J3039" s="37" t="s">
        <v>3407</v>
      </c>
    </row>
    <row r="3040" spans="1:10" x14ac:dyDescent="0.3">
      <c r="A3040" s="32" t="s">
        <v>16</v>
      </c>
      <c r="B3040" s="32">
        <f t="shared" si="725"/>
        <v>2059</v>
      </c>
      <c r="C3040" s="33" t="s">
        <v>110</v>
      </c>
      <c r="D3040" s="34" t="s">
        <v>2002</v>
      </c>
      <c r="E3040" s="35" t="str">
        <f t="shared" si="721"/>
        <v>PND'!</v>
      </c>
      <c r="F3040" s="34" t="str">
        <f t="shared" si="722"/>
        <v>C:\Users\jaime.benazar\Quorum Business Solutions\Ecopetrol Prometeo - Documents\Planning Space Implementation\3. Analysis &amp; Design\Design\FC22\DRR Jaime\Neiva CPI\[DINA TERCIARIOS_CF_SEC_New_27-Mar-2024.xlsx]D-PND'!</v>
      </c>
      <c r="G3040" s="32" t="s">
        <v>123</v>
      </c>
      <c r="H3040" s="33">
        <f t="shared" si="723"/>
        <v>48</v>
      </c>
      <c r="I3040" s="33" t="str">
        <f t="shared" si="724"/>
        <v>='C:\Users\jaime.benazar\Quorum Business Solutions\Ecopetrol Prometeo - Documents\Planning Space Implementation\3. Analysis &amp; Design\Design\FC22\DRR Jaime\Neiva CPI\[DINA TERCIARIOS_CF_SEC_New_27-Mar-2024.xlsx]D-PND'!$DT$48</v>
      </c>
      <c r="J3040" s="37" t="s">
        <v>3408</v>
      </c>
    </row>
    <row r="3041" spans="1:10" x14ac:dyDescent="0.3">
      <c r="A3041" s="32" t="s">
        <v>26</v>
      </c>
      <c r="B3041" s="32"/>
      <c r="C3041" s="33" t="s">
        <v>110</v>
      </c>
      <c r="D3041" s="34"/>
      <c r="E3041" s="35"/>
      <c r="F3041" s="34"/>
      <c r="G3041" s="32"/>
      <c r="H3041" s="33"/>
      <c r="I3041" s="33"/>
      <c r="J3041" s="33"/>
    </row>
    <row r="3042" spans="1:10" x14ac:dyDescent="0.3">
      <c r="A3042" s="32" t="s">
        <v>17</v>
      </c>
      <c r="B3042" s="32">
        <v>2023</v>
      </c>
      <c r="C3042" s="33" t="s">
        <v>110</v>
      </c>
      <c r="D3042" s="34" t="s">
        <v>2002</v>
      </c>
      <c r="E3042" s="35" t="str">
        <f t="shared" ref="E3042:E3062" si="726">_xlfn.CONCAT(A3042,"'!")</f>
        <v>PRBDP'!</v>
      </c>
      <c r="F3042" s="34" t="str">
        <f t="shared" ref="F3042:F3062" si="727">_xlfn.CONCAT(D3042:E3042)</f>
        <v>C:\Users\jaime.benazar\Quorum Business Solutions\Ecopetrol Prometeo - Documents\Planning Space Implementation\3. Analysis &amp; Design\Design\FC22\DRR Jaime\Neiva CPI\[DINA TERCIARIOS_CF_SEC_New_27-Mar-2024.xlsx]D-PRBDP'!</v>
      </c>
      <c r="G3042" s="32" t="s">
        <v>123</v>
      </c>
      <c r="H3042" s="33"/>
      <c r="I3042" s="33"/>
      <c r="J3042" s="37"/>
    </row>
    <row r="3043" spans="1:10" x14ac:dyDescent="0.3">
      <c r="A3043" s="32" t="s">
        <v>17</v>
      </c>
      <c r="B3043" s="32">
        <f>+B3042+1</f>
        <v>2024</v>
      </c>
      <c r="C3043" s="33" t="s">
        <v>110</v>
      </c>
      <c r="D3043" s="34" t="s">
        <v>2002</v>
      </c>
      <c r="E3043" s="35" t="str">
        <f t="shared" si="726"/>
        <v>PRBDP'!</v>
      </c>
      <c r="F3043" s="34" t="str">
        <f t="shared" si="727"/>
        <v>C:\Users\jaime.benazar\Quorum Business Solutions\Ecopetrol Prometeo - Documents\Planning Space Implementation\3. Analysis &amp; Design\Design\FC22\DRR Jaime\Neiva CPI\[DINA TERCIARIOS_CF_SEC_New_27-Mar-2024.xlsx]D-PRBDP'!</v>
      </c>
      <c r="G3043" s="32" t="s">
        <v>123</v>
      </c>
      <c r="H3043" s="33"/>
      <c r="I3043" s="33"/>
      <c r="J3043" s="37"/>
    </row>
    <row r="3044" spans="1:10" x14ac:dyDescent="0.3">
      <c r="A3044" s="32" t="s">
        <v>17</v>
      </c>
      <c r="B3044" s="32">
        <f t="shared" ref="B3044:B3055" si="728">+B3043+1</f>
        <v>2025</v>
      </c>
      <c r="C3044" s="33" t="s">
        <v>110</v>
      </c>
      <c r="D3044" s="34" t="s">
        <v>2002</v>
      </c>
      <c r="E3044" s="35" t="str">
        <f t="shared" si="726"/>
        <v>PRBDP'!</v>
      </c>
      <c r="F3044" s="34" t="str">
        <f t="shared" si="727"/>
        <v>C:\Users\jaime.benazar\Quorum Business Solutions\Ecopetrol Prometeo - Documents\Planning Space Implementation\3. Analysis &amp; Design\Design\FC22\DRR Jaime\Neiva CPI\[DINA TERCIARIOS_CF_SEC_New_27-Mar-2024.xlsx]D-PRBDP'!</v>
      </c>
      <c r="G3044" s="32" t="s">
        <v>123</v>
      </c>
      <c r="H3044" s="33"/>
      <c r="I3044" s="33"/>
      <c r="J3044" s="37"/>
    </row>
    <row r="3045" spans="1:10" x14ac:dyDescent="0.3">
      <c r="A3045" s="32" t="s">
        <v>17</v>
      </c>
      <c r="B3045" s="32">
        <f t="shared" si="728"/>
        <v>2026</v>
      </c>
      <c r="C3045" s="33" t="s">
        <v>110</v>
      </c>
      <c r="D3045" s="34" t="s">
        <v>2002</v>
      </c>
      <c r="E3045" s="35" t="str">
        <f t="shared" si="726"/>
        <v>PRBDP'!</v>
      </c>
      <c r="F3045" s="34" t="str">
        <f t="shared" si="727"/>
        <v>C:\Users\jaime.benazar\Quorum Business Solutions\Ecopetrol Prometeo - Documents\Planning Space Implementation\3. Analysis &amp; Design\Design\FC22\DRR Jaime\Neiva CPI\[DINA TERCIARIOS_CF_SEC_New_27-Mar-2024.xlsx]D-PRBDP'!</v>
      </c>
      <c r="G3045" s="32" t="s">
        <v>123</v>
      </c>
      <c r="H3045" s="33"/>
      <c r="I3045" s="33"/>
      <c r="J3045" s="37"/>
    </row>
    <row r="3046" spans="1:10" x14ac:dyDescent="0.3">
      <c r="A3046" s="32" t="s">
        <v>17</v>
      </c>
      <c r="B3046" s="32">
        <f t="shared" si="728"/>
        <v>2027</v>
      </c>
      <c r="C3046" s="33" t="s">
        <v>110</v>
      </c>
      <c r="D3046" s="34" t="s">
        <v>2002</v>
      </c>
      <c r="E3046" s="35" t="str">
        <f t="shared" si="726"/>
        <v>PRBDP'!</v>
      </c>
      <c r="F3046" s="34" t="str">
        <f t="shared" si="727"/>
        <v>C:\Users\jaime.benazar\Quorum Business Solutions\Ecopetrol Prometeo - Documents\Planning Space Implementation\3. Analysis &amp; Design\Design\FC22\DRR Jaime\Neiva CPI\[DINA TERCIARIOS_CF_SEC_New_27-Mar-2024.xlsx]D-PRBDP'!</v>
      </c>
      <c r="G3046" s="32" t="s">
        <v>123</v>
      </c>
      <c r="H3046" s="33"/>
      <c r="I3046" s="33"/>
      <c r="J3046" s="37"/>
    </row>
    <row r="3047" spans="1:10" x14ac:dyDescent="0.3">
      <c r="A3047" s="32" t="s">
        <v>17</v>
      </c>
      <c r="B3047" s="32">
        <f t="shared" si="728"/>
        <v>2028</v>
      </c>
      <c r="C3047" s="33" t="s">
        <v>110</v>
      </c>
      <c r="D3047" s="34" t="s">
        <v>2002</v>
      </c>
      <c r="E3047" s="35" t="str">
        <f t="shared" si="726"/>
        <v>PRBDP'!</v>
      </c>
      <c r="F3047" s="34" t="str">
        <f t="shared" si="727"/>
        <v>C:\Users\jaime.benazar\Quorum Business Solutions\Ecopetrol Prometeo - Documents\Planning Space Implementation\3. Analysis &amp; Design\Design\FC22\DRR Jaime\Neiva CPI\[DINA TERCIARIOS_CF_SEC_New_27-Mar-2024.xlsx]D-PRBDP'!</v>
      </c>
      <c r="G3047" s="32" t="s">
        <v>123</v>
      </c>
      <c r="H3047" s="33"/>
      <c r="I3047" s="33"/>
      <c r="J3047" s="37"/>
    </row>
    <row r="3048" spans="1:10" x14ac:dyDescent="0.3">
      <c r="A3048" s="32" t="s">
        <v>17</v>
      </c>
      <c r="B3048" s="32">
        <f t="shared" si="728"/>
        <v>2029</v>
      </c>
      <c r="C3048" s="33" t="s">
        <v>110</v>
      </c>
      <c r="D3048" s="34" t="s">
        <v>2002</v>
      </c>
      <c r="E3048" s="35" t="str">
        <f t="shared" si="726"/>
        <v>PRBDP'!</v>
      </c>
      <c r="F3048" s="34" t="str">
        <f t="shared" si="727"/>
        <v>C:\Users\jaime.benazar\Quorum Business Solutions\Ecopetrol Prometeo - Documents\Planning Space Implementation\3. Analysis &amp; Design\Design\FC22\DRR Jaime\Neiva CPI\[DINA TERCIARIOS_CF_SEC_New_27-Mar-2024.xlsx]D-PRBDP'!</v>
      </c>
      <c r="G3048" s="32" t="s">
        <v>123</v>
      </c>
      <c r="H3048" s="33"/>
      <c r="I3048" s="33"/>
      <c r="J3048" s="37"/>
    </row>
    <row r="3049" spans="1:10" x14ac:dyDescent="0.3">
      <c r="A3049" s="32" t="s">
        <v>17</v>
      </c>
      <c r="B3049" s="32">
        <f t="shared" si="728"/>
        <v>2030</v>
      </c>
      <c r="C3049" s="33" t="s">
        <v>110</v>
      </c>
      <c r="D3049" s="34" t="s">
        <v>2002</v>
      </c>
      <c r="E3049" s="35" t="str">
        <f t="shared" si="726"/>
        <v>PRBDP'!</v>
      </c>
      <c r="F3049" s="34" t="str">
        <f t="shared" si="727"/>
        <v>C:\Users\jaime.benazar\Quorum Business Solutions\Ecopetrol Prometeo - Documents\Planning Space Implementation\3. Analysis &amp; Design\Design\FC22\DRR Jaime\Neiva CPI\[DINA TERCIARIOS_CF_SEC_New_27-Mar-2024.xlsx]D-PRBDP'!</v>
      </c>
      <c r="G3049" s="32" t="s">
        <v>123</v>
      </c>
      <c r="H3049" s="33"/>
      <c r="I3049" s="33"/>
      <c r="J3049" s="37"/>
    </row>
    <row r="3050" spans="1:10" x14ac:dyDescent="0.3">
      <c r="A3050" s="32" t="s">
        <v>17</v>
      </c>
      <c r="B3050" s="32">
        <f t="shared" si="728"/>
        <v>2031</v>
      </c>
      <c r="C3050" s="33" t="s">
        <v>110</v>
      </c>
      <c r="D3050" s="34" t="s">
        <v>2002</v>
      </c>
      <c r="E3050" s="35" t="str">
        <f t="shared" si="726"/>
        <v>PRBDP'!</v>
      </c>
      <c r="F3050" s="34" t="str">
        <f t="shared" si="727"/>
        <v>C:\Users\jaime.benazar\Quorum Business Solutions\Ecopetrol Prometeo - Documents\Planning Space Implementation\3. Analysis &amp; Design\Design\FC22\DRR Jaime\Neiva CPI\[DINA TERCIARIOS_CF_SEC_New_27-Mar-2024.xlsx]D-PRBDP'!</v>
      </c>
      <c r="G3050" s="32" t="s">
        <v>123</v>
      </c>
      <c r="H3050" s="33"/>
      <c r="I3050" s="33"/>
      <c r="J3050" s="37"/>
    </row>
    <row r="3051" spans="1:10" x14ac:dyDescent="0.3">
      <c r="A3051" s="32" t="s">
        <v>17</v>
      </c>
      <c r="B3051" s="32">
        <f t="shared" si="728"/>
        <v>2032</v>
      </c>
      <c r="C3051" s="33" t="s">
        <v>110</v>
      </c>
      <c r="D3051" s="34" t="s">
        <v>2002</v>
      </c>
      <c r="E3051" s="35" t="str">
        <f t="shared" si="726"/>
        <v>PRBDP'!</v>
      </c>
      <c r="F3051" s="34" t="str">
        <f t="shared" si="727"/>
        <v>C:\Users\jaime.benazar\Quorum Business Solutions\Ecopetrol Prometeo - Documents\Planning Space Implementation\3. Analysis &amp; Design\Design\FC22\DRR Jaime\Neiva CPI\[DINA TERCIARIOS_CF_SEC_New_27-Mar-2024.xlsx]D-PRBDP'!</v>
      </c>
      <c r="G3051" s="32" t="s">
        <v>123</v>
      </c>
      <c r="H3051" s="33"/>
      <c r="I3051" s="33"/>
      <c r="J3051" s="37"/>
    </row>
    <row r="3052" spans="1:10" x14ac:dyDescent="0.3">
      <c r="A3052" s="32" t="s">
        <v>17</v>
      </c>
      <c r="B3052" s="32">
        <f t="shared" si="728"/>
        <v>2033</v>
      </c>
      <c r="C3052" s="33" t="s">
        <v>110</v>
      </c>
      <c r="D3052" s="34" t="s">
        <v>2002</v>
      </c>
      <c r="E3052" s="35" t="str">
        <f t="shared" si="726"/>
        <v>PRBDP'!</v>
      </c>
      <c r="F3052" s="34" t="str">
        <f t="shared" si="727"/>
        <v>C:\Users\jaime.benazar\Quorum Business Solutions\Ecopetrol Prometeo - Documents\Planning Space Implementation\3. Analysis &amp; Design\Design\FC22\DRR Jaime\Neiva CPI\[DINA TERCIARIOS_CF_SEC_New_27-Mar-2024.xlsx]D-PRBDP'!</v>
      </c>
      <c r="G3052" s="32" t="s">
        <v>123</v>
      </c>
      <c r="H3052" s="33"/>
      <c r="I3052" s="33"/>
      <c r="J3052" s="37"/>
    </row>
    <row r="3053" spans="1:10" x14ac:dyDescent="0.3">
      <c r="A3053" s="32" t="s">
        <v>17</v>
      </c>
      <c r="B3053" s="32">
        <f t="shared" si="728"/>
        <v>2034</v>
      </c>
      <c r="C3053" s="33" t="s">
        <v>110</v>
      </c>
      <c r="D3053" s="34" t="s">
        <v>2002</v>
      </c>
      <c r="E3053" s="35" t="str">
        <f t="shared" si="726"/>
        <v>PRBDP'!</v>
      </c>
      <c r="F3053" s="34" t="str">
        <f t="shared" si="727"/>
        <v>C:\Users\jaime.benazar\Quorum Business Solutions\Ecopetrol Prometeo - Documents\Planning Space Implementation\3. Analysis &amp; Design\Design\FC22\DRR Jaime\Neiva CPI\[DINA TERCIARIOS_CF_SEC_New_27-Mar-2024.xlsx]D-PRBDP'!</v>
      </c>
      <c r="G3053" s="32" t="s">
        <v>123</v>
      </c>
      <c r="H3053" s="33"/>
      <c r="I3053" s="33"/>
      <c r="J3053" s="37"/>
    </row>
    <row r="3054" spans="1:10" x14ac:dyDescent="0.3">
      <c r="A3054" s="32" t="s">
        <v>17</v>
      </c>
      <c r="B3054" s="32">
        <f t="shared" si="728"/>
        <v>2035</v>
      </c>
      <c r="C3054" s="33" t="s">
        <v>110</v>
      </c>
      <c r="D3054" s="34" t="s">
        <v>2002</v>
      </c>
      <c r="E3054" s="35" t="str">
        <f t="shared" si="726"/>
        <v>PRBDP'!</v>
      </c>
      <c r="F3054" s="34" t="str">
        <f t="shared" si="727"/>
        <v>C:\Users\jaime.benazar\Quorum Business Solutions\Ecopetrol Prometeo - Documents\Planning Space Implementation\3. Analysis &amp; Design\Design\FC22\DRR Jaime\Neiva CPI\[DINA TERCIARIOS_CF_SEC_New_27-Mar-2024.xlsx]D-PRBDP'!</v>
      </c>
      <c r="G3054" s="32" t="s">
        <v>123</v>
      </c>
      <c r="H3054" s="33"/>
      <c r="I3054" s="33"/>
      <c r="J3054" s="37"/>
    </row>
    <row r="3055" spans="1:10" x14ac:dyDescent="0.3">
      <c r="A3055" s="32" t="s">
        <v>17</v>
      </c>
      <c r="B3055" s="32">
        <f t="shared" si="728"/>
        <v>2036</v>
      </c>
      <c r="C3055" s="33" t="s">
        <v>110</v>
      </c>
      <c r="D3055" s="34" t="s">
        <v>2002</v>
      </c>
      <c r="E3055" s="35" t="str">
        <f t="shared" si="726"/>
        <v>PRBDP'!</v>
      </c>
      <c r="F3055" s="34" t="str">
        <f t="shared" si="727"/>
        <v>C:\Users\jaime.benazar\Quorum Business Solutions\Ecopetrol Prometeo - Documents\Planning Space Implementation\3. Analysis &amp; Design\Design\FC22\DRR Jaime\Neiva CPI\[DINA TERCIARIOS_CF_SEC_New_27-Mar-2024.xlsx]D-PRBDP'!</v>
      </c>
      <c r="G3055" s="32" t="s">
        <v>123</v>
      </c>
      <c r="H3055" s="33"/>
      <c r="I3055" s="33"/>
      <c r="J3055" s="37"/>
    </row>
    <row r="3056" spans="1:10" x14ac:dyDescent="0.3">
      <c r="A3056" s="32" t="s">
        <v>17</v>
      </c>
      <c r="B3056" s="32">
        <f>+B3055+1</f>
        <v>2037</v>
      </c>
      <c r="C3056" s="33" t="s">
        <v>110</v>
      </c>
      <c r="D3056" s="34" t="s">
        <v>2002</v>
      </c>
      <c r="E3056" s="35" t="str">
        <f t="shared" si="726"/>
        <v>PRBDP'!</v>
      </c>
      <c r="F3056" s="34" t="str">
        <f t="shared" si="727"/>
        <v>C:\Users\jaime.benazar\Quorum Business Solutions\Ecopetrol Prometeo - Documents\Planning Space Implementation\3. Analysis &amp; Design\Design\FC22\DRR Jaime\Neiva CPI\[DINA TERCIARIOS_CF_SEC_New_27-Mar-2024.xlsx]D-PRBDP'!</v>
      </c>
      <c r="G3056" s="32" t="s">
        <v>123</v>
      </c>
      <c r="H3056" s="33"/>
      <c r="I3056" s="33"/>
      <c r="J3056" s="37"/>
    </row>
    <row r="3057" spans="1:10" x14ac:dyDescent="0.3">
      <c r="A3057" s="32" t="s">
        <v>17</v>
      </c>
      <c r="B3057" s="32">
        <f t="shared" ref="B3057:B3059" si="729">+B3056+1</f>
        <v>2038</v>
      </c>
      <c r="C3057" s="33" t="s">
        <v>110</v>
      </c>
      <c r="D3057" s="34" t="s">
        <v>2002</v>
      </c>
      <c r="E3057" s="35" t="str">
        <f t="shared" si="726"/>
        <v>PRBDP'!</v>
      </c>
      <c r="F3057" s="34" t="str">
        <f t="shared" si="727"/>
        <v>C:\Users\jaime.benazar\Quorum Business Solutions\Ecopetrol Prometeo - Documents\Planning Space Implementation\3. Analysis &amp; Design\Design\FC22\DRR Jaime\Neiva CPI\[DINA TERCIARIOS_CF_SEC_New_27-Mar-2024.xlsx]D-PRBDP'!</v>
      </c>
      <c r="G3057" s="32" t="s">
        <v>123</v>
      </c>
      <c r="H3057" s="33"/>
      <c r="I3057" s="33"/>
      <c r="J3057" s="37"/>
    </row>
    <row r="3058" spans="1:10" x14ac:dyDescent="0.3">
      <c r="A3058" s="32" t="s">
        <v>17</v>
      </c>
      <c r="B3058" s="32">
        <f t="shared" si="729"/>
        <v>2039</v>
      </c>
      <c r="C3058" s="33" t="s">
        <v>110</v>
      </c>
      <c r="D3058" s="34" t="s">
        <v>2002</v>
      </c>
      <c r="E3058" s="35" t="str">
        <f t="shared" si="726"/>
        <v>PRBDP'!</v>
      </c>
      <c r="F3058" s="34" t="str">
        <f t="shared" si="727"/>
        <v>C:\Users\jaime.benazar\Quorum Business Solutions\Ecopetrol Prometeo - Documents\Planning Space Implementation\3. Analysis &amp; Design\Design\FC22\DRR Jaime\Neiva CPI\[DINA TERCIARIOS_CF_SEC_New_27-Mar-2024.xlsx]D-PRBDP'!</v>
      </c>
      <c r="G3058" s="32" t="s">
        <v>123</v>
      </c>
      <c r="H3058" s="33"/>
      <c r="I3058" s="33"/>
      <c r="J3058" s="37"/>
    </row>
    <row r="3059" spans="1:10" x14ac:dyDescent="0.3">
      <c r="A3059" s="32" t="s">
        <v>17</v>
      </c>
      <c r="B3059" s="32">
        <f t="shared" si="729"/>
        <v>2040</v>
      </c>
      <c r="C3059" s="33" t="s">
        <v>110</v>
      </c>
      <c r="D3059" s="34" t="s">
        <v>2002</v>
      </c>
      <c r="E3059" s="35" t="str">
        <f t="shared" si="726"/>
        <v>PRBDP'!</v>
      </c>
      <c r="F3059" s="34" t="str">
        <f t="shared" si="727"/>
        <v>C:\Users\jaime.benazar\Quorum Business Solutions\Ecopetrol Prometeo - Documents\Planning Space Implementation\3. Analysis &amp; Design\Design\FC22\DRR Jaime\Neiva CPI\[DINA TERCIARIOS_CF_SEC_New_27-Mar-2024.xlsx]D-PRBDP'!</v>
      </c>
      <c r="G3059" s="32" t="s">
        <v>123</v>
      </c>
      <c r="H3059" s="33"/>
      <c r="I3059" s="33"/>
      <c r="J3059" s="37"/>
    </row>
    <row r="3060" spans="1:10" x14ac:dyDescent="0.3">
      <c r="A3060" s="32" t="s">
        <v>17</v>
      </c>
      <c r="B3060" s="32">
        <f>+B3059+1</f>
        <v>2041</v>
      </c>
      <c r="C3060" s="33" t="s">
        <v>110</v>
      </c>
      <c r="D3060" s="34" t="s">
        <v>2002</v>
      </c>
      <c r="E3060" s="35" t="str">
        <f t="shared" si="726"/>
        <v>PRBDP'!</v>
      </c>
      <c r="F3060" s="34" t="str">
        <f t="shared" si="727"/>
        <v>C:\Users\jaime.benazar\Quorum Business Solutions\Ecopetrol Prometeo - Documents\Planning Space Implementation\3. Analysis &amp; Design\Design\FC22\DRR Jaime\Neiva CPI\[DINA TERCIARIOS_CF_SEC_New_27-Mar-2024.xlsx]D-PRBDP'!</v>
      </c>
      <c r="G3060" s="32" t="s">
        <v>123</v>
      </c>
      <c r="H3060" s="33"/>
      <c r="I3060" s="33"/>
      <c r="J3060" s="37"/>
    </row>
    <row r="3061" spans="1:10" x14ac:dyDescent="0.3">
      <c r="A3061" s="32" t="s">
        <v>17</v>
      </c>
      <c r="B3061" s="32">
        <f t="shared" ref="B3061:B3062" si="730">+B3060+1</f>
        <v>2042</v>
      </c>
      <c r="C3061" s="33" t="s">
        <v>110</v>
      </c>
      <c r="D3061" s="34" t="s">
        <v>2002</v>
      </c>
      <c r="E3061" s="35" t="str">
        <f t="shared" si="726"/>
        <v>PRBDP'!</v>
      </c>
      <c r="F3061" s="34" t="str">
        <f t="shared" si="727"/>
        <v>C:\Users\jaime.benazar\Quorum Business Solutions\Ecopetrol Prometeo - Documents\Planning Space Implementation\3. Analysis &amp; Design\Design\FC22\DRR Jaime\Neiva CPI\[DINA TERCIARIOS_CF_SEC_New_27-Mar-2024.xlsx]D-PRBDP'!</v>
      </c>
      <c r="G3061" s="32" t="s">
        <v>123</v>
      </c>
      <c r="H3061" s="33"/>
      <c r="I3061" s="33"/>
      <c r="J3061" s="37"/>
    </row>
    <row r="3062" spans="1:10" x14ac:dyDescent="0.3">
      <c r="A3062" s="32" t="s">
        <v>17</v>
      </c>
      <c r="B3062" s="32">
        <f t="shared" si="730"/>
        <v>2043</v>
      </c>
      <c r="C3062" s="33" t="s">
        <v>110</v>
      </c>
      <c r="D3062" s="34" t="s">
        <v>2002</v>
      </c>
      <c r="E3062" s="35" t="str">
        <f t="shared" si="726"/>
        <v>PRBDP'!</v>
      </c>
      <c r="F3062" s="34" t="str">
        <f t="shared" si="727"/>
        <v>C:\Users\jaime.benazar\Quorum Business Solutions\Ecopetrol Prometeo - Documents\Planning Space Implementation\3. Analysis &amp; Design\Design\FC22\DRR Jaime\Neiva CPI\[DINA TERCIARIOS_CF_SEC_New_27-Mar-2024.xlsx]D-PRBDP'!</v>
      </c>
      <c r="G3062" s="32" t="s">
        <v>123</v>
      </c>
      <c r="H3062" s="33"/>
      <c r="I3062" s="33"/>
      <c r="J3062" s="37"/>
    </row>
    <row r="3063" spans="1:10" x14ac:dyDescent="0.3">
      <c r="A3063" s="32" t="s">
        <v>17</v>
      </c>
      <c r="B3063" s="32">
        <f>+B3062+1</f>
        <v>2044</v>
      </c>
      <c r="C3063" s="33" t="s">
        <v>110</v>
      </c>
      <c r="D3063" s="34" t="s">
        <v>2002</v>
      </c>
      <c r="E3063" s="35" t="str">
        <f t="shared" ref="E3063:E3078" si="731">_xlfn.CONCAT(A3063,"'!")</f>
        <v>PRBDP'!</v>
      </c>
      <c r="F3063" s="34" t="str">
        <f t="shared" ref="F3063:F3078" si="732">_xlfn.CONCAT(D3063:E3063)</f>
        <v>C:\Users\jaime.benazar\Quorum Business Solutions\Ecopetrol Prometeo - Documents\Planning Space Implementation\3. Analysis &amp; Design\Design\FC22\DRR Jaime\Neiva CPI\[DINA TERCIARIOS_CF_SEC_New_27-Mar-2024.xlsx]D-PRBDP'!</v>
      </c>
      <c r="G3063" s="32" t="s">
        <v>123</v>
      </c>
      <c r="H3063" s="33"/>
      <c r="I3063" s="33"/>
      <c r="J3063" s="37"/>
    </row>
    <row r="3064" spans="1:10" x14ac:dyDescent="0.3">
      <c r="A3064" s="32" t="s">
        <v>17</v>
      </c>
      <c r="B3064" s="32">
        <f t="shared" ref="B3064:B3078" si="733">+B3063+1</f>
        <v>2045</v>
      </c>
      <c r="C3064" s="33" t="s">
        <v>110</v>
      </c>
      <c r="D3064" s="34" t="s">
        <v>2002</v>
      </c>
      <c r="E3064" s="35" t="str">
        <f t="shared" si="731"/>
        <v>PRBDP'!</v>
      </c>
      <c r="F3064" s="34" t="str">
        <f t="shared" si="732"/>
        <v>C:\Users\jaime.benazar\Quorum Business Solutions\Ecopetrol Prometeo - Documents\Planning Space Implementation\3. Analysis &amp; Design\Design\FC22\DRR Jaime\Neiva CPI\[DINA TERCIARIOS_CF_SEC_New_27-Mar-2024.xlsx]D-PRBDP'!</v>
      </c>
      <c r="G3064" s="32" t="s">
        <v>123</v>
      </c>
      <c r="H3064" s="33"/>
      <c r="I3064" s="33"/>
      <c r="J3064" s="37"/>
    </row>
    <row r="3065" spans="1:10" x14ac:dyDescent="0.3">
      <c r="A3065" s="32" t="s">
        <v>17</v>
      </c>
      <c r="B3065" s="32">
        <f t="shared" si="733"/>
        <v>2046</v>
      </c>
      <c r="C3065" s="33" t="s">
        <v>110</v>
      </c>
      <c r="D3065" s="34" t="s">
        <v>2002</v>
      </c>
      <c r="E3065" s="35" t="str">
        <f t="shared" si="731"/>
        <v>PRBDP'!</v>
      </c>
      <c r="F3065" s="34" t="str">
        <f t="shared" si="732"/>
        <v>C:\Users\jaime.benazar\Quorum Business Solutions\Ecopetrol Prometeo - Documents\Planning Space Implementation\3. Analysis &amp; Design\Design\FC22\DRR Jaime\Neiva CPI\[DINA TERCIARIOS_CF_SEC_New_27-Mar-2024.xlsx]D-PRBDP'!</v>
      </c>
      <c r="G3065" s="32" t="s">
        <v>123</v>
      </c>
      <c r="H3065" s="33"/>
      <c r="I3065" s="33"/>
      <c r="J3065" s="37"/>
    </row>
    <row r="3066" spans="1:10" x14ac:dyDescent="0.3">
      <c r="A3066" s="32" t="s">
        <v>17</v>
      </c>
      <c r="B3066" s="32">
        <f t="shared" si="733"/>
        <v>2047</v>
      </c>
      <c r="C3066" s="33" t="s">
        <v>110</v>
      </c>
      <c r="D3066" s="34" t="s">
        <v>2002</v>
      </c>
      <c r="E3066" s="35" t="str">
        <f t="shared" si="731"/>
        <v>PRBDP'!</v>
      </c>
      <c r="F3066" s="34" t="str">
        <f t="shared" si="732"/>
        <v>C:\Users\jaime.benazar\Quorum Business Solutions\Ecopetrol Prometeo - Documents\Planning Space Implementation\3. Analysis &amp; Design\Design\FC22\DRR Jaime\Neiva CPI\[DINA TERCIARIOS_CF_SEC_New_27-Mar-2024.xlsx]D-PRBDP'!</v>
      </c>
      <c r="G3066" s="32" t="s">
        <v>123</v>
      </c>
      <c r="H3066" s="33"/>
      <c r="I3066" s="33"/>
      <c r="J3066" s="37"/>
    </row>
    <row r="3067" spans="1:10" x14ac:dyDescent="0.3">
      <c r="A3067" s="32" t="s">
        <v>17</v>
      </c>
      <c r="B3067" s="32">
        <f t="shared" si="733"/>
        <v>2048</v>
      </c>
      <c r="C3067" s="33" t="s">
        <v>110</v>
      </c>
      <c r="D3067" s="34" t="s">
        <v>2002</v>
      </c>
      <c r="E3067" s="35" t="str">
        <f t="shared" si="731"/>
        <v>PRBDP'!</v>
      </c>
      <c r="F3067" s="34" t="str">
        <f t="shared" si="732"/>
        <v>C:\Users\jaime.benazar\Quorum Business Solutions\Ecopetrol Prometeo - Documents\Planning Space Implementation\3. Analysis &amp; Design\Design\FC22\DRR Jaime\Neiva CPI\[DINA TERCIARIOS_CF_SEC_New_27-Mar-2024.xlsx]D-PRBDP'!</v>
      </c>
      <c r="G3067" s="32" t="s">
        <v>123</v>
      </c>
      <c r="H3067" s="33"/>
      <c r="I3067" s="33"/>
      <c r="J3067" s="37"/>
    </row>
    <row r="3068" spans="1:10" x14ac:dyDescent="0.3">
      <c r="A3068" s="32" t="s">
        <v>17</v>
      </c>
      <c r="B3068" s="32">
        <f t="shared" si="733"/>
        <v>2049</v>
      </c>
      <c r="C3068" s="33" t="s">
        <v>110</v>
      </c>
      <c r="D3068" s="34" t="s">
        <v>2002</v>
      </c>
      <c r="E3068" s="35" t="str">
        <f t="shared" si="731"/>
        <v>PRBDP'!</v>
      </c>
      <c r="F3068" s="34" t="str">
        <f t="shared" si="732"/>
        <v>C:\Users\jaime.benazar\Quorum Business Solutions\Ecopetrol Prometeo - Documents\Planning Space Implementation\3. Analysis &amp; Design\Design\FC22\DRR Jaime\Neiva CPI\[DINA TERCIARIOS_CF_SEC_New_27-Mar-2024.xlsx]D-PRBDP'!</v>
      </c>
      <c r="G3068" s="32" t="s">
        <v>123</v>
      </c>
      <c r="H3068" s="33"/>
      <c r="I3068" s="33"/>
      <c r="J3068" s="37"/>
    </row>
    <row r="3069" spans="1:10" x14ac:dyDescent="0.3">
      <c r="A3069" s="32" t="s">
        <v>17</v>
      </c>
      <c r="B3069" s="32">
        <f t="shared" si="733"/>
        <v>2050</v>
      </c>
      <c r="C3069" s="33" t="s">
        <v>110</v>
      </c>
      <c r="D3069" s="34" t="s">
        <v>2002</v>
      </c>
      <c r="E3069" s="35" t="str">
        <f t="shared" si="731"/>
        <v>PRBDP'!</v>
      </c>
      <c r="F3069" s="34" t="str">
        <f t="shared" si="732"/>
        <v>C:\Users\jaime.benazar\Quorum Business Solutions\Ecopetrol Prometeo - Documents\Planning Space Implementation\3. Analysis &amp; Design\Design\FC22\DRR Jaime\Neiva CPI\[DINA TERCIARIOS_CF_SEC_New_27-Mar-2024.xlsx]D-PRBDP'!</v>
      </c>
      <c r="G3069" s="32" t="s">
        <v>123</v>
      </c>
      <c r="H3069" s="33"/>
      <c r="I3069" s="33"/>
      <c r="J3069" s="37"/>
    </row>
    <row r="3070" spans="1:10" x14ac:dyDescent="0.3">
      <c r="A3070" s="32" t="s">
        <v>17</v>
      </c>
      <c r="B3070" s="32">
        <f t="shared" si="733"/>
        <v>2051</v>
      </c>
      <c r="C3070" s="33" t="s">
        <v>110</v>
      </c>
      <c r="D3070" s="34" t="s">
        <v>2002</v>
      </c>
      <c r="E3070" s="35" t="str">
        <f t="shared" si="731"/>
        <v>PRBDP'!</v>
      </c>
      <c r="F3070" s="34" t="str">
        <f t="shared" si="732"/>
        <v>C:\Users\jaime.benazar\Quorum Business Solutions\Ecopetrol Prometeo - Documents\Planning Space Implementation\3. Analysis &amp; Design\Design\FC22\DRR Jaime\Neiva CPI\[DINA TERCIARIOS_CF_SEC_New_27-Mar-2024.xlsx]D-PRBDP'!</v>
      </c>
      <c r="G3070" s="32" t="s">
        <v>123</v>
      </c>
      <c r="H3070" s="33"/>
      <c r="I3070" s="33"/>
      <c r="J3070" s="37"/>
    </row>
    <row r="3071" spans="1:10" x14ac:dyDescent="0.3">
      <c r="A3071" s="32" t="s">
        <v>17</v>
      </c>
      <c r="B3071" s="32">
        <f t="shared" si="733"/>
        <v>2052</v>
      </c>
      <c r="C3071" s="33" t="s">
        <v>110</v>
      </c>
      <c r="D3071" s="34" t="s">
        <v>2002</v>
      </c>
      <c r="E3071" s="35" t="str">
        <f t="shared" si="731"/>
        <v>PRBDP'!</v>
      </c>
      <c r="F3071" s="34" t="str">
        <f t="shared" si="732"/>
        <v>C:\Users\jaime.benazar\Quorum Business Solutions\Ecopetrol Prometeo - Documents\Planning Space Implementation\3. Analysis &amp; Design\Design\FC22\DRR Jaime\Neiva CPI\[DINA TERCIARIOS_CF_SEC_New_27-Mar-2024.xlsx]D-PRBDP'!</v>
      </c>
      <c r="G3071" s="32" t="s">
        <v>123</v>
      </c>
      <c r="H3071" s="33"/>
      <c r="I3071" s="33"/>
      <c r="J3071" s="37"/>
    </row>
    <row r="3072" spans="1:10" x14ac:dyDescent="0.3">
      <c r="A3072" s="32" t="s">
        <v>17</v>
      </c>
      <c r="B3072" s="32">
        <f t="shared" si="733"/>
        <v>2053</v>
      </c>
      <c r="C3072" s="33" t="s">
        <v>110</v>
      </c>
      <c r="D3072" s="34" t="s">
        <v>2002</v>
      </c>
      <c r="E3072" s="35" t="str">
        <f t="shared" si="731"/>
        <v>PRBDP'!</v>
      </c>
      <c r="F3072" s="34" t="str">
        <f t="shared" si="732"/>
        <v>C:\Users\jaime.benazar\Quorum Business Solutions\Ecopetrol Prometeo - Documents\Planning Space Implementation\3. Analysis &amp; Design\Design\FC22\DRR Jaime\Neiva CPI\[DINA TERCIARIOS_CF_SEC_New_27-Mar-2024.xlsx]D-PRBDP'!</v>
      </c>
      <c r="G3072" s="32" t="s">
        <v>123</v>
      </c>
      <c r="H3072" s="33"/>
      <c r="I3072" s="33"/>
      <c r="J3072" s="37"/>
    </row>
    <row r="3073" spans="1:10" x14ac:dyDescent="0.3">
      <c r="A3073" s="32" t="s">
        <v>17</v>
      </c>
      <c r="B3073" s="32">
        <f t="shared" si="733"/>
        <v>2054</v>
      </c>
      <c r="C3073" s="33" t="s">
        <v>110</v>
      </c>
      <c r="D3073" s="34" t="s">
        <v>2002</v>
      </c>
      <c r="E3073" s="35" t="str">
        <f t="shared" si="731"/>
        <v>PRBDP'!</v>
      </c>
      <c r="F3073" s="34" t="str">
        <f t="shared" si="732"/>
        <v>C:\Users\jaime.benazar\Quorum Business Solutions\Ecopetrol Prometeo - Documents\Planning Space Implementation\3. Analysis &amp; Design\Design\FC22\DRR Jaime\Neiva CPI\[DINA TERCIARIOS_CF_SEC_New_27-Mar-2024.xlsx]D-PRBDP'!</v>
      </c>
      <c r="G3073" s="32" t="s">
        <v>123</v>
      </c>
      <c r="H3073" s="33"/>
      <c r="I3073" s="33"/>
      <c r="J3073" s="37"/>
    </row>
    <row r="3074" spans="1:10" x14ac:dyDescent="0.3">
      <c r="A3074" s="32" t="s">
        <v>17</v>
      </c>
      <c r="B3074" s="32">
        <f t="shared" si="733"/>
        <v>2055</v>
      </c>
      <c r="C3074" s="33" t="s">
        <v>110</v>
      </c>
      <c r="D3074" s="34" t="s">
        <v>2002</v>
      </c>
      <c r="E3074" s="35" t="str">
        <f t="shared" si="731"/>
        <v>PRBDP'!</v>
      </c>
      <c r="F3074" s="34" t="str">
        <f t="shared" si="732"/>
        <v>C:\Users\jaime.benazar\Quorum Business Solutions\Ecopetrol Prometeo - Documents\Planning Space Implementation\3. Analysis &amp; Design\Design\FC22\DRR Jaime\Neiva CPI\[DINA TERCIARIOS_CF_SEC_New_27-Mar-2024.xlsx]D-PRBDP'!</v>
      </c>
      <c r="G3074" s="32" t="s">
        <v>123</v>
      </c>
      <c r="H3074" s="33"/>
      <c r="I3074" s="33"/>
      <c r="J3074" s="37"/>
    </row>
    <row r="3075" spans="1:10" x14ac:dyDescent="0.3">
      <c r="A3075" s="32" t="s">
        <v>17</v>
      </c>
      <c r="B3075" s="32">
        <f t="shared" si="733"/>
        <v>2056</v>
      </c>
      <c r="C3075" s="33" t="s">
        <v>110</v>
      </c>
      <c r="D3075" s="34" t="s">
        <v>2002</v>
      </c>
      <c r="E3075" s="35" t="str">
        <f t="shared" si="731"/>
        <v>PRBDP'!</v>
      </c>
      <c r="F3075" s="34" t="str">
        <f t="shared" si="732"/>
        <v>C:\Users\jaime.benazar\Quorum Business Solutions\Ecopetrol Prometeo - Documents\Planning Space Implementation\3. Analysis &amp; Design\Design\FC22\DRR Jaime\Neiva CPI\[DINA TERCIARIOS_CF_SEC_New_27-Mar-2024.xlsx]D-PRBDP'!</v>
      </c>
      <c r="G3075" s="32" t="s">
        <v>123</v>
      </c>
      <c r="H3075" s="33"/>
      <c r="I3075" s="33"/>
      <c r="J3075" s="37"/>
    </row>
    <row r="3076" spans="1:10" x14ac:dyDescent="0.3">
      <c r="A3076" s="32" t="s">
        <v>17</v>
      </c>
      <c r="B3076" s="32">
        <f t="shared" si="733"/>
        <v>2057</v>
      </c>
      <c r="C3076" s="33" t="s">
        <v>110</v>
      </c>
      <c r="D3076" s="34" t="s">
        <v>2002</v>
      </c>
      <c r="E3076" s="35" t="str">
        <f t="shared" si="731"/>
        <v>PRBDP'!</v>
      </c>
      <c r="F3076" s="34" t="str">
        <f t="shared" si="732"/>
        <v>C:\Users\jaime.benazar\Quorum Business Solutions\Ecopetrol Prometeo - Documents\Planning Space Implementation\3. Analysis &amp; Design\Design\FC22\DRR Jaime\Neiva CPI\[DINA TERCIARIOS_CF_SEC_New_27-Mar-2024.xlsx]D-PRBDP'!</v>
      </c>
      <c r="G3076" s="32" t="s">
        <v>123</v>
      </c>
      <c r="H3076" s="33"/>
      <c r="I3076" s="33"/>
      <c r="J3076" s="37"/>
    </row>
    <row r="3077" spans="1:10" x14ac:dyDescent="0.3">
      <c r="A3077" s="32" t="s">
        <v>17</v>
      </c>
      <c r="B3077" s="32">
        <f t="shared" si="733"/>
        <v>2058</v>
      </c>
      <c r="C3077" s="33" t="s">
        <v>110</v>
      </c>
      <c r="D3077" s="34" t="s">
        <v>2002</v>
      </c>
      <c r="E3077" s="35" t="str">
        <f t="shared" si="731"/>
        <v>PRBDP'!</v>
      </c>
      <c r="F3077" s="34" t="str">
        <f t="shared" si="732"/>
        <v>C:\Users\jaime.benazar\Quorum Business Solutions\Ecopetrol Prometeo - Documents\Planning Space Implementation\3. Analysis &amp; Design\Design\FC22\DRR Jaime\Neiva CPI\[DINA TERCIARIOS_CF_SEC_New_27-Mar-2024.xlsx]D-PRBDP'!</v>
      </c>
      <c r="G3077" s="32" t="s">
        <v>123</v>
      </c>
      <c r="H3077" s="33"/>
      <c r="I3077" s="33"/>
      <c r="J3077" s="37"/>
    </row>
    <row r="3078" spans="1:10" x14ac:dyDescent="0.3">
      <c r="A3078" s="32" t="s">
        <v>17</v>
      </c>
      <c r="B3078" s="32">
        <f t="shared" si="733"/>
        <v>2059</v>
      </c>
      <c r="C3078" s="33" t="s">
        <v>110</v>
      </c>
      <c r="D3078" s="34" t="s">
        <v>2002</v>
      </c>
      <c r="E3078" s="35" t="str">
        <f t="shared" si="731"/>
        <v>PRBDP'!</v>
      </c>
      <c r="F3078" s="34" t="str">
        <f t="shared" si="732"/>
        <v>C:\Users\jaime.benazar\Quorum Business Solutions\Ecopetrol Prometeo - Documents\Planning Space Implementation\3. Analysis &amp; Design\Design\FC22\DRR Jaime\Neiva CPI\[DINA TERCIARIOS_CF_SEC_New_27-Mar-2024.xlsx]D-PRBDP'!</v>
      </c>
      <c r="G3078" s="32" t="s">
        <v>123</v>
      </c>
      <c r="H3078" s="33"/>
      <c r="I3078" s="33"/>
      <c r="J3078" s="37"/>
    </row>
    <row r="3079" spans="1:10" x14ac:dyDescent="0.3">
      <c r="A3079" s="32" t="s">
        <v>26</v>
      </c>
      <c r="B3079" s="32"/>
      <c r="C3079" s="33" t="s">
        <v>110</v>
      </c>
      <c r="D3079" s="34"/>
      <c r="E3079" s="35"/>
      <c r="F3079" s="34"/>
      <c r="G3079" s="32"/>
      <c r="H3079" s="33"/>
      <c r="I3079" s="33"/>
      <c r="J3079" s="33"/>
    </row>
    <row r="3080" spans="1:10" x14ac:dyDescent="0.3">
      <c r="A3080" s="32" t="s">
        <v>18</v>
      </c>
      <c r="B3080" s="32">
        <v>2023</v>
      </c>
      <c r="C3080" s="33" t="s">
        <v>110</v>
      </c>
      <c r="D3080" s="34" t="s">
        <v>2002</v>
      </c>
      <c r="E3080" s="35" t="str">
        <f t="shared" ref="E3080:E3100" si="734">_xlfn.CONCAT(A3080,"'!")</f>
        <v>PRBNP'!</v>
      </c>
      <c r="F3080" s="34" t="str">
        <f t="shared" ref="F3080:F3100" si="735">_xlfn.CONCAT(D3080:E3080)</f>
        <v>C:\Users\jaime.benazar\Quorum Business Solutions\Ecopetrol Prometeo - Documents\Planning Space Implementation\3. Analysis &amp; Design\Design\FC22\DRR Jaime\Neiva CPI\[DINA TERCIARIOS_CF_SEC_New_27-Mar-2024.xlsx]D-PRBNP'!</v>
      </c>
      <c r="G3080" s="32" t="s">
        <v>123</v>
      </c>
      <c r="H3080" s="33"/>
      <c r="I3080" s="33"/>
      <c r="J3080" s="37"/>
    </row>
    <row r="3081" spans="1:10" x14ac:dyDescent="0.3">
      <c r="A3081" s="32" t="s">
        <v>18</v>
      </c>
      <c r="B3081" s="32">
        <f>+B3080+1</f>
        <v>2024</v>
      </c>
      <c r="C3081" s="33" t="s">
        <v>110</v>
      </c>
      <c r="D3081" s="34" t="s">
        <v>2002</v>
      </c>
      <c r="E3081" s="35" t="str">
        <f t="shared" si="734"/>
        <v>PRBNP'!</v>
      </c>
      <c r="F3081" s="34" t="str">
        <f t="shared" si="735"/>
        <v>C:\Users\jaime.benazar\Quorum Business Solutions\Ecopetrol Prometeo - Documents\Planning Space Implementation\3. Analysis &amp; Design\Design\FC22\DRR Jaime\Neiva CPI\[DINA TERCIARIOS_CF_SEC_New_27-Mar-2024.xlsx]D-PRBNP'!</v>
      </c>
      <c r="G3081" s="32" t="s">
        <v>123</v>
      </c>
      <c r="H3081" s="33"/>
      <c r="I3081" s="33"/>
      <c r="J3081" s="37"/>
    </row>
    <row r="3082" spans="1:10" x14ac:dyDescent="0.3">
      <c r="A3082" s="32" t="s">
        <v>18</v>
      </c>
      <c r="B3082" s="32">
        <f t="shared" ref="B3082:B3093" si="736">+B3081+1</f>
        <v>2025</v>
      </c>
      <c r="C3082" s="33" t="s">
        <v>110</v>
      </c>
      <c r="D3082" s="34" t="s">
        <v>2002</v>
      </c>
      <c r="E3082" s="35" t="str">
        <f t="shared" si="734"/>
        <v>PRBNP'!</v>
      </c>
      <c r="F3082" s="34" t="str">
        <f t="shared" si="735"/>
        <v>C:\Users\jaime.benazar\Quorum Business Solutions\Ecopetrol Prometeo - Documents\Planning Space Implementation\3. Analysis &amp; Design\Design\FC22\DRR Jaime\Neiva CPI\[DINA TERCIARIOS_CF_SEC_New_27-Mar-2024.xlsx]D-PRBNP'!</v>
      </c>
      <c r="G3082" s="32" t="s">
        <v>123</v>
      </c>
      <c r="H3082" s="33"/>
      <c r="I3082" s="33"/>
      <c r="J3082" s="37"/>
    </row>
    <row r="3083" spans="1:10" x14ac:dyDescent="0.3">
      <c r="A3083" s="32" t="s">
        <v>18</v>
      </c>
      <c r="B3083" s="32">
        <f t="shared" si="736"/>
        <v>2026</v>
      </c>
      <c r="C3083" s="33" t="s">
        <v>110</v>
      </c>
      <c r="D3083" s="34" t="s">
        <v>2002</v>
      </c>
      <c r="E3083" s="35" t="str">
        <f t="shared" si="734"/>
        <v>PRBNP'!</v>
      </c>
      <c r="F3083" s="34" t="str">
        <f t="shared" si="735"/>
        <v>C:\Users\jaime.benazar\Quorum Business Solutions\Ecopetrol Prometeo - Documents\Planning Space Implementation\3. Analysis &amp; Design\Design\FC22\DRR Jaime\Neiva CPI\[DINA TERCIARIOS_CF_SEC_New_27-Mar-2024.xlsx]D-PRBNP'!</v>
      </c>
      <c r="G3083" s="32" t="s">
        <v>123</v>
      </c>
      <c r="H3083" s="33"/>
      <c r="I3083" s="33"/>
      <c r="J3083" s="37"/>
    </row>
    <row r="3084" spans="1:10" x14ac:dyDescent="0.3">
      <c r="A3084" s="32" t="s">
        <v>18</v>
      </c>
      <c r="B3084" s="32">
        <f t="shared" si="736"/>
        <v>2027</v>
      </c>
      <c r="C3084" s="33" t="s">
        <v>110</v>
      </c>
      <c r="D3084" s="34" t="s">
        <v>2002</v>
      </c>
      <c r="E3084" s="35" t="str">
        <f t="shared" si="734"/>
        <v>PRBNP'!</v>
      </c>
      <c r="F3084" s="34" t="str">
        <f t="shared" si="735"/>
        <v>C:\Users\jaime.benazar\Quorum Business Solutions\Ecopetrol Prometeo - Documents\Planning Space Implementation\3. Analysis &amp; Design\Design\FC22\DRR Jaime\Neiva CPI\[DINA TERCIARIOS_CF_SEC_New_27-Mar-2024.xlsx]D-PRBNP'!</v>
      </c>
      <c r="G3084" s="32" t="s">
        <v>123</v>
      </c>
      <c r="H3084" s="33"/>
      <c r="I3084" s="33"/>
      <c r="J3084" s="37"/>
    </row>
    <row r="3085" spans="1:10" x14ac:dyDescent="0.3">
      <c r="A3085" s="32" t="s">
        <v>18</v>
      </c>
      <c r="B3085" s="32">
        <f t="shared" si="736"/>
        <v>2028</v>
      </c>
      <c r="C3085" s="33" t="s">
        <v>110</v>
      </c>
      <c r="D3085" s="34" t="s">
        <v>2002</v>
      </c>
      <c r="E3085" s="35" t="str">
        <f t="shared" si="734"/>
        <v>PRBNP'!</v>
      </c>
      <c r="F3085" s="34" t="str">
        <f t="shared" si="735"/>
        <v>C:\Users\jaime.benazar\Quorum Business Solutions\Ecopetrol Prometeo - Documents\Planning Space Implementation\3. Analysis &amp; Design\Design\FC22\DRR Jaime\Neiva CPI\[DINA TERCIARIOS_CF_SEC_New_27-Mar-2024.xlsx]D-PRBNP'!</v>
      </c>
      <c r="G3085" s="32" t="s">
        <v>123</v>
      </c>
      <c r="H3085" s="33"/>
      <c r="I3085" s="33"/>
      <c r="J3085" s="37"/>
    </row>
    <row r="3086" spans="1:10" x14ac:dyDescent="0.3">
      <c r="A3086" s="32" t="s">
        <v>18</v>
      </c>
      <c r="B3086" s="32">
        <f t="shared" si="736"/>
        <v>2029</v>
      </c>
      <c r="C3086" s="33" t="s">
        <v>110</v>
      </c>
      <c r="D3086" s="34" t="s">
        <v>2002</v>
      </c>
      <c r="E3086" s="35" t="str">
        <f t="shared" si="734"/>
        <v>PRBNP'!</v>
      </c>
      <c r="F3086" s="34" t="str">
        <f t="shared" si="735"/>
        <v>C:\Users\jaime.benazar\Quorum Business Solutions\Ecopetrol Prometeo - Documents\Planning Space Implementation\3. Analysis &amp; Design\Design\FC22\DRR Jaime\Neiva CPI\[DINA TERCIARIOS_CF_SEC_New_27-Mar-2024.xlsx]D-PRBNP'!</v>
      </c>
      <c r="G3086" s="32" t="s">
        <v>123</v>
      </c>
      <c r="H3086" s="33"/>
      <c r="I3086" s="33"/>
      <c r="J3086" s="37"/>
    </row>
    <row r="3087" spans="1:10" x14ac:dyDescent="0.3">
      <c r="A3087" s="32" t="s">
        <v>18</v>
      </c>
      <c r="B3087" s="32">
        <f t="shared" si="736"/>
        <v>2030</v>
      </c>
      <c r="C3087" s="33" t="s">
        <v>110</v>
      </c>
      <c r="D3087" s="34" t="s">
        <v>2002</v>
      </c>
      <c r="E3087" s="35" t="str">
        <f t="shared" si="734"/>
        <v>PRBNP'!</v>
      </c>
      <c r="F3087" s="34" t="str">
        <f t="shared" si="735"/>
        <v>C:\Users\jaime.benazar\Quorum Business Solutions\Ecopetrol Prometeo - Documents\Planning Space Implementation\3. Analysis &amp; Design\Design\FC22\DRR Jaime\Neiva CPI\[DINA TERCIARIOS_CF_SEC_New_27-Mar-2024.xlsx]D-PRBNP'!</v>
      </c>
      <c r="G3087" s="32" t="s">
        <v>123</v>
      </c>
      <c r="H3087" s="33"/>
      <c r="I3087" s="33"/>
      <c r="J3087" s="37"/>
    </row>
    <row r="3088" spans="1:10" x14ac:dyDescent="0.3">
      <c r="A3088" s="32" t="s">
        <v>18</v>
      </c>
      <c r="B3088" s="32">
        <f t="shared" si="736"/>
        <v>2031</v>
      </c>
      <c r="C3088" s="33" t="s">
        <v>110</v>
      </c>
      <c r="D3088" s="34" t="s">
        <v>2002</v>
      </c>
      <c r="E3088" s="35" t="str">
        <f t="shared" si="734"/>
        <v>PRBNP'!</v>
      </c>
      <c r="F3088" s="34" t="str">
        <f t="shared" si="735"/>
        <v>C:\Users\jaime.benazar\Quorum Business Solutions\Ecopetrol Prometeo - Documents\Planning Space Implementation\3. Analysis &amp; Design\Design\FC22\DRR Jaime\Neiva CPI\[DINA TERCIARIOS_CF_SEC_New_27-Mar-2024.xlsx]D-PRBNP'!</v>
      </c>
      <c r="G3088" s="32" t="s">
        <v>123</v>
      </c>
      <c r="H3088" s="33"/>
      <c r="I3088" s="33"/>
      <c r="J3088" s="37"/>
    </row>
    <row r="3089" spans="1:10" x14ac:dyDescent="0.3">
      <c r="A3089" s="32" t="s">
        <v>18</v>
      </c>
      <c r="B3089" s="32">
        <f t="shared" si="736"/>
        <v>2032</v>
      </c>
      <c r="C3089" s="33" t="s">
        <v>110</v>
      </c>
      <c r="D3089" s="34" t="s">
        <v>2002</v>
      </c>
      <c r="E3089" s="35" t="str">
        <f t="shared" si="734"/>
        <v>PRBNP'!</v>
      </c>
      <c r="F3089" s="34" t="str">
        <f t="shared" si="735"/>
        <v>C:\Users\jaime.benazar\Quorum Business Solutions\Ecopetrol Prometeo - Documents\Planning Space Implementation\3. Analysis &amp; Design\Design\FC22\DRR Jaime\Neiva CPI\[DINA TERCIARIOS_CF_SEC_New_27-Mar-2024.xlsx]D-PRBNP'!</v>
      </c>
      <c r="G3089" s="32" t="s">
        <v>123</v>
      </c>
      <c r="H3089" s="33"/>
      <c r="I3089" s="33"/>
      <c r="J3089" s="37"/>
    </row>
    <row r="3090" spans="1:10" x14ac:dyDescent="0.3">
      <c r="A3090" s="32" t="s">
        <v>18</v>
      </c>
      <c r="B3090" s="32">
        <f t="shared" si="736"/>
        <v>2033</v>
      </c>
      <c r="C3090" s="33" t="s">
        <v>110</v>
      </c>
      <c r="D3090" s="34" t="s">
        <v>2002</v>
      </c>
      <c r="E3090" s="35" t="str">
        <f t="shared" si="734"/>
        <v>PRBNP'!</v>
      </c>
      <c r="F3090" s="34" t="str">
        <f t="shared" si="735"/>
        <v>C:\Users\jaime.benazar\Quorum Business Solutions\Ecopetrol Prometeo - Documents\Planning Space Implementation\3. Analysis &amp; Design\Design\FC22\DRR Jaime\Neiva CPI\[DINA TERCIARIOS_CF_SEC_New_27-Mar-2024.xlsx]D-PRBNP'!</v>
      </c>
      <c r="G3090" s="32" t="s">
        <v>123</v>
      </c>
      <c r="H3090" s="33"/>
      <c r="I3090" s="33"/>
      <c r="J3090" s="37"/>
    </row>
    <row r="3091" spans="1:10" x14ac:dyDescent="0.3">
      <c r="A3091" s="32" t="s">
        <v>18</v>
      </c>
      <c r="B3091" s="32">
        <f t="shared" si="736"/>
        <v>2034</v>
      </c>
      <c r="C3091" s="33" t="s">
        <v>110</v>
      </c>
      <c r="D3091" s="34" t="s">
        <v>2002</v>
      </c>
      <c r="E3091" s="35" t="str">
        <f t="shared" si="734"/>
        <v>PRBNP'!</v>
      </c>
      <c r="F3091" s="34" t="str">
        <f t="shared" si="735"/>
        <v>C:\Users\jaime.benazar\Quorum Business Solutions\Ecopetrol Prometeo - Documents\Planning Space Implementation\3. Analysis &amp; Design\Design\FC22\DRR Jaime\Neiva CPI\[DINA TERCIARIOS_CF_SEC_New_27-Mar-2024.xlsx]D-PRBNP'!</v>
      </c>
      <c r="G3091" s="32" t="s">
        <v>123</v>
      </c>
      <c r="H3091" s="33"/>
      <c r="I3091" s="33"/>
      <c r="J3091" s="37"/>
    </row>
    <row r="3092" spans="1:10" x14ac:dyDescent="0.3">
      <c r="A3092" s="32" t="s">
        <v>18</v>
      </c>
      <c r="B3092" s="32">
        <f t="shared" si="736"/>
        <v>2035</v>
      </c>
      <c r="C3092" s="33" t="s">
        <v>110</v>
      </c>
      <c r="D3092" s="34" t="s">
        <v>2002</v>
      </c>
      <c r="E3092" s="35" t="str">
        <f t="shared" si="734"/>
        <v>PRBNP'!</v>
      </c>
      <c r="F3092" s="34" t="str">
        <f t="shared" si="735"/>
        <v>C:\Users\jaime.benazar\Quorum Business Solutions\Ecopetrol Prometeo - Documents\Planning Space Implementation\3. Analysis &amp; Design\Design\FC22\DRR Jaime\Neiva CPI\[DINA TERCIARIOS_CF_SEC_New_27-Mar-2024.xlsx]D-PRBNP'!</v>
      </c>
      <c r="G3092" s="32" t="s">
        <v>123</v>
      </c>
      <c r="H3092" s="33"/>
      <c r="I3092" s="33"/>
      <c r="J3092" s="37"/>
    </row>
    <row r="3093" spans="1:10" x14ac:dyDescent="0.3">
      <c r="A3093" s="32" t="s">
        <v>18</v>
      </c>
      <c r="B3093" s="32">
        <f t="shared" si="736"/>
        <v>2036</v>
      </c>
      <c r="C3093" s="33" t="s">
        <v>110</v>
      </c>
      <c r="D3093" s="34" t="s">
        <v>2002</v>
      </c>
      <c r="E3093" s="35" t="str">
        <f t="shared" si="734"/>
        <v>PRBNP'!</v>
      </c>
      <c r="F3093" s="34" t="str">
        <f t="shared" si="735"/>
        <v>C:\Users\jaime.benazar\Quorum Business Solutions\Ecopetrol Prometeo - Documents\Planning Space Implementation\3. Analysis &amp; Design\Design\FC22\DRR Jaime\Neiva CPI\[DINA TERCIARIOS_CF_SEC_New_27-Mar-2024.xlsx]D-PRBNP'!</v>
      </c>
      <c r="G3093" s="32" t="s">
        <v>123</v>
      </c>
      <c r="H3093" s="33"/>
      <c r="I3093" s="33"/>
      <c r="J3093" s="37"/>
    </row>
    <row r="3094" spans="1:10" x14ac:dyDescent="0.3">
      <c r="A3094" s="32" t="s">
        <v>18</v>
      </c>
      <c r="B3094" s="32">
        <f>+B3093+1</f>
        <v>2037</v>
      </c>
      <c r="C3094" s="33" t="s">
        <v>110</v>
      </c>
      <c r="D3094" s="34" t="s">
        <v>2002</v>
      </c>
      <c r="E3094" s="35" t="str">
        <f t="shared" si="734"/>
        <v>PRBNP'!</v>
      </c>
      <c r="F3094" s="34" t="str">
        <f t="shared" si="735"/>
        <v>C:\Users\jaime.benazar\Quorum Business Solutions\Ecopetrol Prometeo - Documents\Planning Space Implementation\3. Analysis &amp; Design\Design\FC22\DRR Jaime\Neiva CPI\[DINA TERCIARIOS_CF_SEC_New_27-Mar-2024.xlsx]D-PRBNP'!</v>
      </c>
      <c r="G3094" s="32" t="s">
        <v>123</v>
      </c>
      <c r="H3094" s="33"/>
      <c r="I3094" s="33"/>
      <c r="J3094" s="37"/>
    </row>
    <row r="3095" spans="1:10" x14ac:dyDescent="0.3">
      <c r="A3095" s="32" t="s">
        <v>18</v>
      </c>
      <c r="B3095" s="32">
        <f t="shared" ref="B3095:B3097" si="737">+B3094+1</f>
        <v>2038</v>
      </c>
      <c r="C3095" s="33" t="s">
        <v>110</v>
      </c>
      <c r="D3095" s="34" t="s">
        <v>2002</v>
      </c>
      <c r="E3095" s="35" t="str">
        <f t="shared" si="734"/>
        <v>PRBNP'!</v>
      </c>
      <c r="F3095" s="34" t="str">
        <f t="shared" si="735"/>
        <v>C:\Users\jaime.benazar\Quorum Business Solutions\Ecopetrol Prometeo - Documents\Planning Space Implementation\3. Analysis &amp; Design\Design\FC22\DRR Jaime\Neiva CPI\[DINA TERCIARIOS_CF_SEC_New_27-Mar-2024.xlsx]D-PRBNP'!</v>
      </c>
      <c r="G3095" s="32" t="s">
        <v>123</v>
      </c>
      <c r="H3095" s="33"/>
      <c r="I3095" s="33"/>
      <c r="J3095" s="37"/>
    </row>
    <row r="3096" spans="1:10" x14ac:dyDescent="0.3">
      <c r="A3096" s="32" t="s">
        <v>18</v>
      </c>
      <c r="B3096" s="32">
        <f t="shared" si="737"/>
        <v>2039</v>
      </c>
      <c r="C3096" s="33" t="s">
        <v>110</v>
      </c>
      <c r="D3096" s="34" t="s">
        <v>2002</v>
      </c>
      <c r="E3096" s="35" t="str">
        <f t="shared" si="734"/>
        <v>PRBNP'!</v>
      </c>
      <c r="F3096" s="34" t="str">
        <f t="shared" si="735"/>
        <v>C:\Users\jaime.benazar\Quorum Business Solutions\Ecopetrol Prometeo - Documents\Planning Space Implementation\3. Analysis &amp; Design\Design\FC22\DRR Jaime\Neiva CPI\[DINA TERCIARIOS_CF_SEC_New_27-Mar-2024.xlsx]D-PRBNP'!</v>
      </c>
      <c r="G3096" s="32" t="s">
        <v>123</v>
      </c>
      <c r="H3096" s="33"/>
      <c r="I3096" s="33"/>
      <c r="J3096" s="37"/>
    </row>
    <row r="3097" spans="1:10" x14ac:dyDescent="0.3">
      <c r="A3097" s="32" t="s">
        <v>18</v>
      </c>
      <c r="B3097" s="32">
        <f t="shared" si="737"/>
        <v>2040</v>
      </c>
      <c r="C3097" s="33" t="s">
        <v>110</v>
      </c>
      <c r="D3097" s="34" t="s">
        <v>2002</v>
      </c>
      <c r="E3097" s="35" t="str">
        <f t="shared" si="734"/>
        <v>PRBNP'!</v>
      </c>
      <c r="F3097" s="34" t="str">
        <f t="shared" si="735"/>
        <v>C:\Users\jaime.benazar\Quorum Business Solutions\Ecopetrol Prometeo - Documents\Planning Space Implementation\3. Analysis &amp; Design\Design\FC22\DRR Jaime\Neiva CPI\[DINA TERCIARIOS_CF_SEC_New_27-Mar-2024.xlsx]D-PRBNP'!</v>
      </c>
      <c r="G3097" s="32" t="s">
        <v>123</v>
      </c>
      <c r="H3097" s="33"/>
      <c r="I3097" s="33"/>
      <c r="J3097" s="37"/>
    </row>
    <row r="3098" spans="1:10" x14ac:dyDescent="0.3">
      <c r="A3098" s="32" t="s">
        <v>18</v>
      </c>
      <c r="B3098" s="32">
        <f>+B3097+1</f>
        <v>2041</v>
      </c>
      <c r="C3098" s="33" t="s">
        <v>110</v>
      </c>
      <c r="D3098" s="34" t="s">
        <v>2002</v>
      </c>
      <c r="E3098" s="35" t="str">
        <f t="shared" si="734"/>
        <v>PRBNP'!</v>
      </c>
      <c r="F3098" s="34" t="str">
        <f t="shared" si="735"/>
        <v>C:\Users\jaime.benazar\Quorum Business Solutions\Ecopetrol Prometeo - Documents\Planning Space Implementation\3. Analysis &amp; Design\Design\FC22\DRR Jaime\Neiva CPI\[DINA TERCIARIOS_CF_SEC_New_27-Mar-2024.xlsx]D-PRBNP'!</v>
      </c>
      <c r="G3098" s="32" t="s">
        <v>123</v>
      </c>
      <c r="H3098" s="33"/>
      <c r="I3098" s="33"/>
      <c r="J3098" s="37"/>
    </row>
    <row r="3099" spans="1:10" x14ac:dyDescent="0.3">
      <c r="A3099" s="32" t="s">
        <v>18</v>
      </c>
      <c r="B3099" s="32">
        <f t="shared" ref="B3099:B3100" si="738">+B3098+1</f>
        <v>2042</v>
      </c>
      <c r="C3099" s="33" t="s">
        <v>110</v>
      </c>
      <c r="D3099" s="34" t="s">
        <v>2002</v>
      </c>
      <c r="E3099" s="35" t="str">
        <f t="shared" si="734"/>
        <v>PRBNP'!</v>
      </c>
      <c r="F3099" s="34" t="str">
        <f t="shared" si="735"/>
        <v>C:\Users\jaime.benazar\Quorum Business Solutions\Ecopetrol Prometeo - Documents\Planning Space Implementation\3. Analysis &amp; Design\Design\FC22\DRR Jaime\Neiva CPI\[DINA TERCIARIOS_CF_SEC_New_27-Mar-2024.xlsx]D-PRBNP'!</v>
      </c>
      <c r="G3099" s="32" t="s">
        <v>123</v>
      </c>
      <c r="H3099" s="33"/>
      <c r="I3099" s="33"/>
      <c r="J3099" s="37"/>
    </row>
    <row r="3100" spans="1:10" x14ac:dyDescent="0.3">
      <c r="A3100" s="32" t="s">
        <v>18</v>
      </c>
      <c r="B3100" s="32">
        <f t="shared" si="738"/>
        <v>2043</v>
      </c>
      <c r="C3100" s="33" t="s">
        <v>110</v>
      </c>
      <c r="D3100" s="34" t="s">
        <v>2002</v>
      </c>
      <c r="E3100" s="35" t="str">
        <f t="shared" si="734"/>
        <v>PRBNP'!</v>
      </c>
      <c r="F3100" s="34" t="str">
        <f t="shared" si="735"/>
        <v>C:\Users\jaime.benazar\Quorum Business Solutions\Ecopetrol Prometeo - Documents\Planning Space Implementation\3. Analysis &amp; Design\Design\FC22\DRR Jaime\Neiva CPI\[DINA TERCIARIOS_CF_SEC_New_27-Mar-2024.xlsx]D-PRBNP'!</v>
      </c>
      <c r="G3100" s="32" t="s">
        <v>123</v>
      </c>
      <c r="H3100" s="33"/>
      <c r="I3100" s="33"/>
      <c r="J3100" s="37"/>
    </row>
    <row r="3101" spans="1:10" x14ac:dyDescent="0.3">
      <c r="A3101" s="32" t="s">
        <v>18</v>
      </c>
      <c r="B3101" s="32">
        <f>+B3100+1</f>
        <v>2044</v>
      </c>
      <c r="C3101" s="33" t="s">
        <v>110</v>
      </c>
      <c r="D3101" s="34" t="s">
        <v>2002</v>
      </c>
      <c r="E3101" s="35" t="str">
        <f t="shared" ref="E3101:E3116" si="739">_xlfn.CONCAT(A3101,"'!")</f>
        <v>PRBNP'!</v>
      </c>
      <c r="F3101" s="34" t="str">
        <f t="shared" ref="F3101:F3116" si="740">_xlfn.CONCAT(D3101:E3101)</f>
        <v>C:\Users\jaime.benazar\Quorum Business Solutions\Ecopetrol Prometeo - Documents\Planning Space Implementation\3. Analysis &amp; Design\Design\FC22\DRR Jaime\Neiva CPI\[DINA TERCIARIOS_CF_SEC_New_27-Mar-2024.xlsx]D-PRBNP'!</v>
      </c>
      <c r="G3101" s="32" t="s">
        <v>123</v>
      </c>
      <c r="H3101" s="33"/>
      <c r="I3101" s="33"/>
      <c r="J3101" s="37"/>
    </row>
    <row r="3102" spans="1:10" x14ac:dyDescent="0.3">
      <c r="A3102" s="32" t="s">
        <v>18</v>
      </c>
      <c r="B3102" s="32">
        <f t="shared" ref="B3102:B3116" si="741">+B3101+1</f>
        <v>2045</v>
      </c>
      <c r="C3102" s="33" t="s">
        <v>110</v>
      </c>
      <c r="D3102" s="34" t="s">
        <v>2002</v>
      </c>
      <c r="E3102" s="35" t="str">
        <f t="shared" si="739"/>
        <v>PRBNP'!</v>
      </c>
      <c r="F3102" s="34" t="str">
        <f t="shared" si="740"/>
        <v>C:\Users\jaime.benazar\Quorum Business Solutions\Ecopetrol Prometeo - Documents\Planning Space Implementation\3. Analysis &amp; Design\Design\FC22\DRR Jaime\Neiva CPI\[DINA TERCIARIOS_CF_SEC_New_27-Mar-2024.xlsx]D-PRBNP'!</v>
      </c>
      <c r="G3102" s="32" t="s">
        <v>123</v>
      </c>
      <c r="H3102" s="33"/>
      <c r="I3102" s="33"/>
      <c r="J3102" s="37"/>
    </row>
    <row r="3103" spans="1:10" x14ac:dyDescent="0.3">
      <c r="A3103" s="32" t="s">
        <v>18</v>
      </c>
      <c r="B3103" s="32">
        <f t="shared" si="741"/>
        <v>2046</v>
      </c>
      <c r="C3103" s="33" t="s">
        <v>110</v>
      </c>
      <c r="D3103" s="34" t="s">
        <v>2002</v>
      </c>
      <c r="E3103" s="35" t="str">
        <f t="shared" si="739"/>
        <v>PRBNP'!</v>
      </c>
      <c r="F3103" s="34" t="str">
        <f t="shared" si="740"/>
        <v>C:\Users\jaime.benazar\Quorum Business Solutions\Ecopetrol Prometeo - Documents\Planning Space Implementation\3. Analysis &amp; Design\Design\FC22\DRR Jaime\Neiva CPI\[DINA TERCIARIOS_CF_SEC_New_27-Mar-2024.xlsx]D-PRBNP'!</v>
      </c>
      <c r="G3103" s="32" t="s">
        <v>123</v>
      </c>
      <c r="H3103" s="33"/>
      <c r="I3103" s="33"/>
      <c r="J3103" s="37"/>
    </row>
    <row r="3104" spans="1:10" x14ac:dyDescent="0.3">
      <c r="A3104" s="32" t="s">
        <v>18</v>
      </c>
      <c r="B3104" s="32">
        <f t="shared" si="741"/>
        <v>2047</v>
      </c>
      <c r="C3104" s="33" t="s">
        <v>110</v>
      </c>
      <c r="D3104" s="34" t="s">
        <v>2002</v>
      </c>
      <c r="E3104" s="35" t="str">
        <f t="shared" si="739"/>
        <v>PRBNP'!</v>
      </c>
      <c r="F3104" s="34" t="str">
        <f t="shared" si="740"/>
        <v>C:\Users\jaime.benazar\Quorum Business Solutions\Ecopetrol Prometeo - Documents\Planning Space Implementation\3. Analysis &amp; Design\Design\FC22\DRR Jaime\Neiva CPI\[DINA TERCIARIOS_CF_SEC_New_27-Mar-2024.xlsx]D-PRBNP'!</v>
      </c>
      <c r="G3104" s="32" t="s">
        <v>123</v>
      </c>
      <c r="H3104" s="33"/>
      <c r="I3104" s="33"/>
      <c r="J3104" s="37"/>
    </row>
    <row r="3105" spans="1:10" x14ac:dyDescent="0.3">
      <c r="A3105" s="32" t="s">
        <v>18</v>
      </c>
      <c r="B3105" s="32">
        <f t="shared" si="741"/>
        <v>2048</v>
      </c>
      <c r="C3105" s="33" t="s">
        <v>110</v>
      </c>
      <c r="D3105" s="34" t="s">
        <v>2002</v>
      </c>
      <c r="E3105" s="35" t="str">
        <f t="shared" si="739"/>
        <v>PRBNP'!</v>
      </c>
      <c r="F3105" s="34" t="str">
        <f t="shared" si="740"/>
        <v>C:\Users\jaime.benazar\Quorum Business Solutions\Ecopetrol Prometeo - Documents\Planning Space Implementation\3. Analysis &amp; Design\Design\FC22\DRR Jaime\Neiva CPI\[DINA TERCIARIOS_CF_SEC_New_27-Mar-2024.xlsx]D-PRBNP'!</v>
      </c>
      <c r="G3105" s="32" t="s">
        <v>123</v>
      </c>
      <c r="H3105" s="33"/>
      <c r="I3105" s="33"/>
      <c r="J3105" s="37"/>
    </row>
    <row r="3106" spans="1:10" x14ac:dyDescent="0.3">
      <c r="A3106" s="32" t="s">
        <v>18</v>
      </c>
      <c r="B3106" s="32">
        <f t="shared" si="741"/>
        <v>2049</v>
      </c>
      <c r="C3106" s="33" t="s">
        <v>110</v>
      </c>
      <c r="D3106" s="34" t="s">
        <v>2002</v>
      </c>
      <c r="E3106" s="35" t="str">
        <f t="shared" si="739"/>
        <v>PRBNP'!</v>
      </c>
      <c r="F3106" s="34" t="str">
        <f t="shared" si="740"/>
        <v>C:\Users\jaime.benazar\Quorum Business Solutions\Ecopetrol Prometeo - Documents\Planning Space Implementation\3. Analysis &amp; Design\Design\FC22\DRR Jaime\Neiva CPI\[DINA TERCIARIOS_CF_SEC_New_27-Mar-2024.xlsx]D-PRBNP'!</v>
      </c>
      <c r="G3106" s="32" t="s">
        <v>123</v>
      </c>
      <c r="H3106" s="33"/>
      <c r="I3106" s="33"/>
      <c r="J3106" s="37"/>
    </row>
    <row r="3107" spans="1:10" x14ac:dyDescent="0.3">
      <c r="A3107" s="32" t="s">
        <v>18</v>
      </c>
      <c r="B3107" s="32">
        <f t="shared" si="741"/>
        <v>2050</v>
      </c>
      <c r="C3107" s="33" t="s">
        <v>110</v>
      </c>
      <c r="D3107" s="34" t="s">
        <v>2002</v>
      </c>
      <c r="E3107" s="35" t="str">
        <f t="shared" si="739"/>
        <v>PRBNP'!</v>
      </c>
      <c r="F3107" s="34" t="str">
        <f t="shared" si="740"/>
        <v>C:\Users\jaime.benazar\Quorum Business Solutions\Ecopetrol Prometeo - Documents\Planning Space Implementation\3. Analysis &amp; Design\Design\FC22\DRR Jaime\Neiva CPI\[DINA TERCIARIOS_CF_SEC_New_27-Mar-2024.xlsx]D-PRBNP'!</v>
      </c>
      <c r="G3107" s="32" t="s">
        <v>123</v>
      </c>
      <c r="H3107" s="33"/>
      <c r="I3107" s="33"/>
      <c r="J3107" s="37"/>
    </row>
    <row r="3108" spans="1:10" x14ac:dyDescent="0.3">
      <c r="A3108" s="32" t="s">
        <v>18</v>
      </c>
      <c r="B3108" s="32">
        <f t="shared" si="741"/>
        <v>2051</v>
      </c>
      <c r="C3108" s="33" t="s">
        <v>110</v>
      </c>
      <c r="D3108" s="34" t="s">
        <v>2002</v>
      </c>
      <c r="E3108" s="35" t="str">
        <f t="shared" si="739"/>
        <v>PRBNP'!</v>
      </c>
      <c r="F3108" s="34" t="str">
        <f t="shared" si="740"/>
        <v>C:\Users\jaime.benazar\Quorum Business Solutions\Ecopetrol Prometeo - Documents\Planning Space Implementation\3. Analysis &amp; Design\Design\FC22\DRR Jaime\Neiva CPI\[DINA TERCIARIOS_CF_SEC_New_27-Mar-2024.xlsx]D-PRBNP'!</v>
      </c>
      <c r="G3108" s="32" t="s">
        <v>123</v>
      </c>
      <c r="H3108" s="33"/>
      <c r="I3108" s="33"/>
      <c r="J3108" s="37"/>
    </row>
    <row r="3109" spans="1:10" x14ac:dyDescent="0.3">
      <c r="A3109" s="32" t="s">
        <v>18</v>
      </c>
      <c r="B3109" s="32">
        <f t="shared" si="741"/>
        <v>2052</v>
      </c>
      <c r="C3109" s="33" t="s">
        <v>110</v>
      </c>
      <c r="D3109" s="34" t="s">
        <v>2002</v>
      </c>
      <c r="E3109" s="35" t="str">
        <f t="shared" si="739"/>
        <v>PRBNP'!</v>
      </c>
      <c r="F3109" s="34" t="str">
        <f t="shared" si="740"/>
        <v>C:\Users\jaime.benazar\Quorum Business Solutions\Ecopetrol Prometeo - Documents\Planning Space Implementation\3. Analysis &amp; Design\Design\FC22\DRR Jaime\Neiva CPI\[DINA TERCIARIOS_CF_SEC_New_27-Mar-2024.xlsx]D-PRBNP'!</v>
      </c>
      <c r="G3109" s="32" t="s">
        <v>123</v>
      </c>
      <c r="H3109" s="33"/>
      <c r="I3109" s="33"/>
      <c r="J3109" s="37"/>
    </row>
    <row r="3110" spans="1:10" x14ac:dyDescent="0.3">
      <c r="A3110" s="32" t="s">
        <v>18</v>
      </c>
      <c r="B3110" s="32">
        <f t="shared" si="741"/>
        <v>2053</v>
      </c>
      <c r="C3110" s="33" t="s">
        <v>110</v>
      </c>
      <c r="D3110" s="34" t="s">
        <v>2002</v>
      </c>
      <c r="E3110" s="35" t="str">
        <f t="shared" si="739"/>
        <v>PRBNP'!</v>
      </c>
      <c r="F3110" s="34" t="str">
        <f t="shared" si="740"/>
        <v>C:\Users\jaime.benazar\Quorum Business Solutions\Ecopetrol Prometeo - Documents\Planning Space Implementation\3. Analysis &amp; Design\Design\FC22\DRR Jaime\Neiva CPI\[DINA TERCIARIOS_CF_SEC_New_27-Mar-2024.xlsx]D-PRBNP'!</v>
      </c>
      <c r="G3110" s="32" t="s">
        <v>123</v>
      </c>
      <c r="H3110" s="33"/>
      <c r="I3110" s="33"/>
      <c r="J3110" s="37"/>
    </row>
    <row r="3111" spans="1:10" x14ac:dyDescent="0.3">
      <c r="A3111" s="32" t="s">
        <v>18</v>
      </c>
      <c r="B3111" s="32">
        <f t="shared" si="741"/>
        <v>2054</v>
      </c>
      <c r="C3111" s="33" t="s">
        <v>110</v>
      </c>
      <c r="D3111" s="34" t="s">
        <v>2002</v>
      </c>
      <c r="E3111" s="35" t="str">
        <f t="shared" si="739"/>
        <v>PRBNP'!</v>
      </c>
      <c r="F3111" s="34" t="str">
        <f t="shared" si="740"/>
        <v>C:\Users\jaime.benazar\Quorum Business Solutions\Ecopetrol Prometeo - Documents\Planning Space Implementation\3. Analysis &amp; Design\Design\FC22\DRR Jaime\Neiva CPI\[DINA TERCIARIOS_CF_SEC_New_27-Mar-2024.xlsx]D-PRBNP'!</v>
      </c>
      <c r="G3111" s="32" t="s">
        <v>123</v>
      </c>
      <c r="H3111" s="33"/>
      <c r="I3111" s="33"/>
      <c r="J3111" s="37"/>
    </row>
    <row r="3112" spans="1:10" x14ac:dyDescent="0.3">
      <c r="A3112" s="32" t="s">
        <v>18</v>
      </c>
      <c r="B3112" s="32">
        <f t="shared" si="741"/>
        <v>2055</v>
      </c>
      <c r="C3112" s="33" t="s">
        <v>110</v>
      </c>
      <c r="D3112" s="34" t="s">
        <v>2002</v>
      </c>
      <c r="E3112" s="35" t="str">
        <f t="shared" si="739"/>
        <v>PRBNP'!</v>
      </c>
      <c r="F3112" s="34" t="str">
        <f t="shared" si="740"/>
        <v>C:\Users\jaime.benazar\Quorum Business Solutions\Ecopetrol Prometeo - Documents\Planning Space Implementation\3. Analysis &amp; Design\Design\FC22\DRR Jaime\Neiva CPI\[DINA TERCIARIOS_CF_SEC_New_27-Mar-2024.xlsx]D-PRBNP'!</v>
      </c>
      <c r="G3112" s="32" t="s">
        <v>123</v>
      </c>
      <c r="H3112" s="33"/>
      <c r="I3112" s="33"/>
      <c r="J3112" s="37"/>
    </row>
    <row r="3113" spans="1:10" x14ac:dyDescent="0.3">
      <c r="A3113" s="32" t="s">
        <v>18</v>
      </c>
      <c r="B3113" s="32">
        <f t="shared" si="741"/>
        <v>2056</v>
      </c>
      <c r="C3113" s="33" t="s">
        <v>110</v>
      </c>
      <c r="D3113" s="34" t="s">
        <v>2002</v>
      </c>
      <c r="E3113" s="35" t="str">
        <f t="shared" si="739"/>
        <v>PRBNP'!</v>
      </c>
      <c r="F3113" s="34" t="str">
        <f t="shared" si="740"/>
        <v>C:\Users\jaime.benazar\Quorum Business Solutions\Ecopetrol Prometeo - Documents\Planning Space Implementation\3. Analysis &amp; Design\Design\FC22\DRR Jaime\Neiva CPI\[DINA TERCIARIOS_CF_SEC_New_27-Mar-2024.xlsx]D-PRBNP'!</v>
      </c>
      <c r="G3113" s="32" t="s">
        <v>123</v>
      </c>
      <c r="H3113" s="33"/>
      <c r="I3113" s="33"/>
      <c r="J3113" s="37"/>
    </row>
    <row r="3114" spans="1:10" x14ac:dyDescent="0.3">
      <c r="A3114" s="32" t="s">
        <v>18</v>
      </c>
      <c r="B3114" s="32">
        <f t="shared" si="741"/>
        <v>2057</v>
      </c>
      <c r="C3114" s="33" t="s">
        <v>110</v>
      </c>
      <c r="D3114" s="34" t="s">
        <v>2002</v>
      </c>
      <c r="E3114" s="35" t="str">
        <f t="shared" si="739"/>
        <v>PRBNP'!</v>
      </c>
      <c r="F3114" s="34" t="str">
        <f t="shared" si="740"/>
        <v>C:\Users\jaime.benazar\Quorum Business Solutions\Ecopetrol Prometeo - Documents\Planning Space Implementation\3. Analysis &amp; Design\Design\FC22\DRR Jaime\Neiva CPI\[DINA TERCIARIOS_CF_SEC_New_27-Mar-2024.xlsx]D-PRBNP'!</v>
      </c>
      <c r="G3114" s="32" t="s">
        <v>123</v>
      </c>
      <c r="H3114" s="33"/>
      <c r="I3114" s="33"/>
      <c r="J3114" s="37"/>
    </row>
    <row r="3115" spans="1:10" x14ac:dyDescent="0.3">
      <c r="A3115" s="32" t="s">
        <v>18</v>
      </c>
      <c r="B3115" s="32">
        <f t="shared" si="741"/>
        <v>2058</v>
      </c>
      <c r="C3115" s="33" t="s">
        <v>110</v>
      </c>
      <c r="D3115" s="34" t="s">
        <v>2002</v>
      </c>
      <c r="E3115" s="35" t="str">
        <f t="shared" si="739"/>
        <v>PRBNP'!</v>
      </c>
      <c r="F3115" s="34" t="str">
        <f t="shared" si="740"/>
        <v>C:\Users\jaime.benazar\Quorum Business Solutions\Ecopetrol Prometeo - Documents\Planning Space Implementation\3. Analysis &amp; Design\Design\FC22\DRR Jaime\Neiva CPI\[DINA TERCIARIOS_CF_SEC_New_27-Mar-2024.xlsx]D-PRBNP'!</v>
      </c>
      <c r="G3115" s="32" t="s">
        <v>123</v>
      </c>
      <c r="H3115" s="33"/>
      <c r="I3115" s="33"/>
      <c r="J3115" s="37"/>
    </row>
    <row r="3116" spans="1:10" x14ac:dyDescent="0.3">
      <c r="A3116" s="32" t="s">
        <v>18</v>
      </c>
      <c r="B3116" s="32">
        <f t="shared" si="741"/>
        <v>2059</v>
      </c>
      <c r="C3116" s="33" t="s">
        <v>110</v>
      </c>
      <c r="D3116" s="34" t="s">
        <v>2002</v>
      </c>
      <c r="E3116" s="35" t="str">
        <f t="shared" si="739"/>
        <v>PRBNP'!</v>
      </c>
      <c r="F3116" s="34" t="str">
        <f t="shared" si="740"/>
        <v>C:\Users\jaime.benazar\Quorum Business Solutions\Ecopetrol Prometeo - Documents\Planning Space Implementation\3. Analysis &amp; Design\Design\FC22\DRR Jaime\Neiva CPI\[DINA TERCIARIOS_CF_SEC_New_27-Mar-2024.xlsx]D-PRBNP'!</v>
      </c>
      <c r="G3116" s="32" t="s">
        <v>123</v>
      </c>
      <c r="H3116" s="33"/>
      <c r="I3116" s="33"/>
      <c r="J3116" s="37"/>
    </row>
    <row r="3117" spans="1:10" x14ac:dyDescent="0.3">
      <c r="A3117" s="32" t="s">
        <v>26</v>
      </c>
      <c r="B3117" s="32"/>
      <c r="C3117" s="33" t="s">
        <v>110</v>
      </c>
      <c r="D3117" s="34"/>
      <c r="E3117" s="35"/>
      <c r="F3117" s="34"/>
      <c r="G3117" s="32"/>
      <c r="H3117" s="33"/>
      <c r="I3117" s="33"/>
      <c r="J3117" s="33"/>
    </row>
    <row r="3118" spans="1:10" x14ac:dyDescent="0.3">
      <c r="A3118" s="32" t="s">
        <v>19</v>
      </c>
      <c r="B3118" s="32">
        <v>2023</v>
      </c>
      <c r="C3118" s="33" t="s">
        <v>110</v>
      </c>
      <c r="D3118" s="34" t="s">
        <v>2002</v>
      </c>
      <c r="E3118" s="35" t="str">
        <f t="shared" ref="E3118:E3138" si="742">_xlfn.CONCAT(A3118,"'!")</f>
        <v>PRBND'!</v>
      </c>
      <c r="F3118" s="34" t="str">
        <f t="shared" ref="F3118:F3138" si="743">_xlfn.CONCAT(D3118:E3118)</f>
        <v>C:\Users\jaime.benazar\Quorum Business Solutions\Ecopetrol Prometeo - Documents\Planning Space Implementation\3. Analysis &amp; Design\Design\FC22\DRR Jaime\Neiva CPI\[DINA TERCIARIOS_CF_SEC_New_27-Mar-2024.xlsx]D-PRBND'!</v>
      </c>
      <c r="G3118" s="32" t="s">
        <v>123</v>
      </c>
      <c r="H3118" s="33"/>
      <c r="I3118" s="33"/>
      <c r="J3118" s="37"/>
    </row>
    <row r="3119" spans="1:10" x14ac:dyDescent="0.3">
      <c r="A3119" s="32" t="s">
        <v>19</v>
      </c>
      <c r="B3119" s="32">
        <f>+B3118+1</f>
        <v>2024</v>
      </c>
      <c r="C3119" s="33" t="s">
        <v>110</v>
      </c>
      <c r="D3119" s="34" t="s">
        <v>2002</v>
      </c>
      <c r="E3119" s="35" t="str">
        <f t="shared" si="742"/>
        <v>PRBND'!</v>
      </c>
      <c r="F3119" s="34" t="str">
        <f t="shared" si="743"/>
        <v>C:\Users\jaime.benazar\Quorum Business Solutions\Ecopetrol Prometeo - Documents\Planning Space Implementation\3. Analysis &amp; Design\Design\FC22\DRR Jaime\Neiva CPI\[DINA TERCIARIOS_CF_SEC_New_27-Mar-2024.xlsx]D-PRBND'!</v>
      </c>
      <c r="G3119" s="32" t="s">
        <v>123</v>
      </c>
      <c r="H3119" s="33"/>
      <c r="I3119" s="33"/>
      <c r="J3119" s="37"/>
    </row>
    <row r="3120" spans="1:10" x14ac:dyDescent="0.3">
      <c r="A3120" s="32" t="s">
        <v>19</v>
      </c>
      <c r="B3120" s="32">
        <f t="shared" ref="B3120:B3131" si="744">+B3119+1</f>
        <v>2025</v>
      </c>
      <c r="C3120" s="33" t="s">
        <v>110</v>
      </c>
      <c r="D3120" s="34" t="s">
        <v>2002</v>
      </c>
      <c r="E3120" s="35" t="str">
        <f t="shared" si="742"/>
        <v>PRBND'!</v>
      </c>
      <c r="F3120" s="34" t="str">
        <f t="shared" si="743"/>
        <v>C:\Users\jaime.benazar\Quorum Business Solutions\Ecopetrol Prometeo - Documents\Planning Space Implementation\3. Analysis &amp; Design\Design\FC22\DRR Jaime\Neiva CPI\[DINA TERCIARIOS_CF_SEC_New_27-Mar-2024.xlsx]D-PRBND'!</v>
      </c>
      <c r="G3120" s="32" t="s">
        <v>123</v>
      </c>
      <c r="H3120" s="33"/>
      <c r="I3120" s="33"/>
      <c r="J3120" s="37"/>
    </row>
    <row r="3121" spans="1:10" x14ac:dyDescent="0.3">
      <c r="A3121" s="32" t="s">
        <v>19</v>
      </c>
      <c r="B3121" s="32">
        <f t="shared" si="744"/>
        <v>2026</v>
      </c>
      <c r="C3121" s="33" t="s">
        <v>110</v>
      </c>
      <c r="D3121" s="34" t="s">
        <v>2002</v>
      </c>
      <c r="E3121" s="35" t="str">
        <f t="shared" si="742"/>
        <v>PRBND'!</v>
      </c>
      <c r="F3121" s="34" t="str">
        <f t="shared" si="743"/>
        <v>C:\Users\jaime.benazar\Quorum Business Solutions\Ecopetrol Prometeo - Documents\Planning Space Implementation\3. Analysis &amp; Design\Design\FC22\DRR Jaime\Neiva CPI\[DINA TERCIARIOS_CF_SEC_New_27-Mar-2024.xlsx]D-PRBND'!</v>
      </c>
      <c r="G3121" s="32" t="s">
        <v>123</v>
      </c>
      <c r="H3121" s="33"/>
      <c r="I3121" s="33"/>
      <c r="J3121" s="37"/>
    </row>
    <row r="3122" spans="1:10" x14ac:dyDescent="0.3">
      <c r="A3122" s="32" t="s">
        <v>19</v>
      </c>
      <c r="B3122" s="32">
        <f t="shared" si="744"/>
        <v>2027</v>
      </c>
      <c r="C3122" s="33" t="s">
        <v>110</v>
      </c>
      <c r="D3122" s="34" t="s">
        <v>2002</v>
      </c>
      <c r="E3122" s="35" t="str">
        <f t="shared" si="742"/>
        <v>PRBND'!</v>
      </c>
      <c r="F3122" s="34" t="str">
        <f t="shared" si="743"/>
        <v>C:\Users\jaime.benazar\Quorum Business Solutions\Ecopetrol Prometeo - Documents\Planning Space Implementation\3. Analysis &amp; Design\Design\FC22\DRR Jaime\Neiva CPI\[DINA TERCIARIOS_CF_SEC_New_27-Mar-2024.xlsx]D-PRBND'!</v>
      </c>
      <c r="G3122" s="32" t="s">
        <v>123</v>
      </c>
      <c r="H3122" s="33"/>
      <c r="I3122" s="33"/>
      <c r="J3122" s="37"/>
    </row>
    <row r="3123" spans="1:10" x14ac:dyDescent="0.3">
      <c r="A3123" s="32" t="s">
        <v>19</v>
      </c>
      <c r="B3123" s="32">
        <f t="shared" si="744"/>
        <v>2028</v>
      </c>
      <c r="C3123" s="33" t="s">
        <v>110</v>
      </c>
      <c r="D3123" s="34" t="s">
        <v>2002</v>
      </c>
      <c r="E3123" s="35" t="str">
        <f t="shared" si="742"/>
        <v>PRBND'!</v>
      </c>
      <c r="F3123" s="34" t="str">
        <f t="shared" si="743"/>
        <v>C:\Users\jaime.benazar\Quorum Business Solutions\Ecopetrol Prometeo - Documents\Planning Space Implementation\3. Analysis &amp; Design\Design\FC22\DRR Jaime\Neiva CPI\[DINA TERCIARIOS_CF_SEC_New_27-Mar-2024.xlsx]D-PRBND'!</v>
      </c>
      <c r="G3123" s="32" t="s">
        <v>123</v>
      </c>
      <c r="H3123" s="33"/>
      <c r="I3123" s="33"/>
      <c r="J3123" s="37"/>
    </row>
    <row r="3124" spans="1:10" x14ac:dyDescent="0.3">
      <c r="A3124" s="32" t="s">
        <v>19</v>
      </c>
      <c r="B3124" s="32">
        <f t="shared" si="744"/>
        <v>2029</v>
      </c>
      <c r="C3124" s="33" t="s">
        <v>110</v>
      </c>
      <c r="D3124" s="34" t="s">
        <v>2002</v>
      </c>
      <c r="E3124" s="35" t="str">
        <f t="shared" si="742"/>
        <v>PRBND'!</v>
      </c>
      <c r="F3124" s="34" t="str">
        <f t="shared" si="743"/>
        <v>C:\Users\jaime.benazar\Quorum Business Solutions\Ecopetrol Prometeo - Documents\Planning Space Implementation\3. Analysis &amp; Design\Design\FC22\DRR Jaime\Neiva CPI\[DINA TERCIARIOS_CF_SEC_New_27-Mar-2024.xlsx]D-PRBND'!</v>
      </c>
      <c r="G3124" s="32" t="s">
        <v>123</v>
      </c>
      <c r="H3124" s="33"/>
      <c r="I3124" s="33"/>
      <c r="J3124" s="37"/>
    </row>
    <row r="3125" spans="1:10" x14ac:dyDescent="0.3">
      <c r="A3125" s="32" t="s">
        <v>19</v>
      </c>
      <c r="B3125" s="32">
        <f t="shared" si="744"/>
        <v>2030</v>
      </c>
      <c r="C3125" s="33" t="s">
        <v>110</v>
      </c>
      <c r="D3125" s="34" t="s">
        <v>2002</v>
      </c>
      <c r="E3125" s="35" t="str">
        <f t="shared" si="742"/>
        <v>PRBND'!</v>
      </c>
      <c r="F3125" s="34" t="str">
        <f t="shared" si="743"/>
        <v>C:\Users\jaime.benazar\Quorum Business Solutions\Ecopetrol Prometeo - Documents\Planning Space Implementation\3. Analysis &amp; Design\Design\FC22\DRR Jaime\Neiva CPI\[DINA TERCIARIOS_CF_SEC_New_27-Mar-2024.xlsx]D-PRBND'!</v>
      </c>
      <c r="G3125" s="32" t="s">
        <v>123</v>
      </c>
      <c r="H3125" s="33"/>
      <c r="I3125" s="33"/>
      <c r="J3125" s="37"/>
    </row>
    <row r="3126" spans="1:10" x14ac:dyDescent="0.3">
      <c r="A3126" s="32" t="s">
        <v>19</v>
      </c>
      <c r="B3126" s="32">
        <f t="shared" si="744"/>
        <v>2031</v>
      </c>
      <c r="C3126" s="33" t="s">
        <v>110</v>
      </c>
      <c r="D3126" s="34" t="s">
        <v>2002</v>
      </c>
      <c r="E3126" s="35" t="str">
        <f t="shared" si="742"/>
        <v>PRBND'!</v>
      </c>
      <c r="F3126" s="34" t="str">
        <f t="shared" si="743"/>
        <v>C:\Users\jaime.benazar\Quorum Business Solutions\Ecopetrol Prometeo - Documents\Planning Space Implementation\3. Analysis &amp; Design\Design\FC22\DRR Jaime\Neiva CPI\[DINA TERCIARIOS_CF_SEC_New_27-Mar-2024.xlsx]D-PRBND'!</v>
      </c>
      <c r="G3126" s="32" t="s">
        <v>123</v>
      </c>
      <c r="H3126" s="33"/>
      <c r="I3126" s="33"/>
      <c r="J3126" s="37"/>
    </row>
    <row r="3127" spans="1:10" x14ac:dyDescent="0.3">
      <c r="A3127" s="32" t="s">
        <v>19</v>
      </c>
      <c r="B3127" s="32">
        <f t="shared" si="744"/>
        <v>2032</v>
      </c>
      <c r="C3127" s="33" t="s">
        <v>110</v>
      </c>
      <c r="D3127" s="34" t="s">
        <v>2002</v>
      </c>
      <c r="E3127" s="35" t="str">
        <f t="shared" si="742"/>
        <v>PRBND'!</v>
      </c>
      <c r="F3127" s="34" t="str">
        <f t="shared" si="743"/>
        <v>C:\Users\jaime.benazar\Quorum Business Solutions\Ecopetrol Prometeo - Documents\Planning Space Implementation\3. Analysis &amp; Design\Design\FC22\DRR Jaime\Neiva CPI\[DINA TERCIARIOS_CF_SEC_New_27-Mar-2024.xlsx]D-PRBND'!</v>
      </c>
      <c r="G3127" s="32" t="s">
        <v>123</v>
      </c>
      <c r="H3127" s="33"/>
      <c r="I3127" s="33"/>
      <c r="J3127" s="37"/>
    </row>
    <row r="3128" spans="1:10" x14ac:dyDescent="0.3">
      <c r="A3128" s="32" t="s">
        <v>19</v>
      </c>
      <c r="B3128" s="32">
        <f t="shared" si="744"/>
        <v>2033</v>
      </c>
      <c r="C3128" s="33" t="s">
        <v>110</v>
      </c>
      <c r="D3128" s="34" t="s">
        <v>2002</v>
      </c>
      <c r="E3128" s="35" t="str">
        <f t="shared" si="742"/>
        <v>PRBND'!</v>
      </c>
      <c r="F3128" s="34" t="str">
        <f t="shared" si="743"/>
        <v>C:\Users\jaime.benazar\Quorum Business Solutions\Ecopetrol Prometeo - Documents\Planning Space Implementation\3. Analysis &amp; Design\Design\FC22\DRR Jaime\Neiva CPI\[DINA TERCIARIOS_CF_SEC_New_27-Mar-2024.xlsx]D-PRBND'!</v>
      </c>
      <c r="G3128" s="32" t="s">
        <v>123</v>
      </c>
      <c r="H3128" s="33"/>
      <c r="I3128" s="33"/>
      <c r="J3128" s="37"/>
    </row>
    <row r="3129" spans="1:10" x14ac:dyDescent="0.3">
      <c r="A3129" s="32" t="s">
        <v>19</v>
      </c>
      <c r="B3129" s="32">
        <f t="shared" si="744"/>
        <v>2034</v>
      </c>
      <c r="C3129" s="33" t="s">
        <v>110</v>
      </c>
      <c r="D3129" s="34" t="s">
        <v>2002</v>
      </c>
      <c r="E3129" s="35" t="str">
        <f t="shared" si="742"/>
        <v>PRBND'!</v>
      </c>
      <c r="F3129" s="34" t="str">
        <f t="shared" si="743"/>
        <v>C:\Users\jaime.benazar\Quorum Business Solutions\Ecopetrol Prometeo - Documents\Planning Space Implementation\3. Analysis &amp; Design\Design\FC22\DRR Jaime\Neiva CPI\[DINA TERCIARIOS_CF_SEC_New_27-Mar-2024.xlsx]D-PRBND'!</v>
      </c>
      <c r="G3129" s="32" t="s">
        <v>123</v>
      </c>
      <c r="H3129" s="33"/>
      <c r="I3129" s="33"/>
      <c r="J3129" s="37"/>
    </row>
    <row r="3130" spans="1:10" x14ac:dyDescent="0.3">
      <c r="A3130" s="32" t="s">
        <v>19</v>
      </c>
      <c r="B3130" s="32">
        <f t="shared" si="744"/>
        <v>2035</v>
      </c>
      <c r="C3130" s="33" t="s">
        <v>110</v>
      </c>
      <c r="D3130" s="34" t="s">
        <v>2002</v>
      </c>
      <c r="E3130" s="35" t="str">
        <f t="shared" si="742"/>
        <v>PRBND'!</v>
      </c>
      <c r="F3130" s="34" t="str">
        <f t="shared" si="743"/>
        <v>C:\Users\jaime.benazar\Quorum Business Solutions\Ecopetrol Prometeo - Documents\Planning Space Implementation\3. Analysis &amp; Design\Design\FC22\DRR Jaime\Neiva CPI\[DINA TERCIARIOS_CF_SEC_New_27-Mar-2024.xlsx]D-PRBND'!</v>
      </c>
      <c r="G3130" s="32" t="s">
        <v>123</v>
      </c>
      <c r="H3130" s="33"/>
      <c r="I3130" s="33"/>
      <c r="J3130" s="37"/>
    </row>
    <row r="3131" spans="1:10" x14ac:dyDescent="0.3">
      <c r="A3131" s="32" t="s">
        <v>19</v>
      </c>
      <c r="B3131" s="32">
        <f t="shared" si="744"/>
        <v>2036</v>
      </c>
      <c r="C3131" s="33" t="s">
        <v>110</v>
      </c>
      <c r="D3131" s="34" t="s">
        <v>2002</v>
      </c>
      <c r="E3131" s="35" t="str">
        <f t="shared" si="742"/>
        <v>PRBND'!</v>
      </c>
      <c r="F3131" s="34" t="str">
        <f t="shared" si="743"/>
        <v>C:\Users\jaime.benazar\Quorum Business Solutions\Ecopetrol Prometeo - Documents\Planning Space Implementation\3. Analysis &amp; Design\Design\FC22\DRR Jaime\Neiva CPI\[DINA TERCIARIOS_CF_SEC_New_27-Mar-2024.xlsx]D-PRBND'!</v>
      </c>
      <c r="G3131" s="32" t="s">
        <v>123</v>
      </c>
      <c r="H3131" s="33"/>
      <c r="I3131" s="33"/>
      <c r="J3131" s="37"/>
    </row>
    <row r="3132" spans="1:10" x14ac:dyDescent="0.3">
      <c r="A3132" s="32" t="s">
        <v>19</v>
      </c>
      <c r="B3132" s="32">
        <f>+B3131+1</f>
        <v>2037</v>
      </c>
      <c r="C3132" s="33" t="s">
        <v>110</v>
      </c>
      <c r="D3132" s="34" t="s">
        <v>2002</v>
      </c>
      <c r="E3132" s="35" t="str">
        <f t="shared" si="742"/>
        <v>PRBND'!</v>
      </c>
      <c r="F3132" s="34" t="str">
        <f t="shared" si="743"/>
        <v>C:\Users\jaime.benazar\Quorum Business Solutions\Ecopetrol Prometeo - Documents\Planning Space Implementation\3. Analysis &amp; Design\Design\FC22\DRR Jaime\Neiva CPI\[DINA TERCIARIOS_CF_SEC_New_27-Mar-2024.xlsx]D-PRBND'!</v>
      </c>
      <c r="G3132" s="32" t="s">
        <v>123</v>
      </c>
      <c r="H3132" s="33"/>
      <c r="I3132" s="33"/>
      <c r="J3132" s="37"/>
    </row>
    <row r="3133" spans="1:10" x14ac:dyDescent="0.3">
      <c r="A3133" s="32" t="s">
        <v>19</v>
      </c>
      <c r="B3133" s="32">
        <f t="shared" ref="B3133:B3135" si="745">+B3132+1</f>
        <v>2038</v>
      </c>
      <c r="C3133" s="33" t="s">
        <v>110</v>
      </c>
      <c r="D3133" s="34" t="s">
        <v>2002</v>
      </c>
      <c r="E3133" s="35" t="str">
        <f t="shared" si="742"/>
        <v>PRBND'!</v>
      </c>
      <c r="F3133" s="34" t="str">
        <f t="shared" si="743"/>
        <v>C:\Users\jaime.benazar\Quorum Business Solutions\Ecopetrol Prometeo - Documents\Planning Space Implementation\3. Analysis &amp; Design\Design\FC22\DRR Jaime\Neiva CPI\[DINA TERCIARIOS_CF_SEC_New_27-Mar-2024.xlsx]D-PRBND'!</v>
      </c>
      <c r="G3133" s="32" t="s">
        <v>123</v>
      </c>
      <c r="H3133" s="33"/>
      <c r="I3133" s="33"/>
      <c r="J3133" s="37"/>
    </row>
    <row r="3134" spans="1:10" x14ac:dyDescent="0.3">
      <c r="A3134" s="32" t="s">
        <v>19</v>
      </c>
      <c r="B3134" s="32">
        <f t="shared" si="745"/>
        <v>2039</v>
      </c>
      <c r="C3134" s="33" t="s">
        <v>110</v>
      </c>
      <c r="D3134" s="34" t="s">
        <v>2002</v>
      </c>
      <c r="E3134" s="35" t="str">
        <f t="shared" si="742"/>
        <v>PRBND'!</v>
      </c>
      <c r="F3134" s="34" t="str">
        <f t="shared" si="743"/>
        <v>C:\Users\jaime.benazar\Quorum Business Solutions\Ecopetrol Prometeo - Documents\Planning Space Implementation\3. Analysis &amp; Design\Design\FC22\DRR Jaime\Neiva CPI\[DINA TERCIARIOS_CF_SEC_New_27-Mar-2024.xlsx]D-PRBND'!</v>
      </c>
      <c r="G3134" s="32" t="s">
        <v>123</v>
      </c>
      <c r="H3134" s="33"/>
      <c r="I3134" s="33"/>
      <c r="J3134" s="37"/>
    </row>
    <row r="3135" spans="1:10" x14ac:dyDescent="0.3">
      <c r="A3135" s="32" t="s">
        <v>19</v>
      </c>
      <c r="B3135" s="32">
        <f t="shared" si="745"/>
        <v>2040</v>
      </c>
      <c r="C3135" s="33" t="s">
        <v>110</v>
      </c>
      <c r="D3135" s="34" t="s">
        <v>2002</v>
      </c>
      <c r="E3135" s="35" t="str">
        <f t="shared" si="742"/>
        <v>PRBND'!</v>
      </c>
      <c r="F3135" s="34" t="str">
        <f t="shared" si="743"/>
        <v>C:\Users\jaime.benazar\Quorum Business Solutions\Ecopetrol Prometeo - Documents\Planning Space Implementation\3. Analysis &amp; Design\Design\FC22\DRR Jaime\Neiva CPI\[DINA TERCIARIOS_CF_SEC_New_27-Mar-2024.xlsx]D-PRBND'!</v>
      </c>
      <c r="G3135" s="32" t="s">
        <v>123</v>
      </c>
      <c r="H3135" s="33"/>
      <c r="I3135" s="33"/>
      <c r="J3135" s="37"/>
    </row>
    <row r="3136" spans="1:10" x14ac:dyDescent="0.3">
      <c r="A3136" s="32" t="s">
        <v>19</v>
      </c>
      <c r="B3136" s="32">
        <f>+B3135+1</f>
        <v>2041</v>
      </c>
      <c r="C3136" s="33" t="s">
        <v>110</v>
      </c>
      <c r="D3136" s="34" t="s">
        <v>2002</v>
      </c>
      <c r="E3136" s="35" t="str">
        <f t="shared" si="742"/>
        <v>PRBND'!</v>
      </c>
      <c r="F3136" s="34" t="str">
        <f t="shared" si="743"/>
        <v>C:\Users\jaime.benazar\Quorum Business Solutions\Ecopetrol Prometeo - Documents\Planning Space Implementation\3. Analysis &amp; Design\Design\FC22\DRR Jaime\Neiva CPI\[DINA TERCIARIOS_CF_SEC_New_27-Mar-2024.xlsx]D-PRBND'!</v>
      </c>
      <c r="G3136" s="32" t="s">
        <v>123</v>
      </c>
      <c r="H3136" s="33"/>
      <c r="I3136" s="33"/>
      <c r="J3136" s="37"/>
    </row>
    <row r="3137" spans="1:10" x14ac:dyDescent="0.3">
      <c r="A3137" s="32" t="s">
        <v>19</v>
      </c>
      <c r="B3137" s="32">
        <f t="shared" ref="B3137:B3138" si="746">+B3136+1</f>
        <v>2042</v>
      </c>
      <c r="C3137" s="33" t="s">
        <v>110</v>
      </c>
      <c r="D3137" s="34" t="s">
        <v>2002</v>
      </c>
      <c r="E3137" s="35" t="str">
        <f t="shared" si="742"/>
        <v>PRBND'!</v>
      </c>
      <c r="F3137" s="34" t="str">
        <f t="shared" si="743"/>
        <v>C:\Users\jaime.benazar\Quorum Business Solutions\Ecopetrol Prometeo - Documents\Planning Space Implementation\3. Analysis &amp; Design\Design\FC22\DRR Jaime\Neiva CPI\[DINA TERCIARIOS_CF_SEC_New_27-Mar-2024.xlsx]D-PRBND'!</v>
      </c>
      <c r="G3137" s="32" t="s">
        <v>123</v>
      </c>
      <c r="H3137" s="33"/>
      <c r="I3137" s="33"/>
      <c r="J3137" s="37"/>
    </row>
    <row r="3138" spans="1:10" x14ac:dyDescent="0.3">
      <c r="A3138" s="32" t="s">
        <v>19</v>
      </c>
      <c r="B3138" s="32">
        <f t="shared" si="746"/>
        <v>2043</v>
      </c>
      <c r="C3138" s="33" t="s">
        <v>110</v>
      </c>
      <c r="D3138" s="34" t="s">
        <v>2002</v>
      </c>
      <c r="E3138" s="35" t="str">
        <f t="shared" si="742"/>
        <v>PRBND'!</v>
      </c>
      <c r="F3138" s="34" t="str">
        <f t="shared" si="743"/>
        <v>C:\Users\jaime.benazar\Quorum Business Solutions\Ecopetrol Prometeo - Documents\Planning Space Implementation\3. Analysis &amp; Design\Design\FC22\DRR Jaime\Neiva CPI\[DINA TERCIARIOS_CF_SEC_New_27-Mar-2024.xlsx]D-PRBND'!</v>
      </c>
      <c r="G3138" s="32" t="s">
        <v>123</v>
      </c>
      <c r="H3138" s="33"/>
      <c r="I3138" s="33"/>
      <c r="J3138" s="37"/>
    </row>
    <row r="3139" spans="1:10" x14ac:dyDescent="0.3">
      <c r="A3139" s="32" t="s">
        <v>19</v>
      </c>
      <c r="B3139" s="32">
        <f>+B3138+1</f>
        <v>2044</v>
      </c>
      <c r="C3139" s="33" t="s">
        <v>110</v>
      </c>
      <c r="D3139" s="34" t="s">
        <v>2002</v>
      </c>
      <c r="E3139" s="35" t="str">
        <f t="shared" ref="E3139:E3154" si="747">_xlfn.CONCAT(A3139,"'!")</f>
        <v>PRBND'!</v>
      </c>
      <c r="F3139" s="34" t="str">
        <f t="shared" ref="F3139:F3154" si="748">_xlfn.CONCAT(D3139:E3139)</f>
        <v>C:\Users\jaime.benazar\Quorum Business Solutions\Ecopetrol Prometeo - Documents\Planning Space Implementation\3. Analysis &amp; Design\Design\FC22\DRR Jaime\Neiva CPI\[DINA TERCIARIOS_CF_SEC_New_27-Mar-2024.xlsx]D-PRBND'!</v>
      </c>
      <c r="G3139" s="32" t="s">
        <v>123</v>
      </c>
      <c r="H3139" s="33"/>
      <c r="I3139" s="33"/>
      <c r="J3139" s="37"/>
    </row>
    <row r="3140" spans="1:10" x14ac:dyDescent="0.3">
      <c r="A3140" s="32" t="s">
        <v>19</v>
      </c>
      <c r="B3140" s="32">
        <f t="shared" ref="B3140:B3154" si="749">+B3139+1</f>
        <v>2045</v>
      </c>
      <c r="C3140" s="33" t="s">
        <v>110</v>
      </c>
      <c r="D3140" s="34" t="s">
        <v>2002</v>
      </c>
      <c r="E3140" s="35" t="str">
        <f t="shared" si="747"/>
        <v>PRBND'!</v>
      </c>
      <c r="F3140" s="34" t="str">
        <f t="shared" si="748"/>
        <v>C:\Users\jaime.benazar\Quorum Business Solutions\Ecopetrol Prometeo - Documents\Planning Space Implementation\3. Analysis &amp; Design\Design\FC22\DRR Jaime\Neiva CPI\[DINA TERCIARIOS_CF_SEC_New_27-Mar-2024.xlsx]D-PRBND'!</v>
      </c>
      <c r="G3140" s="32" t="s">
        <v>123</v>
      </c>
      <c r="H3140" s="33"/>
      <c r="I3140" s="33"/>
      <c r="J3140" s="37"/>
    </row>
    <row r="3141" spans="1:10" x14ac:dyDescent="0.3">
      <c r="A3141" s="32" t="s">
        <v>19</v>
      </c>
      <c r="B3141" s="32">
        <f t="shared" si="749"/>
        <v>2046</v>
      </c>
      <c r="C3141" s="33" t="s">
        <v>110</v>
      </c>
      <c r="D3141" s="34" t="s">
        <v>2002</v>
      </c>
      <c r="E3141" s="35" t="str">
        <f t="shared" si="747"/>
        <v>PRBND'!</v>
      </c>
      <c r="F3141" s="34" t="str">
        <f t="shared" si="748"/>
        <v>C:\Users\jaime.benazar\Quorum Business Solutions\Ecopetrol Prometeo - Documents\Planning Space Implementation\3. Analysis &amp; Design\Design\FC22\DRR Jaime\Neiva CPI\[DINA TERCIARIOS_CF_SEC_New_27-Mar-2024.xlsx]D-PRBND'!</v>
      </c>
      <c r="G3141" s="32" t="s">
        <v>123</v>
      </c>
      <c r="H3141" s="33"/>
      <c r="I3141" s="33"/>
      <c r="J3141" s="37"/>
    </row>
    <row r="3142" spans="1:10" x14ac:dyDescent="0.3">
      <c r="A3142" s="32" t="s">
        <v>19</v>
      </c>
      <c r="B3142" s="32">
        <f t="shared" si="749"/>
        <v>2047</v>
      </c>
      <c r="C3142" s="33" t="s">
        <v>110</v>
      </c>
      <c r="D3142" s="34" t="s">
        <v>2002</v>
      </c>
      <c r="E3142" s="35" t="str">
        <f t="shared" si="747"/>
        <v>PRBND'!</v>
      </c>
      <c r="F3142" s="34" t="str">
        <f t="shared" si="748"/>
        <v>C:\Users\jaime.benazar\Quorum Business Solutions\Ecopetrol Prometeo - Documents\Planning Space Implementation\3. Analysis &amp; Design\Design\FC22\DRR Jaime\Neiva CPI\[DINA TERCIARIOS_CF_SEC_New_27-Mar-2024.xlsx]D-PRBND'!</v>
      </c>
      <c r="G3142" s="32" t="s">
        <v>123</v>
      </c>
      <c r="H3142" s="33"/>
      <c r="I3142" s="33"/>
      <c r="J3142" s="37"/>
    </row>
    <row r="3143" spans="1:10" x14ac:dyDescent="0.3">
      <c r="A3143" s="32" t="s">
        <v>19</v>
      </c>
      <c r="B3143" s="32">
        <f t="shared" si="749"/>
        <v>2048</v>
      </c>
      <c r="C3143" s="33" t="s">
        <v>110</v>
      </c>
      <c r="D3143" s="34" t="s">
        <v>2002</v>
      </c>
      <c r="E3143" s="35" t="str">
        <f t="shared" si="747"/>
        <v>PRBND'!</v>
      </c>
      <c r="F3143" s="34" t="str">
        <f t="shared" si="748"/>
        <v>C:\Users\jaime.benazar\Quorum Business Solutions\Ecopetrol Prometeo - Documents\Planning Space Implementation\3. Analysis &amp; Design\Design\FC22\DRR Jaime\Neiva CPI\[DINA TERCIARIOS_CF_SEC_New_27-Mar-2024.xlsx]D-PRBND'!</v>
      </c>
      <c r="G3143" s="32" t="s">
        <v>123</v>
      </c>
      <c r="H3143" s="33"/>
      <c r="I3143" s="33"/>
      <c r="J3143" s="37"/>
    </row>
    <row r="3144" spans="1:10" x14ac:dyDescent="0.3">
      <c r="A3144" s="32" t="s">
        <v>19</v>
      </c>
      <c r="B3144" s="32">
        <f t="shared" si="749"/>
        <v>2049</v>
      </c>
      <c r="C3144" s="33" t="s">
        <v>110</v>
      </c>
      <c r="D3144" s="34" t="s">
        <v>2002</v>
      </c>
      <c r="E3144" s="35" t="str">
        <f t="shared" si="747"/>
        <v>PRBND'!</v>
      </c>
      <c r="F3144" s="34" t="str">
        <f t="shared" si="748"/>
        <v>C:\Users\jaime.benazar\Quorum Business Solutions\Ecopetrol Prometeo - Documents\Planning Space Implementation\3. Analysis &amp; Design\Design\FC22\DRR Jaime\Neiva CPI\[DINA TERCIARIOS_CF_SEC_New_27-Mar-2024.xlsx]D-PRBND'!</v>
      </c>
      <c r="G3144" s="32" t="s">
        <v>123</v>
      </c>
      <c r="H3144" s="33"/>
      <c r="I3144" s="33"/>
      <c r="J3144" s="37"/>
    </row>
    <row r="3145" spans="1:10" x14ac:dyDescent="0.3">
      <c r="A3145" s="32" t="s">
        <v>19</v>
      </c>
      <c r="B3145" s="32">
        <f t="shared" si="749"/>
        <v>2050</v>
      </c>
      <c r="C3145" s="33" t="s">
        <v>110</v>
      </c>
      <c r="D3145" s="34" t="s">
        <v>2002</v>
      </c>
      <c r="E3145" s="35" t="str">
        <f t="shared" si="747"/>
        <v>PRBND'!</v>
      </c>
      <c r="F3145" s="34" t="str">
        <f t="shared" si="748"/>
        <v>C:\Users\jaime.benazar\Quorum Business Solutions\Ecopetrol Prometeo - Documents\Planning Space Implementation\3. Analysis &amp; Design\Design\FC22\DRR Jaime\Neiva CPI\[DINA TERCIARIOS_CF_SEC_New_27-Mar-2024.xlsx]D-PRBND'!</v>
      </c>
      <c r="G3145" s="32" t="s">
        <v>123</v>
      </c>
      <c r="H3145" s="33"/>
      <c r="I3145" s="33"/>
      <c r="J3145" s="37"/>
    </row>
    <row r="3146" spans="1:10" x14ac:dyDescent="0.3">
      <c r="A3146" s="32" t="s">
        <v>19</v>
      </c>
      <c r="B3146" s="32">
        <f t="shared" si="749"/>
        <v>2051</v>
      </c>
      <c r="C3146" s="33" t="s">
        <v>110</v>
      </c>
      <c r="D3146" s="34" t="s">
        <v>2002</v>
      </c>
      <c r="E3146" s="35" t="str">
        <f t="shared" si="747"/>
        <v>PRBND'!</v>
      </c>
      <c r="F3146" s="34" t="str">
        <f t="shared" si="748"/>
        <v>C:\Users\jaime.benazar\Quorum Business Solutions\Ecopetrol Prometeo - Documents\Planning Space Implementation\3. Analysis &amp; Design\Design\FC22\DRR Jaime\Neiva CPI\[DINA TERCIARIOS_CF_SEC_New_27-Mar-2024.xlsx]D-PRBND'!</v>
      </c>
      <c r="G3146" s="32" t="s">
        <v>123</v>
      </c>
      <c r="H3146" s="33"/>
      <c r="I3146" s="33"/>
      <c r="J3146" s="37"/>
    </row>
    <row r="3147" spans="1:10" x14ac:dyDescent="0.3">
      <c r="A3147" s="32" t="s">
        <v>19</v>
      </c>
      <c r="B3147" s="32">
        <f t="shared" si="749"/>
        <v>2052</v>
      </c>
      <c r="C3147" s="33" t="s">
        <v>110</v>
      </c>
      <c r="D3147" s="34" t="s">
        <v>2002</v>
      </c>
      <c r="E3147" s="35" t="str">
        <f t="shared" si="747"/>
        <v>PRBND'!</v>
      </c>
      <c r="F3147" s="34" t="str">
        <f t="shared" si="748"/>
        <v>C:\Users\jaime.benazar\Quorum Business Solutions\Ecopetrol Prometeo - Documents\Planning Space Implementation\3. Analysis &amp; Design\Design\FC22\DRR Jaime\Neiva CPI\[DINA TERCIARIOS_CF_SEC_New_27-Mar-2024.xlsx]D-PRBND'!</v>
      </c>
      <c r="G3147" s="32" t="s">
        <v>123</v>
      </c>
      <c r="H3147" s="33"/>
      <c r="I3147" s="33"/>
      <c r="J3147" s="37"/>
    </row>
    <row r="3148" spans="1:10" x14ac:dyDescent="0.3">
      <c r="A3148" s="32" t="s">
        <v>19</v>
      </c>
      <c r="B3148" s="32">
        <f t="shared" si="749"/>
        <v>2053</v>
      </c>
      <c r="C3148" s="33" t="s">
        <v>110</v>
      </c>
      <c r="D3148" s="34" t="s">
        <v>2002</v>
      </c>
      <c r="E3148" s="35" t="str">
        <f t="shared" si="747"/>
        <v>PRBND'!</v>
      </c>
      <c r="F3148" s="34" t="str">
        <f t="shared" si="748"/>
        <v>C:\Users\jaime.benazar\Quorum Business Solutions\Ecopetrol Prometeo - Documents\Planning Space Implementation\3. Analysis &amp; Design\Design\FC22\DRR Jaime\Neiva CPI\[DINA TERCIARIOS_CF_SEC_New_27-Mar-2024.xlsx]D-PRBND'!</v>
      </c>
      <c r="G3148" s="32" t="s">
        <v>123</v>
      </c>
      <c r="H3148" s="33"/>
      <c r="I3148" s="33"/>
      <c r="J3148" s="37"/>
    </row>
    <row r="3149" spans="1:10" x14ac:dyDescent="0.3">
      <c r="A3149" s="32" t="s">
        <v>19</v>
      </c>
      <c r="B3149" s="32">
        <f t="shared" si="749"/>
        <v>2054</v>
      </c>
      <c r="C3149" s="33" t="s">
        <v>110</v>
      </c>
      <c r="D3149" s="34" t="s">
        <v>2002</v>
      </c>
      <c r="E3149" s="35" t="str">
        <f t="shared" si="747"/>
        <v>PRBND'!</v>
      </c>
      <c r="F3149" s="34" t="str">
        <f t="shared" si="748"/>
        <v>C:\Users\jaime.benazar\Quorum Business Solutions\Ecopetrol Prometeo - Documents\Planning Space Implementation\3. Analysis &amp; Design\Design\FC22\DRR Jaime\Neiva CPI\[DINA TERCIARIOS_CF_SEC_New_27-Mar-2024.xlsx]D-PRBND'!</v>
      </c>
      <c r="G3149" s="32" t="s">
        <v>123</v>
      </c>
      <c r="H3149" s="33"/>
      <c r="I3149" s="33"/>
      <c r="J3149" s="37"/>
    </row>
    <row r="3150" spans="1:10" x14ac:dyDescent="0.3">
      <c r="A3150" s="32" t="s">
        <v>19</v>
      </c>
      <c r="B3150" s="32">
        <f t="shared" si="749"/>
        <v>2055</v>
      </c>
      <c r="C3150" s="33" t="s">
        <v>110</v>
      </c>
      <c r="D3150" s="34" t="s">
        <v>2002</v>
      </c>
      <c r="E3150" s="35" t="str">
        <f t="shared" si="747"/>
        <v>PRBND'!</v>
      </c>
      <c r="F3150" s="34" t="str">
        <f t="shared" si="748"/>
        <v>C:\Users\jaime.benazar\Quorum Business Solutions\Ecopetrol Prometeo - Documents\Planning Space Implementation\3. Analysis &amp; Design\Design\FC22\DRR Jaime\Neiva CPI\[DINA TERCIARIOS_CF_SEC_New_27-Mar-2024.xlsx]D-PRBND'!</v>
      </c>
      <c r="G3150" s="32" t="s">
        <v>123</v>
      </c>
      <c r="H3150" s="33"/>
      <c r="I3150" s="33"/>
      <c r="J3150" s="37"/>
    </row>
    <row r="3151" spans="1:10" x14ac:dyDescent="0.3">
      <c r="A3151" s="32" t="s">
        <v>19</v>
      </c>
      <c r="B3151" s="32">
        <f t="shared" si="749"/>
        <v>2056</v>
      </c>
      <c r="C3151" s="33" t="s">
        <v>110</v>
      </c>
      <c r="D3151" s="34" t="s">
        <v>2002</v>
      </c>
      <c r="E3151" s="35" t="str">
        <f t="shared" si="747"/>
        <v>PRBND'!</v>
      </c>
      <c r="F3151" s="34" t="str">
        <f t="shared" si="748"/>
        <v>C:\Users\jaime.benazar\Quorum Business Solutions\Ecopetrol Prometeo - Documents\Planning Space Implementation\3. Analysis &amp; Design\Design\FC22\DRR Jaime\Neiva CPI\[DINA TERCIARIOS_CF_SEC_New_27-Mar-2024.xlsx]D-PRBND'!</v>
      </c>
      <c r="G3151" s="32" t="s">
        <v>123</v>
      </c>
      <c r="H3151" s="33"/>
      <c r="I3151" s="33"/>
      <c r="J3151" s="37"/>
    </row>
    <row r="3152" spans="1:10" x14ac:dyDescent="0.3">
      <c r="A3152" s="32" t="s">
        <v>19</v>
      </c>
      <c r="B3152" s="32">
        <f t="shared" si="749"/>
        <v>2057</v>
      </c>
      <c r="C3152" s="33" t="s">
        <v>110</v>
      </c>
      <c r="D3152" s="34" t="s">
        <v>2002</v>
      </c>
      <c r="E3152" s="35" t="str">
        <f t="shared" si="747"/>
        <v>PRBND'!</v>
      </c>
      <c r="F3152" s="34" t="str">
        <f t="shared" si="748"/>
        <v>C:\Users\jaime.benazar\Quorum Business Solutions\Ecopetrol Prometeo - Documents\Planning Space Implementation\3. Analysis &amp; Design\Design\FC22\DRR Jaime\Neiva CPI\[DINA TERCIARIOS_CF_SEC_New_27-Mar-2024.xlsx]D-PRBND'!</v>
      </c>
      <c r="G3152" s="32" t="s">
        <v>123</v>
      </c>
      <c r="H3152" s="33"/>
      <c r="I3152" s="33"/>
      <c r="J3152" s="37"/>
    </row>
    <row r="3153" spans="1:10" x14ac:dyDescent="0.3">
      <c r="A3153" s="32" t="s">
        <v>19</v>
      </c>
      <c r="B3153" s="32">
        <f t="shared" si="749"/>
        <v>2058</v>
      </c>
      <c r="C3153" s="33" t="s">
        <v>110</v>
      </c>
      <c r="D3153" s="34" t="s">
        <v>2002</v>
      </c>
      <c r="E3153" s="35" t="str">
        <f t="shared" si="747"/>
        <v>PRBND'!</v>
      </c>
      <c r="F3153" s="34" t="str">
        <f t="shared" si="748"/>
        <v>C:\Users\jaime.benazar\Quorum Business Solutions\Ecopetrol Prometeo - Documents\Planning Space Implementation\3. Analysis &amp; Design\Design\FC22\DRR Jaime\Neiva CPI\[DINA TERCIARIOS_CF_SEC_New_27-Mar-2024.xlsx]D-PRBND'!</v>
      </c>
      <c r="G3153" s="32" t="s">
        <v>123</v>
      </c>
      <c r="H3153" s="33"/>
      <c r="I3153" s="33"/>
      <c r="J3153" s="37"/>
    </row>
    <row r="3154" spans="1:10" x14ac:dyDescent="0.3">
      <c r="A3154" s="32" t="s">
        <v>19</v>
      </c>
      <c r="B3154" s="32">
        <f t="shared" si="749"/>
        <v>2059</v>
      </c>
      <c r="C3154" s="33" t="s">
        <v>110</v>
      </c>
      <c r="D3154" s="34" t="s">
        <v>2002</v>
      </c>
      <c r="E3154" s="35" t="str">
        <f t="shared" si="747"/>
        <v>PRBND'!</v>
      </c>
      <c r="F3154" s="34" t="str">
        <f t="shared" si="748"/>
        <v>C:\Users\jaime.benazar\Quorum Business Solutions\Ecopetrol Prometeo - Documents\Planning Space Implementation\3. Analysis &amp; Design\Design\FC22\DRR Jaime\Neiva CPI\[DINA TERCIARIOS_CF_SEC_New_27-Mar-2024.xlsx]D-PRBND'!</v>
      </c>
      <c r="G3154" s="32" t="s">
        <v>123</v>
      </c>
      <c r="H3154" s="33"/>
      <c r="I3154" s="33"/>
      <c r="J3154" s="37"/>
    </row>
    <row r="3155" spans="1:10" x14ac:dyDescent="0.3">
      <c r="A3155" s="32" t="s">
        <v>26</v>
      </c>
      <c r="B3155" s="32"/>
      <c r="C3155" s="33" t="s">
        <v>110</v>
      </c>
      <c r="D3155" s="34"/>
      <c r="E3155" s="35"/>
      <c r="F3155" s="34"/>
      <c r="G3155" s="32"/>
      <c r="H3155" s="33"/>
      <c r="I3155" s="33"/>
      <c r="J3155" s="33"/>
    </row>
    <row r="3156" spans="1:10" x14ac:dyDescent="0.3">
      <c r="A3156" s="32" t="s">
        <v>20</v>
      </c>
      <c r="B3156" s="32">
        <v>2023</v>
      </c>
      <c r="C3156" s="33" t="s">
        <v>110</v>
      </c>
      <c r="D3156" s="34" t="s">
        <v>2002</v>
      </c>
      <c r="E3156" s="35" t="str">
        <f t="shared" si="719"/>
        <v>PRB'!</v>
      </c>
      <c r="F3156" s="34" t="str">
        <f t="shared" si="720"/>
        <v>C:\Users\jaime.benazar\Quorum Business Solutions\Ecopetrol Prometeo - Documents\Planning Space Implementation\3. Analysis &amp; Design\Design\FC22\DRR Jaime\Neiva CPI\[DINA TERCIARIOS_CF_SEC_New_27-Mar-2024.xlsx]D-PRB'!</v>
      </c>
      <c r="G3156" s="32" t="s">
        <v>123</v>
      </c>
      <c r="H3156" s="33">
        <v>12</v>
      </c>
      <c r="I3156" s="33" t="str">
        <f t="shared" ref="I3156:I3176" si="750">_xlfn.CONCAT("='",F3156:H3156)</f>
        <v>='C:\Users\jaime.benazar\Quorum Business Solutions\Ecopetrol Prometeo - Documents\Planning Space Implementation\3. Analysis &amp; Design\Design\FC22\DRR Jaime\Neiva CPI\[DINA TERCIARIOS_CF_SEC_New_27-Mar-2024.xlsx]D-PRB'!$DT$12</v>
      </c>
      <c r="J3156" s="37" t="s">
        <v>3409</v>
      </c>
    </row>
    <row r="3157" spans="1:10" x14ac:dyDescent="0.3">
      <c r="A3157" s="32" t="s">
        <v>20</v>
      </c>
      <c r="B3157" s="32">
        <f>+B3156+1</f>
        <v>2024</v>
      </c>
      <c r="C3157" s="33" t="s">
        <v>110</v>
      </c>
      <c r="D3157" s="34" t="s">
        <v>2002</v>
      </c>
      <c r="E3157" s="35" t="str">
        <f t="shared" si="719"/>
        <v>PRB'!</v>
      </c>
      <c r="F3157" s="34" t="str">
        <f t="shared" si="720"/>
        <v>C:\Users\jaime.benazar\Quorum Business Solutions\Ecopetrol Prometeo - Documents\Planning Space Implementation\3. Analysis &amp; Design\Design\FC22\DRR Jaime\Neiva CPI\[DINA TERCIARIOS_CF_SEC_New_27-Mar-2024.xlsx]D-PRB'!</v>
      </c>
      <c r="G3157" s="32" t="s">
        <v>123</v>
      </c>
      <c r="H3157" s="33">
        <f t="shared" ref="H3157:H3176" si="751">IF(A3157&lt;&gt;A3156,12,H3156+1)</f>
        <v>13</v>
      </c>
      <c r="I3157" s="33" t="str">
        <f t="shared" si="750"/>
        <v>='C:\Users\jaime.benazar\Quorum Business Solutions\Ecopetrol Prometeo - Documents\Planning Space Implementation\3. Analysis &amp; Design\Design\FC22\DRR Jaime\Neiva CPI\[DINA TERCIARIOS_CF_SEC_New_27-Mar-2024.xlsx]D-PRB'!$DT$13</v>
      </c>
      <c r="J3157" s="37" t="s">
        <v>3410</v>
      </c>
    </row>
    <row r="3158" spans="1:10" x14ac:dyDescent="0.3">
      <c r="A3158" s="32" t="s">
        <v>20</v>
      </c>
      <c r="B3158" s="32">
        <f t="shared" ref="B3158:B3169" si="752">+B3157+1</f>
        <v>2025</v>
      </c>
      <c r="C3158" s="33" t="s">
        <v>110</v>
      </c>
      <c r="D3158" s="34" t="s">
        <v>2002</v>
      </c>
      <c r="E3158" s="35" t="str">
        <f t="shared" si="719"/>
        <v>PRB'!</v>
      </c>
      <c r="F3158" s="34" t="str">
        <f t="shared" si="720"/>
        <v>C:\Users\jaime.benazar\Quorum Business Solutions\Ecopetrol Prometeo - Documents\Planning Space Implementation\3. Analysis &amp; Design\Design\FC22\DRR Jaime\Neiva CPI\[DINA TERCIARIOS_CF_SEC_New_27-Mar-2024.xlsx]D-PRB'!</v>
      </c>
      <c r="G3158" s="32" t="s">
        <v>123</v>
      </c>
      <c r="H3158" s="33">
        <f t="shared" si="751"/>
        <v>14</v>
      </c>
      <c r="I3158" s="33" t="str">
        <f t="shared" si="750"/>
        <v>='C:\Users\jaime.benazar\Quorum Business Solutions\Ecopetrol Prometeo - Documents\Planning Space Implementation\3. Analysis &amp; Design\Design\FC22\DRR Jaime\Neiva CPI\[DINA TERCIARIOS_CF_SEC_New_27-Mar-2024.xlsx]D-PRB'!$DT$14</v>
      </c>
      <c r="J3158" s="37" t="s">
        <v>3411</v>
      </c>
    </row>
    <row r="3159" spans="1:10" x14ac:dyDescent="0.3">
      <c r="A3159" s="32" t="s">
        <v>20</v>
      </c>
      <c r="B3159" s="32">
        <f t="shared" si="752"/>
        <v>2026</v>
      </c>
      <c r="C3159" s="33" t="s">
        <v>110</v>
      </c>
      <c r="D3159" s="34" t="s">
        <v>2002</v>
      </c>
      <c r="E3159" s="35" t="str">
        <f t="shared" si="719"/>
        <v>PRB'!</v>
      </c>
      <c r="F3159" s="34" t="str">
        <f t="shared" si="720"/>
        <v>C:\Users\jaime.benazar\Quorum Business Solutions\Ecopetrol Prometeo - Documents\Planning Space Implementation\3. Analysis &amp; Design\Design\FC22\DRR Jaime\Neiva CPI\[DINA TERCIARIOS_CF_SEC_New_27-Mar-2024.xlsx]D-PRB'!</v>
      </c>
      <c r="G3159" s="32" t="s">
        <v>123</v>
      </c>
      <c r="H3159" s="33">
        <f t="shared" si="751"/>
        <v>15</v>
      </c>
      <c r="I3159" s="33" t="str">
        <f t="shared" si="750"/>
        <v>='C:\Users\jaime.benazar\Quorum Business Solutions\Ecopetrol Prometeo - Documents\Planning Space Implementation\3. Analysis &amp; Design\Design\FC22\DRR Jaime\Neiva CPI\[DINA TERCIARIOS_CF_SEC_New_27-Mar-2024.xlsx]D-PRB'!$DT$15</v>
      </c>
      <c r="J3159" s="37" t="s">
        <v>3412</v>
      </c>
    </row>
    <row r="3160" spans="1:10" x14ac:dyDescent="0.3">
      <c r="A3160" s="32" t="s">
        <v>20</v>
      </c>
      <c r="B3160" s="32">
        <f t="shared" si="752"/>
        <v>2027</v>
      </c>
      <c r="C3160" s="33" t="s">
        <v>110</v>
      </c>
      <c r="D3160" s="34" t="s">
        <v>2002</v>
      </c>
      <c r="E3160" s="35" t="str">
        <f t="shared" si="719"/>
        <v>PRB'!</v>
      </c>
      <c r="F3160" s="34" t="str">
        <f t="shared" si="720"/>
        <v>C:\Users\jaime.benazar\Quorum Business Solutions\Ecopetrol Prometeo - Documents\Planning Space Implementation\3. Analysis &amp; Design\Design\FC22\DRR Jaime\Neiva CPI\[DINA TERCIARIOS_CF_SEC_New_27-Mar-2024.xlsx]D-PRB'!</v>
      </c>
      <c r="G3160" s="32" t="s">
        <v>123</v>
      </c>
      <c r="H3160" s="33">
        <f t="shared" si="751"/>
        <v>16</v>
      </c>
      <c r="I3160" s="33" t="str">
        <f t="shared" si="750"/>
        <v>='C:\Users\jaime.benazar\Quorum Business Solutions\Ecopetrol Prometeo - Documents\Planning Space Implementation\3. Analysis &amp; Design\Design\FC22\DRR Jaime\Neiva CPI\[DINA TERCIARIOS_CF_SEC_New_27-Mar-2024.xlsx]D-PRB'!$DT$16</v>
      </c>
      <c r="J3160" s="37" t="s">
        <v>3413</v>
      </c>
    </row>
    <row r="3161" spans="1:10" x14ac:dyDescent="0.3">
      <c r="A3161" s="32" t="s">
        <v>20</v>
      </c>
      <c r="B3161" s="32">
        <f t="shared" si="752"/>
        <v>2028</v>
      </c>
      <c r="C3161" s="33" t="s">
        <v>110</v>
      </c>
      <c r="D3161" s="34" t="s">
        <v>2002</v>
      </c>
      <c r="E3161" s="35" t="str">
        <f t="shared" si="719"/>
        <v>PRB'!</v>
      </c>
      <c r="F3161" s="34" t="str">
        <f t="shared" si="720"/>
        <v>C:\Users\jaime.benazar\Quorum Business Solutions\Ecopetrol Prometeo - Documents\Planning Space Implementation\3. Analysis &amp; Design\Design\FC22\DRR Jaime\Neiva CPI\[DINA TERCIARIOS_CF_SEC_New_27-Mar-2024.xlsx]D-PRB'!</v>
      </c>
      <c r="G3161" s="32" t="s">
        <v>123</v>
      </c>
      <c r="H3161" s="33">
        <f t="shared" si="751"/>
        <v>17</v>
      </c>
      <c r="I3161" s="33" t="str">
        <f t="shared" si="750"/>
        <v>='C:\Users\jaime.benazar\Quorum Business Solutions\Ecopetrol Prometeo - Documents\Planning Space Implementation\3. Analysis &amp; Design\Design\FC22\DRR Jaime\Neiva CPI\[DINA TERCIARIOS_CF_SEC_New_27-Mar-2024.xlsx]D-PRB'!$DT$17</v>
      </c>
      <c r="J3161" s="37" t="s">
        <v>3414</v>
      </c>
    </row>
    <row r="3162" spans="1:10" x14ac:dyDescent="0.3">
      <c r="A3162" s="32" t="s">
        <v>20</v>
      </c>
      <c r="B3162" s="32">
        <f t="shared" si="752"/>
        <v>2029</v>
      </c>
      <c r="C3162" s="33" t="s">
        <v>110</v>
      </c>
      <c r="D3162" s="34" t="s">
        <v>2002</v>
      </c>
      <c r="E3162" s="35" t="str">
        <f t="shared" si="719"/>
        <v>PRB'!</v>
      </c>
      <c r="F3162" s="34" t="str">
        <f t="shared" si="720"/>
        <v>C:\Users\jaime.benazar\Quorum Business Solutions\Ecopetrol Prometeo - Documents\Planning Space Implementation\3. Analysis &amp; Design\Design\FC22\DRR Jaime\Neiva CPI\[DINA TERCIARIOS_CF_SEC_New_27-Mar-2024.xlsx]D-PRB'!</v>
      </c>
      <c r="G3162" s="32" t="s">
        <v>123</v>
      </c>
      <c r="H3162" s="33">
        <f t="shared" si="751"/>
        <v>18</v>
      </c>
      <c r="I3162" s="33" t="str">
        <f t="shared" si="750"/>
        <v>='C:\Users\jaime.benazar\Quorum Business Solutions\Ecopetrol Prometeo - Documents\Planning Space Implementation\3. Analysis &amp; Design\Design\FC22\DRR Jaime\Neiva CPI\[DINA TERCIARIOS_CF_SEC_New_27-Mar-2024.xlsx]D-PRB'!$DT$18</v>
      </c>
      <c r="J3162" s="37" t="s">
        <v>3415</v>
      </c>
    </row>
    <row r="3163" spans="1:10" x14ac:dyDescent="0.3">
      <c r="A3163" s="32" t="s">
        <v>20</v>
      </c>
      <c r="B3163" s="32">
        <f t="shared" si="752"/>
        <v>2030</v>
      </c>
      <c r="C3163" s="33" t="s">
        <v>110</v>
      </c>
      <c r="D3163" s="34" t="s">
        <v>2002</v>
      </c>
      <c r="E3163" s="35" t="str">
        <f t="shared" si="719"/>
        <v>PRB'!</v>
      </c>
      <c r="F3163" s="34" t="str">
        <f t="shared" si="720"/>
        <v>C:\Users\jaime.benazar\Quorum Business Solutions\Ecopetrol Prometeo - Documents\Planning Space Implementation\3. Analysis &amp; Design\Design\FC22\DRR Jaime\Neiva CPI\[DINA TERCIARIOS_CF_SEC_New_27-Mar-2024.xlsx]D-PRB'!</v>
      </c>
      <c r="G3163" s="32" t="s">
        <v>123</v>
      </c>
      <c r="H3163" s="33">
        <f t="shared" si="751"/>
        <v>19</v>
      </c>
      <c r="I3163" s="33" t="str">
        <f t="shared" si="750"/>
        <v>='C:\Users\jaime.benazar\Quorum Business Solutions\Ecopetrol Prometeo - Documents\Planning Space Implementation\3. Analysis &amp; Design\Design\FC22\DRR Jaime\Neiva CPI\[DINA TERCIARIOS_CF_SEC_New_27-Mar-2024.xlsx]D-PRB'!$DT$19</v>
      </c>
      <c r="J3163" s="37" t="s">
        <v>3416</v>
      </c>
    </row>
    <row r="3164" spans="1:10" x14ac:dyDescent="0.3">
      <c r="A3164" s="32" t="s">
        <v>20</v>
      </c>
      <c r="B3164" s="32">
        <f t="shared" si="752"/>
        <v>2031</v>
      </c>
      <c r="C3164" s="33" t="s">
        <v>110</v>
      </c>
      <c r="D3164" s="34" t="s">
        <v>2002</v>
      </c>
      <c r="E3164" s="35" t="str">
        <f t="shared" si="719"/>
        <v>PRB'!</v>
      </c>
      <c r="F3164" s="34" t="str">
        <f t="shared" si="720"/>
        <v>C:\Users\jaime.benazar\Quorum Business Solutions\Ecopetrol Prometeo - Documents\Planning Space Implementation\3. Analysis &amp; Design\Design\FC22\DRR Jaime\Neiva CPI\[DINA TERCIARIOS_CF_SEC_New_27-Mar-2024.xlsx]D-PRB'!</v>
      </c>
      <c r="G3164" s="32" t="s">
        <v>123</v>
      </c>
      <c r="H3164" s="33">
        <f t="shared" si="751"/>
        <v>20</v>
      </c>
      <c r="I3164" s="33" t="str">
        <f t="shared" si="750"/>
        <v>='C:\Users\jaime.benazar\Quorum Business Solutions\Ecopetrol Prometeo - Documents\Planning Space Implementation\3. Analysis &amp; Design\Design\FC22\DRR Jaime\Neiva CPI\[DINA TERCIARIOS_CF_SEC_New_27-Mar-2024.xlsx]D-PRB'!$DT$20</v>
      </c>
      <c r="J3164" s="37" t="s">
        <v>3417</v>
      </c>
    </row>
    <row r="3165" spans="1:10" x14ac:dyDescent="0.3">
      <c r="A3165" s="32" t="s">
        <v>20</v>
      </c>
      <c r="B3165" s="32">
        <f t="shared" si="752"/>
        <v>2032</v>
      </c>
      <c r="C3165" s="33" t="s">
        <v>110</v>
      </c>
      <c r="D3165" s="34" t="s">
        <v>2002</v>
      </c>
      <c r="E3165" s="35" t="str">
        <f t="shared" si="719"/>
        <v>PRB'!</v>
      </c>
      <c r="F3165" s="34" t="str">
        <f t="shared" si="720"/>
        <v>C:\Users\jaime.benazar\Quorum Business Solutions\Ecopetrol Prometeo - Documents\Planning Space Implementation\3. Analysis &amp; Design\Design\FC22\DRR Jaime\Neiva CPI\[DINA TERCIARIOS_CF_SEC_New_27-Mar-2024.xlsx]D-PRB'!</v>
      </c>
      <c r="G3165" s="32" t="s">
        <v>123</v>
      </c>
      <c r="H3165" s="33">
        <f t="shared" si="751"/>
        <v>21</v>
      </c>
      <c r="I3165" s="33" t="str">
        <f t="shared" si="750"/>
        <v>='C:\Users\jaime.benazar\Quorum Business Solutions\Ecopetrol Prometeo - Documents\Planning Space Implementation\3. Analysis &amp; Design\Design\FC22\DRR Jaime\Neiva CPI\[DINA TERCIARIOS_CF_SEC_New_27-Mar-2024.xlsx]D-PRB'!$DT$21</v>
      </c>
      <c r="J3165" s="37" t="s">
        <v>3418</v>
      </c>
    </row>
    <row r="3166" spans="1:10" x14ac:dyDescent="0.3">
      <c r="A3166" s="32" t="s">
        <v>20</v>
      </c>
      <c r="B3166" s="32">
        <f t="shared" si="752"/>
        <v>2033</v>
      </c>
      <c r="C3166" s="33" t="s">
        <v>110</v>
      </c>
      <c r="D3166" s="34" t="s">
        <v>2002</v>
      </c>
      <c r="E3166" s="35" t="str">
        <f t="shared" si="719"/>
        <v>PRB'!</v>
      </c>
      <c r="F3166" s="34" t="str">
        <f t="shared" si="720"/>
        <v>C:\Users\jaime.benazar\Quorum Business Solutions\Ecopetrol Prometeo - Documents\Planning Space Implementation\3. Analysis &amp; Design\Design\FC22\DRR Jaime\Neiva CPI\[DINA TERCIARIOS_CF_SEC_New_27-Mar-2024.xlsx]D-PRB'!</v>
      </c>
      <c r="G3166" s="32" t="s">
        <v>123</v>
      </c>
      <c r="H3166" s="33">
        <f t="shared" si="751"/>
        <v>22</v>
      </c>
      <c r="I3166" s="33" t="str">
        <f t="shared" si="750"/>
        <v>='C:\Users\jaime.benazar\Quorum Business Solutions\Ecopetrol Prometeo - Documents\Planning Space Implementation\3. Analysis &amp; Design\Design\FC22\DRR Jaime\Neiva CPI\[DINA TERCIARIOS_CF_SEC_New_27-Mar-2024.xlsx]D-PRB'!$DT$22</v>
      </c>
      <c r="J3166" s="37" t="s">
        <v>3419</v>
      </c>
    </row>
    <row r="3167" spans="1:10" x14ac:dyDescent="0.3">
      <c r="A3167" s="32" t="s">
        <v>20</v>
      </c>
      <c r="B3167" s="32">
        <f t="shared" si="752"/>
        <v>2034</v>
      </c>
      <c r="C3167" s="33" t="s">
        <v>110</v>
      </c>
      <c r="D3167" s="34" t="s">
        <v>2002</v>
      </c>
      <c r="E3167" s="35" t="str">
        <f t="shared" si="719"/>
        <v>PRB'!</v>
      </c>
      <c r="F3167" s="34" t="str">
        <f t="shared" si="720"/>
        <v>C:\Users\jaime.benazar\Quorum Business Solutions\Ecopetrol Prometeo - Documents\Planning Space Implementation\3. Analysis &amp; Design\Design\FC22\DRR Jaime\Neiva CPI\[DINA TERCIARIOS_CF_SEC_New_27-Mar-2024.xlsx]D-PRB'!</v>
      </c>
      <c r="G3167" s="32" t="s">
        <v>123</v>
      </c>
      <c r="H3167" s="33">
        <f t="shared" si="751"/>
        <v>23</v>
      </c>
      <c r="I3167" s="33" t="str">
        <f t="shared" si="750"/>
        <v>='C:\Users\jaime.benazar\Quorum Business Solutions\Ecopetrol Prometeo - Documents\Planning Space Implementation\3. Analysis &amp; Design\Design\FC22\DRR Jaime\Neiva CPI\[DINA TERCIARIOS_CF_SEC_New_27-Mar-2024.xlsx]D-PRB'!$DT$23</v>
      </c>
      <c r="J3167" s="37" t="s">
        <v>3420</v>
      </c>
    </row>
    <row r="3168" spans="1:10" x14ac:dyDescent="0.3">
      <c r="A3168" s="32" t="s">
        <v>20</v>
      </c>
      <c r="B3168" s="32">
        <f t="shared" si="752"/>
        <v>2035</v>
      </c>
      <c r="C3168" s="33" t="s">
        <v>110</v>
      </c>
      <c r="D3168" s="34" t="s">
        <v>2002</v>
      </c>
      <c r="E3168" s="35" t="str">
        <f t="shared" si="719"/>
        <v>PRB'!</v>
      </c>
      <c r="F3168" s="34" t="str">
        <f t="shared" si="720"/>
        <v>C:\Users\jaime.benazar\Quorum Business Solutions\Ecopetrol Prometeo - Documents\Planning Space Implementation\3. Analysis &amp; Design\Design\FC22\DRR Jaime\Neiva CPI\[DINA TERCIARIOS_CF_SEC_New_27-Mar-2024.xlsx]D-PRB'!</v>
      </c>
      <c r="G3168" s="32" t="s">
        <v>123</v>
      </c>
      <c r="H3168" s="33">
        <f t="shared" si="751"/>
        <v>24</v>
      </c>
      <c r="I3168" s="33" t="str">
        <f t="shared" si="750"/>
        <v>='C:\Users\jaime.benazar\Quorum Business Solutions\Ecopetrol Prometeo - Documents\Planning Space Implementation\3. Analysis &amp; Design\Design\FC22\DRR Jaime\Neiva CPI\[DINA TERCIARIOS_CF_SEC_New_27-Mar-2024.xlsx]D-PRB'!$DT$24</v>
      </c>
      <c r="J3168" s="37" t="s">
        <v>3421</v>
      </c>
    </row>
    <row r="3169" spans="1:10" x14ac:dyDescent="0.3">
      <c r="A3169" s="32" t="s">
        <v>20</v>
      </c>
      <c r="B3169" s="32">
        <f t="shared" si="752"/>
        <v>2036</v>
      </c>
      <c r="C3169" s="33" t="s">
        <v>110</v>
      </c>
      <c r="D3169" s="34" t="s">
        <v>2002</v>
      </c>
      <c r="E3169" s="35" t="str">
        <f t="shared" si="719"/>
        <v>PRB'!</v>
      </c>
      <c r="F3169" s="34" t="str">
        <f t="shared" si="720"/>
        <v>C:\Users\jaime.benazar\Quorum Business Solutions\Ecopetrol Prometeo - Documents\Planning Space Implementation\3. Analysis &amp; Design\Design\FC22\DRR Jaime\Neiva CPI\[DINA TERCIARIOS_CF_SEC_New_27-Mar-2024.xlsx]D-PRB'!</v>
      </c>
      <c r="G3169" s="32" t="s">
        <v>123</v>
      </c>
      <c r="H3169" s="33">
        <f t="shared" si="751"/>
        <v>25</v>
      </c>
      <c r="I3169" s="33" t="str">
        <f t="shared" si="750"/>
        <v>='C:\Users\jaime.benazar\Quorum Business Solutions\Ecopetrol Prometeo - Documents\Planning Space Implementation\3. Analysis &amp; Design\Design\FC22\DRR Jaime\Neiva CPI\[DINA TERCIARIOS_CF_SEC_New_27-Mar-2024.xlsx]D-PRB'!$DT$25</v>
      </c>
      <c r="J3169" s="37" t="s">
        <v>3422</v>
      </c>
    </row>
    <row r="3170" spans="1:10" x14ac:dyDescent="0.3">
      <c r="A3170" s="32" t="s">
        <v>20</v>
      </c>
      <c r="B3170" s="32">
        <f>+B3169+1</f>
        <v>2037</v>
      </c>
      <c r="C3170" s="33" t="s">
        <v>110</v>
      </c>
      <c r="D3170" s="34" t="s">
        <v>2002</v>
      </c>
      <c r="E3170" s="35" t="str">
        <f t="shared" si="719"/>
        <v>PRB'!</v>
      </c>
      <c r="F3170" s="34" t="str">
        <f t="shared" si="720"/>
        <v>C:\Users\jaime.benazar\Quorum Business Solutions\Ecopetrol Prometeo - Documents\Planning Space Implementation\3. Analysis &amp; Design\Design\FC22\DRR Jaime\Neiva CPI\[DINA TERCIARIOS_CF_SEC_New_27-Mar-2024.xlsx]D-PRB'!</v>
      </c>
      <c r="G3170" s="32" t="s">
        <v>123</v>
      </c>
      <c r="H3170" s="33">
        <f t="shared" si="751"/>
        <v>26</v>
      </c>
      <c r="I3170" s="33" t="str">
        <f t="shared" si="750"/>
        <v>='C:\Users\jaime.benazar\Quorum Business Solutions\Ecopetrol Prometeo - Documents\Planning Space Implementation\3. Analysis &amp; Design\Design\FC22\DRR Jaime\Neiva CPI\[DINA TERCIARIOS_CF_SEC_New_27-Mar-2024.xlsx]D-PRB'!$DT$26</v>
      </c>
      <c r="J3170" s="37" t="s">
        <v>3423</v>
      </c>
    </row>
    <row r="3171" spans="1:10" x14ac:dyDescent="0.3">
      <c r="A3171" s="32" t="s">
        <v>20</v>
      </c>
      <c r="B3171" s="32">
        <f t="shared" ref="B3171:B3173" si="753">+B3170+1</f>
        <v>2038</v>
      </c>
      <c r="C3171" s="33" t="s">
        <v>110</v>
      </c>
      <c r="D3171" s="34" t="s">
        <v>2002</v>
      </c>
      <c r="E3171" s="35" t="str">
        <f t="shared" si="719"/>
        <v>PRB'!</v>
      </c>
      <c r="F3171" s="34" t="str">
        <f t="shared" si="720"/>
        <v>C:\Users\jaime.benazar\Quorum Business Solutions\Ecopetrol Prometeo - Documents\Planning Space Implementation\3. Analysis &amp; Design\Design\FC22\DRR Jaime\Neiva CPI\[DINA TERCIARIOS_CF_SEC_New_27-Mar-2024.xlsx]D-PRB'!</v>
      </c>
      <c r="G3171" s="32" t="s">
        <v>123</v>
      </c>
      <c r="H3171" s="33">
        <f t="shared" si="751"/>
        <v>27</v>
      </c>
      <c r="I3171" s="33" t="str">
        <f t="shared" si="750"/>
        <v>='C:\Users\jaime.benazar\Quorum Business Solutions\Ecopetrol Prometeo - Documents\Planning Space Implementation\3. Analysis &amp; Design\Design\FC22\DRR Jaime\Neiva CPI\[DINA TERCIARIOS_CF_SEC_New_27-Mar-2024.xlsx]D-PRB'!$DT$27</v>
      </c>
      <c r="J3171" s="37" t="s">
        <v>3424</v>
      </c>
    </row>
    <row r="3172" spans="1:10" x14ac:dyDescent="0.3">
      <c r="A3172" s="32" t="s">
        <v>20</v>
      </c>
      <c r="B3172" s="32">
        <f t="shared" si="753"/>
        <v>2039</v>
      </c>
      <c r="C3172" s="33" t="s">
        <v>110</v>
      </c>
      <c r="D3172" s="34" t="s">
        <v>2002</v>
      </c>
      <c r="E3172" s="35" t="str">
        <f t="shared" si="719"/>
        <v>PRB'!</v>
      </c>
      <c r="F3172" s="34" t="str">
        <f t="shared" si="720"/>
        <v>C:\Users\jaime.benazar\Quorum Business Solutions\Ecopetrol Prometeo - Documents\Planning Space Implementation\3. Analysis &amp; Design\Design\FC22\DRR Jaime\Neiva CPI\[DINA TERCIARIOS_CF_SEC_New_27-Mar-2024.xlsx]D-PRB'!</v>
      </c>
      <c r="G3172" s="32" t="s">
        <v>123</v>
      </c>
      <c r="H3172" s="33">
        <f t="shared" si="751"/>
        <v>28</v>
      </c>
      <c r="I3172" s="33" t="str">
        <f t="shared" si="750"/>
        <v>='C:\Users\jaime.benazar\Quorum Business Solutions\Ecopetrol Prometeo - Documents\Planning Space Implementation\3. Analysis &amp; Design\Design\FC22\DRR Jaime\Neiva CPI\[DINA TERCIARIOS_CF_SEC_New_27-Mar-2024.xlsx]D-PRB'!$DT$28</v>
      </c>
      <c r="J3172" s="37" t="s">
        <v>3425</v>
      </c>
    </row>
    <row r="3173" spans="1:10" x14ac:dyDescent="0.3">
      <c r="A3173" s="32" t="s">
        <v>20</v>
      </c>
      <c r="B3173" s="32">
        <f t="shared" si="753"/>
        <v>2040</v>
      </c>
      <c r="C3173" s="33" t="s">
        <v>110</v>
      </c>
      <c r="D3173" s="34" t="s">
        <v>2002</v>
      </c>
      <c r="E3173" s="35" t="str">
        <f t="shared" si="719"/>
        <v>PRB'!</v>
      </c>
      <c r="F3173" s="34" t="str">
        <f t="shared" si="720"/>
        <v>C:\Users\jaime.benazar\Quorum Business Solutions\Ecopetrol Prometeo - Documents\Planning Space Implementation\3. Analysis &amp; Design\Design\FC22\DRR Jaime\Neiva CPI\[DINA TERCIARIOS_CF_SEC_New_27-Mar-2024.xlsx]D-PRB'!</v>
      </c>
      <c r="G3173" s="32" t="s">
        <v>123</v>
      </c>
      <c r="H3173" s="33">
        <f t="shared" si="751"/>
        <v>29</v>
      </c>
      <c r="I3173" s="33" t="str">
        <f t="shared" si="750"/>
        <v>='C:\Users\jaime.benazar\Quorum Business Solutions\Ecopetrol Prometeo - Documents\Planning Space Implementation\3. Analysis &amp; Design\Design\FC22\DRR Jaime\Neiva CPI\[DINA TERCIARIOS_CF_SEC_New_27-Mar-2024.xlsx]D-PRB'!$DT$29</v>
      </c>
      <c r="J3173" s="37" t="s">
        <v>3426</v>
      </c>
    </row>
    <row r="3174" spans="1:10" x14ac:dyDescent="0.3">
      <c r="A3174" s="32" t="s">
        <v>20</v>
      </c>
      <c r="B3174" s="32">
        <f>+B3173+1</f>
        <v>2041</v>
      </c>
      <c r="C3174" s="33" t="s">
        <v>110</v>
      </c>
      <c r="D3174" s="34" t="s">
        <v>2002</v>
      </c>
      <c r="E3174" s="35" t="str">
        <f t="shared" si="719"/>
        <v>PRB'!</v>
      </c>
      <c r="F3174" s="34" t="str">
        <f t="shared" si="720"/>
        <v>C:\Users\jaime.benazar\Quorum Business Solutions\Ecopetrol Prometeo - Documents\Planning Space Implementation\3. Analysis &amp; Design\Design\FC22\DRR Jaime\Neiva CPI\[DINA TERCIARIOS_CF_SEC_New_27-Mar-2024.xlsx]D-PRB'!</v>
      </c>
      <c r="G3174" s="32" t="s">
        <v>123</v>
      </c>
      <c r="H3174" s="33">
        <f t="shared" si="751"/>
        <v>30</v>
      </c>
      <c r="I3174" s="33" t="str">
        <f t="shared" si="750"/>
        <v>='C:\Users\jaime.benazar\Quorum Business Solutions\Ecopetrol Prometeo - Documents\Planning Space Implementation\3. Analysis &amp; Design\Design\FC22\DRR Jaime\Neiva CPI\[DINA TERCIARIOS_CF_SEC_New_27-Mar-2024.xlsx]D-PRB'!$DT$30</v>
      </c>
      <c r="J3174" s="37" t="s">
        <v>3427</v>
      </c>
    </row>
    <row r="3175" spans="1:10" x14ac:dyDescent="0.3">
      <c r="A3175" s="32" t="s">
        <v>20</v>
      </c>
      <c r="B3175" s="32">
        <f t="shared" ref="B3175:B3176" si="754">+B3174+1</f>
        <v>2042</v>
      </c>
      <c r="C3175" s="33" t="s">
        <v>110</v>
      </c>
      <c r="D3175" s="34" t="s">
        <v>2002</v>
      </c>
      <c r="E3175" s="35" t="str">
        <f t="shared" si="719"/>
        <v>PRB'!</v>
      </c>
      <c r="F3175" s="34" t="str">
        <f t="shared" si="720"/>
        <v>C:\Users\jaime.benazar\Quorum Business Solutions\Ecopetrol Prometeo - Documents\Planning Space Implementation\3. Analysis &amp; Design\Design\FC22\DRR Jaime\Neiva CPI\[DINA TERCIARIOS_CF_SEC_New_27-Mar-2024.xlsx]D-PRB'!</v>
      </c>
      <c r="G3175" s="32" t="s">
        <v>123</v>
      </c>
      <c r="H3175" s="33">
        <f t="shared" si="751"/>
        <v>31</v>
      </c>
      <c r="I3175" s="33" t="str">
        <f t="shared" si="750"/>
        <v>='C:\Users\jaime.benazar\Quorum Business Solutions\Ecopetrol Prometeo - Documents\Planning Space Implementation\3. Analysis &amp; Design\Design\FC22\DRR Jaime\Neiva CPI\[DINA TERCIARIOS_CF_SEC_New_27-Mar-2024.xlsx]D-PRB'!$DT$31</v>
      </c>
      <c r="J3175" s="37" t="s">
        <v>3428</v>
      </c>
    </row>
    <row r="3176" spans="1:10" x14ac:dyDescent="0.3">
      <c r="A3176" s="32" t="s">
        <v>20</v>
      </c>
      <c r="B3176" s="32">
        <f t="shared" si="754"/>
        <v>2043</v>
      </c>
      <c r="C3176" s="33" t="s">
        <v>110</v>
      </c>
      <c r="D3176" s="34" t="s">
        <v>2002</v>
      </c>
      <c r="E3176" s="35" t="str">
        <f t="shared" si="719"/>
        <v>PRB'!</v>
      </c>
      <c r="F3176" s="34" t="str">
        <f t="shared" si="720"/>
        <v>C:\Users\jaime.benazar\Quorum Business Solutions\Ecopetrol Prometeo - Documents\Planning Space Implementation\3. Analysis &amp; Design\Design\FC22\DRR Jaime\Neiva CPI\[DINA TERCIARIOS_CF_SEC_New_27-Mar-2024.xlsx]D-PRB'!</v>
      </c>
      <c r="G3176" s="32" t="s">
        <v>123</v>
      </c>
      <c r="H3176" s="33">
        <f t="shared" si="751"/>
        <v>32</v>
      </c>
      <c r="I3176" s="33" t="str">
        <f t="shared" si="750"/>
        <v>='C:\Users\jaime.benazar\Quorum Business Solutions\Ecopetrol Prometeo - Documents\Planning Space Implementation\3. Analysis &amp; Design\Design\FC22\DRR Jaime\Neiva CPI\[DINA TERCIARIOS_CF_SEC_New_27-Mar-2024.xlsx]D-PRB'!$DT$32</v>
      </c>
      <c r="J3176" s="37" t="s">
        <v>3429</v>
      </c>
    </row>
    <row r="3177" spans="1:10" x14ac:dyDescent="0.3">
      <c r="A3177" s="32" t="s">
        <v>20</v>
      </c>
      <c r="B3177" s="32">
        <f>+B3176+1</f>
        <v>2044</v>
      </c>
      <c r="C3177" s="33" t="s">
        <v>110</v>
      </c>
      <c r="D3177" s="34" t="s">
        <v>2002</v>
      </c>
      <c r="E3177" s="35" t="str">
        <f t="shared" ref="E3177:E3192" si="755">_xlfn.CONCAT(A3177,"'!")</f>
        <v>PRB'!</v>
      </c>
      <c r="F3177" s="34" t="str">
        <f t="shared" ref="F3177:F3192" si="756">_xlfn.CONCAT(D3177:E3177)</f>
        <v>C:\Users\jaime.benazar\Quorum Business Solutions\Ecopetrol Prometeo - Documents\Planning Space Implementation\3. Analysis &amp; Design\Design\FC22\DRR Jaime\Neiva CPI\[DINA TERCIARIOS_CF_SEC_New_27-Mar-2024.xlsx]D-PRB'!</v>
      </c>
      <c r="G3177" s="32" t="s">
        <v>123</v>
      </c>
      <c r="H3177" s="33">
        <f t="shared" ref="H3177:H3192" si="757">IF(A3177&lt;&gt;A3176,12,H3176+1)</f>
        <v>33</v>
      </c>
      <c r="I3177" s="33" t="str">
        <f t="shared" ref="I3177:I3192" si="758">_xlfn.CONCAT("='",F3177:H3177)</f>
        <v>='C:\Users\jaime.benazar\Quorum Business Solutions\Ecopetrol Prometeo - Documents\Planning Space Implementation\3. Analysis &amp; Design\Design\FC22\DRR Jaime\Neiva CPI\[DINA TERCIARIOS_CF_SEC_New_27-Mar-2024.xlsx]D-PRB'!$DT$33</v>
      </c>
      <c r="J3177" s="37" t="s">
        <v>3430</v>
      </c>
    </row>
    <row r="3178" spans="1:10" x14ac:dyDescent="0.3">
      <c r="A3178" s="32" t="s">
        <v>20</v>
      </c>
      <c r="B3178" s="32">
        <f t="shared" ref="B3178:B3192" si="759">+B3177+1</f>
        <v>2045</v>
      </c>
      <c r="C3178" s="33" t="s">
        <v>110</v>
      </c>
      <c r="D3178" s="34" t="s">
        <v>2002</v>
      </c>
      <c r="E3178" s="35" t="str">
        <f t="shared" si="755"/>
        <v>PRB'!</v>
      </c>
      <c r="F3178" s="34" t="str">
        <f t="shared" si="756"/>
        <v>C:\Users\jaime.benazar\Quorum Business Solutions\Ecopetrol Prometeo - Documents\Planning Space Implementation\3. Analysis &amp; Design\Design\FC22\DRR Jaime\Neiva CPI\[DINA TERCIARIOS_CF_SEC_New_27-Mar-2024.xlsx]D-PRB'!</v>
      </c>
      <c r="G3178" s="32" t="s">
        <v>123</v>
      </c>
      <c r="H3178" s="33">
        <f t="shared" si="757"/>
        <v>34</v>
      </c>
      <c r="I3178" s="33" t="str">
        <f t="shared" si="758"/>
        <v>='C:\Users\jaime.benazar\Quorum Business Solutions\Ecopetrol Prometeo - Documents\Planning Space Implementation\3. Analysis &amp; Design\Design\FC22\DRR Jaime\Neiva CPI\[DINA TERCIARIOS_CF_SEC_New_27-Mar-2024.xlsx]D-PRB'!$DT$34</v>
      </c>
      <c r="J3178" s="37" t="s">
        <v>3431</v>
      </c>
    </row>
    <row r="3179" spans="1:10" x14ac:dyDescent="0.3">
      <c r="A3179" s="32" t="s">
        <v>20</v>
      </c>
      <c r="B3179" s="32">
        <f t="shared" si="759"/>
        <v>2046</v>
      </c>
      <c r="C3179" s="33" t="s">
        <v>110</v>
      </c>
      <c r="D3179" s="34" t="s">
        <v>2002</v>
      </c>
      <c r="E3179" s="35" t="str">
        <f t="shared" si="755"/>
        <v>PRB'!</v>
      </c>
      <c r="F3179" s="34" t="str">
        <f t="shared" si="756"/>
        <v>C:\Users\jaime.benazar\Quorum Business Solutions\Ecopetrol Prometeo - Documents\Planning Space Implementation\3. Analysis &amp; Design\Design\FC22\DRR Jaime\Neiva CPI\[DINA TERCIARIOS_CF_SEC_New_27-Mar-2024.xlsx]D-PRB'!</v>
      </c>
      <c r="G3179" s="32" t="s">
        <v>123</v>
      </c>
      <c r="H3179" s="33">
        <f t="shared" si="757"/>
        <v>35</v>
      </c>
      <c r="I3179" s="33" t="str">
        <f t="shared" si="758"/>
        <v>='C:\Users\jaime.benazar\Quorum Business Solutions\Ecopetrol Prometeo - Documents\Planning Space Implementation\3. Analysis &amp; Design\Design\FC22\DRR Jaime\Neiva CPI\[DINA TERCIARIOS_CF_SEC_New_27-Mar-2024.xlsx]D-PRB'!$DT$35</v>
      </c>
      <c r="J3179" s="37" t="s">
        <v>3432</v>
      </c>
    </row>
    <row r="3180" spans="1:10" x14ac:dyDescent="0.3">
      <c r="A3180" s="32" t="s">
        <v>20</v>
      </c>
      <c r="B3180" s="32">
        <f t="shared" si="759"/>
        <v>2047</v>
      </c>
      <c r="C3180" s="33" t="s">
        <v>110</v>
      </c>
      <c r="D3180" s="34" t="s">
        <v>2002</v>
      </c>
      <c r="E3180" s="35" t="str">
        <f t="shared" si="755"/>
        <v>PRB'!</v>
      </c>
      <c r="F3180" s="34" t="str">
        <f t="shared" si="756"/>
        <v>C:\Users\jaime.benazar\Quorum Business Solutions\Ecopetrol Prometeo - Documents\Planning Space Implementation\3. Analysis &amp; Design\Design\FC22\DRR Jaime\Neiva CPI\[DINA TERCIARIOS_CF_SEC_New_27-Mar-2024.xlsx]D-PRB'!</v>
      </c>
      <c r="G3180" s="32" t="s">
        <v>123</v>
      </c>
      <c r="H3180" s="33">
        <f t="shared" si="757"/>
        <v>36</v>
      </c>
      <c r="I3180" s="33" t="str">
        <f t="shared" si="758"/>
        <v>='C:\Users\jaime.benazar\Quorum Business Solutions\Ecopetrol Prometeo - Documents\Planning Space Implementation\3. Analysis &amp; Design\Design\FC22\DRR Jaime\Neiva CPI\[DINA TERCIARIOS_CF_SEC_New_27-Mar-2024.xlsx]D-PRB'!$DT$36</v>
      </c>
      <c r="J3180" s="37" t="s">
        <v>3433</v>
      </c>
    </row>
    <row r="3181" spans="1:10" x14ac:dyDescent="0.3">
      <c r="A3181" s="32" t="s">
        <v>20</v>
      </c>
      <c r="B3181" s="32">
        <f t="shared" si="759"/>
        <v>2048</v>
      </c>
      <c r="C3181" s="33" t="s">
        <v>110</v>
      </c>
      <c r="D3181" s="34" t="s">
        <v>2002</v>
      </c>
      <c r="E3181" s="35" t="str">
        <f t="shared" si="755"/>
        <v>PRB'!</v>
      </c>
      <c r="F3181" s="34" t="str">
        <f t="shared" si="756"/>
        <v>C:\Users\jaime.benazar\Quorum Business Solutions\Ecopetrol Prometeo - Documents\Planning Space Implementation\3. Analysis &amp; Design\Design\FC22\DRR Jaime\Neiva CPI\[DINA TERCIARIOS_CF_SEC_New_27-Mar-2024.xlsx]D-PRB'!</v>
      </c>
      <c r="G3181" s="32" t="s">
        <v>123</v>
      </c>
      <c r="H3181" s="33">
        <f t="shared" si="757"/>
        <v>37</v>
      </c>
      <c r="I3181" s="33" t="str">
        <f t="shared" si="758"/>
        <v>='C:\Users\jaime.benazar\Quorum Business Solutions\Ecopetrol Prometeo - Documents\Planning Space Implementation\3. Analysis &amp; Design\Design\FC22\DRR Jaime\Neiva CPI\[DINA TERCIARIOS_CF_SEC_New_27-Mar-2024.xlsx]D-PRB'!$DT$37</v>
      </c>
      <c r="J3181" s="37" t="s">
        <v>3434</v>
      </c>
    </row>
    <row r="3182" spans="1:10" x14ac:dyDescent="0.3">
      <c r="A3182" s="32" t="s">
        <v>20</v>
      </c>
      <c r="B3182" s="32">
        <f t="shared" si="759"/>
        <v>2049</v>
      </c>
      <c r="C3182" s="33" t="s">
        <v>110</v>
      </c>
      <c r="D3182" s="34" t="s">
        <v>2002</v>
      </c>
      <c r="E3182" s="35" t="str">
        <f t="shared" si="755"/>
        <v>PRB'!</v>
      </c>
      <c r="F3182" s="34" t="str">
        <f t="shared" si="756"/>
        <v>C:\Users\jaime.benazar\Quorum Business Solutions\Ecopetrol Prometeo - Documents\Planning Space Implementation\3. Analysis &amp; Design\Design\FC22\DRR Jaime\Neiva CPI\[DINA TERCIARIOS_CF_SEC_New_27-Mar-2024.xlsx]D-PRB'!</v>
      </c>
      <c r="G3182" s="32" t="s">
        <v>123</v>
      </c>
      <c r="H3182" s="33">
        <f t="shared" si="757"/>
        <v>38</v>
      </c>
      <c r="I3182" s="33" t="str">
        <f t="shared" si="758"/>
        <v>='C:\Users\jaime.benazar\Quorum Business Solutions\Ecopetrol Prometeo - Documents\Planning Space Implementation\3. Analysis &amp; Design\Design\FC22\DRR Jaime\Neiva CPI\[DINA TERCIARIOS_CF_SEC_New_27-Mar-2024.xlsx]D-PRB'!$DT$38</v>
      </c>
      <c r="J3182" s="37" t="s">
        <v>3435</v>
      </c>
    </row>
    <row r="3183" spans="1:10" x14ac:dyDescent="0.3">
      <c r="A3183" s="32" t="s">
        <v>20</v>
      </c>
      <c r="B3183" s="32">
        <f t="shared" si="759"/>
        <v>2050</v>
      </c>
      <c r="C3183" s="33" t="s">
        <v>110</v>
      </c>
      <c r="D3183" s="34" t="s">
        <v>2002</v>
      </c>
      <c r="E3183" s="35" t="str">
        <f t="shared" si="755"/>
        <v>PRB'!</v>
      </c>
      <c r="F3183" s="34" t="str">
        <f t="shared" si="756"/>
        <v>C:\Users\jaime.benazar\Quorum Business Solutions\Ecopetrol Prometeo - Documents\Planning Space Implementation\3. Analysis &amp; Design\Design\FC22\DRR Jaime\Neiva CPI\[DINA TERCIARIOS_CF_SEC_New_27-Mar-2024.xlsx]D-PRB'!</v>
      </c>
      <c r="G3183" s="32" t="s">
        <v>123</v>
      </c>
      <c r="H3183" s="33">
        <f t="shared" si="757"/>
        <v>39</v>
      </c>
      <c r="I3183" s="33" t="str">
        <f t="shared" si="758"/>
        <v>='C:\Users\jaime.benazar\Quorum Business Solutions\Ecopetrol Prometeo - Documents\Planning Space Implementation\3. Analysis &amp; Design\Design\FC22\DRR Jaime\Neiva CPI\[DINA TERCIARIOS_CF_SEC_New_27-Mar-2024.xlsx]D-PRB'!$DT$39</v>
      </c>
      <c r="J3183" s="37" t="s">
        <v>3436</v>
      </c>
    </row>
    <row r="3184" spans="1:10" x14ac:dyDescent="0.3">
      <c r="A3184" s="32" t="s">
        <v>20</v>
      </c>
      <c r="B3184" s="32">
        <f t="shared" si="759"/>
        <v>2051</v>
      </c>
      <c r="C3184" s="33" t="s">
        <v>110</v>
      </c>
      <c r="D3184" s="34" t="s">
        <v>2002</v>
      </c>
      <c r="E3184" s="35" t="str">
        <f t="shared" si="755"/>
        <v>PRB'!</v>
      </c>
      <c r="F3184" s="34" t="str">
        <f t="shared" si="756"/>
        <v>C:\Users\jaime.benazar\Quorum Business Solutions\Ecopetrol Prometeo - Documents\Planning Space Implementation\3. Analysis &amp; Design\Design\FC22\DRR Jaime\Neiva CPI\[DINA TERCIARIOS_CF_SEC_New_27-Mar-2024.xlsx]D-PRB'!</v>
      </c>
      <c r="G3184" s="32" t="s">
        <v>123</v>
      </c>
      <c r="H3184" s="33">
        <f t="shared" si="757"/>
        <v>40</v>
      </c>
      <c r="I3184" s="33" t="str">
        <f t="shared" si="758"/>
        <v>='C:\Users\jaime.benazar\Quorum Business Solutions\Ecopetrol Prometeo - Documents\Planning Space Implementation\3. Analysis &amp; Design\Design\FC22\DRR Jaime\Neiva CPI\[DINA TERCIARIOS_CF_SEC_New_27-Mar-2024.xlsx]D-PRB'!$DT$40</v>
      </c>
      <c r="J3184" s="37" t="s">
        <v>3437</v>
      </c>
    </row>
    <row r="3185" spans="1:10" x14ac:dyDescent="0.3">
      <c r="A3185" s="32" t="s">
        <v>20</v>
      </c>
      <c r="B3185" s="32">
        <f t="shared" si="759"/>
        <v>2052</v>
      </c>
      <c r="C3185" s="33" t="s">
        <v>110</v>
      </c>
      <c r="D3185" s="34" t="s">
        <v>2002</v>
      </c>
      <c r="E3185" s="35" t="str">
        <f t="shared" si="755"/>
        <v>PRB'!</v>
      </c>
      <c r="F3185" s="34" t="str">
        <f t="shared" si="756"/>
        <v>C:\Users\jaime.benazar\Quorum Business Solutions\Ecopetrol Prometeo - Documents\Planning Space Implementation\3. Analysis &amp; Design\Design\FC22\DRR Jaime\Neiva CPI\[DINA TERCIARIOS_CF_SEC_New_27-Mar-2024.xlsx]D-PRB'!</v>
      </c>
      <c r="G3185" s="32" t="s">
        <v>123</v>
      </c>
      <c r="H3185" s="33">
        <f t="shared" si="757"/>
        <v>41</v>
      </c>
      <c r="I3185" s="33" t="str">
        <f t="shared" si="758"/>
        <v>='C:\Users\jaime.benazar\Quorum Business Solutions\Ecopetrol Prometeo - Documents\Planning Space Implementation\3. Analysis &amp; Design\Design\FC22\DRR Jaime\Neiva CPI\[DINA TERCIARIOS_CF_SEC_New_27-Mar-2024.xlsx]D-PRB'!$DT$41</v>
      </c>
      <c r="J3185" s="37" t="s">
        <v>3438</v>
      </c>
    </row>
    <row r="3186" spans="1:10" x14ac:dyDescent="0.3">
      <c r="A3186" s="32" t="s">
        <v>20</v>
      </c>
      <c r="B3186" s="32">
        <f t="shared" si="759"/>
        <v>2053</v>
      </c>
      <c r="C3186" s="33" t="s">
        <v>110</v>
      </c>
      <c r="D3186" s="34" t="s">
        <v>2002</v>
      </c>
      <c r="E3186" s="35" t="str">
        <f t="shared" si="755"/>
        <v>PRB'!</v>
      </c>
      <c r="F3186" s="34" t="str">
        <f t="shared" si="756"/>
        <v>C:\Users\jaime.benazar\Quorum Business Solutions\Ecopetrol Prometeo - Documents\Planning Space Implementation\3. Analysis &amp; Design\Design\FC22\DRR Jaime\Neiva CPI\[DINA TERCIARIOS_CF_SEC_New_27-Mar-2024.xlsx]D-PRB'!</v>
      </c>
      <c r="G3186" s="32" t="s">
        <v>123</v>
      </c>
      <c r="H3186" s="33">
        <f t="shared" si="757"/>
        <v>42</v>
      </c>
      <c r="I3186" s="33" t="str">
        <f t="shared" si="758"/>
        <v>='C:\Users\jaime.benazar\Quorum Business Solutions\Ecopetrol Prometeo - Documents\Planning Space Implementation\3. Analysis &amp; Design\Design\FC22\DRR Jaime\Neiva CPI\[DINA TERCIARIOS_CF_SEC_New_27-Mar-2024.xlsx]D-PRB'!$DT$42</v>
      </c>
      <c r="J3186" s="37" t="s">
        <v>3439</v>
      </c>
    </row>
    <row r="3187" spans="1:10" x14ac:dyDescent="0.3">
      <c r="A3187" s="32" t="s">
        <v>20</v>
      </c>
      <c r="B3187" s="32">
        <f t="shared" si="759"/>
        <v>2054</v>
      </c>
      <c r="C3187" s="33" t="s">
        <v>110</v>
      </c>
      <c r="D3187" s="34" t="s">
        <v>2002</v>
      </c>
      <c r="E3187" s="35" t="str">
        <f t="shared" si="755"/>
        <v>PRB'!</v>
      </c>
      <c r="F3187" s="34" t="str">
        <f t="shared" si="756"/>
        <v>C:\Users\jaime.benazar\Quorum Business Solutions\Ecopetrol Prometeo - Documents\Planning Space Implementation\3. Analysis &amp; Design\Design\FC22\DRR Jaime\Neiva CPI\[DINA TERCIARIOS_CF_SEC_New_27-Mar-2024.xlsx]D-PRB'!</v>
      </c>
      <c r="G3187" s="32" t="s">
        <v>123</v>
      </c>
      <c r="H3187" s="33">
        <f t="shared" si="757"/>
        <v>43</v>
      </c>
      <c r="I3187" s="33" t="str">
        <f t="shared" si="758"/>
        <v>='C:\Users\jaime.benazar\Quorum Business Solutions\Ecopetrol Prometeo - Documents\Planning Space Implementation\3. Analysis &amp; Design\Design\FC22\DRR Jaime\Neiva CPI\[DINA TERCIARIOS_CF_SEC_New_27-Mar-2024.xlsx]D-PRB'!$DT$43</v>
      </c>
      <c r="J3187" s="37" t="s">
        <v>3440</v>
      </c>
    </row>
    <row r="3188" spans="1:10" x14ac:dyDescent="0.3">
      <c r="A3188" s="32" t="s">
        <v>20</v>
      </c>
      <c r="B3188" s="32">
        <f t="shared" si="759"/>
        <v>2055</v>
      </c>
      <c r="C3188" s="33" t="s">
        <v>110</v>
      </c>
      <c r="D3188" s="34" t="s">
        <v>2002</v>
      </c>
      <c r="E3188" s="35" t="str">
        <f t="shared" si="755"/>
        <v>PRB'!</v>
      </c>
      <c r="F3188" s="34" t="str">
        <f t="shared" si="756"/>
        <v>C:\Users\jaime.benazar\Quorum Business Solutions\Ecopetrol Prometeo - Documents\Planning Space Implementation\3. Analysis &amp; Design\Design\FC22\DRR Jaime\Neiva CPI\[DINA TERCIARIOS_CF_SEC_New_27-Mar-2024.xlsx]D-PRB'!</v>
      </c>
      <c r="G3188" s="32" t="s">
        <v>123</v>
      </c>
      <c r="H3188" s="33">
        <f t="shared" si="757"/>
        <v>44</v>
      </c>
      <c r="I3188" s="33" t="str">
        <f t="shared" si="758"/>
        <v>='C:\Users\jaime.benazar\Quorum Business Solutions\Ecopetrol Prometeo - Documents\Planning Space Implementation\3. Analysis &amp; Design\Design\FC22\DRR Jaime\Neiva CPI\[DINA TERCIARIOS_CF_SEC_New_27-Mar-2024.xlsx]D-PRB'!$DT$44</v>
      </c>
      <c r="J3188" s="37" t="s">
        <v>3441</v>
      </c>
    </row>
    <row r="3189" spans="1:10" x14ac:dyDescent="0.3">
      <c r="A3189" s="32" t="s">
        <v>20</v>
      </c>
      <c r="B3189" s="32">
        <f t="shared" si="759"/>
        <v>2056</v>
      </c>
      <c r="C3189" s="33" t="s">
        <v>110</v>
      </c>
      <c r="D3189" s="34" t="s">
        <v>2002</v>
      </c>
      <c r="E3189" s="35" t="str">
        <f t="shared" si="755"/>
        <v>PRB'!</v>
      </c>
      <c r="F3189" s="34" t="str">
        <f t="shared" si="756"/>
        <v>C:\Users\jaime.benazar\Quorum Business Solutions\Ecopetrol Prometeo - Documents\Planning Space Implementation\3. Analysis &amp; Design\Design\FC22\DRR Jaime\Neiva CPI\[DINA TERCIARIOS_CF_SEC_New_27-Mar-2024.xlsx]D-PRB'!</v>
      </c>
      <c r="G3189" s="32" t="s">
        <v>123</v>
      </c>
      <c r="H3189" s="33">
        <f t="shared" si="757"/>
        <v>45</v>
      </c>
      <c r="I3189" s="33" t="str">
        <f t="shared" si="758"/>
        <v>='C:\Users\jaime.benazar\Quorum Business Solutions\Ecopetrol Prometeo - Documents\Planning Space Implementation\3. Analysis &amp; Design\Design\FC22\DRR Jaime\Neiva CPI\[DINA TERCIARIOS_CF_SEC_New_27-Mar-2024.xlsx]D-PRB'!$DT$45</v>
      </c>
      <c r="J3189" s="37" t="s">
        <v>3442</v>
      </c>
    </row>
    <row r="3190" spans="1:10" x14ac:dyDescent="0.3">
      <c r="A3190" s="32" t="s">
        <v>20</v>
      </c>
      <c r="B3190" s="32">
        <f t="shared" si="759"/>
        <v>2057</v>
      </c>
      <c r="C3190" s="33" t="s">
        <v>110</v>
      </c>
      <c r="D3190" s="34" t="s">
        <v>2002</v>
      </c>
      <c r="E3190" s="35" t="str">
        <f t="shared" si="755"/>
        <v>PRB'!</v>
      </c>
      <c r="F3190" s="34" t="str">
        <f t="shared" si="756"/>
        <v>C:\Users\jaime.benazar\Quorum Business Solutions\Ecopetrol Prometeo - Documents\Planning Space Implementation\3. Analysis &amp; Design\Design\FC22\DRR Jaime\Neiva CPI\[DINA TERCIARIOS_CF_SEC_New_27-Mar-2024.xlsx]D-PRB'!</v>
      </c>
      <c r="G3190" s="32" t="s">
        <v>123</v>
      </c>
      <c r="H3190" s="33">
        <f t="shared" si="757"/>
        <v>46</v>
      </c>
      <c r="I3190" s="33" t="str">
        <f t="shared" si="758"/>
        <v>='C:\Users\jaime.benazar\Quorum Business Solutions\Ecopetrol Prometeo - Documents\Planning Space Implementation\3. Analysis &amp; Design\Design\FC22\DRR Jaime\Neiva CPI\[DINA TERCIARIOS_CF_SEC_New_27-Mar-2024.xlsx]D-PRB'!$DT$46</v>
      </c>
      <c r="J3190" s="37" t="s">
        <v>3443</v>
      </c>
    </row>
    <row r="3191" spans="1:10" x14ac:dyDescent="0.3">
      <c r="A3191" s="32" t="s">
        <v>20</v>
      </c>
      <c r="B3191" s="32">
        <f t="shared" si="759"/>
        <v>2058</v>
      </c>
      <c r="C3191" s="33" t="s">
        <v>110</v>
      </c>
      <c r="D3191" s="34" t="s">
        <v>2002</v>
      </c>
      <c r="E3191" s="35" t="str">
        <f t="shared" si="755"/>
        <v>PRB'!</v>
      </c>
      <c r="F3191" s="34" t="str">
        <f t="shared" si="756"/>
        <v>C:\Users\jaime.benazar\Quorum Business Solutions\Ecopetrol Prometeo - Documents\Planning Space Implementation\3. Analysis &amp; Design\Design\FC22\DRR Jaime\Neiva CPI\[DINA TERCIARIOS_CF_SEC_New_27-Mar-2024.xlsx]D-PRB'!</v>
      </c>
      <c r="G3191" s="32" t="s">
        <v>123</v>
      </c>
      <c r="H3191" s="33">
        <f t="shared" si="757"/>
        <v>47</v>
      </c>
      <c r="I3191" s="33" t="str">
        <f t="shared" si="758"/>
        <v>='C:\Users\jaime.benazar\Quorum Business Solutions\Ecopetrol Prometeo - Documents\Planning Space Implementation\3. Analysis &amp; Design\Design\FC22\DRR Jaime\Neiva CPI\[DINA TERCIARIOS_CF_SEC_New_27-Mar-2024.xlsx]D-PRB'!$DT$47</v>
      </c>
      <c r="J3191" s="37" t="s">
        <v>3444</v>
      </c>
    </row>
    <row r="3192" spans="1:10" x14ac:dyDescent="0.3">
      <c r="A3192" s="32" t="s">
        <v>20</v>
      </c>
      <c r="B3192" s="32">
        <f t="shared" si="759"/>
        <v>2059</v>
      </c>
      <c r="C3192" s="33" t="s">
        <v>110</v>
      </c>
      <c r="D3192" s="34" t="s">
        <v>2002</v>
      </c>
      <c r="E3192" s="35" t="str">
        <f t="shared" si="755"/>
        <v>PRB'!</v>
      </c>
      <c r="F3192" s="34" t="str">
        <f t="shared" si="756"/>
        <v>C:\Users\jaime.benazar\Quorum Business Solutions\Ecopetrol Prometeo - Documents\Planning Space Implementation\3. Analysis &amp; Design\Design\FC22\DRR Jaime\Neiva CPI\[DINA TERCIARIOS_CF_SEC_New_27-Mar-2024.xlsx]D-PRB'!</v>
      </c>
      <c r="G3192" s="32" t="s">
        <v>123</v>
      </c>
      <c r="H3192" s="33">
        <f t="shared" si="757"/>
        <v>48</v>
      </c>
      <c r="I3192" s="33" t="str">
        <f t="shared" si="758"/>
        <v>='C:\Users\jaime.benazar\Quorum Business Solutions\Ecopetrol Prometeo - Documents\Planning Space Implementation\3. Analysis &amp; Design\Design\FC22\DRR Jaime\Neiva CPI\[DINA TERCIARIOS_CF_SEC_New_27-Mar-2024.xlsx]D-PRB'!$DT$48</v>
      </c>
      <c r="J3192" s="37" t="s">
        <v>3445</v>
      </c>
    </row>
    <row r="3193" spans="1:10" x14ac:dyDescent="0.3">
      <c r="A3193" s="32" t="s">
        <v>26</v>
      </c>
      <c r="B3193" s="32"/>
      <c r="C3193" s="33" t="s">
        <v>110</v>
      </c>
      <c r="D3193" s="34"/>
      <c r="E3193" s="35"/>
      <c r="F3193" s="34"/>
      <c r="G3193" s="32"/>
      <c r="H3193" s="33"/>
      <c r="I3193" s="33"/>
      <c r="J3193" s="33"/>
    </row>
    <row r="3194" spans="1:10" x14ac:dyDescent="0.3">
      <c r="A3194" s="32" t="s">
        <v>21</v>
      </c>
      <c r="B3194" s="32">
        <v>2023</v>
      </c>
      <c r="C3194" s="33" t="s">
        <v>110</v>
      </c>
      <c r="D3194" s="34" t="s">
        <v>2002</v>
      </c>
      <c r="E3194" s="35" t="str">
        <f t="shared" ref="E3194:E3285" si="760">_xlfn.CONCAT(A3194,"'!")</f>
        <v>PSDP'!</v>
      </c>
      <c r="F3194" s="34" t="str">
        <f t="shared" ref="F3194:F3214" si="761">_xlfn.CONCAT(D3194:E3194)</f>
        <v>C:\Users\jaime.benazar\Quorum Business Solutions\Ecopetrol Prometeo - Documents\Planning Space Implementation\3. Analysis &amp; Design\Design\FC22\DRR Jaime\Neiva CPI\[DINA TERCIARIOS_CF_SEC_New_27-Mar-2024.xlsx]D-PSDP'!</v>
      </c>
      <c r="G3194" s="32" t="s">
        <v>123</v>
      </c>
      <c r="H3194" s="33"/>
      <c r="I3194" s="33"/>
      <c r="J3194" s="37"/>
    </row>
    <row r="3195" spans="1:10" x14ac:dyDescent="0.3">
      <c r="A3195" s="32" t="s">
        <v>21</v>
      </c>
      <c r="B3195" s="32">
        <f>+B3194+1</f>
        <v>2024</v>
      </c>
      <c r="C3195" s="33" t="s">
        <v>110</v>
      </c>
      <c r="D3195" s="34" t="s">
        <v>2002</v>
      </c>
      <c r="E3195" s="35" t="str">
        <f t="shared" si="760"/>
        <v>PSDP'!</v>
      </c>
      <c r="F3195" s="34" t="str">
        <f t="shared" si="761"/>
        <v>C:\Users\jaime.benazar\Quorum Business Solutions\Ecopetrol Prometeo - Documents\Planning Space Implementation\3. Analysis &amp; Design\Design\FC22\DRR Jaime\Neiva CPI\[DINA TERCIARIOS_CF_SEC_New_27-Mar-2024.xlsx]D-PSDP'!</v>
      </c>
      <c r="G3195" s="32" t="s">
        <v>123</v>
      </c>
      <c r="H3195" s="33"/>
      <c r="I3195" s="33"/>
      <c r="J3195" s="37"/>
    </row>
    <row r="3196" spans="1:10" x14ac:dyDescent="0.3">
      <c r="A3196" s="32" t="s">
        <v>21</v>
      </c>
      <c r="B3196" s="32">
        <f t="shared" ref="B3196:B3207" si="762">+B3195+1</f>
        <v>2025</v>
      </c>
      <c r="C3196" s="33" t="s">
        <v>110</v>
      </c>
      <c r="D3196" s="34" t="s">
        <v>2002</v>
      </c>
      <c r="E3196" s="35" t="str">
        <f t="shared" si="760"/>
        <v>PSDP'!</v>
      </c>
      <c r="F3196" s="34" t="str">
        <f t="shared" si="761"/>
        <v>C:\Users\jaime.benazar\Quorum Business Solutions\Ecopetrol Prometeo - Documents\Planning Space Implementation\3. Analysis &amp; Design\Design\FC22\DRR Jaime\Neiva CPI\[DINA TERCIARIOS_CF_SEC_New_27-Mar-2024.xlsx]D-PSDP'!</v>
      </c>
      <c r="G3196" s="32" t="s">
        <v>123</v>
      </c>
      <c r="H3196" s="33"/>
      <c r="I3196" s="33"/>
      <c r="J3196" s="37"/>
    </row>
    <row r="3197" spans="1:10" x14ac:dyDescent="0.3">
      <c r="A3197" s="32" t="s">
        <v>21</v>
      </c>
      <c r="B3197" s="32">
        <f t="shared" si="762"/>
        <v>2026</v>
      </c>
      <c r="C3197" s="33" t="s">
        <v>110</v>
      </c>
      <c r="D3197" s="34" t="s">
        <v>2002</v>
      </c>
      <c r="E3197" s="35" t="str">
        <f t="shared" si="760"/>
        <v>PSDP'!</v>
      </c>
      <c r="F3197" s="34" t="str">
        <f t="shared" si="761"/>
        <v>C:\Users\jaime.benazar\Quorum Business Solutions\Ecopetrol Prometeo - Documents\Planning Space Implementation\3. Analysis &amp; Design\Design\FC22\DRR Jaime\Neiva CPI\[DINA TERCIARIOS_CF_SEC_New_27-Mar-2024.xlsx]D-PSDP'!</v>
      </c>
      <c r="G3197" s="32" t="s">
        <v>123</v>
      </c>
      <c r="H3197" s="33"/>
      <c r="I3197" s="33"/>
      <c r="J3197" s="37"/>
    </row>
    <row r="3198" spans="1:10" x14ac:dyDescent="0.3">
      <c r="A3198" s="32" t="s">
        <v>21</v>
      </c>
      <c r="B3198" s="32">
        <f t="shared" si="762"/>
        <v>2027</v>
      </c>
      <c r="C3198" s="33" t="s">
        <v>110</v>
      </c>
      <c r="D3198" s="34" t="s">
        <v>2002</v>
      </c>
      <c r="E3198" s="35" t="str">
        <f t="shared" si="760"/>
        <v>PSDP'!</v>
      </c>
      <c r="F3198" s="34" t="str">
        <f t="shared" si="761"/>
        <v>C:\Users\jaime.benazar\Quorum Business Solutions\Ecopetrol Prometeo - Documents\Planning Space Implementation\3. Analysis &amp; Design\Design\FC22\DRR Jaime\Neiva CPI\[DINA TERCIARIOS_CF_SEC_New_27-Mar-2024.xlsx]D-PSDP'!</v>
      </c>
      <c r="G3198" s="32" t="s">
        <v>123</v>
      </c>
      <c r="H3198" s="33"/>
      <c r="I3198" s="33"/>
      <c r="J3198" s="37"/>
    </row>
    <row r="3199" spans="1:10" x14ac:dyDescent="0.3">
      <c r="A3199" s="32" t="s">
        <v>21</v>
      </c>
      <c r="B3199" s="32">
        <f t="shared" si="762"/>
        <v>2028</v>
      </c>
      <c r="C3199" s="33" t="s">
        <v>110</v>
      </c>
      <c r="D3199" s="34" t="s">
        <v>2002</v>
      </c>
      <c r="E3199" s="35" t="str">
        <f t="shared" si="760"/>
        <v>PSDP'!</v>
      </c>
      <c r="F3199" s="34" t="str">
        <f t="shared" si="761"/>
        <v>C:\Users\jaime.benazar\Quorum Business Solutions\Ecopetrol Prometeo - Documents\Planning Space Implementation\3. Analysis &amp; Design\Design\FC22\DRR Jaime\Neiva CPI\[DINA TERCIARIOS_CF_SEC_New_27-Mar-2024.xlsx]D-PSDP'!</v>
      </c>
      <c r="G3199" s="32" t="s">
        <v>123</v>
      </c>
      <c r="H3199" s="33"/>
      <c r="I3199" s="33"/>
      <c r="J3199" s="37"/>
    </row>
    <row r="3200" spans="1:10" x14ac:dyDescent="0.3">
      <c r="A3200" s="32" t="s">
        <v>21</v>
      </c>
      <c r="B3200" s="32">
        <f t="shared" si="762"/>
        <v>2029</v>
      </c>
      <c r="C3200" s="33" t="s">
        <v>110</v>
      </c>
      <c r="D3200" s="34" t="s">
        <v>2002</v>
      </c>
      <c r="E3200" s="35" t="str">
        <f t="shared" si="760"/>
        <v>PSDP'!</v>
      </c>
      <c r="F3200" s="34" t="str">
        <f t="shared" si="761"/>
        <v>C:\Users\jaime.benazar\Quorum Business Solutions\Ecopetrol Prometeo - Documents\Planning Space Implementation\3. Analysis &amp; Design\Design\FC22\DRR Jaime\Neiva CPI\[DINA TERCIARIOS_CF_SEC_New_27-Mar-2024.xlsx]D-PSDP'!</v>
      </c>
      <c r="G3200" s="32" t="s">
        <v>123</v>
      </c>
      <c r="H3200" s="33"/>
      <c r="I3200" s="33"/>
      <c r="J3200" s="37"/>
    </row>
    <row r="3201" spans="1:10" x14ac:dyDescent="0.3">
      <c r="A3201" s="32" t="s">
        <v>21</v>
      </c>
      <c r="B3201" s="32">
        <f t="shared" si="762"/>
        <v>2030</v>
      </c>
      <c r="C3201" s="33" t="s">
        <v>110</v>
      </c>
      <c r="D3201" s="34" t="s">
        <v>2002</v>
      </c>
      <c r="E3201" s="35" t="str">
        <f t="shared" si="760"/>
        <v>PSDP'!</v>
      </c>
      <c r="F3201" s="34" t="str">
        <f t="shared" si="761"/>
        <v>C:\Users\jaime.benazar\Quorum Business Solutions\Ecopetrol Prometeo - Documents\Planning Space Implementation\3. Analysis &amp; Design\Design\FC22\DRR Jaime\Neiva CPI\[DINA TERCIARIOS_CF_SEC_New_27-Mar-2024.xlsx]D-PSDP'!</v>
      </c>
      <c r="G3201" s="32" t="s">
        <v>123</v>
      </c>
      <c r="H3201" s="33"/>
      <c r="I3201" s="33"/>
      <c r="J3201" s="37"/>
    </row>
    <row r="3202" spans="1:10" x14ac:dyDescent="0.3">
      <c r="A3202" s="32" t="s">
        <v>21</v>
      </c>
      <c r="B3202" s="32">
        <f t="shared" si="762"/>
        <v>2031</v>
      </c>
      <c r="C3202" s="33" t="s">
        <v>110</v>
      </c>
      <c r="D3202" s="34" t="s">
        <v>2002</v>
      </c>
      <c r="E3202" s="35" t="str">
        <f t="shared" si="760"/>
        <v>PSDP'!</v>
      </c>
      <c r="F3202" s="34" t="str">
        <f t="shared" si="761"/>
        <v>C:\Users\jaime.benazar\Quorum Business Solutions\Ecopetrol Prometeo - Documents\Planning Space Implementation\3. Analysis &amp; Design\Design\FC22\DRR Jaime\Neiva CPI\[DINA TERCIARIOS_CF_SEC_New_27-Mar-2024.xlsx]D-PSDP'!</v>
      </c>
      <c r="G3202" s="32" t="s">
        <v>123</v>
      </c>
      <c r="H3202" s="33"/>
      <c r="I3202" s="33"/>
      <c r="J3202" s="37"/>
    </row>
    <row r="3203" spans="1:10" x14ac:dyDescent="0.3">
      <c r="A3203" s="32" t="s">
        <v>21</v>
      </c>
      <c r="B3203" s="32">
        <f t="shared" si="762"/>
        <v>2032</v>
      </c>
      <c r="C3203" s="33" t="s">
        <v>110</v>
      </c>
      <c r="D3203" s="34" t="s">
        <v>2002</v>
      </c>
      <c r="E3203" s="35" t="str">
        <f t="shared" si="760"/>
        <v>PSDP'!</v>
      </c>
      <c r="F3203" s="34" t="str">
        <f t="shared" si="761"/>
        <v>C:\Users\jaime.benazar\Quorum Business Solutions\Ecopetrol Prometeo - Documents\Planning Space Implementation\3. Analysis &amp; Design\Design\FC22\DRR Jaime\Neiva CPI\[DINA TERCIARIOS_CF_SEC_New_27-Mar-2024.xlsx]D-PSDP'!</v>
      </c>
      <c r="G3203" s="32" t="s">
        <v>123</v>
      </c>
      <c r="H3203" s="33"/>
      <c r="I3203" s="33"/>
      <c r="J3203" s="37"/>
    </row>
    <row r="3204" spans="1:10" x14ac:dyDescent="0.3">
      <c r="A3204" s="32" t="s">
        <v>21</v>
      </c>
      <c r="B3204" s="32">
        <f t="shared" si="762"/>
        <v>2033</v>
      </c>
      <c r="C3204" s="33" t="s">
        <v>110</v>
      </c>
      <c r="D3204" s="34" t="s">
        <v>2002</v>
      </c>
      <c r="E3204" s="35" t="str">
        <f t="shared" si="760"/>
        <v>PSDP'!</v>
      </c>
      <c r="F3204" s="34" t="str">
        <f t="shared" si="761"/>
        <v>C:\Users\jaime.benazar\Quorum Business Solutions\Ecopetrol Prometeo - Documents\Planning Space Implementation\3. Analysis &amp; Design\Design\FC22\DRR Jaime\Neiva CPI\[DINA TERCIARIOS_CF_SEC_New_27-Mar-2024.xlsx]D-PSDP'!</v>
      </c>
      <c r="G3204" s="32" t="s">
        <v>123</v>
      </c>
      <c r="H3204" s="33"/>
      <c r="I3204" s="33"/>
      <c r="J3204" s="37"/>
    </row>
    <row r="3205" spans="1:10" x14ac:dyDescent="0.3">
      <c r="A3205" s="32" t="s">
        <v>21</v>
      </c>
      <c r="B3205" s="32">
        <f t="shared" si="762"/>
        <v>2034</v>
      </c>
      <c r="C3205" s="33" t="s">
        <v>110</v>
      </c>
      <c r="D3205" s="34" t="s">
        <v>2002</v>
      </c>
      <c r="E3205" s="35" t="str">
        <f t="shared" si="760"/>
        <v>PSDP'!</v>
      </c>
      <c r="F3205" s="34" t="str">
        <f t="shared" si="761"/>
        <v>C:\Users\jaime.benazar\Quorum Business Solutions\Ecopetrol Prometeo - Documents\Planning Space Implementation\3. Analysis &amp; Design\Design\FC22\DRR Jaime\Neiva CPI\[DINA TERCIARIOS_CF_SEC_New_27-Mar-2024.xlsx]D-PSDP'!</v>
      </c>
      <c r="G3205" s="32" t="s">
        <v>123</v>
      </c>
      <c r="H3205" s="33"/>
      <c r="I3205" s="33"/>
      <c r="J3205" s="37"/>
    </row>
    <row r="3206" spans="1:10" x14ac:dyDescent="0.3">
      <c r="A3206" s="32" t="s">
        <v>21</v>
      </c>
      <c r="B3206" s="32">
        <f t="shared" si="762"/>
        <v>2035</v>
      </c>
      <c r="C3206" s="33" t="s">
        <v>110</v>
      </c>
      <c r="D3206" s="34" t="s">
        <v>2002</v>
      </c>
      <c r="E3206" s="35" t="str">
        <f t="shared" si="760"/>
        <v>PSDP'!</v>
      </c>
      <c r="F3206" s="34" t="str">
        <f t="shared" si="761"/>
        <v>C:\Users\jaime.benazar\Quorum Business Solutions\Ecopetrol Prometeo - Documents\Planning Space Implementation\3. Analysis &amp; Design\Design\FC22\DRR Jaime\Neiva CPI\[DINA TERCIARIOS_CF_SEC_New_27-Mar-2024.xlsx]D-PSDP'!</v>
      </c>
      <c r="G3206" s="32" t="s">
        <v>123</v>
      </c>
      <c r="H3206" s="33"/>
      <c r="I3206" s="33"/>
      <c r="J3206" s="37"/>
    </row>
    <row r="3207" spans="1:10" x14ac:dyDescent="0.3">
      <c r="A3207" s="32" t="s">
        <v>21</v>
      </c>
      <c r="B3207" s="32">
        <f t="shared" si="762"/>
        <v>2036</v>
      </c>
      <c r="C3207" s="33" t="s">
        <v>110</v>
      </c>
      <c r="D3207" s="34" t="s">
        <v>2002</v>
      </c>
      <c r="E3207" s="35" t="str">
        <f t="shared" si="760"/>
        <v>PSDP'!</v>
      </c>
      <c r="F3207" s="34" t="str">
        <f t="shared" si="761"/>
        <v>C:\Users\jaime.benazar\Quorum Business Solutions\Ecopetrol Prometeo - Documents\Planning Space Implementation\3. Analysis &amp; Design\Design\FC22\DRR Jaime\Neiva CPI\[DINA TERCIARIOS_CF_SEC_New_27-Mar-2024.xlsx]D-PSDP'!</v>
      </c>
      <c r="G3207" s="32" t="s">
        <v>123</v>
      </c>
      <c r="H3207" s="33"/>
      <c r="I3207" s="33"/>
      <c r="J3207" s="37"/>
    </row>
    <row r="3208" spans="1:10" x14ac:dyDescent="0.3">
      <c r="A3208" s="32" t="s">
        <v>21</v>
      </c>
      <c r="B3208" s="32">
        <f>+B3207+1</f>
        <v>2037</v>
      </c>
      <c r="C3208" s="33" t="s">
        <v>110</v>
      </c>
      <c r="D3208" s="34" t="s">
        <v>2002</v>
      </c>
      <c r="E3208" s="35" t="str">
        <f t="shared" si="760"/>
        <v>PSDP'!</v>
      </c>
      <c r="F3208" s="34" t="str">
        <f t="shared" si="761"/>
        <v>C:\Users\jaime.benazar\Quorum Business Solutions\Ecopetrol Prometeo - Documents\Planning Space Implementation\3. Analysis &amp; Design\Design\FC22\DRR Jaime\Neiva CPI\[DINA TERCIARIOS_CF_SEC_New_27-Mar-2024.xlsx]D-PSDP'!</v>
      </c>
      <c r="G3208" s="32" t="s">
        <v>123</v>
      </c>
      <c r="H3208" s="33"/>
      <c r="I3208" s="33"/>
      <c r="J3208" s="37"/>
    </row>
    <row r="3209" spans="1:10" x14ac:dyDescent="0.3">
      <c r="A3209" s="32" t="s">
        <v>21</v>
      </c>
      <c r="B3209" s="32">
        <f t="shared" ref="B3209:B3211" si="763">+B3208+1</f>
        <v>2038</v>
      </c>
      <c r="C3209" s="33" t="s">
        <v>110</v>
      </c>
      <c r="D3209" s="34" t="s">
        <v>2002</v>
      </c>
      <c r="E3209" s="35" t="str">
        <f t="shared" si="760"/>
        <v>PSDP'!</v>
      </c>
      <c r="F3209" s="34" t="str">
        <f t="shared" si="761"/>
        <v>C:\Users\jaime.benazar\Quorum Business Solutions\Ecopetrol Prometeo - Documents\Planning Space Implementation\3. Analysis &amp; Design\Design\FC22\DRR Jaime\Neiva CPI\[DINA TERCIARIOS_CF_SEC_New_27-Mar-2024.xlsx]D-PSDP'!</v>
      </c>
      <c r="G3209" s="32" t="s">
        <v>123</v>
      </c>
      <c r="H3209" s="33"/>
      <c r="I3209" s="33"/>
      <c r="J3209" s="37"/>
    </row>
    <row r="3210" spans="1:10" x14ac:dyDescent="0.3">
      <c r="A3210" s="32" t="s">
        <v>21</v>
      </c>
      <c r="B3210" s="32">
        <f t="shared" si="763"/>
        <v>2039</v>
      </c>
      <c r="C3210" s="33" t="s">
        <v>110</v>
      </c>
      <c r="D3210" s="34" t="s">
        <v>2002</v>
      </c>
      <c r="E3210" s="35" t="str">
        <f t="shared" si="760"/>
        <v>PSDP'!</v>
      </c>
      <c r="F3210" s="34" t="str">
        <f t="shared" si="761"/>
        <v>C:\Users\jaime.benazar\Quorum Business Solutions\Ecopetrol Prometeo - Documents\Planning Space Implementation\3. Analysis &amp; Design\Design\FC22\DRR Jaime\Neiva CPI\[DINA TERCIARIOS_CF_SEC_New_27-Mar-2024.xlsx]D-PSDP'!</v>
      </c>
      <c r="G3210" s="32" t="s">
        <v>123</v>
      </c>
      <c r="H3210" s="33"/>
      <c r="I3210" s="33"/>
      <c r="J3210" s="37"/>
    </row>
    <row r="3211" spans="1:10" x14ac:dyDescent="0.3">
      <c r="A3211" s="32" t="s">
        <v>21</v>
      </c>
      <c r="B3211" s="32">
        <f t="shared" si="763"/>
        <v>2040</v>
      </c>
      <c r="C3211" s="33" t="s">
        <v>110</v>
      </c>
      <c r="D3211" s="34" t="s">
        <v>2002</v>
      </c>
      <c r="E3211" s="35" t="str">
        <f t="shared" si="760"/>
        <v>PSDP'!</v>
      </c>
      <c r="F3211" s="34" t="str">
        <f t="shared" si="761"/>
        <v>C:\Users\jaime.benazar\Quorum Business Solutions\Ecopetrol Prometeo - Documents\Planning Space Implementation\3. Analysis &amp; Design\Design\FC22\DRR Jaime\Neiva CPI\[DINA TERCIARIOS_CF_SEC_New_27-Mar-2024.xlsx]D-PSDP'!</v>
      </c>
      <c r="G3211" s="32" t="s">
        <v>123</v>
      </c>
      <c r="H3211" s="33"/>
      <c r="I3211" s="33"/>
      <c r="J3211" s="37"/>
    </row>
    <row r="3212" spans="1:10" x14ac:dyDescent="0.3">
      <c r="A3212" s="32" t="s">
        <v>21</v>
      </c>
      <c r="B3212" s="32">
        <f>+B3211+1</f>
        <v>2041</v>
      </c>
      <c r="C3212" s="33" t="s">
        <v>110</v>
      </c>
      <c r="D3212" s="34" t="s">
        <v>2002</v>
      </c>
      <c r="E3212" s="35" t="str">
        <f t="shared" si="760"/>
        <v>PSDP'!</v>
      </c>
      <c r="F3212" s="34" t="str">
        <f t="shared" si="761"/>
        <v>C:\Users\jaime.benazar\Quorum Business Solutions\Ecopetrol Prometeo - Documents\Planning Space Implementation\3. Analysis &amp; Design\Design\FC22\DRR Jaime\Neiva CPI\[DINA TERCIARIOS_CF_SEC_New_27-Mar-2024.xlsx]D-PSDP'!</v>
      </c>
      <c r="G3212" s="32" t="s">
        <v>123</v>
      </c>
      <c r="H3212" s="33"/>
      <c r="I3212" s="33"/>
      <c r="J3212" s="37"/>
    </row>
    <row r="3213" spans="1:10" x14ac:dyDescent="0.3">
      <c r="A3213" s="32" t="s">
        <v>21</v>
      </c>
      <c r="B3213" s="32">
        <f t="shared" ref="B3213:B3214" si="764">+B3212+1</f>
        <v>2042</v>
      </c>
      <c r="C3213" s="33" t="s">
        <v>110</v>
      </c>
      <c r="D3213" s="34" t="s">
        <v>2002</v>
      </c>
      <c r="E3213" s="35" t="str">
        <f t="shared" si="760"/>
        <v>PSDP'!</v>
      </c>
      <c r="F3213" s="34" t="str">
        <f t="shared" si="761"/>
        <v>C:\Users\jaime.benazar\Quorum Business Solutions\Ecopetrol Prometeo - Documents\Planning Space Implementation\3. Analysis &amp; Design\Design\FC22\DRR Jaime\Neiva CPI\[DINA TERCIARIOS_CF_SEC_New_27-Mar-2024.xlsx]D-PSDP'!</v>
      </c>
      <c r="G3213" s="32" t="s">
        <v>123</v>
      </c>
      <c r="H3213" s="33"/>
      <c r="I3213" s="33"/>
      <c r="J3213" s="37"/>
    </row>
    <row r="3214" spans="1:10" x14ac:dyDescent="0.3">
      <c r="A3214" s="32" t="s">
        <v>21</v>
      </c>
      <c r="B3214" s="32">
        <f t="shared" si="764"/>
        <v>2043</v>
      </c>
      <c r="C3214" s="33" t="s">
        <v>110</v>
      </c>
      <c r="D3214" s="34" t="s">
        <v>2002</v>
      </c>
      <c r="E3214" s="35" t="str">
        <f t="shared" si="760"/>
        <v>PSDP'!</v>
      </c>
      <c r="F3214" s="34" t="str">
        <f t="shared" si="761"/>
        <v>C:\Users\jaime.benazar\Quorum Business Solutions\Ecopetrol Prometeo - Documents\Planning Space Implementation\3. Analysis &amp; Design\Design\FC22\DRR Jaime\Neiva CPI\[DINA TERCIARIOS_CF_SEC_New_27-Mar-2024.xlsx]D-PSDP'!</v>
      </c>
      <c r="G3214" s="32" t="s">
        <v>123</v>
      </c>
      <c r="H3214" s="33"/>
      <c r="I3214" s="33"/>
      <c r="J3214" s="37"/>
    </row>
    <row r="3215" spans="1:10" x14ac:dyDescent="0.3">
      <c r="A3215" s="32" t="s">
        <v>21</v>
      </c>
      <c r="B3215" s="32">
        <f>+B3214+1</f>
        <v>2044</v>
      </c>
      <c r="C3215" s="33" t="s">
        <v>110</v>
      </c>
      <c r="D3215" s="34" t="s">
        <v>2002</v>
      </c>
      <c r="E3215" s="35" t="str">
        <f t="shared" ref="E3215:E3230" si="765">_xlfn.CONCAT(A3215,"'!")</f>
        <v>PSDP'!</v>
      </c>
      <c r="F3215" s="34" t="str">
        <f t="shared" ref="F3215:F3230" si="766">_xlfn.CONCAT(D3215:E3215)</f>
        <v>C:\Users\jaime.benazar\Quorum Business Solutions\Ecopetrol Prometeo - Documents\Planning Space Implementation\3. Analysis &amp; Design\Design\FC22\DRR Jaime\Neiva CPI\[DINA TERCIARIOS_CF_SEC_New_27-Mar-2024.xlsx]D-PSDP'!</v>
      </c>
      <c r="G3215" s="32" t="s">
        <v>123</v>
      </c>
      <c r="H3215" s="33"/>
      <c r="I3215" s="33"/>
      <c r="J3215" s="37"/>
    </row>
    <row r="3216" spans="1:10" x14ac:dyDescent="0.3">
      <c r="A3216" s="32" t="s">
        <v>21</v>
      </c>
      <c r="B3216" s="32">
        <f t="shared" ref="B3216:B3230" si="767">+B3215+1</f>
        <v>2045</v>
      </c>
      <c r="C3216" s="33" t="s">
        <v>110</v>
      </c>
      <c r="D3216" s="34" t="s">
        <v>2002</v>
      </c>
      <c r="E3216" s="35" t="str">
        <f t="shared" si="765"/>
        <v>PSDP'!</v>
      </c>
      <c r="F3216" s="34" t="str">
        <f t="shared" si="766"/>
        <v>C:\Users\jaime.benazar\Quorum Business Solutions\Ecopetrol Prometeo - Documents\Planning Space Implementation\3. Analysis &amp; Design\Design\FC22\DRR Jaime\Neiva CPI\[DINA TERCIARIOS_CF_SEC_New_27-Mar-2024.xlsx]D-PSDP'!</v>
      </c>
      <c r="G3216" s="32" t="s">
        <v>123</v>
      </c>
      <c r="H3216" s="33"/>
      <c r="I3216" s="33"/>
      <c r="J3216" s="37"/>
    </row>
    <row r="3217" spans="1:10" x14ac:dyDescent="0.3">
      <c r="A3217" s="32" t="s">
        <v>21</v>
      </c>
      <c r="B3217" s="32">
        <f t="shared" si="767"/>
        <v>2046</v>
      </c>
      <c r="C3217" s="33" t="s">
        <v>110</v>
      </c>
      <c r="D3217" s="34" t="s">
        <v>2002</v>
      </c>
      <c r="E3217" s="35" t="str">
        <f t="shared" si="765"/>
        <v>PSDP'!</v>
      </c>
      <c r="F3217" s="34" t="str">
        <f t="shared" si="766"/>
        <v>C:\Users\jaime.benazar\Quorum Business Solutions\Ecopetrol Prometeo - Documents\Planning Space Implementation\3. Analysis &amp; Design\Design\FC22\DRR Jaime\Neiva CPI\[DINA TERCIARIOS_CF_SEC_New_27-Mar-2024.xlsx]D-PSDP'!</v>
      </c>
      <c r="G3217" s="32" t="s">
        <v>123</v>
      </c>
      <c r="H3217" s="33"/>
      <c r="I3217" s="33"/>
      <c r="J3217" s="37"/>
    </row>
    <row r="3218" spans="1:10" x14ac:dyDescent="0.3">
      <c r="A3218" s="32" t="s">
        <v>21</v>
      </c>
      <c r="B3218" s="32">
        <f t="shared" si="767"/>
        <v>2047</v>
      </c>
      <c r="C3218" s="33" t="s">
        <v>110</v>
      </c>
      <c r="D3218" s="34" t="s">
        <v>2002</v>
      </c>
      <c r="E3218" s="35" t="str">
        <f t="shared" si="765"/>
        <v>PSDP'!</v>
      </c>
      <c r="F3218" s="34" t="str">
        <f t="shared" si="766"/>
        <v>C:\Users\jaime.benazar\Quorum Business Solutions\Ecopetrol Prometeo - Documents\Planning Space Implementation\3. Analysis &amp; Design\Design\FC22\DRR Jaime\Neiva CPI\[DINA TERCIARIOS_CF_SEC_New_27-Mar-2024.xlsx]D-PSDP'!</v>
      </c>
      <c r="G3218" s="32" t="s">
        <v>123</v>
      </c>
      <c r="H3218" s="33"/>
      <c r="I3218" s="33"/>
      <c r="J3218" s="37"/>
    </row>
    <row r="3219" spans="1:10" x14ac:dyDescent="0.3">
      <c r="A3219" s="32" t="s">
        <v>21</v>
      </c>
      <c r="B3219" s="32">
        <f t="shared" si="767"/>
        <v>2048</v>
      </c>
      <c r="C3219" s="33" t="s">
        <v>110</v>
      </c>
      <c r="D3219" s="34" t="s">
        <v>2002</v>
      </c>
      <c r="E3219" s="35" t="str">
        <f t="shared" si="765"/>
        <v>PSDP'!</v>
      </c>
      <c r="F3219" s="34" t="str">
        <f t="shared" si="766"/>
        <v>C:\Users\jaime.benazar\Quorum Business Solutions\Ecopetrol Prometeo - Documents\Planning Space Implementation\3. Analysis &amp; Design\Design\FC22\DRR Jaime\Neiva CPI\[DINA TERCIARIOS_CF_SEC_New_27-Mar-2024.xlsx]D-PSDP'!</v>
      </c>
      <c r="G3219" s="32" t="s">
        <v>123</v>
      </c>
      <c r="H3219" s="33"/>
      <c r="I3219" s="33"/>
      <c r="J3219" s="37"/>
    </row>
    <row r="3220" spans="1:10" x14ac:dyDescent="0.3">
      <c r="A3220" s="32" t="s">
        <v>21</v>
      </c>
      <c r="B3220" s="32">
        <f t="shared" si="767"/>
        <v>2049</v>
      </c>
      <c r="C3220" s="33" t="s">
        <v>110</v>
      </c>
      <c r="D3220" s="34" t="s">
        <v>2002</v>
      </c>
      <c r="E3220" s="35" t="str">
        <f t="shared" si="765"/>
        <v>PSDP'!</v>
      </c>
      <c r="F3220" s="34" t="str">
        <f t="shared" si="766"/>
        <v>C:\Users\jaime.benazar\Quorum Business Solutions\Ecopetrol Prometeo - Documents\Planning Space Implementation\3. Analysis &amp; Design\Design\FC22\DRR Jaime\Neiva CPI\[DINA TERCIARIOS_CF_SEC_New_27-Mar-2024.xlsx]D-PSDP'!</v>
      </c>
      <c r="G3220" s="32" t="s">
        <v>123</v>
      </c>
      <c r="H3220" s="33"/>
      <c r="I3220" s="33"/>
      <c r="J3220" s="37"/>
    </row>
    <row r="3221" spans="1:10" x14ac:dyDescent="0.3">
      <c r="A3221" s="32" t="s">
        <v>21</v>
      </c>
      <c r="B3221" s="32">
        <f t="shared" si="767"/>
        <v>2050</v>
      </c>
      <c r="C3221" s="33" t="s">
        <v>110</v>
      </c>
      <c r="D3221" s="34" t="s">
        <v>2002</v>
      </c>
      <c r="E3221" s="35" t="str">
        <f t="shared" si="765"/>
        <v>PSDP'!</v>
      </c>
      <c r="F3221" s="34" t="str">
        <f t="shared" si="766"/>
        <v>C:\Users\jaime.benazar\Quorum Business Solutions\Ecopetrol Prometeo - Documents\Planning Space Implementation\3. Analysis &amp; Design\Design\FC22\DRR Jaime\Neiva CPI\[DINA TERCIARIOS_CF_SEC_New_27-Mar-2024.xlsx]D-PSDP'!</v>
      </c>
      <c r="G3221" s="32" t="s">
        <v>123</v>
      </c>
      <c r="H3221" s="33"/>
      <c r="I3221" s="33"/>
      <c r="J3221" s="37"/>
    </row>
    <row r="3222" spans="1:10" x14ac:dyDescent="0.3">
      <c r="A3222" s="32" t="s">
        <v>21</v>
      </c>
      <c r="B3222" s="32">
        <f t="shared" si="767"/>
        <v>2051</v>
      </c>
      <c r="C3222" s="33" t="s">
        <v>110</v>
      </c>
      <c r="D3222" s="34" t="s">
        <v>2002</v>
      </c>
      <c r="E3222" s="35" t="str">
        <f t="shared" si="765"/>
        <v>PSDP'!</v>
      </c>
      <c r="F3222" s="34" t="str">
        <f t="shared" si="766"/>
        <v>C:\Users\jaime.benazar\Quorum Business Solutions\Ecopetrol Prometeo - Documents\Planning Space Implementation\3. Analysis &amp; Design\Design\FC22\DRR Jaime\Neiva CPI\[DINA TERCIARIOS_CF_SEC_New_27-Mar-2024.xlsx]D-PSDP'!</v>
      </c>
      <c r="G3222" s="32" t="s">
        <v>123</v>
      </c>
      <c r="H3222" s="33"/>
      <c r="I3222" s="33"/>
      <c r="J3222" s="37"/>
    </row>
    <row r="3223" spans="1:10" x14ac:dyDescent="0.3">
      <c r="A3223" s="32" t="s">
        <v>21</v>
      </c>
      <c r="B3223" s="32">
        <f t="shared" si="767"/>
        <v>2052</v>
      </c>
      <c r="C3223" s="33" t="s">
        <v>110</v>
      </c>
      <c r="D3223" s="34" t="s">
        <v>2002</v>
      </c>
      <c r="E3223" s="35" t="str">
        <f t="shared" si="765"/>
        <v>PSDP'!</v>
      </c>
      <c r="F3223" s="34" t="str">
        <f t="shared" si="766"/>
        <v>C:\Users\jaime.benazar\Quorum Business Solutions\Ecopetrol Prometeo - Documents\Planning Space Implementation\3. Analysis &amp; Design\Design\FC22\DRR Jaime\Neiva CPI\[DINA TERCIARIOS_CF_SEC_New_27-Mar-2024.xlsx]D-PSDP'!</v>
      </c>
      <c r="G3223" s="32" t="s">
        <v>123</v>
      </c>
      <c r="H3223" s="33"/>
      <c r="I3223" s="33"/>
      <c r="J3223" s="37"/>
    </row>
    <row r="3224" spans="1:10" x14ac:dyDescent="0.3">
      <c r="A3224" s="32" t="s">
        <v>21</v>
      </c>
      <c r="B3224" s="32">
        <f t="shared" si="767"/>
        <v>2053</v>
      </c>
      <c r="C3224" s="33" t="s">
        <v>110</v>
      </c>
      <c r="D3224" s="34" t="s">
        <v>2002</v>
      </c>
      <c r="E3224" s="35" t="str">
        <f t="shared" si="765"/>
        <v>PSDP'!</v>
      </c>
      <c r="F3224" s="34" t="str">
        <f t="shared" si="766"/>
        <v>C:\Users\jaime.benazar\Quorum Business Solutions\Ecopetrol Prometeo - Documents\Planning Space Implementation\3. Analysis &amp; Design\Design\FC22\DRR Jaime\Neiva CPI\[DINA TERCIARIOS_CF_SEC_New_27-Mar-2024.xlsx]D-PSDP'!</v>
      </c>
      <c r="G3224" s="32" t="s">
        <v>123</v>
      </c>
      <c r="H3224" s="33"/>
      <c r="I3224" s="33"/>
      <c r="J3224" s="37"/>
    </row>
    <row r="3225" spans="1:10" x14ac:dyDescent="0.3">
      <c r="A3225" s="32" t="s">
        <v>21</v>
      </c>
      <c r="B3225" s="32">
        <f t="shared" si="767"/>
        <v>2054</v>
      </c>
      <c r="C3225" s="33" t="s">
        <v>110</v>
      </c>
      <c r="D3225" s="34" t="s">
        <v>2002</v>
      </c>
      <c r="E3225" s="35" t="str">
        <f t="shared" si="765"/>
        <v>PSDP'!</v>
      </c>
      <c r="F3225" s="34" t="str">
        <f t="shared" si="766"/>
        <v>C:\Users\jaime.benazar\Quorum Business Solutions\Ecopetrol Prometeo - Documents\Planning Space Implementation\3. Analysis &amp; Design\Design\FC22\DRR Jaime\Neiva CPI\[DINA TERCIARIOS_CF_SEC_New_27-Mar-2024.xlsx]D-PSDP'!</v>
      </c>
      <c r="G3225" s="32" t="s">
        <v>123</v>
      </c>
      <c r="H3225" s="33"/>
      <c r="I3225" s="33"/>
      <c r="J3225" s="37"/>
    </row>
    <row r="3226" spans="1:10" x14ac:dyDescent="0.3">
      <c r="A3226" s="32" t="s">
        <v>21</v>
      </c>
      <c r="B3226" s="32">
        <f t="shared" si="767"/>
        <v>2055</v>
      </c>
      <c r="C3226" s="33" t="s">
        <v>110</v>
      </c>
      <c r="D3226" s="34" t="s">
        <v>2002</v>
      </c>
      <c r="E3226" s="35" t="str">
        <f t="shared" si="765"/>
        <v>PSDP'!</v>
      </c>
      <c r="F3226" s="34" t="str">
        <f t="shared" si="766"/>
        <v>C:\Users\jaime.benazar\Quorum Business Solutions\Ecopetrol Prometeo - Documents\Planning Space Implementation\3. Analysis &amp; Design\Design\FC22\DRR Jaime\Neiva CPI\[DINA TERCIARIOS_CF_SEC_New_27-Mar-2024.xlsx]D-PSDP'!</v>
      </c>
      <c r="G3226" s="32" t="s">
        <v>123</v>
      </c>
      <c r="H3226" s="33"/>
      <c r="I3226" s="33"/>
      <c r="J3226" s="37"/>
    </row>
    <row r="3227" spans="1:10" x14ac:dyDescent="0.3">
      <c r="A3227" s="32" t="s">
        <v>21</v>
      </c>
      <c r="B3227" s="32">
        <f t="shared" si="767"/>
        <v>2056</v>
      </c>
      <c r="C3227" s="33" t="s">
        <v>110</v>
      </c>
      <c r="D3227" s="34" t="s">
        <v>2002</v>
      </c>
      <c r="E3227" s="35" t="str">
        <f t="shared" si="765"/>
        <v>PSDP'!</v>
      </c>
      <c r="F3227" s="34" t="str">
        <f t="shared" si="766"/>
        <v>C:\Users\jaime.benazar\Quorum Business Solutions\Ecopetrol Prometeo - Documents\Planning Space Implementation\3. Analysis &amp; Design\Design\FC22\DRR Jaime\Neiva CPI\[DINA TERCIARIOS_CF_SEC_New_27-Mar-2024.xlsx]D-PSDP'!</v>
      </c>
      <c r="G3227" s="32" t="s">
        <v>123</v>
      </c>
      <c r="H3227" s="33"/>
      <c r="I3227" s="33"/>
      <c r="J3227" s="37"/>
    </row>
    <row r="3228" spans="1:10" x14ac:dyDescent="0.3">
      <c r="A3228" s="32" t="s">
        <v>21</v>
      </c>
      <c r="B3228" s="32">
        <f t="shared" si="767"/>
        <v>2057</v>
      </c>
      <c r="C3228" s="33" t="s">
        <v>110</v>
      </c>
      <c r="D3228" s="34" t="s">
        <v>2002</v>
      </c>
      <c r="E3228" s="35" t="str">
        <f t="shared" si="765"/>
        <v>PSDP'!</v>
      </c>
      <c r="F3228" s="34" t="str">
        <f t="shared" si="766"/>
        <v>C:\Users\jaime.benazar\Quorum Business Solutions\Ecopetrol Prometeo - Documents\Planning Space Implementation\3. Analysis &amp; Design\Design\FC22\DRR Jaime\Neiva CPI\[DINA TERCIARIOS_CF_SEC_New_27-Mar-2024.xlsx]D-PSDP'!</v>
      </c>
      <c r="G3228" s="32" t="s">
        <v>123</v>
      </c>
      <c r="H3228" s="33"/>
      <c r="I3228" s="33"/>
      <c r="J3228" s="37"/>
    </row>
    <row r="3229" spans="1:10" x14ac:dyDescent="0.3">
      <c r="A3229" s="32" t="s">
        <v>21</v>
      </c>
      <c r="B3229" s="32">
        <f t="shared" si="767"/>
        <v>2058</v>
      </c>
      <c r="C3229" s="33" t="s">
        <v>110</v>
      </c>
      <c r="D3229" s="34" t="s">
        <v>2002</v>
      </c>
      <c r="E3229" s="35" t="str">
        <f t="shared" si="765"/>
        <v>PSDP'!</v>
      </c>
      <c r="F3229" s="34" t="str">
        <f t="shared" si="766"/>
        <v>C:\Users\jaime.benazar\Quorum Business Solutions\Ecopetrol Prometeo - Documents\Planning Space Implementation\3. Analysis &amp; Design\Design\FC22\DRR Jaime\Neiva CPI\[DINA TERCIARIOS_CF_SEC_New_27-Mar-2024.xlsx]D-PSDP'!</v>
      </c>
      <c r="G3229" s="32" t="s">
        <v>123</v>
      </c>
      <c r="H3229" s="33"/>
      <c r="I3229" s="33"/>
      <c r="J3229" s="37"/>
    </row>
    <row r="3230" spans="1:10" x14ac:dyDescent="0.3">
      <c r="A3230" s="32" t="s">
        <v>21</v>
      </c>
      <c r="B3230" s="32">
        <f t="shared" si="767"/>
        <v>2059</v>
      </c>
      <c r="C3230" s="33" t="s">
        <v>110</v>
      </c>
      <c r="D3230" s="34" t="s">
        <v>2002</v>
      </c>
      <c r="E3230" s="35" t="str">
        <f t="shared" si="765"/>
        <v>PSDP'!</v>
      </c>
      <c r="F3230" s="34" t="str">
        <f t="shared" si="766"/>
        <v>C:\Users\jaime.benazar\Quorum Business Solutions\Ecopetrol Prometeo - Documents\Planning Space Implementation\3. Analysis &amp; Design\Design\FC22\DRR Jaime\Neiva CPI\[DINA TERCIARIOS_CF_SEC_New_27-Mar-2024.xlsx]D-PSDP'!</v>
      </c>
      <c r="G3230" s="32" t="s">
        <v>123</v>
      </c>
      <c r="H3230" s="33"/>
      <c r="I3230" s="33"/>
      <c r="J3230" s="37"/>
    </row>
    <row r="3231" spans="1:10" x14ac:dyDescent="0.3">
      <c r="A3231" s="32" t="s">
        <v>26</v>
      </c>
      <c r="B3231" s="32"/>
      <c r="C3231" s="33" t="s">
        <v>110</v>
      </c>
      <c r="D3231" s="34"/>
      <c r="E3231" s="32" t="str">
        <f t="shared" si="760"/>
        <v>Total'!</v>
      </c>
      <c r="F3231" s="33"/>
      <c r="G3231" s="32"/>
      <c r="H3231" s="33"/>
      <c r="I3231" s="33"/>
      <c r="J3231" s="33"/>
    </row>
    <row r="3232" spans="1:10" x14ac:dyDescent="0.3">
      <c r="A3232" s="32" t="s">
        <v>22</v>
      </c>
      <c r="B3232" s="32">
        <v>2023</v>
      </c>
      <c r="C3232" s="33" t="s">
        <v>110</v>
      </c>
      <c r="D3232" s="34" t="s">
        <v>2002</v>
      </c>
      <c r="E3232" s="35" t="str">
        <f t="shared" si="760"/>
        <v>PSNP'!</v>
      </c>
      <c r="F3232" s="34" t="str">
        <f t="shared" ref="F3232:F3252" si="768">_xlfn.CONCAT(D3232:E3232)</f>
        <v>C:\Users\jaime.benazar\Quorum Business Solutions\Ecopetrol Prometeo - Documents\Planning Space Implementation\3. Analysis &amp; Design\Design\FC22\DRR Jaime\Neiva CPI\[DINA TERCIARIOS_CF_SEC_New_27-Mar-2024.xlsx]D-PSNP'!</v>
      </c>
      <c r="G3232" s="32" t="s">
        <v>123</v>
      </c>
      <c r="H3232" s="33"/>
      <c r="I3232" s="33"/>
      <c r="J3232" s="37"/>
    </row>
    <row r="3233" spans="1:10" x14ac:dyDescent="0.3">
      <c r="A3233" s="32" t="s">
        <v>22</v>
      </c>
      <c r="B3233" s="32">
        <f>+B3232+1</f>
        <v>2024</v>
      </c>
      <c r="C3233" s="33" t="s">
        <v>110</v>
      </c>
      <c r="D3233" s="34" t="s">
        <v>2002</v>
      </c>
      <c r="E3233" s="35" t="str">
        <f t="shared" si="760"/>
        <v>PSNP'!</v>
      </c>
      <c r="F3233" s="34" t="str">
        <f t="shared" si="768"/>
        <v>C:\Users\jaime.benazar\Quorum Business Solutions\Ecopetrol Prometeo - Documents\Planning Space Implementation\3. Analysis &amp; Design\Design\FC22\DRR Jaime\Neiva CPI\[DINA TERCIARIOS_CF_SEC_New_27-Mar-2024.xlsx]D-PSNP'!</v>
      </c>
      <c r="G3233" s="32" t="s">
        <v>123</v>
      </c>
      <c r="H3233" s="33"/>
      <c r="I3233" s="33"/>
      <c r="J3233" s="37"/>
    </row>
    <row r="3234" spans="1:10" x14ac:dyDescent="0.3">
      <c r="A3234" s="32" t="s">
        <v>22</v>
      </c>
      <c r="B3234" s="32">
        <f t="shared" ref="B3234:B3245" si="769">+B3233+1</f>
        <v>2025</v>
      </c>
      <c r="C3234" s="33" t="s">
        <v>110</v>
      </c>
      <c r="D3234" s="34" t="s">
        <v>2002</v>
      </c>
      <c r="E3234" s="35" t="str">
        <f t="shared" si="760"/>
        <v>PSNP'!</v>
      </c>
      <c r="F3234" s="34" t="str">
        <f t="shared" si="768"/>
        <v>C:\Users\jaime.benazar\Quorum Business Solutions\Ecopetrol Prometeo - Documents\Planning Space Implementation\3. Analysis &amp; Design\Design\FC22\DRR Jaime\Neiva CPI\[DINA TERCIARIOS_CF_SEC_New_27-Mar-2024.xlsx]D-PSNP'!</v>
      </c>
      <c r="G3234" s="32" t="s">
        <v>123</v>
      </c>
      <c r="H3234" s="33"/>
      <c r="I3234" s="33"/>
      <c r="J3234" s="37"/>
    </row>
    <row r="3235" spans="1:10" x14ac:dyDescent="0.3">
      <c r="A3235" s="32" t="s">
        <v>22</v>
      </c>
      <c r="B3235" s="32">
        <f t="shared" si="769"/>
        <v>2026</v>
      </c>
      <c r="C3235" s="33" t="s">
        <v>110</v>
      </c>
      <c r="D3235" s="34" t="s">
        <v>2002</v>
      </c>
      <c r="E3235" s="35" t="str">
        <f t="shared" si="760"/>
        <v>PSNP'!</v>
      </c>
      <c r="F3235" s="34" t="str">
        <f t="shared" si="768"/>
        <v>C:\Users\jaime.benazar\Quorum Business Solutions\Ecopetrol Prometeo - Documents\Planning Space Implementation\3. Analysis &amp; Design\Design\FC22\DRR Jaime\Neiva CPI\[DINA TERCIARIOS_CF_SEC_New_27-Mar-2024.xlsx]D-PSNP'!</v>
      </c>
      <c r="G3235" s="32" t="s">
        <v>123</v>
      </c>
      <c r="H3235" s="33"/>
      <c r="I3235" s="33"/>
      <c r="J3235" s="37"/>
    </row>
    <row r="3236" spans="1:10" x14ac:dyDescent="0.3">
      <c r="A3236" s="32" t="s">
        <v>22</v>
      </c>
      <c r="B3236" s="32">
        <f t="shared" si="769"/>
        <v>2027</v>
      </c>
      <c r="C3236" s="33" t="s">
        <v>110</v>
      </c>
      <c r="D3236" s="34" t="s">
        <v>2002</v>
      </c>
      <c r="E3236" s="35" t="str">
        <f t="shared" si="760"/>
        <v>PSNP'!</v>
      </c>
      <c r="F3236" s="34" t="str">
        <f t="shared" si="768"/>
        <v>C:\Users\jaime.benazar\Quorum Business Solutions\Ecopetrol Prometeo - Documents\Planning Space Implementation\3. Analysis &amp; Design\Design\FC22\DRR Jaime\Neiva CPI\[DINA TERCIARIOS_CF_SEC_New_27-Mar-2024.xlsx]D-PSNP'!</v>
      </c>
      <c r="G3236" s="32" t="s">
        <v>123</v>
      </c>
      <c r="H3236" s="33"/>
      <c r="I3236" s="33"/>
      <c r="J3236" s="37"/>
    </row>
    <row r="3237" spans="1:10" x14ac:dyDescent="0.3">
      <c r="A3237" s="32" t="s">
        <v>22</v>
      </c>
      <c r="B3237" s="32">
        <f t="shared" si="769"/>
        <v>2028</v>
      </c>
      <c r="C3237" s="33" t="s">
        <v>110</v>
      </c>
      <c r="D3237" s="34" t="s">
        <v>2002</v>
      </c>
      <c r="E3237" s="35" t="str">
        <f t="shared" si="760"/>
        <v>PSNP'!</v>
      </c>
      <c r="F3237" s="34" t="str">
        <f t="shared" si="768"/>
        <v>C:\Users\jaime.benazar\Quorum Business Solutions\Ecopetrol Prometeo - Documents\Planning Space Implementation\3. Analysis &amp; Design\Design\FC22\DRR Jaime\Neiva CPI\[DINA TERCIARIOS_CF_SEC_New_27-Mar-2024.xlsx]D-PSNP'!</v>
      </c>
      <c r="G3237" s="32" t="s">
        <v>123</v>
      </c>
      <c r="H3237" s="33"/>
      <c r="I3237" s="33"/>
      <c r="J3237" s="37"/>
    </row>
    <row r="3238" spans="1:10" x14ac:dyDescent="0.3">
      <c r="A3238" s="32" t="s">
        <v>22</v>
      </c>
      <c r="B3238" s="32">
        <f t="shared" si="769"/>
        <v>2029</v>
      </c>
      <c r="C3238" s="33" t="s">
        <v>110</v>
      </c>
      <c r="D3238" s="34" t="s">
        <v>2002</v>
      </c>
      <c r="E3238" s="35" t="str">
        <f t="shared" si="760"/>
        <v>PSNP'!</v>
      </c>
      <c r="F3238" s="34" t="str">
        <f t="shared" si="768"/>
        <v>C:\Users\jaime.benazar\Quorum Business Solutions\Ecopetrol Prometeo - Documents\Planning Space Implementation\3. Analysis &amp; Design\Design\FC22\DRR Jaime\Neiva CPI\[DINA TERCIARIOS_CF_SEC_New_27-Mar-2024.xlsx]D-PSNP'!</v>
      </c>
      <c r="G3238" s="32" t="s">
        <v>123</v>
      </c>
      <c r="H3238" s="33"/>
      <c r="I3238" s="33"/>
      <c r="J3238" s="37"/>
    </row>
    <row r="3239" spans="1:10" x14ac:dyDescent="0.3">
      <c r="A3239" s="32" t="s">
        <v>22</v>
      </c>
      <c r="B3239" s="32">
        <f t="shared" si="769"/>
        <v>2030</v>
      </c>
      <c r="C3239" s="33" t="s">
        <v>110</v>
      </c>
      <c r="D3239" s="34" t="s">
        <v>2002</v>
      </c>
      <c r="E3239" s="35" t="str">
        <f t="shared" si="760"/>
        <v>PSNP'!</v>
      </c>
      <c r="F3239" s="34" t="str">
        <f t="shared" si="768"/>
        <v>C:\Users\jaime.benazar\Quorum Business Solutions\Ecopetrol Prometeo - Documents\Planning Space Implementation\3. Analysis &amp; Design\Design\FC22\DRR Jaime\Neiva CPI\[DINA TERCIARIOS_CF_SEC_New_27-Mar-2024.xlsx]D-PSNP'!</v>
      </c>
      <c r="G3239" s="32" t="s">
        <v>123</v>
      </c>
      <c r="H3239" s="33"/>
      <c r="I3239" s="33"/>
      <c r="J3239" s="37"/>
    </row>
    <row r="3240" spans="1:10" x14ac:dyDescent="0.3">
      <c r="A3240" s="32" t="s">
        <v>22</v>
      </c>
      <c r="B3240" s="32">
        <f t="shared" si="769"/>
        <v>2031</v>
      </c>
      <c r="C3240" s="33" t="s">
        <v>110</v>
      </c>
      <c r="D3240" s="34" t="s">
        <v>2002</v>
      </c>
      <c r="E3240" s="35" t="str">
        <f t="shared" si="760"/>
        <v>PSNP'!</v>
      </c>
      <c r="F3240" s="34" t="str">
        <f t="shared" si="768"/>
        <v>C:\Users\jaime.benazar\Quorum Business Solutions\Ecopetrol Prometeo - Documents\Planning Space Implementation\3. Analysis &amp; Design\Design\FC22\DRR Jaime\Neiva CPI\[DINA TERCIARIOS_CF_SEC_New_27-Mar-2024.xlsx]D-PSNP'!</v>
      </c>
      <c r="G3240" s="32" t="s">
        <v>123</v>
      </c>
      <c r="H3240" s="33"/>
      <c r="I3240" s="33"/>
      <c r="J3240" s="37"/>
    </row>
    <row r="3241" spans="1:10" x14ac:dyDescent="0.3">
      <c r="A3241" s="32" t="s">
        <v>22</v>
      </c>
      <c r="B3241" s="32">
        <f t="shared" si="769"/>
        <v>2032</v>
      </c>
      <c r="C3241" s="33" t="s">
        <v>110</v>
      </c>
      <c r="D3241" s="34" t="s">
        <v>2002</v>
      </c>
      <c r="E3241" s="35" t="str">
        <f t="shared" si="760"/>
        <v>PSNP'!</v>
      </c>
      <c r="F3241" s="34" t="str">
        <f t="shared" si="768"/>
        <v>C:\Users\jaime.benazar\Quorum Business Solutions\Ecopetrol Prometeo - Documents\Planning Space Implementation\3. Analysis &amp; Design\Design\FC22\DRR Jaime\Neiva CPI\[DINA TERCIARIOS_CF_SEC_New_27-Mar-2024.xlsx]D-PSNP'!</v>
      </c>
      <c r="G3241" s="32" t="s">
        <v>123</v>
      </c>
      <c r="H3241" s="33"/>
      <c r="I3241" s="33"/>
      <c r="J3241" s="37"/>
    </row>
    <row r="3242" spans="1:10" x14ac:dyDescent="0.3">
      <c r="A3242" s="32" t="s">
        <v>22</v>
      </c>
      <c r="B3242" s="32">
        <f t="shared" si="769"/>
        <v>2033</v>
      </c>
      <c r="C3242" s="33" t="s">
        <v>110</v>
      </c>
      <c r="D3242" s="34" t="s">
        <v>2002</v>
      </c>
      <c r="E3242" s="35" t="str">
        <f t="shared" si="760"/>
        <v>PSNP'!</v>
      </c>
      <c r="F3242" s="34" t="str">
        <f t="shared" si="768"/>
        <v>C:\Users\jaime.benazar\Quorum Business Solutions\Ecopetrol Prometeo - Documents\Planning Space Implementation\3. Analysis &amp; Design\Design\FC22\DRR Jaime\Neiva CPI\[DINA TERCIARIOS_CF_SEC_New_27-Mar-2024.xlsx]D-PSNP'!</v>
      </c>
      <c r="G3242" s="32" t="s">
        <v>123</v>
      </c>
      <c r="H3242" s="33"/>
      <c r="I3242" s="33"/>
      <c r="J3242" s="37"/>
    </row>
    <row r="3243" spans="1:10" x14ac:dyDescent="0.3">
      <c r="A3243" s="32" t="s">
        <v>22</v>
      </c>
      <c r="B3243" s="32">
        <f t="shared" si="769"/>
        <v>2034</v>
      </c>
      <c r="C3243" s="33" t="s">
        <v>110</v>
      </c>
      <c r="D3243" s="34" t="s">
        <v>2002</v>
      </c>
      <c r="E3243" s="35" t="str">
        <f t="shared" si="760"/>
        <v>PSNP'!</v>
      </c>
      <c r="F3243" s="34" t="str">
        <f t="shared" si="768"/>
        <v>C:\Users\jaime.benazar\Quorum Business Solutions\Ecopetrol Prometeo - Documents\Planning Space Implementation\3. Analysis &amp; Design\Design\FC22\DRR Jaime\Neiva CPI\[DINA TERCIARIOS_CF_SEC_New_27-Mar-2024.xlsx]D-PSNP'!</v>
      </c>
      <c r="G3243" s="32" t="s">
        <v>123</v>
      </c>
      <c r="H3243" s="33"/>
      <c r="I3243" s="33"/>
      <c r="J3243" s="37"/>
    </row>
    <row r="3244" spans="1:10" x14ac:dyDescent="0.3">
      <c r="A3244" s="32" t="s">
        <v>22</v>
      </c>
      <c r="B3244" s="32">
        <f t="shared" si="769"/>
        <v>2035</v>
      </c>
      <c r="C3244" s="33" t="s">
        <v>110</v>
      </c>
      <c r="D3244" s="34" t="s">
        <v>2002</v>
      </c>
      <c r="E3244" s="35" t="str">
        <f t="shared" si="760"/>
        <v>PSNP'!</v>
      </c>
      <c r="F3244" s="34" t="str">
        <f t="shared" si="768"/>
        <v>C:\Users\jaime.benazar\Quorum Business Solutions\Ecopetrol Prometeo - Documents\Planning Space Implementation\3. Analysis &amp; Design\Design\FC22\DRR Jaime\Neiva CPI\[DINA TERCIARIOS_CF_SEC_New_27-Mar-2024.xlsx]D-PSNP'!</v>
      </c>
      <c r="G3244" s="32" t="s">
        <v>123</v>
      </c>
      <c r="H3244" s="33"/>
      <c r="I3244" s="33"/>
      <c r="J3244" s="37"/>
    </row>
    <row r="3245" spans="1:10" x14ac:dyDescent="0.3">
      <c r="A3245" s="32" t="s">
        <v>22</v>
      </c>
      <c r="B3245" s="32">
        <f t="shared" si="769"/>
        <v>2036</v>
      </c>
      <c r="C3245" s="33" t="s">
        <v>110</v>
      </c>
      <c r="D3245" s="34" t="s">
        <v>2002</v>
      </c>
      <c r="E3245" s="35" t="str">
        <f t="shared" si="760"/>
        <v>PSNP'!</v>
      </c>
      <c r="F3245" s="34" t="str">
        <f t="shared" si="768"/>
        <v>C:\Users\jaime.benazar\Quorum Business Solutions\Ecopetrol Prometeo - Documents\Planning Space Implementation\3. Analysis &amp; Design\Design\FC22\DRR Jaime\Neiva CPI\[DINA TERCIARIOS_CF_SEC_New_27-Mar-2024.xlsx]D-PSNP'!</v>
      </c>
      <c r="G3245" s="32" t="s">
        <v>123</v>
      </c>
      <c r="H3245" s="33"/>
      <c r="I3245" s="33"/>
      <c r="J3245" s="37"/>
    </row>
    <row r="3246" spans="1:10" x14ac:dyDescent="0.3">
      <c r="A3246" s="32" t="s">
        <v>22</v>
      </c>
      <c r="B3246" s="32">
        <f>+B3245+1</f>
        <v>2037</v>
      </c>
      <c r="C3246" s="33" t="s">
        <v>110</v>
      </c>
      <c r="D3246" s="34" t="s">
        <v>2002</v>
      </c>
      <c r="E3246" s="35" t="str">
        <f t="shared" si="760"/>
        <v>PSNP'!</v>
      </c>
      <c r="F3246" s="34" t="str">
        <f t="shared" si="768"/>
        <v>C:\Users\jaime.benazar\Quorum Business Solutions\Ecopetrol Prometeo - Documents\Planning Space Implementation\3. Analysis &amp; Design\Design\FC22\DRR Jaime\Neiva CPI\[DINA TERCIARIOS_CF_SEC_New_27-Mar-2024.xlsx]D-PSNP'!</v>
      </c>
      <c r="G3246" s="32" t="s">
        <v>123</v>
      </c>
      <c r="H3246" s="33"/>
      <c r="I3246" s="33"/>
      <c r="J3246" s="37"/>
    </row>
    <row r="3247" spans="1:10" x14ac:dyDescent="0.3">
      <c r="A3247" s="32" t="s">
        <v>22</v>
      </c>
      <c r="B3247" s="32">
        <f t="shared" ref="B3247:B3249" si="770">+B3246+1</f>
        <v>2038</v>
      </c>
      <c r="C3247" s="33" t="s">
        <v>110</v>
      </c>
      <c r="D3247" s="34" t="s">
        <v>2002</v>
      </c>
      <c r="E3247" s="35" t="str">
        <f t="shared" si="760"/>
        <v>PSNP'!</v>
      </c>
      <c r="F3247" s="34" t="str">
        <f t="shared" si="768"/>
        <v>C:\Users\jaime.benazar\Quorum Business Solutions\Ecopetrol Prometeo - Documents\Planning Space Implementation\3. Analysis &amp; Design\Design\FC22\DRR Jaime\Neiva CPI\[DINA TERCIARIOS_CF_SEC_New_27-Mar-2024.xlsx]D-PSNP'!</v>
      </c>
      <c r="G3247" s="32" t="s">
        <v>123</v>
      </c>
      <c r="H3247" s="33"/>
      <c r="I3247" s="33"/>
      <c r="J3247" s="37"/>
    </row>
    <row r="3248" spans="1:10" x14ac:dyDescent="0.3">
      <c r="A3248" s="32" t="s">
        <v>22</v>
      </c>
      <c r="B3248" s="32">
        <f t="shared" si="770"/>
        <v>2039</v>
      </c>
      <c r="C3248" s="33" t="s">
        <v>110</v>
      </c>
      <c r="D3248" s="34" t="s">
        <v>2002</v>
      </c>
      <c r="E3248" s="35" t="str">
        <f t="shared" si="760"/>
        <v>PSNP'!</v>
      </c>
      <c r="F3248" s="34" t="str">
        <f t="shared" si="768"/>
        <v>C:\Users\jaime.benazar\Quorum Business Solutions\Ecopetrol Prometeo - Documents\Planning Space Implementation\3. Analysis &amp; Design\Design\FC22\DRR Jaime\Neiva CPI\[DINA TERCIARIOS_CF_SEC_New_27-Mar-2024.xlsx]D-PSNP'!</v>
      </c>
      <c r="G3248" s="32" t="s">
        <v>123</v>
      </c>
      <c r="H3248" s="33"/>
      <c r="I3248" s="33"/>
      <c r="J3248" s="37"/>
    </row>
    <row r="3249" spans="1:10" x14ac:dyDescent="0.3">
      <c r="A3249" s="32" t="s">
        <v>22</v>
      </c>
      <c r="B3249" s="32">
        <f t="shared" si="770"/>
        <v>2040</v>
      </c>
      <c r="C3249" s="33" t="s">
        <v>110</v>
      </c>
      <c r="D3249" s="34" t="s">
        <v>2002</v>
      </c>
      <c r="E3249" s="35" t="str">
        <f t="shared" si="760"/>
        <v>PSNP'!</v>
      </c>
      <c r="F3249" s="34" t="str">
        <f t="shared" si="768"/>
        <v>C:\Users\jaime.benazar\Quorum Business Solutions\Ecopetrol Prometeo - Documents\Planning Space Implementation\3. Analysis &amp; Design\Design\FC22\DRR Jaime\Neiva CPI\[DINA TERCIARIOS_CF_SEC_New_27-Mar-2024.xlsx]D-PSNP'!</v>
      </c>
      <c r="G3249" s="32" t="s">
        <v>123</v>
      </c>
      <c r="H3249" s="33"/>
      <c r="I3249" s="33"/>
      <c r="J3249" s="37"/>
    </row>
    <row r="3250" spans="1:10" x14ac:dyDescent="0.3">
      <c r="A3250" s="32" t="s">
        <v>22</v>
      </c>
      <c r="B3250" s="32">
        <f>+B3249+1</f>
        <v>2041</v>
      </c>
      <c r="C3250" s="33" t="s">
        <v>110</v>
      </c>
      <c r="D3250" s="34" t="s">
        <v>2002</v>
      </c>
      <c r="E3250" s="35" t="str">
        <f t="shared" si="760"/>
        <v>PSNP'!</v>
      </c>
      <c r="F3250" s="34" t="str">
        <f t="shared" si="768"/>
        <v>C:\Users\jaime.benazar\Quorum Business Solutions\Ecopetrol Prometeo - Documents\Planning Space Implementation\3. Analysis &amp; Design\Design\FC22\DRR Jaime\Neiva CPI\[DINA TERCIARIOS_CF_SEC_New_27-Mar-2024.xlsx]D-PSNP'!</v>
      </c>
      <c r="G3250" s="32" t="s">
        <v>123</v>
      </c>
      <c r="H3250" s="33"/>
      <c r="I3250" s="33"/>
      <c r="J3250" s="37"/>
    </row>
    <row r="3251" spans="1:10" x14ac:dyDescent="0.3">
      <c r="A3251" s="32" t="s">
        <v>22</v>
      </c>
      <c r="B3251" s="32">
        <f t="shared" ref="B3251:B3252" si="771">+B3250+1</f>
        <v>2042</v>
      </c>
      <c r="C3251" s="33" t="s">
        <v>110</v>
      </c>
      <c r="D3251" s="34" t="s">
        <v>2002</v>
      </c>
      <c r="E3251" s="35" t="str">
        <f t="shared" si="760"/>
        <v>PSNP'!</v>
      </c>
      <c r="F3251" s="34" t="str">
        <f t="shared" si="768"/>
        <v>C:\Users\jaime.benazar\Quorum Business Solutions\Ecopetrol Prometeo - Documents\Planning Space Implementation\3. Analysis &amp; Design\Design\FC22\DRR Jaime\Neiva CPI\[DINA TERCIARIOS_CF_SEC_New_27-Mar-2024.xlsx]D-PSNP'!</v>
      </c>
      <c r="G3251" s="32" t="s">
        <v>123</v>
      </c>
      <c r="H3251" s="33"/>
      <c r="I3251" s="33"/>
      <c r="J3251" s="37"/>
    </row>
    <row r="3252" spans="1:10" x14ac:dyDescent="0.3">
      <c r="A3252" s="32" t="s">
        <v>22</v>
      </c>
      <c r="B3252" s="32">
        <f t="shared" si="771"/>
        <v>2043</v>
      </c>
      <c r="C3252" s="33" t="s">
        <v>110</v>
      </c>
      <c r="D3252" s="34" t="s">
        <v>2002</v>
      </c>
      <c r="E3252" s="35" t="str">
        <f t="shared" si="760"/>
        <v>PSNP'!</v>
      </c>
      <c r="F3252" s="34" t="str">
        <f t="shared" si="768"/>
        <v>C:\Users\jaime.benazar\Quorum Business Solutions\Ecopetrol Prometeo - Documents\Planning Space Implementation\3. Analysis &amp; Design\Design\FC22\DRR Jaime\Neiva CPI\[DINA TERCIARIOS_CF_SEC_New_27-Mar-2024.xlsx]D-PSNP'!</v>
      </c>
      <c r="G3252" s="32" t="s">
        <v>123</v>
      </c>
      <c r="H3252" s="33"/>
      <c r="I3252" s="33"/>
      <c r="J3252" s="37"/>
    </row>
    <row r="3253" spans="1:10" x14ac:dyDescent="0.3">
      <c r="A3253" s="32" t="s">
        <v>22</v>
      </c>
      <c r="B3253" s="32">
        <f>+B3252+1</f>
        <v>2044</v>
      </c>
      <c r="C3253" s="33" t="s">
        <v>110</v>
      </c>
      <c r="D3253" s="34" t="s">
        <v>2002</v>
      </c>
      <c r="E3253" s="35" t="str">
        <f t="shared" ref="E3253:E3268" si="772">_xlfn.CONCAT(A3253,"'!")</f>
        <v>PSNP'!</v>
      </c>
      <c r="F3253" s="34" t="str">
        <f t="shared" ref="F3253:F3268" si="773">_xlfn.CONCAT(D3253:E3253)</f>
        <v>C:\Users\jaime.benazar\Quorum Business Solutions\Ecopetrol Prometeo - Documents\Planning Space Implementation\3. Analysis &amp; Design\Design\FC22\DRR Jaime\Neiva CPI\[DINA TERCIARIOS_CF_SEC_New_27-Mar-2024.xlsx]D-PSNP'!</v>
      </c>
      <c r="G3253" s="32" t="s">
        <v>123</v>
      </c>
      <c r="H3253" s="33"/>
      <c r="I3253" s="33"/>
      <c r="J3253" s="37"/>
    </row>
    <row r="3254" spans="1:10" x14ac:dyDescent="0.3">
      <c r="A3254" s="32" t="s">
        <v>22</v>
      </c>
      <c r="B3254" s="32">
        <f t="shared" ref="B3254:B3268" si="774">+B3253+1</f>
        <v>2045</v>
      </c>
      <c r="C3254" s="33" t="s">
        <v>110</v>
      </c>
      <c r="D3254" s="34" t="s">
        <v>2002</v>
      </c>
      <c r="E3254" s="35" t="str">
        <f t="shared" si="772"/>
        <v>PSNP'!</v>
      </c>
      <c r="F3254" s="34" t="str">
        <f t="shared" si="773"/>
        <v>C:\Users\jaime.benazar\Quorum Business Solutions\Ecopetrol Prometeo - Documents\Planning Space Implementation\3. Analysis &amp; Design\Design\FC22\DRR Jaime\Neiva CPI\[DINA TERCIARIOS_CF_SEC_New_27-Mar-2024.xlsx]D-PSNP'!</v>
      </c>
      <c r="G3254" s="32" t="s">
        <v>123</v>
      </c>
      <c r="H3254" s="33"/>
      <c r="I3254" s="33"/>
      <c r="J3254" s="37"/>
    </row>
    <row r="3255" spans="1:10" x14ac:dyDescent="0.3">
      <c r="A3255" s="32" t="s">
        <v>22</v>
      </c>
      <c r="B3255" s="32">
        <f t="shared" si="774"/>
        <v>2046</v>
      </c>
      <c r="C3255" s="33" t="s">
        <v>110</v>
      </c>
      <c r="D3255" s="34" t="s">
        <v>2002</v>
      </c>
      <c r="E3255" s="35" t="str">
        <f t="shared" si="772"/>
        <v>PSNP'!</v>
      </c>
      <c r="F3255" s="34" t="str">
        <f t="shared" si="773"/>
        <v>C:\Users\jaime.benazar\Quorum Business Solutions\Ecopetrol Prometeo - Documents\Planning Space Implementation\3. Analysis &amp; Design\Design\FC22\DRR Jaime\Neiva CPI\[DINA TERCIARIOS_CF_SEC_New_27-Mar-2024.xlsx]D-PSNP'!</v>
      </c>
      <c r="G3255" s="32" t="s">
        <v>123</v>
      </c>
      <c r="H3255" s="33"/>
      <c r="I3255" s="33"/>
      <c r="J3255" s="37"/>
    </row>
    <row r="3256" spans="1:10" x14ac:dyDescent="0.3">
      <c r="A3256" s="32" t="s">
        <v>22</v>
      </c>
      <c r="B3256" s="32">
        <f t="shared" si="774"/>
        <v>2047</v>
      </c>
      <c r="C3256" s="33" t="s">
        <v>110</v>
      </c>
      <c r="D3256" s="34" t="s">
        <v>2002</v>
      </c>
      <c r="E3256" s="35" t="str">
        <f t="shared" si="772"/>
        <v>PSNP'!</v>
      </c>
      <c r="F3256" s="34" t="str">
        <f t="shared" si="773"/>
        <v>C:\Users\jaime.benazar\Quorum Business Solutions\Ecopetrol Prometeo - Documents\Planning Space Implementation\3. Analysis &amp; Design\Design\FC22\DRR Jaime\Neiva CPI\[DINA TERCIARIOS_CF_SEC_New_27-Mar-2024.xlsx]D-PSNP'!</v>
      </c>
      <c r="G3256" s="32" t="s">
        <v>123</v>
      </c>
      <c r="H3256" s="33"/>
      <c r="I3256" s="33"/>
      <c r="J3256" s="37"/>
    </row>
    <row r="3257" spans="1:10" x14ac:dyDescent="0.3">
      <c r="A3257" s="32" t="s">
        <v>22</v>
      </c>
      <c r="B3257" s="32">
        <f t="shared" si="774"/>
        <v>2048</v>
      </c>
      <c r="C3257" s="33" t="s">
        <v>110</v>
      </c>
      <c r="D3257" s="34" t="s">
        <v>2002</v>
      </c>
      <c r="E3257" s="35" t="str">
        <f t="shared" si="772"/>
        <v>PSNP'!</v>
      </c>
      <c r="F3257" s="34" t="str">
        <f t="shared" si="773"/>
        <v>C:\Users\jaime.benazar\Quorum Business Solutions\Ecopetrol Prometeo - Documents\Planning Space Implementation\3. Analysis &amp; Design\Design\FC22\DRR Jaime\Neiva CPI\[DINA TERCIARIOS_CF_SEC_New_27-Mar-2024.xlsx]D-PSNP'!</v>
      </c>
      <c r="G3257" s="32" t="s">
        <v>123</v>
      </c>
      <c r="H3257" s="33"/>
      <c r="I3257" s="33"/>
      <c r="J3257" s="37"/>
    </row>
    <row r="3258" spans="1:10" x14ac:dyDescent="0.3">
      <c r="A3258" s="32" t="s">
        <v>22</v>
      </c>
      <c r="B3258" s="32">
        <f t="shared" si="774"/>
        <v>2049</v>
      </c>
      <c r="C3258" s="33" t="s">
        <v>110</v>
      </c>
      <c r="D3258" s="34" t="s">
        <v>2002</v>
      </c>
      <c r="E3258" s="35" t="str">
        <f t="shared" si="772"/>
        <v>PSNP'!</v>
      </c>
      <c r="F3258" s="34" t="str">
        <f t="shared" si="773"/>
        <v>C:\Users\jaime.benazar\Quorum Business Solutions\Ecopetrol Prometeo - Documents\Planning Space Implementation\3. Analysis &amp; Design\Design\FC22\DRR Jaime\Neiva CPI\[DINA TERCIARIOS_CF_SEC_New_27-Mar-2024.xlsx]D-PSNP'!</v>
      </c>
      <c r="G3258" s="32" t="s">
        <v>123</v>
      </c>
      <c r="H3258" s="33"/>
      <c r="I3258" s="33"/>
      <c r="J3258" s="37"/>
    </row>
    <row r="3259" spans="1:10" x14ac:dyDescent="0.3">
      <c r="A3259" s="32" t="s">
        <v>22</v>
      </c>
      <c r="B3259" s="32">
        <f t="shared" si="774"/>
        <v>2050</v>
      </c>
      <c r="C3259" s="33" t="s">
        <v>110</v>
      </c>
      <c r="D3259" s="34" t="s">
        <v>2002</v>
      </c>
      <c r="E3259" s="35" t="str">
        <f t="shared" si="772"/>
        <v>PSNP'!</v>
      </c>
      <c r="F3259" s="34" t="str">
        <f t="shared" si="773"/>
        <v>C:\Users\jaime.benazar\Quorum Business Solutions\Ecopetrol Prometeo - Documents\Planning Space Implementation\3. Analysis &amp; Design\Design\FC22\DRR Jaime\Neiva CPI\[DINA TERCIARIOS_CF_SEC_New_27-Mar-2024.xlsx]D-PSNP'!</v>
      </c>
      <c r="G3259" s="32" t="s">
        <v>123</v>
      </c>
      <c r="H3259" s="33"/>
      <c r="I3259" s="33"/>
      <c r="J3259" s="37"/>
    </row>
    <row r="3260" spans="1:10" x14ac:dyDescent="0.3">
      <c r="A3260" s="32" t="s">
        <v>22</v>
      </c>
      <c r="B3260" s="32">
        <f t="shared" si="774"/>
        <v>2051</v>
      </c>
      <c r="C3260" s="33" t="s">
        <v>110</v>
      </c>
      <c r="D3260" s="34" t="s">
        <v>2002</v>
      </c>
      <c r="E3260" s="35" t="str">
        <f t="shared" si="772"/>
        <v>PSNP'!</v>
      </c>
      <c r="F3260" s="34" t="str">
        <f t="shared" si="773"/>
        <v>C:\Users\jaime.benazar\Quorum Business Solutions\Ecopetrol Prometeo - Documents\Planning Space Implementation\3. Analysis &amp; Design\Design\FC22\DRR Jaime\Neiva CPI\[DINA TERCIARIOS_CF_SEC_New_27-Mar-2024.xlsx]D-PSNP'!</v>
      </c>
      <c r="G3260" s="32" t="s">
        <v>123</v>
      </c>
      <c r="H3260" s="33"/>
      <c r="I3260" s="33"/>
      <c r="J3260" s="37"/>
    </row>
    <row r="3261" spans="1:10" x14ac:dyDescent="0.3">
      <c r="A3261" s="32" t="s">
        <v>22</v>
      </c>
      <c r="B3261" s="32">
        <f t="shared" si="774"/>
        <v>2052</v>
      </c>
      <c r="C3261" s="33" t="s">
        <v>110</v>
      </c>
      <c r="D3261" s="34" t="s">
        <v>2002</v>
      </c>
      <c r="E3261" s="35" t="str">
        <f t="shared" si="772"/>
        <v>PSNP'!</v>
      </c>
      <c r="F3261" s="34" t="str">
        <f t="shared" si="773"/>
        <v>C:\Users\jaime.benazar\Quorum Business Solutions\Ecopetrol Prometeo - Documents\Planning Space Implementation\3. Analysis &amp; Design\Design\FC22\DRR Jaime\Neiva CPI\[DINA TERCIARIOS_CF_SEC_New_27-Mar-2024.xlsx]D-PSNP'!</v>
      </c>
      <c r="G3261" s="32" t="s">
        <v>123</v>
      </c>
      <c r="H3261" s="33"/>
      <c r="I3261" s="33"/>
      <c r="J3261" s="37"/>
    </row>
    <row r="3262" spans="1:10" x14ac:dyDescent="0.3">
      <c r="A3262" s="32" t="s">
        <v>22</v>
      </c>
      <c r="B3262" s="32">
        <f t="shared" si="774"/>
        <v>2053</v>
      </c>
      <c r="C3262" s="33" t="s">
        <v>110</v>
      </c>
      <c r="D3262" s="34" t="s">
        <v>2002</v>
      </c>
      <c r="E3262" s="35" t="str">
        <f t="shared" si="772"/>
        <v>PSNP'!</v>
      </c>
      <c r="F3262" s="34" t="str">
        <f t="shared" si="773"/>
        <v>C:\Users\jaime.benazar\Quorum Business Solutions\Ecopetrol Prometeo - Documents\Planning Space Implementation\3. Analysis &amp; Design\Design\FC22\DRR Jaime\Neiva CPI\[DINA TERCIARIOS_CF_SEC_New_27-Mar-2024.xlsx]D-PSNP'!</v>
      </c>
      <c r="G3262" s="32" t="s">
        <v>123</v>
      </c>
      <c r="H3262" s="33"/>
      <c r="I3262" s="33"/>
      <c r="J3262" s="37"/>
    </row>
    <row r="3263" spans="1:10" x14ac:dyDescent="0.3">
      <c r="A3263" s="32" t="s">
        <v>22</v>
      </c>
      <c r="B3263" s="32">
        <f t="shared" si="774"/>
        <v>2054</v>
      </c>
      <c r="C3263" s="33" t="s">
        <v>110</v>
      </c>
      <c r="D3263" s="34" t="s">
        <v>2002</v>
      </c>
      <c r="E3263" s="35" t="str">
        <f t="shared" si="772"/>
        <v>PSNP'!</v>
      </c>
      <c r="F3263" s="34" t="str">
        <f t="shared" si="773"/>
        <v>C:\Users\jaime.benazar\Quorum Business Solutions\Ecopetrol Prometeo - Documents\Planning Space Implementation\3. Analysis &amp; Design\Design\FC22\DRR Jaime\Neiva CPI\[DINA TERCIARIOS_CF_SEC_New_27-Mar-2024.xlsx]D-PSNP'!</v>
      </c>
      <c r="G3263" s="32" t="s">
        <v>123</v>
      </c>
      <c r="H3263" s="33"/>
      <c r="I3263" s="33"/>
      <c r="J3263" s="37"/>
    </row>
    <row r="3264" spans="1:10" x14ac:dyDescent="0.3">
      <c r="A3264" s="32" t="s">
        <v>22</v>
      </c>
      <c r="B3264" s="32">
        <f t="shared" si="774"/>
        <v>2055</v>
      </c>
      <c r="C3264" s="33" t="s">
        <v>110</v>
      </c>
      <c r="D3264" s="34" t="s">
        <v>2002</v>
      </c>
      <c r="E3264" s="35" t="str">
        <f t="shared" si="772"/>
        <v>PSNP'!</v>
      </c>
      <c r="F3264" s="34" t="str">
        <f t="shared" si="773"/>
        <v>C:\Users\jaime.benazar\Quorum Business Solutions\Ecopetrol Prometeo - Documents\Planning Space Implementation\3. Analysis &amp; Design\Design\FC22\DRR Jaime\Neiva CPI\[DINA TERCIARIOS_CF_SEC_New_27-Mar-2024.xlsx]D-PSNP'!</v>
      </c>
      <c r="G3264" s="32" t="s">
        <v>123</v>
      </c>
      <c r="H3264" s="33"/>
      <c r="I3264" s="33"/>
      <c r="J3264" s="37"/>
    </row>
    <row r="3265" spans="1:10" x14ac:dyDescent="0.3">
      <c r="A3265" s="32" t="s">
        <v>22</v>
      </c>
      <c r="B3265" s="32">
        <f t="shared" si="774"/>
        <v>2056</v>
      </c>
      <c r="C3265" s="33" t="s">
        <v>110</v>
      </c>
      <c r="D3265" s="34" t="s">
        <v>2002</v>
      </c>
      <c r="E3265" s="35" t="str">
        <f t="shared" si="772"/>
        <v>PSNP'!</v>
      </c>
      <c r="F3265" s="34" t="str">
        <f t="shared" si="773"/>
        <v>C:\Users\jaime.benazar\Quorum Business Solutions\Ecopetrol Prometeo - Documents\Planning Space Implementation\3. Analysis &amp; Design\Design\FC22\DRR Jaime\Neiva CPI\[DINA TERCIARIOS_CF_SEC_New_27-Mar-2024.xlsx]D-PSNP'!</v>
      </c>
      <c r="G3265" s="32" t="s">
        <v>123</v>
      </c>
      <c r="H3265" s="33"/>
      <c r="I3265" s="33"/>
      <c r="J3265" s="37"/>
    </row>
    <row r="3266" spans="1:10" x14ac:dyDescent="0.3">
      <c r="A3266" s="32" t="s">
        <v>22</v>
      </c>
      <c r="B3266" s="32">
        <f t="shared" si="774"/>
        <v>2057</v>
      </c>
      <c r="C3266" s="33" t="s">
        <v>110</v>
      </c>
      <c r="D3266" s="34" t="s">
        <v>2002</v>
      </c>
      <c r="E3266" s="35" t="str">
        <f t="shared" si="772"/>
        <v>PSNP'!</v>
      </c>
      <c r="F3266" s="34" t="str">
        <f t="shared" si="773"/>
        <v>C:\Users\jaime.benazar\Quorum Business Solutions\Ecopetrol Prometeo - Documents\Planning Space Implementation\3. Analysis &amp; Design\Design\FC22\DRR Jaime\Neiva CPI\[DINA TERCIARIOS_CF_SEC_New_27-Mar-2024.xlsx]D-PSNP'!</v>
      </c>
      <c r="G3266" s="32" t="s">
        <v>123</v>
      </c>
      <c r="H3266" s="33"/>
      <c r="I3266" s="33"/>
      <c r="J3266" s="37"/>
    </row>
    <row r="3267" spans="1:10" x14ac:dyDescent="0.3">
      <c r="A3267" s="32" t="s">
        <v>22</v>
      </c>
      <c r="B3267" s="32">
        <f t="shared" si="774"/>
        <v>2058</v>
      </c>
      <c r="C3267" s="33" t="s">
        <v>110</v>
      </c>
      <c r="D3267" s="34" t="s">
        <v>2002</v>
      </c>
      <c r="E3267" s="35" t="str">
        <f t="shared" si="772"/>
        <v>PSNP'!</v>
      </c>
      <c r="F3267" s="34" t="str">
        <f t="shared" si="773"/>
        <v>C:\Users\jaime.benazar\Quorum Business Solutions\Ecopetrol Prometeo - Documents\Planning Space Implementation\3. Analysis &amp; Design\Design\FC22\DRR Jaime\Neiva CPI\[DINA TERCIARIOS_CF_SEC_New_27-Mar-2024.xlsx]D-PSNP'!</v>
      </c>
      <c r="G3267" s="32" t="s">
        <v>123</v>
      </c>
      <c r="H3267" s="33"/>
      <c r="I3267" s="33"/>
      <c r="J3267" s="37"/>
    </row>
    <row r="3268" spans="1:10" x14ac:dyDescent="0.3">
      <c r="A3268" s="32" t="s">
        <v>22</v>
      </c>
      <c r="B3268" s="32">
        <f t="shared" si="774"/>
        <v>2059</v>
      </c>
      <c r="C3268" s="33" t="s">
        <v>110</v>
      </c>
      <c r="D3268" s="34" t="s">
        <v>2002</v>
      </c>
      <c r="E3268" s="35" t="str">
        <f t="shared" si="772"/>
        <v>PSNP'!</v>
      </c>
      <c r="F3268" s="34" t="str">
        <f t="shared" si="773"/>
        <v>C:\Users\jaime.benazar\Quorum Business Solutions\Ecopetrol Prometeo - Documents\Planning Space Implementation\3. Analysis &amp; Design\Design\FC22\DRR Jaime\Neiva CPI\[DINA TERCIARIOS_CF_SEC_New_27-Mar-2024.xlsx]D-PSNP'!</v>
      </c>
      <c r="G3268" s="32" t="s">
        <v>123</v>
      </c>
      <c r="H3268" s="33"/>
      <c r="I3268" s="33"/>
      <c r="J3268" s="37"/>
    </row>
    <row r="3269" spans="1:10" x14ac:dyDescent="0.3">
      <c r="A3269" s="32" t="s">
        <v>26</v>
      </c>
      <c r="B3269" s="32"/>
      <c r="C3269" s="33" t="s">
        <v>110</v>
      </c>
      <c r="D3269" s="34"/>
      <c r="E3269" s="32" t="str">
        <f t="shared" si="760"/>
        <v>Total'!</v>
      </c>
      <c r="F3269" s="33"/>
      <c r="G3269" s="32"/>
      <c r="H3269" s="33"/>
      <c r="I3269" s="33"/>
      <c r="J3269" s="33"/>
    </row>
    <row r="3270" spans="1:10" x14ac:dyDescent="0.3">
      <c r="A3270" s="32" t="s">
        <v>23</v>
      </c>
      <c r="B3270" s="32">
        <v>2023</v>
      </c>
      <c r="C3270" s="33" t="s">
        <v>110</v>
      </c>
      <c r="D3270" s="34" t="s">
        <v>2002</v>
      </c>
      <c r="E3270" s="35" t="str">
        <f t="shared" si="760"/>
        <v>PSND'!</v>
      </c>
      <c r="F3270" s="34" t="str">
        <f t="shared" ref="F3270:F3290" si="775">_xlfn.CONCAT(D3270:E3270)</f>
        <v>C:\Users\jaime.benazar\Quorum Business Solutions\Ecopetrol Prometeo - Documents\Planning Space Implementation\3. Analysis &amp; Design\Design\FC22\DRR Jaime\Neiva CPI\[DINA TERCIARIOS_CF_SEC_New_27-Mar-2024.xlsx]D-PSND'!</v>
      </c>
      <c r="G3270" s="32" t="s">
        <v>123</v>
      </c>
      <c r="H3270" s="33"/>
      <c r="I3270" s="33"/>
      <c r="J3270" s="37"/>
    </row>
    <row r="3271" spans="1:10" x14ac:dyDescent="0.3">
      <c r="A3271" s="32" t="s">
        <v>23</v>
      </c>
      <c r="B3271" s="32">
        <f>+B3270+1</f>
        <v>2024</v>
      </c>
      <c r="C3271" s="33" t="s">
        <v>110</v>
      </c>
      <c r="D3271" s="34" t="s">
        <v>2002</v>
      </c>
      <c r="E3271" s="35" t="str">
        <f t="shared" si="760"/>
        <v>PSND'!</v>
      </c>
      <c r="F3271" s="34" t="str">
        <f t="shared" si="775"/>
        <v>C:\Users\jaime.benazar\Quorum Business Solutions\Ecopetrol Prometeo - Documents\Planning Space Implementation\3. Analysis &amp; Design\Design\FC22\DRR Jaime\Neiva CPI\[DINA TERCIARIOS_CF_SEC_New_27-Mar-2024.xlsx]D-PSND'!</v>
      </c>
      <c r="G3271" s="32" t="s">
        <v>123</v>
      </c>
      <c r="H3271" s="33"/>
      <c r="I3271" s="33"/>
      <c r="J3271" s="37"/>
    </row>
    <row r="3272" spans="1:10" x14ac:dyDescent="0.3">
      <c r="A3272" s="32" t="s">
        <v>23</v>
      </c>
      <c r="B3272" s="32">
        <f t="shared" ref="B3272:B3283" si="776">+B3271+1</f>
        <v>2025</v>
      </c>
      <c r="C3272" s="33" t="s">
        <v>110</v>
      </c>
      <c r="D3272" s="34" t="s">
        <v>2002</v>
      </c>
      <c r="E3272" s="35" t="str">
        <f t="shared" si="760"/>
        <v>PSND'!</v>
      </c>
      <c r="F3272" s="34" t="str">
        <f t="shared" si="775"/>
        <v>C:\Users\jaime.benazar\Quorum Business Solutions\Ecopetrol Prometeo - Documents\Planning Space Implementation\3. Analysis &amp; Design\Design\FC22\DRR Jaime\Neiva CPI\[DINA TERCIARIOS_CF_SEC_New_27-Mar-2024.xlsx]D-PSND'!</v>
      </c>
      <c r="G3272" s="32" t="s">
        <v>123</v>
      </c>
      <c r="H3272" s="33"/>
      <c r="I3272" s="33"/>
      <c r="J3272" s="37"/>
    </row>
    <row r="3273" spans="1:10" x14ac:dyDescent="0.3">
      <c r="A3273" s="32" t="s">
        <v>23</v>
      </c>
      <c r="B3273" s="32">
        <f t="shared" si="776"/>
        <v>2026</v>
      </c>
      <c r="C3273" s="33" t="s">
        <v>110</v>
      </c>
      <c r="D3273" s="34" t="s">
        <v>2002</v>
      </c>
      <c r="E3273" s="35" t="str">
        <f t="shared" si="760"/>
        <v>PSND'!</v>
      </c>
      <c r="F3273" s="34" t="str">
        <f t="shared" si="775"/>
        <v>C:\Users\jaime.benazar\Quorum Business Solutions\Ecopetrol Prometeo - Documents\Planning Space Implementation\3. Analysis &amp; Design\Design\FC22\DRR Jaime\Neiva CPI\[DINA TERCIARIOS_CF_SEC_New_27-Mar-2024.xlsx]D-PSND'!</v>
      </c>
      <c r="G3273" s="32" t="s">
        <v>123</v>
      </c>
      <c r="H3273" s="33"/>
      <c r="I3273" s="33"/>
      <c r="J3273" s="37"/>
    </row>
    <row r="3274" spans="1:10" x14ac:dyDescent="0.3">
      <c r="A3274" s="32" t="s">
        <v>23</v>
      </c>
      <c r="B3274" s="32">
        <f t="shared" si="776"/>
        <v>2027</v>
      </c>
      <c r="C3274" s="33" t="s">
        <v>110</v>
      </c>
      <c r="D3274" s="34" t="s">
        <v>2002</v>
      </c>
      <c r="E3274" s="35" t="str">
        <f t="shared" si="760"/>
        <v>PSND'!</v>
      </c>
      <c r="F3274" s="34" t="str">
        <f t="shared" si="775"/>
        <v>C:\Users\jaime.benazar\Quorum Business Solutions\Ecopetrol Prometeo - Documents\Planning Space Implementation\3. Analysis &amp; Design\Design\FC22\DRR Jaime\Neiva CPI\[DINA TERCIARIOS_CF_SEC_New_27-Mar-2024.xlsx]D-PSND'!</v>
      </c>
      <c r="G3274" s="32" t="s">
        <v>123</v>
      </c>
      <c r="H3274" s="33"/>
      <c r="I3274" s="33"/>
      <c r="J3274" s="37"/>
    </row>
    <row r="3275" spans="1:10" x14ac:dyDescent="0.3">
      <c r="A3275" s="32" t="s">
        <v>23</v>
      </c>
      <c r="B3275" s="32">
        <f t="shared" si="776"/>
        <v>2028</v>
      </c>
      <c r="C3275" s="33" t="s">
        <v>110</v>
      </c>
      <c r="D3275" s="34" t="s">
        <v>2002</v>
      </c>
      <c r="E3275" s="35" t="str">
        <f t="shared" si="760"/>
        <v>PSND'!</v>
      </c>
      <c r="F3275" s="34" t="str">
        <f t="shared" si="775"/>
        <v>C:\Users\jaime.benazar\Quorum Business Solutions\Ecopetrol Prometeo - Documents\Planning Space Implementation\3. Analysis &amp; Design\Design\FC22\DRR Jaime\Neiva CPI\[DINA TERCIARIOS_CF_SEC_New_27-Mar-2024.xlsx]D-PSND'!</v>
      </c>
      <c r="G3275" s="32" t="s">
        <v>123</v>
      </c>
      <c r="H3275" s="33"/>
      <c r="I3275" s="33"/>
      <c r="J3275" s="37"/>
    </row>
    <row r="3276" spans="1:10" x14ac:dyDescent="0.3">
      <c r="A3276" s="32" t="s">
        <v>23</v>
      </c>
      <c r="B3276" s="32">
        <f t="shared" si="776"/>
        <v>2029</v>
      </c>
      <c r="C3276" s="33" t="s">
        <v>110</v>
      </c>
      <c r="D3276" s="34" t="s">
        <v>2002</v>
      </c>
      <c r="E3276" s="35" t="str">
        <f t="shared" si="760"/>
        <v>PSND'!</v>
      </c>
      <c r="F3276" s="34" t="str">
        <f t="shared" si="775"/>
        <v>C:\Users\jaime.benazar\Quorum Business Solutions\Ecopetrol Prometeo - Documents\Planning Space Implementation\3. Analysis &amp; Design\Design\FC22\DRR Jaime\Neiva CPI\[DINA TERCIARIOS_CF_SEC_New_27-Mar-2024.xlsx]D-PSND'!</v>
      </c>
      <c r="G3276" s="32" t="s">
        <v>123</v>
      </c>
      <c r="H3276" s="33"/>
      <c r="I3276" s="33"/>
      <c r="J3276" s="37"/>
    </row>
    <row r="3277" spans="1:10" x14ac:dyDescent="0.3">
      <c r="A3277" s="32" t="s">
        <v>23</v>
      </c>
      <c r="B3277" s="32">
        <f t="shared" si="776"/>
        <v>2030</v>
      </c>
      <c r="C3277" s="33" t="s">
        <v>110</v>
      </c>
      <c r="D3277" s="34" t="s">
        <v>2002</v>
      </c>
      <c r="E3277" s="35" t="str">
        <f t="shared" si="760"/>
        <v>PSND'!</v>
      </c>
      <c r="F3277" s="34" t="str">
        <f t="shared" si="775"/>
        <v>C:\Users\jaime.benazar\Quorum Business Solutions\Ecopetrol Prometeo - Documents\Planning Space Implementation\3. Analysis &amp; Design\Design\FC22\DRR Jaime\Neiva CPI\[DINA TERCIARIOS_CF_SEC_New_27-Mar-2024.xlsx]D-PSND'!</v>
      </c>
      <c r="G3277" s="32" t="s">
        <v>123</v>
      </c>
      <c r="H3277" s="33"/>
      <c r="I3277" s="33"/>
      <c r="J3277" s="37"/>
    </row>
    <row r="3278" spans="1:10" x14ac:dyDescent="0.3">
      <c r="A3278" s="32" t="s">
        <v>23</v>
      </c>
      <c r="B3278" s="32">
        <f t="shared" si="776"/>
        <v>2031</v>
      </c>
      <c r="C3278" s="33" t="s">
        <v>110</v>
      </c>
      <c r="D3278" s="34" t="s">
        <v>2002</v>
      </c>
      <c r="E3278" s="35" t="str">
        <f t="shared" si="760"/>
        <v>PSND'!</v>
      </c>
      <c r="F3278" s="34" t="str">
        <f t="shared" si="775"/>
        <v>C:\Users\jaime.benazar\Quorum Business Solutions\Ecopetrol Prometeo - Documents\Planning Space Implementation\3. Analysis &amp; Design\Design\FC22\DRR Jaime\Neiva CPI\[DINA TERCIARIOS_CF_SEC_New_27-Mar-2024.xlsx]D-PSND'!</v>
      </c>
      <c r="G3278" s="32" t="s">
        <v>123</v>
      </c>
      <c r="H3278" s="33"/>
      <c r="I3278" s="33"/>
      <c r="J3278" s="37"/>
    </row>
    <row r="3279" spans="1:10" x14ac:dyDescent="0.3">
      <c r="A3279" s="32" t="s">
        <v>23</v>
      </c>
      <c r="B3279" s="32">
        <f t="shared" si="776"/>
        <v>2032</v>
      </c>
      <c r="C3279" s="33" t="s">
        <v>110</v>
      </c>
      <c r="D3279" s="34" t="s">
        <v>2002</v>
      </c>
      <c r="E3279" s="35" t="str">
        <f t="shared" si="760"/>
        <v>PSND'!</v>
      </c>
      <c r="F3279" s="34" t="str">
        <f t="shared" si="775"/>
        <v>C:\Users\jaime.benazar\Quorum Business Solutions\Ecopetrol Prometeo - Documents\Planning Space Implementation\3. Analysis &amp; Design\Design\FC22\DRR Jaime\Neiva CPI\[DINA TERCIARIOS_CF_SEC_New_27-Mar-2024.xlsx]D-PSND'!</v>
      </c>
      <c r="G3279" s="32" t="s">
        <v>123</v>
      </c>
      <c r="H3279" s="33"/>
      <c r="I3279" s="33"/>
      <c r="J3279" s="37"/>
    </row>
    <row r="3280" spans="1:10" x14ac:dyDescent="0.3">
      <c r="A3280" s="32" t="s">
        <v>23</v>
      </c>
      <c r="B3280" s="32">
        <f t="shared" si="776"/>
        <v>2033</v>
      </c>
      <c r="C3280" s="33" t="s">
        <v>110</v>
      </c>
      <c r="D3280" s="34" t="s">
        <v>2002</v>
      </c>
      <c r="E3280" s="35" t="str">
        <f t="shared" si="760"/>
        <v>PSND'!</v>
      </c>
      <c r="F3280" s="34" t="str">
        <f t="shared" si="775"/>
        <v>C:\Users\jaime.benazar\Quorum Business Solutions\Ecopetrol Prometeo - Documents\Planning Space Implementation\3. Analysis &amp; Design\Design\FC22\DRR Jaime\Neiva CPI\[DINA TERCIARIOS_CF_SEC_New_27-Mar-2024.xlsx]D-PSND'!</v>
      </c>
      <c r="G3280" s="32" t="s">
        <v>123</v>
      </c>
      <c r="H3280" s="33"/>
      <c r="I3280" s="33"/>
      <c r="J3280" s="37"/>
    </row>
    <row r="3281" spans="1:10" x14ac:dyDescent="0.3">
      <c r="A3281" s="32" t="s">
        <v>23</v>
      </c>
      <c r="B3281" s="32">
        <f t="shared" si="776"/>
        <v>2034</v>
      </c>
      <c r="C3281" s="33" t="s">
        <v>110</v>
      </c>
      <c r="D3281" s="34" t="s">
        <v>2002</v>
      </c>
      <c r="E3281" s="35" t="str">
        <f t="shared" si="760"/>
        <v>PSND'!</v>
      </c>
      <c r="F3281" s="34" t="str">
        <f t="shared" si="775"/>
        <v>C:\Users\jaime.benazar\Quorum Business Solutions\Ecopetrol Prometeo - Documents\Planning Space Implementation\3. Analysis &amp; Design\Design\FC22\DRR Jaime\Neiva CPI\[DINA TERCIARIOS_CF_SEC_New_27-Mar-2024.xlsx]D-PSND'!</v>
      </c>
      <c r="G3281" s="32" t="s">
        <v>123</v>
      </c>
      <c r="H3281" s="33"/>
      <c r="I3281" s="33"/>
      <c r="J3281" s="37"/>
    </row>
    <row r="3282" spans="1:10" x14ac:dyDescent="0.3">
      <c r="A3282" s="32" t="s">
        <v>23</v>
      </c>
      <c r="B3282" s="32">
        <f t="shared" si="776"/>
        <v>2035</v>
      </c>
      <c r="C3282" s="33" t="s">
        <v>110</v>
      </c>
      <c r="D3282" s="34" t="s">
        <v>2002</v>
      </c>
      <c r="E3282" s="35" t="str">
        <f t="shared" si="760"/>
        <v>PSND'!</v>
      </c>
      <c r="F3282" s="34" t="str">
        <f t="shared" si="775"/>
        <v>C:\Users\jaime.benazar\Quorum Business Solutions\Ecopetrol Prometeo - Documents\Planning Space Implementation\3. Analysis &amp; Design\Design\FC22\DRR Jaime\Neiva CPI\[DINA TERCIARIOS_CF_SEC_New_27-Mar-2024.xlsx]D-PSND'!</v>
      </c>
      <c r="G3282" s="32" t="s">
        <v>123</v>
      </c>
      <c r="H3282" s="33"/>
      <c r="I3282" s="33"/>
      <c r="J3282" s="37"/>
    </row>
    <row r="3283" spans="1:10" x14ac:dyDescent="0.3">
      <c r="A3283" s="32" t="s">
        <v>23</v>
      </c>
      <c r="B3283" s="32">
        <f t="shared" si="776"/>
        <v>2036</v>
      </c>
      <c r="C3283" s="33" t="s">
        <v>110</v>
      </c>
      <c r="D3283" s="34" t="s">
        <v>2002</v>
      </c>
      <c r="E3283" s="35" t="str">
        <f t="shared" si="760"/>
        <v>PSND'!</v>
      </c>
      <c r="F3283" s="34" t="str">
        <f t="shared" si="775"/>
        <v>C:\Users\jaime.benazar\Quorum Business Solutions\Ecopetrol Prometeo - Documents\Planning Space Implementation\3. Analysis &amp; Design\Design\FC22\DRR Jaime\Neiva CPI\[DINA TERCIARIOS_CF_SEC_New_27-Mar-2024.xlsx]D-PSND'!</v>
      </c>
      <c r="G3283" s="32" t="s">
        <v>123</v>
      </c>
      <c r="H3283" s="33"/>
      <c r="I3283" s="33"/>
      <c r="J3283" s="37"/>
    </row>
    <row r="3284" spans="1:10" x14ac:dyDescent="0.3">
      <c r="A3284" s="32" t="s">
        <v>23</v>
      </c>
      <c r="B3284" s="32">
        <f>+B3283+1</f>
        <v>2037</v>
      </c>
      <c r="C3284" s="33" t="s">
        <v>110</v>
      </c>
      <c r="D3284" s="34" t="s">
        <v>2002</v>
      </c>
      <c r="E3284" s="35" t="str">
        <f t="shared" si="760"/>
        <v>PSND'!</v>
      </c>
      <c r="F3284" s="34" t="str">
        <f t="shared" si="775"/>
        <v>C:\Users\jaime.benazar\Quorum Business Solutions\Ecopetrol Prometeo - Documents\Planning Space Implementation\3. Analysis &amp; Design\Design\FC22\DRR Jaime\Neiva CPI\[DINA TERCIARIOS_CF_SEC_New_27-Mar-2024.xlsx]D-PSND'!</v>
      </c>
      <c r="G3284" s="32" t="s">
        <v>123</v>
      </c>
      <c r="H3284" s="33"/>
      <c r="I3284" s="33"/>
      <c r="J3284" s="37"/>
    </row>
    <row r="3285" spans="1:10" x14ac:dyDescent="0.3">
      <c r="A3285" s="32" t="s">
        <v>23</v>
      </c>
      <c r="B3285" s="32">
        <f t="shared" ref="B3285:B3287" si="777">+B3284+1</f>
        <v>2038</v>
      </c>
      <c r="C3285" s="33" t="s">
        <v>110</v>
      </c>
      <c r="D3285" s="34" t="s">
        <v>2002</v>
      </c>
      <c r="E3285" s="35" t="str">
        <f t="shared" si="760"/>
        <v>PSND'!</v>
      </c>
      <c r="F3285" s="34" t="str">
        <f t="shared" si="775"/>
        <v>C:\Users\jaime.benazar\Quorum Business Solutions\Ecopetrol Prometeo - Documents\Planning Space Implementation\3. Analysis &amp; Design\Design\FC22\DRR Jaime\Neiva CPI\[DINA TERCIARIOS_CF_SEC_New_27-Mar-2024.xlsx]D-PSND'!</v>
      </c>
      <c r="G3285" s="32" t="s">
        <v>123</v>
      </c>
      <c r="H3285" s="33"/>
      <c r="I3285" s="33"/>
      <c r="J3285" s="37"/>
    </row>
    <row r="3286" spans="1:10" x14ac:dyDescent="0.3">
      <c r="A3286" s="32" t="s">
        <v>23</v>
      </c>
      <c r="B3286" s="32">
        <f t="shared" si="777"/>
        <v>2039</v>
      </c>
      <c r="C3286" s="33" t="s">
        <v>110</v>
      </c>
      <c r="D3286" s="34" t="s">
        <v>2002</v>
      </c>
      <c r="E3286" s="35" t="str">
        <f t="shared" ref="E3286:E3307" si="778">_xlfn.CONCAT(A3286,"'!")</f>
        <v>PSND'!</v>
      </c>
      <c r="F3286" s="34" t="str">
        <f t="shared" si="775"/>
        <v>C:\Users\jaime.benazar\Quorum Business Solutions\Ecopetrol Prometeo - Documents\Planning Space Implementation\3. Analysis &amp; Design\Design\FC22\DRR Jaime\Neiva CPI\[DINA TERCIARIOS_CF_SEC_New_27-Mar-2024.xlsx]D-PSND'!</v>
      </c>
      <c r="G3286" s="32" t="s">
        <v>123</v>
      </c>
      <c r="H3286" s="33"/>
      <c r="I3286" s="33"/>
      <c r="J3286" s="37"/>
    </row>
    <row r="3287" spans="1:10" x14ac:dyDescent="0.3">
      <c r="A3287" s="32" t="s">
        <v>23</v>
      </c>
      <c r="B3287" s="32">
        <f t="shared" si="777"/>
        <v>2040</v>
      </c>
      <c r="C3287" s="33" t="s">
        <v>110</v>
      </c>
      <c r="D3287" s="34" t="s">
        <v>2002</v>
      </c>
      <c r="E3287" s="35" t="str">
        <f t="shared" si="778"/>
        <v>PSND'!</v>
      </c>
      <c r="F3287" s="34" t="str">
        <f t="shared" si="775"/>
        <v>C:\Users\jaime.benazar\Quorum Business Solutions\Ecopetrol Prometeo - Documents\Planning Space Implementation\3. Analysis &amp; Design\Design\FC22\DRR Jaime\Neiva CPI\[DINA TERCIARIOS_CF_SEC_New_27-Mar-2024.xlsx]D-PSND'!</v>
      </c>
      <c r="G3287" s="32" t="s">
        <v>123</v>
      </c>
      <c r="H3287" s="33"/>
      <c r="I3287" s="33"/>
      <c r="J3287" s="37"/>
    </row>
    <row r="3288" spans="1:10" x14ac:dyDescent="0.3">
      <c r="A3288" s="32" t="s">
        <v>23</v>
      </c>
      <c r="B3288" s="32">
        <f>+B3287+1</f>
        <v>2041</v>
      </c>
      <c r="C3288" s="33" t="s">
        <v>110</v>
      </c>
      <c r="D3288" s="34" t="s">
        <v>2002</v>
      </c>
      <c r="E3288" s="35" t="str">
        <f t="shared" si="778"/>
        <v>PSND'!</v>
      </c>
      <c r="F3288" s="34" t="str">
        <f t="shared" si="775"/>
        <v>C:\Users\jaime.benazar\Quorum Business Solutions\Ecopetrol Prometeo - Documents\Planning Space Implementation\3. Analysis &amp; Design\Design\FC22\DRR Jaime\Neiva CPI\[DINA TERCIARIOS_CF_SEC_New_27-Mar-2024.xlsx]D-PSND'!</v>
      </c>
      <c r="G3288" s="32" t="s">
        <v>123</v>
      </c>
      <c r="H3288" s="33"/>
      <c r="I3288" s="33"/>
      <c r="J3288" s="37"/>
    </row>
    <row r="3289" spans="1:10" x14ac:dyDescent="0.3">
      <c r="A3289" s="32" t="s">
        <v>23</v>
      </c>
      <c r="B3289" s="32">
        <f t="shared" ref="B3289:B3290" si="779">+B3288+1</f>
        <v>2042</v>
      </c>
      <c r="C3289" s="33" t="s">
        <v>110</v>
      </c>
      <c r="D3289" s="34" t="s">
        <v>2002</v>
      </c>
      <c r="E3289" s="35" t="str">
        <f t="shared" si="778"/>
        <v>PSND'!</v>
      </c>
      <c r="F3289" s="34" t="str">
        <f t="shared" si="775"/>
        <v>C:\Users\jaime.benazar\Quorum Business Solutions\Ecopetrol Prometeo - Documents\Planning Space Implementation\3. Analysis &amp; Design\Design\FC22\DRR Jaime\Neiva CPI\[DINA TERCIARIOS_CF_SEC_New_27-Mar-2024.xlsx]D-PSND'!</v>
      </c>
      <c r="G3289" s="32" t="s">
        <v>123</v>
      </c>
      <c r="H3289" s="33"/>
      <c r="I3289" s="33"/>
      <c r="J3289" s="37"/>
    </row>
    <row r="3290" spans="1:10" x14ac:dyDescent="0.3">
      <c r="A3290" s="32" t="s">
        <v>23</v>
      </c>
      <c r="B3290" s="32">
        <f t="shared" si="779"/>
        <v>2043</v>
      </c>
      <c r="C3290" s="33" t="s">
        <v>110</v>
      </c>
      <c r="D3290" s="34" t="s">
        <v>2002</v>
      </c>
      <c r="E3290" s="35" t="str">
        <f t="shared" si="778"/>
        <v>PSND'!</v>
      </c>
      <c r="F3290" s="34" t="str">
        <f t="shared" si="775"/>
        <v>C:\Users\jaime.benazar\Quorum Business Solutions\Ecopetrol Prometeo - Documents\Planning Space Implementation\3. Analysis &amp; Design\Design\FC22\DRR Jaime\Neiva CPI\[DINA TERCIARIOS_CF_SEC_New_27-Mar-2024.xlsx]D-PSND'!</v>
      </c>
      <c r="G3290" s="32" t="s">
        <v>123</v>
      </c>
      <c r="H3290" s="33"/>
      <c r="I3290" s="33"/>
      <c r="J3290" s="37"/>
    </row>
    <row r="3291" spans="1:10" x14ac:dyDescent="0.3">
      <c r="A3291" s="32" t="s">
        <v>23</v>
      </c>
      <c r="B3291" s="32">
        <f>+B3290+1</f>
        <v>2044</v>
      </c>
      <c r="C3291" s="33" t="s">
        <v>110</v>
      </c>
      <c r="D3291" s="34" t="s">
        <v>2002</v>
      </c>
      <c r="E3291" s="35" t="str">
        <f t="shared" ref="E3291:E3306" si="780">_xlfn.CONCAT(A3291,"'!")</f>
        <v>PSND'!</v>
      </c>
      <c r="F3291" s="34" t="str">
        <f t="shared" ref="F3291:F3306" si="781">_xlfn.CONCAT(D3291:E3291)</f>
        <v>C:\Users\jaime.benazar\Quorum Business Solutions\Ecopetrol Prometeo - Documents\Planning Space Implementation\3. Analysis &amp; Design\Design\FC22\DRR Jaime\Neiva CPI\[DINA TERCIARIOS_CF_SEC_New_27-Mar-2024.xlsx]D-PSND'!</v>
      </c>
      <c r="G3291" s="32" t="s">
        <v>123</v>
      </c>
      <c r="H3291" s="33"/>
      <c r="I3291" s="33"/>
      <c r="J3291" s="37"/>
    </row>
    <row r="3292" spans="1:10" x14ac:dyDescent="0.3">
      <c r="A3292" s="32" t="s">
        <v>23</v>
      </c>
      <c r="B3292" s="32">
        <f t="shared" ref="B3292:B3306" si="782">+B3291+1</f>
        <v>2045</v>
      </c>
      <c r="C3292" s="33" t="s">
        <v>110</v>
      </c>
      <c r="D3292" s="34" t="s">
        <v>2002</v>
      </c>
      <c r="E3292" s="35" t="str">
        <f t="shared" si="780"/>
        <v>PSND'!</v>
      </c>
      <c r="F3292" s="34" t="str">
        <f t="shared" si="781"/>
        <v>C:\Users\jaime.benazar\Quorum Business Solutions\Ecopetrol Prometeo - Documents\Planning Space Implementation\3. Analysis &amp; Design\Design\FC22\DRR Jaime\Neiva CPI\[DINA TERCIARIOS_CF_SEC_New_27-Mar-2024.xlsx]D-PSND'!</v>
      </c>
      <c r="G3292" s="32" t="s">
        <v>123</v>
      </c>
      <c r="H3292" s="33"/>
      <c r="I3292" s="33"/>
      <c r="J3292" s="37"/>
    </row>
    <row r="3293" spans="1:10" x14ac:dyDescent="0.3">
      <c r="A3293" s="32" t="s">
        <v>23</v>
      </c>
      <c r="B3293" s="32">
        <f t="shared" si="782"/>
        <v>2046</v>
      </c>
      <c r="C3293" s="33" t="s">
        <v>110</v>
      </c>
      <c r="D3293" s="34" t="s">
        <v>2002</v>
      </c>
      <c r="E3293" s="35" t="str">
        <f t="shared" si="780"/>
        <v>PSND'!</v>
      </c>
      <c r="F3293" s="34" t="str">
        <f t="shared" si="781"/>
        <v>C:\Users\jaime.benazar\Quorum Business Solutions\Ecopetrol Prometeo - Documents\Planning Space Implementation\3. Analysis &amp; Design\Design\FC22\DRR Jaime\Neiva CPI\[DINA TERCIARIOS_CF_SEC_New_27-Mar-2024.xlsx]D-PSND'!</v>
      </c>
      <c r="G3293" s="32" t="s">
        <v>123</v>
      </c>
      <c r="H3293" s="33"/>
      <c r="I3293" s="33"/>
      <c r="J3293" s="37"/>
    </row>
    <row r="3294" spans="1:10" x14ac:dyDescent="0.3">
      <c r="A3294" s="32" t="s">
        <v>23</v>
      </c>
      <c r="B3294" s="32">
        <f t="shared" si="782"/>
        <v>2047</v>
      </c>
      <c r="C3294" s="33" t="s">
        <v>110</v>
      </c>
      <c r="D3294" s="34" t="s">
        <v>2002</v>
      </c>
      <c r="E3294" s="35" t="str">
        <f t="shared" si="780"/>
        <v>PSND'!</v>
      </c>
      <c r="F3294" s="34" t="str">
        <f t="shared" si="781"/>
        <v>C:\Users\jaime.benazar\Quorum Business Solutions\Ecopetrol Prometeo - Documents\Planning Space Implementation\3. Analysis &amp; Design\Design\FC22\DRR Jaime\Neiva CPI\[DINA TERCIARIOS_CF_SEC_New_27-Mar-2024.xlsx]D-PSND'!</v>
      </c>
      <c r="G3294" s="32" t="s">
        <v>123</v>
      </c>
      <c r="H3294" s="33"/>
      <c r="I3294" s="33"/>
      <c r="J3294" s="37"/>
    </row>
    <row r="3295" spans="1:10" x14ac:dyDescent="0.3">
      <c r="A3295" s="32" t="s">
        <v>23</v>
      </c>
      <c r="B3295" s="32">
        <f t="shared" si="782"/>
        <v>2048</v>
      </c>
      <c r="C3295" s="33" t="s">
        <v>110</v>
      </c>
      <c r="D3295" s="34" t="s">
        <v>2002</v>
      </c>
      <c r="E3295" s="35" t="str">
        <f t="shared" si="780"/>
        <v>PSND'!</v>
      </c>
      <c r="F3295" s="34" t="str">
        <f t="shared" si="781"/>
        <v>C:\Users\jaime.benazar\Quorum Business Solutions\Ecopetrol Prometeo - Documents\Planning Space Implementation\3. Analysis &amp; Design\Design\FC22\DRR Jaime\Neiva CPI\[DINA TERCIARIOS_CF_SEC_New_27-Mar-2024.xlsx]D-PSND'!</v>
      </c>
      <c r="G3295" s="32" t="s">
        <v>123</v>
      </c>
      <c r="H3295" s="33"/>
      <c r="I3295" s="33"/>
      <c r="J3295" s="37"/>
    </row>
    <row r="3296" spans="1:10" x14ac:dyDescent="0.3">
      <c r="A3296" s="32" t="s">
        <v>23</v>
      </c>
      <c r="B3296" s="32">
        <f t="shared" si="782"/>
        <v>2049</v>
      </c>
      <c r="C3296" s="33" t="s">
        <v>110</v>
      </c>
      <c r="D3296" s="34" t="s">
        <v>2002</v>
      </c>
      <c r="E3296" s="35" t="str">
        <f t="shared" si="780"/>
        <v>PSND'!</v>
      </c>
      <c r="F3296" s="34" t="str">
        <f t="shared" si="781"/>
        <v>C:\Users\jaime.benazar\Quorum Business Solutions\Ecopetrol Prometeo - Documents\Planning Space Implementation\3. Analysis &amp; Design\Design\FC22\DRR Jaime\Neiva CPI\[DINA TERCIARIOS_CF_SEC_New_27-Mar-2024.xlsx]D-PSND'!</v>
      </c>
      <c r="G3296" s="32" t="s">
        <v>123</v>
      </c>
      <c r="H3296" s="33"/>
      <c r="I3296" s="33"/>
      <c r="J3296" s="37"/>
    </row>
    <row r="3297" spans="1:10" x14ac:dyDescent="0.3">
      <c r="A3297" s="32" t="s">
        <v>23</v>
      </c>
      <c r="B3297" s="32">
        <f t="shared" si="782"/>
        <v>2050</v>
      </c>
      <c r="C3297" s="33" t="s">
        <v>110</v>
      </c>
      <c r="D3297" s="34" t="s">
        <v>2002</v>
      </c>
      <c r="E3297" s="35" t="str">
        <f t="shared" si="780"/>
        <v>PSND'!</v>
      </c>
      <c r="F3297" s="34" t="str">
        <f t="shared" si="781"/>
        <v>C:\Users\jaime.benazar\Quorum Business Solutions\Ecopetrol Prometeo - Documents\Planning Space Implementation\3. Analysis &amp; Design\Design\FC22\DRR Jaime\Neiva CPI\[DINA TERCIARIOS_CF_SEC_New_27-Mar-2024.xlsx]D-PSND'!</v>
      </c>
      <c r="G3297" s="32" t="s">
        <v>123</v>
      </c>
      <c r="H3297" s="33"/>
      <c r="I3297" s="33"/>
      <c r="J3297" s="37"/>
    </row>
    <row r="3298" spans="1:10" x14ac:dyDescent="0.3">
      <c r="A3298" s="32" t="s">
        <v>23</v>
      </c>
      <c r="B3298" s="32">
        <f t="shared" si="782"/>
        <v>2051</v>
      </c>
      <c r="C3298" s="33" t="s">
        <v>110</v>
      </c>
      <c r="D3298" s="34" t="s">
        <v>2002</v>
      </c>
      <c r="E3298" s="35" t="str">
        <f t="shared" si="780"/>
        <v>PSND'!</v>
      </c>
      <c r="F3298" s="34" t="str">
        <f t="shared" si="781"/>
        <v>C:\Users\jaime.benazar\Quorum Business Solutions\Ecopetrol Prometeo - Documents\Planning Space Implementation\3. Analysis &amp; Design\Design\FC22\DRR Jaime\Neiva CPI\[DINA TERCIARIOS_CF_SEC_New_27-Mar-2024.xlsx]D-PSND'!</v>
      </c>
      <c r="G3298" s="32" t="s">
        <v>123</v>
      </c>
      <c r="H3298" s="33"/>
      <c r="I3298" s="33"/>
      <c r="J3298" s="37"/>
    </row>
    <row r="3299" spans="1:10" x14ac:dyDescent="0.3">
      <c r="A3299" s="32" t="s">
        <v>23</v>
      </c>
      <c r="B3299" s="32">
        <f t="shared" si="782"/>
        <v>2052</v>
      </c>
      <c r="C3299" s="33" t="s">
        <v>110</v>
      </c>
      <c r="D3299" s="34" t="s">
        <v>2002</v>
      </c>
      <c r="E3299" s="35" t="str">
        <f t="shared" si="780"/>
        <v>PSND'!</v>
      </c>
      <c r="F3299" s="34" t="str">
        <f t="shared" si="781"/>
        <v>C:\Users\jaime.benazar\Quorum Business Solutions\Ecopetrol Prometeo - Documents\Planning Space Implementation\3. Analysis &amp; Design\Design\FC22\DRR Jaime\Neiva CPI\[DINA TERCIARIOS_CF_SEC_New_27-Mar-2024.xlsx]D-PSND'!</v>
      </c>
      <c r="G3299" s="32" t="s">
        <v>123</v>
      </c>
      <c r="H3299" s="33"/>
      <c r="I3299" s="33"/>
      <c r="J3299" s="37"/>
    </row>
    <row r="3300" spans="1:10" x14ac:dyDescent="0.3">
      <c r="A3300" s="32" t="s">
        <v>23</v>
      </c>
      <c r="B3300" s="32">
        <f t="shared" si="782"/>
        <v>2053</v>
      </c>
      <c r="C3300" s="33" t="s">
        <v>110</v>
      </c>
      <c r="D3300" s="34" t="s">
        <v>2002</v>
      </c>
      <c r="E3300" s="35" t="str">
        <f t="shared" si="780"/>
        <v>PSND'!</v>
      </c>
      <c r="F3300" s="34" t="str">
        <f t="shared" si="781"/>
        <v>C:\Users\jaime.benazar\Quorum Business Solutions\Ecopetrol Prometeo - Documents\Planning Space Implementation\3. Analysis &amp; Design\Design\FC22\DRR Jaime\Neiva CPI\[DINA TERCIARIOS_CF_SEC_New_27-Mar-2024.xlsx]D-PSND'!</v>
      </c>
      <c r="G3300" s="32" t="s">
        <v>123</v>
      </c>
      <c r="H3300" s="33"/>
      <c r="I3300" s="33"/>
      <c r="J3300" s="37"/>
    </row>
    <row r="3301" spans="1:10" x14ac:dyDescent="0.3">
      <c r="A3301" s="32" t="s">
        <v>23</v>
      </c>
      <c r="B3301" s="32">
        <f t="shared" si="782"/>
        <v>2054</v>
      </c>
      <c r="C3301" s="33" t="s">
        <v>110</v>
      </c>
      <c r="D3301" s="34" t="s">
        <v>2002</v>
      </c>
      <c r="E3301" s="35" t="str">
        <f t="shared" si="780"/>
        <v>PSND'!</v>
      </c>
      <c r="F3301" s="34" t="str">
        <f t="shared" si="781"/>
        <v>C:\Users\jaime.benazar\Quorum Business Solutions\Ecopetrol Prometeo - Documents\Planning Space Implementation\3. Analysis &amp; Design\Design\FC22\DRR Jaime\Neiva CPI\[DINA TERCIARIOS_CF_SEC_New_27-Mar-2024.xlsx]D-PSND'!</v>
      </c>
      <c r="G3301" s="32" t="s">
        <v>123</v>
      </c>
      <c r="H3301" s="33"/>
      <c r="I3301" s="33"/>
      <c r="J3301" s="37"/>
    </row>
    <row r="3302" spans="1:10" x14ac:dyDescent="0.3">
      <c r="A3302" s="32" t="s">
        <v>23</v>
      </c>
      <c r="B3302" s="32">
        <f t="shared" si="782"/>
        <v>2055</v>
      </c>
      <c r="C3302" s="33" t="s">
        <v>110</v>
      </c>
      <c r="D3302" s="34" t="s">
        <v>2002</v>
      </c>
      <c r="E3302" s="35" t="str">
        <f t="shared" si="780"/>
        <v>PSND'!</v>
      </c>
      <c r="F3302" s="34" t="str">
        <f t="shared" si="781"/>
        <v>C:\Users\jaime.benazar\Quorum Business Solutions\Ecopetrol Prometeo - Documents\Planning Space Implementation\3. Analysis &amp; Design\Design\FC22\DRR Jaime\Neiva CPI\[DINA TERCIARIOS_CF_SEC_New_27-Mar-2024.xlsx]D-PSND'!</v>
      </c>
      <c r="G3302" s="32" t="s">
        <v>123</v>
      </c>
      <c r="H3302" s="33"/>
      <c r="I3302" s="33"/>
      <c r="J3302" s="37"/>
    </row>
    <row r="3303" spans="1:10" x14ac:dyDescent="0.3">
      <c r="A3303" s="32" t="s">
        <v>23</v>
      </c>
      <c r="B3303" s="32">
        <f t="shared" si="782"/>
        <v>2056</v>
      </c>
      <c r="C3303" s="33" t="s">
        <v>110</v>
      </c>
      <c r="D3303" s="34" t="s">
        <v>2002</v>
      </c>
      <c r="E3303" s="35" t="str">
        <f t="shared" si="780"/>
        <v>PSND'!</v>
      </c>
      <c r="F3303" s="34" t="str">
        <f t="shared" si="781"/>
        <v>C:\Users\jaime.benazar\Quorum Business Solutions\Ecopetrol Prometeo - Documents\Planning Space Implementation\3. Analysis &amp; Design\Design\FC22\DRR Jaime\Neiva CPI\[DINA TERCIARIOS_CF_SEC_New_27-Mar-2024.xlsx]D-PSND'!</v>
      </c>
      <c r="G3303" s="32" t="s">
        <v>123</v>
      </c>
      <c r="H3303" s="33"/>
      <c r="I3303" s="33"/>
      <c r="J3303" s="37"/>
    </row>
    <row r="3304" spans="1:10" x14ac:dyDescent="0.3">
      <c r="A3304" s="32" t="s">
        <v>23</v>
      </c>
      <c r="B3304" s="32">
        <f t="shared" si="782"/>
        <v>2057</v>
      </c>
      <c r="C3304" s="33" t="s">
        <v>110</v>
      </c>
      <c r="D3304" s="34" t="s">
        <v>2002</v>
      </c>
      <c r="E3304" s="35" t="str">
        <f t="shared" si="780"/>
        <v>PSND'!</v>
      </c>
      <c r="F3304" s="34" t="str">
        <f t="shared" si="781"/>
        <v>C:\Users\jaime.benazar\Quorum Business Solutions\Ecopetrol Prometeo - Documents\Planning Space Implementation\3. Analysis &amp; Design\Design\FC22\DRR Jaime\Neiva CPI\[DINA TERCIARIOS_CF_SEC_New_27-Mar-2024.xlsx]D-PSND'!</v>
      </c>
      <c r="G3304" s="32" t="s">
        <v>123</v>
      </c>
      <c r="H3304" s="33"/>
      <c r="I3304" s="33"/>
      <c r="J3304" s="37"/>
    </row>
    <row r="3305" spans="1:10" x14ac:dyDescent="0.3">
      <c r="A3305" s="32" t="s">
        <v>23</v>
      </c>
      <c r="B3305" s="32">
        <f t="shared" si="782"/>
        <v>2058</v>
      </c>
      <c r="C3305" s="33" t="s">
        <v>110</v>
      </c>
      <c r="D3305" s="34" t="s">
        <v>2002</v>
      </c>
      <c r="E3305" s="35" t="str">
        <f t="shared" si="780"/>
        <v>PSND'!</v>
      </c>
      <c r="F3305" s="34" t="str">
        <f t="shared" si="781"/>
        <v>C:\Users\jaime.benazar\Quorum Business Solutions\Ecopetrol Prometeo - Documents\Planning Space Implementation\3. Analysis &amp; Design\Design\FC22\DRR Jaime\Neiva CPI\[DINA TERCIARIOS_CF_SEC_New_27-Mar-2024.xlsx]D-PSND'!</v>
      </c>
      <c r="G3305" s="32" t="s">
        <v>123</v>
      </c>
      <c r="H3305" s="33"/>
      <c r="I3305" s="33"/>
      <c r="J3305" s="37"/>
    </row>
    <row r="3306" spans="1:10" x14ac:dyDescent="0.3">
      <c r="A3306" s="32" t="s">
        <v>23</v>
      </c>
      <c r="B3306" s="32">
        <f t="shared" si="782"/>
        <v>2059</v>
      </c>
      <c r="C3306" s="33" t="s">
        <v>110</v>
      </c>
      <c r="D3306" s="34" t="s">
        <v>2002</v>
      </c>
      <c r="E3306" s="35" t="str">
        <f t="shared" si="780"/>
        <v>PSND'!</v>
      </c>
      <c r="F3306" s="34" t="str">
        <f t="shared" si="781"/>
        <v>C:\Users\jaime.benazar\Quorum Business Solutions\Ecopetrol Prometeo - Documents\Planning Space Implementation\3. Analysis &amp; Design\Design\FC22\DRR Jaime\Neiva CPI\[DINA TERCIARIOS_CF_SEC_New_27-Mar-2024.xlsx]D-PSND'!</v>
      </c>
      <c r="G3306" s="32" t="s">
        <v>123</v>
      </c>
      <c r="H3306" s="33"/>
      <c r="I3306" s="33"/>
      <c r="J3306" s="37"/>
    </row>
    <row r="3307" spans="1:10" x14ac:dyDescent="0.3">
      <c r="A3307" s="32" t="s">
        <v>26</v>
      </c>
      <c r="B3307" s="32"/>
      <c r="C3307" s="33" t="s">
        <v>110</v>
      </c>
      <c r="D3307" s="34"/>
      <c r="E3307" s="32" t="str">
        <f t="shared" si="778"/>
        <v>Total'!</v>
      </c>
      <c r="F3307" s="33"/>
      <c r="G3307" s="32"/>
      <c r="H3307" s="33"/>
      <c r="I3307" s="33"/>
      <c r="J3307" s="33"/>
    </row>
    <row r="3308" spans="1:10" x14ac:dyDescent="0.3">
      <c r="A3308" s="32" t="s">
        <v>24</v>
      </c>
      <c r="B3308" s="32">
        <v>2023</v>
      </c>
      <c r="C3308" s="33" t="s">
        <v>110</v>
      </c>
      <c r="D3308" s="34" t="s">
        <v>2002</v>
      </c>
      <c r="E3308" s="35" t="str">
        <f t="shared" si="719"/>
        <v>PS'!</v>
      </c>
      <c r="F3308" s="34" t="str">
        <f t="shared" si="720"/>
        <v>C:\Users\jaime.benazar\Quorum Business Solutions\Ecopetrol Prometeo - Documents\Planning Space Implementation\3. Analysis &amp; Design\Design\FC22\DRR Jaime\Neiva CPI\[DINA TERCIARIOS_CF_SEC_New_27-Mar-2024.xlsx]D-PS'!</v>
      </c>
      <c r="G3308" s="32" t="s">
        <v>123</v>
      </c>
      <c r="H3308" s="33">
        <v>12</v>
      </c>
      <c r="I3308" s="33" t="str">
        <f t="shared" ref="I3308:I3328" si="783">_xlfn.CONCAT("='",F3308:H3308)</f>
        <v>='C:\Users\jaime.benazar\Quorum Business Solutions\Ecopetrol Prometeo - Documents\Planning Space Implementation\3. Analysis &amp; Design\Design\FC22\DRR Jaime\Neiva CPI\[DINA TERCIARIOS_CF_SEC_New_27-Mar-2024.xlsx]D-PS'!$DT$12</v>
      </c>
      <c r="J3308" s="37" t="s">
        <v>3446</v>
      </c>
    </row>
    <row r="3309" spans="1:10" x14ac:dyDescent="0.3">
      <c r="A3309" s="32" t="s">
        <v>24</v>
      </c>
      <c r="B3309" s="32">
        <f>+B3308+1</f>
        <v>2024</v>
      </c>
      <c r="C3309" s="33" t="s">
        <v>110</v>
      </c>
      <c r="D3309" s="34" t="s">
        <v>2002</v>
      </c>
      <c r="E3309" s="35" t="str">
        <f t="shared" si="719"/>
        <v>PS'!</v>
      </c>
      <c r="F3309" s="34" t="str">
        <f t="shared" si="720"/>
        <v>C:\Users\jaime.benazar\Quorum Business Solutions\Ecopetrol Prometeo - Documents\Planning Space Implementation\3. Analysis &amp; Design\Design\FC22\DRR Jaime\Neiva CPI\[DINA TERCIARIOS_CF_SEC_New_27-Mar-2024.xlsx]D-PS'!</v>
      </c>
      <c r="G3309" s="32" t="s">
        <v>123</v>
      </c>
      <c r="H3309" s="33">
        <f t="shared" ref="H3309:H3328" si="784">IF(A3309&lt;&gt;A3308,12,H3308+1)</f>
        <v>13</v>
      </c>
      <c r="I3309" s="33" t="str">
        <f t="shared" si="783"/>
        <v>='C:\Users\jaime.benazar\Quorum Business Solutions\Ecopetrol Prometeo - Documents\Planning Space Implementation\3. Analysis &amp; Design\Design\FC22\DRR Jaime\Neiva CPI\[DINA TERCIARIOS_CF_SEC_New_27-Mar-2024.xlsx]D-PS'!$DT$13</v>
      </c>
      <c r="J3309" s="37" t="s">
        <v>3447</v>
      </c>
    </row>
    <row r="3310" spans="1:10" x14ac:dyDescent="0.3">
      <c r="A3310" s="32" t="s">
        <v>24</v>
      </c>
      <c r="B3310" s="32">
        <f t="shared" ref="B3310:B3321" si="785">+B3309+1</f>
        <v>2025</v>
      </c>
      <c r="C3310" s="33" t="s">
        <v>110</v>
      </c>
      <c r="D3310" s="34" t="s">
        <v>2002</v>
      </c>
      <c r="E3310" s="35" t="str">
        <f t="shared" si="719"/>
        <v>PS'!</v>
      </c>
      <c r="F3310" s="34" t="str">
        <f t="shared" si="720"/>
        <v>C:\Users\jaime.benazar\Quorum Business Solutions\Ecopetrol Prometeo - Documents\Planning Space Implementation\3. Analysis &amp; Design\Design\FC22\DRR Jaime\Neiva CPI\[DINA TERCIARIOS_CF_SEC_New_27-Mar-2024.xlsx]D-PS'!</v>
      </c>
      <c r="G3310" s="32" t="s">
        <v>123</v>
      </c>
      <c r="H3310" s="33">
        <f t="shared" si="784"/>
        <v>14</v>
      </c>
      <c r="I3310" s="33" t="str">
        <f t="shared" si="783"/>
        <v>='C:\Users\jaime.benazar\Quorum Business Solutions\Ecopetrol Prometeo - Documents\Planning Space Implementation\3. Analysis &amp; Design\Design\FC22\DRR Jaime\Neiva CPI\[DINA TERCIARIOS_CF_SEC_New_27-Mar-2024.xlsx]D-PS'!$DT$14</v>
      </c>
      <c r="J3310" s="37" t="s">
        <v>3448</v>
      </c>
    </row>
    <row r="3311" spans="1:10" x14ac:dyDescent="0.3">
      <c r="A3311" s="32" t="s">
        <v>24</v>
      </c>
      <c r="B3311" s="32">
        <f t="shared" si="785"/>
        <v>2026</v>
      </c>
      <c r="C3311" s="33" t="s">
        <v>110</v>
      </c>
      <c r="D3311" s="34" t="s">
        <v>2002</v>
      </c>
      <c r="E3311" s="35" t="str">
        <f t="shared" si="719"/>
        <v>PS'!</v>
      </c>
      <c r="F3311" s="34" t="str">
        <f t="shared" si="720"/>
        <v>C:\Users\jaime.benazar\Quorum Business Solutions\Ecopetrol Prometeo - Documents\Planning Space Implementation\3. Analysis &amp; Design\Design\FC22\DRR Jaime\Neiva CPI\[DINA TERCIARIOS_CF_SEC_New_27-Mar-2024.xlsx]D-PS'!</v>
      </c>
      <c r="G3311" s="32" t="s">
        <v>123</v>
      </c>
      <c r="H3311" s="33">
        <f t="shared" si="784"/>
        <v>15</v>
      </c>
      <c r="I3311" s="33" t="str">
        <f t="shared" si="783"/>
        <v>='C:\Users\jaime.benazar\Quorum Business Solutions\Ecopetrol Prometeo - Documents\Planning Space Implementation\3. Analysis &amp; Design\Design\FC22\DRR Jaime\Neiva CPI\[DINA TERCIARIOS_CF_SEC_New_27-Mar-2024.xlsx]D-PS'!$DT$15</v>
      </c>
      <c r="J3311" s="37" t="s">
        <v>3449</v>
      </c>
    </row>
    <row r="3312" spans="1:10" x14ac:dyDescent="0.3">
      <c r="A3312" s="32" t="s">
        <v>24</v>
      </c>
      <c r="B3312" s="32">
        <f t="shared" si="785"/>
        <v>2027</v>
      </c>
      <c r="C3312" s="33" t="s">
        <v>110</v>
      </c>
      <c r="D3312" s="34" t="s">
        <v>2002</v>
      </c>
      <c r="E3312" s="35" t="str">
        <f t="shared" si="719"/>
        <v>PS'!</v>
      </c>
      <c r="F3312" s="34" t="str">
        <f t="shared" si="720"/>
        <v>C:\Users\jaime.benazar\Quorum Business Solutions\Ecopetrol Prometeo - Documents\Planning Space Implementation\3. Analysis &amp; Design\Design\FC22\DRR Jaime\Neiva CPI\[DINA TERCIARIOS_CF_SEC_New_27-Mar-2024.xlsx]D-PS'!</v>
      </c>
      <c r="G3312" s="32" t="s">
        <v>123</v>
      </c>
      <c r="H3312" s="33">
        <f t="shared" si="784"/>
        <v>16</v>
      </c>
      <c r="I3312" s="33" t="str">
        <f t="shared" si="783"/>
        <v>='C:\Users\jaime.benazar\Quorum Business Solutions\Ecopetrol Prometeo - Documents\Planning Space Implementation\3. Analysis &amp; Design\Design\FC22\DRR Jaime\Neiva CPI\[DINA TERCIARIOS_CF_SEC_New_27-Mar-2024.xlsx]D-PS'!$DT$16</v>
      </c>
      <c r="J3312" s="37" t="s">
        <v>3450</v>
      </c>
    </row>
    <row r="3313" spans="1:10" x14ac:dyDescent="0.3">
      <c r="A3313" s="32" t="s">
        <v>24</v>
      </c>
      <c r="B3313" s="32">
        <f t="shared" si="785"/>
        <v>2028</v>
      </c>
      <c r="C3313" s="33" t="s">
        <v>110</v>
      </c>
      <c r="D3313" s="34" t="s">
        <v>2002</v>
      </c>
      <c r="E3313" s="35" t="str">
        <f t="shared" si="719"/>
        <v>PS'!</v>
      </c>
      <c r="F3313" s="34" t="str">
        <f t="shared" si="720"/>
        <v>C:\Users\jaime.benazar\Quorum Business Solutions\Ecopetrol Prometeo - Documents\Planning Space Implementation\3. Analysis &amp; Design\Design\FC22\DRR Jaime\Neiva CPI\[DINA TERCIARIOS_CF_SEC_New_27-Mar-2024.xlsx]D-PS'!</v>
      </c>
      <c r="G3313" s="32" t="s">
        <v>123</v>
      </c>
      <c r="H3313" s="33">
        <f t="shared" si="784"/>
        <v>17</v>
      </c>
      <c r="I3313" s="33" t="str">
        <f t="shared" si="783"/>
        <v>='C:\Users\jaime.benazar\Quorum Business Solutions\Ecopetrol Prometeo - Documents\Planning Space Implementation\3. Analysis &amp; Design\Design\FC22\DRR Jaime\Neiva CPI\[DINA TERCIARIOS_CF_SEC_New_27-Mar-2024.xlsx]D-PS'!$DT$17</v>
      </c>
      <c r="J3313" s="37" t="s">
        <v>3451</v>
      </c>
    </row>
    <row r="3314" spans="1:10" x14ac:dyDescent="0.3">
      <c r="A3314" s="32" t="s">
        <v>24</v>
      </c>
      <c r="B3314" s="32">
        <f t="shared" si="785"/>
        <v>2029</v>
      </c>
      <c r="C3314" s="33" t="s">
        <v>110</v>
      </c>
      <c r="D3314" s="34" t="s">
        <v>2002</v>
      </c>
      <c r="E3314" s="35" t="str">
        <f t="shared" si="719"/>
        <v>PS'!</v>
      </c>
      <c r="F3314" s="34" t="str">
        <f t="shared" si="720"/>
        <v>C:\Users\jaime.benazar\Quorum Business Solutions\Ecopetrol Prometeo - Documents\Planning Space Implementation\3. Analysis &amp; Design\Design\FC22\DRR Jaime\Neiva CPI\[DINA TERCIARIOS_CF_SEC_New_27-Mar-2024.xlsx]D-PS'!</v>
      </c>
      <c r="G3314" s="32" t="s">
        <v>123</v>
      </c>
      <c r="H3314" s="33">
        <f t="shared" si="784"/>
        <v>18</v>
      </c>
      <c r="I3314" s="33" t="str">
        <f t="shared" si="783"/>
        <v>='C:\Users\jaime.benazar\Quorum Business Solutions\Ecopetrol Prometeo - Documents\Planning Space Implementation\3. Analysis &amp; Design\Design\FC22\DRR Jaime\Neiva CPI\[DINA TERCIARIOS_CF_SEC_New_27-Mar-2024.xlsx]D-PS'!$DT$18</v>
      </c>
      <c r="J3314" s="37" t="s">
        <v>3452</v>
      </c>
    </row>
    <row r="3315" spans="1:10" x14ac:dyDescent="0.3">
      <c r="A3315" s="32" t="s">
        <v>24</v>
      </c>
      <c r="B3315" s="32">
        <f t="shared" si="785"/>
        <v>2030</v>
      </c>
      <c r="C3315" s="33" t="s">
        <v>110</v>
      </c>
      <c r="D3315" s="34" t="s">
        <v>2002</v>
      </c>
      <c r="E3315" s="35" t="str">
        <f t="shared" si="719"/>
        <v>PS'!</v>
      </c>
      <c r="F3315" s="34" t="str">
        <f t="shared" si="720"/>
        <v>C:\Users\jaime.benazar\Quorum Business Solutions\Ecopetrol Prometeo - Documents\Planning Space Implementation\3. Analysis &amp; Design\Design\FC22\DRR Jaime\Neiva CPI\[DINA TERCIARIOS_CF_SEC_New_27-Mar-2024.xlsx]D-PS'!</v>
      </c>
      <c r="G3315" s="32" t="s">
        <v>123</v>
      </c>
      <c r="H3315" s="33">
        <f t="shared" si="784"/>
        <v>19</v>
      </c>
      <c r="I3315" s="33" t="str">
        <f t="shared" si="783"/>
        <v>='C:\Users\jaime.benazar\Quorum Business Solutions\Ecopetrol Prometeo - Documents\Planning Space Implementation\3. Analysis &amp; Design\Design\FC22\DRR Jaime\Neiva CPI\[DINA TERCIARIOS_CF_SEC_New_27-Mar-2024.xlsx]D-PS'!$DT$19</v>
      </c>
      <c r="J3315" s="37" t="s">
        <v>3453</v>
      </c>
    </row>
    <row r="3316" spans="1:10" x14ac:dyDescent="0.3">
      <c r="A3316" s="32" t="s">
        <v>24</v>
      </c>
      <c r="B3316" s="32">
        <f t="shared" si="785"/>
        <v>2031</v>
      </c>
      <c r="C3316" s="33" t="s">
        <v>110</v>
      </c>
      <c r="D3316" s="34" t="s">
        <v>2002</v>
      </c>
      <c r="E3316" s="35" t="str">
        <f t="shared" si="719"/>
        <v>PS'!</v>
      </c>
      <c r="F3316" s="34" t="str">
        <f t="shared" si="720"/>
        <v>C:\Users\jaime.benazar\Quorum Business Solutions\Ecopetrol Prometeo - Documents\Planning Space Implementation\3. Analysis &amp; Design\Design\FC22\DRR Jaime\Neiva CPI\[DINA TERCIARIOS_CF_SEC_New_27-Mar-2024.xlsx]D-PS'!</v>
      </c>
      <c r="G3316" s="32" t="s">
        <v>123</v>
      </c>
      <c r="H3316" s="33">
        <f t="shared" si="784"/>
        <v>20</v>
      </c>
      <c r="I3316" s="33" t="str">
        <f t="shared" si="783"/>
        <v>='C:\Users\jaime.benazar\Quorum Business Solutions\Ecopetrol Prometeo - Documents\Planning Space Implementation\3. Analysis &amp; Design\Design\FC22\DRR Jaime\Neiva CPI\[DINA TERCIARIOS_CF_SEC_New_27-Mar-2024.xlsx]D-PS'!$DT$20</v>
      </c>
      <c r="J3316" s="37" t="s">
        <v>3454</v>
      </c>
    </row>
    <row r="3317" spans="1:10" x14ac:dyDescent="0.3">
      <c r="A3317" s="32" t="s">
        <v>24</v>
      </c>
      <c r="B3317" s="32">
        <f t="shared" si="785"/>
        <v>2032</v>
      </c>
      <c r="C3317" s="33" t="s">
        <v>110</v>
      </c>
      <c r="D3317" s="34" t="s">
        <v>2002</v>
      </c>
      <c r="E3317" s="35" t="str">
        <f t="shared" si="719"/>
        <v>PS'!</v>
      </c>
      <c r="F3317" s="34" t="str">
        <f t="shared" si="720"/>
        <v>C:\Users\jaime.benazar\Quorum Business Solutions\Ecopetrol Prometeo - Documents\Planning Space Implementation\3. Analysis &amp; Design\Design\FC22\DRR Jaime\Neiva CPI\[DINA TERCIARIOS_CF_SEC_New_27-Mar-2024.xlsx]D-PS'!</v>
      </c>
      <c r="G3317" s="32" t="s">
        <v>123</v>
      </c>
      <c r="H3317" s="33">
        <f t="shared" si="784"/>
        <v>21</v>
      </c>
      <c r="I3317" s="33" t="str">
        <f t="shared" si="783"/>
        <v>='C:\Users\jaime.benazar\Quorum Business Solutions\Ecopetrol Prometeo - Documents\Planning Space Implementation\3. Analysis &amp; Design\Design\FC22\DRR Jaime\Neiva CPI\[DINA TERCIARIOS_CF_SEC_New_27-Mar-2024.xlsx]D-PS'!$DT$21</v>
      </c>
      <c r="J3317" s="37" t="s">
        <v>3455</v>
      </c>
    </row>
    <row r="3318" spans="1:10" x14ac:dyDescent="0.3">
      <c r="A3318" s="32" t="s">
        <v>24</v>
      </c>
      <c r="B3318" s="32">
        <f t="shared" si="785"/>
        <v>2033</v>
      </c>
      <c r="C3318" s="33" t="s">
        <v>110</v>
      </c>
      <c r="D3318" s="34" t="s">
        <v>2002</v>
      </c>
      <c r="E3318" s="35" t="str">
        <f t="shared" si="719"/>
        <v>PS'!</v>
      </c>
      <c r="F3318" s="34" t="str">
        <f t="shared" si="720"/>
        <v>C:\Users\jaime.benazar\Quorum Business Solutions\Ecopetrol Prometeo - Documents\Planning Space Implementation\3. Analysis &amp; Design\Design\FC22\DRR Jaime\Neiva CPI\[DINA TERCIARIOS_CF_SEC_New_27-Mar-2024.xlsx]D-PS'!</v>
      </c>
      <c r="G3318" s="32" t="s">
        <v>123</v>
      </c>
      <c r="H3318" s="33">
        <f t="shared" si="784"/>
        <v>22</v>
      </c>
      <c r="I3318" s="33" t="str">
        <f t="shared" si="783"/>
        <v>='C:\Users\jaime.benazar\Quorum Business Solutions\Ecopetrol Prometeo - Documents\Planning Space Implementation\3. Analysis &amp; Design\Design\FC22\DRR Jaime\Neiva CPI\[DINA TERCIARIOS_CF_SEC_New_27-Mar-2024.xlsx]D-PS'!$DT$22</v>
      </c>
      <c r="J3318" s="37" t="s">
        <v>3456</v>
      </c>
    </row>
    <row r="3319" spans="1:10" x14ac:dyDescent="0.3">
      <c r="A3319" s="32" t="s">
        <v>24</v>
      </c>
      <c r="B3319" s="32">
        <f t="shared" si="785"/>
        <v>2034</v>
      </c>
      <c r="C3319" s="33" t="s">
        <v>110</v>
      </c>
      <c r="D3319" s="34" t="s">
        <v>2002</v>
      </c>
      <c r="E3319" s="35" t="str">
        <f t="shared" si="719"/>
        <v>PS'!</v>
      </c>
      <c r="F3319" s="34" t="str">
        <f t="shared" si="720"/>
        <v>C:\Users\jaime.benazar\Quorum Business Solutions\Ecopetrol Prometeo - Documents\Planning Space Implementation\3. Analysis &amp; Design\Design\FC22\DRR Jaime\Neiva CPI\[DINA TERCIARIOS_CF_SEC_New_27-Mar-2024.xlsx]D-PS'!</v>
      </c>
      <c r="G3319" s="32" t="s">
        <v>123</v>
      </c>
      <c r="H3319" s="33">
        <f t="shared" si="784"/>
        <v>23</v>
      </c>
      <c r="I3319" s="33" t="str">
        <f t="shared" si="783"/>
        <v>='C:\Users\jaime.benazar\Quorum Business Solutions\Ecopetrol Prometeo - Documents\Planning Space Implementation\3. Analysis &amp; Design\Design\FC22\DRR Jaime\Neiva CPI\[DINA TERCIARIOS_CF_SEC_New_27-Mar-2024.xlsx]D-PS'!$DT$23</v>
      </c>
      <c r="J3319" s="37" t="s">
        <v>3457</v>
      </c>
    </row>
    <row r="3320" spans="1:10" x14ac:dyDescent="0.3">
      <c r="A3320" s="32" t="s">
        <v>24</v>
      </c>
      <c r="B3320" s="32">
        <f t="shared" si="785"/>
        <v>2035</v>
      </c>
      <c r="C3320" s="33" t="s">
        <v>110</v>
      </c>
      <c r="D3320" s="34" t="s">
        <v>2002</v>
      </c>
      <c r="E3320" s="35" t="str">
        <f t="shared" si="719"/>
        <v>PS'!</v>
      </c>
      <c r="F3320" s="34" t="str">
        <f t="shared" si="720"/>
        <v>C:\Users\jaime.benazar\Quorum Business Solutions\Ecopetrol Prometeo - Documents\Planning Space Implementation\3. Analysis &amp; Design\Design\FC22\DRR Jaime\Neiva CPI\[DINA TERCIARIOS_CF_SEC_New_27-Mar-2024.xlsx]D-PS'!</v>
      </c>
      <c r="G3320" s="32" t="s">
        <v>123</v>
      </c>
      <c r="H3320" s="33">
        <f t="shared" si="784"/>
        <v>24</v>
      </c>
      <c r="I3320" s="33" t="str">
        <f t="shared" si="783"/>
        <v>='C:\Users\jaime.benazar\Quorum Business Solutions\Ecopetrol Prometeo - Documents\Planning Space Implementation\3. Analysis &amp; Design\Design\FC22\DRR Jaime\Neiva CPI\[DINA TERCIARIOS_CF_SEC_New_27-Mar-2024.xlsx]D-PS'!$DT$24</v>
      </c>
      <c r="J3320" s="37" t="s">
        <v>3458</v>
      </c>
    </row>
    <row r="3321" spans="1:10" x14ac:dyDescent="0.3">
      <c r="A3321" s="32" t="s">
        <v>24</v>
      </c>
      <c r="B3321" s="32">
        <f t="shared" si="785"/>
        <v>2036</v>
      </c>
      <c r="C3321" s="33" t="s">
        <v>110</v>
      </c>
      <c r="D3321" s="34" t="s">
        <v>2002</v>
      </c>
      <c r="E3321" s="35" t="str">
        <f t="shared" si="719"/>
        <v>PS'!</v>
      </c>
      <c r="F3321" s="34" t="str">
        <f t="shared" si="720"/>
        <v>C:\Users\jaime.benazar\Quorum Business Solutions\Ecopetrol Prometeo - Documents\Planning Space Implementation\3. Analysis &amp; Design\Design\FC22\DRR Jaime\Neiva CPI\[DINA TERCIARIOS_CF_SEC_New_27-Mar-2024.xlsx]D-PS'!</v>
      </c>
      <c r="G3321" s="32" t="s">
        <v>123</v>
      </c>
      <c r="H3321" s="33">
        <f t="shared" si="784"/>
        <v>25</v>
      </c>
      <c r="I3321" s="33" t="str">
        <f t="shared" si="783"/>
        <v>='C:\Users\jaime.benazar\Quorum Business Solutions\Ecopetrol Prometeo - Documents\Planning Space Implementation\3. Analysis &amp; Design\Design\FC22\DRR Jaime\Neiva CPI\[DINA TERCIARIOS_CF_SEC_New_27-Mar-2024.xlsx]D-PS'!$DT$25</v>
      </c>
      <c r="J3321" s="37" t="s">
        <v>3459</v>
      </c>
    </row>
    <row r="3322" spans="1:10" x14ac:dyDescent="0.3">
      <c r="A3322" s="32" t="s">
        <v>24</v>
      </c>
      <c r="B3322" s="32">
        <f>+B3321+1</f>
        <v>2037</v>
      </c>
      <c r="C3322" s="33" t="s">
        <v>110</v>
      </c>
      <c r="D3322" s="34" t="s">
        <v>2002</v>
      </c>
      <c r="E3322" s="35" t="str">
        <f t="shared" si="719"/>
        <v>PS'!</v>
      </c>
      <c r="F3322" s="34" t="str">
        <f t="shared" si="720"/>
        <v>C:\Users\jaime.benazar\Quorum Business Solutions\Ecopetrol Prometeo - Documents\Planning Space Implementation\3. Analysis &amp; Design\Design\FC22\DRR Jaime\Neiva CPI\[DINA TERCIARIOS_CF_SEC_New_27-Mar-2024.xlsx]D-PS'!</v>
      </c>
      <c r="G3322" s="32" t="s">
        <v>123</v>
      </c>
      <c r="H3322" s="33">
        <f t="shared" si="784"/>
        <v>26</v>
      </c>
      <c r="I3322" s="33" t="str">
        <f t="shared" si="783"/>
        <v>='C:\Users\jaime.benazar\Quorum Business Solutions\Ecopetrol Prometeo - Documents\Planning Space Implementation\3. Analysis &amp; Design\Design\FC22\DRR Jaime\Neiva CPI\[DINA TERCIARIOS_CF_SEC_New_27-Mar-2024.xlsx]D-PS'!$DT$26</v>
      </c>
      <c r="J3322" s="37" t="s">
        <v>3460</v>
      </c>
    </row>
    <row r="3323" spans="1:10" x14ac:dyDescent="0.3">
      <c r="A3323" s="32" t="s">
        <v>24</v>
      </c>
      <c r="B3323" s="32">
        <f t="shared" ref="B3323:B3325" si="786">+B3322+1</f>
        <v>2038</v>
      </c>
      <c r="C3323" s="33" t="s">
        <v>110</v>
      </c>
      <c r="D3323" s="34" t="s">
        <v>2002</v>
      </c>
      <c r="E3323" s="35" t="str">
        <f t="shared" si="719"/>
        <v>PS'!</v>
      </c>
      <c r="F3323" s="34" t="str">
        <f t="shared" si="720"/>
        <v>C:\Users\jaime.benazar\Quorum Business Solutions\Ecopetrol Prometeo - Documents\Planning Space Implementation\3. Analysis &amp; Design\Design\FC22\DRR Jaime\Neiva CPI\[DINA TERCIARIOS_CF_SEC_New_27-Mar-2024.xlsx]D-PS'!</v>
      </c>
      <c r="G3323" s="32" t="s">
        <v>123</v>
      </c>
      <c r="H3323" s="33">
        <f t="shared" si="784"/>
        <v>27</v>
      </c>
      <c r="I3323" s="33" t="str">
        <f t="shared" si="783"/>
        <v>='C:\Users\jaime.benazar\Quorum Business Solutions\Ecopetrol Prometeo - Documents\Planning Space Implementation\3. Analysis &amp; Design\Design\FC22\DRR Jaime\Neiva CPI\[DINA TERCIARIOS_CF_SEC_New_27-Mar-2024.xlsx]D-PS'!$DT$27</v>
      </c>
      <c r="J3323" s="37" t="s">
        <v>3461</v>
      </c>
    </row>
    <row r="3324" spans="1:10" x14ac:dyDescent="0.3">
      <c r="A3324" s="32" t="s">
        <v>24</v>
      </c>
      <c r="B3324" s="32">
        <f t="shared" si="786"/>
        <v>2039</v>
      </c>
      <c r="C3324" s="33" t="s">
        <v>110</v>
      </c>
      <c r="D3324" s="34" t="s">
        <v>2002</v>
      </c>
      <c r="E3324" s="35" t="str">
        <f t="shared" si="719"/>
        <v>PS'!</v>
      </c>
      <c r="F3324" s="34" t="str">
        <f t="shared" si="720"/>
        <v>C:\Users\jaime.benazar\Quorum Business Solutions\Ecopetrol Prometeo - Documents\Planning Space Implementation\3. Analysis &amp; Design\Design\FC22\DRR Jaime\Neiva CPI\[DINA TERCIARIOS_CF_SEC_New_27-Mar-2024.xlsx]D-PS'!</v>
      </c>
      <c r="G3324" s="32" t="s">
        <v>123</v>
      </c>
      <c r="H3324" s="33">
        <f t="shared" si="784"/>
        <v>28</v>
      </c>
      <c r="I3324" s="33" t="str">
        <f t="shared" si="783"/>
        <v>='C:\Users\jaime.benazar\Quorum Business Solutions\Ecopetrol Prometeo - Documents\Planning Space Implementation\3. Analysis &amp; Design\Design\FC22\DRR Jaime\Neiva CPI\[DINA TERCIARIOS_CF_SEC_New_27-Mar-2024.xlsx]D-PS'!$DT$28</v>
      </c>
      <c r="J3324" s="37" t="s">
        <v>3462</v>
      </c>
    </row>
    <row r="3325" spans="1:10" x14ac:dyDescent="0.3">
      <c r="A3325" s="32" t="s">
        <v>24</v>
      </c>
      <c r="B3325" s="32">
        <f t="shared" si="786"/>
        <v>2040</v>
      </c>
      <c r="C3325" s="33" t="s">
        <v>110</v>
      </c>
      <c r="D3325" s="34" t="s">
        <v>2002</v>
      </c>
      <c r="E3325" s="35" t="str">
        <f t="shared" si="719"/>
        <v>PS'!</v>
      </c>
      <c r="F3325" s="34" t="str">
        <f t="shared" si="720"/>
        <v>C:\Users\jaime.benazar\Quorum Business Solutions\Ecopetrol Prometeo - Documents\Planning Space Implementation\3. Analysis &amp; Design\Design\FC22\DRR Jaime\Neiva CPI\[DINA TERCIARIOS_CF_SEC_New_27-Mar-2024.xlsx]D-PS'!</v>
      </c>
      <c r="G3325" s="32" t="s">
        <v>123</v>
      </c>
      <c r="H3325" s="33">
        <f t="shared" si="784"/>
        <v>29</v>
      </c>
      <c r="I3325" s="33" t="str">
        <f t="shared" si="783"/>
        <v>='C:\Users\jaime.benazar\Quorum Business Solutions\Ecopetrol Prometeo - Documents\Planning Space Implementation\3. Analysis &amp; Design\Design\FC22\DRR Jaime\Neiva CPI\[DINA TERCIARIOS_CF_SEC_New_27-Mar-2024.xlsx]D-PS'!$DT$29</v>
      </c>
      <c r="J3325" s="37" t="s">
        <v>3463</v>
      </c>
    </row>
    <row r="3326" spans="1:10" x14ac:dyDescent="0.3">
      <c r="A3326" s="32" t="s">
        <v>24</v>
      </c>
      <c r="B3326" s="32">
        <f>+B3325+1</f>
        <v>2041</v>
      </c>
      <c r="C3326" s="33" t="s">
        <v>110</v>
      </c>
      <c r="D3326" s="34" t="s">
        <v>2002</v>
      </c>
      <c r="E3326" s="35" t="str">
        <f t="shared" si="719"/>
        <v>PS'!</v>
      </c>
      <c r="F3326" s="34" t="str">
        <f t="shared" si="720"/>
        <v>C:\Users\jaime.benazar\Quorum Business Solutions\Ecopetrol Prometeo - Documents\Planning Space Implementation\3. Analysis &amp; Design\Design\FC22\DRR Jaime\Neiva CPI\[DINA TERCIARIOS_CF_SEC_New_27-Mar-2024.xlsx]D-PS'!</v>
      </c>
      <c r="G3326" s="32" t="s">
        <v>123</v>
      </c>
      <c r="H3326" s="33">
        <f t="shared" si="784"/>
        <v>30</v>
      </c>
      <c r="I3326" s="33" t="str">
        <f t="shared" si="783"/>
        <v>='C:\Users\jaime.benazar\Quorum Business Solutions\Ecopetrol Prometeo - Documents\Planning Space Implementation\3. Analysis &amp; Design\Design\FC22\DRR Jaime\Neiva CPI\[DINA TERCIARIOS_CF_SEC_New_27-Mar-2024.xlsx]D-PS'!$DT$30</v>
      </c>
      <c r="J3326" s="37" t="s">
        <v>3464</v>
      </c>
    </row>
    <row r="3327" spans="1:10" x14ac:dyDescent="0.3">
      <c r="A3327" s="32" t="s">
        <v>24</v>
      </c>
      <c r="B3327" s="32">
        <f t="shared" ref="B3327:B3328" si="787">+B3326+1</f>
        <v>2042</v>
      </c>
      <c r="C3327" s="33" t="s">
        <v>110</v>
      </c>
      <c r="D3327" s="34" t="s">
        <v>2002</v>
      </c>
      <c r="E3327" s="35" t="str">
        <f t="shared" si="719"/>
        <v>PS'!</v>
      </c>
      <c r="F3327" s="34" t="str">
        <f t="shared" si="720"/>
        <v>C:\Users\jaime.benazar\Quorum Business Solutions\Ecopetrol Prometeo - Documents\Planning Space Implementation\3. Analysis &amp; Design\Design\FC22\DRR Jaime\Neiva CPI\[DINA TERCIARIOS_CF_SEC_New_27-Mar-2024.xlsx]D-PS'!</v>
      </c>
      <c r="G3327" s="32" t="s">
        <v>123</v>
      </c>
      <c r="H3327" s="33">
        <f t="shared" si="784"/>
        <v>31</v>
      </c>
      <c r="I3327" s="33" t="str">
        <f t="shared" si="783"/>
        <v>='C:\Users\jaime.benazar\Quorum Business Solutions\Ecopetrol Prometeo - Documents\Planning Space Implementation\3. Analysis &amp; Design\Design\FC22\DRR Jaime\Neiva CPI\[DINA TERCIARIOS_CF_SEC_New_27-Mar-2024.xlsx]D-PS'!$DT$31</v>
      </c>
      <c r="J3327" s="37" t="s">
        <v>3465</v>
      </c>
    </row>
    <row r="3328" spans="1:10" x14ac:dyDescent="0.3">
      <c r="A3328" s="32" t="s">
        <v>24</v>
      </c>
      <c r="B3328" s="32">
        <f t="shared" si="787"/>
        <v>2043</v>
      </c>
      <c r="C3328" s="33" t="s">
        <v>110</v>
      </c>
      <c r="D3328" s="34" t="s">
        <v>2002</v>
      </c>
      <c r="E3328" s="35" t="str">
        <f t="shared" si="719"/>
        <v>PS'!</v>
      </c>
      <c r="F3328" s="34" t="str">
        <f t="shared" si="720"/>
        <v>C:\Users\jaime.benazar\Quorum Business Solutions\Ecopetrol Prometeo - Documents\Planning Space Implementation\3. Analysis &amp; Design\Design\FC22\DRR Jaime\Neiva CPI\[DINA TERCIARIOS_CF_SEC_New_27-Mar-2024.xlsx]D-PS'!</v>
      </c>
      <c r="G3328" s="32" t="s">
        <v>123</v>
      </c>
      <c r="H3328" s="33">
        <f t="shared" si="784"/>
        <v>32</v>
      </c>
      <c r="I3328" s="33" t="str">
        <f t="shared" si="783"/>
        <v>='C:\Users\jaime.benazar\Quorum Business Solutions\Ecopetrol Prometeo - Documents\Planning Space Implementation\3. Analysis &amp; Design\Design\FC22\DRR Jaime\Neiva CPI\[DINA TERCIARIOS_CF_SEC_New_27-Mar-2024.xlsx]D-PS'!$DT$32</v>
      </c>
      <c r="J3328" s="37" t="s">
        <v>3466</v>
      </c>
    </row>
    <row r="3329" spans="1:10" x14ac:dyDescent="0.3">
      <c r="A3329" s="32" t="s">
        <v>24</v>
      </c>
      <c r="B3329" s="32">
        <f>+B3328+1</f>
        <v>2044</v>
      </c>
      <c r="C3329" s="33" t="s">
        <v>110</v>
      </c>
      <c r="D3329" s="34" t="s">
        <v>2002</v>
      </c>
      <c r="E3329" s="35" t="str">
        <f t="shared" ref="E3329:E3344" si="788">_xlfn.CONCAT(A3329,"'!")</f>
        <v>PS'!</v>
      </c>
      <c r="F3329" s="34" t="str">
        <f t="shared" ref="F3329:F3344" si="789">_xlfn.CONCAT(D3329:E3329)</f>
        <v>C:\Users\jaime.benazar\Quorum Business Solutions\Ecopetrol Prometeo - Documents\Planning Space Implementation\3. Analysis &amp; Design\Design\FC22\DRR Jaime\Neiva CPI\[DINA TERCIARIOS_CF_SEC_New_27-Mar-2024.xlsx]D-PS'!</v>
      </c>
      <c r="G3329" s="32" t="s">
        <v>123</v>
      </c>
      <c r="H3329" s="33">
        <f t="shared" ref="H3329:H3344" si="790">IF(A3329&lt;&gt;A3328,12,H3328+1)</f>
        <v>33</v>
      </c>
      <c r="I3329" s="33" t="str">
        <f t="shared" ref="I3329:I3344" si="791">_xlfn.CONCAT("='",F3329:H3329)</f>
        <v>='C:\Users\jaime.benazar\Quorum Business Solutions\Ecopetrol Prometeo - Documents\Planning Space Implementation\3. Analysis &amp; Design\Design\FC22\DRR Jaime\Neiva CPI\[DINA TERCIARIOS_CF_SEC_New_27-Mar-2024.xlsx]D-PS'!$DT$33</v>
      </c>
      <c r="J3329" s="37" t="s">
        <v>3467</v>
      </c>
    </row>
    <row r="3330" spans="1:10" x14ac:dyDescent="0.3">
      <c r="A3330" s="32" t="s">
        <v>24</v>
      </c>
      <c r="B3330" s="32">
        <f t="shared" ref="B3330:B3344" si="792">+B3329+1</f>
        <v>2045</v>
      </c>
      <c r="C3330" s="33" t="s">
        <v>110</v>
      </c>
      <c r="D3330" s="34" t="s">
        <v>2002</v>
      </c>
      <c r="E3330" s="35" t="str">
        <f t="shared" si="788"/>
        <v>PS'!</v>
      </c>
      <c r="F3330" s="34" t="str">
        <f t="shared" si="789"/>
        <v>C:\Users\jaime.benazar\Quorum Business Solutions\Ecopetrol Prometeo - Documents\Planning Space Implementation\3. Analysis &amp; Design\Design\FC22\DRR Jaime\Neiva CPI\[DINA TERCIARIOS_CF_SEC_New_27-Mar-2024.xlsx]D-PS'!</v>
      </c>
      <c r="G3330" s="32" t="s">
        <v>123</v>
      </c>
      <c r="H3330" s="33">
        <f t="shared" si="790"/>
        <v>34</v>
      </c>
      <c r="I3330" s="33" t="str">
        <f t="shared" si="791"/>
        <v>='C:\Users\jaime.benazar\Quorum Business Solutions\Ecopetrol Prometeo - Documents\Planning Space Implementation\3. Analysis &amp; Design\Design\FC22\DRR Jaime\Neiva CPI\[DINA TERCIARIOS_CF_SEC_New_27-Mar-2024.xlsx]D-PS'!$DT$34</v>
      </c>
      <c r="J3330" s="37" t="s">
        <v>3468</v>
      </c>
    </row>
    <row r="3331" spans="1:10" x14ac:dyDescent="0.3">
      <c r="A3331" s="32" t="s">
        <v>24</v>
      </c>
      <c r="B3331" s="32">
        <f t="shared" si="792"/>
        <v>2046</v>
      </c>
      <c r="C3331" s="33" t="s">
        <v>110</v>
      </c>
      <c r="D3331" s="34" t="s">
        <v>2002</v>
      </c>
      <c r="E3331" s="35" t="str">
        <f t="shared" si="788"/>
        <v>PS'!</v>
      </c>
      <c r="F3331" s="34" t="str">
        <f t="shared" si="789"/>
        <v>C:\Users\jaime.benazar\Quorum Business Solutions\Ecopetrol Prometeo - Documents\Planning Space Implementation\3. Analysis &amp; Design\Design\FC22\DRR Jaime\Neiva CPI\[DINA TERCIARIOS_CF_SEC_New_27-Mar-2024.xlsx]D-PS'!</v>
      </c>
      <c r="G3331" s="32" t="s">
        <v>123</v>
      </c>
      <c r="H3331" s="33">
        <f t="shared" si="790"/>
        <v>35</v>
      </c>
      <c r="I3331" s="33" t="str">
        <f t="shared" si="791"/>
        <v>='C:\Users\jaime.benazar\Quorum Business Solutions\Ecopetrol Prometeo - Documents\Planning Space Implementation\3. Analysis &amp; Design\Design\FC22\DRR Jaime\Neiva CPI\[DINA TERCIARIOS_CF_SEC_New_27-Mar-2024.xlsx]D-PS'!$DT$35</v>
      </c>
      <c r="J3331" s="37" t="s">
        <v>3469</v>
      </c>
    </row>
    <row r="3332" spans="1:10" x14ac:dyDescent="0.3">
      <c r="A3332" s="32" t="s">
        <v>24</v>
      </c>
      <c r="B3332" s="32">
        <f t="shared" si="792"/>
        <v>2047</v>
      </c>
      <c r="C3332" s="33" t="s">
        <v>110</v>
      </c>
      <c r="D3332" s="34" t="s">
        <v>2002</v>
      </c>
      <c r="E3332" s="35" t="str">
        <f t="shared" si="788"/>
        <v>PS'!</v>
      </c>
      <c r="F3332" s="34" t="str">
        <f t="shared" si="789"/>
        <v>C:\Users\jaime.benazar\Quorum Business Solutions\Ecopetrol Prometeo - Documents\Planning Space Implementation\3. Analysis &amp; Design\Design\FC22\DRR Jaime\Neiva CPI\[DINA TERCIARIOS_CF_SEC_New_27-Mar-2024.xlsx]D-PS'!</v>
      </c>
      <c r="G3332" s="32" t="s">
        <v>123</v>
      </c>
      <c r="H3332" s="33">
        <f t="shared" si="790"/>
        <v>36</v>
      </c>
      <c r="I3332" s="33" t="str">
        <f t="shared" si="791"/>
        <v>='C:\Users\jaime.benazar\Quorum Business Solutions\Ecopetrol Prometeo - Documents\Planning Space Implementation\3. Analysis &amp; Design\Design\FC22\DRR Jaime\Neiva CPI\[DINA TERCIARIOS_CF_SEC_New_27-Mar-2024.xlsx]D-PS'!$DT$36</v>
      </c>
      <c r="J3332" s="37" t="s">
        <v>3470</v>
      </c>
    </row>
    <row r="3333" spans="1:10" x14ac:dyDescent="0.3">
      <c r="A3333" s="32" t="s">
        <v>24</v>
      </c>
      <c r="B3333" s="32">
        <f t="shared" si="792"/>
        <v>2048</v>
      </c>
      <c r="C3333" s="33" t="s">
        <v>110</v>
      </c>
      <c r="D3333" s="34" t="s">
        <v>2002</v>
      </c>
      <c r="E3333" s="35" t="str">
        <f t="shared" si="788"/>
        <v>PS'!</v>
      </c>
      <c r="F3333" s="34" t="str">
        <f t="shared" si="789"/>
        <v>C:\Users\jaime.benazar\Quorum Business Solutions\Ecopetrol Prometeo - Documents\Planning Space Implementation\3. Analysis &amp; Design\Design\FC22\DRR Jaime\Neiva CPI\[DINA TERCIARIOS_CF_SEC_New_27-Mar-2024.xlsx]D-PS'!</v>
      </c>
      <c r="G3333" s="32" t="s">
        <v>123</v>
      </c>
      <c r="H3333" s="33">
        <f t="shared" si="790"/>
        <v>37</v>
      </c>
      <c r="I3333" s="33" t="str">
        <f t="shared" si="791"/>
        <v>='C:\Users\jaime.benazar\Quorum Business Solutions\Ecopetrol Prometeo - Documents\Planning Space Implementation\3. Analysis &amp; Design\Design\FC22\DRR Jaime\Neiva CPI\[DINA TERCIARIOS_CF_SEC_New_27-Mar-2024.xlsx]D-PS'!$DT$37</v>
      </c>
      <c r="J3333" s="37" t="s">
        <v>3471</v>
      </c>
    </row>
    <row r="3334" spans="1:10" x14ac:dyDescent="0.3">
      <c r="A3334" s="32" t="s">
        <v>24</v>
      </c>
      <c r="B3334" s="32">
        <f t="shared" si="792"/>
        <v>2049</v>
      </c>
      <c r="C3334" s="33" t="s">
        <v>110</v>
      </c>
      <c r="D3334" s="34" t="s">
        <v>2002</v>
      </c>
      <c r="E3334" s="35" t="str">
        <f t="shared" si="788"/>
        <v>PS'!</v>
      </c>
      <c r="F3334" s="34" t="str">
        <f t="shared" si="789"/>
        <v>C:\Users\jaime.benazar\Quorum Business Solutions\Ecopetrol Prometeo - Documents\Planning Space Implementation\3. Analysis &amp; Design\Design\FC22\DRR Jaime\Neiva CPI\[DINA TERCIARIOS_CF_SEC_New_27-Mar-2024.xlsx]D-PS'!</v>
      </c>
      <c r="G3334" s="32" t="s">
        <v>123</v>
      </c>
      <c r="H3334" s="33">
        <f t="shared" si="790"/>
        <v>38</v>
      </c>
      <c r="I3334" s="33" t="str">
        <f t="shared" si="791"/>
        <v>='C:\Users\jaime.benazar\Quorum Business Solutions\Ecopetrol Prometeo - Documents\Planning Space Implementation\3. Analysis &amp; Design\Design\FC22\DRR Jaime\Neiva CPI\[DINA TERCIARIOS_CF_SEC_New_27-Mar-2024.xlsx]D-PS'!$DT$38</v>
      </c>
      <c r="J3334" s="37" t="s">
        <v>3472</v>
      </c>
    </row>
    <row r="3335" spans="1:10" x14ac:dyDescent="0.3">
      <c r="A3335" s="32" t="s">
        <v>24</v>
      </c>
      <c r="B3335" s="32">
        <f t="shared" si="792"/>
        <v>2050</v>
      </c>
      <c r="C3335" s="33" t="s">
        <v>110</v>
      </c>
      <c r="D3335" s="34" t="s">
        <v>2002</v>
      </c>
      <c r="E3335" s="35" t="str">
        <f t="shared" si="788"/>
        <v>PS'!</v>
      </c>
      <c r="F3335" s="34" t="str">
        <f t="shared" si="789"/>
        <v>C:\Users\jaime.benazar\Quorum Business Solutions\Ecopetrol Prometeo - Documents\Planning Space Implementation\3. Analysis &amp; Design\Design\FC22\DRR Jaime\Neiva CPI\[DINA TERCIARIOS_CF_SEC_New_27-Mar-2024.xlsx]D-PS'!</v>
      </c>
      <c r="G3335" s="32" t="s">
        <v>123</v>
      </c>
      <c r="H3335" s="33">
        <f t="shared" si="790"/>
        <v>39</v>
      </c>
      <c r="I3335" s="33" t="str">
        <f t="shared" si="791"/>
        <v>='C:\Users\jaime.benazar\Quorum Business Solutions\Ecopetrol Prometeo - Documents\Planning Space Implementation\3. Analysis &amp; Design\Design\FC22\DRR Jaime\Neiva CPI\[DINA TERCIARIOS_CF_SEC_New_27-Mar-2024.xlsx]D-PS'!$DT$39</v>
      </c>
      <c r="J3335" s="37" t="s">
        <v>3473</v>
      </c>
    </row>
    <row r="3336" spans="1:10" x14ac:dyDescent="0.3">
      <c r="A3336" s="32" t="s">
        <v>24</v>
      </c>
      <c r="B3336" s="32">
        <f t="shared" si="792"/>
        <v>2051</v>
      </c>
      <c r="C3336" s="33" t="s">
        <v>110</v>
      </c>
      <c r="D3336" s="34" t="s">
        <v>2002</v>
      </c>
      <c r="E3336" s="35" t="str">
        <f t="shared" si="788"/>
        <v>PS'!</v>
      </c>
      <c r="F3336" s="34" t="str">
        <f t="shared" si="789"/>
        <v>C:\Users\jaime.benazar\Quorum Business Solutions\Ecopetrol Prometeo - Documents\Planning Space Implementation\3. Analysis &amp; Design\Design\FC22\DRR Jaime\Neiva CPI\[DINA TERCIARIOS_CF_SEC_New_27-Mar-2024.xlsx]D-PS'!</v>
      </c>
      <c r="G3336" s="32" t="s">
        <v>123</v>
      </c>
      <c r="H3336" s="33">
        <f t="shared" si="790"/>
        <v>40</v>
      </c>
      <c r="I3336" s="33" t="str">
        <f t="shared" si="791"/>
        <v>='C:\Users\jaime.benazar\Quorum Business Solutions\Ecopetrol Prometeo - Documents\Planning Space Implementation\3. Analysis &amp; Design\Design\FC22\DRR Jaime\Neiva CPI\[DINA TERCIARIOS_CF_SEC_New_27-Mar-2024.xlsx]D-PS'!$DT$40</v>
      </c>
      <c r="J3336" s="37" t="s">
        <v>3474</v>
      </c>
    </row>
    <row r="3337" spans="1:10" x14ac:dyDescent="0.3">
      <c r="A3337" s="32" t="s">
        <v>24</v>
      </c>
      <c r="B3337" s="32">
        <f t="shared" si="792"/>
        <v>2052</v>
      </c>
      <c r="C3337" s="33" t="s">
        <v>110</v>
      </c>
      <c r="D3337" s="34" t="s">
        <v>2002</v>
      </c>
      <c r="E3337" s="35" t="str">
        <f t="shared" si="788"/>
        <v>PS'!</v>
      </c>
      <c r="F3337" s="34" t="str">
        <f t="shared" si="789"/>
        <v>C:\Users\jaime.benazar\Quorum Business Solutions\Ecopetrol Prometeo - Documents\Planning Space Implementation\3. Analysis &amp; Design\Design\FC22\DRR Jaime\Neiva CPI\[DINA TERCIARIOS_CF_SEC_New_27-Mar-2024.xlsx]D-PS'!</v>
      </c>
      <c r="G3337" s="32" t="s">
        <v>123</v>
      </c>
      <c r="H3337" s="33">
        <f t="shared" si="790"/>
        <v>41</v>
      </c>
      <c r="I3337" s="33" t="str">
        <f t="shared" si="791"/>
        <v>='C:\Users\jaime.benazar\Quorum Business Solutions\Ecopetrol Prometeo - Documents\Planning Space Implementation\3. Analysis &amp; Design\Design\FC22\DRR Jaime\Neiva CPI\[DINA TERCIARIOS_CF_SEC_New_27-Mar-2024.xlsx]D-PS'!$DT$41</v>
      </c>
      <c r="J3337" s="37" t="s">
        <v>3475</v>
      </c>
    </row>
    <row r="3338" spans="1:10" x14ac:dyDescent="0.3">
      <c r="A3338" s="32" t="s">
        <v>24</v>
      </c>
      <c r="B3338" s="32">
        <f t="shared" si="792"/>
        <v>2053</v>
      </c>
      <c r="C3338" s="33" t="s">
        <v>110</v>
      </c>
      <c r="D3338" s="34" t="s">
        <v>2002</v>
      </c>
      <c r="E3338" s="35" t="str">
        <f t="shared" si="788"/>
        <v>PS'!</v>
      </c>
      <c r="F3338" s="34" t="str">
        <f t="shared" si="789"/>
        <v>C:\Users\jaime.benazar\Quorum Business Solutions\Ecopetrol Prometeo - Documents\Planning Space Implementation\3. Analysis &amp; Design\Design\FC22\DRR Jaime\Neiva CPI\[DINA TERCIARIOS_CF_SEC_New_27-Mar-2024.xlsx]D-PS'!</v>
      </c>
      <c r="G3338" s="32" t="s">
        <v>123</v>
      </c>
      <c r="H3338" s="33">
        <f t="shared" si="790"/>
        <v>42</v>
      </c>
      <c r="I3338" s="33" t="str">
        <f t="shared" si="791"/>
        <v>='C:\Users\jaime.benazar\Quorum Business Solutions\Ecopetrol Prometeo - Documents\Planning Space Implementation\3. Analysis &amp; Design\Design\FC22\DRR Jaime\Neiva CPI\[DINA TERCIARIOS_CF_SEC_New_27-Mar-2024.xlsx]D-PS'!$DT$42</v>
      </c>
      <c r="J3338" s="37" t="s">
        <v>3476</v>
      </c>
    </row>
    <row r="3339" spans="1:10" x14ac:dyDescent="0.3">
      <c r="A3339" s="32" t="s">
        <v>24</v>
      </c>
      <c r="B3339" s="32">
        <f t="shared" si="792"/>
        <v>2054</v>
      </c>
      <c r="C3339" s="33" t="s">
        <v>110</v>
      </c>
      <c r="D3339" s="34" t="s">
        <v>2002</v>
      </c>
      <c r="E3339" s="35" t="str">
        <f t="shared" si="788"/>
        <v>PS'!</v>
      </c>
      <c r="F3339" s="34" t="str">
        <f t="shared" si="789"/>
        <v>C:\Users\jaime.benazar\Quorum Business Solutions\Ecopetrol Prometeo - Documents\Planning Space Implementation\3. Analysis &amp; Design\Design\FC22\DRR Jaime\Neiva CPI\[DINA TERCIARIOS_CF_SEC_New_27-Mar-2024.xlsx]D-PS'!</v>
      </c>
      <c r="G3339" s="32" t="s">
        <v>123</v>
      </c>
      <c r="H3339" s="33">
        <f t="shared" si="790"/>
        <v>43</v>
      </c>
      <c r="I3339" s="33" t="str">
        <f t="shared" si="791"/>
        <v>='C:\Users\jaime.benazar\Quorum Business Solutions\Ecopetrol Prometeo - Documents\Planning Space Implementation\3. Analysis &amp; Design\Design\FC22\DRR Jaime\Neiva CPI\[DINA TERCIARIOS_CF_SEC_New_27-Mar-2024.xlsx]D-PS'!$DT$43</v>
      </c>
      <c r="J3339" s="37" t="s">
        <v>3477</v>
      </c>
    </row>
    <row r="3340" spans="1:10" x14ac:dyDescent="0.3">
      <c r="A3340" s="32" t="s">
        <v>24</v>
      </c>
      <c r="B3340" s="32">
        <f t="shared" si="792"/>
        <v>2055</v>
      </c>
      <c r="C3340" s="33" t="s">
        <v>110</v>
      </c>
      <c r="D3340" s="34" t="s">
        <v>2002</v>
      </c>
      <c r="E3340" s="35" t="str">
        <f t="shared" si="788"/>
        <v>PS'!</v>
      </c>
      <c r="F3340" s="34" t="str">
        <f t="shared" si="789"/>
        <v>C:\Users\jaime.benazar\Quorum Business Solutions\Ecopetrol Prometeo - Documents\Planning Space Implementation\3. Analysis &amp; Design\Design\FC22\DRR Jaime\Neiva CPI\[DINA TERCIARIOS_CF_SEC_New_27-Mar-2024.xlsx]D-PS'!</v>
      </c>
      <c r="G3340" s="32" t="s">
        <v>123</v>
      </c>
      <c r="H3340" s="33">
        <f t="shared" si="790"/>
        <v>44</v>
      </c>
      <c r="I3340" s="33" t="str">
        <f t="shared" si="791"/>
        <v>='C:\Users\jaime.benazar\Quorum Business Solutions\Ecopetrol Prometeo - Documents\Planning Space Implementation\3. Analysis &amp; Design\Design\FC22\DRR Jaime\Neiva CPI\[DINA TERCIARIOS_CF_SEC_New_27-Mar-2024.xlsx]D-PS'!$DT$44</v>
      </c>
      <c r="J3340" s="37" t="s">
        <v>3478</v>
      </c>
    </row>
    <row r="3341" spans="1:10" x14ac:dyDescent="0.3">
      <c r="A3341" s="32" t="s">
        <v>24</v>
      </c>
      <c r="B3341" s="32">
        <f t="shared" si="792"/>
        <v>2056</v>
      </c>
      <c r="C3341" s="33" t="s">
        <v>110</v>
      </c>
      <c r="D3341" s="34" t="s">
        <v>2002</v>
      </c>
      <c r="E3341" s="35" t="str">
        <f t="shared" si="788"/>
        <v>PS'!</v>
      </c>
      <c r="F3341" s="34" t="str">
        <f t="shared" si="789"/>
        <v>C:\Users\jaime.benazar\Quorum Business Solutions\Ecopetrol Prometeo - Documents\Planning Space Implementation\3. Analysis &amp; Design\Design\FC22\DRR Jaime\Neiva CPI\[DINA TERCIARIOS_CF_SEC_New_27-Mar-2024.xlsx]D-PS'!</v>
      </c>
      <c r="G3341" s="32" t="s">
        <v>123</v>
      </c>
      <c r="H3341" s="33">
        <f t="shared" si="790"/>
        <v>45</v>
      </c>
      <c r="I3341" s="33" t="str">
        <f t="shared" si="791"/>
        <v>='C:\Users\jaime.benazar\Quorum Business Solutions\Ecopetrol Prometeo - Documents\Planning Space Implementation\3. Analysis &amp; Design\Design\FC22\DRR Jaime\Neiva CPI\[DINA TERCIARIOS_CF_SEC_New_27-Mar-2024.xlsx]D-PS'!$DT$45</v>
      </c>
      <c r="J3341" s="37" t="s">
        <v>3479</v>
      </c>
    </row>
    <row r="3342" spans="1:10" x14ac:dyDescent="0.3">
      <c r="A3342" s="32" t="s">
        <v>24</v>
      </c>
      <c r="B3342" s="32">
        <f t="shared" si="792"/>
        <v>2057</v>
      </c>
      <c r="C3342" s="33" t="s">
        <v>110</v>
      </c>
      <c r="D3342" s="34" t="s">
        <v>2002</v>
      </c>
      <c r="E3342" s="35" t="str">
        <f t="shared" si="788"/>
        <v>PS'!</v>
      </c>
      <c r="F3342" s="34" t="str">
        <f t="shared" si="789"/>
        <v>C:\Users\jaime.benazar\Quorum Business Solutions\Ecopetrol Prometeo - Documents\Planning Space Implementation\3. Analysis &amp; Design\Design\FC22\DRR Jaime\Neiva CPI\[DINA TERCIARIOS_CF_SEC_New_27-Mar-2024.xlsx]D-PS'!</v>
      </c>
      <c r="G3342" s="32" t="s">
        <v>123</v>
      </c>
      <c r="H3342" s="33">
        <f t="shared" si="790"/>
        <v>46</v>
      </c>
      <c r="I3342" s="33" t="str">
        <f t="shared" si="791"/>
        <v>='C:\Users\jaime.benazar\Quorum Business Solutions\Ecopetrol Prometeo - Documents\Planning Space Implementation\3. Analysis &amp; Design\Design\FC22\DRR Jaime\Neiva CPI\[DINA TERCIARIOS_CF_SEC_New_27-Mar-2024.xlsx]D-PS'!$DT$46</v>
      </c>
      <c r="J3342" s="37" t="s">
        <v>3480</v>
      </c>
    </row>
    <row r="3343" spans="1:10" x14ac:dyDescent="0.3">
      <c r="A3343" s="32" t="s">
        <v>24</v>
      </c>
      <c r="B3343" s="32">
        <f t="shared" si="792"/>
        <v>2058</v>
      </c>
      <c r="C3343" s="33" t="s">
        <v>110</v>
      </c>
      <c r="D3343" s="34" t="s">
        <v>2002</v>
      </c>
      <c r="E3343" s="35" t="str">
        <f t="shared" si="788"/>
        <v>PS'!</v>
      </c>
      <c r="F3343" s="34" t="str">
        <f t="shared" si="789"/>
        <v>C:\Users\jaime.benazar\Quorum Business Solutions\Ecopetrol Prometeo - Documents\Planning Space Implementation\3. Analysis &amp; Design\Design\FC22\DRR Jaime\Neiva CPI\[DINA TERCIARIOS_CF_SEC_New_27-Mar-2024.xlsx]D-PS'!</v>
      </c>
      <c r="G3343" s="32" t="s">
        <v>123</v>
      </c>
      <c r="H3343" s="33">
        <f t="shared" si="790"/>
        <v>47</v>
      </c>
      <c r="I3343" s="33" t="str">
        <f t="shared" si="791"/>
        <v>='C:\Users\jaime.benazar\Quorum Business Solutions\Ecopetrol Prometeo - Documents\Planning Space Implementation\3. Analysis &amp; Design\Design\FC22\DRR Jaime\Neiva CPI\[DINA TERCIARIOS_CF_SEC_New_27-Mar-2024.xlsx]D-PS'!$DT$47</v>
      </c>
      <c r="J3343" s="37" t="s">
        <v>3481</v>
      </c>
    </row>
    <row r="3344" spans="1:10" x14ac:dyDescent="0.3">
      <c r="A3344" s="32" t="s">
        <v>24</v>
      </c>
      <c r="B3344" s="32">
        <f t="shared" si="792"/>
        <v>2059</v>
      </c>
      <c r="C3344" s="33" t="s">
        <v>110</v>
      </c>
      <c r="D3344" s="34" t="s">
        <v>2002</v>
      </c>
      <c r="E3344" s="35" t="str">
        <f t="shared" si="788"/>
        <v>PS'!</v>
      </c>
      <c r="F3344" s="34" t="str">
        <f t="shared" si="789"/>
        <v>C:\Users\jaime.benazar\Quorum Business Solutions\Ecopetrol Prometeo - Documents\Planning Space Implementation\3. Analysis &amp; Design\Design\FC22\DRR Jaime\Neiva CPI\[DINA TERCIARIOS_CF_SEC_New_27-Mar-2024.xlsx]D-PS'!</v>
      </c>
      <c r="G3344" s="32" t="s">
        <v>123</v>
      </c>
      <c r="H3344" s="33">
        <f t="shared" si="790"/>
        <v>48</v>
      </c>
      <c r="I3344" s="33" t="str">
        <f t="shared" si="791"/>
        <v>='C:\Users\jaime.benazar\Quorum Business Solutions\Ecopetrol Prometeo - Documents\Planning Space Implementation\3. Analysis &amp; Design\Design\FC22\DRR Jaime\Neiva CPI\[DINA TERCIARIOS_CF_SEC_New_27-Mar-2024.xlsx]D-PS'!$DT$48</v>
      </c>
      <c r="J3344" s="37" t="s">
        <v>3482</v>
      </c>
    </row>
    <row r="3345" spans="1:10" x14ac:dyDescent="0.3">
      <c r="A3345" s="32" t="s">
        <v>26</v>
      </c>
      <c r="B3345" s="32"/>
      <c r="C3345" s="33" t="s">
        <v>110</v>
      </c>
      <c r="D3345" s="34"/>
      <c r="E3345" s="32" t="str">
        <f t="shared" si="719"/>
        <v>Total'!</v>
      </c>
      <c r="F3345" s="33"/>
      <c r="G3345" s="32"/>
      <c r="H3345" s="33"/>
      <c r="I3345" s="33"/>
      <c r="J3345" s="33"/>
    </row>
    <row r="3346" spans="1:10" x14ac:dyDescent="0.3">
      <c r="A3346" s="32" t="s">
        <v>14</v>
      </c>
      <c r="B3346" s="32">
        <v>2023</v>
      </c>
      <c r="C3346" s="33" t="s">
        <v>28</v>
      </c>
      <c r="D3346" s="34" t="s">
        <v>2002</v>
      </c>
      <c r="E3346" s="35" t="str">
        <f>_xlfn.CONCAT(A3346,"'!")</f>
        <v>PDP'!</v>
      </c>
      <c r="F3346" s="34" t="str">
        <f>_xlfn.CONCAT(D3346:E3346)</f>
        <v>C:\Users\jaime.benazar\Quorum Business Solutions\Ecopetrol Prometeo - Documents\Planning Space Implementation\3. Analysis &amp; Design\Design\FC22\DRR Jaime\Neiva CPI\[DINA TERCIARIOS_CF_SEC_New_27-Mar-2024.xlsx]D-PDP'!</v>
      </c>
      <c r="G3346" s="32" t="s">
        <v>124</v>
      </c>
      <c r="H3346" s="33">
        <f>IF(A3346&lt;&gt;A3345,12,H3345+1)</f>
        <v>12</v>
      </c>
      <c r="I3346" s="33" t="str">
        <f t="shared" ref="I3346:I3366" si="793">_xlfn.CONCAT("='",F3346:H3346)</f>
        <v>='C:\Users\jaime.benazar\Quorum Business Solutions\Ecopetrol Prometeo - Documents\Planning Space Implementation\3. Analysis &amp; Design\Design\FC22\DRR Jaime\Neiva CPI\[DINA TERCIARIOS_CF_SEC_New_27-Mar-2024.xlsx]D-PDP'!$BE$12</v>
      </c>
      <c r="J3346" s="36" t="s">
        <v>3483</v>
      </c>
    </row>
    <row r="3347" spans="1:10" x14ac:dyDescent="0.3">
      <c r="A3347" s="32" t="s">
        <v>14</v>
      </c>
      <c r="B3347" s="32">
        <f>+B3346+1</f>
        <v>2024</v>
      </c>
      <c r="C3347" s="33" t="s">
        <v>28</v>
      </c>
      <c r="D3347" s="34" t="s">
        <v>2002</v>
      </c>
      <c r="E3347" s="35" t="str">
        <f t="shared" ref="E3347:E3404" si="794">_xlfn.CONCAT(A3347,"'!")</f>
        <v>PDP'!</v>
      </c>
      <c r="F3347" s="34" t="str">
        <f t="shared" ref="F3347:F3366" si="795">_xlfn.CONCAT(D3347:E3347)</f>
        <v>C:\Users\jaime.benazar\Quorum Business Solutions\Ecopetrol Prometeo - Documents\Planning Space Implementation\3. Analysis &amp; Design\Design\FC22\DRR Jaime\Neiva CPI\[DINA TERCIARIOS_CF_SEC_New_27-Mar-2024.xlsx]D-PDP'!</v>
      </c>
      <c r="G3347" s="32" t="s">
        <v>124</v>
      </c>
      <c r="H3347" s="33">
        <f>IF(A3347&lt;&gt;A3346,36,H3346+1)</f>
        <v>13</v>
      </c>
      <c r="I3347" s="33" t="str">
        <f t="shared" si="793"/>
        <v>='C:\Users\jaime.benazar\Quorum Business Solutions\Ecopetrol Prometeo - Documents\Planning Space Implementation\3. Analysis &amp; Design\Design\FC22\DRR Jaime\Neiva CPI\[DINA TERCIARIOS_CF_SEC_New_27-Mar-2024.xlsx]D-PDP'!$BE$13</v>
      </c>
      <c r="J3347" s="37" t="s">
        <v>3484</v>
      </c>
    </row>
    <row r="3348" spans="1:10" x14ac:dyDescent="0.3">
      <c r="A3348" s="32" t="s">
        <v>14</v>
      </c>
      <c r="B3348" s="32">
        <f t="shared" ref="B3348:B3382" si="796">+B3347+1</f>
        <v>2025</v>
      </c>
      <c r="C3348" s="33" t="s">
        <v>28</v>
      </c>
      <c r="D3348" s="34" t="s">
        <v>2002</v>
      </c>
      <c r="E3348" s="35" t="str">
        <f t="shared" si="794"/>
        <v>PDP'!</v>
      </c>
      <c r="F3348" s="34" t="str">
        <f t="shared" si="795"/>
        <v>C:\Users\jaime.benazar\Quorum Business Solutions\Ecopetrol Prometeo - Documents\Planning Space Implementation\3. Analysis &amp; Design\Design\FC22\DRR Jaime\Neiva CPI\[DINA TERCIARIOS_CF_SEC_New_27-Mar-2024.xlsx]D-PDP'!</v>
      </c>
      <c r="G3348" s="32" t="s">
        <v>124</v>
      </c>
      <c r="H3348" s="33">
        <f t="shared" ref="H3348:H3366" si="797">IF(A3348&lt;&gt;A3347,36,H3347+1)</f>
        <v>14</v>
      </c>
      <c r="I3348" s="33" t="str">
        <f t="shared" si="793"/>
        <v>='C:\Users\jaime.benazar\Quorum Business Solutions\Ecopetrol Prometeo - Documents\Planning Space Implementation\3. Analysis &amp; Design\Design\FC22\DRR Jaime\Neiva CPI\[DINA TERCIARIOS_CF_SEC_New_27-Mar-2024.xlsx]D-PDP'!$BE$14</v>
      </c>
      <c r="J3348" s="37" t="s">
        <v>3485</v>
      </c>
    </row>
    <row r="3349" spans="1:10" x14ac:dyDescent="0.3">
      <c r="A3349" s="32" t="s">
        <v>14</v>
      </c>
      <c r="B3349" s="32">
        <f t="shared" si="796"/>
        <v>2026</v>
      </c>
      <c r="C3349" s="33" t="s">
        <v>28</v>
      </c>
      <c r="D3349" s="34" t="s">
        <v>2002</v>
      </c>
      <c r="E3349" s="35" t="str">
        <f t="shared" si="794"/>
        <v>PDP'!</v>
      </c>
      <c r="F3349" s="34" t="str">
        <f t="shared" si="795"/>
        <v>C:\Users\jaime.benazar\Quorum Business Solutions\Ecopetrol Prometeo - Documents\Planning Space Implementation\3. Analysis &amp; Design\Design\FC22\DRR Jaime\Neiva CPI\[DINA TERCIARIOS_CF_SEC_New_27-Mar-2024.xlsx]D-PDP'!</v>
      </c>
      <c r="G3349" s="32" t="s">
        <v>124</v>
      </c>
      <c r="H3349" s="33">
        <f t="shared" si="797"/>
        <v>15</v>
      </c>
      <c r="I3349" s="33" t="str">
        <f t="shared" si="793"/>
        <v>='C:\Users\jaime.benazar\Quorum Business Solutions\Ecopetrol Prometeo - Documents\Planning Space Implementation\3. Analysis &amp; Design\Design\FC22\DRR Jaime\Neiva CPI\[DINA TERCIARIOS_CF_SEC_New_27-Mar-2024.xlsx]D-PDP'!$BE$15</v>
      </c>
      <c r="J3349" s="37" t="s">
        <v>3486</v>
      </c>
    </row>
    <row r="3350" spans="1:10" x14ac:dyDescent="0.3">
      <c r="A3350" s="32" t="s">
        <v>14</v>
      </c>
      <c r="B3350" s="32">
        <f t="shared" si="796"/>
        <v>2027</v>
      </c>
      <c r="C3350" s="33" t="s">
        <v>28</v>
      </c>
      <c r="D3350" s="34" t="s">
        <v>2002</v>
      </c>
      <c r="E3350" s="35" t="str">
        <f t="shared" si="794"/>
        <v>PDP'!</v>
      </c>
      <c r="F3350" s="34" t="str">
        <f t="shared" si="795"/>
        <v>C:\Users\jaime.benazar\Quorum Business Solutions\Ecopetrol Prometeo - Documents\Planning Space Implementation\3. Analysis &amp; Design\Design\FC22\DRR Jaime\Neiva CPI\[DINA TERCIARIOS_CF_SEC_New_27-Mar-2024.xlsx]D-PDP'!</v>
      </c>
      <c r="G3350" s="32" t="s">
        <v>124</v>
      </c>
      <c r="H3350" s="33">
        <f t="shared" si="797"/>
        <v>16</v>
      </c>
      <c r="I3350" s="33" t="str">
        <f t="shared" si="793"/>
        <v>='C:\Users\jaime.benazar\Quorum Business Solutions\Ecopetrol Prometeo - Documents\Planning Space Implementation\3. Analysis &amp; Design\Design\FC22\DRR Jaime\Neiva CPI\[DINA TERCIARIOS_CF_SEC_New_27-Mar-2024.xlsx]D-PDP'!$BE$16</v>
      </c>
      <c r="J3350" s="37" t="s">
        <v>3487</v>
      </c>
    </row>
    <row r="3351" spans="1:10" x14ac:dyDescent="0.3">
      <c r="A3351" s="32" t="s">
        <v>14</v>
      </c>
      <c r="B3351" s="32">
        <f t="shared" si="796"/>
        <v>2028</v>
      </c>
      <c r="C3351" s="33" t="s">
        <v>28</v>
      </c>
      <c r="D3351" s="34" t="s">
        <v>2002</v>
      </c>
      <c r="E3351" s="35" t="str">
        <f t="shared" si="794"/>
        <v>PDP'!</v>
      </c>
      <c r="F3351" s="34" t="str">
        <f t="shared" si="795"/>
        <v>C:\Users\jaime.benazar\Quorum Business Solutions\Ecopetrol Prometeo - Documents\Planning Space Implementation\3. Analysis &amp; Design\Design\FC22\DRR Jaime\Neiva CPI\[DINA TERCIARIOS_CF_SEC_New_27-Mar-2024.xlsx]D-PDP'!</v>
      </c>
      <c r="G3351" s="32" t="s">
        <v>124</v>
      </c>
      <c r="H3351" s="33">
        <f t="shared" si="797"/>
        <v>17</v>
      </c>
      <c r="I3351" s="33" t="str">
        <f t="shared" si="793"/>
        <v>='C:\Users\jaime.benazar\Quorum Business Solutions\Ecopetrol Prometeo - Documents\Planning Space Implementation\3. Analysis &amp; Design\Design\FC22\DRR Jaime\Neiva CPI\[DINA TERCIARIOS_CF_SEC_New_27-Mar-2024.xlsx]D-PDP'!$BE$17</v>
      </c>
      <c r="J3351" s="37" t="s">
        <v>3488</v>
      </c>
    </row>
    <row r="3352" spans="1:10" x14ac:dyDescent="0.3">
      <c r="A3352" s="32" t="s">
        <v>14</v>
      </c>
      <c r="B3352" s="32">
        <f t="shared" si="796"/>
        <v>2029</v>
      </c>
      <c r="C3352" s="33" t="s">
        <v>28</v>
      </c>
      <c r="D3352" s="34" t="s">
        <v>2002</v>
      </c>
      <c r="E3352" s="35" t="str">
        <f t="shared" si="794"/>
        <v>PDP'!</v>
      </c>
      <c r="F3352" s="34" t="str">
        <f t="shared" si="795"/>
        <v>C:\Users\jaime.benazar\Quorum Business Solutions\Ecopetrol Prometeo - Documents\Planning Space Implementation\3. Analysis &amp; Design\Design\FC22\DRR Jaime\Neiva CPI\[DINA TERCIARIOS_CF_SEC_New_27-Mar-2024.xlsx]D-PDP'!</v>
      </c>
      <c r="G3352" s="32" t="s">
        <v>124</v>
      </c>
      <c r="H3352" s="33">
        <f t="shared" si="797"/>
        <v>18</v>
      </c>
      <c r="I3352" s="33" t="str">
        <f t="shared" si="793"/>
        <v>='C:\Users\jaime.benazar\Quorum Business Solutions\Ecopetrol Prometeo - Documents\Planning Space Implementation\3. Analysis &amp; Design\Design\FC22\DRR Jaime\Neiva CPI\[DINA TERCIARIOS_CF_SEC_New_27-Mar-2024.xlsx]D-PDP'!$BE$18</v>
      </c>
      <c r="J3352" s="37" t="s">
        <v>3489</v>
      </c>
    </row>
    <row r="3353" spans="1:10" x14ac:dyDescent="0.3">
      <c r="A3353" s="32" t="s">
        <v>14</v>
      </c>
      <c r="B3353" s="32">
        <f t="shared" si="796"/>
        <v>2030</v>
      </c>
      <c r="C3353" s="33" t="s">
        <v>28</v>
      </c>
      <c r="D3353" s="34" t="s">
        <v>2002</v>
      </c>
      <c r="E3353" s="35" t="str">
        <f t="shared" si="794"/>
        <v>PDP'!</v>
      </c>
      <c r="F3353" s="34" t="str">
        <f t="shared" si="795"/>
        <v>C:\Users\jaime.benazar\Quorum Business Solutions\Ecopetrol Prometeo - Documents\Planning Space Implementation\3. Analysis &amp; Design\Design\FC22\DRR Jaime\Neiva CPI\[DINA TERCIARIOS_CF_SEC_New_27-Mar-2024.xlsx]D-PDP'!</v>
      </c>
      <c r="G3353" s="32" t="s">
        <v>124</v>
      </c>
      <c r="H3353" s="33">
        <f t="shared" si="797"/>
        <v>19</v>
      </c>
      <c r="I3353" s="33" t="str">
        <f t="shared" si="793"/>
        <v>='C:\Users\jaime.benazar\Quorum Business Solutions\Ecopetrol Prometeo - Documents\Planning Space Implementation\3. Analysis &amp; Design\Design\FC22\DRR Jaime\Neiva CPI\[DINA TERCIARIOS_CF_SEC_New_27-Mar-2024.xlsx]D-PDP'!$BE$19</v>
      </c>
      <c r="J3353" s="37" t="s">
        <v>3490</v>
      </c>
    </row>
    <row r="3354" spans="1:10" x14ac:dyDescent="0.3">
      <c r="A3354" s="32" t="s">
        <v>14</v>
      </c>
      <c r="B3354" s="32">
        <f t="shared" si="796"/>
        <v>2031</v>
      </c>
      <c r="C3354" s="33" t="s">
        <v>28</v>
      </c>
      <c r="D3354" s="34" t="s">
        <v>2002</v>
      </c>
      <c r="E3354" s="35" t="str">
        <f t="shared" si="794"/>
        <v>PDP'!</v>
      </c>
      <c r="F3354" s="34" t="str">
        <f t="shared" si="795"/>
        <v>C:\Users\jaime.benazar\Quorum Business Solutions\Ecopetrol Prometeo - Documents\Planning Space Implementation\3. Analysis &amp; Design\Design\FC22\DRR Jaime\Neiva CPI\[DINA TERCIARIOS_CF_SEC_New_27-Mar-2024.xlsx]D-PDP'!</v>
      </c>
      <c r="G3354" s="32" t="s">
        <v>124</v>
      </c>
      <c r="H3354" s="33">
        <f t="shared" si="797"/>
        <v>20</v>
      </c>
      <c r="I3354" s="33" t="str">
        <f t="shared" si="793"/>
        <v>='C:\Users\jaime.benazar\Quorum Business Solutions\Ecopetrol Prometeo - Documents\Planning Space Implementation\3. Analysis &amp; Design\Design\FC22\DRR Jaime\Neiva CPI\[DINA TERCIARIOS_CF_SEC_New_27-Mar-2024.xlsx]D-PDP'!$BE$20</v>
      </c>
      <c r="J3354" s="37" t="s">
        <v>3491</v>
      </c>
    </row>
    <row r="3355" spans="1:10" x14ac:dyDescent="0.3">
      <c r="A3355" s="32" t="s">
        <v>14</v>
      </c>
      <c r="B3355" s="32">
        <f t="shared" si="796"/>
        <v>2032</v>
      </c>
      <c r="C3355" s="33" t="s">
        <v>28</v>
      </c>
      <c r="D3355" s="34" t="s">
        <v>2002</v>
      </c>
      <c r="E3355" s="35" t="str">
        <f t="shared" si="794"/>
        <v>PDP'!</v>
      </c>
      <c r="F3355" s="34" t="str">
        <f t="shared" si="795"/>
        <v>C:\Users\jaime.benazar\Quorum Business Solutions\Ecopetrol Prometeo - Documents\Planning Space Implementation\3. Analysis &amp; Design\Design\FC22\DRR Jaime\Neiva CPI\[DINA TERCIARIOS_CF_SEC_New_27-Mar-2024.xlsx]D-PDP'!</v>
      </c>
      <c r="G3355" s="32" t="s">
        <v>124</v>
      </c>
      <c r="H3355" s="33">
        <f t="shared" si="797"/>
        <v>21</v>
      </c>
      <c r="I3355" s="33" t="str">
        <f t="shared" si="793"/>
        <v>='C:\Users\jaime.benazar\Quorum Business Solutions\Ecopetrol Prometeo - Documents\Planning Space Implementation\3. Analysis &amp; Design\Design\FC22\DRR Jaime\Neiva CPI\[DINA TERCIARIOS_CF_SEC_New_27-Mar-2024.xlsx]D-PDP'!$BE$21</v>
      </c>
      <c r="J3355" s="37" t="s">
        <v>3492</v>
      </c>
    </row>
    <row r="3356" spans="1:10" x14ac:dyDescent="0.3">
      <c r="A3356" s="32" t="s">
        <v>14</v>
      </c>
      <c r="B3356" s="32">
        <f t="shared" si="796"/>
        <v>2033</v>
      </c>
      <c r="C3356" s="33" t="s">
        <v>28</v>
      </c>
      <c r="D3356" s="34" t="s">
        <v>2002</v>
      </c>
      <c r="E3356" s="35" t="str">
        <f t="shared" si="794"/>
        <v>PDP'!</v>
      </c>
      <c r="F3356" s="34" t="str">
        <f t="shared" si="795"/>
        <v>C:\Users\jaime.benazar\Quorum Business Solutions\Ecopetrol Prometeo - Documents\Planning Space Implementation\3. Analysis &amp; Design\Design\FC22\DRR Jaime\Neiva CPI\[DINA TERCIARIOS_CF_SEC_New_27-Mar-2024.xlsx]D-PDP'!</v>
      </c>
      <c r="G3356" s="32" t="s">
        <v>124</v>
      </c>
      <c r="H3356" s="33">
        <f t="shared" si="797"/>
        <v>22</v>
      </c>
      <c r="I3356" s="33" t="str">
        <f t="shared" si="793"/>
        <v>='C:\Users\jaime.benazar\Quorum Business Solutions\Ecopetrol Prometeo - Documents\Planning Space Implementation\3. Analysis &amp; Design\Design\FC22\DRR Jaime\Neiva CPI\[DINA TERCIARIOS_CF_SEC_New_27-Mar-2024.xlsx]D-PDP'!$BE$22</v>
      </c>
      <c r="J3356" s="37" t="s">
        <v>3493</v>
      </c>
    </row>
    <row r="3357" spans="1:10" x14ac:dyDescent="0.3">
      <c r="A3357" s="32" t="s">
        <v>14</v>
      </c>
      <c r="B3357" s="32">
        <f t="shared" si="796"/>
        <v>2034</v>
      </c>
      <c r="C3357" s="33" t="s">
        <v>28</v>
      </c>
      <c r="D3357" s="34" t="s">
        <v>2002</v>
      </c>
      <c r="E3357" s="35" t="str">
        <f t="shared" si="794"/>
        <v>PDP'!</v>
      </c>
      <c r="F3357" s="34" t="str">
        <f t="shared" si="795"/>
        <v>C:\Users\jaime.benazar\Quorum Business Solutions\Ecopetrol Prometeo - Documents\Planning Space Implementation\3. Analysis &amp; Design\Design\FC22\DRR Jaime\Neiva CPI\[DINA TERCIARIOS_CF_SEC_New_27-Mar-2024.xlsx]D-PDP'!</v>
      </c>
      <c r="G3357" s="32" t="s">
        <v>124</v>
      </c>
      <c r="H3357" s="33">
        <f t="shared" si="797"/>
        <v>23</v>
      </c>
      <c r="I3357" s="33" t="str">
        <f t="shared" si="793"/>
        <v>='C:\Users\jaime.benazar\Quorum Business Solutions\Ecopetrol Prometeo - Documents\Planning Space Implementation\3. Analysis &amp; Design\Design\FC22\DRR Jaime\Neiva CPI\[DINA TERCIARIOS_CF_SEC_New_27-Mar-2024.xlsx]D-PDP'!$BE$23</v>
      </c>
      <c r="J3357" s="37" t="s">
        <v>3494</v>
      </c>
    </row>
    <row r="3358" spans="1:10" x14ac:dyDescent="0.3">
      <c r="A3358" s="32" t="s">
        <v>14</v>
      </c>
      <c r="B3358" s="32">
        <f t="shared" si="796"/>
        <v>2035</v>
      </c>
      <c r="C3358" s="33" t="s">
        <v>28</v>
      </c>
      <c r="D3358" s="34" t="s">
        <v>2002</v>
      </c>
      <c r="E3358" s="35" t="str">
        <f t="shared" si="794"/>
        <v>PDP'!</v>
      </c>
      <c r="F3358" s="34" t="str">
        <f t="shared" si="795"/>
        <v>C:\Users\jaime.benazar\Quorum Business Solutions\Ecopetrol Prometeo - Documents\Planning Space Implementation\3. Analysis &amp; Design\Design\FC22\DRR Jaime\Neiva CPI\[DINA TERCIARIOS_CF_SEC_New_27-Mar-2024.xlsx]D-PDP'!</v>
      </c>
      <c r="G3358" s="32" t="s">
        <v>124</v>
      </c>
      <c r="H3358" s="33">
        <f t="shared" si="797"/>
        <v>24</v>
      </c>
      <c r="I3358" s="33" t="str">
        <f t="shared" si="793"/>
        <v>='C:\Users\jaime.benazar\Quorum Business Solutions\Ecopetrol Prometeo - Documents\Planning Space Implementation\3. Analysis &amp; Design\Design\FC22\DRR Jaime\Neiva CPI\[DINA TERCIARIOS_CF_SEC_New_27-Mar-2024.xlsx]D-PDP'!$BE$24</v>
      </c>
      <c r="J3358" s="37" t="s">
        <v>3495</v>
      </c>
    </row>
    <row r="3359" spans="1:10" x14ac:dyDescent="0.3">
      <c r="A3359" s="32" t="s">
        <v>14</v>
      </c>
      <c r="B3359" s="32">
        <f t="shared" si="796"/>
        <v>2036</v>
      </c>
      <c r="C3359" s="33" t="s">
        <v>28</v>
      </c>
      <c r="D3359" s="34" t="s">
        <v>2002</v>
      </c>
      <c r="E3359" s="35" t="str">
        <f t="shared" si="794"/>
        <v>PDP'!</v>
      </c>
      <c r="F3359" s="34" t="str">
        <f t="shared" si="795"/>
        <v>C:\Users\jaime.benazar\Quorum Business Solutions\Ecopetrol Prometeo - Documents\Planning Space Implementation\3. Analysis &amp; Design\Design\FC22\DRR Jaime\Neiva CPI\[DINA TERCIARIOS_CF_SEC_New_27-Mar-2024.xlsx]D-PDP'!</v>
      </c>
      <c r="G3359" s="32" t="s">
        <v>124</v>
      </c>
      <c r="H3359" s="33">
        <f t="shared" si="797"/>
        <v>25</v>
      </c>
      <c r="I3359" s="33" t="str">
        <f t="shared" si="793"/>
        <v>='C:\Users\jaime.benazar\Quorum Business Solutions\Ecopetrol Prometeo - Documents\Planning Space Implementation\3. Analysis &amp; Design\Design\FC22\DRR Jaime\Neiva CPI\[DINA TERCIARIOS_CF_SEC_New_27-Mar-2024.xlsx]D-PDP'!$BE$25</v>
      </c>
      <c r="J3359" s="37" t="s">
        <v>3496</v>
      </c>
    </row>
    <row r="3360" spans="1:10" x14ac:dyDescent="0.3">
      <c r="A3360" s="32" t="s">
        <v>14</v>
      </c>
      <c r="B3360" s="32">
        <f>+B3359+1</f>
        <v>2037</v>
      </c>
      <c r="C3360" s="33" t="s">
        <v>28</v>
      </c>
      <c r="D3360" s="34" t="s">
        <v>2002</v>
      </c>
      <c r="E3360" s="35" t="str">
        <f t="shared" si="794"/>
        <v>PDP'!</v>
      </c>
      <c r="F3360" s="34" t="str">
        <f t="shared" si="795"/>
        <v>C:\Users\jaime.benazar\Quorum Business Solutions\Ecopetrol Prometeo - Documents\Planning Space Implementation\3. Analysis &amp; Design\Design\FC22\DRR Jaime\Neiva CPI\[DINA TERCIARIOS_CF_SEC_New_27-Mar-2024.xlsx]D-PDP'!</v>
      </c>
      <c r="G3360" s="32" t="s">
        <v>124</v>
      </c>
      <c r="H3360" s="33">
        <f t="shared" si="797"/>
        <v>26</v>
      </c>
      <c r="I3360" s="33" t="str">
        <f t="shared" si="793"/>
        <v>='C:\Users\jaime.benazar\Quorum Business Solutions\Ecopetrol Prometeo - Documents\Planning Space Implementation\3. Analysis &amp; Design\Design\FC22\DRR Jaime\Neiva CPI\[DINA TERCIARIOS_CF_SEC_New_27-Mar-2024.xlsx]D-PDP'!$BE$26</v>
      </c>
      <c r="J3360" s="37" t="s">
        <v>3497</v>
      </c>
    </row>
    <row r="3361" spans="1:10" x14ac:dyDescent="0.3">
      <c r="A3361" s="32" t="s">
        <v>14</v>
      </c>
      <c r="B3361" s="32">
        <f t="shared" si="796"/>
        <v>2038</v>
      </c>
      <c r="C3361" s="33" t="s">
        <v>28</v>
      </c>
      <c r="D3361" s="34" t="s">
        <v>2002</v>
      </c>
      <c r="E3361" s="35" t="str">
        <f t="shared" si="794"/>
        <v>PDP'!</v>
      </c>
      <c r="F3361" s="34" t="str">
        <f t="shared" si="795"/>
        <v>C:\Users\jaime.benazar\Quorum Business Solutions\Ecopetrol Prometeo - Documents\Planning Space Implementation\3. Analysis &amp; Design\Design\FC22\DRR Jaime\Neiva CPI\[DINA TERCIARIOS_CF_SEC_New_27-Mar-2024.xlsx]D-PDP'!</v>
      </c>
      <c r="G3361" s="32" t="s">
        <v>124</v>
      </c>
      <c r="H3361" s="33">
        <f t="shared" si="797"/>
        <v>27</v>
      </c>
      <c r="I3361" s="33" t="str">
        <f t="shared" si="793"/>
        <v>='C:\Users\jaime.benazar\Quorum Business Solutions\Ecopetrol Prometeo - Documents\Planning Space Implementation\3. Analysis &amp; Design\Design\FC22\DRR Jaime\Neiva CPI\[DINA TERCIARIOS_CF_SEC_New_27-Mar-2024.xlsx]D-PDP'!$BE$27</v>
      </c>
      <c r="J3361" s="37" t="s">
        <v>3498</v>
      </c>
    </row>
    <row r="3362" spans="1:10" x14ac:dyDescent="0.3">
      <c r="A3362" s="32" t="s">
        <v>14</v>
      </c>
      <c r="B3362" s="32">
        <f t="shared" si="796"/>
        <v>2039</v>
      </c>
      <c r="C3362" s="33" t="s">
        <v>28</v>
      </c>
      <c r="D3362" s="34" t="s">
        <v>2002</v>
      </c>
      <c r="E3362" s="35" t="str">
        <f t="shared" si="794"/>
        <v>PDP'!</v>
      </c>
      <c r="F3362" s="34" t="str">
        <f t="shared" si="795"/>
        <v>C:\Users\jaime.benazar\Quorum Business Solutions\Ecopetrol Prometeo - Documents\Planning Space Implementation\3. Analysis &amp; Design\Design\FC22\DRR Jaime\Neiva CPI\[DINA TERCIARIOS_CF_SEC_New_27-Mar-2024.xlsx]D-PDP'!</v>
      </c>
      <c r="G3362" s="32" t="s">
        <v>124</v>
      </c>
      <c r="H3362" s="33">
        <f t="shared" si="797"/>
        <v>28</v>
      </c>
      <c r="I3362" s="33" t="str">
        <f t="shared" si="793"/>
        <v>='C:\Users\jaime.benazar\Quorum Business Solutions\Ecopetrol Prometeo - Documents\Planning Space Implementation\3. Analysis &amp; Design\Design\FC22\DRR Jaime\Neiva CPI\[DINA TERCIARIOS_CF_SEC_New_27-Mar-2024.xlsx]D-PDP'!$BE$28</v>
      </c>
      <c r="J3362" s="37" t="s">
        <v>3499</v>
      </c>
    </row>
    <row r="3363" spans="1:10" x14ac:dyDescent="0.3">
      <c r="A3363" s="32" t="s">
        <v>14</v>
      </c>
      <c r="B3363" s="32">
        <f t="shared" si="796"/>
        <v>2040</v>
      </c>
      <c r="C3363" s="33" t="s">
        <v>28</v>
      </c>
      <c r="D3363" s="34" t="s">
        <v>2002</v>
      </c>
      <c r="E3363" s="35" t="str">
        <f t="shared" si="794"/>
        <v>PDP'!</v>
      </c>
      <c r="F3363" s="34" t="str">
        <f t="shared" si="795"/>
        <v>C:\Users\jaime.benazar\Quorum Business Solutions\Ecopetrol Prometeo - Documents\Planning Space Implementation\3. Analysis &amp; Design\Design\FC22\DRR Jaime\Neiva CPI\[DINA TERCIARIOS_CF_SEC_New_27-Mar-2024.xlsx]D-PDP'!</v>
      </c>
      <c r="G3363" s="32" t="s">
        <v>124</v>
      </c>
      <c r="H3363" s="33">
        <f t="shared" si="797"/>
        <v>29</v>
      </c>
      <c r="I3363" s="33" t="str">
        <f t="shared" si="793"/>
        <v>='C:\Users\jaime.benazar\Quorum Business Solutions\Ecopetrol Prometeo - Documents\Planning Space Implementation\3. Analysis &amp; Design\Design\FC22\DRR Jaime\Neiva CPI\[DINA TERCIARIOS_CF_SEC_New_27-Mar-2024.xlsx]D-PDP'!$BE$29</v>
      </c>
      <c r="J3363" s="37" t="s">
        <v>3500</v>
      </c>
    </row>
    <row r="3364" spans="1:10" x14ac:dyDescent="0.3">
      <c r="A3364" s="32" t="s">
        <v>14</v>
      </c>
      <c r="B3364" s="32">
        <f>+B3363+1</f>
        <v>2041</v>
      </c>
      <c r="C3364" s="33" t="s">
        <v>28</v>
      </c>
      <c r="D3364" s="34" t="s">
        <v>2002</v>
      </c>
      <c r="E3364" s="35" t="str">
        <f t="shared" si="794"/>
        <v>PDP'!</v>
      </c>
      <c r="F3364" s="34" t="str">
        <f t="shared" si="795"/>
        <v>C:\Users\jaime.benazar\Quorum Business Solutions\Ecopetrol Prometeo - Documents\Planning Space Implementation\3. Analysis &amp; Design\Design\FC22\DRR Jaime\Neiva CPI\[DINA TERCIARIOS_CF_SEC_New_27-Mar-2024.xlsx]D-PDP'!</v>
      </c>
      <c r="G3364" s="32" t="s">
        <v>124</v>
      </c>
      <c r="H3364" s="33">
        <f t="shared" si="797"/>
        <v>30</v>
      </c>
      <c r="I3364" s="33" t="str">
        <f t="shared" si="793"/>
        <v>='C:\Users\jaime.benazar\Quorum Business Solutions\Ecopetrol Prometeo - Documents\Planning Space Implementation\3. Analysis &amp; Design\Design\FC22\DRR Jaime\Neiva CPI\[DINA TERCIARIOS_CF_SEC_New_27-Mar-2024.xlsx]D-PDP'!$BE$30</v>
      </c>
      <c r="J3364" s="37" t="s">
        <v>3501</v>
      </c>
    </row>
    <row r="3365" spans="1:10" x14ac:dyDescent="0.3">
      <c r="A3365" s="32" t="s">
        <v>14</v>
      </c>
      <c r="B3365" s="32">
        <f t="shared" si="796"/>
        <v>2042</v>
      </c>
      <c r="C3365" s="33" t="s">
        <v>28</v>
      </c>
      <c r="D3365" s="34" t="s">
        <v>2002</v>
      </c>
      <c r="E3365" s="35" t="str">
        <f t="shared" si="794"/>
        <v>PDP'!</v>
      </c>
      <c r="F3365" s="34" t="str">
        <f t="shared" si="795"/>
        <v>C:\Users\jaime.benazar\Quorum Business Solutions\Ecopetrol Prometeo - Documents\Planning Space Implementation\3. Analysis &amp; Design\Design\FC22\DRR Jaime\Neiva CPI\[DINA TERCIARIOS_CF_SEC_New_27-Mar-2024.xlsx]D-PDP'!</v>
      </c>
      <c r="G3365" s="32" t="s">
        <v>124</v>
      </c>
      <c r="H3365" s="33">
        <f t="shared" si="797"/>
        <v>31</v>
      </c>
      <c r="I3365" s="33" t="str">
        <f t="shared" si="793"/>
        <v>='C:\Users\jaime.benazar\Quorum Business Solutions\Ecopetrol Prometeo - Documents\Planning Space Implementation\3. Analysis &amp; Design\Design\FC22\DRR Jaime\Neiva CPI\[DINA TERCIARIOS_CF_SEC_New_27-Mar-2024.xlsx]D-PDP'!$BE$31</v>
      </c>
      <c r="J3365" s="37" t="s">
        <v>3502</v>
      </c>
    </row>
    <row r="3366" spans="1:10" x14ac:dyDescent="0.3">
      <c r="A3366" s="32" t="s">
        <v>14</v>
      </c>
      <c r="B3366" s="32">
        <f t="shared" si="796"/>
        <v>2043</v>
      </c>
      <c r="C3366" s="33" t="s">
        <v>28</v>
      </c>
      <c r="D3366" s="34" t="s">
        <v>2002</v>
      </c>
      <c r="E3366" s="35" t="str">
        <f t="shared" si="794"/>
        <v>PDP'!</v>
      </c>
      <c r="F3366" s="34" t="str">
        <f t="shared" si="795"/>
        <v>C:\Users\jaime.benazar\Quorum Business Solutions\Ecopetrol Prometeo - Documents\Planning Space Implementation\3. Analysis &amp; Design\Design\FC22\DRR Jaime\Neiva CPI\[DINA TERCIARIOS_CF_SEC_New_27-Mar-2024.xlsx]D-PDP'!</v>
      </c>
      <c r="G3366" s="32" t="s">
        <v>124</v>
      </c>
      <c r="H3366" s="33">
        <f t="shared" si="797"/>
        <v>32</v>
      </c>
      <c r="I3366" s="33" t="str">
        <f t="shared" si="793"/>
        <v>='C:\Users\jaime.benazar\Quorum Business Solutions\Ecopetrol Prometeo - Documents\Planning Space Implementation\3. Analysis &amp; Design\Design\FC22\DRR Jaime\Neiva CPI\[DINA TERCIARIOS_CF_SEC_New_27-Mar-2024.xlsx]D-PDP'!$BE$32</v>
      </c>
      <c r="J3366" s="37" t="s">
        <v>3503</v>
      </c>
    </row>
    <row r="3367" spans="1:10" x14ac:dyDescent="0.3">
      <c r="A3367" s="32" t="s">
        <v>14</v>
      </c>
      <c r="B3367" s="32">
        <f>+B3366+1</f>
        <v>2044</v>
      </c>
      <c r="C3367" s="33" t="s">
        <v>28</v>
      </c>
      <c r="D3367" s="34" t="s">
        <v>2002</v>
      </c>
      <c r="E3367" s="35" t="str">
        <f t="shared" ref="E3367:E3382" si="798">_xlfn.CONCAT(A3367,"'!")</f>
        <v>PDP'!</v>
      </c>
      <c r="F3367" s="34" t="str">
        <f t="shared" ref="F3367:F3382" si="799">_xlfn.CONCAT(D3367:E3367)</f>
        <v>C:\Users\jaime.benazar\Quorum Business Solutions\Ecopetrol Prometeo - Documents\Planning Space Implementation\3. Analysis &amp; Design\Design\FC22\DRR Jaime\Neiva CPI\[DINA TERCIARIOS_CF_SEC_New_27-Mar-2024.xlsx]D-PDP'!</v>
      </c>
      <c r="G3367" s="32" t="s">
        <v>124</v>
      </c>
      <c r="H3367" s="33">
        <f t="shared" ref="H3367:H3382" si="800">IF(A3367&lt;&gt;A3366,36,H3366+1)</f>
        <v>33</v>
      </c>
      <c r="I3367" s="33" t="str">
        <f t="shared" ref="I3367:I3382" si="801">_xlfn.CONCAT("='",F3367:H3367)</f>
        <v>='C:\Users\jaime.benazar\Quorum Business Solutions\Ecopetrol Prometeo - Documents\Planning Space Implementation\3. Analysis &amp; Design\Design\FC22\DRR Jaime\Neiva CPI\[DINA TERCIARIOS_CF_SEC_New_27-Mar-2024.xlsx]D-PDP'!$BE$33</v>
      </c>
      <c r="J3367" s="37" t="s">
        <v>3504</v>
      </c>
    </row>
    <row r="3368" spans="1:10" x14ac:dyDescent="0.3">
      <c r="A3368" s="32" t="s">
        <v>14</v>
      </c>
      <c r="B3368" s="32">
        <f t="shared" si="796"/>
        <v>2045</v>
      </c>
      <c r="C3368" s="33" t="s">
        <v>28</v>
      </c>
      <c r="D3368" s="34" t="s">
        <v>2002</v>
      </c>
      <c r="E3368" s="35" t="str">
        <f t="shared" si="798"/>
        <v>PDP'!</v>
      </c>
      <c r="F3368" s="34" t="str">
        <f t="shared" si="799"/>
        <v>C:\Users\jaime.benazar\Quorum Business Solutions\Ecopetrol Prometeo - Documents\Planning Space Implementation\3. Analysis &amp; Design\Design\FC22\DRR Jaime\Neiva CPI\[DINA TERCIARIOS_CF_SEC_New_27-Mar-2024.xlsx]D-PDP'!</v>
      </c>
      <c r="G3368" s="32" t="s">
        <v>124</v>
      </c>
      <c r="H3368" s="33">
        <f t="shared" si="800"/>
        <v>34</v>
      </c>
      <c r="I3368" s="33" t="str">
        <f t="shared" si="801"/>
        <v>='C:\Users\jaime.benazar\Quorum Business Solutions\Ecopetrol Prometeo - Documents\Planning Space Implementation\3. Analysis &amp; Design\Design\FC22\DRR Jaime\Neiva CPI\[DINA TERCIARIOS_CF_SEC_New_27-Mar-2024.xlsx]D-PDP'!$BE$34</v>
      </c>
      <c r="J3368" s="37" t="s">
        <v>3505</v>
      </c>
    </row>
    <row r="3369" spans="1:10" x14ac:dyDescent="0.3">
      <c r="A3369" s="32" t="s">
        <v>14</v>
      </c>
      <c r="B3369" s="32">
        <f t="shared" si="796"/>
        <v>2046</v>
      </c>
      <c r="C3369" s="33" t="s">
        <v>28</v>
      </c>
      <c r="D3369" s="34" t="s">
        <v>2002</v>
      </c>
      <c r="E3369" s="35" t="str">
        <f t="shared" si="798"/>
        <v>PDP'!</v>
      </c>
      <c r="F3369" s="34" t="str">
        <f t="shared" si="799"/>
        <v>C:\Users\jaime.benazar\Quorum Business Solutions\Ecopetrol Prometeo - Documents\Planning Space Implementation\3. Analysis &amp; Design\Design\FC22\DRR Jaime\Neiva CPI\[DINA TERCIARIOS_CF_SEC_New_27-Mar-2024.xlsx]D-PDP'!</v>
      </c>
      <c r="G3369" s="32" t="s">
        <v>124</v>
      </c>
      <c r="H3369" s="33">
        <f t="shared" si="800"/>
        <v>35</v>
      </c>
      <c r="I3369" s="33" t="str">
        <f t="shared" si="801"/>
        <v>='C:\Users\jaime.benazar\Quorum Business Solutions\Ecopetrol Prometeo - Documents\Planning Space Implementation\3. Analysis &amp; Design\Design\FC22\DRR Jaime\Neiva CPI\[DINA TERCIARIOS_CF_SEC_New_27-Mar-2024.xlsx]D-PDP'!$BE$35</v>
      </c>
      <c r="J3369" s="37" t="s">
        <v>3506</v>
      </c>
    </row>
    <row r="3370" spans="1:10" x14ac:dyDescent="0.3">
      <c r="A3370" s="32" t="s">
        <v>14</v>
      </c>
      <c r="B3370" s="32">
        <f t="shared" si="796"/>
        <v>2047</v>
      </c>
      <c r="C3370" s="33" t="s">
        <v>28</v>
      </c>
      <c r="D3370" s="34" t="s">
        <v>2002</v>
      </c>
      <c r="E3370" s="35" t="str">
        <f t="shared" si="798"/>
        <v>PDP'!</v>
      </c>
      <c r="F3370" s="34" t="str">
        <f t="shared" si="799"/>
        <v>C:\Users\jaime.benazar\Quorum Business Solutions\Ecopetrol Prometeo - Documents\Planning Space Implementation\3. Analysis &amp; Design\Design\FC22\DRR Jaime\Neiva CPI\[DINA TERCIARIOS_CF_SEC_New_27-Mar-2024.xlsx]D-PDP'!</v>
      </c>
      <c r="G3370" s="32" t="s">
        <v>124</v>
      </c>
      <c r="H3370" s="33">
        <f t="shared" si="800"/>
        <v>36</v>
      </c>
      <c r="I3370" s="33" t="str">
        <f t="shared" si="801"/>
        <v>='C:\Users\jaime.benazar\Quorum Business Solutions\Ecopetrol Prometeo - Documents\Planning Space Implementation\3. Analysis &amp; Design\Design\FC22\DRR Jaime\Neiva CPI\[DINA TERCIARIOS_CF_SEC_New_27-Mar-2024.xlsx]D-PDP'!$BE$36</v>
      </c>
      <c r="J3370" s="37" t="s">
        <v>3507</v>
      </c>
    </row>
    <row r="3371" spans="1:10" x14ac:dyDescent="0.3">
      <c r="A3371" s="32" t="s">
        <v>14</v>
      </c>
      <c r="B3371" s="32">
        <f t="shared" si="796"/>
        <v>2048</v>
      </c>
      <c r="C3371" s="33" t="s">
        <v>28</v>
      </c>
      <c r="D3371" s="34" t="s">
        <v>2002</v>
      </c>
      <c r="E3371" s="35" t="str">
        <f t="shared" si="798"/>
        <v>PDP'!</v>
      </c>
      <c r="F3371" s="34" t="str">
        <f t="shared" si="799"/>
        <v>C:\Users\jaime.benazar\Quorum Business Solutions\Ecopetrol Prometeo - Documents\Planning Space Implementation\3. Analysis &amp; Design\Design\FC22\DRR Jaime\Neiva CPI\[DINA TERCIARIOS_CF_SEC_New_27-Mar-2024.xlsx]D-PDP'!</v>
      </c>
      <c r="G3371" s="32" t="s">
        <v>124</v>
      </c>
      <c r="H3371" s="33">
        <f t="shared" si="800"/>
        <v>37</v>
      </c>
      <c r="I3371" s="33" t="str">
        <f t="shared" si="801"/>
        <v>='C:\Users\jaime.benazar\Quorum Business Solutions\Ecopetrol Prometeo - Documents\Planning Space Implementation\3. Analysis &amp; Design\Design\FC22\DRR Jaime\Neiva CPI\[DINA TERCIARIOS_CF_SEC_New_27-Mar-2024.xlsx]D-PDP'!$BE$37</v>
      </c>
      <c r="J3371" s="37" t="s">
        <v>3508</v>
      </c>
    </row>
    <row r="3372" spans="1:10" x14ac:dyDescent="0.3">
      <c r="A3372" s="32" t="s">
        <v>14</v>
      </c>
      <c r="B3372" s="32">
        <f t="shared" si="796"/>
        <v>2049</v>
      </c>
      <c r="C3372" s="33" t="s">
        <v>28</v>
      </c>
      <c r="D3372" s="34" t="s">
        <v>2002</v>
      </c>
      <c r="E3372" s="35" t="str">
        <f t="shared" si="798"/>
        <v>PDP'!</v>
      </c>
      <c r="F3372" s="34" t="str">
        <f t="shared" si="799"/>
        <v>C:\Users\jaime.benazar\Quorum Business Solutions\Ecopetrol Prometeo - Documents\Planning Space Implementation\3. Analysis &amp; Design\Design\FC22\DRR Jaime\Neiva CPI\[DINA TERCIARIOS_CF_SEC_New_27-Mar-2024.xlsx]D-PDP'!</v>
      </c>
      <c r="G3372" s="32" t="s">
        <v>124</v>
      </c>
      <c r="H3372" s="33">
        <f t="shared" si="800"/>
        <v>38</v>
      </c>
      <c r="I3372" s="33" t="str">
        <f t="shared" si="801"/>
        <v>='C:\Users\jaime.benazar\Quorum Business Solutions\Ecopetrol Prometeo - Documents\Planning Space Implementation\3. Analysis &amp; Design\Design\FC22\DRR Jaime\Neiva CPI\[DINA TERCIARIOS_CF_SEC_New_27-Mar-2024.xlsx]D-PDP'!$BE$38</v>
      </c>
      <c r="J3372" s="37" t="s">
        <v>3509</v>
      </c>
    </row>
    <row r="3373" spans="1:10" x14ac:dyDescent="0.3">
      <c r="A3373" s="32" t="s">
        <v>14</v>
      </c>
      <c r="B3373" s="32">
        <f t="shared" si="796"/>
        <v>2050</v>
      </c>
      <c r="C3373" s="33" t="s">
        <v>28</v>
      </c>
      <c r="D3373" s="34" t="s">
        <v>2002</v>
      </c>
      <c r="E3373" s="35" t="str">
        <f t="shared" si="798"/>
        <v>PDP'!</v>
      </c>
      <c r="F3373" s="34" t="str">
        <f t="shared" si="799"/>
        <v>C:\Users\jaime.benazar\Quorum Business Solutions\Ecopetrol Prometeo - Documents\Planning Space Implementation\3. Analysis &amp; Design\Design\FC22\DRR Jaime\Neiva CPI\[DINA TERCIARIOS_CF_SEC_New_27-Mar-2024.xlsx]D-PDP'!</v>
      </c>
      <c r="G3373" s="32" t="s">
        <v>124</v>
      </c>
      <c r="H3373" s="33">
        <f t="shared" si="800"/>
        <v>39</v>
      </c>
      <c r="I3373" s="33" t="str">
        <f t="shared" si="801"/>
        <v>='C:\Users\jaime.benazar\Quorum Business Solutions\Ecopetrol Prometeo - Documents\Planning Space Implementation\3. Analysis &amp; Design\Design\FC22\DRR Jaime\Neiva CPI\[DINA TERCIARIOS_CF_SEC_New_27-Mar-2024.xlsx]D-PDP'!$BE$39</v>
      </c>
      <c r="J3373" s="37" t="s">
        <v>3510</v>
      </c>
    </row>
    <row r="3374" spans="1:10" x14ac:dyDescent="0.3">
      <c r="A3374" s="32" t="s">
        <v>14</v>
      </c>
      <c r="B3374" s="32">
        <f t="shared" si="796"/>
        <v>2051</v>
      </c>
      <c r="C3374" s="33" t="s">
        <v>28</v>
      </c>
      <c r="D3374" s="34" t="s">
        <v>2002</v>
      </c>
      <c r="E3374" s="35" t="str">
        <f t="shared" si="798"/>
        <v>PDP'!</v>
      </c>
      <c r="F3374" s="34" t="str">
        <f t="shared" si="799"/>
        <v>C:\Users\jaime.benazar\Quorum Business Solutions\Ecopetrol Prometeo - Documents\Planning Space Implementation\3. Analysis &amp; Design\Design\FC22\DRR Jaime\Neiva CPI\[DINA TERCIARIOS_CF_SEC_New_27-Mar-2024.xlsx]D-PDP'!</v>
      </c>
      <c r="G3374" s="32" t="s">
        <v>124</v>
      </c>
      <c r="H3374" s="33">
        <f t="shared" si="800"/>
        <v>40</v>
      </c>
      <c r="I3374" s="33" t="str">
        <f t="shared" si="801"/>
        <v>='C:\Users\jaime.benazar\Quorum Business Solutions\Ecopetrol Prometeo - Documents\Planning Space Implementation\3. Analysis &amp; Design\Design\FC22\DRR Jaime\Neiva CPI\[DINA TERCIARIOS_CF_SEC_New_27-Mar-2024.xlsx]D-PDP'!$BE$40</v>
      </c>
      <c r="J3374" s="37" t="s">
        <v>3511</v>
      </c>
    </row>
    <row r="3375" spans="1:10" x14ac:dyDescent="0.3">
      <c r="A3375" s="32" t="s">
        <v>14</v>
      </c>
      <c r="B3375" s="32">
        <f t="shared" si="796"/>
        <v>2052</v>
      </c>
      <c r="C3375" s="33" t="s">
        <v>28</v>
      </c>
      <c r="D3375" s="34" t="s">
        <v>2002</v>
      </c>
      <c r="E3375" s="35" t="str">
        <f t="shared" si="798"/>
        <v>PDP'!</v>
      </c>
      <c r="F3375" s="34" t="str">
        <f t="shared" si="799"/>
        <v>C:\Users\jaime.benazar\Quorum Business Solutions\Ecopetrol Prometeo - Documents\Planning Space Implementation\3. Analysis &amp; Design\Design\FC22\DRR Jaime\Neiva CPI\[DINA TERCIARIOS_CF_SEC_New_27-Mar-2024.xlsx]D-PDP'!</v>
      </c>
      <c r="G3375" s="32" t="s">
        <v>124</v>
      </c>
      <c r="H3375" s="33">
        <f t="shared" si="800"/>
        <v>41</v>
      </c>
      <c r="I3375" s="33" t="str">
        <f t="shared" si="801"/>
        <v>='C:\Users\jaime.benazar\Quorum Business Solutions\Ecopetrol Prometeo - Documents\Planning Space Implementation\3. Analysis &amp; Design\Design\FC22\DRR Jaime\Neiva CPI\[DINA TERCIARIOS_CF_SEC_New_27-Mar-2024.xlsx]D-PDP'!$BE$41</v>
      </c>
      <c r="J3375" s="37" t="s">
        <v>3512</v>
      </c>
    </row>
    <row r="3376" spans="1:10" x14ac:dyDescent="0.3">
      <c r="A3376" s="32" t="s">
        <v>14</v>
      </c>
      <c r="B3376" s="32">
        <f t="shared" si="796"/>
        <v>2053</v>
      </c>
      <c r="C3376" s="33" t="s">
        <v>28</v>
      </c>
      <c r="D3376" s="34" t="s">
        <v>2002</v>
      </c>
      <c r="E3376" s="35" t="str">
        <f t="shared" si="798"/>
        <v>PDP'!</v>
      </c>
      <c r="F3376" s="34" t="str">
        <f t="shared" si="799"/>
        <v>C:\Users\jaime.benazar\Quorum Business Solutions\Ecopetrol Prometeo - Documents\Planning Space Implementation\3. Analysis &amp; Design\Design\FC22\DRR Jaime\Neiva CPI\[DINA TERCIARIOS_CF_SEC_New_27-Mar-2024.xlsx]D-PDP'!</v>
      </c>
      <c r="G3376" s="32" t="s">
        <v>124</v>
      </c>
      <c r="H3376" s="33">
        <f t="shared" si="800"/>
        <v>42</v>
      </c>
      <c r="I3376" s="33" t="str">
        <f t="shared" si="801"/>
        <v>='C:\Users\jaime.benazar\Quorum Business Solutions\Ecopetrol Prometeo - Documents\Planning Space Implementation\3. Analysis &amp; Design\Design\FC22\DRR Jaime\Neiva CPI\[DINA TERCIARIOS_CF_SEC_New_27-Mar-2024.xlsx]D-PDP'!$BE$42</v>
      </c>
      <c r="J3376" s="37" t="s">
        <v>3513</v>
      </c>
    </row>
    <row r="3377" spans="1:10" x14ac:dyDescent="0.3">
      <c r="A3377" s="32" t="s">
        <v>14</v>
      </c>
      <c r="B3377" s="32">
        <f t="shared" si="796"/>
        <v>2054</v>
      </c>
      <c r="C3377" s="33" t="s">
        <v>28</v>
      </c>
      <c r="D3377" s="34" t="s">
        <v>2002</v>
      </c>
      <c r="E3377" s="35" t="str">
        <f t="shared" si="798"/>
        <v>PDP'!</v>
      </c>
      <c r="F3377" s="34" t="str">
        <f t="shared" si="799"/>
        <v>C:\Users\jaime.benazar\Quorum Business Solutions\Ecopetrol Prometeo - Documents\Planning Space Implementation\3. Analysis &amp; Design\Design\FC22\DRR Jaime\Neiva CPI\[DINA TERCIARIOS_CF_SEC_New_27-Mar-2024.xlsx]D-PDP'!</v>
      </c>
      <c r="G3377" s="32" t="s">
        <v>124</v>
      </c>
      <c r="H3377" s="33">
        <f t="shared" si="800"/>
        <v>43</v>
      </c>
      <c r="I3377" s="33" t="str">
        <f t="shared" si="801"/>
        <v>='C:\Users\jaime.benazar\Quorum Business Solutions\Ecopetrol Prometeo - Documents\Planning Space Implementation\3. Analysis &amp; Design\Design\FC22\DRR Jaime\Neiva CPI\[DINA TERCIARIOS_CF_SEC_New_27-Mar-2024.xlsx]D-PDP'!$BE$43</v>
      </c>
      <c r="J3377" s="37" t="s">
        <v>3514</v>
      </c>
    </row>
    <row r="3378" spans="1:10" x14ac:dyDescent="0.3">
      <c r="A3378" s="32" t="s">
        <v>14</v>
      </c>
      <c r="B3378" s="32">
        <f t="shared" si="796"/>
        <v>2055</v>
      </c>
      <c r="C3378" s="33" t="s">
        <v>28</v>
      </c>
      <c r="D3378" s="34" t="s">
        <v>2002</v>
      </c>
      <c r="E3378" s="35" t="str">
        <f t="shared" si="798"/>
        <v>PDP'!</v>
      </c>
      <c r="F3378" s="34" t="str">
        <f t="shared" si="799"/>
        <v>C:\Users\jaime.benazar\Quorum Business Solutions\Ecopetrol Prometeo - Documents\Planning Space Implementation\3. Analysis &amp; Design\Design\FC22\DRR Jaime\Neiva CPI\[DINA TERCIARIOS_CF_SEC_New_27-Mar-2024.xlsx]D-PDP'!</v>
      </c>
      <c r="G3378" s="32" t="s">
        <v>124</v>
      </c>
      <c r="H3378" s="33">
        <f t="shared" si="800"/>
        <v>44</v>
      </c>
      <c r="I3378" s="33" t="str">
        <f t="shared" si="801"/>
        <v>='C:\Users\jaime.benazar\Quorum Business Solutions\Ecopetrol Prometeo - Documents\Planning Space Implementation\3. Analysis &amp; Design\Design\FC22\DRR Jaime\Neiva CPI\[DINA TERCIARIOS_CF_SEC_New_27-Mar-2024.xlsx]D-PDP'!$BE$44</v>
      </c>
      <c r="J3378" s="37" t="s">
        <v>3515</v>
      </c>
    </row>
    <row r="3379" spans="1:10" x14ac:dyDescent="0.3">
      <c r="A3379" s="32" t="s">
        <v>14</v>
      </c>
      <c r="B3379" s="32">
        <f t="shared" si="796"/>
        <v>2056</v>
      </c>
      <c r="C3379" s="33" t="s">
        <v>28</v>
      </c>
      <c r="D3379" s="34" t="s">
        <v>2002</v>
      </c>
      <c r="E3379" s="35" t="str">
        <f t="shared" si="798"/>
        <v>PDP'!</v>
      </c>
      <c r="F3379" s="34" t="str">
        <f t="shared" si="799"/>
        <v>C:\Users\jaime.benazar\Quorum Business Solutions\Ecopetrol Prometeo - Documents\Planning Space Implementation\3. Analysis &amp; Design\Design\FC22\DRR Jaime\Neiva CPI\[DINA TERCIARIOS_CF_SEC_New_27-Mar-2024.xlsx]D-PDP'!</v>
      </c>
      <c r="G3379" s="32" t="s">
        <v>124</v>
      </c>
      <c r="H3379" s="33">
        <f t="shared" si="800"/>
        <v>45</v>
      </c>
      <c r="I3379" s="33" t="str">
        <f t="shared" si="801"/>
        <v>='C:\Users\jaime.benazar\Quorum Business Solutions\Ecopetrol Prometeo - Documents\Planning Space Implementation\3. Analysis &amp; Design\Design\FC22\DRR Jaime\Neiva CPI\[DINA TERCIARIOS_CF_SEC_New_27-Mar-2024.xlsx]D-PDP'!$BE$45</v>
      </c>
      <c r="J3379" s="37" t="s">
        <v>3516</v>
      </c>
    </row>
    <row r="3380" spans="1:10" x14ac:dyDescent="0.3">
      <c r="A3380" s="32" t="s">
        <v>14</v>
      </c>
      <c r="B3380" s="32">
        <f t="shared" si="796"/>
        <v>2057</v>
      </c>
      <c r="C3380" s="33" t="s">
        <v>28</v>
      </c>
      <c r="D3380" s="34" t="s">
        <v>2002</v>
      </c>
      <c r="E3380" s="35" t="str">
        <f t="shared" si="798"/>
        <v>PDP'!</v>
      </c>
      <c r="F3380" s="34" t="str">
        <f t="shared" si="799"/>
        <v>C:\Users\jaime.benazar\Quorum Business Solutions\Ecopetrol Prometeo - Documents\Planning Space Implementation\3. Analysis &amp; Design\Design\FC22\DRR Jaime\Neiva CPI\[DINA TERCIARIOS_CF_SEC_New_27-Mar-2024.xlsx]D-PDP'!</v>
      </c>
      <c r="G3380" s="32" t="s">
        <v>124</v>
      </c>
      <c r="H3380" s="33">
        <f t="shared" si="800"/>
        <v>46</v>
      </c>
      <c r="I3380" s="33" t="str">
        <f t="shared" si="801"/>
        <v>='C:\Users\jaime.benazar\Quorum Business Solutions\Ecopetrol Prometeo - Documents\Planning Space Implementation\3. Analysis &amp; Design\Design\FC22\DRR Jaime\Neiva CPI\[DINA TERCIARIOS_CF_SEC_New_27-Mar-2024.xlsx]D-PDP'!$BE$46</v>
      </c>
      <c r="J3380" s="37" t="s">
        <v>3517</v>
      </c>
    </row>
    <row r="3381" spans="1:10" x14ac:dyDescent="0.3">
      <c r="A3381" s="32" t="s">
        <v>14</v>
      </c>
      <c r="B3381" s="32">
        <f t="shared" si="796"/>
        <v>2058</v>
      </c>
      <c r="C3381" s="33" t="s">
        <v>28</v>
      </c>
      <c r="D3381" s="34" t="s">
        <v>2002</v>
      </c>
      <c r="E3381" s="35" t="str">
        <f t="shared" si="798"/>
        <v>PDP'!</v>
      </c>
      <c r="F3381" s="34" t="str">
        <f t="shared" si="799"/>
        <v>C:\Users\jaime.benazar\Quorum Business Solutions\Ecopetrol Prometeo - Documents\Planning Space Implementation\3. Analysis &amp; Design\Design\FC22\DRR Jaime\Neiva CPI\[DINA TERCIARIOS_CF_SEC_New_27-Mar-2024.xlsx]D-PDP'!</v>
      </c>
      <c r="G3381" s="32" t="s">
        <v>124</v>
      </c>
      <c r="H3381" s="33">
        <f t="shared" si="800"/>
        <v>47</v>
      </c>
      <c r="I3381" s="33" t="str">
        <f t="shared" si="801"/>
        <v>='C:\Users\jaime.benazar\Quorum Business Solutions\Ecopetrol Prometeo - Documents\Planning Space Implementation\3. Analysis &amp; Design\Design\FC22\DRR Jaime\Neiva CPI\[DINA TERCIARIOS_CF_SEC_New_27-Mar-2024.xlsx]D-PDP'!$BE$47</v>
      </c>
      <c r="J3381" s="37" t="s">
        <v>3518</v>
      </c>
    </row>
    <row r="3382" spans="1:10" x14ac:dyDescent="0.3">
      <c r="A3382" s="32" t="s">
        <v>14</v>
      </c>
      <c r="B3382" s="32">
        <f t="shared" si="796"/>
        <v>2059</v>
      </c>
      <c r="C3382" s="33" t="s">
        <v>28</v>
      </c>
      <c r="D3382" s="34" t="s">
        <v>2002</v>
      </c>
      <c r="E3382" s="35" t="str">
        <f t="shared" si="798"/>
        <v>PDP'!</v>
      </c>
      <c r="F3382" s="34" t="str">
        <f t="shared" si="799"/>
        <v>C:\Users\jaime.benazar\Quorum Business Solutions\Ecopetrol Prometeo - Documents\Planning Space Implementation\3. Analysis &amp; Design\Design\FC22\DRR Jaime\Neiva CPI\[DINA TERCIARIOS_CF_SEC_New_27-Mar-2024.xlsx]D-PDP'!</v>
      </c>
      <c r="G3382" s="32" t="s">
        <v>124</v>
      </c>
      <c r="H3382" s="33">
        <f t="shared" si="800"/>
        <v>48</v>
      </c>
      <c r="I3382" s="33" t="str">
        <f t="shared" si="801"/>
        <v>='C:\Users\jaime.benazar\Quorum Business Solutions\Ecopetrol Prometeo - Documents\Planning Space Implementation\3. Analysis &amp; Design\Design\FC22\DRR Jaime\Neiva CPI\[DINA TERCIARIOS_CF_SEC_New_27-Mar-2024.xlsx]D-PDP'!$BE$48</v>
      </c>
      <c r="J3382" s="37" t="s">
        <v>3519</v>
      </c>
    </row>
    <row r="3383" spans="1:10" x14ac:dyDescent="0.3">
      <c r="A3383" s="32" t="s">
        <v>26</v>
      </c>
      <c r="B3383" s="32"/>
      <c r="C3383" s="33" t="s">
        <v>28</v>
      </c>
      <c r="D3383" s="34"/>
      <c r="E3383" s="35" t="str">
        <f t="shared" si="794"/>
        <v>Total'!</v>
      </c>
      <c r="F3383" s="34"/>
      <c r="G3383" s="32"/>
      <c r="H3383" s="33"/>
      <c r="I3383" s="33"/>
      <c r="J3383" s="33"/>
    </row>
    <row r="3384" spans="1:10" x14ac:dyDescent="0.3">
      <c r="A3384" s="32" t="s">
        <v>15</v>
      </c>
      <c r="B3384" s="32">
        <v>2023</v>
      </c>
      <c r="C3384" s="33" t="s">
        <v>28</v>
      </c>
      <c r="D3384" s="34" t="s">
        <v>2002</v>
      </c>
      <c r="E3384" s="35" t="str">
        <f t="shared" si="794"/>
        <v>PNP'!</v>
      </c>
      <c r="F3384" s="34" t="str">
        <f t="shared" ref="F3384:F3404" si="802">_xlfn.CONCAT(D3384:E3384)</f>
        <v>C:\Users\jaime.benazar\Quorum Business Solutions\Ecopetrol Prometeo - Documents\Planning Space Implementation\3. Analysis &amp; Design\Design\FC22\DRR Jaime\Neiva CPI\[DINA TERCIARIOS_CF_SEC_New_27-Mar-2024.xlsx]D-PNP'!</v>
      </c>
      <c r="G3384" s="32" t="s">
        <v>124</v>
      </c>
      <c r="H3384" s="33">
        <f>IF(A3384&lt;&gt;A3368,12,H3368+1)</f>
        <v>12</v>
      </c>
      <c r="I3384" s="33" t="str">
        <f t="shared" ref="I3384:I3404" si="803">_xlfn.CONCAT("='",F3384:H3384)</f>
        <v>='C:\Users\jaime.benazar\Quorum Business Solutions\Ecopetrol Prometeo - Documents\Planning Space Implementation\3. Analysis &amp; Design\Design\FC22\DRR Jaime\Neiva CPI\[DINA TERCIARIOS_CF_SEC_New_27-Mar-2024.xlsx]D-PNP'!$BE$12</v>
      </c>
      <c r="J3384" s="37" t="s">
        <v>3520</v>
      </c>
    </row>
    <row r="3385" spans="1:10" x14ac:dyDescent="0.3">
      <c r="A3385" s="32" t="s">
        <v>15</v>
      </c>
      <c r="B3385" s="32">
        <f>+B3384+1</f>
        <v>2024</v>
      </c>
      <c r="C3385" s="33" t="s">
        <v>28</v>
      </c>
      <c r="D3385" s="34" t="s">
        <v>2002</v>
      </c>
      <c r="E3385" s="35" t="str">
        <f t="shared" si="794"/>
        <v>PNP'!</v>
      </c>
      <c r="F3385" s="34" t="str">
        <f t="shared" si="802"/>
        <v>C:\Users\jaime.benazar\Quorum Business Solutions\Ecopetrol Prometeo - Documents\Planning Space Implementation\3. Analysis &amp; Design\Design\FC22\DRR Jaime\Neiva CPI\[DINA TERCIARIOS_CF_SEC_New_27-Mar-2024.xlsx]D-PNP'!</v>
      </c>
      <c r="G3385" s="32" t="s">
        <v>124</v>
      </c>
      <c r="H3385" s="33">
        <f t="shared" ref="H3385:H3404" si="804">IF(A3385&lt;&gt;A3384,36,H3384+1)</f>
        <v>13</v>
      </c>
      <c r="I3385" s="33" t="str">
        <f t="shared" si="803"/>
        <v>='C:\Users\jaime.benazar\Quorum Business Solutions\Ecopetrol Prometeo - Documents\Planning Space Implementation\3. Analysis &amp; Design\Design\FC22\DRR Jaime\Neiva CPI\[DINA TERCIARIOS_CF_SEC_New_27-Mar-2024.xlsx]D-PNP'!$BE$13</v>
      </c>
      <c r="J3385" s="37" t="s">
        <v>3521</v>
      </c>
    </row>
    <row r="3386" spans="1:10" x14ac:dyDescent="0.3">
      <c r="A3386" s="32" t="s">
        <v>15</v>
      </c>
      <c r="B3386" s="32">
        <f t="shared" ref="B3386:B3397" si="805">+B3385+1</f>
        <v>2025</v>
      </c>
      <c r="C3386" s="33" t="s">
        <v>28</v>
      </c>
      <c r="D3386" s="34" t="s">
        <v>2002</v>
      </c>
      <c r="E3386" s="35" t="str">
        <f t="shared" si="794"/>
        <v>PNP'!</v>
      </c>
      <c r="F3386" s="34" t="str">
        <f t="shared" si="802"/>
        <v>C:\Users\jaime.benazar\Quorum Business Solutions\Ecopetrol Prometeo - Documents\Planning Space Implementation\3. Analysis &amp; Design\Design\FC22\DRR Jaime\Neiva CPI\[DINA TERCIARIOS_CF_SEC_New_27-Mar-2024.xlsx]D-PNP'!</v>
      </c>
      <c r="G3386" s="32" t="s">
        <v>124</v>
      </c>
      <c r="H3386" s="33">
        <f t="shared" si="804"/>
        <v>14</v>
      </c>
      <c r="I3386" s="33" t="str">
        <f t="shared" si="803"/>
        <v>='C:\Users\jaime.benazar\Quorum Business Solutions\Ecopetrol Prometeo - Documents\Planning Space Implementation\3. Analysis &amp; Design\Design\FC22\DRR Jaime\Neiva CPI\[DINA TERCIARIOS_CF_SEC_New_27-Mar-2024.xlsx]D-PNP'!$BE$14</v>
      </c>
      <c r="J3386" s="37" t="s">
        <v>3522</v>
      </c>
    </row>
    <row r="3387" spans="1:10" x14ac:dyDescent="0.3">
      <c r="A3387" s="32" t="s">
        <v>15</v>
      </c>
      <c r="B3387" s="32">
        <f t="shared" si="805"/>
        <v>2026</v>
      </c>
      <c r="C3387" s="33" t="s">
        <v>28</v>
      </c>
      <c r="D3387" s="34" t="s">
        <v>2002</v>
      </c>
      <c r="E3387" s="35" t="str">
        <f t="shared" si="794"/>
        <v>PNP'!</v>
      </c>
      <c r="F3387" s="34" t="str">
        <f t="shared" si="802"/>
        <v>C:\Users\jaime.benazar\Quorum Business Solutions\Ecopetrol Prometeo - Documents\Planning Space Implementation\3. Analysis &amp; Design\Design\FC22\DRR Jaime\Neiva CPI\[DINA TERCIARIOS_CF_SEC_New_27-Mar-2024.xlsx]D-PNP'!</v>
      </c>
      <c r="G3387" s="32" t="s">
        <v>124</v>
      </c>
      <c r="H3387" s="33">
        <f t="shared" si="804"/>
        <v>15</v>
      </c>
      <c r="I3387" s="33" t="str">
        <f t="shared" si="803"/>
        <v>='C:\Users\jaime.benazar\Quorum Business Solutions\Ecopetrol Prometeo - Documents\Planning Space Implementation\3. Analysis &amp; Design\Design\FC22\DRR Jaime\Neiva CPI\[DINA TERCIARIOS_CF_SEC_New_27-Mar-2024.xlsx]D-PNP'!$BE$15</v>
      </c>
      <c r="J3387" s="37" t="s">
        <v>3523</v>
      </c>
    </row>
    <row r="3388" spans="1:10" x14ac:dyDescent="0.3">
      <c r="A3388" s="32" t="s">
        <v>15</v>
      </c>
      <c r="B3388" s="32">
        <f t="shared" si="805"/>
        <v>2027</v>
      </c>
      <c r="C3388" s="33" t="s">
        <v>28</v>
      </c>
      <c r="D3388" s="34" t="s">
        <v>2002</v>
      </c>
      <c r="E3388" s="35" t="str">
        <f t="shared" si="794"/>
        <v>PNP'!</v>
      </c>
      <c r="F3388" s="34" t="str">
        <f t="shared" si="802"/>
        <v>C:\Users\jaime.benazar\Quorum Business Solutions\Ecopetrol Prometeo - Documents\Planning Space Implementation\3. Analysis &amp; Design\Design\FC22\DRR Jaime\Neiva CPI\[DINA TERCIARIOS_CF_SEC_New_27-Mar-2024.xlsx]D-PNP'!</v>
      </c>
      <c r="G3388" s="32" t="s">
        <v>124</v>
      </c>
      <c r="H3388" s="33">
        <f t="shared" si="804"/>
        <v>16</v>
      </c>
      <c r="I3388" s="33" t="str">
        <f t="shared" si="803"/>
        <v>='C:\Users\jaime.benazar\Quorum Business Solutions\Ecopetrol Prometeo - Documents\Planning Space Implementation\3. Analysis &amp; Design\Design\FC22\DRR Jaime\Neiva CPI\[DINA TERCIARIOS_CF_SEC_New_27-Mar-2024.xlsx]D-PNP'!$BE$16</v>
      </c>
      <c r="J3388" s="37" t="s">
        <v>3524</v>
      </c>
    </row>
    <row r="3389" spans="1:10" x14ac:dyDescent="0.3">
      <c r="A3389" s="32" t="s">
        <v>15</v>
      </c>
      <c r="B3389" s="32">
        <f t="shared" si="805"/>
        <v>2028</v>
      </c>
      <c r="C3389" s="33" t="s">
        <v>28</v>
      </c>
      <c r="D3389" s="34" t="s">
        <v>2002</v>
      </c>
      <c r="E3389" s="35" t="str">
        <f t="shared" si="794"/>
        <v>PNP'!</v>
      </c>
      <c r="F3389" s="34" t="str">
        <f t="shared" si="802"/>
        <v>C:\Users\jaime.benazar\Quorum Business Solutions\Ecopetrol Prometeo - Documents\Planning Space Implementation\3. Analysis &amp; Design\Design\FC22\DRR Jaime\Neiva CPI\[DINA TERCIARIOS_CF_SEC_New_27-Mar-2024.xlsx]D-PNP'!</v>
      </c>
      <c r="G3389" s="32" t="s">
        <v>124</v>
      </c>
      <c r="H3389" s="33">
        <f t="shared" si="804"/>
        <v>17</v>
      </c>
      <c r="I3389" s="33" t="str">
        <f t="shared" si="803"/>
        <v>='C:\Users\jaime.benazar\Quorum Business Solutions\Ecopetrol Prometeo - Documents\Planning Space Implementation\3. Analysis &amp; Design\Design\FC22\DRR Jaime\Neiva CPI\[DINA TERCIARIOS_CF_SEC_New_27-Mar-2024.xlsx]D-PNP'!$BE$17</v>
      </c>
      <c r="J3389" s="37" t="s">
        <v>3525</v>
      </c>
    </row>
    <row r="3390" spans="1:10" x14ac:dyDescent="0.3">
      <c r="A3390" s="32" t="s">
        <v>15</v>
      </c>
      <c r="B3390" s="32">
        <f t="shared" si="805"/>
        <v>2029</v>
      </c>
      <c r="C3390" s="33" t="s">
        <v>28</v>
      </c>
      <c r="D3390" s="34" t="s">
        <v>2002</v>
      </c>
      <c r="E3390" s="35" t="str">
        <f t="shared" si="794"/>
        <v>PNP'!</v>
      </c>
      <c r="F3390" s="34" t="str">
        <f t="shared" si="802"/>
        <v>C:\Users\jaime.benazar\Quorum Business Solutions\Ecopetrol Prometeo - Documents\Planning Space Implementation\3. Analysis &amp; Design\Design\FC22\DRR Jaime\Neiva CPI\[DINA TERCIARIOS_CF_SEC_New_27-Mar-2024.xlsx]D-PNP'!</v>
      </c>
      <c r="G3390" s="32" t="s">
        <v>124</v>
      </c>
      <c r="H3390" s="33">
        <f t="shared" si="804"/>
        <v>18</v>
      </c>
      <c r="I3390" s="33" t="str">
        <f t="shared" si="803"/>
        <v>='C:\Users\jaime.benazar\Quorum Business Solutions\Ecopetrol Prometeo - Documents\Planning Space Implementation\3. Analysis &amp; Design\Design\FC22\DRR Jaime\Neiva CPI\[DINA TERCIARIOS_CF_SEC_New_27-Mar-2024.xlsx]D-PNP'!$BE$18</v>
      </c>
      <c r="J3390" s="37" t="s">
        <v>3526</v>
      </c>
    </row>
    <row r="3391" spans="1:10" x14ac:dyDescent="0.3">
      <c r="A3391" s="32" t="s">
        <v>15</v>
      </c>
      <c r="B3391" s="32">
        <f t="shared" si="805"/>
        <v>2030</v>
      </c>
      <c r="C3391" s="33" t="s">
        <v>28</v>
      </c>
      <c r="D3391" s="34" t="s">
        <v>2002</v>
      </c>
      <c r="E3391" s="35" t="str">
        <f t="shared" si="794"/>
        <v>PNP'!</v>
      </c>
      <c r="F3391" s="34" t="str">
        <f t="shared" si="802"/>
        <v>C:\Users\jaime.benazar\Quorum Business Solutions\Ecopetrol Prometeo - Documents\Planning Space Implementation\3. Analysis &amp; Design\Design\FC22\DRR Jaime\Neiva CPI\[DINA TERCIARIOS_CF_SEC_New_27-Mar-2024.xlsx]D-PNP'!</v>
      </c>
      <c r="G3391" s="32" t="s">
        <v>124</v>
      </c>
      <c r="H3391" s="33">
        <f t="shared" si="804"/>
        <v>19</v>
      </c>
      <c r="I3391" s="33" t="str">
        <f t="shared" si="803"/>
        <v>='C:\Users\jaime.benazar\Quorum Business Solutions\Ecopetrol Prometeo - Documents\Planning Space Implementation\3. Analysis &amp; Design\Design\FC22\DRR Jaime\Neiva CPI\[DINA TERCIARIOS_CF_SEC_New_27-Mar-2024.xlsx]D-PNP'!$BE$19</v>
      </c>
      <c r="J3391" s="37" t="s">
        <v>3527</v>
      </c>
    </row>
    <row r="3392" spans="1:10" x14ac:dyDescent="0.3">
      <c r="A3392" s="32" t="s">
        <v>15</v>
      </c>
      <c r="B3392" s="32">
        <f t="shared" si="805"/>
        <v>2031</v>
      </c>
      <c r="C3392" s="33" t="s">
        <v>28</v>
      </c>
      <c r="D3392" s="34" t="s">
        <v>2002</v>
      </c>
      <c r="E3392" s="35" t="str">
        <f t="shared" si="794"/>
        <v>PNP'!</v>
      </c>
      <c r="F3392" s="34" t="str">
        <f t="shared" si="802"/>
        <v>C:\Users\jaime.benazar\Quorum Business Solutions\Ecopetrol Prometeo - Documents\Planning Space Implementation\3. Analysis &amp; Design\Design\FC22\DRR Jaime\Neiva CPI\[DINA TERCIARIOS_CF_SEC_New_27-Mar-2024.xlsx]D-PNP'!</v>
      </c>
      <c r="G3392" s="32" t="s">
        <v>124</v>
      </c>
      <c r="H3392" s="33">
        <f t="shared" si="804"/>
        <v>20</v>
      </c>
      <c r="I3392" s="33" t="str">
        <f t="shared" si="803"/>
        <v>='C:\Users\jaime.benazar\Quorum Business Solutions\Ecopetrol Prometeo - Documents\Planning Space Implementation\3. Analysis &amp; Design\Design\FC22\DRR Jaime\Neiva CPI\[DINA TERCIARIOS_CF_SEC_New_27-Mar-2024.xlsx]D-PNP'!$BE$20</v>
      </c>
      <c r="J3392" s="37" t="s">
        <v>3528</v>
      </c>
    </row>
    <row r="3393" spans="1:10" x14ac:dyDescent="0.3">
      <c r="A3393" s="32" t="s">
        <v>15</v>
      </c>
      <c r="B3393" s="32">
        <f t="shared" si="805"/>
        <v>2032</v>
      </c>
      <c r="C3393" s="33" t="s">
        <v>28</v>
      </c>
      <c r="D3393" s="34" t="s">
        <v>2002</v>
      </c>
      <c r="E3393" s="35" t="str">
        <f t="shared" si="794"/>
        <v>PNP'!</v>
      </c>
      <c r="F3393" s="34" t="str">
        <f t="shared" si="802"/>
        <v>C:\Users\jaime.benazar\Quorum Business Solutions\Ecopetrol Prometeo - Documents\Planning Space Implementation\3. Analysis &amp; Design\Design\FC22\DRR Jaime\Neiva CPI\[DINA TERCIARIOS_CF_SEC_New_27-Mar-2024.xlsx]D-PNP'!</v>
      </c>
      <c r="G3393" s="32" t="s">
        <v>124</v>
      </c>
      <c r="H3393" s="33">
        <f t="shared" si="804"/>
        <v>21</v>
      </c>
      <c r="I3393" s="33" t="str">
        <f t="shared" si="803"/>
        <v>='C:\Users\jaime.benazar\Quorum Business Solutions\Ecopetrol Prometeo - Documents\Planning Space Implementation\3. Analysis &amp; Design\Design\FC22\DRR Jaime\Neiva CPI\[DINA TERCIARIOS_CF_SEC_New_27-Mar-2024.xlsx]D-PNP'!$BE$21</v>
      </c>
      <c r="J3393" s="37" t="s">
        <v>3529</v>
      </c>
    </row>
    <row r="3394" spans="1:10" x14ac:dyDescent="0.3">
      <c r="A3394" s="32" t="s">
        <v>15</v>
      </c>
      <c r="B3394" s="32">
        <f t="shared" si="805"/>
        <v>2033</v>
      </c>
      <c r="C3394" s="33" t="s">
        <v>28</v>
      </c>
      <c r="D3394" s="34" t="s">
        <v>2002</v>
      </c>
      <c r="E3394" s="35" t="str">
        <f t="shared" si="794"/>
        <v>PNP'!</v>
      </c>
      <c r="F3394" s="34" t="str">
        <f t="shared" si="802"/>
        <v>C:\Users\jaime.benazar\Quorum Business Solutions\Ecopetrol Prometeo - Documents\Planning Space Implementation\3. Analysis &amp; Design\Design\FC22\DRR Jaime\Neiva CPI\[DINA TERCIARIOS_CF_SEC_New_27-Mar-2024.xlsx]D-PNP'!</v>
      </c>
      <c r="G3394" s="32" t="s">
        <v>124</v>
      </c>
      <c r="H3394" s="33">
        <f t="shared" si="804"/>
        <v>22</v>
      </c>
      <c r="I3394" s="33" t="str">
        <f t="shared" si="803"/>
        <v>='C:\Users\jaime.benazar\Quorum Business Solutions\Ecopetrol Prometeo - Documents\Planning Space Implementation\3. Analysis &amp; Design\Design\FC22\DRR Jaime\Neiva CPI\[DINA TERCIARIOS_CF_SEC_New_27-Mar-2024.xlsx]D-PNP'!$BE$22</v>
      </c>
      <c r="J3394" s="37" t="s">
        <v>3530</v>
      </c>
    </row>
    <row r="3395" spans="1:10" x14ac:dyDescent="0.3">
      <c r="A3395" s="32" t="s">
        <v>15</v>
      </c>
      <c r="B3395" s="32">
        <f t="shared" si="805"/>
        <v>2034</v>
      </c>
      <c r="C3395" s="33" t="s">
        <v>28</v>
      </c>
      <c r="D3395" s="34" t="s">
        <v>2002</v>
      </c>
      <c r="E3395" s="35" t="str">
        <f t="shared" si="794"/>
        <v>PNP'!</v>
      </c>
      <c r="F3395" s="34" t="str">
        <f t="shared" si="802"/>
        <v>C:\Users\jaime.benazar\Quorum Business Solutions\Ecopetrol Prometeo - Documents\Planning Space Implementation\3. Analysis &amp; Design\Design\FC22\DRR Jaime\Neiva CPI\[DINA TERCIARIOS_CF_SEC_New_27-Mar-2024.xlsx]D-PNP'!</v>
      </c>
      <c r="G3395" s="32" t="s">
        <v>124</v>
      </c>
      <c r="H3395" s="33">
        <f t="shared" si="804"/>
        <v>23</v>
      </c>
      <c r="I3395" s="33" t="str">
        <f t="shared" si="803"/>
        <v>='C:\Users\jaime.benazar\Quorum Business Solutions\Ecopetrol Prometeo - Documents\Planning Space Implementation\3. Analysis &amp; Design\Design\FC22\DRR Jaime\Neiva CPI\[DINA TERCIARIOS_CF_SEC_New_27-Mar-2024.xlsx]D-PNP'!$BE$23</v>
      </c>
      <c r="J3395" s="37" t="s">
        <v>3531</v>
      </c>
    </row>
    <row r="3396" spans="1:10" x14ac:dyDescent="0.3">
      <c r="A3396" s="32" t="s">
        <v>15</v>
      </c>
      <c r="B3396" s="32">
        <f t="shared" si="805"/>
        <v>2035</v>
      </c>
      <c r="C3396" s="33" t="s">
        <v>28</v>
      </c>
      <c r="D3396" s="34" t="s">
        <v>2002</v>
      </c>
      <c r="E3396" s="35" t="str">
        <f t="shared" si="794"/>
        <v>PNP'!</v>
      </c>
      <c r="F3396" s="34" t="str">
        <f t="shared" si="802"/>
        <v>C:\Users\jaime.benazar\Quorum Business Solutions\Ecopetrol Prometeo - Documents\Planning Space Implementation\3. Analysis &amp; Design\Design\FC22\DRR Jaime\Neiva CPI\[DINA TERCIARIOS_CF_SEC_New_27-Mar-2024.xlsx]D-PNP'!</v>
      </c>
      <c r="G3396" s="32" t="s">
        <v>124</v>
      </c>
      <c r="H3396" s="33">
        <f t="shared" si="804"/>
        <v>24</v>
      </c>
      <c r="I3396" s="33" t="str">
        <f t="shared" si="803"/>
        <v>='C:\Users\jaime.benazar\Quorum Business Solutions\Ecopetrol Prometeo - Documents\Planning Space Implementation\3. Analysis &amp; Design\Design\FC22\DRR Jaime\Neiva CPI\[DINA TERCIARIOS_CF_SEC_New_27-Mar-2024.xlsx]D-PNP'!$BE$24</v>
      </c>
      <c r="J3396" s="37" t="s">
        <v>3532</v>
      </c>
    </row>
    <row r="3397" spans="1:10" x14ac:dyDescent="0.3">
      <c r="A3397" s="32" t="s">
        <v>15</v>
      </c>
      <c r="B3397" s="32">
        <f t="shared" si="805"/>
        <v>2036</v>
      </c>
      <c r="C3397" s="33" t="s">
        <v>28</v>
      </c>
      <c r="D3397" s="34" t="s">
        <v>2002</v>
      </c>
      <c r="E3397" s="35" t="str">
        <f t="shared" si="794"/>
        <v>PNP'!</v>
      </c>
      <c r="F3397" s="34" t="str">
        <f t="shared" si="802"/>
        <v>C:\Users\jaime.benazar\Quorum Business Solutions\Ecopetrol Prometeo - Documents\Planning Space Implementation\3. Analysis &amp; Design\Design\FC22\DRR Jaime\Neiva CPI\[DINA TERCIARIOS_CF_SEC_New_27-Mar-2024.xlsx]D-PNP'!</v>
      </c>
      <c r="G3397" s="32" t="s">
        <v>124</v>
      </c>
      <c r="H3397" s="33">
        <f t="shared" si="804"/>
        <v>25</v>
      </c>
      <c r="I3397" s="33" t="str">
        <f t="shared" si="803"/>
        <v>='C:\Users\jaime.benazar\Quorum Business Solutions\Ecopetrol Prometeo - Documents\Planning Space Implementation\3. Analysis &amp; Design\Design\FC22\DRR Jaime\Neiva CPI\[DINA TERCIARIOS_CF_SEC_New_27-Mar-2024.xlsx]D-PNP'!$BE$25</v>
      </c>
      <c r="J3397" s="37" t="s">
        <v>3533</v>
      </c>
    </row>
    <row r="3398" spans="1:10" x14ac:dyDescent="0.3">
      <c r="A3398" s="32" t="s">
        <v>15</v>
      </c>
      <c r="B3398" s="32">
        <f>+B3397+1</f>
        <v>2037</v>
      </c>
      <c r="C3398" s="33" t="s">
        <v>28</v>
      </c>
      <c r="D3398" s="34" t="s">
        <v>2002</v>
      </c>
      <c r="E3398" s="35" t="str">
        <f t="shared" si="794"/>
        <v>PNP'!</v>
      </c>
      <c r="F3398" s="34" t="str">
        <f t="shared" si="802"/>
        <v>C:\Users\jaime.benazar\Quorum Business Solutions\Ecopetrol Prometeo - Documents\Planning Space Implementation\3. Analysis &amp; Design\Design\FC22\DRR Jaime\Neiva CPI\[DINA TERCIARIOS_CF_SEC_New_27-Mar-2024.xlsx]D-PNP'!</v>
      </c>
      <c r="G3398" s="32" t="s">
        <v>124</v>
      </c>
      <c r="H3398" s="33">
        <f t="shared" si="804"/>
        <v>26</v>
      </c>
      <c r="I3398" s="33" t="str">
        <f t="shared" si="803"/>
        <v>='C:\Users\jaime.benazar\Quorum Business Solutions\Ecopetrol Prometeo - Documents\Planning Space Implementation\3. Analysis &amp; Design\Design\FC22\DRR Jaime\Neiva CPI\[DINA TERCIARIOS_CF_SEC_New_27-Mar-2024.xlsx]D-PNP'!$BE$26</v>
      </c>
      <c r="J3398" s="37" t="s">
        <v>3534</v>
      </c>
    </row>
    <row r="3399" spans="1:10" x14ac:dyDescent="0.3">
      <c r="A3399" s="32" t="s">
        <v>15</v>
      </c>
      <c r="B3399" s="32">
        <f t="shared" ref="B3399:B3401" si="806">+B3398+1</f>
        <v>2038</v>
      </c>
      <c r="C3399" s="33" t="s">
        <v>28</v>
      </c>
      <c r="D3399" s="34" t="s">
        <v>2002</v>
      </c>
      <c r="E3399" s="35" t="str">
        <f t="shared" si="794"/>
        <v>PNP'!</v>
      </c>
      <c r="F3399" s="34" t="str">
        <f t="shared" si="802"/>
        <v>C:\Users\jaime.benazar\Quorum Business Solutions\Ecopetrol Prometeo - Documents\Planning Space Implementation\3. Analysis &amp; Design\Design\FC22\DRR Jaime\Neiva CPI\[DINA TERCIARIOS_CF_SEC_New_27-Mar-2024.xlsx]D-PNP'!</v>
      </c>
      <c r="G3399" s="32" t="s">
        <v>124</v>
      </c>
      <c r="H3399" s="33">
        <f t="shared" si="804"/>
        <v>27</v>
      </c>
      <c r="I3399" s="33" t="str">
        <f t="shared" si="803"/>
        <v>='C:\Users\jaime.benazar\Quorum Business Solutions\Ecopetrol Prometeo - Documents\Planning Space Implementation\3. Analysis &amp; Design\Design\FC22\DRR Jaime\Neiva CPI\[DINA TERCIARIOS_CF_SEC_New_27-Mar-2024.xlsx]D-PNP'!$BE$27</v>
      </c>
      <c r="J3399" s="37" t="s">
        <v>3535</v>
      </c>
    </row>
    <row r="3400" spans="1:10" x14ac:dyDescent="0.3">
      <c r="A3400" s="32" t="s">
        <v>15</v>
      </c>
      <c r="B3400" s="32">
        <f t="shared" si="806"/>
        <v>2039</v>
      </c>
      <c r="C3400" s="33" t="s">
        <v>28</v>
      </c>
      <c r="D3400" s="34" t="s">
        <v>2002</v>
      </c>
      <c r="E3400" s="35" t="str">
        <f t="shared" si="794"/>
        <v>PNP'!</v>
      </c>
      <c r="F3400" s="34" t="str">
        <f t="shared" si="802"/>
        <v>C:\Users\jaime.benazar\Quorum Business Solutions\Ecopetrol Prometeo - Documents\Planning Space Implementation\3. Analysis &amp; Design\Design\FC22\DRR Jaime\Neiva CPI\[DINA TERCIARIOS_CF_SEC_New_27-Mar-2024.xlsx]D-PNP'!</v>
      </c>
      <c r="G3400" s="32" t="s">
        <v>124</v>
      </c>
      <c r="H3400" s="33">
        <f t="shared" si="804"/>
        <v>28</v>
      </c>
      <c r="I3400" s="33" t="str">
        <f t="shared" si="803"/>
        <v>='C:\Users\jaime.benazar\Quorum Business Solutions\Ecopetrol Prometeo - Documents\Planning Space Implementation\3. Analysis &amp; Design\Design\FC22\DRR Jaime\Neiva CPI\[DINA TERCIARIOS_CF_SEC_New_27-Mar-2024.xlsx]D-PNP'!$BE$28</v>
      </c>
      <c r="J3400" s="37" t="s">
        <v>3536</v>
      </c>
    </row>
    <row r="3401" spans="1:10" x14ac:dyDescent="0.3">
      <c r="A3401" s="32" t="s">
        <v>15</v>
      </c>
      <c r="B3401" s="32">
        <f t="shared" si="806"/>
        <v>2040</v>
      </c>
      <c r="C3401" s="33" t="s">
        <v>28</v>
      </c>
      <c r="D3401" s="34" t="s">
        <v>2002</v>
      </c>
      <c r="E3401" s="35" t="str">
        <f t="shared" si="794"/>
        <v>PNP'!</v>
      </c>
      <c r="F3401" s="34" t="str">
        <f t="shared" si="802"/>
        <v>C:\Users\jaime.benazar\Quorum Business Solutions\Ecopetrol Prometeo - Documents\Planning Space Implementation\3. Analysis &amp; Design\Design\FC22\DRR Jaime\Neiva CPI\[DINA TERCIARIOS_CF_SEC_New_27-Mar-2024.xlsx]D-PNP'!</v>
      </c>
      <c r="G3401" s="32" t="s">
        <v>124</v>
      </c>
      <c r="H3401" s="33">
        <f t="shared" si="804"/>
        <v>29</v>
      </c>
      <c r="I3401" s="33" t="str">
        <f t="shared" si="803"/>
        <v>='C:\Users\jaime.benazar\Quorum Business Solutions\Ecopetrol Prometeo - Documents\Planning Space Implementation\3. Analysis &amp; Design\Design\FC22\DRR Jaime\Neiva CPI\[DINA TERCIARIOS_CF_SEC_New_27-Mar-2024.xlsx]D-PNP'!$BE$29</v>
      </c>
      <c r="J3401" s="37" t="s">
        <v>3537</v>
      </c>
    </row>
    <row r="3402" spans="1:10" x14ac:dyDescent="0.3">
      <c r="A3402" s="32" t="s">
        <v>15</v>
      </c>
      <c r="B3402" s="32">
        <f>+B3401+1</f>
        <v>2041</v>
      </c>
      <c r="C3402" s="33" t="s">
        <v>28</v>
      </c>
      <c r="D3402" s="34" t="s">
        <v>2002</v>
      </c>
      <c r="E3402" s="35" t="str">
        <f t="shared" si="794"/>
        <v>PNP'!</v>
      </c>
      <c r="F3402" s="34" t="str">
        <f t="shared" si="802"/>
        <v>C:\Users\jaime.benazar\Quorum Business Solutions\Ecopetrol Prometeo - Documents\Planning Space Implementation\3. Analysis &amp; Design\Design\FC22\DRR Jaime\Neiva CPI\[DINA TERCIARIOS_CF_SEC_New_27-Mar-2024.xlsx]D-PNP'!</v>
      </c>
      <c r="G3402" s="32" t="s">
        <v>124</v>
      </c>
      <c r="H3402" s="33">
        <f t="shared" si="804"/>
        <v>30</v>
      </c>
      <c r="I3402" s="33" t="str">
        <f t="shared" si="803"/>
        <v>='C:\Users\jaime.benazar\Quorum Business Solutions\Ecopetrol Prometeo - Documents\Planning Space Implementation\3. Analysis &amp; Design\Design\FC22\DRR Jaime\Neiva CPI\[DINA TERCIARIOS_CF_SEC_New_27-Mar-2024.xlsx]D-PNP'!$BE$30</v>
      </c>
      <c r="J3402" s="37" t="s">
        <v>3538</v>
      </c>
    </row>
    <row r="3403" spans="1:10" x14ac:dyDescent="0.3">
      <c r="A3403" s="32" t="s">
        <v>15</v>
      </c>
      <c r="B3403" s="32">
        <f t="shared" ref="B3403:B3404" si="807">+B3402+1</f>
        <v>2042</v>
      </c>
      <c r="C3403" s="33" t="s">
        <v>28</v>
      </c>
      <c r="D3403" s="34" t="s">
        <v>2002</v>
      </c>
      <c r="E3403" s="35" t="str">
        <f t="shared" si="794"/>
        <v>PNP'!</v>
      </c>
      <c r="F3403" s="34" t="str">
        <f t="shared" si="802"/>
        <v>C:\Users\jaime.benazar\Quorum Business Solutions\Ecopetrol Prometeo - Documents\Planning Space Implementation\3. Analysis &amp; Design\Design\FC22\DRR Jaime\Neiva CPI\[DINA TERCIARIOS_CF_SEC_New_27-Mar-2024.xlsx]D-PNP'!</v>
      </c>
      <c r="G3403" s="32" t="s">
        <v>124</v>
      </c>
      <c r="H3403" s="33">
        <f t="shared" si="804"/>
        <v>31</v>
      </c>
      <c r="I3403" s="33" t="str">
        <f t="shared" si="803"/>
        <v>='C:\Users\jaime.benazar\Quorum Business Solutions\Ecopetrol Prometeo - Documents\Planning Space Implementation\3. Analysis &amp; Design\Design\FC22\DRR Jaime\Neiva CPI\[DINA TERCIARIOS_CF_SEC_New_27-Mar-2024.xlsx]D-PNP'!$BE$31</v>
      </c>
      <c r="J3403" s="37" t="s">
        <v>3539</v>
      </c>
    </row>
    <row r="3404" spans="1:10" x14ac:dyDescent="0.3">
      <c r="A3404" s="32" t="s">
        <v>15</v>
      </c>
      <c r="B3404" s="32">
        <f t="shared" si="807"/>
        <v>2043</v>
      </c>
      <c r="C3404" s="33" t="s">
        <v>28</v>
      </c>
      <c r="D3404" s="34" t="s">
        <v>2002</v>
      </c>
      <c r="E3404" s="35" t="str">
        <f t="shared" si="794"/>
        <v>PNP'!</v>
      </c>
      <c r="F3404" s="34" t="str">
        <f t="shared" si="802"/>
        <v>C:\Users\jaime.benazar\Quorum Business Solutions\Ecopetrol Prometeo - Documents\Planning Space Implementation\3. Analysis &amp; Design\Design\FC22\DRR Jaime\Neiva CPI\[DINA TERCIARIOS_CF_SEC_New_27-Mar-2024.xlsx]D-PNP'!</v>
      </c>
      <c r="G3404" s="32" t="s">
        <v>124</v>
      </c>
      <c r="H3404" s="33">
        <f t="shared" si="804"/>
        <v>32</v>
      </c>
      <c r="I3404" s="33" t="str">
        <f t="shared" si="803"/>
        <v>='C:\Users\jaime.benazar\Quorum Business Solutions\Ecopetrol Prometeo - Documents\Planning Space Implementation\3. Analysis &amp; Design\Design\FC22\DRR Jaime\Neiva CPI\[DINA TERCIARIOS_CF_SEC_New_27-Mar-2024.xlsx]D-PNP'!$BE$32</v>
      </c>
      <c r="J3404" s="37" t="s">
        <v>3540</v>
      </c>
    </row>
    <row r="3405" spans="1:10" x14ac:dyDescent="0.3">
      <c r="A3405" s="32" t="s">
        <v>15</v>
      </c>
      <c r="B3405" s="32">
        <f>+B3404+1</f>
        <v>2044</v>
      </c>
      <c r="C3405" s="33" t="s">
        <v>28</v>
      </c>
      <c r="D3405" s="34" t="s">
        <v>2002</v>
      </c>
      <c r="E3405" s="35" t="str">
        <f t="shared" ref="E3405:E3420" si="808">_xlfn.CONCAT(A3405,"'!")</f>
        <v>PNP'!</v>
      </c>
      <c r="F3405" s="34" t="str">
        <f t="shared" ref="F3405:F3420" si="809">_xlfn.CONCAT(D3405:E3405)</f>
        <v>C:\Users\jaime.benazar\Quorum Business Solutions\Ecopetrol Prometeo - Documents\Planning Space Implementation\3. Analysis &amp; Design\Design\FC22\DRR Jaime\Neiva CPI\[DINA TERCIARIOS_CF_SEC_New_27-Mar-2024.xlsx]D-PNP'!</v>
      </c>
      <c r="G3405" s="32" t="s">
        <v>124</v>
      </c>
      <c r="H3405" s="33">
        <f t="shared" ref="H3405:H3420" si="810">IF(A3405&lt;&gt;A3404,36,H3404+1)</f>
        <v>33</v>
      </c>
      <c r="I3405" s="33" t="str">
        <f t="shared" ref="I3405:I3420" si="811">_xlfn.CONCAT("='",F3405:H3405)</f>
        <v>='C:\Users\jaime.benazar\Quorum Business Solutions\Ecopetrol Prometeo - Documents\Planning Space Implementation\3. Analysis &amp; Design\Design\FC22\DRR Jaime\Neiva CPI\[DINA TERCIARIOS_CF_SEC_New_27-Mar-2024.xlsx]D-PNP'!$BE$33</v>
      </c>
      <c r="J3405" s="37" t="s">
        <v>3541</v>
      </c>
    </row>
    <row r="3406" spans="1:10" x14ac:dyDescent="0.3">
      <c r="A3406" s="32" t="s">
        <v>15</v>
      </c>
      <c r="B3406" s="32">
        <f t="shared" ref="B3406:B3420" si="812">+B3405+1</f>
        <v>2045</v>
      </c>
      <c r="C3406" s="33" t="s">
        <v>28</v>
      </c>
      <c r="D3406" s="34" t="s">
        <v>2002</v>
      </c>
      <c r="E3406" s="35" t="str">
        <f t="shared" si="808"/>
        <v>PNP'!</v>
      </c>
      <c r="F3406" s="34" t="str">
        <f t="shared" si="809"/>
        <v>C:\Users\jaime.benazar\Quorum Business Solutions\Ecopetrol Prometeo - Documents\Planning Space Implementation\3. Analysis &amp; Design\Design\FC22\DRR Jaime\Neiva CPI\[DINA TERCIARIOS_CF_SEC_New_27-Mar-2024.xlsx]D-PNP'!</v>
      </c>
      <c r="G3406" s="32" t="s">
        <v>124</v>
      </c>
      <c r="H3406" s="33">
        <f t="shared" si="810"/>
        <v>34</v>
      </c>
      <c r="I3406" s="33" t="str">
        <f t="shared" si="811"/>
        <v>='C:\Users\jaime.benazar\Quorum Business Solutions\Ecopetrol Prometeo - Documents\Planning Space Implementation\3. Analysis &amp; Design\Design\FC22\DRR Jaime\Neiva CPI\[DINA TERCIARIOS_CF_SEC_New_27-Mar-2024.xlsx]D-PNP'!$BE$34</v>
      </c>
      <c r="J3406" s="37" t="s">
        <v>3542</v>
      </c>
    </row>
    <row r="3407" spans="1:10" x14ac:dyDescent="0.3">
      <c r="A3407" s="32" t="s">
        <v>15</v>
      </c>
      <c r="B3407" s="32">
        <f t="shared" si="812"/>
        <v>2046</v>
      </c>
      <c r="C3407" s="33" t="s">
        <v>28</v>
      </c>
      <c r="D3407" s="34" t="s">
        <v>2002</v>
      </c>
      <c r="E3407" s="35" t="str">
        <f t="shared" si="808"/>
        <v>PNP'!</v>
      </c>
      <c r="F3407" s="34" t="str">
        <f t="shared" si="809"/>
        <v>C:\Users\jaime.benazar\Quorum Business Solutions\Ecopetrol Prometeo - Documents\Planning Space Implementation\3. Analysis &amp; Design\Design\FC22\DRR Jaime\Neiva CPI\[DINA TERCIARIOS_CF_SEC_New_27-Mar-2024.xlsx]D-PNP'!</v>
      </c>
      <c r="G3407" s="32" t="s">
        <v>124</v>
      </c>
      <c r="H3407" s="33">
        <f t="shared" si="810"/>
        <v>35</v>
      </c>
      <c r="I3407" s="33" t="str">
        <f t="shared" si="811"/>
        <v>='C:\Users\jaime.benazar\Quorum Business Solutions\Ecopetrol Prometeo - Documents\Planning Space Implementation\3. Analysis &amp; Design\Design\FC22\DRR Jaime\Neiva CPI\[DINA TERCIARIOS_CF_SEC_New_27-Mar-2024.xlsx]D-PNP'!$BE$35</v>
      </c>
      <c r="J3407" s="37" t="s">
        <v>3543</v>
      </c>
    </row>
    <row r="3408" spans="1:10" x14ac:dyDescent="0.3">
      <c r="A3408" s="32" t="s">
        <v>15</v>
      </c>
      <c r="B3408" s="32">
        <f t="shared" si="812"/>
        <v>2047</v>
      </c>
      <c r="C3408" s="33" t="s">
        <v>28</v>
      </c>
      <c r="D3408" s="34" t="s">
        <v>2002</v>
      </c>
      <c r="E3408" s="35" t="str">
        <f t="shared" si="808"/>
        <v>PNP'!</v>
      </c>
      <c r="F3408" s="34" t="str">
        <f t="shared" si="809"/>
        <v>C:\Users\jaime.benazar\Quorum Business Solutions\Ecopetrol Prometeo - Documents\Planning Space Implementation\3. Analysis &amp; Design\Design\FC22\DRR Jaime\Neiva CPI\[DINA TERCIARIOS_CF_SEC_New_27-Mar-2024.xlsx]D-PNP'!</v>
      </c>
      <c r="G3408" s="32" t="s">
        <v>124</v>
      </c>
      <c r="H3408" s="33">
        <f t="shared" si="810"/>
        <v>36</v>
      </c>
      <c r="I3408" s="33" t="str">
        <f t="shared" si="811"/>
        <v>='C:\Users\jaime.benazar\Quorum Business Solutions\Ecopetrol Prometeo - Documents\Planning Space Implementation\3. Analysis &amp; Design\Design\FC22\DRR Jaime\Neiva CPI\[DINA TERCIARIOS_CF_SEC_New_27-Mar-2024.xlsx]D-PNP'!$BE$36</v>
      </c>
      <c r="J3408" s="37" t="s">
        <v>3544</v>
      </c>
    </row>
    <row r="3409" spans="1:10" x14ac:dyDescent="0.3">
      <c r="A3409" s="32" t="s">
        <v>15</v>
      </c>
      <c r="B3409" s="32">
        <f t="shared" si="812"/>
        <v>2048</v>
      </c>
      <c r="C3409" s="33" t="s">
        <v>28</v>
      </c>
      <c r="D3409" s="34" t="s">
        <v>2002</v>
      </c>
      <c r="E3409" s="35" t="str">
        <f t="shared" si="808"/>
        <v>PNP'!</v>
      </c>
      <c r="F3409" s="34" t="str">
        <f t="shared" si="809"/>
        <v>C:\Users\jaime.benazar\Quorum Business Solutions\Ecopetrol Prometeo - Documents\Planning Space Implementation\3. Analysis &amp; Design\Design\FC22\DRR Jaime\Neiva CPI\[DINA TERCIARIOS_CF_SEC_New_27-Mar-2024.xlsx]D-PNP'!</v>
      </c>
      <c r="G3409" s="32" t="s">
        <v>124</v>
      </c>
      <c r="H3409" s="33">
        <f t="shared" si="810"/>
        <v>37</v>
      </c>
      <c r="I3409" s="33" t="str">
        <f t="shared" si="811"/>
        <v>='C:\Users\jaime.benazar\Quorum Business Solutions\Ecopetrol Prometeo - Documents\Planning Space Implementation\3. Analysis &amp; Design\Design\FC22\DRR Jaime\Neiva CPI\[DINA TERCIARIOS_CF_SEC_New_27-Mar-2024.xlsx]D-PNP'!$BE$37</v>
      </c>
      <c r="J3409" s="37" t="s">
        <v>3545</v>
      </c>
    </row>
    <row r="3410" spans="1:10" x14ac:dyDescent="0.3">
      <c r="A3410" s="32" t="s">
        <v>15</v>
      </c>
      <c r="B3410" s="32">
        <f t="shared" si="812"/>
        <v>2049</v>
      </c>
      <c r="C3410" s="33" t="s">
        <v>28</v>
      </c>
      <c r="D3410" s="34" t="s">
        <v>2002</v>
      </c>
      <c r="E3410" s="35" t="str">
        <f t="shared" si="808"/>
        <v>PNP'!</v>
      </c>
      <c r="F3410" s="34" t="str">
        <f t="shared" si="809"/>
        <v>C:\Users\jaime.benazar\Quorum Business Solutions\Ecopetrol Prometeo - Documents\Planning Space Implementation\3. Analysis &amp; Design\Design\FC22\DRR Jaime\Neiva CPI\[DINA TERCIARIOS_CF_SEC_New_27-Mar-2024.xlsx]D-PNP'!</v>
      </c>
      <c r="G3410" s="32" t="s">
        <v>124</v>
      </c>
      <c r="H3410" s="33">
        <f t="shared" si="810"/>
        <v>38</v>
      </c>
      <c r="I3410" s="33" t="str">
        <f t="shared" si="811"/>
        <v>='C:\Users\jaime.benazar\Quorum Business Solutions\Ecopetrol Prometeo - Documents\Planning Space Implementation\3. Analysis &amp; Design\Design\FC22\DRR Jaime\Neiva CPI\[DINA TERCIARIOS_CF_SEC_New_27-Mar-2024.xlsx]D-PNP'!$BE$38</v>
      </c>
      <c r="J3410" s="37" t="s">
        <v>3546</v>
      </c>
    </row>
    <row r="3411" spans="1:10" x14ac:dyDescent="0.3">
      <c r="A3411" s="32" t="s">
        <v>15</v>
      </c>
      <c r="B3411" s="32">
        <f t="shared" si="812"/>
        <v>2050</v>
      </c>
      <c r="C3411" s="33" t="s">
        <v>28</v>
      </c>
      <c r="D3411" s="34" t="s">
        <v>2002</v>
      </c>
      <c r="E3411" s="35" t="str">
        <f t="shared" si="808"/>
        <v>PNP'!</v>
      </c>
      <c r="F3411" s="34" t="str">
        <f t="shared" si="809"/>
        <v>C:\Users\jaime.benazar\Quorum Business Solutions\Ecopetrol Prometeo - Documents\Planning Space Implementation\3. Analysis &amp; Design\Design\FC22\DRR Jaime\Neiva CPI\[DINA TERCIARIOS_CF_SEC_New_27-Mar-2024.xlsx]D-PNP'!</v>
      </c>
      <c r="G3411" s="32" t="s">
        <v>124</v>
      </c>
      <c r="H3411" s="33">
        <f t="shared" si="810"/>
        <v>39</v>
      </c>
      <c r="I3411" s="33" t="str">
        <f t="shared" si="811"/>
        <v>='C:\Users\jaime.benazar\Quorum Business Solutions\Ecopetrol Prometeo - Documents\Planning Space Implementation\3. Analysis &amp; Design\Design\FC22\DRR Jaime\Neiva CPI\[DINA TERCIARIOS_CF_SEC_New_27-Mar-2024.xlsx]D-PNP'!$BE$39</v>
      </c>
      <c r="J3411" s="37" t="s">
        <v>3547</v>
      </c>
    </row>
    <row r="3412" spans="1:10" x14ac:dyDescent="0.3">
      <c r="A3412" s="32" t="s">
        <v>15</v>
      </c>
      <c r="B3412" s="32">
        <f t="shared" si="812"/>
        <v>2051</v>
      </c>
      <c r="C3412" s="33" t="s">
        <v>28</v>
      </c>
      <c r="D3412" s="34" t="s">
        <v>2002</v>
      </c>
      <c r="E3412" s="35" t="str">
        <f t="shared" si="808"/>
        <v>PNP'!</v>
      </c>
      <c r="F3412" s="34" t="str">
        <f t="shared" si="809"/>
        <v>C:\Users\jaime.benazar\Quorum Business Solutions\Ecopetrol Prometeo - Documents\Planning Space Implementation\3. Analysis &amp; Design\Design\FC22\DRR Jaime\Neiva CPI\[DINA TERCIARIOS_CF_SEC_New_27-Mar-2024.xlsx]D-PNP'!</v>
      </c>
      <c r="G3412" s="32" t="s">
        <v>124</v>
      </c>
      <c r="H3412" s="33">
        <f t="shared" si="810"/>
        <v>40</v>
      </c>
      <c r="I3412" s="33" t="str">
        <f t="shared" si="811"/>
        <v>='C:\Users\jaime.benazar\Quorum Business Solutions\Ecopetrol Prometeo - Documents\Planning Space Implementation\3. Analysis &amp; Design\Design\FC22\DRR Jaime\Neiva CPI\[DINA TERCIARIOS_CF_SEC_New_27-Mar-2024.xlsx]D-PNP'!$BE$40</v>
      </c>
      <c r="J3412" s="37" t="s">
        <v>3548</v>
      </c>
    </row>
    <row r="3413" spans="1:10" x14ac:dyDescent="0.3">
      <c r="A3413" s="32" t="s">
        <v>15</v>
      </c>
      <c r="B3413" s="32">
        <f t="shared" si="812"/>
        <v>2052</v>
      </c>
      <c r="C3413" s="33" t="s">
        <v>28</v>
      </c>
      <c r="D3413" s="34" t="s">
        <v>2002</v>
      </c>
      <c r="E3413" s="35" t="str">
        <f t="shared" si="808"/>
        <v>PNP'!</v>
      </c>
      <c r="F3413" s="34" t="str">
        <f t="shared" si="809"/>
        <v>C:\Users\jaime.benazar\Quorum Business Solutions\Ecopetrol Prometeo - Documents\Planning Space Implementation\3. Analysis &amp; Design\Design\FC22\DRR Jaime\Neiva CPI\[DINA TERCIARIOS_CF_SEC_New_27-Mar-2024.xlsx]D-PNP'!</v>
      </c>
      <c r="G3413" s="32" t="s">
        <v>124</v>
      </c>
      <c r="H3413" s="33">
        <f t="shared" si="810"/>
        <v>41</v>
      </c>
      <c r="I3413" s="33" t="str">
        <f t="shared" si="811"/>
        <v>='C:\Users\jaime.benazar\Quorum Business Solutions\Ecopetrol Prometeo - Documents\Planning Space Implementation\3. Analysis &amp; Design\Design\FC22\DRR Jaime\Neiva CPI\[DINA TERCIARIOS_CF_SEC_New_27-Mar-2024.xlsx]D-PNP'!$BE$41</v>
      </c>
      <c r="J3413" s="37" t="s">
        <v>3549</v>
      </c>
    </row>
    <row r="3414" spans="1:10" x14ac:dyDescent="0.3">
      <c r="A3414" s="32" t="s">
        <v>15</v>
      </c>
      <c r="B3414" s="32">
        <f t="shared" si="812"/>
        <v>2053</v>
      </c>
      <c r="C3414" s="33" t="s">
        <v>28</v>
      </c>
      <c r="D3414" s="34" t="s">
        <v>2002</v>
      </c>
      <c r="E3414" s="35" t="str">
        <f t="shared" si="808"/>
        <v>PNP'!</v>
      </c>
      <c r="F3414" s="34" t="str">
        <f t="shared" si="809"/>
        <v>C:\Users\jaime.benazar\Quorum Business Solutions\Ecopetrol Prometeo - Documents\Planning Space Implementation\3. Analysis &amp; Design\Design\FC22\DRR Jaime\Neiva CPI\[DINA TERCIARIOS_CF_SEC_New_27-Mar-2024.xlsx]D-PNP'!</v>
      </c>
      <c r="G3414" s="32" t="s">
        <v>124</v>
      </c>
      <c r="H3414" s="33">
        <f t="shared" si="810"/>
        <v>42</v>
      </c>
      <c r="I3414" s="33" t="str">
        <f t="shared" si="811"/>
        <v>='C:\Users\jaime.benazar\Quorum Business Solutions\Ecopetrol Prometeo - Documents\Planning Space Implementation\3. Analysis &amp; Design\Design\FC22\DRR Jaime\Neiva CPI\[DINA TERCIARIOS_CF_SEC_New_27-Mar-2024.xlsx]D-PNP'!$BE$42</v>
      </c>
      <c r="J3414" s="37" t="s">
        <v>3550</v>
      </c>
    </row>
    <row r="3415" spans="1:10" x14ac:dyDescent="0.3">
      <c r="A3415" s="32" t="s">
        <v>15</v>
      </c>
      <c r="B3415" s="32">
        <f t="shared" si="812"/>
        <v>2054</v>
      </c>
      <c r="C3415" s="33" t="s">
        <v>28</v>
      </c>
      <c r="D3415" s="34" t="s">
        <v>2002</v>
      </c>
      <c r="E3415" s="35" t="str">
        <f t="shared" si="808"/>
        <v>PNP'!</v>
      </c>
      <c r="F3415" s="34" t="str">
        <f t="shared" si="809"/>
        <v>C:\Users\jaime.benazar\Quorum Business Solutions\Ecopetrol Prometeo - Documents\Planning Space Implementation\3. Analysis &amp; Design\Design\FC22\DRR Jaime\Neiva CPI\[DINA TERCIARIOS_CF_SEC_New_27-Mar-2024.xlsx]D-PNP'!</v>
      </c>
      <c r="G3415" s="32" t="s">
        <v>124</v>
      </c>
      <c r="H3415" s="33">
        <f t="shared" si="810"/>
        <v>43</v>
      </c>
      <c r="I3415" s="33" t="str">
        <f t="shared" si="811"/>
        <v>='C:\Users\jaime.benazar\Quorum Business Solutions\Ecopetrol Prometeo - Documents\Planning Space Implementation\3. Analysis &amp; Design\Design\FC22\DRR Jaime\Neiva CPI\[DINA TERCIARIOS_CF_SEC_New_27-Mar-2024.xlsx]D-PNP'!$BE$43</v>
      </c>
      <c r="J3415" s="37" t="s">
        <v>3551</v>
      </c>
    </row>
    <row r="3416" spans="1:10" x14ac:dyDescent="0.3">
      <c r="A3416" s="32" t="s">
        <v>15</v>
      </c>
      <c r="B3416" s="32">
        <f t="shared" si="812"/>
        <v>2055</v>
      </c>
      <c r="C3416" s="33" t="s">
        <v>28</v>
      </c>
      <c r="D3416" s="34" t="s">
        <v>2002</v>
      </c>
      <c r="E3416" s="35" t="str">
        <f t="shared" si="808"/>
        <v>PNP'!</v>
      </c>
      <c r="F3416" s="34" t="str">
        <f t="shared" si="809"/>
        <v>C:\Users\jaime.benazar\Quorum Business Solutions\Ecopetrol Prometeo - Documents\Planning Space Implementation\3. Analysis &amp; Design\Design\FC22\DRR Jaime\Neiva CPI\[DINA TERCIARIOS_CF_SEC_New_27-Mar-2024.xlsx]D-PNP'!</v>
      </c>
      <c r="G3416" s="32" t="s">
        <v>124</v>
      </c>
      <c r="H3416" s="33">
        <f t="shared" si="810"/>
        <v>44</v>
      </c>
      <c r="I3416" s="33" t="str">
        <f t="shared" si="811"/>
        <v>='C:\Users\jaime.benazar\Quorum Business Solutions\Ecopetrol Prometeo - Documents\Planning Space Implementation\3. Analysis &amp; Design\Design\FC22\DRR Jaime\Neiva CPI\[DINA TERCIARIOS_CF_SEC_New_27-Mar-2024.xlsx]D-PNP'!$BE$44</v>
      </c>
      <c r="J3416" s="37" t="s">
        <v>3552</v>
      </c>
    </row>
    <row r="3417" spans="1:10" x14ac:dyDescent="0.3">
      <c r="A3417" s="32" t="s">
        <v>15</v>
      </c>
      <c r="B3417" s="32">
        <f t="shared" si="812"/>
        <v>2056</v>
      </c>
      <c r="C3417" s="33" t="s">
        <v>28</v>
      </c>
      <c r="D3417" s="34" t="s">
        <v>2002</v>
      </c>
      <c r="E3417" s="35" t="str">
        <f t="shared" si="808"/>
        <v>PNP'!</v>
      </c>
      <c r="F3417" s="34" t="str">
        <f t="shared" si="809"/>
        <v>C:\Users\jaime.benazar\Quorum Business Solutions\Ecopetrol Prometeo - Documents\Planning Space Implementation\3. Analysis &amp; Design\Design\FC22\DRR Jaime\Neiva CPI\[DINA TERCIARIOS_CF_SEC_New_27-Mar-2024.xlsx]D-PNP'!</v>
      </c>
      <c r="G3417" s="32" t="s">
        <v>124</v>
      </c>
      <c r="H3417" s="33">
        <f t="shared" si="810"/>
        <v>45</v>
      </c>
      <c r="I3417" s="33" t="str">
        <f t="shared" si="811"/>
        <v>='C:\Users\jaime.benazar\Quorum Business Solutions\Ecopetrol Prometeo - Documents\Planning Space Implementation\3. Analysis &amp; Design\Design\FC22\DRR Jaime\Neiva CPI\[DINA TERCIARIOS_CF_SEC_New_27-Mar-2024.xlsx]D-PNP'!$BE$45</v>
      </c>
      <c r="J3417" s="37" t="s">
        <v>3553</v>
      </c>
    </row>
    <row r="3418" spans="1:10" x14ac:dyDescent="0.3">
      <c r="A3418" s="32" t="s">
        <v>15</v>
      </c>
      <c r="B3418" s="32">
        <f t="shared" si="812"/>
        <v>2057</v>
      </c>
      <c r="C3418" s="33" t="s">
        <v>28</v>
      </c>
      <c r="D3418" s="34" t="s">
        <v>2002</v>
      </c>
      <c r="E3418" s="35" t="str">
        <f t="shared" si="808"/>
        <v>PNP'!</v>
      </c>
      <c r="F3418" s="34" t="str">
        <f t="shared" si="809"/>
        <v>C:\Users\jaime.benazar\Quorum Business Solutions\Ecopetrol Prometeo - Documents\Planning Space Implementation\3. Analysis &amp; Design\Design\FC22\DRR Jaime\Neiva CPI\[DINA TERCIARIOS_CF_SEC_New_27-Mar-2024.xlsx]D-PNP'!</v>
      </c>
      <c r="G3418" s="32" t="s">
        <v>124</v>
      </c>
      <c r="H3418" s="33">
        <f t="shared" si="810"/>
        <v>46</v>
      </c>
      <c r="I3418" s="33" t="str">
        <f t="shared" si="811"/>
        <v>='C:\Users\jaime.benazar\Quorum Business Solutions\Ecopetrol Prometeo - Documents\Planning Space Implementation\3. Analysis &amp; Design\Design\FC22\DRR Jaime\Neiva CPI\[DINA TERCIARIOS_CF_SEC_New_27-Mar-2024.xlsx]D-PNP'!$BE$46</v>
      </c>
      <c r="J3418" s="37" t="s">
        <v>3554</v>
      </c>
    </row>
    <row r="3419" spans="1:10" x14ac:dyDescent="0.3">
      <c r="A3419" s="32" t="s">
        <v>15</v>
      </c>
      <c r="B3419" s="32">
        <f t="shared" si="812"/>
        <v>2058</v>
      </c>
      <c r="C3419" s="33" t="s">
        <v>28</v>
      </c>
      <c r="D3419" s="34" t="s">
        <v>2002</v>
      </c>
      <c r="E3419" s="35" t="str">
        <f t="shared" si="808"/>
        <v>PNP'!</v>
      </c>
      <c r="F3419" s="34" t="str">
        <f t="shared" si="809"/>
        <v>C:\Users\jaime.benazar\Quorum Business Solutions\Ecopetrol Prometeo - Documents\Planning Space Implementation\3. Analysis &amp; Design\Design\FC22\DRR Jaime\Neiva CPI\[DINA TERCIARIOS_CF_SEC_New_27-Mar-2024.xlsx]D-PNP'!</v>
      </c>
      <c r="G3419" s="32" t="s">
        <v>124</v>
      </c>
      <c r="H3419" s="33">
        <f t="shared" si="810"/>
        <v>47</v>
      </c>
      <c r="I3419" s="33" t="str">
        <f t="shared" si="811"/>
        <v>='C:\Users\jaime.benazar\Quorum Business Solutions\Ecopetrol Prometeo - Documents\Planning Space Implementation\3. Analysis &amp; Design\Design\FC22\DRR Jaime\Neiva CPI\[DINA TERCIARIOS_CF_SEC_New_27-Mar-2024.xlsx]D-PNP'!$BE$47</v>
      </c>
      <c r="J3419" s="37" t="s">
        <v>3555</v>
      </c>
    </row>
    <row r="3420" spans="1:10" x14ac:dyDescent="0.3">
      <c r="A3420" s="32" t="s">
        <v>15</v>
      </c>
      <c r="B3420" s="32">
        <f t="shared" si="812"/>
        <v>2059</v>
      </c>
      <c r="C3420" s="33" t="s">
        <v>28</v>
      </c>
      <c r="D3420" s="34" t="s">
        <v>2002</v>
      </c>
      <c r="E3420" s="35" t="str">
        <f t="shared" si="808"/>
        <v>PNP'!</v>
      </c>
      <c r="F3420" s="34" t="str">
        <f t="shared" si="809"/>
        <v>C:\Users\jaime.benazar\Quorum Business Solutions\Ecopetrol Prometeo - Documents\Planning Space Implementation\3. Analysis &amp; Design\Design\FC22\DRR Jaime\Neiva CPI\[DINA TERCIARIOS_CF_SEC_New_27-Mar-2024.xlsx]D-PNP'!</v>
      </c>
      <c r="G3420" s="32" t="s">
        <v>124</v>
      </c>
      <c r="H3420" s="33">
        <f t="shared" si="810"/>
        <v>48</v>
      </c>
      <c r="I3420" s="33" t="str">
        <f t="shared" si="811"/>
        <v>='C:\Users\jaime.benazar\Quorum Business Solutions\Ecopetrol Prometeo - Documents\Planning Space Implementation\3. Analysis &amp; Design\Design\FC22\DRR Jaime\Neiva CPI\[DINA TERCIARIOS_CF_SEC_New_27-Mar-2024.xlsx]D-PNP'!$BE$48</v>
      </c>
      <c r="J3420" s="37" t="s">
        <v>3556</v>
      </c>
    </row>
    <row r="3421" spans="1:10" x14ac:dyDescent="0.3">
      <c r="A3421" s="32" t="s">
        <v>26</v>
      </c>
      <c r="B3421" s="32"/>
      <c r="C3421" s="33" t="s">
        <v>28</v>
      </c>
      <c r="D3421" s="34"/>
      <c r="E3421" s="35"/>
      <c r="F3421" s="34"/>
      <c r="G3421" s="32"/>
      <c r="H3421" s="33"/>
      <c r="I3421" s="33"/>
      <c r="J3421" s="33"/>
    </row>
    <row r="3422" spans="1:10" x14ac:dyDescent="0.3">
      <c r="A3422" s="32" t="s">
        <v>16</v>
      </c>
      <c r="B3422" s="32">
        <v>2023</v>
      </c>
      <c r="C3422" s="33" t="s">
        <v>28</v>
      </c>
      <c r="D3422" s="34" t="s">
        <v>2002</v>
      </c>
      <c r="E3422" s="35" t="str">
        <f t="shared" ref="E3422:E3442" si="813">_xlfn.CONCAT(A3422,"'!")</f>
        <v>PND'!</v>
      </c>
      <c r="F3422" s="34" t="str">
        <f t="shared" ref="F3422:F3442" si="814">_xlfn.CONCAT(D3422:E3422)</f>
        <v>C:\Users\jaime.benazar\Quorum Business Solutions\Ecopetrol Prometeo - Documents\Planning Space Implementation\3. Analysis &amp; Design\Design\FC22\DRR Jaime\Neiva CPI\[DINA TERCIARIOS_CF_SEC_New_27-Mar-2024.xlsx]D-PND'!</v>
      </c>
      <c r="G3422" s="32" t="s">
        <v>124</v>
      </c>
      <c r="H3422" s="33">
        <f>IF(A3422&lt;&gt;A3406,12,H3406+1)</f>
        <v>12</v>
      </c>
      <c r="I3422" s="33" t="str">
        <f t="shared" ref="I3422:I3442" si="815">_xlfn.CONCAT("='",F3422:H3422)</f>
        <v>='C:\Users\jaime.benazar\Quorum Business Solutions\Ecopetrol Prometeo - Documents\Planning Space Implementation\3. Analysis &amp; Design\Design\FC22\DRR Jaime\Neiva CPI\[DINA TERCIARIOS_CF_SEC_New_27-Mar-2024.xlsx]D-PND'!$BE$12</v>
      </c>
      <c r="J3422" s="37" t="s">
        <v>3557</v>
      </c>
    </row>
    <row r="3423" spans="1:10" x14ac:dyDescent="0.3">
      <c r="A3423" s="32" t="s">
        <v>16</v>
      </c>
      <c r="B3423" s="32">
        <f>+B3422+1</f>
        <v>2024</v>
      </c>
      <c r="C3423" s="33" t="s">
        <v>28</v>
      </c>
      <c r="D3423" s="34" t="s">
        <v>2002</v>
      </c>
      <c r="E3423" s="35" t="str">
        <f t="shared" si="813"/>
        <v>PND'!</v>
      </c>
      <c r="F3423" s="34" t="str">
        <f t="shared" si="814"/>
        <v>C:\Users\jaime.benazar\Quorum Business Solutions\Ecopetrol Prometeo - Documents\Planning Space Implementation\3. Analysis &amp; Design\Design\FC22\DRR Jaime\Neiva CPI\[DINA TERCIARIOS_CF_SEC_New_27-Mar-2024.xlsx]D-PND'!</v>
      </c>
      <c r="G3423" s="32" t="s">
        <v>124</v>
      </c>
      <c r="H3423" s="33">
        <f t="shared" ref="H3423:H3442" si="816">IF(A3423&lt;&gt;A3422,36,H3422+1)</f>
        <v>13</v>
      </c>
      <c r="I3423" s="33" t="str">
        <f t="shared" si="815"/>
        <v>='C:\Users\jaime.benazar\Quorum Business Solutions\Ecopetrol Prometeo - Documents\Planning Space Implementation\3. Analysis &amp; Design\Design\FC22\DRR Jaime\Neiva CPI\[DINA TERCIARIOS_CF_SEC_New_27-Mar-2024.xlsx]D-PND'!$BE$13</v>
      </c>
      <c r="J3423" s="37" t="s">
        <v>3558</v>
      </c>
    </row>
    <row r="3424" spans="1:10" x14ac:dyDescent="0.3">
      <c r="A3424" s="32" t="s">
        <v>16</v>
      </c>
      <c r="B3424" s="32">
        <f t="shared" ref="B3424:B3435" si="817">+B3423+1</f>
        <v>2025</v>
      </c>
      <c r="C3424" s="33" t="s">
        <v>28</v>
      </c>
      <c r="D3424" s="34" t="s">
        <v>2002</v>
      </c>
      <c r="E3424" s="35" t="str">
        <f t="shared" si="813"/>
        <v>PND'!</v>
      </c>
      <c r="F3424" s="34" t="str">
        <f t="shared" si="814"/>
        <v>C:\Users\jaime.benazar\Quorum Business Solutions\Ecopetrol Prometeo - Documents\Planning Space Implementation\3. Analysis &amp; Design\Design\FC22\DRR Jaime\Neiva CPI\[DINA TERCIARIOS_CF_SEC_New_27-Mar-2024.xlsx]D-PND'!</v>
      </c>
      <c r="G3424" s="32" t="s">
        <v>124</v>
      </c>
      <c r="H3424" s="33">
        <f t="shared" si="816"/>
        <v>14</v>
      </c>
      <c r="I3424" s="33" t="str">
        <f t="shared" si="815"/>
        <v>='C:\Users\jaime.benazar\Quorum Business Solutions\Ecopetrol Prometeo - Documents\Planning Space Implementation\3. Analysis &amp; Design\Design\FC22\DRR Jaime\Neiva CPI\[DINA TERCIARIOS_CF_SEC_New_27-Mar-2024.xlsx]D-PND'!$BE$14</v>
      </c>
      <c r="J3424" s="37" t="s">
        <v>3559</v>
      </c>
    </row>
    <row r="3425" spans="1:10" x14ac:dyDescent="0.3">
      <c r="A3425" s="32" t="s">
        <v>16</v>
      </c>
      <c r="B3425" s="32">
        <f t="shared" si="817"/>
        <v>2026</v>
      </c>
      <c r="C3425" s="33" t="s">
        <v>28</v>
      </c>
      <c r="D3425" s="34" t="s">
        <v>2002</v>
      </c>
      <c r="E3425" s="35" t="str">
        <f t="shared" si="813"/>
        <v>PND'!</v>
      </c>
      <c r="F3425" s="34" t="str">
        <f t="shared" si="814"/>
        <v>C:\Users\jaime.benazar\Quorum Business Solutions\Ecopetrol Prometeo - Documents\Planning Space Implementation\3. Analysis &amp; Design\Design\FC22\DRR Jaime\Neiva CPI\[DINA TERCIARIOS_CF_SEC_New_27-Mar-2024.xlsx]D-PND'!</v>
      </c>
      <c r="G3425" s="32" t="s">
        <v>124</v>
      </c>
      <c r="H3425" s="33">
        <f t="shared" si="816"/>
        <v>15</v>
      </c>
      <c r="I3425" s="33" t="str">
        <f t="shared" si="815"/>
        <v>='C:\Users\jaime.benazar\Quorum Business Solutions\Ecopetrol Prometeo - Documents\Planning Space Implementation\3. Analysis &amp; Design\Design\FC22\DRR Jaime\Neiva CPI\[DINA TERCIARIOS_CF_SEC_New_27-Mar-2024.xlsx]D-PND'!$BE$15</v>
      </c>
      <c r="J3425" s="37" t="s">
        <v>3560</v>
      </c>
    </row>
    <row r="3426" spans="1:10" x14ac:dyDescent="0.3">
      <c r="A3426" s="32" t="s">
        <v>16</v>
      </c>
      <c r="B3426" s="32">
        <f t="shared" si="817"/>
        <v>2027</v>
      </c>
      <c r="C3426" s="33" t="s">
        <v>28</v>
      </c>
      <c r="D3426" s="34" t="s">
        <v>2002</v>
      </c>
      <c r="E3426" s="35" t="str">
        <f t="shared" si="813"/>
        <v>PND'!</v>
      </c>
      <c r="F3426" s="34" t="str">
        <f t="shared" si="814"/>
        <v>C:\Users\jaime.benazar\Quorum Business Solutions\Ecopetrol Prometeo - Documents\Planning Space Implementation\3. Analysis &amp; Design\Design\FC22\DRR Jaime\Neiva CPI\[DINA TERCIARIOS_CF_SEC_New_27-Mar-2024.xlsx]D-PND'!</v>
      </c>
      <c r="G3426" s="32" t="s">
        <v>124</v>
      </c>
      <c r="H3426" s="33">
        <f t="shared" si="816"/>
        <v>16</v>
      </c>
      <c r="I3426" s="33" t="str">
        <f t="shared" si="815"/>
        <v>='C:\Users\jaime.benazar\Quorum Business Solutions\Ecopetrol Prometeo - Documents\Planning Space Implementation\3. Analysis &amp; Design\Design\FC22\DRR Jaime\Neiva CPI\[DINA TERCIARIOS_CF_SEC_New_27-Mar-2024.xlsx]D-PND'!$BE$16</v>
      </c>
      <c r="J3426" s="37" t="s">
        <v>3561</v>
      </c>
    </row>
    <row r="3427" spans="1:10" x14ac:dyDescent="0.3">
      <c r="A3427" s="32" t="s">
        <v>16</v>
      </c>
      <c r="B3427" s="32">
        <f t="shared" si="817"/>
        <v>2028</v>
      </c>
      <c r="C3427" s="33" t="s">
        <v>28</v>
      </c>
      <c r="D3427" s="34" t="s">
        <v>2002</v>
      </c>
      <c r="E3427" s="35" t="str">
        <f t="shared" si="813"/>
        <v>PND'!</v>
      </c>
      <c r="F3427" s="34" t="str">
        <f t="shared" si="814"/>
        <v>C:\Users\jaime.benazar\Quorum Business Solutions\Ecopetrol Prometeo - Documents\Planning Space Implementation\3. Analysis &amp; Design\Design\FC22\DRR Jaime\Neiva CPI\[DINA TERCIARIOS_CF_SEC_New_27-Mar-2024.xlsx]D-PND'!</v>
      </c>
      <c r="G3427" s="32" t="s">
        <v>124</v>
      </c>
      <c r="H3427" s="33">
        <f t="shared" si="816"/>
        <v>17</v>
      </c>
      <c r="I3427" s="33" t="str">
        <f t="shared" si="815"/>
        <v>='C:\Users\jaime.benazar\Quorum Business Solutions\Ecopetrol Prometeo - Documents\Planning Space Implementation\3. Analysis &amp; Design\Design\FC22\DRR Jaime\Neiva CPI\[DINA TERCIARIOS_CF_SEC_New_27-Mar-2024.xlsx]D-PND'!$BE$17</v>
      </c>
      <c r="J3427" s="37" t="s">
        <v>3562</v>
      </c>
    </row>
    <row r="3428" spans="1:10" x14ac:dyDescent="0.3">
      <c r="A3428" s="32" t="s">
        <v>16</v>
      </c>
      <c r="B3428" s="32">
        <f t="shared" si="817"/>
        <v>2029</v>
      </c>
      <c r="C3428" s="33" t="s">
        <v>28</v>
      </c>
      <c r="D3428" s="34" t="s">
        <v>2002</v>
      </c>
      <c r="E3428" s="35" t="str">
        <f t="shared" si="813"/>
        <v>PND'!</v>
      </c>
      <c r="F3428" s="34" t="str">
        <f t="shared" si="814"/>
        <v>C:\Users\jaime.benazar\Quorum Business Solutions\Ecopetrol Prometeo - Documents\Planning Space Implementation\3. Analysis &amp; Design\Design\FC22\DRR Jaime\Neiva CPI\[DINA TERCIARIOS_CF_SEC_New_27-Mar-2024.xlsx]D-PND'!</v>
      </c>
      <c r="G3428" s="32" t="s">
        <v>124</v>
      </c>
      <c r="H3428" s="33">
        <f t="shared" si="816"/>
        <v>18</v>
      </c>
      <c r="I3428" s="33" t="str">
        <f t="shared" si="815"/>
        <v>='C:\Users\jaime.benazar\Quorum Business Solutions\Ecopetrol Prometeo - Documents\Planning Space Implementation\3. Analysis &amp; Design\Design\FC22\DRR Jaime\Neiva CPI\[DINA TERCIARIOS_CF_SEC_New_27-Mar-2024.xlsx]D-PND'!$BE$18</v>
      </c>
      <c r="J3428" s="37" t="s">
        <v>3563</v>
      </c>
    </row>
    <row r="3429" spans="1:10" x14ac:dyDescent="0.3">
      <c r="A3429" s="32" t="s">
        <v>16</v>
      </c>
      <c r="B3429" s="32">
        <f t="shared" si="817"/>
        <v>2030</v>
      </c>
      <c r="C3429" s="33" t="s">
        <v>28</v>
      </c>
      <c r="D3429" s="34" t="s">
        <v>2002</v>
      </c>
      <c r="E3429" s="35" t="str">
        <f t="shared" si="813"/>
        <v>PND'!</v>
      </c>
      <c r="F3429" s="34" t="str">
        <f t="shared" si="814"/>
        <v>C:\Users\jaime.benazar\Quorum Business Solutions\Ecopetrol Prometeo - Documents\Planning Space Implementation\3. Analysis &amp; Design\Design\FC22\DRR Jaime\Neiva CPI\[DINA TERCIARIOS_CF_SEC_New_27-Mar-2024.xlsx]D-PND'!</v>
      </c>
      <c r="G3429" s="32" t="s">
        <v>124</v>
      </c>
      <c r="H3429" s="33">
        <f t="shared" si="816"/>
        <v>19</v>
      </c>
      <c r="I3429" s="33" t="str">
        <f t="shared" si="815"/>
        <v>='C:\Users\jaime.benazar\Quorum Business Solutions\Ecopetrol Prometeo - Documents\Planning Space Implementation\3. Analysis &amp; Design\Design\FC22\DRR Jaime\Neiva CPI\[DINA TERCIARIOS_CF_SEC_New_27-Mar-2024.xlsx]D-PND'!$BE$19</v>
      </c>
      <c r="J3429" s="37" t="s">
        <v>3564</v>
      </c>
    </row>
    <row r="3430" spans="1:10" x14ac:dyDescent="0.3">
      <c r="A3430" s="32" t="s">
        <v>16</v>
      </c>
      <c r="B3430" s="32">
        <f t="shared" si="817"/>
        <v>2031</v>
      </c>
      <c r="C3430" s="33" t="s">
        <v>28</v>
      </c>
      <c r="D3430" s="34" t="s">
        <v>2002</v>
      </c>
      <c r="E3430" s="35" t="str">
        <f t="shared" si="813"/>
        <v>PND'!</v>
      </c>
      <c r="F3430" s="34" t="str">
        <f t="shared" si="814"/>
        <v>C:\Users\jaime.benazar\Quorum Business Solutions\Ecopetrol Prometeo - Documents\Planning Space Implementation\3. Analysis &amp; Design\Design\FC22\DRR Jaime\Neiva CPI\[DINA TERCIARIOS_CF_SEC_New_27-Mar-2024.xlsx]D-PND'!</v>
      </c>
      <c r="G3430" s="32" t="s">
        <v>124</v>
      </c>
      <c r="H3430" s="33">
        <f t="shared" si="816"/>
        <v>20</v>
      </c>
      <c r="I3430" s="33" t="str">
        <f t="shared" si="815"/>
        <v>='C:\Users\jaime.benazar\Quorum Business Solutions\Ecopetrol Prometeo - Documents\Planning Space Implementation\3. Analysis &amp; Design\Design\FC22\DRR Jaime\Neiva CPI\[DINA TERCIARIOS_CF_SEC_New_27-Mar-2024.xlsx]D-PND'!$BE$20</v>
      </c>
      <c r="J3430" s="37" t="s">
        <v>3565</v>
      </c>
    </row>
    <row r="3431" spans="1:10" x14ac:dyDescent="0.3">
      <c r="A3431" s="32" t="s">
        <v>16</v>
      </c>
      <c r="B3431" s="32">
        <f t="shared" si="817"/>
        <v>2032</v>
      </c>
      <c r="C3431" s="33" t="s">
        <v>28</v>
      </c>
      <c r="D3431" s="34" t="s">
        <v>2002</v>
      </c>
      <c r="E3431" s="35" t="str">
        <f t="shared" si="813"/>
        <v>PND'!</v>
      </c>
      <c r="F3431" s="34" t="str">
        <f t="shared" si="814"/>
        <v>C:\Users\jaime.benazar\Quorum Business Solutions\Ecopetrol Prometeo - Documents\Planning Space Implementation\3. Analysis &amp; Design\Design\FC22\DRR Jaime\Neiva CPI\[DINA TERCIARIOS_CF_SEC_New_27-Mar-2024.xlsx]D-PND'!</v>
      </c>
      <c r="G3431" s="32" t="s">
        <v>124</v>
      </c>
      <c r="H3431" s="33">
        <f t="shared" si="816"/>
        <v>21</v>
      </c>
      <c r="I3431" s="33" t="str">
        <f t="shared" si="815"/>
        <v>='C:\Users\jaime.benazar\Quorum Business Solutions\Ecopetrol Prometeo - Documents\Planning Space Implementation\3. Analysis &amp; Design\Design\FC22\DRR Jaime\Neiva CPI\[DINA TERCIARIOS_CF_SEC_New_27-Mar-2024.xlsx]D-PND'!$BE$21</v>
      </c>
      <c r="J3431" s="37" t="s">
        <v>3566</v>
      </c>
    </row>
    <row r="3432" spans="1:10" x14ac:dyDescent="0.3">
      <c r="A3432" s="32" t="s">
        <v>16</v>
      </c>
      <c r="B3432" s="32">
        <f t="shared" si="817"/>
        <v>2033</v>
      </c>
      <c r="C3432" s="33" t="s">
        <v>28</v>
      </c>
      <c r="D3432" s="34" t="s">
        <v>2002</v>
      </c>
      <c r="E3432" s="35" t="str">
        <f t="shared" si="813"/>
        <v>PND'!</v>
      </c>
      <c r="F3432" s="34" t="str">
        <f t="shared" si="814"/>
        <v>C:\Users\jaime.benazar\Quorum Business Solutions\Ecopetrol Prometeo - Documents\Planning Space Implementation\3. Analysis &amp; Design\Design\FC22\DRR Jaime\Neiva CPI\[DINA TERCIARIOS_CF_SEC_New_27-Mar-2024.xlsx]D-PND'!</v>
      </c>
      <c r="G3432" s="32" t="s">
        <v>124</v>
      </c>
      <c r="H3432" s="33">
        <f t="shared" si="816"/>
        <v>22</v>
      </c>
      <c r="I3432" s="33" t="str">
        <f t="shared" si="815"/>
        <v>='C:\Users\jaime.benazar\Quorum Business Solutions\Ecopetrol Prometeo - Documents\Planning Space Implementation\3. Analysis &amp; Design\Design\FC22\DRR Jaime\Neiva CPI\[DINA TERCIARIOS_CF_SEC_New_27-Mar-2024.xlsx]D-PND'!$BE$22</v>
      </c>
      <c r="J3432" s="37" t="s">
        <v>3567</v>
      </c>
    </row>
    <row r="3433" spans="1:10" x14ac:dyDescent="0.3">
      <c r="A3433" s="32" t="s">
        <v>16</v>
      </c>
      <c r="B3433" s="32">
        <f t="shared" si="817"/>
        <v>2034</v>
      </c>
      <c r="C3433" s="33" t="s">
        <v>28</v>
      </c>
      <c r="D3433" s="34" t="s">
        <v>2002</v>
      </c>
      <c r="E3433" s="35" t="str">
        <f t="shared" si="813"/>
        <v>PND'!</v>
      </c>
      <c r="F3433" s="34" t="str">
        <f t="shared" si="814"/>
        <v>C:\Users\jaime.benazar\Quorum Business Solutions\Ecopetrol Prometeo - Documents\Planning Space Implementation\3. Analysis &amp; Design\Design\FC22\DRR Jaime\Neiva CPI\[DINA TERCIARIOS_CF_SEC_New_27-Mar-2024.xlsx]D-PND'!</v>
      </c>
      <c r="G3433" s="32" t="s">
        <v>124</v>
      </c>
      <c r="H3433" s="33">
        <f t="shared" si="816"/>
        <v>23</v>
      </c>
      <c r="I3433" s="33" t="str">
        <f t="shared" si="815"/>
        <v>='C:\Users\jaime.benazar\Quorum Business Solutions\Ecopetrol Prometeo - Documents\Planning Space Implementation\3. Analysis &amp; Design\Design\FC22\DRR Jaime\Neiva CPI\[DINA TERCIARIOS_CF_SEC_New_27-Mar-2024.xlsx]D-PND'!$BE$23</v>
      </c>
      <c r="J3433" s="37" t="s">
        <v>3568</v>
      </c>
    </row>
    <row r="3434" spans="1:10" x14ac:dyDescent="0.3">
      <c r="A3434" s="32" t="s">
        <v>16</v>
      </c>
      <c r="B3434" s="32">
        <f t="shared" si="817"/>
        <v>2035</v>
      </c>
      <c r="C3434" s="33" t="s">
        <v>28</v>
      </c>
      <c r="D3434" s="34" t="s">
        <v>2002</v>
      </c>
      <c r="E3434" s="35" t="str">
        <f t="shared" si="813"/>
        <v>PND'!</v>
      </c>
      <c r="F3434" s="34" t="str">
        <f t="shared" si="814"/>
        <v>C:\Users\jaime.benazar\Quorum Business Solutions\Ecopetrol Prometeo - Documents\Planning Space Implementation\3. Analysis &amp; Design\Design\FC22\DRR Jaime\Neiva CPI\[DINA TERCIARIOS_CF_SEC_New_27-Mar-2024.xlsx]D-PND'!</v>
      </c>
      <c r="G3434" s="32" t="s">
        <v>124</v>
      </c>
      <c r="H3434" s="33">
        <f t="shared" si="816"/>
        <v>24</v>
      </c>
      <c r="I3434" s="33" t="str">
        <f t="shared" si="815"/>
        <v>='C:\Users\jaime.benazar\Quorum Business Solutions\Ecopetrol Prometeo - Documents\Planning Space Implementation\3. Analysis &amp; Design\Design\FC22\DRR Jaime\Neiva CPI\[DINA TERCIARIOS_CF_SEC_New_27-Mar-2024.xlsx]D-PND'!$BE$24</v>
      </c>
      <c r="J3434" s="37" t="s">
        <v>3569</v>
      </c>
    </row>
    <row r="3435" spans="1:10" x14ac:dyDescent="0.3">
      <c r="A3435" s="32" t="s">
        <v>16</v>
      </c>
      <c r="B3435" s="32">
        <f t="shared" si="817"/>
        <v>2036</v>
      </c>
      <c r="C3435" s="33" t="s">
        <v>28</v>
      </c>
      <c r="D3435" s="34" t="s">
        <v>2002</v>
      </c>
      <c r="E3435" s="35" t="str">
        <f t="shared" si="813"/>
        <v>PND'!</v>
      </c>
      <c r="F3435" s="34" t="str">
        <f t="shared" si="814"/>
        <v>C:\Users\jaime.benazar\Quorum Business Solutions\Ecopetrol Prometeo - Documents\Planning Space Implementation\3. Analysis &amp; Design\Design\FC22\DRR Jaime\Neiva CPI\[DINA TERCIARIOS_CF_SEC_New_27-Mar-2024.xlsx]D-PND'!</v>
      </c>
      <c r="G3435" s="32" t="s">
        <v>124</v>
      </c>
      <c r="H3435" s="33">
        <f t="shared" si="816"/>
        <v>25</v>
      </c>
      <c r="I3435" s="33" t="str">
        <f t="shared" si="815"/>
        <v>='C:\Users\jaime.benazar\Quorum Business Solutions\Ecopetrol Prometeo - Documents\Planning Space Implementation\3. Analysis &amp; Design\Design\FC22\DRR Jaime\Neiva CPI\[DINA TERCIARIOS_CF_SEC_New_27-Mar-2024.xlsx]D-PND'!$BE$25</v>
      </c>
      <c r="J3435" s="37" t="s">
        <v>3570</v>
      </c>
    </row>
    <row r="3436" spans="1:10" x14ac:dyDescent="0.3">
      <c r="A3436" s="32" t="s">
        <v>16</v>
      </c>
      <c r="B3436" s="32">
        <f>+B3435+1</f>
        <v>2037</v>
      </c>
      <c r="C3436" s="33" t="s">
        <v>28</v>
      </c>
      <c r="D3436" s="34" t="s">
        <v>2002</v>
      </c>
      <c r="E3436" s="35" t="str">
        <f t="shared" si="813"/>
        <v>PND'!</v>
      </c>
      <c r="F3436" s="34" t="str">
        <f t="shared" si="814"/>
        <v>C:\Users\jaime.benazar\Quorum Business Solutions\Ecopetrol Prometeo - Documents\Planning Space Implementation\3. Analysis &amp; Design\Design\FC22\DRR Jaime\Neiva CPI\[DINA TERCIARIOS_CF_SEC_New_27-Mar-2024.xlsx]D-PND'!</v>
      </c>
      <c r="G3436" s="32" t="s">
        <v>124</v>
      </c>
      <c r="H3436" s="33">
        <f t="shared" si="816"/>
        <v>26</v>
      </c>
      <c r="I3436" s="33" t="str">
        <f t="shared" si="815"/>
        <v>='C:\Users\jaime.benazar\Quorum Business Solutions\Ecopetrol Prometeo - Documents\Planning Space Implementation\3. Analysis &amp; Design\Design\FC22\DRR Jaime\Neiva CPI\[DINA TERCIARIOS_CF_SEC_New_27-Mar-2024.xlsx]D-PND'!$BE$26</v>
      </c>
      <c r="J3436" s="37" t="s">
        <v>3571</v>
      </c>
    </row>
    <row r="3437" spans="1:10" x14ac:dyDescent="0.3">
      <c r="A3437" s="32" t="s">
        <v>16</v>
      </c>
      <c r="B3437" s="32">
        <f t="shared" ref="B3437:B3439" si="818">+B3436+1</f>
        <v>2038</v>
      </c>
      <c r="C3437" s="33" t="s">
        <v>28</v>
      </c>
      <c r="D3437" s="34" t="s">
        <v>2002</v>
      </c>
      <c r="E3437" s="35" t="str">
        <f t="shared" si="813"/>
        <v>PND'!</v>
      </c>
      <c r="F3437" s="34" t="str">
        <f t="shared" si="814"/>
        <v>C:\Users\jaime.benazar\Quorum Business Solutions\Ecopetrol Prometeo - Documents\Planning Space Implementation\3. Analysis &amp; Design\Design\FC22\DRR Jaime\Neiva CPI\[DINA TERCIARIOS_CF_SEC_New_27-Mar-2024.xlsx]D-PND'!</v>
      </c>
      <c r="G3437" s="32" t="s">
        <v>124</v>
      </c>
      <c r="H3437" s="33">
        <f t="shared" si="816"/>
        <v>27</v>
      </c>
      <c r="I3437" s="33" t="str">
        <f t="shared" si="815"/>
        <v>='C:\Users\jaime.benazar\Quorum Business Solutions\Ecopetrol Prometeo - Documents\Planning Space Implementation\3. Analysis &amp; Design\Design\FC22\DRR Jaime\Neiva CPI\[DINA TERCIARIOS_CF_SEC_New_27-Mar-2024.xlsx]D-PND'!$BE$27</v>
      </c>
      <c r="J3437" s="37" t="s">
        <v>3572</v>
      </c>
    </row>
    <row r="3438" spans="1:10" x14ac:dyDescent="0.3">
      <c r="A3438" s="32" t="s">
        <v>16</v>
      </c>
      <c r="B3438" s="32">
        <f t="shared" si="818"/>
        <v>2039</v>
      </c>
      <c r="C3438" s="33" t="s">
        <v>28</v>
      </c>
      <c r="D3438" s="34" t="s">
        <v>2002</v>
      </c>
      <c r="E3438" s="35" t="str">
        <f t="shared" si="813"/>
        <v>PND'!</v>
      </c>
      <c r="F3438" s="34" t="str">
        <f t="shared" si="814"/>
        <v>C:\Users\jaime.benazar\Quorum Business Solutions\Ecopetrol Prometeo - Documents\Planning Space Implementation\3. Analysis &amp; Design\Design\FC22\DRR Jaime\Neiva CPI\[DINA TERCIARIOS_CF_SEC_New_27-Mar-2024.xlsx]D-PND'!</v>
      </c>
      <c r="G3438" s="32" t="s">
        <v>124</v>
      </c>
      <c r="H3438" s="33">
        <f t="shared" si="816"/>
        <v>28</v>
      </c>
      <c r="I3438" s="33" t="str">
        <f t="shared" si="815"/>
        <v>='C:\Users\jaime.benazar\Quorum Business Solutions\Ecopetrol Prometeo - Documents\Planning Space Implementation\3. Analysis &amp; Design\Design\FC22\DRR Jaime\Neiva CPI\[DINA TERCIARIOS_CF_SEC_New_27-Mar-2024.xlsx]D-PND'!$BE$28</v>
      </c>
      <c r="J3438" s="37" t="s">
        <v>3573</v>
      </c>
    </row>
    <row r="3439" spans="1:10" x14ac:dyDescent="0.3">
      <c r="A3439" s="32" t="s">
        <v>16</v>
      </c>
      <c r="B3439" s="32">
        <f t="shared" si="818"/>
        <v>2040</v>
      </c>
      <c r="C3439" s="33" t="s">
        <v>28</v>
      </c>
      <c r="D3439" s="34" t="s">
        <v>2002</v>
      </c>
      <c r="E3439" s="35" t="str">
        <f t="shared" si="813"/>
        <v>PND'!</v>
      </c>
      <c r="F3439" s="34" t="str">
        <f t="shared" si="814"/>
        <v>C:\Users\jaime.benazar\Quorum Business Solutions\Ecopetrol Prometeo - Documents\Planning Space Implementation\3. Analysis &amp; Design\Design\FC22\DRR Jaime\Neiva CPI\[DINA TERCIARIOS_CF_SEC_New_27-Mar-2024.xlsx]D-PND'!</v>
      </c>
      <c r="G3439" s="32" t="s">
        <v>124</v>
      </c>
      <c r="H3439" s="33">
        <f t="shared" si="816"/>
        <v>29</v>
      </c>
      <c r="I3439" s="33" t="str">
        <f t="shared" si="815"/>
        <v>='C:\Users\jaime.benazar\Quorum Business Solutions\Ecopetrol Prometeo - Documents\Planning Space Implementation\3. Analysis &amp; Design\Design\FC22\DRR Jaime\Neiva CPI\[DINA TERCIARIOS_CF_SEC_New_27-Mar-2024.xlsx]D-PND'!$BE$29</v>
      </c>
      <c r="J3439" s="37" t="s">
        <v>3574</v>
      </c>
    </row>
    <row r="3440" spans="1:10" x14ac:dyDescent="0.3">
      <c r="A3440" s="32" t="s">
        <v>16</v>
      </c>
      <c r="B3440" s="32">
        <f>+B3439+1</f>
        <v>2041</v>
      </c>
      <c r="C3440" s="33" t="s">
        <v>28</v>
      </c>
      <c r="D3440" s="34" t="s">
        <v>2002</v>
      </c>
      <c r="E3440" s="35" t="str">
        <f t="shared" si="813"/>
        <v>PND'!</v>
      </c>
      <c r="F3440" s="34" t="str">
        <f t="shared" si="814"/>
        <v>C:\Users\jaime.benazar\Quorum Business Solutions\Ecopetrol Prometeo - Documents\Planning Space Implementation\3. Analysis &amp; Design\Design\FC22\DRR Jaime\Neiva CPI\[DINA TERCIARIOS_CF_SEC_New_27-Mar-2024.xlsx]D-PND'!</v>
      </c>
      <c r="G3440" s="32" t="s">
        <v>124</v>
      </c>
      <c r="H3440" s="33">
        <f t="shared" si="816"/>
        <v>30</v>
      </c>
      <c r="I3440" s="33" t="str">
        <f t="shared" si="815"/>
        <v>='C:\Users\jaime.benazar\Quorum Business Solutions\Ecopetrol Prometeo - Documents\Planning Space Implementation\3. Analysis &amp; Design\Design\FC22\DRR Jaime\Neiva CPI\[DINA TERCIARIOS_CF_SEC_New_27-Mar-2024.xlsx]D-PND'!$BE$30</v>
      </c>
      <c r="J3440" s="37" t="s">
        <v>3575</v>
      </c>
    </row>
    <row r="3441" spans="1:10" x14ac:dyDescent="0.3">
      <c r="A3441" s="32" t="s">
        <v>16</v>
      </c>
      <c r="B3441" s="32">
        <f t="shared" ref="B3441:B3442" si="819">+B3440+1</f>
        <v>2042</v>
      </c>
      <c r="C3441" s="33" t="s">
        <v>28</v>
      </c>
      <c r="D3441" s="34" t="s">
        <v>2002</v>
      </c>
      <c r="E3441" s="35" t="str">
        <f t="shared" si="813"/>
        <v>PND'!</v>
      </c>
      <c r="F3441" s="34" t="str">
        <f t="shared" si="814"/>
        <v>C:\Users\jaime.benazar\Quorum Business Solutions\Ecopetrol Prometeo - Documents\Planning Space Implementation\3. Analysis &amp; Design\Design\FC22\DRR Jaime\Neiva CPI\[DINA TERCIARIOS_CF_SEC_New_27-Mar-2024.xlsx]D-PND'!</v>
      </c>
      <c r="G3441" s="32" t="s">
        <v>124</v>
      </c>
      <c r="H3441" s="33">
        <f t="shared" si="816"/>
        <v>31</v>
      </c>
      <c r="I3441" s="33" t="str">
        <f t="shared" si="815"/>
        <v>='C:\Users\jaime.benazar\Quorum Business Solutions\Ecopetrol Prometeo - Documents\Planning Space Implementation\3. Analysis &amp; Design\Design\FC22\DRR Jaime\Neiva CPI\[DINA TERCIARIOS_CF_SEC_New_27-Mar-2024.xlsx]D-PND'!$BE$31</v>
      </c>
      <c r="J3441" s="37" t="s">
        <v>3576</v>
      </c>
    </row>
    <row r="3442" spans="1:10" x14ac:dyDescent="0.3">
      <c r="A3442" s="32" t="s">
        <v>16</v>
      </c>
      <c r="B3442" s="32">
        <f t="shared" si="819"/>
        <v>2043</v>
      </c>
      <c r="C3442" s="33" t="s">
        <v>28</v>
      </c>
      <c r="D3442" s="34" t="s">
        <v>2002</v>
      </c>
      <c r="E3442" s="35" t="str">
        <f t="shared" si="813"/>
        <v>PND'!</v>
      </c>
      <c r="F3442" s="34" t="str">
        <f t="shared" si="814"/>
        <v>C:\Users\jaime.benazar\Quorum Business Solutions\Ecopetrol Prometeo - Documents\Planning Space Implementation\3. Analysis &amp; Design\Design\FC22\DRR Jaime\Neiva CPI\[DINA TERCIARIOS_CF_SEC_New_27-Mar-2024.xlsx]D-PND'!</v>
      </c>
      <c r="G3442" s="32" t="s">
        <v>124</v>
      </c>
      <c r="H3442" s="33">
        <f t="shared" si="816"/>
        <v>32</v>
      </c>
      <c r="I3442" s="33" t="str">
        <f t="shared" si="815"/>
        <v>='C:\Users\jaime.benazar\Quorum Business Solutions\Ecopetrol Prometeo - Documents\Planning Space Implementation\3. Analysis &amp; Design\Design\FC22\DRR Jaime\Neiva CPI\[DINA TERCIARIOS_CF_SEC_New_27-Mar-2024.xlsx]D-PND'!$BE$32</v>
      </c>
      <c r="J3442" s="37" t="s">
        <v>3577</v>
      </c>
    </row>
    <row r="3443" spans="1:10" x14ac:dyDescent="0.3">
      <c r="A3443" s="32" t="s">
        <v>16</v>
      </c>
      <c r="B3443" s="32">
        <f>+B3442+1</f>
        <v>2044</v>
      </c>
      <c r="C3443" s="33" t="s">
        <v>28</v>
      </c>
      <c r="D3443" s="34" t="s">
        <v>2002</v>
      </c>
      <c r="E3443" s="35" t="str">
        <f t="shared" ref="E3443:E3458" si="820">_xlfn.CONCAT(A3443,"'!")</f>
        <v>PND'!</v>
      </c>
      <c r="F3443" s="34" t="str">
        <f t="shared" ref="F3443:F3458" si="821">_xlfn.CONCAT(D3443:E3443)</f>
        <v>C:\Users\jaime.benazar\Quorum Business Solutions\Ecopetrol Prometeo - Documents\Planning Space Implementation\3. Analysis &amp; Design\Design\FC22\DRR Jaime\Neiva CPI\[DINA TERCIARIOS_CF_SEC_New_27-Mar-2024.xlsx]D-PND'!</v>
      </c>
      <c r="G3443" s="32" t="s">
        <v>124</v>
      </c>
      <c r="H3443" s="33">
        <f t="shared" ref="H3443:H3458" si="822">IF(A3443&lt;&gt;A3442,36,H3442+1)</f>
        <v>33</v>
      </c>
      <c r="I3443" s="33" t="str">
        <f t="shared" ref="I3443:I3458" si="823">_xlfn.CONCAT("='",F3443:H3443)</f>
        <v>='C:\Users\jaime.benazar\Quorum Business Solutions\Ecopetrol Prometeo - Documents\Planning Space Implementation\3. Analysis &amp; Design\Design\FC22\DRR Jaime\Neiva CPI\[DINA TERCIARIOS_CF_SEC_New_27-Mar-2024.xlsx]D-PND'!$BE$33</v>
      </c>
      <c r="J3443" s="37" t="s">
        <v>3578</v>
      </c>
    </row>
    <row r="3444" spans="1:10" x14ac:dyDescent="0.3">
      <c r="A3444" s="32" t="s">
        <v>16</v>
      </c>
      <c r="B3444" s="32">
        <f t="shared" ref="B3444:B3458" si="824">+B3443+1</f>
        <v>2045</v>
      </c>
      <c r="C3444" s="33" t="s">
        <v>28</v>
      </c>
      <c r="D3444" s="34" t="s">
        <v>2002</v>
      </c>
      <c r="E3444" s="35" t="str">
        <f t="shared" si="820"/>
        <v>PND'!</v>
      </c>
      <c r="F3444" s="34" t="str">
        <f t="shared" si="821"/>
        <v>C:\Users\jaime.benazar\Quorum Business Solutions\Ecopetrol Prometeo - Documents\Planning Space Implementation\3. Analysis &amp; Design\Design\FC22\DRR Jaime\Neiva CPI\[DINA TERCIARIOS_CF_SEC_New_27-Mar-2024.xlsx]D-PND'!</v>
      </c>
      <c r="G3444" s="32" t="s">
        <v>124</v>
      </c>
      <c r="H3444" s="33">
        <f t="shared" si="822"/>
        <v>34</v>
      </c>
      <c r="I3444" s="33" t="str">
        <f t="shared" si="823"/>
        <v>='C:\Users\jaime.benazar\Quorum Business Solutions\Ecopetrol Prometeo - Documents\Planning Space Implementation\3. Analysis &amp; Design\Design\FC22\DRR Jaime\Neiva CPI\[DINA TERCIARIOS_CF_SEC_New_27-Mar-2024.xlsx]D-PND'!$BE$34</v>
      </c>
      <c r="J3444" s="37" t="s">
        <v>3579</v>
      </c>
    </row>
    <row r="3445" spans="1:10" x14ac:dyDescent="0.3">
      <c r="A3445" s="32" t="s">
        <v>16</v>
      </c>
      <c r="B3445" s="32">
        <f t="shared" si="824"/>
        <v>2046</v>
      </c>
      <c r="C3445" s="33" t="s">
        <v>28</v>
      </c>
      <c r="D3445" s="34" t="s">
        <v>2002</v>
      </c>
      <c r="E3445" s="35" t="str">
        <f t="shared" si="820"/>
        <v>PND'!</v>
      </c>
      <c r="F3445" s="34" t="str">
        <f t="shared" si="821"/>
        <v>C:\Users\jaime.benazar\Quorum Business Solutions\Ecopetrol Prometeo - Documents\Planning Space Implementation\3. Analysis &amp; Design\Design\FC22\DRR Jaime\Neiva CPI\[DINA TERCIARIOS_CF_SEC_New_27-Mar-2024.xlsx]D-PND'!</v>
      </c>
      <c r="G3445" s="32" t="s">
        <v>124</v>
      </c>
      <c r="H3445" s="33">
        <f t="shared" si="822"/>
        <v>35</v>
      </c>
      <c r="I3445" s="33" t="str">
        <f t="shared" si="823"/>
        <v>='C:\Users\jaime.benazar\Quorum Business Solutions\Ecopetrol Prometeo - Documents\Planning Space Implementation\3. Analysis &amp; Design\Design\FC22\DRR Jaime\Neiva CPI\[DINA TERCIARIOS_CF_SEC_New_27-Mar-2024.xlsx]D-PND'!$BE$35</v>
      </c>
      <c r="J3445" s="37" t="s">
        <v>3580</v>
      </c>
    </row>
    <row r="3446" spans="1:10" x14ac:dyDescent="0.3">
      <c r="A3446" s="32" t="s">
        <v>16</v>
      </c>
      <c r="B3446" s="32">
        <f t="shared" si="824"/>
        <v>2047</v>
      </c>
      <c r="C3446" s="33" t="s">
        <v>28</v>
      </c>
      <c r="D3446" s="34" t="s">
        <v>2002</v>
      </c>
      <c r="E3446" s="35" t="str">
        <f t="shared" si="820"/>
        <v>PND'!</v>
      </c>
      <c r="F3446" s="34" t="str">
        <f t="shared" si="821"/>
        <v>C:\Users\jaime.benazar\Quorum Business Solutions\Ecopetrol Prometeo - Documents\Planning Space Implementation\3. Analysis &amp; Design\Design\FC22\DRR Jaime\Neiva CPI\[DINA TERCIARIOS_CF_SEC_New_27-Mar-2024.xlsx]D-PND'!</v>
      </c>
      <c r="G3446" s="32" t="s">
        <v>124</v>
      </c>
      <c r="H3446" s="33">
        <f t="shared" si="822"/>
        <v>36</v>
      </c>
      <c r="I3446" s="33" t="str">
        <f t="shared" si="823"/>
        <v>='C:\Users\jaime.benazar\Quorum Business Solutions\Ecopetrol Prometeo - Documents\Planning Space Implementation\3. Analysis &amp; Design\Design\FC22\DRR Jaime\Neiva CPI\[DINA TERCIARIOS_CF_SEC_New_27-Mar-2024.xlsx]D-PND'!$BE$36</v>
      </c>
      <c r="J3446" s="37" t="s">
        <v>3581</v>
      </c>
    </row>
    <row r="3447" spans="1:10" x14ac:dyDescent="0.3">
      <c r="A3447" s="32" t="s">
        <v>16</v>
      </c>
      <c r="B3447" s="32">
        <f t="shared" si="824"/>
        <v>2048</v>
      </c>
      <c r="C3447" s="33" t="s">
        <v>28</v>
      </c>
      <c r="D3447" s="34" t="s">
        <v>2002</v>
      </c>
      <c r="E3447" s="35" t="str">
        <f t="shared" si="820"/>
        <v>PND'!</v>
      </c>
      <c r="F3447" s="34" t="str">
        <f t="shared" si="821"/>
        <v>C:\Users\jaime.benazar\Quorum Business Solutions\Ecopetrol Prometeo - Documents\Planning Space Implementation\3. Analysis &amp; Design\Design\FC22\DRR Jaime\Neiva CPI\[DINA TERCIARIOS_CF_SEC_New_27-Mar-2024.xlsx]D-PND'!</v>
      </c>
      <c r="G3447" s="32" t="s">
        <v>124</v>
      </c>
      <c r="H3447" s="33">
        <f t="shared" si="822"/>
        <v>37</v>
      </c>
      <c r="I3447" s="33" t="str">
        <f t="shared" si="823"/>
        <v>='C:\Users\jaime.benazar\Quorum Business Solutions\Ecopetrol Prometeo - Documents\Planning Space Implementation\3. Analysis &amp; Design\Design\FC22\DRR Jaime\Neiva CPI\[DINA TERCIARIOS_CF_SEC_New_27-Mar-2024.xlsx]D-PND'!$BE$37</v>
      </c>
      <c r="J3447" s="37" t="s">
        <v>3582</v>
      </c>
    </row>
    <row r="3448" spans="1:10" x14ac:dyDescent="0.3">
      <c r="A3448" s="32" t="s">
        <v>16</v>
      </c>
      <c r="B3448" s="32">
        <f t="shared" si="824"/>
        <v>2049</v>
      </c>
      <c r="C3448" s="33" t="s">
        <v>28</v>
      </c>
      <c r="D3448" s="34" t="s">
        <v>2002</v>
      </c>
      <c r="E3448" s="35" t="str">
        <f t="shared" si="820"/>
        <v>PND'!</v>
      </c>
      <c r="F3448" s="34" t="str">
        <f t="shared" si="821"/>
        <v>C:\Users\jaime.benazar\Quorum Business Solutions\Ecopetrol Prometeo - Documents\Planning Space Implementation\3. Analysis &amp; Design\Design\FC22\DRR Jaime\Neiva CPI\[DINA TERCIARIOS_CF_SEC_New_27-Mar-2024.xlsx]D-PND'!</v>
      </c>
      <c r="G3448" s="32" t="s">
        <v>124</v>
      </c>
      <c r="H3448" s="33">
        <f t="shared" si="822"/>
        <v>38</v>
      </c>
      <c r="I3448" s="33" t="str">
        <f t="shared" si="823"/>
        <v>='C:\Users\jaime.benazar\Quorum Business Solutions\Ecopetrol Prometeo - Documents\Planning Space Implementation\3. Analysis &amp; Design\Design\FC22\DRR Jaime\Neiva CPI\[DINA TERCIARIOS_CF_SEC_New_27-Mar-2024.xlsx]D-PND'!$BE$38</v>
      </c>
      <c r="J3448" s="37" t="s">
        <v>3583</v>
      </c>
    </row>
    <row r="3449" spans="1:10" x14ac:dyDescent="0.3">
      <c r="A3449" s="32" t="s">
        <v>16</v>
      </c>
      <c r="B3449" s="32">
        <f t="shared" si="824"/>
        <v>2050</v>
      </c>
      <c r="C3449" s="33" t="s">
        <v>28</v>
      </c>
      <c r="D3449" s="34" t="s">
        <v>2002</v>
      </c>
      <c r="E3449" s="35" t="str">
        <f t="shared" si="820"/>
        <v>PND'!</v>
      </c>
      <c r="F3449" s="34" t="str">
        <f t="shared" si="821"/>
        <v>C:\Users\jaime.benazar\Quorum Business Solutions\Ecopetrol Prometeo - Documents\Planning Space Implementation\3. Analysis &amp; Design\Design\FC22\DRR Jaime\Neiva CPI\[DINA TERCIARIOS_CF_SEC_New_27-Mar-2024.xlsx]D-PND'!</v>
      </c>
      <c r="G3449" s="32" t="s">
        <v>124</v>
      </c>
      <c r="H3449" s="33">
        <f t="shared" si="822"/>
        <v>39</v>
      </c>
      <c r="I3449" s="33" t="str">
        <f t="shared" si="823"/>
        <v>='C:\Users\jaime.benazar\Quorum Business Solutions\Ecopetrol Prometeo - Documents\Planning Space Implementation\3. Analysis &amp; Design\Design\FC22\DRR Jaime\Neiva CPI\[DINA TERCIARIOS_CF_SEC_New_27-Mar-2024.xlsx]D-PND'!$BE$39</v>
      </c>
      <c r="J3449" s="37" t="s">
        <v>3584</v>
      </c>
    </row>
    <row r="3450" spans="1:10" x14ac:dyDescent="0.3">
      <c r="A3450" s="32" t="s">
        <v>16</v>
      </c>
      <c r="B3450" s="32">
        <f t="shared" si="824"/>
        <v>2051</v>
      </c>
      <c r="C3450" s="33" t="s">
        <v>28</v>
      </c>
      <c r="D3450" s="34" t="s">
        <v>2002</v>
      </c>
      <c r="E3450" s="35" t="str">
        <f t="shared" si="820"/>
        <v>PND'!</v>
      </c>
      <c r="F3450" s="34" t="str">
        <f t="shared" si="821"/>
        <v>C:\Users\jaime.benazar\Quorum Business Solutions\Ecopetrol Prometeo - Documents\Planning Space Implementation\3. Analysis &amp; Design\Design\FC22\DRR Jaime\Neiva CPI\[DINA TERCIARIOS_CF_SEC_New_27-Mar-2024.xlsx]D-PND'!</v>
      </c>
      <c r="G3450" s="32" t="s">
        <v>124</v>
      </c>
      <c r="H3450" s="33">
        <f t="shared" si="822"/>
        <v>40</v>
      </c>
      <c r="I3450" s="33" t="str">
        <f t="shared" si="823"/>
        <v>='C:\Users\jaime.benazar\Quorum Business Solutions\Ecopetrol Prometeo - Documents\Planning Space Implementation\3. Analysis &amp; Design\Design\FC22\DRR Jaime\Neiva CPI\[DINA TERCIARIOS_CF_SEC_New_27-Mar-2024.xlsx]D-PND'!$BE$40</v>
      </c>
      <c r="J3450" s="37" t="s">
        <v>3585</v>
      </c>
    </row>
    <row r="3451" spans="1:10" x14ac:dyDescent="0.3">
      <c r="A3451" s="32" t="s">
        <v>16</v>
      </c>
      <c r="B3451" s="32">
        <f t="shared" si="824"/>
        <v>2052</v>
      </c>
      <c r="C3451" s="33" t="s">
        <v>28</v>
      </c>
      <c r="D3451" s="34" t="s">
        <v>2002</v>
      </c>
      <c r="E3451" s="35" t="str">
        <f t="shared" si="820"/>
        <v>PND'!</v>
      </c>
      <c r="F3451" s="34" t="str">
        <f t="shared" si="821"/>
        <v>C:\Users\jaime.benazar\Quorum Business Solutions\Ecopetrol Prometeo - Documents\Planning Space Implementation\3. Analysis &amp; Design\Design\FC22\DRR Jaime\Neiva CPI\[DINA TERCIARIOS_CF_SEC_New_27-Mar-2024.xlsx]D-PND'!</v>
      </c>
      <c r="G3451" s="32" t="s">
        <v>124</v>
      </c>
      <c r="H3451" s="33">
        <f t="shared" si="822"/>
        <v>41</v>
      </c>
      <c r="I3451" s="33" t="str">
        <f t="shared" si="823"/>
        <v>='C:\Users\jaime.benazar\Quorum Business Solutions\Ecopetrol Prometeo - Documents\Planning Space Implementation\3. Analysis &amp; Design\Design\FC22\DRR Jaime\Neiva CPI\[DINA TERCIARIOS_CF_SEC_New_27-Mar-2024.xlsx]D-PND'!$BE$41</v>
      </c>
      <c r="J3451" s="37" t="s">
        <v>3586</v>
      </c>
    </row>
    <row r="3452" spans="1:10" x14ac:dyDescent="0.3">
      <c r="A3452" s="32" t="s">
        <v>16</v>
      </c>
      <c r="B3452" s="32">
        <f t="shared" si="824"/>
        <v>2053</v>
      </c>
      <c r="C3452" s="33" t="s">
        <v>28</v>
      </c>
      <c r="D3452" s="34" t="s">
        <v>2002</v>
      </c>
      <c r="E3452" s="35" t="str">
        <f t="shared" si="820"/>
        <v>PND'!</v>
      </c>
      <c r="F3452" s="34" t="str">
        <f t="shared" si="821"/>
        <v>C:\Users\jaime.benazar\Quorum Business Solutions\Ecopetrol Prometeo - Documents\Planning Space Implementation\3. Analysis &amp; Design\Design\FC22\DRR Jaime\Neiva CPI\[DINA TERCIARIOS_CF_SEC_New_27-Mar-2024.xlsx]D-PND'!</v>
      </c>
      <c r="G3452" s="32" t="s">
        <v>124</v>
      </c>
      <c r="H3452" s="33">
        <f t="shared" si="822"/>
        <v>42</v>
      </c>
      <c r="I3452" s="33" t="str">
        <f t="shared" si="823"/>
        <v>='C:\Users\jaime.benazar\Quorum Business Solutions\Ecopetrol Prometeo - Documents\Planning Space Implementation\3. Analysis &amp; Design\Design\FC22\DRR Jaime\Neiva CPI\[DINA TERCIARIOS_CF_SEC_New_27-Mar-2024.xlsx]D-PND'!$BE$42</v>
      </c>
      <c r="J3452" s="37" t="s">
        <v>3587</v>
      </c>
    </row>
    <row r="3453" spans="1:10" x14ac:dyDescent="0.3">
      <c r="A3453" s="32" t="s">
        <v>16</v>
      </c>
      <c r="B3453" s="32">
        <f t="shared" si="824"/>
        <v>2054</v>
      </c>
      <c r="C3453" s="33" t="s">
        <v>28</v>
      </c>
      <c r="D3453" s="34" t="s">
        <v>2002</v>
      </c>
      <c r="E3453" s="35" t="str">
        <f t="shared" si="820"/>
        <v>PND'!</v>
      </c>
      <c r="F3453" s="34" t="str">
        <f t="shared" si="821"/>
        <v>C:\Users\jaime.benazar\Quorum Business Solutions\Ecopetrol Prometeo - Documents\Planning Space Implementation\3. Analysis &amp; Design\Design\FC22\DRR Jaime\Neiva CPI\[DINA TERCIARIOS_CF_SEC_New_27-Mar-2024.xlsx]D-PND'!</v>
      </c>
      <c r="G3453" s="32" t="s">
        <v>124</v>
      </c>
      <c r="H3453" s="33">
        <f t="shared" si="822"/>
        <v>43</v>
      </c>
      <c r="I3453" s="33" t="str">
        <f t="shared" si="823"/>
        <v>='C:\Users\jaime.benazar\Quorum Business Solutions\Ecopetrol Prometeo - Documents\Planning Space Implementation\3. Analysis &amp; Design\Design\FC22\DRR Jaime\Neiva CPI\[DINA TERCIARIOS_CF_SEC_New_27-Mar-2024.xlsx]D-PND'!$BE$43</v>
      </c>
      <c r="J3453" s="37" t="s">
        <v>3588</v>
      </c>
    </row>
    <row r="3454" spans="1:10" x14ac:dyDescent="0.3">
      <c r="A3454" s="32" t="s">
        <v>16</v>
      </c>
      <c r="B3454" s="32">
        <f t="shared" si="824"/>
        <v>2055</v>
      </c>
      <c r="C3454" s="33" t="s">
        <v>28</v>
      </c>
      <c r="D3454" s="34" t="s">
        <v>2002</v>
      </c>
      <c r="E3454" s="35" t="str">
        <f t="shared" si="820"/>
        <v>PND'!</v>
      </c>
      <c r="F3454" s="34" t="str">
        <f t="shared" si="821"/>
        <v>C:\Users\jaime.benazar\Quorum Business Solutions\Ecopetrol Prometeo - Documents\Planning Space Implementation\3. Analysis &amp; Design\Design\FC22\DRR Jaime\Neiva CPI\[DINA TERCIARIOS_CF_SEC_New_27-Mar-2024.xlsx]D-PND'!</v>
      </c>
      <c r="G3454" s="32" t="s">
        <v>124</v>
      </c>
      <c r="H3454" s="33">
        <f t="shared" si="822"/>
        <v>44</v>
      </c>
      <c r="I3454" s="33" t="str">
        <f t="shared" si="823"/>
        <v>='C:\Users\jaime.benazar\Quorum Business Solutions\Ecopetrol Prometeo - Documents\Planning Space Implementation\3. Analysis &amp; Design\Design\FC22\DRR Jaime\Neiva CPI\[DINA TERCIARIOS_CF_SEC_New_27-Mar-2024.xlsx]D-PND'!$BE$44</v>
      </c>
      <c r="J3454" s="37" t="s">
        <v>3589</v>
      </c>
    </row>
    <row r="3455" spans="1:10" x14ac:dyDescent="0.3">
      <c r="A3455" s="32" t="s">
        <v>16</v>
      </c>
      <c r="B3455" s="32">
        <f t="shared" si="824"/>
        <v>2056</v>
      </c>
      <c r="C3455" s="33" t="s">
        <v>28</v>
      </c>
      <c r="D3455" s="34" t="s">
        <v>2002</v>
      </c>
      <c r="E3455" s="35" t="str">
        <f t="shared" si="820"/>
        <v>PND'!</v>
      </c>
      <c r="F3455" s="34" t="str">
        <f t="shared" si="821"/>
        <v>C:\Users\jaime.benazar\Quorum Business Solutions\Ecopetrol Prometeo - Documents\Planning Space Implementation\3. Analysis &amp; Design\Design\FC22\DRR Jaime\Neiva CPI\[DINA TERCIARIOS_CF_SEC_New_27-Mar-2024.xlsx]D-PND'!</v>
      </c>
      <c r="G3455" s="32" t="s">
        <v>124</v>
      </c>
      <c r="H3455" s="33">
        <f t="shared" si="822"/>
        <v>45</v>
      </c>
      <c r="I3455" s="33" t="str">
        <f t="shared" si="823"/>
        <v>='C:\Users\jaime.benazar\Quorum Business Solutions\Ecopetrol Prometeo - Documents\Planning Space Implementation\3. Analysis &amp; Design\Design\FC22\DRR Jaime\Neiva CPI\[DINA TERCIARIOS_CF_SEC_New_27-Mar-2024.xlsx]D-PND'!$BE$45</v>
      </c>
      <c r="J3455" s="37" t="s">
        <v>3590</v>
      </c>
    </row>
    <row r="3456" spans="1:10" x14ac:dyDescent="0.3">
      <c r="A3456" s="32" t="s">
        <v>16</v>
      </c>
      <c r="B3456" s="32">
        <f t="shared" si="824"/>
        <v>2057</v>
      </c>
      <c r="C3456" s="33" t="s">
        <v>28</v>
      </c>
      <c r="D3456" s="34" t="s">
        <v>2002</v>
      </c>
      <c r="E3456" s="35" t="str">
        <f t="shared" si="820"/>
        <v>PND'!</v>
      </c>
      <c r="F3456" s="34" t="str">
        <f t="shared" si="821"/>
        <v>C:\Users\jaime.benazar\Quorum Business Solutions\Ecopetrol Prometeo - Documents\Planning Space Implementation\3. Analysis &amp; Design\Design\FC22\DRR Jaime\Neiva CPI\[DINA TERCIARIOS_CF_SEC_New_27-Mar-2024.xlsx]D-PND'!</v>
      </c>
      <c r="G3456" s="32" t="s">
        <v>124</v>
      </c>
      <c r="H3456" s="33">
        <f t="shared" si="822"/>
        <v>46</v>
      </c>
      <c r="I3456" s="33" t="str">
        <f t="shared" si="823"/>
        <v>='C:\Users\jaime.benazar\Quorum Business Solutions\Ecopetrol Prometeo - Documents\Planning Space Implementation\3. Analysis &amp; Design\Design\FC22\DRR Jaime\Neiva CPI\[DINA TERCIARIOS_CF_SEC_New_27-Mar-2024.xlsx]D-PND'!$BE$46</v>
      </c>
      <c r="J3456" s="37" t="s">
        <v>3591</v>
      </c>
    </row>
    <row r="3457" spans="1:10" x14ac:dyDescent="0.3">
      <c r="A3457" s="32" t="s">
        <v>16</v>
      </c>
      <c r="B3457" s="32">
        <f t="shared" si="824"/>
        <v>2058</v>
      </c>
      <c r="C3457" s="33" t="s">
        <v>28</v>
      </c>
      <c r="D3457" s="34" t="s">
        <v>2002</v>
      </c>
      <c r="E3457" s="35" t="str">
        <f t="shared" si="820"/>
        <v>PND'!</v>
      </c>
      <c r="F3457" s="34" t="str">
        <f t="shared" si="821"/>
        <v>C:\Users\jaime.benazar\Quorum Business Solutions\Ecopetrol Prometeo - Documents\Planning Space Implementation\3. Analysis &amp; Design\Design\FC22\DRR Jaime\Neiva CPI\[DINA TERCIARIOS_CF_SEC_New_27-Mar-2024.xlsx]D-PND'!</v>
      </c>
      <c r="G3457" s="32" t="s">
        <v>124</v>
      </c>
      <c r="H3457" s="33">
        <f t="shared" si="822"/>
        <v>47</v>
      </c>
      <c r="I3457" s="33" t="str">
        <f t="shared" si="823"/>
        <v>='C:\Users\jaime.benazar\Quorum Business Solutions\Ecopetrol Prometeo - Documents\Planning Space Implementation\3. Analysis &amp; Design\Design\FC22\DRR Jaime\Neiva CPI\[DINA TERCIARIOS_CF_SEC_New_27-Mar-2024.xlsx]D-PND'!$BE$47</v>
      </c>
      <c r="J3457" s="37" t="s">
        <v>3592</v>
      </c>
    </row>
    <row r="3458" spans="1:10" x14ac:dyDescent="0.3">
      <c r="A3458" s="32" t="s">
        <v>16</v>
      </c>
      <c r="B3458" s="32">
        <f t="shared" si="824"/>
        <v>2059</v>
      </c>
      <c r="C3458" s="33" t="s">
        <v>28</v>
      </c>
      <c r="D3458" s="34" t="s">
        <v>2002</v>
      </c>
      <c r="E3458" s="35" t="str">
        <f t="shared" si="820"/>
        <v>PND'!</v>
      </c>
      <c r="F3458" s="34" t="str">
        <f t="shared" si="821"/>
        <v>C:\Users\jaime.benazar\Quorum Business Solutions\Ecopetrol Prometeo - Documents\Planning Space Implementation\3. Analysis &amp; Design\Design\FC22\DRR Jaime\Neiva CPI\[DINA TERCIARIOS_CF_SEC_New_27-Mar-2024.xlsx]D-PND'!</v>
      </c>
      <c r="G3458" s="32" t="s">
        <v>124</v>
      </c>
      <c r="H3458" s="33">
        <f t="shared" si="822"/>
        <v>48</v>
      </c>
      <c r="I3458" s="33" t="str">
        <f t="shared" si="823"/>
        <v>='C:\Users\jaime.benazar\Quorum Business Solutions\Ecopetrol Prometeo - Documents\Planning Space Implementation\3. Analysis &amp; Design\Design\FC22\DRR Jaime\Neiva CPI\[DINA TERCIARIOS_CF_SEC_New_27-Mar-2024.xlsx]D-PND'!$BE$48</v>
      </c>
      <c r="J3458" s="37" t="s">
        <v>3593</v>
      </c>
    </row>
    <row r="3459" spans="1:10" x14ac:dyDescent="0.3">
      <c r="A3459" s="32" t="s">
        <v>26</v>
      </c>
      <c r="B3459" s="32"/>
      <c r="C3459" s="33" t="s">
        <v>28</v>
      </c>
      <c r="D3459" s="34"/>
      <c r="E3459" s="35"/>
      <c r="F3459" s="34"/>
      <c r="G3459" s="32"/>
      <c r="H3459" s="33"/>
      <c r="I3459" s="33"/>
      <c r="J3459" s="33"/>
    </row>
    <row r="3460" spans="1:10" x14ac:dyDescent="0.3">
      <c r="A3460" s="32" t="s">
        <v>17</v>
      </c>
      <c r="B3460" s="32">
        <v>2023</v>
      </c>
      <c r="C3460" s="33" t="s">
        <v>28</v>
      </c>
      <c r="D3460" s="34" t="s">
        <v>2002</v>
      </c>
      <c r="E3460" s="35" t="str">
        <f t="shared" ref="E3460:E3480" si="825">_xlfn.CONCAT(A3460,"'!")</f>
        <v>PRBDP'!</v>
      </c>
      <c r="F3460" s="34" t="str">
        <f t="shared" ref="F3460:F3480" si="826">_xlfn.CONCAT(D3460:E3460)</f>
        <v>C:\Users\jaime.benazar\Quorum Business Solutions\Ecopetrol Prometeo - Documents\Planning Space Implementation\3. Analysis &amp; Design\Design\FC22\DRR Jaime\Neiva CPI\[DINA TERCIARIOS_CF_SEC_New_27-Mar-2024.xlsx]D-PRBDP'!</v>
      </c>
      <c r="G3460" s="32" t="s">
        <v>124</v>
      </c>
      <c r="H3460" s="33"/>
      <c r="I3460" s="33"/>
      <c r="J3460" s="37"/>
    </row>
    <row r="3461" spans="1:10" x14ac:dyDescent="0.3">
      <c r="A3461" s="32" t="s">
        <v>17</v>
      </c>
      <c r="B3461" s="32">
        <f>+B3460+1</f>
        <v>2024</v>
      </c>
      <c r="C3461" s="33" t="s">
        <v>28</v>
      </c>
      <c r="D3461" s="34" t="s">
        <v>2002</v>
      </c>
      <c r="E3461" s="35" t="str">
        <f t="shared" si="825"/>
        <v>PRBDP'!</v>
      </c>
      <c r="F3461" s="34" t="str">
        <f t="shared" si="826"/>
        <v>C:\Users\jaime.benazar\Quorum Business Solutions\Ecopetrol Prometeo - Documents\Planning Space Implementation\3. Analysis &amp; Design\Design\FC22\DRR Jaime\Neiva CPI\[DINA TERCIARIOS_CF_SEC_New_27-Mar-2024.xlsx]D-PRBDP'!</v>
      </c>
      <c r="G3461" s="32" t="s">
        <v>124</v>
      </c>
      <c r="H3461" s="33"/>
      <c r="I3461" s="33"/>
      <c r="J3461" s="37"/>
    </row>
    <row r="3462" spans="1:10" x14ac:dyDescent="0.3">
      <c r="A3462" s="32" t="s">
        <v>17</v>
      </c>
      <c r="B3462" s="32">
        <f t="shared" ref="B3462:B3473" si="827">+B3461+1</f>
        <v>2025</v>
      </c>
      <c r="C3462" s="33" t="s">
        <v>28</v>
      </c>
      <c r="D3462" s="34" t="s">
        <v>2002</v>
      </c>
      <c r="E3462" s="35" t="str">
        <f t="shared" si="825"/>
        <v>PRBDP'!</v>
      </c>
      <c r="F3462" s="34" t="str">
        <f t="shared" si="826"/>
        <v>C:\Users\jaime.benazar\Quorum Business Solutions\Ecopetrol Prometeo - Documents\Planning Space Implementation\3. Analysis &amp; Design\Design\FC22\DRR Jaime\Neiva CPI\[DINA TERCIARIOS_CF_SEC_New_27-Mar-2024.xlsx]D-PRBDP'!</v>
      </c>
      <c r="G3462" s="32" t="s">
        <v>124</v>
      </c>
      <c r="H3462" s="33"/>
      <c r="I3462" s="33"/>
      <c r="J3462" s="37"/>
    </row>
    <row r="3463" spans="1:10" x14ac:dyDescent="0.3">
      <c r="A3463" s="32" t="s">
        <v>17</v>
      </c>
      <c r="B3463" s="32">
        <f t="shared" si="827"/>
        <v>2026</v>
      </c>
      <c r="C3463" s="33" t="s">
        <v>28</v>
      </c>
      <c r="D3463" s="34" t="s">
        <v>2002</v>
      </c>
      <c r="E3463" s="35" t="str">
        <f t="shared" si="825"/>
        <v>PRBDP'!</v>
      </c>
      <c r="F3463" s="34" t="str">
        <f t="shared" si="826"/>
        <v>C:\Users\jaime.benazar\Quorum Business Solutions\Ecopetrol Prometeo - Documents\Planning Space Implementation\3. Analysis &amp; Design\Design\FC22\DRR Jaime\Neiva CPI\[DINA TERCIARIOS_CF_SEC_New_27-Mar-2024.xlsx]D-PRBDP'!</v>
      </c>
      <c r="G3463" s="32" t="s">
        <v>124</v>
      </c>
      <c r="H3463" s="33"/>
      <c r="I3463" s="33"/>
      <c r="J3463" s="37"/>
    </row>
    <row r="3464" spans="1:10" x14ac:dyDescent="0.3">
      <c r="A3464" s="32" t="s">
        <v>17</v>
      </c>
      <c r="B3464" s="32">
        <f t="shared" si="827"/>
        <v>2027</v>
      </c>
      <c r="C3464" s="33" t="s">
        <v>28</v>
      </c>
      <c r="D3464" s="34" t="s">
        <v>2002</v>
      </c>
      <c r="E3464" s="35" t="str">
        <f t="shared" si="825"/>
        <v>PRBDP'!</v>
      </c>
      <c r="F3464" s="34" t="str">
        <f t="shared" si="826"/>
        <v>C:\Users\jaime.benazar\Quorum Business Solutions\Ecopetrol Prometeo - Documents\Planning Space Implementation\3. Analysis &amp; Design\Design\FC22\DRR Jaime\Neiva CPI\[DINA TERCIARIOS_CF_SEC_New_27-Mar-2024.xlsx]D-PRBDP'!</v>
      </c>
      <c r="G3464" s="32" t="s">
        <v>124</v>
      </c>
      <c r="H3464" s="33"/>
      <c r="I3464" s="33"/>
      <c r="J3464" s="37"/>
    </row>
    <row r="3465" spans="1:10" x14ac:dyDescent="0.3">
      <c r="A3465" s="32" t="s">
        <v>17</v>
      </c>
      <c r="B3465" s="32">
        <f t="shared" si="827"/>
        <v>2028</v>
      </c>
      <c r="C3465" s="33" t="s">
        <v>28</v>
      </c>
      <c r="D3465" s="34" t="s">
        <v>2002</v>
      </c>
      <c r="E3465" s="35" t="str">
        <f t="shared" si="825"/>
        <v>PRBDP'!</v>
      </c>
      <c r="F3465" s="34" t="str">
        <f t="shared" si="826"/>
        <v>C:\Users\jaime.benazar\Quorum Business Solutions\Ecopetrol Prometeo - Documents\Planning Space Implementation\3. Analysis &amp; Design\Design\FC22\DRR Jaime\Neiva CPI\[DINA TERCIARIOS_CF_SEC_New_27-Mar-2024.xlsx]D-PRBDP'!</v>
      </c>
      <c r="G3465" s="32" t="s">
        <v>124</v>
      </c>
      <c r="H3465" s="33"/>
      <c r="I3465" s="33"/>
      <c r="J3465" s="37"/>
    </row>
    <row r="3466" spans="1:10" x14ac:dyDescent="0.3">
      <c r="A3466" s="32" t="s">
        <v>17</v>
      </c>
      <c r="B3466" s="32">
        <f t="shared" si="827"/>
        <v>2029</v>
      </c>
      <c r="C3466" s="33" t="s">
        <v>28</v>
      </c>
      <c r="D3466" s="34" t="s">
        <v>2002</v>
      </c>
      <c r="E3466" s="35" t="str">
        <f t="shared" si="825"/>
        <v>PRBDP'!</v>
      </c>
      <c r="F3466" s="34" t="str">
        <f t="shared" si="826"/>
        <v>C:\Users\jaime.benazar\Quorum Business Solutions\Ecopetrol Prometeo - Documents\Planning Space Implementation\3. Analysis &amp; Design\Design\FC22\DRR Jaime\Neiva CPI\[DINA TERCIARIOS_CF_SEC_New_27-Mar-2024.xlsx]D-PRBDP'!</v>
      </c>
      <c r="G3466" s="32" t="s">
        <v>124</v>
      </c>
      <c r="H3466" s="33"/>
      <c r="I3466" s="33"/>
      <c r="J3466" s="37"/>
    </row>
    <row r="3467" spans="1:10" x14ac:dyDescent="0.3">
      <c r="A3467" s="32" t="s">
        <v>17</v>
      </c>
      <c r="B3467" s="32">
        <f t="shared" si="827"/>
        <v>2030</v>
      </c>
      <c r="C3467" s="33" t="s">
        <v>28</v>
      </c>
      <c r="D3467" s="34" t="s">
        <v>2002</v>
      </c>
      <c r="E3467" s="35" t="str">
        <f t="shared" si="825"/>
        <v>PRBDP'!</v>
      </c>
      <c r="F3467" s="34" t="str">
        <f t="shared" si="826"/>
        <v>C:\Users\jaime.benazar\Quorum Business Solutions\Ecopetrol Prometeo - Documents\Planning Space Implementation\3. Analysis &amp; Design\Design\FC22\DRR Jaime\Neiva CPI\[DINA TERCIARIOS_CF_SEC_New_27-Mar-2024.xlsx]D-PRBDP'!</v>
      </c>
      <c r="G3467" s="32" t="s">
        <v>124</v>
      </c>
      <c r="H3467" s="33"/>
      <c r="I3467" s="33"/>
      <c r="J3467" s="37"/>
    </row>
    <row r="3468" spans="1:10" x14ac:dyDescent="0.3">
      <c r="A3468" s="32" t="s">
        <v>17</v>
      </c>
      <c r="B3468" s="32">
        <f t="shared" si="827"/>
        <v>2031</v>
      </c>
      <c r="C3468" s="33" t="s">
        <v>28</v>
      </c>
      <c r="D3468" s="34" t="s">
        <v>2002</v>
      </c>
      <c r="E3468" s="35" t="str">
        <f t="shared" si="825"/>
        <v>PRBDP'!</v>
      </c>
      <c r="F3468" s="34" t="str">
        <f t="shared" si="826"/>
        <v>C:\Users\jaime.benazar\Quorum Business Solutions\Ecopetrol Prometeo - Documents\Planning Space Implementation\3. Analysis &amp; Design\Design\FC22\DRR Jaime\Neiva CPI\[DINA TERCIARIOS_CF_SEC_New_27-Mar-2024.xlsx]D-PRBDP'!</v>
      </c>
      <c r="G3468" s="32" t="s">
        <v>124</v>
      </c>
      <c r="H3468" s="33"/>
      <c r="I3468" s="33"/>
      <c r="J3468" s="37"/>
    </row>
    <row r="3469" spans="1:10" x14ac:dyDescent="0.3">
      <c r="A3469" s="32" t="s">
        <v>17</v>
      </c>
      <c r="B3469" s="32">
        <f t="shared" si="827"/>
        <v>2032</v>
      </c>
      <c r="C3469" s="33" t="s">
        <v>28</v>
      </c>
      <c r="D3469" s="34" t="s">
        <v>2002</v>
      </c>
      <c r="E3469" s="35" t="str">
        <f t="shared" si="825"/>
        <v>PRBDP'!</v>
      </c>
      <c r="F3469" s="34" t="str">
        <f t="shared" si="826"/>
        <v>C:\Users\jaime.benazar\Quorum Business Solutions\Ecopetrol Prometeo - Documents\Planning Space Implementation\3. Analysis &amp; Design\Design\FC22\DRR Jaime\Neiva CPI\[DINA TERCIARIOS_CF_SEC_New_27-Mar-2024.xlsx]D-PRBDP'!</v>
      </c>
      <c r="G3469" s="32" t="s">
        <v>124</v>
      </c>
      <c r="H3469" s="33"/>
      <c r="I3469" s="33"/>
      <c r="J3469" s="37"/>
    </row>
    <row r="3470" spans="1:10" x14ac:dyDescent="0.3">
      <c r="A3470" s="32" t="s">
        <v>17</v>
      </c>
      <c r="B3470" s="32">
        <f t="shared" si="827"/>
        <v>2033</v>
      </c>
      <c r="C3470" s="33" t="s">
        <v>28</v>
      </c>
      <c r="D3470" s="34" t="s">
        <v>2002</v>
      </c>
      <c r="E3470" s="35" t="str">
        <f t="shared" si="825"/>
        <v>PRBDP'!</v>
      </c>
      <c r="F3470" s="34" t="str">
        <f t="shared" si="826"/>
        <v>C:\Users\jaime.benazar\Quorum Business Solutions\Ecopetrol Prometeo - Documents\Planning Space Implementation\3. Analysis &amp; Design\Design\FC22\DRR Jaime\Neiva CPI\[DINA TERCIARIOS_CF_SEC_New_27-Mar-2024.xlsx]D-PRBDP'!</v>
      </c>
      <c r="G3470" s="32" t="s">
        <v>124</v>
      </c>
      <c r="H3470" s="33"/>
      <c r="I3470" s="33"/>
      <c r="J3470" s="37"/>
    </row>
    <row r="3471" spans="1:10" x14ac:dyDescent="0.3">
      <c r="A3471" s="32" t="s">
        <v>17</v>
      </c>
      <c r="B3471" s="32">
        <f t="shared" si="827"/>
        <v>2034</v>
      </c>
      <c r="C3471" s="33" t="s">
        <v>28</v>
      </c>
      <c r="D3471" s="34" t="s">
        <v>2002</v>
      </c>
      <c r="E3471" s="35" t="str">
        <f t="shared" si="825"/>
        <v>PRBDP'!</v>
      </c>
      <c r="F3471" s="34" t="str">
        <f t="shared" si="826"/>
        <v>C:\Users\jaime.benazar\Quorum Business Solutions\Ecopetrol Prometeo - Documents\Planning Space Implementation\3. Analysis &amp; Design\Design\FC22\DRR Jaime\Neiva CPI\[DINA TERCIARIOS_CF_SEC_New_27-Mar-2024.xlsx]D-PRBDP'!</v>
      </c>
      <c r="G3471" s="32" t="s">
        <v>124</v>
      </c>
      <c r="H3471" s="33"/>
      <c r="I3471" s="33"/>
      <c r="J3471" s="37"/>
    </row>
    <row r="3472" spans="1:10" x14ac:dyDescent="0.3">
      <c r="A3472" s="32" t="s">
        <v>17</v>
      </c>
      <c r="B3472" s="32">
        <f t="shared" si="827"/>
        <v>2035</v>
      </c>
      <c r="C3472" s="33" t="s">
        <v>28</v>
      </c>
      <c r="D3472" s="34" t="s">
        <v>2002</v>
      </c>
      <c r="E3472" s="35" t="str">
        <f t="shared" si="825"/>
        <v>PRBDP'!</v>
      </c>
      <c r="F3472" s="34" t="str">
        <f t="shared" si="826"/>
        <v>C:\Users\jaime.benazar\Quorum Business Solutions\Ecopetrol Prometeo - Documents\Planning Space Implementation\3. Analysis &amp; Design\Design\FC22\DRR Jaime\Neiva CPI\[DINA TERCIARIOS_CF_SEC_New_27-Mar-2024.xlsx]D-PRBDP'!</v>
      </c>
      <c r="G3472" s="32" t="s">
        <v>124</v>
      </c>
      <c r="H3472" s="33"/>
      <c r="I3472" s="33"/>
      <c r="J3472" s="37"/>
    </row>
    <row r="3473" spans="1:10" x14ac:dyDescent="0.3">
      <c r="A3473" s="32" t="s">
        <v>17</v>
      </c>
      <c r="B3473" s="32">
        <f t="shared" si="827"/>
        <v>2036</v>
      </c>
      <c r="C3473" s="33" t="s">
        <v>28</v>
      </c>
      <c r="D3473" s="34" t="s">
        <v>2002</v>
      </c>
      <c r="E3473" s="35" t="str">
        <f t="shared" si="825"/>
        <v>PRBDP'!</v>
      </c>
      <c r="F3473" s="34" t="str">
        <f t="shared" si="826"/>
        <v>C:\Users\jaime.benazar\Quorum Business Solutions\Ecopetrol Prometeo - Documents\Planning Space Implementation\3. Analysis &amp; Design\Design\FC22\DRR Jaime\Neiva CPI\[DINA TERCIARIOS_CF_SEC_New_27-Mar-2024.xlsx]D-PRBDP'!</v>
      </c>
      <c r="G3473" s="32" t="s">
        <v>124</v>
      </c>
      <c r="H3473" s="33"/>
      <c r="I3473" s="33"/>
      <c r="J3473" s="37"/>
    </row>
    <row r="3474" spans="1:10" x14ac:dyDescent="0.3">
      <c r="A3474" s="32" t="s">
        <v>17</v>
      </c>
      <c r="B3474" s="32">
        <f>+B3473+1</f>
        <v>2037</v>
      </c>
      <c r="C3474" s="33" t="s">
        <v>28</v>
      </c>
      <c r="D3474" s="34" t="s">
        <v>2002</v>
      </c>
      <c r="E3474" s="35" t="str">
        <f t="shared" si="825"/>
        <v>PRBDP'!</v>
      </c>
      <c r="F3474" s="34" t="str">
        <f t="shared" si="826"/>
        <v>C:\Users\jaime.benazar\Quorum Business Solutions\Ecopetrol Prometeo - Documents\Planning Space Implementation\3. Analysis &amp; Design\Design\FC22\DRR Jaime\Neiva CPI\[DINA TERCIARIOS_CF_SEC_New_27-Mar-2024.xlsx]D-PRBDP'!</v>
      </c>
      <c r="G3474" s="32" t="s">
        <v>124</v>
      </c>
      <c r="H3474" s="33"/>
      <c r="I3474" s="33"/>
      <c r="J3474" s="37"/>
    </row>
    <row r="3475" spans="1:10" x14ac:dyDescent="0.3">
      <c r="A3475" s="32" t="s">
        <v>17</v>
      </c>
      <c r="B3475" s="32">
        <f t="shared" ref="B3475:B3477" si="828">+B3474+1</f>
        <v>2038</v>
      </c>
      <c r="C3475" s="33" t="s">
        <v>28</v>
      </c>
      <c r="D3475" s="34" t="s">
        <v>2002</v>
      </c>
      <c r="E3475" s="35" t="str">
        <f t="shared" si="825"/>
        <v>PRBDP'!</v>
      </c>
      <c r="F3475" s="34" t="str">
        <f t="shared" si="826"/>
        <v>C:\Users\jaime.benazar\Quorum Business Solutions\Ecopetrol Prometeo - Documents\Planning Space Implementation\3. Analysis &amp; Design\Design\FC22\DRR Jaime\Neiva CPI\[DINA TERCIARIOS_CF_SEC_New_27-Mar-2024.xlsx]D-PRBDP'!</v>
      </c>
      <c r="G3475" s="32" t="s">
        <v>124</v>
      </c>
      <c r="H3475" s="33"/>
      <c r="I3475" s="33"/>
      <c r="J3475" s="37"/>
    </row>
    <row r="3476" spans="1:10" x14ac:dyDescent="0.3">
      <c r="A3476" s="32" t="s">
        <v>17</v>
      </c>
      <c r="B3476" s="32">
        <f t="shared" si="828"/>
        <v>2039</v>
      </c>
      <c r="C3476" s="33" t="s">
        <v>28</v>
      </c>
      <c r="D3476" s="34" t="s">
        <v>2002</v>
      </c>
      <c r="E3476" s="35" t="str">
        <f t="shared" si="825"/>
        <v>PRBDP'!</v>
      </c>
      <c r="F3476" s="34" t="str">
        <f t="shared" si="826"/>
        <v>C:\Users\jaime.benazar\Quorum Business Solutions\Ecopetrol Prometeo - Documents\Planning Space Implementation\3. Analysis &amp; Design\Design\FC22\DRR Jaime\Neiva CPI\[DINA TERCIARIOS_CF_SEC_New_27-Mar-2024.xlsx]D-PRBDP'!</v>
      </c>
      <c r="G3476" s="32" t="s">
        <v>124</v>
      </c>
      <c r="H3476" s="33"/>
      <c r="I3476" s="33"/>
      <c r="J3476" s="37"/>
    </row>
    <row r="3477" spans="1:10" x14ac:dyDescent="0.3">
      <c r="A3477" s="32" t="s">
        <v>17</v>
      </c>
      <c r="B3477" s="32">
        <f t="shared" si="828"/>
        <v>2040</v>
      </c>
      <c r="C3477" s="33" t="s">
        <v>28</v>
      </c>
      <c r="D3477" s="34" t="s">
        <v>2002</v>
      </c>
      <c r="E3477" s="35" t="str">
        <f t="shared" si="825"/>
        <v>PRBDP'!</v>
      </c>
      <c r="F3477" s="34" t="str">
        <f t="shared" si="826"/>
        <v>C:\Users\jaime.benazar\Quorum Business Solutions\Ecopetrol Prometeo - Documents\Planning Space Implementation\3. Analysis &amp; Design\Design\FC22\DRR Jaime\Neiva CPI\[DINA TERCIARIOS_CF_SEC_New_27-Mar-2024.xlsx]D-PRBDP'!</v>
      </c>
      <c r="G3477" s="32" t="s">
        <v>124</v>
      </c>
      <c r="H3477" s="33"/>
      <c r="I3477" s="33"/>
      <c r="J3477" s="37"/>
    </row>
    <row r="3478" spans="1:10" x14ac:dyDescent="0.3">
      <c r="A3478" s="32" t="s">
        <v>17</v>
      </c>
      <c r="B3478" s="32">
        <f>+B3477+1</f>
        <v>2041</v>
      </c>
      <c r="C3478" s="33" t="s">
        <v>28</v>
      </c>
      <c r="D3478" s="34" t="s">
        <v>2002</v>
      </c>
      <c r="E3478" s="35" t="str">
        <f t="shared" si="825"/>
        <v>PRBDP'!</v>
      </c>
      <c r="F3478" s="34" t="str">
        <f t="shared" si="826"/>
        <v>C:\Users\jaime.benazar\Quorum Business Solutions\Ecopetrol Prometeo - Documents\Planning Space Implementation\3. Analysis &amp; Design\Design\FC22\DRR Jaime\Neiva CPI\[DINA TERCIARIOS_CF_SEC_New_27-Mar-2024.xlsx]D-PRBDP'!</v>
      </c>
      <c r="G3478" s="32" t="s">
        <v>124</v>
      </c>
      <c r="H3478" s="33"/>
      <c r="I3478" s="33"/>
      <c r="J3478" s="37"/>
    </row>
    <row r="3479" spans="1:10" x14ac:dyDescent="0.3">
      <c r="A3479" s="32" t="s">
        <v>17</v>
      </c>
      <c r="B3479" s="32">
        <f t="shared" ref="B3479:B3480" si="829">+B3478+1</f>
        <v>2042</v>
      </c>
      <c r="C3479" s="33" t="s">
        <v>28</v>
      </c>
      <c r="D3479" s="34" t="s">
        <v>2002</v>
      </c>
      <c r="E3479" s="35" t="str">
        <f t="shared" si="825"/>
        <v>PRBDP'!</v>
      </c>
      <c r="F3479" s="34" t="str">
        <f t="shared" si="826"/>
        <v>C:\Users\jaime.benazar\Quorum Business Solutions\Ecopetrol Prometeo - Documents\Planning Space Implementation\3. Analysis &amp; Design\Design\FC22\DRR Jaime\Neiva CPI\[DINA TERCIARIOS_CF_SEC_New_27-Mar-2024.xlsx]D-PRBDP'!</v>
      </c>
      <c r="G3479" s="32" t="s">
        <v>124</v>
      </c>
      <c r="H3479" s="33"/>
      <c r="I3479" s="33"/>
      <c r="J3479" s="37"/>
    </row>
    <row r="3480" spans="1:10" x14ac:dyDescent="0.3">
      <c r="A3480" s="32" t="s">
        <v>17</v>
      </c>
      <c r="B3480" s="32">
        <f t="shared" si="829"/>
        <v>2043</v>
      </c>
      <c r="C3480" s="33" t="s">
        <v>28</v>
      </c>
      <c r="D3480" s="34" t="s">
        <v>2002</v>
      </c>
      <c r="E3480" s="35" t="str">
        <f t="shared" si="825"/>
        <v>PRBDP'!</v>
      </c>
      <c r="F3480" s="34" t="str">
        <f t="shared" si="826"/>
        <v>C:\Users\jaime.benazar\Quorum Business Solutions\Ecopetrol Prometeo - Documents\Planning Space Implementation\3. Analysis &amp; Design\Design\FC22\DRR Jaime\Neiva CPI\[DINA TERCIARIOS_CF_SEC_New_27-Mar-2024.xlsx]D-PRBDP'!</v>
      </c>
      <c r="G3480" s="32" t="s">
        <v>124</v>
      </c>
      <c r="H3480" s="33"/>
      <c r="I3480" s="33"/>
      <c r="J3480" s="37"/>
    </row>
    <row r="3481" spans="1:10" x14ac:dyDescent="0.3">
      <c r="A3481" s="32" t="s">
        <v>17</v>
      </c>
      <c r="B3481" s="32">
        <f>+B3480+1</f>
        <v>2044</v>
      </c>
      <c r="C3481" s="33" t="s">
        <v>28</v>
      </c>
      <c r="D3481" s="34" t="s">
        <v>2002</v>
      </c>
      <c r="E3481" s="35" t="str">
        <f t="shared" ref="E3481:E3496" si="830">_xlfn.CONCAT(A3481,"'!")</f>
        <v>PRBDP'!</v>
      </c>
      <c r="F3481" s="34" t="str">
        <f t="shared" ref="F3481:F3496" si="831">_xlfn.CONCAT(D3481:E3481)</f>
        <v>C:\Users\jaime.benazar\Quorum Business Solutions\Ecopetrol Prometeo - Documents\Planning Space Implementation\3. Analysis &amp; Design\Design\FC22\DRR Jaime\Neiva CPI\[DINA TERCIARIOS_CF_SEC_New_27-Mar-2024.xlsx]D-PRBDP'!</v>
      </c>
      <c r="G3481" s="32" t="s">
        <v>124</v>
      </c>
      <c r="H3481" s="33"/>
      <c r="I3481" s="33"/>
      <c r="J3481" s="37"/>
    </row>
    <row r="3482" spans="1:10" x14ac:dyDescent="0.3">
      <c r="A3482" s="32" t="s">
        <v>17</v>
      </c>
      <c r="B3482" s="32">
        <f t="shared" ref="B3482:B3496" si="832">+B3481+1</f>
        <v>2045</v>
      </c>
      <c r="C3482" s="33" t="s">
        <v>28</v>
      </c>
      <c r="D3482" s="34" t="s">
        <v>2002</v>
      </c>
      <c r="E3482" s="35" t="str">
        <f t="shared" si="830"/>
        <v>PRBDP'!</v>
      </c>
      <c r="F3482" s="34" t="str">
        <f t="shared" si="831"/>
        <v>C:\Users\jaime.benazar\Quorum Business Solutions\Ecopetrol Prometeo - Documents\Planning Space Implementation\3. Analysis &amp; Design\Design\FC22\DRR Jaime\Neiva CPI\[DINA TERCIARIOS_CF_SEC_New_27-Mar-2024.xlsx]D-PRBDP'!</v>
      </c>
      <c r="G3482" s="32" t="s">
        <v>124</v>
      </c>
      <c r="H3482" s="33"/>
      <c r="I3482" s="33"/>
      <c r="J3482" s="37"/>
    </row>
    <row r="3483" spans="1:10" x14ac:dyDescent="0.3">
      <c r="A3483" s="32" t="s">
        <v>17</v>
      </c>
      <c r="B3483" s="32">
        <f t="shared" si="832"/>
        <v>2046</v>
      </c>
      <c r="C3483" s="33" t="s">
        <v>28</v>
      </c>
      <c r="D3483" s="34" t="s">
        <v>2002</v>
      </c>
      <c r="E3483" s="35" t="str">
        <f t="shared" si="830"/>
        <v>PRBDP'!</v>
      </c>
      <c r="F3483" s="34" t="str">
        <f t="shared" si="831"/>
        <v>C:\Users\jaime.benazar\Quorum Business Solutions\Ecopetrol Prometeo - Documents\Planning Space Implementation\3. Analysis &amp; Design\Design\FC22\DRR Jaime\Neiva CPI\[DINA TERCIARIOS_CF_SEC_New_27-Mar-2024.xlsx]D-PRBDP'!</v>
      </c>
      <c r="G3483" s="32" t="s">
        <v>124</v>
      </c>
      <c r="H3483" s="33"/>
      <c r="I3483" s="33"/>
      <c r="J3483" s="37"/>
    </row>
    <row r="3484" spans="1:10" x14ac:dyDescent="0.3">
      <c r="A3484" s="32" t="s">
        <v>17</v>
      </c>
      <c r="B3484" s="32">
        <f t="shared" si="832"/>
        <v>2047</v>
      </c>
      <c r="C3484" s="33" t="s">
        <v>28</v>
      </c>
      <c r="D3484" s="34" t="s">
        <v>2002</v>
      </c>
      <c r="E3484" s="35" t="str">
        <f t="shared" si="830"/>
        <v>PRBDP'!</v>
      </c>
      <c r="F3484" s="34" t="str">
        <f t="shared" si="831"/>
        <v>C:\Users\jaime.benazar\Quorum Business Solutions\Ecopetrol Prometeo - Documents\Planning Space Implementation\3. Analysis &amp; Design\Design\FC22\DRR Jaime\Neiva CPI\[DINA TERCIARIOS_CF_SEC_New_27-Mar-2024.xlsx]D-PRBDP'!</v>
      </c>
      <c r="G3484" s="32" t="s">
        <v>124</v>
      </c>
      <c r="H3484" s="33"/>
      <c r="I3484" s="33"/>
      <c r="J3484" s="37"/>
    </row>
    <row r="3485" spans="1:10" x14ac:dyDescent="0.3">
      <c r="A3485" s="32" t="s">
        <v>17</v>
      </c>
      <c r="B3485" s="32">
        <f t="shared" si="832"/>
        <v>2048</v>
      </c>
      <c r="C3485" s="33" t="s">
        <v>28</v>
      </c>
      <c r="D3485" s="34" t="s">
        <v>2002</v>
      </c>
      <c r="E3485" s="35" t="str">
        <f t="shared" si="830"/>
        <v>PRBDP'!</v>
      </c>
      <c r="F3485" s="34" t="str">
        <f t="shared" si="831"/>
        <v>C:\Users\jaime.benazar\Quorum Business Solutions\Ecopetrol Prometeo - Documents\Planning Space Implementation\3. Analysis &amp; Design\Design\FC22\DRR Jaime\Neiva CPI\[DINA TERCIARIOS_CF_SEC_New_27-Mar-2024.xlsx]D-PRBDP'!</v>
      </c>
      <c r="G3485" s="32" t="s">
        <v>124</v>
      </c>
      <c r="H3485" s="33"/>
      <c r="I3485" s="33"/>
      <c r="J3485" s="37"/>
    </row>
    <row r="3486" spans="1:10" x14ac:dyDescent="0.3">
      <c r="A3486" s="32" t="s">
        <v>17</v>
      </c>
      <c r="B3486" s="32">
        <f t="shared" si="832"/>
        <v>2049</v>
      </c>
      <c r="C3486" s="33" t="s">
        <v>28</v>
      </c>
      <c r="D3486" s="34" t="s">
        <v>2002</v>
      </c>
      <c r="E3486" s="35" t="str">
        <f t="shared" si="830"/>
        <v>PRBDP'!</v>
      </c>
      <c r="F3486" s="34" t="str">
        <f t="shared" si="831"/>
        <v>C:\Users\jaime.benazar\Quorum Business Solutions\Ecopetrol Prometeo - Documents\Planning Space Implementation\3. Analysis &amp; Design\Design\FC22\DRR Jaime\Neiva CPI\[DINA TERCIARIOS_CF_SEC_New_27-Mar-2024.xlsx]D-PRBDP'!</v>
      </c>
      <c r="G3486" s="32" t="s">
        <v>124</v>
      </c>
      <c r="H3486" s="33"/>
      <c r="I3486" s="33"/>
      <c r="J3486" s="37"/>
    </row>
    <row r="3487" spans="1:10" x14ac:dyDescent="0.3">
      <c r="A3487" s="32" t="s">
        <v>17</v>
      </c>
      <c r="B3487" s="32">
        <f t="shared" si="832"/>
        <v>2050</v>
      </c>
      <c r="C3487" s="33" t="s">
        <v>28</v>
      </c>
      <c r="D3487" s="34" t="s">
        <v>2002</v>
      </c>
      <c r="E3487" s="35" t="str">
        <f t="shared" si="830"/>
        <v>PRBDP'!</v>
      </c>
      <c r="F3487" s="34" t="str">
        <f t="shared" si="831"/>
        <v>C:\Users\jaime.benazar\Quorum Business Solutions\Ecopetrol Prometeo - Documents\Planning Space Implementation\3. Analysis &amp; Design\Design\FC22\DRR Jaime\Neiva CPI\[DINA TERCIARIOS_CF_SEC_New_27-Mar-2024.xlsx]D-PRBDP'!</v>
      </c>
      <c r="G3487" s="32" t="s">
        <v>124</v>
      </c>
      <c r="H3487" s="33"/>
      <c r="I3487" s="33"/>
      <c r="J3487" s="37"/>
    </row>
    <row r="3488" spans="1:10" x14ac:dyDescent="0.3">
      <c r="A3488" s="32" t="s">
        <v>17</v>
      </c>
      <c r="B3488" s="32">
        <f t="shared" si="832"/>
        <v>2051</v>
      </c>
      <c r="C3488" s="33" t="s">
        <v>28</v>
      </c>
      <c r="D3488" s="34" t="s">
        <v>2002</v>
      </c>
      <c r="E3488" s="35" t="str">
        <f t="shared" si="830"/>
        <v>PRBDP'!</v>
      </c>
      <c r="F3488" s="34" t="str">
        <f t="shared" si="831"/>
        <v>C:\Users\jaime.benazar\Quorum Business Solutions\Ecopetrol Prometeo - Documents\Planning Space Implementation\3. Analysis &amp; Design\Design\FC22\DRR Jaime\Neiva CPI\[DINA TERCIARIOS_CF_SEC_New_27-Mar-2024.xlsx]D-PRBDP'!</v>
      </c>
      <c r="G3488" s="32" t="s">
        <v>124</v>
      </c>
      <c r="H3488" s="33"/>
      <c r="I3488" s="33"/>
      <c r="J3488" s="37"/>
    </row>
    <row r="3489" spans="1:10" x14ac:dyDescent="0.3">
      <c r="A3489" s="32" t="s">
        <v>17</v>
      </c>
      <c r="B3489" s="32">
        <f t="shared" si="832"/>
        <v>2052</v>
      </c>
      <c r="C3489" s="33" t="s">
        <v>28</v>
      </c>
      <c r="D3489" s="34" t="s">
        <v>2002</v>
      </c>
      <c r="E3489" s="35" t="str">
        <f t="shared" si="830"/>
        <v>PRBDP'!</v>
      </c>
      <c r="F3489" s="34" t="str">
        <f t="shared" si="831"/>
        <v>C:\Users\jaime.benazar\Quorum Business Solutions\Ecopetrol Prometeo - Documents\Planning Space Implementation\3. Analysis &amp; Design\Design\FC22\DRR Jaime\Neiva CPI\[DINA TERCIARIOS_CF_SEC_New_27-Mar-2024.xlsx]D-PRBDP'!</v>
      </c>
      <c r="G3489" s="32" t="s">
        <v>124</v>
      </c>
      <c r="H3489" s="33"/>
      <c r="I3489" s="33"/>
      <c r="J3489" s="37"/>
    </row>
    <row r="3490" spans="1:10" x14ac:dyDescent="0.3">
      <c r="A3490" s="32" t="s">
        <v>17</v>
      </c>
      <c r="B3490" s="32">
        <f t="shared" si="832"/>
        <v>2053</v>
      </c>
      <c r="C3490" s="33" t="s">
        <v>28</v>
      </c>
      <c r="D3490" s="34" t="s">
        <v>2002</v>
      </c>
      <c r="E3490" s="35" t="str">
        <f t="shared" si="830"/>
        <v>PRBDP'!</v>
      </c>
      <c r="F3490" s="34" t="str">
        <f t="shared" si="831"/>
        <v>C:\Users\jaime.benazar\Quorum Business Solutions\Ecopetrol Prometeo - Documents\Planning Space Implementation\3. Analysis &amp; Design\Design\FC22\DRR Jaime\Neiva CPI\[DINA TERCIARIOS_CF_SEC_New_27-Mar-2024.xlsx]D-PRBDP'!</v>
      </c>
      <c r="G3490" s="32" t="s">
        <v>124</v>
      </c>
      <c r="H3490" s="33"/>
      <c r="I3490" s="33"/>
      <c r="J3490" s="37"/>
    </row>
    <row r="3491" spans="1:10" x14ac:dyDescent="0.3">
      <c r="A3491" s="32" t="s">
        <v>17</v>
      </c>
      <c r="B3491" s="32">
        <f t="shared" si="832"/>
        <v>2054</v>
      </c>
      <c r="C3491" s="33" t="s">
        <v>28</v>
      </c>
      <c r="D3491" s="34" t="s">
        <v>2002</v>
      </c>
      <c r="E3491" s="35" t="str">
        <f t="shared" si="830"/>
        <v>PRBDP'!</v>
      </c>
      <c r="F3491" s="34" t="str">
        <f t="shared" si="831"/>
        <v>C:\Users\jaime.benazar\Quorum Business Solutions\Ecopetrol Prometeo - Documents\Planning Space Implementation\3. Analysis &amp; Design\Design\FC22\DRR Jaime\Neiva CPI\[DINA TERCIARIOS_CF_SEC_New_27-Mar-2024.xlsx]D-PRBDP'!</v>
      </c>
      <c r="G3491" s="32" t="s">
        <v>124</v>
      </c>
      <c r="H3491" s="33"/>
      <c r="I3491" s="33"/>
      <c r="J3491" s="37"/>
    </row>
    <row r="3492" spans="1:10" x14ac:dyDescent="0.3">
      <c r="A3492" s="32" t="s">
        <v>17</v>
      </c>
      <c r="B3492" s="32">
        <f t="shared" si="832"/>
        <v>2055</v>
      </c>
      <c r="C3492" s="33" t="s">
        <v>28</v>
      </c>
      <c r="D3492" s="34" t="s">
        <v>2002</v>
      </c>
      <c r="E3492" s="35" t="str">
        <f t="shared" si="830"/>
        <v>PRBDP'!</v>
      </c>
      <c r="F3492" s="34" t="str">
        <f t="shared" si="831"/>
        <v>C:\Users\jaime.benazar\Quorum Business Solutions\Ecopetrol Prometeo - Documents\Planning Space Implementation\3. Analysis &amp; Design\Design\FC22\DRR Jaime\Neiva CPI\[DINA TERCIARIOS_CF_SEC_New_27-Mar-2024.xlsx]D-PRBDP'!</v>
      </c>
      <c r="G3492" s="32" t="s">
        <v>124</v>
      </c>
      <c r="H3492" s="33"/>
      <c r="I3492" s="33"/>
      <c r="J3492" s="37"/>
    </row>
    <row r="3493" spans="1:10" x14ac:dyDescent="0.3">
      <c r="A3493" s="32" t="s">
        <v>17</v>
      </c>
      <c r="B3493" s="32">
        <f t="shared" si="832"/>
        <v>2056</v>
      </c>
      <c r="C3493" s="33" t="s">
        <v>28</v>
      </c>
      <c r="D3493" s="34" t="s">
        <v>2002</v>
      </c>
      <c r="E3493" s="35" t="str">
        <f t="shared" si="830"/>
        <v>PRBDP'!</v>
      </c>
      <c r="F3493" s="34" t="str">
        <f t="shared" si="831"/>
        <v>C:\Users\jaime.benazar\Quorum Business Solutions\Ecopetrol Prometeo - Documents\Planning Space Implementation\3. Analysis &amp; Design\Design\FC22\DRR Jaime\Neiva CPI\[DINA TERCIARIOS_CF_SEC_New_27-Mar-2024.xlsx]D-PRBDP'!</v>
      </c>
      <c r="G3493" s="32" t="s">
        <v>124</v>
      </c>
      <c r="H3493" s="33"/>
      <c r="I3493" s="33"/>
      <c r="J3493" s="37"/>
    </row>
    <row r="3494" spans="1:10" x14ac:dyDescent="0.3">
      <c r="A3494" s="32" t="s">
        <v>17</v>
      </c>
      <c r="B3494" s="32">
        <f t="shared" si="832"/>
        <v>2057</v>
      </c>
      <c r="C3494" s="33" t="s">
        <v>28</v>
      </c>
      <c r="D3494" s="34" t="s">
        <v>2002</v>
      </c>
      <c r="E3494" s="35" t="str">
        <f t="shared" si="830"/>
        <v>PRBDP'!</v>
      </c>
      <c r="F3494" s="34" t="str">
        <f t="shared" si="831"/>
        <v>C:\Users\jaime.benazar\Quorum Business Solutions\Ecopetrol Prometeo - Documents\Planning Space Implementation\3. Analysis &amp; Design\Design\FC22\DRR Jaime\Neiva CPI\[DINA TERCIARIOS_CF_SEC_New_27-Mar-2024.xlsx]D-PRBDP'!</v>
      </c>
      <c r="G3494" s="32" t="s">
        <v>124</v>
      </c>
      <c r="H3494" s="33"/>
      <c r="I3494" s="33"/>
      <c r="J3494" s="37"/>
    </row>
    <row r="3495" spans="1:10" x14ac:dyDescent="0.3">
      <c r="A3495" s="32" t="s">
        <v>17</v>
      </c>
      <c r="B3495" s="32">
        <f t="shared" si="832"/>
        <v>2058</v>
      </c>
      <c r="C3495" s="33" t="s">
        <v>28</v>
      </c>
      <c r="D3495" s="34" t="s">
        <v>2002</v>
      </c>
      <c r="E3495" s="35" t="str">
        <f t="shared" si="830"/>
        <v>PRBDP'!</v>
      </c>
      <c r="F3495" s="34" t="str">
        <f t="shared" si="831"/>
        <v>C:\Users\jaime.benazar\Quorum Business Solutions\Ecopetrol Prometeo - Documents\Planning Space Implementation\3. Analysis &amp; Design\Design\FC22\DRR Jaime\Neiva CPI\[DINA TERCIARIOS_CF_SEC_New_27-Mar-2024.xlsx]D-PRBDP'!</v>
      </c>
      <c r="G3495" s="32" t="s">
        <v>124</v>
      </c>
      <c r="H3495" s="33"/>
      <c r="I3495" s="33"/>
      <c r="J3495" s="37"/>
    </row>
    <row r="3496" spans="1:10" x14ac:dyDescent="0.3">
      <c r="A3496" s="32" t="s">
        <v>17</v>
      </c>
      <c r="B3496" s="32">
        <f t="shared" si="832"/>
        <v>2059</v>
      </c>
      <c r="C3496" s="33" t="s">
        <v>28</v>
      </c>
      <c r="D3496" s="34" t="s">
        <v>2002</v>
      </c>
      <c r="E3496" s="35" t="str">
        <f t="shared" si="830"/>
        <v>PRBDP'!</v>
      </c>
      <c r="F3496" s="34" t="str">
        <f t="shared" si="831"/>
        <v>C:\Users\jaime.benazar\Quorum Business Solutions\Ecopetrol Prometeo - Documents\Planning Space Implementation\3. Analysis &amp; Design\Design\FC22\DRR Jaime\Neiva CPI\[DINA TERCIARIOS_CF_SEC_New_27-Mar-2024.xlsx]D-PRBDP'!</v>
      </c>
      <c r="G3496" s="32" t="s">
        <v>124</v>
      </c>
      <c r="H3496" s="33"/>
      <c r="I3496" s="33"/>
      <c r="J3496" s="37"/>
    </row>
    <row r="3497" spans="1:10" x14ac:dyDescent="0.3">
      <c r="A3497" s="32" t="s">
        <v>26</v>
      </c>
      <c r="B3497" s="32"/>
      <c r="C3497" s="33" t="s">
        <v>28</v>
      </c>
      <c r="D3497" s="34"/>
      <c r="E3497" s="35"/>
      <c r="F3497" s="34"/>
      <c r="G3497" s="32"/>
      <c r="H3497" s="33"/>
      <c r="I3497" s="33"/>
      <c r="J3497" s="36"/>
    </row>
    <row r="3498" spans="1:10" x14ac:dyDescent="0.3">
      <c r="A3498" s="32" t="s">
        <v>18</v>
      </c>
      <c r="B3498" s="32">
        <v>2023</v>
      </c>
      <c r="C3498" s="33" t="s">
        <v>28</v>
      </c>
      <c r="D3498" s="34" t="s">
        <v>2002</v>
      </c>
      <c r="E3498" s="35" t="str">
        <f t="shared" ref="E3498:E3518" si="833">_xlfn.CONCAT(A3498,"'!")</f>
        <v>PRBNP'!</v>
      </c>
      <c r="F3498" s="34" t="str">
        <f t="shared" ref="F3498:F3518" si="834">_xlfn.CONCAT(D3498:E3498)</f>
        <v>C:\Users\jaime.benazar\Quorum Business Solutions\Ecopetrol Prometeo - Documents\Planning Space Implementation\3. Analysis &amp; Design\Design\FC22\DRR Jaime\Neiva CPI\[DINA TERCIARIOS_CF_SEC_New_27-Mar-2024.xlsx]D-PRBNP'!</v>
      </c>
      <c r="G3498" s="32" t="s">
        <v>124</v>
      </c>
      <c r="H3498" s="33"/>
      <c r="I3498" s="33"/>
      <c r="J3498" s="37"/>
    </row>
    <row r="3499" spans="1:10" x14ac:dyDescent="0.3">
      <c r="A3499" s="32" t="s">
        <v>18</v>
      </c>
      <c r="B3499" s="32">
        <f>+B3498+1</f>
        <v>2024</v>
      </c>
      <c r="C3499" s="33" t="s">
        <v>28</v>
      </c>
      <c r="D3499" s="34" t="s">
        <v>2002</v>
      </c>
      <c r="E3499" s="35" t="str">
        <f t="shared" si="833"/>
        <v>PRBNP'!</v>
      </c>
      <c r="F3499" s="34" t="str">
        <f t="shared" si="834"/>
        <v>C:\Users\jaime.benazar\Quorum Business Solutions\Ecopetrol Prometeo - Documents\Planning Space Implementation\3. Analysis &amp; Design\Design\FC22\DRR Jaime\Neiva CPI\[DINA TERCIARIOS_CF_SEC_New_27-Mar-2024.xlsx]D-PRBNP'!</v>
      </c>
      <c r="G3499" s="32" t="s">
        <v>124</v>
      </c>
      <c r="H3499" s="33"/>
      <c r="I3499" s="33"/>
      <c r="J3499" s="37"/>
    </row>
    <row r="3500" spans="1:10" x14ac:dyDescent="0.3">
      <c r="A3500" s="32" t="s">
        <v>18</v>
      </c>
      <c r="B3500" s="32">
        <f t="shared" ref="B3500:B3511" si="835">+B3499+1</f>
        <v>2025</v>
      </c>
      <c r="C3500" s="33" t="s">
        <v>28</v>
      </c>
      <c r="D3500" s="34" t="s">
        <v>2002</v>
      </c>
      <c r="E3500" s="35" t="str">
        <f t="shared" si="833"/>
        <v>PRBNP'!</v>
      </c>
      <c r="F3500" s="34" t="str">
        <f t="shared" si="834"/>
        <v>C:\Users\jaime.benazar\Quorum Business Solutions\Ecopetrol Prometeo - Documents\Planning Space Implementation\3. Analysis &amp; Design\Design\FC22\DRR Jaime\Neiva CPI\[DINA TERCIARIOS_CF_SEC_New_27-Mar-2024.xlsx]D-PRBNP'!</v>
      </c>
      <c r="G3500" s="32" t="s">
        <v>124</v>
      </c>
      <c r="H3500" s="33"/>
      <c r="I3500" s="33"/>
      <c r="J3500" s="37"/>
    </row>
    <row r="3501" spans="1:10" x14ac:dyDescent="0.3">
      <c r="A3501" s="32" t="s">
        <v>18</v>
      </c>
      <c r="B3501" s="32">
        <f t="shared" si="835"/>
        <v>2026</v>
      </c>
      <c r="C3501" s="33" t="s">
        <v>28</v>
      </c>
      <c r="D3501" s="34" t="s">
        <v>2002</v>
      </c>
      <c r="E3501" s="35" t="str">
        <f t="shared" si="833"/>
        <v>PRBNP'!</v>
      </c>
      <c r="F3501" s="34" t="str">
        <f t="shared" si="834"/>
        <v>C:\Users\jaime.benazar\Quorum Business Solutions\Ecopetrol Prometeo - Documents\Planning Space Implementation\3. Analysis &amp; Design\Design\FC22\DRR Jaime\Neiva CPI\[DINA TERCIARIOS_CF_SEC_New_27-Mar-2024.xlsx]D-PRBNP'!</v>
      </c>
      <c r="G3501" s="32" t="s">
        <v>124</v>
      </c>
      <c r="H3501" s="33"/>
      <c r="I3501" s="33"/>
      <c r="J3501" s="37"/>
    </row>
    <row r="3502" spans="1:10" x14ac:dyDescent="0.3">
      <c r="A3502" s="32" t="s">
        <v>18</v>
      </c>
      <c r="B3502" s="32">
        <f t="shared" si="835"/>
        <v>2027</v>
      </c>
      <c r="C3502" s="33" t="s">
        <v>28</v>
      </c>
      <c r="D3502" s="34" t="s">
        <v>2002</v>
      </c>
      <c r="E3502" s="35" t="str">
        <f t="shared" si="833"/>
        <v>PRBNP'!</v>
      </c>
      <c r="F3502" s="34" t="str">
        <f t="shared" si="834"/>
        <v>C:\Users\jaime.benazar\Quorum Business Solutions\Ecopetrol Prometeo - Documents\Planning Space Implementation\3. Analysis &amp; Design\Design\FC22\DRR Jaime\Neiva CPI\[DINA TERCIARIOS_CF_SEC_New_27-Mar-2024.xlsx]D-PRBNP'!</v>
      </c>
      <c r="G3502" s="32" t="s">
        <v>124</v>
      </c>
      <c r="H3502" s="33"/>
      <c r="I3502" s="33"/>
      <c r="J3502" s="37"/>
    </row>
    <row r="3503" spans="1:10" x14ac:dyDescent="0.3">
      <c r="A3503" s="32" t="s">
        <v>18</v>
      </c>
      <c r="B3503" s="32">
        <f t="shared" si="835"/>
        <v>2028</v>
      </c>
      <c r="C3503" s="33" t="s">
        <v>28</v>
      </c>
      <c r="D3503" s="34" t="s">
        <v>2002</v>
      </c>
      <c r="E3503" s="35" t="str">
        <f t="shared" si="833"/>
        <v>PRBNP'!</v>
      </c>
      <c r="F3503" s="34" t="str">
        <f t="shared" si="834"/>
        <v>C:\Users\jaime.benazar\Quorum Business Solutions\Ecopetrol Prometeo - Documents\Planning Space Implementation\3. Analysis &amp; Design\Design\FC22\DRR Jaime\Neiva CPI\[DINA TERCIARIOS_CF_SEC_New_27-Mar-2024.xlsx]D-PRBNP'!</v>
      </c>
      <c r="G3503" s="32" t="s">
        <v>124</v>
      </c>
      <c r="H3503" s="33"/>
      <c r="I3503" s="33"/>
      <c r="J3503" s="37"/>
    </row>
    <row r="3504" spans="1:10" x14ac:dyDescent="0.3">
      <c r="A3504" s="32" t="s">
        <v>18</v>
      </c>
      <c r="B3504" s="32">
        <f t="shared" si="835"/>
        <v>2029</v>
      </c>
      <c r="C3504" s="33" t="s">
        <v>28</v>
      </c>
      <c r="D3504" s="34" t="s">
        <v>2002</v>
      </c>
      <c r="E3504" s="35" t="str">
        <f t="shared" si="833"/>
        <v>PRBNP'!</v>
      </c>
      <c r="F3504" s="34" t="str">
        <f t="shared" si="834"/>
        <v>C:\Users\jaime.benazar\Quorum Business Solutions\Ecopetrol Prometeo - Documents\Planning Space Implementation\3. Analysis &amp; Design\Design\FC22\DRR Jaime\Neiva CPI\[DINA TERCIARIOS_CF_SEC_New_27-Mar-2024.xlsx]D-PRBNP'!</v>
      </c>
      <c r="G3504" s="32" t="s">
        <v>124</v>
      </c>
      <c r="H3504" s="33"/>
      <c r="I3504" s="33"/>
      <c r="J3504" s="37"/>
    </row>
    <row r="3505" spans="1:10" x14ac:dyDescent="0.3">
      <c r="A3505" s="32" t="s">
        <v>18</v>
      </c>
      <c r="B3505" s="32">
        <f t="shared" si="835"/>
        <v>2030</v>
      </c>
      <c r="C3505" s="33" t="s">
        <v>28</v>
      </c>
      <c r="D3505" s="34" t="s">
        <v>2002</v>
      </c>
      <c r="E3505" s="35" t="str">
        <f t="shared" si="833"/>
        <v>PRBNP'!</v>
      </c>
      <c r="F3505" s="34" t="str">
        <f t="shared" si="834"/>
        <v>C:\Users\jaime.benazar\Quorum Business Solutions\Ecopetrol Prometeo - Documents\Planning Space Implementation\3. Analysis &amp; Design\Design\FC22\DRR Jaime\Neiva CPI\[DINA TERCIARIOS_CF_SEC_New_27-Mar-2024.xlsx]D-PRBNP'!</v>
      </c>
      <c r="G3505" s="32" t="s">
        <v>124</v>
      </c>
      <c r="H3505" s="33"/>
      <c r="I3505" s="33"/>
      <c r="J3505" s="37"/>
    </row>
    <row r="3506" spans="1:10" x14ac:dyDescent="0.3">
      <c r="A3506" s="32" t="s">
        <v>18</v>
      </c>
      <c r="B3506" s="32">
        <f t="shared" si="835"/>
        <v>2031</v>
      </c>
      <c r="C3506" s="33" t="s">
        <v>28</v>
      </c>
      <c r="D3506" s="34" t="s">
        <v>2002</v>
      </c>
      <c r="E3506" s="35" t="str">
        <f t="shared" si="833"/>
        <v>PRBNP'!</v>
      </c>
      <c r="F3506" s="34" t="str">
        <f t="shared" si="834"/>
        <v>C:\Users\jaime.benazar\Quorum Business Solutions\Ecopetrol Prometeo - Documents\Planning Space Implementation\3. Analysis &amp; Design\Design\FC22\DRR Jaime\Neiva CPI\[DINA TERCIARIOS_CF_SEC_New_27-Mar-2024.xlsx]D-PRBNP'!</v>
      </c>
      <c r="G3506" s="32" t="s">
        <v>124</v>
      </c>
      <c r="H3506" s="33"/>
      <c r="I3506" s="33"/>
      <c r="J3506" s="37"/>
    </row>
    <row r="3507" spans="1:10" x14ac:dyDescent="0.3">
      <c r="A3507" s="32" t="s">
        <v>18</v>
      </c>
      <c r="B3507" s="32">
        <f t="shared" si="835"/>
        <v>2032</v>
      </c>
      <c r="C3507" s="33" t="s">
        <v>28</v>
      </c>
      <c r="D3507" s="34" t="s">
        <v>2002</v>
      </c>
      <c r="E3507" s="35" t="str">
        <f t="shared" si="833"/>
        <v>PRBNP'!</v>
      </c>
      <c r="F3507" s="34" t="str">
        <f t="shared" si="834"/>
        <v>C:\Users\jaime.benazar\Quorum Business Solutions\Ecopetrol Prometeo - Documents\Planning Space Implementation\3. Analysis &amp; Design\Design\FC22\DRR Jaime\Neiva CPI\[DINA TERCIARIOS_CF_SEC_New_27-Mar-2024.xlsx]D-PRBNP'!</v>
      </c>
      <c r="G3507" s="32" t="s">
        <v>124</v>
      </c>
      <c r="H3507" s="33"/>
      <c r="I3507" s="33"/>
      <c r="J3507" s="37"/>
    </row>
    <row r="3508" spans="1:10" x14ac:dyDescent="0.3">
      <c r="A3508" s="32" t="s">
        <v>18</v>
      </c>
      <c r="B3508" s="32">
        <f t="shared" si="835"/>
        <v>2033</v>
      </c>
      <c r="C3508" s="33" t="s">
        <v>28</v>
      </c>
      <c r="D3508" s="34" t="s">
        <v>2002</v>
      </c>
      <c r="E3508" s="35" t="str">
        <f t="shared" si="833"/>
        <v>PRBNP'!</v>
      </c>
      <c r="F3508" s="34" t="str">
        <f t="shared" si="834"/>
        <v>C:\Users\jaime.benazar\Quorum Business Solutions\Ecopetrol Prometeo - Documents\Planning Space Implementation\3. Analysis &amp; Design\Design\FC22\DRR Jaime\Neiva CPI\[DINA TERCIARIOS_CF_SEC_New_27-Mar-2024.xlsx]D-PRBNP'!</v>
      </c>
      <c r="G3508" s="32" t="s">
        <v>124</v>
      </c>
      <c r="H3508" s="33"/>
      <c r="I3508" s="33"/>
      <c r="J3508" s="37"/>
    </row>
    <row r="3509" spans="1:10" x14ac:dyDescent="0.3">
      <c r="A3509" s="32" t="s">
        <v>18</v>
      </c>
      <c r="B3509" s="32">
        <f t="shared" si="835"/>
        <v>2034</v>
      </c>
      <c r="C3509" s="33" t="s">
        <v>28</v>
      </c>
      <c r="D3509" s="34" t="s">
        <v>2002</v>
      </c>
      <c r="E3509" s="35" t="str">
        <f t="shared" si="833"/>
        <v>PRBNP'!</v>
      </c>
      <c r="F3509" s="34" t="str">
        <f t="shared" si="834"/>
        <v>C:\Users\jaime.benazar\Quorum Business Solutions\Ecopetrol Prometeo - Documents\Planning Space Implementation\3. Analysis &amp; Design\Design\FC22\DRR Jaime\Neiva CPI\[DINA TERCIARIOS_CF_SEC_New_27-Mar-2024.xlsx]D-PRBNP'!</v>
      </c>
      <c r="G3509" s="32" t="s">
        <v>124</v>
      </c>
      <c r="H3509" s="33"/>
      <c r="I3509" s="33"/>
      <c r="J3509" s="37"/>
    </row>
    <row r="3510" spans="1:10" x14ac:dyDescent="0.3">
      <c r="A3510" s="32" t="s">
        <v>18</v>
      </c>
      <c r="B3510" s="32">
        <f t="shared" si="835"/>
        <v>2035</v>
      </c>
      <c r="C3510" s="33" t="s">
        <v>28</v>
      </c>
      <c r="D3510" s="34" t="s">
        <v>2002</v>
      </c>
      <c r="E3510" s="35" t="str">
        <f t="shared" si="833"/>
        <v>PRBNP'!</v>
      </c>
      <c r="F3510" s="34" t="str">
        <f t="shared" si="834"/>
        <v>C:\Users\jaime.benazar\Quorum Business Solutions\Ecopetrol Prometeo - Documents\Planning Space Implementation\3. Analysis &amp; Design\Design\FC22\DRR Jaime\Neiva CPI\[DINA TERCIARIOS_CF_SEC_New_27-Mar-2024.xlsx]D-PRBNP'!</v>
      </c>
      <c r="G3510" s="32" t="s">
        <v>124</v>
      </c>
      <c r="H3510" s="33"/>
      <c r="I3510" s="33"/>
      <c r="J3510" s="37"/>
    </row>
    <row r="3511" spans="1:10" x14ac:dyDescent="0.3">
      <c r="A3511" s="32" t="s">
        <v>18</v>
      </c>
      <c r="B3511" s="32">
        <f t="shared" si="835"/>
        <v>2036</v>
      </c>
      <c r="C3511" s="33" t="s">
        <v>28</v>
      </c>
      <c r="D3511" s="34" t="s">
        <v>2002</v>
      </c>
      <c r="E3511" s="35" t="str">
        <f t="shared" si="833"/>
        <v>PRBNP'!</v>
      </c>
      <c r="F3511" s="34" t="str">
        <f t="shared" si="834"/>
        <v>C:\Users\jaime.benazar\Quorum Business Solutions\Ecopetrol Prometeo - Documents\Planning Space Implementation\3. Analysis &amp; Design\Design\FC22\DRR Jaime\Neiva CPI\[DINA TERCIARIOS_CF_SEC_New_27-Mar-2024.xlsx]D-PRBNP'!</v>
      </c>
      <c r="G3511" s="32" t="s">
        <v>124</v>
      </c>
      <c r="H3511" s="33"/>
      <c r="I3511" s="33"/>
      <c r="J3511" s="37"/>
    </row>
    <row r="3512" spans="1:10" x14ac:dyDescent="0.3">
      <c r="A3512" s="32" t="s">
        <v>18</v>
      </c>
      <c r="B3512" s="32">
        <f>+B3511+1</f>
        <v>2037</v>
      </c>
      <c r="C3512" s="33" t="s">
        <v>28</v>
      </c>
      <c r="D3512" s="34" t="s">
        <v>2002</v>
      </c>
      <c r="E3512" s="35" t="str">
        <f t="shared" si="833"/>
        <v>PRBNP'!</v>
      </c>
      <c r="F3512" s="34" t="str">
        <f t="shared" si="834"/>
        <v>C:\Users\jaime.benazar\Quorum Business Solutions\Ecopetrol Prometeo - Documents\Planning Space Implementation\3. Analysis &amp; Design\Design\FC22\DRR Jaime\Neiva CPI\[DINA TERCIARIOS_CF_SEC_New_27-Mar-2024.xlsx]D-PRBNP'!</v>
      </c>
      <c r="G3512" s="32" t="s">
        <v>124</v>
      </c>
      <c r="H3512" s="33"/>
      <c r="I3512" s="33"/>
      <c r="J3512" s="37"/>
    </row>
    <row r="3513" spans="1:10" x14ac:dyDescent="0.3">
      <c r="A3513" s="32" t="s">
        <v>18</v>
      </c>
      <c r="B3513" s="32">
        <f t="shared" ref="B3513:B3515" si="836">+B3512+1</f>
        <v>2038</v>
      </c>
      <c r="C3513" s="33" t="s">
        <v>28</v>
      </c>
      <c r="D3513" s="34" t="s">
        <v>2002</v>
      </c>
      <c r="E3513" s="35" t="str">
        <f t="shared" si="833"/>
        <v>PRBNP'!</v>
      </c>
      <c r="F3513" s="34" t="str">
        <f t="shared" si="834"/>
        <v>C:\Users\jaime.benazar\Quorum Business Solutions\Ecopetrol Prometeo - Documents\Planning Space Implementation\3. Analysis &amp; Design\Design\FC22\DRR Jaime\Neiva CPI\[DINA TERCIARIOS_CF_SEC_New_27-Mar-2024.xlsx]D-PRBNP'!</v>
      </c>
      <c r="G3513" s="32" t="s">
        <v>124</v>
      </c>
      <c r="H3513" s="33"/>
      <c r="I3513" s="33"/>
      <c r="J3513" s="37"/>
    </row>
    <row r="3514" spans="1:10" x14ac:dyDescent="0.3">
      <c r="A3514" s="32" t="s">
        <v>18</v>
      </c>
      <c r="B3514" s="32">
        <f t="shared" si="836"/>
        <v>2039</v>
      </c>
      <c r="C3514" s="33" t="s">
        <v>28</v>
      </c>
      <c r="D3514" s="34" t="s">
        <v>2002</v>
      </c>
      <c r="E3514" s="35" t="str">
        <f t="shared" si="833"/>
        <v>PRBNP'!</v>
      </c>
      <c r="F3514" s="34" t="str">
        <f t="shared" si="834"/>
        <v>C:\Users\jaime.benazar\Quorum Business Solutions\Ecopetrol Prometeo - Documents\Planning Space Implementation\3. Analysis &amp; Design\Design\FC22\DRR Jaime\Neiva CPI\[DINA TERCIARIOS_CF_SEC_New_27-Mar-2024.xlsx]D-PRBNP'!</v>
      </c>
      <c r="G3514" s="32" t="s">
        <v>124</v>
      </c>
      <c r="H3514" s="33"/>
      <c r="I3514" s="33"/>
      <c r="J3514" s="37"/>
    </row>
    <row r="3515" spans="1:10" x14ac:dyDescent="0.3">
      <c r="A3515" s="32" t="s">
        <v>18</v>
      </c>
      <c r="B3515" s="32">
        <f t="shared" si="836"/>
        <v>2040</v>
      </c>
      <c r="C3515" s="33" t="s">
        <v>28</v>
      </c>
      <c r="D3515" s="34" t="s">
        <v>2002</v>
      </c>
      <c r="E3515" s="35" t="str">
        <f t="shared" si="833"/>
        <v>PRBNP'!</v>
      </c>
      <c r="F3515" s="34" t="str">
        <f t="shared" si="834"/>
        <v>C:\Users\jaime.benazar\Quorum Business Solutions\Ecopetrol Prometeo - Documents\Planning Space Implementation\3. Analysis &amp; Design\Design\FC22\DRR Jaime\Neiva CPI\[DINA TERCIARIOS_CF_SEC_New_27-Mar-2024.xlsx]D-PRBNP'!</v>
      </c>
      <c r="G3515" s="32" t="s">
        <v>124</v>
      </c>
      <c r="H3515" s="33"/>
      <c r="I3515" s="33"/>
      <c r="J3515" s="37"/>
    </row>
    <row r="3516" spans="1:10" x14ac:dyDescent="0.3">
      <c r="A3516" s="32" t="s">
        <v>18</v>
      </c>
      <c r="B3516" s="32">
        <f>+B3515+1</f>
        <v>2041</v>
      </c>
      <c r="C3516" s="33" t="s">
        <v>28</v>
      </c>
      <c r="D3516" s="34" t="s">
        <v>2002</v>
      </c>
      <c r="E3516" s="35" t="str">
        <f t="shared" si="833"/>
        <v>PRBNP'!</v>
      </c>
      <c r="F3516" s="34" t="str">
        <f t="shared" si="834"/>
        <v>C:\Users\jaime.benazar\Quorum Business Solutions\Ecopetrol Prometeo - Documents\Planning Space Implementation\3. Analysis &amp; Design\Design\FC22\DRR Jaime\Neiva CPI\[DINA TERCIARIOS_CF_SEC_New_27-Mar-2024.xlsx]D-PRBNP'!</v>
      </c>
      <c r="G3516" s="32" t="s">
        <v>124</v>
      </c>
      <c r="H3516" s="33"/>
      <c r="I3516" s="33"/>
      <c r="J3516" s="37"/>
    </row>
    <row r="3517" spans="1:10" x14ac:dyDescent="0.3">
      <c r="A3517" s="32" t="s">
        <v>18</v>
      </c>
      <c r="B3517" s="32">
        <f t="shared" ref="B3517:B3518" si="837">+B3516+1</f>
        <v>2042</v>
      </c>
      <c r="C3517" s="33" t="s">
        <v>28</v>
      </c>
      <c r="D3517" s="34" t="s">
        <v>2002</v>
      </c>
      <c r="E3517" s="35" t="str">
        <f t="shared" si="833"/>
        <v>PRBNP'!</v>
      </c>
      <c r="F3517" s="34" t="str">
        <f t="shared" si="834"/>
        <v>C:\Users\jaime.benazar\Quorum Business Solutions\Ecopetrol Prometeo - Documents\Planning Space Implementation\3. Analysis &amp; Design\Design\FC22\DRR Jaime\Neiva CPI\[DINA TERCIARIOS_CF_SEC_New_27-Mar-2024.xlsx]D-PRBNP'!</v>
      </c>
      <c r="G3517" s="32" t="s">
        <v>124</v>
      </c>
      <c r="H3517" s="33"/>
      <c r="I3517" s="33"/>
      <c r="J3517" s="37"/>
    </row>
    <row r="3518" spans="1:10" x14ac:dyDescent="0.3">
      <c r="A3518" s="32" t="s">
        <v>18</v>
      </c>
      <c r="B3518" s="32">
        <f t="shared" si="837"/>
        <v>2043</v>
      </c>
      <c r="C3518" s="33" t="s">
        <v>28</v>
      </c>
      <c r="D3518" s="34" t="s">
        <v>2002</v>
      </c>
      <c r="E3518" s="35" t="str">
        <f t="shared" si="833"/>
        <v>PRBNP'!</v>
      </c>
      <c r="F3518" s="34" t="str">
        <f t="shared" si="834"/>
        <v>C:\Users\jaime.benazar\Quorum Business Solutions\Ecopetrol Prometeo - Documents\Planning Space Implementation\3. Analysis &amp; Design\Design\FC22\DRR Jaime\Neiva CPI\[DINA TERCIARIOS_CF_SEC_New_27-Mar-2024.xlsx]D-PRBNP'!</v>
      </c>
      <c r="G3518" s="32" t="s">
        <v>124</v>
      </c>
      <c r="H3518" s="33"/>
      <c r="I3518" s="33"/>
      <c r="J3518" s="37"/>
    </row>
    <row r="3519" spans="1:10" x14ac:dyDescent="0.3">
      <c r="A3519" s="32" t="s">
        <v>18</v>
      </c>
      <c r="B3519" s="32">
        <f>+B3518+1</f>
        <v>2044</v>
      </c>
      <c r="C3519" s="33" t="s">
        <v>28</v>
      </c>
      <c r="D3519" s="34" t="s">
        <v>2002</v>
      </c>
      <c r="E3519" s="35" t="str">
        <f t="shared" ref="E3519:E3534" si="838">_xlfn.CONCAT(A3519,"'!")</f>
        <v>PRBNP'!</v>
      </c>
      <c r="F3519" s="34" t="str">
        <f t="shared" ref="F3519:F3534" si="839">_xlfn.CONCAT(D3519:E3519)</f>
        <v>C:\Users\jaime.benazar\Quorum Business Solutions\Ecopetrol Prometeo - Documents\Planning Space Implementation\3. Analysis &amp; Design\Design\FC22\DRR Jaime\Neiva CPI\[DINA TERCIARIOS_CF_SEC_New_27-Mar-2024.xlsx]D-PRBNP'!</v>
      </c>
      <c r="G3519" s="32" t="s">
        <v>124</v>
      </c>
      <c r="H3519" s="33"/>
      <c r="I3519" s="33"/>
      <c r="J3519" s="37"/>
    </row>
    <row r="3520" spans="1:10" x14ac:dyDescent="0.3">
      <c r="A3520" s="32" t="s">
        <v>18</v>
      </c>
      <c r="B3520" s="32">
        <f t="shared" ref="B3520:B3534" si="840">+B3519+1</f>
        <v>2045</v>
      </c>
      <c r="C3520" s="33" t="s">
        <v>28</v>
      </c>
      <c r="D3520" s="34" t="s">
        <v>2002</v>
      </c>
      <c r="E3520" s="35" t="str">
        <f t="shared" si="838"/>
        <v>PRBNP'!</v>
      </c>
      <c r="F3520" s="34" t="str">
        <f t="shared" si="839"/>
        <v>C:\Users\jaime.benazar\Quorum Business Solutions\Ecopetrol Prometeo - Documents\Planning Space Implementation\3. Analysis &amp; Design\Design\FC22\DRR Jaime\Neiva CPI\[DINA TERCIARIOS_CF_SEC_New_27-Mar-2024.xlsx]D-PRBNP'!</v>
      </c>
      <c r="G3520" s="32" t="s">
        <v>124</v>
      </c>
      <c r="H3520" s="33"/>
      <c r="I3520" s="33"/>
      <c r="J3520" s="37"/>
    </row>
    <row r="3521" spans="1:10" x14ac:dyDescent="0.3">
      <c r="A3521" s="32" t="s">
        <v>18</v>
      </c>
      <c r="B3521" s="32">
        <f t="shared" si="840"/>
        <v>2046</v>
      </c>
      <c r="C3521" s="33" t="s">
        <v>28</v>
      </c>
      <c r="D3521" s="34" t="s">
        <v>2002</v>
      </c>
      <c r="E3521" s="35" t="str">
        <f t="shared" si="838"/>
        <v>PRBNP'!</v>
      </c>
      <c r="F3521" s="34" t="str">
        <f t="shared" si="839"/>
        <v>C:\Users\jaime.benazar\Quorum Business Solutions\Ecopetrol Prometeo - Documents\Planning Space Implementation\3. Analysis &amp; Design\Design\FC22\DRR Jaime\Neiva CPI\[DINA TERCIARIOS_CF_SEC_New_27-Mar-2024.xlsx]D-PRBNP'!</v>
      </c>
      <c r="G3521" s="32" t="s">
        <v>124</v>
      </c>
      <c r="H3521" s="33"/>
      <c r="I3521" s="33"/>
      <c r="J3521" s="37"/>
    </row>
    <row r="3522" spans="1:10" x14ac:dyDescent="0.3">
      <c r="A3522" s="32" t="s">
        <v>18</v>
      </c>
      <c r="B3522" s="32">
        <f t="shared" si="840"/>
        <v>2047</v>
      </c>
      <c r="C3522" s="33" t="s">
        <v>28</v>
      </c>
      <c r="D3522" s="34" t="s">
        <v>2002</v>
      </c>
      <c r="E3522" s="35" t="str">
        <f t="shared" si="838"/>
        <v>PRBNP'!</v>
      </c>
      <c r="F3522" s="34" t="str">
        <f t="shared" si="839"/>
        <v>C:\Users\jaime.benazar\Quorum Business Solutions\Ecopetrol Prometeo - Documents\Planning Space Implementation\3. Analysis &amp; Design\Design\FC22\DRR Jaime\Neiva CPI\[DINA TERCIARIOS_CF_SEC_New_27-Mar-2024.xlsx]D-PRBNP'!</v>
      </c>
      <c r="G3522" s="32" t="s">
        <v>124</v>
      </c>
      <c r="H3522" s="33"/>
      <c r="I3522" s="33"/>
      <c r="J3522" s="37"/>
    </row>
    <row r="3523" spans="1:10" x14ac:dyDescent="0.3">
      <c r="A3523" s="32" t="s">
        <v>18</v>
      </c>
      <c r="B3523" s="32">
        <f t="shared" si="840"/>
        <v>2048</v>
      </c>
      <c r="C3523" s="33" t="s">
        <v>28</v>
      </c>
      <c r="D3523" s="34" t="s">
        <v>2002</v>
      </c>
      <c r="E3523" s="35" t="str">
        <f t="shared" si="838"/>
        <v>PRBNP'!</v>
      </c>
      <c r="F3523" s="34" t="str">
        <f t="shared" si="839"/>
        <v>C:\Users\jaime.benazar\Quorum Business Solutions\Ecopetrol Prometeo - Documents\Planning Space Implementation\3. Analysis &amp; Design\Design\FC22\DRR Jaime\Neiva CPI\[DINA TERCIARIOS_CF_SEC_New_27-Mar-2024.xlsx]D-PRBNP'!</v>
      </c>
      <c r="G3523" s="32" t="s">
        <v>124</v>
      </c>
      <c r="H3523" s="33"/>
      <c r="I3523" s="33"/>
      <c r="J3523" s="37"/>
    </row>
    <row r="3524" spans="1:10" x14ac:dyDescent="0.3">
      <c r="A3524" s="32" t="s">
        <v>18</v>
      </c>
      <c r="B3524" s="32">
        <f t="shared" si="840"/>
        <v>2049</v>
      </c>
      <c r="C3524" s="33" t="s">
        <v>28</v>
      </c>
      <c r="D3524" s="34" t="s">
        <v>2002</v>
      </c>
      <c r="E3524" s="35" t="str">
        <f t="shared" si="838"/>
        <v>PRBNP'!</v>
      </c>
      <c r="F3524" s="34" t="str">
        <f t="shared" si="839"/>
        <v>C:\Users\jaime.benazar\Quorum Business Solutions\Ecopetrol Prometeo - Documents\Planning Space Implementation\3. Analysis &amp; Design\Design\FC22\DRR Jaime\Neiva CPI\[DINA TERCIARIOS_CF_SEC_New_27-Mar-2024.xlsx]D-PRBNP'!</v>
      </c>
      <c r="G3524" s="32" t="s">
        <v>124</v>
      </c>
      <c r="H3524" s="33"/>
      <c r="I3524" s="33"/>
      <c r="J3524" s="37"/>
    </row>
    <row r="3525" spans="1:10" x14ac:dyDescent="0.3">
      <c r="A3525" s="32" t="s">
        <v>18</v>
      </c>
      <c r="B3525" s="32">
        <f t="shared" si="840"/>
        <v>2050</v>
      </c>
      <c r="C3525" s="33" t="s">
        <v>28</v>
      </c>
      <c r="D3525" s="34" t="s">
        <v>2002</v>
      </c>
      <c r="E3525" s="35" t="str">
        <f t="shared" si="838"/>
        <v>PRBNP'!</v>
      </c>
      <c r="F3525" s="34" t="str">
        <f t="shared" si="839"/>
        <v>C:\Users\jaime.benazar\Quorum Business Solutions\Ecopetrol Prometeo - Documents\Planning Space Implementation\3. Analysis &amp; Design\Design\FC22\DRR Jaime\Neiva CPI\[DINA TERCIARIOS_CF_SEC_New_27-Mar-2024.xlsx]D-PRBNP'!</v>
      </c>
      <c r="G3525" s="32" t="s">
        <v>124</v>
      </c>
      <c r="H3525" s="33"/>
      <c r="I3525" s="33"/>
      <c r="J3525" s="37"/>
    </row>
    <row r="3526" spans="1:10" x14ac:dyDescent="0.3">
      <c r="A3526" s="32" t="s">
        <v>18</v>
      </c>
      <c r="B3526" s="32">
        <f t="shared" si="840"/>
        <v>2051</v>
      </c>
      <c r="C3526" s="33" t="s">
        <v>28</v>
      </c>
      <c r="D3526" s="34" t="s">
        <v>2002</v>
      </c>
      <c r="E3526" s="35" t="str">
        <f t="shared" si="838"/>
        <v>PRBNP'!</v>
      </c>
      <c r="F3526" s="34" t="str">
        <f t="shared" si="839"/>
        <v>C:\Users\jaime.benazar\Quorum Business Solutions\Ecopetrol Prometeo - Documents\Planning Space Implementation\3. Analysis &amp; Design\Design\FC22\DRR Jaime\Neiva CPI\[DINA TERCIARIOS_CF_SEC_New_27-Mar-2024.xlsx]D-PRBNP'!</v>
      </c>
      <c r="G3526" s="32" t="s">
        <v>124</v>
      </c>
      <c r="H3526" s="33"/>
      <c r="I3526" s="33"/>
      <c r="J3526" s="37"/>
    </row>
    <row r="3527" spans="1:10" x14ac:dyDescent="0.3">
      <c r="A3527" s="32" t="s">
        <v>18</v>
      </c>
      <c r="B3527" s="32">
        <f t="shared" si="840"/>
        <v>2052</v>
      </c>
      <c r="C3527" s="33" t="s">
        <v>28</v>
      </c>
      <c r="D3527" s="34" t="s">
        <v>2002</v>
      </c>
      <c r="E3527" s="35" t="str">
        <f t="shared" si="838"/>
        <v>PRBNP'!</v>
      </c>
      <c r="F3527" s="34" t="str">
        <f t="shared" si="839"/>
        <v>C:\Users\jaime.benazar\Quorum Business Solutions\Ecopetrol Prometeo - Documents\Planning Space Implementation\3. Analysis &amp; Design\Design\FC22\DRR Jaime\Neiva CPI\[DINA TERCIARIOS_CF_SEC_New_27-Mar-2024.xlsx]D-PRBNP'!</v>
      </c>
      <c r="G3527" s="32" t="s">
        <v>124</v>
      </c>
      <c r="H3527" s="33"/>
      <c r="I3527" s="33"/>
      <c r="J3527" s="37"/>
    </row>
    <row r="3528" spans="1:10" x14ac:dyDescent="0.3">
      <c r="A3528" s="32" t="s">
        <v>18</v>
      </c>
      <c r="B3528" s="32">
        <f t="shared" si="840"/>
        <v>2053</v>
      </c>
      <c r="C3528" s="33" t="s">
        <v>28</v>
      </c>
      <c r="D3528" s="34" t="s">
        <v>2002</v>
      </c>
      <c r="E3528" s="35" t="str">
        <f t="shared" si="838"/>
        <v>PRBNP'!</v>
      </c>
      <c r="F3528" s="34" t="str">
        <f t="shared" si="839"/>
        <v>C:\Users\jaime.benazar\Quorum Business Solutions\Ecopetrol Prometeo - Documents\Planning Space Implementation\3. Analysis &amp; Design\Design\FC22\DRR Jaime\Neiva CPI\[DINA TERCIARIOS_CF_SEC_New_27-Mar-2024.xlsx]D-PRBNP'!</v>
      </c>
      <c r="G3528" s="32" t="s">
        <v>124</v>
      </c>
      <c r="H3528" s="33"/>
      <c r="I3528" s="33"/>
      <c r="J3528" s="37"/>
    </row>
    <row r="3529" spans="1:10" x14ac:dyDescent="0.3">
      <c r="A3529" s="32" t="s">
        <v>18</v>
      </c>
      <c r="B3529" s="32">
        <f t="shared" si="840"/>
        <v>2054</v>
      </c>
      <c r="C3529" s="33" t="s">
        <v>28</v>
      </c>
      <c r="D3529" s="34" t="s">
        <v>2002</v>
      </c>
      <c r="E3529" s="35" t="str">
        <f t="shared" si="838"/>
        <v>PRBNP'!</v>
      </c>
      <c r="F3529" s="34" t="str">
        <f t="shared" si="839"/>
        <v>C:\Users\jaime.benazar\Quorum Business Solutions\Ecopetrol Prometeo - Documents\Planning Space Implementation\3. Analysis &amp; Design\Design\FC22\DRR Jaime\Neiva CPI\[DINA TERCIARIOS_CF_SEC_New_27-Mar-2024.xlsx]D-PRBNP'!</v>
      </c>
      <c r="G3529" s="32" t="s">
        <v>124</v>
      </c>
      <c r="H3529" s="33"/>
      <c r="I3529" s="33"/>
      <c r="J3529" s="37"/>
    </row>
    <row r="3530" spans="1:10" x14ac:dyDescent="0.3">
      <c r="A3530" s="32" t="s">
        <v>18</v>
      </c>
      <c r="B3530" s="32">
        <f t="shared" si="840"/>
        <v>2055</v>
      </c>
      <c r="C3530" s="33" t="s">
        <v>28</v>
      </c>
      <c r="D3530" s="34" t="s">
        <v>2002</v>
      </c>
      <c r="E3530" s="35" t="str">
        <f t="shared" si="838"/>
        <v>PRBNP'!</v>
      </c>
      <c r="F3530" s="34" t="str">
        <f t="shared" si="839"/>
        <v>C:\Users\jaime.benazar\Quorum Business Solutions\Ecopetrol Prometeo - Documents\Planning Space Implementation\3. Analysis &amp; Design\Design\FC22\DRR Jaime\Neiva CPI\[DINA TERCIARIOS_CF_SEC_New_27-Mar-2024.xlsx]D-PRBNP'!</v>
      </c>
      <c r="G3530" s="32" t="s">
        <v>124</v>
      </c>
      <c r="H3530" s="33"/>
      <c r="I3530" s="33"/>
      <c r="J3530" s="37"/>
    </row>
    <row r="3531" spans="1:10" x14ac:dyDescent="0.3">
      <c r="A3531" s="32" t="s">
        <v>18</v>
      </c>
      <c r="B3531" s="32">
        <f t="shared" si="840"/>
        <v>2056</v>
      </c>
      <c r="C3531" s="33" t="s">
        <v>28</v>
      </c>
      <c r="D3531" s="34" t="s">
        <v>2002</v>
      </c>
      <c r="E3531" s="35" t="str">
        <f t="shared" si="838"/>
        <v>PRBNP'!</v>
      </c>
      <c r="F3531" s="34" t="str">
        <f t="shared" si="839"/>
        <v>C:\Users\jaime.benazar\Quorum Business Solutions\Ecopetrol Prometeo - Documents\Planning Space Implementation\3. Analysis &amp; Design\Design\FC22\DRR Jaime\Neiva CPI\[DINA TERCIARIOS_CF_SEC_New_27-Mar-2024.xlsx]D-PRBNP'!</v>
      </c>
      <c r="G3531" s="32" t="s">
        <v>124</v>
      </c>
      <c r="H3531" s="33"/>
      <c r="I3531" s="33"/>
      <c r="J3531" s="37"/>
    </row>
    <row r="3532" spans="1:10" x14ac:dyDescent="0.3">
      <c r="A3532" s="32" t="s">
        <v>18</v>
      </c>
      <c r="B3532" s="32">
        <f t="shared" si="840"/>
        <v>2057</v>
      </c>
      <c r="C3532" s="33" t="s">
        <v>28</v>
      </c>
      <c r="D3532" s="34" t="s">
        <v>2002</v>
      </c>
      <c r="E3532" s="35" t="str">
        <f t="shared" si="838"/>
        <v>PRBNP'!</v>
      </c>
      <c r="F3532" s="34" t="str">
        <f t="shared" si="839"/>
        <v>C:\Users\jaime.benazar\Quorum Business Solutions\Ecopetrol Prometeo - Documents\Planning Space Implementation\3. Analysis &amp; Design\Design\FC22\DRR Jaime\Neiva CPI\[DINA TERCIARIOS_CF_SEC_New_27-Mar-2024.xlsx]D-PRBNP'!</v>
      </c>
      <c r="G3532" s="32" t="s">
        <v>124</v>
      </c>
      <c r="H3532" s="33"/>
      <c r="I3532" s="33"/>
      <c r="J3532" s="37"/>
    </row>
    <row r="3533" spans="1:10" x14ac:dyDescent="0.3">
      <c r="A3533" s="32" t="s">
        <v>18</v>
      </c>
      <c r="B3533" s="32">
        <f t="shared" si="840"/>
        <v>2058</v>
      </c>
      <c r="C3533" s="33" t="s">
        <v>28</v>
      </c>
      <c r="D3533" s="34" t="s">
        <v>2002</v>
      </c>
      <c r="E3533" s="35" t="str">
        <f t="shared" si="838"/>
        <v>PRBNP'!</v>
      </c>
      <c r="F3533" s="34" t="str">
        <f t="shared" si="839"/>
        <v>C:\Users\jaime.benazar\Quorum Business Solutions\Ecopetrol Prometeo - Documents\Planning Space Implementation\3. Analysis &amp; Design\Design\FC22\DRR Jaime\Neiva CPI\[DINA TERCIARIOS_CF_SEC_New_27-Mar-2024.xlsx]D-PRBNP'!</v>
      </c>
      <c r="G3533" s="32" t="s">
        <v>124</v>
      </c>
      <c r="H3533" s="33"/>
      <c r="I3533" s="33"/>
      <c r="J3533" s="37"/>
    </row>
    <row r="3534" spans="1:10" x14ac:dyDescent="0.3">
      <c r="A3534" s="32" t="s">
        <v>18</v>
      </c>
      <c r="B3534" s="32">
        <f t="shared" si="840"/>
        <v>2059</v>
      </c>
      <c r="C3534" s="33" t="s">
        <v>28</v>
      </c>
      <c r="D3534" s="34" t="s">
        <v>2002</v>
      </c>
      <c r="E3534" s="35" t="str">
        <f t="shared" si="838"/>
        <v>PRBNP'!</v>
      </c>
      <c r="F3534" s="34" t="str">
        <f t="shared" si="839"/>
        <v>C:\Users\jaime.benazar\Quorum Business Solutions\Ecopetrol Prometeo - Documents\Planning Space Implementation\3. Analysis &amp; Design\Design\FC22\DRR Jaime\Neiva CPI\[DINA TERCIARIOS_CF_SEC_New_27-Mar-2024.xlsx]D-PRBNP'!</v>
      </c>
      <c r="G3534" s="32" t="s">
        <v>124</v>
      </c>
      <c r="H3534" s="33"/>
      <c r="I3534" s="33"/>
      <c r="J3534" s="37"/>
    </row>
    <row r="3535" spans="1:10" x14ac:dyDescent="0.3">
      <c r="A3535" s="32" t="s">
        <v>26</v>
      </c>
      <c r="B3535" s="32"/>
      <c r="C3535" s="33" t="s">
        <v>28</v>
      </c>
      <c r="D3535" s="34"/>
      <c r="E3535" s="35"/>
      <c r="F3535" s="34"/>
      <c r="G3535" s="32"/>
      <c r="H3535" s="33"/>
      <c r="I3535" s="33"/>
      <c r="J3535" s="36"/>
    </row>
    <row r="3536" spans="1:10" x14ac:dyDescent="0.3">
      <c r="A3536" s="32" t="s">
        <v>19</v>
      </c>
      <c r="B3536" s="32">
        <v>2023</v>
      </c>
      <c r="C3536" s="33" t="s">
        <v>28</v>
      </c>
      <c r="D3536" s="34" t="s">
        <v>2002</v>
      </c>
      <c r="E3536" s="35" t="str">
        <f t="shared" ref="E3536:E3556" si="841">_xlfn.CONCAT(A3536,"'!")</f>
        <v>PRBND'!</v>
      </c>
      <c r="F3536" s="34" t="str">
        <f t="shared" ref="F3536:F3556" si="842">_xlfn.CONCAT(D3536:E3536)</f>
        <v>C:\Users\jaime.benazar\Quorum Business Solutions\Ecopetrol Prometeo - Documents\Planning Space Implementation\3. Analysis &amp; Design\Design\FC22\DRR Jaime\Neiva CPI\[DINA TERCIARIOS_CF_SEC_New_27-Mar-2024.xlsx]D-PRBND'!</v>
      </c>
      <c r="G3536" s="32" t="s">
        <v>124</v>
      </c>
      <c r="H3536" s="33"/>
      <c r="I3536" s="33"/>
      <c r="J3536" s="37"/>
    </row>
    <row r="3537" spans="1:10" x14ac:dyDescent="0.3">
      <c r="A3537" s="32" t="s">
        <v>19</v>
      </c>
      <c r="B3537" s="32">
        <f>+B3536+1</f>
        <v>2024</v>
      </c>
      <c r="C3537" s="33" t="s">
        <v>28</v>
      </c>
      <c r="D3537" s="34" t="s">
        <v>2002</v>
      </c>
      <c r="E3537" s="35" t="str">
        <f t="shared" si="841"/>
        <v>PRBND'!</v>
      </c>
      <c r="F3537" s="34" t="str">
        <f t="shared" si="842"/>
        <v>C:\Users\jaime.benazar\Quorum Business Solutions\Ecopetrol Prometeo - Documents\Planning Space Implementation\3. Analysis &amp; Design\Design\FC22\DRR Jaime\Neiva CPI\[DINA TERCIARIOS_CF_SEC_New_27-Mar-2024.xlsx]D-PRBND'!</v>
      </c>
      <c r="G3537" s="32" t="s">
        <v>124</v>
      </c>
      <c r="H3537" s="33"/>
      <c r="I3537" s="33"/>
      <c r="J3537" s="37"/>
    </row>
    <row r="3538" spans="1:10" x14ac:dyDescent="0.3">
      <c r="A3538" s="32" t="s">
        <v>19</v>
      </c>
      <c r="B3538" s="32">
        <f t="shared" ref="B3538:B3549" si="843">+B3537+1</f>
        <v>2025</v>
      </c>
      <c r="C3538" s="33" t="s">
        <v>28</v>
      </c>
      <c r="D3538" s="34" t="s">
        <v>2002</v>
      </c>
      <c r="E3538" s="35" t="str">
        <f t="shared" si="841"/>
        <v>PRBND'!</v>
      </c>
      <c r="F3538" s="34" t="str">
        <f t="shared" si="842"/>
        <v>C:\Users\jaime.benazar\Quorum Business Solutions\Ecopetrol Prometeo - Documents\Planning Space Implementation\3. Analysis &amp; Design\Design\FC22\DRR Jaime\Neiva CPI\[DINA TERCIARIOS_CF_SEC_New_27-Mar-2024.xlsx]D-PRBND'!</v>
      </c>
      <c r="G3538" s="32" t="s">
        <v>124</v>
      </c>
      <c r="H3538" s="33"/>
      <c r="I3538" s="33"/>
      <c r="J3538" s="37"/>
    </row>
    <row r="3539" spans="1:10" x14ac:dyDescent="0.3">
      <c r="A3539" s="32" t="s">
        <v>19</v>
      </c>
      <c r="B3539" s="32">
        <f t="shared" si="843"/>
        <v>2026</v>
      </c>
      <c r="C3539" s="33" t="s">
        <v>28</v>
      </c>
      <c r="D3539" s="34" t="s">
        <v>2002</v>
      </c>
      <c r="E3539" s="35" t="str">
        <f t="shared" si="841"/>
        <v>PRBND'!</v>
      </c>
      <c r="F3539" s="34" t="str">
        <f t="shared" si="842"/>
        <v>C:\Users\jaime.benazar\Quorum Business Solutions\Ecopetrol Prometeo - Documents\Planning Space Implementation\3. Analysis &amp; Design\Design\FC22\DRR Jaime\Neiva CPI\[DINA TERCIARIOS_CF_SEC_New_27-Mar-2024.xlsx]D-PRBND'!</v>
      </c>
      <c r="G3539" s="32" t="s">
        <v>124</v>
      </c>
      <c r="H3539" s="33"/>
      <c r="I3539" s="33"/>
      <c r="J3539" s="37"/>
    </row>
    <row r="3540" spans="1:10" x14ac:dyDescent="0.3">
      <c r="A3540" s="32" t="s">
        <v>19</v>
      </c>
      <c r="B3540" s="32">
        <f t="shared" si="843"/>
        <v>2027</v>
      </c>
      <c r="C3540" s="33" t="s">
        <v>28</v>
      </c>
      <c r="D3540" s="34" t="s">
        <v>2002</v>
      </c>
      <c r="E3540" s="35" t="str">
        <f t="shared" si="841"/>
        <v>PRBND'!</v>
      </c>
      <c r="F3540" s="34" t="str">
        <f t="shared" si="842"/>
        <v>C:\Users\jaime.benazar\Quorum Business Solutions\Ecopetrol Prometeo - Documents\Planning Space Implementation\3. Analysis &amp; Design\Design\FC22\DRR Jaime\Neiva CPI\[DINA TERCIARIOS_CF_SEC_New_27-Mar-2024.xlsx]D-PRBND'!</v>
      </c>
      <c r="G3540" s="32" t="s">
        <v>124</v>
      </c>
      <c r="H3540" s="33"/>
      <c r="I3540" s="33"/>
      <c r="J3540" s="37"/>
    </row>
    <row r="3541" spans="1:10" x14ac:dyDescent="0.3">
      <c r="A3541" s="32" t="s">
        <v>19</v>
      </c>
      <c r="B3541" s="32">
        <f t="shared" si="843"/>
        <v>2028</v>
      </c>
      <c r="C3541" s="33" t="s">
        <v>28</v>
      </c>
      <c r="D3541" s="34" t="s">
        <v>2002</v>
      </c>
      <c r="E3541" s="35" t="str">
        <f t="shared" si="841"/>
        <v>PRBND'!</v>
      </c>
      <c r="F3541" s="34" t="str">
        <f t="shared" si="842"/>
        <v>C:\Users\jaime.benazar\Quorum Business Solutions\Ecopetrol Prometeo - Documents\Planning Space Implementation\3. Analysis &amp; Design\Design\FC22\DRR Jaime\Neiva CPI\[DINA TERCIARIOS_CF_SEC_New_27-Mar-2024.xlsx]D-PRBND'!</v>
      </c>
      <c r="G3541" s="32" t="s">
        <v>124</v>
      </c>
      <c r="H3541" s="33"/>
      <c r="I3541" s="33"/>
      <c r="J3541" s="37"/>
    </row>
    <row r="3542" spans="1:10" x14ac:dyDescent="0.3">
      <c r="A3542" s="32" t="s">
        <v>19</v>
      </c>
      <c r="B3542" s="32">
        <f t="shared" si="843"/>
        <v>2029</v>
      </c>
      <c r="C3542" s="33" t="s">
        <v>28</v>
      </c>
      <c r="D3542" s="34" t="s">
        <v>2002</v>
      </c>
      <c r="E3542" s="35" t="str">
        <f t="shared" si="841"/>
        <v>PRBND'!</v>
      </c>
      <c r="F3542" s="34" t="str">
        <f t="shared" si="842"/>
        <v>C:\Users\jaime.benazar\Quorum Business Solutions\Ecopetrol Prometeo - Documents\Planning Space Implementation\3. Analysis &amp; Design\Design\FC22\DRR Jaime\Neiva CPI\[DINA TERCIARIOS_CF_SEC_New_27-Mar-2024.xlsx]D-PRBND'!</v>
      </c>
      <c r="G3542" s="32" t="s">
        <v>124</v>
      </c>
      <c r="H3542" s="33"/>
      <c r="I3542" s="33"/>
      <c r="J3542" s="37"/>
    </row>
    <row r="3543" spans="1:10" x14ac:dyDescent="0.3">
      <c r="A3543" s="32" t="s">
        <v>19</v>
      </c>
      <c r="B3543" s="32">
        <f t="shared" si="843"/>
        <v>2030</v>
      </c>
      <c r="C3543" s="33" t="s">
        <v>28</v>
      </c>
      <c r="D3543" s="34" t="s">
        <v>2002</v>
      </c>
      <c r="E3543" s="35" t="str">
        <f t="shared" si="841"/>
        <v>PRBND'!</v>
      </c>
      <c r="F3543" s="34" t="str">
        <f t="shared" si="842"/>
        <v>C:\Users\jaime.benazar\Quorum Business Solutions\Ecopetrol Prometeo - Documents\Planning Space Implementation\3. Analysis &amp; Design\Design\FC22\DRR Jaime\Neiva CPI\[DINA TERCIARIOS_CF_SEC_New_27-Mar-2024.xlsx]D-PRBND'!</v>
      </c>
      <c r="G3543" s="32" t="s">
        <v>124</v>
      </c>
      <c r="H3543" s="33"/>
      <c r="I3543" s="33"/>
      <c r="J3543" s="37"/>
    </row>
    <row r="3544" spans="1:10" x14ac:dyDescent="0.3">
      <c r="A3544" s="32" t="s">
        <v>19</v>
      </c>
      <c r="B3544" s="32">
        <f t="shared" si="843"/>
        <v>2031</v>
      </c>
      <c r="C3544" s="33" t="s">
        <v>28</v>
      </c>
      <c r="D3544" s="34" t="s">
        <v>2002</v>
      </c>
      <c r="E3544" s="35" t="str">
        <f t="shared" si="841"/>
        <v>PRBND'!</v>
      </c>
      <c r="F3544" s="34" t="str">
        <f t="shared" si="842"/>
        <v>C:\Users\jaime.benazar\Quorum Business Solutions\Ecopetrol Prometeo - Documents\Planning Space Implementation\3. Analysis &amp; Design\Design\FC22\DRR Jaime\Neiva CPI\[DINA TERCIARIOS_CF_SEC_New_27-Mar-2024.xlsx]D-PRBND'!</v>
      </c>
      <c r="G3544" s="32" t="s">
        <v>124</v>
      </c>
      <c r="H3544" s="33"/>
      <c r="I3544" s="33"/>
      <c r="J3544" s="37"/>
    </row>
    <row r="3545" spans="1:10" x14ac:dyDescent="0.3">
      <c r="A3545" s="32" t="s">
        <v>19</v>
      </c>
      <c r="B3545" s="32">
        <f t="shared" si="843"/>
        <v>2032</v>
      </c>
      <c r="C3545" s="33" t="s">
        <v>28</v>
      </c>
      <c r="D3545" s="34" t="s">
        <v>2002</v>
      </c>
      <c r="E3545" s="35" t="str">
        <f t="shared" si="841"/>
        <v>PRBND'!</v>
      </c>
      <c r="F3545" s="34" t="str">
        <f t="shared" si="842"/>
        <v>C:\Users\jaime.benazar\Quorum Business Solutions\Ecopetrol Prometeo - Documents\Planning Space Implementation\3. Analysis &amp; Design\Design\FC22\DRR Jaime\Neiva CPI\[DINA TERCIARIOS_CF_SEC_New_27-Mar-2024.xlsx]D-PRBND'!</v>
      </c>
      <c r="G3545" s="32" t="s">
        <v>124</v>
      </c>
      <c r="H3545" s="33"/>
      <c r="I3545" s="33"/>
      <c r="J3545" s="37"/>
    </row>
    <row r="3546" spans="1:10" x14ac:dyDescent="0.3">
      <c r="A3546" s="32" t="s">
        <v>19</v>
      </c>
      <c r="B3546" s="32">
        <f t="shared" si="843"/>
        <v>2033</v>
      </c>
      <c r="C3546" s="33" t="s">
        <v>28</v>
      </c>
      <c r="D3546" s="34" t="s">
        <v>2002</v>
      </c>
      <c r="E3546" s="35" t="str">
        <f t="shared" si="841"/>
        <v>PRBND'!</v>
      </c>
      <c r="F3546" s="34" t="str">
        <f t="shared" si="842"/>
        <v>C:\Users\jaime.benazar\Quorum Business Solutions\Ecopetrol Prometeo - Documents\Planning Space Implementation\3. Analysis &amp; Design\Design\FC22\DRR Jaime\Neiva CPI\[DINA TERCIARIOS_CF_SEC_New_27-Mar-2024.xlsx]D-PRBND'!</v>
      </c>
      <c r="G3546" s="32" t="s">
        <v>124</v>
      </c>
      <c r="H3546" s="33"/>
      <c r="I3546" s="33"/>
      <c r="J3546" s="37"/>
    </row>
    <row r="3547" spans="1:10" x14ac:dyDescent="0.3">
      <c r="A3547" s="32" t="s">
        <v>19</v>
      </c>
      <c r="B3547" s="32">
        <f t="shared" si="843"/>
        <v>2034</v>
      </c>
      <c r="C3547" s="33" t="s">
        <v>28</v>
      </c>
      <c r="D3547" s="34" t="s">
        <v>2002</v>
      </c>
      <c r="E3547" s="35" t="str">
        <f t="shared" si="841"/>
        <v>PRBND'!</v>
      </c>
      <c r="F3547" s="34" t="str">
        <f t="shared" si="842"/>
        <v>C:\Users\jaime.benazar\Quorum Business Solutions\Ecopetrol Prometeo - Documents\Planning Space Implementation\3. Analysis &amp; Design\Design\FC22\DRR Jaime\Neiva CPI\[DINA TERCIARIOS_CF_SEC_New_27-Mar-2024.xlsx]D-PRBND'!</v>
      </c>
      <c r="G3547" s="32" t="s">
        <v>124</v>
      </c>
      <c r="H3547" s="33"/>
      <c r="I3547" s="33"/>
      <c r="J3547" s="37"/>
    </row>
    <row r="3548" spans="1:10" x14ac:dyDescent="0.3">
      <c r="A3548" s="32" t="s">
        <v>19</v>
      </c>
      <c r="B3548" s="32">
        <f t="shared" si="843"/>
        <v>2035</v>
      </c>
      <c r="C3548" s="33" t="s">
        <v>28</v>
      </c>
      <c r="D3548" s="34" t="s">
        <v>2002</v>
      </c>
      <c r="E3548" s="35" t="str">
        <f t="shared" si="841"/>
        <v>PRBND'!</v>
      </c>
      <c r="F3548" s="34" t="str">
        <f t="shared" si="842"/>
        <v>C:\Users\jaime.benazar\Quorum Business Solutions\Ecopetrol Prometeo - Documents\Planning Space Implementation\3. Analysis &amp; Design\Design\FC22\DRR Jaime\Neiva CPI\[DINA TERCIARIOS_CF_SEC_New_27-Mar-2024.xlsx]D-PRBND'!</v>
      </c>
      <c r="G3548" s="32" t="s">
        <v>124</v>
      </c>
      <c r="H3548" s="33"/>
      <c r="I3548" s="33"/>
      <c r="J3548" s="37"/>
    </row>
    <row r="3549" spans="1:10" x14ac:dyDescent="0.3">
      <c r="A3549" s="32" t="s">
        <v>19</v>
      </c>
      <c r="B3549" s="32">
        <f t="shared" si="843"/>
        <v>2036</v>
      </c>
      <c r="C3549" s="33" t="s">
        <v>28</v>
      </c>
      <c r="D3549" s="34" t="s">
        <v>2002</v>
      </c>
      <c r="E3549" s="35" t="str">
        <f t="shared" si="841"/>
        <v>PRBND'!</v>
      </c>
      <c r="F3549" s="34" t="str">
        <f t="shared" si="842"/>
        <v>C:\Users\jaime.benazar\Quorum Business Solutions\Ecopetrol Prometeo - Documents\Planning Space Implementation\3. Analysis &amp; Design\Design\FC22\DRR Jaime\Neiva CPI\[DINA TERCIARIOS_CF_SEC_New_27-Mar-2024.xlsx]D-PRBND'!</v>
      </c>
      <c r="G3549" s="32" t="s">
        <v>124</v>
      </c>
      <c r="H3549" s="33"/>
      <c r="I3549" s="33"/>
      <c r="J3549" s="37"/>
    </row>
    <row r="3550" spans="1:10" x14ac:dyDescent="0.3">
      <c r="A3550" s="32" t="s">
        <v>19</v>
      </c>
      <c r="B3550" s="32">
        <f>+B3549+1</f>
        <v>2037</v>
      </c>
      <c r="C3550" s="33" t="s">
        <v>28</v>
      </c>
      <c r="D3550" s="34" t="s">
        <v>2002</v>
      </c>
      <c r="E3550" s="35" t="str">
        <f t="shared" si="841"/>
        <v>PRBND'!</v>
      </c>
      <c r="F3550" s="34" t="str">
        <f t="shared" si="842"/>
        <v>C:\Users\jaime.benazar\Quorum Business Solutions\Ecopetrol Prometeo - Documents\Planning Space Implementation\3. Analysis &amp; Design\Design\FC22\DRR Jaime\Neiva CPI\[DINA TERCIARIOS_CF_SEC_New_27-Mar-2024.xlsx]D-PRBND'!</v>
      </c>
      <c r="G3550" s="32" t="s">
        <v>124</v>
      </c>
      <c r="H3550" s="33"/>
      <c r="I3550" s="33"/>
      <c r="J3550" s="37"/>
    </row>
    <row r="3551" spans="1:10" x14ac:dyDescent="0.3">
      <c r="A3551" s="32" t="s">
        <v>19</v>
      </c>
      <c r="B3551" s="32">
        <f t="shared" ref="B3551:B3553" si="844">+B3550+1</f>
        <v>2038</v>
      </c>
      <c r="C3551" s="33" t="s">
        <v>28</v>
      </c>
      <c r="D3551" s="34" t="s">
        <v>2002</v>
      </c>
      <c r="E3551" s="35" t="str">
        <f t="shared" si="841"/>
        <v>PRBND'!</v>
      </c>
      <c r="F3551" s="34" t="str">
        <f t="shared" si="842"/>
        <v>C:\Users\jaime.benazar\Quorum Business Solutions\Ecopetrol Prometeo - Documents\Planning Space Implementation\3. Analysis &amp; Design\Design\FC22\DRR Jaime\Neiva CPI\[DINA TERCIARIOS_CF_SEC_New_27-Mar-2024.xlsx]D-PRBND'!</v>
      </c>
      <c r="G3551" s="32" t="s">
        <v>124</v>
      </c>
      <c r="H3551" s="33"/>
      <c r="I3551" s="33"/>
      <c r="J3551" s="37"/>
    </row>
    <row r="3552" spans="1:10" x14ac:dyDescent="0.3">
      <c r="A3552" s="32" t="s">
        <v>19</v>
      </c>
      <c r="B3552" s="32">
        <f t="shared" si="844"/>
        <v>2039</v>
      </c>
      <c r="C3552" s="33" t="s">
        <v>28</v>
      </c>
      <c r="D3552" s="34" t="s">
        <v>2002</v>
      </c>
      <c r="E3552" s="35" t="str">
        <f t="shared" si="841"/>
        <v>PRBND'!</v>
      </c>
      <c r="F3552" s="34" t="str">
        <f t="shared" si="842"/>
        <v>C:\Users\jaime.benazar\Quorum Business Solutions\Ecopetrol Prometeo - Documents\Planning Space Implementation\3. Analysis &amp; Design\Design\FC22\DRR Jaime\Neiva CPI\[DINA TERCIARIOS_CF_SEC_New_27-Mar-2024.xlsx]D-PRBND'!</v>
      </c>
      <c r="G3552" s="32" t="s">
        <v>124</v>
      </c>
      <c r="H3552" s="33"/>
      <c r="I3552" s="33"/>
      <c r="J3552" s="37"/>
    </row>
    <row r="3553" spans="1:10" x14ac:dyDescent="0.3">
      <c r="A3553" s="32" t="s">
        <v>19</v>
      </c>
      <c r="B3553" s="32">
        <f t="shared" si="844"/>
        <v>2040</v>
      </c>
      <c r="C3553" s="33" t="s">
        <v>28</v>
      </c>
      <c r="D3553" s="34" t="s">
        <v>2002</v>
      </c>
      <c r="E3553" s="35" t="str">
        <f t="shared" si="841"/>
        <v>PRBND'!</v>
      </c>
      <c r="F3553" s="34" t="str">
        <f t="shared" si="842"/>
        <v>C:\Users\jaime.benazar\Quorum Business Solutions\Ecopetrol Prometeo - Documents\Planning Space Implementation\3. Analysis &amp; Design\Design\FC22\DRR Jaime\Neiva CPI\[DINA TERCIARIOS_CF_SEC_New_27-Mar-2024.xlsx]D-PRBND'!</v>
      </c>
      <c r="G3553" s="32" t="s">
        <v>124</v>
      </c>
      <c r="H3553" s="33"/>
      <c r="I3553" s="33"/>
      <c r="J3553" s="37"/>
    </row>
    <row r="3554" spans="1:10" x14ac:dyDescent="0.3">
      <c r="A3554" s="32" t="s">
        <v>19</v>
      </c>
      <c r="B3554" s="32">
        <f>+B3553+1</f>
        <v>2041</v>
      </c>
      <c r="C3554" s="33" t="s">
        <v>28</v>
      </c>
      <c r="D3554" s="34" t="s">
        <v>2002</v>
      </c>
      <c r="E3554" s="35" t="str">
        <f t="shared" si="841"/>
        <v>PRBND'!</v>
      </c>
      <c r="F3554" s="34" t="str">
        <f t="shared" si="842"/>
        <v>C:\Users\jaime.benazar\Quorum Business Solutions\Ecopetrol Prometeo - Documents\Planning Space Implementation\3. Analysis &amp; Design\Design\FC22\DRR Jaime\Neiva CPI\[DINA TERCIARIOS_CF_SEC_New_27-Mar-2024.xlsx]D-PRBND'!</v>
      </c>
      <c r="G3554" s="32" t="s">
        <v>124</v>
      </c>
      <c r="H3554" s="33"/>
      <c r="I3554" s="33"/>
      <c r="J3554" s="37"/>
    </row>
    <row r="3555" spans="1:10" x14ac:dyDescent="0.3">
      <c r="A3555" s="32" t="s">
        <v>19</v>
      </c>
      <c r="B3555" s="32">
        <f t="shared" ref="B3555:B3556" si="845">+B3554+1</f>
        <v>2042</v>
      </c>
      <c r="C3555" s="33" t="s">
        <v>28</v>
      </c>
      <c r="D3555" s="34" t="s">
        <v>2002</v>
      </c>
      <c r="E3555" s="35" t="str">
        <f t="shared" si="841"/>
        <v>PRBND'!</v>
      </c>
      <c r="F3555" s="34" t="str">
        <f t="shared" si="842"/>
        <v>C:\Users\jaime.benazar\Quorum Business Solutions\Ecopetrol Prometeo - Documents\Planning Space Implementation\3. Analysis &amp; Design\Design\FC22\DRR Jaime\Neiva CPI\[DINA TERCIARIOS_CF_SEC_New_27-Mar-2024.xlsx]D-PRBND'!</v>
      </c>
      <c r="G3555" s="32" t="s">
        <v>124</v>
      </c>
      <c r="H3555" s="33"/>
      <c r="I3555" s="33"/>
      <c r="J3555" s="37"/>
    </row>
    <row r="3556" spans="1:10" x14ac:dyDescent="0.3">
      <c r="A3556" s="32" t="s">
        <v>19</v>
      </c>
      <c r="B3556" s="32">
        <f t="shared" si="845"/>
        <v>2043</v>
      </c>
      <c r="C3556" s="33" t="s">
        <v>28</v>
      </c>
      <c r="D3556" s="34" t="s">
        <v>2002</v>
      </c>
      <c r="E3556" s="35" t="str">
        <f t="shared" si="841"/>
        <v>PRBND'!</v>
      </c>
      <c r="F3556" s="34" t="str">
        <f t="shared" si="842"/>
        <v>C:\Users\jaime.benazar\Quorum Business Solutions\Ecopetrol Prometeo - Documents\Planning Space Implementation\3. Analysis &amp; Design\Design\FC22\DRR Jaime\Neiva CPI\[DINA TERCIARIOS_CF_SEC_New_27-Mar-2024.xlsx]D-PRBND'!</v>
      </c>
      <c r="G3556" s="32" t="s">
        <v>124</v>
      </c>
      <c r="H3556" s="33"/>
      <c r="I3556" s="33"/>
      <c r="J3556" s="37"/>
    </row>
    <row r="3557" spans="1:10" x14ac:dyDescent="0.3">
      <c r="A3557" s="32" t="s">
        <v>19</v>
      </c>
      <c r="B3557" s="32">
        <f>+B3556+1</f>
        <v>2044</v>
      </c>
      <c r="C3557" s="33" t="s">
        <v>28</v>
      </c>
      <c r="D3557" s="34" t="s">
        <v>2002</v>
      </c>
      <c r="E3557" s="35" t="str">
        <f t="shared" ref="E3557:E3572" si="846">_xlfn.CONCAT(A3557,"'!")</f>
        <v>PRBND'!</v>
      </c>
      <c r="F3557" s="34" t="str">
        <f t="shared" ref="F3557:F3572" si="847">_xlfn.CONCAT(D3557:E3557)</f>
        <v>C:\Users\jaime.benazar\Quorum Business Solutions\Ecopetrol Prometeo - Documents\Planning Space Implementation\3. Analysis &amp; Design\Design\FC22\DRR Jaime\Neiva CPI\[DINA TERCIARIOS_CF_SEC_New_27-Mar-2024.xlsx]D-PRBND'!</v>
      </c>
      <c r="G3557" s="32" t="s">
        <v>124</v>
      </c>
      <c r="H3557" s="33"/>
      <c r="I3557" s="33"/>
      <c r="J3557" s="37"/>
    </row>
    <row r="3558" spans="1:10" x14ac:dyDescent="0.3">
      <c r="A3558" s="32" t="s">
        <v>19</v>
      </c>
      <c r="B3558" s="32">
        <f t="shared" ref="B3558:B3572" si="848">+B3557+1</f>
        <v>2045</v>
      </c>
      <c r="C3558" s="33" t="s">
        <v>28</v>
      </c>
      <c r="D3558" s="34" t="s">
        <v>2002</v>
      </c>
      <c r="E3558" s="35" t="str">
        <f t="shared" si="846"/>
        <v>PRBND'!</v>
      </c>
      <c r="F3558" s="34" t="str">
        <f t="shared" si="847"/>
        <v>C:\Users\jaime.benazar\Quorum Business Solutions\Ecopetrol Prometeo - Documents\Planning Space Implementation\3. Analysis &amp; Design\Design\FC22\DRR Jaime\Neiva CPI\[DINA TERCIARIOS_CF_SEC_New_27-Mar-2024.xlsx]D-PRBND'!</v>
      </c>
      <c r="G3558" s="32" t="s">
        <v>124</v>
      </c>
      <c r="H3558" s="33"/>
      <c r="I3558" s="33"/>
      <c r="J3558" s="37"/>
    </row>
    <row r="3559" spans="1:10" x14ac:dyDescent="0.3">
      <c r="A3559" s="32" t="s">
        <v>19</v>
      </c>
      <c r="B3559" s="32">
        <f t="shared" si="848"/>
        <v>2046</v>
      </c>
      <c r="C3559" s="33" t="s">
        <v>28</v>
      </c>
      <c r="D3559" s="34" t="s">
        <v>2002</v>
      </c>
      <c r="E3559" s="35" t="str">
        <f t="shared" si="846"/>
        <v>PRBND'!</v>
      </c>
      <c r="F3559" s="34" t="str">
        <f t="shared" si="847"/>
        <v>C:\Users\jaime.benazar\Quorum Business Solutions\Ecopetrol Prometeo - Documents\Planning Space Implementation\3. Analysis &amp; Design\Design\FC22\DRR Jaime\Neiva CPI\[DINA TERCIARIOS_CF_SEC_New_27-Mar-2024.xlsx]D-PRBND'!</v>
      </c>
      <c r="G3559" s="32" t="s">
        <v>124</v>
      </c>
      <c r="H3559" s="33"/>
      <c r="I3559" s="33"/>
      <c r="J3559" s="37"/>
    </row>
    <row r="3560" spans="1:10" x14ac:dyDescent="0.3">
      <c r="A3560" s="32" t="s">
        <v>19</v>
      </c>
      <c r="B3560" s="32">
        <f t="shared" si="848"/>
        <v>2047</v>
      </c>
      <c r="C3560" s="33" t="s">
        <v>28</v>
      </c>
      <c r="D3560" s="34" t="s">
        <v>2002</v>
      </c>
      <c r="E3560" s="35" t="str">
        <f t="shared" si="846"/>
        <v>PRBND'!</v>
      </c>
      <c r="F3560" s="34" t="str">
        <f t="shared" si="847"/>
        <v>C:\Users\jaime.benazar\Quorum Business Solutions\Ecopetrol Prometeo - Documents\Planning Space Implementation\3. Analysis &amp; Design\Design\FC22\DRR Jaime\Neiva CPI\[DINA TERCIARIOS_CF_SEC_New_27-Mar-2024.xlsx]D-PRBND'!</v>
      </c>
      <c r="G3560" s="32" t="s">
        <v>124</v>
      </c>
      <c r="H3560" s="33"/>
      <c r="I3560" s="33"/>
      <c r="J3560" s="37"/>
    </row>
    <row r="3561" spans="1:10" x14ac:dyDescent="0.3">
      <c r="A3561" s="32" t="s">
        <v>19</v>
      </c>
      <c r="B3561" s="32">
        <f t="shared" si="848"/>
        <v>2048</v>
      </c>
      <c r="C3561" s="33" t="s">
        <v>28</v>
      </c>
      <c r="D3561" s="34" t="s">
        <v>2002</v>
      </c>
      <c r="E3561" s="35" t="str">
        <f t="shared" si="846"/>
        <v>PRBND'!</v>
      </c>
      <c r="F3561" s="34" t="str">
        <f t="shared" si="847"/>
        <v>C:\Users\jaime.benazar\Quorum Business Solutions\Ecopetrol Prometeo - Documents\Planning Space Implementation\3. Analysis &amp; Design\Design\FC22\DRR Jaime\Neiva CPI\[DINA TERCIARIOS_CF_SEC_New_27-Mar-2024.xlsx]D-PRBND'!</v>
      </c>
      <c r="G3561" s="32" t="s">
        <v>124</v>
      </c>
      <c r="H3561" s="33"/>
      <c r="I3561" s="33"/>
      <c r="J3561" s="37"/>
    </row>
    <row r="3562" spans="1:10" x14ac:dyDescent="0.3">
      <c r="A3562" s="32" t="s">
        <v>19</v>
      </c>
      <c r="B3562" s="32">
        <f t="shared" si="848"/>
        <v>2049</v>
      </c>
      <c r="C3562" s="33" t="s">
        <v>28</v>
      </c>
      <c r="D3562" s="34" t="s">
        <v>2002</v>
      </c>
      <c r="E3562" s="35" t="str">
        <f t="shared" si="846"/>
        <v>PRBND'!</v>
      </c>
      <c r="F3562" s="34" t="str">
        <f t="shared" si="847"/>
        <v>C:\Users\jaime.benazar\Quorum Business Solutions\Ecopetrol Prometeo - Documents\Planning Space Implementation\3. Analysis &amp; Design\Design\FC22\DRR Jaime\Neiva CPI\[DINA TERCIARIOS_CF_SEC_New_27-Mar-2024.xlsx]D-PRBND'!</v>
      </c>
      <c r="G3562" s="32" t="s">
        <v>124</v>
      </c>
      <c r="H3562" s="33"/>
      <c r="I3562" s="33"/>
      <c r="J3562" s="37"/>
    </row>
    <row r="3563" spans="1:10" x14ac:dyDescent="0.3">
      <c r="A3563" s="32" t="s">
        <v>19</v>
      </c>
      <c r="B3563" s="32">
        <f t="shared" si="848"/>
        <v>2050</v>
      </c>
      <c r="C3563" s="33" t="s">
        <v>28</v>
      </c>
      <c r="D3563" s="34" t="s">
        <v>2002</v>
      </c>
      <c r="E3563" s="35" t="str">
        <f t="shared" si="846"/>
        <v>PRBND'!</v>
      </c>
      <c r="F3563" s="34" t="str">
        <f t="shared" si="847"/>
        <v>C:\Users\jaime.benazar\Quorum Business Solutions\Ecopetrol Prometeo - Documents\Planning Space Implementation\3. Analysis &amp; Design\Design\FC22\DRR Jaime\Neiva CPI\[DINA TERCIARIOS_CF_SEC_New_27-Mar-2024.xlsx]D-PRBND'!</v>
      </c>
      <c r="G3563" s="32" t="s">
        <v>124</v>
      </c>
      <c r="H3563" s="33"/>
      <c r="I3563" s="33"/>
      <c r="J3563" s="37"/>
    </row>
    <row r="3564" spans="1:10" x14ac:dyDescent="0.3">
      <c r="A3564" s="32" t="s">
        <v>19</v>
      </c>
      <c r="B3564" s="32">
        <f t="shared" si="848"/>
        <v>2051</v>
      </c>
      <c r="C3564" s="33" t="s">
        <v>28</v>
      </c>
      <c r="D3564" s="34" t="s">
        <v>2002</v>
      </c>
      <c r="E3564" s="35" t="str">
        <f t="shared" si="846"/>
        <v>PRBND'!</v>
      </c>
      <c r="F3564" s="34" t="str">
        <f t="shared" si="847"/>
        <v>C:\Users\jaime.benazar\Quorum Business Solutions\Ecopetrol Prometeo - Documents\Planning Space Implementation\3. Analysis &amp; Design\Design\FC22\DRR Jaime\Neiva CPI\[DINA TERCIARIOS_CF_SEC_New_27-Mar-2024.xlsx]D-PRBND'!</v>
      </c>
      <c r="G3564" s="32" t="s">
        <v>124</v>
      </c>
      <c r="H3564" s="33"/>
      <c r="I3564" s="33"/>
      <c r="J3564" s="37"/>
    </row>
    <row r="3565" spans="1:10" x14ac:dyDescent="0.3">
      <c r="A3565" s="32" t="s">
        <v>19</v>
      </c>
      <c r="B3565" s="32">
        <f t="shared" si="848"/>
        <v>2052</v>
      </c>
      <c r="C3565" s="33" t="s">
        <v>28</v>
      </c>
      <c r="D3565" s="34" t="s">
        <v>2002</v>
      </c>
      <c r="E3565" s="35" t="str">
        <f t="shared" si="846"/>
        <v>PRBND'!</v>
      </c>
      <c r="F3565" s="34" t="str">
        <f t="shared" si="847"/>
        <v>C:\Users\jaime.benazar\Quorum Business Solutions\Ecopetrol Prometeo - Documents\Planning Space Implementation\3. Analysis &amp; Design\Design\FC22\DRR Jaime\Neiva CPI\[DINA TERCIARIOS_CF_SEC_New_27-Mar-2024.xlsx]D-PRBND'!</v>
      </c>
      <c r="G3565" s="32" t="s">
        <v>124</v>
      </c>
      <c r="H3565" s="33"/>
      <c r="I3565" s="33"/>
      <c r="J3565" s="37"/>
    </row>
    <row r="3566" spans="1:10" x14ac:dyDescent="0.3">
      <c r="A3566" s="32" t="s">
        <v>19</v>
      </c>
      <c r="B3566" s="32">
        <f t="shared" si="848"/>
        <v>2053</v>
      </c>
      <c r="C3566" s="33" t="s">
        <v>28</v>
      </c>
      <c r="D3566" s="34" t="s">
        <v>2002</v>
      </c>
      <c r="E3566" s="35" t="str">
        <f t="shared" si="846"/>
        <v>PRBND'!</v>
      </c>
      <c r="F3566" s="34" t="str">
        <f t="shared" si="847"/>
        <v>C:\Users\jaime.benazar\Quorum Business Solutions\Ecopetrol Prometeo - Documents\Planning Space Implementation\3. Analysis &amp; Design\Design\FC22\DRR Jaime\Neiva CPI\[DINA TERCIARIOS_CF_SEC_New_27-Mar-2024.xlsx]D-PRBND'!</v>
      </c>
      <c r="G3566" s="32" t="s">
        <v>124</v>
      </c>
      <c r="H3566" s="33"/>
      <c r="I3566" s="33"/>
      <c r="J3566" s="37"/>
    </row>
    <row r="3567" spans="1:10" x14ac:dyDescent="0.3">
      <c r="A3567" s="32" t="s">
        <v>19</v>
      </c>
      <c r="B3567" s="32">
        <f t="shared" si="848"/>
        <v>2054</v>
      </c>
      <c r="C3567" s="33" t="s">
        <v>28</v>
      </c>
      <c r="D3567" s="34" t="s">
        <v>2002</v>
      </c>
      <c r="E3567" s="35" t="str">
        <f t="shared" si="846"/>
        <v>PRBND'!</v>
      </c>
      <c r="F3567" s="34" t="str">
        <f t="shared" si="847"/>
        <v>C:\Users\jaime.benazar\Quorum Business Solutions\Ecopetrol Prometeo - Documents\Planning Space Implementation\3. Analysis &amp; Design\Design\FC22\DRR Jaime\Neiva CPI\[DINA TERCIARIOS_CF_SEC_New_27-Mar-2024.xlsx]D-PRBND'!</v>
      </c>
      <c r="G3567" s="32" t="s">
        <v>124</v>
      </c>
      <c r="H3567" s="33"/>
      <c r="I3567" s="33"/>
      <c r="J3567" s="37"/>
    </row>
    <row r="3568" spans="1:10" x14ac:dyDescent="0.3">
      <c r="A3568" s="32" t="s">
        <v>19</v>
      </c>
      <c r="B3568" s="32">
        <f t="shared" si="848"/>
        <v>2055</v>
      </c>
      <c r="C3568" s="33" t="s">
        <v>28</v>
      </c>
      <c r="D3568" s="34" t="s">
        <v>2002</v>
      </c>
      <c r="E3568" s="35" t="str">
        <f t="shared" si="846"/>
        <v>PRBND'!</v>
      </c>
      <c r="F3568" s="34" t="str">
        <f t="shared" si="847"/>
        <v>C:\Users\jaime.benazar\Quorum Business Solutions\Ecopetrol Prometeo - Documents\Planning Space Implementation\3. Analysis &amp; Design\Design\FC22\DRR Jaime\Neiva CPI\[DINA TERCIARIOS_CF_SEC_New_27-Mar-2024.xlsx]D-PRBND'!</v>
      </c>
      <c r="G3568" s="32" t="s">
        <v>124</v>
      </c>
      <c r="H3568" s="33"/>
      <c r="I3568" s="33"/>
      <c r="J3568" s="37"/>
    </row>
    <row r="3569" spans="1:10" x14ac:dyDescent="0.3">
      <c r="A3569" s="32" t="s">
        <v>19</v>
      </c>
      <c r="B3569" s="32">
        <f t="shared" si="848"/>
        <v>2056</v>
      </c>
      <c r="C3569" s="33" t="s">
        <v>28</v>
      </c>
      <c r="D3569" s="34" t="s">
        <v>2002</v>
      </c>
      <c r="E3569" s="35" t="str">
        <f t="shared" si="846"/>
        <v>PRBND'!</v>
      </c>
      <c r="F3569" s="34" t="str">
        <f t="shared" si="847"/>
        <v>C:\Users\jaime.benazar\Quorum Business Solutions\Ecopetrol Prometeo - Documents\Planning Space Implementation\3. Analysis &amp; Design\Design\FC22\DRR Jaime\Neiva CPI\[DINA TERCIARIOS_CF_SEC_New_27-Mar-2024.xlsx]D-PRBND'!</v>
      </c>
      <c r="G3569" s="32" t="s">
        <v>124</v>
      </c>
      <c r="H3569" s="33"/>
      <c r="I3569" s="33"/>
      <c r="J3569" s="37"/>
    </row>
    <row r="3570" spans="1:10" x14ac:dyDescent="0.3">
      <c r="A3570" s="32" t="s">
        <v>19</v>
      </c>
      <c r="B3570" s="32">
        <f t="shared" si="848"/>
        <v>2057</v>
      </c>
      <c r="C3570" s="33" t="s">
        <v>28</v>
      </c>
      <c r="D3570" s="34" t="s">
        <v>2002</v>
      </c>
      <c r="E3570" s="35" t="str">
        <f t="shared" si="846"/>
        <v>PRBND'!</v>
      </c>
      <c r="F3570" s="34" t="str">
        <f t="shared" si="847"/>
        <v>C:\Users\jaime.benazar\Quorum Business Solutions\Ecopetrol Prometeo - Documents\Planning Space Implementation\3. Analysis &amp; Design\Design\FC22\DRR Jaime\Neiva CPI\[DINA TERCIARIOS_CF_SEC_New_27-Mar-2024.xlsx]D-PRBND'!</v>
      </c>
      <c r="G3570" s="32" t="s">
        <v>124</v>
      </c>
      <c r="H3570" s="33"/>
      <c r="I3570" s="33"/>
      <c r="J3570" s="37"/>
    </row>
    <row r="3571" spans="1:10" x14ac:dyDescent="0.3">
      <c r="A3571" s="32" t="s">
        <v>19</v>
      </c>
      <c r="B3571" s="32">
        <f t="shared" si="848"/>
        <v>2058</v>
      </c>
      <c r="C3571" s="33" t="s">
        <v>28</v>
      </c>
      <c r="D3571" s="34" t="s">
        <v>2002</v>
      </c>
      <c r="E3571" s="35" t="str">
        <f t="shared" si="846"/>
        <v>PRBND'!</v>
      </c>
      <c r="F3571" s="34" t="str">
        <f t="shared" si="847"/>
        <v>C:\Users\jaime.benazar\Quorum Business Solutions\Ecopetrol Prometeo - Documents\Planning Space Implementation\3. Analysis &amp; Design\Design\FC22\DRR Jaime\Neiva CPI\[DINA TERCIARIOS_CF_SEC_New_27-Mar-2024.xlsx]D-PRBND'!</v>
      </c>
      <c r="G3571" s="32" t="s">
        <v>124</v>
      </c>
      <c r="H3571" s="33"/>
      <c r="I3571" s="33"/>
      <c r="J3571" s="37"/>
    </row>
    <row r="3572" spans="1:10" x14ac:dyDescent="0.3">
      <c r="A3572" s="32" t="s">
        <v>19</v>
      </c>
      <c r="B3572" s="32">
        <f t="shared" si="848"/>
        <v>2059</v>
      </c>
      <c r="C3572" s="33" t="s">
        <v>28</v>
      </c>
      <c r="D3572" s="34" t="s">
        <v>2002</v>
      </c>
      <c r="E3572" s="35" t="str">
        <f t="shared" si="846"/>
        <v>PRBND'!</v>
      </c>
      <c r="F3572" s="34" t="str">
        <f t="shared" si="847"/>
        <v>C:\Users\jaime.benazar\Quorum Business Solutions\Ecopetrol Prometeo - Documents\Planning Space Implementation\3. Analysis &amp; Design\Design\FC22\DRR Jaime\Neiva CPI\[DINA TERCIARIOS_CF_SEC_New_27-Mar-2024.xlsx]D-PRBND'!</v>
      </c>
      <c r="G3572" s="32" t="s">
        <v>124</v>
      </c>
      <c r="H3572" s="33"/>
      <c r="I3572" s="33"/>
      <c r="J3572" s="37"/>
    </row>
    <row r="3573" spans="1:10" x14ac:dyDescent="0.3">
      <c r="A3573" s="32" t="s">
        <v>26</v>
      </c>
      <c r="B3573" s="32"/>
      <c r="C3573" s="33" t="s">
        <v>28</v>
      </c>
      <c r="D3573" s="34"/>
      <c r="E3573" s="35"/>
      <c r="F3573" s="34"/>
      <c r="G3573" s="32"/>
      <c r="H3573" s="33"/>
      <c r="I3573" s="33"/>
      <c r="J3573" s="36"/>
    </row>
    <row r="3574" spans="1:10" x14ac:dyDescent="0.3">
      <c r="A3574" s="32" t="s">
        <v>20</v>
      </c>
      <c r="B3574" s="32">
        <v>2023</v>
      </c>
      <c r="C3574" s="33" t="s">
        <v>28</v>
      </c>
      <c r="D3574" s="34" t="s">
        <v>2002</v>
      </c>
      <c r="E3574" s="35" t="str">
        <f t="shared" ref="E3574:E3594" si="849">_xlfn.CONCAT(A3574,"'!")</f>
        <v>PRB'!</v>
      </c>
      <c r="F3574" s="34" t="str">
        <f t="shared" ref="F3574:F3594" si="850">_xlfn.CONCAT(D3574:E3574)</f>
        <v>C:\Users\jaime.benazar\Quorum Business Solutions\Ecopetrol Prometeo - Documents\Planning Space Implementation\3. Analysis &amp; Design\Design\FC22\DRR Jaime\Neiva CPI\[DINA TERCIARIOS_CF_SEC_New_27-Mar-2024.xlsx]D-PRB'!</v>
      </c>
      <c r="G3574" s="32" t="s">
        <v>124</v>
      </c>
      <c r="H3574" s="33">
        <f>IF(A3574&lt;&gt;A3558,12,H3558+1)</f>
        <v>12</v>
      </c>
      <c r="I3574" s="33" t="str">
        <f t="shared" ref="I3574:I3594" si="851">_xlfn.CONCAT("='",F3574:H3574)</f>
        <v>='C:\Users\jaime.benazar\Quorum Business Solutions\Ecopetrol Prometeo - Documents\Planning Space Implementation\3. Analysis &amp; Design\Design\FC22\DRR Jaime\Neiva CPI\[DINA TERCIARIOS_CF_SEC_New_27-Mar-2024.xlsx]D-PRB'!$BE$12</v>
      </c>
      <c r="J3574" s="37" t="s">
        <v>3594</v>
      </c>
    </row>
    <row r="3575" spans="1:10" x14ac:dyDescent="0.3">
      <c r="A3575" s="32" t="s">
        <v>20</v>
      </c>
      <c r="B3575" s="32">
        <f>+B3574+1</f>
        <v>2024</v>
      </c>
      <c r="C3575" s="33" t="s">
        <v>28</v>
      </c>
      <c r="D3575" s="34" t="s">
        <v>2002</v>
      </c>
      <c r="E3575" s="35" t="str">
        <f t="shared" si="849"/>
        <v>PRB'!</v>
      </c>
      <c r="F3575" s="34" t="str">
        <f t="shared" si="850"/>
        <v>C:\Users\jaime.benazar\Quorum Business Solutions\Ecopetrol Prometeo - Documents\Planning Space Implementation\3. Analysis &amp; Design\Design\FC22\DRR Jaime\Neiva CPI\[DINA TERCIARIOS_CF_SEC_New_27-Mar-2024.xlsx]D-PRB'!</v>
      </c>
      <c r="G3575" s="32" t="s">
        <v>124</v>
      </c>
      <c r="H3575" s="33">
        <f t="shared" ref="H3575:H3594" si="852">IF(A3575&lt;&gt;A3574,36,H3574+1)</f>
        <v>13</v>
      </c>
      <c r="I3575" s="33" t="str">
        <f t="shared" si="851"/>
        <v>='C:\Users\jaime.benazar\Quorum Business Solutions\Ecopetrol Prometeo - Documents\Planning Space Implementation\3. Analysis &amp; Design\Design\FC22\DRR Jaime\Neiva CPI\[DINA TERCIARIOS_CF_SEC_New_27-Mar-2024.xlsx]D-PRB'!$BE$13</v>
      </c>
      <c r="J3575" s="37" t="s">
        <v>3595</v>
      </c>
    </row>
    <row r="3576" spans="1:10" x14ac:dyDescent="0.3">
      <c r="A3576" s="32" t="s">
        <v>20</v>
      </c>
      <c r="B3576" s="32">
        <f t="shared" ref="B3576:B3587" si="853">+B3575+1</f>
        <v>2025</v>
      </c>
      <c r="C3576" s="33" t="s">
        <v>28</v>
      </c>
      <c r="D3576" s="34" t="s">
        <v>2002</v>
      </c>
      <c r="E3576" s="35" t="str">
        <f t="shared" si="849"/>
        <v>PRB'!</v>
      </c>
      <c r="F3576" s="34" t="str">
        <f t="shared" si="850"/>
        <v>C:\Users\jaime.benazar\Quorum Business Solutions\Ecopetrol Prometeo - Documents\Planning Space Implementation\3. Analysis &amp; Design\Design\FC22\DRR Jaime\Neiva CPI\[DINA TERCIARIOS_CF_SEC_New_27-Mar-2024.xlsx]D-PRB'!</v>
      </c>
      <c r="G3576" s="32" t="s">
        <v>124</v>
      </c>
      <c r="H3576" s="33">
        <f t="shared" si="852"/>
        <v>14</v>
      </c>
      <c r="I3576" s="33" t="str">
        <f t="shared" si="851"/>
        <v>='C:\Users\jaime.benazar\Quorum Business Solutions\Ecopetrol Prometeo - Documents\Planning Space Implementation\3. Analysis &amp; Design\Design\FC22\DRR Jaime\Neiva CPI\[DINA TERCIARIOS_CF_SEC_New_27-Mar-2024.xlsx]D-PRB'!$BE$14</v>
      </c>
      <c r="J3576" s="37" t="s">
        <v>3596</v>
      </c>
    </row>
    <row r="3577" spans="1:10" x14ac:dyDescent="0.3">
      <c r="A3577" s="32" t="s">
        <v>20</v>
      </c>
      <c r="B3577" s="32">
        <f t="shared" si="853"/>
        <v>2026</v>
      </c>
      <c r="C3577" s="33" t="s">
        <v>28</v>
      </c>
      <c r="D3577" s="34" t="s">
        <v>2002</v>
      </c>
      <c r="E3577" s="35" t="str">
        <f t="shared" si="849"/>
        <v>PRB'!</v>
      </c>
      <c r="F3577" s="34" t="str">
        <f t="shared" si="850"/>
        <v>C:\Users\jaime.benazar\Quorum Business Solutions\Ecopetrol Prometeo - Documents\Planning Space Implementation\3. Analysis &amp; Design\Design\FC22\DRR Jaime\Neiva CPI\[DINA TERCIARIOS_CF_SEC_New_27-Mar-2024.xlsx]D-PRB'!</v>
      </c>
      <c r="G3577" s="32" t="s">
        <v>124</v>
      </c>
      <c r="H3577" s="33">
        <f t="shared" si="852"/>
        <v>15</v>
      </c>
      <c r="I3577" s="33" t="str">
        <f t="shared" si="851"/>
        <v>='C:\Users\jaime.benazar\Quorum Business Solutions\Ecopetrol Prometeo - Documents\Planning Space Implementation\3. Analysis &amp; Design\Design\FC22\DRR Jaime\Neiva CPI\[DINA TERCIARIOS_CF_SEC_New_27-Mar-2024.xlsx]D-PRB'!$BE$15</v>
      </c>
      <c r="J3577" s="37" t="s">
        <v>3597</v>
      </c>
    </row>
    <row r="3578" spans="1:10" x14ac:dyDescent="0.3">
      <c r="A3578" s="32" t="s">
        <v>20</v>
      </c>
      <c r="B3578" s="32">
        <f t="shared" si="853"/>
        <v>2027</v>
      </c>
      <c r="C3578" s="33" t="s">
        <v>28</v>
      </c>
      <c r="D3578" s="34" t="s">
        <v>2002</v>
      </c>
      <c r="E3578" s="35" t="str">
        <f t="shared" si="849"/>
        <v>PRB'!</v>
      </c>
      <c r="F3578" s="34" t="str">
        <f t="shared" si="850"/>
        <v>C:\Users\jaime.benazar\Quorum Business Solutions\Ecopetrol Prometeo - Documents\Planning Space Implementation\3. Analysis &amp; Design\Design\FC22\DRR Jaime\Neiva CPI\[DINA TERCIARIOS_CF_SEC_New_27-Mar-2024.xlsx]D-PRB'!</v>
      </c>
      <c r="G3578" s="32" t="s">
        <v>124</v>
      </c>
      <c r="H3578" s="33">
        <f t="shared" si="852"/>
        <v>16</v>
      </c>
      <c r="I3578" s="33" t="str">
        <f t="shared" si="851"/>
        <v>='C:\Users\jaime.benazar\Quorum Business Solutions\Ecopetrol Prometeo - Documents\Planning Space Implementation\3. Analysis &amp; Design\Design\FC22\DRR Jaime\Neiva CPI\[DINA TERCIARIOS_CF_SEC_New_27-Mar-2024.xlsx]D-PRB'!$BE$16</v>
      </c>
      <c r="J3578" s="37" t="s">
        <v>3598</v>
      </c>
    </row>
    <row r="3579" spans="1:10" x14ac:dyDescent="0.3">
      <c r="A3579" s="32" t="s">
        <v>20</v>
      </c>
      <c r="B3579" s="32">
        <f t="shared" si="853"/>
        <v>2028</v>
      </c>
      <c r="C3579" s="33" t="s">
        <v>28</v>
      </c>
      <c r="D3579" s="34" t="s">
        <v>2002</v>
      </c>
      <c r="E3579" s="35" t="str">
        <f t="shared" si="849"/>
        <v>PRB'!</v>
      </c>
      <c r="F3579" s="34" t="str">
        <f t="shared" si="850"/>
        <v>C:\Users\jaime.benazar\Quorum Business Solutions\Ecopetrol Prometeo - Documents\Planning Space Implementation\3. Analysis &amp; Design\Design\FC22\DRR Jaime\Neiva CPI\[DINA TERCIARIOS_CF_SEC_New_27-Mar-2024.xlsx]D-PRB'!</v>
      </c>
      <c r="G3579" s="32" t="s">
        <v>124</v>
      </c>
      <c r="H3579" s="33">
        <f t="shared" si="852"/>
        <v>17</v>
      </c>
      <c r="I3579" s="33" t="str">
        <f t="shared" si="851"/>
        <v>='C:\Users\jaime.benazar\Quorum Business Solutions\Ecopetrol Prometeo - Documents\Planning Space Implementation\3. Analysis &amp; Design\Design\FC22\DRR Jaime\Neiva CPI\[DINA TERCIARIOS_CF_SEC_New_27-Mar-2024.xlsx]D-PRB'!$BE$17</v>
      </c>
      <c r="J3579" s="37" t="s">
        <v>3599</v>
      </c>
    </row>
    <row r="3580" spans="1:10" x14ac:dyDescent="0.3">
      <c r="A3580" s="32" t="s">
        <v>20</v>
      </c>
      <c r="B3580" s="32">
        <f t="shared" si="853"/>
        <v>2029</v>
      </c>
      <c r="C3580" s="33" t="s">
        <v>28</v>
      </c>
      <c r="D3580" s="34" t="s">
        <v>2002</v>
      </c>
      <c r="E3580" s="35" t="str">
        <f t="shared" si="849"/>
        <v>PRB'!</v>
      </c>
      <c r="F3580" s="34" t="str">
        <f t="shared" si="850"/>
        <v>C:\Users\jaime.benazar\Quorum Business Solutions\Ecopetrol Prometeo - Documents\Planning Space Implementation\3. Analysis &amp; Design\Design\FC22\DRR Jaime\Neiva CPI\[DINA TERCIARIOS_CF_SEC_New_27-Mar-2024.xlsx]D-PRB'!</v>
      </c>
      <c r="G3580" s="32" t="s">
        <v>124</v>
      </c>
      <c r="H3580" s="33">
        <f t="shared" si="852"/>
        <v>18</v>
      </c>
      <c r="I3580" s="33" t="str">
        <f t="shared" si="851"/>
        <v>='C:\Users\jaime.benazar\Quorum Business Solutions\Ecopetrol Prometeo - Documents\Planning Space Implementation\3. Analysis &amp; Design\Design\FC22\DRR Jaime\Neiva CPI\[DINA TERCIARIOS_CF_SEC_New_27-Mar-2024.xlsx]D-PRB'!$BE$18</v>
      </c>
      <c r="J3580" s="37" t="s">
        <v>3600</v>
      </c>
    </row>
    <row r="3581" spans="1:10" x14ac:dyDescent="0.3">
      <c r="A3581" s="32" t="s">
        <v>20</v>
      </c>
      <c r="B3581" s="32">
        <f t="shared" si="853"/>
        <v>2030</v>
      </c>
      <c r="C3581" s="33" t="s">
        <v>28</v>
      </c>
      <c r="D3581" s="34" t="s">
        <v>2002</v>
      </c>
      <c r="E3581" s="35" t="str">
        <f t="shared" si="849"/>
        <v>PRB'!</v>
      </c>
      <c r="F3581" s="34" t="str">
        <f t="shared" si="850"/>
        <v>C:\Users\jaime.benazar\Quorum Business Solutions\Ecopetrol Prometeo - Documents\Planning Space Implementation\3. Analysis &amp; Design\Design\FC22\DRR Jaime\Neiva CPI\[DINA TERCIARIOS_CF_SEC_New_27-Mar-2024.xlsx]D-PRB'!</v>
      </c>
      <c r="G3581" s="32" t="s">
        <v>124</v>
      </c>
      <c r="H3581" s="33">
        <f t="shared" si="852"/>
        <v>19</v>
      </c>
      <c r="I3581" s="33" t="str">
        <f t="shared" si="851"/>
        <v>='C:\Users\jaime.benazar\Quorum Business Solutions\Ecopetrol Prometeo - Documents\Planning Space Implementation\3. Analysis &amp; Design\Design\FC22\DRR Jaime\Neiva CPI\[DINA TERCIARIOS_CF_SEC_New_27-Mar-2024.xlsx]D-PRB'!$BE$19</v>
      </c>
      <c r="J3581" s="37" t="s">
        <v>3601</v>
      </c>
    </row>
    <row r="3582" spans="1:10" x14ac:dyDescent="0.3">
      <c r="A3582" s="32" t="s">
        <v>20</v>
      </c>
      <c r="B3582" s="32">
        <f t="shared" si="853"/>
        <v>2031</v>
      </c>
      <c r="C3582" s="33" t="s">
        <v>28</v>
      </c>
      <c r="D3582" s="34" t="s">
        <v>2002</v>
      </c>
      <c r="E3582" s="35" t="str">
        <f t="shared" si="849"/>
        <v>PRB'!</v>
      </c>
      <c r="F3582" s="34" t="str">
        <f t="shared" si="850"/>
        <v>C:\Users\jaime.benazar\Quorum Business Solutions\Ecopetrol Prometeo - Documents\Planning Space Implementation\3. Analysis &amp; Design\Design\FC22\DRR Jaime\Neiva CPI\[DINA TERCIARIOS_CF_SEC_New_27-Mar-2024.xlsx]D-PRB'!</v>
      </c>
      <c r="G3582" s="32" t="s">
        <v>124</v>
      </c>
      <c r="H3582" s="33">
        <f t="shared" si="852"/>
        <v>20</v>
      </c>
      <c r="I3582" s="33" t="str">
        <f t="shared" si="851"/>
        <v>='C:\Users\jaime.benazar\Quorum Business Solutions\Ecopetrol Prometeo - Documents\Planning Space Implementation\3. Analysis &amp; Design\Design\FC22\DRR Jaime\Neiva CPI\[DINA TERCIARIOS_CF_SEC_New_27-Mar-2024.xlsx]D-PRB'!$BE$20</v>
      </c>
      <c r="J3582" s="37" t="s">
        <v>3602</v>
      </c>
    </row>
    <row r="3583" spans="1:10" x14ac:dyDescent="0.3">
      <c r="A3583" s="32" t="s">
        <v>20</v>
      </c>
      <c r="B3583" s="32">
        <f t="shared" si="853"/>
        <v>2032</v>
      </c>
      <c r="C3583" s="33" t="s">
        <v>28</v>
      </c>
      <c r="D3583" s="34" t="s">
        <v>2002</v>
      </c>
      <c r="E3583" s="35" t="str">
        <f t="shared" si="849"/>
        <v>PRB'!</v>
      </c>
      <c r="F3583" s="34" t="str">
        <f t="shared" si="850"/>
        <v>C:\Users\jaime.benazar\Quorum Business Solutions\Ecopetrol Prometeo - Documents\Planning Space Implementation\3. Analysis &amp; Design\Design\FC22\DRR Jaime\Neiva CPI\[DINA TERCIARIOS_CF_SEC_New_27-Mar-2024.xlsx]D-PRB'!</v>
      </c>
      <c r="G3583" s="32" t="s">
        <v>124</v>
      </c>
      <c r="H3583" s="33">
        <f t="shared" si="852"/>
        <v>21</v>
      </c>
      <c r="I3583" s="33" t="str">
        <f t="shared" si="851"/>
        <v>='C:\Users\jaime.benazar\Quorum Business Solutions\Ecopetrol Prometeo - Documents\Planning Space Implementation\3. Analysis &amp; Design\Design\FC22\DRR Jaime\Neiva CPI\[DINA TERCIARIOS_CF_SEC_New_27-Mar-2024.xlsx]D-PRB'!$BE$21</v>
      </c>
      <c r="J3583" s="37" t="s">
        <v>3603</v>
      </c>
    </row>
    <row r="3584" spans="1:10" x14ac:dyDescent="0.3">
      <c r="A3584" s="32" t="s">
        <v>20</v>
      </c>
      <c r="B3584" s="32">
        <f t="shared" si="853"/>
        <v>2033</v>
      </c>
      <c r="C3584" s="33" t="s">
        <v>28</v>
      </c>
      <c r="D3584" s="34" t="s">
        <v>2002</v>
      </c>
      <c r="E3584" s="35" t="str">
        <f t="shared" si="849"/>
        <v>PRB'!</v>
      </c>
      <c r="F3584" s="34" t="str">
        <f t="shared" si="850"/>
        <v>C:\Users\jaime.benazar\Quorum Business Solutions\Ecopetrol Prometeo - Documents\Planning Space Implementation\3. Analysis &amp; Design\Design\FC22\DRR Jaime\Neiva CPI\[DINA TERCIARIOS_CF_SEC_New_27-Mar-2024.xlsx]D-PRB'!</v>
      </c>
      <c r="G3584" s="32" t="s">
        <v>124</v>
      </c>
      <c r="H3584" s="33">
        <f t="shared" si="852"/>
        <v>22</v>
      </c>
      <c r="I3584" s="33" t="str">
        <f t="shared" si="851"/>
        <v>='C:\Users\jaime.benazar\Quorum Business Solutions\Ecopetrol Prometeo - Documents\Planning Space Implementation\3. Analysis &amp; Design\Design\FC22\DRR Jaime\Neiva CPI\[DINA TERCIARIOS_CF_SEC_New_27-Mar-2024.xlsx]D-PRB'!$BE$22</v>
      </c>
      <c r="J3584" s="37" t="s">
        <v>3604</v>
      </c>
    </row>
    <row r="3585" spans="1:10" x14ac:dyDescent="0.3">
      <c r="A3585" s="32" t="s">
        <v>20</v>
      </c>
      <c r="B3585" s="32">
        <f t="shared" si="853"/>
        <v>2034</v>
      </c>
      <c r="C3585" s="33" t="s">
        <v>28</v>
      </c>
      <c r="D3585" s="34" t="s">
        <v>2002</v>
      </c>
      <c r="E3585" s="35" t="str">
        <f t="shared" si="849"/>
        <v>PRB'!</v>
      </c>
      <c r="F3585" s="34" t="str">
        <f t="shared" si="850"/>
        <v>C:\Users\jaime.benazar\Quorum Business Solutions\Ecopetrol Prometeo - Documents\Planning Space Implementation\3. Analysis &amp; Design\Design\FC22\DRR Jaime\Neiva CPI\[DINA TERCIARIOS_CF_SEC_New_27-Mar-2024.xlsx]D-PRB'!</v>
      </c>
      <c r="G3585" s="32" t="s">
        <v>124</v>
      </c>
      <c r="H3585" s="33">
        <f t="shared" si="852"/>
        <v>23</v>
      </c>
      <c r="I3585" s="33" t="str">
        <f t="shared" si="851"/>
        <v>='C:\Users\jaime.benazar\Quorum Business Solutions\Ecopetrol Prometeo - Documents\Planning Space Implementation\3. Analysis &amp; Design\Design\FC22\DRR Jaime\Neiva CPI\[DINA TERCIARIOS_CF_SEC_New_27-Mar-2024.xlsx]D-PRB'!$BE$23</v>
      </c>
      <c r="J3585" s="37" t="s">
        <v>3605</v>
      </c>
    </row>
    <row r="3586" spans="1:10" x14ac:dyDescent="0.3">
      <c r="A3586" s="32" t="s">
        <v>20</v>
      </c>
      <c r="B3586" s="32">
        <f t="shared" si="853"/>
        <v>2035</v>
      </c>
      <c r="C3586" s="33" t="s">
        <v>28</v>
      </c>
      <c r="D3586" s="34" t="s">
        <v>2002</v>
      </c>
      <c r="E3586" s="35" t="str">
        <f t="shared" si="849"/>
        <v>PRB'!</v>
      </c>
      <c r="F3586" s="34" t="str">
        <f t="shared" si="850"/>
        <v>C:\Users\jaime.benazar\Quorum Business Solutions\Ecopetrol Prometeo - Documents\Planning Space Implementation\3. Analysis &amp; Design\Design\FC22\DRR Jaime\Neiva CPI\[DINA TERCIARIOS_CF_SEC_New_27-Mar-2024.xlsx]D-PRB'!</v>
      </c>
      <c r="G3586" s="32" t="s">
        <v>124</v>
      </c>
      <c r="H3586" s="33">
        <f t="shared" si="852"/>
        <v>24</v>
      </c>
      <c r="I3586" s="33" t="str">
        <f t="shared" si="851"/>
        <v>='C:\Users\jaime.benazar\Quorum Business Solutions\Ecopetrol Prometeo - Documents\Planning Space Implementation\3. Analysis &amp; Design\Design\FC22\DRR Jaime\Neiva CPI\[DINA TERCIARIOS_CF_SEC_New_27-Mar-2024.xlsx]D-PRB'!$BE$24</v>
      </c>
      <c r="J3586" s="37" t="s">
        <v>3606</v>
      </c>
    </row>
    <row r="3587" spans="1:10" x14ac:dyDescent="0.3">
      <c r="A3587" s="32" t="s">
        <v>20</v>
      </c>
      <c r="B3587" s="32">
        <f t="shared" si="853"/>
        <v>2036</v>
      </c>
      <c r="C3587" s="33" t="s">
        <v>28</v>
      </c>
      <c r="D3587" s="34" t="s">
        <v>2002</v>
      </c>
      <c r="E3587" s="35" t="str">
        <f t="shared" si="849"/>
        <v>PRB'!</v>
      </c>
      <c r="F3587" s="34" t="str">
        <f t="shared" si="850"/>
        <v>C:\Users\jaime.benazar\Quorum Business Solutions\Ecopetrol Prometeo - Documents\Planning Space Implementation\3. Analysis &amp; Design\Design\FC22\DRR Jaime\Neiva CPI\[DINA TERCIARIOS_CF_SEC_New_27-Mar-2024.xlsx]D-PRB'!</v>
      </c>
      <c r="G3587" s="32" t="s">
        <v>124</v>
      </c>
      <c r="H3587" s="33">
        <f t="shared" si="852"/>
        <v>25</v>
      </c>
      <c r="I3587" s="33" t="str">
        <f t="shared" si="851"/>
        <v>='C:\Users\jaime.benazar\Quorum Business Solutions\Ecopetrol Prometeo - Documents\Planning Space Implementation\3. Analysis &amp; Design\Design\FC22\DRR Jaime\Neiva CPI\[DINA TERCIARIOS_CF_SEC_New_27-Mar-2024.xlsx]D-PRB'!$BE$25</v>
      </c>
      <c r="J3587" s="37" t="s">
        <v>3607</v>
      </c>
    </row>
    <row r="3588" spans="1:10" x14ac:dyDescent="0.3">
      <c r="A3588" s="32" t="s">
        <v>20</v>
      </c>
      <c r="B3588" s="32">
        <f>+B3587+1</f>
        <v>2037</v>
      </c>
      <c r="C3588" s="33" t="s">
        <v>28</v>
      </c>
      <c r="D3588" s="34" t="s">
        <v>2002</v>
      </c>
      <c r="E3588" s="35" t="str">
        <f t="shared" si="849"/>
        <v>PRB'!</v>
      </c>
      <c r="F3588" s="34" t="str">
        <f t="shared" si="850"/>
        <v>C:\Users\jaime.benazar\Quorum Business Solutions\Ecopetrol Prometeo - Documents\Planning Space Implementation\3. Analysis &amp; Design\Design\FC22\DRR Jaime\Neiva CPI\[DINA TERCIARIOS_CF_SEC_New_27-Mar-2024.xlsx]D-PRB'!</v>
      </c>
      <c r="G3588" s="32" t="s">
        <v>124</v>
      </c>
      <c r="H3588" s="33">
        <f t="shared" si="852"/>
        <v>26</v>
      </c>
      <c r="I3588" s="33" t="str">
        <f t="shared" si="851"/>
        <v>='C:\Users\jaime.benazar\Quorum Business Solutions\Ecopetrol Prometeo - Documents\Planning Space Implementation\3. Analysis &amp; Design\Design\FC22\DRR Jaime\Neiva CPI\[DINA TERCIARIOS_CF_SEC_New_27-Mar-2024.xlsx]D-PRB'!$BE$26</v>
      </c>
      <c r="J3588" s="37" t="s">
        <v>3608</v>
      </c>
    </row>
    <row r="3589" spans="1:10" x14ac:dyDescent="0.3">
      <c r="A3589" s="32" t="s">
        <v>20</v>
      </c>
      <c r="B3589" s="32">
        <f t="shared" ref="B3589:B3591" si="854">+B3588+1</f>
        <v>2038</v>
      </c>
      <c r="C3589" s="33" t="s">
        <v>28</v>
      </c>
      <c r="D3589" s="34" t="s">
        <v>2002</v>
      </c>
      <c r="E3589" s="35" t="str">
        <f t="shared" si="849"/>
        <v>PRB'!</v>
      </c>
      <c r="F3589" s="34" t="str">
        <f t="shared" si="850"/>
        <v>C:\Users\jaime.benazar\Quorum Business Solutions\Ecopetrol Prometeo - Documents\Planning Space Implementation\3. Analysis &amp; Design\Design\FC22\DRR Jaime\Neiva CPI\[DINA TERCIARIOS_CF_SEC_New_27-Mar-2024.xlsx]D-PRB'!</v>
      </c>
      <c r="G3589" s="32" t="s">
        <v>124</v>
      </c>
      <c r="H3589" s="33">
        <f t="shared" si="852"/>
        <v>27</v>
      </c>
      <c r="I3589" s="33" t="str">
        <f t="shared" si="851"/>
        <v>='C:\Users\jaime.benazar\Quorum Business Solutions\Ecopetrol Prometeo - Documents\Planning Space Implementation\3. Analysis &amp; Design\Design\FC22\DRR Jaime\Neiva CPI\[DINA TERCIARIOS_CF_SEC_New_27-Mar-2024.xlsx]D-PRB'!$BE$27</v>
      </c>
      <c r="J3589" s="37" t="s">
        <v>3609</v>
      </c>
    </row>
    <row r="3590" spans="1:10" x14ac:dyDescent="0.3">
      <c r="A3590" s="32" t="s">
        <v>20</v>
      </c>
      <c r="B3590" s="32">
        <f t="shared" si="854"/>
        <v>2039</v>
      </c>
      <c r="C3590" s="33" t="s">
        <v>28</v>
      </c>
      <c r="D3590" s="34" t="s">
        <v>2002</v>
      </c>
      <c r="E3590" s="35" t="str">
        <f t="shared" si="849"/>
        <v>PRB'!</v>
      </c>
      <c r="F3590" s="34" t="str">
        <f t="shared" si="850"/>
        <v>C:\Users\jaime.benazar\Quorum Business Solutions\Ecopetrol Prometeo - Documents\Planning Space Implementation\3. Analysis &amp; Design\Design\FC22\DRR Jaime\Neiva CPI\[DINA TERCIARIOS_CF_SEC_New_27-Mar-2024.xlsx]D-PRB'!</v>
      </c>
      <c r="G3590" s="32" t="s">
        <v>124</v>
      </c>
      <c r="H3590" s="33">
        <f t="shared" si="852"/>
        <v>28</v>
      </c>
      <c r="I3590" s="33" t="str">
        <f t="shared" si="851"/>
        <v>='C:\Users\jaime.benazar\Quorum Business Solutions\Ecopetrol Prometeo - Documents\Planning Space Implementation\3. Analysis &amp; Design\Design\FC22\DRR Jaime\Neiva CPI\[DINA TERCIARIOS_CF_SEC_New_27-Mar-2024.xlsx]D-PRB'!$BE$28</v>
      </c>
      <c r="J3590" s="37" t="s">
        <v>3610</v>
      </c>
    </row>
    <row r="3591" spans="1:10" x14ac:dyDescent="0.3">
      <c r="A3591" s="32" t="s">
        <v>20</v>
      </c>
      <c r="B3591" s="32">
        <f t="shared" si="854"/>
        <v>2040</v>
      </c>
      <c r="C3591" s="33" t="s">
        <v>28</v>
      </c>
      <c r="D3591" s="34" t="s">
        <v>2002</v>
      </c>
      <c r="E3591" s="35" t="str">
        <f t="shared" si="849"/>
        <v>PRB'!</v>
      </c>
      <c r="F3591" s="34" t="str">
        <f t="shared" si="850"/>
        <v>C:\Users\jaime.benazar\Quorum Business Solutions\Ecopetrol Prometeo - Documents\Planning Space Implementation\3. Analysis &amp; Design\Design\FC22\DRR Jaime\Neiva CPI\[DINA TERCIARIOS_CF_SEC_New_27-Mar-2024.xlsx]D-PRB'!</v>
      </c>
      <c r="G3591" s="32" t="s">
        <v>124</v>
      </c>
      <c r="H3591" s="33">
        <f t="shared" si="852"/>
        <v>29</v>
      </c>
      <c r="I3591" s="33" t="str">
        <f t="shared" si="851"/>
        <v>='C:\Users\jaime.benazar\Quorum Business Solutions\Ecopetrol Prometeo - Documents\Planning Space Implementation\3. Analysis &amp; Design\Design\FC22\DRR Jaime\Neiva CPI\[DINA TERCIARIOS_CF_SEC_New_27-Mar-2024.xlsx]D-PRB'!$BE$29</v>
      </c>
      <c r="J3591" s="37" t="s">
        <v>3611</v>
      </c>
    </row>
    <row r="3592" spans="1:10" x14ac:dyDescent="0.3">
      <c r="A3592" s="32" t="s">
        <v>20</v>
      </c>
      <c r="B3592" s="32">
        <f>+B3591+1</f>
        <v>2041</v>
      </c>
      <c r="C3592" s="33" t="s">
        <v>28</v>
      </c>
      <c r="D3592" s="34" t="s">
        <v>2002</v>
      </c>
      <c r="E3592" s="35" t="str">
        <f t="shared" si="849"/>
        <v>PRB'!</v>
      </c>
      <c r="F3592" s="34" t="str">
        <f t="shared" si="850"/>
        <v>C:\Users\jaime.benazar\Quorum Business Solutions\Ecopetrol Prometeo - Documents\Planning Space Implementation\3. Analysis &amp; Design\Design\FC22\DRR Jaime\Neiva CPI\[DINA TERCIARIOS_CF_SEC_New_27-Mar-2024.xlsx]D-PRB'!</v>
      </c>
      <c r="G3592" s="32" t="s">
        <v>124</v>
      </c>
      <c r="H3592" s="33">
        <f t="shared" si="852"/>
        <v>30</v>
      </c>
      <c r="I3592" s="33" t="str">
        <f t="shared" si="851"/>
        <v>='C:\Users\jaime.benazar\Quorum Business Solutions\Ecopetrol Prometeo - Documents\Planning Space Implementation\3. Analysis &amp; Design\Design\FC22\DRR Jaime\Neiva CPI\[DINA TERCIARIOS_CF_SEC_New_27-Mar-2024.xlsx]D-PRB'!$BE$30</v>
      </c>
      <c r="J3592" s="37" t="s">
        <v>3612</v>
      </c>
    </row>
    <row r="3593" spans="1:10" x14ac:dyDescent="0.3">
      <c r="A3593" s="32" t="s">
        <v>20</v>
      </c>
      <c r="B3593" s="32">
        <f t="shared" ref="B3593:B3594" si="855">+B3592+1</f>
        <v>2042</v>
      </c>
      <c r="C3593" s="33" t="s">
        <v>28</v>
      </c>
      <c r="D3593" s="34" t="s">
        <v>2002</v>
      </c>
      <c r="E3593" s="35" t="str">
        <f t="shared" si="849"/>
        <v>PRB'!</v>
      </c>
      <c r="F3593" s="34" t="str">
        <f t="shared" si="850"/>
        <v>C:\Users\jaime.benazar\Quorum Business Solutions\Ecopetrol Prometeo - Documents\Planning Space Implementation\3. Analysis &amp; Design\Design\FC22\DRR Jaime\Neiva CPI\[DINA TERCIARIOS_CF_SEC_New_27-Mar-2024.xlsx]D-PRB'!</v>
      </c>
      <c r="G3593" s="32" t="s">
        <v>124</v>
      </c>
      <c r="H3593" s="33">
        <f t="shared" si="852"/>
        <v>31</v>
      </c>
      <c r="I3593" s="33" t="str">
        <f t="shared" si="851"/>
        <v>='C:\Users\jaime.benazar\Quorum Business Solutions\Ecopetrol Prometeo - Documents\Planning Space Implementation\3. Analysis &amp; Design\Design\FC22\DRR Jaime\Neiva CPI\[DINA TERCIARIOS_CF_SEC_New_27-Mar-2024.xlsx]D-PRB'!$BE$31</v>
      </c>
      <c r="J3593" s="37" t="s">
        <v>3613</v>
      </c>
    </row>
    <row r="3594" spans="1:10" x14ac:dyDescent="0.3">
      <c r="A3594" s="32" t="s">
        <v>20</v>
      </c>
      <c r="B3594" s="32">
        <f t="shared" si="855"/>
        <v>2043</v>
      </c>
      <c r="C3594" s="33" t="s">
        <v>28</v>
      </c>
      <c r="D3594" s="34" t="s">
        <v>2002</v>
      </c>
      <c r="E3594" s="35" t="str">
        <f t="shared" si="849"/>
        <v>PRB'!</v>
      </c>
      <c r="F3594" s="34" t="str">
        <f t="shared" si="850"/>
        <v>C:\Users\jaime.benazar\Quorum Business Solutions\Ecopetrol Prometeo - Documents\Planning Space Implementation\3. Analysis &amp; Design\Design\FC22\DRR Jaime\Neiva CPI\[DINA TERCIARIOS_CF_SEC_New_27-Mar-2024.xlsx]D-PRB'!</v>
      </c>
      <c r="G3594" s="32" t="s">
        <v>124</v>
      </c>
      <c r="H3594" s="33">
        <f t="shared" si="852"/>
        <v>32</v>
      </c>
      <c r="I3594" s="33" t="str">
        <f t="shared" si="851"/>
        <v>='C:\Users\jaime.benazar\Quorum Business Solutions\Ecopetrol Prometeo - Documents\Planning Space Implementation\3. Analysis &amp; Design\Design\FC22\DRR Jaime\Neiva CPI\[DINA TERCIARIOS_CF_SEC_New_27-Mar-2024.xlsx]D-PRB'!$BE$32</v>
      </c>
      <c r="J3594" s="37" t="s">
        <v>3614</v>
      </c>
    </row>
    <row r="3595" spans="1:10" x14ac:dyDescent="0.3">
      <c r="A3595" s="32" t="s">
        <v>20</v>
      </c>
      <c r="B3595" s="32">
        <f>+B3594+1</f>
        <v>2044</v>
      </c>
      <c r="C3595" s="33" t="s">
        <v>28</v>
      </c>
      <c r="D3595" s="34" t="s">
        <v>2002</v>
      </c>
      <c r="E3595" s="35" t="str">
        <f t="shared" ref="E3595:E3610" si="856">_xlfn.CONCAT(A3595,"'!")</f>
        <v>PRB'!</v>
      </c>
      <c r="F3595" s="34" t="str">
        <f t="shared" ref="F3595:F3610" si="857">_xlfn.CONCAT(D3595:E3595)</f>
        <v>C:\Users\jaime.benazar\Quorum Business Solutions\Ecopetrol Prometeo - Documents\Planning Space Implementation\3. Analysis &amp; Design\Design\FC22\DRR Jaime\Neiva CPI\[DINA TERCIARIOS_CF_SEC_New_27-Mar-2024.xlsx]D-PRB'!</v>
      </c>
      <c r="G3595" s="32" t="s">
        <v>124</v>
      </c>
      <c r="H3595" s="33">
        <f t="shared" ref="H3595:H3610" si="858">IF(A3595&lt;&gt;A3594,36,H3594+1)</f>
        <v>33</v>
      </c>
      <c r="I3595" s="33" t="str">
        <f t="shared" ref="I3595:I3610" si="859">_xlfn.CONCAT("='",F3595:H3595)</f>
        <v>='C:\Users\jaime.benazar\Quorum Business Solutions\Ecopetrol Prometeo - Documents\Planning Space Implementation\3. Analysis &amp; Design\Design\FC22\DRR Jaime\Neiva CPI\[DINA TERCIARIOS_CF_SEC_New_27-Mar-2024.xlsx]D-PRB'!$BE$33</v>
      </c>
      <c r="J3595" s="37" t="s">
        <v>3615</v>
      </c>
    </row>
    <row r="3596" spans="1:10" x14ac:dyDescent="0.3">
      <c r="A3596" s="32" t="s">
        <v>20</v>
      </c>
      <c r="B3596" s="32">
        <f t="shared" ref="B3596:B3610" si="860">+B3595+1</f>
        <v>2045</v>
      </c>
      <c r="C3596" s="33" t="s">
        <v>28</v>
      </c>
      <c r="D3596" s="34" t="s">
        <v>2002</v>
      </c>
      <c r="E3596" s="35" t="str">
        <f t="shared" si="856"/>
        <v>PRB'!</v>
      </c>
      <c r="F3596" s="34" t="str">
        <f t="shared" si="857"/>
        <v>C:\Users\jaime.benazar\Quorum Business Solutions\Ecopetrol Prometeo - Documents\Planning Space Implementation\3. Analysis &amp; Design\Design\FC22\DRR Jaime\Neiva CPI\[DINA TERCIARIOS_CF_SEC_New_27-Mar-2024.xlsx]D-PRB'!</v>
      </c>
      <c r="G3596" s="32" t="s">
        <v>124</v>
      </c>
      <c r="H3596" s="33">
        <f t="shared" si="858"/>
        <v>34</v>
      </c>
      <c r="I3596" s="33" t="str">
        <f t="shared" si="859"/>
        <v>='C:\Users\jaime.benazar\Quorum Business Solutions\Ecopetrol Prometeo - Documents\Planning Space Implementation\3. Analysis &amp; Design\Design\FC22\DRR Jaime\Neiva CPI\[DINA TERCIARIOS_CF_SEC_New_27-Mar-2024.xlsx]D-PRB'!$BE$34</v>
      </c>
      <c r="J3596" s="37" t="s">
        <v>3616</v>
      </c>
    </row>
    <row r="3597" spans="1:10" x14ac:dyDescent="0.3">
      <c r="A3597" s="32" t="s">
        <v>20</v>
      </c>
      <c r="B3597" s="32">
        <f t="shared" si="860"/>
        <v>2046</v>
      </c>
      <c r="C3597" s="33" t="s">
        <v>28</v>
      </c>
      <c r="D3597" s="34" t="s">
        <v>2002</v>
      </c>
      <c r="E3597" s="35" t="str">
        <f t="shared" si="856"/>
        <v>PRB'!</v>
      </c>
      <c r="F3597" s="34" t="str">
        <f t="shared" si="857"/>
        <v>C:\Users\jaime.benazar\Quorum Business Solutions\Ecopetrol Prometeo - Documents\Planning Space Implementation\3. Analysis &amp; Design\Design\FC22\DRR Jaime\Neiva CPI\[DINA TERCIARIOS_CF_SEC_New_27-Mar-2024.xlsx]D-PRB'!</v>
      </c>
      <c r="G3597" s="32" t="s">
        <v>124</v>
      </c>
      <c r="H3597" s="33">
        <f t="shared" si="858"/>
        <v>35</v>
      </c>
      <c r="I3597" s="33" t="str">
        <f t="shared" si="859"/>
        <v>='C:\Users\jaime.benazar\Quorum Business Solutions\Ecopetrol Prometeo - Documents\Planning Space Implementation\3. Analysis &amp; Design\Design\FC22\DRR Jaime\Neiva CPI\[DINA TERCIARIOS_CF_SEC_New_27-Mar-2024.xlsx]D-PRB'!$BE$35</v>
      </c>
      <c r="J3597" s="37" t="s">
        <v>3617</v>
      </c>
    </row>
    <row r="3598" spans="1:10" x14ac:dyDescent="0.3">
      <c r="A3598" s="32" t="s">
        <v>20</v>
      </c>
      <c r="B3598" s="32">
        <f t="shared" si="860"/>
        <v>2047</v>
      </c>
      <c r="C3598" s="33" t="s">
        <v>28</v>
      </c>
      <c r="D3598" s="34" t="s">
        <v>2002</v>
      </c>
      <c r="E3598" s="35" t="str">
        <f t="shared" si="856"/>
        <v>PRB'!</v>
      </c>
      <c r="F3598" s="34" t="str">
        <f t="shared" si="857"/>
        <v>C:\Users\jaime.benazar\Quorum Business Solutions\Ecopetrol Prometeo - Documents\Planning Space Implementation\3. Analysis &amp; Design\Design\FC22\DRR Jaime\Neiva CPI\[DINA TERCIARIOS_CF_SEC_New_27-Mar-2024.xlsx]D-PRB'!</v>
      </c>
      <c r="G3598" s="32" t="s">
        <v>124</v>
      </c>
      <c r="H3598" s="33">
        <f t="shared" si="858"/>
        <v>36</v>
      </c>
      <c r="I3598" s="33" t="str">
        <f t="shared" si="859"/>
        <v>='C:\Users\jaime.benazar\Quorum Business Solutions\Ecopetrol Prometeo - Documents\Planning Space Implementation\3. Analysis &amp; Design\Design\FC22\DRR Jaime\Neiva CPI\[DINA TERCIARIOS_CF_SEC_New_27-Mar-2024.xlsx]D-PRB'!$BE$36</v>
      </c>
      <c r="J3598" s="37" t="s">
        <v>3618</v>
      </c>
    </row>
    <row r="3599" spans="1:10" x14ac:dyDescent="0.3">
      <c r="A3599" s="32" t="s">
        <v>20</v>
      </c>
      <c r="B3599" s="32">
        <f t="shared" si="860"/>
        <v>2048</v>
      </c>
      <c r="C3599" s="33" t="s">
        <v>28</v>
      </c>
      <c r="D3599" s="34" t="s">
        <v>2002</v>
      </c>
      <c r="E3599" s="35" t="str">
        <f t="shared" si="856"/>
        <v>PRB'!</v>
      </c>
      <c r="F3599" s="34" t="str">
        <f t="shared" si="857"/>
        <v>C:\Users\jaime.benazar\Quorum Business Solutions\Ecopetrol Prometeo - Documents\Planning Space Implementation\3. Analysis &amp; Design\Design\FC22\DRR Jaime\Neiva CPI\[DINA TERCIARIOS_CF_SEC_New_27-Mar-2024.xlsx]D-PRB'!</v>
      </c>
      <c r="G3599" s="32" t="s">
        <v>124</v>
      </c>
      <c r="H3599" s="33">
        <f t="shared" si="858"/>
        <v>37</v>
      </c>
      <c r="I3599" s="33" t="str">
        <f t="shared" si="859"/>
        <v>='C:\Users\jaime.benazar\Quorum Business Solutions\Ecopetrol Prometeo - Documents\Planning Space Implementation\3. Analysis &amp; Design\Design\FC22\DRR Jaime\Neiva CPI\[DINA TERCIARIOS_CF_SEC_New_27-Mar-2024.xlsx]D-PRB'!$BE$37</v>
      </c>
      <c r="J3599" s="37" t="s">
        <v>3619</v>
      </c>
    </row>
    <row r="3600" spans="1:10" x14ac:dyDescent="0.3">
      <c r="A3600" s="32" t="s">
        <v>20</v>
      </c>
      <c r="B3600" s="32">
        <f t="shared" si="860"/>
        <v>2049</v>
      </c>
      <c r="C3600" s="33" t="s">
        <v>28</v>
      </c>
      <c r="D3600" s="34" t="s">
        <v>2002</v>
      </c>
      <c r="E3600" s="35" t="str">
        <f t="shared" si="856"/>
        <v>PRB'!</v>
      </c>
      <c r="F3600" s="34" t="str">
        <f t="shared" si="857"/>
        <v>C:\Users\jaime.benazar\Quorum Business Solutions\Ecopetrol Prometeo - Documents\Planning Space Implementation\3. Analysis &amp; Design\Design\FC22\DRR Jaime\Neiva CPI\[DINA TERCIARIOS_CF_SEC_New_27-Mar-2024.xlsx]D-PRB'!</v>
      </c>
      <c r="G3600" s="32" t="s">
        <v>124</v>
      </c>
      <c r="H3600" s="33">
        <f t="shared" si="858"/>
        <v>38</v>
      </c>
      <c r="I3600" s="33" t="str">
        <f t="shared" si="859"/>
        <v>='C:\Users\jaime.benazar\Quorum Business Solutions\Ecopetrol Prometeo - Documents\Planning Space Implementation\3. Analysis &amp; Design\Design\FC22\DRR Jaime\Neiva CPI\[DINA TERCIARIOS_CF_SEC_New_27-Mar-2024.xlsx]D-PRB'!$BE$38</v>
      </c>
      <c r="J3600" s="37" t="s">
        <v>3620</v>
      </c>
    </row>
    <row r="3601" spans="1:10" x14ac:dyDescent="0.3">
      <c r="A3601" s="32" t="s">
        <v>20</v>
      </c>
      <c r="B3601" s="32">
        <f t="shared" si="860"/>
        <v>2050</v>
      </c>
      <c r="C3601" s="33" t="s">
        <v>28</v>
      </c>
      <c r="D3601" s="34" t="s">
        <v>2002</v>
      </c>
      <c r="E3601" s="35" t="str">
        <f t="shared" si="856"/>
        <v>PRB'!</v>
      </c>
      <c r="F3601" s="34" t="str">
        <f t="shared" si="857"/>
        <v>C:\Users\jaime.benazar\Quorum Business Solutions\Ecopetrol Prometeo - Documents\Planning Space Implementation\3. Analysis &amp; Design\Design\FC22\DRR Jaime\Neiva CPI\[DINA TERCIARIOS_CF_SEC_New_27-Mar-2024.xlsx]D-PRB'!</v>
      </c>
      <c r="G3601" s="32" t="s">
        <v>124</v>
      </c>
      <c r="H3601" s="33">
        <f t="shared" si="858"/>
        <v>39</v>
      </c>
      <c r="I3601" s="33" t="str">
        <f t="shared" si="859"/>
        <v>='C:\Users\jaime.benazar\Quorum Business Solutions\Ecopetrol Prometeo - Documents\Planning Space Implementation\3. Analysis &amp; Design\Design\FC22\DRR Jaime\Neiva CPI\[DINA TERCIARIOS_CF_SEC_New_27-Mar-2024.xlsx]D-PRB'!$BE$39</v>
      </c>
      <c r="J3601" s="37" t="s">
        <v>3621</v>
      </c>
    </row>
    <row r="3602" spans="1:10" x14ac:dyDescent="0.3">
      <c r="A3602" s="32" t="s">
        <v>20</v>
      </c>
      <c r="B3602" s="32">
        <f t="shared" si="860"/>
        <v>2051</v>
      </c>
      <c r="C3602" s="33" t="s">
        <v>28</v>
      </c>
      <c r="D3602" s="34" t="s">
        <v>2002</v>
      </c>
      <c r="E3602" s="35" t="str">
        <f t="shared" si="856"/>
        <v>PRB'!</v>
      </c>
      <c r="F3602" s="34" t="str">
        <f t="shared" si="857"/>
        <v>C:\Users\jaime.benazar\Quorum Business Solutions\Ecopetrol Prometeo - Documents\Planning Space Implementation\3. Analysis &amp; Design\Design\FC22\DRR Jaime\Neiva CPI\[DINA TERCIARIOS_CF_SEC_New_27-Mar-2024.xlsx]D-PRB'!</v>
      </c>
      <c r="G3602" s="32" t="s">
        <v>124</v>
      </c>
      <c r="H3602" s="33">
        <f t="shared" si="858"/>
        <v>40</v>
      </c>
      <c r="I3602" s="33" t="str">
        <f t="shared" si="859"/>
        <v>='C:\Users\jaime.benazar\Quorum Business Solutions\Ecopetrol Prometeo - Documents\Planning Space Implementation\3. Analysis &amp; Design\Design\FC22\DRR Jaime\Neiva CPI\[DINA TERCIARIOS_CF_SEC_New_27-Mar-2024.xlsx]D-PRB'!$BE$40</v>
      </c>
      <c r="J3602" s="37" t="s">
        <v>3622</v>
      </c>
    </row>
    <row r="3603" spans="1:10" x14ac:dyDescent="0.3">
      <c r="A3603" s="32" t="s">
        <v>20</v>
      </c>
      <c r="B3603" s="32">
        <f t="shared" si="860"/>
        <v>2052</v>
      </c>
      <c r="C3603" s="33" t="s">
        <v>28</v>
      </c>
      <c r="D3603" s="34" t="s">
        <v>2002</v>
      </c>
      <c r="E3603" s="35" t="str">
        <f t="shared" si="856"/>
        <v>PRB'!</v>
      </c>
      <c r="F3603" s="34" t="str">
        <f t="shared" si="857"/>
        <v>C:\Users\jaime.benazar\Quorum Business Solutions\Ecopetrol Prometeo - Documents\Planning Space Implementation\3. Analysis &amp; Design\Design\FC22\DRR Jaime\Neiva CPI\[DINA TERCIARIOS_CF_SEC_New_27-Mar-2024.xlsx]D-PRB'!</v>
      </c>
      <c r="G3603" s="32" t="s">
        <v>124</v>
      </c>
      <c r="H3603" s="33">
        <f t="shared" si="858"/>
        <v>41</v>
      </c>
      <c r="I3603" s="33" t="str">
        <f t="shared" si="859"/>
        <v>='C:\Users\jaime.benazar\Quorum Business Solutions\Ecopetrol Prometeo - Documents\Planning Space Implementation\3. Analysis &amp; Design\Design\FC22\DRR Jaime\Neiva CPI\[DINA TERCIARIOS_CF_SEC_New_27-Mar-2024.xlsx]D-PRB'!$BE$41</v>
      </c>
      <c r="J3603" s="37" t="s">
        <v>3623</v>
      </c>
    </row>
    <row r="3604" spans="1:10" x14ac:dyDescent="0.3">
      <c r="A3604" s="32" t="s">
        <v>20</v>
      </c>
      <c r="B3604" s="32">
        <f t="shared" si="860"/>
        <v>2053</v>
      </c>
      <c r="C3604" s="33" t="s">
        <v>28</v>
      </c>
      <c r="D3604" s="34" t="s">
        <v>2002</v>
      </c>
      <c r="E3604" s="35" t="str">
        <f t="shared" si="856"/>
        <v>PRB'!</v>
      </c>
      <c r="F3604" s="34" t="str">
        <f t="shared" si="857"/>
        <v>C:\Users\jaime.benazar\Quorum Business Solutions\Ecopetrol Prometeo - Documents\Planning Space Implementation\3. Analysis &amp; Design\Design\FC22\DRR Jaime\Neiva CPI\[DINA TERCIARIOS_CF_SEC_New_27-Mar-2024.xlsx]D-PRB'!</v>
      </c>
      <c r="G3604" s="32" t="s">
        <v>124</v>
      </c>
      <c r="H3604" s="33">
        <f t="shared" si="858"/>
        <v>42</v>
      </c>
      <c r="I3604" s="33" t="str">
        <f t="shared" si="859"/>
        <v>='C:\Users\jaime.benazar\Quorum Business Solutions\Ecopetrol Prometeo - Documents\Planning Space Implementation\3. Analysis &amp; Design\Design\FC22\DRR Jaime\Neiva CPI\[DINA TERCIARIOS_CF_SEC_New_27-Mar-2024.xlsx]D-PRB'!$BE$42</v>
      </c>
      <c r="J3604" s="37" t="s">
        <v>3624</v>
      </c>
    </row>
    <row r="3605" spans="1:10" x14ac:dyDescent="0.3">
      <c r="A3605" s="32" t="s">
        <v>20</v>
      </c>
      <c r="B3605" s="32">
        <f t="shared" si="860"/>
        <v>2054</v>
      </c>
      <c r="C3605" s="33" t="s">
        <v>28</v>
      </c>
      <c r="D3605" s="34" t="s">
        <v>2002</v>
      </c>
      <c r="E3605" s="35" t="str">
        <f t="shared" si="856"/>
        <v>PRB'!</v>
      </c>
      <c r="F3605" s="34" t="str">
        <f t="shared" si="857"/>
        <v>C:\Users\jaime.benazar\Quorum Business Solutions\Ecopetrol Prometeo - Documents\Planning Space Implementation\3. Analysis &amp; Design\Design\FC22\DRR Jaime\Neiva CPI\[DINA TERCIARIOS_CF_SEC_New_27-Mar-2024.xlsx]D-PRB'!</v>
      </c>
      <c r="G3605" s="32" t="s">
        <v>124</v>
      </c>
      <c r="H3605" s="33">
        <f t="shared" si="858"/>
        <v>43</v>
      </c>
      <c r="I3605" s="33" t="str">
        <f t="shared" si="859"/>
        <v>='C:\Users\jaime.benazar\Quorum Business Solutions\Ecopetrol Prometeo - Documents\Planning Space Implementation\3. Analysis &amp; Design\Design\FC22\DRR Jaime\Neiva CPI\[DINA TERCIARIOS_CF_SEC_New_27-Mar-2024.xlsx]D-PRB'!$BE$43</v>
      </c>
      <c r="J3605" s="37" t="s">
        <v>3625</v>
      </c>
    </row>
    <row r="3606" spans="1:10" x14ac:dyDescent="0.3">
      <c r="A3606" s="32" t="s">
        <v>20</v>
      </c>
      <c r="B3606" s="32">
        <f t="shared" si="860"/>
        <v>2055</v>
      </c>
      <c r="C3606" s="33" t="s">
        <v>28</v>
      </c>
      <c r="D3606" s="34" t="s">
        <v>2002</v>
      </c>
      <c r="E3606" s="35" t="str">
        <f t="shared" si="856"/>
        <v>PRB'!</v>
      </c>
      <c r="F3606" s="34" t="str">
        <f t="shared" si="857"/>
        <v>C:\Users\jaime.benazar\Quorum Business Solutions\Ecopetrol Prometeo - Documents\Planning Space Implementation\3. Analysis &amp; Design\Design\FC22\DRR Jaime\Neiva CPI\[DINA TERCIARIOS_CF_SEC_New_27-Mar-2024.xlsx]D-PRB'!</v>
      </c>
      <c r="G3606" s="32" t="s">
        <v>124</v>
      </c>
      <c r="H3606" s="33">
        <f t="shared" si="858"/>
        <v>44</v>
      </c>
      <c r="I3606" s="33" t="str">
        <f t="shared" si="859"/>
        <v>='C:\Users\jaime.benazar\Quorum Business Solutions\Ecopetrol Prometeo - Documents\Planning Space Implementation\3. Analysis &amp; Design\Design\FC22\DRR Jaime\Neiva CPI\[DINA TERCIARIOS_CF_SEC_New_27-Mar-2024.xlsx]D-PRB'!$BE$44</v>
      </c>
      <c r="J3606" s="37" t="s">
        <v>3626</v>
      </c>
    </row>
    <row r="3607" spans="1:10" x14ac:dyDescent="0.3">
      <c r="A3607" s="32" t="s">
        <v>20</v>
      </c>
      <c r="B3607" s="32">
        <f t="shared" si="860"/>
        <v>2056</v>
      </c>
      <c r="C3607" s="33" t="s">
        <v>28</v>
      </c>
      <c r="D3607" s="34" t="s">
        <v>2002</v>
      </c>
      <c r="E3607" s="35" t="str">
        <f t="shared" si="856"/>
        <v>PRB'!</v>
      </c>
      <c r="F3607" s="34" t="str">
        <f t="shared" si="857"/>
        <v>C:\Users\jaime.benazar\Quorum Business Solutions\Ecopetrol Prometeo - Documents\Planning Space Implementation\3. Analysis &amp; Design\Design\FC22\DRR Jaime\Neiva CPI\[DINA TERCIARIOS_CF_SEC_New_27-Mar-2024.xlsx]D-PRB'!</v>
      </c>
      <c r="G3607" s="32" t="s">
        <v>124</v>
      </c>
      <c r="H3607" s="33">
        <f t="shared" si="858"/>
        <v>45</v>
      </c>
      <c r="I3607" s="33" t="str">
        <f t="shared" si="859"/>
        <v>='C:\Users\jaime.benazar\Quorum Business Solutions\Ecopetrol Prometeo - Documents\Planning Space Implementation\3. Analysis &amp; Design\Design\FC22\DRR Jaime\Neiva CPI\[DINA TERCIARIOS_CF_SEC_New_27-Mar-2024.xlsx]D-PRB'!$BE$45</v>
      </c>
      <c r="J3607" s="37" t="s">
        <v>3627</v>
      </c>
    </row>
    <row r="3608" spans="1:10" x14ac:dyDescent="0.3">
      <c r="A3608" s="32" t="s">
        <v>20</v>
      </c>
      <c r="B3608" s="32">
        <f t="shared" si="860"/>
        <v>2057</v>
      </c>
      <c r="C3608" s="33" t="s">
        <v>28</v>
      </c>
      <c r="D3608" s="34" t="s">
        <v>2002</v>
      </c>
      <c r="E3608" s="35" t="str">
        <f t="shared" si="856"/>
        <v>PRB'!</v>
      </c>
      <c r="F3608" s="34" t="str">
        <f t="shared" si="857"/>
        <v>C:\Users\jaime.benazar\Quorum Business Solutions\Ecopetrol Prometeo - Documents\Planning Space Implementation\3. Analysis &amp; Design\Design\FC22\DRR Jaime\Neiva CPI\[DINA TERCIARIOS_CF_SEC_New_27-Mar-2024.xlsx]D-PRB'!</v>
      </c>
      <c r="G3608" s="32" t="s">
        <v>124</v>
      </c>
      <c r="H3608" s="33">
        <f t="shared" si="858"/>
        <v>46</v>
      </c>
      <c r="I3608" s="33" t="str">
        <f t="shared" si="859"/>
        <v>='C:\Users\jaime.benazar\Quorum Business Solutions\Ecopetrol Prometeo - Documents\Planning Space Implementation\3. Analysis &amp; Design\Design\FC22\DRR Jaime\Neiva CPI\[DINA TERCIARIOS_CF_SEC_New_27-Mar-2024.xlsx]D-PRB'!$BE$46</v>
      </c>
      <c r="J3608" s="37" t="s">
        <v>3628</v>
      </c>
    </row>
    <row r="3609" spans="1:10" x14ac:dyDescent="0.3">
      <c r="A3609" s="32" t="s">
        <v>20</v>
      </c>
      <c r="B3609" s="32">
        <f t="shared" si="860"/>
        <v>2058</v>
      </c>
      <c r="C3609" s="33" t="s">
        <v>28</v>
      </c>
      <c r="D3609" s="34" t="s">
        <v>2002</v>
      </c>
      <c r="E3609" s="35" t="str">
        <f t="shared" si="856"/>
        <v>PRB'!</v>
      </c>
      <c r="F3609" s="34" t="str">
        <f t="shared" si="857"/>
        <v>C:\Users\jaime.benazar\Quorum Business Solutions\Ecopetrol Prometeo - Documents\Planning Space Implementation\3. Analysis &amp; Design\Design\FC22\DRR Jaime\Neiva CPI\[DINA TERCIARIOS_CF_SEC_New_27-Mar-2024.xlsx]D-PRB'!</v>
      </c>
      <c r="G3609" s="32" t="s">
        <v>124</v>
      </c>
      <c r="H3609" s="33">
        <f t="shared" si="858"/>
        <v>47</v>
      </c>
      <c r="I3609" s="33" t="str">
        <f t="shared" si="859"/>
        <v>='C:\Users\jaime.benazar\Quorum Business Solutions\Ecopetrol Prometeo - Documents\Planning Space Implementation\3. Analysis &amp; Design\Design\FC22\DRR Jaime\Neiva CPI\[DINA TERCIARIOS_CF_SEC_New_27-Mar-2024.xlsx]D-PRB'!$BE$47</v>
      </c>
      <c r="J3609" s="37" t="s">
        <v>3629</v>
      </c>
    </row>
    <row r="3610" spans="1:10" x14ac:dyDescent="0.3">
      <c r="A3610" s="32" t="s">
        <v>20</v>
      </c>
      <c r="B3610" s="32">
        <f t="shared" si="860"/>
        <v>2059</v>
      </c>
      <c r="C3610" s="33" t="s">
        <v>28</v>
      </c>
      <c r="D3610" s="34" t="s">
        <v>2002</v>
      </c>
      <c r="E3610" s="35" t="str">
        <f t="shared" si="856"/>
        <v>PRB'!</v>
      </c>
      <c r="F3610" s="34" t="str">
        <f t="shared" si="857"/>
        <v>C:\Users\jaime.benazar\Quorum Business Solutions\Ecopetrol Prometeo - Documents\Planning Space Implementation\3. Analysis &amp; Design\Design\FC22\DRR Jaime\Neiva CPI\[DINA TERCIARIOS_CF_SEC_New_27-Mar-2024.xlsx]D-PRB'!</v>
      </c>
      <c r="G3610" s="32" t="s">
        <v>124</v>
      </c>
      <c r="H3610" s="33">
        <f t="shared" si="858"/>
        <v>48</v>
      </c>
      <c r="I3610" s="33" t="str">
        <f t="shared" si="859"/>
        <v>='C:\Users\jaime.benazar\Quorum Business Solutions\Ecopetrol Prometeo - Documents\Planning Space Implementation\3. Analysis &amp; Design\Design\FC22\DRR Jaime\Neiva CPI\[DINA TERCIARIOS_CF_SEC_New_27-Mar-2024.xlsx]D-PRB'!$BE$48</v>
      </c>
      <c r="J3610" s="37" t="s">
        <v>3630</v>
      </c>
    </row>
    <row r="3611" spans="1:10" x14ac:dyDescent="0.3">
      <c r="A3611" s="32" t="s">
        <v>26</v>
      </c>
      <c r="B3611" s="32"/>
      <c r="C3611" s="33" t="s">
        <v>28</v>
      </c>
      <c r="D3611" s="34"/>
      <c r="E3611" s="35"/>
      <c r="F3611" s="34"/>
      <c r="G3611" s="32"/>
      <c r="H3611" s="33"/>
      <c r="I3611" s="33"/>
      <c r="J3611" s="33"/>
    </row>
    <row r="3612" spans="1:10" x14ac:dyDescent="0.3">
      <c r="A3612" s="32" t="s">
        <v>21</v>
      </c>
      <c r="B3612" s="32">
        <v>2023</v>
      </c>
      <c r="C3612" s="33" t="s">
        <v>28</v>
      </c>
      <c r="D3612" s="34" t="s">
        <v>2002</v>
      </c>
      <c r="E3612" s="35" t="str">
        <f t="shared" ref="E3612:E3632" si="861">_xlfn.CONCAT(A3612,"'!")</f>
        <v>PSDP'!</v>
      </c>
      <c r="F3612" s="34" t="str">
        <f t="shared" ref="F3612:F3632" si="862">_xlfn.CONCAT(D3612:E3612)</f>
        <v>C:\Users\jaime.benazar\Quorum Business Solutions\Ecopetrol Prometeo - Documents\Planning Space Implementation\3. Analysis &amp; Design\Design\FC22\DRR Jaime\Neiva CPI\[DINA TERCIARIOS_CF_SEC_New_27-Mar-2024.xlsx]D-PSDP'!</v>
      </c>
      <c r="G3612" s="32" t="s">
        <v>124</v>
      </c>
      <c r="H3612" s="33"/>
      <c r="I3612" s="33"/>
      <c r="J3612" s="37"/>
    </row>
    <row r="3613" spans="1:10" x14ac:dyDescent="0.3">
      <c r="A3613" s="32" t="s">
        <v>21</v>
      </c>
      <c r="B3613" s="32">
        <f>+B3612+1</f>
        <v>2024</v>
      </c>
      <c r="C3613" s="33" t="s">
        <v>28</v>
      </c>
      <c r="D3613" s="34" t="s">
        <v>2002</v>
      </c>
      <c r="E3613" s="35" t="str">
        <f t="shared" si="861"/>
        <v>PSDP'!</v>
      </c>
      <c r="F3613" s="34" t="str">
        <f t="shared" si="862"/>
        <v>C:\Users\jaime.benazar\Quorum Business Solutions\Ecopetrol Prometeo - Documents\Planning Space Implementation\3. Analysis &amp; Design\Design\FC22\DRR Jaime\Neiva CPI\[DINA TERCIARIOS_CF_SEC_New_27-Mar-2024.xlsx]D-PSDP'!</v>
      </c>
      <c r="G3613" s="32" t="s">
        <v>124</v>
      </c>
      <c r="H3613" s="33"/>
      <c r="I3613" s="33"/>
      <c r="J3613" s="37"/>
    </row>
    <row r="3614" spans="1:10" x14ac:dyDescent="0.3">
      <c r="A3614" s="32" t="s">
        <v>21</v>
      </c>
      <c r="B3614" s="32">
        <f t="shared" ref="B3614:B3625" si="863">+B3613+1</f>
        <v>2025</v>
      </c>
      <c r="C3614" s="33" t="s">
        <v>28</v>
      </c>
      <c r="D3614" s="34" t="s">
        <v>2002</v>
      </c>
      <c r="E3614" s="35" t="str">
        <f t="shared" si="861"/>
        <v>PSDP'!</v>
      </c>
      <c r="F3614" s="34" t="str">
        <f t="shared" si="862"/>
        <v>C:\Users\jaime.benazar\Quorum Business Solutions\Ecopetrol Prometeo - Documents\Planning Space Implementation\3. Analysis &amp; Design\Design\FC22\DRR Jaime\Neiva CPI\[DINA TERCIARIOS_CF_SEC_New_27-Mar-2024.xlsx]D-PSDP'!</v>
      </c>
      <c r="G3614" s="32" t="s">
        <v>124</v>
      </c>
      <c r="H3614" s="33"/>
      <c r="I3614" s="33"/>
      <c r="J3614" s="37"/>
    </row>
    <row r="3615" spans="1:10" x14ac:dyDescent="0.3">
      <c r="A3615" s="32" t="s">
        <v>21</v>
      </c>
      <c r="B3615" s="32">
        <f t="shared" si="863"/>
        <v>2026</v>
      </c>
      <c r="C3615" s="33" t="s">
        <v>28</v>
      </c>
      <c r="D3615" s="34" t="s">
        <v>2002</v>
      </c>
      <c r="E3615" s="35" t="str">
        <f t="shared" si="861"/>
        <v>PSDP'!</v>
      </c>
      <c r="F3615" s="34" t="str">
        <f t="shared" si="862"/>
        <v>C:\Users\jaime.benazar\Quorum Business Solutions\Ecopetrol Prometeo - Documents\Planning Space Implementation\3. Analysis &amp; Design\Design\FC22\DRR Jaime\Neiva CPI\[DINA TERCIARIOS_CF_SEC_New_27-Mar-2024.xlsx]D-PSDP'!</v>
      </c>
      <c r="G3615" s="32" t="s">
        <v>124</v>
      </c>
      <c r="H3615" s="33"/>
      <c r="I3615" s="33"/>
      <c r="J3615" s="37"/>
    </row>
    <row r="3616" spans="1:10" x14ac:dyDescent="0.3">
      <c r="A3616" s="32" t="s">
        <v>21</v>
      </c>
      <c r="B3616" s="32">
        <f t="shared" si="863"/>
        <v>2027</v>
      </c>
      <c r="C3616" s="33" t="s">
        <v>28</v>
      </c>
      <c r="D3616" s="34" t="s">
        <v>2002</v>
      </c>
      <c r="E3616" s="35" t="str">
        <f t="shared" si="861"/>
        <v>PSDP'!</v>
      </c>
      <c r="F3616" s="34" t="str">
        <f t="shared" si="862"/>
        <v>C:\Users\jaime.benazar\Quorum Business Solutions\Ecopetrol Prometeo - Documents\Planning Space Implementation\3. Analysis &amp; Design\Design\FC22\DRR Jaime\Neiva CPI\[DINA TERCIARIOS_CF_SEC_New_27-Mar-2024.xlsx]D-PSDP'!</v>
      </c>
      <c r="G3616" s="32" t="s">
        <v>124</v>
      </c>
      <c r="H3616" s="33"/>
      <c r="I3616" s="33"/>
      <c r="J3616" s="37"/>
    </row>
    <row r="3617" spans="1:10" x14ac:dyDescent="0.3">
      <c r="A3617" s="32" t="s">
        <v>21</v>
      </c>
      <c r="B3617" s="32">
        <f t="shared" si="863"/>
        <v>2028</v>
      </c>
      <c r="C3617" s="33" t="s">
        <v>28</v>
      </c>
      <c r="D3617" s="34" t="s">
        <v>2002</v>
      </c>
      <c r="E3617" s="35" t="str">
        <f t="shared" si="861"/>
        <v>PSDP'!</v>
      </c>
      <c r="F3617" s="34" t="str">
        <f t="shared" si="862"/>
        <v>C:\Users\jaime.benazar\Quorum Business Solutions\Ecopetrol Prometeo - Documents\Planning Space Implementation\3. Analysis &amp; Design\Design\FC22\DRR Jaime\Neiva CPI\[DINA TERCIARIOS_CF_SEC_New_27-Mar-2024.xlsx]D-PSDP'!</v>
      </c>
      <c r="G3617" s="32" t="s">
        <v>124</v>
      </c>
      <c r="H3617" s="33"/>
      <c r="I3617" s="33"/>
      <c r="J3617" s="37"/>
    </row>
    <row r="3618" spans="1:10" x14ac:dyDescent="0.3">
      <c r="A3618" s="32" t="s">
        <v>21</v>
      </c>
      <c r="B3618" s="32">
        <f t="shared" si="863"/>
        <v>2029</v>
      </c>
      <c r="C3618" s="33" t="s">
        <v>28</v>
      </c>
      <c r="D3618" s="34" t="s">
        <v>2002</v>
      </c>
      <c r="E3618" s="35" t="str">
        <f t="shared" si="861"/>
        <v>PSDP'!</v>
      </c>
      <c r="F3618" s="34" t="str">
        <f t="shared" si="862"/>
        <v>C:\Users\jaime.benazar\Quorum Business Solutions\Ecopetrol Prometeo - Documents\Planning Space Implementation\3. Analysis &amp; Design\Design\FC22\DRR Jaime\Neiva CPI\[DINA TERCIARIOS_CF_SEC_New_27-Mar-2024.xlsx]D-PSDP'!</v>
      </c>
      <c r="G3618" s="32" t="s">
        <v>124</v>
      </c>
      <c r="H3618" s="33"/>
      <c r="I3618" s="33"/>
      <c r="J3618" s="37"/>
    </row>
    <row r="3619" spans="1:10" x14ac:dyDescent="0.3">
      <c r="A3619" s="32" t="s">
        <v>21</v>
      </c>
      <c r="B3619" s="32">
        <f t="shared" si="863"/>
        <v>2030</v>
      </c>
      <c r="C3619" s="33" t="s">
        <v>28</v>
      </c>
      <c r="D3619" s="34" t="s">
        <v>2002</v>
      </c>
      <c r="E3619" s="35" t="str">
        <f t="shared" si="861"/>
        <v>PSDP'!</v>
      </c>
      <c r="F3619" s="34" t="str">
        <f t="shared" si="862"/>
        <v>C:\Users\jaime.benazar\Quorum Business Solutions\Ecopetrol Prometeo - Documents\Planning Space Implementation\3. Analysis &amp; Design\Design\FC22\DRR Jaime\Neiva CPI\[DINA TERCIARIOS_CF_SEC_New_27-Mar-2024.xlsx]D-PSDP'!</v>
      </c>
      <c r="G3619" s="32" t="s">
        <v>124</v>
      </c>
      <c r="H3619" s="33"/>
      <c r="I3619" s="33"/>
      <c r="J3619" s="37"/>
    </row>
    <row r="3620" spans="1:10" x14ac:dyDescent="0.3">
      <c r="A3620" s="32" t="s">
        <v>21</v>
      </c>
      <c r="B3620" s="32">
        <f t="shared" si="863"/>
        <v>2031</v>
      </c>
      <c r="C3620" s="33" t="s">
        <v>28</v>
      </c>
      <c r="D3620" s="34" t="s">
        <v>2002</v>
      </c>
      <c r="E3620" s="35" t="str">
        <f t="shared" si="861"/>
        <v>PSDP'!</v>
      </c>
      <c r="F3620" s="34" t="str">
        <f t="shared" si="862"/>
        <v>C:\Users\jaime.benazar\Quorum Business Solutions\Ecopetrol Prometeo - Documents\Planning Space Implementation\3. Analysis &amp; Design\Design\FC22\DRR Jaime\Neiva CPI\[DINA TERCIARIOS_CF_SEC_New_27-Mar-2024.xlsx]D-PSDP'!</v>
      </c>
      <c r="G3620" s="32" t="s">
        <v>124</v>
      </c>
      <c r="H3620" s="33"/>
      <c r="I3620" s="33"/>
      <c r="J3620" s="37"/>
    </row>
    <row r="3621" spans="1:10" x14ac:dyDescent="0.3">
      <c r="A3621" s="32" t="s">
        <v>21</v>
      </c>
      <c r="B3621" s="32">
        <f t="shared" si="863"/>
        <v>2032</v>
      </c>
      <c r="C3621" s="33" t="s">
        <v>28</v>
      </c>
      <c r="D3621" s="34" t="s">
        <v>2002</v>
      </c>
      <c r="E3621" s="35" t="str">
        <f t="shared" si="861"/>
        <v>PSDP'!</v>
      </c>
      <c r="F3621" s="34" t="str">
        <f t="shared" si="862"/>
        <v>C:\Users\jaime.benazar\Quorum Business Solutions\Ecopetrol Prometeo - Documents\Planning Space Implementation\3. Analysis &amp; Design\Design\FC22\DRR Jaime\Neiva CPI\[DINA TERCIARIOS_CF_SEC_New_27-Mar-2024.xlsx]D-PSDP'!</v>
      </c>
      <c r="G3621" s="32" t="s">
        <v>124</v>
      </c>
      <c r="H3621" s="33"/>
      <c r="I3621" s="33"/>
      <c r="J3621" s="37"/>
    </row>
    <row r="3622" spans="1:10" x14ac:dyDescent="0.3">
      <c r="A3622" s="32" t="s">
        <v>21</v>
      </c>
      <c r="B3622" s="32">
        <f t="shared" si="863"/>
        <v>2033</v>
      </c>
      <c r="C3622" s="33" t="s">
        <v>28</v>
      </c>
      <c r="D3622" s="34" t="s">
        <v>2002</v>
      </c>
      <c r="E3622" s="35" t="str">
        <f t="shared" si="861"/>
        <v>PSDP'!</v>
      </c>
      <c r="F3622" s="34" t="str">
        <f t="shared" si="862"/>
        <v>C:\Users\jaime.benazar\Quorum Business Solutions\Ecopetrol Prometeo - Documents\Planning Space Implementation\3. Analysis &amp; Design\Design\FC22\DRR Jaime\Neiva CPI\[DINA TERCIARIOS_CF_SEC_New_27-Mar-2024.xlsx]D-PSDP'!</v>
      </c>
      <c r="G3622" s="32" t="s">
        <v>124</v>
      </c>
      <c r="H3622" s="33"/>
      <c r="I3622" s="33"/>
      <c r="J3622" s="37"/>
    </row>
    <row r="3623" spans="1:10" x14ac:dyDescent="0.3">
      <c r="A3623" s="32" t="s">
        <v>21</v>
      </c>
      <c r="B3623" s="32">
        <f t="shared" si="863"/>
        <v>2034</v>
      </c>
      <c r="C3623" s="33" t="s">
        <v>28</v>
      </c>
      <c r="D3623" s="34" t="s">
        <v>2002</v>
      </c>
      <c r="E3623" s="35" t="str">
        <f t="shared" si="861"/>
        <v>PSDP'!</v>
      </c>
      <c r="F3623" s="34" t="str">
        <f t="shared" si="862"/>
        <v>C:\Users\jaime.benazar\Quorum Business Solutions\Ecopetrol Prometeo - Documents\Planning Space Implementation\3. Analysis &amp; Design\Design\FC22\DRR Jaime\Neiva CPI\[DINA TERCIARIOS_CF_SEC_New_27-Mar-2024.xlsx]D-PSDP'!</v>
      </c>
      <c r="G3623" s="32" t="s">
        <v>124</v>
      </c>
      <c r="H3623" s="33"/>
      <c r="I3623" s="33"/>
      <c r="J3623" s="37"/>
    </row>
    <row r="3624" spans="1:10" x14ac:dyDescent="0.3">
      <c r="A3624" s="32" t="s">
        <v>21</v>
      </c>
      <c r="B3624" s="32">
        <f t="shared" si="863"/>
        <v>2035</v>
      </c>
      <c r="C3624" s="33" t="s">
        <v>28</v>
      </c>
      <c r="D3624" s="34" t="s">
        <v>2002</v>
      </c>
      <c r="E3624" s="35" t="str">
        <f t="shared" si="861"/>
        <v>PSDP'!</v>
      </c>
      <c r="F3624" s="34" t="str">
        <f t="shared" si="862"/>
        <v>C:\Users\jaime.benazar\Quorum Business Solutions\Ecopetrol Prometeo - Documents\Planning Space Implementation\3. Analysis &amp; Design\Design\FC22\DRR Jaime\Neiva CPI\[DINA TERCIARIOS_CF_SEC_New_27-Mar-2024.xlsx]D-PSDP'!</v>
      </c>
      <c r="G3624" s="32" t="s">
        <v>124</v>
      </c>
      <c r="H3624" s="33"/>
      <c r="I3624" s="33"/>
      <c r="J3624" s="37"/>
    </row>
    <row r="3625" spans="1:10" x14ac:dyDescent="0.3">
      <c r="A3625" s="32" t="s">
        <v>21</v>
      </c>
      <c r="B3625" s="32">
        <f t="shared" si="863"/>
        <v>2036</v>
      </c>
      <c r="C3625" s="33" t="s">
        <v>28</v>
      </c>
      <c r="D3625" s="34" t="s">
        <v>2002</v>
      </c>
      <c r="E3625" s="35" t="str">
        <f t="shared" si="861"/>
        <v>PSDP'!</v>
      </c>
      <c r="F3625" s="34" t="str">
        <f t="shared" si="862"/>
        <v>C:\Users\jaime.benazar\Quorum Business Solutions\Ecopetrol Prometeo - Documents\Planning Space Implementation\3. Analysis &amp; Design\Design\FC22\DRR Jaime\Neiva CPI\[DINA TERCIARIOS_CF_SEC_New_27-Mar-2024.xlsx]D-PSDP'!</v>
      </c>
      <c r="G3625" s="32" t="s">
        <v>124</v>
      </c>
      <c r="H3625" s="33"/>
      <c r="I3625" s="33"/>
      <c r="J3625" s="37"/>
    </row>
    <row r="3626" spans="1:10" x14ac:dyDescent="0.3">
      <c r="A3626" s="32" t="s">
        <v>21</v>
      </c>
      <c r="B3626" s="32">
        <f>+B3625+1</f>
        <v>2037</v>
      </c>
      <c r="C3626" s="33" t="s">
        <v>28</v>
      </c>
      <c r="D3626" s="34" t="s">
        <v>2002</v>
      </c>
      <c r="E3626" s="35" t="str">
        <f t="shared" si="861"/>
        <v>PSDP'!</v>
      </c>
      <c r="F3626" s="34" t="str">
        <f t="shared" si="862"/>
        <v>C:\Users\jaime.benazar\Quorum Business Solutions\Ecopetrol Prometeo - Documents\Planning Space Implementation\3. Analysis &amp; Design\Design\FC22\DRR Jaime\Neiva CPI\[DINA TERCIARIOS_CF_SEC_New_27-Mar-2024.xlsx]D-PSDP'!</v>
      </c>
      <c r="G3626" s="32" t="s">
        <v>124</v>
      </c>
      <c r="H3626" s="33"/>
      <c r="I3626" s="33"/>
      <c r="J3626" s="37"/>
    </row>
    <row r="3627" spans="1:10" x14ac:dyDescent="0.3">
      <c r="A3627" s="32" t="s">
        <v>21</v>
      </c>
      <c r="B3627" s="32">
        <f t="shared" ref="B3627:B3629" si="864">+B3626+1</f>
        <v>2038</v>
      </c>
      <c r="C3627" s="33" t="s">
        <v>28</v>
      </c>
      <c r="D3627" s="34" t="s">
        <v>2002</v>
      </c>
      <c r="E3627" s="35" t="str">
        <f t="shared" si="861"/>
        <v>PSDP'!</v>
      </c>
      <c r="F3627" s="34" t="str">
        <f t="shared" si="862"/>
        <v>C:\Users\jaime.benazar\Quorum Business Solutions\Ecopetrol Prometeo - Documents\Planning Space Implementation\3. Analysis &amp; Design\Design\FC22\DRR Jaime\Neiva CPI\[DINA TERCIARIOS_CF_SEC_New_27-Mar-2024.xlsx]D-PSDP'!</v>
      </c>
      <c r="G3627" s="32" t="s">
        <v>124</v>
      </c>
      <c r="H3627" s="33"/>
      <c r="I3627" s="33"/>
      <c r="J3627" s="37"/>
    </row>
    <row r="3628" spans="1:10" x14ac:dyDescent="0.3">
      <c r="A3628" s="32" t="s">
        <v>21</v>
      </c>
      <c r="B3628" s="32">
        <f t="shared" si="864"/>
        <v>2039</v>
      </c>
      <c r="C3628" s="33" t="s">
        <v>28</v>
      </c>
      <c r="D3628" s="34" t="s">
        <v>2002</v>
      </c>
      <c r="E3628" s="35" t="str">
        <f t="shared" si="861"/>
        <v>PSDP'!</v>
      </c>
      <c r="F3628" s="34" t="str">
        <f t="shared" si="862"/>
        <v>C:\Users\jaime.benazar\Quorum Business Solutions\Ecopetrol Prometeo - Documents\Planning Space Implementation\3. Analysis &amp; Design\Design\FC22\DRR Jaime\Neiva CPI\[DINA TERCIARIOS_CF_SEC_New_27-Mar-2024.xlsx]D-PSDP'!</v>
      </c>
      <c r="G3628" s="32" t="s">
        <v>124</v>
      </c>
      <c r="H3628" s="33"/>
      <c r="I3628" s="33"/>
      <c r="J3628" s="37"/>
    </row>
    <row r="3629" spans="1:10" x14ac:dyDescent="0.3">
      <c r="A3629" s="32" t="s">
        <v>21</v>
      </c>
      <c r="B3629" s="32">
        <f t="shared" si="864"/>
        <v>2040</v>
      </c>
      <c r="C3629" s="33" t="s">
        <v>28</v>
      </c>
      <c r="D3629" s="34" t="s">
        <v>2002</v>
      </c>
      <c r="E3629" s="35" t="str">
        <f t="shared" si="861"/>
        <v>PSDP'!</v>
      </c>
      <c r="F3629" s="34" t="str">
        <f t="shared" si="862"/>
        <v>C:\Users\jaime.benazar\Quorum Business Solutions\Ecopetrol Prometeo - Documents\Planning Space Implementation\3. Analysis &amp; Design\Design\FC22\DRR Jaime\Neiva CPI\[DINA TERCIARIOS_CF_SEC_New_27-Mar-2024.xlsx]D-PSDP'!</v>
      </c>
      <c r="G3629" s="32" t="s">
        <v>124</v>
      </c>
      <c r="H3629" s="33"/>
      <c r="I3629" s="33"/>
      <c r="J3629" s="37"/>
    </row>
    <row r="3630" spans="1:10" x14ac:dyDescent="0.3">
      <c r="A3630" s="32" t="s">
        <v>21</v>
      </c>
      <c r="B3630" s="32">
        <f>+B3629+1</f>
        <v>2041</v>
      </c>
      <c r="C3630" s="33" t="s">
        <v>28</v>
      </c>
      <c r="D3630" s="34" t="s">
        <v>2002</v>
      </c>
      <c r="E3630" s="35" t="str">
        <f t="shared" si="861"/>
        <v>PSDP'!</v>
      </c>
      <c r="F3630" s="34" t="str">
        <f t="shared" si="862"/>
        <v>C:\Users\jaime.benazar\Quorum Business Solutions\Ecopetrol Prometeo - Documents\Planning Space Implementation\3. Analysis &amp; Design\Design\FC22\DRR Jaime\Neiva CPI\[DINA TERCIARIOS_CF_SEC_New_27-Mar-2024.xlsx]D-PSDP'!</v>
      </c>
      <c r="G3630" s="32" t="s">
        <v>124</v>
      </c>
      <c r="H3630" s="33"/>
      <c r="I3630" s="33"/>
      <c r="J3630" s="37"/>
    </row>
    <row r="3631" spans="1:10" x14ac:dyDescent="0.3">
      <c r="A3631" s="32" t="s">
        <v>21</v>
      </c>
      <c r="B3631" s="32">
        <f t="shared" ref="B3631:B3632" si="865">+B3630+1</f>
        <v>2042</v>
      </c>
      <c r="C3631" s="33" t="s">
        <v>28</v>
      </c>
      <c r="D3631" s="34" t="s">
        <v>2002</v>
      </c>
      <c r="E3631" s="35" t="str">
        <f t="shared" si="861"/>
        <v>PSDP'!</v>
      </c>
      <c r="F3631" s="34" t="str">
        <f t="shared" si="862"/>
        <v>C:\Users\jaime.benazar\Quorum Business Solutions\Ecopetrol Prometeo - Documents\Planning Space Implementation\3. Analysis &amp; Design\Design\FC22\DRR Jaime\Neiva CPI\[DINA TERCIARIOS_CF_SEC_New_27-Mar-2024.xlsx]D-PSDP'!</v>
      </c>
      <c r="G3631" s="32" t="s">
        <v>124</v>
      </c>
      <c r="H3631" s="33"/>
      <c r="I3631" s="33"/>
      <c r="J3631" s="37"/>
    </row>
    <row r="3632" spans="1:10" x14ac:dyDescent="0.3">
      <c r="A3632" s="32" t="s">
        <v>21</v>
      </c>
      <c r="B3632" s="32">
        <f t="shared" si="865"/>
        <v>2043</v>
      </c>
      <c r="C3632" s="33" t="s">
        <v>28</v>
      </c>
      <c r="D3632" s="34" t="s">
        <v>2002</v>
      </c>
      <c r="E3632" s="35" t="str">
        <f t="shared" si="861"/>
        <v>PSDP'!</v>
      </c>
      <c r="F3632" s="34" t="str">
        <f t="shared" si="862"/>
        <v>C:\Users\jaime.benazar\Quorum Business Solutions\Ecopetrol Prometeo - Documents\Planning Space Implementation\3. Analysis &amp; Design\Design\FC22\DRR Jaime\Neiva CPI\[DINA TERCIARIOS_CF_SEC_New_27-Mar-2024.xlsx]D-PSDP'!</v>
      </c>
      <c r="G3632" s="32" t="s">
        <v>124</v>
      </c>
      <c r="H3632" s="33"/>
      <c r="I3632" s="33"/>
      <c r="J3632" s="37"/>
    </row>
    <row r="3633" spans="1:10" x14ac:dyDescent="0.3">
      <c r="A3633" s="32" t="s">
        <v>21</v>
      </c>
      <c r="B3633" s="32">
        <f>+B3632+1</f>
        <v>2044</v>
      </c>
      <c r="C3633" s="33" t="s">
        <v>28</v>
      </c>
      <c r="D3633" s="34" t="s">
        <v>2002</v>
      </c>
      <c r="E3633" s="35" t="str">
        <f t="shared" ref="E3633:E3648" si="866">_xlfn.CONCAT(A3633,"'!")</f>
        <v>PSDP'!</v>
      </c>
      <c r="F3633" s="34" t="str">
        <f t="shared" ref="F3633:F3648" si="867">_xlfn.CONCAT(D3633:E3633)</f>
        <v>C:\Users\jaime.benazar\Quorum Business Solutions\Ecopetrol Prometeo - Documents\Planning Space Implementation\3. Analysis &amp; Design\Design\FC22\DRR Jaime\Neiva CPI\[DINA TERCIARIOS_CF_SEC_New_27-Mar-2024.xlsx]D-PSDP'!</v>
      </c>
      <c r="G3633" s="32" t="s">
        <v>124</v>
      </c>
      <c r="H3633" s="33"/>
      <c r="I3633" s="33"/>
      <c r="J3633" s="37"/>
    </row>
    <row r="3634" spans="1:10" x14ac:dyDescent="0.3">
      <c r="A3634" s="32" t="s">
        <v>21</v>
      </c>
      <c r="B3634" s="32">
        <f t="shared" ref="B3634:B3648" si="868">+B3633+1</f>
        <v>2045</v>
      </c>
      <c r="C3634" s="33" t="s">
        <v>28</v>
      </c>
      <c r="D3634" s="34" t="s">
        <v>2002</v>
      </c>
      <c r="E3634" s="35" t="str">
        <f t="shared" si="866"/>
        <v>PSDP'!</v>
      </c>
      <c r="F3634" s="34" t="str">
        <f t="shared" si="867"/>
        <v>C:\Users\jaime.benazar\Quorum Business Solutions\Ecopetrol Prometeo - Documents\Planning Space Implementation\3. Analysis &amp; Design\Design\FC22\DRR Jaime\Neiva CPI\[DINA TERCIARIOS_CF_SEC_New_27-Mar-2024.xlsx]D-PSDP'!</v>
      </c>
      <c r="G3634" s="32" t="s">
        <v>124</v>
      </c>
      <c r="H3634" s="33"/>
      <c r="I3634" s="33"/>
      <c r="J3634" s="37"/>
    </row>
    <row r="3635" spans="1:10" x14ac:dyDescent="0.3">
      <c r="A3635" s="32" t="s">
        <v>21</v>
      </c>
      <c r="B3635" s="32">
        <f t="shared" si="868"/>
        <v>2046</v>
      </c>
      <c r="C3635" s="33" t="s">
        <v>28</v>
      </c>
      <c r="D3635" s="34" t="s">
        <v>2002</v>
      </c>
      <c r="E3635" s="35" t="str">
        <f t="shared" si="866"/>
        <v>PSDP'!</v>
      </c>
      <c r="F3635" s="34" t="str">
        <f t="shared" si="867"/>
        <v>C:\Users\jaime.benazar\Quorum Business Solutions\Ecopetrol Prometeo - Documents\Planning Space Implementation\3. Analysis &amp; Design\Design\FC22\DRR Jaime\Neiva CPI\[DINA TERCIARIOS_CF_SEC_New_27-Mar-2024.xlsx]D-PSDP'!</v>
      </c>
      <c r="G3635" s="32" t="s">
        <v>124</v>
      </c>
      <c r="H3635" s="33"/>
      <c r="I3635" s="33"/>
      <c r="J3635" s="37"/>
    </row>
    <row r="3636" spans="1:10" x14ac:dyDescent="0.3">
      <c r="A3636" s="32" t="s">
        <v>21</v>
      </c>
      <c r="B3636" s="32">
        <f t="shared" si="868"/>
        <v>2047</v>
      </c>
      <c r="C3636" s="33" t="s">
        <v>28</v>
      </c>
      <c r="D3636" s="34" t="s">
        <v>2002</v>
      </c>
      <c r="E3636" s="35" t="str">
        <f t="shared" si="866"/>
        <v>PSDP'!</v>
      </c>
      <c r="F3636" s="34" t="str">
        <f t="shared" si="867"/>
        <v>C:\Users\jaime.benazar\Quorum Business Solutions\Ecopetrol Prometeo - Documents\Planning Space Implementation\3. Analysis &amp; Design\Design\FC22\DRR Jaime\Neiva CPI\[DINA TERCIARIOS_CF_SEC_New_27-Mar-2024.xlsx]D-PSDP'!</v>
      </c>
      <c r="G3636" s="32" t="s">
        <v>124</v>
      </c>
      <c r="H3636" s="33"/>
      <c r="I3636" s="33"/>
      <c r="J3636" s="37"/>
    </row>
    <row r="3637" spans="1:10" x14ac:dyDescent="0.3">
      <c r="A3637" s="32" t="s">
        <v>21</v>
      </c>
      <c r="B3637" s="32">
        <f t="shared" si="868"/>
        <v>2048</v>
      </c>
      <c r="C3637" s="33" t="s">
        <v>28</v>
      </c>
      <c r="D3637" s="34" t="s">
        <v>2002</v>
      </c>
      <c r="E3637" s="35" t="str">
        <f t="shared" si="866"/>
        <v>PSDP'!</v>
      </c>
      <c r="F3637" s="34" t="str">
        <f t="shared" si="867"/>
        <v>C:\Users\jaime.benazar\Quorum Business Solutions\Ecopetrol Prometeo - Documents\Planning Space Implementation\3. Analysis &amp; Design\Design\FC22\DRR Jaime\Neiva CPI\[DINA TERCIARIOS_CF_SEC_New_27-Mar-2024.xlsx]D-PSDP'!</v>
      </c>
      <c r="G3637" s="32" t="s">
        <v>124</v>
      </c>
      <c r="H3637" s="33"/>
      <c r="I3637" s="33"/>
      <c r="J3637" s="37"/>
    </row>
    <row r="3638" spans="1:10" x14ac:dyDescent="0.3">
      <c r="A3638" s="32" t="s">
        <v>21</v>
      </c>
      <c r="B3638" s="32">
        <f t="shared" si="868"/>
        <v>2049</v>
      </c>
      <c r="C3638" s="33" t="s">
        <v>28</v>
      </c>
      <c r="D3638" s="34" t="s">
        <v>2002</v>
      </c>
      <c r="E3638" s="35" t="str">
        <f t="shared" si="866"/>
        <v>PSDP'!</v>
      </c>
      <c r="F3638" s="34" t="str">
        <f t="shared" si="867"/>
        <v>C:\Users\jaime.benazar\Quorum Business Solutions\Ecopetrol Prometeo - Documents\Planning Space Implementation\3. Analysis &amp; Design\Design\FC22\DRR Jaime\Neiva CPI\[DINA TERCIARIOS_CF_SEC_New_27-Mar-2024.xlsx]D-PSDP'!</v>
      </c>
      <c r="G3638" s="32" t="s">
        <v>124</v>
      </c>
      <c r="H3638" s="33"/>
      <c r="I3638" s="33"/>
      <c r="J3638" s="37"/>
    </row>
    <row r="3639" spans="1:10" x14ac:dyDescent="0.3">
      <c r="A3639" s="32" t="s">
        <v>21</v>
      </c>
      <c r="B3639" s="32">
        <f t="shared" si="868"/>
        <v>2050</v>
      </c>
      <c r="C3639" s="33" t="s">
        <v>28</v>
      </c>
      <c r="D3639" s="34" t="s">
        <v>2002</v>
      </c>
      <c r="E3639" s="35" t="str">
        <f t="shared" si="866"/>
        <v>PSDP'!</v>
      </c>
      <c r="F3639" s="34" t="str">
        <f t="shared" si="867"/>
        <v>C:\Users\jaime.benazar\Quorum Business Solutions\Ecopetrol Prometeo - Documents\Planning Space Implementation\3. Analysis &amp; Design\Design\FC22\DRR Jaime\Neiva CPI\[DINA TERCIARIOS_CF_SEC_New_27-Mar-2024.xlsx]D-PSDP'!</v>
      </c>
      <c r="G3639" s="32" t="s">
        <v>124</v>
      </c>
      <c r="H3639" s="33"/>
      <c r="I3639" s="33"/>
      <c r="J3639" s="37"/>
    </row>
    <row r="3640" spans="1:10" x14ac:dyDescent="0.3">
      <c r="A3640" s="32" t="s">
        <v>21</v>
      </c>
      <c r="B3640" s="32">
        <f t="shared" si="868"/>
        <v>2051</v>
      </c>
      <c r="C3640" s="33" t="s">
        <v>28</v>
      </c>
      <c r="D3640" s="34" t="s">
        <v>2002</v>
      </c>
      <c r="E3640" s="35" t="str">
        <f t="shared" si="866"/>
        <v>PSDP'!</v>
      </c>
      <c r="F3640" s="34" t="str">
        <f t="shared" si="867"/>
        <v>C:\Users\jaime.benazar\Quorum Business Solutions\Ecopetrol Prometeo - Documents\Planning Space Implementation\3. Analysis &amp; Design\Design\FC22\DRR Jaime\Neiva CPI\[DINA TERCIARIOS_CF_SEC_New_27-Mar-2024.xlsx]D-PSDP'!</v>
      </c>
      <c r="G3640" s="32" t="s">
        <v>124</v>
      </c>
      <c r="H3640" s="33"/>
      <c r="I3640" s="33"/>
      <c r="J3640" s="37"/>
    </row>
    <row r="3641" spans="1:10" x14ac:dyDescent="0.3">
      <c r="A3641" s="32" t="s">
        <v>21</v>
      </c>
      <c r="B3641" s="32">
        <f t="shared" si="868"/>
        <v>2052</v>
      </c>
      <c r="C3641" s="33" t="s">
        <v>28</v>
      </c>
      <c r="D3641" s="34" t="s">
        <v>2002</v>
      </c>
      <c r="E3641" s="35" t="str">
        <f t="shared" si="866"/>
        <v>PSDP'!</v>
      </c>
      <c r="F3641" s="34" t="str">
        <f t="shared" si="867"/>
        <v>C:\Users\jaime.benazar\Quorum Business Solutions\Ecopetrol Prometeo - Documents\Planning Space Implementation\3. Analysis &amp; Design\Design\FC22\DRR Jaime\Neiva CPI\[DINA TERCIARIOS_CF_SEC_New_27-Mar-2024.xlsx]D-PSDP'!</v>
      </c>
      <c r="G3641" s="32" t="s">
        <v>124</v>
      </c>
      <c r="H3641" s="33"/>
      <c r="I3641" s="33"/>
      <c r="J3641" s="37"/>
    </row>
    <row r="3642" spans="1:10" x14ac:dyDescent="0.3">
      <c r="A3642" s="32" t="s">
        <v>21</v>
      </c>
      <c r="B3642" s="32">
        <f t="shared" si="868"/>
        <v>2053</v>
      </c>
      <c r="C3642" s="33" t="s">
        <v>28</v>
      </c>
      <c r="D3642" s="34" t="s">
        <v>2002</v>
      </c>
      <c r="E3642" s="35" t="str">
        <f t="shared" si="866"/>
        <v>PSDP'!</v>
      </c>
      <c r="F3642" s="34" t="str">
        <f t="shared" si="867"/>
        <v>C:\Users\jaime.benazar\Quorum Business Solutions\Ecopetrol Prometeo - Documents\Planning Space Implementation\3. Analysis &amp; Design\Design\FC22\DRR Jaime\Neiva CPI\[DINA TERCIARIOS_CF_SEC_New_27-Mar-2024.xlsx]D-PSDP'!</v>
      </c>
      <c r="G3642" s="32" t="s">
        <v>124</v>
      </c>
      <c r="H3642" s="33"/>
      <c r="I3642" s="33"/>
      <c r="J3642" s="37"/>
    </row>
    <row r="3643" spans="1:10" x14ac:dyDescent="0.3">
      <c r="A3643" s="32" t="s">
        <v>21</v>
      </c>
      <c r="B3643" s="32">
        <f t="shared" si="868"/>
        <v>2054</v>
      </c>
      <c r="C3643" s="33" t="s">
        <v>28</v>
      </c>
      <c r="D3643" s="34" t="s">
        <v>2002</v>
      </c>
      <c r="E3643" s="35" t="str">
        <f t="shared" si="866"/>
        <v>PSDP'!</v>
      </c>
      <c r="F3643" s="34" t="str">
        <f t="shared" si="867"/>
        <v>C:\Users\jaime.benazar\Quorum Business Solutions\Ecopetrol Prometeo - Documents\Planning Space Implementation\3. Analysis &amp; Design\Design\FC22\DRR Jaime\Neiva CPI\[DINA TERCIARIOS_CF_SEC_New_27-Mar-2024.xlsx]D-PSDP'!</v>
      </c>
      <c r="G3643" s="32" t="s">
        <v>124</v>
      </c>
      <c r="H3643" s="33"/>
      <c r="I3643" s="33"/>
      <c r="J3643" s="37"/>
    </row>
    <row r="3644" spans="1:10" x14ac:dyDescent="0.3">
      <c r="A3644" s="32" t="s">
        <v>21</v>
      </c>
      <c r="B3644" s="32">
        <f t="shared" si="868"/>
        <v>2055</v>
      </c>
      <c r="C3644" s="33" t="s">
        <v>28</v>
      </c>
      <c r="D3644" s="34" t="s">
        <v>2002</v>
      </c>
      <c r="E3644" s="35" t="str">
        <f t="shared" si="866"/>
        <v>PSDP'!</v>
      </c>
      <c r="F3644" s="34" t="str">
        <f t="shared" si="867"/>
        <v>C:\Users\jaime.benazar\Quorum Business Solutions\Ecopetrol Prometeo - Documents\Planning Space Implementation\3. Analysis &amp; Design\Design\FC22\DRR Jaime\Neiva CPI\[DINA TERCIARIOS_CF_SEC_New_27-Mar-2024.xlsx]D-PSDP'!</v>
      </c>
      <c r="G3644" s="32" t="s">
        <v>124</v>
      </c>
      <c r="H3644" s="33"/>
      <c r="I3644" s="33"/>
      <c r="J3644" s="37"/>
    </row>
    <row r="3645" spans="1:10" x14ac:dyDescent="0.3">
      <c r="A3645" s="32" t="s">
        <v>21</v>
      </c>
      <c r="B3645" s="32">
        <f t="shared" si="868"/>
        <v>2056</v>
      </c>
      <c r="C3645" s="33" t="s">
        <v>28</v>
      </c>
      <c r="D3645" s="34" t="s">
        <v>2002</v>
      </c>
      <c r="E3645" s="35" t="str">
        <f t="shared" si="866"/>
        <v>PSDP'!</v>
      </c>
      <c r="F3645" s="34" t="str">
        <f t="shared" si="867"/>
        <v>C:\Users\jaime.benazar\Quorum Business Solutions\Ecopetrol Prometeo - Documents\Planning Space Implementation\3. Analysis &amp; Design\Design\FC22\DRR Jaime\Neiva CPI\[DINA TERCIARIOS_CF_SEC_New_27-Mar-2024.xlsx]D-PSDP'!</v>
      </c>
      <c r="G3645" s="32" t="s">
        <v>124</v>
      </c>
      <c r="H3645" s="33"/>
      <c r="I3645" s="33"/>
      <c r="J3645" s="37"/>
    </row>
    <row r="3646" spans="1:10" x14ac:dyDescent="0.3">
      <c r="A3646" s="32" t="s">
        <v>21</v>
      </c>
      <c r="B3646" s="32">
        <f t="shared" si="868"/>
        <v>2057</v>
      </c>
      <c r="C3646" s="33" t="s">
        <v>28</v>
      </c>
      <c r="D3646" s="34" t="s">
        <v>2002</v>
      </c>
      <c r="E3646" s="35" t="str">
        <f t="shared" si="866"/>
        <v>PSDP'!</v>
      </c>
      <c r="F3646" s="34" t="str">
        <f t="shared" si="867"/>
        <v>C:\Users\jaime.benazar\Quorum Business Solutions\Ecopetrol Prometeo - Documents\Planning Space Implementation\3. Analysis &amp; Design\Design\FC22\DRR Jaime\Neiva CPI\[DINA TERCIARIOS_CF_SEC_New_27-Mar-2024.xlsx]D-PSDP'!</v>
      </c>
      <c r="G3646" s="32" t="s">
        <v>124</v>
      </c>
      <c r="H3646" s="33"/>
      <c r="I3646" s="33"/>
      <c r="J3646" s="37"/>
    </row>
    <row r="3647" spans="1:10" x14ac:dyDescent="0.3">
      <c r="A3647" s="32" t="s">
        <v>21</v>
      </c>
      <c r="B3647" s="32">
        <f t="shared" si="868"/>
        <v>2058</v>
      </c>
      <c r="C3647" s="33" t="s">
        <v>28</v>
      </c>
      <c r="D3647" s="34" t="s">
        <v>2002</v>
      </c>
      <c r="E3647" s="35" t="str">
        <f t="shared" si="866"/>
        <v>PSDP'!</v>
      </c>
      <c r="F3647" s="34" t="str">
        <f t="shared" si="867"/>
        <v>C:\Users\jaime.benazar\Quorum Business Solutions\Ecopetrol Prometeo - Documents\Planning Space Implementation\3. Analysis &amp; Design\Design\FC22\DRR Jaime\Neiva CPI\[DINA TERCIARIOS_CF_SEC_New_27-Mar-2024.xlsx]D-PSDP'!</v>
      </c>
      <c r="G3647" s="32" t="s">
        <v>124</v>
      </c>
      <c r="H3647" s="33"/>
      <c r="I3647" s="33"/>
      <c r="J3647" s="37"/>
    </row>
    <row r="3648" spans="1:10" x14ac:dyDescent="0.3">
      <c r="A3648" s="32" t="s">
        <v>21</v>
      </c>
      <c r="B3648" s="32">
        <f t="shared" si="868"/>
        <v>2059</v>
      </c>
      <c r="C3648" s="33" t="s">
        <v>28</v>
      </c>
      <c r="D3648" s="34" t="s">
        <v>2002</v>
      </c>
      <c r="E3648" s="35" t="str">
        <f t="shared" si="866"/>
        <v>PSDP'!</v>
      </c>
      <c r="F3648" s="34" t="str">
        <f t="shared" si="867"/>
        <v>C:\Users\jaime.benazar\Quorum Business Solutions\Ecopetrol Prometeo - Documents\Planning Space Implementation\3. Analysis &amp; Design\Design\FC22\DRR Jaime\Neiva CPI\[DINA TERCIARIOS_CF_SEC_New_27-Mar-2024.xlsx]D-PSDP'!</v>
      </c>
      <c r="G3648" s="32" t="s">
        <v>124</v>
      </c>
      <c r="H3648" s="33"/>
      <c r="I3648" s="33"/>
      <c r="J3648" s="37"/>
    </row>
    <row r="3649" spans="1:10" x14ac:dyDescent="0.3">
      <c r="A3649" s="32" t="s">
        <v>26</v>
      </c>
      <c r="B3649" s="32"/>
      <c r="C3649" s="33" t="s">
        <v>28</v>
      </c>
      <c r="D3649" s="34"/>
      <c r="E3649" s="35"/>
      <c r="F3649" s="34"/>
      <c r="G3649" s="32"/>
      <c r="H3649" s="33"/>
      <c r="I3649" s="33"/>
      <c r="J3649" s="36"/>
    </row>
    <row r="3650" spans="1:10" x14ac:dyDescent="0.3">
      <c r="A3650" s="32" t="s">
        <v>22</v>
      </c>
      <c r="B3650" s="32">
        <v>2023</v>
      </c>
      <c r="C3650" s="33" t="s">
        <v>28</v>
      </c>
      <c r="D3650" s="34" t="s">
        <v>2002</v>
      </c>
      <c r="E3650" s="35" t="str">
        <f t="shared" ref="E3650:E3670" si="869">_xlfn.CONCAT(A3650,"'!")</f>
        <v>PSNP'!</v>
      </c>
      <c r="F3650" s="34" t="str">
        <f t="shared" ref="F3650:F3670" si="870">_xlfn.CONCAT(D3650:E3650)</f>
        <v>C:\Users\jaime.benazar\Quorum Business Solutions\Ecopetrol Prometeo - Documents\Planning Space Implementation\3. Analysis &amp; Design\Design\FC22\DRR Jaime\Neiva CPI\[DINA TERCIARIOS_CF_SEC_New_27-Mar-2024.xlsx]D-PSNP'!</v>
      </c>
      <c r="G3650" s="32" t="s">
        <v>124</v>
      </c>
      <c r="H3650" s="33"/>
      <c r="I3650" s="33"/>
      <c r="J3650" s="37"/>
    </row>
    <row r="3651" spans="1:10" x14ac:dyDescent="0.3">
      <c r="A3651" s="32" t="s">
        <v>22</v>
      </c>
      <c r="B3651" s="32">
        <f>+B3650+1</f>
        <v>2024</v>
      </c>
      <c r="C3651" s="33" t="s">
        <v>28</v>
      </c>
      <c r="D3651" s="34" t="s">
        <v>2002</v>
      </c>
      <c r="E3651" s="35" t="str">
        <f t="shared" si="869"/>
        <v>PSNP'!</v>
      </c>
      <c r="F3651" s="34" t="str">
        <f t="shared" si="870"/>
        <v>C:\Users\jaime.benazar\Quorum Business Solutions\Ecopetrol Prometeo - Documents\Planning Space Implementation\3. Analysis &amp; Design\Design\FC22\DRR Jaime\Neiva CPI\[DINA TERCIARIOS_CF_SEC_New_27-Mar-2024.xlsx]D-PSNP'!</v>
      </c>
      <c r="G3651" s="32" t="s">
        <v>124</v>
      </c>
      <c r="H3651" s="33"/>
      <c r="I3651" s="33"/>
      <c r="J3651" s="37"/>
    </row>
    <row r="3652" spans="1:10" x14ac:dyDescent="0.3">
      <c r="A3652" s="32" t="s">
        <v>22</v>
      </c>
      <c r="B3652" s="32">
        <f t="shared" ref="B3652:B3663" si="871">+B3651+1</f>
        <v>2025</v>
      </c>
      <c r="C3652" s="33" t="s">
        <v>28</v>
      </c>
      <c r="D3652" s="34" t="s">
        <v>2002</v>
      </c>
      <c r="E3652" s="35" t="str">
        <f t="shared" si="869"/>
        <v>PSNP'!</v>
      </c>
      <c r="F3652" s="34" t="str">
        <f t="shared" si="870"/>
        <v>C:\Users\jaime.benazar\Quorum Business Solutions\Ecopetrol Prometeo - Documents\Planning Space Implementation\3. Analysis &amp; Design\Design\FC22\DRR Jaime\Neiva CPI\[DINA TERCIARIOS_CF_SEC_New_27-Mar-2024.xlsx]D-PSNP'!</v>
      </c>
      <c r="G3652" s="32" t="s">
        <v>124</v>
      </c>
      <c r="H3652" s="33"/>
      <c r="I3652" s="33"/>
      <c r="J3652" s="37"/>
    </row>
    <row r="3653" spans="1:10" x14ac:dyDescent="0.3">
      <c r="A3653" s="32" t="s">
        <v>22</v>
      </c>
      <c r="B3653" s="32">
        <f t="shared" si="871"/>
        <v>2026</v>
      </c>
      <c r="C3653" s="33" t="s">
        <v>28</v>
      </c>
      <c r="D3653" s="34" t="s">
        <v>2002</v>
      </c>
      <c r="E3653" s="35" t="str">
        <f t="shared" si="869"/>
        <v>PSNP'!</v>
      </c>
      <c r="F3653" s="34" t="str">
        <f t="shared" si="870"/>
        <v>C:\Users\jaime.benazar\Quorum Business Solutions\Ecopetrol Prometeo - Documents\Planning Space Implementation\3. Analysis &amp; Design\Design\FC22\DRR Jaime\Neiva CPI\[DINA TERCIARIOS_CF_SEC_New_27-Mar-2024.xlsx]D-PSNP'!</v>
      </c>
      <c r="G3653" s="32" t="s">
        <v>124</v>
      </c>
      <c r="H3653" s="33"/>
      <c r="I3653" s="33"/>
      <c r="J3653" s="37"/>
    </row>
    <row r="3654" spans="1:10" x14ac:dyDescent="0.3">
      <c r="A3654" s="32" t="s">
        <v>22</v>
      </c>
      <c r="B3654" s="32">
        <f t="shared" si="871"/>
        <v>2027</v>
      </c>
      <c r="C3654" s="33" t="s">
        <v>28</v>
      </c>
      <c r="D3654" s="34" t="s">
        <v>2002</v>
      </c>
      <c r="E3654" s="35" t="str">
        <f t="shared" si="869"/>
        <v>PSNP'!</v>
      </c>
      <c r="F3654" s="34" t="str">
        <f t="shared" si="870"/>
        <v>C:\Users\jaime.benazar\Quorum Business Solutions\Ecopetrol Prometeo - Documents\Planning Space Implementation\3. Analysis &amp; Design\Design\FC22\DRR Jaime\Neiva CPI\[DINA TERCIARIOS_CF_SEC_New_27-Mar-2024.xlsx]D-PSNP'!</v>
      </c>
      <c r="G3654" s="32" t="s">
        <v>124</v>
      </c>
      <c r="H3654" s="33"/>
      <c r="I3654" s="33"/>
      <c r="J3654" s="37"/>
    </row>
    <row r="3655" spans="1:10" x14ac:dyDescent="0.3">
      <c r="A3655" s="32" t="s">
        <v>22</v>
      </c>
      <c r="B3655" s="32">
        <f t="shared" si="871"/>
        <v>2028</v>
      </c>
      <c r="C3655" s="33" t="s">
        <v>28</v>
      </c>
      <c r="D3655" s="34" t="s">
        <v>2002</v>
      </c>
      <c r="E3655" s="35" t="str">
        <f t="shared" si="869"/>
        <v>PSNP'!</v>
      </c>
      <c r="F3655" s="34" t="str">
        <f t="shared" si="870"/>
        <v>C:\Users\jaime.benazar\Quorum Business Solutions\Ecopetrol Prometeo - Documents\Planning Space Implementation\3. Analysis &amp; Design\Design\FC22\DRR Jaime\Neiva CPI\[DINA TERCIARIOS_CF_SEC_New_27-Mar-2024.xlsx]D-PSNP'!</v>
      </c>
      <c r="G3655" s="32" t="s">
        <v>124</v>
      </c>
      <c r="H3655" s="33"/>
      <c r="I3655" s="33"/>
      <c r="J3655" s="37"/>
    </row>
    <row r="3656" spans="1:10" x14ac:dyDescent="0.3">
      <c r="A3656" s="32" t="s">
        <v>22</v>
      </c>
      <c r="B3656" s="32">
        <f t="shared" si="871"/>
        <v>2029</v>
      </c>
      <c r="C3656" s="33" t="s">
        <v>28</v>
      </c>
      <c r="D3656" s="34" t="s">
        <v>2002</v>
      </c>
      <c r="E3656" s="35" t="str">
        <f t="shared" si="869"/>
        <v>PSNP'!</v>
      </c>
      <c r="F3656" s="34" t="str">
        <f t="shared" si="870"/>
        <v>C:\Users\jaime.benazar\Quorum Business Solutions\Ecopetrol Prometeo - Documents\Planning Space Implementation\3. Analysis &amp; Design\Design\FC22\DRR Jaime\Neiva CPI\[DINA TERCIARIOS_CF_SEC_New_27-Mar-2024.xlsx]D-PSNP'!</v>
      </c>
      <c r="G3656" s="32" t="s">
        <v>124</v>
      </c>
      <c r="H3656" s="33"/>
      <c r="I3656" s="33"/>
      <c r="J3656" s="37"/>
    </row>
    <row r="3657" spans="1:10" x14ac:dyDescent="0.3">
      <c r="A3657" s="32" t="s">
        <v>22</v>
      </c>
      <c r="B3657" s="32">
        <f t="shared" si="871"/>
        <v>2030</v>
      </c>
      <c r="C3657" s="33" t="s">
        <v>28</v>
      </c>
      <c r="D3657" s="34" t="s">
        <v>2002</v>
      </c>
      <c r="E3657" s="35" t="str">
        <f t="shared" si="869"/>
        <v>PSNP'!</v>
      </c>
      <c r="F3657" s="34" t="str">
        <f t="shared" si="870"/>
        <v>C:\Users\jaime.benazar\Quorum Business Solutions\Ecopetrol Prometeo - Documents\Planning Space Implementation\3. Analysis &amp; Design\Design\FC22\DRR Jaime\Neiva CPI\[DINA TERCIARIOS_CF_SEC_New_27-Mar-2024.xlsx]D-PSNP'!</v>
      </c>
      <c r="G3657" s="32" t="s">
        <v>124</v>
      </c>
      <c r="H3657" s="33"/>
      <c r="I3657" s="33"/>
      <c r="J3657" s="37"/>
    </row>
    <row r="3658" spans="1:10" x14ac:dyDescent="0.3">
      <c r="A3658" s="32" t="s">
        <v>22</v>
      </c>
      <c r="B3658" s="32">
        <f t="shared" si="871"/>
        <v>2031</v>
      </c>
      <c r="C3658" s="33" t="s">
        <v>28</v>
      </c>
      <c r="D3658" s="34" t="s">
        <v>2002</v>
      </c>
      <c r="E3658" s="35" t="str">
        <f t="shared" si="869"/>
        <v>PSNP'!</v>
      </c>
      <c r="F3658" s="34" t="str">
        <f t="shared" si="870"/>
        <v>C:\Users\jaime.benazar\Quorum Business Solutions\Ecopetrol Prometeo - Documents\Planning Space Implementation\3. Analysis &amp; Design\Design\FC22\DRR Jaime\Neiva CPI\[DINA TERCIARIOS_CF_SEC_New_27-Mar-2024.xlsx]D-PSNP'!</v>
      </c>
      <c r="G3658" s="32" t="s">
        <v>124</v>
      </c>
      <c r="H3658" s="33"/>
      <c r="I3658" s="33"/>
      <c r="J3658" s="37"/>
    </row>
    <row r="3659" spans="1:10" x14ac:dyDescent="0.3">
      <c r="A3659" s="32" t="s">
        <v>22</v>
      </c>
      <c r="B3659" s="32">
        <f t="shared" si="871"/>
        <v>2032</v>
      </c>
      <c r="C3659" s="33" t="s">
        <v>28</v>
      </c>
      <c r="D3659" s="34" t="s">
        <v>2002</v>
      </c>
      <c r="E3659" s="35" t="str">
        <f t="shared" si="869"/>
        <v>PSNP'!</v>
      </c>
      <c r="F3659" s="34" t="str">
        <f t="shared" si="870"/>
        <v>C:\Users\jaime.benazar\Quorum Business Solutions\Ecopetrol Prometeo - Documents\Planning Space Implementation\3. Analysis &amp; Design\Design\FC22\DRR Jaime\Neiva CPI\[DINA TERCIARIOS_CF_SEC_New_27-Mar-2024.xlsx]D-PSNP'!</v>
      </c>
      <c r="G3659" s="32" t="s">
        <v>124</v>
      </c>
      <c r="H3659" s="33"/>
      <c r="I3659" s="33"/>
      <c r="J3659" s="37"/>
    </row>
    <row r="3660" spans="1:10" x14ac:dyDescent="0.3">
      <c r="A3660" s="32" t="s">
        <v>22</v>
      </c>
      <c r="B3660" s="32">
        <f t="shared" si="871"/>
        <v>2033</v>
      </c>
      <c r="C3660" s="33" t="s">
        <v>28</v>
      </c>
      <c r="D3660" s="34" t="s">
        <v>2002</v>
      </c>
      <c r="E3660" s="35" t="str">
        <f t="shared" si="869"/>
        <v>PSNP'!</v>
      </c>
      <c r="F3660" s="34" t="str">
        <f t="shared" si="870"/>
        <v>C:\Users\jaime.benazar\Quorum Business Solutions\Ecopetrol Prometeo - Documents\Planning Space Implementation\3. Analysis &amp; Design\Design\FC22\DRR Jaime\Neiva CPI\[DINA TERCIARIOS_CF_SEC_New_27-Mar-2024.xlsx]D-PSNP'!</v>
      </c>
      <c r="G3660" s="32" t="s">
        <v>124</v>
      </c>
      <c r="H3660" s="33"/>
      <c r="I3660" s="33"/>
      <c r="J3660" s="37"/>
    </row>
    <row r="3661" spans="1:10" x14ac:dyDescent="0.3">
      <c r="A3661" s="32" t="s">
        <v>22</v>
      </c>
      <c r="B3661" s="32">
        <f t="shared" si="871"/>
        <v>2034</v>
      </c>
      <c r="C3661" s="33" t="s">
        <v>28</v>
      </c>
      <c r="D3661" s="34" t="s">
        <v>2002</v>
      </c>
      <c r="E3661" s="35" t="str">
        <f t="shared" si="869"/>
        <v>PSNP'!</v>
      </c>
      <c r="F3661" s="34" t="str">
        <f t="shared" si="870"/>
        <v>C:\Users\jaime.benazar\Quorum Business Solutions\Ecopetrol Prometeo - Documents\Planning Space Implementation\3. Analysis &amp; Design\Design\FC22\DRR Jaime\Neiva CPI\[DINA TERCIARIOS_CF_SEC_New_27-Mar-2024.xlsx]D-PSNP'!</v>
      </c>
      <c r="G3661" s="32" t="s">
        <v>124</v>
      </c>
      <c r="H3661" s="33"/>
      <c r="I3661" s="33"/>
      <c r="J3661" s="37"/>
    </row>
    <row r="3662" spans="1:10" x14ac:dyDescent="0.3">
      <c r="A3662" s="32" t="s">
        <v>22</v>
      </c>
      <c r="B3662" s="32">
        <f t="shared" si="871"/>
        <v>2035</v>
      </c>
      <c r="C3662" s="33" t="s">
        <v>28</v>
      </c>
      <c r="D3662" s="34" t="s">
        <v>2002</v>
      </c>
      <c r="E3662" s="35" t="str">
        <f t="shared" si="869"/>
        <v>PSNP'!</v>
      </c>
      <c r="F3662" s="34" t="str">
        <f t="shared" si="870"/>
        <v>C:\Users\jaime.benazar\Quorum Business Solutions\Ecopetrol Prometeo - Documents\Planning Space Implementation\3. Analysis &amp; Design\Design\FC22\DRR Jaime\Neiva CPI\[DINA TERCIARIOS_CF_SEC_New_27-Mar-2024.xlsx]D-PSNP'!</v>
      </c>
      <c r="G3662" s="32" t="s">
        <v>124</v>
      </c>
      <c r="H3662" s="33"/>
      <c r="I3662" s="33"/>
      <c r="J3662" s="37"/>
    </row>
    <row r="3663" spans="1:10" x14ac:dyDescent="0.3">
      <c r="A3663" s="32" t="s">
        <v>22</v>
      </c>
      <c r="B3663" s="32">
        <f t="shared" si="871"/>
        <v>2036</v>
      </c>
      <c r="C3663" s="33" t="s">
        <v>28</v>
      </c>
      <c r="D3663" s="34" t="s">
        <v>2002</v>
      </c>
      <c r="E3663" s="35" t="str">
        <f t="shared" si="869"/>
        <v>PSNP'!</v>
      </c>
      <c r="F3663" s="34" t="str">
        <f t="shared" si="870"/>
        <v>C:\Users\jaime.benazar\Quorum Business Solutions\Ecopetrol Prometeo - Documents\Planning Space Implementation\3. Analysis &amp; Design\Design\FC22\DRR Jaime\Neiva CPI\[DINA TERCIARIOS_CF_SEC_New_27-Mar-2024.xlsx]D-PSNP'!</v>
      </c>
      <c r="G3663" s="32" t="s">
        <v>124</v>
      </c>
      <c r="H3663" s="33"/>
      <c r="I3663" s="33"/>
      <c r="J3663" s="37"/>
    </row>
    <row r="3664" spans="1:10" x14ac:dyDescent="0.3">
      <c r="A3664" s="32" t="s">
        <v>22</v>
      </c>
      <c r="B3664" s="32">
        <f>+B3663+1</f>
        <v>2037</v>
      </c>
      <c r="C3664" s="33" t="s">
        <v>28</v>
      </c>
      <c r="D3664" s="34" t="s">
        <v>2002</v>
      </c>
      <c r="E3664" s="35" t="str">
        <f t="shared" si="869"/>
        <v>PSNP'!</v>
      </c>
      <c r="F3664" s="34" t="str">
        <f t="shared" si="870"/>
        <v>C:\Users\jaime.benazar\Quorum Business Solutions\Ecopetrol Prometeo - Documents\Planning Space Implementation\3. Analysis &amp; Design\Design\FC22\DRR Jaime\Neiva CPI\[DINA TERCIARIOS_CF_SEC_New_27-Mar-2024.xlsx]D-PSNP'!</v>
      </c>
      <c r="G3664" s="32" t="s">
        <v>124</v>
      </c>
      <c r="H3664" s="33"/>
      <c r="I3664" s="33"/>
      <c r="J3664" s="37"/>
    </row>
    <row r="3665" spans="1:10" x14ac:dyDescent="0.3">
      <c r="A3665" s="32" t="s">
        <v>22</v>
      </c>
      <c r="B3665" s="32">
        <f t="shared" ref="B3665:B3667" si="872">+B3664+1</f>
        <v>2038</v>
      </c>
      <c r="C3665" s="33" t="s">
        <v>28</v>
      </c>
      <c r="D3665" s="34" t="s">
        <v>2002</v>
      </c>
      <c r="E3665" s="35" t="str">
        <f t="shared" si="869"/>
        <v>PSNP'!</v>
      </c>
      <c r="F3665" s="34" t="str">
        <f t="shared" si="870"/>
        <v>C:\Users\jaime.benazar\Quorum Business Solutions\Ecopetrol Prometeo - Documents\Planning Space Implementation\3. Analysis &amp; Design\Design\FC22\DRR Jaime\Neiva CPI\[DINA TERCIARIOS_CF_SEC_New_27-Mar-2024.xlsx]D-PSNP'!</v>
      </c>
      <c r="G3665" s="32" t="s">
        <v>124</v>
      </c>
      <c r="H3665" s="33"/>
      <c r="I3665" s="33"/>
      <c r="J3665" s="37"/>
    </row>
    <row r="3666" spans="1:10" x14ac:dyDescent="0.3">
      <c r="A3666" s="32" t="s">
        <v>22</v>
      </c>
      <c r="B3666" s="32">
        <f t="shared" si="872"/>
        <v>2039</v>
      </c>
      <c r="C3666" s="33" t="s">
        <v>28</v>
      </c>
      <c r="D3666" s="34" t="s">
        <v>2002</v>
      </c>
      <c r="E3666" s="35" t="str">
        <f t="shared" si="869"/>
        <v>PSNP'!</v>
      </c>
      <c r="F3666" s="34" t="str">
        <f t="shared" si="870"/>
        <v>C:\Users\jaime.benazar\Quorum Business Solutions\Ecopetrol Prometeo - Documents\Planning Space Implementation\3. Analysis &amp; Design\Design\FC22\DRR Jaime\Neiva CPI\[DINA TERCIARIOS_CF_SEC_New_27-Mar-2024.xlsx]D-PSNP'!</v>
      </c>
      <c r="G3666" s="32" t="s">
        <v>124</v>
      </c>
      <c r="H3666" s="33"/>
      <c r="I3666" s="33"/>
      <c r="J3666" s="37"/>
    </row>
    <row r="3667" spans="1:10" x14ac:dyDescent="0.3">
      <c r="A3667" s="32" t="s">
        <v>22</v>
      </c>
      <c r="B3667" s="32">
        <f t="shared" si="872"/>
        <v>2040</v>
      </c>
      <c r="C3667" s="33" t="s">
        <v>28</v>
      </c>
      <c r="D3667" s="34" t="s">
        <v>2002</v>
      </c>
      <c r="E3667" s="35" t="str">
        <f t="shared" si="869"/>
        <v>PSNP'!</v>
      </c>
      <c r="F3667" s="34" t="str">
        <f t="shared" si="870"/>
        <v>C:\Users\jaime.benazar\Quorum Business Solutions\Ecopetrol Prometeo - Documents\Planning Space Implementation\3. Analysis &amp; Design\Design\FC22\DRR Jaime\Neiva CPI\[DINA TERCIARIOS_CF_SEC_New_27-Mar-2024.xlsx]D-PSNP'!</v>
      </c>
      <c r="G3667" s="32" t="s">
        <v>124</v>
      </c>
      <c r="H3667" s="33"/>
      <c r="I3667" s="33"/>
      <c r="J3667" s="37"/>
    </row>
    <row r="3668" spans="1:10" x14ac:dyDescent="0.3">
      <c r="A3668" s="32" t="s">
        <v>22</v>
      </c>
      <c r="B3668" s="32">
        <f>+B3667+1</f>
        <v>2041</v>
      </c>
      <c r="C3668" s="33" t="s">
        <v>28</v>
      </c>
      <c r="D3668" s="34" t="s">
        <v>2002</v>
      </c>
      <c r="E3668" s="35" t="str">
        <f t="shared" si="869"/>
        <v>PSNP'!</v>
      </c>
      <c r="F3668" s="34" t="str">
        <f t="shared" si="870"/>
        <v>C:\Users\jaime.benazar\Quorum Business Solutions\Ecopetrol Prometeo - Documents\Planning Space Implementation\3. Analysis &amp; Design\Design\FC22\DRR Jaime\Neiva CPI\[DINA TERCIARIOS_CF_SEC_New_27-Mar-2024.xlsx]D-PSNP'!</v>
      </c>
      <c r="G3668" s="32" t="s">
        <v>124</v>
      </c>
      <c r="H3668" s="33"/>
      <c r="I3668" s="33"/>
      <c r="J3668" s="37"/>
    </row>
    <row r="3669" spans="1:10" x14ac:dyDescent="0.3">
      <c r="A3669" s="32" t="s">
        <v>22</v>
      </c>
      <c r="B3669" s="32">
        <f t="shared" ref="B3669:B3670" si="873">+B3668+1</f>
        <v>2042</v>
      </c>
      <c r="C3669" s="33" t="s">
        <v>28</v>
      </c>
      <c r="D3669" s="34" t="s">
        <v>2002</v>
      </c>
      <c r="E3669" s="35" t="str">
        <f t="shared" si="869"/>
        <v>PSNP'!</v>
      </c>
      <c r="F3669" s="34" t="str">
        <f t="shared" si="870"/>
        <v>C:\Users\jaime.benazar\Quorum Business Solutions\Ecopetrol Prometeo - Documents\Planning Space Implementation\3. Analysis &amp; Design\Design\FC22\DRR Jaime\Neiva CPI\[DINA TERCIARIOS_CF_SEC_New_27-Mar-2024.xlsx]D-PSNP'!</v>
      </c>
      <c r="G3669" s="32" t="s">
        <v>124</v>
      </c>
      <c r="H3669" s="33"/>
      <c r="I3669" s="33"/>
      <c r="J3669" s="37"/>
    </row>
    <row r="3670" spans="1:10" x14ac:dyDescent="0.3">
      <c r="A3670" s="32" t="s">
        <v>22</v>
      </c>
      <c r="B3670" s="32">
        <f t="shared" si="873"/>
        <v>2043</v>
      </c>
      <c r="C3670" s="33" t="s">
        <v>28</v>
      </c>
      <c r="D3670" s="34" t="s">
        <v>2002</v>
      </c>
      <c r="E3670" s="35" t="str">
        <f t="shared" si="869"/>
        <v>PSNP'!</v>
      </c>
      <c r="F3670" s="34" t="str">
        <f t="shared" si="870"/>
        <v>C:\Users\jaime.benazar\Quorum Business Solutions\Ecopetrol Prometeo - Documents\Planning Space Implementation\3. Analysis &amp; Design\Design\FC22\DRR Jaime\Neiva CPI\[DINA TERCIARIOS_CF_SEC_New_27-Mar-2024.xlsx]D-PSNP'!</v>
      </c>
      <c r="G3670" s="32" t="s">
        <v>124</v>
      </c>
      <c r="H3670" s="33"/>
      <c r="I3670" s="33"/>
      <c r="J3670" s="37"/>
    </row>
    <row r="3671" spans="1:10" x14ac:dyDescent="0.3">
      <c r="A3671" s="32" t="s">
        <v>22</v>
      </c>
      <c r="B3671" s="32">
        <f>+B3670+1</f>
        <v>2044</v>
      </c>
      <c r="C3671" s="33" t="s">
        <v>28</v>
      </c>
      <c r="D3671" s="34" t="s">
        <v>2002</v>
      </c>
      <c r="E3671" s="35" t="str">
        <f t="shared" ref="E3671:E3686" si="874">_xlfn.CONCAT(A3671,"'!")</f>
        <v>PSNP'!</v>
      </c>
      <c r="F3671" s="34" t="str">
        <f t="shared" ref="F3671:F3686" si="875">_xlfn.CONCAT(D3671:E3671)</f>
        <v>C:\Users\jaime.benazar\Quorum Business Solutions\Ecopetrol Prometeo - Documents\Planning Space Implementation\3. Analysis &amp; Design\Design\FC22\DRR Jaime\Neiva CPI\[DINA TERCIARIOS_CF_SEC_New_27-Mar-2024.xlsx]D-PSNP'!</v>
      </c>
      <c r="G3671" s="32" t="s">
        <v>124</v>
      </c>
      <c r="H3671" s="33"/>
      <c r="I3671" s="33"/>
      <c r="J3671" s="37"/>
    </row>
    <row r="3672" spans="1:10" x14ac:dyDescent="0.3">
      <c r="A3672" s="32" t="s">
        <v>22</v>
      </c>
      <c r="B3672" s="32">
        <f t="shared" ref="B3672:B3686" si="876">+B3671+1</f>
        <v>2045</v>
      </c>
      <c r="C3672" s="33" t="s">
        <v>28</v>
      </c>
      <c r="D3672" s="34" t="s">
        <v>2002</v>
      </c>
      <c r="E3672" s="35" t="str">
        <f t="shared" si="874"/>
        <v>PSNP'!</v>
      </c>
      <c r="F3672" s="34" t="str">
        <f t="shared" si="875"/>
        <v>C:\Users\jaime.benazar\Quorum Business Solutions\Ecopetrol Prometeo - Documents\Planning Space Implementation\3. Analysis &amp; Design\Design\FC22\DRR Jaime\Neiva CPI\[DINA TERCIARIOS_CF_SEC_New_27-Mar-2024.xlsx]D-PSNP'!</v>
      </c>
      <c r="G3672" s="32" t="s">
        <v>124</v>
      </c>
      <c r="H3672" s="33"/>
      <c r="I3672" s="33"/>
      <c r="J3672" s="37"/>
    </row>
    <row r="3673" spans="1:10" x14ac:dyDescent="0.3">
      <c r="A3673" s="32" t="s">
        <v>22</v>
      </c>
      <c r="B3673" s="32">
        <f t="shared" si="876"/>
        <v>2046</v>
      </c>
      <c r="C3673" s="33" t="s">
        <v>28</v>
      </c>
      <c r="D3673" s="34" t="s">
        <v>2002</v>
      </c>
      <c r="E3673" s="35" t="str">
        <f t="shared" si="874"/>
        <v>PSNP'!</v>
      </c>
      <c r="F3673" s="34" t="str">
        <f t="shared" si="875"/>
        <v>C:\Users\jaime.benazar\Quorum Business Solutions\Ecopetrol Prometeo - Documents\Planning Space Implementation\3. Analysis &amp; Design\Design\FC22\DRR Jaime\Neiva CPI\[DINA TERCIARIOS_CF_SEC_New_27-Mar-2024.xlsx]D-PSNP'!</v>
      </c>
      <c r="G3673" s="32" t="s">
        <v>124</v>
      </c>
      <c r="H3673" s="33"/>
      <c r="I3673" s="33"/>
      <c r="J3673" s="37"/>
    </row>
    <row r="3674" spans="1:10" x14ac:dyDescent="0.3">
      <c r="A3674" s="32" t="s">
        <v>22</v>
      </c>
      <c r="B3674" s="32">
        <f t="shared" si="876"/>
        <v>2047</v>
      </c>
      <c r="C3674" s="33" t="s">
        <v>28</v>
      </c>
      <c r="D3674" s="34" t="s">
        <v>2002</v>
      </c>
      <c r="E3674" s="35" t="str">
        <f t="shared" si="874"/>
        <v>PSNP'!</v>
      </c>
      <c r="F3674" s="34" t="str">
        <f t="shared" si="875"/>
        <v>C:\Users\jaime.benazar\Quorum Business Solutions\Ecopetrol Prometeo - Documents\Planning Space Implementation\3. Analysis &amp; Design\Design\FC22\DRR Jaime\Neiva CPI\[DINA TERCIARIOS_CF_SEC_New_27-Mar-2024.xlsx]D-PSNP'!</v>
      </c>
      <c r="G3674" s="32" t="s">
        <v>124</v>
      </c>
      <c r="H3674" s="33"/>
      <c r="I3674" s="33"/>
      <c r="J3674" s="37"/>
    </row>
    <row r="3675" spans="1:10" x14ac:dyDescent="0.3">
      <c r="A3675" s="32" t="s">
        <v>22</v>
      </c>
      <c r="B3675" s="32">
        <f t="shared" si="876"/>
        <v>2048</v>
      </c>
      <c r="C3675" s="33" t="s">
        <v>28</v>
      </c>
      <c r="D3675" s="34" t="s">
        <v>2002</v>
      </c>
      <c r="E3675" s="35" t="str">
        <f t="shared" si="874"/>
        <v>PSNP'!</v>
      </c>
      <c r="F3675" s="34" t="str">
        <f t="shared" si="875"/>
        <v>C:\Users\jaime.benazar\Quorum Business Solutions\Ecopetrol Prometeo - Documents\Planning Space Implementation\3. Analysis &amp; Design\Design\FC22\DRR Jaime\Neiva CPI\[DINA TERCIARIOS_CF_SEC_New_27-Mar-2024.xlsx]D-PSNP'!</v>
      </c>
      <c r="G3675" s="32" t="s">
        <v>124</v>
      </c>
      <c r="H3675" s="33"/>
      <c r="I3675" s="33"/>
      <c r="J3675" s="37"/>
    </row>
    <row r="3676" spans="1:10" x14ac:dyDescent="0.3">
      <c r="A3676" s="32" t="s">
        <v>22</v>
      </c>
      <c r="B3676" s="32">
        <f t="shared" si="876"/>
        <v>2049</v>
      </c>
      <c r="C3676" s="33" t="s">
        <v>28</v>
      </c>
      <c r="D3676" s="34" t="s">
        <v>2002</v>
      </c>
      <c r="E3676" s="35" t="str">
        <f t="shared" si="874"/>
        <v>PSNP'!</v>
      </c>
      <c r="F3676" s="34" t="str">
        <f t="shared" si="875"/>
        <v>C:\Users\jaime.benazar\Quorum Business Solutions\Ecopetrol Prometeo - Documents\Planning Space Implementation\3. Analysis &amp; Design\Design\FC22\DRR Jaime\Neiva CPI\[DINA TERCIARIOS_CF_SEC_New_27-Mar-2024.xlsx]D-PSNP'!</v>
      </c>
      <c r="G3676" s="32" t="s">
        <v>124</v>
      </c>
      <c r="H3676" s="33"/>
      <c r="I3676" s="33"/>
      <c r="J3676" s="37"/>
    </row>
    <row r="3677" spans="1:10" x14ac:dyDescent="0.3">
      <c r="A3677" s="32" t="s">
        <v>22</v>
      </c>
      <c r="B3677" s="32">
        <f t="shared" si="876"/>
        <v>2050</v>
      </c>
      <c r="C3677" s="33" t="s">
        <v>28</v>
      </c>
      <c r="D3677" s="34" t="s">
        <v>2002</v>
      </c>
      <c r="E3677" s="35" t="str">
        <f t="shared" si="874"/>
        <v>PSNP'!</v>
      </c>
      <c r="F3677" s="34" t="str">
        <f t="shared" si="875"/>
        <v>C:\Users\jaime.benazar\Quorum Business Solutions\Ecopetrol Prometeo - Documents\Planning Space Implementation\3. Analysis &amp; Design\Design\FC22\DRR Jaime\Neiva CPI\[DINA TERCIARIOS_CF_SEC_New_27-Mar-2024.xlsx]D-PSNP'!</v>
      </c>
      <c r="G3677" s="32" t="s">
        <v>124</v>
      </c>
      <c r="H3677" s="33"/>
      <c r="I3677" s="33"/>
      <c r="J3677" s="37"/>
    </row>
    <row r="3678" spans="1:10" x14ac:dyDescent="0.3">
      <c r="A3678" s="32" t="s">
        <v>22</v>
      </c>
      <c r="B3678" s="32">
        <f t="shared" si="876"/>
        <v>2051</v>
      </c>
      <c r="C3678" s="33" t="s">
        <v>28</v>
      </c>
      <c r="D3678" s="34" t="s">
        <v>2002</v>
      </c>
      <c r="E3678" s="35" t="str">
        <f t="shared" si="874"/>
        <v>PSNP'!</v>
      </c>
      <c r="F3678" s="34" t="str">
        <f t="shared" si="875"/>
        <v>C:\Users\jaime.benazar\Quorum Business Solutions\Ecopetrol Prometeo - Documents\Planning Space Implementation\3. Analysis &amp; Design\Design\FC22\DRR Jaime\Neiva CPI\[DINA TERCIARIOS_CF_SEC_New_27-Mar-2024.xlsx]D-PSNP'!</v>
      </c>
      <c r="G3678" s="32" t="s">
        <v>124</v>
      </c>
      <c r="H3678" s="33"/>
      <c r="I3678" s="33"/>
      <c r="J3678" s="37"/>
    </row>
    <row r="3679" spans="1:10" x14ac:dyDescent="0.3">
      <c r="A3679" s="32" t="s">
        <v>22</v>
      </c>
      <c r="B3679" s="32">
        <f t="shared" si="876"/>
        <v>2052</v>
      </c>
      <c r="C3679" s="33" t="s">
        <v>28</v>
      </c>
      <c r="D3679" s="34" t="s">
        <v>2002</v>
      </c>
      <c r="E3679" s="35" t="str">
        <f t="shared" si="874"/>
        <v>PSNP'!</v>
      </c>
      <c r="F3679" s="34" t="str">
        <f t="shared" si="875"/>
        <v>C:\Users\jaime.benazar\Quorum Business Solutions\Ecopetrol Prometeo - Documents\Planning Space Implementation\3. Analysis &amp; Design\Design\FC22\DRR Jaime\Neiva CPI\[DINA TERCIARIOS_CF_SEC_New_27-Mar-2024.xlsx]D-PSNP'!</v>
      </c>
      <c r="G3679" s="32" t="s">
        <v>124</v>
      </c>
      <c r="H3679" s="33"/>
      <c r="I3679" s="33"/>
      <c r="J3679" s="37"/>
    </row>
    <row r="3680" spans="1:10" x14ac:dyDescent="0.3">
      <c r="A3680" s="32" t="s">
        <v>22</v>
      </c>
      <c r="B3680" s="32">
        <f t="shared" si="876"/>
        <v>2053</v>
      </c>
      <c r="C3680" s="33" t="s">
        <v>28</v>
      </c>
      <c r="D3680" s="34" t="s">
        <v>2002</v>
      </c>
      <c r="E3680" s="35" t="str">
        <f t="shared" si="874"/>
        <v>PSNP'!</v>
      </c>
      <c r="F3680" s="34" t="str">
        <f t="shared" si="875"/>
        <v>C:\Users\jaime.benazar\Quorum Business Solutions\Ecopetrol Prometeo - Documents\Planning Space Implementation\3. Analysis &amp; Design\Design\FC22\DRR Jaime\Neiva CPI\[DINA TERCIARIOS_CF_SEC_New_27-Mar-2024.xlsx]D-PSNP'!</v>
      </c>
      <c r="G3680" s="32" t="s">
        <v>124</v>
      </c>
      <c r="H3680" s="33"/>
      <c r="I3680" s="33"/>
      <c r="J3680" s="37"/>
    </row>
    <row r="3681" spans="1:10" x14ac:dyDescent="0.3">
      <c r="A3681" s="32" t="s">
        <v>22</v>
      </c>
      <c r="B3681" s="32">
        <f t="shared" si="876"/>
        <v>2054</v>
      </c>
      <c r="C3681" s="33" t="s">
        <v>28</v>
      </c>
      <c r="D3681" s="34" t="s">
        <v>2002</v>
      </c>
      <c r="E3681" s="35" t="str">
        <f t="shared" si="874"/>
        <v>PSNP'!</v>
      </c>
      <c r="F3681" s="34" t="str">
        <f t="shared" si="875"/>
        <v>C:\Users\jaime.benazar\Quorum Business Solutions\Ecopetrol Prometeo - Documents\Planning Space Implementation\3. Analysis &amp; Design\Design\FC22\DRR Jaime\Neiva CPI\[DINA TERCIARIOS_CF_SEC_New_27-Mar-2024.xlsx]D-PSNP'!</v>
      </c>
      <c r="G3681" s="32" t="s">
        <v>124</v>
      </c>
      <c r="H3681" s="33"/>
      <c r="I3681" s="33"/>
      <c r="J3681" s="37"/>
    </row>
    <row r="3682" spans="1:10" x14ac:dyDescent="0.3">
      <c r="A3682" s="32" t="s">
        <v>22</v>
      </c>
      <c r="B3682" s="32">
        <f t="shared" si="876"/>
        <v>2055</v>
      </c>
      <c r="C3682" s="33" t="s">
        <v>28</v>
      </c>
      <c r="D3682" s="34" t="s">
        <v>2002</v>
      </c>
      <c r="E3682" s="35" t="str">
        <f t="shared" si="874"/>
        <v>PSNP'!</v>
      </c>
      <c r="F3682" s="34" t="str">
        <f t="shared" si="875"/>
        <v>C:\Users\jaime.benazar\Quorum Business Solutions\Ecopetrol Prometeo - Documents\Planning Space Implementation\3. Analysis &amp; Design\Design\FC22\DRR Jaime\Neiva CPI\[DINA TERCIARIOS_CF_SEC_New_27-Mar-2024.xlsx]D-PSNP'!</v>
      </c>
      <c r="G3682" s="32" t="s">
        <v>124</v>
      </c>
      <c r="H3682" s="33"/>
      <c r="I3682" s="33"/>
      <c r="J3682" s="37"/>
    </row>
    <row r="3683" spans="1:10" x14ac:dyDescent="0.3">
      <c r="A3683" s="32" t="s">
        <v>22</v>
      </c>
      <c r="B3683" s="32">
        <f t="shared" si="876"/>
        <v>2056</v>
      </c>
      <c r="C3683" s="33" t="s">
        <v>28</v>
      </c>
      <c r="D3683" s="34" t="s">
        <v>2002</v>
      </c>
      <c r="E3683" s="35" t="str">
        <f t="shared" si="874"/>
        <v>PSNP'!</v>
      </c>
      <c r="F3683" s="34" t="str">
        <f t="shared" si="875"/>
        <v>C:\Users\jaime.benazar\Quorum Business Solutions\Ecopetrol Prometeo - Documents\Planning Space Implementation\3. Analysis &amp; Design\Design\FC22\DRR Jaime\Neiva CPI\[DINA TERCIARIOS_CF_SEC_New_27-Mar-2024.xlsx]D-PSNP'!</v>
      </c>
      <c r="G3683" s="32" t="s">
        <v>124</v>
      </c>
      <c r="H3683" s="33"/>
      <c r="I3683" s="33"/>
      <c r="J3683" s="37"/>
    </row>
    <row r="3684" spans="1:10" x14ac:dyDescent="0.3">
      <c r="A3684" s="32" t="s">
        <v>22</v>
      </c>
      <c r="B3684" s="32">
        <f t="shared" si="876"/>
        <v>2057</v>
      </c>
      <c r="C3684" s="33" t="s">
        <v>28</v>
      </c>
      <c r="D3684" s="34" t="s">
        <v>2002</v>
      </c>
      <c r="E3684" s="35" t="str">
        <f t="shared" si="874"/>
        <v>PSNP'!</v>
      </c>
      <c r="F3684" s="34" t="str">
        <f t="shared" si="875"/>
        <v>C:\Users\jaime.benazar\Quorum Business Solutions\Ecopetrol Prometeo - Documents\Planning Space Implementation\3. Analysis &amp; Design\Design\FC22\DRR Jaime\Neiva CPI\[DINA TERCIARIOS_CF_SEC_New_27-Mar-2024.xlsx]D-PSNP'!</v>
      </c>
      <c r="G3684" s="32" t="s">
        <v>124</v>
      </c>
      <c r="H3684" s="33"/>
      <c r="I3684" s="33"/>
      <c r="J3684" s="37"/>
    </row>
    <row r="3685" spans="1:10" x14ac:dyDescent="0.3">
      <c r="A3685" s="32" t="s">
        <v>22</v>
      </c>
      <c r="B3685" s="32">
        <f t="shared" si="876"/>
        <v>2058</v>
      </c>
      <c r="C3685" s="33" t="s">
        <v>28</v>
      </c>
      <c r="D3685" s="34" t="s">
        <v>2002</v>
      </c>
      <c r="E3685" s="35" t="str">
        <f t="shared" si="874"/>
        <v>PSNP'!</v>
      </c>
      <c r="F3685" s="34" t="str">
        <f t="shared" si="875"/>
        <v>C:\Users\jaime.benazar\Quorum Business Solutions\Ecopetrol Prometeo - Documents\Planning Space Implementation\3. Analysis &amp; Design\Design\FC22\DRR Jaime\Neiva CPI\[DINA TERCIARIOS_CF_SEC_New_27-Mar-2024.xlsx]D-PSNP'!</v>
      </c>
      <c r="G3685" s="32" t="s">
        <v>124</v>
      </c>
      <c r="H3685" s="33"/>
      <c r="I3685" s="33"/>
      <c r="J3685" s="37"/>
    </row>
    <row r="3686" spans="1:10" x14ac:dyDescent="0.3">
      <c r="A3686" s="32" t="s">
        <v>22</v>
      </c>
      <c r="B3686" s="32">
        <f t="shared" si="876"/>
        <v>2059</v>
      </c>
      <c r="C3686" s="33" t="s">
        <v>28</v>
      </c>
      <c r="D3686" s="34" t="s">
        <v>2002</v>
      </c>
      <c r="E3686" s="35" t="str">
        <f t="shared" si="874"/>
        <v>PSNP'!</v>
      </c>
      <c r="F3686" s="34" t="str">
        <f t="shared" si="875"/>
        <v>C:\Users\jaime.benazar\Quorum Business Solutions\Ecopetrol Prometeo - Documents\Planning Space Implementation\3. Analysis &amp; Design\Design\FC22\DRR Jaime\Neiva CPI\[DINA TERCIARIOS_CF_SEC_New_27-Mar-2024.xlsx]D-PSNP'!</v>
      </c>
      <c r="G3686" s="32" t="s">
        <v>124</v>
      </c>
      <c r="H3686" s="33"/>
      <c r="I3686" s="33"/>
      <c r="J3686" s="37"/>
    </row>
    <row r="3687" spans="1:10" x14ac:dyDescent="0.3">
      <c r="A3687" s="32" t="s">
        <v>26</v>
      </c>
      <c r="B3687" s="32"/>
      <c r="C3687" s="33" t="s">
        <v>28</v>
      </c>
      <c r="D3687" s="34"/>
      <c r="E3687" s="35"/>
      <c r="F3687" s="34"/>
      <c r="G3687" s="32"/>
      <c r="H3687" s="33"/>
      <c r="I3687" s="33"/>
      <c r="J3687" s="36"/>
    </row>
    <row r="3688" spans="1:10" x14ac:dyDescent="0.3">
      <c r="A3688" s="32" t="s">
        <v>23</v>
      </c>
      <c r="B3688" s="32">
        <v>2023</v>
      </c>
      <c r="C3688" s="33" t="s">
        <v>28</v>
      </c>
      <c r="D3688" s="34" t="s">
        <v>2002</v>
      </c>
      <c r="E3688" s="35" t="str">
        <f t="shared" ref="E3688:E3708" si="877">_xlfn.CONCAT(A3688,"'!")</f>
        <v>PSND'!</v>
      </c>
      <c r="F3688" s="34" t="str">
        <f t="shared" ref="F3688:F3708" si="878">_xlfn.CONCAT(D3688:E3688)</f>
        <v>C:\Users\jaime.benazar\Quorum Business Solutions\Ecopetrol Prometeo - Documents\Planning Space Implementation\3. Analysis &amp; Design\Design\FC22\DRR Jaime\Neiva CPI\[DINA TERCIARIOS_CF_SEC_New_27-Mar-2024.xlsx]D-PSND'!</v>
      </c>
      <c r="G3688" s="32" t="s">
        <v>124</v>
      </c>
      <c r="H3688" s="33"/>
      <c r="I3688" s="33"/>
      <c r="J3688" s="37"/>
    </row>
    <row r="3689" spans="1:10" x14ac:dyDescent="0.3">
      <c r="A3689" s="32" t="s">
        <v>23</v>
      </c>
      <c r="B3689" s="32">
        <f>+B3688+1</f>
        <v>2024</v>
      </c>
      <c r="C3689" s="33" t="s">
        <v>28</v>
      </c>
      <c r="D3689" s="34" t="s">
        <v>2002</v>
      </c>
      <c r="E3689" s="35" t="str">
        <f t="shared" si="877"/>
        <v>PSND'!</v>
      </c>
      <c r="F3689" s="34" t="str">
        <f t="shared" si="878"/>
        <v>C:\Users\jaime.benazar\Quorum Business Solutions\Ecopetrol Prometeo - Documents\Planning Space Implementation\3. Analysis &amp; Design\Design\FC22\DRR Jaime\Neiva CPI\[DINA TERCIARIOS_CF_SEC_New_27-Mar-2024.xlsx]D-PSND'!</v>
      </c>
      <c r="G3689" s="32" t="s">
        <v>124</v>
      </c>
      <c r="H3689" s="33"/>
      <c r="I3689" s="33"/>
      <c r="J3689" s="37"/>
    </row>
    <row r="3690" spans="1:10" x14ac:dyDescent="0.3">
      <c r="A3690" s="32" t="s">
        <v>23</v>
      </c>
      <c r="B3690" s="32">
        <f t="shared" ref="B3690:B3701" si="879">+B3689+1</f>
        <v>2025</v>
      </c>
      <c r="C3690" s="33" t="s">
        <v>28</v>
      </c>
      <c r="D3690" s="34" t="s">
        <v>2002</v>
      </c>
      <c r="E3690" s="35" t="str">
        <f t="shared" si="877"/>
        <v>PSND'!</v>
      </c>
      <c r="F3690" s="34" t="str">
        <f t="shared" si="878"/>
        <v>C:\Users\jaime.benazar\Quorum Business Solutions\Ecopetrol Prometeo - Documents\Planning Space Implementation\3. Analysis &amp; Design\Design\FC22\DRR Jaime\Neiva CPI\[DINA TERCIARIOS_CF_SEC_New_27-Mar-2024.xlsx]D-PSND'!</v>
      </c>
      <c r="G3690" s="32" t="s">
        <v>124</v>
      </c>
      <c r="H3690" s="33"/>
      <c r="I3690" s="33"/>
      <c r="J3690" s="37"/>
    </row>
    <row r="3691" spans="1:10" x14ac:dyDescent="0.3">
      <c r="A3691" s="32" t="s">
        <v>23</v>
      </c>
      <c r="B3691" s="32">
        <f t="shared" si="879"/>
        <v>2026</v>
      </c>
      <c r="C3691" s="33" t="s">
        <v>28</v>
      </c>
      <c r="D3691" s="34" t="s">
        <v>2002</v>
      </c>
      <c r="E3691" s="35" t="str">
        <f t="shared" si="877"/>
        <v>PSND'!</v>
      </c>
      <c r="F3691" s="34" t="str">
        <f t="shared" si="878"/>
        <v>C:\Users\jaime.benazar\Quorum Business Solutions\Ecopetrol Prometeo - Documents\Planning Space Implementation\3. Analysis &amp; Design\Design\FC22\DRR Jaime\Neiva CPI\[DINA TERCIARIOS_CF_SEC_New_27-Mar-2024.xlsx]D-PSND'!</v>
      </c>
      <c r="G3691" s="32" t="s">
        <v>124</v>
      </c>
      <c r="H3691" s="33"/>
      <c r="I3691" s="33"/>
      <c r="J3691" s="37"/>
    </row>
    <row r="3692" spans="1:10" x14ac:dyDescent="0.3">
      <c r="A3692" s="32" t="s">
        <v>23</v>
      </c>
      <c r="B3692" s="32">
        <f t="shared" si="879"/>
        <v>2027</v>
      </c>
      <c r="C3692" s="33" t="s">
        <v>28</v>
      </c>
      <c r="D3692" s="34" t="s">
        <v>2002</v>
      </c>
      <c r="E3692" s="35" t="str">
        <f t="shared" si="877"/>
        <v>PSND'!</v>
      </c>
      <c r="F3692" s="34" t="str">
        <f t="shared" si="878"/>
        <v>C:\Users\jaime.benazar\Quorum Business Solutions\Ecopetrol Prometeo - Documents\Planning Space Implementation\3. Analysis &amp; Design\Design\FC22\DRR Jaime\Neiva CPI\[DINA TERCIARIOS_CF_SEC_New_27-Mar-2024.xlsx]D-PSND'!</v>
      </c>
      <c r="G3692" s="32" t="s">
        <v>124</v>
      </c>
      <c r="H3692" s="33"/>
      <c r="I3692" s="33"/>
      <c r="J3692" s="37"/>
    </row>
    <row r="3693" spans="1:10" x14ac:dyDescent="0.3">
      <c r="A3693" s="32" t="s">
        <v>23</v>
      </c>
      <c r="B3693" s="32">
        <f t="shared" si="879"/>
        <v>2028</v>
      </c>
      <c r="C3693" s="33" t="s">
        <v>28</v>
      </c>
      <c r="D3693" s="34" t="s">
        <v>2002</v>
      </c>
      <c r="E3693" s="35" t="str">
        <f t="shared" si="877"/>
        <v>PSND'!</v>
      </c>
      <c r="F3693" s="34" t="str">
        <f t="shared" si="878"/>
        <v>C:\Users\jaime.benazar\Quorum Business Solutions\Ecopetrol Prometeo - Documents\Planning Space Implementation\3. Analysis &amp; Design\Design\FC22\DRR Jaime\Neiva CPI\[DINA TERCIARIOS_CF_SEC_New_27-Mar-2024.xlsx]D-PSND'!</v>
      </c>
      <c r="G3693" s="32" t="s">
        <v>124</v>
      </c>
      <c r="H3693" s="33"/>
      <c r="I3693" s="33"/>
      <c r="J3693" s="37"/>
    </row>
    <row r="3694" spans="1:10" x14ac:dyDescent="0.3">
      <c r="A3694" s="32" t="s">
        <v>23</v>
      </c>
      <c r="B3694" s="32">
        <f t="shared" si="879"/>
        <v>2029</v>
      </c>
      <c r="C3694" s="33" t="s">
        <v>28</v>
      </c>
      <c r="D3694" s="34" t="s">
        <v>2002</v>
      </c>
      <c r="E3694" s="35" t="str">
        <f t="shared" si="877"/>
        <v>PSND'!</v>
      </c>
      <c r="F3694" s="34" t="str">
        <f t="shared" si="878"/>
        <v>C:\Users\jaime.benazar\Quorum Business Solutions\Ecopetrol Prometeo - Documents\Planning Space Implementation\3. Analysis &amp; Design\Design\FC22\DRR Jaime\Neiva CPI\[DINA TERCIARIOS_CF_SEC_New_27-Mar-2024.xlsx]D-PSND'!</v>
      </c>
      <c r="G3694" s="32" t="s">
        <v>124</v>
      </c>
      <c r="H3694" s="33"/>
      <c r="I3694" s="33"/>
      <c r="J3694" s="37"/>
    </row>
    <row r="3695" spans="1:10" x14ac:dyDescent="0.3">
      <c r="A3695" s="32" t="s">
        <v>23</v>
      </c>
      <c r="B3695" s="32">
        <f t="shared" si="879"/>
        <v>2030</v>
      </c>
      <c r="C3695" s="33" t="s">
        <v>28</v>
      </c>
      <c r="D3695" s="34" t="s">
        <v>2002</v>
      </c>
      <c r="E3695" s="35" t="str">
        <f t="shared" si="877"/>
        <v>PSND'!</v>
      </c>
      <c r="F3695" s="34" t="str">
        <f t="shared" si="878"/>
        <v>C:\Users\jaime.benazar\Quorum Business Solutions\Ecopetrol Prometeo - Documents\Planning Space Implementation\3. Analysis &amp; Design\Design\FC22\DRR Jaime\Neiva CPI\[DINA TERCIARIOS_CF_SEC_New_27-Mar-2024.xlsx]D-PSND'!</v>
      </c>
      <c r="G3695" s="32" t="s">
        <v>124</v>
      </c>
      <c r="H3695" s="33"/>
      <c r="I3695" s="33"/>
      <c r="J3695" s="37"/>
    </row>
    <row r="3696" spans="1:10" x14ac:dyDescent="0.3">
      <c r="A3696" s="32" t="s">
        <v>23</v>
      </c>
      <c r="B3696" s="32">
        <f t="shared" si="879"/>
        <v>2031</v>
      </c>
      <c r="C3696" s="33" t="s">
        <v>28</v>
      </c>
      <c r="D3696" s="34" t="s">
        <v>2002</v>
      </c>
      <c r="E3696" s="35" t="str">
        <f t="shared" si="877"/>
        <v>PSND'!</v>
      </c>
      <c r="F3696" s="34" t="str">
        <f t="shared" si="878"/>
        <v>C:\Users\jaime.benazar\Quorum Business Solutions\Ecopetrol Prometeo - Documents\Planning Space Implementation\3. Analysis &amp; Design\Design\FC22\DRR Jaime\Neiva CPI\[DINA TERCIARIOS_CF_SEC_New_27-Mar-2024.xlsx]D-PSND'!</v>
      </c>
      <c r="G3696" s="32" t="s">
        <v>124</v>
      </c>
      <c r="H3696" s="33"/>
      <c r="I3696" s="33"/>
      <c r="J3696" s="37"/>
    </row>
    <row r="3697" spans="1:10" x14ac:dyDescent="0.3">
      <c r="A3697" s="32" t="s">
        <v>23</v>
      </c>
      <c r="B3697" s="32">
        <f t="shared" si="879"/>
        <v>2032</v>
      </c>
      <c r="C3697" s="33" t="s">
        <v>28</v>
      </c>
      <c r="D3697" s="34" t="s">
        <v>2002</v>
      </c>
      <c r="E3697" s="35" t="str">
        <f t="shared" si="877"/>
        <v>PSND'!</v>
      </c>
      <c r="F3697" s="34" t="str">
        <f t="shared" si="878"/>
        <v>C:\Users\jaime.benazar\Quorum Business Solutions\Ecopetrol Prometeo - Documents\Planning Space Implementation\3. Analysis &amp; Design\Design\FC22\DRR Jaime\Neiva CPI\[DINA TERCIARIOS_CF_SEC_New_27-Mar-2024.xlsx]D-PSND'!</v>
      </c>
      <c r="G3697" s="32" t="s">
        <v>124</v>
      </c>
      <c r="H3697" s="33"/>
      <c r="I3697" s="33"/>
      <c r="J3697" s="37"/>
    </row>
    <row r="3698" spans="1:10" x14ac:dyDescent="0.3">
      <c r="A3698" s="32" t="s">
        <v>23</v>
      </c>
      <c r="B3698" s="32">
        <f t="shared" si="879"/>
        <v>2033</v>
      </c>
      <c r="C3698" s="33" t="s">
        <v>28</v>
      </c>
      <c r="D3698" s="34" t="s">
        <v>2002</v>
      </c>
      <c r="E3698" s="35" t="str">
        <f t="shared" si="877"/>
        <v>PSND'!</v>
      </c>
      <c r="F3698" s="34" t="str">
        <f t="shared" si="878"/>
        <v>C:\Users\jaime.benazar\Quorum Business Solutions\Ecopetrol Prometeo - Documents\Planning Space Implementation\3. Analysis &amp; Design\Design\FC22\DRR Jaime\Neiva CPI\[DINA TERCIARIOS_CF_SEC_New_27-Mar-2024.xlsx]D-PSND'!</v>
      </c>
      <c r="G3698" s="32" t="s">
        <v>124</v>
      </c>
      <c r="H3698" s="33"/>
      <c r="I3698" s="33"/>
      <c r="J3698" s="37"/>
    </row>
    <row r="3699" spans="1:10" x14ac:dyDescent="0.3">
      <c r="A3699" s="32" t="s">
        <v>23</v>
      </c>
      <c r="B3699" s="32">
        <f t="shared" si="879"/>
        <v>2034</v>
      </c>
      <c r="C3699" s="33" t="s">
        <v>28</v>
      </c>
      <c r="D3699" s="34" t="s">
        <v>2002</v>
      </c>
      <c r="E3699" s="35" t="str">
        <f t="shared" si="877"/>
        <v>PSND'!</v>
      </c>
      <c r="F3699" s="34" t="str">
        <f t="shared" si="878"/>
        <v>C:\Users\jaime.benazar\Quorum Business Solutions\Ecopetrol Prometeo - Documents\Planning Space Implementation\3. Analysis &amp; Design\Design\FC22\DRR Jaime\Neiva CPI\[DINA TERCIARIOS_CF_SEC_New_27-Mar-2024.xlsx]D-PSND'!</v>
      </c>
      <c r="G3699" s="32" t="s">
        <v>124</v>
      </c>
      <c r="H3699" s="33"/>
      <c r="I3699" s="33"/>
      <c r="J3699" s="37"/>
    </row>
    <row r="3700" spans="1:10" x14ac:dyDescent="0.3">
      <c r="A3700" s="32" t="s">
        <v>23</v>
      </c>
      <c r="B3700" s="32">
        <f t="shared" si="879"/>
        <v>2035</v>
      </c>
      <c r="C3700" s="33" t="s">
        <v>28</v>
      </c>
      <c r="D3700" s="34" t="s">
        <v>2002</v>
      </c>
      <c r="E3700" s="35" t="str">
        <f t="shared" si="877"/>
        <v>PSND'!</v>
      </c>
      <c r="F3700" s="34" t="str">
        <f t="shared" si="878"/>
        <v>C:\Users\jaime.benazar\Quorum Business Solutions\Ecopetrol Prometeo - Documents\Planning Space Implementation\3. Analysis &amp; Design\Design\FC22\DRR Jaime\Neiva CPI\[DINA TERCIARIOS_CF_SEC_New_27-Mar-2024.xlsx]D-PSND'!</v>
      </c>
      <c r="G3700" s="32" t="s">
        <v>124</v>
      </c>
      <c r="H3700" s="33"/>
      <c r="I3700" s="33"/>
      <c r="J3700" s="37"/>
    </row>
    <row r="3701" spans="1:10" x14ac:dyDescent="0.3">
      <c r="A3701" s="32" t="s">
        <v>23</v>
      </c>
      <c r="B3701" s="32">
        <f t="shared" si="879"/>
        <v>2036</v>
      </c>
      <c r="C3701" s="33" t="s">
        <v>28</v>
      </c>
      <c r="D3701" s="34" t="s">
        <v>2002</v>
      </c>
      <c r="E3701" s="35" t="str">
        <f t="shared" si="877"/>
        <v>PSND'!</v>
      </c>
      <c r="F3701" s="34" t="str">
        <f t="shared" si="878"/>
        <v>C:\Users\jaime.benazar\Quorum Business Solutions\Ecopetrol Prometeo - Documents\Planning Space Implementation\3. Analysis &amp; Design\Design\FC22\DRR Jaime\Neiva CPI\[DINA TERCIARIOS_CF_SEC_New_27-Mar-2024.xlsx]D-PSND'!</v>
      </c>
      <c r="G3701" s="32" t="s">
        <v>124</v>
      </c>
      <c r="H3701" s="33"/>
      <c r="I3701" s="33"/>
      <c r="J3701" s="37"/>
    </row>
    <row r="3702" spans="1:10" x14ac:dyDescent="0.3">
      <c r="A3702" s="32" t="s">
        <v>23</v>
      </c>
      <c r="B3702" s="32">
        <f>+B3701+1</f>
        <v>2037</v>
      </c>
      <c r="C3702" s="33" t="s">
        <v>28</v>
      </c>
      <c r="D3702" s="34" t="s">
        <v>2002</v>
      </c>
      <c r="E3702" s="35" t="str">
        <f t="shared" si="877"/>
        <v>PSND'!</v>
      </c>
      <c r="F3702" s="34" t="str">
        <f t="shared" si="878"/>
        <v>C:\Users\jaime.benazar\Quorum Business Solutions\Ecopetrol Prometeo - Documents\Planning Space Implementation\3. Analysis &amp; Design\Design\FC22\DRR Jaime\Neiva CPI\[DINA TERCIARIOS_CF_SEC_New_27-Mar-2024.xlsx]D-PSND'!</v>
      </c>
      <c r="G3702" s="32" t="s">
        <v>124</v>
      </c>
      <c r="H3702" s="33"/>
      <c r="I3702" s="33"/>
      <c r="J3702" s="37"/>
    </row>
    <row r="3703" spans="1:10" x14ac:dyDescent="0.3">
      <c r="A3703" s="32" t="s">
        <v>23</v>
      </c>
      <c r="B3703" s="32">
        <f t="shared" ref="B3703:B3705" si="880">+B3702+1</f>
        <v>2038</v>
      </c>
      <c r="C3703" s="33" t="s">
        <v>28</v>
      </c>
      <c r="D3703" s="34" t="s">
        <v>2002</v>
      </c>
      <c r="E3703" s="35" t="str">
        <f t="shared" si="877"/>
        <v>PSND'!</v>
      </c>
      <c r="F3703" s="34" t="str">
        <f t="shared" si="878"/>
        <v>C:\Users\jaime.benazar\Quorum Business Solutions\Ecopetrol Prometeo - Documents\Planning Space Implementation\3. Analysis &amp; Design\Design\FC22\DRR Jaime\Neiva CPI\[DINA TERCIARIOS_CF_SEC_New_27-Mar-2024.xlsx]D-PSND'!</v>
      </c>
      <c r="G3703" s="32" t="s">
        <v>124</v>
      </c>
      <c r="H3703" s="33"/>
      <c r="I3703" s="33"/>
      <c r="J3703" s="37"/>
    </row>
    <row r="3704" spans="1:10" x14ac:dyDescent="0.3">
      <c r="A3704" s="32" t="s">
        <v>23</v>
      </c>
      <c r="B3704" s="32">
        <f t="shared" si="880"/>
        <v>2039</v>
      </c>
      <c r="C3704" s="33" t="s">
        <v>28</v>
      </c>
      <c r="D3704" s="34" t="s">
        <v>2002</v>
      </c>
      <c r="E3704" s="35" t="str">
        <f t="shared" si="877"/>
        <v>PSND'!</v>
      </c>
      <c r="F3704" s="34" t="str">
        <f t="shared" si="878"/>
        <v>C:\Users\jaime.benazar\Quorum Business Solutions\Ecopetrol Prometeo - Documents\Planning Space Implementation\3. Analysis &amp; Design\Design\FC22\DRR Jaime\Neiva CPI\[DINA TERCIARIOS_CF_SEC_New_27-Mar-2024.xlsx]D-PSND'!</v>
      </c>
      <c r="G3704" s="32" t="s">
        <v>124</v>
      </c>
      <c r="H3704" s="33"/>
      <c r="I3704" s="33"/>
      <c r="J3704" s="37"/>
    </row>
    <row r="3705" spans="1:10" x14ac:dyDescent="0.3">
      <c r="A3705" s="32" t="s">
        <v>23</v>
      </c>
      <c r="B3705" s="32">
        <f t="shared" si="880"/>
        <v>2040</v>
      </c>
      <c r="C3705" s="33" t="s">
        <v>28</v>
      </c>
      <c r="D3705" s="34" t="s">
        <v>2002</v>
      </c>
      <c r="E3705" s="35" t="str">
        <f t="shared" si="877"/>
        <v>PSND'!</v>
      </c>
      <c r="F3705" s="34" t="str">
        <f t="shared" si="878"/>
        <v>C:\Users\jaime.benazar\Quorum Business Solutions\Ecopetrol Prometeo - Documents\Planning Space Implementation\3. Analysis &amp; Design\Design\FC22\DRR Jaime\Neiva CPI\[DINA TERCIARIOS_CF_SEC_New_27-Mar-2024.xlsx]D-PSND'!</v>
      </c>
      <c r="G3705" s="32" t="s">
        <v>124</v>
      </c>
      <c r="H3705" s="33"/>
      <c r="I3705" s="33"/>
      <c r="J3705" s="37"/>
    </row>
    <row r="3706" spans="1:10" x14ac:dyDescent="0.3">
      <c r="A3706" s="32" t="s">
        <v>23</v>
      </c>
      <c r="B3706" s="32">
        <f>+B3705+1</f>
        <v>2041</v>
      </c>
      <c r="C3706" s="33" t="s">
        <v>28</v>
      </c>
      <c r="D3706" s="34" t="s">
        <v>2002</v>
      </c>
      <c r="E3706" s="35" t="str">
        <f t="shared" si="877"/>
        <v>PSND'!</v>
      </c>
      <c r="F3706" s="34" t="str">
        <f t="shared" si="878"/>
        <v>C:\Users\jaime.benazar\Quorum Business Solutions\Ecopetrol Prometeo - Documents\Planning Space Implementation\3. Analysis &amp; Design\Design\FC22\DRR Jaime\Neiva CPI\[DINA TERCIARIOS_CF_SEC_New_27-Mar-2024.xlsx]D-PSND'!</v>
      </c>
      <c r="G3706" s="32" t="s">
        <v>124</v>
      </c>
      <c r="H3706" s="33"/>
      <c r="I3706" s="33"/>
      <c r="J3706" s="37"/>
    </row>
    <row r="3707" spans="1:10" x14ac:dyDescent="0.3">
      <c r="A3707" s="32" t="s">
        <v>23</v>
      </c>
      <c r="B3707" s="32">
        <f t="shared" ref="B3707:B3708" si="881">+B3706+1</f>
        <v>2042</v>
      </c>
      <c r="C3707" s="33" t="s">
        <v>28</v>
      </c>
      <c r="D3707" s="34" t="s">
        <v>2002</v>
      </c>
      <c r="E3707" s="35" t="str">
        <f t="shared" si="877"/>
        <v>PSND'!</v>
      </c>
      <c r="F3707" s="34" t="str">
        <f t="shared" si="878"/>
        <v>C:\Users\jaime.benazar\Quorum Business Solutions\Ecopetrol Prometeo - Documents\Planning Space Implementation\3. Analysis &amp; Design\Design\FC22\DRR Jaime\Neiva CPI\[DINA TERCIARIOS_CF_SEC_New_27-Mar-2024.xlsx]D-PSND'!</v>
      </c>
      <c r="G3707" s="32" t="s">
        <v>124</v>
      </c>
      <c r="H3707" s="33"/>
      <c r="I3707" s="33"/>
      <c r="J3707" s="37"/>
    </row>
    <row r="3708" spans="1:10" x14ac:dyDescent="0.3">
      <c r="A3708" s="32" t="s">
        <v>23</v>
      </c>
      <c r="B3708" s="32">
        <f t="shared" si="881"/>
        <v>2043</v>
      </c>
      <c r="C3708" s="33" t="s">
        <v>28</v>
      </c>
      <c r="D3708" s="34" t="s">
        <v>2002</v>
      </c>
      <c r="E3708" s="35" t="str">
        <f t="shared" si="877"/>
        <v>PSND'!</v>
      </c>
      <c r="F3708" s="34" t="str">
        <f t="shared" si="878"/>
        <v>C:\Users\jaime.benazar\Quorum Business Solutions\Ecopetrol Prometeo - Documents\Planning Space Implementation\3. Analysis &amp; Design\Design\FC22\DRR Jaime\Neiva CPI\[DINA TERCIARIOS_CF_SEC_New_27-Mar-2024.xlsx]D-PSND'!</v>
      </c>
      <c r="G3708" s="32" t="s">
        <v>124</v>
      </c>
      <c r="H3708" s="33"/>
      <c r="I3708" s="33"/>
      <c r="J3708" s="37"/>
    </row>
    <row r="3709" spans="1:10" x14ac:dyDescent="0.3">
      <c r="A3709" s="32" t="s">
        <v>23</v>
      </c>
      <c r="B3709" s="32">
        <f>+B3708+1</f>
        <v>2044</v>
      </c>
      <c r="C3709" s="33" t="s">
        <v>28</v>
      </c>
      <c r="D3709" s="34" t="s">
        <v>2002</v>
      </c>
      <c r="E3709" s="35" t="str">
        <f t="shared" ref="E3709:E3724" si="882">_xlfn.CONCAT(A3709,"'!")</f>
        <v>PSND'!</v>
      </c>
      <c r="F3709" s="34" t="str">
        <f t="shared" ref="F3709:F3724" si="883">_xlfn.CONCAT(D3709:E3709)</f>
        <v>C:\Users\jaime.benazar\Quorum Business Solutions\Ecopetrol Prometeo - Documents\Planning Space Implementation\3. Analysis &amp; Design\Design\FC22\DRR Jaime\Neiva CPI\[DINA TERCIARIOS_CF_SEC_New_27-Mar-2024.xlsx]D-PSND'!</v>
      </c>
      <c r="G3709" s="32" t="s">
        <v>124</v>
      </c>
      <c r="H3709" s="33"/>
      <c r="I3709" s="33"/>
      <c r="J3709" s="37"/>
    </row>
    <row r="3710" spans="1:10" x14ac:dyDescent="0.3">
      <c r="A3710" s="32" t="s">
        <v>23</v>
      </c>
      <c r="B3710" s="32">
        <f t="shared" ref="B3710:B3724" si="884">+B3709+1</f>
        <v>2045</v>
      </c>
      <c r="C3710" s="33" t="s">
        <v>28</v>
      </c>
      <c r="D3710" s="34" t="s">
        <v>2002</v>
      </c>
      <c r="E3710" s="35" t="str">
        <f t="shared" si="882"/>
        <v>PSND'!</v>
      </c>
      <c r="F3710" s="34" t="str">
        <f t="shared" si="883"/>
        <v>C:\Users\jaime.benazar\Quorum Business Solutions\Ecopetrol Prometeo - Documents\Planning Space Implementation\3. Analysis &amp; Design\Design\FC22\DRR Jaime\Neiva CPI\[DINA TERCIARIOS_CF_SEC_New_27-Mar-2024.xlsx]D-PSND'!</v>
      </c>
      <c r="G3710" s="32" t="s">
        <v>124</v>
      </c>
      <c r="H3710" s="33"/>
      <c r="I3710" s="33"/>
      <c r="J3710" s="37"/>
    </row>
    <row r="3711" spans="1:10" x14ac:dyDescent="0.3">
      <c r="A3711" s="32" t="s">
        <v>23</v>
      </c>
      <c r="B3711" s="32">
        <f t="shared" si="884"/>
        <v>2046</v>
      </c>
      <c r="C3711" s="33" t="s">
        <v>28</v>
      </c>
      <c r="D3711" s="34" t="s">
        <v>2002</v>
      </c>
      <c r="E3711" s="35" t="str">
        <f t="shared" si="882"/>
        <v>PSND'!</v>
      </c>
      <c r="F3711" s="34" t="str">
        <f t="shared" si="883"/>
        <v>C:\Users\jaime.benazar\Quorum Business Solutions\Ecopetrol Prometeo - Documents\Planning Space Implementation\3. Analysis &amp; Design\Design\FC22\DRR Jaime\Neiva CPI\[DINA TERCIARIOS_CF_SEC_New_27-Mar-2024.xlsx]D-PSND'!</v>
      </c>
      <c r="G3711" s="32" t="s">
        <v>124</v>
      </c>
      <c r="H3711" s="33"/>
      <c r="I3711" s="33"/>
      <c r="J3711" s="37"/>
    </row>
    <row r="3712" spans="1:10" x14ac:dyDescent="0.3">
      <c r="A3712" s="32" t="s">
        <v>23</v>
      </c>
      <c r="B3712" s="32">
        <f t="shared" si="884"/>
        <v>2047</v>
      </c>
      <c r="C3712" s="33" t="s">
        <v>28</v>
      </c>
      <c r="D3712" s="34" t="s">
        <v>2002</v>
      </c>
      <c r="E3712" s="35" t="str">
        <f t="shared" si="882"/>
        <v>PSND'!</v>
      </c>
      <c r="F3712" s="34" t="str">
        <f t="shared" si="883"/>
        <v>C:\Users\jaime.benazar\Quorum Business Solutions\Ecopetrol Prometeo - Documents\Planning Space Implementation\3. Analysis &amp; Design\Design\FC22\DRR Jaime\Neiva CPI\[DINA TERCIARIOS_CF_SEC_New_27-Mar-2024.xlsx]D-PSND'!</v>
      </c>
      <c r="G3712" s="32" t="s">
        <v>124</v>
      </c>
      <c r="H3712" s="33"/>
      <c r="I3712" s="33"/>
      <c r="J3712" s="37"/>
    </row>
    <row r="3713" spans="1:10" x14ac:dyDescent="0.3">
      <c r="A3713" s="32" t="s">
        <v>23</v>
      </c>
      <c r="B3713" s="32">
        <f t="shared" si="884"/>
        <v>2048</v>
      </c>
      <c r="C3713" s="33" t="s">
        <v>28</v>
      </c>
      <c r="D3713" s="34" t="s">
        <v>2002</v>
      </c>
      <c r="E3713" s="35" t="str">
        <f t="shared" si="882"/>
        <v>PSND'!</v>
      </c>
      <c r="F3713" s="34" t="str">
        <f t="shared" si="883"/>
        <v>C:\Users\jaime.benazar\Quorum Business Solutions\Ecopetrol Prometeo - Documents\Planning Space Implementation\3. Analysis &amp; Design\Design\FC22\DRR Jaime\Neiva CPI\[DINA TERCIARIOS_CF_SEC_New_27-Mar-2024.xlsx]D-PSND'!</v>
      </c>
      <c r="G3713" s="32" t="s">
        <v>124</v>
      </c>
      <c r="H3713" s="33"/>
      <c r="I3713" s="33"/>
      <c r="J3713" s="37"/>
    </row>
    <row r="3714" spans="1:10" x14ac:dyDescent="0.3">
      <c r="A3714" s="32" t="s">
        <v>23</v>
      </c>
      <c r="B3714" s="32">
        <f t="shared" si="884"/>
        <v>2049</v>
      </c>
      <c r="C3714" s="33" t="s">
        <v>28</v>
      </c>
      <c r="D3714" s="34" t="s">
        <v>2002</v>
      </c>
      <c r="E3714" s="35" t="str">
        <f t="shared" si="882"/>
        <v>PSND'!</v>
      </c>
      <c r="F3714" s="34" t="str">
        <f t="shared" si="883"/>
        <v>C:\Users\jaime.benazar\Quorum Business Solutions\Ecopetrol Prometeo - Documents\Planning Space Implementation\3. Analysis &amp; Design\Design\FC22\DRR Jaime\Neiva CPI\[DINA TERCIARIOS_CF_SEC_New_27-Mar-2024.xlsx]D-PSND'!</v>
      </c>
      <c r="G3714" s="32" t="s">
        <v>124</v>
      </c>
      <c r="H3714" s="33"/>
      <c r="I3714" s="33"/>
      <c r="J3714" s="37"/>
    </row>
    <row r="3715" spans="1:10" x14ac:dyDescent="0.3">
      <c r="A3715" s="32" t="s">
        <v>23</v>
      </c>
      <c r="B3715" s="32">
        <f t="shared" si="884"/>
        <v>2050</v>
      </c>
      <c r="C3715" s="33" t="s">
        <v>28</v>
      </c>
      <c r="D3715" s="34" t="s">
        <v>2002</v>
      </c>
      <c r="E3715" s="35" t="str">
        <f t="shared" si="882"/>
        <v>PSND'!</v>
      </c>
      <c r="F3715" s="34" t="str">
        <f t="shared" si="883"/>
        <v>C:\Users\jaime.benazar\Quorum Business Solutions\Ecopetrol Prometeo - Documents\Planning Space Implementation\3. Analysis &amp; Design\Design\FC22\DRR Jaime\Neiva CPI\[DINA TERCIARIOS_CF_SEC_New_27-Mar-2024.xlsx]D-PSND'!</v>
      </c>
      <c r="G3715" s="32" t="s">
        <v>124</v>
      </c>
      <c r="H3715" s="33"/>
      <c r="I3715" s="33"/>
      <c r="J3715" s="37"/>
    </row>
    <row r="3716" spans="1:10" x14ac:dyDescent="0.3">
      <c r="A3716" s="32" t="s">
        <v>23</v>
      </c>
      <c r="B3716" s="32">
        <f t="shared" si="884"/>
        <v>2051</v>
      </c>
      <c r="C3716" s="33" t="s">
        <v>28</v>
      </c>
      <c r="D3716" s="34" t="s">
        <v>2002</v>
      </c>
      <c r="E3716" s="35" t="str">
        <f t="shared" si="882"/>
        <v>PSND'!</v>
      </c>
      <c r="F3716" s="34" t="str">
        <f t="shared" si="883"/>
        <v>C:\Users\jaime.benazar\Quorum Business Solutions\Ecopetrol Prometeo - Documents\Planning Space Implementation\3. Analysis &amp; Design\Design\FC22\DRR Jaime\Neiva CPI\[DINA TERCIARIOS_CF_SEC_New_27-Mar-2024.xlsx]D-PSND'!</v>
      </c>
      <c r="G3716" s="32" t="s">
        <v>124</v>
      </c>
      <c r="H3716" s="33"/>
      <c r="I3716" s="33"/>
      <c r="J3716" s="37"/>
    </row>
    <row r="3717" spans="1:10" x14ac:dyDescent="0.3">
      <c r="A3717" s="32" t="s">
        <v>23</v>
      </c>
      <c r="B3717" s="32">
        <f t="shared" si="884"/>
        <v>2052</v>
      </c>
      <c r="C3717" s="33" t="s">
        <v>28</v>
      </c>
      <c r="D3717" s="34" t="s">
        <v>2002</v>
      </c>
      <c r="E3717" s="35" t="str">
        <f t="shared" si="882"/>
        <v>PSND'!</v>
      </c>
      <c r="F3717" s="34" t="str">
        <f t="shared" si="883"/>
        <v>C:\Users\jaime.benazar\Quorum Business Solutions\Ecopetrol Prometeo - Documents\Planning Space Implementation\3. Analysis &amp; Design\Design\FC22\DRR Jaime\Neiva CPI\[DINA TERCIARIOS_CF_SEC_New_27-Mar-2024.xlsx]D-PSND'!</v>
      </c>
      <c r="G3717" s="32" t="s">
        <v>124</v>
      </c>
      <c r="H3717" s="33"/>
      <c r="I3717" s="33"/>
      <c r="J3717" s="37"/>
    </row>
    <row r="3718" spans="1:10" x14ac:dyDescent="0.3">
      <c r="A3718" s="32" t="s">
        <v>23</v>
      </c>
      <c r="B3718" s="32">
        <f t="shared" si="884"/>
        <v>2053</v>
      </c>
      <c r="C3718" s="33" t="s">
        <v>28</v>
      </c>
      <c r="D3718" s="34" t="s">
        <v>2002</v>
      </c>
      <c r="E3718" s="35" t="str">
        <f t="shared" si="882"/>
        <v>PSND'!</v>
      </c>
      <c r="F3718" s="34" t="str">
        <f t="shared" si="883"/>
        <v>C:\Users\jaime.benazar\Quorum Business Solutions\Ecopetrol Prometeo - Documents\Planning Space Implementation\3. Analysis &amp; Design\Design\FC22\DRR Jaime\Neiva CPI\[DINA TERCIARIOS_CF_SEC_New_27-Mar-2024.xlsx]D-PSND'!</v>
      </c>
      <c r="G3718" s="32" t="s">
        <v>124</v>
      </c>
      <c r="H3718" s="33"/>
      <c r="I3718" s="33"/>
      <c r="J3718" s="37"/>
    </row>
    <row r="3719" spans="1:10" x14ac:dyDescent="0.3">
      <c r="A3719" s="32" t="s">
        <v>23</v>
      </c>
      <c r="B3719" s="32">
        <f t="shared" si="884"/>
        <v>2054</v>
      </c>
      <c r="C3719" s="33" t="s">
        <v>28</v>
      </c>
      <c r="D3719" s="34" t="s">
        <v>2002</v>
      </c>
      <c r="E3719" s="35" t="str">
        <f t="shared" si="882"/>
        <v>PSND'!</v>
      </c>
      <c r="F3719" s="34" t="str">
        <f t="shared" si="883"/>
        <v>C:\Users\jaime.benazar\Quorum Business Solutions\Ecopetrol Prometeo - Documents\Planning Space Implementation\3. Analysis &amp; Design\Design\FC22\DRR Jaime\Neiva CPI\[DINA TERCIARIOS_CF_SEC_New_27-Mar-2024.xlsx]D-PSND'!</v>
      </c>
      <c r="G3719" s="32" t="s">
        <v>124</v>
      </c>
      <c r="H3719" s="33"/>
      <c r="I3719" s="33"/>
      <c r="J3719" s="37"/>
    </row>
    <row r="3720" spans="1:10" x14ac:dyDescent="0.3">
      <c r="A3720" s="32" t="s">
        <v>23</v>
      </c>
      <c r="B3720" s="32">
        <f t="shared" si="884"/>
        <v>2055</v>
      </c>
      <c r="C3720" s="33" t="s">
        <v>28</v>
      </c>
      <c r="D3720" s="34" t="s">
        <v>2002</v>
      </c>
      <c r="E3720" s="35" t="str">
        <f t="shared" si="882"/>
        <v>PSND'!</v>
      </c>
      <c r="F3720" s="34" t="str">
        <f t="shared" si="883"/>
        <v>C:\Users\jaime.benazar\Quorum Business Solutions\Ecopetrol Prometeo - Documents\Planning Space Implementation\3. Analysis &amp; Design\Design\FC22\DRR Jaime\Neiva CPI\[DINA TERCIARIOS_CF_SEC_New_27-Mar-2024.xlsx]D-PSND'!</v>
      </c>
      <c r="G3720" s="32" t="s">
        <v>124</v>
      </c>
      <c r="H3720" s="33"/>
      <c r="I3720" s="33"/>
      <c r="J3720" s="37"/>
    </row>
    <row r="3721" spans="1:10" x14ac:dyDescent="0.3">
      <c r="A3721" s="32" t="s">
        <v>23</v>
      </c>
      <c r="B3721" s="32">
        <f t="shared" si="884"/>
        <v>2056</v>
      </c>
      <c r="C3721" s="33" t="s">
        <v>28</v>
      </c>
      <c r="D3721" s="34" t="s">
        <v>2002</v>
      </c>
      <c r="E3721" s="35" t="str">
        <f t="shared" si="882"/>
        <v>PSND'!</v>
      </c>
      <c r="F3721" s="34" t="str">
        <f t="shared" si="883"/>
        <v>C:\Users\jaime.benazar\Quorum Business Solutions\Ecopetrol Prometeo - Documents\Planning Space Implementation\3. Analysis &amp; Design\Design\FC22\DRR Jaime\Neiva CPI\[DINA TERCIARIOS_CF_SEC_New_27-Mar-2024.xlsx]D-PSND'!</v>
      </c>
      <c r="G3721" s="32" t="s">
        <v>124</v>
      </c>
      <c r="H3721" s="33"/>
      <c r="I3721" s="33"/>
      <c r="J3721" s="37"/>
    </row>
    <row r="3722" spans="1:10" x14ac:dyDescent="0.3">
      <c r="A3722" s="32" t="s">
        <v>23</v>
      </c>
      <c r="B3722" s="32">
        <f t="shared" si="884"/>
        <v>2057</v>
      </c>
      <c r="C3722" s="33" t="s">
        <v>28</v>
      </c>
      <c r="D3722" s="34" t="s">
        <v>2002</v>
      </c>
      <c r="E3722" s="35" t="str">
        <f t="shared" si="882"/>
        <v>PSND'!</v>
      </c>
      <c r="F3722" s="34" t="str">
        <f t="shared" si="883"/>
        <v>C:\Users\jaime.benazar\Quorum Business Solutions\Ecopetrol Prometeo - Documents\Planning Space Implementation\3. Analysis &amp; Design\Design\FC22\DRR Jaime\Neiva CPI\[DINA TERCIARIOS_CF_SEC_New_27-Mar-2024.xlsx]D-PSND'!</v>
      </c>
      <c r="G3722" s="32" t="s">
        <v>124</v>
      </c>
      <c r="H3722" s="33"/>
      <c r="I3722" s="33"/>
      <c r="J3722" s="37"/>
    </row>
    <row r="3723" spans="1:10" x14ac:dyDescent="0.3">
      <c r="A3723" s="32" t="s">
        <v>23</v>
      </c>
      <c r="B3723" s="32">
        <f t="shared" si="884"/>
        <v>2058</v>
      </c>
      <c r="C3723" s="33" t="s">
        <v>28</v>
      </c>
      <c r="D3723" s="34" t="s">
        <v>2002</v>
      </c>
      <c r="E3723" s="35" t="str">
        <f t="shared" si="882"/>
        <v>PSND'!</v>
      </c>
      <c r="F3723" s="34" t="str">
        <f t="shared" si="883"/>
        <v>C:\Users\jaime.benazar\Quorum Business Solutions\Ecopetrol Prometeo - Documents\Planning Space Implementation\3. Analysis &amp; Design\Design\FC22\DRR Jaime\Neiva CPI\[DINA TERCIARIOS_CF_SEC_New_27-Mar-2024.xlsx]D-PSND'!</v>
      </c>
      <c r="G3723" s="32" t="s">
        <v>124</v>
      </c>
      <c r="H3723" s="33"/>
      <c r="I3723" s="33"/>
      <c r="J3723" s="37"/>
    </row>
    <row r="3724" spans="1:10" x14ac:dyDescent="0.3">
      <c r="A3724" s="32" t="s">
        <v>23</v>
      </c>
      <c r="B3724" s="32">
        <f t="shared" si="884"/>
        <v>2059</v>
      </c>
      <c r="C3724" s="33" t="s">
        <v>28</v>
      </c>
      <c r="D3724" s="34" t="s">
        <v>2002</v>
      </c>
      <c r="E3724" s="35" t="str">
        <f t="shared" si="882"/>
        <v>PSND'!</v>
      </c>
      <c r="F3724" s="34" t="str">
        <f t="shared" si="883"/>
        <v>C:\Users\jaime.benazar\Quorum Business Solutions\Ecopetrol Prometeo - Documents\Planning Space Implementation\3. Analysis &amp; Design\Design\FC22\DRR Jaime\Neiva CPI\[DINA TERCIARIOS_CF_SEC_New_27-Mar-2024.xlsx]D-PSND'!</v>
      </c>
      <c r="G3724" s="32" t="s">
        <v>124</v>
      </c>
      <c r="H3724" s="33"/>
      <c r="I3724" s="33"/>
      <c r="J3724" s="37"/>
    </row>
    <row r="3725" spans="1:10" x14ac:dyDescent="0.3">
      <c r="A3725" s="32" t="s">
        <v>26</v>
      </c>
      <c r="B3725" s="32"/>
      <c r="C3725" s="33" t="s">
        <v>28</v>
      </c>
      <c r="D3725" s="34"/>
      <c r="E3725" s="35"/>
      <c r="F3725" s="34"/>
      <c r="G3725" s="32"/>
      <c r="H3725" s="33"/>
      <c r="I3725" s="33"/>
      <c r="J3725" s="36"/>
    </row>
    <row r="3726" spans="1:10" x14ac:dyDescent="0.3">
      <c r="A3726" s="32" t="s">
        <v>24</v>
      </c>
      <c r="B3726" s="32">
        <v>2023</v>
      </c>
      <c r="C3726" s="33" t="s">
        <v>28</v>
      </c>
      <c r="D3726" s="34" t="s">
        <v>2002</v>
      </c>
      <c r="E3726" s="35" t="str">
        <f t="shared" ref="E3726:E3746" si="885">_xlfn.CONCAT(A3726,"'!")</f>
        <v>PS'!</v>
      </c>
      <c r="F3726" s="34" t="str">
        <f t="shared" ref="F3726:F3746" si="886">_xlfn.CONCAT(D3726:E3726)</f>
        <v>C:\Users\jaime.benazar\Quorum Business Solutions\Ecopetrol Prometeo - Documents\Planning Space Implementation\3. Analysis &amp; Design\Design\FC22\DRR Jaime\Neiva CPI\[DINA TERCIARIOS_CF_SEC_New_27-Mar-2024.xlsx]D-PS'!</v>
      </c>
      <c r="G3726" s="32" t="s">
        <v>124</v>
      </c>
      <c r="H3726" s="33">
        <f>IF(A3726&lt;&gt;A3710,12,H3710+1)</f>
        <v>12</v>
      </c>
      <c r="I3726" s="33" t="str">
        <f t="shared" ref="I3726:I3746" si="887">_xlfn.CONCAT("='",F3726:H3726)</f>
        <v>='C:\Users\jaime.benazar\Quorum Business Solutions\Ecopetrol Prometeo - Documents\Planning Space Implementation\3. Analysis &amp; Design\Design\FC22\DRR Jaime\Neiva CPI\[DINA TERCIARIOS_CF_SEC_New_27-Mar-2024.xlsx]D-PS'!$BE$12</v>
      </c>
      <c r="J3726" s="37" t="s">
        <v>3631</v>
      </c>
    </row>
    <row r="3727" spans="1:10" x14ac:dyDescent="0.3">
      <c r="A3727" s="32" t="s">
        <v>24</v>
      </c>
      <c r="B3727" s="32">
        <f>+B3726+1</f>
        <v>2024</v>
      </c>
      <c r="C3727" s="33" t="s">
        <v>28</v>
      </c>
      <c r="D3727" s="34" t="s">
        <v>2002</v>
      </c>
      <c r="E3727" s="35" t="str">
        <f t="shared" si="885"/>
        <v>PS'!</v>
      </c>
      <c r="F3727" s="34" t="str">
        <f t="shared" si="886"/>
        <v>C:\Users\jaime.benazar\Quorum Business Solutions\Ecopetrol Prometeo - Documents\Planning Space Implementation\3. Analysis &amp; Design\Design\FC22\DRR Jaime\Neiva CPI\[DINA TERCIARIOS_CF_SEC_New_27-Mar-2024.xlsx]D-PS'!</v>
      </c>
      <c r="G3727" s="32" t="s">
        <v>124</v>
      </c>
      <c r="H3727" s="33">
        <f t="shared" ref="H3727:H3746" si="888">IF(A3727&lt;&gt;A3726,36,H3726+1)</f>
        <v>13</v>
      </c>
      <c r="I3727" s="33" t="str">
        <f t="shared" si="887"/>
        <v>='C:\Users\jaime.benazar\Quorum Business Solutions\Ecopetrol Prometeo - Documents\Planning Space Implementation\3. Analysis &amp; Design\Design\FC22\DRR Jaime\Neiva CPI\[DINA TERCIARIOS_CF_SEC_New_27-Mar-2024.xlsx]D-PS'!$BE$13</v>
      </c>
      <c r="J3727" s="37" t="s">
        <v>3632</v>
      </c>
    </row>
    <row r="3728" spans="1:10" x14ac:dyDescent="0.3">
      <c r="A3728" s="32" t="s">
        <v>24</v>
      </c>
      <c r="B3728" s="32">
        <f t="shared" ref="B3728:B3739" si="889">+B3727+1</f>
        <v>2025</v>
      </c>
      <c r="C3728" s="33" t="s">
        <v>28</v>
      </c>
      <c r="D3728" s="34" t="s">
        <v>2002</v>
      </c>
      <c r="E3728" s="35" t="str">
        <f t="shared" si="885"/>
        <v>PS'!</v>
      </c>
      <c r="F3728" s="34" t="str">
        <f t="shared" si="886"/>
        <v>C:\Users\jaime.benazar\Quorum Business Solutions\Ecopetrol Prometeo - Documents\Planning Space Implementation\3. Analysis &amp; Design\Design\FC22\DRR Jaime\Neiva CPI\[DINA TERCIARIOS_CF_SEC_New_27-Mar-2024.xlsx]D-PS'!</v>
      </c>
      <c r="G3728" s="32" t="s">
        <v>124</v>
      </c>
      <c r="H3728" s="33">
        <f t="shared" si="888"/>
        <v>14</v>
      </c>
      <c r="I3728" s="33" t="str">
        <f t="shared" si="887"/>
        <v>='C:\Users\jaime.benazar\Quorum Business Solutions\Ecopetrol Prometeo - Documents\Planning Space Implementation\3. Analysis &amp; Design\Design\FC22\DRR Jaime\Neiva CPI\[DINA TERCIARIOS_CF_SEC_New_27-Mar-2024.xlsx]D-PS'!$BE$14</v>
      </c>
      <c r="J3728" s="37" t="s">
        <v>3633</v>
      </c>
    </row>
    <row r="3729" spans="1:10" x14ac:dyDescent="0.3">
      <c r="A3729" s="32" t="s">
        <v>24</v>
      </c>
      <c r="B3729" s="32">
        <f t="shared" si="889"/>
        <v>2026</v>
      </c>
      <c r="C3729" s="33" t="s">
        <v>28</v>
      </c>
      <c r="D3729" s="34" t="s">
        <v>2002</v>
      </c>
      <c r="E3729" s="35" t="str">
        <f t="shared" si="885"/>
        <v>PS'!</v>
      </c>
      <c r="F3729" s="34" t="str">
        <f t="shared" si="886"/>
        <v>C:\Users\jaime.benazar\Quorum Business Solutions\Ecopetrol Prometeo - Documents\Planning Space Implementation\3. Analysis &amp; Design\Design\FC22\DRR Jaime\Neiva CPI\[DINA TERCIARIOS_CF_SEC_New_27-Mar-2024.xlsx]D-PS'!</v>
      </c>
      <c r="G3729" s="32" t="s">
        <v>124</v>
      </c>
      <c r="H3729" s="33">
        <f t="shared" si="888"/>
        <v>15</v>
      </c>
      <c r="I3729" s="33" t="str">
        <f t="shared" si="887"/>
        <v>='C:\Users\jaime.benazar\Quorum Business Solutions\Ecopetrol Prometeo - Documents\Planning Space Implementation\3. Analysis &amp; Design\Design\FC22\DRR Jaime\Neiva CPI\[DINA TERCIARIOS_CF_SEC_New_27-Mar-2024.xlsx]D-PS'!$BE$15</v>
      </c>
      <c r="J3729" s="37" t="s">
        <v>3634</v>
      </c>
    </row>
    <row r="3730" spans="1:10" x14ac:dyDescent="0.3">
      <c r="A3730" s="32" t="s">
        <v>24</v>
      </c>
      <c r="B3730" s="32">
        <f t="shared" si="889"/>
        <v>2027</v>
      </c>
      <c r="C3730" s="33" t="s">
        <v>28</v>
      </c>
      <c r="D3730" s="34" t="s">
        <v>2002</v>
      </c>
      <c r="E3730" s="35" t="str">
        <f t="shared" si="885"/>
        <v>PS'!</v>
      </c>
      <c r="F3730" s="34" t="str">
        <f t="shared" si="886"/>
        <v>C:\Users\jaime.benazar\Quorum Business Solutions\Ecopetrol Prometeo - Documents\Planning Space Implementation\3. Analysis &amp; Design\Design\FC22\DRR Jaime\Neiva CPI\[DINA TERCIARIOS_CF_SEC_New_27-Mar-2024.xlsx]D-PS'!</v>
      </c>
      <c r="G3730" s="32" t="s">
        <v>124</v>
      </c>
      <c r="H3730" s="33">
        <f t="shared" si="888"/>
        <v>16</v>
      </c>
      <c r="I3730" s="33" t="str">
        <f t="shared" si="887"/>
        <v>='C:\Users\jaime.benazar\Quorum Business Solutions\Ecopetrol Prometeo - Documents\Planning Space Implementation\3. Analysis &amp; Design\Design\FC22\DRR Jaime\Neiva CPI\[DINA TERCIARIOS_CF_SEC_New_27-Mar-2024.xlsx]D-PS'!$BE$16</v>
      </c>
      <c r="J3730" s="37" t="s">
        <v>3635</v>
      </c>
    </row>
    <row r="3731" spans="1:10" x14ac:dyDescent="0.3">
      <c r="A3731" s="32" t="s">
        <v>24</v>
      </c>
      <c r="B3731" s="32">
        <f t="shared" si="889"/>
        <v>2028</v>
      </c>
      <c r="C3731" s="33" t="s">
        <v>28</v>
      </c>
      <c r="D3731" s="34" t="s">
        <v>2002</v>
      </c>
      <c r="E3731" s="35" t="str">
        <f t="shared" si="885"/>
        <v>PS'!</v>
      </c>
      <c r="F3731" s="34" t="str">
        <f t="shared" si="886"/>
        <v>C:\Users\jaime.benazar\Quorum Business Solutions\Ecopetrol Prometeo - Documents\Planning Space Implementation\3. Analysis &amp; Design\Design\FC22\DRR Jaime\Neiva CPI\[DINA TERCIARIOS_CF_SEC_New_27-Mar-2024.xlsx]D-PS'!</v>
      </c>
      <c r="G3731" s="32" t="s">
        <v>124</v>
      </c>
      <c r="H3731" s="33">
        <f t="shared" si="888"/>
        <v>17</v>
      </c>
      <c r="I3731" s="33" t="str">
        <f t="shared" si="887"/>
        <v>='C:\Users\jaime.benazar\Quorum Business Solutions\Ecopetrol Prometeo - Documents\Planning Space Implementation\3. Analysis &amp; Design\Design\FC22\DRR Jaime\Neiva CPI\[DINA TERCIARIOS_CF_SEC_New_27-Mar-2024.xlsx]D-PS'!$BE$17</v>
      </c>
      <c r="J3731" s="37" t="s">
        <v>3636</v>
      </c>
    </row>
    <row r="3732" spans="1:10" x14ac:dyDescent="0.3">
      <c r="A3732" s="32" t="s">
        <v>24</v>
      </c>
      <c r="B3732" s="32">
        <f t="shared" si="889"/>
        <v>2029</v>
      </c>
      <c r="C3732" s="33" t="s">
        <v>28</v>
      </c>
      <c r="D3732" s="34" t="s">
        <v>2002</v>
      </c>
      <c r="E3732" s="35" t="str">
        <f t="shared" si="885"/>
        <v>PS'!</v>
      </c>
      <c r="F3732" s="34" t="str">
        <f t="shared" si="886"/>
        <v>C:\Users\jaime.benazar\Quorum Business Solutions\Ecopetrol Prometeo - Documents\Planning Space Implementation\3. Analysis &amp; Design\Design\FC22\DRR Jaime\Neiva CPI\[DINA TERCIARIOS_CF_SEC_New_27-Mar-2024.xlsx]D-PS'!</v>
      </c>
      <c r="G3732" s="32" t="s">
        <v>124</v>
      </c>
      <c r="H3732" s="33">
        <f t="shared" si="888"/>
        <v>18</v>
      </c>
      <c r="I3732" s="33" t="str">
        <f t="shared" si="887"/>
        <v>='C:\Users\jaime.benazar\Quorum Business Solutions\Ecopetrol Prometeo - Documents\Planning Space Implementation\3. Analysis &amp; Design\Design\FC22\DRR Jaime\Neiva CPI\[DINA TERCIARIOS_CF_SEC_New_27-Mar-2024.xlsx]D-PS'!$BE$18</v>
      </c>
      <c r="J3732" s="37" t="s">
        <v>3637</v>
      </c>
    </row>
    <row r="3733" spans="1:10" x14ac:dyDescent="0.3">
      <c r="A3733" s="32" t="s">
        <v>24</v>
      </c>
      <c r="B3733" s="32">
        <f t="shared" si="889"/>
        <v>2030</v>
      </c>
      <c r="C3733" s="33" t="s">
        <v>28</v>
      </c>
      <c r="D3733" s="34" t="s">
        <v>2002</v>
      </c>
      <c r="E3733" s="35" t="str">
        <f t="shared" si="885"/>
        <v>PS'!</v>
      </c>
      <c r="F3733" s="34" t="str">
        <f t="shared" si="886"/>
        <v>C:\Users\jaime.benazar\Quorum Business Solutions\Ecopetrol Prometeo - Documents\Planning Space Implementation\3. Analysis &amp; Design\Design\FC22\DRR Jaime\Neiva CPI\[DINA TERCIARIOS_CF_SEC_New_27-Mar-2024.xlsx]D-PS'!</v>
      </c>
      <c r="G3733" s="32" t="s">
        <v>124</v>
      </c>
      <c r="H3733" s="33">
        <f t="shared" si="888"/>
        <v>19</v>
      </c>
      <c r="I3733" s="33" t="str">
        <f t="shared" si="887"/>
        <v>='C:\Users\jaime.benazar\Quorum Business Solutions\Ecopetrol Prometeo - Documents\Planning Space Implementation\3. Analysis &amp; Design\Design\FC22\DRR Jaime\Neiva CPI\[DINA TERCIARIOS_CF_SEC_New_27-Mar-2024.xlsx]D-PS'!$BE$19</v>
      </c>
      <c r="J3733" s="37" t="s">
        <v>3638</v>
      </c>
    </row>
    <row r="3734" spans="1:10" x14ac:dyDescent="0.3">
      <c r="A3734" s="32" t="s">
        <v>24</v>
      </c>
      <c r="B3734" s="32">
        <f t="shared" si="889"/>
        <v>2031</v>
      </c>
      <c r="C3734" s="33" t="s">
        <v>28</v>
      </c>
      <c r="D3734" s="34" t="s">
        <v>2002</v>
      </c>
      <c r="E3734" s="35" t="str">
        <f t="shared" si="885"/>
        <v>PS'!</v>
      </c>
      <c r="F3734" s="34" t="str">
        <f t="shared" si="886"/>
        <v>C:\Users\jaime.benazar\Quorum Business Solutions\Ecopetrol Prometeo - Documents\Planning Space Implementation\3. Analysis &amp; Design\Design\FC22\DRR Jaime\Neiva CPI\[DINA TERCIARIOS_CF_SEC_New_27-Mar-2024.xlsx]D-PS'!</v>
      </c>
      <c r="G3734" s="32" t="s">
        <v>124</v>
      </c>
      <c r="H3734" s="33">
        <f t="shared" si="888"/>
        <v>20</v>
      </c>
      <c r="I3734" s="33" t="str">
        <f t="shared" si="887"/>
        <v>='C:\Users\jaime.benazar\Quorum Business Solutions\Ecopetrol Prometeo - Documents\Planning Space Implementation\3. Analysis &amp; Design\Design\FC22\DRR Jaime\Neiva CPI\[DINA TERCIARIOS_CF_SEC_New_27-Mar-2024.xlsx]D-PS'!$BE$20</v>
      </c>
      <c r="J3734" s="37" t="s">
        <v>3639</v>
      </c>
    </row>
    <row r="3735" spans="1:10" x14ac:dyDescent="0.3">
      <c r="A3735" s="32" t="s">
        <v>24</v>
      </c>
      <c r="B3735" s="32">
        <f t="shared" si="889"/>
        <v>2032</v>
      </c>
      <c r="C3735" s="33" t="s">
        <v>28</v>
      </c>
      <c r="D3735" s="34" t="s">
        <v>2002</v>
      </c>
      <c r="E3735" s="35" t="str">
        <f t="shared" si="885"/>
        <v>PS'!</v>
      </c>
      <c r="F3735" s="34" t="str">
        <f t="shared" si="886"/>
        <v>C:\Users\jaime.benazar\Quorum Business Solutions\Ecopetrol Prometeo - Documents\Planning Space Implementation\3. Analysis &amp; Design\Design\FC22\DRR Jaime\Neiva CPI\[DINA TERCIARIOS_CF_SEC_New_27-Mar-2024.xlsx]D-PS'!</v>
      </c>
      <c r="G3735" s="32" t="s">
        <v>124</v>
      </c>
      <c r="H3735" s="33">
        <f t="shared" si="888"/>
        <v>21</v>
      </c>
      <c r="I3735" s="33" t="str">
        <f t="shared" si="887"/>
        <v>='C:\Users\jaime.benazar\Quorum Business Solutions\Ecopetrol Prometeo - Documents\Planning Space Implementation\3. Analysis &amp; Design\Design\FC22\DRR Jaime\Neiva CPI\[DINA TERCIARIOS_CF_SEC_New_27-Mar-2024.xlsx]D-PS'!$BE$21</v>
      </c>
      <c r="J3735" s="37" t="s">
        <v>3640</v>
      </c>
    </row>
    <row r="3736" spans="1:10" x14ac:dyDescent="0.3">
      <c r="A3736" s="32" t="s">
        <v>24</v>
      </c>
      <c r="B3736" s="32">
        <f t="shared" si="889"/>
        <v>2033</v>
      </c>
      <c r="C3736" s="33" t="s">
        <v>28</v>
      </c>
      <c r="D3736" s="34" t="s">
        <v>2002</v>
      </c>
      <c r="E3736" s="35" t="str">
        <f t="shared" si="885"/>
        <v>PS'!</v>
      </c>
      <c r="F3736" s="34" t="str">
        <f t="shared" si="886"/>
        <v>C:\Users\jaime.benazar\Quorum Business Solutions\Ecopetrol Prometeo - Documents\Planning Space Implementation\3. Analysis &amp; Design\Design\FC22\DRR Jaime\Neiva CPI\[DINA TERCIARIOS_CF_SEC_New_27-Mar-2024.xlsx]D-PS'!</v>
      </c>
      <c r="G3736" s="32" t="s">
        <v>124</v>
      </c>
      <c r="H3736" s="33">
        <f t="shared" si="888"/>
        <v>22</v>
      </c>
      <c r="I3736" s="33" t="str">
        <f t="shared" si="887"/>
        <v>='C:\Users\jaime.benazar\Quorum Business Solutions\Ecopetrol Prometeo - Documents\Planning Space Implementation\3. Analysis &amp; Design\Design\FC22\DRR Jaime\Neiva CPI\[DINA TERCIARIOS_CF_SEC_New_27-Mar-2024.xlsx]D-PS'!$BE$22</v>
      </c>
      <c r="J3736" s="37" t="s">
        <v>3641</v>
      </c>
    </row>
    <row r="3737" spans="1:10" x14ac:dyDescent="0.3">
      <c r="A3737" s="32" t="s">
        <v>24</v>
      </c>
      <c r="B3737" s="32">
        <f t="shared" si="889"/>
        <v>2034</v>
      </c>
      <c r="C3737" s="33" t="s">
        <v>28</v>
      </c>
      <c r="D3737" s="34" t="s">
        <v>2002</v>
      </c>
      <c r="E3737" s="35" t="str">
        <f t="shared" si="885"/>
        <v>PS'!</v>
      </c>
      <c r="F3737" s="34" t="str">
        <f t="shared" si="886"/>
        <v>C:\Users\jaime.benazar\Quorum Business Solutions\Ecopetrol Prometeo - Documents\Planning Space Implementation\3. Analysis &amp; Design\Design\FC22\DRR Jaime\Neiva CPI\[DINA TERCIARIOS_CF_SEC_New_27-Mar-2024.xlsx]D-PS'!</v>
      </c>
      <c r="G3737" s="32" t="s">
        <v>124</v>
      </c>
      <c r="H3737" s="33">
        <f t="shared" si="888"/>
        <v>23</v>
      </c>
      <c r="I3737" s="33" t="str">
        <f t="shared" si="887"/>
        <v>='C:\Users\jaime.benazar\Quorum Business Solutions\Ecopetrol Prometeo - Documents\Planning Space Implementation\3. Analysis &amp; Design\Design\FC22\DRR Jaime\Neiva CPI\[DINA TERCIARIOS_CF_SEC_New_27-Mar-2024.xlsx]D-PS'!$BE$23</v>
      </c>
      <c r="J3737" s="37" t="s">
        <v>3642</v>
      </c>
    </row>
    <row r="3738" spans="1:10" x14ac:dyDescent="0.3">
      <c r="A3738" s="32" t="s">
        <v>24</v>
      </c>
      <c r="B3738" s="32">
        <f t="shared" si="889"/>
        <v>2035</v>
      </c>
      <c r="C3738" s="33" t="s">
        <v>28</v>
      </c>
      <c r="D3738" s="34" t="s">
        <v>2002</v>
      </c>
      <c r="E3738" s="35" t="str">
        <f t="shared" si="885"/>
        <v>PS'!</v>
      </c>
      <c r="F3738" s="34" t="str">
        <f t="shared" si="886"/>
        <v>C:\Users\jaime.benazar\Quorum Business Solutions\Ecopetrol Prometeo - Documents\Planning Space Implementation\3. Analysis &amp; Design\Design\FC22\DRR Jaime\Neiva CPI\[DINA TERCIARIOS_CF_SEC_New_27-Mar-2024.xlsx]D-PS'!</v>
      </c>
      <c r="G3738" s="32" t="s">
        <v>124</v>
      </c>
      <c r="H3738" s="33">
        <f t="shared" si="888"/>
        <v>24</v>
      </c>
      <c r="I3738" s="33" t="str">
        <f t="shared" si="887"/>
        <v>='C:\Users\jaime.benazar\Quorum Business Solutions\Ecopetrol Prometeo - Documents\Planning Space Implementation\3. Analysis &amp; Design\Design\FC22\DRR Jaime\Neiva CPI\[DINA TERCIARIOS_CF_SEC_New_27-Mar-2024.xlsx]D-PS'!$BE$24</v>
      </c>
      <c r="J3738" s="37" t="s">
        <v>3643</v>
      </c>
    </row>
    <row r="3739" spans="1:10" x14ac:dyDescent="0.3">
      <c r="A3739" s="32" t="s">
        <v>24</v>
      </c>
      <c r="B3739" s="32">
        <f t="shared" si="889"/>
        <v>2036</v>
      </c>
      <c r="C3739" s="33" t="s">
        <v>28</v>
      </c>
      <c r="D3739" s="34" t="s">
        <v>2002</v>
      </c>
      <c r="E3739" s="35" t="str">
        <f t="shared" si="885"/>
        <v>PS'!</v>
      </c>
      <c r="F3739" s="34" t="str">
        <f t="shared" si="886"/>
        <v>C:\Users\jaime.benazar\Quorum Business Solutions\Ecopetrol Prometeo - Documents\Planning Space Implementation\3. Analysis &amp; Design\Design\FC22\DRR Jaime\Neiva CPI\[DINA TERCIARIOS_CF_SEC_New_27-Mar-2024.xlsx]D-PS'!</v>
      </c>
      <c r="G3739" s="32" t="s">
        <v>124</v>
      </c>
      <c r="H3739" s="33">
        <f t="shared" si="888"/>
        <v>25</v>
      </c>
      <c r="I3739" s="33" t="str">
        <f t="shared" si="887"/>
        <v>='C:\Users\jaime.benazar\Quorum Business Solutions\Ecopetrol Prometeo - Documents\Planning Space Implementation\3. Analysis &amp; Design\Design\FC22\DRR Jaime\Neiva CPI\[DINA TERCIARIOS_CF_SEC_New_27-Mar-2024.xlsx]D-PS'!$BE$25</v>
      </c>
      <c r="J3739" s="37" t="s">
        <v>3644</v>
      </c>
    </row>
    <row r="3740" spans="1:10" x14ac:dyDescent="0.3">
      <c r="A3740" s="32" t="s">
        <v>24</v>
      </c>
      <c r="B3740" s="32">
        <f>+B3739+1</f>
        <v>2037</v>
      </c>
      <c r="C3740" s="33" t="s">
        <v>28</v>
      </c>
      <c r="D3740" s="34" t="s">
        <v>2002</v>
      </c>
      <c r="E3740" s="35" t="str">
        <f t="shared" si="885"/>
        <v>PS'!</v>
      </c>
      <c r="F3740" s="34" t="str">
        <f t="shared" si="886"/>
        <v>C:\Users\jaime.benazar\Quorum Business Solutions\Ecopetrol Prometeo - Documents\Planning Space Implementation\3. Analysis &amp; Design\Design\FC22\DRR Jaime\Neiva CPI\[DINA TERCIARIOS_CF_SEC_New_27-Mar-2024.xlsx]D-PS'!</v>
      </c>
      <c r="G3740" s="32" t="s">
        <v>124</v>
      </c>
      <c r="H3740" s="33">
        <f t="shared" si="888"/>
        <v>26</v>
      </c>
      <c r="I3740" s="33" t="str">
        <f t="shared" si="887"/>
        <v>='C:\Users\jaime.benazar\Quorum Business Solutions\Ecopetrol Prometeo - Documents\Planning Space Implementation\3. Analysis &amp; Design\Design\FC22\DRR Jaime\Neiva CPI\[DINA TERCIARIOS_CF_SEC_New_27-Mar-2024.xlsx]D-PS'!$BE$26</v>
      </c>
      <c r="J3740" s="37" t="s">
        <v>3645</v>
      </c>
    </row>
    <row r="3741" spans="1:10" x14ac:dyDescent="0.3">
      <c r="A3741" s="32" t="s">
        <v>24</v>
      </c>
      <c r="B3741" s="32">
        <f t="shared" ref="B3741:B3743" si="890">+B3740+1</f>
        <v>2038</v>
      </c>
      <c r="C3741" s="33" t="s">
        <v>28</v>
      </c>
      <c r="D3741" s="34" t="s">
        <v>2002</v>
      </c>
      <c r="E3741" s="35" t="str">
        <f t="shared" si="885"/>
        <v>PS'!</v>
      </c>
      <c r="F3741" s="34" t="str">
        <f t="shared" si="886"/>
        <v>C:\Users\jaime.benazar\Quorum Business Solutions\Ecopetrol Prometeo - Documents\Planning Space Implementation\3. Analysis &amp; Design\Design\FC22\DRR Jaime\Neiva CPI\[DINA TERCIARIOS_CF_SEC_New_27-Mar-2024.xlsx]D-PS'!</v>
      </c>
      <c r="G3741" s="32" t="s">
        <v>124</v>
      </c>
      <c r="H3741" s="33">
        <f t="shared" si="888"/>
        <v>27</v>
      </c>
      <c r="I3741" s="33" t="str">
        <f t="shared" si="887"/>
        <v>='C:\Users\jaime.benazar\Quorum Business Solutions\Ecopetrol Prometeo - Documents\Planning Space Implementation\3. Analysis &amp; Design\Design\FC22\DRR Jaime\Neiva CPI\[DINA TERCIARIOS_CF_SEC_New_27-Mar-2024.xlsx]D-PS'!$BE$27</v>
      </c>
      <c r="J3741" s="37" t="s">
        <v>3646</v>
      </c>
    </row>
    <row r="3742" spans="1:10" x14ac:dyDescent="0.3">
      <c r="A3742" s="32" t="s">
        <v>24</v>
      </c>
      <c r="B3742" s="32">
        <f t="shared" si="890"/>
        <v>2039</v>
      </c>
      <c r="C3742" s="33" t="s">
        <v>28</v>
      </c>
      <c r="D3742" s="34" t="s">
        <v>2002</v>
      </c>
      <c r="E3742" s="35" t="str">
        <f t="shared" si="885"/>
        <v>PS'!</v>
      </c>
      <c r="F3742" s="34" t="str">
        <f t="shared" si="886"/>
        <v>C:\Users\jaime.benazar\Quorum Business Solutions\Ecopetrol Prometeo - Documents\Planning Space Implementation\3. Analysis &amp; Design\Design\FC22\DRR Jaime\Neiva CPI\[DINA TERCIARIOS_CF_SEC_New_27-Mar-2024.xlsx]D-PS'!</v>
      </c>
      <c r="G3742" s="32" t="s">
        <v>124</v>
      </c>
      <c r="H3742" s="33">
        <f t="shared" si="888"/>
        <v>28</v>
      </c>
      <c r="I3742" s="33" t="str">
        <f t="shared" si="887"/>
        <v>='C:\Users\jaime.benazar\Quorum Business Solutions\Ecopetrol Prometeo - Documents\Planning Space Implementation\3. Analysis &amp; Design\Design\FC22\DRR Jaime\Neiva CPI\[DINA TERCIARIOS_CF_SEC_New_27-Mar-2024.xlsx]D-PS'!$BE$28</v>
      </c>
      <c r="J3742" s="37" t="s">
        <v>3647</v>
      </c>
    </row>
    <row r="3743" spans="1:10" x14ac:dyDescent="0.3">
      <c r="A3743" s="32" t="s">
        <v>24</v>
      </c>
      <c r="B3743" s="32">
        <f t="shared" si="890"/>
        <v>2040</v>
      </c>
      <c r="C3743" s="33" t="s">
        <v>28</v>
      </c>
      <c r="D3743" s="34" t="s">
        <v>2002</v>
      </c>
      <c r="E3743" s="35" t="str">
        <f t="shared" si="885"/>
        <v>PS'!</v>
      </c>
      <c r="F3743" s="34" t="str">
        <f t="shared" si="886"/>
        <v>C:\Users\jaime.benazar\Quorum Business Solutions\Ecopetrol Prometeo - Documents\Planning Space Implementation\3. Analysis &amp; Design\Design\FC22\DRR Jaime\Neiva CPI\[DINA TERCIARIOS_CF_SEC_New_27-Mar-2024.xlsx]D-PS'!</v>
      </c>
      <c r="G3743" s="32" t="s">
        <v>124</v>
      </c>
      <c r="H3743" s="33">
        <f t="shared" si="888"/>
        <v>29</v>
      </c>
      <c r="I3743" s="33" t="str">
        <f t="shared" si="887"/>
        <v>='C:\Users\jaime.benazar\Quorum Business Solutions\Ecopetrol Prometeo - Documents\Planning Space Implementation\3. Analysis &amp; Design\Design\FC22\DRR Jaime\Neiva CPI\[DINA TERCIARIOS_CF_SEC_New_27-Mar-2024.xlsx]D-PS'!$BE$29</v>
      </c>
      <c r="J3743" s="37" t="s">
        <v>3648</v>
      </c>
    </row>
    <row r="3744" spans="1:10" x14ac:dyDescent="0.3">
      <c r="A3744" s="32" t="s">
        <v>24</v>
      </c>
      <c r="B3744" s="32">
        <f>+B3743+1</f>
        <v>2041</v>
      </c>
      <c r="C3744" s="33" t="s">
        <v>28</v>
      </c>
      <c r="D3744" s="34" t="s">
        <v>2002</v>
      </c>
      <c r="E3744" s="35" t="str">
        <f t="shared" si="885"/>
        <v>PS'!</v>
      </c>
      <c r="F3744" s="34" t="str">
        <f t="shared" si="886"/>
        <v>C:\Users\jaime.benazar\Quorum Business Solutions\Ecopetrol Prometeo - Documents\Planning Space Implementation\3. Analysis &amp; Design\Design\FC22\DRR Jaime\Neiva CPI\[DINA TERCIARIOS_CF_SEC_New_27-Mar-2024.xlsx]D-PS'!</v>
      </c>
      <c r="G3744" s="32" t="s">
        <v>124</v>
      </c>
      <c r="H3744" s="33">
        <f t="shared" si="888"/>
        <v>30</v>
      </c>
      <c r="I3744" s="33" t="str">
        <f t="shared" si="887"/>
        <v>='C:\Users\jaime.benazar\Quorum Business Solutions\Ecopetrol Prometeo - Documents\Planning Space Implementation\3. Analysis &amp; Design\Design\FC22\DRR Jaime\Neiva CPI\[DINA TERCIARIOS_CF_SEC_New_27-Mar-2024.xlsx]D-PS'!$BE$30</v>
      </c>
      <c r="J3744" s="37" t="s">
        <v>3649</v>
      </c>
    </row>
    <row r="3745" spans="1:10" x14ac:dyDescent="0.3">
      <c r="A3745" s="32" t="s">
        <v>24</v>
      </c>
      <c r="B3745" s="32">
        <f t="shared" ref="B3745:B3746" si="891">+B3744+1</f>
        <v>2042</v>
      </c>
      <c r="C3745" s="33" t="s">
        <v>28</v>
      </c>
      <c r="D3745" s="34" t="s">
        <v>2002</v>
      </c>
      <c r="E3745" s="35" t="str">
        <f t="shared" si="885"/>
        <v>PS'!</v>
      </c>
      <c r="F3745" s="34" t="str">
        <f t="shared" si="886"/>
        <v>C:\Users\jaime.benazar\Quorum Business Solutions\Ecopetrol Prometeo - Documents\Planning Space Implementation\3. Analysis &amp; Design\Design\FC22\DRR Jaime\Neiva CPI\[DINA TERCIARIOS_CF_SEC_New_27-Mar-2024.xlsx]D-PS'!</v>
      </c>
      <c r="G3745" s="32" t="s">
        <v>124</v>
      </c>
      <c r="H3745" s="33">
        <f t="shared" si="888"/>
        <v>31</v>
      </c>
      <c r="I3745" s="33" t="str">
        <f t="shared" si="887"/>
        <v>='C:\Users\jaime.benazar\Quorum Business Solutions\Ecopetrol Prometeo - Documents\Planning Space Implementation\3. Analysis &amp; Design\Design\FC22\DRR Jaime\Neiva CPI\[DINA TERCIARIOS_CF_SEC_New_27-Mar-2024.xlsx]D-PS'!$BE$31</v>
      </c>
      <c r="J3745" s="37" t="s">
        <v>3650</v>
      </c>
    </row>
    <row r="3746" spans="1:10" x14ac:dyDescent="0.3">
      <c r="A3746" s="32" t="s">
        <v>24</v>
      </c>
      <c r="B3746" s="32">
        <f t="shared" si="891"/>
        <v>2043</v>
      </c>
      <c r="C3746" s="33" t="s">
        <v>28</v>
      </c>
      <c r="D3746" s="34" t="s">
        <v>2002</v>
      </c>
      <c r="E3746" s="35" t="str">
        <f t="shared" si="885"/>
        <v>PS'!</v>
      </c>
      <c r="F3746" s="34" t="str">
        <f t="shared" si="886"/>
        <v>C:\Users\jaime.benazar\Quorum Business Solutions\Ecopetrol Prometeo - Documents\Planning Space Implementation\3. Analysis &amp; Design\Design\FC22\DRR Jaime\Neiva CPI\[DINA TERCIARIOS_CF_SEC_New_27-Mar-2024.xlsx]D-PS'!</v>
      </c>
      <c r="G3746" s="32" t="s">
        <v>124</v>
      </c>
      <c r="H3746" s="33">
        <f t="shared" si="888"/>
        <v>32</v>
      </c>
      <c r="I3746" s="33" t="str">
        <f t="shared" si="887"/>
        <v>='C:\Users\jaime.benazar\Quorum Business Solutions\Ecopetrol Prometeo - Documents\Planning Space Implementation\3. Analysis &amp; Design\Design\FC22\DRR Jaime\Neiva CPI\[DINA TERCIARIOS_CF_SEC_New_27-Mar-2024.xlsx]D-PS'!$BE$32</v>
      </c>
      <c r="J3746" s="37" t="s">
        <v>3651</v>
      </c>
    </row>
    <row r="3747" spans="1:10" x14ac:dyDescent="0.3">
      <c r="A3747" s="32" t="s">
        <v>24</v>
      </c>
      <c r="B3747" s="32">
        <f>+B3746+1</f>
        <v>2044</v>
      </c>
      <c r="C3747" s="33" t="s">
        <v>28</v>
      </c>
      <c r="D3747" s="34" t="s">
        <v>2002</v>
      </c>
      <c r="E3747" s="35" t="str">
        <f t="shared" ref="E3747:E3762" si="892">_xlfn.CONCAT(A3747,"'!")</f>
        <v>PS'!</v>
      </c>
      <c r="F3747" s="34" t="str">
        <f t="shared" ref="F3747:F3762" si="893">_xlfn.CONCAT(D3747:E3747)</f>
        <v>C:\Users\jaime.benazar\Quorum Business Solutions\Ecopetrol Prometeo - Documents\Planning Space Implementation\3. Analysis &amp; Design\Design\FC22\DRR Jaime\Neiva CPI\[DINA TERCIARIOS_CF_SEC_New_27-Mar-2024.xlsx]D-PS'!</v>
      </c>
      <c r="G3747" s="32" t="s">
        <v>124</v>
      </c>
      <c r="H3747" s="33">
        <f t="shared" ref="H3747:H3762" si="894">IF(A3747&lt;&gt;A3746,36,H3746+1)</f>
        <v>33</v>
      </c>
      <c r="I3747" s="33" t="str">
        <f t="shared" ref="I3747:I3762" si="895">_xlfn.CONCAT("='",F3747:H3747)</f>
        <v>='C:\Users\jaime.benazar\Quorum Business Solutions\Ecopetrol Prometeo - Documents\Planning Space Implementation\3. Analysis &amp; Design\Design\FC22\DRR Jaime\Neiva CPI\[DINA TERCIARIOS_CF_SEC_New_27-Mar-2024.xlsx]D-PS'!$BE$33</v>
      </c>
      <c r="J3747" s="37" t="s">
        <v>3652</v>
      </c>
    </row>
    <row r="3748" spans="1:10" x14ac:dyDescent="0.3">
      <c r="A3748" s="32" t="s">
        <v>24</v>
      </c>
      <c r="B3748" s="32">
        <f t="shared" ref="B3748:B3762" si="896">+B3747+1</f>
        <v>2045</v>
      </c>
      <c r="C3748" s="33" t="s">
        <v>28</v>
      </c>
      <c r="D3748" s="34" t="s">
        <v>2002</v>
      </c>
      <c r="E3748" s="35" t="str">
        <f t="shared" si="892"/>
        <v>PS'!</v>
      </c>
      <c r="F3748" s="34" t="str">
        <f t="shared" si="893"/>
        <v>C:\Users\jaime.benazar\Quorum Business Solutions\Ecopetrol Prometeo - Documents\Planning Space Implementation\3. Analysis &amp; Design\Design\FC22\DRR Jaime\Neiva CPI\[DINA TERCIARIOS_CF_SEC_New_27-Mar-2024.xlsx]D-PS'!</v>
      </c>
      <c r="G3748" s="32" t="s">
        <v>124</v>
      </c>
      <c r="H3748" s="33">
        <f t="shared" si="894"/>
        <v>34</v>
      </c>
      <c r="I3748" s="33" t="str">
        <f t="shared" si="895"/>
        <v>='C:\Users\jaime.benazar\Quorum Business Solutions\Ecopetrol Prometeo - Documents\Planning Space Implementation\3. Analysis &amp; Design\Design\FC22\DRR Jaime\Neiva CPI\[DINA TERCIARIOS_CF_SEC_New_27-Mar-2024.xlsx]D-PS'!$BE$34</v>
      </c>
      <c r="J3748" s="37" t="s">
        <v>3653</v>
      </c>
    </row>
    <row r="3749" spans="1:10" x14ac:dyDescent="0.3">
      <c r="A3749" s="32" t="s">
        <v>24</v>
      </c>
      <c r="B3749" s="32">
        <f t="shared" si="896"/>
        <v>2046</v>
      </c>
      <c r="C3749" s="33" t="s">
        <v>28</v>
      </c>
      <c r="D3749" s="34" t="s">
        <v>2002</v>
      </c>
      <c r="E3749" s="35" t="str">
        <f t="shared" si="892"/>
        <v>PS'!</v>
      </c>
      <c r="F3749" s="34" t="str">
        <f t="shared" si="893"/>
        <v>C:\Users\jaime.benazar\Quorum Business Solutions\Ecopetrol Prometeo - Documents\Planning Space Implementation\3. Analysis &amp; Design\Design\FC22\DRR Jaime\Neiva CPI\[DINA TERCIARIOS_CF_SEC_New_27-Mar-2024.xlsx]D-PS'!</v>
      </c>
      <c r="G3749" s="32" t="s">
        <v>124</v>
      </c>
      <c r="H3749" s="33">
        <f t="shared" si="894"/>
        <v>35</v>
      </c>
      <c r="I3749" s="33" t="str">
        <f t="shared" si="895"/>
        <v>='C:\Users\jaime.benazar\Quorum Business Solutions\Ecopetrol Prometeo - Documents\Planning Space Implementation\3. Analysis &amp; Design\Design\FC22\DRR Jaime\Neiva CPI\[DINA TERCIARIOS_CF_SEC_New_27-Mar-2024.xlsx]D-PS'!$BE$35</v>
      </c>
      <c r="J3749" s="37" t="s">
        <v>3654</v>
      </c>
    </row>
    <row r="3750" spans="1:10" x14ac:dyDescent="0.3">
      <c r="A3750" s="32" t="s">
        <v>24</v>
      </c>
      <c r="B3750" s="32">
        <f t="shared" si="896"/>
        <v>2047</v>
      </c>
      <c r="C3750" s="33" t="s">
        <v>28</v>
      </c>
      <c r="D3750" s="34" t="s">
        <v>2002</v>
      </c>
      <c r="E3750" s="35" t="str">
        <f t="shared" si="892"/>
        <v>PS'!</v>
      </c>
      <c r="F3750" s="34" t="str">
        <f t="shared" si="893"/>
        <v>C:\Users\jaime.benazar\Quorum Business Solutions\Ecopetrol Prometeo - Documents\Planning Space Implementation\3. Analysis &amp; Design\Design\FC22\DRR Jaime\Neiva CPI\[DINA TERCIARIOS_CF_SEC_New_27-Mar-2024.xlsx]D-PS'!</v>
      </c>
      <c r="G3750" s="32" t="s">
        <v>124</v>
      </c>
      <c r="H3750" s="33">
        <f t="shared" si="894"/>
        <v>36</v>
      </c>
      <c r="I3750" s="33" t="str">
        <f t="shared" si="895"/>
        <v>='C:\Users\jaime.benazar\Quorum Business Solutions\Ecopetrol Prometeo - Documents\Planning Space Implementation\3. Analysis &amp; Design\Design\FC22\DRR Jaime\Neiva CPI\[DINA TERCIARIOS_CF_SEC_New_27-Mar-2024.xlsx]D-PS'!$BE$36</v>
      </c>
      <c r="J3750" s="37" t="s">
        <v>3655</v>
      </c>
    </row>
    <row r="3751" spans="1:10" x14ac:dyDescent="0.3">
      <c r="A3751" s="32" t="s">
        <v>24</v>
      </c>
      <c r="B3751" s="32">
        <f t="shared" si="896"/>
        <v>2048</v>
      </c>
      <c r="C3751" s="33" t="s">
        <v>28</v>
      </c>
      <c r="D3751" s="34" t="s">
        <v>2002</v>
      </c>
      <c r="E3751" s="35" t="str">
        <f t="shared" si="892"/>
        <v>PS'!</v>
      </c>
      <c r="F3751" s="34" t="str">
        <f t="shared" si="893"/>
        <v>C:\Users\jaime.benazar\Quorum Business Solutions\Ecopetrol Prometeo - Documents\Planning Space Implementation\3. Analysis &amp; Design\Design\FC22\DRR Jaime\Neiva CPI\[DINA TERCIARIOS_CF_SEC_New_27-Mar-2024.xlsx]D-PS'!</v>
      </c>
      <c r="G3751" s="32" t="s">
        <v>124</v>
      </c>
      <c r="H3751" s="33">
        <f t="shared" si="894"/>
        <v>37</v>
      </c>
      <c r="I3751" s="33" t="str">
        <f t="shared" si="895"/>
        <v>='C:\Users\jaime.benazar\Quorum Business Solutions\Ecopetrol Prometeo - Documents\Planning Space Implementation\3. Analysis &amp; Design\Design\FC22\DRR Jaime\Neiva CPI\[DINA TERCIARIOS_CF_SEC_New_27-Mar-2024.xlsx]D-PS'!$BE$37</v>
      </c>
      <c r="J3751" s="37" t="s">
        <v>3656</v>
      </c>
    </row>
    <row r="3752" spans="1:10" x14ac:dyDescent="0.3">
      <c r="A3752" s="32" t="s">
        <v>24</v>
      </c>
      <c r="B3752" s="32">
        <f t="shared" si="896"/>
        <v>2049</v>
      </c>
      <c r="C3752" s="33" t="s">
        <v>28</v>
      </c>
      <c r="D3752" s="34" t="s">
        <v>2002</v>
      </c>
      <c r="E3752" s="35" t="str">
        <f t="shared" si="892"/>
        <v>PS'!</v>
      </c>
      <c r="F3752" s="34" t="str">
        <f t="shared" si="893"/>
        <v>C:\Users\jaime.benazar\Quorum Business Solutions\Ecopetrol Prometeo - Documents\Planning Space Implementation\3. Analysis &amp; Design\Design\FC22\DRR Jaime\Neiva CPI\[DINA TERCIARIOS_CF_SEC_New_27-Mar-2024.xlsx]D-PS'!</v>
      </c>
      <c r="G3752" s="32" t="s">
        <v>124</v>
      </c>
      <c r="H3752" s="33">
        <f t="shared" si="894"/>
        <v>38</v>
      </c>
      <c r="I3752" s="33" t="str">
        <f t="shared" si="895"/>
        <v>='C:\Users\jaime.benazar\Quorum Business Solutions\Ecopetrol Prometeo - Documents\Planning Space Implementation\3. Analysis &amp; Design\Design\FC22\DRR Jaime\Neiva CPI\[DINA TERCIARIOS_CF_SEC_New_27-Mar-2024.xlsx]D-PS'!$BE$38</v>
      </c>
      <c r="J3752" s="37" t="s">
        <v>3657</v>
      </c>
    </row>
    <row r="3753" spans="1:10" x14ac:dyDescent="0.3">
      <c r="A3753" s="32" t="s">
        <v>24</v>
      </c>
      <c r="B3753" s="32">
        <f t="shared" si="896"/>
        <v>2050</v>
      </c>
      <c r="C3753" s="33" t="s">
        <v>28</v>
      </c>
      <c r="D3753" s="34" t="s">
        <v>2002</v>
      </c>
      <c r="E3753" s="35" t="str">
        <f t="shared" si="892"/>
        <v>PS'!</v>
      </c>
      <c r="F3753" s="34" t="str">
        <f t="shared" si="893"/>
        <v>C:\Users\jaime.benazar\Quorum Business Solutions\Ecopetrol Prometeo - Documents\Planning Space Implementation\3. Analysis &amp; Design\Design\FC22\DRR Jaime\Neiva CPI\[DINA TERCIARIOS_CF_SEC_New_27-Mar-2024.xlsx]D-PS'!</v>
      </c>
      <c r="G3753" s="32" t="s">
        <v>124</v>
      </c>
      <c r="H3753" s="33">
        <f t="shared" si="894"/>
        <v>39</v>
      </c>
      <c r="I3753" s="33" t="str">
        <f t="shared" si="895"/>
        <v>='C:\Users\jaime.benazar\Quorum Business Solutions\Ecopetrol Prometeo - Documents\Planning Space Implementation\3. Analysis &amp; Design\Design\FC22\DRR Jaime\Neiva CPI\[DINA TERCIARIOS_CF_SEC_New_27-Mar-2024.xlsx]D-PS'!$BE$39</v>
      </c>
      <c r="J3753" s="37" t="s">
        <v>3658</v>
      </c>
    </row>
    <row r="3754" spans="1:10" x14ac:dyDescent="0.3">
      <c r="A3754" s="32" t="s">
        <v>24</v>
      </c>
      <c r="B3754" s="32">
        <f t="shared" si="896"/>
        <v>2051</v>
      </c>
      <c r="C3754" s="33" t="s">
        <v>28</v>
      </c>
      <c r="D3754" s="34" t="s">
        <v>2002</v>
      </c>
      <c r="E3754" s="35" t="str">
        <f t="shared" si="892"/>
        <v>PS'!</v>
      </c>
      <c r="F3754" s="34" t="str">
        <f t="shared" si="893"/>
        <v>C:\Users\jaime.benazar\Quorum Business Solutions\Ecopetrol Prometeo - Documents\Planning Space Implementation\3. Analysis &amp; Design\Design\FC22\DRR Jaime\Neiva CPI\[DINA TERCIARIOS_CF_SEC_New_27-Mar-2024.xlsx]D-PS'!</v>
      </c>
      <c r="G3754" s="32" t="s">
        <v>124</v>
      </c>
      <c r="H3754" s="33">
        <f t="shared" si="894"/>
        <v>40</v>
      </c>
      <c r="I3754" s="33" t="str">
        <f t="shared" si="895"/>
        <v>='C:\Users\jaime.benazar\Quorum Business Solutions\Ecopetrol Prometeo - Documents\Planning Space Implementation\3. Analysis &amp; Design\Design\FC22\DRR Jaime\Neiva CPI\[DINA TERCIARIOS_CF_SEC_New_27-Mar-2024.xlsx]D-PS'!$BE$40</v>
      </c>
      <c r="J3754" s="37" t="s">
        <v>3659</v>
      </c>
    </row>
    <row r="3755" spans="1:10" x14ac:dyDescent="0.3">
      <c r="A3755" s="32" t="s">
        <v>24</v>
      </c>
      <c r="B3755" s="32">
        <f t="shared" si="896"/>
        <v>2052</v>
      </c>
      <c r="C3755" s="33" t="s">
        <v>28</v>
      </c>
      <c r="D3755" s="34" t="s">
        <v>2002</v>
      </c>
      <c r="E3755" s="35" t="str">
        <f t="shared" si="892"/>
        <v>PS'!</v>
      </c>
      <c r="F3755" s="34" t="str">
        <f t="shared" si="893"/>
        <v>C:\Users\jaime.benazar\Quorum Business Solutions\Ecopetrol Prometeo - Documents\Planning Space Implementation\3. Analysis &amp; Design\Design\FC22\DRR Jaime\Neiva CPI\[DINA TERCIARIOS_CF_SEC_New_27-Mar-2024.xlsx]D-PS'!</v>
      </c>
      <c r="G3755" s="32" t="s">
        <v>124</v>
      </c>
      <c r="H3755" s="33">
        <f t="shared" si="894"/>
        <v>41</v>
      </c>
      <c r="I3755" s="33" t="str">
        <f t="shared" si="895"/>
        <v>='C:\Users\jaime.benazar\Quorum Business Solutions\Ecopetrol Prometeo - Documents\Planning Space Implementation\3. Analysis &amp; Design\Design\FC22\DRR Jaime\Neiva CPI\[DINA TERCIARIOS_CF_SEC_New_27-Mar-2024.xlsx]D-PS'!$BE$41</v>
      </c>
      <c r="J3755" s="37" t="s">
        <v>3660</v>
      </c>
    </row>
    <row r="3756" spans="1:10" x14ac:dyDescent="0.3">
      <c r="A3756" s="32" t="s">
        <v>24</v>
      </c>
      <c r="B3756" s="32">
        <f t="shared" si="896"/>
        <v>2053</v>
      </c>
      <c r="C3756" s="33" t="s">
        <v>28</v>
      </c>
      <c r="D3756" s="34" t="s">
        <v>2002</v>
      </c>
      <c r="E3756" s="35" t="str">
        <f t="shared" si="892"/>
        <v>PS'!</v>
      </c>
      <c r="F3756" s="34" t="str">
        <f t="shared" si="893"/>
        <v>C:\Users\jaime.benazar\Quorum Business Solutions\Ecopetrol Prometeo - Documents\Planning Space Implementation\3. Analysis &amp; Design\Design\FC22\DRR Jaime\Neiva CPI\[DINA TERCIARIOS_CF_SEC_New_27-Mar-2024.xlsx]D-PS'!</v>
      </c>
      <c r="G3756" s="32" t="s">
        <v>124</v>
      </c>
      <c r="H3756" s="33">
        <f t="shared" si="894"/>
        <v>42</v>
      </c>
      <c r="I3756" s="33" t="str">
        <f t="shared" si="895"/>
        <v>='C:\Users\jaime.benazar\Quorum Business Solutions\Ecopetrol Prometeo - Documents\Planning Space Implementation\3. Analysis &amp; Design\Design\FC22\DRR Jaime\Neiva CPI\[DINA TERCIARIOS_CF_SEC_New_27-Mar-2024.xlsx]D-PS'!$BE$42</v>
      </c>
      <c r="J3756" s="37" t="s">
        <v>3661</v>
      </c>
    </row>
    <row r="3757" spans="1:10" x14ac:dyDescent="0.3">
      <c r="A3757" s="32" t="s">
        <v>24</v>
      </c>
      <c r="B3757" s="32">
        <f t="shared" si="896"/>
        <v>2054</v>
      </c>
      <c r="C3757" s="33" t="s">
        <v>28</v>
      </c>
      <c r="D3757" s="34" t="s">
        <v>2002</v>
      </c>
      <c r="E3757" s="35" t="str">
        <f t="shared" si="892"/>
        <v>PS'!</v>
      </c>
      <c r="F3757" s="34" t="str">
        <f t="shared" si="893"/>
        <v>C:\Users\jaime.benazar\Quorum Business Solutions\Ecopetrol Prometeo - Documents\Planning Space Implementation\3. Analysis &amp; Design\Design\FC22\DRR Jaime\Neiva CPI\[DINA TERCIARIOS_CF_SEC_New_27-Mar-2024.xlsx]D-PS'!</v>
      </c>
      <c r="G3757" s="32" t="s">
        <v>124</v>
      </c>
      <c r="H3757" s="33">
        <f t="shared" si="894"/>
        <v>43</v>
      </c>
      <c r="I3757" s="33" t="str">
        <f t="shared" si="895"/>
        <v>='C:\Users\jaime.benazar\Quorum Business Solutions\Ecopetrol Prometeo - Documents\Planning Space Implementation\3. Analysis &amp; Design\Design\FC22\DRR Jaime\Neiva CPI\[DINA TERCIARIOS_CF_SEC_New_27-Mar-2024.xlsx]D-PS'!$BE$43</v>
      </c>
      <c r="J3757" s="37" t="s">
        <v>3662</v>
      </c>
    </row>
    <row r="3758" spans="1:10" x14ac:dyDescent="0.3">
      <c r="A3758" s="32" t="s">
        <v>24</v>
      </c>
      <c r="B3758" s="32">
        <f t="shared" si="896"/>
        <v>2055</v>
      </c>
      <c r="C3758" s="33" t="s">
        <v>28</v>
      </c>
      <c r="D3758" s="34" t="s">
        <v>2002</v>
      </c>
      <c r="E3758" s="35" t="str">
        <f t="shared" si="892"/>
        <v>PS'!</v>
      </c>
      <c r="F3758" s="34" t="str">
        <f t="shared" si="893"/>
        <v>C:\Users\jaime.benazar\Quorum Business Solutions\Ecopetrol Prometeo - Documents\Planning Space Implementation\3. Analysis &amp; Design\Design\FC22\DRR Jaime\Neiva CPI\[DINA TERCIARIOS_CF_SEC_New_27-Mar-2024.xlsx]D-PS'!</v>
      </c>
      <c r="G3758" s="32" t="s">
        <v>124</v>
      </c>
      <c r="H3758" s="33">
        <f t="shared" si="894"/>
        <v>44</v>
      </c>
      <c r="I3758" s="33" t="str">
        <f t="shared" si="895"/>
        <v>='C:\Users\jaime.benazar\Quorum Business Solutions\Ecopetrol Prometeo - Documents\Planning Space Implementation\3. Analysis &amp; Design\Design\FC22\DRR Jaime\Neiva CPI\[DINA TERCIARIOS_CF_SEC_New_27-Mar-2024.xlsx]D-PS'!$BE$44</v>
      </c>
      <c r="J3758" s="37" t="s">
        <v>3663</v>
      </c>
    </row>
    <row r="3759" spans="1:10" x14ac:dyDescent="0.3">
      <c r="A3759" s="32" t="s">
        <v>24</v>
      </c>
      <c r="B3759" s="32">
        <f t="shared" si="896"/>
        <v>2056</v>
      </c>
      <c r="C3759" s="33" t="s">
        <v>28</v>
      </c>
      <c r="D3759" s="34" t="s">
        <v>2002</v>
      </c>
      <c r="E3759" s="35" t="str">
        <f t="shared" si="892"/>
        <v>PS'!</v>
      </c>
      <c r="F3759" s="34" t="str">
        <f t="shared" si="893"/>
        <v>C:\Users\jaime.benazar\Quorum Business Solutions\Ecopetrol Prometeo - Documents\Planning Space Implementation\3. Analysis &amp; Design\Design\FC22\DRR Jaime\Neiva CPI\[DINA TERCIARIOS_CF_SEC_New_27-Mar-2024.xlsx]D-PS'!</v>
      </c>
      <c r="G3759" s="32" t="s">
        <v>124</v>
      </c>
      <c r="H3759" s="33">
        <f t="shared" si="894"/>
        <v>45</v>
      </c>
      <c r="I3759" s="33" t="str">
        <f t="shared" si="895"/>
        <v>='C:\Users\jaime.benazar\Quorum Business Solutions\Ecopetrol Prometeo - Documents\Planning Space Implementation\3. Analysis &amp; Design\Design\FC22\DRR Jaime\Neiva CPI\[DINA TERCIARIOS_CF_SEC_New_27-Mar-2024.xlsx]D-PS'!$BE$45</v>
      </c>
      <c r="J3759" s="37" t="s">
        <v>3664</v>
      </c>
    </row>
    <row r="3760" spans="1:10" x14ac:dyDescent="0.3">
      <c r="A3760" s="32" t="s">
        <v>24</v>
      </c>
      <c r="B3760" s="32">
        <f t="shared" si="896"/>
        <v>2057</v>
      </c>
      <c r="C3760" s="33" t="s">
        <v>28</v>
      </c>
      <c r="D3760" s="34" t="s">
        <v>2002</v>
      </c>
      <c r="E3760" s="35" t="str">
        <f t="shared" si="892"/>
        <v>PS'!</v>
      </c>
      <c r="F3760" s="34" t="str">
        <f t="shared" si="893"/>
        <v>C:\Users\jaime.benazar\Quorum Business Solutions\Ecopetrol Prometeo - Documents\Planning Space Implementation\3. Analysis &amp; Design\Design\FC22\DRR Jaime\Neiva CPI\[DINA TERCIARIOS_CF_SEC_New_27-Mar-2024.xlsx]D-PS'!</v>
      </c>
      <c r="G3760" s="32" t="s">
        <v>124</v>
      </c>
      <c r="H3760" s="33">
        <f t="shared" si="894"/>
        <v>46</v>
      </c>
      <c r="I3760" s="33" t="str">
        <f t="shared" si="895"/>
        <v>='C:\Users\jaime.benazar\Quorum Business Solutions\Ecopetrol Prometeo - Documents\Planning Space Implementation\3. Analysis &amp; Design\Design\FC22\DRR Jaime\Neiva CPI\[DINA TERCIARIOS_CF_SEC_New_27-Mar-2024.xlsx]D-PS'!$BE$46</v>
      </c>
      <c r="J3760" s="37" t="s">
        <v>3665</v>
      </c>
    </row>
    <row r="3761" spans="1:10" x14ac:dyDescent="0.3">
      <c r="A3761" s="32" t="s">
        <v>24</v>
      </c>
      <c r="B3761" s="32">
        <f t="shared" si="896"/>
        <v>2058</v>
      </c>
      <c r="C3761" s="33" t="s">
        <v>28</v>
      </c>
      <c r="D3761" s="34" t="s">
        <v>2002</v>
      </c>
      <c r="E3761" s="35" t="str">
        <f t="shared" si="892"/>
        <v>PS'!</v>
      </c>
      <c r="F3761" s="34" t="str">
        <f t="shared" si="893"/>
        <v>C:\Users\jaime.benazar\Quorum Business Solutions\Ecopetrol Prometeo - Documents\Planning Space Implementation\3. Analysis &amp; Design\Design\FC22\DRR Jaime\Neiva CPI\[DINA TERCIARIOS_CF_SEC_New_27-Mar-2024.xlsx]D-PS'!</v>
      </c>
      <c r="G3761" s="32" t="s">
        <v>124</v>
      </c>
      <c r="H3761" s="33">
        <f t="shared" si="894"/>
        <v>47</v>
      </c>
      <c r="I3761" s="33" t="str">
        <f t="shared" si="895"/>
        <v>='C:\Users\jaime.benazar\Quorum Business Solutions\Ecopetrol Prometeo - Documents\Planning Space Implementation\3. Analysis &amp; Design\Design\FC22\DRR Jaime\Neiva CPI\[DINA TERCIARIOS_CF_SEC_New_27-Mar-2024.xlsx]D-PS'!$BE$47</v>
      </c>
      <c r="J3761" s="37" t="s">
        <v>3666</v>
      </c>
    </row>
    <row r="3762" spans="1:10" x14ac:dyDescent="0.3">
      <c r="A3762" s="32" t="s">
        <v>24</v>
      </c>
      <c r="B3762" s="32">
        <f t="shared" si="896"/>
        <v>2059</v>
      </c>
      <c r="C3762" s="33" t="s">
        <v>28</v>
      </c>
      <c r="D3762" s="34" t="s">
        <v>2002</v>
      </c>
      <c r="E3762" s="35" t="str">
        <f t="shared" si="892"/>
        <v>PS'!</v>
      </c>
      <c r="F3762" s="34" t="str">
        <f t="shared" si="893"/>
        <v>C:\Users\jaime.benazar\Quorum Business Solutions\Ecopetrol Prometeo - Documents\Planning Space Implementation\3. Analysis &amp; Design\Design\FC22\DRR Jaime\Neiva CPI\[DINA TERCIARIOS_CF_SEC_New_27-Mar-2024.xlsx]D-PS'!</v>
      </c>
      <c r="G3762" s="32" t="s">
        <v>124</v>
      </c>
      <c r="H3762" s="33">
        <f t="shared" si="894"/>
        <v>48</v>
      </c>
      <c r="I3762" s="33" t="str">
        <f t="shared" si="895"/>
        <v>='C:\Users\jaime.benazar\Quorum Business Solutions\Ecopetrol Prometeo - Documents\Planning Space Implementation\3. Analysis &amp; Design\Design\FC22\DRR Jaime\Neiva CPI\[DINA TERCIARIOS_CF_SEC_New_27-Mar-2024.xlsx]D-PS'!$BE$48</v>
      </c>
      <c r="J3762" s="37" t="s">
        <v>3667</v>
      </c>
    </row>
    <row r="3763" spans="1:10" x14ac:dyDescent="0.3">
      <c r="A3763" s="32" t="s">
        <v>26</v>
      </c>
      <c r="B3763" s="32"/>
      <c r="C3763" s="33" t="s">
        <v>28</v>
      </c>
      <c r="D3763" s="34"/>
      <c r="E3763" s="35"/>
      <c r="F3763" s="34"/>
      <c r="G3763" s="32"/>
      <c r="H3763" s="33"/>
      <c r="I3763" s="33"/>
      <c r="J3763" s="33"/>
    </row>
    <row r="3764" spans="1:10" x14ac:dyDescent="0.3">
      <c r="A3764" s="32" t="s">
        <v>14</v>
      </c>
      <c r="B3764" s="32">
        <v>2023</v>
      </c>
      <c r="C3764" s="33" t="s">
        <v>43</v>
      </c>
      <c r="D3764" s="34" t="s">
        <v>2002</v>
      </c>
      <c r="E3764" s="35" t="str">
        <f>_xlfn.CONCAT(A3764,"'!")</f>
        <v>PDP'!</v>
      </c>
      <c r="F3764" s="34" t="str">
        <f>_xlfn.CONCAT(D3764:E3764)</f>
        <v>C:\Users\jaime.benazar\Quorum Business Solutions\Ecopetrol Prometeo - Documents\Planning Space Implementation\3. Analysis &amp; Design\Design\FC22\DRR Jaime\Neiva CPI\[DINA TERCIARIOS_CF_SEC_New_27-Mar-2024.xlsx]D-PDP'!</v>
      </c>
      <c r="G3764" s="32" t="s">
        <v>125</v>
      </c>
      <c r="H3764" s="33">
        <v>12</v>
      </c>
      <c r="I3764" s="33" t="str">
        <f>_xlfn.CONCAT("='",F3764:H3764)</f>
        <v>='C:\Users\jaime.benazar\Quorum Business Solutions\Ecopetrol Prometeo - Documents\Planning Space Implementation\3. Analysis &amp; Design\Design\FC22\DRR Jaime\Neiva CPI\[DINA TERCIARIOS_CF_SEC_New_27-Mar-2024.xlsx]D-PDP'!$CB$12</v>
      </c>
      <c r="J3764" s="36" t="s">
        <v>3668</v>
      </c>
    </row>
    <row r="3765" spans="1:10" x14ac:dyDescent="0.3">
      <c r="A3765" s="32" t="s">
        <v>14</v>
      </c>
      <c r="B3765" s="32">
        <f>+B3764+1</f>
        <v>2024</v>
      </c>
      <c r="C3765" s="33" t="s">
        <v>43</v>
      </c>
      <c r="D3765" s="34" t="s">
        <v>2002</v>
      </c>
      <c r="E3765" s="35" t="str">
        <f t="shared" ref="E3765:E3822" si="897">_xlfn.CONCAT(A3765,"'!")</f>
        <v>PDP'!</v>
      </c>
      <c r="F3765" s="34" t="str">
        <f t="shared" ref="F3765:F3784" si="898">_xlfn.CONCAT(D3765:E3765)</f>
        <v>C:\Users\jaime.benazar\Quorum Business Solutions\Ecopetrol Prometeo - Documents\Planning Space Implementation\3. Analysis &amp; Design\Design\FC22\DRR Jaime\Neiva CPI\[DINA TERCIARIOS_CF_SEC_New_27-Mar-2024.xlsx]D-PDP'!</v>
      </c>
      <c r="G3765" s="32" t="s">
        <v>125</v>
      </c>
      <c r="H3765" s="33">
        <f t="shared" ref="H3765:H3784" si="899">IF(A3765&lt;&gt;A3764,12,H3764+1)</f>
        <v>13</v>
      </c>
      <c r="I3765" s="33" t="str">
        <f t="shared" ref="I3765:I3784" si="900">_xlfn.CONCAT("='",F3765:H3765)</f>
        <v>='C:\Users\jaime.benazar\Quorum Business Solutions\Ecopetrol Prometeo - Documents\Planning Space Implementation\3. Analysis &amp; Design\Design\FC22\DRR Jaime\Neiva CPI\[DINA TERCIARIOS_CF_SEC_New_27-Mar-2024.xlsx]D-PDP'!$CB$13</v>
      </c>
      <c r="J3765" s="37" t="s">
        <v>3669</v>
      </c>
    </row>
    <row r="3766" spans="1:10" x14ac:dyDescent="0.3">
      <c r="A3766" s="32" t="s">
        <v>14</v>
      </c>
      <c r="B3766" s="32">
        <f t="shared" ref="B3766:B3800" si="901">+B3765+1</f>
        <v>2025</v>
      </c>
      <c r="C3766" s="33" t="s">
        <v>43</v>
      </c>
      <c r="D3766" s="34" t="s">
        <v>2002</v>
      </c>
      <c r="E3766" s="35" t="str">
        <f t="shared" si="897"/>
        <v>PDP'!</v>
      </c>
      <c r="F3766" s="34" t="str">
        <f t="shared" si="898"/>
        <v>C:\Users\jaime.benazar\Quorum Business Solutions\Ecopetrol Prometeo - Documents\Planning Space Implementation\3. Analysis &amp; Design\Design\FC22\DRR Jaime\Neiva CPI\[DINA TERCIARIOS_CF_SEC_New_27-Mar-2024.xlsx]D-PDP'!</v>
      </c>
      <c r="G3766" s="32" t="s">
        <v>125</v>
      </c>
      <c r="H3766" s="33">
        <f t="shared" si="899"/>
        <v>14</v>
      </c>
      <c r="I3766" s="33" t="str">
        <f t="shared" si="900"/>
        <v>='C:\Users\jaime.benazar\Quorum Business Solutions\Ecopetrol Prometeo - Documents\Planning Space Implementation\3. Analysis &amp; Design\Design\FC22\DRR Jaime\Neiva CPI\[DINA TERCIARIOS_CF_SEC_New_27-Mar-2024.xlsx]D-PDP'!$CB$14</v>
      </c>
      <c r="J3766" s="37" t="s">
        <v>3670</v>
      </c>
    </row>
    <row r="3767" spans="1:10" x14ac:dyDescent="0.3">
      <c r="A3767" s="32" t="s">
        <v>14</v>
      </c>
      <c r="B3767" s="32">
        <f t="shared" si="901"/>
        <v>2026</v>
      </c>
      <c r="C3767" s="33" t="s">
        <v>43</v>
      </c>
      <c r="D3767" s="34" t="s">
        <v>2002</v>
      </c>
      <c r="E3767" s="35" t="str">
        <f t="shared" si="897"/>
        <v>PDP'!</v>
      </c>
      <c r="F3767" s="34" t="str">
        <f t="shared" si="898"/>
        <v>C:\Users\jaime.benazar\Quorum Business Solutions\Ecopetrol Prometeo - Documents\Planning Space Implementation\3. Analysis &amp; Design\Design\FC22\DRR Jaime\Neiva CPI\[DINA TERCIARIOS_CF_SEC_New_27-Mar-2024.xlsx]D-PDP'!</v>
      </c>
      <c r="G3767" s="32" t="s">
        <v>125</v>
      </c>
      <c r="H3767" s="33">
        <f t="shared" si="899"/>
        <v>15</v>
      </c>
      <c r="I3767" s="33" t="str">
        <f t="shared" si="900"/>
        <v>='C:\Users\jaime.benazar\Quorum Business Solutions\Ecopetrol Prometeo - Documents\Planning Space Implementation\3. Analysis &amp; Design\Design\FC22\DRR Jaime\Neiva CPI\[DINA TERCIARIOS_CF_SEC_New_27-Mar-2024.xlsx]D-PDP'!$CB$15</v>
      </c>
      <c r="J3767" s="37" t="s">
        <v>3671</v>
      </c>
    </row>
    <row r="3768" spans="1:10" x14ac:dyDescent="0.3">
      <c r="A3768" s="32" t="s">
        <v>14</v>
      </c>
      <c r="B3768" s="32">
        <f t="shared" si="901"/>
        <v>2027</v>
      </c>
      <c r="C3768" s="33" t="s">
        <v>43</v>
      </c>
      <c r="D3768" s="34" t="s">
        <v>2002</v>
      </c>
      <c r="E3768" s="35" t="str">
        <f t="shared" si="897"/>
        <v>PDP'!</v>
      </c>
      <c r="F3768" s="34" t="str">
        <f t="shared" si="898"/>
        <v>C:\Users\jaime.benazar\Quorum Business Solutions\Ecopetrol Prometeo - Documents\Planning Space Implementation\3. Analysis &amp; Design\Design\FC22\DRR Jaime\Neiva CPI\[DINA TERCIARIOS_CF_SEC_New_27-Mar-2024.xlsx]D-PDP'!</v>
      </c>
      <c r="G3768" s="32" t="s">
        <v>125</v>
      </c>
      <c r="H3768" s="33">
        <f t="shared" si="899"/>
        <v>16</v>
      </c>
      <c r="I3768" s="33" t="str">
        <f t="shared" si="900"/>
        <v>='C:\Users\jaime.benazar\Quorum Business Solutions\Ecopetrol Prometeo - Documents\Planning Space Implementation\3. Analysis &amp; Design\Design\FC22\DRR Jaime\Neiva CPI\[DINA TERCIARIOS_CF_SEC_New_27-Mar-2024.xlsx]D-PDP'!$CB$16</v>
      </c>
      <c r="J3768" s="37" t="s">
        <v>3672</v>
      </c>
    </row>
    <row r="3769" spans="1:10" x14ac:dyDescent="0.3">
      <c r="A3769" s="32" t="s">
        <v>14</v>
      </c>
      <c r="B3769" s="32">
        <f t="shared" si="901"/>
        <v>2028</v>
      </c>
      <c r="C3769" s="33" t="s">
        <v>43</v>
      </c>
      <c r="D3769" s="34" t="s">
        <v>2002</v>
      </c>
      <c r="E3769" s="35" t="str">
        <f t="shared" si="897"/>
        <v>PDP'!</v>
      </c>
      <c r="F3769" s="34" t="str">
        <f t="shared" si="898"/>
        <v>C:\Users\jaime.benazar\Quorum Business Solutions\Ecopetrol Prometeo - Documents\Planning Space Implementation\3. Analysis &amp; Design\Design\FC22\DRR Jaime\Neiva CPI\[DINA TERCIARIOS_CF_SEC_New_27-Mar-2024.xlsx]D-PDP'!</v>
      </c>
      <c r="G3769" s="32" t="s">
        <v>125</v>
      </c>
      <c r="H3769" s="33">
        <f t="shared" si="899"/>
        <v>17</v>
      </c>
      <c r="I3769" s="33" t="str">
        <f t="shared" si="900"/>
        <v>='C:\Users\jaime.benazar\Quorum Business Solutions\Ecopetrol Prometeo - Documents\Planning Space Implementation\3. Analysis &amp; Design\Design\FC22\DRR Jaime\Neiva CPI\[DINA TERCIARIOS_CF_SEC_New_27-Mar-2024.xlsx]D-PDP'!$CB$17</v>
      </c>
      <c r="J3769" s="37" t="s">
        <v>3673</v>
      </c>
    </row>
    <row r="3770" spans="1:10" x14ac:dyDescent="0.3">
      <c r="A3770" s="32" t="s">
        <v>14</v>
      </c>
      <c r="B3770" s="32">
        <f t="shared" si="901"/>
        <v>2029</v>
      </c>
      <c r="C3770" s="33" t="s">
        <v>43</v>
      </c>
      <c r="D3770" s="34" t="s">
        <v>2002</v>
      </c>
      <c r="E3770" s="35" t="str">
        <f t="shared" si="897"/>
        <v>PDP'!</v>
      </c>
      <c r="F3770" s="34" t="str">
        <f t="shared" si="898"/>
        <v>C:\Users\jaime.benazar\Quorum Business Solutions\Ecopetrol Prometeo - Documents\Planning Space Implementation\3. Analysis &amp; Design\Design\FC22\DRR Jaime\Neiva CPI\[DINA TERCIARIOS_CF_SEC_New_27-Mar-2024.xlsx]D-PDP'!</v>
      </c>
      <c r="G3770" s="32" t="s">
        <v>125</v>
      </c>
      <c r="H3770" s="33">
        <f t="shared" si="899"/>
        <v>18</v>
      </c>
      <c r="I3770" s="33" t="str">
        <f t="shared" si="900"/>
        <v>='C:\Users\jaime.benazar\Quorum Business Solutions\Ecopetrol Prometeo - Documents\Planning Space Implementation\3. Analysis &amp; Design\Design\FC22\DRR Jaime\Neiva CPI\[DINA TERCIARIOS_CF_SEC_New_27-Mar-2024.xlsx]D-PDP'!$CB$18</v>
      </c>
      <c r="J3770" s="37" t="s">
        <v>3674</v>
      </c>
    </row>
    <row r="3771" spans="1:10" x14ac:dyDescent="0.3">
      <c r="A3771" s="32" t="s">
        <v>14</v>
      </c>
      <c r="B3771" s="32">
        <f t="shared" si="901"/>
        <v>2030</v>
      </c>
      <c r="C3771" s="33" t="s">
        <v>43</v>
      </c>
      <c r="D3771" s="34" t="s">
        <v>2002</v>
      </c>
      <c r="E3771" s="35" t="str">
        <f t="shared" si="897"/>
        <v>PDP'!</v>
      </c>
      <c r="F3771" s="34" t="str">
        <f t="shared" si="898"/>
        <v>C:\Users\jaime.benazar\Quorum Business Solutions\Ecopetrol Prometeo - Documents\Planning Space Implementation\3. Analysis &amp; Design\Design\FC22\DRR Jaime\Neiva CPI\[DINA TERCIARIOS_CF_SEC_New_27-Mar-2024.xlsx]D-PDP'!</v>
      </c>
      <c r="G3771" s="32" t="s">
        <v>125</v>
      </c>
      <c r="H3771" s="33">
        <f t="shared" si="899"/>
        <v>19</v>
      </c>
      <c r="I3771" s="33" t="str">
        <f t="shared" si="900"/>
        <v>='C:\Users\jaime.benazar\Quorum Business Solutions\Ecopetrol Prometeo - Documents\Planning Space Implementation\3. Analysis &amp; Design\Design\FC22\DRR Jaime\Neiva CPI\[DINA TERCIARIOS_CF_SEC_New_27-Mar-2024.xlsx]D-PDP'!$CB$19</v>
      </c>
      <c r="J3771" s="37" t="s">
        <v>3675</v>
      </c>
    </row>
    <row r="3772" spans="1:10" x14ac:dyDescent="0.3">
      <c r="A3772" s="32" t="s">
        <v>14</v>
      </c>
      <c r="B3772" s="32">
        <f t="shared" si="901"/>
        <v>2031</v>
      </c>
      <c r="C3772" s="33" t="s">
        <v>43</v>
      </c>
      <c r="D3772" s="34" t="s">
        <v>2002</v>
      </c>
      <c r="E3772" s="35" t="str">
        <f t="shared" si="897"/>
        <v>PDP'!</v>
      </c>
      <c r="F3772" s="34" t="str">
        <f t="shared" si="898"/>
        <v>C:\Users\jaime.benazar\Quorum Business Solutions\Ecopetrol Prometeo - Documents\Planning Space Implementation\3. Analysis &amp; Design\Design\FC22\DRR Jaime\Neiva CPI\[DINA TERCIARIOS_CF_SEC_New_27-Mar-2024.xlsx]D-PDP'!</v>
      </c>
      <c r="G3772" s="32" t="s">
        <v>125</v>
      </c>
      <c r="H3772" s="33">
        <f t="shared" si="899"/>
        <v>20</v>
      </c>
      <c r="I3772" s="33" t="str">
        <f t="shared" si="900"/>
        <v>='C:\Users\jaime.benazar\Quorum Business Solutions\Ecopetrol Prometeo - Documents\Planning Space Implementation\3. Analysis &amp; Design\Design\FC22\DRR Jaime\Neiva CPI\[DINA TERCIARIOS_CF_SEC_New_27-Mar-2024.xlsx]D-PDP'!$CB$20</v>
      </c>
      <c r="J3772" s="37" t="s">
        <v>3676</v>
      </c>
    </row>
    <row r="3773" spans="1:10" x14ac:dyDescent="0.3">
      <c r="A3773" s="32" t="s">
        <v>14</v>
      </c>
      <c r="B3773" s="32">
        <f t="shared" si="901"/>
        <v>2032</v>
      </c>
      <c r="C3773" s="33" t="s">
        <v>43</v>
      </c>
      <c r="D3773" s="34" t="s">
        <v>2002</v>
      </c>
      <c r="E3773" s="35" t="str">
        <f t="shared" si="897"/>
        <v>PDP'!</v>
      </c>
      <c r="F3773" s="34" t="str">
        <f t="shared" si="898"/>
        <v>C:\Users\jaime.benazar\Quorum Business Solutions\Ecopetrol Prometeo - Documents\Planning Space Implementation\3. Analysis &amp; Design\Design\FC22\DRR Jaime\Neiva CPI\[DINA TERCIARIOS_CF_SEC_New_27-Mar-2024.xlsx]D-PDP'!</v>
      </c>
      <c r="G3773" s="32" t="s">
        <v>125</v>
      </c>
      <c r="H3773" s="33">
        <f t="shared" si="899"/>
        <v>21</v>
      </c>
      <c r="I3773" s="33" t="str">
        <f t="shared" si="900"/>
        <v>='C:\Users\jaime.benazar\Quorum Business Solutions\Ecopetrol Prometeo - Documents\Planning Space Implementation\3. Analysis &amp; Design\Design\FC22\DRR Jaime\Neiva CPI\[DINA TERCIARIOS_CF_SEC_New_27-Mar-2024.xlsx]D-PDP'!$CB$21</v>
      </c>
      <c r="J3773" s="37" t="s">
        <v>3677</v>
      </c>
    </row>
    <row r="3774" spans="1:10" x14ac:dyDescent="0.3">
      <c r="A3774" s="32" t="s">
        <v>14</v>
      </c>
      <c r="B3774" s="32">
        <f t="shared" si="901"/>
        <v>2033</v>
      </c>
      <c r="C3774" s="33" t="s">
        <v>43</v>
      </c>
      <c r="D3774" s="34" t="s">
        <v>2002</v>
      </c>
      <c r="E3774" s="35" t="str">
        <f t="shared" si="897"/>
        <v>PDP'!</v>
      </c>
      <c r="F3774" s="34" t="str">
        <f t="shared" si="898"/>
        <v>C:\Users\jaime.benazar\Quorum Business Solutions\Ecopetrol Prometeo - Documents\Planning Space Implementation\3. Analysis &amp; Design\Design\FC22\DRR Jaime\Neiva CPI\[DINA TERCIARIOS_CF_SEC_New_27-Mar-2024.xlsx]D-PDP'!</v>
      </c>
      <c r="G3774" s="32" t="s">
        <v>125</v>
      </c>
      <c r="H3774" s="33">
        <f t="shared" si="899"/>
        <v>22</v>
      </c>
      <c r="I3774" s="33" t="str">
        <f t="shared" si="900"/>
        <v>='C:\Users\jaime.benazar\Quorum Business Solutions\Ecopetrol Prometeo - Documents\Planning Space Implementation\3. Analysis &amp; Design\Design\FC22\DRR Jaime\Neiva CPI\[DINA TERCIARIOS_CF_SEC_New_27-Mar-2024.xlsx]D-PDP'!$CB$22</v>
      </c>
      <c r="J3774" s="37" t="s">
        <v>3678</v>
      </c>
    </row>
    <row r="3775" spans="1:10" x14ac:dyDescent="0.3">
      <c r="A3775" s="32" t="s">
        <v>14</v>
      </c>
      <c r="B3775" s="32">
        <f t="shared" si="901"/>
        <v>2034</v>
      </c>
      <c r="C3775" s="33" t="s">
        <v>43</v>
      </c>
      <c r="D3775" s="34" t="s">
        <v>2002</v>
      </c>
      <c r="E3775" s="35" t="str">
        <f t="shared" si="897"/>
        <v>PDP'!</v>
      </c>
      <c r="F3775" s="34" t="str">
        <f t="shared" si="898"/>
        <v>C:\Users\jaime.benazar\Quorum Business Solutions\Ecopetrol Prometeo - Documents\Planning Space Implementation\3. Analysis &amp; Design\Design\FC22\DRR Jaime\Neiva CPI\[DINA TERCIARIOS_CF_SEC_New_27-Mar-2024.xlsx]D-PDP'!</v>
      </c>
      <c r="G3775" s="32" t="s">
        <v>125</v>
      </c>
      <c r="H3775" s="33">
        <f t="shared" si="899"/>
        <v>23</v>
      </c>
      <c r="I3775" s="33" t="str">
        <f t="shared" si="900"/>
        <v>='C:\Users\jaime.benazar\Quorum Business Solutions\Ecopetrol Prometeo - Documents\Planning Space Implementation\3. Analysis &amp; Design\Design\FC22\DRR Jaime\Neiva CPI\[DINA TERCIARIOS_CF_SEC_New_27-Mar-2024.xlsx]D-PDP'!$CB$23</v>
      </c>
      <c r="J3775" s="37" t="s">
        <v>3679</v>
      </c>
    </row>
    <row r="3776" spans="1:10" x14ac:dyDescent="0.3">
      <c r="A3776" s="32" t="s">
        <v>14</v>
      </c>
      <c r="B3776" s="32">
        <f t="shared" si="901"/>
        <v>2035</v>
      </c>
      <c r="C3776" s="33" t="s">
        <v>43</v>
      </c>
      <c r="D3776" s="34" t="s">
        <v>2002</v>
      </c>
      <c r="E3776" s="35" t="str">
        <f t="shared" si="897"/>
        <v>PDP'!</v>
      </c>
      <c r="F3776" s="34" t="str">
        <f t="shared" si="898"/>
        <v>C:\Users\jaime.benazar\Quorum Business Solutions\Ecopetrol Prometeo - Documents\Planning Space Implementation\3. Analysis &amp; Design\Design\FC22\DRR Jaime\Neiva CPI\[DINA TERCIARIOS_CF_SEC_New_27-Mar-2024.xlsx]D-PDP'!</v>
      </c>
      <c r="G3776" s="32" t="s">
        <v>125</v>
      </c>
      <c r="H3776" s="33">
        <f t="shared" si="899"/>
        <v>24</v>
      </c>
      <c r="I3776" s="33" t="str">
        <f t="shared" si="900"/>
        <v>='C:\Users\jaime.benazar\Quorum Business Solutions\Ecopetrol Prometeo - Documents\Planning Space Implementation\3. Analysis &amp; Design\Design\FC22\DRR Jaime\Neiva CPI\[DINA TERCIARIOS_CF_SEC_New_27-Mar-2024.xlsx]D-PDP'!$CB$24</v>
      </c>
      <c r="J3776" s="37" t="s">
        <v>3680</v>
      </c>
    </row>
    <row r="3777" spans="1:10" x14ac:dyDescent="0.3">
      <c r="A3777" s="32" t="s">
        <v>14</v>
      </c>
      <c r="B3777" s="32">
        <f t="shared" si="901"/>
        <v>2036</v>
      </c>
      <c r="C3777" s="33" t="s">
        <v>43</v>
      </c>
      <c r="D3777" s="34" t="s">
        <v>2002</v>
      </c>
      <c r="E3777" s="35" t="str">
        <f t="shared" si="897"/>
        <v>PDP'!</v>
      </c>
      <c r="F3777" s="34" t="str">
        <f t="shared" si="898"/>
        <v>C:\Users\jaime.benazar\Quorum Business Solutions\Ecopetrol Prometeo - Documents\Planning Space Implementation\3. Analysis &amp; Design\Design\FC22\DRR Jaime\Neiva CPI\[DINA TERCIARIOS_CF_SEC_New_27-Mar-2024.xlsx]D-PDP'!</v>
      </c>
      <c r="G3777" s="32" t="s">
        <v>125</v>
      </c>
      <c r="H3777" s="33">
        <f t="shared" si="899"/>
        <v>25</v>
      </c>
      <c r="I3777" s="33" t="str">
        <f t="shared" si="900"/>
        <v>='C:\Users\jaime.benazar\Quorum Business Solutions\Ecopetrol Prometeo - Documents\Planning Space Implementation\3. Analysis &amp; Design\Design\FC22\DRR Jaime\Neiva CPI\[DINA TERCIARIOS_CF_SEC_New_27-Mar-2024.xlsx]D-PDP'!$CB$25</v>
      </c>
      <c r="J3777" s="37" t="s">
        <v>3681</v>
      </c>
    </row>
    <row r="3778" spans="1:10" x14ac:dyDescent="0.3">
      <c r="A3778" s="32" t="s">
        <v>14</v>
      </c>
      <c r="B3778" s="32">
        <f>+B3777+1</f>
        <v>2037</v>
      </c>
      <c r="C3778" s="33" t="s">
        <v>43</v>
      </c>
      <c r="D3778" s="34" t="s">
        <v>2002</v>
      </c>
      <c r="E3778" s="35" t="str">
        <f t="shared" si="897"/>
        <v>PDP'!</v>
      </c>
      <c r="F3778" s="34" t="str">
        <f t="shared" si="898"/>
        <v>C:\Users\jaime.benazar\Quorum Business Solutions\Ecopetrol Prometeo - Documents\Planning Space Implementation\3. Analysis &amp; Design\Design\FC22\DRR Jaime\Neiva CPI\[DINA TERCIARIOS_CF_SEC_New_27-Mar-2024.xlsx]D-PDP'!</v>
      </c>
      <c r="G3778" s="32" t="s">
        <v>125</v>
      </c>
      <c r="H3778" s="33">
        <f t="shared" si="899"/>
        <v>26</v>
      </c>
      <c r="I3778" s="33" t="str">
        <f t="shared" si="900"/>
        <v>='C:\Users\jaime.benazar\Quorum Business Solutions\Ecopetrol Prometeo - Documents\Planning Space Implementation\3. Analysis &amp; Design\Design\FC22\DRR Jaime\Neiva CPI\[DINA TERCIARIOS_CF_SEC_New_27-Mar-2024.xlsx]D-PDP'!$CB$26</v>
      </c>
      <c r="J3778" s="37" t="s">
        <v>3682</v>
      </c>
    </row>
    <row r="3779" spans="1:10" x14ac:dyDescent="0.3">
      <c r="A3779" s="32" t="s">
        <v>14</v>
      </c>
      <c r="B3779" s="32">
        <f t="shared" si="901"/>
        <v>2038</v>
      </c>
      <c r="C3779" s="33" t="s">
        <v>43</v>
      </c>
      <c r="D3779" s="34" t="s">
        <v>2002</v>
      </c>
      <c r="E3779" s="35" t="str">
        <f t="shared" si="897"/>
        <v>PDP'!</v>
      </c>
      <c r="F3779" s="34" t="str">
        <f t="shared" si="898"/>
        <v>C:\Users\jaime.benazar\Quorum Business Solutions\Ecopetrol Prometeo - Documents\Planning Space Implementation\3. Analysis &amp; Design\Design\FC22\DRR Jaime\Neiva CPI\[DINA TERCIARIOS_CF_SEC_New_27-Mar-2024.xlsx]D-PDP'!</v>
      </c>
      <c r="G3779" s="32" t="s">
        <v>125</v>
      </c>
      <c r="H3779" s="33">
        <f t="shared" si="899"/>
        <v>27</v>
      </c>
      <c r="I3779" s="33" t="str">
        <f t="shared" si="900"/>
        <v>='C:\Users\jaime.benazar\Quorum Business Solutions\Ecopetrol Prometeo - Documents\Planning Space Implementation\3. Analysis &amp; Design\Design\FC22\DRR Jaime\Neiva CPI\[DINA TERCIARIOS_CF_SEC_New_27-Mar-2024.xlsx]D-PDP'!$CB$27</v>
      </c>
      <c r="J3779" s="37" t="s">
        <v>3683</v>
      </c>
    </row>
    <row r="3780" spans="1:10" x14ac:dyDescent="0.3">
      <c r="A3780" s="32" t="s">
        <v>14</v>
      </c>
      <c r="B3780" s="32">
        <f t="shared" si="901"/>
        <v>2039</v>
      </c>
      <c r="C3780" s="33" t="s">
        <v>43</v>
      </c>
      <c r="D3780" s="34" t="s">
        <v>2002</v>
      </c>
      <c r="E3780" s="35" t="str">
        <f t="shared" si="897"/>
        <v>PDP'!</v>
      </c>
      <c r="F3780" s="34" t="str">
        <f t="shared" si="898"/>
        <v>C:\Users\jaime.benazar\Quorum Business Solutions\Ecopetrol Prometeo - Documents\Planning Space Implementation\3. Analysis &amp; Design\Design\FC22\DRR Jaime\Neiva CPI\[DINA TERCIARIOS_CF_SEC_New_27-Mar-2024.xlsx]D-PDP'!</v>
      </c>
      <c r="G3780" s="32" t="s">
        <v>125</v>
      </c>
      <c r="H3780" s="33">
        <f t="shared" si="899"/>
        <v>28</v>
      </c>
      <c r="I3780" s="33" t="str">
        <f t="shared" si="900"/>
        <v>='C:\Users\jaime.benazar\Quorum Business Solutions\Ecopetrol Prometeo - Documents\Planning Space Implementation\3. Analysis &amp; Design\Design\FC22\DRR Jaime\Neiva CPI\[DINA TERCIARIOS_CF_SEC_New_27-Mar-2024.xlsx]D-PDP'!$CB$28</v>
      </c>
      <c r="J3780" s="37" t="s">
        <v>3684</v>
      </c>
    </row>
    <row r="3781" spans="1:10" x14ac:dyDescent="0.3">
      <c r="A3781" s="32" t="s">
        <v>14</v>
      </c>
      <c r="B3781" s="32">
        <f t="shared" si="901"/>
        <v>2040</v>
      </c>
      <c r="C3781" s="33" t="s">
        <v>43</v>
      </c>
      <c r="D3781" s="34" t="s">
        <v>2002</v>
      </c>
      <c r="E3781" s="35" t="str">
        <f t="shared" si="897"/>
        <v>PDP'!</v>
      </c>
      <c r="F3781" s="34" t="str">
        <f t="shared" si="898"/>
        <v>C:\Users\jaime.benazar\Quorum Business Solutions\Ecopetrol Prometeo - Documents\Planning Space Implementation\3. Analysis &amp; Design\Design\FC22\DRR Jaime\Neiva CPI\[DINA TERCIARIOS_CF_SEC_New_27-Mar-2024.xlsx]D-PDP'!</v>
      </c>
      <c r="G3781" s="32" t="s">
        <v>125</v>
      </c>
      <c r="H3781" s="33">
        <f t="shared" si="899"/>
        <v>29</v>
      </c>
      <c r="I3781" s="33" t="str">
        <f t="shared" si="900"/>
        <v>='C:\Users\jaime.benazar\Quorum Business Solutions\Ecopetrol Prometeo - Documents\Planning Space Implementation\3. Analysis &amp; Design\Design\FC22\DRR Jaime\Neiva CPI\[DINA TERCIARIOS_CF_SEC_New_27-Mar-2024.xlsx]D-PDP'!$CB$29</v>
      </c>
      <c r="J3781" s="37" t="s">
        <v>3685</v>
      </c>
    </row>
    <row r="3782" spans="1:10" x14ac:dyDescent="0.3">
      <c r="A3782" s="32" t="s">
        <v>14</v>
      </c>
      <c r="B3782" s="32">
        <f>+B3781+1</f>
        <v>2041</v>
      </c>
      <c r="C3782" s="33" t="s">
        <v>43</v>
      </c>
      <c r="D3782" s="34" t="s">
        <v>2002</v>
      </c>
      <c r="E3782" s="35" t="str">
        <f t="shared" si="897"/>
        <v>PDP'!</v>
      </c>
      <c r="F3782" s="34" t="str">
        <f t="shared" si="898"/>
        <v>C:\Users\jaime.benazar\Quorum Business Solutions\Ecopetrol Prometeo - Documents\Planning Space Implementation\3. Analysis &amp; Design\Design\FC22\DRR Jaime\Neiva CPI\[DINA TERCIARIOS_CF_SEC_New_27-Mar-2024.xlsx]D-PDP'!</v>
      </c>
      <c r="G3782" s="32" t="s">
        <v>125</v>
      </c>
      <c r="H3782" s="33">
        <f t="shared" si="899"/>
        <v>30</v>
      </c>
      <c r="I3782" s="33" t="str">
        <f t="shared" si="900"/>
        <v>='C:\Users\jaime.benazar\Quorum Business Solutions\Ecopetrol Prometeo - Documents\Planning Space Implementation\3. Analysis &amp; Design\Design\FC22\DRR Jaime\Neiva CPI\[DINA TERCIARIOS_CF_SEC_New_27-Mar-2024.xlsx]D-PDP'!$CB$30</v>
      </c>
      <c r="J3782" s="37" t="s">
        <v>3686</v>
      </c>
    </row>
    <row r="3783" spans="1:10" x14ac:dyDescent="0.3">
      <c r="A3783" s="32" t="s">
        <v>14</v>
      </c>
      <c r="B3783" s="32">
        <f t="shared" si="901"/>
        <v>2042</v>
      </c>
      <c r="C3783" s="33" t="s">
        <v>43</v>
      </c>
      <c r="D3783" s="34" t="s">
        <v>2002</v>
      </c>
      <c r="E3783" s="35" t="str">
        <f t="shared" si="897"/>
        <v>PDP'!</v>
      </c>
      <c r="F3783" s="34" t="str">
        <f t="shared" si="898"/>
        <v>C:\Users\jaime.benazar\Quorum Business Solutions\Ecopetrol Prometeo - Documents\Planning Space Implementation\3. Analysis &amp; Design\Design\FC22\DRR Jaime\Neiva CPI\[DINA TERCIARIOS_CF_SEC_New_27-Mar-2024.xlsx]D-PDP'!</v>
      </c>
      <c r="G3783" s="32" t="s">
        <v>125</v>
      </c>
      <c r="H3783" s="33">
        <f t="shared" si="899"/>
        <v>31</v>
      </c>
      <c r="I3783" s="33" t="str">
        <f t="shared" si="900"/>
        <v>='C:\Users\jaime.benazar\Quorum Business Solutions\Ecopetrol Prometeo - Documents\Planning Space Implementation\3. Analysis &amp; Design\Design\FC22\DRR Jaime\Neiva CPI\[DINA TERCIARIOS_CF_SEC_New_27-Mar-2024.xlsx]D-PDP'!$CB$31</v>
      </c>
      <c r="J3783" s="37" t="s">
        <v>3687</v>
      </c>
    </row>
    <row r="3784" spans="1:10" x14ac:dyDescent="0.3">
      <c r="A3784" s="32" t="s">
        <v>14</v>
      </c>
      <c r="B3784" s="32">
        <f t="shared" si="901"/>
        <v>2043</v>
      </c>
      <c r="C3784" s="33" t="s">
        <v>43</v>
      </c>
      <c r="D3784" s="34" t="s">
        <v>2002</v>
      </c>
      <c r="E3784" s="35" t="str">
        <f t="shared" si="897"/>
        <v>PDP'!</v>
      </c>
      <c r="F3784" s="34" t="str">
        <f t="shared" si="898"/>
        <v>C:\Users\jaime.benazar\Quorum Business Solutions\Ecopetrol Prometeo - Documents\Planning Space Implementation\3. Analysis &amp; Design\Design\FC22\DRR Jaime\Neiva CPI\[DINA TERCIARIOS_CF_SEC_New_27-Mar-2024.xlsx]D-PDP'!</v>
      </c>
      <c r="G3784" s="32" t="s">
        <v>125</v>
      </c>
      <c r="H3784" s="33">
        <f t="shared" si="899"/>
        <v>32</v>
      </c>
      <c r="I3784" s="33" t="str">
        <f t="shared" si="900"/>
        <v>='C:\Users\jaime.benazar\Quorum Business Solutions\Ecopetrol Prometeo - Documents\Planning Space Implementation\3. Analysis &amp; Design\Design\FC22\DRR Jaime\Neiva CPI\[DINA TERCIARIOS_CF_SEC_New_27-Mar-2024.xlsx]D-PDP'!$CB$32</v>
      </c>
      <c r="J3784" s="37" t="s">
        <v>3688</v>
      </c>
    </row>
    <row r="3785" spans="1:10" x14ac:dyDescent="0.3">
      <c r="A3785" s="32" t="s">
        <v>14</v>
      </c>
      <c r="B3785" s="32">
        <f>+B3784+1</f>
        <v>2044</v>
      </c>
      <c r="C3785" s="33" t="s">
        <v>43</v>
      </c>
      <c r="D3785" s="34" t="s">
        <v>2002</v>
      </c>
      <c r="E3785" s="35" t="str">
        <f t="shared" ref="E3785:E3800" si="902">_xlfn.CONCAT(A3785,"'!")</f>
        <v>PDP'!</v>
      </c>
      <c r="F3785" s="34" t="str">
        <f t="shared" ref="F3785:F3800" si="903">_xlfn.CONCAT(D3785:E3785)</f>
        <v>C:\Users\jaime.benazar\Quorum Business Solutions\Ecopetrol Prometeo - Documents\Planning Space Implementation\3. Analysis &amp; Design\Design\FC22\DRR Jaime\Neiva CPI\[DINA TERCIARIOS_CF_SEC_New_27-Mar-2024.xlsx]D-PDP'!</v>
      </c>
      <c r="G3785" s="32" t="s">
        <v>125</v>
      </c>
      <c r="H3785" s="33">
        <f t="shared" ref="H3785:H3800" si="904">IF(A3785&lt;&gt;A3784,12,H3784+1)</f>
        <v>33</v>
      </c>
      <c r="I3785" s="33" t="str">
        <f t="shared" ref="I3785:I3800" si="905">_xlfn.CONCAT("='",F3785:H3785)</f>
        <v>='C:\Users\jaime.benazar\Quorum Business Solutions\Ecopetrol Prometeo - Documents\Planning Space Implementation\3. Analysis &amp; Design\Design\FC22\DRR Jaime\Neiva CPI\[DINA TERCIARIOS_CF_SEC_New_27-Mar-2024.xlsx]D-PDP'!$CB$33</v>
      </c>
      <c r="J3785" s="37" t="s">
        <v>3689</v>
      </c>
    </row>
    <row r="3786" spans="1:10" x14ac:dyDescent="0.3">
      <c r="A3786" s="32" t="s">
        <v>14</v>
      </c>
      <c r="B3786" s="32">
        <f t="shared" si="901"/>
        <v>2045</v>
      </c>
      <c r="C3786" s="33" t="s">
        <v>43</v>
      </c>
      <c r="D3786" s="34" t="s">
        <v>2002</v>
      </c>
      <c r="E3786" s="35" t="str">
        <f t="shared" si="902"/>
        <v>PDP'!</v>
      </c>
      <c r="F3786" s="34" t="str">
        <f t="shared" si="903"/>
        <v>C:\Users\jaime.benazar\Quorum Business Solutions\Ecopetrol Prometeo - Documents\Planning Space Implementation\3. Analysis &amp; Design\Design\FC22\DRR Jaime\Neiva CPI\[DINA TERCIARIOS_CF_SEC_New_27-Mar-2024.xlsx]D-PDP'!</v>
      </c>
      <c r="G3786" s="32" t="s">
        <v>125</v>
      </c>
      <c r="H3786" s="33">
        <f t="shared" si="904"/>
        <v>34</v>
      </c>
      <c r="I3786" s="33" t="str">
        <f t="shared" si="905"/>
        <v>='C:\Users\jaime.benazar\Quorum Business Solutions\Ecopetrol Prometeo - Documents\Planning Space Implementation\3. Analysis &amp; Design\Design\FC22\DRR Jaime\Neiva CPI\[DINA TERCIARIOS_CF_SEC_New_27-Mar-2024.xlsx]D-PDP'!$CB$34</v>
      </c>
      <c r="J3786" s="37" t="s">
        <v>3690</v>
      </c>
    </row>
    <row r="3787" spans="1:10" x14ac:dyDescent="0.3">
      <c r="A3787" s="32" t="s">
        <v>14</v>
      </c>
      <c r="B3787" s="32">
        <f t="shared" si="901"/>
        <v>2046</v>
      </c>
      <c r="C3787" s="33" t="s">
        <v>43</v>
      </c>
      <c r="D3787" s="34" t="s">
        <v>2002</v>
      </c>
      <c r="E3787" s="35" t="str">
        <f t="shared" si="902"/>
        <v>PDP'!</v>
      </c>
      <c r="F3787" s="34" t="str">
        <f t="shared" si="903"/>
        <v>C:\Users\jaime.benazar\Quorum Business Solutions\Ecopetrol Prometeo - Documents\Planning Space Implementation\3. Analysis &amp; Design\Design\FC22\DRR Jaime\Neiva CPI\[DINA TERCIARIOS_CF_SEC_New_27-Mar-2024.xlsx]D-PDP'!</v>
      </c>
      <c r="G3787" s="32" t="s">
        <v>125</v>
      </c>
      <c r="H3787" s="33">
        <f t="shared" si="904"/>
        <v>35</v>
      </c>
      <c r="I3787" s="33" t="str">
        <f t="shared" si="905"/>
        <v>='C:\Users\jaime.benazar\Quorum Business Solutions\Ecopetrol Prometeo - Documents\Planning Space Implementation\3. Analysis &amp; Design\Design\FC22\DRR Jaime\Neiva CPI\[DINA TERCIARIOS_CF_SEC_New_27-Mar-2024.xlsx]D-PDP'!$CB$35</v>
      </c>
      <c r="J3787" s="37" t="s">
        <v>3691</v>
      </c>
    </row>
    <row r="3788" spans="1:10" x14ac:dyDescent="0.3">
      <c r="A3788" s="32" t="s">
        <v>14</v>
      </c>
      <c r="B3788" s="32">
        <f t="shared" si="901"/>
        <v>2047</v>
      </c>
      <c r="C3788" s="33" t="s">
        <v>43</v>
      </c>
      <c r="D3788" s="34" t="s">
        <v>2002</v>
      </c>
      <c r="E3788" s="35" t="str">
        <f t="shared" si="902"/>
        <v>PDP'!</v>
      </c>
      <c r="F3788" s="34" t="str">
        <f t="shared" si="903"/>
        <v>C:\Users\jaime.benazar\Quorum Business Solutions\Ecopetrol Prometeo - Documents\Planning Space Implementation\3. Analysis &amp; Design\Design\FC22\DRR Jaime\Neiva CPI\[DINA TERCIARIOS_CF_SEC_New_27-Mar-2024.xlsx]D-PDP'!</v>
      </c>
      <c r="G3788" s="32" t="s">
        <v>125</v>
      </c>
      <c r="H3788" s="33">
        <f t="shared" si="904"/>
        <v>36</v>
      </c>
      <c r="I3788" s="33" t="str">
        <f t="shared" si="905"/>
        <v>='C:\Users\jaime.benazar\Quorum Business Solutions\Ecopetrol Prometeo - Documents\Planning Space Implementation\3. Analysis &amp; Design\Design\FC22\DRR Jaime\Neiva CPI\[DINA TERCIARIOS_CF_SEC_New_27-Mar-2024.xlsx]D-PDP'!$CB$36</v>
      </c>
      <c r="J3788" s="37" t="s">
        <v>3692</v>
      </c>
    </row>
    <row r="3789" spans="1:10" x14ac:dyDescent="0.3">
      <c r="A3789" s="32" t="s">
        <v>14</v>
      </c>
      <c r="B3789" s="32">
        <f t="shared" si="901"/>
        <v>2048</v>
      </c>
      <c r="C3789" s="33" t="s">
        <v>43</v>
      </c>
      <c r="D3789" s="34" t="s">
        <v>2002</v>
      </c>
      <c r="E3789" s="35" t="str">
        <f t="shared" si="902"/>
        <v>PDP'!</v>
      </c>
      <c r="F3789" s="34" t="str">
        <f t="shared" si="903"/>
        <v>C:\Users\jaime.benazar\Quorum Business Solutions\Ecopetrol Prometeo - Documents\Planning Space Implementation\3. Analysis &amp; Design\Design\FC22\DRR Jaime\Neiva CPI\[DINA TERCIARIOS_CF_SEC_New_27-Mar-2024.xlsx]D-PDP'!</v>
      </c>
      <c r="G3789" s="32" t="s">
        <v>125</v>
      </c>
      <c r="H3789" s="33">
        <f t="shared" si="904"/>
        <v>37</v>
      </c>
      <c r="I3789" s="33" t="str">
        <f t="shared" si="905"/>
        <v>='C:\Users\jaime.benazar\Quorum Business Solutions\Ecopetrol Prometeo - Documents\Planning Space Implementation\3. Analysis &amp; Design\Design\FC22\DRR Jaime\Neiva CPI\[DINA TERCIARIOS_CF_SEC_New_27-Mar-2024.xlsx]D-PDP'!$CB$37</v>
      </c>
      <c r="J3789" s="37" t="s">
        <v>3693</v>
      </c>
    </row>
    <row r="3790" spans="1:10" x14ac:dyDescent="0.3">
      <c r="A3790" s="32" t="s">
        <v>14</v>
      </c>
      <c r="B3790" s="32">
        <f t="shared" si="901"/>
        <v>2049</v>
      </c>
      <c r="C3790" s="33" t="s">
        <v>43</v>
      </c>
      <c r="D3790" s="34" t="s">
        <v>2002</v>
      </c>
      <c r="E3790" s="35" t="str">
        <f t="shared" si="902"/>
        <v>PDP'!</v>
      </c>
      <c r="F3790" s="34" t="str">
        <f t="shared" si="903"/>
        <v>C:\Users\jaime.benazar\Quorum Business Solutions\Ecopetrol Prometeo - Documents\Planning Space Implementation\3. Analysis &amp; Design\Design\FC22\DRR Jaime\Neiva CPI\[DINA TERCIARIOS_CF_SEC_New_27-Mar-2024.xlsx]D-PDP'!</v>
      </c>
      <c r="G3790" s="32" t="s">
        <v>125</v>
      </c>
      <c r="H3790" s="33">
        <f t="shared" si="904"/>
        <v>38</v>
      </c>
      <c r="I3790" s="33" t="str">
        <f t="shared" si="905"/>
        <v>='C:\Users\jaime.benazar\Quorum Business Solutions\Ecopetrol Prometeo - Documents\Planning Space Implementation\3. Analysis &amp; Design\Design\FC22\DRR Jaime\Neiva CPI\[DINA TERCIARIOS_CF_SEC_New_27-Mar-2024.xlsx]D-PDP'!$CB$38</v>
      </c>
      <c r="J3790" s="37" t="s">
        <v>3694</v>
      </c>
    </row>
    <row r="3791" spans="1:10" x14ac:dyDescent="0.3">
      <c r="A3791" s="32" t="s">
        <v>14</v>
      </c>
      <c r="B3791" s="32">
        <f t="shared" si="901"/>
        <v>2050</v>
      </c>
      <c r="C3791" s="33" t="s">
        <v>43</v>
      </c>
      <c r="D3791" s="34" t="s">
        <v>2002</v>
      </c>
      <c r="E3791" s="35" t="str">
        <f t="shared" si="902"/>
        <v>PDP'!</v>
      </c>
      <c r="F3791" s="34" t="str">
        <f t="shared" si="903"/>
        <v>C:\Users\jaime.benazar\Quorum Business Solutions\Ecopetrol Prometeo - Documents\Planning Space Implementation\3. Analysis &amp; Design\Design\FC22\DRR Jaime\Neiva CPI\[DINA TERCIARIOS_CF_SEC_New_27-Mar-2024.xlsx]D-PDP'!</v>
      </c>
      <c r="G3791" s="32" t="s">
        <v>125</v>
      </c>
      <c r="H3791" s="33">
        <f t="shared" si="904"/>
        <v>39</v>
      </c>
      <c r="I3791" s="33" t="str">
        <f t="shared" si="905"/>
        <v>='C:\Users\jaime.benazar\Quorum Business Solutions\Ecopetrol Prometeo - Documents\Planning Space Implementation\3. Analysis &amp; Design\Design\FC22\DRR Jaime\Neiva CPI\[DINA TERCIARIOS_CF_SEC_New_27-Mar-2024.xlsx]D-PDP'!$CB$39</v>
      </c>
      <c r="J3791" s="37" t="s">
        <v>3695</v>
      </c>
    </row>
    <row r="3792" spans="1:10" x14ac:dyDescent="0.3">
      <c r="A3792" s="32" t="s">
        <v>14</v>
      </c>
      <c r="B3792" s="32">
        <f t="shared" si="901"/>
        <v>2051</v>
      </c>
      <c r="C3792" s="33" t="s">
        <v>43</v>
      </c>
      <c r="D3792" s="34" t="s">
        <v>2002</v>
      </c>
      <c r="E3792" s="35" t="str">
        <f t="shared" si="902"/>
        <v>PDP'!</v>
      </c>
      <c r="F3792" s="34" t="str">
        <f t="shared" si="903"/>
        <v>C:\Users\jaime.benazar\Quorum Business Solutions\Ecopetrol Prometeo - Documents\Planning Space Implementation\3. Analysis &amp; Design\Design\FC22\DRR Jaime\Neiva CPI\[DINA TERCIARIOS_CF_SEC_New_27-Mar-2024.xlsx]D-PDP'!</v>
      </c>
      <c r="G3792" s="32" t="s">
        <v>125</v>
      </c>
      <c r="H3792" s="33">
        <f t="shared" si="904"/>
        <v>40</v>
      </c>
      <c r="I3792" s="33" t="str">
        <f t="shared" si="905"/>
        <v>='C:\Users\jaime.benazar\Quorum Business Solutions\Ecopetrol Prometeo - Documents\Planning Space Implementation\3. Analysis &amp; Design\Design\FC22\DRR Jaime\Neiva CPI\[DINA TERCIARIOS_CF_SEC_New_27-Mar-2024.xlsx]D-PDP'!$CB$40</v>
      </c>
      <c r="J3792" s="37" t="s">
        <v>3696</v>
      </c>
    </row>
    <row r="3793" spans="1:10" x14ac:dyDescent="0.3">
      <c r="A3793" s="32" t="s">
        <v>14</v>
      </c>
      <c r="B3793" s="32">
        <f t="shared" si="901"/>
        <v>2052</v>
      </c>
      <c r="C3793" s="33" t="s">
        <v>43</v>
      </c>
      <c r="D3793" s="34" t="s">
        <v>2002</v>
      </c>
      <c r="E3793" s="35" t="str">
        <f t="shared" si="902"/>
        <v>PDP'!</v>
      </c>
      <c r="F3793" s="34" t="str">
        <f t="shared" si="903"/>
        <v>C:\Users\jaime.benazar\Quorum Business Solutions\Ecopetrol Prometeo - Documents\Planning Space Implementation\3. Analysis &amp; Design\Design\FC22\DRR Jaime\Neiva CPI\[DINA TERCIARIOS_CF_SEC_New_27-Mar-2024.xlsx]D-PDP'!</v>
      </c>
      <c r="G3793" s="32" t="s">
        <v>125</v>
      </c>
      <c r="H3793" s="33">
        <f t="shared" si="904"/>
        <v>41</v>
      </c>
      <c r="I3793" s="33" t="str">
        <f t="shared" si="905"/>
        <v>='C:\Users\jaime.benazar\Quorum Business Solutions\Ecopetrol Prometeo - Documents\Planning Space Implementation\3. Analysis &amp; Design\Design\FC22\DRR Jaime\Neiva CPI\[DINA TERCIARIOS_CF_SEC_New_27-Mar-2024.xlsx]D-PDP'!$CB$41</v>
      </c>
      <c r="J3793" s="37" t="s">
        <v>3697</v>
      </c>
    </row>
    <row r="3794" spans="1:10" x14ac:dyDescent="0.3">
      <c r="A3794" s="32" t="s">
        <v>14</v>
      </c>
      <c r="B3794" s="32">
        <f t="shared" si="901"/>
        <v>2053</v>
      </c>
      <c r="C3794" s="33" t="s">
        <v>43</v>
      </c>
      <c r="D3794" s="34" t="s">
        <v>2002</v>
      </c>
      <c r="E3794" s="35" t="str">
        <f t="shared" si="902"/>
        <v>PDP'!</v>
      </c>
      <c r="F3794" s="34" t="str">
        <f t="shared" si="903"/>
        <v>C:\Users\jaime.benazar\Quorum Business Solutions\Ecopetrol Prometeo - Documents\Planning Space Implementation\3. Analysis &amp; Design\Design\FC22\DRR Jaime\Neiva CPI\[DINA TERCIARIOS_CF_SEC_New_27-Mar-2024.xlsx]D-PDP'!</v>
      </c>
      <c r="G3794" s="32" t="s">
        <v>125</v>
      </c>
      <c r="H3794" s="33">
        <f t="shared" si="904"/>
        <v>42</v>
      </c>
      <c r="I3794" s="33" t="str">
        <f t="shared" si="905"/>
        <v>='C:\Users\jaime.benazar\Quorum Business Solutions\Ecopetrol Prometeo - Documents\Planning Space Implementation\3. Analysis &amp; Design\Design\FC22\DRR Jaime\Neiva CPI\[DINA TERCIARIOS_CF_SEC_New_27-Mar-2024.xlsx]D-PDP'!$CB$42</v>
      </c>
      <c r="J3794" s="37" t="s">
        <v>3698</v>
      </c>
    </row>
    <row r="3795" spans="1:10" x14ac:dyDescent="0.3">
      <c r="A3795" s="32" t="s">
        <v>14</v>
      </c>
      <c r="B3795" s="32">
        <f t="shared" si="901"/>
        <v>2054</v>
      </c>
      <c r="C3795" s="33" t="s">
        <v>43</v>
      </c>
      <c r="D3795" s="34" t="s">
        <v>2002</v>
      </c>
      <c r="E3795" s="35" t="str">
        <f t="shared" si="902"/>
        <v>PDP'!</v>
      </c>
      <c r="F3795" s="34" t="str">
        <f t="shared" si="903"/>
        <v>C:\Users\jaime.benazar\Quorum Business Solutions\Ecopetrol Prometeo - Documents\Planning Space Implementation\3. Analysis &amp; Design\Design\FC22\DRR Jaime\Neiva CPI\[DINA TERCIARIOS_CF_SEC_New_27-Mar-2024.xlsx]D-PDP'!</v>
      </c>
      <c r="G3795" s="32" t="s">
        <v>125</v>
      </c>
      <c r="H3795" s="33">
        <f t="shared" si="904"/>
        <v>43</v>
      </c>
      <c r="I3795" s="33" t="str">
        <f t="shared" si="905"/>
        <v>='C:\Users\jaime.benazar\Quorum Business Solutions\Ecopetrol Prometeo - Documents\Planning Space Implementation\3. Analysis &amp; Design\Design\FC22\DRR Jaime\Neiva CPI\[DINA TERCIARIOS_CF_SEC_New_27-Mar-2024.xlsx]D-PDP'!$CB$43</v>
      </c>
      <c r="J3795" s="37" t="s">
        <v>3699</v>
      </c>
    </row>
    <row r="3796" spans="1:10" x14ac:dyDescent="0.3">
      <c r="A3796" s="32" t="s">
        <v>14</v>
      </c>
      <c r="B3796" s="32">
        <f t="shared" si="901"/>
        <v>2055</v>
      </c>
      <c r="C3796" s="33" t="s">
        <v>43</v>
      </c>
      <c r="D3796" s="34" t="s">
        <v>2002</v>
      </c>
      <c r="E3796" s="35" t="str">
        <f t="shared" si="902"/>
        <v>PDP'!</v>
      </c>
      <c r="F3796" s="34" t="str">
        <f t="shared" si="903"/>
        <v>C:\Users\jaime.benazar\Quorum Business Solutions\Ecopetrol Prometeo - Documents\Planning Space Implementation\3. Analysis &amp; Design\Design\FC22\DRR Jaime\Neiva CPI\[DINA TERCIARIOS_CF_SEC_New_27-Mar-2024.xlsx]D-PDP'!</v>
      </c>
      <c r="G3796" s="32" t="s">
        <v>125</v>
      </c>
      <c r="H3796" s="33">
        <f t="shared" si="904"/>
        <v>44</v>
      </c>
      <c r="I3796" s="33" t="str">
        <f t="shared" si="905"/>
        <v>='C:\Users\jaime.benazar\Quorum Business Solutions\Ecopetrol Prometeo - Documents\Planning Space Implementation\3. Analysis &amp; Design\Design\FC22\DRR Jaime\Neiva CPI\[DINA TERCIARIOS_CF_SEC_New_27-Mar-2024.xlsx]D-PDP'!$CB$44</v>
      </c>
      <c r="J3796" s="37" t="s">
        <v>3700</v>
      </c>
    </row>
    <row r="3797" spans="1:10" x14ac:dyDescent="0.3">
      <c r="A3797" s="32" t="s">
        <v>14</v>
      </c>
      <c r="B3797" s="32">
        <f t="shared" si="901"/>
        <v>2056</v>
      </c>
      <c r="C3797" s="33" t="s">
        <v>43</v>
      </c>
      <c r="D3797" s="34" t="s">
        <v>2002</v>
      </c>
      <c r="E3797" s="35" t="str">
        <f t="shared" si="902"/>
        <v>PDP'!</v>
      </c>
      <c r="F3797" s="34" t="str">
        <f t="shared" si="903"/>
        <v>C:\Users\jaime.benazar\Quorum Business Solutions\Ecopetrol Prometeo - Documents\Planning Space Implementation\3. Analysis &amp; Design\Design\FC22\DRR Jaime\Neiva CPI\[DINA TERCIARIOS_CF_SEC_New_27-Mar-2024.xlsx]D-PDP'!</v>
      </c>
      <c r="G3797" s="32" t="s">
        <v>125</v>
      </c>
      <c r="H3797" s="33">
        <f t="shared" si="904"/>
        <v>45</v>
      </c>
      <c r="I3797" s="33" t="str">
        <f t="shared" si="905"/>
        <v>='C:\Users\jaime.benazar\Quorum Business Solutions\Ecopetrol Prometeo - Documents\Planning Space Implementation\3. Analysis &amp; Design\Design\FC22\DRR Jaime\Neiva CPI\[DINA TERCIARIOS_CF_SEC_New_27-Mar-2024.xlsx]D-PDP'!$CB$45</v>
      </c>
      <c r="J3797" s="37" t="s">
        <v>3701</v>
      </c>
    </row>
    <row r="3798" spans="1:10" x14ac:dyDescent="0.3">
      <c r="A3798" s="32" t="s">
        <v>14</v>
      </c>
      <c r="B3798" s="32">
        <f t="shared" si="901"/>
        <v>2057</v>
      </c>
      <c r="C3798" s="33" t="s">
        <v>43</v>
      </c>
      <c r="D3798" s="34" t="s">
        <v>2002</v>
      </c>
      <c r="E3798" s="35" t="str">
        <f t="shared" si="902"/>
        <v>PDP'!</v>
      </c>
      <c r="F3798" s="34" t="str">
        <f t="shared" si="903"/>
        <v>C:\Users\jaime.benazar\Quorum Business Solutions\Ecopetrol Prometeo - Documents\Planning Space Implementation\3. Analysis &amp; Design\Design\FC22\DRR Jaime\Neiva CPI\[DINA TERCIARIOS_CF_SEC_New_27-Mar-2024.xlsx]D-PDP'!</v>
      </c>
      <c r="G3798" s="32" t="s">
        <v>125</v>
      </c>
      <c r="H3798" s="33">
        <f t="shared" si="904"/>
        <v>46</v>
      </c>
      <c r="I3798" s="33" t="str">
        <f t="shared" si="905"/>
        <v>='C:\Users\jaime.benazar\Quorum Business Solutions\Ecopetrol Prometeo - Documents\Planning Space Implementation\3. Analysis &amp; Design\Design\FC22\DRR Jaime\Neiva CPI\[DINA TERCIARIOS_CF_SEC_New_27-Mar-2024.xlsx]D-PDP'!$CB$46</v>
      </c>
      <c r="J3798" s="37" t="s">
        <v>3702</v>
      </c>
    </row>
    <row r="3799" spans="1:10" x14ac:dyDescent="0.3">
      <c r="A3799" s="32" t="s">
        <v>14</v>
      </c>
      <c r="B3799" s="32">
        <f t="shared" si="901"/>
        <v>2058</v>
      </c>
      <c r="C3799" s="33" t="s">
        <v>43</v>
      </c>
      <c r="D3799" s="34" t="s">
        <v>2002</v>
      </c>
      <c r="E3799" s="35" t="str">
        <f t="shared" si="902"/>
        <v>PDP'!</v>
      </c>
      <c r="F3799" s="34" t="str">
        <f t="shared" si="903"/>
        <v>C:\Users\jaime.benazar\Quorum Business Solutions\Ecopetrol Prometeo - Documents\Planning Space Implementation\3. Analysis &amp; Design\Design\FC22\DRR Jaime\Neiva CPI\[DINA TERCIARIOS_CF_SEC_New_27-Mar-2024.xlsx]D-PDP'!</v>
      </c>
      <c r="G3799" s="32" t="s">
        <v>125</v>
      </c>
      <c r="H3799" s="33">
        <f t="shared" si="904"/>
        <v>47</v>
      </c>
      <c r="I3799" s="33" t="str">
        <f t="shared" si="905"/>
        <v>='C:\Users\jaime.benazar\Quorum Business Solutions\Ecopetrol Prometeo - Documents\Planning Space Implementation\3. Analysis &amp; Design\Design\FC22\DRR Jaime\Neiva CPI\[DINA TERCIARIOS_CF_SEC_New_27-Mar-2024.xlsx]D-PDP'!$CB$47</v>
      </c>
      <c r="J3799" s="37" t="s">
        <v>3703</v>
      </c>
    </row>
    <row r="3800" spans="1:10" x14ac:dyDescent="0.3">
      <c r="A3800" s="32" t="s">
        <v>14</v>
      </c>
      <c r="B3800" s="32">
        <f t="shared" si="901"/>
        <v>2059</v>
      </c>
      <c r="C3800" s="33" t="s">
        <v>43</v>
      </c>
      <c r="D3800" s="34" t="s">
        <v>2002</v>
      </c>
      <c r="E3800" s="35" t="str">
        <f t="shared" si="902"/>
        <v>PDP'!</v>
      </c>
      <c r="F3800" s="34" t="str">
        <f t="shared" si="903"/>
        <v>C:\Users\jaime.benazar\Quorum Business Solutions\Ecopetrol Prometeo - Documents\Planning Space Implementation\3. Analysis &amp; Design\Design\FC22\DRR Jaime\Neiva CPI\[DINA TERCIARIOS_CF_SEC_New_27-Mar-2024.xlsx]D-PDP'!</v>
      </c>
      <c r="G3800" s="32" t="s">
        <v>125</v>
      </c>
      <c r="H3800" s="33">
        <f t="shared" si="904"/>
        <v>48</v>
      </c>
      <c r="I3800" s="33" t="str">
        <f t="shared" si="905"/>
        <v>='C:\Users\jaime.benazar\Quorum Business Solutions\Ecopetrol Prometeo - Documents\Planning Space Implementation\3. Analysis &amp; Design\Design\FC22\DRR Jaime\Neiva CPI\[DINA TERCIARIOS_CF_SEC_New_27-Mar-2024.xlsx]D-PDP'!$CB$48</v>
      </c>
      <c r="J3800" s="37" t="s">
        <v>3704</v>
      </c>
    </row>
    <row r="3801" spans="1:10" x14ac:dyDescent="0.3">
      <c r="A3801" s="32" t="s">
        <v>26</v>
      </c>
      <c r="B3801" s="32"/>
      <c r="C3801" s="33" t="s">
        <v>43</v>
      </c>
      <c r="D3801" s="34"/>
      <c r="E3801" s="35" t="str">
        <f t="shared" si="897"/>
        <v>Total'!</v>
      </c>
      <c r="F3801" s="34"/>
      <c r="G3801" s="32"/>
      <c r="H3801" s="33"/>
      <c r="I3801" s="33"/>
      <c r="J3801" s="33"/>
    </row>
    <row r="3802" spans="1:10" x14ac:dyDescent="0.3">
      <c r="A3802" s="32" t="s">
        <v>15</v>
      </c>
      <c r="B3802" s="32">
        <v>2023</v>
      </c>
      <c r="C3802" s="33" t="s">
        <v>43</v>
      </c>
      <c r="D3802" s="34" t="s">
        <v>2002</v>
      </c>
      <c r="E3802" s="35" t="str">
        <f t="shared" si="897"/>
        <v>PNP'!</v>
      </c>
      <c r="F3802" s="34" t="str">
        <f t="shared" ref="F3802:F3822" si="906">_xlfn.CONCAT(D3802:E3802)</f>
        <v>C:\Users\jaime.benazar\Quorum Business Solutions\Ecopetrol Prometeo - Documents\Planning Space Implementation\3. Analysis &amp; Design\Design\FC22\DRR Jaime\Neiva CPI\[DINA TERCIARIOS_CF_SEC_New_27-Mar-2024.xlsx]D-PNP'!</v>
      </c>
      <c r="G3802" s="32" t="s">
        <v>125</v>
      </c>
      <c r="H3802" s="33">
        <v>12</v>
      </c>
      <c r="I3802" s="33" t="str">
        <f t="shared" ref="I3802:I3822" si="907">_xlfn.CONCAT("='",F3802:H3802)</f>
        <v>='C:\Users\jaime.benazar\Quorum Business Solutions\Ecopetrol Prometeo - Documents\Planning Space Implementation\3. Analysis &amp; Design\Design\FC22\DRR Jaime\Neiva CPI\[DINA TERCIARIOS_CF_SEC_New_27-Mar-2024.xlsx]D-PNP'!$CB$12</v>
      </c>
      <c r="J3802" s="37" t="s">
        <v>3705</v>
      </c>
    </row>
    <row r="3803" spans="1:10" x14ac:dyDescent="0.3">
      <c r="A3803" s="32" t="s">
        <v>15</v>
      </c>
      <c r="B3803" s="32">
        <f>+B3802+1</f>
        <v>2024</v>
      </c>
      <c r="C3803" s="33" t="s">
        <v>43</v>
      </c>
      <c r="D3803" s="34" t="s">
        <v>2002</v>
      </c>
      <c r="E3803" s="35" t="str">
        <f t="shared" si="897"/>
        <v>PNP'!</v>
      </c>
      <c r="F3803" s="34" t="str">
        <f t="shared" si="906"/>
        <v>C:\Users\jaime.benazar\Quorum Business Solutions\Ecopetrol Prometeo - Documents\Planning Space Implementation\3. Analysis &amp; Design\Design\FC22\DRR Jaime\Neiva CPI\[DINA TERCIARIOS_CF_SEC_New_27-Mar-2024.xlsx]D-PNP'!</v>
      </c>
      <c r="G3803" s="32" t="s">
        <v>125</v>
      </c>
      <c r="H3803" s="33">
        <f t="shared" ref="H3803:H3822" si="908">IF(A3803&lt;&gt;A3802,12,H3802+1)</f>
        <v>13</v>
      </c>
      <c r="I3803" s="33" t="str">
        <f t="shared" si="907"/>
        <v>='C:\Users\jaime.benazar\Quorum Business Solutions\Ecopetrol Prometeo - Documents\Planning Space Implementation\3. Analysis &amp; Design\Design\FC22\DRR Jaime\Neiva CPI\[DINA TERCIARIOS_CF_SEC_New_27-Mar-2024.xlsx]D-PNP'!$CB$13</v>
      </c>
      <c r="J3803" s="37" t="s">
        <v>3706</v>
      </c>
    </row>
    <row r="3804" spans="1:10" x14ac:dyDescent="0.3">
      <c r="A3804" s="32" t="s">
        <v>15</v>
      </c>
      <c r="B3804" s="32">
        <f t="shared" ref="B3804:B3815" si="909">+B3803+1</f>
        <v>2025</v>
      </c>
      <c r="C3804" s="33" t="s">
        <v>43</v>
      </c>
      <c r="D3804" s="34" t="s">
        <v>2002</v>
      </c>
      <c r="E3804" s="35" t="str">
        <f t="shared" si="897"/>
        <v>PNP'!</v>
      </c>
      <c r="F3804" s="34" t="str">
        <f t="shared" si="906"/>
        <v>C:\Users\jaime.benazar\Quorum Business Solutions\Ecopetrol Prometeo - Documents\Planning Space Implementation\3. Analysis &amp; Design\Design\FC22\DRR Jaime\Neiva CPI\[DINA TERCIARIOS_CF_SEC_New_27-Mar-2024.xlsx]D-PNP'!</v>
      </c>
      <c r="G3804" s="32" t="s">
        <v>125</v>
      </c>
      <c r="H3804" s="33">
        <f t="shared" si="908"/>
        <v>14</v>
      </c>
      <c r="I3804" s="33" t="str">
        <f t="shared" si="907"/>
        <v>='C:\Users\jaime.benazar\Quorum Business Solutions\Ecopetrol Prometeo - Documents\Planning Space Implementation\3. Analysis &amp; Design\Design\FC22\DRR Jaime\Neiva CPI\[DINA TERCIARIOS_CF_SEC_New_27-Mar-2024.xlsx]D-PNP'!$CB$14</v>
      </c>
      <c r="J3804" s="37" t="s">
        <v>3707</v>
      </c>
    </row>
    <row r="3805" spans="1:10" x14ac:dyDescent="0.3">
      <c r="A3805" s="32" t="s">
        <v>15</v>
      </c>
      <c r="B3805" s="32">
        <f t="shared" si="909"/>
        <v>2026</v>
      </c>
      <c r="C3805" s="33" t="s">
        <v>43</v>
      </c>
      <c r="D3805" s="34" t="s">
        <v>2002</v>
      </c>
      <c r="E3805" s="35" t="str">
        <f t="shared" si="897"/>
        <v>PNP'!</v>
      </c>
      <c r="F3805" s="34" t="str">
        <f t="shared" si="906"/>
        <v>C:\Users\jaime.benazar\Quorum Business Solutions\Ecopetrol Prometeo - Documents\Planning Space Implementation\3. Analysis &amp; Design\Design\FC22\DRR Jaime\Neiva CPI\[DINA TERCIARIOS_CF_SEC_New_27-Mar-2024.xlsx]D-PNP'!</v>
      </c>
      <c r="G3805" s="32" t="s">
        <v>125</v>
      </c>
      <c r="H3805" s="33">
        <f t="shared" si="908"/>
        <v>15</v>
      </c>
      <c r="I3805" s="33" t="str">
        <f t="shared" si="907"/>
        <v>='C:\Users\jaime.benazar\Quorum Business Solutions\Ecopetrol Prometeo - Documents\Planning Space Implementation\3. Analysis &amp; Design\Design\FC22\DRR Jaime\Neiva CPI\[DINA TERCIARIOS_CF_SEC_New_27-Mar-2024.xlsx]D-PNP'!$CB$15</v>
      </c>
      <c r="J3805" s="37" t="s">
        <v>3708</v>
      </c>
    </row>
    <row r="3806" spans="1:10" x14ac:dyDescent="0.3">
      <c r="A3806" s="32" t="s">
        <v>15</v>
      </c>
      <c r="B3806" s="32">
        <f t="shared" si="909"/>
        <v>2027</v>
      </c>
      <c r="C3806" s="33" t="s">
        <v>43</v>
      </c>
      <c r="D3806" s="34" t="s">
        <v>2002</v>
      </c>
      <c r="E3806" s="35" t="str">
        <f t="shared" si="897"/>
        <v>PNP'!</v>
      </c>
      <c r="F3806" s="34" t="str">
        <f t="shared" si="906"/>
        <v>C:\Users\jaime.benazar\Quorum Business Solutions\Ecopetrol Prometeo - Documents\Planning Space Implementation\3. Analysis &amp; Design\Design\FC22\DRR Jaime\Neiva CPI\[DINA TERCIARIOS_CF_SEC_New_27-Mar-2024.xlsx]D-PNP'!</v>
      </c>
      <c r="G3806" s="32" t="s">
        <v>125</v>
      </c>
      <c r="H3806" s="33">
        <f t="shared" si="908"/>
        <v>16</v>
      </c>
      <c r="I3806" s="33" t="str">
        <f t="shared" si="907"/>
        <v>='C:\Users\jaime.benazar\Quorum Business Solutions\Ecopetrol Prometeo - Documents\Planning Space Implementation\3. Analysis &amp; Design\Design\FC22\DRR Jaime\Neiva CPI\[DINA TERCIARIOS_CF_SEC_New_27-Mar-2024.xlsx]D-PNP'!$CB$16</v>
      </c>
      <c r="J3806" s="37" t="s">
        <v>3709</v>
      </c>
    </row>
    <row r="3807" spans="1:10" x14ac:dyDescent="0.3">
      <c r="A3807" s="32" t="s">
        <v>15</v>
      </c>
      <c r="B3807" s="32">
        <f t="shared" si="909"/>
        <v>2028</v>
      </c>
      <c r="C3807" s="33" t="s">
        <v>43</v>
      </c>
      <c r="D3807" s="34" t="s">
        <v>2002</v>
      </c>
      <c r="E3807" s="35" t="str">
        <f t="shared" si="897"/>
        <v>PNP'!</v>
      </c>
      <c r="F3807" s="34" t="str">
        <f t="shared" si="906"/>
        <v>C:\Users\jaime.benazar\Quorum Business Solutions\Ecopetrol Prometeo - Documents\Planning Space Implementation\3. Analysis &amp; Design\Design\FC22\DRR Jaime\Neiva CPI\[DINA TERCIARIOS_CF_SEC_New_27-Mar-2024.xlsx]D-PNP'!</v>
      </c>
      <c r="G3807" s="32" t="s">
        <v>125</v>
      </c>
      <c r="H3807" s="33">
        <f t="shared" si="908"/>
        <v>17</v>
      </c>
      <c r="I3807" s="33" t="str">
        <f t="shared" si="907"/>
        <v>='C:\Users\jaime.benazar\Quorum Business Solutions\Ecopetrol Prometeo - Documents\Planning Space Implementation\3. Analysis &amp; Design\Design\FC22\DRR Jaime\Neiva CPI\[DINA TERCIARIOS_CF_SEC_New_27-Mar-2024.xlsx]D-PNP'!$CB$17</v>
      </c>
      <c r="J3807" s="37" t="s">
        <v>3710</v>
      </c>
    </row>
    <row r="3808" spans="1:10" x14ac:dyDescent="0.3">
      <c r="A3808" s="32" t="s">
        <v>15</v>
      </c>
      <c r="B3808" s="32">
        <f t="shared" si="909"/>
        <v>2029</v>
      </c>
      <c r="C3808" s="33" t="s">
        <v>43</v>
      </c>
      <c r="D3808" s="34" t="s">
        <v>2002</v>
      </c>
      <c r="E3808" s="35" t="str">
        <f t="shared" si="897"/>
        <v>PNP'!</v>
      </c>
      <c r="F3808" s="34" t="str">
        <f t="shared" si="906"/>
        <v>C:\Users\jaime.benazar\Quorum Business Solutions\Ecopetrol Prometeo - Documents\Planning Space Implementation\3. Analysis &amp; Design\Design\FC22\DRR Jaime\Neiva CPI\[DINA TERCIARIOS_CF_SEC_New_27-Mar-2024.xlsx]D-PNP'!</v>
      </c>
      <c r="G3808" s="32" t="s">
        <v>125</v>
      </c>
      <c r="H3808" s="33">
        <f t="shared" si="908"/>
        <v>18</v>
      </c>
      <c r="I3808" s="33" t="str">
        <f t="shared" si="907"/>
        <v>='C:\Users\jaime.benazar\Quorum Business Solutions\Ecopetrol Prometeo - Documents\Planning Space Implementation\3. Analysis &amp; Design\Design\FC22\DRR Jaime\Neiva CPI\[DINA TERCIARIOS_CF_SEC_New_27-Mar-2024.xlsx]D-PNP'!$CB$18</v>
      </c>
      <c r="J3808" s="37" t="s">
        <v>3711</v>
      </c>
    </row>
    <row r="3809" spans="1:10" x14ac:dyDescent="0.3">
      <c r="A3809" s="32" t="s">
        <v>15</v>
      </c>
      <c r="B3809" s="32">
        <f t="shared" si="909"/>
        <v>2030</v>
      </c>
      <c r="C3809" s="33" t="s">
        <v>43</v>
      </c>
      <c r="D3809" s="34" t="s">
        <v>2002</v>
      </c>
      <c r="E3809" s="35" t="str">
        <f t="shared" si="897"/>
        <v>PNP'!</v>
      </c>
      <c r="F3809" s="34" t="str">
        <f t="shared" si="906"/>
        <v>C:\Users\jaime.benazar\Quorum Business Solutions\Ecopetrol Prometeo - Documents\Planning Space Implementation\3. Analysis &amp; Design\Design\FC22\DRR Jaime\Neiva CPI\[DINA TERCIARIOS_CF_SEC_New_27-Mar-2024.xlsx]D-PNP'!</v>
      </c>
      <c r="G3809" s="32" t="s">
        <v>125</v>
      </c>
      <c r="H3809" s="33">
        <f t="shared" si="908"/>
        <v>19</v>
      </c>
      <c r="I3809" s="33" t="str">
        <f t="shared" si="907"/>
        <v>='C:\Users\jaime.benazar\Quorum Business Solutions\Ecopetrol Prometeo - Documents\Planning Space Implementation\3. Analysis &amp; Design\Design\FC22\DRR Jaime\Neiva CPI\[DINA TERCIARIOS_CF_SEC_New_27-Mar-2024.xlsx]D-PNP'!$CB$19</v>
      </c>
      <c r="J3809" s="37" t="s">
        <v>3712</v>
      </c>
    </row>
    <row r="3810" spans="1:10" x14ac:dyDescent="0.3">
      <c r="A3810" s="32" t="s">
        <v>15</v>
      </c>
      <c r="B3810" s="32">
        <f t="shared" si="909"/>
        <v>2031</v>
      </c>
      <c r="C3810" s="33" t="s">
        <v>43</v>
      </c>
      <c r="D3810" s="34" t="s">
        <v>2002</v>
      </c>
      <c r="E3810" s="35" t="str">
        <f t="shared" si="897"/>
        <v>PNP'!</v>
      </c>
      <c r="F3810" s="34" t="str">
        <f t="shared" si="906"/>
        <v>C:\Users\jaime.benazar\Quorum Business Solutions\Ecopetrol Prometeo - Documents\Planning Space Implementation\3. Analysis &amp; Design\Design\FC22\DRR Jaime\Neiva CPI\[DINA TERCIARIOS_CF_SEC_New_27-Mar-2024.xlsx]D-PNP'!</v>
      </c>
      <c r="G3810" s="32" t="s">
        <v>125</v>
      </c>
      <c r="H3810" s="33">
        <f t="shared" si="908"/>
        <v>20</v>
      </c>
      <c r="I3810" s="33" t="str">
        <f t="shared" si="907"/>
        <v>='C:\Users\jaime.benazar\Quorum Business Solutions\Ecopetrol Prometeo - Documents\Planning Space Implementation\3. Analysis &amp; Design\Design\FC22\DRR Jaime\Neiva CPI\[DINA TERCIARIOS_CF_SEC_New_27-Mar-2024.xlsx]D-PNP'!$CB$20</v>
      </c>
      <c r="J3810" s="37" t="s">
        <v>3713</v>
      </c>
    </row>
    <row r="3811" spans="1:10" x14ac:dyDescent="0.3">
      <c r="A3811" s="32" t="s">
        <v>15</v>
      </c>
      <c r="B3811" s="32">
        <f t="shared" si="909"/>
        <v>2032</v>
      </c>
      <c r="C3811" s="33" t="s">
        <v>43</v>
      </c>
      <c r="D3811" s="34" t="s">
        <v>2002</v>
      </c>
      <c r="E3811" s="35" t="str">
        <f t="shared" si="897"/>
        <v>PNP'!</v>
      </c>
      <c r="F3811" s="34" t="str">
        <f t="shared" si="906"/>
        <v>C:\Users\jaime.benazar\Quorum Business Solutions\Ecopetrol Prometeo - Documents\Planning Space Implementation\3. Analysis &amp; Design\Design\FC22\DRR Jaime\Neiva CPI\[DINA TERCIARIOS_CF_SEC_New_27-Mar-2024.xlsx]D-PNP'!</v>
      </c>
      <c r="G3811" s="32" t="s">
        <v>125</v>
      </c>
      <c r="H3811" s="33">
        <f t="shared" si="908"/>
        <v>21</v>
      </c>
      <c r="I3811" s="33" t="str">
        <f t="shared" si="907"/>
        <v>='C:\Users\jaime.benazar\Quorum Business Solutions\Ecopetrol Prometeo - Documents\Planning Space Implementation\3. Analysis &amp; Design\Design\FC22\DRR Jaime\Neiva CPI\[DINA TERCIARIOS_CF_SEC_New_27-Mar-2024.xlsx]D-PNP'!$CB$21</v>
      </c>
      <c r="J3811" s="37" t="s">
        <v>3714</v>
      </c>
    </row>
    <row r="3812" spans="1:10" x14ac:dyDescent="0.3">
      <c r="A3812" s="32" t="s">
        <v>15</v>
      </c>
      <c r="B3812" s="32">
        <f t="shared" si="909"/>
        <v>2033</v>
      </c>
      <c r="C3812" s="33" t="s">
        <v>43</v>
      </c>
      <c r="D3812" s="34" t="s">
        <v>2002</v>
      </c>
      <c r="E3812" s="35" t="str">
        <f t="shared" si="897"/>
        <v>PNP'!</v>
      </c>
      <c r="F3812" s="34" t="str">
        <f t="shared" si="906"/>
        <v>C:\Users\jaime.benazar\Quorum Business Solutions\Ecopetrol Prometeo - Documents\Planning Space Implementation\3. Analysis &amp; Design\Design\FC22\DRR Jaime\Neiva CPI\[DINA TERCIARIOS_CF_SEC_New_27-Mar-2024.xlsx]D-PNP'!</v>
      </c>
      <c r="G3812" s="32" t="s">
        <v>125</v>
      </c>
      <c r="H3812" s="33">
        <f t="shared" si="908"/>
        <v>22</v>
      </c>
      <c r="I3812" s="33" t="str">
        <f t="shared" si="907"/>
        <v>='C:\Users\jaime.benazar\Quorum Business Solutions\Ecopetrol Prometeo - Documents\Planning Space Implementation\3. Analysis &amp; Design\Design\FC22\DRR Jaime\Neiva CPI\[DINA TERCIARIOS_CF_SEC_New_27-Mar-2024.xlsx]D-PNP'!$CB$22</v>
      </c>
      <c r="J3812" s="37" t="s">
        <v>3715</v>
      </c>
    </row>
    <row r="3813" spans="1:10" x14ac:dyDescent="0.3">
      <c r="A3813" s="32" t="s">
        <v>15</v>
      </c>
      <c r="B3813" s="32">
        <f t="shared" si="909"/>
        <v>2034</v>
      </c>
      <c r="C3813" s="33" t="s">
        <v>43</v>
      </c>
      <c r="D3813" s="34" t="s">
        <v>2002</v>
      </c>
      <c r="E3813" s="35" t="str">
        <f t="shared" si="897"/>
        <v>PNP'!</v>
      </c>
      <c r="F3813" s="34" t="str">
        <f t="shared" si="906"/>
        <v>C:\Users\jaime.benazar\Quorum Business Solutions\Ecopetrol Prometeo - Documents\Planning Space Implementation\3. Analysis &amp; Design\Design\FC22\DRR Jaime\Neiva CPI\[DINA TERCIARIOS_CF_SEC_New_27-Mar-2024.xlsx]D-PNP'!</v>
      </c>
      <c r="G3813" s="32" t="s">
        <v>125</v>
      </c>
      <c r="H3813" s="33">
        <f t="shared" si="908"/>
        <v>23</v>
      </c>
      <c r="I3813" s="33" t="str">
        <f t="shared" si="907"/>
        <v>='C:\Users\jaime.benazar\Quorum Business Solutions\Ecopetrol Prometeo - Documents\Planning Space Implementation\3. Analysis &amp; Design\Design\FC22\DRR Jaime\Neiva CPI\[DINA TERCIARIOS_CF_SEC_New_27-Mar-2024.xlsx]D-PNP'!$CB$23</v>
      </c>
      <c r="J3813" s="37" t="s">
        <v>3716</v>
      </c>
    </row>
    <row r="3814" spans="1:10" x14ac:dyDescent="0.3">
      <c r="A3814" s="32" t="s">
        <v>15</v>
      </c>
      <c r="B3814" s="32">
        <f t="shared" si="909"/>
        <v>2035</v>
      </c>
      <c r="C3814" s="33" t="s">
        <v>43</v>
      </c>
      <c r="D3814" s="34" t="s">
        <v>2002</v>
      </c>
      <c r="E3814" s="35" t="str">
        <f t="shared" si="897"/>
        <v>PNP'!</v>
      </c>
      <c r="F3814" s="34" t="str">
        <f t="shared" si="906"/>
        <v>C:\Users\jaime.benazar\Quorum Business Solutions\Ecopetrol Prometeo - Documents\Planning Space Implementation\3. Analysis &amp; Design\Design\FC22\DRR Jaime\Neiva CPI\[DINA TERCIARIOS_CF_SEC_New_27-Mar-2024.xlsx]D-PNP'!</v>
      </c>
      <c r="G3814" s="32" t="s">
        <v>125</v>
      </c>
      <c r="H3814" s="33">
        <f t="shared" si="908"/>
        <v>24</v>
      </c>
      <c r="I3814" s="33" t="str">
        <f t="shared" si="907"/>
        <v>='C:\Users\jaime.benazar\Quorum Business Solutions\Ecopetrol Prometeo - Documents\Planning Space Implementation\3. Analysis &amp; Design\Design\FC22\DRR Jaime\Neiva CPI\[DINA TERCIARIOS_CF_SEC_New_27-Mar-2024.xlsx]D-PNP'!$CB$24</v>
      </c>
      <c r="J3814" s="37" t="s">
        <v>3717</v>
      </c>
    </row>
    <row r="3815" spans="1:10" x14ac:dyDescent="0.3">
      <c r="A3815" s="32" t="s">
        <v>15</v>
      </c>
      <c r="B3815" s="32">
        <f t="shared" si="909"/>
        <v>2036</v>
      </c>
      <c r="C3815" s="33" t="s">
        <v>43</v>
      </c>
      <c r="D3815" s="34" t="s">
        <v>2002</v>
      </c>
      <c r="E3815" s="35" t="str">
        <f t="shared" si="897"/>
        <v>PNP'!</v>
      </c>
      <c r="F3815" s="34" t="str">
        <f t="shared" si="906"/>
        <v>C:\Users\jaime.benazar\Quorum Business Solutions\Ecopetrol Prometeo - Documents\Planning Space Implementation\3. Analysis &amp; Design\Design\FC22\DRR Jaime\Neiva CPI\[DINA TERCIARIOS_CF_SEC_New_27-Mar-2024.xlsx]D-PNP'!</v>
      </c>
      <c r="G3815" s="32" t="s">
        <v>125</v>
      </c>
      <c r="H3815" s="33">
        <f t="shared" si="908"/>
        <v>25</v>
      </c>
      <c r="I3815" s="33" t="str">
        <f t="shared" si="907"/>
        <v>='C:\Users\jaime.benazar\Quorum Business Solutions\Ecopetrol Prometeo - Documents\Planning Space Implementation\3. Analysis &amp; Design\Design\FC22\DRR Jaime\Neiva CPI\[DINA TERCIARIOS_CF_SEC_New_27-Mar-2024.xlsx]D-PNP'!$CB$25</v>
      </c>
      <c r="J3815" s="37" t="s">
        <v>3718</v>
      </c>
    </row>
    <row r="3816" spans="1:10" x14ac:dyDescent="0.3">
      <c r="A3816" s="32" t="s">
        <v>15</v>
      </c>
      <c r="B3816" s="32">
        <f>+B3815+1</f>
        <v>2037</v>
      </c>
      <c r="C3816" s="33" t="s">
        <v>43</v>
      </c>
      <c r="D3816" s="34" t="s">
        <v>2002</v>
      </c>
      <c r="E3816" s="35" t="str">
        <f t="shared" si="897"/>
        <v>PNP'!</v>
      </c>
      <c r="F3816" s="34" t="str">
        <f t="shared" si="906"/>
        <v>C:\Users\jaime.benazar\Quorum Business Solutions\Ecopetrol Prometeo - Documents\Planning Space Implementation\3. Analysis &amp; Design\Design\FC22\DRR Jaime\Neiva CPI\[DINA TERCIARIOS_CF_SEC_New_27-Mar-2024.xlsx]D-PNP'!</v>
      </c>
      <c r="G3816" s="32" t="s">
        <v>125</v>
      </c>
      <c r="H3816" s="33">
        <f t="shared" si="908"/>
        <v>26</v>
      </c>
      <c r="I3816" s="33" t="str">
        <f t="shared" si="907"/>
        <v>='C:\Users\jaime.benazar\Quorum Business Solutions\Ecopetrol Prometeo - Documents\Planning Space Implementation\3. Analysis &amp; Design\Design\FC22\DRR Jaime\Neiva CPI\[DINA TERCIARIOS_CF_SEC_New_27-Mar-2024.xlsx]D-PNP'!$CB$26</v>
      </c>
      <c r="J3816" s="37" t="s">
        <v>3719</v>
      </c>
    </row>
    <row r="3817" spans="1:10" x14ac:dyDescent="0.3">
      <c r="A3817" s="32" t="s">
        <v>15</v>
      </c>
      <c r="B3817" s="32">
        <f t="shared" ref="B3817:B3819" si="910">+B3816+1</f>
        <v>2038</v>
      </c>
      <c r="C3817" s="33" t="s">
        <v>43</v>
      </c>
      <c r="D3817" s="34" t="s">
        <v>2002</v>
      </c>
      <c r="E3817" s="35" t="str">
        <f t="shared" si="897"/>
        <v>PNP'!</v>
      </c>
      <c r="F3817" s="34" t="str">
        <f t="shared" si="906"/>
        <v>C:\Users\jaime.benazar\Quorum Business Solutions\Ecopetrol Prometeo - Documents\Planning Space Implementation\3. Analysis &amp; Design\Design\FC22\DRR Jaime\Neiva CPI\[DINA TERCIARIOS_CF_SEC_New_27-Mar-2024.xlsx]D-PNP'!</v>
      </c>
      <c r="G3817" s="32" t="s">
        <v>125</v>
      </c>
      <c r="H3817" s="33">
        <f t="shared" si="908"/>
        <v>27</v>
      </c>
      <c r="I3817" s="33" t="str">
        <f t="shared" si="907"/>
        <v>='C:\Users\jaime.benazar\Quorum Business Solutions\Ecopetrol Prometeo - Documents\Planning Space Implementation\3. Analysis &amp; Design\Design\FC22\DRR Jaime\Neiva CPI\[DINA TERCIARIOS_CF_SEC_New_27-Mar-2024.xlsx]D-PNP'!$CB$27</v>
      </c>
      <c r="J3817" s="37" t="s">
        <v>3720</v>
      </c>
    </row>
    <row r="3818" spans="1:10" x14ac:dyDescent="0.3">
      <c r="A3818" s="32" t="s">
        <v>15</v>
      </c>
      <c r="B3818" s="32">
        <f t="shared" si="910"/>
        <v>2039</v>
      </c>
      <c r="C3818" s="33" t="s">
        <v>43</v>
      </c>
      <c r="D3818" s="34" t="s">
        <v>2002</v>
      </c>
      <c r="E3818" s="35" t="str">
        <f t="shared" si="897"/>
        <v>PNP'!</v>
      </c>
      <c r="F3818" s="34" t="str">
        <f t="shared" si="906"/>
        <v>C:\Users\jaime.benazar\Quorum Business Solutions\Ecopetrol Prometeo - Documents\Planning Space Implementation\3. Analysis &amp; Design\Design\FC22\DRR Jaime\Neiva CPI\[DINA TERCIARIOS_CF_SEC_New_27-Mar-2024.xlsx]D-PNP'!</v>
      </c>
      <c r="G3818" s="32" t="s">
        <v>125</v>
      </c>
      <c r="H3818" s="33">
        <f t="shared" si="908"/>
        <v>28</v>
      </c>
      <c r="I3818" s="33" t="str">
        <f t="shared" si="907"/>
        <v>='C:\Users\jaime.benazar\Quorum Business Solutions\Ecopetrol Prometeo - Documents\Planning Space Implementation\3. Analysis &amp; Design\Design\FC22\DRR Jaime\Neiva CPI\[DINA TERCIARIOS_CF_SEC_New_27-Mar-2024.xlsx]D-PNP'!$CB$28</v>
      </c>
      <c r="J3818" s="37" t="s">
        <v>3721</v>
      </c>
    </row>
    <row r="3819" spans="1:10" x14ac:dyDescent="0.3">
      <c r="A3819" s="32" t="s">
        <v>15</v>
      </c>
      <c r="B3819" s="32">
        <f t="shared" si="910"/>
        <v>2040</v>
      </c>
      <c r="C3819" s="33" t="s">
        <v>43</v>
      </c>
      <c r="D3819" s="34" t="s">
        <v>2002</v>
      </c>
      <c r="E3819" s="35" t="str">
        <f t="shared" si="897"/>
        <v>PNP'!</v>
      </c>
      <c r="F3819" s="34" t="str">
        <f t="shared" si="906"/>
        <v>C:\Users\jaime.benazar\Quorum Business Solutions\Ecopetrol Prometeo - Documents\Planning Space Implementation\3. Analysis &amp; Design\Design\FC22\DRR Jaime\Neiva CPI\[DINA TERCIARIOS_CF_SEC_New_27-Mar-2024.xlsx]D-PNP'!</v>
      </c>
      <c r="G3819" s="32" t="s">
        <v>125</v>
      </c>
      <c r="H3819" s="33">
        <f t="shared" si="908"/>
        <v>29</v>
      </c>
      <c r="I3819" s="33" t="str">
        <f t="shared" si="907"/>
        <v>='C:\Users\jaime.benazar\Quorum Business Solutions\Ecopetrol Prometeo - Documents\Planning Space Implementation\3. Analysis &amp; Design\Design\FC22\DRR Jaime\Neiva CPI\[DINA TERCIARIOS_CF_SEC_New_27-Mar-2024.xlsx]D-PNP'!$CB$29</v>
      </c>
      <c r="J3819" s="37" t="s">
        <v>3722</v>
      </c>
    </row>
    <row r="3820" spans="1:10" x14ac:dyDescent="0.3">
      <c r="A3820" s="32" t="s">
        <v>15</v>
      </c>
      <c r="B3820" s="32">
        <f>+B3819+1</f>
        <v>2041</v>
      </c>
      <c r="C3820" s="33" t="s">
        <v>43</v>
      </c>
      <c r="D3820" s="34" t="s">
        <v>2002</v>
      </c>
      <c r="E3820" s="35" t="str">
        <f t="shared" si="897"/>
        <v>PNP'!</v>
      </c>
      <c r="F3820" s="34" t="str">
        <f t="shared" si="906"/>
        <v>C:\Users\jaime.benazar\Quorum Business Solutions\Ecopetrol Prometeo - Documents\Planning Space Implementation\3. Analysis &amp; Design\Design\FC22\DRR Jaime\Neiva CPI\[DINA TERCIARIOS_CF_SEC_New_27-Mar-2024.xlsx]D-PNP'!</v>
      </c>
      <c r="G3820" s="32" t="s">
        <v>125</v>
      </c>
      <c r="H3820" s="33">
        <f t="shared" si="908"/>
        <v>30</v>
      </c>
      <c r="I3820" s="33" t="str">
        <f t="shared" si="907"/>
        <v>='C:\Users\jaime.benazar\Quorum Business Solutions\Ecopetrol Prometeo - Documents\Planning Space Implementation\3. Analysis &amp; Design\Design\FC22\DRR Jaime\Neiva CPI\[DINA TERCIARIOS_CF_SEC_New_27-Mar-2024.xlsx]D-PNP'!$CB$30</v>
      </c>
      <c r="J3820" s="37" t="s">
        <v>3723</v>
      </c>
    </row>
    <row r="3821" spans="1:10" x14ac:dyDescent="0.3">
      <c r="A3821" s="32" t="s">
        <v>15</v>
      </c>
      <c r="B3821" s="32">
        <f t="shared" ref="B3821:B3822" si="911">+B3820+1</f>
        <v>2042</v>
      </c>
      <c r="C3821" s="33" t="s">
        <v>43</v>
      </c>
      <c r="D3821" s="34" t="s">
        <v>2002</v>
      </c>
      <c r="E3821" s="35" t="str">
        <f t="shared" si="897"/>
        <v>PNP'!</v>
      </c>
      <c r="F3821" s="34" t="str">
        <f t="shared" si="906"/>
        <v>C:\Users\jaime.benazar\Quorum Business Solutions\Ecopetrol Prometeo - Documents\Planning Space Implementation\3. Analysis &amp; Design\Design\FC22\DRR Jaime\Neiva CPI\[DINA TERCIARIOS_CF_SEC_New_27-Mar-2024.xlsx]D-PNP'!</v>
      </c>
      <c r="G3821" s="32" t="s">
        <v>125</v>
      </c>
      <c r="H3821" s="33">
        <f t="shared" si="908"/>
        <v>31</v>
      </c>
      <c r="I3821" s="33" t="str">
        <f t="shared" si="907"/>
        <v>='C:\Users\jaime.benazar\Quorum Business Solutions\Ecopetrol Prometeo - Documents\Planning Space Implementation\3. Analysis &amp; Design\Design\FC22\DRR Jaime\Neiva CPI\[DINA TERCIARIOS_CF_SEC_New_27-Mar-2024.xlsx]D-PNP'!$CB$31</v>
      </c>
      <c r="J3821" s="37" t="s">
        <v>3724</v>
      </c>
    </row>
    <row r="3822" spans="1:10" x14ac:dyDescent="0.3">
      <c r="A3822" s="32" t="s">
        <v>15</v>
      </c>
      <c r="B3822" s="32">
        <f t="shared" si="911"/>
        <v>2043</v>
      </c>
      <c r="C3822" s="33" t="s">
        <v>43</v>
      </c>
      <c r="D3822" s="34" t="s">
        <v>2002</v>
      </c>
      <c r="E3822" s="35" t="str">
        <f t="shared" si="897"/>
        <v>PNP'!</v>
      </c>
      <c r="F3822" s="34" t="str">
        <f t="shared" si="906"/>
        <v>C:\Users\jaime.benazar\Quorum Business Solutions\Ecopetrol Prometeo - Documents\Planning Space Implementation\3. Analysis &amp; Design\Design\FC22\DRR Jaime\Neiva CPI\[DINA TERCIARIOS_CF_SEC_New_27-Mar-2024.xlsx]D-PNP'!</v>
      </c>
      <c r="G3822" s="32" t="s">
        <v>125</v>
      </c>
      <c r="H3822" s="33">
        <f t="shared" si="908"/>
        <v>32</v>
      </c>
      <c r="I3822" s="33" t="str">
        <f t="shared" si="907"/>
        <v>='C:\Users\jaime.benazar\Quorum Business Solutions\Ecopetrol Prometeo - Documents\Planning Space Implementation\3. Analysis &amp; Design\Design\FC22\DRR Jaime\Neiva CPI\[DINA TERCIARIOS_CF_SEC_New_27-Mar-2024.xlsx]D-PNP'!$CB$32</v>
      </c>
      <c r="J3822" s="37" t="s">
        <v>3725</v>
      </c>
    </row>
    <row r="3823" spans="1:10" x14ac:dyDescent="0.3">
      <c r="A3823" s="32" t="s">
        <v>15</v>
      </c>
      <c r="B3823" s="32">
        <f>+B3822+1</f>
        <v>2044</v>
      </c>
      <c r="C3823" s="33" t="s">
        <v>43</v>
      </c>
      <c r="D3823" s="34" t="s">
        <v>2002</v>
      </c>
      <c r="E3823" s="35" t="str">
        <f t="shared" ref="E3823:E3838" si="912">_xlfn.CONCAT(A3823,"'!")</f>
        <v>PNP'!</v>
      </c>
      <c r="F3823" s="34" t="str">
        <f t="shared" ref="F3823:F3838" si="913">_xlfn.CONCAT(D3823:E3823)</f>
        <v>C:\Users\jaime.benazar\Quorum Business Solutions\Ecopetrol Prometeo - Documents\Planning Space Implementation\3. Analysis &amp; Design\Design\FC22\DRR Jaime\Neiva CPI\[DINA TERCIARIOS_CF_SEC_New_27-Mar-2024.xlsx]D-PNP'!</v>
      </c>
      <c r="G3823" s="32" t="s">
        <v>125</v>
      </c>
      <c r="H3823" s="33">
        <f t="shared" ref="H3823:H3838" si="914">IF(A3823&lt;&gt;A3822,12,H3822+1)</f>
        <v>33</v>
      </c>
      <c r="I3823" s="33" t="str">
        <f t="shared" ref="I3823:I3838" si="915">_xlfn.CONCAT("='",F3823:H3823)</f>
        <v>='C:\Users\jaime.benazar\Quorum Business Solutions\Ecopetrol Prometeo - Documents\Planning Space Implementation\3. Analysis &amp; Design\Design\FC22\DRR Jaime\Neiva CPI\[DINA TERCIARIOS_CF_SEC_New_27-Mar-2024.xlsx]D-PNP'!$CB$33</v>
      </c>
      <c r="J3823" s="37" t="s">
        <v>3726</v>
      </c>
    </row>
    <row r="3824" spans="1:10" x14ac:dyDescent="0.3">
      <c r="A3824" s="32" t="s">
        <v>15</v>
      </c>
      <c r="B3824" s="32">
        <f t="shared" ref="B3824:B3838" si="916">+B3823+1</f>
        <v>2045</v>
      </c>
      <c r="C3824" s="33" t="s">
        <v>43</v>
      </c>
      <c r="D3824" s="34" t="s">
        <v>2002</v>
      </c>
      <c r="E3824" s="35" t="str">
        <f t="shared" si="912"/>
        <v>PNP'!</v>
      </c>
      <c r="F3824" s="34" t="str">
        <f t="shared" si="913"/>
        <v>C:\Users\jaime.benazar\Quorum Business Solutions\Ecopetrol Prometeo - Documents\Planning Space Implementation\3. Analysis &amp; Design\Design\FC22\DRR Jaime\Neiva CPI\[DINA TERCIARIOS_CF_SEC_New_27-Mar-2024.xlsx]D-PNP'!</v>
      </c>
      <c r="G3824" s="32" t="s">
        <v>125</v>
      </c>
      <c r="H3824" s="33">
        <f t="shared" si="914"/>
        <v>34</v>
      </c>
      <c r="I3824" s="33" t="str">
        <f t="shared" si="915"/>
        <v>='C:\Users\jaime.benazar\Quorum Business Solutions\Ecopetrol Prometeo - Documents\Planning Space Implementation\3. Analysis &amp; Design\Design\FC22\DRR Jaime\Neiva CPI\[DINA TERCIARIOS_CF_SEC_New_27-Mar-2024.xlsx]D-PNP'!$CB$34</v>
      </c>
      <c r="J3824" s="37" t="s">
        <v>3727</v>
      </c>
    </row>
    <row r="3825" spans="1:10" x14ac:dyDescent="0.3">
      <c r="A3825" s="32" t="s">
        <v>15</v>
      </c>
      <c r="B3825" s="32">
        <f t="shared" si="916"/>
        <v>2046</v>
      </c>
      <c r="C3825" s="33" t="s">
        <v>43</v>
      </c>
      <c r="D3825" s="34" t="s">
        <v>2002</v>
      </c>
      <c r="E3825" s="35" t="str">
        <f t="shared" si="912"/>
        <v>PNP'!</v>
      </c>
      <c r="F3825" s="34" t="str">
        <f t="shared" si="913"/>
        <v>C:\Users\jaime.benazar\Quorum Business Solutions\Ecopetrol Prometeo - Documents\Planning Space Implementation\3. Analysis &amp; Design\Design\FC22\DRR Jaime\Neiva CPI\[DINA TERCIARIOS_CF_SEC_New_27-Mar-2024.xlsx]D-PNP'!</v>
      </c>
      <c r="G3825" s="32" t="s">
        <v>125</v>
      </c>
      <c r="H3825" s="33">
        <f t="shared" si="914"/>
        <v>35</v>
      </c>
      <c r="I3825" s="33" t="str">
        <f t="shared" si="915"/>
        <v>='C:\Users\jaime.benazar\Quorum Business Solutions\Ecopetrol Prometeo - Documents\Planning Space Implementation\3. Analysis &amp; Design\Design\FC22\DRR Jaime\Neiva CPI\[DINA TERCIARIOS_CF_SEC_New_27-Mar-2024.xlsx]D-PNP'!$CB$35</v>
      </c>
      <c r="J3825" s="37" t="s">
        <v>3728</v>
      </c>
    </row>
    <row r="3826" spans="1:10" x14ac:dyDescent="0.3">
      <c r="A3826" s="32" t="s">
        <v>15</v>
      </c>
      <c r="B3826" s="32">
        <f t="shared" si="916"/>
        <v>2047</v>
      </c>
      <c r="C3826" s="33" t="s">
        <v>43</v>
      </c>
      <c r="D3826" s="34" t="s">
        <v>2002</v>
      </c>
      <c r="E3826" s="35" t="str">
        <f t="shared" si="912"/>
        <v>PNP'!</v>
      </c>
      <c r="F3826" s="34" t="str">
        <f t="shared" si="913"/>
        <v>C:\Users\jaime.benazar\Quorum Business Solutions\Ecopetrol Prometeo - Documents\Planning Space Implementation\3. Analysis &amp; Design\Design\FC22\DRR Jaime\Neiva CPI\[DINA TERCIARIOS_CF_SEC_New_27-Mar-2024.xlsx]D-PNP'!</v>
      </c>
      <c r="G3826" s="32" t="s">
        <v>125</v>
      </c>
      <c r="H3826" s="33">
        <f t="shared" si="914"/>
        <v>36</v>
      </c>
      <c r="I3826" s="33" t="str">
        <f t="shared" si="915"/>
        <v>='C:\Users\jaime.benazar\Quorum Business Solutions\Ecopetrol Prometeo - Documents\Planning Space Implementation\3. Analysis &amp; Design\Design\FC22\DRR Jaime\Neiva CPI\[DINA TERCIARIOS_CF_SEC_New_27-Mar-2024.xlsx]D-PNP'!$CB$36</v>
      </c>
      <c r="J3826" s="37" t="s">
        <v>3729</v>
      </c>
    </row>
    <row r="3827" spans="1:10" x14ac:dyDescent="0.3">
      <c r="A3827" s="32" t="s">
        <v>15</v>
      </c>
      <c r="B3827" s="32">
        <f t="shared" si="916"/>
        <v>2048</v>
      </c>
      <c r="C3827" s="33" t="s">
        <v>43</v>
      </c>
      <c r="D3827" s="34" t="s">
        <v>2002</v>
      </c>
      <c r="E3827" s="35" t="str">
        <f t="shared" si="912"/>
        <v>PNP'!</v>
      </c>
      <c r="F3827" s="34" t="str">
        <f t="shared" si="913"/>
        <v>C:\Users\jaime.benazar\Quorum Business Solutions\Ecopetrol Prometeo - Documents\Planning Space Implementation\3. Analysis &amp; Design\Design\FC22\DRR Jaime\Neiva CPI\[DINA TERCIARIOS_CF_SEC_New_27-Mar-2024.xlsx]D-PNP'!</v>
      </c>
      <c r="G3827" s="32" t="s">
        <v>125</v>
      </c>
      <c r="H3827" s="33">
        <f t="shared" si="914"/>
        <v>37</v>
      </c>
      <c r="I3827" s="33" t="str">
        <f t="shared" si="915"/>
        <v>='C:\Users\jaime.benazar\Quorum Business Solutions\Ecopetrol Prometeo - Documents\Planning Space Implementation\3. Analysis &amp; Design\Design\FC22\DRR Jaime\Neiva CPI\[DINA TERCIARIOS_CF_SEC_New_27-Mar-2024.xlsx]D-PNP'!$CB$37</v>
      </c>
      <c r="J3827" s="37" t="s">
        <v>3730</v>
      </c>
    </row>
    <row r="3828" spans="1:10" x14ac:dyDescent="0.3">
      <c r="A3828" s="32" t="s">
        <v>15</v>
      </c>
      <c r="B3828" s="32">
        <f t="shared" si="916"/>
        <v>2049</v>
      </c>
      <c r="C3828" s="33" t="s">
        <v>43</v>
      </c>
      <c r="D3828" s="34" t="s">
        <v>2002</v>
      </c>
      <c r="E3828" s="35" t="str">
        <f t="shared" si="912"/>
        <v>PNP'!</v>
      </c>
      <c r="F3828" s="34" t="str">
        <f t="shared" si="913"/>
        <v>C:\Users\jaime.benazar\Quorum Business Solutions\Ecopetrol Prometeo - Documents\Planning Space Implementation\3. Analysis &amp; Design\Design\FC22\DRR Jaime\Neiva CPI\[DINA TERCIARIOS_CF_SEC_New_27-Mar-2024.xlsx]D-PNP'!</v>
      </c>
      <c r="G3828" s="32" t="s">
        <v>125</v>
      </c>
      <c r="H3828" s="33">
        <f t="shared" si="914"/>
        <v>38</v>
      </c>
      <c r="I3828" s="33" t="str">
        <f t="shared" si="915"/>
        <v>='C:\Users\jaime.benazar\Quorum Business Solutions\Ecopetrol Prometeo - Documents\Planning Space Implementation\3. Analysis &amp; Design\Design\FC22\DRR Jaime\Neiva CPI\[DINA TERCIARIOS_CF_SEC_New_27-Mar-2024.xlsx]D-PNP'!$CB$38</v>
      </c>
      <c r="J3828" s="37" t="s">
        <v>3731</v>
      </c>
    </row>
    <row r="3829" spans="1:10" x14ac:dyDescent="0.3">
      <c r="A3829" s="32" t="s">
        <v>15</v>
      </c>
      <c r="B3829" s="32">
        <f t="shared" si="916"/>
        <v>2050</v>
      </c>
      <c r="C3829" s="33" t="s">
        <v>43</v>
      </c>
      <c r="D3829" s="34" t="s">
        <v>2002</v>
      </c>
      <c r="E3829" s="35" t="str">
        <f t="shared" si="912"/>
        <v>PNP'!</v>
      </c>
      <c r="F3829" s="34" t="str">
        <f t="shared" si="913"/>
        <v>C:\Users\jaime.benazar\Quorum Business Solutions\Ecopetrol Prometeo - Documents\Planning Space Implementation\3. Analysis &amp; Design\Design\FC22\DRR Jaime\Neiva CPI\[DINA TERCIARIOS_CF_SEC_New_27-Mar-2024.xlsx]D-PNP'!</v>
      </c>
      <c r="G3829" s="32" t="s">
        <v>125</v>
      </c>
      <c r="H3829" s="33">
        <f t="shared" si="914"/>
        <v>39</v>
      </c>
      <c r="I3829" s="33" t="str">
        <f t="shared" si="915"/>
        <v>='C:\Users\jaime.benazar\Quorum Business Solutions\Ecopetrol Prometeo - Documents\Planning Space Implementation\3. Analysis &amp; Design\Design\FC22\DRR Jaime\Neiva CPI\[DINA TERCIARIOS_CF_SEC_New_27-Mar-2024.xlsx]D-PNP'!$CB$39</v>
      </c>
      <c r="J3829" s="37" t="s">
        <v>3732</v>
      </c>
    </row>
    <row r="3830" spans="1:10" x14ac:dyDescent="0.3">
      <c r="A3830" s="32" t="s">
        <v>15</v>
      </c>
      <c r="B3830" s="32">
        <f t="shared" si="916"/>
        <v>2051</v>
      </c>
      <c r="C3830" s="33" t="s">
        <v>43</v>
      </c>
      <c r="D3830" s="34" t="s">
        <v>2002</v>
      </c>
      <c r="E3830" s="35" t="str">
        <f t="shared" si="912"/>
        <v>PNP'!</v>
      </c>
      <c r="F3830" s="34" t="str">
        <f t="shared" si="913"/>
        <v>C:\Users\jaime.benazar\Quorum Business Solutions\Ecopetrol Prometeo - Documents\Planning Space Implementation\3. Analysis &amp; Design\Design\FC22\DRR Jaime\Neiva CPI\[DINA TERCIARIOS_CF_SEC_New_27-Mar-2024.xlsx]D-PNP'!</v>
      </c>
      <c r="G3830" s="32" t="s">
        <v>125</v>
      </c>
      <c r="H3830" s="33">
        <f t="shared" si="914"/>
        <v>40</v>
      </c>
      <c r="I3830" s="33" t="str">
        <f t="shared" si="915"/>
        <v>='C:\Users\jaime.benazar\Quorum Business Solutions\Ecopetrol Prometeo - Documents\Planning Space Implementation\3. Analysis &amp; Design\Design\FC22\DRR Jaime\Neiva CPI\[DINA TERCIARIOS_CF_SEC_New_27-Mar-2024.xlsx]D-PNP'!$CB$40</v>
      </c>
      <c r="J3830" s="37" t="s">
        <v>3733</v>
      </c>
    </row>
    <row r="3831" spans="1:10" x14ac:dyDescent="0.3">
      <c r="A3831" s="32" t="s">
        <v>15</v>
      </c>
      <c r="B3831" s="32">
        <f t="shared" si="916"/>
        <v>2052</v>
      </c>
      <c r="C3831" s="33" t="s">
        <v>43</v>
      </c>
      <c r="D3831" s="34" t="s">
        <v>2002</v>
      </c>
      <c r="E3831" s="35" t="str">
        <f t="shared" si="912"/>
        <v>PNP'!</v>
      </c>
      <c r="F3831" s="34" t="str">
        <f t="shared" si="913"/>
        <v>C:\Users\jaime.benazar\Quorum Business Solutions\Ecopetrol Prometeo - Documents\Planning Space Implementation\3. Analysis &amp; Design\Design\FC22\DRR Jaime\Neiva CPI\[DINA TERCIARIOS_CF_SEC_New_27-Mar-2024.xlsx]D-PNP'!</v>
      </c>
      <c r="G3831" s="32" t="s">
        <v>125</v>
      </c>
      <c r="H3831" s="33">
        <f t="shared" si="914"/>
        <v>41</v>
      </c>
      <c r="I3831" s="33" t="str">
        <f t="shared" si="915"/>
        <v>='C:\Users\jaime.benazar\Quorum Business Solutions\Ecopetrol Prometeo - Documents\Planning Space Implementation\3. Analysis &amp; Design\Design\FC22\DRR Jaime\Neiva CPI\[DINA TERCIARIOS_CF_SEC_New_27-Mar-2024.xlsx]D-PNP'!$CB$41</v>
      </c>
      <c r="J3831" s="37" t="s">
        <v>3734</v>
      </c>
    </row>
    <row r="3832" spans="1:10" x14ac:dyDescent="0.3">
      <c r="A3832" s="32" t="s">
        <v>15</v>
      </c>
      <c r="B3832" s="32">
        <f t="shared" si="916"/>
        <v>2053</v>
      </c>
      <c r="C3832" s="33" t="s">
        <v>43</v>
      </c>
      <c r="D3832" s="34" t="s">
        <v>2002</v>
      </c>
      <c r="E3832" s="35" t="str">
        <f t="shared" si="912"/>
        <v>PNP'!</v>
      </c>
      <c r="F3832" s="34" t="str">
        <f t="shared" si="913"/>
        <v>C:\Users\jaime.benazar\Quorum Business Solutions\Ecopetrol Prometeo - Documents\Planning Space Implementation\3. Analysis &amp; Design\Design\FC22\DRR Jaime\Neiva CPI\[DINA TERCIARIOS_CF_SEC_New_27-Mar-2024.xlsx]D-PNP'!</v>
      </c>
      <c r="G3832" s="32" t="s">
        <v>125</v>
      </c>
      <c r="H3832" s="33">
        <f t="shared" si="914"/>
        <v>42</v>
      </c>
      <c r="I3832" s="33" t="str">
        <f t="shared" si="915"/>
        <v>='C:\Users\jaime.benazar\Quorum Business Solutions\Ecopetrol Prometeo - Documents\Planning Space Implementation\3. Analysis &amp; Design\Design\FC22\DRR Jaime\Neiva CPI\[DINA TERCIARIOS_CF_SEC_New_27-Mar-2024.xlsx]D-PNP'!$CB$42</v>
      </c>
      <c r="J3832" s="37" t="s">
        <v>3735</v>
      </c>
    </row>
    <row r="3833" spans="1:10" x14ac:dyDescent="0.3">
      <c r="A3833" s="32" t="s">
        <v>15</v>
      </c>
      <c r="B3833" s="32">
        <f t="shared" si="916"/>
        <v>2054</v>
      </c>
      <c r="C3833" s="33" t="s">
        <v>43</v>
      </c>
      <c r="D3833" s="34" t="s">
        <v>2002</v>
      </c>
      <c r="E3833" s="35" t="str">
        <f t="shared" si="912"/>
        <v>PNP'!</v>
      </c>
      <c r="F3833" s="34" t="str">
        <f t="shared" si="913"/>
        <v>C:\Users\jaime.benazar\Quorum Business Solutions\Ecopetrol Prometeo - Documents\Planning Space Implementation\3. Analysis &amp; Design\Design\FC22\DRR Jaime\Neiva CPI\[DINA TERCIARIOS_CF_SEC_New_27-Mar-2024.xlsx]D-PNP'!</v>
      </c>
      <c r="G3833" s="32" t="s">
        <v>125</v>
      </c>
      <c r="H3833" s="33">
        <f t="shared" si="914"/>
        <v>43</v>
      </c>
      <c r="I3833" s="33" t="str">
        <f t="shared" si="915"/>
        <v>='C:\Users\jaime.benazar\Quorum Business Solutions\Ecopetrol Prometeo - Documents\Planning Space Implementation\3. Analysis &amp; Design\Design\FC22\DRR Jaime\Neiva CPI\[DINA TERCIARIOS_CF_SEC_New_27-Mar-2024.xlsx]D-PNP'!$CB$43</v>
      </c>
      <c r="J3833" s="37" t="s">
        <v>3736</v>
      </c>
    </row>
    <row r="3834" spans="1:10" x14ac:dyDescent="0.3">
      <c r="A3834" s="32" t="s">
        <v>15</v>
      </c>
      <c r="B3834" s="32">
        <f t="shared" si="916"/>
        <v>2055</v>
      </c>
      <c r="C3834" s="33" t="s">
        <v>43</v>
      </c>
      <c r="D3834" s="34" t="s">
        <v>2002</v>
      </c>
      <c r="E3834" s="35" t="str">
        <f t="shared" si="912"/>
        <v>PNP'!</v>
      </c>
      <c r="F3834" s="34" t="str">
        <f t="shared" si="913"/>
        <v>C:\Users\jaime.benazar\Quorum Business Solutions\Ecopetrol Prometeo - Documents\Planning Space Implementation\3. Analysis &amp; Design\Design\FC22\DRR Jaime\Neiva CPI\[DINA TERCIARIOS_CF_SEC_New_27-Mar-2024.xlsx]D-PNP'!</v>
      </c>
      <c r="G3834" s="32" t="s">
        <v>125</v>
      </c>
      <c r="H3834" s="33">
        <f t="shared" si="914"/>
        <v>44</v>
      </c>
      <c r="I3834" s="33" t="str">
        <f t="shared" si="915"/>
        <v>='C:\Users\jaime.benazar\Quorum Business Solutions\Ecopetrol Prometeo - Documents\Planning Space Implementation\3. Analysis &amp; Design\Design\FC22\DRR Jaime\Neiva CPI\[DINA TERCIARIOS_CF_SEC_New_27-Mar-2024.xlsx]D-PNP'!$CB$44</v>
      </c>
      <c r="J3834" s="37" t="s">
        <v>3737</v>
      </c>
    </row>
    <row r="3835" spans="1:10" x14ac:dyDescent="0.3">
      <c r="A3835" s="32" t="s">
        <v>15</v>
      </c>
      <c r="B3835" s="32">
        <f t="shared" si="916"/>
        <v>2056</v>
      </c>
      <c r="C3835" s="33" t="s">
        <v>43</v>
      </c>
      <c r="D3835" s="34" t="s">
        <v>2002</v>
      </c>
      <c r="E3835" s="35" t="str">
        <f t="shared" si="912"/>
        <v>PNP'!</v>
      </c>
      <c r="F3835" s="34" t="str">
        <f t="shared" si="913"/>
        <v>C:\Users\jaime.benazar\Quorum Business Solutions\Ecopetrol Prometeo - Documents\Planning Space Implementation\3. Analysis &amp; Design\Design\FC22\DRR Jaime\Neiva CPI\[DINA TERCIARIOS_CF_SEC_New_27-Mar-2024.xlsx]D-PNP'!</v>
      </c>
      <c r="G3835" s="32" t="s">
        <v>125</v>
      </c>
      <c r="H3835" s="33">
        <f t="shared" si="914"/>
        <v>45</v>
      </c>
      <c r="I3835" s="33" t="str">
        <f t="shared" si="915"/>
        <v>='C:\Users\jaime.benazar\Quorum Business Solutions\Ecopetrol Prometeo - Documents\Planning Space Implementation\3. Analysis &amp; Design\Design\FC22\DRR Jaime\Neiva CPI\[DINA TERCIARIOS_CF_SEC_New_27-Mar-2024.xlsx]D-PNP'!$CB$45</v>
      </c>
      <c r="J3835" s="37" t="s">
        <v>3738</v>
      </c>
    </row>
    <row r="3836" spans="1:10" x14ac:dyDescent="0.3">
      <c r="A3836" s="32" t="s">
        <v>15</v>
      </c>
      <c r="B3836" s="32">
        <f t="shared" si="916"/>
        <v>2057</v>
      </c>
      <c r="C3836" s="33" t="s">
        <v>43</v>
      </c>
      <c r="D3836" s="34" t="s">
        <v>2002</v>
      </c>
      <c r="E3836" s="35" t="str">
        <f t="shared" si="912"/>
        <v>PNP'!</v>
      </c>
      <c r="F3836" s="34" t="str">
        <f t="shared" si="913"/>
        <v>C:\Users\jaime.benazar\Quorum Business Solutions\Ecopetrol Prometeo - Documents\Planning Space Implementation\3. Analysis &amp; Design\Design\FC22\DRR Jaime\Neiva CPI\[DINA TERCIARIOS_CF_SEC_New_27-Mar-2024.xlsx]D-PNP'!</v>
      </c>
      <c r="G3836" s="32" t="s">
        <v>125</v>
      </c>
      <c r="H3836" s="33">
        <f t="shared" si="914"/>
        <v>46</v>
      </c>
      <c r="I3836" s="33" t="str">
        <f t="shared" si="915"/>
        <v>='C:\Users\jaime.benazar\Quorum Business Solutions\Ecopetrol Prometeo - Documents\Planning Space Implementation\3. Analysis &amp; Design\Design\FC22\DRR Jaime\Neiva CPI\[DINA TERCIARIOS_CF_SEC_New_27-Mar-2024.xlsx]D-PNP'!$CB$46</v>
      </c>
      <c r="J3836" s="37" t="s">
        <v>3739</v>
      </c>
    </row>
    <row r="3837" spans="1:10" x14ac:dyDescent="0.3">
      <c r="A3837" s="32" t="s">
        <v>15</v>
      </c>
      <c r="B3837" s="32">
        <f t="shared" si="916"/>
        <v>2058</v>
      </c>
      <c r="C3837" s="33" t="s">
        <v>43</v>
      </c>
      <c r="D3837" s="34" t="s">
        <v>2002</v>
      </c>
      <c r="E3837" s="35" t="str">
        <f t="shared" si="912"/>
        <v>PNP'!</v>
      </c>
      <c r="F3837" s="34" t="str">
        <f t="shared" si="913"/>
        <v>C:\Users\jaime.benazar\Quorum Business Solutions\Ecopetrol Prometeo - Documents\Planning Space Implementation\3. Analysis &amp; Design\Design\FC22\DRR Jaime\Neiva CPI\[DINA TERCIARIOS_CF_SEC_New_27-Mar-2024.xlsx]D-PNP'!</v>
      </c>
      <c r="G3837" s="32" t="s">
        <v>125</v>
      </c>
      <c r="H3837" s="33">
        <f t="shared" si="914"/>
        <v>47</v>
      </c>
      <c r="I3837" s="33" t="str">
        <f t="shared" si="915"/>
        <v>='C:\Users\jaime.benazar\Quorum Business Solutions\Ecopetrol Prometeo - Documents\Planning Space Implementation\3. Analysis &amp; Design\Design\FC22\DRR Jaime\Neiva CPI\[DINA TERCIARIOS_CF_SEC_New_27-Mar-2024.xlsx]D-PNP'!$CB$47</v>
      </c>
      <c r="J3837" s="37" t="s">
        <v>3740</v>
      </c>
    </row>
    <row r="3838" spans="1:10" x14ac:dyDescent="0.3">
      <c r="A3838" s="32" t="s">
        <v>15</v>
      </c>
      <c r="B3838" s="32">
        <f t="shared" si="916"/>
        <v>2059</v>
      </c>
      <c r="C3838" s="33" t="s">
        <v>43</v>
      </c>
      <c r="D3838" s="34" t="s">
        <v>2002</v>
      </c>
      <c r="E3838" s="35" t="str">
        <f t="shared" si="912"/>
        <v>PNP'!</v>
      </c>
      <c r="F3838" s="34" t="str">
        <f t="shared" si="913"/>
        <v>C:\Users\jaime.benazar\Quorum Business Solutions\Ecopetrol Prometeo - Documents\Planning Space Implementation\3. Analysis &amp; Design\Design\FC22\DRR Jaime\Neiva CPI\[DINA TERCIARIOS_CF_SEC_New_27-Mar-2024.xlsx]D-PNP'!</v>
      </c>
      <c r="G3838" s="32" t="s">
        <v>125</v>
      </c>
      <c r="H3838" s="33">
        <f t="shared" si="914"/>
        <v>48</v>
      </c>
      <c r="I3838" s="33" t="str">
        <f t="shared" si="915"/>
        <v>='C:\Users\jaime.benazar\Quorum Business Solutions\Ecopetrol Prometeo - Documents\Planning Space Implementation\3. Analysis &amp; Design\Design\FC22\DRR Jaime\Neiva CPI\[DINA TERCIARIOS_CF_SEC_New_27-Mar-2024.xlsx]D-PNP'!$CB$48</v>
      </c>
      <c r="J3838" s="37" t="s">
        <v>3741</v>
      </c>
    </row>
    <row r="3839" spans="1:10" x14ac:dyDescent="0.3">
      <c r="A3839" s="32" t="s">
        <v>26</v>
      </c>
      <c r="B3839" s="32"/>
      <c r="C3839" s="33" t="s">
        <v>43</v>
      </c>
      <c r="D3839" s="34"/>
      <c r="E3839" s="35"/>
      <c r="F3839" s="34"/>
      <c r="G3839" s="32"/>
      <c r="H3839" s="33"/>
      <c r="I3839" s="33"/>
      <c r="J3839" s="33"/>
    </row>
    <row r="3840" spans="1:10" x14ac:dyDescent="0.3">
      <c r="A3840" s="32" t="s">
        <v>16</v>
      </c>
      <c r="B3840" s="32">
        <v>2023</v>
      </c>
      <c r="C3840" s="33" t="s">
        <v>43</v>
      </c>
      <c r="D3840" s="34" t="s">
        <v>2002</v>
      </c>
      <c r="E3840" s="35" t="str">
        <f t="shared" ref="E3840:E3860" si="917">_xlfn.CONCAT(A3840,"'!")</f>
        <v>PND'!</v>
      </c>
      <c r="F3840" s="34" t="str">
        <f t="shared" ref="F3840:F3860" si="918">_xlfn.CONCAT(D3840:E3840)</f>
        <v>C:\Users\jaime.benazar\Quorum Business Solutions\Ecopetrol Prometeo - Documents\Planning Space Implementation\3. Analysis &amp; Design\Design\FC22\DRR Jaime\Neiva CPI\[DINA TERCIARIOS_CF_SEC_New_27-Mar-2024.xlsx]D-PND'!</v>
      </c>
      <c r="G3840" s="32" t="s">
        <v>125</v>
      </c>
      <c r="H3840" s="33">
        <v>12</v>
      </c>
      <c r="I3840" s="33" t="str">
        <f t="shared" ref="I3840:I3860" si="919">_xlfn.CONCAT("='",F3840:H3840)</f>
        <v>='C:\Users\jaime.benazar\Quorum Business Solutions\Ecopetrol Prometeo - Documents\Planning Space Implementation\3. Analysis &amp; Design\Design\FC22\DRR Jaime\Neiva CPI\[DINA TERCIARIOS_CF_SEC_New_27-Mar-2024.xlsx]D-PND'!$CB$12</v>
      </c>
      <c r="J3840" s="37" t="s">
        <v>3742</v>
      </c>
    </row>
    <row r="3841" spans="1:10" x14ac:dyDescent="0.3">
      <c r="A3841" s="32" t="s">
        <v>16</v>
      </c>
      <c r="B3841" s="32">
        <f>+B3840+1</f>
        <v>2024</v>
      </c>
      <c r="C3841" s="33" t="s">
        <v>43</v>
      </c>
      <c r="D3841" s="34" t="s">
        <v>2002</v>
      </c>
      <c r="E3841" s="35" t="str">
        <f t="shared" si="917"/>
        <v>PND'!</v>
      </c>
      <c r="F3841" s="34" t="str">
        <f t="shared" si="918"/>
        <v>C:\Users\jaime.benazar\Quorum Business Solutions\Ecopetrol Prometeo - Documents\Planning Space Implementation\3. Analysis &amp; Design\Design\FC22\DRR Jaime\Neiva CPI\[DINA TERCIARIOS_CF_SEC_New_27-Mar-2024.xlsx]D-PND'!</v>
      </c>
      <c r="G3841" s="32" t="s">
        <v>125</v>
      </c>
      <c r="H3841" s="33">
        <f t="shared" ref="H3841:H3860" si="920">IF(A3841&lt;&gt;A3840,12,H3840+1)</f>
        <v>13</v>
      </c>
      <c r="I3841" s="33" t="str">
        <f t="shared" si="919"/>
        <v>='C:\Users\jaime.benazar\Quorum Business Solutions\Ecopetrol Prometeo - Documents\Planning Space Implementation\3. Analysis &amp; Design\Design\FC22\DRR Jaime\Neiva CPI\[DINA TERCIARIOS_CF_SEC_New_27-Mar-2024.xlsx]D-PND'!$CB$13</v>
      </c>
      <c r="J3841" s="37" t="s">
        <v>3743</v>
      </c>
    </row>
    <row r="3842" spans="1:10" x14ac:dyDescent="0.3">
      <c r="A3842" s="32" t="s">
        <v>16</v>
      </c>
      <c r="B3842" s="32">
        <f t="shared" ref="B3842:B3853" si="921">+B3841+1</f>
        <v>2025</v>
      </c>
      <c r="C3842" s="33" t="s">
        <v>43</v>
      </c>
      <c r="D3842" s="34" t="s">
        <v>2002</v>
      </c>
      <c r="E3842" s="35" t="str">
        <f t="shared" si="917"/>
        <v>PND'!</v>
      </c>
      <c r="F3842" s="34" t="str">
        <f t="shared" si="918"/>
        <v>C:\Users\jaime.benazar\Quorum Business Solutions\Ecopetrol Prometeo - Documents\Planning Space Implementation\3. Analysis &amp; Design\Design\FC22\DRR Jaime\Neiva CPI\[DINA TERCIARIOS_CF_SEC_New_27-Mar-2024.xlsx]D-PND'!</v>
      </c>
      <c r="G3842" s="32" t="s">
        <v>125</v>
      </c>
      <c r="H3842" s="33">
        <f t="shared" si="920"/>
        <v>14</v>
      </c>
      <c r="I3842" s="33" t="str">
        <f t="shared" si="919"/>
        <v>='C:\Users\jaime.benazar\Quorum Business Solutions\Ecopetrol Prometeo - Documents\Planning Space Implementation\3. Analysis &amp; Design\Design\FC22\DRR Jaime\Neiva CPI\[DINA TERCIARIOS_CF_SEC_New_27-Mar-2024.xlsx]D-PND'!$CB$14</v>
      </c>
      <c r="J3842" s="37" t="s">
        <v>3744</v>
      </c>
    </row>
    <row r="3843" spans="1:10" x14ac:dyDescent="0.3">
      <c r="A3843" s="32" t="s">
        <v>16</v>
      </c>
      <c r="B3843" s="32">
        <f t="shared" si="921"/>
        <v>2026</v>
      </c>
      <c r="C3843" s="33" t="s">
        <v>43</v>
      </c>
      <c r="D3843" s="34" t="s">
        <v>2002</v>
      </c>
      <c r="E3843" s="35" t="str">
        <f t="shared" si="917"/>
        <v>PND'!</v>
      </c>
      <c r="F3843" s="34" t="str">
        <f t="shared" si="918"/>
        <v>C:\Users\jaime.benazar\Quorum Business Solutions\Ecopetrol Prometeo - Documents\Planning Space Implementation\3. Analysis &amp; Design\Design\FC22\DRR Jaime\Neiva CPI\[DINA TERCIARIOS_CF_SEC_New_27-Mar-2024.xlsx]D-PND'!</v>
      </c>
      <c r="G3843" s="32" t="s">
        <v>125</v>
      </c>
      <c r="H3843" s="33">
        <f t="shared" si="920"/>
        <v>15</v>
      </c>
      <c r="I3843" s="33" t="str">
        <f t="shared" si="919"/>
        <v>='C:\Users\jaime.benazar\Quorum Business Solutions\Ecopetrol Prometeo - Documents\Planning Space Implementation\3. Analysis &amp; Design\Design\FC22\DRR Jaime\Neiva CPI\[DINA TERCIARIOS_CF_SEC_New_27-Mar-2024.xlsx]D-PND'!$CB$15</v>
      </c>
      <c r="J3843" s="37" t="s">
        <v>3745</v>
      </c>
    </row>
    <row r="3844" spans="1:10" x14ac:dyDescent="0.3">
      <c r="A3844" s="32" t="s">
        <v>16</v>
      </c>
      <c r="B3844" s="32">
        <f t="shared" si="921"/>
        <v>2027</v>
      </c>
      <c r="C3844" s="33" t="s">
        <v>43</v>
      </c>
      <c r="D3844" s="34" t="s">
        <v>2002</v>
      </c>
      <c r="E3844" s="35" t="str">
        <f t="shared" si="917"/>
        <v>PND'!</v>
      </c>
      <c r="F3844" s="34" t="str">
        <f t="shared" si="918"/>
        <v>C:\Users\jaime.benazar\Quorum Business Solutions\Ecopetrol Prometeo - Documents\Planning Space Implementation\3. Analysis &amp; Design\Design\FC22\DRR Jaime\Neiva CPI\[DINA TERCIARIOS_CF_SEC_New_27-Mar-2024.xlsx]D-PND'!</v>
      </c>
      <c r="G3844" s="32" t="s">
        <v>125</v>
      </c>
      <c r="H3844" s="33">
        <f t="shared" si="920"/>
        <v>16</v>
      </c>
      <c r="I3844" s="33" t="str">
        <f t="shared" si="919"/>
        <v>='C:\Users\jaime.benazar\Quorum Business Solutions\Ecopetrol Prometeo - Documents\Planning Space Implementation\3. Analysis &amp; Design\Design\FC22\DRR Jaime\Neiva CPI\[DINA TERCIARIOS_CF_SEC_New_27-Mar-2024.xlsx]D-PND'!$CB$16</v>
      </c>
      <c r="J3844" s="37" t="s">
        <v>3746</v>
      </c>
    </row>
    <row r="3845" spans="1:10" x14ac:dyDescent="0.3">
      <c r="A3845" s="32" t="s">
        <v>16</v>
      </c>
      <c r="B3845" s="32">
        <f t="shared" si="921"/>
        <v>2028</v>
      </c>
      <c r="C3845" s="33" t="s">
        <v>43</v>
      </c>
      <c r="D3845" s="34" t="s">
        <v>2002</v>
      </c>
      <c r="E3845" s="35" t="str">
        <f t="shared" si="917"/>
        <v>PND'!</v>
      </c>
      <c r="F3845" s="34" t="str">
        <f t="shared" si="918"/>
        <v>C:\Users\jaime.benazar\Quorum Business Solutions\Ecopetrol Prometeo - Documents\Planning Space Implementation\3. Analysis &amp; Design\Design\FC22\DRR Jaime\Neiva CPI\[DINA TERCIARIOS_CF_SEC_New_27-Mar-2024.xlsx]D-PND'!</v>
      </c>
      <c r="G3845" s="32" t="s">
        <v>125</v>
      </c>
      <c r="H3845" s="33">
        <f t="shared" si="920"/>
        <v>17</v>
      </c>
      <c r="I3845" s="33" t="str">
        <f t="shared" si="919"/>
        <v>='C:\Users\jaime.benazar\Quorum Business Solutions\Ecopetrol Prometeo - Documents\Planning Space Implementation\3. Analysis &amp; Design\Design\FC22\DRR Jaime\Neiva CPI\[DINA TERCIARIOS_CF_SEC_New_27-Mar-2024.xlsx]D-PND'!$CB$17</v>
      </c>
      <c r="J3845" s="37" t="s">
        <v>3747</v>
      </c>
    </row>
    <row r="3846" spans="1:10" x14ac:dyDescent="0.3">
      <c r="A3846" s="32" t="s">
        <v>16</v>
      </c>
      <c r="B3846" s="32">
        <f t="shared" si="921"/>
        <v>2029</v>
      </c>
      <c r="C3846" s="33" t="s">
        <v>43</v>
      </c>
      <c r="D3846" s="34" t="s">
        <v>2002</v>
      </c>
      <c r="E3846" s="35" t="str">
        <f t="shared" si="917"/>
        <v>PND'!</v>
      </c>
      <c r="F3846" s="34" t="str">
        <f t="shared" si="918"/>
        <v>C:\Users\jaime.benazar\Quorum Business Solutions\Ecopetrol Prometeo - Documents\Planning Space Implementation\3. Analysis &amp; Design\Design\FC22\DRR Jaime\Neiva CPI\[DINA TERCIARIOS_CF_SEC_New_27-Mar-2024.xlsx]D-PND'!</v>
      </c>
      <c r="G3846" s="32" t="s">
        <v>125</v>
      </c>
      <c r="H3846" s="33">
        <f t="shared" si="920"/>
        <v>18</v>
      </c>
      <c r="I3846" s="33" t="str">
        <f t="shared" si="919"/>
        <v>='C:\Users\jaime.benazar\Quorum Business Solutions\Ecopetrol Prometeo - Documents\Planning Space Implementation\3. Analysis &amp; Design\Design\FC22\DRR Jaime\Neiva CPI\[DINA TERCIARIOS_CF_SEC_New_27-Mar-2024.xlsx]D-PND'!$CB$18</v>
      </c>
      <c r="J3846" s="37" t="s">
        <v>3748</v>
      </c>
    </row>
    <row r="3847" spans="1:10" x14ac:dyDescent="0.3">
      <c r="A3847" s="32" t="s">
        <v>16</v>
      </c>
      <c r="B3847" s="32">
        <f t="shared" si="921"/>
        <v>2030</v>
      </c>
      <c r="C3847" s="33" t="s">
        <v>43</v>
      </c>
      <c r="D3847" s="34" t="s">
        <v>2002</v>
      </c>
      <c r="E3847" s="35" t="str">
        <f t="shared" si="917"/>
        <v>PND'!</v>
      </c>
      <c r="F3847" s="34" t="str">
        <f t="shared" si="918"/>
        <v>C:\Users\jaime.benazar\Quorum Business Solutions\Ecopetrol Prometeo - Documents\Planning Space Implementation\3. Analysis &amp; Design\Design\FC22\DRR Jaime\Neiva CPI\[DINA TERCIARIOS_CF_SEC_New_27-Mar-2024.xlsx]D-PND'!</v>
      </c>
      <c r="G3847" s="32" t="s">
        <v>125</v>
      </c>
      <c r="H3847" s="33">
        <f t="shared" si="920"/>
        <v>19</v>
      </c>
      <c r="I3847" s="33" t="str">
        <f t="shared" si="919"/>
        <v>='C:\Users\jaime.benazar\Quorum Business Solutions\Ecopetrol Prometeo - Documents\Planning Space Implementation\3. Analysis &amp; Design\Design\FC22\DRR Jaime\Neiva CPI\[DINA TERCIARIOS_CF_SEC_New_27-Mar-2024.xlsx]D-PND'!$CB$19</v>
      </c>
      <c r="J3847" s="37" t="s">
        <v>3749</v>
      </c>
    </row>
    <row r="3848" spans="1:10" x14ac:dyDescent="0.3">
      <c r="A3848" s="32" t="s">
        <v>16</v>
      </c>
      <c r="B3848" s="32">
        <f t="shared" si="921"/>
        <v>2031</v>
      </c>
      <c r="C3848" s="33" t="s">
        <v>43</v>
      </c>
      <c r="D3848" s="34" t="s">
        <v>2002</v>
      </c>
      <c r="E3848" s="35" t="str">
        <f t="shared" si="917"/>
        <v>PND'!</v>
      </c>
      <c r="F3848" s="34" t="str">
        <f t="shared" si="918"/>
        <v>C:\Users\jaime.benazar\Quorum Business Solutions\Ecopetrol Prometeo - Documents\Planning Space Implementation\3. Analysis &amp; Design\Design\FC22\DRR Jaime\Neiva CPI\[DINA TERCIARIOS_CF_SEC_New_27-Mar-2024.xlsx]D-PND'!</v>
      </c>
      <c r="G3848" s="32" t="s">
        <v>125</v>
      </c>
      <c r="H3848" s="33">
        <f t="shared" si="920"/>
        <v>20</v>
      </c>
      <c r="I3848" s="33" t="str">
        <f t="shared" si="919"/>
        <v>='C:\Users\jaime.benazar\Quorum Business Solutions\Ecopetrol Prometeo - Documents\Planning Space Implementation\3. Analysis &amp; Design\Design\FC22\DRR Jaime\Neiva CPI\[DINA TERCIARIOS_CF_SEC_New_27-Mar-2024.xlsx]D-PND'!$CB$20</v>
      </c>
      <c r="J3848" s="37" t="s">
        <v>3750</v>
      </c>
    </row>
    <row r="3849" spans="1:10" x14ac:dyDescent="0.3">
      <c r="A3849" s="32" t="s">
        <v>16</v>
      </c>
      <c r="B3849" s="32">
        <f t="shared" si="921"/>
        <v>2032</v>
      </c>
      <c r="C3849" s="33" t="s">
        <v>43</v>
      </c>
      <c r="D3849" s="34" t="s">
        <v>2002</v>
      </c>
      <c r="E3849" s="35" t="str">
        <f t="shared" si="917"/>
        <v>PND'!</v>
      </c>
      <c r="F3849" s="34" t="str">
        <f t="shared" si="918"/>
        <v>C:\Users\jaime.benazar\Quorum Business Solutions\Ecopetrol Prometeo - Documents\Planning Space Implementation\3. Analysis &amp; Design\Design\FC22\DRR Jaime\Neiva CPI\[DINA TERCIARIOS_CF_SEC_New_27-Mar-2024.xlsx]D-PND'!</v>
      </c>
      <c r="G3849" s="32" t="s">
        <v>125</v>
      </c>
      <c r="H3849" s="33">
        <f t="shared" si="920"/>
        <v>21</v>
      </c>
      <c r="I3849" s="33" t="str">
        <f t="shared" si="919"/>
        <v>='C:\Users\jaime.benazar\Quorum Business Solutions\Ecopetrol Prometeo - Documents\Planning Space Implementation\3. Analysis &amp; Design\Design\FC22\DRR Jaime\Neiva CPI\[DINA TERCIARIOS_CF_SEC_New_27-Mar-2024.xlsx]D-PND'!$CB$21</v>
      </c>
      <c r="J3849" s="37" t="s">
        <v>3751</v>
      </c>
    </row>
    <row r="3850" spans="1:10" x14ac:dyDescent="0.3">
      <c r="A3850" s="32" t="s">
        <v>16</v>
      </c>
      <c r="B3850" s="32">
        <f t="shared" si="921"/>
        <v>2033</v>
      </c>
      <c r="C3850" s="33" t="s">
        <v>43</v>
      </c>
      <c r="D3850" s="34" t="s">
        <v>2002</v>
      </c>
      <c r="E3850" s="35" t="str">
        <f t="shared" si="917"/>
        <v>PND'!</v>
      </c>
      <c r="F3850" s="34" t="str">
        <f t="shared" si="918"/>
        <v>C:\Users\jaime.benazar\Quorum Business Solutions\Ecopetrol Prometeo - Documents\Planning Space Implementation\3. Analysis &amp; Design\Design\FC22\DRR Jaime\Neiva CPI\[DINA TERCIARIOS_CF_SEC_New_27-Mar-2024.xlsx]D-PND'!</v>
      </c>
      <c r="G3850" s="32" t="s">
        <v>125</v>
      </c>
      <c r="H3850" s="33">
        <f t="shared" si="920"/>
        <v>22</v>
      </c>
      <c r="I3850" s="33" t="str">
        <f t="shared" si="919"/>
        <v>='C:\Users\jaime.benazar\Quorum Business Solutions\Ecopetrol Prometeo - Documents\Planning Space Implementation\3. Analysis &amp; Design\Design\FC22\DRR Jaime\Neiva CPI\[DINA TERCIARIOS_CF_SEC_New_27-Mar-2024.xlsx]D-PND'!$CB$22</v>
      </c>
      <c r="J3850" s="37" t="s">
        <v>3752</v>
      </c>
    </row>
    <row r="3851" spans="1:10" x14ac:dyDescent="0.3">
      <c r="A3851" s="32" t="s">
        <v>16</v>
      </c>
      <c r="B3851" s="32">
        <f t="shared" si="921"/>
        <v>2034</v>
      </c>
      <c r="C3851" s="33" t="s">
        <v>43</v>
      </c>
      <c r="D3851" s="34" t="s">
        <v>2002</v>
      </c>
      <c r="E3851" s="35" t="str">
        <f t="shared" si="917"/>
        <v>PND'!</v>
      </c>
      <c r="F3851" s="34" t="str">
        <f t="shared" si="918"/>
        <v>C:\Users\jaime.benazar\Quorum Business Solutions\Ecopetrol Prometeo - Documents\Planning Space Implementation\3. Analysis &amp; Design\Design\FC22\DRR Jaime\Neiva CPI\[DINA TERCIARIOS_CF_SEC_New_27-Mar-2024.xlsx]D-PND'!</v>
      </c>
      <c r="G3851" s="32" t="s">
        <v>125</v>
      </c>
      <c r="H3851" s="33">
        <f t="shared" si="920"/>
        <v>23</v>
      </c>
      <c r="I3851" s="33" t="str">
        <f t="shared" si="919"/>
        <v>='C:\Users\jaime.benazar\Quorum Business Solutions\Ecopetrol Prometeo - Documents\Planning Space Implementation\3. Analysis &amp; Design\Design\FC22\DRR Jaime\Neiva CPI\[DINA TERCIARIOS_CF_SEC_New_27-Mar-2024.xlsx]D-PND'!$CB$23</v>
      </c>
      <c r="J3851" s="37" t="s">
        <v>3753</v>
      </c>
    </row>
    <row r="3852" spans="1:10" x14ac:dyDescent="0.3">
      <c r="A3852" s="32" t="s">
        <v>16</v>
      </c>
      <c r="B3852" s="32">
        <f t="shared" si="921"/>
        <v>2035</v>
      </c>
      <c r="C3852" s="33" t="s">
        <v>43</v>
      </c>
      <c r="D3852" s="34" t="s">
        <v>2002</v>
      </c>
      <c r="E3852" s="35" t="str">
        <f t="shared" si="917"/>
        <v>PND'!</v>
      </c>
      <c r="F3852" s="34" t="str">
        <f t="shared" si="918"/>
        <v>C:\Users\jaime.benazar\Quorum Business Solutions\Ecopetrol Prometeo - Documents\Planning Space Implementation\3. Analysis &amp; Design\Design\FC22\DRR Jaime\Neiva CPI\[DINA TERCIARIOS_CF_SEC_New_27-Mar-2024.xlsx]D-PND'!</v>
      </c>
      <c r="G3852" s="32" t="s">
        <v>125</v>
      </c>
      <c r="H3852" s="33">
        <f t="shared" si="920"/>
        <v>24</v>
      </c>
      <c r="I3852" s="33" t="str">
        <f t="shared" si="919"/>
        <v>='C:\Users\jaime.benazar\Quorum Business Solutions\Ecopetrol Prometeo - Documents\Planning Space Implementation\3. Analysis &amp; Design\Design\FC22\DRR Jaime\Neiva CPI\[DINA TERCIARIOS_CF_SEC_New_27-Mar-2024.xlsx]D-PND'!$CB$24</v>
      </c>
      <c r="J3852" s="37" t="s">
        <v>3754</v>
      </c>
    </row>
    <row r="3853" spans="1:10" x14ac:dyDescent="0.3">
      <c r="A3853" s="32" t="s">
        <v>16</v>
      </c>
      <c r="B3853" s="32">
        <f t="shared" si="921"/>
        <v>2036</v>
      </c>
      <c r="C3853" s="33" t="s">
        <v>43</v>
      </c>
      <c r="D3853" s="34" t="s">
        <v>2002</v>
      </c>
      <c r="E3853" s="35" t="str">
        <f t="shared" si="917"/>
        <v>PND'!</v>
      </c>
      <c r="F3853" s="34" t="str">
        <f t="shared" si="918"/>
        <v>C:\Users\jaime.benazar\Quorum Business Solutions\Ecopetrol Prometeo - Documents\Planning Space Implementation\3. Analysis &amp; Design\Design\FC22\DRR Jaime\Neiva CPI\[DINA TERCIARIOS_CF_SEC_New_27-Mar-2024.xlsx]D-PND'!</v>
      </c>
      <c r="G3853" s="32" t="s">
        <v>125</v>
      </c>
      <c r="H3853" s="33">
        <f t="shared" si="920"/>
        <v>25</v>
      </c>
      <c r="I3853" s="33" t="str">
        <f t="shared" si="919"/>
        <v>='C:\Users\jaime.benazar\Quorum Business Solutions\Ecopetrol Prometeo - Documents\Planning Space Implementation\3. Analysis &amp; Design\Design\FC22\DRR Jaime\Neiva CPI\[DINA TERCIARIOS_CF_SEC_New_27-Mar-2024.xlsx]D-PND'!$CB$25</v>
      </c>
      <c r="J3853" s="37" t="s">
        <v>3755</v>
      </c>
    </row>
    <row r="3854" spans="1:10" x14ac:dyDescent="0.3">
      <c r="A3854" s="32" t="s">
        <v>16</v>
      </c>
      <c r="B3854" s="32">
        <f>+B3853+1</f>
        <v>2037</v>
      </c>
      <c r="C3854" s="33" t="s">
        <v>43</v>
      </c>
      <c r="D3854" s="34" t="s">
        <v>2002</v>
      </c>
      <c r="E3854" s="35" t="str">
        <f t="shared" si="917"/>
        <v>PND'!</v>
      </c>
      <c r="F3854" s="34" t="str">
        <f t="shared" si="918"/>
        <v>C:\Users\jaime.benazar\Quorum Business Solutions\Ecopetrol Prometeo - Documents\Planning Space Implementation\3. Analysis &amp; Design\Design\FC22\DRR Jaime\Neiva CPI\[DINA TERCIARIOS_CF_SEC_New_27-Mar-2024.xlsx]D-PND'!</v>
      </c>
      <c r="G3854" s="32" t="s">
        <v>125</v>
      </c>
      <c r="H3854" s="33">
        <f t="shared" si="920"/>
        <v>26</v>
      </c>
      <c r="I3854" s="33" t="str">
        <f t="shared" si="919"/>
        <v>='C:\Users\jaime.benazar\Quorum Business Solutions\Ecopetrol Prometeo - Documents\Planning Space Implementation\3. Analysis &amp; Design\Design\FC22\DRR Jaime\Neiva CPI\[DINA TERCIARIOS_CF_SEC_New_27-Mar-2024.xlsx]D-PND'!$CB$26</v>
      </c>
      <c r="J3854" s="37" t="s">
        <v>3756</v>
      </c>
    </row>
    <row r="3855" spans="1:10" x14ac:dyDescent="0.3">
      <c r="A3855" s="32" t="s">
        <v>16</v>
      </c>
      <c r="B3855" s="32">
        <f t="shared" ref="B3855:B3857" si="922">+B3854+1</f>
        <v>2038</v>
      </c>
      <c r="C3855" s="33" t="s">
        <v>43</v>
      </c>
      <c r="D3855" s="34" t="s">
        <v>2002</v>
      </c>
      <c r="E3855" s="35" t="str">
        <f t="shared" si="917"/>
        <v>PND'!</v>
      </c>
      <c r="F3855" s="34" t="str">
        <f t="shared" si="918"/>
        <v>C:\Users\jaime.benazar\Quorum Business Solutions\Ecopetrol Prometeo - Documents\Planning Space Implementation\3. Analysis &amp; Design\Design\FC22\DRR Jaime\Neiva CPI\[DINA TERCIARIOS_CF_SEC_New_27-Mar-2024.xlsx]D-PND'!</v>
      </c>
      <c r="G3855" s="32" t="s">
        <v>125</v>
      </c>
      <c r="H3855" s="33">
        <f t="shared" si="920"/>
        <v>27</v>
      </c>
      <c r="I3855" s="33" t="str">
        <f t="shared" si="919"/>
        <v>='C:\Users\jaime.benazar\Quorum Business Solutions\Ecopetrol Prometeo - Documents\Planning Space Implementation\3. Analysis &amp; Design\Design\FC22\DRR Jaime\Neiva CPI\[DINA TERCIARIOS_CF_SEC_New_27-Mar-2024.xlsx]D-PND'!$CB$27</v>
      </c>
      <c r="J3855" s="37" t="s">
        <v>3757</v>
      </c>
    </row>
    <row r="3856" spans="1:10" x14ac:dyDescent="0.3">
      <c r="A3856" s="32" t="s">
        <v>16</v>
      </c>
      <c r="B3856" s="32">
        <f t="shared" si="922"/>
        <v>2039</v>
      </c>
      <c r="C3856" s="33" t="s">
        <v>43</v>
      </c>
      <c r="D3856" s="34" t="s">
        <v>2002</v>
      </c>
      <c r="E3856" s="35" t="str">
        <f t="shared" si="917"/>
        <v>PND'!</v>
      </c>
      <c r="F3856" s="34" t="str">
        <f t="shared" si="918"/>
        <v>C:\Users\jaime.benazar\Quorum Business Solutions\Ecopetrol Prometeo - Documents\Planning Space Implementation\3. Analysis &amp; Design\Design\FC22\DRR Jaime\Neiva CPI\[DINA TERCIARIOS_CF_SEC_New_27-Mar-2024.xlsx]D-PND'!</v>
      </c>
      <c r="G3856" s="32" t="s">
        <v>125</v>
      </c>
      <c r="H3856" s="33">
        <f t="shared" si="920"/>
        <v>28</v>
      </c>
      <c r="I3856" s="33" t="str">
        <f t="shared" si="919"/>
        <v>='C:\Users\jaime.benazar\Quorum Business Solutions\Ecopetrol Prometeo - Documents\Planning Space Implementation\3. Analysis &amp; Design\Design\FC22\DRR Jaime\Neiva CPI\[DINA TERCIARIOS_CF_SEC_New_27-Mar-2024.xlsx]D-PND'!$CB$28</v>
      </c>
      <c r="J3856" s="37" t="s">
        <v>3758</v>
      </c>
    </row>
    <row r="3857" spans="1:10" x14ac:dyDescent="0.3">
      <c r="A3857" s="32" t="s">
        <v>16</v>
      </c>
      <c r="B3857" s="32">
        <f t="shared" si="922"/>
        <v>2040</v>
      </c>
      <c r="C3857" s="33" t="s">
        <v>43</v>
      </c>
      <c r="D3857" s="34" t="s">
        <v>2002</v>
      </c>
      <c r="E3857" s="35" t="str">
        <f t="shared" si="917"/>
        <v>PND'!</v>
      </c>
      <c r="F3857" s="34" t="str">
        <f t="shared" si="918"/>
        <v>C:\Users\jaime.benazar\Quorum Business Solutions\Ecopetrol Prometeo - Documents\Planning Space Implementation\3. Analysis &amp; Design\Design\FC22\DRR Jaime\Neiva CPI\[DINA TERCIARIOS_CF_SEC_New_27-Mar-2024.xlsx]D-PND'!</v>
      </c>
      <c r="G3857" s="32" t="s">
        <v>125</v>
      </c>
      <c r="H3857" s="33">
        <f t="shared" si="920"/>
        <v>29</v>
      </c>
      <c r="I3857" s="33" t="str">
        <f t="shared" si="919"/>
        <v>='C:\Users\jaime.benazar\Quorum Business Solutions\Ecopetrol Prometeo - Documents\Planning Space Implementation\3. Analysis &amp; Design\Design\FC22\DRR Jaime\Neiva CPI\[DINA TERCIARIOS_CF_SEC_New_27-Mar-2024.xlsx]D-PND'!$CB$29</v>
      </c>
      <c r="J3857" s="37" t="s">
        <v>3759</v>
      </c>
    </row>
    <row r="3858" spans="1:10" x14ac:dyDescent="0.3">
      <c r="A3858" s="32" t="s">
        <v>16</v>
      </c>
      <c r="B3858" s="32">
        <f>+B3857+1</f>
        <v>2041</v>
      </c>
      <c r="C3858" s="33" t="s">
        <v>43</v>
      </c>
      <c r="D3858" s="34" t="s">
        <v>2002</v>
      </c>
      <c r="E3858" s="35" t="str">
        <f t="shared" si="917"/>
        <v>PND'!</v>
      </c>
      <c r="F3858" s="34" t="str">
        <f t="shared" si="918"/>
        <v>C:\Users\jaime.benazar\Quorum Business Solutions\Ecopetrol Prometeo - Documents\Planning Space Implementation\3. Analysis &amp; Design\Design\FC22\DRR Jaime\Neiva CPI\[DINA TERCIARIOS_CF_SEC_New_27-Mar-2024.xlsx]D-PND'!</v>
      </c>
      <c r="G3858" s="32" t="s">
        <v>125</v>
      </c>
      <c r="H3858" s="33">
        <f t="shared" si="920"/>
        <v>30</v>
      </c>
      <c r="I3858" s="33" t="str">
        <f t="shared" si="919"/>
        <v>='C:\Users\jaime.benazar\Quorum Business Solutions\Ecopetrol Prometeo - Documents\Planning Space Implementation\3. Analysis &amp; Design\Design\FC22\DRR Jaime\Neiva CPI\[DINA TERCIARIOS_CF_SEC_New_27-Mar-2024.xlsx]D-PND'!$CB$30</v>
      </c>
      <c r="J3858" s="37" t="s">
        <v>3760</v>
      </c>
    </row>
    <row r="3859" spans="1:10" x14ac:dyDescent="0.3">
      <c r="A3859" s="32" t="s">
        <v>16</v>
      </c>
      <c r="B3859" s="32">
        <f t="shared" ref="B3859:B3860" si="923">+B3858+1</f>
        <v>2042</v>
      </c>
      <c r="C3859" s="33" t="s">
        <v>43</v>
      </c>
      <c r="D3859" s="34" t="s">
        <v>2002</v>
      </c>
      <c r="E3859" s="35" t="str">
        <f t="shared" si="917"/>
        <v>PND'!</v>
      </c>
      <c r="F3859" s="34" t="str">
        <f t="shared" si="918"/>
        <v>C:\Users\jaime.benazar\Quorum Business Solutions\Ecopetrol Prometeo - Documents\Planning Space Implementation\3. Analysis &amp; Design\Design\FC22\DRR Jaime\Neiva CPI\[DINA TERCIARIOS_CF_SEC_New_27-Mar-2024.xlsx]D-PND'!</v>
      </c>
      <c r="G3859" s="32" t="s">
        <v>125</v>
      </c>
      <c r="H3859" s="33">
        <f t="shared" si="920"/>
        <v>31</v>
      </c>
      <c r="I3859" s="33" t="str">
        <f t="shared" si="919"/>
        <v>='C:\Users\jaime.benazar\Quorum Business Solutions\Ecopetrol Prometeo - Documents\Planning Space Implementation\3. Analysis &amp; Design\Design\FC22\DRR Jaime\Neiva CPI\[DINA TERCIARIOS_CF_SEC_New_27-Mar-2024.xlsx]D-PND'!$CB$31</v>
      </c>
      <c r="J3859" s="37" t="s">
        <v>3761</v>
      </c>
    </row>
    <row r="3860" spans="1:10" x14ac:dyDescent="0.3">
      <c r="A3860" s="32" t="s">
        <v>16</v>
      </c>
      <c r="B3860" s="32">
        <f t="shared" si="923"/>
        <v>2043</v>
      </c>
      <c r="C3860" s="33" t="s">
        <v>43</v>
      </c>
      <c r="D3860" s="34" t="s">
        <v>2002</v>
      </c>
      <c r="E3860" s="35" t="str">
        <f t="shared" si="917"/>
        <v>PND'!</v>
      </c>
      <c r="F3860" s="34" t="str">
        <f t="shared" si="918"/>
        <v>C:\Users\jaime.benazar\Quorum Business Solutions\Ecopetrol Prometeo - Documents\Planning Space Implementation\3. Analysis &amp; Design\Design\FC22\DRR Jaime\Neiva CPI\[DINA TERCIARIOS_CF_SEC_New_27-Mar-2024.xlsx]D-PND'!</v>
      </c>
      <c r="G3860" s="32" t="s">
        <v>125</v>
      </c>
      <c r="H3860" s="33">
        <f t="shared" si="920"/>
        <v>32</v>
      </c>
      <c r="I3860" s="33" t="str">
        <f t="shared" si="919"/>
        <v>='C:\Users\jaime.benazar\Quorum Business Solutions\Ecopetrol Prometeo - Documents\Planning Space Implementation\3. Analysis &amp; Design\Design\FC22\DRR Jaime\Neiva CPI\[DINA TERCIARIOS_CF_SEC_New_27-Mar-2024.xlsx]D-PND'!$CB$32</v>
      </c>
      <c r="J3860" s="37" t="s">
        <v>3762</v>
      </c>
    </row>
    <row r="3861" spans="1:10" x14ac:dyDescent="0.3">
      <c r="A3861" s="32" t="s">
        <v>16</v>
      </c>
      <c r="B3861" s="32">
        <f>+B3860+1</f>
        <v>2044</v>
      </c>
      <c r="C3861" s="33" t="s">
        <v>43</v>
      </c>
      <c r="D3861" s="34" t="s">
        <v>2002</v>
      </c>
      <c r="E3861" s="35" t="str">
        <f t="shared" ref="E3861:E3876" si="924">_xlfn.CONCAT(A3861,"'!")</f>
        <v>PND'!</v>
      </c>
      <c r="F3861" s="34" t="str">
        <f t="shared" ref="F3861:F3876" si="925">_xlfn.CONCAT(D3861:E3861)</f>
        <v>C:\Users\jaime.benazar\Quorum Business Solutions\Ecopetrol Prometeo - Documents\Planning Space Implementation\3. Analysis &amp; Design\Design\FC22\DRR Jaime\Neiva CPI\[DINA TERCIARIOS_CF_SEC_New_27-Mar-2024.xlsx]D-PND'!</v>
      </c>
      <c r="G3861" s="32" t="s">
        <v>125</v>
      </c>
      <c r="H3861" s="33">
        <f t="shared" ref="H3861:H3876" si="926">IF(A3861&lt;&gt;A3860,12,H3860+1)</f>
        <v>33</v>
      </c>
      <c r="I3861" s="33" t="str">
        <f t="shared" ref="I3861:I3876" si="927">_xlfn.CONCAT("='",F3861:H3861)</f>
        <v>='C:\Users\jaime.benazar\Quorum Business Solutions\Ecopetrol Prometeo - Documents\Planning Space Implementation\3. Analysis &amp; Design\Design\FC22\DRR Jaime\Neiva CPI\[DINA TERCIARIOS_CF_SEC_New_27-Mar-2024.xlsx]D-PND'!$CB$33</v>
      </c>
      <c r="J3861" s="37" t="s">
        <v>3763</v>
      </c>
    </row>
    <row r="3862" spans="1:10" x14ac:dyDescent="0.3">
      <c r="A3862" s="32" t="s">
        <v>16</v>
      </c>
      <c r="B3862" s="32">
        <f t="shared" ref="B3862:B3876" si="928">+B3861+1</f>
        <v>2045</v>
      </c>
      <c r="C3862" s="33" t="s">
        <v>43</v>
      </c>
      <c r="D3862" s="34" t="s">
        <v>2002</v>
      </c>
      <c r="E3862" s="35" t="str">
        <f t="shared" si="924"/>
        <v>PND'!</v>
      </c>
      <c r="F3862" s="34" t="str">
        <f t="shared" si="925"/>
        <v>C:\Users\jaime.benazar\Quorum Business Solutions\Ecopetrol Prometeo - Documents\Planning Space Implementation\3. Analysis &amp; Design\Design\FC22\DRR Jaime\Neiva CPI\[DINA TERCIARIOS_CF_SEC_New_27-Mar-2024.xlsx]D-PND'!</v>
      </c>
      <c r="G3862" s="32" t="s">
        <v>125</v>
      </c>
      <c r="H3862" s="33">
        <f t="shared" si="926"/>
        <v>34</v>
      </c>
      <c r="I3862" s="33" t="str">
        <f t="shared" si="927"/>
        <v>='C:\Users\jaime.benazar\Quorum Business Solutions\Ecopetrol Prometeo - Documents\Planning Space Implementation\3. Analysis &amp; Design\Design\FC22\DRR Jaime\Neiva CPI\[DINA TERCIARIOS_CF_SEC_New_27-Mar-2024.xlsx]D-PND'!$CB$34</v>
      </c>
      <c r="J3862" s="37" t="s">
        <v>3764</v>
      </c>
    </row>
    <row r="3863" spans="1:10" x14ac:dyDescent="0.3">
      <c r="A3863" s="32" t="s">
        <v>16</v>
      </c>
      <c r="B3863" s="32">
        <f t="shared" si="928"/>
        <v>2046</v>
      </c>
      <c r="C3863" s="33" t="s">
        <v>43</v>
      </c>
      <c r="D3863" s="34" t="s">
        <v>2002</v>
      </c>
      <c r="E3863" s="35" t="str">
        <f t="shared" si="924"/>
        <v>PND'!</v>
      </c>
      <c r="F3863" s="34" t="str">
        <f t="shared" si="925"/>
        <v>C:\Users\jaime.benazar\Quorum Business Solutions\Ecopetrol Prometeo - Documents\Planning Space Implementation\3. Analysis &amp; Design\Design\FC22\DRR Jaime\Neiva CPI\[DINA TERCIARIOS_CF_SEC_New_27-Mar-2024.xlsx]D-PND'!</v>
      </c>
      <c r="G3863" s="32" t="s">
        <v>125</v>
      </c>
      <c r="H3863" s="33">
        <f t="shared" si="926"/>
        <v>35</v>
      </c>
      <c r="I3863" s="33" t="str">
        <f t="shared" si="927"/>
        <v>='C:\Users\jaime.benazar\Quorum Business Solutions\Ecopetrol Prometeo - Documents\Planning Space Implementation\3. Analysis &amp; Design\Design\FC22\DRR Jaime\Neiva CPI\[DINA TERCIARIOS_CF_SEC_New_27-Mar-2024.xlsx]D-PND'!$CB$35</v>
      </c>
      <c r="J3863" s="37" t="s">
        <v>3765</v>
      </c>
    </row>
    <row r="3864" spans="1:10" x14ac:dyDescent="0.3">
      <c r="A3864" s="32" t="s">
        <v>16</v>
      </c>
      <c r="B3864" s="32">
        <f t="shared" si="928"/>
        <v>2047</v>
      </c>
      <c r="C3864" s="33" t="s">
        <v>43</v>
      </c>
      <c r="D3864" s="34" t="s">
        <v>2002</v>
      </c>
      <c r="E3864" s="35" t="str">
        <f t="shared" si="924"/>
        <v>PND'!</v>
      </c>
      <c r="F3864" s="34" t="str">
        <f t="shared" si="925"/>
        <v>C:\Users\jaime.benazar\Quorum Business Solutions\Ecopetrol Prometeo - Documents\Planning Space Implementation\3. Analysis &amp; Design\Design\FC22\DRR Jaime\Neiva CPI\[DINA TERCIARIOS_CF_SEC_New_27-Mar-2024.xlsx]D-PND'!</v>
      </c>
      <c r="G3864" s="32" t="s">
        <v>125</v>
      </c>
      <c r="H3864" s="33">
        <f t="shared" si="926"/>
        <v>36</v>
      </c>
      <c r="I3864" s="33" t="str">
        <f t="shared" si="927"/>
        <v>='C:\Users\jaime.benazar\Quorum Business Solutions\Ecopetrol Prometeo - Documents\Planning Space Implementation\3. Analysis &amp; Design\Design\FC22\DRR Jaime\Neiva CPI\[DINA TERCIARIOS_CF_SEC_New_27-Mar-2024.xlsx]D-PND'!$CB$36</v>
      </c>
      <c r="J3864" s="37" t="s">
        <v>3766</v>
      </c>
    </row>
    <row r="3865" spans="1:10" x14ac:dyDescent="0.3">
      <c r="A3865" s="32" t="s">
        <v>16</v>
      </c>
      <c r="B3865" s="32">
        <f t="shared" si="928"/>
        <v>2048</v>
      </c>
      <c r="C3865" s="33" t="s">
        <v>43</v>
      </c>
      <c r="D3865" s="34" t="s">
        <v>2002</v>
      </c>
      <c r="E3865" s="35" t="str">
        <f t="shared" si="924"/>
        <v>PND'!</v>
      </c>
      <c r="F3865" s="34" t="str">
        <f t="shared" si="925"/>
        <v>C:\Users\jaime.benazar\Quorum Business Solutions\Ecopetrol Prometeo - Documents\Planning Space Implementation\3. Analysis &amp; Design\Design\FC22\DRR Jaime\Neiva CPI\[DINA TERCIARIOS_CF_SEC_New_27-Mar-2024.xlsx]D-PND'!</v>
      </c>
      <c r="G3865" s="32" t="s">
        <v>125</v>
      </c>
      <c r="H3865" s="33">
        <f t="shared" si="926"/>
        <v>37</v>
      </c>
      <c r="I3865" s="33" t="str">
        <f t="shared" si="927"/>
        <v>='C:\Users\jaime.benazar\Quorum Business Solutions\Ecopetrol Prometeo - Documents\Planning Space Implementation\3. Analysis &amp; Design\Design\FC22\DRR Jaime\Neiva CPI\[DINA TERCIARIOS_CF_SEC_New_27-Mar-2024.xlsx]D-PND'!$CB$37</v>
      </c>
      <c r="J3865" s="37" t="s">
        <v>3767</v>
      </c>
    </row>
    <row r="3866" spans="1:10" x14ac:dyDescent="0.3">
      <c r="A3866" s="32" t="s">
        <v>16</v>
      </c>
      <c r="B3866" s="32">
        <f t="shared" si="928"/>
        <v>2049</v>
      </c>
      <c r="C3866" s="33" t="s">
        <v>43</v>
      </c>
      <c r="D3866" s="34" t="s">
        <v>2002</v>
      </c>
      <c r="E3866" s="35" t="str">
        <f t="shared" si="924"/>
        <v>PND'!</v>
      </c>
      <c r="F3866" s="34" t="str">
        <f t="shared" si="925"/>
        <v>C:\Users\jaime.benazar\Quorum Business Solutions\Ecopetrol Prometeo - Documents\Planning Space Implementation\3. Analysis &amp; Design\Design\FC22\DRR Jaime\Neiva CPI\[DINA TERCIARIOS_CF_SEC_New_27-Mar-2024.xlsx]D-PND'!</v>
      </c>
      <c r="G3866" s="32" t="s">
        <v>125</v>
      </c>
      <c r="H3866" s="33">
        <f t="shared" si="926"/>
        <v>38</v>
      </c>
      <c r="I3866" s="33" t="str">
        <f t="shared" si="927"/>
        <v>='C:\Users\jaime.benazar\Quorum Business Solutions\Ecopetrol Prometeo - Documents\Planning Space Implementation\3. Analysis &amp; Design\Design\FC22\DRR Jaime\Neiva CPI\[DINA TERCIARIOS_CF_SEC_New_27-Mar-2024.xlsx]D-PND'!$CB$38</v>
      </c>
      <c r="J3866" s="37" t="s">
        <v>3768</v>
      </c>
    </row>
    <row r="3867" spans="1:10" x14ac:dyDescent="0.3">
      <c r="A3867" s="32" t="s">
        <v>16</v>
      </c>
      <c r="B3867" s="32">
        <f t="shared" si="928"/>
        <v>2050</v>
      </c>
      <c r="C3867" s="33" t="s">
        <v>43</v>
      </c>
      <c r="D3867" s="34" t="s">
        <v>2002</v>
      </c>
      <c r="E3867" s="35" t="str">
        <f t="shared" si="924"/>
        <v>PND'!</v>
      </c>
      <c r="F3867" s="34" t="str">
        <f t="shared" si="925"/>
        <v>C:\Users\jaime.benazar\Quorum Business Solutions\Ecopetrol Prometeo - Documents\Planning Space Implementation\3. Analysis &amp; Design\Design\FC22\DRR Jaime\Neiva CPI\[DINA TERCIARIOS_CF_SEC_New_27-Mar-2024.xlsx]D-PND'!</v>
      </c>
      <c r="G3867" s="32" t="s">
        <v>125</v>
      </c>
      <c r="H3867" s="33">
        <f t="shared" si="926"/>
        <v>39</v>
      </c>
      <c r="I3867" s="33" t="str">
        <f t="shared" si="927"/>
        <v>='C:\Users\jaime.benazar\Quorum Business Solutions\Ecopetrol Prometeo - Documents\Planning Space Implementation\3. Analysis &amp; Design\Design\FC22\DRR Jaime\Neiva CPI\[DINA TERCIARIOS_CF_SEC_New_27-Mar-2024.xlsx]D-PND'!$CB$39</v>
      </c>
      <c r="J3867" s="37" t="s">
        <v>3769</v>
      </c>
    </row>
    <row r="3868" spans="1:10" x14ac:dyDescent="0.3">
      <c r="A3868" s="32" t="s">
        <v>16</v>
      </c>
      <c r="B3868" s="32">
        <f t="shared" si="928"/>
        <v>2051</v>
      </c>
      <c r="C3868" s="33" t="s">
        <v>43</v>
      </c>
      <c r="D3868" s="34" t="s">
        <v>2002</v>
      </c>
      <c r="E3868" s="35" t="str">
        <f t="shared" si="924"/>
        <v>PND'!</v>
      </c>
      <c r="F3868" s="34" t="str">
        <f t="shared" si="925"/>
        <v>C:\Users\jaime.benazar\Quorum Business Solutions\Ecopetrol Prometeo - Documents\Planning Space Implementation\3. Analysis &amp; Design\Design\FC22\DRR Jaime\Neiva CPI\[DINA TERCIARIOS_CF_SEC_New_27-Mar-2024.xlsx]D-PND'!</v>
      </c>
      <c r="G3868" s="32" t="s">
        <v>125</v>
      </c>
      <c r="H3868" s="33">
        <f t="shared" si="926"/>
        <v>40</v>
      </c>
      <c r="I3868" s="33" t="str">
        <f t="shared" si="927"/>
        <v>='C:\Users\jaime.benazar\Quorum Business Solutions\Ecopetrol Prometeo - Documents\Planning Space Implementation\3. Analysis &amp; Design\Design\FC22\DRR Jaime\Neiva CPI\[DINA TERCIARIOS_CF_SEC_New_27-Mar-2024.xlsx]D-PND'!$CB$40</v>
      </c>
      <c r="J3868" s="37" t="s">
        <v>3770</v>
      </c>
    </row>
    <row r="3869" spans="1:10" x14ac:dyDescent="0.3">
      <c r="A3869" s="32" t="s">
        <v>16</v>
      </c>
      <c r="B3869" s="32">
        <f t="shared" si="928"/>
        <v>2052</v>
      </c>
      <c r="C3869" s="33" t="s">
        <v>43</v>
      </c>
      <c r="D3869" s="34" t="s">
        <v>2002</v>
      </c>
      <c r="E3869" s="35" t="str">
        <f t="shared" si="924"/>
        <v>PND'!</v>
      </c>
      <c r="F3869" s="34" t="str">
        <f t="shared" si="925"/>
        <v>C:\Users\jaime.benazar\Quorum Business Solutions\Ecopetrol Prometeo - Documents\Planning Space Implementation\3. Analysis &amp; Design\Design\FC22\DRR Jaime\Neiva CPI\[DINA TERCIARIOS_CF_SEC_New_27-Mar-2024.xlsx]D-PND'!</v>
      </c>
      <c r="G3869" s="32" t="s">
        <v>125</v>
      </c>
      <c r="H3869" s="33">
        <f t="shared" si="926"/>
        <v>41</v>
      </c>
      <c r="I3869" s="33" t="str">
        <f t="shared" si="927"/>
        <v>='C:\Users\jaime.benazar\Quorum Business Solutions\Ecopetrol Prometeo - Documents\Planning Space Implementation\3. Analysis &amp; Design\Design\FC22\DRR Jaime\Neiva CPI\[DINA TERCIARIOS_CF_SEC_New_27-Mar-2024.xlsx]D-PND'!$CB$41</v>
      </c>
      <c r="J3869" s="37" t="s">
        <v>3771</v>
      </c>
    </row>
    <row r="3870" spans="1:10" x14ac:dyDescent="0.3">
      <c r="A3870" s="32" t="s">
        <v>16</v>
      </c>
      <c r="B3870" s="32">
        <f t="shared" si="928"/>
        <v>2053</v>
      </c>
      <c r="C3870" s="33" t="s">
        <v>43</v>
      </c>
      <c r="D3870" s="34" t="s">
        <v>2002</v>
      </c>
      <c r="E3870" s="35" t="str">
        <f t="shared" si="924"/>
        <v>PND'!</v>
      </c>
      <c r="F3870" s="34" t="str">
        <f t="shared" si="925"/>
        <v>C:\Users\jaime.benazar\Quorum Business Solutions\Ecopetrol Prometeo - Documents\Planning Space Implementation\3. Analysis &amp; Design\Design\FC22\DRR Jaime\Neiva CPI\[DINA TERCIARIOS_CF_SEC_New_27-Mar-2024.xlsx]D-PND'!</v>
      </c>
      <c r="G3870" s="32" t="s">
        <v>125</v>
      </c>
      <c r="H3870" s="33">
        <f t="shared" si="926"/>
        <v>42</v>
      </c>
      <c r="I3870" s="33" t="str">
        <f t="shared" si="927"/>
        <v>='C:\Users\jaime.benazar\Quorum Business Solutions\Ecopetrol Prometeo - Documents\Planning Space Implementation\3. Analysis &amp; Design\Design\FC22\DRR Jaime\Neiva CPI\[DINA TERCIARIOS_CF_SEC_New_27-Mar-2024.xlsx]D-PND'!$CB$42</v>
      </c>
      <c r="J3870" s="37" t="s">
        <v>3772</v>
      </c>
    </row>
    <row r="3871" spans="1:10" x14ac:dyDescent="0.3">
      <c r="A3871" s="32" t="s">
        <v>16</v>
      </c>
      <c r="B3871" s="32">
        <f t="shared" si="928"/>
        <v>2054</v>
      </c>
      <c r="C3871" s="33" t="s">
        <v>43</v>
      </c>
      <c r="D3871" s="34" t="s">
        <v>2002</v>
      </c>
      <c r="E3871" s="35" t="str">
        <f t="shared" si="924"/>
        <v>PND'!</v>
      </c>
      <c r="F3871" s="34" t="str">
        <f t="shared" si="925"/>
        <v>C:\Users\jaime.benazar\Quorum Business Solutions\Ecopetrol Prometeo - Documents\Planning Space Implementation\3. Analysis &amp; Design\Design\FC22\DRR Jaime\Neiva CPI\[DINA TERCIARIOS_CF_SEC_New_27-Mar-2024.xlsx]D-PND'!</v>
      </c>
      <c r="G3871" s="32" t="s">
        <v>125</v>
      </c>
      <c r="H3871" s="33">
        <f t="shared" si="926"/>
        <v>43</v>
      </c>
      <c r="I3871" s="33" t="str">
        <f t="shared" si="927"/>
        <v>='C:\Users\jaime.benazar\Quorum Business Solutions\Ecopetrol Prometeo - Documents\Planning Space Implementation\3. Analysis &amp; Design\Design\FC22\DRR Jaime\Neiva CPI\[DINA TERCIARIOS_CF_SEC_New_27-Mar-2024.xlsx]D-PND'!$CB$43</v>
      </c>
      <c r="J3871" s="37" t="s">
        <v>3773</v>
      </c>
    </row>
    <row r="3872" spans="1:10" x14ac:dyDescent="0.3">
      <c r="A3872" s="32" t="s">
        <v>16</v>
      </c>
      <c r="B3872" s="32">
        <f t="shared" si="928"/>
        <v>2055</v>
      </c>
      <c r="C3872" s="33" t="s">
        <v>43</v>
      </c>
      <c r="D3872" s="34" t="s">
        <v>2002</v>
      </c>
      <c r="E3872" s="35" t="str">
        <f t="shared" si="924"/>
        <v>PND'!</v>
      </c>
      <c r="F3872" s="34" t="str">
        <f t="shared" si="925"/>
        <v>C:\Users\jaime.benazar\Quorum Business Solutions\Ecopetrol Prometeo - Documents\Planning Space Implementation\3. Analysis &amp; Design\Design\FC22\DRR Jaime\Neiva CPI\[DINA TERCIARIOS_CF_SEC_New_27-Mar-2024.xlsx]D-PND'!</v>
      </c>
      <c r="G3872" s="32" t="s">
        <v>125</v>
      </c>
      <c r="H3872" s="33">
        <f t="shared" si="926"/>
        <v>44</v>
      </c>
      <c r="I3872" s="33" t="str">
        <f t="shared" si="927"/>
        <v>='C:\Users\jaime.benazar\Quorum Business Solutions\Ecopetrol Prometeo - Documents\Planning Space Implementation\3. Analysis &amp; Design\Design\FC22\DRR Jaime\Neiva CPI\[DINA TERCIARIOS_CF_SEC_New_27-Mar-2024.xlsx]D-PND'!$CB$44</v>
      </c>
      <c r="J3872" s="37" t="s">
        <v>3774</v>
      </c>
    </row>
    <row r="3873" spans="1:10" x14ac:dyDescent="0.3">
      <c r="A3873" s="32" t="s">
        <v>16</v>
      </c>
      <c r="B3873" s="32">
        <f t="shared" si="928"/>
        <v>2056</v>
      </c>
      <c r="C3873" s="33" t="s">
        <v>43</v>
      </c>
      <c r="D3873" s="34" t="s">
        <v>2002</v>
      </c>
      <c r="E3873" s="35" t="str">
        <f t="shared" si="924"/>
        <v>PND'!</v>
      </c>
      <c r="F3873" s="34" t="str">
        <f t="shared" si="925"/>
        <v>C:\Users\jaime.benazar\Quorum Business Solutions\Ecopetrol Prometeo - Documents\Planning Space Implementation\3. Analysis &amp; Design\Design\FC22\DRR Jaime\Neiva CPI\[DINA TERCIARIOS_CF_SEC_New_27-Mar-2024.xlsx]D-PND'!</v>
      </c>
      <c r="G3873" s="32" t="s">
        <v>125</v>
      </c>
      <c r="H3873" s="33">
        <f t="shared" si="926"/>
        <v>45</v>
      </c>
      <c r="I3873" s="33" t="str">
        <f t="shared" si="927"/>
        <v>='C:\Users\jaime.benazar\Quorum Business Solutions\Ecopetrol Prometeo - Documents\Planning Space Implementation\3. Analysis &amp; Design\Design\FC22\DRR Jaime\Neiva CPI\[DINA TERCIARIOS_CF_SEC_New_27-Mar-2024.xlsx]D-PND'!$CB$45</v>
      </c>
      <c r="J3873" s="37" t="s">
        <v>3775</v>
      </c>
    </row>
    <row r="3874" spans="1:10" x14ac:dyDescent="0.3">
      <c r="A3874" s="32" t="s">
        <v>16</v>
      </c>
      <c r="B3874" s="32">
        <f t="shared" si="928"/>
        <v>2057</v>
      </c>
      <c r="C3874" s="33" t="s">
        <v>43</v>
      </c>
      <c r="D3874" s="34" t="s">
        <v>2002</v>
      </c>
      <c r="E3874" s="35" t="str">
        <f t="shared" si="924"/>
        <v>PND'!</v>
      </c>
      <c r="F3874" s="34" t="str">
        <f t="shared" si="925"/>
        <v>C:\Users\jaime.benazar\Quorum Business Solutions\Ecopetrol Prometeo - Documents\Planning Space Implementation\3. Analysis &amp; Design\Design\FC22\DRR Jaime\Neiva CPI\[DINA TERCIARIOS_CF_SEC_New_27-Mar-2024.xlsx]D-PND'!</v>
      </c>
      <c r="G3874" s="32" t="s">
        <v>125</v>
      </c>
      <c r="H3874" s="33">
        <f t="shared" si="926"/>
        <v>46</v>
      </c>
      <c r="I3874" s="33" t="str">
        <f t="shared" si="927"/>
        <v>='C:\Users\jaime.benazar\Quorum Business Solutions\Ecopetrol Prometeo - Documents\Planning Space Implementation\3. Analysis &amp; Design\Design\FC22\DRR Jaime\Neiva CPI\[DINA TERCIARIOS_CF_SEC_New_27-Mar-2024.xlsx]D-PND'!$CB$46</v>
      </c>
      <c r="J3874" s="37" t="s">
        <v>3776</v>
      </c>
    </row>
    <row r="3875" spans="1:10" x14ac:dyDescent="0.3">
      <c r="A3875" s="32" t="s">
        <v>16</v>
      </c>
      <c r="B3875" s="32">
        <f t="shared" si="928"/>
        <v>2058</v>
      </c>
      <c r="C3875" s="33" t="s">
        <v>43</v>
      </c>
      <c r="D3875" s="34" t="s">
        <v>2002</v>
      </c>
      <c r="E3875" s="35" t="str">
        <f t="shared" si="924"/>
        <v>PND'!</v>
      </c>
      <c r="F3875" s="34" t="str">
        <f t="shared" si="925"/>
        <v>C:\Users\jaime.benazar\Quorum Business Solutions\Ecopetrol Prometeo - Documents\Planning Space Implementation\3. Analysis &amp; Design\Design\FC22\DRR Jaime\Neiva CPI\[DINA TERCIARIOS_CF_SEC_New_27-Mar-2024.xlsx]D-PND'!</v>
      </c>
      <c r="G3875" s="32" t="s">
        <v>125</v>
      </c>
      <c r="H3875" s="33">
        <f t="shared" si="926"/>
        <v>47</v>
      </c>
      <c r="I3875" s="33" t="str">
        <f t="shared" si="927"/>
        <v>='C:\Users\jaime.benazar\Quorum Business Solutions\Ecopetrol Prometeo - Documents\Planning Space Implementation\3. Analysis &amp; Design\Design\FC22\DRR Jaime\Neiva CPI\[DINA TERCIARIOS_CF_SEC_New_27-Mar-2024.xlsx]D-PND'!$CB$47</v>
      </c>
      <c r="J3875" s="37" t="s">
        <v>3777</v>
      </c>
    </row>
    <row r="3876" spans="1:10" x14ac:dyDescent="0.3">
      <c r="A3876" s="32" t="s">
        <v>16</v>
      </c>
      <c r="B3876" s="32">
        <f t="shared" si="928"/>
        <v>2059</v>
      </c>
      <c r="C3876" s="33" t="s">
        <v>43</v>
      </c>
      <c r="D3876" s="34" t="s">
        <v>2002</v>
      </c>
      <c r="E3876" s="35" t="str">
        <f t="shared" si="924"/>
        <v>PND'!</v>
      </c>
      <c r="F3876" s="34" t="str">
        <f t="shared" si="925"/>
        <v>C:\Users\jaime.benazar\Quorum Business Solutions\Ecopetrol Prometeo - Documents\Planning Space Implementation\3. Analysis &amp; Design\Design\FC22\DRR Jaime\Neiva CPI\[DINA TERCIARIOS_CF_SEC_New_27-Mar-2024.xlsx]D-PND'!</v>
      </c>
      <c r="G3876" s="32" t="s">
        <v>125</v>
      </c>
      <c r="H3876" s="33">
        <f t="shared" si="926"/>
        <v>48</v>
      </c>
      <c r="I3876" s="33" t="str">
        <f t="shared" si="927"/>
        <v>='C:\Users\jaime.benazar\Quorum Business Solutions\Ecopetrol Prometeo - Documents\Planning Space Implementation\3. Analysis &amp; Design\Design\FC22\DRR Jaime\Neiva CPI\[DINA TERCIARIOS_CF_SEC_New_27-Mar-2024.xlsx]D-PND'!$CB$48</v>
      </c>
      <c r="J3876" s="37" t="s">
        <v>3778</v>
      </c>
    </row>
    <row r="3877" spans="1:10" x14ac:dyDescent="0.3">
      <c r="A3877" s="32" t="s">
        <v>26</v>
      </c>
      <c r="B3877" s="32"/>
      <c r="C3877" s="33" t="s">
        <v>43</v>
      </c>
      <c r="D3877" s="34"/>
      <c r="E3877" s="35"/>
      <c r="F3877" s="34"/>
      <c r="G3877" s="32"/>
      <c r="H3877" s="33"/>
      <c r="I3877" s="33"/>
      <c r="J3877" s="33"/>
    </row>
    <row r="3878" spans="1:10" x14ac:dyDescent="0.3">
      <c r="A3878" s="32" t="s">
        <v>17</v>
      </c>
      <c r="B3878" s="32">
        <v>2023</v>
      </c>
      <c r="C3878" s="33" t="s">
        <v>43</v>
      </c>
      <c r="D3878" s="34" t="s">
        <v>2002</v>
      </c>
      <c r="E3878" s="35" t="str">
        <f t="shared" ref="E3878:E3898" si="929">_xlfn.CONCAT(A3878,"'!")</f>
        <v>PRBDP'!</v>
      </c>
      <c r="F3878" s="34" t="str">
        <f t="shared" ref="F3878:F3898" si="930">_xlfn.CONCAT(D3878:E3878)</f>
        <v>C:\Users\jaime.benazar\Quorum Business Solutions\Ecopetrol Prometeo - Documents\Planning Space Implementation\3. Analysis &amp; Design\Design\FC22\DRR Jaime\Neiva CPI\[DINA TERCIARIOS_CF_SEC_New_27-Mar-2024.xlsx]D-PRBDP'!</v>
      </c>
      <c r="G3878" s="32" t="s">
        <v>125</v>
      </c>
      <c r="H3878" s="33"/>
      <c r="I3878" s="33"/>
      <c r="J3878" s="37"/>
    </row>
    <row r="3879" spans="1:10" x14ac:dyDescent="0.3">
      <c r="A3879" s="32" t="s">
        <v>17</v>
      </c>
      <c r="B3879" s="32">
        <f>+B3878+1</f>
        <v>2024</v>
      </c>
      <c r="C3879" s="33" t="s">
        <v>43</v>
      </c>
      <c r="D3879" s="34" t="s">
        <v>2002</v>
      </c>
      <c r="E3879" s="35" t="str">
        <f t="shared" si="929"/>
        <v>PRBDP'!</v>
      </c>
      <c r="F3879" s="34" t="str">
        <f t="shared" si="930"/>
        <v>C:\Users\jaime.benazar\Quorum Business Solutions\Ecopetrol Prometeo - Documents\Planning Space Implementation\3. Analysis &amp; Design\Design\FC22\DRR Jaime\Neiva CPI\[DINA TERCIARIOS_CF_SEC_New_27-Mar-2024.xlsx]D-PRBDP'!</v>
      </c>
      <c r="G3879" s="32" t="s">
        <v>125</v>
      </c>
      <c r="H3879" s="33"/>
      <c r="I3879" s="33"/>
      <c r="J3879" s="37"/>
    </row>
    <row r="3880" spans="1:10" x14ac:dyDescent="0.3">
      <c r="A3880" s="32" t="s">
        <v>17</v>
      </c>
      <c r="B3880" s="32">
        <f t="shared" ref="B3880:B3891" si="931">+B3879+1</f>
        <v>2025</v>
      </c>
      <c r="C3880" s="33" t="s">
        <v>43</v>
      </c>
      <c r="D3880" s="34" t="s">
        <v>2002</v>
      </c>
      <c r="E3880" s="35" t="str">
        <f t="shared" si="929"/>
        <v>PRBDP'!</v>
      </c>
      <c r="F3880" s="34" t="str">
        <f t="shared" si="930"/>
        <v>C:\Users\jaime.benazar\Quorum Business Solutions\Ecopetrol Prometeo - Documents\Planning Space Implementation\3. Analysis &amp; Design\Design\FC22\DRR Jaime\Neiva CPI\[DINA TERCIARIOS_CF_SEC_New_27-Mar-2024.xlsx]D-PRBDP'!</v>
      </c>
      <c r="G3880" s="32" t="s">
        <v>125</v>
      </c>
      <c r="H3880" s="33"/>
      <c r="I3880" s="33"/>
      <c r="J3880" s="37"/>
    </row>
    <row r="3881" spans="1:10" x14ac:dyDescent="0.3">
      <c r="A3881" s="32" t="s">
        <v>17</v>
      </c>
      <c r="B3881" s="32">
        <f t="shared" si="931"/>
        <v>2026</v>
      </c>
      <c r="C3881" s="33" t="s">
        <v>43</v>
      </c>
      <c r="D3881" s="34" t="s">
        <v>2002</v>
      </c>
      <c r="E3881" s="35" t="str">
        <f t="shared" si="929"/>
        <v>PRBDP'!</v>
      </c>
      <c r="F3881" s="34" t="str">
        <f t="shared" si="930"/>
        <v>C:\Users\jaime.benazar\Quorum Business Solutions\Ecopetrol Prometeo - Documents\Planning Space Implementation\3. Analysis &amp; Design\Design\FC22\DRR Jaime\Neiva CPI\[DINA TERCIARIOS_CF_SEC_New_27-Mar-2024.xlsx]D-PRBDP'!</v>
      </c>
      <c r="G3881" s="32" t="s">
        <v>125</v>
      </c>
      <c r="H3881" s="33"/>
      <c r="I3881" s="33"/>
      <c r="J3881" s="37"/>
    </row>
    <row r="3882" spans="1:10" x14ac:dyDescent="0.3">
      <c r="A3882" s="32" t="s">
        <v>17</v>
      </c>
      <c r="B3882" s="32">
        <f t="shared" si="931"/>
        <v>2027</v>
      </c>
      <c r="C3882" s="33" t="s">
        <v>43</v>
      </c>
      <c r="D3882" s="34" t="s">
        <v>2002</v>
      </c>
      <c r="E3882" s="35" t="str">
        <f t="shared" si="929"/>
        <v>PRBDP'!</v>
      </c>
      <c r="F3882" s="34" t="str">
        <f t="shared" si="930"/>
        <v>C:\Users\jaime.benazar\Quorum Business Solutions\Ecopetrol Prometeo - Documents\Planning Space Implementation\3. Analysis &amp; Design\Design\FC22\DRR Jaime\Neiva CPI\[DINA TERCIARIOS_CF_SEC_New_27-Mar-2024.xlsx]D-PRBDP'!</v>
      </c>
      <c r="G3882" s="32" t="s">
        <v>125</v>
      </c>
      <c r="H3882" s="33"/>
      <c r="I3882" s="33"/>
      <c r="J3882" s="37"/>
    </row>
    <row r="3883" spans="1:10" x14ac:dyDescent="0.3">
      <c r="A3883" s="32" t="s">
        <v>17</v>
      </c>
      <c r="B3883" s="32">
        <f t="shared" si="931"/>
        <v>2028</v>
      </c>
      <c r="C3883" s="33" t="s">
        <v>43</v>
      </c>
      <c r="D3883" s="34" t="s">
        <v>2002</v>
      </c>
      <c r="E3883" s="35" t="str">
        <f t="shared" si="929"/>
        <v>PRBDP'!</v>
      </c>
      <c r="F3883" s="34" t="str">
        <f t="shared" si="930"/>
        <v>C:\Users\jaime.benazar\Quorum Business Solutions\Ecopetrol Prometeo - Documents\Planning Space Implementation\3. Analysis &amp; Design\Design\FC22\DRR Jaime\Neiva CPI\[DINA TERCIARIOS_CF_SEC_New_27-Mar-2024.xlsx]D-PRBDP'!</v>
      </c>
      <c r="G3883" s="32" t="s">
        <v>125</v>
      </c>
      <c r="H3883" s="33"/>
      <c r="I3883" s="33"/>
      <c r="J3883" s="37"/>
    </row>
    <row r="3884" spans="1:10" x14ac:dyDescent="0.3">
      <c r="A3884" s="32" t="s">
        <v>17</v>
      </c>
      <c r="B3884" s="32">
        <f t="shared" si="931"/>
        <v>2029</v>
      </c>
      <c r="C3884" s="33" t="s">
        <v>43</v>
      </c>
      <c r="D3884" s="34" t="s">
        <v>2002</v>
      </c>
      <c r="E3884" s="35" t="str">
        <f t="shared" si="929"/>
        <v>PRBDP'!</v>
      </c>
      <c r="F3884" s="34" t="str">
        <f t="shared" si="930"/>
        <v>C:\Users\jaime.benazar\Quorum Business Solutions\Ecopetrol Prometeo - Documents\Planning Space Implementation\3. Analysis &amp; Design\Design\FC22\DRR Jaime\Neiva CPI\[DINA TERCIARIOS_CF_SEC_New_27-Mar-2024.xlsx]D-PRBDP'!</v>
      </c>
      <c r="G3884" s="32" t="s">
        <v>125</v>
      </c>
      <c r="H3884" s="33"/>
      <c r="I3884" s="33"/>
      <c r="J3884" s="37"/>
    </row>
    <row r="3885" spans="1:10" x14ac:dyDescent="0.3">
      <c r="A3885" s="32" t="s">
        <v>17</v>
      </c>
      <c r="B3885" s="32">
        <f t="shared" si="931"/>
        <v>2030</v>
      </c>
      <c r="C3885" s="33" t="s">
        <v>43</v>
      </c>
      <c r="D3885" s="34" t="s">
        <v>2002</v>
      </c>
      <c r="E3885" s="35" t="str">
        <f t="shared" si="929"/>
        <v>PRBDP'!</v>
      </c>
      <c r="F3885" s="34" t="str">
        <f t="shared" si="930"/>
        <v>C:\Users\jaime.benazar\Quorum Business Solutions\Ecopetrol Prometeo - Documents\Planning Space Implementation\3. Analysis &amp; Design\Design\FC22\DRR Jaime\Neiva CPI\[DINA TERCIARIOS_CF_SEC_New_27-Mar-2024.xlsx]D-PRBDP'!</v>
      </c>
      <c r="G3885" s="32" t="s">
        <v>125</v>
      </c>
      <c r="H3885" s="33"/>
      <c r="I3885" s="33"/>
      <c r="J3885" s="37"/>
    </row>
    <row r="3886" spans="1:10" x14ac:dyDescent="0.3">
      <c r="A3886" s="32" t="s">
        <v>17</v>
      </c>
      <c r="B3886" s="32">
        <f t="shared" si="931"/>
        <v>2031</v>
      </c>
      <c r="C3886" s="33" t="s">
        <v>43</v>
      </c>
      <c r="D3886" s="34" t="s">
        <v>2002</v>
      </c>
      <c r="E3886" s="35" t="str">
        <f t="shared" si="929"/>
        <v>PRBDP'!</v>
      </c>
      <c r="F3886" s="34" t="str">
        <f t="shared" si="930"/>
        <v>C:\Users\jaime.benazar\Quorum Business Solutions\Ecopetrol Prometeo - Documents\Planning Space Implementation\3. Analysis &amp; Design\Design\FC22\DRR Jaime\Neiva CPI\[DINA TERCIARIOS_CF_SEC_New_27-Mar-2024.xlsx]D-PRBDP'!</v>
      </c>
      <c r="G3886" s="32" t="s">
        <v>125</v>
      </c>
      <c r="H3886" s="33"/>
      <c r="I3886" s="33"/>
      <c r="J3886" s="37"/>
    </row>
    <row r="3887" spans="1:10" x14ac:dyDescent="0.3">
      <c r="A3887" s="32" t="s">
        <v>17</v>
      </c>
      <c r="B3887" s="32">
        <f t="shared" si="931"/>
        <v>2032</v>
      </c>
      <c r="C3887" s="33" t="s">
        <v>43</v>
      </c>
      <c r="D3887" s="34" t="s">
        <v>2002</v>
      </c>
      <c r="E3887" s="35" t="str">
        <f t="shared" si="929"/>
        <v>PRBDP'!</v>
      </c>
      <c r="F3887" s="34" t="str">
        <f t="shared" si="930"/>
        <v>C:\Users\jaime.benazar\Quorum Business Solutions\Ecopetrol Prometeo - Documents\Planning Space Implementation\3. Analysis &amp; Design\Design\FC22\DRR Jaime\Neiva CPI\[DINA TERCIARIOS_CF_SEC_New_27-Mar-2024.xlsx]D-PRBDP'!</v>
      </c>
      <c r="G3887" s="32" t="s">
        <v>125</v>
      </c>
      <c r="H3887" s="33"/>
      <c r="I3887" s="33"/>
      <c r="J3887" s="37"/>
    </row>
    <row r="3888" spans="1:10" x14ac:dyDescent="0.3">
      <c r="A3888" s="32" t="s">
        <v>17</v>
      </c>
      <c r="B3888" s="32">
        <f t="shared" si="931"/>
        <v>2033</v>
      </c>
      <c r="C3888" s="33" t="s">
        <v>43</v>
      </c>
      <c r="D3888" s="34" t="s">
        <v>2002</v>
      </c>
      <c r="E3888" s="35" t="str">
        <f t="shared" si="929"/>
        <v>PRBDP'!</v>
      </c>
      <c r="F3888" s="34" t="str">
        <f t="shared" si="930"/>
        <v>C:\Users\jaime.benazar\Quorum Business Solutions\Ecopetrol Prometeo - Documents\Planning Space Implementation\3. Analysis &amp; Design\Design\FC22\DRR Jaime\Neiva CPI\[DINA TERCIARIOS_CF_SEC_New_27-Mar-2024.xlsx]D-PRBDP'!</v>
      </c>
      <c r="G3888" s="32" t="s">
        <v>125</v>
      </c>
      <c r="H3888" s="33"/>
      <c r="I3888" s="33"/>
      <c r="J3888" s="37"/>
    </row>
    <row r="3889" spans="1:10" x14ac:dyDescent="0.3">
      <c r="A3889" s="32" t="s">
        <v>17</v>
      </c>
      <c r="B3889" s="32">
        <f t="shared" si="931"/>
        <v>2034</v>
      </c>
      <c r="C3889" s="33" t="s">
        <v>43</v>
      </c>
      <c r="D3889" s="34" t="s">
        <v>2002</v>
      </c>
      <c r="E3889" s="35" t="str">
        <f t="shared" si="929"/>
        <v>PRBDP'!</v>
      </c>
      <c r="F3889" s="34" t="str">
        <f t="shared" si="930"/>
        <v>C:\Users\jaime.benazar\Quorum Business Solutions\Ecopetrol Prometeo - Documents\Planning Space Implementation\3. Analysis &amp; Design\Design\FC22\DRR Jaime\Neiva CPI\[DINA TERCIARIOS_CF_SEC_New_27-Mar-2024.xlsx]D-PRBDP'!</v>
      </c>
      <c r="G3889" s="32" t="s">
        <v>125</v>
      </c>
      <c r="H3889" s="33"/>
      <c r="I3889" s="33"/>
      <c r="J3889" s="37"/>
    </row>
    <row r="3890" spans="1:10" x14ac:dyDescent="0.3">
      <c r="A3890" s="32" t="s">
        <v>17</v>
      </c>
      <c r="B3890" s="32">
        <f t="shared" si="931"/>
        <v>2035</v>
      </c>
      <c r="C3890" s="33" t="s">
        <v>43</v>
      </c>
      <c r="D3890" s="34" t="s">
        <v>2002</v>
      </c>
      <c r="E3890" s="35" t="str">
        <f t="shared" si="929"/>
        <v>PRBDP'!</v>
      </c>
      <c r="F3890" s="34" t="str">
        <f t="shared" si="930"/>
        <v>C:\Users\jaime.benazar\Quorum Business Solutions\Ecopetrol Prometeo - Documents\Planning Space Implementation\3. Analysis &amp; Design\Design\FC22\DRR Jaime\Neiva CPI\[DINA TERCIARIOS_CF_SEC_New_27-Mar-2024.xlsx]D-PRBDP'!</v>
      </c>
      <c r="G3890" s="32" t="s">
        <v>125</v>
      </c>
      <c r="H3890" s="33"/>
      <c r="I3890" s="33"/>
      <c r="J3890" s="37"/>
    </row>
    <row r="3891" spans="1:10" x14ac:dyDescent="0.3">
      <c r="A3891" s="32" t="s">
        <v>17</v>
      </c>
      <c r="B3891" s="32">
        <f t="shared" si="931"/>
        <v>2036</v>
      </c>
      <c r="C3891" s="33" t="s">
        <v>43</v>
      </c>
      <c r="D3891" s="34" t="s">
        <v>2002</v>
      </c>
      <c r="E3891" s="35" t="str">
        <f t="shared" si="929"/>
        <v>PRBDP'!</v>
      </c>
      <c r="F3891" s="34" t="str">
        <f t="shared" si="930"/>
        <v>C:\Users\jaime.benazar\Quorum Business Solutions\Ecopetrol Prometeo - Documents\Planning Space Implementation\3. Analysis &amp; Design\Design\FC22\DRR Jaime\Neiva CPI\[DINA TERCIARIOS_CF_SEC_New_27-Mar-2024.xlsx]D-PRBDP'!</v>
      </c>
      <c r="G3891" s="32" t="s">
        <v>125</v>
      </c>
      <c r="H3891" s="33"/>
      <c r="I3891" s="33"/>
      <c r="J3891" s="37"/>
    </row>
    <row r="3892" spans="1:10" x14ac:dyDescent="0.3">
      <c r="A3892" s="32" t="s">
        <v>17</v>
      </c>
      <c r="B3892" s="32">
        <f>+B3891+1</f>
        <v>2037</v>
      </c>
      <c r="C3892" s="33" t="s">
        <v>43</v>
      </c>
      <c r="D3892" s="34" t="s">
        <v>2002</v>
      </c>
      <c r="E3892" s="35" t="str">
        <f t="shared" si="929"/>
        <v>PRBDP'!</v>
      </c>
      <c r="F3892" s="34" t="str">
        <f t="shared" si="930"/>
        <v>C:\Users\jaime.benazar\Quorum Business Solutions\Ecopetrol Prometeo - Documents\Planning Space Implementation\3. Analysis &amp; Design\Design\FC22\DRR Jaime\Neiva CPI\[DINA TERCIARIOS_CF_SEC_New_27-Mar-2024.xlsx]D-PRBDP'!</v>
      </c>
      <c r="G3892" s="32" t="s">
        <v>125</v>
      </c>
      <c r="H3892" s="33"/>
      <c r="I3892" s="33"/>
      <c r="J3892" s="37"/>
    </row>
    <row r="3893" spans="1:10" x14ac:dyDescent="0.3">
      <c r="A3893" s="32" t="s">
        <v>17</v>
      </c>
      <c r="B3893" s="32">
        <f t="shared" ref="B3893:B3895" si="932">+B3892+1</f>
        <v>2038</v>
      </c>
      <c r="C3893" s="33" t="s">
        <v>43</v>
      </c>
      <c r="D3893" s="34" t="s">
        <v>2002</v>
      </c>
      <c r="E3893" s="35" t="str">
        <f t="shared" si="929"/>
        <v>PRBDP'!</v>
      </c>
      <c r="F3893" s="34" t="str">
        <f t="shared" si="930"/>
        <v>C:\Users\jaime.benazar\Quorum Business Solutions\Ecopetrol Prometeo - Documents\Planning Space Implementation\3. Analysis &amp; Design\Design\FC22\DRR Jaime\Neiva CPI\[DINA TERCIARIOS_CF_SEC_New_27-Mar-2024.xlsx]D-PRBDP'!</v>
      </c>
      <c r="G3893" s="32" t="s">
        <v>125</v>
      </c>
      <c r="H3893" s="33"/>
      <c r="I3893" s="33"/>
      <c r="J3893" s="37"/>
    </row>
    <row r="3894" spans="1:10" x14ac:dyDescent="0.3">
      <c r="A3894" s="32" t="s">
        <v>17</v>
      </c>
      <c r="B3894" s="32">
        <f t="shared" si="932"/>
        <v>2039</v>
      </c>
      <c r="C3894" s="33" t="s">
        <v>43</v>
      </c>
      <c r="D3894" s="34" t="s">
        <v>2002</v>
      </c>
      <c r="E3894" s="35" t="str">
        <f t="shared" si="929"/>
        <v>PRBDP'!</v>
      </c>
      <c r="F3894" s="34" t="str">
        <f t="shared" si="930"/>
        <v>C:\Users\jaime.benazar\Quorum Business Solutions\Ecopetrol Prometeo - Documents\Planning Space Implementation\3. Analysis &amp; Design\Design\FC22\DRR Jaime\Neiva CPI\[DINA TERCIARIOS_CF_SEC_New_27-Mar-2024.xlsx]D-PRBDP'!</v>
      </c>
      <c r="G3894" s="32" t="s">
        <v>125</v>
      </c>
      <c r="H3894" s="33"/>
      <c r="I3894" s="33"/>
      <c r="J3894" s="37"/>
    </row>
    <row r="3895" spans="1:10" x14ac:dyDescent="0.3">
      <c r="A3895" s="32" t="s">
        <v>17</v>
      </c>
      <c r="B3895" s="32">
        <f t="shared" si="932"/>
        <v>2040</v>
      </c>
      <c r="C3895" s="33" t="s">
        <v>43</v>
      </c>
      <c r="D3895" s="34" t="s">
        <v>2002</v>
      </c>
      <c r="E3895" s="35" t="str">
        <f t="shared" si="929"/>
        <v>PRBDP'!</v>
      </c>
      <c r="F3895" s="34" t="str">
        <f t="shared" si="930"/>
        <v>C:\Users\jaime.benazar\Quorum Business Solutions\Ecopetrol Prometeo - Documents\Planning Space Implementation\3. Analysis &amp; Design\Design\FC22\DRR Jaime\Neiva CPI\[DINA TERCIARIOS_CF_SEC_New_27-Mar-2024.xlsx]D-PRBDP'!</v>
      </c>
      <c r="G3895" s="32" t="s">
        <v>125</v>
      </c>
      <c r="H3895" s="33"/>
      <c r="I3895" s="33"/>
      <c r="J3895" s="37"/>
    </row>
    <row r="3896" spans="1:10" x14ac:dyDescent="0.3">
      <c r="A3896" s="32" t="s">
        <v>17</v>
      </c>
      <c r="B3896" s="32">
        <f>+B3895+1</f>
        <v>2041</v>
      </c>
      <c r="C3896" s="33" t="s">
        <v>43</v>
      </c>
      <c r="D3896" s="34" t="s">
        <v>2002</v>
      </c>
      <c r="E3896" s="35" t="str">
        <f t="shared" si="929"/>
        <v>PRBDP'!</v>
      </c>
      <c r="F3896" s="34" t="str">
        <f t="shared" si="930"/>
        <v>C:\Users\jaime.benazar\Quorum Business Solutions\Ecopetrol Prometeo - Documents\Planning Space Implementation\3. Analysis &amp; Design\Design\FC22\DRR Jaime\Neiva CPI\[DINA TERCIARIOS_CF_SEC_New_27-Mar-2024.xlsx]D-PRBDP'!</v>
      </c>
      <c r="G3896" s="32" t="s">
        <v>125</v>
      </c>
      <c r="H3896" s="33"/>
      <c r="I3896" s="33"/>
      <c r="J3896" s="37"/>
    </row>
    <row r="3897" spans="1:10" x14ac:dyDescent="0.3">
      <c r="A3897" s="32" t="s">
        <v>17</v>
      </c>
      <c r="B3897" s="32">
        <f t="shared" ref="B3897:B3898" si="933">+B3896+1</f>
        <v>2042</v>
      </c>
      <c r="C3897" s="33" t="s">
        <v>43</v>
      </c>
      <c r="D3897" s="34" t="s">
        <v>2002</v>
      </c>
      <c r="E3897" s="35" t="str">
        <f t="shared" si="929"/>
        <v>PRBDP'!</v>
      </c>
      <c r="F3897" s="34" t="str">
        <f t="shared" si="930"/>
        <v>C:\Users\jaime.benazar\Quorum Business Solutions\Ecopetrol Prometeo - Documents\Planning Space Implementation\3. Analysis &amp; Design\Design\FC22\DRR Jaime\Neiva CPI\[DINA TERCIARIOS_CF_SEC_New_27-Mar-2024.xlsx]D-PRBDP'!</v>
      </c>
      <c r="G3897" s="32" t="s">
        <v>125</v>
      </c>
      <c r="H3897" s="33"/>
      <c r="I3897" s="33"/>
      <c r="J3897" s="37"/>
    </row>
    <row r="3898" spans="1:10" x14ac:dyDescent="0.3">
      <c r="A3898" s="32" t="s">
        <v>17</v>
      </c>
      <c r="B3898" s="32">
        <f t="shared" si="933"/>
        <v>2043</v>
      </c>
      <c r="C3898" s="33" t="s">
        <v>43</v>
      </c>
      <c r="D3898" s="34" t="s">
        <v>2002</v>
      </c>
      <c r="E3898" s="35" t="str">
        <f t="shared" si="929"/>
        <v>PRBDP'!</v>
      </c>
      <c r="F3898" s="34" t="str">
        <f t="shared" si="930"/>
        <v>C:\Users\jaime.benazar\Quorum Business Solutions\Ecopetrol Prometeo - Documents\Planning Space Implementation\3. Analysis &amp; Design\Design\FC22\DRR Jaime\Neiva CPI\[DINA TERCIARIOS_CF_SEC_New_27-Mar-2024.xlsx]D-PRBDP'!</v>
      </c>
      <c r="G3898" s="32" t="s">
        <v>125</v>
      </c>
      <c r="H3898" s="33"/>
      <c r="I3898" s="33"/>
      <c r="J3898" s="37"/>
    </row>
    <row r="3899" spans="1:10" x14ac:dyDescent="0.3">
      <c r="A3899" s="32" t="s">
        <v>17</v>
      </c>
      <c r="B3899" s="32">
        <f>+B3898+1</f>
        <v>2044</v>
      </c>
      <c r="C3899" s="33" t="s">
        <v>43</v>
      </c>
      <c r="D3899" s="34" t="s">
        <v>2002</v>
      </c>
      <c r="E3899" s="35" t="str">
        <f t="shared" ref="E3899:E3914" si="934">_xlfn.CONCAT(A3899,"'!")</f>
        <v>PRBDP'!</v>
      </c>
      <c r="F3899" s="34" t="str">
        <f t="shared" ref="F3899:F3914" si="935">_xlfn.CONCAT(D3899:E3899)</f>
        <v>C:\Users\jaime.benazar\Quorum Business Solutions\Ecopetrol Prometeo - Documents\Planning Space Implementation\3. Analysis &amp; Design\Design\FC22\DRR Jaime\Neiva CPI\[DINA TERCIARIOS_CF_SEC_New_27-Mar-2024.xlsx]D-PRBDP'!</v>
      </c>
      <c r="G3899" s="32" t="s">
        <v>125</v>
      </c>
      <c r="H3899" s="33"/>
      <c r="I3899" s="33"/>
      <c r="J3899" s="37"/>
    </row>
    <row r="3900" spans="1:10" x14ac:dyDescent="0.3">
      <c r="A3900" s="32" t="s">
        <v>17</v>
      </c>
      <c r="B3900" s="32">
        <f t="shared" ref="B3900:B3914" si="936">+B3899+1</f>
        <v>2045</v>
      </c>
      <c r="C3900" s="33" t="s">
        <v>43</v>
      </c>
      <c r="D3900" s="34" t="s">
        <v>2002</v>
      </c>
      <c r="E3900" s="35" t="str">
        <f t="shared" si="934"/>
        <v>PRBDP'!</v>
      </c>
      <c r="F3900" s="34" t="str">
        <f t="shared" si="935"/>
        <v>C:\Users\jaime.benazar\Quorum Business Solutions\Ecopetrol Prometeo - Documents\Planning Space Implementation\3. Analysis &amp; Design\Design\FC22\DRR Jaime\Neiva CPI\[DINA TERCIARIOS_CF_SEC_New_27-Mar-2024.xlsx]D-PRBDP'!</v>
      </c>
      <c r="G3900" s="32" t="s">
        <v>125</v>
      </c>
      <c r="H3900" s="33"/>
      <c r="I3900" s="33"/>
      <c r="J3900" s="37"/>
    </row>
    <row r="3901" spans="1:10" x14ac:dyDescent="0.3">
      <c r="A3901" s="32" t="s">
        <v>17</v>
      </c>
      <c r="B3901" s="32">
        <f t="shared" si="936"/>
        <v>2046</v>
      </c>
      <c r="C3901" s="33" t="s">
        <v>43</v>
      </c>
      <c r="D3901" s="34" t="s">
        <v>2002</v>
      </c>
      <c r="E3901" s="35" t="str">
        <f t="shared" si="934"/>
        <v>PRBDP'!</v>
      </c>
      <c r="F3901" s="34" t="str">
        <f t="shared" si="935"/>
        <v>C:\Users\jaime.benazar\Quorum Business Solutions\Ecopetrol Prometeo - Documents\Planning Space Implementation\3. Analysis &amp; Design\Design\FC22\DRR Jaime\Neiva CPI\[DINA TERCIARIOS_CF_SEC_New_27-Mar-2024.xlsx]D-PRBDP'!</v>
      </c>
      <c r="G3901" s="32" t="s">
        <v>125</v>
      </c>
      <c r="H3901" s="33"/>
      <c r="I3901" s="33"/>
      <c r="J3901" s="37"/>
    </row>
    <row r="3902" spans="1:10" x14ac:dyDescent="0.3">
      <c r="A3902" s="32" t="s">
        <v>17</v>
      </c>
      <c r="B3902" s="32">
        <f t="shared" si="936"/>
        <v>2047</v>
      </c>
      <c r="C3902" s="33" t="s">
        <v>43</v>
      </c>
      <c r="D3902" s="34" t="s">
        <v>2002</v>
      </c>
      <c r="E3902" s="35" t="str">
        <f t="shared" si="934"/>
        <v>PRBDP'!</v>
      </c>
      <c r="F3902" s="34" t="str">
        <f t="shared" si="935"/>
        <v>C:\Users\jaime.benazar\Quorum Business Solutions\Ecopetrol Prometeo - Documents\Planning Space Implementation\3. Analysis &amp; Design\Design\FC22\DRR Jaime\Neiva CPI\[DINA TERCIARIOS_CF_SEC_New_27-Mar-2024.xlsx]D-PRBDP'!</v>
      </c>
      <c r="G3902" s="32" t="s">
        <v>125</v>
      </c>
      <c r="H3902" s="33"/>
      <c r="I3902" s="33"/>
      <c r="J3902" s="37"/>
    </row>
    <row r="3903" spans="1:10" x14ac:dyDescent="0.3">
      <c r="A3903" s="32" t="s">
        <v>17</v>
      </c>
      <c r="B3903" s="32">
        <f t="shared" si="936"/>
        <v>2048</v>
      </c>
      <c r="C3903" s="33" t="s">
        <v>43</v>
      </c>
      <c r="D3903" s="34" t="s">
        <v>2002</v>
      </c>
      <c r="E3903" s="35" t="str">
        <f t="shared" si="934"/>
        <v>PRBDP'!</v>
      </c>
      <c r="F3903" s="34" t="str">
        <f t="shared" si="935"/>
        <v>C:\Users\jaime.benazar\Quorum Business Solutions\Ecopetrol Prometeo - Documents\Planning Space Implementation\3. Analysis &amp; Design\Design\FC22\DRR Jaime\Neiva CPI\[DINA TERCIARIOS_CF_SEC_New_27-Mar-2024.xlsx]D-PRBDP'!</v>
      </c>
      <c r="G3903" s="32" t="s">
        <v>125</v>
      </c>
      <c r="H3903" s="33"/>
      <c r="I3903" s="33"/>
      <c r="J3903" s="37"/>
    </row>
    <row r="3904" spans="1:10" x14ac:dyDescent="0.3">
      <c r="A3904" s="32" t="s">
        <v>17</v>
      </c>
      <c r="B3904" s="32">
        <f t="shared" si="936"/>
        <v>2049</v>
      </c>
      <c r="C3904" s="33" t="s">
        <v>43</v>
      </c>
      <c r="D3904" s="34" t="s">
        <v>2002</v>
      </c>
      <c r="E3904" s="35" t="str">
        <f t="shared" si="934"/>
        <v>PRBDP'!</v>
      </c>
      <c r="F3904" s="34" t="str">
        <f t="shared" si="935"/>
        <v>C:\Users\jaime.benazar\Quorum Business Solutions\Ecopetrol Prometeo - Documents\Planning Space Implementation\3. Analysis &amp; Design\Design\FC22\DRR Jaime\Neiva CPI\[DINA TERCIARIOS_CF_SEC_New_27-Mar-2024.xlsx]D-PRBDP'!</v>
      </c>
      <c r="G3904" s="32" t="s">
        <v>125</v>
      </c>
      <c r="H3904" s="33"/>
      <c r="I3904" s="33"/>
      <c r="J3904" s="37"/>
    </row>
    <row r="3905" spans="1:10" x14ac:dyDescent="0.3">
      <c r="A3905" s="32" t="s">
        <v>17</v>
      </c>
      <c r="B3905" s="32">
        <f t="shared" si="936"/>
        <v>2050</v>
      </c>
      <c r="C3905" s="33" t="s">
        <v>43</v>
      </c>
      <c r="D3905" s="34" t="s">
        <v>2002</v>
      </c>
      <c r="E3905" s="35" t="str">
        <f t="shared" si="934"/>
        <v>PRBDP'!</v>
      </c>
      <c r="F3905" s="34" t="str">
        <f t="shared" si="935"/>
        <v>C:\Users\jaime.benazar\Quorum Business Solutions\Ecopetrol Prometeo - Documents\Planning Space Implementation\3. Analysis &amp; Design\Design\FC22\DRR Jaime\Neiva CPI\[DINA TERCIARIOS_CF_SEC_New_27-Mar-2024.xlsx]D-PRBDP'!</v>
      </c>
      <c r="G3905" s="32" t="s">
        <v>125</v>
      </c>
      <c r="H3905" s="33"/>
      <c r="I3905" s="33"/>
      <c r="J3905" s="37"/>
    </row>
    <row r="3906" spans="1:10" x14ac:dyDescent="0.3">
      <c r="A3906" s="32" t="s">
        <v>17</v>
      </c>
      <c r="B3906" s="32">
        <f t="shared" si="936"/>
        <v>2051</v>
      </c>
      <c r="C3906" s="33" t="s">
        <v>43</v>
      </c>
      <c r="D3906" s="34" t="s">
        <v>2002</v>
      </c>
      <c r="E3906" s="35" t="str">
        <f t="shared" si="934"/>
        <v>PRBDP'!</v>
      </c>
      <c r="F3906" s="34" t="str">
        <f t="shared" si="935"/>
        <v>C:\Users\jaime.benazar\Quorum Business Solutions\Ecopetrol Prometeo - Documents\Planning Space Implementation\3. Analysis &amp; Design\Design\FC22\DRR Jaime\Neiva CPI\[DINA TERCIARIOS_CF_SEC_New_27-Mar-2024.xlsx]D-PRBDP'!</v>
      </c>
      <c r="G3906" s="32" t="s">
        <v>125</v>
      </c>
      <c r="H3906" s="33"/>
      <c r="I3906" s="33"/>
      <c r="J3906" s="37"/>
    </row>
    <row r="3907" spans="1:10" x14ac:dyDescent="0.3">
      <c r="A3907" s="32" t="s">
        <v>17</v>
      </c>
      <c r="B3907" s="32">
        <f t="shared" si="936"/>
        <v>2052</v>
      </c>
      <c r="C3907" s="33" t="s">
        <v>43</v>
      </c>
      <c r="D3907" s="34" t="s">
        <v>2002</v>
      </c>
      <c r="E3907" s="35" t="str">
        <f t="shared" si="934"/>
        <v>PRBDP'!</v>
      </c>
      <c r="F3907" s="34" t="str">
        <f t="shared" si="935"/>
        <v>C:\Users\jaime.benazar\Quorum Business Solutions\Ecopetrol Prometeo - Documents\Planning Space Implementation\3. Analysis &amp; Design\Design\FC22\DRR Jaime\Neiva CPI\[DINA TERCIARIOS_CF_SEC_New_27-Mar-2024.xlsx]D-PRBDP'!</v>
      </c>
      <c r="G3907" s="32" t="s">
        <v>125</v>
      </c>
      <c r="H3907" s="33"/>
      <c r="I3907" s="33"/>
      <c r="J3907" s="37"/>
    </row>
    <row r="3908" spans="1:10" x14ac:dyDescent="0.3">
      <c r="A3908" s="32" t="s">
        <v>17</v>
      </c>
      <c r="B3908" s="32">
        <f t="shared" si="936"/>
        <v>2053</v>
      </c>
      <c r="C3908" s="33" t="s">
        <v>43</v>
      </c>
      <c r="D3908" s="34" t="s">
        <v>2002</v>
      </c>
      <c r="E3908" s="35" t="str">
        <f t="shared" si="934"/>
        <v>PRBDP'!</v>
      </c>
      <c r="F3908" s="34" t="str">
        <f t="shared" si="935"/>
        <v>C:\Users\jaime.benazar\Quorum Business Solutions\Ecopetrol Prometeo - Documents\Planning Space Implementation\3. Analysis &amp; Design\Design\FC22\DRR Jaime\Neiva CPI\[DINA TERCIARIOS_CF_SEC_New_27-Mar-2024.xlsx]D-PRBDP'!</v>
      </c>
      <c r="G3908" s="32" t="s">
        <v>125</v>
      </c>
      <c r="H3908" s="33"/>
      <c r="I3908" s="33"/>
      <c r="J3908" s="37"/>
    </row>
    <row r="3909" spans="1:10" x14ac:dyDescent="0.3">
      <c r="A3909" s="32" t="s">
        <v>17</v>
      </c>
      <c r="B3909" s="32">
        <f t="shared" si="936"/>
        <v>2054</v>
      </c>
      <c r="C3909" s="33" t="s">
        <v>43</v>
      </c>
      <c r="D3909" s="34" t="s">
        <v>2002</v>
      </c>
      <c r="E3909" s="35" t="str">
        <f t="shared" si="934"/>
        <v>PRBDP'!</v>
      </c>
      <c r="F3909" s="34" t="str">
        <f t="shared" si="935"/>
        <v>C:\Users\jaime.benazar\Quorum Business Solutions\Ecopetrol Prometeo - Documents\Planning Space Implementation\3. Analysis &amp; Design\Design\FC22\DRR Jaime\Neiva CPI\[DINA TERCIARIOS_CF_SEC_New_27-Mar-2024.xlsx]D-PRBDP'!</v>
      </c>
      <c r="G3909" s="32" t="s">
        <v>125</v>
      </c>
      <c r="H3909" s="33"/>
      <c r="I3909" s="33"/>
      <c r="J3909" s="37"/>
    </row>
    <row r="3910" spans="1:10" x14ac:dyDescent="0.3">
      <c r="A3910" s="32" t="s">
        <v>17</v>
      </c>
      <c r="B3910" s="32">
        <f t="shared" si="936"/>
        <v>2055</v>
      </c>
      <c r="C3910" s="33" t="s">
        <v>43</v>
      </c>
      <c r="D3910" s="34" t="s">
        <v>2002</v>
      </c>
      <c r="E3910" s="35" t="str">
        <f t="shared" si="934"/>
        <v>PRBDP'!</v>
      </c>
      <c r="F3910" s="34" t="str">
        <f t="shared" si="935"/>
        <v>C:\Users\jaime.benazar\Quorum Business Solutions\Ecopetrol Prometeo - Documents\Planning Space Implementation\3. Analysis &amp; Design\Design\FC22\DRR Jaime\Neiva CPI\[DINA TERCIARIOS_CF_SEC_New_27-Mar-2024.xlsx]D-PRBDP'!</v>
      </c>
      <c r="G3910" s="32" t="s">
        <v>125</v>
      </c>
      <c r="H3910" s="33"/>
      <c r="I3910" s="33"/>
      <c r="J3910" s="37"/>
    </row>
    <row r="3911" spans="1:10" x14ac:dyDescent="0.3">
      <c r="A3911" s="32" t="s">
        <v>17</v>
      </c>
      <c r="B3911" s="32">
        <f t="shared" si="936"/>
        <v>2056</v>
      </c>
      <c r="C3911" s="33" t="s">
        <v>43</v>
      </c>
      <c r="D3911" s="34" t="s">
        <v>2002</v>
      </c>
      <c r="E3911" s="35" t="str">
        <f t="shared" si="934"/>
        <v>PRBDP'!</v>
      </c>
      <c r="F3911" s="34" t="str">
        <f t="shared" si="935"/>
        <v>C:\Users\jaime.benazar\Quorum Business Solutions\Ecopetrol Prometeo - Documents\Planning Space Implementation\3. Analysis &amp; Design\Design\FC22\DRR Jaime\Neiva CPI\[DINA TERCIARIOS_CF_SEC_New_27-Mar-2024.xlsx]D-PRBDP'!</v>
      </c>
      <c r="G3911" s="32" t="s">
        <v>125</v>
      </c>
      <c r="H3911" s="33"/>
      <c r="I3911" s="33"/>
      <c r="J3911" s="37"/>
    </row>
    <row r="3912" spans="1:10" x14ac:dyDescent="0.3">
      <c r="A3912" s="32" t="s">
        <v>17</v>
      </c>
      <c r="B3912" s="32">
        <f t="shared" si="936"/>
        <v>2057</v>
      </c>
      <c r="C3912" s="33" t="s">
        <v>43</v>
      </c>
      <c r="D3912" s="34" t="s">
        <v>2002</v>
      </c>
      <c r="E3912" s="35" t="str">
        <f t="shared" si="934"/>
        <v>PRBDP'!</v>
      </c>
      <c r="F3912" s="34" t="str">
        <f t="shared" si="935"/>
        <v>C:\Users\jaime.benazar\Quorum Business Solutions\Ecopetrol Prometeo - Documents\Planning Space Implementation\3. Analysis &amp; Design\Design\FC22\DRR Jaime\Neiva CPI\[DINA TERCIARIOS_CF_SEC_New_27-Mar-2024.xlsx]D-PRBDP'!</v>
      </c>
      <c r="G3912" s="32" t="s">
        <v>125</v>
      </c>
      <c r="H3912" s="33"/>
      <c r="I3912" s="33"/>
      <c r="J3912" s="37"/>
    </row>
    <row r="3913" spans="1:10" x14ac:dyDescent="0.3">
      <c r="A3913" s="32" t="s">
        <v>17</v>
      </c>
      <c r="B3913" s="32">
        <f t="shared" si="936"/>
        <v>2058</v>
      </c>
      <c r="C3913" s="33" t="s">
        <v>43</v>
      </c>
      <c r="D3913" s="34" t="s">
        <v>2002</v>
      </c>
      <c r="E3913" s="35" t="str">
        <f t="shared" si="934"/>
        <v>PRBDP'!</v>
      </c>
      <c r="F3913" s="34" t="str">
        <f t="shared" si="935"/>
        <v>C:\Users\jaime.benazar\Quorum Business Solutions\Ecopetrol Prometeo - Documents\Planning Space Implementation\3. Analysis &amp; Design\Design\FC22\DRR Jaime\Neiva CPI\[DINA TERCIARIOS_CF_SEC_New_27-Mar-2024.xlsx]D-PRBDP'!</v>
      </c>
      <c r="G3913" s="32" t="s">
        <v>125</v>
      </c>
      <c r="H3913" s="33"/>
      <c r="I3913" s="33"/>
      <c r="J3913" s="37"/>
    </row>
    <row r="3914" spans="1:10" x14ac:dyDescent="0.3">
      <c r="A3914" s="32" t="s">
        <v>17</v>
      </c>
      <c r="B3914" s="32">
        <f t="shared" si="936"/>
        <v>2059</v>
      </c>
      <c r="C3914" s="33" t="s">
        <v>43</v>
      </c>
      <c r="D3914" s="34" t="s">
        <v>2002</v>
      </c>
      <c r="E3914" s="35" t="str">
        <f t="shared" si="934"/>
        <v>PRBDP'!</v>
      </c>
      <c r="F3914" s="34" t="str">
        <f t="shared" si="935"/>
        <v>C:\Users\jaime.benazar\Quorum Business Solutions\Ecopetrol Prometeo - Documents\Planning Space Implementation\3. Analysis &amp; Design\Design\FC22\DRR Jaime\Neiva CPI\[DINA TERCIARIOS_CF_SEC_New_27-Mar-2024.xlsx]D-PRBDP'!</v>
      </c>
      <c r="G3914" s="32" t="s">
        <v>125</v>
      </c>
      <c r="H3914" s="33"/>
      <c r="I3914" s="33"/>
      <c r="J3914" s="37"/>
    </row>
    <row r="3915" spans="1:10" x14ac:dyDescent="0.3">
      <c r="A3915" s="32" t="s">
        <v>26</v>
      </c>
      <c r="B3915" s="32"/>
      <c r="C3915" s="33" t="s">
        <v>43</v>
      </c>
      <c r="D3915" s="34"/>
      <c r="E3915" s="35"/>
      <c r="F3915" s="34"/>
      <c r="G3915" s="32"/>
      <c r="H3915" s="33"/>
      <c r="I3915" s="33"/>
      <c r="J3915" s="36"/>
    </row>
    <row r="3916" spans="1:10" x14ac:dyDescent="0.3">
      <c r="A3916" s="32" t="s">
        <v>18</v>
      </c>
      <c r="B3916" s="32">
        <v>2023</v>
      </c>
      <c r="C3916" s="33" t="s">
        <v>43</v>
      </c>
      <c r="D3916" s="34" t="s">
        <v>2002</v>
      </c>
      <c r="E3916" s="35" t="str">
        <f t="shared" ref="E3916:E3936" si="937">_xlfn.CONCAT(A3916,"'!")</f>
        <v>PRBNP'!</v>
      </c>
      <c r="F3916" s="34" t="str">
        <f t="shared" ref="F3916:F3936" si="938">_xlfn.CONCAT(D3916:E3916)</f>
        <v>C:\Users\jaime.benazar\Quorum Business Solutions\Ecopetrol Prometeo - Documents\Planning Space Implementation\3. Analysis &amp; Design\Design\FC22\DRR Jaime\Neiva CPI\[DINA TERCIARIOS_CF_SEC_New_27-Mar-2024.xlsx]D-PRBNP'!</v>
      </c>
      <c r="G3916" s="32" t="s">
        <v>125</v>
      </c>
      <c r="H3916" s="33"/>
      <c r="I3916" s="33"/>
      <c r="J3916" s="37"/>
    </row>
    <row r="3917" spans="1:10" x14ac:dyDescent="0.3">
      <c r="A3917" s="32" t="s">
        <v>18</v>
      </c>
      <c r="B3917" s="32">
        <f>+B3916+1</f>
        <v>2024</v>
      </c>
      <c r="C3917" s="33" t="s">
        <v>43</v>
      </c>
      <c r="D3917" s="34" t="s">
        <v>2002</v>
      </c>
      <c r="E3917" s="35" t="str">
        <f t="shared" si="937"/>
        <v>PRBNP'!</v>
      </c>
      <c r="F3917" s="34" t="str">
        <f t="shared" si="938"/>
        <v>C:\Users\jaime.benazar\Quorum Business Solutions\Ecopetrol Prometeo - Documents\Planning Space Implementation\3. Analysis &amp; Design\Design\FC22\DRR Jaime\Neiva CPI\[DINA TERCIARIOS_CF_SEC_New_27-Mar-2024.xlsx]D-PRBNP'!</v>
      </c>
      <c r="G3917" s="32" t="s">
        <v>125</v>
      </c>
      <c r="H3917" s="33"/>
      <c r="I3917" s="33"/>
      <c r="J3917" s="37"/>
    </row>
    <row r="3918" spans="1:10" x14ac:dyDescent="0.3">
      <c r="A3918" s="32" t="s">
        <v>18</v>
      </c>
      <c r="B3918" s="32">
        <f t="shared" ref="B3918:B3929" si="939">+B3917+1</f>
        <v>2025</v>
      </c>
      <c r="C3918" s="33" t="s">
        <v>43</v>
      </c>
      <c r="D3918" s="34" t="s">
        <v>2002</v>
      </c>
      <c r="E3918" s="35" t="str">
        <f t="shared" si="937"/>
        <v>PRBNP'!</v>
      </c>
      <c r="F3918" s="34" t="str">
        <f t="shared" si="938"/>
        <v>C:\Users\jaime.benazar\Quorum Business Solutions\Ecopetrol Prometeo - Documents\Planning Space Implementation\3. Analysis &amp; Design\Design\FC22\DRR Jaime\Neiva CPI\[DINA TERCIARIOS_CF_SEC_New_27-Mar-2024.xlsx]D-PRBNP'!</v>
      </c>
      <c r="G3918" s="32" t="s">
        <v>125</v>
      </c>
      <c r="H3918" s="33"/>
      <c r="I3918" s="33"/>
      <c r="J3918" s="37"/>
    </row>
    <row r="3919" spans="1:10" x14ac:dyDescent="0.3">
      <c r="A3919" s="32" t="s">
        <v>18</v>
      </c>
      <c r="B3919" s="32">
        <f t="shared" si="939"/>
        <v>2026</v>
      </c>
      <c r="C3919" s="33" t="s">
        <v>43</v>
      </c>
      <c r="D3919" s="34" t="s">
        <v>2002</v>
      </c>
      <c r="E3919" s="35" t="str">
        <f t="shared" si="937"/>
        <v>PRBNP'!</v>
      </c>
      <c r="F3919" s="34" t="str">
        <f t="shared" si="938"/>
        <v>C:\Users\jaime.benazar\Quorum Business Solutions\Ecopetrol Prometeo - Documents\Planning Space Implementation\3. Analysis &amp; Design\Design\FC22\DRR Jaime\Neiva CPI\[DINA TERCIARIOS_CF_SEC_New_27-Mar-2024.xlsx]D-PRBNP'!</v>
      </c>
      <c r="G3919" s="32" t="s">
        <v>125</v>
      </c>
      <c r="H3919" s="33"/>
      <c r="I3919" s="33"/>
      <c r="J3919" s="37"/>
    </row>
    <row r="3920" spans="1:10" x14ac:dyDescent="0.3">
      <c r="A3920" s="32" t="s">
        <v>18</v>
      </c>
      <c r="B3920" s="32">
        <f t="shared" si="939"/>
        <v>2027</v>
      </c>
      <c r="C3920" s="33" t="s">
        <v>43</v>
      </c>
      <c r="D3920" s="34" t="s">
        <v>2002</v>
      </c>
      <c r="E3920" s="35" t="str">
        <f t="shared" si="937"/>
        <v>PRBNP'!</v>
      </c>
      <c r="F3920" s="34" t="str">
        <f t="shared" si="938"/>
        <v>C:\Users\jaime.benazar\Quorum Business Solutions\Ecopetrol Prometeo - Documents\Planning Space Implementation\3. Analysis &amp; Design\Design\FC22\DRR Jaime\Neiva CPI\[DINA TERCIARIOS_CF_SEC_New_27-Mar-2024.xlsx]D-PRBNP'!</v>
      </c>
      <c r="G3920" s="32" t="s">
        <v>125</v>
      </c>
      <c r="H3920" s="33"/>
      <c r="I3920" s="33"/>
      <c r="J3920" s="37"/>
    </row>
    <row r="3921" spans="1:10" x14ac:dyDescent="0.3">
      <c r="A3921" s="32" t="s">
        <v>18</v>
      </c>
      <c r="B3921" s="32">
        <f t="shared" si="939"/>
        <v>2028</v>
      </c>
      <c r="C3921" s="33" t="s">
        <v>43</v>
      </c>
      <c r="D3921" s="34" t="s">
        <v>2002</v>
      </c>
      <c r="E3921" s="35" t="str">
        <f t="shared" si="937"/>
        <v>PRBNP'!</v>
      </c>
      <c r="F3921" s="34" t="str">
        <f t="shared" si="938"/>
        <v>C:\Users\jaime.benazar\Quorum Business Solutions\Ecopetrol Prometeo - Documents\Planning Space Implementation\3. Analysis &amp; Design\Design\FC22\DRR Jaime\Neiva CPI\[DINA TERCIARIOS_CF_SEC_New_27-Mar-2024.xlsx]D-PRBNP'!</v>
      </c>
      <c r="G3921" s="32" t="s">
        <v>125</v>
      </c>
      <c r="H3921" s="33"/>
      <c r="I3921" s="33"/>
      <c r="J3921" s="37"/>
    </row>
    <row r="3922" spans="1:10" x14ac:dyDescent="0.3">
      <c r="A3922" s="32" t="s">
        <v>18</v>
      </c>
      <c r="B3922" s="32">
        <f t="shared" si="939"/>
        <v>2029</v>
      </c>
      <c r="C3922" s="33" t="s">
        <v>43</v>
      </c>
      <c r="D3922" s="34" t="s">
        <v>2002</v>
      </c>
      <c r="E3922" s="35" t="str">
        <f t="shared" si="937"/>
        <v>PRBNP'!</v>
      </c>
      <c r="F3922" s="34" t="str">
        <f t="shared" si="938"/>
        <v>C:\Users\jaime.benazar\Quorum Business Solutions\Ecopetrol Prometeo - Documents\Planning Space Implementation\3. Analysis &amp; Design\Design\FC22\DRR Jaime\Neiva CPI\[DINA TERCIARIOS_CF_SEC_New_27-Mar-2024.xlsx]D-PRBNP'!</v>
      </c>
      <c r="G3922" s="32" t="s">
        <v>125</v>
      </c>
      <c r="H3922" s="33"/>
      <c r="I3922" s="33"/>
      <c r="J3922" s="37"/>
    </row>
    <row r="3923" spans="1:10" x14ac:dyDescent="0.3">
      <c r="A3923" s="32" t="s">
        <v>18</v>
      </c>
      <c r="B3923" s="32">
        <f t="shared" si="939"/>
        <v>2030</v>
      </c>
      <c r="C3923" s="33" t="s">
        <v>43</v>
      </c>
      <c r="D3923" s="34" t="s">
        <v>2002</v>
      </c>
      <c r="E3923" s="35" t="str">
        <f t="shared" si="937"/>
        <v>PRBNP'!</v>
      </c>
      <c r="F3923" s="34" t="str">
        <f t="shared" si="938"/>
        <v>C:\Users\jaime.benazar\Quorum Business Solutions\Ecopetrol Prometeo - Documents\Planning Space Implementation\3. Analysis &amp; Design\Design\FC22\DRR Jaime\Neiva CPI\[DINA TERCIARIOS_CF_SEC_New_27-Mar-2024.xlsx]D-PRBNP'!</v>
      </c>
      <c r="G3923" s="32" t="s">
        <v>125</v>
      </c>
      <c r="H3923" s="33"/>
      <c r="I3923" s="33"/>
      <c r="J3923" s="37"/>
    </row>
    <row r="3924" spans="1:10" x14ac:dyDescent="0.3">
      <c r="A3924" s="32" t="s">
        <v>18</v>
      </c>
      <c r="B3924" s="32">
        <f t="shared" si="939"/>
        <v>2031</v>
      </c>
      <c r="C3924" s="33" t="s">
        <v>43</v>
      </c>
      <c r="D3924" s="34" t="s">
        <v>2002</v>
      </c>
      <c r="E3924" s="35" t="str">
        <f t="shared" si="937"/>
        <v>PRBNP'!</v>
      </c>
      <c r="F3924" s="34" t="str">
        <f t="shared" si="938"/>
        <v>C:\Users\jaime.benazar\Quorum Business Solutions\Ecopetrol Prometeo - Documents\Planning Space Implementation\3. Analysis &amp; Design\Design\FC22\DRR Jaime\Neiva CPI\[DINA TERCIARIOS_CF_SEC_New_27-Mar-2024.xlsx]D-PRBNP'!</v>
      </c>
      <c r="G3924" s="32" t="s">
        <v>125</v>
      </c>
      <c r="H3924" s="33"/>
      <c r="I3924" s="33"/>
      <c r="J3924" s="37"/>
    </row>
    <row r="3925" spans="1:10" x14ac:dyDescent="0.3">
      <c r="A3925" s="32" t="s">
        <v>18</v>
      </c>
      <c r="B3925" s="32">
        <f t="shared" si="939"/>
        <v>2032</v>
      </c>
      <c r="C3925" s="33" t="s">
        <v>43</v>
      </c>
      <c r="D3925" s="34" t="s">
        <v>2002</v>
      </c>
      <c r="E3925" s="35" t="str">
        <f t="shared" si="937"/>
        <v>PRBNP'!</v>
      </c>
      <c r="F3925" s="34" t="str">
        <f t="shared" si="938"/>
        <v>C:\Users\jaime.benazar\Quorum Business Solutions\Ecopetrol Prometeo - Documents\Planning Space Implementation\3. Analysis &amp; Design\Design\FC22\DRR Jaime\Neiva CPI\[DINA TERCIARIOS_CF_SEC_New_27-Mar-2024.xlsx]D-PRBNP'!</v>
      </c>
      <c r="G3925" s="32" t="s">
        <v>125</v>
      </c>
      <c r="H3925" s="33"/>
      <c r="I3925" s="33"/>
      <c r="J3925" s="37"/>
    </row>
    <row r="3926" spans="1:10" x14ac:dyDescent="0.3">
      <c r="A3926" s="32" t="s">
        <v>18</v>
      </c>
      <c r="B3926" s="32">
        <f t="shared" si="939"/>
        <v>2033</v>
      </c>
      <c r="C3926" s="33" t="s">
        <v>43</v>
      </c>
      <c r="D3926" s="34" t="s">
        <v>2002</v>
      </c>
      <c r="E3926" s="35" t="str">
        <f t="shared" si="937"/>
        <v>PRBNP'!</v>
      </c>
      <c r="F3926" s="34" t="str">
        <f t="shared" si="938"/>
        <v>C:\Users\jaime.benazar\Quorum Business Solutions\Ecopetrol Prometeo - Documents\Planning Space Implementation\3. Analysis &amp; Design\Design\FC22\DRR Jaime\Neiva CPI\[DINA TERCIARIOS_CF_SEC_New_27-Mar-2024.xlsx]D-PRBNP'!</v>
      </c>
      <c r="G3926" s="32" t="s">
        <v>125</v>
      </c>
      <c r="H3926" s="33"/>
      <c r="I3926" s="33"/>
      <c r="J3926" s="37"/>
    </row>
    <row r="3927" spans="1:10" x14ac:dyDescent="0.3">
      <c r="A3927" s="32" t="s">
        <v>18</v>
      </c>
      <c r="B3927" s="32">
        <f t="shared" si="939"/>
        <v>2034</v>
      </c>
      <c r="C3927" s="33" t="s">
        <v>43</v>
      </c>
      <c r="D3927" s="34" t="s">
        <v>2002</v>
      </c>
      <c r="E3927" s="35" t="str">
        <f t="shared" si="937"/>
        <v>PRBNP'!</v>
      </c>
      <c r="F3927" s="34" t="str">
        <f t="shared" si="938"/>
        <v>C:\Users\jaime.benazar\Quorum Business Solutions\Ecopetrol Prometeo - Documents\Planning Space Implementation\3. Analysis &amp; Design\Design\FC22\DRR Jaime\Neiva CPI\[DINA TERCIARIOS_CF_SEC_New_27-Mar-2024.xlsx]D-PRBNP'!</v>
      </c>
      <c r="G3927" s="32" t="s">
        <v>125</v>
      </c>
      <c r="H3927" s="33"/>
      <c r="I3927" s="33"/>
      <c r="J3927" s="37"/>
    </row>
    <row r="3928" spans="1:10" x14ac:dyDescent="0.3">
      <c r="A3928" s="32" t="s">
        <v>18</v>
      </c>
      <c r="B3928" s="32">
        <f t="shared" si="939"/>
        <v>2035</v>
      </c>
      <c r="C3928" s="33" t="s">
        <v>43</v>
      </c>
      <c r="D3928" s="34" t="s">
        <v>2002</v>
      </c>
      <c r="E3928" s="35" t="str">
        <f t="shared" si="937"/>
        <v>PRBNP'!</v>
      </c>
      <c r="F3928" s="34" t="str">
        <f t="shared" si="938"/>
        <v>C:\Users\jaime.benazar\Quorum Business Solutions\Ecopetrol Prometeo - Documents\Planning Space Implementation\3. Analysis &amp; Design\Design\FC22\DRR Jaime\Neiva CPI\[DINA TERCIARIOS_CF_SEC_New_27-Mar-2024.xlsx]D-PRBNP'!</v>
      </c>
      <c r="G3928" s="32" t="s">
        <v>125</v>
      </c>
      <c r="H3928" s="33"/>
      <c r="I3928" s="33"/>
      <c r="J3928" s="37"/>
    </row>
    <row r="3929" spans="1:10" x14ac:dyDescent="0.3">
      <c r="A3929" s="32" t="s">
        <v>18</v>
      </c>
      <c r="B3929" s="32">
        <f t="shared" si="939"/>
        <v>2036</v>
      </c>
      <c r="C3929" s="33" t="s">
        <v>43</v>
      </c>
      <c r="D3929" s="34" t="s">
        <v>2002</v>
      </c>
      <c r="E3929" s="35" t="str">
        <f t="shared" si="937"/>
        <v>PRBNP'!</v>
      </c>
      <c r="F3929" s="34" t="str">
        <f t="shared" si="938"/>
        <v>C:\Users\jaime.benazar\Quorum Business Solutions\Ecopetrol Prometeo - Documents\Planning Space Implementation\3. Analysis &amp; Design\Design\FC22\DRR Jaime\Neiva CPI\[DINA TERCIARIOS_CF_SEC_New_27-Mar-2024.xlsx]D-PRBNP'!</v>
      </c>
      <c r="G3929" s="32" t="s">
        <v>125</v>
      </c>
      <c r="H3929" s="33"/>
      <c r="I3929" s="33"/>
      <c r="J3929" s="37"/>
    </row>
    <row r="3930" spans="1:10" x14ac:dyDescent="0.3">
      <c r="A3930" s="32" t="s">
        <v>18</v>
      </c>
      <c r="B3930" s="32">
        <f>+B3929+1</f>
        <v>2037</v>
      </c>
      <c r="C3930" s="33" t="s">
        <v>43</v>
      </c>
      <c r="D3930" s="34" t="s">
        <v>2002</v>
      </c>
      <c r="E3930" s="35" t="str">
        <f t="shared" si="937"/>
        <v>PRBNP'!</v>
      </c>
      <c r="F3930" s="34" t="str">
        <f t="shared" si="938"/>
        <v>C:\Users\jaime.benazar\Quorum Business Solutions\Ecopetrol Prometeo - Documents\Planning Space Implementation\3. Analysis &amp; Design\Design\FC22\DRR Jaime\Neiva CPI\[DINA TERCIARIOS_CF_SEC_New_27-Mar-2024.xlsx]D-PRBNP'!</v>
      </c>
      <c r="G3930" s="32" t="s">
        <v>125</v>
      </c>
      <c r="H3930" s="33"/>
      <c r="I3930" s="33"/>
      <c r="J3930" s="37"/>
    </row>
    <row r="3931" spans="1:10" x14ac:dyDescent="0.3">
      <c r="A3931" s="32" t="s">
        <v>18</v>
      </c>
      <c r="B3931" s="32">
        <f t="shared" ref="B3931:B3933" si="940">+B3930+1</f>
        <v>2038</v>
      </c>
      <c r="C3931" s="33" t="s">
        <v>43</v>
      </c>
      <c r="D3931" s="34" t="s">
        <v>2002</v>
      </c>
      <c r="E3931" s="35" t="str">
        <f t="shared" si="937"/>
        <v>PRBNP'!</v>
      </c>
      <c r="F3931" s="34" t="str">
        <f t="shared" si="938"/>
        <v>C:\Users\jaime.benazar\Quorum Business Solutions\Ecopetrol Prometeo - Documents\Planning Space Implementation\3. Analysis &amp; Design\Design\FC22\DRR Jaime\Neiva CPI\[DINA TERCIARIOS_CF_SEC_New_27-Mar-2024.xlsx]D-PRBNP'!</v>
      </c>
      <c r="G3931" s="32" t="s">
        <v>125</v>
      </c>
      <c r="H3931" s="33"/>
      <c r="I3931" s="33"/>
      <c r="J3931" s="37"/>
    </row>
    <row r="3932" spans="1:10" x14ac:dyDescent="0.3">
      <c r="A3932" s="32" t="s">
        <v>18</v>
      </c>
      <c r="B3932" s="32">
        <f t="shared" si="940"/>
        <v>2039</v>
      </c>
      <c r="C3932" s="33" t="s">
        <v>43</v>
      </c>
      <c r="D3932" s="34" t="s">
        <v>2002</v>
      </c>
      <c r="E3932" s="35" t="str">
        <f t="shared" si="937"/>
        <v>PRBNP'!</v>
      </c>
      <c r="F3932" s="34" t="str">
        <f t="shared" si="938"/>
        <v>C:\Users\jaime.benazar\Quorum Business Solutions\Ecopetrol Prometeo - Documents\Planning Space Implementation\3. Analysis &amp; Design\Design\FC22\DRR Jaime\Neiva CPI\[DINA TERCIARIOS_CF_SEC_New_27-Mar-2024.xlsx]D-PRBNP'!</v>
      </c>
      <c r="G3932" s="32" t="s">
        <v>125</v>
      </c>
      <c r="H3932" s="33"/>
      <c r="I3932" s="33"/>
      <c r="J3932" s="37"/>
    </row>
    <row r="3933" spans="1:10" x14ac:dyDescent="0.3">
      <c r="A3933" s="32" t="s">
        <v>18</v>
      </c>
      <c r="B3933" s="32">
        <f t="shared" si="940"/>
        <v>2040</v>
      </c>
      <c r="C3933" s="33" t="s">
        <v>43</v>
      </c>
      <c r="D3933" s="34" t="s">
        <v>2002</v>
      </c>
      <c r="E3933" s="35" t="str">
        <f t="shared" si="937"/>
        <v>PRBNP'!</v>
      </c>
      <c r="F3933" s="34" t="str">
        <f t="shared" si="938"/>
        <v>C:\Users\jaime.benazar\Quorum Business Solutions\Ecopetrol Prometeo - Documents\Planning Space Implementation\3. Analysis &amp; Design\Design\FC22\DRR Jaime\Neiva CPI\[DINA TERCIARIOS_CF_SEC_New_27-Mar-2024.xlsx]D-PRBNP'!</v>
      </c>
      <c r="G3933" s="32" t="s">
        <v>125</v>
      </c>
      <c r="H3933" s="33"/>
      <c r="I3933" s="33"/>
      <c r="J3933" s="37"/>
    </row>
    <row r="3934" spans="1:10" x14ac:dyDescent="0.3">
      <c r="A3934" s="32" t="s">
        <v>18</v>
      </c>
      <c r="B3934" s="32">
        <f>+B3933+1</f>
        <v>2041</v>
      </c>
      <c r="C3934" s="33" t="s">
        <v>43</v>
      </c>
      <c r="D3934" s="34" t="s">
        <v>2002</v>
      </c>
      <c r="E3934" s="35" t="str">
        <f t="shared" si="937"/>
        <v>PRBNP'!</v>
      </c>
      <c r="F3934" s="34" t="str">
        <f t="shared" si="938"/>
        <v>C:\Users\jaime.benazar\Quorum Business Solutions\Ecopetrol Prometeo - Documents\Planning Space Implementation\3. Analysis &amp; Design\Design\FC22\DRR Jaime\Neiva CPI\[DINA TERCIARIOS_CF_SEC_New_27-Mar-2024.xlsx]D-PRBNP'!</v>
      </c>
      <c r="G3934" s="32" t="s">
        <v>125</v>
      </c>
      <c r="H3934" s="33"/>
      <c r="I3934" s="33"/>
      <c r="J3934" s="37"/>
    </row>
    <row r="3935" spans="1:10" x14ac:dyDescent="0.3">
      <c r="A3935" s="32" t="s">
        <v>18</v>
      </c>
      <c r="B3935" s="32">
        <f t="shared" ref="B3935:B3936" si="941">+B3934+1</f>
        <v>2042</v>
      </c>
      <c r="C3935" s="33" t="s">
        <v>43</v>
      </c>
      <c r="D3935" s="34" t="s">
        <v>2002</v>
      </c>
      <c r="E3935" s="35" t="str">
        <f t="shared" si="937"/>
        <v>PRBNP'!</v>
      </c>
      <c r="F3935" s="34" t="str">
        <f t="shared" si="938"/>
        <v>C:\Users\jaime.benazar\Quorum Business Solutions\Ecopetrol Prometeo - Documents\Planning Space Implementation\3. Analysis &amp; Design\Design\FC22\DRR Jaime\Neiva CPI\[DINA TERCIARIOS_CF_SEC_New_27-Mar-2024.xlsx]D-PRBNP'!</v>
      </c>
      <c r="G3935" s="32" t="s">
        <v>125</v>
      </c>
      <c r="H3935" s="33"/>
      <c r="I3935" s="33"/>
      <c r="J3935" s="37"/>
    </row>
    <row r="3936" spans="1:10" x14ac:dyDescent="0.3">
      <c r="A3936" s="32" t="s">
        <v>18</v>
      </c>
      <c r="B3936" s="32">
        <f t="shared" si="941"/>
        <v>2043</v>
      </c>
      <c r="C3936" s="33" t="s">
        <v>43</v>
      </c>
      <c r="D3936" s="34" t="s">
        <v>2002</v>
      </c>
      <c r="E3936" s="35" t="str">
        <f t="shared" si="937"/>
        <v>PRBNP'!</v>
      </c>
      <c r="F3936" s="34" t="str">
        <f t="shared" si="938"/>
        <v>C:\Users\jaime.benazar\Quorum Business Solutions\Ecopetrol Prometeo - Documents\Planning Space Implementation\3. Analysis &amp; Design\Design\FC22\DRR Jaime\Neiva CPI\[DINA TERCIARIOS_CF_SEC_New_27-Mar-2024.xlsx]D-PRBNP'!</v>
      </c>
      <c r="G3936" s="32" t="s">
        <v>125</v>
      </c>
      <c r="H3936" s="33"/>
      <c r="I3936" s="33"/>
      <c r="J3936" s="37"/>
    </row>
    <row r="3937" spans="1:10" x14ac:dyDescent="0.3">
      <c r="A3937" s="32" t="s">
        <v>18</v>
      </c>
      <c r="B3937" s="32">
        <f>+B3936+1</f>
        <v>2044</v>
      </c>
      <c r="C3937" s="33" t="s">
        <v>43</v>
      </c>
      <c r="D3937" s="34" t="s">
        <v>2002</v>
      </c>
      <c r="E3937" s="35" t="str">
        <f t="shared" ref="E3937:E3952" si="942">_xlfn.CONCAT(A3937,"'!")</f>
        <v>PRBNP'!</v>
      </c>
      <c r="F3937" s="34" t="str">
        <f t="shared" ref="F3937:F3952" si="943">_xlfn.CONCAT(D3937:E3937)</f>
        <v>C:\Users\jaime.benazar\Quorum Business Solutions\Ecopetrol Prometeo - Documents\Planning Space Implementation\3. Analysis &amp; Design\Design\FC22\DRR Jaime\Neiva CPI\[DINA TERCIARIOS_CF_SEC_New_27-Mar-2024.xlsx]D-PRBNP'!</v>
      </c>
      <c r="G3937" s="32" t="s">
        <v>125</v>
      </c>
      <c r="H3937" s="33"/>
      <c r="I3937" s="33"/>
      <c r="J3937" s="37"/>
    </row>
    <row r="3938" spans="1:10" x14ac:dyDescent="0.3">
      <c r="A3938" s="32" t="s">
        <v>18</v>
      </c>
      <c r="B3938" s="32">
        <f t="shared" ref="B3938:B3952" si="944">+B3937+1</f>
        <v>2045</v>
      </c>
      <c r="C3938" s="33" t="s">
        <v>43</v>
      </c>
      <c r="D3938" s="34" t="s">
        <v>2002</v>
      </c>
      <c r="E3938" s="35" t="str">
        <f t="shared" si="942"/>
        <v>PRBNP'!</v>
      </c>
      <c r="F3938" s="34" t="str">
        <f t="shared" si="943"/>
        <v>C:\Users\jaime.benazar\Quorum Business Solutions\Ecopetrol Prometeo - Documents\Planning Space Implementation\3. Analysis &amp; Design\Design\FC22\DRR Jaime\Neiva CPI\[DINA TERCIARIOS_CF_SEC_New_27-Mar-2024.xlsx]D-PRBNP'!</v>
      </c>
      <c r="G3938" s="32" t="s">
        <v>125</v>
      </c>
      <c r="H3938" s="33"/>
      <c r="I3938" s="33"/>
      <c r="J3938" s="37"/>
    </row>
    <row r="3939" spans="1:10" x14ac:dyDescent="0.3">
      <c r="A3939" s="32" t="s">
        <v>18</v>
      </c>
      <c r="B3939" s="32">
        <f t="shared" si="944"/>
        <v>2046</v>
      </c>
      <c r="C3939" s="33" t="s">
        <v>43</v>
      </c>
      <c r="D3939" s="34" t="s">
        <v>2002</v>
      </c>
      <c r="E3939" s="35" t="str">
        <f t="shared" si="942"/>
        <v>PRBNP'!</v>
      </c>
      <c r="F3939" s="34" t="str">
        <f t="shared" si="943"/>
        <v>C:\Users\jaime.benazar\Quorum Business Solutions\Ecopetrol Prometeo - Documents\Planning Space Implementation\3. Analysis &amp; Design\Design\FC22\DRR Jaime\Neiva CPI\[DINA TERCIARIOS_CF_SEC_New_27-Mar-2024.xlsx]D-PRBNP'!</v>
      </c>
      <c r="G3939" s="32" t="s">
        <v>125</v>
      </c>
      <c r="H3939" s="33"/>
      <c r="I3939" s="33"/>
      <c r="J3939" s="37"/>
    </row>
    <row r="3940" spans="1:10" x14ac:dyDescent="0.3">
      <c r="A3940" s="32" t="s">
        <v>18</v>
      </c>
      <c r="B3940" s="32">
        <f t="shared" si="944"/>
        <v>2047</v>
      </c>
      <c r="C3940" s="33" t="s">
        <v>43</v>
      </c>
      <c r="D3940" s="34" t="s">
        <v>2002</v>
      </c>
      <c r="E3940" s="35" t="str">
        <f t="shared" si="942"/>
        <v>PRBNP'!</v>
      </c>
      <c r="F3940" s="34" t="str">
        <f t="shared" si="943"/>
        <v>C:\Users\jaime.benazar\Quorum Business Solutions\Ecopetrol Prometeo - Documents\Planning Space Implementation\3. Analysis &amp; Design\Design\FC22\DRR Jaime\Neiva CPI\[DINA TERCIARIOS_CF_SEC_New_27-Mar-2024.xlsx]D-PRBNP'!</v>
      </c>
      <c r="G3940" s="32" t="s">
        <v>125</v>
      </c>
      <c r="H3940" s="33"/>
      <c r="I3940" s="33"/>
      <c r="J3940" s="37"/>
    </row>
    <row r="3941" spans="1:10" x14ac:dyDescent="0.3">
      <c r="A3941" s="32" t="s">
        <v>18</v>
      </c>
      <c r="B3941" s="32">
        <f t="shared" si="944"/>
        <v>2048</v>
      </c>
      <c r="C3941" s="33" t="s">
        <v>43</v>
      </c>
      <c r="D3941" s="34" t="s">
        <v>2002</v>
      </c>
      <c r="E3941" s="35" t="str">
        <f t="shared" si="942"/>
        <v>PRBNP'!</v>
      </c>
      <c r="F3941" s="34" t="str">
        <f t="shared" si="943"/>
        <v>C:\Users\jaime.benazar\Quorum Business Solutions\Ecopetrol Prometeo - Documents\Planning Space Implementation\3. Analysis &amp; Design\Design\FC22\DRR Jaime\Neiva CPI\[DINA TERCIARIOS_CF_SEC_New_27-Mar-2024.xlsx]D-PRBNP'!</v>
      </c>
      <c r="G3941" s="32" t="s">
        <v>125</v>
      </c>
      <c r="H3941" s="33"/>
      <c r="I3941" s="33"/>
      <c r="J3941" s="37"/>
    </row>
    <row r="3942" spans="1:10" x14ac:dyDescent="0.3">
      <c r="A3942" s="32" t="s">
        <v>18</v>
      </c>
      <c r="B3942" s="32">
        <f t="shared" si="944"/>
        <v>2049</v>
      </c>
      <c r="C3942" s="33" t="s">
        <v>43</v>
      </c>
      <c r="D3942" s="34" t="s">
        <v>2002</v>
      </c>
      <c r="E3942" s="35" t="str">
        <f t="shared" si="942"/>
        <v>PRBNP'!</v>
      </c>
      <c r="F3942" s="34" t="str">
        <f t="shared" si="943"/>
        <v>C:\Users\jaime.benazar\Quorum Business Solutions\Ecopetrol Prometeo - Documents\Planning Space Implementation\3. Analysis &amp; Design\Design\FC22\DRR Jaime\Neiva CPI\[DINA TERCIARIOS_CF_SEC_New_27-Mar-2024.xlsx]D-PRBNP'!</v>
      </c>
      <c r="G3942" s="32" t="s">
        <v>125</v>
      </c>
      <c r="H3942" s="33"/>
      <c r="I3942" s="33"/>
      <c r="J3942" s="37"/>
    </row>
    <row r="3943" spans="1:10" x14ac:dyDescent="0.3">
      <c r="A3943" s="32" t="s">
        <v>18</v>
      </c>
      <c r="B3943" s="32">
        <f t="shared" si="944"/>
        <v>2050</v>
      </c>
      <c r="C3943" s="33" t="s">
        <v>43</v>
      </c>
      <c r="D3943" s="34" t="s">
        <v>2002</v>
      </c>
      <c r="E3943" s="35" t="str">
        <f t="shared" si="942"/>
        <v>PRBNP'!</v>
      </c>
      <c r="F3943" s="34" t="str">
        <f t="shared" si="943"/>
        <v>C:\Users\jaime.benazar\Quorum Business Solutions\Ecopetrol Prometeo - Documents\Planning Space Implementation\3. Analysis &amp; Design\Design\FC22\DRR Jaime\Neiva CPI\[DINA TERCIARIOS_CF_SEC_New_27-Mar-2024.xlsx]D-PRBNP'!</v>
      </c>
      <c r="G3943" s="32" t="s">
        <v>125</v>
      </c>
      <c r="H3943" s="33"/>
      <c r="I3943" s="33"/>
      <c r="J3943" s="37"/>
    </row>
    <row r="3944" spans="1:10" x14ac:dyDescent="0.3">
      <c r="A3944" s="32" t="s">
        <v>18</v>
      </c>
      <c r="B3944" s="32">
        <f t="shared" si="944"/>
        <v>2051</v>
      </c>
      <c r="C3944" s="33" t="s">
        <v>43</v>
      </c>
      <c r="D3944" s="34" t="s">
        <v>2002</v>
      </c>
      <c r="E3944" s="35" t="str">
        <f t="shared" si="942"/>
        <v>PRBNP'!</v>
      </c>
      <c r="F3944" s="34" t="str">
        <f t="shared" si="943"/>
        <v>C:\Users\jaime.benazar\Quorum Business Solutions\Ecopetrol Prometeo - Documents\Planning Space Implementation\3. Analysis &amp; Design\Design\FC22\DRR Jaime\Neiva CPI\[DINA TERCIARIOS_CF_SEC_New_27-Mar-2024.xlsx]D-PRBNP'!</v>
      </c>
      <c r="G3944" s="32" t="s">
        <v>125</v>
      </c>
      <c r="H3944" s="33"/>
      <c r="I3944" s="33"/>
      <c r="J3944" s="37"/>
    </row>
    <row r="3945" spans="1:10" x14ac:dyDescent="0.3">
      <c r="A3945" s="32" t="s">
        <v>18</v>
      </c>
      <c r="B3945" s="32">
        <f t="shared" si="944"/>
        <v>2052</v>
      </c>
      <c r="C3945" s="33" t="s">
        <v>43</v>
      </c>
      <c r="D3945" s="34" t="s">
        <v>2002</v>
      </c>
      <c r="E3945" s="35" t="str">
        <f t="shared" si="942"/>
        <v>PRBNP'!</v>
      </c>
      <c r="F3945" s="34" t="str">
        <f t="shared" si="943"/>
        <v>C:\Users\jaime.benazar\Quorum Business Solutions\Ecopetrol Prometeo - Documents\Planning Space Implementation\3. Analysis &amp; Design\Design\FC22\DRR Jaime\Neiva CPI\[DINA TERCIARIOS_CF_SEC_New_27-Mar-2024.xlsx]D-PRBNP'!</v>
      </c>
      <c r="G3945" s="32" t="s">
        <v>125</v>
      </c>
      <c r="H3945" s="33"/>
      <c r="I3945" s="33"/>
      <c r="J3945" s="37"/>
    </row>
    <row r="3946" spans="1:10" x14ac:dyDescent="0.3">
      <c r="A3946" s="32" t="s">
        <v>18</v>
      </c>
      <c r="B3946" s="32">
        <f t="shared" si="944"/>
        <v>2053</v>
      </c>
      <c r="C3946" s="33" t="s">
        <v>43</v>
      </c>
      <c r="D3946" s="34" t="s">
        <v>2002</v>
      </c>
      <c r="E3946" s="35" t="str">
        <f t="shared" si="942"/>
        <v>PRBNP'!</v>
      </c>
      <c r="F3946" s="34" t="str">
        <f t="shared" si="943"/>
        <v>C:\Users\jaime.benazar\Quorum Business Solutions\Ecopetrol Prometeo - Documents\Planning Space Implementation\3. Analysis &amp; Design\Design\FC22\DRR Jaime\Neiva CPI\[DINA TERCIARIOS_CF_SEC_New_27-Mar-2024.xlsx]D-PRBNP'!</v>
      </c>
      <c r="G3946" s="32" t="s">
        <v>125</v>
      </c>
      <c r="H3946" s="33"/>
      <c r="I3946" s="33"/>
      <c r="J3946" s="37"/>
    </row>
    <row r="3947" spans="1:10" x14ac:dyDescent="0.3">
      <c r="A3947" s="32" t="s">
        <v>18</v>
      </c>
      <c r="B3947" s="32">
        <f t="shared" si="944"/>
        <v>2054</v>
      </c>
      <c r="C3947" s="33" t="s">
        <v>43</v>
      </c>
      <c r="D3947" s="34" t="s">
        <v>2002</v>
      </c>
      <c r="E3947" s="35" t="str">
        <f t="shared" si="942"/>
        <v>PRBNP'!</v>
      </c>
      <c r="F3947" s="34" t="str">
        <f t="shared" si="943"/>
        <v>C:\Users\jaime.benazar\Quorum Business Solutions\Ecopetrol Prometeo - Documents\Planning Space Implementation\3. Analysis &amp; Design\Design\FC22\DRR Jaime\Neiva CPI\[DINA TERCIARIOS_CF_SEC_New_27-Mar-2024.xlsx]D-PRBNP'!</v>
      </c>
      <c r="G3947" s="32" t="s">
        <v>125</v>
      </c>
      <c r="H3947" s="33"/>
      <c r="I3947" s="33"/>
      <c r="J3947" s="37"/>
    </row>
    <row r="3948" spans="1:10" x14ac:dyDescent="0.3">
      <c r="A3948" s="32" t="s">
        <v>18</v>
      </c>
      <c r="B3948" s="32">
        <f t="shared" si="944"/>
        <v>2055</v>
      </c>
      <c r="C3948" s="33" t="s">
        <v>43</v>
      </c>
      <c r="D3948" s="34" t="s">
        <v>2002</v>
      </c>
      <c r="E3948" s="35" t="str">
        <f t="shared" si="942"/>
        <v>PRBNP'!</v>
      </c>
      <c r="F3948" s="34" t="str">
        <f t="shared" si="943"/>
        <v>C:\Users\jaime.benazar\Quorum Business Solutions\Ecopetrol Prometeo - Documents\Planning Space Implementation\3. Analysis &amp; Design\Design\FC22\DRR Jaime\Neiva CPI\[DINA TERCIARIOS_CF_SEC_New_27-Mar-2024.xlsx]D-PRBNP'!</v>
      </c>
      <c r="G3948" s="32" t="s">
        <v>125</v>
      </c>
      <c r="H3948" s="33"/>
      <c r="I3948" s="33"/>
      <c r="J3948" s="37"/>
    </row>
    <row r="3949" spans="1:10" x14ac:dyDescent="0.3">
      <c r="A3949" s="32" t="s">
        <v>18</v>
      </c>
      <c r="B3949" s="32">
        <f t="shared" si="944"/>
        <v>2056</v>
      </c>
      <c r="C3949" s="33" t="s">
        <v>43</v>
      </c>
      <c r="D3949" s="34" t="s">
        <v>2002</v>
      </c>
      <c r="E3949" s="35" t="str">
        <f t="shared" si="942"/>
        <v>PRBNP'!</v>
      </c>
      <c r="F3949" s="34" t="str">
        <f t="shared" si="943"/>
        <v>C:\Users\jaime.benazar\Quorum Business Solutions\Ecopetrol Prometeo - Documents\Planning Space Implementation\3. Analysis &amp; Design\Design\FC22\DRR Jaime\Neiva CPI\[DINA TERCIARIOS_CF_SEC_New_27-Mar-2024.xlsx]D-PRBNP'!</v>
      </c>
      <c r="G3949" s="32" t="s">
        <v>125</v>
      </c>
      <c r="H3949" s="33"/>
      <c r="I3949" s="33"/>
      <c r="J3949" s="37"/>
    </row>
    <row r="3950" spans="1:10" x14ac:dyDescent="0.3">
      <c r="A3950" s="32" t="s">
        <v>18</v>
      </c>
      <c r="B3950" s="32">
        <f t="shared" si="944"/>
        <v>2057</v>
      </c>
      <c r="C3950" s="33" t="s">
        <v>43</v>
      </c>
      <c r="D3950" s="34" t="s">
        <v>2002</v>
      </c>
      <c r="E3950" s="35" t="str">
        <f t="shared" si="942"/>
        <v>PRBNP'!</v>
      </c>
      <c r="F3950" s="34" t="str">
        <f t="shared" si="943"/>
        <v>C:\Users\jaime.benazar\Quorum Business Solutions\Ecopetrol Prometeo - Documents\Planning Space Implementation\3. Analysis &amp; Design\Design\FC22\DRR Jaime\Neiva CPI\[DINA TERCIARIOS_CF_SEC_New_27-Mar-2024.xlsx]D-PRBNP'!</v>
      </c>
      <c r="G3950" s="32" t="s">
        <v>125</v>
      </c>
      <c r="H3950" s="33"/>
      <c r="I3950" s="33"/>
      <c r="J3950" s="37"/>
    </row>
    <row r="3951" spans="1:10" x14ac:dyDescent="0.3">
      <c r="A3951" s="32" t="s">
        <v>18</v>
      </c>
      <c r="B3951" s="32">
        <f t="shared" si="944"/>
        <v>2058</v>
      </c>
      <c r="C3951" s="33" t="s">
        <v>43</v>
      </c>
      <c r="D3951" s="34" t="s">
        <v>2002</v>
      </c>
      <c r="E3951" s="35" t="str">
        <f t="shared" si="942"/>
        <v>PRBNP'!</v>
      </c>
      <c r="F3951" s="34" t="str">
        <f t="shared" si="943"/>
        <v>C:\Users\jaime.benazar\Quorum Business Solutions\Ecopetrol Prometeo - Documents\Planning Space Implementation\3. Analysis &amp; Design\Design\FC22\DRR Jaime\Neiva CPI\[DINA TERCIARIOS_CF_SEC_New_27-Mar-2024.xlsx]D-PRBNP'!</v>
      </c>
      <c r="G3951" s="32" t="s">
        <v>125</v>
      </c>
      <c r="H3951" s="33"/>
      <c r="I3951" s="33"/>
      <c r="J3951" s="37"/>
    </row>
    <row r="3952" spans="1:10" x14ac:dyDescent="0.3">
      <c r="A3952" s="32" t="s">
        <v>18</v>
      </c>
      <c r="B3952" s="32">
        <f t="shared" si="944"/>
        <v>2059</v>
      </c>
      <c r="C3952" s="33" t="s">
        <v>43</v>
      </c>
      <c r="D3952" s="34" t="s">
        <v>2002</v>
      </c>
      <c r="E3952" s="35" t="str">
        <f t="shared" si="942"/>
        <v>PRBNP'!</v>
      </c>
      <c r="F3952" s="34" t="str">
        <f t="shared" si="943"/>
        <v>C:\Users\jaime.benazar\Quorum Business Solutions\Ecopetrol Prometeo - Documents\Planning Space Implementation\3. Analysis &amp; Design\Design\FC22\DRR Jaime\Neiva CPI\[DINA TERCIARIOS_CF_SEC_New_27-Mar-2024.xlsx]D-PRBNP'!</v>
      </c>
      <c r="G3952" s="32" t="s">
        <v>125</v>
      </c>
      <c r="H3952" s="33"/>
      <c r="I3952" s="33"/>
      <c r="J3952" s="37"/>
    </row>
    <row r="3953" spans="1:10" x14ac:dyDescent="0.3">
      <c r="A3953" s="32" t="s">
        <v>26</v>
      </c>
      <c r="B3953" s="32"/>
      <c r="C3953" s="33" t="s">
        <v>43</v>
      </c>
      <c r="D3953" s="34"/>
      <c r="E3953" s="35"/>
      <c r="F3953" s="34"/>
      <c r="G3953" s="32"/>
      <c r="H3953" s="33"/>
      <c r="I3953" s="33"/>
      <c r="J3953" s="36"/>
    </row>
    <row r="3954" spans="1:10" x14ac:dyDescent="0.3">
      <c r="A3954" s="32" t="s">
        <v>19</v>
      </c>
      <c r="B3954" s="32">
        <v>2023</v>
      </c>
      <c r="C3954" s="33" t="s">
        <v>43</v>
      </c>
      <c r="D3954" s="34" t="s">
        <v>2002</v>
      </c>
      <c r="E3954" s="35" t="str">
        <f t="shared" ref="E3954:E3974" si="945">_xlfn.CONCAT(A3954,"'!")</f>
        <v>PRBND'!</v>
      </c>
      <c r="F3954" s="34" t="str">
        <f t="shared" ref="F3954:F3974" si="946">_xlfn.CONCAT(D3954:E3954)</f>
        <v>C:\Users\jaime.benazar\Quorum Business Solutions\Ecopetrol Prometeo - Documents\Planning Space Implementation\3. Analysis &amp; Design\Design\FC22\DRR Jaime\Neiva CPI\[DINA TERCIARIOS_CF_SEC_New_27-Mar-2024.xlsx]D-PRBND'!</v>
      </c>
      <c r="G3954" s="32" t="s">
        <v>125</v>
      </c>
      <c r="H3954" s="33"/>
      <c r="I3954" s="33"/>
      <c r="J3954" s="37"/>
    </row>
    <row r="3955" spans="1:10" x14ac:dyDescent="0.3">
      <c r="A3955" s="32" t="s">
        <v>19</v>
      </c>
      <c r="B3955" s="32">
        <f>+B3954+1</f>
        <v>2024</v>
      </c>
      <c r="C3955" s="33" t="s">
        <v>43</v>
      </c>
      <c r="D3955" s="34" t="s">
        <v>2002</v>
      </c>
      <c r="E3955" s="35" t="str">
        <f t="shared" si="945"/>
        <v>PRBND'!</v>
      </c>
      <c r="F3955" s="34" t="str">
        <f t="shared" si="946"/>
        <v>C:\Users\jaime.benazar\Quorum Business Solutions\Ecopetrol Prometeo - Documents\Planning Space Implementation\3. Analysis &amp; Design\Design\FC22\DRR Jaime\Neiva CPI\[DINA TERCIARIOS_CF_SEC_New_27-Mar-2024.xlsx]D-PRBND'!</v>
      </c>
      <c r="G3955" s="32" t="s">
        <v>125</v>
      </c>
      <c r="H3955" s="33"/>
      <c r="I3955" s="33"/>
      <c r="J3955" s="37"/>
    </row>
    <row r="3956" spans="1:10" x14ac:dyDescent="0.3">
      <c r="A3956" s="32" t="s">
        <v>19</v>
      </c>
      <c r="B3956" s="32">
        <f t="shared" ref="B3956:B3967" si="947">+B3955+1</f>
        <v>2025</v>
      </c>
      <c r="C3956" s="33" t="s">
        <v>43</v>
      </c>
      <c r="D3956" s="34" t="s">
        <v>2002</v>
      </c>
      <c r="E3956" s="35" t="str">
        <f t="shared" si="945"/>
        <v>PRBND'!</v>
      </c>
      <c r="F3956" s="34" t="str">
        <f t="shared" si="946"/>
        <v>C:\Users\jaime.benazar\Quorum Business Solutions\Ecopetrol Prometeo - Documents\Planning Space Implementation\3. Analysis &amp; Design\Design\FC22\DRR Jaime\Neiva CPI\[DINA TERCIARIOS_CF_SEC_New_27-Mar-2024.xlsx]D-PRBND'!</v>
      </c>
      <c r="G3956" s="32" t="s">
        <v>125</v>
      </c>
      <c r="H3956" s="33"/>
      <c r="I3956" s="33"/>
      <c r="J3956" s="37"/>
    </row>
    <row r="3957" spans="1:10" x14ac:dyDescent="0.3">
      <c r="A3957" s="32" t="s">
        <v>19</v>
      </c>
      <c r="B3957" s="32">
        <f t="shared" si="947"/>
        <v>2026</v>
      </c>
      <c r="C3957" s="33" t="s">
        <v>43</v>
      </c>
      <c r="D3957" s="34" t="s">
        <v>2002</v>
      </c>
      <c r="E3957" s="35" t="str">
        <f t="shared" si="945"/>
        <v>PRBND'!</v>
      </c>
      <c r="F3957" s="34" t="str">
        <f t="shared" si="946"/>
        <v>C:\Users\jaime.benazar\Quorum Business Solutions\Ecopetrol Prometeo - Documents\Planning Space Implementation\3. Analysis &amp; Design\Design\FC22\DRR Jaime\Neiva CPI\[DINA TERCIARIOS_CF_SEC_New_27-Mar-2024.xlsx]D-PRBND'!</v>
      </c>
      <c r="G3957" s="32" t="s">
        <v>125</v>
      </c>
      <c r="H3957" s="33"/>
      <c r="I3957" s="33"/>
      <c r="J3957" s="37"/>
    </row>
    <row r="3958" spans="1:10" x14ac:dyDescent="0.3">
      <c r="A3958" s="32" t="s">
        <v>19</v>
      </c>
      <c r="B3958" s="32">
        <f t="shared" si="947"/>
        <v>2027</v>
      </c>
      <c r="C3958" s="33" t="s">
        <v>43</v>
      </c>
      <c r="D3958" s="34" t="s">
        <v>2002</v>
      </c>
      <c r="E3958" s="35" t="str">
        <f t="shared" si="945"/>
        <v>PRBND'!</v>
      </c>
      <c r="F3958" s="34" t="str">
        <f t="shared" si="946"/>
        <v>C:\Users\jaime.benazar\Quorum Business Solutions\Ecopetrol Prometeo - Documents\Planning Space Implementation\3. Analysis &amp; Design\Design\FC22\DRR Jaime\Neiva CPI\[DINA TERCIARIOS_CF_SEC_New_27-Mar-2024.xlsx]D-PRBND'!</v>
      </c>
      <c r="G3958" s="32" t="s">
        <v>125</v>
      </c>
      <c r="H3958" s="33"/>
      <c r="I3958" s="33"/>
      <c r="J3958" s="37"/>
    </row>
    <row r="3959" spans="1:10" x14ac:dyDescent="0.3">
      <c r="A3959" s="32" t="s">
        <v>19</v>
      </c>
      <c r="B3959" s="32">
        <f t="shared" si="947"/>
        <v>2028</v>
      </c>
      <c r="C3959" s="33" t="s">
        <v>43</v>
      </c>
      <c r="D3959" s="34" t="s">
        <v>2002</v>
      </c>
      <c r="E3959" s="35" t="str">
        <f t="shared" si="945"/>
        <v>PRBND'!</v>
      </c>
      <c r="F3959" s="34" t="str">
        <f t="shared" si="946"/>
        <v>C:\Users\jaime.benazar\Quorum Business Solutions\Ecopetrol Prometeo - Documents\Planning Space Implementation\3. Analysis &amp; Design\Design\FC22\DRR Jaime\Neiva CPI\[DINA TERCIARIOS_CF_SEC_New_27-Mar-2024.xlsx]D-PRBND'!</v>
      </c>
      <c r="G3959" s="32" t="s">
        <v>125</v>
      </c>
      <c r="H3959" s="33"/>
      <c r="I3959" s="33"/>
      <c r="J3959" s="37"/>
    </row>
    <row r="3960" spans="1:10" x14ac:dyDescent="0.3">
      <c r="A3960" s="32" t="s">
        <v>19</v>
      </c>
      <c r="B3960" s="32">
        <f t="shared" si="947"/>
        <v>2029</v>
      </c>
      <c r="C3960" s="33" t="s">
        <v>43</v>
      </c>
      <c r="D3960" s="34" t="s">
        <v>2002</v>
      </c>
      <c r="E3960" s="35" t="str">
        <f t="shared" si="945"/>
        <v>PRBND'!</v>
      </c>
      <c r="F3960" s="34" t="str">
        <f t="shared" si="946"/>
        <v>C:\Users\jaime.benazar\Quorum Business Solutions\Ecopetrol Prometeo - Documents\Planning Space Implementation\3. Analysis &amp; Design\Design\FC22\DRR Jaime\Neiva CPI\[DINA TERCIARIOS_CF_SEC_New_27-Mar-2024.xlsx]D-PRBND'!</v>
      </c>
      <c r="G3960" s="32" t="s">
        <v>125</v>
      </c>
      <c r="H3960" s="33"/>
      <c r="I3960" s="33"/>
      <c r="J3960" s="37"/>
    </row>
    <row r="3961" spans="1:10" x14ac:dyDescent="0.3">
      <c r="A3961" s="32" t="s">
        <v>19</v>
      </c>
      <c r="B3961" s="32">
        <f t="shared" si="947"/>
        <v>2030</v>
      </c>
      <c r="C3961" s="33" t="s">
        <v>43</v>
      </c>
      <c r="D3961" s="34" t="s">
        <v>2002</v>
      </c>
      <c r="E3961" s="35" t="str">
        <f t="shared" si="945"/>
        <v>PRBND'!</v>
      </c>
      <c r="F3961" s="34" t="str">
        <f t="shared" si="946"/>
        <v>C:\Users\jaime.benazar\Quorum Business Solutions\Ecopetrol Prometeo - Documents\Planning Space Implementation\3. Analysis &amp; Design\Design\FC22\DRR Jaime\Neiva CPI\[DINA TERCIARIOS_CF_SEC_New_27-Mar-2024.xlsx]D-PRBND'!</v>
      </c>
      <c r="G3961" s="32" t="s">
        <v>125</v>
      </c>
      <c r="H3961" s="33"/>
      <c r="I3961" s="33"/>
      <c r="J3961" s="37"/>
    </row>
    <row r="3962" spans="1:10" x14ac:dyDescent="0.3">
      <c r="A3962" s="32" t="s">
        <v>19</v>
      </c>
      <c r="B3962" s="32">
        <f t="shared" si="947"/>
        <v>2031</v>
      </c>
      <c r="C3962" s="33" t="s">
        <v>43</v>
      </c>
      <c r="D3962" s="34" t="s">
        <v>2002</v>
      </c>
      <c r="E3962" s="35" t="str">
        <f t="shared" si="945"/>
        <v>PRBND'!</v>
      </c>
      <c r="F3962" s="34" t="str">
        <f t="shared" si="946"/>
        <v>C:\Users\jaime.benazar\Quorum Business Solutions\Ecopetrol Prometeo - Documents\Planning Space Implementation\3. Analysis &amp; Design\Design\FC22\DRR Jaime\Neiva CPI\[DINA TERCIARIOS_CF_SEC_New_27-Mar-2024.xlsx]D-PRBND'!</v>
      </c>
      <c r="G3962" s="32" t="s">
        <v>125</v>
      </c>
      <c r="H3962" s="33"/>
      <c r="I3962" s="33"/>
      <c r="J3962" s="37"/>
    </row>
    <row r="3963" spans="1:10" x14ac:dyDescent="0.3">
      <c r="A3963" s="32" t="s">
        <v>19</v>
      </c>
      <c r="B3963" s="32">
        <f t="shared" si="947"/>
        <v>2032</v>
      </c>
      <c r="C3963" s="33" t="s">
        <v>43</v>
      </c>
      <c r="D3963" s="34" t="s">
        <v>2002</v>
      </c>
      <c r="E3963" s="35" t="str">
        <f t="shared" si="945"/>
        <v>PRBND'!</v>
      </c>
      <c r="F3963" s="34" t="str">
        <f t="shared" si="946"/>
        <v>C:\Users\jaime.benazar\Quorum Business Solutions\Ecopetrol Prometeo - Documents\Planning Space Implementation\3. Analysis &amp; Design\Design\FC22\DRR Jaime\Neiva CPI\[DINA TERCIARIOS_CF_SEC_New_27-Mar-2024.xlsx]D-PRBND'!</v>
      </c>
      <c r="G3963" s="32" t="s">
        <v>125</v>
      </c>
      <c r="H3963" s="33"/>
      <c r="I3963" s="33"/>
      <c r="J3963" s="37"/>
    </row>
    <row r="3964" spans="1:10" x14ac:dyDescent="0.3">
      <c r="A3964" s="32" t="s">
        <v>19</v>
      </c>
      <c r="B3964" s="32">
        <f t="shared" si="947"/>
        <v>2033</v>
      </c>
      <c r="C3964" s="33" t="s">
        <v>43</v>
      </c>
      <c r="D3964" s="34" t="s">
        <v>2002</v>
      </c>
      <c r="E3964" s="35" t="str">
        <f t="shared" si="945"/>
        <v>PRBND'!</v>
      </c>
      <c r="F3964" s="34" t="str">
        <f t="shared" si="946"/>
        <v>C:\Users\jaime.benazar\Quorum Business Solutions\Ecopetrol Prometeo - Documents\Planning Space Implementation\3. Analysis &amp; Design\Design\FC22\DRR Jaime\Neiva CPI\[DINA TERCIARIOS_CF_SEC_New_27-Mar-2024.xlsx]D-PRBND'!</v>
      </c>
      <c r="G3964" s="32" t="s">
        <v>125</v>
      </c>
      <c r="H3964" s="33"/>
      <c r="I3964" s="33"/>
      <c r="J3964" s="37"/>
    </row>
    <row r="3965" spans="1:10" x14ac:dyDescent="0.3">
      <c r="A3965" s="32" t="s">
        <v>19</v>
      </c>
      <c r="B3965" s="32">
        <f t="shared" si="947"/>
        <v>2034</v>
      </c>
      <c r="C3965" s="33" t="s">
        <v>43</v>
      </c>
      <c r="D3965" s="34" t="s">
        <v>2002</v>
      </c>
      <c r="E3965" s="35" t="str">
        <f t="shared" si="945"/>
        <v>PRBND'!</v>
      </c>
      <c r="F3965" s="34" t="str">
        <f t="shared" si="946"/>
        <v>C:\Users\jaime.benazar\Quorum Business Solutions\Ecopetrol Prometeo - Documents\Planning Space Implementation\3. Analysis &amp; Design\Design\FC22\DRR Jaime\Neiva CPI\[DINA TERCIARIOS_CF_SEC_New_27-Mar-2024.xlsx]D-PRBND'!</v>
      </c>
      <c r="G3965" s="32" t="s">
        <v>125</v>
      </c>
      <c r="H3965" s="33"/>
      <c r="I3965" s="33"/>
      <c r="J3965" s="37"/>
    </row>
    <row r="3966" spans="1:10" x14ac:dyDescent="0.3">
      <c r="A3966" s="32" t="s">
        <v>19</v>
      </c>
      <c r="B3966" s="32">
        <f t="shared" si="947"/>
        <v>2035</v>
      </c>
      <c r="C3966" s="33" t="s">
        <v>43</v>
      </c>
      <c r="D3966" s="34" t="s">
        <v>2002</v>
      </c>
      <c r="E3966" s="35" t="str">
        <f t="shared" si="945"/>
        <v>PRBND'!</v>
      </c>
      <c r="F3966" s="34" t="str">
        <f t="shared" si="946"/>
        <v>C:\Users\jaime.benazar\Quorum Business Solutions\Ecopetrol Prometeo - Documents\Planning Space Implementation\3. Analysis &amp; Design\Design\FC22\DRR Jaime\Neiva CPI\[DINA TERCIARIOS_CF_SEC_New_27-Mar-2024.xlsx]D-PRBND'!</v>
      </c>
      <c r="G3966" s="32" t="s">
        <v>125</v>
      </c>
      <c r="H3966" s="33"/>
      <c r="I3966" s="33"/>
      <c r="J3966" s="37"/>
    </row>
    <row r="3967" spans="1:10" x14ac:dyDescent="0.3">
      <c r="A3967" s="32" t="s">
        <v>19</v>
      </c>
      <c r="B3967" s="32">
        <f t="shared" si="947"/>
        <v>2036</v>
      </c>
      <c r="C3967" s="33" t="s">
        <v>43</v>
      </c>
      <c r="D3967" s="34" t="s">
        <v>2002</v>
      </c>
      <c r="E3967" s="35" t="str">
        <f t="shared" si="945"/>
        <v>PRBND'!</v>
      </c>
      <c r="F3967" s="34" t="str">
        <f t="shared" si="946"/>
        <v>C:\Users\jaime.benazar\Quorum Business Solutions\Ecopetrol Prometeo - Documents\Planning Space Implementation\3. Analysis &amp; Design\Design\FC22\DRR Jaime\Neiva CPI\[DINA TERCIARIOS_CF_SEC_New_27-Mar-2024.xlsx]D-PRBND'!</v>
      </c>
      <c r="G3967" s="32" t="s">
        <v>125</v>
      </c>
      <c r="H3967" s="33"/>
      <c r="I3967" s="33"/>
      <c r="J3967" s="37"/>
    </row>
    <row r="3968" spans="1:10" x14ac:dyDescent="0.3">
      <c r="A3968" s="32" t="s">
        <v>19</v>
      </c>
      <c r="B3968" s="32">
        <f>+B3967+1</f>
        <v>2037</v>
      </c>
      <c r="C3968" s="33" t="s">
        <v>43</v>
      </c>
      <c r="D3968" s="34" t="s">
        <v>2002</v>
      </c>
      <c r="E3968" s="35" t="str">
        <f t="shared" si="945"/>
        <v>PRBND'!</v>
      </c>
      <c r="F3968" s="34" t="str">
        <f t="shared" si="946"/>
        <v>C:\Users\jaime.benazar\Quorum Business Solutions\Ecopetrol Prometeo - Documents\Planning Space Implementation\3. Analysis &amp; Design\Design\FC22\DRR Jaime\Neiva CPI\[DINA TERCIARIOS_CF_SEC_New_27-Mar-2024.xlsx]D-PRBND'!</v>
      </c>
      <c r="G3968" s="32" t="s">
        <v>125</v>
      </c>
      <c r="H3968" s="33"/>
      <c r="I3968" s="33"/>
      <c r="J3968" s="37"/>
    </row>
    <row r="3969" spans="1:10" x14ac:dyDescent="0.3">
      <c r="A3969" s="32" t="s">
        <v>19</v>
      </c>
      <c r="B3969" s="32">
        <f t="shared" ref="B3969:B3971" si="948">+B3968+1</f>
        <v>2038</v>
      </c>
      <c r="C3969" s="33" t="s">
        <v>43</v>
      </c>
      <c r="D3969" s="34" t="s">
        <v>2002</v>
      </c>
      <c r="E3969" s="35" t="str">
        <f t="shared" si="945"/>
        <v>PRBND'!</v>
      </c>
      <c r="F3969" s="34" t="str">
        <f t="shared" si="946"/>
        <v>C:\Users\jaime.benazar\Quorum Business Solutions\Ecopetrol Prometeo - Documents\Planning Space Implementation\3. Analysis &amp; Design\Design\FC22\DRR Jaime\Neiva CPI\[DINA TERCIARIOS_CF_SEC_New_27-Mar-2024.xlsx]D-PRBND'!</v>
      </c>
      <c r="G3969" s="32" t="s">
        <v>125</v>
      </c>
      <c r="H3969" s="33"/>
      <c r="I3969" s="33"/>
      <c r="J3969" s="37"/>
    </row>
    <row r="3970" spans="1:10" x14ac:dyDescent="0.3">
      <c r="A3970" s="32" t="s">
        <v>19</v>
      </c>
      <c r="B3970" s="32">
        <f t="shared" si="948"/>
        <v>2039</v>
      </c>
      <c r="C3970" s="33" t="s">
        <v>43</v>
      </c>
      <c r="D3970" s="34" t="s">
        <v>2002</v>
      </c>
      <c r="E3970" s="35" t="str">
        <f t="shared" si="945"/>
        <v>PRBND'!</v>
      </c>
      <c r="F3970" s="34" t="str">
        <f t="shared" si="946"/>
        <v>C:\Users\jaime.benazar\Quorum Business Solutions\Ecopetrol Prometeo - Documents\Planning Space Implementation\3. Analysis &amp; Design\Design\FC22\DRR Jaime\Neiva CPI\[DINA TERCIARIOS_CF_SEC_New_27-Mar-2024.xlsx]D-PRBND'!</v>
      </c>
      <c r="G3970" s="32" t="s">
        <v>125</v>
      </c>
      <c r="H3970" s="33"/>
      <c r="I3970" s="33"/>
      <c r="J3970" s="37"/>
    </row>
    <row r="3971" spans="1:10" x14ac:dyDescent="0.3">
      <c r="A3971" s="32" t="s">
        <v>19</v>
      </c>
      <c r="B3971" s="32">
        <f t="shared" si="948"/>
        <v>2040</v>
      </c>
      <c r="C3971" s="33" t="s">
        <v>43</v>
      </c>
      <c r="D3971" s="34" t="s">
        <v>2002</v>
      </c>
      <c r="E3971" s="35" t="str">
        <f t="shared" si="945"/>
        <v>PRBND'!</v>
      </c>
      <c r="F3971" s="34" t="str">
        <f t="shared" si="946"/>
        <v>C:\Users\jaime.benazar\Quorum Business Solutions\Ecopetrol Prometeo - Documents\Planning Space Implementation\3. Analysis &amp; Design\Design\FC22\DRR Jaime\Neiva CPI\[DINA TERCIARIOS_CF_SEC_New_27-Mar-2024.xlsx]D-PRBND'!</v>
      </c>
      <c r="G3971" s="32" t="s">
        <v>125</v>
      </c>
      <c r="H3971" s="33"/>
      <c r="I3971" s="33"/>
      <c r="J3971" s="37"/>
    </row>
    <row r="3972" spans="1:10" x14ac:dyDescent="0.3">
      <c r="A3972" s="32" t="s">
        <v>19</v>
      </c>
      <c r="B3972" s="32">
        <f>+B3971+1</f>
        <v>2041</v>
      </c>
      <c r="C3972" s="33" t="s">
        <v>43</v>
      </c>
      <c r="D3972" s="34" t="s">
        <v>2002</v>
      </c>
      <c r="E3972" s="35" t="str">
        <f t="shared" si="945"/>
        <v>PRBND'!</v>
      </c>
      <c r="F3972" s="34" t="str">
        <f t="shared" si="946"/>
        <v>C:\Users\jaime.benazar\Quorum Business Solutions\Ecopetrol Prometeo - Documents\Planning Space Implementation\3. Analysis &amp; Design\Design\FC22\DRR Jaime\Neiva CPI\[DINA TERCIARIOS_CF_SEC_New_27-Mar-2024.xlsx]D-PRBND'!</v>
      </c>
      <c r="G3972" s="32" t="s">
        <v>125</v>
      </c>
      <c r="H3972" s="33"/>
      <c r="I3972" s="33"/>
      <c r="J3972" s="37"/>
    </row>
    <row r="3973" spans="1:10" x14ac:dyDescent="0.3">
      <c r="A3973" s="32" t="s">
        <v>19</v>
      </c>
      <c r="B3973" s="32">
        <f t="shared" ref="B3973:B3974" si="949">+B3972+1</f>
        <v>2042</v>
      </c>
      <c r="C3973" s="33" t="s">
        <v>43</v>
      </c>
      <c r="D3973" s="34" t="s">
        <v>2002</v>
      </c>
      <c r="E3973" s="35" t="str">
        <f t="shared" si="945"/>
        <v>PRBND'!</v>
      </c>
      <c r="F3973" s="34" t="str">
        <f t="shared" si="946"/>
        <v>C:\Users\jaime.benazar\Quorum Business Solutions\Ecopetrol Prometeo - Documents\Planning Space Implementation\3. Analysis &amp; Design\Design\FC22\DRR Jaime\Neiva CPI\[DINA TERCIARIOS_CF_SEC_New_27-Mar-2024.xlsx]D-PRBND'!</v>
      </c>
      <c r="G3973" s="32" t="s">
        <v>125</v>
      </c>
      <c r="H3973" s="33"/>
      <c r="I3973" s="33"/>
      <c r="J3973" s="37"/>
    </row>
    <row r="3974" spans="1:10" x14ac:dyDescent="0.3">
      <c r="A3974" s="32" t="s">
        <v>19</v>
      </c>
      <c r="B3974" s="32">
        <f t="shared" si="949"/>
        <v>2043</v>
      </c>
      <c r="C3974" s="33" t="s">
        <v>43</v>
      </c>
      <c r="D3974" s="34" t="s">
        <v>2002</v>
      </c>
      <c r="E3974" s="35" t="str">
        <f t="shared" si="945"/>
        <v>PRBND'!</v>
      </c>
      <c r="F3974" s="34" t="str">
        <f t="shared" si="946"/>
        <v>C:\Users\jaime.benazar\Quorum Business Solutions\Ecopetrol Prometeo - Documents\Planning Space Implementation\3. Analysis &amp; Design\Design\FC22\DRR Jaime\Neiva CPI\[DINA TERCIARIOS_CF_SEC_New_27-Mar-2024.xlsx]D-PRBND'!</v>
      </c>
      <c r="G3974" s="32" t="s">
        <v>125</v>
      </c>
      <c r="H3974" s="33"/>
      <c r="I3974" s="33"/>
      <c r="J3974" s="37"/>
    </row>
    <row r="3975" spans="1:10" x14ac:dyDescent="0.3">
      <c r="A3975" s="32" t="s">
        <v>19</v>
      </c>
      <c r="B3975" s="32">
        <f>+B3974+1</f>
        <v>2044</v>
      </c>
      <c r="C3975" s="33" t="s">
        <v>43</v>
      </c>
      <c r="D3975" s="34" t="s">
        <v>2002</v>
      </c>
      <c r="E3975" s="35" t="str">
        <f t="shared" ref="E3975:E3990" si="950">_xlfn.CONCAT(A3975,"'!")</f>
        <v>PRBND'!</v>
      </c>
      <c r="F3975" s="34" t="str">
        <f t="shared" ref="F3975:F3990" si="951">_xlfn.CONCAT(D3975:E3975)</f>
        <v>C:\Users\jaime.benazar\Quorum Business Solutions\Ecopetrol Prometeo - Documents\Planning Space Implementation\3. Analysis &amp; Design\Design\FC22\DRR Jaime\Neiva CPI\[DINA TERCIARIOS_CF_SEC_New_27-Mar-2024.xlsx]D-PRBND'!</v>
      </c>
      <c r="G3975" s="32" t="s">
        <v>125</v>
      </c>
      <c r="H3975" s="33"/>
      <c r="I3975" s="33"/>
      <c r="J3975" s="37"/>
    </row>
    <row r="3976" spans="1:10" x14ac:dyDescent="0.3">
      <c r="A3976" s="32" t="s">
        <v>19</v>
      </c>
      <c r="B3976" s="32">
        <f t="shared" ref="B3976:B3990" si="952">+B3975+1</f>
        <v>2045</v>
      </c>
      <c r="C3976" s="33" t="s">
        <v>43</v>
      </c>
      <c r="D3976" s="34" t="s">
        <v>2002</v>
      </c>
      <c r="E3976" s="35" t="str">
        <f t="shared" si="950"/>
        <v>PRBND'!</v>
      </c>
      <c r="F3976" s="34" t="str">
        <f t="shared" si="951"/>
        <v>C:\Users\jaime.benazar\Quorum Business Solutions\Ecopetrol Prometeo - Documents\Planning Space Implementation\3. Analysis &amp; Design\Design\FC22\DRR Jaime\Neiva CPI\[DINA TERCIARIOS_CF_SEC_New_27-Mar-2024.xlsx]D-PRBND'!</v>
      </c>
      <c r="G3976" s="32" t="s">
        <v>125</v>
      </c>
      <c r="H3976" s="33"/>
      <c r="I3976" s="33"/>
      <c r="J3976" s="37"/>
    </row>
    <row r="3977" spans="1:10" x14ac:dyDescent="0.3">
      <c r="A3977" s="32" t="s">
        <v>19</v>
      </c>
      <c r="B3977" s="32">
        <f t="shared" si="952"/>
        <v>2046</v>
      </c>
      <c r="C3977" s="33" t="s">
        <v>43</v>
      </c>
      <c r="D3977" s="34" t="s">
        <v>2002</v>
      </c>
      <c r="E3977" s="35" t="str">
        <f t="shared" si="950"/>
        <v>PRBND'!</v>
      </c>
      <c r="F3977" s="34" t="str">
        <f t="shared" si="951"/>
        <v>C:\Users\jaime.benazar\Quorum Business Solutions\Ecopetrol Prometeo - Documents\Planning Space Implementation\3. Analysis &amp; Design\Design\FC22\DRR Jaime\Neiva CPI\[DINA TERCIARIOS_CF_SEC_New_27-Mar-2024.xlsx]D-PRBND'!</v>
      </c>
      <c r="G3977" s="32" t="s">
        <v>125</v>
      </c>
      <c r="H3977" s="33"/>
      <c r="I3977" s="33"/>
      <c r="J3977" s="37"/>
    </row>
    <row r="3978" spans="1:10" x14ac:dyDescent="0.3">
      <c r="A3978" s="32" t="s">
        <v>19</v>
      </c>
      <c r="B3978" s="32">
        <f t="shared" si="952"/>
        <v>2047</v>
      </c>
      <c r="C3978" s="33" t="s">
        <v>43</v>
      </c>
      <c r="D3978" s="34" t="s">
        <v>2002</v>
      </c>
      <c r="E3978" s="35" t="str">
        <f t="shared" si="950"/>
        <v>PRBND'!</v>
      </c>
      <c r="F3978" s="34" t="str">
        <f t="shared" si="951"/>
        <v>C:\Users\jaime.benazar\Quorum Business Solutions\Ecopetrol Prometeo - Documents\Planning Space Implementation\3. Analysis &amp; Design\Design\FC22\DRR Jaime\Neiva CPI\[DINA TERCIARIOS_CF_SEC_New_27-Mar-2024.xlsx]D-PRBND'!</v>
      </c>
      <c r="G3978" s="32" t="s">
        <v>125</v>
      </c>
      <c r="H3978" s="33"/>
      <c r="I3978" s="33"/>
      <c r="J3978" s="37"/>
    </row>
    <row r="3979" spans="1:10" x14ac:dyDescent="0.3">
      <c r="A3979" s="32" t="s">
        <v>19</v>
      </c>
      <c r="B3979" s="32">
        <f t="shared" si="952"/>
        <v>2048</v>
      </c>
      <c r="C3979" s="33" t="s">
        <v>43</v>
      </c>
      <c r="D3979" s="34" t="s">
        <v>2002</v>
      </c>
      <c r="E3979" s="35" t="str">
        <f t="shared" si="950"/>
        <v>PRBND'!</v>
      </c>
      <c r="F3979" s="34" t="str">
        <f t="shared" si="951"/>
        <v>C:\Users\jaime.benazar\Quorum Business Solutions\Ecopetrol Prometeo - Documents\Planning Space Implementation\3. Analysis &amp; Design\Design\FC22\DRR Jaime\Neiva CPI\[DINA TERCIARIOS_CF_SEC_New_27-Mar-2024.xlsx]D-PRBND'!</v>
      </c>
      <c r="G3979" s="32" t="s">
        <v>125</v>
      </c>
      <c r="H3979" s="33"/>
      <c r="I3979" s="33"/>
      <c r="J3979" s="37"/>
    </row>
    <row r="3980" spans="1:10" x14ac:dyDescent="0.3">
      <c r="A3980" s="32" t="s">
        <v>19</v>
      </c>
      <c r="B3980" s="32">
        <f t="shared" si="952"/>
        <v>2049</v>
      </c>
      <c r="C3980" s="33" t="s">
        <v>43</v>
      </c>
      <c r="D3980" s="34" t="s">
        <v>2002</v>
      </c>
      <c r="E3980" s="35" t="str">
        <f t="shared" si="950"/>
        <v>PRBND'!</v>
      </c>
      <c r="F3980" s="34" t="str">
        <f t="shared" si="951"/>
        <v>C:\Users\jaime.benazar\Quorum Business Solutions\Ecopetrol Prometeo - Documents\Planning Space Implementation\3. Analysis &amp; Design\Design\FC22\DRR Jaime\Neiva CPI\[DINA TERCIARIOS_CF_SEC_New_27-Mar-2024.xlsx]D-PRBND'!</v>
      </c>
      <c r="G3980" s="32" t="s">
        <v>125</v>
      </c>
      <c r="H3980" s="33"/>
      <c r="I3980" s="33"/>
      <c r="J3980" s="37"/>
    </row>
    <row r="3981" spans="1:10" x14ac:dyDescent="0.3">
      <c r="A3981" s="32" t="s">
        <v>19</v>
      </c>
      <c r="B3981" s="32">
        <f t="shared" si="952"/>
        <v>2050</v>
      </c>
      <c r="C3981" s="33" t="s">
        <v>43</v>
      </c>
      <c r="D3981" s="34" t="s">
        <v>2002</v>
      </c>
      <c r="E3981" s="35" t="str">
        <f t="shared" si="950"/>
        <v>PRBND'!</v>
      </c>
      <c r="F3981" s="34" t="str">
        <f t="shared" si="951"/>
        <v>C:\Users\jaime.benazar\Quorum Business Solutions\Ecopetrol Prometeo - Documents\Planning Space Implementation\3. Analysis &amp; Design\Design\FC22\DRR Jaime\Neiva CPI\[DINA TERCIARIOS_CF_SEC_New_27-Mar-2024.xlsx]D-PRBND'!</v>
      </c>
      <c r="G3981" s="32" t="s">
        <v>125</v>
      </c>
      <c r="H3981" s="33"/>
      <c r="I3981" s="33"/>
      <c r="J3981" s="37"/>
    </row>
    <row r="3982" spans="1:10" x14ac:dyDescent="0.3">
      <c r="A3982" s="32" t="s">
        <v>19</v>
      </c>
      <c r="B3982" s="32">
        <f t="shared" si="952"/>
        <v>2051</v>
      </c>
      <c r="C3982" s="33" t="s">
        <v>43</v>
      </c>
      <c r="D3982" s="34" t="s">
        <v>2002</v>
      </c>
      <c r="E3982" s="35" t="str">
        <f t="shared" si="950"/>
        <v>PRBND'!</v>
      </c>
      <c r="F3982" s="34" t="str">
        <f t="shared" si="951"/>
        <v>C:\Users\jaime.benazar\Quorum Business Solutions\Ecopetrol Prometeo - Documents\Planning Space Implementation\3. Analysis &amp; Design\Design\FC22\DRR Jaime\Neiva CPI\[DINA TERCIARIOS_CF_SEC_New_27-Mar-2024.xlsx]D-PRBND'!</v>
      </c>
      <c r="G3982" s="32" t="s">
        <v>125</v>
      </c>
      <c r="H3982" s="33"/>
      <c r="I3982" s="33"/>
      <c r="J3982" s="37"/>
    </row>
    <row r="3983" spans="1:10" x14ac:dyDescent="0.3">
      <c r="A3983" s="32" t="s">
        <v>19</v>
      </c>
      <c r="B3983" s="32">
        <f t="shared" si="952"/>
        <v>2052</v>
      </c>
      <c r="C3983" s="33" t="s">
        <v>43</v>
      </c>
      <c r="D3983" s="34" t="s">
        <v>2002</v>
      </c>
      <c r="E3983" s="35" t="str">
        <f t="shared" si="950"/>
        <v>PRBND'!</v>
      </c>
      <c r="F3983" s="34" t="str">
        <f t="shared" si="951"/>
        <v>C:\Users\jaime.benazar\Quorum Business Solutions\Ecopetrol Prometeo - Documents\Planning Space Implementation\3. Analysis &amp; Design\Design\FC22\DRR Jaime\Neiva CPI\[DINA TERCIARIOS_CF_SEC_New_27-Mar-2024.xlsx]D-PRBND'!</v>
      </c>
      <c r="G3983" s="32" t="s">
        <v>125</v>
      </c>
      <c r="H3983" s="33"/>
      <c r="I3983" s="33"/>
      <c r="J3983" s="37"/>
    </row>
    <row r="3984" spans="1:10" x14ac:dyDescent="0.3">
      <c r="A3984" s="32" t="s">
        <v>19</v>
      </c>
      <c r="B3984" s="32">
        <f t="shared" si="952"/>
        <v>2053</v>
      </c>
      <c r="C3984" s="33" t="s">
        <v>43</v>
      </c>
      <c r="D3984" s="34" t="s">
        <v>2002</v>
      </c>
      <c r="E3984" s="35" t="str">
        <f t="shared" si="950"/>
        <v>PRBND'!</v>
      </c>
      <c r="F3984" s="34" t="str">
        <f t="shared" si="951"/>
        <v>C:\Users\jaime.benazar\Quorum Business Solutions\Ecopetrol Prometeo - Documents\Planning Space Implementation\3. Analysis &amp; Design\Design\FC22\DRR Jaime\Neiva CPI\[DINA TERCIARIOS_CF_SEC_New_27-Mar-2024.xlsx]D-PRBND'!</v>
      </c>
      <c r="G3984" s="32" t="s">
        <v>125</v>
      </c>
      <c r="H3984" s="33"/>
      <c r="I3984" s="33"/>
      <c r="J3984" s="37"/>
    </row>
    <row r="3985" spans="1:10" x14ac:dyDescent="0.3">
      <c r="A3985" s="32" t="s">
        <v>19</v>
      </c>
      <c r="B3985" s="32">
        <f t="shared" si="952"/>
        <v>2054</v>
      </c>
      <c r="C3985" s="33" t="s">
        <v>43</v>
      </c>
      <c r="D3985" s="34" t="s">
        <v>2002</v>
      </c>
      <c r="E3985" s="35" t="str">
        <f t="shared" si="950"/>
        <v>PRBND'!</v>
      </c>
      <c r="F3985" s="34" t="str">
        <f t="shared" si="951"/>
        <v>C:\Users\jaime.benazar\Quorum Business Solutions\Ecopetrol Prometeo - Documents\Planning Space Implementation\3. Analysis &amp; Design\Design\FC22\DRR Jaime\Neiva CPI\[DINA TERCIARIOS_CF_SEC_New_27-Mar-2024.xlsx]D-PRBND'!</v>
      </c>
      <c r="G3985" s="32" t="s">
        <v>125</v>
      </c>
      <c r="H3985" s="33"/>
      <c r="I3985" s="33"/>
      <c r="J3985" s="37"/>
    </row>
    <row r="3986" spans="1:10" x14ac:dyDescent="0.3">
      <c r="A3986" s="32" t="s">
        <v>19</v>
      </c>
      <c r="B3986" s="32">
        <f t="shared" si="952"/>
        <v>2055</v>
      </c>
      <c r="C3986" s="33" t="s">
        <v>43</v>
      </c>
      <c r="D3986" s="34" t="s">
        <v>2002</v>
      </c>
      <c r="E3986" s="35" t="str">
        <f t="shared" si="950"/>
        <v>PRBND'!</v>
      </c>
      <c r="F3986" s="34" t="str">
        <f t="shared" si="951"/>
        <v>C:\Users\jaime.benazar\Quorum Business Solutions\Ecopetrol Prometeo - Documents\Planning Space Implementation\3. Analysis &amp; Design\Design\FC22\DRR Jaime\Neiva CPI\[DINA TERCIARIOS_CF_SEC_New_27-Mar-2024.xlsx]D-PRBND'!</v>
      </c>
      <c r="G3986" s="32" t="s">
        <v>125</v>
      </c>
      <c r="H3986" s="33"/>
      <c r="I3986" s="33"/>
      <c r="J3986" s="37"/>
    </row>
    <row r="3987" spans="1:10" x14ac:dyDescent="0.3">
      <c r="A3987" s="32" t="s">
        <v>19</v>
      </c>
      <c r="B3987" s="32">
        <f t="shared" si="952"/>
        <v>2056</v>
      </c>
      <c r="C3987" s="33" t="s">
        <v>43</v>
      </c>
      <c r="D3987" s="34" t="s">
        <v>2002</v>
      </c>
      <c r="E3987" s="35" t="str">
        <f t="shared" si="950"/>
        <v>PRBND'!</v>
      </c>
      <c r="F3987" s="34" t="str">
        <f t="shared" si="951"/>
        <v>C:\Users\jaime.benazar\Quorum Business Solutions\Ecopetrol Prometeo - Documents\Planning Space Implementation\3. Analysis &amp; Design\Design\FC22\DRR Jaime\Neiva CPI\[DINA TERCIARIOS_CF_SEC_New_27-Mar-2024.xlsx]D-PRBND'!</v>
      </c>
      <c r="G3987" s="32" t="s">
        <v>125</v>
      </c>
      <c r="H3987" s="33"/>
      <c r="I3987" s="33"/>
      <c r="J3987" s="37"/>
    </row>
    <row r="3988" spans="1:10" x14ac:dyDescent="0.3">
      <c r="A3988" s="32" t="s">
        <v>19</v>
      </c>
      <c r="B3988" s="32">
        <f t="shared" si="952"/>
        <v>2057</v>
      </c>
      <c r="C3988" s="33" t="s">
        <v>43</v>
      </c>
      <c r="D3988" s="34" t="s">
        <v>2002</v>
      </c>
      <c r="E3988" s="35" t="str">
        <f t="shared" si="950"/>
        <v>PRBND'!</v>
      </c>
      <c r="F3988" s="34" t="str">
        <f t="shared" si="951"/>
        <v>C:\Users\jaime.benazar\Quorum Business Solutions\Ecopetrol Prometeo - Documents\Planning Space Implementation\3. Analysis &amp; Design\Design\FC22\DRR Jaime\Neiva CPI\[DINA TERCIARIOS_CF_SEC_New_27-Mar-2024.xlsx]D-PRBND'!</v>
      </c>
      <c r="G3988" s="32" t="s">
        <v>125</v>
      </c>
      <c r="H3988" s="33"/>
      <c r="I3988" s="33"/>
      <c r="J3988" s="37"/>
    </row>
    <row r="3989" spans="1:10" x14ac:dyDescent="0.3">
      <c r="A3989" s="32" t="s">
        <v>19</v>
      </c>
      <c r="B3989" s="32">
        <f t="shared" si="952"/>
        <v>2058</v>
      </c>
      <c r="C3989" s="33" t="s">
        <v>43</v>
      </c>
      <c r="D3989" s="34" t="s">
        <v>2002</v>
      </c>
      <c r="E3989" s="35" t="str">
        <f t="shared" si="950"/>
        <v>PRBND'!</v>
      </c>
      <c r="F3989" s="34" t="str">
        <f t="shared" si="951"/>
        <v>C:\Users\jaime.benazar\Quorum Business Solutions\Ecopetrol Prometeo - Documents\Planning Space Implementation\3. Analysis &amp; Design\Design\FC22\DRR Jaime\Neiva CPI\[DINA TERCIARIOS_CF_SEC_New_27-Mar-2024.xlsx]D-PRBND'!</v>
      </c>
      <c r="G3989" s="32" t="s">
        <v>125</v>
      </c>
      <c r="H3989" s="33"/>
      <c r="I3989" s="33"/>
      <c r="J3989" s="37"/>
    </row>
    <row r="3990" spans="1:10" x14ac:dyDescent="0.3">
      <c r="A3990" s="32" t="s">
        <v>19</v>
      </c>
      <c r="B3990" s="32">
        <f t="shared" si="952"/>
        <v>2059</v>
      </c>
      <c r="C3990" s="33" t="s">
        <v>43</v>
      </c>
      <c r="D3990" s="34" t="s">
        <v>2002</v>
      </c>
      <c r="E3990" s="35" t="str">
        <f t="shared" si="950"/>
        <v>PRBND'!</v>
      </c>
      <c r="F3990" s="34" t="str">
        <f t="shared" si="951"/>
        <v>C:\Users\jaime.benazar\Quorum Business Solutions\Ecopetrol Prometeo - Documents\Planning Space Implementation\3. Analysis &amp; Design\Design\FC22\DRR Jaime\Neiva CPI\[DINA TERCIARIOS_CF_SEC_New_27-Mar-2024.xlsx]D-PRBND'!</v>
      </c>
      <c r="G3990" s="32" t="s">
        <v>125</v>
      </c>
      <c r="H3990" s="33"/>
      <c r="I3990" s="33"/>
      <c r="J3990" s="37"/>
    </row>
    <row r="3991" spans="1:10" x14ac:dyDescent="0.3">
      <c r="A3991" s="32" t="s">
        <v>26</v>
      </c>
      <c r="B3991" s="32"/>
      <c r="C3991" s="33" t="s">
        <v>43</v>
      </c>
      <c r="D3991" s="34"/>
      <c r="E3991" s="35"/>
      <c r="F3991" s="34"/>
      <c r="G3991" s="32"/>
      <c r="H3991" s="33"/>
      <c r="I3991" s="33"/>
      <c r="J3991" s="36"/>
    </row>
    <row r="3992" spans="1:10" x14ac:dyDescent="0.3">
      <c r="A3992" s="32" t="s">
        <v>20</v>
      </c>
      <c r="B3992" s="32">
        <v>2023</v>
      </c>
      <c r="C3992" s="33" t="s">
        <v>43</v>
      </c>
      <c r="D3992" s="34" t="s">
        <v>2002</v>
      </c>
      <c r="E3992" s="35" t="str">
        <f t="shared" ref="E3992:E4012" si="953">_xlfn.CONCAT(A3992,"'!")</f>
        <v>PRB'!</v>
      </c>
      <c r="F3992" s="34" t="str">
        <f t="shared" ref="F3992:F4012" si="954">_xlfn.CONCAT(D3992:E3992)</f>
        <v>C:\Users\jaime.benazar\Quorum Business Solutions\Ecopetrol Prometeo - Documents\Planning Space Implementation\3. Analysis &amp; Design\Design\FC22\DRR Jaime\Neiva CPI\[DINA TERCIARIOS_CF_SEC_New_27-Mar-2024.xlsx]D-PRB'!</v>
      </c>
      <c r="G3992" s="32" t="s">
        <v>125</v>
      </c>
      <c r="H3992" s="33">
        <v>12</v>
      </c>
      <c r="I3992" s="33" t="str">
        <f t="shared" ref="I3992:I4012" si="955">_xlfn.CONCAT("='",F3992:H3992)</f>
        <v>='C:\Users\jaime.benazar\Quorum Business Solutions\Ecopetrol Prometeo - Documents\Planning Space Implementation\3. Analysis &amp; Design\Design\FC22\DRR Jaime\Neiva CPI\[DINA TERCIARIOS_CF_SEC_New_27-Mar-2024.xlsx]D-PRB'!$CB$12</v>
      </c>
      <c r="J3992" s="37" t="s">
        <v>3779</v>
      </c>
    </row>
    <row r="3993" spans="1:10" x14ac:dyDescent="0.3">
      <c r="A3993" s="32" t="s">
        <v>20</v>
      </c>
      <c r="B3993" s="32">
        <f>+B3992+1</f>
        <v>2024</v>
      </c>
      <c r="C3993" s="33" t="s">
        <v>43</v>
      </c>
      <c r="D3993" s="34" t="s">
        <v>2002</v>
      </c>
      <c r="E3993" s="35" t="str">
        <f t="shared" si="953"/>
        <v>PRB'!</v>
      </c>
      <c r="F3993" s="34" t="str">
        <f t="shared" si="954"/>
        <v>C:\Users\jaime.benazar\Quorum Business Solutions\Ecopetrol Prometeo - Documents\Planning Space Implementation\3. Analysis &amp; Design\Design\FC22\DRR Jaime\Neiva CPI\[DINA TERCIARIOS_CF_SEC_New_27-Mar-2024.xlsx]D-PRB'!</v>
      </c>
      <c r="G3993" s="32" t="s">
        <v>125</v>
      </c>
      <c r="H3993" s="33">
        <f t="shared" ref="H3993:H4012" si="956">IF(A3993&lt;&gt;A3992,12,H3992+1)</f>
        <v>13</v>
      </c>
      <c r="I3993" s="33" t="str">
        <f t="shared" si="955"/>
        <v>='C:\Users\jaime.benazar\Quorum Business Solutions\Ecopetrol Prometeo - Documents\Planning Space Implementation\3. Analysis &amp; Design\Design\FC22\DRR Jaime\Neiva CPI\[DINA TERCIARIOS_CF_SEC_New_27-Mar-2024.xlsx]D-PRB'!$CB$13</v>
      </c>
      <c r="J3993" s="37" t="s">
        <v>3780</v>
      </c>
    </row>
    <row r="3994" spans="1:10" x14ac:dyDescent="0.3">
      <c r="A3994" s="32" t="s">
        <v>20</v>
      </c>
      <c r="B3994" s="32">
        <f t="shared" ref="B3994:B4005" si="957">+B3993+1</f>
        <v>2025</v>
      </c>
      <c r="C3994" s="33" t="s">
        <v>43</v>
      </c>
      <c r="D3994" s="34" t="s">
        <v>2002</v>
      </c>
      <c r="E3994" s="35" t="str">
        <f t="shared" si="953"/>
        <v>PRB'!</v>
      </c>
      <c r="F3994" s="34" t="str">
        <f t="shared" si="954"/>
        <v>C:\Users\jaime.benazar\Quorum Business Solutions\Ecopetrol Prometeo - Documents\Planning Space Implementation\3. Analysis &amp; Design\Design\FC22\DRR Jaime\Neiva CPI\[DINA TERCIARIOS_CF_SEC_New_27-Mar-2024.xlsx]D-PRB'!</v>
      </c>
      <c r="G3994" s="32" t="s">
        <v>125</v>
      </c>
      <c r="H3994" s="33">
        <f t="shared" si="956"/>
        <v>14</v>
      </c>
      <c r="I3994" s="33" t="str">
        <f t="shared" si="955"/>
        <v>='C:\Users\jaime.benazar\Quorum Business Solutions\Ecopetrol Prometeo - Documents\Planning Space Implementation\3. Analysis &amp; Design\Design\FC22\DRR Jaime\Neiva CPI\[DINA TERCIARIOS_CF_SEC_New_27-Mar-2024.xlsx]D-PRB'!$CB$14</v>
      </c>
      <c r="J3994" s="37" t="s">
        <v>3781</v>
      </c>
    </row>
    <row r="3995" spans="1:10" x14ac:dyDescent="0.3">
      <c r="A3995" s="32" t="s">
        <v>20</v>
      </c>
      <c r="B3995" s="32">
        <f t="shared" si="957"/>
        <v>2026</v>
      </c>
      <c r="C3995" s="33" t="s">
        <v>43</v>
      </c>
      <c r="D3995" s="34" t="s">
        <v>2002</v>
      </c>
      <c r="E3995" s="35" t="str">
        <f t="shared" si="953"/>
        <v>PRB'!</v>
      </c>
      <c r="F3995" s="34" t="str">
        <f t="shared" si="954"/>
        <v>C:\Users\jaime.benazar\Quorum Business Solutions\Ecopetrol Prometeo - Documents\Planning Space Implementation\3. Analysis &amp; Design\Design\FC22\DRR Jaime\Neiva CPI\[DINA TERCIARIOS_CF_SEC_New_27-Mar-2024.xlsx]D-PRB'!</v>
      </c>
      <c r="G3995" s="32" t="s">
        <v>125</v>
      </c>
      <c r="H3995" s="33">
        <f t="shared" si="956"/>
        <v>15</v>
      </c>
      <c r="I3995" s="33" t="str">
        <f t="shared" si="955"/>
        <v>='C:\Users\jaime.benazar\Quorum Business Solutions\Ecopetrol Prometeo - Documents\Planning Space Implementation\3. Analysis &amp; Design\Design\FC22\DRR Jaime\Neiva CPI\[DINA TERCIARIOS_CF_SEC_New_27-Mar-2024.xlsx]D-PRB'!$CB$15</v>
      </c>
      <c r="J3995" s="37" t="s">
        <v>3782</v>
      </c>
    </row>
    <row r="3996" spans="1:10" x14ac:dyDescent="0.3">
      <c r="A3996" s="32" t="s">
        <v>20</v>
      </c>
      <c r="B3996" s="32">
        <f t="shared" si="957"/>
        <v>2027</v>
      </c>
      <c r="C3996" s="33" t="s">
        <v>43</v>
      </c>
      <c r="D3996" s="34" t="s">
        <v>2002</v>
      </c>
      <c r="E3996" s="35" t="str">
        <f t="shared" si="953"/>
        <v>PRB'!</v>
      </c>
      <c r="F3996" s="34" t="str">
        <f t="shared" si="954"/>
        <v>C:\Users\jaime.benazar\Quorum Business Solutions\Ecopetrol Prometeo - Documents\Planning Space Implementation\3. Analysis &amp; Design\Design\FC22\DRR Jaime\Neiva CPI\[DINA TERCIARIOS_CF_SEC_New_27-Mar-2024.xlsx]D-PRB'!</v>
      </c>
      <c r="G3996" s="32" t="s">
        <v>125</v>
      </c>
      <c r="H3996" s="33">
        <f t="shared" si="956"/>
        <v>16</v>
      </c>
      <c r="I3996" s="33" t="str">
        <f t="shared" si="955"/>
        <v>='C:\Users\jaime.benazar\Quorum Business Solutions\Ecopetrol Prometeo - Documents\Planning Space Implementation\3. Analysis &amp; Design\Design\FC22\DRR Jaime\Neiva CPI\[DINA TERCIARIOS_CF_SEC_New_27-Mar-2024.xlsx]D-PRB'!$CB$16</v>
      </c>
      <c r="J3996" s="37" t="s">
        <v>3783</v>
      </c>
    </row>
    <row r="3997" spans="1:10" x14ac:dyDescent="0.3">
      <c r="A3997" s="32" t="s">
        <v>20</v>
      </c>
      <c r="B3997" s="32">
        <f t="shared" si="957"/>
        <v>2028</v>
      </c>
      <c r="C3997" s="33" t="s">
        <v>43</v>
      </c>
      <c r="D3997" s="34" t="s">
        <v>2002</v>
      </c>
      <c r="E3997" s="35" t="str">
        <f t="shared" si="953"/>
        <v>PRB'!</v>
      </c>
      <c r="F3997" s="34" t="str">
        <f t="shared" si="954"/>
        <v>C:\Users\jaime.benazar\Quorum Business Solutions\Ecopetrol Prometeo - Documents\Planning Space Implementation\3. Analysis &amp; Design\Design\FC22\DRR Jaime\Neiva CPI\[DINA TERCIARIOS_CF_SEC_New_27-Mar-2024.xlsx]D-PRB'!</v>
      </c>
      <c r="G3997" s="32" t="s">
        <v>125</v>
      </c>
      <c r="H3997" s="33">
        <f t="shared" si="956"/>
        <v>17</v>
      </c>
      <c r="I3997" s="33" t="str">
        <f t="shared" si="955"/>
        <v>='C:\Users\jaime.benazar\Quorum Business Solutions\Ecopetrol Prometeo - Documents\Planning Space Implementation\3. Analysis &amp; Design\Design\FC22\DRR Jaime\Neiva CPI\[DINA TERCIARIOS_CF_SEC_New_27-Mar-2024.xlsx]D-PRB'!$CB$17</v>
      </c>
      <c r="J3997" s="37" t="s">
        <v>3784</v>
      </c>
    </row>
    <row r="3998" spans="1:10" x14ac:dyDescent="0.3">
      <c r="A3998" s="32" t="s">
        <v>20</v>
      </c>
      <c r="B3998" s="32">
        <f t="shared" si="957"/>
        <v>2029</v>
      </c>
      <c r="C3998" s="33" t="s">
        <v>43</v>
      </c>
      <c r="D3998" s="34" t="s">
        <v>2002</v>
      </c>
      <c r="E3998" s="35" t="str">
        <f t="shared" si="953"/>
        <v>PRB'!</v>
      </c>
      <c r="F3998" s="34" t="str">
        <f t="shared" si="954"/>
        <v>C:\Users\jaime.benazar\Quorum Business Solutions\Ecopetrol Prometeo - Documents\Planning Space Implementation\3. Analysis &amp; Design\Design\FC22\DRR Jaime\Neiva CPI\[DINA TERCIARIOS_CF_SEC_New_27-Mar-2024.xlsx]D-PRB'!</v>
      </c>
      <c r="G3998" s="32" t="s">
        <v>125</v>
      </c>
      <c r="H3998" s="33">
        <f t="shared" si="956"/>
        <v>18</v>
      </c>
      <c r="I3998" s="33" t="str">
        <f t="shared" si="955"/>
        <v>='C:\Users\jaime.benazar\Quorum Business Solutions\Ecopetrol Prometeo - Documents\Planning Space Implementation\3. Analysis &amp; Design\Design\FC22\DRR Jaime\Neiva CPI\[DINA TERCIARIOS_CF_SEC_New_27-Mar-2024.xlsx]D-PRB'!$CB$18</v>
      </c>
      <c r="J3998" s="37" t="s">
        <v>3785</v>
      </c>
    </row>
    <row r="3999" spans="1:10" x14ac:dyDescent="0.3">
      <c r="A3999" s="32" t="s">
        <v>20</v>
      </c>
      <c r="B3999" s="32">
        <f t="shared" si="957"/>
        <v>2030</v>
      </c>
      <c r="C3999" s="33" t="s">
        <v>43</v>
      </c>
      <c r="D3999" s="34" t="s">
        <v>2002</v>
      </c>
      <c r="E3999" s="35" t="str">
        <f t="shared" si="953"/>
        <v>PRB'!</v>
      </c>
      <c r="F3999" s="34" t="str">
        <f t="shared" si="954"/>
        <v>C:\Users\jaime.benazar\Quorum Business Solutions\Ecopetrol Prometeo - Documents\Planning Space Implementation\3. Analysis &amp; Design\Design\FC22\DRR Jaime\Neiva CPI\[DINA TERCIARIOS_CF_SEC_New_27-Mar-2024.xlsx]D-PRB'!</v>
      </c>
      <c r="G3999" s="32" t="s">
        <v>125</v>
      </c>
      <c r="H3999" s="33">
        <f t="shared" si="956"/>
        <v>19</v>
      </c>
      <c r="I3999" s="33" t="str">
        <f t="shared" si="955"/>
        <v>='C:\Users\jaime.benazar\Quorum Business Solutions\Ecopetrol Prometeo - Documents\Planning Space Implementation\3. Analysis &amp; Design\Design\FC22\DRR Jaime\Neiva CPI\[DINA TERCIARIOS_CF_SEC_New_27-Mar-2024.xlsx]D-PRB'!$CB$19</v>
      </c>
      <c r="J3999" s="37" t="s">
        <v>3786</v>
      </c>
    </row>
    <row r="4000" spans="1:10" x14ac:dyDescent="0.3">
      <c r="A4000" s="32" t="s">
        <v>20</v>
      </c>
      <c r="B4000" s="32">
        <f t="shared" si="957"/>
        <v>2031</v>
      </c>
      <c r="C4000" s="33" t="s">
        <v>43</v>
      </c>
      <c r="D4000" s="34" t="s">
        <v>2002</v>
      </c>
      <c r="E4000" s="35" t="str">
        <f t="shared" si="953"/>
        <v>PRB'!</v>
      </c>
      <c r="F4000" s="34" t="str">
        <f t="shared" si="954"/>
        <v>C:\Users\jaime.benazar\Quorum Business Solutions\Ecopetrol Prometeo - Documents\Planning Space Implementation\3. Analysis &amp; Design\Design\FC22\DRR Jaime\Neiva CPI\[DINA TERCIARIOS_CF_SEC_New_27-Mar-2024.xlsx]D-PRB'!</v>
      </c>
      <c r="G4000" s="32" t="s">
        <v>125</v>
      </c>
      <c r="H4000" s="33">
        <f t="shared" si="956"/>
        <v>20</v>
      </c>
      <c r="I4000" s="33" t="str">
        <f t="shared" si="955"/>
        <v>='C:\Users\jaime.benazar\Quorum Business Solutions\Ecopetrol Prometeo - Documents\Planning Space Implementation\3. Analysis &amp; Design\Design\FC22\DRR Jaime\Neiva CPI\[DINA TERCIARIOS_CF_SEC_New_27-Mar-2024.xlsx]D-PRB'!$CB$20</v>
      </c>
      <c r="J4000" s="37" t="s">
        <v>3787</v>
      </c>
    </row>
    <row r="4001" spans="1:10" x14ac:dyDescent="0.3">
      <c r="A4001" s="32" t="s">
        <v>20</v>
      </c>
      <c r="B4001" s="32">
        <f t="shared" si="957"/>
        <v>2032</v>
      </c>
      <c r="C4001" s="33" t="s">
        <v>43</v>
      </c>
      <c r="D4001" s="34" t="s">
        <v>2002</v>
      </c>
      <c r="E4001" s="35" t="str">
        <f t="shared" si="953"/>
        <v>PRB'!</v>
      </c>
      <c r="F4001" s="34" t="str">
        <f t="shared" si="954"/>
        <v>C:\Users\jaime.benazar\Quorum Business Solutions\Ecopetrol Prometeo - Documents\Planning Space Implementation\3. Analysis &amp; Design\Design\FC22\DRR Jaime\Neiva CPI\[DINA TERCIARIOS_CF_SEC_New_27-Mar-2024.xlsx]D-PRB'!</v>
      </c>
      <c r="G4001" s="32" t="s">
        <v>125</v>
      </c>
      <c r="H4001" s="33">
        <f t="shared" si="956"/>
        <v>21</v>
      </c>
      <c r="I4001" s="33" t="str">
        <f t="shared" si="955"/>
        <v>='C:\Users\jaime.benazar\Quorum Business Solutions\Ecopetrol Prometeo - Documents\Planning Space Implementation\3. Analysis &amp; Design\Design\FC22\DRR Jaime\Neiva CPI\[DINA TERCIARIOS_CF_SEC_New_27-Mar-2024.xlsx]D-PRB'!$CB$21</v>
      </c>
      <c r="J4001" s="37" t="s">
        <v>3788</v>
      </c>
    </row>
    <row r="4002" spans="1:10" x14ac:dyDescent="0.3">
      <c r="A4002" s="32" t="s">
        <v>20</v>
      </c>
      <c r="B4002" s="32">
        <f t="shared" si="957"/>
        <v>2033</v>
      </c>
      <c r="C4002" s="33" t="s">
        <v>43</v>
      </c>
      <c r="D4002" s="34" t="s">
        <v>2002</v>
      </c>
      <c r="E4002" s="35" t="str">
        <f t="shared" si="953"/>
        <v>PRB'!</v>
      </c>
      <c r="F4002" s="34" t="str">
        <f t="shared" si="954"/>
        <v>C:\Users\jaime.benazar\Quorum Business Solutions\Ecopetrol Prometeo - Documents\Planning Space Implementation\3. Analysis &amp; Design\Design\FC22\DRR Jaime\Neiva CPI\[DINA TERCIARIOS_CF_SEC_New_27-Mar-2024.xlsx]D-PRB'!</v>
      </c>
      <c r="G4002" s="32" t="s">
        <v>125</v>
      </c>
      <c r="H4002" s="33">
        <f t="shared" si="956"/>
        <v>22</v>
      </c>
      <c r="I4002" s="33" t="str">
        <f t="shared" si="955"/>
        <v>='C:\Users\jaime.benazar\Quorum Business Solutions\Ecopetrol Prometeo - Documents\Planning Space Implementation\3. Analysis &amp; Design\Design\FC22\DRR Jaime\Neiva CPI\[DINA TERCIARIOS_CF_SEC_New_27-Mar-2024.xlsx]D-PRB'!$CB$22</v>
      </c>
      <c r="J4002" s="37" t="s">
        <v>3789</v>
      </c>
    </row>
    <row r="4003" spans="1:10" x14ac:dyDescent="0.3">
      <c r="A4003" s="32" t="s">
        <v>20</v>
      </c>
      <c r="B4003" s="32">
        <f t="shared" si="957"/>
        <v>2034</v>
      </c>
      <c r="C4003" s="33" t="s">
        <v>43</v>
      </c>
      <c r="D4003" s="34" t="s">
        <v>2002</v>
      </c>
      <c r="E4003" s="35" t="str">
        <f t="shared" si="953"/>
        <v>PRB'!</v>
      </c>
      <c r="F4003" s="34" t="str">
        <f t="shared" si="954"/>
        <v>C:\Users\jaime.benazar\Quorum Business Solutions\Ecopetrol Prometeo - Documents\Planning Space Implementation\3. Analysis &amp; Design\Design\FC22\DRR Jaime\Neiva CPI\[DINA TERCIARIOS_CF_SEC_New_27-Mar-2024.xlsx]D-PRB'!</v>
      </c>
      <c r="G4003" s="32" t="s">
        <v>125</v>
      </c>
      <c r="H4003" s="33">
        <f t="shared" si="956"/>
        <v>23</v>
      </c>
      <c r="I4003" s="33" t="str">
        <f t="shared" si="955"/>
        <v>='C:\Users\jaime.benazar\Quorum Business Solutions\Ecopetrol Prometeo - Documents\Planning Space Implementation\3. Analysis &amp; Design\Design\FC22\DRR Jaime\Neiva CPI\[DINA TERCIARIOS_CF_SEC_New_27-Mar-2024.xlsx]D-PRB'!$CB$23</v>
      </c>
      <c r="J4003" s="37" t="s">
        <v>3790</v>
      </c>
    </row>
    <row r="4004" spans="1:10" x14ac:dyDescent="0.3">
      <c r="A4004" s="32" t="s">
        <v>20</v>
      </c>
      <c r="B4004" s="32">
        <f t="shared" si="957"/>
        <v>2035</v>
      </c>
      <c r="C4004" s="33" t="s">
        <v>43</v>
      </c>
      <c r="D4004" s="34" t="s">
        <v>2002</v>
      </c>
      <c r="E4004" s="35" t="str">
        <f t="shared" si="953"/>
        <v>PRB'!</v>
      </c>
      <c r="F4004" s="34" t="str">
        <f t="shared" si="954"/>
        <v>C:\Users\jaime.benazar\Quorum Business Solutions\Ecopetrol Prometeo - Documents\Planning Space Implementation\3. Analysis &amp; Design\Design\FC22\DRR Jaime\Neiva CPI\[DINA TERCIARIOS_CF_SEC_New_27-Mar-2024.xlsx]D-PRB'!</v>
      </c>
      <c r="G4004" s="32" t="s">
        <v>125</v>
      </c>
      <c r="H4004" s="33">
        <f t="shared" si="956"/>
        <v>24</v>
      </c>
      <c r="I4004" s="33" t="str">
        <f t="shared" si="955"/>
        <v>='C:\Users\jaime.benazar\Quorum Business Solutions\Ecopetrol Prometeo - Documents\Planning Space Implementation\3. Analysis &amp; Design\Design\FC22\DRR Jaime\Neiva CPI\[DINA TERCIARIOS_CF_SEC_New_27-Mar-2024.xlsx]D-PRB'!$CB$24</v>
      </c>
      <c r="J4004" s="37" t="s">
        <v>3791</v>
      </c>
    </row>
    <row r="4005" spans="1:10" x14ac:dyDescent="0.3">
      <c r="A4005" s="32" t="s">
        <v>20</v>
      </c>
      <c r="B4005" s="32">
        <f t="shared" si="957"/>
        <v>2036</v>
      </c>
      <c r="C4005" s="33" t="s">
        <v>43</v>
      </c>
      <c r="D4005" s="34" t="s">
        <v>2002</v>
      </c>
      <c r="E4005" s="35" t="str">
        <f t="shared" si="953"/>
        <v>PRB'!</v>
      </c>
      <c r="F4005" s="34" t="str">
        <f t="shared" si="954"/>
        <v>C:\Users\jaime.benazar\Quorum Business Solutions\Ecopetrol Prometeo - Documents\Planning Space Implementation\3. Analysis &amp; Design\Design\FC22\DRR Jaime\Neiva CPI\[DINA TERCIARIOS_CF_SEC_New_27-Mar-2024.xlsx]D-PRB'!</v>
      </c>
      <c r="G4005" s="32" t="s">
        <v>125</v>
      </c>
      <c r="H4005" s="33">
        <f t="shared" si="956"/>
        <v>25</v>
      </c>
      <c r="I4005" s="33" t="str">
        <f t="shared" si="955"/>
        <v>='C:\Users\jaime.benazar\Quorum Business Solutions\Ecopetrol Prometeo - Documents\Planning Space Implementation\3. Analysis &amp; Design\Design\FC22\DRR Jaime\Neiva CPI\[DINA TERCIARIOS_CF_SEC_New_27-Mar-2024.xlsx]D-PRB'!$CB$25</v>
      </c>
      <c r="J4005" s="37" t="s">
        <v>3792</v>
      </c>
    </row>
    <row r="4006" spans="1:10" x14ac:dyDescent="0.3">
      <c r="A4006" s="32" t="s">
        <v>20</v>
      </c>
      <c r="B4006" s="32">
        <f>+B4005+1</f>
        <v>2037</v>
      </c>
      <c r="C4006" s="33" t="s">
        <v>43</v>
      </c>
      <c r="D4006" s="34" t="s">
        <v>2002</v>
      </c>
      <c r="E4006" s="35" t="str">
        <f t="shared" si="953"/>
        <v>PRB'!</v>
      </c>
      <c r="F4006" s="34" t="str">
        <f t="shared" si="954"/>
        <v>C:\Users\jaime.benazar\Quorum Business Solutions\Ecopetrol Prometeo - Documents\Planning Space Implementation\3. Analysis &amp; Design\Design\FC22\DRR Jaime\Neiva CPI\[DINA TERCIARIOS_CF_SEC_New_27-Mar-2024.xlsx]D-PRB'!</v>
      </c>
      <c r="G4006" s="32" t="s">
        <v>125</v>
      </c>
      <c r="H4006" s="33">
        <f t="shared" si="956"/>
        <v>26</v>
      </c>
      <c r="I4006" s="33" t="str">
        <f t="shared" si="955"/>
        <v>='C:\Users\jaime.benazar\Quorum Business Solutions\Ecopetrol Prometeo - Documents\Planning Space Implementation\3. Analysis &amp; Design\Design\FC22\DRR Jaime\Neiva CPI\[DINA TERCIARIOS_CF_SEC_New_27-Mar-2024.xlsx]D-PRB'!$CB$26</v>
      </c>
      <c r="J4006" s="37" t="s">
        <v>3793</v>
      </c>
    </row>
    <row r="4007" spans="1:10" x14ac:dyDescent="0.3">
      <c r="A4007" s="32" t="s">
        <v>20</v>
      </c>
      <c r="B4007" s="32">
        <f t="shared" ref="B4007:B4009" si="958">+B4006+1</f>
        <v>2038</v>
      </c>
      <c r="C4007" s="33" t="s">
        <v>43</v>
      </c>
      <c r="D4007" s="34" t="s">
        <v>2002</v>
      </c>
      <c r="E4007" s="35" t="str">
        <f t="shared" si="953"/>
        <v>PRB'!</v>
      </c>
      <c r="F4007" s="34" t="str">
        <f t="shared" si="954"/>
        <v>C:\Users\jaime.benazar\Quorum Business Solutions\Ecopetrol Prometeo - Documents\Planning Space Implementation\3. Analysis &amp; Design\Design\FC22\DRR Jaime\Neiva CPI\[DINA TERCIARIOS_CF_SEC_New_27-Mar-2024.xlsx]D-PRB'!</v>
      </c>
      <c r="G4007" s="32" t="s">
        <v>125</v>
      </c>
      <c r="H4007" s="33">
        <f t="shared" si="956"/>
        <v>27</v>
      </c>
      <c r="I4007" s="33" t="str">
        <f t="shared" si="955"/>
        <v>='C:\Users\jaime.benazar\Quorum Business Solutions\Ecopetrol Prometeo - Documents\Planning Space Implementation\3. Analysis &amp; Design\Design\FC22\DRR Jaime\Neiva CPI\[DINA TERCIARIOS_CF_SEC_New_27-Mar-2024.xlsx]D-PRB'!$CB$27</v>
      </c>
      <c r="J4007" s="37" t="s">
        <v>3794</v>
      </c>
    </row>
    <row r="4008" spans="1:10" x14ac:dyDescent="0.3">
      <c r="A4008" s="32" t="s">
        <v>20</v>
      </c>
      <c r="B4008" s="32">
        <f t="shared" si="958"/>
        <v>2039</v>
      </c>
      <c r="C4008" s="33" t="s">
        <v>43</v>
      </c>
      <c r="D4008" s="34" t="s">
        <v>2002</v>
      </c>
      <c r="E4008" s="35" t="str">
        <f t="shared" si="953"/>
        <v>PRB'!</v>
      </c>
      <c r="F4008" s="34" t="str">
        <f t="shared" si="954"/>
        <v>C:\Users\jaime.benazar\Quorum Business Solutions\Ecopetrol Prometeo - Documents\Planning Space Implementation\3. Analysis &amp; Design\Design\FC22\DRR Jaime\Neiva CPI\[DINA TERCIARIOS_CF_SEC_New_27-Mar-2024.xlsx]D-PRB'!</v>
      </c>
      <c r="G4008" s="32" t="s">
        <v>125</v>
      </c>
      <c r="H4008" s="33">
        <f t="shared" si="956"/>
        <v>28</v>
      </c>
      <c r="I4008" s="33" t="str">
        <f t="shared" si="955"/>
        <v>='C:\Users\jaime.benazar\Quorum Business Solutions\Ecopetrol Prometeo - Documents\Planning Space Implementation\3. Analysis &amp; Design\Design\FC22\DRR Jaime\Neiva CPI\[DINA TERCIARIOS_CF_SEC_New_27-Mar-2024.xlsx]D-PRB'!$CB$28</v>
      </c>
      <c r="J4008" s="37" t="s">
        <v>3795</v>
      </c>
    </row>
    <row r="4009" spans="1:10" x14ac:dyDescent="0.3">
      <c r="A4009" s="32" t="s">
        <v>20</v>
      </c>
      <c r="B4009" s="32">
        <f t="shared" si="958"/>
        <v>2040</v>
      </c>
      <c r="C4009" s="33" t="s">
        <v>43</v>
      </c>
      <c r="D4009" s="34" t="s">
        <v>2002</v>
      </c>
      <c r="E4009" s="35" t="str">
        <f t="shared" si="953"/>
        <v>PRB'!</v>
      </c>
      <c r="F4009" s="34" t="str">
        <f t="shared" si="954"/>
        <v>C:\Users\jaime.benazar\Quorum Business Solutions\Ecopetrol Prometeo - Documents\Planning Space Implementation\3. Analysis &amp; Design\Design\FC22\DRR Jaime\Neiva CPI\[DINA TERCIARIOS_CF_SEC_New_27-Mar-2024.xlsx]D-PRB'!</v>
      </c>
      <c r="G4009" s="32" t="s">
        <v>125</v>
      </c>
      <c r="H4009" s="33">
        <f t="shared" si="956"/>
        <v>29</v>
      </c>
      <c r="I4009" s="33" t="str">
        <f t="shared" si="955"/>
        <v>='C:\Users\jaime.benazar\Quorum Business Solutions\Ecopetrol Prometeo - Documents\Planning Space Implementation\3. Analysis &amp; Design\Design\FC22\DRR Jaime\Neiva CPI\[DINA TERCIARIOS_CF_SEC_New_27-Mar-2024.xlsx]D-PRB'!$CB$29</v>
      </c>
      <c r="J4009" s="37" t="s">
        <v>3796</v>
      </c>
    </row>
    <row r="4010" spans="1:10" x14ac:dyDescent="0.3">
      <c r="A4010" s="32" t="s">
        <v>20</v>
      </c>
      <c r="B4010" s="32">
        <f>+B4009+1</f>
        <v>2041</v>
      </c>
      <c r="C4010" s="33" t="s">
        <v>43</v>
      </c>
      <c r="D4010" s="34" t="s">
        <v>2002</v>
      </c>
      <c r="E4010" s="35" t="str">
        <f t="shared" si="953"/>
        <v>PRB'!</v>
      </c>
      <c r="F4010" s="34" t="str">
        <f t="shared" si="954"/>
        <v>C:\Users\jaime.benazar\Quorum Business Solutions\Ecopetrol Prometeo - Documents\Planning Space Implementation\3. Analysis &amp; Design\Design\FC22\DRR Jaime\Neiva CPI\[DINA TERCIARIOS_CF_SEC_New_27-Mar-2024.xlsx]D-PRB'!</v>
      </c>
      <c r="G4010" s="32" t="s">
        <v>125</v>
      </c>
      <c r="H4010" s="33">
        <f t="shared" si="956"/>
        <v>30</v>
      </c>
      <c r="I4010" s="33" t="str">
        <f t="shared" si="955"/>
        <v>='C:\Users\jaime.benazar\Quorum Business Solutions\Ecopetrol Prometeo - Documents\Planning Space Implementation\3. Analysis &amp; Design\Design\FC22\DRR Jaime\Neiva CPI\[DINA TERCIARIOS_CF_SEC_New_27-Mar-2024.xlsx]D-PRB'!$CB$30</v>
      </c>
      <c r="J4010" s="37" t="s">
        <v>3797</v>
      </c>
    </row>
    <row r="4011" spans="1:10" x14ac:dyDescent="0.3">
      <c r="A4011" s="32" t="s">
        <v>20</v>
      </c>
      <c r="B4011" s="32">
        <f t="shared" ref="B4011:B4012" si="959">+B4010+1</f>
        <v>2042</v>
      </c>
      <c r="C4011" s="33" t="s">
        <v>43</v>
      </c>
      <c r="D4011" s="34" t="s">
        <v>2002</v>
      </c>
      <c r="E4011" s="35" t="str">
        <f t="shared" si="953"/>
        <v>PRB'!</v>
      </c>
      <c r="F4011" s="34" t="str">
        <f t="shared" si="954"/>
        <v>C:\Users\jaime.benazar\Quorum Business Solutions\Ecopetrol Prometeo - Documents\Planning Space Implementation\3. Analysis &amp; Design\Design\FC22\DRR Jaime\Neiva CPI\[DINA TERCIARIOS_CF_SEC_New_27-Mar-2024.xlsx]D-PRB'!</v>
      </c>
      <c r="G4011" s="32" t="s">
        <v>125</v>
      </c>
      <c r="H4011" s="33">
        <f t="shared" si="956"/>
        <v>31</v>
      </c>
      <c r="I4011" s="33" t="str">
        <f t="shared" si="955"/>
        <v>='C:\Users\jaime.benazar\Quorum Business Solutions\Ecopetrol Prometeo - Documents\Planning Space Implementation\3. Analysis &amp; Design\Design\FC22\DRR Jaime\Neiva CPI\[DINA TERCIARIOS_CF_SEC_New_27-Mar-2024.xlsx]D-PRB'!$CB$31</v>
      </c>
      <c r="J4011" s="37" t="s">
        <v>3798</v>
      </c>
    </row>
    <row r="4012" spans="1:10" x14ac:dyDescent="0.3">
      <c r="A4012" s="32" t="s">
        <v>20</v>
      </c>
      <c r="B4012" s="32">
        <f t="shared" si="959"/>
        <v>2043</v>
      </c>
      <c r="C4012" s="33" t="s">
        <v>43</v>
      </c>
      <c r="D4012" s="34" t="s">
        <v>2002</v>
      </c>
      <c r="E4012" s="35" t="str">
        <f t="shared" si="953"/>
        <v>PRB'!</v>
      </c>
      <c r="F4012" s="34" t="str">
        <f t="shared" si="954"/>
        <v>C:\Users\jaime.benazar\Quorum Business Solutions\Ecopetrol Prometeo - Documents\Planning Space Implementation\3. Analysis &amp; Design\Design\FC22\DRR Jaime\Neiva CPI\[DINA TERCIARIOS_CF_SEC_New_27-Mar-2024.xlsx]D-PRB'!</v>
      </c>
      <c r="G4012" s="32" t="s">
        <v>125</v>
      </c>
      <c r="H4012" s="33">
        <f t="shared" si="956"/>
        <v>32</v>
      </c>
      <c r="I4012" s="33" t="str">
        <f t="shared" si="955"/>
        <v>='C:\Users\jaime.benazar\Quorum Business Solutions\Ecopetrol Prometeo - Documents\Planning Space Implementation\3. Analysis &amp; Design\Design\FC22\DRR Jaime\Neiva CPI\[DINA TERCIARIOS_CF_SEC_New_27-Mar-2024.xlsx]D-PRB'!$CB$32</v>
      </c>
      <c r="J4012" s="37" t="s">
        <v>3799</v>
      </c>
    </row>
    <row r="4013" spans="1:10" x14ac:dyDescent="0.3">
      <c r="A4013" s="32" t="s">
        <v>20</v>
      </c>
      <c r="B4013" s="32">
        <f>+B4012+1</f>
        <v>2044</v>
      </c>
      <c r="C4013" s="33" t="s">
        <v>43</v>
      </c>
      <c r="D4013" s="34" t="s">
        <v>2002</v>
      </c>
      <c r="E4013" s="35" t="str">
        <f t="shared" ref="E4013:E4028" si="960">_xlfn.CONCAT(A4013,"'!")</f>
        <v>PRB'!</v>
      </c>
      <c r="F4013" s="34" t="str">
        <f t="shared" ref="F4013:F4028" si="961">_xlfn.CONCAT(D4013:E4013)</f>
        <v>C:\Users\jaime.benazar\Quorum Business Solutions\Ecopetrol Prometeo - Documents\Planning Space Implementation\3. Analysis &amp; Design\Design\FC22\DRR Jaime\Neiva CPI\[DINA TERCIARIOS_CF_SEC_New_27-Mar-2024.xlsx]D-PRB'!</v>
      </c>
      <c r="G4013" s="32" t="s">
        <v>125</v>
      </c>
      <c r="H4013" s="33">
        <f t="shared" ref="H4013:H4028" si="962">IF(A4013&lt;&gt;A4012,12,H4012+1)</f>
        <v>33</v>
      </c>
      <c r="I4013" s="33" t="str">
        <f t="shared" ref="I4013:I4028" si="963">_xlfn.CONCAT("='",F4013:H4013)</f>
        <v>='C:\Users\jaime.benazar\Quorum Business Solutions\Ecopetrol Prometeo - Documents\Planning Space Implementation\3. Analysis &amp; Design\Design\FC22\DRR Jaime\Neiva CPI\[DINA TERCIARIOS_CF_SEC_New_27-Mar-2024.xlsx]D-PRB'!$CB$33</v>
      </c>
      <c r="J4013" s="37" t="s">
        <v>3800</v>
      </c>
    </row>
    <row r="4014" spans="1:10" x14ac:dyDescent="0.3">
      <c r="A4014" s="32" t="s">
        <v>20</v>
      </c>
      <c r="B4014" s="32">
        <f t="shared" ref="B4014:B4028" si="964">+B4013+1</f>
        <v>2045</v>
      </c>
      <c r="C4014" s="33" t="s">
        <v>43</v>
      </c>
      <c r="D4014" s="34" t="s">
        <v>2002</v>
      </c>
      <c r="E4014" s="35" t="str">
        <f t="shared" si="960"/>
        <v>PRB'!</v>
      </c>
      <c r="F4014" s="34" t="str">
        <f t="shared" si="961"/>
        <v>C:\Users\jaime.benazar\Quorum Business Solutions\Ecopetrol Prometeo - Documents\Planning Space Implementation\3. Analysis &amp; Design\Design\FC22\DRR Jaime\Neiva CPI\[DINA TERCIARIOS_CF_SEC_New_27-Mar-2024.xlsx]D-PRB'!</v>
      </c>
      <c r="G4014" s="32" t="s">
        <v>125</v>
      </c>
      <c r="H4014" s="33">
        <f t="shared" si="962"/>
        <v>34</v>
      </c>
      <c r="I4014" s="33" t="str">
        <f t="shared" si="963"/>
        <v>='C:\Users\jaime.benazar\Quorum Business Solutions\Ecopetrol Prometeo - Documents\Planning Space Implementation\3. Analysis &amp; Design\Design\FC22\DRR Jaime\Neiva CPI\[DINA TERCIARIOS_CF_SEC_New_27-Mar-2024.xlsx]D-PRB'!$CB$34</v>
      </c>
      <c r="J4014" s="37" t="s">
        <v>3801</v>
      </c>
    </row>
    <row r="4015" spans="1:10" x14ac:dyDescent="0.3">
      <c r="A4015" s="32" t="s">
        <v>20</v>
      </c>
      <c r="B4015" s="32">
        <f t="shared" si="964"/>
        <v>2046</v>
      </c>
      <c r="C4015" s="33" t="s">
        <v>43</v>
      </c>
      <c r="D4015" s="34" t="s">
        <v>2002</v>
      </c>
      <c r="E4015" s="35" t="str">
        <f t="shared" si="960"/>
        <v>PRB'!</v>
      </c>
      <c r="F4015" s="34" t="str">
        <f t="shared" si="961"/>
        <v>C:\Users\jaime.benazar\Quorum Business Solutions\Ecopetrol Prometeo - Documents\Planning Space Implementation\3. Analysis &amp; Design\Design\FC22\DRR Jaime\Neiva CPI\[DINA TERCIARIOS_CF_SEC_New_27-Mar-2024.xlsx]D-PRB'!</v>
      </c>
      <c r="G4015" s="32" t="s">
        <v>125</v>
      </c>
      <c r="H4015" s="33">
        <f t="shared" si="962"/>
        <v>35</v>
      </c>
      <c r="I4015" s="33" t="str">
        <f t="shared" si="963"/>
        <v>='C:\Users\jaime.benazar\Quorum Business Solutions\Ecopetrol Prometeo - Documents\Planning Space Implementation\3. Analysis &amp; Design\Design\FC22\DRR Jaime\Neiva CPI\[DINA TERCIARIOS_CF_SEC_New_27-Mar-2024.xlsx]D-PRB'!$CB$35</v>
      </c>
      <c r="J4015" s="37" t="s">
        <v>3802</v>
      </c>
    </row>
    <row r="4016" spans="1:10" x14ac:dyDescent="0.3">
      <c r="A4016" s="32" t="s">
        <v>20</v>
      </c>
      <c r="B4016" s="32">
        <f t="shared" si="964"/>
        <v>2047</v>
      </c>
      <c r="C4016" s="33" t="s">
        <v>43</v>
      </c>
      <c r="D4016" s="34" t="s">
        <v>2002</v>
      </c>
      <c r="E4016" s="35" t="str">
        <f t="shared" si="960"/>
        <v>PRB'!</v>
      </c>
      <c r="F4016" s="34" t="str">
        <f t="shared" si="961"/>
        <v>C:\Users\jaime.benazar\Quorum Business Solutions\Ecopetrol Prometeo - Documents\Planning Space Implementation\3. Analysis &amp; Design\Design\FC22\DRR Jaime\Neiva CPI\[DINA TERCIARIOS_CF_SEC_New_27-Mar-2024.xlsx]D-PRB'!</v>
      </c>
      <c r="G4016" s="32" t="s">
        <v>125</v>
      </c>
      <c r="H4016" s="33">
        <f t="shared" si="962"/>
        <v>36</v>
      </c>
      <c r="I4016" s="33" t="str">
        <f t="shared" si="963"/>
        <v>='C:\Users\jaime.benazar\Quorum Business Solutions\Ecopetrol Prometeo - Documents\Planning Space Implementation\3. Analysis &amp; Design\Design\FC22\DRR Jaime\Neiva CPI\[DINA TERCIARIOS_CF_SEC_New_27-Mar-2024.xlsx]D-PRB'!$CB$36</v>
      </c>
      <c r="J4016" s="37" t="s">
        <v>3803</v>
      </c>
    </row>
    <row r="4017" spans="1:10" x14ac:dyDescent="0.3">
      <c r="A4017" s="32" t="s">
        <v>20</v>
      </c>
      <c r="B4017" s="32">
        <f t="shared" si="964"/>
        <v>2048</v>
      </c>
      <c r="C4017" s="33" t="s">
        <v>43</v>
      </c>
      <c r="D4017" s="34" t="s">
        <v>2002</v>
      </c>
      <c r="E4017" s="35" t="str">
        <f t="shared" si="960"/>
        <v>PRB'!</v>
      </c>
      <c r="F4017" s="34" t="str">
        <f t="shared" si="961"/>
        <v>C:\Users\jaime.benazar\Quorum Business Solutions\Ecopetrol Prometeo - Documents\Planning Space Implementation\3. Analysis &amp; Design\Design\FC22\DRR Jaime\Neiva CPI\[DINA TERCIARIOS_CF_SEC_New_27-Mar-2024.xlsx]D-PRB'!</v>
      </c>
      <c r="G4017" s="32" t="s">
        <v>125</v>
      </c>
      <c r="H4017" s="33">
        <f t="shared" si="962"/>
        <v>37</v>
      </c>
      <c r="I4017" s="33" t="str">
        <f t="shared" si="963"/>
        <v>='C:\Users\jaime.benazar\Quorum Business Solutions\Ecopetrol Prometeo - Documents\Planning Space Implementation\3. Analysis &amp; Design\Design\FC22\DRR Jaime\Neiva CPI\[DINA TERCIARIOS_CF_SEC_New_27-Mar-2024.xlsx]D-PRB'!$CB$37</v>
      </c>
      <c r="J4017" s="37" t="s">
        <v>3804</v>
      </c>
    </row>
    <row r="4018" spans="1:10" x14ac:dyDescent="0.3">
      <c r="A4018" s="32" t="s">
        <v>20</v>
      </c>
      <c r="B4018" s="32">
        <f t="shared" si="964"/>
        <v>2049</v>
      </c>
      <c r="C4018" s="33" t="s">
        <v>43</v>
      </c>
      <c r="D4018" s="34" t="s">
        <v>2002</v>
      </c>
      <c r="E4018" s="35" t="str">
        <f t="shared" si="960"/>
        <v>PRB'!</v>
      </c>
      <c r="F4018" s="34" t="str">
        <f t="shared" si="961"/>
        <v>C:\Users\jaime.benazar\Quorum Business Solutions\Ecopetrol Prometeo - Documents\Planning Space Implementation\3. Analysis &amp; Design\Design\FC22\DRR Jaime\Neiva CPI\[DINA TERCIARIOS_CF_SEC_New_27-Mar-2024.xlsx]D-PRB'!</v>
      </c>
      <c r="G4018" s="32" t="s">
        <v>125</v>
      </c>
      <c r="H4018" s="33">
        <f t="shared" si="962"/>
        <v>38</v>
      </c>
      <c r="I4018" s="33" t="str">
        <f t="shared" si="963"/>
        <v>='C:\Users\jaime.benazar\Quorum Business Solutions\Ecopetrol Prometeo - Documents\Planning Space Implementation\3. Analysis &amp; Design\Design\FC22\DRR Jaime\Neiva CPI\[DINA TERCIARIOS_CF_SEC_New_27-Mar-2024.xlsx]D-PRB'!$CB$38</v>
      </c>
      <c r="J4018" s="37" t="s">
        <v>3805</v>
      </c>
    </row>
    <row r="4019" spans="1:10" x14ac:dyDescent="0.3">
      <c r="A4019" s="32" t="s">
        <v>20</v>
      </c>
      <c r="B4019" s="32">
        <f t="shared" si="964"/>
        <v>2050</v>
      </c>
      <c r="C4019" s="33" t="s">
        <v>43</v>
      </c>
      <c r="D4019" s="34" t="s">
        <v>2002</v>
      </c>
      <c r="E4019" s="35" t="str">
        <f t="shared" si="960"/>
        <v>PRB'!</v>
      </c>
      <c r="F4019" s="34" t="str">
        <f t="shared" si="961"/>
        <v>C:\Users\jaime.benazar\Quorum Business Solutions\Ecopetrol Prometeo - Documents\Planning Space Implementation\3. Analysis &amp; Design\Design\FC22\DRR Jaime\Neiva CPI\[DINA TERCIARIOS_CF_SEC_New_27-Mar-2024.xlsx]D-PRB'!</v>
      </c>
      <c r="G4019" s="32" t="s">
        <v>125</v>
      </c>
      <c r="H4019" s="33">
        <f t="shared" si="962"/>
        <v>39</v>
      </c>
      <c r="I4019" s="33" t="str">
        <f t="shared" si="963"/>
        <v>='C:\Users\jaime.benazar\Quorum Business Solutions\Ecopetrol Prometeo - Documents\Planning Space Implementation\3. Analysis &amp; Design\Design\FC22\DRR Jaime\Neiva CPI\[DINA TERCIARIOS_CF_SEC_New_27-Mar-2024.xlsx]D-PRB'!$CB$39</v>
      </c>
      <c r="J4019" s="37" t="s">
        <v>3806</v>
      </c>
    </row>
    <row r="4020" spans="1:10" x14ac:dyDescent="0.3">
      <c r="A4020" s="32" t="s">
        <v>20</v>
      </c>
      <c r="B4020" s="32">
        <f t="shared" si="964"/>
        <v>2051</v>
      </c>
      <c r="C4020" s="33" t="s">
        <v>43</v>
      </c>
      <c r="D4020" s="34" t="s">
        <v>2002</v>
      </c>
      <c r="E4020" s="35" t="str">
        <f t="shared" si="960"/>
        <v>PRB'!</v>
      </c>
      <c r="F4020" s="34" t="str">
        <f t="shared" si="961"/>
        <v>C:\Users\jaime.benazar\Quorum Business Solutions\Ecopetrol Prometeo - Documents\Planning Space Implementation\3. Analysis &amp; Design\Design\FC22\DRR Jaime\Neiva CPI\[DINA TERCIARIOS_CF_SEC_New_27-Mar-2024.xlsx]D-PRB'!</v>
      </c>
      <c r="G4020" s="32" t="s">
        <v>125</v>
      </c>
      <c r="H4020" s="33">
        <f t="shared" si="962"/>
        <v>40</v>
      </c>
      <c r="I4020" s="33" t="str">
        <f t="shared" si="963"/>
        <v>='C:\Users\jaime.benazar\Quorum Business Solutions\Ecopetrol Prometeo - Documents\Planning Space Implementation\3. Analysis &amp; Design\Design\FC22\DRR Jaime\Neiva CPI\[DINA TERCIARIOS_CF_SEC_New_27-Mar-2024.xlsx]D-PRB'!$CB$40</v>
      </c>
      <c r="J4020" s="37" t="s">
        <v>3807</v>
      </c>
    </row>
    <row r="4021" spans="1:10" x14ac:dyDescent="0.3">
      <c r="A4021" s="32" t="s">
        <v>20</v>
      </c>
      <c r="B4021" s="32">
        <f t="shared" si="964"/>
        <v>2052</v>
      </c>
      <c r="C4021" s="33" t="s">
        <v>43</v>
      </c>
      <c r="D4021" s="34" t="s">
        <v>2002</v>
      </c>
      <c r="E4021" s="35" t="str">
        <f t="shared" si="960"/>
        <v>PRB'!</v>
      </c>
      <c r="F4021" s="34" t="str">
        <f t="shared" si="961"/>
        <v>C:\Users\jaime.benazar\Quorum Business Solutions\Ecopetrol Prometeo - Documents\Planning Space Implementation\3. Analysis &amp; Design\Design\FC22\DRR Jaime\Neiva CPI\[DINA TERCIARIOS_CF_SEC_New_27-Mar-2024.xlsx]D-PRB'!</v>
      </c>
      <c r="G4021" s="32" t="s">
        <v>125</v>
      </c>
      <c r="H4021" s="33">
        <f t="shared" si="962"/>
        <v>41</v>
      </c>
      <c r="I4021" s="33" t="str">
        <f t="shared" si="963"/>
        <v>='C:\Users\jaime.benazar\Quorum Business Solutions\Ecopetrol Prometeo - Documents\Planning Space Implementation\3. Analysis &amp; Design\Design\FC22\DRR Jaime\Neiva CPI\[DINA TERCIARIOS_CF_SEC_New_27-Mar-2024.xlsx]D-PRB'!$CB$41</v>
      </c>
      <c r="J4021" s="37" t="s">
        <v>3808</v>
      </c>
    </row>
    <row r="4022" spans="1:10" x14ac:dyDescent="0.3">
      <c r="A4022" s="32" t="s">
        <v>20</v>
      </c>
      <c r="B4022" s="32">
        <f t="shared" si="964"/>
        <v>2053</v>
      </c>
      <c r="C4022" s="33" t="s">
        <v>43</v>
      </c>
      <c r="D4022" s="34" t="s">
        <v>2002</v>
      </c>
      <c r="E4022" s="35" t="str">
        <f t="shared" si="960"/>
        <v>PRB'!</v>
      </c>
      <c r="F4022" s="34" t="str">
        <f t="shared" si="961"/>
        <v>C:\Users\jaime.benazar\Quorum Business Solutions\Ecopetrol Prometeo - Documents\Planning Space Implementation\3. Analysis &amp; Design\Design\FC22\DRR Jaime\Neiva CPI\[DINA TERCIARIOS_CF_SEC_New_27-Mar-2024.xlsx]D-PRB'!</v>
      </c>
      <c r="G4022" s="32" t="s">
        <v>125</v>
      </c>
      <c r="H4022" s="33">
        <f t="shared" si="962"/>
        <v>42</v>
      </c>
      <c r="I4022" s="33" t="str">
        <f t="shared" si="963"/>
        <v>='C:\Users\jaime.benazar\Quorum Business Solutions\Ecopetrol Prometeo - Documents\Planning Space Implementation\3. Analysis &amp; Design\Design\FC22\DRR Jaime\Neiva CPI\[DINA TERCIARIOS_CF_SEC_New_27-Mar-2024.xlsx]D-PRB'!$CB$42</v>
      </c>
      <c r="J4022" s="37" t="s">
        <v>3809</v>
      </c>
    </row>
    <row r="4023" spans="1:10" x14ac:dyDescent="0.3">
      <c r="A4023" s="32" t="s">
        <v>20</v>
      </c>
      <c r="B4023" s="32">
        <f t="shared" si="964"/>
        <v>2054</v>
      </c>
      <c r="C4023" s="33" t="s">
        <v>43</v>
      </c>
      <c r="D4023" s="34" t="s">
        <v>2002</v>
      </c>
      <c r="E4023" s="35" t="str">
        <f t="shared" si="960"/>
        <v>PRB'!</v>
      </c>
      <c r="F4023" s="34" t="str">
        <f t="shared" si="961"/>
        <v>C:\Users\jaime.benazar\Quorum Business Solutions\Ecopetrol Prometeo - Documents\Planning Space Implementation\3. Analysis &amp; Design\Design\FC22\DRR Jaime\Neiva CPI\[DINA TERCIARIOS_CF_SEC_New_27-Mar-2024.xlsx]D-PRB'!</v>
      </c>
      <c r="G4023" s="32" t="s">
        <v>125</v>
      </c>
      <c r="H4023" s="33">
        <f t="shared" si="962"/>
        <v>43</v>
      </c>
      <c r="I4023" s="33" t="str">
        <f t="shared" si="963"/>
        <v>='C:\Users\jaime.benazar\Quorum Business Solutions\Ecopetrol Prometeo - Documents\Planning Space Implementation\3. Analysis &amp; Design\Design\FC22\DRR Jaime\Neiva CPI\[DINA TERCIARIOS_CF_SEC_New_27-Mar-2024.xlsx]D-PRB'!$CB$43</v>
      </c>
      <c r="J4023" s="37" t="s">
        <v>3810</v>
      </c>
    </row>
    <row r="4024" spans="1:10" x14ac:dyDescent="0.3">
      <c r="A4024" s="32" t="s">
        <v>20</v>
      </c>
      <c r="B4024" s="32">
        <f t="shared" si="964"/>
        <v>2055</v>
      </c>
      <c r="C4024" s="33" t="s">
        <v>43</v>
      </c>
      <c r="D4024" s="34" t="s">
        <v>2002</v>
      </c>
      <c r="E4024" s="35" t="str">
        <f t="shared" si="960"/>
        <v>PRB'!</v>
      </c>
      <c r="F4024" s="34" t="str">
        <f t="shared" si="961"/>
        <v>C:\Users\jaime.benazar\Quorum Business Solutions\Ecopetrol Prometeo - Documents\Planning Space Implementation\3. Analysis &amp; Design\Design\FC22\DRR Jaime\Neiva CPI\[DINA TERCIARIOS_CF_SEC_New_27-Mar-2024.xlsx]D-PRB'!</v>
      </c>
      <c r="G4024" s="32" t="s">
        <v>125</v>
      </c>
      <c r="H4024" s="33">
        <f t="shared" si="962"/>
        <v>44</v>
      </c>
      <c r="I4024" s="33" t="str">
        <f t="shared" si="963"/>
        <v>='C:\Users\jaime.benazar\Quorum Business Solutions\Ecopetrol Prometeo - Documents\Planning Space Implementation\3. Analysis &amp; Design\Design\FC22\DRR Jaime\Neiva CPI\[DINA TERCIARIOS_CF_SEC_New_27-Mar-2024.xlsx]D-PRB'!$CB$44</v>
      </c>
      <c r="J4024" s="37" t="s">
        <v>3811</v>
      </c>
    </row>
    <row r="4025" spans="1:10" x14ac:dyDescent="0.3">
      <c r="A4025" s="32" t="s">
        <v>20</v>
      </c>
      <c r="B4025" s="32">
        <f t="shared" si="964"/>
        <v>2056</v>
      </c>
      <c r="C4025" s="33" t="s">
        <v>43</v>
      </c>
      <c r="D4025" s="34" t="s">
        <v>2002</v>
      </c>
      <c r="E4025" s="35" t="str">
        <f t="shared" si="960"/>
        <v>PRB'!</v>
      </c>
      <c r="F4025" s="34" t="str">
        <f t="shared" si="961"/>
        <v>C:\Users\jaime.benazar\Quorum Business Solutions\Ecopetrol Prometeo - Documents\Planning Space Implementation\3. Analysis &amp; Design\Design\FC22\DRR Jaime\Neiva CPI\[DINA TERCIARIOS_CF_SEC_New_27-Mar-2024.xlsx]D-PRB'!</v>
      </c>
      <c r="G4025" s="32" t="s">
        <v>125</v>
      </c>
      <c r="H4025" s="33">
        <f t="shared" si="962"/>
        <v>45</v>
      </c>
      <c r="I4025" s="33" t="str">
        <f t="shared" si="963"/>
        <v>='C:\Users\jaime.benazar\Quorum Business Solutions\Ecopetrol Prometeo - Documents\Planning Space Implementation\3. Analysis &amp; Design\Design\FC22\DRR Jaime\Neiva CPI\[DINA TERCIARIOS_CF_SEC_New_27-Mar-2024.xlsx]D-PRB'!$CB$45</v>
      </c>
      <c r="J4025" s="37" t="s">
        <v>3812</v>
      </c>
    </row>
    <row r="4026" spans="1:10" x14ac:dyDescent="0.3">
      <c r="A4026" s="32" t="s">
        <v>20</v>
      </c>
      <c r="B4026" s="32">
        <f t="shared" si="964"/>
        <v>2057</v>
      </c>
      <c r="C4026" s="33" t="s">
        <v>43</v>
      </c>
      <c r="D4026" s="34" t="s">
        <v>2002</v>
      </c>
      <c r="E4026" s="35" t="str">
        <f t="shared" si="960"/>
        <v>PRB'!</v>
      </c>
      <c r="F4026" s="34" t="str">
        <f t="shared" si="961"/>
        <v>C:\Users\jaime.benazar\Quorum Business Solutions\Ecopetrol Prometeo - Documents\Planning Space Implementation\3. Analysis &amp; Design\Design\FC22\DRR Jaime\Neiva CPI\[DINA TERCIARIOS_CF_SEC_New_27-Mar-2024.xlsx]D-PRB'!</v>
      </c>
      <c r="G4026" s="32" t="s">
        <v>125</v>
      </c>
      <c r="H4026" s="33">
        <f t="shared" si="962"/>
        <v>46</v>
      </c>
      <c r="I4026" s="33" t="str">
        <f t="shared" si="963"/>
        <v>='C:\Users\jaime.benazar\Quorum Business Solutions\Ecopetrol Prometeo - Documents\Planning Space Implementation\3. Analysis &amp; Design\Design\FC22\DRR Jaime\Neiva CPI\[DINA TERCIARIOS_CF_SEC_New_27-Mar-2024.xlsx]D-PRB'!$CB$46</v>
      </c>
      <c r="J4026" s="37" t="s">
        <v>3813</v>
      </c>
    </row>
    <row r="4027" spans="1:10" x14ac:dyDescent="0.3">
      <c r="A4027" s="32" t="s">
        <v>20</v>
      </c>
      <c r="B4027" s="32">
        <f t="shared" si="964"/>
        <v>2058</v>
      </c>
      <c r="C4027" s="33" t="s">
        <v>43</v>
      </c>
      <c r="D4027" s="34" t="s">
        <v>2002</v>
      </c>
      <c r="E4027" s="35" t="str">
        <f t="shared" si="960"/>
        <v>PRB'!</v>
      </c>
      <c r="F4027" s="34" t="str">
        <f t="shared" si="961"/>
        <v>C:\Users\jaime.benazar\Quorum Business Solutions\Ecopetrol Prometeo - Documents\Planning Space Implementation\3. Analysis &amp; Design\Design\FC22\DRR Jaime\Neiva CPI\[DINA TERCIARIOS_CF_SEC_New_27-Mar-2024.xlsx]D-PRB'!</v>
      </c>
      <c r="G4027" s="32" t="s">
        <v>125</v>
      </c>
      <c r="H4027" s="33">
        <f t="shared" si="962"/>
        <v>47</v>
      </c>
      <c r="I4027" s="33" t="str">
        <f t="shared" si="963"/>
        <v>='C:\Users\jaime.benazar\Quorum Business Solutions\Ecopetrol Prometeo - Documents\Planning Space Implementation\3. Analysis &amp; Design\Design\FC22\DRR Jaime\Neiva CPI\[DINA TERCIARIOS_CF_SEC_New_27-Mar-2024.xlsx]D-PRB'!$CB$47</v>
      </c>
      <c r="J4027" s="37" t="s">
        <v>3814</v>
      </c>
    </row>
    <row r="4028" spans="1:10" x14ac:dyDescent="0.3">
      <c r="A4028" s="32" t="s">
        <v>20</v>
      </c>
      <c r="B4028" s="32">
        <f t="shared" si="964"/>
        <v>2059</v>
      </c>
      <c r="C4028" s="33" t="s">
        <v>43</v>
      </c>
      <c r="D4028" s="34" t="s">
        <v>2002</v>
      </c>
      <c r="E4028" s="35" t="str">
        <f t="shared" si="960"/>
        <v>PRB'!</v>
      </c>
      <c r="F4028" s="34" t="str">
        <f t="shared" si="961"/>
        <v>C:\Users\jaime.benazar\Quorum Business Solutions\Ecopetrol Prometeo - Documents\Planning Space Implementation\3. Analysis &amp; Design\Design\FC22\DRR Jaime\Neiva CPI\[DINA TERCIARIOS_CF_SEC_New_27-Mar-2024.xlsx]D-PRB'!</v>
      </c>
      <c r="G4028" s="32" t="s">
        <v>125</v>
      </c>
      <c r="H4028" s="33">
        <f t="shared" si="962"/>
        <v>48</v>
      </c>
      <c r="I4028" s="33" t="str">
        <f t="shared" si="963"/>
        <v>='C:\Users\jaime.benazar\Quorum Business Solutions\Ecopetrol Prometeo - Documents\Planning Space Implementation\3. Analysis &amp; Design\Design\FC22\DRR Jaime\Neiva CPI\[DINA TERCIARIOS_CF_SEC_New_27-Mar-2024.xlsx]D-PRB'!$CB$48</v>
      </c>
      <c r="J4028" s="37" t="s">
        <v>3815</v>
      </c>
    </row>
    <row r="4029" spans="1:10" x14ac:dyDescent="0.3">
      <c r="A4029" s="32" t="s">
        <v>26</v>
      </c>
      <c r="B4029" s="32"/>
      <c r="C4029" s="33" t="s">
        <v>43</v>
      </c>
      <c r="D4029" s="34"/>
      <c r="E4029" s="35"/>
      <c r="F4029" s="34"/>
      <c r="G4029" s="32"/>
      <c r="H4029" s="33"/>
      <c r="I4029" s="33"/>
      <c r="J4029" s="33"/>
    </row>
    <row r="4030" spans="1:10" x14ac:dyDescent="0.3">
      <c r="A4030" s="32" t="s">
        <v>21</v>
      </c>
      <c r="B4030" s="32">
        <v>2023</v>
      </c>
      <c r="C4030" s="33" t="s">
        <v>43</v>
      </c>
      <c r="D4030" s="34" t="s">
        <v>2002</v>
      </c>
      <c r="E4030" s="35" t="str">
        <f t="shared" ref="E4030:E4050" si="965">_xlfn.CONCAT(A4030,"'!")</f>
        <v>PSDP'!</v>
      </c>
      <c r="F4030" s="34" t="str">
        <f t="shared" ref="F4030:F4050" si="966">_xlfn.CONCAT(D4030:E4030)</f>
        <v>C:\Users\jaime.benazar\Quorum Business Solutions\Ecopetrol Prometeo - Documents\Planning Space Implementation\3. Analysis &amp; Design\Design\FC22\DRR Jaime\Neiva CPI\[DINA TERCIARIOS_CF_SEC_New_27-Mar-2024.xlsx]D-PSDP'!</v>
      </c>
      <c r="G4030" s="32" t="s">
        <v>125</v>
      </c>
      <c r="H4030" s="33"/>
      <c r="I4030" s="33"/>
      <c r="J4030" s="37"/>
    </row>
    <row r="4031" spans="1:10" x14ac:dyDescent="0.3">
      <c r="A4031" s="32" t="s">
        <v>21</v>
      </c>
      <c r="B4031" s="32">
        <f>+B4030+1</f>
        <v>2024</v>
      </c>
      <c r="C4031" s="33" t="s">
        <v>43</v>
      </c>
      <c r="D4031" s="34" t="s">
        <v>2002</v>
      </c>
      <c r="E4031" s="35" t="str">
        <f t="shared" si="965"/>
        <v>PSDP'!</v>
      </c>
      <c r="F4031" s="34" t="str">
        <f t="shared" si="966"/>
        <v>C:\Users\jaime.benazar\Quorum Business Solutions\Ecopetrol Prometeo - Documents\Planning Space Implementation\3. Analysis &amp; Design\Design\FC22\DRR Jaime\Neiva CPI\[DINA TERCIARIOS_CF_SEC_New_27-Mar-2024.xlsx]D-PSDP'!</v>
      </c>
      <c r="G4031" s="32" t="s">
        <v>125</v>
      </c>
      <c r="H4031" s="33"/>
      <c r="I4031" s="33"/>
      <c r="J4031" s="37"/>
    </row>
    <row r="4032" spans="1:10" x14ac:dyDescent="0.3">
      <c r="A4032" s="32" t="s">
        <v>21</v>
      </c>
      <c r="B4032" s="32">
        <f t="shared" ref="B4032:B4043" si="967">+B4031+1</f>
        <v>2025</v>
      </c>
      <c r="C4032" s="33" t="s">
        <v>43</v>
      </c>
      <c r="D4032" s="34" t="s">
        <v>2002</v>
      </c>
      <c r="E4032" s="35" t="str">
        <f t="shared" si="965"/>
        <v>PSDP'!</v>
      </c>
      <c r="F4032" s="34" t="str">
        <f t="shared" si="966"/>
        <v>C:\Users\jaime.benazar\Quorum Business Solutions\Ecopetrol Prometeo - Documents\Planning Space Implementation\3. Analysis &amp; Design\Design\FC22\DRR Jaime\Neiva CPI\[DINA TERCIARIOS_CF_SEC_New_27-Mar-2024.xlsx]D-PSDP'!</v>
      </c>
      <c r="G4032" s="32" t="s">
        <v>125</v>
      </c>
      <c r="H4032" s="33"/>
      <c r="I4032" s="33"/>
      <c r="J4032" s="37"/>
    </row>
    <row r="4033" spans="1:10" x14ac:dyDescent="0.3">
      <c r="A4033" s="32" t="s">
        <v>21</v>
      </c>
      <c r="B4033" s="32">
        <f t="shared" si="967"/>
        <v>2026</v>
      </c>
      <c r="C4033" s="33" t="s">
        <v>43</v>
      </c>
      <c r="D4033" s="34" t="s">
        <v>2002</v>
      </c>
      <c r="E4033" s="35" t="str">
        <f t="shared" si="965"/>
        <v>PSDP'!</v>
      </c>
      <c r="F4033" s="34" t="str">
        <f t="shared" si="966"/>
        <v>C:\Users\jaime.benazar\Quorum Business Solutions\Ecopetrol Prometeo - Documents\Planning Space Implementation\3. Analysis &amp; Design\Design\FC22\DRR Jaime\Neiva CPI\[DINA TERCIARIOS_CF_SEC_New_27-Mar-2024.xlsx]D-PSDP'!</v>
      </c>
      <c r="G4033" s="32" t="s">
        <v>125</v>
      </c>
      <c r="H4033" s="33"/>
      <c r="I4033" s="33"/>
      <c r="J4033" s="37"/>
    </row>
    <row r="4034" spans="1:10" x14ac:dyDescent="0.3">
      <c r="A4034" s="32" t="s">
        <v>21</v>
      </c>
      <c r="B4034" s="32">
        <f t="shared" si="967"/>
        <v>2027</v>
      </c>
      <c r="C4034" s="33" t="s">
        <v>43</v>
      </c>
      <c r="D4034" s="34" t="s">
        <v>2002</v>
      </c>
      <c r="E4034" s="35" t="str">
        <f t="shared" si="965"/>
        <v>PSDP'!</v>
      </c>
      <c r="F4034" s="34" t="str">
        <f t="shared" si="966"/>
        <v>C:\Users\jaime.benazar\Quorum Business Solutions\Ecopetrol Prometeo - Documents\Planning Space Implementation\3. Analysis &amp; Design\Design\FC22\DRR Jaime\Neiva CPI\[DINA TERCIARIOS_CF_SEC_New_27-Mar-2024.xlsx]D-PSDP'!</v>
      </c>
      <c r="G4034" s="32" t="s">
        <v>125</v>
      </c>
      <c r="H4034" s="33"/>
      <c r="I4034" s="33"/>
      <c r="J4034" s="37"/>
    </row>
    <row r="4035" spans="1:10" x14ac:dyDescent="0.3">
      <c r="A4035" s="32" t="s">
        <v>21</v>
      </c>
      <c r="B4035" s="32">
        <f t="shared" si="967"/>
        <v>2028</v>
      </c>
      <c r="C4035" s="33" t="s">
        <v>43</v>
      </c>
      <c r="D4035" s="34" t="s">
        <v>2002</v>
      </c>
      <c r="E4035" s="35" t="str">
        <f t="shared" si="965"/>
        <v>PSDP'!</v>
      </c>
      <c r="F4035" s="34" t="str">
        <f t="shared" si="966"/>
        <v>C:\Users\jaime.benazar\Quorum Business Solutions\Ecopetrol Prometeo - Documents\Planning Space Implementation\3. Analysis &amp; Design\Design\FC22\DRR Jaime\Neiva CPI\[DINA TERCIARIOS_CF_SEC_New_27-Mar-2024.xlsx]D-PSDP'!</v>
      </c>
      <c r="G4035" s="32" t="s">
        <v>125</v>
      </c>
      <c r="H4035" s="33"/>
      <c r="I4035" s="33"/>
      <c r="J4035" s="37"/>
    </row>
    <row r="4036" spans="1:10" x14ac:dyDescent="0.3">
      <c r="A4036" s="32" t="s">
        <v>21</v>
      </c>
      <c r="B4036" s="32">
        <f t="shared" si="967"/>
        <v>2029</v>
      </c>
      <c r="C4036" s="33" t="s">
        <v>43</v>
      </c>
      <c r="D4036" s="34" t="s">
        <v>2002</v>
      </c>
      <c r="E4036" s="35" t="str">
        <f t="shared" si="965"/>
        <v>PSDP'!</v>
      </c>
      <c r="F4036" s="34" t="str">
        <f t="shared" si="966"/>
        <v>C:\Users\jaime.benazar\Quorum Business Solutions\Ecopetrol Prometeo - Documents\Planning Space Implementation\3. Analysis &amp; Design\Design\FC22\DRR Jaime\Neiva CPI\[DINA TERCIARIOS_CF_SEC_New_27-Mar-2024.xlsx]D-PSDP'!</v>
      </c>
      <c r="G4036" s="32" t="s">
        <v>125</v>
      </c>
      <c r="H4036" s="33"/>
      <c r="I4036" s="33"/>
      <c r="J4036" s="37"/>
    </row>
    <row r="4037" spans="1:10" x14ac:dyDescent="0.3">
      <c r="A4037" s="32" t="s">
        <v>21</v>
      </c>
      <c r="B4037" s="32">
        <f t="shared" si="967"/>
        <v>2030</v>
      </c>
      <c r="C4037" s="33" t="s">
        <v>43</v>
      </c>
      <c r="D4037" s="34" t="s">
        <v>2002</v>
      </c>
      <c r="E4037" s="35" t="str">
        <f t="shared" si="965"/>
        <v>PSDP'!</v>
      </c>
      <c r="F4037" s="34" t="str">
        <f t="shared" si="966"/>
        <v>C:\Users\jaime.benazar\Quorum Business Solutions\Ecopetrol Prometeo - Documents\Planning Space Implementation\3. Analysis &amp; Design\Design\FC22\DRR Jaime\Neiva CPI\[DINA TERCIARIOS_CF_SEC_New_27-Mar-2024.xlsx]D-PSDP'!</v>
      </c>
      <c r="G4037" s="32" t="s">
        <v>125</v>
      </c>
      <c r="H4037" s="33"/>
      <c r="I4037" s="33"/>
      <c r="J4037" s="37"/>
    </row>
    <row r="4038" spans="1:10" x14ac:dyDescent="0.3">
      <c r="A4038" s="32" t="s">
        <v>21</v>
      </c>
      <c r="B4038" s="32">
        <f t="shared" si="967"/>
        <v>2031</v>
      </c>
      <c r="C4038" s="33" t="s">
        <v>43</v>
      </c>
      <c r="D4038" s="34" t="s">
        <v>2002</v>
      </c>
      <c r="E4038" s="35" t="str">
        <f t="shared" si="965"/>
        <v>PSDP'!</v>
      </c>
      <c r="F4038" s="34" t="str">
        <f t="shared" si="966"/>
        <v>C:\Users\jaime.benazar\Quorum Business Solutions\Ecopetrol Prometeo - Documents\Planning Space Implementation\3. Analysis &amp; Design\Design\FC22\DRR Jaime\Neiva CPI\[DINA TERCIARIOS_CF_SEC_New_27-Mar-2024.xlsx]D-PSDP'!</v>
      </c>
      <c r="G4038" s="32" t="s">
        <v>125</v>
      </c>
      <c r="H4038" s="33"/>
      <c r="I4038" s="33"/>
      <c r="J4038" s="37"/>
    </row>
    <row r="4039" spans="1:10" x14ac:dyDescent="0.3">
      <c r="A4039" s="32" t="s">
        <v>21</v>
      </c>
      <c r="B4039" s="32">
        <f t="shared" si="967"/>
        <v>2032</v>
      </c>
      <c r="C4039" s="33" t="s">
        <v>43</v>
      </c>
      <c r="D4039" s="34" t="s">
        <v>2002</v>
      </c>
      <c r="E4039" s="35" t="str">
        <f t="shared" si="965"/>
        <v>PSDP'!</v>
      </c>
      <c r="F4039" s="34" t="str">
        <f t="shared" si="966"/>
        <v>C:\Users\jaime.benazar\Quorum Business Solutions\Ecopetrol Prometeo - Documents\Planning Space Implementation\3. Analysis &amp; Design\Design\FC22\DRR Jaime\Neiva CPI\[DINA TERCIARIOS_CF_SEC_New_27-Mar-2024.xlsx]D-PSDP'!</v>
      </c>
      <c r="G4039" s="32" t="s">
        <v>125</v>
      </c>
      <c r="H4039" s="33"/>
      <c r="I4039" s="33"/>
      <c r="J4039" s="37"/>
    </row>
    <row r="4040" spans="1:10" x14ac:dyDescent="0.3">
      <c r="A4040" s="32" t="s">
        <v>21</v>
      </c>
      <c r="B4040" s="32">
        <f t="shared" si="967"/>
        <v>2033</v>
      </c>
      <c r="C4040" s="33" t="s">
        <v>43</v>
      </c>
      <c r="D4040" s="34" t="s">
        <v>2002</v>
      </c>
      <c r="E4040" s="35" t="str">
        <f t="shared" si="965"/>
        <v>PSDP'!</v>
      </c>
      <c r="F4040" s="34" t="str">
        <f t="shared" si="966"/>
        <v>C:\Users\jaime.benazar\Quorum Business Solutions\Ecopetrol Prometeo - Documents\Planning Space Implementation\3. Analysis &amp; Design\Design\FC22\DRR Jaime\Neiva CPI\[DINA TERCIARIOS_CF_SEC_New_27-Mar-2024.xlsx]D-PSDP'!</v>
      </c>
      <c r="G4040" s="32" t="s">
        <v>125</v>
      </c>
      <c r="H4040" s="33"/>
      <c r="I4040" s="33"/>
      <c r="J4040" s="37"/>
    </row>
    <row r="4041" spans="1:10" x14ac:dyDescent="0.3">
      <c r="A4041" s="32" t="s">
        <v>21</v>
      </c>
      <c r="B4041" s="32">
        <f t="shared" si="967"/>
        <v>2034</v>
      </c>
      <c r="C4041" s="33" t="s">
        <v>43</v>
      </c>
      <c r="D4041" s="34" t="s">
        <v>2002</v>
      </c>
      <c r="E4041" s="35" t="str">
        <f t="shared" si="965"/>
        <v>PSDP'!</v>
      </c>
      <c r="F4041" s="34" t="str">
        <f t="shared" si="966"/>
        <v>C:\Users\jaime.benazar\Quorum Business Solutions\Ecopetrol Prometeo - Documents\Planning Space Implementation\3. Analysis &amp; Design\Design\FC22\DRR Jaime\Neiva CPI\[DINA TERCIARIOS_CF_SEC_New_27-Mar-2024.xlsx]D-PSDP'!</v>
      </c>
      <c r="G4041" s="32" t="s">
        <v>125</v>
      </c>
      <c r="H4041" s="33"/>
      <c r="I4041" s="33"/>
      <c r="J4041" s="37"/>
    </row>
    <row r="4042" spans="1:10" x14ac:dyDescent="0.3">
      <c r="A4042" s="32" t="s">
        <v>21</v>
      </c>
      <c r="B4042" s="32">
        <f t="shared" si="967"/>
        <v>2035</v>
      </c>
      <c r="C4042" s="33" t="s">
        <v>43</v>
      </c>
      <c r="D4042" s="34" t="s">
        <v>2002</v>
      </c>
      <c r="E4042" s="35" t="str">
        <f t="shared" si="965"/>
        <v>PSDP'!</v>
      </c>
      <c r="F4042" s="34" t="str">
        <f t="shared" si="966"/>
        <v>C:\Users\jaime.benazar\Quorum Business Solutions\Ecopetrol Prometeo - Documents\Planning Space Implementation\3. Analysis &amp; Design\Design\FC22\DRR Jaime\Neiva CPI\[DINA TERCIARIOS_CF_SEC_New_27-Mar-2024.xlsx]D-PSDP'!</v>
      </c>
      <c r="G4042" s="32" t="s">
        <v>125</v>
      </c>
      <c r="H4042" s="33"/>
      <c r="I4042" s="33"/>
      <c r="J4042" s="37"/>
    </row>
    <row r="4043" spans="1:10" x14ac:dyDescent="0.3">
      <c r="A4043" s="32" t="s">
        <v>21</v>
      </c>
      <c r="B4043" s="32">
        <f t="shared" si="967"/>
        <v>2036</v>
      </c>
      <c r="C4043" s="33" t="s">
        <v>43</v>
      </c>
      <c r="D4043" s="34" t="s">
        <v>2002</v>
      </c>
      <c r="E4043" s="35" t="str">
        <f t="shared" si="965"/>
        <v>PSDP'!</v>
      </c>
      <c r="F4043" s="34" t="str">
        <f t="shared" si="966"/>
        <v>C:\Users\jaime.benazar\Quorum Business Solutions\Ecopetrol Prometeo - Documents\Planning Space Implementation\3. Analysis &amp; Design\Design\FC22\DRR Jaime\Neiva CPI\[DINA TERCIARIOS_CF_SEC_New_27-Mar-2024.xlsx]D-PSDP'!</v>
      </c>
      <c r="G4043" s="32" t="s">
        <v>125</v>
      </c>
      <c r="H4043" s="33"/>
      <c r="I4043" s="33"/>
      <c r="J4043" s="37"/>
    </row>
    <row r="4044" spans="1:10" x14ac:dyDescent="0.3">
      <c r="A4044" s="32" t="s">
        <v>21</v>
      </c>
      <c r="B4044" s="32">
        <f>+B4043+1</f>
        <v>2037</v>
      </c>
      <c r="C4044" s="33" t="s">
        <v>43</v>
      </c>
      <c r="D4044" s="34" t="s">
        <v>2002</v>
      </c>
      <c r="E4044" s="35" t="str">
        <f t="shared" si="965"/>
        <v>PSDP'!</v>
      </c>
      <c r="F4044" s="34" t="str">
        <f t="shared" si="966"/>
        <v>C:\Users\jaime.benazar\Quorum Business Solutions\Ecopetrol Prometeo - Documents\Planning Space Implementation\3. Analysis &amp; Design\Design\FC22\DRR Jaime\Neiva CPI\[DINA TERCIARIOS_CF_SEC_New_27-Mar-2024.xlsx]D-PSDP'!</v>
      </c>
      <c r="G4044" s="32" t="s">
        <v>125</v>
      </c>
      <c r="H4044" s="33"/>
      <c r="I4044" s="33"/>
      <c r="J4044" s="37"/>
    </row>
    <row r="4045" spans="1:10" x14ac:dyDescent="0.3">
      <c r="A4045" s="32" t="s">
        <v>21</v>
      </c>
      <c r="B4045" s="32">
        <f t="shared" ref="B4045:B4047" si="968">+B4044+1</f>
        <v>2038</v>
      </c>
      <c r="C4045" s="33" t="s">
        <v>43</v>
      </c>
      <c r="D4045" s="34" t="s">
        <v>2002</v>
      </c>
      <c r="E4045" s="35" t="str">
        <f t="shared" si="965"/>
        <v>PSDP'!</v>
      </c>
      <c r="F4045" s="34" t="str">
        <f t="shared" si="966"/>
        <v>C:\Users\jaime.benazar\Quorum Business Solutions\Ecopetrol Prometeo - Documents\Planning Space Implementation\3. Analysis &amp; Design\Design\FC22\DRR Jaime\Neiva CPI\[DINA TERCIARIOS_CF_SEC_New_27-Mar-2024.xlsx]D-PSDP'!</v>
      </c>
      <c r="G4045" s="32" t="s">
        <v>125</v>
      </c>
      <c r="H4045" s="33"/>
      <c r="I4045" s="33"/>
      <c r="J4045" s="37"/>
    </row>
    <row r="4046" spans="1:10" x14ac:dyDescent="0.3">
      <c r="A4046" s="32" t="s">
        <v>21</v>
      </c>
      <c r="B4046" s="32">
        <f t="shared" si="968"/>
        <v>2039</v>
      </c>
      <c r="C4046" s="33" t="s">
        <v>43</v>
      </c>
      <c r="D4046" s="34" t="s">
        <v>2002</v>
      </c>
      <c r="E4046" s="35" t="str">
        <f t="shared" si="965"/>
        <v>PSDP'!</v>
      </c>
      <c r="F4046" s="34" t="str">
        <f t="shared" si="966"/>
        <v>C:\Users\jaime.benazar\Quorum Business Solutions\Ecopetrol Prometeo - Documents\Planning Space Implementation\3. Analysis &amp; Design\Design\FC22\DRR Jaime\Neiva CPI\[DINA TERCIARIOS_CF_SEC_New_27-Mar-2024.xlsx]D-PSDP'!</v>
      </c>
      <c r="G4046" s="32" t="s">
        <v>125</v>
      </c>
      <c r="H4046" s="33"/>
      <c r="I4046" s="33"/>
      <c r="J4046" s="37"/>
    </row>
    <row r="4047" spans="1:10" x14ac:dyDescent="0.3">
      <c r="A4047" s="32" t="s">
        <v>21</v>
      </c>
      <c r="B4047" s="32">
        <f t="shared" si="968"/>
        <v>2040</v>
      </c>
      <c r="C4047" s="33" t="s">
        <v>43</v>
      </c>
      <c r="D4047" s="34" t="s">
        <v>2002</v>
      </c>
      <c r="E4047" s="35" t="str">
        <f t="shared" si="965"/>
        <v>PSDP'!</v>
      </c>
      <c r="F4047" s="34" t="str">
        <f t="shared" si="966"/>
        <v>C:\Users\jaime.benazar\Quorum Business Solutions\Ecopetrol Prometeo - Documents\Planning Space Implementation\3. Analysis &amp; Design\Design\FC22\DRR Jaime\Neiva CPI\[DINA TERCIARIOS_CF_SEC_New_27-Mar-2024.xlsx]D-PSDP'!</v>
      </c>
      <c r="G4047" s="32" t="s">
        <v>125</v>
      </c>
      <c r="H4047" s="33"/>
      <c r="I4047" s="33"/>
      <c r="J4047" s="37"/>
    </row>
    <row r="4048" spans="1:10" x14ac:dyDescent="0.3">
      <c r="A4048" s="32" t="s">
        <v>21</v>
      </c>
      <c r="B4048" s="32">
        <f>+B4047+1</f>
        <v>2041</v>
      </c>
      <c r="C4048" s="33" t="s">
        <v>43</v>
      </c>
      <c r="D4048" s="34" t="s">
        <v>2002</v>
      </c>
      <c r="E4048" s="35" t="str">
        <f t="shared" si="965"/>
        <v>PSDP'!</v>
      </c>
      <c r="F4048" s="34" t="str">
        <f t="shared" si="966"/>
        <v>C:\Users\jaime.benazar\Quorum Business Solutions\Ecopetrol Prometeo - Documents\Planning Space Implementation\3. Analysis &amp; Design\Design\FC22\DRR Jaime\Neiva CPI\[DINA TERCIARIOS_CF_SEC_New_27-Mar-2024.xlsx]D-PSDP'!</v>
      </c>
      <c r="G4048" s="32" t="s">
        <v>125</v>
      </c>
      <c r="H4048" s="33"/>
      <c r="I4048" s="33"/>
      <c r="J4048" s="37"/>
    </row>
    <row r="4049" spans="1:10" x14ac:dyDescent="0.3">
      <c r="A4049" s="32" t="s">
        <v>21</v>
      </c>
      <c r="B4049" s="32">
        <f t="shared" ref="B4049:B4050" si="969">+B4048+1</f>
        <v>2042</v>
      </c>
      <c r="C4049" s="33" t="s">
        <v>43</v>
      </c>
      <c r="D4049" s="34" t="s">
        <v>2002</v>
      </c>
      <c r="E4049" s="35" t="str">
        <f t="shared" si="965"/>
        <v>PSDP'!</v>
      </c>
      <c r="F4049" s="34" t="str">
        <f t="shared" si="966"/>
        <v>C:\Users\jaime.benazar\Quorum Business Solutions\Ecopetrol Prometeo - Documents\Planning Space Implementation\3. Analysis &amp; Design\Design\FC22\DRR Jaime\Neiva CPI\[DINA TERCIARIOS_CF_SEC_New_27-Mar-2024.xlsx]D-PSDP'!</v>
      </c>
      <c r="G4049" s="32" t="s">
        <v>125</v>
      </c>
      <c r="H4049" s="33"/>
      <c r="I4049" s="33"/>
      <c r="J4049" s="37"/>
    </row>
    <row r="4050" spans="1:10" x14ac:dyDescent="0.3">
      <c r="A4050" s="32" t="s">
        <v>21</v>
      </c>
      <c r="B4050" s="32">
        <f t="shared" si="969"/>
        <v>2043</v>
      </c>
      <c r="C4050" s="33" t="s">
        <v>43</v>
      </c>
      <c r="D4050" s="34" t="s">
        <v>2002</v>
      </c>
      <c r="E4050" s="35" t="str">
        <f t="shared" si="965"/>
        <v>PSDP'!</v>
      </c>
      <c r="F4050" s="34" t="str">
        <f t="shared" si="966"/>
        <v>C:\Users\jaime.benazar\Quorum Business Solutions\Ecopetrol Prometeo - Documents\Planning Space Implementation\3. Analysis &amp; Design\Design\FC22\DRR Jaime\Neiva CPI\[DINA TERCIARIOS_CF_SEC_New_27-Mar-2024.xlsx]D-PSDP'!</v>
      </c>
      <c r="G4050" s="32" t="s">
        <v>125</v>
      </c>
      <c r="H4050" s="33"/>
      <c r="I4050" s="33"/>
      <c r="J4050" s="37"/>
    </row>
    <row r="4051" spans="1:10" x14ac:dyDescent="0.3">
      <c r="A4051" s="32" t="s">
        <v>21</v>
      </c>
      <c r="B4051" s="32">
        <f>+B4050+1</f>
        <v>2044</v>
      </c>
      <c r="C4051" s="33" t="s">
        <v>43</v>
      </c>
      <c r="D4051" s="34" t="s">
        <v>2002</v>
      </c>
      <c r="E4051" s="35" t="str">
        <f t="shared" ref="E4051:E4066" si="970">_xlfn.CONCAT(A4051,"'!")</f>
        <v>PSDP'!</v>
      </c>
      <c r="F4051" s="34" t="str">
        <f t="shared" ref="F4051:F4066" si="971">_xlfn.CONCAT(D4051:E4051)</f>
        <v>C:\Users\jaime.benazar\Quorum Business Solutions\Ecopetrol Prometeo - Documents\Planning Space Implementation\3. Analysis &amp; Design\Design\FC22\DRR Jaime\Neiva CPI\[DINA TERCIARIOS_CF_SEC_New_27-Mar-2024.xlsx]D-PSDP'!</v>
      </c>
      <c r="G4051" s="32" t="s">
        <v>125</v>
      </c>
      <c r="H4051" s="33"/>
      <c r="I4051" s="33"/>
      <c r="J4051" s="37"/>
    </row>
    <row r="4052" spans="1:10" x14ac:dyDescent="0.3">
      <c r="A4052" s="32" t="s">
        <v>21</v>
      </c>
      <c r="B4052" s="32">
        <f t="shared" ref="B4052:B4066" si="972">+B4051+1</f>
        <v>2045</v>
      </c>
      <c r="C4052" s="33" t="s">
        <v>43</v>
      </c>
      <c r="D4052" s="34" t="s">
        <v>2002</v>
      </c>
      <c r="E4052" s="35" t="str">
        <f t="shared" si="970"/>
        <v>PSDP'!</v>
      </c>
      <c r="F4052" s="34" t="str">
        <f t="shared" si="971"/>
        <v>C:\Users\jaime.benazar\Quorum Business Solutions\Ecopetrol Prometeo - Documents\Planning Space Implementation\3. Analysis &amp; Design\Design\FC22\DRR Jaime\Neiva CPI\[DINA TERCIARIOS_CF_SEC_New_27-Mar-2024.xlsx]D-PSDP'!</v>
      </c>
      <c r="G4052" s="32" t="s">
        <v>125</v>
      </c>
      <c r="H4052" s="33"/>
      <c r="I4052" s="33"/>
      <c r="J4052" s="37"/>
    </row>
    <row r="4053" spans="1:10" x14ac:dyDescent="0.3">
      <c r="A4053" s="32" t="s">
        <v>21</v>
      </c>
      <c r="B4053" s="32">
        <f t="shared" si="972"/>
        <v>2046</v>
      </c>
      <c r="C4053" s="33" t="s">
        <v>43</v>
      </c>
      <c r="D4053" s="34" t="s">
        <v>2002</v>
      </c>
      <c r="E4053" s="35" t="str">
        <f t="shared" si="970"/>
        <v>PSDP'!</v>
      </c>
      <c r="F4053" s="34" t="str">
        <f t="shared" si="971"/>
        <v>C:\Users\jaime.benazar\Quorum Business Solutions\Ecopetrol Prometeo - Documents\Planning Space Implementation\3. Analysis &amp; Design\Design\FC22\DRR Jaime\Neiva CPI\[DINA TERCIARIOS_CF_SEC_New_27-Mar-2024.xlsx]D-PSDP'!</v>
      </c>
      <c r="G4053" s="32" t="s">
        <v>125</v>
      </c>
      <c r="H4053" s="33"/>
      <c r="I4053" s="33"/>
      <c r="J4053" s="37"/>
    </row>
    <row r="4054" spans="1:10" x14ac:dyDescent="0.3">
      <c r="A4054" s="32" t="s">
        <v>21</v>
      </c>
      <c r="B4054" s="32">
        <f t="shared" si="972"/>
        <v>2047</v>
      </c>
      <c r="C4054" s="33" t="s">
        <v>43</v>
      </c>
      <c r="D4054" s="34" t="s">
        <v>2002</v>
      </c>
      <c r="E4054" s="35" t="str">
        <f t="shared" si="970"/>
        <v>PSDP'!</v>
      </c>
      <c r="F4054" s="34" t="str">
        <f t="shared" si="971"/>
        <v>C:\Users\jaime.benazar\Quorum Business Solutions\Ecopetrol Prometeo - Documents\Planning Space Implementation\3. Analysis &amp; Design\Design\FC22\DRR Jaime\Neiva CPI\[DINA TERCIARIOS_CF_SEC_New_27-Mar-2024.xlsx]D-PSDP'!</v>
      </c>
      <c r="G4054" s="32" t="s">
        <v>125</v>
      </c>
      <c r="H4054" s="33"/>
      <c r="I4054" s="33"/>
      <c r="J4054" s="37"/>
    </row>
    <row r="4055" spans="1:10" x14ac:dyDescent="0.3">
      <c r="A4055" s="32" t="s">
        <v>21</v>
      </c>
      <c r="B4055" s="32">
        <f t="shared" si="972"/>
        <v>2048</v>
      </c>
      <c r="C4055" s="33" t="s">
        <v>43</v>
      </c>
      <c r="D4055" s="34" t="s">
        <v>2002</v>
      </c>
      <c r="E4055" s="35" t="str">
        <f t="shared" si="970"/>
        <v>PSDP'!</v>
      </c>
      <c r="F4055" s="34" t="str">
        <f t="shared" si="971"/>
        <v>C:\Users\jaime.benazar\Quorum Business Solutions\Ecopetrol Prometeo - Documents\Planning Space Implementation\3. Analysis &amp; Design\Design\FC22\DRR Jaime\Neiva CPI\[DINA TERCIARIOS_CF_SEC_New_27-Mar-2024.xlsx]D-PSDP'!</v>
      </c>
      <c r="G4055" s="32" t="s">
        <v>125</v>
      </c>
      <c r="H4055" s="33"/>
      <c r="I4055" s="33"/>
      <c r="J4055" s="37"/>
    </row>
    <row r="4056" spans="1:10" x14ac:dyDescent="0.3">
      <c r="A4056" s="32" t="s">
        <v>21</v>
      </c>
      <c r="B4056" s="32">
        <f t="shared" si="972"/>
        <v>2049</v>
      </c>
      <c r="C4056" s="33" t="s">
        <v>43</v>
      </c>
      <c r="D4056" s="34" t="s">
        <v>2002</v>
      </c>
      <c r="E4056" s="35" t="str">
        <f t="shared" si="970"/>
        <v>PSDP'!</v>
      </c>
      <c r="F4056" s="34" t="str">
        <f t="shared" si="971"/>
        <v>C:\Users\jaime.benazar\Quorum Business Solutions\Ecopetrol Prometeo - Documents\Planning Space Implementation\3. Analysis &amp; Design\Design\FC22\DRR Jaime\Neiva CPI\[DINA TERCIARIOS_CF_SEC_New_27-Mar-2024.xlsx]D-PSDP'!</v>
      </c>
      <c r="G4056" s="32" t="s">
        <v>125</v>
      </c>
      <c r="H4056" s="33"/>
      <c r="I4056" s="33"/>
      <c r="J4056" s="37"/>
    </row>
    <row r="4057" spans="1:10" x14ac:dyDescent="0.3">
      <c r="A4057" s="32" t="s">
        <v>21</v>
      </c>
      <c r="B4057" s="32">
        <f t="shared" si="972"/>
        <v>2050</v>
      </c>
      <c r="C4057" s="33" t="s">
        <v>43</v>
      </c>
      <c r="D4057" s="34" t="s">
        <v>2002</v>
      </c>
      <c r="E4057" s="35" t="str">
        <f t="shared" si="970"/>
        <v>PSDP'!</v>
      </c>
      <c r="F4057" s="34" t="str">
        <f t="shared" si="971"/>
        <v>C:\Users\jaime.benazar\Quorum Business Solutions\Ecopetrol Prometeo - Documents\Planning Space Implementation\3. Analysis &amp; Design\Design\FC22\DRR Jaime\Neiva CPI\[DINA TERCIARIOS_CF_SEC_New_27-Mar-2024.xlsx]D-PSDP'!</v>
      </c>
      <c r="G4057" s="32" t="s">
        <v>125</v>
      </c>
      <c r="H4057" s="33"/>
      <c r="I4057" s="33"/>
      <c r="J4057" s="37"/>
    </row>
    <row r="4058" spans="1:10" x14ac:dyDescent="0.3">
      <c r="A4058" s="32" t="s">
        <v>21</v>
      </c>
      <c r="B4058" s="32">
        <f t="shared" si="972"/>
        <v>2051</v>
      </c>
      <c r="C4058" s="33" t="s">
        <v>43</v>
      </c>
      <c r="D4058" s="34" t="s">
        <v>2002</v>
      </c>
      <c r="E4058" s="35" t="str">
        <f t="shared" si="970"/>
        <v>PSDP'!</v>
      </c>
      <c r="F4058" s="34" t="str">
        <f t="shared" si="971"/>
        <v>C:\Users\jaime.benazar\Quorum Business Solutions\Ecopetrol Prometeo - Documents\Planning Space Implementation\3. Analysis &amp; Design\Design\FC22\DRR Jaime\Neiva CPI\[DINA TERCIARIOS_CF_SEC_New_27-Mar-2024.xlsx]D-PSDP'!</v>
      </c>
      <c r="G4058" s="32" t="s">
        <v>125</v>
      </c>
      <c r="H4058" s="33"/>
      <c r="I4058" s="33"/>
      <c r="J4058" s="37"/>
    </row>
    <row r="4059" spans="1:10" x14ac:dyDescent="0.3">
      <c r="A4059" s="32" t="s">
        <v>21</v>
      </c>
      <c r="B4059" s="32">
        <f t="shared" si="972"/>
        <v>2052</v>
      </c>
      <c r="C4059" s="33" t="s">
        <v>43</v>
      </c>
      <c r="D4059" s="34" t="s">
        <v>2002</v>
      </c>
      <c r="E4059" s="35" t="str">
        <f t="shared" si="970"/>
        <v>PSDP'!</v>
      </c>
      <c r="F4059" s="34" t="str">
        <f t="shared" si="971"/>
        <v>C:\Users\jaime.benazar\Quorum Business Solutions\Ecopetrol Prometeo - Documents\Planning Space Implementation\3. Analysis &amp; Design\Design\FC22\DRR Jaime\Neiva CPI\[DINA TERCIARIOS_CF_SEC_New_27-Mar-2024.xlsx]D-PSDP'!</v>
      </c>
      <c r="G4059" s="32" t="s">
        <v>125</v>
      </c>
      <c r="H4059" s="33"/>
      <c r="I4059" s="33"/>
      <c r="J4059" s="37"/>
    </row>
    <row r="4060" spans="1:10" x14ac:dyDescent="0.3">
      <c r="A4060" s="32" t="s">
        <v>21</v>
      </c>
      <c r="B4060" s="32">
        <f t="shared" si="972"/>
        <v>2053</v>
      </c>
      <c r="C4060" s="33" t="s">
        <v>43</v>
      </c>
      <c r="D4060" s="34" t="s">
        <v>2002</v>
      </c>
      <c r="E4060" s="35" t="str">
        <f t="shared" si="970"/>
        <v>PSDP'!</v>
      </c>
      <c r="F4060" s="34" t="str">
        <f t="shared" si="971"/>
        <v>C:\Users\jaime.benazar\Quorum Business Solutions\Ecopetrol Prometeo - Documents\Planning Space Implementation\3. Analysis &amp; Design\Design\FC22\DRR Jaime\Neiva CPI\[DINA TERCIARIOS_CF_SEC_New_27-Mar-2024.xlsx]D-PSDP'!</v>
      </c>
      <c r="G4060" s="32" t="s">
        <v>125</v>
      </c>
      <c r="H4060" s="33"/>
      <c r="I4060" s="33"/>
      <c r="J4060" s="37"/>
    </row>
    <row r="4061" spans="1:10" x14ac:dyDescent="0.3">
      <c r="A4061" s="32" t="s">
        <v>21</v>
      </c>
      <c r="B4061" s="32">
        <f t="shared" si="972"/>
        <v>2054</v>
      </c>
      <c r="C4061" s="33" t="s">
        <v>43</v>
      </c>
      <c r="D4061" s="34" t="s">
        <v>2002</v>
      </c>
      <c r="E4061" s="35" t="str">
        <f t="shared" si="970"/>
        <v>PSDP'!</v>
      </c>
      <c r="F4061" s="34" t="str">
        <f t="shared" si="971"/>
        <v>C:\Users\jaime.benazar\Quorum Business Solutions\Ecopetrol Prometeo - Documents\Planning Space Implementation\3. Analysis &amp; Design\Design\FC22\DRR Jaime\Neiva CPI\[DINA TERCIARIOS_CF_SEC_New_27-Mar-2024.xlsx]D-PSDP'!</v>
      </c>
      <c r="G4061" s="32" t="s">
        <v>125</v>
      </c>
      <c r="H4061" s="33"/>
      <c r="I4061" s="33"/>
      <c r="J4061" s="37"/>
    </row>
    <row r="4062" spans="1:10" x14ac:dyDescent="0.3">
      <c r="A4062" s="32" t="s">
        <v>21</v>
      </c>
      <c r="B4062" s="32">
        <f t="shared" si="972"/>
        <v>2055</v>
      </c>
      <c r="C4062" s="33" t="s">
        <v>43</v>
      </c>
      <c r="D4062" s="34" t="s">
        <v>2002</v>
      </c>
      <c r="E4062" s="35" t="str">
        <f t="shared" si="970"/>
        <v>PSDP'!</v>
      </c>
      <c r="F4062" s="34" t="str">
        <f t="shared" si="971"/>
        <v>C:\Users\jaime.benazar\Quorum Business Solutions\Ecopetrol Prometeo - Documents\Planning Space Implementation\3. Analysis &amp; Design\Design\FC22\DRR Jaime\Neiva CPI\[DINA TERCIARIOS_CF_SEC_New_27-Mar-2024.xlsx]D-PSDP'!</v>
      </c>
      <c r="G4062" s="32" t="s">
        <v>125</v>
      </c>
      <c r="H4062" s="33"/>
      <c r="I4062" s="33"/>
      <c r="J4062" s="37"/>
    </row>
    <row r="4063" spans="1:10" x14ac:dyDescent="0.3">
      <c r="A4063" s="32" t="s">
        <v>21</v>
      </c>
      <c r="B4063" s="32">
        <f t="shared" si="972"/>
        <v>2056</v>
      </c>
      <c r="C4063" s="33" t="s">
        <v>43</v>
      </c>
      <c r="D4063" s="34" t="s">
        <v>2002</v>
      </c>
      <c r="E4063" s="35" t="str">
        <f t="shared" si="970"/>
        <v>PSDP'!</v>
      </c>
      <c r="F4063" s="34" t="str">
        <f t="shared" si="971"/>
        <v>C:\Users\jaime.benazar\Quorum Business Solutions\Ecopetrol Prometeo - Documents\Planning Space Implementation\3. Analysis &amp; Design\Design\FC22\DRR Jaime\Neiva CPI\[DINA TERCIARIOS_CF_SEC_New_27-Mar-2024.xlsx]D-PSDP'!</v>
      </c>
      <c r="G4063" s="32" t="s">
        <v>125</v>
      </c>
      <c r="H4063" s="33"/>
      <c r="I4063" s="33"/>
      <c r="J4063" s="37"/>
    </row>
    <row r="4064" spans="1:10" x14ac:dyDescent="0.3">
      <c r="A4064" s="32" t="s">
        <v>21</v>
      </c>
      <c r="B4064" s="32">
        <f t="shared" si="972"/>
        <v>2057</v>
      </c>
      <c r="C4064" s="33" t="s">
        <v>43</v>
      </c>
      <c r="D4064" s="34" t="s">
        <v>2002</v>
      </c>
      <c r="E4064" s="35" t="str">
        <f t="shared" si="970"/>
        <v>PSDP'!</v>
      </c>
      <c r="F4064" s="34" t="str">
        <f t="shared" si="971"/>
        <v>C:\Users\jaime.benazar\Quorum Business Solutions\Ecopetrol Prometeo - Documents\Planning Space Implementation\3. Analysis &amp; Design\Design\FC22\DRR Jaime\Neiva CPI\[DINA TERCIARIOS_CF_SEC_New_27-Mar-2024.xlsx]D-PSDP'!</v>
      </c>
      <c r="G4064" s="32" t="s">
        <v>125</v>
      </c>
      <c r="H4064" s="33"/>
      <c r="I4064" s="33"/>
      <c r="J4064" s="37"/>
    </row>
    <row r="4065" spans="1:10" x14ac:dyDescent="0.3">
      <c r="A4065" s="32" t="s">
        <v>21</v>
      </c>
      <c r="B4065" s="32">
        <f t="shared" si="972"/>
        <v>2058</v>
      </c>
      <c r="C4065" s="33" t="s">
        <v>43</v>
      </c>
      <c r="D4065" s="34" t="s">
        <v>2002</v>
      </c>
      <c r="E4065" s="35" t="str">
        <f t="shared" si="970"/>
        <v>PSDP'!</v>
      </c>
      <c r="F4065" s="34" t="str">
        <f t="shared" si="971"/>
        <v>C:\Users\jaime.benazar\Quorum Business Solutions\Ecopetrol Prometeo - Documents\Planning Space Implementation\3. Analysis &amp; Design\Design\FC22\DRR Jaime\Neiva CPI\[DINA TERCIARIOS_CF_SEC_New_27-Mar-2024.xlsx]D-PSDP'!</v>
      </c>
      <c r="G4065" s="32" t="s">
        <v>125</v>
      </c>
      <c r="H4065" s="33"/>
      <c r="I4065" s="33"/>
      <c r="J4065" s="37"/>
    </row>
    <row r="4066" spans="1:10" x14ac:dyDescent="0.3">
      <c r="A4066" s="32" t="s">
        <v>21</v>
      </c>
      <c r="B4066" s="32">
        <f t="shared" si="972"/>
        <v>2059</v>
      </c>
      <c r="C4066" s="33" t="s">
        <v>43</v>
      </c>
      <c r="D4066" s="34" t="s">
        <v>2002</v>
      </c>
      <c r="E4066" s="35" t="str">
        <f t="shared" si="970"/>
        <v>PSDP'!</v>
      </c>
      <c r="F4066" s="34" t="str">
        <f t="shared" si="971"/>
        <v>C:\Users\jaime.benazar\Quorum Business Solutions\Ecopetrol Prometeo - Documents\Planning Space Implementation\3. Analysis &amp; Design\Design\FC22\DRR Jaime\Neiva CPI\[DINA TERCIARIOS_CF_SEC_New_27-Mar-2024.xlsx]D-PSDP'!</v>
      </c>
      <c r="G4066" s="32" t="s">
        <v>125</v>
      </c>
      <c r="H4066" s="33"/>
      <c r="I4066" s="33"/>
      <c r="J4066" s="37"/>
    </row>
    <row r="4067" spans="1:10" x14ac:dyDescent="0.3">
      <c r="A4067" s="32" t="s">
        <v>26</v>
      </c>
      <c r="B4067" s="32"/>
      <c r="C4067" s="33" t="s">
        <v>43</v>
      </c>
      <c r="D4067" s="34"/>
      <c r="E4067" s="35"/>
      <c r="F4067" s="34"/>
      <c r="G4067" s="32"/>
      <c r="H4067" s="33"/>
      <c r="I4067" s="33"/>
      <c r="J4067" s="36"/>
    </row>
    <row r="4068" spans="1:10" x14ac:dyDescent="0.3">
      <c r="A4068" s="32" t="s">
        <v>22</v>
      </c>
      <c r="B4068" s="32">
        <v>2023</v>
      </c>
      <c r="C4068" s="33" t="s">
        <v>43</v>
      </c>
      <c r="D4068" s="34" t="s">
        <v>2002</v>
      </c>
      <c r="E4068" s="35" t="str">
        <f t="shared" ref="E4068:E4088" si="973">_xlfn.CONCAT(A4068,"'!")</f>
        <v>PSNP'!</v>
      </c>
      <c r="F4068" s="34" t="str">
        <f t="shared" ref="F4068:F4088" si="974">_xlfn.CONCAT(D4068:E4068)</f>
        <v>C:\Users\jaime.benazar\Quorum Business Solutions\Ecopetrol Prometeo - Documents\Planning Space Implementation\3. Analysis &amp; Design\Design\FC22\DRR Jaime\Neiva CPI\[DINA TERCIARIOS_CF_SEC_New_27-Mar-2024.xlsx]D-PSNP'!</v>
      </c>
      <c r="G4068" s="32" t="s">
        <v>125</v>
      </c>
      <c r="H4068" s="33"/>
      <c r="I4068" s="33"/>
      <c r="J4068" s="37"/>
    </row>
    <row r="4069" spans="1:10" x14ac:dyDescent="0.3">
      <c r="A4069" s="32" t="s">
        <v>22</v>
      </c>
      <c r="B4069" s="32">
        <f>+B4068+1</f>
        <v>2024</v>
      </c>
      <c r="C4069" s="33" t="s">
        <v>43</v>
      </c>
      <c r="D4069" s="34" t="s">
        <v>2002</v>
      </c>
      <c r="E4069" s="35" t="str">
        <f t="shared" si="973"/>
        <v>PSNP'!</v>
      </c>
      <c r="F4069" s="34" t="str">
        <f t="shared" si="974"/>
        <v>C:\Users\jaime.benazar\Quorum Business Solutions\Ecopetrol Prometeo - Documents\Planning Space Implementation\3. Analysis &amp; Design\Design\FC22\DRR Jaime\Neiva CPI\[DINA TERCIARIOS_CF_SEC_New_27-Mar-2024.xlsx]D-PSNP'!</v>
      </c>
      <c r="G4069" s="32" t="s">
        <v>125</v>
      </c>
      <c r="H4069" s="33"/>
      <c r="I4069" s="33"/>
      <c r="J4069" s="37"/>
    </row>
    <row r="4070" spans="1:10" x14ac:dyDescent="0.3">
      <c r="A4070" s="32" t="s">
        <v>22</v>
      </c>
      <c r="B4070" s="32">
        <f t="shared" ref="B4070:B4081" si="975">+B4069+1</f>
        <v>2025</v>
      </c>
      <c r="C4070" s="33" t="s">
        <v>43</v>
      </c>
      <c r="D4070" s="34" t="s">
        <v>2002</v>
      </c>
      <c r="E4070" s="35" t="str">
        <f t="shared" si="973"/>
        <v>PSNP'!</v>
      </c>
      <c r="F4070" s="34" t="str">
        <f t="shared" si="974"/>
        <v>C:\Users\jaime.benazar\Quorum Business Solutions\Ecopetrol Prometeo - Documents\Planning Space Implementation\3. Analysis &amp; Design\Design\FC22\DRR Jaime\Neiva CPI\[DINA TERCIARIOS_CF_SEC_New_27-Mar-2024.xlsx]D-PSNP'!</v>
      </c>
      <c r="G4070" s="32" t="s">
        <v>125</v>
      </c>
      <c r="H4070" s="33"/>
      <c r="I4070" s="33"/>
      <c r="J4070" s="37"/>
    </row>
    <row r="4071" spans="1:10" x14ac:dyDescent="0.3">
      <c r="A4071" s="32" t="s">
        <v>22</v>
      </c>
      <c r="B4071" s="32">
        <f t="shared" si="975"/>
        <v>2026</v>
      </c>
      <c r="C4071" s="33" t="s">
        <v>43</v>
      </c>
      <c r="D4071" s="34" t="s">
        <v>2002</v>
      </c>
      <c r="E4071" s="35" t="str">
        <f t="shared" si="973"/>
        <v>PSNP'!</v>
      </c>
      <c r="F4071" s="34" t="str">
        <f t="shared" si="974"/>
        <v>C:\Users\jaime.benazar\Quorum Business Solutions\Ecopetrol Prometeo - Documents\Planning Space Implementation\3. Analysis &amp; Design\Design\FC22\DRR Jaime\Neiva CPI\[DINA TERCIARIOS_CF_SEC_New_27-Mar-2024.xlsx]D-PSNP'!</v>
      </c>
      <c r="G4071" s="32" t="s">
        <v>125</v>
      </c>
      <c r="H4071" s="33"/>
      <c r="I4071" s="33"/>
      <c r="J4071" s="37"/>
    </row>
    <row r="4072" spans="1:10" x14ac:dyDescent="0.3">
      <c r="A4072" s="32" t="s">
        <v>22</v>
      </c>
      <c r="B4072" s="32">
        <f t="shared" si="975"/>
        <v>2027</v>
      </c>
      <c r="C4072" s="33" t="s">
        <v>43</v>
      </c>
      <c r="D4072" s="34" t="s">
        <v>2002</v>
      </c>
      <c r="E4072" s="35" t="str">
        <f t="shared" si="973"/>
        <v>PSNP'!</v>
      </c>
      <c r="F4072" s="34" t="str">
        <f t="shared" si="974"/>
        <v>C:\Users\jaime.benazar\Quorum Business Solutions\Ecopetrol Prometeo - Documents\Planning Space Implementation\3. Analysis &amp; Design\Design\FC22\DRR Jaime\Neiva CPI\[DINA TERCIARIOS_CF_SEC_New_27-Mar-2024.xlsx]D-PSNP'!</v>
      </c>
      <c r="G4072" s="32" t="s">
        <v>125</v>
      </c>
      <c r="H4072" s="33"/>
      <c r="I4072" s="33"/>
      <c r="J4072" s="37"/>
    </row>
    <row r="4073" spans="1:10" x14ac:dyDescent="0.3">
      <c r="A4073" s="32" t="s">
        <v>22</v>
      </c>
      <c r="B4073" s="32">
        <f t="shared" si="975"/>
        <v>2028</v>
      </c>
      <c r="C4073" s="33" t="s">
        <v>43</v>
      </c>
      <c r="D4073" s="34" t="s">
        <v>2002</v>
      </c>
      <c r="E4073" s="35" t="str">
        <f t="shared" si="973"/>
        <v>PSNP'!</v>
      </c>
      <c r="F4073" s="34" t="str">
        <f t="shared" si="974"/>
        <v>C:\Users\jaime.benazar\Quorum Business Solutions\Ecopetrol Prometeo - Documents\Planning Space Implementation\3. Analysis &amp; Design\Design\FC22\DRR Jaime\Neiva CPI\[DINA TERCIARIOS_CF_SEC_New_27-Mar-2024.xlsx]D-PSNP'!</v>
      </c>
      <c r="G4073" s="32" t="s">
        <v>125</v>
      </c>
      <c r="H4073" s="33"/>
      <c r="I4073" s="33"/>
      <c r="J4073" s="37"/>
    </row>
    <row r="4074" spans="1:10" x14ac:dyDescent="0.3">
      <c r="A4074" s="32" t="s">
        <v>22</v>
      </c>
      <c r="B4074" s="32">
        <f t="shared" si="975"/>
        <v>2029</v>
      </c>
      <c r="C4074" s="33" t="s">
        <v>43</v>
      </c>
      <c r="D4074" s="34" t="s">
        <v>2002</v>
      </c>
      <c r="E4074" s="35" t="str">
        <f t="shared" si="973"/>
        <v>PSNP'!</v>
      </c>
      <c r="F4074" s="34" t="str">
        <f t="shared" si="974"/>
        <v>C:\Users\jaime.benazar\Quorum Business Solutions\Ecopetrol Prometeo - Documents\Planning Space Implementation\3. Analysis &amp; Design\Design\FC22\DRR Jaime\Neiva CPI\[DINA TERCIARIOS_CF_SEC_New_27-Mar-2024.xlsx]D-PSNP'!</v>
      </c>
      <c r="G4074" s="32" t="s">
        <v>125</v>
      </c>
      <c r="H4074" s="33"/>
      <c r="I4074" s="33"/>
      <c r="J4074" s="37"/>
    </row>
    <row r="4075" spans="1:10" x14ac:dyDescent="0.3">
      <c r="A4075" s="32" t="s">
        <v>22</v>
      </c>
      <c r="B4075" s="32">
        <f t="shared" si="975"/>
        <v>2030</v>
      </c>
      <c r="C4075" s="33" t="s">
        <v>43</v>
      </c>
      <c r="D4075" s="34" t="s">
        <v>2002</v>
      </c>
      <c r="E4075" s="35" t="str">
        <f t="shared" si="973"/>
        <v>PSNP'!</v>
      </c>
      <c r="F4075" s="34" t="str">
        <f t="shared" si="974"/>
        <v>C:\Users\jaime.benazar\Quorum Business Solutions\Ecopetrol Prometeo - Documents\Planning Space Implementation\3. Analysis &amp; Design\Design\FC22\DRR Jaime\Neiva CPI\[DINA TERCIARIOS_CF_SEC_New_27-Mar-2024.xlsx]D-PSNP'!</v>
      </c>
      <c r="G4075" s="32" t="s">
        <v>125</v>
      </c>
      <c r="H4075" s="33"/>
      <c r="I4075" s="33"/>
      <c r="J4075" s="37"/>
    </row>
    <row r="4076" spans="1:10" x14ac:dyDescent="0.3">
      <c r="A4076" s="32" t="s">
        <v>22</v>
      </c>
      <c r="B4076" s="32">
        <f t="shared" si="975"/>
        <v>2031</v>
      </c>
      <c r="C4076" s="33" t="s">
        <v>43</v>
      </c>
      <c r="D4076" s="34" t="s">
        <v>2002</v>
      </c>
      <c r="E4076" s="35" t="str">
        <f t="shared" si="973"/>
        <v>PSNP'!</v>
      </c>
      <c r="F4076" s="34" t="str">
        <f t="shared" si="974"/>
        <v>C:\Users\jaime.benazar\Quorum Business Solutions\Ecopetrol Prometeo - Documents\Planning Space Implementation\3. Analysis &amp; Design\Design\FC22\DRR Jaime\Neiva CPI\[DINA TERCIARIOS_CF_SEC_New_27-Mar-2024.xlsx]D-PSNP'!</v>
      </c>
      <c r="G4076" s="32" t="s">
        <v>125</v>
      </c>
      <c r="H4076" s="33"/>
      <c r="I4076" s="33"/>
      <c r="J4076" s="37"/>
    </row>
    <row r="4077" spans="1:10" x14ac:dyDescent="0.3">
      <c r="A4077" s="32" t="s">
        <v>22</v>
      </c>
      <c r="B4077" s="32">
        <f t="shared" si="975"/>
        <v>2032</v>
      </c>
      <c r="C4077" s="33" t="s">
        <v>43</v>
      </c>
      <c r="D4077" s="34" t="s">
        <v>2002</v>
      </c>
      <c r="E4077" s="35" t="str">
        <f t="shared" si="973"/>
        <v>PSNP'!</v>
      </c>
      <c r="F4077" s="34" t="str">
        <f t="shared" si="974"/>
        <v>C:\Users\jaime.benazar\Quorum Business Solutions\Ecopetrol Prometeo - Documents\Planning Space Implementation\3. Analysis &amp; Design\Design\FC22\DRR Jaime\Neiva CPI\[DINA TERCIARIOS_CF_SEC_New_27-Mar-2024.xlsx]D-PSNP'!</v>
      </c>
      <c r="G4077" s="32" t="s">
        <v>125</v>
      </c>
      <c r="H4077" s="33"/>
      <c r="I4077" s="33"/>
      <c r="J4077" s="37"/>
    </row>
    <row r="4078" spans="1:10" x14ac:dyDescent="0.3">
      <c r="A4078" s="32" t="s">
        <v>22</v>
      </c>
      <c r="B4078" s="32">
        <f t="shared" si="975"/>
        <v>2033</v>
      </c>
      <c r="C4078" s="33" t="s">
        <v>43</v>
      </c>
      <c r="D4078" s="34" t="s">
        <v>2002</v>
      </c>
      <c r="E4078" s="35" t="str">
        <f t="shared" si="973"/>
        <v>PSNP'!</v>
      </c>
      <c r="F4078" s="34" t="str">
        <f t="shared" si="974"/>
        <v>C:\Users\jaime.benazar\Quorum Business Solutions\Ecopetrol Prometeo - Documents\Planning Space Implementation\3. Analysis &amp; Design\Design\FC22\DRR Jaime\Neiva CPI\[DINA TERCIARIOS_CF_SEC_New_27-Mar-2024.xlsx]D-PSNP'!</v>
      </c>
      <c r="G4078" s="32" t="s">
        <v>125</v>
      </c>
      <c r="H4078" s="33"/>
      <c r="I4078" s="33"/>
      <c r="J4078" s="37"/>
    </row>
    <row r="4079" spans="1:10" x14ac:dyDescent="0.3">
      <c r="A4079" s="32" t="s">
        <v>22</v>
      </c>
      <c r="B4079" s="32">
        <f t="shared" si="975"/>
        <v>2034</v>
      </c>
      <c r="C4079" s="33" t="s">
        <v>43</v>
      </c>
      <c r="D4079" s="34" t="s">
        <v>2002</v>
      </c>
      <c r="E4079" s="35" t="str">
        <f t="shared" si="973"/>
        <v>PSNP'!</v>
      </c>
      <c r="F4079" s="34" t="str">
        <f t="shared" si="974"/>
        <v>C:\Users\jaime.benazar\Quorum Business Solutions\Ecopetrol Prometeo - Documents\Planning Space Implementation\3. Analysis &amp; Design\Design\FC22\DRR Jaime\Neiva CPI\[DINA TERCIARIOS_CF_SEC_New_27-Mar-2024.xlsx]D-PSNP'!</v>
      </c>
      <c r="G4079" s="32" t="s">
        <v>125</v>
      </c>
      <c r="H4079" s="33"/>
      <c r="I4079" s="33"/>
      <c r="J4079" s="37"/>
    </row>
    <row r="4080" spans="1:10" x14ac:dyDescent="0.3">
      <c r="A4080" s="32" t="s">
        <v>22</v>
      </c>
      <c r="B4080" s="32">
        <f t="shared" si="975"/>
        <v>2035</v>
      </c>
      <c r="C4080" s="33" t="s">
        <v>43</v>
      </c>
      <c r="D4080" s="34" t="s">
        <v>2002</v>
      </c>
      <c r="E4080" s="35" t="str">
        <f t="shared" si="973"/>
        <v>PSNP'!</v>
      </c>
      <c r="F4080" s="34" t="str">
        <f t="shared" si="974"/>
        <v>C:\Users\jaime.benazar\Quorum Business Solutions\Ecopetrol Prometeo - Documents\Planning Space Implementation\3. Analysis &amp; Design\Design\FC22\DRR Jaime\Neiva CPI\[DINA TERCIARIOS_CF_SEC_New_27-Mar-2024.xlsx]D-PSNP'!</v>
      </c>
      <c r="G4080" s="32" t="s">
        <v>125</v>
      </c>
      <c r="H4080" s="33"/>
      <c r="I4080" s="33"/>
      <c r="J4080" s="37"/>
    </row>
    <row r="4081" spans="1:10" x14ac:dyDescent="0.3">
      <c r="A4081" s="32" t="s">
        <v>22</v>
      </c>
      <c r="B4081" s="32">
        <f t="shared" si="975"/>
        <v>2036</v>
      </c>
      <c r="C4081" s="33" t="s">
        <v>43</v>
      </c>
      <c r="D4081" s="34" t="s">
        <v>2002</v>
      </c>
      <c r="E4081" s="35" t="str">
        <f t="shared" si="973"/>
        <v>PSNP'!</v>
      </c>
      <c r="F4081" s="34" t="str">
        <f t="shared" si="974"/>
        <v>C:\Users\jaime.benazar\Quorum Business Solutions\Ecopetrol Prometeo - Documents\Planning Space Implementation\3. Analysis &amp; Design\Design\FC22\DRR Jaime\Neiva CPI\[DINA TERCIARIOS_CF_SEC_New_27-Mar-2024.xlsx]D-PSNP'!</v>
      </c>
      <c r="G4081" s="32" t="s">
        <v>125</v>
      </c>
      <c r="H4081" s="33"/>
      <c r="I4081" s="33"/>
      <c r="J4081" s="37"/>
    </row>
    <row r="4082" spans="1:10" x14ac:dyDescent="0.3">
      <c r="A4082" s="32" t="s">
        <v>22</v>
      </c>
      <c r="B4082" s="32">
        <f>+B4081+1</f>
        <v>2037</v>
      </c>
      <c r="C4082" s="33" t="s">
        <v>43</v>
      </c>
      <c r="D4082" s="34" t="s">
        <v>2002</v>
      </c>
      <c r="E4082" s="35" t="str">
        <f t="shared" si="973"/>
        <v>PSNP'!</v>
      </c>
      <c r="F4082" s="34" t="str">
        <f t="shared" si="974"/>
        <v>C:\Users\jaime.benazar\Quorum Business Solutions\Ecopetrol Prometeo - Documents\Planning Space Implementation\3. Analysis &amp; Design\Design\FC22\DRR Jaime\Neiva CPI\[DINA TERCIARIOS_CF_SEC_New_27-Mar-2024.xlsx]D-PSNP'!</v>
      </c>
      <c r="G4082" s="32" t="s">
        <v>125</v>
      </c>
      <c r="H4082" s="33"/>
      <c r="I4082" s="33"/>
      <c r="J4082" s="37"/>
    </row>
    <row r="4083" spans="1:10" x14ac:dyDescent="0.3">
      <c r="A4083" s="32" t="s">
        <v>22</v>
      </c>
      <c r="B4083" s="32">
        <f t="shared" ref="B4083:B4085" si="976">+B4082+1</f>
        <v>2038</v>
      </c>
      <c r="C4083" s="33" t="s">
        <v>43</v>
      </c>
      <c r="D4083" s="34" t="s">
        <v>2002</v>
      </c>
      <c r="E4083" s="35" t="str">
        <f t="shared" si="973"/>
        <v>PSNP'!</v>
      </c>
      <c r="F4083" s="34" t="str">
        <f t="shared" si="974"/>
        <v>C:\Users\jaime.benazar\Quorum Business Solutions\Ecopetrol Prometeo - Documents\Planning Space Implementation\3. Analysis &amp; Design\Design\FC22\DRR Jaime\Neiva CPI\[DINA TERCIARIOS_CF_SEC_New_27-Mar-2024.xlsx]D-PSNP'!</v>
      </c>
      <c r="G4083" s="32" t="s">
        <v>125</v>
      </c>
      <c r="H4083" s="33"/>
      <c r="I4083" s="33"/>
      <c r="J4083" s="37"/>
    </row>
    <row r="4084" spans="1:10" x14ac:dyDescent="0.3">
      <c r="A4084" s="32" t="s">
        <v>22</v>
      </c>
      <c r="B4084" s="32">
        <f t="shared" si="976"/>
        <v>2039</v>
      </c>
      <c r="C4084" s="33" t="s">
        <v>43</v>
      </c>
      <c r="D4084" s="34" t="s">
        <v>2002</v>
      </c>
      <c r="E4084" s="35" t="str">
        <f t="shared" si="973"/>
        <v>PSNP'!</v>
      </c>
      <c r="F4084" s="34" t="str">
        <f t="shared" si="974"/>
        <v>C:\Users\jaime.benazar\Quorum Business Solutions\Ecopetrol Prometeo - Documents\Planning Space Implementation\3. Analysis &amp; Design\Design\FC22\DRR Jaime\Neiva CPI\[DINA TERCIARIOS_CF_SEC_New_27-Mar-2024.xlsx]D-PSNP'!</v>
      </c>
      <c r="G4084" s="32" t="s">
        <v>125</v>
      </c>
      <c r="H4084" s="33"/>
      <c r="I4084" s="33"/>
      <c r="J4084" s="37"/>
    </row>
    <row r="4085" spans="1:10" x14ac:dyDescent="0.3">
      <c r="A4085" s="32" t="s">
        <v>22</v>
      </c>
      <c r="B4085" s="32">
        <f t="shared" si="976"/>
        <v>2040</v>
      </c>
      <c r="C4085" s="33" t="s">
        <v>43</v>
      </c>
      <c r="D4085" s="34" t="s">
        <v>2002</v>
      </c>
      <c r="E4085" s="35" t="str">
        <f t="shared" si="973"/>
        <v>PSNP'!</v>
      </c>
      <c r="F4085" s="34" t="str">
        <f t="shared" si="974"/>
        <v>C:\Users\jaime.benazar\Quorum Business Solutions\Ecopetrol Prometeo - Documents\Planning Space Implementation\3. Analysis &amp; Design\Design\FC22\DRR Jaime\Neiva CPI\[DINA TERCIARIOS_CF_SEC_New_27-Mar-2024.xlsx]D-PSNP'!</v>
      </c>
      <c r="G4085" s="32" t="s">
        <v>125</v>
      </c>
      <c r="H4085" s="33"/>
      <c r="I4085" s="33"/>
      <c r="J4085" s="37"/>
    </row>
    <row r="4086" spans="1:10" x14ac:dyDescent="0.3">
      <c r="A4086" s="32" t="s">
        <v>22</v>
      </c>
      <c r="B4086" s="32">
        <f>+B4085+1</f>
        <v>2041</v>
      </c>
      <c r="C4086" s="33" t="s">
        <v>43</v>
      </c>
      <c r="D4086" s="34" t="s">
        <v>2002</v>
      </c>
      <c r="E4086" s="35" t="str">
        <f t="shared" si="973"/>
        <v>PSNP'!</v>
      </c>
      <c r="F4086" s="34" t="str">
        <f t="shared" si="974"/>
        <v>C:\Users\jaime.benazar\Quorum Business Solutions\Ecopetrol Prometeo - Documents\Planning Space Implementation\3. Analysis &amp; Design\Design\FC22\DRR Jaime\Neiva CPI\[DINA TERCIARIOS_CF_SEC_New_27-Mar-2024.xlsx]D-PSNP'!</v>
      </c>
      <c r="G4086" s="32" t="s">
        <v>125</v>
      </c>
      <c r="H4086" s="33"/>
      <c r="I4086" s="33"/>
      <c r="J4086" s="37"/>
    </row>
    <row r="4087" spans="1:10" x14ac:dyDescent="0.3">
      <c r="A4087" s="32" t="s">
        <v>22</v>
      </c>
      <c r="B4087" s="32">
        <f t="shared" ref="B4087:B4088" si="977">+B4086+1</f>
        <v>2042</v>
      </c>
      <c r="C4087" s="33" t="s">
        <v>43</v>
      </c>
      <c r="D4087" s="34" t="s">
        <v>2002</v>
      </c>
      <c r="E4087" s="35" t="str">
        <f t="shared" si="973"/>
        <v>PSNP'!</v>
      </c>
      <c r="F4087" s="34" t="str">
        <f t="shared" si="974"/>
        <v>C:\Users\jaime.benazar\Quorum Business Solutions\Ecopetrol Prometeo - Documents\Planning Space Implementation\3. Analysis &amp; Design\Design\FC22\DRR Jaime\Neiva CPI\[DINA TERCIARIOS_CF_SEC_New_27-Mar-2024.xlsx]D-PSNP'!</v>
      </c>
      <c r="G4087" s="32" t="s">
        <v>125</v>
      </c>
      <c r="H4087" s="33"/>
      <c r="I4087" s="33"/>
      <c r="J4087" s="37"/>
    </row>
    <row r="4088" spans="1:10" x14ac:dyDescent="0.3">
      <c r="A4088" s="32" t="s">
        <v>22</v>
      </c>
      <c r="B4088" s="32">
        <f t="shared" si="977"/>
        <v>2043</v>
      </c>
      <c r="C4088" s="33" t="s">
        <v>43</v>
      </c>
      <c r="D4088" s="34" t="s">
        <v>2002</v>
      </c>
      <c r="E4088" s="35" t="str">
        <f t="shared" si="973"/>
        <v>PSNP'!</v>
      </c>
      <c r="F4088" s="34" t="str">
        <f t="shared" si="974"/>
        <v>C:\Users\jaime.benazar\Quorum Business Solutions\Ecopetrol Prometeo - Documents\Planning Space Implementation\3. Analysis &amp; Design\Design\FC22\DRR Jaime\Neiva CPI\[DINA TERCIARIOS_CF_SEC_New_27-Mar-2024.xlsx]D-PSNP'!</v>
      </c>
      <c r="G4088" s="32" t="s">
        <v>125</v>
      </c>
      <c r="H4088" s="33"/>
      <c r="I4088" s="33"/>
      <c r="J4088" s="37"/>
    </row>
    <row r="4089" spans="1:10" x14ac:dyDescent="0.3">
      <c r="A4089" s="32" t="s">
        <v>22</v>
      </c>
      <c r="B4089" s="32">
        <f>+B4088+1</f>
        <v>2044</v>
      </c>
      <c r="C4089" s="33" t="s">
        <v>43</v>
      </c>
      <c r="D4089" s="34" t="s">
        <v>2002</v>
      </c>
      <c r="E4089" s="35" t="str">
        <f t="shared" ref="E4089:E4104" si="978">_xlfn.CONCAT(A4089,"'!")</f>
        <v>PSNP'!</v>
      </c>
      <c r="F4089" s="34" t="str">
        <f t="shared" ref="F4089:F4104" si="979">_xlfn.CONCAT(D4089:E4089)</f>
        <v>C:\Users\jaime.benazar\Quorum Business Solutions\Ecopetrol Prometeo - Documents\Planning Space Implementation\3. Analysis &amp; Design\Design\FC22\DRR Jaime\Neiva CPI\[DINA TERCIARIOS_CF_SEC_New_27-Mar-2024.xlsx]D-PSNP'!</v>
      </c>
      <c r="G4089" s="32" t="s">
        <v>125</v>
      </c>
      <c r="H4089" s="33"/>
      <c r="I4089" s="33"/>
      <c r="J4089" s="37"/>
    </row>
    <row r="4090" spans="1:10" x14ac:dyDescent="0.3">
      <c r="A4090" s="32" t="s">
        <v>22</v>
      </c>
      <c r="B4090" s="32">
        <f t="shared" ref="B4090:B4104" si="980">+B4089+1</f>
        <v>2045</v>
      </c>
      <c r="C4090" s="33" t="s">
        <v>43</v>
      </c>
      <c r="D4090" s="34" t="s">
        <v>2002</v>
      </c>
      <c r="E4090" s="35" t="str">
        <f t="shared" si="978"/>
        <v>PSNP'!</v>
      </c>
      <c r="F4090" s="34" t="str">
        <f t="shared" si="979"/>
        <v>C:\Users\jaime.benazar\Quorum Business Solutions\Ecopetrol Prometeo - Documents\Planning Space Implementation\3. Analysis &amp; Design\Design\FC22\DRR Jaime\Neiva CPI\[DINA TERCIARIOS_CF_SEC_New_27-Mar-2024.xlsx]D-PSNP'!</v>
      </c>
      <c r="G4090" s="32" t="s">
        <v>125</v>
      </c>
      <c r="H4090" s="33"/>
      <c r="I4090" s="33"/>
      <c r="J4090" s="37"/>
    </row>
    <row r="4091" spans="1:10" x14ac:dyDescent="0.3">
      <c r="A4091" s="32" t="s">
        <v>22</v>
      </c>
      <c r="B4091" s="32">
        <f t="shared" si="980"/>
        <v>2046</v>
      </c>
      <c r="C4091" s="33" t="s">
        <v>43</v>
      </c>
      <c r="D4091" s="34" t="s">
        <v>2002</v>
      </c>
      <c r="E4091" s="35" t="str">
        <f t="shared" si="978"/>
        <v>PSNP'!</v>
      </c>
      <c r="F4091" s="34" t="str">
        <f t="shared" si="979"/>
        <v>C:\Users\jaime.benazar\Quorum Business Solutions\Ecopetrol Prometeo - Documents\Planning Space Implementation\3. Analysis &amp; Design\Design\FC22\DRR Jaime\Neiva CPI\[DINA TERCIARIOS_CF_SEC_New_27-Mar-2024.xlsx]D-PSNP'!</v>
      </c>
      <c r="G4091" s="32" t="s">
        <v>125</v>
      </c>
      <c r="H4091" s="33"/>
      <c r="I4091" s="33"/>
      <c r="J4091" s="37"/>
    </row>
    <row r="4092" spans="1:10" x14ac:dyDescent="0.3">
      <c r="A4092" s="32" t="s">
        <v>22</v>
      </c>
      <c r="B4092" s="32">
        <f t="shared" si="980"/>
        <v>2047</v>
      </c>
      <c r="C4092" s="33" t="s">
        <v>43</v>
      </c>
      <c r="D4092" s="34" t="s">
        <v>2002</v>
      </c>
      <c r="E4092" s="35" t="str">
        <f t="shared" si="978"/>
        <v>PSNP'!</v>
      </c>
      <c r="F4092" s="34" t="str">
        <f t="shared" si="979"/>
        <v>C:\Users\jaime.benazar\Quorum Business Solutions\Ecopetrol Prometeo - Documents\Planning Space Implementation\3. Analysis &amp; Design\Design\FC22\DRR Jaime\Neiva CPI\[DINA TERCIARIOS_CF_SEC_New_27-Mar-2024.xlsx]D-PSNP'!</v>
      </c>
      <c r="G4092" s="32" t="s">
        <v>125</v>
      </c>
      <c r="H4092" s="33"/>
      <c r="I4092" s="33"/>
      <c r="J4092" s="37"/>
    </row>
    <row r="4093" spans="1:10" x14ac:dyDescent="0.3">
      <c r="A4093" s="32" t="s">
        <v>22</v>
      </c>
      <c r="B4093" s="32">
        <f t="shared" si="980"/>
        <v>2048</v>
      </c>
      <c r="C4093" s="33" t="s">
        <v>43</v>
      </c>
      <c r="D4093" s="34" t="s">
        <v>2002</v>
      </c>
      <c r="E4093" s="35" t="str">
        <f t="shared" si="978"/>
        <v>PSNP'!</v>
      </c>
      <c r="F4093" s="34" t="str">
        <f t="shared" si="979"/>
        <v>C:\Users\jaime.benazar\Quorum Business Solutions\Ecopetrol Prometeo - Documents\Planning Space Implementation\3. Analysis &amp; Design\Design\FC22\DRR Jaime\Neiva CPI\[DINA TERCIARIOS_CF_SEC_New_27-Mar-2024.xlsx]D-PSNP'!</v>
      </c>
      <c r="G4093" s="32" t="s">
        <v>125</v>
      </c>
      <c r="H4093" s="33"/>
      <c r="I4093" s="33"/>
      <c r="J4093" s="37"/>
    </row>
    <row r="4094" spans="1:10" x14ac:dyDescent="0.3">
      <c r="A4094" s="32" t="s">
        <v>22</v>
      </c>
      <c r="B4094" s="32">
        <f t="shared" si="980"/>
        <v>2049</v>
      </c>
      <c r="C4094" s="33" t="s">
        <v>43</v>
      </c>
      <c r="D4094" s="34" t="s">
        <v>2002</v>
      </c>
      <c r="E4094" s="35" t="str">
        <f t="shared" si="978"/>
        <v>PSNP'!</v>
      </c>
      <c r="F4094" s="34" t="str">
        <f t="shared" si="979"/>
        <v>C:\Users\jaime.benazar\Quorum Business Solutions\Ecopetrol Prometeo - Documents\Planning Space Implementation\3. Analysis &amp; Design\Design\FC22\DRR Jaime\Neiva CPI\[DINA TERCIARIOS_CF_SEC_New_27-Mar-2024.xlsx]D-PSNP'!</v>
      </c>
      <c r="G4094" s="32" t="s">
        <v>125</v>
      </c>
      <c r="H4094" s="33"/>
      <c r="I4094" s="33"/>
      <c r="J4094" s="37"/>
    </row>
    <row r="4095" spans="1:10" x14ac:dyDescent="0.3">
      <c r="A4095" s="32" t="s">
        <v>22</v>
      </c>
      <c r="B4095" s="32">
        <f t="shared" si="980"/>
        <v>2050</v>
      </c>
      <c r="C4095" s="33" t="s">
        <v>43</v>
      </c>
      <c r="D4095" s="34" t="s">
        <v>2002</v>
      </c>
      <c r="E4095" s="35" t="str">
        <f t="shared" si="978"/>
        <v>PSNP'!</v>
      </c>
      <c r="F4095" s="34" t="str">
        <f t="shared" si="979"/>
        <v>C:\Users\jaime.benazar\Quorum Business Solutions\Ecopetrol Prometeo - Documents\Planning Space Implementation\3. Analysis &amp; Design\Design\FC22\DRR Jaime\Neiva CPI\[DINA TERCIARIOS_CF_SEC_New_27-Mar-2024.xlsx]D-PSNP'!</v>
      </c>
      <c r="G4095" s="32" t="s">
        <v>125</v>
      </c>
      <c r="H4095" s="33"/>
      <c r="I4095" s="33"/>
      <c r="J4095" s="37"/>
    </row>
    <row r="4096" spans="1:10" x14ac:dyDescent="0.3">
      <c r="A4096" s="32" t="s">
        <v>22</v>
      </c>
      <c r="B4096" s="32">
        <f t="shared" si="980"/>
        <v>2051</v>
      </c>
      <c r="C4096" s="33" t="s">
        <v>43</v>
      </c>
      <c r="D4096" s="34" t="s">
        <v>2002</v>
      </c>
      <c r="E4096" s="35" t="str">
        <f t="shared" si="978"/>
        <v>PSNP'!</v>
      </c>
      <c r="F4096" s="34" t="str">
        <f t="shared" si="979"/>
        <v>C:\Users\jaime.benazar\Quorum Business Solutions\Ecopetrol Prometeo - Documents\Planning Space Implementation\3. Analysis &amp; Design\Design\FC22\DRR Jaime\Neiva CPI\[DINA TERCIARIOS_CF_SEC_New_27-Mar-2024.xlsx]D-PSNP'!</v>
      </c>
      <c r="G4096" s="32" t="s">
        <v>125</v>
      </c>
      <c r="H4096" s="33"/>
      <c r="I4096" s="33"/>
      <c r="J4096" s="37"/>
    </row>
    <row r="4097" spans="1:10" x14ac:dyDescent="0.3">
      <c r="A4097" s="32" t="s">
        <v>22</v>
      </c>
      <c r="B4097" s="32">
        <f t="shared" si="980"/>
        <v>2052</v>
      </c>
      <c r="C4097" s="33" t="s">
        <v>43</v>
      </c>
      <c r="D4097" s="34" t="s">
        <v>2002</v>
      </c>
      <c r="E4097" s="35" t="str">
        <f t="shared" si="978"/>
        <v>PSNP'!</v>
      </c>
      <c r="F4097" s="34" t="str">
        <f t="shared" si="979"/>
        <v>C:\Users\jaime.benazar\Quorum Business Solutions\Ecopetrol Prometeo - Documents\Planning Space Implementation\3. Analysis &amp; Design\Design\FC22\DRR Jaime\Neiva CPI\[DINA TERCIARIOS_CF_SEC_New_27-Mar-2024.xlsx]D-PSNP'!</v>
      </c>
      <c r="G4097" s="32" t="s">
        <v>125</v>
      </c>
      <c r="H4097" s="33"/>
      <c r="I4097" s="33"/>
      <c r="J4097" s="37"/>
    </row>
    <row r="4098" spans="1:10" x14ac:dyDescent="0.3">
      <c r="A4098" s="32" t="s">
        <v>22</v>
      </c>
      <c r="B4098" s="32">
        <f t="shared" si="980"/>
        <v>2053</v>
      </c>
      <c r="C4098" s="33" t="s">
        <v>43</v>
      </c>
      <c r="D4098" s="34" t="s">
        <v>2002</v>
      </c>
      <c r="E4098" s="35" t="str">
        <f t="shared" si="978"/>
        <v>PSNP'!</v>
      </c>
      <c r="F4098" s="34" t="str">
        <f t="shared" si="979"/>
        <v>C:\Users\jaime.benazar\Quorum Business Solutions\Ecopetrol Prometeo - Documents\Planning Space Implementation\3. Analysis &amp; Design\Design\FC22\DRR Jaime\Neiva CPI\[DINA TERCIARIOS_CF_SEC_New_27-Mar-2024.xlsx]D-PSNP'!</v>
      </c>
      <c r="G4098" s="32" t="s">
        <v>125</v>
      </c>
      <c r="H4098" s="33"/>
      <c r="I4098" s="33"/>
      <c r="J4098" s="37"/>
    </row>
    <row r="4099" spans="1:10" x14ac:dyDescent="0.3">
      <c r="A4099" s="32" t="s">
        <v>22</v>
      </c>
      <c r="B4099" s="32">
        <f t="shared" si="980"/>
        <v>2054</v>
      </c>
      <c r="C4099" s="33" t="s">
        <v>43</v>
      </c>
      <c r="D4099" s="34" t="s">
        <v>2002</v>
      </c>
      <c r="E4099" s="35" t="str">
        <f t="shared" si="978"/>
        <v>PSNP'!</v>
      </c>
      <c r="F4099" s="34" t="str">
        <f t="shared" si="979"/>
        <v>C:\Users\jaime.benazar\Quorum Business Solutions\Ecopetrol Prometeo - Documents\Planning Space Implementation\3. Analysis &amp; Design\Design\FC22\DRR Jaime\Neiva CPI\[DINA TERCIARIOS_CF_SEC_New_27-Mar-2024.xlsx]D-PSNP'!</v>
      </c>
      <c r="G4099" s="32" t="s">
        <v>125</v>
      </c>
      <c r="H4099" s="33"/>
      <c r="I4099" s="33"/>
      <c r="J4099" s="37"/>
    </row>
    <row r="4100" spans="1:10" x14ac:dyDescent="0.3">
      <c r="A4100" s="32" t="s">
        <v>22</v>
      </c>
      <c r="B4100" s="32">
        <f t="shared" si="980"/>
        <v>2055</v>
      </c>
      <c r="C4100" s="33" t="s">
        <v>43</v>
      </c>
      <c r="D4100" s="34" t="s">
        <v>2002</v>
      </c>
      <c r="E4100" s="35" t="str">
        <f t="shared" si="978"/>
        <v>PSNP'!</v>
      </c>
      <c r="F4100" s="34" t="str">
        <f t="shared" si="979"/>
        <v>C:\Users\jaime.benazar\Quorum Business Solutions\Ecopetrol Prometeo - Documents\Planning Space Implementation\3. Analysis &amp; Design\Design\FC22\DRR Jaime\Neiva CPI\[DINA TERCIARIOS_CF_SEC_New_27-Mar-2024.xlsx]D-PSNP'!</v>
      </c>
      <c r="G4100" s="32" t="s">
        <v>125</v>
      </c>
      <c r="H4100" s="33"/>
      <c r="I4100" s="33"/>
      <c r="J4100" s="37"/>
    </row>
    <row r="4101" spans="1:10" x14ac:dyDescent="0.3">
      <c r="A4101" s="32" t="s">
        <v>22</v>
      </c>
      <c r="B4101" s="32">
        <f t="shared" si="980"/>
        <v>2056</v>
      </c>
      <c r="C4101" s="33" t="s">
        <v>43</v>
      </c>
      <c r="D4101" s="34" t="s">
        <v>2002</v>
      </c>
      <c r="E4101" s="35" t="str">
        <f t="shared" si="978"/>
        <v>PSNP'!</v>
      </c>
      <c r="F4101" s="34" t="str">
        <f t="shared" si="979"/>
        <v>C:\Users\jaime.benazar\Quorum Business Solutions\Ecopetrol Prometeo - Documents\Planning Space Implementation\3. Analysis &amp; Design\Design\FC22\DRR Jaime\Neiva CPI\[DINA TERCIARIOS_CF_SEC_New_27-Mar-2024.xlsx]D-PSNP'!</v>
      </c>
      <c r="G4101" s="32" t="s">
        <v>125</v>
      </c>
      <c r="H4101" s="33"/>
      <c r="I4101" s="33"/>
      <c r="J4101" s="37"/>
    </row>
    <row r="4102" spans="1:10" x14ac:dyDescent="0.3">
      <c r="A4102" s="32" t="s">
        <v>22</v>
      </c>
      <c r="B4102" s="32">
        <f t="shared" si="980"/>
        <v>2057</v>
      </c>
      <c r="C4102" s="33" t="s">
        <v>43</v>
      </c>
      <c r="D4102" s="34" t="s">
        <v>2002</v>
      </c>
      <c r="E4102" s="35" t="str">
        <f t="shared" si="978"/>
        <v>PSNP'!</v>
      </c>
      <c r="F4102" s="34" t="str">
        <f t="shared" si="979"/>
        <v>C:\Users\jaime.benazar\Quorum Business Solutions\Ecopetrol Prometeo - Documents\Planning Space Implementation\3. Analysis &amp; Design\Design\FC22\DRR Jaime\Neiva CPI\[DINA TERCIARIOS_CF_SEC_New_27-Mar-2024.xlsx]D-PSNP'!</v>
      </c>
      <c r="G4102" s="32" t="s">
        <v>125</v>
      </c>
      <c r="H4102" s="33"/>
      <c r="I4102" s="33"/>
      <c r="J4102" s="37"/>
    </row>
    <row r="4103" spans="1:10" x14ac:dyDescent="0.3">
      <c r="A4103" s="32" t="s">
        <v>22</v>
      </c>
      <c r="B4103" s="32">
        <f t="shared" si="980"/>
        <v>2058</v>
      </c>
      <c r="C4103" s="33" t="s">
        <v>43</v>
      </c>
      <c r="D4103" s="34" t="s">
        <v>2002</v>
      </c>
      <c r="E4103" s="35" t="str">
        <f t="shared" si="978"/>
        <v>PSNP'!</v>
      </c>
      <c r="F4103" s="34" t="str">
        <f t="shared" si="979"/>
        <v>C:\Users\jaime.benazar\Quorum Business Solutions\Ecopetrol Prometeo - Documents\Planning Space Implementation\3. Analysis &amp; Design\Design\FC22\DRR Jaime\Neiva CPI\[DINA TERCIARIOS_CF_SEC_New_27-Mar-2024.xlsx]D-PSNP'!</v>
      </c>
      <c r="G4103" s="32" t="s">
        <v>125</v>
      </c>
      <c r="H4103" s="33"/>
      <c r="I4103" s="33"/>
      <c r="J4103" s="37"/>
    </row>
    <row r="4104" spans="1:10" x14ac:dyDescent="0.3">
      <c r="A4104" s="32" t="s">
        <v>22</v>
      </c>
      <c r="B4104" s="32">
        <f t="shared" si="980"/>
        <v>2059</v>
      </c>
      <c r="C4104" s="33" t="s">
        <v>43</v>
      </c>
      <c r="D4104" s="34" t="s">
        <v>2002</v>
      </c>
      <c r="E4104" s="35" t="str">
        <f t="shared" si="978"/>
        <v>PSNP'!</v>
      </c>
      <c r="F4104" s="34" t="str">
        <f t="shared" si="979"/>
        <v>C:\Users\jaime.benazar\Quorum Business Solutions\Ecopetrol Prometeo - Documents\Planning Space Implementation\3. Analysis &amp; Design\Design\FC22\DRR Jaime\Neiva CPI\[DINA TERCIARIOS_CF_SEC_New_27-Mar-2024.xlsx]D-PSNP'!</v>
      </c>
      <c r="G4104" s="32" t="s">
        <v>125</v>
      </c>
      <c r="H4104" s="33"/>
      <c r="I4104" s="33"/>
      <c r="J4104" s="37"/>
    </row>
    <row r="4105" spans="1:10" x14ac:dyDescent="0.3">
      <c r="A4105" s="32" t="s">
        <v>26</v>
      </c>
      <c r="B4105" s="32"/>
      <c r="C4105" s="33" t="s">
        <v>43</v>
      </c>
      <c r="D4105" s="34"/>
      <c r="E4105" s="35"/>
      <c r="F4105" s="34"/>
      <c r="G4105" s="32"/>
      <c r="H4105" s="33"/>
      <c r="I4105" s="33"/>
      <c r="J4105" s="36"/>
    </row>
    <row r="4106" spans="1:10" x14ac:dyDescent="0.3">
      <c r="A4106" s="32" t="s">
        <v>23</v>
      </c>
      <c r="B4106" s="32">
        <v>2023</v>
      </c>
      <c r="C4106" s="33" t="s">
        <v>43</v>
      </c>
      <c r="D4106" s="34" t="s">
        <v>2002</v>
      </c>
      <c r="E4106" s="35" t="str">
        <f t="shared" ref="E4106:E4126" si="981">_xlfn.CONCAT(A4106,"'!")</f>
        <v>PSND'!</v>
      </c>
      <c r="F4106" s="34" t="str">
        <f t="shared" ref="F4106:F4126" si="982">_xlfn.CONCAT(D4106:E4106)</f>
        <v>C:\Users\jaime.benazar\Quorum Business Solutions\Ecopetrol Prometeo - Documents\Planning Space Implementation\3. Analysis &amp; Design\Design\FC22\DRR Jaime\Neiva CPI\[DINA TERCIARIOS_CF_SEC_New_27-Mar-2024.xlsx]D-PSND'!</v>
      </c>
      <c r="G4106" s="32" t="s">
        <v>125</v>
      </c>
      <c r="H4106" s="33"/>
      <c r="I4106" s="33"/>
      <c r="J4106" s="37"/>
    </row>
    <row r="4107" spans="1:10" x14ac:dyDescent="0.3">
      <c r="A4107" s="32" t="s">
        <v>23</v>
      </c>
      <c r="B4107" s="32">
        <f>+B4106+1</f>
        <v>2024</v>
      </c>
      <c r="C4107" s="33" t="s">
        <v>43</v>
      </c>
      <c r="D4107" s="34" t="s">
        <v>2002</v>
      </c>
      <c r="E4107" s="35" t="str">
        <f t="shared" si="981"/>
        <v>PSND'!</v>
      </c>
      <c r="F4107" s="34" t="str">
        <f t="shared" si="982"/>
        <v>C:\Users\jaime.benazar\Quorum Business Solutions\Ecopetrol Prometeo - Documents\Planning Space Implementation\3. Analysis &amp; Design\Design\FC22\DRR Jaime\Neiva CPI\[DINA TERCIARIOS_CF_SEC_New_27-Mar-2024.xlsx]D-PSND'!</v>
      </c>
      <c r="G4107" s="32" t="s">
        <v>125</v>
      </c>
      <c r="H4107" s="33"/>
      <c r="I4107" s="33"/>
      <c r="J4107" s="37"/>
    </row>
    <row r="4108" spans="1:10" x14ac:dyDescent="0.3">
      <c r="A4108" s="32" t="s">
        <v>23</v>
      </c>
      <c r="B4108" s="32">
        <f t="shared" ref="B4108:B4119" si="983">+B4107+1</f>
        <v>2025</v>
      </c>
      <c r="C4108" s="33" t="s">
        <v>43</v>
      </c>
      <c r="D4108" s="34" t="s">
        <v>2002</v>
      </c>
      <c r="E4108" s="35" t="str">
        <f t="shared" si="981"/>
        <v>PSND'!</v>
      </c>
      <c r="F4108" s="34" t="str">
        <f t="shared" si="982"/>
        <v>C:\Users\jaime.benazar\Quorum Business Solutions\Ecopetrol Prometeo - Documents\Planning Space Implementation\3. Analysis &amp; Design\Design\FC22\DRR Jaime\Neiva CPI\[DINA TERCIARIOS_CF_SEC_New_27-Mar-2024.xlsx]D-PSND'!</v>
      </c>
      <c r="G4108" s="32" t="s">
        <v>125</v>
      </c>
      <c r="H4108" s="33"/>
      <c r="I4108" s="33"/>
      <c r="J4108" s="37"/>
    </row>
    <row r="4109" spans="1:10" x14ac:dyDescent="0.3">
      <c r="A4109" s="32" t="s">
        <v>23</v>
      </c>
      <c r="B4109" s="32">
        <f t="shared" si="983"/>
        <v>2026</v>
      </c>
      <c r="C4109" s="33" t="s">
        <v>43</v>
      </c>
      <c r="D4109" s="34" t="s">
        <v>2002</v>
      </c>
      <c r="E4109" s="35" t="str">
        <f t="shared" si="981"/>
        <v>PSND'!</v>
      </c>
      <c r="F4109" s="34" t="str">
        <f t="shared" si="982"/>
        <v>C:\Users\jaime.benazar\Quorum Business Solutions\Ecopetrol Prometeo - Documents\Planning Space Implementation\3. Analysis &amp; Design\Design\FC22\DRR Jaime\Neiva CPI\[DINA TERCIARIOS_CF_SEC_New_27-Mar-2024.xlsx]D-PSND'!</v>
      </c>
      <c r="G4109" s="32" t="s">
        <v>125</v>
      </c>
      <c r="H4109" s="33"/>
      <c r="I4109" s="33"/>
      <c r="J4109" s="37"/>
    </row>
    <row r="4110" spans="1:10" x14ac:dyDescent="0.3">
      <c r="A4110" s="32" t="s">
        <v>23</v>
      </c>
      <c r="B4110" s="32">
        <f t="shared" si="983"/>
        <v>2027</v>
      </c>
      <c r="C4110" s="33" t="s">
        <v>43</v>
      </c>
      <c r="D4110" s="34" t="s">
        <v>2002</v>
      </c>
      <c r="E4110" s="35" t="str">
        <f t="shared" si="981"/>
        <v>PSND'!</v>
      </c>
      <c r="F4110" s="34" t="str">
        <f t="shared" si="982"/>
        <v>C:\Users\jaime.benazar\Quorum Business Solutions\Ecopetrol Prometeo - Documents\Planning Space Implementation\3. Analysis &amp; Design\Design\FC22\DRR Jaime\Neiva CPI\[DINA TERCIARIOS_CF_SEC_New_27-Mar-2024.xlsx]D-PSND'!</v>
      </c>
      <c r="G4110" s="32" t="s">
        <v>125</v>
      </c>
      <c r="H4110" s="33"/>
      <c r="I4110" s="33"/>
      <c r="J4110" s="37"/>
    </row>
    <row r="4111" spans="1:10" x14ac:dyDescent="0.3">
      <c r="A4111" s="32" t="s">
        <v>23</v>
      </c>
      <c r="B4111" s="32">
        <f t="shared" si="983"/>
        <v>2028</v>
      </c>
      <c r="C4111" s="33" t="s">
        <v>43</v>
      </c>
      <c r="D4111" s="34" t="s">
        <v>2002</v>
      </c>
      <c r="E4111" s="35" t="str">
        <f t="shared" si="981"/>
        <v>PSND'!</v>
      </c>
      <c r="F4111" s="34" t="str">
        <f t="shared" si="982"/>
        <v>C:\Users\jaime.benazar\Quorum Business Solutions\Ecopetrol Prometeo - Documents\Planning Space Implementation\3. Analysis &amp; Design\Design\FC22\DRR Jaime\Neiva CPI\[DINA TERCIARIOS_CF_SEC_New_27-Mar-2024.xlsx]D-PSND'!</v>
      </c>
      <c r="G4111" s="32" t="s">
        <v>125</v>
      </c>
      <c r="H4111" s="33"/>
      <c r="I4111" s="33"/>
      <c r="J4111" s="37"/>
    </row>
    <row r="4112" spans="1:10" x14ac:dyDescent="0.3">
      <c r="A4112" s="32" t="s">
        <v>23</v>
      </c>
      <c r="B4112" s="32">
        <f t="shared" si="983"/>
        <v>2029</v>
      </c>
      <c r="C4112" s="33" t="s">
        <v>43</v>
      </c>
      <c r="D4112" s="34" t="s">
        <v>2002</v>
      </c>
      <c r="E4112" s="35" t="str">
        <f t="shared" si="981"/>
        <v>PSND'!</v>
      </c>
      <c r="F4112" s="34" t="str">
        <f t="shared" si="982"/>
        <v>C:\Users\jaime.benazar\Quorum Business Solutions\Ecopetrol Prometeo - Documents\Planning Space Implementation\3. Analysis &amp; Design\Design\FC22\DRR Jaime\Neiva CPI\[DINA TERCIARIOS_CF_SEC_New_27-Mar-2024.xlsx]D-PSND'!</v>
      </c>
      <c r="G4112" s="32" t="s">
        <v>125</v>
      </c>
      <c r="H4112" s="33"/>
      <c r="I4112" s="33"/>
      <c r="J4112" s="37"/>
    </row>
    <row r="4113" spans="1:10" x14ac:dyDescent="0.3">
      <c r="A4113" s="32" t="s">
        <v>23</v>
      </c>
      <c r="B4113" s="32">
        <f t="shared" si="983"/>
        <v>2030</v>
      </c>
      <c r="C4113" s="33" t="s">
        <v>43</v>
      </c>
      <c r="D4113" s="34" t="s">
        <v>2002</v>
      </c>
      <c r="E4113" s="35" t="str">
        <f t="shared" si="981"/>
        <v>PSND'!</v>
      </c>
      <c r="F4113" s="34" t="str">
        <f t="shared" si="982"/>
        <v>C:\Users\jaime.benazar\Quorum Business Solutions\Ecopetrol Prometeo - Documents\Planning Space Implementation\3. Analysis &amp; Design\Design\FC22\DRR Jaime\Neiva CPI\[DINA TERCIARIOS_CF_SEC_New_27-Mar-2024.xlsx]D-PSND'!</v>
      </c>
      <c r="G4113" s="32" t="s">
        <v>125</v>
      </c>
      <c r="H4113" s="33"/>
      <c r="I4113" s="33"/>
      <c r="J4113" s="37"/>
    </row>
    <row r="4114" spans="1:10" x14ac:dyDescent="0.3">
      <c r="A4114" s="32" t="s">
        <v>23</v>
      </c>
      <c r="B4114" s="32">
        <f t="shared" si="983"/>
        <v>2031</v>
      </c>
      <c r="C4114" s="33" t="s">
        <v>43</v>
      </c>
      <c r="D4114" s="34" t="s">
        <v>2002</v>
      </c>
      <c r="E4114" s="35" t="str">
        <f t="shared" si="981"/>
        <v>PSND'!</v>
      </c>
      <c r="F4114" s="34" t="str">
        <f t="shared" si="982"/>
        <v>C:\Users\jaime.benazar\Quorum Business Solutions\Ecopetrol Prometeo - Documents\Planning Space Implementation\3. Analysis &amp; Design\Design\FC22\DRR Jaime\Neiva CPI\[DINA TERCIARIOS_CF_SEC_New_27-Mar-2024.xlsx]D-PSND'!</v>
      </c>
      <c r="G4114" s="32" t="s">
        <v>125</v>
      </c>
      <c r="H4114" s="33"/>
      <c r="I4114" s="33"/>
      <c r="J4114" s="37"/>
    </row>
    <row r="4115" spans="1:10" x14ac:dyDescent="0.3">
      <c r="A4115" s="32" t="s">
        <v>23</v>
      </c>
      <c r="B4115" s="32">
        <f t="shared" si="983"/>
        <v>2032</v>
      </c>
      <c r="C4115" s="33" t="s">
        <v>43</v>
      </c>
      <c r="D4115" s="34" t="s">
        <v>2002</v>
      </c>
      <c r="E4115" s="35" t="str">
        <f t="shared" si="981"/>
        <v>PSND'!</v>
      </c>
      <c r="F4115" s="34" t="str">
        <f t="shared" si="982"/>
        <v>C:\Users\jaime.benazar\Quorum Business Solutions\Ecopetrol Prometeo - Documents\Planning Space Implementation\3. Analysis &amp; Design\Design\FC22\DRR Jaime\Neiva CPI\[DINA TERCIARIOS_CF_SEC_New_27-Mar-2024.xlsx]D-PSND'!</v>
      </c>
      <c r="G4115" s="32" t="s">
        <v>125</v>
      </c>
      <c r="H4115" s="33"/>
      <c r="I4115" s="33"/>
      <c r="J4115" s="37"/>
    </row>
    <row r="4116" spans="1:10" x14ac:dyDescent="0.3">
      <c r="A4116" s="32" t="s">
        <v>23</v>
      </c>
      <c r="B4116" s="32">
        <f t="shared" si="983"/>
        <v>2033</v>
      </c>
      <c r="C4116" s="33" t="s">
        <v>43</v>
      </c>
      <c r="D4116" s="34" t="s">
        <v>2002</v>
      </c>
      <c r="E4116" s="35" t="str">
        <f t="shared" si="981"/>
        <v>PSND'!</v>
      </c>
      <c r="F4116" s="34" t="str">
        <f t="shared" si="982"/>
        <v>C:\Users\jaime.benazar\Quorum Business Solutions\Ecopetrol Prometeo - Documents\Planning Space Implementation\3. Analysis &amp; Design\Design\FC22\DRR Jaime\Neiva CPI\[DINA TERCIARIOS_CF_SEC_New_27-Mar-2024.xlsx]D-PSND'!</v>
      </c>
      <c r="G4116" s="32" t="s">
        <v>125</v>
      </c>
      <c r="H4116" s="33"/>
      <c r="I4116" s="33"/>
      <c r="J4116" s="37"/>
    </row>
    <row r="4117" spans="1:10" x14ac:dyDescent="0.3">
      <c r="A4117" s="32" t="s">
        <v>23</v>
      </c>
      <c r="B4117" s="32">
        <f t="shared" si="983"/>
        <v>2034</v>
      </c>
      <c r="C4117" s="33" t="s">
        <v>43</v>
      </c>
      <c r="D4117" s="34" t="s">
        <v>2002</v>
      </c>
      <c r="E4117" s="35" t="str">
        <f t="shared" si="981"/>
        <v>PSND'!</v>
      </c>
      <c r="F4117" s="34" t="str">
        <f t="shared" si="982"/>
        <v>C:\Users\jaime.benazar\Quorum Business Solutions\Ecopetrol Prometeo - Documents\Planning Space Implementation\3. Analysis &amp; Design\Design\FC22\DRR Jaime\Neiva CPI\[DINA TERCIARIOS_CF_SEC_New_27-Mar-2024.xlsx]D-PSND'!</v>
      </c>
      <c r="G4117" s="32" t="s">
        <v>125</v>
      </c>
      <c r="H4117" s="33"/>
      <c r="I4117" s="33"/>
      <c r="J4117" s="37"/>
    </row>
    <row r="4118" spans="1:10" x14ac:dyDescent="0.3">
      <c r="A4118" s="32" t="s">
        <v>23</v>
      </c>
      <c r="B4118" s="32">
        <f t="shared" si="983"/>
        <v>2035</v>
      </c>
      <c r="C4118" s="33" t="s">
        <v>43</v>
      </c>
      <c r="D4118" s="34" t="s">
        <v>2002</v>
      </c>
      <c r="E4118" s="35" t="str">
        <f t="shared" si="981"/>
        <v>PSND'!</v>
      </c>
      <c r="F4118" s="34" t="str">
        <f t="shared" si="982"/>
        <v>C:\Users\jaime.benazar\Quorum Business Solutions\Ecopetrol Prometeo - Documents\Planning Space Implementation\3. Analysis &amp; Design\Design\FC22\DRR Jaime\Neiva CPI\[DINA TERCIARIOS_CF_SEC_New_27-Mar-2024.xlsx]D-PSND'!</v>
      </c>
      <c r="G4118" s="32" t="s">
        <v>125</v>
      </c>
      <c r="H4118" s="33"/>
      <c r="I4118" s="33"/>
      <c r="J4118" s="37"/>
    </row>
    <row r="4119" spans="1:10" x14ac:dyDescent="0.3">
      <c r="A4119" s="32" t="s">
        <v>23</v>
      </c>
      <c r="B4119" s="32">
        <f t="shared" si="983"/>
        <v>2036</v>
      </c>
      <c r="C4119" s="33" t="s">
        <v>43</v>
      </c>
      <c r="D4119" s="34" t="s">
        <v>2002</v>
      </c>
      <c r="E4119" s="35" t="str">
        <f t="shared" si="981"/>
        <v>PSND'!</v>
      </c>
      <c r="F4119" s="34" t="str">
        <f t="shared" si="982"/>
        <v>C:\Users\jaime.benazar\Quorum Business Solutions\Ecopetrol Prometeo - Documents\Planning Space Implementation\3. Analysis &amp; Design\Design\FC22\DRR Jaime\Neiva CPI\[DINA TERCIARIOS_CF_SEC_New_27-Mar-2024.xlsx]D-PSND'!</v>
      </c>
      <c r="G4119" s="32" t="s">
        <v>125</v>
      </c>
      <c r="H4119" s="33"/>
      <c r="I4119" s="33"/>
      <c r="J4119" s="37"/>
    </row>
    <row r="4120" spans="1:10" x14ac:dyDescent="0.3">
      <c r="A4120" s="32" t="s">
        <v>23</v>
      </c>
      <c r="B4120" s="32">
        <f>+B4119+1</f>
        <v>2037</v>
      </c>
      <c r="C4120" s="33" t="s">
        <v>43</v>
      </c>
      <c r="D4120" s="34" t="s">
        <v>2002</v>
      </c>
      <c r="E4120" s="35" t="str">
        <f t="shared" si="981"/>
        <v>PSND'!</v>
      </c>
      <c r="F4120" s="34" t="str">
        <f t="shared" si="982"/>
        <v>C:\Users\jaime.benazar\Quorum Business Solutions\Ecopetrol Prometeo - Documents\Planning Space Implementation\3. Analysis &amp; Design\Design\FC22\DRR Jaime\Neiva CPI\[DINA TERCIARIOS_CF_SEC_New_27-Mar-2024.xlsx]D-PSND'!</v>
      </c>
      <c r="G4120" s="32" t="s">
        <v>125</v>
      </c>
      <c r="H4120" s="33"/>
      <c r="I4120" s="33"/>
      <c r="J4120" s="37"/>
    </row>
    <row r="4121" spans="1:10" x14ac:dyDescent="0.3">
      <c r="A4121" s="32" t="s">
        <v>23</v>
      </c>
      <c r="B4121" s="32">
        <f t="shared" ref="B4121:B4123" si="984">+B4120+1</f>
        <v>2038</v>
      </c>
      <c r="C4121" s="33" t="s">
        <v>43</v>
      </c>
      <c r="D4121" s="34" t="s">
        <v>2002</v>
      </c>
      <c r="E4121" s="35" t="str">
        <f t="shared" si="981"/>
        <v>PSND'!</v>
      </c>
      <c r="F4121" s="34" t="str">
        <f t="shared" si="982"/>
        <v>C:\Users\jaime.benazar\Quorum Business Solutions\Ecopetrol Prometeo - Documents\Planning Space Implementation\3. Analysis &amp; Design\Design\FC22\DRR Jaime\Neiva CPI\[DINA TERCIARIOS_CF_SEC_New_27-Mar-2024.xlsx]D-PSND'!</v>
      </c>
      <c r="G4121" s="32" t="s">
        <v>125</v>
      </c>
      <c r="H4121" s="33"/>
      <c r="I4121" s="33"/>
      <c r="J4121" s="37"/>
    </row>
    <row r="4122" spans="1:10" x14ac:dyDescent="0.3">
      <c r="A4122" s="32" t="s">
        <v>23</v>
      </c>
      <c r="B4122" s="32">
        <f t="shared" si="984"/>
        <v>2039</v>
      </c>
      <c r="C4122" s="33" t="s">
        <v>43</v>
      </c>
      <c r="D4122" s="34" t="s">
        <v>2002</v>
      </c>
      <c r="E4122" s="35" t="str">
        <f t="shared" si="981"/>
        <v>PSND'!</v>
      </c>
      <c r="F4122" s="34" t="str">
        <f t="shared" si="982"/>
        <v>C:\Users\jaime.benazar\Quorum Business Solutions\Ecopetrol Prometeo - Documents\Planning Space Implementation\3. Analysis &amp; Design\Design\FC22\DRR Jaime\Neiva CPI\[DINA TERCIARIOS_CF_SEC_New_27-Mar-2024.xlsx]D-PSND'!</v>
      </c>
      <c r="G4122" s="32" t="s">
        <v>125</v>
      </c>
      <c r="H4122" s="33"/>
      <c r="I4122" s="33"/>
      <c r="J4122" s="37"/>
    </row>
    <row r="4123" spans="1:10" x14ac:dyDescent="0.3">
      <c r="A4123" s="32" t="s">
        <v>23</v>
      </c>
      <c r="B4123" s="32">
        <f t="shared" si="984"/>
        <v>2040</v>
      </c>
      <c r="C4123" s="33" t="s">
        <v>43</v>
      </c>
      <c r="D4123" s="34" t="s">
        <v>2002</v>
      </c>
      <c r="E4123" s="35" t="str">
        <f t="shared" si="981"/>
        <v>PSND'!</v>
      </c>
      <c r="F4123" s="34" t="str">
        <f t="shared" si="982"/>
        <v>C:\Users\jaime.benazar\Quorum Business Solutions\Ecopetrol Prometeo - Documents\Planning Space Implementation\3. Analysis &amp; Design\Design\FC22\DRR Jaime\Neiva CPI\[DINA TERCIARIOS_CF_SEC_New_27-Mar-2024.xlsx]D-PSND'!</v>
      </c>
      <c r="G4123" s="32" t="s">
        <v>125</v>
      </c>
      <c r="H4123" s="33"/>
      <c r="I4123" s="33"/>
      <c r="J4123" s="37"/>
    </row>
    <row r="4124" spans="1:10" x14ac:dyDescent="0.3">
      <c r="A4124" s="32" t="s">
        <v>23</v>
      </c>
      <c r="B4124" s="32">
        <f>+B4123+1</f>
        <v>2041</v>
      </c>
      <c r="C4124" s="33" t="s">
        <v>43</v>
      </c>
      <c r="D4124" s="34" t="s">
        <v>2002</v>
      </c>
      <c r="E4124" s="35" t="str">
        <f t="shared" si="981"/>
        <v>PSND'!</v>
      </c>
      <c r="F4124" s="34" t="str">
        <f t="shared" si="982"/>
        <v>C:\Users\jaime.benazar\Quorum Business Solutions\Ecopetrol Prometeo - Documents\Planning Space Implementation\3. Analysis &amp; Design\Design\FC22\DRR Jaime\Neiva CPI\[DINA TERCIARIOS_CF_SEC_New_27-Mar-2024.xlsx]D-PSND'!</v>
      </c>
      <c r="G4124" s="32" t="s">
        <v>125</v>
      </c>
      <c r="H4124" s="33"/>
      <c r="I4124" s="33"/>
      <c r="J4124" s="37"/>
    </row>
    <row r="4125" spans="1:10" x14ac:dyDescent="0.3">
      <c r="A4125" s="32" t="s">
        <v>23</v>
      </c>
      <c r="B4125" s="32">
        <f t="shared" ref="B4125:B4126" si="985">+B4124+1</f>
        <v>2042</v>
      </c>
      <c r="C4125" s="33" t="s">
        <v>43</v>
      </c>
      <c r="D4125" s="34" t="s">
        <v>2002</v>
      </c>
      <c r="E4125" s="35" t="str">
        <f t="shared" si="981"/>
        <v>PSND'!</v>
      </c>
      <c r="F4125" s="34" t="str">
        <f t="shared" si="982"/>
        <v>C:\Users\jaime.benazar\Quorum Business Solutions\Ecopetrol Prometeo - Documents\Planning Space Implementation\3. Analysis &amp; Design\Design\FC22\DRR Jaime\Neiva CPI\[DINA TERCIARIOS_CF_SEC_New_27-Mar-2024.xlsx]D-PSND'!</v>
      </c>
      <c r="G4125" s="32" t="s">
        <v>125</v>
      </c>
      <c r="H4125" s="33"/>
      <c r="I4125" s="33"/>
      <c r="J4125" s="37"/>
    </row>
    <row r="4126" spans="1:10" x14ac:dyDescent="0.3">
      <c r="A4126" s="32" t="s">
        <v>23</v>
      </c>
      <c r="B4126" s="32">
        <f t="shared" si="985"/>
        <v>2043</v>
      </c>
      <c r="C4126" s="33" t="s">
        <v>43</v>
      </c>
      <c r="D4126" s="34" t="s">
        <v>2002</v>
      </c>
      <c r="E4126" s="35" t="str">
        <f t="shared" si="981"/>
        <v>PSND'!</v>
      </c>
      <c r="F4126" s="34" t="str">
        <f t="shared" si="982"/>
        <v>C:\Users\jaime.benazar\Quorum Business Solutions\Ecopetrol Prometeo - Documents\Planning Space Implementation\3. Analysis &amp; Design\Design\FC22\DRR Jaime\Neiva CPI\[DINA TERCIARIOS_CF_SEC_New_27-Mar-2024.xlsx]D-PSND'!</v>
      </c>
      <c r="G4126" s="32" t="s">
        <v>125</v>
      </c>
      <c r="H4126" s="33"/>
      <c r="I4126" s="33"/>
      <c r="J4126" s="37"/>
    </row>
    <row r="4127" spans="1:10" x14ac:dyDescent="0.3">
      <c r="A4127" s="32" t="s">
        <v>23</v>
      </c>
      <c r="B4127" s="32">
        <f>+B4126+1</f>
        <v>2044</v>
      </c>
      <c r="C4127" s="33" t="s">
        <v>43</v>
      </c>
      <c r="D4127" s="34" t="s">
        <v>2002</v>
      </c>
      <c r="E4127" s="35" t="str">
        <f t="shared" ref="E4127:E4142" si="986">_xlfn.CONCAT(A4127,"'!")</f>
        <v>PSND'!</v>
      </c>
      <c r="F4127" s="34" t="str">
        <f t="shared" ref="F4127:F4142" si="987">_xlfn.CONCAT(D4127:E4127)</f>
        <v>C:\Users\jaime.benazar\Quorum Business Solutions\Ecopetrol Prometeo - Documents\Planning Space Implementation\3. Analysis &amp; Design\Design\FC22\DRR Jaime\Neiva CPI\[DINA TERCIARIOS_CF_SEC_New_27-Mar-2024.xlsx]D-PSND'!</v>
      </c>
      <c r="G4127" s="32" t="s">
        <v>125</v>
      </c>
      <c r="H4127" s="33"/>
      <c r="I4127" s="33"/>
      <c r="J4127" s="37"/>
    </row>
    <row r="4128" spans="1:10" x14ac:dyDescent="0.3">
      <c r="A4128" s="32" t="s">
        <v>23</v>
      </c>
      <c r="B4128" s="32">
        <f t="shared" ref="B4128:B4142" si="988">+B4127+1</f>
        <v>2045</v>
      </c>
      <c r="C4128" s="33" t="s">
        <v>43</v>
      </c>
      <c r="D4128" s="34" t="s">
        <v>2002</v>
      </c>
      <c r="E4128" s="35" t="str">
        <f t="shared" si="986"/>
        <v>PSND'!</v>
      </c>
      <c r="F4128" s="34" t="str">
        <f t="shared" si="987"/>
        <v>C:\Users\jaime.benazar\Quorum Business Solutions\Ecopetrol Prometeo - Documents\Planning Space Implementation\3. Analysis &amp; Design\Design\FC22\DRR Jaime\Neiva CPI\[DINA TERCIARIOS_CF_SEC_New_27-Mar-2024.xlsx]D-PSND'!</v>
      </c>
      <c r="G4128" s="32" t="s">
        <v>125</v>
      </c>
      <c r="H4128" s="33"/>
      <c r="I4128" s="33"/>
      <c r="J4128" s="37"/>
    </row>
    <row r="4129" spans="1:10" x14ac:dyDescent="0.3">
      <c r="A4129" s="32" t="s">
        <v>23</v>
      </c>
      <c r="B4129" s="32">
        <f t="shared" si="988"/>
        <v>2046</v>
      </c>
      <c r="C4129" s="33" t="s">
        <v>43</v>
      </c>
      <c r="D4129" s="34" t="s">
        <v>2002</v>
      </c>
      <c r="E4129" s="35" t="str">
        <f t="shared" si="986"/>
        <v>PSND'!</v>
      </c>
      <c r="F4129" s="34" t="str">
        <f t="shared" si="987"/>
        <v>C:\Users\jaime.benazar\Quorum Business Solutions\Ecopetrol Prometeo - Documents\Planning Space Implementation\3. Analysis &amp; Design\Design\FC22\DRR Jaime\Neiva CPI\[DINA TERCIARIOS_CF_SEC_New_27-Mar-2024.xlsx]D-PSND'!</v>
      </c>
      <c r="G4129" s="32" t="s">
        <v>125</v>
      </c>
      <c r="H4129" s="33"/>
      <c r="I4129" s="33"/>
      <c r="J4129" s="37"/>
    </row>
    <row r="4130" spans="1:10" x14ac:dyDescent="0.3">
      <c r="A4130" s="32" t="s">
        <v>23</v>
      </c>
      <c r="B4130" s="32">
        <f t="shared" si="988"/>
        <v>2047</v>
      </c>
      <c r="C4130" s="33" t="s">
        <v>43</v>
      </c>
      <c r="D4130" s="34" t="s">
        <v>2002</v>
      </c>
      <c r="E4130" s="35" t="str">
        <f t="shared" si="986"/>
        <v>PSND'!</v>
      </c>
      <c r="F4130" s="34" t="str">
        <f t="shared" si="987"/>
        <v>C:\Users\jaime.benazar\Quorum Business Solutions\Ecopetrol Prometeo - Documents\Planning Space Implementation\3. Analysis &amp; Design\Design\FC22\DRR Jaime\Neiva CPI\[DINA TERCIARIOS_CF_SEC_New_27-Mar-2024.xlsx]D-PSND'!</v>
      </c>
      <c r="G4130" s="32" t="s">
        <v>125</v>
      </c>
      <c r="H4130" s="33"/>
      <c r="I4130" s="33"/>
      <c r="J4130" s="37"/>
    </row>
    <row r="4131" spans="1:10" x14ac:dyDescent="0.3">
      <c r="A4131" s="32" t="s">
        <v>23</v>
      </c>
      <c r="B4131" s="32">
        <f t="shared" si="988"/>
        <v>2048</v>
      </c>
      <c r="C4131" s="33" t="s">
        <v>43</v>
      </c>
      <c r="D4131" s="34" t="s">
        <v>2002</v>
      </c>
      <c r="E4131" s="35" t="str">
        <f t="shared" si="986"/>
        <v>PSND'!</v>
      </c>
      <c r="F4131" s="34" t="str">
        <f t="shared" si="987"/>
        <v>C:\Users\jaime.benazar\Quorum Business Solutions\Ecopetrol Prometeo - Documents\Planning Space Implementation\3. Analysis &amp; Design\Design\FC22\DRR Jaime\Neiva CPI\[DINA TERCIARIOS_CF_SEC_New_27-Mar-2024.xlsx]D-PSND'!</v>
      </c>
      <c r="G4131" s="32" t="s">
        <v>125</v>
      </c>
      <c r="H4131" s="33"/>
      <c r="I4131" s="33"/>
      <c r="J4131" s="37"/>
    </row>
    <row r="4132" spans="1:10" x14ac:dyDescent="0.3">
      <c r="A4132" s="32" t="s">
        <v>23</v>
      </c>
      <c r="B4132" s="32">
        <f t="shared" si="988"/>
        <v>2049</v>
      </c>
      <c r="C4132" s="33" t="s">
        <v>43</v>
      </c>
      <c r="D4132" s="34" t="s">
        <v>2002</v>
      </c>
      <c r="E4132" s="35" t="str">
        <f t="shared" si="986"/>
        <v>PSND'!</v>
      </c>
      <c r="F4132" s="34" t="str">
        <f t="shared" si="987"/>
        <v>C:\Users\jaime.benazar\Quorum Business Solutions\Ecopetrol Prometeo - Documents\Planning Space Implementation\3. Analysis &amp; Design\Design\FC22\DRR Jaime\Neiva CPI\[DINA TERCIARIOS_CF_SEC_New_27-Mar-2024.xlsx]D-PSND'!</v>
      </c>
      <c r="G4132" s="32" t="s">
        <v>125</v>
      </c>
      <c r="H4132" s="33"/>
      <c r="I4132" s="33"/>
      <c r="J4132" s="37"/>
    </row>
    <row r="4133" spans="1:10" x14ac:dyDescent="0.3">
      <c r="A4133" s="32" t="s">
        <v>23</v>
      </c>
      <c r="B4133" s="32">
        <f t="shared" si="988"/>
        <v>2050</v>
      </c>
      <c r="C4133" s="33" t="s">
        <v>43</v>
      </c>
      <c r="D4133" s="34" t="s">
        <v>2002</v>
      </c>
      <c r="E4133" s="35" t="str">
        <f t="shared" si="986"/>
        <v>PSND'!</v>
      </c>
      <c r="F4133" s="34" t="str">
        <f t="shared" si="987"/>
        <v>C:\Users\jaime.benazar\Quorum Business Solutions\Ecopetrol Prometeo - Documents\Planning Space Implementation\3. Analysis &amp; Design\Design\FC22\DRR Jaime\Neiva CPI\[DINA TERCIARIOS_CF_SEC_New_27-Mar-2024.xlsx]D-PSND'!</v>
      </c>
      <c r="G4133" s="32" t="s">
        <v>125</v>
      </c>
      <c r="H4133" s="33"/>
      <c r="I4133" s="33"/>
      <c r="J4133" s="37"/>
    </row>
    <row r="4134" spans="1:10" x14ac:dyDescent="0.3">
      <c r="A4134" s="32" t="s">
        <v>23</v>
      </c>
      <c r="B4134" s="32">
        <f t="shared" si="988"/>
        <v>2051</v>
      </c>
      <c r="C4134" s="33" t="s">
        <v>43</v>
      </c>
      <c r="D4134" s="34" t="s">
        <v>2002</v>
      </c>
      <c r="E4134" s="35" t="str">
        <f t="shared" si="986"/>
        <v>PSND'!</v>
      </c>
      <c r="F4134" s="34" t="str">
        <f t="shared" si="987"/>
        <v>C:\Users\jaime.benazar\Quorum Business Solutions\Ecopetrol Prometeo - Documents\Planning Space Implementation\3. Analysis &amp; Design\Design\FC22\DRR Jaime\Neiva CPI\[DINA TERCIARIOS_CF_SEC_New_27-Mar-2024.xlsx]D-PSND'!</v>
      </c>
      <c r="G4134" s="32" t="s">
        <v>125</v>
      </c>
      <c r="H4134" s="33"/>
      <c r="I4134" s="33"/>
      <c r="J4134" s="37"/>
    </row>
    <row r="4135" spans="1:10" x14ac:dyDescent="0.3">
      <c r="A4135" s="32" t="s">
        <v>23</v>
      </c>
      <c r="B4135" s="32">
        <f t="shared" si="988"/>
        <v>2052</v>
      </c>
      <c r="C4135" s="33" t="s">
        <v>43</v>
      </c>
      <c r="D4135" s="34" t="s">
        <v>2002</v>
      </c>
      <c r="E4135" s="35" t="str">
        <f t="shared" si="986"/>
        <v>PSND'!</v>
      </c>
      <c r="F4135" s="34" t="str">
        <f t="shared" si="987"/>
        <v>C:\Users\jaime.benazar\Quorum Business Solutions\Ecopetrol Prometeo - Documents\Planning Space Implementation\3. Analysis &amp; Design\Design\FC22\DRR Jaime\Neiva CPI\[DINA TERCIARIOS_CF_SEC_New_27-Mar-2024.xlsx]D-PSND'!</v>
      </c>
      <c r="G4135" s="32" t="s">
        <v>125</v>
      </c>
      <c r="H4135" s="33"/>
      <c r="I4135" s="33"/>
      <c r="J4135" s="37"/>
    </row>
    <row r="4136" spans="1:10" x14ac:dyDescent="0.3">
      <c r="A4136" s="32" t="s">
        <v>23</v>
      </c>
      <c r="B4136" s="32">
        <f t="shared" si="988"/>
        <v>2053</v>
      </c>
      <c r="C4136" s="33" t="s">
        <v>43</v>
      </c>
      <c r="D4136" s="34" t="s">
        <v>2002</v>
      </c>
      <c r="E4136" s="35" t="str">
        <f t="shared" si="986"/>
        <v>PSND'!</v>
      </c>
      <c r="F4136" s="34" t="str">
        <f t="shared" si="987"/>
        <v>C:\Users\jaime.benazar\Quorum Business Solutions\Ecopetrol Prometeo - Documents\Planning Space Implementation\3. Analysis &amp; Design\Design\FC22\DRR Jaime\Neiva CPI\[DINA TERCIARIOS_CF_SEC_New_27-Mar-2024.xlsx]D-PSND'!</v>
      </c>
      <c r="G4136" s="32" t="s">
        <v>125</v>
      </c>
      <c r="H4136" s="33"/>
      <c r="I4136" s="33"/>
      <c r="J4136" s="37"/>
    </row>
    <row r="4137" spans="1:10" x14ac:dyDescent="0.3">
      <c r="A4137" s="32" t="s">
        <v>23</v>
      </c>
      <c r="B4137" s="32">
        <f t="shared" si="988"/>
        <v>2054</v>
      </c>
      <c r="C4137" s="33" t="s">
        <v>43</v>
      </c>
      <c r="D4137" s="34" t="s">
        <v>2002</v>
      </c>
      <c r="E4137" s="35" t="str">
        <f t="shared" si="986"/>
        <v>PSND'!</v>
      </c>
      <c r="F4137" s="34" t="str">
        <f t="shared" si="987"/>
        <v>C:\Users\jaime.benazar\Quorum Business Solutions\Ecopetrol Prometeo - Documents\Planning Space Implementation\3. Analysis &amp; Design\Design\FC22\DRR Jaime\Neiva CPI\[DINA TERCIARIOS_CF_SEC_New_27-Mar-2024.xlsx]D-PSND'!</v>
      </c>
      <c r="G4137" s="32" t="s">
        <v>125</v>
      </c>
      <c r="H4137" s="33"/>
      <c r="I4137" s="33"/>
      <c r="J4137" s="37"/>
    </row>
    <row r="4138" spans="1:10" x14ac:dyDescent="0.3">
      <c r="A4138" s="32" t="s">
        <v>23</v>
      </c>
      <c r="B4138" s="32">
        <f t="shared" si="988"/>
        <v>2055</v>
      </c>
      <c r="C4138" s="33" t="s">
        <v>43</v>
      </c>
      <c r="D4138" s="34" t="s">
        <v>2002</v>
      </c>
      <c r="E4138" s="35" t="str">
        <f t="shared" si="986"/>
        <v>PSND'!</v>
      </c>
      <c r="F4138" s="34" t="str">
        <f t="shared" si="987"/>
        <v>C:\Users\jaime.benazar\Quorum Business Solutions\Ecopetrol Prometeo - Documents\Planning Space Implementation\3. Analysis &amp; Design\Design\FC22\DRR Jaime\Neiva CPI\[DINA TERCIARIOS_CF_SEC_New_27-Mar-2024.xlsx]D-PSND'!</v>
      </c>
      <c r="G4138" s="32" t="s">
        <v>125</v>
      </c>
      <c r="H4138" s="33"/>
      <c r="I4138" s="33"/>
      <c r="J4138" s="37"/>
    </row>
    <row r="4139" spans="1:10" x14ac:dyDescent="0.3">
      <c r="A4139" s="32" t="s">
        <v>23</v>
      </c>
      <c r="B4139" s="32">
        <f t="shared" si="988"/>
        <v>2056</v>
      </c>
      <c r="C4139" s="33" t="s">
        <v>43</v>
      </c>
      <c r="D4139" s="34" t="s">
        <v>2002</v>
      </c>
      <c r="E4139" s="35" t="str">
        <f t="shared" si="986"/>
        <v>PSND'!</v>
      </c>
      <c r="F4139" s="34" t="str">
        <f t="shared" si="987"/>
        <v>C:\Users\jaime.benazar\Quorum Business Solutions\Ecopetrol Prometeo - Documents\Planning Space Implementation\3. Analysis &amp; Design\Design\FC22\DRR Jaime\Neiva CPI\[DINA TERCIARIOS_CF_SEC_New_27-Mar-2024.xlsx]D-PSND'!</v>
      </c>
      <c r="G4139" s="32" t="s">
        <v>125</v>
      </c>
      <c r="H4139" s="33"/>
      <c r="I4139" s="33"/>
      <c r="J4139" s="37"/>
    </row>
    <row r="4140" spans="1:10" x14ac:dyDescent="0.3">
      <c r="A4140" s="32" t="s">
        <v>23</v>
      </c>
      <c r="B4140" s="32">
        <f t="shared" si="988"/>
        <v>2057</v>
      </c>
      <c r="C4140" s="33" t="s">
        <v>43</v>
      </c>
      <c r="D4140" s="34" t="s">
        <v>2002</v>
      </c>
      <c r="E4140" s="35" t="str">
        <f t="shared" si="986"/>
        <v>PSND'!</v>
      </c>
      <c r="F4140" s="34" t="str">
        <f t="shared" si="987"/>
        <v>C:\Users\jaime.benazar\Quorum Business Solutions\Ecopetrol Prometeo - Documents\Planning Space Implementation\3. Analysis &amp; Design\Design\FC22\DRR Jaime\Neiva CPI\[DINA TERCIARIOS_CF_SEC_New_27-Mar-2024.xlsx]D-PSND'!</v>
      </c>
      <c r="G4140" s="32" t="s">
        <v>125</v>
      </c>
      <c r="H4140" s="33"/>
      <c r="I4140" s="33"/>
      <c r="J4140" s="37"/>
    </row>
    <row r="4141" spans="1:10" x14ac:dyDescent="0.3">
      <c r="A4141" s="32" t="s">
        <v>23</v>
      </c>
      <c r="B4141" s="32">
        <f t="shared" si="988"/>
        <v>2058</v>
      </c>
      <c r="C4141" s="33" t="s">
        <v>43</v>
      </c>
      <c r="D4141" s="34" t="s">
        <v>2002</v>
      </c>
      <c r="E4141" s="35" t="str">
        <f t="shared" si="986"/>
        <v>PSND'!</v>
      </c>
      <c r="F4141" s="34" t="str">
        <f t="shared" si="987"/>
        <v>C:\Users\jaime.benazar\Quorum Business Solutions\Ecopetrol Prometeo - Documents\Planning Space Implementation\3. Analysis &amp; Design\Design\FC22\DRR Jaime\Neiva CPI\[DINA TERCIARIOS_CF_SEC_New_27-Mar-2024.xlsx]D-PSND'!</v>
      </c>
      <c r="G4141" s="32" t="s">
        <v>125</v>
      </c>
      <c r="H4141" s="33"/>
      <c r="I4141" s="33"/>
      <c r="J4141" s="37"/>
    </row>
    <row r="4142" spans="1:10" x14ac:dyDescent="0.3">
      <c r="A4142" s="32" t="s">
        <v>23</v>
      </c>
      <c r="B4142" s="32">
        <f t="shared" si="988"/>
        <v>2059</v>
      </c>
      <c r="C4142" s="33" t="s">
        <v>43</v>
      </c>
      <c r="D4142" s="34" t="s">
        <v>2002</v>
      </c>
      <c r="E4142" s="35" t="str">
        <f t="shared" si="986"/>
        <v>PSND'!</v>
      </c>
      <c r="F4142" s="34" t="str">
        <f t="shared" si="987"/>
        <v>C:\Users\jaime.benazar\Quorum Business Solutions\Ecopetrol Prometeo - Documents\Planning Space Implementation\3. Analysis &amp; Design\Design\FC22\DRR Jaime\Neiva CPI\[DINA TERCIARIOS_CF_SEC_New_27-Mar-2024.xlsx]D-PSND'!</v>
      </c>
      <c r="G4142" s="32" t="s">
        <v>125</v>
      </c>
      <c r="H4142" s="33"/>
      <c r="I4142" s="33"/>
      <c r="J4142" s="37"/>
    </row>
    <row r="4143" spans="1:10" x14ac:dyDescent="0.3">
      <c r="A4143" s="32" t="s">
        <v>26</v>
      </c>
      <c r="B4143" s="32"/>
      <c r="C4143" s="33" t="s">
        <v>43</v>
      </c>
      <c r="D4143" s="34"/>
      <c r="E4143" s="35"/>
      <c r="F4143" s="34"/>
      <c r="G4143" s="32"/>
      <c r="H4143" s="33"/>
      <c r="I4143" s="33"/>
      <c r="J4143" s="36"/>
    </row>
    <row r="4144" spans="1:10" x14ac:dyDescent="0.3">
      <c r="A4144" s="32" t="s">
        <v>24</v>
      </c>
      <c r="B4144" s="32">
        <v>2023</v>
      </c>
      <c r="C4144" s="33" t="s">
        <v>43</v>
      </c>
      <c r="D4144" s="34" t="s">
        <v>2002</v>
      </c>
      <c r="E4144" s="35" t="str">
        <f t="shared" ref="E4144:E4182" si="989">_xlfn.CONCAT(A4144,"'!")</f>
        <v>PS'!</v>
      </c>
      <c r="F4144" s="34" t="str">
        <f t="shared" ref="F4144:F4164" si="990">_xlfn.CONCAT(D4144:E4144)</f>
        <v>C:\Users\jaime.benazar\Quorum Business Solutions\Ecopetrol Prometeo - Documents\Planning Space Implementation\3. Analysis &amp; Design\Design\FC22\DRR Jaime\Neiva CPI\[DINA TERCIARIOS_CF_SEC_New_27-Mar-2024.xlsx]D-PS'!</v>
      </c>
      <c r="G4144" s="32" t="s">
        <v>125</v>
      </c>
      <c r="H4144" s="33">
        <v>12</v>
      </c>
      <c r="I4144" s="33" t="str">
        <f t="shared" ref="I4144:I4164" si="991">_xlfn.CONCAT("='",F4144:H4144)</f>
        <v>='C:\Users\jaime.benazar\Quorum Business Solutions\Ecopetrol Prometeo - Documents\Planning Space Implementation\3. Analysis &amp; Design\Design\FC22\DRR Jaime\Neiva CPI\[DINA TERCIARIOS_CF_SEC_New_27-Mar-2024.xlsx]D-PS'!$CB$12</v>
      </c>
      <c r="J4144" s="37" t="s">
        <v>3816</v>
      </c>
    </row>
    <row r="4145" spans="1:10" x14ac:dyDescent="0.3">
      <c r="A4145" s="32" t="s">
        <v>24</v>
      </c>
      <c r="B4145" s="32">
        <f>+B4144+1</f>
        <v>2024</v>
      </c>
      <c r="C4145" s="33" t="s">
        <v>43</v>
      </c>
      <c r="D4145" s="34" t="s">
        <v>2002</v>
      </c>
      <c r="E4145" s="35" t="str">
        <f t="shared" si="989"/>
        <v>PS'!</v>
      </c>
      <c r="F4145" s="34" t="str">
        <f t="shared" si="990"/>
        <v>C:\Users\jaime.benazar\Quorum Business Solutions\Ecopetrol Prometeo - Documents\Planning Space Implementation\3. Analysis &amp; Design\Design\FC22\DRR Jaime\Neiva CPI\[DINA TERCIARIOS_CF_SEC_New_27-Mar-2024.xlsx]D-PS'!</v>
      </c>
      <c r="G4145" s="32" t="s">
        <v>125</v>
      </c>
      <c r="H4145" s="33">
        <f t="shared" ref="H4145:H4164" si="992">IF(A4145&lt;&gt;A4144,12,H4144+1)</f>
        <v>13</v>
      </c>
      <c r="I4145" s="33" t="str">
        <f t="shared" si="991"/>
        <v>='C:\Users\jaime.benazar\Quorum Business Solutions\Ecopetrol Prometeo - Documents\Planning Space Implementation\3. Analysis &amp; Design\Design\FC22\DRR Jaime\Neiva CPI\[DINA TERCIARIOS_CF_SEC_New_27-Mar-2024.xlsx]D-PS'!$CB$13</v>
      </c>
      <c r="J4145" s="37" t="s">
        <v>3817</v>
      </c>
    </row>
    <row r="4146" spans="1:10" x14ac:dyDescent="0.3">
      <c r="A4146" s="32" t="s">
        <v>24</v>
      </c>
      <c r="B4146" s="32">
        <f t="shared" ref="B4146:B4157" si="993">+B4145+1</f>
        <v>2025</v>
      </c>
      <c r="C4146" s="33" t="s">
        <v>43</v>
      </c>
      <c r="D4146" s="34" t="s">
        <v>2002</v>
      </c>
      <c r="E4146" s="35" t="str">
        <f t="shared" si="989"/>
        <v>PS'!</v>
      </c>
      <c r="F4146" s="34" t="str">
        <f t="shared" si="990"/>
        <v>C:\Users\jaime.benazar\Quorum Business Solutions\Ecopetrol Prometeo - Documents\Planning Space Implementation\3. Analysis &amp; Design\Design\FC22\DRR Jaime\Neiva CPI\[DINA TERCIARIOS_CF_SEC_New_27-Mar-2024.xlsx]D-PS'!</v>
      </c>
      <c r="G4146" s="32" t="s">
        <v>125</v>
      </c>
      <c r="H4146" s="33">
        <f t="shared" si="992"/>
        <v>14</v>
      </c>
      <c r="I4146" s="33" t="str">
        <f t="shared" si="991"/>
        <v>='C:\Users\jaime.benazar\Quorum Business Solutions\Ecopetrol Prometeo - Documents\Planning Space Implementation\3. Analysis &amp; Design\Design\FC22\DRR Jaime\Neiva CPI\[DINA TERCIARIOS_CF_SEC_New_27-Mar-2024.xlsx]D-PS'!$CB$14</v>
      </c>
      <c r="J4146" s="37" t="s">
        <v>3818</v>
      </c>
    </row>
    <row r="4147" spans="1:10" x14ac:dyDescent="0.3">
      <c r="A4147" s="32" t="s">
        <v>24</v>
      </c>
      <c r="B4147" s="32">
        <f t="shared" si="993"/>
        <v>2026</v>
      </c>
      <c r="C4147" s="33" t="s">
        <v>43</v>
      </c>
      <c r="D4147" s="34" t="s">
        <v>2002</v>
      </c>
      <c r="E4147" s="35" t="str">
        <f t="shared" si="989"/>
        <v>PS'!</v>
      </c>
      <c r="F4147" s="34" t="str">
        <f t="shared" si="990"/>
        <v>C:\Users\jaime.benazar\Quorum Business Solutions\Ecopetrol Prometeo - Documents\Planning Space Implementation\3. Analysis &amp; Design\Design\FC22\DRR Jaime\Neiva CPI\[DINA TERCIARIOS_CF_SEC_New_27-Mar-2024.xlsx]D-PS'!</v>
      </c>
      <c r="G4147" s="32" t="s">
        <v>125</v>
      </c>
      <c r="H4147" s="33">
        <f t="shared" si="992"/>
        <v>15</v>
      </c>
      <c r="I4147" s="33" t="str">
        <f t="shared" si="991"/>
        <v>='C:\Users\jaime.benazar\Quorum Business Solutions\Ecopetrol Prometeo - Documents\Planning Space Implementation\3. Analysis &amp; Design\Design\FC22\DRR Jaime\Neiva CPI\[DINA TERCIARIOS_CF_SEC_New_27-Mar-2024.xlsx]D-PS'!$CB$15</v>
      </c>
      <c r="J4147" s="37" t="s">
        <v>3819</v>
      </c>
    </row>
    <row r="4148" spans="1:10" x14ac:dyDescent="0.3">
      <c r="A4148" s="32" t="s">
        <v>24</v>
      </c>
      <c r="B4148" s="32">
        <f t="shared" si="993"/>
        <v>2027</v>
      </c>
      <c r="C4148" s="33" t="s">
        <v>43</v>
      </c>
      <c r="D4148" s="34" t="s">
        <v>2002</v>
      </c>
      <c r="E4148" s="35" t="str">
        <f t="shared" si="989"/>
        <v>PS'!</v>
      </c>
      <c r="F4148" s="34" t="str">
        <f t="shared" si="990"/>
        <v>C:\Users\jaime.benazar\Quorum Business Solutions\Ecopetrol Prometeo - Documents\Planning Space Implementation\3. Analysis &amp; Design\Design\FC22\DRR Jaime\Neiva CPI\[DINA TERCIARIOS_CF_SEC_New_27-Mar-2024.xlsx]D-PS'!</v>
      </c>
      <c r="G4148" s="32" t="s">
        <v>125</v>
      </c>
      <c r="H4148" s="33">
        <f t="shared" si="992"/>
        <v>16</v>
      </c>
      <c r="I4148" s="33" t="str">
        <f t="shared" si="991"/>
        <v>='C:\Users\jaime.benazar\Quorum Business Solutions\Ecopetrol Prometeo - Documents\Planning Space Implementation\3. Analysis &amp; Design\Design\FC22\DRR Jaime\Neiva CPI\[DINA TERCIARIOS_CF_SEC_New_27-Mar-2024.xlsx]D-PS'!$CB$16</v>
      </c>
      <c r="J4148" s="37" t="s">
        <v>3820</v>
      </c>
    </row>
    <row r="4149" spans="1:10" x14ac:dyDescent="0.3">
      <c r="A4149" s="32" t="s">
        <v>24</v>
      </c>
      <c r="B4149" s="32">
        <f t="shared" si="993"/>
        <v>2028</v>
      </c>
      <c r="C4149" s="33" t="s">
        <v>43</v>
      </c>
      <c r="D4149" s="34" t="s">
        <v>2002</v>
      </c>
      <c r="E4149" s="35" t="str">
        <f t="shared" si="989"/>
        <v>PS'!</v>
      </c>
      <c r="F4149" s="34" t="str">
        <f t="shared" si="990"/>
        <v>C:\Users\jaime.benazar\Quorum Business Solutions\Ecopetrol Prometeo - Documents\Planning Space Implementation\3. Analysis &amp; Design\Design\FC22\DRR Jaime\Neiva CPI\[DINA TERCIARIOS_CF_SEC_New_27-Mar-2024.xlsx]D-PS'!</v>
      </c>
      <c r="G4149" s="32" t="s">
        <v>125</v>
      </c>
      <c r="H4149" s="33">
        <f t="shared" si="992"/>
        <v>17</v>
      </c>
      <c r="I4149" s="33" t="str">
        <f t="shared" si="991"/>
        <v>='C:\Users\jaime.benazar\Quorum Business Solutions\Ecopetrol Prometeo - Documents\Planning Space Implementation\3. Analysis &amp; Design\Design\FC22\DRR Jaime\Neiva CPI\[DINA TERCIARIOS_CF_SEC_New_27-Mar-2024.xlsx]D-PS'!$CB$17</v>
      </c>
      <c r="J4149" s="37" t="s">
        <v>3821</v>
      </c>
    </row>
    <row r="4150" spans="1:10" x14ac:dyDescent="0.3">
      <c r="A4150" s="32" t="s">
        <v>24</v>
      </c>
      <c r="B4150" s="32">
        <f t="shared" si="993"/>
        <v>2029</v>
      </c>
      <c r="C4150" s="33" t="s">
        <v>43</v>
      </c>
      <c r="D4150" s="34" t="s">
        <v>2002</v>
      </c>
      <c r="E4150" s="35" t="str">
        <f t="shared" si="989"/>
        <v>PS'!</v>
      </c>
      <c r="F4150" s="34" t="str">
        <f t="shared" si="990"/>
        <v>C:\Users\jaime.benazar\Quorum Business Solutions\Ecopetrol Prometeo - Documents\Planning Space Implementation\3. Analysis &amp; Design\Design\FC22\DRR Jaime\Neiva CPI\[DINA TERCIARIOS_CF_SEC_New_27-Mar-2024.xlsx]D-PS'!</v>
      </c>
      <c r="G4150" s="32" t="s">
        <v>125</v>
      </c>
      <c r="H4150" s="33">
        <f t="shared" si="992"/>
        <v>18</v>
      </c>
      <c r="I4150" s="33" t="str">
        <f t="shared" si="991"/>
        <v>='C:\Users\jaime.benazar\Quorum Business Solutions\Ecopetrol Prometeo - Documents\Planning Space Implementation\3. Analysis &amp; Design\Design\FC22\DRR Jaime\Neiva CPI\[DINA TERCIARIOS_CF_SEC_New_27-Mar-2024.xlsx]D-PS'!$CB$18</v>
      </c>
      <c r="J4150" s="37" t="s">
        <v>3822</v>
      </c>
    </row>
    <row r="4151" spans="1:10" x14ac:dyDescent="0.3">
      <c r="A4151" s="32" t="s">
        <v>24</v>
      </c>
      <c r="B4151" s="32">
        <f t="shared" si="993"/>
        <v>2030</v>
      </c>
      <c r="C4151" s="33" t="s">
        <v>43</v>
      </c>
      <c r="D4151" s="34" t="s">
        <v>2002</v>
      </c>
      <c r="E4151" s="35" t="str">
        <f t="shared" si="989"/>
        <v>PS'!</v>
      </c>
      <c r="F4151" s="34" t="str">
        <f t="shared" si="990"/>
        <v>C:\Users\jaime.benazar\Quorum Business Solutions\Ecopetrol Prometeo - Documents\Planning Space Implementation\3. Analysis &amp; Design\Design\FC22\DRR Jaime\Neiva CPI\[DINA TERCIARIOS_CF_SEC_New_27-Mar-2024.xlsx]D-PS'!</v>
      </c>
      <c r="G4151" s="32" t="s">
        <v>125</v>
      </c>
      <c r="H4151" s="33">
        <f t="shared" si="992"/>
        <v>19</v>
      </c>
      <c r="I4151" s="33" t="str">
        <f t="shared" si="991"/>
        <v>='C:\Users\jaime.benazar\Quorum Business Solutions\Ecopetrol Prometeo - Documents\Planning Space Implementation\3. Analysis &amp; Design\Design\FC22\DRR Jaime\Neiva CPI\[DINA TERCIARIOS_CF_SEC_New_27-Mar-2024.xlsx]D-PS'!$CB$19</v>
      </c>
      <c r="J4151" s="37" t="s">
        <v>3823</v>
      </c>
    </row>
    <row r="4152" spans="1:10" x14ac:dyDescent="0.3">
      <c r="A4152" s="32" t="s">
        <v>24</v>
      </c>
      <c r="B4152" s="32">
        <f t="shared" si="993"/>
        <v>2031</v>
      </c>
      <c r="C4152" s="33" t="s">
        <v>43</v>
      </c>
      <c r="D4152" s="34" t="s">
        <v>2002</v>
      </c>
      <c r="E4152" s="35" t="str">
        <f t="shared" si="989"/>
        <v>PS'!</v>
      </c>
      <c r="F4152" s="34" t="str">
        <f t="shared" si="990"/>
        <v>C:\Users\jaime.benazar\Quorum Business Solutions\Ecopetrol Prometeo - Documents\Planning Space Implementation\3. Analysis &amp; Design\Design\FC22\DRR Jaime\Neiva CPI\[DINA TERCIARIOS_CF_SEC_New_27-Mar-2024.xlsx]D-PS'!</v>
      </c>
      <c r="G4152" s="32" t="s">
        <v>125</v>
      </c>
      <c r="H4152" s="33">
        <f t="shared" si="992"/>
        <v>20</v>
      </c>
      <c r="I4152" s="33" t="str">
        <f t="shared" si="991"/>
        <v>='C:\Users\jaime.benazar\Quorum Business Solutions\Ecopetrol Prometeo - Documents\Planning Space Implementation\3. Analysis &amp; Design\Design\FC22\DRR Jaime\Neiva CPI\[DINA TERCIARIOS_CF_SEC_New_27-Mar-2024.xlsx]D-PS'!$CB$20</v>
      </c>
      <c r="J4152" s="37" t="s">
        <v>3824</v>
      </c>
    </row>
    <row r="4153" spans="1:10" x14ac:dyDescent="0.3">
      <c r="A4153" s="32" t="s">
        <v>24</v>
      </c>
      <c r="B4153" s="32">
        <f t="shared" si="993"/>
        <v>2032</v>
      </c>
      <c r="C4153" s="33" t="s">
        <v>43</v>
      </c>
      <c r="D4153" s="34" t="s">
        <v>2002</v>
      </c>
      <c r="E4153" s="35" t="str">
        <f t="shared" si="989"/>
        <v>PS'!</v>
      </c>
      <c r="F4153" s="34" t="str">
        <f t="shared" si="990"/>
        <v>C:\Users\jaime.benazar\Quorum Business Solutions\Ecopetrol Prometeo - Documents\Planning Space Implementation\3. Analysis &amp; Design\Design\FC22\DRR Jaime\Neiva CPI\[DINA TERCIARIOS_CF_SEC_New_27-Mar-2024.xlsx]D-PS'!</v>
      </c>
      <c r="G4153" s="32" t="s">
        <v>125</v>
      </c>
      <c r="H4153" s="33">
        <f t="shared" si="992"/>
        <v>21</v>
      </c>
      <c r="I4153" s="33" t="str">
        <f t="shared" si="991"/>
        <v>='C:\Users\jaime.benazar\Quorum Business Solutions\Ecopetrol Prometeo - Documents\Planning Space Implementation\3. Analysis &amp; Design\Design\FC22\DRR Jaime\Neiva CPI\[DINA TERCIARIOS_CF_SEC_New_27-Mar-2024.xlsx]D-PS'!$CB$21</v>
      </c>
      <c r="J4153" s="37" t="s">
        <v>3825</v>
      </c>
    </row>
    <row r="4154" spans="1:10" x14ac:dyDescent="0.3">
      <c r="A4154" s="32" t="s">
        <v>24</v>
      </c>
      <c r="B4154" s="32">
        <f t="shared" si="993"/>
        <v>2033</v>
      </c>
      <c r="C4154" s="33" t="s">
        <v>43</v>
      </c>
      <c r="D4154" s="34" t="s">
        <v>2002</v>
      </c>
      <c r="E4154" s="35" t="str">
        <f t="shared" si="989"/>
        <v>PS'!</v>
      </c>
      <c r="F4154" s="34" t="str">
        <f t="shared" si="990"/>
        <v>C:\Users\jaime.benazar\Quorum Business Solutions\Ecopetrol Prometeo - Documents\Planning Space Implementation\3. Analysis &amp; Design\Design\FC22\DRR Jaime\Neiva CPI\[DINA TERCIARIOS_CF_SEC_New_27-Mar-2024.xlsx]D-PS'!</v>
      </c>
      <c r="G4154" s="32" t="s">
        <v>125</v>
      </c>
      <c r="H4154" s="33">
        <f t="shared" si="992"/>
        <v>22</v>
      </c>
      <c r="I4154" s="33" t="str">
        <f t="shared" si="991"/>
        <v>='C:\Users\jaime.benazar\Quorum Business Solutions\Ecopetrol Prometeo - Documents\Planning Space Implementation\3. Analysis &amp; Design\Design\FC22\DRR Jaime\Neiva CPI\[DINA TERCIARIOS_CF_SEC_New_27-Mar-2024.xlsx]D-PS'!$CB$22</v>
      </c>
      <c r="J4154" s="37" t="s">
        <v>3826</v>
      </c>
    </row>
    <row r="4155" spans="1:10" x14ac:dyDescent="0.3">
      <c r="A4155" s="32" t="s">
        <v>24</v>
      </c>
      <c r="B4155" s="32">
        <f t="shared" si="993"/>
        <v>2034</v>
      </c>
      <c r="C4155" s="33" t="s">
        <v>43</v>
      </c>
      <c r="D4155" s="34" t="s">
        <v>2002</v>
      </c>
      <c r="E4155" s="35" t="str">
        <f t="shared" si="989"/>
        <v>PS'!</v>
      </c>
      <c r="F4155" s="34" t="str">
        <f t="shared" si="990"/>
        <v>C:\Users\jaime.benazar\Quorum Business Solutions\Ecopetrol Prometeo - Documents\Planning Space Implementation\3. Analysis &amp; Design\Design\FC22\DRR Jaime\Neiva CPI\[DINA TERCIARIOS_CF_SEC_New_27-Mar-2024.xlsx]D-PS'!</v>
      </c>
      <c r="G4155" s="32" t="s">
        <v>125</v>
      </c>
      <c r="H4155" s="33">
        <f t="shared" si="992"/>
        <v>23</v>
      </c>
      <c r="I4155" s="33" t="str">
        <f t="shared" si="991"/>
        <v>='C:\Users\jaime.benazar\Quorum Business Solutions\Ecopetrol Prometeo - Documents\Planning Space Implementation\3. Analysis &amp; Design\Design\FC22\DRR Jaime\Neiva CPI\[DINA TERCIARIOS_CF_SEC_New_27-Mar-2024.xlsx]D-PS'!$CB$23</v>
      </c>
      <c r="J4155" s="37" t="s">
        <v>3827</v>
      </c>
    </row>
    <row r="4156" spans="1:10" x14ac:dyDescent="0.3">
      <c r="A4156" s="32" t="s">
        <v>24</v>
      </c>
      <c r="B4156" s="32">
        <f t="shared" si="993"/>
        <v>2035</v>
      </c>
      <c r="C4156" s="33" t="s">
        <v>43</v>
      </c>
      <c r="D4156" s="34" t="s">
        <v>2002</v>
      </c>
      <c r="E4156" s="35" t="str">
        <f t="shared" si="989"/>
        <v>PS'!</v>
      </c>
      <c r="F4156" s="34" t="str">
        <f t="shared" si="990"/>
        <v>C:\Users\jaime.benazar\Quorum Business Solutions\Ecopetrol Prometeo - Documents\Planning Space Implementation\3. Analysis &amp; Design\Design\FC22\DRR Jaime\Neiva CPI\[DINA TERCIARIOS_CF_SEC_New_27-Mar-2024.xlsx]D-PS'!</v>
      </c>
      <c r="G4156" s="32" t="s">
        <v>125</v>
      </c>
      <c r="H4156" s="33">
        <f t="shared" si="992"/>
        <v>24</v>
      </c>
      <c r="I4156" s="33" t="str">
        <f t="shared" si="991"/>
        <v>='C:\Users\jaime.benazar\Quorum Business Solutions\Ecopetrol Prometeo - Documents\Planning Space Implementation\3. Analysis &amp; Design\Design\FC22\DRR Jaime\Neiva CPI\[DINA TERCIARIOS_CF_SEC_New_27-Mar-2024.xlsx]D-PS'!$CB$24</v>
      </c>
      <c r="J4156" s="37" t="s">
        <v>3828</v>
      </c>
    </row>
    <row r="4157" spans="1:10" x14ac:dyDescent="0.3">
      <c r="A4157" s="32" t="s">
        <v>24</v>
      </c>
      <c r="B4157" s="32">
        <f t="shared" si="993"/>
        <v>2036</v>
      </c>
      <c r="C4157" s="33" t="s">
        <v>43</v>
      </c>
      <c r="D4157" s="34" t="s">
        <v>2002</v>
      </c>
      <c r="E4157" s="35" t="str">
        <f t="shared" si="989"/>
        <v>PS'!</v>
      </c>
      <c r="F4157" s="34" t="str">
        <f t="shared" si="990"/>
        <v>C:\Users\jaime.benazar\Quorum Business Solutions\Ecopetrol Prometeo - Documents\Planning Space Implementation\3. Analysis &amp; Design\Design\FC22\DRR Jaime\Neiva CPI\[DINA TERCIARIOS_CF_SEC_New_27-Mar-2024.xlsx]D-PS'!</v>
      </c>
      <c r="G4157" s="32" t="s">
        <v>125</v>
      </c>
      <c r="H4157" s="33">
        <f t="shared" si="992"/>
        <v>25</v>
      </c>
      <c r="I4157" s="33" t="str">
        <f t="shared" si="991"/>
        <v>='C:\Users\jaime.benazar\Quorum Business Solutions\Ecopetrol Prometeo - Documents\Planning Space Implementation\3. Analysis &amp; Design\Design\FC22\DRR Jaime\Neiva CPI\[DINA TERCIARIOS_CF_SEC_New_27-Mar-2024.xlsx]D-PS'!$CB$25</v>
      </c>
      <c r="J4157" s="37" t="s">
        <v>3829</v>
      </c>
    </row>
    <row r="4158" spans="1:10" x14ac:dyDescent="0.3">
      <c r="A4158" s="32" t="s">
        <v>24</v>
      </c>
      <c r="B4158" s="32">
        <f>+B4157+1</f>
        <v>2037</v>
      </c>
      <c r="C4158" s="33" t="s">
        <v>43</v>
      </c>
      <c r="D4158" s="34" t="s">
        <v>2002</v>
      </c>
      <c r="E4158" s="35" t="str">
        <f t="shared" si="989"/>
        <v>PS'!</v>
      </c>
      <c r="F4158" s="34" t="str">
        <f t="shared" si="990"/>
        <v>C:\Users\jaime.benazar\Quorum Business Solutions\Ecopetrol Prometeo - Documents\Planning Space Implementation\3. Analysis &amp; Design\Design\FC22\DRR Jaime\Neiva CPI\[DINA TERCIARIOS_CF_SEC_New_27-Mar-2024.xlsx]D-PS'!</v>
      </c>
      <c r="G4158" s="32" t="s">
        <v>125</v>
      </c>
      <c r="H4158" s="33">
        <f t="shared" si="992"/>
        <v>26</v>
      </c>
      <c r="I4158" s="33" t="str">
        <f t="shared" si="991"/>
        <v>='C:\Users\jaime.benazar\Quorum Business Solutions\Ecopetrol Prometeo - Documents\Planning Space Implementation\3. Analysis &amp; Design\Design\FC22\DRR Jaime\Neiva CPI\[DINA TERCIARIOS_CF_SEC_New_27-Mar-2024.xlsx]D-PS'!$CB$26</v>
      </c>
      <c r="J4158" s="37" t="s">
        <v>3830</v>
      </c>
    </row>
    <row r="4159" spans="1:10" x14ac:dyDescent="0.3">
      <c r="A4159" s="32" t="s">
        <v>24</v>
      </c>
      <c r="B4159" s="32">
        <f t="shared" ref="B4159:B4161" si="994">+B4158+1</f>
        <v>2038</v>
      </c>
      <c r="C4159" s="33" t="s">
        <v>43</v>
      </c>
      <c r="D4159" s="34" t="s">
        <v>2002</v>
      </c>
      <c r="E4159" s="35" t="str">
        <f t="shared" si="989"/>
        <v>PS'!</v>
      </c>
      <c r="F4159" s="34" t="str">
        <f t="shared" si="990"/>
        <v>C:\Users\jaime.benazar\Quorum Business Solutions\Ecopetrol Prometeo - Documents\Planning Space Implementation\3. Analysis &amp; Design\Design\FC22\DRR Jaime\Neiva CPI\[DINA TERCIARIOS_CF_SEC_New_27-Mar-2024.xlsx]D-PS'!</v>
      </c>
      <c r="G4159" s="32" t="s">
        <v>125</v>
      </c>
      <c r="H4159" s="33">
        <f t="shared" si="992"/>
        <v>27</v>
      </c>
      <c r="I4159" s="33" t="str">
        <f t="shared" si="991"/>
        <v>='C:\Users\jaime.benazar\Quorum Business Solutions\Ecopetrol Prometeo - Documents\Planning Space Implementation\3. Analysis &amp; Design\Design\FC22\DRR Jaime\Neiva CPI\[DINA TERCIARIOS_CF_SEC_New_27-Mar-2024.xlsx]D-PS'!$CB$27</v>
      </c>
      <c r="J4159" s="37" t="s">
        <v>3831</v>
      </c>
    </row>
    <row r="4160" spans="1:10" x14ac:dyDescent="0.3">
      <c r="A4160" s="32" t="s">
        <v>24</v>
      </c>
      <c r="B4160" s="32">
        <f t="shared" si="994"/>
        <v>2039</v>
      </c>
      <c r="C4160" s="33" t="s">
        <v>43</v>
      </c>
      <c r="D4160" s="34" t="s">
        <v>2002</v>
      </c>
      <c r="E4160" s="35" t="str">
        <f t="shared" si="989"/>
        <v>PS'!</v>
      </c>
      <c r="F4160" s="34" t="str">
        <f t="shared" si="990"/>
        <v>C:\Users\jaime.benazar\Quorum Business Solutions\Ecopetrol Prometeo - Documents\Planning Space Implementation\3. Analysis &amp; Design\Design\FC22\DRR Jaime\Neiva CPI\[DINA TERCIARIOS_CF_SEC_New_27-Mar-2024.xlsx]D-PS'!</v>
      </c>
      <c r="G4160" s="32" t="s">
        <v>125</v>
      </c>
      <c r="H4160" s="33">
        <f t="shared" si="992"/>
        <v>28</v>
      </c>
      <c r="I4160" s="33" t="str">
        <f t="shared" si="991"/>
        <v>='C:\Users\jaime.benazar\Quorum Business Solutions\Ecopetrol Prometeo - Documents\Planning Space Implementation\3. Analysis &amp; Design\Design\FC22\DRR Jaime\Neiva CPI\[DINA TERCIARIOS_CF_SEC_New_27-Mar-2024.xlsx]D-PS'!$CB$28</v>
      </c>
      <c r="J4160" s="37" t="s">
        <v>3832</v>
      </c>
    </row>
    <row r="4161" spans="1:10" x14ac:dyDescent="0.3">
      <c r="A4161" s="32" t="s">
        <v>24</v>
      </c>
      <c r="B4161" s="32">
        <f t="shared" si="994"/>
        <v>2040</v>
      </c>
      <c r="C4161" s="33" t="s">
        <v>43</v>
      </c>
      <c r="D4161" s="34" t="s">
        <v>2002</v>
      </c>
      <c r="E4161" s="35" t="str">
        <f t="shared" si="989"/>
        <v>PS'!</v>
      </c>
      <c r="F4161" s="34" t="str">
        <f t="shared" si="990"/>
        <v>C:\Users\jaime.benazar\Quorum Business Solutions\Ecopetrol Prometeo - Documents\Planning Space Implementation\3. Analysis &amp; Design\Design\FC22\DRR Jaime\Neiva CPI\[DINA TERCIARIOS_CF_SEC_New_27-Mar-2024.xlsx]D-PS'!</v>
      </c>
      <c r="G4161" s="32" t="s">
        <v>125</v>
      </c>
      <c r="H4161" s="33">
        <f t="shared" si="992"/>
        <v>29</v>
      </c>
      <c r="I4161" s="33" t="str">
        <f t="shared" si="991"/>
        <v>='C:\Users\jaime.benazar\Quorum Business Solutions\Ecopetrol Prometeo - Documents\Planning Space Implementation\3. Analysis &amp; Design\Design\FC22\DRR Jaime\Neiva CPI\[DINA TERCIARIOS_CF_SEC_New_27-Mar-2024.xlsx]D-PS'!$CB$29</v>
      </c>
      <c r="J4161" s="37" t="s">
        <v>3833</v>
      </c>
    </row>
    <row r="4162" spans="1:10" x14ac:dyDescent="0.3">
      <c r="A4162" s="32" t="s">
        <v>24</v>
      </c>
      <c r="B4162" s="32">
        <f>+B4161+1</f>
        <v>2041</v>
      </c>
      <c r="C4162" s="33" t="s">
        <v>43</v>
      </c>
      <c r="D4162" s="34" t="s">
        <v>2002</v>
      </c>
      <c r="E4162" s="35" t="str">
        <f t="shared" si="989"/>
        <v>PS'!</v>
      </c>
      <c r="F4162" s="34" t="str">
        <f t="shared" si="990"/>
        <v>C:\Users\jaime.benazar\Quorum Business Solutions\Ecopetrol Prometeo - Documents\Planning Space Implementation\3. Analysis &amp; Design\Design\FC22\DRR Jaime\Neiva CPI\[DINA TERCIARIOS_CF_SEC_New_27-Mar-2024.xlsx]D-PS'!</v>
      </c>
      <c r="G4162" s="32" t="s">
        <v>125</v>
      </c>
      <c r="H4162" s="33">
        <f t="shared" si="992"/>
        <v>30</v>
      </c>
      <c r="I4162" s="33" t="str">
        <f t="shared" si="991"/>
        <v>='C:\Users\jaime.benazar\Quorum Business Solutions\Ecopetrol Prometeo - Documents\Planning Space Implementation\3. Analysis &amp; Design\Design\FC22\DRR Jaime\Neiva CPI\[DINA TERCIARIOS_CF_SEC_New_27-Mar-2024.xlsx]D-PS'!$CB$30</v>
      </c>
      <c r="J4162" s="37" t="s">
        <v>3834</v>
      </c>
    </row>
    <row r="4163" spans="1:10" x14ac:dyDescent="0.3">
      <c r="A4163" s="32" t="s">
        <v>24</v>
      </c>
      <c r="B4163" s="32">
        <f t="shared" ref="B4163:B4164" si="995">+B4162+1</f>
        <v>2042</v>
      </c>
      <c r="C4163" s="33" t="s">
        <v>43</v>
      </c>
      <c r="D4163" s="34" t="s">
        <v>2002</v>
      </c>
      <c r="E4163" s="35" t="str">
        <f t="shared" si="989"/>
        <v>PS'!</v>
      </c>
      <c r="F4163" s="34" t="str">
        <f t="shared" si="990"/>
        <v>C:\Users\jaime.benazar\Quorum Business Solutions\Ecopetrol Prometeo - Documents\Planning Space Implementation\3. Analysis &amp; Design\Design\FC22\DRR Jaime\Neiva CPI\[DINA TERCIARIOS_CF_SEC_New_27-Mar-2024.xlsx]D-PS'!</v>
      </c>
      <c r="G4163" s="32" t="s">
        <v>125</v>
      </c>
      <c r="H4163" s="33">
        <f t="shared" si="992"/>
        <v>31</v>
      </c>
      <c r="I4163" s="33" t="str">
        <f t="shared" si="991"/>
        <v>='C:\Users\jaime.benazar\Quorum Business Solutions\Ecopetrol Prometeo - Documents\Planning Space Implementation\3. Analysis &amp; Design\Design\FC22\DRR Jaime\Neiva CPI\[DINA TERCIARIOS_CF_SEC_New_27-Mar-2024.xlsx]D-PS'!$CB$31</v>
      </c>
      <c r="J4163" s="37" t="s">
        <v>3835</v>
      </c>
    </row>
    <row r="4164" spans="1:10" x14ac:dyDescent="0.3">
      <c r="A4164" s="32" t="s">
        <v>24</v>
      </c>
      <c r="B4164" s="32">
        <f t="shared" si="995"/>
        <v>2043</v>
      </c>
      <c r="C4164" s="33" t="s">
        <v>43</v>
      </c>
      <c r="D4164" s="34" t="s">
        <v>2002</v>
      </c>
      <c r="E4164" s="35" t="str">
        <f t="shared" si="989"/>
        <v>PS'!</v>
      </c>
      <c r="F4164" s="34" t="str">
        <f t="shared" si="990"/>
        <v>C:\Users\jaime.benazar\Quorum Business Solutions\Ecopetrol Prometeo - Documents\Planning Space Implementation\3. Analysis &amp; Design\Design\FC22\DRR Jaime\Neiva CPI\[DINA TERCIARIOS_CF_SEC_New_27-Mar-2024.xlsx]D-PS'!</v>
      </c>
      <c r="G4164" s="32" t="s">
        <v>125</v>
      </c>
      <c r="H4164" s="33">
        <f t="shared" si="992"/>
        <v>32</v>
      </c>
      <c r="I4164" s="33" t="str">
        <f t="shared" si="991"/>
        <v>='C:\Users\jaime.benazar\Quorum Business Solutions\Ecopetrol Prometeo - Documents\Planning Space Implementation\3. Analysis &amp; Design\Design\FC22\DRR Jaime\Neiva CPI\[DINA TERCIARIOS_CF_SEC_New_27-Mar-2024.xlsx]D-PS'!$CB$32</v>
      </c>
      <c r="J4164" s="37" t="s">
        <v>3836</v>
      </c>
    </row>
    <row r="4165" spans="1:10" x14ac:dyDescent="0.3">
      <c r="A4165" s="32" t="s">
        <v>24</v>
      </c>
      <c r="B4165" s="32">
        <f>+B4164+1</f>
        <v>2044</v>
      </c>
      <c r="C4165" s="33" t="s">
        <v>43</v>
      </c>
      <c r="D4165" s="34" t="s">
        <v>2002</v>
      </c>
      <c r="E4165" s="35" t="str">
        <f t="shared" ref="E4165:E4180" si="996">_xlfn.CONCAT(A4165,"'!")</f>
        <v>PS'!</v>
      </c>
      <c r="F4165" s="34" t="str">
        <f t="shared" ref="F4165:F4180" si="997">_xlfn.CONCAT(D4165:E4165)</f>
        <v>C:\Users\jaime.benazar\Quorum Business Solutions\Ecopetrol Prometeo - Documents\Planning Space Implementation\3. Analysis &amp; Design\Design\FC22\DRR Jaime\Neiva CPI\[DINA TERCIARIOS_CF_SEC_New_27-Mar-2024.xlsx]D-PS'!</v>
      </c>
      <c r="G4165" s="32" t="s">
        <v>125</v>
      </c>
      <c r="H4165" s="33">
        <f t="shared" ref="H4165:H4180" si="998">IF(A4165&lt;&gt;A4164,12,H4164+1)</f>
        <v>33</v>
      </c>
      <c r="I4165" s="33" t="str">
        <f t="shared" ref="I4165:I4180" si="999">_xlfn.CONCAT("='",F4165:H4165)</f>
        <v>='C:\Users\jaime.benazar\Quorum Business Solutions\Ecopetrol Prometeo - Documents\Planning Space Implementation\3. Analysis &amp; Design\Design\FC22\DRR Jaime\Neiva CPI\[DINA TERCIARIOS_CF_SEC_New_27-Mar-2024.xlsx]D-PS'!$CB$33</v>
      </c>
      <c r="J4165" s="37" t="s">
        <v>3837</v>
      </c>
    </row>
    <row r="4166" spans="1:10" x14ac:dyDescent="0.3">
      <c r="A4166" s="32" t="s">
        <v>24</v>
      </c>
      <c r="B4166" s="32">
        <f t="shared" ref="B4166:B4180" si="1000">+B4165+1</f>
        <v>2045</v>
      </c>
      <c r="C4166" s="33" t="s">
        <v>43</v>
      </c>
      <c r="D4166" s="34" t="s">
        <v>2002</v>
      </c>
      <c r="E4166" s="35" t="str">
        <f t="shared" si="996"/>
        <v>PS'!</v>
      </c>
      <c r="F4166" s="34" t="str">
        <f t="shared" si="997"/>
        <v>C:\Users\jaime.benazar\Quorum Business Solutions\Ecopetrol Prometeo - Documents\Planning Space Implementation\3. Analysis &amp; Design\Design\FC22\DRR Jaime\Neiva CPI\[DINA TERCIARIOS_CF_SEC_New_27-Mar-2024.xlsx]D-PS'!</v>
      </c>
      <c r="G4166" s="32" t="s">
        <v>125</v>
      </c>
      <c r="H4166" s="33">
        <f t="shared" si="998"/>
        <v>34</v>
      </c>
      <c r="I4166" s="33" t="str">
        <f t="shared" si="999"/>
        <v>='C:\Users\jaime.benazar\Quorum Business Solutions\Ecopetrol Prometeo - Documents\Planning Space Implementation\3. Analysis &amp; Design\Design\FC22\DRR Jaime\Neiva CPI\[DINA TERCIARIOS_CF_SEC_New_27-Mar-2024.xlsx]D-PS'!$CB$34</v>
      </c>
      <c r="J4166" s="37" t="s">
        <v>3838</v>
      </c>
    </row>
    <row r="4167" spans="1:10" x14ac:dyDescent="0.3">
      <c r="A4167" s="32" t="s">
        <v>24</v>
      </c>
      <c r="B4167" s="32">
        <f t="shared" si="1000"/>
        <v>2046</v>
      </c>
      <c r="C4167" s="33" t="s">
        <v>43</v>
      </c>
      <c r="D4167" s="34" t="s">
        <v>2002</v>
      </c>
      <c r="E4167" s="35" t="str">
        <f t="shared" si="996"/>
        <v>PS'!</v>
      </c>
      <c r="F4167" s="34" t="str">
        <f t="shared" si="997"/>
        <v>C:\Users\jaime.benazar\Quorum Business Solutions\Ecopetrol Prometeo - Documents\Planning Space Implementation\3. Analysis &amp; Design\Design\FC22\DRR Jaime\Neiva CPI\[DINA TERCIARIOS_CF_SEC_New_27-Mar-2024.xlsx]D-PS'!</v>
      </c>
      <c r="G4167" s="32" t="s">
        <v>125</v>
      </c>
      <c r="H4167" s="33">
        <f t="shared" si="998"/>
        <v>35</v>
      </c>
      <c r="I4167" s="33" t="str">
        <f t="shared" si="999"/>
        <v>='C:\Users\jaime.benazar\Quorum Business Solutions\Ecopetrol Prometeo - Documents\Planning Space Implementation\3. Analysis &amp; Design\Design\FC22\DRR Jaime\Neiva CPI\[DINA TERCIARIOS_CF_SEC_New_27-Mar-2024.xlsx]D-PS'!$CB$35</v>
      </c>
      <c r="J4167" s="37" t="s">
        <v>3839</v>
      </c>
    </row>
    <row r="4168" spans="1:10" x14ac:dyDescent="0.3">
      <c r="A4168" s="32" t="s">
        <v>24</v>
      </c>
      <c r="B4168" s="32">
        <f t="shared" si="1000"/>
        <v>2047</v>
      </c>
      <c r="C4168" s="33" t="s">
        <v>43</v>
      </c>
      <c r="D4168" s="34" t="s">
        <v>2002</v>
      </c>
      <c r="E4168" s="35" t="str">
        <f t="shared" si="996"/>
        <v>PS'!</v>
      </c>
      <c r="F4168" s="34" t="str">
        <f t="shared" si="997"/>
        <v>C:\Users\jaime.benazar\Quorum Business Solutions\Ecopetrol Prometeo - Documents\Planning Space Implementation\3. Analysis &amp; Design\Design\FC22\DRR Jaime\Neiva CPI\[DINA TERCIARIOS_CF_SEC_New_27-Mar-2024.xlsx]D-PS'!</v>
      </c>
      <c r="G4168" s="32" t="s">
        <v>125</v>
      </c>
      <c r="H4168" s="33">
        <f t="shared" si="998"/>
        <v>36</v>
      </c>
      <c r="I4168" s="33" t="str">
        <f t="shared" si="999"/>
        <v>='C:\Users\jaime.benazar\Quorum Business Solutions\Ecopetrol Prometeo - Documents\Planning Space Implementation\3. Analysis &amp; Design\Design\FC22\DRR Jaime\Neiva CPI\[DINA TERCIARIOS_CF_SEC_New_27-Mar-2024.xlsx]D-PS'!$CB$36</v>
      </c>
      <c r="J4168" s="37" t="s">
        <v>3840</v>
      </c>
    </row>
    <row r="4169" spans="1:10" x14ac:dyDescent="0.3">
      <c r="A4169" s="32" t="s">
        <v>24</v>
      </c>
      <c r="B4169" s="32">
        <f t="shared" si="1000"/>
        <v>2048</v>
      </c>
      <c r="C4169" s="33" t="s">
        <v>43</v>
      </c>
      <c r="D4169" s="34" t="s">
        <v>2002</v>
      </c>
      <c r="E4169" s="35" t="str">
        <f t="shared" si="996"/>
        <v>PS'!</v>
      </c>
      <c r="F4169" s="34" t="str">
        <f t="shared" si="997"/>
        <v>C:\Users\jaime.benazar\Quorum Business Solutions\Ecopetrol Prometeo - Documents\Planning Space Implementation\3. Analysis &amp; Design\Design\FC22\DRR Jaime\Neiva CPI\[DINA TERCIARIOS_CF_SEC_New_27-Mar-2024.xlsx]D-PS'!</v>
      </c>
      <c r="G4169" s="32" t="s">
        <v>125</v>
      </c>
      <c r="H4169" s="33">
        <f t="shared" si="998"/>
        <v>37</v>
      </c>
      <c r="I4169" s="33" t="str">
        <f t="shared" si="999"/>
        <v>='C:\Users\jaime.benazar\Quorum Business Solutions\Ecopetrol Prometeo - Documents\Planning Space Implementation\3. Analysis &amp; Design\Design\FC22\DRR Jaime\Neiva CPI\[DINA TERCIARIOS_CF_SEC_New_27-Mar-2024.xlsx]D-PS'!$CB$37</v>
      </c>
      <c r="J4169" s="37" t="s">
        <v>3841</v>
      </c>
    </row>
    <row r="4170" spans="1:10" x14ac:dyDescent="0.3">
      <c r="A4170" s="32" t="s">
        <v>24</v>
      </c>
      <c r="B4170" s="32">
        <f t="shared" si="1000"/>
        <v>2049</v>
      </c>
      <c r="C4170" s="33" t="s">
        <v>43</v>
      </c>
      <c r="D4170" s="34" t="s">
        <v>2002</v>
      </c>
      <c r="E4170" s="35" t="str">
        <f t="shared" si="996"/>
        <v>PS'!</v>
      </c>
      <c r="F4170" s="34" t="str">
        <f t="shared" si="997"/>
        <v>C:\Users\jaime.benazar\Quorum Business Solutions\Ecopetrol Prometeo - Documents\Planning Space Implementation\3. Analysis &amp; Design\Design\FC22\DRR Jaime\Neiva CPI\[DINA TERCIARIOS_CF_SEC_New_27-Mar-2024.xlsx]D-PS'!</v>
      </c>
      <c r="G4170" s="32" t="s">
        <v>125</v>
      </c>
      <c r="H4170" s="33">
        <f t="shared" si="998"/>
        <v>38</v>
      </c>
      <c r="I4170" s="33" t="str">
        <f t="shared" si="999"/>
        <v>='C:\Users\jaime.benazar\Quorum Business Solutions\Ecopetrol Prometeo - Documents\Planning Space Implementation\3. Analysis &amp; Design\Design\FC22\DRR Jaime\Neiva CPI\[DINA TERCIARIOS_CF_SEC_New_27-Mar-2024.xlsx]D-PS'!$CB$38</v>
      </c>
      <c r="J4170" s="37" t="s">
        <v>3842</v>
      </c>
    </row>
    <row r="4171" spans="1:10" x14ac:dyDescent="0.3">
      <c r="A4171" s="32" t="s">
        <v>24</v>
      </c>
      <c r="B4171" s="32">
        <f t="shared" si="1000"/>
        <v>2050</v>
      </c>
      <c r="C4171" s="33" t="s">
        <v>43</v>
      </c>
      <c r="D4171" s="34" t="s">
        <v>2002</v>
      </c>
      <c r="E4171" s="35" t="str">
        <f t="shared" si="996"/>
        <v>PS'!</v>
      </c>
      <c r="F4171" s="34" t="str">
        <f t="shared" si="997"/>
        <v>C:\Users\jaime.benazar\Quorum Business Solutions\Ecopetrol Prometeo - Documents\Planning Space Implementation\3. Analysis &amp; Design\Design\FC22\DRR Jaime\Neiva CPI\[DINA TERCIARIOS_CF_SEC_New_27-Mar-2024.xlsx]D-PS'!</v>
      </c>
      <c r="G4171" s="32" t="s">
        <v>125</v>
      </c>
      <c r="H4171" s="33">
        <f t="shared" si="998"/>
        <v>39</v>
      </c>
      <c r="I4171" s="33" t="str">
        <f t="shared" si="999"/>
        <v>='C:\Users\jaime.benazar\Quorum Business Solutions\Ecopetrol Prometeo - Documents\Planning Space Implementation\3. Analysis &amp; Design\Design\FC22\DRR Jaime\Neiva CPI\[DINA TERCIARIOS_CF_SEC_New_27-Mar-2024.xlsx]D-PS'!$CB$39</v>
      </c>
      <c r="J4171" s="37" t="s">
        <v>3843</v>
      </c>
    </row>
    <row r="4172" spans="1:10" x14ac:dyDescent="0.3">
      <c r="A4172" s="32" t="s">
        <v>24</v>
      </c>
      <c r="B4172" s="32">
        <f t="shared" si="1000"/>
        <v>2051</v>
      </c>
      <c r="C4172" s="33" t="s">
        <v>43</v>
      </c>
      <c r="D4172" s="34" t="s">
        <v>2002</v>
      </c>
      <c r="E4172" s="35" t="str">
        <f t="shared" si="996"/>
        <v>PS'!</v>
      </c>
      <c r="F4172" s="34" t="str">
        <f t="shared" si="997"/>
        <v>C:\Users\jaime.benazar\Quorum Business Solutions\Ecopetrol Prometeo - Documents\Planning Space Implementation\3. Analysis &amp; Design\Design\FC22\DRR Jaime\Neiva CPI\[DINA TERCIARIOS_CF_SEC_New_27-Mar-2024.xlsx]D-PS'!</v>
      </c>
      <c r="G4172" s="32" t="s">
        <v>125</v>
      </c>
      <c r="H4172" s="33">
        <f t="shared" si="998"/>
        <v>40</v>
      </c>
      <c r="I4172" s="33" t="str">
        <f t="shared" si="999"/>
        <v>='C:\Users\jaime.benazar\Quorum Business Solutions\Ecopetrol Prometeo - Documents\Planning Space Implementation\3. Analysis &amp; Design\Design\FC22\DRR Jaime\Neiva CPI\[DINA TERCIARIOS_CF_SEC_New_27-Mar-2024.xlsx]D-PS'!$CB$40</v>
      </c>
      <c r="J4172" s="37" t="s">
        <v>3844</v>
      </c>
    </row>
    <row r="4173" spans="1:10" x14ac:dyDescent="0.3">
      <c r="A4173" s="32" t="s">
        <v>24</v>
      </c>
      <c r="B4173" s="32">
        <f t="shared" si="1000"/>
        <v>2052</v>
      </c>
      <c r="C4173" s="33" t="s">
        <v>43</v>
      </c>
      <c r="D4173" s="34" t="s">
        <v>2002</v>
      </c>
      <c r="E4173" s="35" t="str">
        <f t="shared" si="996"/>
        <v>PS'!</v>
      </c>
      <c r="F4173" s="34" t="str">
        <f t="shared" si="997"/>
        <v>C:\Users\jaime.benazar\Quorum Business Solutions\Ecopetrol Prometeo - Documents\Planning Space Implementation\3. Analysis &amp; Design\Design\FC22\DRR Jaime\Neiva CPI\[DINA TERCIARIOS_CF_SEC_New_27-Mar-2024.xlsx]D-PS'!</v>
      </c>
      <c r="G4173" s="32" t="s">
        <v>125</v>
      </c>
      <c r="H4173" s="33">
        <f t="shared" si="998"/>
        <v>41</v>
      </c>
      <c r="I4173" s="33" t="str">
        <f t="shared" si="999"/>
        <v>='C:\Users\jaime.benazar\Quorum Business Solutions\Ecopetrol Prometeo - Documents\Planning Space Implementation\3. Analysis &amp; Design\Design\FC22\DRR Jaime\Neiva CPI\[DINA TERCIARIOS_CF_SEC_New_27-Mar-2024.xlsx]D-PS'!$CB$41</v>
      </c>
      <c r="J4173" s="37" t="s">
        <v>3845</v>
      </c>
    </row>
    <row r="4174" spans="1:10" x14ac:dyDescent="0.3">
      <c r="A4174" s="32" t="s">
        <v>24</v>
      </c>
      <c r="B4174" s="32">
        <f t="shared" si="1000"/>
        <v>2053</v>
      </c>
      <c r="C4174" s="33" t="s">
        <v>43</v>
      </c>
      <c r="D4174" s="34" t="s">
        <v>2002</v>
      </c>
      <c r="E4174" s="35" t="str">
        <f t="shared" si="996"/>
        <v>PS'!</v>
      </c>
      <c r="F4174" s="34" t="str">
        <f t="shared" si="997"/>
        <v>C:\Users\jaime.benazar\Quorum Business Solutions\Ecopetrol Prometeo - Documents\Planning Space Implementation\3. Analysis &amp; Design\Design\FC22\DRR Jaime\Neiva CPI\[DINA TERCIARIOS_CF_SEC_New_27-Mar-2024.xlsx]D-PS'!</v>
      </c>
      <c r="G4174" s="32" t="s">
        <v>125</v>
      </c>
      <c r="H4174" s="33">
        <f t="shared" si="998"/>
        <v>42</v>
      </c>
      <c r="I4174" s="33" t="str">
        <f t="shared" si="999"/>
        <v>='C:\Users\jaime.benazar\Quorum Business Solutions\Ecopetrol Prometeo - Documents\Planning Space Implementation\3. Analysis &amp; Design\Design\FC22\DRR Jaime\Neiva CPI\[DINA TERCIARIOS_CF_SEC_New_27-Mar-2024.xlsx]D-PS'!$CB$42</v>
      </c>
      <c r="J4174" s="37" t="s">
        <v>3846</v>
      </c>
    </row>
    <row r="4175" spans="1:10" x14ac:dyDescent="0.3">
      <c r="A4175" s="32" t="s">
        <v>24</v>
      </c>
      <c r="B4175" s="32">
        <f t="shared" si="1000"/>
        <v>2054</v>
      </c>
      <c r="C4175" s="33" t="s">
        <v>43</v>
      </c>
      <c r="D4175" s="34" t="s">
        <v>2002</v>
      </c>
      <c r="E4175" s="35" t="str">
        <f t="shared" si="996"/>
        <v>PS'!</v>
      </c>
      <c r="F4175" s="34" t="str">
        <f t="shared" si="997"/>
        <v>C:\Users\jaime.benazar\Quorum Business Solutions\Ecopetrol Prometeo - Documents\Planning Space Implementation\3. Analysis &amp; Design\Design\FC22\DRR Jaime\Neiva CPI\[DINA TERCIARIOS_CF_SEC_New_27-Mar-2024.xlsx]D-PS'!</v>
      </c>
      <c r="G4175" s="32" t="s">
        <v>125</v>
      </c>
      <c r="H4175" s="33">
        <f t="shared" si="998"/>
        <v>43</v>
      </c>
      <c r="I4175" s="33" t="str">
        <f t="shared" si="999"/>
        <v>='C:\Users\jaime.benazar\Quorum Business Solutions\Ecopetrol Prometeo - Documents\Planning Space Implementation\3. Analysis &amp; Design\Design\FC22\DRR Jaime\Neiva CPI\[DINA TERCIARIOS_CF_SEC_New_27-Mar-2024.xlsx]D-PS'!$CB$43</v>
      </c>
      <c r="J4175" s="37" t="s">
        <v>3847</v>
      </c>
    </row>
    <row r="4176" spans="1:10" x14ac:dyDescent="0.3">
      <c r="A4176" s="32" t="s">
        <v>24</v>
      </c>
      <c r="B4176" s="32">
        <f t="shared" si="1000"/>
        <v>2055</v>
      </c>
      <c r="C4176" s="33" t="s">
        <v>43</v>
      </c>
      <c r="D4176" s="34" t="s">
        <v>2002</v>
      </c>
      <c r="E4176" s="35" t="str">
        <f t="shared" si="996"/>
        <v>PS'!</v>
      </c>
      <c r="F4176" s="34" t="str">
        <f t="shared" si="997"/>
        <v>C:\Users\jaime.benazar\Quorum Business Solutions\Ecopetrol Prometeo - Documents\Planning Space Implementation\3. Analysis &amp; Design\Design\FC22\DRR Jaime\Neiva CPI\[DINA TERCIARIOS_CF_SEC_New_27-Mar-2024.xlsx]D-PS'!</v>
      </c>
      <c r="G4176" s="32" t="s">
        <v>125</v>
      </c>
      <c r="H4176" s="33">
        <f t="shared" si="998"/>
        <v>44</v>
      </c>
      <c r="I4176" s="33" t="str">
        <f t="shared" si="999"/>
        <v>='C:\Users\jaime.benazar\Quorum Business Solutions\Ecopetrol Prometeo - Documents\Planning Space Implementation\3. Analysis &amp; Design\Design\FC22\DRR Jaime\Neiva CPI\[DINA TERCIARIOS_CF_SEC_New_27-Mar-2024.xlsx]D-PS'!$CB$44</v>
      </c>
      <c r="J4176" s="37" t="s">
        <v>3848</v>
      </c>
    </row>
    <row r="4177" spans="1:10" x14ac:dyDescent="0.3">
      <c r="A4177" s="32" t="s">
        <v>24</v>
      </c>
      <c r="B4177" s="32">
        <f t="shared" si="1000"/>
        <v>2056</v>
      </c>
      <c r="C4177" s="33" t="s">
        <v>43</v>
      </c>
      <c r="D4177" s="34" t="s">
        <v>2002</v>
      </c>
      <c r="E4177" s="35" t="str">
        <f t="shared" si="996"/>
        <v>PS'!</v>
      </c>
      <c r="F4177" s="34" t="str">
        <f t="shared" si="997"/>
        <v>C:\Users\jaime.benazar\Quorum Business Solutions\Ecopetrol Prometeo - Documents\Planning Space Implementation\3. Analysis &amp; Design\Design\FC22\DRR Jaime\Neiva CPI\[DINA TERCIARIOS_CF_SEC_New_27-Mar-2024.xlsx]D-PS'!</v>
      </c>
      <c r="G4177" s="32" t="s">
        <v>125</v>
      </c>
      <c r="H4177" s="33">
        <f t="shared" si="998"/>
        <v>45</v>
      </c>
      <c r="I4177" s="33" t="str">
        <f t="shared" si="999"/>
        <v>='C:\Users\jaime.benazar\Quorum Business Solutions\Ecopetrol Prometeo - Documents\Planning Space Implementation\3. Analysis &amp; Design\Design\FC22\DRR Jaime\Neiva CPI\[DINA TERCIARIOS_CF_SEC_New_27-Mar-2024.xlsx]D-PS'!$CB$45</v>
      </c>
      <c r="J4177" s="37" t="s">
        <v>3849</v>
      </c>
    </row>
    <row r="4178" spans="1:10" x14ac:dyDescent="0.3">
      <c r="A4178" s="32" t="s">
        <v>24</v>
      </c>
      <c r="B4178" s="32">
        <f t="shared" si="1000"/>
        <v>2057</v>
      </c>
      <c r="C4178" s="33" t="s">
        <v>43</v>
      </c>
      <c r="D4178" s="34" t="s">
        <v>2002</v>
      </c>
      <c r="E4178" s="35" t="str">
        <f t="shared" si="996"/>
        <v>PS'!</v>
      </c>
      <c r="F4178" s="34" t="str">
        <f t="shared" si="997"/>
        <v>C:\Users\jaime.benazar\Quorum Business Solutions\Ecopetrol Prometeo - Documents\Planning Space Implementation\3. Analysis &amp; Design\Design\FC22\DRR Jaime\Neiva CPI\[DINA TERCIARIOS_CF_SEC_New_27-Mar-2024.xlsx]D-PS'!</v>
      </c>
      <c r="G4178" s="32" t="s">
        <v>125</v>
      </c>
      <c r="H4178" s="33">
        <f t="shared" si="998"/>
        <v>46</v>
      </c>
      <c r="I4178" s="33" t="str">
        <f t="shared" si="999"/>
        <v>='C:\Users\jaime.benazar\Quorum Business Solutions\Ecopetrol Prometeo - Documents\Planning Space Implementation\3. Analysis &amp; Design\Design\FC22\DRR Jaime\Neiva CPI\[DINA TERCIARIOS_CF_SEC_New_27-Mar-2024.xlsx]D-PS'!$CB$46</v>
      </c>
      <c r="J4178" s="37" t="s">
        <v>3850</v>
      </c>
    </row>
    <row r="4179" spans="1:10" x14ac:dyDescent="0.3">
      <c r="A4179" s="32" t="s">
        <v>24</v>
      </c>
      <c r="B4179" s="32">
        <f t="shared" si="1000"/>
        <v>2058</v>
      </c>
      <c r="C4179" s="33" t="s">
        <v>43</v>
      </c>
      <c r="D4179" s="34" t="s">
        <v>2002</v>
      </c>
      <c r="E4179" s="35" t="str">
        <f t="shared" si="996"/>
        <v>PS'!</v>
      </c>
      <c r="F4179" s="34" t="str">
        <f t="shared" si="997"/>
        <v>C:\Users\jaime.benazar\Quorum Business Solutions\Ecopetrol Prometeo - Documents\Planning Space Implementation\3. Analysis &amp; Design\Design\FC22\DRR Jaime\Neiva CPI\[DINA TERCIARIOS_CF_SEC_New_27-Mar-2024.xlsx]D-PS'!</v>
      </c>
      <c r="G4179" s="32" t="s">
        <v>125</v>
      </c>
      <c r="H4179" s="33">
        <f t="shared" si="998"/>
        <v>47</v>
      </c>
      <c r="I4179" s="33" t="str">
        <f t="shared" si="999"/>
        <v>='C:\Users\jaime.benazar\Quorum Business Solutions\Ecopetrol Prometeo - Documents\Planning Space Implementation\3. Analysis &amp; Design\Design\FC22\DRR Jaime\Neiva CPI\[DINA TERCIARIOS_CF_SEC_New_27-Mar-2024.xlsx]D-PS'!$CB$47</v>
      </c>
      <c r="J4179" s="37" t="s">
        <v>3851</v>
      </c>
    </row>
    <row r="4180" spans="1:10" x14ac:dyDescent="0.3">
      <c r="A4180" s="32" t="s">
        <v>24</v>
      </c>
      <c r="B4180" s="32">
        <f t="shared" si="1000"/>
        <v>2059</v>
      </c>
      <c r="C4180" s="33" t="s">
        <v>43</v>
      </c>
      <c r="D4180" s="34" t="s">
        <v>2002</v>
      </c>
      <c r="E4180" s="35" t="str">
        <f t="shared" si="996"/>
        <v>PS'!</v>
      </c>
      <c r="F4180" s="34" t="str">
        <f t="shared" si="997"/>
        <v>C:\Users\jaime.benazar\Quorum Business Solutions\Ecopetrol Prometeo - Documents\Planning Space Implementation\3. Analysis &amp; Design\Design\FC22\DRR Jaime\Neiva CPI\[DINA TERCIARIOS_CF_SEC_New_27-Mar-2024.xlsx]D-PS'!</v>
      </c>
      <c r="G4180" s="32" t="s">
        <v>125</v>
      </c>
      <c r="H4180" s="33">
        <f t="shared" si="998"/>
        <v>48</v>
      </c>
      <c r="I4180" s="33" t="str">
        <f t="shared" si="999"/>
        <v>='C:\Users\jaime.benazar\Quorum Business Solutions\Ecopetrol Prometeo - Documents\Planning Space Implementation\3. Analysis &amp; Design\Design\FC22\DRR Jaime\Neiva CPI\[DINA TERCIARIOS_CF_SEC_New_27-Mar-2024.xlsx]D-PS'!$CB$48</v>
      </c>
      <c r="J4180" s="37" t="s">
        <v>3852</v>
      </c>
    </row>
    <row r="4181" spans="1:10" x14ac:dyDescent="0.3">
      <c r="A4181" s="32" t="s">
        <v>26</v>
      </c>
      <c r="B4181" s="32"/>
      <c r="C4181" s="33" t="s">
        <v>43</v>
      </c>
      <c r="D4181" s="34"/>
      <c r="E4181" s="35"/>
      <c r="F4181" s="34"/>
      <c r="G4181" s="32"/>
      <c r="H4181" s="33"/>
      <c r="I4181" s="33"/>
      <c r="J4181" s="33"/>
    </row>
    <row r="4182" spans="1:10" x14ac:dyDescent="0.3">
      <c r="A4182" s="32" t="s">
        <v>114</v>
      </c>
      <c r="B4182" s="32" t="s">
        <v>14</v>
      </c>
      <c r="C4182" s="33" t="s">
        <v>115</v>
      </c>
      <c r="D4182" s="34" t="s">
        <v>2001</v>
      </c>
      <c r="E4182" s="35" t="str">
        <f t="shared" si="989"/>
        <v>Consolidado'!</v>
      </c>
      <c r="F4182" s="34" t="str">
        <f>_xlfn.CONCAT(D4182:E4182)</f>
        <v>C:\Users\jaime.benazar\Quorum Business Solutions\Ecopetrol Prometeo - Documents\Planning Space Implementation\3. Analysis &amp; Design\Design\FC22\DRR Jaime\Neiva CPI\[DINA TERCIARIOS_CF_SEC_New_27-Mar-2024.xlsx]Consolidado'!</v>
      </c>
      <c r="G4182" s="32" t="s">
        <v>116</v>
      </c>
      <c r="H4182" s="33">
        <f t="shared" ref="H4182:H4183" si="1001">IF(A4182&lt;&gt;A4181,12,H4181+1)</f>
        <v>12</v>
      </c>
      <c r="I4182" s="33" t="str">
        <f t="shared" ref="I4182:I4203" si="1002">_xlfn.CONCAT("='",F4182:H4182)</f>
        <v>='C:\Users\jaime.benazar\Quorum Business Solutions\Ecopetrol Prometeo - Documents\Planning Space Implementation\3. Analysis &amp; Design\Design\FC22\DRR Jaime\Neiva CPI\[DINA TERCIARIOS_CF_SEC_New_27-Mar-2024.xlsx]Consolidado'!$J$12</v>
      </c>
      <c r="J4182" s="33" t="s">
        <v>3853</v>
      </c>
    </row>
    <row r="4183" spans="1:10" x14ac:dyDescent="0.3">
      <c r="A4183" s="32" t="s">
        <v>114</v>
      </c>
      <c r="B4183" s="32" t="s">
        <v>15</v>
      </c>
      <c r="C4183" s="33" t="s">
        <v>115</v>
      </c>
      <c r="D4183" s="34" t="s">
        <v>2001</v>
      </c>
      <c r="E4183" s="35" t="str">
        <f t="shared" ref="E4183:E4203" si="1003">_xlfn.CONCAT(A4183,"'!")</f>
        <v>Consolidado'!</v>
      </c>
      <c r="F4183" s="34" t="str">
        <f t="shared" ref="F4183:F4203" si="1004">_xlfn.CONCAT(D4183:E4183)</f>
        <v>C:\Users\jaime.benazar\Quorum Business Solutions\Ecopetrol Prometeo - Documents\Planning Space Implementation\3. Analysis &amp; Design\Design\FC22\DRR Jaime\Neiva CPI\[DINA TERCIARIOS_CF_SEC_New_27-Mar-2024.xlsx]Consolidado'!</v>
      </c>
      <c r="G4183" s="32" t="s">
        <v>116</v>
      </c>
      <c r="H4183" s="33">
        <f t="shared" si="1001"/>
        <v>13</v>
      </c>
      <c r="I4183" s="33" t="str">
        <f t="shared" si="1002"/>
        <v>='C:\Users\jaime.benazar\Quorum Business Solutions\Ecopetrol Prometeo - Documents\Planning Space Implementation\3. Analysis &amp; Design\Design\FC22\DRR Jaime\Neiva CPI\[DINA TERCIARIOS_CF_SEC_New_27-Mar-2024.xlsx]Consolidado'!$J$13</v>
      </c>
      <c r="J4183" s="33" t="s">
        <v>3854</v>
      </c>
    </row>
    <row r="4184" spans="1:10" x14ac:dyDescent="0.3">
      <c r="A4184" s="32" t="s">
        <v>114</v>
      </c>
      <c r="B4184" s="32" t="s">
        <v>16</v>
      </c>
      <c r="C4184" s="33" t="s">
        <v>115</v>
      </c>
      <c r="D4184" s="34" t="s">
        <v>2001</v>
      </c>
      <c r="E4184" s="35" t="str">
        <f t="shared" si="1003"/>
        <v>Consolidado'!</v>
      </c>
      <c r="F4184" s="34" t="str">
        <f t="shared" si="1004"/>
        <v>C:\Users\jaime.benazar\Quorum Business Solutions\Ecopetrol Prometeo - Documents\Planning Space Implementation\3. Analysis &amp; Design\Design\FC22\DRR Jaime\Neiva CPI\[DINA TERCIARIOS_CF_SEC_New_27-Mar-2024.xlsx]Consolidado'!</v>
      </c>
      <c r="G4184" s="32" t="s">
        <v>116</v>
      </c>
      <c r="H4184" s="33">
        <v>14</v>
      </c>
      <c r="I4184" s="33" t="str">
        <f t="shared" si="1002"/>
        <v>='C:\Users\jaime.benazar\Quorum Business Solutions\Ecopetrol Prometeo - Documents\Planning Space Implementation\3. Analysis &amp; Design\Design\FC22\DRR Jaime\Neiva CPI\[DINA TERCIARIOS_CF_SEC_New_27-Mar-2024.xlsx]Consolidado'!$J$14</v>
      </c>
      <c r="J4184" t="s">
        <v>3855</v>
      </c>
    </row>
    <row r="4185" spans="1:10" x14ac:dyDescent="0.3">
      <c r="A4185" s="32" t="s">
        <v>114</v>
      </c>
      <c r="B4185" s="32" t="s">
        <v>17</v>
      </c>
      <c r="C4185" s="33" t="s">
        <v>115</v>
      </c>
      <c r="D4185" s="34" t="s">
        <v>2001</v>
      </c>
      <c r="E4185" s="35" t="str">
        <f t="shared" si="1003"/>
        <v>Consolidado'!</v>
      </c>
      <c r="F4185" s="34" t="str">
        <f t="shared" si="1004"/>
        <v>C:\Users\jaime.benazar\Quorum Business Solutions\Ecopetrol Prometeo - Documents\Planning Space Implementation\3. Analysis &amp; Design\Design\FC22\DRR Jaime\Neiva CPI\[DINA TERCIARIOS_CF_SEC_New_27-Mar-2024.xlsx]Consolidado'!</v>
      </c>
      <c r="G4185" s="32" t="s">
        <v>116</v>
      </c>
      <c r="H4185" s="33">
        <v>17</v>
      </c>
      <c r="I4185" s="33" t="str">
        <f t="shared" si="1002"/>
        <v>='C:\Users\jaime.benazar\Quorum Business Solutions\Ecopetrol Prometeo - Documents\Planning Space Implementation\3. Analysis &amp; Design\Design\FC22\DRR Jaime\Neiva CPI\[DINA TERCIARIOS_CF_SEC_New_27-Mar-2024.xlsx]Consolidado'!$J$17</v>
      </c>
      <c r="J4185" t="s">
        <v>3856</v>
      </c>
    </row>
    <row r="4186" spans="1:10" x14ac:dyDescent="0.3">
      <c r="A4186" s="32" t="s">
        <v>114</v>
      </c>
      <c r="B4186" s="32" t="s">
        <v>18</v>
      </c>
      <c r="C4186" s="33" t="s">
        <v>115</v>
      </c>
      <c r="D4186" s="34" t="s">
        <v>2001</v>
      </c>
      <c r="E4186" s="35" t="str">
        <f t="shared" si="1003"/>
        <v>Consolidado'!</v>
      </c>
      <c r="F4186" s="34" t="str">
        <f t="shared" si="1004"/>
        <v>C:\Users\jaime.benazar\Quorum Business Solutions\Ecopetrol Prometeo - Documents\Planning Space Implementation\3. Analysis &amp; Design\Design\FC22\DRR Jaime\Neiva CPI\[DINA TERCIARIOS_CF_SEC_New_27-Mar-2024.xlsx]Consolidado'!</v>
      </c>
      <c r="G4186" s="32" t="s">
        <v>116</v>
      </c>
      <c r="H4186" s="33">
        <v>18</v>
      </c>
      <c r="I4186" s="33" t="str">
        <f t="shared" si="1002"/>
        <v>='C:\Users\jaime.benazar\Quorum Business Solutions\Ecopetrol Prometeo - Documents\Planning Space Implementation\3. Analysis &amp; Design\Design\FC22\DRR Jaime\Neiva CPI\[DINA TERCIARIOS_CF_SEC_New_27-Mar-2024.xlsx]Consolidado'!$J$18</v>
      </c>
      <c r="J4186" t="s">
        <v>3857</v>
      </c>
    </row>
    <row r="4187" spans="1:10" x14ac:dyDescent="0.3">
      <c r="A4187" s="32" t="s">
        <v>114</v>
      </c>
      <c r="B4187" s="32" t="s">
        <v>19</v>
      </c>
      <c r="C4187" s="33" t="s">
        <v>115</v>
      </c>
      <c r="D4187" s="34" t="s">
        <v>2001</v>
      </c>
      <c r="E4187" s="35" t="str">
        <f t="shared" si="1003"/>
        <v>Consolidado'!</v>
      </c>
      <c r="F4187" s="34" t="str">
        <f t="shared" si="1004"/>
        <v>C:\Users\jaime.benazar\Quorum Business Solutions\Ecopetrol Prometeo - Documents\Planning Space Implementation\3. Analysis &amp; Design\Design\FC22\DRR Jaime\Neiva CPI\[DINA TERCIARIOS_CF_SEC_New_27-Mar-2024.xlsx]Consolidado'!</v>
      </c>
      <c r="G4187" s="32" t="s">
        <v>116</v>
      </c>
      <c r="H4187" s="33">
        <v>19</v>
      </c>
      <c r="I4187" s="33" t="str">
        <f t="shared" si="1002"/>
        <v>='C:\Users\jaime.benazar\Quorum Business Solutions\Ecopetrol Prometeo - Documents\Planning Space Implementation\3. Analysis &amp; Design\Design\FC22\DRR Jaime\Neiva CPI\[DINA TERCIARIOS_CF_SEC_New_27-Mar-2024.xlsx]Consolidado'!$J$19</v>
      </c>
      <c r="J4187" t="s">
        <v>3858</v>
      </c>
    </row>
    <row r="4188" spans="1:10" x14ac:dyDescent="0.3">
      <c r="A4188" s="32" t="s">
        <v>114</v>
      </c>
      <c r="B4188" s="32" t="s">
        <v>20</v>
      </c>
      <c r="C4188" s="33" t="s">
        <v>115</v>
      </c>
      <c r="D4188" s="34" t="s">
        <v>2001</v>
      </c>
      <c r="E4188" s="35" t="str">
        <f t="shared" si="1003"/>
        <v>Consolidado'!</v>
      </c>
      <c r="F4188" s="34" t="str">
        <f t="shared" si="1004"/>
        <v>C:\Users\jaime.benazar\Quorum Business Solutions\Ecopetrol Prometeo - Documents\Planning Space Implementation\3. Analysis &amp; Design\Design\FC22\DRR Jaime\Neiva CPI\[DINA TERCIARIOS_CF_SEC_New_27-Mar-2024.xlsx]Consolidado'!</v>
      </c>
      <c r="G4188" s="32" t="s">
        <v>116</v>
      </c>
      <c r="H4188" s="33">
        <v>20</v>
      </c>
      <c r="I4188" s="33" t="str">
        <f t="shared" si="1002"/>
        <v>='C:\Users\jaime.benazar\Quorum Business Solutions\Ecopetrol Prometeo - Documents\Planning Space Implementation\3. Analysis &amp; Design\Design\FC22\DRR Jaime\Neiva CPI\[DINA TERCIARIOS_CF_SEC_New_27-Mar-2024.xlsx]Consolidado'!$J$20</v>
      </c>
      <c r="J4188" t="s">
        <v>3859</v>
      </c>
    </row>
    <row r="4189" spans="1:10" x14ac:dyDescent="0.3">
      <c r="A4189" s="32" t="s">
        <v>114</v>
      </c>
      <c r="B4189" s="32" t="s">
        <v>21</v>
      </c>
      <c r="C4189" s="33" t="s">
        <v>115</v>
      </c>
      <c r="D4189" s="34" t="s">
        <v>2001</v>
      </c>
      <c r="E4189" s="35" t="str">
        <f t="shared" si="1003"/>
        <v>Consolidado'!</v>
      </c>
      <c r="F4189" s="34" t="str">
        <f t="shared" si="1004"/>
        <v>C:\Users\jaime.benazar\Quorum Business Solutions\Ecopetrol Prometeo - Documents\Planning Space Implementation\3. Analysis &amp; Design\Design\FC22\DRR Jaime\Neiva CPI\[DINA TERCIARIOS_CF_SEC_New_27-Mar-2024.xlsx]Consolidado'!</v>
      </c>
      <c r="G4189" s="32" t="s">
        <v>116</v>
      </c>
      <c r="H4189" s="33">
        <v>22</v>
      </c>
      <c r="I4189" s="33" t="str">
        <f t="shared" si="1002"/>
        <v>='C:\Users\jaime.benazar\Quorum Business Solutions\Ecopetrol Prometeo - Documents\Planning Space Implementation\3. Analysis &amp; Design\Design\FC22\DRR Jaime\Neiva CPI\[DINA TERCIARIOS_CF_SEC_New_27-Mar-2024.xlsx]Consolidado'!$J$22</v>
      </c>
      <c r="J4189" t="s">
        <v>3860</v>
      </c>
    </row>
    <row r="4190" spans="1:10" x14ac:dyDescent="0.3">
      <c r="A4190" s="32" t="s">
        <v>114</v>
      </c>
      <c r="B4190" s="32" t="s">
        <v>22</v>
      </c>
      <c r="C4190" s="33" t="s">
        <v>115</v>
      </c>
      <c r="D4190" s="34" t="s">
        <v>2001</v>
      </c>
      <c r="E4190" s="35" t="str">
        <f t="shared" si="1003"/>
        <v>Consolidado'!</v>
      </c>
      <c r="F4190" s="34" t="str">
        <f t="shared" si="1004"/>
        <v>C:\Users\jaime.benazar\Quorum Business Solutions\Ecopetrol Prometeo - Documents\Planning Space Implementation\3. Analysis &amp; Design\Design\FC22\DRR Jaime\Neiva CPI\[DINA TERCIARIOS_CF_SEC_New_27-Mar-2024.xlsx]Consolidado'!</v>
      </c>
      <c r="G4190" s="32" t="s">
        <v>116</v>
      </c>
      <c r="H4190" s="33">
        <v>23</v>
      </c>
      <c r="I4190" s="33" t="str">
        <f t="shared" si="1002"/>
        <v>='C:\Users\jaime.benazar\Quorum Business Solutions\Ecopetrol Prometeo - Documents\Planning Space Implementation\3. Analysis &amp; Design\Design\FC22\DRR Jaime\Neiva CPI\[DINA TERCIARIOS_CF_SEC_New_27-Mar-2024.xlsx]Consolidado'!$J$23</v>
      </c>
      <c r="J4190" t="s">
        <v>3861</v>
      </c>
    </row>
    <row r="4191" spans="1:10" x14ac:dyDescent="0.3">
      <c r="A4191" s="32" t="s">
        <v>114</v>
      </c>
      <c r="B4191" s="32" t="s">
        <v>23</v>
      </c>
      <c r="C4191" s="33" t="s">
        <v>115</v>
      </c>
      <c r="D4191" s="34" t="s">
        <v>2001</v>
      </c>
      <c r="E4191" s="35" t="str">
        <f t="shared" si="1003"/>
        <v>Consolidado'!</v>
      </c>
      <c r="F4191" s="34" t="str">
        <f t="shared" si="1004"/>
        <v>C:\Users\jaime.benazar\Quorum Business Solutions\Ecopetrol Prometeo - Documents\Planning Space Implementation\3. Analysis &amp; Design\Design\FC22\DRR Jaime\Neiva CPI\[DINA TERCIARIOS_CF_SEC_New_27-Mar-2024.xlsx]Consolidado'!</v>
      </c>
      <c r="G4191" s="32" t="s">
        <v>116</v>
      </c>
      <c r="H4191" s="33">
        <v>24</v>
      </c>
      <c r="I4191" s="33" t="str">
        <f t="shared" si="1002"/>
        <v>='C:\Users\jaime.benazar\Quorum Business Solutions\Ecopetrol Prometeo - Documents\Planning Space Implementation\3. Analysis &amp; Design\Design\FC22\DRR Jaime\Neiva CPI\[DINA TERCIARIOS_CF_SEC_New_27-Mar-2024.xlsx]Consolidado'!$J$24</v>
      </c>
      <c r="J4191" t="s">
        <v>3862</v>
      </c>
    </row>
    <row r="4192" spans="1:10" x14ac:dyDescent="0.3">
      <c r="A4192" s="32" t="s">
        <v>114</v>
      </c>
      <c r="B4192" s="32" t="s">
        <v>24</v>
      </c>
      <c r="C4192" s="33" t="s">
        <v>115</v>
      </c>
      <c r="D4192" s="34" t="s">
        <v>2001</v>
      </c>
      <c r="E4192" s="35" t="str">
        <f t="shared" si="1003"/>
        <v>Consolidado'!</v>
      </c>
      <c r="F4192" s="34" t="str">
        <f t="shared" si="1004"/>
        <v>C:\Users\jaime.benazar\Quorum Business Solutions\Ecopetrol Prometeo - Documents\Planning Space Implementation\3. Analysis &amp; Design\Design\FC22\DRR Jaime\Neiva CPI\[DINA TERCIARIOS_CF_SEC_New_27-Mar-2024.xlsx]Consolidado'!</v>
      </c>
      <c r="G4192" s="32" t="s">
        <v>116</v>
      </c>
      <c r="H4192" s="33">
        <v>25</v>
      </c>
      <c r="I4192" s="33" t="str">
        <f t="shared" si="1002"/>
        <v>='C:\Users\jaime.benazar\Quorum Business Solutions\Ecopetrol Prometeo - Documents\Planning Space Implementation\3. Analysis &amp; Design\Design\FC22\DRR Jaime\Neiva CPI\[DINA TERCIARIOS_CF_SEC_New_27-Mar-2024.xlsx]Consolidado'!$J$25</v>
      </c>
      <c r="J4192" t="s">
        <v>3863</v>
      </c>
    </row>
    <row r="4193" spans="1:10" x14ac:dyDescent="0.3">
      <c r="A4193" s="32" t="s">
        <v>114</v>
      </c>
      <c r="B4193" s="32" t="s">
        <v>14</v>
      </c>
      <c r="C4193" s="33" t="s">
        <v>117</v>
      </c>
      <c r="D4193" s="34" t="s">
        <v>2001</v>
      </c>
      <c r="E4193" s="35" t="str">
        <f t="shared" si="1003"/>
        <v>Consolidado'!</v>
      </c>
      <c r="F4193" s="34" t="str">
        <f t="shared" si="1004"/>
        <v>C:\Users\jaime.benazar\Quorum Business Solutions\Ecopetrol Prometeo - Documents\Planning Space Implementation\3. Analysis &amp; Design\Design\FC22\DRR Jaime\Neiva CPI\[DINA TERCIARIOS_CF_SEC_New_27-Mar-2024.xlsx]Consolidado'!</v>
      </c>
      <c r="G4193" s="32" t="s">
        <v>118</v>
      </c>
      <c r="H4193" s="33">
        <f t="shared" ref="H4193:H4194" si="1005">IF(A4193&lt;&gt;A4192,12,H4192+1)</f>
        <v>26</v>
      </c>
      <c r="I4193" s="33" t="str">
        <f t="shared" si="1002"/>
        <v>='C:\Users\jaime.benazar\Quorum Business Solutions\Ecopetrol Prometeo - Documents\Planning Space Implementation\3. Analysis &amp; Design\Design\FC22\DRR Jaime\Neiva CPI\[DINA TERCIARIOS_CF_SEC_New_27-Mar-2024.xlsx]Consolidado'!$L$26</v>
      </c>
      <c r="J4193" t="s">
        <v>3864</v>
      </c>
    </row>
    <row r="4194" spans="1:10" x14ac:dyDescent="0.3">
      <c r="A4194" s="32" t="s">
        <v>114</v>
      </c>
      <c r="B4194" s="32" t="s">
        <v>15</v>
      </c>
      <c r="C4194" s="33" t="s">
        <v>117</v>
      </c>
      <c r="D4194" s="34" t="s">
        <v>2001</v>
      </c>
      <c r="E4194" s="35" t="str">
        <f t="shared" si="1003"/>
        <v>Consolidado'!</v>
      </c>
      <c r="F4194" s="34" t="str">
        <f t="shared" si="1004"/>
        <v>C:\Users\jaime.benazar\Quorum Business Solutions\Ecopetrol Prometeo - Documents\Planning Space Implementation\3. Analysis &amp; Design\Design\FC22\DRR Jaime\Neiva CPI\[DINA TERCIARIOS_CF_SEC_New_27-Mar-2024.xlsx]Consolidado'!</v>
      </c>
      <c r="G4194" s="32" t="s">
        <v>118</v>
      </c>
      <c r="H4194" s="33">
        <f t="shared" si="1005"/>
        <v>27</v>
      </c>
      <c r="I4194" s="33" t="str">
        <f t="shared" si="1002"/>
        <v>='C:\Users\jaime.benazar\Quorum Business Solutions\Ecopetrol Prometeo - Documents\Planning Space Implementation\3. Analysis &amp; Design\Design\FC22\DRR Jaime\Neiva CPI\[DINA TERCIARIOS_CF_SEC_New_27-Mar-2024.xlsx]Consolidado'!$L$27</v>
      </c>
      <c r="J4194" t="s">
        <v>3865</v>
      </c>
    </row>
    <row r="4195" spans="1:10" x14ac:dyDescent="0.3">
      <c r="A4195" s="32" t="s">
        <v>114</v>
      </c>
      <c r="B4195" s="32" t="s">
        <v>16</v>
      </c>
      <c r="C4195" s="33" t="s">
        <v>117</v>
      </c>
      <c r="D4195" s="34" t="s">
        <v>2001</v>
      </c>
      <c r="E4195" s="35" t="str">
        <f t="shared" si="1003"/>
        <v>Consolidado'!</v>
      </c>
      <c r="F4195" s="34" t="str">
        <f t="shared" si="1004"/>
        <v>C:\Users\jaime.benazar\Quorum Business Solutions\Ecopetrol Prometeo - Documents\Planning Space Implementation\3. Analysis &amp; Design\Design\FC22\DRR Jaime\Neiva CPI\[DINA TERCIARIOS_CF_SEC_New_27-Mar-2024.xlsx]Consolidado'!</v>
      </c>
      <c r="G4195" s="32" t="s">
        <v>118</v>
      </c>
      <c r="H4195" s="33">
        <v>14</v>
      </c>
      <c r="I4195" s="33" t="str">
        <f t="shared" si="1002"/>
        <v>='C:\Users\jaime.benazar\Quorum Business Solutions\Ecopetrol Prometeo - Documents\Planning Space Implementation\3. Analysis &amp; Design\Design\FC22\DRR Jaime\Neiva CPI\[DINA TERCIARIOS_CF_SEC_New_27-Mar-2024.xlsx]Consolidado'!$L$14</v>
      </c>
      <c r="J4195" t="s">
        <v>3866</v>
      </c>
    </row>
    <row r="4196" spans="1:10" x14ac:dyDescent="0.3">
      <c r="A4196" s="32" t="s">
        <v>114</v>
      </c>
      <c r="B4196" s="32" t="s">
        <v>17</v>
      </c>
      <c r="C4196" s="33" t="s">
        <v>117</v>
      </c>
      <c r="D4196" s="34" t="s">
        <v>2001</v>
      </c>
      <c r="E4196" s="35" t="str">
        <f t="shared" si="1003"/>
        <v>Consolidado'!</v>
      </c>
      <c r="F4196" s="34" t="str">
        <f t="shared" si="1004"/>
        <v>C:\Users\jaime.benazar\Quorum Business Solutions\Ecopetrol Prometeo - Documents\Planning Space Implementation\3. Analysis &amp; Design\Design\FC22\DRR Jaime\Neiva CPI\[DINA TERCIARIOS_CF_SEC_New_27-Mar-2024.xlsx]Consolidado'!</v>
      </c>
      <c r="G4196" s="32" t="s">
        <v>118</v>
      </c>
      <c r="H4196" s="33">
        <v>17</v>
      </c>
      <c r="I4196" s="33" t="str">
        <f t="shared" si="1002"/>
        <v>='C:\Users\jaime.benazar\Quorum Business Solutions\Ecopetrol Prometeo - Documents\Planning Space Implementation\3. Analysis &amp; Design\Design\FC22\DRR Jaime\Neiva CPI\[DINA TERCIARIOS_CF_SEC_New_27-Mar-2024.xlsx]Consolidado'!$L$17</v>
      </c>
      <c r="J4196" t="s">
        <v>3867</v>
      </c>
    </row>
    <row r="4197" spans="1:10" x14ac:dyDescent="0.3">
      <c r="A4197" s="32" t="s">
        <v>114</v>
      </c>
      <c r="B4197" s="32" t="s">
        <v>18</v>
      </c>
      <c r="C4197" s="33" t="s">
        <v>117</v>
      </c>
      <c r="D4197" s="34" t="s">
        <v>2001</v>
      </c>
      <c r="E4197" s="35" t="str">
        <f t="shared" si="1003"/>
        <v>Consolidado'!</v>
      </c>
      <c r="F4197" s="34" t="str">
        <f t="shared" si="1004"/>
        <v>C:\Users\jaime.benazar\Quorum Business Solutions\Ecopetrol Prometeo - Documents\Planning Space Implementation\3. Analysis &amp; Design\Design\FC22\DRR Jaime\Neiva CPI\[DINA TERCIARIOS_CF_SEC_New_27-Mar-2024.xlsx]Consolidado'!</v>
      </c>
      <c r="G4197" s="32" t="s">
        <v>118</v>
      </c>
      <c r="H4197" s="33">
        <v>18</v>
      </c>
      <c r="I4197" s="33" t="str">
        <f t="shared" si="1002"/>
        <v>='C:\Users\jaime.benazar\Quorum Business Solutions\Ecopetrol Prometeo - Documents\Planning Space Implementation\3. Analysis &amp; Design\Design\FC22\DRR Jaime\Neiva CPI\[DINA TERCIARIOS_CF_SEC_New_27-Mar-2024.xlsx]Consolidado'!$L$18</v>
      </c>
      <c r="J4197" t="s">
        <v>3868</v>
      </c>
    </row>
    <row r="4198" spans="1:10" x14ac:dyDescent="0.3">
      <c r="A4198" s="32" t="s">
        <v>114</v>
      </c>
      <c r="B4198" s="32" t="s">
        <v>19</v>
      </c>
      <c r="C4198" s="33" t="s">
        <v>117</v>
      </c>
      <c r="D4198" s="34" t="s">
        <v>2001</v>
      </c>
      <c r="E4198" s="35" t="str">
        <f t="shared" si="1003"/>
        <v>Consolidado'!</v>
      </c>
      <c r="F4198" s="34" t="str">
        <f t="shared" si="1004"/>
        <v>C:\Users\jaime.benazar\Quorum Business Solutions\Ecopetrol Prometeo - Documents\Planning Space Implementation\3. Analysis &amp; Design\Design\FC22\DRR Jaime\Neiva CPI\[DINA TERCIARIOS_CF_SEC_New_27-Mar-2024.xlsx]Consolidado'!</v>
      </c>
      <c r="G4198" s="32" t="s">
        <v>118</v>
      </c>
      <c r="H4198" s="33">
        <v>19</v>
      </c>
      <c r="I4198" s="33" t="str">
        <f t="shared" si="1002"/>
        <v>='C:\Users\jaime.benazar\Quorum Business Solutions\Ecopetrol Prometeo - Documents\Planning Space Implementation\3. Analysis &amp; Design\Design\FC22\DRR Jaime\Neiva CPI\[DINA TERCIARIOS_CF_SEC_New_27-Mar-2024.xlsx]Consolidado'!$L$19</v>
      </c>
      <c r="J4198" t="s">
        <v>3869</v>
      </c>
    </row>
    <row r="4199" spans="1:10" x14ac:dyDescent="0.3">
      <c r="A4199" s="32" t="s">
        <v>114</v>
      </c>
      <c r="B4199" s="32" t="s">
        <v>20</v>
      </c>
      <c r="C4199" s="33" t="s">
        <v>117</v>
      </c>
      <c r="D4199" s="34" t="s">
        <v>2001</v>
      </c>
      <c r="E4199" s="35" t="str">
        <f t="shared" si="1003"/>
        <v>Consolidado'!</v>
      </c>
      <c r="F4199" s="34" t="str">
        <f t="shared" si="1004"/>
        <v>C:\Users\jaime.benazar\Quorum Business Solutions\Ecopetrol Prometeo - Documents\Planning Space Implementation\3. Analysis &amp; Design\Design\FC22\DRR Jaime\Neiva CPI\[DINA TERCIARIOS_CF_SEC_New_27-Mar-2024.xlsx]Consolidado'!</v>
      </c>
      <c r="G4199" s="32" t="s">
        <v>118</v>
      </c>
      <c r="H4199" s="33">
        <v>20</v>
      </c>
      <c r="I4199" s="33" t="str">
        <f t="shared" si="1002"/>
        <v>='C:\Users\jaime.benazar\Quorum Business Solutions\Ecopetrol Prometeo - Documents\Planning Space Implementation\3. Analysis &amp; Design\Design\FC22\DRR Jaime\Neiva CPI\[DINA TERCIARIOS_CF_SEC_New_27-Mar-2024.xlsx]Consolidado'!$L$20</v>
      </c>
      <c r="J4199" t="s">
        <v>3870</v>
      </c>
    </row>
    <row r="4200" spans="1:10" x14ac:dyDescent="0.3">
      <c r="A4200" s="32" t="s">
        <v>114</v>
      </c>
      <c r="B4200" s="32" t="s">
        <v>21</v>
      </c>
      <c r="C4200" s="33" t="s">
        <v>117</v>
      </c>
      <c r="D4200" s="34" t="s">
        <v>2001</v>
      </c>
      <c r="E4200" s="35" t="str">
        <f t="shared" si="1003"/>
        <v>Consolidado'!</v>
      </c>
      <c r="F4200" s="34" t="str">
        <f t="shared" si="1004"/>
        <v>C:\Users\jaime.benazar\Quorum Business Solutions\Ecopetrol Prometeo - Documents\Planning Space Implementation\3. Analysis &amp; Design\Design\FC22\DRR Jaime\Neiva CPI\[DINA TERCIARIOS_CF_SEC_New_27-Mar-2024.xlsx]Consolidado'!</v>
      </c>
      <c r="G4200" s="32" t="s">
        <v>118</v>
      </c>
      <c r="H4200" s="33">
        <v>22</v>
      </c>
      <c r="I4200" s="33" t="str">
        <f t="shared" si="1002"/>
        <v>='C:\Users\jaime.benazar\Quorum Business Solutions\Ecopetrol Prometeo - Documents\Planning Space Implementation\3. Analysis &amp; Design\Design\FC22\DRR Jaime\Neiva CPI\[DINA TERCIARIOS_CF_SEC_New_27-Mar-2024.xlsx]Consolidado'!$L$22</v>
      </c>
      <c r="J4200" t="s">
        <v>3871</v>
      </c>
    </row>
    <row r="4201" spans="1:10" x14ac:dyDescent="0.3">
      <c r="A4201" s="32" t="s">
        <v>114</v>
      </c>
      <c r="B4201" s="32" t="s">
        <v>22</v>
      </c>
      <c r="C4201" s="33" t="s">
        <v>117</v>
      </c>
      <c r="D4201" s="34" t="s">
        <v>2001</v>
      </c>
      <c r="E4201" s="35" t="str">
        <f t="shared" si="1003"/>
        <v>Consolidado'!</v>
      </c>
      <c r="F4201" s="34" t="str">
        <f t="shared" si="1004"/>
        <v>C:\Users\jaime.benazar\Quorum Business Solutions\Ecopetrol Prometeo - Documents\Planning Space Implementation\3. Analysis &amp; Design\Design\FC22\DRR Jaime\Neiva CPI\[DINA TERCIARIOS_CF_SEC_New_27-Mar-2024.xlsx]Consolidado'!</v>
      </c>
      <c r="G4201" s="32" t="s">
        <v>118</v>
      </c>
      <c r="H4201" s="33">
        <v>23</v>
      </c>
      <c r="I4201" s="33" t="str">
        <f t="shared" si="1002"/>
        <v>='C:\Users\jaime.benazar\Quorum Business Solutions\Ecopetrol Prometeo - Documents\Planning Space Implementation\3. Analysis &amp; Design\Design\FC22\DRR Jaime\Neiva CPI\[DINA TERCIARIOS_CF_SEC_New_27-Mar-2024.xlsx]Consolidado'!$L$23</v>
      </c>
      <c r="J4201" t="s">
        <v>3872</v>
      </c>
    </row>
    <row r="4202" spans="1:10" x14ac:dyDescent="0.3">
      <c r="A4202" s="32" t="s">
        <v>114</v>
      </c>
      <c r="B4202" s="32" t="s">
        <v>23</v>
      </c>
      <c r="C4202" s="33" t="s">
        <v>117</v>
      </c>
      <c r="D4202" s="34" t="s">
        <v>2001</v>
      </c>
      <c r="E4202" s="35" t="str">
        <f t="shared" si="1003"/>
        <v>Consolidado'!</v>
      </c>
      <c r="F4202" s="34" t="str">
        <f t="shared" si="1004"/>
        <v>C:\Users\jaime.benazar\Quorum Business Solutions\Ecopetrol Prometeo - Documents\Planning Space Implementation\3. Analysis &amp; Design\Design\FC22\DRR Jaime\Neiva CPI\[DINA TERCIARIOS_CF_SEC_New_27-Mar-2024.xlsx]Consolidado'!</v>
      </c>
      <c r="G4202" s="32" t="s">
        <v>118</v>
      </c>
      <c r="H4202" s="33">
        <v>24</v>
      </c>
      <c r="I4202" s="33" t="str">
        <f t="shared" si="1002"/>
        <v>='C:\Users\jaime.benazar\Quorum Business Solutions\Ecopetrol Prometeo - Documents\Planning Space Implementation\3. Analysis &amp; Design\Design\FC22\DRR Jaime\Neiva CPI\[DINA TERCIARIOS_CF_SEC_New_27-Mar-2024.xlsx]Consolidado'!$L$24</v>
      </c>
      <c r="J4202" t="s">
        <v>3873</v>
      </c>
    </row>
    <row r="4203" spans="1:10" x14ac:dyDescent="0.3">
      <c r="A4203" s="32" t="s">
        <v>114</v>
      </c>
      <c r="B4203" s="32" t="s">
        <v>24</v>
      </c>
      <c r="C4203" s="33" t="s">
        <v>117</v>
      </c>
      <c r="D4203" s="34" t="s">
        <v>2001</v>
      </c>
      <c r="E4203" s="35" t="str">
        <f t="shared" si="1003"/>
        <v>Consolidado'!</v>
      </c>
      <c r="F4203" s="34" t="str">
        <f t="shared" si="1004"/>
        <v>C:\Users\jaime.benazar\Quorum Business Solutions\Ecopetrol Prometeo - Documents\Planning Space Implementation\3. Analysis &amp; Design\Design\FC22\DRR Jaime\Neiva CPI\[DINA TERCIARIOS_CF_SEC_New_27-Mar-2024.xlsx]Consolidado'!</v>
      </c>
      <c r="G4203" s="32" t="s">
        <v>118</v>
      </c>
      <c r="H4203" s="33">
        <v>25</v>
      </c>
      <c r="I4203" s="33" t="str">
        <f t="shared" si="1002"/>
        <v>='C:\Users\jaime.benazar\Quorum Business Solutions\Ecopetrol Prometeo - Documents\Planning Space Implementation\3. Analysis &amp; Design\Design\FC22\DRR Jaime\Neiva CPI\[DINA TERCIARIOS_CF_SEC_New_27-Mar-2024.xlsx]Consolidado'!$L$25</v>
      </c>
      <c r="J4203" t="s">
        <v>3874</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3F1D485-46B8-41E8-825C-59DDC6F66678}">
  <ds:schemaRefs>
    <ds:schemaRef ds:uri="http://schemas.microsoft.com/sharepoint/v3/contenttype/forms"/>
  </ds:schemaRefs>
</ds:datastoreItem>
</file>

<file path=customXml/itemProps2.xml><?xml version="1.0" encoding="utf-8"?>
<ds:datastoreItem xmlns:ds="http://schemas.openxmlformats.org/officeDocument/2006/customXml" ds:itemID="{3E3B2598-541C-4B59-BE40-111BAE2931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7AAAC6-8000-4D73-8DB4-BC334CE35FFE}">
  <ds:schemaRefs>
    <ds:schemaRef ds:uri="http://schemas.microsoft.com/office/2006/metadata/properties"/>
    <ds:schemaRef ds:uri="http://schemas.microsoft.com/office/infopath/2007/PartnerControls"/>
    <ds:schemaRef ds:uri="cb44db4c-58ef-46ee-8a55-6d05fb8b3f8b"/>
    <ds:schemaRef ds:uri="6698821d-6e10-4a2b-a74f-0a52b52c4692"/>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Daniela Manozca Cruz</dc:creator>
  <cp:keywords/>
  <dc:description/>
  <cp:lastModifiedBy>Juan Perez Ordoñez</cp:lastModifiedBy>
  <cp:revision/>
  <dcterms:created xsi:type="dcterms:W3CDTF">2023-11-03T20:09:58Z</dcterms:created>
  <dcterms:modified xsi:type="dcterms:W3CDTF">2024-05-09T23:58:34Z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